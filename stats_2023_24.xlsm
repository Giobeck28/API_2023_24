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BDBD08B4-E764-9E8A-9C2C-B5BA9A0880B9}"/>
  <workbookPr codeName="ThisWorkbook" defaultThemeVersion="166925"/>
  <mc:AlternateContent xmlns:mc="http://schemas.openxmlformats.org/markup-compatibility/2006">
    <mc:Choice Requires="x15">
      <x15ac:absPath xmlns:x15ac="http://schemas.microsoft.com/office/spreadsheetml/2010/11/ac" url="/Users/gio/Downloads/"/>
    </mc:Choice>
  </mc:AlternateContent>
  <xr:revisionPtr revIDLastSave="0" documentId="13_ncr:1_{5489A3A1-9823-E347-9F9C-3A8305DD5128}" xr6:coauthVersionLast="47" xr6:coauthVersionMax="47" xr10:uidLastSave="{00000000-0000-0000-0000-000000000000}"/>
  <bookViews>
    <workbookView xWindow="4680" yWindow="880" windowWidth="28800" windowHeight="16360" firstSheet="17" activeTab="21" xr2:uid="{94C15808-E669-3445-A2BF-D46A2E2F6CD5}"/>
  </bookViews>
  <sheets>
    <sheet name="T1" sheetId="3" r:id="rId1"/>
    <sheet name="T1 export" sheetId="7" r:id="rId2"/>
    <sheet name="CHECK T1" sheetId="9" r:id="rId3"/>
    <sheet name="T2" sheetId="5" r:id="rId4"/>
    <sheet name="T2 export" sheetId="10" r:id="rId5"/>
    <sheet name="CHECK T2" sheetId="11" r:id="rId6"/>
    <sheet name="T3" sheetId="16" r:id="rId7"/>
    <sheet name="T3 export" sheetId="17" r:id="rId8"/>
    <sheet name="CHECK T3" sheetId="18" r:id="rId9"/>
    <sheet name="Y (2)" sheetId="36" r:id="rId10"/>
    <sheet name="Y" sheetId="6" r:id="rId11"/>
    <sheet name="Y export (2)" sheetId="37" r:id="rId12"/>
    <sheet name="Y export" sheetId="12" r:id="rId13"/>
    <sheet name="CHECK Y" sheetId="14" r:id="rId14"/>
    <sheet name="How it works" sheetId="15" r:id="rId15"/>
    <sheet name="Sheet1" sheetId="25" r:id="rId16"/>
    <sheet name="Pres-NumPlayers" sheetId="28" r:id="rId17"/>
    <sheet name="For stats end Y DB" sheetId="19" r:id="rId18"/>
    <sheet name="For stats end Y class" sheetId="24" r:id="rId19"/>
    <sheet name="For stats end Y points" sheetId="20" r:id="rId20"/>
    <sheet name="For stats end Y Score" sheetId="21" r:id="rId21"/>
    <sheet name="Moy" sheetId="27" r:id="rId22"/>
    <sheet name="Sheet5" sheetId="23" r:id="rId23"/>
    <sheet name="Sheet1 (2)" sheetId="26" r:id="rId24"/>
    <sheet name="Variantes" sheetId="30" r:id="rId25"/>
    <sheet name="Variantes Scores" sheetId="31" r:id="rId26"/>
    <sheet name="Sheet6" sheetId="32" r:id="rId27"/>
    <sheet name="Sheet7" sheetId="33" r:id="rId28"/>
    <sheet name="Sheet8" sheetId="34" r:id="rId29"/>
    <sheet name="VDistribP" sheetId="35" r:id="rId30"/>
  </sheets>
  <definedNames>
    <definedName name="_xlnm._FilterDatabase" localSheetId="26" hidden="1">Sheet6!$A$1:$A$561</definedName>
    <definedName name="_xlnm._FilterDatabase" localSheetId="25" hidden="1">'Variantes Scores'!$A$1:$E$561</definedName>
    <definedName name="_xlchart.v1.0" hidden="1">'For stats end Y class'!$AU$2:$AU$102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514" i="19" l="1"/>
  <c r="A1515" i="19"/>
  <c r="A1516" i="19"/>
  <c r="A1517" i="19"/>
  <c r="A1518" i="19"/>
  <c r="A1519" i="19"/>
  <c r="A1520" i="19"/>
  <c r="A1521" i="19"/>
  <c r="A1522" i="19"/>
  <c r="A1523" i="19"/>
  <c r="A1524" i="19"/>
  <c r="A1525" i="19"/>
  <c r="A1526" i="19"/>
  <c r="A1527" i="19"/>
  <c r="A1528" i="19"/>
  <c r="A1529" i="19"/>
  <c r="A1530" i="19"/>
  <c r="A1531" i="19"/>
  <c r="A1532" i="19"/>
  <c r="A1533" i="19"/>
  <c r="A1534" i="19"/>
  <c r="A1535" i="19"/>
  <c r="A1536" i="19"/>
  <c r="A1537" i="19"/>
  <c r="A1538" i="19"/>
  <c r="A1539" i="19"/>
  <c r="A1540" i="19"/>
  <c r="A1541" i="19"/>
  <c r="A1542" i="19"/>
  <c r="A1543" i="19"/>
  <c r="A1544" i="19"/>
  <c r="A1545" i="19"/>
  <c r="A1546" i="19"/>
  <c r="A1547" i="19"/>
  <c r="A1548" i="19"/>
  <c r="A1549" i="19"/>
  <c r="A1550" i="19"/>
  <c r="A1551" i="19"/>
  <c r="A1552" i="19"/>
  <c r="A1553" i="19"/>
  <c r="A1554" i="19"/>
  <c r="A1555" i="19"/>
  <c r="A1556" i="19"/>
  <c r="A1557" i="19"/>
  <c r="A1558" i="19"/>
  <c r="A1559" i="19"/>
  <c r="A1560" i="19"/>
  <c r="A1561" i="19"/>
  <c r="A1562" i="19"/>
  <c r="A1563" i="19"/>
  <c r="A1564" i="19"/>
  <c r="A1565" i="19"/>
  <c r="A1566" i="19"/>
  <c r="A1567" i="19"/>
  <c r="A1568" i="19"/>
  <c r="A1569" i="19"/>
  <c r="A1570" i="19"/>
  <c r="A1571" i="19"/>
  <c r="A1572" i="19"/>
  <c r="A1573" i="19"/>
  <c r="A1574" i="19"/>
  <c r="A1575" i="19"/>
  <c r="A1576" i="19"/>
  <c r="A1577" i="19"/>
  <c r="A1578" i="19"/>
  <c r="A1579" i="19"/>
  <c r="A1580" i="19"/>
  <c r="A1581" i="19"/>
  <c r="A1582" i="19"/>
  <c r="A1583" i="19"/>
  <c r="A1584" i="19"/>
  <c r="A1585" i="19"/>
  <c r="A1586" i="19"/>
  <c r="A1587" i="19"/>
  <c r="A1588" i="19"/>
  <c r="A1589" i="19"/>
  <c r="A1590" i="19"/>
  <c r="A1591" i="19"/>
  <c r="A1592" i="19"/>
  <c r="A1593" i="19"/>
  <c r="A1594" i="19"/>
  <c r="A1595" i="19"/>
  <c r="A1596" i="19"/>
  <c r="A1597" i="19"/>
  <c r="A1598" i="19"/>
  <c r="A1599" i="19"/>
  <c r="A1600" i="19"/>
  <c r="A1601" i="19"/>
  <c r="A1602" i="19"/>
  <c r="A1603" i="19"/>
  <c r="A1604" i="19"/>
  <c r="A1605" i="19"/>
  <c r="A1606" i="19"/>
  <c r="A1607" i="19"/>
  <c r="A1608" i="19"/>
  <c r="A1609" i="19"/>
  <c r="A1610" i="19"/>
  <c r="A1611" i="19"/>
  <c r="A1612" i="19"/>
  <c r="A1613" i="19"/>
  <c r="A1614" i="19"/>
  <c r="A1615" i="19"/>
  <c r="A1616" i="19"/>
  <c r="A1617" i="19"/>
  <c r="A1618" i="19"/>
  <c r="A1619" i="19"/>
  <c r="A1620" i="19"/>
  <c r="A1621" i="19"/>
  <c r="A1622" i="19"/>
  <c r="A1623" i="19"/>
  <c r="A1624" i="19"/>
  <c r="A1625" i="19"/>
  <c r="A1626" i="19"/>
  <c r="A1627" i="19"/>
  <c r="A1628" i="19"/>
  <c r="A1629" i="19"/>
  <c r="A1630" i="19"/>
  <c r="A1631" i="19"/>
  <c r="A1632" i="19"/>
  <c r="A1633" i="19"/>
  <c r="A1634" i="19"/>
  <c r="A1635" i="19"/>
  <c r="A1636" i="19"/>
  <c r="A1637" i="19"/>
  <c r="A1638" i="19"/>
  <c r="A1639" i="19"/>
  <c r="A1640" i="19"/>
  <c r="A1641" i="19"/>
  <c r="A1642" i="19"/>
  <c r="A1643" i="19"/>
  <c r="A1644" i="19"/>
  <c r="A1645" i="19"/>
  <c r="A1646" i="19"/>
  <c r="A1647" i="19"/>
  <c r="A1648" i="19"/>
  <c r="A1649" i="19"/>
  <c r="A1650" i="19"/>
  <c r="A1651" i="19"/>
  <c r="A1652" i="19"/>
  <c r="A1653" i="19"/>
  <c r="A1654" i="19"/>
  <c r="A1655" i="19"/>
  <c r="A1656" i="19"/>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708" i="37"/>
  <c r="E1707" i="37"/>
  <c r="E1706" i="37"/>
  <c r="E1705" i="37"/>
  <c r="E1704" i="37"/>
  <c r="E1703" i="37"/>
  <c r="E1702" i="37"/>
  <c r="E1701" i="37"/>
  <c r="E1700" i="37"/>
  <c r="E1699" i="37"/>
  <c r="E1698" i="37"/>
  <c r="E1697" i="37"/>
  <c r="E1696" i="37"/>
  <c r="E1695" i="37"/>
  <c r="E1694" i="37"/>
  <c r="E1693" i="37"/>
  <c r="E1692" i="37"/>
  <c r="E1691" i="37"/>
  <c r="E1690" i="37"/>
  <c r="E1689" i="37"/>
  <c r="E1688" i="37"/>
  <c r="E1687" i="37"/>
  <c r="E1686" i="37"/>
  <c r="E1685" i="37"/>
  <c r="E1684" i="37"/>
  <c r="E1683" i="37"/>
  <c r="E1682" i="37"/>
  <c r="E1681" i="37"/>
  <c r="E1680" i="37"/>
  <c r="E1679" i="37"/>
  <c r="E1678" i="37"/>
  <c r="E1677" i="37"/>
  <c r="E1676" i="37"/>
  <c r="E1675" i="37"/>
  <c r="E1674" i="37"/>
  <c r="E1673" i="37"/>
  <c r="E1672" i="37"/>
  <c r="E1671" i="37"/>
  <c r="E1670" i="37"/>
  <c r="E1669" i="37"/>
  <c r="E1668" i="37"/>
  <c r="E1667" i="37"/>
  <c r="E1666" i="37"/>
  <c r="E1665" i="37"/>
  <c r="E1664" i="37"/>
  <c r="E1663" i="37"/>
  <c r="E1662" i="37"/>
  <c r="E1661" i="37"/>
  <c r="E1660" i="37"/>
  <c r="E1659" i="37"/>
  <c r="E1658" i="37"/>
  <c r="E1657" i="37"/>
  <c r="E1656" i="37"/>
  <c r="E1655" i="37"/>
  <c r="E1654" i="37"/>
  <c r="E1653" i="37"/>
  <c r="E1652" i="37"/>
  <c r="E1651" i="37"/>
  <c r="E1650" i="37"/>
  <c r="E1649" i="37"/>
  <c r="E1648" i="37"/>
  <c r="E1647" i="37"/>
  <c r="E1646" i="37"/>
  <c r="E1645" i="37"/>
  <c r="E1644" i="37"/>
  <c r="E1643" i="37"/>
  <c r="E1642" i="37"/>
  <c r="E1641" i="37"/>
  <c r="E1640" i="37"/>
  <c r="E1639" i="37"/>
  <c r="E1638" i="37"/>
  <c r="E1637" i="37"/>
  <c r="E1636" i="37"/>
  <c r="E1635" i="37"/>
  <c r="E1634" i="37"/>
  <c r="E1633" i="37"/>
  <c r="E1632" i="37"/>
  <c r="E1631" i="37"/>
  <c r="E1630" i="37"/>
  <c r="E1629" i="37"/>
  <c r="E1628" i="37"/>
  <c r="E1627" i="37"/>
  <c r="E1626" i="37"/>
  <c r="E1625" i="37"/>
  <c r="E1624" i="37"/>
  <c r="E1623" i="37"/>
  <c r="E1622" i="37"/>
  <c r="E1621" i="37"/>
  <c r="E1620" i="37"/>
  <c r="E1619" i="37"/>
  <c r="E1618" i="37"/>
  <c r="E1617" i="37"/>
  <c r="E1616" i="37"/>
  <c r="E1615" i="37"/>
  <c r="E1614" i="37"/>
  <c r="E1613" i="37"/>
  <c r="E1612" i="37"/>
  <c r="E1611" i="37"/>
  <c r="E1610" i="37"/>
  <c r="E1609" i="37"/>
  <c r="E1608" i="37"/>
  <c r="E1607" i="37"/>
  <c r="E1606" i="37"/>
  <c r="E1605" i="37"/>
  <c r="E1604" i="37"/>
  <c r="E1603" i="37"/>
  <c r="E1602" i="37"/>
  <c r="E1601" i="37"/>
  <c r="E1600" i="37"/>
  <c r="E1599" i="37"/>
  <c r="E1598" i="37"/>
  <c r="E1597" i="37"/>
  <c r="E1596" i="37"/>
  <c r="E1595" i="37"/>
  <c r="E1594" i="37"/>
  <c r="E1593" i="37"/>
  <c r="E1592" i="37"/>
  <c r="E1591" i="37"/>
  <c r="E1590" i="37"/>
  <c r="E1589" i="37"/>
  <c r="E1588" i="37"/>
  <c r="E1587" i="37"/>
  <c r="E1586" i="37"/>
  <c r="E1585" i="37"/>
  <c r="E1584" i="37"/>
  <c r="E1583" i="37"/>
  <c r="E1582" i="37"/>
  <c r="E1581" i="37"/>
  <c r="E1580" i="37"/>
  <c r="E1579" i="37"/>
  <c r="E1578" i="37"/>
  <c r="E1577" i="37"/>
  <c r="E1576" i="37"/>
  <c r="E1575" i="37"/>
  <c r="E1574" i="37"/>
  <c r="E1573" i="37"/>
  <c r="E1572" i="37"/>
  <c r="E1571" i="37"/>
  <c r="E1570" i="37"/>
  <c r="E1569" i="37"/>
  <c r="E1568" i="37"/>
  <c r="E1567" i="37"/>
  <c r="E1566" i="37"/>
  <c r="E1565" i="37"/>
  <c r="E1564" i="37"/>
  <c r="E1563" i="37"/>
  <c r="E1562" i="37"/>
  <c r="E1561" i="37"/>
  <c r="E1560" i="37"/>
  <c r="E1559" i="37"/>
  <c r="E1558" i="37"/>
  <c r="E1557" i="37"/>
  <c r="E1556" i="37"/>
  <c r="E1555" i="37"/>
  <c r="E1554" i="37"/>
  <c r="E1553" i="37"/>
  <c r="E1552" i="37"/>
  <c r="E1551" i="37"/>
  <c r="E1550" i="37"/>
  <c r="E1549" i="37"/>
  <c r="E1548" i="37"/>
  <c r="E1547" i="37"/>
  <c r="E1546" i="37"/>
  <c r="E1545" i="37"/>
  <c r="E1544" i="37"/>
  <c r="E1543" i="37"/>
  <c r="E1542" i="37"/>
  <c r="E1541" i="37"/>
  <c r="E1540" i="37"/>
  <c r="E1539" i="37"/>
  <c r="E1538" i="37"/>
  <c r="E1537" i="37"/>
  <c r="E1536" i="37"/>
  <c r="E1535" i="37"/>
  <c r="E1534" i="37"/>
  <c r="E1533" i="37"/>
  <c r="E1532" i="37"/>
  <c r="E1531" i="37"/>
  <c r="E1530" i="37"/>
  <c r="E1529" i="37"/>
  <c r="E1528" i="37"/>
  <c r="E1527" i="37"/>
  <c r="E1526" i="37"/>
  <c r="E1525" i="37"/>
  <c r="E1524" i="37"/>
  <c r="E1523" i="37"/>
  <c r="E1522" i="37"/>
  <c r="E1521" i="37"/>
  <c r="E1520" i="37"/>
  <c r="E1519" i="37"/>
  <c r="E1518" i="37"/>
  <c r="E1517" i="37"/>
  <c r="E1516" i="37"/>
  <c r="E1515" i="37"/>
  <c r="E1514" i="37"/>
  <c r="E1513" i="37"/>
  <c r="E1512" i="37"/>
  <c r="E1511" i="37"/>
  <c r="E1510" i="37"/>
  <c r="E1509" i="37"/>
  <c r="E1508" i="37"/>
  <c r="E1507" i="37"/>
  <c r="E1506" i="37"/>
  <c r="E1505" i="37"/>
  <c r="E1504" i="37"/>
  <c r="E1503" i="37"/>
  <c r="E1502" i="37"/>
  <c r="E1501" i="37"/>
  <c r="E1500" i="37"/>
  <c r="E1499" i="37"/>
  <c r="E1498" i="37"/>
  <c r="E1497" i="37"/>
  <c r="E1496" i="37"/>
  <c r="E1495" i="37"/>
  <c r="E1494" i="37"/>
  <c r="E1493" i="37"/>
  <c r="E1492" i="37"/>
  <c r="E1491" i="37"/>
  <c r="E1490" i="37"/>
  <c r="E1489" i="37"/>
  <c r="E1488" i="37"/>
  <c r="E1487" i="37"/>
  <c r="E1486" i="37"/>
  <c r="E1485" i="37"/>
  <c r="E1484" i="37"/>
  <c r="E1483" i="37"/>
  <c r="E1482" i="37"/>
  <c r="E1481" i="37"/>
  <c r="E1480" i="37"/>
  <c r="E1479" i="37"/>
  <c r="E1478" i="37"/>
  <c r="E1477" i="37"/>
  <c r="E1476" i="37"/>
  <c r="E1475" i="37"/>
  <c r="E1474" i="37"/>
  <c r="E1473" i="37"/>
  <c r="E1472" i="37"/>
  <c r="E1471" i="37"/>
  <c r="E1470" i="37"/>
  <c r="E1469" i="37"/>
  <c r="E1468" i="37"/>
  <c r="E1467" i="37"/>
  <c r="E1466" i="37"/>
  <c r="E1465" i="37"/>
  <c r="E1464" i="37"/>
  <c r="E1463" i="37"/>
  <c r="E1462" i="37"/>
  <c r="E1461" i="37"/>
  <c r="E1460" i="37"/>
  <c r="E1459" i="37"/>
  <c r="E1458" i="37"/>
  <c r="E1457" i="37"/>
  <c r="E1456" i="37"/>
  <c r="E1455" i="37"/>
  <c r="E1454" i="37"/>
  <c r="E1453" i="37"/>
  <c r="E1452" i="37"/>
  <c r="E1451" i="37"/>
  <c r="E1450" i="37"/>
  <c r="E1449" i="37"/>
  <c r="E1448" i="37"/>
  <c r="E1447" i="37"/>
  <c r="E1446" i="37"/>
  <c r="E1445" i="37"/>
  <c r="E1444" i="37"/>
  <c r="E1443" i="37"/>
  <c r="E1442" i="37"/>
  <c r="E1441" i="37"/>
  <c r="E1440" i="37"/>
  <c r="E1439" i="37"/>
  <c r="E1438" i="37"/>
  <c r="E1437" i="37"/>
  <c r="E1436" i="37"/>
  <c r="E1435" i="37"/>
  <c r="E1434" i="37"/>
  <c r="E1433" i="37"/>
  <c r="E1432" i="37"/>
  <c r="E1431" i="37"/>
  <c r="E1430" i="37"/>
  <c r="E1429" i="37"/>
  <c r="E1428" i="37"/>
  <c r="E1427" i="37"/>
  <c r="E1426" i="37"/>
  <c r="E1425" i="37"/>
  <c r="E1424" i="37"/>
  <c r="E1423" i="37"/>
  <c r="E1422" i="37"/>
  <c r="E1421" i="37"/>
  <c r="E1420" i="37"/>
  <c r="E1419" i="37"/>
  <c r="E1418" i="37"/>
  <c r="E1417" i="37"/>
  <c r="E1416" i="37"/>
  <c r="E1415" i="37"/>
  <c r="E1414" i="37"/>
  <c r="E1413" i="37"/>
  <c r="E1412" i="37"/>
  <c r="E1411" i="37"/>
  <c r="E1410" i="37"/>
  <c r="E1409" i="37"/>
  <c r="E1408" i="37"/>
  <c r="E1407" i="37"/>
  <c r="E1406" i="37"/>
  <c r="E1405" i="37"/>
  <c r="E1404" i="37"/>
  <c r="E1403" i="37"/>
  <c r="E1402" i="37"/>
  <c r="E1401" i="37"/>
  <c r="E1400" i="37"/>
  <c r="E1399" i="37"/>
  <c r="E1398" i="37"/>
  <c r="E1397" i="37"/>
  <c r="E1396" i="37"/>
  <c r="E1395" i="37"/>
  <c r="E1394" i="37"/>
  <c r="E1393" i="37"/>
  <c r="E1392" i="37"/>
  <c r="E1391" i="37"/>
  <c r="E1390" i="37"/>
  <c r="E1389" i="37"/>
  <c r="E1388" i="37"/>
  <c r="E1387" i="37"/>
  <c r="E1386" i="37"/>
  <c r="E1385" i="37"/>
  <c r="E1384" i="37"/>
  <c r="E1383" i="37"/>
  <c r="E1382" i="37"/>
  <c r="E1381" i="37"/>
  <c r="E1380" i="37"/>
  <c r="E1379" i="37"/>
  <c r="E1378" i="37"/>
  <c r="E1377" i="37"/>
  <c r="E1376" i="37"/>
  <c r="E1375" i="37"/>
  <c r="E1374" i="37"/>
  <c r="E1373" i="37"/>
  <c r="E1372" i="37"/>
  <c r="E1371" i="37"/>
  <c r="E1370" i="37"/>
  <c r="E1369" i="37"/>
  <c r="E1368" i="37"/>
  <c r="E1367" i="37"/>
  <c r="E1366" i="37"/>
  <c r="E1365" i="37"/>
  <c r="E1364" i="37"/>
  <c r="E1363" i="37"/>
  <c r="E1362" i="37"/>
  <c r="E1361" i="37"/>
  <c r="E1360" i="37"/>
  <c r="E1359" i="37"/>
  <c r="E1358" i="37"/>
  <c r="E1357" i="37"/>
  <c r="E1356" i="37"/>
  <c r="E1355" i="37"/>
  <c r="E1354" i="37"/>
  <c r="E1353" i="37"/>
  <c r="E1352" i="37"/>
  <c r="E1351" i="37"/>
  <c r="E1350" i="37"/>
  <c r="E1349" i="37"/>
  <c r="E1348" i="37"/>
  <c r="E1347" i="37"/>
  <c r="E1346" i="37"/>
  <c r="E1345" i="37"/>
  <c r="E1344" i="37"/>
  <c r="E1343" i="37"/>
  <c r="E1342" i="37"/>
  <c r="E1341" i="37"/>
  <c r="E1340" i="37"/>
  <c r="E1339" i="37"/>
  <c r="E1338" i="37"/>
  <c r="E1337" i="37"/>
  <c r="E1336" i="37"/>
  <c r="E1335" i="37"/>
  <c r="E1334" i="37"/>
  <c r="E1333" i="37"/>
  <c r="E1332" i="37"/>
  <c r="E1331" i="37"/>
  <c r="E1330" i="37"/>
  <c r="E1329" i="37"/>
  <c r="E1328" i="37"/>
  <c r="E1327" i="37"/>
  <c r="E1326" i="37"/>
  <c r="E1325" i="37"/>
  <c r="E1324" i="37"/>
  <c r="E1323" i="37"/>
  <c r="E1322" i="37"/>
  <c r="E1321" i="37"/>
  <c r="E1320" i="37"/>
  <c r="E1319" i="37"/>
  <c r="E1318" i="37"/>
  <c r="E1317" i="37"/>
  <c r="E1316" i="37"/>
  <c r="E1315" i="37"/>
  <c r="E1314" i="37"/>
  <c r="E1313" i="37"/>
  <c r="E1312" i="37"/>
  <c r="E1311" i="37"/>
  <c r="E1310" i="37"/>
  <c r="E1309" i="37"/>
  <c r="E1308" i="37"/>
  <c r="E1307" i="37"/>
  <c r="E1306" i="37"/>
  <c r="E1305" i="37"/>
  <c r="E1304" i="37"/>
  <c r="E1303" i="37"/>
  <c r="E1302" i="37"/>
  <c r="E1301" i="37"/>
  <c r="E1300" i="37"/>
  <c r="E1299" i="37"/>
  <c r="E1298" i="37"/>
  <c r="E1297" i="37"/>
  <c r="E1296" i="37"/>
  <c r="E1295" i="37"/>
  <c r="E1294" i="37"/>
  <c r="E1293" i="37"/>
  <c r="E1292" i="37"/>
  <c r="E1291" i="37"/>
  <c r="E1290" i="37"/>
  <c r="E1289" i="37"/>
  <c r="E1288" i="37"/>
  <c r="E1287" i="37"/>
  <c r="E1286" i="37"/>
  <c r="E1285" i="37"/>
  <c r="E1284" i="37"/>
  <c r="E1283" i="37"/>
  <c r="E1282" i="37"/>
  <c r="E1281" i="37"/>
  <c r="E1280" i="37"/>
  <c r="E1279" i="37"/>
  <c r="E1278" i="37"/>
  <c r="E1277" i="37"/>
  <c r="E1276" i="37"/>
  <c r="E1275" i="37"/>
  <c r="E1274" i="37"/>
  <c r="E1273" i="37"/>
  <c r="E1272" i="37"/>
  <c r="E1271" i="37"/>
  <c r="E1270" i="37"/>
  <c r="E1269" i="37"/>
  <c r="E1268" i="37"/>
  <c r="E1267" i="37"/>
  <c r="E1266" i="37"/>
  <c r="E1265" i="37"/>
  <c r="E1264" i="37"/>
  <c r="E1263" i="37"/>
  <c r="E1262" i="37"/>
  <c r="E1261" i="37"/>
  <c r="E1260" i="37"/>
  <c r="E1259" i="37"/>
  <c r="E1258" i="37"/>
  <c r="E1257" i="37"/>
  <c r="E1256" i="37"/>
  <c r="E1255" i="37"/>
  <c r="E1254" i="37"/>
  <c r="E1253" i="37"/>
  <c r="E1252" i="37"/>
  <c r="E1251" i="37"/>
  <c r="E1250" i="37"/>
  <c r="E1249" i="37"/>
  <c r="E1248" i="37"/>
  <c r="E1247" i="37"/>
  <c r="E1246" i="37"/>
  <c r="E1245" i="37"/>
  <c r="E1244" i="37"/>
  <c r="E1243" i="37"/>
  <c r="E1242" i="37"/>
  <c r="E1241" i="37"/>
  <c r="E1240" i="37"/>
  <c r="E1239" i="37"/>
  <c r="E1238" i="37"/>
  <c r="E1237" i="37"/>
  <c r="E1236" i="37"/>
  <c r="E1235" i="37"/>
  <c r="E1234" i="37"/>
  <c r="E1233" i="37"/>
  <c r="E1232" i="37"/>
  <c r="E1231" i="37"/>
  <c r="E1230" i="37"/>
  <c r="E1229" i="37"/>
  <c r="E1228" i="37"/>
  <c r="E1227" i="37"/>
  <c r="E1226" i="37"/>
  <c r="E1225" i="37"/>
  <c r="E1224" i="37"/>
  <c r="E1223" i="37"/>
  <c r="E1222" i="37"/>
  <c r="E1221" i="37"/>
  <c r="E1220" i="37"/>
  <c r="E1219" i="37"/>
  <c r="E1218" i="37"/>
  <c r="E1217" i="37"/>
  <c r="E1216" i="37"/>
  <c r="E1215" i="37"/>
  <c r="E1214" i="37"/>
  <c r="E1213" i="37"/>
  <c r="E1212" i="37"/>
  <c r="E1211" i="37"/>
  <c r="E1210" i="37"/>
  <c r="E1209" i="37"/>
  <c r="E1208" i="37"/>
  <c r="E1207" i="37"/>
  <c r="E1206" i="37"/>
  <c r="E1205" i="37"/>
  <c r="E1204" i="37"/>
  <c r="E1203" i="37"/>
  <c r="E1202" i="37"/>
  <c r="E1201" i="37"/>
  <c r="E1200" i="37"/>
  <c r="E1199" i="37"/>
  <c r="E1198" i="37"/>
  <c r="E1197" i="37"/>
  <c r="E1196" i="37"/>
  <c r="E1195" i="37"/>
  <c r="E1194" i="37"/>
  <c r="E1193" i="37"/>
  <c r="E1192" i="37"/>
  <c r="E1191" i="37"/>
  <c r="E1190" i="37"/>
  <c r="E1189" i="37"/>
  <c r="E1188" i="37"/>
  <c r="E1187" i="37"/>
  <c r="E1186" i="37"/>
  <c r="E1185" i="37"/>
  <c r="E1184" i="37"/>
  <c r="E1183" i="37"/>
  <c r="E1182" i="37"/>
  <c r="E1181" i="37"/>
  <c r="E1180" i="37"/>
  <c r="E1179" i="37"/>
  <c r="E1178" i="37"/>
  <c r="E1177" i="37"/>
  <c r="E1176" i="37"/>
  <c r="E1175" i="37"/>
  <c r="E1174" i="37"/>
  <c r="E1173" i="37"/>
  <c r="E1172" i="37"/>
  <c r="E1171" i="37"/>
  <c r="E1170" i="37"/>
  <c r="E1169" i="37"/>
  <c r="E1168" i="37"/>
  <c r="E1167" i="37"/>
  <c r="E1166" i="37"/>
  <c r="E1165" i="37"/>
  <c r="E1164" i="37"/>
  <c r="E1163" i="37"/>
  <c r="E1162" i="37"/>
  <c r="E1161" i="37"/>
  <c r="E1160" i="37"/>
  <c r="E1159" i="37"/>
  <c r="E1158" i="37"/>
  <c r="E1157" i="37"/>
  <c r="E1156" i="37"/>
  <c r="E1155" i="37"/>
  <c r="E1154" i="37"/>
  <c r="E1153" i="37"/>
  <c r="E1152" i="37"/>
  <c r="E1151" i="37"/>
  <c r="E1150" i="37"/>
  <c r="E1149" i="37"/>
  <c r="E1148" i="37"/>
  <c r="E1147" i="37"/>
  <c r="E1146" i="37"/>
  <c r="E1145" i="37"/>
  <c r="E1144" i="37"/>
  <c r="E1143" i="37"/>
  <c r="E1142" i="37"/>
  <c r="E1141" i="37"/>
  <c r="E1140" i="37"/>
  <c r="E1139" i="37"/>
  <c r="E1138" i="37"/>
  <c r="E1137" i="37"/>
  <c r="E1136" i="37"/>
  <c r="E1135" i="37"/>
  <c r="E1134" i="37"/>
  <c r="E1133" i="37"/>
  <c r="E1132" i="37"/>
  <c r="E1131" i="37"/>
  <c r="E1130" i="37"/>
  <c r="E1129" i="37"/>
  <c r="E1128" i="37"/>
  <c r="E1127" i="37"/>
  <c r="E1126" i="37"/>
  <c r="E1125" i="37"/>
  <c r="E1124" i="37"/>
  <c r="E1123" i="37"/>
  <c r="E1122" i="37"/>
  <c r="E1121" i="37"/>
  <c r="E1120" i="37"/>
  <c r="E1119" i="37"/>
  <c r="E1118" i="37"/>
  <c r="E1117" i="37"/>
  <c r="E1116" i="37"/>
  <c r="E1115" i="37"/>
  <c r="E1114" i="37"/>
  <c r="E1113" i="37"/>
  <c r="E1112" i="37"/>
  <c r="E1111" i="37"/>
  <c r="E1110" i="37"/>
  <c r="E1109" i="37"/>
  <c r="E1108" i="37"/>
  <c r="E1107" i="37"/>
  <c r="E1106" i="37"/>
  <c r="E1105" i="37"/>
  <c r="E1104" i="37"/>
  <c r="E1103" i="37"/>
  <c r="E1102" i="37"/>
  <c r="E1101" i="37"/>
  <c r="E1100" i="37"/>
  <c r="E1099" i="37"/>
  <c r="E1098" i="37"/>
  <c r="E1097" i="37"/>
  <c r="E1096" i="37"/>
  <c r="E1095" i="37"/>
  <c r="E1094" i="37"/>
  <c r="E1093" i="37"/>
  <c r="E1092" i="37"/>
  <c r="E1091" i="37"/>
  <c r="E1090" i="37"/>
  <c r="E1089" i="37"/>
  <c r="E1088" i="37"/>
  <c r="E1087" i="37"/>
  <c r="E1086" i="37"/>
  <c r="E1085" i="37"/>
  <c r="E1084" i="37"/>
  <c r="E1083" i="37"/>
  <c r="E1082" i="37"/>
  <c r="E1081" i="37"/>
  <c r="E1080" i="37"/>
  <c r="E1079" i="37"/>
  <c r="E1078" i="37"/>
  <c r="E1077" i="37"/>
  <c r="E1076" i="37"/>
  <c r="E1075" i="37"/>
  <c r="E1074" i="37"/>
  <c r="E1073" i="37"/>
  <c r="E1072" i="37"/>
  <c r="E1071" i="37"/>
  <c r="E1070" i="37"/>
  <c r="E1069" i="37"/>
  <c r="E1068" i="37"/>
  <c r="E1067" i="37"/>
  <c r="E1066" i="37"/>
  <c r="E1065" i="37"/>
  <c r="E1064" i="37"/>
  <c r="E1063" i="37"/>
  <c r="E1062" i="37"/>
  <c r="E1061" i="37"/>
  <c r="E1060" i="37"/>
  <c r="E1059" i="37"/>
  <c r="E1058" i="37"/>
  <c r="E1057" i="37"/>
  <c r="E1056" i="37"/>
  <c r="E1055" i="37"/>
  <c r="E1054" i="37"/>
  <c r="E1053" i="37"/>
  <c r="E1052" i="37"/>
  <c r="E1051" i="37"/>
  <c r="E1050" i="37"/>
  <c r="E1049" i="37"/>
  <c r="E1048" i="37"/>
  <c r="E1047" i="37"/>
  <c r="E1046" i="37"/>
  <c r="E1045" i="37"/>
  <c r="E1044" i="37"/>
  <c r="E1043" i="37"/>
  <c r="E1042" i="37"/>
  <c r="E1041" i="37"/>
  <c r="E1040" i="37"/>
  <c r="E1039" i="37"/>
  <c r="E1038" i="37"/>
  <c r="E1037" i="37"/>
  <c r="E1036" i="37"/>
  <c r="E1035" i="37"/>
  <c r="E1034" i="37"/>
  <c r="E1033" i="37"/>
  <c r="E1032" i="37"/>
  <c r="E1031" i="37"/>
  <c r="E1030" i="37"/>
  <c r="E1029" i="37"/>
  <c r="E1028" i="37"/>
  <c r="E1027" i="37"/>
  <c r="E1026" i="37"/>
  <c r="E1025" i="37"/>
  <c r="E1024" i="37"/>
  <c r="E1023" i="37"/>
  <c r="E1022" i="37"/>
  <c r="E1021" i="37"/>
  <c r="E1020" i="37"/>
  <c r="E1019" i="37"/>
  <c r="E1018" i="37"/>
  <c r="E1017" i="37"/>
  <c r="E1016" i="37"/>
  <c r="E1015" i="37"/>
  <c r="E1014" i="37"/>
  <c r="E1013" i="37"/>
  <c r="E1012" i="37"/>
  <c r="E1011" i="37"/>
  <c r="E1010" i="37"/>
  <c r="E1009" i="37"/>
  <c r="E1008" i="37"/>
  <c r="E1007" i="37"/>
  <c r="E1006" i="37"/>
  <c r="E1005" i="37"/>
  <c r="E1004" i="37"/>
  <c r="E1003" i="37"/>
  <c r="E1002" i="37"/>
  <c r="E1001" i="37"/>
  <c r="E1000" i="37"/>
  <c r="E999" i="37"/>
  <c r="E998" i="37"/>
  <c r="E997" i="37"/>
  <c r="E996" i="37"/>
  <c r="E995" i="37"/>
  <c r="E994" i="37"/>
  <c r="E993" i="37"/>
  <c r="E992" i="37"/>
  <c r="E991" i="37"/>
  <c r="E990" i="37"/>
  <c r="E989" i="37"/>
  <c r="E988" i="37"/>
  <c r="E987" i="37"/>
  <c r="E986" i="37"/>
  <c r="E985" i="37"/>
  <c r="E984" i="37"/>
  <c r="E983" i="37"/>
  <c r="E982" i="37"/>
  <c r="E981" i="37"/>
  <c r="E980" i="37"/>
  <c r="E979" i="37"/>
  <c r="E978" i="37"/>
  <c r="E977" i="37"/>
  <c r="E976" i="37"/>
  <c r="E975" i="37"/>
  <c r="E974" i="37"/>
  <c r="E973" i="37"/>
  <c r="E972" i="37"/>
  <c r="E971" i="37"/>
  <c r="E970" i="37"/>
  <c r="E969" i="37"/>
  <c r="E968" i="37"/>
  <c r="E967" i="37"/>
  <c r="E966" i="37"/>
  <c r="E965" i="37"/>
  <c r="E964" i="37"/>
  <c r="E963" i="37"/>
  <c r="E962" i="37"/>
  <c r="E961" i="37"/>
  <c r="E960" i="37"/>
  <c r="E959" i="37"/>
  <c r="E958" i="37"/>
  <c r="E957" i="37"/>
  <c r="E956" i="37"/>
  <c r="E955" i="37"/>
  <c r="E954" i="37"/>
  <c r="E953" i="37"/>
  <c r="E952" i="37"/>
  <c r="E951" i="37"/>
  <c r="E950" i="37"/>
  <c r="E949" i="37"/>
  <c r="E948" i="37"/>
  <c r="E947" i="37"/>
  <c r="E946" i="37"/>
  <c r="E945" i="37"/>
  <c r="E944" i="37"/>
  <c r="E943" i="37"/>
  <c r="E942" i="37"/>
  <c r="E941" i="37"/>
  <c r="E940" i="37"/>
  <c r="E939" i="37"/>
  <c r="E938" i="37"/>
  <c r="E937" i="37"/>
  <c r="E936" i="37"/>
  <c r="E935" i="37"/>
  <c r="E934" i="37"/>
  <c r="E933" i="37"/>
  <c r="E932" i="37"/>
  <c r="E931" i="37"/>
  <c r="E930" i="37"/>
  <c r="E929" i="37"/>
  <c r="E928" i="37"/>
  <c r="E927" i="37"/>
  <c r="E926" i="37"/>
  <c r="E925" i="37"/>
  <c r="E924" i="37"/>
  <c r="E923" i="37"/>
  <c r="E922" i="37"/>
  <c r="E921" i="37"/>
  <c r="E920" i="37"/>
  <c r="E919" i="37"/>
  <c r="E918" i="37"/>
  <c r="E917" i="37"/>
  <c r="E916" i="37"/>
  <c r="E915" i="37"/>
  <c r="E914" i="37"/>
  <c r="E913" i="37"/>
  <c r="E912" i="37"/>
  <c r="E911" i="37"/>
  <c r="E910" i="37"/>
  <c r="E909" i="37"/>
  <c r="E908" i="37"/>
  <c r="E907" i="37"/>
  <c r="E906" i="37"/>
  <c r="E905" i="37"/>
  <c r="E904" i="37"/>
  <c r="E903" i="37"/>
  <c r="E902" i="37"/>
  <c r="E901" i="37"/>
  <c r="E900" i="37"/>
  <c r="E899" i="37"/>
  <c r="E898" i="37"/>
  <c r="E897" i="37"/>
  <c r="E896" i="37"/>
  <c r="E895" i="37"/>
  <c r="E894" i="37"/>
  <c r="E893" i="37"/>
  <c r="E892" i="37"/>
  <c r="E891" i="37"/>
  <c r="E890" i="37"/>
  <c r="E889" i="37"/>
  <c r="E888" i="37"/>
  <c r="E887" i="37"/>
  <c r="E886" i="37"/>
  <c r="E885" i="37"/>
  <c r="E884" i="37"/>
  <c r="E883" i="37"/>
  <c r="E882" i="37"/>
  <c r="E881" i="37"/>
  <c r="E880" i="37"/>
  <c r="E879" i="37"/>
  <c r="E878" i="37"/>
  <c r="E877" i="37"/>
  <c r="E876" i="37"/>
  <c r="E875" i="37"/>
  <c r="E874" i="37"/>
  <c r="E873" i="37"/>
  <c r="E872" i="37"/>
  <c r="E871" i="37"/>
  <c r="E870" i="37"/>
  <c r="E869" i="37"/>
  <c r="E868" i="37"/>
  <c r="E867" i="37"/>
  <c r="E866" i="37"/>
  <c r="E865" i="37"/>
  <c r="E864" i="37"/>
  <c r="E863" i="37"/>
  <c r="E862" i="37"/>
  <c r="E861" i="37"/>
  <c r="E860" i="37"/>
  <c r="E859" i="37"/>
  <c r="E858" i="37"/>
  <c r="E857" i="37"/>
  <c r="E856" i="37"/>
  <c r="E855" i="37"/>
  <c r="E854" i="37"/>
  <c r="E853" i="37"/>
  <c r="E852" i="37"/>
  <c r="E851" i="37"/>
  <c r="E850" i="37"/>
  <c r="E849" i="37"/>
  <c r="E848" i="37"/>
  <c r="E847" i="37"/>
  <c r="E846" i="37"/>
  <c r="E845" i="37"/>
  <c r="E844" i="37"/>
  <c r="E843" i="37"/>
  <c r="E842" i="37"/>
  <c r="E841" i="37"/>
  <c r="E840" i="37"/>
  <c r="E839" i="37"/>
  <c r="E838" i="37"/>
  <c r="E837" i="37"/>
  <c r="E836" i="37"/>
  <c r="E835" i="37"/>
  <c r="E834" i="37"/>
  <c r="E833" i="37"/>
  <c r="E832" i="37"/>
  <c r="E831" i="37"/>
  <c r="E830" i="37"/>
  <c r="E829" i="37"/>
  <c r="E828" i="37"/>
  <c r="E827" i="37"/>
  <c r="E826" i="37"/>
  <c r="E825" i="37"/>
  <c r="E824" i="37"/>
  <c r="E823" i="37"/>
  <c r="E822" i="37"/>
  <c r="E821" i="37"/>
  <c r="E820" i="37"/>
  <c r="E819" i="37"/>
  <c r="E818" i="37"/>
  <c r="E817" i="37"/>
  <c r="E816" i="37"/>
  <c r="E815" i="37"/>
  <c r="E814" i="37"/>
  <c r="E813" i="37"/>
  <c r="E812" i="37"/>
  <c r="E811" i="37"/>
  <c r="E810" i="37"/>
  <c r="E809" i="37"/>
  <c r="E808" i="37"/>
  <c r="E807" i="37"/>
  <c r="E806" i="37"/>
  <c r="E805" i="37"/>
  <c r="E804" i="37"/>
  <c r="E803" i="37"/>
  <c r="E802" i="37"/>
  <c r="E801" i="37"/>
  <c r="E800" i="37"/>
  <c r="E799" i="37"/>
  <c r="E798" i="37"/>
  <c r="E797" i="37"/>
  <c r="E796" i="37"/>
  <c r="E795" i="37"/>
  <c r="E794" i="37"/>
  <c r="E793" i="37"/>
  <c r="E792" i="37"/>
  <c r="E791" i="37"/>
  <c r="E790" i="37"/>
  <c r="E789" i="37"/>
  <c r="E788" i="37"/>
  <c r="E787" i="37"/>
  <c r="E786" i="37"/>
  <c r="E785" i="37"/>
  <c r="E784" i="37"/>
  <c r="E783" i="37"/>
  <c r="E782" i="37"/>
  <c r="E781" i="37"/>
  <c r="E780" i="37"/>
  <c r="E779" i="37"/>
  <c r="E778" i="37"/>
  <c r="E777" i="37"/>
  <c r="E776" i="37"/>
  <c r="E775" i="37"/>
  <c r="E774" i="37"/>
  <c r="E773" i="37"/>
  <c r="E772" i="37"/>
  <c r="E771" i="37"/>
  <c r="E770" i="37"/>
  <c r="E769" i="37"/>
  <c r="E768" i="37"/>
  <c r="E767" i="37"/>
  <c r="E766" i="37"/>
  <c r="E765" i="37"/>
  <c r="E764" i="37"/>
  <c r="E763" i="37"/>
  <c r="E762" i="37"/>
  <c r="E761" i="37"/>
  <c r="E760" i="37"/>
  <c r="E759" i="37"/>
  <c r="E758" i="37"/>
  <c r="E757" i="37"/>
  <c r="E756" i="37"/>
  <c r="E755" i="37"/>
  <c r="E754" i="37"/>
  <c r="E753" i="37"/>
  <c r="E752" i="37"/>
  <c r="E751" i="37"/>
  <c r="E750" i="37"/>
  <c r="E749" i="37"/>
  <c r="E748" i="37"/>
  <c r="E747" i="37"/>
  <c r="E746" i="37"/>
  <c r="E745" i="37"/>
  <c r="E744" i="37"/>
  <c r="E743" i="37"/>
  <c r="E742" i="37"/>
  <c r="E741" i="37"/>
  <c r="E740" i="37"/>
  <c r="E739" i="37"/>
  <c r="E738" i="37"/>
  <c r="E737" i="37"/>
  <c r="E736" i="37"/>
  <c r="E735" i="37"/>
  <c r="E734" i="37"/>
  <c r="E733" i="37"/>
  <c r="E732" i="37"/>
  <c r="E731" i="37"/>
  <c r="E730" i="37"/>
  <c r="E729" i="37"/>
  <c r="E728" i="37"/>
  <c r="E727" i="37"/>
  <c r="E726" i="37"/>
  <c r="E725" i="37"/>
  <c r="E724" i="37"/>
  <c r="E723" i="37"/>
  <c r="E722" i="37"/>
  <c r="E721" i="37"/>
  <c r="E720" i="37"/>
  <c r="E719" i="37"/>
  <c r="E718" i="37"/>
  <c r="E717" i="37"/>
  <c r="E716" i="37"/>
  <c r="E715" i="37"/>
  <c r="E714" i="37"/>
  <c r="E713" i="37"/>
  <c r="E712" i="37"/>
  <c r="E711" i="37"/>
  <c r="E710" i="37"/>
  <c r="E709" i="37"/>
  <c r="E708" i="37"/>
  <c r="E707" i="37"/>
  <c r="E706" i="37"/>
  <c r="E705" i="37"/>
  <c r="E704" i="37"/>
  <c r="E703" i="37"/>
  <c r="E702" i="37"/>
  <c r="E701" i="37"/>
  <c r="E700" i="37"/>
  <c r="E699" i="37"/>
  <c r="E698" i="37"/>
  <c r="E697" i="37"/>
  <c r="E696" i="37"/>
  <c r="E695" i="37"/>
  <c r="E694" i="37"/>
  <c r="E693" i="37"/>
  <c r="E692" i="37"/>
  <c r="E691" i="37"/>
  <c r="E690" i="37"/>
  <c r="E689" i="37"/>
  <c r="E688" i="37"/>
  <c r="E687" i="37"/>
  <c r="E686" i="37"/>
  <c r="E685" i="37"/>
  <c r="E684" i="37"/>
  <c r="E683" i="37"/>
  <c r="E682" i="37"/>
  <c r="E681" i="37"/>
  <c r="E680" i="37"/>
  <c r="E679" i="37"/>
  <c r="E678" i="37"/>
  <c r="E677" i="37"/>
  <c r="E676" i="37"/>
  <c r="E675" i="37"/>
  <c r="E674" i="37"/>
  <c r="E673" i="37"/>
  <c r="E672" i="37"/>
  <c r="E671" i="37"/>
  <c r="E670" i="37"/>
  <c r="E669" i="37"/>
  <c r="E668" i="37"/>
  <c r="E667" i="37"/>
  <c r="E666" i="37"/>
  <c r="E665" i="37"/>
  <c r="E664" i="37"/>
  <c r="E663" i="37"/>
  <c r="E662" i="37"/>
  <c r="E661" i="37"/>
  <c r="E660" i="37"/>
  <c r="E659" i="37"/>
  <c r="E658" i="37"/>
  <c r="E657" i="37"/>
  <c r="E656" i="37"/>
  <c r="E655" i="37"/>
  <c r="E654" i="37"/>
  <c r="E653" i="37"/>
  <c r="E652" i="37"/>
  <c r="E651" i="37"/>
  <c r="E650" i="37"/>
  <c r="E649" i="37"/>
  <c r="E648" i="37"/>
  <c r="E647" i="37"/>
  <c r="E646" i="37"/>
  <c r="E645" i="37"/>
  <c r="E644" i="37"/>
  <c r="E643" i="37"/>
  <c r="E642" i="37"/>
  <c r="E641" i="37"/>
  <c r="E640" i="37"/>
  <c r="E639" i="37"/>
  <c r="E638" i="37"/>
  <c r="E637" i="37"/>
  <c r="E636" i="37"/>
  <c r="E635" i="37"/>
  <c r="E634" i="37"/>
  <c r="E633" i="37"/>
  <c r="E632" i="37"/>
  <c r="E631" i="37"/>
  <c r="E630" i="37"/>
  <c r="E629" i="37"/>
  <c r="E628" i="37"/>
  <c r="E627" i="37"/>
  <c r="E626" i="37"/>
  <c r="E625" i="37"/>
  <c r="E624" i="37"/>
  <c r="E623" i="37"/>
  <c r="E622" i="37"/>
  <c r="E621" i="37"/>
  <c r="E620" i="37"/>
  <c r="E619" i="37"/>
  <c r="E618" i="37"/>
  <c r="E617" i="37"/>
  <c r="E616" i="37"/>
  <c r="E615" i="37"/>
  <c r="E614" i="37"/>
  <c r="E613" i="37"/>
  <c r="E612" i="37"/>
  <c r="E611" i="37"/>
  <c r="E610" i="37"/>
  <c r="E609" i="37"/>
  <c r="E608" i="37"/>
  <c r="E607" i="37"/>
  <c r="E606" i="37"/>
  <c r="E605" i="37"/>
  <c r="E604" i="37"/>
  <c r="E603" i="37"/>
  <c r="E602" i="37"/>
  <c r="E601" i="37"/>
  <c r="E600" i="37"/>
  <c r="E599" i="37"/>
  <c r="E598" i="37"/>
  <c r="E597" i="37"/>
  <c r="E596" i="37"/>
  <c r="E595" i="37"/>
  <c r="E594" i="37"/>
  <c r="E593" i="37"/>
  <c r="E592" i="37"/>
  <c r="E591" i="37"/>
  <c r="E590" i="37"/>
  <c r="E589" i="37"/>
  <c r="E588" i="37"/>
  <c r="E587" i="37"/>
  <c r="E586" i="37"/>
  <c r="E585" i="37"/>
  <c r="E584" i="37"/>
  <c r="E583" i="37"/>
  <c r="E582" i="37"/>
  <c r="E581" i="37"/>
  <c r="E580" i="37"/>
  <c r="E579" i="37"/>
  <c r="E578" i="37"/>
  <c r="E577" i="37"/>
  <c r="E576" i="37"/>
  <c r="E575" i="37"/>
  <c r="E574" i="37"/>
  <c r="E573" i="37"/>
  <c r="E572" i="37"/>
  <c r="E571" i="37"/>
  <c r="E570" i="37"/>
  <c r="E569" i="37"/>
  <c r="E568" i="37"/>
  <c r="E567" i="37"/>
  <c r="E566" i="37"/>
  <c r="E565" i="37"/>
  <c r="E564" i="37"/>
  <c r="E563" i="37"/>
  <c r="E562" i="37"/>
  <c r="E561" i="37"/>
  <c r="E560" i="37"/>
  <c r="E559" i="37"/>
  <c r="E558" i="37"/>
  <c r="E557" i="37"/>
  <c r="E556" i="37"/>
  <c r="E555" i="37"/>
  <c r="E554" i="37"/>
  <c r="E553" i="37"/>
  <c r="E552" i="37"/>
  <c r="E551" i="37"/>
  <c r="E550" i="37"/>
  <c r="E549" i="37"/>
  <c r="E548" i="37"/>
  <c r="E547" i="37"/>
  <c r="E546" i="37"/>
  <c r="E545" i="37"/>
  <c r="E544" i="37"/>
  <c r="E543" i="37"/>
  <c r="E542" i="37"/>
  <c r="E541" i="37"/>
  <c r="E540" i="37"/>
  <c r="E539" i="37"/>
  <c r="E538" i="37"/>
  <c r="E537" i="37"/>
  <c r="E536" i="37"/>
  <c r="E535" i="37"/>
  <c r="E534" i="37"/>
  <c r="E533" i="37"/>
  <c r="E532" i="37"/>
  <c r="E531" i="37"/>
  <c r="E530" i="37"/>
  <c r="E529" i="37"/>
  <c r="E528" i="37"/>
  <c r="E527" i="37"/>
  <c r="E526" i="37"/>
  <c r="E525" i="37"/>
  <c r="E524" i="37"/>
  <c r="E523" i="37"/>
  <c r="E522" i="37"/>
  <c r="E521" i="37"/>
  <c r="E520" i="37"/>
  <c r="E519" i="37"/>
  <c r="E518" i="37"/>
  <c r="E517" i="37"/>
  <c r="E516" i="37"/>
  <c r="E515" i="37"/>
  <c r="E514" i="37"/>
  <c r="E513" i="37"/>
  <c r="E512" i="37"/>
  <c r="E511" i="37"/>
  <c r="E510" i="37"/>
  <c r="E509" i="37"/>
  <c r="E508" i="37"/>
  <c r="E507" i="37"/>
  <c r="E506" i="37"/>
  <c r="E505" i="37"/>
  <c r="E504" i="37"/>
  <c r="E503" i="37"/>
  <c r="E502" i="37"/>
  <c r="E501" i="37"/>
  <c r="E500" i="37"/>
  <c r="E499" i="37"/>
  <c r="E498" i="37"/>
  <c r="E497" i="37"/>
  <c r="E496" i="37"/>
  <c r="E495" i="37"/>
  <c r="E494" i="37"/>
  <c r="E493" i="37"/>
  <c r="E492" i="37"/>
  <c r="E491" i="37"/>
  <c r="E490" i="37"/>
  <c r="E489" i="37"/>
  <c r="E488" i="37"/>
  <c r="E487" i="37"/>
  <c r="E486" i="37"/>
  <c r="E485" i="37"/>
  <c r="E484" i="37"/>
  <c r="E483" i="37"/>
  <c r="E482" i="37"/>
  <c r="E481" i="37"/>
  <c r="E480" i="37"/>
  <c r="E479" i="37"/>
  <c r="E478" i="37"/>
  <c r="E477" i="37"/>
  <c r="E476" i="37"/>
  <c r="E475" i="37"/>
  <c r="E474" i="37"/>
  <c r="E473" i="37"/>
  <c r="E472" i="37"/>
  <c r="E471" i="37"/>
  <c r="E470" i="37"/>
  <c r="E469" i="37"/>
  <c r="E468" i="37"/>
  <c r="E467" i="37"/>
  <c r="E466" i="37"/>
  <c r="E465" i="37"/>
  <c r="E464" i="37"/>
  <c r="E463" i="37"/>
  <c r="E462" i="37"/>
  <c r="E461" i="37"/>
  <c r="E460" i="37"/>
  <c r="E459" i="37"/>
  <c r="E458" i="37"/>
  <c r="E457" i="37"/>
  <c r="E456" i="37"/>
  <c r="E455" i="37"/>
  <c r="E454" i="37"/>
  <c r="E453" i="37"/>
  <c r="E452" i="37"/>
  <c r="E451" i="37"/>
  <c r="E450" i="37"/>
  <c r="E449" i="37"/>
  <c r="E448" i="37"/>
  <c r="E447" i="37"/>
  <c r="E446" i="37"/>
  <c r="E445" i="37"/>
  <c r="E444" i="37"/>
  <c r="E443" i="37"/>
  <c r="E442" i="37"/>
  <c r="E441" i="37"/>
  <c r="E440" i="37"/>
  <c r="E439" i="37"/>
  <c r="E438" i="37"/>
  <c r="E437" i="37"/>
  <c r="E436" i="37"/>
  <c r="E435" i="37"/>
  <c r="E434" i="37"/>
  <c r="E433" i="37"/>
  <c r="E432" i="37"/>
  <c r="E431" i="37"/>
  <c r="E430" i="37"/>
  <c r="E429" i="37"/>
  <c r="E428" i="37"/>
  <c r="E427" i="37"/>
  <c r="E426" i="37"/>
  <c r="E425" i="37"/>
  <c r="E424" i="37"/>
  <c r="E423" i="37"/>
  <c r="E422" i="37"/>
  <c r="E421" i="37"/>
  <c r="E420" i="37"/>
  <c r="E419" i="37"/>
  <c r="E418" i="37"/>
  <c r="E417" i="37"/>
  <c r="E416" i="37"/>
  <c r="E415" i="37"/>
  <c r="E414" i="37"/>
  <c r="E413" i="37"/>
  <c r="E412" i="37"/>
  <c r="E411" i="37"/>
  <c r="E410" i="37"/>
  <c r="E409" i="37"/>
  <c r="E408" i="37"/>
  <c r="E407" i="37"/>
  <c r="E406" i="37"/>
  <c r="E405" i="37"/>
  <c r="E404" i="37"/>
  <c r="E403" i="37"/>
  <c r="E402" i="37"/>
  <c r="E401" i="37"/>
  <c r="E400" i="37"/>
  <c r="E399" i="37"/>
  <c r="E398" i="37"/>
  <c r="E397" i="37"/>
  <c r="E396" i="37"/>
  <c r="E395" i="37"/>
  <c r="E394" i="37"/>
  <c r="E393" i="37"/>
  <c r="E392" i="37"/>
  <c r="E391" i="37"/>
  <c r="E390" i="37"/>
  <c r="E389" i="37"/>
  <c r="E388" i="37"/>
  <c r="E387" i="37"/>
  <c r="E386" i="37"/>
  <c r="E385" i="37"/>
  <c r="E384" i="37"/>
  <c r="E383" i="37"/>
  <c r="E382" i="37"/>
  <c r="E381" i="37"/>
  <c r="E380" i="37"/>
  <c r="E379" i="37"/>
  <c r="E378" i="37"/>
  <c r="E377" i="37"/>
  <c r="E376" i="37"/>
  <c r="E375" i="37"/>
  <c r="E374" i="37"/>
  <c r="E373" i="37"/>
  <c r="E372" i="37"/>
  <c r="E371" i="37"/>
  <c r="E370" i="37"/>
  <c r="E369" i="37"/>
  <c r="E368" i="37"/>
  <c r="E367" i="37"/>
  <c r="E366" i="37"/>
  <c r="E365" i="37"/>
  <c r="E364" i="37"/>
  <c r="E363" i="37"/>
  <c r="E362" i="37"/>
  <c r="E361" i="37"/>
  <c r="E360" i="37"/>
  <c r="E359" i="37"/>
  <c r="E358" i="37"/>
  <c r="E357" i="37"/>
  <c r="E356" i="37"/>
  <c r="E355" i="37"/>
  <c r="E354" i="37"/>
  <c r="E353" i="37"/>
  <c r="E352" i="37"/>
  <c r="E351" i="37"/>
  <c r="E350" i="37"/>
  <c r="E349" i="37"/>
  <c r="E348" i="37"/>
  <c r="E347" i="37"/>
  <c r="E346" i="37"/>
  <c r="E345" i="37"/>
  <c r="E344" i="37"/>
  <c r="E343" i="37"/>
  <c r="E342" i="37"/>
  <c r="E341" i="37"/>
  <c r="E340" i="37"/>
  <c r="E339" i="37"/>
  <c r="E338" i="37"/>
  <c r="E337" i="37"/>
  <c r="E336" i="37"/>
  <c r="E335" i="37"/>
  <c r="E334" i="37"/>
  <c r="E333" i="37"/>
  <c r="E332" i="37"/>
  <c r="E331" i="37"/>
  <c r="E330" i="37"/>
  <c r="E329" i="37"/>
  <c r="E328" i="37"/>
  <c r="E327" i="37"/>
  <c r="E326" i="37"/>
  <c r="E325" i="37"/>
  <c r="E324" i="37"/>
  <c r="E323" i="37"/>
  <c r="E322" i="37"/>
  <c r="E321" i="37"/>
  <c r="E320" i="37"/>
  <c r="E319" i="37"/>
  <c r="E318" i="37"/>
  <c r="E317" i="37"/>
  <c r="E316" i="37"/>
  <c r="E315" i="37"/>
  <c r="E314" i="37"/>
  <c r="E313" i="37"/>
  <c r="E312" i="37"/>
  <c r="E311" i="37"/>
  <c r="E310" i="37"/>
  <c r="E309" i="37"/>
  <c r="E308" i="37"/>
  <c r="E307" i="37"/>
  <c r="E306" i="37"/>
  <c r="E305" i="37"/>
  <c r="E304" i="37"/>
  <c r="E303" i="37"/>
  <c r="E302" i="37"/>
  <c r="E301" i="37"/>
  <c r="E300" i="37"/>
  <c r="E299" i="37"/>
  <c r="E298" i="37"/>
  <c r="E297" i="37"/>
  <c r="E296" i="37"/>
  <c r="E295" i="37"/>
  <c r="E294" i="37"/>
  <c r="E293" i="37"/>
  <c r="E292" i="37"/>
  <c r="E291" i="37"/>
  <c r="E290" i="37"/>
  <c r="E289" i="37"/>
  <c r="E288" i="37"/>
  <c r="E287" i="37"/>
  <c r="E286" i="37"/>
  <c r="E285" i="37"/>
  <c r="E284" i="37"/>
  <c r="E283" i="37"/>
  <c r="E282" i="37"/>
  <c r="E281" i="37"/>
  <c r="E280" i="37"/>
  <c r="E279" i="37"/>
  <c r="E278" i="37"/>
  <c r="E277" i="37"/>
  <c r="E276" i="37"/>
  <c r="E275" i="37"/>
  <c r="E274" i="37"/>
  <c r="E273" i="37"/>
  <c r="E272" i="37"/>
  <c r="E271" i="37"/>
  <c r="E270" i="37"/>
  <c r="E269" i="37"/>
  <c r="E268" i="37"/>
  <c r="E267" i="37"/>
  <c r="E266" i="37"/>
  <c r="E265" i="37"/>
  <c r="E264" i="37"/>
  <c r="E263" i="37"/>
  <c r="E262" i="37"/>
  <c r="E261" i="37"/>
  <c r="E260" i="37"/>
  <c r="E259" i="37"/>
  <c r="E258" i="37"/>
  <c r="E257" i="37"/>
  <c r="E256" i="37"/>
  <c r="E255" i="37"/>
  <c r="E254" i="37"/>
  <c r="E253" i="37"/>
  <c r="E252" i="37"/>
  <c r="E251" i="37"/>
  <c r="E250" i="37"/>
  <c r="E249" i="37"/>
  <c r="E248" i="37"/>
  <c r="E247" i="37"/>
  <c r="E246" i="37"/>
  <c r="E245" i="37"/>
  <c r="E244" i="37"/>
  <c r="E243" i="37"/>
  <c r="E242" i="37"/>
  <c r="E241" i="37"/>
  <c r="E240" i="37"/>
  <c r="E239" i="37"/>
  <c r="E238" i="37"/>
  <c r="E237" i="37"/>
  <c r="E236" i="37"/>
  <c r="E235" i="37"/>
  <c r="E234" i="37"/>
  <c r="E233" i="37"/>
  <c r="E232" i="37"/>
  <c r="E231" i="37"/>
  <c r="E230" i="37"/>
  <c r="E229" i="37"/>
  <c r="E228" i="37"/>
  <c r="E227" i="37"/>
  <c r="E226" i="37"/>
  <c r="E225" i="37"/>
  <c r="E224" i="37"/>
  <c r="E223" i="37"/>
  <c r="E222" i="37"/>
  <c r="E221" i="37"/>
  <c r="E220" i="37"/>
  <c r="E219" i="37"/>
  <c r="E218" i="37"/>
  <c r="E217" i="37"/>
  <c r="E216" i="37"/>
  <c r="E215" i="37"/>
  <c r="E214" i="37"/>
  <c r="E213" i="37"/>
  <c r="E212" i="37"/>
  <c r="E211" i="37"/>
  <c r="E210" i="37"/>
  <c r="E209" i="37"/>
  <c r="E208" i="37"/>
  <c r="E207" i="37"/>
  <c r="E206" i="37"/>
  <c r="E205" i="37"/>
  <c r="E204" i="37"/>
  <c r="E203" i="37"/>
  <c r="E202" i="37"/>
  <c r="E201" i="37"/>
  <c r="E200" i="37"/>
  <c r="E199" i="37"/>
  <c r="E198" i="37"/>
  <c r="E197" i="37"/>
  <c r="E196" i="37"/>
  <c r="E195" i="37"/>
  <c r="E194" i="37"/>
  <c r="E193" i="37"/>
  <c r="E192" i="37"/>
  <c r="E191" i="37"/>
  <c r="E190" i="37"/>
  <c r="E189" i="37"/>
  <c r="E188" i="37"/>
  <c r="E187" i="37"/>
  <c r="E186" i="37"/>
  <c r="E185" i="37"/>
  <c r="E184" i="37"/>
  <c r="E183" i="37"/>
  <c r="E182" i="37"/>
  <c r="E181" i="37"/>
  <c r="E180" i="37"/>
  <c r="E179" i="37"/>
  <c r="E178" i="37"/>
  <c r="E177" i="37"/>
  <c r="E176" i="37"/>
  <c r="E175" i="37"/>
  <c r="E174" i="37"/>
  <c r="E173" i="37"/>
  <c r="E172" i="37"/>
  <c r="E171" i="37"/>
  <c r="E170" i="37"/>
  <c r="E169" i="37"/>
  <c r="E168" i="37"/>
  <c r="E167" i="37"/>
  <c r="E166" i="37"/>
  <c r="E165" i="37"/>
  <c r="E164" i="37"/>
  <c r="E163" i="37"/>
  <c r="E162" i="37"/>
  <c r="E161" i="37"/>
  <c r="E160" i="37"/>
  <c r="E159" i="37"/>
  <c r="E158" i="37"/>
  <c r="E157" i="37"/>
  <c r="E156" i="37"/>
  <c r="E155" i="37"/>
  <c r="E154" i="37"/>
  <c r="E153" i="37"/>
  <c r="E152" i="37"/>
  <c r="E151" i="37"/>
  <c r="E150" i="37"/>
  <c r="E149" i="37"/>
  <c r="E148" i="37"/>
  <c r="E147" i="37"/>
  <c r="E146" i="37"/>
  <c r="E145" i="37"/>
  <c r="E144" i="37"/>
  <c r="E143" i="37"/>
  <c r="E142" i="37"/>
  <c r="E141" i="37"/>
  <c r="E140" i="37"/>
  <c r="E139" i="37"/>
  <c r="E138" i="37"/>
  <c r="E137" i="37"/>
  <c r="E136" i="37"/>
  <c r="E135" i="37"/>
  <c r="E134" i="37"/>
  <c r="E133" i="37"/>
  <c r="E132" i="37"/>
  <c r="E131" i="37"/>
  <c r="E130" i="37"/>
  <c r="E129" i="37"/>
  <c r="E128" i="37"/>
  <c r="E127" i="37"/>
  <c r="E126" i="37"/>
  <c r="E125" i="37"/>
  <c r="E124" i="37"/>
  <c r="E123" i="37"/>
  <c r="E122" i="37"/>
  <c r="E121" i="37"/>
  <c r="E120" i="37"/>
  <c r="E119" i="37"/>
  <c r="E118" i="37"/>
  <c r="E117" i="37"/>
  <c r="E116" i="37"/>
  <c r="E115" i="37"/>
  <c r="E114" i="37"/>
  <c r="E113" i="37"/>
  <c r="E112" i="37"/>
  <c r="E111" i="37"/>
  <c r="E110" i="37"/>
  <c r="E109" i="37"/>
  <c r="E108" i="37"/>
  <c r="E107" i="37"/>
  <c r="E106" i="37"/>
  <c r="E105" i="37"/>
  <c r="E104" i="37"/>
  <c r="E103" i="37"/>
  <c r="E102" i="37"/>
  <c r="E101" i="37"/>
  <c r="E100" i="37"/>
  <c r="E99" i="37"/>
  <c r="E98" i="37"/>
  <c r="E97" i="37"/>
  <c r="E96" i="37"/>
  <c r="E95" i="37"/>
  <c r="E94" i="37"/>
  <c r="E93" i="37"/>
  <c r="E92" i="37"/>
  <c r="E91" i="37"/>
  <c r="E90" i="37"/>
  <c r="E89" i="37"/>
  <c r="E88" i="37"/>
  <c r="E87" i="37"/>
  <c r="E86" i="37"/>
  <c r="E85" i="37"/>
  <c r="E84" i="37"/>
  <c r="E83" i="37"/>
  <c r="E82" i="37"/>
  <c r="E81" i="37"/>
  <c r="E80" i="37"/>
  <c r="E79" i="37"/>
  <c r="E78" i="37"/>
  <c r="E77" i="37"/>
  <c r="E76" i="37"/>
  <c r="E75" i="37"/>
  <c r="E74" i="37"/>
  <c r="E73" i="37"/>
  <c r="E72" i="37"/>
  <c r="E71" i="37"/>
  <c r="E70" i="37"/>
  <c r="E69" i="37"/>
  <c r="E68" i="37"/>
  <c r="E67" i="37"/>
  <c r="E66" i="37"/>
  <c r="E65" i="37"/>
  <c r="E64" i="37"/>
  <c r="E63" i="37"/>
  <c r="E62" i="37"/>
  <c r="E61" i="37"/>
  <c r="E60" i="37"/>
  <c r="E59" i="37"/>
  <c r="E58" i="37"/>
  <c r="E57" i="37"/>
  <c r="E56" i="37"/>
  <c r="E55" i="37"/>
  <c r="E54" i="37"/>
  <c r="E53" i="37"/>
  <c r="E52" i="37"/>
  <c r="E51" i="37"/>
  <c r="E50" i="37"/>
  <c r="E49" i="37"/>
  <c r="E48" i="37"/>
  <c r="E47" i="37"/>
  <c r="E46" i="37"/>
  <c r="E45" i="37"/>
  <c r="E44" i="37"/>
  <c r="E43" i="37"/>
  <c r="E42" i="37"/>
  <c r="E41" i="37"/>
  <c r="E40" i="37"/>
  <c r="E39" i="37"/>
  <c r="E38" i="37"/>
  <c r="E37" i="37"/>
  <c r="E36" i="37"/>
  <c r="E35" i="37"/>
  <c r="E34" i="37"/>
  <c r="E33" i="37"/>
  <c r="E32" i="37"/>
  <c r="E31" i="37"/>
  <c r="E30" i="37"/>
  <c r="E29" i="37"/>
  <c r="E28" i="37"/>
  <c r="E27" i="37"/>
  <c r="E26" i="37"/>
  <c r="E25" i="37"/>
  <c r="E24" i="37"/>
  <c r="E23" i="37"/>
  <c r="E22" i="37"/>
  <c r="E21" i="37"/>
  <c r="E20" i="37"/>
  <c r="E19" i="37"/>
  <c r="E18" i="37"/>
  <c r="E17" i="37"/>
  <c r="E16" i="37"/>
  <c r="E15" i="37"/>
  <c r="E14" i="37"/>
  <c r="E13" i="37"/>
  <c r="E12" i="37"/>
  <c r="E11" i="37"/>
  <c r="E10" i="37"/>
  <c r="E9" i="37"/>
  <c r="E8" i="37"/>
  <c r="E7" i="37"/>
  <c r="E6" i="37"/>
  <c r="E5" i="37"/>
  <c r="E4" i="37"/>
  <c r="E3" i="37"/>
  <c r="E2" i="37"/>
  <c r="E1" i="37"/>
  <c r="E4" i="36"/>
  <c r="E5" i="36" s="1"/>
  <c r="E6" i="36" s="1"/>
  <c r="E7" i="36" s="1"/>
  <c r="E8" i="36" s="1"/>
  <c r="E9" i="36" s="1"/>
  <c r="E10" i="36" s="1"/>
  <c r="E11" i="36" s="1"/>
  <c r="E12" i="36" s="1"/>
  <c r="E13" i="36" s="1"/>
  <c r="E14" i="36" s="1"/>
  <c r="E15" i="36" s="1"/>
  <c r="E16" i="36" s="1"/>
  <c r="E17" i="36" s="1"/>
  <c r="E18" i="36" s="1"/>
  <c r="E19" i="36" s="1"/>
  <c r="E20" i="36" s="1"/>
  <c r="E21" i="36" s="1"/>
  <c r="E22" i="36" s="1"/>
  <c r="E23" i="36" s="1"/>
  <c r="E24" i="36" s="1"/>
  <c r="E25" i="36" s="1"/>
  <c r="E26" i="36" s="1"/>
  <c r="E27" i="36" s="1"/>
  <c r="E28" i="36" s="1"/>
  <c r="E29" i="36" s="1"/>
  <c r="E30" i="36" s="1"/>
  <c r="E31" i="36" s="1"/>
  <c r="E32" i="36" s="1"/>
  <c r="E33" i="36" s="1"/>
  <c r="E34" i="36" s="1"/>
  <c r="E35" i="36" s="1"/>
  <c r="E36" i="36" s="1"/>
  <c r="E37" i="36" s="1"/>
  <c r="E38" i="36" s="1"/>
  <c r="E39" i="36" s="1"/>
  <c r="E40" i="36" s="1"/>
  <c r="E41" i="36" s="1"/>
  <c r="E42" i="36" s="1"/>
  <c r="E43" i="36" s="1"/>
  <c r="E44" i="36" s="1"/>
  <c r="E45" i="36" s="1"/>
  <c r="E46" i="36" s="1"/>
  <c r="E47" i="36" s="1"/>
  <c r="E48" i="36" s="1"/>
  <c r="E49" i="36" s="1"/>
  <c r="E50" i="36" s="1"/>
  <c r="E51" i="36" s="1"/>
  <c r="E52" i="36" s="1"/>
  <c r="E53" i="36" s="1"/>
  <c r="E54" i="36" s="1"/>
  <c r="E55" i="36" s="1"/>
  <c r="E56" i="36" s="1"/>
  <c r="E57" i="36" s="1"/>
  <c r="E58" i="36" s="1"/>
  <c r="E59" i="36" s="1"/>
  <c r="E60" i="36" s="1"/>
  <c r="E61" i="36" s="1"/>
  <c r="E62" i="36" s="1"/>
  <c r="E63" i="36" s="1"/>
  <c r="E64" i="36" s="1"/>
  <c r="E65" i="36" s="1"/>
  <c r="E66" i="36" s="1"/>
  <c r="E67" i="36" s="1"/>
  <c r="E68" i="36" s="1"/>
  <c r="E69" i="36" s="1"/>
  <c r="E70" i="36" s="1"/>
  <c r="E71" i="36" s="1"/>
  <c r="E72" i="36" s="1"/>
  <c r="E73" i="36" s="1"/>
  <c r="E74" i="36" s="1"/>
  <c r="E75" i="36" s="1"/>
  <c r="E76" i="36" s="1"/>
  <c r="E77" i="36" s="1"/>
  <c r="E78" i="36" s="1"/>
  <c r="E79" i="36" s="1"/>
  <c r="E80" i="36" s="1"/>
  <c r="E81" i="36" s="1"/>
  <c r="E82" i="36" s="1"/>
  <c r="E83" i="36" s="1"/>
  <c r="E84" i="36" s="1"/>
  <c r="E85" i="36" s="1"/>
  <c r="E86" i="36" s="1"/>
  <c r="E87" i="36" s="1"/>
  <c r="E88" i="36" s="1"/>
  <c r="E89" i="36" s="1"/>
  <c r="E90" i="36" s="1"/>
  <c r="E91" i="36" s="1"/>
  <c r="E92" i="36" s="1"/>
  <c r="E93" i="36" s="1"/>
  <c r="E94" i="36" s="1"/>
  <c r="E95" i="36" s="1"/>
  <c r="E96" i="36" s="1"/>
  <c r="E97" i="36" s="1"/>
  <c r="E98" i="36" s="1"/>
  <c r="E99" i="36" s="1"/>
  <c r="E100" i="36" s="1"/>
  <c r="E101" i="36" s="1"/>
  <c r="E102" i="36" s="1"/>
  <c r="E103" i="36" s="1"/>
  <c r="E104" i="36" s="1"/>
  <c r="E105" i="36" s="1"/>
  <c r="E106" i="36" s="1"/>
  <c r="E107" i="36" s="1"/>
  <c r="E108" i="36" s="1"/>
  <c r="E109" i="36" s="1"/>
  <c r="E110" i="36" s="1"/>
  <c r="E111" i="36" s="1"/>
  <c r="E112" i="36" s="1"/>
  <c r="E113" i="36" s="1"/>
  <c r="E114" i="36" s="1"/>
  <c r="E115" i="36" s="1"/>
  <c r="E116" i="36" s="1"/>
  <c r="E117" i="36" s="1"/>
  <c r="E118" i="36" s="1"/>
  <c r="E119" i="36" s="1"/>
  <c r="E120" i="36" s="1"/>
  <c r="E121" i="36" s="1"/>
  <c r="E122" i="36" s="1"/>
  <c r="E123" i="36" s="1"/>
  <c r="E124" i="36" s="1"/>
  <c r="E125" i="36" s="1"/>
  <c r="E126" i="36" s="1"/>
  <c r="E127" i="36" s="1"/>
  <c r="E128" i="36" s="1"/>
  <c r="E129" i="36" s="1"/>
  <c r="E130" i="36" s="1"/>
  <c r="E131" i="36" s="1"/>
  <c r="E132" i="36" s="1"/>
  <c r="E133" i="36" s="1"/>
  <c r="E134" i="36" s="1"/>
  <c r="E135" i="36" s="1"/>
  <c r="E136" i="36" s="1"/>
  <c r="E137" i="36" s="1"/>
  <c r="E138" i="36" s="1"/>
  <c r="E139" i="36" s="1"/>
  <c r="E140" i="36" s="1"/>
  <c r="E141" i="36" s="1"/>
  <c r="E142" i="36" s="1"/>
  <c r="E143" i="36" s="1"/>
  <c r="E144" i="36" s="1"/>
  <c r="E145" i="36" s="1"/>
  <c r="E146" i="36" s="1"/>
  <c r="E147" i="36" s="1"/>
  <c r="E148" i="36" s="1"/>
  <c r="E149" i="36" s="1"/>
  <c r="E150" i="36" s="1"/>
  <c r="E151" i="36" s="1"/>
  <c r="E152" i="36" s="1"/>
  <c r="E153" i="36" s="1"/>
  <c r="E154" i="36" s="1"/>
  <c r="E155" i="36" s="1"/>
  <c r="E156" i="36" s="1"/>
  <c r="E157" i="36" s="1"/>
  <c r="E158" i="36" s="1"/>
  <c r="E159" i="36" s="1"/>
  <c r="E160" i="36" s="1"/>
  <c r="E161" i="36" s="1"/>
  <c r="E162" i="36" s="1"/>
  <c r="E163" i="36" s="1"/>
  <c r="E164" i="36" s="1"/>
  <c r="E165" i="36" s="1"/>
  <c r="E166" i="36" s="1"/>
  <c r="E167" i="36" s="1"/>
  <c r="E168" i="36" s="1"/>
  <c r="E169" i="36" s="1"/>
  <c r="E170" i="36" s="1"/>
  <c r="E171" i="36" s="1"/>
  <c r="E172" i="36" s="1"/>
  <c r="E173" i="36" s="1"/>
  <c r="E174" i="36" s="1"/>
  <c r="E175" i="36" s="1"/>
  <c r="E176" i="36" s="1"/>
  <c r="E177" i="36" s="1"/>
  <c r="E178" i="36" s="1"/>
  <c r="E179" i="36" s="1"/>
  <c r="E180" i="36" s="1"/>
  <c r="E181" i="36" s="1"/>
  <c r="E182" i="36" s="1"/>
  <c r="E183" i="36" s="1"/>
  <c r="E184" i="36" s="1"/>
  <c r="E185" i="36" s="1"/>
  <c r="E186" i="36" s="1"/>
  <c r="E187" i="36" s="1"/>
  <c r="E188" i="36" s="1"/>
  <c r="E189" i="36" s="1"/>
  <c r="E190" i="36" s="1"/>
  <c r="E191" i="36" s="1"/>
  <c r="E192" i="36" s="1"/>
  <c r="E193" i="36" s="1"/>
  <c r="E194" i="36" s="1"/>
  <c r="E195" i="36" s="1"/>
  <c r="E196" i="36" s="1"/>
  <c r="E197" i="36" s="1"/>
  <c r="E198" i="36" s="1"/>
  <c r="E199" i="36" s="1"/>
  <c r="E200" i="36" s="1"/>
  <c r="E201" i="36" s="1"/>
  <c r="E202" i="36" s="1"/>
  <c r="E203" i="36" s="1"/>
  <c r="E204" i="36" s="1"/>
  <c r="E205" i="36" s="1"/>
  <c r="E206" i="36" s="1"/>
  <c r="E207" i="36" s="1"/>
  <c r="E208" i="36" s="1"/>
  <c r="E209" i="36" s="1"/>
  <c r="E210" i="36" s="1"/>
  <c r="E211" i="36" s="1"/>
  <c r="E212" i="36" s="1"/>
  <c r="E213" i="36" s="1"/>
  <c r="E214" i="36" s="1"/>
  <c r="E215" i="36" s="1"/>
  <c r="E216" i="36" s="1"/>
  <c r="E217" i="36" s="1"/>
  <c r="E218" i="36" s="1"/>
  <c r="E219" i="36" s="1"/>
  <c r="E220" i="36" s="1"/>
  <c r="E221" i="36" s="1"/>
  <c r="E222" i="36" s="1"/>
  <c r="E223" i="36" s="1"/>
  <c r="E224" i="36" s="1"/>
  <c r="E225" i="36" s="1"/>
  <c r="E226" i="36" s="1"/>
  <c r="E227" i="36" s="1"/>
  <c r="E228" i="36" s="1"/>
  <c r="E229" i="36" s="1"/>
  <c r="E230" i="36" s="1"/>
  <c r="E231" i="36" s="1"/>
  <c r="E232" i="36" s="1"/>
  <c r="E233" i="36" s="1"/>
  <c r="E234" i="36" s="1"/>
  <c r="E235" i="36" s="1"/>
  <c r="E236" i="36" s="1"/>
  <c r="E237" i="36" s="1"/>
  <c r="E238" i="36" s="1"/>
  <c r="E239" i="36" s="1"/>
  <c r="E240" i="36" s="1"/>
  <c r="E241" i="36" s="1"/>
  <c r="E242" i="36" s="1"/>
  <c r="E243" i="36" s="1"/>
  <c r="E244" i="36" s="1"/>
  <c r="E245" i="36" s="1"/>
  <c r="E246" i="36" s="1"/>
  <c r="E247" i="36" s="1"/>
  <c r="E248" i="36" s="1"/>
  <c r="E249" i="36" s="1"/>
  <c r="E250" i="36" s="1"/>
  <c r="E251" i="36" s="1"/>
  <c r="E252" i="36" s="1"/>
  <c r="E253" i="36" s="1"/>
  <c r="E254" i="36" s="1"/>
  <c r="E255" i="36" s="1"/>
  <c r="E256" i="36" s="1"/>
  <c r="E257" i="36" s="1"/>
  <c r="E258" i="36" s="1"/>
  <c r="E259" i="36" s="1"/>
  <c r="E260" i="36" s="1"/>
  <c r="E261" i="36" s="1"/>
  <c r="E262" i="36" s="1"/>
  <c r="E263" i="36" s="1"/>
  <c r="E264" i="36" s="1"/>
  <c r="E265" i="36" s="1"/>
  <c r="E266" i="36" s="1"/>
  <c r="E267" i="36" s="1"/>
  <c r="E268" i="36" s="1"/>
  <c r="E269" i="36" s="1"/>
  <c r="E270" i="36" s="1"/>
  <c r="E271" i="36" s="1"/>
  <c r="E272" i="36" s="1"/>
  <c r="E273" i="36" s="1"/>
  <c r="E274" i="36" s="1"/>
  <c r="E275" i="36" s="1"/>
  <c r="E276" i="36" s="1"/>
  <c r="E277" i="36" s="1"/>
  <c r="E278" i="36" s="1"/>
  <c r="E279" i="36" s="1"/>
  <c r="E280" i="36" s="1"/>
  <c r="E281" i="36" s="1"/>
  <c r="E282" i="36" s="1"/>
  <c r="E283" i="36" s="1"/>
  <c r="E284" i="36" s="1"/>
  <c r="E285" i="36" s="1"/>
  <c r="E286" i="36" s="1"/>
  <c r="E287" i="36" s="1"/>
  <c r="E288" i="36" s="1"/>
  <c r="E289" i="36" s="1"/>
  <c r="E290" i="36" s="1"/>
  <c r="E291" i="36" s="1"/>
  <c r="E292" i="36" s="1"/>
  <c r="E293" i="36" s="1"/>
  <c r="E294" i="36" s="1"/>
  <c r="E295" i="36" s="1"/>
  <c r="E296" i="36" s="1"/>
  <c r="E297" i="36" s="1"/>
  <c r="E298" i="36" s="1"/>
  <c r="E299" i="36" s="1"/>
  <c r="E300" i="36" s="1"/>
  <c r="E301" i="36" s="1"/>
  <c r="E302" i="36" s="1"/>
  <c r="E303" i="36" s="1"/>
  <c r="E304" i="36" s="1"/>
  <c r="E305" i="36" s="1"/>
  <c r="E306" i="36" s="1"/>
  <c r="E307" i="36" s="1"/>
  <c r="E308" i="36" s="1"/>
  <c r="E309" i="36" s="1"/>
  <c r="E310" i="36" s="1"/>
  <c r="E311" i="36" s="1"/>
  <c r="E312" i="36" s="1"/>
  <c r="E313" i="36" s="1"/>
  <c r="E314" i="36" s="1"/>
  <c r="E315" i="36" s="1"/>
  <c r="E316" i="36" s="1"/>
  <c r="E317" i="36" s="1"/>
  <c r="E318" i="36" s="1"/>
  <c r="E319" i="36" s="1"/>
  <c r="E320" i="36" s="1"/>
  <c r="E321" i="36" s="1"/>
  <c r="E322" i="36" s="1"/>
  <c r="E323" i="36" s="1"/>
  <c r="E324" i="36" s="1"/>
  <c r="E325" i="36" s="1"/>
  <c r="E326" i="36" s="1"/>
  <c r="E327" i="36" s="1"/>
  <c r="E328" i="36" s="1"/>
  <c r="E329" i="36" s="1"/>
  <c r="E330" i="36" s="1"/>
  <c r="E331" i="36" s="1"/>
  <c r="E332" i="36" s="1"/>
  <c r="E333" i="36" s="1"/>
  <c r="E334" i="36" s="1"/>
  <c r="E335" i="36" s="1"/>
  <c r="E336" i="36" s="1"/>
  <c r="E337" i="36" s="1"/>
  <c r="E338" i="36" s="1"/>
  <c r="E339" i="36" s="1"/>
  <c r="E340" i="36" s="1"/>
  <c r="E341" i="36" s="1"/>
  <c r="E342" i="36" s="1"/>
  <c r="E343" i="36" s="1"/>
  <c r="E344" i="36" s="1"/>
  <c r="E345" i="36" s="1"/>
  <c r="E346" i="36" s="1"/>
  <c r="E347" i="36" s="1"/>
  <c r="E348" i="36" s="1"/>
  <c r="E349" i="36" s="1"/>
  <c r="E350" i="36" s="1"/>
  <c r="E351" i="36" s="1"/>
  <c r="E352" i="36" s="1"/>
  <c r="E353" i="36" s="1"/>
  <c r="E354" i="36" s="1"/>
  <c r="E355" i="36" s="1"/>
  <c r="E356" i="36" s="1"/>
  <c r="E357" i="36" s="1"/>
  <c r="E358" i="36" s="1"/>
  <c r="E359" i="36" s="1"/>
  <c r="E360" i="36" s="1"/>
  <c r="E361" i="36" s="1"/>
  <c r="E362" i="36" s="1"/>
  <c r="E363" i="36" s="1"/>
  <c r="E364" i="36" s="1"/>
  <c r="E365" i="36" s="1"/>
  <c r="E366" i="36" s="1"/>
  <c r="E367" i="36" s="1"/>
  <c r="E368" i="36" s="1"/>
  <c r="E369" i="36" s="1"/>
  <c r="E370" i="36" s="1"/>
  <c r="E371" i="36" s="1"/>
  <c r="E372" i="36" s="1"/>
  <c r="E373" i="36" s="1"/>
  <c r="E374" i="36" s="1"/>
  <c r="E375" i="36" s="1"/>
  <c r="E376" i="36" s="1"/>
  <c r="E377" i="36" s="1"/>
  <c r="E378" i="36" s="1"/>
  <c r="E379" i="36" s="1"/>
  <c r="E380" i="36" s="1"/>
  <c r="E381" i="36" s="1"/>
  <c r="E382" i="36" s="1"/>
  <c r="E383" i="36" s="1"/>
  <c r="E384" i="36" s="1"/>
  <c r="E385" i="36" s="1"/>
  <c r="E386" i="36" s="1"/>
  <c r="E387" i="36" s="1"/>
  <c r="E388" i="36" s="1"/>
  <c r="E389" i="36" s="1"/>
  <c r="E390" i="36" s="1"/>
  <c r="E391" i="36" s="1"/>
  <c r="E392" i="36" s="1"/>
  <c r="E393" i="36" s="1"/>
  <c r="E394" i="36" s="1"/>
  <c r="E395" i="36" s="1"/>
  <c r="E396" i="36" s="1"/>
  <c r="E397" i="36" s="1"/>
  <c r="E398" i="36" s="1"/>
  <c r="E399" i="36" s="1"/>
  <c r="E400" i="36" s="1"/>
  <c r="E401" i="36" s="1"/>
  <c r="E402" i="36" s="1"/>
  <c r="E403" i="36" s="1"/>
  <c r="E404" i="36" s="1"/>
  <c r="E405" i="36" s="1"/>
  <c r="E406" i="36" s="1"/>
  <c r="E407" i="36" s="1"/>
  <c r="E408" i="36" s="1"/>
  <c r="E409" i="36" s="1"/>
  <c r="E410" i="36" s="1"/>
  <c r="E411" i="36" s="1"/>
  <c r="E412" i="36" s="1"/>
  <c r="E413" i="36" s="1"/>
  <c r="E414" i="36" s="1"/>
  <c r="E415" i="36" s="1"/>
  <c r="E416" i="36" s="1"/>
  <c r="E417" i="36" s="1"/>
  <c r="E418" i="36" s="1"/>
  <c r="E419" i="36" s="1"/>
  <c r="E420" i="36" s="1"/>
  <c r="E421" i="36" s="1"/>
  <c r="E422" i="36" s="1"/>
  <c r="E423" i="36" s="1"/>
  <c r="E424" i="36" s="1"/>
  <c r="E425" i="36" s="1"/>
  <c r="E426" i="36" s="1"/>
  <c r="E427" i="36" s="1"/>
  <c r="E428" i="36" s="1"/>
  <c r="E429" i="36" s="1"/>
  <c r="E430" i="36" s="1"/>
  <c r="E431" i="36" s="1"/>
  <c r="E432" i="36" s="1"/>
  <c r="E433" i="36" s="1"/>
  <c r="E434" i="36" s="1"/>
  <c r="E435" i="36" s="1"/>
  <c r="E436" i="36" s="1"/>
  <c r="E437" i="36" s="1"/>
  <c r="E438" i="36" s="1"/>
  <c r="E439" i="36" s="1"/>
  <c r="E440" i="36" s="1"/>
  <c r="E441" i="36" s="1"/>
  <c r="E442" i="36" s="1"/>
  <c r="E443" i="36" s="1"/>
  <c r="E444" i="36" s="1"/>
  <c r="E445" i="36" s="1"/>
  <c r="E446" i="36" s="1"/>
  <c r="E447" i="36" s="1"/>
  <c r="E448" i="36" s="1"/>
  <c r="E449" i="36" s="1"/>
  <c r="E450" i="36" s="1"/>
  <c r="E451" i="36" s="1"/>
  <c r="E452" i="36" s="1"/>
  <c r="E453" i="36" s="1"/>
  <c r="E454" i="36" s="1"/>
  <c r="E455" i="36" s="1"/>
  <c r="E456" i="36" s="1"/>
  <c r="E457" i="36" s="1"/>
  <c r="E458" i="36" s="1"/>
  <c r="E459" i="36" s="1"/>
  <c r="E460" i="36" s="1"/>
  <c r="E461" i="36" s="1"/>
  <c r="E462" i="36" s="1"/>
  <c r="E463" i="36" s="1"/>
  <c r="E464" i="36" s="1"/>
  <c r="E465" i="36" s="1"/>
  <c r="E466" i="36" s="1"/>
  <c r="E467" i="36" s="1"/>
  <c r="E468" i="36" s="1"/>
  <c r="E469" i="36" s="1"/>
  <c r="E470" i="36" s="1"/>
  <c r="E471" i="36" s="1"/>
  <c r="E472" i="36" s="1"/>
  <c r="E473" i="36" s="1"/>
  <c r="E474" i="36" s="1"/>
  <c r="E475" i="36" s="1"/>
  <c r="E476" i="36" s="1"/>
  <c r="E477" i="36" s="1"/>
  <c r="E478" i="36" s="1"/>
  <c r="E479" i="36" s="1"/>
  <c r="E480" i="36" s="1"/>
  <c r="E481" i="36" s="1"/>
  <c r="E482" i="36" s="1"/>
  <c r="E483" i="36" s="1"/>
  <c r="E484" i="36" s="1"/>
  <c r="E485" i="36" s="1"/>
  <c r="E486" i="36" s="1"/>
  <c r="E487" i="36" s="1"/>
  <c r="E488" i="36" s="1"/>
  <c r="E489" i="36" s="1"/>
  <c r="E490" i="36" s="1"/>
  <c r="E491" i="36" s="1"/>
  <c r="E492" i="36" s="1"/>
  <c r="E493" i="36" s="1"/>
  <c r="E494" i="36" s="1"/>
  <c r="E495" i="36" s="1"/>
  <c r="E496" i="36" s="1"/>
  <c r="E497" i="36" s="1"/>
  <c r="E498" i="36" s="1"/>
  <c r="E499" i="36" s="1"/>
  <c r="E500" i="36" s="1"/>
  <c r="E501" i="36" s="1"/>
  <c r="E502" i="36" s="1"/>
  <c r="E503" i="36" s="1"/>
  <c r="E504" i="36" s="1"/>
  <c r="E505" i="36" s="1"/>
  <c r="E506" i="36" s="1"/>
  <c r="E507" i="36" s="1"/>
  <c r="E508" i="36" s="1"/>
  <c r="E509" i="36" s="1"/>
  <c r="E510" i="36" s="1"/>
  <c r="E511" i="36" s="1"/>
  <c r="E512" i="36" s="1"/>
  <c r="E513" i="36" s="1"/>
  <c r="E514" i="36" s="1"/>
  <c r="E515" i="36" s="1"/>
  <c r="E516" i="36" s="1"/>
  <c r="E517" i="36" s="1"/>
  <c r="E518" i="36" s="1"/>
  <c r="E519" i="36" s="1"/>
  <c r="E520" i="36" s="1"/>
  <c r="E521" i="36" s="1"/>
  <c r="E522" i="36" s="1"/>
  <c r="E523" i="36" s="1"/>
  <c r="E524" i="36" s="1"/>
  <c r="E525" i="36" s="1"/>
  <c r="E526" i="36" s="1"/>
  <c r="E527" i="36" s="1"/>
  <c r="E528" i="36" s="1"/>
  <c r="E529" i="36" s="1"/>
  <c r="E530" i="36" s="1"/>
  <c r="E531" i="36" s="1"/>
  <c r="E532" i="36" s="1"/>
  <c r="E533" i="36" s="1"/>
  <c r="E534" i="36" s="1"/>
  <c r="E535" i="36" s="1"/>
  <c r="E536" i="36" s="1"/>
  <c r="E537" i="36" s="1"/>
  <c r="E538" i="36" s="1"/>
  <c r="E539" i="36" s="1"/>
  <c r="E540" i="36" s="1"/>
  <c r="E541" i="36" s="1"/>
  <c r="E542" i="36" s="1"/>
  <c r="E543" i="36" s="1"/>
  <c r="E544" i="36" s="1"/>
  <c r="E545" i="36" s="1"/>
  <c r="E546" i="36" s="1"/>
  <c r="E547" i="36" s="1"/>
  <c r="E548" i="36" s="1"/>
  <c r="E549" i="36" s="1"/>
  <c r="E550" i="36" s="1"/>
  <c r="E551" i="36" s="1"/>
  <c r="E552" i="36" s="1"/>
  <c r="E553" i="36" s="1"/>
  <c r="E554" i="36" s="1"/>
  <c r="E555" i="36" s="1"/>
  <c r="E556" i="36" s="1"/>
  <c r="E557" i="36" s="1"/>
  <c r="E558" i="36" s="1"/>
  <c r="E559" i="36" s="1"/>
  <c r="E560" i="36" s="1"/>
  <c r="E561" i="36" s="1"/>
  <c r="E562" i="36" s="1"/>
  <c r="E563" i="36" s="1"/>
  <c r="E564" i="36" s="1"/>
  <c r="E565" i="36" s="1"/>
  <c r="E566" i="36" s="1"/>
  <c r="E567" i="36" s="1"/>
  <c r="E568" i="36" s="1"/>
  <c r="E569" i="36" s="1"/>
  <c r="E570" i="36" s="1"/>
  <c r="E571" i="36" s="1"/>
  <c r="E572" i="36" s="1"/>
  <c r="E573" i="36" s="1"/>
  <c r="E574" i="36" s="1"/>
  <c r="E575" i="36" s="1"/>
  <c r="E576" i="36" s="1"/>
  <c r="E577" i="36" s="1"/>
  <c r="E578" i="36" s="1"/>
  <c r="E579" i="36" s="1"/>
  <c r="E580" i="36" s="1"/>
  <c r="E581" i="36" s="1"/>
  <c r="E582" i="36" s="1"/>
  <c r="E583" i="36" s="1"/>
  <c r="E584" i="36" s="1"/>
  <c r="E585" i="36" s="1"/>
  <c r="E586" i="36" s="1"/>
  <c r="E587" i="36" s="1"/>
  <c r="E588" i="36" s="1"/>
  <c r="E589" i="36" s="1"/>
  <c r="E590" i="36" s="1"/>
  <c r="E591" i="36" s="1"/>
  <c r="E592" i="36" s="1"/>
  <c r="E593" i="36" s="1"/>
  <c r="E594" i="36" s="1"/>
  <c r="E595" i="36" s="1"/>
  <c r="E596" i="36" s="1"/>
  <c r="E597" i="36" s="1"/>
  <c r="E598" i="36" s="1"/>
  <c r="E599" i="36" s="1"/>
  <c r="E600" i="36" s="1"/>
  <c r="E601" i="36" s="1"/>
  <c r="E602" i="36" s="1"/>
  <c r="E603" i="36" s="1"/>
  <c r="E604" i="36" s="1"/>
  <c r="E605" i="36" s="1"/>
  <c r="E606" i="36" s="1"/>
  <c r="E607" i="36" s="1"/>
  <c r="E608" i="36" s="1"/>
  <c r="E609" i="36" s="1"/>
  <c r="E610" i="36" s="1"/>
  <c r="E611" i="36" s="1"/>
  <c r="E612" i="36" s="1"/>
  <c r="E613" i="36" s="1"/>
  <c r="E614" i="36" s="1"/>
  <c r="E615" i="36" s="1"/>
  <c r="E616" i="36" s="1"/>
  <c r="E617" i="36" s="1"/>
  <c r="E618" i="36" s="1"/>
  <c r="E619" i="36" s="1"/>
  <c r="E620" i="36" s="1"/>
  <c r="E621" i="36" s="1"/>
  <c r="E622" i="36" s="1"/>
  <c r="E623" i="36" s="1"/>
  <c r="E624" i="36" s="1"/>
  <c r="E625" i="36" s="1"/>
  <c r="E626" i="36" s="1"/>
  <c r="E627" i="36" s="1"/>
  <c r="E628" i="36" s="1"/>
  <c r="E629" i="36" s="1"/>
  <c r="E630" i="36" s="1"/>
  <c r="E631" i="36" s="1"/>
  <c r="E632" i="36" s="1"/>
  <c r="E633" i="36" s="1"/>
  <c r="E634" i="36" s="1"/>
  <c r="E635" i="36" s="1"/>
  <c r="E636" i="36" s="1"/>
  <c r="E637" i="36" s="1"/>
  <c r="E638" i="36" s="1"/>
  <c r="E639" i="36" s="1"/>
  <c r="E640" i="36" s="1"/>
  <c r="E641" i="36" s="1"/>
  <c r="E642" i="36" s="1"/>
  <c r="E643" i="36" s="1"/>
  <c r="E644" i="36" s="1"/>
  <c r="E645" i="36" s="1"/>
  <c r="E646" i="36" s="1"/>
  <c r="E647" i="36" s="1"/>
  <c r="E648" i="36" s="1"/>
  <c r="E649" i="36" s="1"/>
  <c r="E650" i="36" s="1"/>
  <c r="E651" i="36" s="1"/>
  <c r="E652" i="36" s="1"/>
  <c r="E653" i="36" s="1"/>
  <c r="E654" i="36" s="1"/>
  <c r="E655" i="36" s="1"/>
  <c r="E656" i="36" s="1"/>
  <c r="E657" i="36" s="1"/>
  <c r="E658" i="36" s="1"/>
  <c r="E659" i="36" s="1"/>
  <c r="E660" i="36" s="1"/>
  <c r="E661" i="36" s="1"/>
  <c r="E662" i="36" s="1"/>
  <c r="E663" i="36" s="1"/>
  <c r="E664" i="36" s="1"/>
  <c r="E665" i="36" s="1"/>
  <c r="E666" i="36" s="1"/>
  <c r="E667" i="36" s="1"/>
  <c r="E668" i="36" s="1"/>
  <c r="E669" i="36" s="1"/>
  <c r="E670" i="36" s="1"/>
  <c r="E671" i="36" s="1"/>
  <c r="E672" i="36" s="1"/>
  <c r="E673" i="36" s="1"/>
  <c r="E674" i="36" s="1"/>
  <c r="E675" i="36" s="1"/>
  <c r="E676" i="36" s="1"/>
  <c r="E677" i="36" s="1"/>
  <c r="E678" i="36" s="1"/>
  <c r="E679" i="36" s="1"/>
  <c r="E680" i="36" s="1"/>
  <c r="E681" i="36" s="1"/>
  <c r="E682" i="36" s="1"/>
  <c r="E683" i="36" s="1"/>
  <c r="E684" i="36" s="1"/>
  <c r="E685" i="36" s="1"/>
  <c r="E686" i="36" s="1"/>
  <c r="E687" i="36" s="1"/>
  <c r="E688" i="36" s="1"/>
  <c r="E689" i="36" s="1"/>
  <c r="E690" i="36" s="1"/>
  <c r="E691" i="36" s="1"/>
  <c r="E692" i="36" s="1"/>
  <c r="E693" i="36" s="1"/>
  <c r="E694" i="36" s="1"/>
  <c r="E695" i="36" s="1"/>
  <c r="E696" i="36" s="1"/>
  <c r="E697" i="36" s="1"/>
  <c r="E698" i="36" s="1"/>
  <c r="E699" i="36" s="1"/>
  <c r="E700" i="36" s="1"/>
  <c r="E701" i="36" s="1"/>
  <c r="E702" i="36" s="1"/>
  <c r="E703" i="36" s="1"/>
  <c r="E704" i="36" s="1"/>
  <c r="E705" i="36" s="1"/>
  <c r="E706" i="36" s="1"/>
  <c r="E707" i="36" s="1"/>
  <c r="E708" i="36" s="1"/>
  <c r="E709" i="36" s="1"/>
  <c r="E710" i="36" s="1"/>
  <c r="E711" i="36" s="1"/>
  <c r="E712" i="36" s="1"/>
  <c r="E713" i="36" s="1"/>
  <c r="E714" i="36" s="1"/>
  <c r="E715" i="36" s="1"/>
  <c r="E716" i="36" s="1"/>
  <c r="E717" i="36" s="1"/>
  <c r="E718" i="36" s="1"/>
  <c r="E719" i="36" s="1"/>
  <c r="E720" i="36" s="1"/>
  <c r="E721" i="36" s="1"/>
  <c r="E722" i="36" s="1"/>
  <c r="E723" i="36" s="1"/>
  <c r="E724" i="36" s="1"/>
  <c r="E725" i="36" s="1"/>
  <c r="E726" i="36" s="1"/>
  <c r="E727" i="36" s="1"/>
  <c r="E728" i="36" s="1"/>
  <c r="E729" i="36" s="1"/>
  <c r="E730" i="36" s="1"/>
  <c r="E731" i="36" s="1"/>
  <c r="E732" i="36" s="1"/>
  <c r="E733" i="36" s="1"/>
  <c r="E734" i="36" s="1"/>
  <c r="E735" i="36" s="1"/>
  <c r="E736" i="36" s="1"/>
  <c r="E737" i="36" s="1"/>
  <c r="E738" i="36" s="1"/>
  <c r="E739" i="36" s="1"/>
  <c r="E740" i="36" s="1"/>
  <c r="E741" i="36" s="1"/>
  <c r="E742" i="36" s="1"/>
  <c r="E743" i="36" s="1"/>
  <c r="E744" i="36" s="1"/>
  <c r="E745" i="36" s="1"/>
  <c r="E746" i="36" s="1"/>
  <c r="E747" i="36" s="1"/>
  <c r="E748" i="36" s="1"/>
  <c r="E749" i="36" s="1"/>
  <c r="E750" i="36" s="1"/>
  <c r="E751" i="36" s="1"/>
  <c r="E752" i="36" s="1"/>
  <c r="E753" i="36" s="1"/>
  <c r="E754" i="36" s="1"/>
  <c r="E755" i="36" s="1"/>
  <c r="E756" i="36" s="1"/>
  <c r="E757" i="36" s="1"/>
  <c r="E758" i="36" s="1"/>
  <c r="E759" i="36" s="1"/>
  <c r="E760" i="36" s="1"/>
  <c r="E761" i="36" s="1"/>
  <c r="E762" i="36" s="1"/>
  <c r="E763" i="36" s="1"/>
  <c r="E764" i="36" s="1"/>
  <c r="E765" i="36" s="1"/>
  <c r="E766" i="36" s="1"/>
  <c r="E767" i="36" s="1"/>
  <c r="E768" i="36" s="1"/>
  <c r="E769" i="36" s="1"/>
  <c r="E770" i="36" s="1"/>
  <c r="E771" i="36" s="1"/>
  <c r="E772" i="36" s="1"/>
  <c r="E773" i="36" s="1"/>
  <c r="E774" i="36" s="1"/>
  <c r="E775" i="36" s="1"/>
  <c r="E776" i="36" s="1"/>
  <c r="E777" i="36" s="1"/>
  <c r="E778" i="36" s="1"/>
  <c r="E779" i="36" s="1"/>
  <c r="E780" i="36" s="1"/>
  <c r="E781" i="36" s="1"/>
  <c r="E782" i="36" s="1"/>
  <c r="E783" i="36" s="1"/>
  <c r="E784" i="36" s="1"/>
  <c r="E785" i="36" s="1"/>
  <c r="E786" i="36" s="1"/>
  <c r="E787" i="36" s="1"/>
  <c r="E788" i="36" s="1"/>
  <c r="E789" i="36" s="1"/>
  <c r="E790" i="36" s="1"/>
  <c r="E791" i="36" s="1"/>
  <c r="E792" i="36" s="1"/>
  <c r="E793" i="36" s="1"/>
  <c r="E794" i="36" s="1"/>
  <c r="E795" i="36" s="1"/>
  <c r="E796" i="36" s="1"/>
  <c r="E797" i="36" s="1"/>
  <c r="E798" i="36" s="1"/>
  <c r="E799" i="36" s="1"/>
  <c r="E800" i="36" s="1"/>
  <c r="E801" i="36" s="1"/>
  <c r="E802" i="36" s="1"/>
  <c r="E803" i="36" s="1"/>
  <c r="E804" i="36" s="1"/>
  <c r="E805" i="36" s="1"/>
  <c r="E806" i="36" s="1"/>
  <c r="E807" i="36" s="1"/>
  <c r="E808" i="36" s="1"/>
  <c r="E809" i="36" s="1"/>
  <c r="E810" i="36" s="1"/>
  <c r="E811" i="36" s="1"/>
  <c r="E812" i="36" s="1"/>
  <c r="E813" i="36" s="1"/>
  <c r="E814" i="36" s="1"/>
  <c r="E815" i="36" s="1"/>
  <c r="E816" i="36" s="1"/>
  <c r="E817" i="36" s="1"/>
  <c r="E818" i="36" s="1"/>
  <c r="E819" i="36" s="1"/>
  <c r="E820" i="36" s="1"/>
  <c r="E821" i="36" s="1"/>
  <c r="E822" i="36" s="1"/>
  <c r="E823" i="36" s="1"/>
  <c r="E824" i="36" s="1"/>
  <c r="E825" i="36" s="1"/>
  <c r="E826" i="36" s="1"/>
  <c r="E827" i="36" s="1"/>
  <c r="E828" i="36" s="1"/>
  <c r="E829" i="36" s="1"/>
  <c r="E830" i="36" s="1"/>
  <c r="E831" i="36" s="1"/>
  <c r="E832" i="36" s="1"/>
  <c r="E833" i="36" s="1"/>
  <c r="E834" i="36" s="1"/>
  <c r="E835" i="36" s="1"/>
  <c r="E836" i="36" s="1"/>
  <c r="E837" i="36" s="1"/>
  <c r="E838" i="36" s="1"/>
  <c r="E839" i="36" s="1"/>
  <c r="E840" i="36" s="1"/>
  <c r="E841" i="36" s="1"/>
  <c r="E842" i="36" s="1"/>
  <c r="E843" i="36" s="1"/>
  <c r="E844" i="36" s="1"/>
  <c r="E845" i="36" s="1"/>
  <c r="E846" i="36" s="1"/>
  <c r="E847" i="36" s="1"/>
  <c r="E848" i="36" s="1"/>
  <c r="E849" i="36" s="1"/>
  <c r="E850" i="36" s="1"/>
  <c r="E851" i="36" s="1"/>
  <c r="E852" i="36" s="1"/>
  <c r="E853" i="36" s="1"/>
  <c r="E854" i="36" s="1"/>
  <c r="E855" i="36" s="1"/>
  <c r="E856" i="36" s="1"/>
  <c r="E857" i="36" s="1"/>
  <c r="E858" i="36" s="1"/>
  <c r="E859" i="36" s="1"/>
  <c r="E860" i="36" s="1"/>
  <c r="E861" i="36" s="1"/>
  <c r="E862" i="36" s="1"/>
  <c r="E863" i="36" s="1"/>
  <c r="E864" i="36" s="1"/>
  <c r="E865" i="36" s="1"/>
  <c r="E866" i="36" s="1"/>
  <c r="E867" i="36" s="1"/>
  <c r="E868" i="36" s="1"/>
  <c r="E869" i="36" s="1"/>
  <c r="E870" i="36" s="1"/>
  <c r="E871" i="36" s="1"/>
  <c r="E872" i="36" s="1"/>
  <c r="E873" i="36" s="1"/>
  <c r="E874" i="36" s="1"/>
  <c r="E875" i="36" s="1"/>
  <c r="E876" i="36" s="1"/>
  <c r="E877" i="36" s="1"/>
  <c r="E878" i="36" s="1"/>
  <c r="E879" i="36" s="1"/>
  <c r="E880" i="36" s="1"/>
  <c r="E881" i="36" s="1"/>
  <c r="E882" i="36" s="1"/>
  <c r="E883" i="36" s="1"/>
  <c r="E884" i="36" s="1"/>
  <c r="E885" i="36" s="1"/>
  <c r="E886" i="36" s="1"/>
  <c r="E887" i="36" s="1"/>
  <c r="E888" i="36" s="1"/>
  <c r="E889" i="36" s="1"/>
  <c r="E890" i="36" s="1"/>
  <c r="E891" i="36" s="1"/>
  <c r="E892" i="36" s="1"/>
  <c r="E893" i="36" s="1"/>
  <c r="E894" i="36" s="1"/>
  <c r="E895" i="36" s="1"/>
  <c r="E896" i="36" s="1"/>
  <c r="E897" i="36" s="1"/>
  <c r="E898" i="36" s="1"/>
  <c r="E899" i="36" s="1"/>
  <c r="E900" i="36" s="1"/>
  <c r="E901" i="36" s="1"/>
  <c r="E902" i="36" s="1"/>
  <c r="E903" i="36" s="1"/>
  <c r="E904" i="36" s="1"/>
  <c r="E905" i="36" s="1"/>
  <c r="E906" i="36" s="1"/>
  <c r="E907" i="36" s="1"/>
  <c r="E908" i="36" s="1"/>
  <c r="E909" i="36" s="1"/>
  <c r="E910" i="36" s="1"/>
  <c r="E911" i="36" s="1"/>
  <c r="E912" i="36" s="1"/>
  <c r="E913" i="36" s="1"/>
  <c r="E914" i="36" s="1"/>
  <c r="E915" i="36" s="1"/>
  <c r="E916" i="36" s="1"/>
  <c r="E917" i="36" s="1"/>
  <c r="E918" i="36" s="1"/>
  <c r="E919" i="36" s="1"/>
  <c r="E920" i="36" s="1"/>
  <c r="E921" i="36" s="1"/>
  <c r="E922" i="36" s="1"/>
  <c r="E923" i="36" s="1"/>
  <c r="E924" i="36" s="1"/>
  <c r="E925" i="36" s="1"/>
  <c r="E926" i="36" s="1"/>
  <c r="E927" i="36" s="1"/>
  <c r="E928" i="36" s="1"/>
  <c r="E929" i="36" s="1"/>
  <c r="E930" i="36" s="1"/>
  <c r="E931" i="36" s="1"/>
  <c r="E932" i="36" s="1"/>
  <c r="E933" i="36" s="1"/>
  <c r="E934" i="36" s="1"/>
  <c r="E935" i="36" s="1"/>
  <c r="E936" i="36" s="1"/>
  <c r="E937" i="36" s="1"/>
  <c r="E938" i="36" s="1"/>
  <c r="E939" i="36" s="1"/>
  <c r="E940" i="36" s="1"/>
  <c r="E941" i="36" s="1"/>
  <c r="E942" i="36" s="1"/>
  <c r="E943" i="36" s="1"/>
  <c r="E944" i="36" s="1"/>
  <c r="E945" i="36" s="1"/>
  <c r="E946" i="36" s="1"/>
  <c r="E947" i="36" s="1"/>
  <c r="E948" i="36" s="1"/>
  <c r="E949" i="36" s="1"/>
  <c r="E950" i="36" s="1"/>
  <c r="E951" i="36" s="1"/>
  <c r="E952" i="36" s="1"/>
  <c r="E953" i="36" s="1"/>
  <c r="E954" i="36" s="1"/>
  <c r="E955" i="36" s="1"/>
  <c r="E956" i="36" s="1"/>
  <c r="E957" i="36" s="1"/>
  <c r="E958" i="36" s="1"/>
  <c r="E959" i="36" s="1"/>
  <c r="E960" i="36" s="1"/>
  <c r="E961" i="36" s="1"/>
  <c r="E962" i="36" s="1"/>
  <c r="E963" i="36" s="1"/>
  <c r="E964" i="36" s="1"/>
  <c r="E965" i="36" s="1"/>
  <c r="E966" i="36" s="1"/>
  <c r="E967" i="36" s="1"/>
  <c r="E968" i="36" s="1"/>
  <c r="E969" i="36" s="1"/>
  <c r="E970" i="36" s="1"/>
  <c r="E971" i="36" s="1"/>
  <c r="E972" i="36" s="1"/>
  <c r="E973" i="36" s="1"/>
  <c r="E974" i="36" s="1"/>
  <c r="E975" i="36" s="1"/>
  <c r="E976" i="36" s="1"/>
  <c r="E977" i="36" s="1"/>
  <c r="E978" i="36" s="1"/>
  <c r="E979" i="36" s="1"/>
  <c r="E980" i="36" s="1"/>
  <c r="E981" i="36" s="1"/>
  <c r="E982" i="36" s="1"/>
  <c r="E983" i="36" s="1"/>
  <c r="E984" i="36" s="1"/>
  <c r="E985" i="36" s="1"/>
  <c r="E986" i="36" s="1"/>
  <c r="E987" i="36" s="1"/>
  <c r="E988" i="36" s="1"/>
  <c r="E989" i="36" s="1"/>
  <c r="E990" i="36" s="1"/>
  <c r="E991" i="36" s="1"/>
  <c r="E992" i="36" s="1"/>
  <c r="E993" i="36" s="1"/>
  <c r="E994" i="36" s="1"/>
  <c r="E995" i="36" s="1"/>
  <c r="E996" i="36" s="1"/>
  <c r="E997" i="36" s="1"/>
  <c r="E998" i="36" s="1"/>
  <c r="E999" i="36" s="1"/>
  <c r="E1000" i="36" s="1"/>
  <c r="E1001" i="36" s="1"/>
  <c r="E1002" i="36" s="1"/>
  <c r="E1003" i="36" s="1"/>
  <c r="E1004" i="36" s="1"/>
  <c r="E1005" i="36" s="1"/>
  <c r="E1006" i="36" s="1"/>
  <c r="E1007" i="36" s="1"/>
  <c r="E1008" i="36" s="1"/>
  <c r="E1009" i="36" s="1"/>
  <c r="E1010" i="36" s="1"/>
  <c r="E1011" i="36" s="1"/>
  <c r="E1012" i="36" s="1"/>
  <c r="E1013" i="36" s="1"/>
  <c r="E1014" i="36" s="1"/>
  <c r="E1015" i="36" s="1"/>
  <c r="E1016" i="36" s="1"/>
  <c r="E1017" i="36" s="1"/>
  <c r="E1018" i="36" s="1"/>
  <c r="E1019" i="36" s="1"/>
  <c r="E1020" i="36" s="1"/>
  <c r="E1021" i="36" s="1"/>
  <c r="E1022" i="36" s="1"/>
  <c r="E1023" i="36" s="1"/>
  <c r="E1024" i="36" s="1"/>
  <c r="E1025" i="36" s="1"/>
  <c r="E1026" i="36" s="1"/>
  <c r="E1027" i="36" s="1"/>
  <c r="E1028" i="36" s="1"/>
  <c r="E1029" i="36" s="1"/>
  <c r="E1030" i="36" s="1"/>
  <c r="E1031" i="36" s="1"/>
  <c r="E1032" i="36" s="1"/>
  <c r="E1033" i="36" s="1"/>
  <c r="E1034" i="36" s="1"/>
  <c r="E1035" i="36" s="1"/>
  <c r="E1036" i="36" s="1"/>
  <c r="E1037" i="36" s="1"/>
  <c r="E1038" i="36" s="1"/>
  <c r="E1039" i="36" s="1"/>
  <c r="E1040" i="36" s="1"/>
  <c r="E1041" i="36" s="1"/>
  <c r="E1042" i="36" s="1"/>
  <c r="E1043" i="36" s="1"/>
  <c r="E1044" i="36" s="1"/>
  <c r="E1045" i="36" s="1"/>
  <c r="E1046" i="36" s="1"/>
  <c r="E1047" i="36" s="1"/>
  <c r="E1048" i="36" s="1"/>
  <c r="E1049" i="36" s="1"/>
  <c r="E1050" i="36" s="1"/>
  <c r="E1051" i="36" s="1"/>
  <c r="E1052" i="36" s="1"/>
  <c r="E1053" i="36" s="1"/>
  <c r="E1054" i="36" s="1"/>
  <c r="E1055" i="36" s="1"/>
  <c r="E1056" i="36" s="1"/>
  <c r="E1057" i="36" s="1"/>
  <c r="E1058" i="36" s="1"/>
  <c r="E1059" i="36" s="1"/>
  <c r="E1060" i="36" s="1"/>
  <c r="E1061" i="36" s="1"/>
  <c r="E1062" i="36" s="1"/>
  <c r="E1063" i="36" s="1"/>
  <c r="E1064" i="36" s="1"/>
  <c r="E1065" i="36" s="1"/>
  <c r="E1066" i="36" s="1"/>
  <c r="E1067" i="36" s="1"/>
  <c r="E1068" i="36" s="1"/>
  <c r="E1069" i="36" s="1"/>
  <c r="E1070" i="36" s="1"/>
  <c r="E1071" i="36" s="1"/>
  <c r="E1072" i="36" s="1"/>
  <c r="E1073" i="36" s="1"/>
  <c r="E1074" i="36" s="1"/>
  <c r="E1075" i="36" s="1"/>
  <c r="E1076" i="36" s="1"/>
  <c r="E1077" i="36" s="1"/>
  <c r="E1078" i="36" s="1"/>
  <c r="E1079" i="36" s="1"/>
  <c r="E1080" i="36" s="1"/>
  <c r="E1081" i="36" s="1"/>
  <c r="E1082" i="36" s="1"/>
  <c r="E1083" i="36" s="1"/>
  <c r="E1084" i="36" s="1"/>
  <c r="E1085" i="36" s="1"/>
  <c r="E1086" i="36" s="1"/>
  <c r="E1087" i="36" s="1"/>
  <c r="E1088" i="36" s="1"/>
  <c r="E1089" i="36" s="1"/>
  <c r="E1090" i="36" s="1"/>
  <c r="E1091" i="36" s="1"/>
  <c r="E1092" i="36" s="1"/>
  <c r="E1093" i="36" s="1"/>
  <c r="E1094" i="36" s="1"/>
  <c r="E1095" i="36" s="1"/>
  <c r="E1096" i="36" s="1"/>
  <c r="E1097" i="36" s="1"/>
  <c r="E1098" i="36" s="1"/>
  <c r="E1099" i="36" s="1"/>
  <c r="E1100" i="36" s="1"/>
  <c r="E1101" i="36" s="1"/>
  <c r="E1102" i="36" s="1"/>
  <c r="E1103" i="36" s="1"/>
  <c r="E1104" i="36" s="1"/>
  <c r="E1105" i="36" s="1"/>
  <c r="E1106" i="36" s="1"/>
  <c r="E1107" i="36" s="1"/>
  <c r="E1108" i="36" s="1"/>
  <c r="E1109" i="36" s="1"/>
  <c r="E1110" i="36" s="1"/>
  <c r="E1111" i="36" s="1"/>
  <c r="E1112" i="36" s="1"/>
  <c r="E1113" i="36" s="1"/>
  <c r="E1114" i="36" s="1"/>
  <c r="E1115" i="36" s="1"/>
  <c r="E1116" i="36" s="1"/>
  <c r="E1117" i="36" s="1"/>
  <c r="E1118" i="36" s="1"/>
  <c r="E1119" i="36" s="1"/>
  <c r="E1120" i="36" s="1"/>
  <c r="E1121" i="36" s="1"/>
  <c r="E1122" i="36" s="1"/>
  <c r="E1123" i="36" s="1"/>
  <c r="E1124" i="36" s="1"/>
  <c r="E1125" i="36" s="1"/>
  <c r="E1126" i="36" s="1"/>
  <c r="E1127" i="36" s="1"/>
  <c r="E1128" i="36" s="1"/>
  <c r="E1129" i="36" s="1"/>
  <c r="E1130" i="36" s="1"/>
  <c r="E1131" i="36" s="1"/>
  <c r="E1132" i="36" s="1"/>
  <c r="E1133" i="36" s="1"/>
  <c r="E1134" i="36" s="1"/>
  <c r="E1135" i="36" s="1"/>
  <c r="E1136" i="36" s="1"/>
  <c r="E1137" i="36" s="1"/>
  <c r="E1138" i="36" s="1"/>
  <c r="E1139" i="36" s="1"/>
  <c r="E1140" i="36" s="1"/>
  <c r="E1141" i="36" s="1"/>
  <c r="E1142" i="36" s="1"/>
  <c r="E1143" i="36" s="1"/>
  <c r="E1144" i="36" s="1"/>
  <c r="E1145" i="36" s="1"/>
  <c r="E1146" i="36" s="1"/>
  <c r="E1147" i="36" s="1"/>
  <c r="E1148" i="36" s="1"/>
  <c r="E1149" i="36" s="1"/>
  <c r="E1150" i="36" s="1"/>
  <c r="E1151" i="36" s="1"/>
  <c r="E1152" i="36" s="1"/>
  <c r="E1153" i="36" s="1"/>
  <c r="E1154" i="36" s="1"/>
  <c r="E1155" i="36" s="1"/>
  <c r="E1156" i="36" s="1"/>
  <c r="E1157" i="36" s="1"/>
  <c r="E1158" i="36" s="1"/>
  <c r="E1159" i="36" s="1"/>
  <c r="E1160" i="36" s="1"/>
  <c r="E1161" i="36" s="1"/>
  <c r="E1162" i="36" s="1"/>
  <c r="E1163" i="36" s="1"/>
  <c r="E1164" i="36" s="1"/>
  <c r="E1165" i="36" s="1"/>
  <c r="E1166" i="36" s="1"/>
  <c r="E1167" i="36" s="1"/>
  <c r="E1168" i="36" s="1"/>
  <c r="E1169" i="36" s="1"/>
  <c r="E1170" i="36" s="1"/>
  <c r="E1171" i="36" s="1"/>
  <c r="E1172" i="36" s="1"/>
  <c r="E1173" i="36" s="1"/>
  <c r="E1174" i="36" s="1"/>
  <c r="E1175" i="36" s="1"/>
  <c r="E1176" i="36" s="1"/>
  <c r="E1177" i="36" s="1"/>
  <c r="E1178" i="36" s="1"/>
  <c r="E1179" i="36" s="1"/>
  <c r="E1180" i="36" s="1"/>
  <c r="E1181" i="36" s="1"/>
  <c r="E1182" i="36" s="1"/>
  <c r="E1183" i="36" s="1"/>
  <c r="E1184" i="36" s="1"/>
  <c r="E1185" i="36" s="1"/>
  <c r="E1186" i="36" s="1"/>
  <c r="E1187" i="36" s="1"/>
  <c r="E1188" i="36" s="1"/>
  <c r="E1189" i="36" s="1"/>
  <c r="E1190" i="36" s="1"/>
  <c r="E1191" i="36" s="1"/>
  <c r="E1192" i="36" s="1"/>
  <c r="E1193" i="36" s="1"/>
  <c r="E1194" i="36" s="1"/>
  <c r="E1195" i="36" s="1"/>
  <c r="E1196" i="36" s="1"/>
  <c r="E1197" i="36" s="1"/>
  <c r="E1198" i="36" s="1"/>
  <c r="E1199" i="36" s="1"/>
  <c r="E1200" i="36" s="1"/>
  <c r="E1201" i="36" s="1"/>
  <c r="E1202" i="36" s="1"/>
  <c r="E1203" i="36" s="1"/>
  <c r="E1204" i="36" s="1"/>
  <c r="E1205" i="36" s="1"/>
  <c r="E1206" i="36" s="1"/>
  <c r="E1207" i="36" s="1"/>
  <c r="E1208" i="36" s="1"/>
  <c r="E1209" i="36" s="1"/>
  <c r="E1210" i="36" s="1"/>
  <c r="E1211" i="36" s="1"/>
  <c r="E1212" i="36" s="1"/>
  <c r="E1213" i="36" s="1"/>
  <c r="E1214" i="36" s="1"/>
  <c r="E1215" i="36" s="1"/>
  <c r="E1216" i="36" s="1"/>
  <c r="E1217" i="36" s="1"/>
  <c r="E1218" i="36" s="1"/>
  <c r="E1219" i="36" s="1"/>
  <c r="E1220" i="36" s="1"/>
  <c r="E1221" i="36" s="1"/>
  <c r="E1222" i="36" s="1"/>
  <c r="E1223" i="36" s="1"/>
  <c r="E1224" i="36" s="1"/>
  <c r="E1225" i="36" s="1"/>
  <c r="E1226" i="36" s="1"/>
  <c r="E1227" i="36" s="1"/>
  <c r="E1228" i="36" s="1"/>
  <c r="E1229" i="36" s="1"/>
  <c r="E1230" i="36" s="1"/>
  <c r="E1231" i="36" s="1"/>
  <c r="E1232" i="36" s="1"/>
  <c r="E1233" i="36" s="1"/>
  <c r="E1234" i="36" s="1"/>
  <c r="E1235" i="36" s="1"/>
  <c r="E1236" i="36" s="1"/>
  <c r="E1237" i="36" s="1"/>
  <c r="E1238" i="36" s="1"/>
  <c r="E1239" i="36" s="1"/>
  <c r="E1240" i="36" s="1"/>
  <c r="E1241" i="36" s="1"/>
  <c r="E1242" i="36" s="1"/>
  <c r="E1243" i="36" s="1"/>
  <c r="E1244" i="36" s="1"/>
  <c r="E1245" i="36" s="1"/>
  <c r="E1246" i="36" s="1"/>
  <c r="E1247" i="36" s="1"/>
  <c r="E1248" i="36" s="1"/>
  <c r="E1249" i="36" s="1"/>
  <c r="E1250" i="36" s="1"/>
  <c r="E1251" i="36" s="1"/>
  <c r="E1252" i="36" s="1"/>
  <c r="E1253" i="36" s="1"/>
  <c r="E1254" i="36" s="1"/>
  <c r="E1255" i="36" s="1"/>
  <c r="E1256" i="36" s="1"/>
  <c r="E1257" i="36" s="1"/>
  <c r="E1258" i="36" s="1"/>
  <c r="E1259" i="36" s="1"/>
  <c r="E1260" i="36" s="1"/>
  <c r="E1261" i="36" s="1"/>
  <c r="E1262" i="36" s="1"/>
  <c r="E1263" i="36" s="1"/>
  <c r="E1264" i="36" s="1"/>
  <c r="E1265" i="36" s="1"/>
  <c r="E1266" i="36" s="1"/>
  <c r="E1267" i="36" s="1"/>
  <c r="E1268" i="36" s="1"/>
  <c r="E1269" i="36" s="1"/>
  <c r="E1270" i="36" s="1"/>
  <c r="E1271" i="36" s="1"/>
  <c r="E1272" i="36" s="1"/>
  <c r="E1273" i="36" s="1"/>
  <c r="E1274" i="36" s="1"/>
  <c r="E1275" i="36" s="1"/>
  <c r="E1276" i="36" s="1"/>
  <c r="E1277" i="36" s="1"/>
  <c r="E1278" i="36" s="1"/>
  <c r="E1279" i="36" s="1"/>
  <c r="E1280" i="36" s="1"/>
  <c r="E1281" i="36" s="1"/>
  <c r="E1282" i="36" s="1"/>
  <c r="E1283" i="36" s="1"/>
  <c r="E1284" i="36" s="1"/>
  <c r="E1285" i="36" s="1"/>
  <c r="E1286" i="36" s="1"/>
  <c r="E1287" i="36" s="1"/>
  <c r="E1288" i="36" s="1"/>
  <c r="E1289" i="36" s="1"/>
  <c r="E1290" i="36" s="1"/>
  <c r="E1291" i="36" s="1"/>
  <c r="E1292" i="36" s="1"/>
  <c r="E1293" i="36" s="1"/>
  <c r="E1294" i="36" s="1"/>
  <c r="E1295" i="36" s="1"/>
  <c r="E1296" i="36" s="1"/>
  <c r="E1297" i="36" s="1"/>
  <c r="E1298" i="36" s="1"/>
  <c r="E1299" i="36" s="1"/>
  <c r="E1300" i="36" s="1"/>
  <c r="E1301" i="36" s="1"/>
  <c r="E1302" i="36" s="1"/>
  <c r="E1303" i="36" s="1"/>
  <c r="E1304" i="36" s="1"/>
  <c r="E1305" i="36" s="1"/>
  <c r="E1306" i="36" s="1"/>
  <c r="E1307" i="36" s="1"/>
  <c r="E1308" i="36" s="1"/>
  <c r="E1309" i="36" s="1"/>
  <c r="E1310" i="36" s="1"/>
  <c r="E1311" i="36" s="1"/>
  <c r="E1312" i="36" s="1"/>
  <c r="E1313" i="36" s="1"/>
  <c r="E1314" i="36" s="1"/>
  <c r="E1315" i="36" s="1"/>
  <c r="E1316" i="36" s="1"/>
  <c r="E1317" i="36" s="1"/>
  <c r="E1318" i="36" s="1"/>
  <c r="E1319" i="36" s="1"/>
  <c r="E1320" i="36" s="1"/>
  <c r="E1321" i="36" s="1"/>
  <c r="E1322" i="36" s="1"/>
  <c r="E1323" i="36" s="1"/>
  <c r="E1324" i="36" s="1"/>
  <c r="E1325" i="36" s="1"/>
  <c r="E1326" i="36" s="1"/>
  <c r="E1327" i="36" s="1"/>
  <c r="E1328" i="36" s="1"/>
  <c r="E1329" i="36" s="1"/>
  <c r="E1330" i="36" s="1"/>
  <c r="E1331" i="36" s="1"/>
  <c r="E1332" i="36" s="1"/>
  <c r="E1333" i="36" s="1"/>
  <c r="E1334" i="36" s="1"/>
  <c r="E1335" i="36" s="1"/>
  <c r="E1336" i="36" s="1"/>
  <c r="E1337" i="36" s="1"/>
  <c r="E1338" i="36" s="1"/>
  <c r="E1339" i="36" s="1"/>
  <c r="E1340" i="36" s="1"/>
  <c r="E1341" i="36" s="1"/>
  <c r="E1342" i="36" s="1"/>
  <c r="E1343" i="36" s="1"/>
  <c r="E1344" i="36" s="1"/>
  <c r="E1345" i="36" s="1"/>
  <c r="E1346" i="36" s="1"/>
  <c r="E1347" i="36" s="1"/>
  <c r="E1348" i="36" s="1"/>
  <c r="E1349" i="36" s="1"/>
  <c r="E1350" i="36" s="1"/>
  <c r="E1351" i="36" s="1"/>
  <c r="E1352" i="36" s="1"/>
  <c r="E1353" i="36" s="1"/>
  <c r="E1354" i="36" s="1"/>
  <c r="E1355" i="36" s="1"/>
  <c r="E1356" i="36" s="1"/>
  <c r="E1357" i="36" s="1"/>
  <c r="E1358" i="36" s="1"/>
  <c r="E1359" i="36" s="1"/>
  <c r="E1360" i="36" s="1"/>
  <c r="E1361" i="36" s="1"/>
  <c r="E1362" i="36" s="1"/>
  <c r="E1363" i="36" s="1"/>
  <c r="E1364" i="36" s="1"/>
  <c r="E1365" i="36" s="1"/>
  <c r="E1366" i="36" s="1"/>
  <c r="E1367" i="36" s="1"/>
  <c r="E1368" i="36" s="1"/>
  <c r="E1369" i="36" s="1"/>
  <c r="E1370" i="36" s="1"/>
  <c r="E1371" i="36" s="1"/>
  <c r="E1372" i="36" s="1"/>
  <c r="E1373" i="36" s="1"/>
  <c r="E1374" i="36" s="1"/>
  <c r="E1375" i="36" s="1"/>
  <c r="E1376" i="36" s="1"/>
  <c r="E1377" i="36" s="1"/>
  <c r="E1378" i="36" s="1"/>
  <c r="E1379" i="36" s="1"/>
  <c r="E1380" i="36" s="1"/>
  <c r="E1381" i="36" s="1"/>
  <c r="E1382" i="36" s="1"/>
  <c r="E1383" i="36" s="1"/>
  <c r="E1384" i="36" s="1"/>
  <c r="E1385" i="36" s="1"/>
  <c r="E1386" i="36" s="1"/>
  <c r="E1387" i="36" s="1"/>
  <c r="E1388" i="36" s="1"/>
  <c r="E1389" i="36" s="1"/>
  <c r="E1390" i="36" s="1"/>
  <c r="E1391" i="36" s="1"/>
  <c r="E1392" i="36" s="1"/>
  <c r="E1393" i="36" s="1"/>
  <c r="E1394" i="36" s="1"/>
  <c r="E1395" i="36" s="1"/>
  <c r="E1396" i="36" s="1"/>
  <c r="E1397" i="36" s="1"/>
  <c r="E1398" i="36" s="1"/>
  <c r="E1399" i="36" s="1"/>
  <c r="E1400" i="36" s="1"/>
  <c r="E1401" i="36" s="1"/>
  <c r="E1402" i="36" s="1"/>
  <c r="E1403" i="36" s="1"/>
  <c r="E1404" i="36" s="1"/>
  <c r="E1405" i="36" s="1"/>
  <c r="E1406" i="36" s="1"/>
  <c r="E1407" i="36" s="1"/>
  <c r="E1408" i="36" s="1"/>
  <c r="E1409" i="36" s="1"/>
  <c r="E1410" i="36" s="1"/>
  <c r="E1411" i="36" s="1"/>
  <c r="E1412" i="36" s="1"/>
  <c r="E1413" i="36" s="1"/>
  <c r="E1414" i="36" s="1"/>
  <c r="E1415" i="36" s="1"/>
  <c r="E1416" i="36" s="1"/>
  <c r="E1417" i="36" s="1"/>
  <c r="E1418" i="36" s="1"/>
  <c r="E1419" i="36" s="1"/>
  <c r="E1420" i="36" s="1"/>
  <c r="E1421" i="36" s="1"/>
  <c r="E1422" i="36" s="1"/>
  <c r="E1423" i="36" s="1"/>
  <c r="E1424" i="36" s="1"/>
  <c r="E1425" i="36" s="1"/>
  <c r="E1426" i="36" s="1"/>
  <c r="E1427" i="36" s="1"/>
  <c r="E1428" i="36" s="1"/>
  <c r="E1429" i="36" s="1"/>
  <c r="E1430" i="36" s="1"/>
  <c r="E1431" i="36" s="1"/>
  <c r="E1432" i="36" s="1"/>
  <c r="E1433" i="36" s="1"/>
  <c r="E1434" i="36" s="1"/>
  <c r="E1435" i="36" s="1"/>
  <c r="E1436" i="36" s="1"/>
  <c r="E1437" i="36" s="1"/>
  <c r="E1438" i="36" s="1"/>
  <c r="E1439" i="36" s="1"/>
  <c r="E1440" i="36" s="1"/>
  <c r="E1441" i="36" s="1"/>
  <c r="E1442" i="36" s="1"/>
  <c r="E1443" i="36" s="1"/>
  <c r="E1444" i="36" s="1"/>
  <c r="E1445" i="36" s="1"/>
  <c r="E1446" i="36" s="1"/>
  <c r="E1447" i="36" s="1"/>
  <c r="E1448" i="36" s="1"/>
  <c r="E1449" i="36" s="1"/>
  <c r="E1450" i="36" s="1"/>
  <c r="E1451" i="36" s="1"/>
  <c r="E1452" i="36" s="1"/>
  <c r="E1453" i="36" s="1"/>
  <c r="E1454" i="36" s="1"/>
  <c r="E1455" i="36" s="1"/>
  <c r="E1456" i="36" s="1"/>
  <c r="E1457" i="36" s="1"/>
  <c r="E1458" i="36" s="1"/>
  <c r="E1459" i="36" s="1"/>
  <c r="E1460" i="36" s="1"/>
  <c r="E1461" i="36" s="1"/>
  <c r="E1462" i="36" s="1"/>
  <c r="E1463" i="36" s="1"/>
  <c r="E1464" i="36" s="1"/>
  <c r="E1465" i="36" s="1"/>
  <c r="E1466" i="36" s="1"/>
  <c r="E1467" i="36" s="1"/>
  <c r="E1468" i="36" s="1"/>
  <c r="E1469" i="36" s="1"/>
  <c r="E1470" i="36" s="1"/>
  <c r="E1471" i="36" s="1"/>
  <c r="E1472" i="36" s="1"/>
  <c r="E1473" i="36" s="1"/>
  <c r="E1474" i="36" s="1"/>
  <c r="E1475" i="36" s="1"/>
  <c r="E1476" i="36" s="1"/>
  <c r="E1477" i="36" s="1"/>
  <c r="E1478" i="36" s="1"/>
  <c r="E1479" i="36" s="1"/>
  <c r="E1480" i="36" s="1"/>
  <c r="E1481" i="36" s="1"/>
  <c r="E1482" i="36" s="1"/>
  <c r="E1483" i="36" s="1"/>
  <c r="E1484" i="36" s="1"/>
  <c r="E1485" i="36" s="1"/>
  <c r="E1486" i="36" s="1"/>
  <c r="E1487" i="36" s="1"/>
  <c r="E1488" i="36" s="1"/>
  <c r="E1489" i="36" s="1"/>
  <c r="E1490" i="36" s="1"/>
  <c r="E1491" i="36" s="1"/>
  <c r="E1492" i="36" s="1"/>
  <c r="E1493" i="36" s="1"/>
  <c r="E1494" i="36" s="1"/>
  <c r="E1495" i="36" s="1"/>
  <c r="E1496" i="36" s="1"/>
  <c r="E1497" i="36" s="1"/>
  <c r="E1498" i="36" s="1"/>
  <c r="E1499" i="36" s="1"/>
  <c r="E1500" i="36" s="1"/>
  <c r="E1501" i="36" s="1"/>
  <c r="E1502" i="36" s="1"/>
  <c r="E1503" i="36" s="1"/>
  <c r="E1504" i="36" s="1"/>
  <c r="E1505" i="36" s="1"/>
  <c r="E1506" i="36" s="1"/>
  <c r="E1507" i="36" s="1"/>
  <c r="E1508" i="36" s="1"/>
  <c r="E1509" i="36" s="1"/>
  <c r="E1510" i="36" s="1"/>
  <c r="E1511" i="36" s="1"/>
  <c r="E1512" i="36" s="1"/>
  <c r="E1513" i="36" s="1"/>
  <c r="E1514" i="36" s="1"/>
  <c r="E1515" i="36" s="1"/>
  <c r="E1516" i="36" s="1"/>
  <c r="E1517" i="36" s="1"/>
  <c r="E1518" i="36" s="1"/>
  <c r="E1519" i="36" s="1"/>
  <c r="E1520" i="36" s="1"/>
  <c r="E1521" i="36" s="1"/>
  <c r="E1522" i="36" s="1"/>
  <c r="E1523" i="36" s="1"/>
  <c r="E1524" i="36" s="1"/>
  <c r="E1525" i="36" s="1"/>
  <c r="E1526" i="36" s="1"/>
  <c r="E1527" i="36" s="1"/>
  <c r="E1528" i="36" s="1"/>
  <c r="E1529" i="36" s="1"/>
  <c r="E1530" i="36" s="1"/>
  <c r="E1531" i="36" s="1"/>
  <c r="E1532" i="36" s="1"/>
  <c r="E1533" i="36" s="1"/>
  <c r="E1534" i="36" s="1"/>
  <c r="E1535" i="36" s="1"/>
  <c r="E1536" i="36" s="1"/>
  <c r="E1537" i="36" s="1"/>
  <c r="E1538" i="36" s="1"/>
  <c r="E1539" i="36" s="1"/>
  <c r="E1540" i="36" s="1"/>
  <c r="E1541" i="36" s="1"/>
  <c r="E1542" i="36" s="1"/>
  <c r="E1543" i="36" s="1"/>
  <c r="E1544" i="36" s="1"/>
  <c r="E1545" i="36" s="1"/>
  <c r="E1546" i="36" s="1"/>
  <c r="E1547" i="36" s="1"/>
  <c r="E1548" i="36" s="1"/>
  <c r="E1549" i="36" s="1"/>
  <c r="E1550" i="36" s="1"/>
  <c r="E1551" i="36" s="1"/>
  <c r="E1552" i="36" s="1"/>
  <c r="E1553" i="36" s="1"/>
  <c r="E1554" i="36" s="1"/>
  <c r="E1555" i="36" s="1"/>
  <c r="E1556" i="36" s="1"/>
  <c r="E1557" i="36" s="1"/>
  <c r="E1558" i="36" s="1"/>
  <c r="E1559" i="36" s="1"/>
  <c r="E1560" i="36" s="1"/>
  <c r="E1561" i="36" s="1"/>
  <c r="E1562" i="36" s="1"/>
  <c r="E1563" i="36" s="1"/>
  <c r="E1564" i="36" s="1"/>
  <c r="E1565" i="36" s="1"/>
  <c r="E1566" i="36" s="1"/>
  <c r="E1567" i="36" s="1"/>
  <c r="E1568" i="36" s="1"/>
  <c r="E1569" i="36" s="1"/>
  <c r="E1570" i="36" s="1"/>
  <c r="E1571" i="36" s="1"/>
  <c r="E1572" i="36" s="1"/>
  <c r="E1573" i="36" s="1"/>
  <c r="E1574" i="36" s="1"/>
  <c r="E1575" i="36" s="1"/>
  <c r="E1576" i="36" s="1"/>
  <c r="E1577" i="36" s="1"/>
  <c r="E1578" i="36" s="1"/>
  <c r="E1579" i="36" s="1"/>
  <c r="E1580" i="36" s="1"/>
  <c r="E1581" i="36" s="1"/>
  <c r="E1582" i="36" s="1"/>
  <c r="E1583" i="36" s="1"/>
  <c r="E1584" i="36" s="1"/>
  <c r="E1585" i="36" s="1"/>
  <c r="E1586" i="36" s="1"/>
  <c r="E1587" i="36" s="1"/>
  <c r="E1588" i="36" s="1"/>
  <c r="E1589" i="36" s="1"/>
  <c r="E1590" i="36" s="1"/>
  <c r="E1591" i="36" s="1"/>
  <c r="E1592" i="36" s="1"/>
  <c r="E1593" i="36" s="1"/>
  <c r="E1594" i="36" s="1"/>
  <c r="E1595" i="36" s="1"/>
  <c r="E1596" i="36" s="1"/>
  <c r="E1597" i="36" s="1"/>
  <c r="E1598" i="36" s="1"/>
  <c r="E1599" i="36" s="1"/>
  <c r="E1600" i="36" s="1"/>
  <c r="E1601" i="36" s="1"/>
  <c r="E1602" i="36" s="1"/>
  <c r="E1603" i="36" s="1"/>
  <c r="E1604" i="36" s="1"/>
  <c r="E1605" i="36" s="1"/>
  <c r="E1606" i="36" s="1"/>
  <c r="E1607" i="36" s="1"/>
  <c r="E1608" i="36" s="1"/>
  <c r="E1609" i="36" s="1"/>
  <c r="E1610" i="36" s="1"/>
  <c r="E1611" i="36" s="1"/>
  <c r="E1612" i="36" s="1"/>
  <c r="E1613" i="36" s="1"/>
  <c r="E1614" i="36" s="1"/>
  <c r="E1615" i="36" s="1"/>
  <c r="E1616" i="36" s="1"/>
  <c r="E1617" i="36" s="1"/>
  <c r="E1618" i="36" s="1"/>
  <c r="E1619" i="36" s="1"/>
  <c r="E1620" i="36" s="1"/>
  <c r="E1621" i="36" s="1"/>
  <c r="E1622" i="36" s="1"/>
  <c r="E1623" i="36" s="1"/>
  <c r="E1624" i="36" s="1"/>
  <c r="E1625" i="36" s="1"/>
  <c r="E1626" i="36" s="1"/>
  <c r="E1627" i="36" s="1"/>
  <c r="E1628" i="36" s="1"/>
  <c r="E1629" i="36" s="1"/>
  <c r="E1630" i="36" s="1"/>
  <c r="E1631" i="36" s="1"/>
  <c r="E1632" i="36" s="1"/>
  <c r="E1633" i="36" s="1"/>
  <c r="E1634" i="36" s="1"/>
  <c r="E1635" i="36" s="1"/>
  <c r="E1636" i="36" s="1"/>
  <c r="E1637" i="36" s="1"/>
  <c r="E1638" i="36" s="1"/>
  <c r="E1639" i="36" s="1"/>
  <c r="E1640" i="36" s="1"/>
  <c r="E1641" i="36" s="1"/>
  <c r="E1642" i="36" s="1"/>
  <c r="E1643" i="36" s="1"/>
  <c r="E1644" i="36" s="1"/>
  <c r="E1645" i="36" s="1"/>
  <c r="E1646" i="36" s="1"/>
  <c r="E1647" i="36" s="1"/>
  <c r="E1648" i="36" s="1"/>
  <c r="E1649" i="36" s="1"/>
  <c r="E1650" i="36" s="1"/>
  <c r="E1651" i="36" s="1"/>
  <c r="E1652" i="36" s="1"/>
  <c r="E1653" i="36" s="1"/>
  <c r="E1654" i="36" s="1"/>
  <c r="E1655" i="36" s="1"/>
  <c r="E1656" i="36" s="1"/>
  <c r="E1657" i="36" s="1"/>
  <c r="E1658" i="36" s="1"/>
  <c r="E1659" i="36" s="1"/>
  <c r="E1660" i="36" s="1"/>
  <c r="E1661" i="36" s="1"/>
  <c r="E1662" i="36" s="1"/>
  <c r="E1663" i="36" s="1"/>
  <c r="E1664" i="36" s="1"/>
  <c r="E1665" i="36" s="1"/>
  <c r="E1666" i="36" s="1"/>
  <c r="E1667" i="36" s="1"/>
  <c r="E1668" i="36" s="1"/>
  <c r="E1669" i="36" s="1"/>
  <c r="E1670" i="36" s="1"/>
  <c r="E1671" i="36" s="1"/>
  <c r="E1672" i="36" s="1"/>
  <c r="E1673" i="36" s="1"/>
  <c r="E1674" i="36" s="1"/>
  <c r="E1675" i="36" s="1"/>
  <c r="E1676" i="36" s="1"/>
  <c r="E1677" i="36" s="1"/>
  <c r="E1678" i="36" s="1"/>
  <c r="E1679" i="36" s="1"/>
  <c r="E1680" i="36" s="1"/>
  <c r="E1681" i="36" s="1"/>
  <c r="E1682" i="36" s="1"/>
  <c r="E1683" i="36" s="1"/>
  <c r="E1684" i="36" s="1"/>
  <c r="E1685" i="36" s="1"/>
  <c r="E1686" i="36" s="1"/>
  <c r="E1687" i="36" s="1"/>
  <c r="E1688" i="36" s="1"/>
  <c r="E1689" i="36" s="1"/>
  <c r="E1690" i="36" s="1"/>
  <c r="E1691" i="36" s="1"/>
  <c r="E1692" i="36" s="1"/>
  <c r="E1693" i="36" s="1"/>
  <c r="E1694" i="36" s="1"/>
  <c r="E1695" i="36" s="1"/>
  <c r="E1696" i="36" s="1"/>
  <c r="E1697" i="36" s="1"/>
  <c r="E1698" i="36" s="1"/>
  <c r="E1699" i="36" s="1"/>
  <c r="E1700" i="36" s="1"/>
  <c r="E1701" i="36" s="1"/>
  <c r="E1702" i="36" s="1"/>
  <c r="E1703" i="36" s="1"/>
  <c r="E1704" i="36" s="1"/>
  <c r="E1705" i="36" s="1"/>
  <c r="E1706" i="36" s="1"/>
  <c r="E1707" i="36" s="1"/>
  <c r="E1708" i="36" s="1"/>
  <c r="E1709" i="36" s="1"/>
  <c r="E1710" i="36" s="1"/>
  <c r="E1711" i="36" s="1"/>
  <c r="E1712" i="36" s="1"/>
  <c r="E1713" i="36" s="1"/>
  <c r="E1714" i="36" s="1"/>
  <c r="E1715" i="36" s="1"/>
  <c r="E1716" i="36" s="1"/>
  <c r="E1717" i="36" s="1"/>
  <c r="E1718" i="36" s="1"/>
  <c r="E1719" i="36" s="1"/>
  <c r="E1720" i="36" s="1"/>
  <c r="E1721" i="36" s="1"/>
  <c r="E1722" i="36" s="1"/>
  <c r="E1723" i="36" s="1"/>
  <c r="E1724" i="36" s="1"/>
  <c r="E1725" i="36" s="1"/>
  <c r="E1726" i="36" s="1"/>
  <c r="E1727" i="36" s="1"/>
  <c r="E1728" i="36" s="1"/>
  <c r="E1729" i="36" s="1"/>
  <c r="E1730" i="36" s="1"/>
  <c r="E1731" i="36" s="1"/>
  <c r="E1732" i="36" s="1"/>
  <c r="E1733" i="36" s="1"/>
  <c r="E1734" i="36" s="1"/>
  <c r="E1735" i="36" s="1"/>
  <c r="E1736" i="36" s="1"/>
  <c r="E1737" i="36" s="1"/>
  <c r="E1738" i="36" s="1"/>
  <c r="E1739" i="36" s="1"/>
  <c r="E1740" i="36" s="1"/>
  <c r="E1741" i="36" s="1"/>
  <c r="E1742" i="36" s="1"/>
  <c r="E1743" i="36" s="1"/>
  <c r="E1744" i="36" s="1"/>
  <c r="E1745" i="36" s="1"/>
  <c r="E1746" i="36" s="1"/>
  <c r="E1747" i="36" s="1"/>
  <c r="E1748" i="36" s="1"/>
  <c r="E1749" i="36" s="1"/>
  <c r="E1750" i="36" s="1"/>
  <c r="E1751" i="36" s="1"/>
  <c r="E1752" i="36" s="1"/>
  <c r="E1753" i="36" s="1"/>
  <c r="E1754" i="36" s="1"/>
  <c r="E1755" i="36" s="1"/>
  <c r="E1756" i="36" s="1"/>
  <c r="E1757" i="36" s="1"/>
  <c r="E1758" i="36" s="1"/>
  <c r="E1759" i="36" s="1"/>
  <c r="E1760" i="36" s="1"/>
  <c r="E1761" i="36" s="1"/>
  <c r="E1762" i="36" s="1"/>
  <c r="E1763" i="36" s="1"/>
  <c r="E1764" i="36" s="1"/>
  <c r="E1765" i="36" s="1"/>
  <c r="E1766" i="36" s="1"/>
  <c r="E1767" i="36" s="1"/>
  <c r="E1768" i="36" s="1"/>
  <c r="E1769" i="36" s="1"/>
  <c r="E1770" i="36" s="1"/>
  <c r="E1771" i="36" s="1"/>
  <c r="E1772" i="36" s="1"/>
  <c r="E1773" i="36" s="1"/>
  <c r="E1774" i="36" s="1"/>
  <c r="E1775" i="36" s="1"/>
  <c r="E1776" i="36" s="1"/>
  <c r="E1777" i="36" s="1"/>
  <c r="E1778" i="36" s="1"/>
  <c r="E1779" i="36" s="1"/>
  <c r="E1780" i="36" s="1"/>
  <c r="E1781" i="36" s="1"/>
  <c r="E1782" i="36" s="1"/>
  <c r="E1783" i="36" s="1"/>
  <c r="E1784" i="36" s="1"/>
  <c r="E1785" i="36" s="1"/>
  <c r="E1786" i="36" s="1"/>
  <c r="E1787" i="36" s="1"/>
  <c r="E1788" i="36" s="1"/>
  <c r="E1789" i="36" s="1"/>
  <c r="E1790" i="36" s="1"/>
  <c r="E1791" i="36" s="1"/>
  <c r="E1792" i="36" s="1"/>
  <c r="E1793" i="36" s="1"/>
  <c r="E1794" i="36" s="1"/>
  <c r="E1795" i="36" s="1"/>
  <c r="E1796" i="36" s="1"/>
  <c r="E1797" i="36" s="1"/>
  <c r="E1798" i="36" s="1"/>
  <c r="E1799" i="36" s="1"/>
  <c r="E1800" i="36" s="1"/>
  <c r="E1801" i="36" s="1"/>
  <c r="E1802" i="36" s="1"/>
  <c r="E1803" i="36" s="1"/>
  <c r="E1804" i="36" s="1"/>
  <c r="E1805" i="36" s="1"/>
  <c r="E1806" i="36" s="1"/>
  <c r="E1807" i="36" s="1"/>
  <c r="E1808" i="36" s="1"/>
  <c r="E1809" i="36" s="1"/>
  <c r="E1810" i="36" s="1"/>
  <c r="E1811" i="36" s="1"/>
  <c r="E1812" i="36" s="1"/>
  <c r="E1813" i="36" s="1"/>
  <c r="E1814" i="36" s="1"/>
  <c r="E1815" i="36" s="1"/>
  <c r="E1816" i="36" s="1"/>
  <c r="E1817" i="36" s="1"/>
  <c r="E1818" i="36" s="1"/>
  <c r="E1819" i="36" s="1"/>
  <c r="E1820" i="36" s="1"/>
  <c r="E1821" i="36" s="1"/>
  <c r="E1822" i="36" s="1"/>
  <c r="E1823" i="36" s="1"/>
  <c r="E1824" i="36" s="1"/>
  <c r="E1825" i="36" s="1"/>
  <c r="E1826" i="36" s="1"/>
  <c r="E1827" i="36" s="1"/>
  <c r="E1828" i="36" s="1"/>
  <c r="E1829" i="36" s="1"/>
  <c r="E1830" i="36" s="1"/>
  <c r="E1831" i="36" s="1"/>
  <c r="E1832" i="36" s="1"/>
  <c r="E1833" i="36" s="1"/>
  <c r="E1834" i="36" s="1"/>
  <c r="E1835" i="36" s="1"/>
  <c r="E1836" i="36" s="1"/>
  <c r="E1837" i="36" s="1"/>
  <c r="E1838" i="36" s="1"/>
  <c r="E1839" i="36" s="1"/>
  <c r="E1840" i="36" s="1"/>
  <c r="E1841" i="36" s="1"/>
  <c r="E1842" i="36" s="1"/>
  <c r="E1843" i="36" s="1"/>
  <c r="E1844" i="36" s="1"/>
  <c r="E1845" i="36" s="1"/>
  <c r="E1846" i="36" s="1"/>
  <c r="E1847" i="36" s="1"/>
  <c r="E1848" i="36" s="1"/>
  <c r="E1849" i="36" s="1"/>
  <c r="E1850" i="36" s="1"/>
  <c r="E1851" i="36" s="1"/>
  <c r="E1852" i="36" s="1"/>
  <c r="E1853" i="36" s="1"/>
  <c r="E1854" i="36" s="1"/>
  <c r="E1855" i="36" s="1"/>
  <c r="E1856" i="36" s="1"/>
  <c r="E1857" i="36" s="1"/>
  <c r="E1858" i="36" s="1"/>
  <c r="E1859" i="36" s="1"/>
  <c r="E1860" i="36" s="1"/>
  <c r="E1861" i="36" s="1"/>
  <c r="E1862" i="36" s="1"/>
  <c r="E1863" i="36" s="1"/>
  <c r="E1864" i="36" s="1"/>
  <c r="E1865" i="36" s="1"/>
  <c r="E1866" i="36" s="1"/>
  <c r="E1867" i="36" s="1"/>
  <c r="E1868" i="36" s="1"/>
  <c r="E1869" i="36" s="1"/>
  <c r="E1870" i="36" s="1"/>
  <c r="E1871" i="36" s="1"/>
  <c r="E1872" i="36" s="1"/>
  <c r="E1873" i="36" s="1"/>
  <c r="E1874" i="36" s="1"/>
  <c r="E1875" i="36" s="1"/>
  <c r="E1876" i="36" s="1"/>
  <c r="E1877" i="36" s="1"/>
  <c r="E1878" i="36" s="1"/>
  <c r="E1879" i="36" s="1"/>
  <c r="E1880" i="36" s="1"/>
  <c r="E1881" i="36" s="1"/>
  <c r="E1882" i="36" s="1"/>
  <c r="E1883" i="36" s="1"/>
  <c r="E1884" i="36" s="1"/>
  <c r="E1885" i="36" s="1"/>
  <c r="E1886" i="36" s="1"/>
  <c r="E1887" i="36" s="1"/>
  <c r="E1888" i="36" s="1"/>
  <c r="E1889" i="36" s="1"/>
  <c r="E1890" i="36" s="1"/>
  <c r="E1891" i="36" s="1"/>
  <c r="E1892" i="36" s="1"/>
  <c r="E1893" i="36" s="1"/>
  <c r="E1894" i="36" s="1"/>
  <c r="E1895" i="36" s="1"/>
  <c r="E1896" i="36" s="1"/>
  <c r="E1897" i="36" s="1"/>
  <c r="E1898" i="36" s="1"/>
  <c r="E1899" i="36" s="1"/>
  <c r="E1900" i="36" s="1"/>
  <c r="E1901" i="36" s="1"/>
  <c r="E1902" i="36" s="1"/>
  <c r="E1903" i="36" s="1"/>
  <c r="E1904" i="36" s="1"/>
  <c r="E1905" i="36" s="1"/>
  <c r="E1906" i="36" s="1"/>
  <c r="E1907" i="36" s="1"/>
  <c r="E1908" i="36" s="1"/>
  <c r="E1909" i="36" s="1"/>
  <c r="E1910" i="36" s="1"/>
  <c r="E1911" i="36" s="1"/>
  <c r="E1912" i="36" s="1"/>
  <c r="E1913" i="36" s="1"/>
  <c r="E1914" i="36" s="1"/>
  <c r="E1915" i="36" s="1"/>
  <c r="E1916" i="36" s="1"/>
  <c r="E1917" i="36" s="1"/>
  <c r="E1918" i="36" s="1"/>
  <c r="E1919" i="36" s="1"/>
  <c r="E1920" i="36" s="1"/>
  <c r="E1921" i="36" s="1"/>
  <c r="E1922" i="36" s="1"/>
  <c r="E1923" i="36" s="1"/>
  <c r="E1924" i="36" s="1"/>
  <c r="E1925" i="36" s="1"/>
  <c r="E1926" i="36" s="1"/>
  <c r="E1927" i="36" s="1"/>
  <c r="E1928" i="36" s="1"/>
  <c r="E1929" i="36" s="1"/>
  <c r="E1930" i="36" s="1"/>
  <c r="E1931" i="36" s="1"/>
  <c r="E1932" i="36" s="1"/>
  <c r="E1933" i="36" s="1"/>
  <c r="E1934" i="36" s="1"/>
  <c r="E1935" i="36" s="1"/>
  <c r="E1936" i="36" s="1"/>
  <c r="E1937" i="36" s="1"/>
  <c r="E1938" i="36" s="1"/>
  <c r="E1939" i="36" s="1"/>
  <c r="E1940" i="36" s="1"/>
  <c r="E1941" i="36" s="1"/>
  <c r="E1942" i="36" s="1"/>
  <c r="E1943" i="36" s="1"/>
  <c r="E1944" i="36" s="1"/>
  <c r="E1945" i="36" s="1"/>
  <c r="E1946" i="36" s="1"/>
  <c r="E1947" i="36" s="1"/>
  <c r="E1948" i="36" s="1"/>
  <c r="E1949" i="36" s="1"/>
  <c r="E1950" i="36" s="1"/>
  <c r="E1951" i="36" s="1"/>
  <c r="E1952" i="36" s="1"/>
  <c r="E1953" i="36" s="1"/>
  <c r="E1954" i="36" s="1"/>
  <c r="E1955" i="36" s="1"/>
  <c r="E1956" i="36" s="1"/>
  <c r="E1957" i="36" s="1"/>
  <c r="E1958" i="36" s="1"/>
  <c r="E1959" i="36" s="1"/>
  <c r="E1960" i="36" s="1"/>
  <c r="E1961" i="36" s="1"/>
  <c r="E1962" i="36" s="1"/>
  <c r="E1963" i="36" s="1"/>
  <c r="E1964" i="36" s="1"/>
  <c r="E1965" i="36" s="1"/>
  <c r="E1966" i="36" s="1"/>
  <c r="E1967" i="36" s="1"/>
  <c r="E1968" i="36" s="1"/>
  <c r="E1969" i="36" s="1"/>
  <c r="E1970" i="36" s="1"/>
  <c r="E1971" i="36" s="1"/>
  <c r="E1972" i="36" s="1"/>
  <c r="E1973" i="36" s="1"/>
  <c r="E1974" i="36" s="1"/>
  <c r="E1975" i="36" s="1"/>
  <c r="E1976" i="36" s="1"/>
  <c r="E1977" i="36" s="1"/>
  <c r="E1978" i="36" s="1"/>
  <c r="E1979" i="36" s="1"/>
  <c r="E1980" i="36" s="1"/>
  <c r="E1981" i="36" s="1"/>
  <c r="E1982" i="36" s="1"/>
  <c r="E1983" i="36" s="1"/>
  <c r="E1984" i="36" s="1"/>
  <c r="E1985" i="36" s="1"/>
  <c r="E1986" i="36" s="1"/>
  <c r="E1987" i="36" s="1"/>
  <c r="E1988" i="36" s="1"/>
  <c r="E1989" i="36" s="1"/>
  <c r="E1990" i="36" s="1"/>
  <c r="E1991" i="36" s="1"/>
  <c r="E1992" i="36" s="1"/>
  <c r="E1993" i="36" s="1"/>
  <c r="E1994" i="36" s="1"/>
  <c r="E1995" i="36" s="1"/>
  <c r="E1996" i="36" s="1"/>
  <c r="E1997" i="36" s="1"/>
  <c r="E1998" i="36" s="1"/>
  <c r="E1999" i="36" s="1"/>
  <c r="E2000" i="36" s="1"/>
  <c r="E2001" i="36" s="1"/>
  <c r="E2002" i="36" s="1"/>
  <c r="E2003" i="36" s="1"/>
  <c r="E2004" i="36" s="1"/>
  <c r="E2005" i="36" s="1"/>
  <c r="E2006" i="36" s="1"/>
  <c r="E2007" i="36" s="1"/>
  <c r="E2008" i="36" s="1"/>
  <c r="E2009" i="36" s="1"/>
  <c r="E2010" i="36" s="1"/>
  <c r="E2011" i="36" s="1"/>
  <c r="E2012" i="36" s="1"/>
  <c r="E2013" i="36" s="1"/>
  <c r="E2014" i="36" s="1"/>
  <c r="E2015" i="36" s="1"/>
  <c r="E2016" i="36" s="1"/>
  <c r="E2017" i="36" s="1"/>
  <c r="E2018" i="36" s="1"/>
  <c r="E2019" i="36" s="1"/>
  <c r="E2020" i="36" s="1"/>
  <c r="E2021" i="36" s="1"/>
  <c r="E2022" i="36" s="1"/>
  <c r="E2023" i="36" s="1"/>
  <c r="E2024" i="36" s="1"/>
  <c r="E2025" i="36" s="1"/>
  <c r="E2026" i="36" s="1"/>
  <c r="E2027" i="36" s="1"/>
  <c r="E2028" i="36" s="1"/>
  <c r="E2029" i="36" s="1"/>
  <c r="E2030" i="36" s="1"/>
  <c r="E2031" i="36" s="1"/>
  <c r="E2032" i="36" s="1"/>
  <c r="E2033" i="36" s="1"/>
  <c r="E2034" i="36" s="1"/>
  <c r="E2035" i="36" s="1"/>
  <c r="E2036" i="36" s="1"/>
  <c r="E2037" i="36" s="1"/>
  <c r="E2038" i="36" s="1"/>
  <c r="E2039" i="36" s="1"/>
  <c r="E2040" i="36" s="1"/>
  <c r="E2041" i="36" s="1"/>
  <c r="E2042" i="36" s="1"/>
  <c r="E2043" i="36" s="1"/>
  <c r="E2044" i="36" s="1"/>
  <c r="E2045" i="36" s="1"/>
  <c r="E2046" i="36" s="1"/>
  <c r="E2047" i="36" s="1"/>
  <c r="E2048" i="36" s="1"/>
  <c r="E2049" i="36" s="1"/>
  <c r="E2050" i="36" s="1"/>
  <c r="E2051" i="36" s="1"/>
  <c r="E2052" i="36" s="1"/>
  <c r="E2053" i="36" s="1"/>
  <c r="E2054" i="36" s="1"/>
  <c r="E2055" i="36" s="1"/>
  <c r="E2056" i="36" s="1"/>
  <c r="E2057" i="36" s="1"/>
  <c r="E2058" i="36" s="1"/>
  <c r="E2059" i="36" s="1"/>
  <c r="E2060" i="36" s="1"/>
  <c r="E2061" i="36" s="1"/>
  <c r="E2062" i="36" s="1"/>
  <c r="E2063" i="36" s="1"/>
  <c r="E2064" i="36" s="1"/>
  <c r="E2065" i="36" s="1"/>
  <c r="E2066" i="36" s="1"/>
  <c r="E2067" i="36" s="1"/>
  <c r="E2068" i="36" s="1"/>
  <c r="E2069" i="36" s="1"/>
  <c r="E2070" i="36" s="1"/>
  <c r="E2071" i="36" s="1"/>
  <c r="E2072" i="36" s="1"/>
  <c r="E2073" i="36" s="1"/>
  <c r="E2074" i="36" s="1"/>
  <c r="E2075" i="36" s="1"/>
  <c r="E2076" i="36" s="1"/>
  <c r="E2077" i="36" s="1"/>
  <c r="E2078" i="36" s="1"/>
  <c r="E2079" i="36" s="1"/>
  <c r="E2080" i="36" s="1"/>
  <c r="E2081" i="36" s="1"/>
  <c r="E2082" i="36" s="1"/>
  <c r="E2083" i="36" s="1"/>
  <c r="E2084" i="36" s="1"/>
  <c r="E2085" i="36" s="1"/>
  <c r="E2086" i="36" s="1"/>
  <c r="E2087" i="36" s="1"/>
  <c r="E2088" i="36" s="1"/>
  <c r="E2089" i="36" s="1"/>
  <c r="E2090" i="36" s="1"/>
  <c r="E2091" i="36" s="1"/>
  <c r="E2092" i="36" s="1"/>
  <c r="E2093" i="36" s="1"/>
  <c r="E2094" i="36" s="1"/>
  <c r="E2095" i="36" s="1"/>
  <c r="E2096" i="36" s="1"/>
  <c r="E2097" i="36" s="1"/>
  <c r="E2098" i="36" s="1"/>
  <c r="E2099" i="36" s="1"/>
  <c r="E2100" i="36" s="1"/>
  <c r="E2101" i="36" s="1"/>
  <c r="E2102" i="36" s="1"/>
  <c r="E2103" i="36" s="1"/>
  <c r="E2104" i="36" s="1"/>
  <c r="E2105" i="36" s="1"/>
  <c r="E2106" i="36" s="1"/>
  <c r="E2107" i="36" s="1"/>
  <c r="E2108" i="36" s="1"/>
  <c r="E2109" i="36" s="1"/>
  <c r="E2110" i="36" s="1"/>
  <c r="E2111" i="36" s="1"/>
  <c r="E2112" i="36" s="1"/>
  <c r="E2113" i="36" s="1"/>
  <c r="E2114" i="36" s="1"/>
  <c r="E2115" i="36" s="1"/>
  <c r="E2116" i="36" s="1"/>
  <c r="E2117" i="36" s="1"/>
  <c r="E2118" i="36" s="1"/>
  <c r="E2119" i="36" s="1"/>
  <c r="E2120" i="36" s="1"/>
  <c r="E2121" i="36" s="1"/>
  <c r="E2122" i="36" s="1"/>
  <c r="E2123" i="36" s="1"/>
  <c r="E2124" i="36" s="1"/>
  <c r="E2125" i="36" s="1"/>
  <c r="E2126" i="36" s="1"/>
  <c r="E2127" i="36" s="1"/>
  <c r="E2128" i="36" s="1"/>
  <c r="E2129" i="36" s="1"/>
  <c r="E2130" i="36" s="1"/>
  <c r="E2131" i="36" s="1"/>
  <c r="E2132" i="36" s="1"/>
  <c r="E2133" i="36" s="1"/>
  <c r="E2134" i="36" s="1"/>
  <c r="E2135" i="36" s="1"/>
  <c r="E2136" i="36" s="1"/>
  <c r="E2137" i="36" s="1"/>
  <c r="E2138" i="36" s="1"/>
  <c r="E2139" i="36" s="1"/>
  <c r="E2140" i="36" s="1"/>
  <c r="E2141" i="36" s="1"/>
  <c r="E2142" i="36" s="1"/>
  <c r="E2143" i="36" s="1"/>
  <c r="E2144" i="36" s="1"/>
  <c r="E2145" i="36" s="1"/>
  <c r="E2146" i="36" s="1"/>
  <c r="E2147" i="36" s="1"/>
  <c r="E2148" i="36" s="1"/>
  <c r="E2149" i="36" s="1"/>
  <c r="E2150" i="36" s="1"/>
  <c r="E2151" i="36" s="1"/>
  <c r="E2152" i="36" s="1"/>
  <c r="E2153" i="36" s="1"/>
  <c r="E2154" i="36" s="1"/>
  <c r="E2155" i="36" s="1"/>
  <c r="E2156" i="36" s="1"/>
  <c r="E2157" i="36" s="1"/>
  <c r="E2158" i="36" s="1"/>
  <c r="E2159" i="36" s="1"/>
  <c r="E2160" i="36" s="1"/>
  <c r="E2161" i="36" s="1"/>
  <c r="E2162" i="36" s="1"/>
  <c r="E2163" i="36" s="1"/>
  <c r="E2164" i="36" s="1"/>
  <c r="E2165" i="36" s="1"/>
  <c r="E2166" i="36" s="1"/>
  <c r="E2167" i="36" s="1"/>
  <c r="E2168" i="36" s="1"/>
  <c r="E2169" i="36" s="1"/>
  <c r="E2170" i="36" s="1"/>
  <c r="E2171" i="36" s="1"/>
  <c r="E2172" i="36" s="1"/>
  <c r="E2173" i="36" s="1"/>
  <c r="E2174" i="36" s="1"/>
  <c r="E2175" i="36" s="1"/>
  <c r="E2176" i="36" s="1"/>
  <c r="E2177" i="36" s="1"/>
  <c r="E2178" i="36" s="1"/>
  <c r="E2179" i="36" s="1"/>
  <c r="E2180" i="36" s="1"/>
  <c r="E2181" i="36" s="1"/>
  <c r="E2182" i="36" s="1"/>
  <c r="E2183" i="36" s="1"/>
  <c r="E2184" i="36" s="1"/>
  <c r="E2185" i="36" s="1"/>
  <c r="E2186" i="36" s="1"/>
  <c r="E2187" i="36" s="1"/>
  <c r="E2188" i="36" s="1"/>
  <c r="E2189" i="36" s="1"/>
  <c r="E2190" i="36" s="1"/>
  <c r="E2191" i="36" s="1"/>
  <c r="E2192" i="36" s="1"/>
  <c r="E2193" i="36" s="1"/>
  <c r="E2194" i="36" s="1"/>
  <c r="E2195" i="36" s="1"/>
  <c r="E2196" i="36" s="1"/>
  <c r="E2197" i="36" s="1"/>
  <c r="E2198" i="36" s="1"/>
  <c r="E2199" i="36" s="1"/>
  <c r="E2200" i="36" s="1"/>
  <c r="E2201" i="36" s="1"/>
  <c r="E2202" i="36" s="1"/>
  <c r="E2203" i="36" s="1"/>
  <c r="E2204" i="36" s="1"/>
  <c r="E2205" i="36" s="1"/>
  <c r="E2206" i="36" s="1"/>
  <c r="E2207" i="36" s="1"/>
  <c r="E2208" i="36" s="1"/>
  <c r="E2209" i="36" s="1"/>
  <c r="E2210" i="36" s="1"/>
  <c r="E2211" i="36" s="1"/>
  <c r="E2212" i="36" s="1"/>
  <c r="E2213" i="36" s="1"/>
  <c r="E2214" i="36" s="1"/>
  <c r="E2215" i="36" s="1"/>
  <c r="E2216" i="36" s="1"/>
  <c r="E2217" i="36" s="1"/>
  <c r="E2218" i="36" s="1"/>
  <c r="E2219" i="36" s="1"/>
  <c r="E2220" i="36" s="1"/>
  <c r="E2221" i="36" s="1"/>
  <c r="E2222" i="36" s="1"/>
  <c r="E2223" i="36" s="1"/>
  <c r="E2224" i="36" s="1"/>
  <c r="E2225" i="36" s="1"/>
  <c r="E2226" i="36" s="1"/>
  <c r="E2227" i="36" s="1"/>
  <c r="E2228" i="36" s="1"/>
  <c r="E2229" i="36" s="1"/>
  <c r="E2230" i="36" s="1"/>
  <c r="E2231" i="36" s="1"/>
  <c r="E2232" i="36" s="1"/>
  <c r="E2233" i="36" s="1"/>
  <c r="E2234" i="36" s="1"/>
  <c r="E2235" i="36" s="1"/>
  <c r="E2236" i="36" s="1"/>
  <c r="E2237" i="36" s="1"/>
  <c r="E2238" i="36" s="1"/>
  <c r="E2239" i="36" s="1"/>
  <c r="E2240" i="36" s="1"/>
  <c r="E2241" i="36" s="1"/>
  <c r="E2242" i="36" s="1"/>
  <c r="E2243" i="36" s="1"/>
  <c r="E2244" i="36" s="1"/>
  <c r="E2245" i="36" s="1"/>
  <c r="E2246" i="36" s="1"/>
  <c r="E2247" i="36" s="1"/>
  <c r="E2248" i="36" s="1"/>
  <c r="E2249" i="36" s="1"/>
  <c r="E2250" i="36" s="1"/>
  <c r="E2251" i="36" s="1"/>
  <c r="E2252" i="36" s="1"/>
  <c r="E2253" i="36" s="1"/>
  <c r="E2254" i="36" s="1"/>
  <c r="E2255" i="36" s="1"/>
  <c r="E2256" i="36" s="1"/>
  <c r="E2257" i="36" s="1"/>
  <c r="E2258" i="36" s="1"/>
  <c r="E2259" i="36" s="1"/>
  <c r="E2260" i="36" s="1"/>
  <c r="E2261" i="36" s="1"/>
  <c r="E2262" i="36" s="1"/>
  <c r="E2263" i="36" s="1"/>
  <c r="E2264" i="36" s="1"/>
  <c r="E2265" i="36" s="1"/>
  <c r="E2266" i="36" s="1"/>
  <c r="E2267" i="36" s="1"/>
  <c r="E2268" i="36" s="1"/>
  <c r="E2269" i="36" s="1"/>
  <c r="E2270" i="36" s="1"/>
  <c r="E2271" i="36" s="1"/>
  <c r="E2272" i="36" s="1"/>
  <c r="E2273" i="36" s="1"/>
  <c r="E2274" i="36" s="1"/>
  <c r="E2275" i="36" s="1"/>
  <c r="E2276" i="36" s="1"/>
  <c r="E2277" i="36" s="1"/>
  <c r="E2278" i="36" s="1"/>
  <c r="E2279" i="36" s="1"/>
  <c r="E2280" i="36" s="1"/>
  <c r="E2281" i="36" s="1"/>
  <c r="E2282" i="36" s="1"/>
  <c r="E2283" i="36" s="1"/>
  <c r="E2284" i="36" s="1"/>
  <c r="E2285" i="36" s="1"/>
  <c r="E2286" i="36" s="1"/>
  <c r="E2287" i="36" s="1"/>
  <c r="E2288" i="36" s="1"/>
  <c r="E2289" i="36" s="1"/>
  <c r="E2290" i="36" s="1"/>
  <c r="E2291" i="36" s="1"/>
  <c r="E2292" i="36" s="1"/>
  <c r="E2293" i="36" s="1"/>
  <c r="E2294" i="36" s="1"/>
  <c r="E2295" i="36" s="1"/>
  <c r="E2296" i="36" s="1"/>
  <c r="E2297" i="36" s="1"/>
  <c r="E2298" i="36" s="1"/>
  <c r="E2299" i="36" s="1"/>
  <c r="E2300" i="36" s="1"/>
  <c r="E2301" i="36" s="1"/>
  <c r="E2302" i="36" s="1"/>
  <c r="E2303" i="36" s="1"/>
  <c r="E2304" i="36" s="1"/>
  <c r="E2305" i="36" s="1"/>
  <c r="E2306" i="36" s="1"/>
  <c r="E2307" i="36" s="1"/>
  <c r="E2308" i="36" s="1"/>
  <c r="E2309" i="36" s="1"/>
  <c r="E2310" i="36" s="1"/>
  <c r="E2311" i="36" s="1"/>
  <c r="E2312" i="36" s="1"/>
  <c r="E2313" i="36" s="1"/>
  <c r="E2314" i="36" s="1"/>
  <c r="E2315" i="36" s="1"/>
  <c r="E2316" i="36" s="1"/>
  <c r="E2317" i="36" s="1"/>
  <c r="E2318" i="36" s="1"/>
  <c r="E2319" i="36" s="1"/>
  <c r="E2320" i="36" s="1"/>
  <c r="E2321" i="36" s="1"/>
  <c r="E2322" i="36" s="1"/>
  <c r="E2323" i="36" s="1"/>
  <c r="E2324" i="36" s="1"/>
  <c r="E2325" i="36" s="1"/>
  <c r="E2326" i="36" s="1"/>
  <c r="E2327" i="36" s="1"/>
  <c r="E2328" i="36" s="1"/>
  <c r="E2329" i="36" s="1"/>
  <c r="E2330" i="36" s="1"/>
  <c r="E2331" i="36" s="1"/>
  <c r="E2332" i="36" s="1"/>
  <c r="E2333" i="36" s="1"/>
  <c r="E2334" i="36" s="1"/>
  <c r="E2335" i="36" s="1"/>
  <c r="E2336" i="36" s="1"/>
  <c r="E2337" i="36" s="1"/>
  <c r="E2338" i="36" s="1"/>
  <c r="E2339" i="36" s="1"/>
  <c r="E2340" i="36" s="1"/>
  <c r="E2341" i="36" s="1"/>
  <c r="E2342" i="36" s="1"/>
  <c r="E2343" i="36" s="1"/>
  <c r="E2344" i="36" s="1"/>
  <c r="E2345" i="36" s="1"/>
  <c r="E2346" i="36" s="1"/>
  <c r="E2347" i="36" s="1"/>
  <c r="E2348" i="36" s="1"/>
  <c r="E2349" i="36" s="1"/>
  <c r="E2350" i="36" s="1"/>
  <c r="E2351" i="36" s="1"/>
  <c r="E2352" i="36" s="1"/>
  <c r="E2353" i="36" s="1"/>
  <c r="E2354" i="36" s="1"/>
  <c r="E2355" i="36" s="1"/>
  <c r="E2356" i="36" s="1"/>
  <c r="E2357" i="36" s="1"/>
  <c r="E2358" i="36" s="1"/>
  <c r="E2359" i="36" s="1"/>
  <c r="E2360" i="36" s="1"/>
  <c r="E2361" i="36" s="1"/>
  <c r="E2362" i="36" s="1"/>
  <c r="E2363" i="36" s="1"/>
  <c r="E2364" i="36" s="1"/>
  <c r="E2365" i="36" s="1"/>
  <c r="E2366" i="36" s="1"/>
  <c r="E2367" i="36" s="1"/>
  <c r="E2368" i="36" s="1"/>
  <c r="E2369" i="36" s="1"/>
  <c r="E2370" i="36" s="1"/>
  <c r="E2371" i="36" s="1"/>
  <c r="E2372" i="36" s="1"/>
  <c r="E2373" i="36" s="1"/>
  <c r="E2374" i="36" s="1"/>
  <c r="E2375" i="36" s="1"/>
  <c r="E2376" i="36" s="1"/>
  <c r="E2377" i="36" s="1"/>
  <c r="E2378" i="36" s="1"/>
  <c r="E2379" i="36" s="1"/>
  <c r="E2380" i="36" s="1"/>
  <c r="E2381" i="36" s="1"/>
  <c r="E2382" i="36" s="1"/>
  <c r="E2383" i="36" s="1"/>
  <c r="E2384" i="36" s="1"/>
  <c r="E2385" i="36" s="1"/>
  <c r="E2386" i="36" s="1"/>
  <c r="E2387" i="36" s="1"/>
  <c r="E2388" i="36" s="1"/>
  <c r="E2389" i="36" s="1"/>
  <c r="E2390" i="36" s="1"/>
  <c r="E2391" i="36" s="1"/>
  <c r="E2392" i="36" s="1"/>
  <c r="E2393" i="36" s="1"/>
  <c r="E2394" i="36" s="1"/>
  <c r="E2395" i="36" s="1"/>
  <c r="E2396" i="36" s="1"/>
  <c r="E2397" i="36" s="1"/>
  <c r="E2398" i="36" s="1"/>
  <c r="E2399" i="36" s="1"/>
  <c r="E2400" i="36" s="1"/>
  <c r="E2401" i="36" s="1"/>
  <c r="E2402" i="36" s="1"/>
  <c r="E2403" i="36" s="1"/>
  <c r="E2404" i="36" s="1"/>
  <c r="E2405" i="36" s="1"/>
  <c r="E2406" i="36" s="1"/>
  <c r="E2407" i="36" s="1"/>
  <c r="E2408" i="36" s="1"/>
  <c r="E2409" i="36" s="1"/>
  <c r="E2410" i="36" s="1"/>
  <c r="E2411" i="36" s="1"/>
  <c r="E2412" i="36" s="1"/>
  <c r="E2413" i="36" s="1"/>
  <c r="E2414" i="36" s="1"/>
  <c r="E2415" i="36" s="1"/>
  <c r="E2416" i="36" s="1"/>
  <c r="E2417" i="36" s="1"/>
  <c r="E2418" i="36" s="1"/>
  <c r="E2419" i="36" s="1"/>
  <c r="E2420" i="36" s="1"/>
  <c r="E2421" i="36" s="1"/>
  <c r="E2422" i="36" s="1"/>
  <c r="E2423" i="36" s="1"/>
  <c r="E2424" i="36" s="1"/>
  <c r="E2425" i="36" s="1"/>
  <c r="E2426" i="36" s="1"/>
  <c r="E2427" i="36" s="1"/>
  <c r="E2428" i="36" s="1"/>
  <c r="E2429" i="36" s="1"/>
  <c r="E2430" i="36" s="1"/>
  <c r="E2431" i="36" s="1"/>
  <c r="E2432" i="36" s="1"/>
  <c r="E2433" i="36" s="1"/>
  <c r="E2434" i="36" s="1"/>
  <c r="E2435" i="36" s="1"/>
  <c r="E2436" i="36" s="1"/>
  <c r="E2437" i="36" s="1"/>
  <c r="E2438" i="36" s="1"/>
  <c r="E2439" i="36" s="1"/>
  <c r="E2440" i="36" s="1"/>
  <c r="E2441" i="36" s="1"/>
  <c r="E2442" i="36" s="1"/>
  <c r="E2443" i="36" s="1"/>
  <c r="E2444" i="36" s="1"/>
  <c r="E2445" i="36" s="1"/>
  <c r="E2446" i="36" s="1"/>
  <c r="E2447" i="36" s="1"/>
  <c r="E2448" i="36" s="1"/>
  <c r="E2449" i="36" s="1"/>
  <c r="E2450" i="36" s="1"/>
  <c r="E2451" i="36" s="1"/>
  <c r="E2452" i="36" s="1"/>
  <c r="E2453" i="36" s="1"/>
  <c r="E2454" i="36" s="1"/>
  <c r="E2455" i="36" s="1"/>
  <c r="E2456" i="36" s="1"/>
  <c r="E2457" i="36" s="1"/>
  <c r="E2458" i="36" s="1"/>
  <c r="E2459" i="36" s="1"/>
  <c r="E2460" i="36" s="1"/>
  <c r="E2461" i="36" s="1"/>
  <c r="E2462" i="36" s="1"/>
  <c r="E2463" i="36" s="1"/>
  <c r="E2464" i="36" s="1"/>
  <c r="E2465" i="36" s="1"/>
  <c r="E2466" i="36" s="1"/>
  <c r="E2467" i="36" s="1"/>
  <c r="E2468" i="36" s="1"/>
  <c r="E2469" i="36" s="1"/>
  <c r="E2470" i="36" s="1"/>
  <c r="E2471" i="36" s="1"/>
  <c r="E2472" i="36" s="1"/>
  <c r="E2473" i="36" s="1"/>
  <c r="E2474" i="36" s="1"/>
  <c r="E2475" i="36" s="1"/>
  <c r="E2476" i="36" s="1"/>
  <c r="E2477" i="36" s="1"/>
  <c r="E2478" i="36" s="1"/>
  <c r="E2479" i="36" s="1"/>
  <c r="E2480" i="36" s="1"/>
  <c r="E2481" i="36" s="1"/>
  <c r="E2482" i="36" s="1"/>
  <c r="E2483" i="36" s="1"/>
  <c r="E2484" i="36" s="1"/>
  <c r="E2485" i="36" s="1"/>
  <c r="E2486" i="36" s="1"/>
  <c r="E2487" i="36" s="1"/>
  <c r="E2488" i="36" s="1"/>
  <c r="E2489" i="36" s="1"/>
  <c r="E2490" i="36" s="1"/>
  <c r="E2491" i="36" s="1"/>
  <c r="E2492" i="36" s="1"/>
  <c r="E2493" i="36" s="1"/>
  <c r="E2494" i="36" s="1"/>
  <c r="E2495" i="36" s="1"/>
  <c r="E2496" i="36" s="1"/>
  <c r="E2497" i="36" s="1"/>
  <c r="E2498" i="36" s="1"/>
  <c r="E2499" i="36" s="1"/>
  <c r="E2500" i="36" s="1"/>
  <c r="E2501" i="36" s="1"/>
  <c r="E2502" i="36" s="1"/>
  <c r="E2503" i="36" s="1"/>
  <c r="E2504" i="36" s="1"/>
  <c r="E2505" i="36" s="1"/>
  <c r="E2506" i="36" s="1"/>
  <c r="E2507" i="36" s="1"/>
  <c r="E2508" i="36" s="1"/>
  <c r="E2509" i="36" s="1"/>
  <c r="E2510" i="36" s="1"/>
  <c r="E2511" i="36" s="1"/>
  <c r="E2512" i="36" s="1"/>
  <c r="E2513" i="36" s="1"/>
  <c r="E2514" i="36" s="1"/>
  <c r="E2515" i="36" s="1"/>
  <c r="E2516" i="36" s="1"/>
  <c r="E2517" i="36" s="1"/>
  <c r="E2518" i="36" s="1"/>
  <c r="E2519" i="36" s="1"/>
  <c r="E2520" i="36" s="1"/>
  <c r="E2521" i="36" s="1"/>
  <c r="E2522" i="36" s="1"/>
  <c r="E2523" i="36" s="1"/>
  <c r="E2524" i="36" s="1"/>
  <c r="E2525" i="36" s="1"/>
  <c r="E2526" i="36" s="1"/>
  <c r="E2527" i="36" s="1"/>
  <c r="E2528" i="36" s="1"/>
  <c r="E2529" i="36" s="1"/>
  <c r="E2530" i="36" s="1"/>
  <c r="E2531" i="36" s="1"/>
  <c r="E2532" i="36" s="1"/>
  <c r="E2533" i="36" s="1"/>
  <c r="E2534" i="36" s="1"/>
  <c r="E2535" i="36" s="1"/>
  <c r="E2536" i="36" s="1"/>
  <c r="E2537" i="36" s="1"/>
  <c r="E2538" i="36" s="1"/>
  <c r="E2539" i="36" s="1"/>
  <c r="E2540" i="36" s="1"/>
  <c r="E2541" i="36" s="1"/>
  <c r="E2542" i="36" s="1"/>
  <c r="E2543" i="36" s="1"/>
  <c r="E2544" i="36" s="1"/>
  <c r="E2545" i="36" s="1"/>
  <c r="E2546" i="36" s="1"/>
  <c r="E2547" i="36" s="1"/>
  <c r="E2548" i="36" s="1"/>
  <c r="E2549" i="36" s="1"/>
  <c r="E2550" i="36" s="1"/>
  <c r="E2551" i="36" s="1"/>
  <c r="E2552" i="36" s="1"/>
  <c r="E2553" i="36" s="1"/>
  <c r="E2554" i="36" s="1"/>
  <c r="E2555" i="36" s="1"/>
  <c r="E2556" i="36" s="1"/>
  <c r="E2557" i="36" s="1"/>
  <c r="E2558" i="36" s="1"/>
  <c r="E2559" i="36" s="1"/>
  <c r="E2560" i="36" s="1"/>
  <c r="E2561" i="36" s="1"/>
  <c r="E2562" i="36" s="1"/>
  <c r="E2563" i="36" s="1"/>
  <c r="E2564" i="36" s="1"/>
  <c r="E2565" i="36" s="1"/>
  <c r="E2566" i="36" s="1"/>
  <c r="E2567" i="36" s="1"/>
  <c r="E2568" i="36" s="1"/>
  <c r="E2569" i="36" s="1"/>
  <c r="E2570" i="36" s="1"/>
  <c r="E2571" i="36" s="1"/>
  <c r="E2572" i="36" s="1"/>
  <c r="E2573" i="36" s="1"/>
  <c r="E2574" i="36" s="1"/>
  <c r="E2575" i="36" s="1"/>
  <c r="E2576" i="36" s="1"/>
  <c r="E2577" i="36" s="1"/>
  <c r="E2578" i="36" s="1"/>
  <c r="E2579" i="36" s="1"/>
  <c r="E2580" i="36" s="1"/>
  <c r="E2581" i="36" s="1"/>
  <c r="E2582" i="36" s="1"/>
  <c r="E2583" i="36" s="1"/>
  <c r="E2584" i="36" s="1"/>
  <c r="E2585" i="36" s="1"/>
  <c r="E2586" i="36" s="1"/>
  <c r="E2587" i="36" s="1"/>
  <c r="E2588" i="36" s="1"/>
  <c r="E2589" i="36" s="1"/>
  <c r="E2590" i="36" s="1"/>
  <c r="E2591" i="36" s="1"/>
  <c r="E2592" i="36" s="1"/>
  <c r="E2593" i="36" s="1"/>
  <c r="E2594" i="36" s="1"/>
  <c r="E2595" i="36" s="1"/>
  <c r="E2596" i="36" s="1"/>
  <c r="E2597" i="36" s="1"/>
  <c r="E2598" i="36" s="1"/>
  <c r="E2599" i="36" s="1"/>
  <c r="E2600" i="36" s="1"/>
  <c r="E2601" i="36" s="1"/>
  <c r="E2602" i="36" s="1"/>
  <c r="E2603" i="36" s="1"/>
  <c r="E2604" i="36" s="1"/>
  <c r="E2605" i="36" s="1"/>
  <c r="E2606" i="36" s="1"/>
  <c r="E2607" i="36" s="1"/>
  <c r="E2608" i="36" s="1"/>
  <c r="E2609" i="36" s="1"/>
  <c r="E2610" i="36" s="1"/>
  <c r="E2611" i="36" s="1"/>
  <c r="E2612" i="36" s="1"/>
  <c r="E2613" i="36" s="1"/>
  <c r="E2614" i="36" s="1"/>
  <c r="E2615" i="36" s="1"/>
  <c r="E2616" i="36" s="1"/>
  <c r="E2617" i="36" s="1"/>
  <c r="E2618" i="36" s="1"/>
  <c r="E2619" i="36" s="1"/>
  <c r="E2620" i="36" s="1"/>
  <c r="E2621" i="36" s="1"/>
  <c r="E2622" i="36" s="1"/>
  <c r="E2623" i="36" s="1"/>
  <c r="E2624" i="36" s="1"/>
  <c r="E2625" i="36" s="1"/>
  <c r="E2626" i="36" s="1"/>
  <c r="E2627" i="36" s="1"/>
  <c r="E2628" i="36" s="1"/>
  <c r="E2629" i="36" s="1"/>
  <c r="E2630" i="36" s="1"/>
  <c r="E2631" i="36" s="1"/>
  <c r="E2632" i="36" s="1"/>
  <c r="E2633" i="36" s="1"/>
  <c r="E2634" i="36" s="1"/>
  <c r="E2635" i="36" s="1"/>
  <c r="E2636" i="36" s="1"/>
  <c r="E2637" i="36" s="1"/>
  <c r="E2638" i="36" s="1"/>
  <c r="E2639" i="36" s="1"/>
  <c r="E2640" i="36" s="1"/>
  <c r="E2641" i="36" s="1"/>
  <c r="E2642" i="36" s="1"/>
  <c r="E2643" i="36" s="1"/>
  <c r="E2644" i="36" s="1"/>
  <c r="E2645" i="36" s="1"/>
  <c r="E2646" i="36" s="1"/>
  <c r="E2647" i="36" s="1"/>
  <c r="E2648" i="36" s="1"/>
  <c r="E2649" i="36" s="1"/>
  <c r="E2650" i="36" s="1"/>
  <c r="E2651" i="36" s="1"/>
  <c r="E2652" i="36" s="1"/>
  <c r="E2653" i="36" s="1"/>
  <c r="E2654" i="36" s="1"/>
  <c r="E2655" i="36" s="1"/>
  <c r="E2656" i="36" s="1"/>
  <c r="E2657" i="36" s="1"/>
  <c r="E2658" i="36" s="1"/>
  <c r="E2659" i="36" s="1"/>
  <c r="E2660" i="36" s="1"/>
  <c r="E2661" i="36" s="1"/>
  <c r="E2662" i="36" s="1"/>
  <c r="E2663" i="36" s="1"/>
  <c r="E2664" i="36" s="1"/>
  <c r="E2665" i="36" s="1"/>
  <c r="E2666" i="36" s="1"/>
  <c r="E2667" i="36" s="1"/>
  <c r="E2668" i="36" s="1"/>
  <c r="E2669" i="36" s="1"/>
  <c r="E2670" i="36" s="1"/>
  <c r="E2671" i="36" s="1"/>
  <c r="E2672" i="36" s="1"/>
  <c r="E2673" i="36" s="1"/>
  <c r="E2674" i="36" s="1"/>
  <c r="E2675" i="36" s="1"/>
  <c r="E2676" i="36" s="1"/>
  <c r="E2677" i="36" s="1"/>
  <c r="E2678" i="36" s="1"/>
  <c r="E2679" i="36" s="1"/>
  <c r="E2680" i="36" s="1"/>
  <c r="E2681" i="36" s="1"/>
  <c r="E2682" i="36" s="1"/>
  <c r="E2683" i="36" s="1"/>
  <c r="E2684" i="36" s="1"/>
  <c r="E2685" i="36" s="1"/>
  <c r="E2686" i="36" s="1"/>
  <c r="E2687" i="36" s="1"/>
  <c r="E2688" i="36" s="1"/>
  <c r="E2689" i="36" s="1"/>
  <c r="E2690" i="36" s="1"/>
  <c r="E2691" i="36" s="1"/>
  <c r="E2692" i="36" s="1"/>
  <c r="E2693" i="36" s="1"/>
  <c r="E2694" i="36" s="1"/>
  <c r="E2695" i="36" s="1"/>
  <c r="E2696" i="36" s="1"/>
  <c r="E2697" i="36" s="1"/>
  <c r="E2698" i="36" s="1"/>
  <c r="E2699" i="36" s="1"/>
  <c r="E2700" i="36" s="1"/>
  <c r="E2701" i="36" s="1"/>
  <c r="E2702" i="36" s="1"/>
  <c r="E2703" i="36" s="1"/>
  <c r="E2704" i="36" s="1"/>
  <c r="E2705" i="36" s="1"/>
  <c r="E2706" i="36" s="1"/>
  <c r="E2707" i="36" s="1"/>
  <c r="E2708" i="36" s="1"/>
  <c r="E2709" i="36" s="1"/>
  <c r="E2710" i="36" s="1"/>
  <c r="E2711" i="36" s="1"/>
  <c r="E2712" i="36" s="1"/>
  <c r="E2713" i="36" s="1"/>
  <c r="E2714" i="36" s="1"/>
  <c r="E2715" i="36" s="1"/>
  <c r="E2716" i="36" s="1"/>
  <c r="E2717" i="36" s="1"/>
  <c r="E2718" i="36" s="1"/>
  <c r="E2719" i="36" s="1"/>
  <c r="E2720" i="36" s="1"/>
  <c r="E2721" i="36" s="1"/>
  <c r="E2722" i="36" s="1"/>
  <c r="E2723" i="36" s="1"/>
  <c r="E2724" i="36" s="1"/>
  <c r="E2725" i="36" s="1"/>
  <c r="E2726" i="36" s="1"/>
  <c r="E2727" i="36" s="1"/>
  <c r="E2728" i="36" s="1"/>
  <c r="E2729" i="36" s="1"/>
  <c r="E2730" i="36" s="1"/>
  <c r="E2731" i="36" s="1"/>
  <c r="E2732" i="36" s="1"/>
  <c r="E2733" i="36" s="1"/>
  <c r="E2734" i="36" s="1"/>
  <c r="E2735" i="36" s="1"/>
  <c r="E2736" i="36" s="1"/>
  <c r="E2737" i="36" s="1"/>
  <c r="E2738" i="36" s="1"/>
  <c r="E2739" i="36" s="1"/>
  <c r="E2740" i="36" s="1"/>
  <c r="E2741" i="36" s="1"/>
  <c r="E2742" i="36" s="1"/>
  <c r="E2743" i="36" s="1"/>
  <c r="E2744" i="36" s="1"/>
  <c r="E2745" i="36" s="1"/>
  <c r="E2746" i="36" s="1"/>
  <c r="E2747" i="36" s="1"/>
  <c r="E2748" i="36" s="1"/>
  <c r="E2749" i="36" s="1"/>
  <c r="E2750" i="36" s="1"/>
  <c r="E2751" i="36" s="1"/>
  <c r="E2752" i="36" s="1"/>
  <c r="E2753" i="36" s="1"/>
  <c r="E2754" i="36" s="1"/>
  <c r="E2755" i="36" s="1"/>
  <c r="E2756" i="36" s="1"/>
  <c r="E2757" i="36" s="1"/>
  <c r="E2758" i="36" s="1"/>
  <c r="E2759" i="36" s="1"/>
  <c r="E2760" i="36" s="1"/>
  <c r="E2761" i="36" s="1"/>
  <c r="E2762" i="36" s="1"/>
  <c r="E2763" i="36" s="1"/>
  <c r="E2764" i="36" s="1"/>
  <c r="E2765" i="36" s="1"/>
  <c r="E2766" i="36" s="1"/>
  <c r="E2767" i="36" s="1"/>
  <c r="E2768" i="36" s="1"/>
  <c r="E2769" i="36" s="1"/>
  <c r="E2770" i="36" s="1"/>
  <c r="E2771" i="36" s="1"/>
  <c r="E2772" i="36" s="1"/>
  <c r="E2773" i="36" s="1"/>
  <c r="E2774" i="36" s="1"/>
  <c r="E2775" i="36" s="1"/>
  <c r="E2776" i="36" s="1"/>
  <c r="E2777" i="36" s="1"/>
  <c r="E2778" i="36" s="1"/>
  <c r="E2779" i="36" s="1"/>
  <c r="E2780" i="36" s="1"/>
  <c r="E2781" i="36" s="1"/>
  <c r="E2782" i="36" s="1"/>
  <c r="E2783" i="36" s="1"/>
  <c r="E2784" i="36" s="1"/>
  <c r="E2785" i="36" s="1"/>
  <c r="E2786" i="36" s="1"/>
  <c r="E2787" i="36" s="1"/>
  <c r="E2788" i="36" s="1"/>
  <c r="E2789" i="36" s="1"/>
  <c r="E2790" i="36" s="1"/>
  <c r="E2791" i="36" s="1"/>
  <c r="E2792" i="36" s="1"/>
  <c r="E2793" i="36" s="1"/>
  <c r="E2794" i="36" s="1"/>
  <c r="E2795" i="36" s="1"/>
  <c r="E2796" i="36" s="1"/>
  <c r="E2797" i="36" s="1"/>
  <c r="E2798" i="36" s="1"/>
  <c r="E2799" i="36" s="1"/>
  <c r="E2800" i="36" s="1"/>
  <c r="E2801" i="36" s="1"/>
  <c r="E2802" i="36" s="1"/>
  <c r="E2803" i="36" s="1"/>
  <c r="E2804" i="36" s="1"/>
  <c r="E2805" i="36" s="1"/>
  <c r="E2806" i="36" s="1"/>
  <c r="E2807" i="36" s="1"/>
  <c r="E2808" i="36" s="1"/>
  <c r="E2809" i="36" s="1"/>
  <c r="E2810" i="36" s="1"/>
  <c r="E2811" i="36" s="1"/>
  <c r="E2812" i="36" s="1"/>
  <c r="E2813" i="36" s="1"/>
  <c r="E2814" i="36" s="1"/>
  <c r="E2815" i="36" s="1"/>
  <c r="E2816" i="36" s="1"/>
  <c r="E2817" i="36" s="1"/>
  <c r="E2818" i="36" s="1"/>
  <c r="E2819" i="36" s="1"/>
  <c r="E2820" i="36" s="1"/>
  <c r="E2821" i="36" s="1"/>
  <c r="E2822" i="36" s="1"/>
  <c r="E2823" i="36" s="1"/>
  <c r="E2824" i="36" s="1"/>
  <c r="E2825" i="36" s="1"/>
  <c r="E2826" i="36" s="1"/>
  <c r="E2827" i="36" s="1"/>
  <c r="E2828" i="36" s="1"/>
  <c r="E2829" i="36" s="1"/>
  <c r="E2830" i="36" s="1"/>
  <c r="E2831" i="36" s="1"/>
  <c r="E2832" i="36" s="1"/>
  <c r="E2833" i="36" s="1"/>
  <c r="E2834" i="36" s="1"/>
  <c r="E2835" i="36" s="1"/>
  <c r="E2836" i="36" s="1"/>
  <c r="E2837" i="36" s="1"/>
  <c r="E2838" i="36" s="1"/>
  <c r="E2839" i="36" s="1"/>
  <c r="E2840" i="36" s="1"/>
  <c r="E2841" i="36" s="1"/>
  <c r="E2842" i="36" s="1"/>
  <c r="E2843" i="36" s="1"/>
  <c r="E2844" i="36" s="1"/>
  <c r="E2845" i="36" s="1"/>
  <c r="E2846" i="36" s="1"/>
  <c r="E2847" i="36" s="1"/>
  <c r="E2848" i="36" s="1"/>
  <c r="E2849" i="36" s="1"/>
  <c r="E2850" i="36" s="1"/>
  <c r="E2851" i="36" s="1"/>
  <c r="E2852" i="36" s="1"/>
  <c r="E2853" i="36" s="1"/>
  <c r="E2854" i="36" s="1"/>
  <c r="E2855" i="36" s="1"/>
  <c r="E2856" i="36" s="1"/>
  <c r="E2857" i="36" s="1"/>
  <c r="E2858" i="36" s="1"/>
  <c r="E2859" i="36" s="1"/>
  <c r="E2860" i="36" s="1"/>
  <c r="E2861" i="36" s="1"/>
  <c r="E2862" i="36" s="1"/>
  <c r="E2863" i="36" s="1"/>
  <c r="E2864" i="36" s="1"/>
  <c r="E2865" i="36" s="1"/>
  <c r="E2866" i="36" s="1"/>
  <c r="E2867" i="36" s="1"/>
  <c r="E2868" i="36" s="1"/>
  <c r="E2869" i="36" s="1"/>
  <c r="E2870" i="36" s="1"/>
  <c r="E2871" i="36" s="1"/>
  <c r="E2872" i="36" s="1"/>
  <c r="E2873" i="36" s="1"/>
  <c r="E2874" i="36" s="1"/>
  <c r="E2875" i="36" s="1"/>
  <c r="E2876" i="36" s="1"/>
  <c r="E2877" i="36" s="1"/>
  <c r="E2878" i="36" s="1"/>
  <c r="E2879" i="36" s="1"/>
  <c r="E2880" i="36" s="1"/>
  <c r="E2881" i="36" s="1"/>
  <c r="E2882" i="36" s="1"/>
  <c r="E2883" i="36" s="1"/>
  <c r="E2884" i="36" s="1"/>
  <c r="E2885" i="36" s="1"/>
  <c r="E2886" i="36" s="1"/>
  <c r="E2887" i="36" s="1"/>
  <c r="E2888" i="36" s="1"/>
  <c r="E2889" i="36" s="1"/>
  <c r="E2890" i="36" s="1"/>
  <c r="E2891" i="36" s="1"/>
  <c r="E2892" i="36" s="1"/>
  <c r="E2893" i="36" s="1"/>
  <c r="E2894" i="36" s="1"/>
  <c r="E2895" i="36" s="1"/>
  <c r="E2896" i="36" s="1"/>
  <c r="E2897" i="36" s="1"/>
  <c r="E2898" i="36" s="1"/>
  <c r="E2899" i="36" s="1"/>
  <c r="E2900" i="36" s="1"/>
  <c r="E2901" i="36" s="1"/>
  <c r="E2902" i="36" s="1"/>
  <c r="E2903" i="36" s="1"/>
  <c r="E2904" i="36" s="1"/>
  <c r="E2905" i="36" s="1"/>
  <c r="E2906" i="36" s="1"/>
  <c r="E2907" i="36" s="1"/>
  <c r="E2908" i="36" s="1"/>
  <c r="E2909" i="36" s="1"/>
  <c r="E2910" i="36" s="1"/>
  <c r="E2911" i="36" s="1"/>
  <c r="E2912" i="36" s="1"/>
  <c r="E2913" i="36" s="1"/>
  <c r="E2914" i="36" s="1"/>
  <c r="E2915" i="36" s="1"/>
  <c r="E2916" i="36" s="1"/>
  <c r="E2917" i="36" s="1"/>
  <c r="E2918" i="36" s="1"/>
  <c r="E2919" i="36" s="1"/>
  <c r="E2920" i="36" s="1"/>
  <c r="E2921" i="36" s="1"/>
  <c r="E2922" i="36" s="1"/>
  <c r="E2923" i="36" s="1"/>
  <c r="E2924" i="36" s="1"/>
  <c r="E2925" i="36" s="1"/>
  <c r="E2926" i="36" s="1"/>
  <c r="E2927" i="36" s="1"/>
  <c r="E2928" i="36" s="1"/>
  <c r="E2929" i="36" s="1"/>
  <c r="E2930" i="36" s="1"/>
  <c r="E2931" i="36" s="1"/>
  <c r="E2932" i="36" s="1"/>
  <c r="E2933" i="36" s="1"/>
  <c r="E2934" i="36" s="1"/>
  <c r="E2935" i="36" s="1"/>
  <c r="E2936" i="36" s="1"/>
  <c r="E2937" i="36" s="1"/>
  <c r="E2938" i="36" s="1"/>
  <c r="E2939" i="36" s="1"/>
  <c r="E2940" i="36" s="1"/>
  <c r="E2941" i="36" s="1"/>
  <c r="E2942" i="36" s="1"/>
  <c r="E2943" i="36" s="1"/>
  <c r="E2944" i="36" s="1"/>
  <c r="E2945" i="36" s="1"/>
  <c r="E2946" i="36" s="1"/>
  <c r="E2947" i="36" s="1"/>
  <c r="E2948" i="36" s="1"/>
  <c r="E2949" i="36" s="1"/>
  <c r="E2950" i="36" s="1"/>
  <c r="E2951" i="36" s="1"/>
  <c r="E2952" i="36" s="1"/>
  <c r="E2953" i="36" s="1"/>
  <c r="E2954" i="36" s="1"/>
  <c r="E2955" i="36" s="1"/>
  <c r="E2956" i="36" s="1"/>
  <c r="E2957" i="36" s="1"/>
  <c r="E2958" i="36" s="1"/>
  <c r="E2959" i="36" s="1"/>
  <c r="E2960" i="36" s="1"/>
  <c r="E2961" i="36" s="1"/>
  <c r="E2962" i="36" s="1"/>
  <c r="E2963" i="36" s="1"/>
  <c r="E2964" i="36" s="1"/>
  <c r="E2965" i="36" s="1"/>
  <c r="E2966" i="36" s="1"/>
  <c r="E2967" i="36" s="1"/>
  <c r="E2968" i="36" s="1"/>
  <c r="E2969" i="36" s="1"/>
  <c r="E2970" i="36" s="1"/>
  <c r="E2971" i="36" s="1"/>
  <c r="E2972" i="36" s="1"/>
  <c r="E2973" i="36" s="1"/>
  <c r="E2974" i="36" s="1"/>
  <c r="E2975" i="36" s="1"/>
  <c r="E2976" i="36" s="1"/>
  <c r="E2977" i="36" s="1"/>
  <c r="E2978" i="36" s="1"/>
  <c r="E2979" i="36" s="1"/>
  <c r="E2980" i="36" s="1"/>
  <c r="E2981" i="36" s="1"/>
  <c r="E2982" i="36" s="1"/>
  <c r="E2983" i="36" s="1"/>
  <c r="E2984" i="36" s="1"/>
  <c r="E2985" i="36" s="1"/>
  <c r="E2986" i="36" s="1"/>
  <c r="E2987" i="36" s="1"/>
  <c r="E2988" i="36" s="1"/>
  <c r="E2989" i="36" s="1"/>
  <c r="E2990" i="36" s="1"/>
  <c r="E2991" i="36" s="1"/>
  <c r="E2992" i="36" s="1"/>
  <c r="E2993" i="36" s="1"/>
  <c r="E2994" i="36" s="1"/>
  <c r="E2995" i="36" s="1"/>
  <c r="E2996" i="36" s="1"/>
  <c r="E2997" i="36" s="1"/>
  <c r="E2998" i="36" s="1"/>
  <c r="E2999" i="36" s="1"/>
  <c r="E3000" i="36" s="1"/>
  <c r="E3001" i="36" s="1"/>
  <c r="E3002" i="36" s="1"/>
  <c r="E3003" i="36" s="1"/>
  <c r="E3004" i="36" s="1"/>
  <c r="E3005" i="36" s="1"/>
  <c r="E3006" i="36" s="1"/>
  <c r="E3007" i="36" s="1"/>
  <c r="E3008" i="36" s="1"/>
  <c r="E3009" i="36" s="1"/>
  <c r="E3010" i="36" s="1"/>
  <c r="E3011" i="36" s="1"/>
  <c r="E3012" i="36" s="1"/>
  <c r="E3013" i="36" s="1"/>
  <c r="E3014" i="36" s="1"/>
  <c r="E3015" i="36" s="1"/>
  <c r="E3016" i="36" s="1"/>
  <c r="E3017" i="36" s="1"/>
  <c r="E3018" i="36" s="1"/>
  <c r="E3019" i="36" s="1"/>
  <c r="E3020" i="36" s="1"/>
  <c r="E3021" i="36" s="1"/>
  <c r="E3022" i="36" s="1"/>
  <c r="E3023" i="36" s="1"/>
  <c r="E3024" i="36" s="1"/>
  <c r="E3025" i="36" s="1"/>
  <c r="E3026" i="36" s="1"/>
  <c r="E3027" i="36" s="1"/>
  <c r="E3028" i="36" s="1"/>
  <c r="E3029" i="36" s="1"/>
  <c r="E3030" i="36" s="1"/>
  <c r="E3031" i="36" s="1"/>
  <c r="E3032" i="36" s="1"/>
  <c r="E3033" i="36" s="1"/>
  <c r="E3034" i="36" s="1"/>
  <c r="E3035" i="36" s="1"/>
  <c r="E3036" i="36" s="1"/>
  <c r="E3037" i="36" s="1"/>
  <c r="E3038" i="36" s="1"/>
  <c r="E3039" i="36" s="1"/>
  <c r="E3040" i="36" s="1"/>
  <c r="E3041" i="36" s="1"/>
  <c r="E3042" i="36" s="1"/>
  <c r="E3043" i="36" s="1"/>
  <c r="E3044" i="36" s="1"/>
  <c r="E3045" i="36" s="1"/>
  <c r="E3046" i="36" s="1"/>
  <c r="E3047" i="36" s="1"/>
  <c r="E3048" i="36" s="1"/>
  <c r="E3049" i="36" s="1"/>
  <c r="E3050" i="36" s="1"/>
  <c r="E3051" i="36" s="1"/>
  <c r="E3052" i="36" s="1"/>
  <c r="E3053" i="36" s="1"/>
  <c r="E3054" i="36" s="1"/>
  <c r="E3055" i="36" s="1"/>
  <c r="E3056" i="36" s="1"/>
  <c r="E3057" i="36" s="1"/>
  <c r="E3058" i="36" s="1"/>
  <c r="E3059" i="36" s="1"/>
  <c r="E3060" i="36" s="1"/>
  <c r="E3061" i="36" s="1"/>
  <c r="E3" i="36"/>
  <c r="E3" i="31"/>
  <c r="E4" i="31" s="1"/>
  <c r="E5" i="31" s="1"/>
  <c r="E6" i="31" s="1"/>
  <c r="E7" i="31" s="1"/>
  <c r="E8" i="31" s="1"/>
  <c r="E9" i="31" s="1"/>
  <c r="E10" i="31" s="1"/>
  <c r="E11" i="31" s="1"/>
  <c r="E12" i="31" s="1"/>
  <c r="E13" i="31" s="1"/>
  <c r="E14" i="31" s="1"/>
  <c r="E15" i="31" s="1"/>
  <c r="E16" i="31" s="1"/>
  <c r="E17" i="31" s="1"/>
  <c r="E18" i="31" s="1"/>
  <c r="E19" i="31" s="1"/>
  <c r="E20" i="31" s="1"/>
  <c r="E21" i="31" s="1"/>
  <c r="E22" i="31" s="1"/>
  <c r="E23" i="31" s="1"/>
  <c r="E24" i="31" s="1"/>
  <c r="E25" i="31" s="1"/>
  <c r="E26" i="31" s="1"/>
  <c r="E27" i="31" s="1"/>
  <c r="E28" i="31" s="1"/>
  <c r="E29" i="31" s="1"/>
  <c r="E30" i="31" s="1"/>
  <c r="E31" i="31" s="1"/>
  <c r="E32" i="31" s="1"/>
  <c r="E33" i="31" s="1"/>
  <c r="E34" i="31" s="1"/>
  <c r="E35" i="31" s="1"/>
  <c r="E36" i="31" s="1"/>
  <c r="E37" i="31" s="1"/>
  <c r="E38" i="31" s="1"/>
  <c r="E39" i="31" s="1"/>
  <c r="E40" i="31" s="1"/>
  <c r="E41" i="31" s="1"/>
  <c r="E42" i="31" s="1"/>
  <c r="E43" i="31" s="1"/>
  <c r="E44" i="31" s="1"/>
  <c r="E45" i="31" s="1"/>
  <c r="E46" i="31" s="1"/>
  <c r="E47" i="31" s="1"/>
  <c r="E48" i="31" s="1"/>
  <c r="E49" i="31" s="1"/>
  <c r="E50" i="31" s="1"/>
  <c r="E51" i="31" s="1"/>
  <c r="E52" i="31" s="1"/>
  <c r="E53" i="31" s="1"/>
  <c r="E54" i="31" s="1"/>
  <c r="E55" i="31" s="1"/>
  <c r="E56" i="31" s="1"/>
  <c r="E57" i="31" s="1"/>
  <c r="E58" i="31" s="1"/>
  <c r="E59" i="31" s="1"/>
  <c r="E60" i="31" s="1"/>
  <c r="E61" i="31" s="1"/>
  <c r="E62" i="31" s="1"/>
  <c r="E63" i="31" s="1"/>
  <c r="E64" i="31" s="1"/>
  <c r="E65" i="31" s="1"/>
  <c r="E66" i="31" s="1"/>
  <c r="E67" i="31" s="1"/>
  <c r="E68" i="31" s="1"/>
  <c r="E69" i="31" s="1"/>
  <c r="E70" i="31" s="1"/>
  <c r="E71" i="31" s="1"/>
  <c r="E72" i="31" s="1"/>
  <c r="E73" i="31" s="1"/>
  <c r="E74" i="31" s="1"/>
  <c r="E75" i="31" s="1"/>
  <c r="E76" i="31" s="1"/>
  <c r="E77" i="31" s="1"/>
  <c r="E78" i="31" s="1"/>
  <c r="E79" i="31" s="1"/>
  <c r="E80" i="31" s="1"/>
  <c r="E81" i="31" s="1"/>
  <c r="E82" i="31" s="1"/>
  <c r="E83" i="31" s="1"/>
  <c r="E84" i="31" s="1"/>
  <c r="E85" i="31" s="1"/>
  <c r="E86" i="31" s="1"/>
  <c r="E87" i="31" s="1"/>
  <c r="E88" i="31" s="1"/>
  <c r="E89" i="31" s="1"/>
  <c r="E90" i="31" s="1"/>
  <c r="E91" i="31" s="1"/>
  <c r="E92" i="31" s="1"/>
  <c r="E93" i="31" s="1"/>
  <c r="E94" i="31" s="1"/>
  <c r="E95" i="31" s="1"/>
  <c r="E96" i="31" s="1"/>
  <c r="E97" i="31" s="1"/>
  <c r="E98" i="31" s="1"/>
  <c r="E99" i="31" s="1"/>
  <c r="E100" i="31" s="1"/>
  <c r="E101" i="31" s="1"/>
  <c r="E102" i="31" s="1"/>
  <c r="E103" i="31" s="1"/>
  <c r="E104" i="31" s="1"/>
  <c r="E105" i="31" s="1"/>
  <c r="E106" i="31" s="1"/>
  <c r="E107" i="31" s="1"/>
  <c r="E108" i="31" s="1"/>
  <c r="E109" i="31" s="1"/>
  <c r="E110" i="31" s="1"/>
  <c r="E111" i="31" s="1"/>
  <c r="E112" i="31" s="1"/>
  <c r="E113" i="31" s="1"/>
  <c r="E114" i="31" s="1"/>
  <c r="E115" i="31" s="1"/>
  <c r="E116" i="31" s="1"/>
  <c r="E117" i="31" s="1"/>
  <c r="E118" i="31" s="1"/>
  <c r="E119" i="31" s="1"/>
  <c r="E120" i="31" s="1"/>
  <c r="E121" i="31" s="1"/>
  <c r="E122" i="31" s="1"/>
  <c r="E123" i="31" s="1"/>
  <c r="E124" i="31" s="1"/>
  <c r="E125" i="31" s="1"/>
  <c r="E126" i="31" s="1"/>
  <c r="E127" i="31" s="1"/>
  <c r="E128" i="31" s="1"/>
  <c r="E129" i="31" s="1"/>
  <c r="E130" i="31" s="1"/>
  <c r="E131" i="31" s="1"/>
  <c r="E132" i="31" s="1"/>
  <c r="E133" i="31" s="1"/>
  <c r="E134" i="31" s="1"/>
  <c r="E135" i="31" s="1"/>
  <c r="E136" i="31" s="1"/>
  <c r="E137" i="31" s="1"/>
  <c r="E138" i="31" s="1"/>
  <c r="E139" i="31" s="1"/>
  <c r="E140" i="31" s="1"/>
  <c r="E141" i="31" s="1"/>
  <c r="E142" i="31" s="1"/>
  <c r="E143" i="31" s="1"/>
  <c r="E144" i="31" s="1"/>
  <c r="E145" i="31" s="1"/>
  <c r="E146" i="31" s="1"/>
  <c r="E147" i="31" s="1"/>
  <c r="E148" i="31" s="1"/>
  <c r="E149" i="31" s="1"/>
  <c r="E150" i="31" s="1"/>
  <c r="E151" i="31" s="1"/>
  <c r="E152" i="31" s="1"/>
  <c r="E153" i="31" s="1"/>
  <c r="E154" i="31" s="1"/>
  <c r="E155" i="31" s="1"/>
  <c r="E156" i="31" s="1"/>
  <c r="E157" i="31" s="1"/>
  <c r="E158" i="31" s="1"/>
  <c r="E159" i="31" s="1"/>
  <c r="E160" i="31" s="1"/>
  <c r="E161" i="31" s="1"/>
  <c r="E162" i="31" s="1"/>
  <c r="E163" i="31" s="1"/>
  <c r="E164" i="31" s="1"/>
  <c r="E165" i="31" s="1"/>
  <c r="E166" i="31" s="1"/>
  <c r="E167" i="31" s="1"/>
  <c r="E168" i="31" s="1"/>
  <c r="E169" i="31" s="1"/>
  <c r="E170" i="31" s="1"/>
  <c r="E171" i="31" s="1"/>
  <c r="E172" i="31" s="1"/>
  <c r="E173" i="31" s="1"/>
  <c r="E174" i="31" s="1"/>
  <c r="E175" i="31" s="1"/>
  <c r="E176" i="31" s="1"/>
  <c r="E177" i="31" s="1"/>
  <c r="E178" i="31" s="1"/>
  <c r="E179" i="31" s="1"/>
  <c r="E180" i="31" s="1"/>
  <c r="E181" i="31" s="1"/>
  <c r="E182" i="31" s="1"/>
  <c r="E183" i="31" s="1"/>
  <c r="E184" i="31" s="1"/>
  <c r="E185" i="31" s="1"/>
  <c r="E186" i="31" s="1"/>
  <c r="E187" i="31" s="1"/>
  <c r="E188" i="31" s="1"/>
  <c r="E189" i="31" s="1"/>
  <c r="E190" i="31" s="1"/>
  <c r="E191" i="31" s="1"/>
  <c r="E192" i="31" s="1"/>
  <c r="E193" i="31" s="1"/>
  <c r="E194" i="31" s="1"/>
  <c r="E195" i="31" s="1"/>
  <c r="E196" i="31" s="1"/>
  <c r="E197" i="31" s="1"/>
  <c r="E198" i="31" s="1"/>
  <c r="E199" i="31" s="1"/>
  <c r="E200" i="31" s="1"/>
  <c r="E201" i="31" s="1"/>
  <c r="E202" i="31" s="1"/>
  <c r="E203" i="31" s="1"/>
  <c r="E204" i="31" s="1"/>
  <c r="E205" i="31" s="1"/>
  <c r="E206" i="31" s="1"/>
  <c r="E207" i="31" s="1"/>
  <c r="E208" i="31" s="1"/>
  <c r="E209" i="31" s="1"/>
  <c r="E210" i="31" s="1"/>
  <c r="E211" i="31" s="1"/>
  <c r="E212" i="31" s="1"/>
  <c r="E213" i="31" s="1"/>
  <c r="E214" i="31" s="1"/>
  <c r="E215" i="31" s="1"/>
  <c r="E216" i="31" s="1"/>
  <c r="E217" i="31" s="1"/>
  <c r="E218" i="31" s="1"/>
  <c r="E219" i="31" s="1"/>
  <c r="E220" i="31" s="1"/>
  <c r="E221" i="31" s="1"/>
  <c r="E222" i="31" s="1"/>
  <c r="E223" i="31" s="1"/>
  <c r="E224" i="31" s="1"/>
  <c r="E225" i="31" s="1"/>
  <c r="E226" i="31" s="1"/>
  <c r="E227" i="31" s="1"/>
  <c r="E228" i="31" s="1"/>
  <c r="E229" i="31" s="1"/>
  <c r="E230" i="31" s="1"/>
  <c r="E231" i="31" s="1"/>
  <c r="E232" i="31" s="1"/>
  <c r="E233" i="31" s="1"/>
  <c r="E234" i="31" s="1"/>
  <c r="E235" i="31" s="1"/>
  <c r="E236" i="31" s="1"/>
  <c r="E237" i="31" s="1"/>
  <c r="E238" i="31" s="1"/>
  <c r="E239" i="31" s="1"/>
  <c r="E240" i="31" s="1"/>
  <c r="E241" i="31" s="1"/>
  <c r="E242" i="31" s="1"/>
  <c r="E243" i="31" s="1"/>
  <c r="E244" i="31" s="1"/>
  <c r="E245" i="31" s="1"/>
  <c r="E246" i="31" s="1"/>
  <c r="E247" i="31" s="1"/>
  <c r="E248" i="31" s="1"/>
  <c r="E249" i="31" s="1"/>
  <c r="E250" i="31" s="1"/>
  <c r="E251" i="31" s="1"/>
  <c r="E252" i="31" s="1"/>
  <c r="E253" i="31" s="1"/>
  <c r="E254" i="31" s="1"/>
  <c r="E255" i="31" s="1"/>
  <c r="E256" i="31" s="1"/>
  <c r="E257" i="31" s="1"/>
  <c r="E258" i="31" s="1"/>
  <c r="E259" i="31" s="1"/>
  <c r="E260" i="31" s="1"/>
  <c r="E261" i="31" s="1"/>
  <c r="E262" i="31" s="1"/>
  <c r="E263" i="31" s="1"/>
  <c r="E264" i="31" s="1"/>
  <c r="E265" i="31" s="1"/>
  <c r="E266" i="31" s="1"/>
  <c r="E267" i="31" s="1"/>
  <c r="E268" i="31" s="1"/>
  <c r="E269" i="31" s="1"/>
  <c r="E270" i="31" s="1"/>
  <c r="E271" i="31" s="1"/>
  <c r="E272" i="31" s="1"/>
  <c r="E273" i="31" s="1"/>
  <c r="E274" i="31" s="1"/>
  <c r="E275" i="31" s="1"/>
  <c r="E276" i="31" s="1"/>
  <c r="E277" i="31" s="1"/>
  <c r="E278" i="31" s="1"/>
  <c r="E279" i="31" s="1"/>
  <c r="E280" i="31" s="1"/>
  <c r="E281" i="31" s="1"/>
  <c r="E282" i="31" s="1"/>
  <c r="E283" i="31" s="1"/>
  <c r="E284" i="31" s="1"/>
  <c r="E285" i="31" s="1"/>
  <c r="E286" i="31" s="1"/>
  <c r="E287" i="31" s="1"/>
  <c r="E288" i="31" s="1"/>
  <c r="E289" i="31" s="1"/>
  <c r="E290" i="31" s="1"/>
  <c r="E291" i="31" s="1"/>
  <c r="E292" i="31" s="1"/>
  <c r="E293" i="31" s="1"/>
  <c r="E294" i="31" s="1"/>
  <c r="E295" i="31" s="1"/>
  <c r="E296" i="31" s="1"/>
  <c r="E297" i="31" s="1"/>
  <c r="E298" i="31" s="1"/>
  <c r="E299" i="31" s="1"/>
  <c r="E300" i="31" s="1"/>
  <c r="E301" i="31" s="1"/>
  <c r="E302" i="31" s="1"/>
  <c r="E303" i="31" s="1"/>
  <c r="E304" i="31" s="1"/>
  <c r="E305" i="31" s="1"/>
  <c r="E306" i="31" s="1"/>
  <c r="E307" i="31" s="1"/>
  <c r="E308" i="31" s="1"/>
  <c r="E309" i="31" s="1"/>
  <c r="E310" i="31" s="1"/>
  <c r="E311" i="31" s="1"/>
  <c r="E312" i="31" s="1"/>
  <c r="E313" i="31" s="1"/>
  <c r="E314" i="31" s="1"/>
  <c r="E315" i="31" s="1"/>
  <c r="E316" i="31" s="1"/>
  <c r="E317" i="31" s="1"/>
  <c r="E318" i="31" s="1"/>
  <c r="E319" i="31" s="1"/>
  <c r="E320" i="31" s="1"/>
  <c r="E321" i="31" s="1"/>
  <c r="E322" i="31" s="1"/>
  <c r="E323" i="31" s="1"/>
  <c r="E324" i="31" s="1"/>
  <c r="E325" i="31" s="1"/>
  <c r="E326" i="31" s="1"/>
  <c r="E327" i="31" s="1"/>
  <c r="E328" i="31" s="1"/>
  <c r="E329" i="31" s="1"/>
  <c r="E330" i="31" s="1"/>
  <c r="E331" i="31" s="1"/>
  <c r="E332" i="31" s="1"/>
  <c r="E333" i="31" s="1"/>
  <c r="E334" i="31" s="1"/>
  <c r="E335" i="31" s="1"/>
  <c r="E336" i="31" s="1"/>
  <c r="E337" i="31" s="1"/>
  <c r="E338" i="31" s="1"/>
  <c r="E339" i="31" s="1"/>
  <c r="E340" i="31" s="1"/>
  <c r="E341" i="31" s="1"/>
  <c r="E342" i="31" s="1"/>
  <c r="E343" i="31" s="1"/>
  <c r="E344" i="31" s="1"/>
  <c r="E345" i="31" s="1"/>
  <c r="E346" i="31" s="1"/>
  <c r="E347" i="31" s="1"/>
  <c r="E348" i="31" s="1"/>
  <c r="E349" i="31" s="1"/>
  <c r="E350" i="31" s="1"/>
  <c r="E351" i="31" s="1"/>
  <c r="E352" i="31" s="1"/>
  <c r="E353" i="31" s="1"/>
  <c r="E354" i="31" s="1"/>
  <c r="E355" i="31" s="1"/>
  <c r="E356" i="31" s="1"/>
  <c r="E357" i="31" s="1"/>
  <c r="E358" i="31" s="1"/>
  <c r="E359" i="31" s="1"/>
  <c r="E360" i="31" s="1"/>
  <c r="E361" i="31" s="1"/>
  <c r="E362" i="31" s="1"/>
  <c r="E363" i="31" s="1"/>
  <c r="E364" i="31" s="1"/>
  <c r="E365" i="31" s="1"/>
  <c r="E366" i="31" s="1"/>
  <c r="E367" i="31" s="1"/>
  <c r="E368" i="31" s="1"/>
  <c r="E369" i="31" s="1"/>
  <c r="E370" i="31" s="1"/>
  <c r="E371" i="31" s="1"/>
  <c r="E372" i="31" s="1"/>
  <c r="E373" i="31" s="1"/>
  <c r="E374" i="31" s="1"/>
  <c r="E375" i="31" s="1"/>
  <c r="E376" i="31" s="1"/>
  <c r="E377" i="31" s="1"/>
  <c r="E378" i="31" s="1"/>
  <c r="E379" i="31" s="1"/>
  <c r="E380" i="31" s="1"/>
  <c r="E381" i="31" s="1"/>
  <c r="E382" i="31" s="1"/>
  <c r="E383" i="31" s="1"/>
  <c r="E384" i="31" s="1"/>
  <c r="E385" i="31" s="1"/>
  <c r="E386" i="31" s="1"/>
  <c r="E387" i="31" s="1"/>
  <c r="E388" i="31" s="1"/>
  <c r="E389" i="31" s="1"/>
  <c r="E390" i="31" s="1"/>
  <c r="E391" i="31" s="1"/>
  <c r="E392" i="31" s="1"/>
  <c r="E393" i="31" s="1"/>
  <c r="E394" i="31" s="1"/>
  <c r="E395" i="31" s="1"/>
  <c r="E396" i="31" s="1"/>
  <c r="E397" i="31" s="1"/>
  <c r="E398" i="31" s="1"/>
  <c r="E399" i="31" s="1"/>
  <c r="E400" i="31" s="1"/>
  <c r="E401" i="31" s="1"/>
  <c r="E402" i="31" s="1"/>
  <c r="E403" i="31" s="1"/>
  <c r="E404" i="31" s="1"/>
  <c r="E405" i="31" s="1"/>
  <c r="E406" i="31" s="1"/>
  <c r="E407" i="31" s="1"/>
  <c r="E408" i="31" s="1"/>
  <c r="E409" i="31" s="1"/>
  <c r="E410" i="31" s="1"/>
  <c r="E411" i="31" s="1"/>
  <c r="E412" i="31" s="1"/>
  <c r="E413" i="31" s="1"/>
  <c r="E414" i="31" s="1"/>
  <c r="E415" i="31" s="1"/>
  <c r="E416" i="31" s="1"/>
  <c r="E417" i="31" s="1"/>
  <c r="E418" i="31" s="1"/>
  <c r="E419" i="31" s="1"/>
  <c r="E420" i="31" s="1"/>
  <c r="E421" i="31" s="1"/>
  <c r="E422" i="31" s="1"/>
  <c r="E423" i="31" s="1"/>
  <c r="E424" i="31" s="1"/>
  <c r="E425" i="31" s="1"/>
  <c r="E426" i="31" s="1"/>
  <c r="E427" i="31" s="1"/>
  <c r="E428" i="31" s="1"/>
  <c r="E429" i="31" s="1"/>
  <c r="E430" i="31" s="1"/>
  <c r="E431" i="31" s="1"/>
  <c r="E432" i="31" s="1"/>
  <c r="E433" i="31" s="1"/>
  <c r="E434" i="31" s="1"/>
  <c r="E435" i="31" s="1"/>
  <c r="E436" i="31" s="1"/>
  <c r="E437" i="31" s="1"/>
  <c r="E438" i="31" s="1"/>
  <c r="E439" i="31" s="1"/>
  <c r="E440" i="31" s="1"/>
  <c r="E441" i="31" s="1"/>
  <c r="E442" i="31" s="1"/>
  <c r="E443" i="31" s="1"/>
  <c r="E444" i="31" s="1"/>
  <c r="E445" i="31" s="1"/>
  <c r="E446" i="31" s="1"/>
  <c r="E447" i="31" s="1"/>
  <c r="E448" i="31" s="1"/>
  <c r="E449" i="31" s="1"/>
  <c r="E450" i="31" s="1"/>
  <c r="E451" i="31" s="1"/>
  <c r="E452" i="31" s="1"/>
  <c r="E453" i="31" s="1"/>
  <c r="E454" i="31" s="1"/>
  <c r="E455" i="31" s="1"/>
  <c r="E456" i="31" s="1"/>
  <c r="E457" i="31" s="1"/>
  <c r="E458" i="31" s="1"/>
  <c r="E459" i="31" s="1"/>
  <c r="E460" i="31" s="1"/>
  <c r="E461" i="31" s="1"/>
  <c r="E462" i="31" s="1"/>
  <c r="E463" i="31" s="1"/>
  <c r="E464" i="31" s="1"/>
  <c r="E465" i="31" s="1"/>
  <c r="E466" i="31" s="1"/>
  <c r="E467" i="31" s="1"/>
  <c r="E468" i="31" s="1"/>
  <c r="E469" i="31" s="1"/>
  <c r="E470" i="31" s="1"/>
  <c r="E471" i="31" s="1"/>
  <c r="E472" i="31" s="1"/>
  <c r="E473" i="31" s="1"/>
  <c r="E474" i="31" s="1"/>
  <c r="E475" i="31" s="1"/>
  <c r="E476" i="31" s="1"/>
  <c r="E477" i="31" s="1"/>
  <c r="E478" i="31" s="1"/>
  <c r="E479" i="31" s="1"/>
  <c r="E480" i="31" s="1"/>
  <c r="E481" i="31" s="1"/>
  <c r="E482" i="31" s="1"/>
  <c r="E483" i="31" s="1"/>
  <c r="E484" i="31" s="1"/>
  <c r="E485" i="31" s="1"/>
  <c r="E486" i="31" s="1"/>
  <c r="E487" i="31" s="1"/>
  <c r="E488" i="31" s="1"/>
  <c r="E489" i="31" s="1"/>
  <c r="E490" i="31" s="1"/>
  <c r="E491" i="31" s="1"/>
  <c r="E492" i="31" s="1"/>
  <c r="E493" i="31" s="1"/>
  <c r="E494" i="31" s="1"/>
  <c r="E495" i="31" s="1"/>
  <c r="E496" i="31" s="1"/>
  <c r="E497" i="31" s="1"/>
  <c r="E498" i="31" s="1"/>
  <c r="E499" i="31" s="1"/>
  <c r="E500" i="31" s="1"/>
  <c r="E501" i="31" s="1"/>
  <c r="E502" i="31" s="1"/>
  <c r="E503" i="31" s="1"/>
  <c r="E504" i="31" s="1"/>
  <c r="E505" i="31" s="1"/>
  <c r="E506" i="31" s="1"/>
  <c r="E507" i="31" s="1"/>
  <c r="E508" i="31" s="1"/>
  <c r="E509" i="31" s="1"/>
  <c r="E510" i="31" s="1"/>
  <c r="E511" i="31" s="1"/>
  <c r="E512" i="31" s="1"/>
  <c r="E513" i="31" s="1"/>
  <c r="E514" i="31" s="1"/>
  <c r="E515" i="31" s="1"/>
  <c r="E516" i="31" s="1"/>
  <c r="E517" i="31" s="1"/>
  <c r="E518" i="31" s="1"/>
  <c r="E519" i="31" s="1"/>
  <c r="E520" i="31" s="1"/>
  <c r="E521" i="31" s="1"/>
  <c r="E522" i="31" s="1"/>
  <c r="E523" i="31" s="1"/>
  <c r="E524" i="31" s="1"/>
  <c r="E525" i="31" s="1"/>
  <c r="E526" i="31" s="1"/>
  <c r="E527" i="31" s="1"/>
  <c r="E528" i="31" s="1"/>
  <c r="E529" i="31" s="1"/>
  <c r="E530" i="31" s="1"/>
  <c r="E531" i="31" s="1"/>
  <c r="E532" i="31" s="1"/>
  <c r="E533" i="31" s="1"/>
  <c r="E534" i="31" s="1"/>
  <c r="E535" i="31" s="1"/>
  <c r="E536" i="31" s="1"/>
  <c r="E537" i="31" s="1"/>
  <c r="E538" i="31" s="1"/>
  <c r="E539" i="31" s="1"/>
  <c r="E540" i="31" s="1"/>
  <c r="E541" i="31" s="1"/>
  <c r="E542" i="31" s="1"/>
  <c r="E543" i="31" s="1"/>
  <c r="E544" i="31" s="1"/>
  <c r="E545" i="31" s="1"/>
  <c r="E546" i="31" s="1"/>
  <c r="E547" i="31" s="1"/>
  <c r="E548" i="31" s="1"/>
  <c r="E549" i="31" s="1"/>
  <c r="E550" i="31" s="1"/>
  <c r="E551" i="31" s="1"/>
  <c r="E552" i="31" s="1"/>
  <c r="E553" i="31" s="1"/>
  <c r="E554" i="31" s="1"/>
  <c r="E555" i="31" s="1"/>
  <c r="E556" i="31" s="1"/>
  <c r="E557" i="31" s="1"/>
  <c r="E558" i="31" s="1"/>
  <c r="E559" i="31" s="1"/>
  <c r="E560" i="31" s="1"/>
  <c r="E561" i="31" s="1"/>
  <c r="E3" i="6"/>
  <c r="E4" i="6" s="1"/>
  <c r="E5" i="6" s="1"/>
  <c r="E6" i="6" s="1"/>
  <c r="E7" i="6" s="1"/>
  <c r="E8" i="6" s="1"/>
  <c r="E9" i="6" s="1"/>
  <c r="E10" i="6" s="1"/>
  <c r="E11" i="6" s="1"/>
  <c r="E12" i="6" s="1"/>
  <c r="E13" i="6" s="1"/>
  <c r="E14" i="6" s="1"/>
  <c r="E15" i="6" s="1"/>
  <c r="E16" i="6" s="1"/>
  <c r="E17" i="6" s="1"/>
  <c r="E18" i="6" s="1"/>
  <c r="E19" i="6" s="1"/>
  <c r="E20" i="6" s="1"/>
  <c r="E21" i="6" s="1"/>
  <c r="E22" i="6" s="1"/>
  <c r="E23" i="6" s="1"/>
  <c r="E24" i="6" s="1"/>
  <c r="E25" i="6" s="1"/>
  <c r="E26" i="6" s="1"/>
  <c r="E27" i="6" s="1"/>
  <c r="E28" i="6" s="1"/>
  <c r="E29" i="6" s="1"/>
  <c r="E30" i="6" s="1"/>
  <c r="E31" i="6" s="1"/>
  <c r="E32" i="6" s="1"/>
  <c r="E33" i="6" s="1"/>
  <c r="E34" i="6" s="1"/>
  <c r="E35" i="6" s="1"/>
  <c r="E36" i="6" s="1"/>
  <c r="E37" i="6" s="1"/>
  <c r="E38" i="6" s="1"/>
  <c r="E39" i="6" s="1"/>
  <c r="E40" i="6" s="1"/>
  <c r="E41" i="6" s="1"/>
  <c r="E42" i="6" s="1"/>
  <c r="E43" i="6" s="1"/>
  <c r="E44" i="6" s="1"/>
  <c r="E45" i="6" s="1"/>
  <c r="E46" i="6" s="1"/>
  <c r="E47" i="6" s="1"/>
  <c r="E48" i="6" s="1"/>
  <c r="E49" i="6" s="1"/>
  <c r="E50" i="6" s="1"/>
  <c r="E51" i="6" s="1"/>
  <c r="E52" i="6" s="1"/>
  <c r="E53" i="6" s="1"/>
  <c r="E54" i="6" s="1"/>
  <c r="E55" i="6" s="1"/>
  <c r="E56" i="6" s="1"/>
  <c r="E57" i="6" s="1"/>
  <c r="E58" i="6" s="1"/>
  <c r="E59" i="6" s="1"/>
  <c r="E60" i="6" s="1"/>
  <c r="E61" i="6" s="1"/>
  <c r="E62" i="6" s="1"/>
  <c r="E63" i="6" s="1"/>
  <c r="E64" i="6" s="1"/>
  <c r="E65" i="6" s="1"/>
  <c r="E66" i="6" s="1"/>
  <c r="E67" i="6" s="1"/>
  <c r="E68" i="6" s="1"/>
  <c r="E69" i="6" s="1"/>
  <c r="E70" i="6" s="1"/>
  <c r="E71" i="6" s="1"/>
  <c r="E72" i="6" s="1"/>
  <c r="E73" i="6" s="1"/>
  <c r="E74" i="6" s="1"/>
  <c r="E75" i="6" s="1"/>
  <c r="E76" i="6" s="1"/>
  <c r="E77" i="6" s="1"/>
  <c r="E78" i="6" s="1"/>
  <c r="E79" i="6" s="1"/>
  <c r="E80" i="6" s="1"/>
  <c r="E81" i="6" s="1"/>
  <c r="E82" i="6" s="1"/>
  <c r="E83" i="6" s="1"/>
  <c r="E84" i="6" s="1"/>
  <c r="E85" i="6" s="1"/>
  <c r="E86" i="6" s="1"/>
  <c r="E87" i="6" s="1"/>
  <c r="E88" i="6" s="1"/>
  <c r="E89" i="6" s="1"/>
  <c r="E90" i="6" s="1"/>
  <c r="E91" i="6" s="1"/>
  <c r="E92" i="6" s="1"/>
  <c r="E93" i="6" s="1"/>
  <c r="E94" i="6" s="1"/>
  <c r="E95" i="6" s="1"/>
  <c r="E96" i="6" s="1"/>
  <c r="E97" i="6" s="1"/>
  <c r="E98" i="6" s="1"/>
  <c r="E99" i="6" s="1"/>
  <c r="E100" i="6" s="1"/>
  <c r="E101" i="6" s="1"/>
  <c r="E102" i="6" s="1"/>
  <c r="E103" i="6" s="1"/>
  <c r="E104" i="6" s="1"/>
  <c r="E105" i="6" s="1"/>
  <c r="E106" i="6" s="1"/>
  <c r="E107" i="6" s="1"/>
  <c r="E108" i="6" s="1"/>
  <c r="E109" i="6" s="1"/>
  <c r="E110" i="6" s="1"/>
  <c r="E111" i="6" s="1"/>
  <c r="E112" i="6" s="1"/>
  <c r="E113" i="6" s="1"/>
  <c r="E114" i="6" s="1"/>
  <c r="E115" i="6" s="1"/>
  <c r="E116" i="6" s="1"/>
  <c r="E117" i="6" s="1"/>
  <c r="E118" i="6" s="1"/>
  <c r="E119" i="6" s="1"/>
  <c r="E120" i="6" s="1"/>
  <c r="E121" i="6" s="1"/>
  <c r="E122" i="6" s="1"/>
  <c r="E123" i="6" s="1"/>
  <c r="E124" i="6" s="1"/>
  <c r="E125" i="6" s="1"/>
  <c r="E126" i="6" s="1"/>
  <c r="E127" i="6" s="1"/>
  <c r="E128" i="6" s="1"/>
  <c r="E129" i="6" s="1"/>
  <c r="E130" i="6" s="1"/>
  <c r="E131" i="6" s="1"/>
  <c r="E132" i="6" s="1"/>
  <c r="E133" i="6" s="1"/>
  <c r="E134" i="6" s="1"/>
  <c r="E135" i="6" s="1"/>
  <c r="E136" i="6" s="1"/>
  <c r="E137" i="6" s="1"/>
  <c r="E138" i="6" s="1"/>
  <c r="E139" i="6" s="1"/>
  <c r="E140" i="6" s="1"/>
  <c r="E141" i="6" s="1"/>
  <c r="E142" i="6" s="1"/>
  <c r="E143" i="6" s="1"/>
  <c r="E144" i="6" s="1"/>
  <c r="E145" i="6" s="1"/>
  <c r="E146" i="6" s="1"/>
  <c r="E147" i="6" s="1"/>
  <c r="E148" i="6" s="1"/>
  <c r="E149" i="6" s="1"/>
  <c r="E150" i="6" s="1"/>
  <c r="E151" i="6" s="1"/>
  <c r="E152" i="6" s="1"/>
  <c r="E153" i="6" s="1"/>
  <c r="E154" i="6" s="1"/>
  <c r="E155" i="6" s="1"/>
  <c r="E156" i="6" s="1"/>
  <c r="E157" i="6" s="1"/>
  <c r="E158" i="6" s="1"/>
  <c r="E159" i="6" s="1"/>
  <c r="E160" i="6" s="1"/>
  <c r="E161" i="6" s="1"/>
  <c r="E162" i="6" s="1"/>
  <c r="E163" i="6" s="1"/>
  <c r="E164" i="6" s="1"/>
  <c r="E165" i="6" s="1"/>
  <c r="E166" i="6" s="1"/>
  <c r="E167" i="6" s="1"/>
  <c r="E168" i="6" s="1"/>
  <c r="E169" i="6" s="1"/>
  <c r="E170" i="6" s="1"/>
  <c r="E171" i="6" s="1"/>
  <c r="E172" i="6" s="1"/>
  <c r="E173" i="6" s="1"/>
  <c r="E174" i="6" s="1"/>
  <c r="E175" i="6" s="1"/>
  <c r="E176" i="6" s="1"/>
  <c r="E177" i="6" s="1"/>
  <c r="E178" i="6" s="1"/>
  <c r="E179" i="6" s="1"/>
  <c r="E180" i="6" s="1"/>
  <c r="E181" i="6" s="1"/>
  <c r="E182" i="6" s="1"/>
  <c r="E183" i="6" s="1"/>
  <c r="E184" i="6" s="1"/>
  <c r="E185" i="6" s="1"/>
  <c r="E186" i="6" s="1"/>
  <c r="E187" i="6" s="1"/>
  <c r="E188" i="6" s="1"/>
  <c r="E189" i="6" s="1"/>
  <c r="E190" i="6" s="1"/>
  <c r="E191" i="6" s="1"/>
  <c r="E192" i="6" s="1"/>
  <c r="E193" i="6" s="1"/>
  <c r="E194" i="6" s="1"/>
  <c r="E195" i="6" s="1"/>
  <c r="E196" i="6" s="1"/>
  <c r="E197" i="6" s="1"/>
  <c r="E198" i="6" s="1"/>
  <c r="E199" i="6" s="1"/>
  <c r="E200" i="6" s="1"/>
  <c r="E201" i="6" s="1"/>
  <c r="E202" i="6" s="1"/>
  <c r="E203" i="6" s="1"/>
  <c r="E204" i="6" s="1"/>
  <c r="E205" i="6" s="1"/>
  <c r="E206" i="6" s="1"/>
  <c r="E207" i="6" s="1"/>
  <c r="E208" i="6" s="1"/>
  <c r="E209" i="6" s="1"/>
  <c r="E210" i="6" s="1"/>
  <c r="E211" i="6" s="1"/>
  <c r="E212" i="6" s="1"/>
  <c r="E213" i="6" s="1"/>
  <c r="E214" i="6" s="1"/>
  <c r="E215" i="6" s="1"/>
  <c r="E216" i="6" s="1"/>
  <c r="E217" i="6" s="1"/>
  <c r="E218" i="6" s="1"/>
  <c r="E219" i="6" s="1"/>
  <c r="E220" i="6" s="1"/>
  <c r="E221" i="6" s="1"/>
  <c r="E222" i="6" s="1"/>
  <c r="E223" i="6" s="1"/>
  <c r="E224" i="6" s="1"/>
  <c r="E225" i="6" s="1"/>
  <c r="E226" i="6" s="1"/>
  <c r="E227" i="6" s="1"/>
  <c r="E228" i="6" s="1"/>
  <c r="E229" i="6" s="1"/>
  <c r="E230" i="6" s="1"/>
  <c r="E231" i="6" s="1"/>
  <c r="E232" i="6" s="1"/>
  <c r="E233" i="6" s="1"/>
  <c r="E234" i="6" s="1"/>
  <c r="E235" i="6" s="1"/>
  <c r="E236" i="6" s="1"/>
  <c r="E237" i="6" s="1"/>
  <c r="E238" i="6" s="1"/>
  <c r="E239" i="6" s="1"/>
  <c r="E240" i="6" s="1"/>
  <c r="E241" i="6" s="1"/>
  <c r="E242" i="6" s="1"/>
  <c r="E243" i="6" s="1"/>
  <c r="E244" i="6" s="1"/>
  <c r="E245" i="6" s="1"/>
  <c r="E246" i="6" s="1"/>
  <c r="E247" i="6" s="1"/>
  <c r="E248" i="6" s="1"/>
  <c r="E249" i="6" s="1"/>
  <c r="E250" i="6" s="1"/>
  <c r="E251" i="6" s="1"/>
  <c r="E252" i="6" s="1"/>
  <c r="E253" i="6" s="1"/>
  <c r="E254" i="6" s="1"/>
  <c r="E255" i="6" s="1"/>
  <c r="E256" i="6" s="1"/>
  <c r="E257" i="6" s="1"/>
  <c r="E258" i="6" s="1"/>
  <c r="E259" i="6" s="1"/>
  <c r="E260" i="6" s="1"/>
  <c r="E261" i="6" s="1"/>
  <c r="E262" i="6" s="1"/>
  <c r="E263" i="6" s="1"/>
  <c r="E264" i="6" s="1"/>
  <c r="E265" i="6" s="1"/>
  <c r="E266" i="6" s="1"/>
  <c r="E267" i="6" s="1"/>
  <c r="E268" i="6" s="1"/>
  <c r="E269" i="6" s="1"/>
  <c r="E270" i="6" s="1"/>
  <c r="E271" i="6" s="1"/>
  <c r="E272" i="6" s="1"/>
  <c r="E273" i="6" s="1"/>
  <c r="E274" i="6" s="1"/>
  <c r="E275" i="6" s="1"/>
  <c r="E276" i="6" s="1"/>
  <c r="E277" i="6" s="1"/>
  <c r="E278" i="6" s="1"/>
  <c r="E279" i="6" s="1"/>
  <c r="E280" i="6" s="1"/>
  <c r="E281" i="6" s="1"/>
  <c r="E282" i="6" s="1"/>
  <c r="E283" i="6" s="1"/>
  <c r="E284" i="6" s="1"/>
  <c r="E285" i="6" s="1"/>
  <c r="E286" i="6" s="1"/>
  <c r="E287" i="6" s="1"/>
  <c r="E288" i="6" s="1"/>
  <c r="E289" i="6" s="1"/>
  <c r="E290" i="6" s="1"/>
  <c r="E291" i="6" s="1"/>
  <c r="E292" i="6" s="1"/>
  <c r="E293" i="6" s="1"/>
  <c r="E294" i="6" s="1"/>
  <c r="E295" i="6" s="1"/>
  <c r="E296" i="6" s="1"/>
  <c r="E297" i="6" s="1"/>
  <c r="E298" i="6" s="1"/>
  <c r="E299" i="6" s="1"/>
  <c r="E300" i="6" s="1"/>
  <c r="E301" i="6" s="1"/>
  <c r="E302" i="6" s="1"/>
  <c r="E303" i="6" s="1"/>
  <c r="E304" i="6" s="1"/>
  <c r="E305" i="6" s="1"/>
  <c r="E306" i="6" s="1"/>
  <c r="E307" i="6" s="1"/>
  <c r="E308" i="6" s="1"/>
  <c r="E309" i="6" s="1"/>
  <c r="E310" i="6" s="1"/>
  <c r="E311" i="6" s="1"/>
  <c r="E312" i="6" s="1"/>
  <c r="E313" i="6" s="1"/>
  <c r="E314" i="6" s="1"/>
  <c r="E315" i="6" s="1"/>
  <c r="E316" i="6" s="1"/>
  <c r="E317" i="6" s="1"/>
  <c r="E318" i="6" s="1"/>
  <c r="E319" i="6" s="1"/>
  <c r="E320" i="6" s="1"/>
  <c r="E321" i="6" s="1"/>
  <c r="E322" i="6" s="1"/>
  <c r="E323" i="6" s="1"/>
  <c r="E324" i="6" s="1"/>
  <c r="E325" i="6" s="1"/>
  <c r="E326" i="6" s="1"/>
  <c r="E327" i="6" s="1"/>
  <c r="E328" i="6" s="1"/>
  <c r="E329" i="6" s="1"/>
  <c r="E330" i="6" s="1"/>
  <c r="E331" i="6" s="1"/>
  <c r="E332" i="6" s="1"/>
  <c r="E333" i="6" s="1"/>
  <c r="E334" i="6" s="1"/>
  <c r="E335" i="6" s="1"/>
  <c r="E336" i="6" s="1"/>
  <c r="E337" i="6" s="1"/>
  <c r="E338" i="6" s="1"/>
  <c r="E339" i="6" s="1"/>
  <c r="E340" i="6" s="1"/>
  <c r="E341" i="6" s="1"/>
  <c r="E342" i="6" s="1"/>
  <c r="E343" i="6" s="1"/>
  <c r="E344" i="6" s="1"/>
  <c r="E345" i="6" s="1"/>
  <c r="E346" i="6" s="1"/>
  <c r="E347" i="6" s="1"/>
  <c r="E348" i="6" s="1"/>
  <c r="E349" i="6" s="1"/>
  <c r="E350" i="6" s="1"/>
  <c r="E351" i="6" s="1"/>
  <c r="E352" i="6" s="1"/>
  <c r="E353" i="6" s="1"/>
  <c r="E354" i="6" s="1"/>
  <c r="E355" i="6" s="1"/>
  <c r="E356" i="6" s="1"/>
  <c r="E357" i="6" s="1"/>
  <c r="E358" i="6" s="1"/>
  <c r="E359" i="6" s="1"/>
  <c r="E360" i="6" s="1"/>
  <c r="E361" i="6" s="1"/>
  <c r="E362" i="6" s="1"/>
  <c r="E363" i="6" s="1"/>
  <c r="E364" i="6" s="1"/>
  <c r="E365" i="6" s="1"/>
  <c r="E366" i="6" s="1"/>
  <c r="E367" i="6" s="1"/>
  <c r="E368" i="6" s="1"/>
  <c r="E369" i="6" s="1"/>
  <c r="E370" i="6" s="1"/>
  <c r="E371" i="6" s="1"/>
  <c r="E372" i="6" s="1"/>
  <c r="E373" i="6" s="1"/>
  <c r="E374" i="6" s="1"/>
  <c r="E375" i="6" s="1"/>
  <c r="E376" i="6" s="1"/>
  <c r="E377" i="6" s="1"/>
  <c r="E378" i="6" s="1"/>
  <c r="E379" i="6" s="1"/>
  <c r="E380" i="6" s="1"/>
  <c r="E381" i="6" s="1"/>
  <c r="E382" i="6" s="1"/>
  <c r="E383" i="6" s="1"/>
  <c r="E384" i="6" s="1"/>
  <c r="E385" i="6" s="1"/>
  <c r="E386" i="6" s="1"/>
  <c r="E387" i="6" s="1"/>
  <c r="E388" i="6" s="1"/>
  <c r="E389" i="6" s="1"/>
  <c r="E390" i="6" s="1"/>
  <c r="E391" i="6" s="1"/>
  <c r="E392" i="6" s="1"/>
  <c r="E393" i="6" s="1"/>
  <c r="E394" i="6" s="1"/>
  <c r="E395" i="6" s="1"/>
  <c r="E396" i="6" s="1"/>
  <c r="E397" i="6" s="1"/>
  <c r="E398" i="6" s="1"/>
  <c r="E399" i="6" s="1"/>
  <c r="E400" i="6" s="1"/>
  <c r="E401" i="6" s="1"/>
  <c r="E402" i="6" s="1"/>
  <c r="E403" i="6" s="1"/>
  <c r="E404" i="6" s="1"/>
  <c r="E405" i="6" s="1"/>
  <c r="E406" i="6" s="1"/>
  <c r="E407" i="6" s="1"/>
  <c r="E408" i="6" s="1"/>
  <c r="E409" i="6" s="1"/>
  <c r="E410" i="6" s="1"/>
  <c r="E411" i="6" s="1"/>
  <c r="E412" i="6" s="1"/>
  <c r="E413" i="6" s="1"/>
  <c r="E414" i="6" s="1"/>
  <c r="E415" i="6" s="1"/>
  <c r="E416" i="6" s="1"/>
  <c r="E417" i="6" s="1"/>
  <c r="E418" i="6" s="1"/>
  <c r="E419" i="6" s="1"/>
  <c r="E420" i="6" s="1"/>
  <c r="E421" i="6" s="1"/>
  <c r="E422" i="6" s="1"/>
  <c r="E423" i="6" s="1"/>
  <c r="E424" i="6" s="1"/>
  <c r="E425" i="6" s="1"/>
  <c r="E426" i="6" s="1"/>
  <c r="E427" i="6" s="1"/>
  <c r="E428" i="6" s="1"/>
  <c r="E429" i="6" s="1"/>
  <c r="E430" i="6" s="1"/>
  <c r="E431" i="6" s="1"/>
  <c r="E432" i="6" s="1"/>
  <c r="E433" i="6" s="1"/>
  <c r="E434" i="6" s="1"/>
  <c r="E435" i="6" s="1"/>
  <c r="E436" i="6" s="1"/>
  <c r="E437" i="6" s="1"/>
  <c r="E438" i="6" s="1"/>
  <c r="E439" i="6" s="1"/>
  <c r="E440" i="6" s="1"/>
  <c r="E441" i="6" s="1"/>
  <c r="E442" i="6" s="1"/>
  <c r="E443" i="6" s="1"/>
  <c r="E444" i="6" s="1"/>
  <c r="E445" i="6" s="1"/>
  <c r="E446" i="6" s="1"/>
  <c r="E447" i="6" s="1"/>
  <c r="E448" i="6" s="1"/>
  <c r="E449" i="6" s="1"/>
  <c r="E450" i="6" s="1"/>
  <c r="E451" i="6" s="1"/>
  <c r="E452" i="6" s="1"/>
  <c r="E453" i="6" s="1"/>
  <c r="E454" i="6" s="1"/>
  <c r="E455" i="6" s="1"/>
  <c r="E456" i="6" s="1"/>
  <c r="E457" i="6" s="1"/>
  <c r="E458" i="6" s="1"/>
  <c r="E459" i="6" s="1"/>
  <c r="E460" i="6" s="1"/>
  <c r="E461" i="6" s="1"/>
  <c r="E462" i="6" s="1"/>
  <c r="E463" i="6" s="1"/>
  <c r="E464" i="6" s="1"/>
  <c r="E465" i="6" s="1"/>
  <c r="E466" i="6" s="1"/>
  <c r="E467" i="6" s="1"/>
  <c r="E468" i="6" s="1"/>
  <c r="E469" i="6" s="1"/>
  <c r="E470" i="6" s="1"/>
  <c r="E471" i="6" s="1"/>
  <c r="E472" i="6" s="1"/>
  <c r="E473" i="6" s="1"/>
  <c r="E474" i="6" s="1"/>
  <c r="E475" i="6" s="1"/>
  <c r="E476" i="6" s="1"/>
  <c r="E477" i="6" s="1"/>
  <c r="E478" i="6" s="1"/>
  <c r="E479" i="6" s="1"/>
  <c r="E480" i="6" s="1"/>
  <c r="E481" i="6" s="1"/>
  <c r="E482" i="6" s="1"/>
  <c r="E483" i="6" s="1"/>
  <c r="E484" i="6" s="1"/>
  <c r="E485" i="6" s="1"/>
  <c r="E486" i="6" s="1"/>
  <c r="E487" i="6" s="1"/>
  <c r="E488" i="6" s="1"/>
  <c r="E489" i="6" s="1"/>
  <c r="E490" i="6" s="1"/>
  <c r="E491" i="6" s="1"/>
  <c r="E492" i="6" s="1"/>
  <c r="E493" i="6" s="1"/>
  <c r="E494" i="6" s="1"/>
  <c r="E495" i="6" s="1"/>
  <c r="E496" i="6" s="1"/>
  <c r="E497" i="6" s="1"/>
  <c r="E498" i="6" s="1"/>
  <c r="E499" i="6" s="1"/>
  <c r="E500" i="6" s="1"/>
  <c r="E501" i="6" s="1"/>
  <c r="E502" i="6" s="1"/>
  <c r="E503" i="6" s="1"/>
  <c r="E504" i="6" s="1"/>
  <c r="E505" i="6" s="1"/>
  <c r="E506" i="6" s="1"/>
  <c r="E507" i="6" s="1"/>
  <c r="E508" i="6" s="1"/>
  <c r="E509" i="6" s="1"/>
  <c r="E510" i="6" s="1"/>
  <c r="E511" i="6" s="1"/>
  <c r="E512" i="6" s="1"/>
  <c r="E513" i="6" s="1"/>
  <c r="E514" i="6" s="1"/>
  <c r="E515" i="6" s="1"/>
  <c r="E516" i="6" s="1"/>
  <c r="E517" i="6" s="1"/>
  <c r="E518" i="6" s="1"/>
  <c r="E519" i="6" s="1"/>
  <c r="E520" i="6" s="1"/>
  <c r="E521" i="6" s="1"/>
  <c r="E522" i="6" s="1"/>
  <c r="E523" i="6" s="1"/>
  <c r="E524" i="6" s="1"/>
  <c r="E525" i="6" s="1"/>
  <c r="E526" i="6" s="1"/>
  <c r="E527" i="6" s="1"/>
  <c r="E528" i="6" s="1"/>
  <c r="E529" i="6" s="1"/>
  <c r="E530" i="6" s="1"/>
  <c r="E531" i="6" s="1"/>
  <c r="E532" i="6" s="1"/>
  <c r="E533" i="6" s="1"/>
  <c r="E534" i="6" s="1"/>
  <c r="E535" i="6" s="1"/>
  <c r="E536" i="6" s="1"/>
  <c r="E537" i="6" s="1"/>
  <c r="E538" i="6" s="1"/>
  <c r="E539" i="6" s="1"/>
  <c r="E540" i="6" s="1"/>
  <c r="E541" i="6" s="1"/>
  <c r="E542" i="6" s="1"/>
  <c r="E543" i="6" s="1"/>
  <c r="E544" i="6" s="1"/>
  <c r="E545" i="6" s="1"/>
  <c r="E546" i="6" s="1"/>
  <c r="E547" i="6" s="1"/>
  <c r="E548" i="6" s="1"/>
  <c r="E549" i="6" s="1"/>
  <c r="E550" i="6" s="1"/>
  <c r="E551" i="6" s="1"/>
  <c r="E552" i="6" s="1"/>
  <c r="E553" i="6" s="1"/>
  <c r="E554" i="6" s="1"/>
  <c r="E555" i="6" s="1"/>
  <c r="E556" i="6" s="1"/>
  <c r="E557" i="6" s="1"/>
  <c r="E558" i="6" s="1"/>
  <c r="E559" i="6" s="1"/>
  <c r="E560" i="6" s="1"/>
  <c r="E561" i="6" s="1"/>
  <c r="E562" i="6" s="1"/>
  <c r="E563" i="6" s="1"/>
  <c r="E564" i="6" s="1"/>
  <c r="E565" i="6" s="1"/>
  <c r="E566" i="6" s="1"/>
  <c r="E567" i="6" s="1"/>
  <c r="E568" i="6" s="1"/>
  <c r="E569" i="6" s="1"/>
  <c r="E570" i="6" s="1"/>
  <c r="E571" i="6" s="1"/>
  <c r="E572" i="6" s="1"/>
  <c r="E573" i="6" s="1"/>
  <c r="E574" i="6" s="1"/>
  <c r="E575" i="6" s="1"/>
  <c r="E576" i="6" s="1"/>
  <c r="E577" i="6" s="1"/>
  <c r="E578" i="6" s="1"/>
  <c r="E579" i="6" s="1"/>
  <c r="E580" i="6" s="1"/>
  <c r="E581" i="6" s="1"/>
  <c r="E582" i="6" s="1"/>
  <c r="E583" i="6" s="1"/>
  <c r="E584" i="6" s="1"/>
  <c r="E585" i="6" s="1"/>
  <c r="E586" i="6" s="1"/>
  <c r="E587" i="6" s="1"/>
  <c r="E588" i="6" s="1"/>
  <c r="E589" i="6" s="1"/>
  <c r="E590" i="6" s="1"/>
  <c r="E591" i="6" s="1"/>
  <c r="E592" i="6" s="1"/>
  <c r="E593" i="6" s="1"/>
  <c r="E594" i="6" s="1"/>
  <c r="E595" i="6" s="1"/>
  <c r="E596" i="6" s="1"/>
  <c r="E597" i="6" s="1"/>
  <c r="E598" i="6" s="1"/>
  <c r="E599" i="6" s="1"/>
  <c r="E600" i="6" s="1"/>
  <c r="E601" i="6" s="1"/>
  <c r="E602" i="6" s="1"/>
  <c r="E603" i="6" s="1"/>
  <c r="E604" i="6" s="1"/>
  <c r="E605" i="6" s="1"/>
  <c r="E606" i="6" s="1"/>
  <c r="E607" i="6" s="1"/>
  <c r="E608" i="6" s="1"/>
  <c r="E609" i="6" s="1"/>
  <c r="E610" i="6" s="1"/>
  <c r="E611" i="6" s="1"/>
  <c r="E612" i="6" s="1"/>
  <c r="E613" i="6" s="1"/>
  <c r="E614" i="6" s="1"/>
  <c r="E615" i="6" s="1"/>
  <c r="E616" i="6" s="1"/>
  <c r="E617" i="6" s="1"/>
  <c r="E618" i="6" s="1"/>
  <c r="E619" i="6" s="1"/>
  <c r="E620" i="6" s="1"/>
  <c r="E621" i="6" s="1"/>
  <c r="E622" i="6" s="1"/>
  <c r="E623" i="6" s="1"/>
  <c r="E624" i="6" s="1"/>
  <c r="E625" i="6" s="1"/>
  <c r="E626" i="6" s="1"/>
  <c r="E627" i="6" s="1"/>
  <c r="E628" i="6" s="1"/>
  <c r="E629" i="6" s="1"/>
  <c r="E630" i="6" s="1"/>
  <c r="E631" i="6" s="1"/>
  <c r="E632" i="6" s="1"/>
  <c r="E633" i="6" s="1"/>
  <c r="E634" i="6" s="1"/>
  <c r="E635" i="6" s="1"/>
  <c r="E636" i="6" s="1"/>
  <c r="E637" i="6" s="1"/>
  <c r="E638" i="6" s="1"/>
  <c r="E639" i="6" s="1"/>
  <c r="E640" i="6" s="1"/>
  <c r="E641" i="6" s="1"/>
  <c r="E642" i="6" s="1"/>
  <c r="E643" i="6" s="1"/>
  <c r="E644" i="6" s="1"/>
  <c r="E645" i="6" s="1"/>
  <c r="E646" i="6" s="1"/>
  <c r="E647" i="6" s="1"/>
  <c r="E648" i="6" s="1"/>
  <c r="E649" i="6" s="1"/>
  <c r="E650" i="6" s="1"/>
  <c r="E651" i="6" s="1"/>
  <c r="E652" i="6" s="1"/>
  <c r="E653" i="6" s="1"/>
  <c r="E654" i="6" s="1"/>
  <c r="E655" i="6" s="1"/>
  <c r="E656" i="6" s="1"/>
  <c r="E657" i="6" s="1"/>
  <c r="E658" i="6" s="1"/>
  <c r="E659" i="6" s="1"/>
  <c r="E660" i="6" s="1"/>
  <c r="E661" i="6" s="1"/>
  <c r="E662" i="6" s="1"/>
  <c r="E663" i="6" s="1"/>
  <c r="E664" i="6" s="1"/>
  <c r="E665" i="6" s="1"/>
  <c r="E666" i="6" s="1"/>
  <c r="E667" i="6" s="1"/>
  <c r="E668" i="6" s="1"/>
  <c r="E669" i="6" s="1"/>
  <c r="E670" i="6" s="1"/>
  <c r="E671" i="6" s="1"/>
  <c r="E672" i="6" s="1"/>
  <c r="E673" i="6" s="1"/>
  <c r="E674" i="6" s="1"/>
  <c r="E675" i="6" s="1"/>
  <c r="E676" i="6" s="1"/>
  <c r="E677" i="6" s="1"/>
  <c r="E678" i="6" s="1"/>
  <c r="E679" i="6" s="1"/>
  <c r="E680" i="6" s="1"/>
  <c r="E681" i="6" s="1"/>
  <c r="E682" i="6" s="1"/>
  <c r="E683" i="6" s="1"/>
  <c r="E684" i="6" s="1"/>
  <c r="E685" i="6" s="1"/>
  <c r="E686" i="6" s="1"/>
  <c r="E687" i="6" s="1"/>
  <c r="E688" i="6" s="1"/>
  <c r="E689" i="6" s="1"/>
  <c r="E690" i="6" s="1"/>
  <c r="E691" i="6" s="1"/>
  <c r="E692" i="6" s="1"/>
  <c r="E693" i="6" s="1"/>
  <c r="E694" i="6" s="1"/>
  <c r="E695" i="6" s="1"/>
  <c r="E696" i="6" s="1"/>
  <c r="E697" i="6" s="1"/>
  <c r="E698" i="6" s="1"/>
  <c r="E699" i="6" s="1"/>
  <c r="E700" i="6" s="1"/>
  <c r="E701" i="6" s="1"/>
  <c r="E702" i="6" s="1"/>
  <c r="E703" i="6" s="1"/>
  <c r="E704" i="6" s="1"/>
  <c r="E705" i="6" s="1"/>
  <c r="E706" i="6" s="1"/>
  <c r="E707" i="6" s="1"/>
  <c r="E708" i="6" s="1"/>
  <c r="E709" i="6" s="1"/>
  <c r="E710" i="6" s="1"/>
  <c r="E711" i="6" s="1"/>
  <c r="E712" i="6" s="1"/>
  <c r="E713" i="6" s="1"/>
  <c r="E714" i="6" s="1"/>
  <c r="E715" i="6" s="1"/>
  <c r="E716" i="6" s="1"/>
  <c r="E717" i="6" s="1"/>
  <c r="E718" i="6" s="1"/>
  <c r="E719" i="6" s="1"/>
  <c r="E720" i="6" s="1"/>
  <c r="E721" i="6" s="1"/>
  <c r="E722" i="6" s="1"/>
  <c r="E723" i="6" s="1"/>
  <c r="E724" i="6" s="1"/>
  <c r="E725" i="6" s="1"/>
  <c r="E726" i="6" s="1"/>
  <c r="E727" i="6" s="1"/>
  <c r="E728" i="6" s="1"/>
  <c r="E729" i="6" s="1"/>
  <c r="E730" i="6" s="1"/>
  <c r="E731" i="6" s="1"/>
  <c r="E732" i="6" s="1"/>
  <c r="E733" i="6" s="1"/>
  <c r="E734" i="6" s="1"/>
  <c r="E735" i="6" s="1"/>
  <c r="E736" i="6" s="1"/>
  <c r="E737" i="6" s="1"/>
  <c r="E738" i="6" s="1"/>
  <c r="E739" i="6" s="1"/>
  <c r="E740" i="6" s="1"/>
  <c r="E741" i="6" s="1"/>
  <c r="E742" i="6" s="1"/>
  <c r="E743" i="6" s="1"/>
  <c r="E744" i="6" s="1"/>
  <c r="E745" i="6" s="1"/>
  <c r="E746" i="6" s="1"/>
  <c r="E747" i="6" s="1"/>
  <c r="E748" i="6" s="1"/>
  <c r="E749" i="6" s="1"/>
  <c r="E750" i="6" s="1"/>
  <c r="E751" i="6" s="1"/>
  <c r="E752" i="6" s="1"/>
  <c r="E753" i="6" s="1"/>
  <c r="E754" i="6" s="1"/>
  <c r="E755" i="6" s="1"/>
  <c r="E756" i="6" s="1"/>
  <c r="E757" i="6" s="1"/>
  <c r="E758" i="6" s="1"/>
  <c r="E759" i="6" s="1"/>
  <c r="E760" i="6" s="1"/>
  <c r="E761" i="6" s="1"/>
  <c r="E762" i="6" s="1"/>
  <c r="E763" i="6" s="1"/>
  <c r="E764" i="6" s="1"/>
  <c r="E765" i="6" s="1"/>
  <c r="E766" i="6" s="1"/>
  <c r="E767" i="6" s="1"/>
  <c r="E768" i="6" s="1"/>
  <c r="E769" i="6" s="1"/>
  <c r="E770" i="6" s="1"/>
  <c r="E771" i="6" s="1"/>
  <c r="E772" i="6" s="1"/>
  <c r="E773" i="6" s="1"/>
  <c r="E774" i="6" s="1"/>
  <c r="E775" i="6" s="1"/>
  <c r="E776" i="6" s="1"/>
  <c r="E777" i="6" s="1"/>
  <c r="E778" i="6" s="1"/>
  <c r="E779" i="6" s="1"/>
  <c r="E780" i="6" s="1"/>
  <c r="E781" i="6" s="1"/>
  <c r="E782" i="6" s="1"/>
  <c r="E783" i="6" s="1"/>
  <c r="E784" i="6" s="1"/>
  <c r="E785" i="6" s="1"/>
  <c r="E786" i="6" s="1"/>
  <c r="E787" i="6" s="1"/>
  <c r="E788" i="6" s="1"/>
  <c r="E789" i="6" s="1"/>
  <c r="E790" i="6" s="1"/>
  <c r="E791" i="6" s="1"/>
  <c r="E792" i="6" s="1"/>
  <c r="E793" i="6" s="1"/>
  <c r="E794" i="6" s="1"/>
  <c r="E795" i="6" s="1"/>
  <c r="E796" i="6" s="1"/>
  <c r="E797" i="6" s="1"/>
  <c r="E798" i="6" s="1"/>
  <c r="E799" i="6" s="1"/>
  <c r="E800" i="6" s="1"/>
  <c r="E801" i="6" s="1"/>
  <c r="E802" i="6" s="1"/>
  <c r="E803" i="6" s="1"/>
  <c r="E804" i="6" s="1"/>
  <c r="E805" i="6" s="1"/>
  <c r="E806" i="6" s="1"/>
  <c r="E807" i="6" s="1"/>
  <c r="E808" i="6" s="1"/>
  <c r="E809" i="6" s="1"/>
  <c r="E810" i="6" s="1"/>
  <c r="E811" i="6" s="1"/>
  <c r="E812" i="6" s="1"/>
  <c r="E813" i="6" s="1"/>
  <c r="E814" i="6" s="1"/>
  <c r="E815" i="6" s="1"/>
  <c r="E816" i="6" s="1"/>
  <c r="E817" i="6" s="1"/>
  <c r="E818" i="6" s="1"/>
  <c r="E819" i="6" s="1"/>
  <c r="E820" i="6" s="1"/>
  <c r="E821" i="6" s="1"/>
  <c r="E822" i="6" s="1"/>
  <c r="E823" i="6" s="1"/>
  <c r="E824" i="6" s="1"/>
  <c r="E825" i="6" s="1"/>
  <c r="E826" i="6" s="1"/>
  <c r="E827" i="6" s="1"/>
  <c r="E828" i="6" s="1"/>
  <c r="E829" i="6" s="1"/>
  <c r="E830" i="6" s="1"/>
  <c r="E831" i="6" s="1"/>
  <c r="E832" i="6" s="1"/>
  <c r="E833" i="6" s="1"/>
  <c r="E834" i="6" s="1"/>
  <c r="E835" i="6" s="1"/>
  <c r="E836" i="6" s="1"/>
  <c r="E837" i="6" s="1"/>
  <c r="E838" i="6" s="1"/>
  <c r="E839" i="6" s="1"/>
  <c r="E840" i="6" s="1"/>
  <c r="E841" i="6" s="1"/>
  <c r="E842" i="6" s="1"/>
  <c r="E843" i="6" s="1"/>
  <c r="E844" i="6" s="1"/>
  <c r="E845" i="6" s="1"/>
  <c r="E846" i="6" s="1"/>
  <c r="E847" i="6" s="1"/>
  <c r="E848" i="6" s="1"/>
  <c r="E849" i="6" s="1"/>
  <c r="E850" i="6" s="1"/>
  <c r="E851" i="6" s="1"/>
  <c r="E852" i="6" s="1"/>
  <c r="E853" i="6" s="1"/>
  <c r="E854" i="6" s="1"/>
  <c r="E855" i="6" s="1"/>
  <c r="E856" i="6" s="1"/>
  <c r="E857" i="6" s="1"/>
  <c r="E858" i="6" s="1"/>
  <c r="E859" i="6" s="1"/>
  <c r="E860" i="6" s="1"/>
  <c r="E861" i="6" s="1"/>
  <c r="E862" i="6" s="1"/>
  <c r="E863" i="6" s="1"/>
  <c r="E864" i="6" s="1"/>
  <c r="E865" i="6" s="1"/>
  <c r="E866" i="6" s="1"/>
  <c r="E867" i="6" s="1"/>
  <c r="E868" i="6" s="1"/>
  <c r="E869" i="6" s="1"/>
  <c r="E870" i="6" s="1"/>
  <c r="E871" i="6" s="1"/>
  <c r="E872" i="6" s="1"/>
  <c r="E873" i="6" s="1"/>
  <c r="E874" i="6" s="1"/>
  <c r="E875" i="6" s="1"/>
  <c r="E876" i="6" s="1"/>
  <c r="E877" i="6" s="1"/>
  <c r="E878" i="6" s="1"/>
  <c r="E879" i="6" s="1"/>
  <c r="E880" i="6" s="1"/>
  <c r="E881" i="6" s="1"/>
  <c r="E882" i="6" s="1"/>
  <c r="E883" i="6" s="1"/>
  <c r="E884" i="6" s="1"/>
  <c r="E885" i="6" s="1"/>
  <c r="E886" i="6" s="1"/>
  <c r="E887" i="6" s="1"/>
  <c r="E888" i="6" s="1"/>
  <c r="E889" i="6" s="1"/>
  <c r="E890" i="6" s="1"/>
  <c r="E891" i="6" s="1"/>
  <c r="E892" i="6" s="1"/>
  <c r="E893" i="6" s="1"/>
  <c r="E894" i="6" s="1"/>
  <c r="E895" i="6" s="1"/>
  <c r="E896" i="6" s="1"/>
  <c r="E897" i="6" s="1"/>
  <c r="E898" i="6" s="1"/>
  <c r="E899" i="6" s="1"/>
  <c r="E900" i="6" s="1"/>
  <c r="E901" i="6" s="1"/>
  <c r="E902" i="6" s="1"/>
  <c r="E903" i="6" s="1"/>
  <c r="E904" i="6" s="1"/>
  <c r="E905" i="6" s="1"/>
  <c r="E906" i="6" s="1"/>
  <c r="E907" i="6" s="1"/>
  <c r="E908" i="6" s="1"/>
  <c r="E909" i="6" s="1"/>
  <c r="E910" i="6" s="1"/>
  <c r="E911" i="6" s="1"/>
  <c r="E912" i="6" s="1"/>
  <c r="E913" i="6" s="1"/>
  <c r="E914" i="6" s="1"/>
  <c r="E915" i="6" s="1"/>
  <c r="E916" i="6" s="1"/>
  <c r="E917" i="6" s="1"/>
  <c r="E918" i="6" s="1"/>
  <c r="E919" i="6" s="1"/>
  <c r="E920" i="6" s="1"/>
  <c r="E921" i="6" s="1"/>
  <c r="E922" i="6" s="1"/>
  <c r="E923" i="6" s="1"/>
  <c r="E924" i="6" s="1"/>
  <c r="E925" i="6" s="1"/>
  <c r="E926" i="6" s="1"/>
  <c r="E927" i="6" s="1"/>
  <c r="E928" i="6" s="1"/>
  <c r="E929" i="6" s="1"/>
  <c r="E930" i="6" s="1"/>
  <c r="E931" i="6" s="1"/>
  <c r="E932" i="6" s="1"/>
  <c r="E933" i="6" s="1"/>
  <c r="E934" i="6" s="1"/>
  <c r="E935" i="6" s="1"/>
  <c r="E936" i="6" s="1"/>
  <c r="E937" i="6" s="1"/>
  <c r="E938" i="6" s="1"/>
  <c r="E939" i="6" s="1"/>
  <c r="E940" i="6" s="1"/>
  <c r="E941" i="6" s="1"/>
  <c r="E942" i="6" s="1"/>
  <c r="E943" i="6" s="1"/>
  <c r="E944" i="6" s="1"/>
  <c r="E945" i="6" s="1"/>
  <c r="E946" i="6" s="1"/>
  <c r="E947" i="6" s="1"/>
  <c r="E948" i="6" s="1"/>
  <c r="E949" i="6" s="1"/>
  <c r="E950" i="6" s="1"/>
  <c r="E951" i="6" s="1"/>
  <c r="E952" i="6" s="1"/>
  <c r="E953" i="6" s="1"/>
  <c r="E954" i="6" s="1"/>
  <c r="E955" i="6" s="1"/>
  <c r="E956" i="6" s="1"/>
  <c r="E957" i="6" s="1"/>
  <c r="E958" i="6" s="1"/>
  <c r="E959" i="6" s="1"/>
  <c r="E960" i="6" s="1"/>
  <c r="E961" i="6" s="1"/>
  <c r="E962" i="6" s="1"/>
  <c r="E963" i="6" s="1"/>
  <c r="E964" i="6" s="1"/>
  <c r="E965" i="6" s="1"/>
  <c r="E966" i="6" s="1"/>
  <c r="E967" i="6" s="1"/>
  <c r="E968" i="6" s="1"/>
  <c r="E969" i="6" s="1"/>
  <c r="E970" i="6" s="1"/>
  <c r="E971" i="6" s="1"/>
  <c r="E972" i="6" s="1"/>
  <c r="E973" i="6" s="1"/>
  <c r="E974" i="6" s="1"/>
  <c r="E975" i="6" s="1"/>
  <c r="E976" i="6" s="1"/>
  <c r="E977" i="6" s="1"/>
  <c r="E978" i="6" s="1"/>
  <c r="E979" i="6" s="1"/>
  <c r="E980" i="6" s="1"/>
  <c r="E981" i="6" s="1"/>
  <c r="E982" i="6" s="1"/>
  <c r="E983" i="6" s="1"/>
  <c r="E984" i="6" s="1"/>
  <c r="E985" i="6" s="1"/>
  <c r="E986" i="6" s="1"/>
  <c r="E987" i="6" s="1"/>
  <c r="E988" i="6" s="1"/>
  <c r="E989" i="6" s="1"/>
  <c r="E990" i="6" s="1"/>
  <c r="E991" i="6" s="1"/>
  <c r="E992" i="6" s="1"/>
  <c r="E993" i="6" s="1"/>
  <c r="E994" i="6" s="1"/>
  <c r="E995" i="6" s="1"/>
  <c r="E996" i="6" s="1"/>
  <c r="E997" i="6" s="1"/>
  <c r="E998" i="6" s="1"/>
  <c r="E999" i="6" s="1"/>
  <c r="E1000" i="6" s="1"/>
  <c r="E1001" i="6" s="1"/>
  <c r="E1002" i="6" s="1"/>
  <c r="E1003" i="6" s="1"/>
  <c r="E1004" i="6" s="1"/>
  <c r="E1005" i="6" s="1"/>
  <c r="E1006" i="6" s="1"/>
  <c r="E1007" i="6" s="1"/>
  <c r="E1008" i="6" s="1"/>
  <c r="E1009" i="6" s="1"/>
  <c r="E1010" i="6" s="1"/>
  <c r="E1011" i="6" s="1"/>
  <c r="E1012" i="6" s="1"/>
  <c r="E1013" i="6" s="1"/>
  <c r="E1014" i="6" s="1"/>
  <c r="E1015" i="6" s="1"/>
  <c r="E1016" i="6" s="1"/>
  <c r="E1017" i="6" s="1"/>
  <c r="E1018" i="6" s="1"/>
  <c r="E1019" i="6" s="1"/>
  <c r="E1020" i="6" s="1"/>
  <c r="E1021" i="6" s="1"/>
  <c r="E1022" i="6" s="1"/>
  <c r="E1023" i="6" s="1"/>
  <c r="E1024" i="6" s="1"/>
  <c r="E1025" i="6" s="1"/>
  <c r="E1026" i="6" s="1"/>
  <c r="E1027" i="6" s="1"/>
  <c r="E1028" i="6" s="1"/>
  <c r="E1029" i="6" s="1"/>
  <c r="E1030" i="6" s="1"/>
  <c r="E1031" i="6" s="1"/>
  <c r="E1032" i="6" s="1"/>
  <c r="E1033" i="6" s="1"/>
  <c r="E1034" i="6" s="1"/>
  <c r="E1035" i="6" s="1"/>
  <c r="E1036" i="6" s="1"/>
  <c r="E1037" i="6" s="1"/>
  <c r="E1038" i="6" s="1"/>
  <c r="E1039" i="6" s="1"/>
  <c r="E1040" i="6" s="1"/>
  <c r="E1041" i="6" s="1"/>
  <c r="E1042" i="6" s="1"/>
  <c r="E1043" i="6" s="1"/>
  <c r="E1044" i="6" s="1"/>
  <c r="E1045" i="6" s="1"/>
  <c r="E1046" i="6" s="1"/>
  <c r="E1047" i="6" s="1"/>
  <c r="E1048" i="6" s="1"/>
  <c r="E1049" i="6" s="1"/>
  <c r="E1050" i="6" s="1"/>
  <c r="E1051" i="6" s="1"/>
  <c r="E1052" i="6" s="1"/>
  <c r="E1053" i="6" s="1"/>
  <c r="E1054" i="6" s="1"/>
  <c r="E1055" i="6" s="1"/>
  <c r="E1056" i="6" s="1"/>
  <c r="E1057" i="6" s="1"/>
  <c r="E1058" i="6" s="1"/>
  <c r="E1059" i="6" s="1"/>
  <c r="E1060" i="6" s="1"/>
  <c r="E1061" i="6" s="1"/>
  <c r="E1062" i="6" s="1"/>
  <c r="E1063" i="6" s="1"/>
  <c r="E1064" i="6" s="1"/>
  <c r="E1065" i="6" s="1"/>
  <c r="E1066" i="6" s="1"/>
  <c r="E1067" i="6" s="1"/>
  <c r="E1068" i="6" s="1"/>
  <c r="E1069" i="6" s="1"/>
  <c r="E1070" i="6" s="1"/>
  <c r="E1071" i="6" s="1"/>
  <c r="E1072" i="6" s="1"/>
  <c r="E1073" i="6" s="1"/>
  <c r="E1074" i="6" s="1"/>
  <c r="E1075" i="6" s="1"/>
  <c r="E1076" i="6" s="1"/>
  <c r="E1077" i="6" s="1"/>
  <c r="E1078" i="6" s="1"/>
  <c r="E1079" i="6" s="1"/>
  <c r="E1080" i="6" s="1"/>
  <c r="E1081" i="6" s="1"/>
  <c r="E1082" i="6" s="1"/>
  <c r="E1083" i="6" s="1"/>
  <c r="E1084" i="6" s="1"/>
  <c r="E1085" i="6" s="1"/>
  <c r="E1086" i="6" s="1"/>
  <c r="E1087" i="6" s="1"/>
  <c r="E1088" i="6" s="1"/>
  <c r="E1089" i="6" s="1"/>
  <c r="E1090" i="6" s="1"/>
  <c r="E1091" i="6" s="1"/>
  <c r="E1092" i="6" s="1"/>
  <c r="E1093" i="6" s="1"/>
  <c r="E1094" i="6" s="1"/>
  <c r="E1095" i="6" s="1"/>
  <c r="E1096" i="6" s="1"/>
  <c r="E1097" i="6" s="1"/>
  <c r="E1098" i="6" s="1"/>
  <c r="E1099" i="6" s="1"/>
  <c r="E1100" i="6" s="1"/>
  <c r="E1101" i="6" s="1"/>
  <c r="E1102" i="6" s="1"/>
  <c r="E1103" i="6" s="1"/>
  <c r="E1104" i="6" s="1"/>
  <c r="E1105" i="6" s="1"/>
  <c r="E1106" i="6" s="1"/>
  <c r="E1107" i="6" s="1"/>
  <c r="E1108" i="6" s="1"/>
  <c r="E1109" i="6" s="1"/>
  <c r="E1110" i="6" s="1"/>
  <c r="E1111" i="6" s="1"/>
  <c r="E1112" i="6" s="1"/>
  <c r="E1113" i="6" s="1"/>
  <c r="E1114" i="6" s="1"/>
  <c r="E1115" i="6" s="1"/>
  <c r="E1116" i="6" s="1"/>
  <c r="E1117" i="6" s="1"/>
  <c r="E1118" i="6" s="1"/>
  <c r="E1119" i="6" s="1"/>
  <c r="E1120" i="6" s="1"/>
  <c r="E1121" i="6" s="1"/>
  <c r="E1122" i="6" s="1"/>
  <c r="E1123" i="6" s="1"/>
  <c r="E1124" i="6" s="1"/>
  <c r="E1125" i="6" s="1"/>
  <c r="E1126" i="6" s="1"/>
  <c r="E1127" i="6" s="1"/>
  <c r="E1128" i="6" s="1"/>
  <c r="E1129" i="6" s="1"/>
  <c r="E1130" i="6" s="1"/>
  <c r="E1131" i="6" s="1"/>
  <c r="E1132" i="6" s="1"/>
  <c r="E1133" i="6" s="1"/>
  <c r="E1134" i="6" s="1"/>
  <c r="E1135" i="6" s="1"/>
  <c r="E1136" i="6" s="1"/>
  <c r="E1137" i="6" s="1"/>
  <c r="E1138" i="6" s="1"/>
  <c r="E1139" i="6" s="1"/>
  <c r="E1140" i="6" s="1"/>
  <c r="E1141" i="6" s="1"/>
  <c r="E1142" i="6" s="1"/>
  <c r="E1143" i="6" s="1"/>
  <c r="E1144" i="6" s="1"/>
  <c r="E1145" i="6" s="1"/>
  <c r="E1146" i="6" s="1"/>
  <c r="E1147" i="6" s="1"/>
  <c r="E1148" i="6" s="1"/>
  <c r="E1149" i="6" s="1"/>
  <c r="E1150" i="6" s="1"/>
  <c r="E1151" i="6" s="1"/>
  <c r="E1152" i="6" s="1"/>
  <c r="E1153" i="6" s="1"/>
  <c r="E1154" i="6" s="1"/>
  <c r="E1155" i="6" s="1"/>
  <c r="E1156" i="6" s="1"/>
  <c r="E1157" i="6" s="1"/>
  <c r="E1158" i="6" s="1"/>
  <c r="E1159" i="6" s="1"/>
  <c r="E1160" i="6" s="1"/>
  <c r="E1161" i="6" s="1"/>
  <c r="E1162" i="6" s="1"/>
  <c r="E1163" i="6" s="1"/>
  <c r="E1164" i="6" s="1"/>
  <c r="E1165" i="6" s="1"/>
  <c r="E1166" i="6" s="1"/>
  <c r="E1167" i="6" s="1"/>
  <c r="E1168" i="6" s="1"/>
  <c r="E1169" i="6" s="1"/>
  <c r="E1170" i="6" s="1"/>
  <c r="E1171" i="6" s="1"/>
  <c r="E1172" i="6" s="1"/>
  <c r="E1173" i="6" s="1"/>
  <c r="E1174" i="6" s="1"/>
  <c r="E1175" i="6" s="1"/>
  <c r="E1176" i="6" s="1"/>
  <c r="E1177" i="6" s="1"/>
  <c r="E1178" i="6" s="1"/>
  <c r="E1179" i="6" s="1"/>
  <c r="E1180" i="6" s="1"/>
  <c r="E1181" i="6" s="1"/>
  <c r="E1182" i="6" s="1"/>
  <c r="E1183" i="6" s="1"/>
  <c r="E1184" i="6" s="1"/>
  <c r="E1185" i="6" s="1"/>
  <c r="E1186" i="6" s="1"/>
  <c r="E1187" i="6" s="1"/>
  <c r="E1188" i="6" s="1"/>
  <c r="E1189" i="6" s="1"/>
  <c r="E1190" i="6" s="1"/>
  <c r="E1191" i="6" s="1"/>
  <c r="E1192" i="6" s="1"/>
  <c r="E1193" i="6" s="1"/>
  <c r="E1194" i="6" s="1"/>
  <c r="E1195" i="6" s="1"/>
  <c r="E1196" i="6" s="1"/>
  <c r="E1197" i="6" s="1"/>
  <c r="E1198" i="6" s="1"/>
  <c r="E1199" i="6" s="1"/>
  <c r="E1200" i="6" s="1"/>
  <c r="E1201" i="6" s="1"/>
  <c r="E1202" i="6" s="1"/>
  <c r="E1203" i="6" s="1"/>
  <c r="E1204" i="6" s="1"/>
  <c r="E1205" i="6" s="1"/>
  <c r="E1206" i="6" s="1"/>
  <c r="E1207" i="6" s="1"/>
  <c r="E1208" i="6" s="1"/>
  <c r="E1209" i="6" s="1"/>
  <c r="E1210" i="6" s="1"/>
  <c r="E1211" i="6" s="1"/>
  <c r="E1212" i="6" s="1"/>
  <c r="E1213" i="6" s="1"/>
  <c r="E1214" i="6" s="1"/>
  <c r="E1215" i="6" s="1"/>
  <c r="E1216" i="6" s="1"/>
  <c r="E1217" i="6" s="1"/>
  <c r="E1218" i="6" s="1"/>
  <c r="E1219" i="6" s="1"/>
  <c r="E1220" i="6" s="1"/>
  <c r="E1221" i="6" s="1"/>
  <c r="E1222" i="6" s="1"/>
  <c r="E1223" i="6" s="1"/>
  <c r="E1224" i="6" s="1"/>
  <c r="E1225" i="6" s="1"/>
  <c r="E1226" i="6" s="1"/>
  <c r="E1227" i="6" s="1"/>
  <c r="E1228" i="6" s="1"/>
  <c r="E1229" i="6" s="1"/>
  <c r="E1230" i="6" s="1"/>
  <c r="E1231" i="6" s="1"/>
  <c r="E1232" i="6" s="1"/>
  <c r="E1233" i="6" s="1"/>
  <c r="E1234" i="6" s="1"/>
  <c r="E1235" i="6" s="1"/>
  <c r="E1236" i="6" s="1"/>
  <c r="E1237" i="6" s="1"/>
  <c r="E1238" i="6" s="1"/>
  <c r="E1239" i="6" s="1"/>
  <c r="E1240" i="6" s="1"/>
  <c r="E1241" i="6" s="1"/>
  <c r="E1242" i="6" s="1"/>
  <c r="E1243" i="6" s="1"/>
  <c r="E1244" i="6" s="1"/>
  <c r="E1245" i="6" s="1"/>
  <c r="E1246" i="6" s="1"/>
  <c r="E1247" i="6" s="1"/>
  <c r="E1248" i="6" s="1"/>
  <c r="E1249" i="6" s="1"/>
  <c r="E1250" i="6" s="1"/>
  <c r="E1251" i="6" s="1"/>
  <c r="E1252" i="6" s="1"/>
  <c r="E1253" i="6" s="1"/>
  <c r="E1254" i="6" s="1"/>
  <c r="E1255" i="6" s="1"/>
  <c r="E1256" i="6" s="1"/>
  <c r="E1257" i="6" s="1"/>
  <c r="E1258" i="6" s="1"/>
  <c r="E1259" i="6" s="1"/>
  <c r="E1260" i="6" s="1"/>
  <c r="E1261" i="6" s="1"/>
  <c r="E1262" i="6" s="1"/>
  <c r="E1263" i="6" s="1"/>
  <c r="E1264" i="6" s="1"/>
  <c r="E1265" i="6" s="1"/>
  <c r="E1266" i="6" s="1"/>
  <c r="E1267" i="6" s="1"/>
  <c r="E1268" i="6" s="1"/>
  <c r="E1269" i="6" s="1"/>
  <c r="E1270" i="6" s="1"/>
  <c r="E1271" i="6" s="1"/>
  <c r="E1272" i="6" s="1"/>
  <c r="E1273" i="6" s="1"/>
  <c r="E1274" i="6" s="1"/>
  <c r="E1275" i="6" s="1"/>
  <c r="E1276" i="6" s="1"/>
  <c r="E1277" i="6" s="1"/>
  <c r="E1278" i="6" s="1"/>
  <c r="E1279" i="6" s="1"/>
  <c r="E1280" i="6" s="1"/>
  <c r="E1281" i="6" s="1"/>
  <c r="E1282" i="6" s="1"/>
  <c r="E1283" i="6" s="1"/>
  <c r="E1284" i="6" s="1"/>
  <c r="E1285" i="6" s="1"/>
  <c r="E1286" i="6" s="1"/>
  <c r="E1287" i="6" s="1"/>
  <c r="E1288" i="6" s="1"/>
  <c r="E1289" i="6" s="1"/>
  <c r="E1290" i="6" s="1"/>
  <c r="E1291" i="6" s="1"/>
  <c r="E1292" i="6" s="1"/>
  <c r="E1293" i="6" s="1"/>
  <c r="E1294" i="6" s="1"/>
  <c r="E1295" i="6" s="1"/>
  <c r="E1296" i="6" s="1"/>
  <c r="E1297" i="6" s="1"/>
  <c r="E1298" i="6" s="1"/>
  <c r="E1299" i="6" s="1"/>
  <c r="E1300" i="6" s="1"/>
  <c r="E1301" i="6" s="1"/>
  <c r="E1302" i="6" s="1"/>
  <c r="E1303" i="6" s="1"/>
  <c r="E1304" i="6" s="1"/>
  <c r="E1305" i="6" s="1"/>
  <c r="E1306" i="6" s="1"/>
  <c r="E1307" i="6" s="1"/>
  <c r="E1308" i="6" s="1"/>
  <c r="E1309" i="6" s="1"/>
  <c r="E1310" i="6" s="1"/>
  <c r="E1311" i="6" s="1"/>
  <c r="E1312" i="6" s="1"/>
  <c r="E1313" i="6" s="1"/>
  <c r="E1314" i="6" s="1"/>
  <c r="E1315" i="6" s="1"/>
  <c r="E1316" i="6" s="1"/>
  <c r="E1317" i="6" s="1"/>
  <c r="E1318" i="6" s="1"/>
  <c r="E1319" i="6" s="1"/>
  <c r="E1320" i="6" s="1"/>
  <c r="E1321" i="6" s="1"/>
  <c r="E1322" i="6" s="1"/>
  <c r="E1323" i="6" s="1"/>
  <c r="E1324" i="6" s="1"/>
  <c r="E1325" i="6" s="1"/>
  <c r="E1326" i="6" s="1"/>
  <c r="E1327" i="6" s="1"/>
  <c r="E1328" i="6" s="1"/>
  <c r="E1329" i="6" s="1"/>
  <c r="E1330" i="6" s="1"/>
  <c r="E1331" i="6" s="1"/>
  <c r="E1332" i="6" s="1"/>
  <c r="E1333" i="6" s="1"/>
  <c r="E1334" i="6" s="1"/>
  <c r="E1335" i="6" s="1"/>
  <c r="E1336" i="6" s="1"/>
  <c r="E1337" i="6" s="1"/>
  <c r="E1338" i="6" s="1"/>
  <c r="E1339" i="6" s="1"/>
  <c r="E1340" i="6" s="1"/>
  <c r="E1341" i="6" s="1"/>
  <c r="E1342" i="6" s="1"/>
  <c r="E1343" i="6" s="1"/>
  <c r="E1344" i="6" s="1"/>
  <c r="E1345" i="6" s="1"/>
  <c r="E1346" i="6" s="1"/>
  <c r="E1347" i="6" s="1"/>
  <c r="E1348" i="6" s="1"/>
  <c r="E1349" i="6" s="1"/>
  <c r="E1350" i="6" s="1"/>
  <c r="E1351" i="6" s="1"/>
  <c r="E1352" i="6" s="1"/>
  <c r="E1353" i="6" s="1"/>
  <c r="E1354" i="6" s="1"/>
  <c r="E1355" i="6" s="1"/>
  <c r="E1356" i="6" s="1"/>
  <c r="E1357" i="6" s="1"/>
  <c r="E1358" i="6" s="1"/>
  <c r="E1359" i="6" s="1"/>
  <c r="E1360" i="6" s="1"/>
  <c r="E1361" i="6" s="1"/>
  <c r="E1362" i="6" s="1"/>
  <c r="E1363" i="6" s="1"/>
  <c r="E1364" i="6" s="1"/>
  <c r="E1365" i="6" s="1"/>
  <c r="E1366" i="6" s="1"/>
  <c r="E1367" i="6" s="1"/>
  <c r="E1368" i="6" s="1"/>
  <c r="E1369" i="6" s="1"/>
  <c r="E1370" i="6" s="1"/>
  <c r="E1371" i="6" s="1"/>
  <c r="E1372" i="6" s="1"/>
  <c r="E1373" i="6" s="1"/>
  <c r="E1374" i="6" s="1"/>
  <c r="E1375" i="6" s="1"/>
  <c r="E1376" i="6" s="1"/>
  <c r="E1377" i="6" s="1"/>
  <c r="E1378" i="6" s="1"/>
  <c r="E1379" i="6" s="1"/>
  <c r="E1380" i="6" s="1"/>
  <c r="E1381" i="6" s="1"/>
  <c r="E1382" i="6" s="1"/>
  <c r="E1383" i="6" s="1"/>
  <c r="E1384" i="6" s="1"/>
  <c r="E1385" i="6" s="1"/>
  <c r="E1386" i="6" s="1"/>
  <c r="E1387" i="6" s="1"/>
  <c r="E1388" i="6" s="1"/>
  <c r="E1389" i="6" s="1"/>
  <c r="E1390" i="6" s="1"/>
  <c r="E1391" i="6" s="1"/>
  <c r="E1392" i="6" s="1"/>
  <c r="E1393" i="6" s="1"/>
  <c r="E1394" i="6" s="1"/>
  <c r="E1395" i="6" s="1"/>
  <c r="E1396" i="6" s="1"/>
  <c r="E1397" i="6" s="1"/>
  <c r="E1398" i="6" s="1"/>
  <c r="E1399" i="6" s="1"/>
  <c r="E1400" i="6" s="1"/>
  <c r="E1401" i="6" s="1"/>
  <c r="E1402" i="6" s="1"/>
  <c r="E1403" i="6" s="1"/>
  <c r="E1404" i="6" s="1"/>
  <c r="E1405" i="6" s="1"/>
  <c r="E1406" i="6" s="1"/>
  <c r="E1407" i="6" s="1"/>
  <c r="E1408" i="6" s="1"/>
  <c r="E1409" i="6" s="1"/>
  <c r="E1410" i="6" s="1"/>
  <c r="E1411" i="6" s="1"/>
  <c r="E1412" i="6" s="1"/>
  <c r="E1413" i="6" s="1"/>
  <c r="E1414" i="6" s="1"/>
  <c r="E1415" i="6" s="1"/>
  <c r="E1416" i="6" s="1"/>
  <c r="E1417" i="6" s="1"/>
  <c r="E1418" i="6" s="1"/>
  <c r="E1419" i="6" s="1"/>
  <c r="E1420" i="6" s="1"/>
  <c r="E1421" i="6" s="1"/>
  <c r="E1422" i="6" s="1"/>
  <c r="E1423" i="6" s="1"/>
  <c r="E1424" i="6" s="1"/>
  <c r="E1425" i="6" s="1"/>
  <c r="E1426" i="6" s="1"/>
  <c r="E1427" i="6" s="1"/>
  <c r="E1428" i="6" s="1"/>
  <c r="E1429" i="6" s="1"/>
  <c r="E1430" i="6" s="1"/>
  <c r="E1431" i="6" s="1"/>
  <c r="E1432" i="6" s="1"/>
  <c r="E1433" i="6" s="1"/>
  <c r="E1434" i="6" s="1"/>
  <c r="E1435" i="6" s="1"/>
  <c r="E1436" i="6" s="1"/>
  <c r="E1437" i="6" s="1"/>
  <c r="E1438" i="6" s="1"/>
  <c r="E1439" i="6" s="1"/>
  <c r="E1440" i="6" s="1"/>
  <c r="E1441" i="6" s="1"/>
  <c r="E1442" i="6" s="1"/>
  <c r="E1443" i="6" s="1"/>
  <c r="E1444" i="6" s="1"/>
  <c r="E1445" i="6" s="1"/>
  <c r="E1446" i="6" s="1"/>
  <c r="E1447" i="6" s="1"/>
  <c r="E1448" i="6" s="1"/>
  <c r="E1449" i="6" s="1"/>
  <c r="E1450" i="6" s="1"/>
  <c r="E1451" i="6" s="1"/>
  <c r="E1452" i="6" s="1"/>
  <c r="E1453" i="6" s="1"/>
  <c r="E1454" i="6" s="1"/>
  <c r="E1455" i="6" s="1"/>
  <c r="E1456" i="6" s="1"/>
  <c r="E1457" i="6" s="1"/>
  <c r="E1458" i="6" s="1"/>
  <c r="E1459" i="6" s="1"/>
  <c r="E1460" i="6" s="1"/>
  <c r="E1461" i="6" s="1"/>
  <c r="E1462" i="6" s="1"/>
  <c r="E1463" i="6" s="1"/>
  <c r="E1464" i="6" s="1"/>
  <c r="E1465" i="6" s="1"/>
  <c r="E1466" i="6" s="1"/>
  <c r="E1467" i="6" s="1"/>
  <c r="E1468" i="6" s="1"/>
  <c r="E1469" i="6" s="1"/>
  <c r="E1470" i="6" s="1"/>
  <c r="E1471" i="6" s="1"/>
  <c r="E1472" i="6" s="1"/>
  <c r="E1473" i="6" s="1"/>
  <c r="E1474" i="6" s="1"/>
  <c r="E1475" i="6" s="1"/>
  <c r="E1476" i="6" s="1"/>
  <c r="E1477" i="6" s="1"/>
  <c r="E1478" i="6" s="1"/>
  <c r="E1479" i="6" s="1"/>
  <c r="E1480" i="6" s="1"/>
  <c r="E1481" i="6" s="1"/>
  <c r="E1482" i="6" s="1"/>
  <c r="E1483" i="6" s="1"/>
  <c r="E1484" i="6" s="1"/>
  <c r="E1485" i="6" s="1"/>
  <c r="E1486" i="6" s="1"/>
  <c r="E1487" i="6" s="1"/>
  <c r="E1488" i="6" s="1"/>
  <c r="E1489" i="6" s="1"/>
  <c r="E1490" i="6" s="1"/>
  <c r="E1491" i="6" s="1"/>
  <c r="E1492" i="6" s="1"/>
  <c r="E1493" i="6" s="1"/>
  <c r="E1494" i="6" s="1"/>
  <c r="E1495" i="6" s="1"/>
  <c r="E1496" i="6" s="1"/>
  <c r="E1497" i="6" s="1"/>
  <c r="E1498" i="6" s="1"/>
  <c r="E1499" i="6" s="1"/>
  <c r="E1500" i="6" s="1"/>
  <c r="E1501" i="6" s="1"/>
  <c r="E1502" i="6" s="1"/>
  <c r="E1503" i="6" s="1"/>
  <c r="E1504" i="6" s="1"/>
  <c r="E1505" i="6" s="1"/>
  <c r="E1506" i="6" s="1"/>
  <c r="E1507" i="6" s="1"/>
  <c r="E1508" i="6" s="1"/>
  <c r="E1509" i="6" s="1"/>
  <c r="E1510" i="6" s="1"/>
  <c r="E1511" i="6" s="1"/>
  <c r="E1512" i="6" s="1"/>
  <c r="E1513" i="6" s="1"/>
  <c r="E1514" i="6" s="1"/>
  <c r="E1515" i="6" s="1"/>
  <c r="E1516" i="6" s="1"/>
  <c r="E1517" i="6" s="1"/>
  <c r="E1518" i="6" s="1"/>
  <c r="E1519" i="6" s="1"/>
  <c r="E1520" i="6" s="1"/>
  <c r="E1521" i="6" s="1"/>
  <c r="E1522" i="6" s="1"/>
  <c r="E1523" i="6" s="1"/>
  <c r="E1524" i="6" s="1"/>
  <c r="E1525" i="6" s="1"/>
  <c r="E1526" i="6" s="1"/>
  <c r="E1527" i="6" s="1"/>
  <c r="E1528" i="6" s="1"/>
  <c r="E1529" i="6" s="1"/>
  <c r="E1530" i="6" s="1"/>
  <c r="E1531" i="6" s="1"/>
  <c r="E1532" i="6" s="1"/>
  <c r="E1533" i="6" s="1"/>
  <c r="E1534" i="6" s="1"/>
  <c r="E1535" i="6" s="1"/>
  <c r="E1536" i="6" s="1"/>
  <c r="E1537" i="6" s="1"/>
  <c r="E1538" i="6" s="1"/>
  <c r="E1539" i="6" s="1"/>
  <c r="E1540" i="6" s="1"/>
  <c r="E1541" i="6" s="1"/>
  <c r="E1542" i="6" s="1"/>
  <c r="E1543" i="6" s="1"/>
  <c r="E1544" i="6" s="1"/>
  <c r="E1545" i="6" s="1"/>
  <c r="E1546" i="6" s="1"/>
  <c r="E1547" i="6" s="1"/>
  <c r="E1548" i="6" s="1"/>
  <c r="E1549" i="6" s="1"/>
  <c r="E1550" i="6" s="1"/>
  <c r="E1551" i="6" s="1"/>
  <c r="E1552" i="6" s="1"/>
  <c r="E1553" i="6" s="1"/>
  <c r="E1554" i="6" s="1"/>
  <c r="E1555" i="6" s="1"/>
  <c r="E1556" i="6" s="1"/>
  <c r="E1557" i="6" s="1"/>
  <c r="E1558" i="6" s="1"/>
  <c r="E1559" i="6" s="1"/>
  <c r="E1560" i="6" s="1"/>
  <c r="E1561" i="6" s="1"/>
  <c r="E1562" i="6" s="1"/>
  <c r="E1563" i="6" s="1"/>
  <c r="E1564" i="6" s="1"/>
  <c r="E1565" i="6" s="1"/>
  <c r="E1566" i="6" s="1"/>
  <c r="E1567" i="6" s="1"/>
  <c r="E1568" i="6" s="1"/>
  <c r="E1569" i="6" s="1"/>
  <c r="E1570" i="6" s="1"/>
  <c r="E1571" i="6" s="1"/>
  <c r="E1572" i="6" s="1"/>
  <c r="E1573" i="6" s="1"/>
  <c r="E1574" i="6" s="1"/>
  <c r="E1575" i="6" s="1"/>
  <c r="E1576" i="6" s="1"/>
  <c r="E1577" i="6" s="1"/>
  <c r="E1578" i="6" s="1"/>
  <c r="E1579" i="6" s="1"/>
  <c r="E1580" i="6" s="1"/>
  <c r="E1581" i="6" s="1"/>
  <c r="E1582" i="6" s="1"/>
  <c r="E1583" i="6" s="1"/>
  <c r="E1584" i="6" s="1"/>
  <c r="E1585" i="6" s="1"/>
  <c r="E1586" i="6" s="1"/>
  <c r="E1587" i="6" s="1"/>
  <c r="E1588" i="6" s="1"/>
  <c r="E1589" i="6" s="1"/>
  <c r="E1590" i="6" s="1"/>
  <c r="E1591" i="6" s="1"/>
  <c r="E1592" i="6" s="1"/>
  <c r="E1593" i="6" s="1"/>
  <c r="E1594" i="6" s="1"/>
  <c r="E1595" i="6" s="1"/>
  <c r="E1596" i="6" s="1"/>
  <c r="E1597" i="6" s="1"/>
  <c r="E1598" i="6" s="1"/>
  <c r="E1599" i="6" s="1"/>
  <c r="E1600" i="6" s="1"/>
  <c r="E1601" i="6" s="1"/>
  <c r="E1602" i="6" s="1"/>
  <c r="E1603" i="6" s="1"/>
  <c r="E1604" i="6" s="1"/>
  <c r="E1605" i="6" s="1"/>
  <c r="E1606" i="6" s="1"/>
  <c r="E1607" i="6" s="1"/>
  <c r="E1608" i="6" s="1"/>
  <c r="E1609" i="6" s="1"/>
  <c r="E1610" i="6" s="1"/>
  <c r="E1611" i="6" s="1"/>
  <c r="E1612" i="6" s="1"/>
  <c r="E1613" i="6" s="1"/>
  <c r="E1614" i="6" s="1"/>
  <c r="E1615" i="6" s="1"/>
  <c r="E1616" i="6" s="1"/>
  <c r="E1617" i="6" s="1"/>
  <c r="E1618" i="6" s="1"/>
  <c r="E1619" i="6" s="1"/>
  <c r="E1620" i="6" s="1"/>
  <c r="E1621" i="6" s="1"/>
  <c r="E1622" i="6" s="1"/>
  <c r="E1623" i="6" s="1"/>
  <c r="E1624" i="6" s="1"/>
  <c r="E1625" i="6" s="1"/>
  <c r="E1626" i="6" s="1"/>
  <c r="E1627" i="6" s="1"/>
  <c r="E1628" i="6" s="1"/>
  <c r="E1629" i="6" s="1"/>
  <c r="E1630" i="6" s="1"/>
  <c r="E1631" i="6" s="1"/>
  <c r="E1632" i="6" s="1"/>
  <c r="E1633" i="6" s="1"/>
  <c r="E1634" i="6" s="1"/>
  <c r="E1635" i="6" s="1"/>
  <c r="E1636" i="6" s="1"/>
  <c r="E1637" i="6" s="1"/>
  <c r="E1638" i="6" s="1"/>
  <c r="E1639" i="6" s="1"/>
  <c r="E1640" i="6" s="1"/>
  <c r="E1641" i="6" s="1"/>
  <c r="E1642" i="6" s="1"/>
  <c r="E1643" i="6" s="1"/>
  <c r="E1644" i="6" s="1"/>
  <c r="E1645" i="6" s="1"/>
  <c r="E1646" i="6" s="1"/>
  <c r="E1647" i="6" s="1"/>
  <c r="E1648" i="6" s="1"/>
  <c r="E1649" i="6" s="1"/>
  <c r="E1650" i="6" s="1"/>
  <c r="E1651" i="6" s="1"/>
  <c r="E1652" i="6" s="1"/>
  <c r="E1653" i="6" s="1"/>
  <c r="E1654" i="6" s="1"/>
  <c r="E1655" i="6" s="1"/>
  <c r="E1656" i="6" s="1"/>
  <c r="E1657" i="6" s="1"/>
  <c r="E1658" i="6" s="1"/>
  <c r="E1659" i="6" s="1"/>
  <c r="E1660" i="6" s="1"/>
  <c r="E1661" i="6" s="1"/>
  <c r="E1662" i="6" s="1"/>
  <c r="E1663" i="6" s="1"/>
  <c r="E1664" i="6" s="1"/>
  <c r="E1665" i="6" s="1"/>
  <c r="E1666" i="6" s="1"/>
  <c r="E1667" i="6" s="1"/>
  <c r="E1668" i="6" s="1"/>
  <c r="E1669" i="6" s="1"/>
  <c r="E1670" i="6" s="1"/>
  <c r="E1671" i="6" s="1"/>
  <c r="E1672" i="6" s="1"/>
  <c r="E1673" i="6" s="1"/>
  <c r="E1674" i="6" s="1"/>
  <c r="E1675" i="6" s="1"/>
  <c r="E1676" i="6" s="1"/>
  <c r="E1677" i="6" s="1"/>
  <c r="E1678" i="6" s="1"/>
  <c r="E1679" i="6" s="1"/>
  <c r="E1680" i="6" s="1"/>
  <c r="E1681" i="6" s="1"/>
  <c r="E1682" i="6" s="1"/>
  <c r="E1683" i="6" s="1"/>
  <c r="E1684" i="6" s="1"/>
  <c r="E1685" i="6" s="1"/>
  <c r="E1686" i="6" s="1"/>
  <c r="E1687" i="6" s="1"/>
  <c r="E1688" i="6" s="1"/>
  <c r="E1689" i="6" s="1"/>
  <c r="E1690" i="6" s="1"/>
  <c r="E1691" i="6" s="1"/>
  <c r="E1692" i="6" s="1"/>
  <c r="E1693" i="6" s="1"/>
  <c r="E1694" i="6" s="1"/>
  <c r="E1695" i="6" s="1"/>
  <c r="E1696" i="6" s="1"/>
  <c r="E1697" i="6" s="1"/>
  <c r="E1698" i="6" s="1"/>
  <c r="E1699" i="6" s="1"/>
  <c r="E1700" i="6" s="1"/>
  <c r="E1701" i="6" s="1"/>
  <c r="E1702" i="6" s="1"/>
  <c r="E1703" i="6" s="1"/>
  <c r="E1704" i="6" s="1"/>
  <c r="E1705" i="6" s="1"/>
  <c r="E1706" i="6" s="1"/>
  <c r="E1707" i="6" s="1"/>
  <c r="E1708" i="6" s="1"/>
  <c r="E1709" i="6" s="1"/>
  <c r="E1710" i="6" s="1"/>
  <c r="E1711" i="6" s="1"/>
  <c r="E1712" i="6" s="1"/>
  <c r="E1713" i="6" s="1"/>
  <c r="E1714" i="6" s="1"/>
  <c r="E1715" i="6" s="1"/>
  <c r="E1716" i="6" s="1"/>
  <c r="E1717" i="6" s="1"/>
  <c r="E1718" i="6" s="1"/>
  <c r="E1719" i="6" s="1"/>
  <c r="E1720" i="6" s="1"/>
  <c r="E1721" i="6" s="1"/>
  <c r="E1722" i="6" s="1"/>
  <c r="E1723" i="6" s="1"/>
  <c r="E1724" i="6" s="1"/>
  <c r="E1725" i="6" s="1"/>
  <c r="E1726" i="6" s="1"/>
  <c r="E1727" i="6" s="1"/>
  <c r="E1728" i="6" s="1"/>
  <c r="E1729" i="6" s="1"/>
  <c r="E1730" i="6" s="1"/>
  <c r="E1731" i="6" s="1"/>
  <c r="E1732" i="6" s="1"/>
  <c r="E1733" i="6" s="1"/>
  <c r="E1734" i="6" s="1"/>
  <c r="E1735" i="6" s="1"/>
  <c r="E1736" i="6" s="1"/>
  <c r="E1737" i="6" s="1"/>
  <c r="E1738" i="6" s="1"/>
  <c r="E1739" i="6" s="1"/>
  <c r="E1740" i="6" s="1"/>
  <c r="E1741" i="6" s="1"/>
  <c r="E1742" i="6" s="1"/>
  <c r="E1743" i="6" s="1"/>
  <c r="E1744" i="6" s="1"/>
  <c r="E1745" i="6" s="1"/>
  <c r="E1746" i="6" s="1"/>
  <c r="E1747" i="6" s="1"/>
  <c r="E1748" i="6" s="1"/>
  <c r="E1749" i="6" s="1"/>
  <c r="E1750" i="6" s="1"/>
  <c r="E1751" i="6" s="1"/>
  <c r="E1752" i="6" s="1"/>
  <c r="E1753" i="6" s="1"/>
  <c r="E1754" i="6" s="1"/>
  <c r="E1755" i="6" s="1"/>
  <c r="E1756" i="6" s="1"/>
  <c r="E1757" i="6" s="1"/>
  <c r="E1758" i="6" s="1"/>
  <c r="E1759" i="6" s="1"/>
  <c r="E1760" i="6" s="1"/>
  <c r="E1761" i="6" s="1"/>
  <c r="E1762" i="6" s="1"/>
  <c r="E1763" i="6" s="1"/>
  <c r="E1764" i="6" s="1"/>
  <c r="E1765" i="6" s="1"/>
  <c r="E1766" i="6" s="1"/>
  <c r="E1767" i="6" s="1"/>
  <c r="E1768" i="6" s="1"/>
  <c r="E1769" i="6" s="1"/>
  <c r="E1770" i="6" s="1"/>
  <c r="E1771" i="6" s="1"/>
  <c r="E1772" i="6" s="1"/>
  <c r="E1773" i="6" s="1"/>
  <c r="E1774" i="6" s="1"/>
  <c r="E1775" i="6" s="1"/>
  <c r="E1776" i="6" s="1"/>
  <c r="E1777" i="6" s="1"/>
  <c r="E1778" i="6" s="1"/>
  <c r="E1779" i="6" s="1"/>
  <c r="E1780" i="6" s="1"/>
  <c r="E1781" i="6" s="1"/>
  <c r="E1782" i="6" s="1"/>
  <c r="E1783" i="6" s="1"/>
  <c r="E1784" i="6" s="1"/>
  <c r="E1785" i="6" s="1"/>
  <c r="E1786" i="6" s="1"/>
  <c r="E1787" i="6" s="1"/>
  <c r="E1788" i="6" s="1"/>
  <c r="E1789" i="6" s="1"/>
  <c r="E1790" i="6" s="1"/>
  <c r="E1791" i="6" s="1"/>
  <c r="E1792" i="6" s="1"/>
  <c r="E1793" i="6" s="1"/>
  <c r="E1794" i="6" s="1"/>
  <c r="E1795" i="6" s="1"/>
  <c r="E1796" i="6" s="1"/>
  <c r="E1797" i="6" s="1"/>
  <c r="E1798" i="6" s="1"/>
  <c r="E1799" i="6" s="1"/>
  <c r="E1800" i="6" s="1"/>
  <c r="E1801" i="6" s="1"/>
  <c r="E1802" i="6" s="1"/>
  <c r="E1803" i="6" s="1"/>
  <c r="E1804" i="6" s="1"/>
  <c r="E1805" i="6" s="1"/>
  <c r="E1806" i="6" s="1"/>
  <c r="E1807" i="6" s="1"/>
  <c r="E1808" i="6" s="1"/>
  <c r="E1809" i="6" s="1"/>
  <c r="E1810" i="6" s="1"/>
  <c r="E1811" i="6" s="1"/>
  <c r="E1812" i="6" s="1"/>
  <c r="E1813" i="6" s="1"/>
  <c r="E1814" i="6" s="1"/>
  <c r="E1815" i="6" s="1"/>
  <c r="E1816" i="6" s="1"/>
  <c r="E1817" i="6" s="1"/>
  <c r="E1818" i="6" s="1"/>
  <c r="E1819" i="6" s="1"/>
  <c r="E1820" i="6" s="1"/>
  <c r="E1821" i="6" s="1"/>
  <c r="E1822" i="6" s="1"/>
  <c r="E1823" i="6" s="1"/>
  <c r="E1824" i="6" s="1"/>
  <c r="E1825" i="6" s="1"/>
  <c r="E1826" i="6" s="1"/>
  <c r="E1827" i="6" s="1"/>
  <c r="E1828" i="6" s="1"/>
  <c r="E1829" i="6" s="1"/>
  <c r="E1830" i="6" s="1"/>
  <c r="E1831" i="6" s="1"/>
  <c r="E1832" i="6" s="1"/>
  <c r="E1833" i="6" s="1"/>
  <c r="E1834" i="6" s="1"/>
  <c r="E1835" i="6" s="1"/>
  <c r="E1836" i="6" s="1"/>
  <c r="E1837" i="6" s="1"/>
  <c r="E1838" i="6" s="1"/>
  <c r="E1839" i="6" s="1"/>
  <c r="E1840" i="6" s="1"/>
  <c r="E1841" i="6" s="1"/>
  <c r="E1842" i="6" s="1"/>
  <c r="E1843" i="6" s="1"/>
  <c r="E1844" i="6" s="1"/>
  <c r="E1845" i="6" s="1"/>
  <c r="E1846" i="6" s="1"/>
  <c r="E1847" i="6" s="1"/>
  <c r="E1848" i="6" s="1"/>
  <c r="E1849" i="6" s="1"/>
  <c r="E1850" i="6" s="1"/>
  <c r="E1851" i="6" s="1"/>
  <c r="E1852" i="6" s="1"/>
  <c r="E1853" i="6" s="1"/>
  <c r="E1854" i="6" s="1"/>
  <c r="E1855" i="6" s="1"/>
  <c r="E1856" i="6" s="1"/>
  <c r="E1857" i="6" s="1"/>
  <c r="E1858" i="6" s="1"/>
  <c r="E1859" i="6" s="1"/>
  <c r="E1860" i="6" s="1"/>
  <c r="E1861" i="6" s="1"/>
  <c r="E1862" i="6" s="1"/>
  <c r="E1863" i="6" s="1"/>
  <c r="E1864" i="6" s="1"/>
  <c r="E1865" i="6" s="1"/>
  <c r="E1866" i="6" s="1"/>
  <c r="E1867" i="6" s="1"/>
  <c r="E1868" i="6" s="1"/>
  <c r="E1869" i="6" s="1"/>
  <c r="E1870" i="6" s="1"/>
  <c r="E1871" i="6" s="1"/>
  <c r="E1872" i="6" s="1"/>
  <c r="E1873" i="6" s="1"/>
  <c r="E1874" i="6" s="1"/>
  <c r="E1875" i="6" s="1"/>
  <c r="E1876" i="6" s="1"/>
  <c r="E1877" i="6" s="1"/>
  <c r="E1878" i="6" s="1"/>
  <c r="E1879" i="6" s="1"/>
  <c r="E1880" i="6" s="1"/>
  <c r="E1881" i="6" s="1"/>
  <c r="E1882" i="6" s="1"/>
  <c r="E1883" i="6" s="1"/>
  <c r="E1884" i="6" s="1"/>
  <c r="E1885" i="6" s="1"/>
  <c r="E1886" i="6" s="1"/>
  <c r="E1887" i="6" s="1"/>
  <c r="E1888" i="6" s="1"/>
  <c r="E1889" i="6" s="1"/>
  <c r="E1890" i="6" s="1"/>
  <c r="E1891" i="6" s="1"/>
  <c r="E1892" i="6" s="1"/>
  <c r="E1893" i="6" s="1"/>
  <c r="E1894" i="6" s="1"/>
  <c r="E1895" i="6" s="1"/>
  <c r="E1896" i="6" s="1"/>
  <c r="E1897" i="6" s="1"/>
  <c r="E1898" i="6" s="1"/>
  <c r="E1899" i="6" s="1"/>
  <c r="E1900" i="6" s="1"/>
  <c r="E1901" i="6" s="1"/>
  <c r="E1902" i="6" s="1"/>
  <c r="E1903" i="6" s="1"/>
  <c r="E1904" i="6" s="1"/>
  <c r="E1905" i="6" s="1"/>
  <c r="E1906" i="6" s="1"/>
  <c r="E1907" i="6" s="1"/>
  <c r="E1908" i="6" s="1"/>
  <c r="E1909" i="6" s="1"/>
  <c r="E1910" i="6" s="1"/>
  <c r="E1911" i="6" s="1"/>
  <c r="E1912" i="6" s="1"/>
  <c r="E1913" i="6" s="1"/>
  <c r="E1914" i="6" s="1"/>
  <c r="E1915" i="6" s="1"/>
  <c r="E1916" i="6" s="1"/>
  <c r="E1917" i="6" s="1"/>
  <c r="E1918" i="6" s="1"/>
  <c r="E1919" i="6" s="1"/>
  <c r="E1920" i="6" s="1"/>
  <c r="E1921" i="6" s="1"/>
  <c r="E1922" i="6" s="1"/>
  <c r="E1923" i="6" s="1"/>
  <c r="E1924" i="6" s="1"/>
  <c r="E1925" i="6" s="1"/>
  <c r="E1926" i="6" s="1"/>
  <c r="E1927" i="6" s="1"/>
  <c r="E1928" i="6" s="1"/>
  <c r="E1929" i="6" s="1"/>
  <c r="E1930" i="6" s="1"/>
  <c r="E1931" i="6" s="1"/>
  <c r="E1932" i="6" s="1"/>
  <c r="E1933" i="6" s="1"/>
  <c r="E1934" i="6" s="1"/>
  <c r="E1935" i="6" s="1"/>
  <c r="E1936" i="6" s="1"/>
  <c r="E1937" i="6" s="1"/>
  <c r="E1938" i="6" s="1"/>
  <c r="E1939" i="6" s="1"/>
  <c r="E1940" i="6" s="1"/>
  <c r="E1941" i="6" s="1"/>
  <c r="E1942" i="6" s="1"/>
  <c r="E1943" i="6" s="1"/>
  <c r="E1944" i="6" s="1"/>
  <c r="E1945" i="6" s="1"/>
  <c r="E1946" i="6" s="1"/>
  <c r="E1947" i="6" s="1"/>
  <c r="E1948" i="6" s="1"/>
  <c r="E1949" i="6" s="1"/>
  <c r="E1950" i="6" s="1"/>
  <c r="E1951" i="6" s="1"/>
  <c r="E1952" i="6" s="1"/>
  <c r="E1953" i="6" s="1"/>
  <c r="E1954" i="6" s="1"/>
  <c r="E1955" i="6" s="1"/>
  <c r="E1956" i="6" s="1"/>
  <c r="E1957" i="6" s="1"/>
  <c r="E1958" i="6" s="1"/>
  <c r="E1959" i="6" s="1"/>
  <c r="E1960" i="6" s="1"/>
  <c r="E1961" i="6" s="1"/>
  <c r="E1962" i="6" s="1"/>
  <c r="E1963" i="6" s="1"/>
  <c r="E1964" i="6" s="1"/>
  <c r="E1965" i="6" s="1"/>
  <c r="E1966" i="6" s="1"/>
  <c r="E1967" i="6" s="1"/>
  <c r="E1968" i="6" s="1"/>
  <c r="E1969" i="6" s="1"/>
  <c r="E1970" i="6" s="1"/>
  <c r="E1971" i="6" s="1"/>
  <c r="E1972" i="6" s="1"/>
  <c r="E1973" i="6" s="1"/>
  <c r="E1974" i="6" s="1"/>
  <c r="E1975" i="6" s="1"/>
  <c r="E1976" i="6" s="1"/>
  <c r="E1977" i="6" s="1"/>
  <c r="E1978" i="6" s="1"/>
  <c r="E1979" i="6" s="1"/>
  <c r="E1980" i="6" s="1"/>
  <c r="E1981" i="6" s="1"/>
  <c r="E1982" i="6" s="1"/>
  <c r="E1983" i="6" s="1"/>
  <c r="E1984" i="6" s="1"/>
  <c r="E1985" i="6" s="1"/>
  <c r="E1986" i="6" s="1"/>
  <c r="E1987" i="6" s="1"/>
  <c r="E1988" i="6" s="1"/>
  <c r="E1989" i="6" s="1"/>
  <c r="E1990" i="6" s="1"/>
  <c r="E1991" i="6" s="1"/>
  <c r="E1992" i="6" s="1"/>
  <c r="E1993" i="6" s="1"/>
  <c r="E1994" i="6" s="1"/>
  <c r="E1995" i="6" s="1"/>
  <c r="E1996" i="6" s="1"/>
  <c r="E1997" i="6" s="1"/>
  <c r="E1998" i="6" s="1"/>
  <c r="E1999" i="6" s="1"/>
  <c r="E2000" i="6" s="1"/>
  <c r="E2001" i="6" s="1"/>
  <c r="E2002" i="6" s="1"/>
  <c r="E2003" i="6" s="1"/>
  <c r="E2004" i="6" s="1"/>
  <c r="E2005" i="6" s="1"/>
  <c r="E2006" i="6" s="1"/>
  <c r="E2007" i="6" s="1"/>
  <c r="E2008" i="6" s="1"/>
  <c r="E2009" i="6" s="1"/>
  <c r="E2010" i="6" s="1"/>
  <c r="E2011" i="6" s="1"/>
  <c r="E2012" i="6" s="1"/>
  <c r="E2013" i="6" s="1"/>
  <c r="E2014" i="6" s="1"/>
  <c r="E2015" i="6" s="1"/>
  <c r="E2016" i="6" s="1"/>
  <c r="E2017" i="6" s="1"/>
  <c r="E2018" i="6" s="1"/>
  <c r="E2019" i="6" s="1"/>
  <c r="E2020" i="6" s="1"/>
  <c r="E2021" i="6" s="1"/>
  <c r="E2022" i="6" s="1"/>
  <c r="E2023" i="6" s="1"/>
  <c r="E2024" i="6" s="1"/>
  <c r="E2025" i="6" s="1"/>
  <c r="E2026" i="6" s="1"/>
  <c r="E2027" i="6" s="1"/>
  <c r="E2028" i="6" s="1"/>
  <c r="E2029" i="6" s="1"/>
  <c r="E2030" i="6" s="1"/>
  <c r="E2031" i="6" s="1"/>
  <c r="E2032" i="6" s="1"/>
  <c r="E2033" i="6" s="1"/>
  <c r="E2034" i="6" s="1"/>
  <c r="E2035" i="6" s="1"/>
  <c r="E2036" i="6" s="1"/>
  <c r="E2037" i="6" s="1"/>
  <c r="E2038" i="6" s="1"/>
  <c r="E2039" i="6" s="1"/>
  <c r="E2040" i="6" s="1"/>
  <c r="E2041" i="6" s="1"/>
  <c r="E2042" i="6" s="1"/>
  <c r="E2043" i="6" s="1"/>
  <c r="E2044" i="6" s="1"/>
  <c r="E2045" i="6" s="1"/>
  <c r="E2046" i="6" s="1"/>
  <c r="E2047" i="6" s="1"/>
  <c r="E2048" i="6" s="1"/>
  <c r="E2049" i="6" s="1"/>
  <c r="E2050" i="6" s="1"/>
  <c r="E2051" i="6" s="1"/>
  <c r="E2052" i="6" s="1"/>
  <c r="E2053" i="6" s="1"/>
  <c r="E2054" i="6" s="1"/>
  <c r="E2055" i="6" s="1"/>
  <c r="E2056" i="6" s="1"/>
  <c r="E2057" i="6" s="1"/>
  <c r="E2058" i="6" s="1"/>
  <c r="E2059" i="6" s="1"/>
  <c r="E2060" i="6" s="1"/>
  <c r="E2061" i="6" s="1"/>
  <c r="E2062" i="6" s="1"/>
  <c r="E2063" i="6" s="1"/>
  <c r="E2064" i="6" s="1"/>
  <c r="E2065" i="6" s="1"/>
  <c r="E2066" i="6" s="1"/>
  <c r="E2067" i="6" s="1"/>
  <c r="E2068" i="6" s="1"/>
  <c r="E2069" i="6" s="1"/>
  <c r="E2070" i="6" s="1"/>
  <c r="E2071" i="6" s="1"/>
  <c r="E2072" i="6" s="1"/>
  <c r="E2073" i="6" s="1"/>
  <c r="E2074" i="6" s="1"/>
  <c r="E2075" i="6" s="1"/>
  <c r="E2076" i="6" s="1"/>
  <c r="E2077" i="6" s="1"/>
  <c r="E2078" i="6" s="1"/>
  <c r="E2079" i="6" s="1"/>
  <c r="E2080" i="6" s="1"/>
  <c r="E2081" i="6" s="1"/>
  <c r="E2082" i="6" s="1"/>
  <c r="E2083" i="6" s="1"/>
  <c r="E2084" i="6" s="1"/>
  <c r="E2085" i="6" s="1"/>
  <c r="E2086" i="6" s="1"/>
  <c r="E2087" i="6" s="1"/>
  <c r="E2088" i="6" s="1"/>
  <c r="E2089" i="6" s="1"/>
  <c r="E2090" i="6" s="1"/>
  <c r="E2091" i="6" s="1"/>
  <c r="E2092" i="6" s="1"/>
  <c r="E2093" i="6" s="1"/>
  <c r="E2094" i="6" s="1"/>
  <c r="E2095" i="6" s="1"/>
  <c r="E2096" i="6" s="1"/>
  <c r="E2097" i="6" s="1"/>
  <c r="E2098" i="6" s="1"/>
  <c r="E2099" i="6" s="1"/>
  <c r="E2100" i="6" s="1"/>
  <c r="E2101" i="6" s="1"/>
  <c r="E2102" i="6" s="1"/>
  <c r="E2103" i="6" s="1"/>
  <c r="E2104" i="6" s="1"/>
  <c r="E2105" i="6" s="1"/>
  <c r="E2106" i="6" s="1"/>
  <c r="E2107" i="6" s="1"/>
  <c r="E2108" i="6" s="1"/>
  <c r="E2109" i="6" s="1"/>
  <c r="E2110" i="6" s="1"/>
  <c r="E2111" i="6" s="1"/>
  <c r="E2112" i="6" s="1"/>
  <c r="E2113" i="6" s="1"/>
  <c r="E2114" i="6" s="1"/>
  <c r="E2115" i="6" s="1"/>
  <c r="E2116" i="6" s="1"/>
  <c r="E2117" i="6" s="1"/>
  <c r="E2118" i="6" s="1"/>
  <c r="E2119" i="6" s="1"/>
  <c r="E2120" i="6" s="1"/>
  <c r="E2121" i="6" s="1"/>
  <c r="E2122" i="6" s="1"/>
  <c r="E2123" i="6" s="1"/>
  <c r="E2124" i="6" s="1"/>
  <c r="E2125" i="6" s="1"/>
  <c r="E2126" i="6" s="1"/>
  <c r="E2127" i="6" s="1"/>
  <c r="E2128" i="6" s="1"/>
  <c r="E2129" i="6" s="1"/>
  <c r="E2130" i="6" s="1"/>
  <c r="E2131" i="6" s="1"/>
  <c r="E2132" i="6" s="1"/>
  <c r="E2133" i="6" s="1"/>
  <c r="E2134" i="6" s="1"/>
  <c r="E2135" i="6" s="1"/>
  <c r="E2136" i="6" s="1"/>
  <c r="E2137" i="6" s="1"/>
  <c r="E2138" i="6" s="1"/>
  <c r="E2139" i="6" s="1"/>
  <c r="E2140" i="6" s="1"/>
  <c r="E2141" i="6" s="1"/>
  <c r="E2142" i="6" s="1"/>
  <c r="E2143" i="6" s="1"/>
  <c r="E2144" i="6" s="1"/>
  <c r="E2145" i="6" s="1"/>
  <c r="E2146" i="6" s="1"/>
  <c r="E2147" i="6" s="1"/>
  <c r="E2148" i="6" s="1"/>
  <c r="E2149" i="6" s="1"/>
  <c r="E2150" i="6" s="1"/>
  <c r="E2151" i="6" s="1"/>
  <c r="E2152" i="6" s="1"/>
  <c r="E2153" i="6" s="1"/>
  <c r="E2154" i="6" s="1"/>
  <c r="E2155" i="6" s="1"/>
  <c r="E2156" i="6" s="1"/>
  <c r="E2157" i="6" s="1"/>
  <c r="E2158" i="6" s="1"/>
  <c r="E2159" i="6" s="1"/>
  <c r="E2160" i="6" s="1"/>
  <c r="E2161" i="6" s="1"/>
  <c r="E2162" i="6" s="1"/>
  <c r="E2163" i="6" s="1"/>
  <c r="E2164" i="6" s="1"/>
  <c r="E2165" i="6" s="1"/>
  <c r="E2166" i="6" s="1"/>
  <c r="E2167" i="6" s="1"/>
  <c r="E2168" i="6" s="1"/>
  <c r="E2169" i="6" s="1"/>
  <c r="E2170" i="6" s="1"/>
  <c r="E2171" i="6" s="1"/>
  <c r="E2172" i="6" s="1"/>
  <c r="E2173" i="6" s="1"/>
  <c r="E2174" i="6" s="1"/>
  <c r="E2175" i="6" s="1"/>
  <c r="E2176" i="6" s="1"/>
  <c r="E2177" i="6" s="1"/>
  <c r="E2178" i="6" s="1"/>
  <c r="E2179" i="6" s="1"/>
  <c r="E2180" i="6" s="1"/>
  <c r="E2181" i="6" s="1"/>
  <c r="E2182" i="6" s="1"/>
  <c r="E2183" i="6" s="1"/>
  <c r="E2184" i="6" s="1"/>
  <c r="E2185" i="6" s="1"/>
  <c r="E2186" i="6" s="1"/>
  <c r="E2187" i="6" s="1"/>
  <c r="E2188" i="6" s="1"/>
  <c r="E2189" i="6" s="1"/>
  <c r="E2190" i="6" s="1"/>
  <c r="E2191" i="6" s="1"/>
  <c r="E2192" i="6" s="1"/>
  <c r="E2193" i="6" s="1"/>
  <c r="E2194" i="6" s="1"/>
  <c r="E2195" i="6" s="1"/>
  <c r="E2196" i="6" s="1"/>
  <c r="E2197" i="6" s="1"/>
  <c r="E2198" i="6" s="1"/>
  <c r="E2199" i="6" s="1"/>
  <c r="E2200" i="6" s="1"/>
  <c r="E2201" i="6" s="1"/>
  <c r="E2202" i="6" s="1"/>
  <c r="E2203" i="6" s="1"/>
  <c r="E2204" i="6" s="1"/>
  <c r="E2205" i="6" s="1"/>
  <c r="E2206" i="6" s="1"/>
  <c r="E2207" i="6" s="1"/>
  <c r="E2208" i="6" s="1"/>
  <c r="E2209" i="6" s="1"/>
  <c r="E2210" i="6" s="1"/>
  <c r="E2211" i="6" s="1"/>
  <c r="E2212" i="6" s="1"/>
  <c r="E2213" i="6" s="1"/>
  <c r="E2214" i="6" s="1"/>
  <c r="E2215" i="6" s="1"/>
  <c r="E2216" i="6" s="1"/>
  <c r="E2217" i="6" s="1"/>
  <c r="E2218" i="6" s="1"/>
  <c r="E2219" i="6" s="1"/>
  <c r="E2220" i="6" s="1"/>
  <c r="E2221" i="6" s="1"/>
  <c r="E2222" i="6" s="1"/>
  <c r="E2223" i="6" s="1"/>
  <c r="E2224" i="6" s="1"/>
  <c r="E2225" i="6" s="1"/>
  <c r="E2226" i="6" s="1"/>
  <c r="E2227" i="6" s="1"/>
  <c r="E2228" i="6" s="1"/>
  <c r="E2229" i="6" s="1"/>
  <c r="E2230" i="6" s="1"/>
  <c r="E2231" i="6" s="1"/>
  <c r="E2232" i="6" s="1"/>
  <c r="E2233" i="6" s="1"/>
  <c r="E2234" i="6" s="1"/>
  <c r="E2235" i="6" s="1"/>
  <c r="E2236" i="6" s="1"/>
  <c r="E2237" i="6" s="1"/>
  <c r="E2238" i="6" s="1"/>
  <c r="E2239" i="6" s="1"/>
  <c r="E2240" i="6" s="1"/>
  <c r="E2241" i="6" s="1"/>
  <c r="E2242" i="6" s="1"/>
  <c r="E2243" i="6" s="1"/>
  <c r="E2244" i="6" s="1"/>
  <c r="E2245" i="6" s="1"/>
  <c r="E2246" i="6" s="1"/>
  <c r="E2247" i="6" s="1"/>
  <c r="E2248" i="6" s="1"/>
  <c r="E2249" i="6" s="1"/>
  <c r="E2250" i="6" s="1"/>
  <c r="E2251" i="6" s="1"/>
  <c r="E2252" i="6" s="1"/>
  <c r="E2253" i="6" s="1"/>
  <c r="E2254" i="6" s="1"/>
  <c r="E2255" i="6" s="1"/>
  <c r="E2256" i="6" s="1"/>
  <c r="E2257" i="6" s="1"/>
  <c r="E2258" i="6" s="1"/>
  <c r="E2259" i="6" s="1"/>
  <c r="E2260" i="6" s="1"/>
  <c r="E2261" i="6" s="1"/>
  <c r="E2262" i="6" s="1"/>
  <c r="E2263" i="6" s="1"/>
  <c r="E2264" i="6" s="1"/>
  <c r="E2265" i="6" s="1"/>
  <c r="E2266" i="6" s="1"/>
  <c r="E2267" i="6" s="1"/>
  <c r="E2268" i="6" s="1"/>
  <c r="E2269" i="6" s="1"/>
  <c r="E2270" i="6" s="1"/>
  <c r="E2271" i="6" s="1"/>
  <c r="E2272" i="6" s="1"/>
  <c r="E2273" i="6" s="1"/>
  <c r="E2274" i="6" s="1"/>
  <c r="E2275" i="6" s="1"/>
  <c r="E2276" i="6" s="1"/>
  <c r="E2277" i="6" s="1"/>
  <c r="E2278" i="6" s="1"/>
  <c r="E2279" i="6" s="1"/>
  <c r="E2280" i="6" s="1"/>
  <c r="E2281" i="6" s="1"/>
  <c r="E2282" i="6" s="1"/>
  <c r="E2283" i="6" s="1"/>
  <c r="E2284" i="6" s="1"/>
  <c r="E2285" i="6" s="1"/>
  <c r="E2286" i="6" s="1"/>
  <c r="E2287" i="6" s="1"/>
  <c r="E2288" i="6" s="1"/>
  <c r="E2289" i="6" s="1"/>
  <c r="E2290" i="6" s="1"/>
  <c r="E2291" i="6" s="1"/>
  <c r="E2292" i="6" s="1"/>
  <c r="E2293" i="6" s="1"/>
  <c r="E2294" i="6" s="1"/>
  <c r="E2295" i="6" s="1"/>
  <c r="E2296" i="6" s="1"/>
  <c r="E2297" i="6" s="1"/>
  <c r="E2298" i="6" s="1"/>
  <c r="E2299" i="6" s="1"/>
  <c r="E2300" i="6" s="1"/>
  <c r="E2301" i="6" s="1"/>
  <c r="E2302" i="6" s="1"/>
  <c r="E2303" i="6" s="1"/>
  <c r="E2304" i="6" s="1"/>
  <c r="E2305" i="6" s="1"/>
  <c r="E2306" i="6" s="1"/>
  <c r="E2307" i="6" s="1"/>
  <c r="E2308" i="6" s="1"/>
  <c r="E2309" i="6" s="1"/>
  <c r="E2310" i="6" s="1"/>
  <c r="E2311" i="6" s="1"/>
  <c r="E2312" i="6" s="1"/>
  <c r="E2313" i="6" s="1"/>
  <c r="E2314" i="6" s="1"/>
  <c r="E2315" i="6" s="1"/>
  <c r="E2316" i="6" s="1"/>
  <c r="E2317" i="6" s="1"/>
  <c r="E2318" i="6" s="1"/>
  <c r="E2319" i="6" s="1"/>
  <c r="E2320" i="6" s="1"/>
  <c r="E2321" i="6" s="1"/>
  <c r="E2322" i="6" s="1"/>
  <c r="E2323" i="6" s="1"/>
  <c r="E2324" i="6" s="1"/>
  <c r="E2325" i="6" s="1"/>
  <c r="E2326" i="6" s="1"/>
  <c r="E2327" i="6" s="1"/>
  <c r="E2328" i="6" s="1"/>
  <c r="E2329" i="6" s="1"/>
  <c r="E2330" i="6" s="1"/>
  <c r="E2331" i="6" s="1"/>
  <c r="E2332" i="6" s="1"/>
  <c r="E2333" i="6" s="1"/>
  <c r="E2334" i="6" s="1"/>
  <c r="E2335" i="6" s="1"/>
  <c r="E2336" i="6" s="1"/>
  <c r="E2337" i="6" s="1"/>
  <c r="E2338" i="6" s="1"/>
  <c r="E2339" i="6" s="1"/>
  <c r="E2340" i="6" s="1"/>
  <c r="E2341" i="6" s="1"/>
  <c r="E2342" i="6" s="1"/>
  <c r="E2343" i="6" s="1"/>
  <c r="E2344" i="6" s="1"/>
  <c r="E2345" i="6" s="1"/>
  <c r="E2346" i="6" s="1"/>
  <c r="E2347" i="6" s="1"/>
  <c r="E2348" i="6" s="1"/>
  <c r="E2349" i="6" s="1"/>
  <c r="E2350" i="6" s="1"/>
  <c r="E2351" i="6" s="1"/>
  <c r="E2352" i="6" s="1"/>
  <c r="E2353" i="6" s="1"/>
  <c r="E2354" i="6" s="1"/>
  <c r="E2355" i="6" s="1"/>
  <c r="E2356" i="6" s="1"/>
  <c r="E2357" i="6" s="1"/>
  <c r="E2358" i="6" s="1"/>
  <c r="E2359" i="6" s="1"/>
  <c r="E2360" i="6" s="1"/>
  <c r="E2361" i="6" s="1"/>
  <c r="E2362" i="6" s="1"/>
  <c r="E2363" i="6" s="1"/>
  <c r="E2364" i="6" s="1"/>
  <c r="E2365" i="6" s="1"/>
  <c r="E2366" i="6" s="1"/>
  <c r="E2367" i="6" s="1"/>
  <c r="E2368" i="6" s="1"/>
  <c r="E2369" i="6" s="1"/>
  <c r="E2370" i="6" s="1"/>
  <c r="E2371" i="6" s="1"/>
  <c r="E2372" i="6" s="1"/>
  <c r="E2373" i="6" s="1"/>
  <c r="E2374" i="6" s="1"/>
  <c r="E2375" i="6" s="1"/>
  <c r="E2376" i="6" s="1"/>
  <c r="E2377" i="6" s="1"/>
  <c r="E2378" i="6" s="1"/>
  <c r="E2379" i="6" s="1"/>
  <c r="E2380" i="6" s="1"/>
  <c r="E2381" i="6" s="1"/>
  <c r="E2382" i="6" s="1"/>
  <c r="E2383" i="6" s="1"/>
  <c r="E2384" i="6" s="1"/>
  <c r="E2385" i="6" s="1"/>
  <c r="E2386" i="6" s="1"/>
  <c r="E2387" i="6" s="1"/>
  <c r="E2388" i="6" s="1"/>
  <c r="E2389" i="6" s="1"/>
  <c r="E2390" i="6" s="1"/>
  <c r="E2391" i="6" s="1"/>
  <c r="E2392" i="6" s="1"/>
  <c r="E2393" i="6" s="1"/>
  <c r="E2394" i="6" s="1"/>
  <c r="E2395" i="6" s="1"/>
  <c r="E2396" i="6" s="1"/>
  <c r="E2397" i="6" s="1"/>
  <c r="E2398" i="6" s="1"/>
  <c r="E2399" i="6" s="1"/>
  <c r="E2400" i="6" s="1"/>
  <c r="E2401" i="6" s="1"/>
  <c r="E2402" i="6" s="1"/>
  <c r="E2403" i="6" s="1"/>
  <c r="E2404" i="6" s="1"/>
  <c r="E2405" i="6" s="1"/>
  <c r="E2406" i="6" s="1"/>
  <c r="E2407" i="6" s="1"/>
  <c r="E2408" i="6" s="1"/>
  <c r="E2409" i="6" s="1"/>
  <c r="E2410" i="6" s="1"/>
  <c r="E2411" i="6" s="1"/>
  <c r="E2412" i="6" s="1"/>
  <c r="E2413" i="6" s="1"/>
  <c r="E2414" i="6" s="1"/>
  <c r="E2415" i="6" s="1"/>
  <c r="E2416" i="6" s="1"/>
  <c r="E2417" i="6" s="1"/>
  <c r="E2418" i="6" s="1"/>
  <c r="E2419" i="6" s="1"/>
  <c r="E2420" i="6" s="1"/>
  <c r="E2421" i="6" s="1"/>
  <c r="E2422" i="6" s="1"/>
  <c r="E2423" i="6" s="1"/>
  <c r="E2424" i="6" s="1"/>
  <c r="E2425" i="6" s="1"/>
  <c r="E2426" i="6" s="1"/>
  <c r="E2427" i="6" s="1"/>
  <c r="E2428" i="6" s="1"/>
  <c r="E2429" i="6" s="1"/>
  <c r="E2430" i="6" s="1"/>
  <c r="E2431" i="6" s="1"/>
  <c r="E2432" i="6" s="1"/>
  <c r="E2433" i="6" s="1"/>
  <c r="E2434" i="6" s="1"/>
  <c r="E2435" i="6" s="1"/>
  <c r="E2436" i="6" s="1"/>
  <c r="E2437" i="6" s="1"/>
  <c r="E2438" i="6" s="1"/>
  <c r="E2439" i="6" s="1"/>
  <c r="E2440" i="6" s="1"/>
  <c r="E2441" i="6" s="1"/>
  <c r="E2442" i="6" s="1"/>
  <c r="E2443" i="6" s="1"/>
  <c r="E2444" i="6" s="1"/>
  <c r="E2445" i="6" s="1"/>
  <c r="E2446" i="6" s="1"/>
  <c r="E2447" i="6" s="1"/>
  <c r="E2448" i="6" s="1"/>
  <c r="E2449" i="6" s="1"/>
  <c r="E2450" i="6" s="1"/>
  <c r="E2451" i="6" s="1"/>
  <c r="E2452" i="6" s="1"/>
  <c r="E2453" i="6" s="1"/>
  <c r="E2454" i="6" s="1"/>
  <c r="E2455" i="6" s="1"/>
  <c r="E2456" i="6" s="1"/>
  <c r="E2457" i="6" s="1"/>
  <c r="E2458" i="6" s="1"/>
  <c r="E2459" i="6" s="1"/>
  <c r="E2460" i="6" s="1"/>
  <c r="E2461" i="6" s="1"/>
  <c r="E2462" i="6" s="1"/>
  <c r="E2463" i="6" s="1"/>
  <c r="E2464" i="6" s="1"/>
  <c r="E2465" i="6" s="1"/>
  <c r="E2466" i="6" s="1"/>
  <c r="E2467" i="6" s="1"/>
  <c r="E2468" i="6" s="1"/>
  <c r="E2469" i="6" s="1"/>
  <c r="E2470" i="6" s="1"/>
  <c r="E2471" i="6" s="1"/>
  <c r="E2472" i="6" s="1"/>
  <c r="E2473" i="6" s="1"/>
  <c r="E2474" i="6" s="1"/>
  <c r="E2475" i="6" s="1"/>
  <c r="E2476" i="6" s="1"/>
  <c r="E2477" i="6" s="1"/>
  <c r="E2478" i="6" s="1"/>
  <c r="E2479" i="6" s="1"/>
  <c r="E2480" i="6" s="1"/>
  <c r="E2481" i="6" s="1"/>
  <c r="E2482" i="6" s="1"/>
  <c r="E2483" i="6" s="1"/>
  <c r="E2484" i="6" s="1"/>
  <c r="E2485" i="6" s="1"/>
  <c r="E2486" i="6" s="1"/>
  <c r="E2487" i="6" s="1"/>
  <c r="E2488" i="6" s="1"/>
  <c r="E2489" i="6" s="1"/>
  <c r="E2490" i="6" s="1"/>
  <c r="E2491" i="6" s="1"/>
  <c r="E2492" i="6" s="1"/>
  <c r="E2493" i="6" s="1"/>
  <c r="E2494" i="6" s="1"/>
  <c r="E2495" i="6" s="1"/>
  <c r="E2496" i="6" s="1"/>
  <c r="E2497" i="6" s="1"/>
  <c r="E2498" i="6" s="1"/>
  <c r="E2499" i="6" s="1"/>
  <c r="E2500" i="6" s="1"/>
  <c r="E2501" i="6" s="1"/>
  <c r="E2502" i="6" s="1"/>
  <c r="E2503" i="6" s="1"/>
  <c r="E2504" i="6" s="1"/>
  <c r="E2505" i="6" s="1"/>
  <c r="E2506" i="6" s="1"/>
  <c r="E2507" i="6" s="1"/>
  <c r="E2508" i="6" s="1"/>
  <c r="E2509" i="6" s="1"/>
  <c r="E2510" i="6" s="1"/>
  <c r="E2511" i="6" s="1"/>
  <c r="E2512" i="6" s="1"/>
  <c r="E2513" i="6" s="1"/>
  <c r="E2514" i="6" s="1"/>
  <c r="E2515" i="6" s="1"/>
  <c r="E2516" i="6" s="1"/>
  <c r="E2517" i="6" s="1"/>
  <c r="E2518" i="6" s="1"/>
  <c r="E2519" i="6" s="1"/>
  <c r="E2520" i="6" s="1"/>
  <c r="E2521" i="6" s="1"/>
  <c r="E2522" i="6" s="1"/>
  <c r="E2523" i="6" s="1"/>
  <c r="E2524" i="6" s="1"/>
  <c r="E2525" i="6" s="1"/>
  <c r="E2526" i="6" s="1"/>
  <c r="E2527" i="6" s="1"/>
  <c r="E2528" i="6" s="1"/>
  <c r="E2529" i="6" s="1"/>
  <c r="E2530" i="6" s="1"/>
  <c r="E2531" i="6" s="1"/>
  <c r="E2532" i="6" s="1"/>
  <c r="E2533" i="6" s="1"/>
  <c r="E2534" i="6" s="1"/>
  <c r="E2535" i="6" s="1"/>
  <c r="E2536" i="6" s="1"/>
  <c r="E2537" i="6" s="1"/>
  <c r="E2538" i="6" s="1"/>
  <c r="E2539" i="6" s="1"/>
  <c r="E2540" i="6" s="1"/>
  <c r="E2541" i="6" s="1"/>
  <c r="E2542" i="6" s="1"/>
  <c r="E2543" i="6" s="1"/>
  <c r="E2544" i="6" s="1"/>
  <c r="E2545" i="6" s="1"/>
  <c r="E2546" i="6" s="1"/>
  <c r="E2547" i="6" s="1"/>
  <c r="E2548" i="6" s="1"/>
  <c r="E2549" i="6" s="1"/>
  <c r="E2550" i="6" s="1"/>
  <c r="E2551" i="6" s="1"/>
  <c r="E2552" i="6" s="1"/>
  <c r="E2553" i="6" s="1"/>
  <c r="E2554" i="6" s="1"/>
  <c r="E2555" i="6" s="1"/>
  <c r="E2556" i="6" s="1"/>
  <c r="E2557" i="6" s="1"/>
  <c r="E2558" i="6" s="1"/>
  <c r="E2559" i="6" s="1"/>
  <c r="E2560" i="6" s="1"/>
  <c r="E2561" i="6" s="1"/>
  <c r="E2562" i="6" s="1"/>
  <c r="E2563" i="6" s="1"/>
  <c r="E2564" i="6" s="1"/>
  <c r="E2565" i="6" s="1"/>
  <c r="E2566" i="6" s="1"/>
  <c r="E2567" i="6" s="1"/>
  <c r="E2568" i="6" s="1"/>
  <c r="E2569" i="6" s="1"/>
  <c r="E2570" i="6" s="1"/>
  <c r="E2571" i="6" s="1"/>
  <c r="E2572" i="6" s="1"/>
  <c r="E2573" i="6" s="1"/>
  <c r="E2574" i="6" s="1"/>
  <c r="E2575" i="6" s="1"/>
  <c r="E2576" i="6" s="1"/>
  <c r="E2577" i="6" s="1"/>
  <c r="E2578" i="6" s="1"/>
  <c r="E2579" i="6" s="1"/>
  <c r="E2580" i="6" s="1"/>
  <c r="E2581" i="6" s="1"/>
  <c r="E2582" i="6" s="1"/>
  <c r="E2583" i="6" s="1"/>
  <c r="E2584" i="6" s="1"/>
  <c r="E2585" i="6" s="1"/>
  <c r="E2586" i="6" s="1"/>
  <c r="E2587" i="6" s="1"/>
  <c r="E2588" i="6" s="1"/>
  <c r="E2589" i="6" s="1"/>
  <c r="E2590" i="6" s="1"/>
  <c r="E2591" i="6" s="1"/>
  <c r="E2592" i="6" s="1"/>
  <c r="E2593" i="6" s="1"/>
  <c r="E2594" i="6" s="1"/>
  <c r="E2595" i="6" s="1"/>
  <c r="E2596" i="6" s="1"/>
  <c r="E2597" i="6" s="1"/>
  <c r="E2598" i="6" s="1"/>
  <c r="E2599" i="6" s="1"/>
  <c r="E2600" i="6" s="1"/>
  <c r="E2601" i="6" s="1"/>
  <c r="E2602" i="6" s="1"/>
  <c r="E2603" i="6" s="1"/>
  <c r="E2604" i="6" s="1"/>
  <c r="E2605" i="6" s="1"/>
  <c r="E2606" i="6" s="1"/>
  <c r="E2607" i="6" s="1"/>
  <c r="E2608" i="6" s="1"/>
  <c r="E2609" i="6" s="1"/>
  <c r="E2610" i="6" s="1"/>
  <c r="E2611" i="6" s="1"/>
  <c r="E2612" i="6" s="1"/>
  <c r="E2613" i="6" s="1"/>
  <c r="E2614" i="6" s="1"/>
  <c r="E2615" i="6" s="1"/>
  <c r="E2616" i="6" s="1"/>
  <c r="E2617" i="6" s="1"/>
  <c r="E2618" i="6" s="1"/>
  <c r="E2619" i="6" s="1"/>
  <c r="E2620" i="6" s="1"/>
  <c r="E2621" i="6" s="1"/>
  <c r="E2622" i="6" s="1"/>
  <c r="E2623" i="6" s="1"/>
  <c r="E2624" i="6" s="1"/>
  <c r="E2625" i="6" s="1"/>
  <c r="E2626" i="6" s="1"/>
  <c r="E2627" i="6" s="1"/>
  <c r="E2628" i="6" s="1"/>
  <c r="E2629" i="6" s="1"/>
  <c r="E2630" i="6" s="1"/>
  <c r="E2631" i="6" s="1"/>
  <c r="E2632" i="6" s="1"/>
  <c r="E2633" i="6" s="1"/>
  <c r="E2634" i="6" s="1"/>
  <c r="E2635" i="6" s="1"/>
  <c r="E2636" i="6" s="1"/>
  <c r="E2637" i="6" s="1"/>
  <c r="E2638" i="6" s="1"/>
  <c r="E2639" i="6" s="1"/>
  <c r="E2640" i="6" s="1"/>
  <c r="E2641" i="6" s="1"/>
  <c r="E2642" i="6" s="1"/>
  <c r="E2643" i="6" s="1"/>
  <c r="E2644" i="6" s="1"/>
  <c r="E2645" i="6" s="1"/>
  <c r="E2646" i="6" s="1"/>
  <c r="E2647" i="6" s="1"/>
  <c r="E2648" i="6" s="1"/>
  <c r="E2649" i="6" s="1"/>
  <c r="E2650" i="6" s="1"/>
  <c r="E2651" i="6" s="1"/>
  <c r="E2652" i="6" s="1"/>
  <c r="E2653" i="6" s="1"/>
  <c r="E2654" i="6" s="1"/>
  <c r="E2655" i="6" s="1"/>
  <c r="E2656" i="6" s="1"/>
  <c r="E2657" i="6" s="1"/>
  <c r="E2658" i="6" s="1"/>
  <c r="E2659" i="6" s="1"/>
  <c r="E2660" i="6" s="1"/>
  <c r="E2661" i="6" s="1"/>
  <c r="E2662" i="6" s="1"/>
  <c r="E2663" i="6" s="1"/>
  <c r="E2664" i="6" s="1"/>
  <c r="E2665" i="6" s="1"/>
  <c r="E2666" i="6" s="1"/>
  <c r="E2667" i="6" s="1"/>
  <c r="E2668" i="6" s="1"/>
  <c r="E2669" i="6" s="1"/>
  <c r="E2670" i="6" s="1"/>
  <c r="E2671" i="6" s="1"/>
  <c r="E2672" i="6" s="1"/>
  <c r="E2673" i="6" s="1"/>
  <c r="E2674" i="6" s="1"/>
  <c r="E2675" i="6" s="1"/>
  <c r="E2676" i="6" s="1"/>
  <c r="E2677" i="6" s="1"/>
  <c r="E2678" i="6" s="1"/>
  <c r="E2679" i="6" s="1"/>
  <c r="E2680" i="6" s="1"/>
  <c r="E2681" i="6" s="1"/>
  <c r="E2682" i="6" s="1"/>
  <c r="E2683" i="6" s="1"/>
  <c r="E2684" i="6" s="1"/>
  <c r="E2685" i="6" s="1"/>
  <c r="E2686" i="6" s="1"/>
  <c r="E2687" i="6" s="1"/>
  <c r="E2688" i="6" s="1"/>
  <c r="E2689" i="6" s="1"/>
  <c r="E2690" i="6" s="1"/>
  <c r="E2691" i="6" s="1"/>
  <c r="E2692" i="6" s="1"/>
  <c r="E2693" i="6" s="1"/>
  <c r="E2694" i="6" s="1"/>
  <c r="E2695" i="6" s="1"/>
  <c r="E2696" i="6" s="1"/>
  <c r="E2697" i="6" s="1"/>
  <c r="E2698" i="6" s="1"/>
  <c r="E2699" i="6" s="1"/>
  <c r="E2700" i="6" s="1"/>
  <c r="E2701" i="6" s="1"/>
  <c r="E2702" i="6" s="1"/>
  <c r="E2703" i="6" s="1"/>
  <c r="E2704" i="6" s="1"/>
  <c r="E2705" i="6" s="1"/>
  <c r="E2706" i="6" s="1"/>
  <c r="E2707" i="6" s="1"/>
  <c r="E2708" i="6" s="1"/>
  <c r="E2709" i="6" s="1"/>
  <c r="E2710" i="6" s="1"/>
  <c r="E2711" i="6" s="1"/>
  <c r="E2712" i="6" s="1"/>
  <c r="E2713" i="6" s="1"/>
  <c r="E2714" i="6" s="1"/>
  <c r="E2715" i="6" s="1"/>
  <c r="E2716" i="6" s="1"/>
  <c r="E2717" i="6" s="1"/>
  <c r="E2718" i="6" s="1"/>
  <c r="E2719" i="6" s="1"/>
  <c r="E2720" i="6" s="1"/>
  <c r="E2721" i="6" s="1"/>
  <c r="E2722" i="6" s="1"/>
  <c r="E2723" i="6" s="1"/>
  <c r="E2724" i="6" s="1"/>
  <c r="E2725" i="6" s="1"/>
  <c r="E2726" i="6" s="1"/>
  <c r="E2727" i="6" s="1"/>
  <c r="E2728" i="6" s="1"/>
  <c r="E2729" i="6" s="1"/>
  <c r="E2730" i="6" s="1"/>
  <c r="E2731" i="6" s="1"/>
  <c r="E2732" i="6" s="1"/>
  <c r="E2733" i="6" s="1"/>
  <c r="E2734" i="6" s="1"/>
  <c r="E2735" i="6" s="1"/>
  <c r="E2736" i="6" s="1"/>
  <c r="E2737" i="6" s="1"/>
  <c r="E2738" i="6" s="1"/>
  <c r="E2739" i="6" s="1"/>
  <c r="E2740" i="6" s="1"/>
  <c r="E2741" i="6" s="1"/>
  <c r="E2742" i="6" s="1"/>
  <c r="E2743" i="6" s="1"/>
  <c r="E2744" i="6" s="1"/>
  <c r="E2745" i="6" s="1"/>
  <c r="E2746" i="6" s="1"/>
  <c r="E2747" i="6" s="1"/>
  <c r="E2748" i="6" s="1"/>
  <c r="E2749" i="6" s="1"/>
  <c r="E2750" i="6" s="1"/>
  <c r="E2751" i="6" s="1"/>
  <c r="E2752" i="6" s="1"/>
  <c r="E2753" i="6" s="1"/>
  <c r="E2754" i="6" s="1"/>
  <c r="E2755" i="6" s="1"/>
  <c r="E2756" i="6" s="1"/>
  <c r="E2757" i="6" s="1"/>
  <c r="E2758" i="6" s="1"/>
  <c r="E2759" i="6" s="1"/>
  <c r="E2760" i="6" s="1"/>
  <c r="E2761" i="6" s="1"/>
  <c r="E2762" i="6" s="1"/>
  <c r="E2763" i="6" s="1"/>
  <c r="E2764" i="6" s="1"/>
  <c r="E2765" i="6" s="1"/>
  <c r="E2766" i="6" s="1"/>
  <c r="E2767" i="6" s="1"/>
  <c r="E2768" i="6" s="1"/>
  <c r="E2769" i="6" s="1"/>
  <c r="E2770" i="6" s="1"/>
  <c r="E2771" i="6" s="1"/>
  <c r="E2772" i="6" s="1"/>
  <c r="E2773" i="6" s="1"/>
  <c r="E2774" i="6" s="1"/>
  <c r="E2775" i="6" s="1"/>
  <c r="E2776" i="6" s="1"/>
  <c r="E2777" i="6" s="1"/>
  <c r="E2778" i="6" s="1"/>
  <c r="E2779" i="6" s="1"/>
  <c r="E2780" i="6" s="1"/>
  <c r="E2781" i="6" s="1"/>
  <c r="E2782" i="6" s="1"/>
  <c r="E2783" i="6" s="1"/>
  <c r="E2784" i="6" s="1"/>
  <c r="E2785" i="6" s="1"/>
  <c r="E2786" i="6" s="1"/>
  <c r="E2787" i="6" s="1"/>
  <c r="E2788" i="6" s="1"/>
  <c r="E2789" i="6" s="1"/>
  <c r="E2790" i="6" s="1"/>
  <c r="E2791" i="6" s="1"/>
  <c r="E2792" i="6" s="1"/>
  <c r="E2793" i="6" s="1"/>
  <c r="E2794" i="6" s="1"/>
  <c r="E2795" i="6" s="1"/>
  <c r="E2796" i="6" s="1"/>
  <c r="E2797" i="6" s="1"/>
  <c r="E2798" i="6" s="1"/>
  <c r="E2799" i="6" s="1"/>
  <c r="E2800" i="6" s="1"/>
  <c r="E2801" i="6" s="1"/>
  <c r="E2802" i="6" s="1"/>
  <c r="E2803" i="6" s="1"/>
  <c r="E2804" i="6" s="1"/>
  <c r="E2805" i="6" s="1"/>
  <c r="E2806" i="6" s="1"/>
  <c r="E2807" i="6" s="1"/>
  <c r="E2808" i="6" s="1"/>
  <c r="E2809" i="6" s="1"/>
  <c r="E2810" i="6" s="1"/>
  <c r="E2811" i="6" s="1"/>
  <c r="E2812" i="6" s="1"/>
  <c r="E2813" i="6" s="1"/>
  <c r="E2814" i="6" s="1"/>
  <c r="E2815" i="6" s="1"/>
  <c r="E2816" i="6" s="1"/>
  <c r="E2817" i="6" s="1"/>
  <c r="E2818" i="6" s="1"/>
  <c r="E2819" i="6" s="1"/>
  <c r="E2820" i="6" s="1"/>
  <c r="E2821" i="6" s="1"/>
  <c r="E2822" i="6" s="1"/>
  <c r="E2823" i="6" s="1"/>
  <c r="E2824" i="6" s="1"/>
  <c r="E2825" i="6" s="1"/>
  <c r="E2826" i="6" s="1"/>
  <c r="E2827" i="6" s="1"/>
  <c r="E2828" i="6" s="1"/>
  <c r="E2829" i="6" s="1"/>
  <c r="E2830" i="6" s="1"/>
  <c r="E2831" i="6" s="1"/>
  <c r="E2832" i="6" s="1"/>
  <c r="E2833" i="6" s="1"/>
  <c r="E2834" i="6" s="1"/>
  <c r="E2835" i="6" s="1"/>
  <c r="E2836" i="6" s="1"/>
  <c r="E2837" i="6" s="1"/>
  <c r="E2838" i="6" s="1"/>
  <c r="E2839" i="6" s="1"/>
  <c r="E2840" i="6" s="1"/>
  <c r="E2841" i="6" s="1"/>
  <c r="E2842" i="6" s="1"/>
  <c r="E2843" i="6" s="1"/>
  <c r="E2844" i="6" s="1"/>
  <c r="E2845" i="6" s="1"/>
  <c r="E2846" i="6" s="1"/>
  <c r="E2847" i="6" s="1"/>
  <c r="E2848" i="6" s="1"/>
  <c r="E2849" i="6" s="1"/>
  <c r="E2850" i="6" s="1"/>
  <c r="E2851" i="6" s="1"/>
  <c r="E2852" i="6" s="1"/>
  <c r="E2853" i="6" s="1"/>
  <c r="E2854" i="6" s="1"/>
  <c r="E2855" i="6" s="1"/>
  <c r="E2856" i="6" s="1"/>
  <c r="E2857" i="6" s="1"/>
  <c r="E2858" i="6" s="1"/>
  <c r="E2859" i="6" s="1"/>
  <c r="E2860" i="6" s="1"/>
  <c r="E2861" i="6" s="1"/>
  <c r="E2862" i="6" s="1"/>
  <c r="E2863" i="6" s="1"/>
  <c r="E2864" i="6" s="1"/>
  <c r="E2865" i="6" s="1"/>
  <c r="E2866" i="6" s="1"/>
  <c r="E2867" i="6" s="1"/>
  <c r="E2868" i="6" s="1"/>
  <c r="E2869" i="6" s="1"/>
  <c r="E2870" i="6" s="1"/>
  <c r="E2871" i="6" s="1"/>
  <c r="E2872" i="6" s="1"/>
  <c r="E2873" i="6" s="1"/>
  <c r="E2874" i="6" s="1"/>
  <c r="E2875" i="6" s="1"/>
  <c r="E2876" i="6" s="1"/>
  <c r="E2877" i="6" s="1"/>
  <c r="E2878" i="6" s="1"/>
  <c r="E2879" i="6" s="1"/>
  <c r="E2880" i="6" s="1"/>
  <c r="E2881" i="6" s="1"/>
  <c r="E2882" i="6" s="1"/>
  <c r="E2883" i="6" s="1"/>
  <c r="E2884" i="6" s="1"/>
  <c r="E2885" i="6" s="1"/>
  <c r="E2886" i="6" s="1"/>
  <c r="E2887" i="6" s="1"/>
  <c r="E2888" i="6" s="1"/>
  <c r="E2889" i="6" s="1"/>
  <c r="E2890" i="6" s="1"/>
  <c r="E2891" i="6" s="1"/>
  <c r="E2892" i="6" s="1"/>
  <c r="E2893" i="6" s="1"/>
  <c r="E2894" i="6" s="1"/>
  <c r="E2895" i="6" s="1"/>
  <c r="E2896" i="6" s="1"/>
  <c r="E2897" i="6" s="1"/>
  <c r="E2898" i="6" s="1"/>
  <c r="E2899" i="6" s="1"/>
  <c r="E2900" i="6" s="1"/>
  <c r="E2901" i="6" s="1"/>
  <c r="E2902" i="6" s="1"/>
  <c r="E2903" i="6" s="1"/>
  <c r="E2904" i="6" s="1"/>
  <c r="E2905" i="6" s="1"/>
  <c r="E2906" i="6" s="1"/>
  <c r="E2907" i="6" s="1"/>
  <c r="E2908" i="6" s="1"/>
  <c r="E2909" i="6" s="1"/>
  <c r="E2910" i="6" s="1"/>
  <c r="E2911" i="6" s="1"/>
  <c r="E2912" i="6" s="1"/>
  <c r="E2913" i="6" s="1"/>
  <c r="E2914" i="6" s="1"/>
  <c r="E2915" i="6" s="1"/>
  <c r="E2916" i="6" s="1"/>
  <c r="E2917" i="6" s="1"/>
  <c r="E2918" i="6" s="1"/>
  <c r="E2919" i="6" s="1"/>
  <c r="E2920" i="6" s="1"/>
  <c r="E2921" i="6" s="1"/>
  <c r="E2922" i="6" s="1"/>
  <c r="E2923" i="6" s="1"/>
  <c r="E2924" i="6" s="1"/>
  <c r="E2925" i="6" s="1"/>
  <c r="E2926" i="6" s="1"/>
  <c r="E2927" i="6" s="1"/>
  <c r="E2928" i="6" s="1"/>
  <c r="E2929" i="6" s="1"/>
  <c r="E2930" i="6" s="1"/>
  <c r="E2931" i="6" s="1"/>
  <c r="E2932" i="6" s="1"/>
  <c r="E2933" i="6" s="1"/>
  <c r="E2934" i="6" s="1"/>
  <c r="E2935" i="6" s="1"/>
  <c r="E2936" i="6" s="1"/>
  <c r="E2937" i="6" s="1"/>
  <c r="E2938" i="6" s="1"/>
  <c r="E2939" i="6" s="1"/>
  <c r="E2940" i="6" s="1"/>
  <c r="E2941" i="6" s="1"/>
  <c r="E2942" i="6" s="1"/>
  <c r="E2943" i="6" s="1"/>
  <c r="E2944" i="6" s="1"/>
  <c r="E2945" i="6" s="1"/>
  <c r="E2946" i="6" s="1"/>
  <c r="E2947" i="6" s="1"/>
  <c r="E2948" i="6" s="1"/>
  <c r="E2949" i="6" s="1"/>
  <c r="E2950" i="6" s="1"/>
  <c r="E2951" i="6" s="1"/>
  <c r="E2952" i="6" s="1"/>
  <c r="E2953" i="6" s="1"/>
  <c r="E2954" i="6" s="1"/>
  <c r="E2955" i="6" s="1"/>
  <c r="E2956" i="6" s="1"/>
  <c r="E2957" i="6" s="1"/>
  <c r="E2958" i="6" s="1"/>
  <c r="E2959" i="6" s="1"/>
  <c r="E2960" i="6" s="1"/>
  <c r="E2961" i="6" s="1"/>
  <c r="E2962" i="6" s="1"/>
  <c r="E2963" i="6" s="1"/>
  <c r="E2964" i="6" s="1"/>
  <c r="E2965" i="6" s="1"/>
  <c r="E2966" i="6" s="1"/>
  <c r="E2967" i="6" s="1"/>
  <c r="E2968" i="6" s="1"/>
  <c r="E2969" i="6" s="1"/>
  <c r="E2970" i="6" s="1"/>
  <c r="E2971" i="6" s="1"/>
  <c r="E2972" i="6" s="1"/>
  <c r="E2973" i="6" s="1"/>
  <c r="E2974" i="6" s="1"/>
  <c r="E2975" i="6" s="1"/>
  <c r="E2976" i="6" s="1"/>
  <c r="E2977" i="6" s="1"/>
  <c r="E2978" i="6" s="1"/>
  <c r="E2979" i="6" s="1"/>
  <c r="E2980" i="6" s="1"/>
  <c r="E2981" i="6" s="1"/>
  <c r="E2982" i="6" s="1"/>
  <c r="E2983" i="6" s="1"/>
  <c r="E2984" i="6" s="1"/>
  <c r="E2985" i="6" s="1"/>
  <c r="E2986" i="6" s="1"/>
  <c r="E2987" i="6" s="1"/>
  <c r="E2988" i="6" s="1"/>
  <c r="E2989" i="6" s="1"/>
  <c r="E2990" i="6" s="1"/>
  <c r="E2991" i="6" s="1"/>
  <c r="E2992" i="6" s="1"/>
  <c r="E2993" i="6" s="1"/>
  <c r="E2994" i="6" s="1"/>
  <c r="E2995" i="6" s="1"/>
  <c r="E2996" i="6" s="1"/>
  <c r="E2997" i="6" s="1"/>
  <c r="E2998" i="6" s="1"/>
  <c r="E2999" i="6" s="1"/>
  <c r="E3000" i="6" s="1"/>
  <c r="E3001" i="6" s="1"/>
  <c r="E3002" i="6" s="1"/>
  <c r="E3003" i="6" s="1"/>
  <c r="E3004" i="6" s="1"/>
  <c r="E3005" i="6" s="1"/>
  <c r="E3006" i="6" s="1"/>
  <c r="E3007" i="6" s="1"/>
  <c r="E3008" i="6" s="1"/>
  <c r="E3009" i="6" s="1"/>
  <c r="E3010" i="6" s="1"/>
  <c r="E3011" i="6" s="1"/>
  <c r="E3012" i="6" s="1"/>
  <c r="E3013" i="6" s="1"/>
  <c r="E3014" i="6" s="1"/>
  <c r="E3015" i="6" s="1"/>
  <c r="E3016" i="6" s="1"/>
  <c r="E3017" i="6" s="1"/>
  <c r="E3018" i="6" s="1"/>
  <c r="E3019" i="6" s="1"/>
  <c r="E3020" i="6" s="1"/>
  <c r="E3021" i="6" s="1"/>
  <c r="E3022" i="6" s="1"/>
  <c r="E3023" i="6" s="1"/>
  <c r="E3024" i="6" s="1"/>
  <c r="E3025" i="6" s="1"/>
  <c r="E3026" i="6" s="1"/>
  <c r="E3027" i="6" s="1"/>
  <c r="E3028" i="6" s="1"/>
  <c r="E3029" i="6" s="1"/>
  <c r="E3030" i="6" s="1"/>
  <c r="E3031" i="6" s="1"/>
  <c r="E3032" i="6" s="1"/>
  <c r="E3033" i="6" s="1"/>
  <c r="E3034" i="6" s="1"/>
  <c r="E3035" i="6" s="1"/>
  <c r="E3036" i="6" s="1"/>
  <c r="E3037" i="6" s="1"/>
  <c r="E3038" i="6" s="1"/>
  <c r="E3039" i="6" s="1"/>
  <c r="E3040" i="6" s="1"/>
  <c r="E3041" i="6" s="1"/>
  <c r="E3042" i="6" s="1"/>
  <c r="E3043" i="6" s="1"/>
  <c r="E3044" i="6" s="1"/>
  <c r="E3045" i="6" s="1"/>
  <c r="E3046" i="6" s="1"/>
  <c r="E3047" i="6" s="1"/>
  <c r="E3048" i="6" s="1"/>
  <c r="E3049" i="6" s="1"/>
  <c r="E3050" i="6" s="1"/>
  <c r="E3051" i="6" s="1"/>
  <c r="E3052" i="6" s="1"/>
  <c r="E3053" i="6" s="1"/>
  <c r="E3054" i="6" s="1"/>
  <c r="E3055" i="6" s="1"/>
  <c r="E3056" i="6" s="1"/>
  <c r="E3057" i="6" s="1"/>
  <c r="E3058" i="6" s="1"/>
  <c r="E3059" i="6" s="1"/>
  <c r="E3060" i="6" s="1"/>
  <c r="E3061" i="6" s="1"/>
  <c r="B3" i="35"/>
  <c r="B4" i="35"/>
  <c r="B5" i="35"/>
  <c r="B6" i="35"/>
  <c r="B7" i="35"/>
  <c r="B8" i="35"/>
  <c r="B9" i="35"/>
  <c r="B10" i="35"/>
  <c r="B11" i="35"/>
  <c r="B2" i="35"/>
  <c r="B2" i="34"/>
  <c r="B3" i="34"/>
  <c r="B4" i="34"/>
  <c r="B5" i="34"/>
  <c r="B6" i="34"/>
  <c r="B7" i="34"/>
  <c r="B8"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43" i="34"/>
  <c r="B44" i="34"/>
  <c r="B45" i="34"/>
  <c r="B46" i="34"/>
  <c r="B47" i="34"/>
  <c r="B48" i="34"/>
  <c r="B49" i="34"/>
  <c r="B50" i="34"/>
  <c r="B51" i="34"/>
  <c r="B52" i="34"/>
  <c r="B53" i="34"/>
  <c r="B54" i="34"/>
  <c r="B55" i="34"/>
  <c r="B56" i="34"/>
  <c r="B57" i="34"/>
  <c r="B58" i="34"/>
  <c r="B59" i="34"/>
  <c r="B60" i="34"/>
  <c r="B61" i="34"/>
  <c r="B62" i="34"/>
  <c r="B63" i="34"/>
  <c r="B64" i="34"/>
  <c r="B65" i="34"/>
  <c r="B66" i="34"/>
  <c r="B67" i="34"/>
  <c r="B68" i="34"/>
  <c r="B69" i="34"/>
  <c r="B70" i="34"/>
  <c r="B71" i="34"/>
  <c r="B72" i="34"/>
  <c r="B73" i="34"/>
  <c r="B74" i="34"/>
  <c r="B75" i="34"/>
  <c r="B76" i="34"/>
  <c r="B77" i="34"/>
  <c r="B78" i="34"/>
  <c r="B1" i="34"/>
  <c r="AF49" i="21" a="1"/>
  <c r="AH31" i="21" a="1"/>
  <c r="AF29" i="21" a="1"/>
  <c r="AG26" i="21" a="1"/>
  <c r="AG22" i="21" a="1"/>
  <c r="AF21" i="21" a="1"/>
  <c r="AF17" i="21" a="1"/>
  <c r="AH107" i="21" a="1"/>
  <c r="AG106" i="21" a="1"/>
  <c r="AF105" i="21" a="1"/>
  <c r="AH103" i="21" a="1"/>
  <c r="AG102" i="21" a="1"/>
  <c r="AF101" i="21" a="1"/>
  <c r="AH99" i="21" a="1"/>
  <c r="AG98" i="21" a="1"/>
  <c r="AF97" i="21" a="1"/>
  <c r="AH95" i="21" a="1"/>
  <c r="AG94" i="21" a="1"/>
  <c r="AF93" i="21" a="1"/>
  <c r="AH91" i="21" a="1"/>
  <c r="AG90" i="21" a="1"/>
  <c r="AF89" i="21" a="1"/>
  <c r="AH87" i="21" a="1"/>
  <c r="AG86" i="21" a="1"/>
  <c r="AF85" i="21" a="1"/>
  <c r="AH83" i="21" a="1"/>
  <c r="AG82" i="21" a="1"/>
  <c r="AF81" i="21" a="1"/>
  <c r="AH79" i="21" a="1"/>
  <c r="AG78" i="21" a="1"/>
  <c r="AF77" i="21" a="1"/>
  <c r="AH75" i="21" a="1"/>
  <c r="AG74" i="21" a="1"/>
  <c r="AF73" i="21" a="1"/>
  <c r="AH71" i="21" a="1"/>
  <c r="AG70" i="21" a="1"/>
  <c r="AF69" i="21" a="1"/>
  <c r="AH67" i="21" a="1"/>
  <c r="AG66" i="21" a="1"/>
  <c r="AF65" i="21" a="1"/>
  <c r="AH63" i="21" a="1"/>
  <c r="AG62" i="21" a="1"/>
  <c r="AF61" i="21" a="1"/>
  <c r="AH59" i="21" a="1"/>
  <c r="AG58" i="21" a="1"/>
  <c r="AF57" i="21" a="1"/>
  <c r="AH55" i="21" a="1"/>
  <c r="AG54" i="21" a="1"/>
  <c r="AF53" i="21" a="1"/>
  <c r="AH51" i="21" a="1"/>
  <c r="AG50" i="21" a="1"/>
  <c r="AH47" i="21" a="1"/>
  <c r="AG46" i="21" a="1"/>
  <c r="AF45" i="21" a="1"/>
  <c r="AH43" i="21" a="1"/>
  <c r="AG42" i="21" a="1"/>
  <c r="AF41" i="21" a="1"/>
  <c r="AH39" i="21" a="1"/>
  <c r="AG38" i="21" a="1"/>
  <c r="AF37" i="21" a="1"/>
  <c r="AH35" i="21" a="1"/>
  <c r="AG34" i="21" a="1"/>
  <c r="AF33" i="21" a="1"/>
  <c r="AG30" i="21" a="1"/>
  <c r="AH27" i="21" a="1"/>
  <c r="AF25" i="21" a="1"/>
  <c r="AH23" i="21" a="1"/>
  <c r="AH19" i="21" a="1"/>
  <c r="AG18" i="21" a="1"/>
  <c r="AH15" i="21" a="1"/>
  <c r="AF106" i="21" a="1"/>
  <c r="AG107" i="21" a="1"/>
  <c r="AH104" i="21" a="1"/>
  <c r="AG103" i="21" a="1"/>
  <c r="AF102" i="21" a="1"/>
  <c r="AH100" i="21" a="1"/>
  <c r="AG99" i="21" a="1"/>
  <c r="AF98" i="21" a="1"/>
  <c r="AH96" i="21" a="1"/>
  <c r="AG95" i="21" a="1"/>
  <c r="AF94" i="21" a="1"/>
  <c r="AH92" i="21" a="1"/>
  <c r="AG91" i="21" a="1"/>
  <c r="AF90" i="21" a="1"/>
  <c r="AH105" i="21" a="1"/>
  <c r="AF107" i="21" a="1"/>
  <c r="AG104" i="21" a="1"/>
  <c r="AF103" i="21" a="1"/>
  <c r="AH101" i="21" a="1"/>
  <c r="AG100" i="21" a="1"/>
  <c r="AF99" i="21" a="1"/>
  <c r="AH97" i="21" a="1"/>
  <c r="AG96" i="21" a="1"/>
  <c r="AF95" i="21" a="1"/>
  <c r="AH93" i="21" a="1"/>
  <c r="AG92" i="21" a="1"/>
  <c r="AF91" i="21" a="1"/>
  <c r="AH89" i="21" a="1"/>
  <c r="AH106" i="21" a="1"/>
  <c r="AG105" i="21" a="1"/>
  <c r="AF104" i="21" a="1"/>
  <c r="AH102" i="21" a="1"/>
  <c r="AG101" i="21" a="1"/>
  <c r="AF100" i="21" a="1"/>
  <c r="AH98" i="21" a="1"/>
  <c r="AG97" i="21" a="1"/>
  <c r="AF96" i="21" a="1"/>
  <c r="AH94" i="21" a="1"/>
  <c r="AG87" i="21" a="1"/>
  <c r="AF84" i="21" a="1"/>
  <c r="AG80" i="21" a="1"/>
  <c r="AH76" i="21" a="1"/>
  <c r="AG73" i="21" a="1"/>
  <c r="AH69" i="21" a="1"/>
  <c r="AF66" i="21" a="1"/>
  <c r="AG63" i="21" a="1"/>
  <c r="AH60" i="21" a="1"/>
  <c r="AF58" i="21" a="1"/>
  <c r="AG55" i="21" a="1"/>
  <c r="AH52" i="21" a="1"/>
  <c r="AF50" i="21" a="1"/>
  <c r="AG47" i="21" a="1"/>
  <c r="AH44" i="21" a="1"/>
  <c r="AF42" i="21" a="1"/>
  <c r="AG39" i="21" a="1"/>
  <c r="AH36" i="21" a="1"/>
  <c r="AF34" i="21" a="1"/>
  <c r="AG31" i="21" a="1"/>
  <c r="AH28" i="21" a="1"/>
  <c r="AF26" i="21" a="1"/>
  <c r="AG23" i="21" a="1"/>
  <c r="AH20" i="21" a="1"/>
  <c r="AF18" i="21" a="1"/>
  <c r="AG15" i="21" a="1"/>
  <c r="AG13" i="21" a="1"/>
  <c r="AF11" i="21" a="1"/>
  <c r="AF9" i="21" a="1"/>
  <c r="AH4" i="21" a="1"/>
  <c r="AH2" i="21" a="1"/>
  <c r="AF36" i="21" a="1"/>
  <c r="AG93" i="21" a="1"/>
  <c r="AF87" i="21" a="1"/>
  <c r="AG83" i="21" a="1"/>
  <c r="AF80" i="21" a="1"/>
  <c r="AG76" i="21" a="1"/>
  <c r="AH72" i="21" a="1"/>
  <c r="AG69" i="21" a="1"/>
  <c r="AH65" i="21" a="1"/>
  <c r="AF63" i="21" a="1"/>
  <c r="AG60" i="21" a="1"/>
  <c r="AH57" i="21" a="1"/>
  <c r="AF55" i="21" a="1"/>
  <c r="AG52" i="21" a="1"/>
  <c r="AH49" i="21" a="1"/>
  <c r="AF47" i="21" a="1"/>
  <c r="AG44" i="21" a="1"/>
  <c r="AH41" i="21" a="1"/>
  <c r="AF39" i="21" a="1"/>
  <c r="AG36" i="21" a="1"/>
  <c r="AH33" i="21" a="1"/>
  <c r="AF31" i="21" a="1"/>
  <c r="AG28" i="21" a="1"/>
  <c r="AH25" i="21" a="1"/>
  <c r="AF23" i="21" a="1"/>
  <c r="AG20" i="21" a="1"/>
  <c r="AH17" i="21" a="1"/>
  <c r="AF15" i="21" a="1"/>
  <c r="AF13" i="21" a="1"/>
  <c r="AH8" i="21" a="1"/>
  <c r="AH6" i="21" a="1"/>
  <c r="AG4" i="21" a="1"/>
  <c r="AG2" i="21" a="1"/>
  <c r="AH46" i="21" a="1"/>
  <c r="AF20" i="21" a="1"/>
  <c r="AH14" i="21" a="1"/>
  <c r="AG12" i="21" a="1"/>
  <c r="AF6" i="21" a="1"/>
  <c r="AF4" i="21" a="1"/>
  <c r="AF92" i="21" a="1"/>
  <c r="AH86" i="21" a="1"/>
  <c r="AF83" i="21" a="1"/>
  <c r="AG79" i="21" a="1"/>
  <c r="AF76" i="21" a="1"/>
  <c r="AG72" i="21" a="1"/>
  <c r="AH68" i="21" a="1"/>
  <c r="AH12" i="21" a="1"/>
  <c r="AH10" i="21" a="1"/>
  <c r="AG8" i="21" a="1"/>
  <c r="AG6" i="21" a="1"/>
  <c r="AF2" i="21" a="1"/>
  <c r="AH30" i="21" a="1"/>
  <c r="AH90" i="21" a="1"/>
  <c r="AF86" i="21" a="1"/>
  <c r="AH82" i="21" a="1"/>
  <c r="AF79" i="21" a="1"/>
  <c r="AG75" i="21" a="1"/>
  <c r="AF72" i="21" a="1"/>
  <c r="AG68" i="21" a="1"/>
  <c r="AG65" i="21" a="1"/>
  <c r="AH62" i="21" a="1"/>
  <c r="AF60" i="21" a="1"/>
  <c r="AG57" i="21" a="1"/>
  <c r="AH54" i="21" a="1"/>
  <c r="AF52" i="21" a="1"/>
  <c r="AG49" i="21" a="1"/>
  <c r="AF44" i="21" a="1"/>
  <c r="AG41" i="21" a="1"/>
  <c r="AH38" i="21" a="1"/>
  <c r="AG33" i="21" a="1"/>
  <c r="AF28" i="21" a="1"/>
  <c r="AG25" i="21" a="1"/>
  <c r="AH22" i="21" a="1"/>
  <c r="AG17" i="21" a="1"/>
  <c r="AG10" i="21" a="1"/>
  <c r="AG89" i="21" a="1"/>
  <c r="AH85" i="21" a="1"/>
  <c r="AF82" i="21" a="1"/>
  <c r="AH78" i="21" a="1"/>
  <c r="AF75" i="21" a="1"/>
  <c r="AG71" i="21" a="1"/>
  <c r="AF68" i="21" a="1"/>
  <c r="AH64" i="21" a="1"/>
  <c r="AF62" i="21" a="1"/>
  <c r="AG59" i="21" a="1"/>
  <c r="AH56" i="21" a="1"/>
  <c r="AF54" i="21" a="1"/>
  <c r="AG51" i="21" a="1"/>
  <c r="AH48" i="21" a="1"/>
  <c r="AF46" i="21" a="1"/>
  <c r="AG43" i="21" a="1"/>
  <c r="AH40" i="21" a="1"/>
  <c r="AF38" i="21" a="1"/>
  <c r="AG35" i="21" a="1"/>
  <c r="AH32" i="21" a="1"/>
  <c r="AF30" i="21" a="1"/>
  <c r="AG27" i="21" a="1"/>
  <c r="AH24" i="21" a="1"/>
  <c r="AF22" i="21" a="1"/>
  <c r="AG19" i="21" a="1"/>
  <c r="AH16" i="21" a="1"/>
  <c r="AG14" i="21" a="1"/>
  <c r="AF10" i="21" a="1"/>
  <c r="AF8" i="21" a="1"/>
  <c r="AH5" i="21" a="1"/>
  <c r="AH3" i="21" a="1"/>
  <c r="AH29" i="21" a="1"/>
  <c r="AH9" i="21" a="1"/>
  <c r="AG3" i="21" a="1"/>
  <c r="AH88" i="21" a="1"/>
  <c r="AG85" i="21" a="1"/>
  <c r="AH81" i="21" a="1"/>
  <c r="AF78" i="21" a="1"/>
  <c r="AH74" i="21" a="1"/>
  <c r="AF71" i="21" a="1"/>
  <c r="AG67" i="21" a="1"/>
  <c r="AG64" i="21" a="1"/>
  <c r="AH61" i="21" a="1"/>
  <c r="AF59" i="21" a="1"/>
  <c r="AG56" i="21" a="1"/>
  <c r="AH53" i="21" a="1"/>
  <c r="AF51" i="21" a="1"/>
  <c r="AG48" i="21" a="1"/>
  <c r="AH45" i="21" a="1"/>
  <c r="AF43" i="21" a="1"/>
  <c r="AG40" i="21" a="1"/>
  <c r="AH37" i="21" a="1"/>
  <c r="AF35" i="21" a="1"/>
  <c r="AG32" i="21" a="1"/>
  <c r="AF27" i="21" a="1"/>
  <c r="AG24" i="21" a="1"/>
  <c r="AH21" i="21" a="1"/>
  <c r="AF19" i="21" a="1"/>
  <c r="AG16" i="21" a="1"/>
  <c r="AF14" i="21" a="1"/>
  <c r="AF12" i="21" a="1"/>
  <c r="AH7" i="21" a="1"/>
  <c r="AG88" i="21" a="1"/>
  <c r="AH84" i="21" a="1"/>
  <c r="AG81" i="21" a="1"/>
  <c r="AH77" i="21" a="1"/>
  <c r="AF74" i="21" a="1"/>
  <c r="AH70" i="21" a="1"/>
  <c r="AF67" i="21" a="1"/>
  <c r="AH13" i="21" a="1"/>
  <c r="AH11" i="21" a="1"/>
  <c r="AG7" i="21" a="1"/>
  <c r="AG5" i="21" a="1"/>
  <c r="AF3" i="21" a="1"/>
  <c r="AF88" i="21" a="1"/>
  <c r="AG84" i="21" a="1"/>
  <c r="AH80" i="21" a="1"/>
  <c r="AG77" i="21" a="1"/>
  <c r="AH73" i="21" a="1"/>
  <c r="AF70" i="21" a="1"/>
  <c r="AH66" i="21" a="1"/>
  <c r="AF64" i="21" a="1"/>
  <c r="AG61" i="21" a="1"/>
  <c r="AH58" i="21" a="1"/>
  <c r="AF56" i="21" a="1"/>
  <c r="AG53" i="21" a="1"/>
  <c r="AH50" i="21" a="1"/>
  <c r="AF48" i="21" a="1"/>
  <c r="AG45" i="21" a="1"/>
  <c r="AH42" i="21" a="1"/>
  <c r="AF40" i="21" a="1"/>
  <c r="AG37" i="21" a="1"/>
  <c r="AH34" i="21" a="1"/>
  <c r="AF32" i="21" a="1"/>
  <c r="AG29" i="21" a="1"/>
  <c r="AH26" i="21" a="1"/>
  <c r="AF24" i="21" a="1"/>
  <c r="AG21" i="21" a="1"/>
  <c r="AH18" i="21" a="1"/>
  <c r="AF16" i="21" a="1"/>
  <c r="AG11" i="21" a="1"/>
  <c r="AG9" i="21" a="1"/>
  <c r="AF7" i="21" a="1"/>
  <c r="AF5" i="21" a="1"/>
  <c r="AF5" i="21" l="1"/>
  <c r="AF7" i="21"/>
  <c r="AG9" i="21"/>
  <c r="AG11" i="21"/>
  <c r="AF16" i="21"/>
  <c r="AH18" i="21"/>
  <c r="B18" i="27" s="1"/>
  <c r="AG21" i="21"/>
  <c r="AF24" i="21"/>
  <c r="AH26" i="21"/>
  <c r="B26" i="27" s="1"/>
  <c r="AG29" i="21"/>
  <c r="AF32" i="21"/>
  <c r="AH34" i="21"/>
  <c r="B34" i="27" s="1"/>
  <c r="AG37" i="21"/>
  <c r="AF40" i="21"/>
  <c r="AH42" i="21"/>
  <c r="B42" i="27" s="1"/>
  <c r="AG45" i="21"/>
  <c r="AF48" i="21"/>
  <c r="AH50" i="21"/>
  <c r="B50" i="27" s="1"/>
  <c r="AG53" i="21"/>
  <c r="AF56" i="21"/>
  <c r="AH58" i="21"/>
  <c r="B58" i="27" s="1"/>
  <c r="AG61" i="21"/>
  <c r="AF64" i="21"/>
  <c r="AH66" i="21"/>
  <c r="B66" i="27" s="1"/>
  <c r="AF70" i="21"/>
  <c r="AH73" i="21"/>
  <c r="B73" i="27" s="1"/>
  <c r="AG77" i="21"/>
  <c r="AH80" i="21"/>
  <c r="B80" i="27" s="1"/>
  <c r="AG84" i="21"/>
  <c r="AF88" i="21"/>
  <c r="AF3" i="21"/>
  <c r="AG5" i="21"/>
  <c r="AG7" i="21"/>
  <c r="AH11" i="21"/>
  <c r="B11" i="27" s="1"/>
  <c r="AH13" i="21"/>
  <c r="B13" i="27" s="1"/>
  <c r="AF67" i="21"/>
  <c r="AH70" i="21"/>
  <c r="B70" i="27" s="1"/>
  <c r="AF74" i="21"/>
  <c r="AH77" i="21"/>
  <c r="B77" i="27" s="1"/>
  <c r="AG81" i="21"/>
  <c r="AH84" i="21"/>
  <c r="B84" i="27" s="1"/>
  <c r="AG88" i="21"/>
  <c r="AH7" i="21"/>
  <c r="B7" i="27" s="1"/>
  <c r="AF12" i="21"/>
  <c r="AF14" i="21"/>
  <c r="AG16" i="21"/>
  <c r="AF19" i="21"/>
  <c r="AH21" i="21"/>
  <c r="B21" i="27" s="1"/>
  <c r="AG24" i="21"/>
  <c r="AF27" i="21"/>
  <c r="AG32" i="21"/>
  <c r="AF35" i="21"/>
  <c r="AH37" i="21"/>
  <c r="B37" i="27" s="1"/>
  <c r="AG40" i="21"/>
  <c r="AF43" i="21"/>
  <c r="AH45" i="21"/>
  <c r="B45" i="27" s="1"/>
  <c r="AG48" i="21"/>
  <c r="AF51" i="21"/>
  <c r="AH53" i="21"/>
  <c r="B53" i="27" s="1"/>
  <c r="AG56" i="21"/>
  <c r="AF59" i="21"/>
  <c r="AH61" i="21"/>
  <c r="B61" i="27" s="1"/>
  <c r="AG64" i="21"/>
  <c r="AG67" i="21"/>
  <c r="AF71" i="21"/>
  <c r="AH74" i="21"/>
  <c r="B74" i="27" s="1"/>
  <c r="AF78" i="21"/>
  <c r="AH81" i="21"/>
  <c r="B81" i="27" s="1"/>
  <c r="AG85" i="21"/>
  <c r="AH88" i="21"/>
  <c r="B88" i="27" s="1"/>
  <c r="AG3" i="21"/>
  <c r="AH9" i="21"/>
  <c r="B9" i="27" s="1"/>
  <c r="AH29" i="21"/>
  <c r="B29" i="27" s="1"/>
  <c r="AH3" i="21"/>
  <c r="B3" i="27" s="1"/>
  <c r="AH5" i="21"/>
  <c r="B5" i="27" s="1"/>
  <c r="AF8" i="21"/>
  <c r="AF10" i="21"/>
  <c r="AG14" i="21"/>
  <c r="AH16" i="21"/>
  <c r="B16" i="27" s="1"/>
  <c r="AG19" i="21"/>
  <c r="AF22" i="21"/>
  <c r="AH24" i="21"/>
  <c r="B24" i="27" s="1"/>
  <c r="AG27" i="21"/>
  <c r="AF30" i="21"/>
  <c r="AH32" i="21"/>
  <c r="B32" i="27" s="1"/>
  <c r="AG35" i="21"/>
  <c r="AF38" i="21"/>
  <c r="AH40" i="21"/>
  <c r="B40" i="27" s="1"/>
  <c r="AG43" i="21"/>
  <c r="AF46" i="21"/>
  <c r="AH48" i="21"/>
  <c r="B48" i="27" s="1"/>
  <c r="AG51" i="21"/>
  <c r="AF54" i="21"/>
  <c r="AH56" i="21"/>
  <c r="B56" i="27" s="1"/>
  <c r="AG59" i="21"/>
  <c r="AF62" i="21"/>
  <c r="AH64" i="21"/>
  <c r="B64" i="27" s="1"/>
  <c r="AF68" i="21"/>
  <c r="AG71" i="21"/>
  <c r="AF75" i="21"/>
  <c r="AH78" i="21"/>
  <c r="B78" i="27" s="1"/>
  <c r="AF82" i="21"/>
  <c r="AH85" i="21"/>
  <c r="B85" i="27" s="1"/>
  <c r="AG89" i="21"/>
  <c r="AG10" i="21"/>
  <c r="AG17" i="21"/>
  <c r="AH22" i="21"/>
  <c r="B22" i="27" s="1"/>
  <c r="AG25" i="21"/>
  <c r="AF28" i="21"/>
  <c r="AG33" i="21"/>
  <c r="AH38" i="21"/>
  <c r="B38" i="27" s="1"/>
  <c r="AG41" i="21"/>
  <c r="AF44" i="21"/>
  <c r="AG49" i="21"/>
  <c r="AF52" i="21"/>
  <c r="AH54" i="21"/>
  <c r="B54" i="27" s="1"/>
  <c r="AG57" i="21"/>
  <c r="AF60" i="21"/>
  <c r="AH62" i="21"/>
  <c r="B62" i="27" s="1"/>
  <c r="AG65" i="21"/>
  <c r="AG68" i="21"/>
  <c r="AF72" i="21"/>
  <c r="AG75" i="21"/>
  <c r="AF79" i="21"/>
  <c r="AH82" i="21"/>
  <c r="B82" i="27" s="1"/>
  <c r="AF86" i="21"/>
  <c r="AH90" i="21"/>
  <c r="B90" i="27" s="1"/>
  <c r="AH30" i="21"/>
  <c r="B30" i="27" s="1"/>
  <c r="AF2" i="21"/>
  <c r="AG6" i="21"/>
  <c r="AG8" i="21"/>
  <c r="AH10" i="21"/>
  <c r="B10" i="27" s="1"/>
  <c r="AH12" i="21"/>
  <c r="B12" i="27" s="1"/>
  <c r="AH68" i="21"/>
  <c r="B68" i="27" s="1"/>
  <c r="AG72" i="21"/>
  <c r="AF76" i="21"/>
  <c r="AG79" i="21"/>
  <c r="AF83" i="21"/>
  <c r="AH86" i="21"/>
  <c r="B86" i="27" s="1"/>
  <c r="AF92" i="21"/>
  <c r="AF4" i="21"/>
  <c r="AF6" i="21"/>
  <c r="AG12" i="21"/>
  <c r="AH14" i="21"/>
  <c r="B14" i="27" s="1"/>
  <c r="AF20" i="21"/>
  <c r="AH46" i="21"/>
  <c r="B46" i="27" s="1"/>
  <c r="AG2" i="21"/>
  <c r="AG4" i="21"/>
  <c r="AH6" i="21"/>
  <c r="B6" i="27" s="1"/>
  <c r="AH8" i="21"/>
  <c r="B8" i="27" s="1"/>
  <c r="AF13" i="21"/>
  <c r="AF15" i="21"/>
  <c r="AH17" i="21"/>
  <c r="B17" i="27" s="1"/>
  <c r="AG20" i="21"/>
  <c r="AF23" i="21"/>
  <c r="AH25" i="21"/>
  <c r="B25" i="27" s="1"/>
  <c r="AG28" i="21"/>
  <c r="AF31" i="21"/>
  <c r="AH33" i="21"/>
  <c r="B33" i="27" s="1"/>
  <c r="AG36" i="21"/>
  <c r="AF39" i="21"/>
  <c r="AH41" i="21"/>
  <c r="B41" i="27" s="1"/>
  <c r="AG44" i="21"/>
  <c r="AF47" i="21"/>
  <c r="AH49" i="21"/>
  <c r="B49" i="27" s="1"/>
  <c r="AG52" i="21"/>
  <c r="AF55" i="21"/>
  <c r="AH57" i="21"/>
  <c r="B57" i="27" s="1"/>
  <c r="AG60" i="21"/>
  <c r="AF63" i="21"/>
  <c r="AH65" i="21"/>
  <c r="B65" i="27" s="1"/>
  <c r="AG69" i="21"/>
  <c r="AH72" i="21"/>
  <c r="B72" i="27" s="1"/>
  <c r="AG76" i="21"/>
  <c r="AF80" i="21"/>
  <c r="AG83" i="21"/>
  <c r="AF87" i="21"/>
  <c r="AG93" i="21"/>
  <c r="AF36" i="21"/>
  <c r="AH2" i="21"/>
  <c r="B2" i="27" s="1"/>
  <c r="AH4" i="21"/>
  <c r="B4" i="27" s="1"/>
  <c r="AF9" i="21"/>
  <c r="AF11" i="21"/>
  <c r="AG13" i="21"/>
  <c r="AG15" i="21"/>
  <c r="AF18" i="21"/>
  <c r="AH20" i="21"/>
  <c r="B20" i="27" s="1"/>
  <c r="AG23" i="21"/>
  <c r="AF26" i="21"/>
  <c r="AH28" i="21"/>
  <c r="B28" i="27" s="1"/>
  <c r="AG31" i="21"/>
  <c r="AF34" i="21"/>
  <c r="AH36" i="21"/>
  <c r="B36" i="27" s="1"/>
  <c r="AG39" i="21"/>
  <c r="AF42" i="21"/>
  <c r="AH44" i="21"/>
  <c r="B44" i="27" s="1"/>
  <c r="AG47" i="21"/>
  <c r="AF50" i="21"/>
  <c r="AH52" i="21"/>
  <c r="B52" i="27" s="1"/>
  <c r="AG55" i="21"/>
  <c r="AF58" i="21"/>
  <c r="AH60" i="21"/>
  <c r="B60" i="27" s="1"/>
  <c r="AG63" i="21"/>
  <c r="AF66" i="21"/>
  <c r="AH69" i="21"/>
  <c r="B69" i="27" s="1"/>
  <c r="AG73" i="21"/>
  <c r="AH76" i="21"/>
  <c r="B76" i="27" s="1"/>
  <c r="AG80" i="21"/>
  <c r="AF84" i="21"/>
  <c r="AG87" i="21"/>
  <c r="AH94" i="21"/>
  <c r="B94" i="27" s="1"/>
  <c r="AF96" i="21"/>
  <c r="AG97" i="21"/>
  <c r="AH98" i="21"/>
  <c r="B98" i="27" s="1"/>
  <c r="AF100" i="21"/>
  <c r="AG101" i="21"/>
  <c r="AH102" i="21"/>
  <c r="B102" i="27" s="1"/>
  <c r="AF104" i="21"/>
  <c r="AG105" i="21"/>
  <c r="AH106" i="21"/>
  <c r="B106" i="27" s="1"/>
  <c r="AH89" i="21"/>
  <c r="B89" i="27" s="1"/>
  <c r="AF91" i="21"/>
  <c r="AG92" i="21"/>
  <c r="AH93" i="21"/>
  <c r="B93" i="27" s="1"/>
  <c r="AF95" i="21"/>
  <c r="AG96" i="21"/>
  <c r="AH97" i="21"/>
  <c r="B97" i="27" s="1"/>
  <c r="AF99" i="21"/>
  <c r="AG100" i="21"/>
  <c r="AH101" i="21"/>
  <c r="B101" i="27" s="1"/>
  <c r="AF103" i="21"/>
  <c r="AG104" i="21"/>
  <c r="AF107" i="21"/>
  <c r="AH105" i="21"/>
  <c r="B105" i="27" s="1"/>
  <c r="AF90" i="21"/>
  <c r="AG91" i="21"/>
  <c r="AH92" i="21"/>
  <c r="B92" i="27" s="1"/>
  <c r="AF94" i="21"/>
  <c r="AG95" i="21"/>
  <c r="AH96" i="21"/>
  <c r="B96" i="27" s="1"/>
  <c r="AF98" i="21"/>
  <c r="AG99" i="21"/>
  <c r="AH100" i="21"/>
  <c r="B100" i="27" s="1"/>
  <c r="AF102" i="21"/>
  <c r="AG103" i="21"/>
  <c r="AH104" i="21"/>
  <c r="B104" i="27" s="1"/>
  <c r="AG107" i="21"/>
  <c r="AF106" i="21"/>
  <c r="AH15" i="21"/>
  <c r="B15" i="27" s="1"/>
  <c r="AG18" i="21"/>
  <c r="AH19" i="21"/>
  <c r="B19" i="27" s="1"/>
  <c r="AH23" i="21"/>
  <c r="B23" i="27" s="1"/>
  <c r="AF25" i="21"/>
  <c r="AH27" i="21"/>
  <c r="B27" i="27" s="1"/>
  <c r="AG30" i="21"/>
  <c r="AF33" i="21"/>
  <c r="AG34" i="21"/>
  <c r="AH35" i="21"/>
  <c r="B35" i="27" s="1"/>
  <c r="AF37" i="21"/>
  <c r="AG38" i="21"/>
  <c r="AH39" i="21"/>
  <c r="B39" i="27" s="1"/>
  <c r="AF41" i="21"/>
  <c r="AG42" i="21"/>
  <c r="AH43" i="21"/>
  <c r="B43" i="27" s="1"/>
  <c r="AF45" i="21"/>
  <c r="AG46" i="21"/>
  <c r="AH47" i="21"/>
  <c r="B47" i="27" s="1"/>
  <c r="AG50" i="21"/>
  <c r="AH51" i="21"/>
  <c r="B51" i="27" s="1"/>
  <c r="AF53" i="21"/>
  <c r="AG54" i="21"/>
  <c r="AH55" i="21"/>
  <c r="B55" i="27" s="1"/>
  <c r="AF57" i="21"/>
  <c r="AG58" i="21"/>
  <c r="AH59" i="21"/>
  <c r="B59" i="27" s="1"/>
  <c r="AF61" i="21"/>
  <c r="AG62" i="21"/>
  <c r="AH63" i="21"/>
  <c r="B63" i="27" s="1"/>
  <c r="AF65" i="21"/>
  <c r="AG66" i="21"/>
  <c r="AH67" i="21"/>
  <c r="B67" i="27" s="1"/>
  <c r="AF69" i="21"/>
  <c r="AG70" i="21"/>
  <c r="AH71" i="21"/>
  <c r="B71" i="27" s="1"/>
  <c r="AF73" i="21"/>
  <c r="AG74" i="21"/>
  <c r="AH75" i="21"/>
  <c r="B75" i="27" s="1"/>
  <c r="AF77" i="21"/>
  <c r="AG78" i="21"/>
  <c r="AH79" i="21"/>
  <c r="B79" i="27" s="1"/>
  <c r="AF81" i="21"/>
  <c r="AG82" i="21"/>
  <c r="AH83" i="21"/>
  <c r="B83" i="27" s="1"/>
  <c r="AF85" i="21"/>
  <c r="AG86" i="21"/>
  <c r="AH87" i="21"/>
  <c r="B87" i="27" s="1"/>
  <c r="AF89" i="21"/>
  <c r="AG90" i="21"/>
  <c r="AH91" i="21"/>
  <c r="B91" i="27" s="1"/>
  <c r="AF93" i="21"/>
  <c r="AG94" i="21"/>
  <c r="AH95" i="21"/>
  <c r="B95" i="27" s="1"/>
  <c r="AF97" i="21"/>
  <c r="AG98" i="21"/>
  <c r="AH99" i="21"/>
  <c r="B99" i="27" s="1"/>
  <c r="AF101" i="21"/>
  <c r="AG102" i="21"/>
  <c r="AH103" i="21"/>
  <c r="B103" i="27" s="1"/>
  <c r="AF105" i="21"/>
  <c r="AG106" i="21"/>
  <c r="AH107" i="21"/>
  <c r="B107" i="27" s="1"/>
  <c r="AF17" i="21"/>
  <c r="AF21" i="21"/>
  <c r="AG22" i="21"/>
  <c r="AG26" i="21"/>
  <c r="AF29" i="21"/>
  <c r="AH31" i="21"/>
  <c r="B31" i="27" s="1"/>
  <c r="AF49" i="21"/>
  <c r="AP111" i="24"/>
  <c r="AP110" i="24"/>
  <c r="AP109" i="24"/>
  <c r="AP108" i="24"/>
  <c r="AP107" i="24"/>
  <c r="AP106" i="24"/>
  <c r="AP105" i="24"/>
  <c r="AP104" i="24"/>
  <c r="AP103" i="24"/>
  <c r="A107" i="21" l="1"/>
  <c r="A107" i="27" s="1"/>
  <c r="A103" i="20"/>
  <c r="A103" i="21" s="1"/>
  <c r="A103" i="27" s="1"/>
  <c r="A104" i="20"/>
  <c r="A104" i="21" s="1"/>
  <c r="A104" i="27" s="1"/>
  <c r="A105" i="20"/>
  <c r="A105" i="21" s="1"/>
  <c r="A105" i="27" s="1"/>
  <c r="A106" i="20"/>
  <c r="A106" i="21" s="1"/>
  <c r="A106" i="27" s="1"/>
  <c r="A107"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A2" i="20"/>
  <c r="A1" i="19"/>
  <c r="A2" i="19"/>
  <c r="A3" i="19"/>
  <c r="A4" i="19"/>
  <c r="A5" i="19"/>
  <c r="A6" i="19"/>
  <c r="A7" i="19"/>
  <c r="A8" i="19"/>
  <c r="A9" i="19"/>
  <c r="A10" i="19"/>
  <c r="A11" i="19"/>
  <c r="A12" i="19"/>
  <c r="A13" i="19"/>
  <c r="A14" i="19"/>
  <c r="A15" i="19"/>
  <c r="A16" i="19"/>
  <c r="A17" i="19"/>
  <c r="A18" i="19"/>
  <c r="A19" i="19"/>
  <c r="A20" i="19"/>
  <c r="A21" i="19"/>
  <c r="A22" i="19"/>
  <c r="A23" i="19"/>
  <c r="A24" i="19"/>
  <c r="A25" i="19"/>
  <c r="A26" i="19"/>
  <c r="A27" i="19"/>
  <c r="A28" i="19"/>
  <c r="A29" i="19"/>
  <c r="A30" i="19"/>
  <c r="A31" i="19"/>
  <c r="A32" i="19"/>
  <c r="A33" i="19"/>
  <c r="A34" i="19"/>
  <c r="A35" i="19"/>
  <c r="A36" i="19"/>
  <c r="A37" i="19"/>
  <c r="A38" i="19"/>
  <c r="A39" i="19"/>
  <c r="A40" i="19"/>
  <c r="A41" i="19"/>
  <c r="A42" i="19"/>
  <c r="A43" i="19"/>
  <c r="A44" i="19"/>
  <c r="A45" i="19"/>
  <c r="A46" i="19"/>
  <c r="A47" i="19"/>
  <c r="A48" i="19"/>
  <c r="A49" i="19"/>
  <c r="A50" i="19"/>
  <c r="A51" i="19"/>
  <c r="A52" i="19"/>
  <c r="A53" i="19"/>
  <c r="A54" i="19"/>
  <c r="A55" i="19"/>
  <c r="A56" i="19"/>
  <c r="A57" i="19"/>
  <c r="A58" i="19"/>
  <c r="A59" i="19"/>
  <c r="A60" i="19"/>
  <c r="A61" i="19"/>
  <c r="A62" i="19"/>
  <c r="A63" i="19"/>
  <c r="A64" i="19"/>
  <c r="A65" i="19"/>
  <c r="A66" i="19"/>
  <c r="A67" i="19"/>
  <c r="A68" i="19"/>
  <c r="A69" i="19"/>
  <c r="A70" i="19"/>
  <c r="A71" i="19"/>
  <c r="A72" i="19"/>
  <c r="A73" i="19"/>
  <c r="A74" i="19"/>
  <c r="A75" i="19"/>
  <c r="A76" i="19"/>
  <c r="A77" i="19"/>
  <c r="A78" i="19"/>
  <c r="A79" i="19"/>
  <c r="A80" i="19"/>
  <c r="A81" i="19"/>
  <c r="A82" i="19"/>
  <c r="A83" i="19"/>
  <c r="A84" i="19"/>
  <c r="A85" i="19"/>
  <c r="A86" i="19"/>
  <c r="A87" i="19"/>
  <c r="A88" i="19"/>
  <c r="A89" i="19"/>
  <c r="A90" i="19"/>
  <c r="A91" i="19"/>
  <c r="A92" i="19"/>
  <c r="A93" i="19"/>
  <c r="A94" i="19"/>
  <c r="A95" i="19"/>
  <c r="A96" i="19"/>
  <c r="A97" i="19"/>
  <c r="A98" i="19"/>
  <c r="A99" i="19"/>
  <c r="A100" i="19"/>
  <c r="A101" i="19"/>
  <c r="A102" i="19"/>
  <c r="A103" i="19"/>
  <c r="A104" i="19"/>
  <c r="A105" i="19"/>
  <c r="A106" i="19"/>
  <c r="A107" i="19"/>
  <c r="A108" i="19"/>
  <c r="A109" i="19"/>
  <c r="A110" i="19"/>
  <c r="A111" i="19"/>
  <c r="A112" i="19"/>
  <c r="A113" i="19"/>
  <c r="A114" i="19"/>
  <c r="A115" i="19"/>
  <c r="A116" i="19"/>
  <c r="A117" i="19"/>
  <c r="A118" i="19"/>
  <c r="A119" i="19"/>
  <c r="A120" i="19"/>
  <c r="A121" i="19"/>
  <c r="A122" i="19"/>
  <c r="A123" i="19"/>
  <c r="A124" i="19"/>
  <c r="A125" i="19"/>
  <c r="A126" i="19"/>
  <c r="A127" i="19"/>
  <c r="A128" i="19"/>
  <c r="A129" i="19"/>
  <c r="A130" i="19"/>
  <c r="A131" i="19"/>
  <c r="A132" i="19"/>
  <c r="A133" i="19"/>
  <c r="A134" i="19"/>
  <c r="A135" i="19"/>
  <c r="A136" i="19"/>
  <c r="A137" i="19"/>
  <c r="A138" i="19"/>
  <c r="A139" i="19"/>
  <c r="A140" i="19"/>
  <c r="A141" i="19"/>
  <c r="A142" i="19"/>
  <c r="A143" i="19"/>
  <c r="A144" i="19"/>
  <c r="A145" i="19"/>
  <c r="A146" i="19"/>
  <c r="A147" i="19"/>
  <c r="A148" i="19"/>
  <c r="A149" i="19"/>
  <c r="A150" i="19"/>
  <c r="A151" i="19"/>
  <c r="A152" i="19"/>
  <c r="A153" i="19"/>
  <c r="A154" i="19"/>
  <c r="A155" i="19"/>
  <c r="A156" i="19"/>
  <c r="A157" i="19"/>
  <c r="A158" i="19"/>
  <c r="A159" i="19"/>
  <c r="A160" i="19"/>
  <c r="A161" i="19"/>
  <c r="A162" i="19"/>
  <c r="A163" i="19"/>
  <c r="A164" i="19"/>
  <c r="A165" i="19"/>
  <c r="A166" i="19"/>
  <c r="A167" i="19"/>
  <c r="A168" i="19"/>
  <c r="A169" i="19"/>
  <c r="A170" i="19"/>
  <c r="A171" i="19"/>
  <c r="A172" i="19"/>
  <c r="A173" i="19"/>
  <c r="A174" i="19"/>
  <c r="A175" i="19"/>
  <c r="A176" i="19"/>
  <c r="A177" i="19"/>
  <c r="A178" i="19"/>
  <c r="A179" i="19"/>
  <c r="A180" i="19"/>
  <c r="A181" i="19"/>
  <c r="A182" i="19"/>
  <c r="A183" i="19"/>
  <c r="A184" i="19"/>
  <c r="A185" i="19"/>
  <c r="A186" i="19"/>
  <c r="A187" i="19"/>
  <c r="A188" i="19"/>
  <c r="A189" i="19"/>
  <c r="A190" i="19"/>
  <c r="A191" i="19"/>
  <c r="A192" i="19"/>
  <c r="A193" i="19"/>
  <c r="A194" i="19"/>
  <c r="A195" i="19"/>
  <c r="A196" i="19"/>
  <c r="A197" i="19"/>
  <c r="A198" i="19"/>
  <c r="A199" i="19"/>
  <c r="A200" i="19"/>
  <c r="A201" i="19"/>
  <c r="A202" i="19"/>
  <c r="A203" i="19"/>
  <c r="A204" i="19"/>
  <c r="A205" i="19"/>
  <c r="A206" i="19"/>
  <c r="A207" i="19"/>
  <c r="A208" i="19"/>
  <c r="A209" i="19"/>
  <c r="A210" i="19"/>
  <c r="A211" i="19"/>
  <c r="A212" i="19"/>
  <c r="A213" i="19"/>
  <c r="A214" i="19"/>
  <c r="A215" i="19"/>
  <c r="A216" i="19"/>
  <c r="A217" i="19"/>
  <c r="A218" i="19"/>
  <c r="A219" i="19"/>
  <c r="A220" i="19"/>
  <c r="A221" i="19"/>
  <c r="A222" i="19"/>
  <c r="A223" i="19"/>
  <c r="A224" i="19"/>
  <c r="A225" i="19"/>
  <c r="A226" i="19"/>
  <c r="A227" i="19"/>
  <c r="A228" i="19"/>
  <c r="A229" i="19"/>
  <c r="A230" i="19"/>
  <c r="A231" i="19"/>
  <c r="A232" i="19"/>
  <c r="A233" i="19"/>
  <c r="A234" i="19"/>
  <c r="A235" i="19"/>
  <c r="A236" i="19"/>
  <c r="A237" i="19"/>
  <c r="A238" i="19"/>
  <c r="A239" i="19"/>
  <c r="A240" i="19"/>
  <c r="A241" i="19"/>
  <c r="A242" i="19"/>
  <c r="A243" i="19"/>
  <c r="A244" i="19"/>
  <c r="A245" i="19"/>
  <c r="A246" i="19"/>
  <c r="A247" i="19"/>
  <c r="A248" i="19"/>
  <c r="A249" i="19"/>
  <c r="A250" i="19"/>
  <c r="A251" i="19"/>
  <c r="A252" i="19"/>
  <c r="A253" i="19"/>
  <c r="A254" i="19"/>
  <c r="A255" i="19"/>
  <c r="A256" i="19"/>
  <c r="A257" i="19"/>
  <c r="A258" i="19"/>
  <c r="A259" i="19"/>
  <c r="A260" i="19"/>
  <c r="A261" i="19"/>
  <c r="A262" i="19"/>
  <c r="A263" i="19"/>
  <c r="A264" i="19"/>
  <c r="A265" i="19"/>
  <c r="A266" i="19"/>
  <c r="A267" i="19"/>
  <c r="A268" i="19"/>
  <c r="A269" i="19"/>
  <c r="A270" i="19"/>
  <c r="A271" i="19"/>
  <c r="A272" i="19"/>
  <c r="A273" i="19"/>
  <c r="A274" i="19"/>
  <c r="A275" i="19"/>
  <c r="A276" i="19"/>
  <c r="A277" i="19"/>
  <c r="A278" i="19"/>
  <c r="A279" i="19"/>
  <c r="A280" i="19"/>
  <c r="A281" i="19"/>
  <c r="A282" i="19"/>
  <c r="A283" i="19"/>
  <c r="A284" i="19"/>
  <c r="A285" i="19"/>
  <c r="A286" i="19"/>
  <c r="A287" i="19"/>
  <c r="A288" i="19"/>
  <c r="A289" i="19"/>
  <c r="A290" i="19"/>
  <c r="A291" i="19"/>
  <c r="A292" i="19"/>
  <c r="A293" i="19"/>
  <c r="A294" i="19"/>
  <c r="A295" i="19"/>
  <c r="A296" i="19"/>
  <c r="A297" i="19"/>
  <c r="A298" i="19"/>
  <c r="A299" i="19"/>
  <c r="A300" i="19"/>
  <c r="A301" i="19"/>
  <c r="A302" i="19"/>
  <c r="A303" i="19"/>
  <c r="A304" i="19"/>
  <c r="A305" i="19"/>
  <c r="A306" i="19"/>
  <c r="A307" i="19"/>
  <c r="A308" i="19"/>
  <c r="A309" i="19"/>
  <c r="A310" i="19"/>
  <c r="A311" i="19"/>
  <c r="A312" i="19"/>
  <c r="A313" i="19"/>
  <c r="A314" i="19"/>
  <c r="A315" i="19"/>
  <c r="A316" i="19"/>
  <c r="A317" i="19"/>
  <c r="A318" i="19"/>
  <c r="A319" i="19"/>
  <c r="A320" i="19"/>
  <c r="A321" i="19"/>
  <c r="A322" i="19"/>
  <c r="A323" i="19"/>
  <c r="A324" i="19"/>
  <c r="A325" i="19"/>
  <c r="A326" i="19"/>
  <c r="A327" i="19"/>
  <c r="A328" i="19"/>
  <c r="A329" i="19"/>
  <c r="A330" i="19"/>
  <c r="A331" i="19"/>
  <c r="A332" i="19"/>
  <c r="A333" i="19"/>
  <c r="A334" i="19"/>
  <c r="A335" i="19"/>
  <c r="A336" i="19"/>
  <c r="A337" i="19"/>
  <c r="A338" i="19"/>
  <c r="A339" i="19"/>
  <c r="A340" i="19"/>
  <c r="A341" i="19"/>
  <c r="A342" i="19"/>
  <c r="A343" i="19"/>
  <c r="A344" i="19"/>
  <c r="A345" i="19"/>
  <c r="A346" i="19"/>
  <c r="A347" i="19"/>
  <c r="A348" i="19"/>
  <c r="A349" i="19"/>
  <c r="A350" i="19"/>
  <c r="A351" i="19"/>
  <c r="A352" i="19"/>
  <c r="A353" i="19"/>
  <c r="A354" i="19"/>
  <c r="A355" i="19"/>
  <c r="A356" i="19"/>
  <c r="A357" i="19"/>
  <c r="A358" i="19"/>
  <c r="A359" i="19"/>
  <c r="A360" i="19"/>
  <c r="A361" i="19"/>
  <c r="A362" i="19"/>
  <c r="A363" i="19"/>
  <c r="A364" i="19"/>
  <c r="A365" i="19"/>
  <c r="A366" i="19"/>
  <c r="A367" i="19"/>
  <c r="A368" i="19"/>
  <c r="A369" i="19"/>
  <c r="A370" i="19"/>
  <c r="A371" i="19"/>
  <c r="A372" i="19"/>
  <c r="A373" i="19"/>
  <c r="A374" i="19"/>
  <c r="A375" i="19"/>
  <c r="A376" i="19"/>
  <c r="A377" i="19"/>
  <c r="A378" i="19"/>
  <c r="A379" i="19"/>
  <c r="A380" i="19"/>
  <c r="A381" i="19"/>
  <c r="A382" i="19"/>
  <c r="A383" i="19"/>
  <c r="A384" i="19"/>
  <c r="A385" i="19"/>
  <c r="A386" i="19"/>
  <c r="A387" i="19"/>
  <c r="A388" i="19"/>
  <c r="A389" i="19"/>
  <c r="A390" i="19"/>
  <c r="A391" i="19"/>
  <c r="A392" i="19"/>
  <c r="A393" i="19"/>
  <c r="A394" i="19"/>
  <c r="A395" i="19"/>
  <c r="A396" i="19"/>
  <c r="A397" i="19"/>
  <c r="A398" i="19"/>
  <c r="A399" i="19"/>
  <c r="A400" i="19"/>
  <c r="A401" i="19"/>
  <c r="A402" i="19"/>
  <c r="A403" i="19"/>
  <c r="A404" i="19"/>
  <c r="A405" i="19"/>
  <c r="A406" i="19"/>
  <c r="A407" i="19"/>
  <c r="A408" i="19"/>
  <c r="A409" i="19"/>
  <c r="A410" i="19"/>
  <c r="A411" i="19"/>
  <c r="A412" i="19"/>
  <c r="A413" i="19"/>
  <c r="A414" i="19"/>
  <c r="A415" i="19"/>
  <c r="A416" i="19"/>
  <c r="A417" i="19"/>
  <c r="A418" i="19"/>
  <c r="A419" i="19"/>
  <c r="A420" i="19"/>
  <c r="A421" i="19"/>
  <c r="A422" i="19"/>
  <c r="A423" i="19"/>
  <c r="A424" i="19"/>
  <c r="A425" i="19"/>
  <c r="A426" i="19"/>
  <c r="A427" i="19"/>
  <c r="A428" i="19"/>
  <c r="A429" i="19"/>
  <c r="A430" i="19"/>
  <c r="A431" i="19"/>
  <c r="A432" i="19"/>
  <c r="A433" i="19"/>
  <c r="A434" i="19"/>
  <c r="A435" i="19"/>
  <c r="A436" i="19"/>
  <c r="A437" i="19"/>
  <c r="A438" i="19"/>
  <c r="A439" i="19"/>
  <c r="A440" i="19"/>
  <c r="A441" i="19"/>
  <c r="A442" i="19"/>
  <c r="A443" i="19"/>
  <c r="A444" i="19"/>
  <c r="A445" i="19"/>
  <c r="A446" i="19"/>
  <c r="A447" i="19"/>
  <c r="A448" i="19"/>
  <c r="A449" i="19"/>
  <c r="A450" i="19"/>
  <c r="A451" i="19"/>
  <c r="A452" i="19"/>
  <c r="A453" i="19"/>
  <c r="A454" i="19"/>
  <c r="A455" i="19"/>
  <c r="A456" i="19"/>
  <c r="A457" i="19"/>
  <c r="A458" i="19"/>
  <c r="A459" i="19"/>
  <c r="A460" i="19"/>
  <c r="A461" i="19"/>
  <c r="A462" i="19"/>
  <c r="A463" i="19"/>
  <c r="A464" i="19"/>
  <c r="A465" i="19"/>
  <c r="A466" i="19"/>
  <c r="A467" i="19"/>
  <c r="A468" i="19"/>
  <c r="A469" i="19"/>
  <c r="A470" i="19"/>
  <c r="A471" i="19"/>
  <c r="A472" i="19"/>
  <c r="A473" i="19"/>
  <c r="A474" i="19"/>
  <c r="A475" i="19"/>
  <c r="A476" i="19"/>
  <c r="A477" i="19"/>
  <c r="A478" i="19"/>
  <c r="A479" i="19"/>
  <c r="A480" i="19"/>
  <c r="A481" i="19"/>
  <c r="A482" i="19"/>
  <c r="A483" i="19"/>
  <c r="A484" i="19"/>
  <c r="A485" i="19"/>
  <c r="A486" i="19"/>
  <c r="A487" i="19"/>
  <c r="A488" i="19"/>
  <c r="A489" i="19"/>
  <c r="A490" i="19"/>
  <c r="A491" i="19"/>
  <c r="A492" i="19"/>
  <c r="A493" i="19"/>
  <c r="A494" i="19"/>
  <c r="A495" i="19"/>
  <c r="A496" i="19"/>
  <c r="A497" i="19"/>
  <c r="A498" i="19"/>
  <c r="A499" i="19"/>
  <c r="A500" i="19"/>
  <c r="A501" i="19"/>
  <c r="A502" i="19"/>
  <c r="A503" i="19"/>
  <c r="A504" i="19"/>
  <c r="A505" i="19"/>
  <c r="A506" i="19"/>
  <c r="A507" i="19"/>
  <c r="A508" i="19"/>
  <c r="A509" i="19"/>
  <c r="A510" i="19"/>
  <c r="A511" i="19"/>
  <c r="A512" i="19"/>
  <c r="A513" i="19"/>
  <c r="A514" i="19"/>
  <c r="A515" i="19"/>
  <c r="A516" i="19"/>
  <c r="A517" i="19"/>
  <c r="A518" i="19"/>
  <c r="A519" i="19"/>
  <c r="A520" i="19"/>
  <c r="A521" i="19"/>
  <c r="A522" i="19"/>
  <c r="A523" i="19"/>
  <c r="A524" i="19"/>
  <c r="A525" i="19"/>
  <c r="A526" i="19"/>
  <c r="A527" i="19"/>
  <c r="A528" i="19"/>
  <c r="A529" i="19"/>
  <c r="A530" i="19"/>
  <c r="A531" i="19"/>
  <c r="A532" i="19"/>
  <c r="A533" i="19"/>
  <c r="A534" i="19"/>
  <c r="A535" i="19"/>
  <c r="A536" i="19"/>
  <c r="A537" i="19"/>
  <c r="A538" i="19"/>
  <c r="A539" i="19"/>
  <c r="A540" i="19"/>
  <c r="A541" i="19"/>
  <c r="A542" i="19"/>
  <c r="A543" i="19"/>
  <c r="A544" i="19"/>
  <c r="A545" i="19"/>
  <c r="A546" i="19"/>
  <c r="A547" i="19"/>
  <c r="A548" i="19"/>
  <c r="A549" i="19"/>
  <c r="A550" i="19"/>
  <c r="A551" i="19"/>
  <c r="A552" i="19"/>
  <c r="A553" i="19"/>
  <c r="A554" i="19"/>
  <c r="A555" i="19"/>
  <c r="A556" i="19"/>
  <c r="A557" i="19"/>
  <c r="A558" i="19"/>
  <c r="A559" i="19"/>
  <c r="A560" i="19"/>
  <c r="A561" i="19"/>
  <c r="A562" i="19"/>
  <c r="A563" i="19"/>
  <c r="A564" i="19"/>
  <c r="A565" i="19"/>
  <c r="A566" i="19"/>
  <c r="A567" i="19"/>
  <c r="A568" i="19"/>
  <c r="A569" i="19"/>
  <c r="A570" i="19"/>
  <c r="A571" i="19"/>
  <c r="A572" i="19"/>
  <c r="A573" i="19"/>
  <c r="A574" i="19"/>
  <c r="A575" i="19"/>
  <c r="A576" i="19"/>
  <c r="A577" i="19"/>
  <c r="A578" i="19"/>
  <c r="A579" i="19"/>
  <c r="A580" i="19"/>
  <c r="A581" i="19"/>
  <c r="A582" i="19"/>
  <c r="A583" i="19"/>
  <c r="A584" i="19"/>
  <c r="A585" i="19"/>
  <c r="A586" i="19"/>
  <c r="A587" i="19"/>
  <c r="A588" i="19"/>
  <c r="A589" i="19"/>
  <c r="A590" i="19"/>
  <c r="A591" i="19"/>
  <c r="A592" i="19"/>
  <c r="A593" i="19"/>
  <c r="A594" i="19"/>
  <c r="A595" i="19"/>
  <c r="A596" i="19"/>
  <c r="A597" i="19"/>
  <c r="A598" i="19"/>
  <c r="A599" i="19"/>
  <c r="A600" i="19"/>
  <c r="A601" i="19"/>
  <c r="A602" i="19"/>
  <c r="A603" i="19"/>
  <c r="A604" i="19"/>
  <c r="A605" i="19"/>
  <c r="A606" i="19"/>
  <c r="A607" i="19"/>
  <c r="A608" i="19"/>
  <c r="A609" i="19"/>
  <c r="A610" i="19"/>
  <c r="A611" i="19"/>
  <c r="A612" i="19"/>
  <c r="A613" i="19"/>
  <c r="A614" i="19"/>
  <c r="A615" i="19"/>
  <c r="A616" i="19"/>
  <c r="A617" i="19"/>
  <c r="A618" i="19"/>
  <c r="A619" i="19"/>
  <c r="A620" i="19"/>
  <c r="A621" i="19"/>
  <c r="A622" i="19"/>
  <c r="A623" i="19"/>
  <c r="A624" i="19"/>
  <c r="A625" i="19"/>
  <c r="A626" i="19"/>
  <c r="A627" i="19"/>
  <c r="A628" i="19"/>
  <c r="A629" i="19"/>
  <c r="A630" i="19"/>
  <c r="A631" i="19"/>
  <c r="A632" i="19"/>
  <c r="A633" i="19"/>
  <c r="A634" i="19"/>
  <c r="A635" i="19"/>
  <c r="A636" i="19"/>
  <c r="A637" i="19"/>
  <c r="A638" i="19"/>
  <c r="A639" i="19"/>
  <c r="A640" i="19"/>
  <c r="A641" i="19"/>
  <c r="A642" i="19"/>
  <c r="A643" i="19"/>
  <c r="A644" i="19"/>
  <c r="A645" i="19"/>
  <c r="A646" i="19"/>
  <c r="A647" i="19"/>
  <c r="A648" i="19"/>
  <c r="A649" i="19"/>
  <c r="A650" i="19"/>
  <c r="A651" i="19"/>
  <c r="A652" i="19"/>
  <c r="A653" i="19"/>
  <c r="A654" i="19"/>
  <c r="A655" i="19"/>
  <c r="A656" i="19"/>
  <c r="A657" i="19"/>
  <c r="A658" i="19"/>
  <c r="A659" i="19"/>
  <c r="A660" i="19"/>
  <c r="A661" i="19"/>
  <c r="A662" i="19"/>
  <c r="A663" i="19"/>
  <c r="A664" i="19"/>
  <c r="A665" i="19"/>
  <c r="A666" i="19"/>
  <c r="A667" i="19"/>
  <c r="A668" i="19"/>
  <c r="A669" i="19"/>
  <c r="A670" i="19"/>
  <c r="A671" i="19"/>
  <c r="A672" i="19"/>
  <c r="A673" i="19"/>
  <c r="A674" i="19"/>
  <c r="A675" i="19"/>
  <c r="A676" i="19"/>
  <c r="A677" i="19"/>
  <c r="A678" i="19"/>
  <c r="A679" i="19"/>
  <c r="A680" i="19"/>
  <c r="A681" i="19"/>
  <c r="A682" i="19"/>
  <c r="A683" i="19"/>
  <c r="A684" i="19"/>
  <c r="A685" i="19"/>
  <c r="A686" i="19"/>
  <c r="A687" i="19"/>
  <c r="A688" i="19"/>
  <c r="A689" i="19"/>
  <c r="A690" i="19"/>
  <c r="A691" i="19"/>
  <c r="A692" i="19"/>
  <c r="A693" i="19"/>
  <c r="A694" i="19"/>
  <c r="A695" i="19"/>
  <c r="A696" i="19"/>
  <c r="A697" i="19"/>
  <c r="A698" i="19"/>
  <c r="A699" i="19"/>
  <c r="A700" i="19"/>
  <c r="A701" i="19"/>
  <c r="A702" i="19"/>
  <c r="A703" i="19"/>
  <c r="A704" i="19"/>
  <c r="A705" i="19"/>
  <c r="A706" i="19"/>
  <c r="A707" i="19"/>
  <c r="A708" i="19"/>
  <c r="A709" i="19"/>
  <c r="A710" i="19"/>
  <c r="A711" i="19"/>
  <c r="A712" i="19"/>
  <c r="A713" i="19"/>
  <c r="A714" i="19"/>
  <c r="A715" i="19"/>
  <c r="A716" i="19"/>
  <c r="A717" i="19"/>
  <c r="A718" i="19"/>
  <c r="A719" i="19"/>
  <c r="A720" i="19"/>
  <c r="A721" i="19"/>
  <c r="A722" i="19"/>
  <c r="A723" i="19"/>
  <c r="A724" i="19"/>
  <c r="A725" i="19"/>
  <c r="A726" i="19"/>
  <c r="A727" i="19"/>
  <c r="A728" i="19"/>
  <c r="A729" i="19"/>
  <c r="A730" i="19"/>
  <c r="A731" i="19"/>
  <c r="A732" i="19"/>
  <c r="A733" i="19"/>
  <c r="A734" i="19"/>
  <c r="A735" i="19"/>
  <c r="A736" i="19"/>
  <c r="A737" i="19"/>
  <c r="A738" i="19"/>
  <c r="A739" i="19"/>
  <c r="A740" i="19"/>
  <c r="A741" i="19"/>
  <c r="A742" i="19"/>
  <c r="A743" i="19"/>
  <c r="A744" i="19"/>
  <c r="A745" i="19"/>
  <c r="A746" i="19"/>
  <c r="A747" i="19"/>
  <c r="A748" i="19"/>
  <c r="A749" i="19"/>
  <c r="A750" i="19"/>
  <c r="A751" i="19"/>
  <c r="A752" i="19"/>
  <c r="A753" i="19"/>
  <c r="A754" i="19"/>
  <c r="A755" i="19"/>
  <c r="A756" i="19"/>
  <c r="A757" i="19"/>
  <c r="A758" i="19"/>
  <c r="A759" i="19"/>
  <c r="A760" i="19"/>
  <c r="A761" i="19"/>
  <c r="A762" i="19"/>
  <c r="A763" i="19"/>
  <c r="A764" i="19"/>
  <c r="A765" i="19"/>
  <c r="A766" i="19"/>
  <c r="A767" i="19"/>
  <c r="A768" i="19"/>
  <c r="A769" i="19"/>
  <c r="A770" i="19"/>
  <c r="A771" i="19"/>
  <c r="A772" i="19"/>
  <c r="A773" i="19"/>
  <c r="A774" i="19"/>
  <c r="A775" i="19"/>
  <c r="A776" i="19"/>
  <c r="A777" i="19"/>
  <c r="A778" i="19"/>
  <c r="A779" i="19"/>
  <c r="A780" i="19"/>
  <c r="A781" i="19"/>
  <c r="A782" i="19"/>
  <c r="A783" i="19"/>
  <c r="A784" i="19"/>
  <c r="A785" i="19"/>
  <c r="A786" i="19"/>
  <c r="A787" i="19"/>
  <c r="A788" i="19"/>
  <c r="A789" i="19"/>
  <c r="A790" i="19"/>
  <c r="A791" i="19"/>
  <c r="A792" i="19"/>
  <c r="A793" i="19"/>
  <c r="A794" i="19"/>
  <c r="A795" i="19"/>
  <c r="A796" i="19"/>
  <c r="A797" i="19"/>
  <c r="A798" i="19"/>
  <c r="A799" i="19"/>
  <c r="A800" i="19"/>
  <c r="A801" i="19"/>
  <c r="A802" i="19"/>
  <c r="A803" i="19"/>
  <c r="A804" i="19"/>
  <c r="A805" i="19"/>
  <c r="A806" i="19"/>
  <c r="A807" i="19"/>
  <c r="A808" i="19"/>
  <c r="A809" i="19"/>
  <c r="A810" i="19"/>
  <c r="A811" i="19"/>
  <c r="A812" i="19"/>
  <c r="A813" i="19"/>
  <c r="A814" i="19"/>
  <c r="A815" i="19"/>
  <c r="A816" i="19"/>
  <c r="A817" i="19"/>
  <c r="A818" i="19"/>
  <c r="A819" i="19"/>
  <c r="A820" i="19"/>
  <c r="A821" i="19"/>
  <c r="A822" i="19"/>
  <c r="A823" i="19"/>
  <c r="A824" i="19"/>
  <c r="A825" i="19"/>
  <c r="A826" i="19"/>
  <c r="A827" i="19"/>
  <c r="A828" i="19"/>
  <c r="A829" i="19"/>
  <c r="A830" i="19"/>
  <c r="A831" i="19"/>
  <c r="A832" i="19"/>
  <c r="A833" i="19"/>
  <c r="A834" i="19"/>
  <c r="A835" i="19"/>
  <c r="A836" i="19"/>
  <c r="A837" i="19"/>
  <c r="A838" i="19"/>
  <c r="A839" i="19"/>
  <c r="A840" i="19"/>
  <c r="A841" i="19"/>
  <c r="A842" i="19"/>
  <c r="A843" i="19"/>
  <c r="A844" i="19"/>
  <c r="A845" i="19"/>
  <c r="A846" i="19"/>
  <c r="A847" i="19"/>
  <c r="A848" i="19"/>
  <c r="A849" i="19"/>
  <c r="A850" i="19"/>
  <c r="A851" i="19"/>
  <c r="A852" i="19"/>
  <c r="A853" i="19"/>
  <c r="A854" i="19"/>
  <c r="A855" i="19"/>
  <c r="A856" i="19"/>
  <c r="A857" i="19"/>
  <c r="A858" i="19"/>
  <c r="A859" i="19"/>
  <c r="A860" i="19"/>
  <c r="A861" i="19"/>
  <c r="A862" i="19"/>
  <c r="A863" i="19"/>
  <c r="A864" i="19"/>
  <c r="A865" i="19"/>
  <c r="A866" i="19"/>
  <c r="A867" i="19"/>
  <c r="A868" i="19"/>
  <c r="A869" i="19"/>
  <c r="A870" i="19"/>
  <c r="A871" i="19"/>
  <c r="A872" i="19"/>
  <c r="A873" i="19"/>
  <c r="A874" i="19"/>
  <c r="A875" i="19"/>
  <c r="A876" i="19"/>
  <c r="A877" i="19"/>
  <c r="A878" i="19"/>
  <c r="A879" i="19"/>
  <c r="A880" i="19"/>
  <c r="A881" i="19"/>
  <c r="A882" i="19"/>
  <c r="A883" i="19"/>
  <c r="A884" i="19"/>
  <c r="A885" i="19"/>
  <c r="A886" i="19"/>
  <c r="A887" i="19"/>
  <c r="A888" i="19"/>
  <c r="A889" i="19"/>
  <c r="A890" i="19"/>
  <c r="A891" i="19"/>
  <c r="A892" i="19"/>
  <c r="A893" i="19"/>
  <c r="A894" i="19"/>
  <c r="A895" i="19"/>
  <c r="A896" i="19"/>
  <c r="A897" i="19"/>
  <c r="A898" i="19"/>
  <c r="A899" i="19"/>
  <c r="A900" i="19"/>
  <c r="A901" i="19"/>
  <c r="A902" i="19"/>
  <c r="A903" i="19"/>
  <c r="A904" i="19"/>
  <c r="A905" i="19"/>
  <c r="A906" i="19"/>
  <c r="A907" i="19"/>
  <c r="A908" i="19"/>
  <c r="A909" i="19"/>
  <c r="A910" i="19"/>
  <c r="A911" i="19"/>
  <c r="A912" i="19"/>
  <c r="A913" i="19"/>
  <c r="A914" i="19"/>
  <c r="A915" i="19"/>
  <c r="A916" i="19"/>
  <c r="A917" i="19"/>
  <c r="A918" i="19"/>
  <c r="A919" i="19"/>
  <c r="A920" i="19"/>
  <c r="A921" i="19"/>
  <c r="A922" i="19"/>
  <c r="A923" i="19"/>
  <c r="A924" i="19"/>
  <c r="A925" i="19"/>
  <c r="A926" i="19"/>
  <c r="A927" i="19"/>
  <c r="A928" i="19"/>
  <c r="A929" i="19"/>
  <c r="A930" i="19"/>
  <c r="A931" i="19"/>
  <c r="A932" i="19"/>
  <c r="A933" i="19"/>
  <c r="A934" i="19"/>
  <c r="A935" i="19"/>
  <c r="A936" i="19"/>
  <c r="A937" i="19"/>
  <c r="A938" i="19"/>
  <c r="A939" i="19"/>
  <c r="A940" i="19"/>
  <c r="A941" i="19"/>
  <c r="A942" i="19"/>
  <c r="A943" i="19"/>
  <c r="A944" i="19"/>
  <c r="A945" i="19"/>
  <c r="A946" i="19"/>
  <c r="A947" i="19"/>
  <c r="A948" i="19"/>
  <c r="A949" i="19"/>
  <c r="A950" i="19"/>
  <c r="A951" i="19"/>
  <c r="A952" i="19"/>
  <c r="A953" i="19"/>
  <c r="A954" i="19"/>
  <c r="A955" i="19"/>
  <c r="A956" i="19"/>
  <c r="A957" i="19"/>
  <c r="A958" i="19"/>
  <c r="A959" i="19"/>
  <c r="A960" i="19"/>
  <c r="A961" i="19"/>
  <c r="A962" i="19"/>
  <c r="A963" i="19"/>
  <c r="A964" i="19"/>
  <c r="A965" i="19"/>
  <c r="A966" i="19"/>
  <c r="A967" i="19"/>
  <c r="A968" i="19"/>
  <c r="A969" i="19"/>
  <c r="A970" i="19"/>
  <c r="A971" i="19"/>
  <c r="A972" i="19"/>
  <c r="A973" i="19"/>
  <c r="A974" i="19"/>
  <c r="A975" i="19"/>
  <c r="A976" i="19"/>
  <c r="A977" i="19"/>
  <c r="A978" i="19"/>
  <c r="A979" i="19"/>
  <c r="A980" i="19"/>
  <c r="A981" i="19"/>
  <c r="A982" i="19"/>
  <c r="A983" i="19"/>
  <c r="A984" i="19"/>
  <c r="A985" i="19"/>
  <c r="A986" i="19"/>
  <c r="A987" i="19"/>
  <c r="A988" i="19"/>
  <c r="A989" i="19"/>
  <c r="A990" i="19"/>
  <c r="A991" i="19"/>
  <c r="A992" i="19"/>
  <c r="A993" i="19"/>
  <c r="A994" i="19"/>
  <c r="A995" i="19"/>
  <c r="A996" i="19"/>
  <c r="A997" i="19"/>
  <c r="A998" i="19"/>
  <c r="A999" i="19"/>
  <c r="A1000" i="19"/>
  <c r="A1001" i="19"/>
  <c r="A1002" i="19"/>
  <c r="A1003" i="19"/>
  <c r="A1004" i="19"/>
  <c r="A1005" i="19"/>
  <c r="A1006" i="19"/>
  <c r="A1007" i="19"/>
  <c r="A1008" i="19"/>
  <c r="A1009" i="19"/>
  <c r="A1010" i="19"/>
  <c r="A1011" i="19"/>
  <c r="A1012" i="19"/>
  <c r="A1013" i="19"/>
  <c r="A1014" i="19"/>
  <c r="A1015" i="19"/>
  <c r="A1016" i="19"/>
  <c r="A1017" i="19"/>
  <c r="A1018" i="19"/>
  <c r="A1019" i="19"/>
  <c r="A1020" i="19"/>
  <c r="A1021" i="19"/>
  <c r="A1022" i="19"/>
  <c r="A1023" i="19"/>
  <c r="A1024" i="19"/>
  <c r="A1025" i="19"/>
  <c r="A1026" i="19"/>
  <c r="A1027" i="19"/>
  <c r="A1028" i="19"/>
  <c r="A1029" i="19"/>
  <c r="A1030" i="19"/>
  <c r="A1031" i="19"/>
  <c r="A1032" i="19"/>
  <c r="A1033" i="19"/>
  <c r="A1034" i="19"/>
  <c r="A1035" i="19"/>
  <c r="A1036" i="19"/>
  <c r="A1037" i="19"/>
  <c r="A1038" i="19"/>
  <c r="A1039" i="19"/>
  <c r="A1040" i="19"/>
  <c r="A1041" i="19"/>
  <c r="A1042" i="19"/>
  <c r="A1043" i="19"/>
  <c r="A1044" i="19"/>
  <c r="A1045" i="19"/>
  <c r="A1046" i="19"/>
  <c r="A1047" i="19"/>
  <c r="A1048" i="19"/>
  <c r="A1049" i="19"/>
  <c r="A1050" i="19"/>
  <c r="A1051" i="19"/>
  <c r="A1052" i="19"/>
  <c r="A1053" i="19"/>
  <c r="A1054" i="19"/>
  <c r="A1055" i="19"/>
  <c r="A1056" i="19"/>
  <c r="A1057" i="19"/>
  <c r="A1058" i="19"/>
  <c r="A1059" i="19"/>
  <c r="A1060" i="19"/>
  <c r="A1061" i="19"/>
  <c r="A1062" i="19"/>
  <c r="A1063" i="19"/>
  <c r="A1064" i="19"/>
  <c r="A1065" i="19"/>
  <c r="A1066" i="19"/>
  <c r="A1067" i="19"/>
  <c r="A1068" i="19"/>
  <c r="A1069" i="19"/>
  <c r="A1070" i="19"/>
  <c r="A1071" i="19"/>
  <c r="A1072" i="19"/>
  <c r="A1073" i="19"/>
  <c r="A1074" i="19"/>
  <c r="A1075" i="19"/>
  <c r="A1076" i="19"/>
  <c r="A1077" i="19"/>
  <c r="A1078" i="19"/>
  <c r="A1079" i="19"/>
  <c r="A1080" i="19"/>
  <c r="A1081" i="19"/>
  <c r="A1082" i="19"/>
  <c r="A1083" i="19"/>
  <c r="A1084" i="19"/>
  <c r="A1085" i="19"/>
  <c r="A1086" i="19"/>
  <c r="A1087" i="19"/>
  <c r="A1088" i="19"/>
  <c r="A1089" i="19"/>
  <c r="A1090" i="19"/>
  <c r="A1091" i="19"/>
  <c r="A1092" i="19"/>
  <c r="A1093" i="19"/>
  <c r="A1094" i="19"/>
  <c r="A1095" i="19"/>
  <c r="A1096" i="19"/>
  <c r="A1097" i="19"/>
  <c r="A1098" i="19"/>
  <c r="A1099" i="19"/>
  <c r="A1100" i="19"/>
  <c r="A1101" i="19"/>
  <c r="A1102" i="19"/>
  <c r="A1103" i="19"/>
  <c r="A1104" i="19"/>
  <c r="A1105" i="19"/>
  <c r="A1106" i="19"/>
  <c r="A1107" i="19"/>
  <c r="A1108" i="19"/>
  <c r="A1109" i="19"/>
  <c r="A1110" i="19"/>
  <c r="A1111" i="19"/>
  <c r="A1112" i="19"/>
  <c r="A1113" i="19"/>
  <c r="A1114" i="19"/>
  <c r="A1115" i="19"/>
  <c r="A1116" i="19"/>
  <c r="A1117" i="19"/>
  <c r="A1118" i="19"/>
  <c r="A1119" i="19"/>
  <c r="A1120" i="19"/>
  <c r="A1121" i="19"/>
  <c r="A1122" i="19"/>
  <c r="A1123" i="19"/>
  <c r="A1124" i="19"/>
  <c r="A1125" i="19"/>
  <c r="A1126" i="19"/>
  <c r="A1127" i="19"/>
  <c r="A1128" i="19"/>
  <c r="A1129" i="19"/>
  <c r="A1130" i="19"/>
  <c r="A1131" i="19"/>
  <c r="A1132" i="19"/>
  <c r="A1133" i="19"/>
  <c r="A1134" i="19"/>
  <c r="A1135" i="19"/>
  <c r="A1136" i="19"/>
  <c r="A1137" i="19"/>
  <c r="A1138" i="19"/>
  <c r="A1139" i="19"/>
  <c r="A1140" i="19"/>
  <c r="A1141" i="19"/>
  <c r="A1142" i="19"/>
  <c r="A1143" i="19"/>
  <c r="A1144" i="19"/>
  <c r="A1145" i="19"/>
  <c r="A1146" i="19"/>
  <c r="A1147" i="19"/>
  <c r="A1148" i="19"/>
  <c r="A1149" i="19"/>
  <c r="A1150" i="19"/>
  <c r="A1151" i="19"/>
  <c r="A1152" i="19"/>
  <c r="A1153" i="19"/>
  <c r="A1154" i="19"/>
  <c r="A1155" i="19"/>
  <c r="A1156" i="19"/>
  <c r="A1157" i="19"/>
  <c r="A1158" i="19"/>
  <c r="A1159" i="19"/>
  <c r="A1160" i="19"/>
  <c r="A1161" i="19"/>
  <c r="A1162" i="19"/>
  <c r="A1163" i="19"/>
  <c r="A1164" i="19"/>
  <c r="A1165" i="19"/>
  <c r="A1166" i="19"/>
  <c r="A1167" i="19"/>
  <c r="A1168" i="19"/>
  <c r="A1169" i="19"/>
  <c r="A1170" i="19"/>
  <c r="A1171" i="19"/>
  <c r="A1172" i="19"/>
  <c r="A1173" i="19"/>
  <c r="A1174" i="19"/>
  <c r="A1175" i="19"/>
  <c r="A1176" i="19"/>
  <c r="A1177" i="19"/>
  <c r="A1178" i="19"/>
  <c r="A1179" i="19"/>
  <c r="A1180" i="19"/>
  <c r="A1181" i="19"/>
  <c r="A1182" i="19"/>
  <c r="A1183" i="19"/>
  <c r="A1184" i="19"/>
  <c r="A1185" i="19"/>
  <c r="A1186" i="19"/>
  <c r="A1187" i="19"/>
  <c r="A1188" i="19"/>
  <c r="A1189" i="19"/>
  <c r="A1190" i="19"/>
  <c r="A1191" i="19"/>
  <c r="A1192" i="19"/>
  <c r="A1193" i="19"/>
  <c r="A1194" i="19"/>
  <c r="A1195" i="19"/>
  <c r="A1196" i="19"/>
  <c r="A1197" i="19"/>
  <c r="A1198" i="19"/>
  <c r="A1199" i="19"/>
  <c r="A1200" i="19"/>
  <c r="A1201" i="19"/>
  <c r="A1202" i="19"/>
  <c r="A1203" i="19"/>
  <c r="A1204" i="19"/>
  <c r="A1205" i="19"/>
  <c r="A1206" i="19"/>
  <c r="A1207" i="19"/>
  <c r="A1208" i="19"/>
  <c r="A1209" i="19"/>
  <c r="A1210" i="19"/>
  <c r="A1211" i="19"/>
  <c r="A1212" i="19"/>
  <c r="A1213" i="19"/>
  <c r="A1214" i="19"/>
  <c r="A1215" i="19"/>
  <c r="A1216" i="19"/>
  <c r="A1217" i="19"/>
  <c r="A1218" i="19"/>
  <c r="A1219" i="19"/>
  <c r="A1220" i="19"/>
  <c r="A1221" i="19"/>
  <c r="A1222" i="19"/>
  <c r="A1223" i="19"/>
  <c r="A1224" i="19"/>
  <c r="A1225" i="19"/>
  <c r="A1226" i="19"/>
  <c r="A1227" i="19"/>
  <c r="A1228" i="19"/>
  <c r="A1229" i="19"/>
  <c r="A1230" i="19"/>
  <c r="A1231" i="19"/>
  <c r="A1232" i="19"/>
  <c r="A1233" i="19"/>
  <c r="A1234" i="19"/>
  <c r="A1235" i="19"/>
  <c r="A1236" i="19"/>
  <c r="A1237" i="19"/>
  <c r="A1238" i="19"/>
  <c r="A1239" i="19"/>
  <c r="A1240" i="19"/>
  <c r="A1241" i="19"/>
  <c r="A1242" i="19"/>
  <c r="A1243" i="19"/>
  <c r="A1244" i="19"/>
  <c r="A1245" i="19"/>
  <c r="A1246" i="19"/>
  <c r="A1247" i="19"/>
  <c r="A1248" i="19"/>
  <c r="A1249" i="19"/>
  <c r="A1250" i="19"/>
  <c r="A1251" i="19"/>
  <c r="A1252" i="19"/>
  <c r="A1253" i="19"/>
  <c r="A1254" i="19"/>
  <c r="A1255" i="19"/>
  <c r="A1256" i="19"/>
  <c r="A1257" i="19"/>
  <c r="A1258" i="19"/>
  <c r="A1259" i="19"/>
  <c r="A1260" i="19"/>
  <c r="A1261" i="19"/>
  <c r="A1262" i="19"/>
  <c r="A1263" i="19"/>
  <c r="A1264" i="19"/>
  <c r="A1265" i="19"/>
  <c r="A1266" i="19"/>
  <c r="A1267" i="19"/>
  <c r="A1268" i="19"/>
  <c r="A1269" i="19"/>
  <c r="A1270" i="19"/>
  <c r="A1271" i="19"/>
  <c r="A1272" i="19"/>
  <c r="A1273" i="19"/>
  <c r="A1274" i="19"/>
  <c r="A1275" i="19"/>
  <c r="A1276" i="19"/>
  <c r="A1277" i="19"/>
  <c r="A1278" i="19"/>
  <c r="A1279" i="19"/>
  <c r="A1280" i="19"/>
  <c r="A1281" i="19"/>
  <c r="A1282" i="19"/>
  <c r="A1283" i="19"/>
  <c r="A1284" i="19"/>
  <c r="A1285" i="19"/>
  <c r="A1286" i="19"/>
  <c r="A1287" i="19"/>
  <c r="A1288" i="19"/>
  <c r="A1289" i="19"/>
  <c r="A1290" i="19"/>
  <c r="A1291" i="19"/>
  <c r="A1292" i="19"/>
  <c r="A1293" i="19"/>
  <c r="A1294" i="19"/>
  <c r="A1295" i="19"/>
  <c r="A1296" i="19"/>
  <c r="A1297" i="19"/>
  <c r="A1298" i="19"/>
  <c r="A1299" i="19"/>
  <c r="A1300" i="19"/>
  <c r="A1301" i="19"/>
  <c r="A1302" i="19"/>
  <c r="A1303" i="19"/>
  <c r="A1304" i="19"/>
  <c r="A1305" i="19"/>
  <c r="A1306" i="19"/>
  <c r="A1307" i="19"/>
  <c r="A1308" i="19"/>
  <c r="A1309" i="19"/>
  <c r="A1310" i="19"/>
  <c r="A1311" i="19"/>
  <c r="A1312" i="19"/>
  <c r="A1313" i="19"/>
  <c r="A1314" i="19"/>
  <c r="A1315" i="19"/>
  <c r="A1316" i="19"/>
  <c r="A1317" i="19"/>
  <c r="A1318" i="19"/>
  <c r="A1319" i="19"/>
  <c r="A1320" i="19"/>
  <c r="A1321" i="19"/>
  <c r="A1322" i="19"/>
  <c r="A1323" i="19"/>
  <c r="A1324" i="19"/>
  <c r="A1325" i="19"/>
  <c r="A1326" i="19"/>
  <c r="A1327" i="19"/>
  <c r="A1328" i="19"/>
  <c r="A1329" i="19"/>
  <c r="A1330" i="19"/>
  <c r="A1331" i="19"/>
  <c r="A1332" i="19"/>
  <c r="A1333" i="19"/>
  <c r="A1334" i="19"/>
  <c r="A1335" i="19"/>
  <c r="A1336" i="19"/>
  <c r="A1337" i="19"/>
  <c r="A1338" i="19"/>
  <c r="A1339" i="19"/>
  <c r="A1340" i="19"/>
  <c r="A1341" i="19"/>
  <c r="A1342" i="19"/>
  <c r="A1343" i="19"/>
  <c r="A1344" i="19"/>
  <c r="A1345" i="19"/>
  <c r="A1346" i="19"/>
  <c r="A1347" i="19"/>
  <c r="A1348" i="19"/>
  <c r="A1349" i="19"/>
  <c r="A1350" i="19"/>
  <c r="A1351" i="19"/>
  <c r="A1352" i="19"/>
  <c r="A1353" i="19"/>
  <c r="A1354" i="19"/>
  <c r="A1355" i="19"/>
  <c r="A1356" i="19"/>
  <c r="A1357" i="19"/>
  <c r="A1358" i="19"/>
  <c r="A1359" i="19"/>
  <c r="A1360" i="19"/>
  <c r="A1361" i="19"/>
  <c r="A1362" i="19"/>
  <c r="A1363" i="19"/>
  <c r="A1364" i="19"/>
  <c r="A1365" i="19"/>
  <c r="A1366" i="19"/>
  <c r="A1367" i="19"/>
  <c r="A1368" i="19"/>
  <c r="A1369" i="19"/>
  <c r="A1370" i="19"/>
  <c r="A1371" i="19"/>
  <c r="A1372" i="19"/>
  <c r="A1373" i="19"/>
  <c r="A1374" i="19"/>
  <c r="A1375" i="19"/>
  <c r="A1376" i="19"/>
  <c r="A1377" i="19"/>
  <c r="A1378" i="19"/>
  <c r="A1379" i="19"/>
  <c r="A1380" i="19"/>
  <c r="A1381" i="19"/>
  <c r="A1382" i="19"/>
  <c r="A1383" i="19"/>
  <c r="A1384" i="19"/>
  <c r="A1385" i="19"/>
  <c r="A1386" i="19"/>
  <c r="A1387" i="19"/>
  <c r="A1388" i="19"/>
  <c r="A1389" i="19"/>
  <c r="A1390" i="19"/>
  <c r="A1391" i="19"/>
  <c r="A1392" i="19"/>
  <c r="A1393" i="19"/>
  <c r="A1394" i="19"/>
  <c r="A1395" i="19"/>
  <c r="A1396" i="19"/>
  <c r="A1397" i="19"/>
  <c r="A1398" i="19"/>
  <c r="A1399" i="19"/>
  <c r="A1400" i="19"/>
  <c r="A1401" i="19"/>
  <c r="A1402" i="19"/>
  <c r="A1403" i="19"/>
  <c r="A1404" i="19"/>
  <c r="A1405" i="19"/>
  <c r="A1406" i="19"/>
  <c r="A1407" i="19"/>
  <c r="A1408" i="19"/>
  <c r="A1409" i="19"/>
  <c r="A1410" i="19"/>
  <c r="A1411" i="19"/>
  <c r="A1412" i="19"/>
  <c r="A1413" i="19"/>
  <c r="A1414" i="19"/>
  <c r="A1415" i="19"/>
  <c r="A1416" i="19"/>
  <c r="A1417" i="19"/>
  <c r="A1418" i="19"/>
  <c r="A1419" i="19"/>
  <c r="A1420" i="19"/>
  <c r="A1421" i="19"/>
  <c r="A1422" i="19"/>
  <c r="A1423" i="19"/>
  <c r="A1424" i="19"/>
  <c r="A1425" i="19"/>
  <c r="A1426" i="19"/>
  <c r="A1427" i="19"/>
  <c r="A1428" i="19"/>
  <c r="A1429" i="19"/>
  <c r="A1430" i="19"/>
  <c r="A1431" i="19"/>
  <c r="A1432" i="19"/>
  <c r="A1433" i="19"/>
  <c r="A1434" i="19"/>
  <c r="A1435" i="19"/>
  <c r="A1436" i="19"/>
  <c r="A1437" i="19"/>
  <c r="A1438" i="19"/>
  <c r="A1439" i="19"/>
  <c r="A1440" i="19"/>
  <c r="A1441" i="19"/>
  <c r="A1442" i="19"/>
  <c r="A1443" i="19"/>
  <c r="A1444" i="19"/>
  <c r="A1445" i="19"/>
  <c r="A1446" i="19"/>
  <c r="A1447" i="19"/>
  <c r="A1448" i="19"/>
  <c r="A1449" i="19"/>
  <c r="A1450" i="19"/>
  <c r="A1451" i="19"/>
  <c r="A1452" i="19"/>
  <c r="A1453" i="19"/>
  <c r="A1454" i="19"/>
  <c r="A1455" i="19"/>
  <c r="A1456" i="19"/>
  <c r="A1457" i="19"/>
  <c r="A1458" i="19"/>
  <c r="A1459" i="19"/>
  <c r="A1460" i="19"/>
  <c r="A1461" i="19"/>
  <c r="A1462" i="19"/>
  <c r="A1463" i="19"/>
  <c r="A1464" i="19"/>
  <c r="A1465" i="19"/>
  <c r="A1466" i="19"/>
  <c r="A1467" i="19"/>
  <c r="A1468" i="19"/>
  <c r="A1469" i="19"/>
  <c r="A1470" i="19"/>
  <c r="A1471" i="19"/>
  <c r="A1472" i="19"/>
  <c r="A1473" i="19"/>
  <c r="A1474" i="19"/>
  <c r="A1475" i="19"/>
  <c r="A1476" i="19"/>
  <c r="A1477" i="19"/>
  <c r="A1478" i="19"/>
  <c r="A1479" i="19"/>
  <c r="A1480" i="19"/>
  <c r="A1481" i="19"/>
  <c r="A1482" i="19"/>
  <c r="A1483" i="19"/>
  <c r="A1484" i="19"/>
  <c r="A1485" i="19"/>
  <c r="A1486" i="19"/>
  <c r="A1487" i="19"/>
  <c r="A1488" i="19"/>
  <c r="A1489" i="19"/>
  <c r="A1490" i="19"/>
  <c r="A1491" i="19"/>
  <c r="A1492" i="19"/>
  <c r="A1493" i="19"/>
  <c r="A1494" i="19"/>
  <c r="A1495" i="19"/>
  <c r="A1496" i="19"/>
  <c r="A1497" i="19"/>
  <c r="A1498" i="19"/>
  <c r="A1499" i="19"/>
  <c r="A1500" i="19"/>
  <c r="A1501" i="19"/>
  <c r="A1502" i="19"/>
  <c r="A1503" i="19"/>
  <c r="A1504" i="19"/>
  <c r="A1505" i="19"/>
  <c r="A1506" i="19"/>
  <c r="A1507" i="19"/>
  <c r="A1508" i="19"/>
  <c r="A1509" i="19"/>
  <c r="A1510" i="19"/>
  <c r="A1511" i="19"/>
  <c r="A1512" i="19"/>
  <c r="A1513" i="19"/>
  <c r="J103" i="24" l="1"/>
  <c r="AH103" i="24"/>
  <c r="K104" i="24"/>
  <c r="AE107" i="20"/>
  <c r="F103" i="24"/>
  <c r="N103" i="24"/>
  <c r="V103" i="24"/>
  <c r="AD103" i="24"/>
  <c r="AL103" i="24"/>
  <c r="G104" i="24"/>
  <c r="O104" i="24"/>
  <c r="W104" i="24"/>
  <c r="AG104" i="24"/>
  <c r="F105" i="24"/>
  <c r="P105" i="24"/>
  <c r="Z105" i="24"/>
  <c r="AL105" i="24"/>
  <c r="I106" i="24"/>
  <c r="S106" i="24"/>
  <c r="AE106" i="24"/>
  <c r="B107" i="24"/>
  <c r="P107" i="24"/>
  <c r="AA107" i="24"/>
  <c r="H103" i="20"/>
  <c r="X103" i="20"/>
  <c r="AN103" i="20"/>
  <c r="Q104" i="20"/>
  <c r="AG104" i="20"/>
  <c r="J105" i="20"/>
  <c r="Z105" i="20"/>
  <c r="C106" i="20"/>
  <c r="S106" i="20"/>
  <c r="AI106" i="20"/>
  <c r="W107" i="20"/>
  <c r="G103" i="24"/>
  <c r="O103" i="24"/>
  <c r="W103" i="24"/>
  <c r="AE103" i="24"/>
  <c r="AM103" i="24"/>
  <c r="H104" i="24"/>
  <c r="P104" i="24"/>
  <c r="X104" i="24"/>
  <c r="AJ104" i="24"/>
  <c r="G105" i="24"/>
  <c r="Q105" i="24"/>
  <c r="AC105" i="24"/>
  <c r="AM105" i="24"/>
  <c r="J106" i="24"/>
  <c r="V106" i="24"/>
  <c r="AF106" i="24"/>
  <c r="C107" i="24"/>
  <c r="Q107" i="24"/>
  <c r="AB107" i="24"/>
  <c r="I103" i="20"/>
  <c r="Y103" i="20"/>
  <c r="B104" i="20"/>
  <c r="R104" i="20"/>
  <c r="AH104" i="20"/>
  <c r="K105" i="20"/>
  <c r="AA105" i="20"/>
  <c r="D106" i="20"/>
  <c r="T106" i="20"/>
  <c r="AJ106" i="20"/>
  <c r="AC107" i="20"/>
  <c r="H103" i="24"/>
  <c r="P103" i="24"/>
  <c r="X103" i="24"/>
  <c r="AF103" i="24"/>
  <c r="AN103" i="24"/>
  <c r="I104" i="24"/>
  <c r="Q104" i="24"/>
  <c r="Y104" i="24"/>
  <c r="AK104" i="24"/>
  <c r="H105" i="24"/>
  <c r="R105" i="24"/>
  <c r="AD105" i="24"/>
  <c r="AN105" i="24"/>
  <c r="K106" i="24"/>
  <c r="W106" i="24"/>
  <c r="AG106" i="24"/>
  <c r="D107" i="24"/>
  <c r="R107" i="24"/>
  <c r="AF107" i="24"/>
  <c r="K103" i="20"/>
  <c r="AA103" i="20"/>
  <c r="D104" i="20"/>
  <c r="T104" i="20"/>
  <c r="AJ104" i="20"/>
  <c r="M105" i="20"/>
  <c r="AC105" i="20"/>
  <c r="F106" i="20"/>
  <c r="V106" i="20"/>
  <c r="AL106" i="20"/>
  <c r="AH107" i="20"/>
  <c r="Z107" i="20"/>
  <c r="R107" i="20"/>
  <c r="J107" i="20"/>
  <c r="B107" i="20"/>
  <c r="AG106" i="20"/>
  <c r="Y106" i="20"/>
  <c r="Q106" i="20"/>
  <c r="I106" i="20"/>
  <c r="AN105" i="20"/>
  <c r="AF105" i="20"/>
  <c r="X105" i="20"/>
  <c r="P105" i="20"/>
  <c r="H105" i="20"/>
  <c r="AM104" i="20"/>
  <c r="AE104" i="20"/>
  <c r="W104" i="20"/>
  <c r="O104" i="20"/>
  <c r="G104" i="20"/>
  <c r="AL103" i="20"/>
  <c r="AD103" i="20"/>
  <c r="V103" i="20"/>
  <c r="N103" i="20"/>
  <c r="F103" i="20"/>
  <c r="AM107" i="24"/>
  <c r="AE107" i="24"/>
  <c r="W107" i="24"/>
  <c r="O107" i="24"/>
  <c r="G107" i="24"/>
  <c r="AG107" i="20"/>
  <c r="Y107" i="20"/>
  <c r="Q107" i="20"/>
  <c r="I107" i="20"/>
  <c r="AN106" i="20"/>
  <c r="AF106" i="20"/>
  <c r="X106" i="20"/>
  <c r="P106" i="20"/>
  <c r="H106" i="20"/>
  <c r="AM105" i="20"/>
  <c r="AE105" i="20"/>
  <c r="W105" i="20"/>
  <c r="O105" i="20"/>
  <c r="G105" i="20"/>
  <c r="AL104" i="20"/>
  <c r="AD104" i="20"/>
  <c r="V104" i="20"/>
  <c r="N104" i="20"/>
  <c r="F104" i="20"/>
  <c r="AK103" i="20"/>
  <c r="AC103" i="20"/>
  <c r="U103" i="20"/>
  <c r="M103" i="20"/>
  <c r="E103" i="20"/>
  <c r="AL107" i="24"/>
  <c r="AD107" i="24"/>
  <c r="V107" i="24"/>
  <c r="N107" i="24"/>
  <c r="F107" i="24"/>
  <c r="AK106" i="24"/>
  <c r="AC106" i="24"/>
  <c r="U106" i="24"/>
  <c r="M106" i="24"/>
  <c r="E106" i="24"/>
  <c r="AJ105" i="24"/>
  <c r="AB105" i="24"/>
  <c r="T105" i="24"/>
  <c r="L105" i="24"/>
  <c r="D105" i="24"/>
  <c r="AI104" i="24"/>
  <c r="AA104" i="24"/>
  <c r="AN107" i="20"/>
  <c r="AF107" i="20"/>
  <c r="X107" i="20"/>
  <c r="P107" i="20"/>
  <c r="H107" i="20"/>
  <c r="AM106" i="20"/>
  <c r="AE106" i="20"/>
  <c r="W106" i="20"/>
  <c r="O106" i="20"/>
  <c r="G106" i="20"/>
  <c r="AL105" i="20"/>
  <c r="AD105" i="20"/>
  <c r="V105" i="20"/>
  <c r="N105" i="20"/>
  <c r="F105" i="20"/>
  <c r="AK104" i="20"/>
  <c r="AC104" i="20"/>
  <c r="U104" i="20"/>
  <c r="M104" i="20"/>
  <c r="E104" i="20"/>
  <c r="AJ103" i="20"/>
  <c r="AB103" i="20"/>
  <c r="T103" i="20"/>
  <c r="L103" i="20"/>
  <c r="D103" i="20"/>
  <c r="AK107" i="24"/>
  <c r="AC107" i="24"/>
  <c r="U107" i="24"/>
  <c r="M107" i="24"/>
  <c r="E107" i="24"/>
  <c r="AJ106" i="24"/>
  <c r="AB106" i="24"/>
  <c r="T106" i="24"/>
  <c r="L106" i="24"/>
  <c r="D106" i="24"/>
  <c r="AI105" i="24"/>
  <c r="AA105" i="24"/>
  <c r="S105" i="24"/>
  <c r="K105" i="24"/>
  <c r="C105" i="24"/>
  <c r="AH104" i="24"/>
  <c r="Z104" i="24"/>
  <c r="AL107" i="20"/>
  <c r="AD107" i="20"/>
  <c r="V107" i="20"/>
  <c r="N107" i="20"/>
  <c r="F107" i="20"/>
  <c r="AK106" i="20"/>
  <c r="AC106" i="20"/>
  <c r="U106" i="20"/>
  <c r="M106" i="20"/>
  <c r="E106" i="20"/>
  <c r="AJ105" i="20"/>
  <c r="AB105" i="20"/>
  <c r="T105" i="20"/>
  <c r="L105" i="20"/>
  <c r="D105" i="20"/>
  <c r="AI104" i="20"/>
  <c r="AA104" i="20"/>
  <c r="S104" i="20"/>
  <c r="K104" i="20"/>
  <c r="C104" i="20"/>
  <c r="AH103" i="20"/>
  <c r="Z103" i="20"/>
  <c r="R103" i="20"/>
  <c r="J103" i="20"/>
  <c r="B103" i="20"/>
  <c r="AK107" i="20"/>
  <c r="AJ107" i="20"/>
  <c r="AB107" i="20"/>
  <c r="T107" i="20"/>
  <c r="L107" i="20"/>
  <c r="D107" i="20"/>
  <c r="AI107" i="20"/>
  <c r="AA107" i="20"/>
  <c r="S107" i="20"/>
  <c r="K107" i="20"/>
  <c r="C107" i="20"/>
  <c r="I103" i="24"/>
  <c r="Q103" i="24"/>
  <c r="Y103" i="24"/>
  <c r="AG103" i="24"/>
  <c r="B104" i="24"/>
  <c r="J104" i="24"/>
  <c r="R104" i="24"/>
  <c r="AB104" i="24"/>
  <c r="AL104" i="24"/>
  <c r="I105" i="24"/>
  <c r="U105" i="24"/>
  <c r="AE105" i="24"/>
  <c r="B106" i="24"/>
  <c r="N106" i="24"/>
  <c r="X106" i="24"/>
  <c r="AH106" i="24"/>
  <c r="H107" i="24"/>
  <c r="S107" i="24"/>
  <c r="AG107" i="24"/>
  <c r="O103" i="20"/>
  <c r="AE103" i="20"/>
  <c r="H104" i="20"/>
  <c r="X104" i="20"/>
  <c r="AN104" i="20"/>
  <c r="Q105" i="20"/>
  <c r="AG105" i="20"/>
  <c r="J106" i="20"/>
  <c r="Z106" i="20"/>
  <c r="E107" i="20"/>
  <c r="AM107" i="20"/>
  <c r="B103" i="24"/>
  <c r="R103" i="24"/>
  <c r="Z103" i="24"/>
  <c r="C104" i="24"/>
  <c r="S104" i="24"/>
  <c r="AC104" i="24"/>
  <c r="AM104" i="24"/>
  <c r="J105" i="24"/>
  <c r="V105" i="24"/>
  <c r="AF105" i="24"/>
  <c r="C106" i="24"/>
  <c r="O106" i="24"/>
  <c r="Y106" i="24"/>
  <c r="AI106" i="24"/>
  <c r="I107" i="24"/>
  <c r="T107" i="24"/>
  <c r="AH107" i="24"/>
  <c r="P103" i="20"/>
  <c r="AF103" i="20"/>
  <c r="I104" i="20"/>
  <c r="Y104" i="20"/>
  <c r="B105" i="20"/>
  <c r="R105" i="20"/>
  <c r="AH105" i="20"/>
  <c r="K106" i="20"/>
  <c r="AA106" i="20"/>
  <c r="G107" i="20"/>
  <c r="C103" i="24"/>
  <c r="K103" i="24"/>
  <c r="S103" i="24"/>
  <c r="AA103" i="24"/>
  <c r="AI103" i="24"/>
  <c r="D104" i="24"/>
  <c r="L104" i="24"/>
  <c r="T104" i="24"/>
  <c r="AD104" i="24"/>
  <c r="AN104" i="24"/>
  <c r="M105" i="24"/>
  <c r="W105" i="24"/>
  <c r="AG105" i="24"/>
  <c r="F106" i="24"/>
  <c r="P106" i="24"/>
  <c r="Z106" i="24"/>
  <c r="AL106" i="24"/>
  <c r="J107" i="24"/>
  <c r="X107" i="24"/>
  <c r="AI107" i="24"/>
  <c r="Q103" i="20"/>
  <c r="AG103" i="20"/>
  <c r="J104" i="20"/>
  <c r="Z104" i="20"/>
  <c r="C105" i="20"/>
  <c r="S105" i="20"/>
  <c r="AI105" i="20"/>
  <c r="L106" i="20"/>
  <c r="AB106" i="20"/>
  <c r="M107" i="20"/>
  <c r="D103" i="24"/>
  <c r="L103" i="24"/>
  <c r="T103" i="24"/>
  <c r="AB103" i="24"/>
  <c r="AJ103" i="24"/>
  <c r="E104" i="24"/>
  <c r="M104" i="24"/>
  <c r="U104" i="24"/>
  <c r="AE104" i="24"/>
  <c r="B105" i="24"/>
  <c r="N105" i="24"/>
  <c r="X105" i="24"/>
  <c r="AH105" i="24"/>
  <c r="G106" i="24"/>
  <c r="Q106" i="24"/>
  <c r="AA106" i="24"/>
  <c r="AM106" i="24"/>
  <c r="K107" i="24"/>
  <c r="Y107" i="24"/>
  <c r="AJ107" i="24"/>
  <c r="C103" i="20"/>
  <c r="S103" i="20"/>
  <c r="AI103" i="20"/>
  <c r="L104" i="20"/>
  <c r="AB104" i="20"/>
  <c r="E105" i="20"/>
  <c r="U105" i="20"/>
  <c r="AK105" i="20"/>
  <c r="N106" i="20"/>
  <c r="AD106" i="20"/>
  <c r="O107" i="20"/>
  <c r="E103" i="24"/>
  <c r="M103" i="24"/>
  <c r="U103" i="24"/>
  <c r="AC103" i="24"/>
  <c r="AK103" i="24"/>
  <c r="F104" i="24"/>
  <c r="N104" i="24"/>
  <c r="V104" i="24"/>
  <c r="AF104" i="24"/>
  <c r="E105" i="24"/>
  <c r="O105" i="24"/>
  <c r="Y105" i="24"/>
  <c r="AK105" i="24"/>
  <c r="H106" i="24"/>
  <c r="R106" i="24"/>
  <c r="AD106" i="24"/>
  <c r="AN106" i="24"/>
  <c r="L107" i="24"/>
  <c r="Z107" i="24"/>
  <c r="AN107" i="24"/>
  <c r="G103" i="20"/>
  <c r="W103" i="20"/>
  <c r="AM103" i="20"/>
  <c r="P104" i="20"/>
  <c r="AF104" i="20"/>
  <c r="I105" i="20"/>
  <c r="Y105" i="20"/>
  <c r="B106" i="20"/>
  <c r="R106" i="20"/>
  <c r="AH106" i="20"/>
  <c r="U107" i="20"/>
  <c r="W106" i="21" a="1"/>
  <c r="AE106" i="21" a="1"/>
  <c r="M106" i="21" a="1"/>
  <c r="L106" i="21" a="1"/>
  <c r="J106" i="21" a="1"/>
  <c r="AD106" i="21" a="1"/>
  <c r="I106" i="21" a="1"/>
  <c r="Y106" i="21" a="1"/>
  <c r="AA106" i="21" a="1"/>
  <c r="O106" i="21" a="1"/>
  <c r="T106" i="21" a="1"/>
  <c r="G106" i="21" a="1"/>
  <c r="AC106" i="21" a="1"/>
  <c r="S106" i="21" a="1"/>
  <c r="D106" i="21" a="1"/>
  <c r="R106" i="21" a="1"/>
  <c r="V106" i="21" a="1"/>
  <c r="B106" i="21" a="1"/>
  <c r="H106" i="21" a="1"/>
  <c r="AB106" i="21" a="1"/>
  <c r="K106" i="21" a="1"/>
  <c r="Z106" i="21" a="1"/>
  <c r="U106" i="21" a="1"/>
  <c r="C106" i="21" a="1"/>
  <c r="F106" i="21" a="1"/>
  <c r="P106" i="21" a="1"/>
  <c r="N106" i="21" a="1"/>
  <c r="X106" i="21" a="1"/>
  <c r="Q106" i="21" a="1"/>
  <c r="E106" i="21" a="1"/>
  <c r="X104" i="21" a="1"/>
  <c r="I104" i="21" a="1"/>
  <c r="U104" i="21" a="1"/>
  <c r="B104" i="21" a="1"/>
  <c r="M104" i="21" a="1"/>
  <c r="Y104" i="21" a="1"/>
  <c r="K104" i="21" a="1"/>
  <c r="AD104" i="21" a="1"/>
  <c r="S104" i="21" a="1"/>
  <c r="H104" i="21" a="1"/>
  <c r="T104" i="21" a="1"/>
  <c r="Z104" i="21" a="1"/>
  <c r="AC104" i="21" a="1"/>
  <c r="L104" i="21" a="1"/>
  <c r="AA104" i="21" a="1"/>
  <c r="W104" i="21" a="1"/>
  <c r="J104" i="21" a="1"/>
  <c r="G104" i="21" a="1"/>
  <c r="Q104" i="21" a="1"/>
  <c r="R104" i="21" a="1"/>
  <c r="AE104" i="21" a="1"/>
  <c r="V104" i="21" a="1"/>
  <c r="AB104" i="21" a="1"/>
  <c r="N104" i="21" a="1"/>
  <c r="C104" i="21" a="1"/>
  <c r="O104" i="21" a="1"/>
  <c r="E104" i="21" a="1"/>
  <c r="D104" i="21" a="1"/>
  <c r="P104" i="21" a="1"/>
  <c r="F104" i="21" a="1"/>
  <c r="P107" i="21" a="1"/>
  <c r="W107" i="21" a="1"/>
  <c r="V107" i="21" a="1"/>
  <c r="N107" i="21" a="1"/>
  <c r="Q107" i="21" a="1"/>
  <c r="Z107" i="21" a="1"/>
  <c r="T107" i="21" a="1"/>
  <c r="U107" i="21" a="1"/>
  <c r="AB107" i="21" a="1"/>
  <c r="F107" i="21" a="1"/>
  <c r="I107" i="21" a="1"/>
  <c r="X107" i="21" a="1"/>
  <c r="L107" i="21" a="1"/>
  <c r="J107" i="21" a="1"/>
  <c r="Y107" i="21" a="1"/>
  <c r="K107" i="21" a="1"/>
  <c r="H107" i="21" a="1"/>
  <c r="AD107" i="21" a="1"/>
  <c r="B107" i="21" a="1"/>
  <c r="G107" i="21" a="1"/>
  <c r="O107" i="21" a="1"/>
  <c r="S107" i="21" a="1"/>
  <c r="M107" i="21" a="1"/>
  <c r="D107" i="21" a="1"/>
  <c r="R107" i="21" a="1"/>
  <c r="AC107" i="21" a="1"/>
  <c r="C107" i="21" a="1"/>
  <c r="E107" i="21" a="1"/>
  <c r="AE107" i="21" a="1"/>
  <c r="AA107" i="21" a="1"/>
  <c r="Y105" i="21" a="1"/>
  <c r="I105" i="21" a="1"/>
  <c r="S105" i="21" a="1"/>
  <c r="AD105" i="21" a="1"/>
  <c r="H105" i="21" a="1"/>
  <c r="J105" i="21" a="1"/>
  <c r="U105" i="21" a="1"/>
  <c r="E105" i="21" a="1"/>
  <c r="M105" i="21" a="1"/>
  <c r="B105" i="21" a="1"/>
  <c r="C105" i="21" a="1"/>
  <c r="P105" i="21" a="1"/>
  <c r="G105" i="21" a="1"/>
  <c r="N105" i="21" a="1"/>
  <c r="K105" i="21" a="1"/>
  <c r="Q105" i="21" a="1"/>
  <c r="V105" i="21" a="1"/>
  <c r="Z105" i="21" a="1"/>
  <c r="AB105" i="21" a="1"/>
  <c r="T105" i="21" a="1"/>
  <c r="O105" i="21" a="1"/>
  <c r="AE105" i="21" a="1"/>
  <c r="F105" i="21" a="1"/>
  <c r="D105" i="21" a="1"/>
  <c r="R105" i="21" a="1"/>
  <c r="AC105" i="21" a="1"/>
  <c r="X105" i="21" a="1"/>
  <c r="L105" i="21" a="1"/>
  <c r="AA105" i="21" a="1"/>
  <c r="W105" i="21" a="1"/>
  <c r="V103" i="21" a="1"/>
  <c r="P103" i="21" a="1"/>
  <c r="AB103" i="21" a="1"/>
  <c r="AD103" i="21" a="1"/>
  <c r="H103" i="21" a="1"/>
  <c r="D103" i="21" a="1"/>
  <c r="AE103" i="21" a="1"/>
  <c r="I103" i="21" a="1"/>
  <c r="S103" i="21" a="1"/>
  <c r="U103" i="21" a="1"/>
  <c r="L103" i="21" a="1"/>
  <c r="Y103" i="21" a="1"/>
  <c r="W103" i="21" a="1"/>
  <c r="O103" i="21" a="1"/>
  <c r="G103" i="21" a="1"/>
  <c r="X103" i="21" a="1"/>
  <c r="E103" i="21" a="1"/>
  <c r="K103" i="21" a="1"/>
  <c r="R103" i="21" a="1"/>
  <c r="B103" i="21" a="1"/>
  <c r="Q103" i="21" a="1"/>
  <c r="M103" i="21" a="1"/>
  <c r="AC103" i="21" a="1"/>
  <c r="J103" i="21" a="1"/>
  <c r="Z103" i="21" a="1"/>
  <c r="T103" i="21" a="1"/>
  <c r="C103" i="21" a="1"/>
  <c r="F103" i="21" a="1"/>
  <c r="AA103" i="21" a="1"/>
  <c r="N103" i="21" a="1"/>
  <c r="N103" i="21" l="1"/>
  <c r="AA103" i="21"/>
  <c r="F103" i="21"/>
  <c r="C103" i="21"/>
  <c r="T103" i="21"/>
  <c r="Z103" i="21"/>
  <c r="J103" i="21"/>
  <c r="AC103" i="21"/>
  <c r="M103" i="21"/>
  <c r="Q103" i="21"/>
  <c r="B103" i="21"/>
  <c r="R103" i="21"/>
  <c r="K103" i="21"/>
  <c r="E103" i="21"/>
  <c r="X103" i="21"/>
  <c r="G103" i="21"/>
  <c r="O103" i="21"/>
  <c r="W103" i="21"/>
  <c r="Y103" i="21"/>
  <c r="L103" i="21"/>
  <c r="U103" i="21"/>
  <c r="S103" i="21"/>
  <c r="I103" i="21"/>
  <c r="AE103" i="21"/>
  <c r="D103" i="21"/>
  <c r="H103" i="21"/>
  <c r="AD103" i="21"/>
  <c r="AB103" i="21"/>
  <c r="P103" i="21"/>
  <c r="V103" i="21"/>
  <c r="W105" i="21"/>
  <c r="AA105" i="21"/>
  <c r="L105" i="21"/>
  <c r="X105" i="21"/>
  <c r="AC105" i="21"/>
  <c r="R105" i="21"/>
  <c r="D105" i="21"/>
  <c r="F105" i="21"/>
  <c r="AE105" i="21"/>
  <c r="O105" i="21"/>
  <c r="T105" i="21"/>
  <c r="AB105" i="21"/>
  <c r="Z105" i="21"/>
  <c r="V105" i="21"/>
  <c r="Q105" i="21"/>
  <c r="K105" i="21"/>
  <c r="N105" i="21"/>
  <c r="G105" i="21"/>
  <c r="P105" i="21"/>
  <c r="C105" i="21"/>
  <c r="B105" i="21"/>
  <c r="M105" i="21"/>
  <c r="E105" i="21"/>
  <c r="U105" i="21"/>
  <c r="J105" i="21"/>
  <c r="H105" i="21"/>
  <c r="AD105" i="21"/>
  <c r="S105" i="21"/>
  <c r="I105" i="21"/>
  <c r="Y105" i="21"/>
  <c r="AA107" i="21"/>
  <c r="AE107" i="21"/>
  <c r="E107" i="21"/>
  <c r="C107" i="21"/>
  <c r="AC107" i="21"/>
  <c r="R107" i="21"/>
  <c r="D107" i="21"/>
  <c r="M107" i="21"/>
  <c r="S107" i="21"/>
  <c r="O107" i="21"/>
  <c r="G107" i="21"/>
  <c r="B107" i="21"/>
  <c r="AD107" i="21"/>
  <c r="H107" i="21"/>
  <c r="K107" i="21"/>
  <c r="Y107" i="21"/>
  <c r="J107" i="21"/>
  <c r="L107" i="21"/>
  <c r="X107" i="21"/>
  <c r="I107" i="21"/>
  <c r="F107" i="21"/>
  <c r="AB107" i="21"/>
  <c r="U107" i="21"/>
  <c r="T107" i="21"/>
  <c r="Z107" i="21"/>
  <c r="Q107" i="21"/>
  <c r="N107" i="21"/>
  <c r="V107" i="21"/>
  <c r="W107" i="21"/>
  <c r="P107" i="21"/>
  <c r="F104" i="21"/>
  <c r="P104" i="21"/>
  <c r="D104" i="21"/>
  <c r="E104" i="21"/>
  <c r="O104" i="21"/>
  <c r="C104" i="21"/>
  <c r="N104" i="21"/>
  <c r="AB104" i="21"/>
  <c r="V104" i="21"/>
  <c r="AE104" i="21"/>
  <c r="R104" i="21"/>
  <c r="Q104" i="21"/>
  <c r="G104" i="21"/>
  <c r="J104" i="21"/>
  <c r="W104" i="21"/>
  <c r="AA104" i="21"/>
  <c r="L104" i="21"/>
  <c r="AC104" i="21"/>
  <c r="Z104" i="21"/>
  <c r="T104" i="21"/>
  <c r="H104" i="21"/>
  <c r="S104" i="21"/>
  <c r="AD104" i="21"/>
  <c r="K104" i="21"/>
  <c r="Y104" i="21"/>
  <c r="M104" i="21"/>
  <c r="B104" i="21"/>
  <c r="U104" i="21"/>
  <c r="I104" i="21"/>
  <c r="X104" i="21"/>
  <c r="E106" i="21"/>
  <c r="Q106" i="21"/>
  <c r="X106" i="21"/>
  <c r="N106" i="21"/>
  <c r="P106" i="21"/>
  <c r="F106" i="21"/>
  <c r="C106" i="21"/>
  <c r="U106" i="21"/>
  <c r="Z106" i="21"/>
  <c r="K106" i="21"/>
  <c r="AB106" i="21"/>
  <c r="H106" i="21"/>
  <c r="B106" i="21"/>
  <c r="V106" i="21"/>
  <c r="R106" i="21"/>
  <c r="D106" i="21"/>
  <c r="S106" i="21"/>
  <c r="AC106" i="21"/>
  <c r="G106" i="21"/>
  <c r="T106" i="21"/>
  <c r="O106" i="21"/>
  <c r="AA106" i="21"/>
  <c r="Y106" i="21"/>
  <c r="I106" i="21"/>
  <c r="AD106" i="21"/>
  <c r="J106" i="21"/>
  <c r="L106" i="21"/>
  <c r="M106" i="21"/>
  <c r="AE106" i="21"/>
  <c r="W106" i="21"/>
  <c r="C103" i="27"/>
  <c r="AU109" i="24"/>
  <c r="AR109" i="24"/>
  <c r="AS109" i="24"/>
  <c r="AQ109" i="24"/>
  <c r="AU105" i="24"/>
  <c r="AS105" i="24"/>
  <c r="AR105" i="24"/>
  <c r="AQ105" i="24"/>
  <c r="C105" i="27"/>
  <c r="C107" i="27"/>
  <c r="AU106" i="24"/>
  <c r="AS106" i="24"/>
  <c r="AR106" i="24"/>
  <c r="AQ106" i="24"/>
  <c r="AT106" i="24" s="1"/>
  <c r="AQ104" i="24"/>
  <c r="AU104" i="24"/>
  <c r="AS104" i="24"/>
  <c r="AR104" i="24"/>
  <c r="AU110" i="24"/>
  <c r="AS110" i="24"/>
  <c r="AR110" i="24"/>
  <c r="AQ110" i="24"/>
  <c r="AU111" i="24"/>
  <c r="AS111" i="24"/>
  <c r="AR111" i="24"/>
  <c r="AQ111" i="24"/>
  <c r="AS103" i="24"/>
  <c r="AU103" i="24"/>
  <c r="AR103" i="24"/>
  <c r="AQ103" i="24"/>
  <c r="C104" i="27"/>
  <c r="C106" i="27"/>
  <c r="AS108" i="24"/>
  <c r="AR108" i="24"/>
  <c r="AQ108" i="24"/>
  <c r="AU108" i="24"/>
  <c r="AR107" i="24"/>
  <c r="AQ107" i="24"/>
  <c r="AU107" i="24"/>
  <c r="AS107" i="24"/>
  <c r="AT105" i="24" l="1"/>
  <c r="AT108" i="24"/>
  <c r="AT103" i="24"/>
  <c r="AT110" i="24"/>
  <c r="AT104" i="24"/>
  <c r="AT109" i="24"/>
  <c r="AT111" i="24"/>
  <c r="AT107" i="24"/>
  <c r="Z30" i="26"/>
  <c r="Y30" i="26" s="1"/>
  <c r="W30" i="26" s="1"/>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274" i="17"/>
  <c r="E275" i="17"/>
  <c r="E276" i="17"/>
  <c r="E277" i="17"/>
  <c r="E278" i="17"/>
  <c r="E279" i="17"/>
  <c r="E280" i="17"/>
  <c r="E281" i="17"/>
  <c r="E282" i="17"/>
  <c r="E283" i="17"/>
  <c r="E284" i="17"/>
  <c r="E285" i="17"/>
  <c r="E286" i="17"/>
  <c r="E287" i="17"/>
  <c r="E288" i="17"/>
  <c r="E289" i="17"/>
  <c r="E290" i="17"/>
  <c r="E291" i="17"/>
  <c r="E292" i="17"/>
  <c r="E293" i="17"/>
  <c r="E294" i="17"/>
  <c r="E295" i="17"/>
  <c r="E296" i="17"/>
  <c r="E297" i="17"/>
  <c r="E298" i="17"/>
  <c r="E299" i="17"/>
  <c r="E300" i="17"/>
  <c r="E301" i="17"/>
  <c r="E302" i="17"/>
  <c r="E303" i="17"/>
  <c r="E304" i="17"/>
  <c r="E305" i="17"/>
  <c r="E306" i="17"/>
  <c r="E307" i="17"/>
  <c r="E308" i="17"/>
  <c r="E309" i="17"/>
  <c r="E310" i="17"/>
  <c r="E311" i="17"/>
  <c r="E312" i="17"/>
  <c r="E313" i="17"/>
  <c r="E314" i="17"/>
  <c r="E315" i="17"/>
  <c r="E316" i="17"/>
  <c r="E317" i="17"/>
  <c r="E318" i="17"/>
  <c r="E319" i="17"/>
  <c r="E320" i="17"/>
  <c r="E321" i="17"/>
  <c r="E322" i="17"/>
  <c r="E323" i="17"/>
  <c r="E324" i="17"/>
  <c r="E325" i="17"/>
  <c r="E326" i="17"/>
  <c r="E327" i="17"/>
  <c r="E328" i="17"/>
  <c r="E329" i="17"/>
  <c r="E330" i="17"/>
  <c r="E331" i="17"/>
  <c r="E332" i="17"/>
  <c r="E333" i="17"/>
  <c r="E334" i="17"/>
  <c r="E335" i="17"/>
  <c r="E336" i="17"/>
  <c r="E337" i="17"/>
  <c r="E338" i="17"/>
  <c r="E339" i="17"/>
  <c r="E340" i="17"/>
  <c r="E341" i="17"/>
  <c r="E342" i="17"/>
  <c r="E343" i="17"/>
  <c r="E344" i="17"/>
  <c r="E345" i="17"/>
  <c r="E346" i="17"/>
  <c r="E347" i="17"/>
  <c r="E348" i="17"/>
  <c r="E349" i="17"/>
  <c r="E350" i="17"/>
  <c r="E351" i="17"/>
  <c r="E352" i="17"/>
  <c r="E353" i="17"/>
  <c r="E354" i="17"/>
  <c r="E355" i="17"/>
  <c r="E356" i="17"/>
  <c r="E357" i="17"/>
  <c r="E358" i="17"/>
  <c r="E359" i="17"/>
  <c r="E360" i="17"/>
  <c r="E361" i="17"/>
  <c r="E362" i="17"/>
  <c r="E363" i="17"/>
  <c r="E364" i="17"/>
  <c r="E365" i="17"/>
  <c r="E366" i="17"/>
  <c r="E367" i="17"/>
  <c r="E368" i="17"/>
  <c r="E369" i="17"/>
  <c r="E370" i="17"/>
  <c r="E371" i="17"/>
  <c r="E372" i="17"/>
  <c r="E373" i="17"/>
  <c r="E374" i="17"/>
  <c r="E375" i="17"/>
  <c r="E376" i="17"/>
  <c r="E377" i="17"/>
  <c r="E378" i="17"/>
  <c r="E379" i="17"/>
  <c r="E380" i="17"/>
  <c r="E381" i="17"/>
  <c r="E382" i="17"/>
  <c r="E383" i="17"/>
  <c r="E384" i="17"/>
  <c r="E385" i="17"/>
  <c r="E386" i="17"/>
  <c r="E387" i="17"/>
  <c r="E388" i="17"/>
  <c r="E389" i="17"/>
  <c r="E390" i="17"/>
  <c r="E391" i="17"/>
  <c r="E392" i="17"/>
  <c r="E393" i="17"/>
  <c r="E394" i="17"/>
  <c r="E395" i="17"/>
  <c r="E396" i="17"/>
  <c r="E397" i="17"/>
  <c r="E398" i="17"/>
  <c r="E399" i="17"/>
  <c r="E400" i="17"/>
  <c r="E401" i="17"/>
  <c r="E402" i="17"/>
  <c r="E403" i="17"/>
  <c r="E404" i="17"/>
  <c r="E405" i="17"/>
  <c r="E406" i="17"/>
  <c r="E407" i="17"/>
  <c r="E408" i="17"/>
  <c r="E409" i="17"/>
  <c r="E410" i="17"/>
  <c r="E411" i="17"/>
  <c r="E412" i="17"/>
  <c r="E413" i="17"/>
  <c r="E414" i="17"/>
  <c r="E415" i="17"/>
  <c r="E416" i="17"/>
  <c r="E417" i="17"/>
  <c r="E418" i="17"/>
  <c r="E419" i="17"/>
  <c r="E420" i="17"/>
  <c r="E421" i="17"/>
  <c r="E422" i="17"/>
  <c r="E423" i="17"/>
  <c r="E424" i="17"/>
  <c r="E425" i="17"/>
  <c r="E426" i="17"/>
  <c r="E427" i="17"/>
  <c r="E428" i="17"/>
  <c r="E429" i="17"/>
  <c r="E430" i="17"/>
  <c r="E431" i="17"/>
  <c r="E432" i="17"/>
  <c r="E433" i="17"/>
  <c r="E434" i="17"/>
  <c r="E435" i="17"/>
  <c r="E436" i="17"/>
  <c r="E437" i="17"/>
  <c r="E438" i="17"/>
  <c r="E439" i="17"/>
  <c r="E440" i="17"/>
  <c r="E441" i="17"/>
  <c r="E442" i="17"/>
  <c r="E443" i="17"/>
  <c r="E444" i="17"/>
  <c r="E445" i="17"/>
  <c r="E446" i="17"/>
  <c r="E447" i="17"/>
  <c r="E448" i="17"/>
  <c r="E449" i="17"/>
  <c r="E450" i="17"/>
  <c r="E451" i="17"/>
  <c r="E452" i="17"/>
  <c r="E453" i="17"/>
  <c r="E454" i="17"/>
  <c r="E455" i="17"/>
  <c r="E456" i="17"/>
  <c r="E457" i="17"/>
  <c r="E458" i="17"/>
  <c r="E459" i="17"/>
  <c r="E460" i="17"/>
  <c r="E461" i="17"/>
  <c r="E462" i="17"/>
  <c r="E463" i="17"/>
  <c r="E464" i="17"/>
  <c r="E465" i="17"/>
  <c r="E466" i="17"/>
  <c r="E467" i="17"/>
  <c r="E468" i="17"/>
  <c r="E469" i="17"/>
  <c r="E470" i="17"/>
  <c r="E471" i="17"/>
  <c r="E472" i="17"/>
  <c r="E473" i="17"/>
  <c r="E474" i="17"/>
  <c r="E475" i="17"/>
  <c r="E476" i="17"/>
  <c r="Z29" i="26"/>
  <c r="Y29" i="26" s="1"/>
  <c r="Z28" i="26"/>
  <c r="Y28" i="26" s="1"/>
  <c r="Z27" i="26"/>
  <c r="Y27" i="26" s="1"/>
  <c r="Z26" i="26"/>
  <c r="Y26" i="26" s="1"/>
  <c r="Z25" i="26"/>
  <c r="Y25" i="26" s="1"/>
  <c r="Z24" i="26"/>
  <c r="Y24" i="26" s="1"/>
  <c r="Z23" i="26"/>
  <c r="Y23" i="26" s="1"/>
  <c r="Z22" i="26"/>
  <c r="Y22" i="26" s="1"/>
  <c r="Z21" i="26"/>
  <c r="Y21" i="26" s="1"/>
  <c r="Z20" i="26"/>
  <c r="Y20" i="26" s="1"/>
  <c r="Z19" i="26"/>
  <c r="Y19" i="26" s="1"/>
  <c r="Z18" i="26"/>
  <c r="Y18" i="26" s="1"/>
  <c r="Z17" i="26"/>
  <c r="Y17" i="26" s="1"/>
  <c r="Z16" i="26"/>
  <c r="Y16" i="26" s="1"/>
  <c r="Z15" i="26"/>
  <c r="Y15" i="26" s="1"/>
  <c r="Z14" i="26"/>
  <c r="Y14" i="26" s="1"/>
  <c r="Z13" i="26"/>
  <c r="Y13" i="26" s="1"/>
  <c r="Z12" i="26"/>
  <c r="Y12" i="26" s="1"/>
  <c r="Z11" i="26"/>
  <c r="Y11" i="26" s="1"/>
  <c r="Z10" i="26"/>
  <c r="Y10" i="26" s="1"/>
  <c r="Z9" i="26"/>
  <c r="Y9" i="26" s="1"/>
  <c r="Z8" i="26"/>
  <c r="Y8" i="26" s="1"/>
  <c r="Z7" i="26"/>
  <c r="Y7" i="26" s="1"/>
  <c r="Z6" i="26"/>
  <c r="Y6" i="26" s="1"/>
  <c r="Z5" i="26"/>
  <c r="Y5" i="26" s="1"/>
  <c r="Z4" i="26"/>
  <c r="Y4" i="26" s="1"/>
  <c r="Z3" i="26"/>
  <c r="Y3" i="26" s="1"/>
  <c r="Z2" i="26"/>
  <c r="Y2" i="26" s="1"/>
  <c r="T44" i="24"/>
  <c r="Q63" i="24"/>
  <c r="AN63" i="24"/>
  <c r="K64" i="24"/>
  <c r="U65" i="24"/>
  <c r="AG64" i="24"/>
  <c r="J66" i="24"/>
  <c r="D66" i="24"/>
  <c r="N65" i="24"/>
  <c r="AB66" i="24"/>
  <c r="Z65" i="24"/>
  <c r="AJ65" i="24"/>
  <c r="S66" i="24"/>
  <c r="AA66" i="24"/>
  <c r="L67" i="24"/>
  <c r="T67" i="24"/>
  <c r="AJ67" i="24"/>
  <c r="K69" i="24"/>
  <c r="U68" i="24"/>
  <c r="N69" i="24"/>
  <c r="V69" i="24"/>
  <c r="G70" i="24"/>
  <c r="O48" i="24"/>
  <c r="M71" i="24"/>
  <c r="P71" i="24"/>
  <c r="X71" i="24"/>
  <c r="I57" i="24"/>
  <c r="N72" i="24"/>
  <c r="AN71" i="24"/>
  <c r="Q72" i="24"/>
  <c r="AG72" i="24"/>
  <c r="B73" i="24"/>
  <c r="AJ73" i="24"/>
  <c r="D74" i="24"/>
  <c r="T74" i="24"/>
  <c r="AB74" i="24"/>
  <c r="AJ74" i="24"/>
  <c r="U75" i="24"/>
  <c r="AC75" i="24"/>
  <c r="F76" i="24"/>
  <c r="Z50" i="24"/>
  <c r="E1" i="17"/>
  <c r="E2"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E61" i="17"/>
  <c r="E62" i="17"/>
  <c r="E63" i="17"/>
  <c r="E64" i="17"/>
  <c r="E65" i="17"/>
  <c r="E66" i="17"/>
  <c r="E67" i="17"/>
  <c r="E68" i="17"/>
  <c r="E69" i="17"/>
  <c r="E70" i="17"/>
  <c r="E71" i="17"/>
  <c r="E72" i="17"/>
  <c r="E73" i="17"/>
  <c r="E74" i="17"/>
  <c r="E75" i="17"/>
  <c r="E76" i="17"/>
  <c r="E77" i="17"/>
  <c r="E78" i="17"/>
  <c r="E79" i="17"/>
  <c r="E80" i="17"/>
  <c r="E81" i="17"/>
  <c r="E82" i="17"/>
  <c r="E83" i="17"/>
  <c r="E84" i="17"/>
  <c r="E85" i="17"/>
  <c r="E86" i="17"/>
  <c r="E87" i="17"/>
  <c r="E88" i="17"/>
  <c r="E89" i="17"/>
  <c r="E90" i="17"/>
  <c r="E91" i="17"/>
  <c r="E92" i="17"/>
  <c r="E93" i="17"/>
  <c r="E94" i="17"/>
  <c r="E95" i="17"/>
  <c r="E96" i="17"/>
  <c r="E97" i="17"/>
  <c r="E98" i="17"/>
  <c r="E99" i="17"/>
  <c r="E100" i="17"/>
  <c r="E101" i="17"/>
  <c r="E102" i="17"/>
  <c r="E103" i="17"/>
  <c r="E104" i="17"/>
  <c r="E105" i="17"/>
  <c r="E106" i="17"/>
  <c r="E107" i="17"/>
  <c r="E108" i="17"/>
  <c r="E109" i="17"/>
  <c r="E110" i="17"/>
  <c r="E111" i="17"/>
  <c r="E112" i="17"/>
  <c r="E113" i="17"/>
  <c r="E114" i="17"/>
  <c r="E115" i="17"/>
  <c r="E116" i="17"/>
  <c r="E117" i="17"/>
  <c r="E118" i="17"/>
  <c r="E119" i="17"/>
  <c r="E120" i="17"/>
  <c r="E121" i="17"/>
  <c r="E122" i="17"/>
  <c r="E123" i="17"/>
  <c r="E124" i="17"/>
  <c r="E125" i="17"/>
  <c r="E126" i="17"/>
  <c r="E127" i="17"/>
  <c r="E128" i="17"/>
  <c r="E129" i="17"/>
  <c r="E130" i="17"/>
  <c r="E131" i="17"/>
  <c r="E132" i="17"/>
  <c r="E133" i="17"/>
  <c r="E134" i="17"/>
  <c r="E135" i="17"/>
  <c r="E136" i="17"/>
  <c r="E137" i="17"/>
  <c r="E138" i="17"/>
  <c r="E139" i="17"/>
  <c r="E140" i="17"/>
  <c r="E141" i="17"/>
  <c r="E142" i="17"/>
  <c r="E143" i="17"/>
  <c r="E144" i="17"/>
  <c r="E145" i="17"/>
  <c r="E146" i="17"/>
  <c r="E147" i="17"/>
  <c r="E148" i="17"/>
  <c r="E149" i="17"/>
  <c r="E150" i="17"/>
  <c r="E151" i="17"/>
  <c r="E152" i="17"/>
  <c r="E153" i="17"/>
  <c r="E154" i="17"/>
  <c r="E155" i="17"/>
  <c r="E156" i="17"/>
  <c r="E157" i="17"/>
  <c r="E158" i="17"/>
  <c r="E159" i="17"/>
  <c r="E160" i="17"/>
  <c r="E161" i="17"/>
  <c r="E162" i="17"/>
  <c r="E163" i="17"/>
  <c r="E164" i="17"/>
  <c r="E165" i="17"/>
  <c r="E166" i="17"/>
  <c r="E167" i="17"/>
  <c r="E168" i="17"/>
  <c r="E169" i="17"/>
  <c r="E170" i="17"/>
  <c r="E171" i="17"/>
  <c r="E172" i="17"/>
  <c r="E173" i="17"/>
  <c r="E174" i="17"/>
  <c r="E175" i="17"/>
  <c r="E176" i="17"/>
  <c r="E177" i="17"/>
  <c r="E178" i="17"/>
  <c r="E179" i="17"/>
  <c r="E180" i="17"/>
  <c r="E181" i="17"/>
  <c r="E182" i="17"/>
  <c r="E183" i="17"/>
  <c r="E184" i="17"/>
  <c r="E185" i="17"/>
  <c r="E186" i="17"/>
  <c r="E187" i="17"/>
  <c r="E188" i="17"/>
  <c r="E189" i="17"/>
  <c r="E190" i="17"/>
  <c r="E191" i="17"/>
  <c r="E192" i="17"/>
  <c r="E193" i="17"/>
  <c r="E194" i="17"/>
  <c r="E195" i="17"/>
  <c r="E196" i="17"/>
  <c r="E197" i="17"/>
  <c r="E198" i="17"/>
  <c r="E199" i="17"/>
  <c r="E200" i="17"/>
  <c r="E201" i="17"/>
  <c r="E202" i="17"/>
  <c r="E203" i="17"/>
  <c r="E204" i="17"/>
  <c r="E205" i="17"/>
  <c r="E206" i="17"/>
  <c r="E207" i="17"/>
  <c r="E208" i="17"/>
  <c r="E209" i="17"/>
  <c r="E210" i="17"/>
  <c r="E211" i="17"/>
  <c r="E212" i="17"/>
  <c r="E213" i="17"/>
  <c r="E214" i="17"/>
  <c r="E215" i="17"/>
  <c r="E216" i="17"/>
  <c r="E217" i="17"/>
  <c r="E218" i="17"/>
  <c r="E219" i="17"/>
  <c r="E220" i="17"/>
  <c r="E221" i="17"/>
  <c r="E222" i="17"/>
  <c r="E223" i="17"/>
  <c r="E224" i="17"/>
  <c r="E225" i="17"/>
  <c r="E226" i="17"/>
  <c r="E227" i="17"/>
  <c r="E228" i="17"/>
  <c r="E229" i="17"/>
  <c r="E230" i="17"/>
  <c r="E231" i="17"/>
  <c r="E232" i="17"/>
  <c r="E233" i="17"/>
  <c r="E234" i="17"/>
  <c r="E235" i="17"/>
  <c r="E236" i="17"/>
  <c r="E237" i="17"/>
  <c r="E238" i="17"/>
  <c r="E239" i="17"/>
  <c r="E240" i="17"/>
  <c r="E241" i="17"/>
  <c r="E242" i="17"/>
  <c r="E243" i="17"/>
  <c r="E244" i="17"/>
  <c r="E245" i="17"/>
  <c r="E246" i="17"/>
  <c r="E247" i="17"/>
  <c r="E248" i="17"/>
  <c r="E249" i="17"/>
  <c r="E250" i="17"/>
  <c r="E251" i="17"/>
  <c r="E252" i="17"/>
  <c r="E253" i="17"/>
  <c r="E254" i="17"/>
  <c r="E255" i="17"/>
  <c r="E256" i="17"/>
  <c r="E257" i="17"/>
  <c r="E258" i="17"/>
  <c r="E259" i="17"/>
  <c r="E260" i="17"/>
  <c r="E261" i="17"/>
  <c r="E262" i="17"/>
  <c r="E263" i="17"/>
  <c r="E264" i="17"/>
  <c r="E265" i="17"/>
  <c r="E266" i="17"/>
  <c r="E267" i="17"/>
  <c r="E268" i="17"/>
  <c r="E269" i="17"/>
  <c r="E270" i="17"/>
  <c r="E271" i="17"/>
  <c r="E272" i="17"/>
  <c r="E273" i="17"/>
  <c r="E1" i="12"/>
  <c r="E2" i="12"/>
  <c r="E3" i="12"/>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AP3" i="24"/>
  <c r="AP4" i="24"/>
  <c r="AP5" i="24"/>
  <c r="AP6" i="24"/>
  <c r="AP7" i="24"/>
  <c r="AP8" i="24"/>
  <c r="AP9" i="24"/>
  <c r="AP10" i="24"/>
  <c r="AP11" i="24"/>
  <c r="AP12" i="24"/>
  <c r="AP13" i="24"/>
  <c r="AP14" i="24"/>
  <c r="AP15" i="24"/>
  <c r="AP16" i="24"/>
  <c r="AP17" i="24"/>
  <c r="AP18" i="24"/>
  <c r="AP19" i="24"/>
  <c r="AP20" i="24"/>
  <c r="AP21" i="24"/>
  <c r="AP22" i="24"/>
  <c r="AP23" i="24"/>
  <c r="AP24" i="24"/>
  <c r="AP25" i="24"/>
  <c r="AP26" i="24"/>
  <c r="AP27" i="24"/>
  <c r="AP28" i="24"/>
  <c r="AP29" i="24"/>
  <c r="AP30" i="24"/>
  <c r="AP31" i="24"/>
  <c r="AP32" i="24"/>
  <c r="AP33" i="24"/>
  <c r="AP34" i="24"/>
  <c r="AP35" i="24"/>
  <c r="AP36" i="24"/>
  <c r="AP37" i="24"/>
  <c r="AP38" i="24"/>
  <c r="AP39" i="24"/>
  <c r="AP40" i="24"/>
  <c r="AP41" i="24"/>
  <c r="AP42" i="24"/>
  <c r="AP43" i="24"/>
  <c r="AP44" i="24"/>
  <c r="AP45" i="24"/>
  <c r="AP46" i="24"/>
  <c r="AP47" i="24"/>
  <c r="AP48" i="24"/>
  <c r="AP49" i="24"/>
  <c r="AP50" i="24"/>
  <c r="AP51" i="24"/>
  <c r="AP52" i="24"/>
  <c r="AP53" i="24"/>
  <c r="AP54" i="24"/>
  <c r="AP55" i="24"/>
  <c r="AP56" i="24"/>
  <c r="AP57" i="24"/>
  <c r="AP58" i="24"/>
  <c r="AP59" i="24"/>
  <c r="AP60" i="24"/>
  <c r="AP61" i="24"/>
  <c r="AP62" i="24"/>
  <c r="AP63" i="24"/>
  <c r="AP64" i="24"/>
  <c r="AP65" i="24"/>
  <c r="AP66" i="24"/>
  <c r="AP67" i="24"/>
  <c r="AP68" i="24"/>
  <c r="AP69" i="24"/>
  <c r="AP70" i="24"/>
  <c r="AP71" i="24"/>
  <c r="AP72" i="24"/>
  <c r="AP73" i="24"/>
  <c r="AP74" i="24"/>
  <c r="AP75" i="24"/>
  <c r="AP76" i="24"/>
  <c r="AP77" i="24"/>
  <c r="AP78" i="24"/>
  <c r="AP79" i="24"/>
  <c r="AP80" i="24"/>
  <c r="AP81" i="24"/>
  <c r="AP82" i="24"/>
  <c r="AP83" i="24"/>
  <c r="AP84" i="24"/>
  <c r="AP85" i="24"/>
  <c r="AP86" i="24"/>
  <c r="AP87" i="24"/>
  <c r="AP88" i="24"/>
  <c r="AP89" i="24"/>
  <c r="AP90" i="24"/>
  <c r="AP91" i="24"/>
  <c r="AP92" i="24"/>
  <c r="AP93" i="24"/>
  <c r="AP94" i="24"/>
  <c r="AP95" i="24"/>
  <c r="AP96" i="24"/>
  <c r="AP97" i="24"/>
  <c r="AP98" i="24"/>
  <c r="AP99" i="24"/>
  <c r="AP100" i="24"/>
  <c r="AP101" i="24"/>
  <c r="AP102" i="24"/>
  <c r="AP2" i="24"/>
  <c r="B3" i="24"/>
  <c r="B4" i="24"/>
  <c r="B5" i="24"/>
  <c r="B6" i="24"/>
  <c r="B7" i="24"/>
  <c r="C32" i="24"/>
  <c r="B39" i="24"/>
  <c r="B40" i="24"/>
  <c r="B41" i="24"/>
  <c r="C41" i="24"/>
  <c r="B42" i="24"/>
  <c r="C43" i="24"/>
  <c r="D43" i="24"/>
  <c r="D44" i="24"/>
  <c r="E46" i="24"/>
  <c r="B47" i="24"/>
  <c r="B48" i="24"/>
  <c r="B49" i="24"/>
  <c r="C49" i="24"/>
  <c r="D49" i="24"/>
  <c r="AJ49" i="24"/>
  <c r="B50" i="24"/>
  <c r="B51" i="24"/>
  <c r="C51" i="24"/>
  <c r="F51" i="24"/>
  <c r="AH51" i="24"/>
  <c r="B52" i="24"/>
  <c r="D52" i="24"/>
  <c r="E52" i="24"/>
  <c r="L52" i="24"/>
  <c r="AG52" i="24"/>
  <c r="B53" i="24"/>
  <c r="C53" i="24"/>
  <c r="D53" i="24"/>
  <c r="E53" i="24"/>
  <c r="G53" i="24"/>
  <c r="J53" i="24"/>
  <c r="W53" i="24"/>
  <c r="AM53" i="24"/>
  <c r="B54" i="24"/>
  <c r="C54" i="24"/>
  <c r="F54" i="24"/>
  <c r="P54" i="24"/>
  <c r="AF54" i="24"/>
  <c r="B55" i="24"/>
  <c r="C55" i="24"/>
  <c r="D55" i="24"/>
  <c r="G55" i="24"/>
  <c r="K55" i="24"/>
  <c r="L55" i="24"/>
  <c r="W55" i="24"/>
  <c r="AB55" i="24"/>
  <c r="AM55" i="24"/>
  <c r="B56" i="24"/>
  <c r="C56" i="24"/>
  <c r="D56" i="24"/>
  <c r="E56" i="24"/>
  <c r="M56" i="24"/>
  <c r="T56" i="24"/>
  <c r="AC56" i="24"/>
  <c r="AJ56" i="24"/>
  <c r="B57" i="24"/>
  <c r="C57" i="24"/>
  <c r="E57" i="24"/>
  <c r="K57" i="24"/>
  <c r="U57" i="24"/>
  <c r="AA57" i="24"/>
  <c r="AK57" i="24"/>
  <c r="B58" i="24"/>
  <c r="C58" i="24"/>
  <c r="D58" i="24"/>
  <c r="L58" i="24"/>
  <c r="R58" i="24"/>
  <c r="AB58" i="24"/>
  <c r="AH58" i="24"/>
  <c r="B59" i="24"/>
  <c r="C59" i="24"/>
  <c r="D59" i="24"/>
  <c r="E59" i="24"/>
  <c r="G59" i="24"/>
  <c r="P59" i="24"/>
  <c r="W59" i="24"/>
  <c r="AF59" i="24"/>
  <c r="AM59" i="24"/>
  <c r="B60" i="24"/>
  <c r="C60" i="24"/>
  <c r="D60" i="24"/>
  <c r="F60" i="24"/>
  <c r="I60" i="24"/>
  <c r="L60" i="24"/>
  <c r="V60" i="24"/>
  <c r="Y60" i="24"/>
  <c r="AB60" i="24"/>
  <c r="AL60" i="24"/>
  <c r="B61" i="24"/>
  <c r="C61" i="24"/>
  <c r="D61" i="24"/>
  <c r="E61" i="24"/>
  <c r="I61" i="24"/>
  <c r="J61" i="24"/>
  <c r="O61" i="24"/>
  <c r="Q61" i="24"/>
  <c r="Z61" i="24"/>
  <c r="AE61" i="24"/>
  <c r="AG61" i="24"/>
  <c r="B62" i="24"/>
  <c r="C62" i="24"/>
  <c r="D62" i="24"/>
  <c r="F62" i="24"/>
  <c r="H62" i="24"/>
  <c r="P62" i="24"/>
  <c r="R62" i="24"/>
  <c r="V62" i="24"/>
  <c r="X62" i="24"/>
  <c r="AF62" i="24"/>
  <c r="AH62" i="24"/>
  <c r="AL62" i="24"/>
  <c r="AN62" i="24"/>
  <c r="C63" i="24"/>
  <c r="I63" i="24"/>
  <c r="K63" i="24"/>
  <c r="O63" i="24"/>
  <c r="P63" i="24"/>
  <c r="W63" i="24"/>
  <c r="X63" i="24"/>
  <c r="Z63" i="24"/>
  <c r="AA63" i="24"/>
  <c r="AG63" i="24"/>
  <c r="AH63" i="24"/>
  <c r="AJ63" i="24"/>
  <c r="AM63" i="24"/>
  <c r="C64" i="24"/>
  <c r="D64" i="24"/>
  <c r="E64" i="24"/>
  <c r="I64" i="24"/>
  <c r="J64" i="24"/>
  <c r="P64" i="24"/>
  <c r="Q64" i="24"/>
  <c r="S64" i="24"/>
  <c r="T64" i="24"/>
  <c r="Z64" i="24"/>
  <c r="AA64" i="24"/>
  <c r="AC64" i="24"/>
  <c r="AF64" i="24"/>
  <c r="AJ64" i="24"/>
  <c r="AK64" i="24"/>
  <c r="B65" i="24"/>
  <c r="C65" i="24"/>
  <c r="I65" i="24"/>
  <c r="J65" i="24"/>
  <c r="L65" i="24"/>
  <c r="M65" i="24"/>
  <c r="S65" i="24"/>
  <c r="T65" i="24"/>
  <c r="V65" i="24"/>
  <c r="Y65" i="24"/>
  <c r="AC65" i="24"/>
  <c r="AD65" i="24"/>
  <c r="AH65" i="24"/>
  <c r="AI65" i="24"/>
  <c r="B66" i="24"/>
  <c r="C66" i="24"/>
  <c r="E66" i="24"/>
  <c r="F66" i="24"/>
  <c r="L66" i="24"/>
  <c r="M66" i="24"/>
  <c r="O66" i="24"/>
  <c r="R66" i="24"/>
  <c r="V66" i="24"/>
  <c r="W66" i="24"/>
  <c r="Y66" i="24"/>
  <c r="Z66" i="24"/>
  <c r="AD66" i="24"/>
  <c r="AE66" i="24"/>
  <c r="AG66" i="24"/>
  <c r="AH66" i="24"/>
  <c r="AL66" i="24"/>
  <c r="AM66" i="24"/>
  <c r="B67" i="24"/>
  <c r="C67" i="24"/>
  <c r="D67" i="24"/>
  <c r="G67" i="24"/>
  <c r="H67" i="24"/>
  <c r="I67" i="24"/>
  <c r="J67" i="24"/>
  <c r="K67" i="24"/>
  <c r="O67" i="24"/>
  <c r="P67" i="24"/>
  <c r="R67" i="24"/>
  <c r="S67" i="24"/>
  <c r="W67" i="24"/>
  <c r="X67" i="24"/>
  <c r="Z67" i="24"/>
  <c r="AA67" i="24"/>
  <c r="AE67" i="24"/>
  <c r="AF67" i="24"/>
  <c r="AH67" i="24"/>
  <c r="AI67" i="24"/>
  <c r="AM67" i="24"/>
  <c r="AN67" i="24"/>
  <c r="C68" i="24"/>
  <c r="D68" i="24"/>
  <c r="H68" i="24"/>
  <c r="I68" i="24"/>
  <c r="K68" i="24"/>
  <c r="L68" i="24"/>
  <c r="P68" i="24"/>
  <c r="Q68" i="24"/>
  <c r="S68" i="24"/>
  <c r="T68" i="24"/>
  <c r="X68" i="24"/>
  <c r="Y68" i="24"/>
  <c r="AA68" i="24"/>
  <c r="AB68" i="24"/>
  <c r="AF68" i="24"/>
  <c r="AG68" i="24"/>
  <c r="AI68" i="24"/>
  <c r="AJ68" i="24"/>
  <c r="AN68" i="24"/>
  <c r="B69" i="24"/>
  <c r="C69" i="24"/>
  <c r="D69" i="24"/>
  <c r="E69" i="24"/>
  <c r="F69" i="24"/>
  <c r="I69" i="24"/>
  <c r="J69" i="24"/>
  <c r="L69" i="24"/>
  <c r="M69" i="24"/>
  <c r="Q69" i="24"/>
  <c r="R69" i="24"/>
  <c r="T69" i="24"/>
  <c r="U69" i="24"/>
  <c r="Y69" i="24"/>
  <c r="Z69" i="24"/>
  <c r="AB69" i="24"/>
  <c r="AC69" i="24"/>
  <c r="AG69" i="24"/>
  <c r="AH69" i="24"/>
  <c r="AJ69" i="24"/>
  <c r="AK69" i="24"/>
  <c r="B70" i="24"/>
  <c r="C70" i="24"/>
  <c r="E70" i="24"/>
  <c r="F70" i="24"/>
  <c r="J70" i="24"/>
  <c r="K70" i="24"/>
  <c r="M70" i="24"/>
  <c r="N70" i="24"/>
  <c r="R70" i="24"/>
  <c r="S70" i="24"/>
  <c r="U70" i="24"/>
  <c r="V70" i="24"/>
  <c r="Z70" i="24"/>
  <c r="AA70" i="24"/>
  <c r="AC70" i="24"/>
  <c r="AD70" i="24"/>
  <c r="AH70" i="24"/>
  <c r="AI70" i="24"/>
  <c r="AK70" i="24"/>
  <c r="AL70" i="24"/>
  <c r="C71" i="24"/>
  <c r="D71" i="24"/>
  <c r="E71" i="24"/>
  <c r="F71" i="24"/>
  <c r="G71" i="24"/>
  <c r="K71" i="24"/>
  <c r="L71" i="24"/>
  <c r="N71" i="24"/>
  <c r="O71" i="24"/>
  <c r="S71" i="24"/>
  <c r="T71" i="24"/>
  <c r="V71" i="24"/>
  <c r="W71" i="24"/>
  <c r="AA71" i="24"/>
  <c r="AB71" i="24"/>
  <c r="AD71" i="24"/>
  <c r="AE71" i="24"/>
  <c r="AI71" i="24"/>
  <c r="AJ71" i="24"/>
  <c r="AL71" i="24"/>
  <c r="AM71" i="24"/>
  <c r="C72" i="24"/>
  <c r="D72" i="24"/>
  <c r="E72" i="24"/>
  <c r="G72" i="24"/>
  <c r="H72" i="24"/>
  <c r="L72" i="24"/>
  <c r="M72" i="24"/>
  <c r="O72" i="24"/>
  <c r="P72" i="24"/>
  <c r="T72" i="24"/>
  <c r="U72" i="24"/>
  <c r="W72" i="24"/>
  <c r="X72" i="24"/>
  <c r="AB72" i="24"/>
  <c r="AC72" i="24"/>
  <c r="AE72" i="24"/>
  <c r="AF72" i="24"/>
  <c r="AJ72" i="24"/>
  <c r="AK72" i="24"/>
  <c r="AM72" i="24"/>
  <c r="AN72" i="24"/>
  <c r="C73" i="24"/>
  <c r="D73" i="24"/>
  <c r="E73" i="24"/>
  <c r="F73" i="24"/>
  <c r="H73" i="24"/>
  <c r="I73" i="24"/>
  <c r="J73" i="24"/>
  <c r="K73" i="24"/>
  <c r="M73" i="24"/>
  <c r="N73" i="24"/>
  <c r="O73" i="24"/>
  <c r="P73" i="24"/>
  <c r="Q73" i="24"/>
  <c r="R73" i="24"/>
  <c r="U73" i="24"/>
  <c r="V73" i="24"/>
  <c r="W73" i="24"/>
  <c r="X73" i="24"/>
  <c r="Y73" i="24"/>
  <c r="Z73" i="24"/>
  <c r="AC73" i="24"/>
  <c r="AD73" i="24"/>
  <c r="AE73" i="24"/>
  <c r="AF73" i="24"/>
  <c r="AG73" i="24"/>
  <c r="AH73" i="24"/>
  <c r="AK73" i="24"/>
  <c r="AL73" i="24"/>
  <c r="AM73" i="24"/>
  <c r="AN73" i="24"/>
  <c r="B74" i="24"/>
  <c r="C74" i="24"/>
  <c r="E74" i="24"/>
  <c r="F74" i="24"/>
  <c r="G74" i="24"/>
  <c r="H74" i="24"/>
  <c r="I74" i="24"/>
  <c r="J74" i="24"/>
  <c r="K74" i="24"/>
  <c r="L74" i="24"/>
  <c r="M74" i="24"/>
  <c r="N74" i="24"/>
  <c r="O74" i="24"/>
  <c r="P74" i="24"/>
  <c r="Q74" i="24"/>
  <c r="R74" i="24"/>
  <c r="S74" i="24"/>
  <c r="U74" i="24"/>
  <c r="V74" i="24"/>
  <c r="W74" i="24"/>
  <c r="X74" i="24"/>
  <c r="Y74" i="24"/>
  <c r="Z74" i="24"/>
  <c r="AA74" i="24"/>
  <c r="AC74" i="24"/>
  <c r="AD74" i="24"/>
  <c r="AE74" i="24"/>
  <c r="AF74" i="24"/>
  <c r="AG74" i="24"/>
  <c r="AH74" i="24"/>
  <c r="AI74" i="24"/>
  <c r="AK74" i="24"/>
  <c r="AL74" i="24"/>
  <c r="AM74" i="24"/>
  <c r="AN74" i="24"/>
  <c r="B75" i="24"/>
  <c r="C75" i="24"/>
  <c r="D75" i="24"/>
  <c r="F75" i="24"/>
  <c r="G75" i="24"/>
  <c r="H75" i="24"/>
  <c r="I75" i="24"/>
  <c r="J75" i="24"/>
  <c r="K75" i="24"/>
  <c r="L75" i="24"/>
  <c r="N75" i="24"/>
  <c r="O75" i="24"/>
  <c r="P75" i="24"/>
  <c r="Q75" i="24"/>
  <c r="R75" i="24"/>
  <c r="S75" i="24"/>
  <c r="T75" i="24"/>
  <c r="V75" i="24"/>
  <c r="W75" i="24"/>
  <c r="X75" i="24"/>
  <c r="Y75" i="24"/>
  <c r="Z75" i="24"/>
  <c r="AA75" i="24"/>
  <c r="AB75" i="24"/>
  <c r="AD75" i="24"/>
  <c r="AE75" i="24"/>
  <c r="AF75" i="24"/>
  <c r="AG75" i="24"/>
  <c r="AH75" i="24"/>
  <c r="AI75" i="24"/>
  <c r="AJ75" i="24"/>
  <c r="AL75" i="24"/>
  <c r="AM75" i="24"/>
  <c r="AN75" i="24"/>
  <c r="B76" i="24"/>
  <c r="C76" i="24"/>
  <c r="D76" i="24"/>
  <c r="E76" i="24"/>
  <c r="G76" i="24"/>
  <c r="H76" i="24"/>
  <c r="I76" i="24"/>
  <c r="J76" i="24"/>
  <c r="K76" i="24"/>
  <c r="L76" i="24"/>
  <c r="M76" i="24"/>
  <c r="O76" i="24"/>
  <c r="P76" i="24"/>
  <c r="Q76" i="24"/>
  <c r="R76" i="24"/>
  <c r="S76" i="24"/>
  <c r="T76" i="24"/>
  <c r="U76" i="24"/>
  <c r="V76" i="24"/>
  <c r="W76" i="24"/>
  <c r="X76" i="24"/>
  <c r="Y76" i="24"/>
  <c r="Z76" i="24"/>
  <c r="AA76" i="24"/>
  <c r="AB76" i="24"/>
  <c r="AC76" i="24"/>
  <c r="AD76" i="24"/>
  <c r="AE76" i="24"/>
  <c r="AF76" i="24"/>
  <c r="AG76" i="24"/>
  <c r="AH76" i="24"/>
  <c r="AI76" i="24"/>
  <c r="AJ76" i="24"/>
  <c r="AK76" i="24"/>
  <c r="AL76" i="24"/>
  <c r="AM76" i="24"/>
  <c r="AN76" i="24"/>
  <c r="B77" i="24"/>
  <c r="C77" i="24"/>
  <c r="D77" i="24"/>
  <c r="E77" i="24"/>
  <c r="F77" i="24"/>
  <c r="G77" i="24"/>
  <c r="H77" i="24"/>
  <c r="I77" i="24"/>
  <c r="J77" i="24"/>
  <c r="K77" i="24"/>
  <c r="L77" i="24"/>
  <c r="M77" i="24"/>
  <c r="N77" i="24"/>
  <c r="O77" i="24"/>
  <c r="P77" i="24"/>
  <c r="Q77" i="24"/>
  <c r="R77" i="24"/>
  <c r="S77" i="24"/>
  <c r="T77" i="24"/>
  <c r="U77" i="24"/>
  <c r="V77" i="24"/>
  <c r="W77" i="24"/>
  <c r="X77" i="24"/>
  <c r="Y77" i="24"/>
  <c r="Z77" i="24"/>
  <c r="AA77" i="24"/>
  <c r="AB77" i="24"/>
  <c r="AC77" i="24"/>
  <c r="AD77" i="24"/>
  <c r="AE77" i="24"/>
  <c r="AF77" i="24"/>
  <c r="AG77" i="24"/>
  <c r="AH77" i="24"/>
  <c r="AI77" i="24"/>
  <c r="AJ77" i="24"/>
  <c r="AK77" i="24"/>
  <c r="AL77" i="24"/>
  <c r="AM77" i="24"/>
  <c r="AN77" i="24"/>
  <c r="B78" i="24"/>
  <c r="C78" i="24"/>
  <c r="D78" i="24"/>
  <c r="E78" i="24"/>
  <c r="F78" i="24"/>
  <c r="G78" i="24"/>
  <c r="H78" i="24"/>
  <c r="I78" i="24"/>
  <c r="J78" i="24"/>
  <c r="K78" i="24"/>
  <c r="L78" i="24"/>
  <c r="M78" i="24"/>
  <c r="N78" i="24"/>
  <c r="O78" i="24"/>
  <c r="P78" i="24"/>
  <c r="Q78" i="24"/>
  <c r="R78" i="24"/>
  <c r="S78" i="24"/>
  <c r="T78" i="24"/>
  <c r="U78" i="24"/>
  <c r="V78" i="24"/>
  <c r="W78" i="24"/>
  <c r="X78" i="24"/>
  <c r="Y78" i="24"/>
  <c r="Z78" i="24"/>
  <c r="AA78" i="24"/>
  <c r="AB78" i="24"/>
  <c r="AC78" i="24"/>
  <c r="AD78" i="24"/>
  <c r="AE78" i="24"/>
  <c r="AF78" i="24"/>
  <c r="AG78" i="24"/>
  <c r="AH78" i="24"/>
  <c r="AI78" i="24"/>
  <c r="AJ78" i="24"/>
  <c r="AK78" i="24"/>
  <c r="AL78" i="24"/>
  <c r="AM78" i="24"/>
  <c r="AN78" i="24"/>
  <c r="B79" i="24"/>
  <c r="C79" i="24"/>
  <c r="D79" i="24"/>
  <c r="E79" i="24"/>
  <c r="F79" i="24"/>
  <c r="G79" i="24"/>
  <c r="H79" i="24"/>
  <c r="I79" i="24"/>
  <c r="J79" i="24"/>
  <c r="K79" i="24"/>
  <c r="L79" i="24"/>
  <c r="M79" i="24"/>
  <c r="N79" i="24"/>
  <c r="O79" i="24"/>
  <c r="P79" i="24"/>
  <c r="Q79" i="24"/>
  <c r="R79" i="24"/>
  <c r="S79" i="24"/>
  <c r="T79" i="24"/>
  <c r="U79" i="24"/>
  <c r="V79" i="24"/>
  <c r="W79" i="24"/>
  <c r="X79" i="24"/>
  <c r="Y79" i="24"/>
  <c r="Z79" i="24"/>
  <c r="AA79" i="24"/>
  <c r="AB79" i="24"/>
  <c r="AC79" i="24"/>
  <c r="AD79" i="24"/>
  <c r="AE79" i="24"/>
  <c r="AF79" i="24"/>
  <c r="AG79" i="24"/>
  <c r="AH79" i="24"/>
  <c r="AI79" i="24"/>
  <c r="AJ79" i="24"/>
  <c r="AK79" i="24"/>
  <c r="AL79" i="24"/>
  <c r="AM79" i="24"/>
  <c r="AN79" i="24"/>
  <c r="B80" i="24"/>
  <c r="C80" i="24"/>
  <c r="D80" i="24"/>
  <c r="E80" i="24"/>
  <c r="F80" i="24"/>
  <c r="G80" i="24"/>
  <c r="H80" i="24"/>
  <c r="I80" i="24"/>
  <c r="J80" i="24"/>
  <c r="K80" i="24"/>
  <c r="L80" i="24"/>
  <c r="M80" i="24"/>
  <c r="N80" i="24"/>
  <c r="O80" i="24"/>
  <c r="P80" i="24"/>
  <c r="Q80" i="24"/>
  <c r="R80" i="24"/>
  <c r="S80" i="24"/>
  <c r="T80" i="24"/>
  <c r="U80" i="24"/>
  <c r="V80" i="24"/>
  <c r="W80" i="24"/>
  <c r="X80" i="24"/>
  <c r="Y80" i="24"/>
  <c r="Z80" i="24"/>
  <c r="AA80" i="24"/>
  <c r="AB80" i="24"/>
  <c r="AC80" i="24"/>
  <c r="AD80" i="24"/>
  <c r="AE80" i="24"/>
  <c r="AF80" i="24"/>
  <c r="AG80" i="24"/>
  <c r="AH80" i="24"/>
  <c r="AI80" i="24"/>
  <c r="AJ80" i="24"/>
  <c r="AK80" i="24"/>
  <c r="AL80" i="24"/>
  <c r="AM80" i="24"/>
  <c r="AN80" i="24"/>
  <c r="B81" i="24"/>
  <c r="C81" i="24"/>
  <c r="D81" i="24"/>
  <c r="E81" i="24"/>
  <c r="F81" i="24"/>
  <c r="G81" i="24"/>
  <c r="H81" i="24"/>
  <c r="I81" i="24"/>
  <c r="J81" i="24"/>
  <c r="K81" i="24"/>
  <c r="L81" i="24"/>
  <c r="M81" i="24"/>
  <c r="N81" i="24"/>
  <c r="O81" i="24"/>
  <c r="P81" i="24"/>
  <c r="Q81" i="24"/>
  <c r="R81" i="24"/>
  <c r="S81" i="24"/>
  <c r="T81" i="24"/>
  <c r="U81" i="24"/>
  <c r="V81" i="24"/>
  <c r="W81" i="24"/>
  <c r="X81" i="24"/>
  <c r="Y81" i="24"/>
  <c r="Z81" i="24"/>
  <c r="AA81" i="24"/>
  <c r="AB81" i="24"/>
  <c r="AC81" i="24"/>
  <c r="AD81" i="24"/>
  <c r="AE81" i="24"/>
  <c r="AF81" i="24"/>
  <c r="AG81" i="24"/>
  <c r="AH81" i="24"/>
  <c r="AI81" i="24"/>
  <c r="AJ81" i="24"/>
  <c r="AK81" i="24"/>
  <c r="AL81" i="24"/>
  <c r="AM81" i="24"/>
  <c r="AN81" i="24"/>
  <c r="B82" i="24"/>
  <c r="C82" i="24"/>
  <c r="D82" i="24"/>
  <c r="E82" i="24"/>
  <c r="F82" i="24"/>
  <c r="G82" i="24"/>
  <c r="H82" i="24"/>
  <c r="I82" i="24"/>
  <c r="J82" i="24"/>
  <c r="K82" i="24"/>
  <c r="L82" i="24"/>
  <c r="M82" i="24"/>
  <c r="N82" i="24"/>
  <c r="O82" i="24"/>
  <c r="P82" i="24"/>
  <c r="Q82" i="24"/>
  <c r="R82" i="24"/>
  <c r="S82" i="24"/>
  <c r="T82" i="24"/>
  <c r="U82" i="24"/>
  <c r="V82" i="24"/>
  <c r="W82" i="24"/>
  <c r="X82" i="24"/>
  <c r="Y82" i="24"/>
  <c r="Z82" i="24"/>
  <c r="AA82" i="24"/>
  <c r="AB82" i="24"/>
  <c r="AC82" i="24"/>
  <c r="AD82" i="24"/>
  <c r="AE82" i="24"/>
  <c r="AF82" i="24"/>
  <c r="AG82" i="24"/>
  <c r="AH82" i="24"/>
  <c r="AI82" i="24"/>
  <c r="AJ82" i="24"/>
  <c r="AK82" i="24"/>
  <c r="AL82" i="24"/>
  <c r="AM82" i="24"/>
  <c r="AN82" i="24"/>
  <c r="B83" i="24"/>
  <c r="C83" i="24"/>
  <c r="D83" i="24"/>
  <c r="E83" i="24"/>
  <c r="F83" i="24"/>
  <c r="G83" i="24"/>
  <c r="H83" i="24"/>
  <c r="I83" i="24"/>
  <c r="J83" i="24"/>
  <c r="K83" i="24"/>
  <c r="L83" i="24"/>
  <c r="M83" i="24"/>
  <c r="N83" i="24"/>
  <c r="O83" i="24"/>
  <c r="P83" i="24"/>
  <c r="Q83" i="24"/>
  <c r="R83" i="24"/>
  <c r="S83" i="24"/>
  <c r="T83" i="24"/>
  <c r="U83" i="24"/>
  <c r="V83" i="24"/>
  <c r="W83" i="24"/>
  <c r="X83" i="24"/>
  <c r="Y83" i="24"/>
  <c r="Z83" i="24"/>
  <c r="AA83" i="24"/>
  <c r="AB83" i="24"/>
  <c r="AC83" i="24"/>
  <c r="AD83" i="24"/>
  <c r="AE83" i="24"/>
  <c r="AF83" i="24"/>
  <c r="AG83" i="24"/>
  <c r="AH83" i="24"/>
  <c r="AI83" i="24"/>
  <c r="AJ83" i="24"/>
  <c r="AK83" i="24"/>
  <c r="AL83" i="24"/>
  <c r="AM83" i="24"/>
  <c r="AN83" i="24"/>
  <c r="B84" i="24"/>
  <c r="C84" i="24"/>
  <c r="D84" i="24"/>
  <c r="E84" i="24"/>
  <c r="F84" i="24"/>
  <c r="G84" i="24"/>
  <c r="H84" i="24"/>
  <c r="I84" i="24"/>
  <c r="J84" i="24"/>
  <c r="K84" i="24"/>
  <c r="L84" i="24"/>
  <c r="M84" i="24"/>
  <c r="N84" i="24"/>
  <c r="O84" i="24"/>
  <c r="P84" i="24"/>
  <c r="Q84" i="24"/>
  <c r="R84" i="24"/>
  <c r="S84" i="24"/>
  <c r="T84" i="24"/>
  <c r="U84" i="24"/>
  <c r="V84" i="24"/>
  <c r="W84" i="24"/>
  <c r="X84" i="24"/>
  <c r="Y84" i="24"/>
  <c r="Z84" i="24"/>
  <c r="AA84" i="24"/>
  <c r="AB84" i="24"/>
  <c r="AC84" i="24"/>
  <c r="AD84" i="24"/>
  <c r="AE84" i="24"/>
  <c r="AF84" i="24"/>
  <c r="AG84" i="24"/>
  <c r="AH84" i="24"/>
  <c r="AI84" i="24"/>
  <c r="AJ84" i="24"/>
  <c r="AK84" i="24"/>
  <c r="AL84" i="24"/>
  <c r="AM84" i="24"/>
  <c r="AN84" i="24"/>
  <c r="B85" i="24"/>
  <c r="C85" i="24"/>
  <c r="D85" i="24"/>
  <c r="E85" i="24"/>
  <c r="F85" i="24"/>
  <c r="G85" i="24"/>
  <c r="H85" i="24"/>
  <c r="I85" i="24"/>
  <c r="J85" i="24"/>
  <c r="K85" i="24"/>
  <c r="L85" i="24"/>
  <c r="M85" i="24"/>
  <c r="N85" i="24"/>
  <c r="O85" i="24"/>
  <c r="P85" i="24"/>
  <c r="Q85" i="24"/>
  <c r="R85" i="24"/>
  <c r="S85" i="24"/>
  <c r="T85" i="24"/>
  <c r="U85" i="24"/>
  <c r="V85" i="24"/>
  <c r="W85" i="24"/>
  <c r="X85" i="24"/>
  <c r="Y85" i="24"/>
  <c r="Z85" i="24"/>
  <c r="AA85" i="24"/>
  <c r="AB85" i="24"/>
  <c r="AC85" i="24"/>
  <c r="AD85" i="24"/>
  <c r="AE85" i="24"/>
  <c r="AF85" i="24"/>
  <c r="AG85" i="24"/>
  <c r="AH85" i="24"/>
  <c r="AI85" i="24"/>
  <c r="AJ85" i="24"/>
  <c r="AK85" i="24"/>
  <c r="AL85" i="24"/>
  <c r="AM85" i="24"/>
  <c r="AN85" i="24"/>
  <c r="B86" i="24"/>
  <c r="C86" i="24"/>
  <c r="D86" i="24"/>
  <c r="E86" i="24"/>
  <c r="F86" i="24"/>
  <c r="G86" i="24"/>
  <c r="H86" i="24"/>
  <c r="I86" i="24"/>
  <c r="J86" i="24"/>
  <c r="K86" i="24"/>
  <c r="L86" i="24"/>
  <c r="M86" i="24"/>
  <c r="N86" i="24"/>
  <c r="O86" i="24"/>
  <c r="P86" i="24"/>
  <c r="Q86" i="24"/>
  <c r="R86" i="24"/>
  <c r="S86" i="24"/>
  <c r="T86" i="24"/>
  <c r="U86" i="24"/>
  <c r="V86" i="24"/>
  <c r="W86" i="24"/>
  <c r="X86" i="24"/>
  <c r="Y86" i="24"/>
  <c r="Z86" i="24"/>
  <c r="AA86" i="24"/>
  <c r="AB86" i="24"/>
  <c r="AC86" i="24"/>
  <c r="AD86" i="24"/>
  <c r="AE86" i="24"/>
  <c r="AF86" i="24"/>
  <c r="AG86" i="24"/>
  <c r="AH86" i="24"/>
  <c r="AI86" i="24"/>
  <c r="AJ86" i="24"/>
  <c r="AK86" i="24"/>
  <c r="AL86" i="24"/>
  <c r="AM86" i="24"/>
  <c r="AN86" i="24"/>
  <c r="B87" i="24"/>
  <c r="C87" i="24"/>
  <c r="D87" i="24"/>
  <c r="E87" i="24"/>
  <c r="F87" i="24"/>
  <c r="G87" i="24"/>
  <c r="H87" i="24"/>
  <c r="I87" i="24"/>
  <c r="J87" i="24"/>
  <c r="K87" i="24"/>
  <c r="L87" i="24"/>
  <c r="M87" i="24"/>
  <c r="N87" i="24"/>
  <c r="O87" i="24"/>
  <c r="P87" i="24"/>
  <c r="Q87" i="24"/>
  <c r="R87" i="24"/>
  <c r="S87" i="24"/>
  <c r="T87" i="24"/>
  <c r="U87" i="24"/>
  <c r="V87" i="24"/>
  <c r="W87" i="24"/>
  <c r="X87" i="24"/>
  <c r="Y87" i="24"/>
  <c r="Z87" i="24"/>
  <c r="AA87" i="24"/>
  <c r="AB87" i="24"/>
  <c r="AC87" i="24"/>
  <c r="AD87" i="24"/>
  <c r="AE87" i="24"/>
  <c r="AF87" i="24"/>
  <c r="AG87" i="24"/>
  <c r="AH87" i="24"/>
  <c r="AI87" i="24"/>
  <c r="AJ87" i="24"/>
  <c r="AK87" i="24"/>
  <c r="AL87" i="24"/>
  <c r="AM87" i="24"/>
  <c r="AN87" i="24"/>
  <c r="B88" i="24"/>
  <c r="C88" i="24"/>
  <c r="D88" i="24"/>
  <c r="E88" i="24"/>
  <c r="F88" i="24"/>
  <c r="G88" i="24"/>
  <c r="H88" i="24"/>
  <c r="I88" i="24"/>
  <c r="J88" i="24"/>
  <c r="K88" i="24"/>
  <c r="L88" i="24"/>
  <c r="M88" i="24"/>
  <c r="N88" i="24"/>
  <c r="O88" i="24"/>
  <c r="P88" i="24"/>
  <c r="Q88" i="24"/>
  <c r="R88" i="24"/>
  <c r="S88" i="24"/>
  <c r="T88" i="24"/>
  <c r="U88" i="24"/>
  <c r="V88" i="24"/>
  <c r="W88" i="24"/>
  <c r="X88" i="24"/>
  <c r="Y88" i="24"/>
  <c r="Z88" i="24"/>
  <c r="AA88" i="24"/>
  <c r="AB88" i="24"/>
  <c r="AC88" i="24"/>
  <c r="AD88" i="24"/>
  <c r="AE88" i="24"/>
  <c r="AF88" i="24"/>
  <c r="AG88" i="24"/>
  <c r="AH88" i="24"/>
  <c r="AI88" i="24"/>
  <c r="AJ88" i="24"/>
  <c r="AK88" i="24"/>
  <c r="AL88" i="24"/>
  <c r="AM88" i="24"/>
  <c r="AN88" i="24"/>
  <c r="B89" i="24"/>
  <c r="C89" i="24"/>
  <c r="D89" i="24"/>
  <c r="E89" i="24"/>
  <c r="F89" i="24"/>
  <c r="G89" i="24"/>
  <c r="H89" i="24"/>
  <c r="I89" i="24"/>
  <c r="J89" i="24"/>
  <c r="K89" i="24"/>
  <c r="L89" i="24"/>
  <c r="M89" i="24"/>
  <c r="N89" i="24"/>
  <c r="O89" i="24"/>
  <c r="P89" i="24"/>
  <c r="Q89" i="24"/>
  <c r="R89" i="24"/>
  <c r="S89" i="24"/>
  <c r="T89" i="24"/>
  <c r="U89" i="24"/>
  <c r="V89" i="24"/>
  <c r="W89" i="24"/>
  <c r="X89" i="24"/>
  <c r="Y89" i="24"/>
  <c r="Z89" i="24"/>
  <c r="AA89" i="24"/>
  <c r="AB89" i="24"/>
  <c r="AC89" i="24"/>
  <c r="AD89" i="24"/>
  <c r="AE89" i="24"/>
  <c r="AF89" i="24"/>
  <c r="AG89" i="24"/>
  <c r="AH89" i="24"/>
  <c r="AI89" i="24"/>
  <c r="AJ89" i="24"/>
  <c r="AK89" i="24"/>
  <c r="AL89" i="24"/>
  <c r="AM89" i="24"/>
  <c r="AN89" i="24"/>
  <c r="B90" i="24"/>
  <c r="C90" i="24"/>
  <c r="D90" i="24"/>
  <c r="E90" i="24"/>
  <c r="F90" i="24"/>
  <c r="G90" i="24"/>
  <c r="H90" i="24"/>
  <c r="I90" i="24"/>
  <c r="J90" i="24"/>
  <c r="K90" i="24"/>
  <c r="L90" i="24"/>
  <c r="M90" i="24"/>
  <c r="N90" i="24"/>
  <c r="O90" i="24"/>
  <c r="P90" i="24"/>
  <c r="Q90" i="24"/>
  <c r="R90" i="24"/>
  <c r="S90" i="24"/>
  <c r="T90" i="24"/>
  <c r="U90" i="24"/>
  <c r="V90" i="24"/>
  <c r="W90" i="24"/>
  <c r="X90" i="24"/>
  <c r="Y90" i="24"/>
  <c r="Z90" i="24"/>
  <c r="AA90" i="24"/>
  <c r="AB90" i="24"/>
  <c r="AC90" i="24"/>
  <c r="AD90" i="24"/>
  <c r="AE90" i="24"/>
  <c r="AF90" i="24"/>
  <c r="AG90" i="24"/>
  <c r="AH90" i="24"/>
  <c r="AI90" i="24"/>
  <c r="AJ90" i="24"/>
  <c r="AK90" i="24"/>
  <c r="AL90" i="24"/>
  <c r="AM90" i="24"/>
  <c r="AN90" i="24"/>
  <c r="B91" i="24"/>
  <c r="C91" i="24"/>
  <c r="D91" i="24"/>
  <c r="E91" i="24"/>
  <c r="F91" i="24"/>
  <c r="G91" i="24"/>
  <c r="H91" i="24"/>
  <c r="I91" i="24"/>
  <c r="J91" i="24"/>
  <c r="K91" i="24"/>
  <c r="L91" i="24"/>
  <c r="M91" i="24"/>
  <c r="N91" i="24"/>
  <c r="O91" i="24"/>
  <c r="P91" i="24"/>
  <c r="Q91" i="24"/>
  <c r="R91" i="24"/>
  <c r="S91" i="24"/>
  <c r="T91" i="24"/>
  <c r="U91" i="24"/>
  <c r="V91" i="24"/>
  <c r="W91" i="24"/>
  <c r="X91" i="24"/>
  <c r="Y91" i="24"/>
  <c r="Z91" i="24"/>
  <c r="AA91" i="24"/>
  <c r="AB91" i="24"/>
  <c r="AC91" i="24"/>
  <c r="AD91" i="24"/>
  <c r="AE91" i="24"/>
  <c r="AF91" i="24"/>
  <c r="AG91" i="24"/>
  <c r="AH91" i="24"/>
  <c r="AI91" i="24"/>
  <c r="AJ91" i="24"/>
  <c r="AK91" i="24"/>
  <c r="AL91" i="24"/>
  <c r="AM91" i="24"/>
  <c r="AN91" i="24"/>
  <c r="B92" i="24"/>
  <c r="C92" i="24"/>
  <c r="D92" i="24"/>
  <c r="E92" i="24"/>
  <c r="F92" i="24"/>
  <c r="G92" i="24"/>
  <c r="H92" i="24"/>
  <c r="I92" i="24"/>
  <c r="J92" i="24"/>
  <c r="K92" i="24"/>
  <c r="L92" i="24"/>
  <c r="M92" i="24"/>
  <c r="N92" i="24"/>
  <c r="O92" i="24"/>
  <c r="P92" i="24"/>
  <c r="Q92" i="24"/>
  <c r="R92" i="24"/>
  <c r="S92" i="24"/>
  <c r="T92" i="24"/>
  <c r="U92" i="24"/>
  <c r="V92" i="24"/>
  <c r="W92" i="24"/>
  <c r="X92" i="24"/>
  <c r="Y92" i="24"/>
  <c r="Z92" i="24"/>
  <c r="AA92" i="24"/>
  <c r="AB92" i="24"/>
  <c r="AC92" i="24"/>
  <c r="AD92" i="24"/>
  <c r="AE92" i="24"/>
  <c r="AF92" i="24"/>
  <c r="AG92" i="24"/>
  <c r="AH92" i="24"/>
  <c r="AI92" i="24"/>
  <c r="AJ92" i="24"/>
  <c r="AK92" i="24"/>
  <c r="AL92" i="24"/>
  <c r="AM92" i="24"/>
  <c r="AN92" i="24"/>
  <c r="B93" i="24"/>
  <c r="C93" i="24"/>
  <c r="D93" i="24"/>
  <c r="E93" i="24"/>
  <c r="F93" i="24"/>
  <c r="G93" i="24"/>
  <c r="H93" i="24"/>
  <c r="I93" i="24"/>
  <c r="J93" i="24"/>
  <c r="K93" i="24"/>
  <c r="L93" i="24"/>
  <c r="M93" i="24"/>
  <c r="N93" i="24"/>
  <c r="O93" i="24"/>
  <c r="P93" i="24"/>
  <c r="Q93" i="24"/>
  <c r="R93" i="24"/>
  <c r="S93" i="24"/>
  <c r="T93" i="24"/>
  <c r="U93" i="24"/>
  <c r="V93" i="24"/>
  <c r="W93" i="24"/>
  <c r="X93" i="24"/>
  <c r="Y93" i="24"/>
  <c r="Z93" i="24"/>
  <c r="AA93" i="24"/>
  <c r="AB93" i="24"/>
  <c r="AC93" i="24"/>
  <c r="AD93" i="24"/>
  <c r="AE93" i="24"/>
  <c r="AF93" i="24"/>
  <c r="AG93" i="24"/>
  <c r="AH93" i="24"/>
  <c r="AI93" i="24"/>
  <c r="AJ93" i="24"/>
  <c r="AK93" i="24"/>
  <c r="AL93" i="24"/>
  <c r="AM93" i="24"/>
  <c r="AN93" i="24"/>
  <c r="B94" i="24"/>
  <c r="C94" i="24"/>
  <c r="D94" i="24"/>
  <c r="E94" i="24"/>
  <c r="F94" i="24"/>
  <c r="G94" i="24"/>
  <c r="H94" i="24"/>
  <c r="I94" i="24"/>
  <c r="J94" i="24"/>
  <c r="K94" i="24"/>
  <c r="L94" i="24"/>
  <c r="M94" i="24"/>
  <c r="N94" i="24"/>
  <c r="O94" i="24"/>
  <c r="P94" i="24"/>
  <c r="Q94" i="24"/>
  <c r="R94" i="24"/>
  <c r="S94" i="24"/>
  <c r="T94" i="24"/>
  <c r="U94" i="24"/>
  <c r="V94" i="24"/>
  <c r="W94" i="24"/>
  <c r="X94" i="24"/>
  <c r="Y94" i="24"/>
  <c r="Z94" i="24"/>
  <c r="AA94" i="24"/>
  <c r="AB94" i="24"/>
  <c r="AC94" i="24"/>
  <c r="AD94" i="24"/>
  <c r="AE94" i="24"/>
  <c r="AF94" i="24"/>
  <c r="AG94" i="24"/>
  <c r="AH94" i="24"/>
  <c r="AI94" i="24"/>
  <c r="AJ94" i="24"/>
  <c r="AK94" i="24"/>
  <c r="AL94" i="24"/>
  <c r="AM94" i="24"/>
  <c r="AN94" i="24"/>
  <c r="B95" i="24"/>
  <c r="C95" i="24"/>
  <c r="D95" i="24"/>
  <c r="E95" i="24"/>
  <c r="F95" i="24"/>
  <c r="G95" i="24"/>
  <c r="H95" i="24"/>
  <c r="I95" i="24"/>
  <c r="J95" i="24"/>
  <c r="K95" i="24"/>
  <c r="L95" i="24"/>
  <c r="M95" i="24"/>
  <c r="N95" i="24"/>
  <c r="O95" i="24"/>
  <c r="P95" i="24"/>
  <c r="Q95" i="24"/>
  <c r="R95" i="24"/>
  <c r="S95" i="24"/>
  <c r="T95" i="24"/>
  <c r="U95" i="24"/>
  <c r="V95" i="24"/>
  <c r="W95" i="24"/>
  <c r="X95" i="24"/>
  <c r="Y95" i="24"/>
  <c r="Z95" i="24"/>
  <c r="AA95" i="24"/>
  <c r="AB95" i="24"/>
  <c r="AC95" i="24"/>
  <c r="AD95" i="24"/>
  <c r="AE95" i="24"/>
  <c r="AF95" i="24"/>
  <c r="AG95" i="24"/>
  <c r="AH95" i="24"/>
  <c r="AI95" i="24"/>
  <c r="AJ95" i="24"/>
  <c r="AK95" i="24"/>
  <c r="AL95" i="24"/>
  <c r="AM95" i="24"/>
  <c r="AN95" i="24"/>
  <c r="B96" i="24"/>
  <c r="C96" i="24"/>
  <c r="D96" i="24"/>
  <c r="E96" i="24"/>
  <c r="F96" i="24"/>
  <c r="G96" i="24"/>
  <c r="H96" i="24"/>
  <c r="I96" i="24"/>
  <c r="J96" i="24"/>
  <c r="K96" i="24"/>
  <c r="L96" i="24"/>
  <c r="M96" i="24"/>
  <c r="N96" i="24"/>
  <c r="O96" i="24"/>
  <c r="P96" i="24"/>
  <c r="Q96" i="24"/>
  <c r="R96" i="24"/>
  <c r="S96" i="24"/>
  <c r="T96" i="24"/>
  <c r="U96" i="24"/>
  <c r="V96" i="24"/>
  <c r="W96" i="24"/>
  <c r="X96" i="24"/>
  <c r="Y96" i="24"/>
  <c r="Z96" i="24"/>
  <c r="AA96" i="24"/>
  <c r="AB96" i="24"/>
  <c r="AC96" i="24"/>
  <c r="AD96" i="24"/>
  <c r="AE96" i="24"/>
  <c r="AF96" i="24"/>
  <c r="AG96" i="24"/>
  <c r="AH96" i="24"/>
  <c r="AI96" i="24"/>
  <c r="AJ96" i="24"/>
  <c r="AK96" i="24"/>
  <c r="AL96" i="24"/>
  <c r="AM96" i="24"/>
  <c r="AN96" i="24"/>
  <c r="B97" i="24"/>
  <c r="C97" i="24"/>
  <c r="D97" i="24"/>
  <c r="E97" i="24"/>
  <c r="F97" i="24"/>
  <c r="G97" i="24"/>
  <c r="H97" i="24"/>
  <c r="I97" i="24"/>
  <c r="J97" i="24"/>
  <c r="K97" i="24"/>
  <c r="L97" i="24"/>
  <c r="M97" i="24"/>
  <c r="N97" i="24"/>
  <c r="O97" i="24"/>
  <c r="P97" i="24"/>
  <c r="Q97" i="24"/>
  <c r="R97" i="24"/>
  <c r="S97" i="24"/>
  <c r="T97" i="24"/>
  <c r="U97" i="24"/>
  <c r="V97" i="24"/>
  <c r="W97" i="24"/>
  <c r="X97" i="24"/>
  <c r="Y97" i="24"/>
  <c r="Z97" i="24"/>
  <c r="AA97" i="24"/>
  <c r="AB97" i="24"/>
  <c r="AC97" i="24"/>
  <c r="AD97" i="24"/>
  <c r="AE97" i="24"/>
  <c r="AF97" i="24"/>
  <c r="AG97" i="24"/>
  <c r="AH97" i="24"/>
  <c r="AI97" i="24"/>
  <c r="AJ97" i="24"/>
  <c r="AK97" i="24"/>
  <c r="AL97" i="24"/>
  <c r="AM97" i="24"/>
  <c r="AN97" i="24"/>
  <c r="B98" i="24"/>
  <c r="C98" i="24"/>
  <c r="D98" i="24"/>
  <c r="E98" i="24"/>
  <c r="F98" i="24"/>
  <c r="G98" i="24"/>
  <c r="H98" i="24"/>
  <c r="I98" i="24"/>
  <c r="J98" i="24"/>
  <c r="K98" i="24"/>
  <c r="L98" i="24"/>
  <c r="M98" i="24"/>
  <c r="N98" i="24"/>
  <c r="O98" i="24"/>
  <c r="P98" i="24"/>
  <c r="Q98" i="24"/>
  <c r="R98" i="24"/>
  <c r="S98" i="24"/>
  <c r="T98" i="24"/>
  <c r="U98" i="24"/>
  <c r="V98" i="24"/>
  <c r="W98" i="24"/>
  <c r="X98" i="24"/>
  <c r="Y98" i="24"/>
  <c r="Z98" i="24"/>
  <c r="AA98" i="24"/>
  <c r="AB98" i="24"/>
  <c r="AC98" i="24"/>
  <c r="AD98" i="24"/>
  <c r="AE98" i="24"/>
  <c r="AF98" i="24"/>
  <c r="AG98" i="24"/>
  <c r="AH98" i="24"/>
  <c r="AI98" i="24"/>
  <c r="AJ98" i="24"/>
  <c r="AK98" i="24"/>
  <c r="AL98" i="24"/>
  <c r="AM98" i="24"/>
  <c r="AN98" i="24"/>
  <c r="B99" i="24"/>
  <c r="C99" i="24"/>
  <c r="D99" i="24"/>
  <c r="E99" i="24"/>
  <c r="F99" i="24"/>
  <c r="G99" i="24"/>
  <c r="H99" i="24"/>
  <c r="I99" i="24"/>
  <c r="J99" i="24"/>
  <c r="K99" i="24"/>
  <c r="L99" i="24"/>
  <c r="M99" i="24"/>
  <c r="N99" i="24"/>
  <c r="O99" i="24"/>
  <c r="P99" i="24"/>
  <c r="Q99" i="24"/>
  <c r="R99" i="24"/>
  <c r="S99" i="24"/>
  <c r="T99" i="24"/>
  <c r="U99" i="24"/>
  <c r="V99" i="24"/>
  <c r="W99" i="24"/>
  <c r="X99" i="24"/>
  <c r="Y99" i="24"/>
  <c r="Z99" i="24"/>
  <c r="AA99" i="24"/>
  <c r="AB99" i="24"/>
  <c r="AC99" i="24"/>
  <c r="AD99" i="24"/>
  <c r="AE99" i="24"/>
  <c r="AF99" i="24"/>
  <c r="AG99" i="24"/>
  <c r="AH99" i="24"/>
  <c r="AI99" i="24"/>
  <c r="AJ99" i="24"/>
  <c r="AK99" i="24"/>
  <c r="AL99" i="24"/>
  <c r="AM99" i="24"/>
  <c r="AN99" i="24"/>
  <c r="B100" i="24"/>
  <c r="C100" i="24"/>
  <c r="D100" i="24"/>
  <c r="E100" i="24"/>
  <c r="F100" i="24"/>
  <c r="G100" i="24"/>
  <c r="H100" i="24"/>
  <c r="I100" i="24"/>
  <c r="J100" i="24"/>
  <c r="K100" i="24"/>
  <c r="L100" i="24"/>
  <c r="M100" i="24"/>
  <c r="N100" i="24"/>
  <c r="O100" i="24"/>
  <c r="P100" i="24"/>
  <c r="Q100" i="24"/>
  <c r="R100" i="24"/>
  <c r="S100" i="24"/>
  <c r="T100" i="24"/>
  <c r="U100" i="24"/>
  <c r="V100" i="24"/>
  <c r="W100" i="24"/>
  <c r="X100" i="24"/>
  <c r="Y100" i="24"/>
  <c r="Z100" i="24"/>
  <c r="AA100" i="24"/>
  <c r="AB100" i="24"/>
  <c r="AC100" i="24"/>
  <c r="AD100" i="24"/>
  <c r="AE100" i="24"/>
  <c r="AF100" i="24"/>
  <c r="AG100" i="24"/>
  <c r="AH100" i="24"/>
  <c r="AI100" i="24"/>
  <c r="AJ100" i="24"/>
  <c r="AK100" i="24"/>
  <c r="AL100" i="24"/>
  <c r="AM100" i="24"/>
  <c r="AN100" i="24"/>
  <c r="B101" i="24"/>
  <c r="C101" i="24"/>
  <c r="D101" i="24"/>
  <c r="E101" i="24"/>
  <c r="F101" i="24"/>
  <c r="G101" i="24"/>
  <c r="H101" i="24"/>
  <c r="I101" i="24"/>
  <c r="J101" i="24"/>
  <c r="K101" i="24"/>
  <c r="L101" i="24"/>
  <c r="M101" i="24"/>
  <c r="N101" i="24"/>
  <c r="O101" i="24"/>
  <c r="P101" i="24"/>
  <c r="Q101" i="24"/>
  <c r="R101" i="24"/>
  <c r="S101" i="24"/>
  <c r="T101" i="24"/>
  <c r="U101" i="24"/>
  <c r="V101" i="24"/>
  <c r="W101" i="24"/>
  <c r="X101" i="24"/>
  <c r="Y101" i="24"/>
  <c r="Z101" i="24"/>
  <c r="AA101" i="24"/>
  <c r="AB101" i="24"/>
  <c r="AC101" i="24"/>
  <c r="AD101" i="24"/>
  <c r="AE101" i="24"/>
  <c r="AF101" i="24"/>
  <c r="AG101" i="24"/>
  <c r="AH101" i="24"/>
  <c r="AI101" i="24"/>
  <c r="AJ101" i="24"/>
  <c r="AK101" i="24"/>
  <c r="AL101" i="24"/>
  <c r="AM101" i="24"/>
  <c r="AN101" i="24"/>
  <c r="B102" i="24"/>
  <c r="C102" i="24"/>
  <c r="D102" i="24"/>
  <c r="E102" i="24"/>
  <c r="F102" i="24"/>
  <c r="G102" i="24"/>
  <c r="H102" i="24"/>
  <c r="I102" i="24"/>
  <c r="J102" i="24"/>
  <c r="K102" i="24"/>
  <c r="L102" i="24"/>
  <c r="M102" i="24"/>
  <c r="N102" i="24"/>
  <c r="O102" i="24"/>
  <c r="P102" i="24"/>
  <c r="Q102" i="24"/>
  <c r="R102" i="24"/>
  <c r="S102" i="24"/>
  <c r="T102" i="24"/>
  <c r="U102" i="24"/>
  <c r="V102" i="24"/>
  <c r="W102" i="24"/>
  <c r="X102" i="24"/>
  <c r="Y102" i="24"/>
  <c r="Z102" i="24"/>
  <c r="AA102" i="24"/>
  <c r="AB102" i="24"/>
  <c r="AC102" i="24"/>
  <c r="AD102" i="24"/>
  <c r="AE102" i="24"/>
  <c r="AF102" i="24"/>
  <c r="AG102" i="24"/>
  <c r="AH102" i="24"/>
  <c r="AI102" i="24"/>
  <c r="AJ102" i="24"/>
  <c r="AK102" i="24"/>
  <c r="AL102" i="24"/>
  <c r="AM102" i="24"/>
  <c r="AN102" i="24"/>
  <c r="AN2" i="24"/>
  <c r="AM2" i="24"/>
  <c r="AL2" i="24"/>
  <c r="AK2" i="24"/>
  <c r="AJ2" i="24"/>
  <c r="AI2" i="24"/>
  <c r="AH2" i="24"/>
  <c r="AG2" i="24"/>
  <c r="AF2" i="24"/>
  <c r="AE2" i="24"/>
  <c r="AD2" i="24"/>
  <c r="AC2" i="24"/>
  <c r="AB2" i="24"/>
  <c r="AA2" i="24"/>
  <c r="Z2" i="24"/>
  <c r="Y2" i="24"/>
  <c r="X2" i="24"/>
  <c r="W2" i="24"/>
  <c r="V2" i="24"/>
  <c r="U2" i="24"/>
  <c r="T2" i="24"/>
  <c r="S2" i="24"/>
  <c r="R2" i="24"/>
  <c r="Q2" i="24"/>
  <c r="P2" i="24"/>
  <c r="O2" i="24"/>
  <c r="N2" i="24"/>
  <c r="M2" i="24"/>
  <c r="L2" i="24"/>
  <c r="K2" i="24"/>
  <c r="J2" i="24"/>
  <c r="I2" i="24"/>
  <c r="H2" i="24"/>
  <c r="G2" i="24"/>
  <c r="F2" i="24"/>
  <c r="E2" i="24"/>
  <c r="D2" i="24"/>
  <c r="C2" i="24"/>
  <c r="B2" i="24"/>
  <c r="B3" i="20"/>
  <c r="C3" i="20"/>
  <c r="D3" i="20"/>
  <c r="E3" i="20"/>
  <c r="F3" i="20"/>
  <c r="G3" i="20"/>
  <c r="H3" i="20"/>
  <c r="I3" i="20"/>
  <c r="J3" i="20"/>
  <c r="K3" i="20"/>
  <c r="L3" i="20"/>
  <c r="M3" i="20"/>
  <c r="N3" i="20"/>
  <c r="O3" i="20"/>
  <c r="P3" i="20"/>
  <c r="Q3" i="20"/>
  <c r="R3" i="20"/>
  <c r="S3" i="20"/>
  <c r="T3" i="20"/>
  <c r="U3" i="20"/>
  <c r="V3" i="20"/>
  <c r="W3" i="20"/>
  <c r="X3" i="20"/>
  <c r="Y3" i="20"/>
  <c r="Z3" i="20"/>
  <c r="AA3" i="20"/>
  <c r="AB3" i="20"/>
  <c r="AC3" i="20"/>
  <c r="AD3" i="20"/>
  <c r="AE3" i="20"/>
  <c r="AF3" i="20"/>
  <c r="AG3" i="20"/>
  <c r="AH3" i="20"/>
  <c r="AI3" i="20"/>
  <c r="AJ3" i="20"/>
  <c r="AK3" i="20"/>
  <c r="AL3" i="20"/>
  <c r="AM3" i="20"/>
  <c r="AN3" i="20"/>
  <c r="B4" i="20"/>
  <c r="C4" i="20"/>
  <c r="D4" i="20"/>
  <c r="E4" i="20"/>
  <c r="F4" i="20"/>
  <c r="G4" i="20"/>
  <c r="H4" i="20"/>
  <c r="I4" i="20"/>
  <c r="J4" i="20"/>
  <c r="K4" i="20"/>
  <c r="L4" i="20"/>
  <c r="M4" i="20"/>
  <c r="N4" i="20"/>
  <c r="O4" i="20"/>
  <c r="P4" i="20"/>
  <c r="Q4" i="20"/>
  <c r="R4" i="20"/>
  <c r="S4" i="20"/>
  <c r="T4" i="20"/>
  <c r="U4" i="20"/>
  <c r="V4" i="20"/>
  <c r="W4" i="20"/>
  <c r="X4" i="20"/>
  <c r="Y4" i="20"/>
  <c r="Z4" i="20"/>
  <c r="AA4" i="20"/>
  <c r="AB4" i="20"/>
  <c r="AC4" i="20"/>
  <c r="AD4" i="20"/>
  <c r="AE4" i="20"/>
  <c r="AF4" i="20"/>
  <c r="AG4" i="20"/>
  <c r="AH4" i="20"/>
  <c r="AI4" i="20"/>
  <c r="AJ4" i="20"/>
  <c r="AK4" i="20"/>
  <c r="AL4" i="20"/>
  <c r="AM4" i="20"/>
  <c r="AN4" i="20"/>
  <c r="B5" i="20"/>
  <c r="C5" i="20"/>
  <c r="D5" i="20"/>
  <c r="E5" i="20"/>
  <c r="F5" i="20"/>
  <c r="G5" i="20"/>
  <c r="H5" i="20"/>
  <c r="I5" i="20"/>
  <c r="J5" i="20"/>
  <c r="K5" i="20"/>
  <c r="L5" i="20"/>
  <c r="M5" i="20"/>
  <c r="N5" i="20"/>
  <c r="O5" i="20"/>
  <c r="P5" i="20"/>
  <c r="Q5" i="20"/>
  <c r="R5" i="20"/>
  <c r="S5" i="20"/>
  <c r="T5" i="20"/>
  <c r="U5" i="20"/>
  <c r="V5" i="20"/>
  <c r="W5" i="20"/>
  <c r="X5" i="20"/>
  <c r="Y5" i="20"/>
  <c r="Z5" i="20"/>
  <c r="AA5" i="20"/>
  <c r="AB5" i="20"/>
  <c r="AC5" i="20"/>
  <c r="AD5" i="20"/>
  <c r="AE5" i="20"/>
  <c r="AF5" i="20"/>
  <c r="AG5" i="20"/>
  <c r="AH5" i="20"/>
  <c r="AI5" i="20"/>
  <c r="AJ5" i="20"/>
  <c r="AK5" i="20"/>
  <c r="AL5" i="20"/>
  <c r="AM5" i="20"/>
  <c r="AN5" i="20"/>
  <c r="B6" i="20"/>
  <c r="C6" i="20"/>
  <c r="D6" i="20"/>
  <c r="E6" i="20"/>
  <c r="F6" i="20"/>
  <c r="G6" i="20"/>
  <c r="H6" i="20"/>
  <c r="I6" i="20"/>
  <c r="J6" i="20"/>
  <c r="K6" i="20"/>
  <c r="L6" i="20"/>
  <c r="M6" i="20"/>
  <c r="N6" i="20"/>
  <c r="O6" i="20"/>
  <c r="P6" i="20"/>
  <c r="Q6" i="20"/>
  <c r="R6" i="20"/>
  <c r="S6" i="20"/>
  <c r="T6" i="20"/>
  <c r="U6" i="20"/>
  <c r="V6" i="20"/>
  <c r="W6" i="20"/>
  <c r="X6" i="20"/>
  <c r="Y6" i="20"/>
  <c r="Z6" i="20"/>
  <c r="AA6" i="20"/>
  <c r="AB6" i="20"/>
  <c r="AC6" i="20"/>
  <c r="AD6" i="20"/>
  <c r="AE6" i="20"/>
  <c r="AF6" i="20"/>
  <c r="AG6" i="20"/>
  <c r="AH6" i="20"/>
  <c r="AI6" i="20"/>
  <c r="AJ6" i="20"/>
  <c r="AK6" i="20"/>
  <c r="AL6" i="20"/>
  <c r="AM6" i="20"/>
  <c r="AN6" i="20"/>
  <c r="B7" i="20"/>
  <c r="C7" i="20"/>
  <c r="D7" i="20"/>
  <c r="E7" i="20"/>
  <c r="F7" i="20"/>
  <c r="G7" i="20"/>
  <c r="H7" i="20"/>
  <c r="I7" i="20"/>
  <c r="J7" i="20"/>
  <c r="K7" i="20"/>
  <c r="L7" i="20"/>
  <c r="M7" i="20"/>
  <c r="N7" i="20"/>
  <c r="O7" i="20"/>
  <c r="P7" i="20"/>
  <c r="Q7" i="20"/>
  <c r="R7" i="20"/>
  <c r="S7" i="20"/>
  <c r="T7" i="20"/>
  <c r="U7" i="20"/>
  <c r="V7" i="20"/>
  <c r="W7" i="20"/>
  <c r="X7" i="20"/>
  <c r="Y7" i="20"/>
  <c r="Z7" i="20"/>
  <c r="AA7" i="20"/>
  <c r="AB7" i="20"/>
  <c r="AC7" i="20"/>
  <c r="AD7" i="20"/>
  <c r="AE7" i="20"/>
  <c r="AF7" i="20"/>
  <c r="AG7" i="20"/>
  <c r="AH7" i="20"/>
  <c r="AI7" i="20"/>
  <c r="AJ7" i="20"/>
  <c r="AK7" i="20"/>
  <c r="AL7" i="20"/>
  <c r="AM7" i="20"/>
  <c r="AN7" i="20"/>
  <c r="B8" i="20"/>
  <c r="C8" i="20"/>
  <c r="D8" i="20"/>
  <c r="E8" i="20"/>
  <c r="F8" i="20"/>
  <c r="G8" i="20"/>
  <c r="H8" i="20"/>
  <c r="I8" i="20"/>
  <c r="J8" i="20"/>
  <c r="K8" i="20"/>
  <c r="L8" i="20"/>
  <c r="M8" i="20"/>
  <c r="N8" i="20"/>
  <c r="O8" i="20"/>
  <c r="P8" i="20"/>
  <c r="Q8" i="20"/>
  <c r="R8" i="20"/>
  <c r="S8" i="20"/>
  <c r="T8" i="20"/>
  <c r="U8" i="20"/>
  <c r="V8" i="20"/>
  <c r="W8" i="20"/>
  <c r="X8" i="20"/>
  <c r="Y8" i="20"/>
  <c r="Z8" i="20"/>
  <c r="AA8" i="20"/>
  <c r="AB8" i="20"/>
  <c r="AC8" i="20"/>
  <c r="AD8" i="20"/>
  <c r="AE8" i="20"/>
  <c r="AF8" i="20"/>
  <c r="AG8" i="20"/>
  <c r="AH8" i="20"/>
  <c r="AI8" i="20"/>
  <c r="AJ8" i="20"/>
  <c r="AK8" i="20"/>
  <c r="AL8" i="20"/>
  <c r="AM8" i="20"/>
  <c r="AN8" i="20"/>
  <c r="B9" i="20"/>
  <c r="C9" i="20"/>
  <c r="D9" i="20"/>
  <c r="E9" i="20"/>
  <c r="F9" i="20"/>
  <c r="G9" i="20"/>
  <c r="H9" i="20"/>
  <c r="I9" i="20"/>
  <c r="J9" i="20"/>
  <c r="K9" i="20"/>
  <c r="L9" i="20"/>
  <c r="M9" i="20"/>
  <c r="N9" i="20"/>
  <c r="O9" i="20"/>
  <c r="P9" i="20"/>
  <c r="Q9" i="20"/>
  <c r="R9" i="20"/>
  <c r="S9" i="20"/>
  <c r="T9" i="20"/>
  <c r="U9" i="20"/>
  <c r="V9" i="20"/>
  <c r="W9" i="20"/>
  <c r="X9" i="20"/>
  <c r="Y9" i="20"/>
  <c r="Z9" i="20"/>
  <c r="AA9" i="20"/>
  <c r="AB9" i="20"/>
  <c r="AC9" i="20"/>
  <c r="AD9" i="20"/>
  <c r="AE9" i="20"/>
  <c r="AF9" i="20"/>
  <c r="AG9" i="20"/>
  <c r="AH9" i="20"/>
  <c r="AI9" i="20"/>
  <c r="AJ9" i="20"/>
  <c r="AK9" i="20"/>
  <c r="AL9" i="20"/>
  <c r="AM9" i="20"/>
  <c r="AN9" i="20"/>
  <c r="B10" i="20"/>
  <c r="C10" i="20"/>
  <c r="D10" i="20"/>
  <c r="E10" i="20"/>
  <c r="F10" i="20"/>
  <c r="G10" i="20"/>
  <c r="H10" i="20"/>
  <c r="I10" i="20"/>
  <c r="J10" i="20"/>
  <c r="K10" i="20"/>
  <c r="L10" i="20"/>
  <c r="M10" i="20"/>
  <c r="N10" i="20"/>
  <c r="O10" i="20"/>
  <c r="P10" i="20"/>
  <c r="Q10" i="20"/>
  <c r="R10" i="20"/>
  <c r="S10" i="20"/>
  <c r="T10" i="20"/>
  <c r="U10" i="20"/>
  <c r="V10" i="20"/>
  <c r="W10" i="20"/>
  <c r="X10" i="20"/>
  <c r="Y10" i="20"/>
  <c r="Z10" i="20"/>
  <c r="AA10" i="20"/>
  <c r="AB10" i="20"/>
  <c r="AC10" i="20"/>
  <c r="AD10" i="20"/>
  <c r="AE10" i="20"/>
  <c r="AF10" i="20"/>
  <c r="AG10" i="20"/>
  <c r="AH10" i="20"/>
  <c r="AI10" i="20"/>
  <c r="AJ10" i="20"/>
  <c r="AK10" i="20"/>
  <c r="AL10" i="20"/>
  <c r="AM10" i="20"/>
  <c r="AN10" i="20"/>
  <c r="B11" i="20"/>
  <c r="C11" i="20"/>
  <c r="D11" i="20"/>
  <c r="E11" i="20"/>
  <c r="F11" i="20"/>
  <c r="G11" i="20"/>
  <c r="H11" i="20"/>
  <c r="I11" i="20"/>
  <c r="J11" i="20"/>
  <c r="K11" i="20"/>
  <c r="L11" i="20"/>
  <c r="M11" i="20"/>
  <c r="N11" i="20"/>
  <c r="O11" i="20"/>
  <c r="P11" i="20"/>
  <c r="Q11" i="20"/>
  <c r="R11" i="20"/>
  <c r="S11" i="20"/>
  <c r="T11" i="20"/>
  <c r="U11" i="20"/>
  <c r="V11" i="20"/>
  <c r="W11" i="20"/>
  <c r="X11" i="20"/>
  <c r="Y11" i="20"/>
  <c r="Z11" i="20"/>
  <c r="AA11" i="20"/>
  <c r="AB11" i="20"/>
  <c r="AC11" i="20"/>
  <c r="AD11" i="20"/>
  <c r="AE11" i="20"/>
  <c r="AF11" i="20"/>
  <c r="AG11" i="20"/>
  <c r="AH11" i="20"/>
  <c r="AI11" i="20"/>
  <c r="AJ11" i="20"/>
  <c r="AK11" i="20"/>
  <c r="AL11" i="20"/>
  <c r="AM11" i="20"/>
  <c r="AN11" i="20"/>
  <c r="B12" i="20"/>
  <c r="C12" i="20"/>
  <c r="D12" i="20"/>
  <c r="E12" i="20"/>
  <c r="F12" i="20"/>
  <c r="G12" i="20"/>
  <c r="H12" i="20"/>
  <c r="I12" i="20"/>
  <c r="J12" i="20"/>
  <c r="K12" i="20"/>
  <c r="L12" i="20"/>
  <c r="M12" i="20"/>
  <c r="N12" i="20"/>
  <c r="O12" i="20"/>
  <c r="P12" i="20"/>
  <c r="Q12" i="20"/>
  <c r="R12" i="20"/>
  <c r="S12" i="20"/>
  <c r="T12" i="20"/>
  <c r="U12" i="20"/>
  <c r="V12" i="20"/>
  <c r="W12" i="20"/>
  <c r="X12" i="20"/>
  <c r="Y12" i="20"/>
  <c r="Z12" i="20"/>
  <c r="AA12" i="20"/>
  <c r="AB12" i="20"/>
  <c r="AC12" i="20"/>
  <c r="AD12" i="20"/>
  <c r="AE12" i="20"/>
  <c r="AF12" i="20"/>
  <c r="AG12" i="20"/>
  <c r="AH12" i="20"/>
  <c r="AI12" i="20"/>
  <c r="AJ12" i="20"/>
  <c r="AK12" i="20"/>
  <c r="AL12" i="20"/>
  <c r="AM12" i="20"/>
  <c r="AN12" i="20"/>
  <c r="B13" i="20"/>
  <c r="C13" i="20"/>
  <c r="D13" i="20"/>
  <c r="E13" i="20"/>
  <c r="F13" i="20"/>
  <c r="G13" i="20"/>
  <c r="H13" i="20"/>
  <c r="I13" i="20"/>
  <c r="J13" i="20"/>
  <c r="K13" i="20"/>
  <c r="L13" i="20"/>
  <c r="M13" i="20"/>
  <c r="N13" i="20"/>
  <c r="O13" i="20"/>
  <c r="P13" i="20"/>
  <c r="Q13" i="20"/>
  <c r="R13" i="20"/>
  <c r="S13" i="20"/>
  <c r="T13" i="20"/>
  <c r="U13" i="20"/>
  <c r="V13" i="20"/>
  <c r="W13" i="20"/>
  <c r="X13" i="20"/>
  <c r="Y13" i="20"/>
  <c r="Z13" i="20"/>
  <c r="AA13" i="20"/>
  <c r="AB13" i="20"/>
  <c r="AC13" i="20"/>
  <c r="AD13" i="20"/>
  <c r="AE13" i="20"/>
  <c r="AF13" i="20"/>
  <c r="AG13" i="20"/>
  <c r="AH13" i="20"/>
  <c r="AI13" i="20"/>
  <c r="AJ13" i="20"/>
  <c r="AK13" i="20"/>
  <c r="AL13" i="20"/>
  <c r="AM13" i="20"/>
  <c r="AN13" i="20"/>
  <c r="B14" i="20"/>
  <c r="C14" i="20"/>
  <c r="D14" i="20"/>
  <c r="E14" i="20"/>
  <c r="F14" i="20"/>
  <c r="G14" i="20"/>
  <c r="H14" i="20"/>
  <c r="I14" i="20"/>
  <c r="J14" i="20"/>
  <c r="K14" i="20"/>
  <c r="L14" i="20"/>
  <c r="M14" i="20"/>
  <c r="N14" i="20"/>
  <c r="O14" i="20"/>
  <c r="P14" i="20"/>
  <c r="Q14" i="20"/>
  <c r="R14" i="20"/>
  <c r="S14" i="20"/>
  <c r="T14" i="20"/>
  <c r="U14" i="20"/>
  <c r="V14" i="20"/>
  <c r="W14" i="20"/>
  <c r="X14" i="20"/>
  <c r="Y14" i="20"/>
  <c r="Z14" i="20"/>
  <c r="AA14" i="20"/>
  <c r="AB14" i="20"/>
  <c r="AC14" i="20"/>
  <c r="AD14" i="20"/>
  <c r="AE14" i="20"/>
  <c r="AF14" i="20"/>
  <c r="AG14" i="20"/>
  <c r="AH14" i="20"/>
  <c r="AI14" i="20"/>
  <c r="AJ14" i="20"/>
  <c r="AK14" i="20"/>
  <c r="AL14" i="20"/>
  <c r="AM14" i="20"/>
  <c r="AN14" i="20"/>
  <c r="B15" i="20"/>
  <c r="C15" i="20"/>
  <c r="D15" i="20"/>
  <c r="E15" i="20"/>
  <c r="F15" i="20"/>
  <c r="G15" i="20"/>
  <c r="H15" i="20"/>
  <c r="I15" i="20"/>
  <c r="J15" i="20"/>
  <c r="K15" i="20"/>
  <c r="L15" i="20"/>
  <c r="M15" i="20"/>
  <c r="N15" i="20"/>
  <c r="O15" i="20"/>
  <c r="P15" i="20"/>
  <c r="Q15" i="20"/>
  <c r="R15" i="20"/>
  <c r="S15" i="20"/>
  <c r="T15" i="20"/>
  <c r="U15" i="20"/>
  <c r="V15" i="20"/>
  <c r="W15" i="20"/>
  <c r="X15" i="20"/>
  <c r="Y15" i="20"/>
  <c r="Z15" i="20"/>
  <c r="AA15" i="20"/>
  <c r="AB15" i="20"/>
  <c r="AC15" i="20"/>
  <c r="AD15" i="20"/>
  <c r="AE15" i="20"/>
  <c r="AF15" i="20"/>
  <c r="AG15" i="20"/>
  <c r="AH15" i="20"/>
  <c r="AI15" i="20"/>
  <c r="AJ15" i="20"/>
  <c r="AK15" i="20"/>
  <c r="AL15" i="20"/>
  <c r="AM15" i="20"/>
  <c r="AN15" i="20"/>
  <c r="B16" i="20"/>
  <c r="C16" i="20"/>
  <c r="D16" i="20"/>
  <c r="E16" i="20"/>
  <c r="F16" i="20"/>
  <c r="G16" i="20"/>
  <c r="H16" i="20"/>
  <c r="I16" i="20"/>
  <c r="J16" i="20"/>
  <c r="K16" i="20"/>
  <c r="L16" i="20"/>
  <c r="M16" i="20"/>
  <c r="N16" i="20"/>
  <c r="O16" i="20"/>
  <c r="P16" i="20"/>
  <c r="Q16" i="20"/>
  <c r="R16" i="20"/>
  <c r="S16" i="20"/>
  <c r="T16" i="20"/>
  <c r="U16" i="20"/>
  <c r="V16" i="20"/>
  <c r="W16" i="20"/>
  <c r="X16" i="20"/>
  <c r="Y16" i="20"/>
  <c r="Z16" i="20"/>
  <c r="AA16" i="20"/>
  <c r="AB16" i="20"/>
  <c r="AC16" i="20"/>
  <c r="AD16" i="20"/>
  <c r="AE16" i="20"/>
  <c r="AF16" i="20"/>
  <c r="AG16" i="20"/>
  <c r="AH16" i="20"/>
  <c r="AI16" i="20"/>
  <c r="AJ16" i="20"/>
  <c r="AK16" i="20"/>
  <c r="AL16" i="20"/>
  <c r="AM16" i="20"/>
  <c r="AN16" i="20"/>
  <c r="B17" i="20"/>
  <c r="C17" i="20"/>
  <c r="D17" i="20"/>
  <c r="E17" i="20"/>
  <c r="F17" i="20"/>
  <c r="G17" i="20"/>
  <c r="H17" i="20"/>
  <c r="I17" i="20"/>
  <c r="J17" i="20"/>
  <c r="K17" i="20"/>
  <c r="L17" i="20"/>
  <c r="M17" i="20"/>
  <c r="N17" i="20"/>
  <c r="O17" i="20"/>
  <c r="P17" i="20"/>
  <c r="Q17" i="20"/>
  <c r="R17" i="20"/>
  <c r="S17" i="20"/>
  <c r="T17" i="20"/>
  <c r="U17" i="20"/>
  <c r="V17" i="20"/>
  <c r="W17" i="20"/>
  <c r="X17" i="20"/>
  <c r="Y17" i="20"/>
  <c r="Z17" i="20"/>
  <c r="AA17" i="20"/>
  <c r="AB17" i="20"/>
  <c r="AC17" i="20"/>
  <c r="AD17" i="20"/>
  <c r="AE17" i="20"/>
  <c r="AF17" i="20"/>
  <c r="AG17" i="20"/>
  <c r="AH17" i="20"/>
  <c r="AI17" i="20"/>
  <c r="AJ17" i="20"/>
  <c r="AK17" i="20"/>
  <c r="AL17" i="20"/>
  <c r="AM17" i="20"/>
  <c r="AN17" i="20"/>
  <c r="B18" i="20"/>
  <c r="C18" i="20"/>
  <c r="D18" i="20"/>
  <c r="E18" i="20"/>
  <c r="F18" i="20"/>
  <c r="G18" i="20"/>
  <c r="H18" i="20"/>
  <c r="I18" i="20"/>
  <c r="J18" i="20"/>
  <c r="K18" i="20"/>
  <c r="L18" i="20"/>
  <c r="M18" i="20"/>
  <c r="N18" i="20"/>
  <c r="O18" i="20"/>
  <c r="P18" i="20"/>
  <c r="Q18" i="20"/>
  <c r="R18" i="20"/>
  <c r="S18" i="20"/>
  <c r="T18" i="20"/>
  <c r="U18" i="20"/>
  <c r="V18" i="20"/>
  <c r="W18" i="20"/>
  <c r="X18" i="20"/>
  <c r="Y18" i="20"/>
  <c r="Z18" i="20"/>
  <c r="AA18" i="20"/>
  <c r="AB18" i="20"/>
  <c r="AC18" i="20"/>
  <c r="AD18" i="20"/>
  <c r="AE18" i="20"/>
  <c r="AF18" i="20"/>
  <c r="AG18" i="20"/>
  <c r="AH18" i="20"/>
  <c r="AI18" i="20"/>
  <c r="AJ18" i="20"/>
  <c r="AK18" i="20"/>
  <c r="AL18" i="20"/>
  <c r="AM18" i="20"/>
  <c r="AN18" i="20"/>
  <c r="B19" i="20"/>
  <c r="C19" i="20"/>
  <c r="D19" i="20"/>
  <c r="E19" i="20"/>
  <c r="F19" i="20"/>
  <c r="G19" i="20"/>
  <c r="H19" i="20"/>
  <c r="I19" i="20"/>
  <c r="J19" i="20"/>
  <c r="K19" i="20"/>
  <c r="L19" i="20"/>
  <c r="M19" i="20"/>
  <c r="N19" i="20"/>
  <c r="O19" i="20"/>
  <c r="P19" i="20"/>
  <c r="Q19" i="20"/>
  <c r="R19" i="20"/>
  <c r="S19" i="20"/>
  <c r="T19" i="20"/>
  <c r="U19" i="20"/>
  <c r="V19" i="20"/>
  <c r="W19" i="20"/>
  <c r="X19" i="20"/>
  <c r="Y19" i="20"/>
  <c r="Z19" i="20"/>
  <c r="AA19" i="20"/>
  <c r="AB19" i="20"/>
  <c r="AC19" i="20"/>
  <c r="AD19" i="20"/>
  <c r="AE19" i="20"/>
  <c r="AF19" i="20"/>
  <c r="AG19" i="20"/>
  <c r="AH19" i="20"/>
  <c r="AI19" i="20"/>
  <c r="AJ19" i="20"/>
  <c r="AK19" i="20"/>
  <c r="AL19" i="20"/>
  <c r="AM19" i="20"/>
  <c r="AN19" i="20"/>
  <c r="B20" i="20"/>
  <c r="C20" i="20"/>
  <c r="D20" i="20"/>
  <c r="E20" i="20"/>
  <c r="F20" i="20"/>
  <c r="G20" i="20"/>
  <c r="H20" i="20"/>
  <c r="I20" i="20"/>
  <c r="J20" i="20"/>
  <c r="K20" i="20"/>
  <c r="L20" i="20"/>
  <c r="M20" i="20"/>
  <c r="N20" i="20"/>
  <c r="O20" i="20"/>
  <c r="P20" i="20"/>
  <c r="Q20" i="20"/>
  <c r="R20" i="20"/>
  <c r="S20" i="20"/>
  <c r="T20" i="20"/>
  <c r="U20" i="20"/>
  <c r="V20" i="20"/>
  <c r="W20" i="20"/>
  <c r="X20" i="20"/>
  <c r="Y20" i="20"/>
  <c r="Z20" i="20"/>
  <c r="AA20" i="20"/>
  <c r="AB20" i="20"/>
  <c r="AC20" i="20"/>
  <c r="AD20" i="20"/>
  <c r="AE20" i="20"/>
  <c r="AF20" i="20"/>
  <c r="AG20" i="20"/>
  <c r="AH20" i="20"/>
  <c r="AI20" i="20"/>
  <c r="AJ20" i="20"/>
  <c r="AK20" i="20"/>
  <c r="AL20" i="20"/>
  <c r="AM20" i="20"/>
  <c r="AN20" i="20"/>
  <c r="B21" i="20"/>
  <c r="C21" i="20"/>
  <c r="D21" i="20"/>
  <c r="E21" i="20"/>
  <c r="F21" i="20"/>
  <c r="G21" i="20"/>
  <c r="H21" i="20"/>
  <c r="I21" i="20"/>
  <c r="J21" i="20"/>
  <c r="K21" i="20"/>
  <c r="L21" i="20"/>
  <c r="M21" i="20"/>
  <c r="N21" i="20"/>
  <c r="O21" i="20"/>
  <c r="P21" i="20"/>
  <c r="Q21" i="20"/>
  <c r="R21" i="20"/>
  <c r="S21" i="20"/>
  <c r="T21" i="20"/>
  <c r="U21" i="20"/>
  <c r="V21" i="20"/>
  <c r="W21" i="20"/>
  <c r="X21" i="20"/>
  <c r="Y21" i="20"/>
  <c r="Z21" i="20"/>
  <c r="AA21" i="20"/>
  <c r="AB21" i="20"/>
  <c r="AC21" i="20"/>
  <c r="AD21" i="20"/>
  <c r="AE21" i="20"/>
  <c r="AF21" i="20"/>
  <c r="AG21" i="20"/>
  <c r="AH21" i="20"/>
  <c r="AI21" i="20"/>
  <c r="AJ21" i="20"/>
  <c r="AK21" i="20"/>
  <c r="AL21" i="20"/>
  <c r="AM21" i="20"/>
  <c r="AN21" i="20"/>
  <c r="B22" i="20"/>
  <c r="C22" i="20"/>
  <c r="D22" i="20"/>
  <c r="E22" i="20"/>
  <c r="F22" i="20"/>
  <c r="G22" i="20"/>
  <c r="H22" i="20"/>
  <c r="I22" i="20"/>
  <c r="J22" i="20"/>
  <c r="K22" i="20"/>
  <c r="L22" i="20"/>
  <c r="M22" i="20"/>
  <c r="N22" i="20"/>
  <c r="O22" i="20"/>
  <c r="P22" i="20"/>
  <c r="Q22" i="20"/>
  <c r="R22" i="20"/>
  <c r="S22" i="20"/>
  <c r="T22" i="20"/>
  <c r="U22" i="20"/>
  <c r="V22" i="20"/>
  <c r="W22" i="20"/>
  <c r="X22" i="20"/>
  <c r="Y22" i="20"/>
  <c r="Z22" i="20"/>
  <c r="AA22" i="20"/>
  <c r="AB22" i="20"/>
  <c r="AC22" i="20"/>
  <c r="AD22" i="20"/>
  <c r="AE22" i="20"/>
  <c r="AF22" i="20"/>
  <c r="AG22" i="20"/>
  <c r="AH22" i="20"/>
  <c r="AI22" i="20"/>
  <c r="AJ22" i="20"/>
  <c r="AK22" i="20"/>
  <c r="AL22" i="20"/>
  <c r="AM22" i="20"/>
  <c r="AN22" i="20"/>
  <c r="B23" i="20"/>
  <c r="C23" i="20"/>
  <c r="D23" i="20"/>
  <c r="E23" i="20"/>
  <c r="F23" i="20"/>
  <c r="G23" i="20"/>
  <c r="H23" i="20"/>
  <c r="I23" i="20"/>
  <c r="J23" i="20"/>
  <c r="K23" i="20"/>
  <c r="L23" i="20"/>
  <c r="M23" i="20"/>
  <c r="N23" i="20"/>
  <c r="O23" i="20"/>
  <c r="P23" i="20"/>
  <c r="Q23" i="20"/>
  <c r="R23" i="20"/>
  <c r="S23" i="20"/>
  <c r="T23" i="20"/>
  <c r="U23" i="20"/>
  <c r="V23" i="20"/>
  <c r="W23" i="20"/>
  <c r="X23" i="20"/>
  <c r="Y23" i="20"/>
  <c r="Z23" i="20"/>
  <c r="AA23" i="20"/>
  <c r="AB23" i="20"/>
  <c r="AC23" i="20"/>
  <c r="AD23" i="20"/>
  <c r="AE23" i="20"/>
  <c r="AF23" i="20"/>
  <c r="AG23" i="20"/>
  <c r="AH23" i="20"/>
  <c r="AI23" i="20"/>
  <c r="AJ23" i="20"/>
  <c r="AK23" i="20"/>
  <c r="AL23" i="20"/>
  <c r="AM23" i="20"/>
  <c r="AN23" i="20"/>
  <c r="B24" i="20"/>
  <c r="C24" i="20"/>
  <c r="D24" i="20"/>
  <c r="E24" i="20"/>
  <c r="F24" i="20"/>
  <c r="G24" i="20"/>
  <c r="H24" i="20"/>
  <c r="I24" i="20"/>
  <c r="J24" i="20"/>
  <c r="K24" i="20"/>
  <c r="L24" i="20"/>
  <c r="M24" i="20"/>
  <c r="N24" i="20"/>
  <c r="O24" i="20"/>
  <c r="P24" i="20"/>
  <c r="Q24" i="20"/>
  <c r="R24" i="20"/>
  <c r="S24" i="20"/>
  <c r="T24" i="20"/>
  <c r="U24" i="20"/>
  <c r="V24" i="20"/>
  <c r="W24" i="20"/>
  <c r="X24" i="20"/>
  <c r="Y24" i="20"/>
  <c r="Z24" i="20"/>
  <c r="AA24" i="20"/>
  <c r="AB24" i="20"/>
  <c r="AC24" i="20"/>
  <c r="AD24" i="20"/>
  <c r="AE24" i="20"/>
  <c r="AF24" i="20"/>
  <c r="AG24" i="20"/>
  <c r="AH24" i="20"/>
  <c r="AI24" i="20"/>
  <c r="AJ24" i="20"/>
  <c r="AK24" i="20"/>
  <c r="AL24" i="20"/>
  <c r="AM24" i="20"/>
  <c r="AN24" i="20"/>
  <c r="B25" i="20"/>
  <c r="C25" i="20"/>
  <c r="D25" i="20"/>
  <c r="E25" i="20"/>
  <c r="F25" i="20"/>
  <c r="G25" i="20"/>
  <c r="H25" i="20"/>
  <c r="I25" i="20"/>
  <c r="J25" i="20"/>
  <c r="K25" i="20"/>
  <c r="L25" i="20"/>
  <c r="M25" i="20"/>
  <c r="N25" i="20"/>
  <c r="O25" i="20"/>
  <c r="P25" i="20"/>
  <c r="Q25" i="20"/>
  <c r="R25" i="20"/>
  <c r="S25" i="20"/>
  <c r="T25" i="20"/>
  <c r="U25" i="20"/>
  <c r="V25" i="20"/>
  <c r="W25" i="20"/>
  <c r="X25" i="20"/>
  <c r="Y25" i="20"/>
  <c r="Z25" i="20"/>
  <c r="AA25" i="20"/>
  <c r="AB25" i="20"/>
  <c r="AC25" i="20"/>
  <c r="AD25" i="20"/>
  <c r="AE25" i="20"/>
  <c r="AF25" i="20"/>
  <c r="AG25" i="20"/>
  <c r="AH25" i="20"/>
  <c r="AI25" i="20"/>
  <c r="AJ25" i="20"/>
  <c r="AK25" i="20"/>
  <c r="AL25" i="20"/>
  <c r="AM25" i="20"/>
  <c r="AN25" i="20"/>
  <c r="B26" i="20"/>
  <c r="C26" i="20"/>
  <c r="D26" i="20"/>
  <c r="E26" i="20"/>
  <c r="F26" i="20"/>
  <c r="G26" i="20"/>
  <c r="H26" i="20"/>
  <c r="I26" i="20"/>
  <c r="J26" i="20"/>
  <c r="K26" i="20"/>
  <c r="L26" i="20"/>
  <c r="M26" i="20"/>
  <c r="N26" i="20"/>
  <c r="O26" i="20"/>
  <c r="P26" i="20"/>
  <c r="Q26" i="20"/>
  <c r="R26" i="20"/>
  <c r="S26" i="20"/>
  <c r="T26" i="20"/>
  <c r="U26" i="20"/>
  <c r="V26" i="20"/>
  <c r="W26" i="20"/>
  <c r="X26" i="20"/>
  <c r="Y26" i="20"/>
  <c r="Z26" i="20"/>
  <c r="AA26" i="20"/>
  <c r="AB26" i="20"/>
  <c r="AC26" i="20"/>
  <c r="AD26" i="20"/>
  <c r="AE26" i="20"/>
  <c r="AF26" i="20"/>
  <c r="AG26" i="20"/>
  <c r="AH26" i="20"/>
  <c r="AI26" i="20"/>
  <c r="AJ26" i="20"/>
  <c r="AK26" i="20"/>
  <c r="AL26" i="20"/>
  <c r="AM26" i="20"/>
  <c r="AN26" i="20"/>
  <c r="B27" i="20"/>
  <c r="C27" i="20"/>
  <c r="D27" i="20"/>
  <c r="E27" i="20"/>
  <c r="F27" i="20"/>
  <c r="G27" i="20"/>
  <c r="H27" i="20"/>
  <c r="I27" i="20"/>
  <c r="J27" i="20"/>
  <c r="K27" i="20"/>
  <c r="L27" i="20"/>
  <c r="M27" i="20"/>
  <c r="N27" i="20"/>
  <c r="O27" i="20"/>
  <c r="P27" i="20"/>
  <c r="Q27" i="20"/>
  <c r="R27" i="20"/>
  <c r="S27" i="20"/>
  <c r="T27" i="20"/>
  <c r="U27" i="20"/>
  <c r="V27" i="20"/>
  <c r="W27" i="20"/>
  <c r="X27" i="20"/>
  <c r="Y27" i="20"/>
  <c r="Z27" i="20"/>
  <c r="AA27" i="20"/>
  <c r="AB27" i="20"/>
  <c r="AC27" i="20"/>
  <c r="AD27" i="20"/>
  <c r="AE27" i="20"/>
  <c r="AF27" i="20"/>
  <c r="AG27" i="20"/>
  <c r="AH27" i="20"/>
  <c r="AI27" i="20"/>
  <c r="AJ27" i="20"/>
  <c r="AK27" i="20"/>
  <c r="AL27" i="20"/>
  <c r="AM27" i="20"/>
  <c r="AN27" i="20"/>
  <c r="B28" i="20"/>
  <c r="C28" i="20"/>
  <c r="D28" i="20"/>
  <c r="E28" i="20"/>
  <c r="F28" i="20"/>
  <c r="G28" i="20"/>
  <c r="H28" i="20"/>
  <c r="I28" i="20"/>
  <c r="J28" i="20"/>
  <c r="K28" i="20"/>
  <c r="L28" i="20"/>
  <c r="M28" i="20"/>
  <c r="N28" i="20"/>
  <c r="O28" i="20"/>
  <c r="P28" i="20"/>
  <c r="Q28" i="20"/>
  <c r="R28" i="20"/>
  <c r="S28" i="20"/>
  <c r="T28" i="20"/>
  <c r="U28" i="20"/>
  <c r="V28" i="20"/>
  <c r="W28" i="20"/>
  <c r="X28" i="20"/>
  <c r="Y28" i="20"/>
  <c r="Z28" i="20"/>
  <c r="AA28" i="20"/>
  <c r="AB28" i="20"/>
  <c r="AC28" i="20"/>
  <c r="AD28" i="20"/>
  <c r="AE28" i="20"/>
  <c r="AF28" i="20"/>
  <c r="AG28" i="20"/>
  <c r="AH28" i="20"/>
  <c r="AI28" i="20"/>
  <c r="AJ28" i="20"/>
  <c r="AK28" i="20"/>
  <c r="AL28" i="20"/>
  <c r="AM28" i="20"/>
  <c r="AN28" i="20"/>
  <c r="B29" i="20"/>
  <c r="C29" i="20"/>
  <c r="D29" i="20"/>
  <c r="E29" i="20"/>
  <c r="F29" i="20"/>
  <c r="G29" i="20"/>
  <c r="H29" i="20"/>
  <c r="I29" i="20"/>
  <c r="J29" i="20"/>
  <c r="K29" i="20"/>
  <c r="L29" i="20"/>
  <c r="M29" i="20"/>
  <c r="N29" i="20"/>
  <c r="O29" i="20"/>
  <c r="P29" i="20"/>
  <c r="Q29" i="20"/>
  <c r="R29" i="20"/>
  <c r="S29" i="20"/>
  <c r="T29" i="20"/>
  <c r="U29" i="20"/>
  <c r="V29" i="20"/>
  <c r="W29" i="20"/>
  <c r="X29" i="20"/>
  <c r="Y29" i="20"/>
  <c r="Z29" i="20"/>
  <c r="AA29" i="20"/>
  <c r="AB29" i="20"/>
  <c r="AC29" i="20"/>
  <c r="AD29" i="20"/>
  <c r="AE29" i="20"/>
  <c r="AF29" i="20"/>
  <c r="AG29" i="20"/>
  <c r="AH29" i="20"/>
  <c r="AI29" i="20"/>
  <c r="AJ29" i="20"/>
  <c r="AK29" i="20"/>
  <c r="AL29" i="20"/>
  <c r="AM29" i="20"/>
  <c r="AN29" i="20"/>
  <c r="B30" i="20"/>
  <c r="C30" i="20"/>
  <c r="D30" i="20"/>
  <c r="E30" i="20"/>
  <c r="F30" i="20"/>
  <c r="G30" i="20"/>
  <c r="H30" i="20"/>
  <c r="I30" i="20"/>
  <c r="J30" i="20"/>
  <c r="K30" i="20"/>
  <c r="L30" i="20"/>
  <c r="M30" i="20"/>
  <c r="N30" i="20"/>
  <c r="O30" i="20"/>
  <c r="P30" i="20"/>
  <c r="Q30" i="20"/>
  <c r="R30" i="20"/>
  <c r="S30" i="20"/>
  <c r="T30" i="20"/>
  <c r="U30" i="20"/>
  <c r="V30" i="20"/>
  <c r="W30" i="20"/>
  <c r="X30" i="20"/>
  <c r="Y30" i="20"/>
  <c r="Z30" i="20"/>
  <c r="AA30" i="20"/>
  <c r="AB30" i="20"/>
  <c r="AC30" i="20"/>
  <c r="AD30" i="20"/>
  <c r="AE30" i="20"/>
  <c r="AF30" i="20"/>
  <c r="AG30" i="20"/>
  <c r="AH30" i="20"/>
  <c r="AI30" i="20"/>
  <c r="AJ30" i="20"/>
  <c r="AK30" i="20"/>
  <c r="AL30" i="20"/>
  <c r="AM30" i="20"/>
  <c r="AN30" i="20"/>
  <c r="B31" i="20"/>
  <c r="C31" i="20"/>
  <c r="D31" i="20"/>
  <c r="E31" i="20"/>
  <c r="F31" i="20"/>
  <c r="G31" i="20"/>
  <c r="H31" i="20"/>
  <c r="I31" i="20"/>
  <c r="J31" i="20"/>
  <c r="K31" i="20"/>
  <c r="L31" i="20"/>
  <c r="M31" i="20"/>
  <c r="N31" i="20"/>
  <c r="O31" i="20"/>
  <c r="P31" i="20"/>
  <c r="Q31" i="20"/>
  <c r="R31" i="20"/>
  <c r="S31" i="20"/>
  <c r="T31" i="20"/>
  <c r="U31" i="20"/>
  <c r="V31" i="20"/>
  <c r="W31" i="20"/>
  <c r="X31" i="20"/>
  <c r="Y31" i="20"/>
  <c r="Z31" i="20"/>
  <c r="AA31" i="20"/>
  <c r="AB31" i="20"/>
  <c r="AC31" i="20"/>
  <c r="AD31" i="20"/>
  <c r="AE31" i="20"/>
  <c r="AF31" i="20"/>
  <c r="AG31" i="20"/>
  <c r="AH31" i="20"/>
  <c r="AI31" i="20"/>
  <c r="AJ31" i="20"/>
  <c r="AK31" i="20"/>
  <c r="AL31" i="20"/>
  <c r="AM31" i="20"/>
  <c r="AN31" i="20"/>
  <c r="B32" i="20"/>
  <c r="C32" i="20"/>
  <c r="D32" i="20"/>
  <c r="E32" i="20"/>
  <c r="F32" i="20"/>
  <c r="G32" i="20"/>
  <c r="H32" i="20"/>
  <c r="I32" i="20"/>
  <c r="J32" i="20"/>
  <c r="K32" i="20"/>
  <c r="L32" i="20"/>
  <c r="M32" i="20"/>
  <c r="N32" i="20"/>
  <c r="O32" i="20"/>
  <c r="P32" i="20"/>
  <c r="Q32" i="20"/>
  <c r="R32" i="20"/>
  <c r="S32" i="20"/>
  <c r="T32" i="20"/>
  <c r="U32" i="20"/>
  <c r="V32" i="20"/>
  <c r="W32" i="20"/>
  <c r="X32" i="20"/>
  <c r="Y32" i="20"/>
  <c r="Z32" i="20"/>
  <c r="AA32" i="20"/>
  <c r="AB32" i="20"/>
  <c r="AC32" i="20"/>
  <c r="AD32" i="20"/>
  <c r="AE32" i="20"/>
  <c r="AF32" i="20"/>
  <c r="AG32" i="20"/>
  <c r="AH32" i="20"/>
  <c r="AI32" i="20"/>
  <c r="AJ32" i="20"/>
  <c r="AK32" i="20"/>
  <c r="AL32" i="20"/>
  <c r="AM32" i="20"/>
  <c r="AN32" i="20"/>
  <c r="B33" i="20"/>
  <c r="C33" i="20"/>
  <c r="D33" i="20"/>
  <c r="E33" i="20"/>
  <c r="F33" i="20"/>
  <c r="G33" i="20"/>
  <c r="H33" i="20"/>
  <c r="I33" i="20"/>
  <c r="J33" i="20"/>
  <c r="K33" i="20"/>
  <c r="L33" i="20"/>
  <c r="M33" i="20"/>
  <c r="N33" i="20"/>
  <c r="O33" i="20"/>
  <c r="P33" i="20"/>
  <c r="Q33" i="20"/>
  <c r="R33" i="20"/>
  <c r="S33" i="20"/>
  <c r="T33" i="20"/>
  <c r="U33" i="20"/>
  <c r="V33" i="20"/>
  <c r="W33" i="20"/>
  <c r="X33" i="20"/>
  <c r="Y33" i="20"/>
  <c r="Z33" i="20"/>
  <c r="AA33" i="20"/>
  <c r="AB33" i="20"/>
  <c r="AC33" i="20"/>
  <c r="AD33" i="20"/>
  <c r="AE33" i="20"/>
  <c r="AF33" i="20"/>
  <c r="AG33" i="20"/>
  <c r="AH33" i="20"/>
  <c r="AI33" i="20"/>
  <c r="AJ33" i="20"/>
  <c r="AK33" i="20"/>
  <c r="AL33" i="20"/>
  <c r="AM33" i="20"/>
  <c r="AN33" i="20"/>
  <c r="B34" i="20"/>
  <c r="C34" i="20"/>
  <c r="D34" i="20"/>
  <c r="E34" i="20"/>
  <c r="F34" i="20"/>
  <c r="G34" i="20"/>
  <c r="H34" i="20"/>
  <c r="I34" i="20"/>
  <c r="J34" i="20"/>
  <c r="K34" i="20"/>
  <c r="L34" i="20"/>
  <c r="M34" i="20"/>
  <c r="N34" i="20"/>
  <c r="O34" i="20"/>
  <c r="P34" i="20"/>
  <c r="Q34" i="20"/>
  <c r="R34" i="20"/>
  <c r="S34" i="20"/>
  <c r="T34" i="20"/>
  <c r="U34" i="20"/>
  <c r="V34" i="20"/>
  <c r="W34" i="20"/>
  <c r="X34" i="20"/>
  <c r="Y34" i="20"/>
  <c r="Z34" i="20"/>
  <c r="AA34" i="20"/>
  <c r="AB34" i="20"/>
  <c r="AC34" i="20"/>
  <c r="AD34" i="20"/>
  <c r="AE34" i="20"/>
  <c r="AF34" i="20"/>
  <c r="AG34" i="20"/>
  <c r="AH34" i="20"/>
  <c r="AI34" i="20"/>
  <c r="AJ34" i="20"/>
  <c r="AK34" i="20"/>
  <c r="AL34" i="20"/>
  <c r="AM34" i="20"/>
  <c r="AN34" i="20"/>
  <c r="B35" i="20"/>
  <c r="C35" i="20"/>
  <c r="D35" i="20"/>
  <c r="E35" i="20"/>
  <c r="F35" i="20"/>
  <c r="G35" i="20"/>
  <c r="H35" i="20"/>
  <c r="I35" i="20"/>
  <c r="J35" i="20"/>
  <c r="K35" i="20"/>
  <c r="L35" i="20"/>
  <c r="M35" i="20"/>
  <c r="N35" i="20"/>
  <c r="O35" i="20"/>
  <c r="P35" i="20"/>
  <c r="Q35" i="20"/>
  <c r="R35" i="20"/>
  <c r="S35" i="20"/>
  <c r="T35" i="20"/>
  <c r="U35" i="20"/>
  <c r="V35" i="20"/>
  <c r="W35" i="20"/>
  <c r="X35" i="20"/>
  <c r="Y35" i="20"/>
  <c r="Z35" i="20"/>
  <c r="AA35" i="20"/>
  <c r="AB35" i="20"/>
  <c r="AC35" i="20"/>
  <c r="AD35" i="20"/>
  <c r="AE35" i="20"/>
  <c r="AF35" i="20"/>
  <c r="AG35" i="20"/>
  <c r="AH35" i="20"/>
  <c r="AI35" i="20"/>
  <c r="AJ35" i="20"/>
  <c r="AK35" i="20"/>
  <c r="AL35" i="20"/>
  <c r="AM35" i="20"/>
  <c r="AN35" i="20"/>
  <c r="B36" i="20"/>
  <c r="C36" i="20"/>
  <c r="D36" i="20"/>
  <c r="E36" i="20"/>
  <c r="F36" i="20"/>
  <c r="G36" i="20"/>
  <c r="H36" i="20"/>
  <c r="I36" i="20"/>
  <c r="J36" i="20"/>
  <c r="K36" i="20"/>
  <c r="L36" i="20"/>
  <c r="M36" i="20"/>
  <c r="N36" i="20"/>
  <c r="O36" i="20"/>
  <c r="P36" i="20"/>
  <c r="Q36" i="20"/>
  <c r="R36" i="20"/>
  <c r="S36" i="20"/>
  <c r="T36" i="20"/>
  <c r="U36" i="20"/>
  <c r="V36" i="20"/>
  <c r="W36" i="20"/>
  <c r="X36" i="20"/>
  <c r="Y36" i="20"/>
  <c r="Z36" i="20"/>
  <c r="AA36" i="20"/>
  <c r="AB36" i="20"/>
  <c r="AC36" i="20"/>
  <c r="AD36" i="20"/>
  <c r="AE36" i="20"/>
  <c r="AF36" i="20"/>
  <c r="AG36" i="20"/>
  <c r="AH36" i="20"/>
  <c r="AI36" i="20"/>
  <c r="AJ36" i="20"/>
  <c r="AK36" i="20"/>
  <c r="AL36" i="20"/>
  <c r="AM36" i="20"/>
  <c r="B37" i="20"/>
  <c r="C37" i="20"/>
  <c r="D37" i="20"/>
  <c r="E37" i="20"/>
  <c r="F37" i="20"/>
  <c r="G37" i="20"/>
  <c r="H37" i="20"/>
  <c r="I37" i="20"/>
  <c r="J37" i="20"/>
  <c r="K37" i="20"/>
  <c r="L37" i="20"/>
  <c r="M37" i="20"/>
  <c r="N37" i="20"/>
  <c r="O37" i="20"/>
  <c r="P37" i="20"/>
  <c r="Q37" i="20"/>
  <c r="R37" i="20"/>
  <c r="S37" i="20"/>
  <c r="T37" i="20"/>
  <c r="U37" i="20"/>
  <c r="V37" i="20"/>
  <c r="W37" i="20"/>
  <c r="X37" i="20"/>
  <c r="Y37" i="20"/>
  <c r="Z37" i="20"/>
  <c r="AA37" i="20"/>
  <c r="AB37" i="20"/>
  <c r="AC37" i="20"/>
  <c r="AD37" i="20"/>
  <c r="AE37" i="20"/>
  <c r="AF37" i="20"/>
  <c r="AG37" i="20"/>
  <c r="AH37" i="20"/>
  <c r="AI37" i="20"/>
  <c r="AJ37" i="20"/>
  <c r="AK37" i="20"/>
  <c r="AL37" i="20"/>
  <c r="AM37" i="20"/>
  <c r="AN37" i="20"/>
  <c r="B38" i="20"/>
  <c r="C38" i="20"/>
  <c r="D38" i="20"/>
  <c r="E38" i="20"/>
  <c r="F38" i="20"/>
  <c r="G38" i="20"/>
  <c r="H38" i="20"/>
  <c r="I38" i="20"/>
  <c r="J38" i="20"/>
  <c r="K38" i="20"/>
  <c r="L38" i="20"/>
  <c r="M38" i="20"/>
  <c r="N38" i="20"/>
  <c r="O38" i="20"/>
  <c r="P38" i="20"/>
  <c r="Q38" i="20"/>
  <c r="R38" i="20"/>
  <c r="S38" i="20"/>
  <c r="T38" i="20"/>
  <c r="U38" i="20"/>
  <c r="V38" i="20"/>
  <c r="W38" i="20"/>
  <c r="X38" i="20"/>
  <c r="Y38" i="20"/>
  <c r="Z38" i="20"/>
  <c r="AA38" i="20"/>
  <c r="AB38" i="20"/>
  <c r="AC38" i="20"/>
  <c r="AD38" i="20"/>
  <c r="AE38" i="20"/>
  <c r="AF38" i="20"/>
  <c r="AG38" i="20"/>
  <c r="AH38" i="20"/>
  <c r="AI38" i="20"/>
  <c r="AJ38" i="20"/>
  <c r="AK38" i="20"/>
  <c r="AL38" i="20"/>
  <c r="AM38" i="20"/>
  <c r="AN38" i="20"/>
  <c r="B39" i="20"/>
  <c r="C39" i="20"/>
  <c r="D39" i="20"/>
  <c r="E39" i="20"/>
  <c r="F39" i="20"/>
  <c r="G39" i="20"/>
  <c r="H39" i="20"/>
  <c r="I39" i="20"/>
  <c r="J39" i="20"/>
  <c r="K39" i="20"/>
  <c r="L39" i="20"/>
  <c r="M39" i="20"/>
  <c r="N39" i="20"/>
  <c r="O39" i="20"/>
  <c r="P39" i="20"/>
  <c r="Q39" i="20"/>
  <c r="R39" i="20"/>
  <c r="S39" i="20"/>
  <c r="T39" i="20"/>
  <c r="U39" i="20"/>
  <c r="V39" i="20"/>
  <c r="W39" i="20"/>
  <c r="X39" i="20"/>
  <c r="Y39" i="20"/>
  <c r="Z39" i="20"/>
  <c r="AA39" i="20"/>
  <c r="AB39" i="20"/>
  <c r="AC39" i="20"/>
  <c r="AD39" i="20"/>
  <c r="AE39" i="20"/>
  <c r="AF39" i="20"/>
  <c r="AG39" i="20"/>
  <c r="AH39" i="20"/>
  <c r="AI39" i="20"/>
  <c r="AJ39" i="20"/>
  <c r="AK39" i="20"/>
  <c r="AL39" i="20"/>
  <c r="AM39" i="20"/>
  <c r="AN39" i="20"/>
  <c r="B40" i="20"/>
  <c r="C40" i="20"/>
  <c r="D40" i="20"/>
  <c r="E40" i="20"/>
  <c r="F40" i="20"/>
  <c r="G40" i="20"/>
  <c r="H40" i="20"/>
  <c r="I40" i="20"/>
  <c r="J40" i="20"/>
  <c r="K40" i="20"/>
  <c r="L40" i="20"/>
  <c r="M40" i="20"/>
  <c r="N40" i="20"/>
  <c r="O40" i="20"/>
  <c r="P40" i="20"/>
  <c r="Q40" i="20"/>
  <c r="R40" i="20"/>
  <c r="S40" i="20"/>
  <c r="T40" i="20"/>
  <c r="U40" i="20"/>
  <c r="V40" i="20"/>
  <c r="W40" i="20"/>
  <c r="X40" i="20"/>
  <c r="Y40" i="20"/>
  <c r="Z40" i="20"/>
  <c r="AA40" i="20"/>
  <c r="AB40" i="20"/>
  <c r="AC40" i="20"/>
  <c r="AD40" i="20"/>
  <c r="AE40" i="20"/>
  <c r="AF40" i="20"/>
  <c r="AG40" i="20"/>
  <c r="AH40" i="20"/>
  <c r="AI40" i="20"/>
  <c r="AJ40" i="20"/>
  <c r="AK40" i="20"/>
  <c r="AL40" i="20"/>
  <c r="AM40" i="20"/>
  <c r="AN40" i="20"/>
  <c r="B41" i="20"/>
  <c r="C41" i="20"/>
  <c r="D41" i="20"/>
  <c r="E41" i="20"/>
  <c r="F41" i="20"/>
  <c r="G41" i="20"/>
  <c r="H41" i="20"/>
  <c r="I41" i="20"/>
  <c r="J41" i="20"/>
  <c r="K41" i="20"/>
  <c r="L41" i="20"/>
  <c r="M41" i="20"/>
  <c r="N41" i="20"/>
  <c r="O41" i="20"/>
  <c r="P41" i="20"/>
  <c r="Q41" i="20"/>
  <c r="R41" i="20"/>
  <c r="S41" i="20"/>
  <c r="T41" i="20"/>
  <c r="U41" i="20"/>
  <c r="V41" i="20"/>
  <c r="W41" i="20"/>
  <c r="X41" i="20"/>
  <c r="Y41" i="20"/>
  <c r="Z41" i="20"/>
  <c r="AA41" i="20"/>
  <c r="AB41" i="20"/>
  <c r="AC41" i="20"/>
  <c r="AD41" i="20"/>
  <c r="AE41" i="20"/>
  <c r="AF41" i="20"/>
  <c r="AG41" i="20"/>
  <c r="AH41" i="20"/>
  <c r="AI41" i="20"/>
  <c r="AJ41" i="20"/>
  <c r="AK41" i="20"/>
  <c r="AL41" i="20"/>
  <c r="AM41" i="20"/>
  <c r="AN41" i="20"/>
  <c r="B42" i="20"/>
  <c r="C42" i="20"/>
  <c r="D42" i="20"/>
  <c r="E42" i="20"/>
  <c r="F42" i="20"/>
  <c r="G42" i="20"/>
  <c r="H42" i="20"/>
  <c r="I42" i="20"/>
  <c r="J42" i="20"/>
  <c r="K42" i="20"/>
  <c r="L42" i="20"/>
  <c r="M42" i="20"/>
  <c r="N42" i="20"/>
  <c r="O42" i="20"/>
  <c r="P42" i="20"/>
  <c r="Q42" i="20"/>
  <c r="R42" i="20"/>
  <c r="S42" i="20"/>
  <c r="T42" i="20"/>
  <c r="U42" i="20"/>
  <c r="V42" i="20"/>
  <c r="W42" i="20"/>
  <c r="X42" i="20"/>
  <c r="Y42" i="20"/>
  <c r="Z42" i="20"/>
  <c r="AA42" i="20"/>
  <c r="AB42" i="20"/>
  <c r="AC42" i="20"/>
  <c r="AD42" i="20"/>
  <c r="AE42" i="20"/>
  <c r="AF42" i="20"/>
  <c r="AG42" i="20"/>
  <c r="AH42" i="20"/>
  <c r="AI42" i="20"/>
  <c r="AJ42" i="20"/>
  <c r="AK42" i="20"/>
  <c r="AL42" i="20"/>
  <c r="AM42" i="20"/>
  <c r="AN42" i="20"/>
  <c r="B43" i="20"/>
  <c r="C43" i="20"/>
  <c r="D43" i="20"/>
  <c r="E43" i="20"/>
  <c r="F43" i="20"/>
  <c r="G43" i="20"/>
  <c r="H43" i="20"/>
  <c r="I43" i="20"/>
  <c r="J43" i="20"/>
  <c r="K43" i="20"/>
  <c r="L43" i="20"/>
  <c r="M43" i="20"/>
  <c r="N43" i="20"/>
  <c r="O43" i="20"/>
  <c r="P43" i="20"/>
  <c r="Q43" i="20"/>
  <c r="R43" i="20"/>
  <c r="S43" i="20"/>
  <c r="T43" i="20"/>
  <c r="U43" i="20"/>
  <c r="V43" i="20"/>
  <c r="W43" i="20"/>
  <c r="X43" i="20"/>
  <c r="Y43" i="20"/>
  <c r="Z43" i="20"/>
  <c r="AA43" i="20"/>
  <c r="AB43" i="20"/>
  <c r="AC43" i="20"/>
  <c r="AD43" i="20"/>
  <c r="AE43" i="20"/>
  <c r="AF43" i="20"/>
  <c r="AG43" i="20"/>
  <c r="AH43" i="20"/>
  <c r="AI43" i="20"/>
  <c r="AJ43" i="20"/>
  <c r="AK43" i="20"/>
  <c r="AL43" i="20"/>
  <c r="AM43" i="20"/>
  <c r="AN43" i="20"/>
  <c r="B44" i="20"/>
  <c r="C44" i="20"/>
  <c r="D44" i="20"/>
  <c r="E44" i="20"/>
  <c r="F44" i="20"/>
  <c r="G44" i="20"/>
  <c r="H44" i="20"/>
  <c r="I44" i="20"/>
  <c r="J44" i="20"/>
  <c r="K44" i="20"/>
  <c r="L44" i="20"/>
  <c r="M44" i="20"/>
  <c r="N44" i="20"/>
  <c r="O44" i="20"/>
  <c r="P44" i="20"/>
  <c r="Q44" i="20"/>
  <c r="R44" i="20"/>
  <c r="S44" i="20"/>
  <c r="T44" i="20"/>
  <c r="U44" i="20"/>
  <c r="V44" i="20"/>
  <c r="W44" i="20"/>
  <c r="X44" i="20"/>
  <c r="Y44" i="20"/>
  <c r="Z44" i="20"/>
  <c r="AA44" i="20"/>
  <c r="AB44" i="20"/>
  <c r="AC44" i="20"/>
  <c r="AD44" i="20"/>
  <c r="AE44" i="20"/>
  <c r="AF44" i="20"/>
  <c r="AG44" i="20"/>
  <c r="AH44" i="20"/>
  <c r="AI44" i="20"/>
  <c r="AJ44" i="20"/>
  <c r="AK44" i="20"/>
  <c r="AL44" i="20"/>
  <c r="AM44" i="20"/>
  <c r="AN44" i="20"/>
  <c r="B45" i="20"/>
  <c r="C45" i="20"/>
  <c r="D45" i="20"/>
  <c r="E45" i="20"/>
  <c r="F45" i="20"/>
  <c r="G45" i="20"/>
  <c r="H45" i="20"/>
  <c r="I45" i="20"/>
  <c r="J45" i="20"/>
  <c r="K45" i="20"/>
  <c r="L45" i="20"/>
  <c r="M45" i="20"/>
  <c r="N45" i="20"/>
  <c r="O45" i="20"/>
  <c r="P45" i="20"/>
  <c r="Q45" i="20"/>
  <c r="R45" i="20"/>
  <c r="S45" i="20"/>
  <c r="T45" i="20"/>
  <c r="U45" i="20"/>
  <c r="V45" i="20"/>
  <c r="W45" i="20"/>
  <c r="X45" i="20"/>
  <c r="Y45" i="20"/>
  <c r="Z45" i="20"/>
  <c r="AA45" i="20"/>
  <c r="AB45" i="20"/>
  <c r="AC45" i="20"/>
  <c r="AD45" i="20"/>
  <c r="AE45" i="20"/>
  <c r="AF45" i="20"/>
  <c r="AG45" i="20"/>
  <c r="AH45" i="20"/>
  <c r="AI45" i="20"/>
  <c r="AJ45" i="20"/>
  <c r="AK45" i="20"/>
  <c r="AL45" i="20"/>
  <c r="AM45" i="20"/>
  <c r="AN45" i="20"/>
  <c r="B46" i="20"/>
  <c r="C46" i="20"/>
  <c r="D46" i="20"/>
  <c r="E46" i="20"/>
  <c r="F46" i="20"/>
  <c r="G46" i="20"/>
  <c r="H46" i="20"/>
  <c r="I46" i="20"/>
  <c r="J46" i="20"/>
  <c r="K46" i="20"/>
  <c r="L46" i="20"/>
  <c r="M46" i="20"/>
  <c r="N46" i="20"/>
  <c r="O46" i="20"/>
  <c r="P46" i="20"/>
  <c r="Q46" i="20"/>
  <c r="R46" i="20"/>
  <c r="S46" i="20"/>
  <c r="T46" i="20"/>
  <c r="U46" i="20"/>
  <c r="V46" i="20"/>
  <c r="W46" i="20"/>
  <c r="X46" i="20"/>
  <c r="Y46" i="20"/>
  <c r="Z46" i="20"/>
  <c r="AA46" i="20"/>
  <c r="AB46" i="20"/>
  <c r="AC46" i="20"/>
  <c r="AD46" i="20"/>
  <c r="AE46" i="20"/>
  <c r="AF46" i="20"/>
  <c r="AG46" i="20"/>
  <c r="AH46" i="20"/>
  <c r="AI46" i="20"/>
  <c r="AJ46" i="20"/>
  <c r="AK46" i="20"/>
  <c r="AL46" i="20"/>
  <c r="AM46" i="20"/>
  <c r="AN46" i="20"/>
  <c r="B47" i="20"/>
  <c r="C47" i="20"/>
  <c r="D47" i="20"/>
  <c r="E47" i="20"/>
  <c r="F47" i="20"/>
  <c r="G47" i="20"/>
  <c r="H47" i="20"/>
  <c r="I47" i="20"/>
  <c r="J47" i="20"/>
  <c r="K47" i="20"/>
  <c r="L47" i="20"/>
  <c r="M47" i="20"/>
  <c r="N47" i="20"/>
  <c r="O47" i="20"/>
  <c r="P47" i="20"/>
  <c r="Q47" i="20"/>
  <c r="R47" i="20"/>
  <c r="S47" i="20"/>
  <c r="T47" i="20"/>
  <c r="U47" i="20"/>
  <c r="V47" i="20"/>
  <c r="W47" i="20"/>
  <c r="X47" i="20"/>
  <c r="Y47" i="20"/>
  <c r="Z47" i="20"/>
  <c r="AA47" i="20"/>
  <c r="AB47" i="20"/>
  <c r="AC47" i="20"/>
  <c r="AD47" i="20"/>
  <c r="AE47" i="20"/>
  <c r="AF47" i="20"/>
  <c r="AG47" i="20"/>
  <c r="AH47" i="20"/>
  <c r="AI47" i="20"/>
  <c r="AJ47" i="20"/>
  <c r="AK47" i="20"/>
  <c r="AL47" i="20"/>
  <c r="AM47" i="20"/>
  <c r="AN47" i="20"/>
  <c r="B48" i="20"/>
  <c r="C48" i="20"/>
  <c r="D48" i="20"/>
  <c r="E48" i="20"/>
  <c r="F48" i="20"/>
  <c r="G48" i="20"/>
  <c r="H48" i="20"/>
  <c r="I48" i="20"/>
  <c r="J48" i="20"/>
  <c r="K48" i="20"/>
  <c r="L48" i="20"/>
  <c r="M48" i="20"/>
  <c r="N48" i="20"/>
  <c r="O48" i="20"/>
  <c r="P48" i="20"/>
  <c r="Q48" i="20"/>
  <c r="R48" i="20"/>
  <c r="S48" i="20"/>
  <c r="T48" i="20"/>
  <c r="U48" i="20"/>
  <c r="V48" i="20"/>
  <c r="W48" i="20"/>
  <c r="X48" i="20"/>
  <c r="Y48" i="20"/>
  <c r="Z48" i="20"/>
  <c r="AA48" i="20"/>
  <c r="AB48" i="20"/>
  <c r="AC48" i="20"/>
  <c r="AD48" i="20"/>
  <c r="AE48" i="20"/>
  <c r="AF48" i="20"/>
  <c r="AG48" i="20"/>
  <c r="AH48" i="20"/>
  <c r="AI48" i="20"/>
  <c r="AJ48" i="20"/>
  <c r="AK48" i="20"/>
  <c r="AL48" i="20"/>
  <c r="AM48" i="20"/>
  <c r="AN48" i="20"/>
  <c r="B49" i="20"/>
  <c r="C49" i="20"/>
  <c r="D49" i="20"/>
  <c r="E49" i="20"/>
  <c r="F49" i="20"/>
  <c r="G49" i="20"/>
  <c r="H49" i="20"/>
  <c r="I49" i="20"/>
  <c r="J49" i="20"/>
  <c r="K49" i="20"/>
  <c r="L49" i="20"/>
  <c r="M49" i="20"/>
  <c r="N49" i="20"/>
  <c r="O49" i="20"/>
  <c r="P49" i="20"/>
  <c r="Q49" i="20"/>
  <c r="R49" i="20"/>
  <c r="S49" i="20"/>
  <c r="T49" i="20"/>
  <c r="U49" i="20"/>
  <c r="V49" i="20"/>
  <c r="W49" i="20"/>
  <c r="X49" i="20"/>
  <c r="Y49" i="20"/>
  <c r="Z49" i="20"/>
  <c r="AA49" i="20"/>
  <c r="AB49" i="20"/>
  <c r="AC49" i="20"/>
  <c r="AD49" i="20"/>
  <c r="AE49" i="20"/>
  <c r="AF49" i="20"/>
  <c r="AG49" i="20"/>
  <c r="AH49" i="20"/>
  <c r="AI49" i="20"/>
  <c r="AJ49" i="20"/>
  <c r="AK49" i="20"/>
  <c r="AL49" i="20"/>
  <c r="AM49" i="20"/>
  <c r="AN49" i="20"/>
  <c r="B50" i="20"/>
  <c r="C50" i="20"/>
  <c r="D50" i="20"/>
  <c r="E50" i="20"/>
  <c r="F50" i="20"/>
  <c r="G50" i="20"/>
  <c r="H50" i="20"/>
  <c r="I50" i="20"/>
  <c r="J50" i="20"/>
  <c r="K50" i="20"/>
  <c r="L50" i="20"/>
  <c r="M50" i="20"/>
  <c r="N50" i="20"/>
  <c r="O50" i="20"/>
  <c r="P50" i="20"/>
  <c r="Q50" i="20"/>
  <c r="R50" i="20"/>
  <c r="S50" i="20"/>
  <c r="T50" i="20"/>
  <c r="U50" i="20"/>
  <c r="V50" i="20"/>
  <c r="W50" i="20"/>
  <c r="X50" i="20"/>
  <c r="Y50" i="20"/>
  <c r="Z50" i="20"/>
  <c r="AA50" i="20"/>
  <c r="AB50" i="20"/>
  <c r="AC50" i="20"/>
  <c r="AD50" i="20"/>
  <c r="AE50" i="20"/>
  <c r="AF50" i="20"/>
  <c r="AG50" i="20"/>
  <c r="AH50" i="20"/>
  <c r="AI50" i="20"/>
  <c r="AJ50" i="20"/>
  <c r="AK50" i="20"/>
  <c r="AL50" i="20"/>
  <c r="AM50" i="20"/>
  <c r="AN50" i="20"/>
  <c r="B51" i="20"/>
  <c r="C51" i="20"/>
  <c r="D51" i="20"/>
  <c r="E51" i="20"/>
  <c r="F51" i="20"/>
  <c r="G51" i="20"/>
  <c r="H51" i="20"/>
  <c r="I51" i="20"/>
  <c r="J51" i="20"/>
  <c r="K51" i="20"/>
  <c r="L51" i="20"/>
  <c r="M51" i="20"/>
  <c r="N51" i="20"/>
  <c r="O51" i="20"/>
  <c r="P51" i="20"/>
  <c r="Q51" i="20"/>
  <c r="R51" i="20"/>
  <c r="S51" i="20"/>
  <c r="T51" i="20"/>
  <c r="U51" i="20"/>
  <c r="V51" i="20"/>
  <c r="W51" i="20"/>
  <c r="X51" i="20"/>
  <c r="Y51" i="20"/>
  <c r="Z51" i="20"/>
  <c r="AA51" i="20"/>
  <c r="AB51" i="20"/>
  <c r="AC51" i="20"/>
  <c r="AD51" i="20"/>
  <c r="AE51" i="20"/>
  <c r="AF51" i="20"/>
  <c r="AG51" i="20"/>
  <c r="AH51" i="20"/>
  <c r="AI51" i="20"/>
  <c r="AJ51" i="20"/>
  <c r="AK51" i="20"/>
  <c r="AL51" i="20"/>
  <c r="AM51" i="20"/>
  <c r="AN51" i="20"/>
  <c r="B52" i="20"/>
  <c r="C52" i="20"/>
  <c r="D52" i="20"/>
  <c r="E52" i="20"/>
  <c r="F52" i="20"/>
  <c r="G52" i="20"/>
  <c r="H52" i="20"/>
  <c r="I52" i="20"/>
  <c r="J52" i="20"/>
  <c r="K52" i="20"/>
  <c r="L52" i="20"/>
  <c r="M52" i="20"/>
  <c r="N52" i="20"/>
  <c r="O52" i="20"/>
  <c r="P52" i="20"/>
  <c r="Q52" i="20"/>
  <c r="R52" i="20"/>
  <c r="S52" i="20"/>
  <c r="T52" i="20"/>
  <c r="U52" i="20"/>
  <c r="V52" i="20"/>
  <c r="W52" i="20"/>
  <c r="X52" i="20"/>
  <c r="Y52" i="20"/>
  <c r="Z52" i="20"/>
  <c r="AA52" i="20"/>
  <c r="AB52" i="20"/>
  <c r="AC52" i="20"/>
  <c r="AD52" i="20"/>
  <c r="AE52" i="20"/>
  <c r="AF52" i="20"/>
  <c r="AG52" i="20"/>
  <c r="AH52" i="20"/>
  <c r="AI52" i="20"/>
  <c r="AJ52" i="20"/>
  <c r="AK52" i="20"/>
  <c r="AL52" i="20"/>
  <c r="AM52" i="20"/>
  <c r="AN52" i="20"/>
  <c r="B53" i="20"/>
  <c r="C53" i="20"/>
  <c r="D53" i="20"/>
  <c r="E53" i="20"/>
  <c r="F53" i="20"/>
  <c r="G53" i="20"/>
  <c r="H53" i="20"/>
  <c r="I53" i="20"/>
  <c r="J53" i="20"/>
  <c r="K53" i="20"/>
  <c r="L53" i="20"/>
  <c r="M53" i="20"/>
  <c r="N53" i="20"/>
  <c r="O53" i="20"/>
  <c r="P53" i="20"/>
  <c r="Q53" i="20"/>
  <c r="R53" i="20"/>
  <c r="S53" i="20"/>
  <c r="T53" i="20"/>
  <c r="U53" i="20"/>
  <c r="V53" i="20"/>
  <c r="W53" i="20"/>
  <c r="X53" i="20"/>
  <c r="Y53" i="20"/>
  <c r="Z53" i="20"/>
  <c r="AA53" i="20"/>
  <c r="AB53" i="20"/>
  <c r="AC53" i="20"/>
  <c r="AD53" i="20"/>
  <c r="AE53" i="20"/>
  <c r="AF53" i="20"/>
  <c r="AG53" i="20"/>
  <c r="AH53" i="20"/>
  <c r="AI53" i="20"/>
  <c r="AJ53" i="20"/>
  <c r="AK53" i="20"/>
  <c r="AL53" i="20"/>
  <c r="AM53" i="20"/>
  <c r="AN53" i="20"/>
  <c r="B54" i="20"/>
  <c r="C54" i="20"/>
  <c r="D54" i="20"/>
  <c r="E54" i="20"/>
  <c r="F54" i="20"/>
  <c r="G54" i="20"/>
  <c r="H54" i="20"/>
  <c r="I54" i="20"/>
  <c r="J54" i="20"/>
  <c r="K54" i="20"/>
  <c r="L54" i="20"/>
  <c r="M54" i="20"/>
  <c r="N54" i="20"/>
  <c r="O54" i="20"/>
  <c r="P54" i="20"/>
  <c r="Q54" i="20"/>
  <c r="R54" i="20"/>
  <c r="S54" i="20"/>
  <c r="T54" i="20"/>
  <c r="U54" i="20"/>
  <c r="V54" i="20"/>
  <c r="W54" i="20"/>
  <c r="X54" i="20"/>
  <c r="Y54" i="20"/>
  <c r="Z54" i="20"/>
  <c r="AA54" i="20"/>
  <c r="AB54" i="20"/>
  <c r="AC54" i="20"/>
  <c r="AD54" i="20"/>
  <c r="AE54" i="20"/>
  <c r="AF54" i="20"/>
  <c r="AG54" i="20"/>
  <c r="AH54" i="20"/>
  <c r="AI54" i="20"/>
  <c r="AJ54" i="20"/>
  <c r="AK54" i="20"/>
  <c r="AL54" i="20"/>
  <c r="AM54" i="20"/>
  <c r="AN54" i="20"/>
  <c r="B55" i="20"/>
  <c r="C55" i="20"/>
  <c r="D55" i="20"/>
  <c r="E55" i="20"/>
  <c r="F55" i="20"/>
  <c r="G55" i="20"/>
  <c r="H55" i="20"/>
  <c r="I55" i="20"/>
  <c r="J55" i="20"/>
  <c r="K55" i="20"/>
  <c r="L55" i="20"/>
  <c r="M55" i="20"/>
  <c r="N55" i="20"/>
  <c r="O55" i="20"/>
  <c r="P55" i="20"/>
  <c r="Q55" i="20"/>
  <c r="R55" i="20"/>
  <c r="S55" i="20"/>
  <c r="T55" i="20"/>
  <c r="U55" i="20"/>
  <c r="V55" i="20"/>
  <c r="W55" i="20"/>
  <c r="X55" i="20"/>
  <c r="Y55" i="20"/>
  <c r="Z55" i="20"/>
  <c r="AA55" i="20"/>
  <c r="AB55" i="20"/>
  <c r="AC55" i="20"/>
  <c r="AD55" i="20"/>
  <c r="AE55" i="20"/>
  <c r="AF55" i="20"/>
  <c r="AG55" i="20"/>
  <c r="AH55" i="20"/>
  <c r="AI55" i="20"/>
  <c r="AJ55" i="20"/>
  <c r="AK55" i="20"/>
  <c r="AL55" i="20"/>
  <c r="AM55" i="20"/>
  <c r="AN55" i="20"/>
  <c r="B56" i="20"/>
  <c r="C56" i="20"/>
  <c r="D56" i="20"/>
  <c r="E56" i="20"/>
  <c r="F56" i="20"/>
  <c r="G56" i="20"/>
  <c r="H56" i="20"/>
  <c r="I56" i="20"/>
  <c r="J56" i="20"/>
  <c r="K56" i="20"/>
  <c r="L56" i="20"/>
  <c r="M56" i="20"/>
  <c r="N56" i="20"/>
  <c r="O56" i="20"/>
  <c r="P56" i="20"/>
  <c r="Q56" i="20"/>
  <c r="R56" i="20"/>
  <c r="S56" i="20"/>
  <c r="T56" i="20"/>
  <c r="U56" i="20"/>
  <c r="V56" i="20"/>
  <c r="W56" i="20"/>
  <c r="X56" i="20"/>
  <c r="Y56" i="20"/>
  <c r="Z56" i="20"/>
  <c r="AA56" i="20"/>
  <c r="AB56" i="20"/>
  <c r="AC56" i="20"/>
  <c r="AD56" i="20"/>
  <c r="AE56" i="20"/>
  <c r="AF56" i="20"/>
  <c r="AG56" i="20"/>
  <c r="AH56" i="20"/>
  <c r="AI56" i="20"/>
  <c r="AJ56" i="20"/>
  <c r="AK56" i="20"/>
  <c r="AL56" i="20"/>
  <c r="AM56" i="20"/>
  <c r="AN56" i="20"/>
  <c r="B57" i="20"/>
  <c r="C57" i="20"/>
  <c r="D57" i="20"/>
  <c r="E57" i="20"/>
  <c r="F57" i="20"/>
  <c r="G57" i="20"/>
  <c r="H57" i="20"/>
  <c r="I57" i="20"/>
  <c r="J57" i="20"/>
  <c r="K57" i="20"/>
  <c r="L57" i="20"/>
  <c r="M57" i="20"/>
  <c r="N57" i="20"/>
  <c r="O57" i="20"/>
  <c r="P57" i="20"/>
  <c r="Q57" i="20"/>
  <c r="R57" i="20"/>
  <c r="S57" i="20"/>
  <c r="T57" i="20"/>
  <c r="U57" i="20"/>
  <c r="V57" i="20"/>
  <c r="W57" i="20"/>
  <c r="X57" i="20"/>
  <c r="Y57" i="20"/>
  <c r="Z57" i="20"/>
  <c r="AA57" i="20"/>
  <c r="AB57" i="20"/>
  <c r="AC57" i="20"/>
  <c r="AD57" i="20"/>
  <c r="AE57" i="20"/>
  <c r="AF57" i="20"/>
  <c r="AG57" i="20"/>
  <c r="AH57" i="20"/>
  <c r="AI57" i="20"/>
  <c r="AJ57" i="20"/>
  <c r="AK57" i="20"/>
  <c r="AL57" i="20"/>
  <c r="AM57" i="20"/>
  <c r="AN57" i="20"/>
  <c r="B58" i="20"/>
  <c r="C58" i="20"/>
  <c r="D58" i="20"/>
  <c r="E58" i="20"/>
  <c r="F58" i="20"/>
  <c r="G58" i="20"/>
  <c r="H58" i="20"/>
  <c r="I58" i="20"/>
  <c r="J58" i="20"/>
  <c r="K58" i="20"/>
  <c r="L58" i="20"/>
  <c r="M58" i="20"/>
  <c r="N58" i="20"/>
  <c r="O58" i="20"/>
  <c r="P58" i="20"/>
  <c r="Q58" i="20"/>
  <c r="R58" i="20"/>
  <c r="S58" i="20"/>
  <c r="T58" i="20"/>
  <c r="U58" i="20"/>
  <c r="V58" i="20"/>
  <c r="W58" i="20"/>
  <c r="X58" i="20"/>
  <c r="Y58" i="20"/>
  <c r="Z58" i="20"/>
  <c r="AA58" i="20"/>
  <c r="AB58" i="20"/>
  <c r="AC58" i="20"/>
  <c r="AD58" i="20"/>
  <c r="AE58" i="20"/>
  <c r="AF58" i="20"/>
  <c r="AG58" i="20"/>
  <c r="AH58" i="20"/>
  <c r="AI58" i="20"/>
  <c r="AJ58" i="20"/>
  <c r="AK58" i="20"/>
  <c r="AL58" i="20"/>
  <c r="AM58" i="20"/>
  <c r="AN58" i="20"/>
  <c r="B59" i="20"/>
  <c r="C59" i="20"/>
  <c r="D59" i="20"/>
  <c r="E59" i="20"/>
  <c r="F59" i="20"/>
  <c r="G59" i="20"/>
  <c r="H59" i="20"/>
  <c r="I59" i="20"/>
  <c r="J59" i="20"/>
  <c r="K59" i="20"/>
  <c r="L59" i="20"/>
  <c r="M59" i="20"/>
  <c r="N59" i="20"/>
  <c r="O59" i="20"/>
  <c r="P59" i="20"/>
  <c r="Q59" i="20"/>
  <c r="R59" i="20"/>
  <c r="S59" i="20"/>
  <c r="T59" i="20"/>
  <c r="U59" i="20"/>
  <c r="V59" i="20"/>
  <c r="W59" i="20"/>
  <c r="X59" i="20"/>
  <c r="Y59" i="20"/>
  <c r="Z59" i="20"/>
  <c r="AA59" i="20"/>
  <c r="AB59" i="20"/>
  <c r="AC59" i="20"/>
  <c r="AD59" i="20"/>
  <c r="AE59" i="20"/>
  <c r="AF59" i="20"/>
  <c r="AG59" i="20"/>
  <c r="AH59" i="20"/>
  <c r="AI59" i="20"/>
  <c r="AJ59" i="20"/>
  <c r="AK59" i="20"/>
  <c r="AL59" i="20"/>
  <c r="AM59" i="20"/>
  <c r="AN59" i="20"/>
  <c r="B60" i="20"/>
  <c r="C60" i="20"/>
  <c r="D60" i="20"/>
  <c r="E60" i="20"/>
  <c r="F60" i="20"/>
  <c r="G60" i="20"/>
  <c r="H60" i="20"/>
  <c r="I60" i="20"/>
  <c r="J60" i="20"/>
  <c r="K60" i="20"/>
  <c r="L60" i="20"/>
  <c r="M60" i="20"/>
  <c r="N60" i="20"/>
  <c r="O60" i="20"/>
  <c r="P60" i="20"/>
  <c r="Q60" i="20"/>
  <c r="R60" i="20"/>
  <c r="S60" i="20"/>
  <c r="T60" i="20"/>
  <c r="U60" i="20"/>
  <c r="V60" i="20"/>
  <c r="W60" i="20"/>
  <c r="X60" i="20"/>
  <c r="Y60" i="20"/>
  <c r="Z60" i="20"/>
  <c r="AA60" i="20"/>
  <c r="AB60" i="20"/>
  <c r="AC60" i="20"/>
  <c r="AD60" i="20"/>
  <c r="AE60" i="20"/>
  <c r="AF60" i="20"/>
  <c r="AG60" i="20"/>
  <c r="AH60" i="20"/>
  <c r="AI60" i="20"/>
  <c r="AJ60" i="20"/>
  <c r="AK60" i="20"/>
  <c r="AL60" i="20"/>
  <c r="AM60" i="20"/>
  <c r="AN60" i="20"/>
  <c r="B61" i="20"/>
  <c r="C61" i="20"/>
  <c r="D61" i="20"/>
  <c r="E61" i="20"/>
  <c r="F61" i="20"/>
  <c r="G61" i="20"/>
  <c r="H61" i="20"/>
  <c r="I61" i="20"/>
  <c r="J61" i="20"/>
  <c r="K61" i="20"/>
  <c r="L61" i="20"/>
  <c r="M61" i="20"/>
  <c r="N61" i="20"/>
  <c r="O61" i="20"/>
  <c r="P61" i="20"/>
  <c r="Q61" i="20"/>
  <c r="R61" i="20"/>
  <c r="S61" i="20"/>
  <c r="T61" i="20"/>
  <c r="U61" i="20"/>
  <c r="V61" i="20"/>
  <c r="W61" i="20"/>
  <c r="X61" i="20"/>
  <c r="Y61" i="20"/>
  <c r="Z61" i="20"/>
  <c r="AA61" i="20"/>
  <c r="AB61" i="20"/>
  <c r="AC61" i="20"/>
  <c r="AD61" i="20"/>
  <c r="AE61" i="20"/>
  <c r="AF61" i="20"/>
  <c r="AG61" i="20"/>
  <c r="AH61" i="20"/>
  <c r="AI61" i="20"/>
  <c r="AJ61" i="20"/>
  <c r="AK61" i="20"/>
  <c r="AL61" i="20"/>
  <c r="AM61" i="20"/>
  <c r="B62" i="20"/>
  <c r="C62" i="20"/>
  <c r="D62" i="20"/>
  <c r="E62" i="20"/>
  <c r="F62" i="20"/>
  <c r="G62" i="20"/>
  <c r="H62" i="20"/>
  <c r="I62" i="20"/>
  <c r="J62" i="20"/>
  <c r="K62" i="20"/>
  <c r="L62" i="20"/>
  <c r="M62" i="20"/>
  <c r="N62" i="20"/>
  <c r="O62" i="20"/>
  <c r="P62" i="20"/>
  <c r="Q62" i="20"/>
  <c r="R62" i="20"/>
  <c r="S62" i="20"/>
  <c r="T62" i="20"/>
  <c r="U62" i="20"/>
  <c r="V62" i="20"/>
  <c r="W62" i="20"/>
  <c r="X62" i="20"/>
  <c r="Y62" i="20"/>
  <c r="Z62" i="20"/>
  <c r="AA62" i="20"/>
  <c r="AB62" i="20"/>
  <c r="AC62" i="20"/>
  <c r="AD62" i="20"/>
  <c r="AE62" i="20"/>
  <c r="AF62" i="20"/>
  <c r="AG62" i="20"/>
  <c r="AH62" i="20"/>
  <c r="AI62" i="20"/>
  <c r="AJ62" i="20"/>
  <c r="AK62" i="20"/>
  <c r="AL62" i="20"/>
  <c r="AM62" i="20"/>
  <c r="AN62" i="20"/>
  <c r="B63" i="20"/>
  <c r="C63" i="20"/>
  <c r="D63" i="20"/>
  <c r="E63" i="20"/>
  <c r="F63" i="20"/>
  <c r="G63" i="20"/>
  <c r="H63" i="20"/>
  <c r="I63" i="20"/>
  <c r="J63" i="20"/>
  <c r="K63" i="20"/>
  <c r="L63" i="20"/>
  <c r="M63" i="20"/>
  <c r="N63" i="20"/>
  <c r="O63" i="20"/>
  <c r="P63" i="20"/>
  <c r="Q63" i="20"/>
  <c r="R63" i="20"/>
  <c r="S63" i="20"/>
  <c r="T63" i="20"/>
  <c r="U63" i="20"/>
  <c r="V63" i="20"/>
  <c r="W63" i="20"/>
  <c r="X63" i="20"/>
  <c r="Y63" i="20"/>
  <c r="Z63" i="20"/>
  <c r="AA63" i="20"/>
  <c r="AB63" i="20"/>
  <c r="AC63" i="20"/>
  <c r="AD63" i="20"/>
  <c r="AE63" i="20"/>
  <c r="AF63" i="20"/>
  <c r="AG63" i="20"/>
  <c r="AH63" i="20"/>
  <c r="AI63" i="20"/>
  <c r="AJ63" i="20"/>
  <c r="AK63" i="20"/>
  <c r="AL63" i="20"/>
  <c r="AM63" i="20"/>
  <c r="AN63" i="20"/>
  <c r="B64" i="20"/>
  <c r="C64" i="20"/>
  <c r="D64" i="20"/>
  <c r="E64" i="20"/>
  <c r="F64" i="20"/>
  <c r="G64" i="20"/>
  <c r="H64" i="20"/>
  <c r="I64" i="20"/>
  <c r="J64" i="20"/>
  <c r="K64" i="20"/>
  <c r="L64" i="20"/>
  <c r="M64" i="20"/>
  <c r="N64" i="20"/>
  <c r="O64" i="20"/>
  <c r="P64" i="20"/>
  <c r="Q64" i="20"/>
  <c r="R64" i="20"/>
  <c r="S64" i="20"/>
  <c r="T64" i="20"/>
  <c r="U64" i="20"/>
  <c r="V64" i="20"/>
  <c r="W64" i="20"/>
  <c r="X64" i="20"/>
  <c r="Y64" i="20"/>
  <c r="Z64" i="20"/>
  <c r="AA64" i="20"/>
  <c r="AB64" i="20"/>
  <c r="AC64" i="20"/>
  <c r="AD64" i="20"/>
  <c r="AE64" i="20"/>
  <c r="AF64" i="20"/>
  <c r="AG64" i="20"/>
  <c r="AH64" i="20"/>
  <c r="AI64" i="20"/>
  <c r="AJ64" i="20"/>
  <c r="AK64" i="20"/>
  <c r="AL64" i="20"/>
  <c r="AM64" i="20"/>
  <c r="AN64" i="20"/>
  <c r="B65" i="20"/>
  <c r="C65" i="20"/>
  <c r="D65" i="20"/>
  <c r="E65" i="20"/>
  <c r="F65" i="20"/>
  <c r="G65" i="20"/>
  <c r="H65" i="20"/>
  <c r="I65" i="20"/>
  <c r="J65" i="20"/>
  <c r="K65" i="20"/>
  <c r="L65" i="20"/>
  <c r="M65" i="20"/>
  <c r="N65" i="20"/>
  <c r="O65" i="20"/>
  <c r="P65" i="20"/>
  <c r="Q65" i="20"/>
  <c r="R65" i="20"/>
  <c r="S65" i="20"/>
  <c r="T65" i="20"/>
  <c r="U65" i="20"/>
  <c r="V65" i="20"/>
  <c r="W65" i="20"/>
  <c r="X65" i="20"/>
  <c r="Y65" i="20"/>
  <c r="Z65" i="20"/>
  <c r="AA65" i="20"/>
  <c r="AB65" i="20"/>
  <c r="AC65" i="20"/>
  <c r="AD65" i="20"/>
  <c r="AE65" i="20"/>
  <c r="AF65" i="20"/>
  <c r="AG65" i="20"/>
  <c r="AH65" i="20"/>
  <c r="AI65" i="20"/>
  <c r="AJ65" i="20"/>
  <c r="AK65" i="20"/>
  <c r="AL65" i="20"/>
  <c r="AM65" i="20"/>
  <c r="AN65" i="20"/>
  <c r="B66" i="20"/>
  <c r="C66" i="20"/>
  <c r="D66" i="20"/>
  <c r="E66" i="20"/>
  <c r="F66" i="20"/>
  <c r="G66" i="20"/>
  <c r="H66" i="20"/>
  <c r="I66" i="20"/>
  <c r="J66" i="20"/>
  <c r="K66" i="20"/>
  <c r="L66" i="20"/>
  <c r="M66" i="20"/>
  <c r="N66" i="20"/>
  <c r="O66" i="20"/>
  <c r="P66" i="20"/>
  <c r="Q66" i="20"/>
  <c r="R66" i="20"/>
  <c r="S66" i="20"/>
  <c r="T66" i="20"/>
  <c r="U66" i="20"/>
  <c r="V66" i="20"/>
  <c r="W66" i="20"/>
  <c r="X66" i="20"/>
  <c r="Y66" i="20"/>
  <c r="Z66" i="20"/>
  <c r="AA66" i="20"/>
  <c r="AB66" i="20"/>
  <c r="AC66" i="20"/>
  <c r="AD66" i="20"/>
  <c r="AE66" i="20"/>
  <c r="AF66" i="20"/>
  <c r="AG66" i="20"/>
  <c r="AH66" i="20"/>
  <c r="AI66" i="20"/>
  <c r="AJ66" i="20"/>
  <c r="AK66" i="20"/>
  <c r="AL66" i="20"/>
  <c r="AM66" i="20"/>
  <c r="AN66" i="20"/>
  <c r="B67" i="20"/>
  <c r="C67" i="20"/>
  <c r="D67" i="20"/>
  <c r="E67" i="20"/>
  <c r="F67" i="20"/>
  <c r="G67" i="20"/>
  <c r="H67" i="20"/>
  <c r="I67" i="20"/>
  <c r="J67" i="20"/>
  <c r="K67" i="20"/>
  <c r="L67" i="20"/>
  <c r="M67" i="20"/>
  <c r="N67" i="20"/>
  <c r="O67" i="20"/>
  <c r="P67" i="20"/>
  <c r="Q67" i="20"/>
  <c r="R67" i="20"/>
  <c r="S67" i="20"/>
  <c r="T67" i="20"/>
  <c r="U67" i="20"/>
  <c r="V67" i="20"/>
  <c r="W67" i="20"/>
  <c r="X67" i="20"/>
  <c r="Y67" i="20"/>
  <c r="Z67" i="20"/>
  <c r="AA67" i="20"/>
  <c r="AB67" i="20"/>
  <c r="AC67" i="20"/>
  <c r="AD67" i="20"/>
  <c r="AE67" i="20"/>
  <c r="AF67" i="20"/>
  <c r="AG67" i="20"/>
  <c r="AH67" i="20"/>
  <c r="AI67" i="20"/>
  <c r="AJ67" i="20"/>
  <c r="AK67" i="20"/>
  <c r="AL67" i="20"/>
  <c r="AM67" i="20"/>
  <c r="AN67" i="20"/>
  <c r="B68" i="20"/>
  <c r="C68" i="20"/>
  <c r="D68" i="20"/>
  <c r="E68" i="20"/>
  <c r="F68" i="20"/>
  <c r="G68" i="20"/>
  <c r="H68" i="20"/>
  <c r="I68" i="20"/>
  <c r="J68" i="20"/>
  <c r="K68" i="20"/>
  <c r="L68" i="20"/>
  <c r="M68" i="20"/>
  <c r="N68" i="20"/>
  <c r="O68" i="20"/>
  <c r="P68" i="20"/>
  <c r="Q68" i="20"/>
  <c r="R68" i="20"/>
  <c r="S68" i="20"/>
  <c r="T68" i="20"/>
  <c r="U68" i="20"/>
  <c r="V68" i="20"/>
  <c r="W68" i="20"/>
  <c r="X68" i="20"/>
  <c r="Y68" i="20"/>
  <c r="Z68" i="20"/>
  <c r="AA68" i="20"/>
  <c r="AB68" i="20"/>
  <c r="AC68" i="20"/>
  <c r="AD68" i="20"/>
  <c r="AE68" i="20"/>
  <c r="AF68" i="20"/>
  <c r="AG68" i="20"/>
  <c r="AH68" i="20"/>
  <c r="AI68" i="20"/>
  <c r="AJ68" i="20"/>
  <c r="AK68" i="20"/>
  <c r="AL68" i="20"/>
  <c r="AM68" i="20"/>
  <c r="AN68" i="20"/>
  <c r="B69" i="20"/>
  <c r="C69" i="20"/>
  <c r="D69" i="20"/>
  <c r="E69" i="20"/>
  <c r="F69" i="20"/>
  <c r="G69" i="20"/>
  <c r="H69" i="20"/>
  <c r="I69" i="20"/>
  <c r="J69" i="20"/>
  <c r="K69" i="20"/>
  <c r="L69" i="20"/>
  <c r="M69" i="20"/>
  <c r="N69" i="20"/>
  <c r="O69" i="20"/>
  <c r="P69" i="20"/>
  <c r="Q69" i="20"/>
  <c r="R69" i="20"/>
  <c r="S69" i="20"/>
  <c r="T69" i="20"/>
  <c r="U69" i="20"/>
  <c r="V69" i="20"/>
  <c r="W69" i="20"/>
  <c r="X69" i="20"/>
  <c r="Y69" i="20"/>
  <c r="Z69" i="20"/>
  <c r="AA69" i="20"/>
  <c r="AB69" i="20"/>
  <c r="AC69" i="20"/>
  <c r="AD69" i="20"/>
  <c r="AE69" i="20"/>
  <c r="AF69" i="20"/>
  <c r="AG69" i="20"/>
  <c r="AH69" i="20"/>
  <c r="AI69" i="20"/>
  <c r="AJ69" i="20"/>
  <c r="AK69" i="20"/>
  <c r="AL69" i="20"/>
  <c r="AM69" i="20"/>
  <c r="AN69" i="20"/>
  <c r="B70" i="20"/>
  <c r="C70" i="20"/>
  <c r="D70" i="20"/>
  <c r="E70" i="20"/>
  <c r="F70" i="20"/>
  <c r="G70" i="20"/>
  <c r="H70" i="20"/>
  <c r="I70" i="20"/>
  <c r="J70" i="20"/>
  <c r="K70" i="20"/>
  <c r="L70" i="20"/>
  <c r="M70" i="20"/>
  <c r="N70" i="20"/>
  <c r="O70" i="20"/>
  <c r="P70" i="20"/>
  <c r="Q70" i="20"/>
  <c r="R70" i="20"/>
  <c r="S70" i="20"/>
  <c r="T70" i="20"/>
  <c r="U70" i="20"/>
  <c r="V70" i="20"/>
  <c r="W70" i="20"/>
  <c r="X70" i="20"/>
  <c r="Y70" i="20"/>
  <c r="Z70" i="20"/>
  <c r="AA70" i="20"/>
  <c r="AB70" i="20"/>
  <c r="AC70" i="20"/>
  <c r="AD70" i="20"/>
  <c r="AE70" i="20"/>
  <c r="AF70" i="20"/>
  <c r="AG70" i="20"/>
  <c r="AH70" i="20"/>
  <c r="AI70" i="20"/>
  <c r="AJ70" i="20"/>
  <c r="AK70" i="20"/>
  <c r="AL70" i="20"/>
  <c r="AM70" i="20"/>
  <c r="AN70" i="20"/>
  <c r="B71" i="20"/>
  <c r="C71" i="20"/>
  <c r="D71" i="20"/>
  <c r="E71" i="20"/>
  <c r="F71" i="20"/>
  <c r="G71" i="20"/>
  <c r="H71" i="20"/>
  <c r="I71" i="20"/>
  <c r="J71" i="20"/>
  <c r="K71" i="20"/>
  <c r="L71" i="20"/>
  <c r="M71" i="20"/>
  <c r="N71" i="20"/>
  <c r="O71" i="20"/>
  <c r="P71" i="20"/>
  <c r="Q71" i="20"/>
  <c r="R71" i="20"/>
  <c r="S71" i="20"/>
  <c r="T71" i="20"/>
  <c r="U71" i="20"/>
  <c r="V71" i="20"/>
  <c r="W71" i="20"/>
  <c r="X71" i="20"/>
  <c r="Y71" i="20"/>
  <c r="Z71" i="20"/>
  <c r="AA71" i="20"/>
  <c r="AB71" i="20"/>
  <c r="AC71" i="20"/>
  <c r="AD71" i="20"/>
  <c r="AE71" i="20"/>
  <c r="AF71" i="20"/>
  <c r="AG71" i="20"/>
  <c r="AH71" i="20"/>
  <c r="AI71" i="20"/>
  <c r="AJ71" i="20"/>
  <c r="AK71" i="20"/>
  <c r="AL71" i="20"/>
  <c r="AM71" i="20"/>
  <c r="AN71" i="20"/>
  <c r="B72" i="20"/>
  <c r="C72" i="20"/>
  <c r="D72" i="20"/>
  <c r="E72" i="20"/>
  <c r="F72" i="20"/>
  <c r="G72" i="20"/>
  <c r="H72" i="20"/>
  <c r="I72" i="20"/>
  <c r="J72" i="20"/>
  <c r="K72" i="20"/>
  <c r="L72" i="20"/>
  <c r="M72" i="20"/>
  <c r="N72" i="20"/>
  <c r="O72" i="20"/>
  <c r="P72" i="20"/>
  <c r="Q72" i="20"/>
  <c r="R72" i="20"/>
  <c r="S72" i="20"/>
  <c r="T72" i="20"/>
  <c r="U72" i="20"/>
  <c r="V72" i="20"/>
  <c r="W72" i="20"/>
  <c r="X72" i="20"/>
  <c r="Y72" i="20"/>
  <c r="Z72" i="20"/>
  <c r="AA72" i="20"/>
  <c r="AB72" i="20"/>
  <c r="AC72" i="20"/>
  <c r="AD72" i="20"/>
  <c r="AE72" i="20"/>
  <c r="AF72" i="20"/>
  <c r="AG72" i="20"/>
  <c r="AH72" i="20"/>
  <c r="AI72" i="20"/>
  <c r="AJ72" i="20"/>
  <c r="AK72" i="20"/>
  <c r="AL72" i="20"/>
  <c r="AM72" i="20"/>
  <c r="AN72" i="20"/>
  <c r="B73" i="20"/>
  <c r="C73" i="20"/>
  <c r="D73" i="20"/>
  <c r="E73" i="20"/>
  <c r="F73" i="20"/>
  <c r="G73" i="20"/>
  <c r="H73" i="20"/>
  <c r="I73" i="20"/>
  <c r="J73" i="20"/>
  <c r="K73" i="20"/>
  <c r="L73" i="20"/>
  <c r="M73" i="20"/>
  <c r="N73" i="20"/>
  <c r="O73" i="20"/>
  <c r="P73" i="20"/>
  <c r="Q73" i="20"/>
  <c r="R73" i="20"/>
  <c r="S73" i="20"/>
  <c r="T73" i="20"/>
  <c r="U73" i="20"/>
  <c r="V73" i="20"/>
  <c r="W73" i="20"/>
  <c r="X73" i="20"/>
  <c r="Y73" i="20"/>
  <c r="Z73" i="20"/>
  <c r="AA73" i="20"/>
  <c r="AB73" i="20"/>
  <c r="AC73" i="20"/>
  <c r="AD73" i="20"/>
  <c r="AE73" i="20"/>
  <c r="AF73" i="20"/>
  <c r="AG73" i="20"/>
  <c r="AH73" i="20"/>
  <c r="AI73" i="20"/>
  <c r="AJ73" i="20"/>
  <c r="AK73" i="20"/>
  <c r="AL73" i="20"/>
  <c r="AM73" i="20"/>
  <c r="AN73" i="20"/>
  <c r="B74" i="20"/>
  <c r="C74" i="20"/>
  <c r="D74" i="20"/>
  <c r="E74" i="20"/>
  <c r="F74" i="20"/>
  <c r="G74" i="20"/>
  <c r="H74" i="20"/>
  <c r="I74" i="20"/>
  <c r="J74" i="20"/>
  <c r="K74" i="20"/>
  <c r="L74" i="20"/>
  <c r="M74" i="20"/>
  <c r="N74" i="20"/>
  <c r="O74" i="20"/>
  <c r="P74" i="20"/>
  <c r="Q74" i="20"/>
  <c r="R74" i="20"/>
  <c r="S74" i="20"/>
  <c r="T74" i="20"/>
  <c r="U74" i="20"/>
  <c r="V74" i="20"/>
  <c r="W74" i="20"/>
  <c r="X74" i="20"/>
  <c r="Y74" i="20"/>
  <c r="Z74" i="20"/>
  <c r="AA74" i="20"/>
  <c r="AB74" i="20"/>
  <c r="AC74" i="20"/>
  <c r="AD74" i="20"/>
  <c r="AE74" i="20"/>
  <c r="AF74" i="20"/>
  <c r="AG74" i="20"/>
  <c r="AH74" i="20"/>
  <c r="AI74" i="20"/>
  <c r="AJ74" i="20"/>
  <c r="AK74" i="20"/>
  <c r="AL74" i="20"/>
  <c r="AM74" i="20"/>
  <c r="AN74" i="20"/>
  <c r="B75" i="20"/>
  <c r="C75" i="20"/>
  <c r="D75" i="20"/>
  <c r="E75" i="20"/>
  <c r="F75" i="20"/>
  <c r="G75" i="20"/>
  <c r="H75" i="20"/>
  <c r="I75" i="20"/>
  <c r="J75" i="20"/>
  <c r="K75" i="20"/>
  <c r="L75" i="20"/>
  <c r="M75" i="20"/>
  <c r="N75" i="20"/>
  <c r="O75" i="20"/>
  <c r="P75" i="20"/>
  <c r="Q75" i="20"/>
  <c r="R75" i="20"/>
  <c r="S75" i="20"/>
  <c r="T75" i="20"/>
  <c r="U75" i="20"/>
  <c r="V75" i="20"/>
  <c r="W75" i="20"/>
  <c r="X75" i="20"/>
  <c r="Y75" i="20"/>
  <c r="Z75" i="20"/>
  <c r="AA75" i="20"/>
  <c r="AB75" i="20"/>
  <c r="AC75" i="20"/>
  <c r="AD75" i="20"/>
  <c r="AE75" i="20"/>
  <c r="AF75" i="20"/>
  <c r="AG75" i="20"/>
  <c r="AH75" i="20"/>
  <c r="AI75" i="20"/>
  <c r="AJ75" i="20"/>
  <c r="AK75" i="20"/>
  <c r="AL75" i="20"/>
  <c r="AM75" i="20"/>
  <c r="AN75" i="20"/>
  <c r="B76" i="20"/>
  <c r="C76" i="20"/>
  <c r="D76" i="20"/>
  <c r="E76" i="20"/>
  <c r="F76" i="20"/>
  <c r="G76" i="20"/>
  <c r="H76" i="20"/>
  <c r="I76" i="20"/>
  <c r="J76" i="20"/>
  <c r="K76" i="20"/>
  <c r="L76" i="20"/>
  <c r="M76" i="20"/>
  <c r="N76" i="20"/>
  <c r="O76" i="20"/>
  <c r="P76" i="20"/>
  <c r="Q76" i="20"/>
  <c r="R76" i="20"/>
  <c r="S76" i="20"/>
  <c r="T76" i="20"/>
  <c r="U76" i="20"/>
  <c r="V76" i="20"/>
  <c r="W76" i="20"/>
  <c r="X76" i="20"/>
  <c r="Y76" i="20"/>
  <c r="Z76" i="20"/>
  <c r="AA76" i="20"/>
  <c r="AB76" i="20"/>
  <c r="AC76" i="20"/>
  <c r="AD76" i="20"/>
  <c r="AE76" i="20"/>
  <c r="AF76" i="20"/>
  <c r="AG76" i="20"/>
  <c r="AH76" i="20"/>
  <c r="AI76" i="20"/>
  <c r="AJ76" i="20"/>
  <c r="AK76" i="20"/>
  <c r="AL76" i="20"/>
  <c r="AM76" i="20"/>
  <c r="AN76" i="20"/>
  <c r="B77" i="20"/>
  <c r="C77" i="20"/>
  <c r="D77" i="20"/>
  <c r="E77" i="20"/>
  <c r="F77" i="20"/>
  <c r="G77" i="20"/>
  <c r="H77" i="20"/>
  <c r="I77" i="20"/>
  <c r="J77" i="20"/>
  <c r="K77" i="20"/>
  <c r="L77" i="20"/>
  <c r="M77" i="20"/>
  <c r="N77" i="20"/>
  <c r="O77" i="20"/>
  <c r="P77" i="20"/>
  <c r="Q77" i="20"/>
  <c r="R77" i="20"/>
  <c r="S77" i="20"/>
  <c r="T77" i="20"/>
  <c r="U77" i="20"/>
  <c r="V77" i="20"/>
  <c r="W77" i="20"/>
  <c r="X77" i="20"/>
  <c r="Y77" i="20"/>
  <c r="Z77" i="20"/>
  <c r="AA77" i="20"/>
  <c r="AB77" i="20"/>
  <c r="AC77" i="20"/>
  <c r="AD77" i="20"/>
  <c r="AE77" i="20"/>
  <c r="AF77" i="20"/>
  <c r="AG77" i="20"/>
  <c r="AH77" i="20"/>
  <c r="AI77" i="20"/>
  <c r="AJ77" i="20"/>
  <c r="AK77" i="20"/>
  <c r="AL77" i="20"/>
  <c r="AM77" i="20"/>
  <c r="AN77" i="20"/>
  <c r="B78" i="20"/>
  <c r="C78" i="20"/>
  <c r="D78" i="20"/>
  <c r="E78" i="20"/>
  <c r="F78" i="20"/>
  <c r="G78" i="20"/>
  <c r="H78" i="20"/>
  <c r="I78" i="20"/>
  <c r="J78" i="20"/>
  <c r="K78" i="20"/>
  <c r="L78" i="20"/>
  <c r="M78" i="20"/>
  <c r="N78" i="20"/>
  <c r="O78" i="20"/>
  <c r="P78" i="20"/>
  <c r="Q78" i="20"/>
  <c r="R78" i="20"/>
  <c r="S78" i="20"/>
  <c r="T78" i="20"/>
  <c r="U78" i="20"/>
  <c r="V78" i="20"/>
  <c r="W78" i="20"/>
  <c r="X78" i="20"/>
  <c r="Y78" i="20"/>
  <c r="Z78" i="20"/>
  <c r="AA78" i="20"/>
  <c r="AB78" i="20"/>
  <c r="AC78" i="20"/>
  <c r="AD78" i="20"/>
  <c r="AE78" i="20"/>
  <c r="AF78" i="20"/>
  <c r="AG78" i="20"/>
  <c r="AH78" i="20"/>
  <c r="AI78" i="20"/>
  <c r="AJ78" i="20"/>
  <c r="AK78" i="20"/>
  <c r="AL78" i="20"/>
  <c r="AM78" i="20"/>
  <c r="AN78" i="20"/>
  <c r="B79" i="20"/>
  <c r="C79" i="20"/>
  <c r="D79" i="20"/>
  <c r="E79" i="20"/>
  <c r="F79" i="20"/>
  <c r="G79" i="20"/>
  <c r="H79" i="20"/>
  <c r="I79" i="20"/>
  <c r="J79" i="20"/>
  <c r="K79" i="20"/>
  <c r="L79" i="20"/>
  <c r="M79" i="20"/>
  <c r="N79" i="20"/>
  <c r="O79" i="20"/>
  <c r="P79" i="20"/>
  <c r="Q79" i="20"/>
  <c r="R79" i="20"/>
  <c r="S79" i="20"/>
  <c r="T79" i="20"/>
  <c r="U79" i="20"/>
  <c r="V79" i="20"/>
  <c r="W79" i="20"/>
  <c r="X79" i="20"/>
  <c r="Y79" i="20"/>
  <c r="Z79" i="20"/>
  <c r="AA79" i="20"/>
  <c r="AB79" i="20"/>
  <c r="AC79" i="20"/>
  <c r="AD79" i="20"/>
  <c r="AE79" i="20"/>
  <c r="AF79" i="20"/>
  <c r="AG79" i="20"/>
  <c r="AH79" i="20"/>
  <c r="AI79" i="20"/>
  <c r="AJ79" i="20"/>
  <c r="AK79" i="20"/>
  <c r="AL79" i="20"/>
  <c r="AM79" i="20"/>
  <c r="AN79" i="20"/>
  <c r="B80" i="20"/>
  <c r="C80" i="20"/>
  <c r="D80" i="20"/>
  <c r="E80" i="20"/>
  <c r="F80" i="20"/>
  <c r="G80" i="20"/>
  <c r="H80" i="20"/>
  <c r="I80" i="20"/>
  <c r="J80" i="20"/>
  <c r="K80" i="20"/>
  <c r="L80" i="20"/>
  <c r="M80" i="20"/>
  <c r="N80" i="20"/>
  <c r="O80" i="20"/>
  <c r="P80" i="20"/>
  <c r="Q80" i="20"/>
  <c r="R80" i="20"/>
  <c r="S80" i="20"/>
  <c r="T80" i="20"/>
  <c r="U80" i="20"/>
  <c r="V80" i="20"/>
  <c r="W80" i="20"/>
  <c r="X80" i="20"/>
  <c r="Y80" i="20"/>
  <c r="Z80" i="20"/>
  <c r="AA80" i="20"/>
  <c r="AB80" i="20"/>
  <c r="AC80" i="20"/>
  <c r="AD80" i="20"/>
  <c r="AE80" i="20"/>
  <c r="AF80" i="20"/>
  <c r="AG80" i="20"/>
  <c r="AH80" i="20"/>
  <c r="AI80" i="20"/>
  <c r="AJ80" i="20"/>
  <c r="AK80" i="20"/>
  <c r="AL80" i="20"/>
  <c r="AM80" i="20"/>
  <c r="AN80" i="20"/>
  <c r="B81" i="20"/>
  <c r="C81" i="20"/>
  <c r="D81" i="20"/>
  <c r="E81" i="20"/>
  <c r="F81" i="20"/>
  <c r="G81" i="20"/>
  <c r="H81" i="20"/>
  <c r="I81" i="20"/>
  <c r="J81" i="20"/>
  <c r="K81" i="20"/>
  <c r="L81" i="20"/>
  <c r="M81" i="20"/>
  <c r="N81" i="20"/>
  <c r="O81" i="20"/>
  <c r="P81" i="20"/>
  <c r="Q81" i="20"/>
  <c r="R81" i="20"/>
  <c r="S81" i="20"/>
  <c r="T81" i="20"/>
  <c r="U81" i="20"/>
  <c r="V81" i="20"/>
  <c r="W81" i="20"/>
  <c r="X81" i="20"/>
  <c r="Y81" i="20"/>
  <c r="Z81" i="20"/>
  <c r="AA81" i="20"/>
  <c r="AB81" i="20"/>
  <c r="AC81" i="20"/>
  <c r="AD81" i="20"/>
  <c r="AE81" i="20"/>
  <c r="AF81" i="20"/>
  <c r="AG81" i="20"/>
  <c r="AH81" i="20"/>
  <c r="AI81" i="20"/>
  <c r="AJ81" i="20"/>
  <c r="AK81" i="20"/>
  <c r="AL81" i="20"/>
  <c r="AM81" i="20"/>
  <c r="AN81" i="20"/>
  <c r="B82" i="20"/>
  <c r="C82" i="20"/>
  <c r="D82" i="20"/>
  <c r="E82" i="20"/>
  <c r="F82" i="20"/>
  <c r="G82" i="20"/>
  <c r="H82" i="20"/>
  <c r="I82" i="20"/>
  <c r="J82" i="20"/>
  <c r="K82" i="20"/>
  <c r="L82" i="20"/>
  <c r="M82" i="20"/>
  <c r="N82" i="20"/>
  <c r="O82" i="20"/>
  <c r="P82" i="20"/>
  <c r="Q82" i="20"/>
  <c r="R82" i="20"/>
  <c r="S82" i="20"/>
  <c r="T82" i="20"/>
  <c r="U82" i="20"/>
  <c r="V82" i="20"/>
  <c r="W82" i="20"/>
  <c r="X82" i="20"/>
  <c r="Y82" i="20"/>
  <c r="Z82" i="20"/>
  <c r="AA82" i="20"/>
  <c r="AB82" i="20"/>
  <c r="AC82" i="20"/>
  <c r="AD82" i="20"/>
  <c r="AE82" i="20"/>
  <c r="AF82" i="20"/>
  <c r="AG82" i="20"/>
  <c r="AH82" i="20"/>
  <c r="AI82" i="20"/>
  <c r="AJ82" i="20"/>
  <c r="AK82" i="20"/>
  <c r="AL82" i="20"/>
  <c r="AM82" i="20"/>
  <c r="AN82" i="20"/>
  <c r="B83" i="20"/>
  <c r="C83" i="20"/>
  <c r="D83" i="20"/>
  <c r="E83" i="20"/>
  <c r="F83" i="20"/>
  <c r="G83" i="20"/>
  <c r="H83" i="20"/>
  <c r="I83" i="20"/>
  <c r="J83" i="20"/>
  <c r="K83" i="20"/>
  <c r="L83" i="20"/>
  <c r="M83" i="20"/>
  <c r="N83" i="20"/>
  <c r="O83" i="20"/>
  <c r="P83" i="20"/>
  <c r="Q83" i="20"/>
  <c r="R83" i="20"/>
  <c r="S83" i="20"/>
  <c r="T83" i="20"/>
  <c r="U83" i="20"/>
  <c r="V83" i="20"/>
  <c r="W83" i="20"/>
  <c r="X83" i="20"/>
  <c r="Y83" i="20"/>
  <c r="Z83" i="20"/>
  <c r="AA83" i="20"/>
  <c r="AB83" i="20"/>
  <c r="AC83" i="20"/>
  <c r="AD83" i="20"/>
  <c r="AE83" i="20"/>
  <c r="AF83" i="20"/>
  <c r="AG83" i="20"/>
  <c r="AH83" i="20"/>
  <c r="AI83" i="20"/>
  <c r="AJ83" i="20"/>
  <c r="AK83" i="20"/>
  <c r="AL83" i="20"/>
  <c r="AM83" i="20"/>
  <c r="AN83" i="20"/>
  <c r="B84" i="20"/>
  <c r="C84" i="20"/>
  <c r="D84" i="20"/>
  <c r="E84" i="20"/>
  <c r="F84" i="20"/>
  <c r="G84" i="20"/>
  <c r="H84" i="20"/>
  <c r="I84" i="20"/>
  <c r="J84" i="20"/>
  <c r="K84" i="20"/>
  <c r="L84" i="20"/>
  <c r="M84" i="20"/>
  <c r="N84" i="20"/>
  <c r="O84" i="20"/>
  <c r="P84" i="20"/>
  <c r="Q84" i="20"/>
  <c r="R84" i="20"/>
  <c r="S84" i="20"/>
  <c r="T84" i="20"/>
  <c r="U84" i="20"/>
  <c r="V84" i="20"/>
  <c r="W84" i="20"/>
  <c r="X84" i="20"/>
  <c r="Y84" i="20"/>
  <c r="Z84" i="20"/>
  <c r="AA84" i="20"/>
  <c r="AB84" i="20"/>
  <c r="AC84" i="20"/>
  <c r="AD84" i="20"/>
  <c r="AE84" i="20"/>
  <c r="AF84" i="20"/>
  <c r="AG84" i="20"/>
  <c r="AH84" i="20"/>
  <c r="AI84" i="20"/>
  <c r="AJ84" i="20"/>
  <c r="AK84" i="20"/>
  <c r="AL84" i="20"/>
  <c r="AM84" i="20"/>
  <c r="AN84" i="20"/>
  <c r="B85" i="20"/>
  <c r="C85" i="20"/>
  <c r="D85" i="20"/>
  <c r="E85" i="20"/>
  <c r="F85" i="20"/>
  <c r="G85" i="20"/>
  <c r="H85" i="20"/>
  <c r="I85" i="20"/>
  <c r="J85" i="20"/>
  <c r="K85" i="20"/>
  <c r="L85" i="20"/>
  <c r="M85" i="20"/>
  <c r="N85" i="20"/>
  <c r="O85" i="20"/>
  <c r="P85" i="20"/>
  <c r="Q85" i="20"/>
  <c r="R85" i="20"/>
  <c r="S85" i="20"/>
  <c r="T85" i="20"/>
  <c r="U85" i="20"/>
  <c r="V85" i="20"/>
  <c r="W85" i="20"/>
  <c r="X85" i="20"/>
  <c r="Y85" i="20"/>
  <c r="Z85" i="20"/>
  <c r="AA85" i="20"/>
  <c r="AB85" i="20"/>
  <c r="AC85" i="20"/>
  <c r="AD85" i="20"/>
  <c r="AE85" i="20"/>
  <c r="AF85" i="20"/>
  <c r="AG85" i="20"/>
  <c r="AH85" i="20"/>
  <c r="AI85" i="20"/>
  <c r="AJ85" i="20"/>
  <c r="AK85" i="20"/>
  <c r="AL85" i="20"/>
  <c r="AM85" i="20"/>
  <c r="AN85" i="20"/>
  <c r="B86" i="20"/>
  <c r="C86" i="20"/>
  <c r="D86" i="20"/>
  <c r="E86" i="20"/>
  <c r="F86" i="20"/>
  <c r="G86" i="20"/>
  <c r="H86" i="20"/>
  <c r="I86" i="20"/>
  <c r="J86" i="20"/>
  <c r="K86" i="20"/>
  <c r="L86" i="20"/>
  <c r="M86" i="20"/>
  <c r="N86" i="20"/>
  <c r="O86" i="20"/>
  <c r="P86" i="20"/>
  <c r="Q86" i="20"/>
  <c r="R86" i="20"/>
  <c r="S86" i="20"/>
  <c r="T86" i="20"/>
  <c r="U86" i="20"/>
  <c r="V86" i="20"/>
  <c r="W86" i="20"/>
  <c r="X86" i="20"/>
  <c r="Y86" i="20"/>
  <c r="Z86" i="20"/>
  <c r="AA86" i="20"/>
  <c r="AB86" i="20"/>
  <c r="AC86" i="20"/>
  <c r="AD86" i="20"/>
  <c r="AE86" i="20"/>
  <c r="AF86" i="20"/>
  <c r="AG86" i="20"/>
  <c r="AH86" i="20"/>
  <c r="AI86" i="20"/>
  <c r="AJ86" i="20"/>
  <c r="AK86" i="20"/>
  <c r="AL86" i="20"/>
  <c r="AM86" i="20"/>
  <c r="AN86" i="20"/>
  <c r="B87" i="20"/>
  <c r="C87" i="20"/>
  <c r="D87" i="20"/>
  <c r="E87" i="20"/>
  <c r="F87" i="20"/>
  <c r="G87" i="20"/>
  <c r="H87" i="20"/>
  <c r="I87" i="20"/>
  <c r="J87" i="20"/>
  <c r="K87" i="20"/>
  <c r="L87" i="20"/>
  <c r="M87" i="20"/>
  <c r="N87" i="20"/>
  <c r="O87" i="20"/>
  <c r="P87" i="20"/>
  <c r="Q87" i="20"/>
  <c r="R87" i="20"/>
  <c r="S87" i="20"/>
  <c r="T87" i="20"/>
  <c r="U87" i="20"/>
  <c r="V87" i="20"/>
  <c r="W87" i="20"/>
  <c r="X87" i="20"/>
  <c r="Y87" i="20"/>
  <c r="Z87" i="20"/>
  <c r="AA87" i="20"/>
  <c r="AB87" i="20"/>
  <c r="AC87" i="20"/>
  <c r="AD87" i="20"/>
  <c r="AE87" i="20"/>
  <c r="AF87" i="20"/>
  <c r="AG87" i="20"/>
  <c r="AH87" i="20"/>
  <c r="AI87" i="20"/>
  <c r="AJ87" i="20"/>
  <c r="AK87" i="20"/>
  <c r="AL87" i="20"/>
  <c r="AM87" i="20"/>
  <c r="AN87" i="20"/>
  <c r="B88" i="20"/>
  <c r="C88" i="20"/>
  <c r="D88" i="20"/>
  <c r="E88" i="20"/>
  <c r="F88" i="20"/>
  <c r="G88" i="20"/>
  <c r="H88" i="20"/>
  <c r="I88" i="20"/>
  <c r="J88" i="20"/>
  <c r="K88" i="20"/>
  <c r="L88" i="20"/>
  <c r="M88" i="20"/>
  <c r="N88" i="20"/>
  <c r="O88" i="20"/>
  <c r="P88" i="20"/>
  <c r="Q88" i="20"/>
  <c r="R88" i="20"/>
  <c r="S88" i="20"/>
  <c r="T88" i="20"/>
  <c r="U88" i="20"/>
  <c r="V88" i="20"/>
  <c r="W88" i="20"/>
  <c r="X88" i="20"/>
  <c r="Y88" i="20"/>
  <c r="Z88" i="20"/>
  <c r="AA88" i="20"/>
  <c r="AB88" i="20"/>
  <c r="AC88" i="20"/>
  <c r="AD88" i="20"/>
  <c r="AE88" i="20"/>
  <c r="AF88" i="20"/>
  <c r="AG88" i="20"/>
  <c r="AH88" i="20"/>
  <c r="AI88" i="20"/>
  <c r="AJ88" i="20"/>
  <c r="AK88" i="20"/>
  <c r="AL88" i="20"/>
  <c r="AM88" i="20"/>
  <c r="AN88" i="20"/>
  <c r="B89" i="20"/>
  <c r="C89" i="20"/>
  <c r="D89" i="20"/>
  <c r="E89" i="20"/>
  <c r="F89" i="20"/>
  <c r="G89" i="20"/>
  <c r="H89" i="20"/>
  <c r="I89" i="20"/>
  <c r="J89" i="20"/>
  <c r="K89" i="20"/>
  <c r="L89" i="20"/>
  <c r="M89" i="20"/>
  <c r="N89" i="20"/>
  <c r="O89" i="20"/>
  <c r="P89" i="20"/>
  <c r="Q89" i="20"/>
  <c r="R89" i="20"/>
  <c r="S89" i="20"/>
  <c r="T89" i="20"/>
  <c r="U89" i="20"/>
  <c r="V89" i="20"/>
  <c r="W89" i="20"/>
  <c r="X89" i="20"/>
  <c r="Y89" i="20"/>
  <c r="Z89" i="20"/>
  <c r="AA89" i="20"/>
  <c r="AB89" i="20"/>
  <c r="AC89" i="20"/>
  <c r="AD89" i="20"/>
  <c r="AE89" i="20"/>
  <c r="AF89" i="20"/>
  <c r="AG89" i="20"/>
  <c r="AH89" i="20"/>
  <c r="AI89" i="20"/>
  <c r="AJ89" i="20"/>
  <c r="AK89" i="20"/>
  <c r="AL89" i="20"/>
  <c r="AM89" i="20"/>
  <c r="AN89" i="20"/>
  <c r="B90" i="20"/>
  <c r="C90" i="20"/>
  <c r="D90" i="20"/>
  <c r="E90" i="20"/>
  <c r="F90" i="20"/>
  <c r="G90" i="20"/>
  <c r="H90" i="20"/>
  <c r="I90" i="20"/>
  <c r="J90" i="20"/>
  <c r="K90" i="20"/>
  <c r="L90" i="20"/>
  <c r="M90" i="20"/>
  <c r="N90" i="20"/>
  <c r="O90" i="20"/>
  <c r="P90" i="20"/>
  <c r="Q90" i="20"/>
  <c r="R90" i="20"/>
  <c r="S90" i="20"/>
  <c r="T90" i="20"/>
  <c r="U90" i="20"/>
  <c r="V90" i="20"/>
  <c r="W90" i="20"/>
  <c r="X90" i="20"/>
  <c r="Y90" i="20"/>
  <c r="Z90" i="20"/>
  <c r="AA90" i="20"/>
  <c r="AB90" i="20"/>
  <c r="AC90" i="20"/>
  <c r="AD90" i="20"/>
  <c r="AE90" i="20"/>
  <c r="AF90" i="20"/>
  <c r="AG90" i="20"/>
  <c r="AH90" i="20"/>
  <c r="AI90" i="20"/>
  <c r="AJ90" i="20"/>
  <c r="AK90" i="20"/>
  <c r="AL90" i="20"/>
  <c r="AM90" i="20"/>
  <c r="AN90" i="20"/>
  <c r="B91" i="20"/>
  <c r="C91" i="20"/>
  <c r="D91" i="20"/>
  <c r="E91" i="20"/>
  <c r="F91" i="20"/>
  <c r="G91" i="20"/>
  <c r="H91" i="20"/>
  <c r="I91" i="20"/>
  <c r="J91" i="20"/>
  <c r="K91" i="20"/>
  <c r="L91" i="20"/>
  <c r="M91" i="20"/>
  <c r="N91" i="20"/>
  <c r="O91" i="20"/>
  <c r="P91" i="20"/>
  <c r="Q91" i="20"/>
  <c r="R91" i="20"/>
  <c r="S91" i="20"/>
  <c r="T91" i="20"/>
  <c r="U91" i="20"/>
  <c r="V91" i="20"/>
  <c r="W91" i="20"/>
  <c r="X91" i="20"/>
  <c r="Y91" i="20"/>
  <c r="Z91" i="20"/>
  <c r="AA91" i="20"/>
  <c r="AB91" i="20"/>
  <c r="AC91" i="20"/>
  <c r="AD91" i="20"/>
  <c r="AE91" i="20"/>
  <c r="AF91" i="20"/>
  <c r="AG91" i="20"/>
  <c r="AH91" i="20"/>
  <c r="AI91" i="20"/>
  <c r="AJ91" i="20"/>
  <c r="AK91" i="20"/>
  <c r="AL91" i="20"/>
  <c r="AM91" i="20"/>
  <c r="AN91" i="20"/>
  <c r="B92" i="20"/>
  <c r="C92" i="20"/>
  <c r="D92" i="20"/>
  <c r="E92" i="20"/>
  <c r="F92" i="20"/>
  <c r="G92" i="20"/>
  <c r="H92" i="20"/>
  <c r="I92" i="20"/>
  <c r="J92" i="20"/>
  <c r="K92" i="20"/>
  <c r="L92" i="20"/>
  <c r="M92" i="20"/>
  <c r="N92" i="20"/>
  <c r="O92" i="20"/>
  <c r="P92" i="20"/>
  <c r="Q92" i="20"/>
  <c r="R92" i="20"/>
  <c r="S92" i="20"/>
  <c r="T92" i="20"/>
  <c r="U92" i="20"/>
  <c r="V92" i="20"/>
  <c r="W92" i="20"/>
  <c r="X92" i="20"/>
  <c r="Y92" i="20"/>
  <c r="Z92" i="20"/>
  <c r="AA92" i="20"/>
  <c r="AB92" i="20"/>
  <c r="AC92" i="20"/>
  <c r="AD92" i="20"/>
  <c r="AE92" i="20"/>
  <c r="AF92" i="20"/>
  <c r="AG92" i="20"/>
  <c r="AH92" i="20"/>
  <c r="AI92" i="20"/>
  <c r="AJ92" i="20"/>
  <c r="AK92" i="20"/>
  <c r="AL92" i="20"/>
  <c r="AM92" i="20"/>
  <c r="AN92" i="20"/>
  <c r="B93" i="20"/>
  <c r="C93" i="20"/>
  <c r="D93" i="20"/>
  <c r="E93" i="20"/>
  <c r="F93" i="20"/>
  <c r="G93" i="20"/>
  <c r="H93" i="20"/>
  <c r="I93" i="20"/>
  <c r="J93" i="20"/>
  <c r="K93" i="20"/>
  <c r="L93" i="20"/>
  <c r="M93" i="20"/>
  <c r="N93" i="20"/>
  <c r="O93" i="20"/>
  <c r="P93" i="20"/>
  <c r="Q93" i="20"/>
  <c r="R93" i="20"/>
  <c r="S93" i="20"/>
  <c r="T93" i="20"/>
  <c r="U93" i="20"/>
  <c r="V93" i="20"/>
  <c r="W93" i="20"/>
  <c r="X93" i="20"/>
  <c r="Y93" i="20"/>
  <c r="Z93" i="20"/>
  <c r="AA93" i="20"/>
  <c r="AB93" i="20"/>
  <c r="AC93" i="20"/>
  <c r="AD93" i="20"/>
  <c r="AE93" i="20"/>
  <c r="AF93" i="20"/>
  <c r="AG93" i="20"/>
  <c r="AH93" i="20"/>
  <c r="AI93" i="20"/>
  <c r="AJ93" i="20"/>
  <c r="AK93" i="20"/>
  <c r="AL93" i="20"/>
  <c r="AM93" i="20"/>
  <c r="AN93" i="20"/>
  <c r="B94" i="20"/>
  <c r="C94" i="20"/>
  <c r="D94" i="20"/>
  <c r="E94" i="20"/>
  <c r="F94" i="20"/>
  <c r="G94" i="20"/>
  <c r="H94" i="20"/>
  <c r="I94" i="20"/>
  <c r="J94" i="20"/>
  <c r="K94" i="20"/>
  <c r="L94" i="20"/>
  <c r="M94" i="20"/>
  <c r="N94" i="20"/>
  <c r="O94" i="20"/>
  <c r="P94" i="20"/>
  <c r="Q94" i="20"/>
  <c r="R94" i="20"/>
  <c r="S94" i="20"/>
  <c r="T94" i="20"/>
  <c r="U94" i="20"/>
  <c r="V94" i="20"/>
  <c r="W94" i="20"/>
  <c r="X94" i="20"/>
  <c r="Y94" i="20"/>
  <c r="Z94" i="20"/>
  <c r="AA94" i="20"/>
  <c r="AB94" i="20"/>
  <c r="AC94" i="20"/>
  <c r="AD94" i="20"/>
  <c r="AE94" i="20"/>
  <c r="AF94" i="20"/>
  <c r="AG94" i="20"/>
  <c r="AH94" i="20"/>
  <c r="AI94" i="20"/>
  <c r="AJ94" i="20"/>
  <c r="AK94" i="20"/>
  <c r="AL94" i="20"/>
  <c r="AM94" i="20"/>
  <c r="AN94" i="20"/>
  <c r="B95" i="20"/>
  <c r="C95" i="20"/>
  <c r="D95" i="20"/>
  <c r="E95" i="20"/>
  <c r="F95" i="20"/>
  <c r="G95" i="20"/>
  <c r="H95" i="20"/>
  <c r="I95" i="20"/>
  <c r="J95" i="20"/>
  <c r="K95" i="20"/>
  <c r="L95" i="20"/>
  <c r="M95" i="20"/>
  <c r="N95" i="20"/>
  <c r="O95" i="20"/>
  <c r="P95" i="20"/>
  <c r="Q95" i="20"/>
  <c r="R95" i="20"/>
  <c r="S95" i="20"/>
  <c r="T95" i="20"/>
  <c r="U95" i="20"/>
  <c r="V95" i="20"/>
  <c r="W95" i="20"/>
  <c r="X95" i="20"/>
  <c r="Y95" i="20"/>
  <c r="Z95" i="20"/>
  <c r="AA95" i="20"/>
  <c r="AB95" i="20"/>
  <c r="AC95" i="20"/>
  <c r="AD95" i="20"/>
  <c r="AE95" i="20"/>
  <c r="AF95" i="20"/>
  <c r="AG95" i="20"/>
  <c r="AH95" i="20"/>
  <c r="AI95" i="20"/>
  <c r="AJ95" i="20"/>
  <c r="AK95" i="20"/>
  <c r="AL95" i="20"/>
  <c r="AM95" i="20"/>
  <c r="AN95" i="20"/>
  <c r="B96" i="20"/>
  <c r="C96" i="20"/>
  <c r="D96" i="20"/>
  <c r="E96" i="20"/>
  <c r="F96" i="20"/>
  <c r="G96" i="20"/>
  <c r="H96" i="20"/>
  <c r="I96" i="20"/>
  <c r="J96" i="20"/>
  <c r="K96" i="20"/>
  <c r="L96" i="20"/>
  <c r="M96" i="20"/>
  <c r="N96" i="20"/>
  <c r="O96" i="20"/>
  <c r="P96" i="20"/>
  <c r="Q96" i="20"/>
  <c r="R96" i="20"/>
  <c r="S96" i="20"/>
  <c r="T96" i="20"/>
  <c r="U96" i="20"/>
  <c r="V96" i="20"/>
  <c r="W96" i="20"/>
  <c r="X96" i="20"/>
  <c r="Y96" i="20"/>
  <c r="Z96" i="20"/>
  <c r="AA96" i="20"/>
  <c r="AB96" i="20"/>
  <c r="AC96" i="20"/>
  <c r="AD96" i="20"/>
  <c r="AE96" i="20"/>
  <c r="AF96" i="20"/>
  <c r="AG96" i="20"/>
  <c r="AH96" i="20"/>
  <c r="AI96" i="20"/>
  <c r="AJ96" i="20"/>
  <c r="AK96" i="20"/>
  <c r="AL96" i="20"/>
  <c r="AM96" i="20"/>
  <c r="AN96" i="20"/>
  <c r="B97" i="20"/>
  <c r="C97" i="20"/>
  <c r="D97" i="20"/>
  <c r="E97" i="20"/>
  <c r="F97" i="20"/>
  <c r="G97" i="20"/>
  <c r="H97" i="20"/>
  <c r="I97" i="20"/>
  <c r="J97" i="20"/>
  <c r="K97" i="20"/>
  <c r="L97" i="20"/>
  <c r="M97" i="20"/>
  <c r="N97" i="20"/>
  <c r="O97" i="20"/>
  <c r="P97" i="20"/>
  <c r="Q97" i="20"/>
  <c r="R97" i="20"/>
  <c r="S97" i="20"/>
  <c r="T97" i="20"/>
  <c r="U97" i="20"/>
  <c r="V97" i="20"/>
  <c r="W97" i="20"/>
  <c r="X97" i="20"/>
  <c r="Y97" i="20"/>
  <c r="Z97" i="20"/>
  <c r="AA97" i="20"/>
  <c r="AB97" i="20"/>
  <c r="AC97" i="20"/>
  <c r="AD97" i="20"/>
  <c r="AE97" i="20"/>
  <c r="AF97" i="20"/>
  <c r="AG97" i="20"/>
  <c r="AH97" i="20"/>
  <c r="AI97" i="20"/>
  <c r="AJ97" i="20"/>
  <c r="AK97" i="20"/>
  <c r="AL97" i="20"/>
  <c r="AM97" i="20"/>
  <c r="AN97" i="20"/>
  <c r="B98" i="20"/>
  <c r="C98" i="20"/>
  <c r="D98" i="20"/>
  <c r="E98" i="20"/>
  <c r="F98" i="20"/>
  <c r="G98" i="20"/>
  <c r="H98" i="20"/>
  <c r="I98" i="20"/>
  <c r="J98" i="20"/>
  <c r="K98" i="20"/>
  <c r="L98" i="20"/>
  <c r="M98" i="20"/>
  <c r="N98" i="20"/>
  <c r="O98" i="20"/>
  <c r="P98" i="20"/>
  <c r="Q98" i="20"/>
  <c r="R98" i="20"/>
  <c r="S98" i="20"/>
  <c r="T98" i="20"/>
  <c r="U98" i="20"/>
  <c r="V98" i="20"/>
  <c r="W98" i="20"/>
  <c r="X98" i="20"/>
  <c r="Y98" i="20"/>
  <c r="Z98" i="20"/>
  <c r="AA98" i="20"/>
  <c r="AB98" i="20"/>
  <c r="AC98" i="20"/>
  <c r="AD98" i="20"/>
  <c r="AE98" i="20"/>
  <c r="AF98" i="20"/>
  <c r="AG98" i="20"/>
  <c r="AH98" i="20"/>
  <c r="AI98" i="20"/>
  <c r="AJ98" i="20"/>
  <c r="AK98" i="20"/>
  <c r="AL98" i="20"/>
  <c r="AM98" i="20"/>
  <c r="AN98" i="20"/>
  <c r="B99" i="20"/>
  <c r="C99" i="20"/>
  <c r="D99" i="20"/>
  <c r="E99" i="20"/>
  <c r="F99" i="20"/>
  <c r="G99" i="20"/>
  <c r="H99" i="20"/>
  <c r="I99" i="20"/>
  <c r="J99" i="20"/>
  <c r="K99" i="20"/>
  <c r="L99" i="20"/>
  <c r="M99" i="20"/>
  <c r="N99" i="20"/>
  <c r="O99" i="20"/>
  <c r="P99" i="20"/>
  <c r="Q99" i="20"/>
  <c r="R99" i="20"/>
  <c r="S99" i="20"/>
  <c r="T99" i="20"/>
  <c r="U99" i="20"/>
  <c r="V99" i="20"/>
  <c r="W99" i="20"/>
  <c r="X99" i="20"/>
  <c r="Y99" i="20"/>
  <c r="Z99" i="20"/>
  <c r="AA99" i="20"/>
  <c r="AB99" i="20"/>
  <c r="AC99" i="20"/>
  <c r="AD99" i="20"/>
  <c r="AE99" i="20"/>
  <c r="AF99" i="20"/>
  <c r="AG99" i="20"/>
  <c r="AH99" i="20"/>
  <c r="AI99" i="20"/>
  <c r="AJ99" i="20"/>
  <c r="AK99" i="20"/>
  <c r="AL99" i="20"/>
  <c r="AM99" i="20"/>
  <c r="AN99" i="20"/>
  <c r="B100" i="20"/>
  <c r="C100" i="20"/>
  <c r="D100" i="20"/>
  <c r="E100" i="20"/>
  <c r="F100" i="20"/>
  <c r="G100" i="20"/>
  <c r="H100" i="20"/>
  <c r="I100" i="20"/>
  <c r="J100" i="20"/>
  <c r="K100" i="20"/>
  <c r="L100" i="20"/>
  <c r="M100" i="20"/>
  <c r="N100" i="20"/>
  <c r="O100" i="20"/>
  <c r="P100" i="20"/>
  <c r="Q100" i="20"/>
  <c r="R100" i="20"/>
  <c r="S100" i="20"/>
  <c r="T100" i="20"/>
  <c r="U100" i="20"/>
  <c r="V100" i="20"/>
  <c r="W100" i="20"/>
  <c r="X100" i="20"/>
  <c r="Y100" i="20"/>
  <c r="Z100" i="20"/>
  <c r="AA100" i="20"/>
  <c r="AB100" i="20"/>
  <c r="AC100" i="20"/>
  <c r="AD100" i="20"/>
  <c r="AE100" i="20"/>
  <c r="AF100" i="20"/>
  <c r="AG100" i="20"/>
  <c r="AH100" i="20"/>
  <c r="AI100" i="20"/>
  <c r="AJ100" i="20"/>
  <c r="AK100" i="20"/>
  <c r="AL100" i="20"/>
  <c r="AM100" i="20"/>
  <c r="AN100" i="20"/>
  <c r="B101" i="20"/>
  <c r="C101" i="20"/>
  <c r="D101" i="20"/>
  <c r="E101" i="20"/>
  <c r="F101" i="20"/>
  <c r="G101" i="20"/>
  <c r="H101" i="20"/>
  <c r="I101" i="20"/>
  <c r="J101" i="20"/>
  <c r="K101" i="20"/>
  <c r="L101" i="20"/>
  <c r="M101" i="20"/>
  <c r="N101" i="20"/>
  <c r="O101" i="20"/>
  <c r="P101" i="20"/>
  <c r="Q101" i="20"/>
  <c r="R101" i="20"/>
  <c r="S101" i="20"/>
  <c r="T101" i="20"/>
  <c r="U101" i="20"/>
  <c r="V101" i="20"/>
  <c r="W101" i="20"/>
  <c r="X101" i="20"/>
  <c r="Y101" i="20"/>
  <c r="Z101" i="20"/>
  <c r="AA101" i="20"/>
  <c r="AB101" i="20"/>
  <c r="AC101" i="20"/>
  <c r="AD101" i="20"/>
  <c r="AE101" i="20"/>
  <c r="AF101" i="20"/>
  <c r="AG101" i="20"/>
  <c r="AH101" i="20"/>
  <c r="AI101" i="20"/>
  <c r="AJ101" i="20"/>
  <c r="AK101" i="20"/>
  <c r="AL101" i="20"/>
  <c r="AM101" i="20"/>
  <c r="AN101" i="20"/>
  <c r="B102" i="20"/>
  <c r="C102" i="20"/>
  <c r="D102" i="20"/>
  <c r="E102" i="20"/>
  <c r="F102" i="20"/>
  <c r="G102" i="20"/>
  <c r="H102" i="20"/>
  <c r="I102" i="20"/>
  <c r="J102" i="20"/>
  <c r="K102" i="20"/>
  <c r="L102" i="20"/>
  <c r="M102" i="20"/>
  <c r="N102" i="20"/>
  <c r="O102" i="20"/>
  <c r="P102" i="20"/>
  <c r="Q102" i="20"/>
  <c r="R102" i="20"/>
  <c r="S102" i="20"/>
  <c r="T102" i="20"/>
  <c r="U102" i="20"/>
  <c r="V102" i="20"/>
  <c r="W102" i="20"/>
  <c r="X102" i="20"/>
  <c r="Y102" i="20"/>
  <c r="Z102" i="20"/>
  <c r="AA102" i="20"/>
  <c r="AB102" i="20"/>
  <c r="AC102" i="20"/>
  <c r="AD102" i="20"/>
  <c r="AE102" i="20"/>
  <c r="AF102" i="20"/>
  <c r="AG102" i="20"/>
  <c r="AH102" i="20"/>
  <c r="AI102" i="20"/>
  <c r="AJ102" i="20"/>
  <c r="AK102" i="20"/>
  <c r="AL102" i="20"/>
  <c r="AM102" i="20"/>
  <c r="AN102" i="20"/>
  <c r="C2" i="20"/>
  <c r="D2" i="20"/>
  <c r="E2" i="20"/>
  <c r="F2" i="20"/>
  <c r="G2" i="20"/>
  <c r="H2" i="20"/>
  <c r="I2" i="20"/>
  <c r="J2" i="20"/>
  <c r="K2" i="20"/>
  <c r="L2" i="20"/>
  <c r="M2" i="20"/>
  <c r="N2" i="20"/>
  <c r="O2" i="20"/>
  <c r="P2" i="20"/>
  <c r="Q2" i="20"/>
  <c r="R2" i="20"/>
  <c r="S2" i="20"/>
  <c r="T2" i="20"/>
  <c r="U2" i="20"/>
  <c r="V2" i="20"/>
  <c r="W2" i="20"/>
  <c r="X2" i="20"/>
  <c r="Y2" i="20"/>
  <c r="Z2" i="20"/>
  <c r="AA2" i="20"/>
  <c r="AB2" i="20"/>
  <c r="AC2" i="20"/>
  <c r="AD2" i="20"/>
  <c r="AE2" i="20"/>
  <c r="AF2" i="20"/>
  <c r="AG2" i="20"/>
  <c r="AH2" i="20"/>
  <c r="AI2" i="20"/>
  <c r="AJ2" i="20"/>
  <c r="AK2" i="20"/>
  <c r="AL2" i="20"/>
  <c r="AM2" i="20"/>
  <c r="AN2" i="20"/>
  <c r="B2" i="20"/>
  <c r="A3" i="21"/>
  <c r="A3" i="27" s="1"/>
  <c r="A4" i="21"/>
  <c r="A4" i="27" s="1"/>
  <c r="A5" i="21"/>
  <c r="A5" i="27" s="1"/>
  <c r="A6" i="21"/>
  <c r="A6" i="27" s="1"/>
  <c r="A7" i="21"/>
  <c r="A7" i="27" s="1"/>
  <c r="A8" i="21"/>
  <c r="A8" i="27" s="1"/>
  <c r="A9" i="21"/>
  <c r="A9" i="27" s="1"/>
  <c r="A10" i="21"/>
  <c r="A10" i="27" s="1"/>
  <c r="A11" i="21"/>
  <c r="A11" i="27" s="1"/>
  <c r="A12" i="21"/>
  <c r="A12" i="27" s="1"/>
  <c r="A13" i="21"/>
  <c r="A13" i="27" s="1"/>
  <c r="A14" i="21"/>
  <c r="A14" i="27" s="1"/>
  <c r="A15" i="21"/>
  <c r="A15" i="27" s="1"/>
  <c r="A16" i="21"/>
  <c r="A16" i="27" s="1"/>
  <c r="A17" i="21"/>
  <c r="A17" i="27" s="1"/>
  <c r="A18" i="21"/>
  <c r="A18" i="27" s="1"/>
  <c r="A19" i="21"/>
  <c r="A19" i="27" s="1"/>
  <c r="A20" i="21"/>
  <c r="A20" i="27" s="1"/>
  <c r="A21" i="21"/>
  <c r="A21" i="27" s="1"/>
  <c r="A22" i="21"/>
  <c r="A22" i="27" s="1"/>
  <c r="A23" i="21"/>
  <c r="A23" i="27" s="1"/>
  <c r="A24" i="21"/>
  <c r="A24" i="27" s="1"/>
  <c r="A25" i="21"/>
  <c r="A25" i="27" s="1"/>
  <c r="A26" i="21"/>
  <c r="A26" i="27" s="1"/>
  <c r="A27" i="21"/>
  <c r="A27" i="27" s="1"/>
  <c r="A28" i="21"/>
  <c r="A28" i="27" s="1"/>
  <c r="A29" i="21"/>
  <c r="A29" i="27" s="1"/>
  <c r="A30" i="21"/>
  <c r="A30" i="27" s="1"/>
  <c r="A31" i="21"/>
  <c r="A31" i="27" s="1"/>
  <c r="A32" i="21"/>
  <c r="A32" i="27" s="1"/>
  <c r="A33" i="21"/>
  <c r="A33" i="27" s="1"/>
  <c r="A34" i="21"/>
  <c r="A34" i="27" s="1"/>
  <c r="A35" i="21"/>
  <c r="A35" i="27" s="1"/>
  <c r="A36" i="21"/>
  <c r="A36" i="27" s="1"/>
  <c r="A37" i="21"/>
  <c r="A37" i="27" s="1"/>
  <c r="A38" i="21"/>
  <c r="A38" i="27" s="1"/>
  <c r="A39" i="21"/>
  <c r="A39" i="27" s="1"/>
  <c r="A40" i="21"/>
  <c r="A40" i="27" s="1"/>
  <c r="A41" i="21"/>
  <c r="A41" i="27" s="1"/>
  <c r="A42" i="21"/>
  <c r="A42" i="27" s="1"/>
  <c r="A43" i="21"/>
  <c r="A43" i="27" s="1"/>
  <c r="A44" i="21"/>
  <c r="A44" i="27" s="1"/>
  <c r="A45" i="21"/>
  <c r="A45" i="27" s="1"/>
  <c r="A46" i="21"/>
  <c r="A46" i="27" s="1"/>
  <c r="A47" i="21"/>
  <c r="A47" i="27" s="1"/>
  <c r="A48" i="21"/>
  <c r="A48" i="27" s="1"/>
  <c r="A49" i="21"/>
  <c r="A49" i="27" s="1"/>
  <c r="A50" i="21"/>
  <c r="A50" i="27" s="1"/>
  <c r="A51" i="21"/>
  <c r="A51" i="27" s="1"/>
  <c r="A52" i="21"/>
  <c r="A52" i="27" s="1"/>
  <c r="A53" i="21"/>
  <c r="A53" i="27" s="1"/>
  <c r="A54" i="21"/>
  <c r="A54" i="27" s="1"/>
  <c r="A55" i="21"/>
  <c r="A55" i="27" s="1"/>
  <c r="A56" i="21"/>
  <c r="A56" i="27" s="1"/>
  <c r="A57" i="21"/>
  <c r="A57" i="27" s="1"/>
  <c r="A58" i="21"/>
  <c r="A58" i="27" s="1"/>
  <c r="A59" i="21"/>
  <c r="A59" i="27" s="1"/>
  <c r="A60" i="21"/>
  <c r="A60" i="27" s="1"/>
  <c r="A61" i="21"/>
  <c r="A61" i="27" s="1"/>
  <c r="A62" i="21"/>
  <c r="A62" i="27" s="1"/>
  <c r="A63" i="21"/>
  <c r="A63" i="27" s="1"/>
  <c r="A64" i="21"/>
  <c r="A64" i="27" s="1"/>
  <c r="A65" i="21"/>
  <c r="A65" i="27" s="1"/>
  <c r="A66" i="21"/>
  <c r="A66" i="27" s="1"/>
  <c r="A67" i="21"/>
  <c r="A67" i="27" s="1"/>
  <c r="A68" i="21"/>
  <c r="A68" i="27" s="1"/>
  <c r="A69" i="21"/>
  <c r="A69" i="27" s="1"/>
  <c r="A70" i="21"/>
  <c r="A70" i="27" s="1"/>
  <c r="A71" i="21"/>
  <c r="A71" i="27" s="1"/>
  <c r="A72" i="21"/>
  <c r="A72" i="27" s="1"/>
  <c r="A73" i="21"/>
  <c r="A73" i="27" s="1"/>
  <c r="A74" i="21"/>
  <c r="A74" i="27" s="1"/>
  <c r="A75" i="21"/>
  <c r="A75" i="27" s="1"/>
  <c r="A76" i="21"/>
  <c r="A76" i="27" s="1"/>
  <c r="A77" i="21"/>
  <c r="A77" i="27" s="1"/>
  <c r="A78" i="21"/>
  <c r="A78" i="27" s="1"/>
  <c r="A79" i="21"/>
  <c r="A79" i="27" s="1"/>
  <c r="A80" i="21"/>
  <c r="A80" i="27" s="1"/>
  <c r="A81" i="21"/>
  <c r="A81" i="27" s="1"/>
  <c r="A82" i="21"/>
  <c r="A82" i="27" s="1"/>
  <c r="A83" i="21"/>
  <c r="A83" i="27" s="1"/>
  <c r="A84" i="21"/>
  <c r="A84" i="27" s="1"/>
  <c r="A85" i="21"/>
  <c r="A85" i="27" s="1"/>
  <c r="A86" i="21"/>
  <c r="A86" i="27" s="1"/>
  <c r="A87" i="21"/>
  <c r="A87" i="27" s="1"/>
  <c r="A88" i="21"/>
  <c r="A88" i="27" s="1"/>
  <c r="A89" i="21"/>
  <c r="A89" i="27" s="1"/>
  <c r="A90" i="21"/>
  <c r="A90" i="27" s="1"/>
  <c r="A91" i="21"/>
  <c r="A91" i="27" s="1"/>
  <c r="A92" i="21"/>
  <c r="A92" i="27" s="1"/>
  <c r="A93" i="21"/>
  <c r="A93" i="27" s="1"/>
  <c r="A94" i="21"/>
  <c r="A94" i="27" s="1"/>
  <c r="A95" i="21"/>
  <c r="A95" i="27" s="1"/>
  <c r="A96" i="21"/>
  <c r="A96" i="27" s="1"/>
  <c r="A97" i="21"/>
  <c r="A97" i="27" s="1"/>
  <c r="A98" i="21"/>
  <c r="A98" i="27" s="1"/>
  <c r="A99" i="21"/>
  <c r="A99" i="27" s="1"/>
  <c r="A100" i="21"/>
  <c r="A100" i="27" s="1"/>
  <c r="A101" i="21"/>
  <c r="A101" i="27" s="1"/>
  <c r="A102" i="21"/>
  <c r="A102" i="27" s="1"/>
  <c r="A2" i="21"/>
  <c r="A2" i="27" s="1"/>
  <c r="A3" i="14"/>
  <c r="A4" i="14"/>
  <c r="A5" i="14"/>
  <c r="A6" i="14"/>
  <c r="A7" i="14"/>
  <c r="A8" i="14"/>
  <c r="A9" i="14"/>
  <c r="A10" i="14"/>
  <c r="A11" i="14"/>
  <c r="A12" i="14"/>
  <c r="A13" i="14"/>
  <c r="A14" i="14"/>
  <c r="A15" i="14"/>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A63" i="18"/>
  <c r="B62" i="18"/>
  <c r="A62" i="18"/>
  <c r="B61" i="18"/>
  <c r="A61" i="18"/>
  <c r="B60" i="18"/>
  <c r="A60" i="18"/>
  <c r="B59" i="18"/>
  <c r="A59" i="18"/>
  <c r="B58" i="18"/>
  <c r="A58" i="18"/>
  <c r="B57" i="18"/>
  <c r="A57" i="18"/>
  <c r="B56" i="18"/>
  <c r="A56" i="18"/>
  <c r="B55" i="18"/>
  <c r="A55" i="18"/>
  <c r="B54" i="18"/>
  <c r="A54" i="18"/>
  <c r="B53" i="18"/>
  <c r="A53" i="18"/>
  <c r="B52" i="18"/>
  <c r="A52" i="18"/>
  <c r="B51" i="18"/>
  <c r="A51" i="18"/>
  <c r="B50" i="18"/>
  <c r="A50" i="18"/>
  <c r="B49" i="18"/>
  <c r="A49" i="18"/>
  <c r="B48" i="18"/>
  <c r="A48" i="18"/>
  <c r="B47" i="18"/>
  <c r="A47" i="18"/>
  <c r="B46" i="18"/>
  <c r="A46" i="18"/>
  <c r="B45" i="18"/>
  <c r="A45" i="18"/>
  <c r="B44" i="18"/>
  <c r="A44" i="18"/>
  <c r="B43" i="18"/>
  <c r="A43" i="18"/>
  <c r="B42" i="18"/>
  <c r="A42" i="18"/>
  <c r="B41" i="18"/>
  <c r="A41" i="18"/>
  <c r="B40" i="18"/>
  <c r="A40" i="18"/>
  <c r="B39" i="18"/>
  <c r="A39" i="18"/>
  <c r="B38" i="18"/>
  <c r="A38" i="18"/>
  <c r="B37" i="18"/>
  <c r="A37" i="18"/>
  <c r="B36" i="18"/>
  <c r="A36" i="18"/>
  <c r="B35" i="18"/>
  <c r="A35" i="18"/>
  <c r="B34" i="18"/>
  <c r="A34" i="18"/>
  <c r="B33" i="18"/>
  <c r="A33" i="18"/>
  <c r="B32" i="18"/>
  <c r="A32" i="18"/>
  <c r="B31" i="18"/>
  <c r="A31" i="18"/>
  <c r="B30" i="18"/>
  <c r="A30" i="18"/>
  <c r="B29" i="18"/>
  <c r="A29" i="18"/>
  <c r="B28" i="18"/>
  <c r="A28" i="18"/>
  <c r="B27" i="18"/>
  <c r="A27" i="18"/>
  <c r="B26" i="18"/>
  <c r="A26" i="18"/>
  <c r="B25" i="18"/>
  <c r="A25" i="18"/>
  <c r="B24" i="18"/>
  <c r="A24" i="18"/>
  <c r="B23" i="18"/>
  <c r="A23" i="18"/>
  <c r="B22" i="18"/>
  <c r="A22" i="18"/>
  <c r="B21" i="18"/>
  <c r="A21" i="18"/>
  <c r="B20" i="18"/>
  <c r="A20" i="18"/>
  <c r="B19" i="18"/>
  <c r="A19" i="18"/>
  <c r="B18" i="18"/>
  <c r="A18" i="18"/>
  <c r="B17" i="18"/>
  <c r="A17" i="18"/>
  <c r="B16" i="18"/>
  <c r="A16" i="18"/>
  <c r="B15" i="18"/>
  <c r="A15" i="18"/>
  <c r="B14" i="18"/>
  <c r="A14" i="18"/>
  <c r="B13" i="18"/>
  <c r="A13" i="18"/>
  <c r="B12" i="18"/>
  <c r="A12" i="18"/>
  <c r="B11" i="18"/>
  <c r="A11" i="18"/>
  <c r="B10" i="18"/>
  <c r="A10" i="18"/>
  <c r="B9" i="18"/>
  <c r="A9" i="18"/>
  <c r="B8" i="18"/>
  <c r="A8" i="18"/>
  <c r="B7" i="18"/>
  <c r="A7" i="18"/>
  <c r="B6" i="18"/>
  <c r="A6" i="18"/>
  <c r="B5" i="18"/>
  <c r="A5" i="18"/>
  <c r="B4" i="18"/>
  <c r="A4" i="18"/>
  <c r="B3" i="18"/>
  <c r="A3" i="18"/>
  <c r="B2" i="18"/>
  <c r="A2" i="18"/>
  <c r="E32" i="16"/>
  <c r="E33" i="16" s="1"/>
  <c r="E34" i="16" s="1"/>
  <c r="E35" i="16" s="1"/>
  <c r="E36" i="16" s="1"/>
  <c r="E37" i="16" s="1"/>
  <c r="E38" i="16" s="1"/>
  <c r="E39" i="16" s="1"/>
  <c r="E40" i="16" s="1"/>
  <c r="E41" i="16" s="1"/>
  <c r="E42" i="16" s="1"/>
  <c r="E43" i="16" s="1"/>
  <c r="E44" i="16" s="1"/>
  <c r="E45" i="16" s="1"/>
  <c r="E46" i="16" s="1"/>
  <c r="E47" i="16" s="1"/>
  <c r="E48" i="16" s="1"/>
  <c r="E49" i="16" s="1"/>
  <c r="E50" i="16" s="1"/>
  <c r="E51" i="16" s="1"/>
  <c r="E52" i="16" s="1"/>
  <c r="E53" i="16" s="1"/>
  <c r="E54" i="16" s="1"/>
  <c r="E55" i="16" s="1"/>
  <c r="E56" i="16" s="1"/>
  <c r="E57" i="16" s="1"/>
  <c r="E58" i="16" s="1"/>
  <c r="E59" i="16" s="1"/>
  <c r="E60" i="16" s="1"/>
  <c r="E61" i="16" s="1"/>
  <c r="E62" i="16" s="1"/>
  <c r="E63" i="16" s="1"/>
  <c r="E64" i="16" s="1"/>
  <c r="E65" i="16" s="1"/>
  <c r="E66" i="16" s="1"/>
  <c r="E67" i="16" s="1"/>
  <c r="E68" i="16" s="1"/>
  <c r="E69" i="16" s="1"/>
  <c r="E70" i="16" s="1"/>
  <c r="E71" i="16" s="1"/>
  <c r="E72" i="16" s="1"/>
  <c r="E73" i="16" s="1"/>
  <c r="E74" i="16" s="1"/>
  <c r="E75" i="16" s="1"/>
  <c r="E76" i="16" s="1"/>
  <c r="E77" i="16" s="1"/>
  <c r="E78" i="16" s="1"/>
  <c r="E79" i="16" s="1"/>
  <c r="E80" i="16" s="1"/>
  <c r="E81" i="16" s="1"/>
  <c r="E82" i="16" s="1"/>
  <c r="E83" i="16" s="1"/>
  <c r="E84" i="16" s="1"/>
  <c r="E85" i="16" s="1"/>
  <c r="E86" i="16" s="1"/>
  <c r="E87" i="16" s="1"/>
  <c r="E88" i="16" s="1"/>
  <c r="E89" i="16" s="1"/>
  <c r="E90" i="16" s="1"/>
  <c r="E91" i="16" s="1"/>
  <c r="E92" i="16" s="1"/>
  <c r="E93" i="16" s="1"/>
  <c r="E94" i="16" s="1"/>
  <c r="E95" i="16" s="1"/>
  <c r="E96" i="16" s="1"/>
  <c r="E97" i="16" s="1"/>
  <c r="E98" i="16" s="1"/>
  <c r="E99" i="16" s="1"/>
  <c r="E100" i="16" s="1"/>
  <c r="E101" i="16" s="1"/>
  <c r="E102" i="16" s="1"/>
  <c r="E103" i="16" s="1"/>
  <c r="E104" i="16" s="1"/>
  <c r="E105" i="16" s="1"/>
  <c r="E106" i="16" s="1"/>
  <c r="E107" i="16" s="1"/>
  <c r="E108" i="16" s="1"/>
  <c r="E109" i="16" s="1"/>
  <c r="E110" i="16" s="1"/>
  <c r="E111" i="16" s="1"/>
  <c r="E112" i="16" s="1"/>
  <c r="E113" i="16" s="1"/>
  <c r="E114" i="16" s="1"/>
  <c r="E115" i="16" s="1"/>
  <c r="E116" i="16" s="1"/>
  <c r="E117" i="16" s="1"/>
  <c r="E118" i="16" s="1"/>
  <c r="E119" i="16" s="1"/>
  <c r="E120" i="16" s="1"/>
  <c r="E121" i="16" s="1"/>
  <c r="E122" i="16" s="1"/>
  <c r="E123" i="16" s="1"/>
  <c r="E124" i="16" s="1"/>
  <c r="E125" i="16" s="1"/>
  <c r="E126" i="16" s="1"/>
  <c r="E127" i="16" s="1"/>
  <c r="E128" i="16" s="1"/>
  <c r="E129" i="16" s="1"/>
  <c r="E130" i="16" s="1"/>
  <c r="E131" i="16" s="1"/>
  <c r="E132" i="16" s="1"/>
  <c r="E133" i="16" s="1"/>
  <c r="E134" i="16" s="1"/>
  <c r="E135" i="16" s="1"/>
  <c r="E136" i="16" s="1"/>
  <c r="E137" i="16" s="1"/>
  <c r="E138" i="16" s="1"/>
  <c r="E139" i="16" s="1"/>
  <c r="E140" i="16" s="1"/>
  <c r="E141" i="16" s="1"/>
  <c r="E142" i="16" s="1"/>
  <c r="E143" i="16" s="1"/>
  <c r="E144" i="16" s="1"/>
  <c r="E145" i="16" s="1"/>
  <c r="E146" i="16" s="1"/>
  <c r="E147" i="16" s="1"/>
  <c r="E148" i="16" s="1"/>
  <c r="E149" i="16" s="1"/>
  <c r="E150" i="16" s="1"/>
  <c r="E151" i="16" s="1"/>
  <c r="E152" i="16" s="1"/>
  <c r="E153" i="16" s="1"/>
  <c r="E154" i="16" s="1"/>
  <c r="E155" i="16" s="1"/>
  <c r="E156" i="16" s="1"/>
  <c r="E157" i="16" s="1"/>
  <c r="E158" i="16" s="1"/>
  <c r="E159" i="16" s="1"/>
  <c r="E160" i="16" s="1"/>
  <c r="E161" i="16" s="1"/>
  <c r="E162" i="16" s="1"/>
  <c r="E163" i="16" s="1"/>
  <c r="E164" i="16" s="1"/>
  <c r="E165" i="16" s="1"/>
  <c r="E166" i="16" s="1"/>
  <c r="E167" i="16" s="1"/>
  <c r="E168" i="16" s="1"/>
  <c r="E169" i="16" s="1"/>
  <c r="E170" i="16" s="1"/>
  <c r="E171" i="16" s="1"/>
  <c r="E172" i="16" s="1"/>
  <c r="E173" i="16" s="1"/>
  <c r="E174" i="16" s="1"/>
  <c r="E175" i="16" s="1"/>
  <c r="E176" i="16" s="1"/>
  <c r="E177" i="16" s="1"/>
  <c r="E178" i="16" s="1"/>
  <c r="E179" i="16" s="1"/>
  <c r="E180" i="16" s="1"/>
  <c r="E181" i="16" s="1"/>
  <c r="E182" i="16" s="1"/>
  <c r="E183" i="16" s="1"/>
  <c r="E184" i="16" s="1"/>
  <c r="E185" i="16" s="1"/>
  <c r="E186" i="16" s="1"/>
  <c r="E187" i="16" s="1"/>
  <c r="E188" i="16" s="1"/>
  <c r="E189" i="16" s="1"/>
  <c r="E190" i="16" s="1"/>
  <c r="E191" i="16" s="1"/>
  <c r="E192" i="16" s="1"/>
  <c r="E193" i="16" s="1"/>
  <c r="E194" i="16" s="1"/>
  <c r="E195" i="16" s="1"/>
  <c r="E196" i="16" s="1"/>
  <c r="E197" i="16" s="1"/>
  <c r="E198" i="16" s="1"/>
  <c r="E199" i="16" s="1"/>
  <c r="E200" i="16" s="1"/>
  <c r="E201" i="16" s="1"/>
  <c r="E202" i="16" s="1"/>
  <c r="E203" i="16" s="1"/>
  <c r="E204" i="16" s="1"/>
  <c r="E205" i="16" s="1"/>
  <c r="E206" i="16" s="1"/>
  <c r="E207" i="16" s="1"/>
  <c r="E208" i="16" s="1"/>
  <c r="E209" i="16" s="1"/>
  <c r="E210" i="16" s="1"/>
  <c r="E211" i="16" s="1"/>
  <c r="E212" i="16" s="1"/>
  <c r="E213" i="16" s="1"/>
  <c r="E214" i="16" s="1"/>
  <c r="E215" i="16" s="1"/>
  <c r="E216" i="16" s="1"/>
  <c r="E217" i="16" s="1"/>
  <c r="E218" i="16" s="1"/>
  <c r="E219" i="16" s="1"/>
  <c r="E220" i="16" s="1"/>
  <c r="E221" i="16" s="1"/>
  <c r="E222" i="16" s="1"/>
  <c r="E223" i="16" s="1"/>
  <c r="E224" i="16" s="1"/>
  <c r="E225" i="16" s="1"/>
  <c r="E226" i="16" s="1"/>
  <c r="E227" i="16" s="1"/>
  <c r="E228" i="16" s="1"/>
  <c r="E229" i="16" s="1"/>
  <c r="E230" i="16" s="1"/>
  <c r="E231" i="16" s="1"/>
  <c r="E232" i="16" s="1"/>
  <c r="E233" i="16" s="1"/>
  <c r="E234" i="16" s="1"/>
  <c r="E235" i="16" s="1"/>
  <c r="E236" i="16" s="1"/>
  <c r="E237" i="16" s="1"/>
  <c r="E238" i="16" s="1"/>
  <c r="E239" i="16" s="1"/>
  <c r="E240" i="16" s="1"/>
  <c r="E241" i="16" s="1"/>
  <c r="E242" i="16" s="1"/>
  <c r="E243" i="16" s="1"/>
  <c r="E244" i="16" s="1"/>
  <c r="E245" i="16" s="1"/>
  <c r="E246" i="16" s="1"/>
  <c r="E247" i="16" s="1"/>
  <c r="E248" i="16" s="1"/>
  <c r="E249" i="16" s="1"/>
  <c r="E250" i="16" s="1"/>
  <c r="E251" i="16" s="1"/>
  <c r="E252" i="16" s="1"/>
  <c r="E253" i="16" s="1"/>
  <c r="E254" i="16" s="1"/>
  <c r="E255" i="16" s="1"/>
  <c r="E256" i="16" s="1"/>
  <c r="E257" i="16" s="1"/>
  <c r="E258" i="16" s="1"/>
  <c r="E259" i="16" s="1"/>
  <c r="E260" i="16" s="1"/>
  <c r="E261" i="16" s="1"/>
  <c r="E262" i="16" s="1"/>
  <c r="E263" i="16" s="1"/>
  <c r="E264" i="16" s="1"/>
  <c r="E265" i="16" s="1"/>
  <c r="E266" i="16" s="1"/>
  <c r="E267" i="16" s="1"/>
  <c r="E268" i="16" s="1"/>
  <c r="E269" i="16" s="1"/>
  <c r="E270" i="16" s="1"/>
  <c r="E271" i="16" s="1"/>
  <c r="E272" i="16" s="1"/>
  <c r="E273" i="16" s="1"/>
  <c r="E274" i="16" s="1"/>
  <c r="E275" i="16" s="1"/>
  <c r="E276" i="16" s="1"/>
  <c r="E277" i="16" s="1"/>
  <c r="E278" i="16" s="1"/>
  <c r="E279" i="16" s="1"/>
  <c r="E280" i="16" s="1"/>
  <c r="E281" i="16" s="1"/>
  <c r="E282" i="16" s="1"/>
  <c r="E283" i="16" s="1"/>
  <c r="E284" i="16" s="1"/>
  <c r="E285" i="16" s="1"/>
  <c r="E286" i="16" s="1"/>
  <c r="E287" i="16" s="1"/>
  <c r="E288" i="16" s="1"/>
  <c r="E289" i="16" s="1"/>
  <c r="E290" i="16" s="1"/>
  <c r="E291" i="16" s="1"/>
  <c r="E292" i="16" s="1"/>
  <c r="E293" i="16" s="1"/>
  <c r="E294" i="16" s="1"/>
  <c r="E295" i="16" s="1"/>
  <c r="E296" i="16" s="1"/>
  <c r="E297" i="16" s="1"/>
  <c r="E298" i="16" s="1"/>
  <c r="E299" i="16" s="1"/>
  <c r="E300" i="16" s="1"/>
  <c r="E301" i="16" s="1"/>
  <c r="E302" i="16" s="1"/>
  <c r="E303" i="16" s="1"/>
  <c r="E304" i="16" s="1"/>
  <c r="E305" i="16" s="1"/>
  <c r="E306" i="16" s="1"/>
  <c r="E307" i="16" s="1"/>
  <c r="E308" i="16" s="1"/>
  <c r="E309" i="16" s="1"/>
  <c r="E310" i="16" s="1"/>
  <c r="E311" i="16" s="1"/>
  <c r="E312" i="16" s="1"/>
  <c r="E313" i="16" s="1"/>
  <c r="E314" i="16" s="1"/>
  <c r="E315" i="16" s="1"/>
  <c r="E316" i="16" s="1"/>
  <c r="E317" i="16" s="1"/>
  <c r="E318" i="16" s="1"/>
  <c r="E319" i="16" s="1"/>
  <c r="E320" i="16" s="1"/>
  <c r="E321" i="16" s="1"/>
  <c r="E322" i="16" s="1"/>
  <c r="E323" i="16" s="1"/>
  <c r="E324" i="16" s="1"/>
  <c r="E325" i="16" s="1"/>
  <c r="E326" i="16" s="1"/>
  <c r="E327" i="16" s="1"/>
  <c r="E328" i="16" s="1"/>
  <c r="E329" i="16" s="1"/>
  <c r="E330" i="16" s="1"/>
  <c r="E331" i="16" s="1"/>
  <c r="E332" i="16" s="1"/>
  <c r="E333" i="16" s="1"/>
  <c r="E334" i="16" s="1"/>
  <c r="E335" i="16" s="1"/>
  <c r="E336" i="16" s="1"/>
  <c r="E337" i="16" s="1"/>
  <c r="E338" i="16" s="1"/>
  <c r="E339" i="16" s="1"/>
  <c r="E340" i="16" s="1"/>
  <c r="E341" i="16" s="1"/>
  <c r="E342" i="16" s="1"/>
  <c r="E343" i="16" s="1"/>
  <c r="E344" i="16" s="1"/>
  <c r="E345" i="16" s="1"/>
  <c r="E346" i="16" s="1"/>
  <c r="E347" i="16" s="1"/>
  <c r="E348" i="16" s="1"/>
  <c r="E349" i="16" s="1"/>
  <c r="E350" i="16" s="1"/>
  <c r="E351" i="16" s="1"/>
  <c r="E352" i="16" s="1"/>
  <c r="E353" i="16" s="1"/>
  <c r="E354" i="16" s="1"/>
  <c r="E355" i="16" s="1"/>
  <c r="E356" i="16" s="1"/>
  <c r="E357" i="16" s="1"/>
  <c r="E358" i="16" s="1"/>
  <c r="E359" i="16" s="1"/>
  <c r="E360" i="16" s="1"/>
  <c r="E361" i="16" s="1"/>
  <c r="E362" i="16" s="1"/>
  <c r="E363" i="16" s="1"/>
  <c r="E364" i="16" s="1"/>
  <c r="E365" i="16" s="1"/>
  <c r="E366" i="16" s="1"/>
  <c r="E367" i="16" s="1"/>
  <c r="E368" i="16" s="1"/>
  <c r="E369" i="16" s="1"/>
  <c r="E370" i="16" s="1"/>
  <c r="E371" i="16" s="1"/>
  <c r="E372" i="16" s="1"/>
  <c r="E373" i="16" s="1"/>
  <c r="E374" i="16" s="1"/>
  <c r="E375" i="16" s="1"/>
  <c r="E376" i="16" s="1"/>
  <c r="E377" i="16" s="1"/>
  <c r="E378" i="16" s="1"/>
  <c r="E379" i="16" s="1"/>
  <c r="E380" i="16" s="1"/>
  <c r="E381" i="16" s="1"/>
  <c r="E382" i="16" s="1"/>
  <c r="E383" i="16" s="1"/>
  <c r="E384" i="16" s="1"/>
  <c r="E385" i="16" s="1"/>
  <c r="E386" i="16" s="1"/>
  <c r="E387" i="16" s="1"/>
  <c r="E388" i="16" s="1"/>
  <c r="E389" i="16" s="1"/>
  <c r="E390" i="16" s="1"/>
  <c r="E391" i="16" s="1"/>
  <c r="E392" i="16" s="1"/>
  <c r="E393" i="16" s="1"/>
  <c r="E394" i="16" s="1"/>
  <c r="E395" i="16" s="1"/>
  <c r="E396" i="16" s="1"/>
  <c r="E397" i="16" s="1"/>
  <c r="E398" i="16" s="1"/>
  <c r="E399" i="16" s="1"/>
  <c r="E400" i="16" s="1"/>
  <c r="E401" i="16" s="1"/>
  <c r="E402" i="16" s="1"/>
  <c r="E403" i="16" s="1"/>
  <c r="E404" i="16" s="1"/>
  <c r="E405" i="16" s="1"/>
  <c r="E406" i="16" s="1"/>
  <c r="E407" i="16" s="1"/>
  <c r="E408" i="16" s="1"/>
  <c r="E409" i="16" s="1"/>
  <c r="E410" i="16" s="1"/>
  <c r="E411" i="16" s="1"/>
  <c r="E412" i="16" s="1"/>
  <c r="E413" i="16" s="1"/>
  <c r="E414" i="16" s="1"/>
  <c r="E415" i="16" s="1"/>
  <c r="E416" i="16" s="1"/>
  <c r="E417" i="16" s="1"/>
  <c r="E418" i="16" s="1"/>
  <c r="E419" i="16" s="1"/>
  <c r="E420" i="16" s="1"/>
  <c r="E421" i="16" s="1"/>
  <c r="E422" i="16" s="1"/>
  <c r="E423" i="16" s="1"/>
  <c r="E424" i="16" s="1"/>
  <c r="E425" i="16" s="1"/>
  <c r="E426" i="16" s="1"/>
  <c r="E427" i="16" s="1"/>
  <c r="E428" i="16" s="1"/>
  <c r="E429" i="16" s="1"/>
  <c r="E430" i="16" s="1"/>
  <c r="E431" i="16" s="1"/>
  <c r="E432" i="16" s="1"/>
  <c r="E433" i="16" s="1"/>
  <c r="E434" i="16" s="1"/>
  <c r="E435" i="16" s="1"/>
  <c r="E436" i="16" s="1"/>
  <c r="E437" i="16" s="1"/>
  <c r="E438" i="16" s="1"/>
  <c r="E439" i="16" s="1"/>
  <c r="E440" i="16" s="1"/>
  <c r="E441" i="16" s="1"/>
  <c r="E442" i="16" s="1"/>
  <c r="E443" i="16" s="1"/>
  <c r="E444" i="16" s="1"/>
  <c r="E445" i="16" s="1"/>
  <c r="E446" i="16" s="1"/>
  <c r="E447" i="16" s="1"/>
  <c r="E448" i="16" s="1"/>
  <c r="E449" i="16" s="1"/>
  <c r="E450" i="16" s="1"/>
  <c r="E451" i="16" s="1"/>
  <c r="E452" i="16" s="1"/>
  <c r="E453" i="16" s="1"/>
  <c r="E454" i="16" s="1"/>
  <c r="E455" i="16" s="1"/>
  <c r="E456" i="16" s="1"/>
  <c r="E457" i="16" s="1"/>
  <c r="E458" i="16" s="1"/>
  <c r="E459" i="16" s="1"/>
  <c r="E460" i="16" s="1"/>
  <c r="E461" i="16" s="1"/>
  <c r="E462" i="16" s="1"/>
  <c r="E463" i="16" s="1"/>
  <c r="E464" i="16" s="1"/>
  <c r="E465" i="16" s="1"/>
  <c r="E466" i="16" s="1"/>
  <c r="E467" i="16" s="1"/>
  <c r="E468" i="16" s="1"/>
  <c r="E469" i="16" s="1"/>
  <c r="E470" i="16" s="1"/>
  <c r="E471" i="16" s="1"/>
  <c r="E472" i="16" s="1"/>
  <c r="E473" i="16" s="1"/>
  <c r="E474" i="16" s="1"/>
  <c r="E475" i="16" s="1"/>
  <c r="E476" i="16" s="1"/>
  <c r="E477" i="16" s="1"/>
  <c r="E478" i="16" s="1"/>
  <c r="E479" i="16" s="1"/>
  <c r="E480" i="16" s="1"/>
  <c r="E481" i="16" s="1"/>
  <c r="E482" i="16" s="1"/>
  <c r="E483" i="16" s="1"/>
  <c r="E484" i="16" s="1"/>
  <c r="E485" i="16" s="1"/>
  <c r="E486" i="16" s="1"/>
  <c r="E487" i="16" s="1"/>
  <c r="E488" i="16" s="1"/>
  <c r="E489" i="16" s="1"/>
  <c r="E490" i="16" s="1"/>
  <c r="E491" i="16" s="1"/>
  <c r="E492" i="16" s="1"/>
  <c r="E493" i="16" s="1"/>
  <c r="E494" i="16" s="1"/>
  <c r="E495" i="16" s="1"/>
  <c r="E496" i="16" s="1"/>
  <c r="E497" i="16" s="1"/>
  <c r="E498" i="16" s="1"/>
  <c r="E499" i="16" s="1"/>
  <c r="E500" i="16" s="1"/>
  <c r="E501" i="16" s="1"/>
  <c r="E502" i="16" s="1"/>
  <c r="E503" i="16" s="1"/>
  <c r="E504" i="16" s="1"/>
  <c r="E505" i="16" s="1"/>
  <c r="E506" i="16" s="1"/>
  <c r="E507" i="16" s="1"/>
  <c r="E508" i="16" s="1"/>
  <c r="E509" i="16" s="1"/>
  <c r="E510" i="16" s="1"/>
  <c r="E511" i="16" s="1"/>
  <c r="E512" i="16" s="1"/>
  <c r="E513" i="16" s="1"/>
  <c r="E514" i="16" s="1"/>
  <c r="E515" i="16" s="1"/>
  <c r="E516" i="16" s="1"/>
  <c r="E517" i="16" s="1"/>
  <c r="E518" i="16" s="1"/>
  <c r="E519" i="16" s="1"/>
  <c r="E520" i="16" s="1"/>
  <c r="E521" i="16" s="1"/>
  <c r="E522" i="16" s="1"/>
  <c r="E523" i="16" s="1"/>
  <c r="E524" i="16" s="1"/>
  <c r="E525" i="16" s="1"/>
  <c r="E526" i="16" s="1"/>
  <c r="E527" i="16" s="1"/>
  <c r="E528" i="16" s="1"/>
  <c r="E529" i="16" s="1"/>
  <c r="E530" i="16" s="1"/>
  <c r="E531" i="16" s="1"/>
  <c r="E532" i="16" s="1"/>
  <c r="E533" i="16" s="1"/>
  <c r="E534" i="16" s="1"/>
  <c r="E535" i="16" s="1"/>
  <c r="E536" i="16" s="1"/>
  <c r="E537" i="16" s="1"/>
  <c r="E538" i="16" s="1"/>
  <c r="E539" i="16" s="1"/>
  <c r="E540" i="16" s="1"/>
  <c r="E541" i="16" s="1"/>
  <c r="E542" i="16" s="1"/>
  <c r="E543" i="16" s="1"/>
  <c r="E544" i="16" s="1"/>
  <c r="E545" i="16" s="1"/>
  <c r="E546" i="16" s="1"/>
  <c r="E547" i="16" s="1"/>
  <c r="E548" i="16" s="1"/>
  <c r="E549" i="16" s="1"/>
  <c r="E550" i="16" s="1"/>
  <c r="E551" i="16" s="1"/>
  <c r="E552" i="16" s="1"/>
  <c r="E553" i="16" s="1"/>
  <c r="E554" i="16" s="1"/>
  <c r="E555" i="16" s="1"/>
  <c r="E556" i="16" s="1"/>
  <c r="E557" i="16" s="1"/>
  <c r="E558" i="16" s="1"/>
  <c r="E559" i="16" s="1"/>
  <c r="E560" i="16" s="1"/>
  <c r="E561" i="16" s="1"/>
  <c r="E562" i="16" s="1"/>
  <c r="E563" i="16" s="1"/>
  <c r="E564" i="16" s="1"/>
  <c r="E565" i="16" s="1"/>
  <c r="E566" i="16" s="1"/>
  <c r="E567" i="16" s="1"/>
  <c r="E568" i="16" s="1"/>
  <c r="E569" i="16" s="1"/>
  <c r="E570" i="16" s="1"/>
  <c r="E571" i="16" s="1"/>
  <c r="E572" i="16" s="1"/>
  <c r="E573" i="16" s="1"/>
  <c r="E574" i="16" s="1"/>
  <c r="E575" i="16" s="1"/>
  <c r="E576" i="16" s="1"/>
  <c r="E577" i="16" s="1"/>
  <c r="E578" i="16" s="1"/>
  <c r="E579" i="16" s="1"/>
  <c r="E580" i="16" s="1"/>
  <c r="E581" i="16" s="1"/>
  <c r="E582" i="16" s="1"/>
  <c r="E583" i="16" s="1"/>
  <c r="E584" i="16" s="1"/>
  <c r="E585" i="16" s="1"/>
  <c r="E586" i="16" s="1"/>
  <c r="E587" i="16" s="1"/>
  <c r="E588" i="16" s="1"/>
  <c r="E589" i="16" s="1"/>
  <c r="E590" i="16" s="1"/>
  <c r="E591" i="16" s="1"/>
  <c r="E592" i="16" s="1"/>
  <c r="E593" i="16" s="1"/>
  <c r="E594" i="16" s="1"/>
  <c r="E595" i="16" s="1"/>
  <c r="E596" i="16" s="1"/>
  <c r="E597" i="16" s="1"/>
  <c r="E598" i="16" s="1"/>
  <c r="E599" i="16" s="1"/>
  <c r="E600" i="16" s="1"/>
  <c r="E601" i="16" s="1"/>
  <c r="E602" i="16" s="1"/>
  <c r="E603" i="16" s="1"/>
  <c r="E604" i="16" s="1"/>
  <c r="E605" i="16" s="1"/>
  <c r="E606" i="16" s="1"/>
  <c r="E607" i="16" s="1"/>
  <c r="E608" i="16" s="1"/>
  <c r="E609" i="16" s="1"/>
  <c r="E610" i="16" s="1"/>
  <c r="E611" i="16" s="1"/>
  <c r="E612" i="16" s="1"/>
  <c r="E613" i="16" s="1"/>
  <c r="E614" i="16" s="1"/>
  <c r="E615" i="16" s="1"/>
  <c r="E616" i="16" s="1"/>
  <c r="E617" i="16" s="1"/>
  <c r="E618" i="16" s="1"/>
  <c r="E619" i="16" s="1"/>
  <c r="E620" i="16" s="1"/>
  <c r="E621" i="16" s="1"/>
  <c r="E622" i="16" s="1"/>
  <c r="E623" i="16" s="1"/>
  <c r="E624" i="16" s="1"/>
  <c r="E625" i="16" s="1"/>
  <c r="E626" i="16" s="1"/>
  <c r="E627" i="16" s="1"/>
  <c r="E628" i="16" s="1"/>
  <c r="E629" i="16" s="1"/>
  <c r="E630" i="16" s="1"/>
  <c r="E631" i="16" s="1"/>
  <c r="E632" i="16" s="1"/>
  <c r="E633" i="16" s="1"/>
  <c r="E634" i="16" s="1"/>
  <c r="E635" i="16" s="1"/>
  <c r="E636" i="16" s="1"/>
  <c r="E637" i="16" s="1"/>
  <c r="E638" i="16" s="1"/>
  <c r="E639" i="16" s="1"/>
  <c r="E640" i="16" s="1"/>
  <c r="E641" i="16" s="1"/>
  <c r="E642" i="16" s="1"/>
  <c r="E643" i="16" s="1"/>
  <c r="E644" i="16" s="1"/>
  <c r="E645" i="16" s="1"/>
  <c r="E646" i="16" s="1"/>
  <c r="E647" i="16" s="1"/>
  <c r="E648" i="16" s="1"/>
  <c r="E649" i="16" s="1"/>
  <c r="E650" i="16" s="1"/>
  <c r="E651" i="16" s="1"/>
  <c r="E652" i="16" s="1"/>
  <c r="E653" i="16" s="1"/>
  <c r="E654" i="16" s="1"/>
  <c r="E655" i="16" s="1"/>
  <c r="E656" i="16" s="1"/>
  <c r="E657" i="16" s="1"/>
  <c r="E658" i="16" s="1"/>
  <c r="E659" i="16" s="1"/>
  <c r="E660" i="16" s="1"/>
  <c r="E661" i="16" s="1"/>
  <c r="E662" i="16" s="1"/>
  <c r="E663" i="16" s="1"/>
  <c r="E664" i="16" s="1"/>
  <c r="E665" i="16" s="1"/>
  <c r="E666" i="16" s="1"/>
  <c r="E667" i="16" s="1"/>
  <c r="E668" i="16" s="1"/>
  <c r="E669" i="16" s="1"/>
  <c r="E670" i="16" s="1"/>
  <c r="E671" i="16" s="1"/>
  <c r="E672" i="16" s="1"/>
  <c r="E673" i="16" s="1"/>
  <c r="E674" i="16" s="1"/>
  <c r="E675" i="16" s="1"/>
  <c r="E676" i="16" s="1"/>
  <c r="E677" i="16" s="1"/>
  <c r="E678" i="16" s="1"/>
  <c r="E679" i="16" s="1"/>
  <c r="E680" i="16" s="1"/>
  <c r="E681" i="16" s="1"/>
  <c r="E682" i="16" s="1"/>
  <c r="E683" i="16" s="1"/>
  <c r="E684" i="16" s="1"/>
  <c r="E685" i="16" s="1"/>
  <c r="E686" i="16" s="1"/>
  <c r="E687" i="16" s="1"/>
  <c r="E688" i="16" s="1"/>
  <c r="E689" i="16" s="1"/>
  <c r="E690" i="16" s="1"/>
  <c r="E691" i="16" s="1"/>
  <c r="E692" i="16" s="1"/>
  <c r="E693" i="16" s="1"/>
  <c r="E694" i="16" s="1"/>
  <c r="E695" i="16" s="1"/>
  <c r="E696" i="16" s="1"/>
  <c r="E697" i="16" s="1"/>
  <c r="E698" i="16" s="1"/>
  <c r="E699" i="16" s="1"/>
  <c r="E700" i="16" s="1"/>
  <c r="E701" i="16" s="1"/>
  <c r="E702" i="16" s="1"/>
  <c r="E703" i="16" s="1"/>
  <c r="E704" i="16" s="1"/>
  <c r="E705" i="16" s="1"/>
  <c r="E706" i="16" s="1"/>
  <c r="E707" i="16" s="1"/>
  <c r="E708" i="16" s="1"/>
  <c r="E709" i="16" s="1"/>
  <c r="E710" i="16" s="1"/>
  <c r="E711" i="16" s="1"/>
  <c r="E712" i="16" s="1"/>
  <c r="E713" i="16" s="1"/>
  <c r="E714" i="16" s="1"/>
  <c r="E715" i="16" s="1"/>
  <c r="E716" i="16" s="1"/>
  <c r="E717" i="16" s="1"/>
  <c r="E718" i="16" s="1"/>
  <c r="E719" i="16" s="1"/>
  <c r="E720" i="16" s="1"/>
  <c r="E721" i="16" s="1"/>
  <c r="E722" i="16" s="1"/>
  <c r="E723" i="16" s="1"/>
  <c r="E724" i="16" s="1"/>
  <c r="E725" i="16" s="1"/>
  <c r="E726" i="16" s="1"/>
  <c r="E727" i="16" s="1"/>
  <c r="E728" i="16" s="1"/>
  <c r="E729" i="16" s="1"/>
  <c r="E730" i="16" s="1"/>
  <c r="E731" i="16" s="1"/>
  <c r="E732" i="16" s="1"/>
  <c r="E733" i="16" s="1"/>
  <c r="E734" i="16" s="1"/>
  <c r="E735" i="16" s="1"/>
  <c r="E736" i="16" s="1"/>
  <c r="E737" i="16" s="1"/>
  <c r="E738" i="16" s="1"/>
  <c r="E739" i="16" s="1"/>
  <c r="E740" i="16" s="1"/>
  <c r="E741" i="16" s="1"/>
  <c r="E742" i="16" s="1"/>
  <c r="E743" i="16" s="1"/>
  <c r="E744" i="16" s="1"/>
  <c r="E745" i="16" s="1"/>
  <c r="E746" i="16" s="1"/>
  <c r="E747" i="16" s="1"/>
  <c r="E748" i="16" s="1"/>
  <c r="E749" i="16" s="1"/>
  <c r="E750" i="16" s="1"/>
  <c r="E751" i="16" s="1"/>
  <c r="E752" i="16" s="1"/>
  <c r="E753" i="16" s="1"/>
  <c r="E754" i="16" s="1"/>
  <c r="E755" i="16" s="1"/>
  <c r="E756" i="16" s="1"/>
  <c r="E757" i="16" s="1"/>
  <c r="E758" i="16" s="1"/>
  <c r="E759" i="16" s="1"/>
  <c r="E760" i="16" s="1"/>
  <c r="E761" i="16" s="1"/>
  <c r="E762" i="16" s="1"/>
  <c r="E763" i="16" s="1"/>
  <c r="E764" i="16" s="1"/>
  <c r="E765" i="16" s="1"/>
  <c r="E766" i="16" s="1"/>
  <c r="E767" i="16" s="1"/>
  <c r="E768" i="16" s="1"/>
  <c r="E769" i="16" s="1"/>
  <c r="E770" i="16" s="1"/>
  <c r="E771" i="16" s="1"/>
  <c r="E772" i="16" s="1"/>
  <c r="E773" i="16" s="1"/>
  <c r="E774" i="16" s="1"/>
  <c r="E775" i="16" s="1"/>
  <c r="E776" i="16" s="1"/>
  <c r="E777" i="16" s="1"/>
  <c r="E778" i="16" s="1"/>
  <c r="E779" i="16" s="1"/>
  <c r="E780" i="16" s="1"/>
  <c r="E781" i="16" s="1"/>
  <c r="E782" i="16" s="1"/>
  <c r="E783" i="16" s="1"/>
  <c r="E784" i="16" s="1"/>
  <c r="E785" i="16" s="1"/>
  <c r="E786" i="16" s="1"/>
  <c r="E787" i="16" s="1"/>
  <c r="E788" i="16" s="1"/>
  <c r="E789" i="16" s="1"/>
  <c r="E790" i="16" s="1"/>
  <c r="E791" i="16" s="1"/>
  <c r="E792" i="16" s="1"/>
  <c r="E793" i="16" s="1"/>
  <c r="E794" i="16" s="1"/>
  <c r="E795" i="16" s="1"/>
  <c r="E796" i="16" s="1"/>
  <c r="E797" i="16" s="1"/>
  <c r="E798" i="16" s="1"/>
  <c r="E799" i="16" s="1"/>
  <c r="E800" i="16" s="1"/>
  <c r="E801" i="16" s="1"/>
  <c r="E802" i="16" s="1"/>
  <c r="E803" i="16" s="1"/>
  <c r="E804" i="16" s="1"/>
  <c r="E805" i="16" s="1"/>
  <c r="E806" i="16" s="1"/>
  <c r="E807" i="16" s="1"/>
  <c r="E808" i="16" s="1"/>
  <c r="E809" i="16" s="1"/>
  <c r="E810" i="16" s="1"/>
  <c r="E811" i="16" s="1"/>
  <c r="E812" i="16" s="1"/>
  <c r="E813" i="16" s="1"/>
  <c r="E814" i="16" s="1"/>
  <c r="E815" i="16" s="1"/>
  <c r="E816" i="16" s="1"/>
  <c r="E817" i="16" s="1"/>
  <c r="E818" i="16" s="1"/>
  <c r="E819" i="16" s="1"/>
  <c r="E820" i="16" s="1"/>
  <c r="E821" i="16" s="1"/>
  <c r="E822" i="16" s="1"/>
  <c r="E823" i="16" s="1"/>
  <c r="E824" i="16" s="1"/>
  <c r="E825" i="16" s="1"/>
  <c r="E826" i="16" s="1"/>
  <c r="E827" i="16" s="1"/>
  <c r="E828" i="16" s="1"/>
  <c r="E829" i="16" s="1"/>
  <c r="E830" i="16" s="1"/>
  <c r="E831" i="16" s="1"/>
  <c r="E832" i="16" s="1"/>
  <c r="E833" i="16" s="1"/>
  <c r="E834" i="16" s="1"/>
  <c r="E835" i="16" s="1"/>
  <c r="E836" i="16" s="1"/>
  <c r="E837" i="16" s="1"/>
  <c r="E838" i="16" s="1"/>
  <c r="E839" i="16" s="1"/>
  <c r="E840" i="16" s="1"/>
  <c r="E841" i="16" s="1"/>
  <c r="E842" i="16" s="1"/>
  <c r="E843" i="16" s="1"/>
  <c r="E844" i="16" s="1"/>
  <c r="E845" i="16" s="1"/>
  <c r="E846" i="16" s="1"/>
  <c r="E847" i="16" s="1"/>
  <c r="E848" i="16" s="1"/>
  <c r="E849" i="16" s="1"/>
  <c r="E850" i="16" s="1"/>
  <c r="E851" i="16" s="1"/>
  <c r="E852" i="16" s="1"/>
  <c r="E853" i="16" s="1"/>
  <c r="E854" i="16" s="1"/>
  <c r="E855" i="16" s="1"/>
  <c r="E856" i="16" s="1"/>
  <c r="E857" i="16" s="1"/>
  <c r="E858" i="16" s="1"/>
  <c r="E859" i="16" s="1"/>
  <c r="E860" i="16" s="1"/>
  <c r="E861" i="16" s="1"/>
  <c r="E862" i="16" s="1"/>
  <c r="E863" i="16" s="1"/>
  <c r="E864" i="16" s="1"/>
  <c r="E865" i="16" s="1"/>
  <c r="E866" i="16" s="1"/>
  <c r="E867" i="16" s="1"/>
  <c r="E868" i="16" s="1"/>
  <c r="E869" i="16" s="1"/>
  <c r="E870" i="16" s="1"/>
  <c r="E871" i="16" s="1"/>
  <c r="E872" i="16" s="1"/>
  <c r="E873" i="16" s="1"/>
  <c r="E874" i="16" s="1"/>
  <c r="E875" i="16" s="1"/>
  <c r="E876" i="16" s="1"/>
  <c r="E877" i="16" s="1"/>
  <c r="E878" i="16" s="1"/>
  <c r="E879" i="16" s="1"/>
  <c r="E880" i="16" s="1"/>
  <c r="E881" i="16" s="1"/>
  <c r="E882" i="16" s="1"/>
  <c r="E883" i="16" s="1"/>
  <c r="E884" i="16" s="1"/>
  <c r="E885" i="16" s="1"/>
  <c r="E886" i="16" s="1"/>
  <c r="E887" i="16" s="1"/>
  <c r="E888" i="16" s="1"/>
  <c r="E889" i="16" s="1"/>
  <c r="E890" i="16" s="1"/>
  <c r="E891" i="16" s="1"/>
  <c r="E892" i="16" s="1"/>
  <c r="E893" i="16" s="1"/>
  <c r="E894" i="16" s="1"/>
  <c r="E895" i="16" s="1"/>
  <c r="E896" i="16" s="1"/>
  <c r="E897" i="16" s="1"/>
  <c r="E898" i="16" s="1"/>
  <c r="E899" i="16" s="1"/>
  <c r="E900" i="16" s="1"/>
  <c r="E901" i="16" s="1"/>
  <c r="E902" i="16" s="1"/>
  <c r="E903" i="16" s="1"/>
  <c r="E904" i="16" s="1"/>
  <c r="E905" i="16" s="1"/>
  <c r="E906" i="16" s="1"/>
  <c r="E907" i="16" s="1"/>
  <c r="E908" i="16" s="1"/>
  <c r="E909" i="16" s="1"/>
  <c r="E910" i="16" s="1"/>
  <c r="E911" i="16" s="1"/>
  <c r="E912" i="16" s="1"/>
  <c r="E913" i="16" s="1"/>
  <c r="E914" i="16" s="1"/>
  <c r="E915" i="16" s="1"/>
  <c r="E916" i="16" s="1"/>
  <c r="E917" i="16" s="1"/>
  <c r="E918" i="16" s="1"/>
  <c r="E919" i="16" s="1"/>
  <c r="E920" i="16" s="1"/>
  <c r="E921" i="16" s="1"/>
  <c r="E922" i="16" s="1"/>
  <c r="E923" i="16" s="1"/>
  <c r="E924" i="16" s="1"/>
  <c r="E925" i="16" s="1"/>
  <c r="E926" i="16" s="1"/>
  <c r="E927" i="16" s="1"/>
  <c r="E928" i="16" s="1"/>
  <c r="E929" i="16" s="1"/>
  <c r="E930" i="16" s="1"/>
  <c r="E931" i="16" s="1"/>
  <c r="E932" i="16" s="1"/>
  <c r="E933" i="16" s="1"/>
  <c r="E934" i="16" s="1"/>
  <c r="E935" i="16" s="1"/>
  <c r="E936" i="16" s="1"/>
  <c r="E937" i="16" s="1"/>
  <c r="E938" i="16" s="1"/>
  <c r="E939" i="16" s="1"/>
  <c r="E940" i="16" s="1"/>
  <c r="E941" i="16" s="1"/>
  <c r="E942" i="16" s="1"/>
  <c r="E943" i="16" s="1"/>
  <c r="E944" i="16" s="1"/>
  <c r="E945" i="16" s="1"/>
  <c r="E946" i="16" s="1"/>
  <c r="E947" i="16" s="1"/>
  <c r="E948" i="16" s="1"/>
  <c r="E949" i="16" s="1"/>
  <c r="E950" i="16" s="1"/>
  <c r="E951" i="16" s="1"/>
  <c r="E952" i="16" s="1"/>
  <c r="E953" i="16" s="1"/>
  <c r="E954" i="16" s="1"/>
  <c r="E955" i="16" s="1"/>
  <c r="E956" i="16" s="1"/>
  <c r="E957" i="16" s="1"/>
  <c r="E958" i="16" s="1"/>
  <c r="E959" i="16" s="1"/>
  <c r="E960" i="16" s="1"/>
  <c r="E961" i="16" s="1"/>
  <c r="E962" i="16" s="1"/>
  <c r="E963" i="16" s="1"/>
  <c r="E964" i="16" s="1"/>
  <c r="E965" i="16" s="1"/>
  <c r="E966" i="16" s="1"/>
  <c r="E967" i="16" s="1"/>
  <c r="E968" i="16" s="1"/>
  <c r="E969" i="16" s="1"/>
  <c r="E970" i="16" s="1"/>
  <c r="E971" i="16" s="1"/>
  <c r="E972" i="16" s="1"/>
  <c r="E973" i="16" s="1"/>
  <c r="E974" i="16" s="1"/>
  <c r="E975" i="16" s="1"/>
  <c r="E976" i="16" s="1"/>
  <c r="E977" i="16" s="1"/>
  <c r="E978" i="16" s="1"/>
  <c r="E979" i="16" s="1"/>
  <c r="E980" i="16" s="1"/>
  <c r="E981" i="16" s="1"/>
  <c r="E982" i="16" s="1"/>
  <c r="E983" i="16" s="1"/>
  <c r="E984" i="16" s="1"/>
  <c r="E985" i="16" s="1"/>
  <c r="E986" i="16" s="1"/>
  <c r="E987" i="16" s="1"/>
  <c r="E988" i="16" s="1"/>
  <c r="E989" i="16" s="1"/>
  <c r="E990" i="16" s="1"/>
  <c r="E991" i="16" s="1"/>
  <c r="E992" i="16" s="1"/>
  <c r="E993" i="16" s="1"/>
  <c r="E994" i="16" s="1"/>
  <c r="E995" i="16" s="1"/>
  <c r="E996" i="16" s="1"/>
  <c r="E997" i="16" s="1"/>
  <c r="E998" i="16" s="1"/>
  <c r="E999" i="16" s="1"/>
  <c r="E1000" i="16" s="1"/>
  <c r="E1001" i="16" s="1"/>
  <c r="E1002" i="16" s="1"/>
  <c r="E1003" i="16" s="1"/>
  <c r="E1004" i="16" s="1"/>
  <c r="E1005" i="16" s="1"/>
  <c r="E1006" i="16" s="1"/>
  <c r="E1007" i="16" s="1"/>
  <c r="E1008" i="16" s="1"/>
  <c r="E1009" i="16" s="1"/>
  <c r="E1010" i="16" s="1"/>
  <c r="E1011" i="16" s="1"/>
  <c r="E1012" i="16" s="1"/>
  <c r="E1013" i="16" s="1"/>
  <c r="E1014" i="16" s="1"/>
  <c r="E1015" i="16" s="1"/>
  <c r="E1016" i="16" s="1"/>
  <c r="E1017" i="16" s="1"/>
  <c r="E1018" i="16" s="1"/>
  <c r="E1019" i="16" s="1"/>
  <c r="E1020" i="16" s="1"/>
  <c r="E1021" i="16" s="1"/>
  <c r="E1022" i="16" s="1"/>
  <c r="E1023" i="16" s="1"/>
  <c r="E1024" i="16" s="1"/>
  <c r="E1025" i="16" s="1"/>
  <c r="E1026" i="16" s="1"/>
  <c r="E1027" i="16" s="1"/>
  <c r="E1028" i="16" s="1"/>
  <c r="E1029" i="16" s="1"/>
  <c r="E1030" i="16" s="1"/>
  <c r="E1031" i="16" s="1"/>
  <c r="E1032" i="16" s="1"/>
  <c r="E1033" i="16" s="1"/>
  <c r="E1034" i="16" s="1"/>
  <c r="E1035" i="16" s="1"/>
  <c r="E1036" i="16" s="1"/>
  <c r="E1037" i="16" s="1"/>
  <c r="E1038" i="16" s="1"/>
  <c r="E1039" i="16" s="1"/>
  <c r="E1040" i="16" s="1"/>
  <c r="E1041" i="16" s="1"/>
  <c r="E1042" i="16" s="1"/>
  <c r="E1043" i="16" s="1"/>
  <c r="E1044" i="16" s="1"/>
  <c r="E1045" i="16" s="1"/>
  <c r="E1046" i="16" s="1"/>
  <c r="E1047" i="16" s="1"/>
  <c r="E1048" i="16" s="1"/>
  <c r="E1049" i="16" s="1"/>
  <c r="E1050" i="16" s="1"/>
  <c r="E1051" i="16" s="1"/>
  <c r="E1052" i="16" s="1"/>
  <c r="E1053" i="16" s="1"/>
  <c r="E1054" i="16" s="1"/>
  <c r="E1055" i="16" s="1"/>
  <c r="E1056" i="16" s="1"/>
  <c r="E1057" i="16" s="1"/>
  <c r="E1058" i="16" s="1"/>
  <c r="E1059" i="16" s="1"/>
  <c r="E1060" i="16" s="1"/>
  <c r="E1061" i="16" s="1"/>
  <c r="E1062" i="16" s="1"/>
  <c r="E1063" i="16" s="1"/>
  <c r="E1064" i="16" s="1"/>
  <c r="E1065" i="16" s="1"/>
  <c r="E1066" i="16" s="1"/>
  <c r="E1067" i="16" s="1"/>
  <c r="E1068" i="16" s="1"/>
  <c r="E1069" i="16" s="1"/>
  <c r="E1070" i="16" s="1"/>
  <c r="E1071" i="16" s="1"/>
  <c r="E1072" i="16" s="1"/>
  <c r="E1073" i="16" s="1"/>
  <c r="E1074" i="16" s="1"/>
  <c r="E1075" i="16" s="1"/>
  <c r="E1076" i="16" s="1"/>
  <c r="E1077" i="16" s="1"/>
  <c r="E1078" i="16" s="1"/>
  <c r="E1079" i="16" s="1"/>
  <c r="E1080" i="16" s="1"/>
  <c r="E1081" i="16" s="1"/>
  <c r="E1082" i="16" s="1"/>
  <c r="E1083" i="16" s="1"/>
  <c r="E1084" i="16" s="1"/>
  <c r="E1085" i="16" s="1"/>
  <c r="E1086" i="16" s="1"/>
  <c r="E1087" i="16" s="1"/>
  <c r="E1088" i="16" s="1"/>
  <c r="E1089" i="16" s="1"/>
  <c r="E1090" i="16" s="1"/>
  <c r="E1091" i="16" s="1"/>
  <c r="E1092" i="16" s="1"/>
  <c r="E1093" i="16" s="1"/>
  <c r="E1094" i="16" s="1"/>
  <c r="E1095" i="16" s="1"/>
  <c r="E1096" i="16" s="1"/>
  <c r="E1097" i="16" s="1"/>
  <c r="E1098" i="16" s="1"/>
  <c r="E1099" i="16" s="1"/>
  <c r="E1100" i="16" s="1"/>
  <c r="E1101" i="16" s="1"/>
  <c r="E1102" i="16" s="1"/>
  <c r="E1103" i="16" s="1"/>
  <c r="E1104" i="16" s="1"/>
  <c r="E1105" i="16" s="1"/>
  <c r="E1106" i="16" s="1"/>
  <c r="E1107" i="16" s="1"/>
  <c r="E1108" i="16" s="1"/>
  <c r="E1109" i="16" s="1"/>
  <c r="E1110" i="16" s="1"/>
  <c r="E1111" i="16" s="1"/>
  <c r="E1112" i="16" s="1"/>
  <c r="E1113" i="16" s="1"/>
  <c r="E1114" i="16" s="1"/>
  <c r="E1115" i="16" s="1"/>
  <c r="E1116" i="16" s="1"/>
  <c r="E1117" i="16" s="1"/>
  <c r="E1118" i="16" s="1"/>
  <c r="E1119" i="16" s="1"/>
  <c r="E31" i="16"/>
  <c r="E29" i="16"/>
  <c r="E30" i="16" s="1"/>
  <c r="E27" i="16"/>
  <c r="E28" i="16" s="1"/>
  <c r="E25" i="16"/>
  <c r="E26" i="16" s="1"/>
  <c r="E24" i="16"/>
  <c r="E23" i="16"/>
  <c r="E21" i="16"/>
  <c r="E22" i="16" s="1"/>
  <c r="E19" i="16"/>
  <c r="E20" i="16" s="1"/>
  <c r="E17" i="16"/>
  <c r="E18" i="16" s="1"/>
  <c r="E16" i="16"/>
  <c r="E15" i="16"/>
  <c r="E13" i="16"/>
  <c r="E14" i="16" s="1"/>
  <c r="E11" i="16"/>
  <c r="E12" i="16" s="1"/>
  <c r="E9" i="16"/>
  <c r="E10" i="16" s="1"/>
  <c r="E8" i="16"/>
  <c r="E7" i="16"/>
  <c r="E5" i="16"/>
  <c r="E6" i="16" s="1"/>
  <c r="E3" i="16"/>
  <c r="E4" i="16" s="1"/>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511" i="10"/>
  <c r="E512" i="10"/>
  <c r="E513" i="10"/>
  <c r="E514" i="10"/>
  <c r="E515" i="10"/>
  <c r="E516" i="10"/>
  <c r="E517" i="10"/>
  <c r="E518" i="10"/>
  <c r="E519" i="10"/>
  <c r="E520" i="10"/>
  <c r="E521" i="10"/>
  <c r="E522" i="10"/>
  <c r="E523" i="10"/>
  <c r="E524" i="10"/>
  <c r="E525" i="10"/>
  <c r="E526" i="10"/>
  <c r="E527" i="10"/>
  <c r="E528" i="10"/>
  <c r="E529" i="10"/>
  <c r="E530" i="10"/>
  <c r="E531" i="10"/>
  <c r="E532" i="10"/>
  <c r="E533" i="10"/>
  <c r="E534" i="10"/>
  <c r="E535" i="10"/>
  <c r="E536" i="10"/>
  <c r="E537" i="10"/>
  <c r="E538" i="10"/>
  <c r="E539" i="10"/>
  <c r="E540" i="10"/>
  <c r="E541" i="10"/>
  <c r="E542" i="10"/>
  <c r="E543" i="10"/>
  <c r="E544" i="10"/>
  <c r="E545" i="10"/>
  <c r="E546" i="10"/>
  <c r="E547" i="10"/>
  <c r="E548" i="10"/>
  <c r="E549" i="10"/>
  <c r="E550" i="10"/>
  <c r="E551" i="10"/>
  <c r="E552" i="10"/>
  <c r="E553" i="10"/>
  <c r="E554" i="10"/>
  <c r="E555" i="10"/>
  <c r="E556" i="10"/>
  <c r="E557" i="10"/>
  <c r="E558" i="10"/>
  <c r="E559" i="10"/>
  <c r="E560" i="10"/>
  <c r="E561" i="10"/>
  <c r="E562" i="10"/>
  <c r="E563" i="10"/>
  <c r="E564" i="10"/>
  <c r="E565" i="10"/>
  <c r="E566" i="10"/>
  <c r="E567" i="10"/>
  <c r="E568" i="10"/>
  <c r="E569" i="10"/>
  <c r="E570"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 i="10"/>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2" i="11"/>
  <c r="B3" i="14"/>
  <c r="B4" i="14"/>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2" i="14"/>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2" i="9"/>
  <c r="A2" i="14"/>
  <c r="A63" i="11"/>
  <c r="A62" i="11"/>
  <c r="A61" i="11"/>
  <c r="A60" i="11"/>
  <c r="A59" i="11"/>
  <c r="A58" i="11"/>
  <c r="A57" i="11"/>
  <c r="A56" i="11"/>
  <c r="A55" i="11"/>
  <c r="A54" i="11"/>
  <c r="A53" i="11"/>
  <c r="A52" i="11"/>
  <c r="A51" i="11"/>
  <c r="A50" i="11"/>
  <c r="A49" i="11"/>
  <c r="A48" i="11"/>
  <c r="A47" i="11"/>
  <c r="A46" i="11"/>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E32" i="5"/>
  <c r="E33" i="5" s="1"/>
  <c r="E34" i="5" s="1"/>
  <c r="E35" i="5" s="1"/>
  <c r="E36" i="5" s="1"/>
  <c r="E37" i="5" s="1"/>
  <c r="E38" i="5" s="1"/>
  <c r="E39" i="5" s="1"/>
  <c r="E40" i="5" s="1"/>
  <c r="E41" i="5" s="1"/>
  <c r="E42" i="5" s="1"/>
  <c r="E43" i="5" s="1"/>
  <c r="E44" i="5" s="1"/>
  <c r="E45" i="5" s="1"/>
  <c r="E46" i="5" s="1"/>
  <c r="E47" i="5" s="1"/>
  <c r="E48" i="5" s="1"/>
  <c r="E49" i="5" s="1"/>
  <c r="E50" i="5" s="1"/>
  <c r="E51" i="5" s="1"/>
  <c r="E52" i="5" s="1"/>
  <c r="E53" i="5" s="1"/>
  <c r="E54" i="5" s="1"/>
  <c r="E55" i="5" s="1"/>
  <c r="E56" i="5" s="1"/>
  <c r="E57" i="5" s="1"/>
  <c r="E58" i="5" s="1"/>
  <c r="E59" i="5" s="1"/>
  <c r="E60" i="5" s="1"/>
  <c r="E61" i="5" s="1"/>
  <c r="E62" i="5" s="1"/>
  <c r="E63" i="5" s="1"/>
  <c r="E64" i="5" s="1"/>
  <c r="E65" i="5" s="1"/>
  <c r="E66" i="5" s="1"/>
  <c r="E67" i="5" s="1"/>
  <c r="E68" i="5" s="1"/>
  <c r="E69" i="5" s="1"/>
  <c r="E70" i="5" s="1"/>
  <c r="E71" i="5" s="1"/>
  <c r="E72" i="5" s="1"/>
  <c r="E73" i="5" s="1"/>
  <c r="E74" i="5" s="1"/>
  <c r="E75" i="5" s="1"/>
  <c r="E76" i="5" s="1"/>
  <c r="E77" i="5" s="1"/>
  <c r="E78" i="5" s="1"/>
  <c r="E79" i="5" s="1"/>
  <c r="E80" i="5" s="1"/>
  <c r="E81" i="5" s="1"/>
  <c r="E82" i="5" s="1"/>
  <c r="E83" i="5" s="1"/>
  <c r="E84" i="5" s="1"/>
  <c r="E85" i="5" s="1"/>
  <c r="E86" i="5" s="1"/>
  <c r="E87" i="5" s="1"/>
  <c r="E88" i="5" s="1"/>
  <c r="E89" i="5" s="1"/>
  <c r="E90" i="5" s="1"/>
  <c r="E91" i="5" s="1"/>
  <c r="E92" i="5" s="1"/>
  <c r="E93" i="5" s="1"/>
  <c r="E94" i="5" s="1"/>
  <c r="E95" i="5" s="1"/>
  <c r="E96" i="5" s="1"/>
  <c r="E97" i="5" s="1"/>
  <c r="E98" i="5" s="1"/>
  <c r="E99" i="5" s="1"/>
  <c r="E100" i="5" s="1"/>
  <c r="E101" i="5" s="1"/>
  <c r="E102" i="5" s="1"/>
  <c r="E103" i="5" s="1"/>
  <c r="E104" i="5" s="1"/>
  <c r="E105" i="5" s="1"/>
  <c r="E106" i="5" s="1"/>
  <c r="E107" i="5" s="1"/>
  <c r="E108" i="5" s="1"/>
  <c r="E109" i="5" s="1"/>
  <c r="E110" i="5" s="1"/>
  <c r="E111" i="5" s="1"/>
  <c r="E112" i="5" s="1"/>
  <c r="E113" i="5" s="1"/>
  <c r="E114" i="5" s="1"/>
  <c r="E115" i="5" s="1"/>
  <c r="E116" i="5" s="1"/>
  <c r="E117" i="5" s="1"/>
  <c r="E118" i="5" s="1"/>
  <c r="E119" i="5" s="1"/>
  <c r="E120" i="5" s="1"/>
  <c r="E121" i="5" s="1"/>
  <c r="E122" i="5" s="1"/>
  <c r="E123" i="5" s="1"/>
  <c r="E124" i="5" s="1"/>
  <c r="E125" i="5" s="1"/>
  <c r="E126" i="5" s="1"/>
  <c r="E127" i="5" s="1"/>
  <c r="E128" i="5" s="1"/>
  <c r="E129" i="5" s="1"/>
  <c r="E130" i="5" s="1"/>
  <c r="E131" i="5" s="1"/>
  <c r="E132" i="5" s="1"/>
  <c r="E133" i="5" s="1"/>
  <c r="E134" i="5" s="1"/>
  <c r="E135" i="5" s="1"/>
  <c r="E136" i="5" s="1"/>
  <c r="E137" i="5" s="1"/>
  <c r="E138" i="5" s="1"/>
  <c r="E139" i="5" s="1"/>
  <c r="E140" i="5" s="1"/>
  <c r="E141" i="5" s="1"/>
  <c r="E142" i="5" s="1"/>
  <c r="E143" i="5" s="1"/>
  <c r="E144" i="5" s="1"/>
  <c r="E145" i="5" s="1"/>
  <c r="E146" i="5" s="1"/>
  <c r="E147" i="5" s="1"/>
  <c r="E148" i="5" s="1"/>
  <c r="E149" i="5" s="1"/>
  <c r="E150" i="5" s="1"/>
  <c r="E151" i="5" s="1"/>
  <c r="E152" i="5" s="1"/>
  <c r="E153" i="5" s="1"/>
  <c r="E154" i="5" s="1"/>
  <c r="E155" i="5" s="1"/>
  <c r="E156" i="5" s="1"/>
  <c r="E157" i="5" s="1"/>
  <c r="E158" i="5" s="1"/>
  <c r="E159" i="5" s="1"/>
  <c r="E160" i="5" s="1"/>
  <c r="E161" i="5" s="1"/>
  <c r="E162" i="5" s="1"/>
  <c r="E163" i="5" s="1"/>
  <c r="E164" i="5" s="1"/>
  <c r="E165" i="5" s="1"/>
  <c r="E166" i="5" s="1"/>
  <c r="E167" i="5" s="1"/>
  <c r="E168" i="5" s="1"/>
  <c r="E169" i="5" s="1"/>
  <c r="E170" i="5" s="1"/>
  <c r="E171" i="5" s="1"/>
  <c r="E172" i="5" s="1"/>
  <c r="E173" i="5" s="1"/>
  <c r="E174" i="5" s="1"/>
  <c r="E175" i="5" s="1"/>
  <c r="E176" i="5" s="1"/>
  <c r="E177" i="5" s="1"/>
  <c r="E178" i="5" s="1"/>
  <c r="E179" i="5" s="1"/>
  <c r="E180" i="5" s="1"/>
  <c r="E181" i="5" s="1"/>
  <c r="E182" i="5" s="1"/>
  <c r="E183" i="5" s="1"/>
  <c r="E184" i="5" s="1"/>
  <c r="E185" i="5" s="1"/>
  <c r="E186" i="5" s="1"/>
  <c r="E187" i="5" s="1"/>
  <c r="E188" i="5" s="1"/>
  <c r="E189" i="5" s="1"/>
  <c r="E190" i="5" s="1"/>
  <c r="E191" i="5" s="1"/>
  <c r="E192" i="5" s="1"/>
  <c r="E193" i="5" s="1"/>
  <c r="E194" i="5" s="1"/>
  <c r="E195" i="5" s="1"/>
  <c r="E196" i="5" s="1"/>
  <c r="E197" i="5" s="1"/>
  <c r="E198" i="5" s="1"/>
  <c r="E199" i="5" s="1"/>
  <c r="E200" i="5" s="1"/>
  <c r="E201" i="5" s="1"/>
  <c r="E202" i="5" s="1"/>
  <c r="E203" i="5" s="1"/>
  <c r="E204" i="5" s="1"/>
  <c r="E205" i="5" s="1"/>
  <c r="E206" i="5" s="1"/>
  <c r="E207" i="5" s="1"/>
  <c r="E208" i="5" s="1"/>
  <c r="E209" i="5" s="1"/>
  <c r="E210" i="5" s="1"/>
  <c r="E211" i="5" s="1"/>
  <c r="E212" i="5" s="1"/>
  <c r="E213" i="5" s="1"/>
  <c r="E214" i="5" s="1"/>
  <c r="E215" i="5" s="1"/>
  <c r="E216" i="5" s="1"/>
  <c r="E217" i="5" s="1"/>
  <c r="E218" i="5" s="1"/>
  <c r="E219" i="5" s="1"/>
  <c r="E220" i="5" s="1"/>
  <c r="E221" i="5" s="1"/>
  <c r="E222" i="5" s="1"/>
  <c r="E223" i="5" s="1"/>
  <c r="E224" i="5" s="1"/>
  <c r="E225" i="5" s="1"/>
  <c r="E226" i="5" s="1"/>
  <c r="E227" i="5" s="1"/>
  <c r="E228" i="5" s="1"/>
  <c r="E229" i="5" s="1"/>
  <c r="E230" i="5" s="1"/>
  <c r="E231" i="5" s="1"/>
  <c r="E232" i="5" s="1"/>
  <c r="E233" i="5" s="1"/>
  <c r="E234" i="5" s="1"/>
  <c r="E235" i="5" s="1"/>
  <c r="E236" i="5" s="1"/>
  <c r="E237" i="5" s="1"/>
  <c r="E238" i="5" s="1"/>
  <c r="E239" i="5" s="1"/>
  <c r="E240" i="5" s="1"/>
  <c r="E241" i="5" s="1"/>
  <c r="E242" i="5" s="1"/>
  <c r="E243" i="5" s="1"/>
  <c r="E244" i="5" s="1"/>
  <c r="E245" i="5" s="1"/>
  <c r="E246" i="5" s="1"/>
  <c r="E247" i="5" s="1"/>
  <c r="E248" i="5" s="1"/>
  <c r="E249" i="5" s="1"/>
  <c r="E250" i="5" s="1"/>
  <c r="E251" i="5" s="1"/>
  <c r="E252" i="5" s="1"/>
  <c r="E253" i="5" s="1"/>
  <c r="E254" i="5" s="1"/>
  <c r="E255" i="5" s="1"/>
  <c r="E256" i="5" s="1"/>
  <c r="E257" i="5" s="1"/>
  <c r="E258" i="5" s="1"/>
  <c r="E259" i="5" s="1"/>
  <c r="E260" i="5" s="1"/>
  <c r="E261" i="5" s="1"/>
  <c r="E262" i="5" s="1"/>
  <c r="E263" i="5" s="1"/>
  <c r="E264" i="5" s="1"/>
  <c r="E265" i="5" s="1"/>
  <c r="E266" i="5" s="1"/>
  <c r="E267" i="5" s="1"/>
  <c r="E268" i="5" s="1"/>
  <c r="E269" i="5" s="1"/>
  <c r="E270" i="5" s="1"/>
  <c r="E271" i="5" s="1"/>
  <c r="E272" i="5" s="1"/>
  <c r="E273" i="5" s="1"/>
  <c r="E274" i="5" s="1"/>
  <c r="E275" i="5" s="1"/>
  <c r="E276" i="5" s="1"/>
  <c r="E277" i="5" s="1"/>
  <c r="E278" i="5" s="1"/>
  <c r="E279" i="5" s="1"/>
  <c r="E280" i="5" s="1"/>
  <c r="E281" i="5" s="1"/>
  <c r="E282" i="5" s="1"/>
  <c r="E283" i="5" s="1"/>
  <c r="E284" i="5" s="1"/>
  <c r="E285" i="5" s="1"/>
  <c r="E286" i="5" s="1"/>
  <c r="E287" i="5" s="1"/>
  <c r="E288" i="5" s="1"/>
  <c r="E289" i="5" s="1"/>
  <c r="E290" i="5" s="1"/>
  <c r="E291" i="5" s="1"/>
  <c r="E292" i="5" s="1"/>
  <c r="E293" i="5" s="1"/>
  <c r="E294" i="5" s="1"/>
  <c r="E295" i="5" s="1"/>
  <c r="E296" i="5" s="1"/>
  <c r="E297" i="5" s="1"/>
  <c r="E298" i="5" s="1"/>
  <c r="E299" i="5" s="1"/>
  <c r="E300" i="5" s="1"/>
  <c r="E301" i="5" s="1"/>
  <c r="E302" i="5" s="1"/>
  <c r="E303" i="5" s="1"/>
  <c r="E304" i="5" s="1"/>
  <c r="E305" i="5" s="1"/>
  <c r="E306" i="5" s="1"/>
  <c r="E307" i="5" s="1"/>
  <c r="E308" i="5" s="1"/>
  <c r="E309" i="5" s="1"/>
  <c r="E310" i="5" s="1"/>
  <c r="E311" i="5" s="1"/>
  <c r="E312" i="5" s="1"/>
  <c r="E313" i="5" s="1"/>
  <c r="E314" i="5" s="1"/>
  <c r="E315" i="5" s="1"/>
  <c r="E316" i="5" s="1"/>
  <c r="E317" i="5" s="1"/>
  <c r="E318" i="5" s="1"/>
  <c r="E319" i="5" s="1"/>
  <c r="E320" i="5" s="1"/>
  <c r="E321" i="5" s="1"/>
  <c r="E322" i="5" s="1"/>
  <c r="E323" i="5" s="1"/>
  <c r="E324" i="5" s="1"/>
  <c r="E325" i="5" s="1"/>
  <c r="E326" i="5" s="1"/>
  <c r="E327" i="5" s="1"/>
  <c r="E328" i="5" s="1"/>
  <c r="E329" i="5" s="1"/>
  <c r="E330" i="5" s="1"/>
  <c r="E331" i="5" s="1"/>
  <c r="E332" i="5" s="1"/>
  <c r="E333" i="5" s="1"/>
  <c r="E334" i="5" s="1"/>
  <c r="E335" i="5" s="1"/>
  <c r="E336" i="5" s="1"/>
  <c r="E337" i="5" s="1"/>
  <c r="E338" i="5" s="1"/>
  <c r="E339" i="5" s="1"/>
  <c r="E340" i="5" s="1"/>
  <c r="E341" i="5" s="1"/>
  <c r="E342" i="5" s="1"/>
  <c r="E343" i="5" s="1"/>
  <c r="E344" i="5" s="1"/>
  <c r="E345" i="5" s="1"/>
  <c r="E346" i="5" s="1"/>
  <c r="E347" i="5" s="1"/>
  <c r="E348" i="5" s="1"/>
  <c r="E349" i="5" s="1"/>
  <c r="E350" i="5" s="1"/>
  <c r="E351" i="5" s="1"/>
  <c r="E352" i="5" s="1"/>
  <c r="E353" i="5" s="1"/>
  <c r="E354" i="5" s="1"/>
  <c r="E355" i="5" s="1"/>
  <c r="E356" i="5" s="1"/>
  <c r="E357" i="5" s="1"/>
  <c r="E358" i="5" s="1"/>
  <c r="E359" i="5" s="1"/>
  <c r="E360" i="5" s="1"/>
  <c r="E361" i="5" s="1"/>
  <c r="E362" i="5" s="1"/>
  <c r="E363" i="5" s="1"/>
  <c r="E364" i="5" s="1"/>
  <c r="E365" i="5" s="1"/>
  <c r="E366" i="5" s="1"/>
  <c r="E367" i="5" s="1"/>
  <c r="E368" i="5" s="1"/>
  <c r="E369" i="5" s="1"/>
  <c r="E370" i="5" s="1"/>
  <c r="E371" i="5" s="1"/>
  <c r="E372" i="5" s="1"/>
  <c r="E373" i="5" s="1"/>
  <c r="E374" i="5" s="1"/>
  <c r="E375" i="5" s="1"/>
  <c r="E376" i="5" s="1"/>
  <c r="E377" i="5" s="1"/>
  <c r="E378" i="5" s="1"/>
  <c r="E379" i="5" s="1"/>
  <c r="E380" i="5" s="1"/>
  <c r="E381" i="5" s="1"/>
  <c r="E382" i="5" s="1"/>
  <c r="E383" i="5" s="1"/>
  <c r="E384" i="5" s="1"/>
  <c r="E385" i="5" s="1"/>
  <c r="E386" i="5" s="1"/>
  <c r="E387" i="5" s="1"/>
  <c r="E388" i="5" s="1"/>
  <c r="E389" i="5" s="1"/>
  <c r="E390" i="5" s="1"/>
  <c r="E391" i="5" s="1"/>
  <c r="E392" i="5" s="1"/>
  <c r="E393" i="5" s="1"/>
  <c r="E394" i="5" s="1"/>
  <c r="E395" i="5" s="1"/>
  <c r="E396" i="5" s="1"/>
  <c r="E397" i="5" s="1"/>
  <c r="E398" i="5" s="1"/>
  <c r="E399" i="5" s="1"/>
  <c r="E400" i="5" s="1"/>
  <c r="E401" i="5" s="1"/>
  <c r="E402" i="5" s="1"/>
  <c r="E403" i="5" s="1"/>
  <c r="E404" i="5" s="1"/>
  <c r="E405" i="5" s="1"/>
  <c r="E406" i="5" s="1"/>
  <c r="E407" i="5" s="1"/>
  <c r="E408" i="5" s="1"/>
  <c r="E409" i="5" s="1"/>
  <c r="E410" i="5" s="1"/>
  <c r="E411" i="5" s="1"/>
  <c r="E412" i="5" s="1"/>
  <c r="E413" i="5" s="1"/>
  <c r="E414" i="5" s="1"/>
  <c r="E415" i="5" s="1"/>
  <c r="E416" i="5" s="1"/>
  <c r="E417" i="5" s="1"/>
  <c r="E418" i="5" s="1"/>
  <c r="E419" i="5" s="1"/>
  <c r="E420" i="5" s="1"/>
  <c r="E421" i="5" s="1"/>
  <c r="E422" i="5" s="1"/>
  <c r="E423" i="5" s="1"/>
  <c r="E424" i="5" s="1"/>
  <c r="E425" i="5" s="1"/>
  <c r="E426" i="5" s="1"/>
  <c r="E427" i="5" s="1"/>
  <c r="E428" i="5" s="1"/>
  <c r="E429" i="5" s="1"/>
  <c r="E430" i="5" s="1"/>
  <c r="E431" i="5" s="1"/>
  <c r="E432" i="5" s="1"/>
  <c r="E433" i="5" s="1"/>
  <c r="E434" i="5" s="1"/>
  <c r="E435" i="5" s="1"/>
  <c r="E436" i="5" s="1"/>
  <c r="E437" i="5" s="1"/>
  <c r="E438" i="5" s="1"/>
  <c r="E439" i="5" s="1"/>
  <c r="E440" i="5" s="1"/>
  <c r="E441" i="5" s="1"/>
  <c r="E442" i="5" s="1"/>
  <c r="E443" i="5" s="1"/>
  <c r="E444" i="5" s="1"/>
  <c r="E445" i="5" s="1"/>
  <c r="E446" i="5" s="1"/>
  <c r="E447" i="5" s="1"/>
  <c r="E448" i="5" s="1"/>
  <c r="E449" i="5" s="1"/>
  <c r="E450" i="5" s="1"/>
  <c r="E451" i="5" s="1"/>
  <c r="E452" i="5" s="1"/>
  <c r="E453" i="5" s="1"/>
  <c r="E454" i="5" s="1"/>
  <c r="E455" i="5" s="1"/>
  <c r="E456" i="5" s="1"/>
  <c r="E457" i="5" s="1"/>
  <c r="E458" i="5" s="1"/>
  <c r="E459" i="5" s="1"/>
  <c r="E460" i="5" s="1"/>
  <c r="E461" i="5" s="1"/>
  <c r="E462" i="5" s="1"/>
  <c r="E463" i="5" s="1"/>
  <c r="E464" i="5" s="1"/>
  <c r="E465" i="5" s="1"/>
  <c r="E466" i="5" s="1"/>
  <c r="E467" i="5" s="1"/>
  <c r="E468" i="5" s="1"/>
  <c r="E469" i="5" s="1"/>
  <c r="E470" i="5" s="1"/>
  <c r="E471" i="5" s="1"/>
  <c r="E472" i="5" s="1"/>
  <c r="E473" i="5" s="1"/>
  <c r="E474" i="5" s="1"/>
  <c r="E475" i="5" s="1"/>
  <c r="E476" i="5" s="1"/>
  <c r="E477" i="5" s="1"/>
  <c r="E478" i="5" s="1"/>
  <c r="E479" i="5" s="1"/>
  <c r="E480" i="5" s="1"/>
  <c r="E481" i="5" s="1"/>
  <c r="E482" i="5" s="1"/>
  <c r="E483" i="5" s="1"/>
  <c r="E484" i="5" s="1"/>
  <c r="E485" i="5" s="1"/>
  <c r="E486" i="5" s="1"/>
  <c r="E487" i="5" s="1"/>
  <c r="E488" i="5" s="1"/>
  <c r="E489" i="5" s="1"/>
  <c r="E490" i="5" s="1"/>
  <c r="E491" i="5" s="1"/>
  <c r="E492" i="5" s="1"/>
  <c r="E493" i="5" s="1"/>
  <c r="E494" i="5" s="1"/>
  <c r="E495" i="5" s="1"/>
  <c r="E496" i="5" s="1"/>
  <c r="E497" i="5" s="1"/>
  <c r="E498" i="5" s="1"/>
  <c r="E499" i="5" s="1"/>
  <c r="E500" i="5" s="1"/>
  <c r="E501" i="5" s="1"/>
  <c r="E502" i="5" s="1"/>
  <c r="E503" i="5" s="1"/>
  <c r="E504" i="5" s="1"/>
  <c r="E505" i="5" s="1"/>
  <c r="E506" i="5" s="1"/>
  <c r="E507" i="5" s="1"/>
  <c r="E508" i="5" s="1"/>
  <c r="E509" i="5" s="1"/>
  <c r="E510" i="5" s="1"/>
  <c r="E511" i="5" s="1"/>
  <c r="E512" i="5" s="1"/>
  <c r="E513" i="5" s="1"/>
  <c r="E514" i="5" s="1"/>
  <c r="E515" i="5" s="1"/>
  <c r="E516" i="5" s="1"/>
  <c r="E517" i="5" s="1"/>
  <c r="E518" i="5" s="1"/>
  <c r="E519" i="5" s="1"/>
  <c r="E520" i="5" s="1"/>
  <c r="E521" i="5" s="1"/>
  <c r="E522" i="5" s="1"/>
  <c r="E523" i="5" s="1"/>
  <c r="E524" i="5" s="1"/>
  <c r="E525" i="5" s="1"/>
  <c r="E526" i="5" s="1"/>
  <c r="E527" i="5" s="1"/>
  <c r="E528" i="5" s="1"/>
  <c r="E529" i="5" s="1"/>
  <c r="E530" i="5" s="1"/>
  <c r="E531" i="5" s="1"/>
  <c r="E532" i="5" s="1"/>
  <c r="E533" i="5" s="1"/>
  <c r="E534" i="5" s="1"/>
  <c r="E535" i="5" s="1"/>
  <c r="E536" i="5" s="1"/>
  <c r="E537" i="5" s="1"/>
  <c r="E538" i="5" s="1"/>
  <c r="E539" i="5" s="1"/>
  <c r="E540" i="5" s="1"/>
  <c r="E541" i="5" s="1"/>
  <c r="E542" i="5" s="1"/>
  <c r="E543" i="5" s="1"/>
  <c r="E544" i="5" s="1"/>
  <c r="E545" i="5" s="1"/>
  <c r="E546" i="5" s="1"/>
  <c r="E547" i="5" s="1"/>
  <c r="E548" i="5" s="1"/>
  <c r="E549" i="5" s="1"/>
  <c r="E550" i="5" s="1"/>
  <c r="E551" i="5" s="1"/>
  <c r="E552" i="5" s="1"/>
  <c r="E553" i="5" s="1"/>
  <c r="E554" i="5" s="1"/>
  <c r="E555" i="5" s="1"/>
  <c r="E556" i="5" s="1"/>
  <c r="E557" i="5" s="1"/>
  <c r="E558" i="5" s="1"/>
  <c r="E559" i="5" s="1"/>
  <c r="E560" i="5" s="1"/>
  <c r="E561" i="5" s="1"/>
  <c r="E562" i="5" s="1"/>
  <c r="E563" i="5" s="1"/>
  <c r="E564" i="5" s="1"/>
  <c r="E565" i="5" s="1"/>
  <c r="E566" i="5" s="1"/>
  <c r="E567" i="5" s="1"/>
  <c r="E568" i="5" s="1"/>
  <c r="E569" i="5" s="1"/>
  <c r="E570" i="5" s="1"/>
  <c r="E571" i="5" s="1"/>
  <c r="E572" i="5" s="1"/>
  <c r="E573" i="5" s="1"/>
  <c r="E574" i="5" s="1"/>
  <c r="E575" i="5" s="1"/>
  <c r="E576" i="5" s="1"/>
  <c r="E577" i="5" s="1"/>
  <c r="E578" i="5" s="1"/>
  <c r="E579" i="5" s="1"/>
  <c r="E580" i="5" s="1"/>
  <c r="E581" i="5" s="1"/>
  <c r="E582" i="5" s="1"/>
  <c r="E583" i="5" s="1"/>
  <c r="E584" i="5" s="1"/>
  <c r="E585" i="5" s="1"/>
  <c r="E586" i="5" s="1"/>
  <c r="E587" i="5" s="1"/>
  <c r="E588" i="5" s="1"/>
  <c r="E589" i="5" s="1"/>
  <c r="E590" i="5" s="1"/>
  <c r="E591" i="5" s="1"/>
  <c r="E592" i="5" s="1"/>
  <c r="E593" i="5" s="1"/>
  <c r="E594" i="5" s="1"/>
  <c r="E595" i="5" s="1"/>
  <c r="E596" i="5" s="1"/>
  <c r="E597" i="5" s="1"/>
  <c r="E598" i="5" s="1"/>
  <c r="E599" i="5" s="1"/>
  <c r="E600" i="5" s="1"/>
  <c r="E601" i="5" s="1"/>
  <c r="E602" i="5" s="1"/>
  <c r="E603" i="5" s="1"/>
  <c r="E604" i="5" s="1"/>
  <c r="E605" i="5" s="1"/>
  <c r="E606" i="5" s="1"/>
  <c r="E607" i="5" s="1"/>
  <c r="E608" i="5" s="1"/>
  <c r="E609" i="5" s="1"/>
  <c r="E610" i="5" s="1"/>
  <c r="E611" i="5" s="1"/>
  <c r="E612" i="5" s="1"/>
  <c r="E613" i="5" s="1"/>
  <c r="E614" i="5" s="1"/>
  <c r="E615" i="5" s="1"/>
  <c r="E616" i="5" s="1"/>
  <c r="E617" i="5" s="1"/>
  <c r="E618" i="5" s="1"/>
  <c r="E619" i="5" s="1"/>
  <c r="E620" i="5" s="1"/>
  <c r="E621" i="5" s="1"/>
  <c r="E622" i="5" s="1"/>
  <c r="E623" i="5" s="1"/>
  <c r="E624" i="5" s="1"/>
  <c r="E625" i="5" s="1"/>
  <c r="E626" i="5" s="1"/>
  <c r="E627" i="5" s="1"/>
  <c r="E628" i="5" s="1"/>
  <c r="E629" i="5" s="1"/>
  <c r="E630" i="5" s="1"/>
  <c r="E631" i="5" s="1"/>
  <c r="E632" i="5" s="1"/>
  <c r="E633" i="5" s="1"/>
  <c r="E634" i="5" s="1"/>
  <c r="E635" i="5" s="1"/>
  <c r="E636" i="5" s="1"/>
  <c r="E637" i="5" s="1"/>
  <c r="E638" i="5" s="1"/>
  <c r="E639" i="5" s="1"/>
  <c r="E640" i="5" s="1"/>
  <c r="E641" i="5" s="1"/>
  <c r="E642" i="5" s="1"/>
  <c r="E643" i="5" s="1"/>
  <c r="E644" i="5" s="1"/>
  <c r="E645" i="5" s="1"/>
  <c r="E646" i="5" s="1"/>
  <c r="E647" i="5" s="1"/>
  <c r="E648" i="5" s="1"/>
  <c r="E649" i="5" s="1"/>
  <c r="E650" i="5" s="1"/>
  <c r="E651" i="5" s="1"/>
  <c r="E652" i="5" s="1"/>
  <c r="E653" i="5" s="1"/>
  <c r="E654" i="5" s="1"/>
  <c r="E655" i="5" s="1"/>
  <c r="E656" i="5" s="1"/>
  <c r="E657" i="5" s="1"/>
  <c r="E658" i="5" s="1"/>
  <c r="E659" i="5" s="1"/>
  <c r="E660" i="5" s="1"/>
  <c r="E661" i="5" s="1"/>
  <c r="E662" i="5" s="1"/>
  <c r="E663" i="5" s="1"/>
  <c r="E664" i="5" s="1"/>
  <c r="E665" i="5" s="1"/>
  <c r="E666" i="5" s="1"/>
  <c r="E667" i="5" s="1"/>
  <c r="E668" i="5" s="1"/>
  <c r="E669" i="5" s="1"/>
  <c r="E670" i="5" s="1"/>
  <c r="E671" i="5" s="1"/>
  <c r="E672" i="5" s="1"/>
  <c r="E673" i="5" s="1"/>
  <c r="E674" i="5" s="1"/>
  <c r="E675" i="5" s="1"/>
  <c r="E676" i="5" s="1"/>
  <c r="E677" i="5" s="1"/>
  <c r="E678" i="5" s="1"/>
  <c r="E679" i="5" s="1"/>
  <c r="E680" i="5" s="1"/>
  <c r="E681" i="5" s="1"/>
  <c r="E682" i="5" s="1"/>
  <c r="E683" i="5" s="1"/>
  <c r="E684" i="5" s="1"/>
  <c r="E685" i="5" s="1"/>
  <c r="E686" i="5" s="1"/>
  <c r="E687" i="5" s="1"/>
  <c r="E688" i="5" s="1"/>
  <c r="E689" i="5" s="1"/>
  <c r="E690" i="5" s="1"/>
  <c r="E691" i="5" s="1"/>
  <c r="E692" i="5" s="1"/>
  <c r="E693" i="5" s="1"/>
  <c r="E694" i="5" s="1"/>
  <c r="E695" i="5" s="1"/>
  <c r="E696" i="5" s="1"/>
  <c r="E697" i="5" s="1"/>
  <c r="E698" i="5" s="1"/>
  <c r="E699" i="5" s="1"/>
  <c r="E700" i="5" s="1"/>
  <c r="E701" i="5" s="1"/>
  <c r="E702" i="5" s="1"/>
  <c r="E703" i="5" s="1"/>
  <c r="E704" i="5" s="1"/>
  <c r="E705" i="5" s="1"/>
  <c r="E706" i="5" s="1"/>
  <c r="E707" i="5" s="1"/>
  <c r="E708" i="5" s="1"/>
  <c r="E709" i="5" s="1"/>
  <c r="E710" i="5" s="1"/>
  <c r="E711" i="5" s="1"/>
  <c r="E712" i="5" s="1"/>
  <c r="E713" i="5" s="1"/>
  <c r="E714" i="5" s="1"/>
  <c r="E715" i="5" s="1"/>
  <c r="E716" i="5" s="1"/>
  <c r="E717" i="5" s="1"/>
  <c r="E718" i="5" s="1"/>
  <c r="E719" i="5" s="1"/>
  <c r="E720" i="5" s="1"/>
  <c r="E721" i="5" s="1"/>
  <c r="E722" i="5" s="1"/>
  <c r="E723" i="5" s="1"/>
  <c r="E724" i="5" s="1"/>
  <c r="E725" i="5" s="1"/>
  <c r="E726" i="5" s="1"/>
  <c r="E727" i="5" s="1"/>
  <c r="E728" i="5" s="1"/>
  <c r="E729" i="5" s="1"/>
  <c r="E730" i="5" s="1"/>
  <c r="E731" i="5" s="1"/>
  <c r="E732" i="5" s="1"/>
  <c r="E733" i="5" s="1"/>
  <c r="E734" i="5" s="1"/>
  <c r="E735" i="5" s="1"/>
  <c r="E736" i="5" s="1"/>
  <c r="E737" i="5" s="1"/>
  <c r="E738" i="5" s="1"/>
  <c r="E739" i="5" s="1"/>
  <c r="E740" i="5" s="1"/>
  <c r="E741" i="5" s="1"/>
  <c r="E742" i="5" s="1"/>
  <c r="E743" i="5" s="1"/>
  <c r="E744" i="5" s="1"/>
  <c r="E745" i="5" s="1"/>
  <c r="E746" i="5" s="1"/>
  <c r="E747" i="5" s="1"/>
  <c r="E748" i="5" s="1"/>
  <c r="E749" i="5" s="1"/>
  <c r="E750" i="5" s="1"/>
  <c r="E751" i="5" s="1"/>
  <c r="E752" i="5" s="1"/>
  <c r="E753" i="5" s="1"/>
  <c r="E754" i="5" s="1"/>
  <c r="E755" i="5" s="1"/>
  <c r="E756" i="5" s="1"/>
  <c r="E757" i="5" s="1"/>
  <c r="E758" i="5" s="1"/>
  <c r="E759" i="5" s="1"/>
  <c r="E760" i="5" s="1"/>
  <c r="E761" i="5" s="1"/>
  <c r="E762" i="5" s="1"/>
  <c r="E763" i="5" s="1"/>
  <c r="E764" i="5" s="1"/>
  <c r="E765" i="5" s="1"/>
  <c r="E766" i="5" s="1"/>
  <c r="E767" i="5" s="1"/>
  <c r="E768" i="5" s="1"/>
  <c r="E769" i="5" s="1"/>
  <c r="E770" i="5" s="1"/>
  <c r="E771" i="5" s="1"/>
  <c r="E772" i="5" s="1"/>
  <c r="E773" i="5" s="1"/>
  <c r="E774" i="5" s="1"/>
  <c r="E775" i="5" s="1"/>
  <c r="E776" i="5" s="1"/>
  <c r="E777" i="5" s="1"/>
  <c r="E778" i="5" s="1"/>
  <c r="E779" i="5" s="1"/>
  <c r="E780" i="5" s="1"/>
  <c r="E781" i="5" s="1"/>
  <c r="E782" i="5" s="1"/>
  <c r="E783" i="5" s="1"/>
  <c r="E784" i="5" s="1"/>
  <c r="E785" i="5" s="1"/>
  <c r="E786" i="5" s="1"/>
  <c r="E787" i="5" s="1"/>
  <c r="E788" i="5" s="1"/>
  <c r="E789" i="5" s="1"/>
  <c r="E790" i="5" s="1"/>
  <c r="E791" i="5" s="1"/>
  <c r="E792" i="5" s="1"/>
  <c r="E793" i="5" s="1"/>
  <c r="E794" i="5" s="1"/>
  <c r="E795" i="5" s="1"/>
  <c r="E796" i="5" s="1"/>
  <c r="E797" i="5" s="1"/>
  <c r="E798" i="5" s="1"/>
  <c r="E799" i="5" s="1"/>
  <c r="E800" i="5" s="1"/>
  <c r="E801" i="5" s="1"/>
  <c r="E802" i="5" s="1"/>
  <c r="E803" i="5" s="1"/>
  <c r="E804" i="5" s="1"/>
  <c r="E805" i="5" s="1"/>
  <c r="E806" i="5" s="1"/>
  <c r="E807" i="5" s="1"/>
  <c r="E808" i="5" s="1"/>
  <c r="E809" i="5" s="1"/>
  <c r="E810" i="5" s="1"/>
  <c r="E811" i="5" s="1"/>
  <c r="E812" i="5" s="1"/>
  <c r="E813" i="5" s="1"/>
  <c r="E814" i="5" s="1"/>
  <c r="E815" i="5" s="1"/>
  <c r="E816" i="5" s="1"/>
  <c r="E817" i="5" s="1"/>
  <c r="E818" i="5" s="1"/>
  <c r="E819" i="5" s="1"/>
  <c r="E820" i="5" s="1"/>
  <c r="E821" i="5" s="1"/>
  <c r="E822" i="5" s="1"/>
  <c r="E823" i="5" s="1"/>
  <c r="E824" i="5" s="1"/>
  <c r="E825" i="5" s="1"/>
  <c r="E826" i="5" s="1"/>
  <c r="E827" i="5" s="1"/>
  <c r="E828" i="5" s="1"/>
  <c r="E829" i="5" s="1"/>
  <c r="E830" i="5" s="1"/>
  <c r="E831" i="5" s="1"/>
  <c r="E832" i="5" s="1"/>
  <c r="E833" i="5" s="1"/>
  <c r="E834" i="5" s="1"/>
  <c r="E835" i="5" s="1"/>
  <c r="E836" i="5" s="1"/>
  <c r="E837" i="5" s="1"/>
  <c r="E838" i="5" s="1"/>
  <c r="E839" i="5" s="1"/>
  <c r="E840" i="5" s="1"/>
  <c r="E841" i="5" s="1"/>
  <c r="E842" i="5" s="1"/>
  <c r="E843" i="5" s="1"/>
  <c r="E844" i="5" s="1"/>
  <c r="E845" i="5" s="1"/>
  <c r="E846" i="5" s="1"/>
  <c r="E847" i="5" s="1"/>
  <c r="E848" i="5" s="1"/>
  <c r="E849" i="5" s="1"/>
  <c r="E850" i="5" s="1"/>
  <c r="E851" i="5" s="1"/>
  <c r="E852" i="5" s="1"/>
  <c r="E853" i="5" s="1"/>
  <c r="E854" i="5" s="1"/>
  <c r="E855" i="5" s="1"/>
  <c r="E856" i="5" s="1"/>
  <c r="E857" i="5" s="1"/>
  <c r="E858" i="5" s="1"/>
  <c r="E859" i="5" s="1"/>
  <c r="E860" i="5" s="1"/>
  <c r="E861" i="5" s="1"/>
  <c r="E862" i="5" s="1"/>
  <c r="E863" i="5" s="1"/>
  <c r="E864" i="5" s="1"/>
  <c r="E865" i="5" s="1"/>
  <c r="E866" i="5" s="1"/>
  <c r="E867" i="5" s="1"/>
  <c r="E868" i="5" s="1"/>
  <c r="E869" i="5" s="1"/>
  <c r="E870" i="5" s="1"/>
  <c r="E871" i="5" s="1"/>
  <c r="E872" i="5" s="1"/>
  <c r="E873" i="5" s="1"/>
  <c r="E874" i="5" s="1"/>
  <c r="E875" i="5" s="1"/>
  <c r="E876" i="5" s="1"/>
  <c r="E877" i="5" s="1"/>
  <c r="E878" i="5" s="1"/>
  <c r="E879" i="5" s="1"/>
  <c r="E880" i="5" s="1"/>
  <c r="E881" i="5" s="1"/>
  <c r="E882" i="5" s="1"/>
  <c r="E883" i="5" s="1"/>
  <c r="E884" i="5" s="1"/>
  <c r="E885" i="5" s="1"/>
  <c r="E886" i="5" s="1"/>
  <c r="E887" i="5" s="1"/>
  <c r="E888" i="5" s="1"/>
  <c r="E889" i="5" s="1"/>
  <c r="E890" i="5" s="1"/>
  <c r="E891" i="5" s="1"/>
  <c r="E892" i="5" s="1"/>
  <c r="E893" i="5" s="1"/>
  <c r="E894" i="5" s="1"/>
  <c r="E895" i="5" s="1"/>
  <c r="E896" i="5" s="1"/>
  <c r="E897" i="5" s="1"/>
  <c r="E898" i="5" s="1"/>
  <c r="E899" i="5" s="1"/>
  <c r="E900" i="5" s="1"/>
  <c r="E901" i="5" s="1"/>
  <c r="E902" i="5" s="1"/>
  <c r="E903" i="5" s="1"/>
  <c r="E904" i="5" s="1"/>
  <c r="E905" i="5" s="1"/>
  <c r="E906" i="5" s="1"/>
  <c r="E907" i="5" s="1"/>
  <c r="E908" i="5" s="1"/>
  <c r="E909" i="5" s="1"/>
  <c r="E910" i="5" s="1"/>
  <c r="E911" i="5" s="1"/>
  <c r="E912" i="5" s="1"/>
  <c r="E913" i="5" s="1"/>
  <c r="E914" i="5" s="1"/>
  <c r="E915" i="5" s="1"/>
  <c r="E916" i="5" s="1"/>
  <c r="E917" i="5" s="1"/>
  <c r="E918" i="5" s="1"/>
  <c r="E919" i="5" s="1"/>
  <c r="E920" i="5" s="1"/>
  <c r="E921" i="5" s="1"/>
  <c r="E922" i="5" s="1"/>
  <c r="E923" i="5" s="1"/>
  <c r="E924" i="5" s="1"/>
  <c r="E925" i="5" s="1"/>
  <c r="E926" i="5" s="1"/>
  <c r="E927" i="5" s="1"/>
  <c r="E928" i="5" s="1"/>
  <c r="E929" i="5" s="1"/>
  <c r="E930" i="5" s="1"/>
  <c r="E931" i="5" s="1"/>
  <c r="E932" i="5" s="1"/>
  <c r="E933" i="5" s="1"/>
  <c r="E934" i="5" s="1"/>
  <c r="E935" i="5" s="1"/>
  <c r="E936" i="5" s="1"/>
  <c r="E937" i="5" s="1"/>
  <c r="E938" i="5" s="1"/>
  <c r="E939" i="5" s="1"/>
  <c r="E940" i="5" s="1"/>
  <c r="E941" i="5" s="1"/>
  <c r="E942" i="5" s="1"/>
  <c r="E943" i="5" s="1"/>
  <c r="E944" i="5" s="1"/>
  <c r="E945" i="5" s="1"/>
  <c r="E946" i="5" s="1"/>
  <c r="E947" i="5" s="1"/>
  <c r="E948" i="5" s="1"/>
  <c r="E949" i="5" s="1"/>
  <c r="E950" i="5" s="1"/>
  <c r="E951" i="5" s="1"/>
  <c r="E952" i="5" s="1"/>
  <c r="E953" i="5" s="1"/>
  <c r="E954" i="5" s="1"/>
  <c r="E955" i="5" s="1"/>
  <c r="E956" i="5" s="1"/>
  <c r="E957" i="5" s="1"/>
  <c r="E958" i="5" s="1"/>
  <c r="E959" i="5" s="1"/>
  <c r="E960" i="5" s="1"/>
  <c r="E961" i="5" s="1"/>
  <c r="E962" i="5" s="1"/>
  <c r="E963" i="5" s="1"/>
  <c r="E964" i="5" s="1"/>
  <c r="E965" i="5" s="1"/>
  <c r="E966" i="5" s="1"/>
  <c r="E967" i="5" s="1"/>
  <c r="E968" i="5" s="1"/>
  <c r="E969" i="5" s="1"/>
  <c r="E970" i="5" s="1"/>
  <c r="E971" i="5" s="1"/>
  <c r="E972" i="5" s="1"/>
  <c r="E973" i="5" s="1"/>
  <c r="E974" i="5" s="1"/>
  <c r="E975" i="5" s="1"/>
  <c r="E976" i="5" s="1"/>
  <c r="E977" i="5" s="1"/>
  <c r="E978" i="5" s="1"/>
  <c r="E979" i="5" s="1"/>
  <c r="E980" i="5" s="1"/>
  <c r="E981" i="5" s="1"/>
  <c r="E982" i="5" s="1"/>
  <c r="E983" i="5" s="1"/>
  <c r="E984" i="5" s="1"/>
  <c r="E985" i="5" s="1"/>
  <c r="E986" i="5" s="1"/>
  <c r="E987" i="5" s="1"/>
  <c r="E988" i="5" s="1"/>
  <c r="E989" i="5" s="1"/>
  <c r="E990" i="5" s="1"/>
  <c r="E991" i="5" s="1"/>
  <c r="E992" i="5" s="1"/>
  <c r="E993" i="5" s="1"/>
  <c r="E994" i="5" s="1"/>
  <c r="E995" i="5" s="1"/>
  <c r="E996" i="5" s="1"/>
  <c r="E997" i="5" s="1"/>
  <c r="E998" i="5" s="1"/>
  <c r="E999" i="5" s="1"/>
  <c r="E1000" i="5" s="1"/>
  <c r="E1001" i="5" s="1"/>
  <c r="E1002" i="5" s="1"/>
  <c r="E1003" i="5" s="1"/>
  <c r="E1004" i="5" s="1"/>
  <c r="E1005" i="5" s="1"/>
  <c r="E1006" i="5" s="1"/>
  <c r="E1007" i="5" s="1"/>
  <c r="E1008" i="5" s="1"/>
  <c r="E1009" i="5" s="1"/>
  <c r="E1010" i="5" s="1"/>
  <c r="E1011" i="5" s="1"/>
  <c r="E1012" i="5" s="1"/>
  <c r="E1013" i="5" s="1"/>
  <c r="E1014" i="5" s="1"/>
  <c r="E1015" i="5" s="1"/>
  <c r="E1016" i="5" s="1"/>
  <c r="E1017" i="5" s="1"/>
  <c r="E1018" i="5" s="1"/>
  <c r="E1019" i="5" s="1"/>
  <c r="E1020" i="5" s="1"/>
  <c r="E1021" i="5" s="1"/>
  <c r="E1022" i="5" s="1"/>
  <c r="E1023" i="5" s="1"/>
  <c r="E1024" i="5" s="1"/>
  <c r="E1025" i="5" s="1"/>
  <c r="E1026" i="5" s="1"/>
  <c r="E1027" i="5" s="1"/>
  <c r="E1028" i="5" s="1"/>
  <c r="E1029" i="5" s="1"/>
  <c r="E1030" i="5" s="1"/>
  <c r="E1031" i="5" s="1"/>
  <c r="E1032" i="5" s="1"/>
  <c r="E1033" i="5" s="1"/>
  <c r="E1034" i="5" s="1"/>
  <c r="E1035" i="5" s="1"/>
  <c r="E1036" i="5" s="1"/>
  <c r="E1037" i="5" s="1"/>
  <c r="E1038" i="5" s="1"/>
  <c r="E1039" i="5" s="1"/>
  <c r="E1040" i="5" s="1"/>
  <c r="E1041" i="5" s="1"/>
  <c r="E1042" i="5" s="1"/>
  <c r="E1043" i="5" s="1"/>
  <c r="E1044" i="5" s="1"/>
  <c r="E1045" i="5" s="1"/>
  <c r="E1046" i="5" s="1"/>
  <c r="E1047" i="5" s="1"/>
  <c r="E1048" i="5" s="1"/>
  <c r="E1049" i="5" s="1"/>
  <c r="E1050" i="5" s="1"/>
  <c r="E1051" i="5" s="1"/>
  <c r="E1052" i="5" s="1"/>
  <c r="E1053" i="5" s="1"/>
  <c r="E1054" i="5" s="1"/>
  <c r="E1055" i="5" s="1"/>
  <c r="E1056" i="5" s="1"/>
  <c r="E1057" i="5" s="1"/>
  <c r="E1058" i="5" s="1"/>
  <c r="E1059" i="5" s="1"/>
  <c r="E1060" i="5" s="1"/>
  <c r="E1061" i="5" s="1"/>
  <c r="E1062" i="5" s="1"/>
  <c r="E1063" i="5" s="1"/>
  <c r="E1064" i="5" s="1"/>
  <c r="E1065" i="5" s="1"/>
  <c r="E1066" i="5" s="1"/>
  <c r="E1067" i="5" s="1"/>
  <c r="E1068" i="5" s="1"/>
  <c r="E1069" i="5" s="1"/>
  <c r="E1070" i="5" s="1"/>
  <c r="E1071" i="5" s="1"/>
  <c r="E1072" i="5" s="1"/>
  <c r="E1073" i="5" s="1"/>
  <c r="E1074" i="5" s="1"/>
  <c r="E1075" i="5" s="1"/>
  <c r="E1076" i="5" s="1"/>
  <c r="E1077" i="5" s="1"/>
  <c r="E1078" i="5" s="1"/>
  <c r="E1079" i="5" s="1"/>
  <c r="E1080" i="5" s="1"/>
  <c r="E1081" i="5" s="1"/>
  <c r="E1082" i="5" s="1"/>
  <c r="E1083" i="5" s="1"/>
  <c r="E1084" i="5" s="1"/>
  <c r="E1085" i="5" s="1"/>
  <c r="E1086" i="5" s="1"/>
  <c r="E1087" i="5" s="1"/>
  <c r="E1088" i="5" s="1"/>
  <c r="E1089" i="5" s="1"/>
  <c r="E1090" i="5" s="1"/>
  <c r="E1091" i="5" s="1"/>
  <c r="E1092" i="5" s="1"/>
  <c r="E1093" i="5" s="1"/>
  <c r="E1094" i="5" s="1"/>
  <c r="E1095" i="5" s="1"/>
  <c r="E1096" i="5" s="1"/>
  <c r="E1097" i="5" s="1"/>
  <c r="E1098" i="5" s="1"/>
  <c r="E1099" i="5" s="1"/>
  <c r="E1100" i="5" s="1"/>
  <c r="E1101" i="5" s="1"/>
  <c r="E1102" i="5" s="1"/>
  <c r="E1103" i="5" s="1"/>
  <c r="E1104" i="5" s="1"/>
  <c r="E1105" i="5" s="1"/>
  <c r="E1106" i="5" s="1"/>
  <c r="E1107" i="5" s="1"/>
  <c r="E1108" i="5" s="1"/>
  <c r="E1109" i="5" s="1"/>
  <c r="E1110" i="5" s="1"/>
  <c r="E1111" i="5" s="1"/>
  <c r="E1112" i="5" s="1"/>
  <c r="E1113" i="5" s="1"/>
  <c r="E1114" i="5" s="1"/>
  <c r="E1115" i="5" s="1"/>
  <c r="E1116" i="5" s="1"/>
  <c r="E1117" i="5" s="1"/>
  <c r="E1118" i="5" s="1"/>
  <c r="E1119" i="5" s="1"/>
  <c r="E31" i="5"/>
  <c r="E30" i="5"/>
  <c r="E29" i="5"/>
  <c r="E28" i="5"/>
  <c r="E27" i="5"/>
  <c r="E25" i="5"/>
  <c r="E26" i="5" s="1"/>
  <c r="E24" i="5"/>
  <c r="E23" i="5"/>
  <c r="E22" i="5"/>
  <c r="E21" i="5"/>
  <c r="E20" i="5"/>
  <c r="E19" i="5"/>
  <c r="E17" i="5"/>
  <c r="E18" i="5" s="1"/>
  <c r="E16" i="5"/>
  <c r="E15" i="5"/>
  <c r="E14" i="5"/>
  <c r="E13" i="5"/>
  <c r="E12" i="5"/>
  <c r="E11" i="5"/>
  <c r="E9" i="5"/>
  <c r="E10" i="5" s="1"/>
  <c r="E8" i="5"/>
  <c r="E7" i="5"/>
  <c r="E6" i="5"/>
  <c r="E5" i="5"/>
  <c r="E4" i="5"/>
  <c r="E3" i="5"/>
  <c r="E33" i="3"/>
  <c r="E34" i="3" s="1"/>
  <c r="E35" i="3" s="1"/>
  <c r="E36" i="3" s="1"/>
  <c r="E37" i="3" s="1"/>
  <c r="E38" i="3" s="1"/>
  <c r="E39" i="3"/>
  <c r="E40" i="3"/>
  <c r="E41" i="3" s="1"/>
  <c r="E42" i="3" s="1"/>
  <c r="E43" i="3" s="1"/>
  <c r="E44" i="3" s="1"/>
  <c r="E45" i="3" s="1"/>
  <c r="E46" i="3" s="1"/>
  <c r="E47" i="3" s="1"/>
  <c r="E48" i="3" s="1"/>
  <c r="E49" i="3" s="1"/>
  <c r="E50" i="3" s="1"/>
  <c r="E51" i="3" s="1"/>
  <c r="E52" i="3"/>
  <c r="E53" i="3" s="1"/>
  <c r="E54" i="3" s="1"/>
  <c r="E55" i="3" s="1"/>
  <c r="E56" i="3" s="1"/>
  <c r="E57" i="3" s="1"/>
  <c r="E58" i="3" s="1"/>
  <c r="E59" i="3" s="1"/>
  <c r="E60" i="3" s="1"/>
  <c r="E61" i="3" s="1"/>
  <c r="E62" i="3" s="1"/>
  <c r="E63" i="3" s="1"/>
  <c r="E64" i="3" s="1"/>
  <c r="E65" i="3" s="1"/>
  <c r="E66" i="3" s="1"/>
  <c r="E67" i="3" s="1"/>
  <c r="E68" i="3" s="1"/>
  <c r="E69" i="3" s="1"/>
  <c r="E70" i="3" s="1"/>
  <c r="E71" i="3" s="1"/>
  <c r="E72" i="3" s="1"/>
  <c r="E73" i="3" s="1"/>
  <c r="E74" i="3" s="1"/>
  <c r="E75" i="3" s="1"/>
  <c r="E76" i="3" s="1"/>
  <c r="E77" i="3"/>
  <c r="E78" i="3" s="1"/>
  <c r="E79" i="3" s="1"/>
  <c r="E80" i="3" s="1"/>
  <c r="E81" i="3" s="1"/>
  <c r="E82" i="3" s="1"/>
  <c r="E83" i="3" s="1"/>
  <c r="E84" i="3"/>
  <c r="E85" i="3" s="1"/>
  <c r="E86" i="3" s="1"/>
  <c r="E87" i="3" s="1"/>
  <c r="E88" i="3" s="1"/>
  <c r="E89" i="3" s="1"/>
  <c r="E90" i="3" s="1"/>
  <c r="E91" i="3" s="1"/>
  <c r="E92" i="3" s="1"/>
  <c r="E93" i="3" s="1"/>
  <c r="E94" i="3" s="1"/>
  <c r="E95" i="3" s="1"/>
  <c r="E96" i="3" s="1"/>
  <c r="E97" i="3" s="1"/>
  <c r="E98" i="3" s="1"/>
  <c r="E99" i="3" s="1"/>
  <c r="E100" i="3" s="1"/>
  <c r="E101" i="3" s="1"/>
  <c r="E102" i="3" s="1"/>
  <c r="E103" i="3" s="1"/>
  <c r="E104" i="3" s="1"/>
  <c r="E105" i="3" s="1"/>
  <c r="E106" i="3" s="1"/>
  <c r="E107" i="3" s="1"/>
  <c r="E108" i="3" s="1"/>
  <c r="E109" i="3" s="1"/>
  <c r="E110" i="3" s="1"/>
  <c r="E111" i="3"/>
  <c r="E112" i="3" s="1"/>
  <c r="E113" i="3" s="1"/>
  <c r="E114" i="3" s="1"/>
  <c r="E115" i="3" s="1"/>
  <c r="E116" i="3" s="1"/>
  <c r="E117" i="3" s="1"/>
  <c r="E118" i="3" s="1"/>
  <c r="E119" i="3" s="1"/>
  <c r="E120" i="3" s="1"/>
  <c r="E121" i="3" s="1"/>
  <c r="E122" i="3" s="1"/>
  <c r="E123" i="3" s="1"/>
  <c r="E124" i="3"/>
  <c r="E125" i="3" s="1"/>
  <c r="E126" i="3" s="1"/>
  <c r="E127" i="3" s="1"/>
  <c r="E128" i="3" s="1"/>
  <c r="E129" i="3" s="1"/>
  <c r="E130" i="3" s="1"/>
  <c r="E131" i="3" s="1"/>
  <c r="E132" i="3" s="1"/>
  <c r="E133" i="3" s="1"/>
  <c r="E134" i="3" s="1"/>
  <c r="E135" i="3" s="1"/>
  <c r="E136" i="3" s="1"/>
  <c r="E137" i="3" s="1"/>
  <c r="E138" i="3" s="1"/>
  <c r="E139" i="3" s="1"/>
  <c r="E140" i="3" s="1"/>
  <c r="E141" i="3" s="1"/>
  <c r="E142" i="3" s="1"/>
  <c r="E143" i="3" s="1"/>
  <c r="E144" i="3" s="1"/>
  <c r="E145" i="3" s="1"/>
  <c r="E146" i="3" s="1"/>
  <c r="E147" i="3" s="1"/>
  <c r="E148" i="3" s="1"/>
  <c r="E149" i="3" s="1"/>
  <c r="E150" i="3" s="1"/>
  <c r="E151" i="3" s="1"/>
  <c r="E152" i="3" s="1"/>
  <c r="E153" i="3" s="1"/>
  <c r="E154" i="3" s="1"/>
  <c r="E155" i="3" s="1"/>
  <c r="E156" i="3" s="1"/>
  <c r="E157" i="3" s="1"/>
  <c r="E158" i="3" s="1"/>
  <c r="E159" i="3" s="1"/>
  <c r="E160" i="3" s="1"/>
  <c r="E161" i="3" s="1"/>
  <c r="E162" i="3" s="1"/>
  <c r="E163" i="3" s="1"/>
  <c r="E164" i="3" s="1"/>
  <c r="E165" i="3" s="1"/>
  <c r="E166" i="3" s="1"/>
  <c r="E167" i="3" s="1"/>
  <c r="E168" i="3" s="1"/>
  <c r="E169" i="3" s="1"/>
  <c r="E170" i="3" s="1"/>
  <c r="E171" i="3" s="1"/>
  <c r="E172" i="3" s="1"/>
  <c r="E173" i="3" s="1"/>
  <c r="E174" i="3" s="1"/>
  <c r="E175" i="3" s="1"/>
  <c r="E176" i="3" s="1"/>
  <c r="E177" i="3" s="1"/>
  <c r="E178" i="3" s="1"/>
  <c r="E179" i="3" s="1"/>
  <c r="E180" i="3" s="1"/>
  <c r="E181" i="3" s="1"/>
  <c r="E182" i="3" s="1"/>
  <c r="E183" i="3" s="1"/>
  <c r="E184" i="3" s="1"/>
  <c r="E185" i="3" s="1"/>
  <c r="E186" i="3" s="1"/>
  <c r="E187" i="3" s="1"/>
  <c r="E188" i="3" s="1"/>
  <c r="E189" i="3" s="1"/>
  <c r="E190" i="3" s="1"/>
  <c r="E191" i="3" s="1"/>
  <c r="E192" i="3" s="1"/>
  <c r="E193" i="3" s="1"/>
  <c r="E194" i="3" s="1"/>
  <c r="E195" i="3" s="1"/>
  <c r="E196" i="3" s="1"/>
  <c r="E197" i="3" s="1"/>
  <c r="E198" i="3" s="1"/>
  <c r="E199" i="3" s="1"/>
  <c r="E200" i="3" s="1"/>
  <c r="E201" i="3" s="1"/>
  <c r="E202" i="3" s="1"/>
  <c r="E203" i="3" s="1"/>
  <c r="E204" i="3" s="1"/>
  <c r="E205" i="3" s="1"/>
  <c r="E206" i="3" s="1"/>
  <c r="E207" i="3" s="1"/>
  <c r="E208" i="3" s="1"/>
  <c r="E209" i="3" s="1"/>
  <c r="E210" i="3" s="1"/>
  <c r="E211" i="3" s="1"/>
  <c r="E212" i="3" s="1"/>
  <c r="E213" i="3" s="1"/>
  <c r="E214" i="3" s="1"/>
  <c r="E215" i="3" s="1"/>
  <c r="E216" i="3" s="1"/>
  <c r="E217" i="3" s="1"/>
  <c r="E218" i="3" s="1"/>
  <c r="E219" i="3" s="1"/>
  <c r="E220" i="3" s="1"/>
  <c r="E221" i="3" s="1"/>
  <c r="E222" i="3" s="1"/>
  <c r="E223" i="3" s="1"/>
  <c r="E224" i="3" s="1"/>
  <c r="E225" i="3" s="1"/>
  <c r="E226" i="3" s="1"/>
  <c r="E227" i="3" s="1"/>
  <c r="E228" i="3" s="1"/>
  <c r="E229" i="3" s="1"/>
  <c r="E230" i="3" s="1"/>
  <c r="E231" i="3" s="1"/>
  <c r="E232" i="3" s="1"/>
  <c r="E233" i="3" s="1"/>
  <c r="E234" i="3" s="1"/>
  <c r="E235" i="3" s="1"/>
  <c r="E236" i="3" s="1"/>
  <c r="E237" i="3" s="1"/>
  <c r="E238" i="3" s="1"/>
  <c r="E239" i="3" s="1"/>
  <c r="E240" i="3" s="1"/>
  <c r="E241" i="3" s="1"/>
  <c r="E242" i="3" s="1"/>
  <c r="E243" i="3" s="1"/>
  <c r="E244" i="3" s="1"/>
  <c r="E245" i="3" s="1"/>
  <c r="E246" i="3" s="1"/>
  <c r="E247" i="3" s="1"/>
  <c r="E248" i="3" s="1"/>
  <c r="E249" i="3" s="1"/>
  <c r="E250" i="3" s="1"/>
  <c r="E251" i="3" s="1"/>
  <c r="E252" i="3" s="1"/>
  <c r="E253" i="3" s="1"/>
  <c r="E254" i="3" s="1"/>
  <c r="E255" i="3" s="1"/>
  <c r="E256" i="3" s="1"/>
  <c r="E257" i="3" s="1"/>
  <c r="E258" i="3" s="1"/>
  <c r="E259" i="3" s="1"/>
  <c r="E260" i="3" s="1"/>
  <c r="E261" i="3" s="1"/>
  <c r="E262" i="3" s="1"/>
  <c r="E263" i="3" s="1"/>
  <c r="E264" i="3" s="1"/>
  <c r="E265" i="3" s="1"/>
  <c r="E266" i="3" s="1"/>
  <c r="E267" i="3" s="1"/>
  <c r="E268" i="3" s="1"/>
  <c r="E269" i="3" s="1"/>
  <c r="E270" i="3" s="1"/>
  <c r="E271" i="3" s="1"/>
  <c r="E272" i="3" s="1"/>
  <c r="E273" i="3" s="1"/>
  <c r="E274" i="3" s="1"/>
  <c r="E275" i="3" s="1"/>
  <c r="E276" i="3" s="1"/>
  <c r="E277" i="3" s="1"/>
  <c r="E278" i="3" s="1"/>
  <c r="E279" i="3" s="1"/>
  <c r="E280" i="3" s="1"/>
  <c r="E281" i="3" s="1"/>
  <c r="E282" i="3" s="1"/>
  <c r="E283" i="3" s="1"/>
  <c r="E284" i="3" s="1"/>
  <c r="E285" i="3" s="1"/>
  <c r="E286" i="3" s="1"/>
  <c r="E287" i="3" s="1"/>
  <c r="E288" i="3" s="1"/>
  <c r="E289" i="3" s="1"/>
  <c r="E290" i="3" s="1"/>
  <c r="E291" i="3" s="1"/>
  <c r="E292" i="3" s="1"/>
  <c r="E293" i="3" s="1"/>
  <c r="E294" i="3" s="1"/>
  <c r="E295" i="3" s="1"/>
  <c r="E296" i="3" s="1"/>
  <c r="E297" i="3" s="1"/>
  <c r="E298" i="3" s="1"/>
  <c r="E299" i="3" s="1"/>
  <c r="E300" i="3" s="1"/>
  <c r="E301" i="3" s="1"/>
  <c r="E302" i="3" s="1"/>
  <c r="E303" i="3" s="1"/>
  <c r="E304" i="3" s="1"/>
  <c r="E305" i="3" s="1"/>
  <c r="E306" i="3" s="1"/>
  <c r="E307" i="3" s="1"/>
  <c r="E308" i="3" s="1"/>
  <c r="E309" i="3" s="1"/>
  <c r="E310" i="3" s="1"/>
  <c r="E311" i="3" s="1"/>
  <c r="E312" i="3" s="1"/>
  <c r="E313" i="3" s="1"/>
  <c r="E314" i="3" s="1"/>
  <c r="E315" i="3" s="1"/>
  <c r="E316" i="3" s="1"/>
  <c r="E317" i="3" s="1"/>
  <c r="E318" i="3" s="1"/>
  <c r="E319" i="3" s="1"/>
  <c r="E320" i="3" s="1"/>
  <c r="E321" i="3" s="1"/>
  <c r="E322" i="3" s="1"/>
  <c r="E323" i="3" s="1"/>
  <c r="E324" i="3" s="1"/>
  <c r="E325" i="3" s="1"/>
  <c r="E326" i="3" s="1"/>
  <c r="E327" i="3" s="1"/>
  <c r="E328" i="3" s="1"/>
  <c r="E329" i="3" s="1"/>
  <c r="E330" i="3" s="1"/>
  <c r="E331" i="3" s="1"/>
  <c r="E332" i="3" s="1"/>
  <c r="E333" i="3" s="1"/>
  <c r="E334" i="3" s="1"/>
  <c r="E335" i="3" s="1"/>
  <c r="E336" i="3" s="1"/>
  <c r="E337" i="3" s="1"/>
  <c r="E338" i="3" s="1"/>
  <c r="E339" i="3" s="1"/>
  <c r="E340" i="3" s="1"/>
  <c r="E341" i="3" s="1"/>
  <c r="E342" i="3" s="1"/>
  <c r="E343" i="3" s="1"/>
  <c r="E344" i="3" s="1"/>
  <c r="E345" i="3" s="1"/>
  <c r="E346" i="3" s="1"/>
  <c r="E347" i="3" s="1"/>
  <c r="E348" i="3" s="1"/>
  <c r="E349" i="3" s="1"/>
  <c r="E350" i="3" s="1"/>
  <c r="E351" i="3" s="1"/>
  <c r="E352" i="3" s="1"/>
  <c r="E353" i="3" s="1"/>
  <c r="E354" i="3" s="1"/>
  <c r="E355" i="3" s="1"/>
  <c r="E356" i="3" s="1"/>
  <c r="E357" i="3" s="1"/>
  <c r="E358" i="3" s="1"/>
  <c r="E359" i="3" s="1"/>
  <c r="E360" i="3" s="1"/>
  <c r="E361" i="3" s="1"/>
  <c r="E362" i="3" s="1"/>
  <c r="E363" i="3" s="1"/>
  <c r="E364" i="3" s="1"/>
  <c r="E365" i="3" s="1"/>
  <c r="E366" i="3" s="1"/>
  <c r="E367" i="3" s="1"/>
  <c r="E368" i="3" s="1"/>
  <c r="E369" i="3" s="1"/>
  <c r="E370" i="3" s="1"/>
  <c r="E371" i="3" s="1"/>
  <c r="E372" i="3" s="1"/>
  <c r="E373" i="3" s="1"/>
  <c r="E374" i="3" s="1"/>
  <c r="E375" i="3" s="1"/>
  <c r="E376" i="3" s="1"/>
  <c r="E377" i="3" s="1"/>
  <c r="E378" i="3" s="1"/>
  <c r="E379" i="3" s="1"/>
  <c r="E380" i="3" s="1"/>
  <c r="E381" i="3" s="1"/>
  <c r="E382" i="3" s="1"/>
  <c r="E383" i="3" s="1"/>
  <c r="E384" i="3" s="1"/>
  <c r="E385" i="3" s="1"/>
  <c r="E386" i="3" s="1"/>
  <c r="E387" i="3" s="1"/>
  <c r="E388" i="3" s="1"/>
  <c r="E389" i="3" s="1"/>
  <c r="E390" i="3" s="1"/>
  <c r="E391" i="3" s="1"/>
  <c r="E392" i="3" s="1"/>
  <c r="E393" i="3" s="1"/>
  <c r="E394" i="3" s="1"/>
  <c r="E395" i="3" s="1"/>
  <c r="E396" i="3" s="1"/>
  <c r="E397" i="3" s="1"/>
  <c r="E398" i="3" s="1"/>
  <c r="E399" i="3" s="1"/>
  <c r="E400" i="3" s="1"/>
  <c r="E401" i="3" s="1"/>
  <c r="E402" i="3" s="1"/>
  <c r="E403" i="3" s="1"/>
  <c r="E404" i="3" s="1"/>
  <c r="E405" i="3" s="1"/>
  <c r="E406" i="3" s="1"/>
  <c r="E407" i="3" s="1"/>
  <c r="E408" i="3" s="1"/>
  <c r="E409" i="3" s="1"/>
  <c r="E410" i="3" s="1"/>
  <c r="E411" i="3" s="1"/>
  <c r="E412" i="3" s="1"/>
  <c r="E413" i="3" s="1"/>
  <c r="E414" i="3" s="1"/>
  <c r="E415" i="3" s="1"/>
  <c r="E416" i="3" s="1"/>
  <c r="E417" i="3" s="1"/>
  <c r="E418" i="3" s="1"/>
  <c r="E419" i="3" s="1"/>
  <c r="E420" i="3" s="1"/>
  <c r="E421" i="3" s="1"/>
  <c r="E422" i="3" s="1"/>
  <c r="E423" i="3" s="1"/>
  <c r="E424" i="3" s="1"/>
  <c r="E425" i="3" s="1"/>
  <c r="E426" i="3" s="1"/>
  <c r="E427" i="3" s="1"/>
  <c r="E428" i="3" s="1"/>
  <c r="E429" i="3" s="1"/>
  <c r="E430" i="3" s="1"/>
  <c r="E431" i="3" s="1"/>
  <c r="E432" i="3" s="1"/>
  <c r="E433" i="3" s="1"/>
  <c r="E434" i="3" s="1"/>
  <c r="E435" i="3" s="1"/>
  <c r="E436" i="3" s="1"/>
  <c r="E437" i="3" s="1"/>
  <c r="E438" i="3" s="1"/>
  <c r="E439" i="3" s="1"/>
  <c r="E440" i="3" s="1"/>
  <c r="E441" i="3" s="1"/>
  <c r="E442" i="3" s="1"/>
  <c r="E443" i="3" s="1"/>
  <c r="E444" i="3" s="1"/>
  <c r="E445" i="3" s="1"/>
  <c r="E446" i="3" s="1"/>
  <c r="E447" i="3" s="1"/>
  <c r="E448" i="3" s="1"/>
  <c r="E449" i="3" s="1"/>
  <c r="E450" i="3" s="1"/>
  <c r="E451" i="3" s="1"/>
  <c r="E452" i="3" s="1"/>
  <c r="E453" i="3" s="1"/>
  <c r="E454" i="3" s="1"/>
  <c r="E455" i="3" s="1"/>
  <c r="E456" i="3" s="1"/>
  <c r="E457" i="3" s="1"/>
  <c r="E458" i="3" s="1"/>
  <c r="E459" i="3" s="1"/>
  <c r="E460" i="3" s="1"/>
  <c r="E461" i="3" s="1"/>
  <c r="E462" i="3" s="1"/>
  <c r="E463" i="3" s="1"/>
  <c r="E464" i="3" s="1"/>
  <c r="E465" i="3" s="1"/>
  <c r="E466" i="3" s="1"/>
  <c r="E467" i="3" s="1"/>
  <c r="E468" i="3" s="1"/>
  <c r="E469" i="3" s="1"/>
  <c r="E470" i="3" s="1"/>
  <c r="E471" i="3" s="1"/>
  <c r="E472" i="3" s="1"/>
  <c r="E473" i="3" s="1"/>
  <c r="E474" i="3" s="1"/>
  <c r="E475" i="3" s="1"/>
  <c r="E476" i="3" s="1"/>
  <c r="E477" i="3" s="1"/>
  <c r="E478" i="3" s="1"/>
  <c r="E479" i="3" s="1"/>
  <c r="E480" i="3" s="1"/>
  <c r="E481" i="3" s="1"/>
  <c r="E482" i="3" s="1"/>
  <c r="E483" i="3" s="1"/>
  <c r="E484" i="3" s="1"/>
  <c r="E485" i="3" s="1"/>
  <c r="E486" i="3" s="1"/>
  <c r="E487" i="3" s="1"/>
  <c r="E488" i="3" s="1"/>
  <c r="E489" i="3" s="1"/>
  <c r="E490" i="3" s="1"/>
  <c r="E491" i="3" s="1"/>
  <c r="E492" i="3" s="1"/>
  <c r="E493" i="3" s="1"/>
  <c r="E494" i="3" s="1"/>
  <c r="E495" i="3" s="1"/>
  <c r="E496" i="3" s="1"/>
  <c r="E497" i="3" s="1"/>
  <c r="E498" i="3" s="1"/>
  <c r="E499" i="3" s="1"/>
  <c r="E500" i="3" s="1"/>
  <c r="E501" i="3" s="1"/>
  <c r="E502" i="3" s="1"/>
  <c r="E503" i="3" s="1"/>
  <c r="E504" i="3" s="1"/>
  <c r="E505" i="3" s="1"/>
  <c r="E506" i="3" s="1"/>
  <c r="E507" i="3" s="1"/>
  <c r="E508" i="3" s="1"/>
  <c r="E509" i="3" s="1"/>
  <c r="E510" i="3" s="1"/>
  <c r="E511" i="3" s="1"/>
  <c r="E512" i="3" s="1"/>
  <c r="E513" i="3" s="1"/>
  <c r="E514" i="3" s="1"/>
  <c r="E515" i="3" s="1"/>
  <c r="E516" i="3" s="1"/>
  <c r="E517" i="3" s="1"/>
  <c r="E518" i="3" s="1"/>
  <c r="E519" i="3" s="1"/>
  <c r="E520" i="3" s="1"/>
  <c r="E521" i="3" s="1"/>
  <c r="E522" i="3" s="1"/>
  <c r="E523" i="3" s="1"/>
  <c r="E524" i="3" s="1"/>
  <c r="E525" i="3" s="1"/>
  <c r="E526" i="3" s="1"/>
  <c r="E527" i="3" s="1"/>
  <c r="E528" i="3" s="1"/>
  <c r="E529" i="3" s="1"/>
  <c r="E530" i="3" s="1"/>
  <c r="E531" i="3" s="1"/>
  <c r="E532" i="3" s="1"/>
  <c r="E533" i="3" s="1"/>
  <c r="E534" i="3" s="1"/>
  <c r="E535" i="3" s="1"/>
  <c r="E536" i="3" s="1"/>
  <c r="E537" i="3" s="1"/>
  <c r="E538" i="3" s="1"/>
  <c r="E539" i="3" s="1"/>
  <c r="E540" i="3" s="1"/>
  <c r="E541" i="3" s="1"/>
  <c r="E542" i="3" s="1"/>
  <c r="E543" i="3" s="1"/>
  <c r="E544" i="3" s="1"/>
  <c r="E545" i="3" s="1"/>
  <c r="E546" i="3" s="1"/>
  <c r="E547" i="3" s="1"/>
  <c r="E548" i="3" s="1"/>
  <c r="E549" i="3" s="1"/>
  <c r="E550" i="3" s="1"/>
  <c r="E551" i="3" s="1"/>
  <c r="E552" i="3" s="1"/>
  <c r="E553" i="3" s="1"/>
  <c r="E554" i="3" s="1"/>
  <c r="E555" i="3" s="1"/>
  <c r="E556" i="3" s="1"/>
  <c r="E557" i="3" s="1"/>
  <c r="E558" i="3" s="1"/>
  <c r="E559" i="3" s="1"/>
  <c r="E560" i="3" s="1"/>
  <c r="E561" i="3" s="1"/>
  <c r="E562" i="3" s="1"/>
  <c r="E563" i="3" s="1"/>
  <c r="E564" i="3" s="1"/>
  <c r="E565" i="3" s="1"/>
  <c r="E566" i="3" s="1"/>
  <c r="E567" i="3" s="1"/>
  <c r="E568" i="3" s="1"/>
  <c r="E569" i="3" s="1"/>
  <c r="E570" i="3" s="1"/>
  <c r="E571" i="3" s="1"/>
  <c r="E572" i="3" s="1"/>
  <c r="E573" i="3" s="1"/>
  <c r="E574" i="3" s="1"/>
  <c r="E575" i="3" s="1"/>
  <c r="E576" i="3" s="1"/>
  <c r="E577" i="3" s="1"/>
  <c r="E578" i="3" s="1"/>
  <c r="E579" i="3" s="1"/>
  <c r="E580" i="3" s="1"/>
  <c r="E581" i="3" s="1"/>
  <c r="E582" i="3" s="1"/>
  <c r="E583" i="3" s="1"/>
  <c r="E584" i="3" s="1"/>
  <c r="E585" i="3" s="1"/>
  <c r="E586" i="3" s="1"/>
  <c r="E587" i="3" s="1"/>
  <c r="E588" i="3" s="1"/>
  <c r="E589" i="3" s="1"/>
  <c r="E590" i="3" s="1"/>
  <c r="E591" i="3" s="1"/>
  <c r="E592" i="3" s="1"/>
  <c r="E593" i="3" s="1"/>
  <c r="E594" i="3" s="1"/>
  <c r="E595" i="3" s="1"/>
  <c r="E596" i="3" s="1"/>
  <c r="E597" i="3" s="1"/>
  <c r="E598" i="3" s="1"/>
  <c r="E599" i="3" s="1"/>
  <c r="E600" i="3" s="1"/>
  <c r="E601" i="3" s="1"/>
  <c r="E602" i="3" s="1"/>
  <c r="E603" i="3" s="1"/>
  <c r="E604" i="3" s="1"/>
  <c r="E605" i="3" s="1"/>
  <c r="E606" i="3" s="1"/>
  <c r="E607" i="3" s="1"/>
  <c r="E608" i="3" s="1"/>
  <c r="E609" i="3" s="1"/>
  <c r="E610" i="3" s="1"/>
  <c r="E611" i="3" s="1"/>
  <c r="E612" i="3" s="1"/>
  <c r="E613" i="3" s="1"/>
  <c r="E614" i="3" s="1"/>
  <c r="E615" i="3" s="1"/>
  <c r="E616" i="3" s="1"/>
  <c r="E617" i="3" s="1"/>
  <c r="E618" i="3" s="1"/>
  <c r="E619" i="3" s="1"/>
  <c r="E620" i="3" s="1"/>
  <c r="E621" i="3" s="1"/>
  <c r="E622" i="3" s="1"/>
  <c r="E623" i="3" s="1"/>
  <c r="E624" i="3" s="1"/>
  <c r="E625" i="3" s="1"/>
  <c r="E626" i="3" s="1"/>
  <c r="E627" i="3" s="1"/>
  <c r="E628" i="3" s="1"/>
  <c r="E629" i="3" s="1"/>
  <c r="E630" i="3" s="1"/>
  <c r="E631" i="3" s="1"/>
  <c r="E632" i="3" s="1"/>
  <c r="E633" i="3" s="1"/>
  <c r="E634" i="3" s="1"/>
  <c r="E635" i="3" s="1"/>
  <c r="E636" i="3" s="1"/>
  <c r="E637" i="3" s="1"/>
  <c r="E638" i="3" s="1"/>
  <c r="E639" i="3" s="1"/>
  <c r="E640" i="3" s="1"/>
  <c r="E641" i="3" s="1"/>
  <c r="E642" i="3" s="1"/>
  <c r="E643" i="3" s="1"/>
  <c r="E644" i="3" s="1"/>
  <c r="E645" i="3" s="1"/>
  <c r="E646" i="3" s="1"/>
  <c r="E647" i="3" s="1"/>
  <c r="E648" i="3" s="1"/>
  <c r="E649" i="3" s="1"/>
  <c r="E650" i="3" s="1"/>
  <c r="E651" i="3" s="1"/>
  <c r="E652" i="3" s="1"/>
  <c r="E653" i="3" s="1"/>
  <c r="E654" i="3" s="1"/>
  <c r="E655" i="3" s="1"/>
  <c r="E656" i="3" s="1"/>
  <c r="E657" i="3" s="1"/>
  <c r="E658" i="3" s="1"/>
  <c r="E659" i="3" s="1"/>
  <c r="E660" i="3" s="1"/>
  <c r="E661" i="3" s="1"/>
  <c r="E662" i="3" s="1"/>
  <c r="E663" i="3" s="1"/>
  <c r="E664" i="3" s="1"/>
  <c r="E665" i="3" s="1"/>
  <c r="E666" i="3" s="1"/>
  <c r="E667" i="3" s="1"/>
  <c r="E668" i="3" s="1"/>
  <c r="E669" i="3" s="1"/>
  <c r="E670" i="3" s="1"/>
  <c r="E671" i="3" s="1"/>
  <c r="E672" i="3" s="1"/>
  <c r="E673" i="3" s="1"/>
  <c r="E674" i="3" s="1"/>
  <c r="E675" i="3" s="1"/>
  <c r="E676" i="3" s="1"/>
  <c r="E677" i="3" s="1"/>
  <c r="E678" i="3" s="1"/>
  <c r="E679" i="3" s="1"/>
  <c r="E680" i="3" s="1"/>
  <c r="E681" i="3" s="1"/>
  <c r="E682" i="3" s="1"/>
  <c r="E683" i="3" s="1"/>
  <c r="E684" i="3" s="1"/>
  <c r="E685" i="3" s="1"/>
  <c r="E686" i="3" s="1"/>
  <c r="E687" i="3" s="1"/>
  <c r="E688" i="3" s="1"/>
  <c r="E689" i="3" s="1"/>
  <c r="E690" i="3" s="1"/>
  <c r="E691" i="3" s="1"/>
  <c r="E692" i="3" s="1"/>
  <c r="E693" i="3" s="1"/>
  <c r="E694" i="3" s="1"/>
  <c r="E695" i="3" s="1"/>
  <c r="E696" i="3" s="1"/>
  <c r="E697" i="3" s="1"/>
  <c r="E698" i="3" s="1"/>
  <c r="E699" i="3" s="1"/>
  <c r="E700" i="3" s="1"/>
  <c r="E701" i="3" s="1"/>
  <c r="E702" i="3" s="1"/>
  <c r="E703" i="3" s="1"/>
  <c r="E704" i="3" s="1"/>
  <c r="E705" i="3" s="1"/>
  <c r="E706" i="3" s="1"/>
  <c r="E707" i="3" s="1"/>
  <c r="E708" i="3" s="1"/>
  <c r="E709" i="3" s="1"/>
  <c r="E710" i="3" s="1"/>
  <c r="E711" i="3" s="1"/>
  <c r="E712" i="3" s="1"/>
  <c r="E713" i="3" s="1"/>
  <c r="E714" i="3" s="1"/>
  <c r="E715" i="3" s="1"/>
  <c r="E716" i="3" s="1"/>
  <c r="E717" i="3" s="1"/>
  <c r="E718" i="3" s="1"/>
  <c r="E719" i="3" s="1"/>
  <c r="E720" i="3" s="1"/>
  <c r="E721" i="3" s="1"/>
  <c r="E722" i="3" s="1"/>
  <c r="E723" i="3" s="1"/>
  <c r="E724" i="3" s="1"/>
  <c r="E725" i="3" s="1"/>
  <c r="E726" i="3" s="1"/>
  <c r="E727" i="3" s="1"/>
  <c r="E728" i="3" s="1"/>
  <c r="E729" i="3" s="1"/>
  <c r="E730" i="3" s="1"/>
  <c r="E731" i="3" s="1"/>
  <c r="E732" i="3" s="1"/>
  <c r="E733" i="3" s="1"/>
  <c r="E734" i="3" s="1"/>
  <c r="E735" i="3" s="1"/>
  <c r="E736" i="3" s="1"/>
  <c r="E737" i="3" s="1"/>
  <c r="E738" i="3" s="1"/>
  <c r="E739" i="3" s="1"/>
  <c r="E740" i="3" s="1"/>
  <c r="E741" i="3" s="1"/>
  <c r="E742" i="3" s="1"/>
  <c r="E743" i="3" s="1"/>
  <c r="E744" i="3" s="1"/>
  <c r="E745" i="3" s="1"/>
  <c r="E746" i="3" s="1"/>
  <c r="E747" i="3" s="1"/>
  <c r="E748" i="3" s="1"/>
  <c r="E749" i="3" s="1"/>
  <c r="E750" i="3" s="1"/>
  <c r="E751" i="3" s="1"/>
  <c r="E752" i="3" s="1"/>
  <c r="E753" i="3" s="1"/>
  <c r="E754" i="3" s="1"/>
  <c r="E755" i="3" s="1"/>
  <c r="E756" i="3" s="1"/>
  <c r="E757" i="3" s="1"/>
  <c r="E758" i="3" s="1"/>
  <c r="E759" i="3" s="1"/>
  <c r="E760" i="3" s="1"/>
  <c r="E761" i="3" s="1"/>
  <c r="E762" i="3" s="1"/>
  <c r="E763" i="3" s="1"/>
  <c r="E764" i="3" s="1"/>
  <c r="E765" i="3" s="1"/>
  <c r="E766" i="3" s="1"/>
  <c r="E767" i="3" s="1"/>
  <c r="E768" i="3" s="1"/>
  <c r="E769" i="3" s="1"/>
  <c r="E770" i="3" s="1"/>
  <c r="E771" i="3" s="1"/>
  <c r="E772" i="3" s="1"/>
  <c r="E773" i="3" s="1"/>
  <c r="E774" i="3" s="1"/>
  <c r="E775" i="3" s="1"/>
  <c r="E776" i="3" s="1"/>
  <c r="E777" i="3" s="1"/>
  <c r="E778" i="3" s="1"/>
  <c r="E779" i="3" s="1"/>
  <c r="E780" i="3" s="1"/>
  <c r="E781" i="3" s="1"/>
  <c r="E782" i="3" s="1"/>
  <c r="E783" i="3" s="1"/>
  <c r="E784" i="3" s="1"/>
  <c r="E785" i="3" s="1"/>
  <c r="E786" i="3" s="1"/>
  <c r="E787" i="3" s="1"/>
  <c r="E788" i="3" s="1"/>
  <c r="E789" i="3" s="1"/>
  <c r="E790" i="3" s="1"/>
  <c r="E791" i="3" s="1"/>
  <c r="E792" i="3" s="1"/>
  <c r="E793" i="3" s="1"/>
  <c r="E794" i="3" s="1"/>
  <c r="E795" i="3" s="1"/>
  <c r="E796" i="3" s="1"/>
  <c r="E797" i="3" s="1"/>
  <c r="E798" i="3" s="1"/>
  <c r="E799" i="3" s="1"/>
  <c r="E800" i="3" s="1"/>
  <c r="E801" i="3" s="1"/>
  <c r="E802" i="3" s="1"/>
  <c r="E803" i="3" s="1"/>
  <c r="E804" i="3" s="1"/>
  <c r="E805" i="3" s="1"/>
  <c r="E806" i="3" s="1"/>
  <c r="E807" i="3" s="1"/>
  <c r="E808" i="3" s="1"/>
  <c r="E809" i="3" s="1"/>
  <c r="E810" i="3" s="1"/>
  <c r="E811" i="3" s="1"/>
  <c r="E812" i="3" s="1"/>
  <c r="E813" i="3" s="1"/>
  <c r="E814" i="3" s="1"/>
  <c r="E815" i="3" s="1"/>
  <c r="E816" i="3" s="1"/>
  <c r="E817" i="3" s="1"/>
  <c r="E818" i="3" s="1"/>
  <c r="E819" i="3" s="1"/>
  <c r="E820" i="3" s="1"/>
  <c r="E821" i="3" s="1"/>
  <c r="E822" i="3" s="1"/>
  <c r="E823" i="3" s="1"/>
  <c r="E824" i="3" s="1"/>
  <c r="E825" i="3" s="1"/>
  <c r="E826" i="3" s="1"/>
  <c r="E827" i="3" s="1"/>
  <c r="E828" i="3" s="1"/>
  <c r="E829" i="3" s="1"/>
  <c r="E830" i="3" s="1"/>
  <c r="E831" i="3" s="1"/>
  <c r="E832" i="3" s="1"/>
  <c r="E833" i="3" s="1"/>
  <c r="E834" i="3" s="1"/>
  <c r="E835" i="3" s="1"/>
  <c r="E836" i="3" s="1"/>
  <c r="E837" i="3" s="1"/>
  <c r="E838" i="3" s="1"/>
  <c r="E839" i="3" s="1"/>
  <c r="E840" i="3" s="1"/>
  <c r="E841" i="3" s="1"/>
  <c r="E842" i="3" s="1"/>
  <c r="E843" i="3" s="1"/>
  <c r="E844" i="3" s="1"/>
  <c r="E845" i="3" s="1"/>
  <c r="E846" i="3" s="1"/>
  <c r="E847" i="3" s="1"/>
  <c r="E848" i="3" s="1"/>
  <c r="E849" i="3" s="1"/>
  <c r="E850" i="3" s="1"/>
  <c r="E851" i="3" s="1"/>
  <c r="E852" i="3" s="1"/>
  <c r="E853" i="3" s="1"/>
  <c r="E854" i="3" s="1"/>
  <c r="E855" i="3" s="1"/>
  <c r="E856" i="3" s="1"/>
  <c r="E857" i="3" s="1"/>
  <c r="E858" i="3" s="1"/>
  <c r="E859" i="3" s="1"/>
  <c r="E860" i="3" s="1"/>
  <c r="E861" i="3" s="1"/>
  <c r="E862" i="3" s="1"/>
  <c r="E863" i="3" s="1"/>
  <c r="E864" i="3" s="1"/>
  <c r="E865" i="3" s="1"/>
  <c r="E866" i="3" s="1"/>
  <c r="E867" i="3" s="1"/>
  <c r="E868" i="3" s="1"/>
  <c r="E869" i="3" s="1"/>
  <c r="E870" i="3" s="1"/>
  <c r="E871" i="3" s="1"/>
  <c r="E872" i="3" s="1"/>
  <c r="E873" i="3" s="1"/>
  <c r="E874" i="3" s="1"/>
  <c r="E875" i="3" s="1"/>
  <c r="E876" i="3" s="1"/>
  <c r="E877" i="3" s="1"/>
  <c r="E878" i="3" s="1"/>
  <c r="E879" i="3" s="1"/>
  <c r="E880" i="3" s="1"/>
  <c r="E881" i="3" s="1"/>
  <c r="E882" i="3" s="1"/>
  <c r="E883" i="3" s="1"/>
  <c r="E884" i="3" s="1"/>
  <c r="E885" i="3" s="1"/>
  <c r="E886" i="3" s="1"/>
  <c r="E887" i="3" s="1"/>
  <c r="E888" i="3" s="1"/>
  <c r="E889" i="3" s="1"/>
  <c r="E890" i="3" s="1"/>
  <c r="E891" i="3" s="1"/>
  <c r="E892" i="3" s="1"/>
  <c r="E893" i="3" s="1"/>
  <c r="E894" i="3" s="1"/>
  <c r="E895" i="3" s="1"/>
  <c r="E896" i="3" s="1"/>
  <c r="E897" i="3" s="1"/>
  <c r="E898" i="3" s="1"/>
  <c r="E899" i="3" s="1"/>
  <c r="E900" i="3" s="1"/>
  <c r="E901" i="3" s="1"/>
  <c r="E902" i="3" s="1"/>
  <c r="E903" i="3" s="1"/>
  <c r="E904" i="3" s="1"/>
  <c r="E905" i="3" s="1"/>
  <c r="E906" i="3" s="1"/>
  <c r="E907" i="3" s="1"/>
  <c r="E908" i="3" s="1"/>
  <c r="E909" i="3" s="1"/>
  <c r="E910" i="3" s="1"/>
  <c r="E911" i="3" s="1"/>
  <c r="E912" i="3" s="1"/>
  <c r="E913" i="3" s="1"/>
  <c r="E914" i="3" s="1"/>
  <c r="E915" i="3" s="1"/>
  <c r="E916" i="3" s="1"/>
  <c r="E917" i="3" s="1"/>
  <c r="E918" i="3" s="1"/>
  <c r="E919" i="3" s="1"/>
  <c r="E920" i="3" s="1"/>
  <c r="E921" i="3" s="1"/>
  <c r="E922" i="3" s="1"/>
  <c r="E923" i="3" s="1"/>
  <c r="E924" i="3" s="1"/>
  <c r="E925" i="3" s="1"/>
  <c r="E926" i="3" s="1"/>
  <c r="E927" i="3" s="1"/>
  <c r="E928" i="3" s="1"/>
  <c r="E929" i="3" s="1"/>
  <c r="E930" i="3" s="1"/>
  <c r="E931" i="3" s="1"/>
  <c r="E932" i="3" s="1"/>
  <c r="E933" i="3" s="1"/>
  <c r="E934" i="3" s="1"/>
  <c r="E935" i="3" s="1"/>
  <c r="E936" i="3" s="1"/>
  <c r="E937" i="3" s="1"/>
  <c r="E938" i="3" s="1"/>
  <c r="E939" i="3" s="1"/>
  <c r="E940" i="3" s="1"/>
  <c r="E941" i="3" s="1"/>
  <c r="E942" i="3" s="1"/>
  <c r="E943" i="3" s="1"/>
  <c r="E944" i="3" s="1"/>
  <c r="E945" i="3" s="1"/>
  <c r="E946" i="3" s="1"/>
  <c r="E947" i="3" s="1"/>
  <c r="E948" i="3" s="1"/>
  <c r="E949" i="3" s="1"/>
  <c r="E950" i="3" s="1"/>
  <c r="E951" i="3" s="1"/>
  <c r="E952" i="3" s="1"/>
  <c r="E953" i="3" s="1"/>
  <c r="E954" i="3" s="1"/>
  <c r="E955" i="3" s="1"/>
  <c r="E956" i="3" s="1"/>
  <c r="E957" i="3" s="1"/>
  <c r="E958" i="3" s="1"/>
  <c r="E959" i="3" s="1"/>
  <c r="E960" i="3" s="1"/>
  <c r="E961" i="3" s="1"/>
  <c r="E962" i="3" s="1"/>
  <c r="E963" i="3" s="1"/>
  <c r="E964" i="3" s="1"/>
  <c r="E965" i="3" s="1"/>
  <c r="E966" i="3" s="1"/>
  <c r="E967" i="3" s="1"/>
  <c r="E968" i="3" s="1"/>
  <c r="E969" i="3" s="1"/>
  <c r="E970" i="3" s="1"/>
  <c r="E971" i="3" s="1"/>
  <c r="E972" i="3" s="1"/>
  <c r="E973" i="3" s="1"/>
  <c r="E974" i="3" s="1"/>
  <c r="E975" i="3" s="1"/>
  <c r="E976" i="3" s="1"/>
  <c r="E977" i="3" s="1"/>
  <c r="E978" i="3" s="1"/>
  <c r="E979" i="3" s="1"/>
  <c r="E980" i="3" s="1"/>
  <c r="E981" i="3" s="1"/>
  <c r="E982" i="3" s="1"/>
  <c r="E983" i="3" s="1"/>
  <c r="E984" i="3" s="1"/>
  <c r="E985" i="3" s="1"/>
  <c r="E986" i="3" s="1"/>
  <c r="E987" i="3" s="1"/>
  <c r="E988" i="3" s="1"/>
  <c r="E989" i="3" s="1"/>
  <c r="E990" i="3" s="1"/>
  <c r="E991" i="3" s="1"/>
  <c r="E992" i="3" s="1"/>
  <c r="E993" i="3" s="1"/>
  <c r="E994" i="3" s="1"/>
  <c r="E995" i="3" s="1"/>
  <c r="E996" i="3" s="1"/>
  <c r="E997" i="3" s="1"/>
  <c r="E998" i="3" s="1"/>
  <c r="E999" i="3" s="1"/>
  <c r="E1000" i="3" s="1"/>
  <c r="E1001" i="3" s="1"/>
  <c r="E1002" i="3" s="1"/>
  <c r="E1003" i="3" s="1"/>
  <c r="E1004" i="3" s="1"/>
  <c r="E1005" i="3" s="1"/>
  <c r="E1006" i="3" s="1"/>
  <c r="E1007" i="3" s="1"/>
  <c r="E1008" i="3" s="1"/>
  <c r="E1009" i="3" s="1"/>
  <c r="E1010" i="3" s="1"/>
  <c r="E1011" i="3" s="1"/>
  <c r="E1012" i="3" s="1"/>
  <c r="E1013" i="3" s="1"/>
  <c r="E1014" i="3" s="1"/>
  <c r="E1015" i="3" s="1"/>
  <c r="E1016" i="3" s="1"/>
  <c r="E1017" i="3" s="1"/>
  <c r="E1018" i="3" s="1"/>
  <c r="E1019" i="3" s="1"/>
  <c r="E1020" i="3" s="1"/>
  <c r="E1021" i="3" s="1"/>
  <c r="E1022" i="3" s="1"/>
  <c r="E1023" i="3" s="1"/>
  <c r="E1024" i="3" s="1"/>
  <c r="E1025" i="3" s="1"/>
  <c r="E1026" i="3" s="1"/>
  <c r="E1027" i="3" s="1"/>
  <c r="E1028" i="3" s="1"/>
  <c r="E1029" i="3" s="1"/>
  <c r="E1030" i="3" s="1"/>
  <c r="E1031" i="3" s="1"/>
  <c r="E1032" i="3" s="1"/>
  <c r="E1033" i="3" s="1"/>
  <c r="E1034" i="3" s="1"/>
  <c r="E1035" i="3" s="1"/>
  <c r="E1036" i="3" s="1"/>
  <c r="E1037" i="3" s="1"/>
  <c r="E1038" i="3" s="1"/>
  <c r="E1039" i="3" s="1"/>
  <c r="E1040" i="3" s="1"/>
  <c r="E1041" i="3" s="1"/>
  <c r="E1042" i="3" s="1"/>
  <c r="E1043" i="3" s="1"/>
  <c r="E1044" i="3" s="1"/>
  <c r="E1045" i="3" s="1"/>
  <c r="E1046" i="3" s="1"/>
  <c r="E1047" i="3" s="1"/>
  <c r="E1048" i="3" s="1"/>
  <c r="E1049" i="3" s="1"/>
  <c r="E1050" i="3" s="1"/>
  <c r="E1051" i="3" s="1"/>
  <c r="E1052" i="3" s="1"/>
  <c r="E1053" i="3" s="1"/>
  <c r="E1054" i="3" s="1"/>
  <c r="E1055" i="3" s="1"/>
  <c r="E1056" i="3" s="1"/>
  <c r="E1057" i="3" s="1"/>
  <c r="E1058" i="3" s="1"/>
  <c r="E1059" i="3" s="1"/>
  <c r="E1060" i="3" s="1"/>
  <c r="E1061" i="3" s="1"/>
  <c r="E1062" i="3" s="1"/>
  <c r="E1063" i="3" s="1"/>
  <c r="E1064" i="3" s="1"/>
  <c r="E1065" i="3" s="1"/>
  <c r="E1066" i="3" s="1"/>
  <c r="E1067" i="3" s="1"/>
  <c r="E1068" i="3" s="1"/>
  <c r="E1069" i="3" s="1"/>
  <c r="E1070" i="3" s="1"/>
  <c r="E1071" i="3" s="1"/>
  <c r="E1072" i="3" s="1"/>
  <c r="E1073" i="3" s="1"/>
  <c r="E1074" i="3" s="1"/>
  <c r="E1075" i="3" s="1"/>
  <c r="E1076" i="3" s="1"/>
  <c r="E1077" i="3" s="1"/>
  <c r="E1078" i="3" s="1"/>
  <c r="E1079" i="3" s="1"/>
  <c r="E1080" i="3" s="1"/>
  <c r="E1081" i="3" s="1"/>
  <c r="E1082" i="3" s="1"/>
  <c r="E1083" i="3" s="1"/>
  <c r="E1084" i="3" s="1"/>
  <c r="E1085" i="3" s="1"/>
  <c r="E1086" i="3" s="1"/>
  <c r="E1087" i="3" s="1"/>
  <c r="E1088" i="3" s="1"/>
  <c r="E1089" i="3" s="1"/>
  <c r="E1090" i="3" s="1"/>
  <c r="E1091" i="3" s="1"/>
  <c r="E1092" i="3" s="1"/>
  <c r="E1093" i="3" s="1"/>
  <c r="E1094" i="3" s="1"/>
  <c r="E1095" i="3" s="1"/>
  <c r="E1096" i="3" s="1"/>
  <c r="E1097" i="3" s="1"/>
  <c r="E1098" i="3" s="1"/>
  <c r="E1099" i="3" s="1"/>
  <c r="E1100" i="3" s="1"/>
  <c r="E1101" i="3" s="1"/>
  <c r="E1102" i="3" s="1"/>
  <c r="E1103" i="3" s="1"/>
  <c r="E1104" i="3" s="1"/>
  <c r="E1105" i="3" s="1"/>
  <c r="E1106" i="3" s="1"/>
  <c r="E1107" i="3" s="1"/>
  <c r="E1108" i="3" s="1"/>
  <c r="E1109" i="3" s="1"/>
  <c r="E1110" i="3" s="1"/>
  <c r="E1111" i="3" s="1"/>
  <c r="E1112" i="3" s="1"/>
  <c r="E1113" i="3" s="1"/>
  <c r="E1114" i="3" s="1"/>
  <c r="E1115" i="3" s="1"/>
  <c r="E1116" i="3" s="1"/>
  <c r="E1117" i="3" s="1"/>
  <c r="E1118" i="3" s="1"/>
  <c r="E1119" i="3" s="1"/>
  <c r="E3" i="3"/>
  <c r="E4" i="3"/>
  <c r="E5" i="3"/>
  <c r="E6" i="3" s="1"/>
  <c r="E7" i="3"/>
  <c r="E8" i="3"/>
  <c r="E9" i="3"/>
  <c r="E10" i="3"/>
  <c r="E11" i="3"/>
  <c r="E12" i="3"/>
  <c r="E13" i="3"/>
  <c r="E14" i="3"/>
  <c r="E15" i="3"/>
  <c r="E16" i="3"/>
  <c r="E17" i="3"/>
  <c r="E18" i="3"/>
  <c r="E19" i="3"/>
  <c r="E20" i="3"/>
  <c r="E21" i="3"/>
  <c r="E22" i="3"/>
  <c r="E23" i="3"/>
  <c r="E24" i="3"/>
  <c r="E25" i="3"/>
  <c r="E26" i="3"/>
  <c r="E27" i="3"/>
  <c r="E28" i="3"/>
  <c r="E29" i="3"/>
  <c r="E30" i="3"/>
  <c r="E31" i="3"/>
  <c r="E32" i="3"/>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2" i="9"/>
  <c r="E2" i="7"/>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1" i="7"/>
  <c r="AA8" i="21" a="1"/>
  <c r="M8" i="21" a="1"/>
  <c r="B8" i="21" a="1"/>
  <c r="J8" i="21" a="1"/>
  <c r="R8" i="21" a="1"/>
  <c r="F8" i="21" a="1"/>
  <c r="N8" i="21" a="1"/>
  <c r="Q8" i="21" a="1"/>
  <c r="Y8" i="21" a="1"/>
  <c r="W8" i="21" a="1"/>
  <c r="X8" i="21" a="1"/>
  <c r="E8" i="21" a="1"/>
  <c r="S8" i="21" a="1"/>
  <c r="I8" i="21" a="1"/>
  <c r="O8" i="21" a="1"/>
  <c r="U8" i="21" a="1"/>
  <c r="D8" i="21" a="1"/>
  <c r="Z8" i="21" a="1"/>
  <c r="G8" i="21" a="1"/>
  <c r="H8" i="21" a="1"/>
  <c r="K8" i="21" a="1"/>
  <c r="C8" i="21" a="1"/>
  <c r="L8" i="21" a="1"/>
  <c r="AD8" i="21" a="1"/>
  <c r="AC8" i="21" a="1"/>
  <c r="V8" i="21" a="1"/>
  <c r="P8" i="21" a="1"/>
  <c r="AE8" i="21" a="1"/>
  <c r="T8" i="21" a="1"/>
  <c r="AB8" i="21" a="1"/>
  <c r="E16" i="21" a="1"/>
  <c r="N16" i="21" a="1"/>
  <c r="H16" i="21" a="1"/>
  <c r="AC16" i="21" a="1"/>
  <c r="R16" i="21" a="1"/>
  <c r="S16" i="21" a="1"/>
  <c r="W16" i="21" a="1"/>
  <c r="G16" i="21" a="1"/>
  <c r="P16" i="21" a="1"/>
  <c r="I16" i="21" a="1"/>
  <c r="Z16" i="21" a="1"/>
  <c r="J16" i="21" a="1"/>
  <c r="T16" i="21" a="1"/>
  <c r="K16" i="21" a="1"/>
  <c r="Y16" i="21" a="1"/>
  <c r="D16" i="21" a="1"/>
  <c r="L16" i="21" a="1"/>
  <c r="AB16" i="21" a="1"/>
  <c r="M16" i="21" a="1"/>
  <c r="U16" i="21" a="1"/>
  <c r="Q16" i="21" a="1"/>
  <c r="V16" i="21" a="1"/>
  <c r="C16" i="21" a="1"/>
  <c r="B16" i="21" a="1"/>
  <c r="AE16" i="21" a="1"/>
  <c r="O16" i="21" a="1"/>
  <c r="AD16" i="21" a="1"/>
  <c r="X16" i="21" a="1"/>
  <c r="AA16" i="21" a="1"/>
  <c r="F16" i="21" a="1"/>
  <c r="AE24" i="21" a="1"/>
  <c r="W24" i="21" a="1"/>
  <c r="N24" i="21" a="1"/>
  <c r="Z24" i="21" a="1"/>
  <c r="M24" i="21" a="1"/>
  <c r="P24" i="21" a="1"/>
  <c r="S24" i="21" a="1"/>
  <c r="AD24" i="21" a="1"/>
  <c r="C24" i="21" a="1"/>
  <c r="T24" i="21" a="1"/>
  <c r="X24" i="21" a="1"/>
  <c r="AC24" i="21" a="1"/>
  <c r="K24" i="21" a="1"/>
  <c r="Q24" i="21" a="1"/>
  <c r="J24" i="21" a="1"/>
  <c r="V24" i="21" a="1"/>
  <c r="Y24" i="21" a="1"/>
  <c r="B24" i="21" a="1"/>
  <c r="O24" i="21" a="1"/>
  <c r="AA24" i="21" a="1"/>
  <c r="I24" i="21" a="1"/>
  <c r="G24" i="21" a="1"/>
  <c r="U24" i="21" a="1"/>
  <c r="L24" i="21" a="1"/>
  <c r="AB24" i="21" a="1"/>
  <c r="D24" i="21" a="1"/>
  <c r="R24" i="21" a="1"/>
  <c r="E24" i="21" a="1"/>
  <c r="F24" i="21" a="1"/>
  <c r="H24" i="21" a="1"/>
  <c r="I32" i="21" a="1"/>
  <c r="G32" i="21" a="1"/>
  <c r="E32" i="21" a="1"/>
  <c r="V32" i="21" a="1"/>
  <c r="C32" i="21" a="1"/>
  <c r="Z32" i="21" a="1"/>
  <c r="H32" i="21" a="1"/>
  <c r="U32" i="21" a="1"/>
  <c r="R32" i="21" a="1"/>
  <c r="L32" i="21" a="1"/>
  <c r="Q32" i="21" a="1"/>
  <c r="AA32" i="21" a="1"/>
  <c r="N32" i="21" a="1"/>
  <c r="B32" i="21" a="1"/>
  <c r="D32" i="21" a="1"/>
  <c r="K32" i="21" a="1"/>
  <c r="W32" i="21" a="1"/>
  <c r="M32" i="21" a="1"/>
  <c r="P32" i="21" a="1"/>
  <c r="O32" i="21" a="1"/>
  <c r="T32" i="21" a="1"/>
  <c r="X32" i="21" a="1"/>
  <c r="AC32" i="21" a="1"/>
  <c r="AB32" i="21" a="1"/>
  <c r="J32" i="21" a="1"/>
  <c r="AD32" i="21" a="1"/>
  <c r="AE32" i="21" a="1"/>
  <c r="Y32" i="21" a="1"/>
  <c r="S32" i="21" a="1"/>
  <c r="F32" i="21" a="1"/>
  <c r="K39" i="21" a="1"/>
  <c r="J39" i="21" a="1"/>
  <c r="N39" i="21" a="1"/>
  <c r="V39" i="21" a="1"/>
  <c r="M39" i="21" a="1"/>
  <c r="X39" i="21" a="1"/>
  <c r="U39" i="21" a="1"/>
  <c r="T39" i="21" a="1"/>
  <c r="R39" i="21" a="1"/>
  <c r="AC39" i="21" a="1"/>
  <c r="AD39" i="21" a="1"/>
  <c r="P39" i="21" a="1"/>
  <c r="AE39" i="21" a="1"/>
  <c r="E39" i="21" a="1"/>
  <c r="Y39" i="21" a="1"/>
  <c r="D39" i="21" a="1"/>
  <c r="F39" i="21" a="1"/>
  <c r="AA39" i="21" a="1"/>
  <c r="Q39" i="21" a="1"/>
  <c r="Z39" i="21" a="1"/>
  <c r="I39" i="21" a="1"/>
  <c r="G39" i="21" a="1"/>
  <c r="W39" i="21" a="1"/>
  <c r="S39" i="21" a="1"/>
  <c r="AB39" i="21" a="1"/>
  <c r="B39" i="21" a="1"/>
  <c r="C39" i="21" a="1"/>
  <c r="O39" i="21" a="1"/>
  <c r="H39" i="21" a="1"/>
  <c r="L39" i="21" a="1"/>
  <c r="M47" i="21" a="1"/>
  <c r="V47" i="21" a="1"/>
  <c r="H47" i="21" a="1"/>
  <c r="AA47" i="21" a="1"/>
  <c r="R47" i="21" a="1"/>
  <c r="S47" i="21" a="1"/>
  <c r="U47" i="21" a="1"/>
  <c r="F47" i="21" a="1"/>
  <c r="X47" i="21" a="1"/>
  <c r="D47" i="21" a="1"/>
  <c r="O47" i="21" a="1"/>
  <c r="B47" i="21" a="1"/>
  <c r="Z47" i="21" a="1"/>
  <c r="I47" i="21" a="1"/>
  <c r="K47" i="21" a="1"/>
  <c r="Q47" i="21" a="1"/>
  <c r="AB47" i="21" a="1"/>
  <c r="L47" i="21" a="1"/>
  <c r="AE47" i="21" a="1"/>
  <c r="T47" i="21" a="1"/>
  <c r="N47" i="21" a="1"/>
  <c r="Y47" i="21" a="1"/>
  <c r="P47" i="21" a="1"/>
  <c r="AD47" i="21" a="1"/>
  <c r="E47" i="21" a="1"/>
  <c r="G47" i="21" a="1"/>
  <c r="W47" i="21" a="1"/>
  <c r="C47" i="21" a="1"/>
  <c r="J47" i="21" a="1"/>
  <c r="AC47" i="21" a="1"/>
  <c r="AD55" i="21" a="1"/>
  <c r="AC55" i="21" a="1"/>
  <c r="Y55" i="21" a="1"/>
  <c r="N55" i="21" a="1"/>
  <c r="Q55" i="21" a="1"/>
  <c r="U55" i="21" a="1"/>
  <c r="P55" i="21" a="1"/>
  <c r="V55" i="21" a="1"/>
  <c r="S55" i="21" a="1"/>
  <c r="F55" i="21" a="1"/>
  <c r="C55" i="21" a="1"/>
  <c r="E55" i="21" a="1"/>
  <c r="T55" i="21" a="1"/>
  <c r="J55" i="21" a="1"/>
  <c r="R55" i="21" a="1"/>
  <c r="H55" i="21" a="1"/>
  <c r="L55" i="21" a="1"/>
  <c r="O55" i="21" a="1"/>
  <c r="K55" i="21" a="1"/>
  <c r="G55" i="21" a="1"/>
  <c r="D55" i="21" a="1"/>
  <c r="B55" i="21" a="1"/>
  <c r="X55" i="21" a="1"/>
  <c r="M55" i="21" a="1"/>
  <c r="AA55" i="21" a="1"/>
  <c r="W55" i="21" a="1"/>
  <c r="AB55" i="21" a="1"/>
  <c r="Z55" i="21" a="1"/>
  <c r="AE55" i="21" a="1"/>
  <c r="I55" i="21" a="1"/>
  <c r="AC62" i="21" a="1"/>
  <c r="Q62" i="21" a="1"/>
  <c r="H62" i="21" a="1"/>
  <c r="AB62" i="21" a="1"/>
  <c r="AE62" i="21" a="1"/>
  <c r="M62" i="21" a="1"/>
  <c r="O62" i="21" a="1"/>
  <c r="AA62" i="21" a="1"/>
  <c r="J62" i="21" a="1"/>
  <c r="B62" i="21" a="1"/>
  <c r="W62" i="21" a="1"/>
  <c r="X62" i="21" a="1"/>
  <c r="I62" i="21" a="1"/>
  <c r="R62" i="21" a="1"/>
  <c r="Z62" i="21" a="1"/>
  <c r="AD62" i="21" a="1"/>
  <c r="D62" i="21" a="1"/>
  <c r="K62" i="21" a="1"/>
  <c r="V62" i="21" a="1"/>
  <c r="S62" i="21" a="1"/>
  <c r="U62" i="21" a="1"/>
  <c r="G62" i="21" a="1"/>
  <c r="F62" i="21" a="1"/>
  <c r="C62" i="21" a="1"/>
  <c r="P62" i="21" a="1"/>
  <c r="Y62" i="21" a="1"/>
  <c r="E62" i="21" a="1"/>
  <c r="L62" i="21" a="1"/>
  <c r="T62" i="21" a="1"/>
  <c r="N62" i="21" a="1"/>
  <c r="AC70" i="21" a="1"/>
  <c r="G70" i="21" a="1"/>
  <c r="K70" i="21" a="1"/>
  <c r="N70" i="21" a="1"/>
  <c r="Y70" i="21" a="1"/>
  <c r="C70" i="21" a="1"/>
  <c r="X70" i="21" a="1"/>
  <c r="I70" i="21" a="1"/>
  <c r="S70" i="21" a="1"/>
  <c r="P70" i="21" a="1"/>
  <c r="Q70" i="21" a="1"/>
  <c r="AD70" i="21" a="1"/>
  <c r="L70" i="21" a="1"/>
  <c r="H70" i="21" a="1"/>
  <c r="T70" i="21" a="1"/>
  <c r="AB70" i="21" a="1"/>
  <c r="Z70" i="21" a="1"/>
  <c r="AE70" i="21" a="1"/>
  <c r="U70" i="21" a="1"/>
  <c r="B70" i="21" a="1"/>
  <c r="J70" i="21" a="1"/>
  <c r="D70" i="21" a="1"/>
  <c r="R70" i="21" a="1"/>
  <c r="E70" i="21" a="1"/>
  <c r="O70" i="21" a="1"/>
  <c r="AA70" i="21" a="1"/>
  <c r="F70" i="21" a="1"/>
  <c r="V70" i="21" a="1"/>
  <c r="M70" i="21" a="1"/>
  <c r="W70" i="21" a="1"/>
  <c r="P78" i="21" a="1"/>
  <c r="E78" i="21" a="1"/>
  <c r="L78" i="21" a="1"/>
  <c r="S78" i="21" a="1"/>
  <c r="W78" i="21" a="1"/>
  <c r="AB78" i="21" a="1"/>
  <c r="V78" i="21" a="1"/>
  <c r="J78" i="21" a="1"/>
  <c r="Y78" i="21" a="1"/>
  <c r="Z78" i="21" a="1"/>
  <c r="H78" i="21" a="1"/>
  <c r="D78" i="21" a="1"/>
  <c r="AC78" i="21" a="1"/>
  <c r="M78" i="21" a="1"/>
  <c r="N78" i="21" a="1"/>
  <c r="AA78" i="21" a="1"/>
  <c r="U78" i="21" a="1"/>
  <c r="T78" i="21" a="1"/>
  <c r="Q78" i="21" a="1"/>
  <c r="AD78" i="21" a="1"/>
  <c r="K78" i="21" a="1"/>
  <c r="O78" i="21" a="1"/>
  <c r="X78" i="21" a="1"/>
  <c r="R78" i="21" a="1"/>
  <c r="C78" i="21" a="1"/>
  <c r="B78" i="21" a="1"/>
  <c r="I78" i="21" a="1"/>
  <c r="AE78" i="21" a="1"/>
  <c r="F78" i="21" a="1"/>
  <c r="G78" i="21" a="1"/>
  <c r="J86" i="21" a="1"/>
  <c r="AC86" i="21" a="1"/>
  <c r="AB86" i="21" a="1"/>
  <c r="U86" i="21" a="1"/>
  <c r="AD86" i="21" a="1"/>
  <c r="M86" i="21" a="1"/>
  <c r="AE86" i="21" a="1"/>
  <c r="K86" i="21" a="1"/>
  <c r="S86" i="21" a="1"/>
  <c r="T86" i="21" a="1"/>
  <c r="X86" i="21" a="1"/>
  <c r="C86" i="21" a="1"/>
  <c r="Q86" i="21" a="1"/>
  <c r="Z86" i="21" a="1"/>
  <c r="L86" i="21" a="1"/>
  <c r="E86" i="21" a="1"/>
  <c r="G86" i="21" a="1"/>
  <c r="W86" i="21" a="1"/>
  <c r="P86" i="21" a="1"/>
  <c r="F86" i="21" a="1"/>
  <c r="B86" i="21" a="1"/>
  <c r="O86" i="21" a="1"/>
  <c r="AA86" i="21" a="1"/>
  <c r="H86" i="21" a="1"/>
  <c r="D86" i="21" a="1"/>
  <c r="R86" i="21" a="1"/>
  <c r="Y86" i="21" a="1"/>
  <c r="V86" i="21" a="1"/>
  <c r="I86" i="21" a="1"/>
  <c r="N86" i="21" a="1"/>
  <c r="Z94" i="21" a="1"/>
  <c r="AD94" i="21" a="1"/>
  <c r="Y94" i="21" a="1"/>
  <c r="T94" i="21" a="1"/>
  <c r="U94" i="21" a="1"/>
  <c r="AC94" i="21" a="1"/>
  <c r="H94" i="21" a="1"/>
  <c r="P94" i="21" a="1"/>
  <c r="F94" i="21" a="1"/>
  <c r="S94" i="21" a="1"/>
  <c r="E94" i="21" a="1"/>
  <c r="Q94" i="21" a="1"/>
  <c r="R94" i="21" a="1"/>
  <c r="AA94" i="21" a="1"/>
  <c r="W94" i="21" a="1"/>
  <c r="O94" i="21" a="1"/>
  <c r="V94" i="21" a="1"/>
  <c r="X94" i="21" a="1"/>
  <c r="AB94" i="21" a="1"/>
  <c r="L94" i="21" a="1"/>
  <c r="C94" i="21" a="1"/>
  <c r="D94" i="21" a="1"/>
  <c r="B94" i="21" a="1"/>
  <c r="I94" i="21" a="1"/>
  <c r="AE94" i="21" a="1"/>
  <c r="M94" i="21" a="1"/>
  <c r="J94" i="21" a="1"/>
  <c r="K94" i="21" a="1"/>
  <c r="G94" i="21" a="1"/>
  <c r="N94" i="21" a="1"/>
  <c r="I102" i="21" a="1"/>
  <c r="AA102" i="21" a="1"/>
  <c r="Y102" i="21" a="1"/>
  <c r="F102" i="21" a="1"/>
  <c r="AC102" i="21" a="1"/>
  <c r="S102" i="21" a="1"/>
  <c r="X102" i="21" a="1"/>
  <c r="AD102" i="21" a="1"/>
  <c r="E102" i="21" a="1"/>
  <c r="AB102" i="21" a="1"/>
  <c r="G102" i="21" a="1"/>
  <c r="B102" i="21" a="1"/>
  <c r="W102" i="21" a="1"/>
  <c r="O102" i="21" a="1"/>
  <c r="K102" i="21" a="1"/>
  <c r="AE102" i="21" a="1"/>
  <c r="T102" i="21" a="1"/>
  <c r="H102" i="21" a="1"/>
  <c r="C102" i="21" a="1"/>
  <c r="M102" i="21" a="1"/>
  <c r="J102" i="21" a="1"/>
  <c r="L102" i="21" a="1"/>
  <c r="V102" i="21" a="1"/>
  <c r="U102" i="21" a="1"/>
  <c r="Q102" i="21" a="1"/>
  <c r="D102" i="21" a="1"/>
  <c r="P102" i="21" a="1"/>
  <c r="N102" i="21" a="1"/>
  <c r="Z102" i="21" a="1"/>
  <c r="R102" i="21" a="1"/>
  <c r="G60" i="21" a="1"/>
  <c r="W60" i="21" a="1"/>
  <c r="J60" i="21" a="1"/>
  <c r="H60" i="21" a="1"/>
  <c r="AA60" i="21" a="1"/>
  <c r="D60" i="21" a="1"/>
  <c r="I60" i="21" a="1"/>
  <c r="AE60" i="21" a="1"/>
  <c r="B60" i="21" a="1"/>
  <c r="T60" i="21" a="1"/>
  <c r="N60" i="21" a="1"/>
  <c r="F60" i="21" a="1"/>
  <c r="V60" i="21" a="1"/>
  <c r="Z60" i="21" a="1"/>
  <c r="M60" i="21" a="1"/>
  <c r="E60" i="21" a="1"/>
  <c r="C60" i="21" a="1"/>
  <c r="S60" i="21" a="1"/>
  <c r="O60" i="21" a="1"/>
  <c r="Q60" i="21" a="1"/>
  <c r="L60" i="21" a="1"/>
  <c r="K60" i="21" a="1"/>
  <c r="R60" i="21" a="1"/>
  <c r="Y60" i="21" a="1"/>
  <c r="X60" i="21" a="1"/>
  <c r="P60" i="21" a="1"/>
  <c r="AC60" i="21" a="1"/>
  <c r="U60" i="21" a="1"/>
  <c r="AD60" i="21" a="1"/>
  <c r="AB60" i="21" a="1"/>
  <c r="E75" i="21" a="1"/>
  <c r="AA75" i="21" a="1"/>
  <c r="Y75" i="21" a="1"/>
  <c r="U75" i="21" a="1"/>
  <c r="AD75" i="21" a="1"/>
  <c r="G75" i="21" a="1"/>
  <c r="AE75" i="21" a="1"/>
  <c r="D75" i="21" a="1"/>
  <c r="V75" i="21" a="1"/>
  <c r="J75" i="21" a="1"/>
  <c r="O75" i="21" a="1"/>
  <c r="W75" i="21" a="1"/>
  <c r="M75" i="21" a="1"/>
  <c r="S75" i="21" a="1"/>
  <c r="H75" i="21" a="1"/>
  <c r="C75" i="21" a="1"/>
  <c r="F75" i="21" a="1"/>
  <c r="P75" i="21" a="1"/>
  <c r="T75" i="21" a="1"/>
  <c r="X75" i="21" a="1"/>
  <c r="Z75" i="21" a="1"/>
  <c r="AB75" i="21" a="1"/>
  <c r="I75" i="21" a="1"/>
  <c r="Q75" i="21" a="1"/>
  <c r="AC75" i="21" a="1"/>
  <c r="N75" i="21" a="1"/>
  <c r="B75" i="21" a="1"/>
  <c r="R75" i="21" a="1"/>
  <c r="L75" i="21" a="1"/>
  <c r="K75" i="21" a="1"/>
  <c r="S83" i="21" a="1"/>
  <c r="B83" i="21" a="1"/>
  <c r="J83" i="21" a="1"/>
  <c r="F83" i="21" a="1"/>
  <c r="V83" i="21" a="1"/>
  <c r="M83" i="21" a="1"/>
  <c r="N83" i="21" a="1"/>
  <c r="AD83" i="21" a="1"/>
  <c r="Z83" i="21" a="1"/>
  <c r="I83" i="21" a="1"/>
  <c r="X83" i="21" a="1"/>
  <c r="Q83" i="21" a="1"/>
  <c r="R83" i="21" a="1"/>
  <c r="AC83" i="21" a="1"/>
  <c r="W83" i="21" a="1"/>
  <c r="AB83" i="21" a="1"/>
  <c r="U83" i="21" a="1"/>
  <c r="H83" i="21" a="1"/>
  <c r="AA83" i="21" a="1"/>
  <c r="P83" i="21" a="1"/>
  <c r="C83" i="21" a="1"/>
  <c r="Y83" i="21" a="1"/>
  <c r="L83" i="21" a="1"/>
  <c r="O83" i="21" a="1"/>
  <c r="E83" i="21" a="1"/>
  <c r="AE83" i="21" a="1"/>
  <c r="G83" i="21" a="1"/>
  <c r="D83" i="21" a="1"/>
  <c r="T83" i="21" a="1"/>
  <c r="K83" i="21" a="1"/>
  <c r="AC66" i="21" a="1"/>
  <c r="B66" i="21" a="1"/>
  <c r="L66" i="21" a="1"/>
  <c r="Y66" i="21" a="1"/>
  <c r="T66" i="21" a="1"/>
  <c r="AB66" i="21" a="1"/>
  <c r="H66" i="21" a="1"/>
  <c r="P66" i="21" a="1"/>
  <c r="X66" i="21" a="1"/>
  <c r="J66" i="21" a="1"/>
  <c r="Z66" i="21" a="1"/>
  <c r="Q66" i="21" a="1"/>
  <c r="D66" i="21" a="1"/>
  <c r="G66" i="21" a="1"/>
  <c r="R66" i="21" a="1"/>
  <c r="AA66" i="21" a="1"/>
  <c r="AE66" i="21" a="1"/>
  <c r="W66" i="21" a="1"/>
  <c r="U66" i="21" a="1"/>
  <c r="S66" i="21" a="1"/>
  <c r="M66" i="21" a="1"/>
  <c r="F66" i="21" a="1"/>
  <c r="K66" i="21" a="1"/>
  <c r="AD66" i="21" a="1"/>
  <c r="C66" i="21" a="1"/>
  <c r="O66" i="21" a="1"/>
  <c r="V66" i="21" a="1"/>
  <c r="I66" i="21" a="1"/>
  <c r="E66" i="21" a="1"/>
  <c r="N66" i="21" a="1"/>
  <c r="W90" i="21" a="1"/>
  <c r="R90" i="21" a="1"/>
  <c r="AA90" i="21" a="1"/>
  <c r="D90" i="21" a="1"/>
  <c r="B90" i="21" a="1"/>
  <c r="S90" i="21" a="1"/>
  <c r="J90" i="21" a="1"/>
  <c r="Q90" i="21" a="1"/>
  <c r="V90" i="21" a="1"/>
  <c r="C90" i="21" a="1"/>
  <c r="H90" i="21" a="1"/>
  <c r="M90" i="21" a="1"/>
  <c r="O90" i="21" a="1"/>
  <c r="AB90" i="21" a="1"/>
  <c r="X90" i="21" a="1"/>
  <c r="T90" i="21" a="1"/>
  <c r="Y90" i="21" a="1"/>
  <c r="F90" i="21" a="1"/>
  <c r="AD90" i="21" a="1"/>
  <c r="P90" i="21" a="1"/>
  <c r="AE90" i="21" a="1"/>
  <c r="U90" i="21" a="1"/>
  <c r="E90" i="21" a="1"/>
  <c r="Z90" i="21" a="1"/>
  <c r="G90" i="21" a="1"/>
  <c r="K90" i="21" a="1"/>
  <c r="AC90" i="21" a="1"/>
  <c r="I90" i="21" a="1"/>
  <c r="L90" i="21" a="1"/>
  <c r="N90" i="21" a="1"/>
  <c r="J7" i="21" a="1"/>
  <c r="AB7" i="21" a="1"/>
  <c r="L7" i="21" a="1"/>
  <c r="Z7" i="21" a="1"/>
  <c r="V7" i="21" a="1"/>
  <c r="Y7" i="21" a="1"/>
  <c r="S7" i="21" a="1"/>
  <c r="W7" i="21" a="1"/>
  <c r="X7" i="21" a="1"/>
  <c r="B7" i="21" a="1"/>
  <c r="AE7" i="21" a="1"/>
  <c r="T7" i="21" a="1"/>
  <c r="N7" i="21" a="1"/>
  <c r="E7" i="21" a="1"/>
  <c r="C7" i="21" a="1"/>
  <c r="G7" i="21" a="1"/>
  <c r="AC7" i="21" a="1"/>
  <c r="H7" i="21" a="1"/>
  <c r="F7" i="21" a="1"/>
  <c r="I7" i="21" a="1"/>
  <c r="O7" i="21" a="1"/>
  <c r="AD7" i="21" a="1"/>
  <c r="R7" i="21" a="1"/>
  <c r="U7" i="21" a="1"/>
  <c r="D7" i="21" a="1"/>
  <c r="M7" i="21" a="1"/>
  <c r="P7" i="21" a="1"/>
  <c r="Q7" i="21" a="1"/>
  <c r="K7" i="21" a="1"/>
  <c r="AA7" i="21" a="1"/>
  <c r="J15" i="21" a="1"/>
  <c r="V15" i="21" a="1"/>
  <c r="AD15" i="21" a="1"/>
  <c r="B15" i="21" a="1"/>
  <c r="L15" i="21" a="1"/>
  <c r="T15" i="21" a="1"/>
  <c r="C15" i="21" a="1"/>
  <c r="R15" i="21" a="1"/>
  <c r="AC15" i="21" a="1"/>
  <c r="G15" i="21" a="1"/>
  <c r="O15" i="21" a="1"/>
  <c r="H15" i="21" a="1"/>
  <c r="M15" i="21" a="1"/>
  <c r="S15" i="21" a="1"/>
  <c r="Q15" i="21" a="1"/>
  <c r="P15" i="21" a="1"/>
  <c r="AB15" i="21" a="1"/>
  <c r="Y15" i="21" a="1"/>
  <c r="W15" i="21" a="1"/>
  <c r="F15" i="21" a="1"/>
  <c r="X15" i="21" a="1"/>
  <c r="AA15" i="21" a="1"/>
  <c r="D15" i="21" a="1"/>
  <c r="Z15" i="21" a="1"/>
  <c r="E15" i="21" a="1"/>
  <c r="N15" i="21" a="1"/>
  <c r="U15" i="21" a="1"/>
  <c r="AE15" i="21" a="1"/>
  <c r="I15" i="21" a="1"/>
  <c r="K15" i="21" a="1"/>
  <c r="D23" i="21" a="1"/>
  <c r="P23" i="21" a="1"/>
  <c r="N23" i="21" a="1"/>
  <c r="F23" i="21" a="1"/>
  <c r="R23" i="21" a="1"/>
  <c r="J23" i="21" a="1"/>
  <c r="X23" i="21" a="1"/>
  <c r="T23" i="21" a="1"/>
  <c r="Q23" i="21" a="1"/>
  <c r="AC23" i="21" a="1"/>
  <c r="L23" i="21" a="1"/>
  <c r="V23" i="21" a="1"/>
  <c r="Y23" i="21" a="1"/>
  <c r="K23" i="21" a="1"/>
  <c r="AD23" i="21" a="1"/>
  <c r="H23" i="21" a="1"/>
  <c r="AE23" i="21" a="1"/>
  <c r="AB23" i="21" a="1"/>
  <c r="E23" i="21" a="1"/>
  <c r="C23" i="21" a="1"/>
  <c r="O23" i="21" a="1"/>
  <c r="Z23" i="21" a="1"/>
  <c r="U23" i="21" a="1"/>
  <c r="M23" i="21" a="1"/>
  <c r="S23" i="21" a="1"/>
  <c r="W23" i="21" a="1"/>
  <c r="AA23" i="21" a="1"/>
  <c r="I23" i="21" a="1"/>
  <c r="B23" i="21" a="1"/>
  <c r="G23" i="21" a="1"/>
  <c r="B31" i="21" a="1"/>
  <c r="AC31" i="21" a="1"/>
  <c r="U31" i="21" a="1"/>
  <c r="S31" i="21" a="1"/>
  <c r="T31" i="21" a="1"/>
  <c r="I31" i="21" a="1"/>
  <c r="AD31" i="21" a="1"/>
  <c r="R31" i="21" a="1"/>
  <c r="N31" i="21" a="1"/>
  <c r="X31" i="21" a="1"/>
  <c r="AB31" i="21" a="1"/>
  <c r="H31" i="21" a="1"/>
  <c r="W31" i="21" a="1"/>
  <c r="F31" i="21" a="1"/>
  <c r="G31" i="21" a="1"/>
  <c r="M31" i="21" a="1"/>
  <c r="Y31" i="21" a="1"/>
  <c r="D31" i="21" a="1"/>
  <c r="Q31" i="21" a="1"/>
  <c r="V31" i="21" a="1"/>
  <c r="K31" i="21" a="1"/>
  <c r="E31" i="21" a="1"/>
  <c r="O31" i="21" a="1"/>
  <c r="Z31" i="21" a="1"/>
  <c r="AE31" i="21" a="1"/>
  <c r="L31" i="21" a="1"/>
  <c r="AA31" i="21" a="1"/>
  <c r="J31" i="21" a="1"/>
  <c r="P31" i="21" a="1"/>
  <c r="C31" i="21" a="1"/>
  <c r="Q38" i="21" a="1"/>
  <c r="R38" i="21" a="1"/>
  <c r="AC38" i="21" a="1"/>
  <c r="AD38" i="21" a="1"/>
  <c r="AE38" i="21" a="1"/>
  <c r="AB38" i="21" a="1"/>
  <c r="C38" i="21" a="1"/>
  <c r="M38" i="21" a="1"/>
  <c r="N38" i="21" a="1"/>
  <c r="AA38" i="21" a="1"/>
  <c r="T38" i="21" a="1"/>
  <c r="W38" i="21" a="1"/>
  <c r="B38" i="21" a="1"/>
  <c r="I38" i="21" a="1"/>
  <c r="L38" i="21" a="1"/>
  <c r="O38" i="21" a="1"/>
  <c r="J38" i="21" a="1"/>
  <c r="Y38" i="21" a="1"/>
  <c r="S38" i="21" a="1"/>
  <c r="F38" i="21" a="1"/>
  <c r="K38" i="21" a="1"/>
  <c r="V38" i="21" a="1"/>
  <c r="Z38" i="21" a="1"/>
  <c r="E38" i="21" a="1"/>
  <c r="P38" i="21" a="1"/>
  <c r="X38" i="21" a="1"/>
  <c r="G38" i="21" a="1"/>
  <c r="H38" i="21" a="1"/>
  <c r="D38" i="21" a="1"/>
  <c r="U38" i="21" a="1"/>
  <c r="AE46" i="21" a="1"/>
  <c r="Z46" i="21" a="1"/>
  <c r="X46" i="21" a="1"/>
  <c r="G46" i="21" a="1"/>
  <c r="K46" i="21" a="1"/>
  <c r="J46" i="21" a="1"/>
  <c r="T46" i="21" a="1"/>
  <c r="AB46" i="21" a="1"/>
  <c r="O46" i="21" a="1"/>
  <c r="I46" i="21" a="1"/>
  <c r="H46" i="21" a="1"/>
  <c r="AD46" i="21" a="1"/>
  <c r="W46" i="21" a="1"/>
  <c r="Y46" i="21" a="1"/>
  <c r="C46" i="21" a="1"/>
  <c r="E46" i="21" a="1"/>
  <c r="S46" i="21" a="1"/>
  <c r="N46" i="21" a="1"/>
  <c r="M46" i="21" a="1"/>
  <c r="R46" i="21" a="1"/>
  <c r="F46" i="21" a="1"/>
  <c r="B46" i="21" a="1"/>
  <c r="AA46" i="21" a="1"/>
  <c r="P46" i="21" a="1"/>
  <c r="L46" i="21" a="1"/>
  <c r="AC46" i="21" a="1"/>
  <c r="U46" i="21" a="1"/>
  <c r="V46" i="21" a="1"/>
  <c r="Q46" i="21" a="1"/>
  <c r="D46" i="21" a="1"/>
  <c r="H54" i="21" a="1"/>
  <c r="J54" i="21" a="1"/>
  <c r="B54" i="21" a="1"/>
  <c r="C54" i="21" a="1"/>
  <c r="F54" i="21" a="1"/>
  <c r="Q54" i="21" a="1"/>
  <c r="L54" i="21" a="1"/>
  <c r="P54" i="21" a="1"/>
  <c r="O54" i="21" a="1"/>
  <c r="U54" i="21" a="1"/>
  <c r="E54" i="21" a="1"/>
  <c r="S54" i="21" a="1"/>
  <c r="N54" i="21" a="1"/>
  <c r="Y54" i="21" a="1"/>
  <c r="V54" i="21" a="1"/>
  <c r="AC54" i="21" a="1"/>
  <c r="AE54" i="21" a="1"/>
  <c r="AA54" i="21" a="1"/>
  <c r="AD54" i="21" a="1"/>
  <c r="T54" i="21" a="1"/>
  <c r="X54" i="21" a="1"/>
  <c r="D54" i="21" a="1"/>
  <c r="W54" i="21" a="1"/>
  <c r="M54" i="21" a="1"/>
  <c r="Z54" i="21" a="1"/>
  <c r="K54" i="21" a="1"/>
  <c r="I54" i="21" a="1"/>
  <c r="AB54" i="21" a="1"/>
  <c r="R54" i="21" a="1"/>
  <c r="G54" i="21" a="1"/>
  <c r="B69" i="21" a="1"/>
  <c r="X69" i="21" a="1"/>
  <c r="V69" i="21" a="1"/>
  <c r="T69" i="21" a="1"/>
  <c r="U69" i="21" a="1"/>
  <c r="K69" i="21" a="1"/>
  <c r="L69" i="21" a="1"/>
  <c r="E69" i="21" a="1"/>
  <c r="S69" i="21" a="1"/>
  <c r="AE69" i="21" a="1"/>
  <c r="AC69" i="21" a="1"/>
  <c r="Y69" i="21" a="1"/>
  <c r="M69" i="21" a="1"/>
  <c r="D69" i="21" a="1"/>
  <c r="W69" i="21" a="1"/>
  <c r="Z69" i="21" a="1"/>
  <c r="N69" i="21" a="1"/>
  <c r="J69" i="21" a="1"/>
  <c r="I69" i="21" a="1"/>
  <c r="AA69" i="21" a="1"/>
  <c r="R69" i="21" a="1"/>
  <c r="AB69" i="21" a="1"/>
  <c r="G69" i="21" a="1"/>
  <c r="O69" i="21" a="1"/>
  <c r="H69" i="21" a="1"/>
  <c r="P69" i="21" a="1"/>
  <c r="F69" i="21" a="1"/>
  <c r="C69" i="21" a="1"/>
  <c r="Q69" i="21" a="1"/>
  <c r="AD69" i="21" a="1"/>
  <c r="AC77" i="21" a="1"/>
  <c r="Y77" i="21" a="1"/>
  <c r="Q77" i="21" a="1"/>
  <c r="G77" i="21" a="1"/>
  <c r="P77" i="21" a="1"/>
  <c r="B77" i="21" a="1"/>
  <c r="D77" i="21" a="1"/>
  <c r="N77" i="21" a="1"/>
  <c r="U77" i="21" a="1"/>
  <c r="J77" i="21" a="1"/>
  <c r="I77" i="21" a="1"/>
  <c r="W77" i="21" a="1"/>
  <c r="T77" i="21" a="1"/>
  <c r="X77" i="21" a="1"/>
  <c r="AB77" i="21" a="1"/>
  <c r="AE77" i="21" a="1"/>
  <c r="R77" i="21" a="1"/>
  <c r="L77" i="21" a="1"/>
  <c r="H77" i="21" a="1"/>
  <c r="O77" i="21" a="1"/>
  <c r="K77" i="21" a="1"/>
  <c r="M77" i="21" a="1"/>
  <c r="V77" i="21" a="1"/>
  <c r="E77" i="21" a="1"/>
  <c r="C77" i="21" a="1"/>
  <c r="AD77" i="21" a="1"/>
  <c r="S77" i="21" a="1"/>
  <c r="Z77" i="21" a="1"/>
  <c r="AA77" i="21" a="1"/>
  <c r="F77" i="21" a="1"/>
  <c r="X85" i="21" a="1"/>
  <c r="G85" i="21" a="1"/>
  <c r="F85" i="21" a="1"/>
  <c r="W85" i="21" a="1"/>
  <c r="O85" i="21" a="1"/>
  <c r="S85" i="21" a="1"/>
  <c r="C85" i="21" a="1"/>
  <c r="I85" i="21" a="1"/>
  <c r="J85" i="21" a="1"/>
  <c r="N85" i="21" a="1"/>
  <c r="Z85" i="21" a="1"/>
  <c r="R85" i="21" a="1"/>
  <c r="V85" i="21" a="1"/>
  <c r="AE85" i="21" a="1"/>
  <c r="B85" i="21" a="1"/>
  <c r="E85" i="21" a="1"/>
  <c r="K85" i="21" a="1"/>
  <c r="AC85" i="21" a="1"/>
  <c r="Y85" i="21" a="1"/>
  <c r="L85" i="21" a="1"/>
  <c r="Q85" i="21" a="1"/>
  <c r="U85" i="21" a="1"/>
  <c r="AD85" i="21" a="1"/>
  <c r="M85" i="21" a="1"/>
  <c r="T85" i="21" a="1"/>
  <c r="P85" i="21" a="1"/>
  <c r="H85" i="21" a="1"/>
  <c r="AA85" i="21" a="1"/>
  <c r="AB85" i="21" a="1"/>
  <c r="D85" i="21" a="1"/>
  <c r="Q93" i="21" a="1"/>
  <c r="AE93" i="21" a="1"/>
  <c r="K93" i="21" a="1"/>
  <c r="B93" i="21" a="1"/>
  <c r="V93" i="21" a="1"/>
  <c r="I93" i="21" a="1"/>
  <c r="U93" i="21" a="1"/>
  <c r="R93" i="21" a="1"/>
  <c r="J93" i="21" a="1"/>
  <c r="AD93" i="21" a="1"/>
  <c r="P93" i="21" a="1"/>
  <c r="X93" i="21" a="1"/>
  <c r="Z93" i="21" a="1"/>
  <c r="AA93" i="21" a="1"/>
  <c r="D93" i="21" a="1"/>
  <c r="Y93" i="21" a="1"/>
  <c r="S93" i="21" a="1"/>
  <c r="T93" i="21" a="1"/>
  <c r="G93" i="21" a="1"/>
  <c r="AC93" i="21" a="1"/>
  <c r="N93" i="21" a="1"/>
  <c r="O93" i="21" a="1"/>
  <c r="C93" i="21" a="1"/>
  <c r="AB93" i="21" a="1"/>
  <c r="F93" i="21" a="1"/>
  <c r="W93" i="21" a="1"/>
  <c r="E93" i="21" a="1"/>
  <c r="H93" i="21" a="1"/>
  <c r="L93" i="21" a="1"/>
  <c r="M93" i="21" a="1"/>
  <c r="M101" i="21" a="1"/>
  <c r="V101" i="21" a="1"/>
  <c r="Y101" i="21" a="1"/>
  <c r="C101" i="21" a="1"/>
  <c r="N101" i="21" a="1"/>
  <c r="W101" i="21" a="1"/>
  <c r="AA101" i="21" a="1"/>
  <c r="I101" i="21" a="1"/>
  <c r="O101" i="21" a="1"/>
  <c r="AB101" i="21" a="1"/>
  <c r="J101" i="21" a="1"/>
  <c r="T101" i="21" a="1"/>
  <c r="S101" i="21" a="1"/>
  <c r="K101" i="21" a="1"/>
  <c r="P101" i="21" a="1"/>
  <c r="Q101" i="21" a="1"/>
  <c r="X101" i="21" a="1"/>
  <c r="U101" i="21" a="1"/>
  <c r="Z101" i="21" a="1"/>
  <c r="L101" i="21" a="1"/>
  <c r="E101" i="21" a="1"/>
  <c r="B101" i="21" a="1"/>
  <c r="R101" i="21" a="1"/>
  <c r="D101" i="21" a="1"/>
  <c r="G101" i="21" a="1"/>
  <c r="H101" i="21" a="1"/>
  <c r="AC101" i="21" a="1"/>
  <c r="AD101" i="21" a="1"/>
  <c r="AE101" i="21" a="1"/>
  <c r="F101" i="21" a="1"/>
  <c r="H67" i="21" a="1"/>
  <c r="F67" i="21" a="1"/>
  <c r="K67" i="21" a="1"/>
  <c r="J67" i="21" a="1"/>
  <c r="O67" i="21" a="1"/>
  <c r="AD67" i="21" a="1"/>
  <c r="E67" i="21" a="1"/>
  <c r="AA67" i="21" a="1"/>
  <c r="S67" i="21" a="1"/>
  <c r="AB67" i="21" a="1"/>
  <c r="N67" i="21" a="1"/>
  <c r="I67" i="21" a="1"/>
  <c r="Q67" i="21" a="1"/>
  <c r="D67" i="21" a="1"/>
  <c r="V67" i="21" a="1"/>
  <c r="C67" i="21" a="1"/>
  <c r="B67" i="21" a="1"/>
  <c r="R67" i="21" a="1"/>
  <c r="Z67" i="21" a="1"/>
  <c r="AC67" i="21" a="1"/>
  <c r="W67" i="21" a="1"/>
  <c r="X67" i="21" a="1"/>
  <c r="AE67" i="21" a="1"/>
  <c r="P67" i="21" a="1"/>
  <c r="L67" i="21" a="1"/>
  <c r="T67" i="21" a="1"/>
  <c r="Y67" i="21" a="1"/>
  <c r="U67" i="21" a="1"/>
  <c r="M67" i="21" a="1"/>
  <c r="G67" i="21" a="1"/>
  <c r="B99" i="21" a="1"/>
  <c r="J99" i="21" a="1"/>
  <c r="V99" i="21" a="1"/>
  <c r="P99" i="21" a="1"/>
  <c r="AD99" i="21" a="1"/>
  <c r="AA99" i="21" a="1"/>
  <c r="C99" i="21" a="1"/>
  <c r="AE99" i="21" a="1"/>
  <c r="I99" i="21" a="1"/>
  <c r="F99" i="21" a="1"/>
  <c r="H99" i="21" a="1"/>
  <c r="T99" i="21" a="1"/>
  <c r="K99" i="21" a="1"/>
  <c r="U99" i="21" a="1"/>
  <c r="AC99" i="21" a="1"/>
  <c r="L99" i="21" a="1"/>
  <c r="M99" i="21" a="1"/>
  <c r="O99" i="21" a="1"/>
  <c r="E99" i="21" a="1"/>
  <c r="Q99" i="21" a="1"/>
  <c r="S99" i="21" a="1"/>
  <c r="N99" i="21" a="1"/>
  <c r="D99" i="21" a="1"/>
  <c r="AB99" i="21" a="1"/>
  <c r="G99" i="21" a="1"/>
  <c r="Y99" i="21" a="1"/>
  <c r="R99" i="21" a="1"/>
  <c r="X99" i="21" a="1"/>
  <c r="Z99" i="21" a="1"/>
  <c r="W99" i="21" a="1"/>
  <c r="Q74" i="21" a="1"/>
  <c r="O74" i="21" a="1"/>
  <c r="H74" i="21" a="1"/>
  <c r="AE74" i="21" a="1"/>
  <c r="I74" i="21" a="1"/>
  <c r="T74" i="21" a="1"/>
  <c r="AC74" i="21" a="1"/>
  <c r="AD74" i="21" a="1"/>
  <c r="K74" i="21" a="1"/>
  <c r="R74" i="21" a="1"/>
  <c r="C74" i="21" a="1"/>
  <c r="AA74" i="21" a="1"/>
  <c r="B74" i="21" a="1"/>
  <c r="U74" i="21" a="1"/>
  <c r="J74" i="21" a="1"/>
  <c r="L74" i="21" a="1"/>
  <c r="Z74" i="21" a="1"/>
  <c r="E74" i="21" a="1"/>
  <c r="F74" i="21" a="1"/>
  <c r="G74" i="21" a="1"/>
  <c r="W74" i="21" a="1"/>
  <c r="N74" i="21" a="1"/>
  <c r="V74" i="21" a="1"/>
  <c r="M74" i="21" a="1"/>
  <c r="AB74" i="21" a="1"/>
  <c r="X74" i="21" a="1"/>
  <c r="P74" i="21" a="1"/>
  <c r="S74" i="21" a="1"/>
  <c r="D74" i="21" a="1"/>
  <c r="Y74" i="21" a="1"/>
  <c r="K79" i="21" a="1"/>
  <c r="AA79" i="21" a="1"/>
  <c r="Y79" i="21" a="1"/>
  <c r="N79" i="21" a="1"/>
  <c r="E79" i="21" a="1"/>
  <c r="F79" i="21" a="1"/>
  <c r="B79" i="21" a="1"/>
  <c r="M79" i="21" a="1"/>
  <c r="J79" i="21" a="1"/>
  <c r="P79" i="21" a="1"/>
  <c r="AB79" i="21" a="1"/>
  <c r="H79" i="21" a="1"/>
  <c r="G79" i="21" a="1"/>
  <c r="C79" i="21" a="1"/>
  <c r="R79" i="21" a="1"/>
  <c r="L79" i="21" a="1"/>
  <c r="U79" i="21" a="1"/>
  <c r="O79" i="21" a="1"/>
  <c r="AD79" i="21" a="1"/>
  <c r="S79" i="21" a="1"/>
  <c r="W79" i="21" a="1"/>
  <c r="V79" i="21" a="1"/>
  <c r="AC79" i="21" a="1"/>
  <c r="T79" i="21" a="1"/>
  <c r="X79" i="21" a="1"/>
  <c r="I79" i="21" a="1"/>
  <c r="Q79" i="21" a="1"/>
  <c r="D79" i="21" a="1"/>
  <c r="Z79" i="21" a="1"/>
  <c r="AE79" i="21" a="1"/>
  <c r="N6" i="21" a="1"/>
  <c r="C6" i="21" a="1"/>
  <c r="Q6" i="21" a="1"/>
  <c r="O6" i="21" a="1"/>
  <c r="B6" i="21" a="1"/>
  <c r="I6" i="21" a="1"/>
  <c r="J6" i="21" a="1"/>
  <c r="AA6" i="21" a="1"/>
  <c r="AC6" i="21" a="1"/>
  <c r="H6" i="21" a="1"/>
  <c r="R6" i="21" a="1"/>
  <c r="W6" i="21" a="1"/>
  <c r="Y6" i="21" a="1"/>
  <c r="V6" i="21" a="1"/>
  <c r="Z6" i="21" a="1"/>
  <c r="U6" i="21" a="1"/>
  <c r="AD6" i="21" a="1"/>
  <c r="L6" i="21" a="1"/>
  <c r="P6" i="21" a="1"/>
  <c r="D6" i="21" a="1"/>
  <c r="AE6" i="21" a="1"/>
  <c r="X6" i="21" a="1"/>
  <c r="E6" i="21" a="1"/>
  <c r="AB6" i="21" a="1"/>
  <c r="K6" i="21" a="1"/>
  <c r="T6" i="21" a="1"/>
  <c r="G6" i="21" a="1"/>
  <c r="S6" i="21" a="1"/>
  <c r="M6" i="21" a="1"/>
  <c r="F6" i="21" a="1"/>
  <c r="O14" i="21" a="1"/>
  <c r="W14" i="21" a="1"/>
  <c r="P14" i="21" a="1"/>
  <c r="Y14" i="21" a="1"/>
  <c r="G14" i="21" a="1"/>
  <c r="E14" i="21" a="1"/>
  <c r="AD14" i="21" a="1"/>
  <c r="B14" i="21" a="1"/>
  <c r="F14" i="21" a="1"/>
  <c r="L14" i="21" a="1"/>
  <c r="M14" i="21" a="1"/>
  <c r="AE14" i="21" a="1"/>
  <c r="U14" i="21" a="1"/>
  <c r="H14" i="21" a="1"/>
  <c r="Q14" i="21" a="1"/>
  <c r="S14" i="21" a="1"/>
  <c r="D14" i="21" a="1"/>
  <c r="X14" i="21" a="1"/>
  <c r="AA14" i="21" a="1"/>
  <c r="N14" i="21" a="1"/>
  <c r="R14" i="21" a="1"/>
  <c r="V14" i="21" a="1"/>
  <c r="AC14" i="21" a="1"/>
  <c r="C14" i="21" a="1"/>
  <c r="I14" i="21" a="1"/>
  <c r="T14" i="21" a="1"/>
  <c r="AB14" i="21" a="1"/>
  <c r="K14" i="21" a="1"/>
  <c r="Z14" i="21" a="1"/>
  <c r="J14" i="21" a="1"/>
  <c r="Y22" i="21" a="1"/>
  <c r="C22" i="21" a="1"/>
  <c r="P22" i="21" a="1"/>
  <c r="Z22" i="21" a="1"/>
  <c r="AC22" i="21" a="1"/>
  <c r="E22" i="21" a="1"/>
  <c r="U22" i="21" a="1"/>
  <c r="J22" i="21" a="1"/>
  <c r="O22" i="21" a="1"/>
  <c r="AD22" i="21" a="1"/>
  <c r="H22" i="21" a="1"/>
  <c r="Q22" i="21" a="1"/>
  <c r="R22" i="21" a="1"/>
  <c r="W22" i="21" a="1"/>
  <c r="I22" i="21" a="1"/>
  <c r="AB22" i="21" a="1"/>
  <c r="L22" i="21" a="1"/>
  <c r="X22" i="21" a="1"/>
  <c r="B22" i="21" a="1"/>
  <c r="D22" i="21" a="1"/>
  <c r="N22" i="21" a="1"/>
  <c r="G22" i="21" a="1"/>
  <c r="F22" i="21" a="1"/>
  <c r="K22" i="21" a="1"/>
  <c r="AE22" i="21" a="1"/>
  <c r="T22" i="21" a="1"/>
  <c r="V22" i="21" a="1"/>
  <c r="AA22" i="21" a="1"/>
  <c r="M22" i="21" a="1"/>
  <c r="S22" i="21" a="1"/>
  <c r="AD30" i="21" a="1"/>
  <c r="N30" i="21" a="1"/>
  <c r="U30" i="21" a="1"/>
  <c r="G30" i="21" a="1"/>
  <c r="E30" i="21" a="1"/>
  <c r="R30" i="21" a="1"/>
  <c r="V30" i="21" a="1"/>
  <c r="AE30" i="21" a="1"/>
  <c r="O30" i="21" a="1"/>
  <c r="T30" i="21" a="1"/>
  <c r="X30" i="21" a="1"/>
  <c r="AC30" i="21" a="1"/>
  <c r="I30" i="21" a="1"/>
  <c r="AA30" i="21" a="1"/>
  <c r="M30" i="21" a="1"/>
  <c r="Z30" i="21" a="1"/>
  <c r="H30" i="21" a="1"/>
  <c r="C30" i="21" a="1"/>
  <c r="J30" i="21" a="1"/>
  <c r="S30" i="21" a="1"/>
  <c r="P30" i="21" a="1"/>
  <c r="K30" i="21" a="1"/>
  <c r="AB30" i="21" a="1"/>
  <c r="D30" i="21" a="1"/>
  <c r="W30" i="21" a="1"/>
  <c r="Q30" i="21" a="1"/>
  <c r="L30" i="21" a="1"/>
  <c r="Y30" i="21" a="1"/>
  <c r="F30" i="21" a="1"/>
  <c r="B30" i="21" a="1"/>
  <c r="T37" i="21" a="1"/>
  <c r="Y37" i="21" a="1"/>
  <c r="J37" i="21" a="1"/>
  <c r="O37" i="21" a="1"/>
  <c r="K37" i="21" a="1"/>
  <c r="D37" i="21" a="1"/>
  <c r="E37" i="21" a="1"/>
  <c r="AE37" i="21" a="1"/>
  <c r="AC37" i="21" a="1"/>
  <c r="I37" i="21" a="1"/>
  <c r="U37" i="21" a="1"/>
  <c r="V37" i="21" a="1"/>
  <c r="AD37" i="21" a="1"/>
  <c r="S37" i="21" a="1"/>
  <c r="F37" i="21" a="1"/>
  <c r="P37" i="21" a="1"/>
  <c r="M37" i="21" a="1"/>
  <c r="AA37" i="21" a="1"/>
  <c r="R37" i="21" a="1"/>
  <c r="H37" i="21" a="1"/>
  <c r="W37" i="21" a="1"/>
  <c r="Q37" i="21" a="1"/>
  <c r="X37" i="21" a="1"/>
  <c r="AB37" i="21" a="1"/>
  <c r="Z37" i="21" a="1"/>
  <c r="B37" i="21" a="1"/>
  <c r="C37" i="21" a="1"/>
  <c r="N37" i="21" a="1"/>
  <c r="G37" i="21" a="1"/>
  <c r="L37" i="21" a="1"/>
  <c r="AB45" i="21" a="1"/>
  <c r="J45" i="21" a="1"/>
  <c r="R45" i="21" a="1"/>
  <c r="E45" i="21" a="1"/>
  <c r="B45" i="21" a="1"/>
  <c r="C45" i="21" a="1"/>
  <c r="N45" i="21" a="1"/>
  <c r="U45" i="21" a="1"/>
  <c r="G45" i="21" a="1"/>
  <c r="O45" i="21" a="1"/>
  <c r="S45" i="21" a="1"/>
  <c r="F45" i="21" a="1"/>
  <c r="AA45" i="21" a="1"/>
  <c r="X45" i="21" a="1"/>
  <c r="P45" i="21" a="1"/>
  <c r="L45" i="21" a="1"/>
  <c r="K45" i="21" a="1"/>
  <c r="V45" i="21" a="1"/>
  <c r="W45" i="21" a="1"/>
  <c r="Z45" i="21" a="1"/>
  <c r="H45" i="21" a="1"/>
  <c r="AE45" i="21" a="1"/>
  <c r="AC45" i="21" a="1"/>
  <c r="D45" i="21" a="1"/>
  <c r="I45" i="21" a="1"/>
  <c r="AD45" i="21" a="1"/>
  <c r="T45" i="21" a="1"/>
  <c r="M45" i="21" a="1"/>
  <c r="Q45" i="21" a="1"/>
  <c r="Y45" i="21" a="1"/>
  <c r="AC53" i="21" a="1"/>
  <c r="C53" i="21" a="1"/>
  <c r="G53" i="21" a="1"/>
  <c r="AA53" i="21" a="1"/>
  <c r="L53" i="21" a="1"/>
  <c r="R53" i="21" a="1"/>
  <c r="U53" i="21" a="1"/>
  <c r="B53" i="21" a="1"/>
  <c r="P53" i="21" a="1"/>
  <c r="M53" i="21" a="1"/>
  <c r="Z53" i="21" a="1"/>
  <c r="D53" i="21" a="1"/>
  <c r="I53" i="21" a="1"/>
  <c r="K53" i="21" a="1"/>
  <c r="N53" i="21" a="1"/>
  <c r="AB53" i="21" a="1"/>
  <c r="T53" i="21" a="1"/>
  <c r="Q53" i="21" a="1"/>
  <c r="O53" i="21" a="1"/>
  <c r="X53" i="21" a="1"/>
  <c r="E53" i="21" a="1"/>
  <c r="H53" i="21" a="1"/>
  <c r="J53" i="21" a="1"/>
  <c r="V53" i="21" a="1"/>
  <c r="Y53" i="21" a="1"/>
  <c r="AD53" i="21" a="1"/>
  <c r="AE53" i="21" a="1"/>
  <c r="F53" i="21" a="1"/>
  <c r="W53" i="21" a="1"/>
  <c r="S53" i="21" a="1"/>
  <c r="T61" i="21" a="1"/>
  <c r="G61" i="21" a="1"/>
  <c r="I61" i="21" a="1"/>
  <c r="O61" i="21" a="1"/>
  <c r="N61" i="21" a="1"/>
  <c r="AC61" i="21" a="1"/>
  <c r="W61" i="21" a="1"/>
  <c r="K61" i="21" a="1"/>
  <c r="P61" i="21" a="1"/>
  <c r="R61" i="21" a="1"/>
  <c r="E61" i="21" a="1"/>
  <c r="F61" i="21" a="1"/>
  <c r="AD61" i="21" a="1"/>
  <c r="M61" i="21" a="1"/>
  <c r="S61" i="21" a="1"/>
  <c r="B61" i="21" a="1"/>
  <c r="AB61" i="21" a="1"/>
  <c r="L61" i="21" a="1"/>
  <c r="Y61" i="21" a="1"/>
  <c r="U61" i="21" a="1"/>
  <c r="X61" i="21" a="1"/>
  <c r="D61" i="21" a="1"/>
  <c r="AE61" i="21" a="1"/>
  <c r="AA61" i="21" a="1"/>
  <c r="J61" i="21" a="1"/>
  <c r="C61" i="21" a="1"/>
  <c r="H61" i="21" a="1"/>
  <c r="V61" i="21" a="1"/>
  <c r="Z61" i="21" a="1"/>
  <c r="Q61" i="21" a="1"/>
  <c r="Z68" i="21" a="1"/>
  <c r="X68" i="21" a="1"/>
  <c r="H68" i="21" a="1"/>
  <c r="P68" i="21" a="1"/>
  <c r="E68" i="21" a="1"/>
  <c r="C68" i="21" a="1"/>
  <c r="J68" i="21" a="1"/>
  <c r="S68" i="21" a="1"/>
  <c r="U68" i="21" a="1"/>
  <c r="Q68" i="21" a="1"/>
  <c r="T68" i="21" a="1"/>
  <c r="AD68" i="21" a="1"/>
  <c r="M68" i="21" a="1"/>
  <c r="O68" i="21" a="1"/>
  <c r="G68" i="21" a="1"/>
  <c r="Y68" i="21" a="1"/>
  <c r="K68" i="21" a="1"/>
  <c r="AC68" i="21" a="1"/>
  <c r="R68" i="21" a="1"/>
  <c r="AB68" i="21" a="1"/>
  <c r="B68" i="21" a="1"/>
  <c r="V68" i="21" a="1"/>
  <c r="L68" i="21" a="1"/>
  <c r="AE68" i="21" a="1"/>
  <c r="AA68" i="21" a="1"/>
  <c r="F68" i="21" a="1"/>
  <c r="D68" i="21" a="1"/>
  <c r="I68" i="21" a="1"/>
  <c r="W68" i="21" a="1"/>
  <c r="N68" i="21" a="1"/>
  <c r="B76" i="21" a="1"/>
  <c r="AC76" i="21" a="1"/>
  <c r="H76" i="21" a="1"/>
  <c r="F76" i="21" a="1"/>
  <c r="K76" i="21" a="1"/>
  <c r="N76" i="21" a="1"/>
  <c r="C76" i="21" a="1"/>
  <c r="AD76" i="21" a="1"/>
  <c r="J76" i="21" a="1"/>
  <c r="P76" i="21" a="1"/>
  <c r="S76" i="21" a="1"/>
  <c r="O76" i="21" a="1"/>
  <c r="AA76" i="21" a="1"/>
  <c r="G76" i="21" a="1"/>
  <c r="T76" i="21" a="1"/>
  <c r="X76" i="21" a="1"/>
  <c r="W76" i="21" a="1"/>
  <c r="AE76" i="21" a="1"/>
  <c r="AB76" i="21" a="1"/>
  <c r="V76" i="21" a="1"/>
  <c r="I76" i="21" a="1"/>
  <c r="M76" i="21" a="1"/>
  <c r="Q76" i="21" a="1"/>
  <c r="Y76" i="21" a="1"/>
  <c r="R76" i="21" a="1"/>
  <c r="D76" i="21" a="1"/>
  <c r="U76" i="21" a="1"/>
  <c r="L76" i="21" a="1"/>
  <c r="Z76" i="21" a="1"/>
  <c r="E76" i="21" a="1"/>
  <c r="F84" i="21" a="1"/>
  <c r="V84" i="21" a="1"/>
  <c r="K84" i="21" a="1"/>
  <c r="X84" i="21" a="1"/>
  <c r="R84" i="21" a="1"/>
  <c r="E84" i="21" a="1"/>
  <c r="AE84" i="21" a="1"/>
  <c r="T84" i="21" a="1"/>
  <c r="AB84" i="21" a="1"/>
  <c r="H84" i="21" a="1"/>
  <c r="AA84" i="21" a="1"/>
  <c r="G84" i="21" a="1"/>
  <c r="Y84" i="21" a="1"/>
  <c r="O84" i="21" a="1"/>
  <c r="D84" i="21" a="1"/>
  <c r="M84" i="21" a="1"/>
  <c r="AC84" i="21" a="1"/>
  <c r="Q84" i="21" a="1"/>
  <c r="J84" i="21" a="1"/>
  <c r="P84" i="21" a="1"/>
  <c r="W84" i="21" a="1"/>
  <c r="L84" i="21" a="1"/>
  <c r="C84" i="21" a="1"/>
  <c r="B84" i="21" a="1"/>
  <c r="U84" i="21" a="1"/>
  <c r="AD84" i="21" a="1"/>
  <c r="Z84" i="21" a="1"/>
  <c r="S84" i="21" a="1"/>
  <c r="I84" i="21" a="1"/>
  <c r="N84" i="21" a="1"/>
  <c r="P92" i="21" a="1"/>
  <c r="AB92" i="21" a="1"/>
  <c r="B92" i="21" a="1"/>
  <c r="M92" i="21" a="1"/>
  <c r="T92" i="21" a="1"/>
  <c r="X92" i="21" a="1"/>
  <c r="H92" i="21" a="1"/>
  <c r="F92" i="21" a="1"/>
  <c r="L92" i="21" a="1"/>
  <c r="D92" i="21" a="1"/>
  <c r="Y92" i="21" a="1"/>
  <c r="E92" i="21" a="1"/>
  <c r="G92" i="21" a="1"/>
  <c r="O92" i="21" a="1"/>
  <c r="AE92" i="21" a="1"/>
  <c r="W92" i="21" a="1"/>
  <c r="Q92" i="21" a="1"/>
  <c r="I92" i="21" a="1"/>
  <c r="K92" i="21" a="1"/>
  <c r="V92" i="21" a="1"/>
  <c r="AC92" i="21" a="1"/>
  <c r="R92" i="21" a="1"/>
  <c r="C92" i="21" a="1"/>
  <c r="AA92" i="21" a="1"/>
  <c r="U92" i="21" a="1"/>
  <c r="S92" i="21" a="1"/>
  <c r="Z92" i="21" a="1"/>
  <c r="N92" i="21" a="1"/>
  <c r="AD92" i="21" a="1"/>
  <c r="J92" i="21" a="1"/>
  <c r="N100" i="21" a="1"/>
  <c r="O100" i="21" a="1"/>
  <c r="W100" i="21" a="1"/>
  <c r="U100" i="21" a="1"/>
  <c r="Y100" i="21" a="1"/>
  <c r="AD100" i="21" a="1"/>
  <c r="V100" i="21" a="1"/>
  <c r="R100" i="21" a="1"/>
  <c r="D100" i="21" a="1"/>
  <c r="Z100" i="21" a="1"/>
  <c r="AE100" i="21" a="1"/>
  <c r="H100" i="21" a="1"/>
  <c r="P100" i="21" a="1"/>
  <c r="M100" i="21" a="1"/>
  <c r="Q100" i="21" a="1"/>
  <c r="C100" i="21" a="1"/>
  <c r="T100" i="21" a="1"/>
  <c r="B100" i="21" a="1"/>
  <c r="E100" i="21" a="1"/>
  <c r="G100" i="21" a="1"/>
  <c r="AB100" i="21" a="1"/>
  <c r="J100" i="21" a="1"/>
  <c r="I100" i="21" a="1"/>
  <c r="K100" i="21" a="1"/>
  <c r="S100" i="21" a="1"/>
  <c r="L100" i="21" a="1"/>
  <c r="F100" i="21" a="1"/>
  <c r="AC100" i="21" a="1"/>
  <c r="AA100" i="21" a="1"/>
  <c r="X100" i="21" a="1"/>
  <c r="K91" i="21" a="1"/>
  <c r="I91" i="21" a="1"/>
  <c r="Y91" i="21" a="1"/>
  <c r="N91" i="21" a="1"/>
  <c r="Z91" i="21" a="1"/>
  <c r="O91" i="21" a="1"/>
  <c r="Q91" i="21" a="1"/>
  <c r="AB91" i="21" a="1"/>
  <c r="F91" i="21" a="1"/>
  <c r="P91" i="21" a="1"/>
  <c r="V91" i="21" a="1"/>
  <c r="E91" i="21" a="1"/>
  <c r="AA91" i="21" a="1"/>
  <c r="AC91" i="21" a="1"/>
  <c r="B91" i="21" a="1"/>
  <c r="C91" i="21" a="1"/>
  <c r="L91" i="21" a="1"/>
  <c r="H91" i="21" a="1"/>
  <c r="AD91" i="21" a="1"/>
  <c r="T91" i="21" a="1"/>
  <c r="W91" i="21" a="1"/>
  <c r="J91" i="21" a="1"/>
  <c r="S91" i="21" a="1"/>
  <c r="AE91" i="21" a="1"/>
  <c r="D91" i="21" a="1"/>
  <c r="M91" i="21" a="1"/>
  <c r="U91" i="21" a="1"/>
  <c r="X91" i="21" a="1"/>
  <c r="R91" i="21" a="1"/>
  <c r="G91" i="21" a="1"/>
  <c r="V51" i="21" a="1"/>
  <c r="K51" i="21" a="1"/>
  <c r="E51" i="21" a="1"/>
  <c r="L51" i="21" a="1"/>
  <c r="Y51" i="21" a="1"/>
  <c r="AE51" i="21" a="1"/>
  <c r="AD51" i="21" a="1"/>
  <c r="R51" i="21" a="1"/>
  <c r="C51" i="21" a="1"/>
  <c r="Q51" i="21" a="1"/>
  <c r="B51" i="21" a="1"/>
  <c r="AC51" i="21" a="1"/>
  <c r="X51" i="21" a="1"/>
  <c r="P51" i="21" a="1"/>
  <c r="W51" i="21" a="1"/>
  <c r="AA51" i="21" a="1"/>
  <c r="J51" i="21" a="1"/>
  <c r="U51" i="21" a="1"/>
  <c r="N51" i="21" a="1"/>
  <c r="T51" i="21" a="1"/>
  <c r="F51" i="21" a="1"/>
  <c r="G51" i="21" a="1"/>
  <c r="O51" i="21" a="1"/>
  <c r="AB51" i="21" a="1"/>
  <c r="I51" i="21" a="1"/>
  <c r="Z51" i="21" a="1"/>
  <c r="H51" i="21" a="1"/>
  <c r="D51" i="21" a="1"/>
  <c r="M51" i="21" a="1"/>
  <c r="S51" i="21" a="1"/>
  <c r="P82" i="21" a="1"/>
  <c r="L82" i="21" a="1"/>
  <c r="K82" i="21" a="1"/>
  <c r="G82" i="21" a="1"/>
  <c r="Q82" i="21" a="1"/>
  <c r="AD82" i="21" a="1"/>
  <c r="E82" i="21" a="1"/>
  <c r="Y82" i="21" a="1"/>
  <c r="I82" i="21" a="1"/>
  <c r="X82" i="21" a="1"/>
  <c r="N82" i="21" a="1"/>
  <c r="U82" i="21" a="1"/>
  <c r="V82" i="21" a="1"/>
  <c r="AE82" i="21" a="1"/>
  <c r="B82" i="21" a="1"/>
  <c r="AC82" i="21" a="1"/>
  <c r="D82" i="21" a="1"/>
  <c r="T82" i="21" a="1"/>
  <c r="R82" i="21" a="1"/>
  <c r="S82" i="21" a="1"/>
  <c r="AA82" i="21" a="1"/>
  <c r="F82" i="21" a="1"/>
  <c r="W82" i="21" a="1"/>
  <c r="AB82" i="21" a="1"/>
  <c r="C82" i="21" a="1"/>
  <c r="Z82" i="21" a="1"/>
  <c r="O82" i="21" a="1"/>
  <c r="M82" i="21" a="1"/>
  <c r="H82" i="21" a="1"/>
  <c r="J82" i="21" a="1"/>
  <c r="M95" i="21" a="1"/>
  <c r="AB95" i="21" a="1"/>
  <c r="E95" i="21" a="1"/>
  <c r="Q95" i="21" a="1"/>
  <c r="U95" i="21" a="1"/>
  <c r="X95" i="21" a="1"/>
  <c r="P95" i="21" a="1"/>
  <c r="Y95" i="21" a="1"/>
  <c r="D95" i="21" a="1"/>
  <c r="W95" i="21" a="1"/>
  <c r="AA95" i="21" a="1"/>
  <c r="T95" i="21" a="1"/>
  <c r="V95" i="21" a="1"/>
  <c r="AE95" i="21" a="1"/>
  <c r="AD95" i="21" a="1"/>
  <c r="R95" i="21" a="1"/>
  <c r="C95" i="21" a="1"/>
  <c r="I95" i="21" a="1"/>
  <c r="B95" i="21" a="1"/>
  <c r="G95" i="21" a="1"/>
  <c r="Z95" i="21" a="1"/>
  <c r="J95" i="21" a="1"/>
  <c r="K95" i="21" a="1"/>
  <c r="F95" i="21" a="1"/>
  <c r="S95" i="21" a="1"/>
  <c r="AC95" i="21" a="1"/>
  <c r="L95" i="21" a="1"/>
  <c r="N95" i="21" a="1"/>
  <c r="H95" i="21" a="1"/>
  <c r="O95" i="21" a="1"/>
  <c r="F5" i="21" a="1"/>
  <c r="V5" i="21" a="1"/>
  <c r="U5" i="21" a="1"/>
  <c r="C5" i="21" a="1"/>
  <c r="K5" i="21" a="1"/>
  <c r="S5" i="21" a="1"/>
  <c r="M5" i="21" a="1"/>
  <c r="H5" i="21" a="1"/>
  <c r="Y5" i="21" a="1"/>
  <c r="AA5" i="21" a="1"/>
  <c r="W5" i="21" a="1"/>
  <c r="AE5" i="21" a="1"/>
  <c r="AC5" i="21" a="1"/>
  <c r="O5" i="21" a="1"/>
  <c r="D5" i="21" a="1"/>
  <c r="N5" i="21" a="1"/>
  <c r="J5" i="21" a="1"/>
  <c r="AB5" i="21" a="1"/>
  <c r="T5" i="21" a="1"/>
  <c r="P5" i="21" a="1"/>
  <c r="R5" i="21" a="1"/>
  <c r="AD5" i="21" a="1"/>
  <c r="B5" i="21" a="1"/>
  <c r="L5" i="21" a="1"/>
  <c r="Z5" i="21" a="1"/>
  <c r="X5" i="21" a="1"/>
  <c r="G5" i="21" a="1"/>
  <c r="E5" i="21" a="1"/>
  <c r="I5" i="21" a="1"/>
  <c r="Q5" i="21" a="1"/>
  <c r="S13" i="21" a="1"/>
  <c r="T13" i="21" a="1"/>
  <c r="AB13" i="21" a="1"/>
  <c r="AC13" i="21" a="1"/>
  <c r="H13" i="21" a="1"/>
  <c r="J13" i="21" a="1"/>
  <c r="Y13" i="21" a="1"/>
  <c r="AE13" i="21" a="1"/>
  <c r="P13" i="21" a="1"/>
  <c r="K13" i="21" a="1"/>
  <c r="X13" i="21" a="1"/>
  <c r="C13" i="21" a="1"/>
  <c r="AA13" i="21" a="1"/>
  <c r="N13" i="21" a="1"/>
  <c r="G13" i="21" a="1"/>
  <c r="Q13" i="21" a="1"/>
  <c r="F13" i="21" a="1"/>
  <c r="E13" i="21" a="1"/>
  <c r="M13" i="21" a="1"/>
  <c r="R13" i="21" a="1"/>
  <c r="D13" i="21" a="1"/>
  <c r="B13" i="21" a="1"/>
  <c r="V13" i="21" a="1"/>
  <c r="O13" i="21" a="1"/>
  <c r="L13" i="21" a="1"/>
  <c r="Z13" i="21" a="1"/>
  <c r="AD13" i="21" a="1"/>
  <c r="W13" i="21" a="1"/>
  <c r="U13" i="21" a="1"/>
  <c r="I13" i="21" a="1"/>
  <c r="B21" i="21" a="1"/>
  <c r="Z21" i="21" a="1"/>
  <c r="M21" i="21" a="1"/>
  <c r="K21" i="21" a="1"/>
  <c r="AE21" i="21" a="1"/>
  <c r="P21" i="21" a="1"/>
  <c r="AB21" i="21" a="1"/>
  <c r="G21" i="21" a="1"/>
  <c r="Q21" i="21" a="1"/>
  <c r="E21" i="21" a="1"/>
  <c r="F21" i="21" a="1"/>
  <c r="U21" i="21" a="1"/>
  <c r="T21" i="21" a="1"/>
  <c r="D21" i="21" a="1"/>
  <c r="AD21" i="21" a="1"/>
  <c r="R21" i="21" a="1"/>
  <c r="X21" i="21" a="1"/>
  <c r="H21" i="21" a="1"/>
  <c r="AC21" i="21" a="1"/>
  <c r="Y21" i="21" a="1"/>
  <c r="N21" i="21" a="1"/>
  <c r="J21" i="21" a="1"/>
  <c r="S21" i="21" a="1"/>
  <c r="C21" i="21" a="1"/>
  <c r="AA21" i="21" a="1"/>
  <c r="V21" i="21" a="1"/>
  <c r="W21" i="21" a="1"/>
  <c r="O21" i="21" a="1"/>
  <c r="L21" i="21" a="1"/>
  <c r="I21" i="21" a="1"/>
  <c r="C29" i="21" a="1"/>
  <c r="O29" i="21" a="1"/>
  <c r="F29" i="21" a="1"/>
  <c r="V29" i="21" a="1"/>
  <c r="E29" i="21" a="1"/>
  <c r="T29" i="21" a="1"/>
  <c r="U29" i="21" a="1"/>
  <c r="AD29" i="21" a="1"/>
  <c r="B29" i="21" a="1"/>
  <c r="S29" i="21" a="1"/>
  <c r="AB29" i="21" a="1"/>
  <c r="L29" i="21" a="1"/>
  <c r="N29" i="21" a="1"/>
  <c r="Q29" i="21" a="1"/>
  <c r="Y29" i="21" a="1"/>
  <c r="AC29" i="21" a="1"/>
  <c r="G29" i="21" a="1"/>
  <c r="X29" i="21" a="1"/>
  <c r="P29" i="21" a="1"/>
  <c r="W29" i="21" a="1"/>
  <c r="Z29" i="21" a="1"/>
  <c r="I29" i="21" a="1"/>
  <c r="R29" i="21" a="1"/>
  <c r="M29" i="21" a="1"/>
  <c r="D29" i="21" a="1"/>
  <c r="AE29" i="21" a="1"/>
  <c r="AA29" i="21" a="1"/>
  <c r="J29" i="21" a="1"/>
  <c r="K29" i="21" a="1"/>
  <c r="H29" i="21" a="1"/>
  <c r="Q44" i="21" a="1"/>
  <c r="R44" i="21" a="1"/>
  <c r="C44" i="21" a="1"/>
  <c r="I44" i="21" a="1"/>
  <c r="D44" i="21" a="1"/>
  <c r="AE44" i="21" a="1"/>
  <c r="V44" i="21" a="1"/>
  <c r="AA44" i="21" a="1"/>
  <c r="AD44" i="21" a="1"/>
  <c r="Y44" i="21" a="1"/>
  <c r="N44" i="21" a="1"/>
  <c r="M44" i="21" a="1"/>
  <c r="X44" i="21" a="1"/>
  <c r="S44" i="21" a="1"/>
  <c r="J44" i="21" a="1"/>
  <c r="AC44" i="21" a="1"/>
  <c r="E44" i="21" a="1"/>
  <c r="O44" i="21" a="1"/>
  <c r="B44" i="21" a="1"/>
  <c r="P44" i="21" a="1"/>
  <c r="F44" i="21" a="1"/>
  <c r="AB44" i="21" a="1"/>
  <c r="K44" i="21" a="1"/>
  <c r="G44" i="21" a="1"/>
  <c r="U44" i="21" a="1"/>
  <c r="T44" i="21" a="1"/>
  <c r="H44" i="21" a="1"/>
  <c r="W44" i="21" a="1"/>
  <c r="Z44" i="21" a="1"/>
  <c r="L44" i="21" a="1"/>
  <c r="K52" i="21" a="1"/>
  <c r="Y52" i="21" a="1"/>
  <c r="N52" i="21" a="1"/>
  <c r="S52" i="21" a="1"/>
  <c r="D52" i="21" a="1"/>
  <c r="B52" i="21" a="1"/>
  <c r="AA52" i="21" a="1"/>
  <c r="W52" i="21" a="1"/>
  <c r="J52" i="21" a="1"/>
  <c r="AD52" i="21" a="1"/>
  <c r="M52" i="21" a="1"/>
  <c r="AE52" i="21" a="1"/>
  <c r="X52" i="21" a="1"/>
  <c r="U52" i="21" a="1"/>
  <c r="C52" i="21" a="1"/>
  <c r="AC52" i="21" a="1"/>
  <c r="Z52" i="21" a="1"/>
  <c r="I52" i="21" a="1"/>
  <c r="AB52" i="21" a="1"/>
  <c r="F52" i="21" a="1"/>
  <c r="E52" i="21" a="1"/>
  <c r="G52" i="21" a="1"/>
  <c r="P52" i="21" a="1"/>
  <c r="O52" i="21" a="1"/>
  <c r="L52" i="21" a="1"/>
  <c r="R52" i="21" a="1"/>
  <c r="H52" i="21" a="1"/>
  <c r="V52" i="21" a="1"/>
  <c r="T52" i="21" a="1"/>
  <c r="Q52" i="21" a="1"/>
  <c r="Y4" i="21" a="1"/>
  <c r="AA4" i="21" a="1"/>
  <c r="Z4" i="21" a="1"/>
  <c r="J4" i="21" a="1"/>
  <c r="W4" i="21" a="1"/>
  <c r="K4" i="21" a="1"/>
  <c r="E4" i="21" a="1"/>
  <c r="AC4" i="21" a="1"/>
  <c r="U4" i="21" a="1"/>
  <c r="C4" i="21" a="1"/>
  <c r="F4" i="21" a="1"/>
  <c r="M4" i="21" a="1"/>
  <c r="O4" i="21" a="1"/>
  <c r="R4" i="21" a="1"/>
  <c r="N4" i="21" a="1"/>
  <c r="L4" i="21" a="1"/>
  <c r="H4" i="21" a="1"/>
  <c r="I4" i="21" a="1"/>
  <c r="B4" i="21" a="1"/>
  <c r="S4" i="21" a="1"/>
  <c r="V4" i="21" a="1"/>
  <c r="AB4" i="21" a="1"/>
  <c r="X4" i="21" a="1"/>
  <c r="Q4" i="21" a="1"/>
  <c r="T4" i="21" a="1"/>
  <c r="P4" i="21" a="1"/>
  <c r="G4" i="21" a="1"/>
  <c r="AE4" i="21" a="1"/>
  <c r="AD4" i="21" a="1"/>
  <c r="D4" i="21" a="1"/>
  <c r="O12" i="21" a="1"/>
  <c r="F12" i="21" a="1"/>
  <c r="J12" i="21" a="1"/>
  <c r="N12" i="21" a="1"/>
  <c r="AE12" i="21" a="1"/>
  <c r="R12" i="21" a="1"/>
  <c r="S12" i="21" a="1"/>
  <c r="P12" i="21" a="1"/>
  <c r="T12" i="21" a="1"/>
  <c r="V12" i="21" a="1"/>
  <c r="U12" i="21" a="1"/>
  <c r="Y12" i="21" a="1"/>
  <c r="X12" i="21" a="1"/>
  <c r="E12" i="21" a="1"/>
  <c r="M12" i="21" a="1"/>
  <c r="Z12" i="21" a="1"/>
  <c r="C12" i="21" a="1"/>
  <c r="K12" i="21" a="1"/>
  <c r="AC12" i="21" a="1"/>
  <c r="AB12" i="21" a="1"/>
  <c r="AD12" i="21" a="1"/>
  <c r="AA12" i="21" a="1"/>
  <c r="I12" i="21" a="1"/>
  <c r="H12" i="21" a="1"/>
  <c r="Q12" i="21" a="1"/>
  <c r="B12" i="21" a="1"/>
  <c r="G12" i="21" a="1"/>
  <c r="W12" i="21" a="1"/>
  <c r="L12" i="21" a="1"/>
  <c r="D12" i="21" a="1"/>
  <c r="O20" i="21" a="1"/>
  <c r="Z20" i="21" a="1"/>
  <c r="AC20" i="21" a="1"/>
  <c r="C20" i="21" a="1"/>
  <c r="U20" i="21" a="1"/>
  <c r="AA20" i="21" a="1"/>
  <c r="L20" i="21" a="1"/>
  <c r="P20" i="21" a="1"/>
  <c r="T20" i="21" a="1"/>
  <c r="M20" i="21" a="1"/>
  <c r="Y20" i="21" a="1"/>
  <c r="J20" i="21" a="1"/>
  <c r="D20" i="21" a="1"/>
  <c r="X20" i="21" a="1"/>
  <c r="N20" i="21" a="1"/>
  <c r="AE20" i="21" a="1"/>
  <c r="F20" i="21" a="1"/>
  <c r="E20" i="21" a="1"/>
  <c r="Q20" i="21" a="1"/>
  <c r="B20" i="21" a="1"/>
  <c r="G20" i="21" a="1"/>
  <c r="H20" i="21" a="1"/>
  <c r="AD20" i="21" a="1"/>
  <c r="K20" i="21" a="1"/>
  <c r="R20" i="21" a="1"/>
  <c r="V20" i="21" a="1"/>
  <c r="W20" i="21" a="1"/>
  <c r="I20" i="21" a="1"/>
  <c r="AB20" i="21" a="1"/>
  <c r="S20" i="21" a="1"/>
  <c r="J28" i="21" a="1"/>
  <c r="V28" i="21" a="1"/>
  <c r="Q28" i="21" a="1"/>
  <c r="Y28" i="21" a="1"/>
  <c r="B28" i="21" a="1"/>
  <c r="E28" i="21" a="1"/>
  <c r="R28" i="21" a="1"/>
  <c r="M28" i="21" a="1"/>
  <c r="AB28" i="21" a="1"/>
  <c r="K28" i="21" a="1"/>
  <c r="AC28" i="21" a="1"/>
  <c r="I28" i="21" a="1"/>
  <c r="O28" i="21" a="1"/>
  <c r="AE28" i="21" a="1"/>
  <c r="Z28" i="21" a="1"/>
  <c r="H28" i="21" a="1"/>
  <c r="T28" i="21" a="1"/>
  <c r="U28" i="21" a="1"/>
  <c r="F28" i="21" a="1"/>
  <c r="X28" i="21" a="1"/>
  <c r="S28" i="21" a="1"/>
  <c r="W28" i="21" a="1"/>
  <c r="AA28" i="21" a="1"/>
  <c r="D28" i="21" a="1"/>
  <c r="C28" i="21" a="1"/>
  <c r="L28" i="21" a="1"/>
  <c r="N28" i="21" a="1"/>
  <c r="AD28" i="21" a="1"/>
  <c r="G28" i="21" a="1"/>
  <c r="P28" i="21" a="1"/>
  <c r="F36" i="21" a="1"/>
  <c r="K36" i="21" a="1"/>
  <c r="G36" i="21" a="1"/>
  <c r="AC36" i="21" a="1"/>
  <c r="Q36" i="21" a="1"/>
  <c r="J36" i="21" a="1"/>
  <c r="AA36" i="21" a="1"/>
  <c r="D36" i="21" a="1"/>
  <c r="Y36" i="21" a="1"/>
  <c r="X36" i="21" a="1"/>
  <c r="E36" i="21" a="1"/>
  <c r="O36" i="21" a="1"/>
  <c r="M36" i="21" a="1"/>
  <c r="S36" i="21" a="1"/>
  <c r="Z36" i="21" a="1"/>
  <c r="H36" i="21" a="1"/>
  <c r="L36" i="21" a="1"/>
  <c r="AE36" i="21" a="1"/>
  <c r="R36" i="21" a="1"/>
  <c r="V36" i="21" a="1"/>
  <c r="B36" i="21" a="1"/>
  <c r="W36" i="21" a="1"/>
  <c r="I36" i="21" a="1"/>
  <c r="N36" i="21" a="1"/>
  <c r="T36" i="21" a="1"/>
  <c r="AD36" i="21" a="1"/>
  <c r="P36" i="21" a="1"/>
  <c r="AB36" i="21" a="1"/>
  <c r="C36" i="21" a="1"/>
  <c r="U36" i="21" a="1"/>
  <c r="S43" i="21" a="1"/>
  <c r="Q43" i="21" a="1"/>
  <c r="F43" i="21" a="1"/>
  <c r="N43" i="21" a="1"/>
  <c r="K43" i="21" a="1"/>
  <c r="E43" i="21" a="1"/>
  <c r="J43" i="21" a="1"/>
  <c r="U43" i="21" a="1"/>
  <c r="AA43" i="21" a="1"/>
  <c r="AB43" i="21" a="1"/>
  <c r="Z43" i="21" a="1"/>
  <c r="W43" i="21" a="1"/>
  <c r="M43" i="21" a="1"/>
  <c r="R43" i="21" a="1"/>
  <c r="D43" i="21" a="1"/>
  <c r="V43" i="21" a="1"/>
  <c r="I43" i="21" a="1"/>
  <c r="O43" i="21" a="1"/>
  <c r="T43" i="21" a="1"/>
  <c r="C43" i="21" a="1"/>
  <c r="B43" i="21" a="1"/>
  <c r="AE43" i="21" a="1"/>
  <c r="H43" i="21" a="1"/>
  <c r="Y43" i="21" a="1"/>
  <c r="X43" i="21" a="1"/>
  <c r="AD43" i="21" a="1"/>
  <c r="G43" i="21" a="1"/>
  <c r="L43" i="21" a="1"/>
  <c r="AC43" i="21" a="1"/>
  <c r="P43" i="21" a="1"/>
  <c r="O59" i="21" a="1"/>
  <c r="AA59" i="21" a="1"/>
  <c r="V59" i="21" a="1"/>
  <c r="Z59" i="21" a="1"/>
  <c r="I59" i="21" a="1"/>
  <c r="F59" i="21" a="1"/>
  <c r="U59" i="21" a="1"/>
  <c r="AC59" i="21" a="1"/>
  <c r="P59" i="21" a="1"/>
  <c r="B59" i="21" a="1"/>
  <c r="AE59" i="21" a="1"/>
  <c r="G59" i="21" a="1"/>
  <c r="E59" i="21" a="1"/>
  <c r="T59" i="21" a="1"/>
  <c r="AB59" i="21" a="1"/>
  <c r="AD59" i="21" a="1"/>
  <c r="N59" i="21" a="1"/>
  <c r="S59" i="21" a="1"/>
  <c r="X59" i="21" a="1"/>
  <c r="K59" i="21" a="1"/>
  <c r="W59" i="21" a="1"/>
  <c r="R59" i="21" a="1"/>
  <c r="C59" i="21" a="1"/>
  <c r="L59" i="21" a="1"/>
  <c r="J59" i="21" a="1"/>
  <c r="Y59" i="21" a="1"/>
  <c r="H59" i="21" a="1"/>
  <c r="D59" i="21" a="1"/>
  <c r="Q59" i="21" a="1"/>
  <c r="M59" i="21" a="1"/>
  <c r="E98" i="21" a="1"/>
  <c r="AE98" i="21" a="1"/>
  <c r="AC98" i="21" a="1"/>
  <c r="Q98" i="21" a="1"/>
  <c r="N98" i="21" a="1"/>
  <c r="H98" i="21" a="1"/>
  <c r="D98" i="21" a="1"/>
  <c r="R98" i="21" a="1"/>
  <c r="K98" i="21" a="1"/>
  <c r="M98" i="21" a="1"/>
  <c r="O98" i="21" a="1"/>
  <c r="Z98" i="21" a="1"/>
  <c r="S98" i="21" a="1"/>
  <c r="T98" i="21" a="1"/>
  <c r="AD98" i="21" a="1"/>
  <c r="L98" i="21" a="1"/>
  <c r="P98" i="21" a="1"/>
  <c r="AA98" i="21" a="1"/>
  <c r="G98" i="21" a="1"/>
  <c r="F98" i="21" a="1"/>
  <c r="J98" i="21" a="1"/>
  <c r="U98" i="21" a="1"/>
  <c r="C98" i="21" a="1"/>
  <c r="Y98" i="21" a="1"/>
  <c r="B98" i="21" a="1"/>
  <c r="W98" i="21" a="1"/>
  <c r="AB98" i="21" a="1"/>
  <c r="X98" i="21" a="1"/>
  <c r="I98" i="21" a="1"/>
  <c r="V98" i="21" a="1"/>
  <c r="AC3" i="21" a="1"/>
  <c r="B3" i="21" a="1"/>
  <c r="S3" i="21" a="1"/>
  <c r="AD3" i="21" a="1"/>
  <c r="P3" i="21" a="1"/>
  <c r="Z3" i="21" a="1"/>
  <c r="U3" i="21" a="1"/>
  <c r="T3" i="21" a="1"/>
  <c r="I3" i="21" a="1"/>
  <c r="H3" i="21" a="1"/>
  <c r="X3" i="21" a="1"/>
  <c r="Y3" i="21" a="1"/>
  <c r="M3" i="21" a="1"/>
  <c r="C3" i="21" a="1"/>
  <c r="F3" i="21" a="1"/>
  <c r="Q3" i="21" a="1"/>
  <c r="J3" i="21" a="1"/>
  <c r="AA3" i="21" a="1"/>
  <c r="AE3" i="21" a="1"/>
  <c r="G3" i="21" a="1"/>
  <c r="L3" i="21" a="1"/>
  <c r="R3" i="21" a="1"/>
  <c r="O3" i="21" a="1"/>
  <c r="V3" i="21" a="1"/>
  <c r="W3" i="21" a="1"/>
  <c r="N3" i="21" a="1"/>
  <c r="D3" i="21" a="1"/>
  <c r="AB3" i="21" a="1"/>
  <c r="E3" i="21" a="1"/>
  <c r="K3" i="21" a="1"/>
  <c r="O11" i="21" a="1"/>
  <c r="Q11" i="21" a="1"/>
  <c r="R11" i="21" a="1"/>
  <c r="P11" i="21" a="1"/>
  <c r="V11" i="21" a="1"/>
  <c r="AC11" i="21" a="1"/>
  <c r="K11" i="21" a="1"/>
  <c r="S11" i="21" a="1"/>
  <c r="W11" i="21" a="1"/>
  <c r="X11" i="21" a="1"/>
  <c r="Z11" i="21" a="1"/>
  <c r="Y11" i="21" a="1"/>
  <c r="H11" i="21" a="1"/>
  <c r="D11" i="21" a="1"/>
  <c r="AA11" i="21" a="1"/>
  <c r="N11" i="21" a="1"/>
  <c r="AE11" i="21" a="1"/>
  <c r="L11" i="21" a="1"/>
  <c r="E11" i="21" a="1"/>
  <c r="F11" i="21" a="1"/>
  <c r="B11" i="21" a="1"/>
  <c r="AD11" i="21" a="1"/>
  <c r="T11" i="21" a="1"/>
  <c r="M11" i="21" a="1"/>
  <c r="I11" i="21" a="1"/>
  <c r="J11" i="21" a="1"/>
  <c r="AB11" i="21" a="1"/>
  <c r="U11" i="21" a="1"/>
  <c r="G11" i="21" a="1"/>
  <c r="C11" i="21" a="1"/>
  <c r="N19" i="21" a="1"/>
  <c r="AA19" i="21" a="1"/>
  <c r="H19" i="21" a="1"/>
  <c r="X19" i="21" a="1"/>
  <c r="D19" i="21" a="1"/>
  <c r="F19" i="21" a="1"/>
  <c r="C19" i="21" a="1"/>
  <c r="Q19" i="21" a="1"/>
  <c r="AB19" i="21" a="1"/>
  <c r="L19" i="21" a="1"/>
  <c r="Z19" i="21" a="1"/>
  <c r="O19" i="21" a="1"/>
  <c r="B19" i="21" a="1"/>
  <c r="U19" i="21" a="1"/>
  <c r="AE19" i="21" a="1"/>
  <c r="R19" i="21" a="1"/>
  <c r="AD19" i="21" a="1"/>
  <c r="S19" i="21" a="1"/>
  <c r="P19" i="21" a="1"/>
  <c r="Y19" i="21" a="1"/>
  <c r="K19" i="21" a="1"/>
  <c r="G19" i="21" a="1"/>
  <c r="T19" i="21" a="1"/>
  <c r="W19" i="21" a="1"/>
  <c r="V19" i="21" a="1"/>
  <c r="J19" i="21" a="1"/>
  <c r="E19" i="21" a="1"/>
  <c r="M19" i="21" a="1"/>
  <c r="I19" i="21" a="1"/>
  <c r="AC19" i="21" a="1"/>
  <c r="C27" i="21" a="1"/>
  <c r="D27" i="21" a="1"/>
  <c r="I27" i="21" a="1"/>
  <c r="AD27" i="21" a="1"/>
  <c r="S27" i="21" a="1"/>
  <c r="X27" i="21" a="1"/>
  <c r="AC27" i="21" a="1"/>
  <c r="F27" i="21" a="1"/>
  <c r="L27" i="21" a="1"/>
  <c r="G27" i="21" a="1"/>
  <c r="E27" i="21" a="1"/>
  <c r="Q27" i="21" a="1"/>
  <c r="J27" i="21" a="1"/>
  <c r="V27" i="21" a="1"/>
  <c r="W27" i="21" a="1"/>
  <c r="B27" i="21" a="1"/>
  <c r="AB27" i="21" a="1"/>
  <c r="U27" i="21" a="1"/>
  <c r="P27" i="21" a="1"/>
  <c r="H27" i="21" a="1"/>
  <c r="T27" i="21" a="1"/>
  <c r="N27" i="21" a="1"/>
  <c r="R27" i="21" a="1"/>
  <c r="Y27" i="21" a="1"/>
  <c r="Z27" i="21" a="1"/>
  <c r="AA27" i="21" a="1"/>
  <c r="AE27" i="21" a="1"/>
  <c r="K27" i="21" a="1"/>
  <c r="M27" i="21" a="1"/>
  <c r="O27" i="21" a="1"/>
  <c r="Z35" i="21" a="1"/>
  <c r="AC35" i="21" a="1"/>
  <c r="AA35" i="21" a="1"/>
  <c r="N35" i="21" a="1"/>
  <c r="V35" i="21" a="1"/>
  <c r="AE35" i="21" a="1"/>
  <c r="K35" i="21" a="1"/>
  <c r="W35" i="21" a="1"/>
  <c r="U35" i="21" a="1"/>
  <c r="AB35" i="21" a="1"/>
  <c r="E35" i="21" a="1"/>
  <c r="I35" i="21" a="1"/>
  <c r="AD35" i="21" a="1"/>
  <c r="J35" i="21" a="1"/>
  <c r="O35" i="21" a="1"/>
  <c r="C35" i="21" a="1"/>
  <c r="Y35" i="21" a="1"/>
  <c r="D35" i="21" a="1"/>
  <c r="X35" i="21" a="1"/>
  <c r="B35" i="21" a="1"/>
  <c r="G35" i="21" a="1"/>
  <c r="M35" i="21" a="1"/>
  <c r="S35" i="21" a="1"/>
  <c r="L35" i="21" a="1"/>
  <c r="R35" i="21" a="1"/>
  <c r="Q35" i="21" a="1"/>
  <c r="P35" i="21" a="1"/>
  <c r="T35" i="21" a="1"/>
  <c r="F35" i="21" a="1"/>
  <c r="H35" i="21" a="1"/>
  <c r="O42" i="21" a="1"/>
  <c r="D42" i="21" a="1"/>
  <c r="C42" i="21" a="1"/>
  <c r="X42" i="21" a="1"/>
  <c r="U42" i="21" a="1"/>
  <c r="Y42" i="21" a="1"/>
  <c r="M42" i="21" a="1"/>
  <c r="B42" i="21" a="1"/>
  <c r="G42" i="21" a="1"/>
  <c r="Q42" i="21" a="1"/>
  <c r="S42" i="21" a="1"/>
  <c r="K42" i="21" a="1"/>
  <c r="T42" i="21" a="1"/>
  <c r="H42" i="21" a="1"/>
  <c r="F42" i="21" a="1"/>
  <c r="AD42" i="21" a="1"/>
  <c r="AB42" i="21" a="1"/>
  <c r="I42" i="21" a="1"/>
  <c r="AC42" i="21" a="1"/>
  <c r="P42" i="21" a="1"/>
  <c r="N42" i="21" a="1"/>
  <c r="AE42" i="21" a="1"/>
  <c r="W42" i="21" a="1"/>
  <c r="V42" i="21" a="1"/>
  <c r="AA42" i="21" a="1"/>
  <c r="E42" i="21" a="1"/>
  <c r="R42" i="21" a="1"/>
  <c r="J42" i="21" a="1"/>
  <c r="L42" i="21" a="1"/>
  <c r="Z42" i="21" a="1"/>
  <c r="M50" i="21" a="1"/>
  <c r="U50" i="21" a="1"/>
  <c r="G50" i="21" a="1"/>
  <c r="S50" i="21" a="1"/>
  <c r="C50" i="21" a="1"/>
  <c r="B50" i="21" a="1"/>
  <c r="K50" i="21" a="1"/>
  <c r="O50" i="21" a="1"/>
  <c r="J50" i="21" a="1"/>
  <c r="Z50" i="21" a="1"/>
  <c r="F50" i="21" a="1"/>
  <c r="AB50" i="21" a="1"/>
  <c r="AA50" i="21" a="1"/>
  <c r="I50" i="21" a="1"/>
  <c r="X50" i="21" a="1"/>
  <c r="AD50" i="21" a="1"/>
  <c r="AE50" i="21" a="1"/>
  <c r="V50" i="21" a="1"/>
  <c r="AC50" i="21" a="1"/>
  <c r="D50" i="21" a="1"/>
  <c r="R50" i="21" a="1"/>
  <c r="W50" i="21" a="1"/>
  <c r="Q50" i="21" a="1"/>
  <c r="T50" i="21" a="1"/>
  <c r="N50" i="21" a="1"/>
  <c r="L50" i="21" a="1"/>
  <c r="P50" i="21" a="1"/>
  <c r="Y50" i="21" a="1"/>
  <c r="H50" i="21" a="1"/>
  <c r="E50" i="21" a="1"/>
  <c r="F58" i="21" a="1"/>
  <c r="I58" i="21" a="1"/>
  <c r="P58" i="21" a="1"/>
  <c r="X58" i="21" a="1"/>
  <c r="D58" i="21" a="1"/>
  <c r="AC58" i="21" a="1"/>
  <c r="B58" i="21" a="1"/>
  <c r="Q58" i="21" a="1"/>
  <c r="G58" i="21" a="1"/>
  <c r="AA58" i="21" a="1"/>
  <c r="Y58" i="21" a="1"/>
  <c r="S58" i="21" a="1"/>
  <c r="H58" i="21" a="1"/>
  <c r="O58" i="21" a="1"/>
  <c r="W58" i="21" a="1"/>
  <c r="N58" i="21" a="1"/>
  <c r="U58" i="21" a="1"/>
  <c r="V58" i="21" a="1"/>
  <c r="R58" i="21" a="1"/>
  <c r="AB58" i="21" a="1"/>
  <c r="AE58" i="21" a="1"/>
  <c r="Z58" i="21" a="1"/>
  <c r="E58" i="21" a="1"/>
  <c r="M58" i="21" a="1"/>
  <c r="C58" i="21" a="1"/>
  <c r="K58" i="21" a="1"/>
  <c r="L58" i="21" a="1"/>
  <c r="T58" i="21" a="1"/>
  <c r="AD58" i="21" a="1"/>
  <c r="J58" i="21" a="1"/>
  <c r="N65" i="21" a="1"/>
  <c r="AB65" i="21" a="1"/>
  <c r="T65" i="21" a="1"/>
  <c r="W65" i="21" a="1"/>
  <c r="O65" i="21" a="1"/>
  <c r="E65" i="21" a="1"/>
  <c r="AC65" i="21" a="1"/>
  <c r="P65" i="21" a="1"/>
  <c r="H65" i="21" a="1"/>
  <c r="D65" i="21" a="1"/>
  <c r="AD65" i="21" a="1"/>
  <c r="F65" i="21" a="1"/>
  <c r="U65" i="21" a="1"/>
  <c r="I65" i="21" a="1"/>
  <c r="B65" i="21" a="1"/>
  <c r="Z65" i="21" a="1"/>
  <c r="S65" i="21" a="1"/>
  <c r="V65" i="21" a="1"/>
  <c r="X65" i="21" a="1"/>
  <c r="AE65" i="21" a="1"/>
  <c r="J65" i="21" a="1"/>
  <c r="C65" i="21" a="1"/>
  <c r="Q65" i="21" a="1"/>
  <c r="L65" i="21" a="1"/>
  <c r="R65" i="21" a="1"/>
  <c r="K65" i="21" a="1"/>
  <c r="AA65" i="21" a="1"/>
  <c r="G65" i="21" a="1"/>
  <c r="M65" i="21" a="1"/>
  <c r="Y65" i="21" a="1"/>
  <c r="AA73" i="21" a="1"/>
  <c r="O73" i="21" a="1"/>
  <c r="J73" i="21" a="1"/>
  <c r="K73" i="21" a="1"/>
  <c r="H73" i="21" a="1"/>
  <c r="F73" i="21" a="1"/>
  <c r="R73" i="21" a="1"/>
  <c r="S73" i="21" a="1"/>
  <c r="D73" i="21" a="1"/>
  <c r="Q73" i="21" a="1"/>
  <c r="W73" i="21" a="1"/>
  <c r="AC73" i="21" a="1"/>
  <c r="B73" i="21" a="1"/>
  <c r="E73" i="21" a="1"/>
  <c r="I73" i="21" a="1"/>
  <c r="P73" i="21" a="1"/>
  <c r="C73" i="21" a="1"/>
  <c r="AE73" i="21" a="1"/>
  <c r="N73" i="21" a="1"/>
  <c r="Y73" i="21" a="1"/>
  <c r="L73" i="21" a="1"/>
  <c r="U73" i="21" a="1"/>
  <c r="T73" i="21" a="1"/>
  <c r="X73" i="21" a="1"/>
  <c r="AB73" i="21" a="1"/>
  <c r="M73" i="21" a="1"/>
  <c r="V73" i="21" a="1"/>
  <c r="AD73" i="21" a="1"/>
  <c r="G73" i="21" a="1"/>
  <c r="Z73" i="21" a="1"/>
  <c r="O81" i="21" a="1"/>
  <c r="M81" i="21" a="1"/>
  <c r="F81" i="21" a="1"/>
  <c r="I81" i="21" a="1"/>
  <c r="R81" i="21" a="1"/>
  <c r="P81" i="21" a="1"/>
  <c r="J81" i="21" a="1"/>
  <c r="AE81" i="21" a="1"/>
  <c r="AA81" i="21" a="1"/>
  <c r="X81" i="21" a="1"/>
  <c r="K81" i="21" a="1"/>
  <c r="S81" i="21" a="1"/>
  <c r="B81" i="21" a="1"/>
  <c r="C81" i="21" a="1"/>
  <c r="H81" i="21" a="1"/>
  <c r="E81" i="21" a="1"/>
  <c r="G81" i="21" a="1"/>
  <c r="Q81" i="21" a="1"/>
  <c r="D81" i="21" a="1"/>
  <c r="T81" i="21" a="1"/>
  <c r="W81" i="21" a="1"/>
  <c r="L81" i="21" a="1"/>
  <c r="N81" i="21" a="1"/>
  <c r="AC81" i="21" a="1"/>
  <c r="U81" i="21" a="1"/>
  <c r="V81" i="21" a="1"/>
  <c r="Y81" i="21" a="1"/>
  <c r="AB81" i="21" a="1"/>
  <c r="Z81" i="21" a="1"/>
  <c r="AD81" i="21" a="1"/>
  <c r="J89" i="21" a="1"/>
  <c r="W89" i="21" a="1"/>
  <c r="M89" i="21" a="1"/>
  <c r="O89" i="21" a="1"/>
  <c r="T89" i="21" a="1"/>
  <c r="E89" i="21" a="1"/>
  <c r="N89" i="21" a="1"/>
  <c r="AE89" i="21" a="1"/>
  <c r="AB89" i="21" a="1"/>
  <c r="K89" i="21" a="1"/>
  <c r="C89" i="21" a="1"/>
  <c r="P89" i="21" a="1"/>
  <c r="Y89" i="21" a="1"/>
  <c r="AC89" i="21" a="1"/>
  <c r="V89" i="21" a="1"/>
  <c r="I89" i="21" a="1"/>
  <c r="D89" i="21" a="1"/>
  <c r="U89" i="21" a="1"/>
  <c r="Q89" i="21" a="1"/>
  <c r="F89" i="21" a="1"/>
  <c r="B89" i="21" a="1"/>
  <c r="X89" i="21" a="1"/>
  <c r="R89" i="21" a="1"/>
  <c r="AD89" i="21" a="1"/>
  <c r="AA89" i="21" a="1"/>
  <c r="L89" i="21" a="1"/>
  <c r="G89" i="21" a="1"/>
  <c r="S89" i="21" a="1"/>
  <c r="H89" i="21" a="1"/>
  <c r="Z89" i="21" a="1"/>
  <c r="P97" i="21" a="1"/>
  <c r="X97" i="21" a="1"/>
  <c r="M97" i="21" a="1"/>
  <c r="I97" i="21" a="1"/>
  <c r="AB97" i="21" a="1"/>
  <c r="Q97" i="21" a="1"/>
  <c r="F97" i="21" a="1"/>
  <c r="Y97" i="21" a="1"/>
  <c r="O97" i="21" a="1"/>
  <c r="N97" i="21" a="1"/>
  <c r="K97" i="21" a="1"/>
  <c r="H97" i="21" a="1"/>
  <c r="AD97" i="21" a="1"/>
  <c r="AE97" i="21" a="1"/>
  <c r="C97" i="21" a="1"/>
  <c r="V97" i="21" a="1"/>
  <c r="E97" i="21" a="1"/>
  <c r="B97" i="21" a="1"/>
  <c r="W97" i="21" a="1"/>
  <c r="J97" i="21" a="1"/>
  <c r="AC97" i="21" a="1"/>
  <c r="G97" i="21" a="1"/>
  <c r="R97" i="21" a="1"/>
  <c r="T97" i="21" a="1"/>
  <c r="L97" i="21" a="1"/>
  <c r="Z97" i="21" a="1"/>
  <c r="AA97" i="21" a="1"/>
  <c r="D97" i="21" a="1"/>
  <c r="S97" i="21" a="1"/>
  <c r="U97" i="21" a="1"/>
  <c r="C2" i="21" a="1"/>
  <c r="B2" i="21" a="1"/>
  <c r="V2" i="21" a="1"/>
  <c r="X2" i="21" a="1"/>
  <c r="E2" i="21" a="1"/>
  <c r="F2" i="21" a="1"/>
  <c r="G2" i="21" a="1"/>
  <c r="Z2" i="21" a="1"/>
  <c r="K2" i="21" a="1"/>
  <c r="S2" i="21" a="1"/>
  <c r="I2" i="21" a="1"/>
  <c r="AD2" i="21" a="1"/>
  <c r="D2" i="21" a="1"/>
  <c r="M2" i="21" a="1"/>
  <c r="N2" i="21" a="1"/>
  <c r="Q2" i="21" a="1"/>
  <c r="J2" i="21" a="1"/>
  <c r="R2" i="21" a="1"/>
  <c r="W2" i="21" a="1"/>
  <c r="O2" i="21" a="1"/>
  <c r="U2" i="21" a="1"/>
  <c r="L2" i="21" a="1"/>
  <c r="Y2" i="21" a="1"/>
  <c r="AA2" i="21" a="1"/>
  <c r="T2" i="21" a="1"/>
  <c r="H2" i="21" a="1"/>
  <c r="AC2" i="21" a="1"/>
  <c r="AE2" i="21" a="1"/>
  <c r="AB2" i="21" a="1"/>
  <c r="P2" i="21" a="1"/>
  <c r="F57" i="21" a="1"/>
  <c r="Y57" i="21" a="1"/>
  <c r="AA57" i="21" a="1"/>
  <c r="G57" i="21" a="1"/>
  <c r="O57" i="21" a="1"/>
  <c r="I57" i="21" a="1"/>
  <c r="T57" i="21" a="1"/>
  <c r="K57" i="21" a="1"/>
  <c r="L57" i="21" a="1"/>
  <c r="J57" i="21" a="1"/>
  <c r="AD57" i="21" a="1"/>
  <c r="E57" i="21" a="1"/>
  <c r="N57" i="21" a="1"/>
  <c r="C57" i="21" a="1"/>
  <c r="S57" i="21" a="1"/>
  <c r="AE57" i="21" a="1"/>
  <c r="B57" i="21" a="1"/>
  <c r="AB57" i="21" a="1"/>
  <c r="P57" i="21" a="1"/>
  <c r="X57" i="21" a="1"/>
  <c r="W57" i="21" a="1"/>
  <c r="V57" i="21" a="1"/>
  <c r="Z57" i="21" a="1"/>
  <c r="U57" i="21" a="1"/>
  <c r="D57" i="21" a="1"/>
  <c r="AC57" i="21" a="1"/>
  <c r="H57" i="21" a="1"/>
  <c r="R57" i="21" a="1"/>
  <c r="Q57" i="21" a="1"/>
  <c r="M57" i="21" a="1"/>
  <c r="R64" i="21" a="1"/>
  <c r="I64" i="21" a="1"/>
  <c r="AA64" i="21" a="1"/>
  <c r="D64" i="21" a="1"/>
  <c r="T64" i="21" a="1"/>
  <c r="X64" i="21" a="1"/>
  <c r="Y64" i="21" a="1"/>
  <c r="AC64" i="21" a="1"/>
  <c r="Z64" i="21" a="1"/>
  <c r="L64" i="21" a="1"/>
  <c r="G64" i="21" a="1"/>
  <c r="B64" i="21" a="1"/>
  <c r="AD64" i="21" a="1"/>
  <c r="U64" i="21" a="1"/>
  <c r="K64" i="21" a="1"/>
  <c r="H64" i="21" a="1"/>
  <c r="C64" i="21" a="1"/>
  <c r="O64" i="21" a="1"/>
  <c r="F64" i="21" a="1"/>
  <c r="E64" i="21" a="1"/>
  <c r="AE64" i="21" a="1"/>
  <c r="Q64" i="21" a="1"/>
  <c r="P64" i="21" a="1"/>
  <c r="V64" i="21" a="1"/>
  <c r="M64" i="21" a="1"/>
  <c r="N64" i="21" a="1"/>
  <c r="W64" i="21" a="1"/>
  <c r="AB64" i="21" a="1"/>
  <c r="S64" i="21" a="1"/>
  <c r="J64" i="21" a="1"/>
  <c r="U72" i="21" a="1"/>
  <c r="B72" i="21" a="1"/>
  <c r="AB72" i="21" a="1"/>
  <c r="AE72" i="21" a="1"/>
  <c r="N72" i="21" a="1"/>
  <c r="AD72" i="21" a="1"/>
  <c r="I72" i="21" a="1"/>
  <c r="AA72" i="21" a="1"/>
  <c r="Q72" i="21" a="1"/>
  <c r="E72" i="21" a="1"/>
  <c r="Y72" i="21" a="1"/>
  <c r="X72" i="21" a="1"/>
  <c r="O72" i="21" a="1"/>
  <c r="D72" i="21" a="1"/>
  <c r="G72" i="21" a="1"/>
  <c r="M72" i="21" a="1"/>
  <c r="AC72" i="21" a="1"/>
  <c r="C72" i="21" a="1"/>
  <c r="S72" i="21" a="1"/>
  <c r="F72" i="21" a="1"/>
  <c r="L72" i="21" a="1"/>
  <c r="W72" i="21" a="1"/>
  <c r="J72" i="21" a="1"/>
  <c r="P72" i="21" a="1"/>
  <c r="V72" i="21" a="1"/>
  <c r="T72" i="21" a="1"/>
  <c r="K72" i="21" a="1"/>
  <c r="R72" i="21" a="1"/>
  <c r="H72" i="21" a="1"/>
  <c r="Z72" i="21" a="1"/>
  <c r="J88" i="21" a="1"/>
  <c r="O88" i="21" a="1"/>
  <c r="P88" i="21" a="1"/>
  <c r="L88" i="21" a="1"/>
  <c r="G88" i="21" a="1"/>
  <c r="E88" i="21" a="1"/>
  <c r="Y88" i="21" a="1"/>
  <c r="B88" i="21" a="1"/>
  <c r="C88" i="21" a="1"/>
  <c r="U88" i="21" a="1"/>
  <c r="N88" i="21" a="1"/>
  <c r="AD88" i="21" a="1"/>
  <c r="F88" i="21" a="1"/>
  <c r="D88" i="21" a="1"/>
  <c r="K88" i="21" a="1"/>
  <c r="X88" i="21" a="1"/>
  <c r="T88" i="21" a="1"/>
  <c r="S88" i="21" a="1"/>
  <c r="AC88" i="21" a="1"/>
  <c r="AB88" i="21" a="1"/>
  <c r="Q88" i="21" a="1"/>
  <c r="Z88" i="21" a="1"/>
  <c r="V88" i="21" a="1"/>
  <c r="I88" i="21" a="1"/>
  <c r="AA88" i="21" a="1"/>
  <c r="R88" i="21" a="1"/>
  <c r="H88" i="21" a="1"/>
  <c r="AE88" i="21" a="1"/>
  <c r="M88" i="21" a="1"/>
  <c r="W88" i="21" a="1"/>
  <c r="J96" i="21" a="1"/>
  <c r="Q96" i="21" a="1"/>
  <c r="B96" i="21" a="1"/>
  <c r="AE96" i="21" a="1"/>
  <c r="K96" i="21" a="1"/>
  <c r="E96" i="21" a="1"/>
  <c r="O96" i="21" a="1"/>
  <c r="N96" i="21" a="1"/>
  <c r="M96" i="21" a="1"/>
  <c r="AA96" i="21" a="1"/>
  <c r="D96" i="21" a="1"/>
  <c r="AD96" i="21" a="1"/>
  <c r="I96" i="21" a="1"/>
  <c r="S96" i="21" a="1"/>
  <c r="H96" i="21" a="1"/>
  <c r="W96" i="21" a="1"/>
  <c r="Y96" i="21" a="1"/>
  <c r="R96" i="21" a="1"/>
  <c r="L96" i="21" a="1"/>
  <c r="G96" i="21" a="1"/>
  <c r="Z96" i="21" a="1"/>
  <c r="T96" i="21" a="1"/>
  <c r="AB96" i="21" a="1"/>
  <c r="V96" i="21" a="1"/>
  <c r="U96" i="21" a="1"/>
  <c r="X96" i="21" a="1"/>
  <c r="C96" i="21" a="1"/>
  <c r="AC96" i="21" a="1"/>
  <c r="F96" i="21" a="1"/>
  <c r="P96" i="21" a="1"/>
  <c r="K10" i="21" a="1"/>
  <c r="I10" i="21" a="1"/>
  <c r="S10" i="21" a="1"/>
  <c r="AE10" i="21" a="1"/>
  <c r="D10" i="21" a="1"/>
  <c r="G10" i="21" a="1"/>
  <c r="T10" i="21" a="1"/>
  <c r="X10" i="21" a="1"/>
  <c r="C10" i="21" a="1"/>
  <c r="AA10" i="21" a="1"/>
  <c r="P10" i="21" a="1"/>
  <c r="F10" i="21" a="1"/>
  <c r="Q10" i="21" a="1"/>
  <c r="H10" i="21" a="1"/>
  <c r="J10" i="21" a="1"/>
  <c r="N10" i="21" a="1"/>
  <c r="M10" i="21" a="1"/>
  <c r="O10" i="21" a="1"/>
  <c r="L10" i="21" a="1"/>
  <c r="R10" i="21" a="1"/>
  <c r="W10" i="21" a="1"/>
  <c r="AD10" i="21" a="1"/>
  <c r="AB10" i="21" a="1"/>
  <c r="V10" i="21" a="1"/>
  <c r="E10" i="21" a="1"/>
  <c r="Y10" i="21" a="1"/>
  <c r="Z10" i="21" a="1"/>
  <c r="AC10" i="21" a="1"/>
  <c r="U10" i="21" a="1"/>
  <c r="B10" i="21" a="1"/>
  <c r="AC18" i="21" a="1"/>
  <c r="V18" i="21" a="1"/>
  <c r="P18" i="21" a="1"/>
  <c r="C18" i="21" a="1"/>
  <c r="Y18" i="21" a="1"/>
  <c r="T18" i="21" a="1"/>
  <c r="Q18" i="21" a="1"/>
  <c r="H18" i="21" a="1"/>
  <c r="G18" i="21" a="1"/>
  <c r="R18" i="21" a="1"/>
  <c r="I18" i="21" a="1"/>
  <c r="S18" i="21" a="1"/>
  <c r="AD18" i="21" a="1"/>
  <c r="K18" i="21" a="1"/>
  <c r="N18" i="21" a="1"/>
  <c r="W18" i="21" a="1"/>
  <c r="AE18" i="21" a="1"/>
  <c r="M18" i="21" a="1"/>
  <c r="L18" i="21" a="1"/>
  <c r="Z18" i="21" a="1"/>
  <c r="AA18" i="21" a="1"/>
  <c r="E18" i="21" a="1"/>
  <c r="O18" i="21" a="1"/>
  <c r="B18" i="21" a="1"/>
  <c r="U18" i="21" a="1"/>
  <c r="J18" i="21" a="1"/>
  <c r="X18" i="21" a="1"/>
  <c r="D18" i="21" a="1"/>
  <c r="AB18" i="21" a="1"/>
  <c r="F18" i="21" a="1"/>
  <c r="T26" i="21" a="1"/>
  <c r="O26" i="21" a="1"/>
  <c r="Y26" i="21" a="1"/>
  <c r="AA26" i="21" a="1"/>
  <c r="P26" i="21" a="1"/>
  <c r="K26" i="21" a="1"/>
  <c r="U26" i="21" a="1"/>
  <c r="I26" i="21" a="1"/>
  <c r="AD26" i="21" a="1"/>
  <c r="L26" i="21" a="1"/>
  <c r="X26" i="21" a="1"/>
  <c r="Q26" i="21" a="1"/>
  <c r="W26" i="21" a="1"/>
  <c r="AE26" i="21" a="1"/>
  <c r="M26" i="21" a="1"/>
  <c r="C26" i="21" a="1"/>
  <c r="H26" i="21" a="1"/>
  <c r="B26" i="21" a="1"/>
  <c r="E26" i="21" a="1"/>
  <c r="G26" i="21" a="1"/>
  <c r="S26" i="21" a="1"/>
  <c r="F26" i="21" a="1"/>
  <c r="R26" i="21" a="1"/>
  <c r="V26" i="21" a="1"/>
  <c r="Z26" i="21" a="1"/>
  <c r="J26" i="21" a="1"/>
  <c r="D26" i="21" a="1"/>
  <c r="AB26" i="21" a="1"/>
  <c r="AC26" i="21" a="1"/>
  <c r="N26" i="21" a="1"/>
  <c r="Z34" i="21" a="1"/>
  <c r="S34" i="21" a="1"/>
  <c r="E34" i="21" a="1"/>
  <c r="AE34" i="21" a="1"/>
  <c r="H34" i="21" a="1"/>
  <c r="AC34" i="21" a="1"/>
  <c r="G34" i="21" a="1"/>
  <c r="R34" i="21" a="1"/>
  <c r="B34" i="21" a="1"/>
  <c r="C34" i="21" a="1"/>
  <c r="AB34" i="21" a="1"/>
  <c r="Q34" i="21" a="1"/>
  <c r="AA34" i="21" a="1"/>
  <c r="K34" i="21" a="1"/>
  <c r="L34" i="21" a="1"/>
  <c r="P34" i="21" a="1"/>
  <c r="D34" i="21" a="1"/>
  <c r="I34" i="21" a="1"/>
  <c r="M34" i="21" a="1"/>
  <c r="N34" i="21" a="1"/>
  <c r="Y34" i="21" a="1"/>
  <c r="O34" i="21" a="1"/>
  <c r="AD34" i="21" a="1"/>
  <c r="J34" i="21" a="1"/>
  <c r="X34" i="21" a="1"/>
  <c r="W34" i="21" a="1"/>
  <c r="V34" i="21" a="1"/>
  <c r="U34" i="21" a="1"/>
  <c r="T34" i="21" a="1"/>
  <c r="F34" i="21" a="1"/>
  <c r="M41" i="21" a="1"/>
  <c r="T41" i="21" a="1"/>
  <c r="R41" i="21" a="1"/>
  <c r="V41" i="21" a="1"/>
  <c r="L41" i="21" a="1"/>
  <c r="J41" i="21" a="1"/>
  <c r="B41" i="21" a="1"/>
  <c r="Z41" i="21" a="1"/>
  <c r="AE41" i="21" a="1"/>
  <c r="W41" i="21" a="1"/>
  <c r="Y41" i="21" a="1"/>
  <c r="F41" i="21" a="1"/>
  <c r="AB41" i="21" a="1"/>
  <c r="I41" i="21" a="1"/>
  <c r="AD41" i="21" a="1"/>
  <c r="U41" i="21" a="1"/>
  <c r="AA41" i="21" a="1"/>
  <c r="Q41" i="21" a="1"/>
  <c r="E41" i="21" a="1"/>
  <c r="K41" i="21" a="1"/>
  <c r="O41" i="21" a="1"/>
  <c r="X41" i="21" a="1"/>
  <c r="D41" i="21" a="1"/>
  <c r="AC41" i="21" a="1"/>
  <c r="C41" i="21" a="1"/>
  <c r="N41" i="21" a="1"/>
  <c r="G41" i="21" a="1"/>
  <c r="H41" i="21" a="1"/>
  <c r="S41" i="21" a="1"/>
  <c r="P41" i="21" a="1"/>
  <c r="J49" i="21" a="1"/>
  <c r="C49" i="21" a="1"/>
  <c r="P49" i="21" a="1"/>
  <c r="Y49" i="21" a="1"/>
  <c r="N49" i="21" a="1"/>
  <c r="AC49" i="21" a="1"/>
  <c r="L49" i="21" a="1"/>
  <c r="AA49" i="21" a="1"/>
  <c r="Q49" i="21" a="1"/>
  <c r="I49" i="21" a="1"/>
  <c r="S49" i="21" a="1"/>
  <c r="Z49" i="21" a="1"/>
  <c r="D49" i="21" a="1"/>
  <c r="E49" i="21" a="1"/>
  <c r="R49" i="21" a="1"/>
  <c r="M49" i="21" a="1"/>
  <c r="B49" i="21" a="1"/>
  <c r="W49" i="21" a="1"/>
  <c r="O49" i="21" a="1"/>
  <c r="U49" i="21" a="1"/>
  <c r="G49" i="21" a="1"/>
  <c r="AB49" i="21" a="1"/>
  <c r="V49" i="21" a="1"/>
  <c r="T49" i="21" a="1"/>
  <c r="X49" i="21" a="1"/>
  <c r="K49" i="21" a="1"/>
  <c r="AE49" i="21" a="1"/>
  <c r="AD49" i="21" a="1"/>
  <c r="H49" i="21" a="1"/>
  <c r="F49" i="21" a="1"/>
  <c r="AC80" i="21" a="1"/>
  <c r="C80" i="21" a="1"/>
  <c r="B80" i="21" a="1"/>
  <c r="Q80" i="21" a="1"/>
  <c r="D80" i="21" a="1"/>
  <c r="W80" i="21" a="1"/>
  <c r="AD80" i="21" a="1"/>
  <c r="Z80" i="21" a="1"/>
  <c r="F80" i="21" a="1"/>
  <c r="V80" i="21" a="1"/>
  <c r="L80" i="21" a="1"/>
  <c r="X80" i="21" a="1"/>
  <c r="H80" i="21" a="1"/>
  <c r="AA80" i="21" a="1"/>
  <c r="K80" i="21" a="1"/>
  <c r="M80" i="21" a="1"/>
  <c r="R80" i="21" a="1"/>
  <c r="P80" i="21" a="1"/>
  <c r="AE80" i="21" a="1"/>
  <c r="E80" i="21" a="1"/>
  <c r="N80" i="21" a="1"/>
  <c r="J80" i="21" a="1"/>
  <c r="AB80" i="21" a="1"/>
  <c r="O80" i="21" a="1"/>
  <c r="U80" i="21" a="1"/>
  <c r="G80" i="21" a="1"/>
  <c r="T80" i="21" a="1"/>
  <c r="S80" i="21" a="1"/>
  <c r="I80" i="21" a="1"/>
  <c r="Y80" i="21" a="1"/>
  <c r="E9" i="21" a="1"/>
  <c r="H9" i="21" a="1"/>
  <c r="G9" i="21" a="1"/>
  <c r="W9" i="21" a="1"/>
  <c r="AA9" i="21" a="1"/>
  <c r="I9" i="21" a="1"/>
  <c r="V9" i="21" a="1"/>
  <c r="AD9" i="21" a="1"/>
  <c r="M9" i="21" a="1"/>
  <c r="X9" i="21" a="1"/>
  <c r="T9" i="21" a="1"/>
  <c r="P9" i="21" a="1"/>
  <c r="L9" i="21" a="1"/>
  <c r="N9" i="21" a="1"/>
  <c r="AE9" i="21" a="1"/>
  <c r="Q9" i="21" a="1"/>
  <c r="J9" i="21" a="1"/>
  <c r="C9" i="21" a="1"/>
  <c r="U9" i="21" a="1"/>
  <c r="Y9" i="21" a="1"/>
  <c r="B9" i="21" a="1"/>
  <c r="D9" i="21" a="1"/>
  <c r="R9" i="21" a="1"/>
  <c r="AB9" i="21" a="1"/>
  <c r="K9" i="21" a="1"/>
  <c r="Z9" i="21" a="1"/>
  <c r="F9" i="21" a="1"/>
  <c r="O9" i="21" a="1"/>
  <c r="S9" i="21" a="1"/>
  <c r="AC9" i="21" a="1"/>
  <c r="AA17" i="21" a="1"/>
  <c r="AC17" i="21" a="1"/>
  <c r="I17" i="21" a="1"/>
  <c r="C17" i="21" a="1"/>
  <c r="H17" i="21" a="1"/>
  <c r="D17" i="21" a="1"/>
  <c r="AB17" i="21" a="1"/>
  <c r="S17" i="21" a="1"/>
  <c r="R17" i="21" a="1"/>
  <c r="X17" i="21" a="1"/>
  <c r="L17" i="21" a="1"/>
  <c r="M17" i="21" a="1"/>
  <c r="K17" i="21" a="1"/>
  <c r="O17" i="21" a="1"/>
  <c r="E17" i="21" a="1"/>
  <c r="Z17" i="21" a="1"/>
  <c r="P17" i="21" a="1"/>
  <c r="T17" i="21" a="1"/>
  <c r="Q17" i="21" a="1"/>
  <c r="V17" i="21" a="1"/>
  <c r="G17" i="21" a="1"/>
  <c r="AE17" i="21" a="1"/>
  <c r="J17" i="21" a="1"/>
  <c r="N17" i="21" a="1"/>
  <c r="B17" i="21" a="1"/>
  <c r="F17" i="21" a="1"/>
  <c r="W17" i="21" a="1"/>
  <c r="Y17" i="21" a="1"/>
  <c r="U17" i="21" a="1"/>
  <c r="AD17" i="21" a="1"/>
  <c r="O25" i="21" a="1"/>
  <c r="AB25" i="21" a="1"/>
  <c r="R25" i="21" a="1"/>
  <c r="J25" i="21" a="1"/>
  <c r="C25" i="21" a="1"/>
  <c r="H25" i="21" a="1"/>
  <c r="Z25" i="21" a="1"/>
  <c r="L25" i="21" a="1"/>
  <c r="G25" i="21" a="1"/>
  <c r="AE25" i="21" a="1"/>
  <c r="F25" i="21" a="1"/>
  <c r="U25" i="21" a="1"/>
  <c r="S25" i="21" a="1"/>
  <c r="Y25" i="21" a="1"/>
  <c r="AD25" i="21" a="1"/>
  <c r="K25" i="21" a="1"/>
  <c r="B25" i="21" a="1"/>
  <c r="P25" i="21" a="1"/>
  <c r="X25" i="21" a="1"/>
  <c r="AC25" i="21" a="1"/>
  <c r="W25" i="21" a="1"/>
  <c r="V25" i="21" a="1"/>
  <c r="AA25" i="21" a="1"/>
  <c r="D25" i="21" a="1"/>
  <c r="E25" i="21" a="1"/>
  <c r="Q25" i="21" a="1"/>
  <c r="I25" i="21" a="1"/>
  <c r="N25" i="21" a="1"/>
  <c r="T25" i="21" a="1"/>
  <c r="M25" i="21" a="1"/>
  <c r="V33" i="21" a="1"/>
  <c r="T33" i="21" a="1"/>
  <c r="Z33" i="21" a="1"/>
  <c r="F33" i="21" a="1"/>
  <c r="K33" i="21" a="1"/>
  <c r="Q33" i="21" a="1"/>
  <c r="M33" i="21" a="1"/>
  <c r="O33" i="21" a="1"/>
  <c r="I33" i="21" a="1"/>
  <c r="AC33" i="21" a="1"/>
  <c r="R33" i="21" a="1"/>
  <c r="J33" i="21" a="1"/>
  <c r="AA33" i="21" a="1"/>
  <c r="S33" i="21" a="1"/>
  <c r="AB33" i="21" a="1"/>
  <c r="E33" i="21" a="1"/>
  <c r="Y33" i="21" a="1"/>
  <c r="C33" i="21" a="1"/>
  <c r="X33" i="21" a="1"/>
  <c r="N33" i="21" a="1"/>
  <c r="W33" i="21" a="1"/>
  <c r="B33" i="21" a="1"/>
  <c r="L33" i="21" a="1"/>
  <c r="H33" i="21" a="1"/>
  <c r="P33" i="21" a="1"/>
  <c r="U33" i="21" a="1"/>
  <c r="D33" i="21" a="1"/>
  <c r="AD33" i="21" a="1"/>
  <c r="AE33" i="21" a="1"/>
  <c r="G33" i="21" a="1"/>
  <c r="C40" i="21" a="1"/>
  <c r="AC40" i="21" a="1"/>
  <c r="Q40" i="21" a="1"/>
  <c r="D40" i="21" a="1"/>
  <c r="Y40" i="21" a="1"/>
  <c r="P40" i="21" a="1"/>
  <c r="F40" i="21" a="1"/>
  <c r="AB40" i="21" a="1"/>
  <c r="K40" i="21" a="1"/>
  <c r="M40" i="21" a="1"/>
  <c r="U40" i="21" a="1"/>
  <c r="B40" i="21" a="1"/>
  <c r="S40" i="21" a="1"/>
  <c r="I40" i="21" a="1"/>
  <c r="H40" i="21" a="1"/>
  <c r="AD40" i="21" a="1"/>
  <c r="G40" i="21" a="1"/>
  <c r="V40" i="21" a="1"/>
  <c r="Z40" i="21" a="1"/>
  <c r="E40" i="21" a="1"/>
  <c r="AA40" i="21" a="1"/>
  <c r="AE40" i="21" a="1"/>
  <c r="N40" i="21" a="1"/>
  <c r="O40" i="21" a="1"/>
  <c r="W40" i="21" a="1"/>
  <c r="R40" i="21" a="1"/>
  <c r="T40" i="21" a="1"/>
  <c r="X40" i="21" a="1"/>
  <c r="L40" i="21" a="1"/>
  <c r="J40" i="21" a="1"/>
  <c r="E48" i="21" a="1"/>
  <c r="AC48" i="21" a="1"/>
  <c r="W48" i="21" a="1"/>
  <c r="P48" i="21" a="1"/>
  <c r="K48" i="21" a="1"/>
  <c r="AB48" i="21" a="1"/>
  <c r="V48" i="21" a="1"/>
  <c r="AE48" i="21" a="1"/>
  <c r="X48" i="21" a="1"/>
  <c r="L48" i="21" a="1"/>
  <c r="F48" i="21" a="1"/>
  <c r="R48" i="21" a="1"/>
  <c r="O48" i="21" a="1"/>
  <c r="AD48" i="21" a="1"/>
  <c r="S48" i="21" a="1"/>
  <c r="Y48" i="21" a="1"/>
  <c r="U48" i="21" a="1"/>
  <c r="G48" i="21" a="1"/>
  <c r="C48" i="21" a="1"/>
  <c r="B48" i="21" a="1"/>
  <c r="Z48" i="21" a="1"/>
  <c r="I48" i="21" a="1"/>
  <c r="J48" i="21" a="1"/>
  <c r="N48" i="21" a="1"/>
  <c r="AA48" i="21" a="1"/>
  <c r="H48" i="21" a="1"/>
  <c r="D48" i="21" a="1"/>
  <c r="T48" i="21" a="1"/>
  <c r="Q48" i="21" a="1"/>
  <c r="M48" i="21" a="1"/>
  <c r="D56" i="21" a="1"/>
  <c r="I56" i="21" a="1"/>
  <c r="L56" i="21" a="1"/>
  <c r="AE56" i="21" a="1"/>
  <c r="N56" i="21" a="1"/>
  <c r="G56" i="21" a="1"/>
  <c r="P56" i="21" a="1"/>
  <c r="AD56" i="21" a="1"/>
  <c r="AA56" i="21" a="1"/>
  <c r="W56" i="21" a="1"/>
  <c r="T56" i="21" a="1"/>
  <c r="E56" i="21" a="1"/>
  <c r="R56" i="21" a="1"/>
  <c r="F56" i="21" a="1"/>
  <c r="U56" i="21" a="1"/>
  <c r="AB56" i="21" a="1"/>
  <c r="C56" i="21" a="1"/>
  <c r="V56" i="21" a="1"/>
  <c r="K56" i="21" a="1"/>
  <c r="M56" i="21" a="1"/>
  <c r="AC56" i="21" a="1"/>
  <c r="H56" i="21" a="1"/>
  <c r="S56" i="21" a="1"/>
  <c r="Q56" i="21" a="1"/>
  <c r="O56" i="21" a="1"/>
  <c r="J56" i="21" a="1"/>
  <c r="X56" i="21" a="1"/>
  <c r="B56" i="21" a="1"/>
  <c r="Z56" i="21" a="1"/>
  <c r="Y56" i="21" a="1"/>
  <c r="M63" i="21" a="1"/>
  <c r="H63" i="21" a="1"/>
  <c r="AC63" i="21" a="1"/>
  <c r="X63" i="21" a="1"/>
  <c r="S63" i="21" a="1"/>
  <c r="U63" i="21" a="1"/>
  <c r="F63" i="21" a="1"/>
  <c r="L63" i="21" a="1"/>
  <c r="P63" i="21" a="1"/>
  <c r="AE63" i="21" a="1"/>
  <c r="AB63" i="21" a="1"/>
  <c r="C63" i="21" a="1"/>
  <c r="B63" i="21" a="1"/>
  <c r="AA63" i="21" a="1"/>
  <c r="D63" i="21" a="1"/>
  <c r="J63" i="21" a="1"/>
  <c r="N63" i="21" a="1"/>
  <c r="Y63" i="21" a="1"/>
  <c r="K63" i="21" a="1"/>
  <c r="T63" i="21" a="1"/>
  <c r="E63" i="21" a="1"/>
  <c r="O63" i="21" a="1"/>
  <c r="Z63" i="21" a="1"/>
  <c r="V63" i="21" a="1"/>
  <c r="W63" i="21" a="1"/>
  <c r="R63" i="21" a="1"/>
  <c r="I63" i="21" a="1"/>
  <c r="G63" i="21" a="1"/>
  <c r="AD63" i="21" a="1"/>
  <c r="Q63" i="21" a="1"/>
  <c r="AE71" i="21" a="1"/>
  <c r="U71" i="21" a="1"/>
  <c r="X71" i="21" a="1"/>
  <c r="E71" i="21" a="1"/>
  <c r="G71" i="21" a="1"/>
  <c r="AD71" i="21" a="1"/>
  <c r="L71" i="21" a="1"/>
  <c r="M71" i="21" a="1"/>
  <c r="C71" i="21" a="1"/>
  <c r="I71" i="21" a="1"/>
  <c r="H71" i="21" a="1"/>
  <c r="F71" i="21" a="1"/>
  <c r="P71" i="21" a="1"/>
  <c r="N71" i="21" a="1"/>
  <c r="V71" i="21" a="1"/>
  <c r="Z71" i="21" a="1"/>
  <c r="O71" i="21" a="1"/>
  <c r="Y71" i="21" a="1"/>
  <c r="R71" i="21" a="1"/>
  <c r="W71" i="21" a="1"/>
  <c r="S71" i="21" a="1"/>
  <c r="T71" i="21" a="1"/>
  <c r="AB71" i="21" a="1"/>
  <c r="AA71" i="21" a="1"/>
  <c r="AC71" i="21" a="1"/>
  <c r="D71" i="21" a="1"/>
  <c r="J71" i="21" a="1"/>
  <c r="B71" i="21" a="1"/>
  <c r="Q71" i="21" a="1"/>
  <c r="K71" i="21" a="1"/>
  <c r="AD87" i="21" a="1"/>
  <c r="L87" i="21" a="1"/>
  <c r="Z87" i="21" a="1"/>
  <c r="U87" i="21" a="1"/>
  <c r="B87" i="21" a="1"/>
  <c r="M87" i="21" a="1"/>
  <c r="K87" i="21" a="1"/>
  <c r="C87" i="21" a="1"/>
  <c r="AA87" i="21" a="1"/>
  <c r="T87" i="21" a="1"/>
  <c r="F87" i="21" a="1"/>
  <c r="O87" i="21" a="1"/>
  <c r="X87" i="21" a="1"/>
  <c r="P87" i="21" a="1"/>
  <c r="E87" i="21" a="1"/>
  <c r="S87" i="21" a="1"/>
  <c r="W87" i="21" a="1"/>
  <c r="Y87" i="21" a="1"/>
  <c r="Q87" i="21" a="1"/>
  <c r="I87" i="21" a="1"/>
  <c r="J87" i="21" a="1"/>
  <c r="D87" i="21" a="1"/>
  <c r="N87" i="21" a="1"/>
  <c r="AE87" i="21" a="1"/>
  <c r="AB87" i="21" a="1"/>
  <c r="V87" i="21" a="1"/>
  <c r="AC87" i="21" a="1"/>
  <c r="G87" i="21" a="1"/>
  <c r="R87" i="21" a="1"/>
  <c r="H87" i="21" a="1"/>
  <c r="D104" i="27" l="1"/>
  <c r="D103" i="27"/>
  <c r="D105" i="27"/>
  <c r="D107" i="27"/>
  <c r="D106" i="27"/>
  <c r="H87" i="21"/>
  <c r="R87" i="21"/>
  <c r="G87" i="21"/>
  <c r="AC87" i="21"/>
  <c r="V87" i="21"/>
  <c r="AB87" i="21"/>
  <c r="AE87" i="21"/>
  <c r="N87" i="21"/>
  <c r="D87" i="21"/>
  <c r="J87" i="21"/>
  <c r="I87" i="21"/>
  <c r="Q87" i="21"/>
  <c r="Y87" i="21"/>
  <c r="W87" i="21"/>
  <c r="S87" i="21"/>
  <c r="E87" i="21"/>
  <c r="P87" i="21"/>
  <c r="X87" i="21"/>
  <c r="O87" i="21"/>
  <c r="F87" i="21"/>
  <c r="T87" i="21"/>
  <c r="AA87" i="21"/>
  <c r="C87" i="21"/>
  <c r="K87" i="21"/>
  <c r="M87" i="21"/>
  <c r="B87" i="21"/>
  <c r="U87" i="21"/>
  <c r="Z87" i="21"/>
  <c r="L87" i="21"/>
  <c r="AD87" i="21"/>
  <c r="K71" i="21"/>
  <c r="Q71" i="21"/>
  <c r="B71" i="21"/>
  <c r="J71" i="21"/>
  <c r="D71" i="21"/>
  <c r="AC71" i="21"/>
  <c r="AA71" i="21"/>
  <c r="AB71" i="21"/>
  <c r="T71" i="21"/>
  <c r="S71" i="21"/>
  <c r="W71" i="21"/>
  <c r="R71" i="21"/>
  <c r="Y71" i="21"/>
  <c r="O71" i="21"/>
  <c r="Z71" i="21"/>
  <c r="V71" i="21"/>
  <c r="N71" i="21"/>
  <c r="P71" i="21"/>
  <c r="F71" i="21"/>
  <c r="H71" i="21"/>
  <c r="I71" i="21"/>
  <c r="C71" i="21"/>
  <c r="M71" i="21"/>
  <c r="L71" i="21"/>
  <c r="AD71" i="21"/>
  <c r="G71" i="21"/>
  <c r="E71" i="21"/>
  <c r="X71" i="21"/>
  <c r="U71" i="21"/>
  <c r="AE71" i="21"/>
  <c r="Q63" i="21"/>
  <c r="AD63" i="21"/>
  <c r="G63" i="21"/>
  <c r="I63" i="21"/>
  <c r="R63" i="21"/>
  <c r="W63" i="21"/>
  <c r="V63" i="21"/>
  <c r="Z63" i="21"/>
  <c r="O63" i="21"/>
  <c r="E63" i="21"/>
  <c r="T63" i="21"/>
  <c r="K63" i="21"/>
  <c r="Y63" i="21"/>
  <c r="N63" i="21"/>
  <c r="J63" i="21"/>
  <c r="D63" i="21"/>
  <c r="AA63" i="21"/>
  <c r="B63" i="21"/>
  <c r="C63" i="21"/>
  <c r="AB63" i="21"/>
  <c r="AE63" i="21"/>
  <c r="P63" i="21"/>
  <c r="L63" i="21"/>
  <c r="F63" i="21"/>
  <c r="U63" i="21"/>
  <c r="S63" i="21"/>
  <c r="X63" i="21"/>
  <c r="AC63" i="21"/>
  <c r="H63" i="21"/>
  <c r="M63" i="21"/>
  <c r="Y56" i="21"/>
  <c r="Z56" i="21"/>
  <c r="B56" i="21"/>
  <c r="X56" i="21"/>
  <c r="J56" i="21"/>
  <c r="O56" i="21"/>
  <c r="Q56" i="21"/>
  <c r="S56" i="21"/>
  <c r="H56" i="21"/>
  <c r="AC56" i="21"/>
  <c r="M56" i="21"/>
  <c r="K56" i="21"/>
  <c r="V56" i="21"/>
  <c r="C56" i="21"/>
  <c r="AB56" i="21"/>
  <c r="U56" i="21"/>
  <c r="F56" i="21"/>
  <c r="R56" i="21"/>
  <c r="E56" i="21"/>
  <c r="T56" i="21"/>
  <c r="W56" i="21"/>
  <c r="AA56" i="21"/>
  <c r="AD56" i="21"/>
  <c r="P56" i="21"/>
  <c r="G56" i="21"/>
  <c r="N56" i="21"/>
  <c r="AE56" i="21"/>
  <c r="L56" i="21"/>
  <c r="I56" i="21"/>
  <c r="D56" i="21"/>
  <c r="M48" i="21"/>
  <c r="Q48" i="21"/>
  <c r="T48" i="21"/>
  <c r="D48" i="21"/>
  <c r="H48" i="21"/>
  <c r="AA48" i="21"/>
  <c r="N48" i="21"/>
  <c r="J48" i="21"/>
  <c r="I48" i="21"/>
  <c r="Z48" i="21"/>
  <c r="B48" i="21"/>
  <c r="C48" i="21"/>
  <c r="G48" i="21"/>
  <c r="U48" i="21"/>
  <c r="Y48" i="21"/>
  <c r="S48" i="21"/>
  <c r="AD48" i="21"/>
  <c r="O48" i="21"/>
  <c r="R48" i="21"/>
  <c r="F48" i="21"/>
  <c r="L48" i="21"/>
  <c r="X48" i="21"/>
  <c r="AE48" i="21"/>
  <c r="V48" i="21"/>
  <c r="AB48" i="21"/>
  <c r="K48" i="21"/>
  <c r="P48" i="21"/>
  <c r="W48" i="21"/>
  <c r="AC48" i="21"/>
  <c r="E48" i="21"/>
  <c r="J40" i="21"/>
  <c r="L40" i="21"/>
  <c r="X40" i="21"/>
  <c r="T40" i="21"/>
  <c r="R40" i="21"/>
  <c r="W40" i="21"/>
  <c r="O40" i="21"/>
  <c r="N40" i="21"/>
  <c r="AE40" i="21"/>
  <c r="AA40" i="21"/>
  <c r="E40" i="21"/>
  <c r="Z40" i="21"/>
  <c r="V40" i="21"/>
  <c r="G40" i="21"/>
  <c r="AD40" i="21"/>
  <c r="H40" i="21"/>
  <c r="I40" i="21"/>
  <c r="S40" i="21"/>
  <c r="B40" i="21"/>
  <c r="U40" i="21"/>
  <c r="M40" i="21"/>
  <c r="K40" i="21"/>
  <c r="AB40" i="21"/>
  <c r="F40" i="21"/>
  <c r="P40" i="21"/>
  <c r="Y40" i="21"/>
  <c r="D40" i="21"/>
  <c r="Q40" i="21"/>
  <c r="AC40" i="21"/>
  <c r="C40" i="21"/>
  <c r="G33" i="21"/>
  <c r="AE33" i="21"/>
  <c r="AD33" i="21"/>
  <c r="D33" i="21"/>
  <c r="U33" i="21"/>
  <c r="P33" i="21"/>
  <c r="H33" i="21"/>
  <c r="L33" i="21"/>
  <c r="B33" i="21"/>
  <c r="W33" i="21"/>
  <c r="N33" i="21"/>
  <c r="X33" i="21"/>
  <c r="C33" i="21"/>
  <c r="Y33" i="21"/>
  <c r="E33" i="21"/>
  <c r="AB33" i="21"/>
  <c r="S33" i="21"/>
  <c r="AA33" i="21"/>
  <c r="J33" i="21"/>
  <c r="R33" i="21"/>
  <c r="AC33" i="21"/>
  <c r="I33" i="21"/>
  <c r="O33" i="21"/>
  <c r="M33" i="21"/>
  <c r="Q33" i="21"/>
  <c r="K33" i="21"/>
  <c r="F33" i="21"/>
  <c r="Z33" i="21"/>
  <c r="T33" i="21"/>
  <c r="V33" i="21"/>
  <c r="M25" i="21"/>
  <c r="T25" i="21"/>
  <c r="N25" i="21"/>
  <c r="I25" i="21"/>
  <c r="Q25" i="21"/>
  <c r="E25" i="21"/>
  <c r="D25" i="21"/>
  <c r="AA25" i="21"/>
  <c r="V25" i="21"/>
  <c r="W25" i="21"/>
  <c r="AC25" i="21"/>
  <c r="X25" i="21"/>
  <c r="P25" i="21"/>
  <c r="B25" i="21"/>
  <c r="K25" i="21"/>
  <c r="AD25" i="21"/>
  <c r="Y25" i="21"/>
  <c r="S25" i="21"/>
  <c r="U25" i="21"/>
  <c r="F25" i="21"/>
  <c r="AE25" i="21"/>
  <c r="G25" i="21"/>
  <c r="L25" i="21"/>
  <c r="Z25" i="21"/>
  <c r="H25" i="21"/>
  <c r="C25" i="21"/>
  <c r="J25" i="21"/>
  <c r="R25" i="21"/>
  <c r="AB25" i="21"/>
  <c r="O25" i="21"/>
  <c r="AD17" i="21"/>
  <c r="U17" i="21"/>
  <c r="Y17" i="21"/>
  <c r="W17" i="21"/>
  <c r="F17" i="21"/>
  <c r="B17" i="21"/>
  <c r="N17" i="21"/>
  <c r="J17" i="21"/>
  <c r="AE17" i="21"/>
  <c r="G17" i="21"/>
  <c r="V17" i="21"/>
  <c r="Q17" i="21"/>
  <c r="T17" i="21"/>
  <c r="P17" i="21"/>
  <c r="Z17" i="21"/>
  <c r="E17" i="21"/>
  <c r="O17" i="21"/>
  <c r="K17" i="21"/>
  <c r="M17" i="21"/>
  <c r="L17" i="21"/>
  <c r="X17" i="21"/>
  <c r="R17" i="21"/>
  <c r="S17" i="21"/>
  <c r="AB17" i="21"/>
  <c r="D17" i="21"/>
  <c r="H17" i="21"/>
  <c r="C17" i="21"/>
  <c r="I17" i="21"/>
  <c r="AC17" i="21"/>
  <c r="AA17" i="21"/>
  <c r="AC9" i="21"/>
  <c r="S9" i="21"/>
  <c r="O9" i="21"/>
  <c r="F9" i="21"/>
  <c r="Z9" i="21"/>
  <c r="K9" i="21"/>
  <c r="AB9" i="21"/>
  <c r="R9" i="21"/>
  <c r="D9" i="21"/>
  <c r="B9" i="21"/>
  <c r="Y9" i="21"/>
  <c r="U9" i="21"/>
  <c r="C9" i="21"/>
  <c r="J9" i="21"/>
  <c r="Q9" i="21"/>
  <c r="AE9" i="21"/>
  <c r="N9" i="21"/>
  <c r="L9" i="21"/>
  <c r="P9" i="21"/>
  <c r="T9" i="21"/>
  <c r="X9" i="21"/>
  <c r="M9" i="21"/>
  <c r="AD9" i="21"/>
  <c r="V9" i="21"/>
  <c r="I9" i="21"/>
  <c r="AA9" i="21"/>
  <c r="W9" i="21"/>
  <c r="G9" i="21"/>
  <c r="H9" i="21"/>
  <c r="E9" i="21"/>
  <c r="Y80" i="21"/>
  <c r="I80" i="21"/>
  <c r="S80" i="21"/>
  <c r="T80" i="21"/>
  <c r="G80" i="21"/>
  <c r="U80" i="21"/>
  <c r="O80" i="21"/>
  <c r="AB80" i="21"/>
  <c r="J80" i="21"/>
  <c r="N80" i="21"/>
  <c r="E80" i="21"/>
  <c r="AE80" i="21"/>
  <c r="P80" i="21"/>
  <c r="R80" i="21"/>
  <c r="M80" i="21"/>
  <c r="K80" i="21"/>
  <c r="AA80" i="21"/>
  <c r="H80" i="21"/>
  <c r="X80" i="21"/>
  <c r="L80" i="21"/>
  <c r="V80" i="21"/>
  <c r="F80" i="21"/>
  <c r="Z80" i="21"/>
  <c r="AD80" i="21"/>
  <c r="W80" i="21"/>
  <c r="D80" i="21"/>
  <c r="Q80" i="21"/>
  <c r="B80" i="21"/>
  <c r="C80" i="21"/>
  <c r="AC80" i="21"/>
  <c r="F49" i="21"/>
  <c r="H49" i="21"/>
  <c r="AD49" i="21"/>
  <c r="AE49" i="21"/>
  <c r="K49" i="21"/>
  <c r="X49" i="21"/>
  <c r="T49" i="21"/>
  <c r="V49" i="21"/>
  <c r="AB49" i="21"/>
  <c r="G49" i="21"/>
  <c r="U49" i="21"/>
  <c r="O49" i="21"/>
  <c r="W49" i="21"/>
  <c r="B49" i="21"/>
  <c r="M49" i="21"/>
  <c r="R49" i="21"/>
  <c r="E49" i="21"/>
  <c r="D49" i="21"/>
  <c r="Z49" i="21"/>
  <c r="S49" i="21"/>
  <c r="I49" i="21"/>
  <c r="Q49" i="21"/>
  <c r="AA49" i="21"/>
  <c r="L49" i="21"/>
  <c r="AC49" i="21"/>
  <c r="N49" i="21"/>
  <c r="Y49" i="21"/>
  <c r="P49" i="21"/>
  <c r="C49" i="21"/>
  <c r="J49" i="21"/>
  <c r="P41" i="21"/>
  <c r="S41" i="21"/>
  <c r="H41" i="21"/>
  <c r="G41" i="21"/>
  <c r="N41" i="21"/>
  <c r="C41" i="21"/>
  <c r="AC41" i="21"/>
  <c r="D41" i="21"/>
  <c r="X41" i="21"/>
  <c r="O41" i="21"/>
  <c r="K41" i="21"/>
  <c r="E41" i="21"/>
  <c r="Q41" i="21"/>
  <c r="AA41" i="21"/>
  <c r="U41" i="21"/>
  <c r="AD41" i="21"/>
  <c r="I41" i="21"/>
  <c r="AB41" i="21"/>
  <c r="F41" i="21"/>
  <c r="Y41" i="21"/>
  <c r="W41" i="21"/>
  <c r="AE41" i="21"/>
  <c r="Z41" i="21"/>
  <c r="B41" i="21"/>
  <c r="J41" i="21"/>
  <c r="L41" i="21"/>
  <c r="V41" i="21"/>
  <c r="R41" i="21"/>
  <c r="T41" i="21"/>
  <c r="M41" i="21"/>
  <c r="F34" i="21"/>
  <c r="T34" i="21"/>
  <c r="U34" i="21"/>
  <c r="V34" i="21"/>
  <c r="W34" i="21"/>
  <c r="X34" i="21"/>
  <c r="J34" i="21"/>
  <c r="AD34" i="21"/>
  <c r="O34" i="21"/>
  <c r="Y34" i="21"/>
  <c r="N34" i="21"/>
  <c r="M34" i="21"/>
  <c r="I34" i="21"/>
  <c r="D34" i="21"/>
  <c r="P34" i="21"/>
  <c r="L34" i="21"/>
  <c r="K34" i="21"/>
  <c r="AA34" i="21"/>
  <c r="Q34" i="21"/>
  <c r="AB34" i="21"/>
  <c r="C34" i="21"/>
  <c r="B34" i="21"/>
  <c r="R34" i="21"/>
  <c r="G34" i="21"/>
  <c r="AC34" i="21"/>
  <c r="H34" i="21"/>
  <c r="AE34" i="21"/>
  <c r="E34" i="21"/>
  <c r="S34" i="21"/>
  <c r="Z34" i="21"/>
  <c r="N26" i="21"/>
  <c r="AC26" i="21"/>
  <c r="AB26" i="21"/>
  <c r="D26" i="21"/>
  <c r="J26" i="21"/>
  <c r="Z26" i="21"/>
  <c r="V26" i="21"/>
  <c r="R26" i="21"/>
  <c r="F26" i="21"/>
  <c r="S26" i="21"/>
  <c r="G26" i="21"/>
  <c r="E26" i="21"/>
  <c r="B26" i="21"/>
  <c r="H26" i="21"/>
  <c r="C26" i="21"/>
  <c r="M26" i="21"/>
  <c r="AE26" i="21"/>
  <c r="W26" i="21"/>
  <c r="Q26" i="21"/>
  <c r="X26" i="21"/>
  <c r="L26" i="21"/>
  <c r="AD26" i="21"/>
  <c r="I26" i="21"/>
  <c r="U26" i="21"/>
  <c r="K26" i="21"/>
  <c r="P26" i="21"/>
  <c r="AA26" i="21"/>
  <c r="Y26" i="21"/>
  <c r="O26" i="21"/>
  <c r="T26" i="21"/>
  <c r="F18" i="21"/>
  <c r="AB18" i="21"/>
  <c r="D18" i="21"/>
  <c r="X18" i="21"/>
  <c r="J18" i="21"/>
  <c r="U18" i="21"/>
  <c r="B18" i="21"/>
  <c r="O18" i="21"/>
  <c r="E18" i="21"/>
  <c r="AA18" i="21"/>
  <c r="Z18" i="21"/>
  <c r="L18" i="21"/>
  <c r="M18" i="21"/>
  <c r="AE18" i="21"/>
  <c r="W18" i="21"/>
  <c r="N18" i="21"/>
  <c r="K18" i="21"/>
  <c r="AD18" i="21"/>
  <c r="S18" i="21"/>
  <c r="I18" i="21"/>
  <c r="R18" i="21"/>
  <c r="G18" i="21"/>
  <c r="H18" i="21"/>
  <c r="Q18" i="21"/>
  <c r="T18" i="21"/>
  <c r="Y18" i="21"/>
  <c r="C18" i="21"/>
  <c r="P18" i="21"/>
  <c r="V18" i="21"/>
  <c r="AC18" i="21"/>
  <c r="B10" i="21"/>
  <c r="U10" i="21"/>
  <c r="AC10" i="21"/>
  <c r="Z10" i="21"/>
  <c r="Y10" i="21"/>
  <c r="E10" i="21"/>
  <c r="V10" i="21"/>
  <c r="AB10" i="21"/>
  <c r="AD10" i="21"/>
  <c r="W10" i="21"/>
  <c r="R10" i="21"/>
  <c r="L10" i="21"/>
  <c r="O10" i="21"/>
  <c r="M10" i="21"/>
  <c r="N10" i="21"/>
  <c r="J10" i="21"/>
  <c r="H10" i="21"/>
  <c r="Q10" i="21"/>
  <c r="F10" i="21"/>
  <c r="P10" i="21"/>
  <c r="AA10" i="21"/>
  <c r="C10" i="21"/>
  <c r="X10" i="21"/>
  <c r="T10" i="21"/>
  <c r="G10" i="21"/>
  <c r="D10" i="21"/>
  <c r="AE10" i="21"/>
  <c r="S10" i="21"/>
  <c r="I10" i="21"/>
  <c r="K10" i="21"/>
  <c r="P96" i="21"/>
  <c r="F96" i="21"/>
  <c r="AC96" i="21"/>
  <c r="C96" i="21"/>
  <c r="X96" i="21"/>
  <c r="U96" i="21"/>
  <c r="V96" i="21"/>
  <c r="AB96" i="21"/>
  <c r="T96" i="21"/>
  <c r="Z96" i="21"/>
  <c r="G96" i="21"/>
  <c r="L96" i="21"/>
  <c r="R96" i="21"/>
  <c r="Y96" i="21"/>
  <c r="W96" i="21"/>
  <c r="H96" i="21"/>
  <c r="S96" i="21"/>
  <c r="I96" i="21"/>
  <c r="AD96" i="21"/>
  <c r="D96" i="21"/>
  <c r="AA96" i="21"/>
  <c r="M96" i="21"/>
  <c r="N96" i="21"/>
  <c r="O96" i="21"/>
  <c r="E96" i="21"/>
  <c r="K96" i="21"/>
  <c r="AE96" i="21"/>
  <c r="B96" i="21"/>
  <c r="Q96" i="21"/>
  <c r="J96" i="21"/>
  <c r="W88" i="21"/>
  <c r="M88" i="21"/>
  <c r="AE88" i="21"/>
  <c r="H88" i="21"/>
  <c r="R88" i="21"/>
  <c r="AA88" i="21"/>
  <c r="I88" i="21"/>
  <c r="V88" i="21"/>
  <c r="Z88" i="21"/>
  <c r="Q88" i="21"/>
  <c r="AB88" i="21"/>
  <c r="AC88" i="21"/>
  <c r="S88" i="21"/>
  <c r="T88" i="21"/>
  <c r="X88" i="21"/>
  <c r="K88" i="21"/>
  <c r="D88" i="21"/>
  <c r="F88" i="21"/>
  <c r="AD88" i="21"/>
  <c r="N88" i="21"/>
  <c r="U88" i="21"/>
  <c r="C88" i="21"/>
  <c r="B88" i="21"/>
  <c r="Y88" i="21"/>
  <c r="E88" i="21"/>
  <c r="G88" i="21"/>
  <c r="L88" i="21"/>
  <c r="P88" i="21"/>
  <c r="O88" i="21"/>
  <c r="J88" i="21"/>
  <c r="Z72" i="21"/>
  <c r="H72" i="21"/>
  <c r="R72" i="21"/>
  <c r="K72" i="21"/>
  <c r="T72" i="21"/>
  <c r="V72" i="21"/>
  <c r="P72" i="21"/>
  <c r="J72" i="21"/>
  <c r="W72" i="21"/>
  <c r="L72" i="21"/>
  <c r="F72" i="21"/>
  <c r="S72" i="21"/>
  <c r="C72" i="21"/>
  <c r="AC72" i="21"/>
  <c r="M72" i="21"/>
  <c r="G72" i="21"/>
  <c r="D72" i="21"/>
  <c r="O72" i="21"/>
  <c r="X72" i="21"/>
  <c r="Y72" i="21"/>
  <c r="E72" i="21"/>
  <c r="Q72" i="21"/>
  <c r="AA72" i="21"/>
  <c r="I72" i="21"/>
  <c r="AD72" i="21"/>
  <c r="N72" i="21"/>
  <c r="AE72" i="21"/>
  <c r="AB72" i="21"/>
  <c r="B72" i="21"/>
  <c r="U72" i="21"/>
  <c r="J64" i="21"/>
  <c r="S64" i="21"/>
  <c r="AB64" i="21"/>
  <c r="W64" i="21"/>
  <c r="N64" i="21"/>
  <c r="M64" i="21"/>
  <c r="V64" i="21"/>
  <c r="P64" i="21"/>
  <c r="Q64" i="21"/>
  <c r="AE64" i="21"/>
  <c r="E64" i="21"/>
  <c r="F64" i="21"/>
  <c r="O64" i="21"/>
  <c r="C64" i="21"/>
  <c r="H64" i="21"/>
  <c r="K64" i="21"/>
  <c r="U64" i="21"/>
  <c r="AD64" i="21"/>
  <c r="B64" i="21"/>
  <c r="G64" i="21"/>
  <c r="L64" i="21"/>
  <c r="Z64" i="21"/>
  <c r="AC64" i="21"/>
  <c r="Y64" i="21"/>
  <c r="X64" i="21"/>
  <c r="T64" i="21"/>
  <c r="D64" i="21"/>
  <c r="AA64" i="21"/>
  <c r="I64" i="21"/>
  <c r="R64" i="21"/>
  <c r="M57" i="21"/>
  <c r="Q57" i="21"/>
  <c r="R57" i="21"/>
  <c r="H57" i="21"/>
  <c r="AC57" i="21"/>
  <c r="D57" i="21"/>
  <c r="U57" i="21"/>
  <c r="Z57" i="21"/>
  <c r="V57" i="21"/>
  <c r="W57" i="21"/>
  <c r="X57" i="21"/>
  <c r="P57" i="21"/>
  <c r="AB57" i="21"/>
  <c r="B57" i="21"/>
  <c r="AE57" i="21"/>
  <c r="S57" i="21"/>
  <c r="C57" i="21"/>
  <c r="N57" i="21"/>
  <c r="E57" i="21"/>
  <c r="AD57" i="21"/>
  <c r="J57" i="21"/>
  <c r="L57" i="21"/>
  <c r="K57" i="21"/>
  <c r="T57" i="21"/>
  <c r="I57" i="21"/>
  <c r="O57" i="21"/>
  <c r="G57" i="21"/>
  <c r="AA57" i="21"/>
  <c r="Y57" i="21"/>
  <c r="F57" i="21"/>
  <c r="P2" i="21"/>
  <c r="AB2" i="21"/>
  <c r="AE2" i="21"/>
  <c r="AC2" i="21"/>
  <c r="H2" i="21"/>
  <c r="T2" i="21"/>
  <c r="AA2" i="21"/>
  <c r="Y2" i="21"/>
  <c r="L2" i="21"/>
  <c r="U2" i="21"/>
  <c r="O2" i="21"/>
  <c r="W2" i="21"/>
  <c r="R2" i="21"/>
  <c r="J2" i="21"/>
  <c r="Q2" i="21"/>
  <c r="N2" i="21"/>
  <c r="M2" i="21"/>
  <c r="D2" i="21"/>
  <c r="AD2" i="21"/>
  <c r="I2" i="21"/>
  <c r="S2" i="21"/>
  <c r="K2" i="21"/>
  <c r="Z2" i="21"/>
  <c r="G2" i="21"/>
  <c r="F2" i="21"/>
  <c r="E2" i="21"/>
  <c r="X2" i="21"/>
  <c r="V2" i="21"/>
  <c r="B2" i="21"/>
  <c r="C2" i="21"/>
  <c r="U97" i="21"/>
  <c r="S97" i="21"/>
  <c r="D97" i="21"/>
  <c r="AA97" i="21"/>
  <c r="Z97" i="21"/>
  <c r="L97" i="21"/>
  <c r="T97" i="21"/>
  <c r="R97" i="21"/>
  <c r="G97" i="21"/>
  <c r="AC97" i="21"/>
  <c r="J97" i="21"/>
  <c r="W97" i="21"/>
  <c r="B97" i="21"/>
  <c r="E97" i="21"/>
  <c r="V97" i="21"/>
  <c r="C97" i="21"/>
  <c r="AE97" i="21"/>
  <c r="AD97" i="21"/>
  <c r="H97" i="21"/>
  <c r="K97" i="21"/>
  <c r="N97" i="21"/>
  <c r="O97" i="21"/>
  <c r="Y97" i="21"/>
  <c r="F97" i="21"/>
  <c r="Q97" i="21"/>
  <c r="AB97" i="21"/>
  <c r="I97" i="21"/>
  <c r="M97" i="21"/>
  <c r="X97" i="21"/>
  <c r="P97" i="21"/>
  <c r="Z89" i="21"/>
  <c r="H89" i="21"/>
  <c r="S89" i="21"/>
  <c r="G89" i="21"/>
  <c r="L89" i="21"/>
  <c r="AA89" i="21"/>
  <c r="AD89" i="21"/>
  <c r="R89" i="21"/>
  <c r="X89" i="21"/>
  <c r="B89" i="21"/>
  <c r="F89" i="21"/>
  <c r="Q89" i="21"/>
  <c r="U89" i="21"/>
  <c r="D89" i="21"/>
  <c r="I89" i="21"/>
  <c r="V89" i="21"/>
  <c r="AC89" i="21"/>
  <c r="Y89" i="21"/>
  <c r="P89" i="21"/>
  <c r="C89" i="21"/>
  <c r="K89" i="21"/>
  <c r="AB89" i="21"/>
  <c r="AE89" i="21"/>
  <c r="N89" i="21"/>
  <c r="E89" i="21"/>
  <c r="T89" i="21"/>
  <c r="O89" i="21"/>
  <c r="M89" i="21"/>
  <c r="W89" i="21"/>
  <c r="J89" i="21"/>
  <c r="AD81" i="21"/>
  <c r="Z81" i="21"/>
  <c r="AB81" i="21"/>
  <c r="Y81" i="21"/>
  <c r="V81" i="21"/>
  <c r="U81" i="21"/>
  <c r="AC81" i="21"/>
  <c r="N81" i="21"/>
  <c r="L81" i="21"/>
  <c r="W81" i="21"/>
  <c r="T81" i="21"/>
  <c r="D81" i="21"/>
  <c r="Q81" i="21"/>
  <c r="G81" i="21"/>
  <c r="E81" i="21"/>
  <c r="H81" i="21"/>
  <c r="C81" i="21"/>
  <c r="B81" i="21"/>
  <c r="S81" i="21"/>
  <c r="K81" i="21"/>
  <c r="X81" i="21"/>
  <c r="AA81" i="21"/>
  <c r="AE81" i="21"/>
  <c r="J81" i="21"/>
  <c r="P81" i="21"/>
  <c r="R81" i="21"/>
  <c r="I81" i="21"/>
  <c r="F81" i="21"/>
  <c r="M81" i="21"/>
  <c r="O81" i="21"/>
  <c r="Z73" i="21"/>
  <c r="G73" i="21"/>
  <c r="AD73" i="21"/>
  <c r="V73" i="21"/>
  <c r="M73" i="21"/>
  <c r="AB73" i="21"/>
  <c r="X73" i="21"/>
  <c r="T73" i="21"/>
  <c r="U73" i="21"/>
  <c r="L73" i="21"/>
  <c r="Y73" i="21"/>
  <c r="N73" i="21"/>
  <c r="AE73" i="21"/>
  <c r="C73" i="21"/>
  <c r="P73" i="21"/>
  <c r="I73" i="21"/>
  <c r="E73" i="21"/>
  <c r="B73" i="21"/>
  <c r="AC73" i="21"/>
  <c r="W73" i="21"/>
  <c r="Q73" i="21"/>
  <c r="D73" i="21"/>
  <c r="S73" i="21"/>
  <c r="R73" i="21"/>
  <c r="F73" i="21"/>
  <c r="H73" i="21"/>
  <c r="K73" i="21"/>
  <c r="J73" i="21"/>
  <c r="O73" i="21"/>
  <c r="AA73" i="21"/>
  <c r="Y65" i="21"/>
  <c r="M65" i="21"/>
  <c r="G65" i="21"/>
  <c r="AA65" i="21"/>
  <c r="K65" i="21"/>
  <c r="R65" i="21"/>
  <c r="L65" i="21"/>
  <c r="Q65" i="21"/>
  <c r="C65" i="21"/>
  <c r="J65" i="21"/>
  <c r="AE65" i="21"/>
  <c r="X65" i="21"/>
  <c r="V65" i="21"/>
  <c r="S65" i="21"/>
  <c r="Z65" i="21"/>
  <c r="B65" i="21"/>
  <c r="I65" i="21"/>
  <c r="U65" i="21"/>
  <c r="F65" i="21"/>
  <c r="AD65" i="21"/>
  <c r="D65" i="21"/>
  <c r="H65" i="21"/>
  <c r="P65" i="21"/>
  <c r="AC65" i="21"/>
  <c r="E65" i="21"/>
  <c r="O65" i="21"/>
  <c r="W65" i="21"/>
  <c r="T65" i="21"/>
  <c r="AB65" i="21"/>
  <c r="N65" i="21"/>
  <c r="J58" i="21"/>
  <c r="AD58" i="21"/>
  <c r="T58" i="21"/>
  <c r="L58" i="21"/>
  <c r="K58" i="21"/>
  <c r="C58" i="21"/>
  <c r="M58" i="21"/>
  <c r="E58" i="21"/>
  <c r="Z58" i="21"/>
  <c r="AE58" i="21"/>
  <c r="AB58" i="21"/>
  <c r="R58" i="21"/>
  <c r="V58" i="21"/>
  <c r="U58" i="21"/>
  <c r="N58" i="21"/>
  <c r="W58" i="21"/>
  <c r="O58" i="21"/>
  <c r="H58" i="21"/>
  <c r="S58" i="21"/>
  <c r="Y58" i="21"/>
  <c r="AA58" i="21"/>
  <c r="G58" i="21"/>
  <c r="Q58" i="21"/>
  <c r="B58" i="21"/>
  <c r="AC58" i="21"/>
  <c r="D58" i="21"/>
  <c r="X58" i="21"/>
  <c r="P58" i="21"/>
  <c r="I58" i="21"/>
  <c r="F58" i="21"/>
  <c r="E50" i="21"/>
  <c r="H50" i="21"/>
  <c r="Y50" i="21"/>
  <c r="P50" i="21"/>
  <c r="L50" i="21"/>
  <c r="N50" i="21"/>
  <c r="T50" i="21"/>
  <c r="Q50" i="21"/>
  <c r="W50" i="21"/>
  <c r="R50" i="21"/>
  <c r="D50" i="21"/>
  <c r="AC50" i="21"/>
  <c r="V50" i="21"/>
  <c r="AE50" i="21"/>
  <c r="AD50" i="21"/>
  <c r="X50" i="21"/>
  <c r="I50" i="21"/>
  <c r="AA50" i="21"/>
  <c r="AB50" i="21"/>
  <c r="F50" i="21"/>
  <c r="Z50" i="21"/>
  <c r="J50" i="21"/>
  <c r="O50" i="21"/>
  <c r="K50" i="21"/>
  <c r="B50" i="21"/>
  <c r="C50" i="21"/>
  <c r="S50" i="21"/>
  <c r="G50" i="21"/>
  <c r="U50" i="21"/>
  <c r="M50" i="21"/>
  <c r="Z42" i="21"/>
  <c r="L42" i="21"/>
  <c r="J42" i="21"/>
  <c r="R42" i="21"/>
  <c r="E42" i="21"/>
  <c r="AA42" i="21"/>
  <c r="V42" i="21"/>
  <c r="W42" i="21"/>
  <c r="AE42" i="21"/>
  <c r="N42" i="21"/>
  <c r="P42" i="21"/>
  <c r="AC42" i="21"/>
  <c r="I42" i="21"/>
  <c r="AB42" i="21"/>
  <c r="AD42" i="21"/>
  <c r="F42" i="21"/>
  <c r="H42" i="21"/>
  <c r="T42" i="21"/>
  <c r="K42" i="21"/>
  <c r="S42" i="21"/>
  <c r="Q42" i="21"/>
  <c r="G42" i="21"/>
  <c r="B42" i="21"/>
  <c r="M42" i="21"/>
  <c r="Y42" i="21"/>
  <c r="U42" i="21"/>
  <c r="X42" i="21"/>
  <c r="C42" i="21"/>
  <c r="D42" i="21"/>
  <c r="O42" i="21"/>
  <c r="H35" i="21"/>
  <c r="F35" i="21"/>
  <c r="T35" i="21"/>
  <c r="P35" i="21"/>
  <c r="Q35" i="21"/>
  <c r="R35" i="21"/>
  <c r="L35" i="21"/>
  <c r="S35" i="21"/>
  <c r="M35" i="21"/>
  <c r="G35" i="21"/>
  <c r="B35" i="21"/>
  <c r="X35" i="21"/>
  <c r="D35" i="21"/>
  <c r="Y35" i="21"/>
  <c r="C35" i="21"/>
  <c r="O35" i="21"/>
  <c r="J35" i="21"/>
  <c r="AD35" i="21"/>
  <c r="I35" i="21"/>
  <c r="E35" i="21"/>
  <c r="AB35" i="21"/>
  <c r="U35" i="21"/>
  <c r="W35" i="21"/>
  <c r="K35" i="21"/>
  <c r="AE35" i="21"/>
  <c r="V35" i="21"/>
  <c r="N35" i="21"/>
  <c r="AA35" i="21"/>
  <c r="AC35" i="21"/>
  <c r="Z35" i="21"/>
  <c r="O27" i="21"/>
  <c r="M27" i="21"/>
  <c r="K27" i="21"/>
  <c r="AE27" i="21"/>
  <c r="AA27" i="21"/>
  <c r="Z27" i="21"/>
  <c r="Y27" i="21"/>
  <c r="R27" i="21"/>
  <c r="N27" i="21"/>
  <c r="T27" i="21"/>
  <c r="H27" i="21"/>
  <c r="P27" i="21"/>
  <c r="U27" i="21"/>
  <c r="AB27" i="21"/>
  <c r="B27" i="21"/>
  <c r="W27" i="21"/>
  <c r="V27" i="21"/>
  <c r="J27" i="21"/>
  <c r="Q27" i="21"/>
  <c r="E27" i="21"/>
  <c r="G27" i="21"/>
  <c r="L27" i="21"/>
  <c r="F27" i="21"/>
  <c r="AC27" i="21"/>
  <c r="X27" i="21"/>
  <c r="S27" i="21"/>
  <c r="AD27" i="21"/>
  <c r="I27" i="21"/>
  <c r="D27" i="21"/>
  <c r="C27" i="21"/>
  <c r="AC19" i="21"/>
  <c r="I19" i="21"/>
  <c r="M19" i="21"/>
  <c r="E19" i="21"/>
  <c r="J19" i="21"/>
  <c r="V19" i="21"/>
  <c r="W19" i="21"/>
  <c r="T19" i="21"/>
  <c r="G19" i="21"/>
  <c r="K19" i="21"/>
  <c r="Y19" i="21"/>
  <c r="P19" i="21"/>
  <c r="S19" i="21"/>
  <c r="AD19" i="21"/>
  <c r="R19" i="21"/>
  <c r="AE19" i="21"/>
  <c r="U19" i="21"/>
  <c r="B19" i="21"/>
  <c r="O19" i="21"/>
  <c r="Z19" i="21"/>
  <c r="L19" i="21"/>
  <c r="AB19" i="21"/>
  <c r="Q19" i="21"/>
  <c r="C19" i="21"/>
  <c r="F19" i="21"/>
  <c r="D19" i="21"/>
  <c r="X19" i="21"/>
  <c r="H19" i="21"/>
  <c r="AA19" i="21"/>
  <c r="N19" i="21"/>
  <c r="C11" i="21"/>
  <c r="G11" i="21"/>
  <c r="U11" i="21"/>
  <c r="AB11" i="21"/>
  <c r="J11" i="21"/>
  <c r="I11" i="21"/>
  <c r="M11" i="21"/>
  <c r="T11" i="21"/>
  <c r="AD11" i="21"/>
  <c r="B11" i="21"/>
  <c r="F11" i="21"/>
  <c r="E11" i="21"/>
  <c r="L11" i="21"/>
  <c r="AE11" i="21"/>
  <c r="N11" i="21"/>
  <c r="AA11" i="21"/>
  <c r="D11" i="21"/>
  <c r="H11" i="21"/>
  <c r="Y11" i="21"/>
  <c r="Z11" i="21"/>
  <c r="X11" i="21"/>
  <c r="W11" i="21"/>
  <c r="S11" i="21"/>
  <c r="K11" i="21"/>
  <c r="AC11" i="21"/>
  <c r="V11" i="21"/>
  <c r="P11" i="21"/>
  <c r="R11" i="21"/>
  <c r="Q11" i="21"/>
  <c r="O11" i="21"/>
  <c r="K3" i="21"/>
  <c r="E3" i="21"/>
  <c r="AB3" i="21"/>
  <c r="D3" i="21"/>
  <c r="N3" i="21"/>
  <c r="W3" i="21"/>
  <c r="V3" i="21"/>
  <c r="O3" i="21"/>
  <c r="R3" i="21"/>
  <c r="L3" i="21"/>
  <c r="G3" i="21"/>
  <c r="AE3" i="21"/>
  <c r="AA3" i="21"/>
  <c r="J3" i="21"/>
  <c r="Q3" i="21"/>
  <c r="F3" i="21"/>
  <c r="C3" i="21"/>
  <c r="M3" i="21"/>
  <c r="Y3" i="21"/>
  <c r="X3" i="21"/>
  <c r="H3" i="21"/>
  <c r="I3" i="21"/>
  <c r="T3" i="21"/>
  <c r="U3" i="21"/>
  <c r="Z3" i="21"/>
  <c r="P3" i="21"/>
  <c r="AD3" i="21"/>
  <c r="S3" i="21"/>
  <c r="B3" i="21"/>
  <c r="AC3" i="21"/>
  <c r="V98" i="21"/>
  <c r="I98" i="21"/>
  <c r="X98" i="21"/>
  <c r="AB98" i="21"/>
  <c r="W98" i="21"/>
  <c r="B98" i="21"/>
  <c r="Y98" i="21"/>
  <c r="C98" i="21"/>
  <c r="U98" i="21"/>
  <c r="J98" i="21"/>
  <c r="F98" i="21"/>
  <c r="G98" i="21"/>
  <c r="AA98" i="21"/>
  <c r="P98" i="21"/>
  <c r="L98" i="21"/>
  <c r="AD98" i="21"/>
  <c r="T98" i="21"/>
  <c r="S98" i="21"/>
  <c r="Z98" i="21"/>
  <c r="O98" i="21"/>
  <c r="M98" i="21"/>
  <c r="K98" i="21"/>
  <c r="R98" i="21"/>
  <c r="D98" i="21"/>
  <c r="H98" i="21"/>
  <c r="N98" i="21"/>
  <c r="Q98" i="21"/>
  <c r="AC98" i="21"/>
  <c r="AE98" i="21"/>
  <c r="E98" i="21"/>
  <c r="M59" i="21"/>
  <c r="Q59" i="21"/>
  <c r="D59" i="21"/>
  <c r="H59" i="21"/>
  <c r="Y59" i="21"/>
  <c r="J59" i="21"/>
  <c r="L59" i="21"/>
  <c r="C59" i="21"/>
  <c r="R59" i="21"/>
  <c r="W59" i="21"/>
  <c r="K59" i="21"/>
  <c r="X59" i="21"/>
  <c r="S59" i="21"/>
  <c r="N59" i="21"/>
  <c r="AD59" i="21"/>
  <c r="AB59" i="21"/>
  <c r="T59" i="21"/>
  <c r="E59" i="21"/>
  <c r="G59" i="21"/>
  <c r="AE59" i="21"/>
  <c r="B59" i="21"/>
  <c r="P59" i="21"/>
  <c r="AC59" i="21"/>
  <c r="U59" i="21"/>
  <c r="F59" i="21"/>
  <c r="I59" i="21"/>
  <c r="Z59" i="21"/>
  <c r="V59" i="21"/>
  <c r="AA59" i="21"/>
  <c r="O59" i="21"/>
  <c r="P43" i="21"/>
  <c r="AC43" i="21"/>
  <c r="L43" i="21"/>
  <c r="G43" i="21"/>
  <c r="AD43" i="21"/>
  <c r="X43" i="21"/>
  <c r="Y43" i="21"/>
  <c r="H43" i="21"/>
  <c r="AE43" i="21"/>
  <c r="B43" i="21"/>
  <c r="C43" i="21"/>
  <c r="T43" i="21"/>
  <c r="O43" i="21"/>
  <c r="I43" i="21"/>
  <c r="V43" i="21"/>
  <c r="D43" i="21"/>
  <c r="R43" i="21"/>
  <c r="M43" i="21"/>
  <c r="W43" i="21"/>
  <c r="Z43" i="21"/>
  <c r="AB43" i="21"/>
  <c r="AA43" i="21"/>
  <c r="U43" i="21"/>
  <c r="J43" i="21"/>
  <c r="E43" i="21"/>
  <c r="K43" i="21"/>
  <c r="N43" i="21"/>
  <c r="F43" i="21"/>
  <c r="Q43" i="21"/>
  <c r="S43" i="21"/>
  <c r="U36" i="21"/>
  <c r="C36" i="21"/>
  <c r="AB36" i="21"/>
  <c r="P36" i="21"/>
  <c r="AD36" i="21"/>
  <c r="T36" i="21"/>
  <c r="N36" i="21"/>
  <c r="I36" i="21"/>
  <c r="W36" i="21"/>
  <c r="B36" i="21"/>
  <c r="V36" i="21"/>
  <c r="R36" i="21"/>
  <c r="AE36" i="21"/>
  <c r="L36" i="21"/>
  <c r="H36" i="21"/>
  <c r="Z36" i="21"/>
  <c r="S36" i="21"/>
  <c r="M36" i="21"/>
  <c r="O36" i="21"/>
  <c r="E36" i="21"/>
  <c r="X36" i="21"/>
  <c r="Y36" i="21"/>
  <c r="D36" i="21"/>
  <c r="AA36" i="21"/>
  <c r="J36" i="21"/>
  <c r="Q36" i="21"/>
  <c r="AC36" i="21"/>
  <c r="G36" i="21"/>
  <c r="K36" i="21"/>
  <c r="F36" i="21"/>
  <c r="P28" i="21"/>
  <c r="G28" i="21"/>
  <c r="AD28" i="21"/>
  <c r="N28" i="21"/>
  <c r="L28" i="21"/>
  <c r="C28" i="21"/>
  <c r="D28" i="21"/>
  <c r="AA28" i="21"/>
  <c r="W28" i="21"/>
  <c r="S28" i="21"/>
  <c r="X28" i="21"/>
  <c r="F28" i="21"/>
  <c r="U28" i="21"/>
  <c r="T28" i="21"/>
  <c r="H28" i="21"/>
  <c r="Z28" i="21"/>
  <c r="AE28" i="21"/>
  <c r="O28" i="21"/>
  <c r="I28" i="21"/>
  <c r="AC28" i="21"/>
  <c r="K28" i="21"/>
  <c r="AB28" i="21"/>
  <c r="M28" i="21"/>
  <c r="R28" i="21"/>
  <c r="E28" i="21"/>
  <c r="B28" i="21"/>
  <c r="Y28" i="21"/>
  <c r="Q28" i="21"/>
  <c r="V28" i="21"/>
  <c r="J28" i="21"/>
  <c r="S20" i="21"/>
  <c r="AB20" i="21"/>
  <c r="I20" i="21"/>
  <c r="W20" i="21"/>
  <c r="V20" i="21"/>
  <c r="R20" i="21"/>
  <c r="K20" i="21"/>
  <c r="AD20" i="21"/>
  <c r="H20" i="21"/>
  <c r="G20" i="21"/>
  <c r="B20" i="21"/>
  <c r="Q20" i="21"/>
  <c r="E20" i="21"/>
  <c r="F20" i="21"/>
  <c r="AE20" i="21"/>
  <c r="N20" i="21"/>
  <c r="X20" i="21"/>
  <c r="D20" i="21"/>
  <c r="J20" i="21"/>
  <c r="Y20" i="21"/>
  <c r="M20" i="21"/>
  <c r="T20" i="21"/>
  <c r="P20" i="21"/>
  <c r="L20" i="21"/>
  <c r="AA20" i="21"/>
  <c r="U20" i="21"/>
  <c r="C20" i="21"/>
  <c r="AC20" i="21"/>
  <c r="Z20" i="21"/>
  <c r="O20" i="21"/>
  <c r="D12" i="21"/>
  <c r="L12" i="21"/>
  <c r="W12" i="21"/>
  <c r="G12" i="21"/>
  <c r="B12" i="21"/>
  <c r="Q12" i="21"/>
  <c r="H12" i="21"/>
  <c r="I12" i="21"/>
  <c r="AA12" i="21"/>
  <c r="AD12" i="21"/>
  <c r="AB12" i="21"/>
  <c r="AC12" i="21"/>
  <c r="K12" i="21"/>
  <c r="C12" i="21"/>
  <c r="Z12" i="21"/>
  <c r="M12" i="21"/>
  <c r="E12" i="21"/>
  <c r="X12" i="21"/>
  <c r="Y12" i="21"/>
  <c r="U12" i="21"/>
  <c r="V12" i="21"/>
  <c r="T12" i="21"/>
  <c r="P12" i="21"/>
  <c r="S12" i="21"/>
  <c r="R12" i="21"/>
  <c r="AE12" i="21"/>
  <c r="N12" i="21"/>
  <c r="J12" i="21"/>
  <c r="F12" i="21"/>
  <c r="O12" i="21"/>
  <c r="D4" i="21"/>
  <c r="AD4" i="21"/>
  <c r="AE4" i="21"/>
  <c r="G4" i="21"/>
  <c r="P4" i="21"/>
  <c r="T4" i="21"/>
  <c r="Q4" i="21"/>
  <c r="X4" i="21"/>
  <c r="AB4" i="21"/>
  <c r="V4" i="21"/>
  <c r="S4" i="21"/>
  <c r="B4" i="21"/>
  <c r="I4" i="21"/>
  <c r="H4" i="21"/>
  <c r="L4" i="21"/>
  <c r="N4" i="21"/>
  <c r="R4" i="21"/>
  <c r="O4" i="21"/>
  <c r="M4" i="21"/>
  <c r="F4" i="21"/>
  <c r="C4" i="21"/>
  <c r="U4" i="21"/>
  <c r="AC4" i="21"/>
  <c r="E4" i="21"/>
  <c r="K4" i="21"/>
  <c r="W4" i="21"/>
  <c r="J4" i="21"/>
  <c r="Z4" i="21"/>
  <c r="AA4" i="21"/>
  <c r="Y4" i="21"/>
  <c r="Q52" i="21"/>
  <c r="T52" i="21"/>
  <c r="V52" i="21"/>
  <c r="H52" i="21"/>
  <c r="R52" i="21"/>
  <c r="L52" i="21"/>
  <c r="O52" i="21"/>
  <c r="P52" i="21"/>
  <c r="G52" i="21"/>
  <c r="E52" i="21"/>
  <c r="F52" i="21"/>
  <c r="AB52" i="21"/>
  <c r="I52" i="21"/>
  <c r="Z52" i="21"/>
  <c r="AC52" i="21"/>
  <c r="C52" i="21"/>
  <c r="U52" i="21"/>
  <c r="X52" i="21"/>
  <c r="AE52" i="21"/>
  <c r="M52" i="21"/>
  <c r="AD52" i="21"/>
  <c r="J52" i="21"/>
  <c r="W52" i="21"/>
  <c r="AA52" i="21"/>
  <c r="B52" i="21"/>
  <c r="D52" i="21"/>
  <c r="S52" i="21"/>
  <c r="N52" i="21"/>
  <c r="Y52" i="21"/>
  <c r="K52" i="21"/>
  <c r="L44" i="21"/>
  <c r="Z44" i="21"/>
  <c r="W44" i="21"/>
  <c r="H44" i="21"/>
  <c r="T44" i="21"/>
  <c r="U44" i="21"/>
  <c r="G44" i="21"/>
  <c r="K44" i="21"/>
  <c r="AB44" i="21"/>
  <c r="F44" i="21"/>
  <c r="P44" i="21"/>
  <c r="B44" i="21"/>
  <c r="O44" i="21"/>
  <c r="E44" i="21"/>
  <c r="AC44" i="21"/>
  <c r="J44" i="21"/>
  <c r="S44" i="21"/>
  <c r="X44" i="21"/>
  <c r="M44" i="21"/>
  <c r="N44" i="21"/>
  <c r="Y44" i="21"/>
  <c r="AD44" i="21"/>
  <c r="AA44" i="21"/>
  <c r="V44" i="21"/>
  <c r="AE44" i="21"/>
  <c r="D44" i="21"/>
  <c r="I44" i="21"/>
  <c r="C44" i="21"/>
  <c r="R44" i="21"/>
  <c r="Q44" i="21"/>
  <c r="H29" i="21"/>
  <c r="K29" i="21"/>
  <c r="J29" i="21"/>
  <c r="AA29" i="21"/>
  <c r="AE29" i="21"/>
  <c r="D29" i="21"/>
  <c r="M29" i="21"/>
  <c r="R29" i="21"/>
  <c r="I29" i="21"/>
  <c r="Z29" i="21"/>
  <c r="W29" i="21"/>
  <c r="P29" i="21"/>
  <c r="X29" i="21"/>
  <c r="G29" i="21"/>
  <c r="AC29" i="21"/>
  <c r="Y29" i="21"/>
  <c r="Q29" i="21"/>
  <c r="N29" i="21"/>
  <c r="L29" i="21"/>
  <c r="AB29" i="21"/>
  <c r="S29" i="21"/>
  <c r="B29" i="21"/>
  <c r="AD29" i="21"/>
  <c r="U29" i="21"/>
  <c r="T29" i="21"/>
  <c r="E29" i="21"/>
  <c r="V29" i="21"/>
  <c r="F29" i="21"/>
  <c r="O29" i="21"/>
  <c r="C29" i="21"/>
  <c r="I21" i="21"/>
  <c r="L21" i="21"/>
  <c r="O21" i="21"/>
  <c r="W21" i="21"/>
  <c r="V21" i="21"/>
  <c r="AA21" i="21"/>
  <c r="C21" i="21"/>
  <c r="S21" i="21"/>
  <c r="J21" i="21"/>
  <c r="N21" i="21"/>
  <c r="Y21" i="21"/>
  <c r="AC21" i="21"/>
  <c r="H21" i="21"/>
  <c r="X21" i="21"/>
  <c r="R21" i="21"/>
  <c r="AD21" i="21"/>
  <c r="D21" i="21"/>
  <c r="T21" i="21"/>
  <c r="U21" i="21"/>
  <c r="F21" i="21"/>
  <c r="E21" i="21"/>
  <c r="Q21" i="21"/>
  <c r="G21" i="21"/>
  <c r="AB21" i="21"/>
  <c r="P21" i="21"/>
  <c r="AE21" i="21"/>
  <c r="K21" i="21"/>
  <c r="M21" i="21"/>
  <c r="Z21" i="21"/>
  <c r="B21" i="21"/>
  <c r="I13" i="21"/>
  <c r="U13" i="21"/>
  <c r="W13" i="21"/>
  <c r="AD13" i="21"/>
  <c r="Z13" i="21"/>
  <c r="L13" i="21"/>
  <c r="O13" i="21"/>
  <c r="V13" i="21"/>
  <c r="B13" i="21"/>
  <c r="D13" i="21"/>
  <c r="R13" i="21"/>
  <c r="M13" i="21"/>
  <c r="E13" i="21"/>
  <c r="F13" i="21"/>
  <c r="Q13" i="21"/>
  <c r="G13" i="21"/>
  <c r="N13" i="21"/>
  <c r="AA13" i="21"/>
  <c r="C13" i="21"/>
  <c r="X13" i="21"/>
  <c r="K13" i="21"/>
  <c r="P13" i="21"/>
  <c r="AE13" i="21"/>
  <c r="Y13" i="21"/>
  <c r="J13" i="21"/>
  <c r="H13" i="21"/>
  <c r="AC13" i="21"/>
  <c r="AB13" i="21"/>
  <c r="T13" i="21"/>
  <c r="S13" i="21"/>
  <c r="Q5" i="21"/>
  <c r="I5" i="21"/>
  <c r="E5" i="21"/>
  <c r="G5" i="21"/>
  <c r="X5" i="21"/>
  <c r="Z5" i="21"/>
  <c r="L5" i="21"/>
  <c r="B5" i="21"/>
  <c r="AD5" i="21"/>
  <c r="R5" i="21"/>
  <c r="P5" i="21"/>
  <c r="T5" i="21"/>
  <c r="AB5" i="21"/>
  <c r="J5" i="21"/>
  <c r="N5" i="21"/>
  <c r="D5" i="21"/>
  <c r="O5" i="21"/>
  <c r="AC5" i="21"/>
  <c r="AE5" i="21"/>
  <c r="W5" i="21"/>
  <c r="AA5" i="21"/>
  <c r="Y5" i="21"/>
  <c r="H5" i="21"/>
  <c r="M5" i="21"/>
  <c r="S5" i="21"/>
  <c r="K5" i="21"/>
  <c r="C5" i="21"/>
  <c r="U5" i="21"/>
  <c r="V5" i="21"/>
  <c r="F5" i="21"/>
  <c r="O95" i="21"/>
  <c r="H95" i="21"/>
  <c r="N95" i="21"/>
  <c r="L95" i="21"/>
  <c r="AC95" i="21"/>
  <c r="S95" i="21"/>
  <c r="F95" i="21"/>
  <c r="K95" i="21"/>
  <c r="J95" i="21"/>
  <c r="Z95" i="21"/>
  <c r="G95" i="21"/>
  <c r="B95" i="21"/>
  <c r="I95" i="21"/>
  <c r="C95" i="21"/>
  <c r="R95" i="21"/>
  <c r="AD95" i="21"/>
  <c r="AE95" i="21"/>
  <c r="V95" i="21"/>
  <c r="T95" i="21"/>
  <c r="AA95" i="21"/>
  <c r="W95" i="21"/>
  <c r="D95" i="21"/>
  <c r="Y95" i="21"/>
  <c r="P95" i="21"/>
  <c r="X95" i="21"/>
  <c r="U95" i="21"/>
  <c r="Q95" i="21"/>
  <c r="E95" i="21"/>
  <c r="AB95" i="21"/>
  <c r="M95" i="21"/>
  <c r="J82" i="21"/>
  <c r="H82" i="21"/>
  <c r="M82" i="21"/>
  <c r="O82" i="21"/>
  <c r="Z82" i="21"/>
  <c r="C82" i="21"/>
  <c r="AB82" i="21"/>
  <c r="W82" i="21"/>
  <c r="F82" i="21"/>
  <c r="AA82" i="21"/>
  <c r="S82" i="21"/>
  <c r="R82" i="21"/>
  <c r="T82" i="21"/>
  <c r="D82" i="21"/>
  <c r="AC82" i="21"/>
  <c r="B82" i="21"/>
  <c r="AE82" i="21"/>
  <c r="V82" i="21"/>
  <c r="U82" i="21"/>
  <c r="N82" i="21"/>
  <c r="X82" i="21"/>
  <c r="I82" i="21"/>
  <c r="Y82" i="21"/>
  <c r="E82" i="21"/>
  <c r="AD82" i="21"/>
  <c r="Q82" i="21"/>
  <c r="G82" i="21"/>
  <c r="K82" i="21"/>
  <c r="L82" i="21"/>
  <c r="P82" i="21"/>
  <c r="S51" i="21"/>
  <c r="M51" i="21"/>
  <c r="D51" i="21"/>
  <c r="H51" i="21"/>
  <c r="Z51" i="21"/>
  <c r="I51" i="21"/>
  <c r="AB51" i="21"/>
  <c r="O51" i="21"/>
  <c r="G51" i="21"/>
  <c r="F51" i="21"/>
  <c r="T51" i="21"/>
  <c r="N51" i="21"/>
  <c r="U51" i="21"/>
  <c r="J51" i="21"/>
  <c r="AA51" i="21"/>
  <c r="W51" i="21"/>
  <c r="P51" i="21"/>
  <c r="X51" i="21"/>
  <c r="AC51" i="21"/>
  <c r="B51" i="21"/>
  <c r="Q51" i="21"/>
  <c r="C51" i="21"/>
  <c r="R51" i="21"/>
  <c r="AD51" i="21"/>
  <c r="AE51" i="21"/>
  <c r="Y51" i="21"/>
  <c r="L51" i="21"/>
  <c r="E51" i="21"/>
  <c r="K51" i="21"/>
  <c r="V51" i="21"/>
  <c r="G91" i="21"/>
  <c r="R91" i="21"/>
  <c r="X91" i="21"/>
  <c r="U91" i="21"/>
  <c r="M91" i="21"/>
  <c r="D91" i="21"/>
  <c r="AE91" i="21"/>
  <c r="S91" i="21"/>
  <c r="J91" i="21"/>
  <c r="W91" i="21"/>
  <c r="T91" i="21"/>
  <c r="AD91" i="21"/>
  <c r="H91" i="21"/>
  <c r="L91" i="21"/>
  <c r="C91" i="21"/>
  <c r="B91" i="21"/>
  <c r="AC91" i="21"/>
  <c r="AA91" i="21"/>
  <c r="E91" i="21"/>
  <c r="V91" i="21"/>
  <c r="P91" i="21"/>
  <c r="F91" i="21"/>
  <c r="AB91" i="21"/>
  <c r="Q91" i="21"/>
  <c r="O91" i="21"/>
  <c r="Z91" i="21"/>
  <c r="N91" i="21"/>
  <c r="Y91" i="21"/>
  <c r="I91" i="21"/>
  <c r="K91" i="21"/>
  <c r="X100" i="21"/>
  <c r="AA100" i="21"/>
  <c r="AC100" i="21"/>
  <c r="F100" i="21"/>
  <c r="L100" i="21"/>
  <c r="S100" i="21"/>
  <c r="K100" i="21"/>
  <c r="I100" i="21"/>
  <c r="J100" i="21"/>
  <c r="AB100" i="21"/>
  <c r="G100" i="21"/>
  <c r="E100" i="21"/>
  <c r="B100" i="21"/>
  <c r="T100" i="21"/>
  <c r="C100" i="21"/>
  <c r="Q100" i="21"/>
  <c r="M100" i="21"/>
  <c r="P100" i="21"/>
  <c r="H100" i="21"/>
  <c r="AE100" i="21"/>
  <c r="Z100" i="21"/>
  <c r="D100" i="21"/>
  <c r="R100" i="21"/>
  <c r="V100" i="21"/>
  <c r="AD100" i="21"/>
  <c r="Y100" i="21"/>
  <c r="U100" i="21"/>
  <c r="W100" i="21"/>
  <c r="O100" i="21"/>
  <c r="N100" i="21"/>
  <c r="J92" i="21"/>
  <c r="AD92" i="21"/>
  <c r="N92" i="21"/>
  <c r="Z92" i="21"/>
  <c r="S92" i="21"/>
  <c r="U92" i="21"/>
  <c r="AA92" i="21"/>
  <c r="C92" i="21"/>
  <c r="R92" i="21"/>
  <c r="AC92" i="21"/>
  <c r="V92" i="21"/>
  <c r="K92" i="21"/>
  <c r="I92" i="21"/>
  <c r="Q92" i="21"/>
  <c r="W92" i="21"/>
  <c r="AE92" i="21"/>
  <c r="O92" i="21"/>
  <c r="G92" i="21"/>
  <c r="E92" i="21"/>
  <c r="Y92" i="21"/>
  <c r="D92" i="21"/>
  <c r="L92" i="21"/>
  <c r="F92" i="21"/>
  <c r="H92" i="21"/>
  <c r="X92" i="21"/>
  <c r="T92" i="21"/>
  <c r="M92" i="21"/>
  <c r="B92" i="21"/>
  <c r="AB92" i="21"/>
  <c r="P92" i="21"/>
  <c r="N84" i="21"/>
  <c r="I84" i="21"/>
  <c r="S84" i="21"/>
  <c r="Z84" i="21"/>
  <c r="AD84" i="21"/>
  <c r="U84" i="21"/>
  <c r="B84" i="21"/>
  <c r="C84" i="21"/>
  <c r="L84" i="21"/>
  <c r="W84" i="21"/>
  <c r="P84" i="21"/>
  <c r="J84" i="21"/>
  <c r="Q84" i="21"/>
  <c r="AC84" i="21"/>
  <c r="M84" i="21"/>
  <c r="D84" i="21"/>
  <c r="O84" i="21"/>
  <c r="Y84" i="21"/>
  <c r="G84" i="21"/>
  <c r="AA84" i="21"/>
  <c r="H84" i="21"/>
  <c r="AB84" i="21"/>
  <c r="T84" i="21"/>
  <c r="AE84" i="21"/>
  <c r="E84" i="21"/>
  <c r="R84" i="21"/>
  <c r="X84" i="21"/>
  <c r="K84" i="21"/>
  <c r="V84" i="21"/>
  <c r="F84" i="21"/>
  <c r="E76" i="21"/>
  <c r="Z76" i="21"/>
  <c r="L76" i="21"/>
  <c r="U76" i="21"/>
  <c r="D76" i="21"/>
  <c r="R76" i="21"/>
  <c r="Y76" i="21"/>
  <c r="Q76" i="21"/>
  <c r="M76" i="21"/>
  <c r="I76" i="21"/>
  <c r="V76" i="21"/>
  <c r="AB76" i="21"/>
  <c r="AE76" i="21"/>
  <c r="W76" i="21"/>
  <c r="X76" i="21"/>
  <c r="T76" i="21"/>
  <c r="G76" i="21"/>
  <c r="AA76" i="21"/>
  <c r="O76" i="21"/>
  <c r="S76" i="21"/>
  <c r="P76" i="21"/>
  <c r="J76" i="21"/>
  <c r="AD76" i="21"/>
  <c r="C76" i="21"/>
  <c r="N76" i="21"/>
  <c r="K76" i="21"/>
  <c r="F76" i="21"/>
  <c r="H76" i="21"/>
  <c r="AC76" i="21"/>
  <c r="B76" i="21"/>
  <c r="N68" i="21"/>
  <c r="W68" i="21"/>
  <c r="I68" i="21"/>
  <c r="D68" i="21"/>
  <c r="F68" i="21"/>
  <c r="AA68" i="21"/>
  <c r="AE68" i="21"/>
  <c r="L68" i="21"/>
  <c r="V68" i="21"/>
  <c r="B68" i="21"/>
  <c r="AB68" i="21"/>
  <c r="R68" i="21"/>
  <c r="AC68" i="21"/>
  <c r="K68" i="21"/>
  <c r="Y68" i="21"/>
  <c r="G68" i="21"/>
  <c r="O68" i="21"/>
  <c r="M68" i="21"/>
  <c r="AD68" i="21"/>
  <c r="T68" i="21"/>
  <c r="Q68" i="21"/>
  <c r="U68" i="21"/>
  <c r="S68" i="21"/>
  <c r="J68" i="21"/>
  <c r="C68" i="21"/>
  <c r="E68" i="21"/>
  <c r="P68" i="21"/>
  <c r="H68" i="21"/>
  <c r="X68" i="21"/>
  <c r="Z68" i="21"/>
  <c r="Q61" i="21"/>
  <c r="Z61" i="21"/>
  <c r="V61" i="21"/>
  <c r="H61" i="21"/>
  <c r="C61" i="21"/>
  <c r="J61" i="21"/>
  <c r="AA61" i="21"/>
  <c r="AE61" i="21"/>
  <c r="D61" i="21"/>
  <c r="X61" i="21"/>
  <c r="U61" i="21"/>
  <c r="Y61" i="21"/>
  <c r="L61" i="21"/>
  <c r="AB61" i="21"/>
  <c r="B61" i="21"/>
  <c r="S61" i="21"/>
  <c r="M61" i="21"/>
  <c r="AD61" i="21"/>
  <c r="F61" i="21"/>
  <c r="E61" i="21"/>
  <c r="R61" i="21"/>
  <c r="P61" i="21"/>
  <c r="K61" i="21"/>
  <c r="W61" i="21"/>
  <c r="AC61" i="21"/>
  <c r="N61" i="21"/>
  <c r="O61" i="21"/>
  <c r="I61" i="21"/>
  <c r="G61" i="21"/>
  <c r="T61" i="21"/>
  <c r="S53" i="21"/>
  <c r="W53" i="21"/>
  <c r="F53" i="21"/>
  <c r="AE53" i="21"/>
  <c r="AD53" i="21"/>
  <c r="Y53" i="21"/>
  <c r="V53" i="21"/>
  <c r="J53" i="21"/>
  <c r="H53" i="21"/>
  <c r="E53" i="21"/>
  <c r="X53" i="21"/>
  <c r="O53" i="21"/>
  <c r="Q53" i="21"/>
  <c r="T53" i="21"/>
  <c r="AB53" i="21"/>
  <c r="N53" i="21"/>
  <c r="K53" i="21"/>
  <c r="I53" i="21"/>
  <c r="D53" i="21"/>
  <c r="Z53" i="21"/>
  <c r="M53" i="21"/>
  <c r="P53" i="21"/>
  <c r="B53" i="21"/>
  <c r="U53" i="21"/>
  <c r="R53" i="21"/>
  <c r="L53" i="21"/>
  <c r="AA53" i="21"/>
  <c r="G53" i="21"/>
  <c r="C53" i="21"/>
  <c r="AC53" i="21"/>
  <c r="Y45" i="21"/>
  <c r="Q45" i="21"/>
  <c r="M45" i="21"/>
  <c r="T45" i="21"/>
  <c r="AD45" i="21"/>
  <c r="I45" i="21"/>
  <c r="D45" i="21"/>
  <c r="AC45" i="21"/>
  <c r="AE45" i="21"/>
  <c r="H45" i="21"/>
  <c r="Z45" i="21"/>
  <c r="W45" i="21"/>
  <c r="V45" i="21"/>
  <c r="K45" i="21"/>
  <c r="L45" i="21"/>
  <c r="P45" i="21"/>
  <c r="X45" i="21"/>
  <c r="AA45" i="21"/>
  <c r="F45" i="21"/>
  <c r="S45" i="21"/>
  <c r="O45" i="21"/>
  <c r="G45" i="21"/>
  <c r="U45" i="21"/>
  <c r="N45" i="21"/>
  <c r="C45" i="21"/>
  <c r="B45" i="21"/>
  <c r="E45" i="21"/>
  <c r="R45" i="21"/>
  <c r="J45" i="21"/>
  <c r="AB45" i="21"/>
  <c r="L37" i="21"/>
  <c r="G37" i="21"/>
  <c r="N37" i="21"/>
  <c r="C37" i="21"/>
  <c r="B37" i="21"/>
  <c r="Z37" i="21"/>
  <c r="AB37" i="21"/>
  <c r="X37" i="21"/>
  <c r="Q37" i="21"/>
  <c r="W37" i="21"/>
  <c r="H37" i="21"/>
  <c r="R37" i="21"/>
  <c r="AA37" i="21"/>
  <c r="M37" i="21"/>
  <c r="P37" i="21"/>
  <c r="F37" i="21"/>
  <c r="S37" i="21"/>
  <c r="AD37" i="21"/>
  <c r="V37" i="21"/>
  <c r="U37" i="21"/>
  <c r="I37" i="21"/>
  <c r="AC37" i="21"/>
  <c r="AE37" i="21"/>
  <c r="E37" i="21"/>
  <c r="D37" i="21"/>
  <c r="K37" i="21"/>
  <c r="O37" i="21"/>
  <c r="J37" i="21"/>
  <c r="Y37" i="21"/>
  <c r="T37" i="21"/>
  <c r="B30" i="21"/>
  <c r="F30" i="21"/>
  <c r="Y30" i="21"/>
  <c r="L30" i="21"/>
  <c r="Q30" i="21"/>
  <c r="W30" i="21"/>
  <c r="D30" i="21"/>
  <c r="AB30" i="21"/>
  <c r="K30" i="21"/>
  <c r="P30" i="21"/>
  <c r="S30" i="21"/>
  <c r="J30" i="21"/>
  <c r="C30" i="21"/>
  <c r="H30" i="21"/>
  <c r="Z30" i="21"/>
  <c r="M30" i="21"/>
  <c r="AA30" i="21"/>
  <c r="I30" i="21"/>
  <c r="AC30" i="21"/>
  <c r="X30" i="21"/>
  <c r="T30" i="21"/>
  <c r="O30" i="21"/>
  <c r="AE30" i="21"/>
  <c r="V30" i="21"/>
  <c r="R30" i="21"/>
  <c r="E30" i="21"/>
  <c r="G30" i="21"/>
  <c r="U30" i="21"/>
  <c r="N30" i="21"/>
  <c r="AD30" i="21"/>
  <c r="S22" i="21"/>
  <c r="M22" i="21"/>
  <c r="AA22" i="21"/>
  <c r="V22" i="21"/>
  <c r="T22" i="21"/>
  <c r="AE22" i="21"/>
  <c r="K22" i="21"/>
  <c r="F22" i="21"/>
  <c r="G22" i="21"/>
  <c r="N22" i="21"/>
  <c r="D22" i="21"/>
  <c r="B22" i="21"/>
  <c r="X22" i="21"/>
  <c r="L22" i="21"/>
  <c r="AB22" i="21"/>
  <c r="I22" i="21"/>
  <c r="W22" i="21"/>
  <c r="R22" i="21"/>
  <c r="Q22" i="21"/>
  <c r="H22" i="21"/>
  <c r="AD22" i="21"/>
  <c r="O22" i="21"/>
  <c r="J22" i="21"/>
  <c r="U22" i="21"/>
  <c r="E22" i="21"/>
  <c r="AC22" i="21"/>
  <c r="Z22" i="21"/>
  <c r="P22" i="21"/>
  <c r="C22" i="21"/>
  <c r="Y22" i="21"/>
  <c r="J14" i="21"/>
  <c r="Z14" i="21"/>
  <c r="K14" i="21"/>
  <c r="AB14" i="21"/>
  <c r="T14" i="21"/>
  <c r="I14" i="21"/>
  <c r="C14" i="21"/>
  <c r="AC14" i="21"/>
  <c r="V14" i="21"/>
  <c r="R14" i="21"/>
  <c r="N14" i="21"/>
  <c r="AA14" i="21"/>
  <c r="X14" i="21"/>
  <c r="D14" i="21"/>
  <c r="S14" i="21"/>
  <c r="Q14" i="21"/>
  <c r="H14" i="21"/>
  <c r="U14" i="21"/>
  <c r="AE14" i="21"/>
  <c r="M14" i="21"/>
  <c r="L14" i="21"/>
  <c r="F14" i="21"/>
  <c r="B14" i="21"/>
  <c r="AD14" i="21"/>
  <c r="E14" i="21"/>
  <c r="G14" i="21"/>
  <c r="Y14" i="21"/>
  <c r="P14" i="21"/>
  <c r="W14" i="21"/>
  <c r="O14" i="21"/>
  <c r="F6" i="21"/>
  <c r="M6" i="21"/>
  <c r="S6" i="21"/>
  <c r="G6" i="21"/>
  <c r="T6" i="21"/>
  <c r="K6" i="21"/>
  <c r="AB6" i="21"/>
  <c r="E6" i="21"/>
  <c r="X6" i="21"/>
  <c r="AE6" i="21"/>
  <c r="D6" i="21"/>
  <c r="P6" i="21"/>
  <c r="L6" i="21"/>
  <c r="AD6" i="21"/>
  <c r="U6" i="21"/>
  <c r="Z6" i="21"/>
  <c r="V6" i="21"/>
  <c r="Y6" i="21"/>
  <c r="W6" i="21"/>
  <c r="R6" i="21"/>
  <c r="H6" i="21"/>
  <c r="AC6" i="21"/>
  <c r="AA6" i="21"/>
  <c r="J6" i="21"/>
  <c r="I6" i="21"/>
  <c r="B6" i="21"/>
  <c r="O6" i="21"/>
  <c r="Q6" i="21"/>
  <c r="C6" i="21"/>
  <c r="N6" i="21"/>
  <c r="AE79" i="21"/>
  <c r="Z79" i="21"/>
  <c r="D79" i="21"/>
  <c r="Q79" i="21"/>
  <c r="I79" i="21"/>
  <c r="X79" i="21"/>
  <c r="T79" i="21"/>
  <c r="AC79" i="21"/>
  <c r="V79" i="21"/>
  <c r="W79" i="21"/>
  <c r="S79" i="21"/>
  <c r="AD79" i="21"/>
  <c r="O79" i="21"/>
  <c r="U79" i="21"/>
  <c r="L79" i="21"/>
  <c r="R79" i="21"/>
  <c r="C79" i="21"/>
  <c r="G79" i="21"/>
  <c r="H79" i="21"/>
  <c r="AB79" i="21"/>
  <c r="P79" i="21"/>
  <c r="J79" i="21"/>
  <c r="M79" i="21"/>
  <c r="B79" i="21"/>
  <c r="F79" i="21"/>
  <c r="E79" i="21"/>
  <c r="N79" i="21"/>
  <c r="Y79" i="21"/>
  <c r="AA79" i="21"/>
  <c r="K79" i="21"/>
  <c r="Y74" i="21"/>
  <c r="D74" i="21"/>
  <c r="S74" i="21"/>
  <c r="P74" i="21"/>
  <c r="X74" i="21"/>
  <c r="AB74" i="21"/>
  <c r="M74" i="21"/>
  <c r="V74" i="21"/>
  <c r="N74" i="21"/>
  <c r="W74" i="21"/>
  <c r="G74" i="21"/>
  <c r="F74" i="21"/>
  <c r="E74" i="21"/>
  <c r="Z74" i="21"/>
  <c r="L74" i="21"/>
  <c r="J74" i="21"/>
  <c r="U74" i="21"/>
  <c r="B74" i="21"/>
  <c r="AA74" i="21"/>
  <c r="C74" i="21"/>
  <c r="R74" i="21"/>
  <c r="K74" i="21"/>
  <c r="AD74" i="21"/>
  <c r="AC74" i="21"/>
  <c r="T74" i="21"/>
  <c r="I74" i="21"/>
  <c r="AE74" i="21"/>
  <c r="H74" i="21"/>
  <c r="O74" i="21"/>
  <c r="Q74" i="21"/>
  <c r="W99" i="21"/>
  <c r="Z99" i="21"/>
  <c r="X99" i="21"/>
  <c r="R99" i="21"/>
  <c r="Y99" i="21"/>
  <c r="G99" i="21"/>
  <c r="AB99" i="21"/>
  <c r="D99" i="21"/>
  <c r="N99" i="21"/>
  <c r="S99" i="21"/>
  <c r="Q99" i="21"/>
  <c r="E99" i="21"/>
  <c r="O99" i="21"/>
  <c r="M99" i="21"/>
  <c r="L99" i="21"/>
  <c r="AC99" i="21"/>
  <c r="U99" i="21"/>
  <c r="K99" i="21"/>
  <c r="T99" i="21"/>
  <c r="H99" i="21"/>
  <c r="F99" i="21"/>
  <c r="I99" i="21"/>
  <c r="AE99" i="21"/>
  <c r="C99" i="21"/>
  <c r="AA99" i="21"/>
  <c r="AD99" i="21"/>
  <c r="P99" i="21"/>
  <c r="V99" i="21"/>
  <c r="J99" i="21"/>
  <c r="B99" i="21"/>
  <c r="G67" i="21"/>
  <c r="M67" i="21"/>
  <c r="U67" i="21"/>
  <c r="Y67" i="21"/>
  <c r="T67" i="21"/>
  <c r="L67" i="21"/>
  <c r="P67" i="21"/>
  <c r="AE67" i="21"/>
  <c r="X67" i="21"/>
  <c r="W67" i="21"/>
  <c r="AC67" i="21"/>
  <c r="Z67" i="21"/>
  <c r="R67" i="21"/>
  <c r="B67" i="21"/>
  <c r="C67" i="21"/>
  <c r="V67" i="21"/>
  <c r="D67" i="21"/>
  <c r="Q67" i="21"/>
  <c r="I67" i="21"/>
  <c r="N67" i="21"/>
  <c r="AB67" i="21"/>
  <c r="S67" i="21"/>
  <c r="AA67" i="21"/>
  <c r="E67" i="21"/>
  <c r="AD67" i="21"/>
  <c r="O67" i="21"/>
  <c r="J67" i="21"/>
  <c r="K67" i="21"/>
  <c r="F67" i="21"/>
  <c r="H67" i="21"/>
  <c r="F101" i="21"/>
  <c r="AE101" i="21"/>
  <c r="AD101" i="21"/>
  <c r="AC101" i="21"/>
  <c r="H101" i="21"/>
  <c r="G101" i="21"/>
  <c r="D101" i="21"/>
  <c r="R101" i="21"/>
  <c r="B101" i="21"/>
  <c r="E101" i="21"/>
  <c r="L101" i="21"/>
  <c r="Z101" i="21"/>
  <c r="U101" i="21"/>
  <c r="X101" i="21"/>
  <c r="Q101" i="21"/>
  <c r="P101" i="21"/>
  <c r="K101" i="21"/>
  <c r="S101" i="21"/>
  <c r="T101" i="21"/>
  <c r="J101" i="21"/>
  <c r="AB101" i="21"/>
  <c r="O101" i="21"/>
  <c r="I101" i="21"/>
  <c r="AA101" i="21"/>
  <c r="W101" i="21"/>
  <c r="N101" i="21"/>
  <c r="C101" i="21"/>
  <c r="Y101" i="21"/>
  <c r="V101" i="21"/>
  <c r="M101" i="21"/>
  <c r="M93" i="21"/>
  <c r="L93" i="21"/>
  <c r="H93" i="21"/>
  <c r="E93" i="21"/>
  <c r="W93" i="21"/>
  <c r="F93" i="21"/>
  <c r="AB93" i="21"/>
  <c r="C93" i="21"/>
  <c r="O93" i="21"/>
  <c r="N93" i="21"/>
  <c r="AC93" i="21"/>
  <c r="G93" i="21"/>
  <c r="T93" i="21"/>
  <c r="S93" i="21"/>
  <c r="Y93" i="21"/>
  <c r="D93" i="21"/>
  <c r="AA93" i="21"/>
  <c r="Z93" i="21"/>
  <c r="X93" i="21"/>
  <c r="P93" i="21"/>
  <c r="AD93" i="21"/>
  <c r="J93" i="21"/>
  <c r="R93" i="21"/>
  <c r="U93" i="21"/>
  <c r="I93" i="21"/>
  <c r="V93" i="21"/>
  <c r="B93" i="21"/>
  <c r="K93" i="21"/>
  <c r="AE93" i="21"/>
  <c r="Q93" i="21"/>
  <c r="D85" i="21"/>
  <c r="AB85" i="21"/>
  <c r="AA85" i="21"/>
  <c r="H85" i="21"/>
  <c r="P85" i="21"/>
  <c r="T85" i="21"/>
  <c r="M85" i="21"/>
  <c r="AD85" i="21"/>
  <c r="U85" i="21"/>
  <c r="Q85" i="21"/>
  <c r="L85" i="21"/>
  <c r="Y85" i="21"/>
  <c r="AC85" i="21"/>
  <c r="K85" i="21"/>
  <c r="E85" i="21"/>
  <c r="B85" i="21"/>
  <c r="AE85" i="21"/>
  <c r="V85" i="21"/>
  <c r="R85" i="21"/>
  <c r="Z85" i="21"/>
  <c r="N85" i="21"/>
  <c r="J85" i="21"/>
  <c r="I85" i="21"/>
  <c r="C85" i="21"/>
  <c r="S85" i="21"/>
  <c r="O85" i="21"/>
  <c r="W85" i="21"/>
  <c r="F85" i="21"/>
  <c r="G85" i="21"/>
  <c r="X85" i="21"/>
  <c r="F77" i="21"/>
  <c r="AA77" i="21"/>
  <c r="Z77" i="21"/>
  <c r="S77" i="21"/>
  <c r="AD77" i="21"/>
  <c r="C77" i="21"/>
  <c r="E77" i="21"/>
  <c r="V77" i="21"/>
  <c r="M77" i="21"/>
  <c r="K77" i="21"/>
  <c r="O77" i="21"/>
  <c r="H77" i="21"/>
  <c r="L77" i="21"/>
  <c r="R77" i="21"/>
  <c r="AE77" i="21"/>
  <c r="AB77" i="21"/>
  <c r="X77" i="21"/>
  <c r="T77" i="21"/>
  <c r="W77" i="21"/>
  <c r="I77" i="21"/>
  <c r="J77" i="21"/>
  <c r="U77" i="21"/>
  <c r="N77" i="21"/>
  <c r="D77" i="21"/>
  <c r="B77" i="21"/>
  <c r="P77" i="21"/>
  <c r="G77" i="21"/>
  <c r="Q77" i="21"/>
  <c r="Y77" i="21"/>
  <c r="AC77" i="21"/>
  <c r="AD69" i="21"/>
  <c r="Q69" i="21"/>
  <c r="C69" i="21"/>
  <c r="F69" i="21"/>
  <c r="P69" i="21"/>
  <c r="H69" i="21"/>
  <c r="O69" i="21"/>
  <c r="G69" i="21"/>
  <c r="AB69" i="21"/>
  <c r="R69" i="21"/>
  <c r="AA69" i="21"/>
  <c r="I69" i="21"/>
  <c r="J69" i="21"/>
  <c r="N69" i="21"/>
  <c r="Z69" i="21"/>
  <c r="W69" i="21"/>
  <c r="D69" i="21"/>
  <c r="M69" i="21"/>
  <c r="Y69" i="21"/>
  <c r="AC69" i="21"/>
  <c r="AE69" i="21"/>
  <c r="S69" i="21"/>
  <c r="E69" i="21"/>
  <c r="L69" i="21"/>
  <c r="K69" i="21"/>
  <c r="U69" i="21"/>
  <c r="T69" i="21"/>
  <c r="V69" i="21"/>
  <c r="X69" i="21"/>
  <c r="B69" i="21"/>
  <c r="G54" i="21"/>
  <c r="R54" i="21"/>
  <c r="AB54" i="21"/>
  <c r="I54" i="21"/>
  <c r="K54" i="21"/>
  <c r="Z54" i="21"/>
  <c r="M54" i="21"/>
  <c r="W54" i="21"/>
  <c r="D54" i="21"/>
  <c r="X54" i="21"/>
  <c r="T54" i="21"/>
  <c r="AD54" i="21"/>
  <c r="AA54" i="21"/>
  <c r="AE54" i="21"/>
  <c r="AC54" i="21"/>
  <c r="V54" i="21"/>
  <c r="Y54" i="21"/>
  <c r="N54" i="21"/>
  <c r="S54" i="21"/>
  <c r="E54" i="21"/>
  <c r="U54" i="21"/>
  <c r="O54" i="21"/>
  <c r="P54" i="21"/>
  <c r="L54" i="21"/>
  <c r="Q54" i="21"/>
  <c r="F54" i="21"/>
  <c r="C54" i="21"/>
  <c r="B54" i="21"/>
  <c r="J54" i="21"/>
  <c r="H54" i="21"/>
  <c r="D46" i="21"/>
  <c r="Q46" i="21"/>
  <c r="V46" i="21"/>
  <c r="U46" i="21"/>
  <c r="AC46" i="21"/>
  <c r="L46" i="21"/>
  <c r="P46" i="21"/>
  <c r="AA46" i="21"/>
  <c r="B46" i="21"/>
  <c r="F46" i="21"/>
  <c r="R46" i="21"/>
  <c r="M46" i="21"/>
  <c r="N46" i="21"/>
  <c r="S46" i="21"/>
  <c r="E46" i="21"/>
  <c r="C46" i="21"/>
  <c r="Y46" i="21"/>
  <c r="W46" i="21"/>
  <c r="AD46" i="21"/>
  <c r="H46" i="21"/>
  <c r="I46" i="21"/>
  <c r="O46" i="21"/>
  <c r="AB46" i="21"/>
  <c r="T46" i="21"/>
  <c r="J46" i="21"/>
  <c r="K46" i="21"/>
  <c r="G46" i="21"/>
  <c r="X46" i="21"/>
  <c r="Z46" i="21"/>
  <c r="AE46" i="21"/>
  <c r="U38" i="21"/>
  <c r="D38" i="21"/>
  <c r="H38" i="21"/>
  <c r="G38" i="21"/>
  <c r="X38" i="21"/>
  <c r="P38" i="21"/>
  <c r="E38" i="21"/>
  <c r="Z38" i="21"/>
  <c r="V38" i="21"/>
  <c r="K38" i="21"/>
  <c r="F38" i="21"/>
  <c r="S38" i="21"/>
  <c r="Y38" i="21"/>
  <c r="J38" i="21"/>
  <c r="O38" i="21"/>
  <c r="L38" i="21"/>
  <c r="I38" i="21"/>
  <c r="B38" i="21"/>
  <c r="W38" i="21"/>
  <c r="T38" i="21"/>
  <c r="AA38" i="21"/>
  <c r="N38" i="21"/>
  <c r="M38" i="21"/>
  <c r="C38" i="21"/>
  <c r="AB38" i="21"/>
  <c r="AE38" i="21"/>
  <c r="AD38" i="21"/>
  <c r="AC38" i="21"/>
  <c r="R38" i="21"/>
  <c r="Q38" i="21"/>
  <c r="C31" i="21"/>
  <c r="P31" i="21"/>
  <c r="J31" i="21"/>
  <c r="AA31" i="21"/>
  <c r="L31" i="21"/>
  <c r="AE31" i="21"/>
  <c r="Z31" i="21"/>
  <c r="O31" i="21"/>
  <c r="E31" i="21"/>
  <c r="K31" i="21"/>
  <c r="V31" i="21"/>
  <c r="Q31" i="21"/>
  <c r="D31" i="21"/>
  <c r="Y31" i="21"/>
  <c r="M31" i="21"/>
  <c r="G31" i="21"/>
  <c r="F31" i="21"/>
  <c r="W31" i="21"/>
  <c r="H31" i="21"/>
  <c r="AB31" i="21"/>
  <c r="X31" i="21"/>
  <c r="N31" i="21"/>
  <c r="R31" i="21"/>
  <c r="AD31" i="21"/>
  <c r="I31" i="21"/>
  <c r="T31" i="21"/>
  <c r="S31" i="21"/>
  <c r="U31" i="21"/>
  <c r="AC31" i="21"/>
  <c r="B31" i="21"/>
  <c r="G23" i="21"/>
  <c r="B23" i="21"/>
  <c r="I23" i="21"/>
  <c r="AA23" i="21"/>
  <c r="W23" i="21"/>
  <c r="S23" i="21"/>
  <c r="M23" i="21"/>
  <c r="U23" i="21"/>
  <c r="Z23" i="21"/>
  <c r="O23" i="21"/>
  <c r="C23" i="21"/>
  <c r="E23" i="21"/>
  <c r="AB23" i="21"/>
  <c r="AE23" i="21"/>
  <c r="H23" i="21"/>
  <c r="AD23" i="21"/>
  <c r="K23" i="21"/>
  <c r="Y23" i="21"/>
  <c r="V23" i="21"/>
  <c r="L23" i="21"/>
  <c r="AC23" i="21"/>
  <c r="Q23" i="21"/>
  <c r="T23" i="21"/>
  <c r="X23" i="21"/>
  <c r="J23" i="21"/>
  <c r="R23" i="21"/>
  <c r="F23" i="21"/>
  <c r="N23" i="21"/>
  <c r="P23" i="21"/>
  <c r="D23" i="21"/>
  <c r="K15" i="21"/>
  <c r="I15" i="21"/>
  <c r="AE15" i="21"/>
  <c r="U15" i="21"/>
  <c r="N15" i="21"/>
  <c r="E15" i="21"/>
  <c r="Z15" i="21"/>
  <c r="D15" i="21"/>
  <c r="AA15" i="21"/>
  <c r="X15" i="21"/>
  <c r="F15" i="21"/>
  <c r="W15" i="21"/>
  <c r="Y15" i="21"/>
  <c r="AB15" i="21"/>
  <c r="P15" i="21"/>
  <c r="Q15" i="21"/>
  <c r="S15" i="21"/>
  <c r="M15" i="21"/>
  <c r="H15" i="21"/>
  <c r="O15" i="21"/>
  <c r="G15" i="21"/>
  <c r="AC15" i="21"/>
  <c r="R15" i="21"/>
  <c r="C15" i="21"/>
  <c r="T15" i="21"/>
  <c r="L15" i="21"/>
  <c r="B15" i="21"/>
  <c r="AD15" i="21"/>
  <c r="V15" i="21"/>
  <c r="J15" i="21"/>
  <c r="AA7" i="21"/>
  <c r="K7" i="21"/>
  <c r="Q7" i="21"/>
  <c r="P7" i="21"/>
  <c r="M7" i="21"/>
  <c r="D7" i="21"/>
  <c r="U7" i="21"/>
  <c r="R7" i="21"/>
  <c r="AD7" i="21"/>
  <c r="O7" i="21"/>
  <c r="I7" i="21"/>
  <c r="F7" i="21"/>
  <c r="H7" i="21"/>
  <c r="AC7" i="21"/>
  <c r="G7" i="21"/>
  <c r="C7" i="21"/>
  <c r="E7" i="21"/>
  <c r="N7" i="21"/>
  <c r="T7" i="21"/>
  <c r="AE7" i="21"/>
  <c r="B7" i="21"/>
  <c r="X7" i="21"/>
  <c r="W7" i="21"/>
  <c r="S7" i="21"/>
  <c r="Y7" i="21"/>
  <c r="V7" i="21"/>
  <c r="Z7" i="21"/>
  <c r="L7" i="21"/>
  <c r="AB7" i="21"/>
  <c r="J7" i="21"/>
  <c r="N90" i="21"/>
  <c r="L90" i="21"/>
  <c r="I90" i="21"/>
  <c r="AC90" i="21"/>
  <c r="K90" i="21"/>
  <c r="G90" i="21"/>
  <c r="Z90" i="21"/>
  <c r="E90" i="21"/>
  <c r="U90" i="21"/>
  <c r="AE90" i="21"/>
  <c r="P90" i="21"/>
  <c r="AD90" i="21"/>
  <c r="F90" i="21"/>
  <c r="Y90" i="21"/>
  <c r="T90" i="21"/>
  <c r="X90" i="21"/>
  <c r="AB90" i="21"/>
  <c r="O90" i="21"/>
  <c r="M90" i="21"/>
  <c r="H90" i="21"/>
  <c r="C90" i="21"/>
  <c r="V90" i="21"/>
  <c r="Q90" i="21"/>
  <c r="J90" i="21"/>
  <c r="S90" i="21"/>
  <c r="B90" i="21"/>
  <c r="D90" i="21"/>
  <c r="AA90" i="21"/>
  <c r="R90" i="21"/>
  <c r="W90" i="21"/>
  <c r="N66" i="21"/>
  <c r="E66" i="21"/>
  <c r="I66" i="21"/>
  <c r="V66" i="21"/>
  <c r="O66" i="21"/>
  <c r="C66" i="21"/>
  <c r="AD66" i="21"/>
  <c r="K66" i="21"/>
  <c r="F66" i="21"/>
  <c r="M66" i="21"/>
  <c r="S66" i="21"/>
  <c r="U66" i="21"/>
  <c r="W66" i="21"/>
  <c r="AE66" i="21"/>
  <c r="AA66" i="21"/>
  <c r="R66" i="21"/>
  <c r="G66" i="21"/>
  <c r="D66" i="21"/>
  <c r="Q66" i="21"/>
  <c r="Z66" i="21"/>
  <c r="J66" i="21"/>
  <c r="X66" i="21"/>
  <c r="P66" i="21"/>
  <c r="H66" i="21"/>
  <c r="AB66" i="21"/>
  <c r="T66" i="21"/>
  <c r="Y66" i="21"/>
  <c r="L66" i="21"/>
  <c r="B66" i="21"/>
  <c r="AC66" i="21"/>
  <c r="K83" i="21"/>
  <c r="T83" i="21"/>
  <c r="D83" i="21"/>
  <c r="G83" i="21"/>
  <c r="AE83" i="21"/>
  <c r="E83" i="21"/>
  <c r="O83" i="21"/>
  <c r="L83" i="21"/>
  <c r="Y83" i="21"/>
  <c r="C83" i="21"/>
  <c r="P83" i="21"/>
  <c r="AA83" i="21"/>
  <c r="H83" i="21"/>
  <c r="U83" i="21"/>
  <c r="AB83" i="21"/>
  <c r="W83" i="21"/>
  <c r="AC83" i="21"/>
  <c r="R83" i="21"/>
  <c r="Q83" i="21"/>
  <c r="X83" i="21"/>
  <c r="I83" i="21"/>
  <c r="Z83" i="21"/>
  <c r="AD83" i="21"/>
  <c r="N83" i="21"/>
  <c r="M83" i="21"/>
  <c r="V83" i="21"/>
  <c r="F83" i="21"/>
  <c r="J83" i="21"/>
  <c r="B83" i="21"/>
  <c r="S83" i="21"/>
  <c r="K75" i="21"/>
  <c r="L75" i="21"/>
  <c r="R75" i="21"/>
  <c r="B75" i="21"/>
  <c r="N75" i="21"/>
  <c r="AC75" i="21"/>
  <c r="Q75" i="21"/>
  <c r="I75" i="21"/>
  <c r="AB75" i="21"/>
  <c r="Z75" i="21"/>
  <c r="X75" i="21"/>
  <c r="T75" i="21"/>
  <c r="P75" i="21"/>
  <c r="F75" i="21"/>
  <c r="C75" i="21"/>
  <c r="H75" i="21"/>
  <c r="S75" i="21"/>
  <c r="M75" i="21"/>
  <c r="W75" i="21"/>
  <c r="O75" i="21"/>
  <c r="J75" i="21"/>
  <c r="V75" i="21"/>
  <c r="D75" i="21"/>
  <c r="AE75" i="21"/>
  <c r="G75" i="21"/>
  <c r="AD75" i="21"/>
  <c r="U75" i="21"/>
  <c r="Y75" i="21"/>
  <c r="AA75" i="21"/>
  <c r="E75" i="21"/>
  <c r="AB60" i="21"/>
  <c r="AD60" i="21"/>
  <c r="U60" i="21"/>
  <c r="AC60" i="21"/>
  <c r="P60" i="21"/>
  <c r="X60" i="21"/>
  <c r="Y60" i="21"/>
  <c r="R60" i="21"/>
  <c r="K60" i="21"/>
  <c r="L60" i="21"/>
  <c r="Q60" i="21"/>
  <c r="O60" i="21"/>
  <c r="S60" i="21"/>
  <c r="C60" i="21"/>
  <c r="E60" i="21"/>
  <c r="M60" i="21"/>
  <c r="Z60" i="21"/>
  <c r="V60" i="21"/>
  <c r="F60" i="21"/>
  <c r="N60" i="21"/>
  <c r="T60" i="21"/>
  <c r="B60" i="21"/>
  <c r="AE60" i="21"/>
  <c r="I60" i="21"/>
  <c r="D60" i="21"/>
  <c r="AA60" i="21"/>
  <c r="H60" i="21"/>
  <c r="J60" i="21"/>
  <c r="W60" i="21"/>
  <c r="G60" i="21"/>
  <c r="R102" i="21"/>
  <c r="Z102" i="21"/>
  <c r="N102" i="21"/>
  <c r="P102" i="21"/>
  <c r="D102" i="21"/>
  <c r="Q102" i="21"/>
  <c r="U102" i="21"/>
  <c r="V102" i="21"/>
  <c r="L102" i="21"/>
  <c r="J102" i="21"/>
  <c r="M102" i="21"/>
  <c r="C102" i="21"/>
  <c r="H102" i="21"/>
  <c r="T102" i="21"/>
  <c r="AE102" i="21"/>
  <c r="K102" i="21"/>
  <c r="O102" i="21"/>
  <c r="W102" i="21"/>
  <c r="B102" i="21"/>
  <c r="G102" i="21"/>
  <c r="AB102" i="21"/>
  <c r="E102" i="21"/>
  <c r="AD102" i="21"/>
  <c r="X102" i="21"/>
  <c r="S102" i="21"/>
  <c r="AC102" i="21"/>
  <c r="F102" i="21"/>
  <c r="Y102" i="21"/>
  <c r="AA102" i="21"/>
  <c r="I102" i="21"/>
  <c r="N94" i="21"/>
  <c r="G94" i="21"/>
  <c r="K94" i="21"/>
  <c r="J94" i="21"/>
  <c r="M94" i="21"/>
  <c r="AE94" i="21"/>
  <c r="I94" i="21"/>
  <c r="B94" i="21"/>
  <c r="D94" i="21"/>
  <c r="C94" i="21"/>
  <c r="L94" i="21"/>
  <c r="AB94" i="21"/>
  <c r="X94" i="21"/>
  <c r="V94" i="21"/>
  <c r="O94" i="21"/>
  <c r="W94" i="21"/>
  <c r="AA94" i="21"/>
  <c r="R94" i="21"/>
  <c r="Q94" i="21"/>
  <c r="E94" i="21"/>
  <c r="S94" i="21"/>
  <c r="F94" i="21"/>
  <c r="P94" i="21"/>
  <c r="H94" i="21"/>
  <c r="AC94" i="21"/>
  <c r="U94" i="21"/>
  <c r="T94" i="21"/>
  <c r="Y94" i="21"/>
  <c r="AD94" i="21"/>
  <c r="Z94" i="21"/>
  <c r="N86" i="21"/>
  <c r="I86" i="21"/>
  <c r="V86" i="21"/>
  <c r="Y86" i="21"/>
  <c r="R86" i="21"/>
  <c r="D86" i="21"/>
  <c r="H86" i="21"/>
  <c r="AA86" i="21"/>
  <c r="O86" i="21"/>
  <c r="B86" i="21"/>
  <c r="F86" i="21"/>
  <c r="P86" i="21"/>
  <c r="W86" i="21"/>
  <c r="G86" i="21"/>
  <c r="E86" i="21"/>
  <c r="L86" i="21"/>
  <c r="Z86" i="21"/>
  <c r="Q86" i="21"/>
  <c r="C86" i="21"/>
  <c r="X86" i="21"/>
  <c r="T86" i="21"/>
  <c r="S86" i="21"/>
  <c r="K86" i="21"/>
  <c r="AE86" i="21"/>
  <c r="M86" i="21"/>
  <c r="AD86" i="21"/>
  <c r="U86" i="21"/>
  <c r="AB86" i="21"/>
  <c r="AC86" i="21"/>
  <c r="J86" i="21"/>
  <c r="G78" i="21"/>
  <c r="F78" i="21"/>
  <c r="AE78" i="21"/>
  <c r="I78" i="21"/>
  <c r="B78" i="21"/>
  <c r="C78" i="21"/>
  <c r="R78" i="21"/>
  <c r="X78" i="21"/>
  <c r="O78" i="21"/>
  <c r="K78" i="21"/>
  <c r="AD78" i="21"/>
  <c r="Q78" i="21"/>
  <c r="T78" i="21"/>
  <c r="U78" i="21"/>
  <c r="AA78" i="21"/>
  <c r="N78" i="21"/>
  <c r="M78" i="21"/>
  <c r="AC78" i="21"/>
  <c r="D78" i="21"/>
  <c r="H78" i="21"/>
  <c r="Z78" i="21"/>
  <c r="Y78" i="21"/>
  <c r="J78" i="21"/>
  <c r="V78" i="21"/>
  <c r="AB78" i="21"/>
  <c r="W78" i="21"/>
  <c r="S78" i="21"/>
  <c r="L78" i="21"/>
  <c r="E78" i="21"/>
  <c r="P78" i="21"/>
  <c r="W70" i="21"/>
  <c r="M70" i="21"/>
  <c r="V70" i="21"/>
  <c r="F70" i="21"/>
  <c r="AA70" i="21"/>
  <c r="O70" i="21"/>
  <c r="E70" i="21"/>
  <c r="R70" i="21"/>
  <c r="D70" i="21"/>
  <c r="J70" i="21"/>
  <c r="B70" i="21"/>
  <c r="U70" i="21"/>
  <c r="AE70" i="21"/>
  <c r="Z70" i="21"/>
  <c r="AB70" i="21"/>
  <c r="T70" i="21"/>
  <c r="H70" i="21"/>
  <c r="L70" i="21"/>
  <c r="AD70" i="21"/>
  <c r="Q70" i="21"/>
  <c r="P70" i="21"/>
  <c r="S70" i="21"/>
  <c r="I70" i="21"/>
  <c r="X70" i="21"/>
  <c r="C70" i="21"/>
  <c r="Y70" i="21"/>
  <c r="N70" i="21"/>
  <c r="K70" i="21"/>
  <c r="G70" i="21"/>
  <c r="AC70" i="21"/>
  <c r="N62" i="21"/>
  <c r="T62" i="21"/>
  <c r="L62" i="21"/>
  <c r="E62" i="21"/>
  <c r="Y62" i="21"/>
  <c r="P62" i="21"/>
  <c r="C62" i="21"/>
  <c r="F62" i="21"/>
  <c r="G62" i="21"/>
  <c r="U62" i="21"/>
  <c r="S62" i="21"/>
  <c r="V62" i="21"/>
  <c r="K62" i="21"/>
  <c r="D62" i="21"/>
  <c r="AD62" i="21"/>
  <c r="Z62" i="21"/>
  <c r="R62" i="21"/>
  <c r="I62" i="21"/>
  <c r="X62" i="21"/>
  <c r="W62" i="21"/>
  <c r="B62" i="21"/>
  <c r="J62" i="21"/>
  <c r="AA62" i="21"/>
  <c r="O62" i="21"/>
  <c r="M62" i="21"/>
  <c r="AE62" i="21"/>
  <c r="AB62" i="21"/>
  <c r="H62" i="21"/>
  <c r="Q62" i="21"/>
  <c r="AC62" i="21"/>
  <c r="I55" i="21"/>
  <c r="AE55" i="21"/>
  <c r="Z55" i="21"/>
  <c r="AB55" i="21"/>
  <c r="W55" i="21"/>
  <c r="AA55" i="21"/>
  <c r="M55" i="21"/>
  <c r="X55" i="21"/>
  <c r="B55" i="21"/>
  <c r="D55" i="21"/>
  <c r="G55" i="21"/>
  <c r="K55" i="21"/>
  <c r="O55" i="21"/>
  <c r="L55" i="21"/>
  <c r="H55" i="21"/>
  <c r="R55" i="21"/>
  <c r="J55" i="21"/>
  <c r="T55" i="21"/>
  <c r="E55" i="21"/>
  <c r="C55" i="21"/>
  <c r="F55" i="21"/>
  <c r="S55" i="21"/>
  <c r="V55" i="21"/>
  <c r="P55" i="21"/>
  <c r="U55" i="21"/>
  <c r="Q55" i="21"/>
  <c r="N55" i="21"/>
  <c r="Y55" i="21"/>
  <c r="AC55" i="21"/>
  <c r="AD55" i="21"/>
  <c r="AC47" i="21"/>
  <c r="J47" i="21"/>
  <c r="C47" i="21"/>
  <c r="W47" i="21"/>
  <c r="G47" i="21"/>
  <c r="E47" i="21"/>
  <c r="AD47" i="21"/>
  <c r="P47" i="21"/>
  <c r="Y47" i="21"/>
  <c r="N47" i="21"/>
  <c r="T47" i="21"/>
  <c r="AE47" i="21"/>
  <c r="L47" i="21"/>
  <c r="AB47" i="21"/>
  <c r="Q47" i="21"/>
  <c r="K47" i="21"/>
  <c r="I47" i="21"/>
  <c r="Z47" i="21"/>
  <c r="B47" i="21"/>
  <c r="O47" i="21"/>
  <c r="D47" i="21"/>
  <c r="X47" i="21"/>
  <c r="F47" i="21"/>
  <c r="U47" i="21"/>
  <c r="S47" i="21"/>
  <c r="R47" i="21"/>
  <c r="AA47" i="21"/>
  <c r="H47" i="21"/>
  <c r="V47" i="21"/>
  <c r="M47" i="21"/>
  <c r="L39" i="21"/>
  <c r="H39" i="21"/>
  <c r="O39" i="21"/>
  <c r="C39" i="21"/>
  <c r="B39" i="21"/>
  <c r="AB39" i="21"/>
  <c r="S39" i="21"/>
  <c r="W39" i="21"/>
  <c r="G39" i="21"/>
  <c r="I39" i="21"/>
  <c r="Z39" i="21"/>
  <c r="Q39" i="21"/>
  <c r="AA39" i="21"/>
  <c r="F39" i="21"/>
  <c r="D39" i="21"/>
  <c r="Y39" i="21"/>
  <c r="E39" i="21"/>
  <c r="AE39" i="21"/>
  <c r="P39" i="21"/>
  <c r="AD39" i="21"/>
  <c r="AC39" i="21"/>
  <c r="R39" i="21"/>
  <c r="T39" i="21"/>
  <c r="U39" i="21"/>
  <c r="X39" i="21"/>
  <c r="M39" i="21"/>
  <c r="V39" i="21"/>
  <c r="N39" i="21"/>
  <c r="J39" i="21"/>
  <c r="K39" i="21"/>
  <c r="F32" i="21"/>
  <c r="S32" i="21"/>
  <c r="Y32" i="21"/>
  <c r="AE32" i="21"/>
  <c r="AD32" i="21"/>
  <c r="J32" i="21"/>
  <c r="AB32" i="21"/>
  <c r="AC32" i="21"/>
  <c r="X32" i="21"/>
  <c r="T32" i="21"/>
  <c r="O32" i="21"/>
  <c r="P32" i="21"/>
  <c r="M32" i="21"/>
  <c r="W32" i="21"/>
  <c r="K32" i="21"/>
  <c r="D32" i="21"/>
  <c r="B32" i="21"/>
  <c r="N32" i="21"/>
  <c r="AA32" i="21"/>
  <c r="Q32" i="21"/>
  <c r="L32" i="21"/>
  <c r="R32" i="21"/>
  <c r="U32" i="21"/>
  <c r="H32" i="21"/>
  <c r="Z32" i="21"/>
  <c r="C32" i="21"/>
  <c r="V32" i="21"/>
  <c r="E32" i="21"/>
  <c r="G32" i="21"/>
  <c r="I32" i="21"/>
  <c r="H24" i="21"/>
  <c r="F24" i="21"/>
  <c r="E24" i="21"/>
  <c r="R24" i="21"/>
  <c r="D24" i="21"/>
  <c r="AB24" i="21"/>
  <c r="L24" i="21"/>
  <c r="U24" i="21"/>
  <c r="G24" i="21"/>
  <c r="I24" i="21"/>
  <c r="AA24" i="21"/>
  <c r="O24" i="21"/>
  <c r="B24" i="21"/>
  <c r="Y24" i="21"/>
  <c r="V24" i="21"/>
  <c r="J24" i="21"/>
  <c r="Q24" i="21"/>
  <c r="K24" i="21"/>
  <c r="AC24" i="21"/>
  <c r="X24" i="21"/>
  <c r="T24" i="21"/>
  <c r="C24" i="21"/>
  <c r="AD24" i="21"/>
  <c r="S24" i="21"/>
  <c r="P24" i="21"/>
  <c r="M24" i="21"/>
  <c r="Z24" i="21"/>
  <c r="N24" i="21"/>
  <c r="W24" i="21"/>
  <c r="AE24" i="21"/>
  <c r="F16" i="21"/>
  <c r="AA16" i="21"/>
  <c r="X16" i="21"/>
  <c r="AD16" i="21"/>
  <c r="O16" i="21"/>
  <c r="AE16" i="21"/>
  <c r="B16" i="21"/>
  <c r="C16" i="21"/>
  <c r="V16" i="21"/>
  <c r="Q16" i="21"/>
  <c r="U16" i="21"/>
  <c r="M16" i="21"/>
  <c r="AB16" i="21"/>
  <c r="L16" i="21"/>
  <c r="D16" i="21"/>
  <c r="Y16" i="21"/>
  <c r="K16" i="21"/>
  <c r="T16" i="21"/>
  <c r="J16" i="21"/>
  <c r="Z16" i="21"/>
  <c r="I16" i="21"/>
  <c r="P16" i="21"/>
  <c r="G16" i="21"/>
  <c r="W16" i="21"/>
  <c r="S16" i="21"/>
  <c r="R16" i="21"/>
  <c r="AC16" i="21"/>
  <c r="H16" i="21"/>
  <c r="N16" i="21"/>
  <c r="E16" i="21"/>
  <c r="AB8" i="21"/>
  <c r="T8" i="21"/>
  <c r="AE8" i="21"/>
  <c r="P8" i="21"/>
  <c r="V8" i="21"/>
  <c r="AC8" i="21"/>
  <c r="AD8" i="21"/>
  <c r="L8" i="21"/>
  <c r="C8" i="21"/>
  <c r="K8" i="21"/>
  <c r="H8" i="21"/>
  <c r="G8" i="21"/>
  <c r="Z8" i="21"/>
  <c r="D8" i="21"/>
  <c r="U8" i="21"/>
  <c r="O8" i="21"/>
  <c r="I8" i="21"/>
  <c r="S8" i="21"/>
  <c r="E8" i="21"/>
  <c r="X8" i="21"/>
  <c r="W8" i="21"/>
  <c r="Y8" i="21"/>
  <c r="Q8" i="21"/>
  <c r="N8" i="21"/>
  <c r="F8" i="21"/>
  <c r="R8" i="21"/>
  <c r="J8" i="21"/>
  <c r="B8" i="21"/>
  <c r="M8" i="21"/>
  <c r="AA8" i="21"/>
  <c r="F74" i="26"/>
  <c r="C28" i="27"/>
  <c r="C12" i="27"/>
  <c r="C4" i="27"/>
  <c r="F98" i="26"/>
  <c r="F66" i="26"/>
  <c r="F43" i="26"/>
  <c r="F75" i="26"/>
  <c r="C92" i="27"/>
  <c r="C84" i="27"/>
  <c r="C53" i="27"/>
  <c r="C45" i="27"/>
  <c r="C37" i="27"/>
  <c r="F6" i="26"/>
  <c r="F102" i="26"/>
  <c r="F94" i="26"/>
  <c r="F86" i="26"/>
  <c r="F78" i="26"/>
  <c r="F70" i="26"/>
  <c r="F62" i="26"/>
  <c r="F55" i="26"/>
  <c r="F47" i="26"/>
  <c r="F39" i="26"/>
  <c r="C32" i="27"/>
  <c r="C24" i="27"/>
  <c r="C16" i="27"/>
  <c r="C8" i="27"/>
  <c r="F90" i="26"/>
  <c r="F82" i="26"/>
  <c r="C20" i="27"/>
  <c r="F99" i="26"/>
  <c r="F83" i="26"/>
  <c r="C44" i="27"/>
  <c r="C100" i="27"/>
  <c r="C68" i="27"/>
  <c r="F30" i="26"/>
  <c r="F22" i="26"/>
  <c r="F14" i="26"/>
  <c r="F95" i="26"/>
  <c r="F87" i="26"/>
  <c r="F79" i="26"/>
  <c r="F71" i="26"/>
  <c r="F63" i="26"/>
  <c r="C56" i="27"/>
  <c r="C48" i="27"/>
  <c r="C40" i="27"/>
  <c r="C33" i="27"/>
  <c r="C25" i="27"/>
  <c r="C17" i="27"/>
  <c r="C9" i="27"/>
  <c r="C88" i="27"/>
  <c r="C80" i="27"/>
  <c r="C72" i="27"/>
  <c r="C64" i="27"/>
  <c r="C57" i="27"/>
  <c r="C96" i="27"/>
  <c r="C49" i="27"/>
  <c r="C41" i="27"/>
  <c r="F34" i="26"/>
  <c r="F26" i="26"/>
  <c r="F18" i="26"/>
  <c r="F10" i="26"/>
  <c r="F2" i="26"/>
  <c r="C97" i="27"/>
  <c r="C89" i="27"/>
  <c r="C81" i="27"/>
  <c r="C73" i="27"/>
  <c r="C65" i="27"/>
  <c r="F58" i="26"/>
  <c r="F50" i="26"/>
  <c r="F42" i="26"/>
  <c r="F35" i="26"/>
  <c r="F27" i="26"/>
  <c r="F19" i="26"/>
  <c r="F11" i="26"/>
  <c r="F3" i="26"/>
  <c r="F59" i="26"/>
  <c r="F51" i="26"/>
  <c r="F91" i="26"/>
  <c r="F67" i="26"/>
  <c r="C60" i="27"/>
  <c r="C29" i="27"/>
  <c r="C21" i="27"/>
  <c r="C13" i="27"/>
  <c r="C5" i="27"/>
  <c r="C52" i="27"/>
  <c r="C76" i="27"/>
  <c r="C101" i="27"/>
  <c r="C93" i="27"/>
  <c r="C85" i="27"/>
  <c r="C77" i="27"/>
  <c r="C69" i="27"/>
  <c r="F54" i="26"/>
  <c r="F46" i="26"/>
  <c r="F38" i="26"/>
  <c r="F31" i="26"/>
  <c r="F23" i="26"/>
  <c r="F15" i="26"/>
  <c r="F7" i="26"/>
  <c r="F8" i="26"/>
  <c r="F16" i="26"/>
  <c r="F24" i="26"/>
  <c r="F32" i="26"/>
  <c r="F40" i="26"/>
  <c r="F48" i="26"/>
  <c r="F56" i="26"/>
  <c r="F64" i="26"/>
  <c r="F72" i="26"/>
  <c r="F80" i="26"/>
  <c r="F88" i="26"/>
  <c r="F96" i="26"/>
  <c r="C2" i="27"/>
  <c r="C6" i="27"/>
  <c r="C10" i="27"/>
  <c r="C14" i="27"/>
  <c r="C18" i="27"/>
  <c r="C22" i="27"/>
  <c r="C26" i="27"/>
  <c r="C30" i="27"/>
  <c r="C34" i="27"/>
  <c r="C38" i="27"/>
  <c r="C42" i="27"/>
  <c r="C46" i="27"/>
  <c r="C50" i="27"/>
  <c r="C54" i="27"/>
  <c r="C58" i="27"/>
  <c r="C62" i="27"/>
  <c r="C66" i="27"/>
  <c r="C70" i="27"/>
  <c r="C74" i="27"/>
  <c r="C78" i="27"/>
  <c r="C82" i="27"/>
  <c r="C86" i="27"/>
  <c r="C90" i="27"/>
  <c r="C94" i="27"/>
  <c r="C98" i="27"/>
  <c r="C102" i="27"/>
  <c r="F9" i="26"/>
  <c r="F17" i="26"/>
  <c r="F25" i="26"/>
  <c r="F33" i="26"/>
  <c r="F41" i="26"/>
  <c r="F49" i="26"/>
  <c r="F57" i="26"/>
  <c r="F65" i="26"/>
  <c r="F73" i="26"/>
  <c r="F81" i="26"/>
  <c r="F89" i="26"/>
  <c r="F97" i="26"/>
  <c r="C3" i="27"/>
  <c r="C7" i="27"/>
  <c r="C11" i="27"/>
  <c r="C15" i="27"/>
  <c r="C19" i="27"/>
  <c r="C23" i="27"/>
  <c r="C27" i="27"/>
  <c r="C31" i="27"/>
  <c r="C35" i="27"/>
  <c r="C39" i="27"/>
  <c r="C43" i="27"/>
  <c r="C47" i="27"/>
  <c r="C51" i="27"/>
  <c r="C55" i="27"/>
  <c r="C59" i="27"/>
  <c r="C63" i="27"/>
  <c r="C67" i="27"/>
  <c r="C71" i="27"/>
  <c r="C75" i="27"/>
  <c r="C79" i="27"/>
  <c r="C83" i="27"/>
  <c r="C87" i="27"/>
  <c r="C91" i="27"/>
  <c r="C95" i="27"/>
  <c r="C99" i="27"/>
  <c r="F4" i="26"/>
  <c r="F12" i="26"/>
  <c r="F20" i="26"/>
  <c r="F28" i="26"/>
  <c r="F44" i="26"/>
  <c r="F52" i="26"/>
  <c r="F60" i="26"/>
  <c r="F68" i="26"/>
  <c r="F76" i="26"/>
  <c r="F84" i="26"/>
  <c r="F92" i="26"/>
  <c r="F100" i="26"/>
  <c r="F5" i="26"/>
  <c r="F13" i="26"/>
  <c r="F21" i="26"/>
  <c r="F29" i="26"/>
  <c r="F37" i="26"/>
  <c r="F45" i="26"/>
  <c r="F53" i="26"/>
  <c r="F69" i="26"/>
  <c r="F77" i="26"/>
  <c r="F85" i="26"/>
  <c r="F93" i="26"/>
  <c r="F101" i="26"/>
  <c r="X30" i="26"/>
  <c r="W29" i="26"/>
  <c r="X6" i="26"/>
  <c r="AL54" i="24"/>
  <c r="V54" i="24"/>
  <c r="AC53" i="24"/>
  <c r="M53" i="24"/>
  <c r="AN52" i="24"/>
  <c r="T52" i="24"/>
  <c r="J51" i="24"/>
  <c r="K50" i="24"/>
  <c r="AK59" i="24"/>
  <c r="U59" i="24"/>
  <c r="AE58" i="24"/>
  <c r="O58" i="24"/>
  <c r="Y57" i="24"/>
  <c r="AH56" i="24"/>
  <c r="R56" i="24"/>
  <c r="AA55" i="24"/>
  <c r="AI54" i="24"/>
  <c r="S54" i="24"/>
  <c r="Z53" i="24"/>
  <c r="AL52" i="24"/>
  <c r="Q52" i="24"/>
  <c r="AN51" i="24"/>
  <c r="E50" i="24"/>
  <c r="AM48" i="24"/>
  <c r="M45" i="24"/>
  <c r="J41" i="24"/>
  <c r="AF37" i="24"/>
  <c r="G37" i="24"/>
  <c r="AN36" i="20"/>
  <c r="C36" i="27" s="1"/>
  <c r="G73" i="24"/>
  <c r="AL72" i="24"/>
  <c r="AD72" i="24"/>
  <c r="V72" i="24"/>
  <c r="F72" i="24"/>
  <c r="AK71" i="24"/>
  <c r="AC71" i="24"/>
  <c r="U71" i="24"/>
  <c r="AJ70" i="24"/>
  <c r="AB70" i="24"/>
  <c r="T70" i="24"/>
  <c r="L70" i="24"/>
  <c r="D70" i="24"/>
  <c r="AI69" i="24"/>
  <c r="AA69" i="24"/>
  <c r="S69" i="24"/>
  <c r="AH68" i="24"/>
  <c r="Z68" i="24"/>
  <c r="R68" i="24"/>
  <c r="J68" i="24"/>
  <c r="B68" i="24"/>
  <c r="AG67" i="24"/>
  <c r="Y67" i="24"/>
  <c r="Q67" i="24"/>
  <c r="AN66" i="24"/>
  <c r="AF66" i="24"/>
  <c r="X66" i="24"/>
  <c r="N66" i="24"/>
  <c r="AG65" i="24"/>
  <c r="K65" i="24"/>
  <c r="AN64" i="24"/>
  <c r="AB64" i="24"/>
  <c r="R64" i="24"/>
  <c r="H64" i="24"/>
  <c r="AI63" i="24"/>
  <c r="Y63" i="24"/>
  <c r="L63" i="24"/>
  <c r="AI62" i="24"/>
  <c r="S62" i="24"/>
  <c r="AC61" i="24"/>
  <c r="M61" i="24"/>
  <c r="AN60" i="24"/>
  <c r="X60" i="24"/>
  <c r="H60" i="24"/>
  <c r="AI59" i="24"/>
  <c r="S59" i="24"/>
  <c r="AD58" i="24"/>
  <c r="N58" i="24"/>
  <c r="AL57" i="24"/>
  <c r="V57" i="24"/>
  <c r="F57" i="24"/>
  <c r="AF56" i="24"/>
  <c r="P56" i="24"/>
  <c r="Y55" i="24"/>
  <c r="I55" i="24"/>
  <c r="AH54" i="24"/>
  <c r="R54" i="24"/>
  <c r="Y53" i="24"/>
  <c r="I53" i="24"/>
  <c r="AJ52" i="24"/>
  <c r="N52" i="24"/>
  <c r="AJ51" i="24"/>
  <c r="K48" i="24"/>
  <c r="U51" i="24"/>
  <c r="AG49" i="24"/>
  <c r="AD51" i="24"/>
  <c r="AN49" i="24"/>
  <c r="Z49" i="24"/>
  <c r="L49" i="24"/>
  <c r="R38" i="24"/>
  <c r="Z48" i="24"/>
  <c r="AA49" i="24"/>
  <c r="P49" i="24"/>
  <c r="AE48" i="24"/>
  <c r="AN47" i="24"/>
  <c r="Z47" i="24"/>
  <c r="AD35" i="24"/>
  <c r="Q47" i="24"/>
  <c r="X46" i="24"/>
  <c r="AM44" i="24"/>
  <c r="W44" i="24"/>
  <c r="AB44" i="24"/>
  <c r="S43" i="24"/>
  <c r="AJ41" i="24"/>
  <c r="U42" i="24"/>
  <c r="AB41" i="24"/>
  <c r="F43" i="24"/>
  <c r="AK43" i="24"/>
  <c r="V44" i="24"/>
  <c r="O45" i="24"/>
  <c r="G46" i="24"/>
  <c r="AG46" i="24"/>
  <c r="J47" i="24"/>
  <c r="AL47" i="24"/>
  <c r="W48" i="24"/>
  <c r="T49" i="24"/>
  <c r="D50" i="24"/>
  <c r="U50" i="24"/>
  <c r="M51" i="24"/>
  <c r="AA51" i="24"/>
  <c r="AL51" i="24"/>
  <c r="H52" i="24"/>
  <c r="P52" i="24"/>
  <c r="X52" i="24"/>
  <c r="AF52" i="24"/>
  <c r="AH40" i="24"/>
  <c r="AA41" i="24"/>
  <c r="T42" i="24"/>
  <c r="K43" i="24"/>
  <c r="AD44" i="24"/>
  <c r="W45" i="24"/>
  <c r="H46" i="24"/>
  <c r="AL46" i="24"/>
  <c r="N47" i="24"/>
  <c r="AM47" i="24"/>
  <c r="X48" i="24"/>
  <c r="AH52" i="24"/>
  <c r="K53" i="24"/>
  <c r="S53" i="24"/>
  <c r="AA53" i="24"/>
  <c r="AI53" i="24"/>
  <c r="D54" i="24"/>
  <c r="L54" i="24"/>
  <c r="T54" i="24"/>
  <c r="AB54" i="24"/>
  <c r="AJ54" i="24"/>
  <c r="E55" i="24"/>
  <c r="M55" i="24"/>
  <c r="U55" i="24"/>
  <c r="AC55" i="24"/>
  <c r="AK55" i="24"/>
  <c r="F56" i="24"/>
  <c r="N56" i="24"/>
  <c r="V56" i="24"/>
  <c r="AD56" i="24"/>
  <c r="AL56" i="24"/>
  <c r="G57" i="24"/>
  <c r="O57" i="24"/>
  <c r="W57" i="24"/>
  <c r="AE57" i="24"/>
  <c r="AM57" i="24"/>
  <c r="H58" i="24"/>
  <c r="P58" i="24"/>
  <c r="X58" i="24"/>
  <c r="AF58" i="24"/>
  <c r="AN58" i="24"/>
  <c r="I59" i="24"/>
  <c r="Q59" i="24"/>
  <c r="Y59" i="24"/>
  <c r="AG59" i="24"/>
  <c r="J60" i="24"/>
  <c r="R60" i="24"/>
  <c r="Z60" i="24"/>
  <c r="AH60" i="24"/>
  <c r="K61" i="24"/>
  <c r="S61" i="24"/>
  <c r="AA61" i="24"/>
  <c r="AI61" i="24"/>
  <c r="L62" i="24"/>
  <c r="T62" i="24"/>
  <c r="AB62" i="24"/>
  <c r="AJ62" i="24"/>
  <c r="E63" i="24"/>
  <c r="M63" i="24"/>
  <c r="U63" i="24"/>
  <c r="AC63" i="24"/>
  <c r="AK63" i="24"/>
  <c r="F64" i="24"/>
  <c r="N64" i="24"/>
  <c r="V64" i="24"/>
  <c r="AD64" i="24"/>
  <c r="AL64" i="24"/>
  <c r="G65" i="24"/>
  <c r="O65" i="24"/>
  <c r="W65" i="24"/>
  <c r="AE65" i="24"/>
  <c r="AM65" i="24"/>
  <c r="H66" i="24"/>
  <c r="P66" i="24"/>
  <c r="AI52" i="24"/>
  <c r="L53" i="24"/>
  <c r="T53" i="24"/>
  <c r="AB53" i="24"/>
  <c r="AJ53" i="24"/>
  <c r="E54" i="24"/>
  <c r="M54" i="24"/>
  <c r="U54" i="24"/>
  <c r="AC54" i="24"/>
  <c r="AK54" i="24"/>
  <c r="F55" i="24"/>
  <c r="N55" i="24"/>
  <c r="V55" i="24"/>
  <c r="AD55" i="24"/>
  <c r="AL55" i="24"/>
  <c r="G56" i="24"/>
  <c r="O56" i="24"/>
  <c r="W56" i="24"/>
  <c r="AE56" i="24"/>
  <c r="AM56" i="24"/>
  <c r="H57" i="24"/>
  <c r="P57" i="24"/>
  <c r="X57" i="24"/>
  <c r="AF57" i="24"/>
  <c r="AN57" i="24"/>
  <c r="I58" i="24"/>
  <c r="Q58" i="24"/>
  <c r="Y58" i="24"/>
  <c r="AG58" i="24"/>
  <c r="J59" i="24"/>
  <c r="R59" i="24"/>
  <c r="Z59" i="24"/>
  <c r="AH59" i="24"/>
  <c r="K60" i="24"/>
  <c r="S60" i="24"/>
  <c r="AA60" i="24"/>
  <c r="AI60" i="24"/>
  <c r="L61" i="24"/>
  <c r="T61" i="24"/>
  <c r="AB61" i="24"/>
  <c r="AJ61" i="24"/>
  <c r="E62" i="24"/>
  <c r="M62" i="24"/>
  <c r="U62" i="24"/>
  <c r="AC62" i="24"/>
  <c r="AK62" i="24"/>
  <c r="F63" i="24"/>
  <c r="N63" i="24"/>
  <c r="V63" i="24"/>
  <c r="AD63" i="24"/>
  <c r="AL63" i="24"/>
  <c r="G64" i="24"/>
  <c r="O64" i="24"/>
  <c r="W64" i="24"/>
  <c r="AE64" i="24"/>
  <c r="AM64" i="24"/>
  <c r="H65" i="24"/>
  <c r="P65" i="24"/>
  <c r="X65" i="24"/>
  <c r="AF65" i="24"/>
  <c r="AN65" i="24"/>
  <c r="I66" i="24"/>
  <c r="Q66" i="24"/>
  <c r="G44" i="24"/>
  <c r="AL44" i="24"/>
  <c r="AE45" i="24"/>
  <c r="Q46" i="24"/>
  <c r="F47" i="24"/>
  <c r="X47" i="24"/>
  <c r="I48" i="24"/>
  <c r="AH48" i="24"/>
  <c r="J49" i="24"/>
  <c r="AH49" i="24"/>
  <c r="N44" i="24"/>
  <c r="G45" i="24"/>
  <c r="AM45" i="24"/>
  <c r="V46" i="24"/>
  <c r="G47" i="24"/>
  <c r="Y47" i="24"/>
  <c r="J48" i="24"/>
  <c r="AI48" i="24"/>
  <c r="K49" i="24"/>
  <c r="AI49" i="24"/>
  <c r="R50" i="24"/>
  <c r="AH50" i="24"/>
  <c r="H51" i="24"/>
  <c r="V51" i="24"/>
  <c r="AI51" i="24"/>
  <c r="M52" i="24"/>
  <c r="U52" i="24"/>
  <c r="AC52" i="24"/>
  <c r="AK52" i="24"/>
  <c r="F53" i="24"/>
  <c r="N53" i="24"/>
  <c r="V53" i="24"/>
  <c r="AD53" i="24"/>
  <c r="AL53" i="24"/>
  <c r="G54" i="24"/>
  <c r="O54" i="24"/>
  <c r="W54" i="24"/>
  <c r="AE54" i="24"/>
  <c r="AM54" i="24"/>
  <c r="H55" i="24"/>
  <c r="P55" i="24"/>
  <c r="X55" i="24"/>
  <c r="AF55" i="24"/>
  <c r="AN55" i="24"/>
  <c r="I56" i="24"/>
  <c r="Q56" i="24"/>
  <c r="Y56" i="24"/>
  <c r="AG56" i="24"/>
  <c r="J57" i="24"/>
  <c r="R57" i="24"/>
  <c r="Z57" i="24"/>
  <c r="AH57" i="24"/>
  <c r="K58" i="24"/>
  <c r="S58" i="24"/>
  <c r="AA58" i="24"/>
  <c r="AI58" i="24"/>
  <c r="L59" i="24"/>
  <c r="T59" i="24"/>
  <c r="AB59" i="24"/>
  <c r="AJ59" i="24"/>
  <c r="E60" i="24"/>
  <c r="M60" i="24"/>
  <c r="U60" i="24"/>
  <c r="AC60" i="24"/>
  <c r="AK60" i="24"/>
  <c r="F61" i="24"/>
  <c r="N61" i="24"/>
  <c r="V61" i="24"/>
  <c r="AD61" i="24"/>
  <c r="AL61" i="24"/>
  <c r="G62" i="24"/>
  <c r="O62" i="24"/>
  <c r="W62" i="24"/>
  <c r="AE62" i="24"/>
  <c r="AM62" i="24"/>
  <c r="H63" i="24"/>
  <c r="U44" i="24"/>
  <c r="N45" i="24"/>
  <c r="F46" i="24"/>
  <c r="AE46" i="24"/>
  <c r="I47" i="24"/>
  <c r="AH47" i="24"/>
  <c r="R48" i="24"/>
  <c r="S49" i="24"/>
  <c r="T50" i="24"/>
  <c r="AJ50" i="24"/>
  <c r="L51" i="24"/>
  <c r="Z51" i="24"/>
  <c r="AK51" i="24"/>
  <c r="G52" i="24"/>
  <c r="O52" i="24"/>
  <c r="W52" i="24"/>
  <c r="AE52" i="24"/>
  <c r="AM52" i="24"/>
  <c r="H53" i="24"/>
  <c r="P53" i="24"/>
  <c r="X53" i="24"/>
  <c r="AF53" i="24"/>
  <c r="AN53" i="24"/>
  <c r="I54" i="24"/>
  <c r="Q54" i="24"/>
  <c r="Y54" i="24"/>
  <c r="AG54" i="24"/>
  <c r="J55" i="24"/>
  <c r="R55" i="24"/>
  <c r="Z55" i="24"/>
  <c r="AH55" i="24"/>
  <c r="K56" i="24"/>
  <c r="S56" i="24"/>
  <c r="AA56" i="24"/>
  <c r="AI56" i="24"/>
  <c r="D57" i="24"/>
  <c r="L57" i="24"/>
  <c r="T57" i="24"/>
  <c r="AB57" i="24"/>
  <c r="AJ57" i="24"/>
  <c r="E58" i="24"/>
  <c r="M58" i="24"/>
  <c r="U58" i="24"/>
  <c r="AC58" i="24"/>
  <c r="AK58" i="24"/>
  <c r="F59" i="24"/>
  <c r="N59" i="24"/>
  <c r="V59" i="24"/>
  <c r="AD59" i="24"/>
  <c r="AL59" i="24"/>
  <c r="G60" i="24"/>
  <c r="O60" i="24"/>
  <c r="W60" i="24"/>
  <c r="AE60" i="24"/>
  <c r="AM60" i="24"/>
  <c r="H61" i="24"/>
  <c r="P61" i="24"/>
  <c r="X61" i="24"/>
  <c r="AF61" i="24"/>
  <c r="AN61" i="24"/>
  <c r="I62" i="24"/>
  <c r="Q62" i="24"/>
  <c r="Y62" i="24"/>
  <c r="AG62" i="24"/>
  <c r="B63" i="24"/>
  <c r="J63" i="24"/>
  <c r="R63" i="24"/>
  <c r="S42" i="24"/>
  <c r="R40" i="24"/>
  <c r="Z52" i="24"/>
  <c r="AI32" i="24"/>
  <c r="AC50" i="24"/>
  <c r="I50" i="24"/>
  <c r="AI41" i="24"/>
  <c r="Y61" i="24"/>
  <c r="AJ60" i="24"/>
  <c r="T60" i="24"/>
  <c r="AE59" i="24"/>
  <c r="O59" i="24"/>
  <c r="Z58" i="24"/>
  <c r="J58" i="24"/>
  <c r="AI57" i="24"/>
  <c r="S57" i="24"/>
  <c r="AB56" i="24"/>
  <c r="L56" i="24"/>
  <c r="AJ55" i="24"/>
  <c r="T55" i="24"/>
  <c r="AD54" i="24"/>
  <c r="N54" i="24"/>
  <c r="AK53" i="24"/>
  <c r="U53" i="24"/>
  <c r="AD52" i="24"/>
  <c r="I52" i="24"/>
  <c r="AB51" i="24"/>
  <c r="AI50" i="24"/>
  <c r="X49" i="24"/>
  <c r="AF47" i="24"/>
  <c r="AB43" i="24"/>
  <c r="AB73" i="24"/>
  <c r="T73" i="24"/>
  <c r="L73" i="24"/>
  <c r="AI72" i="24"/>
  <c r="AA72" i="24"/>
  <c r="S72" i="24"/>
  <c r="K72" i="24"/>
  <c r="AH71" i="24"/>
  <c r="Z71" i="24"/>
  <c r="R71" i="24"/>
  <c r="J71" i="24"/>
  <c r="B71" i="24"/>
  <c r="AG70" i="24"/>
  <c r="Y70" i="24"/>
  <c r="Q70" i="24"/>
  <c r="I70" i="24"/>
  <c r="AN69" i="24"/>
  <c r="AF69" i="24"/>
  <c r="X69" i="24"/>
  <c r="P69" i="24"/>
  <c r="H69" i="24"/>
  <c r="AM68" i="24"/>
  <c r="AE68" i="24"/>
  <c r="W68" i="24"/>
  <c r="O68" i="24"/>
  <c r="G68" i="24"/>
  <c r="AL67" i="24"/>
  <c r="AD67" i="24"/>
  <c r="V67" i="24"/>
  <c r="N67" i="24"/>
  <c r="F67" i="24"/>
  <c r="AK66" i="24"/>
  <c r="AC66" i="24"/>
  <c r="U66" i="24"/>
  <c r="K66" i="24"/>
  <c r="AL65" i="24"/>
  <c r="AB65" i="24"/>
  <c r="R65" i="24"/>
  <c r="F65" i="24"/>
  <c r="AI64" i="24"/>
  <c r="Y64" i="24"/>
  <c r="M64" i="24"/>
  <c r="AF63" i="24"/>
  <c r="T63" i="24"/>
  <c r="G63" i="24"/>
  <c r="AD62" i="24"/>
  <c r="N62" i="24"/>
  <c r="AM61" i="24"/>
  <c r="W61" i="24"/>
  <c r="G61" i="24"/>
  <c r="AG60" i="24"/>
  <c r="Q60" i="24"/>
  <c r="AC59" i="24"/>
  <c r="M59" i="24"/>
  <c r="AM58" i="24"/>
  <c r="W58" i="24"/>
  <c r="G58" i="24"/>
  <c r="AG57" i="24"/>
  <c r="Q57" i="24"/>
  <c r="Z56" i="24"/>
  <c r="J56" i="24"/>
  <c r="AI55" i="24"/>
  <c r="S55" i="24"/>
  <c r="AA54" i="24"/>
  <c r="K54" i="24"/>
  <c r="AH53" i="24"/>
  <c r="R53" i="24"/>
  <c r="AB52" i="24"/>
  <c r="F52" i="24"/>
  <c r="X51" i="24"/>
  <c r="AG50" i="24"/>
  <c r="R49" i="24"/>
  <c r="H47" i="24"/>
  <c r="N76" i="24"/>
  <c r="AS76" i="24" s="1"/>
  <c r="AK75" i="24"/>
  <c r="M75" i="24"/>
  <c r="E75" i="24"/>
  <c r="AI73" i="24"/>
  <c r="AA73" i="24"/>
  <c r="S73" i="24"/>
  <c r="AH72" i="24"/>
  <c r="Z72" i="24"/>
  <c r="R72" i="24"/>
  <c r="J72" i="24"/>
  <c r="B72" i="24"/>
  <c r="AG71" i="24"/>
  <c r="Y71" i="24"/>
  <c r="Q71" i="24"/>
  <c r="I71" i="24"/>
  <c r="AN70" i="24"/>
  <c r="AF70" i="24"/>
  <c r="X70" i="24"/>
  <c r="P70" i="24"/>
  <c r="H70" i="24"/>
  <c r="AM69" i="24"/>
  <c r="AE69" i="24"/>
  <c r="W69" i="24"/>
  <c r="O69" i="24"/>
  <c r="G69" i="24"/>
  <c r="AL68" i="24"/>
  <c r="AD68" i="24"/>
  <c r="V68" i="24"/>
  <c r="N68" i="24"/>
  <c r="F68" i="24"/>
  <c r="AK67" i="24"/>
  <c r="AC67" i="24"/>
  <c r="U67" i="24"/>
  <c r="M67" i="24"/>
  <c r="E67" i="24"/>
  <c r="AJ66" i="24"/>
  <c r="T66" i="24"/>
  <c r="AK65" i="24"/>
  <c r="AA65" i="24"/>
  <c r="Q65" i="24"/>
  <c r="E65" i="24"/>
  <c r="AH64" i="24"/>
  <c r="X64" i="24"/>
  <c r="L64" i="24"/>
  <c r="B64" i="24"/>
  <c r="AE63" i="24"/>
  <c r="S63" i="24"/>
  <c r="D63" i="24"/>
  <c r="AA62" i="24"/>
  <c r="K62" i="24"/>
  <c r="AK61" i="24"/>
  <c r="U61" i="24"/>
  <c r="AF60" i="24"/>
  <c r="P60" i="24"/>
  <c r="AA59" i="24"/>
  <c r="K59" i="24"/>
  <c r="AL58" i="24"/>
  <c r="V58" i="24"/>
  <c r="F58" i="24"/>
  <c r="AD57" i="24"/>
  <c r="N57" i="24"/>
  <c r="AN56" i="24"/>
  <c r="X56" i="24"/>
  <c r="H56" i="24"/>
  <c r="AG55" i="24"/>
  <c r="Q55" i="24"/>
  <c r="Z54" i="24"/>
  <c r="J54" i="24"/>
  <c r="AG53" i="24"/>
  <c r="Q53" i="24"/>
  <c r="Y52" i="24"/>
  <c r="S51" i="24"/>
  <c r="Y50" i="24"/>
  <c r="Y72" i="24"/>
  <c r="I72" i="24"/>
  <c r="AF71" i="24"/>
  <c r="H71" i="24"/>
  <c r="AM70" i="24"/>
  <c r="AE70" i="24"/>
  <c r="W70" i="24"/>
  <c r="O70" i="24"/>
  <c r="AL69" i="24"/>
  <c r="AD69" i="24"/>
  <c r="AK68" i="24"/>
  <c r="AC68" i="24"/>
  <c r="M68" i="24"/>
  <c r="E68" i="24"/>
  <c r="AB67" i="24"/>
  <c r="AI66" i="24"/>
  <c r="G66" i="24"/>
  <c r="D65" i="24"/>
  <c r="U64" i="24"/>
  <c r="AB63" i="24"/>
  <c r="Z62" i="24"/>
  <c r="J62" i="24"/>
  <c r="AH61" i="24"/>
  <c r="R61" i="24"/>
  <c r="AD60" i="24"/>
  <c r="N60" i="24"/>
  <c r="AN59" i="24"/>
  <c r="X59" i="24"/>
  <c r="H59" i="24"/>
  <c r="AJ58" i="24"/>
  <c r="T58" i="24"/>
  <c r="AU58" i="24" s="1"/>
  <c r="AQ58" i="21" s="1"/>
  <c r="AC57" i="24"/>
  <c r="M57" i="24"/>
  <c r="AK56" i="24"/>
  <c r="U56" i="24"/>
  <c r="AE55" i="24"/>
  <c r="O55" i="24"/>
  <c r="AN54" i="24"/>
  <c r="X54" i="24"/>
  <c r="H54" i="24"/>
  <c r="AE53" i="24"/>
  <c r="O53" i="24"/>
  <c r="V52" i="24"/>
  <c r="N51" i="24"/>
  <c r="S50" i="24"/>
  <c r="W46" i="24"/>
  <c r="L42" i="24"/>
  <c r="J31" i="24"/>
  <c r="AC43" i="24"/>
  <c r="E43" i="24"/>
  <c r="R42" i="24"/>
  <c r="K41" i="24"/>
  <c r="J40" i="24"/>
  <c r="AI40" i="24"/>
  <c r="S40" i="24"/>
  <c r="U36" i="24"/>
  <c r="L33" i="24"/>
  <c r="AH13" i="24"/>
  <c r="AA43" i="24"/>
  <c r="E42" i="24"/>
  <c r="I41" i="24"/>
  <c r="AL39" i="24"/>
  <c r="Q29" i="24"/>
  <c r="AN61" i="20"/>
  <c r="C61" i="27" s="1"/>
  <c r="U43" i="24"/>
  <c r="AJ42" i="24"/>
  <c r="D42" i="24"/>
  <c r="D41" i="24"/>
  <c r="T23" i="24"/>
  <c r="AA52" i="24"/>
  <c r="S52" i="24"/>
  <c r="K52" i="24"/>
  <c r="C52" i="24"/>
  <c r="AF51" i="24"/>
  <c r="R51" i="24"/>
  <c r="E51" i="24"/>
  <c r="AE50" i="24"/>
  <c r="J50" i="24"/>
  <c r="AF49" i="24"/>
  <c r="I49" i="24"/>
  <c r="AF48" i="24"/>
  <c r="G48" i="24"/>
  <c r="W47" i="24"/>
  <c r="O46" i="24"/>
  <c r="AD45" i="24"/>
  <c r="AK44" i="24"/>
  <c r="F44" i="24"/>
  <c r="M43" i="24"/>
  <c r="AI42" i="24"/>
  <c r="AD9" i="24"/>
  <c r="R52" i="24"/>
  <c r="J52" i="24"/>
  <c r="AC51" i="24"/>
  <c r="P51" i="24"/>
  <c r="D51" i="24"/>
  <c r="Y49" i="24"/>
  <c r="H49" i="24"/>
  <c r="Y48" i="24"/>
  <c r="R47" i="24"/>
  <c r="AM46" i="24"/>
  <c r="I46" i="24"/>
  <c r="AC45" i="24"/>
  <c r="AJ44" i="24"/>
  <c r="E44" i="24"/>
  <c r="L43" i="24"/>
  <c r="AB42" i="24"/>
  <c r="B8" i="24"/>
  <c r="G36" i="24"/>
  <c r="S41" i="24"/>
  <c r="X2" i="26"/>
  <c r="X26" i="26"/>
  <c r="X18" i="26"/>
  <c r="X10" i="26"/>
  <c r="X25" i="26"/>
  <c r="X17" i="26"/>
  <c r="X9" i="26"/>
  <c r="X24" i="26"/>
  <c r="X16" i="26"/>
  <c r="X8" i="26"/>
  <c r="X23" i="26"/>
  <c r="X15" i="26"/>
  <c r="X7" i="26"/>
  <c r="X22" i="26"/>
  <c r="X29" i="26"/>
  <c r="X21" i="26"/>
  <c r="X13" i="26"/>
  <c r="X5" i="26"/>
  <c r="X28" i="26"/>
  <c r="X20" i="26"/>
  <c r="X12" i="26"/>
  <c r="X4" i="26"/>
  <c r="X14" i="26"/>
  <c r="W28" i="26"/>
  <c r="X27" i="26"/>
  <c r="X19" i="26"/>
  <c r="X11" i="26"/>
  <c r="X3" i="26"/>
  <c r="W10" i="26"/>
  <c r="W18" i="26"/>
  <c r="W26" i="26"/>
  <c r="W27" i="26"/>
  <c r="W2" i="26"/>
  <c r="W5" i="26"/>
  <c r="W13" i="26"/>
  <c r="W21" i="26"/>
  <c r="W3" i="26"/>
  <c r="W11" i="26"/>
  <c r="W19" i="26"/>
  <c r="W4" i="26"/>
  <c r="W6" i="26"/>
  <c r="W8" i="26"/>
  <c r="W12" i="26"/>
  <c r="W14" i="26"/>
  <c r="W16" i="26"/>
  <c r="W20" i="26"/>
  <c r="W22" i="26"/>
  <c r="W24" i="26"/>
  <c r="W9" i="26"/>
  <c r="W17" i="26"/>
  <c r="W25" i="26"/>
  <c r="W7" i="26"/>
  <c r="W15" i="26"/>
  <c r="W23" i="26"/>
  <c r="W50" i="24"/>
  <c r="AK46" i="24"/>
  <c r="O50" i="24"/>
  <c r="AM51" i="24"/>
  <c r="AC46" i="24"/>
  <c r="U46" i="24"/>
  <c r="G50" i="24"/>
  <c r="AE51" i="24"/>
  <c r="M46" i="24"/>
  <c r="AC36" i="24"/>
  <c r="AN39" i="24"/>
  <c r="AD39" i="24"/>
  <c r="W51" i="24"/>
  <c r="AE39" i="24"/>
  <c r="O51" i="24"/>
  <c r="AB45" i="24"/>
  <c r="G51" i="24"/>
  <c r="T45" i="24"/>
  <c r="O36" i="24"/>
  <c r="L45" i="24"/>
  <c r="AL50" i="24"/>
  <c r="D45" i="24"/>
  <c r="AF50" i="24"/>
  <c r="AD50" i="24"/>
  <c r="AM35" i="24"/>
  <c r="X50" i="24"/>
  <c r="V50" i="24"/>
  <c r="N50" i="24"/>
  <c r="F50" i="24"/>
  <c r="C42" i="24"/>
  <c r="Z41" i="24"/>
  <c r="AG40" i="24"/>
  <c r="Q40" i="24"/>
  <c r="AF39" i="24"/>
  <c r="AN38" i="24"/>
  <c r="AC37" i="24"/>
  <c r="S32" i="24"/>
  <c r="AK28" i="24"/>
  <c r="X22" i="24"/>
  <c r="AH42" i="24"/>
  <c r="Y41" i="24"/>
  <c r="AF40" i="24"/>
  <c r="P40" i="24"/>
  <c r="AC39" i="24"/>
  <c r="AF38" i="24"/>
  <c r="U37" i="24"/>
  <c r="N35" i="24"/>
  <c r="L28" i="24"/>
  <c r="AF21" i="24"/>
  <c r="AG48" i="24"/>
  <c r="S48" i="24"/>
  <c r="H48" i="24"/>
  <c r="AG47" i="24"/>
  <c r="V47" i="24"/>
  <c r="AF46" i="24"/>
  <c r="P46" i="24"/>
  <c r="AN45" i="24"/>
  <c r="X45" i="24"/>
  <c r="H45" i="24"/>
  <c r="AE44" i="24"/>
  <c r="O44" i="24"/>
  <c r="AL43" i="24"/>
  <c r="V43" i="24"/>
  <c r="AC42" i="24"/>
  <c r="M42" i="24"/>
  <c r="T41" i="24"/>
  <c r="AA40" i="24"/>
  <c r="K40" i="24"/>
  <c r="W39" i="24"/>
  <c r="Z38" i="24"/>
  <c r="O37" i="24"/>
  <c r="AK34" i="24"/>
  <c r="Z31" i="24"/>
  <c r="X27" i="24"/>
  <c r="AH20" i="24"/>
  <c r="D6" i="24"/>
  <c r="Z40" i="24"/>
  <c r="S39" i="24"/>
  <c r="U34" i="24"/>
  <c r="AL26" i="24"/>
  <c r="Z19" i="24"/>
  <c r="K51" i="24"/>
  <c r="AM50" i="24"/>
  <c r="AB50" i="24"/>
  <c r="Q50" i="24"/>
  <c r="C50" i="24"/>
  <c r="AB49" i="24"/>
  <c r="Q49" i="24"/>
  <c r="Q48" i="24"/>
  <c r="C48" i="24"/>
  <c r="AE47" i="24"/>
  <c r="AD46" i="24"/>
  <c r="N46" i="24"/>
  <c r="AL45" i="24"/>
  <c r="V45" i="24"/>
  <c r="F45" i="24"/>
  <c r="AC44" i="24"/>
  <c r="M44" i="24"/>
  <c r="AJ43" i="24"/>
  <c r="T43" i="24"/>
  <c r="AA42" i="24"/>
  <c r="K42" i="24"/>
  <c r="AH41" i="24"/>
  <c r="R41" i="24"/>
  <c r="Y40" i="24"/>
  <c r="I40" i="24"/>
  <c r="N39" i="24"/>
  <c r="O38" i="24"/>
  <c r="AN36" i="24"/>
  <c r="E34" i="24"/>
  <c r="AG30" i="24"/>
  <c r="F26" i="24"/>
  <c r="P18" i="24"/>
  <c r="T51" i="24"/>
  <c r="AK50" i="24"/>
  <c r="AA50" i="24"/>
  <c r="M50" i="24"/>
  <c r="AA48" i="24"/>
  <c r="P48" i="24"/>
  <c r="AD47" i="24"/>
  <c r="P47" i="24"/>
  <c r="Y46" i="24"/>
  <c r="AK45" i="24"/>
  <c r="U45" i="24"/>
  <c r="E45" i="24"/>
  <c r="L44" i="24"/>
  <c r="AI43" i="24"/>
  <c r="Z42" i="24"/>
  <c r="J42" i="24"/>
  <c r="AG41" i="24"/>
  <c r="Q41" i="24"/>
  <c r="AN40" i="24"/>
  <c r="X40" i="24"/>
  <c r="H40" i="24"/>
  <c r="J39" i="24"/>
  <c r="G38" i="24"/>
  <c r="AF36" i="24"/>
  <c r="AB33" i="24"/>
  <c r="Q30" i="24"/>
  <c r="G25" i="24"/>
  <c r="S16" i="24"/>
  <c r="L50" i="24"/>
  <c r="AN48" i="24"/>
  <c r="O47" i="24"/>
  <c r="AN46" i="24"/>
  <c r="AF45" i="24"/>
  <c r="P45" i="24"/>
  <c r="AD43" i="24"/>
  <c r="N43" i="24"/>
  <c r="AK42" i="24"/>
  <c r="L41" i="24"/>
  <c r="E39" i="24"/>
  <c r="AN37" i="24"/>
  <c r="AN29" i="24"/>
  <c r="R24" i="24"/>
  <c r="J3" i="24"/>
  <c r="R3" i="24"/>
  <c r="Z3" i="24"/>
  <c r="AH3" i="24"/>
  <c r="C4" i="24"/>
  <c r="K4" i="24"/>
  <c r="S4" i="24"/>
  <c r="AA4" i="24"/>
  <c r="AI4" i="24"/>
  <c r="D5" i="24"/>
  <c r="L5" i="24"/>
  <c r="T5" i="24"/>
  <c r="AB5" i="24"/>
  <c r="AJ5" i="24"/>
  <c r="E6" i="24"/>
  <c r="M6" i="24"/>
  <c r="U6" i="24"/>
  <c r="AC6" i="24"/>
  <c r="AK6" i="24"/>
  <c r="F7" i="24"/>
  <c r="N7" i="24"/>
  <c r="V7" i="24"/>
  <c r="AD7" i="24"/>
  <c r="AL7" i="24"/>
  <c r="G8" i="24"/>
  <c r="O8" i="24"/>
  <c r="W8" i="24"/>
  <c r="AE8" i="24"/>
  <c r="AM8" i="24"/>
  <c r="H9" i="24"/>
  <c r="P9" i="24"/>
  <c r="X9" i="24"/>
  <c r="AF9" i="24"/>
  <c r="AN9" i="24"/>
  <c r="I10" i="24"/>
  <c r="Q10" i="24"/>
  <c r="Y10" i="24"/>
  <c r="AG10" i="24"/>
  <c r="B11" i="24"/>
  <c r="J11" i="24"/>
  <c r="R11" i="24"/>
  <c r="Z11" i="24"/>
  <c r="AH11" i="24"/>
  <c r="C12" i="24"/>
  <c r="K12" i="24"/>
  <c r="S12" i="24"/>
  <c r="AA12" i="24"/>
  <c r="AI12" i="24"/>
  <c r="D13" i="24"/>
  <c r="L13" i="24"/>
  <c r="T13" i="24"/>
  <c r="AB13" i="24"/>
  <c r="AJ13" i="24"/>
  <c r="E14" i="24"/>
  <c r="M14" i="24"/>
  <c r="U14" i="24"/>
  <c r="AC14" i="24"/>
  <c r="AK14" i="24"/>
  <c r="F15" i="24"/>
  <c r="N15" i="24"/>
  <c r="V15" i="24"/>
  <c r="AD15" i="24"/>
  <c r="AL15" i="24"/>
  <c r="G16" i="24"/>
  <c r="O16" i="24"/>
  <c r="W16" i="24"/>
  <c r="AE16" i="24"/>
  <c r="AM16" i="24"/>
  <c r="H17" i="24"/>
  <c r="P17" i="24"/>
  <c r="X17" i="24"/>
  <c r="AF17" i="24"/>
  <c r="AN17" i="24"/>
  <c r="I18" i="24"/>
  <c r="C3" i="24"/>
  <c r="K3" i="24"/>
  <c r="S3" i="24"/>
  <c r="AA3" i="24"/>
  <c r="AI3" i="24"/>
  <c r="D4" i="24"/>
  <c r="L4" i="24"/>
  <c r="T4" i="24"/>
  <c r="AB4" i="24"/>
  <c r="AJ4" i="24"/>
  <c r="E5" i="24"/>
  <c r="M5" i="24"/>
  <c r="U5" i="24"/>
  <c r="AC5" i="24"/>
  <c r="AK5" i="24"/>
  <c r="F6" i="24"/>
  <c r="N6" i="24"/>
  <c r="V6" i="24"/>
  <c r="AD6" i="24"/>
  <c r="AL6" i="24"/>
  <c r="G7" i="24"/>
  <c r="O7" i="24"/>
  <c r="W7" i="24"/>
  <c r="AE7" i="24"/>
  <c r="AM7" i="24"/>
  <c r="H8" i="24"/>
  <c r="P8" i="24"/>
  <c r="X8" i="24"/>
  <c r="AF8" i="24"/>
  <c r="AN8" i="24"/>
  <c r="I9" i="24"/>
  <c r="Q9" i="24"/>
  <c r="Y9" i="24"/>
  <c r="AG9" i="24"/>
  <c r="B10" i="24"/>
  <c r="J10" i="24"/>
  <c r="R10" i="24"/>
  <c r="Z10" i="24"/>
  <c r="AH10" i="24"/>
  <c r="C11" i="24"/>
  <c r="K11" i="24"/>
  <c r="S11" i="24"/>
  <c r="AA11" i="24"/>
  <c r="AI11" i="24"/>
  <c r="D12" i="24"/>
  <c r="L12" i="24"/>
  <c r="T12" i="24"/>
  <c r="AB12" i="24"/>
  <c r="AJ12" i="24"/>
  <c r="E13" i="24"/>
  <c r="M13" i="24"/>
  <c r="U13" i="24"/>
  <c r="AC13" i="24"/>
  <c r="AK13" i="24"/>
  <c r="F14" i="24"/>
  <c r="N14" i="24"/>
  <c r="V14" i="24"/>
  <c r="AD14" i="24"/>
  <c r="AL14" i="24"/>
  <c r="G15" i="24"/>
  <c r="O15" i="24"/>
  <c r="W15" i="24"/>
  <c r="AE15" i="24"/>
  <c r="AM15" i="24"/>
  <c r="H16" i="24"/>
  <c r="P16" i="24"/>
  <c r="X16" i="24"/>
  <c r="AF16" i="24"/>
  <c r="AN16" i="24"/>
  <c r="I17" i="24"/>
  <c r="Q17" i="24"/>
  <c r="Y17" i="24"/>
  <c r="AG17" i="24"/>
  <c r="B18" i="24"/>
  <c r="J18" i="24"/>
  <c r="R18" i="24"/>
  <c r="Z18" i="24"/>
  <c r="AH18" i="24"/>
  <c r="C19" i="24"/>
  <c r="K19" i="24"/>
  <c r="S19" i="24"/>
  <c r="AA19" i="24"/>
  <c r="AI19" i="24"/>
  <c r="D20" i="24"/>
  <c r="L20" i="24"/>
  <c r="D3" i="24"/>
  <c r="L3" i="24"/>
  <c r="T3" i="24"/>
  <c r="AB3" i="24"/>
  <c r="AJ3" i="24"/>
  <c r="E4" i="24"/>
  <c r="M4" i="24"/>
  <c r="U4" i="24"/>
  <c r="AC4" i="24"/>
  <c r="AK4" i="24"/>
  <c r="F5" i="24"/>
  <c r="N5" i="24"/>
  <c r="V5" i="24"/>
  <c r="AD5" i="24"/>
  <c r="AL5" i="24"/>
  <c r="G6" i="24"/>
  <c r="O6" i="24"/>
  <c r="W6" i="24"/>
  <c r="AE6" i="24"/>
  <c r="AM6" i="24"/>
  <c r="H7" i="24"/>
  <c r="P7" i="24"/>
  <c r="X7" i="24"/>
  <c r="AF7" i="24"/>
  <c r="AN7" i="24"/>
  <c r="I8" i="24"/>
  <c r="Q8" i="24"/>
  <c r="Y8" i="24"/>
  <c r="AG8" i="24"/>
  <c r="B9" i="24"/>
  <c r="J9" i="24"/>
  <c r="R9" i="24"/>
  <c r="Z9" i="24"/>
  <c r="AH9" i="24"/>
  <c r="C10" i="24"/>
  <c r="K10" i="24"/>
  <c r="S10" i="24"/>
  <c r="AA10" i="24"/>
  <c r="AI10" i="24"/>
  <c r="D11" i="24"/>
  <c r="L11" i="24"/>
  <c r="T11" i="24"/>
  <c r="AB11" i="24"/>
  <c r="AJ11" i="24"/>
  <c r="E12" i="24"/>
  <c r="M12" i="24"/>
  <c r="U12" i="24"/>
  <c r="AC12" i="24"/>
  <c r="AK12" i="24"/>
  <c r="F13" i="24"/>
  <c r="N13" i="24"/>
  <c r="V13" i="24"/>
  <c r="AD13" i="24"/>
  <c r="AL13" i="24"/>
  <c r="G14" i="24"/>
  <c r="O14" i="24"/>
  <c r="W14" i="24"/>
  <c r="AE14" i="24"/>
  <c r="AM14" i="24"/>
  <c r="H15" i="24"/>
  <c r="P15" i="24"/>
  <c r="X15" i="24"/>
  <c r="AF15" i="24"/>
  <c r="AN15" i="24"/>
  <c r="I16" i="24"/>
  <c r="Q16" i="24"/>
  <c r="Y16" i="24"/>
  <c r="AG16" i="24"/>
  <c r="B17" i="24"/>
  <c r="J17" i="24"/>
  <c r="R17" i="24"/>
  <c r="Z17" i="24"/>
  <c r="AH17" i="24"/>
  <c r="C18" i="24"/>
  <c r="K18" i="24"/>
  <c r="S18" i="24"/>
  <c r="AA18" i="24"/>
  <c r="AI18" i="24"/>
  <c r="D19" i="24"/>
  <c r="L19" i="24"/>
  <c r="T19" i="24"/>
  <c r="AB19" i="24"/>
  <c r="AJ19" i="24"/>
  <c r="E20" i="24"/>
  <c r="M20" i="24"/>
  <c r="E3" i="24"/>
  <c r="M3" i="24"/>
  <c r="U3" i="24"/>
  <c r="AC3" i="24"/>
  <c r="AK3" i="24"/>
  <c r="F4" i="24"/>
  <c r="N4" i="24"/>
  <c r="V4" i="24"/>
  <c r="AD4" i="24"/>
  <c r="AL4" i="24"/>
  <c r="G5" i="24"/>
  <c r="O5" i="24"/>
  <c r="W5" i="24"/>
  <c r="AE5" i="24"/>
  <c r="AM5" i="24"/>
  <c r="H6" i="24"/>
  <c r="P6" i="24"/>
  <c r="X6" i="24"/>
  <c r="AF6" i="24"/>
  <c r="AN6" i="24"/>
  <c r="I7" i="24"/>
  <c r="Q7" i="24"/>
  <c r="Y7" i="24"/>
  <c r="AG7" i="24"/>
  <c r="J8" i="24"/>
  <c r="R8" i="24"/>
  <c r="Z8" i="24"/>
  <c r="AH8" i="24"/>
  <c r="C9" i="24"/>
  <c r="K9" i="24"/>
  <c r="S9" i="24"/>
  <c r="AA9" i="24"/>
  <c r="AI9" i="24"/>
  <c r="D10" i="24"/>
  <c r="L10" i="24"/>
  <c r="T10" i="24"/>
  <c r="AB10" i="24"/>
  <c r="AJ10" i="24"/>
  <c r="E11" i="24"/>
  <c r="M11" i="24"/>
  <c r="U11" i="24"/>
  <c r="AC11" i="24"/>
  <c r="AK11" i="24"/>
  <c r="F12" i="24"/>
  <c r="N12" i="24"/>
  <c r="V12" i="24"/>
  <c r="AD12" i="24"/>
  <c r="AL12" i="24"/>
  <c r="G13" i="24"/>
  <c r="O13" i="24"/>
  <c r="W13" i="24"/>
  <c r="AE13" i="24"/>
  <c r="AM13" i="24"/>
  <c r="H14" i="24"/>
  <c r="P14" i="24"/>
  <c r="X14" i="24"/>
  <c r="AF14" i="24"/>
  <c r="AN14" i="24"/>
  <c r="I15" i="24"/>
  <c r="Q15" i="24"/>
  <c r="Y15" i="24"/>
  <c r="AG15" i="24"/>
  <c r="B16" i="24"/>
  <c r="J16" i="24"/>
  <c r="R16" i="24"/>
  <c r="Z16" i="24"/>
  <c r="AH16" i="24"/>
  <c r="C17" i="24"/>
  <c r="K17" i="24"/>
  <c r="S17" i="24"/>
  <c r="AA17" i="24"/>
  <c r="AI17" i="24"/>
  <c r="D18" i="24"/>
  <c r="L18" i="24"/>
  <c r="T18" i="24"/>
  <c r="AB18" i="24"/>
  <c r="AJ18" i="24"/>
  <c r="E19" i="24"/>
  <c r="M19" i="24"/>
  <c r="U19" i="24"/>
  <c r="AC19" i="24"/>
  <c r="AK19" i="24"/>
  <c r="F20" i="24"/>
  <c r="N20" i="24"/>
  <c r="Q3" i="24"/>
  <c r="AG3" i="24"/>
  <c r="J4" i="24"/>
  <c r="Z4" i="24"/>
  <c r="C5" i="24"/>
  <c r="S5" i="24"/>
  <c r="AI5" i="24"/>
  <c r="L6" i="24"/>
  <c r="AB6" i="24"/>
  <c r="E7" i="24"/>
  <c r="U7" i="24"/>
  <c r="AK7" i="24"/>
  <c r="M8" i="24"/>
  <c r="AC8" i="24"/>
  <c r="F9" i="24"/>
  <c r="V9" i="24"/>
  <c r="AL9" i="24"/>
  <c r="O10" i="24"/>
  <c r="AE10" i="24"/>
  <c r="H11" i="24"/>
  <c r="X11" i="24"/>
  <c r="AN11" i="24"/>
  <c r="Q12" i="24"/>
  <c r="AG12" i="24"/>
  <c r="J13" i="24"/>
  <c r="Z13" i="24"/>
  <c r="C14" i="24"/>
  <c r="S14" i="24"/>
  <c r="AI14" i="24"/>
  <c r="L15" i="24"/>
  <c r="AB15" i="24"/>
  <c r="E16" i="24"/>
  <c r="U16" i="24"/>
  <c r="AK16" i="24"/>
  <c r="N17" i="24"/>
  <c r="AD17" i="24"/>
  <c r="G18" i="24"/>
  <c r="V18" i="24"/>
  <c r="AG18" i="24"/>
  <c r="H19" i="24"/>
  <c r="V19" i="24"/>
  <c r="AG19" i="24"/>
  <c r="H20" i="24"/>
  <c r="S20" i="24"/>
  <c r="AA20" i="24"/>
  <c r="AI20" i="24"/>
  <c r="D21" i="24"/>
  <c r="L21" i="24"/>
  <c r="T21" i="24"/>
  <c r="AB21" i="24"/>
  <c r="AJ21" i="24"/>
  <c r="E22" i="24"/>
  <c r="M22" i="24"/>
  <c r="U22" i="24"/>
  <c r="AC22" i="24"/>
  <c r="AK22" i="24"/>
  <c r="F23" i="24"/>
  <c r="N23" i="24"/>
  <c r="V23" i="24"/>
  <c r="AD23" i="24"/>
  <c r="AL23" i="24"/>
  <c r="G24" i="24"/>
  <c r="O24" i="24"/>
  <c r="W24" i="24"/>
  <c r="AE24" i="24"/>
  <c r="AM24" i="24"/>
  <c r="H25" i="24"/>
  <c r="P25" i="24"/>
  <c r="X25" i="24"/>
  <c r="AF25" i="24"/>
  <c r="AN25" i="24"/>
  <c r="I26" i="24"/>
  <c r="Q26" i="24"/>
  <c r="Y26" i="24"/>
  <c r="AG26" i="24"/>
  <c r="B27" i="24"/>
  <c r="J27" i="24"/>
  <c r="R27" i="24"/>
  <c r="Z27" i="24"/>
  <c r="AH27" i="24"/>
  <c r="C28" i="24"/>
  <c r="K28" i="24"/>
  <c r="S28" i="24"/>
  <c r="AA28" i="24"/>
  <c r="AI28" i="24"/>
  <c r="F3" i="24"/>
  <c r="V3" i="24"/>
  <c r="AL3" i="24"/>
  <c r="O4" i="24"/>
  <c r="AE4" i="24"/>
  <c r="H5" i="24"/>
  <c r="X5" i="24"/>
  <c r="AN5" i="24"/>
  <c r="Q6" i="24"/>
  <c r="AG6" i="24"/>
  <c r="J7" i="24"/>
  <c r="Z7" i="24"/>
  <c r="N8" i="24"/>
  <c r="AD8" i="24"/>
  <c r="G9" i="24"/>
  <c r="W9" i="24"/>
  <c r="AM9" i="24"/>
  <c r="P10" i="24"/>
  <c r="AF10" i="24"/>
  <c r="I11" i="24"/>
  <c r="Y11" i="24"/>
  <c r="B12" i="24"/>
  <c r="R12" i="24"/>
  <c r="AH12" i="24"/>
  <c r="K13" i="24"/>
  <c r="AA13" i="24"/>
  <c r="D14" i="24"/>
  <c r="T14" i="24"/>
  <c r="AJ14" i="24"/>
  <c r="M15" i="24"/>
  <c r="AC15" i="24"/>
  <c r="F16" i="24"/>
  <c r="V16" i="24"/>
  <c r="AL16" i="24"/>
  <c r="O17" i="24"/>
  <c r="AE17" i="24"/>
  <c r="H18" i="24"/>
  <c r="W18" i="24"/>
  <c r="AK18" i="24"/>
  <c r="I19" i="24"/>
  <c r="W19" i="24"/>
  <c r="AH19" i="24"/>
  <c r="I20" i="24"/>
  <c r="T20" i="24"/>
  <c r="AB20" i="24"/>
  <c r="AJ20" i="24"/>
  <c r="E21" i="24"/>
  <c r="M21" i="24"/>
  <c r="U21" i="24"/>
  <c r="AC21" i="24"/>
  <c r="AK21" i="24"/>
  <c r="F22" i="24"/>
  <c r="N22" i="24"/>
  <c r="V22" i="24"/>
  <c r="AD22" i="24"/>
  <c r="AL22" i="24"/>
  <c r="G23" i="24"/>
  <c r="O23" i="24"/>
  <c r="W23" i="24"/>
  <c r="AE23" i="24"/>
  <c r="AM23" i="24"/>
  <c r="H24" i="24"/>
  <c r="P24" i="24"/>
  <c r="X24" i="24"/>
  <c r="AF24" i="24"/>
  <c r="AN24" i="24"/>
  <c r="I25" i="24"/>
  <c r="Q25" i="24"/>
  <c r="Y25" i="24"/>
  <c r="AG25" i="24"/>
  <c r="B26" i="24"/>
  <c r="J26" i="24"/>
  <c r="R26" i="24"/>
  <c r="Z26" i="24"/>
  <c r="AH26" i="24"/>
  <c r="C27" i="24"/>
  <c r="K27" i="24"/>
  <c r="S27" i="24"/>
  <c r="G3" i="24"/>
  <c r="W3" i="24"/>
  <c r="AM3" i="24"/>
  <c r="P4" i="24"/>
  <c r="AF4" i="24"/>
  <c r="I5" i="24"/>
  <c r="Y5" i="24"/>
  <c r="R6" i="24"/>
  <c r="AH6" i="24"/>
  <c r="K7" i="24"/>
  <c r="AA7" i="24"/>
  <c r="C8" i="24"/>
  <c r="S8" i="24"/>
  <c r="AI8" i="24"/>
  <c r="L9" i="24"/>
  <c r="AB9" i="24"/>
  <c r="E10" i="24"/>
  <c r="U10" i="24"/>
  <c r="AK10" i="24"/>
  <c r="N11" i="24"/>
  <c r="AD11" i="24"/>
  <c r="G12" i="24"/>
  <c r="W12" i="24"/>
  <c r="AM12" i="24"/>
  <c r="P13" i="24"/>
  <c r="AF13" i="24"/>
  <c r="I14" i="24"/>
  <c r="Y14" i="24"/>
  <c r="B15" i="24"/>
  <c r="R15" i="24"/>
  <c r="AH15" i="24"/>
  <c r="K16" i="24"/>
  <c r="AA16" i="24"/>
  <c r="D17" i="24"/>
  <c r="T17" i="24"/>
  <c r="AJ17" i="24"/>
  <c r="M18" i="24"/>
  <c r="X18" i="24"/>
  <c r="AL18" i="24"/>
  <c r="J19" i="24"/>
  <c r="X19" i="24"/>
  <c r="AL19" i="24"/>
  <c r="J20" i="24"/>
  <c r="U20" i="24"/>
  <c r="AC20" i="24"/>
  <c r="AK20" i="24"/>
  <c r="F21" i="24"/>
  <c r="N21" i="24"/>
  <c r="V21" i="24"/>
  <c r="AD21" i="24"/>
  <c r="AL21" i="24"/>
  <c r="G22" i="24"/>
  <c r="O22" i="24"/>
  <c r="W22" i="24"/>
  <c r="AE22" i="24"/>
  <c r="AM22" i="24"/>
  <c r="H23" i="24"/>
  <c r="P23" i="24"/>
  <c r="X23" i="24"/>
  <c r="AF23" i="24"/>
  <c r="AN23" i="24"/>
  <c r="I24" i="24"/>
  <c r="Q24" i="24"/>
  <c r="Y24" i="24"/>
  <c r="AG24" i="24"/>
  <c r="B25" i="24"/>
  <c r="J25" i="24"/>
  <c r="R25" i="24"/>
  <c r="Z25" i="24"/>
  <c r="AH25" i="24"/>
  <c r="C26" i="24"/>
  <c r="K26" i="24"/>
  <c r="S26" i="24"/>
  <c r="H3" i="24"/>
  <c r="X3" i="24"/>
  <c r="AN3" i="24"/>
  <c r="Q4" i="24"/>
  <c r="AG4" i="24"/>
  <c r="J5" i="24"/>
  <c r="Z5" i="24"/>
  <c r="C6" i="24"/>
  <c r="S6" i="24"/>
  <c r="AI6" i="24"/>
  <c r="L7" i="24"/>
  <c r="AB7" i="24"/>
  <c r="D8" i="24"/>
  <c r="T8" i="24"/>
  <c r="AJ8" i="24"/>
  <c r="M9" i="24"/>
  <c r="AC9" i="24"/>
  <c r="F10" i="24"/>
  <c r="V10" i="24"/>
  <c r="AL10" i="24"/>
  <c r="O11" i="24"/>
  <c r="AE11" i="24"/>
  <c r="H12" i="24"/>
  <c r="X12" i="24"/>
  <c r="AN12" i="24"/>
  <c r="N3" i="24"/>
  <c r="AD3" i="24"/>
  <c r="G4" i="24"/>
  <c r="W4" i="24"/>
  <c r="AM4" i="24"/>
  <c r="P5" i="24"/>
  <c r="AF5" i="24"/>
  <c r="I6" i="24"/>
  <c r="Y6" i="24"/>
  <c r="R7" i="24"/>
  <c r="AH7" i="24"/>
  <c r="F8" i="24"/>
  <c r="V8" i="24"/>
  <c r="AL8" i="24"/>
  <c r="O9" i="24"/>
  <c r="AE9" i="24"/>
  <c r="H10" i="24"/>
  <c r="X10" i="24"/>
  <c r="AN10" i="24"/>
  <c r="Q11" i="24"/>
  <c r="AG11" i="24"/>
  <c r="J12" i="24"/>
  <c r="Z12" i="24"/>
  <c r="C13" i="24"/>
  <c r="S13" i="24"/>
  <c r="H4" i="24"/>
  <c r="K5" i="24"/>
  <c r="J6" i="24"/>
  <c r="D7" i="24"/>
  <c r="E8" i="24"/>
  <c r="E9" i="24"/>
  <c r="M10" i="24"/>
  <c r="P11" i="24"/>
  <c r="P12" i="24"/>
  <c r="R13" i="24"/>
  <c r="J14" i="24"/>
  <c r="AG14" i="24"/>
  <c r="T15" i="24"/>
  <c r="D16" i="24"/>
  <c r="AD16" i="24"/>
  <c r="U17" i="24"/>
  <c r="E18" i="24"/>
  <c r="AC18" i="24"/>
  <c r="G19" i="24"/>
  <c r="AD19" i="24"/>
  <c r="K20" i="24"/>
  <c r="Y20" i="24"/>
  <c r="AM20" i="24"/>
  <c r="K21" i="24"/>
  <c r="Y21" i="24"/>
  <c r="AM21" i="24"/>
  <c r="K22" i="24"/>
  <c r="Y22" i="24"/>
  <c r="AJ22" i="24"/>
  <c r="K23" i="24"/>
  <c r="Y23" i="24"/>
  <c r="AJ23" i="24"/>
  <c r="K24" i="24"/>
  <c r="V24" i="24"/>
  <c r="AJ24" i="24"/>
  <c r="K25" i="24"/>
  <c r="V25" i="24"/>
  <c r="AJ25" i="24"/>
  <c r="H26" i="24"/>
  <c r="V26" i="24"/>
  <c r="AF26" i="24"/>
  <c r="E27" i="24"/>
  <c r="O27" i="24"/>
  <c r="Y27" i="24"/>
  <c r="AI27" i="24"/>
  <c r="E28" i="24"/>
  <c r="N28" i="24"/>
  <c r="W28" i="24"/>
  <c r="AF28" i="24"/>
  <c r="B29" i="24"/>
  <c r="J29" i="24"/>
  <c r="R29" i="24"/>
  <c r="Z29" i="24"/>
  <c r="AH29" i="24"/>
  <c r="C30" i="24"/>
  <c r="K30" i="24"/>
  <c r="S30" i="24"/>
  <c r="AA30" i="24"/>
  <c r="AI30" i="24"/>
  <c r="D31" i="24"/>
  <c r="L31" i="24"/>
  <c r="T31" i="24"/>
  <c r="AB31" i="24"/>
  <c r="AJ31" i="24"/>
  <c r="E32" i="24"/>
  <c r="M32" i="24"/>
  <c r="U32" i="24"/>
  <c r="AC32" i="24"/>
  <c r="AK32" i="24"/>
  <c r="F33" i="24"/>
  <c r="N33" i="24"/>
  <c r="V33" i="24"/>
  <c r="AD33" i="24"/>
  <c r="AL33" i="24"/>
  <c r="G34" i="24"/>
  <c r="O34" i="24"/>
  <c r="W34" i="24"/>
  <c r="AE34" i="24"/>
  <c r="AM34" i="24"/>
  <c r="H35" i="24"/>
  <c r="P35" i="24"/>
  <c r="X35" i="24"/>
  <c r="AF35" i="24"/>
  <c r="AN35" i="24"/>
  <c r="I36" i="24"/>
  <c r="Q36" i="24"/>
  <c r="Y36" i="24"/>
  <c r="AG36" i="24"/>
  <c r="B37" i="24"/>
  <c r="J37" i="24"/>
  <c r="R37" i="24"/>
  <c r="Z37" i="24"/>
  <c r="AH37" i="24"/>
  <c r="C38" i="24"/>
  <c r="K38" i="24"/>
  <c r="S38" i="24"/>
  <c r="AA38" i="24"/>
  <c r="AI38" i="24"/>
  <c r="D39" i="24"/>
  <c r="L39" i="24"/>
  <c r="T39" i="24"/>
  <c r="AB39" i="24"/>
  <c r="AJ39" i="24"/>
  <c r="E40" i="24"/>
  <c r="I3" i="24"/>
  <c r="I4" i="24"/>
  <c r="Q5" i="24"/>
  <c r="K6" i="24"/>
  <c r="M7" i="24"/>
  <c r="K8" i="24"/>
  <c r="N9" i="24"/>
  <c r="N10" i="24"/>
  <c r="V11" i="24"/>
  <c r="Y12" i="24"/>
  <c r="X13" i="24"/>
  <c r="K14" i="24"/>
  <c r="AH14" i="24"/>
  <c r="U15" i="24"/>
  <c r="L16" i="24"/>
  <c r="AI16" i="24"/>
  <c r="V17" i="24"/>
  <c r="F18" i="24"/>
  <c r="AD18" i="24"/>
  <c r="N19" i="24"/>
  <c r="AE19" i="24"/>
  <c r="O20" i="24"/>
  <c r="Z20" i="24"/>
  <c r="AN20" i="24"/>
  <c r="O21" i="24"/>
  <c r="Z21" i="24"/>
  <c r="AN21" i="24"/>
  <c r="L22" i="24"/>
  <c r="Z22" i="24"/>
  <c r="AN22" i="24"/>
  <c r="L23" i="24"/>
  <c r="Z23" i="24"/>
  <c r="AK23" i="24"/>
  <c r="L24" i="24"/>
  <c r="Z24" i="24"/>
  <c r="AK24" i="24"/>
  <c r="L25" i="24"/>
  <c r="W25" i="24"/>
  <c r="AK25" i="24"/>
  <c r="L26" i="24"/>
  <c r="W26" i="24"/>
  <c r="AI26" i="24"/>
  <c r="F27" i="24"/>
  <c r="P27" i="24"/>
  <c r="AA27" i="24"/>
  <c r="AJ27" i="24"/>
  <c r="F28" i="24"/>
  <c r="O28" i="24"/>
  <c r="X28" i="24"/>
  <c r="AG28" i="24"/>
  <c r="C29" i="24"/>
  <c r="K29" i="24"/>
  <c r="S29" i="24"/>
  <c r="AA29" i="24"/>
  <c r="AI29" i="24"/>
  <c r="D30" i="24"/>
  <c r="L30" i="24"/>
  <c r="T30" i="24"/>
  <c r="AB30" i="24"/>
  <c r="AJ30" i="24"/>
  <c r="E31" i="24"/>
  <c r="M31" i="24"/>
  <c r="U31" i="24"/>
  <c r="AC31" i="24"/>
  <c r="AK31" i="24"/>
  <c r="F32" i="24"/>
  <c r="N32" i="24"/>
  <c r="V32" i="24"/>
  <c r="AD32" i="24"/>
  <c r="AL32" i="24"/>
  <c r="G33" i="24"/>
  <c r="O33" i="24"/>
  <c r="W33" i="24"/>
  <c r="AE33" i="24"/>
  <c r="AM33" i="24"/>
  <c r="H34" i="24"/>
  <c r="P34" i="24"/>
  <c r="X34" i="24"/>
  <c r="AF34" i="24"/>
  <c r="AN34" i="24"/>
  <c r="I35" i="24"/>
  <c r="Q35" i="24"/>
  <c r="Y35" i="24"/>
  <c r="AG35" i="24"/>
  <c r="B36" i="24"/>
  <c r="J36" i="24"/>
  <c r="R36" i="24"/>
  <c r="Z36" i="24"/>
  <c r="AH36" i="24"/>
  <c r="C37" i="24"/>
  <c r="K37" i="24"/>
  <c r="S37" i="24"/>
  <c r="AA37" i="24"/>
  <c r="AI37" i="24"/>
  <c r="D38" i="24"/>
  <c r="L38" i="24"/>
  <c r="T38" i="24"/>
  <c r="AB38" i="24"/>
  <c r="AJ38" i="24"/>
  <c r="O3" i="24"/>
  <c r="R4" i="24"/>
  <c r="R5" i="24"/>
  <c r="T6" i="24"/>
  <c r="S7" i="24"/>
  <c r="L8" i="24"/>
  <c r="T9" i="24"/>
  <c r="W10" i="24"/>
  <c r="W11" i="24"/>
  <c r="AE12" i="24"/>
  <c r="Y13" i="24"/>
  <c r="L14" i="24"/>
  <c r="C15" i="24"/>
  <c r="Z15" i="24"/>
  <c r="M16" i="24"/>
  <c r="AJ16" i="24"/>
  <c r="W17" i="24"/>
  <c r="N18" i="24"/>
  <c r="AE18" i="24"/>
  <c r="O19" i="24"/>
  <c r="AF19" i="24"/>
  <c r="P20" i="24"/>
  <c r="AD20" i="24"/>
  <c r="B21" i="24"/>
  <c r="P21" i="24"/>
  <c r="AA21" i="24"/>
  <c r="B22" i="24"/>
  <c r="P22" i="24"/>
  <c r="AA22" i="24"/>
  <c r="B23" i="24"/>
  <c r="M23" i="24"/>
  <c r="AA23" i="24"/>
  <c r="B24" i="24"/>
  <c r="M24" i="24"/>
  <c r="AA24" i="24"/>
  <c r="AL24" i="24"/>
  <c r="M25" i="24"/>
  <c r="AA25" i="24"/>
  <c r="AL25" i="24"/>
  <c r="M26" i="24"/>
  <c r="X26" i="24"/>
  <c r="AJ26" i="24"/>
  <c r="G27" i="24"/>
  <c r="Q27" i="24"/>
  <c r="AB27" i="24"/>
  <c r="AK27" i="24"/>
  <c r="G28" i="24"/>
  <c r="P28" i="24"/>
  <c r="Y28" i="24"/>
  <c r="AH28" i="24"/>
  <c r="D29" i="24"/>
  <c r="L29" i="24"/>
  <c r="T29" i="24"/>
  <c r="AB29" i="24"/>
  <c r="AJ29" i="24"/>
  <c r="E30" i="24"/>
  <c r="M30" i="24"/>
  <c r="U30" i="24"/>
  <c r="AC30" i="24"/>
  <c r="AK30" i="24"/>
  <c r="F31" i="24"/>
  <c r="N31" i="24"/>
  <c r="V31" i="24"/>
  <c r="AD31" i="24"/>
  <c r="AL31" i="24"/>
  <c r="G32" i="24"/>
  <c r="O32" i="24"/>
  <c r="W32" i="24"/>
  <c r="AE32" i="24"/>
  <c r="AM32" i="24"/>
  <c r="H33" i="24"/>
  <c r="P33" i="24"/>
  <c r="X33" i="24"/>
  <c r="AF33" i="24"/>
  <c r="AN33" i="24"/>
  <c r="I34" i="24"/>
  <c r="Q34" i="24"/>
  <c r="Y34" i="24"/>
  <c r="AG34" i="24"/>
  <c r="B35" i="24"/>
  <c r="J35" i="24"/>
  <c r="R35" i="24"/>
  <c r="Z35" i="24"/>
  <c r="AH35" i="24"/>
  <c r="C36" i="24"/>
  <c r="K36" i="24"/>
  <c r="S36" i="24"/>
  <c r="AA36" i="24"/>
  <c r="AI36" i="24"/>
  <c r="D37" i="24"/>
  <c r="L37" i="24"/>
  <c r="T37" i="24"/>
  <c r="AB37" i="24"/>
  <c r="AJ37" i="24"/>
  <c r="E38" i="24"/>
  <c r="M38" i="24"/>
  <c r="U38" i="24"/>
  <c r="AC38" i="24"/>
  <c r="AK38" i="24"/>
  <c r="P3" i="24"/>
  <c r="X4" i="24"/>
  <c r="AA5" i="24"/>
  <c r="Z6" i="24"/>
  <c r="T7" i="24"/>
  <c r="U8" i="24"/>
  <c r="U9" i="24"/>
  <c r="AC10" i="24"/>
  <c r="AF11" i="24"/>
  <c r="AF12" i="24"/>
  <c r="AG13" i="24"/>
  <c r="Q14" i="24"/>
  <c r="D15" i="24"/>
  <c r="AA15" i="24"/>
  <c r="N16" i="24"/>
  <c r="E17" i="24"/>
  <c r="AB17" i="24"/>
  <c r="O18" i="24"/>
  <c r="AF18" i="24"/>
  <c r="P19" i="24"/>
  <c r="AM19" i="24"/>
  <c r="Q20" i="24"/>
  <c r="AE20" i="24"/>
  <c r="C21" i="24"/>
  <c r="Q21" i="24"/>
  <c r="AE21" i="24"/>
  <c r="C22" i="24"/>
  <c r="Q22" i="24"/>
  <c r="AB22" i="24"/>
  <c r="C23" i="24"/>
  <c r="Q23" i="24"/>
  <c r="AB23" i="24"/>
  <c r="C24" i="24"/>
  <c r="N24" i="24"/>
  <c r="AB24" i="24"/>
  <c r="C25" i="24"/>
  <c r="N25" i="24"/>
  <c r="AB25" i="24"/>
  <c r="AM25" i="24"/>
  <c r="N26" i="24"/>
  <c r="AA26" i="24"/>
  <c r="AK26" i="24"/>
  <c r="H27" i="24"/>
  <c r="T27" i="24"/>
  <c r="AC27" i="24"/>
  <c r="AL27" i="24"/>
  <c r="H28" i="24"/>
  <c r="Q28" i="24"/>
  <c r="Z28" i="24"/>
  <c r="AJ28" i="24"/>
  <c r="E29" i="24"/>
  <c r="M29" i="24"/>
  <c r="U29" i="24"/>
  <c r="AC29" i="24"/>
  <c r="AK29" i="24"/>
  <c r="F30" i="24"/>
  <c r="N30" i="24"/>
  <c r="V30" i="24"/>
  <c r="AD30" i="24"/>
  <c r="AL30" i="24"/>
  <c r="G31" i="24"/>
  <c r="O31" i="24"/>
  <c r="W31" i="24"/>
  <c r="AE31" i="24"/>
  <c r="AM31" i="24"/>
  <c r="H32" i="24"/>
  <c r="P32" i="24"/>
  <c r="X32" i="24"/>
  <c r="AF32" i="24"/>
  <c r="AN32" i="24"/>
  <c r="I33" i="24"/>
  <c r="Q33" i="24"/>
  <c r="Y33" i="24"/>
  <c r="AG33" i="24"/>
  <c r="B34" i="24"/>
  <c r="J34" i="24"/>
  <c r="R34" i="24"/>
  <c r="Z34" i="24"/>
  <c r="AH34" i="24"/>
  <c r="C35" i="24"/>
  <c r="K35" i="24"/>
  <c r="S35" i="24"/>
  <c r="AA35" i="24"/>
  <c r="AI35" i="24"/>
  <c r="D36" i="24"/>
  <c r="AE3" i="24"/>
  <c r="AH4" i="24"/>
  <c r="AH5" i="24"/>
  <c r="AJ6" i="24"/>
  <c r="AI7" i="24"/>
  <c r="AB8" i="24"/>
  <c r="AJ9" i="24"/>
  <c r="AM10" i="24"/>
  <c r="AM11" i="24"/>
  <c r="H13" i="24"/>
  <c r="AI13" i="24"/>
  <c r="Z14" i="24"/>
  <c r="J15" i="24"/>
  <c r="AJ15" i="24"/>
  <c r="T16" i="24"/>
  <c r="G17" i="24"/>
  <c r="AK17" i="24"/>
  <c r="Q18" i="24"/>
  <c r="AN18" i="24"/>
  <c r="R19" i="24"/>
  <c r="B20" i="24"/>
  <c r="V20" i="24"/>
  <c r="AG20" i="24"/>
  <c r="H21" i="24"/>
  <c r="S21" i="24"/>
  <c r="AG21" i="24"/>
  <c r="H22" i="24"/>
  <c r="S22" i="24"/>
  <c r="AG22" i="24"/>
  <c r="E23" i="24"/>
  <c r="S23" i="24"/>
  <c r="AG23" i="24"/>
  <c r="E24" i="24"/>
  <c r="S24" i="24"/>
  <c r="AD24" i="24"/>
  <c r="E25" i="24"/>
  <c r="S25" i="24"/>
  <c r="AD25" i="24"/>
  <c r="E26" i="24"/>
  <c r="P26" i="24"/>
  <c r="AC26" i="24"/>
  <c r="AM26" i="24"/>
  <c r="L27" i="24"/>
  <c r="V27" i="24"/>
  <c r="AE27" i="24"/>
  <c r="AN27" i="24"/>
  <c r="J28" i="24"/>
  <c r="T28" i="24"/>
  <c r="AC28" i="24"/>
  <c r="AL28" i="24"/>
  <c r="G29" i="24"/>
  <c r="O29" i="24"/>
  <c r="W29" i="24"/>
  <c r="AE29" i="24"/>
  <c r="AM29" i="24"/>
  <c r="AF3" i="24"/>
  <c r="AN4" i="24"/>
  <c r="AJ7" i="24"/>
  <c r="AK8" i="24"/>
  <c r="AK9" i="24"/>
  <c r="F11" i="24"/>
  <c r="I12" i="24"/>
  <c r="I13" i="24"/>
  <c r="AN13" i="24"/>
  <c r="AA14" i="24"/>
  <c r="K15" i="24"/>
  <c r="AK15" i="24"/>
  <c r="AB16" i="24"/>
  <c r="V39" i="24"/>
  <c r="M39" i="24"/>
  <c r="C39" i="24"/>
  <c r="AE38" i="24"/>
  <c r="Q38" i="24"/>
  <c r="F38" i="24"/>
  <c r="AE37" i="24"/>
  <c r="Q37" i="24"/>
  <c r="F37" i="24"/>
  <c r="AE36" i="24"/>
  <c r="T36" i="24"/>
  <c r="F36" i="24"/>
  <c r="AC35" i="24"/>
  <c r="M35" i="24"/>
  <c r="AJ34" i="24"/>
  <c r="T34" i="24"/>
  <c r="D34" i="24"/>
  <c r="AA33" i="24"/>
  <c r="K33" i="24"/>
  <c r="AH32" i="24"/>
  <c r="R32" i="24"/>
  <c r="B32" i="24"/>
  <c r="Y31" i="24"/>
  <c r="I31" i="24"/>
  <c r="AF30" i="24"/>
  <c r="P30" i="24"/>
  <c r="AL29" i="24"/>
  <c r="P29" i="24"/>
  <c r="AE28" i="24"/>
  <c r="I28" i="24"/>
  <c r="W27" i="24"/>
  <c r="AE26" i="24"/>
  <c r="D26" i="24"/>
  <c r="F25" i="24"/>
  <c r="J24" i="24"/>
  <c r="R23" i="24"/>
  <c r="T22" i="24"/>
  <c r="X21" i="24"/>
  <c r="AF20" i="24"/>
  <c r="Y19" i="24"/>
  <c r="AM17" i="24"/>
  <c r="C16" i="24"/>
  <c r="Q13" i="24"/>
  <c r="D9" i="24"/>
  <c r="AM39" i="24"/>
  <c r="U39" i="24"/>
  <c r="K39" i="24"/>
  <c r="AD38" i="24"/>
  <c r="P38" i="24"/>
  <c r="B38" i="24"/>
  <c r="AD37" i="24"/>
  <c r="P37" i="24"/>
  <c r="E37" i="24"/>
  <c r="AD36" i="24"/>
  <c r="P36" i="24"/>
  <c r="E36" i="24"/>
  <c r="AB35" i="24"/>
  <c r="L35" i="24"/>
  <c r="AI34" i="24"/>
  <c r="S34" i="24"/>
  <c r="C34" i="24"/>
  <c r="Z33" i="24"/>
  <c r="J33" i="24"/>
  <c r="AG32" i="24"/>
  <c r="Q32" i="24"/>
  <c r="AN31" i="24"/>
  <c r="X31" i="24"/>
  <c r="H31" i="24"/>
  <c r="AE30" i="24"/>
  <c r="O30" i="24"/>
  <c r="AG29" i="24"/>
  <c r="N29" i="24"/>
  <c r="AD28" i="24"/>
  <c r="D28" i="24"/>
  <c r="U27" i="24"/>
  <c r="AD26" i="24"/>
  <c r="AI25" i="24"/>
  <c r="D25" i="24"/>
  <c r="F24" i="24"/>
  <c r="J23" i="24"/>
  <c r="R22" i="24"/>
  <c r="W21" i="24"/>
  <c r="X20" i="24"/>
  <c r="Q19" i="24"/>
  <c r="AL17" i="24"/>
  <c r="AI15" i="24"/>
  <c r="B13" i="24"/>
  <c r="AA8" i="24"/>
  <c r="AG5" i="24"/>
  <c r="W35" i="24"/>
  <c r="G35" i="24"/>
  <c r="AD34" i="24"/>
  <c r="N34" i="24"/>
  <c r="AK33" i="24"/>
  <c r="U33" i="24"/>
  <c r="E33" i="24"/>
  <c r="AB32" i="24"/>
  <c r="L32" i="24"/>
  <c r="AI31" i="24"/>
  <c r="S31" i="24"/>
  <c r="C31" i="24"/>
  <c r="Z30" i="24"/>
  <c r="J30" i="24"/>
  <c r="AF29" i="24"/>
  <c r="I29" i="24"/>
  <c r="AB28" i="24"/>
  <c r="B28" i="24"/>
  <c r="N27" i="24"/>
  <c r="AB26" i="24"/>
  <c r="AE25" i="24"/>
  <c r="AI24" i="24"/>
  <c r="D24" i="24"/>
  <c r="I23" i="24"/>
  <c r="J22" i="24"/>
  <c r="R21" i="24"/>
  <c r="W20" i="24"/>
  <c r="F19" i="24"/>
  <c r="AC17" i="24"/>
  <c r="S15" i="24"/>
  <c r="O12" i="24"/>
  <c r="AJ45" i="24"/>
  <c r="AI44" i="24"/>
  <c r="AA44" i="24"/>
  <c r="S44" i="24"/>
  <c r="K44" i="24"/>
  <c r="C44" i="24"/>
  <c r="AH43" i="24"/>
  <c r="Z43" i="24"/>
  <c r="R43" i="24"/>
  <c r="J43" i="24"/>
  <c r="B43" i="24"/>
  <c r="AG42" i="24"/>
  <c r="Y42" i="24"/>
  <c r="Q42" i="24"/>
  <c r="I42" i="24"/>
  <c r="AN41" i="24"/>
  <c r="AF41" i="24"/>
  <c r="X41" i="24"/>
  <c r="P41" i="24"/>
  <c r="H41" i="24"/>
  <c r="AM40" i="24"/>
  <c r="AE40" i="24"/>
  <c r="W40" i="24"/>
  <c r="O40" i="24"/>
  <c r="G40" i="24"/>
  <c r="AK39" i="24"/>
  <c r="AA39" i="24"/>
  <c r="R39" i="24"/>
  <c r="I39" i="24"/>
  <c r="AM38" i="24"/>
  <c r="Y38" i="24"/>
  <c r="N38" i="24"/>
  <c r="AM37" i="24"/>
  <c r="Y37" i="24"/>
  <c r="N37" i="24"/>
  <c r="AM36" i="24"/>
  <c r="AB36" i="24"/>
  <c r="N36" i="24"/>
  <c r="AL35" i="24"/>
  <c r="V35" i="24"/>
  <c r="F35" i="24"/>
  <c r="AC34" i="24"/>
  <c r="M34" i="24"/>
  <c r="AJ33" i="24"/>
  <c r="T33" i="24"/>
  <c r="D33" i="24"/>
  <c r="AA32" i="24"/>
  <c r="K32" i="24"/>
  <c r="AH31" i="24"/>
  <c r="R31" i="24"/>
  <c r="B31" i="24"/>
  <c r="Y30" i="24"/>
  <c r="I30" i="24"/>
  <c r="AD29" i="24"/>
  <c r="H29" i="24"/>
  <c r="V28" i="24"/>
  <c r="AM27" i="24"/>
  <c r="M27" i="24"/>
  <c r="U26" i="24"/>
  <c r="AC25" i="24"/>
  <c r="AH24" i="24"/>
  <c r="AI23" i="24"/>
  <c r="D23" i="24"/>
  <c r="I22" i="24"/>
  <c r="J21" i="24"/>
  <c r="R20" i="24"/>
  <c r="B19" i="24"/>
  <c r="M17" i="24"/>
  <c r="E15" i="24"/>
  <c r="AL11" i="24"/>
  <c r="AC7" i="24"/>
  <c r="Y4" i="24"/>
  <c r="AG51" i="24"/>
  <c r="Y51" i="24"/>
  <c r="Q51" i="24"/>
  <c r="I51" i="24"/>
  <c r="AN50" i="24"/>
  <c r="P50" i="24"/>
  <c r="H50" i="24"/>
  <c r="AM49" i="24"/>
  <c r="AE49" i="24"/>
  <c r="W49" i="24"/>
  <c r="O49" i="24"/>
  <c r="G49" i="24"/>
  <c r="AL48" i="24"/>
  <c r="AD48" i="24"/>
  <c r="V48" i="24"/>
  <c r="N48" i="24"/>
  <c r="F48" i="24"/>
  <c r="AK47" i="24"/>
  <c r="AC47" i="24"/>
  <c r="U47" i="24"/>
  <c r="M47" i="24"/>
  <c r="E47" i="24"/>
  <c r="AJ46" i="24"/>
  <c r="AB46" i="24"/>
  <c r="T46" i="24"/>
  <c r="L46" i="24"/>
  <c r="D46" i="24"/>
  <c r="AI45" i="24"/>
  <c r="AA45" i="24"/>
  <c r="S45" i="24"/>
  <c r="K45" i="24"/>
  <c r="C45" i="24"/>
  <c r="AH44" i="24"/>
  <c r="Z44" i="24"/>
  <c r="R44" i="24"/>
  <c r="J44" i="24"/>
  <c r="B44" i="24"/>
  <c r="AG43" i="24"/>
  <c r="Y43" i="24"/>
  <c r="Q43" i="24"/>
  <c r="I43" i="24"/>
  <c r="AN42" i="24"/>
  <c r="AF42" i="24"/>
  <c r="X42" i="24"/>
  <c r="P42" i="24"/>
  <c r="H42" i="24"/>
  <c r="AM41" i="24"/>
  <c r="AE41" i="24"/>
  <c r="W41" i="24"/>
  <c r="O41" i="24"/>
  <c r="G41" i="24"/>
  <c r="AL40" i="24"/>
  <c r="AD40" i="24"/>
  <c r="V40" i="24"/>
  <c r="N40" i="24"/>
  <c r="F40" i="24"/>
  <c r="AI39" i="24"/>
  <c r="Z39" i="24"/>
  <c r="Q39" i="24"/>
  <c r="H39" i="24"/>
  <c r="AL38" i="24"/>
  <c r="X38" i="24"/>
  <c r="J38" i="24"/>
  <c r="AL37" i="24"/>
  <c r="X37" i="24"/>
  <c r="M37" i="24"/>
  <c r="AL36" i="24"/>
  <c r="X36" i="24"/>
  <c r="M36" i="24"/>
  <c r="AK35" i="24"/>
  <c r="U35" i="24"/>
  <c r="E35" i="24"/>
  <c r="AB34" i="24"/>
  <c r="L34" i="24"/>
  <c r="AI33" i="24"/>
  <c r="S33" i="24"/>
  <c r="C33" i="24"/>
  <c r="Z32" i="24"/>
  <c r="J32" i="24"/>
  <c r="AG31" i="24"/>
  <c r="Q31" i="24"/>
  <c r="AN30" i="24"/>
  <c r="X30" i="24"/>
  <c r="H30" i="24"/>
  <c r="Y29" i="24"/>
  <c r="F29" i="24"/>
  <c r="U28" i="24"/>
  <c r="AG27" i="24"/>
  <c r="I27" i="24"/>
  <c r="T26" i="24"/>
  <c r="U25" i="24"/>
  <c r="AC24" i="24"/>
  <c r="AH23" i="24"/>
  <c r="AI22" i="24"/>
  <c r="D22" i="24"/>
  <c r="I21" i="24"/>
  <c r="G20" i="24"/>
  <c r="AM18" i="24"/>
  <c r="L17" i="24"/>
  <c r="AB14" i="24"/>
  <c r="G11" i="24"/>
  <c r="C7" i="24"/>
  <c r="AL49" i="24"/>
  <c r="AD49" i="24"/>
  <c r="V49" i="24"/>
  <c r="N49" i="24"/>
  <c r="F49" i="24"/>
  <c r="AK48" i="24"/>
  <c r="AC48" i="24"/>
  <c r="U48" i="24"/>
  <c r="M48" i="24"/>
  <c r="E48" i="24"/>
  <c r="AJ47" i="24"/>
  <c r="AB47" i="24"/>
  <c r="T47" i="24"/>
  <c r="L47" i="24"/>
  <c r="D47" i="24"/>
  <c r="AI46" i="24"/>
  <c r="AA46" i="24"/>
  <c r="S46" i="24"/>
  <c r="K46" i="24"/>
  <c r="C46" i="24"/>
  <c r="AH45" i="24"/>
  <c r="Z45" i="24"/>
  <c r="R45" i="24"/>
  <c r="J45" i="24"/>
  <c r="B45" i="24"/>
  <c r="AG44" i="24"/>
  <c r="Y44" i="24"/>
  <c r="Q44" i="24"/>
  <c r="I44" i="24"/>
  <c r="AN43" i="24"/>
  <c r="AF43" i="24"/>
  <c r="X43" i="24"/>
  <c r="P43" i="24"/>
  <c r="H43" i="24"/>
  <c r="AM42" i="24"/>
  <c r="AE42" i="24"/>
  <c r="W42" i="24"/>
  <c r="O42" i="24"/>
  <c r="G42" i="24"/>
  <c r="AL41" i="24"/>
  <c r="AD41" i="24"/>
  <c r="V41" i="24"/>
  <c r="N41" i="24"/>
  <c r="F41" i="24"/>
  <c r="AK40" i="24"/>
  <c r="AC40" i="24"/>
  <c r="U40" i="24"/>
  <c r="M40" i="24"/>
  <c r="D40" i="24"/>
  <c r="AH39" i="24"/>
  <c r="Y39" i="24"/>
  <c r="P39" i="24"/>
  <c r="G39" i="24"/>
  <c r="AH38" i="24"/>
  <c r="W38" i="24"/>
  <c r="I38" i="24"/>
  <c r="AK37" i="24"/>
  <c r="W37" i="24"/>
  <c r="I37" i="24"/>
  <c r="AK36" i="24"/>
  <c r="W36" i="24"/>
  <c r="L36" i="24"/>
  <c r="AJ35" i="24"/>
  <c r="T35" i="24"/>
  <c r="D35" i="24"/>
  <c r="AA34" i="24"/>
  <c r="K34" i="24"/>
  <c r="AH33" i="24"/>
  <c r="R33" i="24"/>
  <c r="B33" i="24"/>
  <c r="Y32" i="24"/>
  <c r="I32" i="24"/>
  <c r="AF31" i="24"/>
  <c r="P31" i="24"/>
  <c r="AM30" i="24"/>
  <c r="W30" i="24"/>
  <c r="G30" i="24"/>
  <c r="X29" i="24"/>
  <c r="AN28" i="24"/>
  <c r="R28" i="24"/>
  <c r="AF27" i="24"/>
  <c r="D27" i="24"/>
  <c r="O26" i="24"/>
  <c r="T25" i="24"/>
  <c r="U24" i="24"/>
  <c r="AC23" i="24"/>
  <c r="AH22" i="24"/>
  <c r="AI21" i="24"/>
  <c r="G21" i="24"/>
  <c r="C20" i="24"/>
  <c r="Y18" i="24"/>
  <c r="F17" i="24"/>
  <c r="R14" i="24"/>
  <c r="AD10" i="24"/>
  <c r="Y3" i="24"/>
  <c r="AK49" i="24"/>
  <c r="AC49" i="24"/>
  <c r="U49" i="24"/>
  <c r="M49" i="24"/>
  <c r="E49" i="24"/>
  <c r="AJ48" i="24"/>
  <c r="AB48" i="24"/>
  <c r="T48" i="24"/>
  <c r="L48" i="24"/>
  <c r="D48" i="24"/>
  <c r="AI47" i="24"/>
  <c r="AA47" i="24"/>
  <c r="S47" i="24"/>
  <c r="K47" i="24"/>
  <c r="C47" i="24"/>
  <c r="AH46" i="24"/>
  <c r="Z46" i="24"/>
  <c r="R46" i="24"/>
  <c r="J46" i="24"/>
  <c r="B46" i="24"/>
  <c r="AG45" i="24"/>
  <c r="Y45" i="24"/>
  <c r="Q45" i="24"/>
  <c r="I45" i="24"/>
  <c r="AN44" i="24"/>
  <c r="AF44" i="24"/>
  <c r="X44" i="24"/>
  <c r="P44" i="24"/>
  <c r="H44" i="24"/>
  <c r="AM43" i="24"/>
  <c r="AE43" i="24"/>
  <c r="W43" i="24"/>
  <c r="O43" i="24"/>
  <c r="G43" i="24"/>
  <c r="AL42" i="24"/>
  <c r="AD42" i="24"/>
  <c r="V42" i="24"/>
  <c r="N42" i="24"/>
  <c r="F42" i="24"/>
  <c r="AK41" i="24"/>
  <c r="AC41" i="24"/>
  <c r="U41" i="24"/>
  <c r="M41" i="24"/>
  <c r="E41" i="24"/>
  <c r="AJ40" i="24"/>
  <c r="AB40" i="24"/>
  <c r="T40" i="24"/>
  <c r="L40" i="24"/>
  <c r="C40" i="24"/>
  <c r="AG39" i="24"/>
  <c r="X39" i="24"/>
  <c r="O39" i="24"/>
  <c r="F39" i="24"/>
  <c r="AG38" i="24"/>
  <c r="V38" i="24"/>
  <c r="H38" i="24"/>
  <c r="AG37" i="24"/>
  <c r="V37" i="24"/>
  <c r="H37" i="24"/>
  <c r="AJ36" i="24"/>
  <c r="V36" i="24"/>
  <c r="H36" i="24"/>
  <c r="AE35" i="24"/>
  <c r="O35" i="24"/>
  <c r="AL34" i="24"/>
  <c r="V34" i="24"/>
  <c r="F34" i="24"/>
  <c r="AC33" i="24"/>
  <c r="M33" i="24"/>
  <c r="AJ32" i="24"/>
  <c r="T32" i="24"/>
  <c r="D32" i="24"/>
  <c r="AA31" i="24"/>
  <c r="K31" i="24"/>
  <c r="AH30" i="24"/>
  <c r="R30" i="24"/>
  <c r="B30" i="24"/>
  <c r="V29" i="24"/>
  <c r="AM28" i="24"/>
  <c r="M28" i="24"/>
  <c r="AD27" i="24"/>
  <c r="AN26" i="24"/>
  <c r="G26" i="24"/>
  <c r="O25" i="24"/>
  <c r="T24" i="24"/>
  <c r="U23" i="24"/>
  <c r="AF22" i="24"/>
  <c r="AH21" i="24"/>
  <c r="AL20" i="24"/>
  <c r="AN19" i="24"/>
  <c r="U18" i="24"/>
  <c r="AC16" i="24"/>
  <c r="B14" i="24"/>
  <c r="G10" i="24"/>
  <c r="AA6" i="24"/>
  <c r="AS2" i="24"/>
  <c r="AU2" i="24"/>
  <c r="AR2" i="24"/>
  <c r="AQ2" i="24"/>
  <c r="AU97" i="24"/>
  <c r="AQ97" i="21" s="1"/>
  <c r="AQ97" i="24"/>
  <c r="AR97" i="24"/>
  <c r="AS97" i="24"/>
  <c r="AU81" i="24"/>
  <c r="AQ81" i="21" s="1"/>
  <c r="AQ81" i="24"/>
  <c r="AR81" i="24"/>
  <c r="AS81" i="24"/>
  <c r="AQ99" i="24"/>
  <c r="AQ91" i="24"/>
  <c r="AQ83" i="24"/>
  <c r="AU100" i="24"/>
  <c r="AQ100" i="21" s="1"/>
  <c r="AQ100" i="24"/>
  <c r="AR100" i="24"/>
  <c r="AS100" i="24"/>
  <c r="AU84" i="24"/>
  <c r="AQ84" i="21" s="1"/>
  <c r="AQ84" i="24"/>
  <c r="AR84" i="24"/>
  <c r="AS84" i="24"/>
  <c r="AR101" i="24"/>
  <c r="AR93" i="24"/>
  <c r="AR85" i="24"/>
  <c r="AR77" i="24"/>
  <c r="AU92" i="24"/>
  <c r="AQ92" i="21" s="1"/>
  <c r="AQ92" i="24"/>
  <c r="AR92" i="24"/>
  <c r="AS92" i="24"/>
  <c r="AQ102" i="24"/>
  <c r="AQ94" i="24"/>
  <c r="AQ86" i="24"/>
  <c r="AQ78" i="24"/>
  <c r="AQ95" i="24"/>
  <c r="AQ87" i="24"/>
  <c r="AQ79" i="24"/>
  <c r="AQ96" i="24"/>
  <c r="AR96" i="24"/>
  <c r="AS96" i="24"/>
  <c r="AU96" i="24"/>
  <c r="AQ96" i="21" s="1"/>
  <c r="AQ88" i="24"/>
  <c r="AR88" i="24"/>
  <c r="AS88" i="24"/>
  <c r="AU88" i="24"/>
  <c r="AQ88" i="21" s="1"/>
  <c r="AQ80" i="24"/>
  <c r="AR80" i="24"/>
  <c r="AS80" i="24"/>
  <c r="AU80" i="24"/>
  <c r="AQ80" i="21" s="1"/>
  <c r="AU89" i="24"/>
  <c r="AQ89" i="21" s="1"/>
  <c r="AQ89" i="24"/>
  <c r="AR89" i="24"/>
  <c r="AS89" i="24"/>
  <c r="AS98" i="24"/>
  <c r="AS90" i="24"/>
  <c r="AS82" i="24"/>
  <c r="AS74" i="24"/>
  <c r="AQ101" i="24"/>
  <c r="AR98" i="24"/>
  <c r="AS95" i="24"/>
  <c r="AQ93" i="24"/>
  <c r="AR90" i="24"/>
  <c r="AS87" i="24"/>
  <c r="AQ85" i="24"/>
  <c r="AR82" i="24"/>
  <c r="AS79" i="24"/>
  <c r="AQ77" i="24"/>
  <c r="AR74" i="24"/>
  <c r="AQ98" i="24"/>
  <c r="AR95" i="24"/>
  <c r="AQ90" i="24"/>
  <c r="AR87" i="24"/>
  <c r="AQ82" i="24"/>
  <c r="AR79" i="24"/>
  <c r="AQ74" i="24"/>
  <c r="AU95" i="24"/>
  <c r="AQ95" i="21" s="1"/>
  <c r="AU87" i="24"/>
  <c r="AQ87" i="21" s="1"/>
  <c r="AU79" i="24"/>
  <c r="AQ79" i="21" s="1"/>
  <c r="AU102" i="24"/>
  <c r="AQ102" i="21" s="1"/>
  <c r="AU94" i="24"/>
  <c r="AQ94" i="21" s="1"/>
  <c r="AU86" i="24"/>
  <c r="AQ86" i="21" s="1"/>
  <c r="AU78" i="24"/>
  <c r="AQ78" i="21" s="1"/>
  <c r="AS102" i="24"/>
  <c r="AS94" i="24"/>
  <c r="AS86" i="24"/>
  <c r="AS78" i="24"/>
  <c r="AU101" i="24"/>
  <c r="AQ101" i="21" s="1"/>
  <c r="AU93" i="24"/>
  <c r="AQ93" i="21" s="1"/>
  <c r="AU85" i="24"/>
  <c r="AQ85" i="21" s="1"/>
  <c r="AU77" i="24"/>
  <c r="AQ77" i="21" s="1"/>
  <c r="AR102" i="24"/>
  <c r="AS99" i="24"/>
  <c r="AR94" i="24"/>
  <c r="AS91" i="24"/>
  <c r="AR86" i="24"/>
  <c r="AS83" i="24"/>
  <c r="AR78" i="24"/>
  <c r="AR99" i="24"/>
  <c r="AR91" i="24"/>
  <c r="AR83" i="24"/>
  <c r="AU99" i="24"/>
  <c r="AQ99" i="21" s="1"/>
  <c r="AU91" i="24"/>
  <c r="AQ91" i="21" s="1"/>
  <c r="AU83" i="24"/>
  <c r="AQ83" i="21" s="1"/>
  <c r="AS101" i="24"/>
  <c r="AS93" i="24"/>
  <c r="AS85" i="24"/>
  <c r="AS77" i="24"/>
  <c r="AU98" i="24"/>
  <c r="AQ98" i="21" s="1"/>
  <c r="AU90" i="24"/>
  <c r="AQ90" i="21" s="1"/>
  <c r="AU82" i="24"/>
  <c r="AQ82" i="21" s="1"/>
  <c r="AU74" i="24"/>
  <c r="AQ74" i="21" s="1"/>
  <c r="AQ76" i="24" l="1"/>
  <c r="AU76" i="24"/>
  <c r="AQ76" i="21" s="1"/>
  <c r="AQ2" i="21"/>
  <c r="AR55" i="24"/>
  <c r="AS66" i="24"/>
  <c r="AR59" i="24"/>
  <c r="AS64" i="24"/>
  <c r="AR69" i="24"/>
  <c r="AR68" i="24"/>
  <c r="AR54" i="24"/>
  <c r="AU66" i="24"/>
  <c r="AQ66" i="21" s="1"/>
  <c r="AS69" i="24"/>
  <c r="AS59" i="24"/>
  <c r="AU64" i="24"/>
  <c r="AQ64" i="21" s="1"/>
  <c r="AR61" i="24"/>
  <c r="AR52" i="24"/>
  <c r="AR66" i="24"/>
  <c r="AQ71" i="24"/>
  <c r="AS73" i="24"/>
  <c r="AR62" i="24"/>
  <c r="AT62" i="24" s="1"/>
  <c r="AQ58" i="24"/>
  <c r="AS57" i="24"/>
  <c r="AS63" i="24"/>
  <c r="AQ61" i="24"/>
  <c r="AS52" i="24"/>
  <c r="AR73" i="24"/>
  <c r="AQ56" i="24"/>
  <c r="AU60" i="24"/>
  <c r="AQ60" i="21" s="1"/>
  <c r="AU65" i="24"/>
  <c r="AQ65" i="21" s="1"/>
  <c r="AQ69" i="24"/>
  <c r="AT69" i="24" s="1"/>
  <c r="AQ72" i="24"/>
  <c r="AS58" i="24"/>
  <c r="AR57" i="24"/>
  <c r="AQ60" i="24"/>
  <c r="AR63" i="24"/>
  <c r="AS68" i="24"/>
  <c r="AQ75" i="24"/>
  <c r="AR56" i="24"/>
  <c r="AT56" i="24" s="1"/>
  <c r="AU69" i="24"/>
  <c r="AQ69" i="21" s="1"/>
  <c r="AQ65" i="24"/>
  <c r="AR72" i="24"/>
  <c r="AQ3" i="24"/>
  <c r="AU55" i="24"/>
  <c r="AQ55" i="21" s="1"/>
  <c r="AS54" i="24"/>
  <c r="AQ70" i="24"/>
  <c r="AS65" i="24"/>
  <c r="AU53" i="24"/>
  <c r="AQ53" i="21" s="1"/>
  <c r="AU73" i="24"/>
  <c r="AQ73" i="21" s="1"/>
  <c r="AS62" i="24"/>
  <c r="AU56" i="24"/>
  <c r="AQ56" i="21" s="1"/>
  <c r="AU59" i="24"/>
  <c r="AQ59" i="21" s="1"/>
  <c r="AU63" i="24"/>
  <c r="AQ63" i="21" s="1"/>
  <c r="AU61" i="24"/>
  <c r="AQ61" i="21" s="1"/>
  <c r="AR64" i="24"/>
  <c r="AQ55" i="24"/>
  <c r="AQ62" i="24"/>
  <c r="AU68" i="24"/>
  <c r="AQ68" i="21" s="1"/>
  <c r="AR58" i="24"/>
  <c r="AS60" i="24"/>
  <c r="AU52" i="24"/>
  <c r="AQ52" i="21" s="1"/>
  <c r="AQ57" i="24"/>
  <c r="AQ66" i="24"/>
  <c r="AS55" i="24"/>
  <c r="AU67" i="24"/>
  <c r="AQ67" i="21" s="1"/>
  <c r="AU72" i="24"/>
  <c r="AQ72" i="21" s="1"/>
  <c r="AS75" i="24"/>
  <c r="AR60" i="24"/>
  <c r="AU71" i="24"/>
  <c r="AQ71" i="21" s="1"/>
  <c r="AQ59" i="24"/>
  <c r="AS61" i="24"/>
  <c r="AU75" i="24"/>
  <c r="AQ75" i="21" s="1"/>
  <c r="AS70" i="24"/>
  <c r="AR65" i="24"/>
  <c r="AS56" i="24"/>
  <c r="AS72" i="24"/>
  <c r="AQ63" i="24"/>
  <c r="AT63" i="24" s="1"/>
  <c r="AR53" i="24"/>
  <c r="AR76" i="24"/>
  <c r="AQ67" i="24"/>
  <c r="AQ54" i="24"/>
  <c r="AQ52" i="24"/>
  <c r="AQ73" i="24"/>
  <c r="AT73" i="24" s="1"/>
  <c r="AQ68" i="24"/>
  <c r="AR75" i="24"/>
  <c r="AR70" i="24"/>
  <c r="AU62" i="24"/>
  <c r="AQ62" i="21" s="1"/>
  <c r="AR71" i="24"/>
  <c r="AU57" i="24"/>
  <c r="AQ57" i="21" s="1"/>
  <c r="AQ64" i="24"/>
  <c r="F61" i="26"/>
  <c r="F36" i="26"/>
  <c r="AR67" i="24"/>
  <c r="AT67" i="24" s="1"/>
  <c r="AS67" i="24"/>
  <c r="AU54" i="24"/>
  <c r="AQ54" i="21" s="1"/>
  <c r="AS71" i="24"/>
  <c r="AQ53" i="24"/>
  <c r="AS53" i="24"/>
  <c r="AU70" i="24"/>
  <c r="AQ70" i="21" s="1"/>
  <c r="AU51" i="24"/>
  <c r="AQ51" i="21" s="1"/>
  <c r="AU6" i="24"/>
  <c r="AQ6" i="21" s="1"/>
  <c r="AU4" i="24"/>
  <c r="AQ4" i="21" s="1"/>
  <c r="AS28" i="24"/>
  <c r="AU50" i="24"/>
  <c r="AQ50" i="21" s="1"/>
  <c r="AS19" i="24"/>
  <c r="AQ16" i="24"/>
  <c r="AR25" i="24"/>
  <c r="AQ4" i="24"/>
  <c r="AQ51" i="24"/>
  <c r="AT97" i="24"/>
  <c r="AS40" i="24"/>
  <c r="AQ42" i="24"/>
  <c r="AQ47" i="24"/>
  <c r="AR7" i="24"/>
  <c r="AT2" i="24"/>
  <c r="AS12" i="24"/>
  <c r="AR34" i="24"/>
  <c r="AR44" i="24"/>
  <c r="AR13" i="24"/>
  <c r="AQ38" i="24"/>
  <c r="AU18" i="24"/>
  <c r="AQ18" i="21" s="1"/>
  <c r="AU48" i="24"/>
  <c r="AQ48" i="21" s="1"/>
  <c r="AU37" i="24"/>
  <c r="AQ37" i="21" s="1"/>
  <c r="AQ41" i="24"/>
  <c r="AS37" i="24"/>
  <c r="AS30" i="24"/>
  <c r="AU39" i="24"/>
  <c r="AQ39" i="21" s="1"/>
  <c r="AS6" i="24"/>
  <c r="AQ9" i="24"/>
  <c r="AU47" i="24"/>
  <c r="AQ47" i="21" s="1"/>
  <c r="AQ10" i="24"/>
  <c r="AQ13" i="24"/>
  <c r="AT93" i="24"/>
  <c r="AT84" i="24"/>
  <c r="AU32" i="24"/>
  <c r="AQ32" i="21" s="1"/>
  <c r="AU11" i="24"/>
  <c r="AQ11" i="21" s="1"/>
  <c r="AR14" i="24"/>
  <c r="AR12" i="24"/>
  <c r="AQ25" i="24"/>
  <c r="AT25" i="24" s="1"/>
  <c r="AS22" i="24"/>
  <c r="AR50" i="24"/>
  <c r="AQ6" i="24"/>
  <c r="AS7" i="24"/>
  <c r="AU26" i="24"/>
  <c r="AQ26" i="21" s="1"/>
  <c r="AR31" i="24"/>
  <c r="AQ37" i="24"/>
  <c r="AQ46" i="24"/>
  <c r="AS48" i="24"/>
  <c r="AR21" i="24"/>
  <c r="AR40" i="24"/>
  <c r="AR45" i="24"/>
  <c r="AU25" i="24"/>
  <c r="AQ25" i="21" s="1"/>
  <c r="AU41" i="24"/>
  <c r="AQ41" i="21" s="1"/>
  <c r="AS42" i="24"/>
  <c r="AQ44" i="24"/>
  <c r="AS38" i="24"/>
  <c r="AQ39" i="24"/>
  <c r="AR18" i="24"/>
  <c r="AU13" i="24"/>
  <c r="AQ13" i="21" s="1"/>
  <c r="AQ23" i="24"/>
  <c r="AR16" i="24"/>
  <c r="AR37" i="24"/>
  <c r="AQ18" i="24"/>
  <c r="AR4" i="24"/>
  <c r="AT4" i="24" s="1"/>
  <c r="AR36" i="24"/>
  <c r="AU12" i="24"/>
  <c r="AQ12" i="21" s="1"/>
  <c r="AQ31" i="24"/>
  <c r="AS43" i="24"/>
  <c r="AS23" i="24"/>
  <c r="AS24" i="24"/>
  <c r="AR3" i="24"/>
  <c r="AT3" i="24" s="1"/>
  <c r="AQ14" i="24"/>
  <c r="AR6" i="24"/>
  <c r="AR19" i="24"/>
  <c r="AR22" i="24"/>
  <c r="AQ7" i="24"/>
  <c r="AT77" i="24"/>
  <c r="AT81" i="24"/>
  <c r="AS34" i="24"/>
  <c r="AQ32" i="24"/>
  <c r="AS11" i="24"/>
  <c r="AS20" i="24"/>
  <c r="AU7" i="24"/>
  <c r="AQ7" i="21" s="1"/>
  <c r="AU15" i="24"/>
  <c r="AQ15" i="21" s="1"/>
  <c r="AU30" i="24"/>
  <c r="AQ30" i="21" s="1"/>
  <c r="AQ26" i="24"/>
  <c r="AR10" i="24"/>
  <c r="AT101" i="24"/>
  <c r="AU16" i="24"/>
  <c r="AQ16" i="21" s="1"/>
  <c r="AR41" i="24"/>
  <c r="AS46" i="24"/>
  <c r="AU49" i="24"/>
  <c r="AQ49" i="21" s="1"/>
  <c r="AR51" i="24"/>
  <c r="AU33" i="24"/>
  <c r="AQ33" i="21" s="1"/>
  <c r="AU44" i="24"/>
  <c r="AQ44" i="21" s="1"/>
  <c r="AR47" i="24"/>
  <c r="AS16" i="24"/>
  <c r="AR26" i="24"/>
  <c r="AU28" i="24"/>
  <c r="AQ28" i="21" s="1"/>
  <c r="AU9" i="24"/>
  <c r="AQ9" i="21" s="1"/>
  <c r="AU23" i="24"/>
  <c r="AQ23" i="21" s="1"/>
  <c r="AS32" i="24"/>
  <c r="AQ36" i="24"/>
  <c r="AU38" i="24"/>
  <c r="AQ38" i="21" s="1"/>
  <c r="AQ15" i="24"/>
  <c r="AR8" i="24"/>
  <c r="AQ29" i="24"/>
  <c r="AS27" i="24"/>
  <c r="AR24" i="24"/>
  <c r="AQ22" i="24"/>
  <c r="AR35" i="24"/>
  <c r="AR30" i="24"/>
  <c r="AQ21" i="24"/>
  <c r="AU17" i="24"/>
  <c r="AQ17" i="21" s="1"/>
  <c r="AS10" i="24"/>
  <c r="AR29" i="24"/>
  <c r="AU27" i="24"/>
  <c r="AQ27" i="21" s="1"/>
  <c r="AU22" i="24"/>
  <c r="AQ22" i="21" s="1"/>
  <c r="AQ5" i="24"/>
  <c r="AS8" i="24"/>
  <c r="AQ12" i="24"/>
  <c r="AS21" i="24"/>
  <c r="AR46" i="24"/>
  <c r="AR23" i="24"/>
  <c r="AS25" i="24"/>
  <c r="AU36" i="24"/>
  <c r="AQ36" i="21" s="1"/>
  <c r="AU21" i="24"/>
  <c r="AQ21" i="21" s="1"/>
  <c r="AS9" i="24"/>
  <c r="AS41" i="24"/>
  <c r="AU10" i="24"/>
  <c r="AQ10" i="21" s="1"/>
  <c r="AS29" i="24"/>
  <c r="AR11" i="24"/>
  <c r="AS51" i="24"/>
  <c r="AU29" i="24"/>
  <c r="AQ29" i="21" s="1"/>
  <c r="AQ28" i="24"/>
  <c r="AU46" i="24"/>
  <c r="AQ46" i="21" s="1"/>
  <c r="AU31" i="24"/>
  <c r="AQ31" i="21" s="1"/>
  <c r="AQ50" i="24"/>
  <c r="AT82" i="24"/>
  <c r="AS31" i="24"/>
  <c r="AS50" i="24"/>
  <c r="AR9" i="24"/>
  <c r="AQ8" i="24"/>
  <c r="AQ24" i="24"/>
  <c r="AQ40" i="24"/>
  <c r="AQ30" i="24"/>
  <c r="AT94" i="24"/>
  <c r="AS44" i="24"/>
  <c r="AQ43" i="24"/>
  <c r="AQ27" i="24"/>
  <c r="AR32" i="24"/>
  <c r="AS45" i="24"/>
  <c r="AT76" i="24"/>
  <c r="AU34" i="24"/>
  <c r="AQ34" i="21" s="1"/>
  <c r="AS39" i="24"/>
  <c r="AR48" i="24"/>
  <c r="AU42" i="24"/>
  <c r="AQ42" i="21" s="1"/>
  <c r="AU5" i="24"/>
  <c r="AQ5" i="21" s="1"/>
  <c r="AR43" i="24"/>
  <c r="AS3" i="24"/>
  <c r="AS35" i="24"/>
  <c r="AU14" i="24"/>
  <c r="AQ14" i="21" s="1"/>
  <c r="AR28" i="24"/>
  <c r="AR15" i="24"/>
  <c r="AS36" i="24"/>
  <c r="AT66" i="24"/>
  <c r="AR42" i="24"/>
  <c r="AT85" i="24"/>
  <c r="AS18" i="24"/>
  <c r="AR17" i="24"/>
  <c r="AR33" i="24"/>
  <c r="AR49" i="24"/>
  <c r="AQ48" i="24"/>
  <c r="AQ35" i="24"/>
  <c r="AR27" i="24"/>
  <c r="AU45" i="24"/>
  <c r="AQ45" i="21" s="1"/>
  <c r="AT60" i="24"/>
  <c r="AQ19" i="24"/>
  <c r="AU19" i="24"/>
  <c r="AQ19" i="21" s="1"/>
  <c r="AS49" i="24"/>
  <c r="AR5" i="24"/>
  <c r="AS5" i="24"/>
  <c r="AU35" i="24"/>
  <c r="AQ35" i="21" s="1"/>
  <c r="AR38" i="24"/>
  <c r="AS14" i="24"/>
  <c r="AR39" i="24"/>
  <c r="AU3" i="24"/>
  <c r="AQ3" i="21" s="1"/>
  <c r="AQ45" i="24"/>
  <c r="AS26" i="24"/>
  <c r="AQ17" i="24"/>
  <c r="AQ33" i="24"/>
  <c r="AQ49" i="24"/>
  <c r="AU8" i="24"/>
  <c r="AQ8" i="21" s="1"/>
  <c r="AU24" i="24"/>
  <c r="AQ24" i="21" s="1"/>
  <c r="AU40" i="24"/>
  <c r="AQ40" i="21" s="1"/>
  <c r="AU20" i="24"/>
  <c r="AQ20" i="21" s="1"/>
  <c r="AS4" i="24"/>
  <c r="AS15" i="24"/>
  <c r="AR20" i="24"/>
  <c r="AQ34" i="24"/>
  <c r="AS17" i="24"/>
  <c r="AS33" i="24"/>
  <c r="AS13" i="24"/>
  <c r="AU43" i="24"/>
  <c r="AQ43" i="21" s="1"/>
  <c r="AQ20" i="24"/>
  <c r="AT74" i="24"/>
  <c r="AS47" i="24"/>
  <c r="AT78" i="24"/>
  <c r="AT92" i="24"/>
  <c r="AT100" i="24"/>
  <c r="AQ11" i="24"/>
  <c r="AT55" i="24"/>
  <c r="AT86" i="24"/>
  <c r="AT59" i="24"/>
  <c r="AT72" i="24"/>
  <c r="AT88" i="24"/>
  <c r="AT57" i="24"/>
  <c r="AT71" i="24"/>
  <c r="AT102" i="24"/>
  <c r="AT75" i="24"/>
  <c r="AT90" i="24"/>
  <c r="AT79" i="24"/>
  <c r="AT83" i="24"/>
  <c r="AT61" i="24"/>
  <c r="AT89" i="24"/>
  <c r="AT87" i="24"/>
  <c r="AT91" i="24"/>
  <c r="AT98" i="24"/>
  <c r="AT64" i="24"/>
  <c r="AT80" i="24"/>
  <c r="AT96" i="24"/>
  <c r="AT95" i="24"/>
  <c r="AT99" i="24"/>
  <c r="AT70" i="24"/>
  <c r="AT68" i="24" l="1"/>
  <c r="B6" i="28"/>
  <c r="B11" i="28"/>
  <c r="B4" i="28"/>
  <c r="B34" i="28"/>
  <c r="B39" i="28"/>
  <c r="B25" i="28"/>
  <c r="B31" i="28"/>
  <c r="B30" i="28"/>
  <c r="B35" i="28"/>
  <c r="B3" i="28"/>
  <c r="AT54" i="24"/>
  <c r="B24" i="28"/>
  <c r="B19" i="28"/>
  <c r="B16" i="28"/>
  <c r="B36" i="28"/>
  <c r="B10" i="28"/>
  <c r="B7" i="28"/>
  <c r="B14" i="28"/>
  <c r="B12" i="28"/>
  <c r="B20" i="28"/>
  <c r="B40" i="28"/>
  <c r="B32" i="28"/>
  <c r="B17" i="28"/>
  <c r="B29" i="28"/>
  <c r="B18" i="28"/>
  <c r="B5" i="28"/>
  <c r="B15" i="28"/>
  <c r="B27" i="28"/>
  <c r="B28" i="28"/>
  <c r="B13" i="28"/>
  <c r="B33" i="28"/>
  <c r="B9" i="28"/>
  <c r="B22" i="28"/>
  <c r="B26" i="28"/>
  <c r="B37" i="28"/>
  <c r="B41" i="28"/>
  <c r="B23" i="28"/>
  <c r="B8" i="28"/>
  <c r="B21" i="28"/>
  <c r="B38" i="28"/>
  <c r="J29" i="26"/>
  <c r="P29" i="26" s="1"/>
  <c r="AT58" i="24"/>
  <c r="AT65" i="24"/>
  <c r="J27" i="26"/>
  <c r="P27" i="26" s="1"/>
  <c r="AT53" i="24"/>
  <c r="AT52" i="24"/>
  <c r="AT45" i="24"/>
  <c r="AT13" i="24"/>
  <c r="AT51" i="24"/>
  <c r="AT7" i="24"/>
  <c r="AT19" i="24"/>
  <c r="AT31" i="24"/>
  <c r="AT6" i="24"/>
  <c r="J37" i="26"/>
  <c r="P37" i="26" s="1"/>
  <c r="J3" i="26"/>
  <c r="P3" i="26" s="1"/>
  <c r="J40" i="26"/>
  <c r="P40" i="26" s="1"/>
  <c r="O40" i="26" s="1"/>
  <c r="J32" i="26"/>
  <c r="P32" i="26" s="1"/>
  <c r="J10" i="26"/>
  <c r="P10" i="26" s="1"/>
  <c r="J12" i="26"/>
  <c r="P12" i="26" s="1"/>
  <c r="J9" i="26"/>
  <c r="P9" i="26" s="1"/>
  <c r="J34" i="26"/>
  <c r="P34" i="26" s="1"/>
  <c r="J23" i="26"/>
  <c r="P23" i="26" s="1"/>
  <c r="J19" i="26"/>
  <c r="P19" i="26" s="1"/>
  <c r="J14" i="26"/>
  <c r="P14" i="26" s="1"/>
  <c r="J16" i="26"/>
  <c r="P16" i="26" s="1"/>
  <c r="J13" i="26"/>
  <c r="P13" i="26" s="1"/>
  <c r="J35" i="26"/>
  <c r="P35" i="26" s="1"/>
  <c r="J18" i="26"/>
  <c r="P18" i="26" s="1"/>
  <c r="J20" i="26"/>
  <c r="P20" i="26" s="1"/>
  <c r="J17" i="26"/>
  <c r="P17" i="26" s="1"/>
  <c r="J7" i="26"/>
  <c r="P7" i="26" s="1"/>
  <c r="J22" i="26"/>
  <c r="P22" i="26" s="1"/>
  <c r="J24" i="26"/>
  <c r="P24" i="26" s="1"/>
  <c r="J21" i="26"/>
  <c r="P21" i="26" s="1"/>
  <c r="J6" i="26"/>
  <c r="P6" i="26" s="1"/>
  <c r="J26" i="26"/>
  <c r="P26" i="26" s="1"/>
  <c r="J8" i="26"/>
  <c r="P8" i="26" s="1"/>
  <c r="J28" i="26"/>
  <c r="P28" i="26" s="1"/>
  <c r="J11" i="26"/>
  <c r="P11" i="26" s="1"/>
  <c r="J5" i="26"/>
  <c r="P5" i="26" s="1"/>
  <c r="J25" i="26"/>
  <c r="P25" i="26" s="1"/>
  <c r="AT16" i="24"/>
  <c r="J2" i="26"/>
  <c r="J33" i="26"/>
  <c r="P33" i="26" s="1"/>
  <c r="AT39" i="24"/>
  <c r="J4" i="26"/>
  <c r="P4" i="26" s="1"/>
  <c r="AT50" i="24"/>
  <c r="J38" i="26"/>
  <c r="P38" i="26" s="1"/>
  <c r="J39" i="26"/>
  <c r="P39" i="26" s="1"/>
  <c r="AT41" i="24"/>
  <c r="AT34" i="24"/>
  <c r="AT40" i="24"/>
  <c r="AT12" i="24"/>
  <c r="J30" i="26"/>
  <c r="P30" i="26" s="1"/>
  <c r="J36" i="26"/>
  <c r="P36" i="26" s="1"/>
  <c r="J15" i="26"/>
  <c r="P15" i="26" s="1"/>
  <c r="J31" i="26"/>
  <c r="P31" i="26" s="1"/>
  <c r="AT38" i="24"/>
  <c r="AT42" i="24"/>
  <c r="AT23" i="24"/>
  <c r="AT47" i="24"/>
  <c r="AT8" i="24"/>
  <c r="AT9" i="24"/>
  <c r="AT18" i="24"/>
  <c r="AT44" i="24"/>
  <c r="AT10" i="24"/>
  <c r="AT15" i="24"/>
  <c r="AT48" i="24"/>
  <c r="AT46" i="24"/>
  <c r="AT32" i="24"/>
  <c r="AT24" i="24"/>
  <c r="AT26" i="24"/>
  <c r="AT21" i="24"/>
  <c r="AT22" i="24"/>
  <c r="AT43" i="24"/>
  <c r="AT35" i="24"/>
  <c r="AT14" i="24"/>
  <c r="AT17" i="24"/>
  <c r="AT36" i="24"/>
  <c r="AT37" i="24"/>
  <c r="AT29" i="24"/>
  <c r="AT33" i="24"/>
  <c r="AT5" i="24"/>
  <c r="AT27" i="24"/>
  <c r="AT30" i="24"/>
  <c r="AT28" i="24"/>
  <c r="AT11" i="24"/>
  <c r="AT49" i="24"/>
  <c r="AT20" i="24"/>
  <c r="O39" i="26" l="1"/>
  <c r="O31" i="26"/>
  <c r="O15" i="26"/>
  <c r="O21" i="26"/>
  <c r="O13" i="26"/>
  <c r="O10" i="26"/>
  <c r="O16" i="26"/>
  <c r="O32" i="26"/>
  <c r="O14" i="26"/>
  <c r="O3" i="26"/>
  <c r="O30" i="26"/>
  <c r="O37" i="26"/>
  <c r="O25" i="26"/>
  <c r="O38" i="26"/>
  <c r="O11" i="26"/>
  <c r="O8" i="26"/>
  <c r="O24" i="26"/>
  <c r="O22" i="26"/>
  <c r="O7" i="26"/>
  <c r="O19" i="26"/>
  <c r="O28" i="26"/>
  <c r="O23" i="26"/>
  <c r="O20" i="26"/>
  <c r="O33" i="26"/>
  <c r="O26" i="26"/>
  <c r="O18" i="26"/>
  <c r="O9" i="26"/>
  <c r="O27" i="26"/>
  <c r="O5" i="26"/>
  <c r="O36" i="26"/>
  <c r="O4" i="26"/>
  <c r="O17" i="26"/>
  <c r="O34" i="26"/>
  <c r="P2" i="26"/>
  <c r="O2" i="26" s="1"/>
  <c r="K2" i="26"/>
  <c r="K3" i="26" s="1"/>
  <c r="K4" i="26" s="1"/>
  <c r="K5" i="26" s="1"/>
  <c r="K6" i="26" s="1"/>
  <c r="K7" i="26" s="1"/>
  <c r="K8" i="26" s="1"/>
  <c r="K9" i="26" s="1"/>
  <c r="K10" i="26" s="1"/>
  <c r="K11" i="26" s="1"/>
  <c r="K12" i="26" s="1"/>
  <c r="K13" i="26" s="1"/>
  <c r="K14" i="26" s="1"/>
  <c r="K15" i="26" s="1"/>
  <c r="K16" i="26" s="1"/>
  <c r="K17" i="26" s="1"/>
  <c r="K18" i="26" s="1"/>
  <c r="K19" i="26" s="1"/>
  <c r="K20" i="26" s="1"/>
  <c r="K21" i="26" s="1"/>
  <c r="K22" i="26" s="1"/>
  <c r="K23" i="26" s="1"/>
  <c r="K24" i="26" s="1"/>
  <c r="K25" i="26" s="1"/>
  <c r="K26" i="26" s="1"/>
  <c r="K27" i="26" s="1"/>
  <c r="K28" i="26" s="1"/>
  <c r="K29" i="26" s="1"/>
  <c r="K30" i="26" s="1"/>
  <c r="K31" i="26" s="1"/>
  <c r="K32" i="26" s="1"/>
  <c r="K33" i="26" s="1"/>
  <c r="K34" i="26" s="1"/>
  <c r="K35" i="26" s="1"/>
  <c r="K36" i="26" s="1"/>
  <c r="K37" i="26" s="1"/>
  <c r="K38" i="26" s="1"/>
  <c r="K39" i="26" s="1"/>
  <c r="K40" i="26" s="1"/>
  <c r="O6" i="26"/>
  <c r="O35" i="26"/>
  <c r="O12" i="26"/>
  <c r="O29" i="26"/>
  <c r="AP25" i="21" l="1"/>
  <c r="AP15" i="21"/>
  <c r="AP36" i="21"/>
  <c r="AP94" i="21"/>
  <c r="AP9" i="21"/>
  <c r="AP76" i="21"/>
  <c r="AP77" i="21"/>
  <c r="AP69" i="21"/>
  <c r="AP20" i="21"/>
  <c r="AP39" i="21"/>
  <c r="AP34" i="21"/>
  <c r="AP64" i="21"/>
  <c r="AP30" i="21"/>
  <c r="AP43" i="21"/>
  <c r="AP8" i="21"/>
  <c r="AP29" i="21"/>
  <c r="AP101" i="21"/>
  <c r="AP99" i="21"/>
  <c r="AP33" i="21"/>
  <c r="AP92" i="21"/>
  <c r="AP28" i="21"/>
  <c r="AP2" i="21"/>
  <c r="AP31" i="21"/>
  <c r="AP11" i="21"/>
  <c r="AP97" i="21"/>
  <c r="AP21" i="21"/>
  <c r="AP16" i="21"/>
  <c r="AP12" i="21"/>
  <c r="AP81" i="21"/>
  <c r="AP67" i="21"/>
  <c r="AP6" i="21"/>
  <c r="AP7" i="21"/>
  <c r="AP40" i="21"/>
  <c r="AP42" i="21"/>
  <c r="AP10" i="21"/>
  <c r="AP98" i="21"/>
  <c r="AP73" i="21"/>
  <c r="AP41" i="21"/>
  <c r="AP44" i="21"/>
  <c r="AP56" i="21"/>
  <c r="AP90" i="21"/>
  <c r="AP24" i="21"/>
  <c r="AP52" i="21"/>
  <c r="AP62" i="21"/>
  <c r="AP93" i="21"/>
  <c r="AP95" i="21"/>
  <c r="AP88" i="21"/>
  <c r="AP19" i="21"/>
  <c r="AP74" i="21"/>
  <c r="AP80" i="21"/>
  <c r="AP71" i="21"/>
  <c r="AP13" i="21"/>
  <c r="AP45" i="21"/>
  <c r="AP14" i="21"/>
  <c r="AP38" i="21"/>
  <c r="AP18" i="21"/>
  <c r="AP91" i="21"/>
  <c r="AP17" i="21"/>
  <c r="AP46" i="21"/>
  <c r="AP83" i="21"/>
  <c r="AP58" i="21"/>
  <c r="AP70" i="21"/>
  <c r="AP84" i="21"/>
  <c r="AP51" i="21"/>
  <c r="AP60" i="21"/>
  <c r="AP65" i="21"/>
  <c r="AP3" i="21"/>
  <c r="AP35" i="21"/>
  <c r="AP79" i="21"/>
  <c r="AP49" i="21"/>
  <c r="AP54" i="21"/>
  <c r="AP4" i="21"/>
  <c r="AP26" i="21"/>
  <c r="AP96" i="21"/>
  <c r="AP57" i="21"/>
  <c r="AP85" i="21"/>
  <c r="AP23" i="21"/>
  <c r="AP47" i="21"/>
  <c r="AP75" i="21"/>
  <c r="AP87" i="21"/>
  <c r="AP5" i="21"/>
  <c r="AP66" i="21"/>
  <c r="AP61" i="21"/>
  <c r="AP50" i="21"/>
  <c r="AP100" i="21"/>
  <c r="AP78" i="21"/>
  <c r="D102" i="27"/>
  <c r="AP102" i="21"/>
  <c r="AP48" i="21"/>
  <c r="AP27" i="21"/>
  <c r="AP89" i="21"/>
  <c r="AP32" i="21"/>
  <c r="AP68" i="21"/>
  <c r="AP37" i="21"/>
  <c r="AP72" i="21"/>
  <c r="AP55" i="21"/>
  <c r="AP22" i="21"/>
  <c r="AP59" i="21"/>
  <c r="AP53" i="21"/>
  <c r="AP63" i="21"/>
  <c r="AP86" i="21"/>
  <c r="AP82" i="21"/>
  <c r="D98" i="27" l="1"/>
  <c r="D22" i="27"/>
  <c r="D87" i="27"/>
  <c r="D86" i="27"/>
  <c r="D63" i="27"/>
  <c r="D4" i="27"/>
  <c r="D35" i="27"/>
  <c r="D51" i="27"/>
  <c r="D18" i="27"/>
  <c r="D13" i="27"/>
  <c r="D62" i="27"/>
  <c r="D56" i="27"/>
  <c r="D12" i="27"/>
  <c r="D11" i="27"/>
  <c r="D64" i="27"/>
  <c r="D69" i="27"/>
  <c r="D94" i="27"/>
  <c r="D7" i="27"/>
  <c r="D92" i="27"/>
  <c r="D29" i="27"/>
  <c r="D46" i="27"/>
  <c r="D16" i="27"/>
  <c r="D31" i="27"/>
  <c r="D33" i="27"/>
  <c r="D77" i="27"/>
  <c r="D38" i="27"/>
  <c r="D34" i="27"/>
  <c r="D36" i="27"/>
  <c r="D83" i="27"/>
  <c r="D99" i="27"/>
  <c r="D76" i="27"/>
  <c r="D48" i="27"/>
  <c r="D19" i="27"/>
  <c r="D10" i="27"/>
  <c r="D50" i="27"/>
  <c r="D75" i="27"/>
  <c r="D44" i="27"/>
  <c r="D68" i="27"/>
  <c r="D85" i="27"/>
  <c r="D32" i="27"/>
  <c r="D61" i="27"/>
  <c r="D84" i="27"/>
  <c r="D88" i="27"/>
  <c r="D6" i="27"/>
  <c r="D55" i="27"/>
  <c r="D57" i="27"/>
  <c r="D54" i="27"/>
  <c r="D3" i="27"/>
  <c r="D71" i="27"/>
  <c r="D52" i="27"/>
  <c r="D8" i="27"/>
  <c r="D72" i="27"/>
  <c r="D89" i="27"/>
  <c r="D66" i="27"/>
  <c r="D47" i="27"/>
  <c r="D96" i="27"/>
  <c r="D49" i="27"/>
  <c r="D65" i="27"/>
  <c r="D70" i="27"/>
  <c r="D80" i="27"/>
  <c r="D95" i="27"/>
  <c r="D42" i="27"/>
  <c r="D67" i="27"/>
  <c r="D53" i="27"/>
  <c r="D78" i="27"/>
  <c r="D17" i="27"/>
  <c r="D14" i="27"/>
  <c r="D24" i="27"/>
  <c r="D41" i="27"/>
  <c r="D21" i="27"/>
  <c r="D2" i="27"/>
  <c r="D43" i="27"/>
  <c r="D39" i="27"/>
  <c r="D15" i="27"/>
  <c r="D82" i="27"/>
  <c r="D37" i="27"/>
  <c r="D23" i="27"/>
  <c r="D26" i="27"/>
  <c r="D60" i="27"/>
  <c r="D40" i="27"/>
  <c r="D81" i="27"/>
  <c r="D28" i="27"/>
  <c r="D30" i="27"/>
  <c r="D20" i="27"/>
  <c r="D9" i="27"/>
  <c r="D25" i="27"/>
  <c r="D59" i="27"/>
  <c r="D27" i="27"/>
  <c r="D100" i="27"/>
  <c r="D5" i="27"/>
  <c r="D79" i="27"/>
  <c r="D58" i="27"/>
  <c r="D91" i="27"/>
  <c r="D45" i="27"/>
  <c r="D74" i="27"/>
  <c r="D93" i="27"/>
  <c r="D90" i="27"/>
  <c r="D73" i="27"/>
  <c r="D97" i="27"/>
  <c r="D101" i="2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<sst xmlns="http://schemas.openxmlformats.org/spreadsheetml/2006/main" count="26833" uniqueCount="561">
  <si>
    <t>Table 1</t>
  </si>
  <si>
    <t>#</t>
  </si>
  <si>
    <t>Pseudo</t>
  </si>
  <si>
    <t>Bty</t>
  </si>
  <si>
    <t>Score</t>
  </si>
  <si>
    <t>Sabwill</t>
  </si>
  <si>
    <t>Pyja</t>
  </si>
  <si>
    <t>Geo</t>
  </si>
  <si>
    <t>Maxime</t>
  </si>
  <si>
    <t>K1</t>
  </si>
  <si>
    <t>Vide</t>
  </si>
  <si>
    <t>Table 2</t>
  </si>
  <si>
    <t>Gnak</t>
  </si>
  <si>
    <t>Ladyleti</t>
  </si>
  <si>
    <t>Ramm</t>
  </si>
  <si>
    <t>LAAtof</t>
  </si>
  <si>
    <t>Stan</t>
  </si>
  <si>
    <t>Table 3</t>
  </si>
  <si>
    <t>MAMS</t>
  </si>
  <si>
    <t>Giobeck</t>
  </si>
  <si>
    <t>saymsonite</t>
  </si>
  <si>
    <t>Carmin</t>
  </si>
  <si>
    <t>Dart 45</t>
  </si>
  <si>
    <t>Lylith75</t>
  </si>
  <si>
    <t>Table 4</t>
  </si>
  <si>
    <t>Claudius</t>
  </si>
  <si>
    <t>LOSOGRE</t>
  </si>
  <si>
    <t>Mandrake</t>
  </si>
  <si>
    <t>sobab</t>
  </si>
  <si>
    <t>NoDoubt</t>
  </si>
  <si>
    <t>Table 5</t>
  </si>
  <si>
    <t>CHRIS92340</t>
  </si>
  <si>
    <t>OlivierN92</t>
  </si>
  <si>
    <t>Ptit Savoyard</t>
  </si>
  <si>
    <t>Solex</t>
  </si>
  <si>
    <t>JeanMichelTiming</t>
  </si>
  <si>
    <t>arnomel</t>
  </si>
  <si>
    <t>Table 6</t>
  </si>
  <si>
    <t>cTTprmoa</t>
  </si>
  <si>
    <t>kheops</t>
  </si>
  <si>
    <t>Lén@</t>
  </si>
  <si>
    <t>gibouille</t>
  </si>
  <si>
    <t>Claptou</t>
  </si>
  <si>
    <t>KassTwo</t>
  </si>
  <si>
    <t>Table 7</t>
  </si>
  <si>
    <t>yaltar</t>
  </si>
  <si>
    <t>Jérôme</t>
  </si>
  <si>
    <t>Logan</t>
  </si>
  <si>
    <t>Pintu</t>
  </si>
  <si>
    <t>ABSIS</t>
  </si>
  <si>
    <t>MLADENGO</t>
  </si>
  <si>
    <t>Table 8</t>
  </si>
  <si>
    <t>Coach Pepito</t>
  </si>
  <si>
    <t>Makoche</t>
  </si>
  <si>
    <t>Salsamanu</t>
  </si>
  <si>
    <t>Bounette</t>
  </si>
  <si>
    <t>Painauchoc87</t>
  </si>
  <si>
    <t>ImAAlcalliKK</t>
  </si>
  <si>
    <t>Table 9</t>
  </si>
  <si>
    <t>YooooDA</t>
  </si>
  <si>
    <t>zizou</t>
  </si>
  <si>
    <t>Kri-lin</t>
  </si>
  <si>
    <t>Bulma</t>
  </si>
  <si>
    <t>Brice</t>
  </si>
  <si>
    <t>Table 10</t>
  </si>
  <si>
    <t>Ripolin</t>
  </si>
  <si>
    <t>Ad Vitam</t>
  </si>
  <si>
    <t>Jackiechoune</t>
  </si>
  <si>
    <t>zubbaz</t>
  </si>
  <si>
    <t>Catherine</t>
  </si>
  <si>
    <t>Table 11</t>
  </si>
  <si>
    <t>Ghislaine</t>
  </si>
  <si>
    <t>Le Boss</t>
  </si>
  <si>
    <t>Flem</t>
  </si>
  <si>
    <t>PatB</t>
  </si>
  <si>
    <t>Michelbey</t>
  </si>
  <si>
    <t>Comment2</t>
  </si>
  <si>
    <t>Récréatif</t>
  </si>
  <si>
    <t>Cygna</t>
  </si>
  <si>
    <t>Willyboy</t>
  </si>
  <si>
    <t>Fiffou</t>
  </si>
  <si>
    <t>Empedocle</t>
  </si>
  <si>
    <t>Shove4value</t>
  </si>
  <si>
    <t>ChickenSoup</t>
  </si>
  <si>
    <t>Verte</t>
  </si>
  <si>
    <t>HellNO</t>
  </si>
  <si>
    <t>TaHiTiSun</t>
  </si>
  <si>
    <t>Proph@ne</t>
  </si>
  <si>
    <t>Yarael</t>
  </si>
  <si>
    <t>Little Miss Sunshine</t>
  </si>
  <si>
    <t>Asowk</t>
  </si>
  <si>
    <t>Crevette</t>
  </si>
  <si>
    <t>Jacks&amp;Five</t>
  </si>
  <si>
    <t>Joakim_NoAA</t>
  </si>
  <si>
    <t>Jaden le désosseur</t>
  </si>
  <si>
    <t>Val-Miller</t>
  </si>
  <si>
    <t>Gui</t>
  </si>
  <si>
    <t>Quartz</t>
  </si>
  <si>
    <t>Blocknote</t>
  </si>
  <si>
    <t>CoachNasser</t>
  </si>
  <si>
    <t>Valentinia</t>
  </si>
  <si>
    <t>ChrisFrankfurt</t>
  </si>
  <si>
    <t>Doudoululu</t>
  </si>
  <si>
    <t>zzav</t>
  </si>
  <si>
    <t>Pottemain</t>
  </si>
  <si>
    <t>Snake</t>
  </si>
  <si>
    <t>Semperfi</t>
  </si>
  <si>
    <t>Young-Pok</t>
  </si>
  <si>
    <t>Position</t>
  </si>
  <si>
    <t>Partie</t>
  </si>
  <si>
    <t>Points</t>
  </si>
  <si>
    <t>Victoires</t>
  </si>
  <si>
    <t>Bounty</t>
  </si>
  <si>
    <t>Moyenne</t>
  </si>
  <si>
    <t>12.8</t>
  </si>
  <si>
    <t>12.1</t>
  </si>
  <si>
    <t>11.1</t>
  </si>
  <si>
    <t>10.9</t>
  </si>
  <si>
    <t>10.6</t>
  </si>
  <si>
    <t>10.3</t>
  </si>
  <si>
    <t>10.1</t>
  </si>
  <si>
    <t>9.9</t>
  </si>
  <si>
    <t>9.8</t>
  </si>
  <si>
    <t>9.6</t>
  </si>
  <si>
    <t>8.8</t>
  </si>
  <si>
    <t>10.88</t>
  </si>
  <si>
    <t>8.7</t>
  </si>
  <si>
    <t>8.5</t>
  </si>
  <si>
    <t>8.3</t>
  </si>
  <si>
    <t>8.2</t>
  </si>
  <si>
    <t>8.1</t>
  </si>
  <si>
    <t>7.8</t>
  </si>
  <si>
    <t>7.7</t>
  </si>
  <si>
    <t>7.5</t>
  </si>
  <si>
    <t>7.4</t>
  </si>
  <si>
    <t>7.3</t>
  </si>
  <si>
    <t>7.2</t>
  </si>
  <si>
    <t>11.17</t>
  </si>
  <si>
    <t>7.44</t>
  </si>
  <si>
    <t>6.7</t>
  </si>
  <si>
    <t>7.33</t>
  </si>
  <si>
    <t>6.6</t>
  </si>
  <si>
    <t>10.5</t>
  </si>
  <si>
    <t>6.3</t>
  </si>
  <si>
    <t>6.1</t>
  </si>
  <si>
    <t>5.9</t>
  </si>
  <si>
    <t>11.4</t>
  </si>
  <si>
    <t>6.88</t>
  </si>
  <si>
    <t>5.3</t>
  </si>
  <si>
    <t>6.5</t>
  </si>
  <si>
    <t>5.78</t>
  </si>
  <si>
    <t>4.6</t>
  </si>
  <si>
    <t>5.38</t>
  </si>
  <si>
    <t>5.86</t>
  </si>
  <si>
    <t>7.6</t>
  </si>
  <si>
    <t>7.75</t>
  </si>
  <si>
    <t>9.33</t>
  </si>
  <si>
    <t>5.4</t>
  </si>
  <si>
    <t>4.5</t>
  </si>
  <si>
    <t>9.5</t>
  </si>
  <si>
    <t>5.33</t>
  </si>
  <si>
    <t>0lbatar</t>
  </si>
  <si>
    <t>SOVEKIPE</t>
  </si>
  <si>
    <t>Romy</t>
  </si>
  <si>
    <t>Jeff</t>
  </si>
  <si>
    <t>Poker Face</t>
  </si>
  <si>
    <t>Suntse</t>
  </si>
  <si>
    <t>Leto Tuek</t>
  </si>
  <si>
    <t>remje</t>
  </si>
  <si>
    <t>jpl</t>
  </si>
  <si>
    <t>Achilleas111</t>
  </si>
  <si>
    <t>GuiioM</t>
  </si>
  <si>
    <t>Le_Poulpe</t>
  </si>
  <si>
    <t>Thanas</t>
  </si>
  <si>
    <t>francky688</t>
  </si>
  <si>
    <t>Shirba</t>
  </si>
  <si>
    <t>BlueJon87</t>
  </si>
  <si>
    <t>Sh1nk3n</t>
  </si>
  <si>
    <t>flidilic</t>
  </si>
  <si>
    <t>NastyLucker</t>
  </si>
  <si>
    <t>Aigle</t>
  </si>
  <si>
    <t>River</t>
  </si>
  <si>
    <t>Burbs</t>
  </si>
  <si>
    <t>PlayerX30</t>
  </si>
  <si>
    <t>RelaxBro</t>
  </si>
  <si>
    <t>joker</t>
  </si>
  <si>
    <t>SeekShove</t>
  </si>
  <si>
    <t>Ayana</t>
  </si>
  <si>
    <t>jfk93</t>
  </si>
  <si>
    <t>AAR</t>
  </si>
  <si>
    <t>Danou</t>
  </si>
  <si>
    <t>djip92</t>
  </si>
  <si>
    <t>PAK2BACK</t>
  </si>
  <si>
    <t>Guy l'Eclair</t>
  </si>
  <si>
    <t>FAB</t>
  </si>
  <si>
    <t>yumeko</t>
  </si>
  <si>
    <t>HVLAURENCE</t>
  </si>
  <si>
    <t>Siyu</t>
  </si>
  <si>
    <t>Dr-octopuss</t>
  </si>
  <si>
    <t>Crigydane</t>
  </si>
  <si>
    <t>Burbsson</t>
  </si>
  <si>
    <t>Hoggar</t>
  </si>
  <si>
    <t>Pilote95</t>
  </si>
  <si>
    <t>Furiosa</t>
  </si>
  <si>
    <t>Toffa</t>
  </si>
  <si>
    <t>Beat37</t>
  </si>
  <si>
    <t>Marc .r</t>
  </si>
  <si>
    <t>BodBeat</t>
  </si>
  <si>
    <t>Dany</t>
  </si>
  <si>
    <t>B&amp;B Silver</t>
  </si>
  <si>
    <t>Rat</t>
  </si>
  <si>
    <t>Camelitz</t>
  </si>
  <si>
    <t>AASerguet</t>
  </si>
  <si>
    <t>LE DJ 67</t>
  </si>
  <si>
    <t>Mange Ta Langue</t>
  </si>
  <si>
    <t>Mikegolfy</t>
  </si>
  <si>
    <t>Yoopi</t>
  </si>
  <si>
    <t>Limitless</t>
  </si>
  <si>
    <t>ozix</t>
  </si>
  <si>
    <t>Rico</t>
  </si>
  <si>
    <t>Buckbullit</t>
  </si>
  <si>
    <t>OEMCM</t>
  </si>
  <si>
    <t>Max</t>
  </si>
  <si>
    <t>JoNantais</t>
  </si>
  <si>
    <t>Bjo</t>
  </si>
  <si>
    <t>Touch Rectal</t>
  </si>
  <si>
    <t>Pokoscar1710</t>
  </si>
  <si>
    <t>OMAYOS</t>
  </si>
  <si>
    <t>ASH</t>
  </si>
  <si>
    <t>Audrey</t>
  </si>
  <si>
    <t>Ti-bordo</t>
  </si>
  <si>
    <t>Khushas</t>
  </si>
  <si>
    <t>ID</t>
  </si>
  <si>
    <t>Smoon</t>
  </si>
  <si>
    <t>Egypto</t>
  </si>
  <si>
    <t>Pompouille94</t>
  </si>
  <si>
    <t>Marco</t>
  </si>
  <si>
    <t>Chal</t>
  </si>
  <si>
    <t>Karim</t>
  </si>
  <si>
    <t>Tudo Benn</t>
  </si>
  <si>
    <t>Ranger 1</t>
  </si>
  <si>
    <t>Hicham</t>
  </si>
  <si>
    <t>Dizaon</t>
  </si>
  <si>
    <t>Victor</t>
  </si>
  <si>
    <t>St Germain</t>
  </si>
  <si>
    <t>Dracx</t>
  </si>
  <si>
    <t>Lucas</t>
  </si>
  <si>
    <t>Max75018</t>
  </si>
  <si>
    <t>Nosybe</t>
  </si>
  <si>
    <t>Alex</t>
  </si>
  <si>
    <t>Julien Boudou</t>
  </si>
  <si>
    <t>Lumenyx</t>
  </si>
  <si>
    <t>Débutant</t>
  </si>
  <si>
    <t>Jubou</t>
  </si>
  <si>
    <t>Cynthia</t>
  </si>
  <si>
    <t>Cedrus</t>
  </si>
  <si>
    <t>NevadaGirl</t>
  </si>
  <si>
    <t>Dan</t>
  </si>
  <si>
    <t>Jeremy</t>
  </si>
  <si>
    <t>VieilOurs64</t>
  </si>
  <si>
    <t>WCollector</t>
  </si>
  <si>
    <t>Riviera</t>
  </si>
  <si>
    <t>Scorpion666</t>
  </si>
  <si>
    <t>Manupoker</t>
  </si>
  <si>
    <t>rmarc</t>
  </si>
  <si>
    <t>Eleven</t>
  </si>
  <si>
    <t>Sophie</t>
  </si>
  <si>
    <t>Naturaliaa</t>
  </si>
  <si>
    <t>Papydim</t>
  </si>
  <si>
    <t>MisterFreeze</t>
  </si>
  <si>
    <t>Mister Pink</t>
  </si>
  <si>
    <t>Samson</t>
  </si>
  <si>
    <t>Issy66</t>
  </si>
  <si>
    <t>Vanessa</t>
  </si>
  <si>
    <t>Krysto</t>
  </si>
  <si>
    <t>Yasser</t>
  </si>
  <si>
    <t>Jinxed</t>
  </si>
  <si>
    <t>Fabrice</t>
  </si>
  <si>
    <t>Frédéric</t>
  </si>
  <si>
    <t>YES-R</t>
  </si>
  <si>
    <t>Delgres</t>
  </si>
  <si>
    <t>StuderK</t>
  </si>
  <si>
    <t>James Blond</t>
  </si>
  <si>
    <t>Pierre</t>
  </si>
  <si>
    <t>Benoit</t>
  </si>
  <si>
    <t>Jean-Michel</t>
  </si>
  <si>
    <t>JFR55</t>
  </si>
  <si>
    <t>Germain Fiol</t>
  </si>
  <si>
    <t>Queen of Kiz</t>
  </si>
  <si>
    <t>Oktal</t>
  </si>
  <si>
    <t>Armando</t>
  </si>
  <si>
    <t>CLK</t>
  </si>
  <si>
    <t>13or</t>
  </si>
  <si>
    <t>Olive</t>
  </si>
  <si>
    <t>Wasika</t>
  </si>
  <si>
    <t>Los Angeles</t>
  </si>
  <si>
    <t>Minorrity</t>
  </si>
  <si>
    <t>Guizmo</t>
  </si>
  <si>
    <t>Stooms</t>
  </si>
  <si>
    <t>Bernard</t>
  </si>
  <si>
    <t>Tas les jetons</t>
  </si>
  <si>
    <t>Charlotte</t>
  </si>
  <si>
    <t>Dragonara</t>
  </si>
  <si>
    <t>LPP35</t>
  </si>
  <si>
    <t>Fred</t>
  </si>
  <si>
    <t>flowww</t>
  </si>
  <si>
    <t>ETAPE</t>
  </si>
  <si>
    <t>12.5</t>
  </si>
  <si>
    <t>5.5</t>
  </si>
  <si>
    <t>10.0</t>
  </si>
  <si>
    <t>8.625</t>
  </si>
  <si>
    <t>8.0</t>
  </si>
  <si>
    <t>9.333333333333334</t>
  </si>
  <si>
    <t>7.0</t>
  </si>
  <si>
    <t>12.0</t>
  </si>
  <si>
    <t>16.0</t>
  </si>
  <si>
    <t>4.0</t>
  </si>
  <si>
    <t>2.0</t>
  </si>
  <si>
    <t>9.0</t>
  </si>
  <si>
    <t>11.0</t>
  </si>
  <si>
    <t>3.8</t>
  </si>
  <si>
    <t>6.875</t>
  </si>
  <si>
    <t>5.0</t>
  </si>
  <si>
    <t>6.0</t>
  </si>
  <si>
    <t>5.333333333333333</t>
  </si>
  <si>
    <t>13.0</t>
  </si>
  <si>
    <t>3.0</t>
  </si>
  <si>
    <t>1.0</t>
  </si>
  <si>
    <t>0.0</t>
  </si>
  <si>
    <t>CHECK Name</t>
  </si>
  <si>
    <t>Check Points</t>
  </si>
  <si>
    <t>10.875</t>
  </si>
  <si>
    <t>11.166666666666666</t>
  </si>
  <si>
    <t>7.444444444444445</t>
  </si>
  <si>
    <t>7.333333333333333</t>
  </si>
  <si>
    <t>5.777777777777778</t>
  </si>
  <si>
    <t>5.375</t>
  </si>
  <si>
    <t>5.857142857142857</t>
  </si>
  <si>
    <t>11.2</t>
  </si>
  <si>
    <t>8.6</t>
  </si>
  <si>
    <t>7.9</t>
  </si>
  <si>
    <t>6.8</t>
  </si>
  <si>
    <t>6.2</t>
  </si>
  <si>
    <t>8.63</t>
  </si>
  <si>
    <t>Zil</t>
  </si>
  <si>
    <t>Thibaultp75</t>
  </si>
  <si>
    <t>8.4</t>
  </si>
  <si>
    <t>4.4</t>
  </si>
  <si>
    <t>3.3</t>
  </si>
  <si>
    <t>1.6666666666666667</t>
  </si>
  <si>
    <t>9.4</t>
  </si>
  <si>
    <t>1.67</t>
  </si>
  <si>
    <t>13.2</t>
  </si>
  <si>
    <t>9.7</t>
  </si>
  <si>
    <t>9.3</t>
  </si>
  <si>
    <t>9.1</t>
  </si>
  <si>
    <t>8.9</t>
  </si>
  <si>
    <t>9.22</t>
  </si>
  <si>
    <t>8.89</t>
  </si>
  <si>
    <t>8.33</t>
  </si>
  <si>
    <t>10.29</t>
  </si>
  <si>
    <t>9.67</t>
  </si>
  <si>
    <t>5.25</t>
  </si>
  <si>
    <t>9.222222222222221</t>
  </si>
  <si>
    <t>8.88888888888889</t>
  </si>
  <si>
    <t>8.333333333333334</t>
  </si>
  <si>
    <t>10.285714285714286</t>
  </si>
  <si>
    <t>9.666666666666666</t>
  </si>
  <si>
    <t>Wasp</t>
  </si>
  <si>
    <t>Thibault</t>
  </si>
  <si>
    <t>Gautier</t>
  </si>
  <si>
    <t>Labataxe</t>
  </si>
  <si>
    <t>Jeu responsable</t>
  </si>
  <si>
    <t>Interdit aux mineurs</t>
  </si>
  <si>
    <t>Tests et conseils</t>
  </si>
  <si>
    <t>© 2022 API - Association Poker Isséenne - Design by Yarael</t>
  </si>
  <si>
    <t>INTERDICTION VOLONTAIRE DE JEUX: Toute personne souhaitant faire l'objet d'une interdiction de jeux doit le faire elle-même auprès du Ministère de l'Intérieur. Cette interdiction est valable dans les casinos, les cercles de jeux et sur les sites de jeux en ligne autorisés en vertu de la loi no 2010-476 du 12 mai 2010. Elle est prononcée pour une durée de trois ans non réductible.</t>
  </si>
  <si>
    <t>Marco58</t>
  </si>
  <si>
    <t>8.75</t>
  </si>
  <si>
    <t>7.642857142857143</t>
  </si>
  <si>
    <t>6.928571428571429</t>
  </si>
  <si>
    <t>5.8</t>
  </si>
  <si>
    <t>4.9</t>
  </si>
  <si>
    <t>6.636363636363637</t>
  </si>
  <si>
    <t>9.75</t>
  </si>
  <si>
    <t>8.25</t>
  </si>
  <si>
    <t>10.87</t>
  </si>
  <si>
    <t>8.53</t>
  </si>
  <si>
    <t>8.37</t>
  </si>
  <si>
    <t>7.67</t>
  </si>
  <si>
    <t>7.53</t>
  </si>
  <si>
    <t>8.04</t>
  </si>
  <si>
    <t>7.43</t>
  </si>
  <si>
    <t>7.38</t>
  </si>
  <si>
    <t>6.57</t>
  </si>
  <si>
    <t>6.47</t>
  </si>
  <si>
    <t>7.79</t>
  </si>
  <si>
    <t>5.97</t>
  </si>
  <si>
    <t>9.21</t>
  </si>
  <si>
    <t>6.07</t>
  </si>
  <si>
    <t>5.67</t>
  </si>
  <si>
    <t>6.64</t>
  </si>
  <si>
    <t>11.67</t>
  </si>
  <si>
    <t>5.61</t>
  </si>
  <si>
    <t>6.77</t>
  </si>
  <si>
    <t>7.55</t>
  </si>
  <si>
    <t>4.88</t>
  </si>
  <si>
    <t>5.64</t>
  </si>
  <si>
    <t>7.17</t>
  </si>
  <si>
    <t>4.33</t>
  </si>
  <si>
    <t>9.11</t>
  </si>
  <si>
    <t>6.9</t>
  </si>
  <si>
    <t>9.29</t>
  </si>
  <si>
    <t>6.89</t>
  </si>
  <si>
    <t>6.86</t>
  </si>
  <si>
    <t>6.67</t>
  </si>
  <si>
    <t>3.88</t>
  </si>
  <si>
    <t>3.57</t>
  </si>
  <si>
    <t>pres</t>
  </si>
  <si>
    <t>7.96</t>
  </si>
  <si>
    <t>10.17</t>
  </si>
  <si>
    <t>9.93</t>
  </si>
  <si>
    <t>9.77</t>
  </si>
  <si>
    <t>9.23</t>
  </si>
  <si>
    <t>8.57</t>
  </si>
  <si>
    <t>8.43</t>
  </si>
  <si>
    <t>7.83</t>
  </si>
  <si>
    <t>7.37</t>
  </si>
  <si>
    <t>7.52</t>
  </si>
  <si>
    <t>7.28</t>
  </si>
  <si>
    <t>7.03</t>
  </si>
  <si>
    <t>6.79</t>
  </si>
  <si>
    <t>5.43</t>
  </si>
  <si>
    <t>5.81</t>
  </si>
  <si>
    <t>5.23</t>
  </si>
  <si>
    <t>10.43</t>
  </si>
  <si>
    <t>6.63</t>
  </si>
  <si>
    <t>8.17</t>
  </si>
  <si>
    <t>11.88</t>
  </si>
  <si>
    <t>6.44</t>
  </si>
  <si>
    <t>7.25</t>
  </si>
  <si>
    <t>5.7</t>
  </si>
  <si>
    <t>7.57</t>
  </si>
  <si>
    <t>4.78</t>
  </si>
  <si>
    <t>2.5</t>
  </si>
  <si>
    <t>PRESENCES</t>
  </si>
  <si>
    <t>P</t>
  </si>
  <si>
    <t>M256</t>
  </si>
  <si>
    <t>PRES</t>
  </si>
  <si>
    <t>Players</t>
  </si>
  <si>
    <t>J1nx3d</t>
  </si>
  <si>
    <t>Jacaille</t>
  </si>
  <si>
    <t>The Hengover</t>
  </si>
  <si>
    <t>GH-Marshal</t>
  </si>
  <si>
    <t>Gibbonfury</t>
  </si>
  <si>
    <t>Le D</t>
  </si>
  <si>
    <t>Jules RCSA</t>
  </si>
  <si>
    <t>Matthieu R</t>
  </si>
  <si>
    <t>Didi</t>
  </si>
  <si>
    <t>Youkar28</t>
  </si>
  <si>
    <t>Redshoes</t>
  </si>
  <si>
    <t>Djecus</t>
  </si>
  <si>
    <t>Lizzie</t>
  </si>
  <si>
    <t>Oldex</t>
  </si>
  <si>
    <t>Bolpa</t>
  </si>
  <si>
    <t>François</t>
  </si>
  <si>
    <t>PetrellRoni</t>
  </si>
  <si>
    <t>Djouzette</t>
  </si>
  <si>
    <t>Labaraka</t>
  </si>
  <si>
    <t>Atanarjuat</t>
  </si>
  <si>
    <t>Saad TAZI</t>
  </si>
  <si>
    <t>Cleo</t>
  </si>
  <si>
    <t>Midou 94</t>
  </si>
  <si>
    <t>Claptouna</t>
  </si>
  <si>
    <t>Hangry</t>
  </si>
  <si>
    <t>La Bavure</t>
  </si>
  <si>
    <t>MegaSouche</t>
  </si>
  <si>
    <t>Dams</t>
  </si>
  <si>
    <t>Happy Grind</t>
  </si>
  <si>
    <t>Salender</t>
  </si>
  <si>
    <t>Babey94</t>
  </si>
  <si>
    <t>the real will</t>
  </si>
  <si>
    <t>Taz</t>
  </si>
  <si>
    <t>Leocrabe225</t>
  </si>
  <si>
    <t>Guerno</t>
  </si>
  <si>
    <t>Solucky</t>
  </si>
  <si>
    <t>PtiQdu92</t>
  </si>
  <si>
    <t>Midoo</t>
  </si>
  <si>
    <t>Lulu</t>
  </si>
  <si>
    <t>Rit4233</t>
  </si>
  <si>
    <t>DernierPli</t>
  </si>
  <si>
    <t>Flabech</t>
  </si>
  <si>
    <t>Lady Zaza</t>
  </si>
  <si>
    <t>Rockatou</t>
  </si>
  <si>
    <t>Frank</t>
  </si>
  <si>
    <t>Feydajy</t>
  </si>
  <si>
    <t>Manche</t>
  </si>
  <si>
    <t>V</t>
  </si>
  <si>
    <t>Alix</t>
  </si>
  <si>
    <t>labaraka</t>
  </si>
  <si>
    <t>Kheops</t>
  </si>
  <si>
    <t>Poisson Pilote</t>
  </si>
  <si>
    <t>Sobab</t>
  </si>
  <si>
    <t>Yaltar</t>
  </si>
  <si>
    <t>Zizou</t>
  </si>
  <si>
    <t>Mams</t>
  </si>
  <si>
    <t>Zubbaz</t>
  </si>
  <si>
    <t>Losogre</t>
  </si>
  <si>
    <t>Rmarc</t>
  </si>
  <si>
    <t>Gibouille</t>
  </si>
  <si>
    <t>Magic Mykiss</t>
  </si>
  <si>
    <t>Fréderique</t>
  </si>
  <si>
    <t>Fishtro</t>
  </si>
  <si>
    <t>Golgoo13</t>
  </si>
  <si>
    <t>Joic</t>
  </si>
  <si>
    <t>Chico</t>
  </si>
  <si>
    <t>Tenko</t>
  </si>
  <si>
    <t>Franz</t>
  </si>
  <si>
    <t>Soupaman</t>
  </si>
  <si>
    <t>Xhar92</t>
  </si>
  <si>
    <t>Tridama</t>
  </si>
  <si>
    <t>Jaden</t>
  </si>
  <si>
    <t>Flora</t>
  </si>
  <si>
    <t>Mokarran</t>
  </si>
  <si>
    <t>Antoine</t>
  </si>
  <si>
    <t>Freddie</t>
  </si>
  <si>
    <t>Yroz</t>
  </si>
  <si>
    <t>Just4fun</t>
  </si>
  <si>
    <t>Papillon</t>
  </si>
  <si>
    <t>Bibus</t>
  </si>
  <si>
    <t>Flopynou</t>
  </si>
  <si>
    <t>Toinou</t>
  </si>
  <si>
    <t>Boosilletoo</t>
  </si>
  <si>
    <t>Ouais ouais</t>
  </si>
  <si>
    <t>JC</t>
  </si>
  <si>
    <t>TheRealWill</t>
  </si>
  <si>
    <t>Algolf75</t>
  </si>
  <si>
    <t>TABLE 1</t>
  </si>
  <si>
    <t>TABLE 2</t>
  </si>
  <si>
    <t>TABLE 3</t>
  </si>
  <si>
    <t>TABLE 4</t>
  </si>
  <si>
    <t>TABLE 5</t>
  </si>
  <si>
    <t>TABLE 6</t>
  </si>
  <si>
    <t>TABLE 7</t>
  </si>
  <si>
    <t>TABLE 8</t>
  </si>
  <si>
    <t>Panot</t>
  </si>
  <si>
    <t>Claire</t>
  </si>
  <si>
    <t>AllinDeuces</t>
  </si>
  <si>
    <t>TABLE 9</t>
  </si>
  <si>
    <t>TABLE</t>
  </si>
  <si>
    <t>Maxime K</t>
  </si>
  <si>
    <t>Matteo</t>
  </si>
  <si>
    <t>Snake1702</t>
  </si>
  <si>
    <t>Ilyes.</t>
  </si>
  <si>
    <t>ScoNix</t>
  </si>
  <si>
    <t>Gabs</t>
  </si>
  <si>
    <t>Ankolos</t>
  </si>
  <si>
    <t>Madridal</t>
  </si>
  <si>
    <t>Light</t>
  </si>
  <si>
    <t>Kewen</t>
  </si>
  <si>
    <t>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</si>
</sst>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0.0%"/>
    <numFmt numFmtId="165" formatCode="0.0"/>
  </numFmts>
  <fonts count="6" x14ac:knownFonts="1">
    <font>
      <sz val="12"/>
      <color theme="1"/>
      <name val="Calibri"/>
      <family val="2"/>
      <scheme val="minor"/>
    </font>
    <font>
      <b/>
      <sz val="12"/>
      <color theme="1"/>
      <name val="Calibri"/>
      <family val="2"/>
      <scheme val="minor"/>
    </font>
    <font>
      <sz val="12"/>
      <color rgb="FFFFFFFF"/>
      <name val="Calibri"/>
      <family val="2"/>
      <scheme val="minor"/>
    </font>
    <font>
      <u/>
      <sz val="12"/>
      <color theme="10"/>
      <name val="Calibri"/>
      <family val="2"/>
      <scheme val="minor"/>
    </font>
    <font>
      <sz val="12"/>
      <color theme="1"/>
      <name val="Calibri"/>
      <family val="2"/>
      <scheme val="minor"/>
    </font>
    <font>
      <sz val="12"/>
      <color rgb="FF00000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4">
    <xf numFmtId="0" fontId="0" fillId="0" borderId="0"/>
    <xf numFmtId="0" fontId="3" fillId="0" borderId="0" applyNumberFormat="0" applyFill="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13">
    <xf numFmtId="0" fontId="0" fillId="0" borderId="0" xfId="0"/>
    <xf numFmtId="0" fontId="1" fillId="0" borderId="0" xfId="0" applyFont="1"/>
    <xf numFmtId="0" fontId="2" fillId="0" borderId="0" xfId="0" applyFont="1"/>
    <xf numFmtId="0" fontId="0" fillId="0" borderId="0" xfId="0" applyAlignment="1">
      <alignment horizontal="center" vertical="center"/>
    </xf>
    <xf numFmtId="0" fontId="0" fillId="2" borderId="0" xfId="0" applyFill="1" applyAlignment="1">
      <alignment horizontal="center" vertical="center"/>
    </xf>
    <xf numFmtId="0" fontId="1" fillId="0" borderId="0" xfId="0" applyFont="1" applyAlignment="1">
      <alignment horizontal="center" vertical="center"/>
    </xf>
    <xf numFmtId="2" fontId="0" fillId="0" borderId="0" xfId="0" applyNumberFormat="1"/>
    <xf numFmtId="0" fontId="3" fillId="0" borderId="0" xfId="1"/>
    <xf numFmtId="43" fontId="0" fillId="0" borderId="0" xfId="2" applyFont="1"/>
    <xf numFmtId="164" fontId="0" fillId="0" borderId="0" xfId="3" applyNumberFormat="1" applyFont="1"/>
    <xf numFmtId="165" fontId="0" fillId="0" borderId="0" xfId="0" applyNumberFormat="1"/>
    <xf numFmtId="0" fontId="5" fillId="0" borderId="0" xfId="0" applyFont="1"/>
    <xf numFmtId="0" fontId="0" fillId="0" borderId="0" xfId="0" applyAlignment="1">
      <alignment horizontal="left"/>
    </xf>
  </cellXfs>
  <cellStyles count="4">
    <cellStyle name="Comma" xfId="2" builtinId="3"/>
    <cellStyle name="Hyperlink" xfId="1" builtinId="8"/>
    <cellStyle name="Normal" xfId="0" builtinId="0"/>
    <cellStyle name="Per cent" xfId="3" builtinId="5"/>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FR"/>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lt1"/>
                </a:solidFill>
              </a:ln>
              <a:effectLst/>
            </c:spPr>
          </c:marker>
          <c:val>
            <c:numRef>
              <c:f>'For stats end Y points'!$B$103:$AN$103</c:f>
              <c:numCache>
                <c:formatCode>General</c:formatCode>
                <c:ptCount val="39"/>
                <c:pt idx="0">
                  <c:v>0</c:v>
                </c:pt>
                <c:pt idx="1">
                  <c:v>3</c:v>
                </c:pt>
                <c:pt idx="2">
                  <c:v>0</c:v>
                </c:pt>
                <c:pt idx="3">
                  <c:v>0</c:v>
                </c:pt>
                <c:pt idx="4">
                  <c:v>0</c:v>
                </c:pt>
                <c:pt idx="5">
                  <c:v>0</c:v>
                </c:pt>
                <c:pt idx="6">
                  <c:v>0</c:v>
                </c:pt>
                <c:pt idx="7">
                  <c:v>0</c:v>
                </c:pt>
                <c:pt idx="8">
                  <c:v>9</c:v>
                </c:pt>
                <c:pt idx="9">
                  <c:v>4</c:v>
                </c:pt>
                <c:pt idx="10">
                  <c:v>0</c:v>
                </c:pt>
                <c:pt idx="11">
                  <c:v>8</c:v>
                </c:pt>
                <c:pt idx="12">
                  <c:v>4</c:v>
                </c:pt>
                <c:pt idx="13">
                  <c:v>0</c:v>
                </c:pt>
                <c:pt idx="14">
                  <c:v>0</c:v>
                </c:pt>
                <c:pt idx="15">
                  <c:v>0</c:v>
                </c:pt>
                <c:pt idx="16">
                  <c:v>0</c:v>
                </c:pt>
                <c:pt idx="17">
                  <c:v>17</c:v>
                </c:pt>
                <c:pt idx="18">
                  <c:v>0</c:v>
                </c:pt>
                <c:pt idx="19">
                  <c:v>0</c:v>
                </c:pt>
                <c:pt idx="20">
                  <c:v>4</c:v>
                </c:pt>
                <c:pt idx="21">
                  <c:v>0</c:v>
                </c:pt>
                <c:pt idx="22">
                  <c:v>5</c:v>
                </c:pt>
                <c:pt idx="23">
                  <c:v>0</c:v>
                </c:pt>
                <c:pt idx="24">
                  <c:v>0</c:v>
                </c:pt>
                <c:pt idx="25">
                  <c:v>12</c:v>
                </c:pt>
                <c:pt idx="26">
                  <c:v>0</c:v>
                </c:pt>
                <c:pt idx="27">
                  <c:v>16</c:v>
                </c:pt>
                <c:pt idx="28">
                  <c:v>12</c:v>
                </c:pt>
                <c:pt idx="29">
                  <c:v>5</c:v>
                </c:pt>
                <c:pt idx="30">
                  <c:v>8</c:v>
                </c:pt>
                <c:pt idx="31">
                  <c:v>0</c:v>
                </c:pt>
                <c:pt idx="32">
                  <c:v>0</c:v>
                </c:pt>
                <c:pt idx="33">
                  <c:v>0</c:v>
                </c:pt>
                <c:pt idx="34">
                  <c:v>0</c:v>
                </c:pt>
                <c:pt idx="35">
                  <c:v>0</c:v>
                </c:pt>
                <c:pt idx="36">
                  <c:v>0</c:v>
                </c:pt>
                <c:pt idx="37">
                  <c:v>0</c:v>
                </c:pt>
                <c:pt idx="38">
                  <c:v>0</c:v>
                </c:pt>
              </c:numCache>
            </c:numRef>
          </c:val>
          <c:smooth val="0"/>
          <c:extLst>
            <c:ext xmlns:c16="http://schemas.microsoft.com/office/drawing/2014/chart" uri="{C3380CC4-5D6E-409C-BE32-E72D297353CC}">
              <c16:uniqueId val="{00000000-2351-4542-8B7D-47A43E2BD6BE}"/>
            </c:ext>
          </c:extLst>
        </c:ser>
        <c:dLbls>
          <c:showLegendKey val="0"/>
          <c:showVal val="0"/>
          <c:showCatName val="0"/>
          <c:showSerName val="0"/>
          <c:showPercent val="0"/>
          <c:showBubbleSize val="0"/>
        </c:dLbls>
        <c:marker val="1"/>
        <c:smooth val="0"/>
        <c:axId val="1568635664"/>
        <c:axId val="1529786176"/>
      </c:lineChart>
      <c:catAx>
        <c:axId val="15686356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FR"/>
          </a:p>
        </c:txPr>
        <c:crossAx val="1529786176"/>
        <c:crosses val="autoZero"/>
        <c:auto val="1"/>
        <c:lblAlgn val="ctr"/>
        <c:lblOffset val="100"/>
        <c:noMultiLvlLbl val="0"/>
      </c:catAx>
      <c:valAx>
        <c:axId val="1529786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FR"/>
          </a:p>
        </c:txPr>
        <c:crossAx val="1568635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FR"/>
        </a:p>
      </c:txPr>
    </c:title>
    <c:autoTitleDeleted val="0"/>
    <c:plotArea>
      <c:layout/>
      <c:lineChart>
        <c:grouping val="standard"/>
        <c:varyColors val="0"/>
        <c:ser>
          <c:idx val="0"/>
          <c:order val="0"/>
          <c:tx>
            <c:strRef>
              <c:f>'For stats end Y Score'!$A$2</c:f>
              <c:strCache>
                <c:ptCount val="1"/>
                <c:pt idx="0">
                  <c:v>Ad Vitam</c:v>
                </c:pt>
              </c:strCache>
            </c:strRef>
          </c:tx>
          <c:spPr>
            <a:ln w="28575" cap="rnd">
              <a:solidFill>
                <a:schemeClr val="accent1"/>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Score'!$B$2:$AN$2</c:f>
              <c:numCache>
                <c:formatCode>General</c:formatCode>
                <c:ptCount val="39"/>
                <c:pt idx="0">
                  <c:v>1</c:v>
                </c:pt>
                <c:pt idx="1">
                  <c:v>1</c:v>
                </c:pt>
                <c:pt idx="2">
                  <c:v>17</c:v>
                </c:pt>
                <c:pt idx="3">
                  <c:v>30</c:v>
                </c:pt>
                <c:pt idx="4">
                  <c:v>31</c:v>
                </c:pt>
                <c:pt idx="5">
                  <c:v>48</c:v>
                </c:pt>
                <c:pt idx="6">
                  <c:v>64</c:v>
                </c:pt>
                <c:pt idx="7">
                  <c:v>66</c:v>
                </c:pt>
                <c:pt idx="8">
                  <c:v>67</c:v>
                </c:pt>
                <c:pt idx="9">
                  <c:v>74</c:v>
                </c:pt>
                <c:pt idx="10">
                  <c:v>81</c:v>
                </c:pt>
                <c:pt idx="11">
                  <c:v>93</c:v>
                </c:pt>
                <c:pt idx="12">
                  <c:v>105</c:v>
                </c:pt>
                <c:pt idx="13">
                  <c:v>105</c:v>
                </c:pt>
                <c:pt idx="14">
                  <c:v>121</c:v>
                </c:pt>
                <c:pt idx="15">
                  <c:v>135</c:v>
                </c:pt>
                <c:pt idx="16">
                  <c:v>148</c:v>
                </c:pt>
                <c:pt idx="17">
                  <c:v>157</c:v>
                </c:pt>
                <c:pt idx="18">
                  <c:v>173</c:v>
                </c:pt>
                <c:pt idx="19">
                  <c:v>188</c:v>
                </c:pt>
                <c:pt idx="20">
                  <c:v>205</c:v>
                </c:pt>
                <c:pt idx="21">
                  <c:v>206</c:v>
                </c:pt>
                <c:pt idx="22">
                  <c:v>222</c:v>
                </c:pt>
                <c:pt idx="23">
                  <c:v>223</c:v>
                </c:pt>
                <c:pt idx="24">
                  <c:v>236</c:v>
                </c:pt>
                <c:pt idx="25">
                  <c:v>238</c:v>
                </c:pt>
                <c:pt idx="26">
                  <c:v>249</c:v>
                </c:pt>
                <c:pt idx="27">
                  <c:v>261</c:v>
                </c:pt>
                <c:pt idx="28">
                  <c:v>272</c:v>
                </c:pt>
                <c:pt idx="29">
                  <c:v>276</c:v>
                </c:pt>
                <c:pt idx="30">
                  <c:v>278</c:v>
                </c:pt>
                <c:pt idx="31">
                  <c:v>278</c:v>
                </c:pt>
                <c:pt idx="32">
                  <c:v>288</c:v>
                </c:pt>
              </c:numCache>
            </c:numRef>
          </c:val>
          <c:smooth val="0"/>
          <c:extLst>
            <c:ext xmlns:c16="http://schemas.microsoft.com/office/drawing/2014/chart" uri="{C3380CC4-5D6E-409C-BE32-E72D297353CC}">
              <c16:uniqueId val="{00000000-AA7F-FD49-9C25-4EDB35C90EC6}"/>
            </c:ext>
          </c:extLst>
        </c:ser>
        <c:ser>
          <c:idx val="1"/>
          <c:order val="1"/>
          <c:tx>
            <c:strRef>
              <c:f>'For stats end Y Score'!$A$3</c:f>
              <c:strCache>
                <c:ptCount val="1"/>
                <c:pt idx="0">
                  <c:v>Algolf75</c:v>
                </c:pt>
              </c:strCache>
            </c:strRef>
          </c:tx>
          <c:spPr>
            <a:ln w="28575" cap="rnd">
              <a:solidFill>
                <a:schemeClr val="accent2"/>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Score'!$B$3:$AN$3</c:f>
              <c:numCache>
                <c:formatCode>General</c:formatCode>
                <c:ptCount val="39"/>
                <c:pt idx="0">
                  <c:v>0</c:v>
                </c:pt>
                <c:pt idx="1">
                  <c:v>0</c:v>
                </c:pt>
                <c:pt idx="2">
                  <c:v>0</c:v>
                </c:pt>
                <c:pt idx="3">
                  <c:v>0</c:v>
                </c:pt>
                <c:pt idx="4">
                  <c:v>0</c:v>
                </c:pt>
                <c:pt idx="5">
                  <c:v>5</c:v>
                </c:pt>
                <c:pt idx="6">
                  <c:v>13</c:v>
                </c:pt>
                <c:pt idx="7">
                  <c:v>15</c:v>
                </c:pt>
                <c:pt idx="8">
                  <c:v>15</c:v>
                </c:pt>
                <c:pt idx="9">
                  <c:v>15</c:v>
                </c:pt>
                <c:pt idx="10">
                  <c:v>15</c:v>
                </c:pt>
                <c:pt idx="11">
                  <c:v>15</c:v>
                </c:pt>
                <c:pt idx="12">
                  <c:v>15</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numCache>
            </c:numRef>
          </c:val>
          <c:smooth val="0"/>
          <c:extLst>
            <c:ext xmlns:c16="http://schemas.microsoft.com/office/drawing/2014/chart" uri="{C3380CC4-5D6E-409C-BE32-E72D297353CC}">
              <c16:uniqueId val="{00000001-AA7F-FD49-9C25-4EDB35C90EC6}"/>
            </c:ext>
          </c:extLst>
        </c:ser>
        <c:ser>
          <c:idx val="2"/>
          <c:order val="2"/>
          <c:tx>
            <c:strRef>
              <c:f>'For stats end Y Score'!$A$4</c:f>
              <c:strCache>
                <c:ptCount val="1"/>
                <c:pt idx="0">
                  <c:v>AllinDeuces</c:v>
                </c:pt>
              </c:strCache>
            </c:strRef>
          </c:tx>
          <c:spPr>
            <a:ln w="28575" cap="rnd">
              <a:solidFill>
                <a:schemeClr val="accent3"/>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Score'!$B$4:$AN$4</c:f>
              <c:numCache>
                <c:formatCode>General</c:formatCode>
                <c:ptCount val="39"/>
                <c:pt idx="0">
                  <c:v>0</c:v>
                </c:pt>
                <c:pt idx="1">
                  <c:v>0</c:v>
                </c:pt>
                <c:pt idx="2">
                  <c:v>0</c:v>
                </c:pt>
                <c:pt idx="3">
                  <c:v>0</c:v>
                </c:pt>
                <c:pt idx="4">
                  <c:v>0</c:v>
                </c:pt>
                <c:pt idx="5">
                  <c:v>0</c:v>
                </c:pt>
                <c:pt idx="6">
                  <c:v>0</c:v>
                </c:pt>
                <c:pt idx="7">
                  <c:v>0</c:v>
                </c:pt>
                <c:pt idx="8">
                  <c:v>0</c:v>
                </c:pt>
                <c:pt idx="9">
                  <c:v>0</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numCache>
            </c:numRef>
          </c:val>
          <c:smooth val="0"/>
          <c:extLst>
            <c:ext xmlns:c16="http://schemas.microsoft.com/office/drawing/2014/chart" uri="{C3380CC4-5D6E-409C-BE32-E72D297353CC}">
              <c16:uniqueId val="{00000002-AA7F-FD49-9C25-4EDB35C90EC6}"/>
            </c:ext>
          </c:extLst>
        </c:ser>
        <c:ser>
          <c:idx val="3"/>
          <c:order val="3"/>
          <c:tx>
            <c:strRef>
              <c:f>'For stats end Y Score'!$A$5</c:f>
              <c:strCache>
                <c:ptCount val="1"/>
                <c:pt idx="0">
                  <c:v>Ankolos</c:v>
                </c:pt>
              </c:strCache>
            </c:strRef>
          </c:tx>
          <c:spPr>
            <a:ln w="28575" cap="rnd">
              <a:solidFill>
                <a:schemeClr val="accent4"/>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Score'!$B$5:$AN$5</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1</c:v>
                </c:pt>
                <c:pt idx="27">
                  <c:v>1</c:v>
                </c:pt>
                <c:pt idx="28">
                  <c:v>1</c:v>
                </c:pt>
                <c:pt idx="29">
                  <c:v>3</c:v>
                </c:pt>
                <c:pt idx="30">
                  <c:v>3</c:v>
                </c:pt>
                <c:pt idx="31">
                  <c:v>5</c:v>
                </c:pt>
                <c:pt idx="32">
                  <c:v>5</c:v>
                </c:pt>
              </c:numCache>
            </c:numRef>
          </c:val>
          <c:smooth val="0"/>
          <c:extLst>
            <c:ext xmlns:c16="http://schemas.microsoft.com/office/drawing/2014/chart" uri="{C3380CC4-5D6E-409C-BE32-E72D297353CC}">
              <c16:uniqueId val="{00000003-AA7F-FD49-9C25-4EDB35C90EC6}"/>
            </c:ext>
          </c:extLst>
        </c:ser>
        <c:ser>
          <c:idx val="4"/>
          <c:order val="4"/>
          <c:tx>
            <c:strRef>
              <c:f>'For stats end Y Score'!$A$6</c:f>
              <c:strCache>
                <c:ptCount val="1"/>
                <c:pt idx="0">
                  <c:v>Antoine</c:v>
                </c:pt>
              </c:strCache>
            </c:strRef>
          </c:tx>
          <c:spPr>
            <a:ln w="28575" cap="rnd">
              <a:solidFill>
                <a:schemeClr val="accent5"/>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Score'!$B$6:$AN$6</c:f>
              <c:numCache>
                <c:formatCode>General</c:formatCode>
                <c:ptCount val="39"/>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numCache>
            </c:numRef>
          </c:val>
          <c:smooth val="0"/>
          <c:extLst>
            <c:ext xmlns:c16="http://schemas.microsoft.com/office/drawing/2014/chart" uri="{C3380CC4-5D6E-409C-BE32-E72D297353CC}">
              <c16:uniqueId val="{00000004-AA7F-FD49-9C25-4EDB35C90EC6}"/>
            </c:ext>
          </c:extLst>
        </c:ser>
        <c:ser>
          <c:idx val="5"/>
          <c:order val="5"/>
          <c:tx>
            <c:strRef>
              <c:f>'For stats end Y Score'!$A$7</c:f>
              <c:strCache>
                <c:ptCount val="1"/>
                <c:pt idx="0">
                  <c:v>Bibus</c:v>
                </c:pt>
              </c:strCache>
            </c:strRef>
          </c:tx>
          <c:spPr>
            <a:ln w="28575" cap="rnd">
              <a:solidFill>
                <a:schemeClr val="accent6"/>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Score'!$B$7:$AN$7</c:f>
              <c:numCache>
                <c:formatCode>General</c:formatCode>
                <c:ptCount val="39"/>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numCache>
            </c:numRef>
          </c:val>
          <c:smooth val="0"/>
          <c:extLst>
            <c:ext xmlns:c16="http://schemas.microsoft.com/office/drawing/2014/chart" uri="{C3380CC4-5D6E-409C-BE32-E72D297353CC}">
              <c16:uniqueId val="{00000005-AA7F-FD49-9C25-4EDB35C90EC6}"/>
            </c:ext>
          </c:extLst>
        </c:ser>
        <c:ser>
          <c:idx val="6"/>
          <c:order val="6"/>
          <c:tx>
            <c:strRef>
              <c:f>'For stats end Y Score'!$A$8</c:f>
              <c:strCache>
                <c:ptCount val="1"/>
                <c:pt idx="0">
                  <c:v>Boosilletoo</c:v>
                </c:pt>
              </c:strCache>
            </c:strRef>
          </c:tx>
          <c:spPr>
            <a:ln w="28575" cap="rnd">
              <a:solidFill>
                <a:schemeClr val="accent1">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Score'!$B$8:$AN$8</c:f>
              <c:numCache>
                <c:formatCode>General</c:formatCode>
                <c:ptCount val="39"/>
                <c:pt idx="0">
                  <c:v>0</c:v>
                </c:pt>
                <c:pt idx="1">
                  <c:v>0</c:v>
                </c:pt>
                <c:pt idx="2">
                  <c:v>1</c:v>
                </c:pt>
                <c:pt idx="3">
                  <c:v>6</c:v>
                </c:pt>
                <c:pt idx="4">
                  <c:v>23</c:v>
                </c:pt>
                <c:pt idx="5">
                  <c:v>23</c:v>
                </c:pt>
                <c:pt idx="6">
                  <c:v>23</c:v>
                </c:pt>
                <c:pt idx="7">
                  <c:v>31</c:v>
                </c:pt>
                <c:pt idx="8">
                  <c:v>47</c:v>
                </c:pt>
                <c:pt idx="9">
                  <c:v>48</c:v>
                </c:pt>
                <c:pt idx="10">
                  <c:v>48</c:v>
                </c:pt>
                <c:pt idx="11">
                  <c:v>48</c:v>
                </c:pt>
                <c:pt idx="12">
                  <c:v>48</c:v>
                </c:pt>
                <c:pt idx="13">
                  <c:v>52</c:v>
                </c:pt>
                <c:pt idx="14">
                  <c:v>52</c:v>
                </c:pt>
                <c:pt idx="15">
                  <c:v>52</c:v>
                </c:pt>
                <c:pt idx="16">
                  <c:v>57</c:v>
                </c:pt>
                <c:pt idx="17">
                  <c:v>70</c:v>
                </c:pt>
                <c:pt idx="18">
                  <c:v>86</c:v>
                </c:pt>
                <c:pt idx="19">
                  <c:v>86</c:v>
                </c:pt>
                <c:pt idx="20">
                  <c:v>86</c:v>
                </c:pt>
                <c:pt idx="21">
                  <c:v>102</c:v>
                </c:pt>
                <c:pt idx="22">
                  <c:v>102</c:v>
                </c:pt>
                <c:pt idx="23">
                  <c:v>103</c:v>
                </c:pt>
                <c:pt idx="24">
                  <c:v>111</c:v>
                </c:pt>
                <c:pt idx="25">
                  <c:v>111</c:v>
                </c:pt>
                <c:pt idx="26">
                  <c:v>111</c:v>
                </c:pt>
                <c:pt idx="27">
                  <c:v>119</c:v>
                </c:pt>
                <c:pt idx="28">
                  <c:v>127</c:v>
                </c:pt>
                <c:pt idx="29">
                  <c:v>127</c:v>
                </c:pt>
                <c:pt idx="30">
                  <c:v>127</c:v>
                </c:pt>
                <c:pt idx="31">
                  <c:v>127</c:v>
                </c:pt>
                <c:pt idx="32">
                  <c:v>127</c:v>
                </c:pt>
              </c:numCache>
            </c:numRef>
          </c:val>
          <c:smooth val="0"/>
          <c:extLst>
            <c:ext xmlns:c16="http://schemas.microsoft.com/office/drawing/2014/chart" uri="{C3380CC4-5D6E-409C-BE32-E72D297353CC}">
              <c16:uniqueId val="{00000006-AA7F-FD49-9C25-4EDB35C90EC6}"/>
            </c:ext>
          </c:extLst>
        </c:ser>
        <c:ser>
          <c:idx val="7"/>
          <c:order val="7"/>
          <c:tx>
            <c:strRef>
              <c:f>'For stats end Y Score'!$A$9</c:f>
              <c:strCache>
                <c:ptCount val="1"/>
                <c:pt idx="0">
                  <c:v>Bounette</c:v>
                </c:pt>
              </c:strCache>
            </c:strRef>
          </c:tx>
          <c:spPr>
            <a:ln w="28575" cap="rnd">
              <a:solidFill>
                <a:schemeClr val="accent2">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Score'!$B$9:$AN$9</c:f>
              <c:numCache>
                <c:formatCode>General</c:formatCode>
                <c:ptCount val="39"/>
                <c:pt idx="0">
                  <c:v>12</c:v>
                </c:pt>
                <c:pt idx="1">
                  <c:v>28</c:v>
                </c:pt>
                <c:pt idx="2">
                  <c:v>28</c:v>
                </c:pt>
                <c:pt idx="3">
                  <c:v>33</c:v>
                </c:pt>
                <c:pt idx="4">
                  <c:v>36</c:v>
                </c:pt>
                <c:pt idx="5">
                  <c:v>45</c:v>
                </c:pt>
                <c:pt idx="6">
                  <c:v>46</c:v>
                </c:pt>
                <c:pt idx="7">
                  <c:v>47</c:v>
                </c:pt>
                <c:pt idx="8">
                  <c:v>52</c:v>
                </c:pt>
                <c:pt idx="9">
                  <c:v>68</c:v>
                </c:pt>
                <c:pt idx="10">
                  <c:v>70</c:v>
                </c:pt>
                <c:pt idx="11">
                  <c:v>70</c:v>
                </c:pt>
                <c:pt idx="12">
                  <c:v>70</c:v>
                </c:pt>
                <c:pt idx="13">
                  <c:v>72</c:v>
                </c:pt>
                <c:pt idx="14">
                  <c:v>85</c:v>
                </c:pt>
                <c:pt idx="15">
                  <c:v>98</c:v>
                </c:pt>
                <c:pt idx="16">
                  <c:v>111</c:v>
                </c:pt>
                <c:pt idx="17">
                  <c:v>128</c:v>
                </c:pt>
                <c:pt idx="18">
                  <c:v>129</c:v>
                </c:pt>
                <c:pt idx="19">
                  <c:v>131</c:v>
                </c:pt>
                <c:pt idx="20">
                  <c:v>133</c:v>
                </c:pt>
                <c:pt idx="21">
                  <c:v>138</c:v>
                </c:pt>
                <c:pt idx="22">
                  <c:v>151</c:v>
                </c:pt>
                <c:pt idx="23">
                  <c:v>156</c:v>
                </c:pt>
                <c:pt idx="24">
                  <c:v>161</c:v>
                </c:pt>
                <c:pt idx="25">
                  <c:v>177</c:v>
                </c:pt>
                <c:pt idx="26">
                  <c:v>193</c:v>
                </c:pt>
                <c:pt idx="27">
                  <c:v>194</c:v>
                </c:pt>
                <c:pt idx="28">
                  <c:v>197</c:v>
                </c:pt>
                <c:pt idx="29">
                  <c:v>198</c:v>
                </c:pt>
                <c:pt idx="30">
                  <c:v>204</c:v>
                </c:pt>
                <c:pt idx="31">
                  <c:v>210</c:v>
                </c:pt>
                <c:pt idx="32">
                  <c:v>220</c:v>
                </c:pt>
              </c:numCache>
            </c:numRef>
          </c:val>
          <c:smooth val="0"/>
          <c:extLst>
            <c:ext xmlns:c16="http://schemas.microsoft.com/office/drawing/2014/chart" uri="{C3380CC4-5D6E-409C-BE32-E72D297353CC}">
              <c16:uniqueId val="{00000007-AA7F-FD49-9C25-4EDB35C90EC6}"/>
            </c:ext>
          </c:extLst>
        </c:ser>
        <c:ser>
          <c:idx val="8"/>
          <c:order val="8"/>
          <c:tx>
            <c:strRef>
              <c:f>'For stats end Y Score'!$A$10</c:f>
              <c:strCache>
                <c:ptCount val="1"/>
                <c:pt idx="0">
                  <c:v>Carmin</c:v>
                </c:pt>
              </c:strCache>
            </c:strRef>
          </c:tx>
          <c:spPr>
            <a:ln w="28575" cap="rnd">
              <a:solidFill>
                <a:schemeClr val="accent3">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Score'!$B$10:$AN$10</c:f>
              <c:numCache>
                <c:formatCode>General</c:formatCode>
                <c:ptCount val="39"/>
                <c:pt idx="0">
                  <c:v>4</c:v>
                </c:pt>
                <c:pt idx="1">
                  <c:v>17</c:v>
                </c:pt>
                <c:pt idx="2">
                  <c:v>22</c:v>
                </c:pt>
                <c:pt idx="3">
                  <c:v>24</c:v>
                </c:pt>
                <c:pt idx="4">
                  <c:v>26</c:v>
                </c:pt>
                <c:pt idx="5">
                  <c:v>29</c:v>
                </c:pt>
                <c:pt idx="6">
                  <c:v>33</c:v>
                </c:pt>
                <c:pt idx="7">
                  <c:v>35</c:v>
                </c:pt>
                <c:pt idx="8">
                  <c:v>36</c:v>
                </c:pt>
                <c:pt idx="9">
                  <c:v>44</c:v>
                </c:pt>
                <c:pt idx="10">
                  <c:v>59</c:v>
                </c:pt>
                <c:pt idx="11">
                  <c:v>71</c:v>
                </c:pt>
                <c:pt idx="12">
                  <c:v>76</c:v>
                </c:pt>
                <c:pt idx="13">
                  <c:v>76</c:v>
                </c:pt>
                <c:pt idx="14">
                  <c:v>84</c:v>
                </c:pt>
                <c:pt idx="15">
                  <c:v>88</c:v>
                </c:pt>
                <c:pt idx="16">
                  <c:v>90</c:v>
                </c:pt>
                <c:pt idx="17">
                  <c:v>99</c:v>
                </c:pt>
                <c:pt idx="18">
                  <c:v>107</c:v>
                </c:pt>
                <c:pt idx="19">
                  <c:v>114</c:v>
                </c:pt>
                <c:pt idx="20">
                  <c:v>119</c:v>
                </c:pt>
                <c:pt idx="21">
                  <c:v>121</c:v>
                </c:pt>
                <c:pt idx="22">
                  <c:v>133</c:v>
                </c:pt>
                <c:pt idx="23">
                  <c:v>146</c:v>
                </c:pt>
                <c:pt idx="24">
                  <c:v>148</c:v>
                </c:pt>
                <c:pt idx="25">
                  <c:v>148</c:v>
                </c:pt>
                <c:pt idx="26">
                  <c:v>151</c:v>
                </c:pt>
                <c:pt idx="27">
                  <c:v>151</c:v>
                </c:pt>
                <c:pt idx="28">
                  <c:v>151</c:v>
                </c:pt>
                <c:pt idx="29">
                  <c:v>153</c:v>
                </c:pt>
                <c:pt idx="30">
                  <c:v>153</c:v>
                </c:pt>
                <c:pt idx="31">
                  <c:v>155</c:v>
                </c:pt>
                <c:pt idx="32">
                  <c:v>161</c:v>
                </c:pt>
              </c:numCache>
            </c:numRef>
          </c:val>
          <c:smooth val="0"/>
          <c:extLst>
            <c:ext xmlns:c16="http://schemas.microsoft.com/office/drawing/2014/chart" uri="{C3380CC4-5D6E-409C-BE32-E72D297353CC}">
              <c16:uniqueId val="{00000008-AA7F-FD49-9C25-4EDB35C90EC6}"/>
            </c:ext>
          </c:extLst>
        </c:ser>
        <c:ser>
          <c:idx val="9"/>
          <c:order val="9"/>
          <c:tx>
            <c:strRef>
              <c:f>'For stats end Y Score'!$A$11</c:f>
              <c:strCache>
                <c:ptCount val="1"/>
                <c:pt idx="0">
                  <c:v>Catherine</c:v>
                </c:pt>
              </c:strCache>
            </c:strRef>
          </c:tx>
          <c:spPr>
            <a:ln w="28575" cap="rnd">
              <a:solidFill>
                <a:schemeClr val="accent4">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Score'!$B$11:$AN$11</c:f>
              <c:numCache>
                <c:formatCode>General</c:formatCode>
                <c:ptCount val="39"/>
                <c:pt idx="0">
                  <c:v>1</c:v>
                </c:pt>
                <c:pt idx="1">
                  <c:v>6</c:v>
                </c:pt>
                <c:pt idx="2">
                  <c:v>8</c:v>
                </c:pt>
                <c:pt idx="3">
                  <c:v>11</c:v>
                </c:pt>
                <c:pt idx="4">
                  <c:v>14</c:v>
                </c:pt>
                <c:pt idx="5">
                  <c:v>26</c:v>
                </c:pt>
                <c:pt idx="6">
                  <c:v>38</c:v>
                </c:pt>
                <c:pt idx="7">
                  <c:v>39</c:v>
                </c:pt>
                <c:pt idx="8">
                  <c:v>47</c:v>
                </c:pt>
                <c:pt idx="9">
                  <c:v>55</c:v>
                </c:pt>
                <c:pt idx="10">
                  <c:v>59</c:v>
                </c:pt>
                <c:pt idx="11">
                  <c:v>67</c:v>
                </c:pt>
                <c:pt idx="12">
                  <c:v>75</c:v>
                </c:pt>
                <c:pt idx="13">
                  <c:v>92</c:v>
                </c:pt>
                <c:pt idx="14">
                  <c:v>104</c:v>
                </c:pt>
                <c:pt idx="15">
                  <c:v>106</c:v>
                </c:pt>
                <c:pt idx="16">
                  <c:v>109</c:v>
                </c:pt>
                <c:pt idx="17">
                  <c:v>114</c:v>
                </c:pt>
                <c:pt idx="18">
                  <c:v>122</c:v>
                </c:pt>
                <c:pt idx="19">
                  <c:v>133</c:v>
                </c:pt>
                <c:pt idx="20">
                  <c:v>134</c:v>
                </c:pt>
                <c:pt idx="21">
                  <c:v>142</c:v>
                </c:pt>
                <c:pt idx="22">
                  <c:v>146</c:v>
                </c:pt>
                <c:pt idx="23">
                  <c:v>159</c:v>
                </c:pt>
                <c:pt idx="24">
                  <c:v>159</c:v>
                </c:pt>
                <c:pt idx="25">
                  <c:v>160</c:v>
                </c:pt>
                <c:pt idx="26">
                  <c:v>160</c:v>
                </c:pt>
                <c:pt idx="27">
                  <c:v>161</c:v>
                </c:pt>
                <c:pt idx="28">
                  <c:v>161</c:v>
                </c:pt>
                <c:pt idx="29">
                  <c:v>172</c:v>
                </c:pt>
                <c:pt idx="30">
                  <c:v>174</c:v>
                </c:pt>
                <c:pt idx="31">
                  <c:v>176</c:v>
                </c:pt>
                <c:pt idx="32">
                  <c:v>176</c:v>
                </c:pt>
              </c:numCache>
            </c:numRef>
          </c:val>
          <c:smooth val="0"/>
          <c:extLst>
            <c:ext xmlns:c16="http://schemas.microsoft.com/office/drawing/2014/chart" uri="{C3380CC4-5D6E-409C-BE32-E72D297353CC}">
              <c16:uniqueId val="{00000009-AA7F-FD49-9C25-4EDB35C90EC6}"/>
            </c:ext>
          </c:extLst>
        </c:ser>
        <c:ser>
          <c:idx val="10"/>
          <c:order val="10"/>
          <c:tx>
            <c:strRef>
              <c:f>'For stats end Y Score'!$A$12</c:f>
              <c:strCache>
                <c:ptCount val="1"/>
                <c:pt idx="0">
                  <c:v>Chico</c:v>
                </c:pt>
              </c:strCache>
            </c:strRef>
          </c:tx>
          <c:spPr>
            <a:ln w="28575" cap="rnd">
              <a:solidFill>
                <a:schemeClr val="accent5">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Score'!$B$12:$AN$12</c:f>
              <c:numCache>
                <c:formatCode>General</c:formatCode>
                <c:ptCount val="39"/>
                <c:pt idx="0">
                  <c:v>3</c:v>
                </c:pt>
                <c:pt idx="1">
                  <c:v>3</c:v>
                </c:pt>
                <c:pt idx="2">
                  <c:v>3</c:v>
                </c:pt>
                <c:pt idx="3">
                  <c:v>20</c:v>
                </c:pt>
                <c:pt idx="4">
                  <c:v>27</c:v>
                </c:pt>
                <c:pt idx="5">
                  <c:v>27</c:v>
                </c:pt>
                <c:pt idx="6">
                  <c:v>31</c:v>
                </c:pt>
                <c:pt idx="7">
                  <c:v>31</c:v>
                </c:pt>
                <c:pt idx="8">
                  <c:v>31</c:v>
                </c:pt>
                <c:pt idx="9">
                  <c:v>31</c:v>
                </c:pt>
                <c:pt idx="10">
                  <c:v>31</c:v>
                </c:pt>
                <c:pt idx="11">
                  <c:v>31</c:v>
                </c:pt>
                <c:pt idx="12">
                  <c:v>31</c:v>
                </c:pt>
                <c:pt idx="13">
                  <c:v>31</c:v>
                </c:pt>
                <c:pt idx="14">
                  <c:v>35</c:v>
                </c:pt>
                <c:pt idx="15">
                  <c:v>35</c:v>
                </c:pt>
                <c:pt idx="16">
                  <c:v>44</c:v>
                </c:pt>
                <c:pt idx="17">
                  <c:v>46</c:v>
                </c:pt>
                <c:pt idx="18">
                  <c:v>46</c:v>
                </c:pt>
                <c:pt idx="19">
                  <c:v>46</c:v>
                </c:pt>
                <c:pt idx="20">
                  <c:v>46</c:v>
                </c:pt>
                <c:pt idx="21">
                  <c:v>63</c:v>
                </c:pt>
                <c:pt idx="22">
                  <c:v>72</c:v>
                </c:pt>
                <c:pt idx="23">
                  <c:v>77</c:v>
                </c:pt>
                <c:pt idx="24">
                  <c:v>77</c:v>
                </c:pt>
                <c:pt idx="25">
                  <c:v>77</c:v>
                </c:pt>
                <c:pt idx="26">
                  <c:v>93</c:v>
                </c:pt>
                <c:pt idx="27">
                  <c:v>93</c:v>
                </c:pt>
                <c:pt idx="28">
                  <c:v>93</c:v>
                </c:pt>
                <c:pt idx="29">
                  <c:v>93</c:v>
                </c:pt>
                <c:pt idx="30">
                  <c:v>93</c:v>
                </c:pt>
                <c:pt idx="31">
                  <c:v>101</c:v>
                </c:pt>
                <c:pt idx="32">
                  <c:v>101</c:v>
                </c:pt>
              </c:numCache>
            </c:numRef>
          </c:val>
          <c:smooth val="0"/>
          <c:extLst>
            <c:ext xmlns:c16="http://schemas.microsoft.com/office/drawing/2014/chart" uri="{C3380CC4-5D6E-409C-BE32-E72D297353CC}">
              <c16:uniqueId val="{0000000A-AA7F-FD49-9C25-4EDB35C90EC6}"/>
            </c:ext>
          </c:extLst>
        </c:ser>
        <c:ser>
          <c:idx val="11"/>
          <c:order val="11"/>
          <c:tx>
            <c:strRef>
              <c:f>'For stats end Y Score'!$A$13</c:f>
              <c:strCache>
                <c:ptCount val="1"/>
                <c:pt idx="0">
                  <c:v>ChrisFrankfurt</c:v>
                </c:pt>
              </c:strCache>
            </c:strRef>
          </c:tx>
          <c:spPr>
            <a:ln w="28575" cap="rnd">
              <a:solidFill>
                <a:schemeClr val="accent6">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Score'!$B$13:$AN$13</c:f>
              <c:numCache>
                <c:formatCode>General</c:formatCode>
                <c:ptCount val="39"/>
                <c:pt idx="0">
                  <c:v>9</c:v>
                </c:pt>
                <c:pt idx="1">
                  <c:v>9</c:v>
                </c:pt>
                <c:pt idx="2">
                  <c:v>17</c:v>
                </c:pt>
                <c:pt idx="3">
                  <c:v>17</c:v>
                </c:pt>
                <c:pt idx="4">
                  <c:v>17</c:v>
                </c:pt>
                <c:pt idx="5">
                  <c:v>17</c:v>
                </c:pt>
                <c:pt idx="6">
                  <c:v>19</c:v>
                </c:pt>
                <c:pt idx="7">
                  <c:v>28</c:v>
                </c:pt>
                <c:pt idx="8">
                  <c:v>28</c:v>
                </c:pt>
                <c:pt idx="9">
                  <c:v>40</c:v>
                </c:pt>
                <c:pt idx="10">
                  <c:v>40</c:v>
                </c:pt>
                <c:pt idx="11">
                  <c:v>40</c:v>
                </c:pt>
                <c:pt idx="12">
                  <c:v>40</c:v>
                </c:pt>
                <c:pt idx="13">
                  <c:v>53</c:v>
                </c:pt>
                <c:pt idx="14">
                  <c:v>54</c:v>
                </c:pt>
                <c:pt idx="15">
                  <c:v>72</c:v>
                </c:pt>
                <c:pt idx="16">
                  <c:v>72</c:v>
                </c:pt>
                <c:pt idx="17">
                  <c:v>73</c:v>
                </c:pt>
                <c:pt idx="18">
                  <c:v>85</c:v>
                </c:pt>
                <c:pt idx="19">
                  <c:v>85</c:v>
                </c:pt>
                <c:pt idx="20">
                  <c:v>85</c:v>
                </c:pt>
                <c:pt idx="21">
                  <c:v>85</c:v>
                </c:pt>
                <c:pt idx="22">
                  <c:v>85</c:v>
                </c:pt>
                <c:pt idx="23">
                  <c:v>85</c:v>
                </c:pt>
                <c:pt idx="24">
                  <c:v>89</c:v>
                </c:pt>
                <c:pt idx="25">
                  <c:v>105</c:v>
                </c:pt>
                <c:pt idx="26">
                  <c:v>106</c:v>
                </c:pt>
                <c:pt idx="27">
                  <c:v>106</c:v>
                </c:pt>
                <c:pt idx="28">
                  <c:v>106</c:v>
                </c:pt>
                <c:pt idx="29">
                  <c:v>106</c:v>
                </c:pt>
                <c:pt idx="30">
                  <c:v>106</c:v>
                </c:pt>
                <c:pt idx="31">
                  <c:v>106</c:v>
                </c:pt>
                <c:pt idx="32">
                  <c:v>106</c:v>
                </c:pt>
              </c:numCache>
            </c:numRef>
          </c:val>
          <c:smooth val="0"/>
          <c:extLst>
            <c:ext xmlns:c16="http://schemas.microsoft.com/office/drawing/2014/chart" uri="{C3380CC4-5D6E-409C-BE32-E72D297353CC}">
              <c16:uniqueId val="{0000000B-AA7F-FD49-9C25-4EDB35C90EC6}"/>
            </c:ext>
          </c:extLst>
        </c:ser>
        <c:ser>
          <c:idx val="12"/>
          <c:order val="12"/>
          <c:tx>
            <c:strRef>
              <c:f>'For stats end Y Score'!$A$14</c:f>
              <c:strCache>
                <c:ptCount val="1"/>
                <c:pt idx="0">
                  <c:v>Claire</c:v>
                </c:pt>
              </c:strCache>
            </c:strRef>
          </c:tx>
          <c:spPr>
            <a:ln w="28575" cap="rnd">
              <a:solidFill>
                <a:schemeClr val="accent1">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Score'!$B$14:$AN$14</c:f>
              <c:numCache>
                <c:formatCode>General</c:formatCode>
                <c:ptCount val="39"/>
                <c:pt idx="0">
                  <c:v>0</c:v>
                </c:pt>
                <c:pt idx="1">
                  <c:v>0</c:v>
                </c:pt>
                <c:pt idx="2">
                  <c:v>0</c:v>
                </c:pt>
                <c:pt idx="3">
                  <c:v>0</c:v>
                </c:pt>
                <c:pt idx="4">
                  <c:v>0</c:v>
                </c:pt>
                <c:pt idx="5">
                  <c:v>0</c:v>
                </c:pt>
                <c:pt idx="6">
                  <c:v>0</c:v>
                </c:pt>
                <c:pt idx="7">
                  <c:v>0</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numCache>
            </c:numRef>
          </c:val>
          <c:smooth val="0"/>
          <c:extLst>
            <c:ext xmlns:c16="http://schemas.microsoft.com/office/drawing/2014/chart" uri="{C3380CC4-5D6E-409C-BE32-E72D297353CC}">
              <c16:uniqueId val="{0000000C-AA7F-FD49-9C25-4EDB35C90EC6}"/>
            </c:ext>
          </c:extLst>
        </c:ser>
        <c:ser>
          <c:idx val="13"/>
          <c:order val="13"/>
          <c:tx>
            <c:strRef>
              <c:f>'For stats end Y Score'!$A$15</c:f>
              <c:strCache>
                <c:ptCount val="1"/>
                <c:pt idx="0">
                  <c:v>Claptou</c:v>
                </c:pt>
              </c:strCache>
            </c:strRef>
          </c:tx>
          <c:spPr>
            <a:ln w="28575" cap="rnd">
              <a:solidFill>
                <a:schemeClr val="accent2">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Score'!$B$15:$AN$15</c:f>
              <c:numCache>
                <c:formatCode>General</c:formatCode>
                <c:ptCount val="39"/>
                <c:pt idx="0">
                  <c:v>0</c:v>
                </c:pt>
                <c:pt idx="1">
                  <c:v>2</c:v>
                </c:pt>
                <c:pt idx="2">
                  <c:v>14</c:v>
                </c:pt>
                <c:pt idx="3">
                  <c:v>19</c:v>
                </c:pt>
                <c:pt idx="4">
                  <c:v>24</c:v>
                </c:pt>
                <c:pt idx="5">
                  <c:v>41</c:v>
                </c:pt>
                <c:pt idx="6">
                  <c:v>49</c:v>
                </c:pt>
                <c:pt idx="7">
                  <c:v>62</c:v>
                </c:pt>
                <c:pt idx="8">
                  <c:v>74</c:v>
                </c:pt>
                <c:pt idx="9">
                  <c:v>78</c:v>
                </c:pt>
                <c:pt idx="10">
                  <c:v>94</c:v>
                </c:pt>
                <c:pt idx="11">
                  <c:v>96</c:v>
                </c:pt>
                <c:pt idx="12">
                  <c:v>113</c:v>
                </c:pt>
                <c:pt idx="13">
                  <c:v>122</c:v>
                </c:pt>
                <c:pt idx="14">
                  <c:v>139</c:v>
                </c:pt>
                <c:pt idx="15">
                  <c:v>144</c:v>
                </c:pt>
                <c:pt idx="16">
                  <c:v>146</c:v>
                </c:pt>
                <c:pt idx="17">
                  <c:v>146</c:v>
                </c:pt>
                <c:pt idx="18">
                  <c:v>146</c:v>
                </c:pt>
                <c:pt idx="19">
                  <c:v>147</c:v>
                </c:pt>
                <c:pt idx="20">
                  <c:v>149</c:v>
                </c:pt>
                <c:pt idx="21">
                  <c:v>149</c:v>
                </c:pt>
                <c:pt idx="22">
                  <c:v>152</c:v>
                </c:pt>
                <c:pt idx="23">
                  <c:v>154</c:v>
                </c:pt>
                <c:pt idx="24">
                  <c:v>158</c:v>
                </c:pt>
                <c:pt idx="25">
                  <c:v>174</c:v>
                </c:pt>
                <c:pt idx="26">
                  <c:v>176</c:v>
                </c:pt>
                <c:pt idx="27">
                  <c:v>176</c:v>
                </c:pt>
                <c:pt idx="28">
                  <c:v>188</c:v>
                </c:pt>
                <c:pt idx="29">
                  <c:v>188</c:v>
                </c:pt>
                <c:pt idx="30">
                  <c:v>189</c:v>
                </c:pt>
                <c:pt idx="31">
                  <c:v>189</c:v>
                </c:pt>
                <c:pt idx="32">
                  <c:v>189</c:v>
                </c:pt>
              </c:numCache>
            </c:numRef>
          </c:val>
          <c:smooth val="0"/>
          <c:extLst>
            <c:ext xmlns:c16="http://schemas.microsoft.com/office/drawing/2014/chart" uri="{C3380CC4-5D6E-409C-BE32-E72D297353CC}">
              <c16:uniqueId val="{0000000D-AA7F-FD49-9C25-4EDB35C90EC6}"/>
            </c:ext>
          </c:extLst>
        </c:ser>
        <c:ser>
          <c:idx val="14"/>
          <c:order val="14"/>
          <c:tx>
            <c:strRef>
              <c:f>'For stats end Y Score'!$A$16</c:f>
              <c:strCache>
                <c:ptCount val="1"/>
                <c:pt idx="0">
                  <c:v>Claudius</c:v>
                </c:pt>
              </c:strCache>
            </c:strRef>
          </c:tx>
          <c:spPr>
            <a:ln w="28575" cap="rnd">
              <a:solidFill>
                <a:schemeClr val="accent3">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Score'!$B$16:$AN$16</c:f>
              <c:numCache>
                <c:formatCode>General</c:formatCode>
                <c:ptCount val="39"/>
                <c:pt idx="0">
                  <c:v>4</c:v>
                </c:pt>
                <c:pt idx="1">
                  <c:v>7</c:v>
                </c:pt>
                <c:pt idx="2">
                  <c:v>11</c:v>
                </c:pt>
                <c:pt idx="3">
                  <c:v>20</c:v>
                </c:pt>
                <c:pt idx="4">
                  <c:v>27</c:v>
                </c:pt>
                <c:pt idx="5">
                  <c:v>44</c:v>
                </c:pt>
                <c:pt idx="6">
                  <c:v>56</c:v>
                </c:pt>
                <c:pt idx="7">
                  <c:v>73</c:v>
                </c:pt>
                <c:pt idx="8">
                  <c:v>81</c:v>
                </c:pt>
                <c:pt idx="9">
                  <c:v>93</c:v>
                </c:pt>
                <c:pt idx="10">
                  <c:v>109</c:v>
                </c:pt>
                <c:pt idx="11">
                  <c:v>121</c:v>
                </c:pt>
                <c:pt idx="12">
                  <c:v>133</c:v>
                </c:pt>
                <c:pt idx="13">
                  <c:v>145</c:v>
                </c:pt>
                <c:pt idx="14">
                  <c:v>158</c:v>
                </c:pt>
                <c:pt idx="15">
                  <c:v>160</c:v>
                </c:pt>
                <c:pt idx="16">
                  <c:v>163</c:v>
                </c:pt>
                <c:pt idx="17">
                  <c:v>180</c:v>
                </c:pt>
                <c:pt idx="18">
                  <c:v>192</c:v>
                </c:pt>
                <c:pt idx="19">
                  <c:v>193</c:v>
                </c:pt>
                <c:pt idx="20">
                  <c:v>206</c:v>
                </c:pt>
                <c:pt idx="21">
                  <c:v>215</c:v>
                </c:pt>
                <c:pt idx="22">
                  <c:v>219</c:v>
                </c:pt>
                <c:pt idx="23">
                  <c:v>220</c:v>
                </c:pt>
                <c:pt idx="24">
                  <c:v>223</c:v>
                </c:pt>
                <c:pt idx="25">
                  <c:v>226</c:v>
                </c:pt>
                <c:pt idx="26">
                  <c:v>228</c:v>
                </c:pt>
                <c:pt idx="27">
                  <c:v>228</c:v>
                </c:pt>
                <c:pt idx="28">
                  <c:v>234</c:v>
                </c:pt>
                <c:pt idx="29">
                  <c:v>234</c:v>
                </c:pt>
                <c:pt idx="30">
                  <c:v>235</c:v>
                </c:pt>
                <c:pt idx="31">
                  <c:v>243</c:v>
                </c:pt>
                <c:pt idx="32">
                  <c:v>243</c:v>
                </c:pt>
              </c:numCache>
            </c:numRef>
          </c:val>
          <c:smooth val="0"/>
          <c:extLst>
            <c:ext xmlns:c16="http://schemas.microsoft.com/office/drawing/2014/chart" uri="{C3380CC4-5D6E-409C-BE32-E72D297353CC}">
              <c16:uniqueId val="{0000000E-AA7F-FD49-9C25-4EDB35C90EC6}"/>
            </c:ext>
          </c:extLst>
        </c:ser>
        <c:ser>
          <c:idx val="15"/>
          <c:order val="15"/>
          <c:tx>
            <c:strRef>
              <c:f>'For stats end Y Score'!$A$17</c:f>
              <c:strCache>
                <c:ptCount val="1"/>
                <c:pt idx="0">
                  <c:v>CoachNasser</c:v>
                </c:pt>
              </c:strCache>
            </c:strRef>
          </c:tx>
          <c:spPr>
            <a:ln w="28575" cap="rnd">
              <a:solidFill>
                <a:schemeClr val="accent4">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Score'!$B$17:$AN$17</c:f>
              <c:numCache>
                <c:formatCode>General</c:formatCode>
                <c:ptCount val="39"/>
                <c:pt idx="0">
                  <c:v>0</c:v>
                </c:pt>
                <c:pt idx="1">
                  <c:v>0</c:v>
                </c:pt>
                <c:pt idx="2">
                  <c:v>0</c:v>
                </c:pt>
                <c:pt idx="3">
                  <c:v>0</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numCache>
            </c:numRef>
          </c:val>
          <c:smooth val="0"/>
          <c:extLst>
            <c:ext xmlns:c16="http://schemas.microsoft.com/office/drawing/2014/chart" uri="{C3380CC4-5D6E-409C-BE32-E72D297353CC}">
              <c16:uniqueId val="{0000000F-AA7F-FD49-9C25-4EDB35C90EC6}"/>
            </c:ext>
          </c:extLst>
        </c:ser>
        <c:ser>
          <c:idx val="16"/>
          <c:order val="16"/>
          <c:tx>
            <c:strRef>
              <c:f>'For stats end Y Score'!$A$18</c:f>
              <c:strCache>
                <c:ptCount val="1"/>
                <c:pt idx="0">
                  <c:v>Comment2</c:v>
                </c:pt>
              </c:strCache>
            </c:strRef>
          </c:tx>
          <c:spPr>
            <a:ln w="28575" cap="rnd">
              <a:solidFill>
                <a:schemeClr val="accent5">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Score'!$B$18:$AN$18</c:f>
              <c:numCache>
                <c:formatCode>General</c:formatCode>
                <c:ptCount val="39"/>
                <c:pt idx="0">
                  <c:v>0</c:v>
                </c:pt>
                <c:pt idx="1">
                  <c:v>9</c:v>
                </c:pt>
                <c:pt idx="2">
                  <c:v>12</c:v>
                </c:pt>
                <c:pt idx="3">
                  <c:v>12</c:v>
                </c:pt>
                <c:pt idx="4">
                  <c:v>15</c:v>
                </c:pt>
                <c:pt idx="5">
                  <c:v>27</c:v>
                </c:pt>
                <c:pt idx="6">
                  <c:v>27</c:v>
                </c:pt>
                <c:pt idx="7">
                  <c:v>31</c:v>
                </c:pt>
                <c:pt idx="8">
                  <c:v>31</c:v>
                </c:pt>
                <c:pt idx="9">
                  <c:v>32</c:v>
                </c:pt>
                <c:pt idx="10">
                  <c:v>32</c:v>
                </c:pt>
                <c:pt idx="11">
                  <c:v>34</c:v>
                </c:pt>
                <c:pt idx="12">
                  <c:v>35</c:v>
                </c:pt>
                <c:pt idx="13">
                  <c:v>37</c:v>
                </c:pt>
                <c:pt idx="14">
                  <c:v>49</c:v>
                </c:pt>
                <c:pt idx="15">
                  <c:v>49</c:v>
                </c:pt>
                <c:pt idx="16">
                  <c:v>62</c:v>
                </c:pt>
                <c:pt idx="17">
                  <c:v>65</c:v>
                </c:pt>
                <c:pt idx="18">
                  <c:v>65</c:v>
                </c:pt>
                <c:pt idx="19">
                  <c:v>65</c:v>
                </c:pt>
                <c:pt idx="20">
                  <c:v>73</c:v>
                </c:pt>
                <c:pt idx="21">
                  <c:v>73</c:v>
                </c:pt>
                <c:pt idx="22">
                  <c:v>74</c:v>
                </c:pt>
                <c:pt idx="23">
                  <c:v>75</c:v>
                </c:pt>
                <c:pt idx="24">
                  <c:v>87</c:v>
                </c:pt>
                <c:pt idx="25">
                  <c:v>95</c:v>
                </c:pt>
                <c:pt idx="26">
                  <c:v>96</c:v>
                </c:pt>
                <c:pt idx="27">
                  <c:v>97</c:v>
                </c:pt>
                <c:pt idx="28">
                  <c:v>97</c:v>
                </c:pt>
                <c:pt idx="29">
                  <c:v>97</c:v>
                </c:pt>
                <c:pt idx="30">
                  <c:v>99</c:v>
                </c:pt>
                <c:pt idx="31">
                  <c:v>111</c:v>
                </c:pt>
                <c:pt idx="32">
                  <c:v>123</c:v>
                </c:pt>
              </c:numCache>
            </c:numRef>
          </c:val>
          <c:smooth val="0"/>
          <c:extLst>
            <c:ext xmlns:c16="http://schemas.microsoft.com/office/drawing/2014/chart" uri="{C3380CC4-5D6E-409C-BE32-E72D297353CC}">
              <c16:uniqueId val="{00000010-AA7F-FD49-9C25-4EDB35C90EC6}"/>
            </c:ext>
          </c:extLst>
        </c:ser>
        <c:ser>
          <c:idx val="17"/>
          <c:order val="17"/>
          <c:tx>
            <c:strRef>
              <c:f>'For stats end Y Score'!$A$19</c:f>
              <c:strCache>
                <c:ptCount val="1"/>
                <c:pt idx="0">
                  <c:v>Delgres</c:v>
                </c:pt>
              </c:strCache>
            </c:strRef>
          </c:tx>
          <c:spPr>
            <a:ln w="28575" cap="rnd">
              <a:solidFill>
                <a:schemeClr val="accent6">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Score'!$B$19:$AN$19</c:f>
              <c:numCache>
                <c:formatCode>General</c:formatCode>
                <c:ptCount val="39"/>
                <c:pt idx="0">
                  <c:v>0</c:v>
                </c:pt>
                <c:pt idx="1">
                  <c:v>0</c:v>
                </c:pt>
                <c:pt idx="2">
                  <c:v>0</c:v>
                </c:pt>
                <c:pt idx="3">
                  <c:v>13</c:v>
                </c:pt>
                <c:pt idx="4">
                  <c:v>22</c:v>
                </c:pt>
                <c:pt idx="5">
                  <c:v>23</c:v>
                </c:pt>
                <c:pt idx="6">
                  <c:v>24</c:v>
                </c:pt>
                <c:pt idx="7">
                  <c:v>32</c:v>
                </c:pt>
                <c:pt idx="8">
                  <c:v>36</c:v>
                </c:pt>
                <c:pt idx="9">
                  <c:v>44</c:v>
                </c:pt>
                <c:pt idx="10">
                  <c:v>60</c:v>
                </c:pt>
                <c:pt idx="11">
                  <c:v>62</c:v>
                </c:pt>
                <c:pt idx="12">
                  <c:v>71</c:v>
                </c:pt>
                <c:pt idx="13">
                  <c:v>71</c:v>
                </c:pt>
                <c:pt idx="14">
                  <c:v>80</c:v>
                </c:pt>
                <c:pt idx="15">
                  <c:v>80</c:v>
                </c:pt>
                <c:pt idx="16">
                  <c:v>89</c:v>
                </c:pt>
                <c:pt idx="17">
                  <c:v>92</c:v>
                </c:pt>
                <c:pt idx="18">
                  <c:v>93</c:v>
                </c:pt>
                <c:pt idx="19">
                  <c:v>105</c:v>
                </c:pt>
                <c:pt idx="20">
                  <c:v>109</c:v>
                </c:pt>
                <c:pt idx="21">
                  <c:v>109</c:v>
                </c:pt>
                <c:pt idx="22">
                  <c:v>111</c:v>
                </c:pt>
                <c:pt idx="23">
                  <c:v>113</c:v>
                </c:pt>
                <c:pt idx="24">
                  <c:v>116</c:v>
                </c:pt>
                <c:pt idx="25">
                  <c:v>117</c:v>
                </c:pt>
                <c:pt idx="26">
                  <c:v>118</c:v>
                </c:pt>
                <c:pt idx="27">
                  <c:v>126</c:v>
                </c:pt>
                <c:pt idx="28">
                  <c:v>126</c:v>
                </c:pt>
                <c:pt idx="29">
                  <c:v>138</c:v>
                </c:pt>
                <c:pt idx="30">
                  <c:v>139</c:v>
                </c:pt>
                <c:pt idx="31">
                  <c:v>146</c:v>
                </c:pt>
                <c:pt idx="32">
                  <c:v>157</c:v>
                </c:pt>
              </c:numCache>
            </c:numRef>
          </c:val>
          <c:smooth val="0"/>
          <c:extLst>
            <c:ext xmlns:c16="http://schemas.microsoft.com/office/drawing/2014/chart" uri="{C3380CC4-5D6E-409C-BE32-E72D297353CC}">
              <c16:uniqueId val="{00000011-AA7F-FD49-9C25-4EDB35C90EC6}"/>
            </c:ext>
          </c:extLst>
        </c:ser>
        <c:ser>
          <c:idx val="18"/>
          <c:order val="18"/>
          <c:tx>
            <c:strRef>
              <c:f>'For stats end Y Score'!$A$20</c:f>
              <c:strCache>
                <c:ptCount val="1"/>
                <c:pt idx="0">
                  <c:v>DernierPli</c:v>
                </c:pt>
              </c:strCache>
            </c:strRef>
          </c:tx>
          <c:spPr>
            <a:ln w="28575" cap="rnd">
              <a:solidFill>
                <a:schemeClr val="accent1">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Score'!$B$20:$AN$20</c:f>
              <c:numCache>
                <c:formatCode>General</c:formatCode>
                <c:ptCount val="39"/>
                <c:pt idx="0">
                  <c:v>12</c:v>
                </c:pt>
                <c:pt idx="1">
                  <c:v>16</c:v>
                </c:pt>
                <c:pt idx="2">
                  <c:v>29</c:v>
                </c:pt>
                <c:pt idx="3">
                  <c:v>46</c:v>
                </c:pt>
                <c:pt idx="4">
                  <c:v>46</c:v>
                </c:pt>
                <c:pt idx="5">
                  <c:v>49</c:v>
                </c:pt>
                <c:pt idx="6">
                  <c:v>65</c:v>
                </c:pt>
                <c:pt idx="7">
                  <c:v>68</c:v>
                </c:pt>
                <c:pt idx="8">
                  <c:v>80</c:v>
                </c:pt>
                <c:pt idx="9">
                  <c:v>83</c:v>
                </c:pt>
                <c:pt idx="10">
                  <c:v>91</c:v>
                </c:pt>
                <c:pt idx="11">
                  <c:v>107</c:v>
                </c:pt>
                <c:pt idx="12">
                  <c:v>107</c:v>
                </c:pt>
                <c:pt idx="13">
                  <c:v>112</c:v>
                </c:pt>
                <c:pt idx="14">
                  <c:v>120</c:v>
                </c:pt>
                <c:pt idx="15">
                  <c:v>129</c:v>
                </c:pt>
                <c:pt idx="16">
                  <c:v>142</c:v>
                </c:pt>
                <c:pt idx="17">
                  <c:v>147</c:v>
                </c:pt>
                <c:pt idx="18">
                  <c:v>149</c:v>
                </c:pt>
                <c:pt idx="19">
                  <c:v>149</c:v>
                </c:pt>
                <c:pt idx="20">
                  <c:v>149</c:v>
                </c:pt>
                <c:pt idx="21">
                  <c:v>166</c:v>
                </c:pt>
                <c:pt idx="22">
                  <c:v>183</c:v>
                </c:pt>
                <c:pt idx="23">
                  <c:v>192</c:v>
                </c:pt>
                <c:pt idx="24">
                  <c:v>197</c:v>
                </c:pt>
                <c:pt idx="25">
                  <c:v>209</c:v>
                </c:pt>
                <c:pt idx="26">
                  <c:v>209</c:v>
                </c:pt>
                <c:pt idx="27">
                  <c:v>211</c:v>
                </c:pt>
                <c:pt idx="28">
                  <c:v>227</c:v>
                </c:pt>
                <c:pt idx="29">
                  <c:v>234</c:v>
                </c:pt>
                <c:pt idx="30">
                  <c:v>244</c:v>
                </c:pt>
                <c:pt idx="31">
                  <c:v>245</c:v>
                </c:pt>
                <c:pt idx="32">
                  <c:v>250</c:v>
                </c:pt>
              </c:numCache>
            </c:numRef>
          </c:val>
          <c:smooth val="0"/>
          <c:extLst>
            <c:ext xmlns:c16="http://schemas.microsoft.com/office/drawing/2014/chart" uri="{C3380CC4-5D6E-409C-BE32-E72D297353CC}">
              <c16:uniqueId val="{00000012-AA7F-FD49-9C25-4EDB35C90EC6}"/>
            </c:ext>
          </c:extLst>
        </c:ser>
        <c:ser>
          <c:idx val="19"/>
          <c:order val="19"/>
          <c:tx>
            <c:strRef>
              <c:f>'For stats end Y Score'!$A$21</c:f>
              <c:strCache>
                <c:ptCount val="1"/>
                <c:pt idx="0">
                  <c:v>Djecus</c:v>
                </c:pt>
              </c:strCache>
            </c:strRef>
          </c:tx>
          <c:spPr>
            <a:ln w="28575" cap="rnd">
              <a:solidFill>
                <a:schemeClr val="accent2">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Score'!$B$21:$AN$21</c:f>
              <c:numCache>
                <c:formatCode>General</c:formatCode>
                <c:ptCount val="39"/>
                <c:pt idx="0">
                  <c:v>4</c:v>
                </c:pt>
                <c:pt idx="1">
                  <c:v>5</c:v>
                </c:pt>
                <c:pt idx="2">
                  <c:v>14</c:v>
                </c:pt>
                <c:pt idx="3">
                  <c:v>31</c:v>
                </c:pt>
                <c:pt idx="4">
                  <c:v>44</c:v>
                </c:pt>
                <c:pt idx="5">
                  <c:v>52</c:v>
                </c:pt>
                <c:pt idx="6">
                  <c:v>52</c:v>
                </c:pt>
                <c:pt idx="7">
                  <c:v>52</c:v>
                </c:pt>
                <c:pt idx="8">
                  <c:v>56</c:v>
                </c:pt>
                <c:pt idx="9">
                  <c:v>63</c:v>
                </c:pt>
                <c:pt idx="10">
                  <c:v>66</c:v>
                </c:pt>
                <c:pt idx="11">
                  <c:v>67</c:v>
                </c:pt>
                <c:pt idx="12">
                  <c:v>72</c:v>
                </c:pt>
                <c:pt idx="13">
                  <c:v>85</c:v>
                </c:pt>
                <c:pt idx="14">
                  <c:v>101</c:v>
                </c:pt>
                <c:pt idx="15">
                  <c:v>118</c:v>
                </c:pt>
                <c:pt idx="16">
                  <c:v>127</c:v>
                </c:pt>
                <c:pt idx="17">
                  <c:v>132</c:v>
                </c:pt>
                <c:pt idx="18">
                  <c:v>144</c:v>
                </c:pt>
                <c:pt idx="19">
                  <c:v>144</c:v>
                </c:pt>
                <c:pt idx="20">
                  <c:v>161</c:v>
                </c:pt>
                <c:pt idx="21">
                  <c:v>166</c:v>
                </c:pt>
                <c:pt idx="22">
                  <c:v>175</c:v>
                </c:pt>
                <c:pt idx="23">
                  <c:v>175</c:v>
                </c:pt>
                <c:pt idx="24">
                  <c:v>187</c:v>
                </c:pt>
                <c:pt idx="25">
                  <c:v>195</c:v>
                </c:pt>
                <c:pt idx="26">
                  <c:v>207</c:v>
                </c:pt>
                <c:pt idx="27">
                  <c:v>223</c:v>
                </c:pt>
                <c:pt idx="28">
                  <c:v>223</c:v>
                </c:pt>
                <c:pt idx="29">
                  <c:v>223</c:v>
                </c:pt>
                <c:pt idx="30">
                  <c:v>231</c:v>
                </c:pt>
                <c:pt idx="31">
                  <c:v>231</c:v>
                </c:pt>
                <c:pt idx="32">
                  <c:v>234</c:v>
                </c:pt>
              </c:numCache>
            </c:numRef>
          </c:val>
          <c:smooth val="0"/>
          <c:extLst>
            <c:ext xmlns:c16="http://schemas.microsoft.com/office/drawing/2014/chart" uri="{C3380CC4-5D6E-409C-BE32-E72D297353CC}">
              <c16:uniqueId val="{00000013-AA7F-FD49-9C25-4EDB35C90EC6}"/>
            </c:ext>
          </c:extLst>
        </c:ser>
        <c:ser>
          <c:idx val="20"/>
          <c:order val="20"/>
          <c:tx>
            <c:strRef>
              <c:f>'For stats end Y Score'!$A$22</c:f>
              <c:strCache>
                <c:ptCount val="1"/>
                <c:pt idx="0">
                  <c:v>djip92</c:v>
                </c:pt>
              </c:strCache>
            </c:strRef>
          </c:tx>
          <c:spPr>
            <a:ln w="28575" cap="rnd">
              <a:solidFill>
                <a:schemeClr val="accent3">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Score'!$B$22:$AN$22</c:f>
              <c:numCache>
                <c:formatCode>General</c:formatCode>
                <c:ptCount val="3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numCache>
            </c:numRef>
          </c:val>
          <c:smooth val="0"/>
          <c:extLst>
            <c:ext xmlns:c16="http://schemas.microsoft.com/office/drawing/2014/chart" uri="{C3380CC4-5D6E-409C-BE32-E72D297353CC}">
              <c16:uniqueId val="{00000014-AA7F-FD49-9C25-4EDB35C90EC6}"/>
            </c:ext>
          </c:extLst>
        </c:ser>
        <c:ser>
          <c:idx val="21"/>
          <c:order val="21"/>
          <c:tx>
            <c:strRef>
              <c:f>'For stats end Y Score'!$A$23</c:f>
              <c:strCache>
                <c:ptCount val="1"/>
                <c:pt idx="0">
                  <c:v>Empedocle</c:v>
                </c:pt>
              </c:strCache>
            </c:strRef>
          </c:tx>
          <c:spPr>
            <a:ln w="28575" cap="rnd">
              <a:solidFill>
                <a:schemeClr val="accent4">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Score'!$B$23:$AN$23</c:f>
              <c:numCache>
                <c:formatCode>General</c:formatCode>
                <c:ptCount val="39"/>
                <c:pt idx="0">
                  <c:v>0</c:v>
                </c:pt>
                <c:pt idx="1">
                  <c:v>0</c:v>
                </c:pt>
                <c:pt idx="2">
                  <c:v>0</c:v>
                </c:pt>
                <c:pt idx="3">
                  <c:v>17</c:v>
                </c:pt>
                <c:pt idx="4">
                  <c:v>20</c:v>
                </c:pt>
                <c:pt idx="5">
                  <c:v>33</c:v>
                </c:pt>
                <c:pt idx="6">
                  <c:v>35</c:v>
                </c:pt>
                <c:pt idx="7">
                  <c:v>35</c:v>
                </c:pt>
                <c:pt idx="8">
                  <c:v>52</c:v>
                </c:pt>
                <c:pt idx="9">
                  <c:v>64</c:v>
                </c:pt>
                <c:pt idx="10">
                  <c:v>72</c:v>
                </c:pt>
                <c:pt idx="11">
                  <c:v>72</c:v>
                </c:pt>
                <c:pt idx="12">
                  <c:v>72</c:v>
                </c:pt>
                <c:pt idx="13">
                  <c:v>80</c:v>
                </c:pt>
                <c:pt idx="14">
                  <c:v>80</c:v>
                </c:pt>
                <c:pt idx="15">
                  <c:v>85</c:v>
                </c:pt>
                <c:pt idx="16">
                  <c:v>102</c:v>
                </c:pt>
                <c:pt idx="17">
                  <c:v>105</c:v>
                </c:pt>
                <c:pt idx="18">
                  <c:v>113</c:v>
                </c:pt>
                <c:pt idx="19">
                  <c:v>120</c:v>
                </c:pt>
                <c:pt idx="20">
                  <c:v>129</c:v>
                </c:pt>
                <c:pt idx="21">
                  <c:v>131</c:v>
                </c:pt>
                <c:pt idx="22">
                  <c:v>132</c:v>
                </c:pt>
                <c:pt idx="23">
                  <c:v>132</c:v>
                </c:pt>
                <c:pt idx="24">
                  <c:v>136</c:v>
                </c:pt>
                <c:pt idx="25">
                  <c:v>140</c:v>
                </c:pt>
                <c:pt idx="26">
                  <c:v>143</c:v>
                </c:pt>
                <c:pt idx="27">
                  <c:v>143</c:v>
                </c:pt>
                <c:pt idx="28">
                  <c:v>144</c:v>
                </c:pt>
                <c:pt idx="29">
                  <c:v>153</c:v>
                </c:pt>
                <c:pt idx="30">
                  <c:v>153</c:v>
                </c:pt>
                <c:pt idx="31">
                  <c:v>153</c:v>
                </c:pt>
                <c:pt idx="32">
                  <c:v>153</c:v>
                </c:pt>
              </c:numCache>
            </c:numRef>
          </c:val>
          <c:smooth val="0"/>
          <c:extLst>
            <c:ext xmlns:c16="http://schemas.microsoft.com/office/drawing/2014/chart" uri="{C3380CC4-5D6E-409C-BE32-E72D297353CC}">
              <c16:uniqueId val="{00000015-AA7F-FD49-9C25-4EDB35C90EC6}"/>
            </c:ext>
          </c:extLst>
        </c:ser>
        <c:ser>
          <c:idx val="22"/>
          <c:order val="22"/>
          <c:tx>
            <c:strRef>
              <c:f>'For stats end Y Score'!$A$24</c:f>
              <c:strCache>
                <c:ptCount val="1"/>
                <c:pt idx="0">
                  <c:v>Fishtro</c:v>
                </c:pt>
              </c:strCache>
            </c:strRef>
          </c:tx>
          <c:spPr>
            <a:ln w="28575" cap="rnd">
              <a:solidFill>
                <a:schemeClr val="accent5">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Score'!$B$24:$AN$24</c:f>
              <c:numCache>
                <c:formatCode>General</c:formatCode>
                <c:ptCount val="39"/>
                <c:pt idx="0">
                  <c:v>8</c:v>
                </c:pt>
                <c:pt idx="1">
                  <c:v>20</c:v>
                </c:pt>
                <c:pt idx="2">
                  <c:v>36</c:v>
                </c:pt>
                <c:pt idx="3">
                  <c:v>49</c:v>
                </c:pt>
                <c:pt idx="4">
                  <c:v>60</c:v>
                </c:pt>
                <c:pt idx="5">
                  <c:v>62</c:v>
                </c:pt>
                <c:pt idx="6">
                  <c:v>62</c:v>
                </c:pt>
                <c:pt idx="7">
                  <c:v>66</c:v>
                </c:pt>
                <c:pt idx="8">
                  <c:v>67</c:v>
                </c:pt>
                <c:pt idx="9">
                  <c:v>69</c:v>
                </c:pt>
                <c:pt idx="10">
                  <c:v>71</c:v>
                </c:pt>
                <c:pt idx="11">
                  <c:v>79</c:v>
                </c:pt>
                <c:pt idx="12">
                  <c:v>80</c:v>
                </c:pt>
                <c:pt idx="13">
                  <c:v>85</c:v>
                </c:pt>
                <c:pt idx="14">
                  <c:v>87</c:v>
                </c:pt>
                <c:pt idx="15">
                  <c:v>88</c:v>
                </c:pt>
                <c:pt idx="16">
                  <c:v>104</c:v>
                </c:pt>
                <c:pt idx="17">
                  <c:v>104</c:v>
                </c:pt>
                <c:pt idx="18">
                  <c:v>105</c:v>
                </c:pt>
                <c:pt idx="19">
                  <c:v>109</c:v>
                </c:pt>
                <c:pt idx="20">
                  <c:v>111</c:v>
                </c:pt>
                <c:pt idx="21">
                  <c:v>123</c:v>
                </c:pt>
                <c:pt idx="22">
                  <c:v>125</c:v>
                </c:pt>
                <c:pt idx="23">
                  <c:v>128</c:v>
                </c:pt>
                <c:pt idx="24">
                  <c:v>128</c:v>
                </c:pt>
                <c:pt idx="25">
                  <c:v>130</c:v>
                </c:pt>
                <c:pt idx="26">
                  <c:v>130</c:v>
                </c:pt>
                <c:pt idx="27">
                  <c:v>130</c:v>
                </c:pt>
                <c:pt idx="28">
                  <c:v>146</c:v>
                </c:pt>
                <c:pt idx="29">
                  <c:v>161</c:v>
                </c:pt>
                <c:pt idx="30">
                  <c:v>176</c:v>
                </c:pt>
                <c:pt idx="31">
                  <c:v>176</c:v>
                </c:pt>
                <c:pt idx="32">
                  <c:v>176</c:v>
                </c:pt>
              </c:numCache>
            </c:numRef>
          </c:val>
          <c:smooth val="0"/>
          <c:extLst>
            <c:ext xmlns:c16="http://schemas.microsoft.com/office/drawing/2014/chart" uri="{C3380CC4-5D6E-409C-BE32-E72D297353CC}">
              <c16:uniqueId val="{00000016-AA7F-FD49-9C25-4EDB35C90EC6}"/>
            </c:ext>
          </c:extLst>
        </c:ser>
        <c:ser>
          <c:idx val="23"/>
          <c:order val="23"/>
          <c:tx>
            <c:strRef>
              <c:f>'For stats end Y Score'!$A$25</c:f>
              <c:strCache>
                <c:ptCount val="1"/>
                <c:pt idx="0">
                  <c:v>Flabech</c:v>
                </c:pt>
              </c:strCache>
            </c:strRef>
          </c:tx>
          <c:spPr>
            <a:ln w="28575" cap="rnd">
              <a:solidFill>
                <a:schemeClr val="accent6">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Score'!$B$25:$AN$25</c:f>
              <c:numCache>
                <c:formatCode>General</c:formatCode>
                <c:ptCount val="39"/>
                <c:pt idx="0">
                  <c:v>0</c:v>
                </c:pt>
                <c:pt idx="1">
                  <c:v>0</c:v>
                </c:pt>
                <c:pt idx="2">
                  <c:v>0</c:v>
                </c:pt>
                <c:pt idx="3">
                  <c:v>13</c:v>
                </c:pt>
                <c:pt idx="4">
                  <c:v>13</c:v>
                </c:pt>
                <c:pt idx="5">
                  <c:v>14</c:v>
                </c:pt>
                <c:pt idx="6">
                  <c:v>14</c:v>
                </c:pt>
                <c:pt idx="7">
                  <c:v>17</c:v>
                </c:pt>
                <c:pt idx="8">
                  <c:v>26</c:v>
                </c:pt>
                <c:pt idx="9">
                  <c:v>37</c:v>
                </c:pt>
                <c:pt idx="10">
                  <c:v>37</c:v>
                </c:pt>
                <c:pt idx="11">
                  <c:v>37</c:v>
                </c:pt>
                <c:pt idx="12">
                  <c:v>37</c:v>
                </c:pt>
                <c:pt idx="13">
                  <c:v>37</c:v>
                </c:pt>
                <c:pt idx="14">
                  <c:v>37</c:v>
                </c:pt>
                <c:pt idx="15">
                  <c:v>37</c:v>
                </c:pt>
                <c:pt idx="16">
                  <c:v>37</c:v>
                </c:pt>
                <c:pt idx="17">
                  <c:v>37</c:v>
                </c:pt>
                <c:pt idx="18">
                  <c:v>37</c:v>
                </c:pt>
                <c:pt idx="19">
                  <c:v>37</c:v>
                </c:pt>
                <c:pt idx="20">
                  <c:v>37</c:v>
                </c:pt>
                <c:pt idx="21">
                  <c:v>37</c:v>
                </c:pt>
                <c:pt idx="22">
                  <c:v>37</c:v>
                </c:pt>
                <c:pt idx="23">
                  <c:v>42</c:v>
                </c:pt>
                <c:pt idx="24">
                  <c:v>47</c:v>
                </c:pt>
                <c:pt idx="25">
                  <c:v>47</c:v>
                </c:pt>
                <c:pt idx="26">
                  <c:v>47</c:v>
                </c:pt>
                <c:pt idx="27">
                  <c:v>47</c:v>
                </c:pt>
                <c:pt idx="28">
                  <c:v>47</c:v>
                </c:pt>
                <c:pt idx="29">
                  <c:v>47</c:v>
                </c:pt>
                <c:pt idx="30">
                  <c:v>47</c:v>
                </c:pt>
                <c:pt idx="31">
                  <c:v>47</c:v>
                </c:pt>
                <c:pt idx="32">
                  <c:v>47</c:v>
                </c:pt>
              </c:numCache>
            </c:numRef>
          </c:val>
          <c:smooth val="0"/>
          <c:extLst>
            <c:ext xmlns:c16="http://schemas.microsoft.com/office/drawing/2014/chart" uri="{C3380CC4-5D6E-409C-BE32-E72D297353CC}">
              <c16:uniqueId val="{00000017-AA7F-FD49-9C25-4EDB35C90EC6}"/>
            </c:ext>
          </c:extLst>
        </c:ser>
        <c:ser>
          <c:idx val="24"/>
          <c:order val="24"/>
          <c:tx>
            <c:strRef>
              <c:f>'For stats end Y Score'!$A$26</c:f>
              <c:strCache>
                <c:ptCount val="1"/>
                <c:pt idx="0">
                  <c:v>Flem</c:v>
                </c:pt>
              </c:strCache>
            </c:strRef>
          </c:tx>
          <c:spPr>
            <a:ln w="28575" cap="rnd">
              <a:solidFill>
                <a:schemeClr val="accent1">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Score'!$B$26:$AN$26</c:f>
              <c:numCache>
                <c:formatCode>General</c:formatCode>
                <c:ptCount val="39"/>
                <c:pt idx="0">
                  <c:v>0</c:v>
                </c:pt>
                <c:pt idx="1">
                  <c:v>0</c:v>
                </c:pt>
                <c:pt idx="2">
                  <c:v>0</c:v>
                </c:pt>
                <c:pt idx="3">
                  <c:v>5</c:v>
                </c:pt>
                <c:pt idx="4">
                  <c:v>21</c:v>
                </c:pt>
                <c:pt idx="5">
                  <c:v>21</c:v>
                </c:pt>
                <c:pt idx="6">
                  <c:v>26</c:v>
                </c:pt>
                <c:pt idx="7">
                  <c:v>38</c:v>
                </c:pt>
                <c:pt idx="8">
                  <c:v>41</c:v>
                </c:pt>
                <c:pt idx="9">
                  <c:v>48</c:v>
                </c:pt>
                <c:pt idx="10">
                  <c:v>49</c:v>
                </c:pt>
                <c:pt idx="11">
                  <c:v>51</c:v>
                </c:pt>
                <c:pt idx="12">
                  <c:v>53</c:v>
                </c:pt>
                <c:pt idx="13">
                  <c:v>69</c:v>
                </c:pt>
                <c:pt idx="14">
                  <c:v>72</c:v>
                </c:pt>
                <c:pt idx="15">
                  <c:v>77</c:v>
                </c:pt>
                <c:pt idx="16">
                  <c:v>80</c:v>
                </c:pt>
                <c:pt idx="17">
                  <c:v>93</c:v>
                </c:pt>
                <c:pt idx="18">
                  <c:v>97</c:v>
                </c:pt>
                <c:pt idx="19">
                  <c:v>112</c:v>
                </c:pt>
                <c:pt idx="20">
                  <c:v>115</c:v>
                </c:pt>
                <c:pt idx="21">
                  <c:v>117</c:v>
                </c:pt>
                <c:pt idx="22">
                  <c:v>119</c:v>
                </c:pt>
                <c:pt idx="23">
                  <c:v>136</c:v>
                </c:pt>
                <c:pt idx="24">
                  <c:v>152</c:v>
                </c:pt>
                <c:pt idx="25">
                  <c:v>152</c:v>
                </c:pt>
                <c:pt idx="26">
                  <c:v>153</c:v>
                </c:pt>
                <c:pt idx="27">
                  <c:v>157</c:v>
                </c:pt>
                <c:pt idx="28">
                  <c:v>160</c:v>
                </c:pt>
                <c:pt idx="29">
                  <c:v>163</c:v>
                </c:pt>
                <c:pt idx="30">
                  <c:v>179</c:v>
                </c:pt>
                <c:pt idx="31">
                  <c:v>193</c:v>
                </c:pt>
                <c:pt idx="32">
                  <c:v>193</c:v>
                </c:pt>
              </c:numCache>
            </c:numRef>
          </c:val>
          <c:smooth val="0"/>
          <c:extLst>
            <c:ext xmlns:c16="http://schemas.microsoft.com/office/drawing/2014/chart" uri="{C3380CC4-5D6E-409C-BE32-E72D297353CC}">
              <c16:uniqueId val="{00000018-AA7F-FD49-9C25-4EDB35C90EC6}"/>
            </c:ext>
          </c:extLst>
        </c:ser>
        <c:ser>
          <c:idx val="25"/>
          <c:order val="25"/>
          <c:tx>
            <c:strRef>
              <c:f>'For stats end Y Score'!$A$27</c:f>
              <c:strCache>
                <c:ptCount val="1"/>
                <c:pt idx="0">
                  <c:v>Flopynou</c:v>
                </c:pt>
              </c:strCache>
            </c:strRef>
          </c:tx>
          <c:spPr>
            <a:ln w="28575" cap="rnd">
              <a:solidFill>
                <a:schemeClr val="accent2">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Score'!$B$27:$AN$27</c:f>
              <c:numCache>
                <c:formatCode>General</c:formatCode>
                <c:ptCount val="39"/>
                <c:pt idx="0">
                  <c:v>0</c:v>
                </c:pt>
                <c:pt idx="1">
                  <c:v>8</c:v>
                </c:pt>
                <c:pt idx="2">
                  <c:v>9</c:v>
                </c:pt>
                <c:pt idx="3">
                  <c:v>9</c:v>
                </c:pt>
                <c:pt idx="4">
                  <c:v>25</c:v>
                </c:pt>
                <c:pt idx="5">
                  <c:v>28</c:v>
                </c:pt>
                <c:pt idx="6">
                  <c:v>28</c:v>
                </c:pt>
                <c:pt idx="7">
                  <c:v>37</c:v>
                </c:pt>
                <c:pt idx="8">
                  <c:v>39</c:v>
                </c:pt>
                <c:pt idx="9">
                  <c:v>42</c:v>
                </c:pt>
                <c:pt idx="10">
                  <c:v>54</c:v>
                </c:pt>
                <c:pt idx="11">
                  <c:v>70</c:v>
                </c:pt>
                <c:pt idx="12">
                  <c:v>83</c:v>
                </c:pt>
                <c:pt idx="13">
                  <c:v>85</c:v>
                </c:pt>
                <c:pt idx="14">
                  <c:v>87</c:v>
                </c:pt>
                <c:pt idx="15">
                  <c:v>87</c:v>
                </c:pt>
                <c:pt idx="16">
                  <c:v>87</c:v>
                </c:pt>
                <c:pt idx="17">
                  <c:v>90</c:v>
                </c:pt>
                <c:pt idx="18">
                  <c:v>90</c:v>
                </c:pt>
                <c:pt idx="19">
                  <c:v>90</c:v>
                </c:pt>
                <c:pt idx="20">
                  <c:v>90</c:v>
                </c:pt>
                <c:pt idx="21">
                  <c:v>90</c:v>
                </c:pt>
                <c:pt idx="22">
                  <c:v>90</c:v>
                </c:pt>
                <c:pt idx="23">
                  <c:v>90</c:v>
                </c:pt>
                <c:pt idx="24">
                  <c:v>90</c:v>
                </c:pt>
                <c:pt idx="25">
                  <c:v>90</c:v>
                </c:pt>
                <c:pt idx="26">
                  <c:v>90</c:v>
                </c:pt>
                <c:pt idx="27">
                  <c:v>90</c:v>
                </c:pt>
                <c:pt idx="28">
                  <c:v>90</c:v>
                </c:pt>
                <c:pt idx="29">
                  <c:v>90</c:v>
                </c:pt>
                <c:pt idx="30">
                  <c:v>90</c:v>
                </c:pt>
                <c:pt idx="31">
                  <c:v>90</c:v>
                </c:pt>
                <c:pt idx="32">
                  <c:v>90</c:v>
                </c:pt>
              </c:numCache>
            </c:numRef>
          </c:val>
          <c:smooth val="0"/>
          <c:extLst>
            <c:ext xmlns:c16="http://schemas.microsoft.com/office/drawing/2014/chart" uri="{C3380CC4-5D6E-409C-BE32-E72D297353CC}">
              <c16:uniqueId val="{00000019-AA7F-FD49-9C25-4EDB35C90EC6}"/>
            </c:ext>
          </c:extLst>
        </c:ser>
        <c:ser>
          <c:idx val="26"/>
          <c:order val="26"/>
          <c:tx>
            <c:strRef>
              <c:f>'For stats end Y Score'!$A$28</c:f>
              <c:strCache>
                <c:ptCount val="1"/>
                <c:pt idx="0">
                  <c:v>Flora</c:v>
                </c:pt>
              </c:strCache>
            </c:strRef>
          </c:tx>
          <c:spPr>
            <a:ln w="28575" cap="rnd">
              <a:solidFill>
                <a:schemeClr val="accent3">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Score'!$B$28:$AN$28</c:f>
              <c:numCache>
                <c:formatCode>General</c:formatCode>
                <c:ptCount val="39"/>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numCache>
            </c:numRef>
          </c:val>
          <c:smooth val="0"/>
          <c:extLst>
            <c:ext xmlns:c16="http://schemas.microsoft.com/office/drawing/2014/chart" uri="{C3380CC4-5D6E-409C-BE32-E72D297353CC}">
              <c16:uniqueId val="{0000001A-AA7F-FD49-9C25-4EDB35C90EC6}"/>
            </c:ext>
          </c:extLst>
        </c:ser>
        <c:ser>
          <c:idx val="27"/>
          <c:order val="27"/>
          <c:tx>
            <c:strRef>
              <c:f>'For stats end Y Score'!$A$29</c:f>
              <c:strCache>
                <c:ptCount val="1"/>
                <c:pt idx="0">
                  <c:v>Franz</c:v>
                </c:pt>
              </c:strCache>
            </c:strRef>
          </c:tx>
          <c:spPr>
            <a:ln w="28575" cap="rnd">
              <a:solidFill>
                <a:schemeClr val="accent4">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Score'!$B$29:$AN$29</c:f>
              <c:numCache>
                <c:formatCode>General</c:formatCode>
                <c:ptCount val="39"/>
                <c:pt idx="0">
                  <c:v>16</c:v>
                </c:pt>
                <c:pt idx="1">
                  <c:v>16</c:v>
                </c:pt>
                <c:pt idx="2">
                  <c:v>16</c:v>
                </c:pt>
                <c:pt idx="3">
                  <c:v>16</c:v>
                </c:pt>
                <c:pt idx="4">
                  <c:v>16</c:v>
                </c:pt>
                <c:pt idx="5">
                  <c:v>16</c:v>
                </c:pt>
                <c:pt idx="6">
                  <c:v>16</c:v>
                </c:pt>
                <c:pt idx="7">
                  <c:v>16</c:v>
                </c:pt>
                <c:pt idx="8">
                  <c:v>16</c:v>
                </c:pt>
                <c:pt idx="9">
                  <c:v>16</c:v>
                </c:pt>
                <c:pt idx="10">
                  <c:v>16</c:v>
                </c:pt>
                <c:pt idx="11">
                  <c:v>16</c:v>
                </c:pt>
                <c:pt idx="12">
                  <c:v>16</c:v>
                </c:pt>
                <c:pt idx="13">
                  <c:v>16</c:v>
                </c:pt>
                <c:pt idx="14">
                  <c:v>16</c:v>
                </c:pt>
                <c:pt idx="15">
                  <c:v>16</c:v>
                </c:pt>
                <c:pt idx="16">
                  <c:v>16</c:v>
                </c:pt>
                <c:pt idx="17">
                  <c:v>16</c:v>
                </c:pt>
                <c:pt idx="18">
                  <c:v>16</c:v>
                </c:pt>
                <c:pt idx="19">
                  <c:v>16</c:v>
                </c:pt>
                <c:pt idx="20">
                  <c:v>16</c:v>
                </c:pt>
                <c:pt idx="21">
                  <c:v>16</c:v>
                </c:pt>
                <c:pt idx="22">
                  <c:v>16</c:v>
                </c:pt>
                <c:pt idx="23">
                  <c:v>16</c:v>
                </c:pt>
                <c:pt idx="24">
                  <c:v>16</c:v>
                </c:pt>
                <c:pt idx="25">
                  <c:v>16</c:v>
                </c:pt>
                <c:pt idx="26">
                  <c:v>16</c:v>
                </c:pt>
                <c:pt idx="27">
                  <c:v>16</c:v>
                </c:pt>
                <c:pt idx="28">
                  <c:v>16</c:v>
                </c:pt>
                <c:pt idx="29">
                  <c:v>16</c:v>
                </c:pt>
                <c:pt idx="30">
                  <c:v>16</c:v>
                </c:pt>
                <c:pt idx="31">
                  <c:v>16</c:v>
                </c:pt>
                <c:pt idx="32">
                  <c:v>16</c:v>
                </c:pt>
              </c:numCache>
            </c:numRef>
          </c:val>
          <c:smooth val="0"/>
          <c:extLst>
            <c:ext xmlns:c16="http://schemas.microsoft.com/office/drawing/2014/chart" uri="{C3380CC4-5D6E-409C-BE32-E72D297353CC}">
              <c16:uniqueId val="{0000001B-AA7F-FD49-9C25-4EDB35C90EC6}"/>
            </c:ext>
          </c:extLst>
        </c:ser>
        <c:ser>
          <c:idx val="28"/>
          <c:order val="28"/>
          <c:tx>
            <c:strRef>
              <c:f>'For stats end Y Score'!$A$30</c:f>
              <c:strCache>
                <c:ptCount val="1"/>
                <c:pt idx="0">
                  <c:v>Freddie</c:v>
                </c:pt>
              </c:strCache>
            </c:strRef>
          </c:tx>
          <c:spPr>
            <a:ln w="28575" cap="rnd">
              <a:solidFill>
                <a:schemeClr val="accent5">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Score'!$B$30:$AN$30</c:f>
              <c:numCache>
                <c:formatCode>General</c:formatCode>
                <c:ptCount val="39"/>
                <c:pt idx="0">
                  <c:v>0</c:v>
                </c:pt>
                <c:pt idx="1">
                  <c:v>2</c:v>
                </c:pt>
                <c:pt idx="2">
                  <c:v>3</c:v>
                </c:pt>
                <c:pt idx="3">
                  <c:v>12</c:v>
                </c:pt>
                <c:pt idx="4">
                  <c:v>12</c:v>
                </c:pt>
                <c:pt idx="5">
                  <c:v>25</c:v>
                </c:pt>
                <c:pt idx="6">
                  <c:v>25</c:v>
                </c:pt>
                <c:pt idx="7">
                  <c:v>28</c:v>
                </c:pt>
                <c:pt idx="8">
                  <c:v>30</c:v>
                </c:pt>
                <c:pt idx="9">
                  <c:v>31</c:v>
                </c:pt>
                <c:pt idx="10">
                  <c:v>34</c:v>
                </c:pt>
                <c:pt idx="11">
                  <c:v>42</c:v>
                </c:pt>
                <c:pt idx="12">
                  <c:v>44</c:v>
                </c:pt>
                <c:pt idx="13">
                  <c:v>44</c:v>
                </c:pt>
                <c:pt idx="14">
                  <c:v>45</c:v>
                </c:pt>
                <c:pt idx="15">
                  <c:v>47</c:v>
                </c:pt>
                <c:pt idx="16">
                  <c:v>50</c:v>
                </c:pt>
                <c:pt idx="17">
                  <c:v>51</c:v>
                </c:pt>
                <c:pt idx="18">
                  <c:v>52</c:v>
                </c:pt>
                <c:pt idx="19">
                  <c:v>64</c:v>
                </c:pt>
                <c:pt idx="20">
                  <c:v>68</c:v>
                </c:pt>
                <c:pt idx="21">
                  <c:v>72</c:v>
                </c:pt>
                <c:pt idx="22">
                  <c:v>80</c:v>
                </c:pt>
                <c:pt idx="23">
                  <c:v>83</c:v>
                </c:pt>
                <c:pt idx="24">
                  <c:v>83</c:v>
                </c:pt>
                <c:pt idx="25">
                  <c:v>87</c:v>
                </c:pt>
                <c:pt idx="26">
                  <c:v>87</c:v>
                </c:pt>
                <c:pt idx="27">
                  <c:v>87</c:v>
                </c:pt>
                <c:pt idx="28">
                  <c:v>87</c:v>
                </c:pt>
                <c:pt idx="29">
                  <c:v>87</c:v>
                </c:pt>
                <c:pt idx="30">
                  <c:v>91</c:v>
                </c:pt>
                <c:pt idx="31">
                  <c:v>93</c:v>
                </c:pt>
                <c:pt idx="32">
                  <c:v>93</c:v>
                </c:pt>
              </c:numCache>
            </c:numRef>
          </c:val>
          <c:smooth val="0"/>
          <c:extLst>
            <c:ext xmlns:c16="http://schemas.microsoft.com/office/drawing/2014/chart" uri="{C3380CC4-5D6E-409C-BE32-E72D297353CC}">
              <c16:uniqueId val="{0000001C-AA7F-FD49-9C25-4EDB35C90EC6}"/>
            </c:ext>
          </c:extLst>
        </c:ser>
        <c:ser>
          <c:idx val="29"/>
          <c:order val="29"/>
          <c:tx>
            <c:strRef>
              <c:f>'For stats end Y Score'!$A$31</c:f>
              <c:strCache>
                <c:ptCount val="1"/>
                <c:pt idx="0">
                  <c:v>Fréderique</c:v>
                </c:pt>
              </c:strCache>
            </c:strRef>
          </c:tx>
          <c:spPr>
            <a:ln w="28575" cap="rnd">
              <a:solidFill>
                <a:schemeClr val="accent6">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Score'!$B$31:$AN$31</c:f>
              <c:numCache>
                <c:formatCode>General</c:formatCode>
                <c:ptCount val="3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numCache>
            </c:numRef>
          </c:val>
          <c:smooth val="0"/>
          <c:extLst>
            <c:ext xmlns:c16="http://schemas.microsoft.com/office/drawing/2014/chart" uri="{C3380CC4-5D6E-409C-BE32-E72D297353CC}">
              <c16:uniqueId val="{0000001D-AA7F-FD49-9C25-4EDB35C90EC6}"/>
            </c:ext>
          </c:extLst>
        </c:ser>
        <c:ser>
          <c:idx val="30"/>
          <c:order val="30"/>
          <c:tx>
            <c:strRef>
              <c:f>'For stats end Y Score'!$A$32</c:f>
              <c:strCache>
                <c:ptCount val="1"/>
                <c:pt idx="0">
                  <c:v>Gabs</c:v>
                </c:pt>
              </c:strCache>
            </c:strRef>
          </c:tx>
          <c:spPr>
            <a:ln w="28575" cap="rnd">
              <a:solidFill>
                <a:schemeClr val="accent1">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Score'!$B$32:$AN$32</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c:v>
                </c:pt>
                <c:pt idx="25">
                  <c:v>6</c:v>
                </c:pt>
                <c:pt idx="26">
                  <c:v>6</c:v>
                </c:pt>
                <c:pt idx="27">
                  <c:v>6</c:v>
                </c:pt>
                <c:pt idx="28">
                  <c:v>8</c:v>
                </c:pt>
                <c:pt idx="29">
                  <c:v>8</c:v>
                </c:pt>
                <c:pt idx="30">
                  <c:v>8</c:v>
                </c:pt>
                <c:pt idx="31">
                  <c:v>8</c:v>
                </c:pt>
                <c:pt idx="32">
                  <c:v>8</c:v>
                </c:pt>
              </c:numCache>
            </c:numRef>
          </c:val>
          <c:smooth val="0"/>
          <c:extLst>
            <c:ext xmlns:c16="http://schemas.microsoft.com/office/drawing/2014/chart" uri="{C3380CC4-5D6E-409C-BE32-E72D297353CC}">
              <c16:uniqueId val="{0000001E-AA7F-FD49-9C25-4EDB35C90EC6}"/>
            </c:ext>
          </c:extLst>
        </c:ser>
        <c:ser>
          <c:idx val="31"/>
          <c:order val="31"/>
          <c:tx>
            <c:strRef>
              <c:f>'For stats end Y Score'!$A$33</c:f>
              <c:strCache>
                <c:ptCount val="1"/>
                <c:pt idx="0">
                  <c:v>Gibbonfury</c:v>
                </c:pt>
              </c:strCache>
            </c:strRef>
          </c:tx>
          <c:spPr>
            <a:ln w="28575" cap="rnd">
              <a:solidFill>
                <a:schemeClr val="accent2">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Score'!$B$33:$AN$33</c:f>
              <c:numCache>
                <c:formatCode>General</c:formatCode>
                <c:ptCount val="39"/>
                <c:pt idx="0">
                  <c:v>0</c:v>
                </c:pt>
                <c:pt idx="1">
                  <c:v>4</c:v>
                </c:pt>
                <c:pt idx="2">
                  <c:v>4</c:v>
                </c:pt>
                <c:pt idx="3">
                  <c:v>4</c:v>
                </c:pt>
                <c:pt idx="4">
                  <c:v>17</c:v>
                </c:pt>
                <c:pt idx="5">
                  <c:v>21</c:v>
                </c:pt>
                <c:pt idx="6">
                  <c:v>25</c:v>
                </c:pt>
                <c:pt idx="7">
                  <c:v>30</c:v>
                </c:pt>
                <c:pt idx="8">
                  <c:v>30</c:v>
                </c:pt>
                <c:pt idx="9">
                  <c:v>32</c:v>
                </c:pt>
                <c:pt idx="10">
                  <c:v>36</c:v>
                </c:pt>
                <c:pt idx="11">
                  <c:v>39</c:v>
                </c:pt>
                <c:pt idx="12">
                  <c:v>39</c:v>
                </c:pt>
                <c:pt idx="13">
                  <c:v>39</c:v>
                </c:pt>
                <c:pt idx="14">
                  <c:v>41</c:v>
                </c:pt>
                <c:pt idx="15">
                  <c:v>50</c:v>
                </c:pt>
                <c:pt idx="16">
                  <c:v>50</c:v>
                </c:pt>
                <c:pt idx="17">
                  <c:v>67</c:v>
                </c:pt>
                <c:pt idx="18">
                  <c:v>69</c:v>
                </c:pt>
                <c:pt idx="19">
                  <c:v>72</c:v>
                </c:pt>
                <c:pt idx="20">
                  <c:v>81</c:v>
                </c:pt>
                <c:pt idx="21">
                  <c:v>81</c:v>
                </c:pt>
                <c:pt idx="22">
                  <c:v>81</c:v>
                </c:pt>
                <c:pt idx="23">
                  <c:v>94</c:v>
                </c:pt>
                <c:pt idx="24">
                  <c:v>96</c:v>
                </c:pt>
                <c:pt idx="25">
                  <c:v>97</c:v>
                </c:pt>
                <c:pt idx="26">
                  <c:v>98</c:v>
                </c:pt>
                <c:pt idx="27">
                  <c:v>107</c:v>
                </c:pt>
                <c:pt idx="28">
                  <c:v>109</c:v>
                </c:pt>
                <c:pt idx="29">
                  <c:v>109</c:v>
                </c:pt>
                <c:pt idx="30">
                  <c:v>122</c:v>
                </c:pt>
                <c:pt idx="31">
                  <c:v>122</c:v>
                </c:pt>
                <c:pt idx="32">
                  <c:v>122</c:v>
                </c:pt>
              </c:numCache>
            </c:numRef>
          </c:val>
          <c:smooth val="0"/>
          <c:extLst>
            <c:ext xmlns:c16="http://schemas.microsoft.com/office/drawing/2014/chart" uri="{C3380CC4-5D6E-409C-BE32-E72D297353CC}">
              <c16:uniqueId val="{0000001F-AA7F-FD49-9C25-4EDB35C90EC6}"/>
            </c:ext>
          </c:extLst>
        </c:ser>
        <c:ser>
          <c:idx val="32"/>
          <c:order val="32"/>
          <c:tx>
            <c:strRef>
              <c:f>'For stats end Y Score'!$A$34</c:f>
              <c:strCache>
                <c:ptCount val="1"/>
                <c:pt idx="0">
                  <c:v>Gibouille</c:v>
                </c:pt>
              </c:strCache>
            </c:strRef>
          </c:tx>
          <c:spPr>
            <a:ln w="28575" cap="rnd">
              <a:solidFill>
                <a:schemeClr val="accent3">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Score'!$B$34:$AN$34</c:f>
              <c:numCache>
                <c:formatCode>General</c:formatCode>
                <c:ptCount val="39"/>
                <c:pt idx="0">
                  <c:v>2</c:v>
                </c:pt>
                <c:pt idx="1">
                  <c:v>4</c:v>
                </c:pt>
                <c:pt idx="2">
                  <c:v>6</c:v>
                </c:pt>
                <c:pt idx="3">
                  <c:v>6</c:v>
                </c:pt>
                <c:pt idx="4">
                  <c:v>6</c:v>
                </c:pt>
                <c:pt idx="5">
                  <c:v>11</c:v>
                </c:pt>
                <c:pt idx="6">
                  <c:v>11</c:v>
                </c:pt>
                <c:pt idx="7">
                  <c:v>14</c:v>
                </c:pt>
                <c:pt idx="8">
                  <c:v>14</c:v>
                </c:pt>
                <c:pt idx="9">
                  <c:v>29</c:v>
                </c:pt>
                <c:pt idx="10">
                  <c:v>30</c:v>
                </c:pt>
                <c:pt idx="11">
                  <c:v>34</c:v>
                </c:pt>
                <c:pt idx="12">
                  <c:v>35</c:v>
                </c:pt>
                <c:pt idx="13">
                  <c:v>47</c:v>
                </c:pt>
                <c:pt idx="14">
                  <c:v>51</c:v>
                </c:pt>
                <c:pt idx="15">
                  <c:v>64</c:v>
                </c:pt>
                <c:pt idx="16">
                  <c:v>67</c:v>
                </c:pt>
                <c:pt idx="17">
                  <c:v>72</c:v>
                </c:pt>
                <c:pt idx="18">
                  <c:v>76</c:v>
                </c:pt>
                <c:pt idx="19">
                  <c:v>76</c:v>
                </c:pt>
                <c:pt idx="20">
                  <c:v>84</c:v>
                </c:pt>
                <c:pt idx="21">
                  <c:v>93</c:v>
                </c:pt>
                <c:pt idx="22">
                  <c:v>95</c:v>
                </c:pt>
                <c:pt idx="23">
                  <c:v>97</c:v>
                </c:pt>
                <c:pt idx="24">
                  <c:v>113</c:v>
                </c:pt>
                <c:pt idx="25">
                  <c:v>125</c:v>
                </c:pt>
                <c:pt idx="26">
                  <c:v>125</c:v>
                </c:pt>
                <c:pt idx="27">
                  <c:v>137</c:v>
                </c:pt>
                <c:pt idx="28">
                  <c:v>137</c:v>
                </c:pt>
                <c:pt idx="29">
                  <c:v>146</c:v>
                </c:pt>
                <c:pt idx="30">
                  <c:v>146</c:v>
                </c:pt>
                <c:pt idx="31">
                  <c:v>146</c:v>
                </c:pt>
                <c:pt idx="32">
                  <c:v>162</c:v>
                </c:pt>
              </c:numCache>
            </c:numRef>
          </c:val>
          <c:smooth val="0"/>
          <c:extLst>
            <c:ext xmlns:c16="http://schemas.microsoft.com/office/drawing/2014/chart" uri="{C3380CC4-5D6E-409C-BE32-E72D297353CC}">
              <c16:uniqueId val="{00000020-AA7F-FD49-9C25-4EDB35C90EC6}"/>
            </c:ext>
          </c:extLst>
        </c:ser>
        <c:ser>
          <c:idx val="33"/>
          <c:order val="33"/>
          <c:tx>
            <c:strRef>
              <c:f>'For stats end Y Score'!$A$35</c:f>
              <c:strCache>
                <c:ptCount val="1"/>
                <c:pt idx="0">
                  <c:v>Giobeck</c:v>
                </c:pt>
              </c:strCache>
            </c:strRef>
          </c:tx>
          <c:spPr>
            <a:ln w="28575" cap="rnd">
              <a:solidFill>
                <a:schemeClr val="accent4">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Score'!$B$36:$AN$36</c:f>
              <c:numCache>
                <c:formatCode>General</c:formatCode>
                <c:ptCount val="3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numCache>
            </c:numRef>
          </c:val>
          <c:smooth val="0"/>
          <c:extLst>
            <c:ext xmlns:c16="http://schemas.microsoft.com/office/drawing/2014/chart" uri="{C3380CC4-5D6E-409C-BE32-E72D297353CC}">
              <c16:uniqueId val="{00000021-AA7F-FD49-9C25-4EDB35C90EC6}"/>
            </c:ext>
          </c:extLst>
        </c:ser>
        <c:ser>
          <c:idx val="34"/>
          <c:order val="34"/>
          <c:tx>
            <c:strRef>
              <c:f>'For stats end Y Score'!$A$36</c:f>
              <c:strCache>
                <c:ptCount val="1"/>
                <c:pt idx="0">
                  <c:v>Golgoo13</c:v>
                </c:pt>
              </c:strCache>
            </c:strRef>
          </c:tx>
          <c:spPr>
            <a:ln w="28575" cap="rnd">
              <a:solidFill>
                <a:schemeClr val="accent5">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Score'!$B$36:$AN$36</c:f>
              <c:numCache>
                <c:formatCode>General</c:formatCode>
                <c:ptCount val="3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numCache>
            </c:numRef>
          </c:val>
          <c:smooth val="0"/>
          <c:extLst>
            <c:ext xmlns:c16="http://schemas.microsoft.com/office/drawing/2014/chart" uri="{C3380CC4-5D6E-409C-BE32-E72D297353CC}">
              <c16:uniqueId val="{00000022-AA7F-FD49-9C25-4EDB35C90EC6}"/>
            </c:ext>
          </c:extLst>
        </c:ser>
        <c:ser>
          <c:idx val="35"/>
          <c:order val="35"/>
          <c:tx>
            <c:strRef>
              <c:f>'For stats end Y Score'!$A$37</c:f>
              <c:strCache>
                <c:ptCount val="1"/>
                <c:pt idx="0">
                  <c:v>Guerno</c:v>
                </c:pt>
              </c:strCache>
            </c:strRef>
          </c:tx>
          <c:spPr>
            <a:ln w="28575" cap="rnd">
              <a:solidFill>
                <a:schemeClr val="accent6">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Score'!$B$37:$AN$37</c:f>
              <c:numCache>
                <c:formatCode>General</c:formatCode>
                <c:ptCount val="39"/>
                <c:pt idx="0">
                  <c:v>0</c:v>
                </c:pt>
                <c:pt idx="1">
                  <c:v>0</c:v>
                </c:pt>
                <c:pt idx="2">
                  <c:v>0</c:v>
                </c:pt>
                <c:pt idx="3">
                  <c:v>5</c:v>
                </c:pt>
                <c:pt idx="4">
                  <c:v>5</c:v>
                </c:pt>
                <c:pt idx="5">
                  <c:v>6</c:v>
                </c:pt>
                <c:pt idx="6">
                  <c:v>6</c:v>
                </c:pt>
                <c:pt idx="7">
                  <c:v>14</c:v>
                </c:pt>
                <c:pt idx="8">
                  <c:v>22</c:v>
                </c:pt>
                <c:pt idx="9">
                  <c:v>22</c:v>
                </c:pt>
                <c:pt idx="10">
                  <c:v>22</c:v>
                </c:pt>
                <c:pt idx="11">
                  <c:v>22</c:v>
                </c:pt>
                <c:pt idx="12">
                  <c:v>22</c:v>
                </c:pt>
                <c:pt idx="13">
                  <c:v>22</c:v>
                </c:pt>
                <c:pt idx="14">
                  <c:v>22</c:v>
                </c:pt>
                <c:pt idx="15">
                  <c:v>39</c:v>
                </c:pt>
                <c:pt idx="16">
                  <c:v>40</c:v>
                </c:pt>
                <c:pt idx="17">
                  <c:v>40</c:v>
                </c:pt>
                <c:pt idx="18">
                  <c:v>40</c:v>
                </c:pt>
                <c:pt idx="19">
                  <c:v>40</c:v>
                </c:pt>
                <c:pt idx="20">
                  <c:v>42</c:v>
                </c:pt>
                <c:pt idx="21">
                  <c:v>42</c:v>
                </c:pt>
                <c:pt idx="22">
                  <c:v>42</c:v>
                </c:pt>
                <c:pt idx="23">
                  <c:v>42</c:v>
                </c:pt>
                <c:pt idx="24">
                  <c:v>42</c:v>
                </c:pt>
                <c:pt idx="25">
                  <c:v>42</c:v>
                </c:pt>
                <c:pt idx="26">
                  <c:v>42</c:v>
                </c:pt>
                <c:pt idx="27">
                  <c:v>42</c:v>
                </c:pt>
                <c:pt idx="28">
                  <c:v>46</c:v>
                </c:pt>
                <c:pt idx="29">
                  <c:v>46</c:v>
                </c:pt>
                <c:pt idx="30">
                  <c:v>46</c:v>
                </c:pt>
                <c:pt idx="31">
                  <c:v>54</c:v>
                </c:pt>
                <c:pt idx="32">
                  <c:v>54</c:v>
                </c:pt>
              </c:numCache>
            </c:numRef>
          </c:val>
          <c:smooth val="0"/>
          <c:extLst>
            <c:ext xmlns:c16="http://schemas.microsoft.com/office/drawing/2014/chart" uri="{C3380CC4-5D6E-409C-BE32-E72D297353CC}">
              <c16:uniqueId val="{00000023-AA7F-FD49-9C25-4EDB35C90EC6}"/>
            </c:ext>
          </c:extLst>
        </c:ser>
        <c:ser>
          <c:idx val="36"/>
          <c:order val="36"/>
          <c:tx>
            <c:strRef>
              <c:f>'For stats end Y Score'!$A$38</c:f>
              <c:strCache>
                <c:ptCount val="1"/>
                <c:pt idx="0">
                  <c:v>Ilyes.</c:v>
                </c:pt>
              </c:strCache>
            </c:strRef>
          </c:tx>
          <c:spPr>
            <a:ln w="28575" cap="rnd">
              <a:solidFill>
                <a:schemeClr val="accent1">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Score'!$B$38:$AN$38</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9</c:v>
                </c:pt>
                <c:pt idx="24">
                  <c:v>9</c:v>
                </c:pt>
                <c:pt idx="25">
                  <c:v>9</c:v>
                </c:pt>
                <c:pt idx="26">
                  <c:v>9</c:v>
                </c:pt>
                <c:pt idx="27">
                  <c:v>9</c:v>
                </c:pt>
                <c:pt idx="28">
                  <c:v>9</c:v>
                </c:pt>
                <c:pt idx="29">
                  <c:v>9</c:v>
                </c:pt>
                <c:pt idx="30">
                  <c:v>9</c:v>
                </c:pt>
                <c:pt idx="31">
                  <c:v>9</c:v>
                </c:pt>
                <c:pt idx="32">
                  <c:v>9</c:v>
                </c:pt>
              </c:numCache>
            </c:numRef>
          </c:val>
          <c:smooth val="0"/>
          <c:extLst>
            <c:ext xmlns:c16="http://schemas.microsoft.com/office/drawing/2014/chart" uri="{C3380CC4-5D6E-409C-BE32-E72D297353CC}">
              <c16:uniqueId val="{00000024-AA7F-FD49-9C25-4EDB35C90EC6}"/>
            </c:ext>
          </c:extLst>
        </c:ser>
        <c:ser>
          <c:idx val="37"/>
          <c:order val="37"/>
          <c:tx>
            <c:strRef>
              <c:f>'For stats end Y Score'!$A$39</c:f>
              <c:strCache>
                <c:ptCount val="1"/>
                <c:pt idx="0">
                  <c:v>Ines</c:v>
                </c:pt>
              </c:strCache>
            </c:strRef>
          </c:tx>
          <c:spPr>
            <a:ln w="28575" cap="rnd">
              <a:solidFill>
                <a:schemeClr val="accent2">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Score'!$B$39:$AN$39</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12</c:v>
                </c:pt>
                <c:pt idx="28">
                  <c:v>12</c:v>
                </c:pt>
                <c:pt idx="29">
                  <c:v>12</c:v>
                </c:pt>
                <c:pt idx="30">
                  <c:v>12</c:v>
                </c:pt>
                <c:pt idx="31">
                  <c:v>12</c:v>
                </c:pt>
                <c:pt idx="32">
                  <c:v>12</c:v>
                </c:pt>
              </c:numCache>
            </c:numRef>
          </c:val>
          <c:smooth val="0"/>
          <c:extLst>
            <c:ext xmlns:c16="http://schemas.microsoft.com/office/drawing/2014/chart" uri="{C3380CC4-5D6E-409C-BE32-E72D297353CC}">
              <c16:uniqueId val="{00000025-AA7F-FD49-9C25-4EDB35C90EC6}"/>
            </c:ext>
          </c:extLst>
        </c:ser>
        <c:ser>
          <c:idx val="38"/>
          <c:order val="38"/>
          <c:tx>
            <c:strRef>
              <c:f>'For stats end Y Score'!$A$40</c:f>
              <c:strCache>
                <c:ptCount val="1"/>
                <c:pt idx="0">
                  <c:v>Jacaille</c:v>
                </c:pt>
              </c:strCache>
            </c:strRef>
          </c:tx>
          <c:spPr>
            <a:ln w="28575" cap="rnd">
              <a:solidFill>
                <a:schemeClr val="accent3">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Score'!$B$40:$AN$40</c:f>
              <c:numCache>
                <c:formatCode>General</c:formatCode>
                <c:ptCount val="39"/>
                <c:pt idx="0">
                  <c:v>12</c:v>
                </c:pt>
                <c:pt idx="1">
                  <c:v>25</c:v>
                </c:pt>
                <c:pt idx="2">
                  <c:v>26</c:v>
                </c:pt>
                <c:pt idx="3">
                  <c:v>43</c:v>
                </c:pt>
                <c:pt idx="4">
                  <c:v>60</c:v>
                </c:pt>
                <c:pt idx="5">
                  <c:v>65</c:v>
                </c:pt>
                <c:pt idx="6">
                  <c:v>77</c:v>
                </c:pt>
                <c:pt idx="7">
                  <c:v>81</c:v>
                </c:pt>
                <c:pt idx="8">
                  <c:v>81</c:v>
                </c:pt>
                <c:pt idx="9">
                  <c:v>93</c:v>
                </c:pt>
                <c:pt idx="10">
                  <c:v>94</c:v>
                </c:pt>
                <c:pt idx="11">
                  <c:v>94</c:v>
                </c:pt>
                <c:pt idx="12">
                  <c:v>94</c:v>
                </c:pt>
                <c:pt idx="13">
                  <c:v>94</c:v>
                </c:pt>
                <c:pt idx="14">
                  <c:v>94</c:v>
                </c:pt>
                <c:pt idx="15">
                  <c:v>94</c:v>
                </c:pt>
                <c:pt idx="16">
                  <c:v>94</c:v>
                </c:pt>
                <c:pt idx="17">
                  <c:v>94</c:v>
                </c:pt>
                <c:pt idx="18">
                  <c:v>94</c:v>
                </c:pt>
                <c:pt idx="19">
                  <c:v>94</c:v>
                </c:pt>
                <c:pt idx="20">
                  <c:v>94</c:v>
                </c:pt>
                <c:pt idx="21">
                  <c:v>94</c:v>
                </c:pt>
                <c:pt idx="22">
                  <c:v>94</c:v>
                </c:pt>
                <c:pt idx="23">
                  <c:v>94</c:v>
                </c:pt>
                <c:pt idx="24">
                  <c:v>94</c:v>
                </c:pt>
                <c:pt idx="25">
                  <c:v>94</c:v>
                </c:pt>
                <c:pt idx="26">
                  <c:v>94</c:v>
                </c:pt>
                <c:pt idx="27">
                  <c:v>94</c:v>
                </c:pt>
                <c:pt idx="28">
                  <c:v>94</c:v>
                </c:pt>
                <c:pt idx="29">
                  <c:v>94</c:v>
                </c:pt>
                <c:pt idx="30">
                  <c:v>94</c:v>
                </c:pt>
                <c:pt idx="31">
                  <c:v>94</c:v>
                </c:pt>
                <c:pt idx="32">
                  <c:v>94</c:v>
                </c:pt>
              </c:numCache>
            </c:numRef>
          </c:val>
          <c:smooth val="0"/>
          <c:extLst>
            <c:ext xmlns:c16="http://schemas.microsoft.com/office/drawing/2014/chart" uri="{C3380CC4-5D6E-409C-BE32-E72D297353CC}">
              <c16:uniqueId val="{00000026-AA7F-FD49-9C25-4EDB35C90EC6}"/>
            </c:ext>
          </c:extLst>
        </c:ser>
        <c:ser>
          <c:idx val="39"/>
          <c:order val="39"/>
          <c:tx>
            <c:strRef>
              <c:f>'For stats end Y Score'!$A$41</c:f>
              <c:strCache>
                <c:ptCount val="1"/>
                <c:pt idx="0">
                  <c:v>Jaden</c:v>
                </c:pt>
              </c:strCache>
            </c:strRef>
          </c:tx>
          <c:spPr>
            <a:ln w="28575" cap="rnd">
              <a:solidFill>
                <a:schemeClr val="accent4">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Score'!$B$41:$AN$41</c:f>
              <c:numCache>
                <c:formatCode>General</c:formatCode>
                <c:ptCount val="39"/>
                <c:pt idx="0">
                  <c:v>1</c:v>
                </c:pt>
                <c:pt idx="1">
                  <c:v>4</c:v>
                </c:pt>
                <c:pt idx="2">
                  <c:v>8</c:v>
                </c:pt>
                <c:pt idx="3">
                  <c:v>8</c:v>
                </c:pt>
                <c:pt idx="4">
                  <c:v>8</c:v>
                </c:pt>
                <c:pt idx="5">
                  <c:v>13</c:v>
                </c:pt>
                <c:pt idx="6">
                  <c:v>14</c:v>
                </c:pt>
                <c:pt idx="7">
                  <c:v>14</c:v>
                </c:pt>
                <c:pt idx="8">
                  <c:v>27</c:v>
                </c:pt>
                <c:pt idx="9">
                  <c:v>27</c:v>
                </c:pt>
                <c:pt idx="10">
                  <c:v>27</c:v>
                </c:pt>
                <c:pt idx="11">
                  <c:v>39</c:v>
                </c:pt>
                <c:pt idx="12">
                  <c:v>43</c:v>
                </c:pt>
                <c:pt idx="13">
                  <c:v>45</c:v>
                </c:pt>
                <c:pt idx="14">
                  <c:v>45</c:v>
                </c:pt>
                <c:pt idx="15">
                  <c:v>45</c:v>
                </c:pt>
                <c:pt idx="16">
                  <c:v>45</c:v>
                </c:pt>
                <c:pt idx="17">
                  <c:v>45</c:v>
                </c:pt>
                <c:pt idx="18">
                  <c:v>45</c:v>
                </c:pt>
                <c:pt idx="19">
                  <c:v>45</c:v>
                </c:pt>
                <c:pt idx="20">
                  <c:v>45</c:v>
                </c:pt>
                <c:pt idx="21">
                  <c:v>45</c:v>
                </c:pt>
                <c:pt idx="22">
                  <c:v>45</c:v>
                </c:pt>
                <c:pt idx="23">
                  <c:v>45</c:v>
                </c:pt>
                <c:pt idx="24">
                  <c:v>58</c:v>
                </c:pt>
                <c:pt idx="25">
                  <c:v>74</c:v>
                </c:pt>
                <c:pt idx="26">
                  <c:v>81</c:v>
                </c:pt>
                <c:pt idx="27">
                  <c:v>81</c:v>
                </c:pt>
                <c:pt idx="28">
                  <c:v>97</c:v>
                </c:pt>
                <c:pt idx="29">
                  <c:v>110</c:v>
                </c:pt>
                <c:pt idx="30">
                  <c:v>111</c:v>
                </c:pt>
                <c:pt idx="31">
                  <c:v>111</c:v>
                </c:pt>
                <c:pt idx="32">
                  <c:v>123</c:v>
                </c:pt>
              </c:numCache>
            </c:numRef>
          </c:val>
          <c:smooth val="0"/>
          <c:extLst>
            <c:ext xmlns:c16="http://schemas.microsoft.com/office/drawing/2014/chart" uri="{C3380CC4-5D6E-409C-BE32-E72D297353CC}">
              <c16:uniqueId val="{00000027-AA7F-FD49-9C25-4EDB35C90EC6}"/>
            </c:ext>
          </c:extLst>
        </c:ser>
        <c:ser>
          <c:idx val="40"/>
          <c:order val="40"/>
          <c:tx>
            <c:strRef>
              <c:f>'For stats end Y Score'!$A$42</c:f>
              <c:strCache>
                <c:ptCount val="1"/>
                <c:pt idx="0">
                  <c:v>JC</c:v>
                </c:pt>
              </c:strCache>
            </c:strRef>
          </c:tx>
          <c:spPr>
            <a:ln w="28575" cap="rnd">
              <a:solidFill>
                <a:schemeClr val="accent5">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Score'!$B$42:$AN$42</c:f>
              <c:numCache>
                <c:formatCode>General</c:formatCode>
                <c:ptCount val="39"/>
                <c:pt idx="0">
                  <c:v>0</c:v>
                </c:pt>
                <c:pt idx="1">
                  <c:v>0</c:v>
                </c:pt>
                <c:pt idx="2">
                  <c:v>12</c:v>
                </c:pt>
                <c:pt idx="3">
                  <c:v>21</c:v>
                </c:pt>
                <c:pt idx="4">
                  <c:v>30</c:v>
                </c:pt>
                <c:pt idx="5">
                  <c:v>46</c:v>
                </c:pt>
                <c:pt idx="6">
                  <c:v>54</c:v>
                </c:pt>
                <c:pt idx="7">
                  <c:v>63</c:v>
                </c:pt>
                <c:pt idx="8">
                  <c:v>76</c:v>
                </c:pt>
                <c:pt idx="9">
                  <c:v>88</c:v>
                </c:pt>
                <c:pt idx="10">
                  <c:v>103</c:v>
                </c:pt>
                <c:pt idx="11">
                  <c:v>104</c:v>
                </c:pt>
                <c:pt idx="12">
                  <c:v>112</c:v>
                </c:pt>
                <c:pt idx="13">
                  <c:v>124</c:v>
                </c:pt>
                <c:pt idx="14">
                  <c:v>132</c:v>
                </c:pt>
                <c:pt idx="15">
                  <c:v>134</c:v>
                </c:pt>
                <c:pt idx="16">
                  <c:v>139</c:v>
                </c:pt>
                <c:pt idx="17">
                  <c:v>156</c:v>
                </c:pt>
                <c:pt idx="18">
                  <c:v>158</c:v>
                </c:pt>
                <c:pt idx="19">
                  <c:v>166</c:v>
                </c:pt>
                <c:pt idx="20">
                  <c:v>182</c:v>
                </c:pt>
                <c:pt idx="21">
                  <c:v>187</c:v>
                </c:pt>
                <c:pt idx="22">
                  <c:v>192</c:v>
                </c:pt>
                <c:pt idx="23">
                  <c:v>205</c:v>
                </c:pt>
                <c:pt idx="24">
                  <c:v>214</c:v>
                </c:pt>
                <c:pt idx="25">
                  <c:v>215</c:v>
                </c:pt>
                <c:pt idx="26">
                  <c:v>218</c:v>
                </c:pt>
                <c:pt idx="27">
                  <c:v>229</c:v>
                </c:pt>
                <c:pt idx="28">
                  <c:v>231</c:v>
                </c:pt>
                <c:pt idx="29">
                  <c:v>231</c:v>
                </c:pt>
                <c:pt idx="30">
                  <c:v>241</c:v>
                </c:pt>
                <c:pt idx="31">
                  <c:v>249</c:v>
                </c:pt>
                <c:pt idx="32">
                  <c:v>253</c:v>
                </c:pt>
              </c:numCache>
            </c:numRef>
          </c:val>
          <c:smooth val="0"/>
          <c:extLst>
            <c:ext xmlns:c16="http://schemas.microsoft.com/office/drawing/2014/chart" uri="{C3380CC4-5D6E-409C-BE32-E72D297353CC}">
              <c16:uniqueId val="{00000028-AA7F-FD49-9C25-4EDB35C90EC6}"/>
            </c:ext>
          </c:extLst>
        </c:ser>
        <c:ser>
          <c:idx val="41"/>
          <c:order val="41"/>
          <c:tx>
            <c:strRef>
              <c:f>'For stats end Y Score'!$A$43</c:f>
              <c:strCache>
                <c:ptCount val="1"/>
                <c:pt idx="0">
                  <c:v>JeanMichelTiming</c:v>
                </c:pt>
              </c:strCache>
            </c:strRef>
          </c:tx>
          <c:spPr>
            <a:ln w="28575" cap="rnd">
              <a:solidFill>
                <a:schemeClr val="accent6">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Score'!$B$43:$AN$43</c:f>
              <c:numCache>
                <c:formatCode>General</c:formatCode>
                <c:ptCount val="39"/>
                <c:pt idx="0">
                  <c:v>16</c:v>
                </c:pt>
                <c:pt idx="1">
                  <c:v>17</c:v>
                </c:pt>
                <c:pt idx="2">
                  <c:v>25</c:v>
                </c:pt>
                <c:pt idx="3">
                  <c:v>26</c:v>
                </c:pt>
                <c:pt idx="4">
                  <c:v>35</c:v>
                </c:pt>
                <c:pt idx="5">
                  <c:v>48</c:v>
                </c:pt>
                <c:pt idx="6">
                  <c:v>48</c:v>
                </c:pt>
                <c:pt idx="7">
                  <c:v>64</c:v>
                </c:pt>
                <c:pt idx="8">
                  <c:v>76</c:v>
                </c:pt>
                <c:pt idx="9">
                  <c:v>77</c:v>
                </c:pt>
                <c:pt idx="10">
                  <c:v>93</c:v>
                </c:pt>
                <c:pt idx="11">
                  <c:v>97</c:v>
                </c:pt>
                <c:pt idx="12">
                  <c:v>109</c:v>
                </c:pt>
                <c:pt idx="13">
                  <c:v>118</c:v>
                </c:pt>
                <c:pt idx="14">
                  <c:v>119</c:v>
                </c:pt>
                <c:pt idx="15">
                  <c:v>119</c:v>
                </c:pt>
                <c:pt idx="16">
                  <c:v>132</c:v>
                </c:pt>
                <c:pt idx="17">
                  <c:v>135</c:v>
                </c:pt>
                <c:pt idx="18">
                  <c:v>147</c:v>
                </c:pt>
                <c:pt idx="19">
                  <c:v>154</c:v>
                </c:pt>
                <c:pt idx="20">
                  <c:v>170</c:v>
                </c:pt>
                <c:pt idx="21">
                  <c:v>182</c:v>
                </c:pt>
                <c:pt idx="22">
                  <c:v>199</c:v>
                </c:pt>
                <c:pt idx="23">
                  <c:v>200</c:v>
                </c:pt>
                <c:pt idx="24">
                  <c:v>202</c:v>
                </c:pt>
                <c:pt idx="25">
                  <c:v>214</c:v>
                </c:pt>
                <c:pt idx="26">
                  <c:v>225</c:v>
                </c:pt>
                <c:pt idx="27">
                  <c:v>226</c:v>
                </c:pt>
                <c:pt idx="28">
                  <c:v>233</c:v>
                </c:pt>
                <c:pt idx="29">
                  <c:v>235</c:v>
                </c:pt>
                <c:pt idx="30">
                  <c:v>242</c:v>
                </c:pt>
                <c:pt idx="31">
                  <c:v>242</c:v>
                </c:pt>
                <c:pt idx="32">
                  <c:v>244</c:v>
                </c:pt>
              </c:numCache>
            </c:numRef>
          </c:val>
          <c:smooth val="0"/>
          <c:extLst>
            <c:ext xmlns:c16="http://schemas.microsoft.com/office/drawing/2014/chart" uri="{C3380CC4-5D6E-409C-BE32-E72D297353CC}">
              <c16:uniqueId val="{00000029-AA7F-FD49-9C25-4EDB35C90EC6}"/>
            </c:ext>
          </c:extLst>
        </c:ser>
        <c:ser>
          <c:idx val="42"/>
          <c:order val="42"/>
          <c:tx>
            <c:strRef>
              <c:f>'For stats end Y Score'!$A$44</c:f>
              <c:strCache>
                <c:ptCount val="1"/>
                <c:pt idx="0">
                  <c:v>Jeremy</c:v>
                </c:pt>
              </c:strCache>
            </c:strRef>
          </c:tx>
          <c:spPr>
            <a:ln w="28575" cap="rnd">
              <a:solidFill>
                <a:schemeClr val="accent1">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Score'!$B$44:$AN$44</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numCache>
            </c:numRef>
          </c:val>
          <c:smooth val="0"/>
          <c:extLst>
            <c:ext xmlns:c16="http://schemas.microsoft.com/office/drawing/2014/chart" uri="{C3380CC4-5D6E-409C-BE32-E72D297353CC}">
              <c16:uniqueId val="{0000002A-AA7F-FD49-9C25-4EDB35C90EC6}"/>
            </c:ext>
          </c:extLst>
        </c:ser>
        <c:ser>
          <c:idx val="43"/>
          <c:order val="43"/>
          <c:tx>
            <c:strRef>
              <c:f>'For stats end Y Score'!$A$45</c:f>
              <c:strCache>
                <c:ptCount val="1"/>
                <c:pt idx="0">
                  <c:v>Jérôme</c:v>
                </c:pt>
              </c:strCache>
            </c:strRef>
          </c:tx>
          <c:spPr>
            <a:ln w="28575" cap="rnd">
              <a:solidFill>
                <a:schemeClr val="accent2">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Score'!$B$45:$AN$45</c:f>
              <c:numCache>
                <c:formatCode>General</c:formatCode>
                <c:ptCount val="39"/>
                <c:pt idx="0">
                  <c:v>4</c:v>
                </c:pt>
                <c:pt idx="1">
                  <c:v>7</c:v>
                </c:pt>
                <c:pt idx="2">
                  <c:v>15</c:v>
                </c:pt>
                <c:pt idx="3">
                  <c:v>20</c:v>
                </c:pt>
                <c:pt idx="4">
                  <c:v>37</c:v>
                </c:pt>
                <c:pt idx="5">
                  <c:v>39</c:v>
                </c:pt>
                <c:pt idx="6">
                  <c:v>47</c:v>
                </c:pt>
                <c:pt idx="7">
                  <c:v>51</c:v>
                </c:pt>
                <c:pt idx="8">
                  <c:v>68</c:v>
                </c:pt>
                <c:pt idx="9">
                  <c:v>84</c:v>
                </c:pt>
                <c:pt idx="10">
                  <c:v>95</c:v>
                </c:pt>
                <c:pt idx="11">
                  <c:v>96</c:v>
                </c:pt>
                <c:pt idx="12">
                  <c:v>98</c:v>
                </c:pt>
                <c:pt idx="13">
                  <c:v>111</c:v>
                </c:pt>
                <c:pt idx="14">
                  <c:v>128</c:v>
                </c:pt>
                <c:pt idx="15">
                  <c:v>145</c:v>
                </c:pt>
                <c:pt idx="16">
                  <c:v>154</c:v>
                </c:pt>
                <c:pt idx="17">
                  <c:v>156</c:v>
                </c:pt>
                <c:pt idx="18">
                  <c:v>160</c:v>
                </c:pt>
                <c:pt idx="19">
                  <c:v>175</c:v>
                </c:pt>
                <c:pt idx="20">
                  <c:v>179</c:v>
                </c:pt>
                <c:pt idx="21">
                  <c:v>180</c:v>
                </c:pt>
                <c:pt idx="22">
                  <c:v>182</c:v>
                </c:pt>
                <c:pt idx="23">
                  <c:v>199</c:v>
                </c:pt>
                <c:pt idx="24">
                  <c:v>206</c:v>
                </c:pt>
                <c:pt idx="25">
                  <c:v>207</c:v>
                </c:pt>
                <c:pt idx="26">
                  <c:v>213</c:v>
                </c:pt>
                <c:pt idx="27">
                  <c:v>215</c:v>
                </c:pt>
                <c:pt idx="28">
                  <c:v>215</c:v>
                </c:pt>
                <c:pt idx="29">
                  <c:v>217</c:v>
                </c:pt>
                <c:pt idx="30">
                  <c:v>223</c:v>
                </c:pt>
                <c:pt idx="31">
                  <c:v>225</c:v>
                </c:pt>
                <c:pt idx="32">
                  <c:v>234</c:v>
                </c:pt>
              </c:numCache>
            </c:numRef>
          </c:val>
          <c:smooth val="0"/>
          <c:extLst>
            <c:ext xmlns:c16="http://schemas.microsoft.com/office/drawing/2014/chart" uri="{C3380CC4-5D6E-409C-BE32-E72D297353CC}">
              <c16:uniqueId val="{0000002B-AA7F-FD49-9C25-4EDB35C90EC6}"/>
            </c:ext>
          </c:extLst>
        </c:ser>
        <c:ser>
          <c:idx val="44"/>
          <c:order val="44"/>
          <c:tx>
            <c:strRef>
              <c:f>'For stats end Y Score'!$A$46</c:f>
              <c:strCache>
                <c:ptCount val="1"/>
                <c:pt idx="0">
                  <c:v>Joic</c:v>
                </c:pt>
              </c:strCache>
            </c:strRef>
          </c:tx>
          <c:spPr>
            <a:ln w="28575" cap="rnd">
              <a:solidFill>
                <a:schemeClr val="accent3">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Score'!$B$46:$AN$46</c:f>
              <c:numCache>
                <c:formatCode>General</c:formatCode>
                <c:ptCount val="39"/>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numCache>
            </c:numRef>
          </c:val>
          <c:smooth val="0"/>
          <c:extLst>
            <c:ext xmlns:c16="http://schemas.microsoft.com/office/drawing/2014/chart" uri="{C3380CC4-5D6E-409C-BE32-E72D297353CC}">
              <c16:uniqueId val="{0000002C-AA7F-FD49-9C25-4EDB35C90EC6}"/>
            </c:ext>
          </c:extLst>
        </c:ser>
        <c:ser>
          <c:idx val="45"/>
          <c:order val="45"/>
          <c:tx>
            <c:strRef>
              <c:f>'For stats end Y Score'!$A$47</c:f>
              <c:strCache>
                <c:ptCount val="1"/>
                <c:pt idx="0">
                  <c:v>Just4fun</c:v>
                </c:pt>
              </c:strCache>
            </c:strRef>
          </c:tx>
          <c:spPr>
            <a:ln w="28575" cap="rnd">
              <a:solidFill>
                <a:schemeClr val="accent4">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Score'!$B$47:$AN$47</c:f>
              <c:numCache>
                <c:formatCode>General</c:formatCode>
                <c:ptCount val="39"/>
                <c:pt idx="0">
                  <c:v>0</c:v>
                </c:pt>
                <c:pt idx="1">
                  <c:v>8</c:v>
                </c:pt>
                <c:pt idx="2">
                  <c:v>10</c:v>
                </c:pt>
                <c:pt idx="3">
                  <c:v>11</c:v>
                </c:pt>
                <c:pt idx="4">
                  <c:v>14</c:v>
                </c:pt>
                <c:pt idx="5">
                  <c:v>14</c:v>
                </c:pt>
                <c:pt idx="6">
                  <c:v>15</c:v>
                </c:pt>
                <c:pt idx="7">
                  <c:v>16</c:v>
                </c:pt>
                <c:pt idx="8">
                  <c:v>16</c:v>
                </c:pt>
                <c:pt idx="9">
                  <c:v>16</c:v>
                </c:pt>
                <c:pt idx="10">
                  <c:v>16</c:v>
                </c:pt>
                <c:pt idx="11">
                  <c:v>16</c:v>
                </c:pt>
                <c:pt idx="12">
                  <c:v>32</c:v>
                </c:pt>
                <c:pt idx="13">
                  <c:v>32</c:v>
                </c:pt>
                <c:pt idx="14">
                  <c:v>32</c:v>
                </c:pt>
                <c:pt idx="15">
                  <c:v>32</c:v>
                </c:pt>
                <c:pt idx="16">
                  <c:v>32</c:v>
                </c:pt>
                <c:pt idx="17">
                  <c:v>32</c:v>
                </c:pt>
                <c:pt idx="18">
                  <c:v>32</c:v>
                </c:pt>
                <c:pt idx="19">
                  <c:v>32</c:v>
                </c:pt>
                <c:pt idx="20">
                  <c:v>32</c:v>
                </c:pt>
                <c:pt idx="21">
                  <c:v>32</c:v>
                </c:pt>
                <c:pt idx="22">
                  <c:v>32</c:v>
                </c:pt>
                <c:pt idx="23">
                  <c:v>32</c:v>
                </c:pt>
                <c:pt idx="24">
                  <c:v>32</c:v>
                </c:pt>
                <c:pt idx="25">
                  <c:v>32</c:v>
                </c:pt>
                <c:pt idx="26">
                  <c:v>32</c:v>
                </c:pt>
                <c:pt idx="27">
                  <c:v>32</c:v>
                </c:pt>
                <c:pt idx="28">
                  <c:v>32</c:v>
                </c:pt>
                <c:pt idx="29">
                  <c:v>32</c:v>
                </c:pt>
                <c:pt idx="30">
                  <c:v>32</c:v>
                </c:pt>
                <c:pt idx="31">
                  <c:v>32</c:v>
                </c:pt>
                <c:pt idx="32">
                  <c:v>32</c:v>
                </c:pt>
              </c:numCache>
            </c:numRef>
          </c:val>
          <c:smooth val="0"/>
          <c:extLst>
            <c:ext xmlns:c16="http://schemas.microsoft.com/office/drawing/2014/chart" uri="{C3380CC4-5D6E-409C-BE32-E72D297353CC}">
              <c16:uniqueId val="{0000002D-AA7F-FD49-9C25-4EDB35C90EC6}"/>
            </c:ext>
          </c:extLst>
        </c:ser>
        <c:ser>
          <c:idx val="46"/>
          <c:order val="46"/>
          <c:tx>
            <c:strRef>
              <c:f>'For stats end Y Score'!$A$48</c:f>
              <c:strCache>
                <c:ptCount val="1"/>
                <c:pt idx="0">
                  <c:v>K1</c:v>
                </c:pt>
              </c:strCache>
            </c:strRef>
          </c:tx>
          <c:spPr>
            <a:ln w="28575" cap="rnd">
              <a:solidFill>
                <a:schemeClr val="accent5">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Score'!$B$48:$AN$48</c:f>
              <c:numCache>
                <c:formatCode>General</c:formatCode>
                <c:ptCount val="39"/>
                <c:pt idx="0">
                  <c:v>8</c:v>
                </c:pt>
                <c:pt idx="1">
                  <c:v>13</c:v>
                </c:pt>
                <c:pt idx="2">
                  <c:v>18</c:v>
                </c:pt>
                <c:pt idx="3">
                  <c:v>20</c:v>
                </c:pt>
                <c:pt idx="4">
                  <c:v>22</c:v>
                </c:pt>
                <c:pt idx="5">
                  <c:v>26</c:v>
                </c:pt>
                <c:pt idx="6">
                  <c:v>28</c:v>
                </c:pt>
                <c:pt idx="7">
                  <c:v>40</c:v>
                </c:pt>
                <c:pt idx="8">
                  <c:v>43</c:v>
                </c:pt>
                <c:pt idx="9">
                  <c:v>55</c:v>
                </c:pt>
                <c:pt idx="10">
                  <c:v>56</c:v>
                </c:pt>
                <c:pt idx="11">
                  <c:v>58</c:v>
                </c:pt>
                <c:pt idx="12">
                  <c:v>59</c:v>
                </c:pt>
                <c:pt idx="13">
                  <c:v>76</c:v>
                </c:pt>
                <c:pt idx="14">
                  <c:v>77</c:v>
                </c:pt>
                <c:pt idx="15">
                  <c:v>79</c:v>
                </c:pt>
                <c:pt idx="16">
                  <c:v>88</c:v>
                </c:pt>
                <c:pt idx="17">
                  <c:v>90</c:v>
                </c:pt>
                <c:pt idx="18">
                  <c:v>90</c:v>
                </c:pt>
                <c:pt idx="19">
                  <c:v>91</c:v>
                </c:pt>
                <c:pt idx="20">
                  <c:v>94</c:v>
                </c:pt>
                <c:pt idx="21">
                  <c:v>96</c:v>
                </c:pt>
                <c:pt idx="22">
                  <c:v>97</c:v>
                </c:pt>
                <c:pt idx="23">
                  <c:v>110</c:v>
                </c:pt>
                <c:pt idx="24">
                  <c:v>110</c:v>
                </c:pt>
                <c:pt idx="25">
                  <c:v>111</c:v>
                </c:pt>
                <c:pt idx="26">
                  <c:v>121</c:v>
                </c:pt>
                <c:pt idx="27">
                  <c:v>128</c:v>
                </c:pt>
                <c:pt idx="28">
                  <c:v>128</c:v>
                </c:pt>
                <c:pt idx="29">
                  <c:v>144</c:v>
                </c:pt>
                <c:pt idx="30">
                  <c:v>155</c:v>
                </c:pt>
                <c:pt idx="31">
                  <c:v>170</c:v>
                </c:pt>
                <c:pt idx="32">
                  <c:v>185</c:v>
                </c:pt>
              </c:numCache>
            </c:numRef>
          </c:val>
          <c:smooth val="0"/>
          <c:extLst>
            <c:ext xmlns:c16="http://schemas.microsoft.com/office/drawing/2014/chart" uri="{C3380CC4-5D6E-409C-BE32-E72D297353CC}">
              <c16:uniqueId val="{0000002E-AA7F-FD49-9C25-4EDB35C90EC6}"/>
            </c:ext>
          </c:extLst>
        </c:ser>
        <c:ser>
          <c:idx val="47"/>
          <c:order val="47"/>
          <c:tx>
            <c:strRef>
              <c:f>'For stats end Y Score'!$A$49</c:f>
              <c:strCache>
                <c:ptCount val="1"/>
                <c:pt idx="0">
                  <c:v>Kewen</c:v>
                </c:pt>
              </c:strCache>
            </c:strRef>
          </c:tx>
          <c:spPr>
            <a:ln w="28575" cap="rnd">
              <a:solidFill>
                <a:schemeClr val="accent6">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Score'!$B$49:$AN$49</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8</c:v>
                </c:pt>
                <c:pt idx="28">
                  <c:v>8</c:v>
                </c:pt>
                <c:pt idx="29">
                  <c:v>8</c:v>
                </c:pt>
                <c:pt idx="30">
                  <c:v>10</c:v>
                </c:pt>
                <c:pt idx="31">
                  <c:v>10</c:v>
                </c:pt>
                <c:pt idx="32">
                  <c:v>11</c:v>
                </c:pt>
              </c:numCache>
            </c:numRef>
          </c:val>
          <c:smooth val="0"/>
          <c:extLst>
            <c:ext xmlns:c16="http://schemas.microsoft.com/office/drawing/2014/chart" uri="{C3380CC4-5D6E-409C-BE32-E72D297353CC}">
              <c16:uniqueId val="{0000002F-AA7F-FD49-9C25-4EDB35C90EC6}"/>
            </c:ext>
          </c:extLst>
        </c:ser>
        <c:ser>
          <c:idx val="48"/>
          <c:order val="48"/>
          <c:tx>
            <c:strRef>
              <c:f>'For stats end Y Score'!$A$50</c:f>
              <c:strCache>
                <c:ptCount val="1"/>
                <c:pt idx="0">
                  <c:v>Kheops</c:v>
                </c:pt>
              </c:strCache>
            </c:strRef>
          </c:tx>
          <c:spPr>
            <a:ln w="28575" cap="rnd">
              <a:solidFill>
                <a:schemeClr val="accent1">
                  <a:lumMod val="50000"/>
                  <a:lumOff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Score'!$B$50:$AN$50</c:f>
              <c:numCache>
                <c:formatCode>General</c:formatCode>
                <c:ptCount val="39"/>
                <c:pt idx="0">
                  <c:v>8</c:v>
                </c:pt>
                <c:pt idx="1">
                  <c:v>11</c:v>
                </c:pt>
                <c:pt idx="2">
                  <c:v>11</c:v>
                </c:pt>
                <c:pt idx="3">
                  <c:v>11</c:v>
                </c:pt>
                <c:pt idx="4">
                  <c:v>16</c:v>
                </c:pt>
                <c:pt idx="5">
                  <c:v>19</c:v>
                </c:pt>
                <c:pt idx="6">
                  <c:v>19</c:v>
                </c:pt>
                <c:pt idx="7">
                  <c:v>24</c:v>
                </c:pt>
                <c:pt idx="8">
                  <c:v>41</c:v>
                </c:pt>
                <c:pt idx="9">
                  <c:v>57</c:v>
                </c:pt>
                <c:pt idx="10">
                  <c:v>61</c:v>
                </c:pt>
                <c:pt idx="11">
                  <c:v>65</c:v>
                </c:pt>
                <c:pt idx="12">
                  <c:v>65</c:v>
                </c:pt>
                <c:pt idx="13">
                  <c:v>74</c:v>
                </c:pt>
                <c:pt idx="14">
                  <c:v>87</c:v>
                </c:pt>
                <c:pt idx="15">
                  <c:v>87</c:v>
                </c:pt>
                <c:pt idx="16">
                  <c:v>88</c:v>
                </c:pt>
                <c:pt idx="17">
                  <c:v>90</c:v>
                </c:pt>
                <c:pt idx="18">
                  <c:v>90</c:v>
                </c:pt>
                <c:pt idx="19">
                  <c:v>90</c:v>
                </c:pt>
                <c:pt idx="20">
                  <c:v>93</c:v>
                </c:pt>
                <c:pt idx="21">
                  <c:v>106</c:v>
                </c:pt>
                <c:pt idx="22">
                  <c:v>106</c:v>
                </c:pt>
                <c:pt idx="23">
                  <c:v>123</c:v>
                </c:pt>
                <c:pt idx="24">
                  <c:v>123</c:v>
                </c:pt>
                <c:pt idx="25">
                  <c:v>131</c:v>
                </c:pt>
                <c:pt idx="26">
                  <c:v>139</c:v>
                </c:pt>
                <c:pt idx="27">
                  <c:v>147</c:v>
                </c:pt>
                <c:pt idx="28">
                  <c:v>149</c:v>
                </c:pt>
                <c:pt idx="29">
                  <c:v>152</c:v>
                </c:pt>
                <c:pt idx="30">
                  <c:v>152</c:v>
                </c:pt>
                <c:pt idx="31">
                  <c:v>167</c:v>
                </c:pt>
                <c:pt idx="32">
                  <c:v>179</c:v>
                </c:pt>
              </c:numCache>
            </c:numRef>
          </c:val>
          <c:smooth val="0"/>
          <c:extLst>
            <c:ext xmlns:c16="http://schemas.microsoft.com/office/drawing/2014/chart" uri="{C3380CC4-5D6E-409C-BE32-E72D297353CC}">
              <c16:uniqueId val="{00000030-AA7F-FD49-9C25-4EDB35C90EC6}"/>
            </c:ext>
          </c:extLst>
        </c:ser>
        <c:ser>
          <c:idx val="49"/>
          <c:order val="49"/>
          <c:tx>
            <c:strRef>
              <c:f>'For stats end Y Score'!$A$51</c:f>
              <c:strCache>
                <c:ptCount val="1"/>
                <c:pt idx="0">
                  <c:v>Kri-lin</c:v>
                </c:pt>
              </c:strCache>
            </c:strRef>
          </c:tx>
          <c:spPr>
            <a:ln w="28575" cap="rnd">
              <a:solidFill>
                <a:schemeClr val="accent2">
                  <a:lumMod val="50000"/>
                  <a:lumOff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Score'!$B$51:$AN$51</c:f>
              <c:numCache>
                <c:formatCode>General</c:formatCode>
                <c:ptCount val="39"/>
                <c:pt idx="0">
                  <c:v>4</c:v>
                </c:pt>
                <c:pt idx="1">
                  <c:v>6</c:v>
                </c:pt>
                <c:pt idx="2">
                  <c:v>7</c:v>
                </c:pt>
                <c:pt idx="3">
                  <c:v>16</c:v>
                </c:pt>
                <c:pt idx="4">
                  <c:v>17</c:v>
                </c:pt>
                <c:pt idx="5">
                  <c:v>30</c:v>
                </c:pt>
                <c:pt idx="6">
                  <c:v>30</c:v>
                </c:pt>
                <c:pt idx="7">
                  <c:v>31</c:v>
                </c:pt>
                <c:pt idx="8">
                  <c:v>31</c:v>
                </c:pt>
                <c:pt idx="9">
                  <c:v>35</c:v>
                </c:pt>
                <c:pt idx="10">
                  <c:v>47</c:v>
                </c:pt>
                <c:pt idx="11">
                  <c:v>59</c:v>
                </c:pt>
                <c:pt idx="12">
                  <c:v>59</c:v>
                </c:pt>
                <c:pt idx="13">
                  <c:v>59</c:v>
                </c:pt>
                <c:pt idx="14">
                  <c:v>62</c:v>
                </c:pt>
                <c:pt idx="15">
                  <c:v>62</c:v>
                </c:pt>
                <c:pt idx="16">
                  <c:v>62</c:v>
                </c:pt>
                <c:pt idx="17">
                  <c:v>62</c:v>
                </c:pt>
                <c:pt idx="18">
                  <c:v>62</c:v>
                </c:pt>
                <c:pt idx="19">
                  <c:v>62</c:v>
                </c:pt>
                <c:pt idx="20">
                  <c:v>63</c:v>
                </c:pt>
                <c:pt idx="21">
                  <c:v>63</c:v>
                </c:pt>
                <c:pt idx="22">
                  <c:v>63</c:v>
                </c:pt>
                <c:pt idx="23">
                  <c:v>80</c:v>
                </c:pt>
                <c:pt idx="24">
                  <c:v>92</c:v>
                </c:pt>
                <c:pt idx="25">
                  <c:v>92</c:v>
                </c:pt>
                <c:pt idx="26">
                  <c:v>92</c:v>
                </c:pt>
                <c:pt idx="27">
                  <c:v>92</c:v>
                </c:pt>
                <c:pt idx="28">
                  <c:v>92</c:v>
                </c:pt>
                <c:pt idx="29">
                  <c:v>92</c:v>
                </c:pt>
                <c:pt idx="30">
                  <c:v>108</c:v>
                </c:pt>
                <c:pt idx="31">
                  <c:v>116</c:v>
                </c:pt>
                <c:pt idx="32">
                  <c:v>132</c:v>
                </c:pt>
              </c:numCache>
            </c:numRef>
          </c:val>
          <c:smooth val="0"/>
          <c:extLst>
            <c:ext xmlns:c16="http://schemas.microsoft.com/office/drawing/2014/chart" uri="{C3380CC4-5D6E-409C-BE32-E72D297353CC}">
              <c16:uniqueId val="{00000031-AA7F-FD49-9C25-4EDB35C90EC6}"/>
            </c:ext>
          </c:extLst>
        </c:ser>
        <c:ser>
          <c:idx val="50"/>
          <c:order val="50"/>
          <c:tx>
            <c:strRef>
              <c:f>'For stats end Y Score'!$A$52</c:f>
              <c:strCache>
                <c:ptCount val="1"/>
                <c:pt idx="0">
                  <c:v>La Bavure</c:v>
                </c:pt>
              </c:strCache>
            </c:strRef>
          </c:tx>
          <c:spPr>
            <a:ln w="28575" cap="rnd">
              <a:solidFill>
                <a:schemeClr val="accent3">
                  <a:lumMod val="50000"/>
                  <a:lumOff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Score'!$B$52:$AN$52</c:f>
              <c:numCache>
                <c:formatCode>General</c:formatCode>
                <c:ptCount val="39"/>
                <c:pt idx="0">
                  <c:v>0</c:v>
                </c:pt>
                <c:pt idx="1">
                  <c:v>1</c:v>
                </c:pt>
                <c:pt idx="2">
                  <c:v>5</c:v>
                </c:pt>
                <c:pt idx="3">
                  <c:v>5</c:v>
                </c:pt>
                <c:pt idx="4">
                  <c:v>16</c:v>
                </c:pt>
                <c:pt idx="5">
                  <c:v>17</c:v>
                </c:pt>
                <c:pt idx="6">
                  <c:v>18</c:v>
                </c:pt>
                <c:pt idx="7">
                  <c:v>18</c:v>
                </c:pt>
                <c:pt idx="8">
                  <c:v>19</c:v>
                </c:pt>
                <c:pt idx="9">
                  <c:v>20</c:v>
                </c:pt>
                <c:pt idx="10">
                  <c:v>20</c:v>
                </c:pt>
                <c:pt idx="11">
                  <c:v>36</c:v>
                </c:pt>
                <c:pt idx="12">
                  <c:v>36</c:v>
                </c:pt>
                <c:pt idx="13">
                  <c:v>41</c:v>
                </c:pt>
                <c:pt idx="14">
                  <c:v>57</c:v>
                </c:pt>
                <c:pt idx="15">
                  <c:v>60</c:v>
                </c:pt>
                <c:pt idx="16">
                  <c:v>72</c:v>
                </c:pt>
                <c:pt idx="17">
                  <c:v>85</c:v>
                </c:pt>
                <c:pt idx="18">
                  <c:v>97</c:v>
                </c:pt>
                <c:pt idx="19">
                  <c:v>98</c:v>
                </c:pt>
                <c:pt idx="20">
                  <c:v>114</c:v>
                </c:pt>
                <c:pt idx="21">
                  <c:v>130</c:v>
                </c:pt>
                <c:pt idx="22">
                  <c:v>142</c:v>
                </c:pt>
                <c:pt idx="23">
                  <c:v>151</c:v>
                </c:pt>
                <c:pt idx="24">
                  <c:v>167</c:v>
                </c:pt>
                <c:pt idx="25">
                  <c:v>169</c:v>
                </c:pt>
                <c:pt idx="26">
                  <c:v>169</c:v>
                </c:pt>
                <c:pt idx="27">
                  <c:v>173</c:v>
                </c:pt>
                <c:pt idx="28">
                  <c:v>173</c:v>
                </c:pt>
                <c:pt idx="29">
                  <c:v>181</c:v>
                </c:pt>
                <c:pt idx="30">
                  <c:v>182</c:v>
                </c:pt>
                <c:pt idx="31">
                  <c:v>182</c:v>
                </c:pt>
                <c:pt idx="32">
                  <c:v>183</c:v>
                </c:pt>
              </c:numCache>
            </c:numRef>
          </c:val>
          <c:smooth val="0"/>
          <c:extLst>
            <c:ext xmlns:c16="http://schemas.microsoft.com/office/drawing/2014/chart" uri="{C3380CC4-5D6E-409C-BE32-E72D297353CC}">
              <c16:uniqueId val="{00000032-AA7F-FD49-9C25-4EDB35C90EC6}"/>
            </c:ext>
          </c:extLst>
        </c:ser>
        <c:ser>
          <c:idx val="51"/>
          <c:order val="51"/>
          <c:tx>
            <c:strRef>
              <c:f>'For stats end Y Score'!$A$53</c:f>
              <c:strCache>
                <c:ptCount val="1"/>
                <c:pt idx="0">
                  <c:v>LAAtof</c:v>
                </c:pt>
              </c:strCache>
            </c:strRef>
          </c:tx>
          <c:spPr>
            <a:ln w="28575" cap="rnd">
              <a:solidFill>
                <a:schemeClr val="accent4">
                  <a:lumMod val="50000"/>
                  <a:lumOff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Score'!$B$53:$AN$53</c:f>
              <c:numCache>
                <c:formatCode>General</c:formatCode>
                <c:ptCount val="39"/>
                <c:pt idx="0">
                  <c:v>4</c:v>
                </c:pt>
                <c:pt idx="1">
                  <c:v>16</c:v>
                </c:pt>
                <c:pt idx="2">
                  <c:v>16</c:v>
                </c:pt>
                <c:pt idx="3">
                  <c:v>29</c:v>
                </c:pt>
                <c:pt idx="4">
                  <c:v>29</c:v>
                </c:pt>
                <c:pt idx="5">
                  <c:v>31</c:v>
                </c:pt>
                <c:pt idx="6">
                  <c:v>33</c:v>
                </c:pt>
                <c:pt idx="7">
                  <c:v>50</c:v>
                </c:pt>
                <c:pt idx="8">
                  <c:v>50</c:v>
                </c:pt>
                <c:pt idx="9">
                  <c:v>50</c:v>
                </c:pt>
                <c:pt idx="10">
                  <c:v>62</c:v>
                </c:pt>
                <c:pt idx="11">
                  <c:v>71</c:v>
                </c:pt>
                <c:pt idx="12">
                  <c:v>71</c:v>
                </c:pt>
                <c:pt idx="13">
                  <c:v>72</c:v>
                </c:pt>
                <c:pt idx="14">
                  <c:v>74</c:v>
                </c:pt>
                <c:pt idx="15">
                  <c:v>77</c:v>
                </c:pt>
                <c:pt idx="16">
                  <c:v>78</c:v>
                </c:pt>
                <c:pt idx="17">
                  <c:v>78</c:v>
                </c:pt>
                <c:pt idx="18">
                  <c:v>78</c:v>
                </c:pt>
                <c:pt idx="19">
                  <c:v>78</c:v>
                </c:pt>
                <c:pt idx="20">
                  <c:v>94</c:v>
                </c:pt>
                <c:pt idx="21">
                  <c:v>107</c:v>
                </c:pt>
                <c:pt idx="22">
                  <c:v>119</c:v>
                </c:pt>
                <c:pt idx="23">
                  <c:v>121</c:v>
                </c:pt>
                <c:pt idx="24">
                  <c:v>133</c:v>
                </c:pt>
                <c:pt idx="25">
                  <c:v>141</c:v>
                </c:pt>
                <c:pt idx="26">
                  <c:v>148</c:v>
                </c:pt>
                <c:pt idx="27">
                  <c:v>148</c:v>
                </c:pt>
                <c:pt idx="28">
                  <c:v>152</c:v>
                </c:pt>
                <c:pt idx="29">
                  <c:v>168</c:v>
                </c:pt>
                <c:pt idx="30">
                  <c:v>168</c:v>
                </c:pt>
                <c:pt idx="31">
                  <c:v>168</c:v>
                </c:pt>
                <c:pt idx="32">
                  <c:v>168</c:v>
                </c:pt>
              </c:numCache>
            </c:numRef>
          </c:val>
          <c:smooth val="0"/>
          <c:extLst>
            <c:ext xmlns:c16="http://schemas.microsoft.com/office/drawing/2014/chart" uri="{C3380CC4-5D6E-409C-BE32-E72D297353CC}">
              <c16:uniqueId val="{00000033-AA7F-FD49-9C25-4EDB35C90EC6}"/>
            </c:ext>
          </c:extLst>
        </c:ser>
        <c:ser>
          <c:idx val="52"/>
          <c:order val="52"/>
          <c:tx>
            <c:strRef>
              <c:f>'For stats end Y Score'!$A$54</c:f>
              <c:strCache>
                <c:ptCount val="1"/>
                <c:pt idx="0">
                  <c:v>Lén@</c:v>
                </c:pt>
              </c:strCache>
            </c:strRef>
          </c:tx>
          <c:spPr>
            <a:ln w="28575" cap="rnd">
              <a:solidFill>
                <a:schemeClr val="accent5">
                  <a:lumMod val="50000"/>
                  <a:lumOff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Score'!$B$54:$AN$54</c:f>
              <c:numCache>
                <c:formatCode>General</c:formatCode>
                <c:ptCount val="39"/>
                <c:pt idx="0">
                  <c:v>0</c:v>
                </c:pt>
                <c:pt idx="1">
                  <c:v>0</c:v>
                </c:pt>
                <c:pt idx="2">
                  <c:v>2</c:v>
                </c:pt>
                <c:pt idx="3">
                  <c:v>4</c:v>
                </c:pt>
                <c:pt idx="4">
                  <c:v>4</c:v>
                </c:pt>
                <c:pt idx="5">
                  <c:v>21</c:v>
                </c:pt>
                <c:pt idx="6">
                  <c:v>21</c:v>
                </c:pt>
                <c:pt idx="7">
                  <c:v>21</c:v>
                </c:pt>
                <c:pt idx="8">
                  <c:v>21</c:v>
                </c:pt>
                <c:pt idx="9">
                  <c:v>21</c:v>
                </c:pt>
                <c:pt idx="10">
                  <c:v>21</c:v>
                </c:pt>
                <c:pt idx="11">
                  <c:v>21</c:v>
                </c:pt>
                <c:pt idx="12">
                  <c:v>25</c:v>
                </c:pt>
                <c:pt idx="13">
                  <c:v>26</c:v>
                </c:pt>
                <c:pt idx="14">
                  <c:v>26</c:v>
                </c:pt>
                <c:pt idx="15">
                  <c:v>26</c:v>
                </c:pt>
                <c:pt idx="16">
                  <c:v>26</c:v>
                </c:pt>
                <c:pt idx="17">
                  <c:v>26</c:v>
                </c:pt>
                <c:pt idx="18">
                  <c:v>26</c:v>
                </c:pt>
                <c:pt idx="19">
                  <c:v>26</c:v>
                </c:pt>
                <c:pt idx="20">
                  <c:v>27</c:v>
                </c:pt>
                <c:pt idx="21">
                  <c:v>29</c:v>
                </c:pt>
                <c:pt idx="22">
                  <c:v>29</c:v>
                </c:pt>
                <c:pt idx="23">
                  <c:v>32</c:v>
                </c:pt>
                <c:pt idx="24">
                  <c:v>32</c:v>
                </c:pt>
                <c:pt idx="25">
                  <c:v>32</c:v>
                </c:pt>
                <c:pt idx="26">
                  <c:v>34</c:v>
                </c:pt>
                <c:pt idx="27">
                  <c:v>36</c:v>
                </c:pt>
                <c:pt idx="28">
                  <c:v>36</c:v>
                </c:pt>
                <c:pt idx="29">
                  <c:v>39</c:v>
                </c:pt>
                <c:pt idx="30">
                  <c:v>39</c:v>
                </c:pt>
                <c:pt idx="31">
                  <c:v>40</c:v>
                </c:pt>
                <c:pt idx="32">
                  <c:v>40</c:v>
                </c:pt>
              </c:numCache>
            </c:numRef>
          </c:val>
          <c:smooth val="0"/>
          <c:extLst>
            <c:ext xmlns:c16="http://schemas.microsoft.com/office/drawing/2014/chart" uri="{C3380CC4-5D6E-409C-BE32-E72D297353CC}">
              <c16:uniqueId val="{00000034-AA7F-FD49-9C25-4EDB35C90EC6}"/>
            </c:ext>
          </c:extLst>
        </c:ser>
        <c:ser>
          <c:idx val="53"/>
          <c:order val="53"/>
          <c:tx>
            <c:strRef>
              <c:f>'For stats end Y Score'!$A$55</c:f>
              <c:strCache>
                <c:ptCount val="1"/>
                <c:pt idx="0">
                  <c:v>Light</c:v>
                </c:pt>
              </c:strCache>
            </c:strRef>
          </c:tx>
          <c:spPr>
            <a:ln w="28575" cap="rnd">
              <a:solidFill>
                <a:schemeClr val="accent6">
                  <a:lumMod val="50000"/>
                  <a:lumOff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Score'!$B$55:$AN$55</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11</c:v>
                </c:pt>
                <c:pt idx="27">
                  <c:v>15</c:v>
                </c:pt>
                <c:pt idx="28">
                  <c:v>31</c:v>
                </c:pt>
                <c:pt idx="29">
                  <c:v>44</c:v>
                </c:pt>
                <c:pt idx="30">
                  <c:v>60</c:v>
                </c:pt>
                <c:pt idx="31">
                  <c:v>76</c:v>
                </c:pt>
                <c:pt idx="32">
                  <c:v>84</c:v>
                </c:pt>
              </c:numCache>
            </c:numRef>
          </c:val>
          <c:smooth val="0"/>
          <c:extLst>
            <c:ext xmlns:c16="http://schemas.microsoft.com/office/drawing/2014/chart" uri="{C3380CC4-5D6E-409C-BE32-E72D297353CC}">
              <c16:uniqueId val="{00000035-AA7F-FD49-9C25-4EDB35C90EC6}"/>
            </c:ext>
          </c:extLst>
        </c:ser>
        <c:ser>
          <c:idx val="54"/>
          <c:order val="54"/>
          <c:tx>
            <c:strRef>
              <c:f>'For stats end Y Score'!$A$56</c:f>
              <c:strCache>
                <c:ptCount val="1"/>
                <c:pt idx="0">
                  <c:v>Lizzie</c:v>
                </c:pt>
              </c:strCache>
            </c:strRef>
          </c:tx>
          <c:spPr>
            <a:ln w="28575" cap="rnd">
              <a:solidFill>
                <a:schemeClr val="accent1"/>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Score'!$B$56:$AN$56</c:f>
              <c:numCache>
                <c:formatCode>General</c:formatCode>
                <c:ptCount val="39"/>
                <c:pt idx="0">
                  <c:v>0</c:v>
                </c:pt>
                <c:pt idx="1">
                  <c:v>0</c:v>
                </c:pt>
                <c:pt idx="2">
                  <c:v>3</c:v>
                </c:pt>
                <c:pt idx="3">
                  <c:v>3</c:v>
                </c:pt>
                <c:pt idx="4">
                  <c:v>6</c:v>
                </c:pt>
                <c:pt idx="5">
                  <c:v>7</c:v>
                </c:pt>
                <c:pt idx="6">
                  <c:v>7</c:v>
                </c:pt>
                <c:pt idx="7">
                  <c:v>7</c:v>
                </c:pt>
                <c:pt idx="8">
                  <c:v>7</c:v>
                </c:pt>
                <c:pt idx="9">
                  <c:v>7</c:v>
                </c:pt>
                <c:pt idx="10">
                  <c:v>7</c:v>
                </c:pt>
                <c:pt idx="11">
                  <c:v>7</c:v>
                </c:pt>
                <c:pt idx="12">
                  <c:v>10</c:v>
                </c:pt>
                <c:pt idx="13">
                  <c:v>10</c:v>
                </c:pt>
                <c:pt idx="14">
                  <c:v>10</c:v>
                </c:pt>
                <c:pt idx="15">
                  <c:v>10</c:v>
                </c:pt>
                <c:pt idx="16">
                  <c:v>10</c:v>
                </c:pt>
                <c:pt idx="17">
                  <c:v>10</c:v>
                </c:pt>
                <c:pt idx="18">
                  <c:v>10</c:v>
                </c:pt>
                <c:pt idx="19">
                  <c:v>10</c:v>
                </c:pt>
                <c:pt idx="20">
                  <c:v>10</c:v>
                </c:pt>
                <c:pt idx="21">
                  <c:v>10</c:v>
                </c:pt>
                <c:pt idx="22">
                  <c:v>10</c:v>
                </c:pt>
                <c:pt idx="23">
                  <c:v>13</c:v>
                </c:pt>
                <c:pt idx="24">
                  <c:v>16</c:v>
                </c:pt>
                <c:pt idx="25">
                  <c:v>16</c:v>
                </c:pt>
                <c:pt idx="26">
                  <c:v>16</c:v>
                </c:pt>
                <c:pt idx="27">
                  <c:v>16</c:v>
                </c:pt>
                <c:pt idx="28">
                  <c:v>16</c:v>
                </c:pt>
                <c:pt idx="29">
                  <c:v>16</c:v>
                </c:pt>
                <c:pt idx="30">
                  <c:v>16</c:v>
                </c:pt>
                <c:pt idx="31">
                  <c:v>16</c:v>
                </c:pt>
                <c:pt idx="32">
                  <c:v>16</c:v>
                </c:pt>
              </c:numCache>
            </c:numRef>
          </c:val>
          <c:smooth val="0"/>
          <c:extLst>
            <c:ext xmlns:c16="http://schemas.microsoft.com/office/drawing/2014/chart" uri="{C3380CC4-5D6E-409C-BE32-E72D297353CC}">
              <c16:uniqueId val="{00000036-AA7F-FD49-9C25-4EDB35C90EC6}"/>
            </c:ext>
          </c:extLst>
        </c:ser>
        <c:ser>
          <c:idx val="55"/>
          <c:order val="55"/>
          <c:tx>
            <c:strRef>
              <c:f>'For stats end Y Score'!$A$57</c:f>
              <c:strCache>
                <c:ptCount val="1"/>
                <c:pt idx="0">
                  <c:v>Losogre</c:v>
                </c:pt>
              </c:strCache>
            </c:strRef>
          </c:tx>
          <c:spPr>
            <a:ln w="28575" cap="rnd">
              <a:solidFill>
                <a:schemeClr val="accent2"/>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Score'!$B$57:$AN$57</c:f>
              <c:numCache>
                <c:formatCode>General</c:formatCode>
                <c:ptCount val="39"/>
                <c:pt idx="0">
                  <c:v>2</c:v>
                </c:pt>
                <c:pt idx="1">
                  <c:v>15</c:v>
                </c:pt>
                <c:pt idx="2">
                  <c:v>31</c:v>
                </c:pt>
                <c:pt idx="3">
                  <c:v>33</c:v>
                </c:pt>
                <c:pt idx="4">
                  <c:v>41</c:v>
                </c:pt>
                <c:pt idx="5">
                  <c:v>42</c:v>
                </c:pt>
                <c:pt idx="6">
                  <c:v>58</c:v>
                </c:pt>
                <c:pt idx="7">
                  <c:v>63</c:v>
                </c:pt>
                <c:pt idx="8">
                  <c:v>79</c:v>
                </c:pt>
                <c:pt idx="9">
                  <c:v>81</c:v>
                </c:pt>
                <c:pt idx="10">
                  <c:v>82</c:v>
                </c:pt>
                <c:pt idx="11">
                  <c:v>86</c:v>
                </c:pt>
                <c:pt idx="12">
                  <c:v>87</c:v>
                </c:pt>
                <c:pt idx="13">
                  <c:v>88</c:v>
                </c:pt>
                <c:pt idx="14">
                  <c:v>89</c:v>
                </c:pt>
                <c:pt idx="15">
                  <c:v>94</c:v>
                </c:pt>
                <c:pt idx="16">
                  <c:v>97</c:v>
                </c:pt>
                <c:pt idx="17">
                  <c:v>98</c:v>
                </c:pt>
                <c:pt idx="18">
                  <c:v>99</c:v>
                </c:pt>
                <c:pt idx="19">
                  <c:v>101</c:v>
                </c:pt>
                <c:pt idx="20">
                  <c:v>102</c:v>
                </c:pt>
                <c:pt idx="21">
                  <c:v>104</c:v>
                </c:pt>
                <c:pt idx="22">
                  <c:v>105</c:v>
                </c:pt>
                <c:pt idx="23">
                  <c:v>106</c:v>
                </c:pt>
                <c:pt idx="24">
                  <c:v>107</c:v>
                </c:pt>
                <c:pt idx="25">
                  <c:v>110</c:v>
                </c:pt>
                <c:pt idx="26">
                  <c:v>113</c:v>
                </c:pt>
                <c:pt idx="27">
                  <c:v>113</c:v>
                </c:pt>
                <c:pt idx="28">
                  <c:v>116</c:v>
                </c:pt>
                <c:pt idx="29">
                  <c:v>117</c:v>
                </c:pt>
                <c:pt idx="30">
                  <c:v>121</c:v>
                </c:pt>
                <c:pt idx="31">
                  <c:v>124</c:v>
                </c:pt>
                <c:pt idx="32">
                  <c:v>139</c:v>
                </c:pt>
              </c:numCache>
            </c:numRef>
          </c:val>
          <c:smooth val="0"/>
          <c:extLst>
            <c:ext xmlns:c16="http://schemas.microsoft.com/office/drawing/2014/chart" uri="{C3380CC4-5D6E-409C-BE32-E72D297353CC}">
              <c16:uniqueId val="{00000037-AA7F-FD49-9C25-4EDB35C90EC6}"/>
            </c:ext>
          </c:extLst>
        </c:ser>
        <c:ser>
          <c:idx val="56"/>
          <c:order val="56"/>
          <c:tx>
            <c:strRef>
              <c:f>'For stats end Y Score'!$A$58</c:f>
              <c:strCache>
                <c:ptCount val="1"/>
                <c:pt idx="0">
                  <c:v>Madridal</c:v>
                </c:pt>
              </c:strCache>
            </c:strRef>
          </c:tx>
          <c:spPr>
            <a:ln w="28575" cap="rnd">
              <a:solidFill>
                <a:schemeClr val="accent3"/>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Score'!$B$58:$AN$58</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15</c:v>
                </c:pt>
                <c:pt idx="27">
                  <c:v>31</c:v>
                </c:pt>
                <c:pt idx="28">
                  <c:v>31</c:v>
                </c:pt>
                <c:pt idx="29">
                  <c:v>32</c:v>
                </c:pt>
                <c:pt idx="30">
                  <c:v>44</c:v>
                </c:pt>
                <c:pt idx="31">
                  <c:v>44</c:v>
                </c:pt>
                <c:pt idx="32">
                  <c:v>52</c:v>
                </c:pt>
              </c:numCache>
            </c:numRef>
          </c:val>
          <c:smooth val="0"/>
          <c:extLst>
            <c:ext xmlns:c16="http://schemas.microsoft.com/office/drawing/2014/chart" uri="{C3380CC4-5D6E-409C-BE32-E72D297353CC}">
              <c16:uniqueId val="{00000038-AA7F-FD49-9C25-4EDB35C90EC6}"/>
            </c:ext>
          </c:extLst>
        </c:ser>
        <c:ser>
          <c:idx val="57"/>
          <c:order val="57"/>
          <c:tx>
            <c:strRef>
              <c:f>'For stats end Y Score'!$A$59</c:f>
              <c:strCache>
                <c:ptCount val="1"/>
                <c:pt idx="0">
                  <c:v>Magic Mykiss</c:v>
                </c:pt>
              </c:strCache>
            </c:strRef>
          </c:tx>
          <c:spPr>
            <a:ln w="28575" cap="rnd">
              <a:solidFill>
                <a:schemeClr val="accent4"/>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Score'!$B$59:$AN$59</c:f>
              <c:numCache>
                <c:formatCode>General</c:formatCode>
                <c:ptCount val="39"/>
                <c:pt idx="0">
                  <c:v>5</c:v>
                </c:pt>
                <c:pt idx="1">
                  <c:v>5</c:v>
                </c:pt>
                <c:pt idx="2">
                  <c:v>13</c:v>
                </c:pt>
                <c:pt idx="3">
                  <c:v>13</c:v>
                </c:pt>
                <c:pt idx="4">
                  <c:v>25</c:v>
                </c:pt>
                <c:pt idx="5">
                  <c:v>25</c:v>
                </c:pt>
                <c:pt idx="6">
                  <c:v>25</c:v>
                </c:pt>
                <c:pt idx="7">
                  <c:v>38</c:v>
                </c:pt>
                <c:pt idx="8">
                  <c:v>38</c:v>
                </c:pt>
                <c:pt idx="9">
                  <c:v>38</c:v>
                </c:pt>
                <c:pt idx="10">
                  <c:v>38</c:v>
                </c:pt>
                <c:pt idx="11">
                  <c:v>38</c:v>
                </c:pt>
                <c:pt idx="12">
                  <c:v>38</c:v>
                </c:pt>
                <c:pt idx="13">
                  <c:v>38</c:v>
                </c:pt>
                <c:pt idx="14">
                  <c:v>38</c:v>
                </c:pt>
                <c:pt idx="15">
                  <c:v>43</c:v>
                </c:pt>
                <c:pt idx="16">
                  <c:v>43</c:v>
                </c:pt>
                <c:pt idx="17">
                  <c:v>43</c:v>
                </c:pt>
                <c:pt idx="18">
                  <c:v>43</c:v>
                </c:pt>
                <c:pt idx="19">
                  <c:v>43</c:v>
                </c:pt>
                <c:pt idx="20">
                  <c:v>44</c:v>
                </c:pt>
                <c:pt idx="21">
                  <c:v>44</c:v>
                </c:pt>
                <c:pt idx="22">
                  <c:v>44</c:v>
                </c:pt>
                <c:pt idx="23">
                  <c:v>44</c:v>
                </c:pt>
                <c:pt idx="24">
                  <c:v>45</c:v>
                </c:pt>
                <c:pt idx="25">
                  <c:v>45</c:v>
                </c:pt>
                <c:pt idx="26">
                  <c:v>45</c:v>
                </c:pt>
                <c:pt idx="27">
                  <c:v>54</c:v>
                </c:pt>
                <c:pt idx="28">
                  <c:v>54</c:v>
                </c:pt>
                <c:pt idx="29">
                  <c:v>54</c:v>
                </c:pt>
                <c:pt idx="30">
                  <c:v>58</c:v>
                </c:pt>
                <c:pt idx="31">
                  <c:v>74</c:v>
                </c:pt>
                <c:pt idx="32">
                  <c:v>74</c:v>
                </c:pt>
              </c:numCache>
            </c:numRef>
          </c:val>
          <c:smooth val="0"/>
          <c:extLst>
            <c:ext xmlns:c16="http://schemas.microsoft.com/office/drawing/2014/chart" uri="{C3380CC4-5D6E-409C-BE32-E72D297353CC}">
              <c16:uniqueId val="{00000039-AA7F-FD49-9C25-4EDB35C90EC6}"/>
            </c:ext>
          </c:extLst>
        </c:ser>
        <c:ser>
          <c:idx val="58"/>
          <c:order val="58"/>
          <c:tx>
            <c:strRef>
              <c:f>'For stats end Y Score'!$A$60</c:f>
              <c:strCache>
                <c:ptCount val="1"/>
                <c:pt idx="0">
                  <c:v>Makoche</c:v>
                </c:pt>
              </c:strCache>
            </c:strRef>
          </c:tx>
          <c:spPr>
            <a:ln w="28575" cap="rnd">
              <a:solidFill>
                <a:schemeClr val="accent5"/>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Score'!$B$60:$AN$60</c:f>
              <c:numCache>
                <c:formatCode>General</c:formatCode>
                <c:ptCount val="39"/>
                <c:pt idx="0">
                  <c:v>0</c:v>
                </c:pt>
                <c:pt idx="1">
                  <c:v>0</c:v>
                </c:pt>
                <c:pt idx="2">
                  <c:v>0</c:v>
                </c:pt>
                <c:pt idx="3">
                  <c:v>0</c:v>
                </c:pt>
                <c:pt idx="4">
                  <c:v>0</c:v>
                </c:pt>
                <c:pt idx="5">
                  <c:v>17</c:v>
                </c:pt>
                <c:pt idx="6">
                  <c:v>17</c:v>
                </c:pt>
                <c:pt idx="7">
                  <c:v>17</c:v>
                </c:pt>
                <c:pt idx="8">
                  <c:v>21</c:v>
                </c:pt>
                <c:pt idx="9">
                  <c:v>21</c:v>
                </c:pt>
                <c:pt idx="10">
                  <c:v>21</c:v>
                </c:pt>
                <c:pt idx="11">
                  <c:v>21</c:v>
                </c:pt>
                <c:pt idx="12">
                  <c:v>21</c:v>
                </c:pt>
                <c:pt idx="13">
                  <c:v>21</c:v>
                </c:pt>
                <c:pt idx="14">
                  <c:v>21</c:v>
                </c:pt>
                <c:pt idx="15">
                  <c:v>21</c:v>
                </c:pt>
                <c:pt idx="16">
                  <c:v>21</c:v>
                </c:pt>
                <c:pt idx="17">
                  <c:v>21</c:v>
                </c:pt>
                <c:pt idx="18">
                  <c:v>21</c:v>
                </c:pt>
                <c:pt idx="19">
                  <c:v>21</c:v>
                </c:pt>
                <c:pt idx="20">
                  <c:v>21</c:v>
                </c:pt>
                <c:pt idx="21">
                  <c:v>21</c:v>
                </c:pt>
                <c:pt idx="22">
                  <c:v>21</c:v>
                </c:pt>
                <c:pt idx="23">
                  <c:v>21</c:v>
                </c:pt>
                <c:pt idx="24">
                  <c:v>21</c:v>
                </c:pt>
                <c:pt idx="25">
                  <c:v>21</c:v>
                </c:pt>
                <c:pt idx="26">
                  <c:v>21</c:v>
                </c:pt>
                <c:pt idx="27">
                  <c:v>21</c:v>
                </c:pt>
                <c:pt idx="28">
                  <c:v>21</c:v>
                </c:pt>
                <c:pt idx="29">
                  <c:v>21</c:v>
                </c:pt>
                <c:pt idx="30">
                  <c:v>21</c:v>
                </c:pt>
                <c:pt idx="31">
                  <c:v>21</c:v>
                </c:pt>
                <c:pt idx="32">
                  <c:v>21</c:v>
                </c:pt>
              </c:numCache>
            </c:numRef>
          </c:val>
          <c:smooth val="0"/>
          <c:extLst>
            <c:ext xmlns:c16="http://schemas.microsoft.com/office/drawing/2014/chart" uri="{C3380CC4-5D6E-409C-BE32-E72D297353CC}">
              <c16:uniqueId val="{0000003A-AA7F-FD49-9C25-4EDB35C90EC6}"/>
            </c:ext>
          </c:extLst>
        </c:ser>
        <c:ser>
          <c:idx val="59"/>
          <c:order val="59"/>
          <c:tx>
            <c:strRef>
              <c:f>'For stats end Y Score'!$A$61</c:f>
              <c:strCache>
                <c:ptCount val="1"/>
                <c:pt idx="0">
                  <c:v>Mams</c:v>
                </c:pt>
              </c:strCache>
            </c:strRef>
          </c:tx>
          <c:spPr>
            <a:ln w="28575" cap="rnd">
              <a:solidFill>
                <a:schemeClr val="accent6"/>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Score'!$B$61:$AN$61</c:f>
              <c:numCache>
                <c:formatCode>General</c:formatCode>
                <c:ptCount val="39"/>
                <c:pt idx="0">
                  <c:v>1</c:v>
                </c:pt>
                <c:pt idx="1">
                  <c:v>2</c:v>
                </c:pt>
                <c:pt idx="2">
                  <c:v>18</c:v>
                </c:pt>
                <c:pt idx="3">
                  <c:v>35</c:v>
                </c:pt>
                <c:pt idx="4">
                  <c:v>52</c:v>
                </c:pt>
                <c:pt idx="5">
                  <c:v>55</c:v>
                </c:pt>
                <c:pt idx="6">
                  <c:v>64</c:v>
                </c:pt>
                <c:pt idx="7">
                  <c:v>73</c:v>
                </c:pt>
                <c:pt idx="8">
                  <c:v>75</c:v>
                </c:pt>
                <c:pt idx="9">
                  <c:v>79</c:v>
                </c:pt>
                <c:pt idx="10">
                  <c:v>83</c:v>
                </c:pt>
                <c:pt idx="11">
                  <c:v>100</c:v>
                </c:pt>
                <c:pt idx="12">
                  <c:v>117</c:v>
                </c:pt>
                <c:pt idx="13">
                  <c:v>120</c:v>
                </c:pt>
                <c:pt idx="14">
                  <c:v>129</c:v>
                </c:pt>
                <c:pt idx="15">
                  <c:v>135</c:v>
                </c:pt>
                <c:pt idx="16">
                  <c:v>136</c:v>
                </c:pt>
                <c:pt idx="17">
                  <c:v>138</c:v>
                </c:pt>
                <c:pt idx="18">
                  <c:v>154</c:v>
                </c:pt>
                <c:pt idx="19">
                  <c:v>162</c:v>
                </c:pt>
                <c:pt idx="20">
                  <c:v>175</c:v>
                </c:pt>
                <c:pt idx="21">
                  <c:v>176</c:v>
                </c:pt>
                <c:pt idx="22">
                  <c:v>178</c:v>
                </c:pt>
                <c:pt idx="23">
                  <c:v>181</c:v>
                </c:pt>
                <c:pt idx="24">
                  <c:v>181</c:v>
                </c:pt>
                <c:pt idx="25">
                  <c:v>188</c:v>
                </c:pt>
                <c:pt idx="26">
                  <c:v>203</c:v>
                </c:pt>
                <c:pt idx="27">
                  <c:v>219</c:v>
                </c:pt>
                <c:pt idx="28">
                  <c:v>235</c:v>
                </c:pt>
                <c:pt idx="29">
                  <c:v>236</c:v>
                </c:pt>
                <c:pt idx="30">
                  <c:v>243</c:v>
                </c:pt>
                <c:pt idx="31">
                  <c:v>253</c:v>
                </c:pt>
                <c:pt idx="32">
                  <c:v>254</c:v>
                </c:pt>
              </c:numCache>
            </c:numRef>
          </c:val>
          <c:smooth val="0"/>
          <c:extLst>
            <c:ext xmlns:c16="http://schemas.microsoft.com/office/drawing/2014/chart" uri="{C3380CC4-5D6E-409C-BE32-E72D297353CC}">
              <c16:uniqueId val="{0000003B-AA7F-FD49-9C25-4EDB35C90EC6}"/>
            </c:ext>
          </c:extLst>
        </c:ser>
        <c:ser>
          <c:idx val="60"/>
          <c:order val="60"/>
          <c:tx>
            <c:strRef>
              <c:f>'For stats end Y Score'!$A$62</c:f>
              <c:strCache>
                <c:ptCount val="1"/>
                <c:pt idx="0">
                  <c:v>Mandrake</c:v>
                </c:pt>
              </c:strCache>
            </c:strRef>
          </c:tx>
          <c:spPr>
            <a:ln w="28575" cap="rnd">
              <a:solidFill>
                <a:schemeClr val="accent1">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Score'!$B$62:$AN$62</c:f>
              <c:numCache>
                <c:formatCode>General</c:formatCode>
                <c:ptCount val="39"/>
                <c:pt idx="0">
                  <c:v>16</c:v>
                </c:pt>
                <c:pt idx="1">
                  <c:v>24</c:v>
                </c:pt>
                <c:pt idx="2">
                  <c:v>37</c:v>
                </c:pt>
                <c:pt idx="3">
                  <c:v>42</c:v>
                </c:pt>
                <c:pt idx="4">
                  <c:v>43</c:v>
                </c:pt>
                <c:pt idx="5">
                  <c:v>48</c:v>
                </c:pt>
                <c:pt idx="6">
                  <c:v>64</c:v>
                </c:pt>
                <c:pt idx="7">
                  <c:v>80</c:v>
                </c:pt>
                <c:pt idx="8">
                  <c:v>89</c:v>
                </c:pt>
                <c:pt idx="9">
                  <c:v>92</c:v>
                </c:pt>
                <c:pt idx="10">
                  <c:v>95</c:v>
                </c:pt>
                <c:pt idx="11">
                  <c:v>111</c:v>
                </c:pt>
                <c:pt idx="12">
                  <c:v>113</c:v>
                </c:pt>
                <c:pt idx="13">
                  <c:v>114</c:v>
                </c:pt>
                <c:pt idx="14">
                  <c:v>119</c:v>
                </c:pt>
                <c:pt idx="15">
                  <c:v>119</c:v>
                </c:pt>
                <c:pt idx="16">
                  <c:v>124</c:v>
                </c:pt>
                <c:pt idx="17">
                  <c:v>141</c:v>
                </c:pt>
                <c:pt idx="18">
                  <c:v>142</c:v>
                </c:pt>
                <c:pt idx="19">
                  <c:v>158</c:v>
                </c:pt>
                <c:pt idx="20">
                  <c:v>170</c:v>
                </c:pt>
                <c:pt idx="21">
                  <c:v>183</c:v>
                </c:pt>
                <c:pt idx="22">
                  <c:v>188</c:v>
                </c:pt>
                <c:pt idx="23">
                  <c:v>205</c:v>
                </c:pt>
                <c:pt idx="24">
                  <c:v>221</c:v>
                </c:pt>
                <c:pt idx="25">
                  <c:v>228</c:v>
                </c:pt>
                <c:pt idx="26">
                  <c:v>228</c:v>
                </c:pt>
                <c:pt idx="27">
                  <c:v>228</c:v>
                </c:pt>
                <c:pt idx="28">
                  <c:v>243</c:v>
                </c:pt>
                <c:pt idx="29">
                  <c:v>258</c:v>
                </c:pt>
                <c:pt idx="30">
                  <c:v>258</c:v>
                </c:pt>
                <c:pt idx="31">
                  <c:v>258</c:v>
                </c:pt>
                <c:pt idx="32">
                  <c:v>272</c:v>
                </c:pt>
              </c:numCache>
            </c:numRef>
          </c:val>
          <c:smooth val="0"/>
          <c:extLst>
            <c:ext xmlns:c16="http://schemas.microsoft.com/office/drawing/2014/chart" uri="{C3380CC4-5D6E-409C-BE32-E72D297353CC}">
              <c16:uniqueId val="{0000003C-AA7F-FD49-9C25-4EDB35C90EC6}"/>
            </c:ext>
          </c:extLst>
        </c:ser>
        <c:ser>
          <c:idx val="61"/>
          <c:order val="61"/>
          <c:tx>
            <c:strRef>
              <c:f>'For stats end Y Score'!$A$63</c:f>
              <c:strCache>
                <c:ptCount val="1"/>
                <c:pt idx="0">
                  <c:v>Matteo</c:v>
                </c:pt>
              </c:strCache>
            </c:strRef>
          </c:tx>
          <c:spPr>
            <a:ln w="28575" cap="rnd">
              <a:solidFill>
                <a:schemeClr val="accent2">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Score'!$B$63:$AN$63</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c:v>
                </c:pt>
                <c:pt idx="23">
                  <c:v>5</c:v>
                </c:pt>
                <c:pt idx="24">
                  <c:v>5</c:v>
                </c:pt>
                <c:pt idx="25">
                  <c:v>5</c:v>
                </c:pt>
                <c:pt idx="26">
                  <c:v>5</c:v>
                </c:pt>
                <c:pt idx="27">
                  <c:v>5</c:v>
                </c:pt>
                <c:pt idx="28">
                  <c:v>5</c:v>
                </c:pt>
                <c:pt idx="29">
                  <c:v>5</c:v>
                </c:pt>
                <c:pt idx="30">
                  <c:v>5</c:v>
                </c:pt>
                <c:pt idx="31">
                  <c:v>5</c:v>
                </c:pt>
                <c:pt idx="32">
                  <c:v>5</c:v>
                </c:pt>
              </c:numCache>
            </c:numRef>
          </c:val>
          <c:smooth val="0"/>
          <c:extLst>
            <c:ext xmlns:c16="http://schemas.microsoft.com/office/drawing/2014/chart" uri="{C3380CC4-5D6E-409C-BE32-E72D297353CC}">
              <c16:uniqueId val="{0000003D-AA7F-FD49-9C25-4EDB35C90EC6}"/>
            </c:ext>
          </c:extLst>
        </c:ser>
        <c:ser>
          <c:idx val="62"/>
          <c:order val="62"/>
          <c:tx>
            <c:strRef>
              <c:f>'For stats end Y Score'!$A$64</c:f>
              <c:strCache>
                <c:ptCount val="1"/>
                <c:pt idx="0">
                  <c:v>Maxime K</c:v>
                </c:pt>
              </c:strCache>
            </c:strRef>
          </c:tx>
          <c:spPr>
            <a:ln w="28575" cap="rnd">
              <a:solidFill>
                <a:schemeClr val="accent3">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Score'!$B$64:$AN$64</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numCache>
            </c:numRef>
          </c:val>
          <c:smooth val="0"/>
          <c:extLst>
            <c:ext xmlns:c16="http://schemas.microsoft.com/office/drawing/2014/chart" uri="{C3380CC4-5D6E-409C-BE32-E72D297353CC}">
              <c16:uniqueId val="{0000003E-AA7F-FD49-9C25-4EDB35C90EC6}"/>
            </c:ext>
          </c:extLst>
        </c:ser>
        <c:ser>
          <c:idx val="63"/>
          <c:order val="63"/>
          <c:tx>
            <c:strRef>
              <c:f>'For stats end Y Score'!$A$65</c:f>
              <c:strCache>
                <c:ptCount val="1"/>
                <c:pt idx="0">
                  <c:v>MegaSouche</c:v>
                </c:pt>
              </c:strCache>
            </c:strRef>
          </c:tx>
          <c:spPr>
            <a:ln w="28575" cap="rnd">
              <a:solidFill>
                <a:schemeClr val="accent4">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Score'!$B$65:$AN$65</c:f>
              <c:numCache>
                <c:formatCode>General</c:formatCode>
                <c:ptCount val="39"/>
                <c:pt idx="0">
                  <c:v>0</c:v>
                </c:pt>
                <c:pt idx="1">
                  <c:v>16</c:v>
                </c:pt>
                <c:pt idx="2">
                  <c:v>24</c:v>
                </c:pt>
                <c:pt idx="3">
                  <c:v>25</c:v>
                </c:pt>
                <c:pt idx="4">
                  <c:v>40</c:v>
                </c:pt>
                <c:pt idx="5">
                  <c:v>56</c:v>
                </c:pt>
                <c:pt idx="6">
                  <c:v>58</c:v>
                </c:pt>
                <c:pt idx="7">
                  <c:v>75</c:v>
                </c:pt>
                <c:pt idx="8">
                  <c:v>75</c:v>
                </c:pt>
                <c:pt idx="9">
                  <c:v>83</c:v>
                </c:pt>
                <c:pt idx="10">
                  <c:v>99</c:v>
                </c:pt>
                <c:pt idx="11">
                  <c:v>100</c:v>
                </c:pt>
                <c:pt idx="12">
                  <c:v>100</c:v>
                </c:pt>
                <c:pt idx="13">
                  <c:v>103</c:v>
                </c:pt>
                <c:pt idx="14">
                  <c:v>103</c:v>
                </c:pt>
                <c:pt idx="15">
                  <c:v>103</c:v>
                </c:pt>
                <c:pt idx="16">
                  <c:v>120</c:v>
                </c:pt>
                <c:pt idx="17">
                  <c:v>120</c:v>
                </c:pt>
                <c:pt idx="18">
                  <c:v>120</c:v>
                </c:pt>
                <c:pt idx="19">
                  <c:v>120</c:v>
                </c:pt>
                <c:pt idx="20">
                  <c:v>120</c:v>
                </c:pt>
                <c:pt idx="21">
                  <c:v>128</c:v>
                </c:pt>
                <c:pt idx="22">
                  <c:v>128</c:v>
                </c:pt>
                <c:pt idx="23">
                  <c:v>145</c:v>
                </c:pt>
                <c:pt idx="24">
                  <c:v>154</c:v>
                </c:pt>
                <c:pt idx="25">
                  <c:v>154</c:v>
                </c:pt>
                <c:pt idx="26">
                  <c:v>154</c:v>
                </c:pt>
                <c:pt idx="27">
                  <c:v>154</c:v>
                </c:pt>
                <c:pt idx="28">
                  <c:v>162</c:v>
                </c:pt>
                <c:pt idx="29">
                  <c:v>163</c:v>
                </c:pt>
                <c:pt idx="30">
                  <c:v>163</c:v>
                </c:pt>
                <c:pt idx="31">
                  <c:v>163</c:v>
                </c:pt>
                <c:pt idx="32">
                  <c:v>164</c:v>
                </c:pt>
              </c:numCache>
            </c:numRef>
          </c:val>
          <c:smooth val="0"/>
          <c:extLst>
            <c:ext xmlns:c16="http://schemas.microsoft.com/office/drawing/2014/chart" uri="{C3380CC4-5D6E-409C-BE32-E72D297353CC}">
              <c16:uniqueId val="{0000003F-AA7F-FD49-9C25-4EDB35C90EC6}"/>
            </c:ext>
          </c:extLst>
        </c:ser>
        <c:ser>
          <c:idx val="64"/>
          <c:order val="64"/>
          <c:tx>
            <c:strRef>
              <c:f>'For stats end Y Score'!$A$66</c:f>
              <c:strCache>
                <c:ptCount val="1"/>
                <c:pt idx="0">
                  <c:v>Michelbey</c:v>
                </c:pt>
              </c:strCache>
            </c:strRef>
          </c:tx>
          <c:spPr>
            <a:ln w="28575" cap="rnd">
              <a:solidFill>
                <a:schemeClr val="accent5">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Score'!$B$66:$AN$66</c:f>
              <c:numCache>
                <c:formatCode>General</c:formatCode>
                <c:ptCount val="39"/>
                <c:pt idx="0">
                  <c:v>16</c:v>
                </c:pt>
                <c:pt idx="1">
                  <c:v>18</c:v>
                </c:pt>
                <c:pt idx="2">
                  <c:v>20</c:v>
                </c:pt>
                <c:pt idx="3">
                  <c:v>22</c:v>
                </c:pt>
                <c:pt idx="4">
                  <c:v>37</c:v>
                </c:pt>
                <c:pt idx="5">
                  <c:v>46</c:v>
                </c:pt>
                <c:pt idx="6">
                  <c:v>54</c:v>
                </c:pt>
                <c:pt idx="7">
                  <c:v>55</c:v>
                </c:pt>
                <c:pt idx="8">
                  <c:v>57</c:v>
                </c:pt>
                <c:pt idx="9">
                  <c:v>58</c:v>
                </c:pt>
                <c:pt idx="10">
                  <c:v>65</c:v>
                </c:pt>
                <c:pt idx="11">
                  <c:v>67</c:v>
                </c:pt>
                <c:pt idx="12">
                  <c:v>83</c:v>
                </c:pt>
                <c:pt idx="13">
                  <c:v>87</c:v>
                </c:pt>
                <c:pt idx="14">
                  <c:v>92</c:v>
                </c:pt>
                <c:pt idx="15">
                  <c:v>109</c:v>
                </c:pt>
                <c:pt idx="16">
                  <c:v>118</c:v>
                </c:pt>
                <c:pt idx="17">
                  <c:v>127</c:v>
                </c:pt>
                <c:pt idx="18">
                  <c:v>131</c:v>
                </c:pt>
                <c:pt idx="19">
                  <c:v>132</c:v>
                </c:pt>
                <c:pt idx="20">
                  <c:v>140</c:v>
                </c:pt>
                <c:pt idx="21">
                  <c:v>141</c:v>
                </c:pt>
                <c:pt idx="22">
                  <c:v>158</c:v>
                </c:pt>
                <c:pt idx="23">
                  <c:v>175</c:v>
                </c:pt>
                <c:pt idx="24">
                  <c:v>191</c:v>
                </c:pt>
                <c:pt idx="25">
                  <c:v>198</c:v>
                </c:pt>
                <c:pt idx="26">
                  <c:v>199</c:v>
                </c:pt>
                <c:pt idx="27">
                  <c:v>203</c:v>
                </c:pt>
                <c:pt idx="28">
                  <c:v>213</c:v>
                </c:pt>
                <c:pt idx="29">
                  <c:v>223</c:v>
                </c:pt>
                <c:pt idx="30">
                  <c:v>223</c:v>
                </c:pt>
                <c:pt idx="31">
                  <c:v>225</c:v>
                </c:pt>
                <c:pt idx="32">
                  <c:v>227</c:v>
                </c:pt>
              </c:numCache>
            </c:numRef>
          </c:val>
          <c:smooth val="0"/>
          <c:extLst>
            <c:ext xmlns:c16="http://schemas.microsoft.com/office/drawing/2014/chart" uri="{C3380CC4-5D6E-409C-BE32-E72D297353CC}">
              <c16:uniqueId val="{00000040-AA7F-FD49-9C25-4EDB35C90EC6}"/>
            </c:ext>
          </c:extLst>
        </c:ser>
        <c:ser>
          <c:idx val="65"/>
          <c:order val="65"/>
          <c:tx>
            <c:strRef>
              <c:f>'For stats end Y Score'!$A$67</c:f>
              <c:strCache>
                <c:ptCount val="1"/>
                <c:pt idx="0">
                  <c:v>Mokarran</c:v>
                </c:pt>
              </c:strCache>
            </c:strRef>
          </c:tx>
          <c:spPr>
            <a:ln w="28575" cap="rnd">
              <a:solidFill>
                <a:schemeClr val="accent6">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Score'!$B$67:$AN$67</c:f>
              <c:numCache>
                <c:formatCode>General</c:formatCode>
                <c:ptCount val="39"/>
                <c:pt idx="0">
                  <c:v>0</c:v>
                </c:pt>
                <c:pt idx="1">
                  <c:v>9</c:v>
                </c:pt>
                <c:pt idx="2">
                  <c:v>9</c:v>
                </c:pt>
                <c:pt idx="3">
                  <c:v>18</c:v>
                </c:pt>
                <c:pt idx="4">
                  <c:v>30</c:v>
                </c:pt>
                <c:pt idx="5">
                  <c:v>32</c:v>
                </c:pt>
                <c:pt idx="6">
                  <c:v>33</c:v>
                </c:pt>
                <c:pt idx="7">
                  <c:v>33</c:v>
                </c:pt>
                <c:pt idx="8">
                  <c:v>33</c:v>
                </c:pt>
                <c:pt idx="9">
                  <c:v>33</c:v>
                </c:pt>
                <c:pt idx="10">
                  <c:v>33</c:v>
                </c:pt>
                <c:pt idx="11">
                  <c:v>33</c:v>
                </c:pt>
                <c:pt idx="12">
                  <c:v>33</c:v>
                </c:pt>
                <c:pt idx="13">
                  <c:v>33</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33</c:v>
                </c:pt>
                <c:pt idx="28">
                  <c:v>33</c:v>
                </c:pt>
                <c:pt idx="29">
                  <c:v>33</c:v>
                </c:pt>
                <c:pt idx="30">
                  <c:v>33</c:v>
                </c:pt>
                <c:pt idx="31">
                  <c:v>33</c:v>
                </c:pt>
                <c:pt idx="32">
                  <c:v>33</c:v>
                </c:pt>
              </c:numCache>
            </c:numRef>
          </c:val>
          <c:smooth val="0"/>
          <c:extLst>
            <c:ext xmlns:c16="http://schemas.microsoft.com/office/drawing/2014/chart" uri="{C3380CC4-5D6E-409C-BE32-E72D297353CC}">
              <c16:uniqueId val="{00000041-AA7F-FD49-9C25-4EDB35C90EC6}"/>
            </c:ext>
          </c:extLst>
        </c:ser>
        <c:ser>
          <c:idx val="66"/>
          <c:order val="66"/>
          <c:tx>
            <c:strRef>
              <c:f>'For stats end Y Score'!$A$68</c:f>
              <c:strCache>
                <c:ptCount val="1"/>
                <c:pt idx="0">
                  <c:v>NastyLucker</c:v>
                </c:pt>
              </c:strCache>
            </c:strRef>
          </c:tx>
          <c:spPr>
            <a:ln w="28575" cap="rnd">
              <a:solidFill>
                <a:schemeClr val="accent1">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Score'!$B$68:$AN$68</c:f>
              <c:numCache>
                <c:formatCode>General</c:formatCode>
                <c:ptCount val="39"/>
                <c:pt idx="0">
                  <c:v>2</c:v>
                </c:pt>
                <c:pt idx="1">
                  <c:v>2</c:v>
                </c:pt>
                <c:pt idx="2">
                  <c:v>2</c:v>
                </c:pt>
                <c:pt idx="3">
                  <c:v>11</c:v>
                </c:pt>
                <c:pt idx="4">
                  <c:v>11</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numCache>
            </c:numRef>
          </c:val>
          <c:smooth val="0"/>
          <c:extLst>
            <c:ext xmlns:c16="http://schemas.microsoft.com/office/drawing/2014/chart" uri="{C3380CC4-5D6E-409C-BE32-E72D297353CC}">
              <c16:uniqueId val="{00000042-AA7F-FD49-9C25-4EDB35C90EC6}"/>
            </c:ext>
          </c:extLst>
        </c:ser>
        <c:ser>
          <c:idx val="67"/>
          <c:order val="67"/>
          <c:tx>
            <c:strRef>
              <c:f>'For stats end Y Score'!$A$69</c:f>
              <c:strCache>
                <c:ptCount val="1"/>
                <c:pt idx="0">
                  <c:v>NoDoubt</c:v>
                </c:pt>
              </c:strCache>
            </c:strRef>
          </c:tx>
          <c:spPr>
            <a:ln w="28575" cap="rnd">
              <a:solidFill>
                <a:schemeClr val="accent2">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Score'!$B$69:$AN$69</c:f>
              <c:numCache>
                <c:formatCode>General</c:formatCode>
                <c:ptCount val="39"/>
                <c:pt idx="0">
                  <c:v>1</c:v>
                </c:pt>
                <c:pt idx="1">
                  <c:v>14</c:v>
                </c:pt>
                <c:pt idx="2">
                  <c:v>30</c:v>
                </c:pt>
                <c:pt idx="3">
                  <c:v>43</c:v>
                </c:pt>
                <c:pt idx="4">
                  <c:v>44</c:v>
                </c:pt>
                <c:pt idx="5">
                  <c:v>44</c:v>
                </c:pt>
                <c:pt idx="6">
                  <c:v>44</c:v>
                </c:pt>
                <c:pt idx="7">
                  <c:v>44</c:v>
                </c:pt>
                <c:pt idx="8">
                  <c:v>60</c:v>
                </c:pt>
                <c:pt idx="9">
                  <c:v>60</c:v>
                </c:pt>
                <c:pt idx="10">
                  <c:v>60</c:v>
                </c:pt>
                <c:pt idx="11">
                  <c:v>60</c:v>
                </c:pt>
                <c:pt idx="12">
                  <c:v>60</c:v>
                </c:pt>
                <c:pt idx="13">
                  <c:v>60</c:v>
                </c:pt>
                <c:pt idx="14">
                  <c:v>72</c:v>
                </c:pt>
                <c:pt idx="15">
                  <c:v>72</c:v>
                </c:pt>
                <c:pt idx="16">
                  <c:v>89</c:v>
                </c:pt>
                <c:pt idx="17">
                  <c:v>89</c:v>
                </c:pt>
                <c:pt idx="18">
                  <c:v>101</c:v>
                </c:pt>
                <c:pt idx="19">
                  <c:v>101</c:v>
                </c:pt>
                <c:pt idx="20">
                  <c:v>101</c:v>
                </c:pt>
                <c:pt idx="21">
                  <c:v>101</c:v>
                </c:pt>
                <c:pt idx="22">
                  <c:v>101</c:v>
                </c:pt>
                <c:pt idx="23">
                  <c:v>101</c:v>
                </c:pt>
                <c:pt idx="24">
                  <c:v>101</c:v>
                </c:pt>
                <c:pt idx="25">
                  <c:v>101</c:v>
                </c:pt>
                <c:pt idx="26">
                  <c:v>101</c:v>
                </c:pt>
                <c:pt idx="27">
                  <c:v>101</c:v>
                </c:pt>
                <c:pt idx="28">
                  <c:v>101</c:v>
                </c:pt>
                <c:pt idx="29">
                  <c:v>101</c:v>
                </c:pt>
                <c:pt idx="30">
                  <c:v>101</c:v>
                </c:pt>
                <c:pt idx="31">
                  <c:v>101</c:v>
                </c:pt>
                <c:pt idx="32">
                  <c:v>101</c:v>
                </c:pt>
              </c:numCache>
            </c:numRef>
          </c:val>
          <c:smooth val="0"/>
          <c:extLst>
            <c:ext xmlns:c16="http://schemas.microsoft.com/office/drawing/2014/chart" uri="{C3380CC4-5D6E-409C-BE32-E72D297353CC}">
              <c16:uniqueId val="{00000043-AA7F-FD49-9C25-4EDB35C90EC6}"/>
            </c:ext>
          </c:extLst>
        </c:ser>
        <c:ser>
          <c:idx val="68"/>
          <c:order val="68"/>
          <c:tx>
            <c:strRef>
              <c:f>'For stats end Y Score'!$A$70</c:f>
              <c:strCache>
                <c:ptCount val="1"/>
                <c:pt idx="0">
                  <c:v>Oldex</c:v>
                </c:pt>
              </c:strCache>
            </c:strRef>
          </c:tx>
          <c:spPr>
            <a:ln w="28575" cap="rnd">
              <a:solidFill>
                <a:schemeClr val="accent3">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Score'!$B$70:$AN$70</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numCache>
            </c:numRef>
          </c:val>
          <c:smooth val="0"/>
          <c:extLst>
            <c:ext xmlns:c16="http://schemas.microsoft.com/office/drawing/2014/chart" uri="{C3380CC4-5D6E-409C-BE32-E72D297353CC}">
              <c16:uniqueId val="{00000044-AA7F-FD49-9C25-4EDB35C90EC6}"/>
            </c:ext>
          </c:extLst>
        </c:ser>
        <c:ser>
          <c:idx val="69"/>
          <c:order val="69"/>
          <c:tx>
            <c:strRef>
              <c:f>'For stats end Y Score'!$A$71</c:f>
              <c:strCache>
                <c:ptCount val="1"/>
                <c:pt idx="0">
                  <c:v>OlivierN92</c:v>
                </c:pt>
              </c:strCache>
            </c:strRef>
          </c:tx>
          <c:spPr>
            <a:ln w="28575" cap="rnd">
              <a:solidFill>
                <a:schemeClr val="accent4">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Score'!$B$71:$AN$71</c:f>
              <c:numCache>
                <c:formatCode>General</c:formatCode>
                <c:ptCount val="39"/>
                <c:pt idx="0">
                  <c:v>16</c:v>
                </c:pt>
                <c:pt idx="1">
                  <c:v>16</c:v>
                </c:pt>
                <c:pt idx="2">
                  <c:v>18</c:v>
                </c:pt>
                <c:pt idx="3">
                  <c:v>21</c:v>
                </c:pt>
                <c:pt idx="4">
                  <c:v>21</c:v>
                </c:pt>
                <c:pt idx="5">
                  <c:v>26</c:v>
                </c:pt>
                <c:pt idx="6">
                  <c:v>28</c:v>
                </c:pt>
                <c:pt idx="7">
                  <c:v>33</c:v>
                </c:pt>
                <c:pt idx="8">
                  <c:v>33</c:v>
                </c:pt>
                <c:pt idx="9">
                  <c:v>33</c:v>
                </c:pt>
                <c:pt idx="10">
                  <c:v>33</c:v>
                </c:pt>
                <c:pt idx="11">
                  <c:v>41</c:v>
                </c:pt>
                <c:pt idx="12">
                  <c:v>41</c:v>
                </c:pt>
                <c:pt idx="13">
                  <c:v>57</c:v>
                </c:pt>
                <c:pt idx="14">
                  <c:v>65</c:v>
                </c:pt>
                <c:pt idx="15">
                  <c:v>66</c:v>
                </c:pt>
                <c:pt idx="16">
                  <c:v>66</c:v>
                </c:pt>
                <c:pt idx="17">
                  <c:v>66</c:v>
                </c:pt>
                <c:pt idx="18">
                  <c:v>66</c:v>
                </c:pt>
                <c:pt idx="19">
                  <c:v>78</c:v>
                </c:pt>
                <c:pt idx="20">
                  <c:v>79</c:v>
                </c:pt>
                <c:pt idx="21">
                  <c:v>96</c:v>
                </c:pt>
                <c:pt idx="22">
                  <c:v>99</c:v>
                </c:pt>
                <c:pt idx="23">
                  <c:v>112</c:v>
                </c:pt>
                <c:pt idx="24">
                  <c:v>112</c:v>
                </c:pt>
                <c:pt idx="25">
                  <c:v>112</c:v>
                </c:pt>
                <c:pt idx="26">
                  <c:v>116</c:v>
                </c:pt>
                <c:pt idx="27">
                  <c:v>118</c:v>
                </c:pt>
                <c:pt idx="28">
                  <c:v>118</c:v>
                </c:pt>
                <c:pt idx="29">
                  <c:v>127</c:v>
                </c:pt>
                <c:pt idx="30">
                  <c:v>129</c:v>
                </c:pt>
                <c:pt idx="31">
                  <c:v>140</c:v>
                </c:pt>
                <c:pt idx="32">
                  <c:v>152</c:v>
                </c:pt>
              </c:numCache>
            </c:numRef>
          </c:val>
          <c:smooth val="0"/>
          <c:extLst>
            <c:ext xmlns:c16="http://schemas.microsoft.com/office/drawing/2014/chart" uri="{C3380CC4-5D6E-409C-BE32-E72D297353CC}">
              <c16:uniqueId val="{00000045-AA7F-FD49-9C25-4EDB35C90EC6}"/>
            </c:ext>
          </c:extLst>
        </c:ser>
        <c:ser>
          <c:idx val="70"/>
          <c:order val="70"/>
          <c:tx>
            <c:strRef>
              <c:f>'For stats end Y Score'!$A$72</c:f>
              <c:strCache>
                <c:ptCount val="1"/>
                <c:pt idx="0">
                  <c:v>Ouais ouais</c:v>
                </c:pt>
              </c:strCache>
            </c:strRef>
          </c:tx>
          <c:spPr>
            <a:ln w="28575" cap="rnd">
              <a:solidFill>
                <a:schemeClr val="accent5">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Score'!$B$72:$AN$72</c:f>
              <c:numCache>
                <c:formatCode>General</c:formatCode>
                <c:ptCount val="39"/>
                <c:pt idx="0">
                  <c:v>0</c:v>
                </c:pt>
                <c:pt idx="1">
                  <c:v>0</c:v>
                </c:pt>
                <c:pt idx="2">
                  <c:v>2</c:v>
                </c:pt>
                <c:pt idx="3">
                  <c:v>15</c:v>
                </c:pt>
                <c:pt idx="4">
                  <c:v>15</c:v>
                </c:pt>
                <c:pt idx="5">
                  <c:v>18</c:v>
                </c:pt>
                <c:pt idx="6">
                  <c:v>19</c:v>
                </c:pt>
                <c:pt idx="7">
                  <c:v>20</c:v>
                </c:pt>
                <c:pt idx="8">
                  <c:v>20</c:v>
                </c:pt>
                <c:pt idx="9">
                  <c:v>28</c:v>
                </c:pt>
                <c:pt idx="10">
                  <c:v>28</c:v>
                </c:pt>
                <c:pt idx="11">
                  <c:v>28</c:v>
                </c:pt>
                <c:pt idx="12">
                  <c:v>28</c:v>
                </c:pt>
                <c:pt idx="13">
                  <c:v>28</c:v>
                </c:pt>
                <c:pt idx="14">
                  <c:v>45</c:v>
                </c:pt>
                <c:pt idx="15">
                  <c:v>45</c:v>
                </c:pt>
                <c:pt idx="16">
                  <c:v>45</c:v>
                </c:pt>
                <c:pt idx="17">
                  <c:v>50</c:v>
                </c:pt>
                <c:pt idx="18">
                  <c:v>50</c:v>
                </c:pt>
                <c:pt idx="19">
                  <c:v>61</c:v>
                </c:pt>
                <c:pt idx="20">
                  <c:v>61</c:v>
                </c:pt>
                <c:pt idx="21">
                  <c:v>66</c:v>
                </c:pt>
                <c:pt idx="22">
                  <c:v>75</c:v>
                </c:pt>
                <c:pt idx="23">
                  <c:v>75</c:v>
                </c:pt>
                <c:pt idx="24">
                  <c:v>83</c:v>
                </c:pt>
                <c:pt idx="25">
                  <c:v>83</c:v>
                </c:pt>
                <c:pt idx="26">
                  <c:v>85</c:v>
                </c:pt>
                <c:pt idx="27">
                  <c:v>85</c:v>
                </c:pt>
                <c:pt idx="28">
                  <c:v>85</c:v>
                </c:pt>
                <c:pt idx="29">
                  <c:v>85</c:v>
                </c:pt>
                <c:pt idx="30">
                  <c:v>85</c:v>
                </c:pt>
                <c:pt idx="31">
                  <c:v>86</c:v>
                </c:pt>
                <c:pt idx="32">
                  <c:v>90</c:v>
                </c:pt>
              </c:numCache>
            </c:numRef>
          </c:val>
          <c:smooth val="0"/>
          <c:extLst>
            <c:ext xmlns:c16="http://schemas.microsoft.com/office/drawing/2014/chart" uri="{C3380CC4-5D6E-409C-BE32-E72D297353CC}">
              <c16:uniqueId val="{00000046-AA7F-FD49-9C25-4EDB35C90EC6}"/>
            </c:ext>
          </c:extLst>
        </c:ser>
        <c:ser>
          <c:idx val="71"/>
          <c:order val="71"/>
          <c:tx>
            <c:strRef>
              <c:f>'For stats end Y Score'!$A$73</c:f>
              <c:strCache>
                <c:ptCount val="1"/>
                <c:pt idx="0">
                  <c:v>Panot</c:v>
                </c:pt>
              </c:strCache>
            </c:strRef>
          </c:tx>
          <c:spPr>
            <a:ln w="28575" cap="rnd">
              <a:solidFill>
                <a:schemeClr val="accent6">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Score'!$B$73:$AN$73</c:f>
              <c:numCache>
                <c:formatCode>General</c:formatCode>
                <c:ptCount val="39"/>
                <c:pt idx="0">
                  <c:v>0</c:v>
                </c:pt>
                <c:pt idx="1">
                  <c:v>0</c:v>
                </c:pt>
                <c:pt idx="2">
                  <c:v>0</c:v>
                </c:pt>
                <c:pt idx="3">
                  <c:v>0</c:v>
                </c:pt>
                <c:pt idx="4">
                  <c:v>0</c:v>
                </c:pt>
                <c:pt idx="5">
                  <c:v>0</c:v>
                </c:pt>
                <c:pt idx="6">
                  <c:v>0</c:v>
                </c:pt>
                <c:pt idx="7">
                  <c:v>0</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numCache>
            </c:numRef>
          </c:val>
          <c:smooth val="0"/>
          <c:extLst>
            <c:ext xmlns:c16="http://schemas.microsoft.com/office/drawing/2014/chart" uri="{C3380CC4-5D6E-409C-BE32-E72D297353CC}">
              <c16:uniqueId val="{00000047-AA7F-FD49-9C25-4EDB35C90EC6}"/>
            </c:ext>
          </c:extLst>
        </c:ser>
        <c:ser>
          <c:idx val="72"/>
          <c:order val="72"/>
          <c:tx>
            <c:strRef>
              <c:f>'For stats end Y Score'!$A$74</c:f>
              <c:strCache>
                <c:ptCount val="1"/>
                <c:pt idx="0">
                  <c:v>Papillon</c:v>
                </c:pt>
              </c:strCache>
            </c:strRef>
          </c:tx>
          <c:spPr>
            <a:ln w="28575" cap="rnd">
              <a:solidFill>
                <a:schemeClr val="accent1">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Score'!$B$74:$AN$74</c:f>
              <c:numCache>
                <c:formatCode>General</c:formatCode>
                <c:ptCount val="39"/>
                <c:pt idx="0">
                  <c:v>0</c:v>
                </c:pt>
                <c:pt idx="1">
                  <c:v>2</c:v>
                </c:pt>
                <c:pt idx="2">
                  <c:v>2</c:v>
                </c:pt>
                <c:pt idx="3">
                  <c:v>4</c:v>
                </c:pt>
                <c:pt idx="4">
                  <c:v>6</c:v>
                </c:pt>
                <c:pt idx="5">
                  <c:v>7</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numCache>
            </c:numRef>
          </c:val>
          <c:smooth val="0"/>
          <c:extLst>
            <c:ext xmlns:c16="http://schemas.microsoft.com/office/drawing/2014/chart" uri="{C3380CC4-5D6E-409C-BE32-E72D297353CC}">
              <c16:uniqueId val="{00000048-AA7F-FD49-9C25-4EDB35C90EC6}"/>
            </c:ext>
          </c:extLst>
        </c:ser>
        <c:ser>
          <c:idx val="73"/>
          <c:order val="73"/>
          <c:tx>
            <c:strRef>
              <c:f>'For stats end Y Score'!$A$75</c:f>
              <c:strCache>
                <c:ptCount val="1"/>
                <c:pt idx="0">
                  <c:v>PatB</c:v>
                </c:pt>
              </c:strCache>
            </c:strRef>
          </c:tx>
          <c:spPr>
            <a:ln w="28575" cap="rnd">
              <a:solidFill>
                <a:schemeClr val="accent2">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Score'!$B$75:$AN$75</c:f>
              <c:numCache>
                <c:formatCode>General</c:formatCode>
                <c:ptCount val="39"/>
                <c:pt idx="0">
                  <c:v>12</c:v>
                </c:pt>
                <c:pt idx="1">
                  <c:v>13</c:v>
                </c:pt>
                <c:pt idx="2">
                  <c:v>17</c:v>
                </c:pt>
                <c:pt idx="3">
                  <c:v>20</c:v>
                </c:pt>
                <c:pt idx="4">
                  <c:v>20</c:v>
                </c:pt>
                <c:pt idx="5">
                  <c:v>22</c:v>
                </c:pt>
                <c:pt idx="6">
                  <c:v>34</c:v>
                </c:pt>
                <c:pt idx="7">
                  <c:v>47</c:v>
                </c:pt>
                <c:pt idx="8">
                  <c:v>63</c:v>
                </c:pt>
                <c:pt idx="9">
                  <c:v>74</c:v>
                </c:pt>
                <c:pt idx="10">
                  <c:v>81</c:v>
                </c:pt>
                <c:pt idx="11">
                  <c:v>93</c:v>
                </c:pt>
                <c:pt idx="12">
                  <c:v>97</c:v>
                </c:pt>
                <c:pt idx="13">
                  <c:v>105</c:v>
                </c:pt>
                <c:pt idx="14">
                  <c:v>109</c:v>
                </c:pt>
                <c:pt idx="15">
                  <c:v>111</c:v>
                </c:pt>
                <c:pt idx="16">
                  <c:v>116</c:v>
                </c:pt>
                <c:pt idx="17">
                  <c:v>125</c:v>
                </c:pt>
                <c:pt idx="18">
                  <c:v>133</c:v>
                </c:pt>
                <c:pt idx="19">
                  <c:v>149</c:v>
                </c:pt>
                <c:pt idx="20">
                  <c:v>161</c:v>
                </c:pt>
                <c:pt idx="21">
                  <c:v>178</c:v>
                </c:pt>
                <c:pt idx="22">
                  <c:v>194</c:v>
                </c:pt>
                <c:pt idx="23">
                  <c:v>196</c:v>
                </c:pt>
                <c:pt idx="24">
                  <c:v>197</c:v>
                </c:pt>
                <c:pt idx="25">
                  <c:v>197</c:v>
                </c:pt>
                <c:pt idx="26">
                  <c:v>212</c:v>
                </c:pt>
                <c:pt idx="27">
                  <c:v>216</c:v>
                </c:pt>
                <c:pt idx="28">
                  <c:v>222</c:v>
                </c:pt>
                <c:pt idx="29">
                  <c:v>228</c:v>
                </c:pt>
                <c:pt idx="30">
                  <c:v>239</c:v>
                </c:pt>
                <c:pt idx="31">
                  <c:v>248</c:v>
                </c:pt>
                <c:pt idx="32">
                  <c:v>248</c:v>
                </c:pt>
              </c:numCache>
            </c:numRef>
          </c:val>
          <c:smooth val="0"/>
          <c:extLst>
            <c:ext xmlns:c16="http://schemas.microsoft.com/office/drawing/2014/chart" uri="{C3380CC4-5D6E-409C-BE32-E72D297353CC}">
              <c16:uniqueId val="{00000049-AA7F-FD49-9C25-4EDB35C90EC6}"/>
            </c:ext>
          </c:extLst>
        </c:ser>
        <c:ser>
          <c:idx val="74"/>
          <c:order val="74"/>
          <c:tx>
            <c:strRef>
              <c:f>'For stats end Y Score'!$A$76</c:f>
              <c:strCache>
                <c:ptCount val="1"/>
                <c:pt idx="0">
                  <c:v>Pintu</c:v>
                </c:pt>
              </c:strCache>
            </c:strRef>
          </c:tx>
          <c:spPr>
            <a:ln w="28575" cap="rnd">
              <a:solidFill>
                <a:schemeClr val="accent3">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Score'!$B$76:$AN$76</c:f>
              <c:numCache>
                <c:formatCode>General</c:formatCode>
                <c:ptCount val="39"/>
                <c:pt idx="0">
                  <c:v>5</c:v>
                </c:pt>
                <c:pt idx="1">
                  <c:v>10</c:v>
                </c:pt>
                <c:pt idx="2">
                  <c:v>22</c:v>
                </c:pt>
                <c:pt idx="3">
                  <c:v>24</c:v>
                </c:pt>
                <c:pt idx="4">
                  <c:v>24</c:v>
                </c:pt>
                <c:pt idx="5">
                  <c:v>24</c:v>
                </c:pt>
                <c:pt idx="6">
                  <c:v>24</c:v>
                </c:pt>
                <c:pt idx="7">
                  <c:v>24</c:v>
                </c:pt>
                <c:pt idx="8">
                  <c:v>40</c:v>
                </c:pt>
                <c:pt idx="9">
                  <c:v>40</c:v>
                </c:pt>
                <c:pt idx="10">
                  <c:v>40</c:v>
                </c:pt>
                <c:pt idx="11">
                  <c:v>40</c:v>
                </c:pt>
                <c:pt idx="12">
                  <c:v>40</c:v>
                </c:pt>
                <c:pt idx="13">
                  <c:v>40</c:v>
                </c:pt>
                <c:pt idx="14">
                  <c:v>40</c:v>
                </c:pt>
                <c:pt idx="15">
                  <c:v>40</c:v>
                </c:pt>
                <c:pt idx="16">
                  <c:v>40</c:v>
                </c:pt>
                <c:pt idx="17">
                  <c:v>40</c:v>
                </c:pt>
                <c:pt idx="18">
                  <c:v>41</c:v>
                </c:pt>
                <c:pt idx="19">
                  <c:v>41</c:v>
                </c:pt>
                <c:pt idx="20">
                  <c:v>41</c:v>
                </c:pt>
                <c:pt idx="21">
                  <c:v>41</c:v>
                </c:pt>
                <c:pt idx="22">
                  <c:v>41</c:v>
                </c:pt>
                <c:pt idx="23">
                  <c:v>41</c:v>
                </c:pt>
                <c:pt idx="24">
                  <c:v>41</c:v>
                </c:pt>
                <c:pt idx="25">
                  <c:v>43</c:v>
                </c:pt>
                <c:pt idx="26">
                  <c:v>59</c:v>
                </c:pt>
                <c:pt idx="27">
                  <c:v>59</c:v>
                </c:pt>
                <c:pt idx="28">
                  <c:v>59</c:v>
                </c:pt>
                <c:pt idx="29">
                  <c:v>76</c:v>
                </c:pt>
                <c:pt idx="30">
                  <c:v>78</c:v>
                </c:pt>
                <c:pt idx="31">
                  <c:v>80</c:v>
                </c:pt>
                <c:pt idx="32">
                  <c:v>80</c:v>
                </c:pt>
              </c:numCache>
            </c:numRef>
          </c:val>
          <c:smooth val="0"/>
          <c:extLst>
            <c:ext xmlns:c16="http://schemas.microsoft.com/office/drawing/2014/chart" uri="{C3380CC4-5D6E-409C-BE32-E72D297353CC}">
              <c16:uniqueId val="{0000004A-AA7F-FD49-9C25-4EDB35C90EC6}"/>
            </c:ext>
          </c:extLst>
        </c:ser>
        <c:ser>
          <c:idx val="75"/>
          <c:order val="75"/>
          <c:tx>
            <c:strRef>
              <c:f>'For stats end Y Score'!$A$77</c:f>
              <c:strCache>
                <c:ptCount val="1"/>
                <c:pt idx="0">
                  <c:v>Poisson Pilote</c:v>
                </c:pt>
              </c:strCache>
            </c:strRef>
          </c:tx>
          <c:spPr>
            <a:ln w="28575" cap="rnd">
              <a:solidFill>
                <a:schemeClr val="accent4">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Score'!$B$77:$AN$77</c:f>
              <c:numCache>
                <c:formatCode>General</c:formatCode>
                <c:ptCount val="39"/>
                <c:pt idx="0">
                  <c:v>16</c:v>
                </c:pt>
                <c:pt idx="1">
                  <c:v>25</c:v>
                </c:pt>
                <c:pt idx="2">
                  <c:v>33</c:v>
                </c:pt>
                <c:pt idx="3">
                  <c:v>33</c:v>
                </c:pt>
                <c:pt idx="4">
                  <c:v>33</c:v>
                </c:pt>
                <c:pt idx="5">
                  <c:v>34</c:v>
                </c:pt>
                <c:pt idx="6">
                  <c:v>38</c:v>
                </c:pt>
                <c:pt idx="7">
                  <c:v>40</c:v>
                </c:pt>
                <c:pt idx="8">
                  <c:v>52</c:v>
                </c:pt>
                <c:pt idx="9">
                  <c:v>56</c:v>
                </c:pt>
                <c:pt idx="10">
                  <c:v>67</c:v>
                </c:pt>
                <c:pt idx="11">
                  <c:v>83</c:v>
                </c:pt>
                <c:pt idx="12">
                  <c:v>83</c:v>
                </c:pt>
                <c:pt idx="13">
                  <c:v>86</c:v>
                </c:pt>
                <c:pt idx="14">
                  <c:v>86</c:v>
                </c:pt>
                <c:pt idx="15">
                  <c:v>89</c:v>
                </c:pt>
                <c:pt idx="16">
                  <c:v>91</c:v>
                </c:pt>
                <c:pt idx="17">
                  <c:v>104</c:v>
                </c:pt>
                <c:pt idx="18">
                  <c:v>108</c:v>
                </c:pt>
                <c:pt idx="19">
                  <c:v>108</c:v>
                </c:pt>
                <c:pt idx="20">
                  <c:v>120</c:v>
                </c:pt>
                <c:pt idx="21">
                  <c:v>124</c:v>
                </c:pt>
                <c:pt idx="22">
                  <c:v>125</c:v>
                </c:pt>
                <c:pt idx="23">
                  <c:v>125</c:v>
                </c:pt>
                <c:pt idx="24">
                  <c:v>127</c:v>
                </c:pt>
                <c:pt idx="25">
                  <c:v>128</c:v>
                </c:pt>
                <c:pt idx="26">
                  <c:v>132</c:v>
                </c:pt>
                <c:pt idx="27">
                  <c:v>132</c:v>
                </c:pt>
                <c:pt idx="28">
                  <c:v>140</c:v>
                </c:pt>
                <c:pt idx="29">
                  <c:v>157</c:v>
                </c:pt>
                <c:pt idx="30">
                  <c:v>173</c:v>
                </c:pt>
                <c:pt idx="31">
                  <c:v>173</c:v>
                </c:pt>
                <c:pt idx="32">
                  <c:v>176</c:v>
                </c:pt>
              </c:numCache>
            </c:numRef>
          </c:val>
          <c:smooth val="0"/>
          <c:extLst>
            <c:ext xmlns:c16="http://schemas.microsoft.com/office/drawing/2014/chart" uri="{C3380CC4-5D6E-409C-BE32-E72D297353CC}">
              <c16:uniqueId val="{0000004B-AA7F-FD49-9C25-4EDB35C90EC6}"/>
            </c:ext>
          </c:extLst>
        </c:ser>
        <c:ser>
          <c:idx val="76"/>
          <c:order val="76"/>
          <c:tx>
            <c:strRef>
              <c:f>'For stats end Y Score'!$A$78</c:f>
              <c:strCache>
                <c:ptCount val="1"/>
                <c:pt idx="0">
                  <c:v>Proph@ne</c:v>
                </c:pt>
              </c:strCache>
            </c:strRef>
          </c:tx>
          <c:spPr>
            <a:ln w="28575" cap="rnd">
              <a:solidFill>
                <a:schemeClr val="accent5">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Score'!$B$78:$AN$78</c:f>
              <c:numCache>
                <c:formatCode>General</c:formatCode>
                <c:ptCount val="39"/>
                <c:pt idx="0">
                  <c:v>1</c:v>
                </c:pt>
                <c:pt idx="1">
                  <c:v>3</c:v>
                </c:pt>
                <c:pt idx="2">
                  <c:v>20</c:v>
                </c:pt>
                <c:pt idx="3">
                  <c:v>22</c:v>
                </c:pt>
                <c:pt idx="4">
                  <c:v>30</c:v>
                </c:pt>
                <c:pt idx="5">
                  <c:v>32</c:v>
                </c:pt>
                <c:pt idx="6">
                  <c:v>32</c:v>
                </c:pt>
                <c:pt idx="7">
                  <c:v>48</c:v>
                </c:pt>
                <c:pt idx="8">
                  <c:v>52</c:v>
                </c:pt>
                <c:pt idx="9">
                  <c:v>52</c:v>
                </c:pt>
                <c:pt idx="10">
                  <c:v>53</c:v>
                </c:pt>
                <c:pt idx="11">
                  <c:v>57</c:v>
                </c:pt>
                <c:pt idx="12">
                  <c:v>57</c:v>
                </c:pt>
                <c:pt idx="13">
                  <c:v>59</c:v>
                </c:pt>
                <c:pt idx="14">
                  <c:v>75</c:v>
                </c:pt>
                <c:pt idx="15">
                  <c:v>78</c:v>
                </c:pt>
                <c:pt idx="16">
                  <c:v>79</c:v>
                </c:pt>
                <c:pt idx="17">
                  <c:v>79</c:v>
                </c:pt>
                <c:pt idx="18">
                  <c:v>79</c:v>
                </c:pt>
                <c:pt idx="19">
                  <c:v>87</c:v>
                </c:pt>
                <c:pt idx="20">
                  <c:v>99</c:v>
                </c:pt>
                <c:pt idx="21">
                  <c:v>108</c:v>
                </c:pt>
                <c:pt idx="22">
                  <c:v>108</c:v>
                </c:pt>
                <c:pt idx="23">
                  <c:v>125</c:v>
                </c:pt>
                <c:pt idx="24">
                  <c:v>128</c:v>
                </c:pt>
                <c:pt idx="25">
                  <c:v>140</c:v>
                </c:pt>
                <c:pt idx="26">
                  <c:v>155</c:v>
                </c:pt>
                <c:pt idx="27">
                  <c:v>156</c:v>
                </c:pt>
                <c:pt idx="28">
                  <c:v>156</c:v>
                </c:pt>
                <c:pt idx="29">
                  <c:v>157</c:v>
                </c:pt>
                <c:pt idx="30">
                  <c:v>157</c:v>
                </c:pt>
                <c:pt idx="31">
                  <c:v>169</c:v>
                </c:pt>
                <c:pt idx="32">
                  <c:v>169</c:v>
                </c:pt>
              </c:numCache>
            </c:numRef>
          </c:val>
          <c:smooth val="0"/>
          <c:extLst>
            <c:ext xmlns:c16="http://schemas.microsoft.com/office/drawing/2014/chart" uri="{C3380CC4-5D6E-409C-BE32-E72D297353CC}">
              <c16:uniqueId val="{0000004C-AA7F-FD49-9C25-4EDB35C90EC6}"/>
            </c:ext>
          </c:extLst>
        </c:ser>
        <c:ser>
          <c:idx val="77"/>
          <c:order val="77"/>
          <c:tx>
            <c:strRef>
              <c:f>'For stats end Y Score'!$A$79</c:f>
              <c:strCache>
                <c:ptCount val="1"/>
                <c:pt idx="0">
                  <c:v>Ptit Savoyard</c:v>
                </c:pt>
              </c:strCache>
            </c:strRef>
          </c:tx>
          <c:spPr>
            <a:ln w="28575" cap="rnd">
              <a:solidFill>
                <a:schemeClr val="accent6">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Score'!$B$79:$AN$79</c:f>
              <c:numCache>
                <c:formatCode>General</c:formatCode>
                <c:ptCount val="39"/>
                <c:pt idx="0">
                  <c:v>2</c:v>
                </c:pt>
                <c:pt idx="1">
                  <c:v>2</c:v>
                </c:pt>
                <c:pt idx="2">
                  <c:v>14</c:v>
                </c:pt>
                <c:pt idx="3">
                  <c:v>19</c:v>
                </c:pt>
                <c:pt idx="4">
                  <c:v>19</c:v>
                </c:pt>
                <c:pt idx="5">
                  <c:v>32</c:v>
                </c:pt>
                <c:pt idx="6">
                  <c:v>36</c:v>
                </c:pt>
                <c:pt idx="7">
                  <c:v>37</c:v>
                </c:pt>
                <c:pt idx="8">
                  <c:v>37</c:v>
                </c:pt>
                <c:pt idx="9">
                  <c:v>37</c:v>
                </c:pt>
                <c:pt idx="10">
                  <c:v>37</c:v>
                </c:pt>
                <c:pt idx="11">
                  <c:v>37</c:v>
                </c:pt>
                <c:pt idx="12">
                  <c:v>37</c:v>
                </c:pt>
                <c:pt idx="13">
                  <c:v>37</c:v>
                </c:pt>
                <c:pt idx="14">
                  <c:v>38</c:v>
                </c:pt>
                <c:pt idx="15">
                  <c:v>39</c:v>
                </c:pt>
                <c:pt idx="16">
                  <c:v>39</c:v>
                </c:pt>
                <c:pt idx="17">
                  <c:v>40</c:v>
                </c:pt>
                <c:pt idx="18">
                  <c:v>48</c:v>
                </c:pt>
                <c:pt idx="19">
                  <c:v>52</c:v>
                </c:pt>
                <c:pt idx="20">
                  <c:v>68</c:v>
                </c:pt>
                <c:pt idx="21">
                  <c:v>76</c:v>
                </c:pt>
                <c:pt idx="22">
                  <c:v>78</c:v>
                </c:pt>
                <c:pt idx="23">
                  <c:v>87</c:v>
                </c:pt>
                <c:pt idx="24">
                  <c:v>87</c:v>
                </c:pt>
                <c:pt idx="25">
                  <c:v>87</c:v>
                </c:pt>
                <c:pt idx="26">
                  <c:v>87</c:v>
                </c:pt>
                <c:pt idx="27">
                  <c:v>87</c:v>
                </c:pt>
                <c:pt idx="28">
                  <c:v>87</c:v>
                </c:pt>
                <c:pt idx="29">
                  <c:v>87</c:v>
                </c:pt>
                <c:pt idx="30">
                  <c:v>87</c:v>
                </c:pt>
                <c:pt idx="31">
                  <c:v>87</c:v>
                </c:pt>
                <c:pt idx="32">
                  <c:v>87</c:v>
                </c:pt>
              </c:numCache>
            </c:numRef>
          </c:val>
          <c:smooth val="0"/>
          <c:extLst>
            <c:ext xmlns:c16="http://schemas.microsoft.com/office/drawing/2014/chart" uri="{C3380CC4-5D6E-409C-BE32-E72D297353CC}">
              <c16:uniqueId val="{0000004D-AA7F-FD49-9C25-4EDB35C90EC6}"/>
            </c:ext>
          </c:extLst>
        </c:ser>
        <c:ser>
          <c:idx val="78"/>
          <c:order val="78"/>
          <c:tx>
            <c:strRef>
              <c:f>'For stats end Y Score'!$A$80</c:f>
              <c:strCache>
                <c:ptCount val="1"/>
                <c:pt idx="0">
                  <c:v>Pyja</c:v>
                </c:pt>
              </c:strCache>
            </c:strRef>
          </c:tx>
          <c:spPr>
            <a:ln w="28575" cap="rnd">
              <a:solidFill>
                <a:schemeClr val="accent1">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Score'!$B$80:$AN$80</c:f>
              <c:numCache>
                <c:formatCode>General</c:formatCode>
                <c:ptCount val="39"/>
                <c:pt idx="0">
                  <c:v>13</c:v>
                </c:pt>
                <c:pt idx="1">
                  <c:v>29</c:v>
                </c:pt>
                <c:pt idx="2">
                  <c:v>31</c:v>
                </c:pt>
                <c:pt idx="3">
                  <c:v>40</c:v>
                </c:pt>
                <c:pt idx="4">
                  <c:v>42</c:v>
                </c:pt>
                <c:pt idx="5">
                  <c:v>59</c:v>
                </c:pt>
                <c:pt idx="6">
                  <c:v>72</c:v>
                </c:pt>
                <c:pt idx="7">
                  <c:v>88</c:v>
                </c:pt>
                <c:pt idx="8">
                  <c:v>90</c:v>
                </c:pt>
                <c:pt idx="9">
                  <c:v>101</c:v>
                </c:pt>
                <c:pt idx="10">
                  <c:v>104</c:v>
                </c:pt>
                <c:pt idx="11">
                  <c:v>112</c:v>
                </c:pt>
                <c:pt idx="12">
                  <c:v>114</c:v>
                </c:pt>
                <c:pt idx="13">
                  <c:v>131</c:v>
                </c:pt>
                <c:pt idx="14">
                  <c:v>135</c:v>
                </c:pt>
                <c:pt idx="15">
                  <c:v>136</c:v>
                </c:pt>
                <c:pt idx="16">
                  <c:v>144</c:v>
                </c:pt>
                <c:pt idx="17">
                  <c:v>157</c:v>
                </c:pt>
                <c:pt idx="18">
                  <c:v>157</c:v>
                </c:pt>
                <c:pt idx="19">
                  <c:v>160</c:v>
                </c:pt>
                <c:pt idx="20">
                  <c:v>168</c:v>
                </c:pt>
                <c:pt idx="21">
                  <c:v>171</c:v>
                </c:pt>
                <c:pt idx="22">
                  <c:v>188</c:v>
                </c:pt>
                <c:pt idx="23">
                  <c:v>193</c:v>
                </c:pt>
                <c:pt idx="24">
                  <c:v>194</c:v>
                </c:pt>
                <c:pt idx="25">
                  <c:v>195</c:v>
                </c:pt>
                <c:pt idx="26">
                  <c:v>202</c:v>
                </c:pt>
                <c:pt idx="27">
                  <c:v>212</c:v>
                </c:pt>
                <c:pt idx="28">
                  <c:v>218</c:v>
                </c:pt>
                <c:pt idx="29">
                  <c:v>221</c:v>
                </c:pt>
                <c:pt idx="30">
                  <c:v>235</c:v>
                </c:pt>
                <c:pt idx="31">
                  <c:v>241</c:v>
                </c:pt>
                <c:pt idx="32">
                  <c:v>241</c:v>
                </c:pt>
              </c:numCache>
            </c:numRef>
          </c:val>
          <c:smooth val="0"/>
          <c:extLst>
            <c:ext xmlns:c16="http://schemas.microsoft.com/office/drawing/2014/chart" uri="{C3380CC4-5D6E-409C-BE32-E72D297353CC}">
              <c16:uniqueId val="{0000004E-AA7F-FD49-9C25-4EDB35C90EC6}"/>
            </c:ext>
          </c:extLst>
        </c:ser>
        <c:ser>
          <c:idx val="79"/>
          <c:order val="79"/>
          <c:tx>
            <c:strRef>
              <c:f>'For stats end Y Score'!$A$81</c:f>
              <c:strCache>
                <c:ptCount val="1"/>
                <c:pt idx="0">
                  <c:v>Ramm</c:v>
                </c:pt>
              </c:strCache>
            </c:strRef>
          </c:tx>
          <c:spPr>
            <a:ln w="28575" cap="rnd">
              <a:solidFill>
                <a:schemeClr val="accent2">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Score'!$B$81:$AN$81</c:f>
              <c:numCache>
                <c:formatCode>General</c:formatCode>
                <c:ptCount val="39"/>
                <c:pt idx="0">
                  <c:v>2</c:v>
                </c:pt>
                <c:pt idx="1">
                  <c:v>2</c:v>
                </c:pt>
                <c:pt idx="2">
                  <c:v>18</c:v>
                </c:pt>
                <c:pt idx="3">
                  <c:v>21</c:v>
                </c:pt>
                <c:pt idx="4">
                  <c:v>21</c:v>
                </c:pt>
                <c:pt idx="5">
                  <c:v>30</c:v>
                </c:pt>
                <c:pt idx="6">
                  <c:v>30</c:v>
                </c:pt>
                <c:pt idx="7">
                  <c:v>30</c:v>
                </c:pt>
                <c:pt idx="8">
                  <c:v>46</c:v>
                </c:pt>
                <c:pt idx="9">
                  <c:v>46</c:v>
                </c:pt>
                <c:pt idx="10">
                  <c:v>54</c:v>
                </c:pt>
                <c:pt idx="11">
                  <c:v>54</c:v>
                </c:pt>
                <c:pt idx="12">
                  <c:v>58</c:v>
                </c:pt>
                <c:pt idx="13">
                  <c:v>66</c:v>
                </c:pt>
                <c:pt idx="14">
                  <c:v>66</c:v>
                </c:pt>
                <c:pt idx="15">
                  <c:v>75</c:v>
                </c:pt>
                <c:pt idx="16">
                  <c:v>92</c:v>
                </c:pt>
                <c:pt idx="17">
                  <c:v>95</c:v>
                </c:pt>
                <c:pt idx="18">
                  <c:v>95</c:v>
                </c:pt>
                <c:pt idx="19">
                  <c:v>95</c:v>
                </c:pt>
                <c:pt idx="20">
                  <c:v>104</c:v>
                </c:pt>
                <c:pt idx="21">
                  <c:v>104</c:v>
                </c:pt>
                <c:pt idx="22">
                  <c:v>104</c:v>
                </c:pt>
                <c:pt idx="23">
                  <c:v>104</c:v>
                </c:pt>
                <c:pt idx="24">
                  <c:v>104</c:v>
                </c:pt>
                <c:pt idx="25">
                  <c:v>120</c:v>
                </c:pt>
                <c:pt idx="26">
                  <c:v>132</c:v>
                </c:pt>
                <c:pt idx="27">
                  <c:v>144</c:v>
                </c:pt>
                <c:pt idx="28">
                  <c:v>160</c:v>
                </c:pt>
                <c:pt idx="29">
                  <c:v>164</c:v>
                </c:pt>
                <c:pt idx="30">
                  <c:v>176</c:v>
                </c:pt>
                <c:pt idx="31">
                  <c:v>179</c:v>
                </c:pt>
                <c:pt idx="32">
                  <c:v>187</c:v>
                </c:pt>
              </c:numCache>
            </c:numRef>
          </c:val>
          <c:smooth val="0"/>
          <c:extLst>
            <c:ext xmlns:c16="http://schemas.microsoft.com/office/drawing/2014/chart" uri="{C3380CC4-5D6E-409C-BE32-E72D297353CC}">
              <c16:uniqueId val="{0000004F-AA7F-FD49-9C25-4EDB35C90EC6}"/>
            </c:ext>
          </c:extLst>
        </c:ser>
        <c:ser>
          <c:idx val="80"/>
          <c:order val="80"/>
          <c:tx>
            <c:strRef>
              <c:f>'For stats end Y Score'!$A$82</c:f>
              <c:strCache>
                <c:ptCount val="1"/>
                <c:pt idx="0">
                  <c:v>Ripolin</c:v>
                </c:pt>
              </c:strCache>
            </c:strRef>
          </c:tx>
          <c:spPr>
            <a:ln w="28575" cap="rnd">
              <a:solidFill>
                <a:schemeClr val="accent3">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Score'!$B$82:$AN$82</c:f>
              <c:numCache>
                <c:formatCode>General</c:formatCode>
                <c:ptCount val="39"/>
                <c:pt idx="0">
                  <c:v>16</c:v>
                </c:pt>
                <c:pt idx="1">
                  <c:v>20</c:v>
                </c:pt>
                <c:pt idx="2">
                  <c:v>20</c:v>
                </c:pt>
                <c:pt idx="3">
                  <c:v>21</c:v>
                </c:pt>
                <c:pt idx="4">
                  <c:v>22</c:v>
                </c:pt>
                <c:pt idx="5">
                  <c:v>22</c:v>
                </c:pt>
                <c:pt idx="6">
                  <c:v>34</c:v>
                </c:pt>
                <c:pt idx="7">
                  <c:v>34</c:v>
                </c:pt>
                <c:pt idx="8">
                  <c:v>36</c:v>
                </c:pt>
                <c:pt idx="9">
                  <c:v>36</c:v>
                </c:pt>
                <c:pt idx="10">
                  <c:v>47</c:v>
                </c:pt>
                <c:pt idx="11">
                  <c:v>59</c:v>
                </c:pt>
                <c:pt idx="12">
                  <c:v>67</c:v>
                </c:pt>
                <c:pt idx="13">
                  <c:v>68</c:v>
                </c:pt>
                <c:pt idx="14">
                  <c:v>68</c:v>
                </c:pt>
                <c:pt idx="15">
                  <c:v>68</c:v>
                </c:pt>
                <c:pt idx="16">
                  <c:v>69</c:v>
                </c:pt>
                <c:pt idx="17">
                  <c:v>69</c:v>
                </c:pt>
                <c:pt idx="18">
                  <c:v>85</c:v>
                </c:pt>
                <c:pt idx="19">
                  <c:v>88</c:v>
                </c:pt>
                <c:pt idx="20">
                  <c:v>90</c:v>
                </c:pt>
                <c:pt idx="21">
                  <c:v>90</c:v>
                </c:pt>
                <c:pt idx="22">
                  <c:v>90</c:v>
                </c:pt>
                <c:pt idx="23">
                  <c:v>92</c:v>
                </c:pt>
                <c:pt idx="24">
                  <c:v>93</c:v>
                </c:pt>
                <c:pt idx="25">
                  <c:v>93</c:v>
                </c:pt>
                <c:pt idx="26">
                  <c:v>95</c:v>
                </c:pt>
                <c:pt idx="27">
                  <c:v>96</c:v>
                </c:pt>
                <c:pt idx="28">
                  <c:v>100</c:v>
                </c:pt>
                <c:pt idx="29">
                  <c:v>102</c:v>
                </c:pt>
                <c:pt idx="30">
                  <c:v>105</c:v>
                </c:pt>
                <c:pt idx="31">
                  <c:v>107</c:v>
                </c:pt>
                <c:pt idx="32">
                  <c:v>123</c:v>
                </c:pt>
              </c:numCache>
            </c:numRef>
          </c:val>
          <c:smooth val="0"/>
          <c:extLst>
            <c:ext xmlns:c16="http://schemas.microsoft.com/office/drawing/2014/chart" uri="{C3380CC4-5D6E-409C-BE32-E72D297353CC}">
              <c16:uniqueId val="{00000050-AA7F-FD49-9C25-4EDB35C90EC6}"/>
            </c:ext>
          </c:extLst>
        </c:ser>
        <c:ser>
          <c:idx val="81"/>
          <c:order val="81"/>
          <c:tx>
            <c:strRef>
              <c:f>'For stats end Y Score'!$A$83</c:f>
              <c:strCache>
                <c:ptCount val="1"/>
                <c:pt idx="0">
                  <c:v>Riviera</c:v>
                </c:pt>
              </c:strCache>
            </c:strRef>
          </c:tx>
          <c:spPr>
            <a:ln w="28575" cap="rnd">
              <a:solidFill>
                <a:schemeClr val="accent4">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Score'!$B$83:$AN$83</c:f>
              <c:numCache>
                <c:formatCode>General</c:formatCode>
                <c:ptCount val="39"/>
                <c:pt idx="0">
                  <c:v>0</c:v>
                </c:pt>
                <c:pt idx="1">
                  <c:v>0</c:v>
                </c:pt>
                <c:pt idx="2">
                  <c:v>0</c:v>
                </c:pt>
                <c:pt idx="3">
                  <c:v>3</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20</c:v>
                </c:pt>
                <c:pt idx="26">
                  <c:v>20</c:v>
                </c:pt>
                <c:pt idx="27">
                  <c:v>20</c:v>
                </c:pt>
                <c:pt idx="28">
                  <c:v>20</c:v>
                </c:pt>
                <c:pt idx="29">
                  <c:v>20</c:v>
                </c:pt>
                <c:pt idx="30">
                  <c:v>20</c:v>
                </c:pt>
                <c:pt idx="31">
                  <c:v>20</c:v>
                </c:pt>
                <c:pt idx="32">
                  <c:v>20</c:v>
                </c:pt>
              </c:numCache>
            </c:numRef>
          </c:val>
          <c:smooth val="0"/>
          <c:extLst>
            <c:ext xmlns:c16="http://schemas.microsoft.com/office/drawing/2014/chart" uri="{C3380CC4-5D6E-409C-BE32-E72D297353CC}">
              <c16:uniqueId val="{00000051-AA7F-FD49-9C25-4EDB35C90EC6}"/>
            </c:ext>
          </c:extLst>
        </c:ser>
        <c:ser>
          <c:idx val="82"/>
          <c:order val="82"/>
          <c:tx>
            <c:strRef>
              <c:f>'For stats end Y Score'!$A$84</c:f>
              <c:strCache>
                <c:ptCount val="1"/>
                <c:pt idx="0">
                  <c:v>Rmarc</c:v>
                </c:pt>
              </c:strCache>
            </c:strRef>
          </c:tx>
          <c:spPr>
            <a:ln w="28575" cap="rnd">
              <a:solidFill>
                <a:schemeClr val="accent5">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Score'!$B$84:$AN$84</c:f>
              <c:numCache>
                <c:formatCode>General</c:formatCode>
                <c:ptCount val="39"/>
                <c:pt idx="0">
                  <c:v>0</c:v>
                </c:pt>
                <c:pt idx="1">
                  <c:v>0</c:v>
                </c:pt>
                <c:pt idx="2">
                  <c:v>4</c:v>
                </c:pt>
                <c:pt idx="3">
                  <c:v>6</c:v>
                </c:pt>
                <c:pt idx="4">
                  <c:v>6</c:v>
                </c:pt>
                <c:pt idx="5">
                  <c:v>6</c:v>
                </c:pt>
                <c:pt idx="6">
                  <c:v>10</c:v>
                </c:pt>
                <c:pt idx="7">
                  <c:v>15</c:v>
                </c:pt>
                <c:pt idx="8">
                  <c:v>19</c:v>
                </c:pt>
                <c:pt idx="9">
                  <c:v>23</c:v>
                </c:pt>
                <c:pt idx="10">
                  <c:v>23</c:v>
                </c:pt>
                <c:pt idx="11">
                  <c:v>24</c:v>
                </c:pt>
                <c:pt idx="12">
                  <c:v>24</c:v>
                </c:pt>
                <c:pt idx="13">
                  <c:v>29</c:v>
                </c:pt>
                <c:pt idx="14">
                  <c:v>37</c:v>
                </c:pt>
                <c:pt idx="15">
                  <c:v>37</c:v>
                </c:pt>
                <c:pt idx="16">
                  <c:v>37</c:v>
                </c:pt>
                <c:pt idx="17">
                  <c:v>37</c:v>
                </c:pt>
                <c:pt idx="18">
                  <c:v>37</c:v>
                </c:pt>
                <c:pt idx="19">
                  <c:v>37</c:v>
                </c:pt>
                <c:pt idx="20">
                  <c:v>37</c:v>
                </c:pt>
                <c:pt idx="21">
                  <c:v>40</c:v>
                </c:pt>
                <c:pt idx="22">
                  <c:v>42</c:v>
                </c:pt>
                <c:pt idx="23">
                  <c:v>51</c:v>
                </c:pt>
                <c:pt idx="24">
                  <c:v>51</c:v>
                </c:pt>
                <c:pt idx="25">
                  <c:v>51</c:v>
                </c:pt>
                <c:pt idx="26">
                  <c:v>51</c:v>
                </c:pt>
                <c:pt idx="27">
                  <c:v>51</c:v>
                </c:pt>
                <c:pt idx="28">
                  <c:v>53</c:v>
                </c:pt>
                <c:pt idx="29">
                  <c:v>53</c:v>
                </c:pt>
                <c:pt idx="30">
                  <c:v>61</c:v>
                </c:pt>
                <c:pt idx="31">
                  <c:v>61</c:v>
                </c:pt>
                <c:pt idx="32">
                  <c:v>61</c:v>
                </c:pt>
              </c:numCache>
            </c:numRef>
          </c:val>
          <c:smooth val="0"/>
          <c:extLst>
            <c:ext xmlns:c16="http://schemas.microsoft.com/office/drawing/2014/chart" uri="{C3380CC4-5D6E-409C-BE32-E72D297353CC}">
              <c16:uniqueId val="{00000052-AA7F-FD49-9C25-4EDB35C90EC6}"/>
            </c:ext>
          </c:extLst>
        </c:ser>
        <c:ser>
          <c:idx val="83"/>
          <c:order val="83"/>
          <c:tx>
            <c:strRef>
              <c:f>'For stats end Y Score'!$A$85</c:f>
              <c:strCache>
                <c:ptCount val="1"/>
                <c:pt idx="0">
                  <c:v>Rockatou</c:v>
                </c:pt>
              </c:strCache>
            </c:strRef>
          </c:tx>
          <c:spPr>
            <a:ln w="28575" cap="rnd">
              <a:solidFill>
                <a:schemeClr val="accent6">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Score'!$B$85:$AN$85</c:f>
              <c:numCache>
                <c:formatCode>General</c:formatCode>
                <c:ptCount val="39"/>
                <c:pt idx="0">
                  <c:v>1</c:v>
                </c:pt>
                <c:pt idx="1">
                  <c:v>2</c:v>
                </c:pt>
                <c:pt idx="2">
                  <c:v>14</c:v>
                </c:pt>
                <c:pt idx="3">
                  <c:v>31</c:v>
                </c:pt>
                <c:pt idx="4">
                  <c:v>35</c:v>
                </c:pt>
                <c:pt idx="5">
                  <c:v>37</c:v>
                </c:pt>
                <c:pt idx="6">
                  <c:v>53</c:v>
                </c:pt>
                <c:pt idx="7">
                  <c:v>70</c:v>
                </c:pt>
                <c:pt idx="8">
                  <c:v>71</c:v>
                </c:pt>
                <c:pt idx="9">
                  <c:v>73</c:v>
                </c:pt>
                <c:pt idx="10">
                  <c:v>88</c:v>
                </c:pt>
                <c:pt idx="11">
                  <c:v>92</c:v>
                </c:pt>
                <c:pt idx="12">
                  <c:v>101</c:v>
                </c:pt>
                <c:pt idx="13">
                  <c:v>110</c:v>
                </c:pt>
                <c:pt idx="14">
                  <c:v>122</c:v>
                </c:pt>
                <c:pt idx="15">
                  <c:v>131</c:v>
                </c:pt>
                <c:pt idx="16">
                  <c:v>133</c:v>
                </c:pt>
                <c:pt idx="17">
                  <c:v>142</c:v>
                </c:pt>
                <c:pt idx="18">
                  <c:v>144</c:v>
                </c:pt>
                <c:pt idx="19">
                  <c:v>145</c:v>
                </c:pt>
                <c:pt idx="20">
                  <c:v>147</c:v>
                </c:pt>
                <c:pt idx="21">
                  <c:v>148</c:v>
                </c:pt>
                <c:pt idx="22">
                  <c:v>152</c:v>
                </c:pt>
                <c:pt idx="23">
                  <c:v>165</c:v>
                </c:pt>
                <c:pt idx="24">
                  <c:v>166</c:v>
                </c:pt>
                <c:pt idx="25">
                  <c:v>177</c:v>
                </c:pt>
                <c:pt idx="26">
                  <c:v>184</c:v>
                </c:pt>
                <c:pt idx="27">
                  <c:v>184</c:v>
                </c:pt>
                <c:pt idx="28">
                  <c:v>184</c:v>
                </c:pt>
                <c:pt idx="29">
                  <c:v>196</c:v>
                </c:pt>
                <c:pt idx="30">
                  <c:v>199</c:v>
                </c:pt>
                <c:pt idx="31">
                  <c:v>199</c:v>
                </c:pt>
                <c:pt idx="32">
                  <c:v>199</c:v>
                </c:pt>
              </c:numCache>
            </c:numRef>
          </c:val>
          <c:smooth val="0"/>
          <c:extLst>
            <c:ext xmlns:c16="http://schemas.microsoft.com/office/drawing/2014/chart" uri="{C3380CC4-5D6E-409C-BE32-E72D297353CC}">
              <c16:uniqueId val="{00000053-AA7F-FD49-9C25-4EDB35C90EC6}"/>
            </c:ext>
          </c:extLst>
        </c:ser>
        <c:ser>
          <c:idx val="84"/>
          <c:order val="84"/>
          <c:tx>
            <c:strRef>
              <c:f>'For stats end Y Score'!$A$86</c:f>
              <c:strCache>
                <c:ptCount val="1"/>
                <c:pt idx="0">
                  <c:v>Sabwill</c:v>
                </c:pt>
              </c:strCache>
            </c:strRef>
          </c:tx>
          <c:spPr>
            <a:ln w="28575" cap="rnd">
              <a:solidFill>
                <a:schemeClr val="accent1">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Score'!$B$86:$AN$86</c:f>
              <c:numCache>
                <c:formatCode>General</c:formatCode>
                <c:ptCount val="39"/>
                <c:pt idx="0">
                  <c:v>9</c:v>
                </c:pt>
                <c:pt idx="1">
                  <c:v>18</c:v>
                </c:pt>
                <c:pt idx="2">
                  <c:v>18</c:v>
                </c:pt>
                <c:pt idx="3">
                  <c:v>19</c:v>
                </c:pt>
                <c:pt idx="4">
                  <c:v>19</c:v>
                </c:pt>
                <c:pt idx="5">
                  <c:v>21</c:v>
                </c:pt>
                <c:pt idx="6">
                  <c:v>21</c:v>
                </c:pt>
                <c:pt idx="7">
                  <c:v>21</c:v>
                </c:pt>
                <c:pt idx="8">
                  <c:v>21</c:v>
                </c:pt>
                <c:pt idx="9">
                  <c:v>21</c:v>
                </c:pt>
                <c:pt idx="10">
                  <c:v>21</c:v>
                </c:pt>
                <c:pt idx="11">
                  <c:v>21</c:v>
                </c:pt>
                <c:pt idx="12">
                  <c:v>21</c:v>
                </c:pt>
                <c:pt idx="13">
                  <c:v>21</c:v>
                </c:pt>
                <c:pt idx="14">
                  <c:v>21</c:v>
                </c:pt>
                <c:pt idx="15">
                  <c:v>21</c:v>
                </c:pt>
                <c:pt idx="16">
                  <c:v>21</c:v>
                </c:pt>
                <c:pt idx="17">
                  <c:v>21</c:v>
                </c:pt>
                <c:pt idx="18">
                  <c:v>21</c:v>
                </c:pt>
                <c:pt idx="19">
                  <c:v>21</c:v>
                </c:pt>
                <c:pt idx="20">
                  <c:v>21</c:v>
                </c:pt>
                <c:pt idx="21">
                  <c:v>21</c:v>
                </c:pt>
                <c:pt idx="22">
                  <c:v>21</c:v>
                </c:pt>
                <c:pt idx="23">
                  <c:v>21</c:v>
                </c:pt>
                <c:pt idx="24">
                  <c:v>21</c:v>
                </c:pt>
                <c:pt idx="25">
                  <c:v>21</c:v>
                </c:pt>
                <c:pt idx="26">
                  <c:v>21</c:v>
                </c:pt>
                <c:pt idx="27">
                  <c:v>21</c:v>
                </c:pt>
                <c:pt idx="28">
                  <c:v>21</c:v>
                </c:pt>
                <c:pt idx="29">
                  <c:v>21</c:v>
                </c:pt>
                <c:pt idx="30">
                  <c:v>21</c:v>
                </c:pt>
                <c:pt idx="31">
                  <c:v>21</c:v>
                </c:pt>
                <c:pt idx="32">
                  <c:v>21</c:v>
                </c:pt>
              </c:numCache>
            </c:numRef>
          </c:val>
          <c:smooth val="0"/>
          <c:extLst>
            <c:ext xmlns:c16="http://schemas.microsoft.com/office/drawing/2014/chart" uri="{C3380CC4-5D6E-409C-BE32-E72D297353CC}">
              <c16:uniqueId val="{00000054-AA7F-FD49-9C25-4EDB35C90EC6}"/>
            </c:ext>
          </c:extLst>
        </c:ser>
        <c:ser>
          <c:idx val="85"/>
          <c:order val="85"/>
          <c:tx>
            <c:strRef>
              <c:f>'For stats end Y Score'!$A$87</c:f>
              <c:strCache>
                <c:ptCount val="1"/>
                <c:pt idx="0">
                  <c:v>Salender</c:v>
                </c:pt>
              </c:strCache>
            </c:strRef>
          </c:tx>
          <c:spPr>
            <a:ln w="28575" cap="rnd">
              <a:solidFill>
                <a:schemeClr val="accent2">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Score'!$B$87:$AN$87</c:f>
              <c:numCache>
                <c:formatCode>General</c:formatCode>
                <c:ptCount val="39"/>
                <c:pt idx="0">
                  <c:v>8</c:v>
                </c:pt>
                <c:pt idx="1">
                  <c:v>25</c:v>
                </c:pt>
                <c:pt idx="2">
                  <c:v>34</c:v>
                </c:pt>
                <c:pt idx="3">
                  <c:v>47</c:v>
                </c:pt>
                <c:pt idx="4">
                  <c:v>52</c:v>
                </c:pt>
                <c:pt idx="5">
                  <c:v>61</c:v>
                </c:pt>
                <c:pt idx="6">
                  <c:v>65</c:v>
                </c:pt>
                <c:pt idx="7">
                  <c:v>67</c:v>
                </c:pt>
                <c:pt idx="8">
                  <c:v>72</c:v>
                </c:pt>
                <c:pt idx="9">
                  <c:v>74</c:v>
                </c:pt>
                <c:pt idx="10">
                  <c:v>74</c:v>
                </c:pt>
                <c:pt idx="11">
                  <c:v>74</c:v>
                </c:pt>
                <c:pt idx="12">
                  <c:v>82</c:v>
                </c:pt>
                <c:pt idx="13">
                  <c:v>82</c:v>
                </c:pt>
                <c:pt idx="14">
                  <c:v>86</c:v>
                </c:pt>
                <c:pt idx="15">
                  <c:v>86</c:v>
                </c:pt>
                <c:pt idx="16">
                  <c:v>86</c:v>
                </c:pt>
                <c:pt idx="17">
                  <c:v>99</c:v>
                </c:pt>
                <c:pt idx="18">
                  <c:v>103</c:v>
                </c:pt>
                <c:pt idx="19">
                  <c:v>115</c:v>
                </c:pt>
                <c:pt idx="20">
                  <c:v>119</c:v>
                </c:pt>
                <c:pt idx="21">
                  <c:v>121</c:v>
                </c:pt>
                <c:pt idx="22">
                  <c:v>129</c:v>
                </c:pt>
                <c:pt idx="23">
                  <c:v>131</c:v>
                </c:pt>
                <c:pt idx="24">
                  <c:v>132</c:v>
                </c:pt>
                <c:pt idx="25">
                  <c:v>144</c:v>
                </c:pt>
                <c:pt idx="26">
                  <c:v>146</c:v>
                </c:pt>
                <c:pt idx="27">
                  <c:v>150</c:v>
                </c:pt>
                <c:pt idx="28">
                  <c:v>162</c:v>
                </c:pt>
                <c:pt idx="29">
                  <c:v>162</c:v>
                </c:pt>
                <c:pt idx="30">
                  <c:v>163</c:v>
                </c:pt>
                <c:pt idx="31">
                  <c:v>169</c:v>
                </c:pt>
                <c:pt idx="32">
                  <c:v>169</c:v>
                </c:pt>
              </c:numCache>
            </c:numRef>
          </c:val>
          <c:smooth val="0"/>
          <c:extLst>
            <c:ext xmlns:c16="http://schemas.microsoft.com/office/drawing/2014/chart" uri="{C3380CC4-5D6E-409C-BE32-E72D297353CC}">
              <c16:uniqueId val="{00000055-AA7F-FD49-9C25-4EDB35C90EC6}"/>
            </c:ext>
          </c:extLst>
        </c:ser>
        <c:ser>
          <c:idx val="86"/>
          <c:order val="86"/>
          <c:tx>
            <c:strRef>
              <c:f>'For stats end Y Score'!$A$88</c:f>
              <c:strCache>
                <c:ptCount val="1"/>
                <c:pt idx="0">
                  <c:v>saymsonite</c:v>
                </c:pt>
              </c:strCache>
            </c:strRef>
          </c:tx>
          <c:spPr>
            <a:ln w="28575" cap="rnd">
              <a:solidFill>
                <a:schemeClr val="accent3">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Score'!$B$88:$AN$88</c:f>
              <c:numCache>
                <c:formatCode>General</c:formatCode>
                <c:ptCount val="39"/>
                <c:pt idx="0">
                  <c:v>0</c:v>
                </c:pt>
                <c:pt idx="1">
                  <c:v>13</c:v>
                </c:pt>
                <c:pt idx="2">
                  <c:v>13</c:v>
                </c:pt>
                <c:pt idx="3">
                  <c:v>16</c:v>
                </c:pt>
                <c:pt idx="4">
                  <c:v>16</c:v>
                </c:pt>
                <c:pt idx="5">
                  <c:v>18</c:v>
                </c:pt>
                <c:pt idx="6">
                  <c:v>18</c:v>
                </c:pt>
                <c:pt idx="7">
                  <c:v>18</c:v>
                </c:pt>
                <c:pt idx="8">
                  <c:v>18</c:v>
                </c:pt>
                <c:pt idx="9">
                  <c:v>18</c:v>
                </c:pt>
                <c:pt idx="10">
                  <c:v>18</c:v>
                </c:pt>
                <c:pt idx="11">
                  <c:v>18</c:v>
                </c:pt>
                <c:pt idx="12">
                  <c:v>18</c:v>
                </c:pt>
                <c:pt idx="13">
                  <c:v>18</c:v>
                </c:pt>
                <c:pt idx="14">
                  <c:v>18</c:v>
                </c:pt>
                <c:pt idx="15">
                  <c:v>18</c:v>
                </c:pt>
                <c:pt idx="16">
                  <c:v>18</c:v>
                </c:pt>
                <c:pt idx="17">
                  <c:v>18</c:v>
                </c:pt>
                <c:pt idx="18">
                  <c:v>18</c:v>
                </c:pt>
                <c:pt idx="19">
                  <c:v>18</c:v>
                </c:pt>
                <c:pt idx="20">
                  <c:v>18</c:v>
                </c:pt>
                <c:pt idx="21">
                  <c:v>18</c:v>
                </c:pt>
                <c:pt idx="22">
                  <c:v>18</c:v>
                </c:pt>
                <c:pt idx="23">
                  <c:v>18</c:v>
                </c:pt>
                <c:pt idx="24">
                  <c:v>18</c:v>
                </c:pt>
                <c:pt idx="25">
                  <c:v>18</c:v>
                </c:pt>
                <c:pt idx="26">
                  <c:v>18</c:v>
                </c:pt>
                <c:pt idx="27">
                  <c:v>18</c:v>
                </c:pt>
                <c:pt idx="28">
                  <c:v>18</c:v>
                </c:pt>
                <c:pt idx="29">
                  <c:v>18</c:v>
                </c:pt>
                <c:pt idx="30">
                  <c:v>18</c:v>
                </c:pt>
                <c:pt idx="31">
                  <c:v>18</c:v>
                </c:pt>
                <c:pt idx="32">
                  <c:v>18</c:v>
                </c:pt>
              </c:numCache>
            </c:numRef>
          </c:val>
          <c:smooth val="0"/>
          <c:extLst>
            <c:ext xmlns:c16="http://schemas.microsoft.com/office/drawing/2014/chart" uri="{C3380CC4-5D6E-409C-BE32-E72D297353CC}">
              <c16:uniqueId val="{00000056-AA7F-FD49-9C25-4EDB35C90EC6}"/>
            </c:ext>
          </c:extLst>
        </c:ser>
        <c:ser>
          <c:idx val="87"/>
          <c:order val="87"/>
          <c:tx>
            <c:strRef>
              <c:f>'For stats end Y Score'!$A$89</c:f>
              <c:strCache>
                <c:ptCount val="1"/>
                <c:pt idx="0">
                  <c:v>ScoNix</c:v>
                </c:pt>
              </c:strCache>
            </c:strRef>
          </c:tx>
          <c:spPr>
            <a:ln w="28575" cap="rnd">
              <a:solidFill>
                <a:schemeClr val="accent4">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Score'!$B$89:$AN$89</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9</c:v>
                </c:pt>
                <c:pt idx="24">
                  <c:v>22</c:v>
                </c:pt>
                <c:pt idx="25">
                  <c:v>26</c:v>
                </c:pt>
                <c:pt idx="26">
                  <c:v>26</c:v>
                </c:pt>
                <c:pt idx="27">
                  <c:v>27</c:v>
                </c:pt>
                <c:pt idx="28">
                  <c:v>28</c:v>
                </c:pt>
                <c:pt idx="29">
                  <c:v>44</c:v>
                </c:pt>
                <c:pt idx="30">
                  <c:v>60</c:v>
                </c:pt>
                <c:pt idx="31">
                  <c:v>67</c:v>
                </c:pt>
                <c:pt idx="32">
                  <c:v>75</c:v>
                </c:pt>
              </c:numCache>
            </c:numRef>
          </c:val>
          <c:smooth val="0"/>
          <c:extLst>
            <c:ext xmlns:c16="http://schemas.microsoft.com/office/drawing/2014/chart" uri="{C3380CC4-5D6E-409C-BE32-E72D297353CC}">
              <c16:uniqueId val="{00000057-AA7F-FD49-9C25-4EDB35C90EC6}"/>
            </c:ext>
          </c:extLst>
        </c:ser>
        <c:ser>
          <c:idx val="88"/>
          <c:order val="88"/>
          <c:tx>
            <c:strRef>
              <c:f>'For stats end Y Score'!$A$90</c:f>
              <c:strCache>
                <c:ptCount val="1"/>
                <c:pt idx="0">
                  <c:v>Snake1702</c:v>
                </c:pt>
              </c:strCache>
            </c:strRef>
          </c:tx>
          <c:spPr>
            <a:ln w="28575" cap="rnd">
              <a:solidFill>
                <a:schemeClr val="accent5">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Score'!$B$90:$AN$90</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c:v>
                </c:pt>
                <c:pt idx="24">
                  <c:v>9</c:v>
                </c:pt>
                <c:pt idx="25">
                  <c:v>9</c:v>
                </c:pt>
                <c:pt idx="26">
                  <c:v>21</c:v>
                </c:pt>
                <c:pt idx="27">
                  <c:v>33</c:v>
                </c:pt>
                <c:pt idx="28">
                  <c:v>35</c:v>
                </c:pt>
                <c:pt idx="29">
                  <c:v>47</c:v>
                </c:pt>
                <c:pt idx="30">
                  <c:v>52</c:v>
                </c:pt>
                <c:pt idx="31">
                  <c:v>64</c:v>
                </c:pt>
                <c:pt idx="32">
                  <c:v>68</c:v>
                </c:pt>
              </c:numCache>
            </c:numRef>
          </c:val>
          <c:smooth val="0"/>
          <c:extLst>
            <c:ext xmlns:c16="http://schemas.microsoft.com/office/drawing/2014/chart" uri="{C3380CC4-5D6E-409C-BE32-E72D297353CC}">
              <c16:uniqueId val="{00000058-AA7F-FD49-9C25-4EDB35C90EC6}"/>
            </c:ext>
          </c:extLst>
        </c:ser>
        <c:ser>
          <c:idx val="89"/>
          <c:order val="89"/>
          <c:tx>
            <c:strRef>
              <c:f>'For stats end Y Score'!$A$91</c:f>
              <c:strCache>
                <c:ptCount val="1"/>
                <c:pt idx="0">
                  <c:v>Sobab</c:v>
                </c:pt>
              </c:strCache>
            </c:strRef>
          </c:tx>
          <c:spPr>
            <a:ln w="28575" cap="rnd">
              <a:solidFill>
                <a:schemeClr val="accent6">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Score'!$B$91:$AN$91</c:f>
              <c:numCache>
                <c:formatCode>General</c:formatCode>
                <c:ptCount val="39"/>
                <c:pt idx="0">
                  <c:v>12</c:v>
                </c:pt>
                <c:pt idx="1">
                  <c:v>12</c:v>
                </c:pt>
                <c:pt idx="2">
                  <c:v>28</c:v>
                </c:pt>
                <c:pt idx="3">
                  <c:v>29</c:v>
                </c:pt>
                <c:pt idx="4">
                  <c:v>29</c:v>
                </c:pt>
                <c:pt idx="5">
                  <c:v>29</c:v>
                </c:pt>
                <c:pt idx="6">
                  <c:v>41</c:v>
                </c:pt>
                <c:pt idx="7">
                  <c:v>44</c:v>
                </c:pt>
                <c:pt idx="8">
                  <c:v>49</c:v>
                </c:pt>
                <c:pt idx="9">
                  <c:v>64</c:v>
                </c:pt>
                <c:pt idx="10">
                  <c:v>65</c:v>
                </c:pt>
                <c:pt idx="11">
                  <c:v>65</c:v>
                </c:pt>
                <c:pt idx="12">
                  <c:v>65</c:v>
                </c:pt>
                <c:pt idx="13">
                  <c:v>65</c:v>
                </c:pt>
                <c:pt idx="14">
                  <c:v>65</c:v>
                </c:pt>
                <c:pt idx="15">
                  <c:v>82</c:v>
                </c:pt>
                <c:pt idx="16">
                  <c:v>82</c:v>
                </c:pt>
                <c:pt idx="17">
                  <c:v>87</c:v>
                </c:pt>
                <c:pt idx="18">
                  <c:v>87</c:v>
                </c:pt>
                <c:pt idx="19">
                  <c:v>103</c:v>
                </c:pt>
                <c:pt idx="20">
                  <c:v>120</c:v>
                </c:pt>
                <c:pt idx="21">
                  <c:v>133</c:v>
                </c:pt>
                <c:pt idx="22">
                  <c:v>133</c:v>
                </c:pt>
                <c:pt idx="23">
                  <c:v>142</c:v>
                </c:pt>
                <c:pt idx="24">
                  <c:v>142</c:v>
                </c:pt>
                <c:pt idx="25">
                  <c:v>142</c:v>
                </c:pt>
                <c:pt idx="26">
                  <c:v>142</c:v>
                </c:pt>
                <c:pt idx="27">
                  <c:v>150</c:v>
                </c:pt>
                <c:pt idx="28">
                  <c:v>152</c:v>
                </c:pt>
                <c:pt idx="29">
                  <c:v>154</c:v>
                </c:pt>
                <c:pt idx="30">
                  <c:v>154</c:v>
                </c:pt>
                <c:pt idx="31">
                  <c:v>170</c:v>
                </c:pt>
                <c:pt idx="32">
                  <c:v>170</c:v>
                </c:pt>
              </c:numCache>
            </c:numRef>
          </c:val>
          <c:smooth val="0"/>
          <c:extLst>
            <c:ext xmlns:c16="http://schemas.microsoft.com/office/drawing/2014/chart" uri="{C3380CC4-5D6E-409C-BE32-E72D297353CC}">
              <c16:uniqueId val="{00000059-AA7F-FD49-9C25-4EDB35C90EC6}"/>
            </c:ext>
          </c:extLst>
        </c:ser>
        <c:ser>
          <c:idx val="90"/>
          <c:order val="90"/>
          <c:tx>
            <c:strRef>
              <c:f>'For stats end Y Score'!$A$92</c:f>
              <c:strCache>
                <c:ptCount val="1"/>
                <c:pt idx="0">
                  <c:v>Solex</c:v>
                </c:pt>
              </c:strCache>
            </c:strRef>
          </c:tx>
          <c:spPr>
            <a:ln w="28575" cap="rnd">
              <a:solidFill>
                <a:schemeClr val="accent1">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Score'!$B$92:$AN$92</c:f>
              <c:numCache>
                <c:formatCode>General</c:formatCode>
                <c:ptCount val="39"/>
                <c:pt idx="0">
                  <c:v>17</c:v>
                </c:pt>
                <c:pt idx="1">
                  <c:v>22</c:v>
                </c:pt>
                <c:pt idx="2">
                  <c:v>23</c:v>
                </c:pt>
                <c:pt idx="3">
                  <c:v>23</c:v>
                </c:pt>
                <c:pt idx="4">
                  <c:v>27</c:v>
                </c:pt>
                <c:pt idx="5">
                  <c:v>27</c:v>
                </c:pt>
                <c:pt idx="6">
                  <c:v>27</c:v>
                </c:pt>
                <c:pt idx="7">
                  <c:v>35</c:v>
                </c:pt>
                <c:pt idx="8">
                  <c:v>35</c:v>
                </c:pt>
                <c:pt idx="9">
                  <c:v>35</c:v>
                </c:pt>
                <c:pt idx="10">
                  <c:v>35</c:v>
                </c:pt>
                <c:pt idx="11">
                  <c:v>35</c:v>
                </c:pt>
                <c:pt idx="12">
                  <c:v>35</c:v>
                </c:pt>
                <c:pt idx="13">
                  <c:v>35</c:v>
                </c:pt>
                <c:pt idx="14">
                  <c:v>35</c:v>
                </c:pt>
                <c:pt idx="15">
                  <c:v>35</c:v>
                </c:pt>
                <c:pt idx="16">
                  <c:v>35</c:v>
                </c:pt>
                <c:pt idx="17">
                  <c:v>35</c:v>
                </c:pt>
                <c:pt idx="18">
                  <c:v>35</c:v>
                </c:pt>
                <c:pt idx="19">
                  <c:v>35</c:v>
                </c:pt>
                <c:pt idx="20">
                  <c:v>35</c:v>
                </c:pt>
                <c:pt idx="21">
                  <c:v>35</c:v>
                </c:pt>
                <c:pt idx="22">
                  <c:v>35</c:v>
                </c:pt>
                <c:pt idx="23">
                  <c:v>35</c:v>
                </c:pt>
                <c:pt idx="24">
                  <c:v>35</c:v>
                </c:pt>
                <c:pt idx="25">
                  <c:v>35</c:v>
                </c:pt>
                <c:pt idx="26">
                  <c:v>35</c:v>
                </c:pt>
                <c:pt idx="27">
                  <c:v>35</c:v>
                </c:pt>
                <c:pt idx="28">
                  <c:v>35</c:v>
                </c:pt>
                <c:pt idx="29">
                  <c:v>35</c:v>
                </c:pt>
                <c:pt idx="30">
                  <c:v>35</c:v>
                </c:pt>
                <c:pt idx="31">
                  <c:v>35</c:v>
                </c:pt>
                <c:pt idx="32">
                  <c:v>35</c:v>
                </c:pt>
              </c:numCache>
            </c:numRef>
          </c:val>
          <c:smooth val="0"/>
          <c:extLst>
            <c:ext xmlns:c16="http://schemas.microsoft.com/office/drawing/2014/chart" uri="{C3380CC4-5D6E-409C-BE32-E72D297353CC}">
              <c16:uniqueId val="{0000005A-AA7F-FD49-9C25-4EDB35C90EC6}"/>
            </c:ext>
          </c:extLst>
        </c:ser>
        <c:ser>
          <c:idx val="91"/>
          <c:order val="91"/>
          <c:tx>
            <c:strRef>
              <c:f>'For stats end Y Score'!$A$93</c:f>
              <c:strCache>
                <c:ptCount val="1"/>
                <c:pt idx="0">
                  <c:v>Solucky</c:v>
                </c:pt>
              </c:strCache>
            </c:strRef>
          </c:tx>
          <c:spPr>
            <a:ln w="28575" cap="rnd">
              <a:solidFill>
                <a:schemeClr val="accent2">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Score'!$B$93:$AN$93</c:f>
              <c:numCache>
                <c:formatCode>General</c:formatCode>
                <c:ptCount val="39"/>
                <c:pt idx="0">
                  <c:v>0</c:v>
                </c:pt>
                <c:pt idx="1">
                  <c:v>0</c:v>
                </c:pt>
                <c:pt idx="2">
                  <c:v>0</c:v>
                </c:pt>
                <c:pt idx="3">
                  <c:v>0</c:v>
                </c:pt>
                <c:pt idx="4">
                  <c:v>0</c:v>
                </c:pt>
                <c:pt idx="5">
                  <c:v>0</c:v>
                </c:pt>
                <c:pt idx="6">
                  <c:v>12</c:v>
                </c:pt>
                <c:pt idx="7">
                  <c:v>13</c:v>
                </c:pt>
                <c:pt idx="8">
                  <c:v>21</c:v>
                </c:pt>
                <c:pt idx="9">
                  <c:v>37</c:v>
                </c:pt>
                <c:pt idx="10">
                  <c:v>45</c:v>
                </c:pt>
                <c:pt idx="11">
                  <c:v>46</c:v>
                </c:pt>
                <c:pt idx="12">
                  <c:v>58</c:v>
                </c:pt>
                <c:pt idx="13">
                  <c:v>62</c:v>
                </c:pt>
                <c:pt idx="14">
                  <c:v>63</c:v>
                </c:pt>
                <c:pt idx="15">
                  <c:v>64</c:v>
                </c:pt>
                <c:pt idx="16">
                  <c:v>73</c:v>
                </c:pt>
                <c:pt idx="17">
                  <c:v>75</c:v>
                </c:pt>
                <c:pt idx="18">
                  <c:v>77</c:v>
                </c:pt>
                <c:pt idx="19">
                  <c:v>88</c:v>
                </c:pt>
                <c:pt idx="20">
                  <c:v>96</c:v>
                </c:pt>
                <c:pt idx="21">
                  <c:v>97</c:v>
                </c:pt>
                <c:pt idx="22">
                  <c:v>114</c:v>
                </c:pt>
                <c:pt idx="23">
                  <c:v>119</c:v>
                </c:pt>
                <c:pt idx="24">
                  <c:v>121</c:v>
                </c:pt>
                <c:pt idx="25">
                  <c:v>137</c:v>
                </c:pt>
                <c:pt idx="26">
                  <c:v>138</c:v>
                </c:pt>
                <c:pt idx="27">
                  <c:v>154</c:v>
                </c:pt>
                <c:pt idx="28">
                  <c:v>155</c:v>
                </c:pt>
                <c:pt idx="29">
                  <c:v>156</c:v>
                </c:pt>
                <c:pt idx="30">
                  <c:v>157</c:v>
                </c:pt>
                <c:pt idx="31">
                  <c:v>157</c:v>
                </c:pt>
                <c:pt idx="32">
                  <c:v>157</c:v>
                </c:pt>
              </c:numCache>
            </c:numRef>
          </c:val>
          <c:smooth val="0"/>
          <c:extLst>
            <c:ext xmlns:c16="http://schemas.microsoft.com/office/drawing/2014/chart" uri="{C3380CC4-5D6E-409C-BE32-E72D297353CC}">
              <c16:uniqueId val="{0000005B-AA7F-FD49-9C25-4EDB35C90EC6}"/>
            </c:ext>
          </c:extLst>
        </c:ser>
        <c:ser>
          <c:idx val="92"/>
          <c:order val="92"/>
          <c:tx>
            <c:strRef>
              <c:f>'For stats end Y Score'!$A$94</c:f>
              <c:strCache>
                <c:ptCount val="1"/>
                <c:pt idx="0">
                  <c:v>Soupaman</c:v>
                </c:pt>
              </c:strCache>
            </c:strRef>
          </c:tx>
          <c:spPr>
            <a:ln w="28575" cap="rnd">
              <a:solidFill>
                <a:schemeClr val="accent3">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Score'!$B$94:$AN$94</c:f>
              <c:numCache>
                <c:formatCode>General</c:formatCode>
                <c:ptCount val="39"/>
                <c:pt idx="0">
                  <c:v>8</c:v>
                </c:pt>
                <c:pt idx="1">
                  <c:v>8</c:v>
                </c:pt>
                <c:pt idx="2">
                  <c:v>8</c:v>
                </c:pt>
                <c:pt idx="3">
                  <c:v>17</c:v>
                </c:pt>
                <c:pt idx="4">
                  <c:v>18</c:v>
                </c:pt>
                <c:pt idx="5">
                  <c:v>18</c:v>
                </c:pt>
                <c:pt idx="6">
                  <c:v>26</c:v>
                </c:pt>
                <c:pt idx="7">
                  <c:v>39</c:v>
                </c:pt>
                <c:pt idx="8">
                  <c:v>51</c:v>
                </c:pt>
                <c:pt idx="9">
                  <c:v>59</c:v>
                </c:pt>
                <c:pt idx="10">
                  <c:v>71</c:v>
                </c:pt>
                <c:pt idx="11">
                  <c:v>71</c:v>
                </c:pt>
                <c:pt idx="12">
                  <c:v>71</c:v>
                </c:pt>
                <c:pt idx="13">
                  <c:v>72</c:v>
                </c:pt>
                <c:pt idx="14">
                  <c:v>77</c:v>
                </c:pt>
                <c:pt idx="15">
                  <c:v>80</c:v>
                </c:pt>
                <c:pt idx="16">
                  <c:v>85</c:v>
                </c:pt>
                <c:pt idx="17">
                  <c:v>85</c:v>
                </c:pt>
                <c:pt idx="18">
                  <c:v>85</c:v>
                </c:pt>
                <c:pt idx="19">
                  <c:v>93</c:v>
                </c:pt>
                <c:pt idx="20">
                  <c:v>93</c:v>
                </c:pt>
                <c:pt idx="21">
                  <c:v>94</c:v>
                </c:pt>
                <c:pt idx="22">
                  <c:v>94</c:v>
                </c:pt>
                <c:pt idx="23">
                  <c:v>99</c:v>
                </c:pt>
                <c:pt idx="24">
                  <c:v>116</c:v>
                </c:pt>
                <c:pt idx="25">
                  <c:v>120</c:v>
                </c:pt>
                <c:pt idx="26">
                  <c:v>121</c:v>
                </c:pt>
                <c:pt idx="27">
                  <c:v>123</c:v>
                </c:pt>
                <c:pt idx="28">
                  <c:v>139</c:v>
                </c:pt>
                <c:pt idx="29">
                  <c:v>139</c:v>
                </c:pt>
                <c:pt idx="30">
                  <c:v>139</c:v>
                </c:pt>
                <c:pt idx="31">
                  <c:v>139</c:v>
                </c:pt>
                <c:pt idx="32">
                  <c:v>139</c:v>
                </c:pt>
              </c:numCache>
            </c:numRef>
          </c:val>
          <c:smooth val="0"/>
          <c:extLst>
            <c:ext xmlns:c16="http://schemas.microsoft.com/office/drawing/2014/chart" uri="{C3380CC4-5D6E-409C-BE32-E72D297353CC}">
              <c16:uniqueId val="{0000005C-AA7F-FD49-9C25-4EDB35C90EC6}"/>
            </c:ext>
          </c:extLst>
        </c:ser>
        <c:ser>
          <c:idx val="93"/>
          <c:order val="93"/>
          <c:tx>
            <c:strRef>
              <c:f>'For stats end Y Score'!$A$95</c:f>
              <c:strCache>
                <c:ptCount val="1"/>
                <c:pt idx="0">
                  <c:v>Tenko</c:v>
                </c:pt>
              </c:strCache>
            </c:strRef>
          </c:tx>
          <c:spPr>
            <a:ln w="28575" cap="rnd">
              <a:solidFill>
                <a:schemeClr val="accent4">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Score'!$B$95:$AN$95</c:f>
              <c:numCache>
                <c:formatCode>General</c:formatCode>
                <c:ptCount val="39"/>
                <c:pt idx="0">
                  <c:v>2</c:v>
                </c:pt>
                <c:pt idx="1">
                  <c:v>14</c:v>
                </c:pt>
                <c:pt idx="2">
                  <c:v>26</c:v>
                </c:pt>
                <c:pt idx="3">
                  <c:v>31</c:v>
                </c:pt>
                <c:pt idx="4">
                  <c:v>44</c:v>
                </c:pt>
                <c:pt idx="5">
                  <c:v>53</c:v>
                </c:pt>
                <c:pt idx="6">
                  <c:v>53</c:v>
                </c:pt>
                <c:pt idx="7">
                  <c:v>53</c:v>
                </c:pt>
                <c:pt idx="8">
                  <c:v>54</c:v>
                </c:pt>
                <c:pt idx="9">
                  <c:v>56</c:v>
                </c:pt>
                <c:pt idx="10">
                  <c:v>63</c:v>
                </c:pt>
                <c:pt idx="11">
                  <c:v>79</c:v>
                </c:pt>
                <c:pt idx="12">
                  <c:v>81</c:v>
                </c:pt>
                <c:pt idx="13">
                  <c:v>81</c:v>
                </c:pt>
                <c:pt idx="14">
                  <c:v>93</c:v>
                </c:pt>
                <c:pt idx="15">
                  <c:v>94</c:v>
                </c:pt>
                <c:pt idx="16">
                  <c:v>96</c:v>
                </c:pt>
                <c:pt idx="17">
                  <c:v>97</c:v>
                </c:pt>
                <c:pt idx="18">
                  <c:v>105</c:v>
                </c:pt>
                <c:pt idx="19">
                  <c:v>109</c:v>
                </c:pt>
                <c:pt idx="20">
                  <c:v>111</c:v>
                </c:pt>
                <c:pt idx="21">
                  <c:v>111</c:v>
                </c:pt>
                <c:pt idx="22">
                  <c:v>114</c:v>
                </c:pt>
                <c:pt idx="23">
                  <c:v>117</c:v>
                </c:pt>
                <c:pt idx="24">
                  <c:v>125</c:v>
                </c:pt>
                <c:pt idx="25">
                  <c:v>125</c:v>
                </c:pt>
                <c:pt idx="26">
                  <c:v>126</c:v>
                </c:pt>
                <c:pt idx="27">
                  <c:v>142</c:v>
                </c:pt>
                <c:pt idx="28">
                  <c:v>146</c:v>
                </c:pt>
                <c:pt idx="29">
                  <c:v>162</c:v>
                </c:pt>
                <c:pt idx="30">
                  <c:v>162</c:v>
                </c:pt>
                <c:pt idx="31">
                  <c:v>177</c:v>
                </c:pt>
                <c:pt idx="32">
                  <c:v>192</c:v>
                </c:pt>
              </c:numCache>
            </c:numRef>
          </c:val>
          <c:smooth val="0"/>
          <c:extLst>
            <c:ext xmlns:c16="http://schemas.microsoft.com/office/drawing/2014/chart" uri="{C3380CC4-5D6E-409C-BE32-E72D297353CC}">
              <c16:uniqueId val="{0000005D-AA7F-FD49-9C25-4EDB35C90EC6}"/>
            </c:ext>
          </c:extLst>
        </c:ser>
        <c:ser>
          <c:idx val="94"/>
          <c:order val="94"/>
          <c:tx>
            <c:strRef>
              <c:f>'For stats end Y Score'!$A$96</c:f>
              <c:strCache>
                <c:ptCount val="1"/>
                <c:pt idx="0">
                  <c:v>The Hengover</c:v>
                </c:pt>
              </c:strCache>
            </c:strRef>
          </c:tx>
          <c:spPr>
            <a:ln w="28575" cap="rnd">
              <a:solidFill>
                <a:schemeClr val="accent5">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Score'!$B$96:$AN$96</c:f>
              <c:numCache>
                <c:formatCode>General</c:formatCode>
                <c:ptCount val="39"/>
                <c:pt idx="0">
                  <c:v>0</c:v>
                </c:pt>
                <c:pt idx="1">
                  <c:v>0</c:v>
                </c:pt>
                <c:pt idx="2">
                  <c:v>4</c:v>
                </c:pt>
                <c:pt idx="3">
                  <c:v>13</c:v>
                </c:pt>
                <c:pt idx="4">
                  <c:v>26</c:v>
                </c:pt>
                <c:pt idx="5">
                  <c:v>39</c:v>
                </c:pt>
                <c:pt idx="6">
                  <c:v>56</c:v>
                </c:pt>
                <c:pt idx="7">
                  <c:v>65</c:v>
                </c:pt>
                <c:pt idx="8">
                  <c:v>78</c:v>
                </c:pt>
                <c:pt idx="9">
                  <c:v>94</c:v>
                </c:pt>
                <c:pt idx="10">
                  <c:v>96</c:v>
                </c:pt>
                <c:pt idx="11">
                  <c:v>97</c:v>
                </c:pt>
                <c:pt idx="12">
                  <c:v>97</c:v>
                </c:pt>
                <c:pt idx="13">
                  <c:v>114</c:v>
                </c:pt>
                <c:pt idx="14">
                  <c:v>117</c:v>
                </c:pt>
                <c:pt idx="15">
                  <c:v>117</c:v>
                </c:pt>
                <c:pt idx="16">
                  <c:v>117</c:v>
                </c:pt>
                <c:pt idx="17">
                  <c:v>117</c:v>
                </c:pt>
                <c:pt idx="18">
                  <c:v>133</c:v>
                </c:pt>
                <c:pt idx="19">
                  <c:v>133</c:v>
                </c:pt>
                <c:pt idx="20">
                  <c:v>133</c:v>
                </c:pt>
                <c:pt idx="21">
                  <c:v>133</c:v>
                </c:pt>
                <c:pt idx="22">
                  <c:v>133</c:v>
                </c:pt>
                <c:pt idx="23">
                  <c:v>133</c:v>
                </c:pt>
                <c:pt idx="24">
                  <c:v>133</c:v>
                </c:pt>
                <c:pt idx="25">
                  <c:v>133</c:v>
                </c:pt>
                <c:pt idx="26">
                  <c:v>133</c:v>
                </c:pt>
                <c:pt idx="27">
                  <c:v>137</c:v>
                </c:pt>
                <c:pt idx="28">
                  <c:v>149</c:v>
                </c:pt>
                <c:pt idx="29">
                  <c:v>157</c:v>
                </c:pt>
                <c:pt idx="30">
                  <c:v>157</c:v>
                </c:pt>
                <c:pt idx="31">
                  <c:v>173</c:v>
                </c:pt>
                <c:pt idx="32">
                  <c:v>173</c:v>
                </c:pt>
              </c:numCache>
            </c:numRef>
          </c:val>
          <c:smooth val="0"/>
          <c:extLst>
            <c:ext xmlns:c16="http://schemas.microsoft.com/office/drawing/2014/chart" uri="{C3380CC4-5D6E-409C-BE32-E72D297353CC}">
              <c16:uniqueId val="{0000005E-AA7F-FD49-9C25-4EDB35C90EC6}"/>
            </c:ext>
          </c:extLst>
        </c:ser>
        <c:ser>
          <c:idx val="95"/>
          <c:order val="95"/>
          <c:tx>
            <c:strRef>
              <c:f>'For stats end Y Score'!$A$97</c:f>
              <c:strCache>
                <c:ptCount val="1"/>
                <c:pt idx="0">
                  <c:v>TheRealWill</c:v>
                </c:pt>
              </c:strCache>
            </c:strRef>
          </c:tx>
          <c:spPr>
            <a:ln w="28575" cap="rnd">
              <a:solidFill>
                <a:schemeClr val="accent6">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Score'!$B$97:$AN$97</c:f>
              <c:numCache>
                <c:formatCode>General</c:formatCode>
                <c:ptCount val="39"/>
                <c:pt idx="0">
                  <c:v>0</c:v>
                </c:pt>
                <c:pt idx="1">
                  <c:v>0</c:v>
                </c:pt>
                <c:pt idx="2">
                  <c:v>4</c:v>
                </c:pt>
                <c:pt idx="3">
                  <c:v>5</c:v>
                </c:pt>
                <c:pt idx="4">
                  <c:v>5</c:v>
                </c:pt>
                <c:pt idx="5">
                  <c:v>22</c:v>
                </c:pt>
                <c:pt idx="6">
                  <c:v>38</c:v>
                </c:pt>
                <c:pt idx="7">
                  <c:v>40</c:v>
                </c:pt>
                <c:pt idx="8">
                  <c:v>42</c:v>
                </c:pt>
                <c:pt idx="9">
                  <c:v>57</c:v>
                </c:pt>
                <c:pt idx="10">
                  <c:v>69</c:v>
                </c:pt>
                <c:pt idx="11">
                  <c:v>82</c:v>
                </c:pt>
                <c:pt idx="12">
                  <c:v>98</c:v>
                </c:pt>
                <c:pt idx="13">
                  <c:v>99</c:v>
                </c:pt>
                <c:pt idx="14">
                  <c:v>99</c:v>
                </c:pt>
                <c:pt idx="15">
                  <c:v>99</c:v>
                </c:pt>
                <c:pt idx="16">
                  <c:v>101</c:v>
                </c:pt>
                <c:pt idx="17">
                  <c:v>104</c:v>
                </c:pt>
                <c:pt idx="18">
                  <c:v>104</c:v>
                </c:pt>
                <c:pt idx="19">
                  <c:v>105</c:v>
                </c:pt>
                <c:pt idx="20">
                  <c:v>107</c:v>
                </c:pt>
                <c:pt idx="21">
                  <c:v>123</c:v>
                </c:pt>
                <c:pt idx="22">
                  <c:v>136</c:v>
                </c:pt>
                <c:pt idx="23">
                  <c:v>141</c:v>
                </c:pt>
                <c:pt idx="24">
                  <c:v>158</c:v>
                </c:pt>
                <c:pt idx="25">
                  <c:v>162</c:v>
                </c:pt>
                <c:pt idx="26">
                  <c:v>165</c:v>
                </c:pt>
                <c:pt idx="27">
                  <c:v>168</c:v>
                </c:pt>
                <c:pt idx="28">
                  <c:v>176</c:v>
                </c:pt>
                <c:pt idx="29">
                  <c:v>178</c:v>
                </c:pt>
                <c:pt idx="30">
                  <c:v>178</c:v>
                </c:pt>
                <c:pt idx="31">
                  <c:v>181</c:v>
                </c:pt>
                <c:pt idx="32">
                  <c:v>196</c:v>
                </c:pt>
              </c:numCache>
            </c:numRef>
          </c:val>
          <c:smooth val="0"/>
          <c:extLst>
            <c:ext xmlns:c16="http://schemas.microsoft.com/office/drawing/2014/chart" uri="{C3380CC4-5D6E-409C-BE32-E72D297353CC}">
              <c16:uniqueId val="{0000005F-AA7F-FD49-9C25-4EDB35C90EC6}"/>
            </c:ext>
          </c:extLst>
        </c:ser>
        <c:ser>
          <c:idx val="96"/>
          <c:order val="96"/>
          <c:tx>
            <c:strRef>
              <c:f>'For stats end Y Score'!$A$98</c:f>
              <c:strCache>
                <c:ptCount val="1"/>
                <c:pt idx="0">
                  <c:v>Thibaultp75</c:v>
                </c:pt>
              </c:strCache>
            </c:strRef>
          </c:tx>
          <c:spPr>
            <a:ln w="28575" cap="rnd">
              <a:solidFill>
                <a:schemeClr val="accent1">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Score'!$B$98:$AN$98</c:f>
              <c:numCache>
                <c:formatCode>General</c:formatCode>
                <c:ptCount val="39"/>
                <c:pt idx="0">
                  <c:v>2</c:v>
                </c:pt>
                <c:pt idx="1">
                  <c:v>19</c:v>
                </c:pt>
                <c:pt idx="2">
                  <c:v>20</c:v>
                </c:pt>
                <c:pt idx="3">
                  <c:v>21</c:v>
                </c:pt>
                <c:pt idx="4">
                  <c:v>22</c:v>
                </c:pt>
                <c:pt idx="5">
                  <c:v>31</c:v>
                </c:pt>
                <c:pt idx="6">
                  <c:v>31</c:v>
                </c:pt>
                <c:pt idx="7">
                  <c:v>43</c:v>
                </c:pt>
                <c:pt idx="8">
                  <c:v>44</c:v>
                </c:pt>
                <c:pt idx="9">
                  <c:v>45</c:v>
                </c:pt>
                <c:pt idx="10">
                  <c:v>46</c:v>
                </c:pt>
                <c:pt idx="11">
                  <c:v>48</c:v>
                </c:pt>
                <c:pt idx="12">
                  <c:v>60</c:v>
                </c:pt>
                <c:pt idx="13">
                  <c:v>76</c:v>
                </c:pt>
                <c:pt idx="14">
                  <c:v>78</c:v>
                </c:pt>
                <c:pt idx="15">
                  <c:v>78</c:v>
                </c:pt>
                <c:pt idx="16">
                  <c:v>82</c:v>
                </c:pt>
                <c:pt idx="17">
                  <c:v>82</c:v>
                </c:pt>
                <c:pt idx="18">
                  <c:v>90</c:v>
                </c:pt>
                <c:pt idx="19">
                  <c:v>106</c:v>
                </c:pt>
                <c:pt idx="20">
                  <c:v>107</c:v>
                </c:pt>
                <c:pt idx="21">
                  <c:v>107</c:v>
                </c:pt>
                <c:pt idx="22">
                  <c:v>108</c:v>
                </c:pt>
                <c:pt idx="23">
                  <c:v>121</c:v>
                </c:pt>
                <c:pt idx="24">
                  <c:v>122</c:v>
                </c:pt>
                <c:pt idx="25">
                  <c:v>130</c:v>
                </c:pt>
                <c:pt idx="26">
                  <c:v>130</c:v>
                </c:pt>
                <c:pt idx="27">
                  <c:v>132</c:v>
                </c:pt>
                <c:pt idx="28">
                  <c:v>132</c:v>
                </c:pt>
                <c:pt idx="29">
                  <c:v>133</c:v>
                </c:pt>
                <c:pt idx="30">
                  <c:v>144</c:v>
                </c:pt>
                <c:pt idx="31">
                  <c:v>144</c:v>
                </c:pt>
                <c:pt idx="32">
                  <c:v>145</c:v>
                </c:pt>
              </c:numCache>
            </c:numRef>
          </c:val>
          <c:smooth val="0"/>
          <c:extLst>
            <c:ext xmlns:c16="http://schemas.microsoft.com/office/drawing/2014/chart" uri="{C3380CC4-5D6E-409C-BE32-E72D297353CC}">
              <c16:uniqueId val="{00000060-AA7F-FD49-9C25-4EDB35C90EC6}"/>
            </c:ext>
          </c:extLst>
        </c:ser>
        <c:ser>
          <c:idx val="97"/>
          <c:order val="97"/>
          <c:tx>
            <c:strRef>
              <c:f>'For stats end Y Score'!$A$99</c:f>
              <c:strCache>
                <c:ptCount val="1"/>
                <c:pt idx="0">
                  <c:v>Toinou</c:v>
                </c:pt>
              </c:strCache>
            </c:strRef>
          </c:tx>
          <c:spPr>
            <a:ln w="28575" cap="rnd">
              <a:solidFill>
                <a:schemeClr val="accent2">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Score'!$B$99:$AN$99</c:f>
              <c:numCache>
                <c:formatCode>General</c:formatCode>
                <c:ptCount val="39"/>
                <c:pt idx="0">
                  <c:v>0</c:v>
                </c:pt>
                <c:pt idx="1">
                  <c:v>0</c:v>
                </c:pt>
                <c:pt idx="2">
                  <c:v>2</c:v>
                </c:pt>
                <c:pt idx="3">
                  <c:v>15</c:v>
                </c:pt>
                <c:pt idx="4">
                  <c:v>15</c:v>
                </c:pt>
                <c:pt idx="5">
                  <c:v>23</c:v>
                </c:pt>
                <c:pt idx="6">
                  <c:v>23</c:v>
                </c:pt>
                <c:pt idx="7">
                  <c:v>23</c:v>
                </c:pt>
                <c:pt idx="8">
                  <c:v>35</c:v>
                </c:pt>
                <c:pt idx="9">
                  <c:v>35</c:v>
                </c:pt>
                <c:pt idx="10">
                  <c:v>36</c:v>
                </c:pt>
                <c:pt idx="11">
                  <c:v>36</c:v>
                </c:pt>
                <c:pt idx="12">
                  <c:v>52</c:v>
                </c:pt>
                <c:pt idx="13">
                  <c:v>52</c:v>
                </c:pt>
                <c:pt idx="14">
                  <c:v>52</c:v>
                </c:pt>
                <c:pt idx="15">
                  <c:v>52</c:v>
                </c:pt>
                <c:pt idx="16">
                  <c:v>52</c:v>
                </c:pt>
                <c:pt idx="17">
                  <c:v>61</c:v>
                </c:pt>
                <c:pt idx="18">
                  <c:v>61</c:v>
                </c:pt>
                <c:pt idx="19">
                  <c:v>61</c:v>
                </c:pt>
                <c:pt idx="20">
                  <c:v>61</c:v>
                </c:pt>
                <c:pt idx="21">
                  <c:v>64</c:v>
                </c:pt>
                <c:pt idx="22">
                  <c:v>64</c:v>
                </c:pt>
                <c:pt idx="23">
                  <c:v>64</c:v>
                </c:pt>
                <c:pt idx="24">
                  <c:v>64</c:v>
                </c:pt>
                <c:pt idx="25">
                  <c:v>64</c:v>
                </c:pt>
                <c:pt idx="26">
                  <c:v>64</c:v>
                </c:pt>
                <c:pt idx="27">
                  <c:v>64</c:v>
                </c:pt>
                <c:pt idx="28">
                  <c:v>64</c:v>
                </c:pt>
                <c:pt idx="29">
                  <c:v>64</c:v>
                </c:pt>
                <c:pt idx="30">
                  <c:v>64</c:v>
                </c:pt>
                <c:pt idx="31">
                  <c:v>64</c:v>
                </c:pt>
                <c:pt idx="32">
                  <c:v>64</c:v>
                </c:pt>
              </c:numCache>
            </c:numRef>
          </c:val>
          <c:smooth val="0"/>
          <c:extLst>
            <c:ext xmlns:c16="http://schemas.microsoft.com/office/drawing/2014/chart" uri="{C3380CC4-5D6E-409C-BE32-E72D297353CC}">
              <c16:uniqueId val="{00000061-AA7F-FD49-9C25-4EDB35C90EC6}"/>
            </c:ext>
          </c:extLst>
        </c:ser>
        <c:ser>
          <c:idx val="98"/>
          <c:order val="98"/>
          <c:tx>
            <c:strRef>
              <c:f>'For stats end Y Score'!$A$100</c:f>
              <c:strCache>
                <c:ptCount val="1"/>
                <c:pt idx="0">
                  <c:v>Tridama</c:v>
                </c:pt>
              </c:strCache>
            </c:strRef>
          </c:tx>
          <c:spPr>
            <a:ln w="28575" cap="rnd">
              <a:solidFill>
                <a:schemeClr val="accent3">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Score'!$B$100:$AN$100</c:f>
              <c:numCache>
                <c:formatCode>General</c:formatCode>
                <c:ptCount val="3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numCache>
            </c:numRef>
          </c:val>
          <c:smooth val="0"/>
          <c:extLst>
            <c:ext xmlns:c16="http://schemas.microsoft.com/office/drawing/2014/chart" uri="{C3380CC4-5D6E-409C-BE32-E72D297353CC}">
              <c16:uniqueId val="{00000062-AA7F-FD49-9C25-4EDB35C90EC6}"/>
            </c:ext>
          </c:extLst>
        </c:ser>
        <c:ser>
          <c:idx val="99"/>
          <c:order val="99"/>
          <c:tx>
            <c:strRef>
              <c:f>'For stats end Y Score'!$A$101</c:f>
              <c:strCache>
                <c:ptCount val="1"/>
                <c:pt idx="0">
                  <c:v>Xhar92</c:v>
                </c:pt>
              </c:strCache>
            </c:strRef>
          </c:tx>
          <c:spPr>
            <a:ln w="28575" cap="rnd">
              <a:solidFill>
                <a:schemeClr val="accent4">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Score'!$B$101:$AN$101</c:f>
              <c:numCache>
                <c:formatCode>General</c:formatCode>
                <c:ptCount val="39"/>
                <c:pt idx="0">
                  <c:v>12</c:v>
                </c:pt>
                <c:pt idx="1">
                  <c:v>29</c:v>
                </c:pt>
                <c:pt idx="2">
                  <c:v>41</c:v>
                </c:pt>
                <c:pt idx="3">
                  <c:v>44</c:v>
                </c:pt>
                <c:pt idx="4">
                  <c:v>53</c:v>
                </c:pt>
                <c:pt idx="5">
                  <c:v>53</c:v>
                </c:pt>
                <c:pt idx="6">
                  <c:v>55</c:v>
                </c:pt>
                <c:pt idx="7">
                  <c:v>57</c:v>
                </c:pt>
                <c:pt idx="8">
                  <c:v>65</c:v>
                </c:pt>
                <c:pt idx="9">
                  <c:v>66</c:v>
                </c:pt>
                <c:pt idx="10">
                  <c:v>68</c:v>
                </c:pt>
                <c:pt idx="11">
                  <c:v>68</c:v>
                </c:pt>
                <c:pt idx="12">
                  <c:v>70</c:v>
                </c:pt>
                <c:pt idx="13">
                  <c:v>70</c:v>
                </c:pt>
                <c:pt idx="14">
                  <c:v>72</c:v>
                </c:pt>
                <c:pt idx="15">
                  <c:v>85</c:v>
                </c:pt>
                <c:pt idx="16">
                  <c:v>86</c:v>
                </c:pt>
                <c:pt idx="17">
                  <c:v>87</c:v>
                </c:pt>
                <c:pt idx="18">
                  <c:v>91</c:v>
                </c:pt>
                <c:pt idx="19">
                  <c:v>91</c:v>
                </c:pt>
                <c:pt idx="20">
                  <c:v>104</c:v>
                </c:pt>
                <c:pt idx="21">
                  <c:v>107</c:v>
                </c:pt>
                <c:pt idx="22">
                  <c:v>116</c:v>
                </c:pt>
                <c:pt idx="23">
                  <c:v>116</c:v>
                </c:pt>
                <c:pt idx="24">
                  <c:v>128</c:v>
                </c:pt>
                <c:pt idx="25">
                  <c:v>128</c:v>
                </c:pt>
                <c:pt idx="26">
                  <c:v>128</c:v>
                </c:pt>
                <c:pt idx="27">
                  <c:v>128</c:v>
                </c:pt>
                <c:pt idx="28">
                  <c:v>128</c:v>
                </c:pt>
                <c:pt idx="29">
                  <c:v>128</c:v>
                </c:pt>
                <c:pt idx="30">
                  <c:v>128</c:v>
                </c:pt>
                <c:pt idx="31">
                  <c:v>128</c:v>
                </c:pt>
                <c:pt idx="32">
                  <c:v>128</c:v>
                </c:pt>
              </c:numCache>
            </c:numRef>
          </c:val>
          <c:smooth val="0"/>
          <c:extLst>
            <c:ext xmlns:c16="http://schemas.microsoft.com/office/drawing/2014/chart" uri="{C3380CC4-5D6E-409C-BE32-E72D297353CC}">
              <c16:uniqueId val="{00000063-AA7F-FD49-9C25-4EDB35C90EC6}"/>
            </c:ext>
          </c:extLst>
        </c:ser>
        <c:ser>
          <c:idx val="100"/>
          <c:order val="100"/>
          <c:tx>
            <c:strRef>
              <c:f>'For stats end Y Score'!$A$102</c:f>
              <c:strCache>
                <c:ptCount val="1"/>
                <c:pt idx="0">
                  <c:v>Yaltar</c:v>
                </c:pt>
              </c:strCache>
            </c:strRef>
          </c:tx>
          <c:spPr>
            <a:ln w="28575" cap="rnd">
              <a:solidFill>
                <a:schemeClr val="accent5">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numCache>
            </c:numRef>
          </c:cat>
          <c:val>
            <c:numRef>
              <c:f>'For stats end Y Score'!$B$102:$AN$102</c:f>
              <c:numCache>
                <c:formatCode>General</c:formatCode>
                <c:ptCount val="39"/>
                <c:pt idx="0">
                  <c:v>17</c:v>
                </c:pt>
                <c:pt idx="1">
                  <c:v>19</c:v>
                </c:pt>
                <c:pt idx="2">
                  <c:v>19</c:v>
                </c:pt>
                <c:pt idx="3">
                  <c:v>36</c:v>
                </c:pt>
                <c:pt idx="4">
                  <c:v>38</c:v>
                </c:pt>
                <c:pt idx="5">
                  <c:v>47</c:v>
                </c:pt>
                <c:pt idx="6">
                  <c:v>49</c:v>
                </c:pt>
                <c:pt idx="7">
                  <c:v>61</c:v>
                </c:pt>
                <c:pt idx="8">
                  <c:v>63</c:v>
                </c:pt>
                <c:pt idx="9">
                  <c:v>63</c:v>
                </c:pt>
                <c:pt idx="10">
                  <c:v>63</c:v>
                </c:pt>
                <c:pt idx="11">
                  <c:v>79</c:v>
                </c:pt>
                <c:pt idx="12">
                  <c:v>82</c:v>
                </c:pt>
                <c:pt idx="13">
                  <c:v>84</c:v>
                </c:pt>
                <c:pt idx="14">
                  <c:v>100</c:v>
                </c:pt>
                <c:pt idx="15">
                  <c:v>113</c:v>
                </c:pt>
                <c:pt idx="16">
                  <c:v>126</c:v>
                </c:pt>
                <c:pt idx="17">
                  <c:v>128</c:v>
                </c:pt>
                <c:pt idx="18">
                  <c:v>140</c:v>
                </c:pt>
                <c:pt idx="19">
                  <c:v>142</c:v>
                </c:pt>
                <c:pt idx="20">
                  <c:v>147</c:v>
                </c:pt>
                <c:pt idx="21">
                  <c:v>147</c:v>
                </c:pt>
                <c:pt idx="22">
                  <c:v>147</c:v>
                </c:pt>
                <c:pt idx="23">
                  <c:v>148</c:v>
                </c:pt>
                <c:pt idx="24">
                  <c:v>164</c:v>
                </c:pt>
                <c:pt idx="25">
                  <c:v>168</c:v>
                </c:pt>
                <c:pt idx="26">
                  <c:v>168</c:v>
                </c:pt>
                <c:pt idx="27">
                  <c:v>171</c:v>
                </c:pt>
                <c:pt idx="28">
                  <c:v>171</c:v>
                </c:pt>
                <c:pt idx="29">
                  <c:v>179</c:v>
                </c:pt>
                <c:pt idx="30">
                  <c:v>180</c:v>
                </c:pt>
                <c:pt idx="31">
                  <c:v>180</c:v>
                </c:pt>
                <c:pt idx="32">
                  <c:v>180</c:v>
                </c:pt>
              </c:numCache>
            </c:numRef>
          </c:val>
          <c:smooth val="0"/>
          <c:extLst>
            <c:ext xmlns:c16="http://schemas.microsoft.com/office/drawing/2014/chart" uri="{C3380CC4-5D6E-409C-BE32-E72D297353CC}">
              <c16:uniqueId val="{00000064-AA7F-FD49-9C25-4EDB35C90EC6}"/>
            </c:ext>
          </c:extLst>
        </c:ser>
        <c:dLbls>
          <c:showLegendKey val="0"/>
          <c:showVal val="0"/>
          <c:showCatName val="0"/>
          <c:showSerName val="0"/>
          <c:showPercent val="0"/>
          <c:showBubbleSize val="0"/>
        </c:dLbls>
        <c:smooth val="0"/>
        <c:axId val="266091984"/>
        <c:axId val="266093632"/>
      </c:lineChart>
      <c:catAx>
        <c:axId val="26609198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266093632"/>
        <c:crosses val="autoZero"/>
        <c:auto val="1"/>
        <c:lblAlgn val="ctr"/>
        <c:lblOffset val="100"/>
        <c:noMultiLvlLbl val="0"/>
      </c:catAx>
      <c:valAx>
        <c:axId val="266093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26609198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FR"/>
        </a:p>
      </c:txPr>
    </c:title>
    <c:autoTitleDeleted val="0"/>
    <c:plotArea>
      <c:layout/>
      <c:areaChart>
        <c:grouping val="standard"/>
        <c:varyColors val="0"/>
        <c:ser>
          <c:idx val="0"/>
          <c:order val="0"/>
          <c:spPr>
            <a:solidFill>
              <a:schemeClr val="accent1"/>
            </a:solidFill>
            <a:ln>
              <a:noFill/>
            </a:ln>
            <a:effectLst/>
          </c:spPr>
          <c:val>
            <c:numRef>
              <c:f>'Sheet1 (2)'!$I$2:$I$39</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val>
          <c:extLst>
            <c:ext xmlns:c16="http://schemas.microsoft.com/office/drawing/2014/chart" uri="{C3380CC4-5D6E-409C-BE32-E72D297353CC}">
              <c16:uniqueId val="{00000000-B9EE-E940-820D-8CF88FCC6164}"/>
            </c:ext>
          </c:extLst>
        </c:ser>
        <c:ser>
          <c:idx val="1"/>
          <c:order val="1"/>
          <c:spPr>
            <a:solidFill>
              <a:schemeClr val="accent2"/>
            </a:solidFill>
            <a:ln>
              <a:noFill/>
            </a:ln>
            <a:effectLst/>
          </c:spPr>
          <c:val>
            <c:numRef>
              <c:f>'Sheet1 (2)'!$K$2:$K$40</c:f>
              <c:numCache>
                <c:formatCode>General</c:formatCode>
                <c:ptCount val="39"/>
                <c:pt idx="0">
                  <c:v>19</c:v>
                </c:pt>
                <c:pt idx="1">
                  <c:v>20</c:v>
                </c:pt>
                <c:pt idx="2">
                  <c:v>26</c:v>
                </c:pt>
                <c:pt idx="3">
                  <c:v>28</c:v>
                </c:pt>
                <c:pt idx="4">
                  <c:v>32</c:v>
                </c:pt>
                <c:pt idx="5">
                  <c:v>33</c:v>
                </c:pt>
                <c:pt idx="6">
                  <c:v>36</c:v>
                </c:pt>
                <c:pt idx="7">
                  <c:v>37</c:v>
                </c:pt>
                <c:pt idx="8">
                  <c:v>41</c:v>
                </c:pt>
                <c:pt idx="9">
                  <c:v>43</c:v>
                </c:pt>
                <c:pt idx="10">
                  <c:v>44</c:v>
                </c:pt>
                <c:pt idx="11">
                  <c:v>46</c:v>
                </c:pt>
                <c:pt idx="12">
                  <c:v>48</c:v>
                </c:pt>
                <c:pt idx="13">
                  <c:v>49</c:v>
                </c:pt>
                <c:pt idx="14">
                  <c:v>52</c:v>
                </c:pt>
                <c:pt idx="15">
                  <c:v>53</c:v>
                </c:pt>
                <c:pt idx="16">
                  <c:v>55</c:v>
                </c:pt>
                <c:pt idx="17">
                  <c:v>57</c:v>
                </c:pt>
                <c:pt idx="18">
                  <c:v>57</c:v>
                </c:pt>
                <c:pt idx="19">
                  <c:v>60</c:v>
                </c:pt>
                <c:pt idx="20">
                  <c:v>64</c:v>
                </c:pt>
                <c:pt idx="21">
                  <c:v>65</c:v>
                </c:pt>
                <c:pt idx="22">
                  <c:v>69</c:v>
                </c:pt>
                <c:pt idx="23">
                  <c:v>71</c:v>
                </c:pt>
                <c:pt idx="24">
                  <c:v>73</c:v>
                </c:pt>
                <c:pt idx="25">
                  <c:v>77</c:v>
                </c:pt>
                <c:pt idx="26">
                  <c:v>81</c:v>
                </c:pt>
                <c:pt idx="27">
                  <c:v>85</c:v>
                </c:pt>
                <c:pt idx="28">
                  <c:v>85</c:v>
                </c:pt>
                <c:pt idx="29">
                  <c:v>86</c:v>
                </c:pt>
                <c:pt idx="30">
                  <c:v>91</c:v>
                </c:pt>
                <c:pt idx="31">
                  <c:v>97</c:v>
                </c:pt>
                <c:pt idx="32">
                  <c:v>101</c:v>
                </c:pt>
                <c:pt idx="33">
                  <c:v>101</c:v>
                </c:pt>
                <c:pt idx="34">
                  <c:v>101</c:v>
                </c:pt>
                <c:pt idx="35">
                  <c:v>101</c:v>
                </c:pt>
                <c:pt idx="36">
                  <c:v>101</c:v>
                </c:pt>
                <c:pt idx="37">
                  <c:v>101</c:v>
                </c:pt>
                <c:pt idx="38">
                  <c:v>101</c:v>
                </c:pt>
              </c:numCache>
            </c:numRef>
          </c:val>
          <c:extLst>
            <c:ext xmlns:c16="http://schemas.microsoft.com/office/drawing/2014/chart" uri="{C3380CC4-5D6E-409C-BE32-E72D297353CC}">
              <c16:uniqueId val="{00000001-B9EE-E940-820D-8CF88FCC6164}"/>
            </c:ext>
          </c:extLst>
        </c:ser>
        <c:dLbls>
          <c:showLegendKey val="0"/>
          <c:showVal val="0"/>
          <c:showCatName val="0"/>
          <c:showSerName val="0"/>
          <c:showPercent val="0"/>
          <c:showBubbleSize val="0"/>
        </c:dLbls>
        <c:axId val="833912480"/>
        <c:axId val="833937232"/>
      </c:areaChart>
      <c:catAx>
        <c:axId val="833912480"/>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833937232"/>
        <c:crosses val="autoZero"/>
        <c:auto val="1"/>
        <c:lblAlgn val="ctr"/>
        <c:lblOffset val="100"/>
        <c:noMultiLvlLbl val="0"/>
      </c:catAx>
      <c:valAx>
        <c:axId val="833937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83391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FR"/>
        </a:p>
      </c:txPr>
    </c:title>
    <c:autoTitleDeleted val="0"/>
    <c:plotArea>
      <c:layout>
        <c:manualLayout>
          <c:layoutTarget val="inner"/>
          <c:xMode val="edge"/>
          <c:yMode val="edge"/>
          <c:x val="5.9998308179248408E-2"/>
          <c:y val="0.16001916110296099"/>
          <c:w val="0.93337511190689348"/>
          <c:h val="0.77081734079817965"/>
        </c:manualLayout>
      </c:layout>
      <c:lineChart>
        <c:grouping val="standard"/>
        <c:varyColors val="0"/>
        <c:ser>
          <c:idx val="0"/>
          <c:order val="0"/>
          <c:spPr>
            <a:ln w="28575" cap="rnd">
              <a:solidFill>
                <a:schemeClr val="accent1"/>
              </a:solidFill>
              <a:round/>
            </a:ln>
            <a:effectLst/>
          </c:spPr>
          <c:marker>
            <c:symbol val="none"/>
          </c:marker>
          <c:cat>
            <c:numRef>
              <c:f>'Sheet1 (2)'!$N$2:$N$40</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numCache>
            </c:numRef>
          </c:cat>
          <c:val>
            <c:numRef>
              <c:f>'Sheet1 (2)'!$O$2:$O$40</c:f>
              <c:numCache>
                <c:formatCode>General</c:formatCode>
                <c:ptCount val="39"/>
                <c:pt idx="0">
                  <c:v>1.0000000000000004</c:v>
                </c:pt>
                <c:pt idx="1">
                  <c:v>0.81188118811881216</c:v>
                </c:pt>
                <c:pt idx="2">
                  <c:v>0.80198019801980225</c:v>
                </c:pt>
                <c:pt idx="3">
                  <c:v>0.74257425742574279</c:v>
                </c:pt>
                <c:pt idx="4">
                  <c:v>0.72277227722772297</c:v>
                </c:pt>
                <c:pt idx="5">
                  <c:v>0.68316831683168311</c:v>
                </c:pt>
                <c:pt idx="6">
                  <c:v>0.67326732673267342</c:v>
                </c:pt>
                <c:pt idx="7">
                  <c:v>0.64356435643564347</c:v>
                </c:pt>
                <c:pt idx="8">
                  <c:v>0.63366336633663356</c:v>
                </c:pt>
                <c:pt idx="9">
                  <c:v>0.59405940594059403</c:v>
                </c:pt>
                <c:pt idx="10">
                  <c:v>0.57425742574257432</c:v>
                </c:pt>
                <c:pt idx="11">
                  <c:v>0.56435643564356441</c:v>
                </c:pt>
                <c:pt idx="12">
                  <c:v>0.54455445544554459</c:v>
                </c:pt>
                <c:pt idx="13">
                  <c:v>0.52475247524752466</c:v>
                </c:pt>
                <c:pt idx="14">
                  <c:v>0.51485148514851475</c:v>
                </c:pt>
                <c:pt idx="15">
                  <c:v>0.48514851485148508</c:v>
                </c:pt>
                <c:pt idx="16">
                  <c:v>0.47524752475247517</c:v>
                </c:pt>
                <c:pt idx="17">
                  <c:v>0.45544554455445535</c:v>
                </c:pt>
                <c:pt idx="18">
                  <c:v>0.43564356435643559</c:v>
                </c:pt>
                <c:pt idx="19">
                  <c:v>0.43564356435643559</c:v>
                </c:pt>
                <c:pt idx="20">
                  <c:v>0.40594059405940591</c:v>
                </c:pt>
                <c:pt idx="21">
                  <c:v>0.36633663366336633</c:v>
                </c:pt>
                <c:pt idx="22">
                  <c:v>0.35643564356435642</c:v>
                </c:pt>
                <c:pt idx="23">
                  <c:v>0.31683168316831684</c:v>
                </c:pt>
                <c:pt idx="24">
                  <c:v>0.29702970297029702</c:v>
                </c:pt>
                <c:pt idx="25">
                  <c:v>0.2772277227722772</c:v>
                </c:pt>
                <c:pt idx="26">
                  <c:v>0.23762376237623764</c:v>
                </c:pt>
                <c:pt idx="27">
                  <c:v>0.19801980198019803</c:v>
                </c:pt>
                <c:pt idx="28">
                  <c:v>0.15841584158415842</c:v>
                </c:pt>
                <c:pt idx="29">
                  <c:v>0.15841584158415842</c:v>
                </c:pt>
                <c:pt idx="30">
                  <c:v>0.14851485148514851</c:v>
                </c:pt>
                <c:pt idx="31">
                  <c:v>9.9009900990099015E-2</c:v>
                </c:pt>
                <c:pt idx="32">
                  <c:v>3.9603960396039604E-2</c:v>
                </c:pt>
                <c:pt idx="33">
                  <c:v>0</c:v>
                </c:pt>
                <c:pt idx="34">
                  <c:v>0</c:v>
                </c:pt>
                <c:pt idx="35">
                  <c:v>0</c:v>
                </c:pt>
                <c:pt idx="36">
                  <c:v>0</c:v>
                </c:pt>
                <c:pt idx="37">
                  <c:v>0</c:v>
                </c:pt>
                <c:pt idx="38">
                  <c:v>0</c:v>
                </c:pt>
              </c:numCache>
            </c:numRef>
          </c:val>
          <c:smooth val="0"/>
          <c:extLst>
            <c:ext xmlns:c16="http://schemas.microsoft.com/office/drawing/2014/chart" uri="{C3380CC4-5D6E-409C-BE32-E72D297353CC}">
              <c16:uniqueId val="{00000000-7AC1-C247-86E1-F739971865F2}"/>
            </c:ext>
          </c:extLst>
        </c:ser>
        <c:dLbls>
          <c:showLegendKey val="0"/>
          <c:showVal val="0"/>
          <c:showCatName val="0"/>
          <c:showSerName val="0"/>
          <c:showPercent val="0"/>
          <c:showBubbleSize val="0"/>
        </c:dLbls>
        <c:smooth val="0"/>
        <c:axId val="92327503"/>
        <c:axId val="92705407"/>
      </c:lineChart>
      <c:catAx>
        <c:axId val="92327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92705407"/>
        <c:crosses val="autoZero"/>
        <c:auto val="1"/>
        <c:lblAlgn val="ctr"/>
        <c:lblOffset val="100"/>
        <c:noMultiLvlLbl val="0"/>
      </c:catAx>
      <c:valAx>
        <c:axId val="92705407"/>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92327503"/>
        <c:crosses val="autoZero"/>
        <c:crossBetween val="between"/>
      </c:valAx>
      <c:spPr>
        <a:noFill/>
        <a:ln>
          <a:solidFill>
            <a:schemeClr val="accent1">
              <a:alpha val="27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FR"/>
        </a:p>
      </c:txPr>
    </c:title>
    <c:autoTitleDeleted val="0"/>
    <c:plotArea>
      <c:layout>
        <c:manualLayout>
          <c:layoutTarget val="inner"/>
          <c:xMode val="edge"/>
          <c:yMode val="edge"/>
          <c:x val="5.9998308179248408E-2"/>
          <c:y val="0.16001916110296099"/>
          <c:w val="0.93337511190689348"/>
          <c:h val="0.77081734079817965"/>
        </c:manualLayout>
      </c:layout>
      <c:areaChart>
        <c:grouping val="stacked"/>
        <c:varyColors val="0"/>
        <c:ser>
          <c:idx val="1"/>
          <c:order val="1"/>
          <c:spPr>
            <a:solidFill>
              <a:schemeClr val="accent2"/>
            </a:solidFill>
            <a:ln>
              <a:solidFill>
                <a:schemeClr val="tx1">
                  <a:alpha val="27000"/>
                </a:schemeClr>
              </a:solidFill>
            </a:ln>
            <a:effectLst>
              <a:outerShdw sx="1000" sy="1000" algn="ctr" rotWithShape="0">
                <a:srgbClr val="000000"/>
              </a:outerShdw>
            </a:effectLst>
          </c:spPr>
          <c:cat>
            <c:numRef>
              <c:f>'Sheet1 (2)'!$V$2:$V$29</c:f>
              <c:numCache>
                <c:formatCode>General</c:formatCode>
                <c:ptCount val="28"/>
                <c:pt idx="0">
                  <c:v>11</c:v>
                </c:pt>
                <c:pt idx="1">
                  <c:v>12</c:v>
                </c:pt>
                <c:pt idx="2">
                  <c:v>13</c:v>
                </c:pt>
                <c:pt idx="3">
                  <c:v>14</c:v>
                </c:pt>
                <c:pt idx="4">
                  <c:v>15</c:v>
                </c:pt>
                <c:pt idx="5">
                  <c:v>16</c:v>
                </c:pt>
                <c:pt idx="6">
                  <c:v>17</c:v>
                </c:pt>
                <c:pt idx="7">
                  <c:v>18</c:v>
                </c:pt>
                <c:pt idx="8">
                  <c:v>19</c:v>
                </c:pt>
                <c:pt idx="9">
                  <c:v>20</c:v>
                </c:pt>
                <c:pt idx="10">
                  <c:v>21</c:v>
                </c:pt>
                <c:pt idx="11">
                  <c:v>22</c:v>
                </c:pt>
                <c:pt idx="12">
                  <c:v>23</c:v>
                </c:pt>
                <c:pt idx="13">
                  <c:v>24</c:v>
                </c:pt>
                <c:pt idx="14">
                  <c:v>25</c:v>
                </c:pt>
                <c:pt idx="15">
                  <c:v>26</c:v>
                </c:pt>
                <c:pt idx="16">
                  <c:v>27</c:v>
                </c:pt>
                <c:pt idx="17">
                  <c:v>28</c:v>
                </c:pt>
                <c:pt idx="18">
                  <c:v>29</c:v>
                </c:pt>
                <c:pt idx="19">
                  <c:v>30</c:v>
                </c:pt>
                <c:pt idx="20">
                  <c:v>31</c:v>
                </c:pt>
                <c:pt idx="21">
                  <c:v>32</c:v>
                </c:pt>
                <c:pt idx="22">
                  <c:v>33</c:v>
                </c:pt>
                <c:pt idx="23">
                  <c:v>34</c:v>
                </c:pt>
                <c:pt idx="24">
                  <c:v>35</c:v>
                </c:pt>
                <c:pt idx="25">
                  <c:v>36</c:v>
                </c:pt>
                <c:pt idx="26">
                  <c:v>37</c:v>
                </c:pt>
                <c:pt idx="27">
                  <c:v>38</c:v>
                </c:pt>
              </c:numCache>
            </c:numRef>
          </c:cat>
          <c:val>
            <c:numRef>
              <c:f>'Sheet1 (2)'!$X$2:$X$29</c:f>
              <c:numCache>
                <c:formatCode>General</c:formatCode>
                <c:ptCount val="28"/>
                <c:pt idx="0">
                  <c:v>58</c:v>
                </c:pt>
                <c:pt idx="1">
                  <c:v>53</c:v>
                </c:pt>
                <c:pt idx="2">
                  <c:v>51</c:v>
                </c:pt>
                <c:pt idx="3">
                  <c:v>49</c:v>
                </c:pt>
                <c:pt idx="4">
                  <c:v>49</c:v>
                </c:pt>
                <c:pt idx="5">
                  <c:v>49</c:v>
                </c:pt>
                <c:pt idx="6">
                  <c:v>47</c:v>
                </c:pt>
                <c:pt idx="7">
                  <c:v>46</c:v>
                </c:pt>
                <c:pt idx="8">
                  <c:v>44</c:v>
                </c:pt>
                <c:pt idx="9">
                  <c:v>43</c:v>
                </c:pt>
                <c:pt idx="10">
                  <c:v>43</c:v>
                </c:pt>
                <c:pt idx="11">
                  <c:v>43</c:v>
                </c:pt>
                <c:pt idx="12">
                  <c:v>42</c:v>
                </c:pt>
                <c:pt idx="13">
                  <c:v>42</c:v>
                </c:pt>
                <c:pt idx="14">
                  <c:v>41</c:v>
                </c:pt>
                <c:pt idx="15">
                  <c:v>40</c:v>
                </c:pt>
                <c:pt idx="16">
                  <c:v>39</c:v>
                </c:pt>
                <c:pt idx="17">
                  <c:v>38</c:v>
                </c:pt>
                <c:pt idx="18">
                  <c:v>32</c:v>
                </c:pt>
                <c:pt idx="19">
                  <c:v>29</c:v>
                </c:pt>
                <c:pt idx="20">
                  <c:v>24</c:v>
                </c:pt>
                <c:pt idx="21">
                  <c:v>21</c:v>
                </c:pt>
                <c:pt idx="22">
                  <c:v>20</c:v>
                </c:pt>
                <c:pt idx="23">
                  <c:v>15</c:v>
                </c:pt>
                <c:pt idx="24">
                  <c:v>10</c:v>
                </c:pt>
                <c:pt idx="25">
                  <c:v>7</c:v>
                </c:pt>
                <c:pt idx="26">
                  <c:v>5</c:v>
                </c:pt>
                <c:pt idx="27">
                  <c:v>2</c:v>
                </c:pt>
              </c:numCache>
            </c:numRef>
          </c:val>
          <c:extLst>
            <c:ext xmlns:c16="http://schemas.microsoft.com/office/drawing/2014/chart" uri="{C3380CC4-5D6E-409C-BE32-E72D297353CC}">
              <c16:uniqueId val="{00000001-AEB6-4745-945A-3596F6DC048C}"/>
            </c:ext>
          </c:extLst>
        </c:ser>
        <c:dLbls>
          <c:showLegendKey val="0"/>
          <c:showVal val="0"/>
          <c:showCatName val="0"/>
          <c:showSerName val="0"/>
          <c:showPercent val="0"/>
          <c:showBubbleSize val="0"/>
        </c:dLbls>
        <c:axId val="58963807"/>
        <c:axId val="58958207"/>
      </c:areaChart>
      <c:lineChart>
        <c:grouping val="standard"/>
        <c:varyColors val="0"/>
        <c:ser>
          <c:idx val="0"/>
          <c:order val="0"/>
          <c:spPr>
            <a:ln w="28575" cap="rnd">
              <a:solidFill>
                <a:schemeClr val="accent1"/>
              </a:solidFill>
              <a:round/>
            </a:ln>
            <a:effectLst/>
          </c:spPr>
          <c:marker>
            <c:symbol val="none"/>
          </c:marker>
          <c:cat>
            <c:numRef>
              <c:f>'Sheet1 (2)'!$V$2:$V$29</c:f>
              <c:numCache>
                <c:formatCode>General</c:formatCode>
                <c:ptCount val="28"/>
                <c:pt idx="0">
                  <c:v>11</c:v>
                </c:pt>
                <c:pt idx="1">
                  <c:v>12</c:v>
                </c:pt>
                <c:pt idx="2">
                  <c:v>13</c:v>
                </c:pt>
                <c:pt idx="3">
                  <c:v>14</c:v>
                </c:pt>
                <c:pt idx="4">
                  <c:v>15</c:v>
                </c:pt>
                <c:pt idx="5">
                  <c:v>16</c:v>
                </c:pt>
                <c:pt idx="6">
                  <c:v>17</c:v>
                </c:pt>
                <c:pt idx="7">
                  <c:v>18</c:v>
                </c:pt>
                <c:pt idx="8">
                  <c:v>19</c:v>
                </c:pt>
                <c:pt idx="9">
                  <c:v>20</c:v>
                </c:pt>
                <c:pt idx="10">
                  <c:v>21</c:v>
                </c:pt>
                <c:pt idx="11">
                  <c:v>22</c:v>
                </c:pt>
                <c:pt idx="12">
                  <c:v>23</c:v>
                </c:pt>
                <c:pt idx="13">
                  <c:v>24</c:v>
                </c:pt>
                <c:pt idx="14">
                  <c:v>25</c:v>
                </c:pt>
                <c:pt idx="15">
                  <c:v>26</c:v>
                </c:pt>
                <c:pt idx="16">
                  <c:v>27</c:v>
                </c:pt>
                <c:pt idx="17">
                  <c:v>28</c:v>
                </c:pt>
                <c:pt idx="18">
                  <c:v>29</c:v>
                </c:pt>
                <c:pt idx="19">
                  <c:v>30</c:v>
                </c:pt>
                <c:pt idx="20">
                  <c:v>31</c:v>
                </c:pt>
                <c:pt idx="21">
                  <c:v>32</c:v>
                </c:pt>
                <c:pt idx="22">
                  <c:v>33</c:v>
                </c:pt>
                <c:pt idx="23">
                  <c:v>34</c:v>
                </c:pt>
                <c:pt idx="24">
                  <c:v>35</c:v>
                </c:pt>
                <c:pt idx="25">
                  <c:v>36</c:v>
                </c:pt>
                <c:pt idx="26">
                  <c:v>37</c:v>
                </c:pt>
                <c:pt idx="27">
                  <c:v>38</c:v>
                </c:pt>
              </c:numCache>
            </c:numRef>
          </c:cat>
          <c:val>
            <c:numRef>
              <c:f>'Sheet1 (2)'!$W$2:$W$29</c:f>
              <c:numCache>
                <c:formatCode>General</c:formatCode>
                <c:ptCount val="28"/>
                <c:pt idx="0">
                  <c:v>0.99999999999999978</c:v>
                </c:pt>
                <c:pt idx="1">
                  <c:v>0.9137931034482758</c:v>
                </c:pt>
                <c:pt idx="2">
                  <c:v>0.8793103448275863</c:v>
                </c:pt>
                <c:pt idx="3">
                  <c:v>0.84482758620689657</c:v>
                </c:pt>
                <c:pt idx="4">
                  <c:v>0.84482758620689657</c:v>
                </c:pt>
                <c:pt idx="5">
                  <c:v>0.84482758620689657</c:v>
                </c:pt>
                <c:pt idx="6">
                  <c:v>0.81034482758620685</c:v>
                </c:pt>
                <c:pt idx="7">
                  <c:v>0.7931034482758621</c:v>
                </c:pt>
                <c:pt idx="8">
                  <c:v>0.75862068965517238</c:v>
                </c:pt>
                <c:pt idx="9">
                  <c:v>0.7413793103448274</c:v>
                </c:pt>
                <c:pt idx="10">
                  <c:v>0.7413793103448274</c:v>
                </c:pt>
                <c:pt idx="11">
                  <c:v>0.7413793103448274</c:v>
                </c:pt>
                <c:pt idx="12">
                  <c:v>0.72413793103448265</c:v>
                </c:pt>
                <c:pt idx="13">
                  <c:v>0.72413793103448265</c:v>
                </c:pt>
                <c:pt idx="14">
                  <c:v>0.7068965517241379</c:v>
                </c:pt>
                <c:pt idx="15">
                  <c:v>0.68965517241379293</c:v>
                </c:pt>
                <c:pt idx="16">
                  <c:v>0.67241379310344818</c:v>
                </c:pt>
                <c:pt idx="17">
                  <c:v>0.65517241379310343</c:v>
                </c:pt>
                <c:pt idx="18">
                  <c:v>0.55172413793103448</c:v>
                </c:pt>
                <c:pt idx="19">
                  <c:v>0.5</c:v>
                </c:pt>
                <c:pt idx="20">
                  <c:v>0.41379310344827591</c:v>
                </c:pt>
                <c:pt idx="21">
                  <c:v>0.36206896551724138</c:v>
                </c:pt>
                <c:pt idx="22">
                  <c:v>0.34482758620689657</c:v>
                </c:pt>
                <c:pt idx="23">
                  <c:v>0.25862068965517243</c:v>
                </c:pt>
                <c:pt idx="24">
                  <c:v>0.17241379310344829</c:v>
                </c:pt>
                <c:pt idx="25">
                  <c:v>0.1206896551724138</c:v>
                </c:pt>
                <c:pt idx="26">
                  <c:v>8.6206896551724144E-2</c:v>
                </c:pt>
                <c:pt idx="27">
                  <c:v>3.4482758620689655E-2</c:v>
                </c:pt>
              </c:numCache>
            </c:numRef>
          </c:val>
          <c:smooth val="0"/>
          <c:extLst>
            <c:ext xmlns:c16="http://schemas.microsoft.com/office/drawing/2014/chart" uri="{C3380CC4-5D6E-409C-BE32-E72D297353CC}">
              <c16:uniqueId val="{00000000-AEB6-4745-945A-3596F6DC048C}"/>
            </c:ext>
          </c:extLst>
        </c:ser>
        <c:dLbls>
          <c:showLegendKey val="0"/>
          <c:showVal val="0"/>
          <c:showCatName val="0"/>
          <c:showSerName val="0"/>
          <c:showPercent val="0"/>
          <c:showBubbleSize val="0"/>
        </c:dLbls>
        <c:marker val="1"/>
        <c:smooth val="0"/>
        <c:axId val="92327503"/>
        <c:axId val="92705407"/>
      </c:lineChart>
      <c:catAx>
        <c:axId val="92327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92705407"/>
        <c:crossesAt val="0"/>
        <c:auto val="1"/>
        <c:lblAlgn val="ctr"/>
        <c:lblOffset val="100"/>
        <c:noMultiLvlLbl val="0"/>
      </c:catAx>
      <c:valAx>
        <c:axId val="92705407"/>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92327503"/>
        <c:crossesAt val="1"/>
        <c:crossBetween val="between"/>
      </c:valAx>
      <c:valAx>
        <c:axId val="58958207"/>
        <c:scaling>
          <c:orientation val="minMax"/>
          <c:max val="58"/>
          <c:min val="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58963807"/>
        <c:crosses val="max"/>
        <c:crossBetween val="between"/>
      </c:valAx>
      <c:catAx>
        <c:axId val="58963807"/>
        <c:scaling>
          <c:orientation val="minMax"/>
        </c:scaling>
        <c:delete val="1"/>
        <c:axPos val="b"/>
        <c:numFmt formatCode="General" sourceLinked="1"/>
        <c:majorTickMark val="out"/>
        <c:minorTickMark val="none"/>
        <c:tickLblPos val="nextTo"/>
        <c:crossAx val="58958207"/>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F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plotSurface>
          <cx:spPr>
            <a:ln w="12700">
              <a:solidFill>
                <a:schemeClr val="bg1">
                  <a:alpha val="99000"/>
                </a:schemeClr>
              </a:solidFill>
            </a:ln>
          </cx:spPr>
        </cx:plotSurface>
        <cx:series layoutId="clusteredColumn" uniqueId="{A119A412-8FC6-8C4F-834F-85F968A6290E}" formatIdx="0">
          <cx:spPr>
            <a:solidFill>
              <a:srgbClr val="92D050"/>
            </a:solidFill>
            <a:ln w="19050">
              <a:solidFill>
                <a:schemeClr val="bg1"/>
              </a:solidFill>
            </a:ln>
            <a:effectLst>
              <a:glow>
                <a:schemeClr val="accent1"/>
              </a:glow>
              <a:softEdge rad="0"/>
            </a:effectLst>
          </cx:spPr>
          <cx:dataLabels>
            <cx:spPr>
              <a:noFill/>
              <a:effectLst>
                <a:glow rad="317500">
                  <a:schemeClr val="accent1">
                    <a:alpha val="51448"/>
                  </a:schemeClr>
                </a:glow>
                <a:softEdge rad="0"/>
              </a:effectLst>
            </cx:spPr>
            <cx:txPr>
              <a:bodyPr spcFirstLastPara="1" vertOverflow="ellipsis" horzOverflow="overflow" wrap="square" lIns="0" tIns="0" rIns="0" bIns="0" anchor="ctr" anchorCtr="1"/>
              <a:lstStyle/>
              <a:p>
                <a:pPr algn="ctr" rtl="0">
                  <a:defRPr sz="1800">
                    <a:ln>
                      <a:noFill/>
                    </a:ln>
                    <a:solidFill>
                      <a:schemeClr val="accent6"/>
                    </a:solidFill>
                  </a:defRPr>
                </a:pPr>
                <a:endParaRPr lang="en-GB" sz="1800" b="0" i="0" u="none" strike="noStrike" baseline="0">
                  <a:ln>
                    <a:noFill/>
                  </a:ln>
                  <a:solidFill>
                    <a:schemeClr val="accent6"/>
                  </a:solidFill>
                  <a:latin typeface="Calibri" panose="020F0502020204030204"/>
                </a:endParaRPr>
              </a:p>
            </cx:txPr>
          </cx:dataLabels>
          <cx:dataId val="0"/>
          <cx:layoutPr>
            <cx:binning intervalClosed="r" underflow="auto" overflow="auto">
              <cx:binCount val="12"/>
            </cx:binning>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www.evalujeu.fr/"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245</xdr:row>
      <xdr:rowOff>0</xdr:rowOff>
    </xdr:from>
    <xdr:to>
      <xdr:col>10</xdr:col>
      <xdr:colOff>457200</xdr:colOff>
      <xdr:row>247</xdr:row>
      <xdr:rowOff>25400</xdr:rowOff>
    </xdr:to>
    <xdr:pic>
      <xdr:nvPicPr>
        <xdr:cNvPr id="2" name="Picture 1">
          <a:extLst>
            <a:ext uri="{FF2B5EF4-FFF2-40B4-BE49-F238E27FC236}">
              <a16:creationId xmlns:a16="http://schemas.microsoft.com/office/drawing/2014/main" id="{9EAE5728-D53B-A9FA-9173-C1279E000F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02700" y="49784000"/>
          <a:ext cx="457200" cy="431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247</xdr:row>
      <xdr:rowOff>0</xdr:rowOff>
    </xdr:from>
    <xdr:to>
      <xdr:col>10</xdr:col>
      <xdr:colOff>457200</xdr:colOff>
      <xdr:row>249</xdr:row>
      <xdr:rowOff>25400</xdr:rowOff>
    </xdr:to>
    <xdr:pic>
      <xdr:nvPicPr>
        <xdr:cNvPr id="3" name="Picture 2">
          <a:extLst>
            <a:ext uri="{FF2B5EF4-FFF2-40B4-BE49-F238E27FC236}">
              <a16:creationId xmlns:a16="http://schemas.microsoft.com/office/drawing/2014/main" id="{6C50394B-0935-4072-D690-EC494E115BA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02700" y="50190400"/>
          <a:ext cx="457200" cy="431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249</xdr:row>
      <xdr:rowOff>0</xdr:rowOff>
    </xdr:from>
    <xdr:to>
      <xdr:col>10</xdr:col>
      <xdr:colOff>355600</xdr:colOff>
      <xdr:row>250</xdr:row>
      <xdr:rowOff>101600</xdr:rowOff>
    </xdr:to>
    <xdr:pic>
      <xdr:nvPicPr>
        <xdr:cNvPr id="4" name="Picture 3">
          <a:hlinkClick xmlns:r="http://schemas.openxmlformats.org/officeDocument/2006/relationships" r:id="rId3"/>
          <a:extLst>
            <a:ext uri="{FF2B5EF4-FFF2-40B4-BE49-F238E27FC236}">
              <a16:creationId xmlns:a16="http://schemas.microsoft.com/office/drawing/2014/main" id="{467565A6-5DDF-0247-67B6-D813B5302C8D}"/>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902700" y="50596800"/>
          <a:ext cx="3556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50800</xdr:colOff>
      <xdr:row>3</xdr:row>
      <xdr:rowOff>101600</xdr:rowOff>
    </xdr:from>
    <xdr:to>
      <xdr:col>8</xdr:col>
      <xdr:colOff>622300</xdr:colOff>
      <xdr:row>25</xdr:row>
      <xdr:rowOff>88900</xdr:rowOff>
    </xdr:to>
    <xdr:sp macro="" textlink="">
      <xdr:nvSpPr>
        <xdr:cNvPr id="2" name="TextBox 1">
          <a:extLst>
            <a:ext uri="{FF2B5EF4-FFF2-40B4-BE49-F238E27FC236}">
              <a16:creationId xmlns:a16="http://schemas.microsoft.com/office/drawing/2014/main" id="{B9D6923B-FD71-DB4E-96C3-6E3061D4CDC0}"/>
            </a:ext>
          </a:extLst>
        </xdr:cNvPr>
        <xdr:cNvSpPr txBox="1"/>
      </xdr:nvSpPr>
      <xdr:spPr>
        <a:xfrm>
          <a:off x="1701800" y="711200"/>
          <a:ext cx="5524500" cy="445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t>Copy-paste</a:t>
          </a:r>
          <a:r>
            <a:rPr lang="en-GB" sz="1600" baseline="0"/>
            <a:t> results from website, adding to the bottom of sheet "Y'" and the relevant sheet "T</a:t>
          </a:r>
          <a:r>
            <a:rPr lang="en-GB" sz="1600" i="1" baseline="0"/>
            <a:t>n</a:t>
          </a:r>
          <a:r>
            <a:rPr lang="en-GB" sz="1600" baseline="0"/>
            <a:t>". Check that the formula in column E covers all results.</a:t>
          </a:r>
        </a:p>
        <a:p>
          <a:r>
            <a:rPr lang="en-GB" sz="1600" baseline="0"/>
            <a:t>Copy columns A to D from sheets "Y", "T</a:t>
          </a:r>
          <a:r>
            <a:rPr lang="en-GB" sz="1600" i="1" baseline="0"/>
            <a:t>n</a:t>
          </a:r>
          <a:r>
            <a:rPr lang="en-GB" sz="1600" baseline="0"/>
            <a:t>" respectively in sheets "Y export", "T</a:t>
          </a:r>
          <a:r>
            <a:rPr lang="en-GB" sz="1600" i="1" baseline="0"/>
            <a:t>n export</a:t>
          </a:r>
          <a:r>
            <a:rPr lang="en-GB" sz="1600" baseline="0"/>
            <a:t>". In each sheet first run thr macro "Cleaning", then check that the formula in column E covers all results.</a:t>
          </a:r>
        </a:p>
        <a:p>
          <a:r>
            <a:rPr lang="en-GB" sz="1600" baseline="0"/>
            <a:t>Open text files "results_Y" and "results_T</a:t>
          </a:r>
          <a:r>
            <a:rPr lang="en-GB" sz="1600" i="1" baseline="0"/>
            <a:t>n</a:t>
          </a:r>
          <a:r>
            <a:rPr lang="en-GB" sz="1600" i="0" baseline="0"/>
            <a:t>". Delete all data and replace with the contents of the column E respectyively from sheet </a:t>
          </a:r>
          <a:r>
            <a:rPr lang="en-GB" sz="1600" baseline="0"/>
            <a:t>"Y export" and "T</a:t>
          </a:r>
          <a:r>
            <a:rPr lang="en-GB" sz="1600" i="1" baseline="0"/>
            <a:t>n export</a:t>
          </a:r>
          <a:r>
            <a:rPr lang="en-GB" sz="1600" baseline="0"/>
            <a:t>"</a:t>
          </a:r>
        </a:p>
        <a:p>
          <a:r>
            <a:rPr lang="en-GB" sz="1600" baseline="0"/>
            <a:t>Save and close text files "results_Y" and "results_T</a:t>
          </a:r>
          <a:r>
            <a:rPr lang="en-GB" sz="1600" i="1" baseline="0"/>
            <a:t>n</a:t>
          </a:r>
          <a:r>
            <a:rPr lang="en-GB" sz="1600" i="0" baseline="0"/>
            <a:t>"</a:t>
          </a:r>
        </a:p>
        <a:p>
          <a:r>
            <a:rPr lang="en-GB" sz="1600" baseline="0"/>
            <a:t>Save this Excel file </a:t>
          </a:r>
        </a:p>
        <a:p>
          <a:r>
            <a:rPr lang="en-GB" sz="1600" i="0" baseline="0"/>
            <a:t>Run the Python3 file "API_rankings.py". The output will be in the files "ranking_Y", "ranging_T</a:t>
          </a:r>
          <a:r>
            <a:rPr lang="en-GB" sz="1600" i="1" baseline="0"/>
            <a:t>n</a:t>
          </a:r>
          <a:r>
            <a:rPr lang="en-GB" sz="1600" i="0" baseline="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26</xdr:col>
      <xdr:colOff>303265</xdr:colOff>
      <xdr:row>76</xdr:row>
      <xdr:rowOff>130769</xdr:rowOff>
    </xdr:from>
    <xdr:to>
      <xdr:col>37</xdr:col>
      <xdr:colOff>315964</xdr:colOff>
      <xdr:row>101</xdr:row>
      <xdr:rowOff>130769</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C3353AA1-0806-7B26-DB7B-C87F6C90992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2286965" y="15573969"/>
              <a:ext cx="9093199" cy="50800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34</xdr:col>
      <xdr:colOff>285750</xdr:colOff>
      <xdr:row>82</xdr:row>
      <xdr:rowOff>19050</xdr:rowOff>
    </xdr:from>
    <xdr:to>
      <xdr:col>42</xdr:col>
      <xdr:colOff>152400</xdr:colOff>
      <xdr:row>98</xdr:row>
      <xdr:rowOff>101600</xdr:rowOff>
    </xdr:to>
    <xdr:graphicFrame macro="">
      <xdr:nvGraphicFramePr>
        <xdr:cNvPr id="2" name="Chart 1">
          <a:extLst>
            <a:ext uri="{FF2B5EF4-FFF2-40B4-BE49-F238E27FC236}">
              <a16:creationId xmlns:a16="http://schemas.microsoft.com/office/drawing/2014/main" id="{1A3CB034-059E-FAA3-CE22-0E538D8ED0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701400</xdr:colOff>
      <xdr:row>2</xdr:row>
      <xdr:rowOff>169859</xdr:rowOff>
    </xdr:from>
    <xdr:to>
      <xdr:col>28</xdr:col>
      <xdr:colOff>64283</xdr:colOff>
      <xdr:row>31</xdr:row>
      <xdr:rowOff>163509</xdr:rowOff>
    </xdr:to>
    <xdr:graphicFrame macro="">
      <xdr:nvGraphicFramePr>
        <xdr:cNvPr id="3" name="Chart 2">
          <a:extLst>
            <a:ext uri="{FF2B5EF4-FFF2-40B4-BE49-F238E27FC236}">
              <a16:creationId xmlns:a16="http://schemas.microsoft.com/office/drawing/2014/main" id="{B400E701-57B3-B9AB-94E0-EE181BD286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735479</xdr:colOff>
      <xdr:row>40</xdr:row>
      <xdr:rowOff>191993</xdr:rowOff>
    </xdr:from>
    <xdr:to>
      <xdr:col>12</xdr:col>
      <xdr:colOff>604051</xdr:colOff>
      <xdr:row>67</xdr:row>
      <xdr:rowOff>6402</xdr:rowOff>
    </xdr:to>
    <xdr:graphicFrame macro="">
      <xdr:nvGraphicFramePr>
        <xdr:cNvPr id="2" name="Chart 1">
          <a:extLst>
            <a:ext uri="{FF2B5EF4-FFF2-40B4-BE49-F238E27FC236}">
              <a16:creationId xmlns:a16="http://schemas.microsoft.com/office/drawing/2014/main" id="{78E5219A-0DF1-184D-A0CE-9FD3149A9C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491168</xdr:colOff>
      <xdr:row>20</xdr:row>
      <xdr:rowOff>70354</xdr:rowOff>
    </xdr:from>
    <xdr:to>
      <xdr:col>37</xdr:col>
      <xdr:colOff>362858</xdr:colOff>
      <xdr:row>38</xdr:row>
      <xdr:rowOff>54428</xdr:rowOff>
    </xdr:to>
    <xdr:graphicFrame macro="">
      <xdr:nvGraphicFramePr>
        <xdr:cNvPr id="3" name="Chart 2">
          <a:extLst>
            <a:ext uri="{FF2B5EF4-FFF2-40B4-BE49-F238E27FC236}">
              <a16:creationId xmlns:a16="http://schemas.microsoft.com/office/drawing/2014/main" id="{C9BA9899-2A59-3942-930D-BBC732A69B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445709</xdr:colOff>
      <xdr:row>0</xdr:row>
      <xdr:rowOff>80636</xdr:rowOff>
    </xdr:from>
    <xdr:to>
      <xdr:col>37</xdr:col>
      <xdr:colOff>277888</xdr:colOff>
      <xdr:row>19</xdr:row>
      <xdr:rowOff>131436</xdr:rowOff>
    </xdr:to>
    <xdr:graphicFrame macro="">
      <xdr:nvGraphicFramePr>
        <xdr:cNvPr id="4" name="Chart 3">
          <a:extLst>
            <a:ext uri="{FF2B5EF4-FFF2-40B4-BE49-F238E27FC236}">
              <a16:creationId xmlns:a16="http://schemas.microsoft.com/office/drawing/2014/main" id="{21797F1B-0393-894B-8F3B-F07883C5D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evalujeu.fr/"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240D6-9EE3-A546-A262-5E3C754F330C}">
  <sheetPr codeName="Sheet2"/>
  <dimension ref="A1:E1119"/>
  <sheetViews>
    <sheetView topLeftCell="A636" zoomScale="118" zoomScaleNormal="118" workbookViewId="0">
      <selection activeCell="P651" sqref="P651"/>
    </sheetView>
  </sheetViews>
  <sheetFormatPr baseColWidth="10" defaultRowHeight="16" x14ac:dyDescent="0.2"/>
  <cols>
    <col min="5" max="5" width="10.83203125" style="3"/>
  </cols>
  <sheetData>
    <row r="1" spans="1:5" x14ac:dyDescent="0.2">
      <c r="A1" s="1" t="s">
        <v>0</v>
      </c>
      <c r="E1" s="5" t="s">
        <v>306</v>
      </c>
    </row>
    <row r="2" spans="1:5" x14ac:dyDescent="0.2">
      <c r="A2" s="1" t="s">
        <v>1</v>
      </c>
      <c r="B2" s="1" t="s">
        <v>2</v>
      </c>
      <c r="C2" s="1" t="s">
        <v>3</v>
      </c>
      <c r="D2" s="1" t="s">
        <v>4</v>
      </c>
      <c r="E2" s="4">
        <v>1</v>
      </c>
    </row>
    <row r="3" spans="1:5" x14ac:dyDescent="0.2">
      <c r="A3">
        <v>1</v>
      </c>
      <c r="B3" t="s">
        <v>5</v>
      </c>
      <c r="C3">
        <v>2</v>
      </c>
      <c r="D3">
        <v>15</v>
      </c>
      <c r="E3" s="3">
        <f>1</f>
        <v>1</v>
      </c>
    </row>
    <row r="4" spans="1:5" x14ac:dyDescent="0.2">
      <c r="A4">
        <v>2</v>
      </c>
      <c r="B4" t="s">
        <v>6</v>
      </c>
      <c r="C4">
        <v>0</v>
      </c>
      <c r="D4">
        <v>11</v>
      </c>
      <c r="E4" s="3">
        <f>IF(A4=$A$1,E3+1,E3)</f>
        <v>1</v>
      </c>
    </row>
    <row r="5" spans="1:5" x14ac:dyDescent="0.2">
      <c r="A5">
        <v>3</v>
      </c>
      <c r="B5" t="s">
        <v>7</v>
      </c>
      <c r="C5">
        <v>2</v>
      </c>
      <c r="D5">
        <v>7</v>
      </c>
      <c r="E5" s="3">
        <f>1</f>
        <v>1</v>
      </c>
    </row>
    <row r="6" spans="1:5" x14ac:dyDescent="0.2">
      <c r="A6">
        <v>4</v>
      </c>
      <c r="B6" t="s">
        <v>8</v>
      </c>
      <c r="C6">
        <v>0</v>
      </c>
      <c r="D6">
        <v>3</v>
      </c>
      <c r="E6" s="3">
        <f>IF(A6=$A$1,E5+1,E5)</f>
        <v>1</v>
      </c>
    </row>
    <row r="7" spans="1:5" x14ac:dyDescent="0.2">
      <c r="A7">
        <v>5</v>
      </c>
      <c r="B7" t="s">
        <v>9</v>
      </c>
      <c r="C7">
        <v>0</v>
      </c>
      <c r="D7">
        <v>1</v>
      </c>
      <c r="E7" s="3">
        <f>1</f>
        <v>1</v>
      </c>
    </row>
    <row r="8" spans="1:5" x14ac:dyDescent="0.2">
      <c r="A8">
        <v>7</v>
      </c>
      <c r="B8" s="2" t="s">
        <v>10</v>
      </c>
      <c r="C8" s="2" t="s">
        <v>10</v>
      </c>
      <c r="D8" s="2" t="s">
        <v>10</v>
      </c>
      <c r="E8" s="3">
        <f>IF(A8=$A$1,E7+1,E7)</f>
        <v>1</v>
      </c>
    </row>
    <row r="9" spans="1:5" x14ac:dyDescent="0.2">
      <c r="A9">
        <v>8</v>
      </c>
      <c r="B9" s="2" t="s">
        <v>10</v>
      </c>
      <c r="C9" s="2" t="s">
        <v>10</v>
      </c>
      <c r="D9" s="2" t="s">
        <v>10</v>
      </c>
      <c r="E9" s="3">
        <f>1</f>
        <v>1</v>
      </c>
    </row>
    <row r="10" spans="1:5" x14ac:dyDescent="0.2">
      <c r="A10" s="1" t="s">
        <v>11</v>
      </c>
      <c r="E10" s="3">
        <f>IF(A10=$A$1,E9+1,E9)</f>
        <v>1</v>
      </c>
    </row>
    <row r="11" spans="1:5" x14ac:dyDescent="0.2">
      <c r="A11" s="1" t="s">
        <v>1</v>
      </c>
      <c r="B11" s="1" t="s">
        <v>2</v>
      </c>
      <c r="C11" s="1" t="s">
        <v>3</v>
      </c>
      <c r="D11" s="1" t="s">
        <v>4</v>
      </c>
      <c r="E11" s="3">
        <f>1</f>
        <v>1</v>
      </c>
    </row>
    <row r="12" spans="1:5" x14ac:dyDescent="0.2">
      <c r="A12">
        <v>1</v>
      </c>
      <c r="B12" t="s">
        <v>12</v>
      </c>
      <c r="C12">
        <v>2</v>
      </c>
      <c r="D12">
        <v>15</v>
      </c>
      <c r="E12" s="3">
        <f>IF(A12=$A$1,E11+1,E11)</f>
        <v>1</v>
      </c>
    </row>
    <row r="13" spans="1:5" x14ac:dyDescent="0.2">
      <c r="A13">
        <v>2</v>
      </c>
      <c r="B13" t="s">
        <v>13</v>
      </c>
      <c r="C13">
        <v>0</v>
      </c>
      <c r="D13">
        <v>11</v>
      </c>
      <c r="E13" s="3">
        <f>1</f>
        <v>1</v>
      </c>
    </row>
    <row r="14" spans="1:5" x14ac:dyDescent="0.2">
      <c r="A14">
        <v>3</v>
      </c>
      <c r="B14" t="s">
        <v>14</v>
      </c>
      <c r="C14">
        <v>1</v>
      </c>
      <c r="D14">
        <v>7</v>
      </c>
      <c r="E14" s="3">
        <f>IF(A14=$A$1,E13+1,E13)</f>
        <v>1</v>
      </c>
    </row>
    <row r="15" spans="1:5" x14ac:dyDescent="0.2">
      <c r="A15">
        <v>4</v>
      </c>
      <c r="B15" t="s">
        <v>15</v>
      </c>
      <c r="C15">
        <v>1</v>
      </c>
      <c r="D15">
        <v>3</v>
      </c>
      <c r="E15" s="3">
        <f>1</f>
        <v>1</v>
      </c>
    </row>
    <row r="16" spans="1:5" x14ac:dyDescent="0.2">
      <c r="A16">
        <v>5</v>
      </c>
      <c r="B16" t="s">
        <v>16</v>
      </c>
      <c r="C16">
        <v>0</v>
      </c>
      <c r="D16">
        <v>1</v>
      </c>
      <c r="E16" s="3">
        <f>IF(A16=$A$1,E15+1,E15)</f>
        <v>1</v>
      </c>
    </row>
    <row r="17" spans="1:5" x14ac:dyDescent="0.2">
      <c r="A17">
        <v>6</v>
      </c>
      <c r="B17" s="2" t="s">
        <v>10</v>
      </c>
      <c r="C17" s="2" t="s">
        <v>10</v>
      </c>
      <c r="D17" s="2" t="s">
        <v>10</v>
      </c>
      <c r="E17" s="3">
        <f>1</f>
        <v>1</v>
      </c>
    </row>
    <row r="18" spans="1:5" x14ac:dyDescent="0.2">
      <c r="A18">
        <v>7</v>
      </c>
      <c r="B18" s="2" t="s">
        <v>10</v>
      </c>
      <c r="C18" s="2" t="s">
        <v>10</v>
      </c>
      <c r="D18" s="2" t="s">
        <v>10</v>
      </c>
      <c r="E18" s="3">
        <f>IF(A18=$A$1,E17+1,E17)</f>
        <v>1</v>
      </c>
    </row>
    <row r="19" spans="1:5" x14ac:dyDescent="0.2">
      <c r="A19">
        <v>8</v>
      </c>
      <c r="B19" s="2" t="s">
        <v>10</v>
      </c>
      <c r="C19" s="2" t="s">
        <v>10</v>
      </c>
      <c r="D19" s="2" t="s">
        <v>10</v>
      </c>
      <c r="E19" s="3">
        <f>1</f>
        <v>1</v>
      </c>
    </row>
    <row r="20" spans="1:5" x14ac:dyDescent="0.2">
      <c r="A20" s="1" t="s">
        <v>17</v>
      </c>
      <c r="E20" s="3">
        <f>IF(A20=$A$1,E19+1,E19)</f>
        <v>1</v>
      </c>
    </row>
    <row r="21" spans="1:5" x14ac:dyDescent="0.2">
      <c r="A21" s="1" t="s">
        <v>1</v>
      </c>
      <c r="B21" s="1" t="s">
        <v>2</v>
      </c>
      <c r="C21" s="1" t="s">
        <v>3</v>
      </c>
      <c r="D21" s="1" t="s">
        <v>4</v>
      </c>
      <c r="E21" s="3">
        <f>1</f>
        <v>1</v>
      </c>
    </row>
    <row r="22" spans="1:5" x14ac:dyDescent="0.2">
      <c r="A22">
        <v>1</v>
      </c>
      <c r="B22" t="s">
        <v>18</v>
      </c>
      <c r="C22">
        <v>4</v>
      </c>
      <c r="D22">
        <v>16</v>
      </c>
      <c r="E22" s="3">
        <f>IF(A22=$A$1,E21+1,E21)</f>
        <v>1</v>
      </c>
    </row>
    <row r="23" spans="1:5" x14ac:dyDescent="0.2">
      <c r="A23">
        <v>2</v>
      </c>
      <c r="B23" t="s">
        <v>19</v>
      </c>
      <c r="C23">
        <v>1</v>
      </c>
      <c r="D23">
        <v>12</v>
      </c>
      <c r="E23" s="3">
        <f>1</f>
        <v>1</v>
      </c>
    </row>
    <row r="24" spans="1:5" x14ac:dyDescent="0.2">
      <c r="A24">
        <v>3</v>
      </c>
      <c r="B24" t="s">
        <v>20</v>
      </c>
      <c r="C24">
        <v>0</v>
      </c>
      <c r="D24">
        <v>8</v>
      </c>
      <c r="E24" s="3">
        <f>IF(A24=$A$1,E23+1,E23)</f>
        <v>1</v>
      </c>
    </row>
    <row r="25" spans="1:5" x14ac:dyDescent="0.2">
      <c r="A25">
        <v>4</v>
      </c>
      <c r="B25" t="s">
        <v>21</v>
      </c>
      <c r="C25">
        <v>0</v>
      </c>
      <c r="D25">
        <v>4</v>
      </c>
      <c r="E25" s="3">
        <f>1</f>
        <v>1</v>
      </c>
    </row>
    <row r="26" spans="1:5" x14ac:dyDescent="0.2">
      <c r="A26">
        <v>5</v>
      </c>
      <c r="B26" t="s">
        <v>22</v>
      </c>
      <c r="C26">
        <v>0</v>
      </c>
      <c r="D26">
        <v>2</v>
      </c>
      <c r="E26" s="3">
        <f>IF(A26=$A$1,E25+1,E25)</f>
        <v>1</v>
      </c>
    </row>
    <row r="27" spans="1:5" x14ac:dyDescent="0.2">
      <c r="A27">
        <v>6</v>
      </c>
      <c r="B27" t="s">
        <v>23</v>
      </c>
      <c r="C27">
        <v>0</v>
      </c>
      <c r="D27">
        <v>1</v>
      </c>
      <c r="E27" s="3">
        <f>1</f>
        <v>1</v>
      </c>
    </row>
    <row r="28" spans="1:5" x14ac:dyDescent="0.2">
      <c r="A28">
        <v>7</v>
      </c>
      <c r="B28" s="2" t="s">
        <v>10</v>
      </c>
      <c r="C28" s="2" t="s">
        <v>10</v>
      </c>
      <c r="D28" s="2" t="s">
        <v>10</v>
      </c>
      <c r="E28" s="3">
        <f>IF(A28=$A$1,E27+1,E27)</f>
        <v>1</v>
      </c>
    </row>
    <row r="29" spans="1:5" x14ac:dyDescent="0.2">
      <c r="A29">
        <v>8</v>
      </c>
      <c r="B29" s="2" t="s">
        <v>10</v>
      </c>
      <c r="C29" s="2" t="s">
        <v>10</v>
      </c>
      <c r="D29" s="2" t="s">
        <v>10</v>
      </c>
      <c r="E29" s="3">
        <f>1</f>
        <v>1</v>
      </c>
    </row>
    <row r="30" spans="1:5" x14ac:dyDescent="0.2">
      <c r="A30" s="1" t="s">
        <v>24</v>
      </c>
      <c r="E30" s="3">
        <f>IF(A30=$A$1,E29+1,E29)</f>
        <v>1</v>
      </c>
    </row>
    <row r="31" spans="1:5" x14ac:dyDescent="0.2">
      <c r="A31" s="1" t="s">
        <v>1</v>
      </c>
      <c r="B31" s="1" t="s">
        <v>2</v>
      </c>
      <c r="C31" s="1" t="s">
        <v>3</v>
      </c>
      <c r="D31" s="1" t="s">
        <v>4</v>
      </c>
      <c r="E31" s="3">
        <f>1</f>
        <v>1</v>
      </c>
    </row>
    <row r="32" spans="1:5" x14ac:dyDescent="0.2">
      <c r="A32">
        <v>1</v>
      </c>
      <c r="B32" t="s">
        <v>25</v>
      </c>
      <c r="C32">
        <v>3</v>
      </c>
      <c r="D32">
        <v>15</v>
      </c>
      <c r="E32" s="3">
        <f t="shared" ref="E32:E95" si="0">IF(A32=$A$1,E31+1,E31)</f>
        <v>1</v>
      </c>
    </row>
    <row r="33" spans="1:5" x14ac:dyDescent="0.2">
      <c r="A33">
        <v>2</v>
      </c>
      <c r="B33" t="s">
        <v>26</v>
      </c>
      <c r="C33">
        <v>1</v>
      </c>
      <c r="D33">
        <v>11</v>
      </c>
      <c r="E33" s="3">
        <f t="shared" si="0"/>
        <v>1</v>
      </c>
    </row>
    <row r="34" spans="1:5" x14ac:dyDescent="0.2">
      <c r="A34">
        <v>3</v>
      </c>
      <c r="B34" t="s">
        <v>27</v>
      </c>
      <c r="C34">
        <v>0</v>
      </c>
      <c r="D34">
        <v>7</v>
      </c>
      <c r="E34" s="3">
        <f t="shared" si="0"/>
        <v>1</v>
      </c>
    </row>
    <row r="35" spans="1:5" x14ac:dyDescent="0.2">
      <c r="A35">
        <v>4</v>
      </c>
      <c r="B35" t="s">
        <v>28</v>
      </c>
      <c r="C35">
        <v>0</v>
      </c>
      <c r="D35">
        <v>3</v>
      </c>
      <c r="E35" s="3">
        <f t="shared" si="0"/>
        <v>1</v>
      </c>
    </row>
    <row r="36" spans="1:5" x14ac:dyDescent="0.2">
      <c r="A36">
        <v>5</v>
      </c>
      <c r="B36" t="s">
        <v>29</v>
      </c>
      <c r="C36">
        <v>0</v>
      </c>
      <c r="D36">
        <v>1</v>
      </c>
      <c r="E36" s="3">
        <f t="shared" si="0"/>
        <v>1</v>
      </c>
    </row>
    <row r="37" spans="1:5" x14ac:dyDescent="0.2">
      <c r="A37">
        <v>6</v>
      </c>
      <c r="B37" s="2" t="s">
        <v>10</v>
      </c>
      <c r="C37" s="2" t="s">
        <v>10</v>
      </c>
      <c r="D37" s="2" t="s">
        <v>10</v>
      </c>
      <c r="E37" s="3">
        <f t="shared" si="0"/>
        <v>1</v>
      </c>
    </row>
    <row r="38" spans="1:5" x14ac:dyDescent="0.2">
      <c r="A38">
        <v>7</v>
      </c>
      <c r="B38" s="2" t="s">
        <v>10</v>
      </c>
      <c r="C38" s="2" t="s">
        <v>10</v>
      </c>
      <c r="D38" s="2" t="s">
        <v>10</v>
      </c>
      <c r="E38" s="3">
        <f t="shared" si="0"/>
        <v>1</v>
      </c>
    </row>
    <row r="39" spans="1:5" x14ac:dyDescent="0.2">
      <c r="A39">
        <v>8</v>
      </c>
      <c r="B39" s="2" t="s">
        <v>10</v>
      </c>
      <c r="C39" s="2" t="s">
        <v>10</v>
      </c>
      <c r="D39" s="2" t="s">
        <v>10</v>
      </c>
      <c r="E39" s="3">
        <f t="shared" si="0"/>
        <v>1</v>
      </c>
    </row>
    <row r="40" spans="1:5" x14ac:dyDescent="0.2">
      <c r="A40" s="1" t="s">
        <v>30</v>
      </c>
      <c r="E40" s="3">
        <f t="shared" si="0"/>
        <v>1</v>
      </c>
    </row>
    <row r="41" spans="1:5" x14ac:dyDescent="0.2">
      <c r="A41" s="1" t="s">
        <v>1</v>
      </c>
      <c r="B41" s="1" t="s">
        <v>2</v>
      </c>
      <c r="C41" s="1" t="s">
        <v>3</v>
      </c>
      <c r="D41" s="1" t="s">
        <v>4</v>
      </c>
      <c r="E41" s="3">
        <f t="shared" si="0"/>
        <v>1</v>
      </c>
    </row>
    <row r="42" spans="1:5" x14ac:dyDescent="0.2">
      <c r="A42">
        <v>1</v>
      </c>
      <c r="B42" t="s">
        <v>31</v>
      </c>
      <c r="C42">
        <v>4</v>
      </c>
      <c r="D42">
        <v>16</v>
      </c>
      <c r="E42" s="3">
        <f t="shared" si="0"/>
        <v>1</v>
      </c>
    </row>
    <row r="43" spans="1:5" x14ac:dyDescent="0.2">
      <c r="A43">
        <v>2</v>
      </c>
      <c r="B43" t="s">
        <v>32</v>
      </c>
      <c r="C43">
        <v>1</v>
      </c>
      <c r="D43">
        <v>12</v>
      </c>
      <c r="E43" s="3">
        <f t="shared" si="0"/>
        <v>1</v>
      </c>
    </row>
    <row r="44" spans="1:5" x14ac:dyDescent="0.2">
      <c r="A44">
        <v>3</v>
      </c>
      <c r="B44" t="s">
        <v>33</v>
      </c>
      <c r="C44">
        <v>0</v>
      </c>
      <c r="D44">
        <v>8</v>
      </c>
      <c r="E44" s="3">
        <f t="shared" si="0"/>
        <v>1</v>
      </c>
    </row>
    <row r="45" spans="1:5" x14ac:dyDescent="0.2">
      <c r="A45">
        <v>4</v>
      </c>
      <c r="B45" t="s">
        <v>34</v>
      </c>
      <c r="C45">
        <v>0</v>
      </c>
      <c r="D45">
        <v>4</v>
      </c>
      <c r="E45" s="3">
        <f t="shared" si="0"/>
        <v>1</v>
      </c>
    </row>
    <row r="46" spans="1:5" x14ac:dyDescent="0.2">
      <c r="A46">
        <v>5</v>
      </c>
      <c r="B46" t="s">
        <v>35</v>
      </c>
      <c r="C46">
        <v>0</v>
      </c>
      <c r="D46">
        <v>2</v>
      </c>
      <c r="E46" s="3">
        <f t="shared" si="0"/>
        <v>1</v>
      </c>
    </row>
    <row r="47" spans="1:5" x14ac:dyDescent="0.2">
      <c r="A47">
        <v>6</v>
      </c>
      <c r="B47" t="s">
        <v>36</v>
      </c>
      <c r="C47">
        <v>0</v>
      </c>
      <c r="D47">
        <v>1</v>
      </c>
      <c r="E47" s="3">
        <f t="shared" si="0"/>
        <v>1</v>
      </c>
    </row>
    <row r="48" spans="1:5" x14ac:dyDescent="0.2">
      <c r="A48">
        <v>7</v>
      </c>
      <c r="B48" s="2" t="s">
        <v>10</v>
      </c>
      <c r="C48" s="2" t="s">
        <v>10</v>
      </c>
      <c r="D48" s="2" t="s">
        <v>10</v>
      </c>
      <c r="E48" s="3">
        <f t="shared" si="0"/>
        <v>1</v>
      </c>
    </row>
    <row r="49" spans="1:5" x14ac:dyDescent="0.2">
      <c r="A49">
        <v>8</v>
      </c>
      <c r="B49" s="2" t="s">
        <v>10</v>
      </c>
      <c r="C49" s="2" t="s">
        <v>10</v>
      </c>
      <c r="D49" s="2" t="s">
        <v>10</v>
      </c>
      <c r="E49" s="3">
        <f t="shared" si="0"/>
        <v>1</v>
      </c>
    </row>
    <row r="50" spans="1:5" x14ac:dyDescent="0.2">
      <c r="A50" s="1" t="s">
        <v>37</v>
      </c>
      <c r="E50" s="3">
        <f t="shared" si="0"/>
        <v>1</v>
      </c>
    </row>
    <row r="51" spans="1:5" x14ac:dyDescent="0.2">
      <c r="A51" s="1" t="s">
        <v>1</v>
      </c>
      <c r="B51" s="1" t="s">
        <v>2</v>
      </c>
      <c r="C51" s="1" t="s">
        <v>3</v>
      </c>
      <c r="D51" s="1" t="s">
        <v>4</v>
      </c>
      <c r="E51" s="3">
        <f t="shared" si="0"/>
        <v>1</v>
      </c>
    </row>
    <row r="52" spans="1:5" x14ac:dyDescent="0.2">
      <c r="A52">
        <v>1</v>
      </c>
      <c r="B52" t="s">
        <v>38</v>
      </c>
      <c r="C52">
        <v>3</v>
      </c>
      <c r="D52">
        <v>16</v>
      </c>
      <c r="E52" s="3">
        <f t="shared" si="0"/>
        <v>1</v>
      </c>
    </row>
    <row r="53" spans="1:5" x14ac:dyDescent="0.2">
      <c r="A53">
        <v>2</v>
      </c>
      <c r="B53" t="s">
        <v>39</v>
      </c>
      <c r="C53">
        <v>2</v>
      </c>
      <c r="D53">
        <v>12</v>
      </c>
      <c r="E53" s="3">
        <f t="shared" si="0"/>
        <v>1</v>
      </c>
    </row>
    <row r="54" spans="1:5" x14ac:dyDescent="0.2">
      <c r="A54">
        <v>3</v>
      </c>
      <c r="B54" t="s">
        <v>40</v>
      </c>
      <c r="C54">
        <v>0</v>
      </c>
      <c r="D54">
        <v>8</v>
      </c>
      <c r="E54" s="3">
        <f t="shared" si="0"/>
        <v>1</v>
      </c>
    </row>
    <row r="55" spans="1:5" x14ac:dyDescent="0.2">
      <c r="A55">
        <v>4</v>
      </c>
      <c r="B55" t="s">
        <v>41</v>
      </c>
      <c r="C55">
        <v>0</v>
      </c>
      <c r="D55">
        <v>4</v>
      </c>
      <c r="E55" s="3">
        <f t="shared" si="0"/>
        <v>1</v>
      </c>
    </row>
    <row r="56" spans="1:5" x14ac:dyDescent="0.2">
      <c r="A56">
        <v>5</v>
      </c>
      <c r="B56" t="s">
        <v>42</v>
      </c>
      <c r="C56">
        <v>0</v>
      </c>
      <c r="D56">
        <v>2</v>
      </c>
      <c r="E56" s="3">
        <f t="shared" si="0"/>
        <v>1</v>
      </c>
    </row>
    <row r="57" spans="1:5" x14ac:dyDescent="0.2">
      <c r="A57">
        <v>6</v>
      </c>
      <c r="B57" t="s">
        <v>43</v>
      </c>
      <c r="C57">
        <v>0</v>
      </c>
      <c r="D57">
        <v>1</v>
      </c>
      <c r="E57" s="3">
        <f t="shared" si="0"/>
        <v>1</v>
      </c>
    </row>
    <row r="58" spans="1:5" x14ac:dyDescent="0.2">
      <c r="A58">
        <v>7</v>
      </c>
      <c r="B58" s="2" t="s">
        <v>10</v>
      </c>
      <c r="C58" s="2" t="s">
        <v>10</v>
      </c>
      <c r="D58" s="2" t="s">
        <v>10</v>
      </c>
      <c r="E58" s="3">
        <f t="shared" si="0"/>
        <v>1</v>
      </c>
    </row>
    <row r="59" spans="1:5" x14ac:dyDescent="0.2">
      <c r="A59">
        <v>8</v>
      </c>
      <c r="B59" s="2" t="s">
        <v>10</v>
      </c>
      <c r="C59" s="2" t="s">
        <v>10</v>
      </c>
      <c r="D59" s="2" t="s">
        <v>10</v>
      </c>
      <c r="E59" s="3">
        <f t="shared" si="0"/>
        <v>1</v>
      </c>
    </row>
    <row r="60" spans="1:5" x14ac:dyDescent="0.2">
      <c r="A60" s="1" t="s">
        <v>44</v>
      </c>
      <c r="E60" s="3">
        <f t="shared" si="0"/>
        <v>1</v>
      </c>
    </row>
    <row r="61" spans="1:5" x14ac:dyDescent="0.2">
      <c r="A61" s="1" t="s">
        <v>1</v>
      </c>
      <c r="B61" s="1" t="s">
        <v>2</v>
      </c>
      <c r="C61" s="1" t="s">
        <v>3</v>
      </c>
      <c r="D61" s="1" t="s">
        <v>4</v>
      </c>
      <c r="E61" s="3">
        <f t="shared" si="0"/>
        <v>1</v>
      </c>
    </row>
    <row r="62" spans="1:5" x14ac:dyDescent="0.2">
      <c r="A62">
        <v>1</v>
      </c>
      <c r="B62" t="s">
        <v>45</v>
      </c>
      <c r="C62">
        <v>1</v>
      </c>
      <c r="D62">
        <v>16</v>
      </c>
      <c r="E62" s="3">
        <f t="shared" si="0"/>
        <v>1</v>
      </c>
    </row>
    <row r="63" spans="1:5" x14ac:dyDescent="0.2">
      <c r="A63">
        <v>2</v>
      </c>
      <c r="B63" t="s">
        <v>46</v>
      </c>
      <c r="C63">
        <v>2</v>
      </c>
      <c r="D63">
        <v>12</v>
      </c>
      <c r="E63" s="3">
        <f t="shared" si="0"/>
        <v>1</v>
      </c>
    </row>
    <row r="64" spans="1:5" x14ac:dyDescent="0.2">
      <c r="A64">
        <v>3</v>
      </c>
      <c r="B64" t="s">
        <v>47</v>
      </c>
      <c r="C64">
        <v>1</v>
      </c>
      <c r="D64">
        <v>8</v>
      </c>
      <c r="E64" s="3">
        <f t="shared" si="0"/>
        <v>1</v>
      </c>
    </row>
    <row r="65" spans="1:5" x14ac:dyDescent="0.2">
      <c r="A65">
        <v>4</v>
      </c>
      <c r="B65" t="s">
        <v>48</v>
      </c>
      <c r="C65">
        <v>1</v>
      </c>
      <c r="D65">
        <v>4</v>
      </c>
      <c r="E65" s="3">
        <f t="shared" si="0"/>
        <v>1</v>
      </c>
    </row>
    <row r="66" spans="1:5" x14ac:dyDescent="0.2">
      <c r="A66">
        <v>5</v>
      </c>
      <c r="B66" t="s">
        <v>49</v>
      </c>
      <c r="C66">
        <v>0</v>
      </c>
      <c r="D66">
        <v>2</v>
      </c>
      <c r="E66" s="3">
        <f t="shared" si="0"/>
        <v>1</v>
      </c>
    </row>
    <row r="67" spans="1:5" x14ac:dyDescent="0.2">
      <c r="A67">
        <v>6</v>
      </c>
      <c r="B67" t="s">
        <v>50</v>
      </c>
      <c r="C67">
        <v>0</v>
      </c>
      <c r="D67">
        <v>1</v>
      </c>
      <c r="E67" s="3">
        <f t="shared" si="0"/>
        <v>1</v>
      </c>
    </row>
    <row r="68" spans="1:5" x14ac:dyDescent="0.2">
      <c r="A68">
        <v>7</v>
      </c>
      <c r="B68" s="2" t="s">
        <v>10</v>
      </c>
      <c r="C68" s="2" t="s">
        <v>10</v>
      </c>
      <c r="D68" s="2" t="s">
        <v>10</v>
      </c>
      <c r="E68" s="3">
        <f t="shared" si="0"/>
        <v>1</v>
      </c>
    </row>
    <row r="69" spans="1:5" x14ac:dyDescent="0.2">
      <c r="A69">
        <v>8</v>
      </c>
      <c r="B69" s="2" t="s">
        <v>10</v>
      </c>
      <c r="C69" s="2" t="s">
        <v>10</v>
      </c>
      <c r="D69" s="2" t="s">
        <v>10</v>
      </c>
      <c r="E69" s="3">
        <f t="shared" si="0"/>
        <v>1</v>
      </c>
    </row>
    <row r="70" spans="1:5" x14ac:dyDescent="0.2">
      <c r="A70" s="1" t="s">
        <v>51</v>
      </c>
      <c r="E70" s="3">
        <f t="shared" si="0"/>
        <v>1</v>
      </c>
    </row>
    <row r="71" spans="1:5" x14ac:dyDescent="0.2">
      <c r="A71" s="1" t="s">
        <v>1</v>
      </c>
      <c r="B71" s="1" t="s">
        <v>2</v>
      </c>
      <c r="C71" s="1" t="s">
        <v>3</v>
      </c>
      <c r="D71" s="1" t="s">
        <v>4</v>
      </c>
      <c r="E71" s="3">
        <f t="shared" si="0"/>
        <v>1</v>
      </c>
    </row>
    <row r="72" spans="1:5" x14ac:dyDescent="0.2">
      <c r="A72">
        <v>1</v>
      </c>
      <c r="B72" t="s">
        <v>52</v>
      </c>
      <c r="C72">
        <v>3</v>
      </c>
      <c r="D72">
        <v>16</v>
      </c>
      <c r="E72" s="3">
        <f t="shared" si="0"/>
        <v>1</v>
      </c>
    </row>
    <row r="73" spans="1:5" x14ac:dyDescent="0.2">
      <c r="A73">
        <v>2</v>
      </c>
      <c r="B73" t="s">
        <v>53</v>
      </c>
      <c r="C73">
        <v>1</v>
      </c>
      <c r="D73">
        <v>12</v>
      </c>
      <c r="E73" s="3">
        <f t="shared" si="0"/>
        <v>1</v>
      </c>
    </row>
    <row r="74" spans="1:5" x14ac:dyDescent="0.2">
      <c r="A74">
        <v>3</v>
      </c>
      <c r="B74" t="s">
        <v>54</v>
      </c>
      <c r="C74">
        <v>1</v>
      </c>
      <c r="D74">
        <v>8</v>
      </c>
      <c r="E74" s="3">
        <f t="shared" si="0"/>
        <v>1</v>
      </c>
    </row>
    <row r="75" spans="1:5" x14ac:dyDescent="0.2">
      <c r="A75">
        <v>4</v>
      </c>
      <c r="B75" t="s">
        <v>55</v>
      </c>
      <c r="C75">
        <v>0</v>
      </c>
      <c r="D75">
        <v>4</v>
      </c>
      <c r="E75" s="3">
        <f t="shared" si="0"/>
        <v>1</v>
      </c>
    </row>
    <row r="76" spans="1:5" x14ac:dyDescent="0.2">
      <c r="A76">
        <v>5</v>
      </c>
      <c r="B76" t="s">
        <v>56</v>
      </c>
      <c r="C76">
        <v>0</v>
      </c>
      <c r="D76">
        <v>2</v>
      </c>
      <c r="E76" s="3">
        <f t="shared" si="0"/>
        <v>1</v>
      </c>
    </row>
    <row r="77" spans="1:5" x14ac:dyDescent="0.2">
      <c r="A77">
        <v>6</v>
      </c>
      <c r="B77" t="s">
        <v>57</v>
      </c>
      <c r="C77">
        <v>0</v>
      </c>
      <c r="D77">
        <v>1</v>
      </c>
      <c r="E77" s="3">
        <f t="shared" si="0"/>
        <v>1</v>
      </c>
    </row>
    <row r="78" spans="1:5" x14ac:dyDescent="0.2">
      <c r="A78">
        <v>7</v>
      </c>
      <c r="B78" s="2" t="s">
        <v>10</v>
      </c>
      <c r="C78" s="2" t="s">
        <v>10</v>
      </c>
      <c r="D78" s="2" t="s">
        <v>10</v>
      </c>
      <c r="E78" s="3">
        <f t="shared" si="0"/>
        <v>1</v>
      </c>
    </row>
    <row r="79" spans="1:5" x14ac:dyDescent="0.2">
      <c r="A79">
        <v>8</v>
      </c>
      <c r="B79" s="2" t="s">
        <v>10</v>
      </c>
      <c r="C79" s="2" t="s">
        <v>10</v>
      </c>
      <c r="D79" s="2" t="s">
        <v>10</v>
      </c>
      <c r="E79" s="3">
        <f t="shared" si="0"/>
        <v>1</v>
      </c>
    </row>
    <row r="80" spans="1:5" x14ac:dyDescent="0.2">
      <c r="A80" s="1" t="s">
        <v>58</v>
      </c>
      <c r="E80" s="3">
        <f t="shared" si="0"/>
        <v>1</v>
      </c>
    </row>
    <row r="81" spans="1:5" x14ac:dyDescent="0.2">
      <c r="A81" s="1" t="s">
        <v>1</v>
      </c>
      <c r="B81" s="1" t="s">
        <v>2</v>
      </c>
      <c r="C81" s="1" t="s">
        <v>3</v>
      </c>
      <c r="D81" s="1" t="s">
        <v>4</v>
      </c>
      <c r="E81" s="3">
        <f t="shared" si="0"/>
        <v>1</v>
      </c>
    </row>
    <row r="82" spans="1:5" x14ac:dyDescent="0.2">
      <c r="A82">
        <v>1</v>
      </c>
      <c r="B82" t="s">
        <v>59</v>
      </c>
      <c r="C82">
        <v>2</v>
      </c>
      <c r="D82">
        <v>15</v>
      </c>
      <c r="E82" s="3">
        <f t="shared" si="0"/>
        <v>1</v>
      </c>
    </row>
    <row r="83" spans="1:5" x14ac:dyDescent="0.2">
      <c r="A83">
        <v>2</v>
      </c>
      <c r="B83" t="s">
        <v>60</v>
      </c>
      <c r="C83">
        <v>2</v>
      </c>
      <c r="D83">
        <v>11</v>
      </c>
      <c r="E83" s="3">
        <f t="shared" si="0"/>
        <v>1</v>
      </c>
    </row>
    <row r="84" spans="1:5" x14ac:dyDescent="0.2">
      <c r="A84">
        <v>3</v>
      </c>
      <c r="B84" t="s">
        <v>61</v>
      </c>
      <c r="C84">
        <v>0</v>
      </c>
      <c r="D84">
        <v>7</v>
      </c>
      <c r="E84" s="3">
        <f t="shared" si="0"/>
        <v>1</v>
      </c>
    </row>
    <row r="85" spans="1:5" x14ac:dyDescent="0.2">
      <c r="A85">
        <v>4</v>
      </c>
      <c r="B85" t="s">
        <v>62</v>
      </c>
      <c r="C85">
        <v>0</v>
      </c>
      <c r="D85">
        <v>3</v>
      </c>
      <c r="E85" s="3">
        <f t="shared" si="0"/>
        <v>1</v>
      </c>
    </row>
    <row r="86" spans="1:5" x14ac:dyDescent="0.2">
      <c r="A86">
        <v>5</v>
      </c>
      <c r="B86" t="s">
        <v>63</v>
      </c>
      <c r="C86">
        <v>0</v>
      </c>
      <c r="D86">
        <v>1</v>
      </c>
      <c r="E86" s="3">
        <f t="shared" si="0"/>
        <v>1</v>
      </c>
    </row>
    <row r="87" spans="1:5" x14ac:dyDescent="0.2">
      <c r="A87">
        <v>6</v>
      </c>
      <c r="B87" s="2" t="s">
        <v>10</v>
      </c>
      <c r="C87" s="2" t="s">
        <v>10</v>
      </c>
      <c r="D87" s="2" t="s">
        <v>10</v>
      </c>
      <c r="E87" s="3">
        <f t="shared" si="0"/>
        <v>1</v>
      </c>
    </row>
    <row r="88" spans="1:5" x14ac:dyDescent="0.2">
      <c r="A88">
        <v>7</v>
      </c>
      <c r="B88" s="2" t="s">
        <v>10</v>
      </c>
      <c r="C88" s="2" t="s">
        <v>10</v>
      </c>
      <c r="D88" s="2" t="s">
        <v>10</v>
      </c>
      <c r="E88" s="3">
        <f t="shared" si="0"/>
        <v>1</v>
      </c>
    </row>
    <row r="89" spans="1:5" x14ac:dyDescent="0.2">
      <c r="A89">
        <v>8</v>
      </c>
      <c r="B89" s="2" t="s">
        <v>10</v>
      </c>
      <c r="C89" s="2" t="s">
        <v>10</v>
      </c>
      <c r="D89" s="2" t="s">
        <v>10</v>
      </c>
      <c r="E89" s="3">
        <f t="shared" si="0"/>
        <v>1</v>
      </c>
    </row>
    <row r="90" spans="1:5" x14ac:dyDescent="0.2">
      <c r="A90" s="1" t="s">
        <v>64</v>
      </c>
      <c r="E90" s="3">
        <f t="shared" si="0"/>
        <v>1</v>
      </c>
    </row>
    <row r="91" spans="1:5" x14ac:dyDescent="0.2">
      <c r="A91" s="1" t="s">
        <v>1</v>
      </c>
      <c r="B91" s="1" t="s">
        <v>2</v>
      </c>
      <c r="C91" s="1" t="s">
        <v>3</v>
      </c>
      <c r="D91" s="1" t="s">
        <v>4</v>
      </c>
      <c r="E91" s="3">
        <f t="shared" si="0"/>
        <v>1</v>
      </c>
    </row>
    <row r="92" spans="1:5" x14ac:dyDescent="0.2">
      <c r="A92">
        <v>1</v>
      </c>
      <c r="B92" t="s">
        <v>65</v>
      </c>
      <c r="C92">
        <v>1</v>
      </c>
      <c r="D92">
        <v>15</v>
      </c>
      <c r="E92" s="3">
        <f t="shared" si="0"/>
        <v>1</v>
      </c>
    </row>
    <row r="93" spans="1:5" x14ac:dyDescent="0.2">
      <c r="A93">
        <v>2</v>
      </c>
      <c r="B93" t="s">
        <v>66</v>
      </c>
      <c r="C93">
        <v>2</v>
      </c>
      <c r="D93">
        <v>11</v>
      </c>
      <c r="E93" s="3">
        <f t="shared" si="0"/>
        <v>1</v>
      </c>
    </row>
    <row r="94" spans="1:5" x14ac:dyDescent="0.2">
      <c r="A94">
        <v>3</v>
      </c>
      <c r="B94" t="s">
        <v>67</v>
      </c>
      <c r="C94">
        <v>1</v>
      </c>
      <c r="D94">
        <v>7</v>
      </c>
      <c r="E94" s="3">
        <f t="shared" si="0"/>
        <v>1</v>
      </c>
    </row>
    <row r="95" spans="1:5" x14ac:dyDescent="0.2">
      <c r="A95">
        <v>4</v>
      </c>
      <c r="B95" t="s">
        <v>68</v>
      </c>
      <c r="C95">
        <v>0</v>
      </c>
      <c r="D95">
        <v>3</v>
      </c>
      <c r="E95" s="3">
        <f t="shared" si="0"/>
        <v>1</v>
      </c>
    </row>
    <row r="96" spans="1:5" x14ac:dyDescent="0.2">
      <c r="A96">
        <v>5</v>
      </c>
      <c r="B96" t="s">
        <v>69</v>
      </c>
      <c r="C96">
        <v>0</v>
      </c>
      <c r="D96">
        <v>1</v>
      </c>
      <c r="E96" s="3">
        <f t="shared" ref="E96:E159" si="1">IF(A96=$A$1,E95+1,E95)</f>
        <v>1</v>
      </c>
    </row>
    <row r="97" spans="1:5" x14ac:dyDescent="0.2">
      <c r="A97">
        <v>6</v>
      </c>
      <c r="B97" s="2" t="s">
        <v>10</v>
      </c>
      <c r="C97" s="2" t="s">
        <v>10</v>
      </c>
      <c r="D97" s="2" t="s">
        <v>10</v>
      </c>
      <c r="E97" s="3">
        <f t="shared" si="1"/>
        <v>1</v>
      </c>
    </row>
    <row r="98" spans="1:5" x14ac:dyDescent="0.2">
      <c r="A98">
        <v>7</v>
      </c>
      <c r="B98" s="2" t="s">
        <v>10</v>
      </c>
      <c r="C98" s="2" t="s">
        <v>10</v>
      </c>
      <c r="D98" s="2" t="s">
        <v>10</v>
      </c>
      <c r="E98" s="3">
        <f t="shared" si="1"/>
        <v>1</v>
      </c>
    </row>
    <row r="99" spans="1:5" x14ac:dyDescent="0.2">
      <c r="A99">
        <v>8</v>
      </c>
      <c r="B99" s="2" t="s">
        <v>10</v>
      </c>
      <c r="C99" s="2" t="s">
        <v>10</v>
      </c>
      <c r="D99" s="2" t="s">
        <v>10</v>
      </c>
      <c r="E99" s="3">
        <f t="shared" si="1"/>
        <v>1</v>
      </c>
    </row>
    <row r="100" spans="1:5" x14ac:dyDescent="0.2">
      <c r="A100" s="1" t="s">
        <v>70</v>
      </c>
      <c r="E100" s="3">
        <f t="shared" si="1"/>
        <v>1</v>
      </c>
    </row>
    <row r="101" spans="1:5" x14ac:dyDescent="0.2">
      <c r="A101" s="1" t="s">
        <v>1</v>
      </c>
      <c r="B101" s="1" t="s">
        <v>2</v>
      </c>
      <c r="C101" s="1" t="s">
        <v>3</v>
      </c>
      <c r="D101" s="1" t="s">
        <v>4</v>
      </c>
      <c r="E101" s="3">
        <f t="shared" si="1"/>
        <v>1</v>
      </c>
    </row>
    <row r="102" spans="1:5" x14ac:dyDescent="0.2">
      <c r="A102">
        <v>1</v>
      </c>
      <c r="B102" t="s">
        <v>71</v>
      </c>
      <c r="C102">
        <v>2</v>
      </c>
      <c r="D102">
        <v>16</v>
      </c>
      <c r="E102" s="3">
        <f t="shared" si="1"/>
        <v>1</v>
      </c>
    </row>
    <row r="103" spans="1:5" x14ac:dyDescent="0.2">
      <c r="A103">
        <v>2</v>
      </c>
      <c r="B103" t="s">
        <v>72</v>
      </c>
      <c r="C103">
        <v>2</v>
      </c>
      <c r="D103">
        <v>12</v>
      </c>
      <c r="E103" s="3">
        <f t="shared" si="1"/>
        <v>1</v>
      </c>
    </row>
    <row r="104" spans="1:5" x14ac:dyDescent="0.2">
      <c r="A104">
        <v>3</v>
      </c>
      <c r="B104" t="s">
        <v>73</v>
      </c>
      <c r="C104">
        <v>0</v>
      </c>
      <c r="D104">
        <v>8</v>
      </c>
      <c r="E104" s="3">
        <f t="shared" si="1"/>
        <v>1</v>
      </c>
    </row>
    <row r="105" spans="1:5" x14ac:dyDescent="0.2">
      <c r="A105">
        <v>4</v>
      </c>
      <c r="B105" t="s">
        <v>74</v>
      </c>
      <c r="C105">
        <v>0</v>
      </c>
      <c r="D105">
        <v>4</v>
      </c>
      <c r="E105" s="3">
        <f t="shared" si="1"/>
        <v>1</v>
      </c>
    </row>
    <row r="106" spans="1:5" x14ac:dyDescent="0.2">
      <c r="A106">
        <v>5</v>
      </c>
      <c r="B106" t="s">
        <v>75</v>
      </c>
      <c r="C106">
        <v>1</v>
      </c>
      <c r="D106">
        <v>2</v>
      </c>
      <c r="E106" s="3">
        <f t="shared" si="1"/>
        <v>1</v>
      </c>
    </row>
    <row r="107" spans="1:5" x14ac:dyDescent="0.2">
      <c r="A107">
        <v>6</v>
      </c>
      <c r="B107" t="s">
        <v>76</v>
      </c>
      <c r="C107">
        <v>0</v>
      </c>
      <c r="D107">
        <v>1</v>
      </c>
      <c r="E107" s="3">
        <f t="shared" si="1"/>
        <v>1</v>
      </c>
    </row>
    <row r="108" spans="1:5" x14ac:dyDescent="0.2">
      <c r="A108">
        <v>7</v>
      </c>
      <c r="B108" s="2" t="s">
        <v>10</v>
      </c>
      <c r="C108" s="2" t="s">
        <v>10</v>
      </c>
      <c r="D108" s="2" t="s">
        <v>10</v>
      </c>
      <c r="E108" s="3">
        <f t="shared" si="1"/>
        <v>1</v>
      </c>
    </row>
    <row r="109" spans="1:5" x14ac:dyDescent="0.2">
      <c r="A109">
        <v>8</v>
      </c>
      <c r="B109" s="2" t="s">
        <v>10</v>
      </c>
      <c r="C109" s="2" t="s">
        <v>10</v>
      </c>
      <c r="D109" s="2" t="s">
        <v>10</v>
      </c>
      <c r="E109" s="3">
        <f t="shared" si="1"/>
        <v>1</v>
      </c>
    </row>
    <row r="110" spans="1:5" x14ac:dyDescent="0.2">
      <c r="A110" s="1" t="s">
        <v>0</v>
      </c>
      <c r="E110" s="3">
        <f t="shared" si="1"/>
        <v>2</v>
      </c>
    </row>
    <row r="111" spans="1:5" x14ac:dyDescent="0.2">
      <c r="A111" s="1" t="s">
        <v>1</v>
      </c>
      <c r="B111" s="1" t="s">
        <v>2</v>
      </c>
      <c r="C111" s="1" t="s">
        <v>3</v>
      </c>
      <c r="D111" s="1" t="s">
        <v>4</v>
      </c>
      <c r="E111" s="3">
        <f t="shared" si="1"/>
        <v>2</v>
      </c>
    </row>
    <row r="112" spans="1:5" x14ac:dyDescent="0.2">
      <c r="A112">
        <v>1</v>
      </c>
      <c r="B112" t="s">
        <v>77</v>
      </c>
      <c r="C112">
        <v>2</v>
      </c>
      <c r="D112">
        <v>15</v>
      </c>
      <c r="E112" s="3">
        <f t="shared" si="1"/>
        <v>2</v>
      </c>
    </row>
    <row r="113" spans="1:5" x14ac:dyDescent="0.2">
      <c r="A113">
        <v>2</v>
      </c>
      <c r="B113" t="s">
        <v>38</v>
      </c>
      <c r="C113">
        <v>2</v>
      </c>
      <c r="D113">
        <v>11</v>
      </c>
      <c r="E113" s="3">
        <f t="shared" si="1"/>
        <v>2</v>
      </c>
    </row>
    <row r="114" spans="1:5" x14ac:dyDescent="0.2">
      <c r="A114">
        <v>3</v>
      </c>
      <c r="B114" t="s">
        <v>29</v>
      </c>
      <c r="C114">
        <v>0</v>
      </c>
      <c r="D114">
        <v>7</v>
      </c>
      <c r="E114" s="3">
        <f t="shared" si="1"/>
        <v>2</v>
      </c>
    </row>
    <row r="115" spans="1:5" x14ac:dyDescent="0.2">
      <c r="A115">
        <v>4</v>
      </c>
      <c r="B115" t="s">
        <v>72</v>
      </c>
      <c r="C115">
        <v>0</v>
      </c>
      <c r="D115">
        <v>3</v>
      </c>
      <c r="E115" s="3">
        <f t="shared" si="1"/>
        <v>2</v>
      </c>
    </row>
    <row r="116" spans="1:5" x14ac:dyDescent="0.2">
      <c r="A116">
        <v>5</v>
      </c>
      <c r="B116" t="s">
        <v>9</v>
      </c>
      <c r="C116">
        <v>0</v>
      </c>
      <c r="D116">
        <v>1</v>
      </c>
      <c r="E116" s="3">
        <f t="shared" si="1"/>
        <v>2</v>
      </c>
    </row>
    <row r="117" spans="1:5" x14ac:dyDescent="0.2">
      <c r="A117">
        <v>6</v>
      </c>
      <c r="B117" s="2" t="s">
        <v>10</v>
      </c>
      <c r="C117" s="2" t="s">
        <v>10</v>
      </c>
      <c r="D117" s="2" t="s">
        <v>10</v>
      </c>
      <c r="E117" s="3">
        <f t="shared" si="1"/>
        <v>2</v>
      </c>
    </row>
    <row r="118" spans="1:5" x14ac:dyDescent="0.2">
      <c r="A118">
        <v>7</v>
      </c>
      <c r="B118" s="2" t="s">
        <v>10</v>
      </c>
      <c r="C118" s="2" t="s">
        <v>10</v>
      </c>
      <c r="D118" s="2" t="s">
        <v>10</v>
      </c>
      <c r="E118" s="3">
        <f t="shared" si="1"/>
        <v>2</v>
      </c>
    </row>
    <row r="119" spans="1:5" x14ac:dyDescent="0.2">
      <c r="A119">
        <v>8</v>
      </c>
      <c r="B119" s="2" t="s">
        <v>10</v>
      </c>
      <c r="C119" s="2" t="s">
        <v>10</v>
      </c>
      <c r="D119" s="2" t="s">
        <v>10</v>
      </c>
      <c r="E119" s="3">
        <f t="shared" si="1"/>
        <v>2</v>
      </c>
    </row>
    <row r="120" spans="1:5" x14ac:dyDescent="0.2">
      <c r="A120" s="1" t="s">
        <v>11</v>
      </c>
      <c r="E120" s="3">
        <f t="shared" si="1"/>
        <v>2</v>
      </c>
    </row>
    <row r="121" spans="1:5" x14ac:dyDescent="0.2">
      <c r="A121" s="1" t="s">
        <v>1</v>
      </c>
      <c r="B121" s="1" t="s">
        <v>2</v>
      </c>
      <c r="C121" s="1" t="s">
        <v>3</v>
      </c>
      <c r="D121" s="1" t="s">
        <v>4</v>
      </c>
      <c r="E121" s="3">
        <f t="shared" si="1"/>
        <v>2</v>
      </c>
    </row>
    <row r="122" spans="1:5" x14ac:dyDescent="0.2">
      <c r="A122">
        <v>1</v>
      </c>
      <c r="B122" t="s">
        <v>25</v>
      </c>
      <c r="C122">
        <v>2</v>
      </c>
      <c r="D122">
        <v>15</v>
      </c>
      <c r="E122" s="3">
        <f t="shared" si="1"/>
        <v>2</v>
      </c>
    </row>
    <row r="123" spans="1:5" x14ac:dyDescent="0.2">
      <c r="A123">
        <v>2</v>
      </c>
      <c r="B123" t="s">
        <v>78</v>
      </c>
      <c r="C123">
        <v>2</v>
      </c>
      <c r="D123">
        <v>11</v>
      </c>
      <c r="E123" s="3">
        <f t="shared" si="1"/>
        <v>2</v>
      </c>
    </row>
    <row r="124" spans="1:5" x14ac:dyDescent="0.2">
      <c r="A124">
        <v>3</v>
      </c>
      <c r="B124" t="s">
        <v>79</v>
      </c>
      <c r="C124">
        <v>0</v>
      </c>
      <c r="D124">
        <v>7</v>
      </c>
      <c r="E124" s="3">
        <f t="shared" si="1"/>
        <v>2</v>
      </c>
    </row>
    <row r="125" spans="1:5" x14ac:dyDescent="0.2">
      <c r="A125">
        <v>4</v>
      </c>
      <c r="B125" t="s">
        <v>59</v>
      </c>
      <c r="C125">
        <v>0</v>
      </c>
      <c r="D125">
        <v>3</v>
      </c>
      <c r="E125" s="3">
        <f t="shared" si="1"/>
        <v>2</v>
      </c>
    </row>
    <row r="126" spans="1:5" x14ac:dyDescent="0.2">
      <c r="A126">
        <v>5</v>
      </c>
      <c r="B126" t="s">
        <v>74</v>
      </c>
      <c r="C126">
        <v>0</v>
      </c>
      <c r="D126">
        <v>1</v>
      </c>
      <c r="E126" s="3">
        <f t="shared" si="1"/>
        <v>2</v>
      </c>
    </row>
    <row r="127" spans="1:5" x14ac:dyDescent="0.2">
      <c r="A127">
        <v>6</v>
      </c>
      <c r="B127" s="2" t="s">
        <v>10</v>
      </c>
      <c r="C127" s="2" t="s">
        <v>10</v>
      </c>
      <c r="D127" s="2" t="s">
        <v>10</v>
      </c>
      <c r="E127" s="3">
        <f t="shared" si="1"/>
        <v>2</v>
      </c>
    </row>
    <row r="128" spans="1:5" x14ac:dyDescent="0.2">
      <c r="A128">
        <v>7</v>
      </c>
      <c r="B128" s="2" t="s">
        <v>10</v>
      </c>
      <c r="C128" s="2" t="s">
        <v>10</v>
      </c>
      <c r="D128" s="2" t="s">
        <v>10</v>
      </c>
      <c r="E128" s="3">
        <f t="shared" si="1"/>
        <v>2</v>
      </c>
    </row>
    <row r="129" spans="1:5" x14ac:dyDescent="0.2">
      <c r="A129">
        <v>8</v>
      </c>
      <c r="B129" s="2" t="s">
        <v>10</v>
      </c>
      <c r="C129" s="2" t="s">
        <v>10</v>
      </c>
      <c r="D129" s="2" t="s">
        <v>10</v>
      </c>
      <c r="E129" s="3">
        <f t="shared" si="1"/>
        <v>2</v>
      </c>
    </row>
    <row r="130" spans="1:5" x14ac:dyDescent="0.2">
      <c r="A130" s="1" t="s">
        <v>17</v>
      </c>
      <c r="E130" s="3">
        <f t="shared" si="1"/>
        <v>2</v>
      </c>
    </row>
    <row r="131" spans="1:5" x14ac:dyDescent="0.2">
      <c r="A131" s="1" t="s">
        <v>1</v>
      </c>
      <c r="B131" s="1" t="s">
        <v>2</v>
      </c>
      <c r="C131" s="1" t="s">
        <v>3</v>
      </c>
      <c r="D131" s="1" t="s">
        <v>4</v>
      </c>
      <c r="E131" s="3">
        <f t="shared" si="1"/>
        <v>2</v>
      </c>
    </row>
    <row r="132" spans="1:5" x14ac:dyDescent="0.2">
      <c r="A132">
        <v>1</v>
      </c>
      <c r="B132" t="s">
        <v>80</v>
      </c>
      <c r="C132">
        <v>3</v>
      </c>
      <c r="D132">
        <v>15</v>
      </c>
      <c r="E132" s="3">
        <f t="shared" si="1"/>
        <v>2</v>
      </c>
    </row>
    <row r="133" spans="1:5" x14ac:dyDescent="0.2">
      <c r="A133">
        <v>2</v>
      </c>
      <c r="B133" t="s">
        <v>31</v>
      </c>
      <c r="C133">
        <v>1</v>
      </c>
      <c r="D133">
        <v>11</v>
      </c>
      <c r="E133" s="3">
        <f t="shared" si="1"/>
        <v>2</v>
      </c>
    </row>
    <row r="134" spans="1:5" x14ac:dyDescent="0.2">
      <c r="A134">
        <v>3</v>
      </c>
      <c r="B134" t="s">
        <v>35</v>
      </c>
      <c r="C134">
        <v>0</v>
      </c>
      <c r="D134">
        <v>7</v>
      </c>
      <c r="E134" s="3">
        <f t="shared" si="1"/>
        <v>2</v>
      </c>
    </row>
    <row r="135" spans="1:5" x14ac:dyDescent="0.2">
      <c r="A135">
        <v>4</v>
      </c>
      <c r="B135" t="s">
        <v>46</v>
      </c>
      <c r="C135">
        <v>0</v>
      </c>
      <c r="D135">
        <v>3</v>
      </c>
      <c r="E135" s="3">
        <f t="shared" si="1"/>
        <v>2</v>
      </c>
    </row>
    <row r="136" spans="1:5" x14ac:dyDescent="0.2">
      <c r="A136">
        <v>5</v>
      </c>
      <c r="B136" t="s">
        <v>61</v>
      </c>
      <c r="C136">
        <v>0</v>
      </c>
      <c r="D136">
        <v>1</v>
      </c>
      <c r="E136" s="3">
        <f t="shared" si="1"/>
        <v>2</v>
      </c>
    </row>
    <row r="137" spans="1:5" x14ac:dyDescent="0.2">
      <c r="A137">
        <v>6</v>
      </c>
      <c r="B137" s="2" t="s">
        <v>10</v>
      </c>
      <c r="C137" s="2" t="s">
        <v>10</v>
      </c>
      <c r="D137" s="2" t="s">
        <v>10</v>
      </c>
      <c r="E137" s="3">
        <f t="shared" si="1"/>
        <v>2</v>
      </c>
    </row>
    <row r="138" spans="1:5" x14ac:dyDescent="0.2">
      <c r="A138">
        <v>7</v>
      </c>
      <c r="B138" s="2" t="s">
        <v>10</v>
      </c>
      <c r="C138" s="2" t="s">
        <v>10</v>
      </c>
      <c r="D138" s="2" t="s">
        <v>10</v>
      </c>
      <c r="E138" s="3">
        <f t="shared" si="1"/>
        <v>2</v>
      </c>
    </row>
    <row r="139" spans="1:5" x14ac:dyDescent="0.2">
      <c r="A139">
        <v>8</v>
      </c>
      <c r="B139" s="2" t="s">
        <v>10</v>
      </c>
      <c r="C139" s="2" t="s">
        <v>10</v>
      </c>
      <c r="D139" s="2" t="s">
        <v>10</v>
      </c>
      <c r="E139" s="3">
        <f t="shared" si="1"/>
        <v>2</v>
      </c>
    </row>
    <row r="140" spans="1:5" x14ac:dyDescent="0.2">
      <c r="A140" s="1" t="s">
        <v>24</v>
      </c>
      <c r="E140" s="3">
        <f t="shared" si="1"/>
        <v>2</v>
      </c>
    </row>
    <row r="141" spans="1:5" x14ac:dyDescent="0.2">
      <c r="A141" s="1" t="s">
        <v>1</v>
      </c>
      <c r="B141" s="1" t="s">
        <v>2</v>
      </c>
      <c r="C141" s="1" t="s">
        <v>3</v>
      </c>
      <c r="D141" s="1" t="s">
        <v>4</v>
      </c>
      <c r="E141" s="3">
        <f t="shared" si="1"/>
        <v>2</v>
      </c>
    </row>
    <row r="142" spans="1:5" x14ac:dyDescent="0.2">
      <c r="A142">
        <v>1</v>
      </c>
      <c r="B142" t="s">
        <v>48</v>
      </c>
      <c r="C142">
        <v>4</v>
      </c>
      <c r="D142">
        <v>16</v>
      </c>
      <c r="E142" s="3">
        <f t="shared" si="1"/>
        <v>2</v>
      </c>
    </row>
    <row r="143" spans="1:5" x14ac:dyDescent="0.2">
      <c r="A143">
        <v>2</v>
      </c>
      <c r="B143" t="s">
        <v>81</v>
      </c>
      <c r="C143">
        <v>1</v>
      </c>
      <c r="D143">
        <v>12</v>
      </c>
      <c r="E143" s="3">
        <f t="shared" si="1"/>
        <v>2</v>
      </c>
    </row>
    <row r="144" spans="1:5" x14ac:dyDescent="0.2">
      <c r="A144">
        <v>3</v>
      </c>
      <c r="B144" t="s">
        <v>33</v>
      </c>
      <c r="C144">
        <v>0</v>
      </c>
      <c r="D144">
        <v>8</v>
      </c>
      <c r="E144" s="3">
        <f t="shared" si="1"/>
        <v>2</v>
      </c>
    </row>
    <row r="145" spans="1:5" x14ac:dyDescent="0.2">
      <c r="A145">
        <v>4</v>
      </c>
      <c r="B145" t="s">
        <v>12</v>
      </c>
      <c r="C145">
        <v>0</v>
      </c>
      <c r="D145">
        <v>4</v>
      </c>
      <c r="E145" s="3">
        <f t="shared" si="1"/>
        <v>2</v>
      </c>
    </row>
    <row r="146" spans="1:5" x14ac:dyDescent="0.2">
      <c r="A146">
        <v>5</v>
      </c>
      <c r="B146" t="s">
        <v>82</v>
      </c>
      <c r="C146">
        <v>0</v>
      </c>
      <c r="D146">
        <v>2</v>
      </c>
      <c r="E146" s="3">
        <f t="shared" si="1"/>
        <v>2</v>
      </c>
    </row>
    <row r="147" spans="1:5" x14ac:dyDescent="0.2">
      <c r="A147">
        <v>6</v>
      </c>
      <c r="B147" t="s">
        <v>28</v>
      </c>
      <c r="C147">
        <v>0</v>
      </c>
      <c r="D147">
        <v>1</v>
      </c>
      <c r="E147" s="3">
        <f t="shared" si="1"/>
        <v>2</v>
      </c>
    </row>
    <row r="148" spans="1:5" x14ac:dyDescent="0.2">
      <c r="A148">
        <v>7</v>
      </c>
      <c r="B148" s="2" t="s">
        <v>10</v>
      </c>
      <c r="C148" s="2" t="s">
        <v>10</v>
      </c>
      <c r="D148" s="2" t="s">
        <v>10</v>
      </c>
      <c r="E148" s="3">
        <f t="shared" si="1"/>
        <v>2</v>
      </c>
    </row>
    <row r="149" spans="1:5" x14ac:dyDescent="0.2">
      <c r="A149">
        <v>8</v>
      </c>
      <c r="B149" s="2" t="s">
        <v>10</v>
      </c>
      <c r="C149" s="2" t="s">
        <v>10</v>
      </c>
      <c r="D149" s="2" t="s">
        <v>10</v>
      </c>
      <c r="E149" s="3">
        <f t="shared" si="1"/>
        <v>2</v>
      </c>
    </row>
    <row r="150" spans="1:5" x14ac:dyDescent="0.2">
      <c r="A150" s="1" t="s">
        <v>30</v>
      </c>
      <c r="E150" s="3">
        <f t="shared" si="1"/>
        <v>2</v>
      </c>
    </row>
    <row r="151" spans="1:5" x14ac:dyDescent="0.2">
      <c r="A151" s="1" t="s">
        <v>1</v>
      </c>
      <c r="B151" s="1" t="s">
        <v>2</v>
      </c>
      <c r="C151" s="1" t="s">
        <v>3</v>
      </c>
      <c r="D151" s="1" t="s">
        <v>4</v>
      </c>
      <c r="E151" s="3">
        <f t="shared" si="1"/>
        <v>2</v>
      </c>
    </row>
    <row r="152" spans="1:5" x14ac:dyDescent="0.2">
      <c r="A152">
        <v>1</v>
      </c>
      <c r="B152" t="s">
        <v>50</v>
      </c>
      <c r="C152">
        <v>3</v>
      </c>
      <c r="D152">
        <v>15</v>
      </c>
      <c r="E152" s="3">
        <f t="shared" si="1"/>
        <v>2</v>
      </c>
    </row>
    <row r="153" spans="1:5" x14ac:dyDescent="0.2">
      <c r="A153">
        <v>2</v>
      </c>
      <c r="B153" t="s">
        <v>69</v>
      </c>
      <c r="C153">
        <v>1</v>
      </c>
      <c r="D153">
        <v>11</v>
      </c>
      <c r="E153" s="3">
        <f t="shared" si="1"/>
        <v>2</v>
      </c>
    </row>
    <row r="154" spans="1:5" x14ac:dyDescent="0.2">
      <c r="A154">
        <v>3</v>
      </c>
      <c r="B154" t="s">
        <v>43</v>
      </c>
      <c r="C154">
        <v>0</v>
      </c>
      <c r="D154">
        <v>7</v>
      </c>
      <c r="E154" s="3">
        <f t="shared" si="1"/>
        <v>2</v>
      </c>
    </row>
    <row r="155" spans="1:5" x14ac:dyDescent="0.2">
      <c r="A155">
        <v>4</v>
      </c>
      <c r="B155" t="s">
        <v>40</v>
      </c>
      <c r="C155">
        <v>0</v>
      </c>
      <c r="D155">
        <v>3</v>
      </c>
      <c r="E155" s="3">
        <f t="shared" si="1"/>
        <v>2</v>
      </c>
    </row>
    <row r="156" spans="1:5" x14ac:dyDescent="0.2">
      <c r="A156">
        <v>5</v>
      </c>
      <c r="B156" t="s">
        <v>6</v>
      </c>
      <c r="C156">
        <v>0</v>
      </c>
      <c r="D156">
        <v>1</v>
      </c>
      <c r="E156" s="3">
        <f t="shared" si="1"/>
        <v>2</v>
      </c>
    </row>
    <row r="157" spans="1:5" x14ac:dyDescent="0.2">
      <c r="A157">
        <v>6</v>
      </c>
      <c r="B157" s="2" t="s">
        <v>10</v>
      </c>
      <c r="C157" s="2" t="s">
        <v>10</v>
      </c>
      <c r="D157" s="2" t="s">
        <v>10</v>
      </c>
      <c r="E157" s="3">
        <f t="shared" si="1"/>
        <v>2</v>
      </c>
    </row>
    <row r="158" spans="1:5" x14ac:dyDescent="0.2">
      <c r="A158">
        <v>7</v>
      </c>
      <c r="B158" s="2" t="s">
        <v>10</v>
      </c>
      <c r="C158" s="2" t="s">
        <v>10</v>
      </c>
      <c r="D158" s="2" t="s">
        <v>10</v>
      </c>
      <c r="E158" s="3">
        <f t="shared" si="1"/>
        <v>2</v>
      </c>
    </row>
    <row r="159" spans="1:5" x14ac:dyDescent="0.2">
      <c r="A159">
        <v>8</v>
      </c>
      <c r="B159" s="2" t="s">
        <v>10</v>
      </c>
      <c r="C159" s="2" t="s">
        <v>10</v>
      </c>
      <c r="D159" s="2" t="s">
        <v>10</v>
      </c>
      <c r="E159" s="3">
        <f t="shared" si="1"/>
        <v>2</v>
      </c>
    </row>
    <row r="160" spans="1:5" x14ac:dyDescent="0.2">
      <c r="A160" s="1" t="s">
        <v>37</v>
      </c>
      <c r="E160" s="3">
        <f t="shared" ref="E160:E223" si="2">IF(A160=$A$1,E159+1,E159)</f>
        <v>2</v>
      </c>
    </row>
    <row r="161" spans="1:5" x14ac:dyDescent="0.2">
      <c r="A161" s="1" t="s">
        <v>1</v>
      </c>
      <c r="B161" s="1" t="s">
        <v>2</v>
      </c>
      <c r="C161" s="1" t="s">
        <v>3</v>
      </c>
      <c r="D161" s="1" t="s">
        <v>4</v>
      </c>
      <c r="E161" s="3">
        <f t="shared" si="2"/>
        <v>2</v>
      </c>
    </row>
    <row r="162" spans="1:5" x14ac:dyDescent="0.2">
      <c r="A162">
        <v>1</v>
      </c>
      <c r="B162" t="s">
        <v>55</v>
      </c>
      <c r="C162">
        <v>4</v>
      </c>
      <c r="D162">
        <v>16</v>
      </c>
      <c r="E162" s="3">
        <f t="shared" si="2"/>
        <v>2</v>
      </c>
    </row>
    <row r="163" spans="1:5" x14ac:dyDescent="0.2">
      <c r="A163">
        <v>2</v>
      </c>
      <c r="B163" t="s">
        <v>45</v>
      </c>
      <c r="C163">
        <v>1</v>
      </c>
      <c r="D163">
        <v>12</v>
      </c>
      <c r="E163" s="3">
        <f t="shared" si="2"/>
        <v>2</v>
      </c>
    </row>
    <row r="164" spans="1:5" x14ac:dyDescent="0.2">
      <c r="A164">
        <v>3</v>
      </c>
      <c r="B164" t="s">
        <v>22</v>
      </c>
      <c r="C164">
        <v>0</v>
      </c>
      <c r="D164">
        <v>8</v>
      </c>
      <c r="E164" s="3">
        <f t="shared" si="2"/>
        <v>2</v>
      </c>
    </row>
    <row r="165" spans="1:5" x14ac:dyDescent="0.2">
      <c r="A165">
        <v>4</v>
      </c>
      <c r="B165" t="s">
        <v>68</v>
      </c>
      <c r="C165">
        <v>0</v>
      </c>
      <c r="D165">
        <v>4</v>
      </c>
      <c r="E165" s="3">
        <f t="shared" si="2"/>
        <v>2</v>
      </c>
    </row>
    <row r="166" spans="1:5" x14ac:dyDescent="0.2">
      <c r="A166">
        <v>5</v>
      </c>
      <c r="B166" t="s">
        <v>52</v>
      </c>
      <c r="C166">
        <v>0</v>
      </c>
      <c r="D166">
        <v>2</v>
      </c>
      <c r="E166" s="3">
        <f t="shared" si="2"/>
        <v>2</v>
      </c>
    </row>
    <row r="167" spans="1:5" x14ac:dyDescent="0.2">
      <c r="A167">
        <v>6</v>
      </c>
      <c r="B167" t="s">
        <v>71</v>
      </c>
      <c r="C167">
        <v>0</v>
      </c>
      <c r="D167">
        <v>1</v>
      </c>
      <c r="E167" s="3">
        <f t="shared" si="2"/>
        <v>2</v>
      </c>
    </row>
    <row r="168" spans="1:5" x14ac:dyDescent="0.2">
      <c r="A168">
        <v>7</v>
      </c>
      <c r="B168" s="2" t="s">
        <v>10</v>
      </c>
      <c r="C168" s="2" t="s">
        <v>10</v>
      </c>
      <c r="D168" s="2" t="s">
        <v>10</v>
      </c>
      <c r="E168" s="3">
        <f t="shared" si="2"/>
        <v>2</v>
      </c>
    </row>
    <row r="169" spans="1:5" x14ac:dyDescent="0.2">
      <c r="A169">
        <v>8</v>
      </c>
      <c r="B169" s="2" t="s">
        <v>10</v>
      </c>
      <c r="C169" s="2" t="s">
        <v>10</v>
      </c>
      <c r="D169" s="2" t="s">
        <v>10</v>
      </c>
      <c r="E169" s="3">
        <f t="shared" si="2"/>
        <v>2</v>
      </c>
    </row>
    <row r="170" spans="1:5" x14ac:dyDescent="0.2">
      <c r="A170" s="1" t="s">
        <v>44</v>
      </c>
      <c r="E170" s="3">
        <f t="shared" si="2"/>
        <v>2</v>
      </c>
    </row>
    <row r="171" spans="1:5" x14ac:dyDescent="0.2">
      <c r="A171" s="1" t="s">
        <v>1</v>
      </c>
      <c r="B171" s="1" t="s">
        <v>2</v>
      </c>
      <c r="C171" s="1" t="s">
        <v>3</v>
      </c>
      <c r="D171" s="1" t="s">
        <v>4</v>
      </c>
      <c r="E171" s="3">
        <f t="shared" si="2"/>
        <v>2</v>
      </c>
    </row>
    <row r="172" spans="1:5" x14ac:dyDescent="0.2">
      <c r="A172">
        <v>1</v>
      </c>
      <c r="B172" t="s">
        <v>66</v>
      </c>
      <c r="C172">
        <v>4</v>
      </c>
      <c r="D172">
        <v>16</v>
      </c>
      <c r="E172" s="3">
        <f t="shared" si="2"/>
        <v>2</v>
      </c>
    </row>
    <row r="173" spans="1:5" x14ac:dyDescent="0.2">
      <c r="A173">
        <v>2</v>
      </c>
      <c r="B173" t="s">
        <v>54</v>
      </c>
      <c r="C173">
        <v>0</v>
      </c>
      <c r="D173">
        <v>12</v>
      </c>
      <c r="E173" s="3">
        <f t="shared" si="2"/>
        <v>2</v>
      </c>
    </row>
    <row r="174" spans="1:5" x14ac:dyDescent="0.2">
      <c r="A174">
        <v>3</v>
      </c>
      <c r="B174" t="s">
        <v>13</v>
      </c>
      <c r="C174">
        <v>0</v>
      </c>
      <c r="D174">
        <v>8</v>
      </c>
      <c r="E174" s="3">
        <f t="shared" si="2"/>
        <v>2</v>
      </c>
    </row>
    <row r="175" spans="1:5" x14ac:dyDescent="0.2">
      <c r="A175">
        <v>4</v>
      </c>
      <c r="B175" t="s">
        <v>7</v>
      </c>
      <c r="C175">
        <v>1</v>
      </c>
      <c r="D175">
        <v>4</v>
      </c>
      <c r="E175" s="3">
        <f t="shared" si="2"/>
        <v>2</v>
      </c>
    </row>
    <row r="176" spans="1:5" x14ac:dyDescent="0.2">
      <c r="A176">
        <v>5</v>
      </c>
      <c r="B176" t="s">
        <v>19</v>
      </c>
      <c r="C176">
        <v>0</v>
      </c>
      <c r="D176">
        <v>2</v>
      </c>
      <c r="E176" s="3">
        <f t="shared" si="2"/>
        <v>2</v>
      </c>
    </row>
    <row r="177" spans="1:5" x14ac:dyDescent="0.2">
      <c r="A177">
        <v>6</v>
      </c>
      <c r="B177" t="s">
        <v>63</v>
      </c>
      <c r="C177">
        <v>0</v>
      </c>
      <c r="D177">
        <v>1</v>
      </c>
      <c r="E177" s="3">
        <f t="shared" si="2"/>
        <v>2</v>
      </c>
    </row>
    <row r="178" spans="1:5" x14ac:dyDescent="0.2">
      <c r="A178">
        <v>7</v>
      </c>
      <c r="B178" s="2" t="s">
        <v>10</v>
      </c>
      <c r="C178" s="2" t="s">
        <v>10</v>
      </c>
      <c r="D178" s="2" t="s">
        <v>10</v>
      </c>
      <c r="E178" s="3">
        <f t="shared" si="2"/>
        <v>2</v>
      </c>
    </row>
    <row r="179" spans="1:5" x14ac:dyDescent="0.2">
      <c r="A179">
        <v>8</v>
      </c>
      <c r="B179" s="2" t="s">
        <v>10</v>
      </c>
      <c r="C179" s="2" t="s">
        <v>10</v>
      </c>
      <c r="D179" s="2" t="s">
        <v>10</v>
      </c>
      <c r="E179" s="3">
        <f t="shared" si="2"/>
        <v>2</v>
      </c>
    </row>
    <row r="180" spans="1:5" x14ac:dyDescent="0.2">
      <c r="A180" s="1" t="s">
        <v>51</v>
      </c>
      <c r="E180" s="3">
        <f t="shared" si="2"/>
        <v>2</v>
      </c>
    </row>
    <row r="181" spans="1:5" x14ac:dyDescent="0.2">
      <c r="A181" s="1" t="s">
        <v>1</v>
      </c>
      <c r="B181" s="1" t="s">
        <v>2</v>
      </c>
      <c r="C181" s="1" t="s">
        <v>3</v>
      </c>
      <c r="D181" s="1" t="s">
        <v>4</v>
      </c>
      <c r="E181" s="3">
        <f t="shared" si="2"/>
        <v>2</v>
      </c>
    </row>
    <row r="182" spans="1:5" x14ac:dyDescent="0.2">
      <c r="A182">
        <v>1</v>
      </c>
      <c r="B182" t="s">
        <v>14</v>
      </c>
      <c r="C182">
        <v>2</v>
      </c>
      <c r="D182">
        <v>15</v>
      </c>
      <c r="E182" s="3">
        <f t="shared" si="2"/>
        <v>2</v>
      </c>
    </row>
    <row r="183" spans="1:5" x14ac:dyDescent="0.2">
      <c r="A183">
        <v>2</v>
      </c>
      <c r="B183" t="s">
        <v>67</v>
      </c>
      <c r="C183">
        <v>1</v>
      </c>
      <c r="D183">
        <v>11</v>
      </c>
      <c r="E183" s="3">
        <f t="shared" si="2"/>
        <v>2</v>
      </c>
    </row>
    <row r="184" spans="1:5" x14ac:dyDescent="0.2">
      <c r="A184">
        <v>3</v>
      </c>
      <c r="B184" t="s">
        <v>41</v>
      </c>
      <c r="C184">
        <v>0</v>
      </c>
      <c r="D184">
        <v>7</v>
      </c>
      <c r="E184" s="3">
        <f t="shared" si="2"/>
        <v>2</v>
      </c>
    </row>
    <row r="185" spans="1:5" x14ac:dyDescent="0.2">
      <c r="A185">
        <v>4</v>
      </c>
      <c r="B185" t="s">
        <v>83</v>
      </c>
      <c r="C185">
        <v>1</v>
      </c>
      <c r="D185">
        <v>3</v>
      </c>
      <c r="E185" s="3">
        <f t="shared" si="2"/>
        <v>2</v>
      </c>
    </row>
    <row r="186" spans="1:5" x14ac:dyDescent="0.2">
      <c r="A186">
        <v>5</v>
      </c>
      <c r="B186" t="s">
        <v>27</v>
      </c>
      <c r="C186">
        <v>0</v>
      </c>
      <c r="D186">
        <v>1</v>
      </c>
      <c r="E186" s="3">
        <f t="shared" si="2"/>
        <v>2</v>
      </c>
    </row>
    <row r="187" spans="1:5" x14ac:dyDescent="0.2">
      <c r="A187">
        <v>6</v>
      </c>
      <c r="B187" s="2" t="s">
        <v>10</v>
      </c>
      <c r="C187" s="2" t="s">
        <v>10</v>
      </c>
      <c r="D187" s="2" t="s">
        <v>10</v>
      </c>
      <c r="E187" s="3">
        <f t="shared" si="2"/>
        <v>2</v>
      </c>
    </row>
    <row r="188" spans="1:5" x14ac:dyDescent="0.2">
      <c r="A188">
        <v>7</v>
      </c>
      <c r="B188" s="2" t="s">
        <v>10</v>
      </c>
      <c r="C188" s="2" t="s">
        <v>10</v>
      </c>
      <c r="D188" s="2" t="s">
        <v>10</v>
      </c>
      <c r="E188" s="3">
        <f t="shared" si="2"/>
        <v>2</v>
      </c>
    </row>
    <row r="189" spans="1:5" x14ac:dyDescent="0.2">
      <c r="A189">
        <v>8</v>
      </c>
      <c r="B189" s="2" t="s">
        <v>10</v>
      </c>
      <c r="C189" s="2" t="s">
        <v>10</v>
      </c>
      <c r="D189" s="2" t="s">
        <v>10</v>
      </c>
      <c r="E189" s="3">
        <f t="shared" si="2"/>
        <v>2</v>
      </c>
    </row>
    <row r="190" spans="1:5" x14ac:dyDescent="0.2">
      <c r="A190" s="1" t="s">
        <v>58</v>
      </c>
      <c r="E190" s="3">
        <f t="shared" si="2"/>
        <v>2</v>
      </c>
    </row>
    <row r="191" spans="1:5" x14ac:dyDescent="0.2">
      <c r="A191" s="1" t="s">
        <v>1</v>
      </c>
      <c r="B191" s="1" t="s">
        <v>2</v>
      </c>
      <c r="C191" s="1" t="s">
        <v>3</v>
      </c>
      <c r="D191" s="1" t="s">
        <v>4</v>
      </c>
      <c r="E191" s="3">
        <f t="shared" si="2"/>
        <v>2</v>
      </c>
    </row>
    <row r="192" spans="1:5" x14ac:dyDescent="0.2">
      <c r="A192">
        <v>1</v>
      </c>
      <c r="B192" t="s">
        <v>76</v>
      </c>
      <c r="C192">
        <v>3</v>
      </c>
      <c r="D192">
        <v>16</v>
      </c>
      <c r="E192" s="3">
        <f t="shared" si="2"/>
        <v>2</v>
      </c>
    </row>
    <row r="193" spans="1:5" x14ac:dyDescent="0.2">
      <c r="A193">
        <v>2</v>
      </c>
      <c r="B193" t="s">
        <v>26</v>
      </c>
      <c r="C193">
        <v>0</v>
      </c>
      <c r="D193">
        <v>12</v>
      </c>
      <c r="E193" s="3">
        <f t="shared" si="2"/>
        <v>2</v>
      </c>
    </row>
    <row r="194" spans="1:5" x14ac:dyDescent="0.2">
      <c r="A194">
        <v>3</v>
      </c>
      <c r="B194" t="s">
        <v>84</v>
      </c>
      <c r="C194">
        <v>2</v>
      </c>
      <c r="D194">
        <v>8</v>
      </c>
      <c r="E194" s="3">
        <f t="shared" si="2"/>
        <v>2</v>
      </c>
    </row>
    <row r="195" spans="1:5" x14ac:dyDescent="0.2">
      <c r="A195">
        <v>4</v>
      </c>
      <c r="B195" t="s">
        <v>42</v>
      </c>
      <c r="C195">
        <v>0</v>
      </c>
      <c r="D195">
        <v>4</v>
      </c>
      <c r="E195" s="3">
        <f t="shared" si="2"/>
        <v>2</v>
      </c>
    </row>
    <row r="196" spans="1:5" x14ac:dyDescent="0.2">
      <c r="A196">
        <v>5</v>
      </c>
      <c r="B196" t="s">
        <v>73</v>
      </c>
      <c r="C196">
        <v>0</v>
      </c>
      <c r="D196">
        <v>2</v>
      </c>
      <c r="E196" s="3">
        <f t="shared" si="2"/>
        <v>2</v>
      </c>
    </row>
    <row r="197" spans="1:5" x14ac:dyDescent="0.2">
      <c r="A197">
        <v>6</v>
      </c>
      <c r="B197" t="s">
        <v>39</v>
      </c>
      <c r="C197">
        <v>0</v>
      </c>
      <c r="D197">
        <v>1</v>
      </c>
      <c r="E197" s="3">
        <f t="shared" si="2"/>
        <v>2</v>
      </c>
    </row>
    <row r="198" spans="1:5" x14ac:dyDescent="0.2">
      <c r="A198">
        <v>7</v>
      </c>
      <c r="B198" s="2" t="s">
        <v>10</v>
      </c>
      <c r="C198" s="2" t="s">
        <v>10</v>
      </c>
      <c r="D198" s="2" t="s">
        <v>10</v>
      </c>
      <c r="E198" s="3">
        <f t="shared" si="2"/>
        <v>2</v>
      </c>
    </row>
    <row r="199" spans="1:5" x14ac:dyDescent="0.2">
      <c r="A199">
        <v>8</v>
      </c>
      <c r="B199" s="2" t="s">
        <v>10</v>
      </c>
      <c r="C199" s="2" t="s">
        <v>10</v>
      </c>
      <c r="D199" s="2" t="s">
        <v>10</v>
      </c>
      <c r="E199" s="3">
        <f t="shared" si="2"/>
        <v>2</v>
      </c>
    </row>
    <row r="200" spans="1:5" x14ac:dyDescent="0.2">
      <c r="A200" s="1" t="s">
        <v>64</v>
      </c>
      <c r="E200" s="3">
        <f t="shared" si="2"/>
        <v>2</v>
      </c>
    </row>
    <row r="201" spans="1:5" x14ac:dyDescent="0.2">
      <c r="A201" s="1" t="s">
        <v>1</v>
      </c>
      <c r="B201" s="1" t="s">
        <v>2</v>
      </c>
      <c r="C201" s="1" t="s">
        <v>3</v>
      </c>
      <c r="D201" s="1" t="s">
        <v>4</v>
      </c>
      <c r="E201" s="3">
        <f t="shared" si="2"/>
        <v>2</v>
      </c>
    </row>
    <row r="202" spans="1:5" x14ac:dyDescent="0.2">
      <c r="A202">
        <v>1</v>
      </c>
      <c r="B202" t="s">
        <v>23</v>
      </c>
      <c r="C202">
        <v>2</v>
      </c>
      <c r="D202">
        <v>15</v>
      </c>
      <c r="E202" s="3">
        <f t="shared" si="2"/>
        <v>2</v>
      </c>
    </row>
    <row r="203" spans="1:5" x14ac:dyDescent="0.2">
      <c r="A203">
        <v>2</v>
      </c>
      <c r="B203" t="s">
        <v>85</v>
      </c>
      <c r="C203">
        <v>1</v>
      </c>
      <c r="D203">
        <v>11</v>
      </c>
      <c r="E203" s="3">
        <f t="shared" si="2"/>
        <v>2</v>
      </c>
    </row>
    <row r="204" spans="1:5" x14ac:dyDescent="0.2">
      <c r="A204">
        <v>3</v>
      </c>
      <c r="B204" t="s">
        <v>86</v>
      </c>
      <c r="C204">
        <v>0</v>
      </c>
      <c r="D204">
        <v>7</v>
      </c>
      <c r="E204" s="3">
        <f t="shared" si="2"/>
        <v>2</v>
      </c>
    </row>
    <row r="205" spans="1:5" x14ac:dyDescent="0.2">
      <c r="A205">
        <v>4</v>
      </c>
      <c r="B205" t="s">
        <v>87</v>
      </c>
      <c r="C205">
        <v>1</v>
      </c>
      <c r="D205">
        <v>3</v>
      </c>
      <c r="E205" s="3">
        <f t="shared" si="2"/>
        <v>2</v>
      </c>
    </row>
    <row r="206" spans="1:5" x14ac:dyDescent="0.2">
      <c r="A206">
        <v>5</v>
      </c>
      <c r="B206" t="s">
        <v>75</v>
      </c>
      <c r="C206">
        <v>0</v>
      </c>
      <c r="D206">
        <v>1</v>
      </c>
      <c r="E206" s="3">
        <f t="shared" si="2"/>
        <v>2</v>
      </c>
    </row>
    <row r="207" spans="1:5" x14ac:dyDescent="0.2">
      <c r="A207">
        <v>6</v>
      </c>
      <c r="B207" s="2" t="s">
        <v>10</v>
      </c>
      <c r="C207" s="2" t="s">
        <v>10</v>
      </c>
      <c r="D207" s="2" t="s">
        <v>10</v>
      </c>
      <c r="E207" s="3">
        <f t="shared" si="2"/>
        <v>2</v>
      </c>
    </row>
    <row r="208" spans="1:5" x14ac:dyDescent="0.2">
      <c r="A208">
        <v>7</v>
      </c>
      <c r="B208" s="2" t="s">
        <v>10</v>
      </c>
      <c r="C208" s="2" t="s">
        <v>10</v>
      </c>
      <c r="D208" s="2" t="s">
        <v>10</v>
      </c>
      <c r="E208" s="3">
        <f t="shared" si="2"/>
        <v>2</v>
      </c>
    </row>
    <row r="209" spans="1:5" x14ac:dyDescent="0.2">
      <c r="A209">
        <v>8</v>
      </c>
      <c r="B209" s="2" t="s">
        <v>10</v>
      </c>
      <c r="C209" s="2" t="s">
        <v>10</v>
      </c>
      <c r="D209" s="2" t="s">
        <v>10</v>
      </c>
      <c r="E209" s="3">
        <f t="shared" si="2"/>
        <v>2</v>
      </c>
    </row>
    <row r="210" spans="1:5" x14ac:dyDescent="0.2">
      <c r="A210" s="1" t="s">
        <v>70</v>
      </c>
      <c r="E210" s="3">
        <f t="shared" si="2"/>
        <v>2</v>
      </c>
    </row>
    <row r="211" spans="1:5" x14ac:dyDescent="0.2">
      <c r="A211" s="1" t="s">
        <v>1</v>
      </c>
      <c r="B211" s="1" t="s">
        <v>2</v>
      </c>
      <c r="C211" s="1" t="s">
        <v>3</v>
      </c>
      <c r="D211" s="1" t="s">
        <v>4</v>
      </c>
      <c r="E211" s="3">
        <f t="shared" si="2"/>
        <v>2</v>
      </c>
    </row>
    <row r="212" spans="1:5" x14ac:dyDescent="0.2">
      <c r="A212">
        <v>1</v>
      </c>
      <c r="B212" t="s">
        <v>47</v>
      </c>
      <c r="C212">
        <v>4</v>
      </c>
      <c r="D212">
        <v>15</v>
      </c>
      <c r="E212" s="3">
        <f t="shared" si="2"/>
        <v>2</v>
      </c>
    </row>
    <row r="213" spans="1:5" x14ac:dyDescent="0.2">
      <c r="A213">
        <v>2</v>
      </c>
      <c r="B213" t="s">
        <v>15</v>
      </c>
      <c r="C213">
        <v>0</v>
      </c>
      <c r="D213">
        <v>11</v>
      </c>
      <c r="E213" s="3">
        <f t="shared" si="2"/>
        <v>2</v>
      </c>
    </row>
    <row r="214" spans="1:5" x14ac:dyDescent="0.2">
      <c r="A214">
        <v>3</v>
      </c>
      <c r="B214" t="s">
        <v>88</v>
      </c>
      <c r="C214">
        <v>0</v>
      </c>
      <c r="D214">
        <v>7</v>
      </c>
      <c r="E214" s="3">
        <f t="shared" si="2"/>
        <v>2</v>
      </c>
    </row>
    <row r="215" spans="1:5" x14ac:dyDescent="0.2">
      <c r="A215">
        <v>4</v>
      </c>
      <c r="B215" t="s">
        <v>89</v>
      </c>
      <c r="C215">
        <v>0</v>
      </c>
      <c r="D215">
        <v>3</v>
      </c>
      <c r="E215" s="3">
        <f t="shared" si="2"/>
        <v>2</v>
      </c>
    </row>
    <row r="216" spans="1:5" x14ac:dyDescent="0.2">
      <c r="A216">
        <v>5</v>
      </c>
      <c r="B216" t="s">
        <v>21</v>
      </c>
      <c r="C216">
        <v>0</v>
      </c>
      <c r="D216">
        <v>1</v>
      </c>
      <c r="E216" s="3">
        <f t="shared" si="2"/>
        <v>2</v>
      </c>
    </row>
    <row r="217" spans="1:5" x14ac:dyDescent="0.2">
      <c r="A217">
        <v>6</v>
      </c>
      <c r="B217" s="2" t="s">
        <v>10</v>
      </c>
      <c r="C217" s="2" t="s">
        <v>10</v>
      </c>
      <c r="D217" s="2" t="s">
        <v>10</v>
      </c>
      <c r="E217" s="3">
        <f t="shared" si="2"/>
        <v>2</v>
      </c>
    </row>
    <row r="218" spans="1:5" x14ac:dyDescent="0.2">
      <c r="A218" s="1" t="s">
        <v>0</v>
      </c>
      <c r="E218" s="3">
        <f t="shared" si="2"/>
        <v>3</v>
      </c>
    </row>
    <row r="219" spans="1:5" x14ac:dyDescent="0.2">
      <c r="A219" s="1" t="s">
        <v>1</v>
      </c>
      <c r="B219" s="1" t="s">
        <v>2</v>
      </c>
      <c r="C219" s="1" t="s">
        <v>3</v>
      </c>
      <c r="D219" s="1" t="s">
        <v>4</v>
      </c>
      <c r="E219" s="3">
        <f t="shared" si="2"/>
        <v>3</v>
      </c>
    </row>
    <row r="220" spans="1:5" x14ac:dyDescent="0.2">
      <c r="A220">
        <v>1</v>
      </c>
      <c r="B220" t="s">
        <v>35</v>
      </c>
      <c r="C220">
        <v>1</v>
      </c>
      <c r="D220">
        <v>15</v>
      </c>
      <c r="E220" s="3">
        <f t="shared" si="2"/>
        <v>3</v>
      </c>
    </row>
    <row r="221" spans="1:5" x14ac:dyDescent="0.2">
      <c r="A221">
        <v>2</v>
      </c>
      <c r="B221" t="s">
        <v>85</v>
      </c>
      <c r="C221">
        <v>2</v>
      </c>
      <c r="D221">
        <v>11</v>
      </c>
      <c r="E221" s="3">
        <f t="shared" si="2"/>
        <v>3</v>
      </c>
    </row>
    <row r="222" spans="1:5" x14ac:dyDescent="0.2">
      <c r="A222">
        <v>3</v>
      </c>
      <c r="B222" t="s">
        <v>28</v>
      </c>
      <c r="C222">
        <v>1</v>
      </c>
      <c r="D222">
        <v>7</v>
      </c>
      <c r="E222" s="3">
        <f t="shared" si="2"/>
        <v>3</v>
      </c>
    </row>
    <row r="223" spans="1:5" x14ac:dyDescent="0.2">
      <c r="A223">
        <v>4</v>
      </c>
      <c r="B223" t="s">
        <v>31</v>
      </c>
      <c r="C223">
        <v>0</v>
      </c>
      <c r="D223">
        <v>3</v>
      </c>
      <c r="E223" s="3">
        <f t="shared" si="2"/>
        <v>3</v>
      </c>
    </row>
    <row r="224" spans="1:5" x14ac:dyDescent="0.2">
      <c r="A224">
        <v>5</v>
      </c>
      <c r="B224" t="s">
        <v>76</v>
      </c>
      <c r="C224">
        <v>0</v>
      </c>
      <c r="D224">
        <v>1</v>
      </c>
      <c r="E224" s="3">
        <f t="shared" ref="E224:E287" si="3">IF(A224=$A$1,E223+1,E223)</f>
        <v>3</v>
      </c>
    </row>
    <row r="225" spans="1:5" x14ac:dyDescent="0.2">
      <c r="A225">
        <v>6</v>
      </c>
      <c r="B225" s="2" t="s">
        <v>10</v>
      </c>
      <c r="C225" s="2" t="s">
        <v>10</v>
      </c>
      <c r="D225" s="2" t="s">
        <v>10</v>
      </c>
      <c r="E225" s="3">
        <f t="shared" si="3"/>
        <v>3</v>
      </c>
    </row>
    <row r="226" spans="1:5" x14ac:dyDescent="0.2">
      <c r="A226">
        <v>7</v>
      </c>
      <c r="B226" s="2" t="s">
        <v>10</v>
      </c>
      <c r="C226" s="2" t="s">
        <v>10</v>
      </c>
      <c r="D226" s="2" t="s">
        <v>10</v>
      </c>
      <c r="E226" s="3">
        <f t="shared" si="3"/>
        <v>3</v>
      </c>
    </row>
    <row r="227" spans="1:5" x14ac:dyDescent="0.2">
      <c r="A227">
        <v>8</v>
      </c>
      <c r="B227" s="2" t="s">
        <v>10</v>
      </c>
      <c r="C227" s="2" t="s">
        <v>10</v>
      </c>
      <c r="D227" s="2" t="s">
        <v>10</v>
      </c>
      <c r="E227" s="3">
        <f t="shared" si="3"/>
        <v>3</v>
      </c>
    </row>
    <row r="228" spans="1:5" x14ac:dyDescent="0.2">
      <c r="A228" s="1" t="s">
        <v>11</v>
      </c>
      <c r="E228" s="3">
        <f t="shared" si="3"/>
        <v>3</v>
      </c>
    </row>
    <row r="229" spans="1:5" x14ac:dyDescent="0.2">
      <c r="A229" s="1" t="s">
        <v>1</v>
      </c>
      <c r="B229" s="1" t="s">
        <v>2</v>
      </c>
      <c r="C229" s="1" t="s">
        <v>3</v>
      </c>
      <c r="D229" s="1" t="s">
        <v>4</v>
      </c>
      <c r="E229" s="3">
        <f t="shared" si="3"/>
        <v>3</v>
      </c>
    </row>
    <row r="230" spans="1:5" x14ac:dyDescent="0.2">
      <c r="A230">
        <v>1</v>
      </c>
      <c r="B230" t="s">
        <v>34</v>
      </c>
      <c r="C230">
        <v>2</v>
      </c>
      <c r="D230">
        <v>16</v>
      </c>
      <c r="E230" s="3">
        <f t="shared" si="3"/>
        <v>3</v>
      </c>
    </row>
    <row r="231" spans="1:5" x14ac:dyDescent="0.2">
      <c r="A231">
        <v>2</v>
      </c>
      <c r="B231" t="s">
        <v>59</v>
      </c>
      <c r="C231">
        <v>3</v>
      </c>
      <c r="D231">
        <v>12</v>
      </c>
      <c r="E231" s="3">
        <f t="shared" si="3"/>
        <v>3</v>
      </c>
    </row>
    <row r="232" spans="1:5" x14ac:dyDescent="0.2">
      <c r="A232">
        <v>3</v>
      </c>
      <c r="B232" t="s">
        <v>18</v>
      </c>
      <c r="C232">
        <v>0</v>
      </c>
      <c r="D232">
        <v>8</v>
      </c>
      <c r="E232" s="3">
        <f t="shared" si="3"/>
        <v>3</v>
      </c>
    </row>
    <row r="233" spans="1:5" x14ac:dyDescent="0.2">
      <c r="A233">
        <v>4</v>
      </c>
      <c r="B233" t="s">
        <v>29</v>
      </c>
      <c r="C233">
        <v>0</v>
      </c>
      <c r="D233">
        <v>4</v>
      </c>
      <c r="E233" s="3">
        <f t="shared" si="3"/>
        <v>3</v>
      </c>
    </row>
    <row r="234" spans="1:5" x14ac:dyDescent="0.2">
      <c r="A234">
        <v>5</v>
      </c>
      <c r="B234" t="s">
        <v>50</v>
      </c>
      <c r="C234">
        <v>0</v>
      </c>
      <c r="D234">
        <v>2</v>
      </c>
      <c r="E234" s="3">
        <f t="shared" si="3"/>
        <v>3</v>
      </c>
    </row>
    <row r="235" spans="1:5" x14ac:dyDescent="0.2">
      <c r="A235">
        <v>6</v>
      </c>
      <c r="B235" t="s">
        <v>90</v>
      </c>
      <c r="C235">
        <v>0</v>
      </c>
      <c r="D235">
        <v>1</v>
      </c>
      <c r="E235" s="3">
        <f t="shared" si="3"/>
        <v>3</v>
      </c>
    </row>
    <row r="236" spans="1:5" x14ac:dyDescent="0.2">
      <c r="A236">
        <v>7</v>
      </c>
      <c r="B236" s="2" t="s">
        <v>10</v>
      </c>
      <c r="C236" s="2" t="s">
        <v>10</v>
      </c>
      <c r="D236" s="2" t="s">
        <v>10</v>
      </c>
      <c r="E236" s="3">
        <f t="shared" si="3"/>
        <v>3</v>
      </c>
    </row>
    <row r="237" spans="1:5" x14ac:dyDescent="0.2">
      <c r="A237">
        <v>8</v>
      </c>
      <c r="B237" s="2" t="s">
        <v>10</v>
      </c>
      <c r="C237" s="2" t="s">
        <v>10</v>
      </c>
      <c r="D237" s="2" t="s">
        <v>10</v>
      </c>
      <c r="E237" s="3">
        <f t="shared" si="3"/>
        <v>3</v>
      </c>
    </row>
    <row r="238" spans="1:5" x14ac:dyDescent="0.2">
      <c r="A238" s="1" t="s">
        <v>17</v>
      </c>
      <c r="E238" s="3">
        <f t="shared" si="3"/>
        <v>3</v>
      </c>
    </row>
    <row r="239" spans="1:5" x14ac:dyDescent="0.2">
      <c r="A239" s="1" t="s">
        <v>1</v>
      </c>
      <c r="B239" s="1" t="s">
        <v>2</v>
      </c>
      <c r="C239" s="1" t="s">
        <v>3</v>
      </c>
      <c r="D239" s="1" t="s">
        <v>4</v>
      </c>
      <c r="E239" s="3">
        <f t="shared" si="3"/>
        <v>3</v>
      </c>
    </row>
    <row r="240" spans="1:5" x14ac:dyDescent="0.2">
      <c r="A240">
        <v>1</v>
      </c>
      <c r="B240" t="s">
        <v>14</v>
      </c>
      <c r="C240">
        <v>1</v>
      </c>
      <c r="D240">
        <v>15</v>
      </c>
      <c r="E240" s="3">
        <f t="shared" si="3"/>
        <v>3</v>
      </c>
    </row>
    <row r="241" spans="1:5" x14ac:dyDescent="0.2">
      <c r="A241">
        <v>2</v>
      </c>
      <c r="B241" t="s">
        <v>43</v>
      </c>
      <c r="C241">
        <v>2</v>
      </c>
      <c r="D241">
        <v>11</v>
      </c>
      <c r="E241" s="3">
        <f t="shared" si="3"/>
        <v>3</v>
      </c>
    </row>
    <row r="242" spans="1:5" x14ac:dyDescent="0.2">
      <c r="A242">
        <v>3</v>
      </c>
      <c r="B242" t="s">
        <v>61</v>
      </c>
      <c r="C242">
        <v>1</v>
      </c>
      <c r="D242">
        <v>7</v>
      </c>
      <c r="E242" s="3">
        <f t="shared" si="3"/>
        <v>3</v>
      </c>
    </row>
    <row r="243" spans="1:5" x14ac:dyDescent="0.2">
      <c r="A243">
        <v>4</v>
      </c>
      <c r="B243" t="s">
        <v>69</v>
      </c>
      <c r="C243">
        <v>0</v>
      </c>
      <c r="D243">
        <v>3</v>
      </c>
      <c r="E243" s="3">
        <f t="shared" si="3"/>
        <v>3</v>
      </c>
    </row>
    <row r="244" spans="1:5" x14ac:dyDescent="0.2">
      <c r="A244">
        <v>5</v>
      </c>
      <c r="B244" t="s">
        <v>40</v>
      </c>
      <c r="C244">
        <v>0</v>
      </c>
      <c r="D244">
        <v>1</v>
      </c>
      <c r="E244" s="3">
        <f t="shared" si="3"/>
        <v>3</v>
      </c>
    </row>
    <row r="245" spans="1:5" x14ac:dyDescent="0.2">
      <c r="A245">
        <v>6</v>
      </c>
      <c r="B245" s="2" t="s">
        <v>10</v>
      </c>
      <c r="C245" s="2" t="s">
        <v>10</v>
      </c>
      <c r="D245" s="2" t="s">
        <v>10</v>
      </c>
      <c r="E245" s="3">
        <f t="shared" si="3"/>
        <v>3</v>
      </c>
    </row>
    <row r="246" spans="1:5" x14ac:dyDescent="0.2">
      <c r="A246">
        <v>7</v>
      </c>
      <c r="B246" s="2" t="s">
        <v>10</v>
      </c>
      <c r="C246" s="2" t="s">
        <v>10</v>
      </c>
      <c r="D246" s="2" t="s">
        <v>10</v>
      </c>
      <c r="E246" s="3">
        <f t="shared" si="3"/>
        <v>3</v>
      </c>
    </row>
    <row r="247" spans="1:5" x14ac:dyDescent="0.2">
      <c r="A247">
        <v>8</v>
      </c>
      <c r="B247" s="2" t="s">
        <v>10</v>
      </c>
      <c r="C247" s="2" t="s">
        <v>10</v>
      </c>
      <c r="D247" s="2" t="s">
        <v>10</v>
      </c>
      <c r="E247" s="3">
        <f t="shared" si="3"/>
        <v>3</v>
      </c>
    </row>
    <row r="248" spans="1:5" x14ac:dyDescent="0.2">
      <c r="A248" s="1" t="s">
        <v>24</v>
      </c>
      <c r="E248" s="3">
        <f t="shared" si="3"/>
        <v>3</v>
      </c>
    </row>
    <row r="249" spans="1:5" x14ac:dyDescent="0.2">
      <c r="A249" s="1" t="s">
        <v>1</v>
      </c>
      <c r="B249" s="1" t="s">
        <v>2</v>
      </c>
      <c r="C249" s="1" t="s">
        <v>3</v>
      </c>
      <c r="D249" s="1" t="s">
        <v>4</v>
      </c>
      <c r="E249" s="3">
        <f t="shared" si="3"/>
        <v>3</v>
      </c>
    </row>
    <row r="250" spans="1:5" x14ac:dyDescent="0.2">
      <c r="A250">
        <v>1</v>
      </c>
      <c r="B250" t="s">
        <v>68</v>
      </c>
      <c r="C250">
        <v>3</v>
      </c>
      <c r="D250">
        <v>16</v>
      </c>
      <c r="E250" s="3">
        <f t="shared" si="3"/>
        <v>3</v>
      </c>
    </row>
    <row r="251" spans="1:5" x14ac:dyDescent="0.2">
      <c r="A251">
        <v>2</v>
      </c>
      <c r="B251" t="s">
        <v>54</v>
      </c>
      <c r="C251">
        <v>0</v>
      </c>
      <c r="D251">
        <v>12</v>
      </c>
      <c r="E251" s="3">
        <f t="shared" si="3"/>
        <v>3</v>
      </c>
    </row>
    <row r="252" spans="1:5" x14ac:dyDescent="0.2">
      <c r="A252">
        <v>3</v>
      </c>
      <c r="B252" t="s">
        <v>15</v>
      </c>
      <c r="C252">
        <v>1</v>
      </c>
      <c r="D252">
        <v>8</v>
      </c>
      <c r="E252" s="3">
        <f t="shared" si="3"/>
        <v>3</v>
      </c>
    </row>
    <row r="253" spans="1:5" x14ac:dyDescent="0.2">
      <c r="A253">
        <v>4</v>
      </c>
      <c r="B253" t="s">
        <v>26</v>
      </c>
      <c r="C253">
        <v>1</v>
      </c>
      <c r="D253">
        <v>4</v>
      </c>
      <c r="E253" s="3">
        <f t="shared" si="3"/>
        <v>3</v>
      </c>
    </row>
    <row r="254" spans="1:5" x14ac:dyDescent="0.2">
      <c r="A254">
        <v>5</v>
      </c>
      <c r="B254" t="s">
        <v>32</v>
      </c>
      <c r="C254">
        <v>0</v>
      </c>
      <c r="D254">
        <v>2</v>
      </c>
      <c r="E254" s="3">
        <f t="shared" si="3"/>
        <v>3</v>
      </c>
    </row>
    <row r="255" spans="1:5" x14ac:dyDescent="0.2">
      <c r="A255">
        <v>6</v>
      </c>
      <c r="B255" t="s">
        <v>74</v>
      </c>
      <c r="C255">
        <v>0</v>
      </c>
      <c r="D255">
        <v>1</v>
      </c>
      <c r="E255" s="3">
        <f t="shared" si="3"/>
        <v>3</v>
      </c>
    </row>
    <row r="256" spans="1:5" x14ac:dyDescent="0.2">
      <c r="A256">
        <v>7</v>
      </c>
      <c r="B256" s="2" t="s">
        <v>10</v>
      </c>
      <c r="C256" s="2" t="s">
        <v>10</v>
      </c>
      <c r="D256" s="2" t="s">
        <v>10</v>
      </c>
      <c r="E256" s="3">
        <f t="shared" si="3"/>
        <v>3</v>
      </c>
    </row>
    <row r="257" spans="1:5" x14ac:dyDescent="0.2">
      <c r="A257">
        <v>8</v>
      </c>
      <c r="B257" s="2" t="s">
        <v>10</v>
      </c>
      <c r="C257" s="2" t="s">
        <v>10</v>
      </c>
      <c r="D257" s="2" t="s">
        <v>10</v>
      </c>
      <c r="E257" s="3">
        <f t="shared" si="3"/>
        <v>3</v>
      </c>
    </row>
    <row r="258" spans="1:5" x14ac:dyDescent="0.2">
      <c r="A258" s="1" t="s">
        <v>30</v>
      </c>
      <c r="E258" s="3">
        <f t="shared" si="3"/>
        <v>3</v>
      </c>
    </row>
    <row r="259" spans="1:5" x14ac:dyDescent="0.2">
      <c r="A259" s="1" t="s">
        <v>1</v>
      </c>
      <c r="B259" s="1" t="s">
        <v>2</v>
      </c>
      <c r="C259" s="1" t="s">
        <v>3</v>
      </c>
      <c r="D259" s="1" t="s">
        <v>4</v>
      </c>
      <c r="E259" s="3">
        <f t="shared" si="3"/>
        <v>3</v>
      </c>
    </row>
    <row r="260" spans="1:5" x14ac:dyDescent="0.2">
      <c r="A260">
        <v>1</v>
      </c>
      <c r="B260" t="s">
        <v>38</v>
      </c>
      <c r="C260">
        <v>4</v>
      </c>
      <c r="D260">
        <v>16</v>
      </c>
      <c r="E260" s="3">
        <f t="shared" si="3"/>
        <v>3</v>
      </c>
    </row>
    <row r="261" spans="1:5" x14ac:dyDescent="0.2">
      <c r="A261">
        <v>2</v>
      </c>
      <c r="B261" t="s">
        <v>46</v>
      </c>
      <c r="C261">
        <v>1</v>
      </c>
      <c r="D261">
        <v>12</v>
      </c>
      <c r="E261" s="3">
        <f t="shared" si="3"/>
        <v>3</v>
      </c>
    </row>
    <row r="262" spans="1:5" x14ac:dyDescent="0.2">
      <c r="A262">
        <v>3</v>
      </c>
      <c r="B262" t="s">
        <v>8</v>
      </c>
      <c r="C262">
        <v>0</v>
      </c>
      <c r="D262">
        <v>8</v>
      </c>
      <c r="E262" s="3">
        <f t="shared" si="3"/>
        <v>3</v>
      </c>
    </row>
    <row r="263" spans="1:5" x14ac:dyDescent="0.2">
      <c r="A263">
        <v>4</v>
      </c>
      <c r="B263" t="s">
        <v>73</v>
      </c>
      <c r="C263">
        <v>0</v>
      </c>
      <c r="D263">
        <v>4</v>
      </c>
      <c r="E263" s="3">
        <f t="shared" si="3"/>
        <v>3</v>
      </c>
    </row>
    <row r="264" spans="1:5" x14ac:dyDescent="0.2">
      <c r="A264">
        <v>5</v>
      </c>
      <c r="B264" t="s">
        <v>65</v>
      </c>
      <c r="C264">
        <v>0</v>
      </c>
      <c r="D264">
        <v>2</v>
      </c>
      <c r="E264" s="3">
        <f t="shared" si="3"/>
        <v>3</v>
      </c>
    </row>
    <row r="265" spans="1:5" x14ac:dyDescent="0.2">
      <c r="A265">
        <v>6</v>
      </c>
      <c r="B265" t="s">
        <v>9</v>
      </c>
      <c r="C265">
        <v>0</v>
      </c>
      <c r="D265">
        <v>1</v>
      </c>
      <c r="E265" s="3">
        <f t="shared" si="3"/>
        <v>3</v>
      </c>
    </row>
    <row r="266" spans="1:5" x14ac:dyDescent="0.2">
      <c r="A266">
        <v>7</v>
      </c>
      <c r="B266" s="2" t="s">
        <v>10</v>
      </c>
      <c r="C266" s="2" t="s">
        <v>10</v>
      </c>
      <c r="D266" s="2" t="s">
        <v>10</v>
      </c>
      <c r="E266" s="3">
        <f t="shared" si="3"/>
        <v>3</v>
      </c>
    </row>
    <row r="267" spans="1:5" x14ac:dyDescent="0.2">
      <c r="A267">
        <v>8</v>
      </c>
      <c r="B267" s="2" t="s">
        <v>10</v>
      </c>
      <c r="C267" s="2" t="s">
        <v>10</v>
      </c>
      <c r="D267" s="2" t="s">
        <v>10</v>
      </c>
      <c r="E267" s="3">
        <f t="shared" si="3"/>
        <v>3</v>
      </c>
    </row>
    <row r="268" spans="1:5" x14ac:dyDescent="0.2">
      <c r="A268" s="1" t="s">
        <v>37</v>
      </c>
      <c r="E268" s="3">
        <f t="shared" si="3"/>
        <v>3</v>
      </c>
    </row>
    <row r="269" spans="1:5" x14ac:dyDescent="0.2">
      <c r="A269" s="1" t="s">
        <v>1</v>
      </c>
      <c r="B269" s="1" t="s">
        <v>2</v>
      </c>
      <c r="C269" s="1" t="s">
        <v>3</v>
      </c>
      <c r="D269" s="1" t="s">
        <v>4</v>
      </c>
      <c r="E269" s="3">
        <f t="shared" si="3"/>
        <v>3</v>
      </c>
    </row>
    <row r="270" spans="1:5" x14ac:dyDescent="0.2">
      <c r="A270">
        <v>1</v>
      </c>
      <c r="B270" t="s">
        <v>42</v>
      </c>
      <c r="C270">
        <v>4</v>
      </c>
      <c r="D270">
        <v>15</v>
      </c>
      <c r="E270" s="3">
        <f t="shared" si="3"/>
        <v>3</v>
      </c>
    </row>
    <row r="271" spans="1:5" x14ac:dyDescent="0.2">
      <c r="A271">
        <v>2</v>
      </c>
      <c r="B271" t="s">
        <v>6</v>
      </c>
      <c r="C271">
        <v>0</v>
      </c>
      <c r="D271">
        <v>11</v>
      </c>
      <c r="E271" s="3">
        <f t="shared" si="3"/>
        <v>3</v>
      </c>
    </row>
    <row r="272" spans="1:5" x14ac:dyDescent="0.2">
      <c r="A272">
        <v>3</v>
      </c>
      <c r="B272" t="s">
        <v>21</v>
      </c>
      <c r="C272">
        <v>0</v>
      </c>
      <c r="D272">
        <v>7</v>
      </c>
      <c r="E272" s="3">
        <f t="shared" si="3"/>
        <v>3</v>
      </c>
    </row>
    <row r="273" spans="1:5" x14ac:dyDescent="0.2">
      <c r="A273">
        <v>4</v>
      </c>
      <c r="B273" t="s">
        <v>36</v>
      </c>
      <c r="C273">
        <v>0</v>
      </c>
      <c r="D273">
        <v>3</v>
      </c>
      <c r="E273" s="3">
        <f t="shared" si="3"/>
        <v>3</v>
      </c>
    </row>
    <row r="274" spans="1:5" x14ac:dyDescent="0.2">
      <c r="A274">
        <v>5</v>
      </c>
      <c r="B274" t="s">
        <v>33</v>
      </c>
      <c r="C274">
        <v>0</v>
      </c>
      <c r="D274">
        <v>1</v>
      </c>
      <c r="E274" s="3">
        <f t="shared" si="3"/>
        <v>3</v>
      </c>
    </row>
    <row r="275" spans="1:5" x14ac:dyDescent="0.2">
      <c r="A275">
        <v>6</v>
      </c>
      <c r="B275" s="2" t="s">
        <v>10</v>
      </c>
      <c r="C275" s="2" t="s">
        <v>10</v>
      </c>
      <c r="D275" s="2" t="s">
        <v>10</v>
      </c>
      <c r="E275" s="3">
        <f t="shared" si="3"/>
        <v>3</v>
      </c>
    </row>
    <row r="276" spans="1:5" x14ac:dyDescent="0.2">
      <c r="A276">
        <v>7</v>
      </c>
      <c r="B276" s="2" t="s">
        <v>10</v>
      </c>
      <c r="C276" s="2" t="s">
        <v>10</v>
      </c>
      <c r="D276" s="2" t="s">
        <v>10</v>
      </c>
      <c r="E276" s="3">
        <f t="shared" si="3"/>
        <v>3</v>
      </c>
    </row>
    <row r="277" spans="1:5" x14ac:dyDescent="0.2">
      <c r="A277">
        <v>8</v>
      </c>
      <c r="B277" s="2" t="s">
        <v>10</v>
      </c>
      <c r="C277" s="2" t="s">
        <v>10</v>
      </c>
      <c r="D277" s="2" t="s">
        <v>10</v>
      </c>
      <c r="E277" s="3">
        <f t="shared" si="3"/>
        <v>3</v>
      </c>
    </row>
    <row r="278" spans="1:5" x14ac:dyDescent="0.2">
      <c r="A278" s="1" t="s">
        <v>44</v>
      </c>
      <c r="E278" s="3">
        <f t="shared" si="3"/>
        <v>3</v>
      </c>
    </row>
    <row r="279" spans="1:5" x14ac:dyDescent="0.2">
      <c r="A279" s="1" t="s">
        <v>1</v>
      </c>
      <c r="B279" s="1" t="s">
        <v>2</v>
      </c>
      <c r="C279" s="1" t="s">
        <v>3</v>
      </c>
      <c r="D279" s="1" t="s">
        <v>4</v>
      </c>
      <c r="E279" s="3">
        <f t="shared" si="3"/>
        <v>3</v>
      </c>
    </row>
    <row r="280" spans="1:5" x14ac:dyDescent="0.2">
      <c r="A280">
        <v>1</v>
      </c>
      <c r="B280" t="s">
        <v>23</v>
      </c>
      <c r="C280">
        <v>1</v>
      </c>
      <c r="D280">
        <v>16</v>
      </c>
      <c r="E280" s="3">
        <f t="shared" si="3"/>
        <v>3</v>
      </c>
    </row>
    <row r="281" spans="1:5" x14ac:dyDescent="0.2">
      <c r="A281">
        <v>2</v>
      </c>
      <c r="B281" t="s">
        <v>48</v>
      </c>
      <c r="C281">
        <v>2</v>
      </c>
      <c r="D281">
        <v>12</v>
      </c>
      <c r="E281" s="3">
        <f t="shared" si="3"/>
        <v>3</v>
      </c>
    </row>
    <row r="282" spans="1:5" x14ac:dyDescent="0.2">
      <c r="A282">
        <v>3</v>
      </c>
      <c r="B282" t="s">
        <v>81</v>
      </c>
      <c r="C282">
        <v>2</v>
      </c>
      <c r="D282">
        <v>8</v>
      </c>
      <c r="E282" s="3">
        <f t="shared" si="3"/>
        <v>3</v>
      </c>
    </row>
    <row r="283" spans="1:5" x14ac:dyDescent="0.2">
      <c r="A283">
        <v>4</v>
      </c>
      <c r="B283" t="s">
        <v>25</v>
      </c>
      <c r="C283">
        <v>0</v>
      </c>
      <c r="D283">
        <v>4</v>
      </c>
      <c r="E283" s="3">
        <f t="shared" si="3"/>
        <v>3</v>
      </c>
    </row>
    <row r="284" spans="1:5" x14ac:dyDescent="0.2">
      <c r="A284">
        <v>5</v>
      </c>
      <c r="B284" t="s">
        <v>5</v>
      </c>
      <c r="C284">
        <v>0</v>
      </c>
      <c r="D284">
        <v>2</v>
      </c>
      <c r="E284" s="3">
        <f t="shared" si="3"/>
        <v>3</v>
      </c>
    </row>
    <row r="285" spans="1:5" x14ac:dyDescent="0.2">
      <c r="A285">
        <v>6</v>
      </c>
      <c r="B285" t="s">
        <v>7</v>
      </c>
      <c r="C285">
        <v>0</v>
      </c>
      <c r="D285">
        <v>1</v>
      </c>
      <c r="E285" s="3">
        <f t="shared" si="3"/>
        <v>3</v>
      </c>
    </row>
    <row r="286" spans="1:5" x14ac:dyDescent="0.2">
      <c r="A286">
        <v>7</v>
      </c>
      <c r="B286" s="2" t="s">
        <v>10</v>
      </c>
      <c r="C286" s="2" t="s">
        <v>10</v>
      </c>
      <c r="D286" s="2" t="s">
        <v>10</v>
      </c>
      <c r="E286" s="3">
        <f t="shared" si="3"/>
        <v>3</v>
      </c>
    </row>
    <row r="287" spans="1:5" x14ac:dyDescent="0.2">
      <c r="A287">
        <v>8</v>
      </c>
      <c r="B287" s="2" t="s">
        <v>10</v>
      </c>
      <c r="C287" s="2" t="s">
        <v>10</v>
      </c>
      <c r="D287" s="2" t="s">
        <v>10</v>
      </c>
      <c r="E287" s="3">
        <f t="shared" si="3"/>
        <v>3</v>
      </c>
    </row>
    <row r="288" spans="1:5" x14ac:dyDescent="0.2">
      <c r="A288" s="1" t="s">
        <v>51</v>
      </c>
      <c r="E288" s="3">
        <f t="shared" ref="E288:E351" si="4">IF(A288=$A$1,E287+1,E287)</f>
        <v>3</v>
      </c>
    </row>
    <row r="289" spans="1:5" x14ac:dyDescent="0.2">
      <c r="A289" s="1" t="s">
        <v>1</v>
      </c>
      <c r="B289" s="1" t="s">
        <v>2</v>
      </c>
      <c r="C289" s="1" t="s">
        <v>3</v>
      </c>
      <c r="D289" s="1" t="s">
        <v>4</v>
      </c>
      <c r="E289" s="3">
        <f t="shared" si="4"/>
        <v>3</v>
      </c>
    </row>
    <row r="290" spans="1:5" x14ac:dyDescent="0.2">
      <c r="A290">
        <v>1</v>
      </c>
      <c r="B290" t="s">
        <v>60</v>
      </c>
      <c r="C290">
        <v>4</v>
      </c>
      <c r="D290">
        <v>15</v>
      </c>
      <c r="E290" s="3">
        <f t="shared" si="4"/>
        <v>3</v>
      </c>
    </row>
    <row r="291" spans="1:5" x14ac:dyDescent="0.2">
      <c r="A291">
        <v>2</v>
      </c>
      <c r="B291" t="s">
        <v>75</v>
      </c>
      <c r="C291">
        <v>0</v>
      </c>
      <c r="D291">
        <v>11</v>
      </c>
      <c r="E291" s="3">
        <f t="shared" si="4"/>
        <v>3</v>
      </c>
    </row>
    <row r="292" spans="1:5" x14ac:dyDescent="0.2">
      <c r="A292">
        <v>3</v>
      </c>
      <c r="B292" t="s">
        <v>20</v>
      </c>
      <c r="C292">
        <v>0</v>
      </c>
      <c r="D292">
        <v>7</v>
      </c>
      <c r="E292" s="3">
        <f t="shared" si="4"/>
        <v>3</v>
      </c>
    </row>
    <row r="293" spans="1:5" x14ac:dyDescent="0.2">
      <c r="A293">
        <v>4</v>
      </c>
      <c r="B293" t="s">
        <v>91</v>
      </c>
      <c r="C293">
        <v>0</v>
      </c>
      <c r="D293">
        <v>3</v>
      </c>
      <c r="E293" s="3">
        <f t="shared" si="4"/>
        <v>3</v>
      </c>
    </row>
    <row r="294" spans="1:5" x14ac:dyDescent="0.2">
      <c r="A294">
        <v>5</v>
      </c>
      <c r="B294" t="s">
        <v>41</v>
      </c>
      <c r="C294">
        <v>0</v>
      </c>
      <c r="D294">
        <v>1</v>
      </c>
      <c r="E294" s="3">
        <f t="shared" si="4"/>
        <v>3</v>
      </c>
    </row>
    <row r="295" spans="1:5" x14ac:dyDescent="0.2">
      <c r="A295">
        <v>6</v>
      </c>
      <c r="B295" s="2" t="s">
        <v>10</v>
      </c>
      <c r="C295" s="2" t="s">
        <v>10</v>
      </c>
      <c r="D295" s="2" t="s">
        <v>10</v>
      </c>
      <c r="E295" s="3">
        <f t="shared" si="4"/>
        <v>3</v>
      </c>
    </row>
    <row r="296" spans="1:5" x14ac:dyDescent="0.2">
      <c r="A296">
        <v>7</v>
      </c>
      <c r="B296" s="2" t="s">
        <v>10</v>
      </c>
      <c r="C296" s="2" t="s">
        <v>10</v>
      </c>
      <c r="D296" s="2" t="s">
        <v>10</v>
      </c>
      <c r="E296" s="3">
        <f t="shared" si="4"/>
        <v>3</v>
      </c>
    </row>
    <row r="297" spans="1:5" x14ac:dyDescent="0.2">
      <c r="A297">
        <v>8</v>
      </c>
      <c r="B297" s="2" t="s">
        <v>10</v>
      </c>
      <c r="C297" s="2" t="s">
        <v>10</v>
      </c>
      <c r="D297" s="2" t="s">
        <v>10</v>
      </c>
      <c r="E297" s="3">
        <f t="shared" si="4"/>
        <v>3</v>
      </c>
    </row>
    <row r="298" spans="1:5" x14ac:dyDescent="0.2">
      <c r="A298" s="1" t="s">
        <v>58</v>
      </c>
      <c r="E298" s="3">
        <f t="shared" si="4"/>
        <v>3</v>
      </c>
    </row>
    <row r="299" spans="1:5" x14ac:dyDescent="0.2">
      <c r="A299" s="1" t="s">
        <v>1</v>
      </c>
      <c r="B299" s="1" t="s">
        <v>2</v>
      </c>
      <c r="C299" s="1" t="s">
        <v>3</v>
      </c>
      <c r="D299" s="1" t="s">
        <v>4</v>
      </c>
      <c r="E299" s="3">
        <f t="shared" si="4"/>
        <v>3</v>
      </c>
    </row>
    <row r="300" spans="1:5" x14ac:dyDescent="0.2">
      <c r="A300">
        <v>1</v>
      </c>
      <c r="B300" t="s">
        <v>55</v>
      </c>
      <c r="C300">
        <v>2</v>
      </c>
      <c r="D300">
        <v>16</v>
      </c>
      <c r="E300" s="3">
        <f t="shared" si="4"/>
        <v>3</v>
      </c>
    </row>
    <row r="301" spans="1:5" x14ac:dyDescent="0.2">
      <c r="A301">
        <v>2</v>
      </c>
      <c r="B301" t="s">
        <v>72</v>
      </c>
      <c r="C301">
        <v>2</v>
      </c>
      <c r="D301">
        <v>12</v>
      </c>
      <c r="E301" s="3">
        <f t="shared" si="4"/>
        <v>3</v>
      </c>
    </row>
    <row r="302" spans="1:5" x14ac:dyDescent="0.2">
      <c r="A302">
        <v>3</v>
      </c>
      <c r="B302" t="s">
        <v>27</v>
      </c>
      <c r="C302">
        <v>0</v>
      </c>
      <c r="D302">
        <v>8</v>
      </c>
      <c r="E302" s="3">
        <f t="shared" si="4"/>
        <v>3</v>
      </c>
    </row>
    <row r="303" spans="1:5" x14ac:dyDescent="0.2">
      <c r="A303">
        <v>4</v>
      </c>
      <c r="B303" t="s">
        <v>52</v>
      </c>
      <c r="C303">
        <v>1</v>
      </c>
      <c r="D303">
        <v>4</v>
      </c>
      <c r="E303" s="3">
        <f t="shared" si="4"/>
        <v>3</v>
      </c>
    </row>
    <row r="304" spans="1:5" x14ac:dyDescent="0.2">
      <c r="A304">
        <v>5</v>
      </c>
      <c r="B304" t="s">
        <v>45</v>
      </c>
      <c r="C304">
        <v>0</v>
      </c>
      <c r="D304">
        <v>2</v>
      </c>
      <c r="E304" s="3">
        <f t="shared" si="4"/>
        <v>3</v>
      </c>
    </row>
    <row r="305" spans="1:5" x14ac:dyDescent="0.2">
      <c r="A305">
        <v>6</v>
      </c>
      <c r="B305" t="s">
        <v>22</v>
      </c>
      <c r="C305">
        <v>0</v>
      </c>
      <c r="D305">
        <v>1</v>
      </c>
      <c r="E305" s="3">
        <f t="shared" si="4"/>
        <v>3</v>
      </c>
    </row>
    <row r="306" spans="1:5" x14ac:dyDescent="0.2">
      <c r="A306">
        <v>7</v>
      </c>
      <c r="B306" s="2" t="s">
        <v>10</v>
      </c>
      <c r="C306" s="2" t="s">
        <v>10</v>
      </c>
      <c r="D306" s="2" t="s">
        <v>10</v>
      </c>
      <c r="E306" s="3">
        <f t="shared" si="4"/>
        <v>3</v>
      </c>
    </row>
    <row r="307" spans="1:5" x14ac:dyDescent="0.2">
      <c r="A307">
        <v>8</v>
      </c>
      <c r="B307" s="2" t="s">
        <v>10</v>
      </c>
      <c r="C307" s="2" t="s">
        <v>10</v>
      </c>
      <c r="D307" s="2" t="s">
        <v>10</v>
      </c>
      <c r="E307" s="3">
        <f t="shared" si="4"/>
        <v>3</v>
      </c>
    </row>
    <row r="308" spans="1:5" x14ac:dyDescent="0.2">
      <c r="A308" s="1" t="s">
        <v>64</v>
      </c>
      <c r="E308" s="3">
        <f t="shared" si="4"/>
        <v>3</v>
      </c>
    </row>
    <row r="309" spans="1:5" x14ac:dyDescent="0.2">
      <c r="A309" s="1" t="s">
        <v>1</v>
      </c>
      <c r="B309" s="1" t="s">
        <v>2</v>
      </c>
      <c r="C309" s="1" t="s">
        <v>3</v>
      </c>
      <c r="D309" s="1" t="s">
        <v>4</v>
      </c>
      <c r="E309" s="3">
        <f t="shared" si="4"/>
        <v>3</v>
      </c>
    </row>
    <row r="310" spans="1:5" x14ac:dyDescent="0.2">
      <c r="A310">
        <v>1</v>
      </c>
      <c r="B310" t="s">
        <v>47</v>
      </c>
      <c r="C310">
        <v>3</v>
      </c>
      <c r="D310">
        <v>16</v>
      </c>
      <c r="E310" s="3">
        <f t="shared" si="4"/>
        <v>3</v>
      </c>
    </row>
    <row r="311" spans="1:5" x14ac:dyDescent="0.2">
      <c r="A311">
        <v>2</v>
      </c>
      <c r="B311" t="s">
        <v>92</v>
      </c>
      <c r="C311">
        <v>1</v>
      </c>
      <c r="D311">
        <v>12</v>
      </c>
      <c r="E311" s="3">
        <f t="shared" si="4"/>
        <v>3</v>
      </c>
    </row>
    <row r="312" spans="1:5" x14ac:dyDescent="0.2">
      <c r="A312">
        <v>3</v>
      </c>
      <c r="B312" t="s">
        <v>39</v>
      </c>
      <c r="C312">
        <v>0</v>
      </c>
      <c r="D312">
        <v>8</v>
      </c>
      <c r="E312" s="3">
        <f t="shared" si="4"/>
        <v>3</v>
      </c>
    </row>
    <row r="313" spans="1:5" x14ac:dyDescent="0.2">
      <c r="A313">
        <v>4</v>
      </c>
      <c r="B313" t="s">
        <v>78</v>
      </c>
      <c r="C313">
        <v>1</v>
      </c>
      <c r="D313">
        <v>4</v>
      </c>
      <c r="E313" s="3">
        <f t="shared" si="4"/>
        <v>3</v>
      </c>
    </row>
    <row r="314" spans="1:5" x14ac:dyDescent="0.2">
      <c r="A314">
        <v>5</v>
      </c>
      <c r="B314" t="s">
        <v>66</v>
      </c>
      <c r="C314">
        <v>0</v>
      </c>
      <c r="D314">
        <v>2</v>
      </c>
      <c r="E314" s="3">
        <f t="shared" si="4"/>
        <v>3</v>
      </c>
    </row>
    <row r="315" spans="1:5" x14ac:dyDescent="0.2">
      <c r="A315">
        <v>6</v>
      </c>
      <c r="B315" t="s">
        <v>87</v>
      </c>
      <c r="C315">
        <v>0</v>
      </c>
      <c r="D315">
        <v>1</v>
      </c>
      <c r="E315" s="3">
        <f t="shared" si="4"/>
        <v>3</v>
      </c>
    </row>
    <row r="316" spans="1:5" x14ac:dyDescent="0.2">
      <c r="A316">
        <v>7</v>
      </c>
      <c r="B316" s="2" t="s">
        <v>10</v>
      </c>
      <c r="C316" s="2" t="s">
        <v>10</v>
      </c>
      <c r="D316" s="2" t="s">
        <v>10</v>
      </c>
      <c r="E316" s="3">
        <f t="shared" si="4"/>
        <v>3</v>
      </c>
    </row>
    <row r="317" spans="1:5" x14ac:dyDescent="0.2">
      <c r="A317">
        <v>8</v>
      </c>
      <c r="B317" s="2" t="s">
        <v>10</v>
      </c>
      <c r="C317" s="2" t="s">
        <v>10</v>
      </c>
      <c r="D317" s="2" t="s">
        <v>10</v>
      </c>
      <c r="E317" s="3">
        <f t="shared" si="4"/>
        <v>3</v>
      </c>
    </row>
    <row r="318" spans="1:5" x14ac:dyDescent="0.2">
      <c r="A318" s="1" t="s">
        <v>0</v>
      </c>
      <c r="E318" s="3">
        <f t="shared" si="4"/>
        <v>4</v>
      </c>
    </row>
    <row r="319" spans="1:5" x14ac:dyDescent="0.2">
      <c r="A319" s="1" t="s">
        <v>1</v>
      </c>
      <c r="B319" s="1" t="s">
        <v>2</v>
      </c>
      <c r="C319" s="1" t="s">
        <v>3</v>
      </c>
      <c r="D319" s="1" t="s">
        <v>4</v>
      </c>
      <c r="E319" s="3">
        <f t="shared" si="4"/>
        <v>4</v>
      </c>
    </row>
    <row r="320" spans="1:5" x14ac:dyDescent="0.2">
      <c r="A320">
        <v>1</v>
      </c>
      <c r="B320" t="s">
        <v>50</v>
      </c>
      <c r="C320">
        <v>4</v>
      </c>
      <c r="D320">
        <v>16</v>
      </c>
      <c r="E320" s="3">
        <f t="shared" si="4"/>
        <v>4</v>
      </c>
    </row>
    <row r="321" spans="1:5" x14ac:dyDescent="0.2">
      <c r="A321">
        <v>2</v>
      </c>
      <c r="B321" t="s">
        <v>88</v>
      </c>
      <c r="C321">
        <v>0</v>
      </c>
      <c r="D321">
        <v>12</v>
      </c>
      <c r="E321" s="3">
        <f t="shared" si="4"/>
        <v>4</v>
      </c>
    </row>
    <row r="322" spans="1:5" x14ac:dyDescent="0.2">
      <c r="A322">
        <v>3</v>
      </c>
      <c r="B322" t="s">
        <v>73</v>
      </c>
      <c r="C322">
        <v>1</v>
      </c>
      <c r="D322">
        <v>8</v>
      </c>
      <c r="E322" s="3">
        <f t="shared" si="4"/>
        <v>4</v>
      </c>
    </row>
    <row r="323" spans="1:5" x14ac:dyDescent="0.2">
      <c r="A323">
        <v>4</v>
      </c>
      <c r="B323" t="s">
        <v>69</v>
      </c>
      <c r="C323">
        <v>0</v>
      </c>
      <c r="D323">
        <v>4</v>
      </c>
      <c r="E323" s="3">
        <f t="shared" si="4"/>
        <v>4</v>
      </c>
    </row>
    <row r="324" spans="1:5" x14ac:dyDescent="0.2">
      <c r="A324">
        <v>5</v>
      </c>
      <c r="B324" t="s">
        <v>26</v>
      </c>
      <c r="C324">
        <v>0</v>
      </c>
      <c r="D324">
        <v>2</v>
      </c>
      <c r="E324" s="3">
        <f t="shared" si="4"/>
        <v>4</v>
      </c>
    </row>
    <row r="325" spans="1:5" x14ac:dyDescent="0.2">
      <c r="A325">
        <v>6</v>
      </c>
      <c r="B325" t="s">
        <v>52</v>
      </c>
      <c r="C325">
        <v>0</v>
      </c>
      <c r="D325">
        <v>1</v>
      </c>
      <c r="E325" s="3">
        <f t="shared" si="4"/>
        <v>4</v>
      </c>
    </row>
    <row r="326" spans="1:5" x14ac:dyDescent="0.2">
      <c r="A326">
        <v>7</v>
      </c>
      <c r="B326" s="2" t="s">
        <v>10</v>
      </c>
      <c r="C326" s="2" t="s">
        <v>10</v>
      </c>
      <c r="D326" s="2" t="s">
        <v>10</v>
      </c>
      <c r="E326" s="3">
        <f t="shared" si="4"/>
        <v>4</v>
      </c>
    </row>
    <row r="327" spans="1:5" x14ac:dyDescent="0.2">
      <c r="A327">
        <v>8</v>
      </c>
      <c r="B327" s="2" t="s">
        <v>10</v>
      </c>
      <c r="C327" s="2" t="s">
        <v>10</v>
      </c>
      <c r="D327" s="2" t="s">
        <v>10</v>
      </c>
      <c r="E327" s="3">
        <f t="shared" si="4"/>
        <v>4</v>
      </c>
    </row>
    <row r="328" spans="1:5" x14ac:dyDescent="0.2">
      <c r="A328" s="1" t="s">
        <v>11</v>
      </c>
      <c r="E328" s="3">
        <f t="shared" si="4"/>
        <v>4</v>
      </c>
    </row>
    <row r="329" spans="1:5" x14ac:dyDescent="0.2">
      <c r="A329" s="1" t="s">
        <v>1</v>
      </c>
      <c r="B329" s="1" t="s">
        <v>2</v>
      </c>
      <c r="C329" s="1" t="s">
        <v>3</v>
      </c>
      <c r="D329" s="1" t="s">
        <v>4</v>
      </c>
      <c r="E329" s="3">
        <f t="shared" si="4"/>
        <v>4</v>
      </c>
    </row>
    <row r="330" spans="1:5" x14ac:dyDescent="0.2">
      <c r="A330">
        <v>1</v>
      </c>
      <c r="B330" t="s">
        <v>32</v>
      </c>
      <c r="C330">
        <v>2</v>
      </c>
      <c r="D330">
        <v>16</v>
      </c>
      <c r="E330" s="3">
        <f t="shared" si="4"/>
        <v>4</v>
      </c>
    </row>
    <row r="331" spans="1:5" x14ac:dyDescent="0.2">
      <c r="A331">
        <v>2</v>
      </c>
      <c r="B331" t="s">
        <v>35</v>
      </c>
      <c r="C331">
        <v>1</v>
      </c>
      <c r="D331">
        <v>12</v>
      </c>
      <c r="E331" s="3">
        <f t="shared" si="4"/>
        <v>4</v>
      </c>
    </row>
    <row r="332" spans="1:5" x14ac:dyDescent="0.2">
      <c r="A332">
        <v>3</v>
      </c>
      <c r="B332" t="s">
        <v>66</v>
      </c>
      <c r="C332">
        <v>0</v>
      </c>
      <c r="D332">
        <v>8</v>
      </c>
      <c r="E332" s="3">
        <f t="shared" si="4"/>
        <v>4</v>
      </c>
    </row>
    <row r="333" spans="1:5" x14ac:dyDescent="0.2">
      <c r="A333">
        <v>4</v>
      </c>
      <c r="B333" t="s">
        <v>12</v>
      </c>
      <c r="C333">
        <v>2</v>
      </c>
      <c r="D333">
        <v>4</v>
      </c>
      <c r="E333" s="3">
        <f t="shared" si="4"/>
        <v>4</v>
      </c>
    </row>
    <row r="334" spans="1:5" x14ac:dyDescent="0.2">
      <c r="A334">
        <v>5</v>
      </c>
      <c r="B334" t="s">
        <v>39</v>
      </c>
      <c r="C334">
        <v>0</v>
      </c>
      <c r="D334">
        <v>2</v>
      </c>
      <c r="E334" s="3">
        <f t="shared" si="4"/>
        <v>4</v>
      </c>
    </row>
    <row r="335" spans="1:5" x14ac:dyDescent="0.2">
      <c r="A335">
        <v>6</v>
      </c>
      <c r="B335" t="s">
        <v>55</v>
      </c>
      <c r="C335">
        <v>0</v>
      </c>
      <c r="D335">
        <v>1</v>
      </c>
      <c r="E335" s="3">
        <f t="shared" si="4"/>
        <v>4</v>
      </c>
    </row>
    <row r="336" spans="1:5" x14ac:dyDescent="0.2">
      <c r="A336">
        <v>7</v>
      </c>
      <c r="B336" s="2" t="s">
        <v>10</v>
      </c>
      <c r="C336" s="2" t="s">
        <v>10</v>
      </c>
      <c r="D336" s="2" t="s">
        <v>10</v>
      </c>
      <c r="E336" s="3">
        <f t="shared" si="4"/>
        <v>4</v>
      </c>
    </row>
    <row r="337" spans="1:5" x14ac:dyDescent="0.2">
      <c r="A337">
        <v>8</v>
      </c>
      <c r="B337" s="2" t="s">
        <v>10</v>
      </c>
      <c r="C337" s="2" t="s">
        <v>10</v>
      </c>
      <c r="D337" s="2" t="s">
        <v>10</v>
      </c>
      <c r="E337" s="3">
        <f t="shared" si="4"/>
        <v>4</v>
      </c>
    </row>
    <row r="338" spans="1:5" x14ac:dyDescent="0.2">
      <c r="A338" s="1" t="s">
        <v>17</v>
      </c>
      <c r="E338" s="3">
        <f t="shared" si="4"/>
        <v>4</v>
      </c>
    </row>
    <row r="339" spans="1:5" x14ac:dyDescent="0.2">
      <c r="A339" s="1" t="s">
        <v>1</v>
      </c>
      <c r="B339" s="1" t="s">
        <v>2</v>
      </c>
      <c r="C339" s="1" t="s">
        <v>3</v>
      </c>
      <c r="D339" s="1" t="s">
        <v>4</v>
      </c>
      <c r="E339" s="3">
        <f t="shared" si="4"/>
        <v>4</v>
      </c>
    </row>
    <row r="340" spans="1:5" x14ac:dyDescent="0.2">
      <c r="A340">
        <v>1</v>
      </c>
      <c r="B340" t="s">
        <v>16</v>
      </c>
      <c r="C340">
        <v>3</v>
      </c>
      <c r="D340">
        <v>16</v>
      </c>
      <c r="E340" s="3">
        <f t="shared" si="4"/>
        <v>4</v>
      </c>
    </row>
    <row r="341" spans="1:5" x14ac:dyDescent="0.2">
      <c r="A341">
        <v>2</v>
      </c>
      <c r="B341" t="s">
        <v>23</v>
      </c>
      <c r="C341">
        <v>1</v>
      </c>
      <c r="D341">
        <v>12</v>
      </c>
      <c r="E341" s="3">
        <f t="shared" si="4"/>
        <v>4</v>
      </c>
    </row>
    <row r="342" spans="1:5" x14ac:dyDescent="0.2">
      <c r="A342">
        <v>3</v>
      </c>
      <c r="B342" t="s">
        <v>5</v>
      </c>
      <c r="C342">
        <v>1</v>
      </c>
      <c r="D342">
        <v>8</v>
      </c>
      <c r="E342" s="3">
        <f t="shared" si="4"/>
        <v>4</v>
      </c>
    </row>
    <row r="343" spans="1:5" x14ac:dyDescent="0.2">
      <c r="A343">
        <v>4</v>
      </c>
      <c r="B343" t="s">
        <v>19</v>
      </c>
      <c r="C343">
        <v>0</v>
      </c>
      <c r="D343">
        <v>4</v>
      </c>
      <c r="E343" s="3">
        <f t="shared" si="4"/>
        <v>4</v>
      </c>
    </row>
    <row r="344" spans="1:5" x14ac:dyDescent="0.2">
      <c r="A344">
        <v>5</v>
      </c>
      <c r="B344" t="s">
        <v>40</v>
      </c>
      <c r="C344">
        <v>0</v>
      </c>
      <c r="D344">
        <v>2</v>
      </c>
      <c r="E344" s="3">
        <f t="shared" si="4"/>
        <v>4</v>
      </c>
    </row>
    <row r="345" spans="1:5" x14ac:dyDescent="0.2">
      <c r="A345">
        <v>6</v>
      </c>
      <c r="B345" t="s">
        <v>78</v>
      </c>
      <c r="C345">
        <v>0</v>
      </c>
      <c r="D345">
        <v>1</v>
      </c>
      <c r="E345" s="3">
        <f t="shared" si="4"/>
        <v>4</v>
      </c>
    </row>
    <row r="346" spans="1:5" x14ac:dyDescent="0.2">
      <c r="A346">
        <v>7</v>
      </c>
      <c r="B346" s="2" t="s">
        <v>10</v>
      </c>
      <c r="C346" s="2" t="s">
        <v>10</v>
      </c>
      <c r="D346" s="2" t="s">
        <v>10</v>
      </c>
      <c r="E346" s="3">
        <f t="shared" si="4"/>
        <v>4</v>
      </c>
    </row>
    <row r="347" spans="1:5" x14ac:dyDescent="0.2">
      <c r="A347">
        <v>8</v>
      </c>
      <c r="B347" s="2" t="s">
        <v>10</v>
      </c>
      <c r="C347" s="2" t="s">
        <v>10</v>
      </c>
      <c r="D347" s="2" t="s">
        <v>10</v>
      </c>
      <c r="E347" s="3">
        <f t="shared" si="4"/>
        <v>4</v>
      </c>
    </row>
    <row r="348" spans="1:5" x14ac:dyDescent="0.2">
      <c r="A348" s="1" t="s">
        <v>24</v>
      </c>
      <c r="E348" s="3">
        <f t="shared" si="4"/>
        <v>4</v>
      </c>
    </row>
    <row r="349" spans="1:5" x14ac:dyDescent="0.2">
      <c r="A349" s="1" t="s">
        <v>1</v>
      </c>
      <c r="B349" s="1" t="s">
        <v>2</v>
      </c>
      <c r="C349" s="1" t="s">
        <v>3</v>
      </c>
      <c r="D349" s="1" t="s">
        <v>4</v>
      </c>
      <c r="E349" s="3">
        <f t="shared" si="4"/>
        <v>4</v>
      </c>
    </row>
    <row r="350" spans="1:5" x14ac:dyDescent="0.2">
      <c r="A350">
        <v>0</v>
      </c>
      <c r="C350">
        <v>0</v>
      </c>
      <c r="D350">
        <v>0</v>
      </c>
      <c r="E350" s="3">
        <f t="shared" si="4"/>
        <v>4</v>
      </c>
    </row>
    <row r="351" spans="1:5" x14ac:dyDescent="0.2">
      <c r="A351">
        <v>0</v>
      </c>
      <c r="C351">
        <v>0</v>
      </c>
      <c r="D351">
        <v>0</v>
      </c>
      <c r="E351" s="3">
        <f t="shared" si="4"/>
        <v>4</v>
      </c>
    </row>
    <row r="352" spans="1:5" x14ac:dyDescent="0.2">
      <c r="A352">
        <v>1</v>
      </c>
      <c r="B352" t="s">
        <v>75</v>
      </c>
      <c r="C352">
        <v>2</v>
      </c>
      <c r="D352">
        <v>16</v>
      </c>
      <c r="E352" s="3">
        <f t="shared" ref="E352:E415" si="5">IF(A352=$A$1,E351+1,E351)</f>
        <v>4</v>
      </c>
    </row>
    <row r="353" spans="1:5" x14ac:dyDescent="0.2">
      <c r="A353">
        <v>2</v>
      </c>
      <c r="B353" t="s">
        <v>15</v>
      </c>
      <c r="C353">
        <v>0</v>
      </c>
      <c r="D353">
        <v>12</v>
      </c>
      <c r="E353" s="3">
        <f t="shared" si="5"/>
        <v>4</v>
      </c>
    </row>
    <row r="354" spans="1:5" x14ac:dyDescent="0.2">
      <c r="A354">
        <v>3</v>
      </c>
      <c r="B354" t="s">
        <v>92</v>
      </c>
      <c r="C354">
        <v>3</v>
      </c>
      <c r="D354">
        <v>8</v>
      </c>
      <c r="E354" s="3">
        <f t="shared" si="5"/>
        <v>4</v>
      </c>
    </row>
    <row r="355" spans="1:5" x14ac:dyDescent="0.2">
      <c r="A355">
        <v>4</v>
      </c>
      <c r="B355" t="s">
        <v>93</v>
      </c>
      <c r="C355">
        <v>0</v>
      </c>
      <c r="D355">
        <v>4</v>
      </c>
      <c r="E355" s="3">
        <f t="shared" si="5"/>
        <v>4</v>
      </c>
    </row>
    <row r="356" spans="1:5" x14ac:dyDescent="0.2">
      <c r="A356">
        <v>5</v>
      </c>
      <c r="B356" t="s">
        <v>85</v>
      </c>
      <c r="C356">
        <v>0</v>
      </c>
      <c r="D356">
        <v>2</v>
      </c>
      <c r="E356" s="3">
        <f t="shared" si="5"/>
        <v>4</v>
      </c>
    </row>
    <row r="357" spans="1:5" x14ac:dyDescent="0.2">
      <c r="A357">
        <v>6</v>
      </c>
      <c r="B357" t="s">
        <v>60</v>
      </c>
      <c r="C357">
        <v>0</v>
      </c>
      <c r="D357">
        <v>1</v>
      </c>
      <c r="E357" s="3">
        <f t="shared" si="5"/>
        <v>4</v>
      </c>
    </row>
    <row r="358" spans="1:5" x14ac:dyDescent="0.2">
      <c r="A358">
        <v>9</v>
      </c>
      <c r="B358" s="2" t="s">
        <v>10</v>
      </c>
      <c r="C358" s="2" t="s">
        <v>10</v>
      </c>
      <c r="D358" s="2" t="s">
        <v>10</v>
      </c>
      <c r="E358" s="3">
        <f t="shared" si="5"/>
        <v>4</v>
      </c>
    </row>
    <row r="359" spans="1:5" x14ac:dyDescent="0.2">
      <c r="A359">
        <v>10</v>
      </c>
      <c r="B359" s="2" t="s">
        <v>10</v>
      </c>
      <c r="C359" s="2" t="s">
        <v>10</v>
      </c>
      <c r="D359" s="2" t="s">
        <v>10</v>
      </c>
      <c r="E359" s="3">
        <f t="shared" si="5"/>
        <v>4</v>
      </c>
    </row>
    <row r="360" spans="1:5" x14ac:dyDescent="0.2">
      <c r="A360" s="1" t="s">
        <v>30</v>
      </c>
      <c r="E360" s="3">
        <f t="shared" si="5"/>
        <v>4</v>
      </c>
    </row>
    <row r="361" spans="1:5" x14ac:dyDescent="0.2">
      <c r="A361" s="1" t="s">
        <v>1</v>
      </c>
      <c r="B361" s="1" t="s">
        <v>2</v>
      </c>
      <c r="C361" s="1" t="s">
        <v>3</v>
      </c>
      <c r="D361" s="1" t="s">
        <v>4</v>
      </c>
      <c r="E361" s="3">
        <f t="shared" si="5"/>
        <v>4</v>
      </c>
    </row>
    <row r="362" spans="1:5" x14ac:dyDescent="0.2">
      <c r="A362">
        <v>1</v>
      </c>
      <c r="B362" t="s">
        <v>38</v>
      </c>
      <c r="C362">
        <v>1</v>
      </c>
      <c r="D362">
        <v>16</v>
      </c>
      <c r="E362" s="3">
        <f t="shared" si="5"/>
        <v>4</v>
      </c>
    </row>
    <row r="363" spans="1:5" x14ac:dyDescent="0.2">
      <c r="A363">
        <v>2</v>
      </c>
      <c r="B363" t="s">
        <v>94</v>
      </c>
      <c r="C363">
        <v>3</v>
      </c>
      <c r="D363">
        <v>12</v>
      </c>
      <c r="E363" s="3">
        <f t="shared" si="5"/>
        <v>4</v>
      </c>
    </row>
    <row r="364" spans="1:5" x14ac:dyDescent="0.2">
      <c r="A364">
        <v>3</v>
      </c>
      <c r="B364" t="s">
        <v>48</v>
      </c>
      <c r="C364">
        <v>1</v>
      </c>
      <c r="D364">
        <v>8</v>
      </c>
      <c r="E364" s="3">
        <f t="shared" si="5"/>
        <v>4</v>
      </c>
    </row>
    <row r="365" spans="1:5" x14ac:dyDescent="0.2">
      <c r="A365">
        <v>4</v>
      </c>
      <c r="B365" t="s">
        <v>61</v>
      </c>
      <c r="C365">
        <v>0</v>
      </c>
      <c r="D365">
        <v>4</v>
      </c>
      <c r="E365" s="3">
        <f t="shared" si="5"/>
        <v>4</v>
      </c>
    </row>
    <row r="366" spans="1:5" x14ac:dyDescent="0.2">
      <c r="A366">
        <v>5</v>
      </c>
      <c r="B366" t="s">
        <v>87</v>
      </c>
      <c r="C366">
        <v>0</v>
      </c>
      <c r="D366">
        <v>2</v>
      </c>
      <c r="E366" s="3">
        <f t="shared" si="5"/>
        <v>4</v>
      </c>
    </row>
    <row r="367" spans="1:5" x14ac:dyDescent="0.2">
      <c r="A367">
        <v>6</v>
      </c>
      <c r="B367" t="s">
        <v>21</v>
      </c>
      <c r="C367">
        <v>0</v>
      </c>
      <c r="D367">
        <v>1</v>
      </c>
      <c r="E367" s="3">
        <f t="shared" si="5"/>
        <v>4</v>
      </c>
    </row>
    <row r="368" spans="1:5" x14ac:dyDescent="0.2">
      <c r="A368">
        <v>7</v>
      </c>
      <c r="B368" s="2" t="s">
        <v>10</v>
      </c>
      <c r="C368" s="2" t="s">
        <v>10</v>
      </c>
      <c r="D368" s="2" t="s">
        <v>10</v>
      </c>
      <c r="E368" s="3">
        <f t="shared" si="5"/>
        <v>4</v>
      </c>
    </row>
    <row r="369" spans="1:5" x14ac:dyDescent="0.2">
      <c r="A369">
        <v>8</v>
      </c>
      <c r="B369" s="2" t="s">
        <v>10</v>
      </c>
      <c r="C369" s="2" t="s">
        <v>10</v>
      </c>
      <c r="D369" s="2" t="s">
        <v>10</v>
      </c>
      <c r="E369" s="3">
        <f t="shared" si="5"/>
        <v>4</v>
      </c>
    </row>
    <row r="370" spans="1:5" x14ac:dyDescent="0.2">
      <c r="A370" s="1" t="s">
        <v>37</v>
      </c>
      <c r="E370" s="3">
        <f t="shared" si="5"/>
        <v>4</v>
      </c>
    </row>
    <row r="371" spans="1:5" x14ac:dyDescent="0.2">
      <c r="A371" s="1" t="s">
        <v>1</v>
      </c>
      <c r="B371" s="1" t="s">
        <v>2</v>
      </c>
      <c r="C371" s="1" t="s">
        <v>3</v>
      </c>
      <c r="D371" s="1" t="s">
        <v>4</v>
      </c>
      <c r="E371" s="3">
        <f t="shared" si="5"/>
        <v>4</v>
      </c>
    </row>
    <row r="372" spans="1:5" x14ac:dyDescent="0.2">
      <c r="A372">
        <v>1</v>
      </c>
      <c r="B372" t="s">
        <v>33</v>
      </c>
      <c r="C372">
        <v>2</v>
      </c>
      <c r="D372">
        <v>15</v>
      </c>
      <c r="E372" s="3">
        <f t="shared" si="5"/>
        <v>4</v>
      </c>
    </row>
    <row r="373" spans="1:5" x14ac:dyDescent="0.2">
      <c r="A373">
        <v>2</v>
      </c>
      <c r="B373" t="s">
        <v>53</v>
      </c>
      <c r="C373">
        <v>1</v>
      </c>
      <c r="D373">
        <v>11</v>
      </c>
      <c r="E373" s="3">
        <f t="shared" si="5"/>
        <v>4</v>
      </c>
    </row>
    <row r="374" spans="1:5" x14ac:dyDescent="0.2">
      <c r="A374">
        <v>3</v>
      </c>
      <c r="B374" t="s">
        <v>63</v>
      </c>
      <c r="C374">
        <v>1</v>
      </c>
      <c r="D374">
        <v>7</v>
      </c>
      <c r="E374" s="3">
        <f t="shared" si="5"/>
        <v>4</v>
      </c>
    </row>
    <row r="375" spans="1:5" x14ac:dyDescent="0.2">
      <c r="A375">
        <v>4</v>
      </c>
      <c r="B375" t="s">
        <v>18</v>
      </c>
      <c r="C375">
        <v>0</v>
      </c>
      <c r="D375">
        <v>3</v>
      </c>
      <c r="E375" s="3">
        <f t="shared" si="5"/>
        <v>4</v>
      </c>
    </row>
    <row r="376" spans="1:5" x14ac:dyDescent="0.2">
      <c r="A376">
        <v>5</v>
      </c>
      <c r="B376" t="s">
        <v>65</v>
      </c>
      <c r="C376">
        <v>0</v>
      </c>
      <c r="D376">
        <v>1</v>
      </c>
      <c r="E376" s="3">
        <f t="shared" si="5"/>
        <v>4</v>
      </c>
    </row>
    <row r="377" spans="1:5" x14ac:dyDescent="0.2">
      <c r="A377">
        <v>6</v>
      </c>
      <c r="B377" s="2" t="s">
        <v>10</v>
      </c>
      <c r="C377" s="2" t="s">
        <v>10</v>
      </c>
      <c r="D377" s="2" t="s">
        <v>10</v>
      </c>
      <c r="E377" s="3">
        <f t="shared" si="5"/>
        <v>4</v>
      </c>
    </row>
    <row r="378" spans="1:5" x14ac:dyDescent="0.2">
      <c r="A378">
        <v>7</v>
      </c>
      <c r="B378" s="2" t="s">
        <v>10</v>
      </c>
      <c r="C378" s="2" t="s">
        <v>10</v>
      </c>
      <c r="D378" s="2" t="s">
        <v>10</v>
      </c>
      <c r="E378" s="3">
        <f t="shared" si="5"/>
        <v>4</v>
      </c>
    </row>
    <row r="379" spans="1:5" x14ac:dyDescent="0.2">
      <c r="A379">
        <v>8</v>
      </c>
      <c r="B379" s="2" t="s">
        <v>10</v>
      </c>
      <c r="C379" s="2" t="s">
        <v>10</v>
      </c>
      <c r="D379" s="2" t="s">
        <v>10</v>
      </c>
      <c r="E379" s="3">
        <f t="shared" si="5"/>
        <v>4</v>
      </c>
    </row>
    <row r="380" spans="1:5" x14ac:dyDescent="0.2">
      <c r="A380" s="1" t="s">
        <v>44</v>
      </c>
      <c r="E380" s="3">
        <f t="shared" si="5"/>
        <v>4</v>
      </c>
    </row>
    <row r="381" spans="1:5" x14ac:dyDescent="0.2">
      <c r="A381" s="1" t="s">
        <v>1</v>
      </c>
      <c r="B381" s="1" t="s">
        <v>2</v>
      </c>
      <c r="C381" s="1" t="s">
        <v>3</v>
      </c>
      <c r="D381" s="1" t="s">
        <v>4</v>
      </c>
      <c r="E381" s="3">
        <f t="shared" si="5"/>
        <v>4</v>
      </c>
    </row>
    <row r="382" spans="1:5" x14ac:dyDescent="0.2">
      <c r="A382">
        <v>1</v>
      </c>
      <c r="B382" t="s">
        <v>43</v>
      </c>
      <c r="C382">
        <v>2</v>
      </c>
      <c r="D382">
        <v>15</v>
      </c>
      <c r="E382" s="3">
        <f t="shared" si="5"/>
        <v>4</v>
      </c>
    </row>
    <row r="383" spans="1:5" x14ac:dyDescent="0.2">
      <c r="A383">
        <v>2</v>
      </c>
      <c r="B383" t="s">
        <v>25</v>
      </c>
      <c r="C383">
        <v>1</v>
      </c>
      <c r="D383">
        <v>11</v>
      </c>
      <c r="E383" s="3">
        <f t="shared" si="5"/>
        <v>4</v>
      </c>
    </row>
    <row r="384" spans="1:5" x14ac:dyDescent="0.2">
      <c r="A384">
        <v>3</v>
      </c>
      <c r="B384" t="s">
        <v>57</v>
      </c>
      <c r="C384">
        <v>1</v>
      </c>
      <c r="D384">
        <v>7</v>
      </c>
      <c r="E384" s="3">
        <f t="shared" si="5"/>
        <v>4</v>
      </c>
    </row>
    <row r="385" spans="1:5" x14ac:dyDescent="0.2">
      <c r="A385">
        <v>4</v>
      </c>
      <c r="B385" t="s">
        <v>42</v>
      </c>
      <c r="C385">
        <v>0</v>
      </c>
      <c r="D385">
        <v>3</v>
      </c>
      <c r="E385" s="3">
        <f t="shared" si="5"/>
        <v>4</v>
      </c>
    </row>
    <row r="386" spans="1:5" x14ac:dyDescent="0.2">
      <c r="A386">
        <v>5</v>
      </c>
      <c r="B386" t="s">
        <v>41</v>
      </c>
      <c r="C386">
        <v>0</v>
      </c>
      <c r="D386">
        <v>1</v>
      </c>
      <c r="E386" s="3">
        <f t="shared" si="5"/>
        <v>4</v>
      </c>
    </row>
    <row r="387" spans="1:5" x14ac:dyDescent="0.2">
      <c r="A387">
        <v>6</v>
      </c>
      <c r="B387" s="2" t="s">
        <v>10</v>
      </c>
      <c r="C387" s="2" t="s">
        <v>10</v>
      </c>
      <c r="D387" s="2" t="s">
        <v>10</v>
      </c>
      <c r="E387" s="3">
        <f t="shared" si="5"/>
        <v>4</v>
      </c>
    </row>
    <row r="388" spans="1:5" x14ac:dyDescent="0.2">
      <c r="A388">
        <v>7</v>
      </c>
      <c r="B388" s="2" t="s">
        <v>10</v>
      </c>
      <c r="C388" s="2" t="s">
        <v>10</v>
      </c>
      <c r="D388" s="2" t="s">
        <v>10</v>
      </c>
      <c r="E388" s="3">
        <f t="shared" si="5"/>
        <v>4</v>
      </c>
    </row>
    <row r="389" spans="1:5" x14ac:dyDescent="0.2">
      <c r="A389">
        <v>8</v>
      </c>
      <c r="B389" s="2" t="s">
        <v>10</v>
      </c>
      <c r="C389" s="2" t="s">
        <v>10</v>
      </c>
      <c r="D389" s="2" t="s">
        <v>10</v>
      </c>
      <c r="E389" s="3">
        <f t="shared" si="5"/>
        <v>4</v>
      </c>
    </row>
    <row r="390" spans="1:5" x14ac:dyDescent="0.2">
      <c r="A390" s="1" t="s">
        <v>51</v>
      </c>
      <c r="E390" s="3">
        <f t="shared" si="5"/>
        <v>4</v>
      </c>
    </row>
    <row r="391" spans="1:5" x14ac:dyDescent="0.2">
      <c r="A391" s="1" t="s">
        <v>1</v>
      </c>
      <c r="B391" s="1" t="s">
        <v>2</v>
      </c>
      <c r="C391" s="1" t="s">
        <v>3</v>
      </c>
      <c r="D391" s="1" t="s">
        <v>4</v>
      </c>
      <c r="E391" s="3">
        <f t="shared" si="5"/>
        <v>4</v>
      </c>
    </row>
    <row r="392" spans="1:5" x14ac:dyDescent="0.2">
      <c r="A392">
        <v>1</v>
      </c>
      <c r="B392" t="s">
        <v>28</v>
      </c>
      <c r="C392">
        <v>3</v>
      </c>
      <c r="D392">
        <v>15</v>
      </c>
      <c r="E392" s="3">
        <f t="shared" si="5"/>
        <v>4</v>
      </c>
    </row>
    <row r="393" spans="1:5" x14ac:dyDescent="0.2">
      <c r="A393">
        <v>2</v>
      </c>
      <c r="B393" t="s">
        <v>8</v>
      </c>
      <c r="C393">
        <v>0</v>
      </c>
      <c r="D393">
        <v>11</v>
      </c>
      <c r="E393" s="3">
        <f t="shared" si="5"/>
        <v>4</v>
      </c>
    </row>
    <row r="394" spans="1:5" x14ac:dyDescent="0.2">
      <c r="A394">
        <v>3</v>
      </c>
      <c r="B394" t="s">
        <v>45</v>
      </c>
      <c r="C394">
        <v>1</v>
      </c>
      <c r="D394">
        <v>7</v>
      </c>
      <c r="E394" s="3">
        <f t="shared" si="5"/>
        <v>4</v>
      </c>
    </row>
    <row r="395" spans="1:5" x14ac:dyDescent="0.2">
      <c r="A395">
        <v>4</v>
      </c>
      <c r="B395" t="s">
        <v>22</v>
      </c>
      <c r="C395">
        <v>0</v>
      </c>
      <c r="D395">
        <v>3</v>
      </c>
      <c r="E395" s="3">
        <f t="shared" si="5"/>
        <v>4</v>
      </c>
    </row>
    <row r="396" spans="1:5" x14ac:dyDescent="0.2">
      <c r="A396">
        <v>5</v>
      </c>
      <c r="B396" t="s">
        <v>91</v>
      </c>
      <c r="C396">
        <v>0</v>
      </c>
      <c r="D396">
        <v>1</v>
      </c>
      <c r="E396" s="3">
        <f t="shared" si="5"/>
        <v>4</v>
      </c>
    </row>
    <row r="397" spans="1:5" x14ac:dyDescent="0.2">
      <c r="A397">
        <v>6</v>
      </c>
      <c r="B397" s="2" t="s">
        <v>10</v>
      </c>
      <c r="C397" s="2" t="s">
        <v>10</v>
      </c>
      <c r="D397" s="2" t="s">
        <v>10</v>
      </c>
      <c r="E397" s="3">
        <f t="shared" si="5"/>
        <v>4</v>
      </c>
    </row>
    <row r="398" spans="1:5" x14ac:dyDescent="0.2">
      <c r="A398">
        <v>7</v>
      </c>
      <c r="B398" s="2" t="s">
        <v>10</v>
      </c>
      <c r="C398" s="2" t="s">
        <v>10</v>
      </c>
      <c r="D398" s="2" t="s">
        <v>10</v>
      </c>
      <c r="E398" s="3">
        <f t="shared" si="5"/>
        <v>4</v>
      </c>
    </row>
    <row r="399" spans="1:5" x14ac:dyDescent="0.2">
      <c r="A399">
        <v>8</v>
      </c>
      <c r="B399" s="2" t="s">
        <v>10</v>
      </c>
      <c r="C399" s="2" t="s">
        <v>10</v>
      </c>
      <c r="D399" s="2" t="s">
        <v>10</v>
      </c>
      <c r="E399" s="3">
        <f t="shared" si="5"/>
        <v>4</v>
      </c>
    </row>
    <row r="400" spans="1:5" x14ac:dyDescent="0.2">
      <c r="A400" s="1" t="s">
        <v>58</v>
      </c>
      <c r="E400" s="3">
        <f t="shared" si="5"/>
        <v>4</v>
      </c>
    </row>
    <row r="401" spans="1:5" x14ac:dyDescent="0.2">
      <c r="A401" s="1" t="s">
        <v>1</v>
      </c>
      <c r="B401" s="1" t="s">
        <v>2</v>
      </c>
      <c r="C401" s="1" t="s">
        <v>3</v>
      </c>
      <c r="D401" s="1" t="s">
        <v>4</v>
      </c>
      <c r="E401" s="3">
        <f t="shared" si="5"/>
        <v>4</v>
      </c>
    </row>
    <row r="402" spans="1:5" x14ac:dyDescent="0.2">
      <c r="A402">
        <v>1</v>
      </c>
      <c r="B402" t="s">
        <v>76</v>
      </c>
      <c r="C402">
        <v>3</v>
      </c>
      <c r="D402">
        <v>15</v>
      </c>
      <c r="E402" s="3">
        <f t="shared" si="5"/>
        <v>4</v>
      </c>
    </row>
    <row r="403" spans="1:5" x14ac:dyDescent="0.2">
      <c r="A403">
        <v>2</v>
      </c>
      <c r="B403" t="s">
        <v>29</v>
      </c>
      <c r="C403">
        <v>1</v>
      </c>
      <c r="D403">
        <v>11</v>
      </c>
      <c r="E403" s="3">
        <f t="shared" si="5"/>
        <v>4</v>
      </c>
    </row>
    <row r="404" spans="1:5" x14ac:dyDescent="0.2">
      <c r="A404">
        <v>3</v>
      </c>
      <c r="B404" t="s">
        <v>14</v>
      </c>
      <c r="C404">
        <v>0</v>
      </c>
      <c r="D404">
        <v>7</v>
      </c>
      <c r="E404" s="3">
        <f t="shared" si="5"/>
        <v>4</v>
      </c>
    </row>
    <row r="405" spans="1:5" x14ac:dyDescent="0.2">
      <c r="A405">
        <v>4</v>
      </c>
      <c r="B405" t="s">
        <v>31</v>
      </c>
      <c r="C405">
        <v>0</v>
      </c>
      <c r="D405">
        <v>3</v>
      </c>
      <c r="E405" s="3">
        <f t="shared" si="5"/>
        <v>4</v>
      </c>
    </row>
    <row r="406" spans="1:5" x14ac:dyDescent="0.2">
      <c r="A406">
        <v>5</v>
      </c>
      <c r="B406" t="s">
        <v>6</v>
      </c>
      <c r="C406">
        <v>0</v>
      </c>
      <c r="D406">
        <v>1</v>
      </c>
      <c r="E406" s="3">
        <f t="shared" si="5"/>
        <v>4</v>
      </c>
    </row>
    <row r="407" spans="1:5" x14ac:dyDescent="0.2">
      <c r="A407">
        <v>6</v>
      </c>
      <c r="B407" s="2" t="s">
        <v>10</v>
      </c>
      <c r="C407" s="2" t="s">
        <v>10</v>
      </c>
      <c r="D407" s="2" t="s">
        <v>10</v>
      </c>
      <c r="E407" s="3">
        <f t="shared" si="5"/>
        <v>4</v>
      </c>
    </row>
    <row r="408" spans="1:5" x14ac:dyDescent="0.2">
      <c r="A408">
        <v>7</v>
      </c>
      <c r="B408" s="2" t="s">
        <v>10</v>
      </c>
      <c r="C408" s="2" t="s">
        <v>10</v>
      </c>
      <c r="D408" s="2" t="s">
        <v>10</v>
      </c>
      <c r="E408" s="3">
        <f t="shared" si="5"/>
        <v>4</v>
      </c>
    </row>
    <row r="409" spans="1:5" x14ac:dyDescent="0.2">
      <c r="A409">
        <v>8</v>
      </c>
      <c r="B409" s="2" t="s">
        <v>10</v>
      </c>
      <c r="C409" s="2" t="s">
        <v>10</v>
      </c>
      <c r="D409" s="2" t="s">
        <v>10</v>
      </c>
      <c r="E409" s="3">
        <f t="shared" si="5"/>
        <v>4</v>
      </c>
    </row>
    <row r="410" spans="1:5" x14ac:dyDescent="0.2">
      <c r="A410" s="1" t="s">
        <v>64</v>
      </c>
      <c r="E410" s="3">
        <f t="shared" si="5"/>
        <v>4</v>
      </c>
    </row>
    <row r="411" spans="1:5" x14ac:dyDescent="0.2">
      <c r="A411" s="1" t="s">
        <v>1</v>
      </c>
      <c r="B411" s="1" t="s">
        <v>2</v>
      </c>
      <c r="C411" s="1" t="s">
        <v>3</v>
      </c>
      <c r="D411" s="1" t="s">
        <v>4</v>
      </c>
      <c r="E411" s="3">
        <f t="shared" si="5"/>
        <v>4</v>
      </c>
    </row>
    <row r="412" spans="1:5" x14ac:dyDescent="0.2">
      <c r="A412">
        <v>1</v>
      </c>
      <c r="B412" t="s">
        <v>77</v>
      </c>
      <c r="C412">
        <v>2</v>
      </c>
      <c r="D412">
        <v>16</v>
      </c>
      <c r="E412" s="3">
        <f t="shared" si="5"/>
        <v>4</v>
      </c>
    </row>
    <row r="413" spans="1:5" x14ac:dyDescent="0.2">
      <c r="A413">
        <v>2</v>
      </c>
      <c r="B413" t="s">
        <v>59</v>
      </c>
      <c r="C413">
        <v>0</v>
      </c>
      <c r="D413">
        <v>12</v>
      </c>
      <c r="E413" s="3">
        <f t="shared" si="5"/>
        <v>4</v>
      </c>
    </row>
    <row r="414" spans="1:5" x14ac:dyDescent="0.2">
      <c r="A414">
        <v>3</v>
      </c>
      <c r="B414" t="s">
        <v>54</v>
      </c>
      <c r="C414">
        <v>3</v>
      </c>
      <c r="D414">
        <v>8</v>
      </c>
      <c r="E414" s="3">
        <f t="shared" si="5"/>
        <v>4</v>
      </c>
    </row>
    <row r="415" spans="1:5" x14ac:dyDescent="0.2">
      <c r="A415">
        <v>4</v>
      </c>
      <c r="B415" t="s">
        <v>46</v>
      </c>
      <c r="C415">
        <v>0</v>
      </c>
      <c r="D415">
        <v>4</v>
      </c>
      <c r="E415" s="3">
        <f t="shared" si="5"/>
        <v>4</v>
      </c>
    </row>
    <row r="416" spans="1:5" x14ac:dyDescent="0.2">
      <c r="A416">
        <v>5</v>
      </c>
      <c r="B416" t="s">
        <v>47</v>
      </c>
      <c r="C416">
        <v>0</v>
      </c>
      <c r="D416">
        <v>2</v>
      </c>
      <c r="E416" s="3">
        <f t="shared" ref="E416:E479" si="6">IF(A416=$A$1,E415+1,E415)</f>
        <v>4</v>
      </c>
    </row>
    <row r="417" spans="1:5" x14ac:dyDescent="0.2">
      <c r="A417">
        <v>6</v>
      </c>
      <c r="B417" t="s">
        <v>74</v>
      </c>
      <c r="C417">
        <v>0</v>
      </c>
      <c r="D417">
        <v>1</v>
      </c>
      <c r="E417" s="3">
        <f t="shared" si="6"/>
        <v>4</v>
      </c>
    </row>
    <row r="418" spans="1:5" x14ac:dyDescent="0.2">
      <c r="A418">
        <v>7</v>
      </c>
      <c r="B418" s="2" t="s">
        <v>10</v>
      </c>
      <c r="C418" s="2" t="s">
        <v>10</v>
      </c>
      <c r="D418" s="2" t="s">
        <v>10</v>
      </c>
      <c r="E418" s="3">
        <f t="shared" si="6"/>
        <v>4</v>
      </c>
    </row>
    <row r="419" spans="1:5" x14ac:dyDescent="0.2">
      <c r="A419">
        <v>8</v>
      </c>
      <c r="B419" s="2" t="s">
        <v>10</v>
      </c>
      <c r="C419" s="2" t="s">
        <v>10</v>
      </c>
      <c r="D419" s="2" t="s">
        <v>10</v>
      </c>
      <c r="E419" s="3">
        <f t="shared" si="6"/>
        <v>4</v>
      </c>
    </row>
    <row r="420" spans="1:5" x14ac:dyDescent="0.2">
      <c r="A420" s="1" t="s">
        <v>0</v>
      </c>
      <c r="E420" s="3">
        <f t="shared" si="6"/>
        <v>5</v>
      </c>
    </row>
    <row r="421" spans="1:5" x14ac:dyDescent="0.2">
      <c r="A421" s="1" t="s">
        <v>1</v>
      </c>
      <c r="B421" s="1" t="s">
        <v>2</v>
      </c>
      <c r="C421" s="1" t="s">
        <v>3</v>
      </c>
      <c r="D421" s="1" t="s">
        <v>4</v>
      </c>
      <c r="E421" s="3">
        <f t="shared" si="6"/>
        <v>5</v>
      </c>
    </row>
    <row r="422" spans="1:5" x14ac:dyDescent="0.2">
      <c r="A422">
        <v>1</v>
      </c>
      <c r="B422" t="s">
        <v>92</v>
      </c>
      <c r="C422">
        <v>3</v>
      </c>
      <c r="D422">
        <v>16</v>
      </c>
      <c r="E422" s="3">
        <f t="shared" si="6"/>
        <v>5</v>
      </c>
    </row>
    <row r="423" spans="1:5" x14ac:dyDescent="0.2">
      <c r="A423">
        <v>2</v>
      </c>
      <c r="B423" t="s">
        <v>74</v>
      </c>
      <c r="C423">
        <v>2</v>
      </c>
      <c r="D423">
        <v>12</v>
      </c>
      <c r="E423" s="3">
        <f t="shared" si="6"/>
        <v>5</v>
      </c>
    </row>
    <row r="424" spans="1:5" x14ac:dyDescent="0.2">
      <c r="A424">
        <v>3</v>
      </c>
      <c r="B424" t="s">
        <v>52</v>
      </c>
      <c r="C424">
        <v>0</v>
      </c>
      <c r="D424">
        <v>8</v>
      </c>
      <c r="E424" s="3">
        <f t="shared" si="6"/>
        <v>5</v>
      </c>
    </row>
    <row r="425" spans="1:5" x14ac:dyDescent="0.2">
      <c r="A425">
        <v>4</v>
      </c>
      <c r="B425" t="s">
        <v>21</v>
      </c>
      <c r="C425">
        <v>0</v>
      </c>
      <c r="D425">
        <v>4</v>
      </c>
      <c r="E425" s="3">
        <f t="shared" si="6"/>
        <v>5</v>
      </c>
    </row>
    <row r="426" spans="1:5" x14ac:dyDescent="0.2">
      <c r="A426">
        <v>5</v>
      </c>
      <c r="B426" t="s">
        <v>29</v>
      </c>
      <c r="C426">
        <v>0</v>
      </c>
      <c r="D426">
        <v>2</v>
      </c>
      <c r="E426" s="3">
        <f t="shared" si="6"/>
        <v>5</v>
      </c>
    </row>
    <row r="427" spans="1:5" x14ac:dyDescent="0.2">
      <c r="A427">
        <v>6</v>
      </c>
      <c r="B427" t="s">
        <v>80</v>
      </c>
      <c r="C427">
        <v>0</v>
      </c>
      <c r="D427">
        <v>1</v>
      </c>
      <c r="E427" s="3">
        <f t="shared" si="6"/>
        <v>5</v>
      </c>
    </row>
    <row r="428" spans="1:5" x14ac:dyDescent="0.2">
      <c r="A428">
        <v>7</v>
      </c>
      <c r="B428" s="2" t="s">
        <v>10</v>
      </c>
      <c r="C428" s="2" t="s">
        <v>10</v>
      </c>
      <c r="D428" s="2" t="s">
        <v>10</v>
      </c>
      <c r="E428" s="3">
        <f t="shared" si="6"/>
        <v>5</v>
      </c>
    </row>
    <row r="429" spans="1:5" x14ac:dyDescent="0.2">
      <c r="A429">
        <v>8</v>
      </c>
      <c r="B429" s="2" t="s">
        <v>10</v>
      </c>
      <c r="C429" s="2" t="s">
        <v>10</v>
      </c>
      <c r="D429" s="2" t="s">
        <v>10</v>
      </c>
      <c r="E429" s="3">
        <f t="shared" si="6"/>
        <v>5</v>
      </c>
    </row>
    <row r="430" spans="1:5" x14ac:dyDescent="0.2">
      <c r="A430" s="1" t="s">
        <v>17</v>
      </c>
      <c r="E430" s="3">
        <f t="shared" si="6"/>
        <v>5</v>
      </c>
    </row>
    <row r="431" spans="1:5" x14ac:dyDescent="0.2">
      <c r="A431" s="1" t="s">
        <v>1</v>
      </c>
      <c r="B431" s="1" t="s">
        <v>2</v>
      </c>
      <c r="C431" s="1" t="s">
        <v>3</v>
      </c>
      <c r="D431" s="1" t="s">
        <v>4</v>
      </c>
      <c r="E431" s="3">
        <f t="shared" si="6"/>
        <v>5</v>
      </c>
    </row>
    <row r="432" spans="1:5" x14ac:dyDescent="0.2">
      <c r="A432">
        <v>1</v>
      </c>
      <c r="B432" t="s">
        <v>68</v>
      </c>
      <c r="C432">
        <v>3</v>
      </c>
      <c r="D432">
        <v>16</v>
      </c>
      <c r="E432" s="3">
        <f t="shared" si="6"/>
        <v>5</v>
      </c>
    </row>
    <row r="433" spans="1:5" x14ac:dyDescent="0.2">
      <c r="A433">
        <v>2</v>
      </c>
      <c r="B433" t="s">
        <v>60</v>
      </c>
      <c r="C433">
        <v>1</v>
      </c>
      <c r="D433">
        <v>12</v>
      </c>
      <c r="E433" s="3">
        <f t="shared" si="6"/>
        <v>5</v>
      </c>
    </row>
    <row r="434" spans="1:5" x14ac:dyDescent="0.2">
      <c r="A434">
        <v>3</v>
      </c>
      <c r="B434" t="s">
        <v>73</v>
      </c>
      <c r="C434">
        <v>0</v>
      </c>
      <c r="D434">
        <v>8</v>
      </c>
      <c r="E434" s="3">
        <f t="shared" si="6"/>
        <v>5</v>
      </c>
    </row>
    <row r="435" spans="1:5" x14ac:dyDescent="0.2">
      <c r="A435">
        <v>4</v>
      </c>
      <c r="B435" t="s">
        <v>40</v>
      </c>
      <c r="C435">
        <v>0</v>
      </c>
      <c r="D435">
        <v>4</v>
      </c>
      <c r="E435" s="3">
        <f t="shared" si="6"/>
        <v>5</v>
      </c>
    </row>
    <row r="436" spans="1:5" x14ac:dyDescent="0.2">
      <c r="A436">
        <v>5</v>
      </c>
      <c r="B436" t="s">
        <v>48</v>
      </c>
      <c r="C436">
        <v>1</v>
      </c>
      <c r="D436">
        <v>2</v>
      </c>
      <c r="E436" s="3">
        <f t="shared" si="6"/>
        <v>5</v>
      </c>
    </row>
    <row r="437" spans="1:5" x14ac:dyDescent="0.2">
      <c r="A437">
        <v>6</v>
      </c>
      <c r="B437" t="s">
        <v>69</v>
      </c>
      <c r="C437">
        <v>0</v>
      </c>
      <c r="D437">
        <v>1</v>
      </c>
      <c r="E437" s="3">
        <f t="shared" si="6"/>
        <v>5</v>
      </c>
    </row>
    <row r="438" spans="1:5" x14ac:dyDescent="0.2">
      <c r="A438">
        <v>7</v>
      </c>
      <c r="B438" s="2" t="s">
        <v>10</v>
      </c>
      <c r="C438" s="2" t="s">
        <v>10</v>
      </c>
      <c r="D438" s="2" t="s">
        <v>10</v>
      </c>
      <c r="E438" s="3">
        <f t="shared" si="6"/>
        <v>5</v>
      </c>
    </row>
    <row r="439" spans="1:5" x14ac:dyDescent="0.2">
      <c r="A439">
        <v>8</v>
      </c>
      <c r="B439" s="2" t="s">
        <v>10</v>
      </c>
      <c r="C439" s="2" t="s">
        <v>10</v>
      </c>
      <c r="D439" s="2" t="s">
        <v>10</v>
      </c>
      <c r="E439" s="3">
        <f t="shared" si="6"/>
        <v>5</v>
      </c>
    </row>
    <row r="440" spans="1:5" x14ac:dyDescent="0.2">
      <c r="A440" s="1" t="s">
        <v>24</v>
      </c>
      <c r="E440" s="3">
        <f t="shared" si="6"/>
        <v>5</v>
      </c>
    </row>
    <row r="441" spans="1:5" x14ac:dyDescent="0.2">
      <c r="A441" s="1" t="s">
        <v>1</v>
      </c>
      <c r="B441" s="1" t="s">
        <v>2</v>
      </c>
      <c r="C441" s="1" t="s">
        <v>3</v>
      </c>
      <c r="D441" s="1" t="s">
        <v>4</v>
      </c>
      <c r="E441" s="3">
        <f t="shared" si="6"/>
        <v>5</v>
      </c>
    </row>
    <row r="442" spans="1:5" x14ac:dyDescent="0.2">
      <c r="A442">
        <v>1</v>
      </c>
      <c r="B442" t="s">
        <v>14</v>
      </c>
      <c r="C442">
        <v>3</v>
      </c>
      <c r="D442">
        <v>16</v>
      </c>
      <c r="E442" s="3">
        <f t="shared" si="6"/>
        <v>5</v>
      </c>
    </row>
    <row r="443" spans="1:5" x14ac:dyDescent="0.2">
      <c r="A443">
        <v>2</v>
      </c>
      <c r="B443" t="s">
        <v>15</v>
      </c>
      <c r="C443">
        <v>1</v>
      </c>
      <c r="D443">
        <v>12</v>
      </c>
      <c r="E443" s="3">
        <f t="shared" si="6"/>
        <v>5</v>
      </c>
    </row>
    <row r="444" spans="1:5" x14ac:dyDescent="0.2">
      <c r="A444">
        <v>3</v>
      </c>
      <c r="B444" t="s">
        <v>55</v>
      </c>
      <c r="C444">
        <v>0</v>
      </c>
      <c r="D444">
        <v>8</v>
      </c>
      <c r="E444" s="3">
        <f t="shared" si="6"/>
        <v>5</v>
      </c>
    </row>
    <row r="445" spans="1:5" x14ac:dyDescent="0.2">
      <c r="A445">
        <v>4</v>
      </c>
      <c r="B445" t="s">
        <v>75</v>
      </c>
      <c r="C445">
        <v>1</v>
      </c>
      <c r="D445">
        <v>4</v>
      </c>
      <c r="E445" s="3">
        <f t="shared" si="6"/>
        <v>5</v>
      </c>
    </row>
    <row r="446" spans="1:5" x14ac:dyDescent="0.2">
      <c r="A446">
        <v>5</v>
      </c>
      <c r="B446" t="s">
        <v>42</v>
      </c>
      <c r="C446">
        <v>0</v>
      </c>
      <c r="D446">
        <v>2</v>
      </c>
      <c r="E446" s="3">
        <f t="shared" si="6"/>
        <v>5</v>
      </c>
    </row>
    <row r="447" spans="1:5" x14ac:dyDescent="0.2">
      <c r="A447">
        <v>6</v>
      </c>
      <c r="B447" t="s">
        <v>5</v>
      </c>
      <c r="C447">
        <v>0</v>
      </c>
      <c r="D447">
        <v>1</v>
      </c>
      <c r="E447" s="3">
        <f t="shared" si="6"/>
        <v>5</v>
      </c>
    </row>
    <row r="448" spans="1:5" x14ac:dyDescent="0.2">
      <c r="A448">
        <v>7</v>
      </c>
      <c r="B448" s="2" t="s">
        <v>10</v>
      </c>
      <c r="C448" s="2" t="s">
        <v>10</v>
      </c>
      <c r="D448" s="2" t="s">
        <v>10</v>
      </c>
      <c r="E448" s="3">
        <f t="shared" si="6"/>
        <v>5</v>
      </c>
    </row>
    <row r="449" spans="1:5" x14ac:dyDescent="0.2">
      <c r="A449">
        <v>8</v>
      </c>
      <c r="B449" s="2" t="s">
        <v>10</v>
      </c>
      <c r="C449" s="2" t="s">
        <v>10</v>
      </c>
      <c r="D449" s="2" t="s">
        <v>10</v>
      </c>
      <c r="E449" s="3">
        <f t="shared" si="6"/>
        <v>5</v>
      </c>
    </row>
    <row r="450" spans="1:5" x14ac:dyDescent="0.2">
      <c r="A450" s="1" t="s">
        <v>30</v>
      </c>
      <c r="E450" s="3">
        <f t="shared" si="6"/>
        <v>5</v>
      </c>
    </row>
    <row r="451" spans="1:5" x14ac:dyDescent="0.2">
      <c r="A451" s="1" t="s">
        <v>1</v>
      </c>
      <c r="B451" s="1" t="s">
        <v>2</v>
      </c>
      <c r="C451" s="1" t="s">
        <v>3</v>
      </c>
      <c r="D451" s="1" t="s">
        <v>4</v>
      </c>
      <c r="E451" s="3">
        <f t="shared" si="6"/>
        <v>5</v>
      </c>
    </row>
    <row r="452" spans="1:5" x14ac:dyDescent="0.2">
      <c r="A452">
        <v>1</v>
      </c>
      <c r="B452" t="s">
        <v>95</v>
      </c>
      <c r="C452">
        <v>1</v>
      </c>
      <c r="D452">
        <v>16</v>
      </c>
      <c r="E452" s="3">
        <f t="shared" si="6"/>
        <v>5</v>
      </c>
    </row>
    <row r="453" spans="1:5" x14ac:dyDescent="0.2">
      <c r="A453">
        <v>2</v>
      </c>
      <c r="B453" t="s">
        <v>18</v>
      </c>
      <c r="C453">
        <v>3</v>
      </c>
      <c r="D453">
        <v>12</v>
      </c>
      <c r="E453" s="3">
        <f t="shared" si="6"/>
        <v>5</v>
      </c>
    </row>
    <row r="454" spans="1:5" x14ac:dyDescent="0.2">
      <c r="A454">
        <v>3</v>
      </c>
      <c r="B454" t="s">
        <v>96</v>
      </c>
      <c r="C454">
        <v>1</v>
      </c>
      <c r="D454">
        <v>8</v>
      </c>
      <c r="E454" s="3">
        <f t="shared" si="6"/>
        <v>5</v>
      </c>
    </row>
    <row r="455" spans="1:5" x14ac:dyDescent="0.2">
      <c r="A455">
        <v>4</v>
      </c>
      <c r="B455" t="s">
        <v>43</v>
      </c>
      <c r="C455">
        <v>0</v>
      </c>
      <c r="D455">
        <v>4</v>
      </c>
      <c r="E455" s="3">
        <f t="shared" si="6"/>
        <v>5</v>
      </c>
    </row>
    <row r="456" spans="1:5" x14ac:dyDescent="0.2">
      <c r="A456">
        <v>5</v>
      </c>
      <c r="B456" t="s">
        <v>46</v>
      </c>
      <c r="C456">
        <v>0</v>
      </c>
      <c r="D456">
        <v>2</v>
      </c>
      <c r="E456" s="3">
        <f t="shared" si="6"/>
        <v>5</v>
      </c>
    </row>
    <row r="457" spans="1:5" x14ac:dyDescent="0.2">
      <c r="A457">
        <v>6</v>
      </c>
      <c r="B457" t="s">
        <v>28</v>
      </c>
      <c r="C457">
        <v>0</v>
      </c>
      <c r="D457">
        <v>1</v>
      </c>
      <c r="E457" s="3">
        <f t="shared" si="6"/>
        <v>5</v>
      </c>
    </row>
    <row r="458" spans="1:5" x14ac:dyDescent="0.2">
      <c r="A458">
        <v>7</v>
      </c>
      <c r="B458" s="2" t="s">
        <v>10</v>
      </c>
      <c r="C458" s="2" t="s">
        <v>10</v>
      </c>
      <c r="D458" s="2" t="s">
        <v>10</v>
      </c>
      <c r="E458" s="3">
        <f t="shared" si="6"/>
        <v>5</v>
      </c>
    </row>
    <row r="459" spans="1:5" x14ac:dyDescent="0.2">
      <c r="A459">
        <v>8</v>
      </c>
      <c r="B459" s="2" t="s">
        <v>10</v>
      </c>
      <c r="C459" s="2" t="s">
        <v>10</v>
      </c>
      <c r="D459" s="2" t="s">
        <v>10</v>
      </c>
      <c r="E459" s="3">
        <f t="shared" si="6"/>
        <v>5</v>
      </c>
    </row>
    <row r="460" spans="1:5" x14ac:dyDescent="0.2">
      <c r="A460" s="1" t="s">
        <v>37</v>
      </c>
      <c r="E460" s="3">
        <f t="shared" si="6"/>
        <v>5</v>
      </c>
    </row>
    <row r="461" spans="1:5" x14ac:dyDescent="0.2">
      <c r="A461" s="1" t="s">
        <v>1</v>
      </c>
      <c r="B461" s="1" t="s">
        <v>2</v>
      </c>
      <c r="C461" s="1" t="s">
        <v>3</v>
      </c>
      <c r="D461" s="1" t="s">
        <v>4</v>
      </c>
      <c r="E461" s="3">
        <f t="shared" si="6"/>
        <v>5</v>
      </c>
    </row>
    <row r="462" spans="1:5" x14ac:dyDescent="0.2">
      <c r="A462">
        <v>1</v>
      </c>
      <c r="B462" t="s">
        <v>6</v>
      </c>
      <c r="C462">
        <v>2</v>
      </c>
      <c r="D462">
        <v>16</v>
      </c>
      <c r="E462" s="3">
        <f t="shared" si="6"/>
        <v>5</v>
      </c>
    </row>
    <row r="463" spans="1:5" x14ac:dyDescent="0.2">
      <c r="A463">
        <v>2</v>
      </c>
      <c r="B463" t="s">
        <v>22</v>
      </c>
      <c r="C463">
        <v>3</v>
      </c>
      <c r="D463">
        <v>12</v>
      </c>
      <c r="E463" s="3">
        <f t="shared" si="6"/>
        <v>5</v>
      </c>
    </row>
    <row r="464" spans="1:5" x14ac:dyDescent="0.2">
      <c r="A464">
        <v>3</v>
      </c>
      <c r="B464" t="s">
        <v>54</v>
      </c>
      <c r="C464">
        <v>0</v>
      </c>
      <c r="D464">
        <v>8</v>
      </c>
      <c r="E464" s="3">
        <f t="shared" si="6"/>
        <v>5</v>
      </c>
    </row>
    <row r="465" spans="1:5" x14ac:dyDescent="0.2">
      <c r="A465">
        <v>4</v>
      </c>
      <c r="B465" t="s">
        <v>57</v>
      </c>
      <c r="C465">
        <v>0</v>
      </c>
      <c r="D465">
        <v>4</v>
      </c>
      <c r="E465" s="3">
        <f t="shared" si="6"/>
        <v>5</v>
      </c>
    </row>
    <row r="466" spans="1:5" x14ac:dyDescent="0.2">
      <c r="A466">
        <v>5</v>
      </c>
      <c r="B466" t="s">
        <v>83</v>
      </c>
      <c r="C466">
        <v>0</v>
      </c>
      <c r="D466">
        <v>2</v>
      </c>
      <c r="E466" s="3">
        <f t="shared" si="6"/>
        <v>5</v>
      </c>
    </row>
    <row r="467" spans="1:5" x14ac:dyDescent="0.2">
      <c r="A467">
        <v>6</v>
      </c>
      <c r="B467" t="s">
        <v>23</v>
      </c>
      <c r="C467">
        <v>0</v>
      </c>
      <c r="D467">
        <v>1</v>
      </c>
      <c r="E467" s="3">
        <f t="shared" si="6"/>
        <v>5</v>
      </c>
    </row>
    <row r="468" spans="1:5" x14ac:dyDescent="0.2">
      <c r="A468">
        <v>7</v>
      </c>
      <c r="B468" s="2" t="s">
        <v>10</v>
      </c>
      <c r="C468" s="2" t="s">
        <v>10</v>
      </c>
      <c r="D468" s="2" t="s">
        <v>10</v>
      </c>
      <c r="E468" s="3">
        <f t="shared" si="6"/>
        <v>5</v>
      </c>
    </row>
    <row r="469" spans="1:5" x14ac:dyDescent="0.2">
      <c r="A469">
        <v>8</v>
      </c>
      <c r="B469" s="2" t="s">
        <v>10</v>
      </c>
      <c r="C469" s="2" t="s">
        <v>10</v>
      </c>
      <c r="D469" s="2" t="s">
        <v>10</v>
      </c>
      <c r="E469" s="3">
        <f t="shared" si="6"/>
        <v>5</v>
      </c>
    </row>
    <row r="470" spans="1:5" x14ac:dyDescent="0.2">
      <c r="A470" s="1" t="s">
        <v>44</v>
      </c>
      <c r="E470" s="3">
        <f t="shared" si="6"/>
        <v>5</v>
      </c>
    </row>
    <row r="471" spans="1:5" x14ac:dyDescent="0.2">
      <c r="A471" s="1" t="s">
        <v>1</v>
      </c>
      <c r="B471" s="1" t="s">
        <v>2</v>
      </c>
      <c r="C471" s="1" t="s">
        <v>3</v>
      </c>
      <c r="D471" s="1" t="s">
        <v>4</v>
      </c>
      <c r="E471" s="3">
        <f t="shared" si="6"/>
        <v>5</v>
      </c>
    </row>
    <row r="472" spans="1:5" x14ac:dyDescent="0.2">
      <c r="A472">
        <v>1</v>
      </c>
      <c r="B472" t="s">
        <v>45</v>
      </c>
      <c r="C472">
        <v>4</v>
      </c>
      <c r="D472">
        <v>16</v>
      </c>
      <c r="E472" s="3">
        <f t="shared" si="6"/>
        <v>5</v>
      </c>
    </row>
    <row r="473" spans="1:5" x14ac:dyDescent="0.2">
      <c r="A473">
        <v>2</v>
      </c>
      <c r="B473" t="s">
        <v>19</v>
      </c>
      <c r="C473">
        <v>1</v>
      </c>
      <c r="D473">
        <v>12</v>
      </c>
      <c r="E473" s="3">
        <f t="shared" si="6"/>
        <v>5</v>
      </c>
    </row>
    <row r="474" spans="1:5" x14ac:dyDescent="0.2">
      <c r="A474">
        <v>3</v>
      </c>
      <c r="B474" t="s">
        <v>26</v>
      </c>
      <c r="C474">
        <v>0</v>
      </c>
      <c r="D474">
        <v>8</v>
      </c>
      <c r="E474" s="3">
        <f t="shared" si="6"/>
        <v>5</v>
      </c>
    </row>
    <row r="475" spans="1:5" x14ac:dyDescent="0.2">
      <c r="A475">
        <v>4</v>
      </c>
      <c r="B475" t="s">
        <v>12</v>
      </c>
      <c r="C475">
        <v>0</v>
      </c>
      <c r="D475">
        <v>4</v>
      </c>
      <c r="E475" s="3">
        <f t="shared" si="6"/>
        <v>5</v>
      </c>
    </row>
    <row r="476" spans="1:5" x14ac:dyDescent="0.2">
      <c r="A476">
        <v>5</v>
      </c>
      <c r="B476" t="s">
        <v>61</v>
      </c>
      <c r="C476">
        <v>0</v>
      </c>
      <c r="D476">
        <v>2</v>
      </c>
      <c r="E476" s="3">
        <f t="shared" si="6"/>
        <v>5</v>
      </c>
    </row>
    <row r="477" spans="1:5" x14ac:dyDescent="0.2">
      <c r="A477">
        <v>6</v>
      </c>
      <c r="B477" t="s">
        <v>16</v>
      </c>
      <c r="C477">
        <v>0</v>
      </c>
      <c r="D477">
        <v>1</v>
      </c>
      <c r="E477" s="3">
        <f t="shared" si="6"/>
        <v>5</v>
      </c>
    </row>
    <row r="478" spans="1:5" x14ac:dyDescent="0.2">
      <c r="A478">
        <v>7</v>
      </c>
      <c r="B478" s="2" t="s">
        <v>10</v>
      </c>
      <c r="C478" s="2" t="s">
        <v>10</v>
      </c>
      <c r="D478" s="2" t="s">
        <v>10</v>
      </c>
      <c r="E478" s="3">
        <f t="shared" si="6"/>
        <v>5</v>
      </c>
    </row>
    <row r="479" spans="1:5" x14ac:dyDescent="0.2">
      <c r="A479">
        <v>8</v>
      </c>
      <c r="B479" s="2" t="s">
        <v>10</v>
      </c>
      <c r="C479" s="2" t="s">
        <v>10</v>
      </c>
      <c r="D479" s="2" t="s">
        <v>10</v>
      </c>
      <c r="E479" s="3">
        <f t="shared" si="6"/>
        <v>5</v>
      </c>
    </row>
    <row r="480" spans="1:5" x14ac:dyDescent="0.2">
      <c r="A480" s="1" t="s">
        <v>51</v>
      </c>
      <c r="E480" s="3">
        <f t="shared" ref="E480:E543" si="7">IF(A480=$A$1,E479+1,E479)</f>
        <v>5</v>
      </c>
    </row>
    <row r="481" spans="1:5" x14ac:dyDescent="0.2">
      <c r="A481" s="1" t="s">
        <v>1</v>
      </c>
      <c r="B481" s="1" t="s">
        <v>2</v>
      </c>
      <c r="C481" s="1" t="s">
        <v>3</v>
      </c>
      <c r="D481" s="1" t="s">
        <v>4</v>
      </c>
      <c r="E481" s="3">
        <f t="shared" si="7"/>
        <v>5</v>
      </c>
    </row>
    <row r="482" spans="1:5" x14ac:dyDescent="0.2">
      <c r="A482">
        <v>1</v>
      </c>
      <c r="B482" t="s">
        <v>9</v>
      </c>
      <c r="C482">
        <v>3</v>
      </c>
      <c r="D482">
        <v>16</v>
      </c>
      <c r="E482" s="3">
        <f t="shared" si="7"/>
        <v>5</v>
      </c>
    </row>
    <row r="483" spans="1:5" x14ac:dyDescent="0.2">
      <c r="A483">
        <v>2</v>
      </c>
      <c r="B483" t="s">
        <v>87</v>
      </c>
      <c r="C483">
        <v>2</v>
      </c>
      <c r="D483">
        <v>12</v>
      </c>
      <c r="E483" s="3">
        <f t="shared" si="7"/>
        <v>5</v>
      </c>
    </row>
    <row r="484" spans="1:5" x14ac:dyDescent="0.2">
      <c r="A484">
        <v>3</v>
      </c>
      <c r="B484" t="s">
        <v>50</v>
      </c>
      <c r="C484">
        <v>0</v>
      </c>
      <c r="D484">
        <v>8</v>
      </c>
      <c r="E484" s="3">
        <f t="shared" si="7"/>
        <v>5</v>
      </c>
    </row>
    <row r="485" spans="1:5" x14ac:dyDescent="0.2">
      <c r="A485">
        <v>4</v>
      </c>
      <c r="B485" t="s">
        <v>63</v>
      </c>
      <c r="C485">
        <v>0</v>
      </c>
      <c r="D485">
        <v>4</v>
      </c>
      <c r="E485" s="3">
        <f t="shared" si="7"/>
        <v>5</v>
      </c>
    </row>
    <row r="486" spans="1:5" x14ac:dyDescent="0.2">
      <c r="A486">
        <v>5</v>
      </c>
      <c r="B486" t="s">
        <v>66</v>
      </c>
      <c r="C486">
        <v>0</v>
      </c>
      <c r="D486">
        <v>2</v>
      </c>
      <c r="E486" s="3">
        <f t="shared" si="7"/>
        <v>5</v>
      </c>
    </row>
    <row r="487" spans="1:5" x14ac:dyDescent="0.2">
      <c r="A487">
        <v>6</v>
      </c>
      <c r="B487" t="s">
        <v>38</v>
      </c>
      <c r="C487">
        <v>0</v>
      </c>
      <c r="D487">
        <v>1</v>
      </c>
      <c r="E487" s="3">
        <f t="shared" si="7"/>
        <v>5</v>
      </c>
    </row>
    <row r="488" spans="1:5" x14ac:dyDescent="0.2">
      <c r="A488">
        <v>7</v>
      </c>
      <c r="B488" s="2" t="s">
        <v>10</v>
      </c>
      <c r="C488" s="2" t="s">
        <v>10</v>
      </c>
      <c r="D488" s="2" t="s">
        <v>10</v>
      </c>
      <c r="E488" s="3">
        <f t="shared" si="7"/>
        <v>5</v>
      </c>
    </row>
    <row r="489" spans="1:5" x14ac:dyDescent="0.2">
      <c r="A489">
        <v>8</v>
      </c>
      <c r="B489" s="2" t="s">
        <v>10</v>
      </c>
      <c r="C489" s="2" t="s">
        <v>10</v>
      </c>
      <c r="D489" s="2" t="s">
        <v>10</v>
      </c>
      <c r="E489" s="3">
        <f t="shared" si="7"/>
        <v>5</v>
      </c>
    </row>
    <row r="490" spans="1:5" x14ac:dyDescent="0.2">
      <c r="A490" s="1" t="s">
        <v>58</v>
      </c>
      <c r="E490" s="3">
        <f t="shared" si="7"/>
        <v>5</v>
      </c>
    </row>
    <row r="491" spans="1:5" x14ac:dyDescent="0.2">
      <c r="A491" s="1" t="s">
        <v>1</v>
      </c>
      <c r="B491" s="1" t="s">
        <v>2</v>
      </c>
      <c r="C491" s="1" t="s">
        <v>3</v>
      </c>
      <c r="D491" s="1" t="s">
        <v>4</v>
      </c>
      <c r="E491" s="3">
        <f t="shared" si="7"/>
        <v>5</v>
      </c>
    </row>
    <row r="492" spans="1:5" x14ac:dyDescent="0.2">
      <c r="A492">
        <v>1</v>
      </c>
      <c r="B492" t="s">
        <v>31</v>
      </c>
      <c r="C492">
        <v>2</v>
      </c>
      <c r="D492">
        <v>17</v>
      </c>
      <c r="E492" s="3">
        <f t="shared" si="7"/>
        <v>5</v>
      </c>
    </row>
    <row r="493" spans="1:5" x14ac:dyDescent="0.2">
      <c r="A493">
        <v>2</v>
      </c>
      <c r="B493" t="s">
        <v>27</v>
      </c>
      <c r="C493">
        <v>3</v>
      </c>
      <c r="D493">
        <v>13</v>
      </c>
      <c r="E493" s="3">
        <f t="shared" si="7"/>
        <v>5</v>
      </c>
    </row>
    <row r="494" spans="1:5" x14ac:dyDescent="0.2">
      <c r="A494">
        <v>3</v>
      </c>
      <c r="B494" t="s">
        <v>76</v>
      </c>
      <c r="C494">
        <v>1</v>
      </c>
      <c r="D494">
        <v>9</v>
      </c>
      <c r="E494" s="3">
        <f t="shared" si="7"/>
        <v>5</v>
      </c>
    </row>
    <row r="495" spans="1:5" x14ac:dyDescent="0.2">
      <c r="A495">
        <v>4</v>
      </c>
      <c r="B495" t="s">
        <v>33</v>
      </c>
      <c r="C495">
        <v>0</v>
      </c>
      <c r="D495">
        <v>5</v>
      </c>
      <c r="E495" s="3">
        <f t="shared" si="7"/>
        <v>5</v>
      </c>
    </row>
    <row r="496" spans="1:5" x14ac:dyDescent="0.2">
      <c r="A496">
        <v>5</v>
      </c>
      <c r="B496" t="s">
        <v>20</v>
      </c>
      <c r="C496">
        <v>0</v>
      </c>
      <c r="D496">
        <v>3</v>
      </c>
      <c r="E496" s="3">
        <f t="shared" si="7"/>
        <v>5</v>
      </c>
    </row>
    <row r="497" spans="1:5" x14ac:dyDescent="0.2">
      <c r="A497">
        <v>6</v>
      </c>
      <c r="B497" t="s">
        <v>35</v>
      </c>
      <c r="C497">
        <v>0</v>
      </c>
      <c r="D497">
        <v>2</v>
      </c>
      <c r="E497" s="3">
        <f t="shared" si="7"/>
        <v>5</v>
      </c>
    </row>
    <row r="498" spans="1:5" x14ac:dyDescent="0.2">
      <c r="A498">
        <v>7</v>
      </c>
      <c r="B498" t="s">
        <v>39</v>
      </c>
      <c r="C498">
        <v>0</v>
      </c>
      <c r="D498">
        <v>1</v>
      </c>
      <c r="E498" s="3">
        <f t="shared" si="7"/>
        <v>5</v>
      </c>
    </row>
    <row r="499" spans="1:5" x14ac:dyDescent="0.2">
      <c r="A499">
        <v>8</v>
      </c>
      <c r="B499" s="2" t="s">
        <v>10</v>
      </c>
      <c r="C499" s="2" t="s">
        <v>10</v>
      </c>
      <c r="D499" s="2" t="s">
        <v>10</v>
      </c>
      <c r="E499" s="3">
        <f t="shared" si="7"/>
        <v>5</v>
      </c>
    </row>
    <row r="500" spans="1:5" x14ac:dyDescent="0.2">
      <c r="A500" s="1" t="s">
        <v>64</v>
      </c>
      <c r="E500" s="3">
        <f t="shared" si="7"/>
        <v>5</v>
      </c>
    </row>
    <row r="501" spans="1:5" x14ac:dyDescent="0.2">
      <c r="A501" s="1" t="s">
        <v>1</v>
      </c>
      <c r="B501" s="1" t="s">
        <v>2</v>
      </c>
      <c r="C501" s="1" t="s">
        <v>3</v>
      </c>
      <c r="D501" s="1" t="s">
        <v>4</v>
      </c>
      <c r="E501" s="3">
        <f t="shared" si="7"/>
        <v>5</v>
      </c>
    </row>
    <row r="502" spans="1:5" x14ac:dyDescent="0.2">
      <c r="A502">
        <v>1</v>
      </c>
      <c r="B502" t="s">
        <v>59</v>
      </c>
      <c r="C502">
        <v>2</v>
      </c>
      <c r="D502">
        <v>16</v>
      </c>
      <c r="E502" s="3">
        <f t="shared" si="7"/>
        <v>5</v>
      </c>
    </row>
    <row r="503" spans="1:5" x14ac:dyDescent="0.2">
      <c r="A503">
        <v>2</v>
      </c>
      <c r="B503" t="s">
        <v>67</v>
      </c>
      <c r="C503">
        <v>1</v>
      </c>
      <c r="D503">
        <v>12</v>
      </c>
      <c r="E503" s="3">
        <f t="shared" si="7"/>
        <v>5</v>
      </c>
    </row>
    <row r="504" spans="1:5" x14ac:dyDescent="0.2">
      <c r="A504">
        <v>3</v>
      </c>
      <c r="B504" t="s">
        <v>41</v>
      </c>
      <c r="C504">
        <v>2</v>
      </c>
      <c r="D504">
        <v>8</v>
      </c>
      <c r="E504" s="3">
        <f t="shared" si="7"/>
        <v>5</v>
      </c>
    </row>
    <row r="505" spans="1:5" x14ac:dyDescent="0.2">
      <c r="A505">
        <v>4</v>
      </c>
      <c r="B505" t="s">
        <v>53</v>
      </c>
      <c r="C505">
        <v>0</v>
      </c>
      <c r="D505">
        <v>4</v>
      </c>
      <c r="E505" s="3">
        <f t="shared" si="7"/>
        <v>5</v>
      </c>
    </row>
    <row r="506" spans="1:5" x14ac:dyDescent="0.2">
      <c r="A506">
        <v>5</v>
      </c>
      <c r="B506" t="s">
        <v>25</v>
      </c>
      <c r="C506">
        <v>0</v>
      </c>
      <c r="D506">
        <v>2</v>
      </c>
      <c r="E506" s="3">
        <f t="shared" si="7"/>
        <v>5</v>
      </c>
    </row>
    <row r="507" spans="1:5" x14ac:dyDescent="0.2">
      <c r="A507">
        <v>6</v>
      </c>
      <c r="B507" t="s">
        <v>47</v>
      </c>
      <c r="C507">
        <v>0</v>
      </c>
      <c r="D507">
        <v>1</v>
      </c>
      <c r="E507" s="3">
        <f t="shared" si="7"/>
        <v>5</v>
      </c>
    </row>
    <row r="508" spans="1:5" x14ac:dyDescent="0.2">
      <c r="A508">
        <v>7</v>
      </c>
      <c r="B508" s="2" t="s">
        <v>10</v>
      </c>
      <c r="C508" s="2" t="s">
        <v>10</v>
      </c>
      <c r="D508" s="2" t="s">
        <v>10</v>
      </c>
      <c r="E508" s="3">
        <f t="shared" si="7"/>
        <v>5</v>
      </c>
    </row>
    <row r="509" spans="1:5" x14ac:dyDescent="0.2">
      <c r="A509">
        <v>8</v>
      </c>
      <c r="B509" s="2" t="s">
        <v>10</v>
      </c>
      <c r="C509" s="2" t="s">
        <v>10</v>
      </c>
      <c r="D509" s="2" t="s">
        <v>10</v>
      </c>
      <c r="E509" s="3">
        <f t="shared" si="7"/>
        <v>5</v>
      </c>
    </row>
    <row r="510" spans="1:5" x14ac:dyDescent="0.2">
      <c r="A510" s="1" t="s">
        <v>0</v>
      </c>
      <c r="E510" s="3">
        <f t="shared" si="7"/>
        <v>6</v>
      </c>
    </row>
    <row r="511" spans="1:5" x14ac:dyDescent="0.2">
      <c r="A511" s="1" t="s">
        <v>1</v>
      </c>
      <c r="B511" s="1" t="s">
        <v>2</v>
      </c>
      <c r="C511" s="1" t="s">
        <v>3</v>
      </c>
      <c r="D511" s="1" t="s">
        <v>4</v>
      </c>
      <c r="E511" s="3">
        <f t="shared" si="7"/>
        <v>6</v>
      </c>
    </row>
    <row r="512" spans="1:5" x14ac:dyDescent="0.2">
      <c r="A512">
        <v>1</v>
      </c>
      <c r="B512" t="s">
        <v>26</v>
      </c>
      <c r="C512">
        <v>2</v>
      </c>
      <c r="D512">
        <v>16</v>
      </c>
      <c r="E512" s="3">
        <f t="shared" si="7"/>
        <v>6</v>
      </c>
    </row>
    <row r="513" spans="1:5" x14ac:dyDescent="0.2">
      <c r="A513">
        <v>2</v>
      </c>
      <c r="B513" t="s">
        <v>28</v>
      </c>
      <c r="C513">
        <v>3</v>
      </c>
      <c r="D513">
        <v>12</v>
      </c>
      <c r="E513" s="3">
        <f t="shared" si="7"/>
        <v>6</v>
      </c>
    </row>
    <row r="514" spans="1:5" x14ac:dyDescent="0.2">
      <c r="A514">
        <v>3</v>
      </c>
      <c r="B514" t="s">
        <v>69</v>
      </c>
      <c r="C514">
        <v>0</v>
      </c>
      <c r="D514">
        <v>8</v>
      </c>
      <c r="E514" s="3">
        <f t="shared" si="7"/>
        <v>6</v>
      </c>
    </row>
    <row r="515" spans="1:5" x14ac:dyDescent="0.2">
      <c r="A515">
        <v>4</v>
      </c>
      <c r="B515" t="s">
        <v>31</v>
      </c>
      <c r="C515">
        <v>0</v>
      </c>
      <c r="D515">
        <v>4</v>
      </c>
      <c r="E515" s="3">
        <f t="shared" si="7"/>
        <v>6</v>
      </c>
    </row>
    <row r="516" spans="1:5" x14ac:dyDescent="0.2">
      <c r="A516">
        <v>5</v>
      </c>
      <c r="B516" t="s">
        <v>92</v>
      </c>
      <c r="C516">
        <v>0</v>
      </c>
      <c r="D516">
        <v>2</v>
      </c>
      <c r="E516" s="3">
        <f t="shared" si="7"/>
        <v>6</v>
      </c>
    </row>
    <row r="517" spans="1:5" x14ac:dyDescent="0.2">
      <c r="A517">
        <v>6</v>
      </c>
      <c r="B517" t="s">
        <v>48</v>
      </c>
      <c r="C517">
        <v>0</v>
      </c>
      <c r="D517">
        <v>1</v>
      </c>
      <c r="E517" s="3">
        <f t="shared" si="7"/>
        <v>6</v>
      </c>
    </row>
    <row r="518" spans="1:5" x14ac:dyDescent="0.2">
      <c r="A518">
        <v>7</v>
      </c>
      <c r="B518" s="2" t="s">
        <v>10</v>
      </c>
      <c r="C518" s="2" t="s">
        <v>10</v>
      </c>
      <c r="D518" s="2" t="s">
        <v>10</v>
      </c>
      <c r="E518" s="3">
        <f t="shared" si="7"/>
        <v>6</v>
      </c>
    </row>
    <row r="519" spans="1:5" x14ac:dyDescent="0.2">
      <c r="A519">
        <v>8</v>
      </c>
      <c r="B519" s="2" t="s">
        <v>10</v>
      </c>
      <c r="C519" s="2" t="s">
        <v>10</v>
      </c>
      <c r="D519" s="2" t="s">
        <v>10</v>
      </c>
      <c r="E519" s="3">
        <f t="shared" si="7"/>
        <v>6</v>
      </c>
    </row>
    <row r="520" spans="1:5" x14ac:dyDescent="0.2">
      <c r="A520" s="1" t="s">
        <v>11</v>
      </c>
      <c r="E520" s="3">
        <f t="shared" si="7"/>
        <v>6</v>
      </c>
    </row>
    <row r="521" spans="1:5" x14ac:dyDescent="0.2">
      <c r="A521" s="1" t="s">
        <v>1</v>
      </c>
      <c r="B521" s="1" t="s">
        <v>2</v>
      </c>
      <c r="C521" s="1" t="s">
        <v>3</v>
      </c>
      <c r="D521" s="1" t="s">
        <v>4</v>
      </c>
      <c r="E521" s="3">
        <f t="shared" si="7"/>
        <v>6</v>
      </c>
    </row>
    <row r="522" spans="1:5" x14ac:dyDescent="0.2">
      <c r="A522">
        <v>1</v>
      </c>
      <c r="B522" t="s">
        <v>45</v>
      </c>
      <c r="C522">
        <v>1</v>
      </c>
      <c r="D522">
        <v>16</v>
      </c>
      <c r="E522" s="3">
        <f t="shared" si="7"/>
        <v>6</v>
      </c>
    </row>
    <row r="523" spans="1:5" x14ac:dyDescent="0.2">
      <c r="A523">
        <v>2</v>
      </c>
      <c r="B523" t="s">
        <v>66</v>
      </c>
      <c r="C523">
        <v>2</v>
      </c>
      <c r="D523">
        <v>12</v>
      </c>
      <c r="E523" s="3">
        <f t="shared" si="7"/>
        <v>6</v>
      </c>
    </row>
    <row r="524" spans="1:5" x14ac:dyDescent="0.2">
      <c r="A524">
        <v>3</v>
      </c>
      <c r="B524" t="s">
        <v>97</v>
      </c>
      <c r="C524">
        <v>1</v>
      </c>
      <c r="D524">
        <v>8</v>
      </c>
      <c r="E524" s="3">
        <f t="shared" si="7"/>
        <v>6</v>
      </c>
    </row>
    <row r="525" spans="1:5" x14ac:dyDescent="0.2">
      <c r="A525">
        <v>4</v>
      </c>
      <c r="B525" t="s">
        <v>41</v>
      </c>
      <c r="C525">
        <v>1</v>
      </c>
      <c r="D525">
        <v>4</v>
      </c>
      <c r="E525" s="3">
        <f t="shared" si="7"/>
        <v>6</v>
      </c>
    </row>
    <row r="526" spans="1:5" x14ac:dyDescent="0.2">
      <c r="A526">
        <v>5</v>
      </c>
      <c r="B526" t="s">
        <v>68</v>
      </c>
      <c r="C526">
        <v>0</v>
      </c>
      <c r="D526">
        <v>2</v>
      </c>
      <c r="E526" s="3">
        <f t="shared" si="7"/>
        <v>6</v>
      </c>
    </row>
    <row r="527" spans="1:5" x14ac:dyDescent="0.2">
      <c r="A527">
        <v>6</v>
      </c>
      <c r="B527" t="s">
        <v>81</v>
      </c>
      <c r="C527">
        <v>0</v>
      </c>
      <c r="D527">
        <v>1</v>
      </c>
      <c r="E527" s="3">
        <f t="shared" si="7"/>
        <v>6</v>
      </c>
    </row>
    <row r="528" spans="1:5" x14ac:dyDescent="0.2">
      <c r="A528">
        <v>7</v>
      </c>
      <c r="B528" s="2" t="s">
        <v>10</v>
      </c>
      <c r="C528" s="2" t="s">
        <v>10</v>
      </c>
      <c r="D528" s="2" t="s">
        <v>10</v>
      </c>
      <c r="E528" s="3">
        <f t="shared" si="7"/>
        <v>6</v>
      </c>
    </row>
    <row r="529" spans="1:5" x14ac:dyDescent="0.2">
      <c r="A529">
        <v>8</v>
      </c>
      <c r="B529" s="2" t="s">
        <v>10</v>
      </c>
      <c r="C529" s="2" t="s">
        <v>10</v>
      </c>
      <c r="D529" s="2" t="s">
        <v>10</v>
      </c>
      <c r="E529" s="3">
        <f t="shared" si="7"/>
        <v>6</v>
      </c>
    </row>
    <row r="530" spans="1:5" x14ac:dyDescent="0.2">
      <c r="A530" s="1" t="s">
        <v>17</v>
      </c>
      <c r="E530" s="3">
        <f t="shared" si="7"/>
        <v>6</v>
      </c>
    </row>
    <row r="531" spans="1:5" x14ac:dyDescent="0.2">
      <c r="A531" s="1" t="s">
        <v>1</v>
      </c>
      <c r="B531" s="1" t="s">
        <v>2</v>
      </c>
      <c r="C531" s="1" t="s">
        <v>3</v>
      </c>
      <c r="D531" s="1" t="s">
        <v>4</v>
      </c>
      <c r="E531" s="3">
        <f t="shared" si="7"/>
        <v>6</v>
      </c>
    </row>
    <row r="532" spans="1:5" x14ac:dyDescent="0.2">
      <c r="A532">
        <v>1</v>
      </c>
      <c r="B532" t="s">
        <v>6</v>
      </c>
      <c r="C532">
        <v>2</v>
      </c>
      <c r="D532">
        <v>15</v>
      </c>
      <c r="E532" s="3">
        <f t="shared" si="7"/>
        <v>6</v>
      </c>
    </row>
    <row r="533" spans="1:5" x14ac:dyDescent="0.2">
      <c r="A533">
        <v>2</v>
      </c>
      <c r="B533" t="s">
        <v>22</v>
      </c>
      <c r="C533">
        <v>2</v>
      </c>
      <c r="D533">
        <v>11</v>
      </c>
      <c r="E533" s="3">
        <f t="shared" si="7"/>
        <v>6</v>
      </c>
    </row>
    <row r="534" spans="1:5" x14ac:dyDescent="0.2">
      <c r="A534">
        <v>3</v>
      </c>
      <c r="B534" t="s">
        <v>38</v>
      </c>
      <c r="C534">
        <v>0</v>
      </c>
      <c r="D534">
        <v>7</v>
      </c>
      <c r="E534" s="3">
        <f t="shared" si="7"/>
        <v>6</v>
      </c>
    </row>
    <row r="535" spans="1:5" x14ac:dyDescent="0.2">
      <c r="A535">
        <v>4</v>
      </c>
      <c r="B535" t="s">
        <v>32</v>
      </c>
      <c r="C535">
        <v>0</v>
      </c>
      <c r="D535">
        <v>3</v>
      </c>
      <c r="E535" s="3">
        <f t="shared" si="7"/>
        <v>6</v>
      </c>
    </row>
    <row r="536" spans="1:5" x14ac:dyDescent="0.2">
      <c r="A536">
        <v>5</v>
      </c>
      <c r="B536" t="s">
        <v>14</v>
      </c>
      <c r="C536">
        <v>0</v>
      </c>
      <c r="D536">
        <v>1</v>
      </c>
      <c r="E536" s="3">
        <f t="shared" si="7"/>
        <v>6</v>
      </c>
    </row>
    <row r="537" spans="1:5" x14ac:dyDescent="0.2">
      <c r="A537">
        <v>6</v>
      </c>
      <c r="B537" s="2" t="s">
        <v>10</v>
      </c>
      <c r="C537" s="2" t="s">
        <v>10</v>
      </c>
      <c r="D537" s="2" t="s">
        <v>10</v>
      </c>
      <c r="E537" s="3">
        <f t="shared" si="7"/>
        <v>6</v>
      </c>
    </row>
    <row r="538" spans="1:5" x14ac:dyDescent="0.2">
      <c r="A538">
        <v>7</v>
      </c>
      <c r="B538" s="2" t="s">
        <v>10</v>
      </c>
      <c r="C538" s="2" t="s">
        <v>10</v>
      </c>
      <c r="D538" s="2" t="s">
        <v>10</v>
      </c>
      <c r="E538" s="3">
        <f t="shared" si="7"/>
        <v>6</v>
      </c>
    </row>
    <row r="539" spans="1:5" x14ac:dyDescent="0.2">
      <c r="A539">
        <v>8</v>
      </c>
      <c r="B539" s="2" t="s">
        <v>10</v>
      </c>
      <c r="C539" s="2" t="s">
        <v>10</v>
      </c>
      <c r="D539" s="2" t="s">
        <v>10</v>
      </c>
      <c r="E539" s="3">
        <f t="shared" si="7"/>
        <v>6</v>
      </c>
    </row>
    <row r="540" spans="1:5" x14ac:dyDescent="0.2">
      <c r="A540" s="1" t="s">
        <v>24</v>
      </c>
      <c r="E540" s="3">
        <f t="shared" si="7"/>
        <v>6</v>
      </c>
    </row>
    <row r="541" spans="1:5" x14ac:dyDescent="0.2">
      <c r="A541" s="1" t="s">
        <v>1</v>
      </c>
      <c r="B541" s="1" t="s">
        <v>2</v>
      </c>
      <c r="C541" s="1" t="s">
        <v>3</v>
      </c>
      <c r="D541" s="1" t="s">
        <v>4</v>
      </c>
      <c r="E541" s="3">
        <f t="shared" si="7"/>
        <v>6</v>
      </c>
    </row>
    <row r="542" spans="1:5" x14ac:dyDescent="0.2">
      <c r="A542">
        <v>1</v>
      </c>
      <c r="B542" t="s">
        <v>74</v>
      </c>
      <c r="C542">
        <v>2</v>
      </c>
      <c r="D542">
        <v>15</v>
      </c>
      <c r="E542" s="3">
        <f t="shared" si="7"/>
        <v>6</v>
      </c>
    </row>
    <row r="543" spans="1:5" x14ac:dyDescent="0.2">
      <c r="A543">
        <v>2</v>
      </c>
      <c r="B543" t="s">
        <v>50</v>
      </c>
      <c r="C543">
        <v>1</v>
      </c>
      <c r="D543">
        <v>11</v>
      </c>
      <c r="E543" s="3">
        <f t="shared" si="7"/>
        <v>6</v>
      </c>
    </row>
    <row r="544" spans="1:5" x14ac:dyDescent="0.2">
      <c r="A544">
        <v>3</v>
      </c>
      <c r="B544" t="s">
        <v>54</v>
      </c>
      <c r="C544">
        <v>1</v>
      </c>
      <c r="D544">
        <v>7</v>
      </c>
      <c r="E544" s="3">
        <f t="shared" ref="E544:E607" si="8">IF(A544=$A$1,E543+1,E543)</f>
        <v>6</v>
      </c>
    </row>
    <row r="545" spans="1:5" x14ac:dyDescent="0.2">
      <c r="A545">
        <v>4</v>
      </c>
      <c r="B545" t="s">
        <v>47</v>
      </c>
      <c r="C545">
        <v>0</v>
      </c>
      <c r="D545">
        <v>3</v>
      </c>
      <c r="E545" s="3">
        <f t="shared" si="8"/>
        <v>6</v>
      </c>
    </row>
    <row r="546" spans="1:5" x14ac:dyDescent="0.2">
      <c r="A546">
        <v>5</v>
      </c>
      <c r="B546" t="s">
        <v>15</v>
      </c>
      <c r="C546">
        <v>0</v>
      </c>
      <c r="D546">
        <v>1</v>
      </c>
      <c r="E546" s="3">
        <f t="shared" si="8"/>
        <v>6</v>
      </c>
    </row>
    <row r="547" spans="1:5" x14ac:dyDescent="0.2">
      <c r="A547">
        <v>6</v>
      </c>
      <c r="B547" s="2" t="s">
        <v>10</v>
      </c>
      <c r="C547" s="2" t="s">
        <v>10</v>
      </c>
      <c r="D547" s="2" t="s">
        <v>10</v>
      </c>
      <c r="E547" s="3">
        <f t="shared" si="8"/>
        <v>6</v>
      </c>
    </row>
    <row r="548" spans="1:5" x14ac:dyDescent="0.2">
      <c r="A548">
        <v>7</v>
      </c>
      <c r="B548" s="2" t="s">
        <v>10</v>
      </c>
      <c r="C548" s="2" t="s">
        <v>10</v>
      </c>
      <c r="D548" s="2" t="s">
        <v>10</v>
      </c>
      <c r="E548" s="3">
        <f t="shared" si="8"/>
        <v>6</v>
      </c>
    </row>
    <row r="549" spans="1:5" x14ac:dyDescent="0.2">
      <c r="A549">
        <v>8</v>
      </c>
      <c r="B549" s="2" t="s">
        <v>10</v>
      </c>
      <c r="C549" s="2" t="s">
        <v>10</v>
      </c>
      <c r="D549" s="2" t="s">
        <v>10</v>
      </c>
      <c r="E549" s="3">
        <f t="shared" si="8"/>
        <v>6</v>
      </c>
    </row>
    <row r="550" spans="1:5" x14ac:dyDescent="0.2">
      <c r="A550" s="1" t="s">
        <v>30</v>
      </c>
      <c r="E550" s="3">
        <f t="shared" si="8"/>
        <v>6</v>
      </c>
    </row>
    <row r="551" spans="1:5" x14ac:dyDescent="0.2">
      <c r="A551" s="1" t="s">
        <v>1</v>
      </c>
      <c r="B551" s="1" t="s">
        <v>2</v>
      </c>
      <c r="C551" s="1" t="s">
        <v>3</v>
      </c>
      <c r="D551" s="1" t="s">
        <v>4</v>
      </c>
      <c r="E551" s="3">
        <f t="shared" si="8"/>
        <v>6</v>
      </c>
    </row>
    <row r="552" spans="1:5" x14ac:dyDescent="0.2">
      <c r="A552">
        <v>1</v>
      </c>
      <c r="B552" t="s">
        <v>7</v>
      </c>
      <c r="C552">
        <v>2</v>
      </c>
      <c r="D552">
        <v>16</v>
      </c>
      <c r="E552" s="3">
        <f t="shared" si="8"/>
        <v>6</v>
      </c>
    </row>
    <row r="553" spans="1:5" x14ac:dyDescent="0.2">
      <c r="A553">
        <v>2</v>
      </c>
      <c r="B553" t="s">
        <v>18</v>
      </c>
      <c r="C553">
        <v>0</v>
      </c>
      <c r="D553">
        <v>12</v>
      </c>
      <c r="E553" s="3">
        <f t="shared" si="8"/>
        <v>6</v>
      </c>
    </row>
    <row r="554" spans="1:5" x14ac:dyDescent="0.2">
      <c r="A554">
        <v>3</v>
      </c>
      <c r="B554" t="s">
        <v>9</v>
      </c>
      <c r="C554">
        <v>3</v>
      </c>
      <c r="D554">
        <v>8</v>
      </c>
      <c r="E554" s="3">
        <f t="shared" si="8"/>
        <v>6</v>
      </c>
    </row>
    <row r="555" spans="1:5" x14ac:dyDescent="0.2">
      <c r="A555">
        <v>4</v>
      </c>
      <c r="B555" t="s">
        <v>63</v>
      </c>
      <c r="C555">
        <v>0</v>
      </c>
      <c r="D555">
        <v>4</v>
      </c>
      <c r="E555" s="3">
        <f t="shared" si="8"/>
        <v>6</v>
      </c>
    </row>
    <row r="556" spans="1:5" x14ac:dyDescent="0.2">
      <c r="A556">
        <v>5</v>
      </c>
      <c r="B556" t="s">
        <v>33</v>
      </c>
      <c r="C556">
        <v>0</v>
      </c>
      <c r="D556">
        <v>2</v>
      </c>
      <c r="E556" s="3">
        <f t="shared" si="8"/>
        <v>6</v>
      </c>
    </row>
    <row r="557" spans="1:5" x14ac:dyDescent="0.2">
      <c r="A557">
        <v>6</v>
      </c>
      <c r="B557" t="s">
        <v>19</v>
      </c>
      <c r="C557">
        <v>0</v>
      </c>
      <c r="D557">
        <v>1</v>
      </c>
      <c r="E557" s="3">
        <f t="shared" si="8"/>
        <v>6</v>
      </c>
    </row>
    <row r="558" spans="1:5" x14ac:dyDescent="0.2">
      <c r="A558">
        <v>7</v>
      </c>
      <c r="B558" s="2" t="s">
        <v>10</v>
      </c>
      <c r="C558" s="2" t="s">
        <v>10</v>
      </c>
      <c r="D558" s="2" t="s">
        <v>10</v>
      </c>
      <c r="E558" s="3">
        <f t="shared" si="8"/>
        <v>6</v>
      </c>
    </row>
    <row r="559" spans="1:5" x14ac:dyDescent="0.2">
      <c r="A559">
        <v>8</v>
      </c>
      <c r="B559" s="2" t="s">
        <v>10</v>
      </c>
      <c r="C559" s="2" t="s">
        <v>10</v>
      </c>
      <c r="D559" s="2" t="s">
        <v>10</v>
      </c>
      <c r="E559" s="3">
        <f t="shared" si="8"/>
        <v>6</v>
      </c>
    </row>
    <row r="560" spans="1:5" x14ac:dyDescent="0.2">
      <c r="A560" s="1" t="s">
        <v>37</v>
      </c>
      <c r="E560" s="3">
        <f t="shared" si="8"/>
        <v>6</v>
      </c>
    </row>
    <row r="561" spans="1:5" x14ac:dyDescent="0.2">
      <c r="A561" s="1" t="s">
        <v>1</v>
      </c>
      <c r="B561" s="1" t="s">
        <v>2</v>
      </c>
      <c r="C561" s="1" t="s">
        <v>3</v>
      </c>
      <c r="D561" s="1" t="s">
        <v>4</v>
      </c>
      <c r="E561" s="3">
        <f t="shared" si="8"/>
        <v>6</v>
      </c>
    </row>
    <row r="562" spans="1:5" x14ac:dyDescent="0.2">
      <c r="A562">
        <v>1</v>
      </c>
      <c r="B562" t="s">
        <v>61</v>
      </c>
      <c r="C562">
        <v>3</v>
      </c>
      <c r="D562">
        <v>15</v>
      </c>
      <c r="E562" s="3">
        <f t="shared" si="8"/>
        <v>6</v>
      </c>
    </row>
    <row r="563" spans="1:5" x14ac:dyDescent="0.2">
      <c r="A563">
        <v>2</v>
      </c>
      <c r="B563" t="s">
        <v>12</v>
      </c>
      <c r="C563">
        <v>1</v>
      </c>
      <c r="D563">
        <v>11</v>
      </c>
      <c r="E563" s="3">
        <f t="shared" si="8"/>
        <v>6</v>
      </c>
    </row>
    <row r="564" spans="1:5" x14ac:dyDescent="0.2">
      <c r="A564">
        <v>3</v>
      </c>
      <c r="B564" t="s">
        <v>25</v>
      </c>
      <c r="C564">
        <v>0</v>
      </c>
      <c r="D564">
        <v>7</v>
      </c>
      <c r="E564" s="3">
        <f t="shared" si="8"/>
        <v>6</v>
      </c>
    </row>
    <row r="565" spans="1:5" x14ac:dyDescent="0.2">
      <c r="A565">
        <v>4</v>
      </c>
      <c r="B565" t="s">
        <v>76</v>
      </c>
      <c r="C565">
        <v>0</v>
      </c>
      <c r="D565">
        <v>3</v>
      </c>
      <c r="E565" s="3">
        <f t="shared" si="8"/>
        <v>6</v>
      </c>
    </row>
    <row r="566" spans="1:5" x14ac:dyDescent="0.2">
      <c r="A566">
        <v>5</v>
      </c>
      <c r="B566" t="s">
        <v>88</v>
      </c>
      <c r="C566">
        <v>0</v>
      </c>
      <c r="D566">
        <v>1</v>
      </c>
      <c r="E566" s="3">
        <f t="shared" si="8"/>
        <v>6</v>
      </c>
    </row>
    <row r="567" spans="1:5" x14ac:dyDescent="0.2">
      <c r="A567">
        <v>6</v>
      </c>
      <c r="B567" s="2" t="s">
        <v>10</v>
      </c>
      <c r="C567" s="2" t="s">
        <v>10</v>
      </c>
      <c r="D567" s="2" t="s">
        <v>10</v>
      </c>
      <c r="E567" s="3">
        <f t="shared" si="8"/>
        <v>6</v>
      </c>
    </row>
    <row r="568" spans="1:5" x14ac:dyDescent="0.2">
      <c r="A568">
        <v>7</v>
      </c>
      <c r="B568" s="2" t="s">
        <v>10</v>
      </c>
      <c r="C568" s="2" t="s">
        <v>10</v>
      </c>
      <c r="D568" s="2" t="s">
        <v>10</v>
      </c>
      <c r="E568" s="3">
        <f t="shared" si="8"/>
        <v>6</v>
      </c>
    </row>
    <row r="569" spans="1:5" x14ac:dyDescent="0.2">
      <c r="A569">
        <v>8</v>
      </c>
      <c r="B569" s="2" t="s">
        <v>10</v>
      </c>
      <c r="C569" s="2" t="s">
        <v>10</v>
      </c>
      <c r="D569" s="2" t="s">
        <v>10</v>
      </c>
      <c r="E569" s="3">
        <f t="shared" si="8"/>
        <v>6</v>
      </c>
    </row>
    <row r="570" spans="1:5" x14ac:dyDescent="0.2">
      <c r="A570" s="1" t="s">
        <v>44</v>
      </c>
      <c r="E570" s="3">
        <f t="shared" si="8"/>
        <v>6</v>
      </c>
    </row>
    <row r="571" spans="1:5" x14ac:dyDescent="0.2">
      <c r="A571" s="1" t="s">
        <v>1</v>
      </c>
      <c r="B571" s="1" t="s">
        <v>2</v>
      </c>
      <c r="C571" s="1" t="s">
        <v>3</v>
      </c>
      <c r="D571" s="1" t="s">
        <v>4</v>
      </c>
      <c r="E571" s="3">
        <f t="shared" si="8"/>
        <v>6</v>
      </c>
    </row>
    <row r="572" spans="1:5" x14ac:dyDescent="0.2">
      <c r="A572">
        <v>1</v>
      </c>
      <c r="B572" t="s">
        <v>77</v>
      </c>
      <c r="C572">
        <v>3</v>
      </c>
      <c r="D572">
        <v>15</v>
      </c>
      <c r="E572" s="3">
        <f t="shared" si="8"/>
        <v>6</v>
      </c>
    </row>
    <row r="573" spans="1:5" x14ac:dyDescent="0.2">
      <c r="A573">
        <v>2</v>
      </c>
      <c r="B573" t="s">
        <v>55</v>
      </c>
      <c r="C573">
        <v>0</v>
      </c>
      <c r="D573">
        <v>11</v>
      </c>
      <c r="E573" s="3">
        <f t="shared" si="8"/>
        <v>6</v>
      </c>
    </row>
    <row r="574" spans="1:5" x14ac:dyDescent="0.2">
      <c r="A574">
        <v>3</v>
      </c>
      <c r="B574" t="s">
        <v>27</v>
      </c>
      <c r="C574">
        <v>1</v>
      </c>
      <c r="D574">
        <v>7</v>
      </c>
      <c r="E574" s="3">
        <f t="shared" si="8"/>
        <v>6</v>
      </c>
    </row>
    <row r="575" spans="1:5" x14ac:dyDescent="0.2">
      <c r="A575">
        <v>4</v>
      </c>
      <c r="B575" t="s">
        <v>21</v>
      </c>
      <c r="C575">
        <v>0</v>
      </c>
      <c r="D575">
        <v>3</v>
      </c>
      <c r="E575" s="3">
        <f t="shared" si="8"/>
        <v>6</v>
      </c>
    </row>
    <row r="576" spans="1:5" x14ac:dyDescent="0.2">
      <c r="A576">
        <v>5</v>
      </c>
      <c r="B576" t="s">
        <v>72</v>
      </c>
      <c r="C576">
        <v>0</v>
      </c>
      <c r="D576">
        <v>1</v>
      </c>
      <c r="E576" s="3">
        <f t="shared" si="8"/>
        <v>6</v>
      </c>
    </row>
    <row r="577" spans="1:5" x14ac:dyDescent="0.2">
      <c r="A577">
        <v>6</v>
      </c>
      <c r="B577" s="2" t="s">
        <v>10</v>
      </c>
      <c r="C577" s="2" t="s">
        <v>10</v>
      </c>
      <c r="D577" s="2" t="s">
        <v>10</v>
      </c>
      <c r="E577" s="3">
        <f t="shared" si="8"/>
        <v>6</v>
      </c>
    </row>
    <row r="578" spans="1:5" x14ac:dyDescent="0.2">
      <c r="A578">
        <v>7</v>
      </c>
      <c r="B578" s="2" t="s">
        <v>10</v>
      </c>
      <c r="C578" s="2" t="s">
        <v>10</v>
      </c>
      <c r="D578" s="2" t="s">
        <v>10</v>
      </c>
      <c r="E578" s="3">
        <f t="shared" si="8"/>
        <v>6</v>
      </c>
    </row>
    <row r="579" spans="1:5" x14ac:dyDescent="0.2">
      <c r="A579">
        <v>8</v>
      </c>
      <c r="B579" s="2" t="s">
        <v>10</v>
      </c>
      <c r="C579" s="2" t="s">
        <v>10</v>
      </c>
      <c r="D579" s="2" t="s">
        <v>10</v>
      </c>
      <c r="E579" s="3">
        <f t="shared" si="8"/>
        <v>6</v>
      </c>
    </row>
    <row r="580" spans="1:5" x14ac:dyDescent="0.2">
      <c r="A580" s="1" t="s">
        <v>51</v>
      </c>
      <c r="E580" s="3">
        <f t="shared" si="8"/>
        <v>6</v>
      </c>
    </row>
    <row r="581" spans="1:5" x14ac:dyDescent="0.2">
      <c r="A581" s="1" t="s">
        <v>1</v>
      </c>
      <c r="B581" s="1" t="s">
        <v>2</v>
      </c>
      <c r="C581" s="1" t="s">
        <v>3</v>
      </c>
      <c r="D581" s="1" t="s">
        <v>4</v>
      </c>
      <c r="E581" s="3">
        <f t="shared" si="8"/>
        <v>6</v>
      </c>
    </row>
    <row r="582" spans="1:5" x14ac:dyDescent="0.2">
      <c r="A582">
        <v>1</v>
      </c>
      <c r="B582" t="s">
        <v>52</v>
      </c>
      <c r="C582">
        <v>2</v>
      </c>
      <c r="D582">
        <v>15</v>
      </c>
      <c r="E582" s="3">
        <f t="shared" si="8"/>
        <v>6</v>
      </c>
    </row>
    <row r="583" spans="1:5" x14ac:dyDescent="0.2">
      <c r="A583">
        <v>2</v>
      </c>
      <c r="B583" t="s">
        <v>73</v>
      </c>
      <c r="C583">
        <v>0</v>
      </c>
      <c r="D583">
        <v>11</v>
      </c>
      <c r="E583" s="3">
        <f t="shared" si="8"/>
        <v>6</v>
      </c>
    </row>
    <row r="584" spans="1:5" x14ac:dyDescent="0.2">
      <c r="A584">
        <v>3</v>
      </c>
      <c r="B584" t="s">
        <v>42</v>
      </c>
      <c r="C584">
        <v>2</v>
      </c>
      <c r="D584">
        <v>7</v>
      </c>
      <c r="E584" s="3">
        <f t="shared" si="8"/>
        <v>6</v>
      </c>
    </row>
    <row r="585" spans="1:5" x14ac:dyDescent="0.2">
      <c r="A585">
        <v>4</v>
      </c>
      <c r="B585" t="s">
        <v>8</v>
      </c>
      <c r="C585">
        <v>0</v>
      </c>
      <c r="D585">
        <v>3</v>
      </c>
      <c r="E585" s="3">
        <f t="shared" si="8"/>
        <v>6</v>
      </c>
    </row>
    <row r="586" spans="1:5" x14ac:dyDescent="0.2">
      <c r="A586">
        <v>5</v>
      </c>
      <c r="B586" t="s">
        <v>94</v>
      </c>
      <c r="C586">
        <v>0</v>
      </c>
      <c r="D586">
        <v>1</v>
      </c>
      <c r="E586" s="3">
        <f t="shared" si="8"/>
        <v>6</v>
      </c>
    </row>
    <row r="587" spans="1:5" x14ac:dyDescent="0.2">
      <c r="A587">
        <v>6</v>
      </c>
      <c r="B587" s="2" t="s">
        <v>10</v>
      </c>
      <c r="C587" s="2" t="s">
        <v>10</v>
      </c>
      <c r="D587" s="2" t="s">
        <v>10</v>
      </c>
      <c r="E587" s="3">
        <f t="shared" si="8"/>
        <v>6</v>
      </c>
    </row>
    <row r="588" spans="1:5" x14ac:dyDescent="0.2">
      <c r="A588">
        <v>7</v>
      </c>
      <c r="B588" s="2" t="s">
        <v>10</v>
      </c>
      <c r="C588" s="2" t="s">
        <v>10</v>
      </c>
      <c r="D588" s="2" t="s">
        <v>10</v>
      </c>
      <c r="E588" s="3">
        <f t="shared" si="8"/>
        <v>6</v>
      </c>
    </row>
    <row r="589" spans="1:5" x14ac:dyDescent="0.2">
      <c r="A589">
        <v>8</v>
      </c>
      <c r="B589" s="2" t="s">
        <v>10</v>
      </c>
      <c r="C589" s="2" t="s">
        <v>10</v>
      </c>
      <c r="D589" s="2" t="s">
        <v>10</v>
      </c>
      <c r="E589" s="3">
        <f t="shared" si="8"/>
        <v>6</v>
      </c>
    </row>
    <row r="590" spans="1:5" x14ac:dyDescent="0.2">
      <c r="A590" s="1" t="s">
        <v>58</v>
      </c>
      <c r="E590" s="3">
        <f t="shared" si="8"/>
        <v>6</v>
      </c>
    </row>
    <row r="591" spans="1:5" x14ac:dyDescent="0.2">
      <c r="A591" s="1" t="s">
        <v>1</v>
      </c>
      <c r="B591" s="1" t="s">
        <v>2</v>
      </c>
      <c r="C591" s="1" t="s">
        <v>3</v>
      </c>
      <c r="D591" s="1" t="s">
        <v>4</v>
      </c>
      <c r="E591" s="3">
        <f t="shared" si="8"/>
        <v>6</v>
      </c>
    </row>
    <row r="592" spans="1:5" x14ac:dyDescent="0.2">
      <c r="A592">
        <v>1</v>
      </c>
      <c r="B592" t="s">
        <v>75</v>
      </c>
      <c r="C592">
        <v>3</v>
      </c>
      <c r="D592">
        <v>15</v>
      </c>
      <c r="E592" s="3">
        <f t="shared" si="8"/>
        <v>6</v>
      </c>
    </row>
    <row r="593" spans="1:5" x14ac:dyDescent="0.2">
      <c r="A593">
        <v>2</v>
      </c>
      <c r="B593" t="s">
        <v>60</v>
      </c>
      <c r="C593">
        <v>1</v>
      </c>
      <c r="D593">
        <v>11</v>
      </c>
      <c r="E593" s="3">
        <f t="shared" si="8"/>
        <v>6</v>
      </c>
    </row>
    <row r="594" spans="1:5" x14ac:dyDescent="0.2">
      <c r="A594">
        <v>3</v>
      </c>
      <c r="B594" t="s">
        <v>35</v>
      </c>
      <c r="C594">
        <v>0</v>
      </c>
      <c r="D594">
        <v>7</v>
      </c>
      <c r="E594" s="3">
        <f t="shared" si="8"/>
        <v>6</v>
      </c>
    </row>
    <row r="595" spans="1:5" x14ac:dyDescent="0.2">
      <c r="A595">
        <v>4</v>
      </c>
      <c r="B595" t="s">
        <v>46</v>
      </c>
      <c r="C595">
        <v>0</v>
      </c>
      <c r="D595">
        <v>3</v>
      </c>
      <c r="E595" s="3">
        <f t="shared" si="8"/>
        <v>6</v>
      </c>
    </row>
    <row r="596" spans="1:5" x14ac:dyDescent="0.2">
      <c r="A596">
        <v>5</v>
      </c>
      <c r="B596" t="s">
        <v>39</v>
      </c>
      <c r="C596">
        <v>0</v>
      </c>
      <c r="D596">
        <v>1</v>
      </c>
      <c r="E596" s="3">
        <f t="shared" si="8"/>
        <v>6</v>
      </c>
    </row>
    <row r="597" spans="1:5" x14ac:dyDescent="0.2">
      <c r="A597">
        <v>6</v>
      </c>
      <c r="B597" s="2" t="s">
        <v>10</v>
      </c>
      <c r="C597" s="2" t="s">
        <v>10</v>
      </c>
      <c r="D597" s="2" t="s">
        <v>10</v>
      </c>
      <c r="E597" s="3">
        <f t="shared" si="8"/>
        <v>6</v>
      </c>
    </row>
    <row r="598" spans="1:5" x14ac:dyDescent="0.2">
      <c r="A598">
        <v>7</v>
      </c>
      <c r="B598" s="2" t="s">
        <v>10</v>
      </c>
      <c r="C598" s="2" t="s">
        <v>10</v>
      </c>
      <c r="D598" s="2" t="s">
        <v>10</v>
      </c>
      <c r="E598" s="3">
        <f t="shared" si="8"/>
        <v>6</v>
      </c>
    </row>
    <row r="599" spans="1:5" x14ac:dyDescent="0.2">
      <c r="A599">
        <v>8</v>
      </c>
      <c r="B599" s="2" t="s">
        <v>10</v>
      </c>
      <c r="C599" s="2" t="s">
        <v>10</v>
      </c>
      <c r="D599" s="2" t="s">
        <v>10</v>
      </c>
      <c r="E599" s="3">
        <f t="shared" si="8"/>
        <v>6</v>
      </c>
    </row>
    <row r="600" spans="1:5" x14ac:dyDescent="0.2">
      <c r="A600" s="1" t="s">
        <v>0</v>
      </c>
      <c r="E600" s="3">
        <f t="shared" si="8"/>
        <v>7</v>
      </c>
    </row>
    <row r="601" spans="1:5" x14ac:dyDescent="0.2">
      <c r="A601" s="1" t="s">
        <v>1</v>
      </c>
      <c r="B601" s="1" t="s">
        <v>2</v>
      </c>
      <c r="C601" s="1" t="s">
        <v>3</v>
      </c>
      <c r="D601" s="1" t="s">
        <v>4</v>
      </c>
      <c r="E601" s="3">
        <f t="shared" si="8"/>
        <v>7</v>
      </c>
    </row>
    <row r="602" spans="1:5" x14ac:dyDescent="0.2">
      <c r="A602">
        <v>1</v>
      </c>
      <c r="B602" t="s">
        <v>41</v>
      </c>
      <c r="C602">
        <v>1</v>
      </c>
      <c r="D602">
        <v>16</v>
      </c>
      <c r="E602" s="3">
        <f t="shared" si="8"/>
        <v>7</v>
      </c>
    </row>
    <row r="603" spans="1:5" x14ac:dyDescent="0.2">
      <c r="A603">
        <v>2</v>
      </c>
      <c r="B603" t="s">
        <v>63</v>
      </c>
      <c r="C603">
        <v>2</v>
      </c>
      <c r="D603">
        <v>12</v>
      </c>
      <c r="E603" s="3">
        <f t="shared" si="8"/>
        <v>7</v>
      </c>
    </row>
    <row r="604" spans="1:5" x14ac:dyDescent="0.2">
      <c r="A604">
        <v>3</v>
      </c>
      <c r="B604" t="s">
        <v>18</v>
      </c>
      <c r="C604">
        <v>2</v>
      </c>
      <c r="D604">
        <v>8</v>
      </c>
      <c r="E604" s="3">
        <f t="shared" si="8"/>
        <v>7</v>
      </c>
    </row>
    <row r="605" spans="1:5" x14ac:dyDescent="0.2">
      <c r="A605">
        <v>4</v>
      </c>
      <c r="B605" t="s">
        <v>46</v>
      </c>
      <c r="C605">
        <v>0</v>
      </c>
      <c r="D605">
        <v>4</v>
      </c>
      <c r="E605" s="3">
        <f t="shared" si="8"/>
        <v>7</v>
      </c>
    </row>
    <row r="606" spans="1:5" x14ac:dyDescent="0.2">
      <c r="A606">
        <v>5</v>
      </c>
      <c r="B606" t="s">
        <v>66</v>
      </c>
      <c r="C606">
        <v>0</v>
      </c>
      <c r="D606">
        <v>2</v>
      </c>
      <c r="E606" s="3">
        <f t="shared" si="8"/>
        <v>7</v>
      </c>
    </row>
    <row r="607" spans="1:5" x14ac:dyDescent="0.2">
      <c r="A607">
        <v>6</v>
      </c>
      <c r="B607" t="s">
        <v>57</v>
      </c>
      <c r="C607">
        <v>0</v>
      </c>
      <c r="D607">
        <v>1</v>
      </c>
      <c r="E607" s="3">
        <f t="shared" si="8"/>
        <v>7</v>
      </c>
    </row>
    <row r="608" spans="1:5" x14ac:dyDescent="0.2">
      <c r="A608">
        <v>7</v>
      </c>
      <c r="B608" s="2" t="s">
        <v>10</v>
      </c>
      <c r="C608" s="2" t="s">
        <v>10</v>
      </c>
      <c r="D608" s="2" t="s">
        <v>10</v>
      </c>
      <c r="E608" s="3">
        <f t="shared" ref="E608:E671" si="9">IF(A608=$A$1,E607+1,E607)</f>
        <v>7</v>
      </c>
    </row>
    <row r="609" spans="1:5" x14ac:dyDescent="0.2">
      <c r="A609">
        <v>8</v>
      </c>
      <c r="B609" s="2" t="s">
        <v>10</v>
      </c>
      <c r="C609" s="2" t="s">
        <v>10</v>
      </c>
      <c r="D609" s="2" t="s">
        <v>10</v>
      </c>
      <c r="E609" s="3">
        <f t="shared" si="9"/>
        <v>7</v>
      </c>
    </row>
    <row r="610" spans="1:5" x14ac:dyDescent="0.2">
      <c r="A610" s="1" t="s">
        <v>11</v>
      </c>
      <c r="E610" s="3">
        <f t="shared" si="9"/>
        <v>7</v>
      </c>
    </row>
    <row r="611" spans="1:5" x14ac:dyDescent="0.2">
      <c r="A611" s="1" t="s">
        <v>1</v>
      </c>
      <c r="B611" s="1" t="s">
        <v>2</v>
      </c>
      <c r="C611" s="1" t="s">
        <v>3</v>
      </c>
      <c r="D611" s="1" t="s">
        <v>4</v>
      </c>
      <c r="E611" s="3">
        <f t="shared" si="9"/>
        <v>7</v>
      </c>
    </row>
    <row r="612" spans="1:5" x14ac:dyDescent="0.2">
      <c r="A612">
        <v>1</v>
      </c>
      <c r="B612" t="s">
        <v>32</v>
      </c>
      <c r="C612">
        <v>4</v>
      </c>
      <c r="D612">
        <v>16</v>
      </c>
      <c r="E612" s="3">
        <f t="shared" si="9"/>
        <v>7</v>
      </c>
    </row>
    <row r="613" spans="1:5" x14ac:dyDescent="0.2">
      <c r="A613">
        <v>2</v>
      </c>
      <c r="B613" t="s">
        <v>91</v>
      </c>
      <c r="C613">
        <v>1</v>
      </c>
      <c r="D613">
        <v>12</v>
      </c>
      <c r="E613" s="3">
        <f t="shared" si="9"/>
        <v>7</v>
      </c>
    </row>
    <row r="614" spans="1:5" x14ac:dyDescent="0.2">
      <c r="A614">
        <v>3</v>
      </c>
      <c r="B614" t="s">
        <v>74</v>
      </c>
      <c r="C614">
        <v>0</v>
      </c>
      <c r="D614">
        <v>8</v>
      </c>
      <c r="E614" s="3">
        <f t="shared" si="9"/>
        <v>7</v>
      </c>
    </row>
    <row r="615" spans="1:5" x14ac:dyDescent="0.2">
      <c r="A615">
        <v>4</v>
      </c>
      <c r="B615" t="s">
        <v>35</v>
      </c>
      <c r="C615">
        <v>0</v>
      </c>
      <c r="D615">
        <v>4</v>
      </c>
      <c r="E615" s="3">
        <f t="shared" si="9"/>
        <v>7</v>
      </c>
    </row>
    <row r="616" spans="1:5" x14ac:dyDescent="0.2">
      <c r="A616">
        <v>5</v>
      </c>
      <c r="B616" t="s">
        <v>69</v>
      </c>
      <c r="C616">
        <v>0</v>
      </c>
      <c r="D616">
        <v>2</v>
      </c>
      <c r="E616" s="3">
        <f t="shared" si="9"/>
        <v>7</v>
      </c>
    </row>
    <row r="617" spans="1:5" x14ac:dyDescent="0.2">
      <c r="A617">
        <v>6</v>
      </c>
      <c r="B617" t="s">
        <v>65</v>
      </c>
      <c r="C617">
        <v>0</v>
      </c>
      <c r="D617">
        <v>1</v>
      </c>
      <c r="E617" s="3">
        <f t="shared" si="9"/>
        <v>7</v>
      </c>
    </row>
    <row r="618" spans="1:5" x14ac:dyDescent="0.2">
      <c r="A618">
        <v>7</v>
      </c>
      <c r="B618" s="2" t="s">
        <v>10</v>
      </c>
      <c r="C618" s="2" t="s">
        <v>10</v>
      </c>
      <c r="D618" s="2" t="s">
        <v>10</v>
      </c>
      <c r="E618" s="3">
        <f t="shared" si="9"/>
        <v>7</v>
      </c>
    </row>
    <row r="619" spans="1:5" x14ac:dyDescent="0.2">
      <c r="A619">
        <v>8</v>
      </c>
      <c r="B619" s="2" t="s">
        <v>10</v>
      </c>
      <c r="C619" s="2" t="s">
        <v>10</v>
      </c>
      <c r="D619" s="2" t="s">
        <v>10</v>
      </c>
      <c r="E619" s="3">
        <f t="shared" si="9"/>
        <v>7</v>
      </c>
    </row>
    <row r="620" spans="1:5" x14ac:dyDescent="0.2">
      <c r="A620" s="1" t="s">
        <v>17</v>
      </c>
      <c r="E620" s="3">
        <f t="shared" si="9"/>
        <v>7</v>
      </c>
    </row>
    <row r="621" spans="1:5" x14ac:dyDescent="0.2">
      <c r="A621" s="1" t="s">
        <v>1</v>
      </c>
      <c r="B621" s="1" t="s">
        <v>2</v>
      </c>
      <c r="C621" s="1" t="s">
        <v>3</v>
      </c>
      <c r="D621" s="1" t="s">
        <v>4</v>
      </c>
      <c r="E621" s="3">
        <f t="shared" si="9"/>
        <v>7</v>
      </c>
    </row>
    <row r="622" spans="1:5" x14ac:dyDescent="0.2">
      <c r="A622">
        <v>1</v>
      </c>
      <c r="B622" t="s">
        <v>87</v>
      </c>
      <c r="C622">
        <v>1</v>
      </c>
      <c r="D622">
        <v>16</v>
      </c>
      <c r="E622" s="3">
        <f t="shared" si="9"/>
        <v>7</v>
      </c>
    </row>
    <row r="623" spans="1:5" x14ac:dyDescent="0.2">
      <c r="A623">
        <v>2</v>
      </c>
      <c r="B623" t="s">
        <v>98</v>
      </c>
      <c r="C623">
        <v>3</v>
      </c>
      <c r="D623">
        <v>12</v>
      </c>
      <c r="E623" s="3">
        <f t="shared" si="9"/>
        <v>7</v>
      </c>
    </row>
    <row r="624" spans="1:5" x14ac:dyDescent="0.2">
      <c r="A624">
        <v>3</v>
      </c>
      <c r="B624" t="s">
        <v>25</v>
      </c>
      <c r="C624">
        <v>1</v>
      </c>
      <c r="D624">
        <v>8</v>
      </c>
      <c r="E624" s="3">
        <f t="shared" si="9"/>
        <v>7</v>
      </c>
    </row>
    <row r="625" spans="1:5" x14ac:dyDescent="0.2">
      <c r="A625">
        <v>4</v>
      </c>
      <c r="B625" t="s">
        <v>42</v>
      </c>
      <c r="C625">
        <v>0</v>
      </c>
      <c r="D625">
        <v>4</v>
      </c>
      <c r="E625" s="3">
        <f t="shared" si="9"/>
        <v>7</v>
      </c>
    </row>
    <row r="626" spans="1:5" x14ac:dyDescent="0.2">
      <c r="A626">
        <v>5</v>
      </c>
      <c r="B626" t="s">
        <v>99</v>
      </c>
      <c r="C626">
        <v>0</v>
      </c>
      <c r="D626">
        <v>2</v>
      </c>
      <c r="E626" s="3">
        <f t="shared" si="9"/>
        <v>7</v>
      </c>
    </row>
    <row r="627" spans="1:5" x14ac:dyDescent="0.2">
      <c r="A627">
        <v>6</v>
      </c>
      <c r="B627" t="s">
        <v>53</v>
      </c>
      <c r="C627">
        <v>0</v>
      </c>
      <c r="D627">
        <v>1</v>
      </c>
      <c r="E627" s="3">
        <f t="shared" si="9"/>
        <v>7</v>
      </c>
    </row>
    <row r="628" spans="1:5" x14ac:dyDescent="0.2">
      <c r="A628">
        <v>7</v>
      </c>
      <c r="B628" s="2" t="s">
        <v>10</v>
      </c>
      <c r="C628" s="2" t="s">
        <v>10</v>
      </c>
      <c r="D628" s="2" t="s">
        <v>10</v>
      </c>
      <c r="E628" s="3">
        <f t="shared" si="9"/>
        <v>7</v>
      </c>
    </row>
    <row r="629" spans="1:5" x14ac:dyDescent="0.2">
      <c r="A629">
        <v>8</v>
      </c>
      <c r="B629" s="2" t="s">
        <v>10</v>
      </c>
      <c r="C629" s="2" t="s">
        <v>10</v>
      </c>
      <c r="D629" s="2" t="s">
        <v>10</v>
      </c>
      <c r="E629" s="3">
        <f t="shared" si="9"/>
        <v>7</v>
      </c>
    </row>
    <row r="630" spans="1:5" x14ac:dyDescent="0.2">
      <c r="A630" s="1" t="s">
        <v>24</v>
      </c>
      <c r="E630" s="3">
        <f t="shared" si="9"/>
        <v>7</v>
      </c>
    </row>
    <row r="631" spans="1:5" x14ac:dyDescent="0.2">
      <c r="A631" s="1" t="s">
        <v>1</v>
      </c>
      <c r="B631" s="1" t="s">
        <v>2</v>
      </c>
      <c r="C631" s="1" t="s">
        <v>3</v>
      </c>
      <c r="D631" s="1" t="s">
        <v>4</v>
      </c>
      <c r="E631" s="3">
        <f t="shared" si="9"/>
        <v>7</v>
      </c>
    </row>
    <row r="632" spans="1:5" x14ac:dyDescent="0.2">
      <c r="A632">
        <v>1</v>
      </c>
      <c r="B632" t="s">
        <v>26</v>
      </c>
      <c r="C632">
        <v>1</v>
      </c>
      <c r="D632">
        <v>16</v>
      </c>
      <c r="E632" s="3">
        <f t="shared" si="9"/>
        <v>7</v>
      </c>
    </row>
    <row r="633" spans="1:5" x14ac:dyDescent="0.2">
      <c r="A633">
        <v>2</v>
      </c>
      <c r="B633" t="s">
        <v>47</v>
      </c>
      <c r="C633">
        <v>1</v>
      </c>
      <c r="D633">
        <v>12</v>
      </c>
      <c r="E633" s="3">
        <f t="shared" si="9"/>
        <v>7</v>
      </c>
    </row>
    <row r="634" spans="1:5" x14ac:dyDescent="0.2">
      <c r="A634">
        <v>3</v>
      </c>
      <c r="B634" t="s">
        <v>16</v>
      </c>
      <c r="C634">
        <v>2</v>
      </c>
      <c r="D634">
        <v>8</v>
      </c>
      <c r="E634" s="3">
        <f t="shared" si="9"/>
        <v>7</v>
      </c>
    </row>
    <row r="635" spans="1:5" x14ac:dyDescent="0.2">
      <c r="A635">
        <v>4</v>
      </c>
      <c r="B635" t="s">
        <v>50</v>
      </c>
      <c r="C635">
        <v>1</v>
      </c>
      <c r="D635">
        <v>4</v>
      </c>
      <c r="E635" s="3">
        <f t="shared" si="9"/>
        <v>7</v>
      </c>
    </row>
    <row r="636" spans="1:5" x14ac:dyDescent="0.2">
      <c r="A636">
        <v>5</v>
      </c>
      <c r="B636" t="s">
        <v>14</v>
      </c>
      <c r="C636">
        <v>0</v>
      </c>
      <c r="D636">
        <v>2</v>
      </c>
      <c r="E636" s="3">
        <f t="shared" si="9"/>
        <v>7</v>
      </c>
    </row>
    <row r="637" spans="1:5" x14ac:dyDescent="0.2">
      <c r="A637">
        <v>6</v>
      </c>
      <c r="B637" t="s">
        <v>73</v>
      </c>
      <c r="C637">
        <v>0</v>
      </c>
      <c r="D637">
        <v>1</v>
      </c>
      <c r="E637" s="3">
        <f t="shared" si="9"/>
        <v>7</v>
      </c>
    </row>
    <row r="638" spans="1:5" x14ac:dyDescent="0.2">
      <c r="A638">
        <v>7</v>
      </c>
      <c r="B638" s="2" t="s">
        <v>10</v>
      </c>
      <c r="C638" s="2" t="s">
        <v>10</v>
      </c>
      <c r="D638" s="2" t="s">
        <v>10</v>
      </c>
      <c r="E638" s="3">
        <f t="shared" si="9"/>
        <v>7</v>
      </c>
    </row>
    <row r="639" spans="1:5" x14ac:dyDescent="0.2">
      <c r="A639">
        <v>8</v>
      </c>
      <c r="B639" s="2" t="s">
        <v>10</v>
      </c>
      <c r="C639" s="2" t="s">
        <v>10</v>
      </c>
      <c r="D639" s="2" t="s">
        <v>10</v>
      </c>
      <c r="E639" s="3">
        <f t="shared" si="9"/>
        <v>7</v>
      </c>
    </row>
    <row r="640" spans="1:5" x14ac:dyDescent="0.2">
      <c r="A640" s="1" t="s">
        <v>30</v>
      </c>
      <c r="E640" s="3">
        <f t="shared" si="9"/>
        <v>7</v>
      </c>
    </row>
    <row r="641" spans="1:5" x14ac:dyDescent="0.2">
      <c r="A641" s="1" t="s">
        <v>1</v>
      </c>
      <c r="B641" s="1" t="s">
        <v>2</v>
      </c>
      <c r="C641" s="1" t="s">
        <v>3</v>
      </c>
      <c r="D641" s="1" t="s">
        <v>4</v>
      </c>
      <c r="E641" s="3">
        <f t="shared" si="9"/>
        <v>7</v>
      </c>
    </row>
    <row r="642" spans="1:5" x14ac:dyDescent="0.2">
      <c r="A642">
        <v>1</v>
      </c>
      <c r="B642" t="s">
        <v>39</v>
      </c>
      <c r="C642">
        <v>3</v>
      </c>
      <c r="D642">
        <v>17</v>
      </c>
      <c r="E642" s="3">
        <f t="shared" si="9"/>
        <v>7</v>
      </c>
    </row>
    <row r="643" spans="1:5" x14ac:dyDescent="0.2">
      <c r="A643">
        <v>2</v>
      </c>
      <c r="B643" t="s">
        <v>96</v>
      </c>
      <c r="C643">
        <v>1</v>
      </c>
      <c r="D643">
        <v>13</v>
      </c>
      <c r="E643" s="3">
        <f t="shared" si="9"/>
        <v>7</v>
      </c>
    </row>
    <row r="644" spans="1:5" x14ac:dyDescent="0.2">
      <c r="A644">
        <v>3</v>
      </c>
      <c r="B644" t="s">
        <v>31</v>
      </c>
      <c r="C644">
        <v>1</v>
      </c>
      <c r="D644">
        <v>9</v>
      </c>
      <c r="E644" s="3">
        <f t="shared" si="9"/>
        <v>7</v>
      </c>
    </row>
    <row r="645" spans="1:5" x14ac:dyDescent="0.2">
      <c r="A645">
        <v>4</v>
      </c>
      <c r="B645" t="s">
        <v>94</v>
      </c>
      <c r="C645">
        <v>1</v>
      </c>
      <c r="D645">
        <v>5</v>
      </c>
      <c r="E645" s="3">
        <f t="shared" si="9"/>
        <v>7</v>
      </c>
    </row>
    <row r="646" spans="1:5" x14ac:dyDescent="0.2">
      <c r="A646">
        <v>5</v>
      </c>
      <c r="B646" t="s">
        <v>9</v>
      </c>
      <c r="C646">
        <v>0</v>
      </c>
      <c r="D646">
        <v>3</v>
      </c>
      <c r="E646" s="3">
        <f t="shared" si="9"/>
        <v>7</v>
      </c>
    </row>
    <row r="647" spans="1:5" x14ac:dyDescent="0.2">
      <c r="A647">
        <v>6</v>
      </c>
      <c r="B647" t="s">
        <v>23</v>
      </c>
      <c r="C647">
        <v>0</v>
      </c>
      <c r="D647">
        <v>2</v>
      </c>
      <c r="E647" s="3">
        <f t="shared" si="9"/>
        <v>7</v>
      </c>
    </row>
    <row r="648" spans="1:5" x14ac:dyDescent="0.2">
      <c r="A648">
        <v>7</v>
      </c>
      <c r="B648" t="s">
        <v>92</v>
      </c>
      <c r="C648">
        <v>0</v>
      </c>
      <c r="D648">
        <v>1</v>
      </c>
      <c r="E648" s="3">
        <f t="shared" si="9"/>
        <v>7</v>
      </c>
    </row>
    <row r="649" spans="1:5" x14ac:dyDescent="0.2">
      <c r="A649">
        <v>8</v>
      </c>
      <c r="B649" s="2" t="s">
        <v>10</v>
      </c>
      <c r="C649" s="2" t="s">
        <v>10</v>
      </c>
      <c r="D649" s="2" t="s">
        <v>10</v>
      </c>
      <c r="E649" s="3">
        <f t="shared" si="9"/>
        <v>7</v>
      </c>
    </row>
    <row r="650" spans="1:5" x14ac:dyDescent="0.2">
      <c r="A650" s="1" t="s">
        <v>37</v>
      </c>
      <c r="E650" s="3">
        <f t="shared" si="9"/>
        <v>7</v>
      </c>
    </row>
    <row r="651" spans="1:5" x14ac:dyDescent="0.2">
      <c r="A651" s="1" t="s">
        <v>1</v>
      </c>
      <c r="B651" s="1" t="s">
        <v>2</v>
      </c>
      <c r="C651" s="1" t="s">
        <v>3</v>
      </c>
      <c r="D651" s="1" t="s">
        <v>4</v>
      </c>
      <c r="E651" s="3">
        <f t="shared" si="9"/>
        <v>7</v>
      </c>
    </row>
    <row r="652" spans="1:5" x14ac:dyDescent="0.2">
      <c r="A652">
        <v>1</v>
      </c>
      <c r="B652" t="s">
        <v>7</v>
      </c>
      <c r="C652">
        <v>3</v>
      </c>
      <c r="D652">
        <v>16</v>
      </c>
      <c r="E652" s="3">
        <f t="shared" si="9"/>
        <v>7</v>
      </c>
    </row>
    <row r="653" spans="1:5" x14ac:dyDescent="0.2">
      <c r="A653">
        <v>2</v>
      </c>
      <c r="B653" t="s">
        <v>12</v>
      </c>
      <c r="C653">
        <v>2</v>
      </c>
      <c r="D653">
        <v>12</v>
      </c>
      <c r="E653" s="3">
        <f t="shared" si="9"/>
        <v>7</v>
      </c>
    </row>
    <row r="654" spans="1:5" x14ac:dyDescent="0.2">
      <c r="A654">
        <v>3</v>
      </c>
      <c r="B654" t="s">
        <v>27</v>
      </c>
      <c r="C654">
        <v>0</v>
      </c>
      <c r="D654">
        <v>8</v>
      </c>
      <c r="E654" s="3">
        <f t="shared" si="9"/>
        <v>7</v>
      </c>
    </row>
    <row r="655" spans="1:5" x14ac:dyDescent="0.2">
      <c r="A655">
        <v>4</v>
      </c>
      <c r="B655" t="s">
        <v>28</v>
      </c>
      <c r="C655">
        <v>0</v>
      </c>
      <c r="D655">
        <v>4</v>
      </c>
      <c r="E655" s="3">
        <f t="shared" si="9"/>
        <v>7</v>
      </c>
    </row>
    <row r="656" spans="1:5" x14ac:dyDescent="0.2">
      <c r="A656">
        <v>5</v>
      </c>
      <c r="B656" t="s">
        <v>15</v>
      </c>
      <c r="C656">
        <v>0</v>
      </c>
      <c r="D656">
        <v>2</v>
      </c>
      <c r="E656" s="3">
        <f t="shared" si="9"/>
        <v>7</v>
      </c>
    </row>
    <row r="657" spans="1:5" x14ac:dyDescent="0.2">
      <c r="A657">
        <v>6</v>
      </c>
      <c r="B657" t="s">
        <v>19</v>
      </c>
      <c r="C657">
        <v>0</v>
      </c>
      <c r="D657">
        <v>1</v>
      </c>
      <c r="E657" s="3">
        <f t="shared" si="9"/>
        <v>7</v>
      </c>
    </row>
    <row r="658" spans="1:5" x14ac:dyDescent="0.2">
      <c r="A658">
        <v>7</v>
      </c>
      <c r="B658" s="2" t="s">
        <v>10</v>
      </c>
      <c r="C658" s="2" t="s">
        <v>10</v>
      </c>
      <c r="D658" s="2" t="s">
        <v>10</v>
      </c>
      <c r="E658" s="3">
        <f t="shared" si="9"/>
        <v>7</v>
      </c>
    </row>
    <row r="659" spans="1:5" x14ac:dyDescent="0.2">
      <c r="A659">
        <v>8</v>
      </c>
      <c r="B659" s="2" t="s">
        <v>10</v>
      </c>
      <c r="C659" s="2" t="s">
        <v>10</v>
      </c>
      <c r="D659" s="2" t="s">
        <v>10</v>
      </c>
      <c r="E659" s="3">
        <f t="shared" si="9"/>
        <v>7</v>
      </c>
    </row>
    <row r="660" spans="1:5" x14ac:dyDescent="0.2">
      <c r="A660" s="1" t="s">
        <v>44</v>
      </c>
      <c r="E660" s="3">
        <f t="shared" si="9"/>
        <v>7</v>
      </c>
    </row>
    <row r="661" spans="1:5" x14ac:dyDescent="0.2">
      <c r="A661" s="1" t="s">
        <v>1</v>
      </c>
      <c r="B661" s="1" t="s">
        <v>2</v>
      </c>
      <c r="C661" s="1" t="s">
        <v>3</v>
      </c>
      <c r="D661" s="1" t="s">
        <v>4</v>
      </c>
      <c r="E661" s="3">
        <f t="shared" si="9"/>
        <v>7</v>
      </c>
    </row>
    <row r="662" spans="1:5" x14ac:dyDescent="0.2">
      <c r="A662">
        <v>1</v>
      </c>
      <c r="B662" t="s">
        <v>54</v>
      </c>
      <c r="C662">
        <v>3</v>
      </c>
      <c r="D662">
        <v>17</v>
      </c>
      <c r="E662" s="3">
        <f t="shared" si="9"/>
        <v>7</v>
      </c>
    </row>
    <row r="663" spans="1:5" x14ac:dyDescent="0.2">
      <c r="A663">
        <v>2</v>
      </c>
      <c r="B663" t="s">
        <v>45</v>
      </c>
      <c r="C663">
        <v>1</v>
      </c>
      <c r="D663">
        <v>13</v>
      </c>
      <c r="E663" s="3">
        <f t="shared" si="9"/>
        <v>7</v>
      </c>
    </row>
    <row r="664" spans="1:5" x14ac:dyDescent="0.2">
      <c r="A664">
        <v>3</v>
      </c>
      <c r="B664" t="s">
        <v>21</v>
      </c>
      <c r="C664">
        <v>1</v>
      </c>
      <c r="D664">
        <v>9</v>
      </c>
      <c r="E664" s="3">
        <f t="shared" si="9"/>
        <v>7</v>
      </c>
    </row>
    <row r="665" spans="1:5" x14ac:dyDescent="0.2">
      <c r="A665">
        <v>4</v>
      </c>
      <c r="B665" t="s">
        <v>61</v>
      </c>
      <c r="C665">
        <v>1</v>
      </c>
      <c r="D665">
        <v>5</v>
      </c>
      <c r="E665" s="3">
        <f t="shared" si="9"/>
        <v>7</v>
      </c>
    </row>
    <row r="666" spans="1:5" x14ac:dyDescent="0.2">
      <c r="A666">
        <v>5</v>
      </c>
      <c r="B666" t="s">
        <v>75</v>
      </c>
      <c r="C666">
        <v>0</v>
      </c>
      <c r="D666">
        <v>3</v>
      </c>
      <c r="E666" s="3">
        <f t="shared" si="9"/>
        <v>7</v>
      </c>
    </row>
    <row r="667" spans="1:5" x14ac:dyDescent="0.2">
      <c r="A667">
        <v>6</v>
      </c>
      <c r="B667" t="s">
        <v>6</v>
      </c>
      <c r="C667">
        <v>0</v>
      </c>
      <c r="D667">
        <v>2</v>
      </c>
      <c r="E667" s="3">
        <f t="shared" si="9"/>
        <v>7</v>
      </c>
    </row>
    <row r="668" spans="1:5" x14ac:dyDescent="0.2">
      <c r="A668">
        <v>7</v>
      </c>
      <c r="B668" t="s">
        <v>8</v>
      </c>
      <c r="C668">
        <v>0</v>
      </c>
      <c r="D668">
        <v>1</v>
      </c>
      <c r="E668" s="3">
        <f t="shared" si="9"/>
        <v>7</v>
      </c>
    </row>
    <row r="669" spans="1:5" x14ac:dyDescent="0.2">
      <c r="A669">
        <v>8</v>
      </c>
      <c r="B669" s="2" t="s">
        <v>10</v>
      </c>
      <c r="C669" s="2" t="s">
        <v>10</v>
      </c>
      <c r="D669" s="2" t="s">
        <v>10</v>
      </c>
      <c r="E669" s="3">
        <f t="shared" si="9"/>
        <v>7</v>
      </c>
    </row>
    <row r="670" spans="1:5" x14ac:dyDescent="0.2">
      <c r="A670" s="1" t="s">
        <v>51</v>
      </c>
      <c r="E670" s="3">
        <f t="shared" si="9"/>
        <v>7</v>
      </c>
    </row>
    <row r="671" spans="1:5" x14ac:dyDescent="0.2">
      <c r="A671" s="1" t="s">
        <v>1</v>
      </c>
      <c r="B671" s="1" t="s">
        <v>2</v>
      </c>
      <c r="C671" s="1" t="s">
        <v>3</v>
      </c>
      <c r="D671" s="1" t="s">
        <v>4</v>
      </c>
      <c r="E671" s="3">
        <f t="shared" si="9"/>
        <v>7</v>
      </c>
    </row>
    <row r="672" spans="1:5" x14ac:dyDescent="0.2">
      <c r="A672">
        <v>1</v>
      </c>
      <c r="B672" t="s">
        <v>76</v>
      </c>
      <c r="C672">
        <v>1</v>
      </c>
      <c r="D672">
        <v>17</v>
      </c>
      <c r="E672" s="3">
        <f t="shared" ref="E672:E735" si="10">IF(A672=$A$1,E671+1,E671)</f>
        <v>7</v>
      </c>
    </row>
    <row r="673" spans="1:5" x14ac:dyDescent="0.2">
      <c r="A673">
        <v>2</v>
      </c>
      <c r="B673" t="s">
        <v>55</v>
      </c>
      <c r="C673">
        <v>1</v>
      </c>
      <c r="D673">
        <v>13</v>
      </c>
      <c r="E673" s="3">
        <f t="shared" si="10"/>
        <v>7</v>
      </c>
    </row>
    <row r="674" spans="1:5" x14ac:dyDescent="0.2">
      <c r="A674">
        <v>3</v>
      </c>
      <c r="B674" t="s">
        <v>59</v>
      </c>
      <c r="C674">
        <v>1</v>
      </c>
      <c r="D674">
        <v>9</v>
      </c>
      <c r="E674" s="3">
        <f t="shared" si="10"/>
        <v>7</v>
      </c>
    </row>
    <row r="675" spans="1:5" x14ac:dyDescent="0.2">
      <c r="A675">
        <v>4</v>
      </c>
      <c r="B675" t="s">
        <v>48</v>
      </c>
      <c r="C675">
        <v>2</v>
      </c>
      <c r="D675">
        <v>5</v>
      </c>
      <c r="E675" s="3">
        <f t="shared" si="10"/>
        <v>7</v>
      </c>
    </row>
    <row r="676" spans="1:5" x14ac:dyDescent="0.2">
      <c r="A676">
        <v>5</v>
      </c>
      <c r="B676" t="s">
        <v>88</v>
      </c>
      <c r="C676">
        <v>0</v>
      </c>
      <c r="D676">
        <v>3</v>
      </c>
      <c r="E676" s="3">
        <f t="shared" si="10"/>
        <v>7</v>
      </c>
    </row>
    <row r="677" spans="1:5" x14ac:dyDescent="0.2">
      <c r="A677">
        <v>6</v>
      </c>
      <c r="B677" t="s">
        <v>52</v>
      </c>
      <c r="C677">
        <v>0</v>
      </c>
      <c r="D677">
        <v>2</v>
      </c>
      <c r="E677" s="3">
        <f t="shared" si="10"/>
        <v>7</v>
      </c>
    </row>
    <row r="678" spans="1:5" x14ac:dyDescent="0.2">
      <c r="A678">
        <v>7</v>
      </c>
      <c r="B678" t="s">
        <v>77</v>
      </c>
      <c r="C678">
        <v>0</v>
      </c>
      <c r="D678">
        <v>1</v>
      </c>
      <c r="E678" s="3">
        <f t="shared" si="10"/>
        <v>7</v>
      </c>
    </row>
    <row r="679" spans="1:5" x14ac:dyDescent="0.2">
      <c r="A679">
        <v>8</v>
      </c>
      <c r="B679" s="2" t="s">
        <v>10</v>
      </c>
      <c r="C679" s="2" t="s">
        <v>10</v>
      </c>
      <c r="D679" s="2" t="s">
        <v>10</v>
      </c>
      <c r="E679" s="3">
        <f t="shared" si="10"/>
        <v>7</v>
      </c>
    </row>
    <row r="680" spans="1:5" x14ac:dyDescent="0.2">
      <c r="A680" s="1" t="s">
        <v>0</v>
      </c>
      <c r="E680" s="3">
        <f t="shared" si="10"/>
        <v>8</v>
      </c>
    </row>
    <row r="681" spans="1:5" x14ac:dyDescent="0.2">
      <c r="A681" s="1" t="s">
        <v>1</v>
      </c>
      <c r="B681" s="1" t="s">
        <v>2</v>
      </c>
      <c r="C681" s="1" t="s">
        <v>3</v>
      </c>
      <c r="D681" s="1" t="s">
        <v>4</v>
      </c>
      <c r="E681" s="3">
        <f t="shared" si="10"/>
        <v>8</v>
      </c>
    </row>
    <row r="682" spans="1:5" x14ac:dyDescent="0.2">
      <c r="A682">
        <v>1</v>
      </c>
      <c r="B682" t="s">
        <v>5</v>
      </c>
      <c r="C682">
        <v>5</v>
      </c>
      <c r="D682">
        <v>16</v>
      </c>
      <c r="E682" s="3">
        <f t="shared" si="10"/>
        <v>8</v>
      </c>
    </row>
    <row r="683" spans="1:5" x14ac:dyDescent="0.2">
      <c r="A683">
        <v>2</v>
      </c>
      <c r="B683" t="s">
        <v>81</v>
      </c>
      <c r="C683">
        <v>0</v>
      </c>
      <c r="D683">
        <v>12</v>
      </c>
      <c r="E683" s="3">
        <f t="shared" si="10"/>
        <v>8</v>
      </c>
    </row>
    <row r="684" spans="1:5" x14ac:dyDescent="0.2">
      <c r="A684">
        <v>3</v>
      </c>
      <c r="B684" t="s">
        <v>87</v>
      </c>
      <c r="C684">
        <v>0</v>
      </c>
      <c r="D684">
        <v>8</v>
      </c>
      <c r="E684" s="3">
        <f t="shared" si="10"/>
        <v>8</v>
      </c>
    </row>
    <row r="685" spans="1:5" x14ac:dyDescent="0.2">
      <c r="A685">
        <v>4</v>
      </c>
      <c r="B685" t="s">
        <v>6</v>
      </c>
      <c r="C685">
        <v>0</v>
      </c>
      <c r="D685">
        <v>4</v>
      </c>
      <c r="E685" s="3">
        <f t="shared" si="10"/>
        <v>8</v>
      </c>
    </row>
    <row r="686" spans="1:5" x14ac:dyDescent="0.2">
      <c r="A686">
        <v>5</v>
      </c>
      <c r="B686" t="s">
        <v>65</v>
      </c>
      <c r="C686">
        <v>0</v>
      </c>
      <c r="D686">
        <v>2</v>
      </c>
      <c r="E686" s="3">
        <f t="shared" si="10"/>
        <v>8</v>
      </c>
    </row>
    <row r="687" spans="1:5" x14ac:dyDescent="0.2">
      <c r="A687">
        <v>6</v>
      </c>
      <c r="B687" t="s">
        <v>26</v>
      </c>
      <c r="C687">
        <v>0</v>
      </c>
      <c r="D687">
        <v>1</v>
      </c>
      <c r="E687" s="3">
        <f t="shared" si="10"/>
        <v>8</v>
      </c>
    </row>
    <row r="688" spans="1:5" x14ac:dyDescent="0.2">
      <c r="A688">
        <v>7</v>
      </c>
      <c r="B688" s="2" t="s">
        <v>10</v>
      </c>
      <c r="C688" s="2" t="s">
        <v>10</v>
      </c>
      <c r="D688" s="2" t="s">
        <v>10</v>
      </c>
      <c r="E688" s="3">
        <f t="shared" si="10"/>
        <v>8</v>
      </c>
    </row>
    <row r="689" spans="1:5" x14ac:dyDescent="0.2">
      <c r="A689">
        <v>8</v>
      </c>
      <c r="B689" s="2" t="s">
        <v>10</v>
      </c>
      <c r="C689" s="2" t="s">
        <v>10</v>
      </c>
      <c r="D689" s="2" t="s">
        <v>10</v>
      </c>
      <c r="E689" s="3">
        <f t="shared" si="10"/>
        <v>8</v>
      </c>
    </row>
    <row r="690" spans="1:5" x14ac:dyDescent="0.2">
      <c r="A690" s="1" t="s">
        <v>11</v>
      </c>
      <c r="E690" s="3">
        <f t="shared" si="10"/>
        <v>8</v>
      </c>
    </row>
    <row r="691" spans="1:5" x14ac:dyDescent="0.2">
      <c r="A691" s="1" t="s">
        <v>1</v>
      </c>
      <c r="B691" s="1" t="s">
        <v>2</v>
      </c>
      <c r="C691" s="1" t="s">
        <v>3</v>
      </c>
      <c r="D691" s="1" t="s">
        <v>4</v>
      </c>
      <c r="E691" s="3">
        <f t="shared" si="10"/>
        <v>8</v>
      </c>
    </row>
    <row r="692" spans="1:5" x14ac:dyDescent="0.2">
      <c r="A692">
        <v>1</v>
      </c>
      <c r="B692" t="s">
        <v>77</v>
      </c>
      <c r="C692">
        <v>5</v>
      </c>
      <c r="D692">
        <v>16</v>
      </c>
      <c r="E692" s="3">
        <f t="shared" si="10"/>
        <v>8</v>
      </c>
    </row>
    <row r="693" spans="1:5" x14ac:dyDescent="0.2">
      <c r="A693">
        <v>2</v>
      </c>
      <c r="B693" t="s">
        <v>57</v>
      </c>
      <c r="C693">
        <v>0</v>
      </c>
      <c r="D693">
        <v>12</v>
      </c>
      <c r="E693" s="3">
        <f t="shared" si="10"/>
        <v>8</v>
      </c>
    </row>
    <row r="694" spans="1:5" x14ac:dyDescent="0.2">
      <c r="A694">
        <v>3</v>
      </c>
      <c r="B694" t="s">
        <v>66</v>
      </c>
      <c r="C694">
        <v>0</v>
      </c>
      <c r="D694">
        <v>8</v>
      </c>
      <c r="E694" s="3">
        <f t="shared" si="10"/>
        <v>8</v>
      </c>
    </row>
    <row r="695" spans="1:5" x14ac:dyDescent="0.2">
      <c r="A695">
        <v>4</v>
      </c>
      <c r="B695" t="s">
        <v>19</v>
      </c>
      <c r="C695">
        <v>0</v>
      </c>
      <c r="D695">
        <v>4</v>
      </c>
      <c r="E695" s="3">
        <f t="shared" si="10"/>
        <v>8</v>
      </c>
    </row>
    <row r="696" spans="1:5" x14ac:dyDescent="0.2">
      <c r="A696">
        <v>5</v>
      </c>
      <c r="B696" t="s">
        <v>25</v>
      </c>
      <c r="C696">
        <v>0</v>
      </c>
      <c r="D696">
        <v>2</v>
      </c>
      <c r="E696" s="3">
        <f t="shared" si="10"/>
        <v>8</v>
      </c>
    </row>
    <row r="697" spans="1:5" x14ac:dyDescent="0.2">
      <c r="A697">
        <v>6</v>
      </c>
      <c r="B697" t="s">
        <v>21</v>
      </c>
      <c r="C697">
        <v>0</v>
      </c>
      <c r="D697">
        <v>1</v>
      </c>
      <c r="E697" s="3">
        <f t="shared" si="10"/>
        <v>8</v>
      </c>
    </row>
    <row r="698" spans="1:5" x14ac:dyDescent="0.2">
      <c r="A698">
        <v>7</v>
      </c>
      <c r="B698" s="2" t="s">
        <v>10</v>
      </c>
      <c r="C698" s="2" t="s">
        <v>10</v>
      </c>
      <c r="D698" s="2" t="s">
        <v>10</v>
      </c>
      <c r="E698" s="3">
        <f t="shared" si="10"/>
        <v>8</v>
      </c>
    </row>
    <row r="699" spans="1:5" x14ac:dyDescent="0.2">
      <c r="A699">
        <v>8</v>
      </c>
      <c r="B699" s="2" t="s">
        <v>10</v>
      </c>
      <c r="C699" s="2" t="s">
        <v>10</v>
      </c>
      <c r="D699" s="2" t="s">
        <v>10</v>
      </c>
      <c r="E699" s="3">
        <f t="shared" si="10"/>
        <v>8</v>
      </c>
    </row>
    <row r="700" spans="1:5" x14ac:dyDescent="0.2">
      <c r="A700" s="1" t="s">
        <v>17</v>
      </c>
      <c r="E700" s="3">
        <f t="shared" si="10"/>
        <v>8</v>
      </c>
    </row>
    <row r="701" spans="1:5" x14ac:dyDescent="0.2">
      <c r="A701" s="1" t="s">
        <v>1</v>
      </c>
      <c r="B701" s="1" t="s">
        <v>2</v>
      </c>
      <c r="C701" s="1" t="s">
        <v>3</v>
      </c>
      <c r="D701" s="1" t="s">
        <v>4</v>
      </c>
      <c r="E701" s="3">
        <f t="shared" si="10"/>
        <v>8</v>
      </c>
    </row>
    <row r="702" spans="1:5" x14ac:dyDescent="0.2">
      <c r="A702">
        <v>1</v>
      </c>
      <c r="B702" t="s">
        <v>94</v>
      </c>
      <c r="C702">
        <v>2</v>
      </c>
      <c r="D702">
        <v>16</v>
      </c>
      <c r="E702" s="3">
        <f t="shared" si="10"/>
        <v>8</v>
      </c>
    </row>
    <row r="703" spans="1:5" x14ac:dyDescent="0.2">
      <c r="A703">
        <v>2</v>
      </c>
      <c r="B703" t="s">
        <v>75</v>
      </c>
      <c r="C703">
        <v>1</v>
      </c>
      <c r="D703">
        <v>12</v>
      </c>
      <c r="E703" s="3">
        <f t="shared" si="10"/>
        <v>8</v>
      </c>
    </row>
    <row r="704" spans="1:5" x14ac:dyDescent="0.2">
      <c r="A704">
        <v>3</v>
      </c>
      <c r="B704" t="s">
        <v>28</v>
      </c>
      <c r="C704">
        <v>1</v>
      </c>
      <c r="D704">
        <v>8</v>
      </c>
      <c r="E704" s="3">
        <f t="shared" si="10"/>
        <v>8</v>
      </c>
    </row>
    <row r="705" spans="1:5" x14ac:dyDescent="0.2">
      <c r="A705">
        <v>4</v>
      </c>
      <c r="B705" t="s">
        <v>73</v>
      </c>
      <c r="C705">
        <v>1</v>
      </c>
      <c r="D705">
        <v>4</v>
      </c>
      <c r="E705" s="3">
        <f t="shared" si="10"/>
        <v>8</v>
      </c>
    </row>
    <row r="706" spans="1:5" x14ac:dyDescent="0.2">
      <c r="A706">
        <v>5</v>
      </c>
      <c r="B706" t="s">
        <v>29</v>
      </c>
      <c r="C706">
        <v>0</v>
      </c>
      <c r="D706">
        <v>2</v>
      </c>
      <c r="E706" s="3">
        <f t="shared" si="10"/>
        <v>8</v>
      </c>
    </row>
    <row r="707" spans="1:5" x14ac:dyDescent="0.2">
      <c r="A707">
        <v>6</v>
      </c>
      <c r="B707" t="s">
        <v>100</v>
      </c>
      <c r="C707">
        <v>0</v>
      </c>
      <c r="D707">
        <v>1</v>
      </c>
      <c r="E707" s="3">
        <f t="shared" si="10"/>
        <v>8</v>
      </c>
    </row>
    <row r="708" spans="1:5" x14ac:dyDescent="0.2">
      <c r="A708">
        <v>7</v>
      </c>
      <c r="B708" s="2" t="s">
        <v>10</v>
      </c>
      <c r="C708" s="2" t="s">
        <v>10</v>
      </c>
      <c r="D708" s="2" t="s">
        <v>10</v>
      </c>
      <c r="E708" s="3">
        <f t="shared" si="10"/>
        <v>8</v>
      </c>
    </row>
    <row r="709" spans="1:5" x14ac:dyDescent="0.2">
      <c r="A709">
        <v>8</v>
      </c>
      <c r="B709" s="2" t="s">
        <v>10</v>
      </c>
      <c r="C709" s="2" t="s">
        <v>10</v>
      </c>
      <c r="D709" s="2" t="s">
        <v>10</v>
      </c>
      <c r="E709" s="3">
        <f t="shared" si="10"/>
        <v>8</v>
      </c>
    </row>
    <row r="710" spans="1:5" x14ac:dyDescent="0.2">
      <c r="A710" s="1" t="s">
        <v>24</v>
      </c>
      <c r="E710" s="3">
        <f t="shared" si="10"/>
        <v>8</v>
      </c>
    </row>
    <row r="711" spans="1:5" x14ac:dyDescent="0.2">
      <c r="A711" s="1" t="s">
        <v>1</v>
      </c>
      <c r="B711" s="1" t="s">
        <v>2</v>
      </c>
      <c r="C711" s="1" t="s">
        <v>3</v>
      </c>
      <c r="D711" s="1" t="s">
        <v>4</v>
      </c>
      <c r="E711" s="3">
        <f t="shared" si="10"/>
        <v>8</v>
      </c>
    </row>
    <row r="712" spans="1:5" x14ac:dyDescent="0.2">
      <c r="A712">
        <v>1</v>
      </c>
      <c r="B712" t="s">
        <v>60</v>
      </c>
      <c r="C712">
        <v>2</v>
      </c>
      <c r="D712">
        <v>16</v>
      </c>
      <c r="E712" s="3">
        <f t="shared" si="10"/>
        <v>8</v>
      </c>
    </row>
    <row r="713" spans="1:5" x14ac:dyDescent="0.2">
      <c r="A713">
        <v>2</v>
      </c>
      <c r="B713" t="s">
        <v>55</v>
      </c>
      <c r="C713">
        <v>3</v>
      </c>
      <c r="D713">
        <v>12</v>
      </c>
      <c r="E713" s="3">
        <f t="shared" si="10"/>
        <v>8</v>
      </c>
    </row>
    <row r="714" spans="1:5" x14ac:dyDescent="0.2">
      <c r="A714">
        <v>3</v>
      </c>
      <c r="B714" t="s">
        <v>32</v>
      </c>
      <c r="C714">
        <v>0</v>
      </c>
      <c r="D714">
        <v>8</v>
      </c>
      <c r="E714" s="3">
        <f t="shared" si="10"/>
        <v>8</v>
      </c>
    </row>
    <row r="715" spans="1:5" x14ac:dyDescent="0.2">
      <c r="A715">
        <v>4</v>
      </c>
      <c r="B715" t="s">
        <v>14</v>
      </c>
      <c r="C715">
        <v>0</v>
      </c>
      <c r="D715">
        <v>4</v>
      </c>
      <c r="E715" s="3">
        <f t="shared" si="10"/>
        <v>8</v>
      </c>
    </row>
    <row r="716" spans="1:5" x14ac:dyDescent="0.2">
      <c r="A716">
        <v>5</v>
      </c>
      <c r="B716" t="s">
        <v>69</v>
      </c>
      <c r="C716">
        <v>0</v>
      </c>
      <c r="D716">
        <v>2</v>
      </c>
      <c r="E716" s="3">
        <f t="shared" si="10"/>
        <v>8</v>
      </c>
    </row>
    <row r="717" spans="1:5" x14ac:dyDescent="0.2">
      <c r="A717">
        <v>6</v>
      </c>
      <c r="B717" t="s">
        <v>47</v>
      </c>
      <c r="C717">
        <v>0</v>
      </c>
      <c r="D717">
        <v>1</v>
      </c>
      <c r="E717" s="3">
        <f t="shared" si="10"/>
        <v>8</v>
      </c>
    </row>
    <row r="718" spans="1:5" x14ac:dyDescent="0.2">
      <c r="A718">
        <v>7</v>
      </c>
      <c r="B718" s="2" t="s">
        <v>10</v>
      </c>
      <c r="C718" s="2" t="s">
        <v>10</v>
      </c>
      <c r="D718" s="2" t="s">
        <v>10</v>
      </c>
      <c r="E718" s="3">
        <f t="shared" si="10"/>
        <v>8</v>
      </c>
    </row>
    <row r="719" spans="1:5" x14ac:dyDescent="0.2">
      <c r="A719">
        <v>8</v>
      </c>
      <c r="B719" s="2" t="s">
        <v>10</v>
      </c>
      <c r="C719" s="2" t="s">
        <v>10</v>
      </c>
      <c r="D719" s="2" t="s">
        <v>10</v>
      </c>
      <c r="E719" s="3">
        <f t="shared" si="10"/>
        <v>8</v>
      </c>
    </row>
    <row r="720" spans="1:5" x14ac:dyDescent="0.2">
      <c r="A720" s="1" t="s">
        <v>30</v>
      </c>
      <c r="E720" s="3">
        <f t="shared" si="10"/>
        <v>8</v>
      </c>
    </row>
    <row r="721" spans="1:5" x14ac:dyDescent="0.2">
      <c r="A721" s="1" t="s">
        <v>1</v>
      </c>
      <c r="B721" s="1" t="s">
        <v>2</v>
      </c>
      <c r="C721" s="1" t="s">
        <v>3</v>
      </c>
      <c r="D721" s="1" t="s">
        <v>4</v>
      </c>
      <c r="E721" s="3">
        <f t="shared" si="10"/>
        <v>8</v>
      </c>
    </row>
    <row r="722" spans="1:5" x14ac:dyDescent="0.2">
      <c r="A722">
        <v>1</v>
      </c>
      <c r="B722" t="s">
        <v>23</v>
      </c>
      <c r="C722">
        <v>2</v>
      </c>
      <c r="D722">
        <v>16</v>
      </c>
      <c r="E722" s="3">
        <f t="shared" si="10"/>
        <v>8</v>
      </c>
    </row>
    <row r="723" spans="1:5" x14ac:dyDescent="0.2">
      <c r="A723">
        <v>2</v>
      </c>
      <c r="B723" t="s">
        <v>9</v>
      </c>
      <c r="C723">
        <v>1</v>
      </c>
      <c r="D723">
        <v>12</v>
      </c>
      <c r="E723" s="3">
        <f t="shared" si="10"/>
        <v>8</v>
      </c>
    </row>
    <row r="724" spans="1:5" x14ac:dyDescent="0.2">
      <c r="A724">
        <v>3</v>
      </c>
      <c r="B724" t="s">
        <v>48</v>
      </c>
      <c r="C724">
        <v>0</v>
      </c>
      <c r="D724">
        <v>8</v>
      </c>
      <c r="E724" s="3">
        <f t="shared" si="10"/>
        <v>8</v>
      </c>
    </row>
    <row r="725" spans="1:5" x14ac:dyDescent="0.2">
      <c r="A725">
        <v>4</v>
      </c>
      <c r="B725" t="s">
        <v>27</v>
      </c>
      <c r="C725">
        <v>2</v>
      </c>
      <c r="D725">
        <v>4</v>
      </c>
      <c r="E725" s="3">
        <f t="shared" si="10"/>
        <v>8</v>
      </c>
    </row>
    <row r="726" spans="1:5" x14ac:dyDescent="0.2">
      <c r="A726">
        <v>5</v>
      </c>
      <c r="B726" t="s">
        <v>53</v>
      </c>
      <c r="C726">
        <v>0</v>
      </c>
      <c r="D726">
        <v>2</v>
      </c>
      <c r="E726" s="3">
        <f t="shared" si="10"/>
        <v>8</v>
      </c>
    </row>
    <row r="727" spans="1:5" x14ac:dyDescent="0.2">
      <c r="A727">
        <v>6</v>
      </c>
      <c r="B727" t="s">
        <v>31</v>
      </c>
      <c r="C727">
        <v>0</v>
      </c>
      <c r="D727">
        <v>1</v>
      </c>
      <c r="E727" s="3">
        <f t="shared" si="10"/>
        <v>8</v>
      </c>
    </row>
    <row r="728" spans="1:5" x14ac:dyDescent="0.2">
      <c r="A728">
        <v>7</v>
      </c>
      <c r="B728" s="2" t="s">
        <v>10</v>
      </c>
      <c r="C728" s="2" t="s">
        <v>10</v>
      </c>
      <c r="D728" s="2" t="s">
        <v>10</v>
      </c>
      <c r="E728" s="3">
        <f t="shared" si="10"/>
        <v>8</v>
      </c>
    </row>
    <row r="729" spans="1:5" x14ac:dyDescent="0.2">
      <c r="A729">
        <v>8</v>
      </c>
      <c r="B729" s="2" t="s">
        <v>10</v>
      </c>
      <c r="C729" s="2" t="s">
        <v>10</v>
      </c>
      <c r="D729" s="2" t="s">
        <v>10</v>
      </c>
      <c r="E729" s="3">
        <f t="shared" si="10"/>
        <v>8</v>
      </c>
    </row>
    <row r="730" spans="1:5" x14ac:dyDescent="0.2">
      <c r="A730" s="1" t="s">
        <v>37</v>
      </c>
      <c r="E730" s="3">
        <f t="shared" si="10"/>
        <v>8</v>
      </c>
    </row>
    <row r="731" spans="1:5" x14ac:dyDescent="0.2">
      <c r="A731" s="1" t="s">
        <v>1</v>
      </c>
      <c r="B731" s="1" t="s">
        <v>2</v>
      </c>
      <c r="C731" s="1" t="s">
        <v>3</v>
      </c>
      <c r="D731" s="1" t="s">
        <v>4</v>
      </c>
      <c r="E731" s="3">
        <f t="shared" si="10"/>
        <v>8</v>
      </c>
    </row>
    <row r="732" spans="1:5" x14ac:dyDescent="0.2">
      <c r="A732">
        <v>1</v>
      </c>
      <c r="B732" t="s">
        <v>52</v>
      </c>
      <c r="C732">
        <v>4</v>
      </c>
      <c r="D732">
        <v>16</v>
      </c>
      <c r="E732" s="3">
        <f t="shared" si="10"/>
        <v>8</v>
      </c>
    </row>
    <row r="733" spans="1:5" x14ac:dyDescent="0.2">
      <c r="A733">
        <v>2</v>
      </c>
      <c r="B733" t="s">
        <v>63</v>
      </c>
      <c r="C733">
        <v>1</v>
      </c>
      <c r="D733">
        <v>12</v>
      </c>
      <c r="E733" s="3">
        <f t="shared" si="10"/>
        <v>8</v>
      </c>
    </row>
    <row r="734" spans="1:5" x14ac:dyDescent="0.2">
      <c r="A734">
        <v>3</v>
      </c>
      <c r="B734" t="s">
        <v>15</v>
      </c>
      <c r="C734">
        <v>0</v>
      </c>
      <c r="D734">
        <v>8</v>
      </c>
      <c r="E734" s="3">
        <f t="shared" si="10"/>
        <v>8</v>
      </c>
    </row>
    <row r="735" spans="1:5" x14ac:dyDescent="0.2">
      <c r="A735">
        <v>4</v>
      </c>
      <c r="B735" t="s">
        <v>18</v>
      </c>
      <c r="C735">
        <v>0</v>
      </c>
      <c r="D735">
        <v>4</v>
      </c>
      <c r="E735" s="3">
        <f t="shared" si="10"/>
        <v>8</v>
      </c>
    </row>
    <row r="736" spans="1:5" x14ac:dyDescent="0.2">
      <c r="A736">
        <v>5</v>
      </c>
      <c r="B736" t="s">
        <v>76</v>
      </c>
      <c r="C736">
        <v>0</v>
      </c>
      <c r="D736">
        <v>2</v>
      </c>
      <c r="E736" s="3">
        <f t="shared" ref="E736:E799" si="11">IF(A736=$A$1,E735+1,E735)</f>
        <v>8</v>
      </c>
    </row>
    <row r="737" spans="1:5" x14ac:dyDescent="0.2">
      <c r="A737">
        <v>6</v>
      </c>
      <c r="B737" t="s">
        <v>40</v>
      </c>
      <c r="C737">
        <v>0</v>
      </c>
      <c r="D737">
        <v>1</v>
      </c>
      <c r="E737" s="3">
        <f t="shared" si="11"/>
        <v>8</v>
      </c>
    </row>
    <row r="738" spans="1:5" x14ac:dyDescent="0.2">
      <c r="A738">
        <v>7</v>
      </c>
      <c r="B738" s="2" t="s">
        <v>10</v>
      </c>
      <c r="C738" s="2" t="s">
        <v>10</v>
      </c>
      <c r="D738" s="2" t="s">
        <v>10</v>
      </c>
      <c r="E738" s="3">
        <f t="shared" si="11"/>
        <v>8</v>
      </c>
    </row>
    <row r="739" spans="1:5" x14ac:dyDescent="0.2">
      <c r="A739">
        <v>8</v>
      </c>
      <c r="B739" s="2" t="s">
        <v>10</v>
      </c>
      <c r="C739" s="2" t="s">
        <v>10</v>
      </c>
      <c r="D739" s="2" t="s">
        <v>10</v>
      </c>
      <c r="E739" s="3">
        <f t="shared" si="11"/>
        <v>8</v>
      </c>
    </row>
    <row r="740" spans="1:5" x14ac:dyDescent="0.2">
      <c r="A740" s="1" t="s">
        <v>44</v>
      </c>
      <c r="E740" s="3">
        <f t="shared" si="11"/>
        <v>8</v>
      </c>
    </row>
    <row r="741" spans="1:5" x14ac:dyDescent="0.2">
      <c r="A741" s="1" t="s">
        <v>1</v>
      </c>
      <c r="B741" s="1" t="s">
        <v>2</v>
      </c>
      <c r="C741" s="1" t="s">
        <v>3</v>
      </c>
      <c r="D741" s="1" t="s">
        <v>4</v>
      </c>
      <c r="E741" s="3">
        <f t="shared" si="11"/>
        <v>8</v>
      </c>
    </row>
    <row r="742" spans="1:5" x14ac:dyDescent="0.2">
      <c r="A742">
        <v>1</v>
      </c>
      <c r="B742" t="s">
        <v>39</v>
      </c>
      <c r="C742">
        <v>2</v>
      </c>
      <c r="D742">
        <v>15</v>
      </c>
      <c r="E742" s="3">
        <f t="shared" si="11"/>
        <v>8</v>
      </c>
    </row>
    <row r="743" spans="1:5" x14ac:dyDescent="0.2">
      <c r="A743">
        <v>2</v>
      </c>
      <c r="B743" t="s">
        <v>54</v>
      </c>
      <c r="C743">
        <v>1</v>
      </c>
      <c r="D743">
        <v>11</v>
      </c>
      <c r="E743" s="3">
        <f t="shared" si="11"/>
        <v>8</v>
      </c>
    </row>
    <row r="744" spans="1:5" x14ac:dyDescent="0.2">
      <c r="A744">
        <v>3</v>
      </c>
      <c r="B744" t="s">
        <v>61</v>
      </c>
      <c r="C744">
        <v>1</v>
      </c>
      <c r="D744">
        <v>7</v>
      </c>
      <c r="E744" s="3">
        <f t="shared" si="11"/>
        <v>8</v>
      </c>
    </row>
    <row r="745" spans="1:5" x14ac:dyDescent="0.2">
      <c r="A745">
        <v>4</v>
      </c>
      <c r="B745" t="s">
        <v>35</v>
      </c>
      <c r="C745">
        <v>0</v>
      </c>
      <c r="D745">
        <v>3</v>
      </c>
      <c r="E745" s="3">
        <f t="shared" si="11"/>
        <v>8</v>
      </c>
    </row>
    <row r="746" spans="1:5" x14ac:dyDescent="0.2">
      <c r="A746">
        <v>5</v>
      </c>
      <c r="B746" t="s">
        <v>74</v>
      </c>
      <c r="C746">
        <v>0</v>
      </c>
      <c r="D746">
        <v>1</v>
      </c>
      <c r="E746" s="3">
        <f t="shared" si="11"/>
        <v>8</v>
      </c>
    </row>
    <row r="747" spans="1:5" x14ac:dyDescent="0.2">
      <c r="A747">
        <v>6</v>
      </c>
      <c r="B747" s="2" t="s">
        <v>10</v>
      </c>
      <c r="C747" s="2" t="s">
        <v>10</v>
      </c>
      <c r="D747" s="2" t="s">
        <v>10</v>
      </c>
      <c r="E747" s="3">
        <f t="shared" si="11"/>
        <v>8</v>
      </c>
    </row>
    <row r="748" spans="1:5" x14ac:dyDescent="0.2">
      <c r="A748">
        <v>7</v>
      </c>
      <c r="B748" s="2" t="s">
        <v>10</v>
      </c>
      <c r="C748" s="2" t="s">
        <v>10</v>
      </c>
      <c r="D748" s="2" t="s">
        <v>10</v>
      </c>
      <c r="E748" s="3">
        <f t="shared" si="11"/>
        <v>8</v>
      </c>
    </row>
    <row r="749" spans="1:5" x14ac:dyDescent="0.2">
      <c r="A749">
        <v>8</v>
      </c>
      <c r="B749" s="2" t="s">
        <v>10</v>
      </c>
      <c r="C749" s="2" t="s">
        <v>10</v>
      </c>
      <c r="D749" s="2" t="s">
        <v>10</v>
      </c>
      <c r="E749" s="3">
        <f t="shared" si="11"/>
        <v>8</v>
      </c>
    </row>
    <row r="750" spans="1:5" x14ac:dyDescent="0.2">
      <c r="A750" s="1" t="s">
        <v>51</v>
      </c>
      <c r="E750" s="3">
        <f t="shared" si="11"/>
        <v>8</v>
      </c>
    </row>
    <row r="751" spans="1:5" x14ac:dyDescent="0.2">
      <c r="A751" s="1" t="s">
        <v>1</v>
      </c>
      <c r="B751" s="1" t="s">
        <v>2</v>
      </c>
      <c r="C751" s="1" t="s">
        <v>3</v>
      </c>
      <c r="D751" s="1" t="s">
        <v>4</v>
      </c>
      <c r="E751" s="3">
        <f t="shared" si="11"/>
        <v>8</v>
      </c>
    </row>
    <row r="752" spans="1:5" x14ac:dyDescent="0.2">
      <c r="A752">
        <v>1</v>
      </c>
      <c r="B752" t="s">
        <v>42</v>
      </c>
      <c r="C752">
        <v>4</v>
      </c>
      <c r="D752">
        <v>16</v>
      </c>
      <c r="E752" s="3">
        <f t="shared" si="11"/>
        <v>8</v>
      </c>
    </row>
    <row r="753" spans="1:5" x14ac:dyDescent="0.2">
      <c r="A753">
        <v>2</v>
      </c>
      <c r="B753" t="s">
        <v>68</v>
      </c>
      <c r="C753">
        <v>1</v>
      </c>
      <c r="D753">
        <v>12</v>
      </c>
      <c r="E753" s="3">
        <f t="shared" si="11"/>
        <v>8</v>
      </c>
    </row>
    <row r="754" spans="1:5" x14ac:dyDescent="0.2">
      <c r="A754">
        <v>3</v>
      </c>
      <c r="B754" t="s">
        <v>50</v>
      </c>
      <c r="C754">
        <v>0</v>
      </c>
      <c r="D754">
        <v>8</v>
      </c>
      <c r="E754" s="3">
        <f t="shared" si="11"/>
        <v>8</v>
      </c>
    </row>
    <row r="755" spans="1:5" x14ac:dyDescent="0.2">
      <c r="A755">
        <v>4</v>
      </c>
      <c r="B755" t="s">
        <v>46</v>
      </c>
      <c r="C755">
        <v>0</v>
      </c>
      <c r="D755">
        <v>4</v>
      </c>
      <c r="E755" s="3">
        <f t="shared" si="11"/>
        <v>8</v>
      </c>
    </row>
    <row r="756" spans="1:5" x14ac:dyDescent="0.2">
      <c r="A756">
        <v>5</v>
      </c>
      <c r="B756" t="s">
        <v>45</v>
      </c>
      <c r="C756">
        <v>0</v>
      </c>
      <c r="D756">
        <v>2</v>
      </c>
      <c r="E756" s="3">
        <f t="shared" si="11"/>
        <v>8</v>
      </c>
    </row>
    <row r="757" spans="1:5" x14ac:dyDescent="0.2">
      <c r="A757">
        <v>6</v>
      </c>
      <c r="B757" t="s">
        <v>67</v>
      </c>
      <c r="C757">
        <v>0</v>
      </c>
      <c r="D757">
        <v>1</v>
      </c>
      <c r="E757" s="3">
        <f t="shared" si="11"/>
        <v>8</v>
      </c>
    </row>
    <row r="758" spans="1:5" x14ac:dyDescent="0.2">
      <c r="A758">
        <v>7</v>
      </c>
      <c r="B758" s="2" t="s">
        <v>10</v>
      </c>
      <c r="C758" s="2" t="s">
        <v>10</v>
      </c>
      <c r="D758" s="2" t="s">
        <v>10</v>
      </c>
      <c r="E758" s="3">
        <f t="shared" si="11"/>
        <v>8</v>
      </c>
    </row>
    <row r="759" spans="1:5" x14ac:dyDescent="0.2">
      <c r="A759">
        <v>8</v>
      </c>
      <c r="B759" s="2" t="s">
        <v>10</v>
      </c>
      <c r="C759" s="2" t="s">
        <v>10</v>
      </c>
      <c r="D759" s="2" t="s">
        <v>10</v>
      </c>
      <c r="E759" s="3">
        <f t="shared" si="11"/>
        <v>8</v>
      </c>
    </row>
    <row r="760" spans="1:5" x14ac:dyDescent="0.2">
      <c r="A760" s="1" t="s">
        <v>0</v>
      </c>
      <c r="E760" s="3">
        <f t="shared" si="11"/>
        <v>9</v>
      </c>
    </row>
    <row r="761" spans="1:5" x14ac:dyDescent="0.2">
      <c r="A761" s="1" t="s">
        <v>1</v>
      </c>
      <c r="B761" s="1" t="s">
        <v>2</v>
      </c>
      <c r="C761" s="1" t="s">
        <v>3</v>
      </c>
      <c r="D761" s="1" t="s">
        <v>4</v>
      </c>
      <c r="E761" s="3">
        <f t="shared" si="11"/>
        <v>9</v>
      </c>
    </row>
    <row r="762" spans="1:5" x14ac:dyDescent="0.2">
      <c r="A762">
        <v>1</v>
      </c>
      <c r="B762" t="s">
        <v>54</v>
      </c>
      <c r="C762">
        <v>2</v>
      </c>
      <c r="D762">
        <v>16</v>
      </c>
      <c r="E762" s="3">
        <f t="shared" si="11"/>
        <v>9</v>
      </c>
    </row>
    <row r="763" spans="1:5" x14ac:dyDescent="0.2">
      <c r="A763">
        <v>2</v>
      </c>
      <c r="B763" t="s">
        <v>46</v>
      </c>
      <c r="C763">
        <v>2</v>
      </c>
      <c r="D763">
        <v>12</v>
      </c>
      <c r="E763" s="3">
        <f t="shared" si="11"/>
        <v>9</v>
      </c>
    </row>
    <row r="764" spans="1:5" x14ac:dyDescent="0.2">
      <c r="A764">
        <v>3</v>
      </c>
      <c r="B764" t="s">
        <v>42</v>
      </c>
      <c r="C764">
        <v>1</v>
      </c>
      <c r="D764">
        <v>8</v>
      </c>
      <c r="E764" s="3">
        <f t="shared" si="11"/>
        <v>9</v>
      </c>
    </row>
    <row r="765" spans="1:5" x14ac:dyDescent="0.2">
      <c r="A765">
        <v>4</v>
      </c>
      <c r="B765" t="s">
        <v>41</v>
      </c>
      <c r="C765">
        <v>0</v>
      </c>
      <c r="D765">
        <v>4</v>
      </c>
      <c r="E765" s="3">
        <f t="shared" si="11"/>
        <v>9</v>
      </c>
    </row>
    <row r="766" spans="1:5" x14ac:dyDescent="0.2">
      <c r="A766">
        <v>5</v>
      </c>
      <c r="B766" t="s">
        <v>23</v>
      </c>
      <c r="C766">
        <v>0</v>
      </c>
      <c r="D766">
        <v>2</v>
      </c>
      <c r="E766" s="3">
        <f t="shared" si="11"/>
        <v>9</v>
      </c>
    </row>
    <row r="767" spans="1:5" x14ac:dyDescent="0.2">
      <c r="A767">
        <v>6</v>
      </c>
      <c r="B767" t="s">
        <v>97</v>
      </c>
      <c r="C767">
        <v>0</v>
      </c>
      <c r="D767">
        <v>1</v>
      </c>
      <c r="E767" s="3">
        <f t="shared" si="11"/>
        <v>9</v>
      </c>
    </row>
    <row r="768" spans="1:5" x14ac:dyDescent="0.2">
      <c r="A768">
        <v>7</v>
      </c>
      <c r="B768" s="2" t="s">
        <v>10</v>
      </c>
      <c r="C768" s="2" t="s">
        <v>10</v>
      </c>
      <c r="D768" s="2" t="s">
        <v>10</v>
      </c>
      <c r="E768" s="3">
        <f t="shared" si="11"/>
        <v>9</v>
      </c>
    </row>
    <row r="769" spans="1:5" x14ac:dyDescent="0.2">
      <c r="A769">
        <v>8</v>
      </c>
      <c r="B769" s="2" t="s">
        <v>10</v>
      </c>
      <c r="C769" s="2" t="s">
        <v>10</v>
      </c>
      <c r="D769" s="2" t="s">
        <v>10</v>
      </c>
      <c r="E769" s="3">
        <f t="shared" si="11"/>
        <v>9</v>
      </c>
    </row>
    <row r="770" spans="1:5" x14ac:dyDescent="0.2">
      <c r="A770" s="1" t="s">
        <v>11</v>
      </c>
      <c r="E770" s="3">
        <f t="shared" si="11"/>
        <v>9</v>
      </c>
    </row>
    <row r="771" spans="1:5" x14ac:dyDescent="0.2">
      <c r="A771" s="1" t="s">
        <v>1</v>
      </c>
      <c r="B771" s="1" t="s">
        <v>2</v>
      </c>
      <c r="C771" s="1" t="s">
        <v>3</v>
      </c>
      <c r="D771" s="1" t="s">
        <v>4</v>
      </c>
      <c r="E771" s="3">
        <f t="shared" si="11"/>
        <v>9</v>
      </c>
    </row>
    <row r="772" spans="1:5" x14ac:dyDescent="0.2">
      <c r="A772">
        <v>1</v>
      </c>
      <c r="B772" t="s">
        <v>27</v>
      </c>
      <c r="C772">
        <v>3</v>
      </c>
      <c r="D772">
        <v>15</v>
      </c>
      <c r="E772" s="3">
        <f t="shared" si="11"/>
        <v>9</v>
      </c>
    </row>
    <row r="773" spans="1:5" x14ac:dyDescent="0.2">
      <c r="A773">
        <v>2</v>
      </c>
      <c r="B773" t="s">
        <v>68</v>
      </c>
      <c r="C773">
        <v>1</v>
      </c>
      <c r="D773">
        <v>11</v>
      </c>
      <c r="E773" s="3">
        <f t="shared" si="11"/>
        <v>9</v>
      </c>
    </row>
    <row r="774" spans="1:5" x14ac:dyDescent="0.2">
      <c r="A774">
        <v>3</v>
      </c>
      <c r="B774" t="s">
        <v>50</v>
      </c>
      <c r="C774">
        <v>0</v>
      </c>
      <c r="D774">
        <v>7</v>
      </c>
      <c r="E774" s="3">
        <f t="shared" si="11"/>
        <v>9</v>
      </c>
    </row>
    <row r="775" spans="1:5" x14ac:dyDescent="0.2">
      <c r="A775">
        <v>4</v>
      </c>
      <c r="B775" t="s">
        <v>75</v>
      </c>
      <c r="C775">
        <v>0</v>
      </c>
      <c r="D775">
        <v>3</v>
      </c>
      <c r="E775" s="3">
        <f t="shared" si="11"/>
        <v>9</v>
      </c>
    </row>
    <row r="776" spans="1:5" x14ac:dyDescent="0.2">
      <c r="A776">
        <v>5</v>
      </c>
      <c r="B776" t="s">
        <v>55</v>
      </c>
      <c r="C776">
        <v>0</v>
      </c>
      <c r="D776">
        <v>1</v>
      </c>
      <c r="E776" s="3">
        <f t="shared" si="11"/>
        <v>9</v>
      </c>
    </row>
    <row r="777" spans="1:5" x14ac:dyDescent="0.2">
      <c r="A777">
        <v>6</v>
      </c>
      <c r="B777" s="2" t="s">
        <v>10</v>
      </c>
      <c r="C777" s="2" t="s">
        <v>10</v>
      </c>
      <c r="D777" s="2" t="s">
        <v>10</v>
      </c>
      <c r="E777" s="3">
        <f t="shared" si="11"/>
        <v>9</v>
      </c>
    </row>
    <row r="778" spans="1:5" x14ac:dyDescent="0.2">
      <c r="A778">
        <v>7</v>
      </c>
      <c r="B778" s="2" t="s">
        <v>10</v>
      </c>
      <c r="C778" s="2" t="s">
        <v>10</v>
      </c>
      <c r="D778" s="2" t="s">
        <v>10</v>
      </c>
      <c r="E778" s="3">
        <f t="shared" si="11"/>
        <v>9</v>
      </c>
    </row>
    <row r="779" spans="1:5" x14ac:dyDescent="0.2">
      <c r="A779">
        <v>8</v>
      </c>
      <c r="B779" s="2" t="s">
        <v>10</v>
      </c>
      <c r="C779" s="2" t="s">
        <v>10</v>
      </c>
      <c r="D779" s="2" t="s">
        <v>10</v>
      </c>
      <c r="E779" s="3">
        <f t="shared" si="11"/>
        <v>9</v>
      </c>
    </row>
    <row r="780" spans="1:5" x14ac:dyDescent="0.2">
      <c r="A780" s="1" t="s">
        <v>17</v>
      </c>
      <c r="E780" s="3">
        <f t="shared" si="11"/>
        <v>9</v>
      </c>
    </row>
    <row r="781" spans="1:5" x14ac:dyDescent="0.2">
      <c r="A781" s="1" t="s">
        <v>1</v>
      </c>
      <c r="B781" s="1" t="s">
        <v>2</v>
      </c>
      <c r="C781" s="1" t="s">
        <v>3</v>
      </c>
      <c r="D781" s="1" t="s">
        <v>4</v>
      </c>
      <c r="E781" s="3">
        <f t="shared" si="11"/>
        <v>9</v>
      </c>
    </row>
    <row r="782" spans="1:5" x14ac:dyDescent="0.2">
      <c r="A782">
        <v>1</v>
      </c>
      <c r="B782" t="s">
        <v>8</v>
      </c>
      <c r="C782">
        <v>3</v>
      </c>
      <c r="D782">
        <v>15</v>
      </c>
      <c r="E782" s="3">
        <f t="shared" si="11"/>
        <v>9</v>
      </c>
    </row>
    <row r="783" spans="1:5" x14ac:dyDescent="0.2">
      <c r="A783">
        <v>2</v>
      </c>
      <c r="B783" t="s">
        <v>14</v>
      </c>
      <c r="C783">
        <v>0</v>
      </c>
      <c r="D783">
        <v>11</v>
      </c>
      <c r="E783" s="3">
        <f t="shared" si="11"/>
        <v>9</v>
      </c>
    </row>
    <row r="784" spans="1:5" x14ac:dyDescent="0.2">
      <c r="A784">
        <v>3</v>
      </c>
      <c r="B784" t="s">
        <v>28</v>
      </c>
      <c r="C784">
        <v>0</v>
      </c>
      <c r="D784">
        <v>7</v>
      </c>
      <c r="E784" s="3">
        <f t="shared" si="11"/>
        <v>9</v>
      </c>
    </row>
    <row r="785" spans="1:5" x14ac:dyDescent="0.2">
      <c r="A785">
        <v>4</v>
      </c>
      <c r="B785" t="s">
        <v>69</v>
      </c>
      <c r="C785">
        <v>1</v>
      </c>
      <c r="D785">
        <v>3</v>
      </c>
      <c r="E785" s="3">
        <f t="shared" si="11"/>
        <v>9</v>
      </c>
    </row>
    <row r="786" spans="1:5" x14ac:dyDescent="0.2">
      <c r="A786">
        <v>5</v>
      </c>
      <c r="B786" t="s">
        <v>26</v>
      </c>
      <c r="C786">
        <v>0</v>
      </c>
      <c r="D786">
        <v>1</v>
      </c>
      <c r="E786" s="3">
        <f t="shared" si="11"/>
        <v>9</v>
      </c>
    </row>
    <row r="787" spans="1:5" x14ac:dyDescent="0.2">
      <c r="A787">
        <v>6</v>
      </c>
      <c r="B787" s="2" t="s">
        <v>10</v>
      </c>
      <c r="C787" s="2" t="s">
        <v>10</v>
      </c>
      <c r="D787" s="2" t="s">
        <v>10</v>
      </c>
      <c r="E787" s="3">
        <f t="shared" si="11"/>
        <v>9</v>
      </c>
    </row>
    <row r="788" spans="1:5" x14ac:dyDescent="0.2">
      <c r="A788">
        <v>7</v>
      </c>
      <c r="B788" s="2" t="s">
        <v>10</v>
      </c>
      <c r="C788" s="2" t="s">
        <v>10</v>
      </c>
      <c r="D788" s="2" t="s">
        <v>10</v>
      </c>
      <c r="E788" s="3">
        <f t="shared" si="11"/>
        <v>9</v>
      </c>
    </row>
    <row r="789" spans="1:5" x14ac:dyDescent="0.2">
      <c r="A789">
        <v>8</v>
      </c>
      <c r="B789" s="2" t="s">
        <v>10</v>
      </c>
      <c r="C789" s="2" t="s">
        <v>10</v>
      </c>
      <c r="D789" s="2" t="s">
        <v>10</v>
      </c>
      <c r="E789" s="3">
        <f t="shared" si="11"/>
        <v>9</v>
      </c>
    </row>
    <row r="790" spans="1:5" x14ac:dyDescent="0.2">
      <c r="A790" s="1" t="s">
        <v>24</v>
      </c>
      <c r="E790" s="3">
        <f t="shared" si="11"/>
        <v>9</v>
      </c>
    </row>
    <row r="791" spans="1:5" x14ac:dyDescent="0.2">
      <c r="A791" s="1" t="s">
        <v>1</v>
      </c>
      <c r="B791" s="1" t="s">
        <v>2</v>
      </c>
      <c r="C791" s="1" t="s">
        <v>3</v>
      </c>
      <c r="D791" s="1" t="s">
        <v>4</v>
      </c>
      <c r="E791" s="3">
        <f t="shared" si="11"/>
        <v>9</v>
      </c>
    </row>
    <row r="792" spans="1:5" x14ac:dyDescent="0.2">
      <c r="A792">
        <v>1</v>
      </c>
      <c r="B792" t="s">
        <v>52</v>
      </c>
      <c r="C792">
        <v>2</v>
      </c>
      <c r="D792">
        <v>15</v>
      </c>
      <c r="E792" s="3">
        <f t="shared" si="11"/>
        <v>9</v>
      </c>
    </row>
    <row r="793" spans="1:5" x14ac:dyDescent="0.2">
      <c r="A793">
        <v>2</v>
      </c>
      <c r="B793" t="s">
        <v>22</v>
      </c>
      <c r="C793">
        <v>2</v>
      </c>
      <c r="D793">
        <v>11</v>
      </c>
      <c r="E793" s="3">
        <f t="shared" si="11"/>
        <v>9</v>
      </c>
    </row>
    <row r="794" spans="1:5" x14ac:dyDescent="0.2">
      <c r="A794">
        <v>3</v>
      </c>
      <c r="B794" t="s">
        <v>32</v>
      </c>
      <c r="C794">
        <v>0</v>
      </c>
      <c r="D794">
        <v>7</v>
      </c>
      <c r="E794" s="3">
        <f t="shared" si="11"/>
        <v>9</v>
      </c>
    </row>
    <row r="795" spans="1:5" x14ac:dyDescent="0.2">
      <c r="A795">
        <v>4</v>
      </c>
      <c r="B795" t="s">
        <v>35</v>
      </c>
      <c r="C795">
        <v>0</v>
      </c>
      <c r="D795">
        <v>3</v>
      </c>
      <c r="E795" s="3">
        <f t="shared" si="11"/>
        <v>9</v>
      </c>
    </row>
    <row r="796" spans="1:5" x14ac:dyDescent="0.2">
      <c r="A796">
        <v>5</v>
      </c>
      <c r="B796" t="s">
        <v>65</v>
      </c>
      <c r="C796">
        <v>0</v>
      </c>
      <c r="D796">
        <v>1</v>
      </c>
      <c r="E796" s="3">
        <f t="shared" si="11"/>
        <v>9</v>
      </c>
    </row>
    <row r="797" spans="1:5" x14ac:dyDescent="0.2">
      <c r="A797">
        <v>6</v>
      </c>
      <c r="B797" s="2" t="s">
        <v>10</v>
      </c>
      <c r="C797" s="2" t="s">
        <v>10</v>
      </c>
      <c r="D797" s="2" t="s">
        <v>10</v>
      </c>
      <c r="E797" s="3">
        <f t="shared" si="11"/>
        <v>9</v>
      </c>
    </row>
    <row r="798" spans="1:5" x14ac:dyDescent="0.2">
      <c r="A798">
        <v>7</v>
      </c>
      <c r="B798" s="2" t="s">
        <v>10</v>
      </c>
      <c r="C798" s="2" t="s">
        <v>10</v>
      </c>
      <c r="D798" s="2" t="s">
        <v>10</v>
      </c>
      <c r="E798" s="3">
        <f t="shared" si="11"/>
        <v>9</v>
      </c>
    </row>
    <row r="799" spans="1:5" x14ac:dyDescent="0.2">
      <c r="A799">
        <v>8</v>
      </c>
      <c r="B799" s="2" t="s">
        <v>10</v>
      </c>
      <c r="C799" s="2" t="s">
        <v>10</v>
      </c>
      <c r="D799" s="2" t="s">
        <v>10</v>
      </c>
      <c r="E799" s="3">
        <f t="shared" si="11"/>
        <v>9</v>
      </c>
    </row>
    <row r="800" spans="1:5" x14ac:dyDescent="0.2">
      <c r="A800" s="1" t="s">
        <v>30</v>
      </c>
      <c r="E800" s="3">
        <f t="shared" ref="E800:E863" si="12">IF(A800=$A$1,E799+1,E799)</f>
        <v>9</v>
      </c>
    </row>
    <row r="801" spans="1:5" x14ac:dyDescent="0.2">
      <c r="A801" s="1" t="s">
        <v>1</v>
      </c>
      <c r="B801" s="1" t="s">
        <v>2</v>
      </c>
      <c r="C801" s="1" t="s">
        <v>3</v>
      </c>
      <c r="D801" s="1" t="s">
        <v>4</v>
      </c>
      <c r="E801" s="3">
        <f t="shared" si="12"/>
        <v>9</v>
      </c>
    </row>
    <row r="802" spans="1:5" x14ac:dyDescent="0.2">
      <c r="A802">
        <v>1</v>
      </c>
      <c r="B802" t="s">
        <v>6</v>
      </c>
      <c r="C802">
        <v>2</v>
      </c>
      <c r="D802">
        <v>16</v>
      </c>
      <c r="E802" s="3">
        <f t="shared" si="12"/>
        <v>9</v>
      </c>
    </row>
    <row r="803" spans="1:5" x14ac:dyDescent="0.2">
      <c r="A803">
        <v>2</v>
      </c>
      <c r="B803" t="s">
        <v>74</v>
      </c>
      <c r="C803">
        <v>2</v>
      </c>
      <c r="D803">
        <v>12</v>
      </c>
      <c r="E803" s="3">
        <f t="shared" si="12"/>
        <v>9</v>
      </c>
    </row>
    <row r="804" spans="1:5" x14ac:dyDescent="0.2">
      <c r="A804">
        <v>3</v>
      </c>
      <c r="B804" t="s">
        <v>88</v>
      </c>
      <c r="C804">
        <v>1</v>
      </c>
      <c r="D804">
        <v>8</v>
      </c>
      <c r="E804" s="3">
        <f t="shared" si="12"/>
        <v>9</v>
      </c>
    </row>
    <row r="805" spans="1:5" x14ac:dyDescent="0.2">
      <c r="A805">
        <v>4</v>
      </c>
      <c r="B805" t="s">
        <v>61</v>
      </c>
      <c r="C805">
        <v>0</v>
      </c>
      <c r="D805">
        <v>4</v>
      </c>
      <c r="E805" s="3">
        <f t="shared" si="12"/>
        <v>9</v>
      </c>
    </row>
    <row r="806" spans="1:5" x14ac:dyDescent="0.2">
      <c r="A806">
        <v>5</v>
      </c>
      <c r="B806" t="s">
        <v>39</v>
      </c>
      <c r="C806">
        <v>0</v>
      </c>
      <c r="D806">
        <v>2</v>
      </c>
      <c r="E806" s="3">
        <f t="shared" si="12"/>
        <v>9</v>
      </c>
    </row>
    <row r="807" spans="1:5" x14ac:dyDescent="0.2">
      <c r="A807">
        <v>6</v>
      </c>
      <c r="B807" t="s">
        <v>33</v>
      </c>
      <c r="C807">
        <v>0</v>
      </c>
      <c r="D807">
        <v>1</v>
      </c>
      <c r="E807" s="3">
        <f t="shared" si="12"/>
        <v>9</v>
      </c>
    </row>
    <row r="808" spans="1:5" x14ac:dyDescent="0.2">
      <c r="A808">
        <v>7</v>
      </c>
      <c r="B808" s="2" t="s">
        <v>10</v>
      </c>
      <c r="C808" s="2" t="s">
        <v>10</v>
      </c>
      <c r="D808" s="2" t="s">
        <v>10</v>
      </c>
      <c r="E808" s="3">
        <f t="shared" si="12"/>
        <v>9</v>
      </c>
    </row>
    <row r="809" spans="1:5" x14ac:dyDescent="0.2">
      <c r="A809">
        <v>8</v>
      </c>
      <c r="B809" s="2" t="s">
        <v>10</v>
      </c>
      <c r="C809" s="2" t="s">
        <v>10</v>
      </c>
      <c r="D809" s="2" t="s">
        <v>10</v>
      </c>
      <c r="E809" s="3">
        <f t="shared" si="12"/>
        <v>9</v>
      </c>
    </row>
    <row r="810" spans="1:5" x14ac:dyDescent="0.2">
      <c r="A810" s="1" t="s">
        <v>37</v>
      </c>
      <c r="E810" s="3">
        <f t="shared" si="12"/>
        <v>9</v>
      </c>
    </row>
    <row r="811" spans="1:5" x14ac:dyDescent="0.2">
      <c r="A811" s="1" t="s">
        <v>1</v>
      </c>
      <c r="B811" s="1" t="s">
        <v>2</v>
      </c>
      <c r="C811" s="1" t="s">
        <v>3</v>
      </c>
      <c r="D811" s="1" t="s">
        <v>4</v>
      </c>
      <c r="E811" s="3">
        <f t="shared" si="12"/>
        <v>9</v>
      </c>
    </row>
    <row r="812" spans="1:5" x14ac:dyDescent="0.2">
      <c r="A812">
        <v>1</v>
      </c>
      <c r="B812" t="s">
        <v>53</v>
      </c>
      <c r="C812">
        <v>4</v>
      </c>
      <c r="D812">
        <v>16</v>
      </c>
      <c r="E812" s="3">
        <f t="shared" si="12"/>
        <v>9</v>
      </c>
    </row>
    <row r="813" spans="1:5" x14ac:dyDescent="0.2">
      <c r="A813">
        <v>2</v>
      </c>
      <c r="B813" t="s">
        <v>25</v>
      </c>
      <c r="C813">
        <v>1</v>
      </c>
      <c r="D813">
        <v>12</v>
      </c>
      <c r="E813" s="3">
        <f t="shared" si="12"/>
        <v>9</v>
      </c>
    </row>
    <row r="814" spans="1:5" x14ac:dyDescent="0.2">
      <c r="A814">
        <v>3</v>
      </c>
      <c r="B814" t="s">
        <v>63</v>
      </c>
      <c r="C814">
        <v>0</v>
      </c>
      <c r="D814">
        <v>8</v>
      </c>
      <c r="E814" s="3">
        <f t="shared" si="12"/>
        <v>9</v>
      </c>
    </row>
    <row r="815" spans="1:5" x14ac:dyDescent="0.2">
      <c r="A815">
        <v>4</v>
      </c>
      <c r="B815" t="s">
        <v>18</v>
      </c>
      <c r="C815">
        <v>0</v>
      </c>
      <c r="D815">
        <v>4</v>
      </c>
      <c r="E815" s="3">
        <f t="shared" si="12"/>
        <v>9</v>
      </c>
    </row>
    <row r="816" spans="1:5" x14ac:dyDescent="0.2">
      <c r="A816">
        <v>5</v>
      </c>
      <c r="B816" t="s">
        <v>31</v>
      </c>
      <c r="C816">
        <v>0</v>
      </c>
      <c r="D816">
        <v>2</v>
      </c>
      <c r="E816" s="3">
        <f t="shared" si="12"/>
        <v>9</v>
      </c>
    </row>
    <row r="817" spans="1:5" x14ac:dyDescent="0.2">
      <c r="A817">
        <v>6</v>
      </c>
      <c r="B817" t="s">
        <v>45</v>
      </c>
      <c r="C817">
        <v>0</v>
      </c>
      <c r="D817">
        <v>1</v>
      </c>
      <c r="E817" s="3">
        <f t="shared" si="12"/>
        <v>9</v>
      </c>
    </row>
    <row r="818" spans="1:5" x14ac:dyDescent="0.2">
      <c r="A818">
        <v>7</v>
      </c>
      <c r="B818" s="2" t="s">
        <v>10</v>
      </c>
      <c r="C818" s="2" t="s">
        <v>10</v>
      </c>
      <c r="D818" s="2" t="s">
        <v>10</v>
      </c>
      <c r="E818" s="3">
        <f t="shared" si="12"/>
        <v>9</v>
      </c>
    </row>
    <row r="819" spans="1:5" x14ac:dyDescent="0.2">
      <c r="A819">
        <v>8</v>
      </c>
      <c r="B819" s="2" t="s">
        <v>10</v>
      </c>
      <c r="C819" s="2" t="s">
        <v>10</v>
      </c>
      <c r="D819" s="2" t="s">
        <v>10</v>
      </c>
      <c r="E819" s="3">
        <f t="shared" si="12"/>
        <v>9</v>
      </c>
    </row>
    <row r="820" spans="1:5" x14ac:dyDescent="0.2">
      <c r="A820" s="1" t="s">
        <v>44</v>
      </c>
      <c r="E820" s="3">
        <f t="shared" si="12"/>
        <v>9</v>
      </c>
    </row>
    <row r="821" spans="1:5" x14ac:dyDescent="0.2">
      <c r="A821" s="1" t="s">
        <v>1</v>
      </c>
      <c r="B821" s="1" t="s">
        <v>2</v>
      </c>
      <c r="C821" s="1" t="s">
        <v>3</v>
      </c>
      <c r="D821" s="1" t="s">
        <v>4</v>
      </c>
      <c r="E821" s="3">
        <f t="shared" si="12"/>
        <v>9</v>
      </c>
    </row>
    <row r="822" spans="1:5" x14ac:dyDescent="0.2">
      <c r="A822">
        <v>1</v>
      </c>
      <c r="B822" t="s">
        <v>15</v>
      </c>
      <c r="C822">
        <v>5</v>
      </c>
      <c r="D822">
        <v>16</v>
      </c>
      <c r="E822" s="3">
        <f t="shared" si="12"/>
        <v>9</v>
      </c>
    </row>
    <row r="823" spans="1:5" x14ac:dyDescent="0.2">
      <c r="A823">
        <v>2</v>
      </c>
      <c r="B823" t="s">
        <v>101</v>
      </c>
      <c r="C823">
        <v>0</v>
      </c>
      <c r="D823">
        <v>12</v>
      </c>
      <c r="E823" s="3">
        <f t="shared" si="12"/>
        <v>9</v>
      </c>
    </row>
    <row r="824" spans="1:5" x14ac:dyDescent="0.2">
      <c r="A824">
        <v>3</v>
      </c>
      <c r="B824" t="s">
        <v>40</v>
      </c>
      <c r="C824">
        <v>0</v>
      </c>
      <c r="D824">
        <v>8</v>
      </c>
      <c r="E824" s="3">
        <f t="shared" si="12"/>
        <v>9</v>
      </c>
    </row>
    <row r="825" spans="1:5" x14ac:dyDescent="0.2">
      <c r="A825">
        <v>4</v>
      </c>
      <c r="B825" t="s">
        <v>77</v>
      </c>
      <c r="C825">
        <v>0</v>
      </c>
      <c r="D825">
        <v>4</v>
      </c>
      <c r="E825" s="3">
        <f t="shared" si="12"/>
        <v>9</v>
      </c>
    </row>
    <row r="826" spans="1:5" x14ac:dyDescent="0.2">
      <c r="A826">
        <v>5</v>
      </c>
      <c r="B826" t="s">
        <v>87</v>
      </c>
      <c r="C826">
        <v>0</v>
      </c>
      <c r="D826">
        <v>2</v>
      </c>
      <c r="E826" s="3">
        <f t="shared" si="12"/>
        <v>9</v>
      </c>
    </row>
    <row r="827" spans="1:5" x14ac:dyDescent="0.2">
      <c r="A827">
        <v>6</v>
      </c>
      <c r="B827" t="s">
        <v>9</v>
      </c>
      <c r="C827">
        <v>0</v>
      </c>
      <c r="D827">
        <v>1</v>
      </c>
      <c r="E827" s="3">
        <f t="shared" si="12"/>
        <v>9</v>
      </c>
    </row>
    <row r="828" spans="1:5" x14ac:dyDescent="0.2">
      <c r="A828">
        <v>7</v>
      </c>
      <c r="B828" s="2" t="s">
        <v>10</v>
      </c>
      <c r="C828" s="2" t="s">
        <v>10</v>
      </c>
      <c r="D828" s="2" t="s">
        <v>10</v>
      </c>
      <c r="E828" s="3">
        <f t="shared" si="12"/>
        <v>9</v>
      </c>
    </row>
    <row r="829" spans="1:5" x14ac:dyDescent="0.2">
      <c r="A829">
        <v>8</v>
      </c>
      <c r="B829" s="2" t="s">
        <v>10</v>
      </c>
      <c r="C829" s="2" t="s">
        <v>10</v>
      </c>
      <c r="D829" s="2" t="s">
        <v>10</v>
      </c>
      <c r="E829" s="3">
        <f t="shared" si="12"/>
        <v>9</v>
      </c>
    </row>
    <row r="830" spans="1:5" x14ac:dyDescent="0.2">
      <c r="A830" s="1" t="s">
        <v>51</v>
      </c>
      <c r="E830" s="3">
        <f t="shared" si="12"/>
        <v>9</v>
      </c>
    </row>
    <row r="831" spans="1:5" x14ac:dyDescent="0.2">
      <c r="A831" s="1" t="s">
        <v>1</v>
      </c>
      <c r="B831" s="1" t="s">
        <v>2</v>
      </c>
      <c r="C831" s="1" t="s">
        <v>3</v>
      </c>
      <c r="D831" s="1" t="s">
        <v>4</v>
      </c>
      <c r="E831" s="3">
        <f t="shared" si="12"/>
        <v>9</v>
      </c>
    </row>
    <row r="832" spans="1:5" x14ac:dyDescent="0.2">
      <c r="A832">
        <v>1</v>
      </c>
      <c r="B832" t="s">
        <v>19</v>
      </c>
      <c r="C832">
        <v>3</v>
      </c>
      <c r="D832">
        <v>16</v>
      </c>
      <c r="E832" s="3">
        <f t="shared" si="12"/>
        <v>9</v>
      </c>
    </row>
    <row r="833" spans="1:5" x14ac:dyDescent="0.2">
      <c r="A833">
        <v>2</v>
      </c>
      <c r="B833" t="s">
        <v>73</v>
      </c>
      <c r="C833">
        <v>2</v>
      </c>
      <c r="D833">
        <v>12</v>
      </c>
      <c r="E833" s="3">
        <f t="shared" si="12"/>
        <v>9</v>
      </c>
    </row>
    <row r="834" spans="1:5" x14ac:dyDescent="0.2">
      <c r="A834">
        <v>3</v>
      </c>
      <c r="B834" t="s">
        <v>59</v>
      </c>
      <c r="C834">
        <v>0</v>
      </c>
      <c r="D834">
        <v>8</v>
      </c>
      <c r="E834" s="3">
        <f t="shared" si="12"/>
        <v>9</v>
      </c>
    </row>
    <row r="835" spans="1:5" x14ac:dyDescent="0.2">
      <c r="A835">
        <v>4</v>
      </c>
      <c r="B835" t="s">
        <v>66</v>
      </c>
      <c r="C835">
        <v>0</v>
      </c>
      <c r="D835">
        <v>4</v>
      </c>
      <c r="E835" s="3">
        <f t="shared" si="12"/>
        <v>9</v>
      </c>
    </row>
    <row r="836" spans="1:5" x14ac:dyDescent="0.2">
      <c r="A836">
        <v>5</v>
      </c>
      <c r="B836" t="s">
        <v>5</v>
      </c>
      <c r="C836">
        <v>0</v>
      </c>
      <c r="D836">
        <v>2</v>
      </c>
      <c r="E836" s="3">
        <f t="shared" si="12"/>
        <v>9</v>
      </c>
    </row>
    <row r="837" spans="1:5" x14ac:dyDescent="0.2">
      <c r="A837">
        <v>6</v>
      </c>
      <c r="B837" t="s">
        <v>21</v>
      </c>
      <c r="C837">
        <v>0</v>
      </c>
      <c r="D837">
        <v>1</v>
      </c>
      <c r="E837" s="3">
        <f t="shared" si="12"/>
        <v>9</v>
      </c>
    </row>
    <row r="838" spans="1:5" x14ac:dyDescent="0.2">
      <c r="A838">
        <v>7</v>
      </c>
      <c r="B838" s="2" t="s">
        <v>10</v>
      </c>
      <c r="C838" s="2" t="s">
        <v>10</v>
      </c>
      <c r="D838" s="2" t="s">
        <v>10</v>
      </c>
      <c r="E838" s="3">
        <f t="shared" si="12"/>
        <v>9</v>
      </c>
    </row>
    <row r="839" spans="1:5" x14ac:dyDescent="0.2">
      <c r="A839">
        <v>8</v>
      </c>
      <c r="B839" s="2" t="s">
        <v>10</v>
      </c>
      <c r="C839" s="2" t="s">
        <v>10</v>
      </c>
      <c r="D839" s="2" t="s">
        <v>10</v>
      </c>
      <c r="E839" s="3">
        <f t="shared" si="12"/>
        <v>9</v>
      </c>
    </row>
    <row r="840" spans="1:5" x14ac:dyDescent="0.2">
      <c r="A840" s="1" t="s">
        <v>0</v>
      </c>
      <c r="E840" s="3">
        <f t="shared" si="12"/>
        <v>10</v>
      </c>
    </row>
    <row r="841" spans="1:5" x14ac:dyDescent="0.2">
      <c r="A841" s="1" t="s">
        <v>1</v>
      </c>
      <c r="B841" s="1" t="s">
        <v>2</v>
      </c>
      <c r="C841" s="1" t="s">
        <v>3</v>
      </c>
      <c r="D841" s="1" t="s">
        <v>4</v>
      </c>
      <c r="E841" s="3">
        <f t="shared" si="12"/>
        <v>10</v>
      </c>
    </row>
    <row r="842" spans="1:5" x14ac:dyDescent="0.2">
      <c r="A842">
        <v>1</v>
      </c>
      <c r="B842" t="s">
        <v>77</v>
      </c>
      <c r="C842">
        <v>2</v>
      </c>
      <c r="D842">
        <v>16</v>
      </c>
      <c r="E842" s="3">
        <f t="shared" si="12"/>
        <v>10</v>
      </c>
    </row>
    <row r="843" spans="1:5" x14ac:dyDescent="0.2">
      <c r="A843">
        <v>2</v>
      </c>
      <c r="B843" t="s">
        <v>50</v>
      </c>
      <c r="C843">
        <v>2</v>
      </c>
      <c r="D843">
        <v>12</v>
      </c>
      <c r="E843" s="3">
        <f t="shared" si="12"/>
        <v>10</v>
      </c>
    </row>
    <row r="844" spans="1:5" x14ac:dyDescent="0.2">
      <c r="A844">
        <v>3</v>
      </c>
      <c r="B844" t="s">
        <v>55</v>
      </c>
      <c r="C844">
        <v>1</v>
      </c>
      <c r="D844">
        <v>8</v>
      </c>
      <c r="E844" s="3">
        <f t="shared" si="12"/>
        <v>10</v>
      </c>
    </row>
    <row r="845" spans="1:5" x14ac:dyDescent="0.2">
      <c r="A845">
        <v>4</v>
      </c>
      <c r="B845" t="s">
        <v>75</v>
      </c>
      <c r="C845">
        <v>0</v>
      </c>
      <c r="D845">
        <v>4</v>
      </c>
      <c r="E845" s="3">
        <f t="shared" si="12"/>
        <v>10</v>
      </c>
    </row>
    <row r="846" spans="1:5" x14ac:dyDescent="0.2">
      <c r="A846">
        <v>5</v>
      </c>
      <c r="B846" t="s">
        <v>47</v>
      </c>
      <c r="C846">
        <v>0</v>
      </c>
      <c r="D846">
        <v>2</v>
      </c>
      <c r="E846" s="3">
        <f t="shared" si="12"/>
        <v>10</v>
      </c>
    </row>
    <row r="847" spans="1:5" x14ac:dyDescent="0.2">
      <c r="A847">
        <v>6</v>
      </c>
      <c r="B847" t="s">
        <v>92</v>
      </c>
      <c r="C847">
        <v>0</v>
      </c>
      <c r="D847">
        <v>1</v>
      </c>
      <c r="E847" s="3">
        <f t="shared" si="12"/>
        <v>10</v>
      </c>
    </row>
    <row r="848" spans="1:5" x14ac:dyDescent="0.2">
      <c r="A848">
        <v>7</v>
      </c>
      <c r="B848" s="2" t="s">
        <v>10</v>
      </c>
      <c r="C848" s="2" t="s">
        <v>10</v>
      </c>
      <c r="D848" s="2" t="s">
        <v>10</v>
      </c>
      <c r="E848" s="3">
        <f t="shared" si="12"/>
        <v>10</v>
      </c>
    </row>
    <row r="849" spans="1:5" x14ac:dyDescent="0.2">
      <c r="A849">
        <v>8</v>
      </c>
      <c r="B849" s="2" t="s">
        <v>10</v>
      </c>
      <c r="C849" s="2" t="s">
        <v>10</v>
      </c>
      <c r="D849" s="2" t="s">
        <v>10</v>
      </c>
      <c r="E849" s="3">
        <f t="shared" si="12"/>
        <v>10</v>
      </c>
    </row>
    <row r="850" spans="1:5" x14ac:dyDescent="0.2">
      <c r="A850" s="1" t="s">
        <v>11</v>
      </c>
      <c r="E850" s="3">
        <f t="shared" si="12"/>
        <v>10</v>
      </c>
    </row>
    <row r="851" spans="1:5" x14ac:dyDescent="0.2">
      <c r="A851" s="1" t="s">
        <v>1</v>
      </c>
      <c r="B851" s="1" t="s">
        <v>2</v>
      </c>
      <c r="C851" s="1" t="s">
        <v>3</v>
      </c>
      <c r="D851" s="1" t="s">
        <v>4</v>
      </c>
      <c r="E851" s="3">
        <f t="shared" si="12"/>
        <v>10</v>
      </c>
    </row>
    <row r="852" spans="1:5" x14ac:dyDescent="0.2">
      <c r="A852">
        <v>1</v>
      </c>
      <c r="B852" t="s">
        <v>52</v>
      </c>
      <c r="C852">
        <v>6</v>
      </c>
      <c r="D852">
        <v>17</v>
      </c>
      <c r="E852" s="3">
        <f t="shared" si="12"/>
        <v>10</v>
      </c>
    </row>
    <row r="853" spans="1:5" x14ac:dyDescent="0.2">
      <c r="A853">
        <v>2</v>
      </c>
      <c r="B853" t="s">
        <v>45</v>
      </c>
      <c r="C853">
        <v>0</v>
      </c>
      <c r="D853">
        <v>13</v>
      </c>
      <c r="E853" s="3">
        <f t="shared" si="12"/>
        <v>10</v>
      </c>
    </row>
    <row r="854" spans="1:5" x14ac:dyDescent="0.2">
      <c r="A854">
        <v>3</v>
      </c>
      <c r="B854" t="s">
        <v>33</v>
      </c>
      <c r="C854">
        <v>0</v>
      </c>
      <c r="D854">
        <v>9</v>
      </c>
      <c r="E854" s="3">
        <f t="shared" si="12"/>
        <v>10</v>
      </c>
    </row>
    <row r="855" spans="1:5" x14ac:dyDescent="0.2">
      <c r="A855">
        <v>4</v>
      </c>
      <c r="B855" t="s">
        <v>15</v>
      </c>
      <c r="C855">
        <v>0</v>
      </c>
      <c r="D855">
        <v>5</v>
      </c>
      <c r="E855" s="3">
        <f t="shared" si="12"/>
        <v>10</v>
      </c>
    </row>
    <row r="856" spans="1:5" x14ac:dyDescent="0.2">
      <c r="A856">
        <v>5</v>
      </c>
      <c r="B856" t="s">
        <v>26</v>
      </c>
      <c r="C856">
        <v>0</v>
      </c>
      <c r="D856">
        <v>3</v>
      </c>
      <c r="E856" s="3">
        <f t="shared" si="12"/>
        <v>10</v>
      </c>
    </row>
    <row r="857" spans="1:5" x14ac:dyDescent="0.2">
      <c r="A857">
        <v>6</v>
      </c>
      <c r="B857" t="s">
        <v>21</v>
      </c>
      <c r="C857">
        <v>0</v>
      </c>
      <c r="D857">
        <v>2</v>
      </c>
      <c r="E857" s="3">
        <f t="shared" si="12"/>
        <v>10</v>
      </c>
    </row>
    <row r="858" spans="1:5" x14ac:dyDescent="0.2">
      <c r="A858">
        <v>7</v>
      </c>
      <c r="B858" t="s">
        <v>104</v>
      </c>
      <c r="C858">
        <v>0</v>
      </c>
      <c r="D858">
        <v>1</v>
      </c>
      <c r="E858" s="3">
        <f t="shared" si="12"/>
        <v>10</v>
      </c>
    </row>
    <row r="859" spans="1:5" x14ac:dyDescent="0.2">
      <c r="A859">
        <v>8</v>
      </c>
      <c r="B859" s="2" t="s">
        <v>10</v>
      </c>
      <c r="C859" s="2" t="s">
        <v>10</v>
      </c>
      <c r="D859" s="2" t="s">
        <v>10</v>
      </c>
      <c r="E859" s="3">
        <f t="shared" si="12"/>
        <v>10</v>
      </c>
    </row>
    <row r="860" spans="1:5" x14ac:dyDescent="0.2">
      <c r="A860" s="1" t="s">
        <v>17</v>
      </c>
      <c r="E860" s="3">
        <f t="shared" si="12"/>
        <v>10</v>
      </c>
    </row>
    <row r="861" spans="1:5" x14ac:dyDescent="0.2">
      <c r="A861" s="1" t="s">
        <v>1</v>
      </c>
      <c r="B861" s="1" t="s">
        <v>2</v>
      </c>
      <c r="C861" s="1" t="s">
        <v>3</v>
      </c>
      <c r="D861" s="1" t="s">
        <v>4</v>
      </c>
      <c r="E861" s="3">
        <f t="shared" si="12"/>
        <v>10</v>
      </c>
    </row>
    <row r="862" spans="1:5" x14ac:dyDescent="0.2">
      <c r="A862">
        <v>1</v>
      </c>
      <c r="B862" t="s">
        <v>9</v>
      </c>
      <c r="C862">
        <v>3</v>
      </c>
      <c r="D862">
        <v>16</v>
      </c>
      <c r="E862" s="3">
        <f t="shared" si="12"/>
        <v>10</v>
      </c>
    </row>
    <row r="863" spans="1:5" x14ac:dyDescent="0.2">
      <c r="A863">
        <v>2</v>
      </c>
      <c r="B863" t="s">
        <v>94</v>
      </c>
      <c r="C863">
        <v>2</v>
      </c>
      <c r="D863">
        <v>12</v>
      </c>
      <c r="E863" s="3">
        <f t="shared" si="12"/>
        <v>10</v>
      </c>
    </row>
    <row r="864" spans="1:5" x14ac:dyDescent="0.2">
      <c r="A864">
        <v>3</v>
      </c>
      <c r="B864" t="s">
        <v>31</v>
      </c>
      <c r="C864">
        <v>0</v>
      </c>
      <c r="D864">
        <v>8</v>
      </c>
      <c r="E864" s="3">
        <f t="shared" ref="E864:E927" si="13">IF(A864=$A$1,E863+1,E863)</f>
        <v>10</v>
      </c>
    </row>
    <row r="865" spans="1:5" x14ac:dyDescent="0.2">
      <c r="A865">
        <v>4</v>
      </c>
      <c r="B865" t="s">
        <v>28</v>
      </c>
      <c r="C865">
        <v>0</v>
      </c>
      <c r="D865">
        <v>4</v>
      </c>
      <c r="E865" s="3">
        <f t="shared" si="13"/>
        <v>10</v>
      </c>
    </row>
    <row r="866" spans="1:5" x14ac:dyDescent="0.2">
      <c r="A866">
        <v>5</v>
      </c>
      <c r="B866" t="s">
        <v>25</v>
      </c>
      <c r="C866">
        <v>0</v>
      </c>
      <c r="D866">
        <v>2</v>
      </c>
      <c r="E866" s="3">
        <f t="shared" si="13"/>
        <v>10</v>
      </c>
    </row>
    <row r="867" spans="1:5" x14ac:dyDescent="0.2">
      <c r="A867">
        <v>6</v>
      </c>
      <c r="B867" t="s">
        <v>73</v>
      </c>
      <c r="C867">
        <v>0</v>
      </c>
      <c r="D867">
        <v>1</v>
      </c>
      <c r="E867" s="3">
        <f t="shared" si="13"/>
        <v>10</v>
      </c>
    </row>
    <row r="868" spans="1:5" x14ac:dyDescent="0.2">
      <c r="A868">
        <v>7</v>
      </c>
      <c r="B868" s="2" t="s">
        <v>10</v>
      </c>
      <c r="C868" s="2" t="s">
        <v>10</v>
      </c>
      <c r="D868" s="2" t="s">
        <v>10</v>
      </c>
      <c r="E868" s="3">
        <f t="shared" si="13"/>
        <v>10</v>
      </c>
    </row>
    <row r="869" spans="1:5" x14ac:dyDescent="0.2">
      <c r="A869">
        <v>8</v>
      </c>
      <c r="B869" s="2" t="s">
        <v>10</v>
      </c>
      <c r="C869" s="2" t="s">
        <v>10</v>
      </c>
      <c r="D869" s="2" t="s">
        <v>10</v>
      </c>
      <c r="E869" s="3">
        <f t="shared" si="13"/>
        <v>10</v>
      </c>
    </row>
    <row r="870" spans="1:5" x14ac:dyDescent="0.2">
      <c r="A870" s="1" t="s">
        <v>24</v>
      </c>
      <c r="E870" s="3">
        <f t="shared" si="13"/>
        <v>10</v>
      </c>
    </row>
    <row r="871" spans="1:5" x14ac:dyDescent="0.2">
      <c r="A871" s="1" t="s">
        <v>1</v>
      </c>
      <c r="B871" s="1" t="s">
        <v>2</v>
      </c>
      <c r="C871" s="1" t="s">
        <v>3</v>
      </c>
      <c r="D871" s="1" t="s">
        <v>4</v>
      </c>
      <c r="E871" s="3">
        <f t="shared" si="13"/>
        <v>10</v>
      </c>
    </row>
    <row r="872" spans="1:5" x14ac:dyDescent="0.2">
      <c r="A872">
        <v>1</v>
      </c>
      <c r="B872" t="s">
        <v>65</v>
      </c>
      <c r="C872">
        <v>4</v>
      </c>
      <c r="D872">
        <v>16</v>
      </c>
      <c r="E872" s="3">
        <f t="shared" si="13"/>
        <v>10</v>
      </c>
    </row>
    <row r="873" spans="1:5" x14ac:dyDescent="0.2">
      <c r="A873">
        <v>2</v>
      </c>
      <c r="B873" t="s">
        <v>46</v>
      </c>
      <c r="C873">
        <v>0</v>
      </c>
      <c r="D873">
        <v>12</v>
      </c>
      <c r="E873" s="3">
        <f t="shared" si="13"/>
        <v>10</v>
      </c>
    </row>
    <row r="874" spans="1:5" x14ac:dyDescent="0.2">
      <c r="A874">
        <v>3</v>
      </c>
      <c r="B874" t="s">
        <v>18</v>
      </c>
      <c r="C874">
        <v>0</v>
      </c>
      <c r="D874">
        <v>8</v>
      </c>
      <c r="E874" s="3">
        <f t="shared" si="13"/>
        <v>10</v>
      </c>
    </row>
    <row r="875" spans="1:5" x14ac:dyDescent="0.2">
      <c r="A875">
        <v>4</v>
      </c>
      <c r="B875" t="s">
        <v>54</v>
      </c>
      <c r="C875">
        <v>0</v>
      </c>
      <c r="D875">
        <v>4</v>
      </c>
      <c r="E875" s="3">
        <f t="shared" si="13"/>
        <v>10</v>
      </c>
    </row>
    <row r="876" spans="1:5" x14ac:dyDescent="0.2">
      <c r="A876">
        <v>5</v>
      </c>
      <c r="B876" t="s">
        <v>14</v>
      </c>
      <c r="C876">
        <v>1</v>
      </c>
      <c r="D876">
        <v>2</v>
      </c>
      <c r="E876" s="3">
        <f t="shared" si="13"/>
        <v>10</v>
      </c>
    </row>
    <row r="877" spans="1:5" x14ac:dyDescent="0.2">
      <c r="A877">
        <v>6</v>
      </c>
      <c r="B877" t="s">
        <v>40</v>
      </c>
      <c r="C877">
        <v>0</v>
      </c>
      <c r="D877">
        <v>1</v>
      </c>
      <c r="E877" s="3">
        <f t="shared" si="13"/>
        <v>10</v>
      </c>
    </row>
    <row r="878" spans="1:5" x14ac:dyDescent="0.2">
      <c r="A878">
        <v>7</v>
      </c>
      <c r="B878" s="2" t="s">
        <v>10</v>
      </c>
      <c r="C878" s="2" t="s">
        <v>10</v>
      </c>
      <c r="D878" s="2" t="s">
        <v>10</v>
      </c>
      <c r="E878" s="3">
        <f t="shared" si="13"/>
        <v>10</v>
      </c>
    </row>
    <row r="879" spans="1:5" x14ac:dyDescent="0.2">
      <c r="A879">
        <v>8</v>
      </c>
      <c r="B879" s="2" t="s">
        <v>10</v>
      </c>
      <c r="C879" s="2" t="s">
        <v>10</v>
      </c>
      <c r="D879" s="2" t="s">
        <v>10</v>
      </c>
      <c r="E879" s="3">
        <f t="shared" si="13"/>
        <v>10</v>
      </c>
    </row>
    <row r="880" spans="1:5" x14ac:dyDescent="0.2">
      <c r="A880" s="1" t="s">
        <v>30</v>
      </c>
      <c r="E880" s="3">
        <f t="shared" si="13"/>
        <v>10</v>
      </c>
    </row>
    <row r="881" spans="1:5" x14ac:dyDescent="0.2">
      <c r="A881" s="1" t="s">
        <v>1</v>
      </c>
      <c r="B881" s="1" t="s">
        <v>2</v>
      </c>
      <c r="C881" s="1" t="s">
        <v>3</v>
      </c>
      <c r="D881" s="1" t="s">
        <v>4</v>
      </c>
      <c r="E881" s="3">
        <f t="shared" si="13"/>
        <v>10</v>
      </c>
    </row>
    <row r="882" spans="1:5" x14ac:dyDescent="0.2">
      <c r="A882">
        <v>1</v>
      </c>
      <c r="B882" t="s">
        <v>8</v>
      </c>
      <c r="C882">
        <v>2</v>
      </c>
      <c r="D882">
        <v>16</v>
      </c>
      <c r="E882" s="3">
        <f t="shared" si="13"/>
        <v>10</v>
      </c>
    </row>
    <row r="883" spans="1:5" x14ac:dyDescent="0.2">
      <c r="A883">
        <v>2</v>
      </c>
      <c r="B883" t="s">
        <v>6</v>
      </c>
      <c r="C883">
        <v>0</v>
      </c>
      <c r="D883">
        <v>12</v>
      </c>
      <c r="E883" s="3">
        <f t="shared" si="13"/>
        <v>10</v>
      </c>
    </row>
    <row r="884" spans="1:5" x14ac:dyDescent="0.2">
      <c r="A884">
        <v>3</v>
      </c>
      <c r="B884" t="s">
        <v>12</v>
      </c>
      <c r="C884">
        <v>1</v>
      </c>
      <c r="D884">
        <v>8</v>
      </c>
      <c r="E884" s="3">
        <f t="shared" si="13"/>
        <v>10</v>
      </c>
    </row>
    <row r="885" spans="1:5" x14ac:dyDescent="0.2">
      <c r="A885">
        <v>4</v>
      </c>
      <c r="B885" t="s">
        <v>60</v>
      </c>
      <c r="C885">
        <v>2</v>
      </c>
      <c r="D885">
        <v>4</v>
      </c>
      <c r="E885" s="3">
        <f t="shared" si="13"/>
        <v>10</v>
      </c>
    </row>
    <row r="886" spans="1:5" x14ac:dyDescent="0.2">
      <c r="A886">
        <v>5</v>
      </c>
      <c r="B886" t="s">
        <v>68</v>
      </c>
      <c r="C886">
        <v>0</v>
      </c>
      <c r="D886">
        <v>2</v>
      </c>
      <c r="E886" s="3">
        <f t="shared" si="13"/>
        <v>10</v>
      </c>
    </row>
    <row r="887" spans="1:5" x14ac:dyDescent="0.2">
      <c r="A887">
        <v>6</v>
      </c>
      <c r="B887" t="s">
        <v>32</v>
      </c>
      <c r="C887">
        <v>0</v>
      </c>
      <c r="D887">
        <v>1</v>
      </c>
      <c r="E887" s="3">
        <f t="shared" si="13"/>
        <v>10</v>
      </c>
    </row>
    <row r="888" spans="1:5" x14ac:dyDescent="0.2">
      <c r="A888">
        <v>7</v>
      </c>
      <c r="B888" s="2" t="s">
        <v>10</v>
      </c>
      <c r="C888" s="2" t="s">
        <v>10</v>
      </c>
      <c r="D888" s="2" t="s">
        <v>10</v>
      </c>
      <c r="E888" s="3">
        <f t="shared" si="13"/>
        <v>10</v>
      </c>
    </row>
    <row r="889" spans="1:5" x14ac:dyDescent="0.2">
      <c r="A889">
        <v>8</v>
      </c>
      <c r="B889" s="2" t="s">
        <v>10</v>
      </c>
      <c r="C889" s="2" t="s">
        <v>10</v>
      </c>
      <c r="D889" s="2" t="s">
        <v>10</v>
      </c>
      <c r="E889" s="3">
        <f t="shared" si="13"/>
        <v>10</v>
      </c>
    </row>
    <row r="890" spans="1:5" x14ac:dyDescent="0.2">
      <c r="A890" s="1" t="s">
        <v>37</v>
      </c>
      <c r="E890" s="3">
        <f t="shared" si="13"/>
        <v>10</v>
      </c>
    </row>
    <row r="891" spans="1:5" x14ac:dyDescent="0.2">
      <c r="A891" s="1" t="s">
        <v>1</v>
      </c>
      <c r="B891" s="1" t="s">
        <v>2</v>
      </c>
      <c r="C891" s="1" t="s">
        <v>3</v>
      </c>
      <c r="D891" s="1" t="s">
        <v>4</v>
      </c>
      <c r="E891" s="3">
        <f t="shared" si="13"/>
        <v>10</v>
      </c>
    </row>
    <row r="892" spans="1:5" x14ac:dyDescent="0.2">
      <c r="A892">
        <v>1</v>
      </c>
      <c r="B892" t="s">
        <v>42</v>
      </c>
      <c r="C892">
        <v>3</v>
      </c>
      <c r="D892">
        <v>17</v>
      </c>
      <c r="E892" s="3">
        <f t="shared" si="13"/>
        <v>10</v>
      </c>
    </row>
    <row r="893" spans="1:5" x14ac:dyDescent="0.2">
      <c r="A893">
        <v>2</v>
      </c>
      <c r="B893" t="s">
        <v>101</v>
      </c>
      <c r="C893">
        <v>2</v>
      </c>
      <c r="D893">
        <v>13</v>
      </c>
      <c r="E893" s="3">
        <f t="shared" si="13"/>
        <v>10</v>
      </c>
    </row>
    <row r="894" spans="1:5" x14ac:dyDescent="0.2">
      <c r="A894">
        <v>3</v>
      </c>
      <c r="B894" t="s">
        <v>5</v>
      </c>
      <c r="C894">
        <v>1</v>
      </c>
      <c r="D894">
        <v>9</v>
      </c>
      <c r="E894" s="3">
        <f t="shared" si="13"/>
        <v>10</v>
      </c>
    </row>
    <row r="895" spans="1:5" x14ac:dyDescent="0.2">
      <c r="A895">
        <v>4</v>
      </c>
      <c r="B895" t="s">
        <v>41</v>
      </c>
      <c r="C895">
        <v>0</v>
      </c>
      <c r="D895">
        <v>5</v>
      </c>
      <c r="E895" s="3">
        <f t="shared" si="13"/>
        <v>10</v>
      </c>
    </row>
    <row r="896" spans="1:5" x14ac:dyDescent="0.2">
      <c r="A896">
        <v>5</v>
      </c>
      <c r="B896" t="s">
        <v>35</v>
      </c>
      <c r="C896">
        <v>0</v>
      </c>
      <c r="D896">
        <v>3</v>
      </c>
      <c r="E896" s="3">
        <f t="shared" si="13"/>
        <v>10</v>
      </c>
    </row>
    <row r="897" spans="1:5" x14ac:dyDescent="0.2">
      <c r="A897">
        <v>6</v>
      </c>
      <c r="B897" t="s">
        <v>72</v>
      </c>
      <c r="C897">
        <v>0</v>
      </c>
      <c r="D897">
        <v>2</v>
      </c>
      <c r="E897" s="3">
        <f t="shared" si="13"/>
        <v>10</v>
      </c>
    </row>
    <row r="898" spans="1:5" x14ac:dyDescent="0.2">
      <c r="A898">
        <v>7</v>
      </c>
      <c r="B898" t="s">
        <v>7</v>
      </c>
      <c r="C898">
        <v>0</v>
      </c>
      <c r="D898">
        <v>1</v>
      </c>
      <c r="E898" s="3">
        <f t="shared" si="13"/>
        <v>10</v>
      </c>
    </row>
    <row r="899" spans="1:5" x14ac:dyDescent="0.2">
      <c r="A899">
        <v>8</v>
      </c>
      <c r="B899" s="2" t="s">
        <v>10</v>
      </c>
      <c r="C899" s="2" t="s">
        <v>10</v>
      </c>
      <c r="D899" s="2" t="s">
        <v>10</v>
      </c>
      <c r="E899" s="3">
        <f t="shared" si="13"/>
        <v>10</v>
      </c>
    </row>
    <row r="900" spans="1:5" x14ac:dyDescent="0.2">
      <c r="A900" s="1" t="s">
        <v>51</v>
      </c>
      <c r="E900" s="3">
        <f t="shared" si="13"/>
        <v>10</v>
      </c>
    </row>
    <row r="901" spans="1:5" x14ac:dyDescent="0.2">
      <c r="A901" s="1" t="s">
        <v>1</v>
      </c>
      <c r="B901" s="1" t="s">
        <v>2</v>
      </c>
      <c r="C901" s="1" t="s">
        <v>3</v>
      </c>
      <c r="D901" s="1" t="s">
        <v>4</v>
      </c>
      <c r="E901" s="3">
        <f t="shared" si="13"/>
        <v>10</v>
      </c>
    </row>
    <row r="902" spans="1:5" x14ac:dyDescent="0.2">
      <c r="A902">
        <v>1</v>
      </c>
      <c r="B902" t="s">
        <v>81</v>
      </c>
      <c r="C902">
        <v>3</v>
      </c>
      <c r="D902">
        <v>17</v>
      </c>
      <c r="E902" s="3">
        <f t="shared" si="13"/>
        <v>10</v>
      </c>
    </row>
    <row r="903" spans="1:5" x14ac:dyDescent="0.2">
      <c r="A903">
        <v>2</v>
      </c>
      <c r="B903" t="s">
        <v>22</v>
      </c>
      <c r="C903">
        <v>3</v>
      </c>
      <c r="D903">
        <v>13</v>
      </c>
      <c r="E903" s="3">
        <f t="shared" si="13"/>
        <v>10</v>
      </c>
    </row>
    <row r="904" spans="1:5" x14ac:dyDescent="0.2">
      <c r="A904">
        <v>3</v>
      </c>
      <c r="B904" t="s">
        <v>39</v>
      </c>
      <c r="C904">
        <v>0</v>
      </c>
      <c r="D904">
        <v>9</v>
      </c>
      <c r="E904" s="3">
        <f t="shared" si="13"/>
        <v>10</v>
      </c>
    </row>
    <row r="905" spans="1:5" x14ac:dyDescent="0.2">
      <c r="A905">
        <v>4</v>
      </c>
      <c r="B905" t="s">
        <v>87</v>
      </c>
      <c r="C905">
        <v>0</v>
      </c>
      <c r="D905">
        <v>5</v>
      </c>
      <c r="E905" s="3">
        <f t="shared" si="13"/>
        <v>10</v>
      </c>
    </row>
    <row r="906" spans="1:5" x14ac:dyDescent="0.2">
      <c r="A906">
        <v>5</v>
      </c>
      <c r="B906" t="s">
        <v>59</v>
      </c>
      <c r="C906">
        <v>0</v>
      </c>
      <c r="D906">
        <v>3</v>
      </c>
      <c r="E906" s="3">
        <f t="shared" si="13"/>
        <v>10</v>
      </c>
    </row>
    <row r="907" spans="1:5" x14ac:dyDescent="0.2">
      <c r="A907">
        <v>6</v>
      </c>
      <c r="B907" t="s">
        <v>69</v>
      </c>
      <c r="C907">
        <v>0</v>
      </c>
      <c r="D907">
        <v>2</v>
      </c>
      <c r="E907" s="3">
        <f t="shared" si="13"/>
        <v>10</v>
      </c>
    </row>
    <row r="908" spans="1:5" x14ac:dyDescent="0.2">
      <c r="A908">
        <v>7</v>
      </c>
      <c r="B908" t="s">
        <v>74</v>
      </c>
      <c r="C908">
        <v>0</v>
      </c>
      <c r="D908">
        <v>1</v>
      </c>
      <c r="E908" s="3">
        <f t="shared" si="13"/>
        <v>10</v>
      </c>
    </row>
    <row r="909" spans="1:5" x14ac:dyDescent="0.2">
      <c r="A909">
        <v>8</v>
      </c>
      <c r="B909" s="2" t="s">
        <v>10</v>
      </c>
      <c r="C909" s="2" t="s">
        <v>10</v>
      </c>
      <c r="D909" s="2" t="s">
        <v>10</v>
      </c>
      <c r="E909" s="3">
        <f t="shared" si="13"/>
        <v>10</v>
      </c>
    </row>
    <row r="910" spans="1:5" x14ac:dyDescent="0.2">
      <c r="A910" s="1" t="s">
        <v>0</v>
      </c>
      <c r="E910" s="3">
        <f t="shared" si="13"/>
        <v>11</v>
      </c>
    </row>
    <row r="911" spans="1:5" x14ac:dyDescent="0.2">
      <c r="A911" s="1" t="s">
        <v>1</v>
      </c>
      <c r="B911" s="1" t="s">
        <v>2</v>
      </c>
      <c r="C911" s="1" t="s">
        <v>3</v>
      </c>
      <c r="D911" s="1" t="s">
        <v>4</v>
      </c>
      <c r="E911" s="3">
        <f t="shared" si="13"/>
        <v>11</v>
      </c>
    </row>
    <row r="912" spans="1:5" x14ac:dyDescent="0.2">
      <c r="A912">
        <v>1</v>
      </c>
      <c r="B912" t="s">
        <v>94</v>
      </c>
      <c r="C912">
        <v>5</v>
      </c>
      <c r="D912">
        <v>17</v>
      </c>
      <c r="E912" s="3">
        <f t="shared" si="13"/>
        <v>11</v>
      </c>
    </row>
    <row r="913" spans="1:5" x14ac:dyDescent="0.2">
      <c r="A913">
        <v>2</v>
      </c>
      <c r="B913" t="s">
        <v>25</v>
      </c>
      <c r="C913">
        <v>1</v>
      </c>
      <c r="D913">
        <v>13</v>
      </c>
      <c r="E913" s="3">
        <f t="shared" si="13"/>
        <v>11</v>
      </c>
    </row>
    <row r="914" spans="1:5" x14ac:dyDescent="0.2">
      <c r="A914">
        <v>3</v>
      </c>
      <c r="B914" t="s">
        <v>72</v>
      </c>
      <c r="C914">
        <v>0</v>
      </c>
      <c r="D914">
        <v>9</v>
      </c>
      <c r="E914" s="3">
        <f t="shared" si="13"/>
        <v>11</v>
      </c>
    </row>
    <row r="915" spans="1:5" x14ac:dyDescent="0.2">
      <c r="A915">
        <v>4</v>
      </c>
      <c r="B915" t="s">
        <v>50</v>
      </c>
      <c r="C915">
        <v>0</v>
      </c>
      <c r="D915">
        <v>5</v>
      </c>
      <c r="E915" s="3">
        <f t="shared" si="13"/>
        <v>11</v>
      </c>
    </row>
    <row r="916" spans="1:5" x14ac:dyDescent="0.2">
      <c r="A916">
        <v>5</v>
      </c>
      <c r="B916" t="s">
        <v>15</v>
      </c>
      <c r="C916">
        <v>0</v>
      </c>
      <c r="D916">
        <v>3</v>
      </c>
      <c r="E916" s="3">
        <f t="shared" si="13"/>
        <v>11</v>
      </c>
    </row>
    <row r="917" spans="1:5" x14ac:dyDescent="0.2">
      <c r="A917">
        <v>6</v>
      </c>
      <c r="B917" t="s">
        <v>74</v>
      </c>
      <c r="C917">
        <v>0</v>
      </c>
      <c r="D917">
        <v>2</v>
      </c>
      <c r="E917" s="3">
        <f t="shared" si="13"/>
        <v>11</v>
      </c>
    </row>
    <row r="918" spans="1:5" x14ac:dyDescent="0.2">
      <c r="A918">
        <v>7</v>
      </c>
      <c r="B918" t="s">
        <v>68</v>
      </c>
      <c r="C918">
        <v>0</v>
      </c>
      <c r="D918">
        <v>1</v>
      </c>
      <c r="E918" s="3">
        <f t="shared" si="13"/>
        <v>11</v>
      </c>
    </row>
    <row r="919" spans="1:5" x14ac:dyDescent="0.2">
      <c r="A919">
        <v>8</v>
      </c>
      <c r="B919" s="2" t="s">
        <v>10</v>
      </c>
      <c r="C919" s="2" t="s">
        <v>10</v>
      </c>
      <c r="D919" s="2" t="s">
        <v>10</v>
      </c>
      <c r="E919" s="3">
        <f t="shared" si="13"/>
        <v>11</v>
      </c>
    </row>
    <row r="920" spans="1:5" x14ac:dyDescent="0.2">
      <c r="A920" s="1" t="s">
        <v>11</v>
      </c>
      <c r="E920" s="3">
        <f t="shared" si="13"/>
        <v>11</v>
      </c>
    </row>
    <row r="921" spans="1:5" x14ac:dyDescent="0.2">
      <c r="A921" s="1" t="s">
        <v>1</v>
      </c>
      <c r="B921" s="1" t="s">
        <v>2</v>
      </c>
      <c r="C921" s="1" t="s">
        <v>3</v>
      </c>
      <c r="D921" s="1" t="s">
        <v>4</v>
      </c>
      <c r="E921" s="3">
        <f t="shared" si="13"/>
        <v>11</v>
      </c>
    </row>
    <row r="922" spans="1:5" x14ac:dyDescent="0.2">
      <c r="A922">
        <v>1</v>
      </c>
      <c r="B922" t="s">
        <v>60</v>
      </c>
      <c r="C922">
        <v>3</v>
      </c>
      <c r="D922">
        <v>17</v>
      </c>
      <c r="E922" s="3">
        <f t="shared" si="13"/>
        <v>11</v>
      </c>
    </row>
    <row r="923" spans="1:5" x14ac:dyDescent="0.2">
      <c r="A923">
        <v>2</v>
      </c>
      <c r="B923" t="s">
        <v>83</v>
      </c>
      <c r="C923">
        <v>2</v>
      </c>
      <c r="D923">
        <v>13</v>
      </c>
      <c r="E923" s="3">
        <f t="shared" si="13"/>
        <v>11</v>
      </c>
    </row>
    <row r="924" spans="1:5" x14ac:dyDescent="0.2">
      <c r="A924">
        <v>3</v>
      </c>
      <c r="B924" t="s">
        <v>8</v>
      </c>
      <c r="C924">
        <v>0</v>
      </c>
      <c r="D924">
        <v>9</v>
      </c>
      <c r="E924" s="3">
        <f t="shared" si="13"/>
        <v>11</v>
      </c>
    </row>
    <row r="925" spans="1:5" x14ac:dyDescent="0.2">
      <c r="A925">
        <v>4</v>
      </c>
      <c r="B925" t="s">
        <v>31</v>
      </c>
      <c r="C925">
        <v>1</v>
      </c>
      <c r="D925">
        <v>5</v>
      </c>
      <c r="E925" s="3">
        <f t="shared" si="13"/>
        <v>11</v>
      </c>
    </row>
    <row r="926" spans="1:5" x14ac:dyDescent="0.2">
      <c r="A926">
        <v>5</v>
      </c>
      <c r="B926" t="s">
        <v>101</v>
      </c>
      <c r="C926">
        <v>0</v>
      </c>
      <c r="D926">
        <v>3</v>
      </c>
      <c r="E926" s="3">
        <f t="shared" si="13"/>
        <v>11</v>
      </c>
    </row>
    <row r="927" spans="1:5" x14ac:dyDescent="0.2">
      <c r="A927">
        <v>6</v>
      </c>
      <c r="B927" t="s">
        <v>18</v>
      </c>
      <c r="C927">
        <v>0</v>
      </c>
      <c r="D927">
        <v>2</v>
      </c>
      <c r="E927" s="3">
        <f t="shared" si="13"/>
        <v>11</v>
      </c>
    </row>
    <row r="928" spans="1:5" x14ac:dyDescent="0.2">
      <c r="A928">
        <v>7</v>
      </c>
      <c r="B928" t="s">
        <v>22</v>
      </c>
      <c r="C928">
        <v>0</v>
      </c>
      <c r="D928">
        <v>1</v>
      </c>
      <c r="E928" s="3">
        <f t="shared" ref="E928:E991" si="14">IF(A928=$A$1,E927+1,E927)</f>
        <v>11</v>
      </c>
    </row>
    <row r="929" spans="1:5" x14ac:dyDescent="0.2">
      <c r="A929">
        <v>8</v>
      </c>
      <c r="B929" s="2" t="s">
        <v>10</v>
      </c>
      <c r="C929" s="2" t="s">
        <v>10</v>
      </c>
      <c r="D929" s="2" t="s">
        <v>10</v>
      </c>
      <c r="E929" s="3">
        <f t="shared" si="14"/>
        <v>11</v>
      </c>
    </row>
    <row r="930" spans="1:5" x14ac:dyDescent="0.2">
      <c r="A930" s="1" t="s">
        <v>17</v>
      </c>
      <c r="E930" s="3">
        <f t="shared" si="14"/>
        <v>11</v>
      </c>
    </row>
    <row r="931" spans="1:5" x14ac:dyDescent="0.2">
      <c r="A931" s="1" t="s">
        <v>1</v>
      </c>
      <c r="B931" s="1" t="s">
        <v>2</v>
      </c>
      <c r="C931" s="1" t="s">
        <v>3</v>
      </c>
      <c r="D931" s="1" t="s">
        <v>4</v>
      </c>
      <c r="E931" s="3">
        <f t="shared" si="14"/>
        <v>11</v>
      </c>
    </row>
    <row r="932" spans="1:5" x14ac:dyDescent="0.2">
      <c r="A932">
        <v>1</v>
      </c>
      <c r="B932" t="s">
        <v>12</v>
      </c>
      <c r="C932">
        <v>4</v>
      </c>
      <c r="D932">
        <v>17</v>
      </c>
      <c r="E932" s="3">
        <f t="shared" si="14"/>
        <v>11</v>
      </c>
    </row>
    <row r="933" spans="1:5" x14ac:dyDescent="0.2">
      <c r="A933">
        <v>2</v>
      </c>
      <c r="B933" t="s">
        <v>23</v>
      </c>
      <c r="C933">
        <v>1</v>
      </c>
      <c r="D933">
        <v>13</v>
      </c>
      <c r="E933" s="3">
        <f t="shared" si="14"/>
        <v>11</v>
      </c>
    </row>
    <row r="934" spans="1:5" x14ac:dyDescent="0.2">
      <c r="A934">
        <v>3</v>
      </c>
      <c r="B934" t="s">
        <v>59</v>
      </c>
      <c r="C934">
        <v>1</v>
      </c>
      <c r="D934">
        <v>9</v>
      </c>
      <c r="E934" s="3">
        <f t="shared" si="14"/>
        <v>11</v>
      </c>
    </row>
    <row r="935" spans="1:5" x14ac:dyDescent="0.2">
      <c r="A935">
        <v>4</v>
      </c>
      <c r="B935" t="s">
        <v>69</v>
      </c>
      <c r="C935">
        <v>0</v>
      </c>
      <c r="D935">
        <v>5</v>
      </c>
      <c r="E935" s="3">
        <f t="shared" si="14"/>
        <v>11</v>
      </c>
    </row>
    <row r="936" spans="1:5" x14ac:dyDescent="0.2">
      <c r="A936">
        <v>5</v>
      </c>
      <c r="B936" t="s">
        <v>54</v>
      </c>
      <c r="C936">
        <v>0</v>
      </c>
      <c r="D936">
        <v>3</v>
      </c>
      <c r="E936" s="3">
        <f t="shared" si="14"/>
        <v>11</v>
      </c>
    </row>
    <row r="937" spans="1:5" x14ac:dyDescent="0.2">
      <c r="A937">
        <v>6</v>
      </c>
      <c r="B937" t="s">
        <v>32</v>
      </c>
      <c r="C937">
        <v>0</v>
      </c>
      <c r="D937">
        <v>2</v>
      </c>
      <c r="E937" s="3">
        <f t="shared" si="14"/>
        <v>11</v>
      </c>
    </row>
    <row r="938" spans="1:5" x14ac:dyDescent="0.2">
      <c r="A938">
        <v>7</v>
      </c>
      <c r="B938" t="s">
        <v>88</v>
      </c>
      <c r="C938">
        <v>0</v>
      </c>
      <c r="D938">
        <v>1</v>
      </c>
      <c r="E938" s="3">
        <f t="shared" si="14"/>
        <v>11</v>
      </c>
    </row>
    <row r="939" spans="1:5" x14ac:dyDescent="0.2">
      <c r="A939">
        <v>8</v>
      </c>
      <c r="B939" s="2" t="s">
        <v>10</v>
      </c>
      <c r="C939" s="2" t="s">
        <v>10</v>
      </c>
      <c r="D939" s="2" t="s">
        <v>10</v>
      </c>
      <c r="E939" s="3">
        <f t="shared" si="14"/>
        <v>11</v>
      </c>
    </row>
    <row r="940" spans="1:5" x14ac:dyDescent="0.2">
      <c r="A940" s="1" t="s">
        <v>24</v>
      </c>
      <c r="E940" s="3">
        <f t="shared" si="14"/>
        <v>11</v>
      </c>
    </row>
    <row r="941" spans="1:5" x14ac:dyDescent="0.2">
      <c r="A941" s="1" t="s">
        <v>1</v>
      </c>
      <c r="B941" s="1" t="s">
        <v>2</v>
      </c>
      <c r="C941" s="1" t="s">
        <v>3</v>
      </c>
      <c r="D941" s="1" t="s">
        <v>4</v>
      </c>
      <c r="E941" s="3">
        <f t="shared" si="14"/>
        <v>11</v>
      </c>
    </row>
    <row r="942" spans="1:5" x14ac:dyDescent="0.2">
      <c r="A942">
        <v>1</v>
      </c>
      <c r="B942" t="s">
        <v>42</v>
      </c>
      <c r="C942">
        <v>3</v>
      </c>
      <c r="D942">
        <v>17</v>
      </c>
      <c r="E942" s="3">
        <f t="shared" si="14"/>
        <v>11</v>
      </c>
    </row>
    <row r="943" spans="1:5" x14ac:dyDescent="0.2">
      <c r="A943">
        <v>2</v>
      </c>
      <c r="B943" t="s">
        <v>75</v>
      </c>
      <c r="C943">
        <v>2</v>
      </c>
      <c r="D943">
        <v>13</v>
      </c>
      <c r="E943" s="3">
        <f t="shared" si="14"/>
        <v>11</v>
      </c>
    </row>
    <row r="944" spans="1:5" x14ac:dyDescent="0.2">
      <c r="A944">
        <v>3</v>
      </c>
      <c r="B944" t="s">
        <v>63</v>
      </c>
      <c r="C944">
        <v>0</v>
      </c>
      <c r="D944">
        <v>9</v>
      </c>
      <c r="E944" s="3">
        <f t="shared" si="14"/>
        <v>11</v>
      </c>
    </row>
    <row r="945" spans="1:5" x14ac:dyDescent="0.2">
      <c r="A945">
        <v>4</v>
      </c>
      <c r="B945" t="s">
        <v>33</v>
      </c>
      <c r="C945">
        <v>1</v>
      </c>
      <c r="D945">
        <v>5</v>
      </c>
      <c r="E945" s="3">
        <f t="shared" si="14"/>
        <v>11</v>
      </c>
    </row>
    <row r="946" spans="1:5" x14ac:dyDescent="0.2">
      <c r="A946">
        <v>5</v>
      </c>
      <c r="B946" t="s">
        <v>26</v>
      </c>
      <c r="C946">
        <v>0</v>
      </c>
      <c r="D946">
        <v>3</v>
      </c>
      <c r="E946" s="3">
        <f t="shared" si="14"/>
        <v>11</v>
      </c>
    </row>
    <row r="947" spans="1:5" x14ac:dyDescent="0.2">
      <c r="A947">
        <v>6</v>
      </c>
      <c r="B947" t="s">
        <v>5</v>
      </c>
      <c r="C947">
        <v>0</v>
      </c>
      <c r="D947">
        <v>2</v>
      </c>
      <c r="E947" s="3">
        <f t="shared" si="14"/>
        <v>11</v>
      </c>
    </row>
    <row r="948" spans="1:5" x14ac:dyDescent="0.2">
      <c r="A948">
        <v>7</v>
      </c>
      <c r="B948" t="s">
        <v>27</v>
      </c>
      <c r="C948">
        <v>0</v>
      </c>
      <c r="D948">
        <v>1</v>
      </c>
      <c r="E948" s="3">
        <f t="shared" si="14"/>
        <v>11</v>
      </c>
    </row>
    <row r="949" spans="1:5" x14ac:dyDescent="0.2">
      <c r="A949">
        <v>8</v>
      </c>
      <c r="B949" s="2" t="s">
        <v>10</v>
      </c>
      <c r="C949" s="2" t="s">
        <v>10</v>
      </c>
      <c r="D949" s="2" t="s">
        <v>10</v>
      </c>
      <c r="E949" s="3">
        <f t="shared" si="14"/>
        <v>11</v>
      </c>
    </row>
    <row r="950" spans="1:5" x14ac:dyDescent="0.2">
      <c r="A950" s="1" t="s">
        <v>30</v>
      </c>
      <c r="E950" s="3">
        <f t="shared" si="14"/>
        <v>11</v>
      </c>
    </row>
    <row r="951" spans="1:5" x14ac:dyDescent="0.2">
      <c r="A951" s="1" t="s">
        <v>1</v>
      </c>
      <c r="B951" s="1" t="s">
        <v>2</v>
      </c>
      <c r="C951" s="1" t="s">
        <v>3</v>
      </c>
      <c r="D951" s="1" t="s">
        <v>4</v>
      </c>
      <c r="E951" s="3">
        <f t="shared" si="14"/>
        <v>11</v>
      </c>
    </row>
    <row r="952" spans="1:5" x14ac:dyDescent="0.2">
      <c r="A952">
        <v>1</v>
      </c>
      <c r="B952" t="s">
        <v>45</v>
      </c>
      <c r="C952">
        <v>3</v>
      </c>
      <c r="D952">
        <v>16</v>
      </c>
      <c r="E952" s="3">
        <f t="shared" si="14"/>
        <v>11</v>
      </c>
    </row>
    <row r="953" spans="1:5" x14ac:dyDescent="0.2">
      <c r="A953">
        <v>2</v>
      </c>
      <c r="B953" t="s">
        <v>40</v>
      </c>
      <c r="C953">
        <v>2</v>
      </c>
      <c r="D953">
        <v>12</v>
      </c>
      <c r="E953" s="3">
        <f t="shared" si="14"/>
        <v>11</v>
      </c>
    </row>
    <row r="954" spans="1:5" x14ac:dyDescent="0.2">
      <c r="A954">
        <v>3</v>
      </c>
      <c r="B954" t="s">
        <v>105</v>
      </c>
      <c r="C954">
        <v>0</v>
      </c>
      <c r="D954">
        <v>8</v>
      </c>
      <c r="E954" s="3">
        <f t="shared" si="14"/>
        <v>11</v>
      </c>
    </row>
    <row r="955" spans="1:5" x14ac:dyDescent="0.2">
      <c r="A955">
        <v>4</v>
      </c>
      <c r="B955" t="s">
        <v>81</v>
      </c>
      <c r="C955">
        <v>0</v>
      </c>
      <c r="D955">
        <v>4</v>
      </c>
      <c r="E955" s="3">
        <f t="shared" si="14"/>
        <v>11</v>
      </c>
    </row>
    <row r="956" spans="1:5" x14ac:dyDescent="0.2">
      <c r="A956">
        <v>5</v>
      </c>
      <c r="B956" t="s">
        <v>6</v>
      </c>
      <c r="C956">
        <v>0</v>
      </c>
      <c r="D956">
        <v>2</v>
      </c>
      <c r="E956" s="3">
        <f t="shared" si="14"/>
        <v>11</v>
      </c>
    </row>
    <row r="957" spans="1:5" x14ac:dyDescent="0.2">
      <c r="A957">
        <v>6</v>
      </c>
      <c r="B957" t="s">
        <v>9</v>
      </c>
      <c r="C957">
        <v>0</v>
      </c>
      <c r="D957">
        <v>1</v>
      </c>
      <c r="E957" s="3">
        <f t="shared" si="14"/>
        <v>11</v>
      </c>
    </row>
    <row r="958" spans="1:5" x14ac:dyDescent="0.2">
      <c r="A958">
        <v>7</v>
      </c>
      <c r="B958" s="2" t="s">
        <v>10</v>
      </c>
      <c r="C958" s="2" t="s">
        <v>10</v>
      </c>
      <c r="D958" s="2" t="s">
        <v>10</v>
      </c>
      <c r="E958" s="3">
        <f t="shared" si="14"/>
        <v>11</v>
      </c>
    </row>
    <row r="959" spans="1:5" x14ac:dyDescent="0.2">
      <c r="A959">
        <v>8</v>
      </c>
      <c r="B959" s="2" t="s">
        <v>10</v>
      </c>
      <c r="C959" s="2" t="s">
        <v>10</v>
      </c>
      <c r="D959" s="2" t="s">
        <v>10</v>
      </c>
      <c r="E959" s="3">
        <f t="shared" si="14"/>
        <v>11</v>
      </c>
    </row>
    <row r="960" spans="1:5" x14ac:dyDescent="0.2">
      <c r="A960" s="1" t="s">
        <v>37</v>
      </c>
      <c r="E960" s="3">
        <f t="shared" si="14"/>
        <v>11</v>
      </c>
    </row>
    <row r="961" spans="1:5" x14ac:dyDescent="0.2">
      <c r="A961" s="1" t="s">
        <v>1</v>
      </c>
      <c r="B961" s="1" t="s">
        <v>2</v>
      </c>
      <c r="C961" s="1" t="s">
        <v>3</v>
      </c>
      <c r="D961" s="1" t="s">
        <v>4</v>
      </c>
      <c r="E961" s="3">
        <f t="shared" si="14"/>
        <v>11</v>
      </c>
    </row>
    <row r="962" spans="1:5" x14ac:dyDescent="0.2">
      <c r="A962">
        <v>1</v>
      </c>
      <c r="B962" t="s">
        <v>14</v>
      </c>
      <c r="C962">
        <v>2</v>
      </c>
      <c r="D962">
        <v>16</v>
      </c>
      <c r="E962" s="3">
        <f t="shared" si="14"/>
        <v>11</v>
      </c>
    </row>
    <row r="963" spans="1:5" x14ac:dyDescent="0.2">
      <c r="A963">
        <v>2</v>
      </c>
      <c r="B963" t="s">
        <v>80</v>
      </c>
      <c r="C963">
        <v>2</v>
      </c>
      <c r="D963">
        <v>12</v>
      </c>
      <c r="E963" s="3">
        <f t="shared" si="14"/>
        <v>11</v>
      </c>
    </row>
    <row r="964" spans="1:5" x14ac:dyDescent="0.2">
      <c r="A964">
        <v>3</v>
      </c>
      <c r="B964" t="s">
        <v>46</v>
      </c>
      <c r="C964">
        <v>1</v>
      </c>
      <c r="D964">
        <v>8</v>
      </c>
      <c r="E964" s="3">
        <f t="shared" si="14"/>
        <v>11</v>
      </c>
    </row>
    <row r="965" spans="1:5" x14ac:dyDescent="0.2">
      <c r="A965">
        <v>4</v>
      </c>
      <c r="B965" t="s">
        <v>41</v>
      </c>
      <c r="C965">
        <v>0</v>
      </c>
      <c r="D965">
        <v>4</v>
      </c>
      <c r="E965" s="3">
        <f t="shared" si="14"/>
        <v>11</v>
      </c>
    </row>
    <row r="966" spans="1:5" x14ac:dyDescent="0.2">
      <c r="A966">
        <v>5</v>
      </c>
      <c r="B966" t="s">
        <v>21</v>
      </c>
      <c r="C966">
        <v>0</v>
      </c>
      <c r="D966">
        <v>2</v>
      </c>
      <c r="E966" s="3">
        <f t="shared" si="14"/>
        <v>11</v>
      </c>
    </row>
    <row r="967" spans="1:5" x14ac:dyDescent="0.2">
      <c r="A967">
        <v>6</v>
      </c>
      <c r="B967" t="s">
        <v>47</v>
      </c>
      <c r="C967">
        <v>0</v>
      </c>
      <c r="D967">
        <v>1</v>
      </c>
      <c r="E967" s="3">
        <f t="shared" si="14"/>
        <v>11</v>
      </c>
    </row>
    <row r="968" spans="1:5" x14ac:dyDescent="0.2">
      <c r="A968">
        <v>7</v>
      </c>
      <c r="B968" s="2" t="s">
        <v>10</v>
      </c>
      <c r="C968" s="2" t="s">
        <v>10</v>
      </c>
      <c r="D968" s="2" t="s">
        <v>10</v>
      </c>
      <c r="E968" s="3">
        <f t="shared" si="14"/>
        <v>11</v>
      </c>
    </row>
    <row r="969" spans="1:5" x14ac:dyDescent="0.2">
      <c r="A969">
        <v>8</v>
      </c>
      <c r="B969" s="2" t="s">
        <v>10</v>
      </c>
      <c r="C969" s="2" t="s">
        <v>10</v>
      </c>
      <c r="D969" s="2" t="s">
        <v>10</v>
      </c>
      <c r="E969" s="3">
        <f t="shared" si="14"/>
        <v>11</v>
      </c>
    </row>
    <row r="970" spans="1:5" x14ac:dyDescent="0.2">
      <c r="A970" s="1" t="s">
        <v>44</v>
      </c>
      <c r="E970" s="3">
        <f t="shared" si="14"/>
        <v>11</v>
      </c>
    </row>
    <row r="971" spans="1:5" x14ac:dyDescent="0.2">
      <c r="A971" s="1" t="s">
        <v>1</v>
      </c>
      <c r="B971" s="1" t="s">
        <v>2</v>
      </c>
      <c r="C971" s="1" t="s">
        <v>3</v>
      </c>
      <c r="D971" s="1" t="s">
        <v>4</v>
      </c>
      <c r="E971" s="3">
        <f t="shared" si="14"/>
        <v>11</v>
      </c>
    </row>
    <row r="972" spans="1:5" x14ac:dyDescent="0.2">
      <c r="A972">
        <v>1</v>
      </c>
      <c r="B972" t="s">
        <v>73</v>
      </c>
      <c r="C972">
        <v>4</v>
      </c>
      <c r="D972">
        <v>16</v>
      </c>
      <c r="E972" s="3">
        <f t="shared" si="14"/>
        <v>11</v>
      </c>
    </row>
    <row r="973" spans="1:5" x14ac:dyDescent="0.2">
      <c r="A973">
        <v>2</v>
      </c>
      <c r="B973" t="s">
        <v>65</v>
      </c>
      <c r="C973">
        <v>1</v>
      </c>
      <c r="D973">
        <v>12</v>
      </c>
      <c r="E973" s="3">
        <f t="shared" si="14"/>
        <v>11</v>
      </c>
    </row>
    <row r="974" spans="1:5" x14ac:dyDescent="0.2">
      <c r="A974">
        <v>3</v>
      </c>
      <c r="B974" t="s">
        <v>77</v>
      </c>
      <c r="C974">
        <v>0</v>
      </c>
      <c r="D974">
        <v>8</v>
      </c>
      <c r="E974" s="3">
        <f t="shared" si="14"/>
        <v>11</v>
      </c>
    </row>
    <row r="975" spans="1:5" x14ac:dyDescent="0.2">
      <c r="A975">
        <v>4</v>
      </c>
      <c r="B975" t="s">
        <v>35</v>
      </c>
      <c r="C975">
        <v>0</v>
      </c>
      <c r="D975">
        <v>4</v>
      </c>
      <c r="E975" s="3">
        <f t="shared" si="14"/>
        <v>11</v>
      </c>
    </row>
    <row r="976" spans="1:5" x14ac:dyDescent="0.2">
      <c r="A976">
        <v>5</v>
      </c>
      <c r="B976" t="s">
        <v>39</v>
      </c>
      <c r="C976">
        <v>0</v>
      </c>
      <c r="D976">
        <v>2</v>
      </c>
      <c r="E976" s="3">
        <f t="shared" si="14"/>
        <v>11</v>
      </c>
    </row>
    <row r="977" spans="1:5" x14ac:dyDescent="0.2">
      <c r="A977">
        <v>6</v>
      </c>
      <c r="B977" t="s">
        <v>55</v>
      </c>
      <c r="C977">
        <v>0</v>
      </c>
      <c r="D977">
        <v>1</v>
      </c>
      <c r="E977" s="3">
        <f t="shared" si="14"/>
        <v>11</v>
      </c>
    </row>
    <row r="978" spans="1:5" x14ac:dyDescent="0.2">
      <c r="A978">
        <v>7</v>
      </c>
      <c r="B978" s="2" t="s">
        <v>10</v>
      </c>
      <c r="C978" s="2" t="s">
        <v>10</v>
      </c>
      <c r="D978" s="2" t="s">
        <v>10</v>
      </c>
      <c r="E978" s="3">
        <f t="shared" si="14"/>
        <v>11</v>
      </c>
    </row>
    <row r="979" spans="1:5" x14ac:dyDescent="0.2">
      <c r="A979">
        <v>8</v>
      </c>
      <c r="B979" s="2" t="s">
        <v>10</v>
      </c>
      <c r="C979" s="2" t="s">
        <v>10</v>
      </c>
      <c r="D979" s="2" t="s">
        <v>10</v>
      </c>
      <c r="E979" s="3">
        <f t="shared" si="14"/>
        <v>11</v>
      </c>
    </row>
    <row r="980" spans="1:5" x14ac:dyDescent="0.2">
      <c r="A980" s="1" t="s">
        <v>0</v>
      </c>
      <c r="E980" s="3">
        <f t="shared" si="14"/>
        <v>12</v>
      </c>
    </row>
    <row r="981" spans="1:5" x14ac:dyDescent="0.2">
      <c r="A981" s="1" t="s">
        <v>1</v>
      </c>
      <c r="B981" s="1" t="s">
        <v>2</v>
      </c>
      <c r="C981" s="1" t="s">
        <v>3</v>
      </c>
      <c r="D981" s="1" t="s">
        <v>4</v>
      </c>
      <c r="E981" s="3">
        <f t="shared" si="14"/>
        <v>12</v>
      </c>
    </row>
    <row r="982" spans="1:5" x14ac:dyDescent="0.2">
      <c r="A982">
        <v>1</v>
      </c>
      <c r="B982" t="s">
        <v>8</v>
      </c>
      <c r="C982">
        <v>4</v>
      </c>
      <c r="D982">
        <v>16</v>
      </c>
      <c r="E982" s="3">
        <f t="shared" si="14"/>
        <v>12</v>
      </c>
    </row>
    <row r="983" spans="1:5" x14ac:dyDescent="0.2">
      <c r="A983">
        <v>2</v>
      </c>
      <c r="B983" t="s">
        <v>33</v>
      </c>
      <c r="C983">
        <v>0</v>
      </c>
      <c r="D983">
        <v>12</v>
      </c>
      <c r="E983" s="3">
        <f t="shared" si="14"/>
        <v>12</v>
      </c>
    </row>
    <row r="984" spans="1:5" x14ac:dyDescent="0.2">
      <c r="A984">
        <v>3</v>
      </c>
      <c r="B984" t="s">
        <v>74</v>
      </c>
      <c r="C984">
        <v>1</v>
      </c>
      <c r="D984">
        <v>8</v>
      </c>
      <c r="E984" s="3">
        <f t="shared" si="14"/>
        <v>12</v>
      </c>
    </row>
    <row r="985" spans="1:5" x14ac:dyDescent="0.2">
      <c r="A985">
        <v>4</v>
      </c>
      <c r="B985" t="s">
        <v>19</v>
      </c>
      <c r="C985">
        <v>0</v>
      </c>
      <c r="D985">
        <v>4</v>
      </c>
      <c r="E985" s="3">
        <f t="shared" si="14"/>
        <v>12</v>
      </c>
    </row>
    <row r="986" spans="1:5" x14ac:dyDescent="0.2">
      <c r="A986">
        <v>5</v>
      </c>
      <c r="B986" t="s">
        <v>31</v>
      </c>
      <c r="C986">
        <v>0</v>
      </c>
      <c r="D986">
        <v>2</v>
      </c>
      <c r="E986" s="3">
        <f t="shared" si="14"/>
        <v>12</v>
      </c>
    </row>
    <row r="987" spans="1:5" x14ac:dyDescent="0.2">
      <c r="A987">
        <v>6</v>
      </c>
      <c r="B987" t="s">
        <v>92</v>
      </c>
      <c r="C987">
        <v>0</v>
      </c>
      <c r="D987">
        <v>1</v>
      </c>
      <c r="E987" s="3">
        <f t="shared" si="14"/>
        <v>12</v>
      </c>
    </row>
    <row r="988" spans="1:5" x14ac:dyDescent="0.2">
      <c r="A988">
        <v>7</v>
      </c>
      <c r="B988" s="2" t="s">
        <v>10</v>
      </c>
      <c r="C988" s="2" t="s">
        <v>10</v>
      </c>
      <c r="D988" s="2" t="s">
        <v>10</v>
      </c>
      <c r="E988" s="3">
        <f t="shared" si="14"/>
        <v>12</v>
      </c>
    </row>
    <row r="989" spans="1:5" x14ac:dyDescent="0.2">
      <c r="A989">
        <v>8</v>
      </c>
      <c r="B989" s="2" t="s">
        <v>10</v>
      </c>
      <c r="C989" s="2" t="s">
        <v>10</v>
      </c>
      <c r="D989" s="2" t="s">
        <v>10</v>
      </c>
      <c r="E989" s="3">
        <f t="shared" si="14"/>
        <v>12</v>
      </c>
    </row>
    <row r="990" spans="1:5" x14ac:dyDescent="0.2">
      <c r="A990" s="1" t="s">
        <v>11</v>
      </c>
      <c r="E990" s="3">
        <f t="shared" si="14"/>
        <v>12</v>
      </c>
    </row>
    <row r="991" spans="1:5" x14ac:dyDescent="0.2">
      <c r="A991" s="1" t="s">
        <v>1</v>
      </c>
      <c r="B991" s="1" t="s">
        <v>2</v>
      </c>
      <c r="C991" s="1" t="s">
        <v>3</v>
      </c>
      <c r="D991" s="1" t="s">
        <v>4</v>
      </c>
      <c r="E991" s="3">
        <f t="shared" si="14"/>
        <v>12</v>
      </c>
    </row>
    <row r="992" spans="1:5" x14ac:dyDescent="0.2">
      <c r="A992">
        <v>1</v>
      </c>
      <c r="B992" t="s">
        <v>12</v>
      </c>
      <c r="C992">
        <v>4</v>
      </c>
      <c r="D992">
        <v>16</v>
      </c>
      <c r="E992" s="3">
        <f t="shared" ref="E992:E1055" si="15">IF(A992=$A$1,E991+1,E991)</f>
        <v>12</v>
      </c>
    </row>
    <row r="993" spans="1:5" x14ac:dyDescent="0.2">
      <c r="A993">
        <v>2</v>
      </c>
      <c r="B993" t="s">
        <v>101</v>
      </c>
      <c r="C993">
        <v>0</v>
      </c>
      <c r="D993">
        <v>12</v>
      </c>
      <c r="E993" s="3">
        <f t="shared" si="15"/>
        <v>12</v>
      </c>
    </row>
    <row r="994" spans="1:5" x14ac:dyDescent="0.2">
      <c r="A994">
        <v>3</v>
      </c>
      <c r="B994" t="s">
        <v>91</v>
      </c>
      <c r="C994">
        <v>1</v>
      </c>
      <c r="D994">
        <v>8</v>
      </c>
      <c r="E994" s="3">
        <f t="shared" si="15"/>
        <v>12</v>
      </c>
    </row>
    <row r="995" spans="1:5" x14ac:dyDescent="0.2">
      <c r="A995">
        <v>4</v>
      </c>
      <c r="B995" t="s">
        <v>55</v>
      </c>
      <c r="C995">
        <v>0</v>
      </c>
      <c r="D995">
        <v>4</v>
      </c>
      <c r="E995" s="3">
        <f t="shared" si="15"/>
        <v>12</v>
      </c>
    </row>
    <row r="996" spans="1:5" x14ac:dyDescent="0.2">
      <c r="A996">
        <v>5</v>
      </c>
      <c r="B996" t="s">
        <v>21</v>
      </c>
      <c r="C996">
        <v>0</v>
      </c>
      <c r="D996">
        <v>2</v>
      </c>
      <c r="E996" s="3">
        <f t="shared" si="15"/>
        <v>12</v>
      </c>
    </row>
    <row r="997" spans="1:5" x14ac:dyDescent="0.2">
      <c r="A997">
        <v>6</v>
      </c>
      <c r="B997" t="s">
        <v>68</v>
      </c>
      <c r="C997">
        <v>0</v>
      </c>
      <c r="D997">
        <v>1</v>
      </c>
      <c r="E997" s="3">
        <f t="shared" si="15"/>
        <v>12</v>
      </c>
    </row>
    <row r="998" spans="1:5" x14ac:dyDescent="0.2">
      <c r="A998">
        <v>7</v>
      </c>
      <c r="B998" s="2" t="s">
        <v>10</v>
      </c>
      <c r="C998" s="2" t="s">
        <v>10</v>
      </c>
      <c r="D998" s="2" t="s">
        <v>10</v>
      </c>
      <c r="E998" s="3">
        <f t="shared" si="15"/>
        <v>12</v>
      </c>
    </row>
    <row r="999" spans="1:5" x14ac:dyDescent="0.2">
      <c r="A999">
        <v>8</v>
      </c>
      <c r="B999" s="2" t="s">
        <v>10</v>
      </c>
      <c r="C999" s="2" t="s">
        <v>10</v>
      </c>
      <c r="D999" s="2" t="s">
        <v>10</v>
      </c>
      <c r="E999" s="3">
        <f t="shared" si="15"/>
        <v>12</v>
      </c>
    </row>
    <row r="1000" spans="1:5" x14ac:dyDescent="0.2">
      <c r="A1000" s="1" t="s">
        <v>17</v>
      </c>
      <c r="E1000" s="3">
        <f t="shared" si="15"/>
        <v>12</v>
      </c>
    </row>
    <row r="1001" spans="1:5" x14ac:dyDescent="0.2">
      <c r="A1001" s="1" t="s">
        <v>1</v>
      </c>
      <c r="B1001" s="1" t="s">
        <v>2</v>
      </c>
      <c r="C1001" s="1" t="s">
        <v>3</v>
      </c>
      <c r="D1001" s="1" t="s">
        <v>4</v>
      </c>
      <c r="E1001" s="3">
        <f t="shared" si="15"/>
        <v>12</v>
      </c>
    </row>
    <row r="1002" spans="1:5" x14ac:dyDescent="0.2">
      <c r="A1002">
        <v>1</v>
      </c>
      <c r="B1002" t="s">
        <v>50</v>
      </c>
      <c r="C1002">
        <v>1</v>
      </c>
      <c r="D1002">
        <v>17</v>
      </c>
      <c r="E1002" s="3">
        <f t="shared" si="15"/>
        <v>12</v>
      </c>
    </row>
    <row r="1003" spans="1:5" x14ac:dyDescent="0.2">
      <c r="A1003">
        <v>2</v>
      </c>
      <c r="B1003" t="s">
        <v>46</v>
      </c>
      <c r="C1003">
        <v>1</v>
      </c>
      <c r="D1003">
        <v>13</v>
      </c>
      <c r="E1003" s="3">
        <f t="shared" si="15"/>
        <v>12</v>
      </c>
    </row>
    <row r="1004" spans="1:5" x14ac:dyDescent="0.2">
      <c r="A1004">
        <v>3</v>
      </c>
      <c r="B1004" t="s">
        <v>26</v>
      </c>
      <c r="C1004">
        <v>3</v>
      </c>
      <c r="D1004">
        <v>9</v>
      </c>
      <c r="E1004" s="3">
        <f t="shared" si="15"/>
        <v>12</v>
      </c>
    </row>
    <row r="1005" spans="1:5" x14ac:dyDescent="0.2">
      <c r="A1005">
        <v>4</v>
      </c>
      <c r="B1005" t="s">
        <v>28</v>
      </c>
      <c r="C1005">
        <v>1</v>
      </c>
      <c r="D1005">
        <v>5</v>
      </c>
      <c r="E1005" s="3">
        <f t="shared" si="15"/>
        <v>12</v>
      </c>
    </row>
    <row r="1006" spans="1:5" x14ac:dyDescent="0.2">
      <c r="A1006">
        <v>5</v>
      </c>
      <c r="B1006" t="s">
        <v>15</v>
      </c>
      <c r="C1006">
        <v>0</v>
      </c>
      <c r="D1006">
        <v>3</v>
      </c>
      <c r="E1006" s="3">
        <f t="shared" si="15"/>
        <v>12</v>
      </c>
    </row>
    <row r="1007" spans="1:5" x14ac:dyDescent="0.2">
      <c r="A1007">
        <v>6</v>
      </c>
      <c r="B1007" t="s">
        <v>88</v>
      </c>
      <c r="C1007">
        <v>0</v>
      </c>
      <c r="D1007">
        <v>2</v>
      </c>
      <c r="E1007" s="3">
        <f t="shared" si="15"/>
        <v>12</v>
      </c>
    </row>
    <row r="1008" spans="1:5" x14ac:dyDescent="0.2">
      <c r="A1008">
        <v>7</v>
      </c>
      <c r="B1008" t="s">
        <v>9</v>
      </c>
      <c r="C1008">
        <v>0</v>
      </c>
      <c r="D1008">
        <v>1</v>
      </c>
      <c r="E1008" s="3">
        <f t="shared" si="15"/>
        <v>12</v>
      </c>
    </row>
    <row r="1009" spans="1:5" x14ac:dyDescent="0.2">
      <c r="A1009">
        <v>8</v>
      </c>
      <c r="B1009" s="2" t="s">
        <v>10</v>
      </c>
      <c r="C1009" s="2" t="s">
        <v>10</v>
      </c>
      <c r="D1009" s="2" t="s">
        <v>10</v>
      </c>
      <c r="E1009" s="3">
        <f t="shared" si="15"/>
        <v>12</v>
      </c>
    </row>
    <row r="1010" spans="1:5" x14ac:dyDescent="0.2">
      <c r="A1010" s="1" t="s">
        <v>24</v>
      </c>
      <c r="E1010" s="3">
        <f t="shared" si="15"/>
        <v>12</v>
      </c>
    </row>
    <row r="1011" spans="1:5" x14ac:dyDescent="0.2">
      <c r="A1011" s="1" t="s">
        <v>1</v>
      </c>
      <c r="B1011" s="1" t="s">
        <v>2</v>
      </c>
      <c r="C1011" s="1" t="s">
        <v>3</v>
      </c>
      <c r="D1011" s="1" t="s">
        <v>4</v>
      </c>
      <c r="E1011" s="3">
        <f t="shared" si="15"/>
        <v>12</v>
      </c>
    </row>
    <row r="1012" spans="1:5" x14ac:dyDescent="0.2">
      <c r="A1012">
        <v>1</v>
      </c>
      <c r="B1012" t="s">
        <v>35</v>
      </c>
      <c r="C1012">
        <v>5</v>
      </c>
      <c r="D1012">
        <v>16</v>
      </c>
      <c r="E1012" s="3">
        <f t="shared" si="15"/>
        <v>12</v>
      </c>
    </row>
    <row r="1013" spans="1:5" x14ac:dyDescent="0.2">
      <c r="A1013">
        <v>2</v>
      </c>
      <c r="B1013" t="s">
        <v>69</v>
      </c>
      <c r="C1013">
        <v>0</v>
      </c>
      <c r="D1013">
        <v>12</v>
      </c>
      <c r="E1013" s="3">
        <f t="shared" si="15"/>
        <v>12</v>
      </c>
    </row>
    <row r="1014" spans="1:5" x14ac:dyDescent="0.2">
      <c r="A1014">
        <v>3</v>
      </c>
      <c r="B1014" t="s">
        <v>47</v>
      </c>
      <c r="C1014">
        <v>0</v>
      </c>
      <c r="D1014">
        <v>8</v>
      </c>
      <c r="E1014" s="3">
        <f t="shared" si="15"/>
        <v>12</v>
      </c>
    </row>
    <row r="1015" spans="1:5" x14ac:dyDescent="0.2">
      <c r="A1015">
        <v>4</v>
      </c>
      <c r="B1015" t="s">
        <v>66</v>
      </c>
      <c r="C1015">
        <v>0</v>
      </c>
      <c r="D1015">
        <v>4</v>
      </c>
      <c r="E1015" s="3">
        <f t="shared" si="15"/>
        <v>12</v>
      </c>
    </row>
    <row r="1016" spans="1:5" x14ac:dyDescent="0.2">
      <c r="A1016">
        <v>5</v>
      </c>
      <c r="B1016" t="s">
        <v>14</v>
      </c>
      <c r="C1016">
        <v>0</v>
      </c>
      <c r="D1016">
        <v>2</v>
      </c>
      <c r="E1016" s="3">
        <f t="shared" si="15"/>
        <v>12</v>
      </c>
    </row>
    <row r="1017" spans="1:5" x14ac:dyDescent="0.2">
      <c r="A1017">
        <v>6</v>
      </c>
      <c r="B1017" t="s">
        <v>103</v>
      </c>
      <c r="C1017">
        <v>0</v>
      </c>
      <c r="D1017">
        <v>1</v>
      </c>
      <c r="E1017" s="3">
        <f t="shared" si="15"/>
        <v>12</v>
      </c>
    </row>
    <row r="1018" spans="1:5" x14ac:dyDescent="0.2">
      <c r="A1018">
        <v>7</v>
      </c>
      <c r="B1018" s="2" t="s">
        <v>10</v>
      </c>
      <c r="C1018" s="2" t="s">
        <v>10</v>
      </c>
      <c r="D1018" s="2" t="s">
        <v>10</v>
      </c>
      <c r="E1018" s="3">
        <f t="shared" si="15"/>
        <v>12</v>
      </c>
    </row>
    <row r="1019" spans="1:5" x14ac:dyDescent="0.2">
      <c r="A1019">
        <v>8</v>
      </c>
      <c r="B1019" s="2" t="s">
        <v>10</v>
      </c>
      <c r="C1019" s="2" t="s">
        <v>10</v>
      </c>
      <c r="D1019" s="2" t="s">
        <v>10</v>
      </c>
      <c r="E1019" s="3">
        <f t="shared" si="15"/>
        <v>12</v>
      </c>
    </row>
    <row r="1020" spans="1:5" x14ac:dyDescent="0.2">
      <c r="A1020" s="1" t="s">
        <v>30</v>
      </c>
      <c r="E1020" s="3">
        <f t="shared" si="15"/>
        <v>12</v>
      </c>
    </row>
    <row r="1021" spans="1:5" x14ac:dyDescent="0.2">
      <c r="A1021" s="1" t="s">
        <v>1</v>
      </c>
      <c r="B1021" s="1" t="s">
        <v>2</v>
      </c>
      <c r="C1021" s="1" t="s">
        <v>3</v>
      </c>
      <c r="D1021" s="1" t="s">
        <v>4</v>
      </c>
      <c r="E1021" s="3">
        <f t="shared" si="15"/>
        <v>12</v>
      </c>
    </row>
    <row r="1022" spans="1:5" x14ac:dyDescent="0.2">
      <c r="A1022">
        <v>1</v>
      </c>
      <c r="B1022" t="s">
        <v>6</v>
      </c>
      <c r="C1022">
        <v>1</v>
      </c>
      <c r="D1022">
        <v>17</v>
      </c>
      <c r="E1022" s="3">
        <f t="shared" si="15"/>
        <v>12</v>
      </c>
    </row>
    <row r="1023" spans="1:5" x14ac:dyDescent="0.2">
      <c r="A1023">
        <v>2</v>
      </c>
      <c r="B1023" t="s">
        <v>40</v>
      </c>
      <c r="C1023">
        <v>3</v>
      </c>
      <c r="D1023">
        <v>13</v>
      </c>
      <c r="E1023" s="3">
        <f t="shared" si="15"/>
        <v>12</v>
      </c>
    </row>
    <row r="1024" spans="1:5" x14ac:dyDescent="0.2">
      <c r="A1024">
        <v>3</v>
      </c>
      <c r="B1024" t="s">
        <v>39</v>
      </c>
      <c r="C1024">
        <v>2</v>
      </c>
      <c r="D1024">
        <v>9</v>
      </c>
      <c r="E1024" s="3">
        <f t="shared" si="15"/>
        <v>12</v>
      </c>
    </row>
    <row r="1025" spans="1:5" x14ac:dyDescent="0.2">
      <c r="A1025">
        <v>4</v>
      </c>
      <c r="B1025" t="s">
        <v>42</v>
      </c>
      <c r="C1025">
        <v>0</v>
      </c>
      <c r="D1025">
        <v>5</v>
      </c>
      <c r="E1025" s="3">
        <f t="shared" si="15"/>
        <v>12</v>
      </c>
    </row>
    <row r="1026" spans="1:5" x14ac:dyDescent="0.2">
      <c r="A1026">
        <v>5</v>
      </c>
      <c r="B1026" t="s">
        <v>63</v>
      </c>
      <c r="C1026">
        <v>0</v>
      </c>
      <c r="D1026">
        <v>3</v>
      </c>
      <c r="E1026" s="3">
        <f t="shared" si="15"/>
        <v>12</v>
      </c>
    </row>
    <row r="1027" spans="1:5" x14ac:dyDescent="0.2">
      <c r="A1027">
        <v>6</v>
      </c>
      <c r="B1027" t="s">
        <v>81</v>
      </c>
      <c r="C1027">
        <v>0</v>
      </c>
      <c r="D1027">
        <v>2</v>
      </c>
      <c r="E1027" s="3">
        <f t="shared" si="15"/>
        <v>12</v>
      </c>
    </row>
    <row r="1028" spans="1:5" x14ac:dyDescent="0.2">
      <c r="A1028">
        <v>7</v>
      </c>
      <c r="B1028" t="s">
        <v>23</v>
      </c>
      <c r="C1028">
        <v>0</v>
      </c>
      <c r="D1028">
        <v>1</v>
      </c>
      <c r="E1028" s="3">
        <f t="shared" si="15"/>
        <v>12</v>
      </c>
    </row>
    <row r="1029" spans="1:5" x14ac:dyDescent="0.2">
      <c r="A1029">
        <v>8</v>
      </c>
      <c r="B1029" s="2" t="s">
        <v>10</v>
      </c>
      <c r="C1029" s="2" t="s">
        <v>10</v>
      </c>
      <c r="D1029" s="2" t="s">
        <v>10</v>
      </c>
      <c r="E1029" s="3">
        <f t="shared" si="15"/>
        <v>12</v>
      </c>
    </row>
    <row r="1030" spans="1:5" x14ac:dyDescent="0.2">
      <c r="A1030" s="1" t="s">
        <v>37</v>
      </c>
      <c r="E1030" s="3">
        <f t="shared" si="15"/>
        <v>12</v>
      </c>
    </row>
    <row r="1031" spans="1:5" x14ac:dyDescent="0.2">
      <c r="A1031" s="1" t="s">
        <v>1</v>
      </c>
      <c r="B1031" s="1" t="s">
        <v>2</v>
      </c>
      <c r="C1031" s="1" t="s">
        <v>3</v>
      </c>
      <c r="D1031" s="1" t="s">
        <v>4</v>
      </c>
      <c r="E1031" s="3">
        <f t="shared" si="15"/>
        <v>12</v>
      </c>
    </row>
    <row r="1032" spans="1:5" x14ac:dyDescent="0.2">
      <c r="A1032">
        <v>1</v>
      </c>
      <c r="B1032" t="s">
        <v>59</v>
      </c>
      <c r="C1032">
        <v>2</v>
      </c>
      <c r="D1032">
        <v>16</v>
      </c>
      <c r="E1032" s="3">
        <f t="shared" si="15"/>
        <v>12</v>
      </c>
    </row>
    <row r="1033" spans="1:5" x14ac:dyDescent="0.2">
      <c r="A1033">
        <v>2</v>
      </c>
      <c r="B1033" t="s">
        <v>41</v>
      </c>
      <c r="C1033">
        <v>1</v>
      </c>
      <c r="D1033">
        <v>12</v>
      </c>
      <c r="E1033" s="3">
        <f t="shared" si="15"/>
        <v>12</v>
      </c>
    </row>
    <row r="1034" spans="1:5" x14ac:dyDescent="0.2">
      <c r="A1034">
        <v>3</v>
      </c>
      <c r="B1034" t="s">
        <v>87</v>
      </c>
      <c r="C1034">
        <v>0</v>
      </c>
      <c r="D1034">
        <v>8</v>
      </c>
      <c r="E1034" s="3">
        <f t="shared" si="15"/>
        <v>12</v>
      </c>
    </row>
    <row r="1035" spans="1:5" x14ac:dyDescent="0.2">
      <c r="A1035">
        <v>4</v>
      </c>
      <c r="B1035" t="s">
        <v>53</v>
      </c>
      <c r="C1035">
        <v>2</v>
      </c>
      <c r="D1035">
        <v>4</v>
      </c>
      <c r="E1035" s="3">
        <f t="shared" si="15"/>
        <v>12</v>
      </c>
    </row>
    <row r="1036" spans="1:5" x14ac:dyDescent="0.2">
      <c r="A1036">
        <v>5</v>
      </c>
      <c r="B1036" t="s">
        <v>75</v>
      </c>
      <c r="C1036">
        <v>0</v>
      </c>
      <c r="D1036">
        <v>2</v>
      </c>
      <c r="E1036" s="3">
        <f t="shared" si="15"/>
        <v>12</v>
      </c>
    </row>
    <row r="1037" spans="1:5" x14ac:dyDescent="0.2">
      <c r="A1037">
        <v>6</v>
      </c>
      <c r="B1037" t="s">
        <v>22</v>
      </c>
      <c r="C1037">
        <v>0</v>
      </c>
      <c r="D1037">
        <v>1</v>
      </c>
      <c r="E1037" s="3">
        <f t="shared" si="15"/>
        <v>12</v>
      </c>
    </row>
    <row r="1038" spans="1:5" x14ac:dyDescent="0.2">
      <c r="A1038">
        <v>7</v>
      </c>
      <c r="B1038" s="2" t="s">
        <v>10</v>
      </c>
      <c r="C1038" s="2" t="s">
        <v>10</v>
      </c>
      <c r="D1038" s="2" t="s">
        <v>10</v>
      </c>
      <c r="E1038" s="3">
        <f t="shared" si="15"/>
        <v>12</v>
      </c>
    </row>
    <row r="1039" spans="1:5" x14ac:dyDescent="0.2">
      <c r="A1039">
        <v>8</v>
      </c>
      <c r="B1039" s="2" t="s">
        <v>10</v>
      </c>
      <c r="C1039" s="2" t="s">
        <v>10</v>
      </c>
      <c r="D1039" s="2" t="s">
        <v>10</v>
      </c>
      <c r="E1039" s="3">
        <f t="shared" si="15"/>
        <v>12</v>
      </c>
    </row>
    <row r="1040" spans="1:5" x14ac:dyDescent="0.2">
      <c r="A1040" s="1" t="s">
        <v>44</v>
      </c>
      <c r="E1040" s="3">
        <f t="shared" si="15"/>
        <v>12</v>
      </c>
    </row>
    <row r="1041" spans="1:5" x14ac:dyDescent="0.2">
      <c r="A1041" s="1" t="s">
        <v>1</v>
      </c>
      <c r="B1041" s="1" t="s">
        <v>2</v>
      </c>
      <c r="C1041" s="1" t="s">
        <v>3</v>
      </c>
      <c r="D1041" s="1" t="s">
        <v>4</v>
      </c>
      <c r="E1041" s="3">
        <f t="shared" si="15"/>
        <v>12</v>
      </c>
    </row>
    <row r="1042" spans="1:5" x14ac:dyDescent="0.2">
      <c r="A1042">
        <v>1</v>
      </c>
      <c r="B1042" t="s">
        <v>45</v>
      </c>
      <c r="C1042">
        <v>2</v>
      </c>
      <c r="D1042">
        <v>17</v>
      </c>
      <c r="E1042" s="3">
        <f t="shared" si="15"/>
        <v>12</v>
      </c>
    </row>
    <row r="1043" spans="1:5" x14ac:dyDescent="0.2">
      <c r="A1043">
        <v>2</v>
      </c>
      <c r="B1043" t="s">
        <v>27</v>
      </c>
      <c r="C1043">
        <v>2</v>
      </c>
      <c r="D1043">
        <v>13</v>
      </c>
      <c r="E1043" s="3">
        <f t="shared" si="15"/>
        <v>12</v>
      </c>
    </row>
    <row r="1044" spans="1:5" x14ac:dyDescent="0.2">
      <c r="A1044">
        <v>3</v>
      </c>
      <c r="B1044" t="s">
        <v>54</v>
      </c>
      <c r="C1044">
        <v>0</v>
      </c>
      <c r="D1044">
        <v>9</v>
      </c>
      <c r="E1044" s="3">
        <f t="shared" si="15"/>
        <v>12</v>
      </c>
    </row>
    <row r="1045" spans="1:5" x14ac:dyDescent="0.2">
      <c r="A1045">
        <v>4</v>
      </c>
      <c r="B1045" t="s">
        <v>32</v>
      </c>
      <c r="C1045">
        <v>1</v>
      </c>
      <c r="D1045">
        <v>5</v>
      </c>
      <c r="E1045" s="3">
        <f t="shared" si="15"/>
        <v>12</v>
      </c>
    </row>
    <row r="1046" spans="1:5" x14ac:dyDescent="0.2">
      <c r="A1046">
        <v>5</v>
      </c>
      <c r="B1046" t="s">
        <v>25</v>
      </c>
      <c r="C1046">
        <v>0</v>
      </c>
      <c r="D1046">
        <v>3</v>
      </c>
      <c r="E1046" s="3">
        <f t="shared" si="15"/>
        <v>12</v>
      </c>
    </row>
    <row r="1047" spans="1:5" x14ac:dyDescent="0.2">
      <c r="A1047">
        <v>6</v>
      </c>
      <c r="B1047" t="s">
        <v>77</v>
      </c>
      <c r="C1047">
        <v>0</v>
      </c>
      <c r="D1047">
        <v>2</v>
      </c>
      <c r="E1047" s="3">
        <f t="shared" si="15"/>
        <v>12</v>
      </c>
    </row>
    <row r="1048" spans="1:5" x14ac:dyDescent="0.2">
      <c r="A1048">
        <v>7</v>
      </c>
      <c r="B1048" t="s">
        <v>52</v>
      </c>
      <c r="C1048">
        <v>0</v>
      </c>
      <c r="D1048">
        <v>1</v>
      </c>
      <c r="E1048" s="3">
        <f t="shared" si="15"/>
        <v>12</v>
      </c>
    </row>
    <row r="1049" spans="1:5" x14ac:dyDescent="0.2">
      <c r="A1049">
        <v>8</v>
      </c>
      <c r="B1049" s="2" t="s">
        <v>10</v>
      </c>
      <c r="C1049" s="2" t="s">
        <v>10</v>
      </c>
      <c r="D1049" s="2" t="s">
        <v>10</v>
      </c>
      <c r="E1049" s="3">
        <f t="shared" si="15"/>
        <v>12</v>
      </c>
    </row>
    <row r="1050" spans="1:5" x14ac:dyDescent="0.2">
      <c r="A1050" s="1" t="s">
        <v>0</v>
      </c>
      <c r="E1050" s="3">
        <f t="shared" si="15"/>
        <v>13</v>
      </c>
    </row>
    <row r="1051" spans="1:5" x14ac:dyDescent="0.2">
      <c r="A1051" s="1" t="s">
        <v>1</v>
      </c>
      <c r="B1051" s="1" t="s">
        <v>2</v>
      </c>
      <c r="C1051" s="1" t="s">
        <v>3</v>
      </c>
      <c r="D1051" s="1" t="s">
        <v>4</v>
      </c>
      <c r="E1051" s="3">
        <f t="shared" si="15"/>
        <v>13</v>
      </c>
    </row>
    <row r="1052" spans="1:5" x14ac:dyDescent="0.2">
      <c r="A1052">
        <v>1</v>
      </c>
      <c r="B1052" t="s">
        <v>48</v>
      </c>
      <c r="C1052">
        <v>3</v>
      </c>
      <c r="D1052">
        <v>16</v>
      </c>
      <c r="E1052" s="3">
        <f t="shared" si="15"/>
        <v>13</v>
      </c>
    </row>
    <row r="1053" spans="1:5" x14ac:dyDescent="0.2">
      <c r="A1053">
        <v>2</v>
      </c>
      <c r="B1053" t="s">
        <v>21</v>
      </c>
      <c r="C1053">
        <v>1</v>
      </c>
      <c r="D1053">
        <v>12</v>
      </c>
      <c r="E1053" s="3">
        <f t="shared" si="15"/>
        <v>13</v>
      </c>
    </row>
    <row r="1054" spans="1:5" x14ac:dyDescent="0.2">
      <c r="A1054">
        <v>3</v>
      </c>
      <c r="B1054" t="s">
        <v>106</v>
      </c>
      <c r="C1054">
        <v>0</v>
      </c>
      <c r="D1054">
        <v>8</v>
      </c>
      <c r="E1054" s="3">
        <f t="shared" si="15"/>
        <v>13</v>
      </c>
    </row>
    <row r="1055" spans="1:5" x14ac:dyDescent="0.2">
      <c r="A1055">
        <v>4</v>
      </c>
      <c r="B1055" t="s">
        <v>23</v>
      </c>
      <c r="C1055">
        <v>0</v>
      </c>
      <c r="D1055">
        <v>4</v>
      </c>
      <c r="E1055" s="3">
        <f t="shared" si="15"/>
        <v>13</v>
      </c>
    </row>
    <row r="1056" spans="1:5" x14ac:dyDescent="0.2">
      <c r="A1056">
        <v>5</v>
      </c>
      <c r="B1056" t="s">
        <v>9</v>
      </c>
      <c r="C1056">
        <v>1</v>
      </c>
      <c r="D1056">
        <v>2</v>
      </c>
      <c r="E1056" s="3">
        <f t="shared" ref="E1056:E1119" si="16">IF(A1056=$A$1,E1055+1,E1055)</f>
        <v>13</v>
      </c>
    </row>
    <row r="1057" spans="1:5" x14ac:dyDescent="0.2">
      <c r="A1057">
        <v>6</v>
      </c>
      <c r="B1057" t="s">
        <v>103</v>
      </c>
      <c r="C1057">
        <v>0</v>
      </c>
      <c r="D1057">
        <v>1</v>
      </c>
      <c r="E1057" s="3">
        <f t="shared" si="16"/>
        <v>13</v>
      </c>
    </row>
    <row r="1058" spans="1:5" x14ac:dyDescent="0.2">
      <c r="A1058">
        <v>7</v>
      </c>
      <c r="B1058" s="2" t="s">
        <v>10</v>
      </c>
      <c r="C1058" s="2" t="s">
        <v>10</v>
      </c>
      <c r="D1058" s="2" t="s">
        <v>10</v>
      </c>
      <c r="E1058" s="3">
        <f t="shared" si="16"/>
        <v>13</v>
      </c>
    </row>
    <row r="1059" spans="1:5" x14ac:dyDescent="0.2">
      <c r="A1059">
        <v>8</v>
      </c>
      <c r="B1059" s="2" t="s">
        <v>10</v>
      </c>
      <c r="C1059" s="2" t="s">
        <v>10</v>
      </c>
      <c r="D1059" s="2" t="s">
        <v>10</v>
      </c>
      <c r="E1059" s="3">
        <f t="shared" si="16"/>
        <v>13</v>
      </c>
    </row>
    <row r="1060" spans="1:5" x14ac:dyDescent="0.2">
      <c r="A1060" s="1" t="s">
        <v>11</v>
      </c>
      <c r="E1060" s="3">
        <f t="shared" si="16"/>
        <v>13</v>
      </c>
    </row>
    <row r="1061" spans="1:5" x14ac:dyDescent="0.2">
      <c r="A1061" s="1" t="s">
        <v>1</v>
      </c>
      <c r="B1061" s="1" t="s">
        <v>2</v>
      </c>
      <c r="C1061" s="1" t="s">
        <v>3</v>
      </c>
      <c r="D1061" s="1" t="s">
        <v>4</v>
      </c>
      <c r="E1061" s="3">
        <f t="shared" si="16"/>
        <v>13</v>
      </c>
    </row>
    <row r="1062" spans="1:5" x14ac:dyDescent="0.2">
      <c r="A1062">
        <v>1</v>
      </c>
      <c r="B1062" t="s">
        <v>8</v>
      </c>
      <c r="C1062">
        <v>2</v>
      </c>
      <c r="D1062">
        <v>17</v>
      </c>
      <c r="E1062" s="3">
        <f t="shared" si="16"/>
        <v>13</v>
      </c>
    </row>
    <row r="1063" spans="1:5" x14ac:dyDescent="0.2">
      <c r="A1063">
        <v>2</v>
      </c>
      <c r="B1063" t="s">
        <v>107</v>
      </c>
      <c r="C1063">
        <v>1</v>
      </c>
      <c r="D1063">
        <v>13</v>
      </c>
      <c r="E1063" s="3">
        <f t="shared" si="16"/>
        <v>13</v>
      </c>
    </row>
    <row r="1064" spans="1:5" x14ac:dyDescent="0.2">
      <c r="A1064">
        <v>3</v>
      </c>
      <c r="B1064" t="s">
        <v>54</v>
      </c>
      <c r="C1064">
        <v>1</v>
      </c>
      <c r="D1064">
        <v>9</v>
      </c>
      <c r="E1064" s="3">
        <f t="shared" si="16"/>
        <v>13</v>
      </c>
    </row>
    <row r="1065" spans="1:5" x14ac:dyDescent="0.2">
      <c r="A1065">
        <v>4</v>
      </c>
      <c r="B1065" t="s">
        <v>74</v>
      </c>
      <c r="C1065">
        <v>1</v>
      </c>
      <c r="D1065">
        <v>5</v>
      </c>
      <c r="E1065" s="3">
        <f t="shared" si="16"/>
        <v>13</v>
      </c>
    </row>
    <row r="1066" spans="1:5" x14ac:dyDescent="0.2">
      <c r="A1066">
        <v>5</v>
      </c>
      <c r="B1066" t="s">
        <v>19</v>
      </c>
      <c r="C1066">
        <v>1</v>
      </c>
      <c r="D1066">
        <v>3</v>
      </c>
      <c r="E1066" s="3">
        <f t="shared" si="16"/>
        <v>13</v>
      </c>
    </row>
    <row r="1067" spans="1:5" x14ac:dyDescent="0.2">
      <c r="A1067">
        <v>6</v>
      </c>
      <c r="B1067" t="s">
        <v>42</v>
      </c>
      <c r="C1067">
        <v>0</v>
      </c>
      <c r="D1067">
        <v>2</v>
      </c>
      <c r="E1067" s="3">
        <f t="shared" si="16"/>
        <v>13</v>
      </c>
    </row>
    <row r="1068" spans="1:5" x14ac:dyDescent="0.2">
      <c r="A1068">
        <v>7</v>
      </c>
      <c r="B1068" t="s">
        <v>52</v>
      </c>
      <c r="C1068">
        <v>0</v>
      </c>
      <c r="D1068">
        <v>1</v>
      </c>
      <c r="E1068" s="3">
        <f t="shared" si="16"/>
        <v>13</v>
      </c>
    </row>
    <row r="1069" spans="1:5" x14ac:dyDescent="0.2">
      <c r="A1069">
        <v>8</v>
      </c>
      <c r="B1069" s="2" t="s">
        <v>10</v>
      </c>
      <c r="C1069" s="2" t="s">
        <v>10</v>
      </c>
      <c r="D1069" s="2" t="s">
        <v>10</v>
      </c>
      <c r="E1069" s="3">
        <f t="shared" si="16"/>
        <v>13</v>
      </c>
    </row>
    <row r="1070" spans="1:5" x14ac:dyDescent="0.2">
      <c r="A1070" s="1" t="s">
        <v>17</v>
      </c>
      <c r="E1070" s="3">
        <f t="shared" si="16"/>
        <v>13</v>
      </c>
    </row>
    <row r="1071" spans="1:5" x14ac:dyDescent="0.2">
      <c r="A1071" s="1" t="s">
        <v>1</v>
      </c>
      <c r="B1071" s="1" t="s">
        <v>2</v>
      </c>
      <c r="C1071" s="1" t="s">
        <v>3</v>
      </c>
      <c r="D1071" s="1" t="s">
        <v>4</v>
      </c>
      <c r="E1071" s="3">
        <f t="shared" si="16"/>
        <v>13</v>
      </c>
    </row>
    <row r="1072" spans="1:5" x14ac:dyDescent="0.2">
      <c r="A1072">
        <v>1</v>
      </c>
      <c r="B1072" t="s">
        <v>101</v>
      </c>
      <c r="C1072">
        <v>3</v>
      </c>
      <c r="D1072">
        <v>17</v>
      </c>
      <c r="E1072" s="3">
        <f t="shared" si="16"/>
        <v>13</v>
      </c>
    </row>
    <row r="1073" spans="1:5" x14ac:dyDescent="0.2">
      <c r="A1073">
        <v>2</v>
      </c>
      <c r="B1073" t="s">
        <v>77</v>
      </c>
      <c r="C1073">
        <v>1</v>
      </c>
      <c r="D1073">
        <v>13</v>
      </c>
      <c r="E1073" s="3">
        <f t="shared" si="16"/>
        <v>13</v>
      </c>
    </row>
    <row r="1074" spans="1:5" x14ac:dyDescent="0.2">
      <c r="A1074">
        <v>3</v>
      </c>
      <c r="B1074" t="s">
        <v>41</v>
      </c>
      <c r="C1074">
        <v>0</v>
      </c>
      <c r="D1074">
        <v>9</v>
      </c>
      <c r="E1074" s="3">
        <f t="shared" si="16"/>
        <v>13</v>
      </c>
    </row>
    <row r="1075" spans="1:5" x14ac:dyDescent="0.2">
      <c r="A1075">
        <v>4</v>
      </c>
      <c r="B1075" t="s">
        <v>14</v>
      </c>
      <c r="C1075">
        <v>1</v>
      </c>
      <c r="D1075">
        <v>5</v>
      </c>
      <c r="E1075" s="3">
        <f t="shared" si="16"/>
        <v>13</v>
      </c>
    </row>
    <row r="1076" spans="1:5" x14ac:dyDescent="0.2">
      <c r="A1076">
        <v>5</v>
      </c>
      <c r="B1076" t="s">
        <v>91</v>
      </c>
      <c r="C1076">
        <v>1</v>
      </c>
      <c r="D1076">
        <v>3</v>
      </c>
      <c r="E1076" s="3">
        <f t="shared" si="16"/>
        <v>13</v>
      </c>
    </row>
    <row r="1077" spans="1:5" x14ac:dyDescent="0.2">
      <c r="A1077">
        <v>6</v>
      </c>
      <c r="B1077" t="s">
        <v>73</v>
      </c>
      <c r="C1077">
        <v>0</v>
      </c>
      <c r="D1077">
        <v>2</v>
      </c>
      <c r="E1077" s="3">
        <f t="shared" si="16"/>
        <v>13</v>
      </c>
    </row>
    <row r="1078" spans="1:5" x14ac:dyDescent="0.2">
      <c r="A1078">
        <v>7</v>
      </c>
      <c r="B1078" t="s">
        <v>63</v>
      </c>
      <c r="C1078">
        <v>0</v>
      </c>
      <c r="D1078">
        <v>1</v>
      </c>
      <c r="E1078" s="3">
        <f t="shared" si="16"/>
        <v>13</v>
      </c>
    </row>
    <row r="1079" spans="1:5" x14ac:dyDescent="0.2">
      <c r="A1079">
        <v>8</v>
      </c>
      <c r="B1079" s="2" t="s">
        <v>10</v>
      </c>
      <c r="C1079" s="2" t="s">
        <v>10</v>
      </c>
      <c r="D1079" s="2" t="s">
        <v>10</v>
      </c>
      <c r="E1079" s="3">
        <f t="shared" si="16"/>
        <v>13</v>
      </c>
    </row>
    <row r="1080" spans="1:5" x14ac:dyDescent="0.2">
      <c r="A1080" s="1" t="s">
        <v>24</v>
      </c>
      <c r="E1080" s="3">
        <f t="shared" si="16"/>
        <v>13</v>
      </c>
    </row>
    <row r="1081" spans="1:5" x14ac:dyDescent="0.2">
      <c r="A1081" s="1" t="s">
        <v>1</v>
      </c>
      <c r="B1081" s="1" t="s">
        <v>2</v>
      </c>
      <c r="C1081" s="1" t="s">
        <v>3</v>
      </c>
      <c r="D1081" s="1" t="s">
        <v>4</v>
      </c>
      <c r="E1081" s="3">
        <f t="shared" si="16"/>
        <v>13</v>
      </c>
    </row>
    <row r="1082" spans="1:5" x14ac:dyDescent="0.2">
      <c r="A1082">
        <v>1</v>
      </c>
      <c r="B1082" t="s">
        <v>28</v>
      </c>
      <c r="C1082">
        <v>2</v>
      </c>
      <c r="D1082">
        <v>17</v>
      </c>
      <c r="E1082" s="3">
        <f t="shared" si="16"/>
        <v>13</v>
      </c>
    </row>
    <row r="1083" spans="1:5" x14ac:dyDescent="0.2">
      <c r="A1083">
        <v>2</v>
      </c>
      <c r="B1083" t="s">
        <v>18</v>
      </c>
      <c r="C1083">
        <v>2</v>
      </c>
      <c r="D1083">
        <v>13</v>
      </c>
      <c r="E1083" s="3">
        <f t="shared" si="16"/>
        <v>13</v>
      </c>
    </row>
    <row r="1084" spans="1:5" x14ac:dyDescent="0.2">
      <c r="A1084">
        <v>3</v>
      </c>
      <c r="B1084" t="s">
        <v>40</v>
      </c>
      <c r="C1084">
        <v>2</v>
      </c>
      <c r="D1084">
        <v>9</v>
      </c>
      <c r="E1084" s="3">
        <f t="shared" si="16"/>
        <v>13</v>
      </c>
    </row>
    <row r="1085" spans="1:5" x14ac:dyDescent="0.2">
      <c r="A1085">
        <v>4</v>
      </c>
      <c r="B1085" t="s">
        <v>32</v>
      </c>
      <c r="C1085">
        <v>0</v>
      </c>
      <c r="D1085">
        <v>5</v>
      </c>
      <c r="E1085" s="3">
        <f t="shared" si="16"/>
        <v>13</v>
      </c>
    </row>
    <row r="1086" spans="1:5" x14ac:dyDescent="0.2">
      <c r="A1086">
        <v>5</v>
      </c>
      <c r="B1086" t="s">
        <v>15</v>
      </c>
      <c r="C1086">
        <v>0</v>
      </c>
      <c r="D1086">
        <v>3</v>
      </c>
      <c r="E1086" s="3">
        <f t="shared" si="16"/>
        <v>13</v>
      </c>
    </row>
    <row r="1087" spans="1:5" x14ac:dyDescent="0.2">
      <c r="A1087">
        <v>6</v>
      </c>
      <c r="B1087" t="s">
        <v>76</v>
      </c>
      <c r="C1087">
        <v>0</v>
      </c>
      <c r="D1087">
        <v>2</v>
      </c>
      <c r="E1087" s="3">
        <f t="shared" si="16"/>
        <v>13</v>
      </c>
    </row>
    <row r="1088" spans="1:5" x14ac:dyDescent="0.2">
      <c r="A1088">
        <v>7</v>
      </c>
      <c r="B1088" t="s">
        <v>27</v>
      </c>
      <c r="C1088">
        <v>0</v>
      </c>
      <c r="D1088">
        <v>1</v>
      </c>
      <c r="E1088" s="3">
        <f t="shared" si="16"/>
        <v>13</v>
      </c>
    </row>
    <row r="1089" spans="1:5" x14ac:dyDescent="0.2">
      <c r="A1089">
        <v>8</v>
      </c>
      <c r="B1089" s="2" t="s">
        <v>10</v>
      </c>
      <c r="C1089" s="2" t="s">
        <v>10</v>
      </c>
      <c r="D1089" s="2" t="s">
        <v>10</v>
      </c>
      <c r="E1089" s="3">
        <f t="shared" si="16"/>
        <v>13</v>
      </c>
    </row>
    <row r="1090" spans="1:5" x14ac:dyDescent="0.2">
      <c r="A1090" s="1" t="s">
        <v>30</v>
      </c>
      <c r="E1090" s="3">
        <f t="shared" si="16"/>
        <v>13</v>
      </c>
    </row>
    <row r="1091" spans="1:5" x14ac:dyDescent="0.2">
      <c r="A1091" s="1" t="s">
        <v>1</v>
      </c>
      <c r="B1091" s="1" t="s">
        <v>2</v>
      </c>
      <c r="C1091" s="1" t="s">
        <v>3</v>
      </c>
      <c r="D1091" s="1" t="s">
        <v>4</v>
      </c>
      <c r="E1091" s="3">
        <f t="shared" si="16"/>
        <v>13</v>
      </c>
    </row>
    <row r="1092" spans="1:5" x14ac:dyDescent="0.2">
      <c r="A1092">
        <v>1</v>
      </c>
      <c r="B1092" t="s">
        <v>65</v>
      </c>
      <c r="C1092">
        <v>3</v>
      </c>
      <c r="D1092">
        <v>17</v>
      </c>
      <c r="E1092" s="3">
        <f t="shared" si="16"/>
        <v>13</v>
      </c>
    </row>
    <row r="1093" spans="1:5" x14ac:dyDescent="0.2">
      <c r="A1093">
        <v>2</v>
      </c>
      <c r="B1093" t="s">
        <v>50</v>
      </c>
      <c r="C1093">
        <v>2</v>
      </c>
      <c r="D1093">
        <v>13</v>
      </c>
      <c r="E1093" s="3">
        <f t="shared" si="16"/>
        <v>13</v>
      </c>
    </row>
    <row r="1094" spans="1:5" x14ac:dyDescent="0.2">
      <c r="A1094">
        <v>3</v>
      </c>
      <c r="B1094" t="s">
        <v>12</v>
      </c>
      <c r="C1094">
        <v>0</v>
      </c>
      <c r="D1094">
        <v>9</v>
      </c>
      <c r="E1094" s="3">
        <f t="shared" si="16"/>
        <v>13</v>
      </c>
    </row>
    <row r="1095" spans="1:5" x14ac:dyDescent="0.2">
      <c r="A1095">
        <v>4</v>
      </c>
      <c r="B1095" t="s">
        <v>26</v>
      </c>
      <c r="C1095">
        <v>1</v>
      </c>
      <c r="D1095">
        <v>5</v>
      </c>
      <c r="E1095" s="3">
        <f t="shared" si="16"/>
        <v>13</v>
      </c>
    </row>
    <row r="1096" spans="1:5" x14ac:dyDescent="0.2">
      <c r="A1096">
        <v>5</v>
      </c>
      <c r="B1096" t="s">
        <v>47</v>
      </c>
      <c r="C1096">
        <v>0</v>
      </c>
      <c r="D1096">
        <v>3</v>
      </c>
      <c r="E1096" s="3">
        <f t="shared" si="16"/>
        <v>13</v>
      </c>
    </row>
    <row r="1097" spans="1:5" x14ac:dyDescent="0.2">
      <c r="A1097">
        <v>6</v>
      </c>
      <c r="B1097" t="s">
        <v>75</v>
      </c>
      <c r="C1097">
        <v>0</v>
      </c>
      <c r="D1097">
        <v>2</v>
      </c>
      <c r="E1097" s="3">
        <f t="shared" si="16"/>
        <v>13</v>
      </c>
    </row>
    <row r="1098" spans="1:5" x14ac:dyDescent="0.2">
      <c r="A1098">
        <v>7</v>
      </c>
      <c r="B1098" t="s">
        <v>59</v>
      </c>
      <c r="C1098">
        <v>0</v>
      </c>
      <c r="D1098">
        <v>1</v>
      </c>
      <c r="E1098" s="3">
        <f t="shared" si="16"/>
        <v>13</v>
      </c>
    </row>
    <row r="1099" spans="1:5" x14ac:dyDescent="0.2">
      <c r="A1099">
        <v>8</v>
      </c>
      <c r="B1099" s="2" t="s">
        <v>10</v>
      </c>
      <c r="C1099" s="2" t="s">
        <v>10</v>
      </c>
      <c r="D1099" s="2" t="s">
        <v>10</v>
      </c>
      <c r="E1099" s="3">
        <f t="shared" si="16"/>
        <v>13</v>
      </c>
    </row>
    <row r="1100" spans="1:5" x14ac:dyDescent="0.2">
      <c r="A1100" s="1" t="s">
        <v>37</v>
      </c>
      <c r="E1100" s="3">
        <f t="shared" si="16"/>
        <v>13</v>
      </c>
    </row>
    <row r="1101" spans="1:5" x14ac:dyDescent="0.2">
      <c r="A1101" s="1" t="s">
        <v>1</v>
      </c>
      <c r="B1101" s="1" t="s">
        <v>2</v>
      </c>
      <c r="C1101" s="1" t="s">
        <v>3</v>
      </c>
      <c r="D1101" s="1" t="s">
        <v>4</v>
      </c>
      <c r="E1101" s="3">
        <f t="shared" si="16"/>
        <v>13</v>
      </c>
    </row>
    <row r="1102" spans="1:5" x14ac:dyDescent="0.2">
      <c r="A1102">
        <v>1</v>
      </c>
      <c r="B1102" t="s">
        <v>6</v>
      </c>
      <c r="C1102">
        <v>2</v>
      </c>
      <c r="D1102">
        <v>17</v>
      </c>
      <c r="E1102" s="3">
        <f t="shared" si="16"/>
        <v>13</v>
      </c>
    </row>
    <row r="1103" spans="1:5" x14ac:dyDescent="0.2">
      <c r="A1103">
        <v>2</v>
      </c>
      <c r="B1103" t="s">
        <v>25</v>
      </c>
      <c r="C1103">
        <v>2</v>
      </c>
      <c r="D1103">
        <v>13</v>
      </c>
      <c r="E1103" s="3">
        <f t="shared" si="16"/>
        <v>13</v>
      </c>
    </row>
    <row r="1104" spans="1:5" x14ac:dyDescent="0.2">
      <c r="A1104">
        <v>3</v>
      </c>
      <c r="B1104" t="s">
        <v>88</v>
      </c>
      <c r="C1104">
        <v>2</v>
      </c>
      <c r="D1104">
        <v>9</v>
      </c>
      <c r="E1104" s="3">
        <f t="shared" si="16"/>
        <v>13</v>
      </c>
    </row>
    <row r="1105" spans="1:5" x14ac:dyDescent="0.2">
      <c r="A1105">
        <v>4</v>
      </c>
      <c r="B1105" t="s">
        <v>46</v>
      </c>
      <c r="C1105">
        <v>0</v>
      </c>
      <c r="D1105">
        <v>5</v>
      </c>
      <c r="E1105" s="3">
        <f t="shared" si="16"/>
        <v>13</v>
      </c>
    </row>
    <row r="1106" spans="1:5" x14ac:dyDescent="0.2">
      <c r="A1106">
        <v>5</v>
      </c>
      <c r="B1106" t="s">
        <v>69</v>
      </c>
      <c r="C1106">
        <v>0</v>
      </c>
      <c r="D1106">
        <v>3</v>
      </c>
      <c r="E1106" s="3">
        <f t="shared" si="16"/>
        <v>13</v>
      </c>
    </row>
    <row r="1107" spans="1:5" x14ac:dyDescent="0.2">
      <c r="A1107">
        <v>6</v>
      </c>
      <c r="B1107" t="s">
        <v>53</v>
      </c>
      <c r="C1107">
        <v>0</v>
      </c>
      <c r="D1107">
        <v>2</v>
      </c>
      <c r="E1107" s="3">
        <f t="shared" si="16"/>
        <v>13</v>
      </c>
    </row>
    <row r="1108" spans="1:5" x14ac:dyDescent="0.2">
      <c r="A1108">
        <v>7</v>
      </c>
      <c r="B1108" t="s">
        <v>22</v>
      </c>
      <c r="C1108">
        <v>0</v>
      </c>
      <c r="D1108">
        <v>1</v>
      </c>
      <c r="E1108" s="3">
        <f t="shared" si="16"/>
        <v>13</v>
      </c>
    </row>
    <row r="1109" spans="1:5" x14ac:dyDescent="0.2">
      <c r="A1109">
        <v>8</v>
      </c>
      <c r="B1109" s="2" t="s">
        <v>10</v>
      </c>
      <c r="C1109" s="2" t="s">
        <v>10</v>
      </c>
      <c r="D1109" s="2" t="s">
        <v>10</v>
      </c>
      <c r="E1109" s="3">
        <f t="shared" si="16"/>
        <v>13</v>
      </c>
    </row>
    <row r="1110" spans="1:5" x14ac:dyDescent="0.2">
      <c r="A1110" s="1" t="s">
        <v>44</v>
      </c>
      <c r="E1110" s="3">
        <f t="shared" si="16"/>
        <v>13</v>
      </c>
    </row>
    <row r="1111" spans="1:5" x14ac:dyDescent="0.2">
      <c r="A1111" s="1" t="s">
        <v>1</v>
      </c>
      <c r="B1111" s="1" t="s">
        <v>2</v>
      </c>
      <c r="C1111" s="1" t="s">
        <v>3</v>
      </c>
      <c r="D1111" s="1" t="s">
        <v>4</v>
      </c>
      <c r="E1111" s="3">
        <f t="shared" si="16"/>
        <v>13</v>
      </c>
    </row>
    <row r="1112" spans="1:5" x14ac:dyDescent="0.2">
      <c r="A1112">
        <v>1</v>
      </c>
      <c r="B1112" t="s">
        <v>87</v>
      </c>
      <c r="C1112">
        <v>2</v>
      </c>
      <c r="D1112">
        <v>17</v>
      </c>
      <c r="E1112" s="3">
        <f t="shared" si="16"/>
        <v>13</v>
      </c>
    </row>
    <row r="1113" spans="1:5" x14ac:dyDescent="0.2">
      <c r="A1113">
        <v>2</v>
      </c>
      <c r="B1113" t="s">
        <v>68</v>
      </c>
      <c r="C1113">
        <v>3</v>
      </c>
      <c r="D1113">
        <v>13</v>
      </c>
      <c r="E1113" s="3">
        <f t="shared" si="16"/>
        <v>13</v>
      </c>
    </row>
    <row r="1114" spans="1:5" x14ac:dyDescent="0.2">
      <c r="A1114">
        <v>3</v>
      </c>
      <c r="B1114" t="s">
        <v>55</v>
      </c>
      <c r="C1114">
        <v>1</v>
      </c>
      <c r="D1114">
        <v>9</v>
      </c>
      <c r="E1114" s="3">
        <f t="shared" si="16"/>
        <v>13</v>
      </c>
    </row>
    <row r="1115" spans="1:5" x14ac:dyDescent="0.2">
      <c r="A1115">
        <v>4</v>
      </c>
      <c r="B1115" t="s">
        <v>66</v>
      </c>
      <c r="C1115">
        <v>0</v>
      </c>
      <c r="D1115">
        <v>5</v>
      </c>
      <c r="E1115" s="3">
        <f t="shared" si="16"/>
        <v>13</v>
      </c>
    </row>
    <row r="1116" spans="1:5" x14ac:dyDescent="0.2">
      <c r="A1116">
        <v>5</v>
      </c>
      <c r="B1116" t="s">
        <v>31</v>
      </c>
      <c r="C1116">
        <v>0</v>
      </c>
      <c r="D1116">
        <v>3</v>
      </c>
      <c r="E1116" s="3">
        <f t="shared" si="16"/>
        <v>13</v>
      </c>
    </row>
    <row r="1117" spans="1:5" x14ac:dyDescent="0.2">
      <c r="A1117">
        <v>6</v>
      </c>
      <c r="B1117" t="s">
        <v>39</v>
      </c>
      <c r="C1117">
        <v>0</v>
      </c>
      <c r="D1117">
        <v>2</v>
      </c>
      <c r="E1117" s="3">
        <f t="shared" si="16"/>
        <v>13</v>
      </c>
    </row>
    <row r="1118" spans="1:5" x14ac:dyDescent="0.2">
      <c r="A1118">
        <v>7</v>
      </c>
      <c r="B1118" t="s">
        <v>45</v>
      </c>
      <c r="C1118">
        <v>0</v>
      </c>
      <c r="D1118">
        <v>1</v>
      </c>
      <c r="E1118" s="3">
        <f t="shared" si="16"/>
        <v>13</v>
      </c>
    </row>
    <row r="1119" spans="1:5" x14ac:dyDescent="0.2">
      <c r="A1119">
        <v>8</v>
      </c>
      <c r="B1119" s="2" t="s">
        <v>10</v>
      </c>
      <c r="C1119" s="2" t="s">
        <v>10</v>
      </c>
      <c r="D1119" s="2" t="s">
        <v>10</v>
      </c>
      <c r="E1119" s="3">
        <f t="shared" si="16"/>
        <v>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D5B24-594C-5442-AE18-472A696A1F0A}">
  <sheetPr codeName="Sheet3"/>
  <dimension ref="A1:E664"/>
  <sheetViews>
    <sheetView zoomScale="90" zoomScaleNormal="90" workbookViewId="0">
      <selection activeCell="E1" sqref="E1"/>
    </sheetView>
  </sheetViews>
  <sheetFormatPr baseColWidth="10" defaultRowHeight="16" x14ac:dyDescent="0.2"/>
  <cols>
    <col min="5" max="5" width="14" bestFit="1" customWidth="1"/>
  </cols>
  <sheetData>
    <row r="1" spans="1:5" x14ac:dyDescent="0.2">
      <c r="A1">
        <v>1</v>
      </c>
      <c r="B1" t="s">
        <v>5</v>
      </c>
      <c r="C1">
        <v>2</v>
      </c>
      <c r="D1">
        <v>15</v>
      </c>
      <c r="E1" t="str">
        <f>B1&amp;"/"&amp;D1&amp;"/"&amp;A1&amp;"/"&amp;C1</f>
        <v>Sabwill/15/1/2</v>
      </c>
    </row>
    <row r="2" spans="1:5" x14ac:dyDescent="0.2">
      <c r="A2">
        <v>2</v>
      </c>
      <c r="B2" t="s">
        <v>6</v>
      </c>
      <c r="C2">
        <v>0</v>
      </c>
      <c r="D2">
        <v>11</v>
      </c>
      <c r="E2" t="str">
        <f t="shared" ref="E2:E65" si="0">B2&amp;"/"&amp;D2&amp;"/"&amp;A2&amp;"/"&amp;C2</f>
        <v>Pyja/11/2/0</v>
      </c>
    </row>
    <row r="3" spans="1:5" x14ac:dyDescent="0.2">
      <c r="A3">
        <v>3</v>
      </c>
      <c r="B3" t="s">
        <v>7</v>
      </c>
      <c r="C3">
        <v>2</v>
      </c>
      <c r="D3">
        <v>7</v>
      </c>
      <c r="E3" t="str">
        <f t="shared" si="0"/>
        <v>Geo/7/3/2</v>
      </c>
    </row>
    <row r="4" spans="1:5" x14ac:dyDescent="0.2">
      <c r="A4">
        <v>4</v>
      </c>
      <c r="B4" t="s">
        <v>8</v>
      </c>
      <c r="C4">
        <v>0</v>
      </c>
      <c r="D4">
        <v>3</v>
      </c>
      <c r="E4" t="str">
        <f t="shared" si="0"/>
        <v>Maxime/3/4/0</v>
      </c>
    </row>
    <row r="5" spans="1:5" x14ac:dyDescent="0.2">
      <c r="A5">
        <v>5</v>
      </c>
      <c r="B5" t="s">
        <v>9</v>
      </c>
      <c r="C5">
        <v>0</v>
      </c>
      <c r="D5">
        <v>1</v>
      </c>
      <c r="E5" t="str">
        <f t="shared" si="0"/>
        <v>K1/1/5/0</v>
      </c>
    </row>
    <row r="6" spans="1:5" x14ac:dyDescent="0.2">
      <c r="A6">
        <v>1</v>
      </c>
      <c r="B6" t="s">
        <v>12</v>
      </c>
      <c r="C6">
        <v>2</v>
      </c>
      <c r="D6">
        <v>15</v>
      </c>
      <c r="E6" t="str">
        <f t="shared" si="0"/>
        <v>Gnak/15/1/2</v>
      </c>
    </row>
    <row r="7" spans="1:5" x14ac:dyDescent="0.2">
      <c r="A7">
        <v>2</v>
      </c>
      <c r="B7" t="s">
        <v>13</v>
      </c>
      <c r="C7">
        <v>0</v>
      </c>
      <c r="D7">
        <v>11</v>
      </c>
      <c r="E7" t="str">
        <f t="shared" si="0"/>
        <v>Ladyleti/11/2/0</v>
      </c>
    </row>
    <row r="8" spans="1:5" x14ac:dyDescent="0.2">
      <c r="A8">
        <v>3</v>
      </c>
      <c r="B8" t="s">
        <v>14</v>
      </c>
      <c r="C8">
        <v>1</v>
      </c>
      <c r="D8">
        <v>7</v>
      </c>
      <c r="E8" t="str">
        <f t="shared" si="0"/>
        <v>Ramm/7/3/1</v>
      </c>
    </row>
    <row r="9" spans="1:5" x14ac:dyDescent="0.2">
      <c r="A9">
        <v>4</v>
      </c>
      <c r="B9" t="s">
        <v>15</v>
      </c>
      <c r="C9">
        <v>1</v>
      </c>
      <c r="D9">
        <v>3</v>
      </c>
      <c r="E9" t="str">
        <f t="shared" si="0"/>
        <v>LAAtof/3/4/1</v>
      </c>
    </row>
    <row r="10" spans="1:5" x14ac:dyDescent="0.2">
      <c r="A10">
        <v>5</v>
      </c>
      <c r="B10" t="s">
        <v>16</v>
      </c>
      <c r="C10">
        <v>0</v>
      </c>
      <c r="D10">
        <v>1</v>
      </c>
      <c r="E10" t="str">
        <f t="shared" si="0"/>
        <v>Stan/1/5/0</v>
      </c>
    </row>
    <row r="11" spans="1:5" x14ac:dyDescent="0.2">
      <c r="A11">
        <v>1</v>
      </c>
      <c r="B11" t="s">
        <v>18</v>
      </c>
      <c r="C11">
        <v>4</v>
      </c>
      <c r="D11">
        <v>16</v>
      </c>
      <c r="E11" t="str">
        <f t="shared" si="0"/>
        <v>MAMS/16/1/4</v>
      </c>
    </row>
    <row r="12" spans="1:5" x14ac:dyDescent="0.2">
      <c r="A12">
        <v>2</v>
      </c>
      <c r="B12" t="s">
        <v>19</v>
      </c>
      <c r="C12">
        <v>1</v>
      </c>
      <c r="D12">
        <v>12</v>
      </c>
      <c r="E12" t="str">
        <f t="shared" si="0"/>
        <v>Giobeck/12/2/1</v>
      </c>
    </row>
    <row r="13" spans="1:5" x14ac:dyDescent="0.2">
      <c r="A13">
        <v>3</v>
      </c>
      <c r="B13" t="s">
        <v>20</v>
      </c>
      <c r="C13">
        <v>0</v>
      </c>
      <c r="D13">
        <v>8</v>
      </c>
      <c r="E13" t="str">
        <f t="shared" si="0"/>
        <v>saymsonite/8/3/0</v>
      </c>
    </row>
    <row r="14" spans="1:5" x14ac:dyDescent="0.2">
      <c r="A14">
        <v>4</v>
      </c>
      <c r="B14" t="s">
        <v>21</v>
      </c>
      <c r="C14">
        <v>0</v>
      </c>
      <c r="D14">
        <v>4</v>
      </c>
      <c r="E14" t="str">
        <f t="shared" si="0"/>
        <v>Carmin/4/4/0</v>
      </c>
    </row>
    <row r="15" spans="1:5" x14ac:dyDescent="0.2">
      <c r="A15">
        <v>5</v>
      </c>
      <c r="B15" t="s">
        <v>22</v>
      </c>
      <c r="C15">
        <v>0</v>
      </c>
      <c r="D15">
        <v>2</v>
      </c>
      <c r="E15" t="str">
        <f t="shared" si="0"/>
        <v>Dart 45/2/5/0</v>
      </c>
    </row>
    <row r="16" spans="1:5" x14ac:dyDescent="0.2">
      <c r="A16">
        <v>6</v>
      </c>
      <c r="B16" t="s">
        <v>23</v>
      </c>
      <c r="C16">
        <v>0</v>
      </c>
      <c r="D16">
        <v>1</v>
      </c>
      <c r="E16" t="str">
        <f t="shared" si="0"/>
        <v>Lylith75/1/6/0</v>
      </c>
    </row>
    <row r="17" spans="1:5" x14ac:dyDescent="0.2">
      <c r="A17">
        <v>1</v>
      </c>
      <c r="B17" t="s">
        <v>25</v>
      </c>
      <c r="C17">
        <v>3</v>
      </c>
      <c r="D17">
        <v>15</v>
      </c>
      <c r="E17" t="str">
        <f t="shared" si="0"/>
        <v>Claudius/15/1/3</v>
      </c>
    </row>
    <row r="18" spans="1:5" x14ac:dyDescent="0.2">
      <c r="A18">
        <v>2</v>
      </c>
      <c r="B18" t="s">
        <v>26</v>
      </c>
      <c r="C18">
        <v>1</v>
      </c>
      <c r="D18">
        <v>11</v>
      </c>
      <c r="E18" t="str">
        <f t="shared" si="0"/>
        <v>LOSOGRE/11/2/1</v>
      </c>
    </row>
    <row r="19" spans="1:5" x14ac:dyDescent="0.2">
      <c r="A19">
        <v>3</v>
      </c>
      <c r="B19" t="s">
        <v>27</v>
      </c>
      <c r="C19">
        <v>0</v>
      </c>
      <c r="D19">
        <v>7</v>
      </c>
      <c r="E19" t="str">
        <f t="shared" si="0"/>
        <v>Mandrake/7/3/0</v>
      </c>
    </row>
    <row r="20" spans="1:5" x14ac:dyDescent="0.2">
      <c r="A20">
        <v>4</v>
      </c>
      <c r="B20" t="s">
        <v>28</v>
      </c>
      <c r="C20">
        <v>0</v>
      </c>
      <c r="D20">
        <v>3</v>
      </c>
      <c r="E20" t="str">
        <f t="shared" si="0"/>
        <v>sobab/3/4/0</v>
      </c>
    </row>
    <row r="21" spans="1:5" x14ac:dyDescent="0.2">
      <c r="A21">
        <v>5</v>
      </c>
      <c r="B21" t="s">
        <v>29</v>
      </c>
      <c r="C21">
        <v>0</v>
      </c>
      <c r="D21">
        <v>1</v>
      </c>
      <c r="E21" t="str">
        <f t="shared" si="0"/>
        <v>NoDoubt/1/5/0</v>
      </c>
    </row>
    <row r="22" spans="1:5" x14ac:dyDescent="0.2">
      <c r="A22">
        <v>1</v>
      </c>
      <c r="B22" t="s">
        <v>31</v>
      </c>
      <c r="C22">
        <v>4</v>
      </c>
      <c r="D22">
        <v>16</v>
      </c>
      <c r="E22" t="str">
        <f t="shared" si="0"/>
        <v>CHRIS92340/16/1/4</v>
      </c>
    </row>
    <row r="23" spans="1:5" x14ac:dyDescent="0.2">
      <c r="A23">
        <v>2</v>
      </c>
      <c r="B23" t="s">
        <v>32</v>
      </c>
      <c r="C23">
        <v>1</v>
      </c>
      <c r="D23">
        <v>12</v>
      </c>
      <c r="E23" t="str">
        <f t="shared" si="0"/>
        <v>OlivierN92/12/2/1</v>
      </c>
    </row>
    <row r="24" spans="1:5" x14ac:dyDescent="0.2">
      <c r="A24">
        <v>3</v>
      </c>
      <c r="B24" t="s">
        <v>33</v>
      </c>
      <c r="C24">
        <v>0</v>
      </c>
      <c r="D24">
        <v>8</v>
      </c>
      <c r="E24" t="str">
        <f t="shared" si="0"/>
        <v>Ptit Savoyard/8/3/0</v>
      </c>
    </row>
    <row r="25" spans="1:5" x14ac:dyDescent="0.2">
      <c r="A25">
        <v>4</v>
      </c>
      <c r="B25" t="s">
        <v>34</v>
      </c>
      <c r="C25">
        <v>0</v>
      </c>
      <c r="D25">
        <v>4</v>
      </c>
      <c r="E25" t="str">
        <f t="shared" si="0"/>
        <v>Solex/4/4/0</v>
      </c>
    </row>
    <row r="26" spans="1:5" x14ac:dyDescent="0.2">
      <c r="A26">
        <v>5</v>
      </c>
      <c r="B26" t="s">
        <v>35</v>
      </c>
      <c r="C26">
        <v>0</v>
      </c>
      <c r="D26">
        <v>2</v>
      </c>
      <c r="E26" t="str">
        <f t="shared" si="0"/>
        <v>JeanMichelTiming/2/5/0</v>
      </c>
    </row>
    <row r="27" spans="1:5" x14ac:dyDescent="0.2">
      <c r="A27">
        <v>6</v>
      </c>
      <c r="B27" t="s">
        <v>36</v>
      </c>
      <c r="C27">
        <v>0</v>
      </c>
      <c r="D27">
        <v>1</v>
      </c>
      <c r="E27" t="str">
        <f t="shared" si="0"/>
        <v>arnomel/1/6/0</v>
      </c>
    </row>
    <row r="28" spans="1:5" x14ac:dyDescent="0.2">
      <c r="A28">
        <v>1</v>
      </c>
      <c r="B28" t="s">
        <v>38</v>
      </c>
      <c r="C28">
        <v>3</v>
      </c>
      <c r="D28">
        <v>16</v>
      </c>
      <c r="E28" t="str">
        <f t="shared" si="0"/>
        <v>cTTprmoa/16/1/3</v>
      </c>
    </row>
    <row r="29" spans="1:5" x14ac:dyDescent="0.2">
      <c r="A29">
        <v>2</v>
      </c>
      <c r="B29" t="s">
        <v>39</v>
      </c>
      <c r="C29">
        <v>2</v>
      </c>
      <c r="D29">
        <v>12</v>
      </c>
      <c r="E29" t="str">
        <f t="shared" si="0"/>
        <v>kheops/12/2/2</v>
      </c>
    </row>
    <row r="30" spans="1:5" x14ac:dyDescent="0.2">
      <c r="A30">
        <v>3</v>
      </c>
      <c r="B30" t="s">
        <v>40</v>
      </c>
      <c r="C30">
        <v>0</v>
      </c>
      <c r="D30">
        <v>8</v>
      </c>
      <c r="E30" t="str">
        <f t="shared" si="0"/>
        <v>Lén@/8/3/0</v>
      </c>
    </row>
    <row r="31" spans="1:5" x14ac:dyDescent="0.2">
      <c r="A31">
        <v>4</v>
      </c>
      <c r="B31" t="s">
        <v>41</v>
      </c>
      <c r="C31">
        <v>0</v>
      </c>
      <c r="D31">
        <v>4</v>
      </c>
      <c r="E31" t="str">
        <f t="shared" si="0"/>
        <v>gibouille/4/4/0</v>
      </c>
    </row>
    <row r="32" spans="1:5" x14ac:dyDescent="0.2">
      <c r="A32">
        <v>5</v>
      </c>
      <c r="B32" t="s">
        <v>42</v>
      </c>
      <c r="C32">
        <v>0</v>
      </c>
      <c r="D32">
        <v>2</v>
      </c>
      <c r="E32" t="str">
        <f t="shared" si="0"/>
        <v>Claptou/2/5/0</v>
      </c>
    </row>
    <row r="33" spans="1:5" x14ac:dyDescent="0.2">
      <c r="A33">
        <v>6</v>
      </c>
      <c r="B33" t="s">
        <v>43</v>
      </c>
      <c r="C33">
        <v>0</v>
      </c>
      <c r="D33">
        <v>1</v>
      </c>
      <c r="E33" t="str">
        <f t="shared" si="0"/>
        <v>KassTwo/1/6/0</v>
      </c>
    </row>
    <row r="34" spans="1:5" x14ac:dyDescent="0.2">
      <c r="A34">
        <v>1</v>
      </c>
      <c r="B34" t="s">
        <v>45</v>
      </c>
      <c r="C34">
        <v>1</v>
      </c>
      <c r="D34">
        <v>16</v>
      </c>
      <c r="E34" t="str">
        <f t="shared" si="0"/>
        <v>yaltar/16/1/1</v>
      </c>
    </row>
    <row r="35" spans="1:5" x14ac:dyDescent="0.2">
      <c r="A35">
        <v>2</v>
      </c>
      <c r="B35" t="s">
        <v>46</v>
      </c>
      <c r="C35">
        <v>2</v>
      </c>
      <c r="D35">
        <v>12</v>
      </c>
      <c r="E35" t="str">
        <f t="shared" si="0"/>
        <v>Jérôme/12/2/2</v>
      </c>
    </row>
    <row r="36" spans="1:5" x14ac:dyDescent="0.2">
      <c r="A36">
        <v>3</v>
      </c>
      <c r="B36" t="s">
        <v>47</v>
      </c>
      <c r="C36">
        <v>1</v>
      </c>
      <c r="D36">
        <v>8</v>
      </c>
      <c r="E36" t="str">
        <f t="shared" si="0"/>
        <v>Logan/8/3/1</v>
      </c>
    </row>
    <row r="37" spans="1:5" x14ac:dyDescent="0.2">
      <c r="A37">
        <v>4</v>
      </c>
      <c r="B37" t="s">
        <v>48</v>
      </c>
      <c r="C37">
        <v>1</v>
      </c>
      <c r="D37">
        <v>4</v>
      </c>
      <c r="E37" t="str">
        <f t="shared" si="0"/>
        <v>Pintu/4/4/1</v>
      </c>
    </row>
    <row r="38" spans="1:5" x14ac:dyDescent="0.2">
      <c r="A38">
        <v>5</v>
      </c>
      <c r="B38" t="s">
        <v>49</v>
      </c>
      <c r="C38">
        <v>0</v>
      </c>
      <c r="D38">
        <v>2</v>
      </c>
      <c r="E38" t="str">
        <f t="shared" si="0"/>
        <v>ABSIS/2/5/0</v>
      </c>
    </row>
    <row r="39" spans="1:5" x14ac:dyDescent="0.2">
      <c r="A39">
        <v>6</v>
      </c>
      <c r="B39" t="s">
        <v>50</v>
      </c>
      <c r="C39">
        <v>0</v>
      </c>
      <c r="D39">
        <v>1</v>
      </c>
      <c r="E39" t="str">
        <f t="shared" si="0"/>
        <v>MLADENGO/1/6/0</v>
      </c>
    </row>
    <row r="40" spans="1:5" x14ac:dyDescent="0.2">
      <c r="A40">
        <v>1</v>
      </c>
      <c r="B40" t="s">
        <v>52</v>
      </c>
      <c r="C40">
        <v>3</v>
      </c>
      <c r="D40">
        <v>16</v>
      </c>
      <c r="E40" t="str">
        <f t="shared" si="0"/>
        <v>Coach Pepito/16/1/3</v>
      </c>
    </row>
    <row r="41" spans="1:5" x14ac:dyDescent="0.2">
      <c r="A41">
        <v>2</v>
      </c>
      <c r="B41" t="s">
        <v>53</v>
      </c>
      <c r="C41">
        <v>1</v>
      </c>
      <c r="D41">
        <v>12</v>
      </c>
      <c r="E41" t="str">
        <f t="shared" si="0"/>
        <v>Makoche/12/2/1</v>
      </c>
    </row>
    <row r="42" spans="1:5" x14ac:dyDescent="0.2">
      <c r="A42">
        <v>3</v>
      </c>
      <c r="B42" t="s">
        <v>54</v>
      </c>
      <c r="C42">
        <v>1</v>
      </c>
      <c r="D42">
        <v>8</v>
      </c>
      <c r="E42" t="str">
        <f t="shared" si="0"/>
        <v>Salsamanu/8/3/1</v>
      </c>
    </row>
    <row r="43" spans="1:5" x14ac:dyDescent="0.2">
      <c r="A43">
        <v>4</v>
      </c>
      <c r="B43" t="s">
        <v>55</v>
      </c>
      <c r="C43">
        <v>0</v>
      </c>
      <c r="D43">
        <v>4</v>
      </c>
      <c r="E43" t="str">
        <f t="shared" si="0"/>
        <v>Bounette/4/4/0</v>
      </c>
    </row>
    <row r="44" spans="1:5" x14ac:dyDescent="0.2">
      <c r="A44">
        <v>5</v>
      </c>
      <c r="B44" t="s">
        <v>56</v>
      </c>
      <c r="C44">
        <v>0</v>
      </c>
      <c r="D44">
        <v>2</v>
      </c>
      <c r="E44" t="str">
        <f t="shared" si="0"/>
        <v>Painauchoc87/2/5/0</v>
      </c>
    </row>
    <row r="45" spans="1:5" x14ac:dyDescent="0.2">
      <c r="A45">
        <v>6</v>
      </c>
      <c r="B45" t="s">
        <v>57</v>
      </c>
      <c r="C45">
        <v>0</v>
      </c>
      <c r="D45">
        <v>1</v>
      </c>
      <c r="E45" t="str">
        <f t="shared" si="0"/>
        <v>ImAAlcalliKK/1/6/0</v>
      </c>
    </row>
    <row r="46" spans="1:5" x14ac:dyDescent="0.2">
      <c r="A46">
        <v>1</v>
      </c>
      <c r="B46" t="s">
        <v>59</v>
      </c>
      <c r="C46">
        <v>2</v>
      </c>
      <c r="D46">
        <v>15</v>
      </c>
      <c r="E46" t="str">
        <f t="shared" si="0"/>
        <v>YooooDA/15/1/2</v>
      </c>
    </row>
    <row r="47" spans="1:5" x14ac:dyDescent="0.2">
      <c r="A47">
        <v>2</v>
      </c>
      <c r="B47" t="s">
        <v>60</v>
      </c>
      <c r="C47">
        <v>2</v>
      </c>
      <c r="D47">
        <v>11</v>
      </c>
      <c r="E47" t="str">
        <f t="shared" si="0"/>
        <v>zizou/11/2/2</v>
      </c>
    </row>
    <row r="48" spans="1:5" x14ac:dyDescent="0.2">
      <c r="A48">
        <v>3</v>
      </c>
      <c r="B48" t="s">
        <v>61</v>
      </c>
      <c r="C48">
        <v>0</v>
      </c>
      <c r="D48">
        <v>7</v>
      </c>
      <c r="E48" t="str">
        <f t="shared" si="0"/>
        <v>Kri-lin/7/3/0</v>
      </c>
    </row>
    <row r="49" spans="1:5" x14ac:dyDescent="0.2">
      <c r="A49">
        <v>4</v>
      </c>
      <c r="B49" t="s">
        <v>62</v>
      </c>
      <c r="C49">
        <v>0</v>
      </c>
      <c r="D49">
        <v>3</v>
      </c>
      <c r="E49" t="str">
        <f t="shared" si="0"/>
        <v>Bulma/3/4/0</v>
      </c>
    </row>
    <row r="50" spans="1:5" x14ac:dyDescent="0.2">
      <c r="A50">
        <v>5</v>
      </c>
      <c r="B50" t="s">
        <v>63</v>
      </c>
      <c r="C50">
        <v>0</v>
      </c>
      <c r="D50">
        <v>1</v>
      </c>
      <c r="E50" t="str">
        <f t="shared" si="0"/>
        <v>Brice/1/5/0</v>
      </c>
    </row>
    <row r="51" spans="1:5" x14ac:dyDescent="0.2">
      <c r="A51">
        <v>1</v>
      </c>
      <c r="B51" t="s">
        <v>65</v>
      </c>
      <c r="C51">
        <v>1</v>
      </c>
      <c r="D51">
        <v>15</v>
      </c>
      <c r="E51" t="str">
        <f t="shared" si="0"/>
        <v>Ripolin/15/1/1</v>
      </c>
    </row>
    <row r="52" spans="1:5" x14ac:dyDescent="0.2">
      <c r="A52">
        <v>2</v>
      </c>
      <c r="B52" t="s">
        <v>66</v>
      </c>
      <c r="C52">
        <v>2</v>
      </c>
      <c r="D52">
        <v>11</v>
      </c>
      <c r="E52" t="str">
        <f t="shared" si="0"/>
        <v>Ad Vitam/11/2/2</v>
      </c>
    </row>
    <row r="53" spans="1:5" x14ac:dyDescent="0.2">
      <c r="A53">
        <v>3</v>
      </c>
      <c r="B53" t="s">
        <v>67</v>
      </c>
      <c r="C53">
        <v>1</v>
      </c>
      <c r="D53">
        <v>7</v>
      </c>
      <c r="E53" t="str">
        <f t="shared" si="0"/>
        <v>Jackiechoune/7/3/1</v>
      </c>
    </row>
    <row r="54" spans="1:5" x14ac:dyDescent="0.2">
      <c r="A54">
        <v>4</v>
      </c>
      <c r="B54" t="s">
        <v>68</v>
      </c>
      <c r="C54">
        <v>0</v>
      </c>
      <c r="D54">
        <v>3</v>
      </c>
      <c r="E54" t="str">
        <f t="shared" si="0"/>
        <v>zubbaz/3/4/0</v>
      </c>
    </row>
    <row r="55" spans="1:5" x14ac:dyDescent="0.2">
      <c r="A55">
        <v>5</v>
      </c>
      <c r="B55" t="s">
        <v>69</v>
      </c>
      <c r="C55">
        <v>0</v>
      </c>
      <c r="D55">
        <v>1</v>
      </c>
      <c r="E55" t="str">
        <f t="shared" si="0"/>
        <v>Catherine/1/5/0</v>
      </c>
    </row>
    <row r="56" spans="1:5" x14ac:dyDescent="0.2">
      <c r="A56">
        <v>1</v>
      </c>
      <c r="B56" t="s">
        <v>71</v>
      </c>
      <c r="C56">
        <v>2</v>
      </c>
      <c r="D56">
        <v>16</v>
      </c>
      <c r="E56" t="str">
        <f t="shared" si="0"/>
        <v>Ghislaine/16/1/2</v>
      </c>
    </row>
    <row r="57" spans="1:5" x14ac:dyDescent="0.2">
      <c r="A57">
        <v>2</v>
      </c>
      <c r="B57" t="s">
        <v>72</v>
      </c>
      <c r="C57">
        <v>2</v>
      </c>
      <c r="D57">
        <v>12</v>
      </c>
      <c r="E57" t="str">
        <f t="shared" si="0"/>
        <v>Le Boss/12/2/2</v>
      </c>
    </row>
    <row r="58" spans="1:5" x14ac:dyDescent="0.2">
      <c r="A58">
        <v>3</v>
      </c>
      <c r="B58" t="s">
        <v>73</v>
      </c>
      <c r="C58">
        <v>0</v>
      </c>
      <c r="D58">
        <v>8</v>
      </c>
      <c r="E58" t="str">
        <f t="shared" si="0"/>
        <v>Flem/8/3/0</v>
      </c>
    </row>
    <row r="59" spans="1:5" x14ac:dyDescent="0.2">
      <c r="A59">
        <v>4</v>
      </c>
      <c r="B59" t="s">
        <v>74</v>
      </c>
      <c r="C59">
        <v>0</v>
      </c>
      <c r="D59">
        <v>4</v>
      </c>
      <c r="E59" t="str">
        <f t="shared" si="0"/>
        <v>PatB/4/4/0</v>
      </c>
    </row>
    <row r="60" spans="1:5" x14ac:dyDescent="0.2">
      <c r="A60">
        <v>5</v>
      </c>
      <c r="B60" t="s">
        <v>75</v>
      </c>
      <c r="C60">
        <v>1</v>
      </c>
      <c r="D60">
        <v>2</v>
      </c>
      <c r="E60" t="str">
        <f t="shared" si="0"/>
        <v>Michelbey/2/5/1</v>
      </c>
    </row>
    <row r="61" spans="1:5" x14ac:dyDescent="0.2">
      <c r="A61">
        <v>6</v>
      </c>
      <c r="B61" t="s">
        <v>76</v>
      </c>
      <c r="C61">
        <v>0</v>
      </c>
      <c r="D61">
        <v>1</v>
      </c>
      <c r="E61" t="str">
        <f t="shared" si="0"/>
        <v>Comment2/1/6/0</v>
      </c>
    </row>
    <row r="62" spans="1:5" x14ac:dyDescent="0.2">
      <c r="A62">
        <v>1</v>
      </c>
      <c r="B62" t="s">
        <v>77</v>
      </c>
      <c r="C62">
        <v>2</v>
      </c>
      <c r="D62">
        <v>15</v>
      </c>
      <c r="E62" t="str">
        <f t="shared" si="0"/>
        <v>Récréatif/15/1/2</v>
      </c>
    </row>
    <row r="63" spans="1:5" x14ac:dyDescent="0.2">
      <c r="A63">
        <v>2</v>
      </c>
      <c r="B63" t="s">
        <v>38</v>
      </c>
      <c r="C63">
        <v>2</v>
      </c>
      <c r="D63">
        <v>11</v>
      </c>
      <c r="E63" t="str">
        <f t="shared" si="0"/>
        <v>cTTprmoa/11/2/2</v>
      </c>
    </row>
    <row r="64" spans="1:5" x14ac:dyDescent="0.2">
      <c r="A64">
        <v>3</v>
      </c>
      <c r="B64" t="s">
        <v>29</v>
      </c>
      <c r="C64">
        <v>0</v>
      </c>
      <c r="D64">
        <v>7</v>
      </c>
      <c r="E64" t="str">
        <f t="shared" si="0"/>
        <v>NoDoubt/7/3/0</v>
      </c>
    </row>
    <row r="65" spans="1:5" x14ac:dyDescent="0.2">
      <c r="A65">
        <v>4</v>
      </c>
      <c r="B65" t="s">
        <v>72</v>
      </c>
      <c r="C65">
        <v>0</v>
      </c>
      <c r="D65">
        <v>3</v>
      </c>
      <c r="E65" t="str">
        <f t="shared" si="0"/>
        <v>Le Boss/3/4/0</v>
      </c>
    </row>
    <row r="66" spans="1:5" x14ac:dyDescent="0.2">
      <c r="A66">
        <v>5</v>
      </c>
      <c r="B66" t="s">
        <v>9</v>
      </c>
      <c r="C66">
        <v>0</v>
      </c>
      <c r="D66">
        <v>1</v>
      </c>
      <c r="E66" t="str">
        <f t="shared" ref="E66:E129" si="1">B66&amp;"/"&amp;D66&amp;"/"&amp;A66&amp;"/"&amp;C66</f>
        <v>K1/1/5/0</v>
      </c>
    </row>
    <row r="67" spans="1:5" x14ac:dyDescent="0.2">
      <c r="A67">
        <v>1</v>
      </c>
      <c r="B67" t="s">
        <v>25</v>
      </c>
      <c r="C67">
        <v>2</v>
      </c>
      <c r="D67">
        <v>15</v>
      </c>
      <c r="E67" t="str">
        <f t="shared" si="1"/>
        <v>Claudius/15/1/2</v>
      </c>
    </row>
    <row r="68" spans="1:5" x14ac:dyDescent="0.2">
      <c r="A68">
        <v>2</v>
      </c>
      <c r="B68" t="s">
        <v>78</v>
      </c>
      <c r="C68">
        <v>2</v>
      </c>
      <c r="D68">
        <v>11</v>
      </c>
      <c r="E68" t="str">
        <f t="shared" si="1"/>
        <v>Cygna/11/2/2</v>
      </c>
    </row>
    <row r="69" spans="1:5" x14ac:dyDescent="0.2">
      <c r="A69">
        <v>3</v>
      </c>
      <c r="B69" t="s">
        <v>79</v>
      </c>
      <c r="C69">
        <v>0</v>
      </c>
      <c r="D69">
        <v>7</v>
      </c>
      <c r="E69" t="str">
        <f t="shared" si="1"/>
        <v>Willyboy/7/3/0</v>
      </c>
    </row>
    <row r="70" spans="1:5" x14ac:dyDescent="0.2">
      <c r="A70">
        <v>4</v>
      </c>
      <c r="B70" t="s">
        <v>59</v>
      </c>
      <c r="C70">
        <v>0</v>
      </c>
      <c r="D70">
        <v>3</v>
      </c>
      <c r="E70" t="str">
        <f t="shared" si="1"/>
        <v>YooooDA/3/4/0</v>
      </c>
    </row>
    <row r="71" spans="1:5" x14ac:dyDescent="0.2">
      <c r="A71">
        <v>5</v>
      </c>
      <c r="B71" t="s">
        <v>74</v>
      </c>
      <c r="C71">
        <v>0</v>
      </c>
      <c r="D71">
        <v>1</v>
      </c>
      <c r="E71" t="str">
        <f t="shared" si="1"/>
        <v>PatB/1/5/0</v>
      </c>
    </row>
    <row r="72" spans="1:5" x14ac:dyDescent="0.2">
      <c r="A72">
        <v>1</v>
      </c>
      <c r="B72" t="s">
        <v>80</v>
      </c>
      <c r="C72">
        <v>3</v>
      </c>
      <c r="D72">
        <v>15</v>
      </c>
      <c r="E72" t="str">
        <f t="shared" si="1"/>
        <v>Fiffou/15/1/3</v>
      </c>
    </row>
    <row r="73" spans="1:5" x14ac:dyDescent="0.2">
      <c r="A73">
        <v>2</v>
      </c>
      <c r="B73" t="s">
        <v>31</v>
      </c>
      <c r="C73">
        <v>1</v>
      </c>
      <c r="D73">
        <v>11</v>
      </c>
      <c r="E73" t="str">
        <f t="shared" si="1"/>
        <v>CHRIS92340/11/2/1</v>
      </c>
    </row>
    <row r="74" spans="1:5" x14ac:dyDescent="0.2">
      <c r="A74">
        <v>3</v>
      </c>
      <c r="B74" t="s">
        <v>35</v>
      </c>
      <c r="C74">
        <v>0</v>
      </c>
      <c r="D74">
        <v>7</v>
      </c>
      <c r="E74" t="str">
        <f t="shared" si="1"/>
        <v>JeanMichelTiming/7/3/0</v>
      </c>
    </row>
    <row r="75" spans="1:5" x14ac:dyDescent="0.2">
      <c r="A75">
        <v>4</v>
      </c>
      <c r="B75" t="s">
        <v>46</v>
      </c>
      <c r="C75">
        <v>0</v>
      </c>
      <c r="D75">
        <v>3</v>
      </c>
      <c r="E75" t="str">
        <f t="shared" si="1"/>
        <v>Jérôme/3/4/0</v>
      </c>
    </row>
    <row r="76" spans="1:5" x14ac:dyDescent="0.2">
      <c r="A76">
        <v>5</v>
      </c>
      <c r="B76" t="s">
        <v>61</v>
      </c>
      <c r="C76">
        <v>0</v>
      </c>
      <c r="D76">
        <v>1</v>
      </c>
      <c r="E76" t="str">
        <f t="shared" si="1"/>
        <v>Kri-lin/1/5/0</v>
      </c>
    </row>
    <row r="77" spans="1:5" x14ac:dyDescent="0.2">
      <c r="A77">
        <v>1</v>
      </c>
      <c r="B77" t="s">
        <v>48</v>
      </c>
      <c r="C77">
        <v>4</v>
      </c>
      <c r="D77">
        <v>16</v>
      </c>
      <c r="E77" t="str">
        <f t="shared" si="1"/>
        <v>Pintu/16/1/4</v>
      </c>
    </row>
    <row r="78" spans="1:5" x14ac:dyDescent="0.2">
      <c r="A78">
        <v>2</v>
      </c>
      <c r="B78" t="s">
        <v>81</v>
      </c>
      <c r="C78">
        <v>1</v>
      </c>
      <c r="D78">
        <v>12</v>
      </c>
      <c r="E78" t="str">
        <f t="shared" si="1"/>
        <v>Empedocle/12/2/1</v>
      </c>
    </row>
    <row r="79" spans="1:5" x14ac:dyDescent="0.2">
      <c r="A79">
        <v>3</v>
      </c>
      <c r="B79" t="s">
        <v>33</v>
      </c>
      <c r="C79">
        <v>0</v>
      </c>
      <c r="D79">
        <v>8</v>
      </c>
      <c r="E79" t="str">
        <f t="shared" si="1"/>
        <v>Ptit Savoyard/8/3/0</v>
      </c>
    </row>
    <row r="80" spans="1:5" x14ac:dyDescent="0.2">
      <c r="A80">
        <v>4</v>
      </c>
      <c r="B80" t="s">
        <v>12</v>
      </c>
      <c r="C80">
        <v>0</v>
      </c>
      <c r="D80">
        <v>4</v>
      </c>
      <c r="E80" t="str">
        <f t="shared" si="1"/>
        <v>Gnak/4/4/0</v>
      </c>
    </row>
    <row r="81" spans="1:5" x14ac:dyDescent="0.2">
      <c r="A81">
        <v>5</v>
      </c>
      <c r="B81" t="s">
        <v>82</v>
      </c>
      <c r="C81">
        <v>0</v>
      </c>
      <c r="D81">
        <v>2</v>
      </c>
      <c r="E81" t="str">
        <f t="shared" si="1"/>
        <v>Shove4value/2/5/0</v>
      </c>
    </row>
    <row r="82" spans="1:5" x14ac:dyDescent="0.2">
      <c r="A82">
        <v>6</v>
      </c>
      <c r="B82" t="s">
        <v>28</v>
      </c>
      <c r="C82">
        <v>0</v>
      </c>
      <c r="D82">
        <v>1</v>
      </c>
      <c r="E82" t="str">
        <f t="shared" si="1"/>
        <v>sobab/1/6/0</v>
      </c>
    </row>
    <row r="83" spans="1:5" x14ac:dyDescent="0.2">
      <c r="A83">
        <v>1</v>
      </c>
      <c r="B83" t="s">
        <v>50</v>
      </c>
      <c r="C83">
        <v>3</v>
      </c>
      <c r="D83">
        <v>15</v>
      </c>
      <c r="E83" t="str">
        <f t="shared" si="1"/>
        <v>MLADENGO/15/1/3</v>
      </c>
    </row>
    <row r="84" spans="1:5" x14ac:dyDescent="0.2">
      <c r="A84">
        <v>2</v>
      </c>
      <c r="B84" t="s">
        <v>69</v>
      </c>
      <c r="C84">
        <v>1</v>
      </c>
      <c r="D84">
        <v>11</v>
      </c>
      <c r="E84" t="str">
        <f t="shared" si="1"/>
        <v>Catherine/11/2/1</v>
      </c>
    </row>
    <row r="85" spans="1:5" x14ac:dyDescent="0.2">
      <c r="A85">
        <v>3</v>
      </c>
      <c r="B85" t="s">
        <v>43</v>
      </c>
      <c r="C85">
        <v>0</v>
      </c>
      <c r="D85">
        <v>7</v>
      </c>
      <c r="E85" t="str">
        <f t="shared" si="1"/>
        <v>KassTwo/7/3/0</v>
      </c>
    </row>
    <row r="86" spans="1:5" x14ac:dyDescent="0.2">
      <c r="A86">
        <v>4</v>
      </c>
      <c r="B86" t="s">
        <v>40</v>
      </c>
      <c r="C86">
        <v>0</v>
      </c>
      <c r="D86">
        <v>3</v>
      </c>
      <c r="E86" t="str">
        <f t="shared" si="1"/>
        <v>Lén@/3/4/0</v>
      </c>
    </row>
    <row r="87" spans="1:5" x14ac:dyDescent="0.2">
      <c r="A87">
        <v>5</v>
      </c>
      <c r="B87" t="s">
        <v>6</v>
      </c>
      <c r="C87">
        <v>0</v>
      </c>
      <c r="D87">
        <v>1</v>
      </c>
      <c r="E87" t="str">
        <f t="shared" si="1"/>
        <v>Pyja/1/5/0</v>
      </c>
    </row>
    <row r="88" spans="1:5" x14ac:dyDescent="0.2">
      <c r="A88">
        <v>1</v>
      </c>
      <c r="B88" t="s">
        <v>55</v>
      </c>
      <c r="C88">
        <v>4</v>
      </c>
      <c r="D88">
        <v>16</v>
      </c>
      <c r="E88" t="str">
        <f t="shared" si="1"/>
        <v>Bounette/16/1/4</v>
      </c>
    </row>
    <row r="89" spans="1:5" x14ac:dyDescent="0.2">
      <c r="A89">
        <v>2</v>
      </c>
      <c r="B89" t="s">
        <v>45</v>
      </c>
      <c r="C89">
        <v>1</v>
      </c>
      <c r="D89">
        <v>12</v>
      </c>
      <c r="E89" t="str">
        <f t="shared" si="1"/>
        <v>yaltar/12/2/1</v>
      </c>
    </row>
    <row r="90" spans="1:5" x14ac:dyDescent="0.2">
      <c r="A90">
        <v>3</v>
      </c>
      <c r="B90" t="s">
        <v>22</v>
      </c>
      <c r="C90">
        <v>0</v>
      </c>
      <c r="D90">
        <v>8</v>
      </c>
      <c r="E90" t="str">
        <f t="shared" si="1"/>
        <v>Dart 45/8/3/0</v>
      </c>
    </row>
    <row r="91" spans="1:5" x14ac:dyDescent="0.2">
      <c r="A91">
        <v>4</v>
      </c>
      <c r="B91" t="s">
        <v>68</v>
      </c>
      <c r="C91">
        <v>0</v>
      </c>
      <c r="D91">
        <v>4</v>
      </c>
      <c r="E91" t="str">
        <f t="shared" si="1"/>
        <v>zubbaz/4/4/0</v>
      </c>
    </row>
    <row r="92" spans="1:5" x14ac:dyDescent="0.2">
      <c r="A92">
        <v>5</v>
      </c>
      <c r="B92" t="s">
        <v>52</v>
      </c>
      <c r="C92">
        <v>0</v>
      </c>
      <c r="D92">
        <v>2</v>
      </c>
      <c r="E92" t="str">
        <f t="shared" si="1"/>
        <v>Coach Pepito/2/5/0</v>
      </c>
    </row>
    <row r="93" spans="1:5" x14ac:dyDescent="0.2">
      <c r="A93">
        <v>6</v>
      </c>
      <c r="B93" t="s">
        <v>71</v>
      </c>
      <c r="C93">
        <v>0</v>
      </c>
      <c r="D93">
        <v>1</v>
      </c>
      <c r="E93" t="str">
        <f t="shared" si="1"/>
        <v>Ghislaine/1/6/0</v>
      </c>
    </row>
    <row r="94" spans="1:5" x14ac:dyDescent="0.2">
      <c r="A94">
        <v>1</v>
      </c>
      <c r="B94" t="s">
        <v>66</v>
      </c>
      <c r="C94">
        <v>4</v>
      </c>
      <c r="D94">
        <v>16</v>
      </c>
      <c r="E94" t="str">
        <f t="shared" si="1"/>
        <v>Ad Vitam/16/1/4</v>
      </c>
    </row>
    <row r="95" spans="1:5" x14ac:dyDescent="0.2">
      <c r="A95">
        <v>2</v>
      </c>
      <c r="B95" t="s">
        <v>54</v>
      </c>
      <c r="C95">
        <v>0</v>
      </c>
      <c r="D95">
        <v>12</v>
      </c>
      <c r="E95" t="str">
        <f t="shared" si="1"/>
        <v>Salsamanu/12/2/0</v>
      </c>
    </row>
    <row r="96" spans="1:5" x14ac:dyDescent="0.2">
      <c r="A96">
        <v>3</v>
      </c>
      <c r="B96" t="s">
        <v>13</v>
      </c>
      <c r="C96">
        <v>0</v>
      </c>
      <c r="D96">
        <v>8</v>
      </c>
      <c r="E96" t="str">
        <f t="shared" si="1"/>
        <v>Ladyleti/8/3/0</v>
      </c>
    </row>
    <row r="97" spans="1:5" x14ac:dyDescent="0.2">
      <c r="A97">
        <v>4</v>
      </c>
      <c r="B97" t="s">
        <v>7</v>
      </c>
      <c r="C97">
        <v>1</v>
      </c>
      <c r="D97">
        <v>4</v>
      </c>
      <c r="E97" t="str">
        <f t="shared" si="1"/>
        <v>Geo/4/4/1</v>
      </c>
    </row>
    <row r="98" spans="1:5" x14ac:dyDescent="0.2">
      <c r="A98">
        <v>5</v>
      </c>
      <c r="B98" t="s">
        <v>19</v>
      </c>
      <c r="C98">
        <v>0</v>
      </c>
      <c r="D98">
        <v>2</v>
      </c>
      <c r="E98" t="str">
        <f t="shared" si="1"/>
        <v>Giobeck/2/5/0</v>
      </c>
    </row>
    <row r="99" spans="1:5" x14ac:dyDescent="0.2">
      <c r="A99">
        <v>6</v>
      </c>
      <c r="B99" t="s">
        <v>63</v>
      </c>
      <c r="C99">
        <v>0</v>
      </c>
      <c r="D99">
        <v>1</v>
      </c>
      <c r="E99" t="str">
        <f t="shared" si="1"/>
        <v>Brice/1/6/0</v>
      </c>
    </row>
    <row r="100" spans="1:5" x14ac:dyDescent="0.2">
      <c r="A100">
        <v>1</v>
      </c>
      <c r="B100" t="s">
        <v>14</v>
      </c>
      <c r="C100">
        <v>2</v>
      </c>
      <c r="D100">
        <v>15</v>
      </c>
      <c r="E100" t="str">
        <f t="shared" si="1"/>
        <v>Ramm/15/1/2</v>
      </c>
    </row>
    <row r="101" spans="1:5" x14ac:dyDescent="0.2">
      <c r="A101">
        <v>2</v>
      </c>
      <c r="B101" t="s">
        <v>67</v>
      </c>
      <c r="C101">
        <v>1</v>
      </c>
      <c r="D101">
        <v>11</v>
      </c>
      <c r="E101" t="str">
        <f t="shared" si="1"/>
        <v>Jackiechoune/11/2/1</v>
      </c>
    </row>
    <row r="102" spans="1:5" x14ac:dyDescent="0.2">
      <c r="A102">
        <v>3</v>
      </c>
      <c r="B102" t="s">
        <v>41</v>
      </c>
      <c r="C102">
        <v>0</v>
      </c>
      <c r="D102">
        <v>7</v>
      </c>
      <c r="E102" t="str">
        <f t="shared" si="1"/>
        <v>gibouille/7/3/0</v>
      </c>
    </row>
    <row r="103" spans="1:5" x14ac:dyDescent="0.2">
      <c r="A103">
        <v>4</v>
      </c>
      <c r="B103" t="s">
        <v>83</v>
      </c>
      <c r="C103">
        <v>1</v>
      </c>
      <c r="D103">
        <v>3</v>
      </c>
      <c r="E103" t="str">
        <f t="shared" si="1"/>
        <v>ChickenSoup/3/4/1</v>
      </c>
    </row>
    <row r="104" spans="1:5" x14ac:dyDescent="0.2">
      <c r="A104">
        <v>5</v>
      </c>
      <c r="B104" t="s">
        <v>27</v>
      </c>
      <c r="C104">
        <v>0</v>
      </c>
      <c r="D104">
        <v>1</v>
      </c>
      <c r="E104" t="str">
        <f t="shared" si="1"/>
        <v>Mandrake/1/5/0</v>
      </c>
    </row>
    <row r="105" spans="1:5" x14ac:dyDescent="0.2">
      <c r="A105">
        <v>1</v>
      </c>
      <c r="B105" t="s">
        <v>76</v>
      </c>
      <c r="C105">
        <v>3</v>
      </c>
      <c r="D105">
        <v>16</v>
      </c>
      <c r="E105" t="str">
        <f t="shared" si="1"/>
        <v>Comment2/16/1/3</v>
      </c>
    </row>
    <row r="106" spans="1:5" x14ac:dyDescent="0.2">
      <c r="A106">
        <v>2</v>
      </c>
      <c r="B106" t="s">
        <v>26</v>
      </c>
      <c r="C106">
        <v>0</v>
      </c>
      <c r="D106">
        <v>12</v>
      </c>
      <c r="E106" t="str">
        <f t="shared" si="1"/>
        <v>LOSOGRE/12/2/0</v>
      </c>
    </row>
    <row r="107" spans="1:5" x14ac:dyDescent="0.2">
      <c r="A107">
        <v>3</v>
      </c>
      <c r="B107" t="s">
        <v>84</v>
      </c>
      <c r="C107">
        <v>2</v>
      </c>
      <c r="D107">
        <v>8</v>
      </c>
      <c r="E107" t="str">
        <f t="shared" si="1"/>
        <v>Verte/8/3/2</v>
      </c>
    </row>
    <row r="108" spans="1:5" x14ac:dyDescent="0.2">
      <c r="A108">
        <v>4</v>
      </c>
      <c r="B108" t="s">
        <v>42</v>
      </c>
      <c r="C108">
        <v>0</v>
      </c>
      <c r="D108">
        <v>4</v>
      </c>
      <c r="E108" t="str">
        <f t="shared" si="1"/>
        <v>Claptou/4/4/0</v>
      </c>
    </row>
    <row r="109" spans="1:5" x14ac:dyDescent="0.2">
      <c r="A109">
        <v>5</v>
      </c>
      <c r="B109" t="s">
        <v>73</v>
      </c>
      <c r="C109">
        <v>0</v>
      </c>
      <c r="D109">
        <v>2</v>
      </c>
      <c r="E109" t="str">
        <f t="shared" si="1"/>
        <v>Flem/2/5/0</v>
      </c>
    </row>
    <row r="110" spans="1:5" x14ac:dyDescent="0.2">
      <c r="A110">
        <v>6</v>
      </c>
      <c r="B110" t="s">
        <v>39</v>
      </c>
      <c r="C110">
        <v>0</v>
      </c>
      <c r="D110">
        <v>1</v>
      </c>
      <c r="E110" t="str">
        <f t="shared" si="1"/>
        <v>kheops/1/6/0</v>
      </c>
    </row>
    <row r="111" spans="1:5" x14ac:dyDescent="0.2">
      <c r="A111">
        <v>1</v>
      </c>
      <c r="B111" t="s">
        <v>23</v>
      </c>
      <c r="C111">
        <v>2</v>
      </c>
      <c r="D111">
        <v>15</v>
      </c>
      <c r="E111" t="str">
        <f t="shared" si="1"/>
        <v>Lylith75/15/1/2</v>
      </c>
    </row>
    <row r="112" spans="1:5" x14ac:dyDescent="0.2">
      <c r="A112">
        <v>2</v>
      </c>
      <c r="B112" t="s">
        <v>85</v>
      </c>
      <c r="C112">
        <v>1</v>
      </c>
      <c r="D112">
        <v>11</v>
      </c>
      <c r="E112" t="str">
        <f t="shared" si="1"/>
        <v>HellNO/11/2/1</v>
      </c>
    </row>
    <row r="113" spans="1:5" x14ac:dyDescent="0.2">
      <c r="A113">
        <v>3</v>
      </c>
      <c r="B113" t="s">
        <v>86</v>
      </c>
      <c r="C113">
        <v>0</v>
      </c>
      <c r="D113">
        <v>7</v>
      </c>
      <c r="E113" t="str">
        <f t="shared" si="1"/>
        <v>TaHiTiSun/7/3/0</v>
      </c>
    </row>
    <row r="114" spans="1:5" x14ac:dyDescent="0.2">
      <c r="A114">
        <v>4</v>
      </c>
      <c r="B114" t="s">
        <v>87</v>
      </c>
      <c r="C114">
        <v>1</v>
      </c>
      <c r="D114">
        <v>3</v>
      </c>
      <c r="E114" t="str">
        <f t="shared" si="1"/>
        <v>Proph@ne/3/4/1</v>
      </c>
    </row>
    <row r="115" spans="1:5" x14ac:dyDescent="0.2">
      <c r="A115">
        <v>5</v>
      </c>
      <c r="B115" t="s">
        <v>75</v>
      </c>
      <c r="C115">
        <v>0</v>
      </c>
      <c r="D115">
        <v>1</v>
      </c>
      <c r="E115" t="str">
        <f t="shared" si="1"/>
        <v>Michelbey/1/5/0</v>
      </c>
    </row>
    <row r="116" spans="1:5" x14ac:dyDescent="0.2">
      <c r="A116">
        <v>1</v>
      </c>
      <c r="B116" t="s">
        <v>47</v>
      </c>
      <c r="C116">
        <v>4</v>
      </c>
      <c r="D116">
        <v>15</v>
      </c>
      <c r="E116" t="str">
        <f t="shared" si="1"/>
        <v>Logan/15/1/4</v>
      </c>
    </row>
    <row r="117" spans="1:5" x14ac:dyDescent="0.2">
      <c r="A117">
        <v>2</v>
      </c>
      <c r="B117" t="s">
        <v>15</v>
      </c>
      <c r="C117">
        <v>0</v>
      </c>
      <c r="D117">
        <v>11</v>
      </c>
      <c r="E117" t="str">
        <f t="shared" si="1"/>
        <v>LAAtof/11/2/0</v>
      </c>
    </row>
    <row r="118" spans="1:5" x14ac:dyDescent="0.2">
      <c r="A118">
        <v>3</v>
      </c>
      <c r="B118" t="s">
        <v>88</v>
      </c>
      <c r="C118">
        <v>0</v>
      </c>
      <c r="D118">
        <v>7</v>
      </c>
      <c r="E118" t="str">
        <f t="shared" si="1"/>
        <v>Yarael/7/3/0</v>
      </c>
    </row>
    <row r="119" spans="1:5" x14ac:dyDescent="0.2">
      <c r="A119">
        <v>4</v>
      </c>
      <c r="B119" t="s">
        <v>89</v>
      </c>
      <c r="C119">
        <v>0</v>
      </c>
      <c r="D119">
        <v>3</v>
      </c>
      <c r="E119" t="str">
        <f t="shared" si="1"/>
        <v>Little Miss Sunshine/3/4/0</v>
      </c>
    </row>
    <row r="120" spans="1:5" x14ac:dyDescent="0.2">
      <c r="A120">
        <v>5</v>
      </c>
      <c r="B120" t="s">
        <v>21</v>
      </c>
      <c r="C120">
        <v>0</v>
      </c>
      <c r="D120">
        <v>1</v>
      </c>
      <c r="E120" t="str">
        <f t="shared" si="1"/>
        <v>Carmin/1/5/0</v>
      </c>
    </row>
    <row r="121" spans="1:5" x14ac:dyDescent="0.2">
      <c r="A121">
        <v>1</v>
      </c>
      <c r="B121" t="s">
        <v>35</v>
      </c>
      <c r="C121">
        <v>1</v>
      </c>
      <c r="D121">
        <v>15</v>
      </c>
      <c r="E121" t="str">
        <f t="shared" si="1"/>
        <v>JeanMichelTiming/15/1/1</v>
      </c>
    </row>
    <row r="122" spans="1:5" x14ac:dyDescent="0.2">
      <c r="A122">
        <v>2</v>
      </c>
      <c r="B122" t="s">
        <v>85</v>
      </c>
      <c r="C122">
        <v>2</v>
      </c>
      <c r="D122">
        <v>11</v>
      </c>
      <c r="E122" t="str">
        <f t="shared" si="1"/>
        <v>HellNO/11/2/2</v>
      </c>
    </row>
    <row r="123" spans="1:5" x14ac:dyDescent="0.2">
      <c r="A123">
        <v>3</v>
      </c>
      <c r="B123" t="s">
        <v>28</v>
      </c>
      <c r="C123">
        <v>1</v>
      </c>
      <c r="D123">
        <v>7</v>
      </c>
      <c r="E123" t="str">
        <f t="shared" si="1"/>
        <v>sobab/7/3/1</v>
      </c>
    </row>
    <row r="124" spans="1:5" x14ac:dyDescent="0.2">
      <c r="A124">
        <v>4</v>
      </c>
      <c r="B124" t="s">
        <v>31</v>
      </c>
      <c r="C124">
        <v>0</v>
      </c>
      <c r="D124">
        <v>3</v>
      </c>
      <c r="E124" t="str">
        <f t="shared" si="1"/>
        <v>CHRIS92340/3/4/0</v>
      </c>
    </row>
    <row r="125" spans="1:5" x14ac:dyDescent="0.2">
      <c r="A125">
        <v>5</v>
      </c>
      <c r="B125" t="s">
        <v>76</v>
      </c>
      <c r="C125">
        <v>0</v>
      </c>
      <c r="D125">
        <v>1</v>
      </c>
      <c r="E125" t="str">
        <f t="shared" si="1"/>
        <v>Comment2/1/5/0</v>
      </c>
    </row>
    <row r="126" spans="1:5" x14ac:dyDescent="0.2">
      <c r="A126">
        <v>1</v>
      </c>
      <c r="B126" t="s">
        <v>34</v>
      </c>
      <c r="C126">
        <v>2</v>
      </c>
      <c r="D126">
        <v>16</v>
      </c>
      <c r="E126" t="str">
        <f t="shared" si="1"/>
        <v>Solex/16/1/2</v>
      </c>
    </row>
    <row r="127" spans="1:5" x14ac:dyDescent="0.2">
      <c r="A127">
        <v>2</v>
      </c>
      <c r="B127" t="s">
        <v>59</v>
      </c>
      <c r="C127">
        <v>3</v>
      </c>
      <c r="D127">
        <v>12</v>
      </c>
      <c r="E127" t="str">
        <f t="shared" si="1"/>
        <v>YooooDA/12/2/3</v>
      </c>
    </row>
    <row r="128" spans="1:5" x14ac:dyDescent="0.2">
      <c r="A128">
        <v>3</v>
      </c>
      <c r="B128" t="s">
        <v>18</v>
      </c>
      <c r="C128">
        <v>0</v>
      </c>
      <c r="D128">
        <v>8</v>
      </c>
      <c r="E128" t="str">
        <f t="shared" si="1"/>
        <v>MAMS/8/3/0</v>
      </c>
    </row>
    <row r="129" spans="1:5" x14ac:dyDescent="0.2">
      <c r="A129">
        <v>4</v>
      </c>
      <c r="B129" t="s">
        <v>29</v>
      </c>
      <c r="C129">
        <v>0</v>
      </c>
      <c r="D129">
        <v>4</v>
      </c>
      <c r="E129" t="str">
        <f t="shared" si="1"/>
        <v>NoDoubt/4/4/0</v>
      </c>
    </row>
    <row r="130" spans="1:5" x14ac:dyDescent="0.2">
      <c r="A130">
        <v>5</v>
      </c>
      <c r="B130" t="s">
        <v>50</v>
      </c>
      <c r="C130">
        <v>0</v>
      </c>
      <c r="D130">
        <v>2</v>
      </c>
      <c r="E130" t="str">
        <f t="shared" ref="E130:E193" si="2">B130&amp;"/"&amp;D130&amp;"/"&amp;A130&amp;"/"&amp;C130</f>
        <v>MLADENGO/2/5/0</v>
      </c>
    </row>
    <row r="131" spans="1:5" x14ac:dyDescent="0.2">
      <c r="A131">
        <v>6</v>
      </c>
      <c r="B131" t="s">
        <v>90</v>
      </c>
      <c r="C131">
        <v>0</v>
      </c>
      <c r="D131">
        <v>1</v>
      </c>
      <c r="E131" t="str">
        <f t="shared" si="2"/>
        <v>Asowk/1/6/0</v>
      </c>
    </row>
    <row r="132" spans="1:5" x14ac:dyDescent="0.2">
      <c r="A132">
        <v>1</v>
      </c>
      <c r="B132" t="s">
        <v>14</v>
      </c>
      <c r="C132">
        <v>1</v>
      </c>
      <c r="D132">
        <v>15</v>
      </c>
      <c r="E132" t="str">
        <f t="shared" si="2"/>
        <v>Ramm/15/1/1</v>
      </c>
    </row>
    <row r="133" spans="1:5" x14ac:dyDescent="0.2">
      <c r="A133">
        <v>2</v>
      </c>
      <c r="B133" t="s">
        <v>43</v>
      </c>
      <c r="C133">
        <v>2</v>
      </c>
      <c r="D133">
        <v>11</v>
      </c>
      <c r="E133" t="str">
        <f t="shared" si="2"/>
        <v>KassTwo/11/2/2</v>
      </c>
    </row>
    <row r="134" spans="1:5" x14ac:dyDescent="0.2">
      <c r="A134">
        <v>3</v>
      </c>
      <c r="B134" t="s">
        <v>61</v>
      </c>
      <c r="C134">
        <v>1</v>
      </c>
      <c r="D134">
        <v>7</v>
      </c>
      <c r="E134" t="str">
        <f t="shared" si="2"/>
        <v>Kri-lin/7/3/1</v>
      </c>
    </row>
    <row r="135" spans="1:5" x14ac:dyDescent="0.2">
      <c r="A135">
        <v>4</v>
      </c>
      <c r="B135" t="s">
        <v>69</v>
      </c>
      <c r="C135">
        <v>0</v>
      </c>
      <c r="D135">
        <v>3</v>
      </c>
      <c r="E135" t="str">
        <f t="shared" si="2"/>
        <v>Catherine/3/4/0</v>
      </c>
    </row>
    <row r="136" spans="1:5" x14ac:dyDescent="0.2">
      <c r="A136">
        <v>5</v>
      </c>
      <c r="B136" t="s">
        <v>40</v>
      </c>
      <c r="C136">
        <v>0</v>
      </c>
      <c r="D136">
        <v>1</v>
      </c>
      <c r="E136" t="str">
        <f t="shared" si="2"/>
        <v>Lén@/1/5/0</v>
      </c>
    </row>
    <row r="137" spans="1:5" x14ac:dyDescent="0.2">
      <c r="A137">
        <v>1</v>
      </c>
      <c r="B137" t="s">
        <v>68</v>
      </c>
      <c r="C137">
        <v>3</v>
      </c>
      <c r="D137">
        <v>16</v>
      </c>
      <c r="E137" t="str">
        <f t="shared" si="2"/>
        <v>zubbaz/16/1/3</v>
      </c>
    </row>
    <row r="138" spans="1:5" x14ac:dyDescent="0.2">
      <c r="A138">
        <v>2</v>
      </c>
      <c r="B138" t="s">
        <v>54</v>
      </c>
      <c r="C138">
        <v>0</v>
      </c>
      <c r="D138">
        <v>12</v>
      </c>
      <c r="E138" t="str">
        <f t="shared" si="2"/>
        <v>Salsamanu/12/2/0</v>
      </c>
    </row>
    <row r="139" spans="1:5" x14ac:dyDescent="0.2">
      <c r="A139">
        <v>3</v>
      </c>
      <c r="B139" t="s">
        <v>15</v>
      </c>
      <c r="C139">
        <v>1</v>
      </c>
      <c r="D139">
        <v>8</v>
      </c>
      <c r="E139" t="str">
        <f t="shared" si="2"/>
        <v>LAAtof/8/3/1</v>
      </c>
    </row>
    <row r="140" spans="1:5" x14ac:dyDescent="0.2">
      <c r="A140">
        <v>4</v>
      </c>
      <c r="B140" t="s">
        <v>26</v>
      </c>
      <c r="C140">
        <v>1</v>
      </c>
      <c r="D140">
        <v>4</v>
      </c>
      <c r="E140" t="str">
        <f t="shared" si="2"/>
        <v>LOSOGRE/4/4/1</v>
      </c>
    </row>
    <row r="141" spans="1:5" x14ac:dyDescent="0.2">
      <c r="A141">
        <v>5</v>
      </c>
      <c r="B141" t="s">
        <v>32</v>
      </c>
      <c r="C141">
        <v>0</v>
      </c>
      <c r="D141">
        <v>2</v>
      </c>
      <c r="E141" t="str">
        <f t="shared" si="2"/>
        <v>OlivierN92/2/5/0</v>
      </c>
    </row>
    <row r="142" spans="1:5" x14ac:dyDescent="0.2">
      <c r="A142">
        <v>6</v>
      </c>
      <c r="B142" t="s">
        <v>74</v>
      </c>
      <c r="C142">
        <v>0</v>
      </c>
      <c r="D142">
        <v>1</v>
      </c>
      <c r="E142" t="str">
        <f t="shared" si="2"/>
        <v>PatB/1/6/0</v>
      </c>
    </row>
    <row r="143" spans="1:5" x14ac:dyDescent="0.2">
      <c r="A143">
        <v>1</v>
      </c>
      <c r="B143" t="s">
        <v>38</v>
      </c>
      <c r="C143">
        <v>4</v>
      </c>
      <c r="D143">
        <v>16</v>
      </c>
      <c r="E143" t="str">
        <f t="shared" si="2"/>
        <v>cTTprmoa/16/1/4</v>
      </c>
    </row>
    <row r="144" spans="1:5" x14ac:dyDescent="0.2">
      <c r="A144">
        <v>2</v>
      </c>
      <c r="B144" t="s">
        <v>46</v>
      </c>
      <c r="C144">
        <v>1</v>
      </c>
      <c r="D144">
        <v>12</v>
      </c>
      <c r="E144" t="str">
        <f t="shared" si="2"/>
        <v>Jérôme/12/2/1</v>
      </c>
    </row>
    <row r="145" spans="1:5" x14ac:dyDescent="0.2">
      <c r="A145">
        <v>3</v>
      </c>
      <c r="B145" t="s">
        <v>8</v>
      </c>
      <c r="C145">
        <v>0</v>
      </c>
      <c r="D145">
        <v>8</v>
      </c>
      <c r="E145" t="str">
        <f t="shared" si="2"/>
        <v>Maxime/8/3/0</v>
      </c>
    </row>
    <row r="146" spans="1:5" x14ac:dyDescent="0.2">
      <c r="A146">
        <v>4</v>
      </c>
      <c r="B146" t="s">
        <v>73</v>
      </c>
      <c r="C146">
        <v>0</v>
      </c>
      <c r="D146">
        <v>4</v>
      </c>
      <c r="E146" t="str">
        <f t="shared" si="2"/>
        <v>Flem/4/4/0</v>
      </c>
    </row>
    <row r="147" spans="1:5" x14ac:dyDescent="0.2">
      <c r="A147">
        <v>5</v>
      </c>
      <c r="B147" t="s">
        <v>65</v>
      </c>
      <c r="C147">
        <v>0</v>
      </c>
      <c r="D147">
        <v>2</v>
      </c>
      <c r="E147" t="str">
        <f t="shared" si="2"/>
        <v>Ripolin/2/5/0</v>
      </c>
    </row>
    <row r="148" spans="1:5" x14ac:dyDescent="0.2">
      <c r="A148">
        <v>6</v>
      </c>
      <c r="B148" t="s">
        <v>9</v>
      </c>
      <c r="C148">
        <v>0</v>
      </c>
      <c r="D148">
        <v>1</v>
      </c>
      <c r="E148" t="str">
        <f t="shared" si="2"/>
        <v>K1/1/6/0</v>
      </c>
    </row>
    <row r="149" spans="1:5" x14ac:dyDescent="0.2">
      <c r="A149">
        <v>1</v>
      </c>
      <c r="B149" t="s">
        <v>42</v>
      </c>
      <c r="C149">
        <v>4</v>
      </c>
      <c r="D149">
        <v>15</v>
      </c>
      <c r="E149" t="str">
        <f t="shared" si="2"/>
        <v>Claptou/15/1/4</v>
      </c>
    </row>
    <row r="150" spans="1:5" x14ac:dyDescent="0.2">
      <c r="A150">
        <v>2</v>
      </c>
      <c r="B150" t="s">
        <v>6</v>
      </c>
      <c r="C150">
        <v>0</v>
      </c>
      <c r="D150">
        <v>11</v>
      </c>
      <c r="E150" t="str">
        <f t="shared" si="2"/>
        <v>Pyja/11/2/0</v>
      </c>
    </row>
    <row r="151" spans="1:5" x14ac:dyDescent="0.2">
      <c r="A151">
        <v>3</v>
      </c>
      <c r="B151" t="s">
        <v>21</v>
      </c>
      <c r="C151">
        <v>0</v>
      </c>
      <c r="D151">
        <v>7</v>
      </c>
      <c r="E151" t="str">
        <f t="shared" si="2"/>
        <v>Carmin/7/3/0</v>
      </c>
    </row>
    <row r="152" spans="1:5" x14ac:dyDescent="0.2">
      <c r="A152">
        <v>4</v>
      </c>
      <c r="B152" t="s">
        <v>36</v>
      </c>
      <c r="C152">
        <v>0</v>
      </c>
      <c r="D152">
        <v>3</v>
      </c>
      <c r="E152" t="str">
        <f t="shared" si="2"/>
        <v>arnomel/3/4/0</v>
      </c>
    </row>
    <row r="153" spans="1:5" x14ac:dyDescent="0.2">
      <c r="A153">
        <v>5</v>
      </c>
      <c r="B153" t="s">
        <v>33</v>
      </c>
      <c r="C153">
        <v>0</v>
      </c>
      <c r="D153">
        <v>1</v>
      </c>
      <c r="E153" t="str">
        <f t="shared" si="2"/>
        <v>Ptit Savoyard/1/5/0</v>
      </c>
    </row>
    <row r="154" spans="1:5" x14ac:dyDescent="0.2">
      <c r="A154">
        <v>1</v>
      </c>
      <c r="B154" t="s">
        <v>23</v>
      </c>
      <c r="C154">
        <v>1</v>
      </c>
      <c r="D154">
        <v>16</v>
      </c>
      <c r="E154" t="str">
        <f t="shared" si="2"/>
        <v>Lylith75/16/1/1</v>
      </c>
    </row>
    <row r="155" spans="1:5" x14ac:dyDescent="0.2">
      <c r="A155">
        <v>2</v>
      </c>
      <c r="B155" t="s">
        <v>48</v>
      </c>
      <c r="C155">
        <v>2</v>
      </c>
      <c r="D155">
        <v>12</v>
      </c>
      <c r="E155" t="str">
        <f t="shared" si="2"/>
        <v>Pintu/12/2/2</v>
      </c>
    </row>
    <row r="156" spans="1:5" x14ac:dyDescent="0.2">
      <c r="A156">
        <v>3</v>
      </c>
      <c r="B156" t="s">
        <v>81</v>
      </c>
      <c r="C156">
        <v>2</v>
      </c>
      <c r="D156">
        <v>8</v>
      </c>
      <c r="E156" t="str">
        <f t="shared" si="2"/>
        <v>Empedocle/8/3/2</v>
      </c>
    </row>
    <row r="157" spans="1:5" x14ac:dyDescent="0.2">
      <c r="A157">
        <v>4</v>
      </c>
      <c r="B157" t="s">
        <v>25</v>
      </c>
      <c r="C157">
        <v>0</v>
      </c>
      <c r="D157">
        <v>4</v>
      </c>
      <c r="E157" t="str">
        <f t="shared" si="2"/>
        <v>Claudius/4/4/0</v>
      </c>
    </row>
    <row r="158" spans="1:5" x14ac:dyDescent="0.2">
      <c r="A158">
        <v>5</v>
      </c>
      <c r="B158" t="s">
        <v>5</v>
      </c>
      <c r="C158">
        <v>0</v>
      </c>
      <c r="D158">
        <v>2</v>
      </c>
      <c r="E158" t="str">
        <f t="shared" si="2"/>
        <v>Sabwill/2/5/0</v>
      </c>
    </row>
    <row r="159" spans="1:5" x14ac:dyDescent="0.2">
      <c r="A159">
        <v>6</v>
      </c>
      <c r="B159" t="s">
        <v>7</v>
      </c>
      <c r="C159">
        <v>0</v>
      </c>
      <c r="D159">
        <v>1</v>
      </c>
      <c r="E159" t="str">
        <f t="shared" si="2"/>
        <v>Geo/1/6/0</v>
      </c>
    </row>
    <row r="160" spans="1:5" x14ac:dyDescent="0.2">
      <c r="A160">
        <v>1</v>
      </c>
      <c r="B160" t="s">
        <v>60</v>
      </c>
      <c r="C160">
        <v>4</v>
      </c>
      <c r="D160">
        <v>15</v>
      </c>
      <c r="E160" t="str">
        <f t="shared" si="2"/>
        <v>zizou/15/1/4</v>
      </c>
    </row>
    <row r="161" spans="1:5" x14ac:dyDescent="0.2">
      <c r="A161">
        <v>2</v>
      </c>
      <c r="B161" t="s">
        <v>75</v>
      </c>
      <c r="C161">
        <v>0</v>
      </c>
      <c r="D161">
        <v>11</v>
      </c>
      <c r="E161" t="str">
        <f t="shared" si="2"/>
        <v>Michelbey/11/2/0</v>
      </c>
    </row>
    <row r="162" spans="1:5" x14ac:dyDescent="0.2">
      <c r="A162">
        <v>3</v>
      </c>
      <c r="B162" t="s">
        <v>20</v>
      </c>
      <c r="C162">
        <v>0</v>
      </c>
      <c r="D162">
        <v>7</v>
      </c>
      <c r="E162" t="str">
        <f t="shared" si="2"/>
        <v>saymsonite/7/3/0</v>
      </c>
    </row>
    <row r="163" spans="1:5" x14ac:dyDescent="0.2">
      <c r="A163">
        <v>4</v>
      </c>
      <c r="B163" t="s">
        <v>91</v>
      </c>
      <c r="C163">
        <v>0</v>
      </c>
      <c r="D163">
        <v>3</v>
      </c>
      <c r="E163" t="str">
        <f t="shared" si="2"/>
        <v>Crevette/3/4/0</v>
      </c>
    </row>
    <row r="164" spans="1:5" x14ac:dyDescent="0.2">
      <c r="A164">
        <v>5</v>
      </c>
      <c r="B164" t="s">
        <v>41</v>
      </c>
      <c r="C164">
        <v>0</v>
      </c>
      <c r="D164">
        <v>1</v>
      </c>
      <c r="E164" t="str">
        <f t="shared" si="2"/>
        <v>gibouille/1/5/0</v>
      </c>
    </row>
    <row r="165" spans="1:5" x14ac:dyDescent="0.2">
      <c r="A165">
        <v>1</v>
      </c>
      <c r="B165" t="s">
        <v>55</v>
      </c>
      <c r="C165">
        <v>2</v>
      </c>
      <c r="D165">
        <v>16</v>
      </c>
      <c r="E165" t="str">
        <f t="shared" si="2"/>
        <v>Bounette/16/1/2</v>
      </c>
    </row>
    <row r="166" spans="1:5" x14ac:dyDescent="0.2">
      <c r="A166">
        <v>2</v>
      </c>
      <c r="B166" t="s">
        <v>72</v>
      </c>
      <c r="C166">
        <v>2</v>
      </c>
      <c r="D166">
        <v>12</v>
      </c>
      <c r="E166" t="str">
        <f t="shared" si="2"/>
        <v>Le Boss/12/2/2</v>
      </c>
    </row>
    <row r="167" spans="1:5" x14ac:dyDescent="0.2">
      <c r="A167">
        <v>3</v>
      </c>
      <c r="B167" t="s">
        <v>27</v>
      </c>
      <c r="C167">
        <v>0</v>
      </c>
      <c r="D167">
        <v>8</v>
      </c>
      <c r="E167" t="str">
        <f t="shared" si="2"/>
        <v>Mandrake/8/3/0</v>
      </c>
    </row>
    <row r="168" spans="1:5" x14ac:dyDescent="0.2">
      <c r="A168">
        <v>4</v>
      </c>
      <c r="B168" t="s">
        <v>52</v>
      </c>
      <c r="C168">
        <v>1</v>
      </c>
      <c r="D168">
        <v>4</v>
      </c>
      <c r="E168" t="str">
        <f t="shared" si="2"/>
        <v>Coach Pepito/4/4/1</v>
      </c>
    </row>
    <row r="169" spans="1:5" x14ac:dyDescent="0.2">
      <c r="A169">
        <v>5</v>
      </c>
      <c r="B169" t="s">
        <v>45</v>
      </c>
      <c r="C169">
        <v>0</v>
      </c>
      <c r="D169">
        <v>2</v>
      </c>
      <c r="E169" t="str">
        <f t="shared" si="2"/>
        <v>yaltar/2/5/0</v>
      </c>
    </row>
    <row r="170" spans="1:5" x14ac:dyDescent="0.2">
      <c r="A170">
        <v>6</v>
      </c>
      <c r="B170" t="s">
        <v>22</v>
      </c>
      <c r="C170">
        <v>0</v>
      </c>
      <c r="D170">
        <v>1</v>
      </c>
      <c r="E170" t="str">
        <f t="shared" si="2"/>
        <v>Dart 45/1/6/0</v>
      </c>
    </row>
    <row r="171" spans="1:5" x14ac:dyDescent="0.2">
      <c r="A171">
        <v>1</v>
      </c>
      <c r="B171" t="s">
        <v>47</v>
      </c>
      <c r="C171">
        <v>3</v>
      </c>
      <c r="D171">
        <v>16</v>
      </c>
      <c r="E171" t="str">
        <f t="shared" si="2"/>
        <v>Logan/16/1/3</v>
      </c>
    </row>
    <row r="172" spans="1:5" x14ac:dyDescent="0.2">
      <c r="A172">
        <v>2</v>
      </c>
      <c r="B172" t="s">
        <v>92</v>
      </c>
      <c r="C172">
        <v>1</v>
      </c>
      <c r="D172">
        <v>12</v>
      </c>
      <c r="E172" t="str">
        <f t="shared" si="2"/>
        <v>Jacks&amp;Five/12/2/1</v>
      </c>
    </row>
    <row r="173" spans="1:5" x14ac:dyDescent="0.2">
      <c r="A173">
        <v>3</v>
      </c>
      <c r="B173" t="s">
        <v>39</v>
      </c>
      <c r="C173">
        <v>0</v>
      </c>
      <c r="D173">
        <v>8</v>
      </c>
      <c r="E173" t="str">
        <f t="shared" si="2"/>
        <v>kheops/8/3/0</v>
      </c>
    </row>
    <row r="174" spans="1:5" x14ac:dyDescent="0.2">
      <c r="A174">
        <v>4</v>
      </c>
      <c r="B174" t="s">
        <v>78</v>
      </c>
      <c r="C174">
        <v>1</v>
      </c>
      <c r="D174">
        <v>4</v>
      </c>
      <c r="E174" t="str">
        <f t="shared" si="2"/>
        <v>Cygna/4/4/1</v>
      </c>
    </row>
    <row r="175" spans="1:5" x14ac:dyDescent="0.2">
      <c r="A175">
        <v>5</v>
      </c>
      <c r="B175" t="s">
        <v>66</v>
      </c>
      <c r="C175">
        <v>0</v>
      </c>
      <c r="D175">
        <v>2</v>
      </c>
      <c r="E175" t="str">
        <f t="shared" si="2"/>
        <v>Ad Vitam/2/5/0</v>
      </c>
    </row>
    <row r="176" spans="1:5" x14ac:dyDescent="0.2">
      <c r="A176">
        <v>6</v>
      </c>
      <c r="B176" t="s">
        <v>87</v>
      </c>
      <c r="C176">
        <v>0</v>
      </c>
      <c r="D176">
        <v>1</v>
      </c>
      <c r="E176" t="str">
        <f t="shared" si="2"/>
        <v>Proph@ne/1/6/0</v>
      </c>
    </row>
    <row r="177" spans="1:5" x14ac:dyDescent="0.2">
      <c r="A177">
        <v>1</v>
      </c>
      <c r="B177" t="s">
        <v>50</v>
      </c>
      <c r="C177">
        <v>4</v>
      </c>
      <c r="D177">
        <v>16</v>
      </c>
      <c r="E177" t="str">
        <f t="shared" si="2"/>
        <v>MLADENGO/16/1/4</v>
      </c>
    </row>
    <row r="178" spans="1:5" x14ac:dyDescent="0.2">
      <c r="A178">
        <v>2</v>
      </c>
      <c r="B178" t="s">
        <v>88</v>
      </c>
      <c r="C178">
        <v>0</v>
      </c>
      <c r="D178">
        <v>12</v>
      </c>
      <c r="E178" t="str">
        <f t="shared" si="2"/>
        <v>Yarael/12/2/0</v>
      </c>
    </row>
    <row r="179" spans="1:5" x14ac:dyDescent="0.2">
      <c r="A179">
        <v>3</v>
      </c>
      <c r="B179" t="s">
        <v>73</v>
      </c>
      <c r="C179">
        <v>1</v>
      </c>
      <c r="D179">
        <v>8</v>
      </c>
      <c r="E179" t="str">
        <f t="shared" si="2"/>
        <v>Flem/8/3/1</v>
      </c>
    </row>
    <row r="180" spans="1:5" x14ac:dyDescent="0.2">
      <c r="A180">
        <v>4</v>
      </c>
      <c r="B180" t="s">
        <v>69</v>
      </c>
      <c r="C180">
        <v>0</v>
      </c>
      <c r="D180">
        <v>4</v>
      </c>
      <c r="E180" t="str">
        <f t="shared" si="2"/>
        <v>Catherine/4/4/0</v>
      </c>
    </row>
    <row r="181" spans="1:5" x14ac:dyDescent="0.2">
      <c r="A181">
        <v>5</v>
      </c>
      <c r="B181" t="s">
        <v>26</v>
      </c>
      <c r="C181">
        <v>0</v>
      </c>
      <c r="D181">
        <v>2</v>
      </c>
      <c r="E181" t="str">
        <f t="shared" si="2"/>
        <v>LOSOGRE/2/5/0</v>
      </c>
    </row>
    <row r="182" spans="1:5" x14ac:dyDescent="0.2">
      <c r="A182">
        <v>6</v>
      </c>
      <c r="B182" t="s">
        <v>52</v>
      </c>
      <c r="C182">
        <v>0</v>
      </c>
      <c r="D182">
        <v>1</v>
      </c>
      <c r="E182" t="str">
        <f t="shared" si="2"/>
        <v>Coach Pepito/1/6/0</v>
      </c>
    </row>
    <row r="183" spans="1:5" x14ac:dyDescent="0.2">
      <c r="A183">
        <v>1</v>
      </c>
      <c r="B183" t="s">
        <v>32</v>
      </c>
      <c r="C183">
        <v>2</v>
      </c>
      <c r="D183">
        <v>16</v>
      </c>
      <c r="E183" t="str">
        <f t="shared" si="2"/>
        <v>OlivierN92/16/1/2</v>
      </c>
    </row>
    <row r="184" spans="1:5" x14ac:dyDescent="0.2">
      <c r="A184">
        <v>2</v>
      </c>
      <c r="B184" t="s">
        <v>35</v>
      </c>
      <c r="C184">
        <v>1</v>
      </c>
      <c r="D184">
        <v>12</v>
      </c>
      <c r="E184" t="str">
        <f t="shared" si="2"/>
        <v>JeanMichelTiming/12/2/1</v>
      </c>
    </row>
    <row r="185" spans="1:5" x14ac:dyDescent="0.2">
      <c r="A185">
        <v>3</v>
      </c>
      <c r="B185" t="s">
        <v>66</v>
      </c>
      <c r="C185">
        <v>0</v>
      </c>
      <c r="D185">
        <v>8</v>
      </c>
      <c r="E185" t="str">
        <f t="shared" si="2"/>
        <v>Ad Vitam/8/3/0</v>
      </c>
    </row>
    <row r="186" spans="1:5" x14ac:dyDescent="0.2">
      <c r="A186">
        <v>4</v>
      </c>
      <c r="B186" t="s">
        <v>12</v>
      </c>
      <c r="C186">
        <v>2</v>
      </c>
      <c r="D186">
        <v>4</v>
      </c>
      <c r="E186" t="str">
        <f t="shared" si="2"/>
        <v>Gnak/4/4/2</v>
      </c>
    </row>
    <row r="187" spans="1:5" x14ac:dyDescent="0.2">
      <c r="A187">
        <v>5</v>
      </c>
      <c r="B187" t="s">
        <v>39</v>
      </c>
      <c r="C187">
        <v>0</v>
      </c>
      <c r="D187">
        <v>2</v>
      </c>
      <c r="E187" t="str">
        <f t="shared" si="2"/>
        <v>kheops/2/5/0</v>
      </c>
    </row>
    <row r="188" spans="1:5" x14ac:dyDescent="0.2">
      <c r="A188">
        <v>6</v>
      </c>
      <c r="B188" t="s">
        <v>55</v>
      </c>
      <c r="C188">
        <v>0</v>
      </c>
      <c r="D188">
        <v>1</v>
      </c>
      <c r="E188" t="str">
        <f t="shared" si="2"/>
        <v>Bounette/1/6/0</v>
      </c>
    </row>
    <row r="189" spans="1:5" x14ac:dyDescent="0.2">
      <c r="A189">
        <v>1</v>
      </c>
      <c r="B189" t="s">
        <v>16</v>
      </c>
      <c r="C189">
        <v>3</v>
      </c>
      <c r="D189">
        <v>16</v>
      </c>
      <c r="E189" t="str">
        <f t="shared" si="2"/>
        <v>Stan/16/1/3</v>
      </c>
    </row>
    <row r="190" spans="1:5" x14ac:dyDescent="0.2">
      <c r="A190">
        <v>2</v>
      </c>
      <c r="B190" t="s">
        <v>23</v>
      </c>
      <c r="C190">
        <v>1</v>
      </c>
      <c r="D190">
        <v>12</v>
      </c>
      <c r="E190" t="str">
        <f t="shared" si="2"/>
        <v>Lylith75/12/2/1</v>
      </c>
    </row>
    <row r="191" spans="1:5" x14ac:dyDescent="0.2">
      <c r="A191">
        <v>3</v>
      </c>
      <c r="B191" t="s">
        <v>5</v>
      </c>
      <c r="C191">
        <v>1</v>
      </c>
      <c r="D191">
        <v>8</v>
      </c>
      <c r="E191" t="str">
        <f t="shared" si="2"/>
        <v>Sabwill/8/3/1</v>
      </c>
    </row>
    <row r="192" spans="1:5" x14ac:dyDescent="0.2">
      <c r="A192">
        <v>4</v>
      </c>
      <c r="B192" t="s">
        <v>19</v>
      </c>
      <c r="C192">
        <v>0</v>
      </c>
      <c r="D192">
        <v>4</v>
      </c>
      <c r="E192" t="str">
        <f t="shared" si="2"/>
        <v>Giobeck/4/4/0</v>
      </c>
    </row>
    <row r="193" spans="1:5" x14ac:dyDescent="0.2">
      <c r="A193">
        <v>5</v>
      </c>
      <c r="B193" t="s">
        <v>40</v>
      </c>
      <c r="C193">
        <v>0</v>
      </c>
      <c r="D193">
        <v>2</v>
      </c>
      <c r="E193" t="str">
        <f t="shared" si="2"/>
        <v>Lén@/2/5/0</v>
      </c>
    </row>
    <row r="194" spans="1:5" x14ac:dyDescent="0.2">
      <c r="A194">
        <v>6</v>
      </c>
      <c r="B194" t="s">
        <v>78</v>
      </c>
      <c r="C194">
        <v>0</v>
      </c>
      <c r="D194">
        <v>1</v>
      </c>
      <c r="E194" t="str">
        <f t="shared" ref="E194:E257" si="3">B194&amp;"/"&amp;D194&amp;"/"&amp;A194&amp;"/"&amp;C194</f>
        <v>Cygna/1/6/0</v>
      </c>
    </row>
    <row r="195" spans="1:5" x14ac:dyDescent="0.2">
      <c r="A195">
        <v>0</v>
      </c>
      <c r="C195">
        <v>0</v>
      </c>
      <c r="D195">
        <v>0</v>
      </c>
      <c r="E195" t="str">
        <f t="shared" si="3"/>
        <v>/0/0/0</v>
      </c>
    </row>
    <row r="196" spans="1:5" x14ac:dyDescent="0.2">
      <c r="A196">
        <v>0</v>
      </c>
      <c r="C196">
        <v>0</v>
      </c>
      <c r="D196">
        <v>0</v>
      </c>
      <c r="E196" t="str">
        <f t="shared" si="3"/>
        <v>/0/0/0</v>
      </c>
    </row>
    <row r="197" spans="1:5" x14ac:dyDescent="0.2">
      <c r="A197">
        <v>1</v>
      </c>
      <c r="B197" t="s">
        <v>75</v>
      </c>
      <c r="C197">
        <v>2</v>
      </c>
      <c r="D197">
        <v>16</v>
      </c>
      <c r="E197" t="str">
        <f t="shared" si="3"/>
        <v>Michelbey/16/1/2</v>
      </c>
    </row>
    <row r="198" spans="1:5" x14ac:dyDescent="0.2">
      <c r="A198">
        <v>2</v>
      </c>
      <c r="B198" t="s">
        <v>15</v>
      </c>
      <c r="C198">
        <v>0</v>
      </c>
      <c r="D198">
        <v>12</v>
      </c>
      <c r="E198" t="str">
        <f t="shared" si="3"/>
        <v>LAAtof/12/2/0</v>
      </c>
    </row>
    <row r="199" spans="1:5" x14ac:dyDescent="0.2">
      <c r="A199">
        <v>3</v>
      </c>
      <c r="B199" t="s">
        <v>92</v>
      </c>
      <c r="C199">
        <v>3</v>
      </c>
      <c r="D199">
        <v>8</v>
      </c>
      <c r="E199" t="str">
        <f t="shared" si="3"/>
        <v>Jacks&amp;Five/8/3/3</v>
      </c>
    </row>
    <row r="200" spans="1:5" x14ac:dyDescent="0.2">
      <c r="A200">
        <v>4</v>
      </c>
      <c r="B200" t="s">
        <v>93</v>
      </c>
      <c r="C200">
        <v>0</v>
      </c>
      <c r="D200">
        <v>4</v>
      </c>
      <c r="E200" t="str">
        <f t="shared" si="3"/>
        <v>Joakim_NoAA/4/4/0</v>
      </c>
    </row>
    <row r="201" spans="1:5" x14ac:dyDescent="0.2">
      <c r="A201">
        <v>5</v>
      </c>
      <c r="B201" t="s">
        <v>85</v>
      </c>
      <c r="C201">
        <v>0</v>
      </c>
      <c r="D201">
        <v>2</v>
      </c>
      <c r="E201" t="str">
        <f t="shared" si="3"/>
        <v>HellNO/2/5/0</v>
      </c>
    </row>
    <row r="202" spans="1:5" x14ac:dyDescent="0.2">
      <c r="A202">
        <v>6</v>
      </c>
      <c r="B202" t="s">
        <v>60</v>
      </c>
      <c r="C202">
        <v>0</v>
      </c>
      <c r="D202">
        <v>1</v>
      </c>
      <c r="E202" t="str">
        <f t="shared" si="3"/>
        <v>zizou/1/6/0</v>
      </c>
    </row>
    <row r="203" spans="1:5" x14ac:dyDescent="0.2">
      <c r="A203">
        <v>1</v>
      </c>
      <c r="B203" t="s">
        <v>38</v>
      </c>
      <c r="C203">
        <v>1</v>
      </c>
      <c r="D203">
        <v>16</v>
      </c>
      <c r="E203" t="str">
        <f t="shared" si="3"/>
        <v>cTTprmoa/16/1/1</v>
      </c>
    </row>
    <row r="204" spans="1:5" x14ac:dyDescent="0.2">
      <c r="A204">
        <v>2</v>
      </c>
      <c r="B204" t="s">
        <v>94</v>
      </c>
      <c r="C204">
        <v>3</v>
      </c>
      <c r="D204">
        <v>12</v>
      </c>
      <c r="E204" t="str">
        <f t="shared" si="3"/>
        <v>Jaden le désosseur/12/2/3</v>
      </c>
    </row>
    <row r="205" spans="1:5" x14ac:dyDescent="0.2">
      <c r="A205">
        <v>3</v>
      </c>
      <c r="B205" t="s">
        <v>48</v>
      </c>
      <c r="C205">
        <v>1</v>
      </c>
      <c r="D205">
        <v>8</v>
      </c>
      <c r="E205" t="str">
        <f t="shared" si="3"/>
        <v>Pintu/8/3/1</v>
      </c>
    </row>
    <row r="206" spans="1:5" x14ac:dyDescent="0.2">
      <c r="A206">
        <v>4</v>
      </c>
      <c r="B206" t="s">
        <v>61</v>
      </c>
      <c r="C206">
        <v>0</v>
      </c>
      <c r="D206">
        <v>4</v>
      </c>
      <c r="E206" t="str">
        <f t="shared" si="3"/>
        <v>Kri-lin/4/4/0</v>
      </c>
    </row>
    <row r="207" spans="1:5" x14ac:dyDescent="0.2">
      <c r="A207">
        <v>5</v>
      </c>
      <c r="B207" t="s">
        <v>87</v>
      </c>
      <c r="C207">
        <v>0</v>
      </c>
      <c r="D207">
        <v>2</v>
      </c>
      <c r="E207" t="str">
        <f t="shared" si="3"/>
        <v>Proph@ne/2/5/0</v>
      </c>
    </row>
    <row r="208" spans="1:5" x14ac:dyDescent="0.2">
      <c r="A208">
        <v>6</v>
      </c>
      <c r="B208" t="s">
        <v>21</v>
      </c>
      <c r="C208">
        <v>0</v>
      </c>
      <c r="D208">
        <v>1</v>
      </c>
      <c r="E208" t="str">
        <f t="shared" si="3"/>
        <v>Carmin/1/6/0</v>
      </c>
    </row>
    <row r="209" spans="1:5" x14ac:dyDescent="0.2">
      <c r="A209">
        <v>1</v>
      </c>
      <c r="B209" t="s">
        <v>33</v>
      </c>
      <c r="C209">
        <v>2</v>
      </c>
      <c r="D209">
        <v>15</v>
      </c>
      <c r="E209" t="str">
        <f t="shared" si="3"/>
        <v>Ptit Savoyard/15/1/2</v>
      </c>
    </row>
    <row r="210" spans="1:5" x14ac:dyDescent="0.2">
      <c r="A210">
        <v>2</v>
      </c>
      <c r="B210" t="s">
        <v>53</v>
      </c>
      <c r="C210">
        <v>1</v>
      </c>
      <c r="D210">
        <v>11</v>
      </c>
      <c r="E210" t="str">
        <f t="shared" si="3"/>
        <v>Makoche/11/2/1</v>
      </c>
    </row>
    <row r="211" spans="1:5" x14ac:dyDescent="0.2">
      <c r="A211">
        <v>3</v>
      </c>
      <c r="B211" t="s">
        <v>63</v>
      </c>
      <c r="C211">
        <v>1</v>
      </c>
      <c r="D211">
        <v>7</v>
      </c>
      <c r="E211" t="str">
        <f t="shared" si="3"/>
        <v>Brice/7/3/1</v>
      </c>
    </row>
    <row r="212" spans="1:5" x14ac:dyDescent="0.2">
      <c r="A212">
        <v>4</v>
      </c>
      <c r="B212" t="s">
        <v>18</v>
      </c>
      <c r="C212">
        <v>0</v>
      </c>
      <c r="D212">
        <v>3</v>
      </c>
      <c r="E212" t="str">
        <f t="shared" si="3"/>
        <v>MAMS/3/4/0</v>
      </c>
    </row>
    <row r="213" spans="1:5" x14ac:dyDescent="0.2">
      <c r="A213">
        <v>5</v>
      </c>
      <c r="B213" t="s">
        <v>65</v>
      </c>
      <c r="C213">
        <v>0</v>
      </c>
      <c r="D213">
        <v>1</v>
      </c>
      <c r="E213" t="str">
        <f t="shared" si="3"/>
        <v>Ripolin/1/5/0</v>
      </c>
    </row>
    <row r="214" spans="1:5" x14ac:dyDescent="0.2">
      <c r="A214">
        <v>1</v>
      </c>
      <c r="B214" t="s">
        <v>43</v>
      </c>
      <c r="C214">
        <v>2</v>
      </c>
      <c r="D214">
        <v>15</v>
      </c>
      <c r="E214" t="str">
        <f t="shared" si="3"/>
        <v>KassTwo/15/1/2</v>
      </c>
    </row>
    <row r="215" spans="1:5" x14ac:dyDescent="0.2">
      <c r="A215">
        <v>2</v>
      </c>
      <c r="B215" t="s">
        <v>25</v>
      </c>
      <c r="C215">
        <v>1</v>
      </c>
      <c r="D215">
        <v>11</v>
      </c>
      <c r="E215" t="str">
        <f t="shared" si="3"/>
        <v>Claudius/11/2/1</v>
      </c>
    </row>
    <row r="216" spans="1:5" x14ac:dyDescent="0.2">
      <c r="A216">
        <v>3</v>
      </c>
      <c r="B216" t="s">
        <v>57</v>
      </c>
      <c r="C216">
        <v>1</v>
      </c>
      <c r="D216">
        <v>7</v>
      </c>
      <c r="E216" t="str">
        <f t="shared" si="3"/>
        <v>ImAAlcalliKK/7/3/1</v>
      </c>
    </row>
    <row r="217" spans="1:5" x14ac:dyDescent="0.2">
      <c r="A217">
        <v>4</v>
      </c>
      <c r="B217" t="s">
        <v>42</v>
      </c>
      <c r="C217">
        <v>0</v>
      </c>
      <c r="D217">
        <v>3</v>
      </c>
      <c r="E217" t="str">
        <f t="shared" si="3"/>
        <v>Claptou/3/4/0</v>
      </c>
    </row>
    <row r="218" spans="1:5" x14ac:dyDescent="0.2">
      <c r="A218">
        <v>5</v>
      </c>
      <c r="B218" t="s">
        <v>41</v>
      </c>
      <c r="C218">
        <v>0</v>
      </c>
      <c r="D218">
        <v>1</v>
      </c>
      <c r="E218" t="str">
        <f t="shared" si="3"/>
        <v>gibouille/1/5/0</v>
      </c>
    </row>
    <row r="219" spans="1:5" x14ac:dyDescent="0.2">
      <c r="A219">
        <v>1</v>
      </c>
      <c r="B219" t="s">
        <v>28</v>
      </c>
      <c r="C219">
        <v>3</v>
      </c>
      <c r="D219">
        <v>15</v>
      </c>
      <c r="E219" t="str">
        <f t="shared" si="3"/>
        <v>sobab/15/1/3</v>
      </c>
    </row>
    <row r="220" spans="1:5" x14ac:dyDescent="0.2">
      <c r="A220">
        <v>2</v>
      </c>
      <c r="B220" t="s">
        <v>8</v>
      </c>
      <c r="C220">
        <v>0</v>
      </c>
      <c r="D220">
        <v>11</v>
      </c>
      <c r="E220" t="str">
        <f t="shared" si="3"/>
        <v>Maxime/11/2/0</v>
      </c>
    </row>
    <row r="221" spans="1:5" x14ac:dyDescent="0.2">
      <c r="A221">
        <v>3</v>
      </c>
      <c r="B221" t="s">
        <v>45</v>
      </c>
      <c r="C221">
        <v>1</v>
      </c>
      <c r="D221">
        <v>7</v>
      </c>
      <c r="E221" t="str">
        <f t="shared" si="3"/>
        <v>yaltar/7/3/1</v>
      </c>
    </row>
    <row r="222" spans="1:5" x14ac:dyDescent="0.2">
      <c r="A222">
        <v>4</v>
      </c>
      <c r="B222" t="s">
        <v>22</v>
      </c>
      <c r="C222">
        <v>0</v>
      </c>
      <c r="D222">
        <v>3</v>
      </c>
      <c r="E222" t="str">
        <f t="shared" si="3"/>
        <v>Dart 45/3/4/0</v>
      </c>
    </row>
    <row r="223" spans="1:5" x14ac:dyDescent="0.2">
      <c r="A223">
        <v>5</v>
      </c>
      <c r="B223" t="s">
        <v>91</v>
      </c>
      <c r="C223">
        <v>0</v>
      </c>
      <c r="D223">
        <v>1</v>
      </c>
      <c r="E223" t="str">
        <f t="shared" si="3"/>
        <v>Crevette/1/5/0</v>
      </c>
    </row>
    <row r="224" spans="1:5" x14ac:dyDescent="0.2">
      <c r="A224">
        <v>1</v>
      </c>
      <c r="B224" t="s">
        <v>76</v>
      </c>
      <c r="C224">
        <v>3</v>
      </c>
      <c r="D224">
        <v>15</v>
      </c>
      <c r="E224" t="str">
        <f t="shared" si="3"/>
        <v>Comment2/15/1/3</v>
      </c>
    </row>
    <row r="225" spans="1:5" x14ac:dyDescent="0.2">
      <c r="A225">
        <v>2</v>
      </c>
      <c r="B225" t="s">
        <v>29</v>
      </c>
      <c r="C225">
        <v>1</v>
      </c>
      <c r="D225">
        <v>11</v>
      </c>
      <c r="E225" t="str">
        <f t="shared" si="3"/>
        <v>NoDoubt/11/2/1</v>
      </c>
    </row>
    <row r="226" spans="1:5" x14ac:dyDescent="0.2">
      <c r="A226">
        <v>3</v>
      </c>
      <c r="B226" t="s">
        <v>14</v>
      </c>
      <c r="C226">
        <v>0</v>
      </c>
      <c r="D226">
        <v>7</v>
      </c>
      <c r="E226" t="str">
        <f t="shared" si="3"/>
        <v>Ramm/7/3/0</v>
      </c>
    </row>
    <row r="227" spans="1:5" x14ac:dyDescent="0.2">
      <c r="A227">
        <v>4</v>
      </c>
      <c r="B227" t="s">
        <v>31</v>
      </c>
      <c r="C227">
        <v>0</v>
      </c>
      <c r="D227">
        <v>3</v>
      </c>
      <c r="E227" t="str">
        <f t="shared" si="3"/>
        <v>CHRIS92340/3/4/0</v>
      </c>
    </row>
    <row r="228" spans="1:5" x14ac:dyDescent="0.2">
      <c r="A228">
        <v>5</v>
      </c>
      <c r="B228" t="s">
        <v>6</v>
      </c>
      <c r="C228">
        <v>0</v>
      </c>
      <c r="D228">
        <v>1</v>
      </c>
      <c r="E228" t="str">
        <f t="shared" si="3"/>
        <v>Pyja/1/5/0</v>
      </c>
    </row>
    <row r="229" spans="1:5" x14ac:dyDescent="0.2">
      <c r="A229">
        <v>1</v>
      </c>
      <c r="B229" t="s">
        <v>77</v>
      </c>
      <c r="C229">
        <v>2</v>
      </c>
      <c r="D229">
        <v>16</v>
      </c>
      <c r="E229" t="str">
        <f t="shared" si="3"/>
        <v>Récréatif/16/1/2</v>
      </c>
    </row>
    <row r="230" spans="1:5" x14ac:dyDescent="0.2">
      <c r="A230">
        <v>2</v>
      </c>
      <c r="B230" t="s">
        <v>59</v>
      </c>
      <c r="C230">
        <v>0</v>
      </c>
      <c r="D230">
        <v>12</v>
      </c>
      <c r="E230" t="str">
        <f t="shared" si="3"/>
        <v>YooooDA/12/2/0</v>
      </c>
    </row>
    <row r="231" spans="1:5" x14ac:dyDescent="0.2">
      <c r="A231">
        <v>3</v>
      </c>
      <c r="B231" t="s">
        <v>54</v>
      </c>
      <c r="C231">
        <v>3</v>
      </c>
      <c r="D231">
        <v>8</v>
      </c>
      <c r="E231" t="str">
        <f t="shared" si="3"/>
        <v>Salsamanu/8/3/3</v>
      </c>
    </row>
    <row r="232" spans="1:5" x14ac:dyDescent="0.2">
      <c r="A232">
        <v>4</v>
      </c>
      <c r="B232" t="s">
        <v>46</v>
      </c>
      <c r="C232">
        <v>0</v>
      </c>
      <c r="D232">
        <v>4</v>
      </c>
      <c r="E232" t="str">
        <f t="shared" si="3"/>
        <v>Jérôme/4/4/0</v>
      </c>
    </row>
    <row r="233" spans="1:5" x14ac:dyDescent="0.2">
      <c r="A233">
        <v>5</v>
      </c>
      <c r="B233" t="s">
        <v>47</v>
      </c>
      <c r="C233">
        <v>0</v>
      </c>
      <c r="D233">
        <v>2</v>
      </c>
      <c r="E233" t="str">
        <f t="shared" si="3"/>
        <v>Logan/2/5/0</v>
      </c>
    </row>
    <row r="234" spans="1:5" x14ac:dyDescent="0.2">
      <c r="A234">
        <v>6</v>
      </c>
      <c r="B234" t="s">
        <v>74</v>
      </c>
      <c r="C234">
        <v>0</v>
      </c>
      <c r="D234">
        <v>1</v>
      </c>
      <c r="E234" t="str">
        <f t="shared" si="3"/>
        <v>PatB/1/6/0</v>
      </c>
    </row>
    <row r="235" spans="1:5" x14ac:dyDescent="0.2">
      <c r="A235">
        <v>1</v>
      </c>
      <c r="B235" t="s">
        <v>92</v>
      </c>
      <c r="C235">
        <v>3</v>
      </c>
      <c r="D235">
        <v>16</v>
      </c>
      <c r="E235" t="str">
        <f t="shared" si="3"/>
        <v>Jacks&amp;Five/16/1/3</v>
      </c>
    </row>
    <row r="236" spans="1:5" x14ac:dyDescent="0.2">
      <c r="A236">
        <v>2</v>
      </c>
      <c r="B236" t="s">
        <v>74</v>
      </c>
      <c r="C236">
        <v>2</v>
      </c>
      <c r="D236">
        <v>12</v>
      </c>
      <c r="E236" t="str">
        <f t="shared" si="3"/>
        <v>PatB/12/2/2</v>
      </c>
    </row>
    <row r="237" spans="1:5" x14ac:dyDescent="0.2">
      <c r="A237">
        <v>3</v>
      </c>
      <c r="B237" t="s">
        <v>52</v>
      </c>
      <c r="C237">
        <v>0</v>
      </c>
      <c r="D237">
        <v>8</v>
      </c>
      <c r="E237" t="str">
        <f t="shared" si="3"/>
        <v>Coach Pepito/8/3/0</v>
      </c>
    </row>
    <row r="238" spans="1:5" x14ac:dyDescent="0.2">
      <c r="A238">
        <v>4</v>
      </c>
      <c r="B238" t="s">
        <v>21</v>
      </c>
      <c r="C238">
        <v>0</v>
      </c>
      <c r="D238">
        <v>4</v>
      </c>
      <c r="E238" t="str">
        <f t="shared" si="3"/>
        <v>Carmin/4/4/0</v>
      </c>
    </row>
    <row r="239" spans="1:5" x14ac:dyDescent="0.2">
      <c r="A239">
        <v>5</v>
      </c>
      <c r="B239" t="s">
        <v>29</v>
      </c>
      <c r="C239">
        <v>0</v>
      </c>
      <c r="D239">
        <v>2</v>
      </c>
      <c r="E239" t="str">
        <f t="shared" si="3"/>
        <v>NoDoubt/2/5/0</v>
      </c>
    </row>
    <row r="240" spans="1:5" x14ac:dyDescent="0.2">
      <c r="A240">
        <v>6</v>
      </c>
      <c r="B240" t="s">
        <v>80</v>
      </c>
      <c r="C240">
        <v>0</v>
      </c>
      <c r="D240">
        <v>1</v>
      </c>
      <c r="E240" t="str">
        <f t="shared" si="3"/>
        <v>Fiffou/1/6/0</v>
      </c>
    </row>
    <row r="241" spans="1:5" x14ac:dyDescent="0.2">
      <c r="A241">
        <v>1</v>
      </c>
      <c r="B241" t="s">
        <v>68</v>
      </c>
      <c r="C241">
        <v>3</v>
      </c>
      <c r="D241">
        <v>16</v>
      </c>
      <c r="E241" t="str">
        <f t="shared" si="3"/>
        <v>zubbaz/16/1/3</v>
      </c>
    </row>
    <row r="242" spans="1:5" x14ac:dyDescent="0.2">
      <c r="A242">
        <v>2</v>
      </c>
      <c r="B242" t="s">
        <v>60</v>
      </c>
      <c r="C242">
        <v>1</v>
      </c>
      <c r="D242">
        <v>12</v>
      </c>
      <c r="E242" t="str">
        <f t="shared" si="3"/>
        <v>zizou/12/2/1</v>
      </c>
    </row>
    <row r="243" spans="1:5" x14ac:dyDescent="0.2">
      <c r="A243">
        <v>3</v>
      </c>
      <c r="B243" t="s">
        <v>73</v>
      </c>
      <c r="C243">
        <v>0</v>
      </c>
      <c r="D243">
        <v>8</v>
      </c>
      <c r="E243" t="str">
        <f t="shared" si="3"/>
        <v>Flem/8/3/0</v>
      </c>
    </row>
    <row r="244" spans="1:5" x14ac:dyDescent="0.2">
      <c r="A244">
        <v>4</v>
      </c>
      <c r="B244" t="s">
        <v>40</v>
      </c>
      <c r="C244">
        <v>0</v>
      </c>
      <c r="D244">
        <v>4</v>
      </c>
      <c r="E244" t="str">
        <f t="shared" si="3"/>
        <v>Lén@/4/4/0</v>
      </c>
    </row>
    <row r="245" spans="1:5" x14ac:dyDescent="0.2">
      <c r="A245">
        <v>5</v>
      </c>
      <c r="B245" t="s">
        <v>48</v>
      </c>
      <c r="C245">
        <v>1</v>
      </c>
      <c r="D245">
        <v>2</v>
      </c>
      <c r="E245" t="str">
        <f t="shared" si="3"/>
        <v>Pintu/2/5/1</v>
      </c>
    </row>
    <row r="246" spans="1:5" x14ac:dyDescent="0.2">
      <c r="A246">
        <v>6</v>
      </c>
      <c r="B246" t="s">
        <v>69</v>
      </c>
      <c r="C246">
        <v>0</v>
      </c>
      <c r="D246">
        <v>1</v>
      </c>
      <c r="E246" t="str">
        <f t="shared" si="3"/>
        <v>Catherine/1/6/0</v>
      </c>
    </row>
    <row r="247" spans="1:5" x14ac:dyDescent="0.2">
      <c r="A247">
        <v>1</v>
      </c>
      <c r="B247" t="s">
        <v>14</v>
      </c>
      <c r="C247">
        <v>3</v>
      </c>
      <c r="D247">
        <v>16</v>
      </c>
      <c r="E247" t="str">
        <f t="shared" si="3"/>
        <v>Ramm/16/1/3</v>
      </c>
    </row>
    <row r="248" spans="1:5" x14ac:dyDescent="0.2">
      <c r="A248">
        <v>2</v>
      </c>
      <c r="B248" t="s">
        <v>15</v>
      </c>
      <c r="C248">
        <v>1</v>
      </c>
      <c r="D248">
        <v>12</v>
      </c>
      <c r="E248" t="str">
        <f t="shared" si="3"/>
        <v>LAAtof/12/2/1</v>
      </c>
    </row>
    <row r="249" spans="1:5" x14ac:dyDescent="0.2">
      <c r="A249">
        <v>3</v>
      </c>
      <c r="B249" t="s">
        <v>55</v>
      </c>
      <c r="C249">
        <v>0</v>
      </c>
      <c r="D249">
        <v>8</v>
      </c>
      <c r="E249" t="str">
        <f t="shared" si="3"/>
        <v>Bounette/8/3/0</v>
      </c>
    </row>
    <row r="250" spans="1:5" x14ac:dyDescent="0.2">
      <c r="A250">
        <v>4</v>
      </c>
      <c r="B250" t="s">
        <v>75</v>
      </c>
      <c r="C250">
        <v>1</v>
      </c>
      <c r="D250">
        <v>4</v>
      </c>
      <c r="E250" t="str">
        <f t="shared" si="3"/>
        <v>Michelbey/4/4/1</v>
      </c>
    </row>
    <row r="251" spans="1:5" x14ac:dyDescent="0.2">
      <c r="A251">
        <v>5</v>
      </c>
      <c r="B251" t="s">
        <v>42</v>
      </c>
      <c r="C251">
        <v>0</v>
      </c>
      <c r="D251">
        <v>2</v>
      </c>
      <c r="E251" t="str">
        <f t="shared" si="3"/>
        <v>Claptou/2/5/0</v>
      </c>
    </row>
    <row r="252" spans="1:5" x14ac:dyDescent="0.2">
      <c r="A252">
        <v>6</v>
      </c>
      <c r="B252" t="s">
        <v>5</v>
      </c>
      <c r="C252">
        <v>0</v>
      </c>
      <c r="D252">
        <v>1</v>
      </c>
      <c r="E252" t="str">
        <f t="shared" si="3"/>
        <v>Sabwill/1/6/0</v>
      </c>
    </row>
    <row r="253" spans="1:5" x14ac:dyDescent="0.2">
      <c r="A253">
        <v>1</v>
      </c>
      <c r="B253" t="s">
        <v>95</v>
      </c>
      <c r="C253">
        <v>1</v>
      </c>
      <c r="D253">
        <v>16</v>
      </c>
      <c r="E253" t="str">
        <f t="shared" si="3"/>
        <v>Val-Miller/16/1/1</v>
      </c>
    </row>
    <row r="254" spans="1:5" x14ac:dyDescent="0.2">
      <c r="A254">
        <v>2</v>
      </c>
      <c r="B254" t="s">
        <v>18</v>
      </c>
      <c r="C254">
        <v>3</v>
      </c>
      <c r="D254">
        <v>12</v>
      </c>
      <c r="E254" t="str">
        <f t="shared" si="3"/>
        <v>MAMS/12/2/3</v>
      </c>
    </row>
    <row r="255" spans="1:5" x14ac:dyDescent="0.2">
      <c r="A255">
        <v>3</v>
      </c>
      <c r="B255" t="s">
        <v>96</v>
      </c>
      <c r="C255">
        <v>1</v>
      </c>
      <c r="D255">
        <v>8</v>
      </c>
      <c r="E255" t="str">
        <f t="shared" si="3"/>
        <v>Gui/8/3/1</v>
      </c>
    </row>
    <row r="256" spans="1:5" x14ac:dyDescent="0.2">
      <c r="A256">
        <v>4</v>
      </c>
      <c r="B256" t="s">
        <v>43</v>
      </c>
      <c r="C256">
        <v>0</v>
      </c>
      <c r="D256">
        <v>4</v>
      </c>
      <c r="E256" t="str">
        <f t="shared" si="3"/>
        <v>KassTwo/4/4/0</v>
      </c>
    </row>
    <row r="257" spans="1:5" x14ac:dyDescent="0.2">
      <c r="A257">
        <v>5</v>
      </c>
      <c r="B257" t="s">
        <v>46</v>
      </c>
      <c r="C257">
        <v>0</v>
      </c>
      <c r="D257">
        <v>2</v>
      </c>
      <c r="E257" t="str">
        <f t="shared" si="3"/>
        <v>Jérôme/2/5/0</v>
      </c>
    </row>
    <row r="258" spans="1:5" x14ac:dyDescent="0.2">
      <c r="A258">
        <v>6</v>
      </c>
      <c r="B258" t="s">
        <v>28</v>
      </c>
      <c r="C258">
        <v>0</v>
      </c>
      <c r="D258">
        <v>1</v>
      </c>
      <c r="E258" t="str">
        <f t="shared" ref="E258:E321" si="4">B258&amp;"/"&amp;D258&amp;"/"&amp;A258&amp;"/"&amp;C258</f>
        <v>sobab/1/6/0</v>
      </c>
    </row>
    <row r="259" spans="1:5" x14ac:dyDescent="0.2">
      <c r="A259">
        <v>1</v>
      </c>
      <c r="B259" t="s">
        <v>6</v>
      </c>
      <c r="C259">
        <v>2</v>
      </c>
      <c r="D259">
        <v>16</v>
      </c>
      <c r="E259" t="str">
        <f t="shared" si="4"/>
        <v>Pyja/16/1/2</v>
      </c>
    </row>
    <row r="260" spans="1:5" x14ac:dyDescent="0.2">
      <c r="A260">
        <v>2</v>
      </c>
      <c r="B260" t="s">
        <v>22</v>
      </c>
      <c r="C260">
        <v>3</v>
      </c>
      <c r="D260">
        <v>12</v>
      </c>
      <c r="E260" t="str">
        <f t="shared" si="4"/>
        <v>Dart 45/12/2/3</v>
      </c>
    </row>
    <row r="261" spans="1:5" x14ac:dyDescent="0.2">
      <c r="A261">
        <v>3</v>
      </c>
      <c r="B261" t="s">
        <v>54</v>
      </c>
      <c r="C261">
        <v>0</v>
      </c>
      <c r="D261">
        <v>8</v>
      </c>
      <c r="E261" t="str">
        <f t="shared" si="4"/>
        <v>Salsamanu/8/3/0</v>
      </c>
    </row>
    <row r="262" spans="1:5" x14ac:dyDescent="0.2">
      <c r="A262">
        <v>4</v>
      </c>
      <c r="B262" t="s">
        <v>57</v>
      </c>
      <c r="C262">
        <v>0</v>
      </c>
      <c r="D262">
        <v>4</v>
      </c>
      <c r="E262" t="str">
        <f t="shared" si="4"/>
        <v>ImAAlcalliKK/4/4/0</v>
      </c>
    </row>
    <row r="263" spans="1:5" x14ac:dyDescent="0.2">
      <c r="A263">
        <v>5</v>
      </c>
      <c r="B263" t="s">
        <v>83</v>
      </c>
      <c r="C263">
        <v>0</v>
      </c>
      <c r="D263">
        <v>2</v>
      </c>
      <c r="E263" t="str">
        <f t="shared" si="4"/>
        <v>ChickenSoup/2/5/0</v>
      </c>
    </row>
    <row r="264" spans="1:5" x14ac:dyDescent="0.2">
      <c r="A264">
        <v>6</v>
      </c>
      <c r="B264" t="s">
        <v>23</v>
      </c>
      <c r="C264">
        <v>0</v>
      </c>
      <c r="D264">
        <v>1</v>
      </c>
      <c r="E264" t="str">
        <f t="shared" si="4"/>
        <v>Lylith75/1/6/0</v>
      </c>
    </row>
    <row r="265" spans="1:5" x14ac:dyDescent="0.2">
      <c r="A265">
        <v>1</v>
      </c>
      <c r="B265" t="s">
        <v>45</v>
      </c>
      <c r="C265">
        <v>4</v>
      </c>
      <c r="D265">
        <v>16</v>
      </c>
      <c r="E265" t="str">
        <f t="shared" si="4"/>
        <v>yaltar/16/1/4</v>
      </c>
    </row>
    <row r="266" spans="1:5" x14ac:dyDescent="0.2">
      <c r="A266">
        <v>2</v>
      </c>
      <c r="B266" t="s">
        <v>19</v>
      </c>
      <c r="C266">
        <v>1</v>
      </c>
      <c r="D266">
        <v>12</v>
      </c>
      <c r="E266" t="str">
        <f t="shared" si="4"/>
        <v>Giobeck/12/2/1</v>
      </c>
    </row>
    <row r="267" spans="1:5" x14ac:dyDescent="0.2">
      <c r="A267">
        <v>3</v>
      </c>
      <c r="B267" t="s">
        <v>26</v>
      </c>
      <c r="C267">
        <v>0</v>
      </c>
      <c r="D267">
        <v>8</v>
      </c>
      <c r="E267" t="str">
        <f t="shared" si="4"/>
        <v>LOSOGRE/8/3/0</v>
      </c>
    </row>
    <row r="268" spans="1:5" x14ac:dyDescent="0.2">
      <c r="A268">
        <v>4</v>
      </c>
      <c r="B268" t="s">
        <v>12</v>
      </c>
      <c r="C268">
        <v>0</v>
      </c>
      <c r="D268">
        <v>4</v>
      </c>
      <c r="E268" t="str">
        <f t="shared" si="4"/>
        <v>Gnak/4/4/0</v>
      </c>
    </row>
    <row r="269" spans="1:5" x14ac:dyDescent="0.2">
      <c r="A269">
        <v>5</v>
      </c>
      <c r="B269" t="s">
        <v>61</v>
      </c>
      <c r="C269">
        <v>0</v>
      </c>
      <c r="D269">
        <v>2</v>
      </c>
      <c r="E269" t="str">
        <f t="shared" si="4"/>
        <v>Kri-lin/2/5/0</v>
      </c>
    </row>
    <row r="270" spans="1:5" x14ac:dyDescent="0.2">
      <c r="A270">
        <v>6</v>
      </c>
      <c r="B270" t="s">
        <v>16</v>
      </c>
      <c r="C270">
        <v>0</v>
      </c>
      <c r="D270">
        <v>1</v>
      </c>
      <c r="E270" t="str">
        <f t="shared" si="4"/>
        <v>Stan/1/6/0</v>
      </c>
    </row>
    <row r="271" spans="1:5" x14ac:dyDescent="0.2">
      <c r="A271">
        <v>1</v>
      </c>
      <c r="B271" t="s">
        <v>9</v>
      </c>
      <c r="C271">
        <v>3</v>
      </c>
      <c r="D271">
        <v>16</v>
      </c>
      <c r="E271" t="str">
        <f t="shared" si="4"/>
        <v>K1/16/1/3</v>
      </c>
    </row>
    <row r="272" spans="1:5" x14ac:dyDescent="0.2">
      <c r="A272">
        <v>2</v>
      </c>
      <c r="B272" t="s">
        <v>87</v>
      </c>
      <c r="C272">
        <v>2</v>
      </c>
      <c r="D272">
        <v>12</v>
      </c>
      <c r="E272" t="str">
        <f t="shared" si="4"/>
        <v>Proph@ne/12/2/2</v>
      </c>
    </row>
    <row r="273" spans="1:5" x14ac:dyDescent="0.2">
      <c r="A273">
        <v>3</v>
      </c>
      <c r="B273" t="s">
        <v>50</v>
      </c>
      <c r="C273">
        <v>0</v>
      </c>
      <c r="D273">
        <v>8</v>
      </c>
      <c r="E273" t="str">
        <f t="shared" si="4"/>
        <v>MLADENGO/8/3/0</v>
      </c>
    </row>
    <row r="274" spans="1:5" x14ac:dyDescent="0.2">
      <c r="A274">
        <v>4</v>
      </c>
      <c r="B274" t="s">
        <v>63</v>
      </c>
      <c r="C274">
        <v>0</v>
      </c>
      <c r="D274">
        <v>4</v>
      </c>
      <c r="E274" t="str">
        <f t="shared" si="4"/>
        <v>Brice/4/4/0</v>
      </c>
    </row>
    <row r="275" spans="1:5" x14ac:dyDescent="0.2">
      <c r="A275">
        <v>5</v>
      </c>
      <c r="B275" t="s">
        <v>66</v>
      </c>
      <c r="C275">
        <v>0</v>
      </c>
      <c r="D275">
        <v>2</v>
      </c>
      <c r="E275" t="str">
        <f t="shared" si="4"/>
        <v>Ad Vitam/2/5/0</v>
      </c>
    </row>
    <row r="276" spans="1:5" x14ac:dyDescent="0.2">
      <c r="A276">
        <v>6</v>
      </c>
      <c r="B276" t="s">
        <v>38</v>
      </c>
      <c r="C276">
        <v>0</v>
      </c>
      <c r="D276">
        <v>1</v>
      </c>
      <c r="E276" t="str">
        <f t="shared" si="4"/>
        <v>cTTprmoa/1/6/0</v>
      </c>
    </row>
    <row r="277" spans="1:5" x14ac:dyDescent="0.2">
      <c r="A277">
        <v>1</v>
      </c>
      <c r="B277" t="s">
        <v>31</v>
      </c>
      <c r="C277">
        <v>2</v>
      </c>
      <c r="D277">
        <v>17</v>
      </c>
      <c r="E277" t="str">
        <f t="shared" si="4"/>
        <v>CHRIS92340/17/1/2</v>
      </c>
    </row>
    <row r="278" spans="1:5" x14ac:dyDescent="0.2">
      <c r="A278">
        <v>2</v>
      </c>
      <c r="B278" t="s">
        <v>27</v>
      </c>
      <c r="C278">
        <v>3</v>
      </c>
      <c r="D278">
        <v>13</v>
      </c>
      <c r="E278" t="str">
        <f t="shared" si="4"/>
        <v>Mandrake/13/2/3</v>
      </c>
    </row>
    <row r="279" spans="1:5" x14ac:dyDescent="0.2">
      <c r="A279">
        <v>3</v>
      </c>
      <c r="B279" t="s">
        <v>76</v>
      </c>
      <c r="C279">
        <v>1</v>
      </c>
      <c r="D279">
        <v>9</v>
      </c>
      <c r="E279" t="str">
        <f t="shared" si="4"/>
        <v>Comment2/9/3/1</v>
      </c>
    </row>
    <row r="280" spans="1:5" x14ac:dyDescent="0.2">
      <c r="A280">
        <v>4</v>
      </c>
      <c r="B280" t="s">
        <v>33</v>
      </c>
      <c r="C280">
        <v>0</v>
      </c>
      <c r="D280">
        <v>5</v>
      </c>
      <c r="E280" t="str">
        <f t="shared" si="4"/>
        <v>Ptit Savoyard/5/4/0</v>
      </c>
    </row>
    <row r="281" spans="1:5" x14ac:dyDescent="0.2">
      <c r="A281">
        <v>5</v>
      </c>
      <c r="B281" t="s">
        <v>20</v>
      </c>
      <c r="C281">
        <v>0</v>
      </c>
      <c r="D281">
        <v>3</v>
      </c>
      <c r="E281" t="str">
        <f t="shared" si="4"/>
        <v>saymsonite/3/5/0</v>
      </c>
    </row>
    <row r="282" spans="1:5" x14ac:dyDescent="0.2">
      <c r="A282">
        <v>6</v>
      </c>
      <c r="B282" t="s">
        <v>35</v>
      </c>
      <c r="C282">
        <v>0</v>
      </c>
      <c r="D282">
        <v>2</v>
      </c>
      <c r="E282" t="str">
        <f t="shared" si="4"/>
        <v>JeanMichelTiming/2/6/0</v>
      </c>
    </row>
    <row r="283" spans="1:5" x14ac:dyDescent="0.2">
      <c r="A283">
        <v>7</v>
      </c>
      <c r="B283" t="s">
        <v>39</v>
      </c>
      <c r="C283">
        <v>0</v>
      </c>
      <c r="D283">
        <v>1</v>
      </c>
      <c r="E283" t="str">
        <f t="shared" si="4"/>
        <v>kheops/1/7/0</v>
      </c>
    </row>
    <row r="284" spans="1:5" x14ac:dyDescent="0.2">
      <c r="A284">
        <v>1</v>
      </c>
      <c r="B284" t="s">
        <v>59</v>
      </c>
      <c r="C284">
        <v>2</v>
      </c>
      <c r="D284">
        <v>16</v>
      </c>
      <c r="E284" t="str">
        <f t="shared" si="4"/>
        <v>YooooDA/16/1/2</v>
      </c>
    </row>
    <row r="285" spans="1:5" x14ac:dyDescent="0.2">
      <c r="A285">
        <v>2</v>
      </c>
      <c r="B285" t="s">
        <v>67</v>
      </c>
      <c r="C285">
        <v>1</v>
      </c>
      <c r="D285">
        <v>12</v>
      </c>
      <c r="E285" t="str">
        <f t="shared" si="4"/>
        <v>Jackiechoune/12/2/1</v>
      </c>
    </row>
    <row r="286" spans="1:5" x14ac:dyDescent="0.2">
      <c r="A286">
        <v>3</v>
      </c>
      <c r="B286" t="s">
        <v>41</v>
      </c>
      <c r="C286">
        <v>2</v>
      </c>
      <c r="D286">
        <v>8</v>
      </c>
      <c r="E286" t="str">
        <f t="shared" si="4"/>
        <v>gibouille/8/3/2</v>
      </c>
    </row>
    <row r="287" spans="1:5" x14ac:dyDescent="0.2">
      <c r="A287">
        <v>4</v>
      </c>
      <c r="B287" t="s">
        <v>53</v>
      </c>
      <c r="C287">
        <v>0</v>
      </c>
      <c r="D287">
        <v>4</v>
      </c>
      <c r="E287" t="str">
        <f t="shared" si="4"/>
        <v>Makoche/4/4/0</v>
      </c>
    </row>
    <row r="288" spans="1:5" x14ac:dyDescent="0.2">
      <c r="A288">
        <v>5</v>
      </c>
      <c r="B288" t="s">
        <v>25</v>
      </c>
      <c r="C288">
        <v>0</v>
      </c>
      <c r="D288">
        <v>2</v>
      </c>
      <c r="E288" t="str">
        <f t="shared" si="4"/>
        <v>Claudius/2/5/0</v>
      </c>
    </row>
    <row r="289" spans="1:5" x14ac:dyDescent="0.2">
      <c r="A289">
        <v>6</v>
      </c>
      <c r="B289" t="s">
        <v>47</v>
      </c>
      <c r="C289">
        <v>0</v>
      </c>
      <c r="D289">
        <v>1</v>
      </c>
      <c r="E289" t="str">
        <f t="shared" si="4"/>
        <v>Logan/1/6/0</v>
      </c>
    </row>
    <row r="290" spans="1:5" x14ac:dyDescent="0.2">
      <c r="A290">
        <v>1</v>
      </c>
      <c r="B290" t="s">
        <v>26</v>
      </c>
      <c r="C290">
        <v>2</v>
      </c>
      <c r="D290">
        <v>16</v>
      </c>
      <c r="E290" t="str">
        <f t="shared" si="4"/>
        <v>LOSOGRE/16/1/2</v>
      </c>
    </row>
    <row r="291" spans="1:5" x14ac:dyDescent="0.2">
      <c r="A291">
        <v>2</v>
      </c>
      <c r="B291" t="s">
        <v>28</v>
      </c>
      <c r="C291">
        <v>3</v>
      </c>
      <c r="D291">
        <v>12</v>
      </c>
      <c r="E291" t="str">
        <f t="shared" si="4"/>
        <v>sobab/12/2/3</v>
      </c>
    </row>
    <row r="292" spans="1:5" x14ac:dyDescent="0.2">
      <c r="A292">
        <v>3</v>
      </c>
      <c r="B292" t="s">
        <v>69</v>
      </c>
      <c r="C292">
        <v>0</v>
      </c>
      <c r="D292">
        <v>8</v>
      </c>
      <c r="E292" t="str">
        <f t="shared" si="4"/>
        <v>Catherine/8/3/0</v>
      </c>
    </row>
    <row r="293" spans="1:5" x14ac:dyDescent="0.2">
      <c r="A293">
        <v>4</v>
      </c>
      <c r="B293" t="s">
        <v>31</v>
      </c>
      <c r="C293">
        <v>0</v>
      </c>
      <c r="D293">
        <v>4</v>
      </c>
      <c r="E293" t="str">
        <f t="shared" si="4"/>
        <v>CHRIS92340/4/4/0</v>
      </c>
    </row>
    <row r="294" spans="1:5" x14ac:dyDescent="0.2">
      <c r="A294">
        <v>5</v>
      </c>
      <c r="B294" t="s">
        <v>92</v>
      </c>
      <c r="C294">
        <v>0</v>
      </c>
      <c r="D294">
        <v>2</v>
      </c>
      <c r="E294" t="str">
        <f t="shared" si="4"/>
        <v>Jacks&amp;Five/2/5/0</v>
      </c>
    </row>
    <row r="295" spans="1:5" x14ac:dyDescent="0.2">
      <c r="A295">
        <v>6</v>
      </c>
      <c r="B295" t="s">
        <v>48</v>
      </c>
      <c r="C295">
        <v>0</v>
      </c>
      <c r="D295">
        <v>1</v>
      </c>
      <c r="E295" t="str">
        <f t="shared" si="4"/>
        <v>Pintu/1/6/0</v>
      </c>
    </row>
    <row r="296" spans="1:5" x14ac:dyDescent="0.2">
      <c r="A296">
        <v>1</v>
      </c>
      <c r="B296" t="s">
        <v>45</v>
      </c>
      <c r="C296">
        <v>1</v>
      </c>
      <c r="D296">
        <v>16</v>
      </c>
      <c r="E296" t="str">
        <f t="shared" si="4"/>
        <v>yaltar/16/1/1</v>
      </c>
    </row>
    <row r="297" spans="1:5" x14ac:dyDescent="0.2">
      <c r="A297">
        <v>2</v>
      </c>
      <c r="B297" t="s">
        <v>66</v>
      </c>
      <c r="C297">
        <v>2</v>
      </c>
      <c r="D297">
        <v>12</v>
      </c>
      <c r="E297" t="str">
        <f t="shared" si="4"/>
        <v>Ad Vitam/12/2/2</v>
      </c>
    </row>
    <row r="298" spans="1:5" x14ac:dyDescent="0.2">
      <c r="A298">
        <v>3</v>
      </c>
      <c r="B298" t="s">
        <v>97</v>
      </c>
      <c r="C298">
        <v>1</v>
      </c>
      <c r="D298">
        <v>8</v>
      </c>
      <c r="E298" t="str">
        <f t="shared" si="4"/>
        <v>Quartz/8/3/1</v>
      </c>
    </row>
    <row r="299" spans="1:5" x14ac:dyDescent="0.2">
      <c r="A299">
        <v>4</v>
      </c>
      <c r="B299" t="s">
        <v>41</v>
      </c>
      <c r="C299">
        <v>1</v>
      </c>
      <c r="D299">
        <v>4</v>
      </c>
      <c r="E299" t="str">
        <f t="shared" si="4"/>
        <v>gibouille/4/4/1</v>
      </c>
    </row>
    <row r="300" spans="1:5" x14ac:dyDescent="0.2">
      <c r="A300">
        <v>5</v>
      </c>
      <c r="B300" t="s">
        <v>68</v>
      </c>
      <c r="C300">
        <v>0</v>
      </c>
      <c r="D300">
        <v>2</v>
      </c>
      <c r="E300" t="str">
        <f t="shared" si="4"/>
        <v>zubbaz/2/5/0</v>
      </c>
    </row>
    <row r="301" spans="1:5" x14ac:dyDescent="0.2">
      <c r="A301">
        <v>6</v>
      </c>
      <c r="B301" t="s">
        <v>81</v>
      </c>
      <c r="C301">
        <v>0</v>
      </c>
      <c r="D301">
        <v>1</v>
      </c>
      <c r="E301" t="str">
        <f t="shared" si="4"/>
        <v>Empedocle/1/6/0</v>
      </c>
    </row>
    <row r="302" spans="1:5" x14ac:dyDescent="0.2">
      <c r="A302">
        <v>1</v>
      </c>
      <c r="B302" t="s">
        <v>6</v>
      </c>
      <c r="C302">
        <v>2</v>
      </c>
      <c r="D302">
        <v>15</v>
      </c>
      <c r="E302" t="str">
        <f t="shared" si="4"/>
        <v>Pyja/15/1/2</v>
      </c>
    </row>
    <row r="303" spans="1:5" x14ac:dyDescent="0.2">
      <c r="A303">
        <v>2</v>
      </c>
      <c r="B303" t="s">
        <v>22</v>
      </c>
      <c r="C303">
        <v>2</v>
      </c>
      <c r="D303">
        <v>11</v>
      </c>
      <c r="E303" t="str">
        <f t="shared" si="4"/>
        <v>Dart 45/11/2/2</v>
      </c>
    </row>
    <row r="304" spans="1:5" x14ac:dyDescent="0.2">
      <c r="A304">
        <v>3</v>
      </c>
      <c r="B304" t="s">
        <v>38</v>
      </c>
      <c r="C304">
        <v>0</v>
      </c>
      <c r="D304">
        <v>7</v>
      </c>
      <c r="E304" t="str">
        <f t="shared" si="4"/>
        <v>cTTprmoa/7/3/0</v>
      </c>
    </row>
    <row r="305" spans="1:5" x14ac:dyDescent="0.2">
      <c r="A305">
        <v>4</v>
      </c>
      <c r="B305" t="s">
        <v>32</v>
      </c>
      <c r="C305">
        <v>0</v>
      </c>
      <c r="D305">
        <v>3</v>
      </c>
      <c r="E305" t="str">
        <f t="shared" si="4"/>
        <v>OlivierN92/3/4/0</v>
      </c>
    </row>
    <row r="306" spans="1:5" x14ac:dyDescent="0.2">
      <c r="A306">
        <v>5</v>
      </c>
      <c r="B306" t="s">
        <v>14</v>
      </c>
      <c r="C306">
        <v>0</v>
      </c>
      <c r="D306">
        <v>1</v>
      </c>
      <c r="E306" t="str">
        <f t="shared" si="4"/>
        <v>Ramm/1/5/0</v>
      </c>
    </row>
    <row r="307" spans="1:5" x14ac:dyDescent="0.2">
      <c r="A307">
        <v>1</v>
      </c>
      <c r="B307" t="s">
        <v>74</v>
      </c>
      <c r="C307">
        <v>2</v>
      </c>
      <c r="D307">
        <v>15</v>
      </c>
      <c r="E307" t="str">
        <f t="shared" si="4"/>
        <v>PatB/15/1/2</v>
      </c>
    </row>
    <row r="308" spans="1:5" x14ac:dyDescent="0.2">
      <c r="A308">
        <v>2</v>
      </c>
      <c r="B308" t="s">
        <v>50</v>
      </c>
      <c r="C308">
        <v>1</v>
      </c>
      <c r="D308">
        <v>11</v>
      </c>
      <c r="E308" t="str">
        <f t="shared" si="4"/>
        <v>MLADENGO/11/2/1</v>
      </c>
    </row>
    <row r="309" spans="1:5" x14ac:dyDescent="0.2">
      <c r="A309">
        <v>3</v>
      </c>
      <c r="B309" t="s">
        <v>54</v>
      </c>
      <c r="C309">
        <v>1</v>
      </c>
      <c r="D309">
        <v>7</v>
      </c>
      <c r="E309" t="str">
        <f t="shared" si="4"/>
        <v>Salsamanu/7/3/1</v>
      </c>
    </row>
    <row r="310" spans="1:5" x14ac:dyDescent="0.2">
      <c r="A310">
        <v>4</v>
      </c>
      <c r="B310" t="s">
        <v>47</v>
      </c>
      <c r="C310">
        <v>0</v>
      </c>
      <c r="D310">
        <v>3</v>
      </c>
      <c r="E310" t="str">
        <f t="shared" si="4"/>
        <v>Logan/3/4/0</v>
      </c>
    </row>
    <row r="311" spans="1:5" x14ac:dyDescent="0.2">
      <c r="A311">
        <v>5</v>
      </c>
      <c r="B311" t="s">
        <v>15</v>
      </c>
      <c r="C311">
        <v>0</v>
      </c>
      <c r="D311">
        <v>1</v>
      </c>
      <c r="E311" t="str">
        <f t="shared" si="4"/>
        <v>LAAtof/1/5/0</v>
      </c>
    </row>
    <row r="312" spans="1:5" x14ac:dyDescent="0.2">
      <c r="A312">
        <v>1</v>
      </c>
      <c r="B312" t="s">
        <v>7</v>
      </c>
      <c r="C312">
        <v>2</v>
      </c>
      <c r="D312">
        <v>16</v>
      </c>
      <c r="E312" t="str">
        <f t="shared" si="4"/>
        <v>Geo/16/1/2</v>
      </c>
    </row>
    <row r="313" spans="1:5" x14ac:dyDescent="0.2">
      <c r="A313">
        <v>2</v>
      </c>
      <c r="B313" t="s">
        <v>18</v>
      </c>
      <c r="C313">
        <v>0</v>
      </c>
      <c r="D313">
        <v>12</v>
      </c>
      <c r="E313" t="str">
        <f t="shared" si="4"/>
        <v>MAMS/12/2/0</v>
      </c>
    </row>
    <row r="314" spans="1:5" x14ac:dyDescent="0.2">
      <c r="A314">
        <v>3</v>
      </c>
      <c r="B314" t="s">
        <v>9</v>
      </c>
      <c r="C314">
        <v>3</v>
      </c>
      <c r="D314">
        <v>8</v>
      </c>
      <c r="E314" t="str">
        <f t="shared" si="4"/>
        <v>K1/8/3/3</v>
      </c>
    </row>
    <row r="315" spans="1:5" x14ac:dyDescent="0.2">
      <c r="A315">
        <v>4</v>
      </c>
      <c r="B315" t="s">
        <v>63</v>
      </c>
      <c r="C315">
        <v>0</v>
      </c>
      <c r="D315">
        <v>4</v>
      </c>
      <c r="E315" t="str">
        <f t="shared" si="4"/>
        <v>Brice/4/4/0</v>
      </c>
    </row>
    <row r="316" spans="1:5" x14ac:dyDescent="0.2">
      <c r="A316">
        <v>5</v>
      </c>
      <c r="B316" t="s">
        <v>33</v>
      </c>
      <c r="C316">
        <v>0</v>
      </c>
      <c r="D316">
        <v>2</v>
      </c>
      <c r="E316" t="str">
        <f t="shared" si="4"/>
        <v>Ptit Savoyard/2/5/0</v>
      </c>
    </row>
    <row r="317" spans="1:5" x14ac:dyDescent="0.2">
      <c r="A317">
        <v>6</v>
      </c>
      <c r="B317" t="s">
        <v>19</v>
      </c>
      <c r="C317">
        <v>0</v>
      </c>
      <c r="D317">
        <v>1</v>
      </c>
      <c r="E317" t="str">
        <f t="shared" si="4"/>
        <v>Giobeck/1/6/0</v>
      </c>
    </row>
    <row r="318" spans="1:5" x14ac:dyDescent="0.2">
      <c r="A318">
        <v>1</v>
      </c>
      <c r="B318" t="s">
        <v>61</v>
      </c>
      <c r="C318">
        <v>3</v>
      </c>
      <c r="D318">
        <v>15</v>
      </c>
      <c r="E318" t="str">
        <f t="shared" si="4"/>
        <v>Kri-lin/15/1/3</v>
      </c>
    </row>
    <row r="319" spans="1:5" x14ac:dyDescent="0.2">
      <c r="A319">
        <v>2</v>
      </c>
      <c r="B319" t="s">
        <v>12</v>
      </c>
      <c r="C319">
        <v>1</v>
      </c>
      <c r="D319">
        <v>11</v>
      </c>
      <c r="E319" t="str">
        <f t="shared" si="4"/>
        <v>Gnak/11/2/1</v>
      </c>
    </row>
    <row r="320" spans="1:5" x14ac:dyDescent="0.2">
      <c r="A320">
        <v>3</v>
      </c>
      <c r="B320" t="s">
        <v>25</v>
      </c>
      <c r="C320">
        <v>0</v>
      </c>
      <c r="D320">
        <v>7</v>
      </c>
      <c r="E320" t="str">
        <f t="shared" si="4"/>
        <v>Claudius/7/3/0</v>
      </c>
    </row>
    <row r="321" spans="1:5" x14ac:dyDescent="0.2">
      <c r="A321">
        <v>4</v>
      </c>
      <c r="B321" t="s">
        <v>76</v>
      </c>
      <c r="C321">
        <v>0</v>
      </c>
      <c r="D321">
        <v>3</v>
      </c>
      <c r="E321" t="str">
        <f t="shared" si="4"/>
        <v>Comment2/3/4/0</v>
      </c>
    </row>
    <row r="322" spans="1:5" x14ac:dyDescent="0.2">
      <c r="A322">
        <v>5</v>
      </c>
      <c r="B322" t="s">
        <v>88</v>
      </c>
      <c r="C322">
        <v>0</v>
      </c>
      <c r="D322">
        <v>1</v>
      </c>
      <c r="E322" t="str">
        <f t="shared" ref="E322:E385" si="5">B322&amp;"/"&amp;D322&amp;"/"&amp;A322&amp;"/"&amp;C322</f>
        <v>Yarael/1/5/0</v>
      </c>
    </row>
    <row r="323" spans="1:5" x14ac:dyDescent="0.2">
      <c r="A323">
        <v>1</v>
      </c>
      <c r="B323" t="s">
        <v>77</v>
      </c>
      <c r="C323">
        <v>3</v>
      </c>
      <c r="D323">
        <v>15</v>
      </c>
      <c r="E323" t="str">
        <f t="shared" si="5"/>
        <v>Récréatif/15/1/3</v>
      </c>
    </row>
    <row r="324" spans="1:5" x14ac:dyDescent="0.2">
      <c r="A324">
        <v>2</v>
      </c>
      <c r="B324" t="s">
        <v>55</v>
      </c>
      <c r="C324">
        <v>0</v>
      </c>
      <c r="D324">
        <v>11</v>
      </c>
      <c r="E324" t="str">
        <f t="shared" si="5"/>
        <v>Bounette/11/2/0</v>
      </c>
    </row>
    <row r="325" spans="1:5" x14ac:dyDescent="0.2">
      <c r="A325">
        <v>3</v>
      </c>
      <c r="B325" t="s">
        <v>27</v>
      </c>
      <c r="C325">
        <v>1</v>
      </c>
      <c r="D325">
        <v>7</v>
      </c>
      <c r="E325" t="str">
        <f t="shared" si="5"/>
        <v>Mandrake/7/3/1</v>
      </c>
    </row>
    <row r="326" spans="1:5" x14ac:dyDescent="0.2">
      <c r="A326">
        <v>4</v>
      </c>
      <c r="B326" t="s">
        <v>21</v>
      </c>
      <c r="C326">
        <v>0</v>
      </c>
      <c r="D326">
        <v>3</v>
      </c>
      <c r="E326" t="str">
        <f t="shared" si="5"/>
        <v>Carmin/3/4/0</v>
      </c>
    </row>
    <row r="327" spans="1:5" x14ac:dyDescent="0.2">
      <c r="A327">
        <v>5</v>
      </c>
      <c r="B327" t="s">
        <v>72</v>
      </c>
      <c r="C327">
        <v>0</v>
      </c>
      <c r="D327">
        <v>1</v>
      </c>
      <c r="E327" t="str">
        <f t="shared" si="5"/>
        <v>Le Boss/1/5/0</v>
      </c>
    </row>
    <row r="328" spans="1:5" x14ac:dyDescent="0.2">
      <c r="A328">
        <v>1</v>
      </c>
      <c r="B328" t="s">
        <v>52</v>
      </c>
      <c r="C328">
        <v>2</v>
      </c>
      <c r="D328">
        <v>15</v>
      </c>
      <c r="E328" t="str">
        <f t="shared" si="5"/>
        <v>Coach Pepito/15/1/2</v>
      </c>
    </row>
    <row r="329" spans="1:5" x14ac:dyDescent="0.2">
      <c r="A329">
        <v>2</v>
      </c>
      <c r="B329" t="s">
        <v>73</v>
      </c>
      <c r="C329">
        <v>0</v>
      </c>
      <c r="D329">
        <v>11</v>
      </c>
      <c r="E329" t="str">
        <f t="shared" si="5"/>
        <v>Flem/11/2/0</v>
      </c>
    </row>
    <row r="330" spans="1:5" x14ac:dyDescent="0.2">
      <c r="A330">
        <v>3</v>
      </c>
      <c r="B330" t="s">
        <v>42</v>
      </c>
      <c r="C330">
        <v>2</v>
      </c>
      <c r="D330">
        <v>7</v>
      </c>
      <c r="E330" t="str">
        <f t="shared" si="5"/>
        <v>Claptou/7/3/2</v>
      </c>
    </row>
    <row r="331" spans="1:5" x14ac:dyDescent="0.2">
      <c r="A331">
        <v>4</v>
      </c>
      <c r="B331" t="s">
        <v>8</v>
      </c>
      <c r="C331">
        <v>0</v>
      </c>
      <c r="D331">
        <v>3</v>
      </c>
      <c r="E331" t="str">
        <f t="shared" si="5"/>
        <v>Maxime/3/4/0</v>
      </c>
    </row>
    <row r="332" spans="1:5" x14ac:dyDescent="0.2">
      <c r="A332">
        <v>5</v>
      </c>
      <c r="B332" t="s">
        <v>94</v>
      </c>
      <c r="C332">
        <v>0</v>
      </c>
      <c r="D332">
        <v>1</v>
      </c>
      <c r="E332" t="str">
        <f t="shared" si="5"/>
        <v>Jaden le désosseur/1/5/0</v>
      </c>
    </row>
    <row r="333" spans="1:5" x14ac:dyDescent="0.2">
      <c r="A333">
        <v>1</v>
      </c>
      <c r="B333" t="s">
        <v>75</v>
      </c>
      <c r="C333">
        <v>3</v>
      </c>
      <c r="D333">
        <v>15</v>
      </c>
      <c r="E333" t="str">
        <f t="shared" si="5"/>
        <v>Michelbey/15/1/3</v>
      </c>
    </row>
    <row r="334" spans="1:5" x14ac:dyDescent="0.2">
      <c r="A334">
        <v>2</v>
      </c>
      <c r="B334" t="s">
        <v>60</v>
      </c>
      <c r="C334">
        <v>1</v>
      </c>
      <c r="D334">
        <v>11</v>
      </c>
      <c r="E334" t="str">
        <f t="shared" si="5"/>
        <v>zizou/11/2/1</v>
      </c>
    </row>
    <row r="335" spans="1:5" x14ac:dyDescent="0.2">
      <c r="A335">
        <v>3</v>
      </c>
      <c r="B335" t="s">
        <v>35</v>
      </c>
      <c r="C335">
        <v>0</v>
      </c>
      <c r="D335">
        <v>7</v>
      </c>
      <c r="E335" t="str">
        <f t="shared" si="5"/>
        <v>JeanMichelTiming/7/3/0</v>
      </c>
    </row>
    <row r="336" spans="1:5" x14ac:dyDescent="0.2">
      <c r="A336">
        <v>4</v>
      </c>
      <c r="B336" t="s">
        <v>46</v>
      </c>
      <c r="C336">
        <v>0</v>
      </c>
      <c r="D336">
        <v>3</v>
      </c>
      <c r="E336" t="str">
        <f t="shared" si="5"/>
        <v>Jérôme/3/4/0</v>
      </c>
    </row>
    <row r="337" spans="1:5" x14ac:dyDescent="0.2">
      <c r="A337">
        <v>5</v>
      </c>
      <c r="B337" t="s">
        <v>39</v>
      </c>
      <c r="C337">
        <v>0</v>
      </c>
      <c r="D337">
        <v>1</v>
      </c>
      <c r="E337" t="str">
        <f t="shared" si="5"/>
        <v>kheops/1/5/0</v>
      </c>
    </row>
    <row r="338" spans="1:5" x14ac:dyDescent="0.2">
      <c r="A338">
        <v>1</v>
      </c>
      <c r="B338" t="s">
        <v>41</v>
      </c>
      <c r="C338">
        <v>1</v>
      </c>
      <c r="D338">
        <v>16</v>
      </c>
      <c r="E338" t="str">
        <f t="shared" si="5"/>
        <v>gibouille/16/1/1</v>
      </c>
    </row>
    <row r="339" spans="1:5" x14ac:dyDescent="0.2">
      <c r="A339">
        <v>2</v>
      </c>
      <c r="B339" t="s">
        <v>63</v>
      </c>
      <c r="C339">
        <v>2</v>
      </c>
      <c r="D339">
        <v>12</v>
      </c>
      <c r="E339" t="str">
        <f t="shared" si="5"/>
        <v>Brice/12/2/2</v>
      </c>
    </row>
    <row r="340" spans="1:5" x14ac:dyDescent="0.2">
      <c r="A340">
        <v>3</v>
      </c>
      <c r="B340" t="s">
        <v>18</v>
      </c>
      <c r="C340">
        <v>2</v>
      </c>
      <c r="D340">
        <v>8</v>
      </c>
      <c r="E340" t="str">
        <f t="shared" si="5"/>
        <v>MAMS/8/3/2</v>
      </c>
    </row>
    <row r="341" spans="1:5" x14ac:dyDescent="0.2">
      <c r="A341">
        <v>4</v>
      </c>
      <c r="B341" t="s">
        <v>46</v>
      </c>
      <c r="C341">
        <v>0</v>
      </c>
      <c r="D341">
        <v>4</v>
      </c>
      <c r="E341" t="str">
        <f t="shared" si="5"/>
        <v>Jérôme/4/4/0</v>
      </c>
    </row>
    <row r="342" spans="1:5" x14ac:dyDescent="0.2">
      <c r="A342">
        <v>5</v>
      </c>
      <c r="B342" t="s">
        <v>66</v>
      </c>
      <c r="C342">
        <v>0</v>
      </c>
      <c r="D342">
        <v>2</v>
      </c>
      <c r="E342" t="str">
        <f t="shared" si="5"/>
        <v>Ad Vitam/2/5/0</v>
      </c>
    </row>
    <row r="343" spans="1:5" x14ac:dyDescent="0.2">
      <c r="A343">
        <v>6</v>
      </c>
      <c r="B343" t="s">
        <v>57</v>
      </c>
      <c r="C343">
        <v>0</v>
      </c>
      <c r="D343">
        <v>1</v>
      </c>
      <c r="E343" t="str">
        <f t="shared" si="5"/>
        <v>ImAAlcalliKK/1/6/0</v>
      </c>
    </row>
    <row r="344" spans="1:5" x14ac:dyDescent="0.2">
      <c r="A344">
        <v>1</v>
      </c>
      <c r="B344" t="s">
        <v>32</v>
      </c>
      <c r="C344">
        <v>4</v>
      </c>
      <c r="D344">
        <v>16</v>
      </c>
      <c r="E344" t="str">
        <f t="shared" si="5"/>
        <v>OlivierN92/16/1/4</v>
      </c>
    </row>
    <row r="345" spans="1:5" x14ac:dyDescent="0.2">
      <c r="A345">
        <v>2</v>
      </c>
      <c r="B345" t="s">
        <v>91</v>
      </c>
      <c r="C345">
        <v>1</v>
      </c>
      <c r="D345">
        <v>12</v>
      </c>
      <c r="E345" t="str">
        <f t="shared" si="5"/>
        <v>Crevette/12/2/1</v>
      </c>
    </row>
    <row r="346" spans="1:5" x14ac:dyDescent="0.2">
      <c r="A346">
        <v>3</v>
      </c>
      <c r="B346" t="s">
        <v>74</v>
      </c>
      <c r="C346">
        <v>0</v>
      </c>
      <c r="D346">
        <v>8</v>
      </c>
      <c r="E346" t="str">
        <f t="shared" si="5"/>
        <v>PatB/8/3/0</v>
      </c>
    </row>
    <row r="347" spans="1:5" x14ac:dyDescent="0.2">
      <c r="A347">
        <v>4</v>
      </c>
      <c r="B347" t="s">
        <v>35</v>
      </c>
      <c r="C347">
        <v>0</v>
      </c>
      <c r="D347">
        <v>4</v>
      </c>
      <c r="E347" t="str">
        <f t="shared" si="5"/>
        <v>JeanMichelTiming/4/4/0</v>
      </c>
    </row>
    <row r="348" spans="1:5" x14ac:dyDescent="0.2">
      <c r="A348">
        <v>5</v>
      </c>
      <c r="B348" t="s">
        <v>69</v>
      </c>
      <c r="C348">
        <v>0</v>
      </c>
      <c r="D348">
        <v>2</v>
      </c>
      <c r="E348" t="str">
        <f t="shared" si="5"/>
        <v>Catherine/2/5/0</v>
      </c>
    </row>
    <row r="349" spans="1:5" x14ac:dyDescent="0.2">
      <c r="A349">
        <v>6</v>
      </c>
      <c r="B349" t="s">
        <v>65</v>
      </c>
      <c r="C349">
        <v>0</v>
      </c>
      <c r="D349">
        <v>1</v>
      </c>
      <c r="E349" t="str">
        <f t="shared" si="5"/>
        <v>Ripolin/1/6/0</v>
      </c>
    </row>
    <row r="350" spans="1:5" x14ac:dyDescent="0.2">
      <c r="A350">
        <v>1</v>
      </c>
      <c r="B350" t="s">
        <v>87</v>
      </c>
      <c r="C350">
        <v>1</v>
      </c>
      <c r="D350">
        <v>16</v>
      </c>
      <c r="E350" t="str">
        <f t="shared" si="5"/>
        <v>Proph@ne/16/1/1</v>
      </c>
    </row>
    <row r="351" spans="1:5" x14ac:dyDescent="0.2">
      <c r="A351">
        <v>2</v>
      </c>
      <c r="B351" t="s">
        <v>98</v>
      </c>
      <c r="C351">
        <v>3</v>
      </c>
      <c r="D351">
        <v>12</v>
      </c>
      <c r="E351" t="str">
        <f t="shared" si="5"/>
        <v>Blocknote/12/2/3</v>
      </c>
    </row>
    <row r="352" spans="1:5" x14ac:dyDescent="0.2">
      <c r="A352">
        <v>3</v>
      </c>
      <c r="B352" t="s">
        <v>25</v>
      </c>
      <c r="C352">
        <v>1</v>
      </c>
      <c r="D352">
        <v>8</v>
      </c>
      <c r="E352" t="str">
        <f t="shared" si="5"/>
        <v>Claudius/8/3/1</v>
      </c>
    </row>
    <row r="353" spans="1:5" x14ac:dyDescent="0.2">
      <c r="A353">
        <v>4</v>
      </c>
      <c r="B353" t="s">
        <v>42</v>
      </c>
      <c r="C353">
        <v>0</v>
      </c>
      <c r="D353">
        <v>4</v>
      </c>
      <c r="E353" t="str">
        <f t="shared" si="5"/>
        <v>Claptou/4/4/0</v>
      </c>
    </row>
    <row r="354" spans="1:5" x14ac:dyDescent="0.2">
      <c r="A354">
        <v>5</v>
      </c>
      <c r="B354" t="s">
        <v>99</v>
      </c>
      <c r="C354">
        <v>0</v>
      </c>
      <c r="D354">
        <v>2</v>
      </c>
      <c r="E354" t="str">
        <f t="shared" si="5"/>
        <v>CoachNasser/2/5/0</v>
      </c>
    </row>
    <row r="355" spans="1:5" x14ac:dyDescent="0.2">
      <c r="A355">
        <v>6</v>
      </c>
      <c r="B355" t="s">
        <v>53</v>
      </c>
      <c r="C355">
        <v>0</v>
      </c>
      <c r="D355">
        <v>1</v>
      </c>
      <c r="E355" t="str">
        <f t="shared" si="5"/>
        <v>Makoche/1/6/0</v>
      </c>
    </row>
    <row r="356" spans="1:5" x14ac:dyDescent="0.2">
      <c r="A356">
        <v>1</v>
      </c>
      <c r="B356" t="s">
        <v>26</v>
      </c>
      <c r="C356">
        <v>1</v>
      </c>
      <c r="D356">
        <v>16</v>
      </c>
      <c r="E356" t="str">
        <f t="shared" si="5"/>
        <v>LOSOGRE/16/1/1</v>
      </c>
    </row>
    <row r="357" spans="1:5" x14ac:dyDescent="0.2">
      <c r="A357">
        <v>2</v>
      </c>
      <c r="B357" t="s">
        <v>47</v>
      </c>
      <c r="C357">
        <v>1</v>
      </c>
      <c r="D357">
        <v>12</v>
      </c>
      <c r="E357" t="str">
        <f t="shared" si="5"/>
        <v>Logan/12/2/1</v>
      </c>
    </row>
    <row r="358" spans="1:5" x14ac:dyDescent="0.2">
      <c r="A358">
        <v>3</v>
      </c>
      <c r="B358" t="s">
        <v>16</v>
      </c>
      <c r="C358">
        <v>2</v>
      </c>
      <c r="D358">
        <v>8</v>
      </c>
      <c r="E358" t="str">
        <f t="shared" si="5"/>
        <v>Stan/8/3/2</v>
      </c>
    </row>
    <row r="359" spans="1:5" x14ac:dyDescent="0.2">
      <c r="A359">
        <v>4</v>
      </c>
      <c r="B359" t="s">
        <v>50</v>
      </c>
      <c r="C359">
        <v>1</v>
      </c>
      <c r="D359">
        <v>4</v>
      </c>
      <c r="E359" t="str">
        <f t="shared" si="5"/>
        <v>MLADENGO/4/4/1</v>
      </c>
    </row>
    <row r="360" spans="1:5" x14ac:dyDescent="0.2">
      <c r="A360">
        <v>5</v>
      </c>
      <c r="B360" t="s">
        <v>14</v>
      </c>
      <c r="C360">
        <v>0</v>
      </c>
      <c r="D360">
        <v>2</v>
      </c>
      <c r="E360" t="str">
        <f t="shared" si="5"/>
        <v>Ramm/2/5/0</v>
      </c>
    </row>
    <row r="361" spans="1:5" x14ac:dyDescent="0.2">
      <c r="A361">
        <v>6</v>
      </c>
      <c r="B361" t="s">
        <v>73</v>
      </c>
      <c r="C361">
        <v>0</v>
      </c>
      <c r="D361">
        <v>1</v>
      </c>
      <c r="E361" t="str">
        <f t="shared" si="5"/>
        <v>Flem/1/6/0</v>
      </c>
    </row>
    <row r="362" spans="1:5" x14ac:dyDescent="0.2">
      <c r="A362">
        <v>1</v>
      </c>
      <c r="B362" t="s">
        <v>39</v>
      </c>
      <c r="C362">
        <v>3</v>
      </c>
      <c r="D362">
        <v>17</v>
      </c>
      <c r="E362" t="str">
        <f t="shared" si="5"/>
        <v>kheops/17/1/3</v>
      </c>
    </row>
    <row r="363" spans="1:5" x14ac:dyDescent="0.2">
      <c r="A363">
        <v>2</v>
      </c>
      <c r="B363" t="s">
        <v>96</v>
      </c>
      <c r="C363">
        <v>1</v>
      </c>
      <c r="D363">
        <v>13</v>
      </c>
      <c r="E363" t="str">
        <f t="shared" si="5"/>
        <v>Gui/13/2/1</v>
      </c>
    </row>
    <row r="364" spans="1:5" x14ac:dyDescent="0.2">
      <c r="A364">
        <v>3</v>
      </c>
      <c r="B364" t="s">
        <v>31</v>
      </c>
      <c r="C364">
        <v>1</v>
      </c>
      <c r="D364">
        <v>9</v>
      </c>
      <c r="E364" t="str">
        <f t="shared" si="5"/>
        <v>CHRIS92340/9/3/1</v>
      </c>
    </row>
    <row r="365" spans="1:5" x14ac:dyDescent="0.2">
      <c r="A365">
        <v>4</v>
      </c>
      <c r="B365" t="s">
        <v>94</v>
      </c>
      <c r="C365">
        <v>1</v>
      </c>
      <c r="D365">
        <v>5</v>
      </c>
      <c r="E365" t="str">
        <f t="shared" si="5"/>
        <v>Jaden le désosseur/5/4/1</v>
      </c>
    </row>
    <row r="366" spans="1:5" x14ac:dyDescent="0.2">
      <c r="A366">
        <v>5</v>
      </c>
      <c r="B366" t="s">
        <v>9</v>
      </c>
      <c r="C366">
        <v>0</v>
      </c>
      <c r="D366">
        <v>3</v>
      </c>
      <c r="E366" t="str">
        <f t="shared" si="5"/>
        <v>K1/3/5/0</v>
      </c>
    </row>
    <row r="367" spans="1:5" x14ac:dyDescent="0.2">
      <c r="A367">
        <v>6</v>
      </c>
      <c r="B367" t="s">
        <v>23</v>
      </c>
      <c r="C367">
        <v>0</v>
      </c>
      <c r="D367">
        <v>2</v>
      </c>
      <c r="E367" t="str">
        <f t="shared" si="5"/>
        <v>Lylith75/2/6/0</v>
      </c>
    </row>
    <row r="368" spans="1:5" x14ac:dyDescent="0.2">
      <c r="A368">
        <v>7</v>
      </c>
      <c r="B368" t="s">
        <v>92</v>
      </c>
      <c r="C368">
        <v>0</v>
      </c>
      <c r="D368">
        <v>1</v>
      </c>
      <c r="E368" t="str">
        <f t="shared" si="5"/>
        <v>Jacks&amp;Five/1/7/0</v>
      </c>
    </row>
    <row r="369" spans="1:5" x14ac:dyDescent="0.2">
      <c r="A369">
        <v>1</v>
      </c>
      <c r="B369" t="s">
        <v>7</v>
      </c>
      <c r="C369">
        <v>3</v>
      </c>
      <c r="D369">
        <v>16</v>
      </c>
      <c r="E369" t="str">
        <f t="shared" si="5"/>
        <v>Geo/16/1/3</v>
      </c>
    </row>
    <row r="370" spans="1:5" x14ac:dyDescent="0.2">
      <c r="A370">
        <v>2</v>
      </c>
      <c r="B370" t="s">
        <v>12</v>
      </c>
      <c r="C370">
        <v>2</v>
      </c>
      <c r="D370">
        <v>12</v>
      </c>
      <c r="E370" t="str">
        <f t="shared" si="5"/>
        <v>Gnak/12/2/2</v>
      </c>
    </row>
    <row r="371" spans="1:5" x14ac:dyDescent="0.2">
      <c r="A371">
        <v>3</v>
      </c>
      <c r="B371" t="s">
        <v>27</v>
      </c>
      <c r="C371">
        <v>0</v>
      </c>
      <c r="D371">
        <v>8</v>
      </c>
      <c r="E371" t="str">
        <f t="shared" si="5"/>
        <v>Mandrake/8/3/0</v>
      </c>
    </row>
    <row r="372" spans="1:5" x14ac:dyDescent="0.2">
      <c r="A372">
        <v>4</v>
      </c>
      <c r="B372" t="s">
        <v>28</v>
      </c>
      <c r="C372">
        <v>0</v>
      </c>
      <c r="D372">
        <v>4</v>
      </c>
      <c r="E372" t="str">
        <f t="shared" si="5"/>
        <v>sobab/4/4/0</v>
      </c>
    </row>
    <row r="373" spans="1:5" x14ac:dyDescent="0.2">
      <c r="A373">
        <v>5</v>
      </c>
      <c r="B373" t="s">
        <v>15</v>
      </c>
      <c r="C373">
        <v>0</v>
      </c>
      <c r="D373">
        <v>2</v>
      </c>
      <c r="E373" t="str">
        <f t="shared" si="5"/>
        <v>LAAtof/2/5/0</v>
      </c>
    </row>
    <row r="374" spans="1:5" x14ac:dyDescent="0.2">
      <c r="A374">
        <v>6</v>
      </c>
      <c r="B374" t="s">
        <v>19</v>
      </c>
      <c r="C374">
        <v>0</v>
      </c>
      <c r="D374">
        <v>1</v>
      </c>
      <c r="E374" t="str">
        <f t="shared" si="5"/>
        <v>Giobeck/1/6/0</v>
      </c>
    </row>
    <row r="375" spans="1:5" x14ac:dyDescent="0.2">
      <c r="A375">
        <v>1</v>
      </c>
      <c r="B375" t="s">
        <v>54</v>
      </c>
      <c r="C375">
        <v>3</v>
      </c>
      <c r="D375">
        <v>17</v>
      </c>
      <c r="E375" t="str">
        <f t="shared" si="5"/>
        <v>Salsamanu/17/1/3</v>
      </c>
    </row>
    <row r="376" spans="1:5" x14ac:dyDescent="0.2">
      <c r="A376">
        <v>2</v>
      </c>
      <c r="B376" t="s">
        <v>45</v>
      </c>
      <c r="C376">
        <v>1</v>
      </c>
      <c r="D376">
        <v>13</v>
      </c>
      <c r="E376" t="str">
        <f t="shared" si="5"/>
        <v>yaltar/13/2/1</v>
      </c>
    </row>
    <row r="377" spans="1:5" x14ac:dyDescent="0.2">
      <c r="A377">
        <v>3</v>
      </c>
      <c r="B377" t="s">
        <v>21</v>
      </c>
      <c r="C377">
        <v>1</v>
      </c>
      <c r="D377">
        <v>9</v>
      </c>
      <c r="E377" t="str">
        <f t="shared" si="5"/>
        <v>Carmin/9/3/1</v>
      </c>
    </row>
    <row r="378" spans="1:5" x14ac:dyDescent="0.2">
      <c r="A378">
        <v>4</v>
      </c>
      <c r="B378" t="s">
        <v>61</v>
      </c>
      <c r="C378">
        <v>1</v>
      </c>
      <c r="D378">
        <v>5</v>
      </c>
      <c r="E378" t="str">
        <f t="shared" si="5"/>
        <v>Kri-lin/5/4/1</v>
      </c>
    </row>
    <row r="379" spans="1:5" x14ac:dyDescent="0.2">
      <c r="A379">
        <v>5</v>
      </c>
      <c r="B379" t="s">
        <v>75</v>
      </c>
      <c r="C379">
        <v>0</v>
      </c>
      <c r="D379">
        <v>3</v>
      </c>
      <c r="E379" t="str">
        <f t="shared" si="5"/>
        <v>Michelbey/3/5/0</v>
      </c>
    </row>
    <row r="380" spans="1:5" x14ac:dyDescent="0.2">
      <c r="A380">
        <v>6</v>
      </c>
      <c r="B380" t="s">
        <v>6</v>
      </c>
      <c r="C380">
        <v>0</v>
      </c>
      <c r="D380">
        <v>2</v>
      </c>
      <c r="E380" t="str">
        <f t="shared" si="5"/>
        <v>Pyja/2/6/0</v>
      </c>
    </row>
    <row r="381" spans="1:5" x14ac:dyDescent="0.2">
      <c r="A381">
        <v>7</v>
      </c>
      <c r="B381" t="s">
        <v>8</v>
      </c>
      <c r="C381">
        <v>0</v>
      </c>
      <c r="D381">
        <v>1</v>
      </c>
      <c r="E381" t="str">
        <f t="shared" si="5"/>
        <v>Maxime/1/7/0</v>
      </c>
    </row>
    <row r="382" spans="1:5" x14ac:dyDescent="0.2">
      <c r="A382">
        <v>1</v>
      </c>
      <c r="B382" t="s">
        <v>76</v>
      </c>
      <c r="C382">
        <v>1</v>
      </c>
      <c r="D382">
        <v>17</v>
      </c>
      <c r="E382" t="str">
        <f t="shared" si="5"/>
        <v>Comment2/17/1/1</v>
      </c>
    </row>
    <row r="383" spans="1:5" x14ac:dyDescent="0.2">
      <c r="A383">
        <v>2</v>
      </c>
      <c r="B383" t="s">
        <v>55</v>
      </c>
      <c r="C383">
        <v>1</v>
      </c>
      <c r="D383">
        <v>13</v>
      </c>
      <c r="E383" t="str">
        <f t="shared" si="5"/>
        <v>Bounette/13/2/1</v>
      </c>
    </row>
    <row r="384" spans="1:5" x14ac:dyDescent="0.2">
      <c r="A384">
        <v>3</v>
      </c>
      <c r="B384" t="s">
        <v>59</v>
      </c>
      <c r="C384">
        <v>1</v>
      </c>
      <c r="D384">
        <v>9</v>
      </c>
      <c r="E384" t="str">
        <f t="shared" si="5"/>
        <v>YooooDA/9/3/1</v>
      </c>
    </row>
    <row r="385" spans="1:5" x14ac:dyDescent="0.2">
      <c r="A385">
        <v>4</v>
      </c>
      <c r="B385" t="s">
        <v>48</v>
      </c>
      <c r="C385">
        <v>2</v>
      </c>
      <c r="D385">
        <v>5</v>
      </c>
      <c r="E385" t="str">
        <f t="shared" si="5"/>
        <v>Pintu/5/4/2</v>
      </c>
    </row>
    <row r="386" spans="1:5" x14ac:dyDescent="0.2">
      <c r="A386">
        <v>5</v>
      </c>
      <c r="B386" t="s">
        <v>88</v>
      </c>
      <c r="C386">
        <v>0</v>
      </c>
      <c r="D386">
        <v>3</v>
      </c>
      <c r="E386" t="str">
        <f t="shared" ref="E386:E449" si="6">B386&amp;"/"&amp;D386&amp;"/"&amp;A386&amp;"/"&amp;C386</f>
        <v>Yarael/3/5/0</v>
      </c>
    </row>
    <row r="387" spans="1:5" x14ac:dyDescent="0.2">
      <c r="A387">
        <v>6</v>
      </c>
      <c r="B387" t="s">
        <v>52</v>
      </c>
      <c r="C387">
        <v>0</v>
      </c>
      <c r="D387">
        <v>2</v>
      </c>
      <c r="E387" t="str">
        <f t="shared" si="6"/>
        <v>Coach Pepito/2/6/0</v>
      </c>
    </row>
    <row r="388" spans="1:5" x14ac:dyDescent="0.2">
      <c r="A388">
        <v>7</v>
      </c>
      <c r="B388" t="s">
        <v>77</v>
      </c>
      <c r="C388">
        <v>0</v>
      </c>
      <c r="D388">
        <v>1</v>
      </c>
      <c r="E388" t="str">
        <f t="shared" si="6"/>
        <v>Récréatif/1/7/0</v>
      </c>
    </row>
    <row r="389" spans="1:5" x14ac:dyDescent="0.2">
      <c r="A389">
        <v>1</v>
      </c>
      <c r="B389" t="s">
        <v>5</v>
      </c>
      <c r="C389">
        <v>5</v>
      </c>
      <c r="D389">
        <v>16</v>
      </c>
      <c r="E389" t="str">
        <f t="shared" si="6"/>
        <v>Sabwill/16/1/5</v>
      </c>
    </row>
    <row r="390" spans="1:5" x14ac:dyDescent="0.2">
      <c r="A390">
        <v>2</v>
      </c>
      <c r="B390" t="s">
        <v>81</v>
      </c>
      <c r="C390">
        <v>0</v>
      </c>
      <c r="D390">
        <v>12</v>
      </c>
      <c r="E390" t="str">
        <f t="shared" si="6"/>
        <v>Empedocle/12/2/0</v>
      </c>
    </row>
    <row r="391" spans="1:5" x14ac:dyDescent="0.2">
      <c r="A391">
        <v>3</v>
      </c>
      <c r="B391" t="s">
        <v>87</v>
      </c>
      <c r="C391">
        <v>0</v>
      </c>
      <c r="D391">
        <v>8</v>
      </c>
      <c r="E391" t="str">
        <f t="shared" si="6"/>
        <v>Proph@ne/8/3/0</v>
      </c>
    </row>
    <row r="392" spans="1:5" x14ac:dyDescent="0.2">
      <c r="A392">
        <v>4</v>
      </c>
      <c r="B392" t="s">
        <v>6</v>
      </c>
      <c r="C392">
        <v>0</v>
      </c>
      <c r="D392">
        <v>4</v>
      </c>
      <c r="E392" t="str">
        <f t="shared" si="6"/>
        <v>Pyja/4/4/0</v>
      </c>
    </row>
    <row r="393" spans="1:5" x14ac:dyDescent="0.2">
      <c r="A393">
        <v>5</v>
      </c>
      <c r="B393" t="s">
        <v>65</v>
      </c>
      <c r="C393">
        <v>0</v>
      </c>
      <c r="D393">
        <v>2</v>
      </c>
      <c r="E393" t="str">
        <f t="shared" si="6"/>
        <v>Ripolin/2/5/0</v>
      </c>
    </row>
    <row r="394" spans="1:5" x14ac:dyDescent="0.2">
      <c r="A394">
        <v>6</v>
      </c>
      <c r="B394" t="s">
        <v>26</v>
      </c>
      <c r="C394">
        <v>0</v>
      </c>
      <c r="D394">
        <v>1</v>
      </c>
      <c r="E394" t="str">
        <f t="shared" si="6"/>
        <v>LOSOGRE/1/6/0</v>
      </c>
    </row>
    <row r="395" spans="1:5" x14ac:dyDescent="0.2">
      <c r="A395">
        <v>1</v>
      </c>
      <c r="B395" t="s">
        <v>77</v>
      </c>
      <c r="C395">
        <v>5</v>
      </c>
      <c r="D395">
        <v>16</v>
      </c>
      <c r="E395" t="str">
        <f t="shared" si="6"/>
        <v>Récréatif/16/1/5</v>
      </c>
    </row>
    <row r="396" spans="1:5" x14ac:dyDescent="0.2">
      <c r="A396">
        <v>2</v>
      </c>
      <c r="B396" t="s">
        <v>57</v>
      </c>
      <c r="C396">
        <v>0</v>
      </c>
      <c r="D396">
        <v>12</v>
      </c>
      <c r="E396" t="str">
        <f t="shared" si="6"/>
        <v>ImAAlcalliKK/12/2/0</v>
      </c>
    </row>
    <row r="397" spans="1:5" x14ac:dyDescent="0.2">
      <c r="A397">
        <v>3</v>
      </c>
      <c r="B397" t="s">
        <v>66</v>
      </c>
      <c r="C397">
        <v>0</v>
      </c>
      <c r="D397">
        <v>8</v>
      </c>
      <c r="E397" t="str">
        <f t="shared" si="6"/>
        <v>Ad Vitam/8/3/0</v>
      </c>
    </row>
    <row r="398" spans="1:5" x14ac:dyDescent="0.2">
      <c r="A398">
        <v>4</v>
      </c>
      <c r="B398" t="s">
        <v>19</v>
      </c>
      <c r="C398">
        <v>0</v>
      </c>
      <c r="D398">
        <v>4</v>
      </c>
      <c r="E398" t="str">
        <f t="shared" si="6"/>
        <v>Giobeck/4/4/0</v>
      </c>
    </row>
    <row r="399" spans="1:5" x14ac:dyDescent="0.2">
      <c r="A399">
        <v>5</v>
      </c>
      <c r="B399" t="s">
        <v>25</v>
      </c>
      <c r="C399">
        <v>0</v>
      </c>
      <c r="D399">
        <v>2</v>
      </c>
      <c r="E399" t="str">
        <f t="shared" si="6"/>
        <v>Claudius/2/5/0</v>
      </c>
    </row>
    <row r="400" spans="1:5" x14ac:dyDescent="0.2">
      <c r="A400">
        <v>6</v>
      </c>
      <c r="B400" t="s">
        <v>21</v>
      </c>
      <c r="C400">
        <v>0</v>
      </c>
      <c r="D400">
        <v>1</v>
      </c>
      <c r="E400" t="str">
        <f t="shared" si="6"/>
        <v>Carmin/1/6/0</v>
      </c>
    </row>
    <row r="401" spans="1:5" x14ac:dyDescent="0.2">
      <c r="A401">
        <v>1</v>
      </c>
      <c r="B401" t="s">
        <v>94</v>
      </c>
      <c r="C401">
        <v>2</v>
      </c>
      <c r="D401">
        <v>16</v>
      </c>
      <c r="E401" t="str">
        <f t="shared" si="6"/>
        <v>Jaden le désosseur/16/1/2</v>
      </c>
    </row>
    <row r="402" spans="1:5" x14ac:dyDescent="0.2">
      <c r="A402">
        <v>2</v>
      </c>
      <c r="B402" t="s">
        <v>75</v>
      </c>
      <c r="C402">
        <v>1</v>
      </c>
      <c r="D402">
        <v>12</v>
      </c>
      <c r="E402" t="str">
        <f t="shared" si="6"/>
        <v>Michelbey/12/2/1</v>
      </c>
    </row>
    <row r="403" spans="1:5" x14ac:dyDescent="0.2">
      <c r="A403">
        <v>3</v>
      </c>
      <c r="B403" t="s">
        <v>28</v>
      </c>
      <c r="C403">
        <v>1</v>
      </c>
      <c r="D403">
        <v>8</v>
      </c>
      <c r="E403" t="str">
        <f t="shared" si="6"/>
        <v>sobab/8/3/1</v>
      </c>
    </row>
    <row r="404" spans="1:5" x14ac:dyDescent="0.2">
      <c r="A404">
        <v>4</v>
      </c>
      <c r="B404" t="s">
        <v>73</v>
      </c>
      <c r="C404">
        <v>1</v>
      </c>
      <c r="D404">
        <v>4</v>
      </c>
      <c r="E404" t="str">
        <f t="shared" si="6"/>
        <v>Flem/4/4/1</v>
      </c>
    </row>
    <row r="405" spans="1:5" x14ac:dyDescent="0.2">
      <c r="A405">
        <v>5</v>
      </c>
      <c r="B405" t="s">
        <v>29</v>
      </c>
      <c r="C405">
        <v>0</v>
      </c>
      <c r="D405">
        <v>2</v>
      </c>
      <c r="E405" t="str">
        <f t="shared" si="6"/>
        <v>NoDoubt/2/5/0</v>
      </c>
    </row>
    <row r="406" spans="1:5" x14ac:dyDescent="0.2">
      <c r="A406">
        <v>6</v>
      </c>
      <c r="B406" t="s">
        <v>100</v>
      </c>
      <c r="C406">
        <v>0</v>
      </c>
      <c r="D406">
        <v>1</v>
      </c>
      <c r="E406" t="str">
        <f t="shared" si="6"/>
        <v>Valentinia/1/6/0</v>
      </c>
    </row>
    <row r="407" spans="1:5" x14ac:dyDescent="0.2">
      <c r="A407">
        <v>1</v>
      </c>
      <c r="B407" t="s">
        <v>60</v>
      </c>
      <c r="C407">
        <v>2</v>
      </c>
      <c r="D407">
        <v>16</v>
      </c>
      <c r="E407" t="str">
        <f t="shared" si="6"/>
        <v>zizou/16/1/2</v>
      </c>
    </row>
    <row r="408" spans="1:5" x14ac:dyDescent="0.2">
      <c r="A408">
        <v>2</v>
      </c>
      <c r="B408" t="s">
        <v>55</v>
      </c>
      <c r="C408">
        <v>3</v>
      </c>
      <c r="D408">
        <v>12</v>
      </c>
      <c r="E408" t="str">
        <f t="shared" si="6"/>
        <v>Bounette/12/2/3</v>
      </c>
    </row>
    <row r="409" spans="1:5" x14ac:dyDescent="0.2">
      <c r="A409">
        <v>3</v>
      </c>
      <c r="B409" t="s">
        <v>32</v>
      </c>
      <c r="C409">
        <v>0</v>
      </c>
      <c r="D409">
        <v>8</v>
      </c>
      <c r="E409" t="str">
        <f t="shared" si="6"/>
        <v>OlivierN92/8/3/0</v>
      </c>
    </row>
    <row r="410" spans="1:5" x14ac:dyDescent="0.2">
      <c r="A410">
        <v>4</v>
      </c>
      <c r="B410" t="s">
        <v>14</v>
      </c>
      <c r="C410">
        <v>0</v>
      </c>
      <c r="D410">
        <v>4</v>
      </c>
      <c r="E410" t="str">
        <f t="shared" si="6"/>
        <v>Ramm/4/4/0</v>
      </c>
    </row>
    <row r="411" spans="1:5" x14ac:dyDescent="0.2">
      <c r="A411">
        <v>5</v>
      </c>
      <c r="B411" t="s">
        <v>69</v>
      </c>
      <c r="C411">
        <v>0</v>
      </c>
      <c r="D411">
        <v>2</v>
      </c>
      <c r="E411" t="str">
        <f t="shared" si="6"/>
        <v>Catherine/2/5/0</v>
      </c>
    </row>
    <row r="412" spans="1:5" x14ac:dyDescent="0.2">
      <c r="A412">
        <v>6</v>
      </c>
      <c r="B412" t="s">
        <v>47</v>
      </c>
      <c r="C412">
        <v>0</v>
      </c>
      <c r="D412">
        <v>1</v>
      </c>
      <c r="E412" t="str">
        <f t="shared" si="6"/>
        <v>Logan/1/6/0</v>
      </c>
    </row>
    <row r="413" spans="1:5" x14ac:dyDescent="0.2">
      <c r="A413">
        <v>1</v>
      </c>
      <c r="B413" t="s">
        <v>23</v>
      </c>
      <c r="C413">
        <v>2</v>
      </c>
      <c r="D413">
        <v>16</v>
      </c>
      <c r="E413" t="str">
        <f t="shared" si="6"/>
        <v>Lylith75/16/1/2</v>
      </c>
    </row>
    <row r="414" spans="1:5" x14ac:dyDescent="0.2">
      <c r="A414">
        <v>2</v>
      </c>
      <c r="B414" t="s">
        <v>9</v>
      </c>
      <c r="C414">
        <v>1</v>
      </c>
      <c r="D414">
        <v>12</v>
      </c>
      <c r="E414" t="str">
        <f t="shared" si="6"/>
        <v>K1/12/2/1</v>
      </c>
    </row>
    <row r="415" spans="1:5" x14ac:dyDescent="0.2">
      <c r="A415">
        <v>3</v>
      </c>
      <c r="B415" t="s">
        <v>48</v>
      </c>
      <c r="C415">
        <v>0</v>
      </c>
      <c r="D415">
        <v>8</v>
      </c>
      <c r="E415" t="str">
        <f t="shared" si="6"/>
        <v>Pintu/8/3/0</v>
      </c>
    </row>
    <row r="416" spans="1:5" x14ac:dyDescent="0.2">
      <c r="A416">
        <v>4</v>
      </c>
      <c r="B416" t="s">
        <v>27</v>
      </c>
      <c r="C416">
        <v>2</v>
      </c>
      <c r="D416">
        <v>4</v>
      </c>
      <c r="E416" t="str">
        <f t="shared" si="6"/>
        <v>Mandrake/4/4/2</v>
      </c>
    </row>
    <row r="417" spans="1:5" x14ac:dyDescent="0.2">
      <c r="A417">
        <v>5</v>
      </c>
      <c r="B417" t="s">
        <v>53</v>
      </c>
      <c r="C417">
        <v>0</v>
      </c>
      <c r="D417">
        <v>2</v>
      </c>
      <c r="E417" t="str">
        <f t="shared" si="6"/>
        <v>Makoche/2/5/0</v>
      </c>
    </row>
    <row r="418" spans="1:5" x14ac:dyDescent="0.2">
      <c r="A418">
        <v>6</v>
      </c>
      <c r="B418" t="s">
        <v>31</v>
      </c>
      <c r="C418">
        <v>0</v>
      </c>
      <c r="D418">
        <v>1</v>
      </c>
      <c r="E418" t="str">
        <f t="shared" si="6"/>
        <v>CHRIS92340/1/6/0</v>
      </c>
    </row>
    <row r="419" spans="1:5" x14ac:dyDescent="0.2">
      <c r="A419">
        <v>1</v>
      </c>
      <c r="B419" t="s">
        <v>52</v>
      </c>
      <c r="C419">
        <v>4</v>
      </c>
      <c r="D419">
        <v>16</v>
      </c>
      <c r="E419" t="str">
        <f t="shared" si="6"/>
        <v>Coach Pepito/16/1/4</v>
      </c>
    </row>
    <row r="420" spans="1:5" x14ac:dyDescent="0.2">
      <c r="A420">
        <v>2</v>
      </c>
      <c r="B420" t="s">
        <v>63</v>
      </c>
      <c r="C420">
        <v>1</v>
      </c>
      <c r="D420">
        <v>12</v>
      </c>
      <c r="E420" t="str">
        <f t="shared" si="6"/>
        <v>Brice/12/2/1</v>
      </c>
    </row>
    <row r="421" spans="1:5" x14ac:dyDescent="0.2">
      <c r="A421">
        <v>3</v>
      </c>
      <c r="B421" t="s">
        <v>15</v>
      </c>
      <c r="C421">
        <v>0</v>
      </c>
      <c r="D421">
        <v>8</v>
      </c>
      <c r="E421" t="str">
        <f t="shared" si="6"/>
        <v>LAAtof/8/3/0</v>
      </c>
    </row>
    <row r="422" spans="1:5" x14ac:dyDescent="0.2">
      <c r="A422">
        <v>4</v>
      </c>
      <c r="B422" t="s">
        <v>18</v>
      </c>
      <c r="C422">
        <v>0</v>
      </c>
      <c r="D422">
        <v>4</v>
      </c>
      <c r="E422" t="str">
        <f t="shared" si="6"/>
        <v>MAMS/4/4/0</v>
      </c>
    </row>
    <row r="423" spans="1:5" x14ac:dyDescent="0.2">
      <c r="A423">
        <v>5</v>
      </c>
      <c r="B423" t="s">
        <v>76</v>
      </c>
      <c r="C423">
        <v>0</v>
      </c>
      <c r="D423">
        <v>2</v>
      </c>
      <c r="E423" t="str">
        <f t="shared" si="6"/>
        <v>Comment2/2/5/0</v>
      </c>
    </row>
    <row r="424" spans="1:5" x14ac:dyDescent="0.2">
      <c r="A424">
        <v>6</v>
      </c>
      <c r="B424" t="s">
        <v>40</v>
      </c>
      <c r="C424">
        <v>0</v>
      </c>
      <c r="D424">
        <v>1</v>
      </c>
      <c r="E424" t="str">
        <f t="shared" si="6"/>
        <v>Lén@/1/6/0</v>
      </c>
    </row>
    <row r="425" spans="1:5" x14ac:dyDescent="0.2">
      <c r="A425">
        <v>1</v>
      </c>
      <c r="B425" t="s">
        <v>39</v>
      </c>
      <c r="C425">
        <v>2</v>
      </c>
      <c r="D425">
        <v>15</v>
      </c>
      <c r="E425" t="str">
        <f t="shared" si="6"/>
        <v>kheops/15/1/2</v>
      </c>
    </row>
    <row r="426" spans="1:5" x14ac:dyDescent="0.2">
      <c r="A426">
        <v>2</v>
      </c>
      <c r="B426" t="s">
        <v>54</v>
      </c>
      <c r="C426">
        <v>1</v>
      </c>
      <c r="D426">
        <v>11</v>
      </c>
      <c r="E426" t="str">
        <f t="shared" si="6"/>
        <v>Salsamanu/11/2/1</v>
      </c>
    </row>
    <row r="427" spans="1:5" x14ac:dyDescent="0.2">
      <c r="A427">
        <v>3</v>
      </c>
      <c r="B427" t="s">
        <v>61</v>
      </c>
      <c r="C427">
        <v>1</v>
      </c>
      <c r="D427">
        <v>7</v>
      </c>
      <c r="E427" t="str">
        <f t="shared" si="6"/>
        <v>Kri-lin/7/3/1</v>
      </c>
    </row>
    <row r="428" spans="1:5" x14ac:dyDescent="0.2">
      <c r="A428">
        <v>4</v>
      </c>
      <c r="B428" t="s">
        <v>35</v>
      </c>
      <c r="C428">
        <v>0</v>
      </c>
      <c r="D428">
        <v>3</v>
      </c>
      <c r="E428" t="str">
        <f t="shared" si="6"/>
        <v>JeanMichelTiming/3/4/0</v>
      </c>
    </row>
    <row r="429" spans="1:5" x14ac:dyDescent="0.2">
      <c r="A429">
        <v>5</v>
      </c>
      <c r="B429" t="s">
        <v>74</v>
      </c>
      <c r="C429">
        <v>0</v>
      </c>
      <c r="D429">
        <v>1</v>
      </c>
      <c r="E429" t="str">
        <f t="shared" si="6"/>
        <v>PatB/1/5/0</v>
      </c>
    </row>
    <row r="430" spans="1:5" x14ac:dyDescent="0.2">
      <c r="A430">
        <v>1</v>
      </c>
      <c r="B430" t="s">
        <v>42</v>
      </c>
      <c r="C430">
        <v>4</v>
      </c>
      <c r="D430">
        <v>16</v>
      </c>
      <c r="E430" t="str">
        <f t="shared" si="6"/>
        <v>Claptou/16/1/4</v>
      </c>
    </row>
    <row r="431" spans="1:5" x14ac:dyDescent="0.2">
      <c r="A431">
        <v>2</v>
      </c>
      <c r="B431" t="s">
        <v>68</v>
      </c>
      <c r="C431">
        <v>1</v>
      </c>
      <c r="D431">
        <v>12</v>
      </c>
      <c r="E431" t="str">
        <f t="shared" si="6"/>
        <v>zubbaz/12/2/1</v>
      </c>
    </row>
    <row r="432" spans="1:5" x14ac:dyDescent="0.2">
      <c r="A432">
        <v>3</v>
      </c>
      <c r="B432" t="s">
        <v>50</v>
      </c>
      <c r="C432">
        <v>0</v>
      </c>
      <c r="D432">
        <v>8</v>
      </c>
      <c r="E432" t="str">
        <f t="shared" si="6"/>
        <v>MLADENGO/8/3/0</v>
      </c>
    </row>
    <row r="433" spans="1:5" x14ac:dyDescent="0.2">
      <c r="A433">
        <v>4</v>
      </c>
      <c r="B433" t="s">
        <v>46</v>
      </c>
      <c r="C433">
        <v>0</v>
      </c>
      <c r="D433">
        <v>4</v>
      </c>
      <c r="E433" t="str">
        <f t="shared" si="6"/>
        <v>Jérôme/4/4/0</v>
      </c>
    </row>
    <row r="434" spans="1:5" x14ac:dyDescent="0.2">
      <c r="A434">
        <v>5</v>
      </c>
      <c r="B434" t="s">
        <v>45</v>
      </c>
      <c r="C434">
        <v>0</v>
      </c>
      <c r="D434">
        <v>2</v>
      </c>
      <c r="E434" t="str">
        <f t="shared" si="6"/>
        <v>yaltar/2/5/0</v>
      </c>
    </row>
    <row r="435" spans="1:5" x14ac:dyDescent="0.2">
      <c r="A435">
        <v>6</v>
      </c>
      <c r="B435" t="s">
        <v>67</v>
      </c>
      <c r="C435">
        <v>0</v>
      </c>
      <c r="D435">
        <v>1</v>
      </c>
      <c r="E435" t="str">
        <f t="shared" si="6"/>
        <v>Jackiechoune/1/6/0</v>
      </c>
    </row>
    <row r="436" spans="1:5" x14ac:dyDescent="0.2">
      <c r="A436">
        <v>1</v>
      </c>
      <c r="B436" t="s">
        <v>54</v>
      </c>
      <c r="C436">
        <v>2</v>
      </c>
      <c r="D436">
        <v>16</v>
      </c>
      <c r="E436" t="str">
        <f t="shared" si="6"/>
        <v>Salsamanu/16/1/2</v>
      </c>
    </row>
    <row r="437" spans="1:5" x14ac:dyDescent="0.2">
      <c r="A437">
        <v>2</v>
      </c>
      <c r="B437" t="s">
        <v>46</v>
      </c>
      <c r="C437">
        <v>2</v>
      </c>
      <c r="D437">
        <v>12</v>
      </c>
      <c r="E437" t="str">
        <f t="shared" si="6"/>
        <v>Jérôme/12/2/2</v>
      </c>
    </row>
    <row r="438" spans="1:5" x14ac:dyDescent="0.2">
      <c r="A438">
        <v>3</v>
      </c>
      <c r="B438" t="s">
        <v>42</v>
      </c>
      <c r="C438">
        <v>1</v>
      </c>
      <c r="D438">
        <v>8</v>
      </c>
      <c r="E438" t="str">
        <f t="shared" si="6"/>
        <v>Claptou/8/3/1</v>
      </c>
    </row>
    <row r="439" spans="1:5" x14ac:dyDescent="0.2">
      <c r="A439">
        <v>4</v>
      </c>
      <c r="B439" t="s">
        <v>41</v>
      </c>
      <c r="C439">
        <v>0</v>
      </c>
      <c r="D439">
        <v>4</v>
      </c>
      <c r="E439" t="str">
        <f t="shared" si="6"/>
        <v>gibouille/4/4/0</v>
      </c>
    </row>
    <row r="440" spans="1:5" x14ac:dyDescent="0.2">
      <c r="A440">
        <v>5</v>
      </c>
      <c r="B440" t="s">
        <v>23</v>
      </c>
      <c r="C440">
        <v>0</v>
      </c>
      <c r="D440">
        <v>2</v>
      </c>
      <c r="E440" t="str">
        <f t="shared" si="6"/>
        <v>Lylith75/2/5/0</v>
      </c>
    </row>
    <row r="441" spans="1:5" x14ac:dyDescent="0.2">
      <c r="A441">
        <v>6</v>
      </c>
      <c r="B441" t="s">
        <v>97</v>
      </c>
      <c r="C441">
        <v>0</v>
      </c>
      <c r="D441">
        <v>1</v>
      </c>
      <c r="E441" t="str">
        <f t="shared" si="6"/>
        <v>Quartz/1/6/0</v>
      </c>
    </row>
    <row r="442" spans="1:5" x14ac:dyDescent="0.2">
      <c r="A442">
        <v>1</v>
      </c>
      <c r="B442" t="s">
        <v>27</v>
      </c>
      <c r="C442">
        <v>3</v>
      </c>
      <c r="D442">
        <v>15</v>
      </c>
      <c r="E442" t="str">
        <f t="shared" si="6"/>
        <v>Mandrake/15/1/3</v>
      </c>
    </row>
    <row r="443" spans="1:5" x14ac:dyDescent="0.2">
      <c r="A443">
        <v>2</v>
      </c>
      <c r="B443" t="s">
        <v>68</v>
      </c>
      <c r="C443">
        <v>1</v>
      </c>
      <c r="D443">
        <v>11</v>
      </c>
      <c r="E443" t="str">
        <f t="shared" si="6"/>
        <v>zubbaz/11/2/1</v>
      </c>
    </row>
    <row r="444" spans="1:5" x14ac:dyDescent="0.2">
      <c r="A444">
        <v>3</v>
      </c>
      <c r="B444" t="s">
        <v>50</v>
      </c>
      <c r="C444">
        <v>0</v>
      </c>
      <c r="D444">
        <v>7</v>
      </c>
      <c r="E444" t="str">
        <f t="shared" si="6"/>
        <v>MLADENGO/7/3/0</v>
      </c>
    </row>
    <row r="445" spans="1:5" x14ac:dyDescent="0.2">
      <c r="A445">
        <v>4</v>
      </c>
      <c r="B445" t="s">
        <v>75</v>
      </c>
      <c r="C445">
        <v>0</v>
      </c>
      <c r="D445">
        <v>3</v>
      </c>
      <c r="E445" t="str">
        <f t="shared" si="6"/>
        <v>Michelbey/3/4/0</v>
      </c>
    </row>
    <row r="446" spans="1:5" x14ac:dyDescent="0.2">
      <c r="A446">
        <v>5</v>
      </c>
      <c r="B446" t="s">
        <v>55</v>
      </c>
      <c r="C446">
        <v>0</v>
      </c>
      <c r="D446">
        <v>1</v>
      </c>
      <c r="E446" t="str">
        <f t="shared" si="6"/>
        <v>Bounette/1/5/0</v>
      </c>
    </row>
    <row r="447" spans="1:5" x14ac:dyDescent="0.2">
      <c r="A447">
        <v>1</v>
      </c>
      <c r="B447" t="s">
        <v>8</v>
      </c>
      <c r="C447">
        <v>3</v>
      </c>
      <c r="D447">
        <v>15</v>
      </c>
      <c r="E447" t="str">
        <f t="shared" si="6"/>
        <v>Maxime/15/1/3</v>
      </c>
    </row>
    <row r="448" spans="1:5" x14ac:dyDescent="0.2">
      <c r="A448">
        <v>2</v>
      </c>
      <c r="B448" t="s">
        <v>14</v>
      </c>
      <c r="C448">
        <v>0</v>
      </c>
      <c r="D448">
        <v>11</v>
      </c>
      <c r="E448" t="str">
        <f t="shared" si="6"/>
        <v>Ramm/11/2/0</v>
      </c>
    </row>
    <row r="449" spans="1:5" x14ac:dyDescent="0.2">
      <c r="A449">
        <v>3</v>
      </c>
      <c r="B449" t="s">
        <v>28</v>
      </c>
      <c r="C449">
        <v>0</v>
      </c>
      <c r="D449">
        <v>7</v>
      </c>
      <c r="E449" t="str">
        <f t="shared" si="6"/>
        <v>sobab/7/3/0</v>
      </c>
    </row>
    <row r="450" spans="1:5" x14ac:dyDescent="0.2">
      <c r="A450">
        <v>4</v>
      </c>
      <c r="B450" t="s">
        <v>69</v>
      </c>
      <c r="C450">
        <v>1</v>
      </c>
      <c r="D450">
        <v>3</v>
      </c>
      <c r="E450" t="str">
        <f t="shared" ref="E450:E513" si="7">B450&amp;"/"&amp;D450&amp;"/"&amp;A450&amp;"/"&amp;C450</f>
        <v>Catherine/3/4/1</v>
      </c>
    </row>
    <row r="451" spans="1:5" x14ac:dyDescent="0.2">
      <c r="A451">
        <v>5</v>
      </c>
      <c r="B451" t="s">
        <v>26</v>
      </c>
      <c r="C451">
        <v>0</v>
      </c>
      <c r="D451">
        <v>1</v>
      </c>
      <c r="E451" t="str">
        <f t="shared" si="7"/>
        <v>LOSOGRE/1/5/0</v>
      </c>
    </row>
    <row r="452" spans="1:5" x14ac:dyDescent="0.2">
      <c r="A452">
        <v>1</v>
      </c>
      <c r="B452" t="s">
        <v>52</v>
      </c>
      <c r="C452">
        <v>2</v>
      </c>
      <c r="D452">
        <v>15</v>
      </c>
      <c r="E452" t="str">
        <f t="shared" si="7"/>
        <v>Coach Pepito/15/1/2</v>
      </c>
    </row>
    <row r="453" spans="1:5" x14ac:dyDescent="0.2">
      <c r="A453">
        <v>2</v>
      </c>
      <c r="B453" t="s">
        <v>22</v>
      </c>
      <c r="C453">
        <v>2</v>
      </c>
      <c r="D453">
        <v>11</v>
      </c>
      <c r="E453" t="str">
        <f t="shared" si="7"/>
        <v>Dart 45/11/2/2</v>
      </c>
    </row>
    <row r="454" spans="1:5" x14ac:dyDescent="0.2">
      <c r="A454">
        <v>3</v>
      </c>
      <c r="B454" t="s">
        <v>32</v>
      </c>
      <c r="C454">
        <v>0</v>
      </c>
      <c r="D454">
        <v>7</v>
      </c>
      <c r="E454" t="str">
        <f t="shared" si="7"/>
        <v>OlivierN92/7/3/0</v>
      </c>
    </row>
    <row r="455" spans="1:5" x14ac:dyDescent="0.2">
      <c r="A455">
        <v>4</v>
      </c>
      <c r="B455" t="s">
        <v>35</v>
      </c>
      <c r="C455">
        <v>0</v>
      </c>
      <c r="D455">
        <v>3</v>
      </c>
      <c r="E455" t="str">
        <f t="shared" si="7"/>
        <v>JeanMichelTiming/3/4/0</v>
      </c>
    </row>
    <row r="456" spans="1:5" x14ac:dyDescent="0.2">
      <c r="A456">
        <v>5</v>
      </c>
      <c r="B456" t="s">
        <v>65</v>
      </c>
      <c r="C456">
        <v>0</v>
      </c>
      <c r="D456">
        <v>1</v>
      </c>
      <c r="E456" t="str">
        <f t="shared" si="7"/>
        <v>Ripolin/1/5/0</v>
      </c>
    </row>
    <row r="457" spans="1:5" x14ac:dyDescent="0.2">
      <c r="A457">
        <v>1</v>
      </c>
      <c r="B457" t="s">
        <v>6</v>
      </c>
      <c r="C457">
        <v>2</v>
      </c>
      <c r="D457">
        <v>16</v>
      </c>
      <c r="E457" t="str">
        <f t="shared" si="7"/>
        <v>Pyja/16/1/2</v>
      </c>
    </row>
    <row r="458" spans="1:5" x14ac:dyDescent="0.2">
      <c r="A458">
        <v>2</v>
      </c>
      <c r="B458" t="s">
        <v>74</v>
      </c>
      <c r="C458">
        <v>2</v>
      </c>
      <c r="D458">
        <v>12</v>
      </c>
      <c r="E458" t="str">
        <f t="shared" si="7"/>
        <v>PatB/12/2/2</v>
      </c>
    </row>
    <row r="459" spans="1:5" x14ac:dyDescent="0.2">
      <c r="A459">
        <v>3</v>
      </c>
      <c r="B459" t="s">
        <v>88</v>
      </c>
      <c r="C459">
        <v>1</v>
      </c>
      <c r="D459">
        <v>8</v>
      </c>
      <c r="E459" t="str">
        <f t="shared" si="7"/>
        <v>Yarael/8/3/1</v>
      </c>
    </row>
    <row r="460" spans="1:5" x14ac:dyDescent="0.2">
      <c r="A460">
        <v>4</v>
      </c>
      <c r="B460" t="s">
        <v>61</v>
      </c>
      <c r="C460">
        <v>0</v>
      </c>
      <c r="D460">
        <v>4</v>
      </c>
      <c r="E460" t="str">
        <f t="shared" si="7"/>
        <v>Kri-lin/4/4/0</v>
      </c>
    </row>
    <row r="461" spans="1:5" x14ac:dyDescent="0.2">
      <c r="A461">
        <v>5</v>
      </c>
      <c r="B461" t="s">
        <v>39</v>
      </c>
      <c r="C461">
        <v>0</v>
      </c>
      <c r="D461">
        <v>2</v>
      </c>
      <c r="E461" t="str">
        <f t="shared" si="7"/>
        <v>kheops/2/5/0</v>
      </c>
    </row>
    <row r="462" spans="1:5" x14ac:dyDescent="0.2">
      <c r="A462">
        <v>6</v>
      </c>
      <c r="B462" t="s">
        <v>33</v>
      </c>
      <c r="C462">
        <v>0</v>
      </c>
      <c r="D462">
        <v>1</v>
      </c>
      <c r="E462" t="str">
        <f t="shared" si="7"/>
        <v>Ptit Savoyard/1/6/0</v>
      </c>
    </row>
    <row r="463" spans="1:5" x14ac:dyDescent="0.2">
      <c r="A463">
        <v>1</v>
      </c>
      <c r="B463" t="s">
        <v>53</v>
      </c>
      <c r="C463">
        <v>4</v>
      </c>
      <c r="D463">
        <v>16</v>
      </c>
      <c r="E463" t="str">
        <f t="shared" si="7"/>
        <v>Makoche/16/1/4</v>
      </c>
    </row>
    <row r="464" spans="1:5" x14ac:dyDescent="0.2">
      <c r="A464">
        <v>2</v>
      </c>
      <c r="B464" t="s">
        <v>25</v>
      </c>
      <c r="C464">
        <v>1</v>
      </c>
      <c r="D464">
        <v>12</v>
      </c>
      <c r="E464" t="str">
        <f t="shared" si="7"/>
        <v>Claudius/12/2/1</v>
      </c>
    </row>
    <row r="465" spans="1:5" x14ac:dyDescent="0.2">
      <c r="A465">
        <v>3</v>
      </c>
      <c r="B465" t="s">
        <v>63</v>
      </c>
      <c r="C465">
        <v>0</v>
      </c>
      <c r="D465">
        <v>8</v>
      </c>
      <c r="E465" t="str">
        <f t="shared" si="7"/>
        <v>Brice/8/3/0</v>
      </c>
    </row>
    <row r="466" spans="1:5" x14ac:dyDescent="0.2">
      <c r="A466">
        <v>4</v>
      </c>
      <c r="B466" t="s">
        <v>18</v>
      </c>
      <c r="C466">
        <v>0</v>
      </c>
      <c r="D466">
        <v>4</v>
      </c>
      <c r="E466" t="str">
        <f t="shared" si="7"/>
        <v>MAMS/4/4/0</v>
      </c>
    </row>
    <row r="467" spans="1:5" x14ac:dyDescent="0.2">
      <c r="A467">
        <v>5</v>
      </c>
      <c r="B467" t="s">
        <v>31</v>
      </c>
      <c r="C467">
        <v>0</v>
      </c>
      <c r="D467">
        <v>2</v>
      </c>
      <c r="E467" t="str">
        <f t="shared" si="7"/>
        <v>CHRIS92340/2/5/0</v>
      </c>
    </row>
    <row r="468" spans="1:5" x14ac:dyDescent="0.2">
      <c r="A468">
        <v>6</v>
      </c>
      <c r="B468" t="s">
        <v>45</v>
      </c>
      <c r="C468">
        <v>0</v>
      </c>
      <c r="D468">
        <v>1</v>
      </c>
      <c r="E468" t="str">
        <f t="shared" si="7"/>
        <v>yaltar/1/6/0</v>
      </c>
    </row>
    <row r="469" spans="1:5" x14ac:dyDescent="0.2">
      <c r="A469">
        <v>1</v>
      </c>
      <c r="B469" t="s">
        <v>15</v>
      </c>
      <c r="C469">
        <v>5</v>
      </c>
      <c r="D469">
        <v>16</v>
      </c>
      <c r="E469" t="str">
        <f t="shared" si="7"/>
        <v>LAAtof/16/1/5</v>
      </c>
    </row>
    <row r="470" spans="1:5" x14ac:dyDescent="0.2">
      <c r="A470">
        <v>2</v>
      </c>
      <c r="B470" t="s">
        <v>101</v>
      </c>
      <c r="C470">
        <v>0</v>
      </c>
      <c r="D470">
        <v>12</v>
      </c>
      <c r="E470" t="str">
        <f t="shared" si="7"/>
        <v>ChrisFrankfurt/12/2/0</v>
      </c>
    </row>
    <row r="471" spans="1:5" x14ac:dyDescent="0.2">
      <c r="A471">
        <v>3</v>
      </c>
      <c r="B471" t="s">
        <v>40</v>
      </c>
      <c r="C471">
        <v>0</v>
      </c>
      <c r="D471">
        <v>8</v>
      </c>
      <c r="E471" t="str">
        <f t="shared" si="7"/>
        <v>Lén@/8/3/0</v>
      </c>
    </row>
    <row r="472" spans="1:5" x14ac:dyDescent="0.2">
      <c r="A472">
        <v>4</v>
      </c>
      <c r="B472" t="s">
        <v>77</v>
      </c>
      <c r="C472">
        <v>0</v>
      </c>
      <c r="D472">
        <v>4</v>
      </c>
      <c r="E472" t="str">
        <f t="shared" si="7"/>
        <v>Récréatif/4/4/0</v>
      </c>
    </row>
    <row r="473" spans="1:5" x14ac:dyDescent="0.2">
      <c r="A473">
        <v>5</v>
      </c>
      <c r="B473" t="s">
        <v>87</v>
      </c>
      <c r="C473">
        <v>0</v>
      </c>
      <c r="D473">
        <v>2</v>
      </c>
      <c r="E473" t="str">
        <f t="shared" si="7"/>
        <v>Proph@ne/2/5/0</v>
      </c>
    </row>
    <row r="474" spans="1:5" x14ac:dyDescent="0.2">
      <c r="A474">
        <v>6</v>
      </c>
      <c r="B474" t="s">
        <v>9</v>
      </c>
      <c r="C474">
        <v>0</v>
      </c>
      <c r="D474">
        <v>1</v>
      </c>
      <c r="E474" t="str">
        <f t="shared" si="7"/>
        <v>K1/1/6/0</v>
      </c>
    </row>
    <row r="475" spans="1:5" x14ac:dyDescent="0.2">
      <c r="A475">
        <v>1</v>
      </c>
      <c r="B475" t="s">
        <v>19</v>
      </c>
      <c r="C475">
        <v>3</v>
      </c>
      <c r="D475">
        <v>16</v>
      </c>
      <c r="E475" t="str">
        <f t="shared" si="7"/>
        <v>Giobeck/16/1/3</v>
      </c>
    </row>
    <row r="476" spans="1:5" x14ac:dyDescent="0.2">
      <c r="A476">
        <v>2</v>
      </c>
      <c r="B476" t="s">
        <v>73</v>
      </c>
      <c r="C476">
        <v>2</v>
      </c>
      <c r="D476">
        <v>12</v>
      </c>
      <c r="E476" t="str">
        <f t="shared" si="7"/>
        <v>Flem/12/2/2</v>
      </c>
    </row>
    <row r="477" spans="1:5" x14ac:dyDescent="0.2">
      <c r="A477">
        <v>3</v>
      </c>
      <c r="B477" t="s">
        <v>59</v>
      </c>
      <c r="C477">
        <v>0</v>
      </c>
      <c r="D477">
        <v>8</v>
      </c>
      <c r="E477" t="str">
        <f t="shared" si="7"/>
        <v>YooooDA/8/3/0</v>
      </c>
    </row>
    <row r="478" spans="1:5" x14ac:dyDescent="0.2">
      <c r="A478">
        <v>4</v>
      </c>
      <c r="B478" t="s">
        <v>66</v>
      </c>
      <c r="C478">
        <v>0</v>
      </c>
      <c r="D478">
        <v>4</v>
      </c>
      <c r="E478" t="str">
        <f t="shared" si="7"/>
        <v>Ad Vitam/4/4/0</v>
      </c>
    </row>
    <row r="479" spans="1:5" x14ac:dyDescent="0.2">
      <c r="A479">
        <v>5</v>
      </c>
      <c r="B479" t="s">
        <v>5</v>
      </c>
      <c r="C479">
        <v>0</v>
      </c>
      <c r="D479">
        <v>2</v>
      </c>
      <c r="E479" t="str">
        <f t="shared" si="7"/>
        <v>Sabwill/2/5/0</v>
      </c>
    </row>
    <row r="480" spans="1:5" x14ac:dyDescent="0.2">
      <c r="A480">
        <v>6</v>
      </c>
      <c r="B480" t="s">
        <v>21</v>
      </c>
      <c r="C480">
        <v>0</v>
      </c>
      <c r="D480">
        <v>1</v>
      </c>
      <c r="E480" t="str">
        <f t="shared" si="7"/>
        <v>Carmin/1/6/0</v>
      </c>
    </row>
    <row r="481" spans="1:5" x14ac:dyDescent="0.2">
      <c r="A481">
        <v>1</v>
      </c>
      <c r="B481" t="s">
        <v>77</v>
      </c>
      <c r="C481">
        <v>2</v>
      </c>
      <c r="D481">
        <v>16</v>
      </c>
      <c r="E481" t="str">
        <f t="shared" si="7"/>
        <v>Récréatif/16/1/2</v>
      </c>
    </row>
    <row r="482" spans="1:5" x14ac:dyDescent="0.2">
      <c r="A482">
        <v>2</v>
      </c>
      <c r="B482" t="s">
        <v>50</v>
      </c>
      <c r="C482">
        <v>2</v>
      </c>
      <c r="D482">
        <v>12</v>
      </c>
      <c r="E482" t="str">
        <f t="shared" si="7"/>
        <v>MLADENGO/12/2/2</v>
      </c>
    </row>
    <row r="483" spans="1:5" x14ac:dyDescent="0.2">
      <c r="A483">
        <v>3</v>
      </c>
      <c r="B483" t="s">
        <v>55</v>
      </c>
      <c r="C483">
        <v>1</v>
      </c>
      <c r="D483">
        <v>8</v>
      </c>
      <c r="E483" t="str">
        <f t="shared" si="7"/>
        <v>Bounette/8/3/1</v>
      </c>
    </row>
    <row r="484" spans="1:5" x14ac:dyDescent="0.2">
      <c r="A484">
        <v>4</v>
      </c>
      <c r="B484" t="s">
        <v>75</v>
      </c>
      <c r="C484">
        <v>0</v>
      </c>
      <c r="D484">
        <v>4</v>
      </c>
      <c r="E484" t="str">
        <f t="shared" si="7"/>
        <v>Michelbey/4/4/0</v>
      </c>
    </row>
    <row r="485" spans="1:5" x14ac:dyDescent="0.2">
      <c r="A485">
        <v>5</v>
      </c>
      <c r="B485" t="s">
        <v>47</v>
      </c>
      <c r="C485">
        <v>0</v>
      </c>
      <c r="D485">
        <v>2</v>
      </c>
      <c r="E485" t="str">
        <f t="shared" si="7"/>
        <v>Logan/2/5/0</v>
      </c>
    </row>
    <row r="486" spans="1:5" x14ac:dyDescent="0.2">
      <c r="A486">
        <v>6</v>
      </c>
      <c r="B486" t="s">
        <v>92</v>
      </c>
      <c r="C486">
        <v>0</v>
      </c>
      <c r="D486">
        <v>1</v>
      </c>
      <c r="E486" t="str">
        <f t="shared" si="7"/>
        <v>Jacks&amp;Five/1/6/0</v>
      </c>
    </row>
    <row r="487" spans="1:5" x14ac:dyDescent="0.2">
      <c r="A487">
        <v>1</v>
      </c>
      <c r="B487" t="s">
        <v>52</v>
      </c>
      <c r="C487">
        <v>6</v>
      </c>
      <c r="D487">
        <v>17</v>
      </c>
      <c r="E487" t="str">
        <f t="shared" si="7"/>
        <v>Coach Pepito/17/1/6</v>
      </c>
    </row>
    <row r="488" spans="1:5" x14ac:dyDescent="0.2">
      <c r="A488">
        <v>2</v>
      </c>
      <c r="B488" t="s">
        <v>45</v>
      </c>
      <c r="C488">
        <v>0</v>
      </c>
      <c r="D488">
        <v>13</v>
      </c>
      <c r="E488" t="str">
        <f t="shared" si="7"/>
        <v>yaltar/13/2/0</v>
      </c>
    </row>
    <row r="489" spans="1:5" x14ac:dyDescent="0.2">
      <c r="A489">
        <v>3</v>
      </c>
      <c r="B489" t="s">
        <v>33</v>
      </c>
      <c r="C489">
        <v>0</v>
      </c>
      <c r="D489">
        <v>9</v>
      </c>
      <c r="E489" t="str">
        <f t="shared" si="7"/>
        <v>Ptit Savoyard/9/3/0</v>
      </c>
    </row>
    <row r="490" spans="1:5" x14ac:dyDescent="0.2">
      <c r="A490">
        <v>4</v>
      </c>
      <c r="B490" t="s">
        <v>15</v>
      </c>
      <c r="C490">
        <v>0</v>
      </c>
      <c r="D490">
        <v>5</v>
      </c>
      <c r="E490" t="str">
        <f t="shared" si="7"/>
        <v>LAAtof/5/4/0</v>
      </c>
    </row>
    <row r="491" spans="1:5" x14ac:dyDescent="0.2">
      <c r="A491">
        <v>5</v>
      </c>
      <c r="B491" t="s">
        <v>26</v>
      </c>
      <c r="C491">
        <v>0</v>
      </c>
      <c r="D491">
        <v>3</v>
      </c>
      <c r="E491" t="str">
        <f t="shared" si="7"/>
        <v>LOSOGRE/3/5/0</v>
      </c>
    </row>
    <row r="492" spans="1:5" x14ac:dyDescent="0.2">
      <c r="A492">
        <v>6</v>
      </c>
      <c r="B492" t="s">
        <v>21</v>
      </c>
      <c r="C492">
        <v>0</v>
      </c>
      <c r="D492">
        <v>2</v>
      </c>
      <c r="E492" t="str">
        <f t="shared" si="7"/>
        <v>Carmin/2/6/0</v>
      </c>
    </row>
    <row r="493" spans="1:5" x14ac:dyDescent="0.2">
      <c r="A493">
        <v>7</v>
      </c>
      <c r="B493" t="s">
        <v>104</v>
      </c>
      <c r="C493">
        <v>0</v>
      </c>
      <c r="D493">
        <v>1</v>
      </c>
      <c r="E493" t="str">
        <f t="shared" si="7"/>
        <v>Pottemain/1/7/0</v>
      </c>
    </row>
    <row r="494" spans="1:5" x14ac:dyDescent="0.2">
      <c r="A494">
        <v>1</v>
      </c>
      <c r="B494" t="s">
        <v>9</v>
      </c>
      <c r="C494">
        <v>3</v>
      </c>
      <c r="D494">
        <v>16</v>
      </c>
      <c r="E494" t="str">
        <f t="shared" si="7"/>
        <v>K1/16/1/3</v>
      </c>
    </row>
    <row r="495" spans="1:5" x14ac:dyDescent="0.2">
      <c r="A495">
        <v>2</v>
      </c>
      <c r="B495" t="s">
        <v>94</v>
      </c>
      <c r="C495">
        <v>2</v>
      </c>
      <c r="D495">
        <v>12</v>
      </c>
      <c r="E495" t="str">
        <f t="shared" si="7"/>
        <v>Jaden le désosseur/12/2/2</v>
      </c>
    </row>
    <row r="496" spans="1:5" x14ac:dyDescent="0.2">
      <c r="A496">
        <v>3</v>
      </c>
      <c r="B496" t="s">
        <v>31</v>
      </c>
      <c r="C496">
        <v>0</v>
      </c>
      <c r="D496">
        <v>8</v>
      </c>
      <c r="E496" t="str">
        <f t="shared" si="7"/>
        <v>CHRIS92340/8/3/0</v>
      </c>
    </row>
    <row r="497" spans="1:5" x14ac:dyDescent="0.2">
      <c r="A497">
        <v>4</v>
      </c>
      <c r="B497" t="s">
        <v>28</v>
      </c>
      <c r="C497">
        <v>0</v>
      </c>
      <c r="D497">
        <v>4</v>
      </c>
      <c r="E497" t="str">
        <f t="shared" si="7"/>
        <v>sobab/4/4/0</v>
      </c>
    </row>
    <row r="498" spans="1:5" x14ac:dyDescent="0.2">
      <c r="A498">
        <v>5</v>
      </c>
      <c r="B498" t="s">
        <v>25</v>
      </c>
      <c r="C498">
        <v>0</v>
      </c>
      <c r="D498">
        <v>2</v>
      </c>
      <c r="E498" t="str">
        <f t="shared" si="7"/>
        <v>Claudius/2/5/0</v>
      </c>
    </row>
    <row r="499" spans="1:5" x14ac:dyDescent="0.2">
      <c r="A499">
        <v>6</v>
      </c>
      <c r="B499" t="s">
        <v>73</v>
      </c>
      <c r="C499">
        <v>0</v>
      </c>
      <c r="D499">
        <v>1</v>
      </c>
      <c r="E499" t="str">
        <f t="shared" si="7"/>
        <v>Flem/1/6/0</v>
      </c>
    </row>
    <row r="500" spans="1:5" x14ac:dyDescent="0.2">
      <c r="A500">
        <v>1</v>
      </c>
      <c r="B500" t="s">
        <v>65</v>
      </c>
      <c r="C500">
        <v>4</v>
      </c>
      <c r="D500">
        <v>16</v>
      </c>
      <c r="E500" t="str">
        <f t="shared" si="7"/>
        <v>Ripolin/16/1/4</v>
      </c>
    </row>
    <row r="501" spans="1:5" x14ac:dyDescent="0.2">
      <c r="A501">
        <v>2</v>
      </c>
      <c r="B501" t="s">
        <v>46</v>
      </c>
      <c r="C501">
        <v>0</v>
      </c>
      <c r="D501">
        <v>12</v>
      </c>
      <c r="E501" t="str">
        <f t="shared" si="7"/>
        <v>Jérôme/12/2/0</v>
      </c>
    </row>
    <row r="502" spans="1:5" x14ac:dyDescent="0.2">
      <c r="A502">
        <v>3</v>
      </c>
      <c r="B502" t="s">
        <v>18</v>
      </c>
      <c r="C502">
        <v>0</v>
      </c>
      <c r="D502">
        <v>8</v>
      </c>
      <c r="E502" t="str">
        <f t="shared" si="7"/>
        <v>MAMS/8/3/0</v>
      </c>
    </row>
    <row r="503" spans="1:5" x14ac:dyDescent="0.2">
      <c r="A503">
        <v>4</v>
      </c>
      <c r="B503" t="s">
        <v>54</v>
      </c>
      <c r="C503">
        <v>0</v>
      </c>
      <c r="D503">
        <v>4</v>
      </c>
      <c r="E503" t="str">
        <f t="shared" si="7"/>
        <v>Salsamanu/4/4/0</v>
      </c>
    </row>
    <row r="504" spans="1:5" x14ac:dyDescent="0.2">
      <c r="A504">
        <v>5</v>
      </c>
      <c r="B504" t="s">
        <v>14</v>
      </c>
      <c r="C504">
        <v>1</v>
      </c>
      <c r="D504">
        <v>2</v>
      </c>
      <c r="E504" t="str">
        <f t="shared" si="7"/>
        <v>Ramm/2/5/1</v>
      </c>
    </row>
    <row r="505" spans="1:5" x14ac:dyDescent="0.2">
      <c r="A505">
        <v>6</v>
      </c>
      <c r="B505" t="s">
        <v>40</v>
      </c>
      <c r="C505">
        <v>0</v>
      </c>
      <c r="D505">
        <v>1</v>
      </c>
      <c r="E505" t="str">
        <f t="shared" si="7"/>
        <v>Lén@/1/6/0</v>
      </c>
    </row>
    <row r="506" spans="1:5" x14ac:dyDescent="0.2">
      <c r="A506">
        <v>1</v>
      </c>
      <c r="B506" t="s">
        <v>8</v>
      </c>
      <c r="C506">
        <v>2</v>
      </c>
      <c r="D506">
        <v>16</v>
      </c>
      <c r="E506" t="str">
        <f t="shared" si="7"/>
        <v>Maxime/16/1/2</v>
      </c>
    </row>
    <row r="507" spans="1:5" x14ac:dyDescent="0.2">
      <c r="A507">
        <v>2</v>
      </c>
      <c r="B507" t="s">
        <v>6</v>
      </c>
      <c r="C507">
        <v>0</v>
      </c>
      <c r="D507">
        <v>12</v>
      </c>
      <c r="E507" t="str">
        <f t="shared" si="7"/>
        <v>Pyja/12/2/0</v>
      </c>
    </row>
    <row r="508" spans="1:5" x14ac:dyDescent="0.2">
      <c r="A508">
        <v>3</v>
      </c>
      <c r="B508" t="s">
        <v>12</v>
      </c>
      <c r="C508">
        <v>1</v>
      </c>
      <c r="D508">
        <v>8</v>
      </c>
      <c r="E508" t="str">
        <f t="shared" si="7"/>
        <v>Gnak/8/3/1</v>
      </c>
    </row>
    <row r="509" spans="1:5" x14ac:dyDescent="0.2">
      <c r="A509">
        <v>4</v>
      </c>
      <c r="B509" t="s">
        <v>60</v>
      </c>
      <c r="C509">
        <v>2</v>
      </c>
      <c r="D509">
        <v>4</v>
      </c>
      <c r="E509" t="str">
        <f t="shared" si="7"/>
        <v>zizou/4/4/2</v>
      </c>
    </row>
    <row r="510" spans="1:5" x14ac:dyDescent="0.2">
      <c r="A510">
        <v>5</v>
      </c>
      <c r="B510" t="s">
        <v>68</v>
      </c>
      <c r="C510">
        <v>0</v>
      </c>
      <c r="D510">
        <v>2</v>
      </c>
      <c r="E510" t="str">
        <f t="shared" si="7"/>
        <v>zubbaz/2/5/0</v>
      </c>
    </row>
    <row r="511" spans="1:5" x14ac:dyDescent="0.2">
      <c r="A511">
        <v>6</v>
      </c>
      <c r="B511" t="s">
        <v>32</v>
      </c>
      <c r="C511">
        <v>0</v>
      </c>
      <c r="D511">
        <v>1</v>
      </c>
      <c r="E511" t="str">
        <f t="shared" si="7"/>
        <v>OlivierN92/1/6/0</v>
      </c>
    </row>
    <row r="512" spans="1:5" x14ac:dyDescent="0.2">
      <c r="A512">
        <v>1</v>
      </c>
      <c r="B512" t="s">
        <v>42</v>
      </c>
      <c r="C512">
        <v>3</v>
      </c>
      <c r="D512">
        <v>17</v>
      </c>
      <c r="E512" t="str">
        <f t="shared" si="7"/>
        <v>Claptou/17/1/3</v>
      </c>
    </row>
    <row r="513" spans="1:5" x14ac:dyDescent="0.2">
      <c r="A513">
        <v>2</v>
      </c>
      <c r="B513" t="s">
        <v>101</v>
      </c>
      <c r="C513">
        <v>2</v>
      </c>
      <c r="D513">
        <v>13</v>
      </c>
      <c r="E513" t="str">
        <f t="shared" si="7"/>
        <v>ChrisFrankfurt/13/2/2</v>
      </c>
    </row>
    <row r="514" spans="1:5" x14ac:dyDescent="0.2">
      <c r="A514">
        <v>3</v>
      </c>
      <c r="B514" t="s">
        <v>5</v>
      </c>
      <c r="C514">
        <v>1</v>
      </c>
      <c r="D514">
        <v>9</v>
      </c>
      <c r="E514" t="str">
        <f t="shared" ref="E514:E577" si="8">B514&amp;"/"&amp;D514&amp;"/"&amp;A514&amp;"/"&amp;C514</f>
        <v>Sabwill/9/3/1</v>
      </c>
    </row>
    <row r="515" spans="1:5" x14ac:dyDescent="0.2">
      <c r="A515">
        <v>4</v>
      </c>
      <c r="B515" t="s">
        <v>41</v>
      </c>
      <c r="C515">
        <v>0</v>
      </c>
      <c r="D515">
        <v>5</v>
      </c>
      <c r="E515" t="str">
        <f t="shared" si="8"/>
        <v>gibouille/5/4/0</v>
      </c>
    </row>
    <row r="516" spans="1:5" x14ac:dyDescent="0.2">
      <c r="A516">
        <v>5</v>
      </c>
      <c r="B516" t="s">
        <v>35</v>
      </c>
      <c r="C516">
        <v>0</v>
      </c>
      <c r="D516">
        <v>3</v>
      </c>
      <c r="E516" t="str">
        <f t="shared" si="8"/>
        <v>JeanMichelTiming/3/5/0</v>
      </c>
    </row>
    <row r="517" spans="1:5" x14ac:dyDescent="0.2">
      <c r="A517">
        <v>6</v>
      </c>
      <c r="B517" t="s">
        <v>72</v>
      </c>
      <c r="C517">
        <v>0</v>
      </c>
      <c r="D517">
        <v>2</v>
      </c>
      <c r="E517" t="str">
        <f t="shared" si="8"/>
        <v>Le Boss/2/6/0</v>
      </c>
    </row>
    <row r="518" spans="1:5" x14ac:dyDescent="0.2">
      <c r="A518">
        <v>7</v>
      </c>
      <c r="B518" t="s">
        <v>7</v>
      </c>
      <c r="C518">
        <v>0</v>
      </c>
      <c r="D518">
        <v>1</v>
      </c>
      <c r="E518" t="str">
        <f t="shared" si="8"/>
        <v>Geo/1/7/0</v>
      </c>
    </row>
    <row r="519" spans="1:5" x14ac:dyDescent="0.2">
      <c r="A519">
        <v>1</v>
      </c>
      <c r="B519" t="s">
        <v>81</v>
      </c>
      <c r="C519">
        <v>3</v>
      </c>
      <c r="D519">
        <v>17</v>
      </c>
      <c r="E519" t="str">
        <f t="shared" si="8"/>
        <v>Empedocle/17/1/3</v>
      </c>
    </row>
    <row r="520" spans="1:5" x14ac:dyDescent="0.2">
      <c r="A520">
        <v>2</v>
      </c>
      <c r="B520" t="s">
        <v>22</v>
      </c>
      <c r="C520">
        <v>3</v>
      </c>
      <c r="D520">
        <v>13</v>
      </c>
      <c r="E520" t="str">
        <f t="shared" si="8"/>
        <v>Dart 45/13/2/3</v>
      </c>
    </row>
    <row r="521" spans="1:5" x14ac:dyDescent="0.2">
      <c r="A521">
        <v>3</v>
      </c>
      <c r="B521" t="s">
        <v>39</v>
      </c>
      <c r="C521">
        <v>0</v>
      </c>
      <c r="D521">
        <v>9</v>
      </c>
      <c r="E521" t="str">
        <f t="shared" si="8"/>
        <v>kheops/9/3/0</v>
      </c>
    </row>
    <row r="522" spans="1:5" x14ac:dyDescent="0.2">
      <c r="A522">
        <v>4</v>
      </c>
      <c r="B522" t="s">
        <v>87</v>
      </c>
      <c r="C522">
        <v>0</v>
      </c>
      <c r="D522">
        <v>5</v>
      </c>
      <c r="E522" t="str">
        <f t="shared" si="8"/>
        <v>Proph@ne/5/4/0</v>
      </c>
    </row>
    <row r="523" spans="1:5" x14ac:dyDescent="0.2">
      <c r="A523">
        <v>5</v>
      </c>
      <c r="B523" t="s">
        <v>59</v>
      </c>
      <c r="C523">
        <v>0</v>
      </c>
      <c r="D523">
        <v>3</v>
      </c>
      <c r="E523" t="str">
        <f t="shared" si="8"/>
        <v>YooooDA/3/5/0</v>
      </c>
    </row>
    <row r="524" spans="1:5" x14ac:dyDescent="0.2">
      <c r="A524">
        <v>6</v>
      </c>
      <c r="B524" t="s">
        <v>69</v>
      </c>
      <c r="C524">
        <v>0</v>
      </c>
      <c r="D524">
        <v>2</v>
      </c>
      <c r="E524" t="str">
        <f t="shared" si="8"/>
        <v>Catherine/2/6/0</v>
      </c>
    </row>
    <row r="525" spans="1:5" x14ac:dyDescent="0.2">
      <c r="A525">
        <v>7</v>
      </c>
      <c r="B525" t="s">
        <v>74</v>
      </c>
      <c r="C525">
        <v>0</v>
      </c>
      <c r="D525">
        <v>1</v>
      </c>
      <c r="E525" t="str">
        <f t="shared" si="8"/>
        <v>PatB/1/7/0</v>
      </c>
    </row>
    <row r="526" spans="1:5" x14ac:dyDescent="0.2">
      <c r="A526">
        <v>1</v>
      </c>
      <c r="B526" t="s">
        <v>94</v>
      </c>
      <c r="C526">
        <v>5</v>
      </c>
      <c r="D526">
        <v>17</v>
      </c>
      <c r="E526" t="str">
        <f t="shared" si="8"/>
        <v>Jaden le désosseur/17/1/5</v>
      </c>
    </row>
    <row r="527" spans="1:5" x14ac:dyDescent="0.2">
      <c r="A527">
        <v>2</v>
      </c>
      <c r="B527" t="s">
        <v>25</v>
      </c>
      <c r="C527">
        <v>1</v>
      </c>
      <c r="D527">
        <v>13</v>
      </c>
      <c r="E527" t="str">
        <f t="shared" si="8"/>
        <v>Claudius/13/2/1</v>
      </c>
    </row>
    <row r="528" spans="1:5" x14ac:dyDescent="0.2">
      <c r="A528">
        <v>3</v>
      </c>
      <c r="B528" t="s">
        <v>72</v>
      </c>
      <c r="C528">
        <v>0</v>
      </c>
      <c r="D528">
        <v>9</v>
      </c>
      <c r="E528" t="str">
        <f t="shared" si="8"/>
        <v>Le Boss/9/3/0</v>
      </c>
    </row>
    <row r="529" spans="1:5" x14ac:dyDescent="0.2">
      <c r="A529">
        <v>4</v>
      </c>
      <c r="B529" t="s">
        <v>50</v>
      </c>
      <c r="C529">
        <v>0</v>
      </c>
      <c r="D529">
        <v>5</v>
      </c>
      <c r="E529" t="str">
        <f t="shared" si="8"/>
        <v>MLADENGO/5/4/0</v>
      </c>
    </row>
    <row r="530" spans="1:5" x14ac:dyDescent="0.2">
      <c r="A530">
        <v>5</v>
      </c>
      <c r="B530" t="s">
        <v>15</v>
      </c>
      <c r="C530">
        <v>0</v>
      </c>
      <c r="D530">
        <v>3</v>
      </c>
      <c r="E530" t="str">
        <f t="shared" si="8"/>
        <v>LAAtof/3/5/0</v>
      </c>
    </row>
    <row r="531" spans="1:5" x14ac:dyDescent="0.2">
      <c r="A531">
        <v>6</v>
      </c>
      <c r="B531" t="s">
        <v>74</v>
      </c>
      <c r="C531">
        <v>0</v>
      </c>
      <c r="D531">
        <v>2</v>
      </c>
      <c r="E531" t="str">
        <f t="shared" si="8"/>
        <v>PatB/2/6/0</v>
      </c>
    </row>
    <row r="532" spans="1:5" x14ac:dyDescent="0.2">
      <c r="A532">
        <v>7</v>
      </c>
      <c r="B532" t="s">
        <v>68</v>
      </c>
      <c r="C532">
        <v>0</v>
      </c>
      <c r="D532">
        <v>1</v>
      </c>
      <c r="E532" t="str">
        <f t="shared" si="8"/>
        <v>zubbaz/1/7/0</v>
      </c>
    </row>
    <row r="533" spans="1:5" x14ac:dyDescent="0.2">
      <c r="A533">
        <v>1</v>
      </c>
      <c r="B533" t="s">
        <v>60</v>
      </c>
      <c r="C533">
        <v>3</v>
      </c>
      <c r="D533">
        <v>17</v>
      </c>
      <c r="E533" t="str">
        <f t="shared" si="8"/>
        <v>zizou/17/1/3</v>
      </c>
    </row>
    <row r="534" spans="1:5" x14ac:dyDescent="0.2">
      <c r="A534">
        <v>2</v>
      </c>
      <c r="B534" t="s">
        <v>83</v>
      </c>
      <c r="C534">
        <v>2</v>
      </c>
      <c r="D534">
        <v>13</v>
      </c>
      <c r="E534" t="str">
        <f t="shared" si="8"/>
        <v>ChickenSoup/13/2/2</v>
      </c>
    </row>
    <row r="535" spans="1:5" x14ac:dyDescent="0.2">
      <c r="A535">
        <v>3</v>
      </c>
      <c r="B535" t="s">
        <v>8</v>
      </c>
      <c r="C535">
        <v>0</v>
      </c>
      <c r="D535">
        <v>9</v>
      </c>
      <c r="E535" t="str">
        <f t="shared" si="8"/>
        <v>Maxime/9/3/0</v>
      </c>
    </row>
    <row r="536" spans="1:5" x14ac:dyDescent="0.2">
      <c r="A536">
        <v>4</v>
      </c>
      <c r="B536" t="s">
        <v>31</v>
      </c>
      <c r="C536">
        <v>1</v>
      </c>
      <c r="D536">
        <v>5</v>
      </c>
      <c r="E536" t="str">
        <f t="shared" si="8"/>
        <v>CHRIS92340/5/4/1</v>
      </c>
    </row>
    <row r="537" spans="1:5" x14ac:dyDescent="0.2">
      <c r="A537">
        <v>5</v>
      </c>
      <c r="B537" t="s">
        <v>101</v>
      </c>
      <c r="C537">
        <v>0</v>
      </c>
      <c r="D537">
        <v>3</v>
      </c>
      <c r="E537" t="str">
        <f t="shared" si="8"/>
        <v>ChrisFrankfurt/3/5/0</v>
      </c>
    </row>
    <row r="538" spans="1:5" x14ac:dyDescent="0.2">
      <c r="A538">
        <v>6</v>
      </c>
      <c r="B538" t="s">
        <v>18</v>
      </c>
      <c r="C538">
        <v>0</v>
      </c>
      <c r="D538">
        <v>2</v>
      </c>
      <c r="E538" t="str">
        <f t="shared" si="8"/>
        <v>MAMS/2/6/0</v>
      </c>
    </row>
    <row r="539" spans="1:5" x14ac:dyDescent="0.2">
      <c r="A539">
        <v>7</v>
      </c>
      <c r="B539" t="s">
        <v>22</v>
      </c>
      <c r="C539">
        <v>0</v>
      </c>
      <c r="D539">
        <v>1</v>
      </c>
      <c r="E539" t="str">
        <f t="shared" si="8"/>
        <v>Dart 45/1/7/0</v>
      </c>
    </row>
    <row r="540" spans="1:5" x14ac:dyDescent="0.2">
      <c r="A540">
        <v>1</v>
      </c>
      <c r="B540" t="s">
        <v>12</v>
      </c>
      <c r="C540">
        <v>4</v>
      </c>
      <c r="D540">
        <v>17</v>
      </c>
      <c r="E540" t="str">
        <f t="shared" si="8"/>
        <v>Gnak/17/1/4</v>
      </c>
    </row>
    <row r="541" spans="1:5" x14ac:dyDescent="0.2">
      <c r="A541">
        <v>2</v>
      </c>
      <c r="B541" t="s">
        <v>23</v>
      </c>
      <c r="C541">
        <v>1</v>
      </c>
      <c r="D541">
        <v>13</v>
      </c>
      <c r="E541" t="str">
        <f t="shared" si="8"/>
        <v>Lylith75/13/2/1</v>
      </c>
    </row>
    <row r="542" spans="1:5" x14ac:dyDescent="0.2">
      <c r="A542">
        <v>3</v>
      </c>
      <c r="B542" t="s">
        <v>59</v>
      </c>
      <c r="C542">
        <v>1</v>
      </c>
      <c r="D542">
        <v>9</v>
      </c>
      <c r="E542" t="str">
        <f t="shared" si="8"/>
        <v>YooooDA/9/3/1</v>
      </c>
    </row>
    <row r="543" spans="1:5" x14ac:dyDescent="0.2">
      <c r="A543">
        <v>4</v>
      </c>
      <c r="B543" t="s">
        <v>69</v>
      </c>
      <c r="C543">
        <v>0</v>
      </c>
      <c r="D543">
        <v>5</v>
      </c>
      <c r="E543" t="str">
        <f t="shared" si="8"/>
        <v>Catherine/5/4/0</v>
      </c>
    </row>
    <row r="544" spans="1:5" x14ac:dyDescent="0.2">
      <c r="A544">
        <v>5</v>
      </c>
      <c r="B544" t="s">
        <v>54</v>
      </c>
      <c r="C544">
        <v>0</v>
      </c>
      <c r="D544">
        <v>3</v>
      </c>
      <c r="E544" t="str">
        <f t="shared" si="8"/>
        <v>Salsamanu/3/5/0</v>
      </c>
    </row>
    <row r="545" spans="1:5" x14ac:dyDescent="0.2">
      <c r="A545">
        <v>6</v>
      </c>
      <c r="B545" t="s">
        <v>32</v>
      </c>
      <c r="C545">
        <v>0</v>
      </c>
      <c r="D545">
        <v>2</v>
      </c>
      <c r="E545" t="str">
        <f t="shared" si="8"/>
        <v>OlivierN92/2/6/0</v>
      </c>
    </row>
    <row r="546" spans="1:5" x14ac:dyDescent="0.2">
      <c r="A546">
        <v>7</v>
      </c>
      <c r="B546" t="s">
        <v>88</v>
      </c>
      <c r="C546">
        <v>0</v>
      </c>
      <c r="D546">
        <v>1</v>
      </c>
      <c r="E546" t="str">
        <f t="shared" si="8"/>
        <v>Yarael/1/7/0</v>
      </c>
    </row>
    <row r="547" spans="1:5" x14ac:dyDescent="0.2">
      <c r="A547">
        <v>1</v>
      </c>
      <c r="B547" t="s">
        <v>42</v>
      </c>
      <c r="C547">
        <v>3</v>
      </c>
      <c r="D547">
        <v>17</v>
      </c>
      <c r="E547" t="str">
        <f t="shared" si="8"/>
        <v>Claptou/17/1/3</v>
      </c>
    </row>
    <row r="548" spans="1:5" x14ac:dyDescent="0.2">
      <c r="A548">
        <v>2</v>
      </c>
      <c r="B548" t="s">
        <v>75</v>
      </c>
      <c r="C548">
        <v>2</v>
      </c>
      <c r="D548">
        <v>13</v>
      </c>
      <c r="E548" t="str">
        <f t="shared" si="8"/>
        <v>Michelbey/13/2/2</v>
      </c>
    </row>
    <row r="549" spans="1:5" x14ac:dyDescent="0.2">
      <c r="A549">
        <v>3</v>
      </c>
      <c r="B549" t="s">
        <v>63</v>
      </c>
      <c r="C549">
        <v>0</v>
      </c>
      <c r="D549">
        <v>9</v>
      </c>
      <c r="E549" t="str">
        <f t="shared" si="8"/>
        <v>Brice/9/3/0</v>
      </c>
    </row>
    <row r="550" spans="1:5" x14ac:dyDescent="0.2">
      <c r="A550">
        <v>4</v>
      </c>
      <c r="B550" t="s">
        <v>33</v>
      </c>
      <c r="C550">
        <v>1</v>
      </c>
      <c r="D550">
        <v>5</v>
      </c>
      <c r="E550" t="str">
        <f t="shared" si="8"/>
        <v>Ptit Savoyard/5/4/1</v>
      </c>
    </row>
    <row r="551" spans="1:5" x14ac:dyDescent="0.2">
      <c r="A551">
        <v>5</v>
      </c>
      <c r="B551" t="s">
        <v>26</v>
      </c>
      <c r="C551">
        <v>0</v>
      </c>
      <c r="D551">
        <v>3</v>
      </c>
      <c r="E551" t="str">
        <f t="shared" si="8"/>
        <v>LOSOGRE/3/5/0</v>
      </c>
    </row>
    <row r="552" spans="1:5" x14ac:dyDescent="0.2">
      <c r="A552">
        <v>6</v>
      </c>
      <c r="B552" t="s">
        <v>5</v>
      </c>
      <c r="C552">
        <v>0</v>
      </c>
      <c r="D552">
        <v>2</v>
      </c>
      <c r="E552" t="str">
        <f t="shared" si="8"/>
        <v>Sabwill/2/6/0</v>
      </c>
    </row>
    <row r="553" spans="1:5" x14ac:dyDescent="0.2">
      <c r="A553">
        <v>7</v>
      </c>
      <c r="B553" t="s">
        <v>27</v>
      </c>
      <c r="C553">
        <v>0</v>
      </c>
      <c r="D553">
        <v>1</v>
      </c>
      <c r="E553" t="str">
        <f t="shared" si="8"/>
        <v>Mandrake/1/7/0</v>
      </c>
    </row>
    <row r="554" spans="1:5" x14ac:dyDescent="0.2">
      <c r="A554">
        <v>1</v>
      </c>
      <c r="B554" t="s">
        <v>45</v>
      </c>
      <c r="C554">
        <v>3</v>
      </c>
      <c r="D554">
        <v>16</v>
      </c>
      <c r="E554" t="str">
        <f t="shared" si="8"/>
        <v>yaltar/16/1/3</v>
      </c>
    </row>
    <row r="555" spans="1:5" x14ac:dyDescent="0.2">
      <c r="A555">
        <v>2</v>
      </c>
      <c r="B555" t="s">
        <v>40</v>
      </c>
      <c r="C555">
        <v>2</v>
      </c>
      <c r="D555">
        <v>12</v>
      </c>
      <c r="E555" t="str">
        <f t="shared" si="8"/>
        <v>Lén@/12/2/2</v>
      </c>
    </row>
    <row r="556" spans="1:5" x14ac:dyDescent="0.2">
      <c r="A556">
        <v>3</v>
      </c>
      <c r="B556" t="s">
        <v>105</v>
      </c>
      <c r="C556">
        <v>0</v>
      </c>
      <c r="D556">
        <v>8</v>
      </c>
      <c r="E556" t="str">
        <f t="shared" si="8"/>
        <v>Snake/8/3/0</v>
      </c>
    </row>
    <row r="557" spans="1:5" x14ac:dyDescent="0.2">
      <c r="A557">
        <v>4</v>
      </c>
      <c r="B557" t="s">
        <v>81</v>
      </c>
      <c r="C557">
        <v>0</v>
      </c>
      <c r="D557">
        <v>4</v>
      </c>
      <c r="E557" t="str">
        <f t="shared" si="8"/>
        <v>Empedocle/4/4/0</v>
      </c>
    </row>
    <row r="558" spans="1:5" x14ac:dyDescent="0.2">
      <c r="A558">
        <v>5</v>
      </c>
      <c r="B558" t="s">
        <v>6</v>
      </c>
      <c r="C558">
        <v>0</v>
      </c>
      <c r="D558">
        <v>2</v>
      </c>
      <c r="E558" t="str">
        <f t="shared" si="8"/>
        <v>Pyja/2/5/0</v>
      </c>
    </row>
    <row r="559" spans="1:5" x14ac:dyDescent="0.2">
      <c r="A559">
        <v>6</v>
      </c>
      <c r="B559" t="s">
        <v>9</v>
      </c>
      <c r="C559">
        <v>0</v>
      </c>
      <c r="D559">
        <v>1</v>
      </c>
      <c r="E559" t="str">
        <f t="shared" si="8"/>
        <v>K1/1/6/0</v>
      </c>
    </row>
    <row r="560" spans="1:5" x14ac:dyDescent="0.2">
      <c r="A560">
        <v>1</v>
      </c>
      <c r="B560" t="s">
        <v>14</v>
      </c>
      <c r="C560">
        <v>2</v>
      </c>
      <c r="D560">
        <v>16</v>
      </c>
      <c r="E560" t="str">
        <f t="shared" si="8"/>
        <v>Ramm/16/1/2</v>
      </c>
    </row>
    <row r="561" spans="1:5" x14ac:dyDescent="0.2">
      <c r="A561">
        <v>2</v>
      </c>
      <c r="B561" t="s">
        <v>80</v>
      </c>
      <c r="C561">
        <v>2</v>
      </c>
      <c r="D561">
        <v>12</v>
      </c>
      <c r="E561" t="str">
        <f t="shared" si="8"/>
        <v>Fiffou/12/2/2</v>
      </c>
    </row>
    <row r="562" spans="1:5" x14ac:dyDescent="0.2">
      <c r="A562">
        <v>3</v>
      </c>
      <c r="B562" t="s">
        <v>46</v>
      </c>
      <c r="C562">
        <v>1</v>
      </c>
      <c r="D562">
        <v>8</v>
      </c>
      <c r="E562" t="str">
        <f t="shared" si="8"/>
        <v>Jérôme/8/3/1</v>
      </c>
    </row>
    <row r="563" spans="1:5" x14ac:dyDescent="0.2">
      <c r="A563">
        <v>4</v>
      </c>
      <c r="B563" t="s">
        <v>41</v>
      </c>
      <c r="C563">
        <v>0</v>
      </c>
      <c r="D563">
        <v>4</v>
      </c>
      <c r="E563" t="str">
        <f t="shared" si="8"/>
        <v>gibouille/4/4/0</v>
      </c>
    </row>
    <row r="564" spans="1:5" x14ac:dyDescent="0.2">
      <c r="A564">
        <v>5</v>
      </c>
      <c r="B564" t="s">
        <v>21</v>
      </c>
      <c r="C564">
        <v>0</v>
      </c>
      <c r="D564">
        <v>2</v>
      </c>
      <c r="E564" t="str">
        <f t="shared" si="8"/>
        <v>Carmin/2/5/0</v>
      </c>
    </row>
    <row r="565" spans="1:5" x14ac:dyDescent="0.2">
      <c r="A565">
        <v>6</v>
      </c>
      <c r="B565" t="s">
        <v>47</v>
      </c>
      <c r="C565">
        <v>0</v>
      </c>
      <c r="D565">
        <v>1</v>
      </c>
      <c r="E565" t="str">
        <f t="shared" si="8"/>
        <v>Logan/1/6/0</v>
      </c>
    </row>
    <row r="566" spans="1:5" x14ac:dyDescent="0.2">
      <c r="A566">
        <v>1</v>
      </c>
      <c r="B566" t="s">
        <v>73</v>
      </c>
      <c r="C566">
        <v>4</v>
      </c>
      <c r="D566">
        <v>16</v>
      </c>
      <c r="E566" t="str">
        <f t="shared" si="8"/>
        <v>Flem/16/1/4</v>
      </c>
    </row>
    <row r="567" spans="1:5" x14ac:dyDescent="0.2">
      <c r="A567">
        <v>2</v>
      </c>
      <c r="B567" t="s">
        <v>65</v>
      </c>
      <c r="C567">
        <v>1</v>
      </c>
      <c r="D567">
        <v>12</v>
      </c>
      <c r="E567" t="str">
        <f t="shared" si="8"/>
        <v>Ripolin/12/2/1</v>
      </c>
    </row>
    <row r="568" spans="1:5" x14ac:dyDescent="0.2">
      <c r="A568">
        <v>3</v>
      </c>
      <c r="B568" t="s">
        <v>77</v>
      </c>
      <c r="C568">
        <v>0</v>
      </c>
      <c r="D568">
        <v>8</v>
      </c>
      <c r="E568" t="str">
        <f t="shared" si="8"/>
        <v>Récréatif/8/3/0</v>
      </c>
    </row>
    <row r="569" spans="1:5" x14ac:dyDescent="0.2">
      <c r="A569">
        <v>4</v>
      </c>
      <c r="B569" t="s">
        <v>35</v>
      </c>
      <c r="C569">
        <v>0</v>
      </c>
      <c r="D569">
        <v>4</v>
      </c>
      <c r="E569" t="str">
        <f t="shared" si="8"/>
        <v>JeanMichelTiming/4/4/0</v>
      </c>
    </row>
    <row r="570" spans="1:5" x14ac:dyDescent="0.2">
      <c r="A570">
        <v>5</v>
      </c>
      <c r="B570" t="s">
        <v>39</v>
      </c>
      <c r="C570">
        <v>0</v>
      </c>
      <c r="D570">
        <v>2</v>
      </c>
      <c r="E570" t="str">
        <f t="shared" si="8"/>
        <v>kheops/2/5/0</v>
      </c>
    </row>
    <row r="571" spans="1:5" x14ac:dyDescent="0.2">
      <c r="A571">
        <v>6</v>
      </c>
      <c r="B571" t="s">
        <v>55</v>
      </c>
      <c r="C571">
        <v>0</v>
      </c>
      <c r="D571">
        <v>1</v>
      </c>
      <c r="E571" t="str">
        <f t="shared" si="8"/>
        <v>Bounette/1/6/0</v>
      </c>
    </row>
    <row r="572" spans="1:5" x14ac:dyDescent="0.2">
      <c r="A572">
        <v>1</v>
      </c>
      <c r="B572" t="s">
        <v>8</v>
      </c>
      <c r="C572">
        <v>4</v>
      </c>
      <c r="D572">
        <v>16</v>
      </c>
      <c r="E572" t="str">
        <f t="shared" si="8"/>
        <v>Maxime/16/1/4</v>
      </c>
    </row>
    <row r="573" spans="1:5" x14ac:dyDescent="0.2">
      <c r="A573">
        <v>2</v>
      </c>
      <c r="B573" t="s">
        <v>33</v>
      </c>
      <c r="C573">
        <v>0</v>
      </c>
      <c r="D573">
        <v>12</v>
      </c>
      <c r="E573" t="str">
        <f t="shared" si="8"/>
        <v>Ptit Savoyard/12/2/0</v>
      </c>
    </row>
    <row r="574" spans="1:5" x14ac:dyDescent="0.2">
      <c r="A574">
        <v>3</v>
      </c>
      <c r="B574" t="s">
        <v>74</v>
      </c>
      <c r="C574">
        <v>1</v>
      </c>
      <c r="D574">
        <v>8</v>
      </c>
      <c r="E574" t="str">
        <f t="shared" si="8"/>
        <v>PatB/8/3/1</v>
      </c>
    </row>
    <row r="575" spans="1:5" x14ac:dyDescent="0.2">
      <c r="A575">
        <v>4</v>
      </c>
      <c r="B575" t="s">
        <v>19</v>
      </c>
      <c r="C575">
        <v>0</v>
      </c>
      <c r="D575">
        <v>4</v>
      </c>
      <c r="E575" t="str">
        <f t="shared" si="8"/>
        <v>Giobeck/4/4/0</v>
      </c>
    </row>
    <row r="576" spans="1:5" x14ac:dyDescent="0.2">
      <c r="A576">
        <v>5</v>
      </c>
      <c r="B576" t="s">
        <v>31</v>
      </c>
      <c r="C576">
        <v>0</v>
      </c>
      <c r="D576">
        <v>2</v>
      </c>
      <c r="E576" t="str">
        <f t="shared" si="8"/>
        <v>CHRIS92340/2/5/0</v>
      </c>
    </row>
    <row r="577" spans="1:5" x14ac:dyDescent="0.2">
      <c r="A577">
        <v>6</v>
      </c>
      <c r="B577" t="s">
        <v>92</v>
      </c>
      <c r="C577">
        <v>0</v>
      </c>
      <c r="D577">
        <v>1</v>
      </c>
      <c r="E577" t="str">
        <f t="shared" si="8"/>
        <v>Jacks&amp;Five/1/6/0</v>
      </c>
    </row>
    <row r="578" spans="1:5" x14ac:dyDescent="0.2">
      <c r="A578">
        <v>1</v>
      </c>
      <c r="B578" t="s">
        <v>12</v>
      </c>
      <c r="C578">
        <v>4</v>
      </c>
      <c r="D578">
        <v>16</v>
      </c>
      <c r="E578" t="str">
        <f t="shared" ref="E578:E641" si="9">B578&amp;"/"&amp;D578&amp;"/"&amp;A578&amp;"/"&amp;C578</f>
        <v>Gnak/16/1/4</v>
      </c>
    </row>
    <row r="579" spans="1:5" x14ac:dyDescent="0.2">
      <c r="A579">
        <v>2</v>
      </c>
      <c r="B579" t="s">
        <v>101</v>
      </c>
      <c r="C579">
        <v>0</v>
      </c>
      <c r="D579">
        <v>12</v>
      </c>
      <c r="E579" t="str">
        <f t="shared" si="9"/>
        <v>ChrisFrankfurt/12/2/0</v>
      </c>
    </row>
    <row r="580" spans="1:5" x14ac:dyDescent="0.2">
      <c r="A580">
        <v>3</v>
      </c>
      <c r="B580" t="s">
        <v>91</v>
      </c>
      <c r="C580">
        <v>1</v>
      </c>
      <c r="D580">
        <v>8</v>
      </c>
      <c r="E580" t="str">
        <f t="shared" si="9"/>
        <v>Crevette/8/3/1</v>
      </c>
    </row>
    <row r="581" spans="1:5" x14ac:dyDescent="0.2">
      <c r="A581">
        <v>4</v>
      </c>
      <c r="B581" t="s">
        <v>55</v>
      </c>
      <c r="C581">
        <v>0</v>
      </c>
      <c r="D581">
        <v>4</v>
      </c>
      <c r="E581" t="str">
        <f t="shared" si="9"/>
        <v>Bounette/4/4/0</v>
      </c>
    </row>
    <row r="582" spans="1:5" x14ac:dyDescent="0.2">
      <c r="A582">
        <v>5</v>
      </c>
      <c r="B582" t="s">
        <v>21</v>
      </c>
      <c r="C582">
        <v>0</v>
      </c>
      <c r="D582">
        <v>2</v>
      </c>
      <c r="E582" t="str">
        <f t="shared" si="9"/>
        <v>Carmin/2/5/0</v>
      </c>
    </row>
    <row r="583" spans="1:5" x14ac:dyDescent="0.2">
      <c r="A583">
        <v>6</v>
      </c>
      <c r="B583" t="s">
        <v>68</v>
      </c>
      <c r="C583">
        <v>0</v>
      </c>
      <c r="D583">
        <v>1</v>
      </c>
      <c r="E583" t="str">
        <f t="shared" si="9"/>
        <v>zubbaz/1/6/0</v>
      </c>
    </row>
    <row r="584" spans="1:5" x14ac:dyDescent="0.2">
      <c r="A584">
        <v>1</v>
      </c>
      <c r="B584" t="s">
        <v>50</v>
      </c>
      <c r="C584">
        <v>1</v>
      </c>
      <c r="D584">
        <v>17</v>
      </c>
      <c r="E584" t="str">
        <f t="shared" si="9"/>
        <v>MLADENGO/17/1/1</v>
      </c>
    </row>
    <row r="585" spans="1:5" x14ac:dyDescent="0.2">
      <c r="A585">
        <v>2</v>
      </c>
      <c r="B585" t="s">
        <v>46</v>
      </c>
      <c r="C585">
        <v>1</v>
      </c>
      <c r="D585">
        <v>13</v>
      </c>
      <c r="E585" t="str">
        <f t="shared" si="9"/>
        <v>Jérôme/13/2/1</v>
      </c>
    </row>
    <row r="586" spans="1:5" x14ac:dyDescent="0.2">
      <c r="A586">
        <v>3</v>
      </c>
      <c r="B586" t="s">
        <v>26</v>
      </c>
      <c r="C586">
        <v>3</v>
      </c>
      <c r="D586">
        <v>9</v>
      </c>
      <c r="E586" t="str">
        <f t="shared" si="9"/>
        <v>LOSOGRE/9/3/3</v>
      </c>
    </row>
    <row r="587" spans="1:5" x14ac:dyDescent="0.2">
      <c r="A587">
        <v>4</v>
      </c>
      <c r="B587" t="s">
        <v>28</v>
      </c>
      <c r="C587">
        <v>1</v>
      </c>
      <c r="D587">
        <v>5</v>
      </c>
      <c r="E587" t="str">
        <f t="shared" si="9"/>
        <v>sobab/5/4/1</v>
      </c>
    </row>
    <row r="588" spans="1:5" x14ac:dyDescent="0.2">
      <c r="A588">
        <v>5</v>
      </c>
      <c r="B588" t="s">
        <v>15</v>
      </c>
      <c r="C588">
        <v>0</v>
      </c>
      <c r="D588">
        <v>3</v>
      </c>
      <c r="E588" t="str">
        <f t="shared" si="9"/>
        <v>LAAtof/3/5/0</v>
      </c>
    </row>
    <row r="589" spans="1:5" x14ac:dyDescent="0.2">
      <c r="A589">
        <v>6</v>
      </c>
      <c r="B589" t="s">
        <v>88</v>
      </c>
      <c r="C589">
        <v>0</v>
      </c>
      <c r="D589">
        <v>2</v>
      </c>
      <c r="E589" t="str">
        <f t="shared" si="9"/>
        <v>Yarael/2/6/0</v>
      </c>
    </row>
    <row r="590" spans="1:5" x14ac:dyDescent="0.2">
      <c r="A590">
        <v>7</v>
      </c>
      <c r="B590" t="s">
        <v>9</v>
      </c>
      <c r="C590">
        <v>0</v>
      </c>
      <c r="D590">
        <v>1</v>
      </c>
      <c r="E590" t="str">
        <f t="shared" si="9"/>
        <v>K1/1/7/0</v>
      </c>
    </row>
    <row r="591" spans="1:5" x14ac:dyDescent="0.2">
      <c r="A591">
        <v>1</v>
      </c>
      <c r="B591" t="s">
        <v>35</v>
      </c>
      <c r="C591">
        <v>5</v>
      </c>
      <c r="D591">
        <v>16</v>
      </c>
      <c r="E591" t="str">
        <f t="shared" si="9"/>
        <v>JeanMichelTiming/16/1/5</v>
      </c>
    </row>
    <row r="592" spans="1:5" x14ac:dyDescent="0.2">
      <c r="A592">
        <v>2</v>
      </c>
      <c r="B592" t="s">
        <v>69</v>
      </c>
      <c r="C592">
        <v>0</v>
      </c>
      <c r="D592">
        <v>12</v>
      </c>
      <c r="E592" t="str">
        <f t="shared" si="9"/>
        <v>Catherine/12/2/0</v>
      </c>
    </row>
    <row r="593" spans="1:5" x14ac:dyDescent="0.2">
      <c r="A593">
        <v>3</v>
      </c>
      <c r="B593" t="s">
        <v>47</v>
      </c>
      <c r="C593">
        <v>0</v>
      </c>
      <c r="D593">
        <v>8</v>
      </c>
      <c r="E593" t="str">
        <f t="shared" si="9"/>
        <v>Logan/8/3/0</v>
      </c>
    </row>
    <row r="594" spans="1:5" x14ac:dyDescent="0.2">
      <c r="A594">
        <v>4</v>
      </c>
      <c r="B594" t="s">
        <v>66</v>
      </c>
      <c r="C594">
        <v>0</v>
      </c>
      <c r="D594">
        <v>4</v>
      </c>
      <c r="E594" t="str">
        <f t="shared" si="9"/>
        <v>Ad Vitam/4/4/0</v>
      </c>
    </row>
    <row r="595" spans="1:5" x14ac:dyDescent="0.2">
      <c r="A595">
        <v>5</v>
      </c>
      <c r="B595" t="s">
        <v>14</v>
      </c>
      <c r="C595">
        <v>0</v>
      </c>
      <c r="D595">
        <v>2</v>
      </c>
      <c r="E595" t="str">
        <f t="shared" si="9"/>
        <v>Ramm/2/5/0</v>
      </c>
    </row>
    <row r="596" spans="1:5" x14ac:dyDescent="0.2">
      <c r="A596">
        <v>6</v>
      </c>
      <c r="B596" t="s">
        <v>103</v>
      </c>
      <c r="C596">
        <v>0</v>
      </c>
      <c r="D596">
        <v>1</v>
      </c>
      <c r="E596" t="str">
        <f t="shared" si="9"/>
        <v>zzav/1/6/0</v>
      </c>
    </row>
    <row r="597" spans="1:5" x14ac:dyDescent="0.2">
      <c r="A597">
        <v>1</v>
      </c>
      <c r="B597" t="s">
        <v>6</v>
      </c>
      <c r="C597">
        <v>1</v>
      </c>
      <c r="D597">
        <v>17</v>
      </c>
      <c r="E597" t="str">
        <f t="shared" si="9"/>
        <v>Pyja/17/1/1</v>
      </c>
    </row>
    <row r="598" spans="1:5" x14ac:dyDescent="0.2">
      <c r="A598">
        <v>2</v>
      </c>
      <c r="B598" t="s">
        <v>40</v>
      </c>
      <c r="C598">
        <v>3</v>
      </c>
      <c r="D598">
        <v>13</v>
      </c>
      <c r="E598" t="str">
        <f t="shared" si="9"/>
        <v>Lén@/13/2/3</v>
      </c>
    </row>
    <row r="599" spans="1:5" x14ac:dyDescent="0.2">
      <c r="A599">
        <v>3</v>
      </c>
      <c r="B599" t="s">
        <v>39</v>
      </c>
      <c r="C599">
        <v>2</v>
      </c>
      <c r="D599">
        <v>9</v>
      </c>
      <c r="E599" t="str">
        <f t="shared" si="9"/>
        <v>kheops/9/3/2</v>
      </c>
    </row>
    <row r="600" spans="1:5" x14ac:dyDescent="0.2">
      <c r="A600">
        <v>4</v>
      </c>
      <c r="B600" t="s">
        <v>42</v>
      </c>
      <c r="C600">
        <v>0</v>
      </c>
      <c r="D600">
        <v>5</v>
      </c>
      <c r="E600" t="str">
        <f t="shared" si="9"/>
        <v>Claptou/5/4/0</v>
      </c>
    </row>
    <row r="601" spans="1:5" x14ac:dyDescent="0.2">
      <c r="A601">
        <v>5</v>
      </c>
      <c r="B601" t="s">
        <v>63</v>
      </c>
      <c r="C601">
        <v>0</v>
      </c>
      <c r="D601">
        <v>3</v>
      </c>
      <c r="E601" t="str">
        <f t="shared" si="9"/>
        <v>Brice/3/5/0</v>
      </c>
    </row>
    <row r="602" spans="1:5" x14ac:dyDescent="0.2">
      <c r="A602">
        <v>6</v>
      </c>
      <c r="B602" t="s">
        <v>81</v>
      </c>
      <c r="C602">
        <v>0</v>
      </c>
      <c r="D602">
        <v>2</v>
      </c>
      <c r="E602" t="str">
        <f t="shared" si="9"/>
        <v>Empedocle/2/6/0</v>
      </c>
    </row>
    <row r="603" spans="1:5" x14ac:dyDescent="0.2">
      <c r="A603">
        <v>7</v>
      </c>
      <c r="B603" t="s">
        <v>23</v>
      </c>
      <c r="C603">
        <v>0</v>
      </c>
      <c r="D603">
        <v>1</v>
      </c>
      <c r="E603" t="str">
        <f t="shared" si="9"/>
        <v>Lylith75/1/7/0</v>
      </c>
    </row>
    <row r="604" spans="1:5" x14ac:dyDescent="0.2">
      <c r="A604">
        <v>1</v>
      </c>
      <c r="B604" t="s">
        <v>59</v>
      </c>
      <c r="C604">
        <v>2</v>
      </c>
      <c r="D604">
        <v>16</v>
      </c>
      <c r="E604" t="str">
        <f t="shared" si="9"/>
        <v>YooooDA/16/1/2</v>
      </c>
    </row>
    <row r="605" spans="1:5" x14ac:dyDescent="0.2">
      <c r="A605">
        <v>2</v>
      </c>
      <c r="B605" t="s">
        <v>41</v>
      </c>
      <c r="C605">
        <v>1</v>
      </c>
      <c r="D605">
        <v>12</v>
      </c>
      <c r="E605" t="str">
        <f t="shared" si="9"/>
        <v>gibouille/12/2/1</v>
      </c>
    </row>
    <row r="606" spans="1:5" x14ac:dyDescent="0.2">
      <c r="A606">
        <v>3</v>
      </c>
      <c r="B606" t="s">
        <v>87</v>
      </c>
      <c r="C606">
        <v>0</v>
      </c>
      <c r="D606">
        <v>8</v>
      </c>
      <c r="E606" t="str">
        <f t="shared" si="9"/>
        <v>Proph@ne/8/3/0</v>
      </c>
    </row>
    <row r="607" spans="1:5" x14ac:dyDescent="0.2">
      <c r="A607">
        <v>4</v>
      </c>
      <c r="B607" t="s">
        <v>53</v>
      </c>
      <c r="C607">
        <v>2</v>
      </c>
      <c r="D607">
        <v>4</v>
      </c>
      <c r="E607" t="str">
        <f t="shared" si="9"/>
        <v>Makoche/4/4/2</v>
      </c>
    </row>
    <row r="608" spans="1:5" x14ac:dyDescent="0.2">
      <c r="A608">
        <v>5</v>
      </c>
      <c r="B608" t="s">
        <v>75</v>
      </c>
      <c r="C608">
        <v>0</v>
      </c>
      <c r="D608">
        <v>2</v>
      </c>
      <c r="E608" t="str">
        <f t="shared" si="9"/>
        <v>Michelbey/2/5/0</v>
      </c>
    </row>
    <row r="609" spans="1:5" x14ac:dyDescent="0.2">
      <c r="A609">
        <v>6</v>
      </c>
      <c r="B609" t="s">
        <v>22</v>
      </c>
      <c r="C609">
        <v>0</v>
      </c>
      <c r="D609">
        <v>1</v>
      </c>
      <c r="E609" t="str">
        <f t="shared" si="9"/>
        <v>Dart 45/1/6/0</v>
      </c>
    </row>
    <row r="610" spans="1:5" x14ac:dyDescent="0.2">
      <c r="A610">
        <v>1</v>
      </c>
      <c r="B610" t="s">
        <v>45</v>
      </c>
      <c r="C610">
        <v>2</v>
      </c>
      <c r="D610">
        <v>17</v>
      </c>
      <c r="E610" t="str">
        <f t="shared" si="9"/>
        <v>yaltar/17/1/2</v>
      </c>
    </row>
    <row r="611" spans="1:5" x14ac:dyDescent="0.2">
      <c r="A611">
        <v>2</v>
      </c>
      <c r="B611" t="s">
        <v>27</v>
      </c>
      <c r="C611">
        <v>2</v>
      </c>
      <c r="D611">
        <v>13</v>
      </c>
      <c r="E611" t="str">
        <f t="shared" si="9"/>
        <v>Mandrake/13/2/2</v>
      </c>
    </row>
    <row r="612" spans="1:5" x14ac:dyDescent="0.2">
      <c r="A612">
        <v>3</v>
      </c>
      <c r="B612" t="s">
        <v>54</v>
      </c>
      <c r="C612">
        <v>0</v>
      </c>
      <c r="D612">
        <v>9</v>
      </c>
      <c r="E612" t="str">
        <f t="shared" si="9"/>
        <v>Salsamanu/9/3/0</v>
      </c>
    </row>
    <row r="613" spans="1:5" x14ac:dyDescent="0.2">
      <c r="A613">
        <v>4</v>
      </c>
      <c r="B613" t="s">
        <v>32</v>
      </c>
      <c r="C613">
        <v>1</v>
      </c>
      <c r="D613">
        <v>5</v>
      </c>
      <c r="E613" t="str">
        <f t="shared" si="9"/>
        <v>OlivierN92/5/4/1</v>
      </c>
    </row>
    <row r="614" spans="1:5" x14ac:dyDescent="0.2">
      <c r="A614">
        <v>5</v>
      </c>
      <c r="B614" t="s">
        <v>25</v>
      </c>
      <c r="C614">
        <v>0</v>
      </c>
      <c r="D614">
        <v>3</v>
      </c>
      <c r="E614" t="str">
        <f t="shared" si="9"/>
        <v>Claudius/3/5/0</v>
      </c>
    </row>
    <row r="615" spans="1:5" x14ac:dyDescent="0.2">
      <c r="A615">
        <v>6</v>
      </c>
      <c r="B615" t="s">
        <v>77</v>
      </c>
      <c r="C615">
        <v>0</v>
      </c>
      <c r="D615">
        <v>2</v>
      </c>
      <c r="E615" t="str">
        <f t="shared" si="9"/>
        <v>Récréatif/2/6/0</v>
      </c>
    </row>
    <row r="616" spans="1:5" x14ac:dyDescent="0.2">
      <c r="A616">
        <v>7</v>
      </c>
      <c r="B616" t="s">
        <v>52</v>
      </c>
      <c r="C616">
        <v>0</v>
      </c>
      <c r="D616">
        <v>1</v>
      </c>
      <c r="E616" t="str">
        <f t="shared" si="9"/>
        <v>Coach Pepito/1/7/0</v>
      </c>
    </row>
    <row r="617" spans="1:5" x14ac:dyDescent="0.2">
      <c r="A617">
        <v>1</v>
      </c>
      <c r="B617" t="s">
        <v>48</v>
      </c>
      <c r="C617">
        <v>3</v>
      </c>
      <c r="D617">
        <v>16</v>
      </c>
      <c r="E617" t="str">
        <f t="shared" si="9"/>
        <v>Pintu/16/1/3</v>
      </c>
    </row>
    <row r="618" spans="1:5" x14ac:dyDescent="0.2">
      <c r="A618">
        <v>2</v>
      </c>
      <c r="B618" t="s">
        <v>21</v>
      </c>
      <c r="C618">
        <v>1</v>
      </c>
      <c r="D618">
        <v>12</v>
      </c>
      <c r="E618" t="str">
        <f t="shared" si="9"/>
        <v>Carmin/12/2/1</v>
      </c>
    </row>
    <row r="619" spans="1:5" x14ac:dyDescent="0.2">
      <c r="A619">
        <v>3</v>
      </c>
      <c r="B619" t="s">
        <v>106</v>
      </c>
      <c r="C619">
        <v>0</v>
      </c>
      <c r="D619">
        <v>8</v>
      </c>
      <c r="E619" t="str">
        <f t="shared" si="9"/>
        <v>Semperfi/8/3/0</v>
      </c>
    </row>
    <row r="620" spans="1:5" x14ac:dyDescent="0.2">
      <c r="A620">
        <v>4</v>
      </c>
      <c r="B620" t="s">
        <v>23</v>
      </c>
      <c r="C620">
        <v>0</v>
      </c>
      <c r="D620">
        <v>4</v>
      </c>
      <c r="E620" t="str">
        <f t="shared" si="9"/>
        <v>Lylith75/4/4/0</v>
      </c>
    </row>
    <row r="621" spans="1:5" x14ac:dyDescent="0.2">
      <c r="A621">
        <v>5</v>
      </c>
      <c r="B621" t="s">
        <v>9</v>
      </c>
      <c r="C621">
        <v>1</v>
      </c>
      <c r="D621">
        <v>2</v>
      </c>
      <c r="E621" t="str">
        <f t="shared" si="9"/>
        <v>K1/2/5/1</v>
      </c>
    </row>
    <row r="622" spans="1:5" x14ac:dyDescent="0.2">
      <c r="A622">
        <v>6</v>
      </c>
      <c r="B622" t="s">
        <v>103</v>
      </c>
      <c r="C622">
        <v>0</v>
      </c>
      <c r="D622">
        <v>1</v>
      </c>
      <c r="E622" t="str">
        <f t="shared" si="9"/>
        <v>zzav/1/6/0</v>
      </c>
    </row>
    <row r="623" spans="1:5" x14ac:dyDescent="0.2">
      <c r="A623">
        <v>1</v>
      </c>
      <c r="B623" t="s">
        <v>8</v>
      </c>
      <c r="C623">
        <v>2</v>
      </c>
      <c r="D623">
        <v>17</v>
      </c>
      <c r="E623" t="str">
        <f t="shared" si="9"/>
        <v>Maxime/17/1/2</v>
      </c>
    </row>
    <row r="624" spans="1:5" x14ac:dyDescent="0.2">
      <c r="A624">
        <v>2</v>
      </c>
      <c r="B624" t="s">
        <v>107</v>
      </c>
      <c r="C624">
        <v>1</v>
      </c>
      <c r="D624">
        <v>13</v>
      </c>
      <c r="E624" t="str">
        <f t="shared" si="9"/>
        <v>Young-Pok/13/2/1</v>
      </c>
    </row>
    <row r="625" spans="1:5" x14ac:dyDescent="0.2">
      <c r="A625">
        <v>3</v>
      </c>
      <c r="B625" t="s">
        <v>54</v>
      </c>
      <c r="C625">
        <v>1</v>
      </c>
      <c r="D625">
        <v>9</v>
      </c>
      <c r="E625" t="str">
        <f t="shared" si="9"/>
        <v>Salsamanu/9/3/1</v>
      </c>
    </row>
    <row r="626" spans="1:5" x14ac:dyDescent="0.2">
      <c r="A626">
        <v>4</v>
      </c>
      <c r="B626" t="s">
        <v>74</v>
      </c>
      <c r="C626">
        <v>1</v>
      </c>
      <c r="D626">
        <v>5</v>
      </c>
      <c r="E626" t="str">
        <f t="shared" si="9"/>
        <v>PatB/5/4/1</v>
      </c>
    </row>
    <row r="627" spans="1:5" x14ac:dyDescent="0.2">
      <c r="A627">
        <v>5</v>
      </c>
      <c r="B627" t="s">
        <v>19</v>
      </c>
      <c r="C627">
        <v>1</v>
      </c>
      <c r="D627">
        <v>3</v>
      </c>
      <c r="E627" t="str">
        <f t="shared" si="9"/>
        <v>Giobeck/3/5/1</v>
      </c>
    </row>
    <row r="628" spans="1:5" x14ac:dyDescent="0.2">
      <c r="A628">
        <v>6</v>
      </c>
      <c r="B628" t="s">
        <v>42</v>
      </c>
      <c r="C628">
        <v>0</v>
      </c>
      <c r="D628">
        <v>2</v>
      </c>
      <c r="E628" t="str">
        <f t="shared" si="9"/>
        <v>Claptou/2/6/0</v>
      </c>
    </row>
    <row r="629" spans="1:5" x14ac:dyDescent="0.2">
      <c r="A629">
        <v>7</v>
      </c>
      <c r="B629" t="s">
        <v>52</v>
      </c>
      <c r="C629">
        <v>0</v>
      </c>
      <c r="D629">
        <v>1</v>
      </c>
      <c r="E629" t="str">
        <f t="shared" si="9"/>
        <v>Coach Pepito/1/7/0</v>
      </c>
    </row>
    <row r="630" spans="1:5" x14ac:dyDescent="0.2">
      <c r="A630">
        <v>1</v>
      </c>
      <c r="B630" t="s">
        <v>101</v>
      </c>
      <c r="C630">
        <v>3</v>
      </c>
      <c r="D630">
        <v>17</v>
      </c>
      <c r="E630" t="str">
        <f t="shared" si="9"/>
        <v>ChrisFrankfurt/17/1/3</v>
      </c>
    </row>
    <row r="631" spans="1:5" x14ac:dyDescent="0.2">
      <c r="A631">
        <v>2</v>
      </c>
      <c r="B631" t="s">
        <v>77</v>
      </c>
      <c r="C631">
        <v>1</v>
      </c>
      <c r="D631">
        <v>13</v>
      </c>
      <c r="E631" t="str">
        <f t="shared" si="9"/>
        <v>Récréatif/13/2/1</v>
      </c>
    </row>
    <row r="632" spans="1:5" x14ac:dyDescent="0.2">
      <c r="A632">
        <v>3</v>
      </c>
      <c r="B632" t="s">
        <v>41</v>
      </c>
      <c r="C632">
        <v>0</v>
      </c>
      <c r="D632">
        <v>9</v>
      </c>
      <c r="E632" t="str">
        <f t="shared" si="9"/>
        <v>gibouille/9/3/0</v>
      </c>
    </row>
    <row r="633" spans="1:5" x14ac:dyDescent="0.2">
      <c r="A633">
        <v>4</v>
      </c>
      <c r="B633" t="s">
        <v>14</v>
      </c>
      <c r="C633">
        <v>1</v>
      </c>
      <c r="D633">
        <v>5</v>
      </c>
      <c r="E633" t="str">
        <f t="shared" si="9"/>
        <v>Ramm/5/4/1</v>
      </c>
    </row>
    <row r="634" spans="1:5" x14ac:dyDescent="0.2">
      <c r="A634">
        <v>5</v>
      </c>
      <c r="B634" t="s">
        <v>91</v>
      </c>
      <c r="C634">
        <v>1</v>
      </c>
      <c r="D634">
        <v>3</v>
      </c>
      <c r="E634" t="str">
        <f t="shared" si="9"/>
        <v>Crevette/3/5/1</v>
      </c>
    </row>
    <row r="635" spans="1:5" x14ac:dyDescent="0.2">
      <c r="A635">
        <v>6</v>
      </c>
      <c r="B635" t="s">
        <v>73</v>
      </c>
      <c r="C635">
        <v>0</v>
      </c>
      <c r="D635">
        <v>2</v>
      </c>
      <c r="E635" t="str">
        <f t="shared" si="9"/>
        <v>Flem/2/6/0</v>
      </c>
    </row>
    <row r="636" spans="1:5" x14ac:dyDescent="0.2">
      <c r="A636">
        <v>7</v>
      </c>
      <c r="B636" t="s">
        <v>63</v>
      </c>
      <c r="C636">
        <v>0</v>
      </c>
      <c r="D636">
        <v>1</v>
      </c>
      <c r="E636" t="str">
        <f t="shared" si="9"/>
        <v>Brice/1/7/0</v>
      </c>
    </row>
    <row r="637" spans="1:5" x14ac:dyDescent="0.2">
      <c r="A637">
        <v>1</v>
      </c>
      <c r="B637" t="s">
        <v>28</v>
      </c>
      <c r="C637">
        <v>2</v>
      </c>
      <c r="D637">
        <v>17</v>
      </c>
      <c r="E637" t="str">
        <f t="shared" si="9"/>
        <v>sobab/17/1/2</v>
      </c>
    </row>
    <row r="638" spans="1:5" x14ac:dyDescent="0.2">
      <c r="A638">
        <v>2</v>
      </c>
      <c r="B638" t="s">
        <v>18</v>
      </c>
      <c r="C638">
        <v>2</v>
      </c>
      <c r="D638">
        <v>13</v>
      </c>
      <c r="E638" t="str">
        <f t="shared" si="9"/>
        <v>MAMS/13/2/2</v>
      </c>
    </row>
    <row r="639" spans="1:5" x14ac:dyDescent="0.2">
      <c r="A639">
        <v>3</v>
      </c>
      <c r="B639" t="s">
        <v>40</v>
      </c>
      <c r="C639">
        <v>2</v>
      </c>
      <c r="D639">
        <v>9</v>
      </c>
      <c r="E639" t="str">
        <f t="shared" si="9"/>
        <v>Lén@/9/3/2</v>
      </c>
    </row>
    <row r="640" spans="1:5" x14ac:dyDescent="0.2">
      <c r="A640">
        <v>4</v>
      </c>
      <c r="B640" t="s">
        <v>32</v>
      </c>
      <c r="C640">
        <v>0</v>
      </c>
      <c r="D640">
        <v>5</v>
      </c>
      <c r="E640" t="str">
        <f t="shared" si="9"/>
        <v>OlivierN92/5/4/0</v>
      </c>
    </row>
    <row r="641" spans="1:5" x14ac:dyDescent="0.2">
      <c r="A641">
        <v>5</v>
      </c>
      <c r="B641" t="s">
        <v>15</v>
      </c>
      <c r="C641">
        <v>0</v>
      </c>
      <c r="D641">
        <v>3</v>
      </c>
      <c r="E641" t="str">
        <f t="shared" si="9"/>
        <v>LAAtof/3/5/0</v>
      </c>
    </row>
    <row r="642" spans="1:5" x14ac:dyDescent="0.2">
      <c r="A642">
        <v>6</v>
      </c>
      <c r="B642" t="s">
        <v>76</v>
      </c>
      <c r="C642">
        <v>0</v>
      </c>
      <c r="D642">
        <v>2</v>
      </c>
      <c r="E642" t="str">
        <f t="shared" ref="E642:E664" si="10">B642&amp;"/"&amp;D642&amp;"/"&amp;A642&amp;"/"&amp;C642</f>
        <v>Comment2/2/6/0</v>
      </c>
    </row>
    <row r="643" spans="1:5" x14ac:dyDescent="0.2">
      <c r="A643">
        <v>7</v>
      </c>
      <c r="B643" t="s">
        <v>27</v>
      </c>
      <c r="C643">
        <v>0</v>
      </c>
      <c r="D643">
        <v>1</v>
      </c>
      <c r="E643" t="str">
        <f t="shared" si="10"/>
        <v>Mandrake/1/7/0</v>
      </c>
    </row>
    <row r="644" spans="1:5" x14ac:dyDescent="0.2">
      <c r="A644">
        <v>1</v>
      </c>
      <c r="B644" t="s">
        <v>65</v>
      </c>
      <c r="C644">
        <v>3</v>
      </c>
      <c r="D644">
        <v>17</v>
      </c>
      <c r="E644" t="str">
        <f t="shared" si="10"/>
        <v>Ripolin/17/1/3</v>
      </c>
    </row>
    <row r="645" spans="1:5" x14ac:dyDescent="0.2">
      <c r="A645">
        <v>2</v>
      </c>
      <c r="B645" t="s">
        <v>50</v>
      </c>
      <c r="C645">
        <v>2</v>
      </c>
      <c r="D645">
        <v>13</v>
      </c>
      <c r="E645" t="str">
        <f t="shared" si="10"/>
        <v>MLADENGO/13/2/2</v>
      </c>
    </row>
    <row r="646" spans="1:5" x14ac:dyDescent="0.2">
      <c r="A646">
        <v>3</v>
      </c>
      <c r="B646" t="s">
        <v>12</v>
      </c>
      <c r="C646">
        <v>0</v>
      </c>
      <c r="D646">
        <v>9</v>
      </c>
      <c r="E646" t="str">
        <f t="shared" si="10"/>
        <v>Gnak/9/3/0</v>
      </c>
    </row>
    <row r="647" spans="1:5" x14ac:dyDescent="0.2">
      <c r="A647">
        <v>4</v>
      </c>
      <c r="B647" t="s">
        <v>26</v>
      </c>
      <c r="C647">
        <v>1</v>
      </c>
      <c r="D647">
        <v>5</v>
      </c>
      <c r="E647" t="str">
        <f t="shared" si="10"/>
        <v>LOSOGRE/5/4/1</v>
      </c>
    </row>
    <row r="648" spans="1:5" x14ac:dyDescent="0.2">
      <c r="A648">
        <v>5</v>
      </c>
      <c r="B648" t="s">
        <v>47</v>
      </c>
      <c r="C648">
        <v>0</v>
      </c>
      <c r="D648">
        <v>3</v>
      </c>
      <c r="E648" t="str">
        <f t="shared" si="10"/>
        <v>Logan/3/5/0</v>
      </c>
    </row>
    <row r="649" spans="1:5" x14ac:dyDescent="0.2">
      <c r="A649">
        <v>6</v>
      </c>
      <c r="B649" t="s">
        <v>75</v>
      </c>
      <c r="C649">
        <v>0</v>
      </c>
      <c r="D649">
        <v>2</v>
      </c>
      <c r="E649" t="str">
        <f t="shared" si="10"/>
        <v>Michelbey/2/6/0</v>
      </c>
    </row>
    <row r="650" spans="1:5" x14ac:dyDescent="0.2">
      <c r="A650">
        <v>7</v>
      </c>
      <c r="B650" t="s">
        <v>59</v>
      </c>
      <c r="C650">
        <v>0</v>
      </c>
      <c r="D650">
        <v>1</v>
      </c>
      <c r="E650" t="str">
        <f t="shared" si="10"/>
        <v>YooooDA/1/7/0</v>
      </c>
    </row>
    <row r="651" spans="1:5" x14ac:dyDescent="0.2">
      <c r="A651">
        <v>1</v>
      </c>
      <c r="B651" t="s">
        <v>6</v>
      </c>
      <c r="C651">
        <v>2</v>
      </c>
      <c r="D651">
        <v>17</v>
      </c>
      <c r="E651" t="str">
        <f t="shared" si="10"/>
        <v>Pyja/17/1/2</v>
      </c>
    </row>
    <row r="652" spans="1:5" x14ac:dyDescent="0.2">
      <c r="A652">
        <v>2</v>
      </c>
      <c r="B652" t="s">
        <v>25</v>
      </c>
      <c r="C652">
        <v>2</v>
      </c>
      <c r="D652">
        <v>13</v>
      </c>
      <c r="E652" t="str">
        <f t="shared" si="10"/>
        <v>Claudius/13/2/2</v>
      </c>
    </row>
    <row r="653" spans="1:5" x14ac:dyDescent="0.2">
      <c r="A653">
        <v>3</v>
      </c>
      <c r="B653" t="s">
        <v>88</v>
      </c>
      <c r="C653">
        <v>2</v>
      </c>
      <c r="D653">
        <v>9</v>
      </c>
      <c r="E653" t="str">
        <f t="shared" si="10"/>
        <v>Yarael/9/3/2</v>
      </c>
    </row>
    <row r="654" spans="1:5" x14ac:dyDescent="0.2">
      <c r="A654">
        <v>4</v>
      </c>
      <c r="B654" t="s">
        <v>46</v>
      </c>
      <c r="C654">
        <v>0</v>
      </c>
      <c r="D654">
        <v>5</v>
      </c>
      <c r="E654" t="str">
        <f t="shared" si="10"/>
        <v>Jérôme/5/4/0</v>
      </c>
    </row>
    <row r="655" spans="1:5" x14ac:dyDescent="0.2">
      <c r="A655">
        <v>5</v>
      </c>
      <c r="B655" t="s">
        <v>69</v>
      </c>
      <c r="C655">
        <v>0</v>
      </c>
      <c r="D655">
        <v>3</v>
      </c>
      <c r="E655" t="str">
        <f t="shared" si="10"/>
        <v>Catherine/3/5/0</v>
      </c>
    </row>
    <row r="656" spans="1:5" x14ac:dyDescent="0.2">
      <c r="A656">
        <v>6</v>
      </c>
      <c r="B656" t="s">
        <v>53</v>
      </c>
      <c r="C656">
        <v>0</v>
      </c>
      <c r="D656">
        <v>2</v>
      </c>
      <c r="E656" t="str">
        <f t="shared" si="10"/>
        <v>Makoche/2/6/0</v>
      </c>
    </row>
    <row r="657" spans="1:5" x14ac:dyDescent="0.2">
      <c r="A657">
        <v>7</v>
      </c>
      <c r="B657" t="s">
        <v>22</v>
      </c>
      <c r="C657">
        <v>0</v>
      </c>
      <c r="D657">
        <v>1</v>
      </c>
      <c r="E657" t="str">
        <f t="shared" si="10"/>
        <v>Dart 45/1/7/0</v>
      </c>
    </row>
    <row r="658" spans="1:5" x14ac:dyDescent="0.2">
      <c r="A658">
        <v>1</v>
      </c>
      <c r="B658" t="s">
        <v>87</v>
      </c>
      <c r="C658">
        <v>2</v>
      </c>
      <c r="D658">
        <v>17</v>
      </c>
      <c r="E658" t="str">
        <f t="shared" si="10"/>
        <v>Proph@ne/17/1/2</v>
      </c>
    </row>
    <row r="659" spans="1:5" x14ac:dyDescent="0.2">
      <c r="A659">
        <v>2</v>
      </c>
      <c r="B659" t="s">
        <v>68</v>
      </c>
      <c r="C659">
        <v>3</v>
      </c>
      <c r="D659">
        <v>13</v>
      </c>
      <c r="E659" t="str">
        <f t="shared" si="10"/>
        <v>zubbaz/13/2/3</v>
      </c>
    </row>
    <row r="660" spans="1:5" x14ac:dyDescent="0.2">
      <c r="A660">
        <v>3</v>
      </c>
      <c r="B660" t="s">
        <v>55</v>
      </c>
      <c r="C660">
        <v>1</v>
      </c>
      <c r="D660">
        <v>9</v>
      </c>
      <c r="E660" t="str">
        <f t="shared" si="10"/>
        <v>Bounette/9/3/1</v>
      </c>
    </row>
    <row r="661" spans="1:5" x14ac:dyDescent="0.2">
      <c r="A661">
        <v>4</v>
      </c>
      <c r="B661" t="s">
        <v>66</v>
      </c>
      <c r="C661">
        <v>0</v>
      </c>
      <c r="D661">
        <v>5</v>
      </c>
      <c r="E661" t="str">
        <f t="shared" si="10"/>
        <v>Ad Vitam/5/4/0</v>
      </c>
    </row>
    <row r="662" spans="1:5" x14ac:dyDescent="0.2">
      <c r="A662">
        <v>5</v>
      </c>
      <c r="B662" t="s">
        <v>31</v>
      </c>
      <c r="C662">
        <v>0</v>
      </c>
      <c r="D662">
        <v>3</v>
      </c>
      <c r="E662" t="str">
        <f t="shared" si="10"/>
        <v>CHRIS92340/3/5/0</v>
      </c>
    </row>
    <row r="663" spans="1:5" x14ac:dyDescent="0.2">
      <c r="A663">
        <v>6</v>
      </c>
      <c r="B663" t="s">
        <v>39</v>
      </c>
      <c r="C663">
        <v>0</v>
      </c>
      <c r="D663">
        <v>2</v>
      </c>
      <c r="E663" t="str">
        <f t="shared" si="10"/>
        <v>kheops/2/6/0</v>
      </c>
    </row>
    <row r="664" spans="1:5" x14ac:dyDescent="0.2">
      <c r="A664">
        <v>7</v>
      </c>
      <c r="B664" t="s">
        <v>45</v>
      </c>
      <c r="C664">
        <v>0</v>
      </c>
      <c r="D664">
        <v>1</v>
      </c>
      <c r="E664" t="str">
        <f t="shared" si="10"/>
        <v>yaltar/1/7/0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FDCAE-616F-8C45-902E-B5C584EE91A6}">
  <sheetPr codeName="Sheet8"/>
  <dimension ref="A1:P238"/>
  <sheetViews>
    <sheetView zoomScale="90" zoomScaleNormal="90" workbookViewId="0">
      <selection activeCell="D1" sqref="D1"/>
    </sheetView>
  </sheetViews>
  <sheetFormatPr baseColWidth="10" defaultRowHeight="16" x14ac:dyDescent="0.2"/>
  <cols>
    <col min="1" max="1" width="17.6640625" bestFit="1" customWidth="1"/>
    <col min="2" max="2" width="17.6640625" customWidth="1"/>
    <col min="3" max="3" width="5.6640625" customWidth="1"/>
    <col min="9" max="9" width="10.83203125" customWidth="1"/>
  </cols>
  <sheetData>
    <row r="1" spans="1:16" x14ac:dyDescent="0.2">
      <c r="A1" t="s">
        <v>329</v>
      </c>
      <c r="B1" t="s">
        <v>330</v>
      </c>
      <c r="D1" t="s">
        <v>2</v>
      </c>
      <c r="E1" t="s">
        <v>109</v>
      </c>
      <c r="F1" t="s">
        <v>110</v>
      </c>
      <c r="G1" t="s">
        <v>111</v>
      </c>
      <c r="H1" t="s">
        <v>112</v>
      </c>
      <c r="I1" t="s">
        <v>113</v>
      </c>
      <c r="J1" s="1" t="s">
        <v>108</v>
      </c>
      <c r="K1" s="1" t="s">
        <v>2</v>
      </c>
      <c r="L1" s="1" t="s">
        <v>109</v>
      </c>
      <c r="M1" s="1" t="s">
        <v>110</v>
      </c>
      <c r="N1" s="1" t="s">
        <v>111</v>
      </c>
      <c r="O1" s="1" t="s">
        <v>112</v>
      </c>
      <c r="P1" s="1" t="s">
        <v>113</v>
      </c>
    </row>
    <row r="2" spans="1:16" x14ac:dyDescent="0.2">
      <c r="A2">
        <f>IF(D2=K2,0,1)</f>
        <v>0</v>
      </c>
      <c r="B2">
        <f>F2-M2</f>
        <v>0</v>
      </c>
      <c r="D2" t="s">
        <v>45</v>
      </c>
      <c r="E2">
        <v>10</v>
      </c>
      <c r="F2">
        <v>128</v>
      </c>
      <c r="G2">
        <v>5</v>
      </c>
      <c r="H2">
        <v>14</v>
      </c>
      <c r="I2" t="s">
        <v>114</v>
      </c>
      <c r="J2">
        <v>1</v>
      </c>
      <c r="K2" t="s">
        <v>45</v>
      </c>
      <c r="L2">
        <v>10</v>
      </c>
      <c r="M2">
        <v>128</v>
      </c>
      <c r="N2">
        <v>5</v>
      </c>
      <c r="O2">
        <v>14</v>
      </c>
      <c r="P2" t="s">
        <v>114</v>
      </c>
    </row>
    <row r="3" spans="1:16" x14ac:dyDescent="0.2">
      <c r="A3">
        <f t="shared" ref="A3:A66" si="0">IF(D3=K3,0,1)</f>
        <v>0</v>
      </c>
      <c r="B3">
        <f t="shared" ref="B3:B66" si="1">F3-M3</f>
        <v>0</v>
      </c>
      <c r="D3" t="s">
        <v>6</v>
      </c>
      <c r="E3">
        <v>10</v>
      </c>
      <c r="F3">
        <v>121</v>
      </c>
      <c r="G3">
        <v>5</v>
      </c>
      <c r="H3">
        <v>9</v>
      </c>
      <c r="I3" t="s">
        <v>115</v>
      </c>
      <c r="J3">
        <v>2</v>
      </c>
      <c r="K3" t="s">
        <v>6</v>
      </c>
      <c r="L3">
        <v>10</v>
      </c>
      <c r="M3">
        <v>121</v>
      </c>
      <c r="N3">
        <v>5</v>
      </c>
      <c r="O3">
        <v>9</v>
      </c>
      <c r="P3" t="s">
        <v>115</v>
      </c>
    </row>
    <row r="4" spans="1:16" x14ac:dyDescent="0.2">
      <c r="A4">
        <f t="shared" si="0"/>
        <v>0</v>
      </c>
      <c r="B4">
        <f t="shared" si="1"/>
        <v>1</v>
      </c>
      <c r="D4" t="s">
        <v>50</v>
      </c>
      <c r="E4">
        <v>10</v>
      </c>
      <c r="F4">
        <v>112</v>
      </c>
      <c r="G4">
        <v>3</v>
      </c>
      <c r="H4">
        <v>13</v>
      </c>
      <c r="I4" t="s">
        <v>338</v>
      </c>
      <c r="J4">
        <v>3</v>
      </c>
      <c r="K4" t="s">
        <v>50</v>
      </c>
      <c r="L4">
        <v>10</v>
      </c>
      <c r="M4">
        <v>111</v>
      </c>
      <c r="N4">
        <v>3</v>
      </c>
      <c r="O4">
        <v>14</v>
      </c>
      <c r="P4" t="s">
        <v>116</v>
      </c>
    </row>
    <row r="5" spans="1:16" x14ac:dyDescent="0.2">
      <c r="A5">
        <f t="shared" si="0"/>
        <v>0</v>
      </c>
      <c r="B5">
        <f t="shared" si="1"/>
        <v>1</v>
      </c>
      <c r="D5" t="s">
        <v>54</v>
      </c>
      <c r="E5">
        <v>10</v>
      </c>
      <c r="F5">
        <v>110</v>
      </c>
      <c r="G5">
        <v>2</v>
      </c>
      <c r="H5">
        <v>11</v>
      </c>
      <c r="I5" t="s">
        <v>319</v>
      </c>
      <c r="J5">
        <v>4</v>
      </c>
      <c r="K5" t="s">
        <v>54</v>
      </c>
      <c r="L5">
        <v>10</v>
      </c>
      <c r="M5">
        <v>109</v>
      </c>
      <c r="N5">
        <v>2</v>
      </c>
      <c r="O5">
        <v>12</v>
      </c>
      <c r="P5" t="s">
        <v>117</v>
      </c>
    </row>
    <row r="6" spans="1:16" x14ac:dyDescent="0.2">
      <c r="A6">
        <f t="shared" si="0"/>
        <v>0</v>
      </c>
      <c r="B6">
        <f t="shared" si="1"/>
        <v>0</v>
      </c>
      <c r="D6" t="s">
        <v>77</v>
      </c>
      <c r="E6">
        <v>10</v>
      </c>
      <c r="F6">
        <v>106</v>
      </c>
      <c r="G6">
        <v>5</v>
      </c>
      <c r="H6">
        <v>15</v>
      </c>
      <c r="I6" t="s">
        <v>118</v>
      </c>
      <c r="J6">
        <v>5</v>
      </c>
      <c r="K6" t="s">
        <v>77</v>
      </c>
      <c r="L6">
        <v>10</v>
      </c>
      <c r="M6">
        <v>106</v>
      </c>
      <c r="N6">
        <v>5</v>
      </c>
      <c r="O6">
        <v>15</v>
      </c>
      <c r="P6" t="s">
        <v>118</v>
      </c>
    </row>
    <row r="7" spans="1:16" x14ac:dyDescent="0.2">
      <c r="A7">
        <f t="shared" si="0"/>
        <v>0</v>
      </c>
      <c r="B7">
        <f t="shared" si="1"/>
        <v>0</v>
      </c>
      <c r="D7" t="s">
        <v>59</v>
      </c>
      <c r="E7">
        <v>10</v>
      </c>
      <c r="F7">
        <v>103</v>
      </c>
      <c r="G7">
        <v>3</v>
      </c>
      <c r="H7">
        <v>11</v>
      </c>
      <c r="I7" t="s">
        <v>119</v>
      </c>
      <c r="J7">
        <v>6</v>
      </c>
      <c r="K7" t="s">
        <v>59</v>
      </c>
      <c r="L7">
        <v>10</v>
      </c>
      <c r="M7">
        <v>103</v>
      </c>
      <c r="N7">
        <v>3</v>
      </c>
      <c r="O7">
        <v>11</v>
      </c>
      <c r="P7" t="s">
        <v>119</v>
      </c>
    </row>
    <row r="8" spans="1:16" x14ac:dyDescent="0.2">
      <c r="A8">
        <f t="shared" si="0"/>
        <v>0</v>
      </c>
      <c r="B8">
        <f t="shared" si="1"/>
        <v>0</v>
      </c>
      <c r="D8" t="s">
        <v>55</v>
      </c>
      <c r="E8">
        <v>10</v>
      </c>
      <c r="F8">
        <v>101</v>
      </c>
      <c r="G8">
        <v>2</v>
      </c>
      <c r="H8">
        <v>12</v>
      </c>
      <c r="I8" t="s">
        <v>120</v>
      </c>
      <c r="J8">
        <v>7</v>
      </c>
      <c r="K8" t="s">
        <v>55</v>
      </c>
      <c r="L8">
        <v>10</v>
      </c>
      <c r="M8">
        <v>101</v>
      </c>
      <c r="N8">
        <v>2</v>
      </c>
      <c r="O8">
        <v>12</v>
      </c>
      <c r="P8" t="s">
        <v>120</v>
      </c>
    </row>
    <row r="9" spans="1:16" x14ac:dyDescent="0.2">
      <c r="A9">
        <f t="shared" si="0"/>
        <v>1</v>
      </c>
      <c r="B9">
        <f t="shared" si="1"/>
        <v>1</v>
      </c>
      <c r="D9" t="s">
        <v>25</v>
      </c>
      <c r="E9">
        <v>10</v>
      </c>
      <c r="F9">
        <v>101</v>
      </c>
      <c r="G9">
        <v>2</v>
      </c>
      <c r="H9">
        <v>11</v>
      </c>
      <c r="I9" t="s">
        <v>120</v>
      </c>
      <c r="J9">
        <v>8</v>
      </c>
      <c r="K9" t="s">
        <v>12</v>
      </c>
      <c r="L9">
        <v>10</v>
      </c>
      <c r="M9">
        <v>100</v>
      </c>
      <c r="N9">
        <v>3</v>
      </c>
      <c r="O9">
        <v>16</v>
      </c>
      <c r="P9">
        <v>10</v>
      </c>
    </row>
    <row r="10" spans="1:16" x14ac:dyDescent="0.2">
      <c r="A10">
        <f t="shared" si="0"/>
        <v>1</v>
      </c>
      <c r="B10">
        <f t="shared" si="1"/>
        <v>0</v>
      </c>
      <c r="D10" t="s">
        <v>12</v>
      </c>
      <c r="E10">
        <v>10</v>
      </c>
      <c r="F10">
        <v>100</v>
      </c>
      <c r="G10">
        <v>3</v>
      </c>
      <c r="H10">
        <v>16</v>
      </c>
      <c r="I10" t="s">
        <v>309</v>
      </c>
      <c r="J10">
        <v>9</v>
      </c>
      <c r="K10" t="s">
        <v>25</v>
      </c>
      <c r="L10">
        <v>10</v>
      </c>
      <c r="M10">
        <v>100</v>
      </c>
      <c r="N10">
        <v>2</v>
      </c>
      <c r="O10">
        <v>11</v>
      </c>
      <c r="P10">
        <v>10</v>
      </c>
    </row>
    <row r="11" spans="1:16" x14ac:dyDescent="0.2">
      <c r="A11">
        <f t="shared" si="0"/>
        <v>0</v>
      </c>
      <c r="B11">
        <f t="shared" si="1"/>
        <v>0</v>
      </c>
      <c r="D11" t="s">
        <v>8</v>
      </c>
      <c r="E11">
        <v>10</v>
      </c>
      <c r="F11">
        <v>99</v>
      </c>
      <c r="G11">
        <v>4</v>
      </c>
      <c r="H11">
        <v>11</v>
      </c>
      <c r="I11" t="s">
        <v>121</v>
      </c>
      <c r="J11">
        <v>10</v>
      </c>
      <c r="K11" t="s">
        <v>8</v>
      </c>
      <c r="L11">
        <v>10</v>
      </c>
      <c r="M11">
        <v>99</v>
      </c>
      <c r="N11">
        <v>4</v>
      </c>
      <c r="O11">
        <v>11</v>
      </c>
      <c r="P11" t="s">
        <v>121</v>
      </c>
    </row>
    <row r="12" spans="1:16" x14ac:dyDescent="0.2">
      <c r="A12">
        <f t="shared" si="0"/>
        <v>0</v>
      </c>
      <c r="B12">
        <f t="shared" si="1"/>
        <v>0</v>
      </c>
      <c r="D12" t="s">
        <v>14</v>
      </c>
      <c r="E12">
        <v>10</v>
      </c>
      <c r="F12">
        <v>98</v>
      </c>
      <c r="G12">
        <v>4</v>
      </c>
      <c r="H12">
        <v>11</v>
      </c>
      <c r="I12" t="s">
        <v>122</v>
      </c>
      <c r="J12">
        <v>11</v>
      </c>
      <c r="K12" t="s">
        <v>14</v>
      </c>
      <c r="L12">
        <v>10</v>
      </c>
      <c r="M12">
        <v>98</v>
      </c>
      <c r="N12">
        <v>4</v>
      </c>
      <c r="O12">
        <v>11</v>
      </c>
      <c r="P12" t="s">
        <v>122</v>
      </c>
    </row>
    <row r="13" spans="1:16" x14ac:dyDescent="0.2">
      <c r="A13">
        <f t="shared" si="0"/>
        <v>0</v>
      </c>
      <c r="B13">
        <f t="shared" si="1"/>
        <v>0</v>
      </c>
      <c r="D13" t="s">
        <v>52</v>
      </c>
      <c r="E13">
        <v>10</v>
      </c>
      <c r="F13">
        <v>96</v>
      </c>
      <c r="G13">
        <v>5</v>
      </c>
      <c r="H13">
        <v>18</v>
      </c>
      <c r="I13" t="s">
        <v>123</v>
      </c>
      <c r="J13">
        <v>12</v>
      </c>
      <c r="K13" t="s">
        <v>52</v>
      </c>
      <c r="L13">
        <v>10</v>
      </c>
      <c r="M13">
        <v>96</v>
      </c>
      <c r="N13">
        <v>5</v>
      </c>
      <c r="O13">
        <v>18</v>
      </c>
      <c r="P13" t="s">
        <v>123</v>
      </c>
    </row>
    <row r="14" spans="1:16" x14ac:dyDescent="0.2">
      <c r="A14">
        <f t="shared" si="0"/>
        <v>0</v>
      </c>
      <c r="B14">
        <f t="shared" si="1"/>
        <v>0</v>
      </c>
      <c r="D14" t="s">
        <v>42</v>
      </c>
      <c r="E14">
        <v>10</v>
      </c>
      <c r="F14">
        <v>96</v>
      </c>
      <c r="G14">
        <v>4</v>
      </c>
      <c r="H14">
        <v>17</v>
      </c>
      <c r="I14" t="s">
        <v>123</v>
      </c>
      <c r="J14">
        <v>13</v>
      </c>
      <c r="K14" t="s">
        <v>42</v>
      </c>
      <c r="L14">
        <v>10</v>
      </c>
      <c r="M14">
        <v>96</v>
      </c>
      <c r="N14">
        <v>4</v>
      </c>
      <c r="O14">
        <v>17</v>
      </c>
      <c r="P14" t="s">
        <v>123</v>
      </c>
    </row>
    <row r="15" spans="1:16" x14ac:dyDescent="0.2">
      <c r="A15">
        <f t="shared" si="0"/>
        <v>0</v>
      </c>
      <c r="B15">
        <f t="shared" si="1"/>
        <v>0</v>
      </c>
      <c r="D15" t="s">
        <v>18</v>
      </c>
      <c r="E15">
        <v>10</v>
      </c>
      <c r="F15">
        <v>88</v>
      </c>
      <c r="G15">
        <v>1</v>
      </c>
      <c r="H15">
        <v>11</v>
      </c>
      <c r="I15" t="s">
        <v>124</v>
      </c>
      <c r="J15">
        <v>14</v>
      </c>
      <c r="K15" t="s">
        <v>18</v>
      </c>
      <c r="L15">
        <v>10</v>
      </c>
      <c r="M15">
        <v>88</v>
      </c>
      <c r="N15">
        <v>1</v>
      </c>
      <c r="O15">
        <v>11</v>
      </c>
      <c r="P15" t="s">
        <v>124</v>
      </c>
    </row>
    <row r="16" spans="1:16" x14ac:dyDescent="0.2">
      <c r="A16">
        <f t="shared" si="0"/>
        <v>0</v>
      </c>
      <c r="B16">
        <f t="shared" si="1"/>
        <v>0</v>
      </c>
      <c r="D16" t="s">
        <v>60</v>
      </c>
      <c r="E16">
        <v>8</v>
      </c>
      <c r="F16">
        <v>87</v>
      </c>
      <c r="G16">
        <v>3</v>
      </c>
      <c r="H16">
        <v>15</v>
      </c>
      <c r="I16" t="s">
        <v>331</v>
      </c>
      <c r="J16">
        <v>15</v>
      </c>
      <c r="K16" t="s">
        <v>60</v>
      </c>
      <c r="L16">
        <v>8</v>
      </c>
      <c r="M16">
        <v>87</v>
      </c>
      <c r="N16">
        <v>3</v>
      </c>
      <c r="O16">
        <v>15</v>
      </c>
      <c r="P16" t="s">
        <v>125</v>
      </c>
    </row>
    <row r="17" spans="1:16" x14ac:dyDescent="0.2">
      <c r="A17">
        <f t="shared" si="0"/>
        <v>0</v>
      </c>
      <c r="B17">
        <f t="shared" si="1"/>
        <v>0</v>
      </c>
      <c r="D17" t="s">
        <v>26</v>
      </c>
      <c r="E17">
        <v>10</v>
      </c>
      <c r="F17">
        <v>87</v>
      </c>
      <c r="G17">
        <v>2</v>
      </c>
      <c r="H17">
        <v>9</v>
      </c>
      <c r="I17" t="s">
        <v>126</v>
      </c>
      <c r="J17">
        <v>16</v>
      </c>
      <c r="K17" t="s">
        <v>26</v>
      </c>
      <c r="L17">
        <v>10</v>
      </c>
      <c r="M17">
        <v>87</v>
      </c>
      <c r="N17">
        <v>2</v>
      </c>
      <c r="O17">
        <v>9</v>
      </c>
      <c r="P17" t="s">
        <v>126</v>
      </c>
    </row>
    <row r="18" spans="1:16" x14ac:dyDescent="0.2">
      <c r="A18">
        <f t="shared" si="0"/>
        <v>0</v>
      </c>
      <c r="B18">
        <f t="shared" si="1"/>
        <v>1</v>
      </c>
      <c r="D18" t="s">
        <v>46</v>
      </c>
      <c r="E18">
        <v>10</v>
      </c>
      <c r="F18">
        <v>86</v>
      </c>
      <c r="G18">
        <v>0</v>
      </c>
      <c r="H18">
        <v>7</v>
      </c>
      <c r="I18" t="s">
        <v>339</v>
      </c>
      <c r="J18">
        <v>17</v>
      </c>
      <c r="K18" t="s">
        <v>46</v>
      </c>
      <c r="L18">
        <v>10</v>
      </c>
      <c r="M18">
        <v>85</v>
      </c>
      <c r="N18">
        <v>0</v>
      </c>
      <c r="O18">
        <v>7</v>
      </c>
      <c r="P18" t="s">
        <v>127</v>
      </c>
    </row>
    <row r="19" spans="1:16" x14ac:dyDescent="0.2">
      <c r="A19">
        <f t="shared" si="0"/>
        <v>0</v>
      </c>
      <c r="B19">
        <f t="shared" si="1"/>
        <v>0</v>
      </c>
      <c r="D19" t="s">
        <v>75</v>
      </c>
      <c r="E19">
        <v>10</v>
      </c>
      <c r="F19">
        <v>83</v>
      </c>
      <c r="G19">
        <v>2</v>
      </c>
      <c r="H19">
        <v>10</v>
      </c>
      <c r="I19" t="s">
        <v>128</v>
      </c>
      <c r="J19">
        <v>18</v>
      </c>
      <c r="K19" t="s">
        <v>75</v>
      </c>
      <c r="L19">
        <v>10</v>
      </c>
      <c r="M19">
        <v>83</v>
      </c>
      <c r="N19">
        <v>2</v>
      </c>
      <c r="O19">
        <v>10</v>
      </c>
      <c r="P19" t="s">
        <v>128</v>
      </c>
    </row>
    <row r="20" spans="1:16" x14ac:dyDescent="0.2">
      <c r="A20">
        <f t="shared" si="0"/>
        <v>0</v>
      </c>
      <c r="B20">
        <f t="shared" si="1"/>
        <v>0</v>
      </c>
      <c r="D20" t="s">
        <v>23</v>
      </c>
      <c r="E20">
        <v>10</v>
      </c>
      <c r="F20">
        <v>82</v>
      </c>
      <c r="G20">
        <v>3</v>
      </c>
      <c r="H20">
        <v>7</v>
      </c>
      <c r="I20" t="s">
        <v>129</v>
      </c>
      <c r="J20">
        <v>19</v>
      </c>
      <c r="K20" t="s">
        <v>23</v>
      </c>
      <c r="L20">
        <v>10</v>
      </c>
      <c r="M20">
        <v>82</v>
      </c>
      <c r="N20">
        <v>3</v>
      </c>
      <c r="O20">
        <v>7</v>
      </c>
      <c r="P20" t="s">
        <v>129</v>
      </c>
    </row>
    <row r="21" spans="1:16" x14ac:dyDescent="0.2">
      <c r="A21">
        <f t="shared" si="0"/>
        <v>0</v>
      </c>
      <c r="B21">
        <f t="shared" si="1"/>
        <v>0</v>
      </c>
      <c r="D21" t="s">
        <v>28</v>
      </c>
      <c r="E21">
        <v>10</v>
      </c>
      <c r="F21">
        <v>82</v>
      </c>
      <c r="G21">
        <v>2</v>
      </c>
      <c r="H21">
        <v>11</v>
      </c>
      <c r="I21" t="s">
        <v>129</v>
      </c>
      <c r="J21">
        <v>20</v>
      </c>
      <c r="K21" t="s">
        <v>28</v>
      </c>
      <c r="L21">
        <v>10</v>
      </c>
      <c r="M21">
        <v>82</v>
      </c>
      <c r="N21">
        <v>2</v>
      </c>
      <c r="O21">
        <v>11</v>
      </c>
      <c r="P21" t="s">
        <v>129</v>
      </c>
    </row>
    <row r="22" spans="1:16" x14ac:dyDescent="0.2">
      <c r="A22">
        <f t="shared" si="0"/>
        <v>0</v>
      </c>
      <c r="B22">
        <f t="shared" si="1"/>
        <v>0</v>
      </c>
      <c r="D22" t="s">
        <v>15</v>
      </c>
      <c r="E22">
        <v>10</v>
      </c>
      <c r="F22">
        <v>81</v>
      </c>
      <c r="G22">
        <v>1</v>
      </c>
      <c r="H22">
        <v>8</v>
      </c>
      <c r="I22" t="s">
        <v>130</v>
      </c>
      <c r="J22">
        <v>21</v>
      </c>
      <c r="K22" t="s">
        <v>15</v>
      </c>
      <c r="L22">
        <v>10</v>
      </c>
      <c r="M22">
        <v>81</v>
      </c>
      <c r="N22">
        <v>1</v>
      </c>
      <c r="O22">
        <v>8</v>
      </c>
      <c r="P22" t="s">
        <v>130</v>
      </c>
    </row>
    <row r="23" spans="1:16" x14ac:dyDescent="0.2">
      <c r="A23">
        <f t="shared" si="0"/>
        <v>0</v>
      </c>
      <c r="B23">
        <f t="shared" si="1"/>
        <v>0</v>
      </c>
      <c r="D23" t="s">
        <v>68</v>
      </c>
      <c r="E23">
        <v>10</v>
      </c>
      <c r="F23">
        <v>80</v>
      </c>
      <c r="G23">
        <v>2</v>
      </c>
      <c r="H23">
        <v>11</v>
      </c>
      <c r="I23" t="s">
        <v>311</v>
      </c>
      <c r="J23">
        <v>22</v>
      </c>
      <c r="K23" t="s">
        <v>68</v>
      </c>
      <c r="L23">
        <v>10</v>
      </c>
      <c r="M23">
        <v>80</v>
      </c>
      <c r="N23">
        <v>2</v>
      </c>
      <c r="O23">
        <v>11</v>
      </c>
      <c r="P23">
        <v>8</v>
      </c>
    </row>
    <row r="24" spans="1:16" x14ac:dyDescent="0.2">
      <c r="A24">
        <f t="shared" si="0"/>
        <v>0</v>
      </c>
      <c r="B24">
        <f t="shared" si="1"/>
        <v>1</v>
      </c>
      <c r="D24" t="s">
        <v>31</v>
      </c>
      <c r="E24">
        <v>10</v>
      </c>
      <c r="F24">
        <v>79</v>
      </c>
      <c r="G24">
        <v>2</v>
      </c>
      <c r="H24">
        <v>9</v>
      </c>
      <c r="I24" t="s">
        <v>340</v>
      </c>
      <c r="J24">
        <v>23</v>
      </c>
      <c r="K24" t="s">
        <v>31</v>
      </c>
      <c r="L24">
        <v>10</v>
      </c>
      <c r="M24">
        <v>78</v>
      </c>
      <c r="N24">
        <v>2</v>
      </c>
      <c r="O24">
        <v>9</v>
      </c>
      <c r="P24" t="s">
        <v>131</v>
      </c>
    </row>
    <row r="25" spans="1:16" x14ac:dyDescent="0.2">
      <c r="A25">
        <f t="shared" si="0"/>
        <v>0</v>
      </c>
      <c r="B25">
        <f t="shared" si="1"/>
        <v>1</v>
      </c>
      <c r="D25" t="s">
        <v>39</v>
      </c>
      <c r="E25">
        <v>10</v>
      </c>
      <c r="F25">
        <v>78</v>
      </c>
      <c r="G25">
        <v>2</v>
      </c>
      <c r="H25">
        <v>9</v>
      </c>
      <c r="I25" t="s">
        <v>131</v>
      </c>
      <c r="J25">
        <v>24</v>
      </c>
      <c r="K25" t="s">
        <v>39</v>
      </c>
      <c r="L25">
        <v>10</v>
      </c>
      <c r="M25">
        <v>77</v>
      </c>
      <c r="N25">
        <v>2</v>
      </c>
      <c r="O25">
        <v>9</v>
      </c>
      <c r="P25" t="s">
        <v>132</v>
      </c>
    </row>
    <row r="26" spans="1:16" x14ac:dyDescent="0.2">
      <c r="A26">
        <f t="shared" si="0"/>
        <v>0</v>
      </c>
      <c r="B26">
        <f t="shared" si="1"/>
        <v>0</v>
      </c>
      <c r="D26" t="s">
        <v>27</v>
      </c>
      <c r="E26">
        <v>10</v>
      </c>
      <c r="F26">
        <v>77</v>
      </c>
      <c r="G26">
        <v>1</v>
      </c>
      <c r="H26">
        <v>11</v>
      </c>
      <c r="I26" t="s">
        <v>132</v>
      </c>
      <c r="J26">
        <v>25</v>
      </c>
      <c r="K26" t="s">
        <v>27</v>
      </c>
      <c r="L26">
        <v>10</v>
      </c>
      <c r="M26">
        <v>77</v>
      </c>
      <c r="N26">
        <v>1</v>
      </c>
      <c r="O26">
        <v>11</v>
      </c>
      <c r="P26" t="s">
        <v>132</v>
      </c>
    </row>
    <row r="27" spans="1:16" x14ac:dyDescent="0.2">
      <c r="A27">
        <f t="shared" si="0"/>
        <v>0</v>
      </c>
      <c r="B27">
        <f t="shared" si="1"/>
        <v>1</v>
      </c>
      <c r="D27" t="s">
        <v>32</v>
      </c>
      <c r="E27">
        <v>10</v>
      </c>
      <c r="F27">
        <v>76</v>
      </c>
      <c r="G27">
        <v>2</v>
      </c>
      <c r="H27">
        <v>8</v>
      </c>
      <c r="I27" t="s">
        <v>154</v>
      </c>
      <c r="J27">
        <v>26</v>
      </c>
      <c r="K27" t="s">
        <v>32</v>
      </c>
      <c r="L27">
        <v>10</v>
      </c>
      <c r="M27">
        <v>75</v>
      </c>
      <c r="N27">
        <v>2</v>
      </c>
      <c r="O27">
        <v>8</v>
      </c>
      <c r="P27" t="s">
        <v>133</v>
      </c>
    </row>
    <row r="28" spans="1:16" x14ac:dyDescent="0.2">
      <c r="A28">
        <f t="shared" si="0"/>
        <v>1</v>
      </c>
      <c r="B28">
        <f t="shared" si="1"/>
        <v>1</v>
      </c>
      <c r="D28" t="s">
        <v>73</v>
      </c>
      <c r="E28">
        <v>10</v>
      </c>
      <c r="F28">
        <v>75</v>
      </c>
      <c r="G28">
        <v>1</v>
      </c>
      <c r="H28">
        <v>8</v>
      </c>
      <c r="I28" t="s">
        <v>133</v>
      </c>
      <c r="J28">
        <v>27</v>
      </c>
      <c r="K28" t="s">
        <v>35</v>
      </c>
      <c r="L28">
        <v>10</v>
      </c>
      <c r="M28">
        <v>74</v>
      </c>
      <c r="N28">
        <v>2</v>
      </c>
      <c r="O28">
        <v>7</v>
      </c>
      <c r="P28" t="s">
        <v>134</v>
      </c>
    </row>
    <row r="29" spans="1:16" x14ac:dyDescent="0.2">
      <c r="A29">
        <f t="shared" si="0"/>
        <v>1</v>
      </c>
      <c r="B29">
        <f t="shared" si="1"/>
        <v>0</v>
      </c>
      <c r="D29" t="s">
        <v>35</v>
      </c>
      <c r="E29">
        <v>10</v>
      </c>
      <c r="F29">
        <v>74</v>
      </c>
      <c r="G29">
        <v>2</v>
      </c>
      <c r="H29">
        <v>7</v>
      </c>
      <c r="I29" t="s">
        <v>134</v>
      </c>
      <c r="J29">
        <v>28</v>
      </c>
      <c r="K29" t="s">
        <v>87</v>
      </c>
      <c r="L29">
        <v>10</v>
      </c>
      <c r="M29">
        <v>74</v>
      </c>
      <c r="N29">
        <v>2</v>
      </c>
      <c r="O29">
        <v>6</v>
      </c>
      <c r="P29" t="s">
        <v>134</v>
      </c>
    </row>
    <row r="30" spans="1:16" x14ac:dyDescent="0.2">
      <c r="A30">
        <f t="shared" si="0"/>
        <v>1</v>
      </c>
      <c r="B30">
        <f t="shared" si="1"/>
        <v>0</v>
      </c>
      <c r="D30" t="s">
        <v>87</v>
      </c>
      <c r="E30">
        <v>10</v>
      </c>
      <c r="F30">
        <v>74</v>
      </c>
      <c r="G30">
        <v>2</v>
      </c>
      <c r="H30">
        <v>6</v>
      </c>
      <c r="I30" t="s">
        <v>134</v>
      </c>
      <c r="J30">
        <v>29</v>
      </c>
      <c r="K30" t="s">
        <v>73</v>
      </c>
      <c r="L30">
        <v>10</v>
      </c>
      <c r="M30">
        <v>74</v>
      </c>
      <c r="N30">
        <v>1</v>
      </c>
      <c r="O30">
        <v>8</v>
      </c>
      <c r="P30" t="s">
        <v>134</v>
      </c>
    </row>
    <row r="31" spans="1:16" x14ac:dyDescent="0.2">
      <c r="A31">
        <f t="shared" si="0"/>
        <v>0</v>
      </c>
      <c r="B31">
        <f t="shared" si="1"/>
        <v>0</v>
      </c>
      <c r="D31" t="s">
        <v>41</v>
      </c>
      <c r="E31">
        <v>10</v>
      </c>
      <c r="F31">
        <v>73</v>
      </c>
      <c r="G31">
        <v>1</v>
      </c>
      <c r="H31">
        <v>5</v>
      </c>
      <c r="I31" t="s">
        <v>135</v>
      </c>
      <c r="J31">
        <v>30</v>
      </c>
      <c r="K31" t="s">
        <v>41</v>
      </c>
      <c r="L31">
        <v>10</v>
      </c>
      <c r="M31">
        <v>73</v>
      </c>
      <c r="N31">
        <v>1</v>
      </c>
      <c r="O31">
        <v>5</v>
      </c>
      <c r="P31" t="s">
        <v>135</v>
      </c>
    </row>
    <row r="32" spans="1:16" x14ac:dyDescent="0.2">
      <c r="A32">
        <f t="shared" si="0"/>
        <v>0</v>
      </c>
      <c r="B32">
        <f t="shared" si="1"/>
        <v>0</v>
      </c>
      <c r="D32" t="s">
        <v>48</v>
      </c>
      <c r="E32">
        <v>9</v>
      </c>
      <c r="F32">
        <v>72</v>
      </c>
      <c r="G32">
        <v>2</v>
      </c>
      <c r="H32">
        <v>14</v>
      </c>
      <c r="I32" t="s">
        <v>311</v>
      </c>
      <c r="J32">
        <v>31</v>
      </c>
      <c r="K32" t="s">
        <v>48</v>
      </c>
      <c r="L32">
        <v>9</v>
      </c>
      <c r="M32">
        <v>72</v>
      </c>
      <c r="N32">
        <v>2</v>
      </c>
      <c r="O32">
        <v>14</v>
      </c>
      <c r="P32">
        <v>8</v>
      </c>
    </row>
    <row r="33" spans="1:16" x14ac:dyDescent="0.2">
      <c r="A33">
        <f t="shared" si="0"/>
        <v>0</v>
      </c>
      <c r="B33">
        <f t="shared" si="1"/>
        <v>0</v>
      </c>
      <c r="D33" t="s">
        <v>66</v>
      </c>
      <c r="E33">
        <v>10</v>
      </c>
      <c r="F33">
        <v>72</v>
      </c>
      <c r="G33">
        <v>1</v>
      </c>
      <c r="H33">
        <v>8</v>
      </c>
      <c r="I33" t="s">
        <v>136</v>
      </c>
      <c r="J33">
        <v>32</v>
      </c>
      <c r="K33" t="s">
        <v>66</v>
      </c>
      <c r="L33">
        <v>10</v>
      </c>
      <c r="M33">
        <v>72</v>
      </c>
      <c r="N33">
        <v>1</v>
      </c>
      <c r="O33">
        <v>8</v>
      </c>
      <c r="P33" t="s">
        <v>136</v>
      </c>
    </row>
    <row r="34" spans="1:16" x14ac:dyDescent="0.2">
      <c r="A34">
        <f t="shared" si="0"/>
        <v>0</v>
      </c>
      <c r="B34">
        <f t="shared" si="1"/>
        <v>0</v>
      </c>
      <c r="D34" t="s">
        <v>47</v>
      </c>
      <c r="E34">
        <v>10</v>
      </c>
      <c r="F34">
        <v>70</v>
      </c>
      <c r="G34">
        <v>2</v>
      </c>
      <c r="H34">
        <v>9</v>
      </c>
      <c r="I34" t="s">
        <v>313</v>
      </c>
      <c r="J34">
        <v>33</v>
      </c>
      <c r="K34" t="s">
        <v>47</v>
      </c>
      <c r="L34">
        <v>10</v>
      </c>
      <c r="M34">
        <v>70</v>
      </c>
      <c r="N34">
        <v>2</v>
      </c>
      <c r="O34">
        <v>9</v>
      </c>
      <c r="P34">
        <v>7</v>
      </c>
    </row>
    <row r="35" spans="1:16" x14ac:dyDescent="0.2">
      <c r="A35">
        <f t="shared" si="0"/>
        <v>1</v>
      </c>
      <c r="B35">
        <f t="shared" si="1"/>
        <v>1</v>
      </c>
      <c r="D35" t="s">
        <v>74</v>
      </c>
      <c r="E35">
        <v>10</v>
      </c>
      <c r="F35">
        <v>68</v>
      </c>
      <c r="G35">
        <v>1</v>
      </c>
      <c r="H35">
        <v>8</v>
      </c>
      <c r="I35" t="s">
        <v>341</v>
      </c>
      <c r="J35">
        <v>34</v>
      </c>
      <c r="K35" t="s">
        <v>38</v>
      </c>
      <c r="L35">
        <v>6</v>
      </c>
      <c r="M35">
        <v>67</v>
      </c>
      <c r="N35">
        <v>3</v>
      </c>
      <c r="O35">
        <v>10</v>
      </c>
      <c r="P35" t="s">
        <v>137</v>
      </c>
    </row>
    <row r="36" spans="1:16" x14ac:dyDescent="0.2">
      <c r="A36">
        <f t="shared" si="0"/>
        <v>1</v>
      </c>
      <c r="B36">
        <f t="shared" si="1"/>
        <v>0</v>
      </c>
      <c r="D36" t="s">
        <v>38</v>
      </c>
      <c r="E36">
        <v>6</v>
      </c>
      <c r="F36">
        <v>67</v>
      </c>
      <c r="G36">
        <v>3</v>
      </c>
      <c r="H36">
        <v>10</v>
      </c>
      <c r="I36" t="s">
        <v>332</v>
      </c>
      <c r="J36">
        <v>35</v>
      </c>
      <c r="K36" t="s">
        <v>65</v>
      </c>
      <c r="L36">
        <v>9</v>
      </c>
      <c r="M36">
        <v>67</v>
      </c>
      <c r="N36">
        <v>3</v>
      </c>
      <c r="O36">
        <v>9</v>
      </c>
      <c r="P36" t="s">
        <v>138</v>
      </c>
    </row>
    <row r="37" spans="1:16" x14ac:dyDescent="0.2">
      <c r="A37">
        <f t="shared" si="0"/>
        <v>1</v>
      </c>
      <c r="B37">
        <f t="shared" si="1"/>
        <v>0</v>
      </c>
      <c r="D37" t="s">
        <v>65</v>
      </c>
      <c r="E37">
        <v>9</v>
      </c>
      <c r="F37">
        <v>67</v>
      </c>
      <c r="G37">
        <v>3</v>
      </c>
      <c r="H37">
        <v>9</v>
      </c>
      <c r="I37" t="s">
        <v>333</v>
      </c>
      <c r="J37">
        <v>36</v>
      </c>
      <c r="K37" t="s">
        <v>74</v>
      </c>
      <c r="L37">
        <v>10</v>
      </c>
      <c r="M37">
        <v>67</v>
      </c>
      <c r="N37">
        <v>1</v>
      </c>
      <c r="O37">
        <v>8</v>
      </c>
      <c r="P37" t="s">
        <v>139</v>
      </c>
    </row>
    <row r="38" spans="1:16" x14ac:dyDescent="0.2">
      <c r="A38">
        <f t="shared" si="0"/>
        <v>0</v>
      </c>
      <c r="B38">
        <f t="shared" si="1"/>
        <v>0</v>
      </c>
      <c r="D38" t="s">
        <v>76</v>
      </c>
      <c r="E38">
        <v>9</v>
      </c>
      <c r="F38">
        <v>66</v>
      </c>
      <c r="G38">
        <v>3</v>
      </c>
      <c r="H38">
        <v>8</v>
      </c>
      <c r="I38" t="s">
        <v>334</v>
      </c>
      <c r="J38">
        <v>37</v>
      </c>
      <c r="K38" t="s">
        <v>76</v>
      </c>
      <c r="L38">
        <v>9</v>
      </c>
      <c r="M38">
        <v>66</v>
      </c>
      <c r="N38">
        <v>3</v>
      </c>
      <c r="O38">
        <v>8</v>
      </c>
      <c r="P38" t="s">
        <v>140</v>
      </c>
    </row>
    <row r="39" spans="1:16" x14ac:dyDescent="0.2">
      <c r="A39">
        <f t="shared" si="0"/>
        <v>0</v>
      </c>
      <c r="B39">
        <f t="shared" si="1"/>
        <v>0</v>
      </c>
      <c r="D39" t="s">
        <v>33</v>
      </c>
      <c r="E39">
        <v>10</v>
      </c>
      <c r="F39">
        <v>66</v>
      </c>
      <c r="G39">
        <v>1</v>
      </c>
      <c r="H39">
        <v>3</v>
      </c>
      <c r="I39" t="s">
        <v>141</v>
      </c>
      <c r="J39">
        <v>38</v>
      </c>
      <c r="K39" t="s">
        <v>33</v>
      </c>
      <c r="L39">
        <v>10</v>
      </c>
      <c r="M39">
        <v>66</v>
      </c>
      <c r="N39">
        <v>1</v>
      </c>
      <c r="O39">
        <v>3</v>
      </c>
      <c r="P39" t="s">
        <v>141</v>
      </c>
    </row>
    <row r="40" spans="1:16" x14ac:dyDescent="0.2">
      <c r="A40">
        <f t="shared" si="0"/>
        <v>0</v>
      </c>
      <c r="B40">
        <f t="shared" si="1"/>
        <v>0</v>
      </c>
      <c r="D40" t="s">
        <v>94</v>
      </c>
      <c r="E40">
        <v>6</v>
      </c>
      <c r="F40">
        <v>63</v>
      </c>
      <c r="G40">
        <v>2</v>
      </c>
      <c r="H40">
        <v>13</v>
      </c>
      <c r="I40" t="s">
        <v>142</v>
      </c>
      <c r="J40">
        <v>39</v>
      </c>
      <c r="K40" t="s">
        <v>94</v>
      </c>
      <c r="L40">
        <v>6</v>
      </c>
      <c r="M40">
        <v>63</v>
      </c>
      <c r="N40">
        <v>2</v>
      </c>
      <c r="O40">
        <v>13</v>
      </c>
      <c r="P40" t="s">
        <v>142</v>
      </c>
    </row>
    <row r="41" spans="1:16" x14ac:dyDescent="0.2">
      <c r="A41">
        <f t="shared" si="0"/>
        <v>0</v>
      </c>
      <c r="B41">
        <f t="shared" si="1"/>
        <v>0</v>
      </c>
      <c r="D41" t="s">
        <v>22</v>
      </c>
      <c r="E41">
        <v>10</v>
      </c>
      <c r="F41">
        <v>63</v>
      </c>
      <c r="G41">
        <v>0</v>
      </c>
      <c r="H41">
        <v>10</v>
      </c>
      <c r="I41" t="s">
        <v>143</v>
      </c>
      <c r="J41">
        <v>40</v>
      </c>
      <c r="K41" t="s">
        <v>22</v>
      </c>
      <c r="L41">
        <v>10</v>
      </c>
      <c r="M41">
        <v>63</v>
      </c>
      <c r="N41">
        <v>0</v>
      </c>
      <c r="O41">
        <v>10</v>
      </c>
      <c r="P41" t="s">
        <v>143</v>
      </c>
    </row>
    <row r="42" spans="1:16" x14ac:dyDescent="0.2">
      <c r="A42">
        <f t="shared" si="0"/>
        <v>0</v>
      </c>
      <c r="B42">
        <f t="shared" si="1"/>
        <v>0</v>
      </c>
      <c r="D42" t="s">
        <v>9</v>
      </c>
      <c r="E42">
        <v>10</v>
      </c>
      <c r="F42">
        <v>61</v>
      </c>
      <c r="G42">
        <v>2</v>
      </c>
      <c r="H42">
        <v>11</v>
      </c>
      <c r="I42" t="s">
        <v>144</v>
      </c>
      <c r="J42">
        <v>41</v>
      </c>
      <c r="K42" t="s">
        <v>9</v>
      </c>
      <c r="L42">
        <v>10</v>
      </c>
      <c r="M42">
        <v>61</v>
      </c>
      <c r="N42">
        <v>2</v>
      </c>
      <c r="O42">
        <v>11</v>
      </c>
      <c r="P42" t="s">
        <v>144</v>
      </c>
    </row>
    <row r="43" spans="1:16" x14ac:dyDescent="0.2">
      <c r="A43">
        <f t="shared" si="0"/>
        <v>0</v>
      </c>
      <c r="B43">
        <f t="shared" si="1"/>
        <v>0</v>
      </c>
      <c r="D43" t="s">
        <v>40</v>
      </c>
      <c r="E43">
        <v>10</v>
      </c>
      <c r="F43">
        <v>61</v>
      </c>
      <c r="G43">
        <v>0</v>
      </c>
      <c r="H43">
        <v>7</v>
      </c>
      <c r="I43" t="s">
        <v>144</v>
      </c>
      <c r="J43">
        <v>42</v>
      </c>
      <c r="K43" t="s">
        <v>40</v>
      </c>
      <c r="L43">
        <v>10</v>
      </c>
      <c r="M43">
        <v>61</v>
      </c>
      <c r="N43">
        <v>0</v>
      </c>
      <c r="O43">
        <v>7</v>
      </c>
      <c r="P43" t="s">
        <v>144</v>
      </c>
    </row>
    <row r="44" spans="1:16" x14ac:dyDescent="0.2">
      <c r="A44">
        <f t="shared" si="0"/>
        <v>0</v>
      </c>
      <c r="B44">
        <f t="shared" si="1"/>
        <v>0</v>
      </c>
      <c r="D44" t="s">
        <v>63</v>
      </c>
      <c r="E44">
        <v>10</v>
      </c>
      <c r="F44">
        <v>61</v>
      </c>
      <c r="G44">
        <v>0</v>
      </c>
      <c r="H44">
        <v>4</v>
      </c>
      <c r="I44" t="s">
        <v>144</v>
      </c>
      <c r="J44">
        <v>43</v>
      </c>
      <c r="K44" t="s">
        <v>63</v>
      </c>
      <c r="L44">
        <v>10</v>
      </c>
      <c r="M44">
        <v>61</v>
      </c>
      <c r="N44">
        <v>0</v>
      </c>
      <c r="O44">
        <v>4</v>
      </c>
      <c r="P44" t="s">
        <v>144</v>
      </c>
    </row>
    <row r="45" spans="1:16" x14ac:dyDescent="0.2">
      <c r="A45">
        <f t="shared" si="0"/>
        <v>0</v>
      </c>
      <c r="B45">
        <f t="shared" si="1"/>
        <v>0</v>
      </c>
      <c r="D45" t="s">
        <v>19</v>
      </c>
      <c r="E45">
        <v>10</v>
      </c>
      <c r="F45">
        <v>59</v>
      </c>
      <c r="G45">
        <v>1</v>
      </c>
      <c r="H45">
        <v>6</v>
      </c>
      <c r="I45" t="s">
        <v>145</v>
      </c>
      <c r="J45">
        <v>44</v>
      </c>
      <c r="K45" t="s">
        <v>19</v>
      </c>
      <c r="L45">
        <v>10</v>
      </c>
      <c r="M45">
        <v>59</v>
      </c>
      <c r="N45">
        <v>1</v>
      </c>
      <c r="O45">
        <v>6</v>
      </c>
      <c r="P45" t="s">
        <v>145</v>
      </c>
    </row>
    <row r="46" spans="1:16" x14ac:dyDescent="0.2">
      <c r="A46">
        <f t="shared" si="0"/>
        <v>0</v>
      </c>
      <c r="B46">
        <f t="shared" si="1"/>
        <v>0</v>
      </c>
      <c r="D46" t="s">
        <v>101</v>
      </c>
      <c r="E46">
        <v>5</v>
      </c>
      <c r="F46">
        <v>57</v>
      </c>
      <c r="G46">
        <v>1</v>
      </c>
      <c r="H46">
        <v>5</v>
      </c>
      <c r="I46" t="s">
        <v>146</v>
      </c>
      <c r="J46">
        <v>45</v>
      </c>
      <c r="K46" t="s">
        <v>101</v>
      </c>
      <c r="L46">
        <v>5</v>
      </c>
      <c r="M46">
        <v>57</v>
      </c>
      <c r="N46">
        <v>1</v>
      </c>
      <c r="O46">
        <v>5</v>
      </c>
      <c r="P46" t="s">
        <v>146</v>
      </c>
    </row>
    <row r="47" spans="1:16" x14ac:dyDescent="0.2">
      <c r="A47">
        <f t="shared" si="0"/>
        <v>0</v>
      </c>
      <c r="B47">
        <f t="shared" si="1"/>
        <v>0</v>
      </c>
      <c r="D47" t="s">
        <v>81</v>
      </c>
      <c r="E47">
        <v>7</v>
      </c>
      <c r="F47">
        <v>56</v>
      </c>
      <c r="G47">
        <v>1</v>
      </c>
      <c r="H47">
        <v>6</v>
      </c>
      <c r="I47" t="s">
        <v>311</v>
      </c>
      <c r="J47">
        <v>46</v>
      </c>
      <c r="K47" t="s">
        <v>81</v>
      </c>
      <c r="L47">
        <v>7</v>
      </c>
      <c r="M47">
        <v>56</v>
      </c>
      <c r="N47">
        <v>1</v>
      </c>
      <c r="O47">
        <v>6</v>
      </c>
      <c r="P47">
        <v>8</v>
      </c>
    </row>
    <row r="48" spans="1:16" x14ac:dyDescent="0.2">
      <c r="A48">
        <f t="shared" si="0"/>
        <v>0</v>
      </c>
      <c r="B48">
        <f t="shared" si="1"/>
        <v>0</v>
      </c>
      <c r="D48" t="s">
        <v>5</v>
      </c>
      <c r="E48">
        <v>8</v>
      </c>
      <c r="F48">
        <v>55</v>
      </c>
      <c r="G48">
        <v>2</v>
      </c>
      <c r="H48">
        <v>9</v>
      </c>
      <c r="I48" t="s">
        <v>321</v>
      </c>
      <c r="J48">
        <v>47</v>
      </c>
      <c r="K48" t="s">
        <v>5</v>
      </c>
      <c r="L48">
        <v>8</v>
      </c>
      <c r="M48">
        <v>55</v>
      </c>
      <c r="N48">
        <v>2</v>
      </c>
      <c r="O48">
        <v>9</v>
      </c>
      <c r="P48" t="s">
        <v>147</v>
      </c>
    </row>
    <row r="49" spans="1:16" x14ac:dyDescent="0.2">
      <c r="A49">
        <f t="shared" si="0"/>
        <v>0</v>
      </c>
      <c r="B49">
        <f t="shared" si="1"/>
        <v>0</v>
      </c>
      <c r="D49" t="s">
        <v>69</v>
      </c>
      <c r="E49">
        <v>10</v>
      </c>
      <c r="F49">
        <v>53</v>
      </c>
      <c r="G49">
        <v>0</v>
      </c>
      <c r="H49">
        <v>2</v>
      </c>
      <c r="I49" t="s">
        <v>148</v>
      </c>
      <c r="J49">
        <v>48</v>
      </c>
      <c r="K49" t="s">
        <v>69</v>
      </c>
      <c r="L49">
        <v>10</v>
      </c>
      <c r="M49">
        <v>53</v>
      </c>
      <c r="N49">
        <v>0</v>
      </c>
      <c r="O49">
        <v>2</v>
      </c>
      <c r="P49" t="s">
        <v>148</v>
      </c>
    </row>
    <row r="50" spans="1:16" x14ac:dyDescent="0.2">
      <c r="A50">
        <f t="shared" si="0"/>
        <v>0</v>
      </c>
      <c r="B50">
        <f t="shared" si="1"/>
        <v>0</v>
      </c>
      <c r="D50" t="s">
        <v>53</v>
      </c>
      <c r="E50">
        <v>8</v>
      </c>
      <c r="F50">
        <v>52</v>
      </c>
      <c r="G50">
        <v>1</v>
      </c>
      <c r="H50">
        <v>8</v>
      </c>
      <c r="I50" t="s">
        <v>149</v>
      </c>
      <c r="J50">
        <v>49</v>
      </c>
      <c r="K50" t="s">
        <v>53</v>
      </c>
      <c r="L50">
        <v>8</v>
      </c>
      <c r="M50">
        <v>52</v>
      </c>
      <c r="N50">
        <v>1</v>
      </c>
      <c r="O50">
        <v>8</v>
      </c>
      <c r="P50" t="s">
        <v>149</v>
      </c>
    </row>
    <row r="51" spans="1:16" x14ac:dyDescent="0.2">
      <c r="A51">
        <f t="shared" si="0"/>
        <v>0</v>
      </c>
      <c r="B51">
        <f t="shared" si="1"/>
        <v>0</v>
      </c>
      <c r="D51" t="s">
        <v>61</v>
      </c>
      <c r="E51">
        <v>9</v>
      </c>
      <c r="F51">
        <v>52</v>
      </c>
      <c r="G51">
        <v>1</v>
      </c>
      <c r="H51">
        <v>6</v>
      </c>
      <c r="I51" t="s">
        <v>335</v>
      </c>
      <c r="J51">
        <v>50</v>
      </c>
      <c r="K51" t="s">
        <v>61</v>
      </c>
      <c r="L51">
        <v>9</v>
      </c>
      <c r="M51">
        <v>52</v>
      </c>
      <c r="N51">
        <v>1</v>
      </c>
      <c r="O51">
        <v>6</v>
      </c>
      <c r="P51" t="s">
        <v>150</v>
      </c>
    </row>
    <row r="52" spans="1:16" x14ac:dyDescent="0.2">
      <c r="A52">
        <f t="shared" si="0"/>
        <v>0</v>
      </c>
      <c r="B52">
        <f t="shared" si="1"/>
        <v>0</v>
      </c>
      <c r="D52" t="s">
        <v>21</v>
      </c>
      <c r="E52">
        <v>10</v>
      </c>
      <c r="F52">
        <v>46</v>
      </c>
      <c r="G52">
        <v>0</v>
      </c>
      <c r="H52">
        <v>2</v>
      </c>
      <c r="I52" t="s">
        <v>151</v>
      </c>
      <c r="J52">
        <v>51</v>
      </c>
      <c r="K52" t="s">
        <v>21</v>
      </c>
      <c r="L52">
        <v>10</v>
      </c>
      <c r="M52">
        <v>46</v>
      </c>
      <c r="N52">
        <v>0</v>
      </c>
      <c r="O52">
        <v>2</v>
      </c>
      <c r="P52" t="s">
        <v>151</v>
      </c>
    </row>
    <row r="53" spans="1:16" x14ac:dyDescent="0.2">
      <c r="A53">
        <f t="shared" si="0"/>
        <v>0</v>
      </c>
      <c r="B53">
        <f t="shared" si="1"/>
        <v>0</v>
      </c>
      <c r="D53" t="s">
        <v>7</v>
      </c>
      <c r="E53">
        <v>6</v>
      </c>
      <c r="F53">
        <v>45</v>
      </c>
      <c r="G53">
        <v>2</v>
      </c>
      <c r="H53">
        <v>8</v>
      </c>
      <c r="I53" t="s">
        <v>133</v>
      </c>
      <c r="J53">
        <v>52</v>
      </c>
      <c r="K53" t="s">
        <v>7</v>
      </c>
      <c r="L53">
        <v>6</v>
      </c>
      <c r="M53">
        <v>45</v>
      </c>
      <c r="N53">
        <v>2</v>
      </c>
      <c r="O53">
        <v>8</v>
      </c>
      <c r="P53" t="s">
        <v>133</v>
      </c>
    </row>
    <row r="54" spans="1:16" x14ac:dyDescent="0.2">
      <c r="A54">
        <f t="shared" si="0"/>
        <v>0</v>
      </c>
      <c r="B54">
        <f t="shared" si="1"/>
        <v>0</v>
      </c>
      <c r="D54" t="s">
        <v>88</v>
      </c>
      <c r="E54">
        <v>8</v>
      </c>
      <c r="F54">
        <v>43</v>
      </c>
      <c r="G54">
        <v>0</v>
      </c>
      <c r="H54">
        <v>3</v>
      </c>
      <c r="I54" t="s">
        <v>336</v>
      </c>
      <c r="J54">
        <v>53</v>
      </c>
      <c r="K54" t="s">
        <v>88</v>
      </c>
      <c r="L54">
        <v>8</v>
      </c>
      <c r="M54">
        <v>43</v>
      </c>
      <c r="N54">
        <v>0</v>
      </c>
      <c r="O54">
        <v>3</v>
      </c>
      <c r="P54" t="s">
        <v>152</v>
      </c>
    </row>
    <row r="55" spans="1:16" x14ac:dyDescent="0.2">
      <c r="A55">
        <f t="shared" si="0"/>
        <v>0</v>
      </c>
      <c r="B55">
        <f t="shared" si="1"/>
        <v>0</v>
      </c>
      <c r="D55" t="s">
        <v>92</v>
      </c>
      <c r="E55">
        <v>7</v>
      </c>
      <c r="F55">
        <v>41</v>
      </c>
      <c r="G55">
        <v>1</v>
      </c>
      <c r="H55">
        <v>7</v>
      </c>
      <c r="I55" t="s">
        <v>337</v>
      </c>
      <c r="J55">
        <v>54</v>
      </c>
      <c r="K55" t="s">
        <v>92</v>
      </c>
      <c r="L55">
        <v>7</v>
      </c>
      <c r="M55">
        <v>41</v>
      </c>
      <c r="N55">
        <v>1</v>
      </c>
      <c r="O55">
        <v>7</v>
      </c>
      <c r="P55" t="s">
        <v>153</v>
      </c>
    </row>
    <row r="56" spans="1:16" x14ac:dyDescent="0.2">
      <c r="A56">
        <f t="shared" si="0"/>
        <v>0</v>
      </c>
      <c r="B56">
        <f t="shared" si="1"/>
        <v>0</v>
      </c>
      <c r="D56" t="s">
        <v>72</v>
      </c>
      <c r="E56">
        <v>6</v>
      </c>
      <c r="F56">
        <v>39</v>
      </c>
      <c r="G56">
        <v>0</v>
      </c>
      <c r="H56">
        <v>4</v>
      </c>
      <c r="I56" t="s">
        <v>149</v>
      </c>
      <c r="J56">
        <v>55</v>
      </c>
      <c r="K56" t="s">
        <v>72</v>
      </c>
      <c r="L56">
        <v>6</v>
      </c>
      <c r="M56">
        <v>39</v>
      </c>
      <c r="N56">
        <v>0</v>
      </c>
      <c r="O56">
        <v>4</v>
      </c>
      <c r="P56" t="s">
        <v>149</v>
      </c>
    </row>
    <row r="57" spans="1:16" x14ac:dyDescent="0.2">
      <c r="A57">
        <f t="shared" si="0"/>
        <v>0</v>
      </c>
      <c r="B57">
        <f t="shared" si="1"/>
        <v>0</v>
      </c>
      <c r="D57" t="s">
        <v>43</v>
      </c>
      <c r="E57">
        <v>5</v>
      </c>
      <c r="F57">
        <v>38</v>
      </c>
      <c r="G57">
        <v>1</v>
      </c>
      <c r="H57">
        <v>4</v>
      </c>
      <c r="I57" t="s">
        <v>154</v>
      </c>
      <c r="J57">
        <v>56</v>
      </c>
      <c r="K57" t="s">
        <v>43</v>
      </c>
      <c r="L57">
        <v>5</v>
      </c>
      <c r="M57">
        <v>38</v>
      </c>
      <c r="N57">
        <v>1</v>
      </c>
      <c r="O57">
        <v>4</v>
      </c>
      <c r="P57" t="s">
        <v>154</v>
      </c>
    </row>
    <row r="58" spans="1:16" x14ac:dyDescent="0.2">
      <c r="A58">
        <f t="shared" si="0"/>
        <v>0</v>
      </c>
      <c r="B58">
        <f t="shared" si="1"/>
        <v>0</v>
      </c>
      <c r="D58" t="s">
        <v>67</v>
      </c>
      <c r="E58">
        <v>4</v>
      </c>
      <c r="F58">
        <v>31</v>
      </c>
      <c r="G58">
        <v>0</v>
      </c>
      <c r="H58">
        <v>3</v>
      </c>
      <c r="I58" t="s">
        <v>155</v>
      </c>
      <c r="J58">
        <v>57</v>
      </c>
      <c r="K58" t="s">
        <v>67</v>
      </c>
      <c r="L58">
        <v>4</v>
      </c>
      <c r="M58">
        <v>31</v>
      </c>
      <c r="N58">
        <v>0</v>
      </c>
      <c r="O58">
        <v>3</v>
      </c>
      <c r="P58" t="s">
        <v>155</v>
      </c>
    </row>
    <row r="59" spans="1:16" x14ac:dyDescent="0.2">
      <c r="A59">
        <f t="shared" si="0"/>
        <v>0</v>
      </c>
      <c r="B59">
        <f t="shared" si="1"/>
        <v>0</v>
      </c>
      <c r="D59" t="s">
        <v>80</v>
      </c>
      <c r="E59">
        <v>3</v>
      </c>
      <c r="F59">
        <v>28</v>
      </c>
      <c r="G59">
        <v>1</v>
      </c>
      <c r="H59">
        <v>5</v>
      </c>
      <c r="I59" t="s">
        <v>312</v>
      </c>
      <c r="J59">
        <v>58</v>
      </c>
      <c r="K59" t="s">
        <v>80</v>
      </c>
      <c r="L59">
        <v>3</v>
      </c>
      <c r="M59">
        <v>28</v>
      </c>
      <c r="N59">
        <v>1</v>
      </c>
      <c r="O59">
        <v>5</v>
      </c>
      <c r="P59" t="s">
        <v>156</v>
      </c>
    </row>
    <row r="60" spans="1:16" x14ac:dyDescent="0.2">
      <c r="A60">
        <f t="shared" si="0"/>
        <v>0</v>
      </c>
      <c r="B60">
        <f t="shared" si="1"/>
        <v>0</v>
      </c>
      <c r="D60" t="s">
        <v>91</v>
      </c>
      <c r="E60">
        <v>5</v>
      </c>
      <c r="F60">
        <v>27</v>
      </c>
      <c r="G60">
        <v>0</v>
      </c>
      <c r="H60">
        <v>3</v>
      </c>
      <c r="I60" t="s">
        <v>157</v>
      </c>
      <c r="J60">
        <v>59</v>
      </c>
      <c r="K60" t="s">
        <v>91</v>
      </c>
      <c r="L60">
        <v>5</v>
      </c>
      <c r="M60">
        <v>27</v>
      </c>
      <c r="N60">
        <v>0</v>
      </c>
      <c r="O60">
        <v>3</v>
      </c>
      <c r="P60" t="s">
        <v>157</v>
      </c>
    </row>
    <row r="61" spans="1:16" x14ac:dyDescent="0.2">
      <c r="A61">
        <f t="shared" si="0"/>
        <v>0</v>
      </c>
      <c r="B61">
        <f t="shared" si="1"/>
        <v>0</v>
      </c>
      <c r="D61" t="s">
        <v>29</v>
      </c>
      <c r="E61">
        <v>6</v>
      </c>
      <c r="F61">
        <v>27</v>
      </c>
      <c r="G61">
        <v>0</v>
      </c>
      <c r="H61">
        <v>1</v>
      </c>
      <c r="I61" t="s">
        <v>158</v>
      </c>
      <c r="J61">
        <v>60</v>
      </c>
      <c r="K61" t="s">
        <v>29</v>
      </c>
      <c r="L61">
        <v>6</v>
      </c>
      <c r="M61">
        <v>27</v>
      </c>
      <c r="N61">
        <v>0</v>
      </c>
      <c r="O61">
        <v>1</v>
      </c>
      <c r="P61" t="s">
        <v>158</v>
      </c>
    </row>
    <row r="62" spans="1:16" x14ac:dyDescent="0.2">
      <c r="A62">
        <f t="shared" si="0"/>
        <v>0</v>
      </c>
      <c r="B62">
        <f t="shared" si="1"/>
        <v>0</v>
      </c>
      <c r="D62" t="s">
        <v>16</v>
      </c>
      <c r="E62">
        <v>4</v>
      </c>
      <c r="F62">
        <v>26</v>
      </c>
      <c r="G62">
        <v>1</v>
      </c>
      <c r="H62">
        <v>5</v>
      </c>
      <c r="I62" t="s">
        <v>149</v>
      </c>
      <c r="J62">
        <v>61</v>
      </c>
      <c r="K62" t="s">
        <v>16</v>
      </c>
      <c r="L62">
        <v>4</v>
      </c>
      <c r="M62">
        <v>26</v>
      </c>
      <c r="N62">
        <v>1</v>
      </c>
      <c r="O62">
        <v>5</v>
      </c>
      <c r="P62" t="s">
        <v>149</v>
      </c>
    </row>
    <row r="63" spans="1:16" x14ac:dyDescent="0.2">
      <c r="A63">
        <f t="shared" si="0"/>
        <v>0</v>
      </c>
      <c r="B63">
        <f t="shared" si="1"/>
        <v>0</v>
      </c>
      <c r="D63" t="s">
        <v>57</v>
      </c>
      <c r="E63">
        <v>5</v>
      </c>
      <c r="F63">
        <v>25</v>
      </c>
      <c r="G63">
        <v>0</v>
      </c>
      <c r="H63">
        <v>1</v>
      </c>
      <c r="I63" t="s">
        <v>322</v>
      </c>
      <c r="J63">
        <v>62</v>
      </c>
      <c r="K63" t="s">
        <v>57</v>
      </c>
      <c r="L63">
        <v>5</v>
      </c>
      <c r="M63">
        <v>25</v>
      </c>
      <c r="N63">
        <v>0</v>
      </c>
      <c r="O63">
        <v>1</v>
      </c>
      <c r="P63">
        <v>5</v>
      </c>
    </row>
    <row r="64" spans="1:16" x14ac:dyDescent="0.2">
      <c r="A64">
        <f t="shared" si="0"/>
        <v>0</v>
      </c>
      <c r="B64">
        <f t="shared" si="1"/>
        <v>0</v>
      </c>
      <c r="D64" t="s">
        <v>85</v>
      </c>
      <c r="E64">
        <v>3</v>
      </c>
      <c r="F64">
        <v>24</v>
      </c>
      <c r="G64">
        <v>0</v>
      </c>
      <c r="H64">
        <v>3</v>
      </c>
      <c r="I64" t="s">
        <v>311</v>
      </c>
      <c r="J64">
        <v>63</v>
      </c>
      <c r="K64" t="s">
        <v>85</v>
      </c>
      <c r="L64">
        <v>3</v>
      </c>
      <c r="M64">
        <v>24</v>
      </c>
      <c r="N64">
        <v>0</v>
      </c>
      <c r="O64">
        <v>3</v>
      </c>
      <c r="P64">
        <v>8</v>
      </c>
    </row>
    <row r="65" spans="1:16" x14ac:dyDescent="0.2">
      <c r="A65">
        <f t="shared" si="0"/>
        <v>0</v>
      </c>
      <c r="B65">
        <f t="shared" si="1"/>
        <v>0</v>
      </c>
      <c r="D65" t="s">
        <v>96</v>
      </c>
      <c r="E65">
        <v>2</v>
      </c>
      <c r="F65">
        <v>21</v>
      </c>
      <c r="G65">
        <v>0</v>
      </c>
      <c r="H65">
        <v>2</v>
      </c>
      <c r="I65" t="s">
        <v>142</v>
      </c>
      <c r="J65">
        <v>64</v>
      </c>
      <c r="K65" t="s">
        <v>96</v>
      </c>
      <c r="L65">
        <v>2</v>
      </c>
      <c r="M65">
        <v>21</v>
      </c>
      <c r="N65">
        <v>0</v>
      </c>
      <c r="O65">
        <v>2</v>
      </c>
      <c r="P65" t="s">
        <v>142</v>
      </c>
    </row>
    <row r="66" spans="1:16" x14ac:dyDescent="0.2">
      <c r="A66">
        <f t="shared" si="0"/>
        <v>0</v>
      </c>
      <c r="B66">
        <f t="shared" si="1"/>
        <v>0</v>
      </c>
      <c r="D66" t="s">
        <v>34</v>
      </c>
      <c r="E66">
        <v>2</v>
      </c>
      <c r="F66">
        <v>20</v>
      </c>
      <c r="G66">
        <v>1</v>
      </c>
      <c r="H66">
        <v>2</v>
      </c>
      <c r="I66" t="s">
        <v>309</v>
      </c>
      <c r="J66">
        <v>65</v>
      </c>
      <c r="K66" t="s">
        <v>34</v>
      </c>
      <c r="L66">
        <v>2</v>
      </c>
      <c r="M66">
        <v>20</v>
      </c>
      <c r="N66">
        <v>1</v>
      </c>
      <c r="O66">
        <v>2</v>
      </c>
      <c r="P66">
        <v>10</v>
      </c>
    </row>
    <row r="67" spans="1:16" x14ac:dyDescent="0.2">
      <c r="A67">
        <f t="shared" ref="A67:A93" si="2">IF(D67=K67,0,1)</f>
        <v>0</v>
      </c>
      <c r="B67">
        <f t="shared" ref="B67:B93" si="3">F67-M67</f>
        <v>0</v>
      </c>
      <c r="D67" t="s">
        <v>13</v>
      </c>
      <c r="E67">
        <v>2</v>
      </c>
      <c r="F67">
        <v>19</v>
      </c>
      <c r="G67">
        <v>0</v>
      </c>
      <c r="H67">
        <v>0</v>
      </c>
      <c r="I67" t="s">
        <v>159</v>
      </c>
      <c r="J67">
        <v>66</v>
      </c>
      <c r="K67" t="s">
        <v>13</v>
      </c>
      <c r="L67">
        <v>2</v>
      </c>
      <c r="M67">
        <v>19</v>
      </c>
      <c r="N67">
        <v>0</v>
      </c>
      <c r="O67">
        <v>0</v>
      </c>
      <c r="P67" t="s">
        <v>159</v>
      </c>
    </row>
    <row r="68" spans="1:16" x14ac:dyDescent="0.2">
      <c r="A68">
        <f t="shared" si="2"/>
        <v>0</v>
      </c>
      <c r="B68">
        <f t="shared" si="3"/>
        <v>0</v>
      </c>
      <c r="D68" t="s">
        <v>83</v>
      </c>
      <c r="E68">
        <v>3</v>
      </c>
      <c r="F68">
        <v>18</v>
      </c>
      <c r="G68">
        <v>0</v>
      </c>
      <c r="H68">
        <v>3</v>
      </c>
      <c r="I68" t="s">
        <v>323</v>
      </c>
      <c r="J68">
        <v>67</v>
      </c>
      <c r="K68" t="s">
        <v>83</v>
      </c>
      <c r="L68">
        <v>3</v>
      </c>
      <c r="M68">
        <v>18</v>
      </c>
      <c r="N68">
        <v>0</v>
      </c>
      <c r="O68">
        <v>3</v>
      </c>
      <c r="P68">
        <v>6</v>
      </c>
    </row>
    <row r="69" spans="1:16" x14ac:dyDescent="0.2">
      <c r="A69">
        <f t="shared" si="2"/>
        <v>0</v>
      </c>
      <c r="B69">
        <f t="shared" si="3"/>
        <v>0</v>
      </c>
      <c r="D69" t="s">
        <v>20</v>
      </c>
      <c r="E69">
        <v>3</v>
      </c>
      <c r="F69">
        <v>18</v>
      </c>
      <c r="G69">
        <v>0</v>
      </c>
      <c r="H69">
        <v>0</v>
      </c>
      <c r="I69" t="s">
        <v>323</v>
      </c>
      <c r="J69">
        <v>68</v>
      </c>
      <c r="K69" t="s">
        <v>20</v>
      </c>
      <c r="L69">
        <v>3</v>
      </c>
      <c r="M69">
        <v>18</v>
      </c>
      <c r="N69">
        <v>0</v>
      </c>
      <c r="O69">
        <v>0</v>
      </c>
      <c r="P69">
        <v>6</v>
      </c>
    </row>
    <row r="70" spans="1:16" x14ac:dyDescent="0.2">
      <c r="A70">
        <f t="shared" si="2"/>
        <v>0</v>
      </c>
      <c r="B70">
        <f t="shared" si="3"/>
        <v>0</v>
      </c>
      <c r="D70" t="s">
        <v>71</v>
      </c>
      <c r="E70">
        <v>2</v>
      </c>
      <c r="F70">
        <v>17</v>
      </c>
      <c r="G70">
        <v>1</v>
      </c>
      <c r="H70">
        <v>2</v>
      </c>
      <c r="I70" t="s">
        <v>127</v>
      </c>
      <c r="J70">
        <v>69</v>
      </c>
      <c r="K70" t="s">
        <v>71</v>
      </c>
      <c r="L70">
        <v>2</v>
      </c>
      <c r="M70">
        <v>17</v>
      </c>
      <c r="N70">
        <v>1</v>
      </c>
      <c r="O70">
        <v>2</v>
      </c>
      <c r="P70" t="s">
        <v>127</v>
      </c>
    </row>
    <row r="71" spans="1:16" x14ac:dyDescent="0.2">
      <c r="A71">
        <f t="shared" si="2"/>
        <v>0</v>
      </c>
      <c r="B71">
        <f t="shared" si="3"/>
        <v>0</v>
      </c>
      <c r="D71" t="s">
        <v>95</v>
      </c>
      <c r="E71">
        <v>1</v>
      </c>
      <c r="F71">
        <v>16</v>
      </c>
      <c r="G71">
        <v>1</v>
      </c>
      <c r="H71">
        <v>1</v>
      </c>
      <c r="I71" t="s">
        <v>315</v>
      </c>
      <c r="J71">
        <v>70</v>
      </c>
      <c r="K71" t="s">
        <v>95</v>
      </c>
      <c r="L71">
        <v>1</v>
      </c>
      <c r="M71">
        <v>16</v>
      </c>
      <c r="N71">
        <v>1</v>
      </c>
      <c r="O71">
        <v>1</v>
      </c>
      <c r="P71">
        <v>16</v>
      </c>
    </row>
    <row r="72" spans="1:16" x14ac:dyDescent="0.2">
      <c r="A72">
        <f t="shared" si="2"/>
        <v>0</v>
      </c>
      <c r="B72">
        <f t="shared" si="3"/>
        <v>0</v>
      </c>
      <c r="D72" t="s">
        <v>78</v>
      </c>
      <c r="E72">
        <v>3</v>
      </c>
      <c r="F72">
        <v>16</v>
      </c>
      <c r="G72">
        <v>0</v>
      </c>
      <c r="H72">
        <v>3</v>
      </c>
      <c r="I72" t="s">
        <v>324</v>
      </c>
      <c r="J72">
        <v>71</v>
      </c>
      <c r="K72" t="s">
        <v>78</v>
      </c>
      <c r="L72">
        <v>3</v>
      </c>
      <c r="M72">
        <v>16</v>
      </c>
      <c r="N72">
        <v>0</v>
      </c>
      <c r="O72">
        <v>3</v>
      </c>
      <c r="P72" t="s">
        <v>160</v>
      </c>
    </row>
    <row r="73" spans="1:16" x14ac:dyDescent="0.2">
      <c r="A73">
        <f t="shared" si="2"/>
        <v>0</v>
      </c>
      <c r="B73">
        <f t="shared" si="3"/>
        <v>0</v>
      </c>
      <c r="D73" t="s">
        <v>107</v>
      </c>
      <c r="E73">
        <v>1</v>
      </c>
      <c r="F73">
        <v>13</v>
      </c>
      <c r="G73">
        <v>0</v>
      </c>
      <c r="H73">
        <v>1</v>
      </c>
      <c r="I73" t="s">
        <v>325</v>
      </c>
      <c r="J73">
        <v>72</v>
      </c>
      <c r="K73" t="s">
        <v>107</v>
      </c>
      <c r="L73">
        <v>1</v>
      </c>
      <c r="M73">
        <v>13</v>
      </c>
      <c r="N73">
        <v>0</v>
      </c>
      <c r="O73">
        <v>1</v>
      </c>
      <c r="P73">
        <v>13</v>
      </c>
    </row>
    <row r="74" spans="1:16" x14ac:dyDescent="0.2">
      <c r="A74">
        <f t="shared" si="2"/>
        <v>0</v>
      </c>
      <c r="B74">
        <f t="shared" si="3"/>
        <v>0</v>
      </c>
      <c r="D74" t="s">
        <v>98</v>
      </c>
      <c r="E74">
        <v>1</v>
      </c>
      <c r="F74">
        <v>12</v>
      </c>
      <c r="G74">
        <v>0</v>
      </c>
      <c r="H74">
        <v>3</v>
      </c>
      <c r="I74" t="s">
        <v>314</v>
      </c>
      <c r="J74">
        <v>73</v>
      </c>
      <c r="K74" t="s">
        <v>98</v>
      </c>
      <c r="L74">
        <v>1</v>
      </c>
      <c r="M74">
        <v>12</v>
      </c>
      <c r="N74">
        <v>0</v>
      </c>
      <c r="O74">
        <v>3</v>
      </c>
      <c r="P74">
        <v>12</v>
      </c>
    </row>
    <row r="75" spans="1:16" x14ac:dyDescent="0.2">
      <c r="A75">
        <f t="shared" si="2"/>
        <v>0</v>
      </c>
      <c r="B75">
        <f t="shared" si="3"/>
        <v>0</v>
      </c>
      <c r="D75" t="s">
        <v>97</v>
      </c>
      <c r="E75">
        <v>2</v>
      </c>
      <c r="F75">
        <v>9</v>
      </c>
      <c r="G75">
        <v>0</v>
      </c>
      <c r="H75">
        <v>1</v>
      </c>
      <c r="I75" t="s">
        <v>158</v>
      </c>
      <c r="J75">
        <v>74</v>
      </c>
      <c r="K75" t="s">
        <v>97</v>
      </c>
      <c r="L75">
        <v>2</v>
      </c>
      <c r="M75">
        <v>9</v>
      </c>
      <c r="N75">
        <v>0</v>
      </c>
      <c r="O75">
        <v>1</v>
      </c>
      <c r="P75" t="s">
        <v>158</v>
      </c>
    </row>
    <row r="76" spans="1:16" x14ac:dyDescent="0.2">
      <c r="A76">
        <f t="shared" si="2"/>
        <v>0</v>
      </c>
      <c r="B76">
        <f t="shared" si="3"/>
        <v>0</v>
      </c>
      <c r="D76" t="s">
        <v>84</v>
      </c>
      <c r="E76">
        <v>1</v>
      </c>
      <c r="F76">
        <v>8</v>
      </c>
      <c r="G76">
        <v>0</v>
      </c>
      <c r="H76">
        <v>2</v>
      </c>
      <c r="I76" t="s">
        <v>311</v>
      </c>
      <c r="J76">
        <v>75</v>
      </c>
      <c r="K76" t="s">
        <v>84</v>
      </c>
      <c r="L76">
        <v>1</v>
      </c>
      <c r="M76">
        <v>8</v>
      </c>
      <c r="N76">
        <v>0</v>
      </c>
      <c r="O76">
        <v>2</v>
      </c>
      <c r="P76">
        <v>8</v>
      </c>
    </row>
    <row r="77" spans="1:16" x14ac:dyDescent="0.2">
      <c r="A77">
        <f t="shared" si="2"/>
        <v>0</v>
      </c>
      <c r="B77">
        <f t="shared" si="3"/>
        <v>0</v>
      </c>
      <c r="D77" t="s">
        <v>105</v>
      </c>
      <c r="E77">
        <v>1</v>
      </c>
      <c r="F77">
        <v>8</v>
      </c>
      <c r="G77">
        <v>0</v>
      </c>
      <c r="H77">
        <v>0</v>
      </c>
      <c r="I77" t="s">
        <v>311</v>
      </c>
      <c r="J77">
        <v>76</v>
      </c>
      <c r="K77" t="s">
        <v>105</v>
      </c>
      <c r="L77">
        <v>1</v>
      </c>
      <c r="M77">
        <v>8</v>
      </c>
      <c r="N77">
        <v>0</v>
      </c>
      <c r="O77">
        <v>0</v>
      </c>
      <c r="P77">
        <v>8</v>
      </c>
    </row>
    <row r="78" spans="1:16" x14ac:dyDescent="0.2">
      <c r="A78">
        <f t="shared" si="2"/>
        <v>0</v>
      </c>
      <c r="B78">
        <f t="shared" si="3"/>
        <v>0</v>
      </c>
      <c r="D78" t="s">
        <v>106</v>
      </c>
      <c r="E78">
        <v>1</v>
      </c>
      <c r="F78">
        <v>8</v>
      </c>
      <c r="G78">
        <v>0</v>
      </c>
      <c r="H78">
        <v>0</v>
      </c>
      <c r="I78" t="s">
        <v>311</v>
      </c>
      <c r="J78">
        <v>77</v>
      </c>
      <c r="K78" t="s">
        <v>106</v>
      </c>
      <c r="L78">
        <v>1</v>
      </c>
      <c r="M78">
        <v>8</v>
      </c>
      <c r="N78">
        <v>0</v>
      </c>
      <c r="O78">
        <v>0</v>
      </c>
      <c r="P78">
        <v>8</v>
      </c>
    </row>
    <row r="79" spans="1:16" x14ac:dyDescent="0.2">
      <c r="A79">
        <f t="shared" si="2"/>
        <v>1</v>
      </c>
      <c r="B79">
        <f t="shared" si="3"/>
        <v>0</v>
      </c>
      <c r="D79" t="s">
        <v>79</v>
      </c>
      <c r="E79">
        <v>1</v>
      </c>
      <c r="F79">
        <v>7</v>
      </c>
      <c r="G79">
        <v>0</v>
      </c>
      <c r="H79">
        <v>0</v>
      </c>
      <c r="I79" t="s">
        <v>313</v>
      </c>
      <c r="J79">
        <v>78</v>
      </c>
      <c r="K79" t="s">
        <v>86</v>
      </c>
      <c r="L79">
        <v>1</v>
      </c>
      <c r="M79">
        <v>7</v>
      </c>
      <c r="N79">
        <v>0</v>
      </c>
      <c r="O79">
        <v>0</v>
      </c>
      <c r="P79">
        <v>7</v>
      </c>
    </row>
    <row r="80" spans="1:16" x14ac:dyDescent="0.2">
      <c r="A80">
        <f t="shared" si="2"/>
        <v>1</v>
      </c>
      <c r="B80">
        <f t="shared" si="3"/>
        <v>0</v>
      </c>
      <c r="D80" t="s">
        <v>86</v>
      </c>
      <c r="E80">
        <v>1</v>
      </c>
      <c r="F80">
        <v>7</v>
      </c>
      <c r="G80">
        <v>0</v>
      </c>
      <c r="H80">
        <v>0</v>
      </c>
      <c r="I80" t="s">
        <v>313</v>
      </c>
      <c r="J80">
        <v>79</v>
      </c>
      <c r="K80" t="s">
        <v>79</v>
      </c>
      <c r="L80">
        <v>1</v>
      </c>
      <c r="M80">
        <v>7</v>
      </c>
      <c r="N80">
        <v>0</v>
      </c>
      <c r="O80">
        <v>0</v>
      </c>
      <c r="P80">
        <v>7</v>
      </c>
    </row>
    <row r="81" spans="1:16" x14ac:dyDescent="0.2">
      <c r="A81">
        <f t="shared" si="2"/>
        <v>0</v>
      </c>
      <c r="B81">
        <f t="shared" si="3"/>
        <v>0</v>
      </c>
      <c r="D81" t="s">
        <v>93</v>
      </c>
      <c r="E81">
        <v>1</v>
      </c>
      <c r="F81">
        <v>4</v>
      </c>
      <c r="G81">
        <v>0</v>
      </c>
      <c r="H81">
        <v>0</v>
      </c>
      <c r="I81" t="s">
        <v>316</v>
      </c>
      <c r="J81">
        <v>80</v>
      </c>
      <c r="K81" t="s">
        <v>93</v>
      </c>
      <c r="L81">
        <v>1</v>
      </c>
      <c r="M81">
        <v>4</v>
      </c>
      <c r="N81">
        <v>0</v>
      </c>
      <c r="O81">
        <v>0</v>
      </c>
      <c r="P81">
        <v>4</v>
      </c>
    </row>
    <row r="82" spans="1:16" x14ac:dyDescent="0.2">
      <c r="A82">
        <f t="shared" si="2"/>
        <v>0</v>
      </c>
      <c r="B82">
        <f t="shared" si="3"/>
        <v>0</v>
      </c>
      <c r="D82" t="s">
        <v>36</v>
      </c>
      <c r="E82">
        <v>2</v>
      </c>
      <c r="F82">
        <v>4</v>
      </c>
      <c r="G82">
        <v>0</v>
      </c>
      <c r="H82">
        <v>0</v>
      </c>
      <c r="I82" t="s">
        <v>317</v>
      </c>
      <c r="J82">
        <v>81</v>
      </c>
      <c r="K82" t="s">
        <v>36</v>
      </c>
      <c r="L82">
        <v>2</v>
      </c>
      <c r="M82">
        <v>4</v>
      </c>
      <c r="N82">
        <v>0</v>
      </c>
      <c r="O82">
        <v>0</v>
      </c>
      <c r="P82">
        <v>2</v>
      </c>
    </row>
    <row r="83" spans="1:16" x14ac:dyDescent="0.2">
      <c r="A83">
        <f t="shared" si="2"/>
        <v>0</v>
      </c>
      <c r="B83">
        <f t="shared" si="3"/>
        <v>0</v>
      </c>
      <c r="D83" t="s">
        <v>89</v>
      </c>
      <c r="E83">
        <v>1</v>
      </c>
      <c r="F83">
        <v>3</v>
      </c>
      <c r="G83">
        <v>0</v>
      </c>
      <c r="H83">
        <v>0</v>
      </c>
      <c r="I83" t="s">
        <v>326</v>
      </c>
      <c r="J83">
        <v>82</v>
      </c>
      <c r="K83" t="s">
        <v>89</v>
      </c>
      <c r="L83">
        <v>1</v>
      </c>
      <c r="M83">
        <v>3</v>
      </c>
      <c r="N83">
        <v>0</v>
      </c>
      <c r="O83">
        <v>0</v>
      </c>
      <c r="P83">
        <v>3</v>
      </c>
    </row>
    <row r="84" spans="1:16" x14ac:dyDescent="0.2">
      <c r="A84">
        <f t="shared" si="2"/>
        <v>0</v>
      </c>
      <c r="B84">
        <f t="shared" si="3"/>
        <v>0</v>
      </c>
      <c r="D84" t="s">
        <v>62</v>
      </c>
      <c r="E84">
        <v>1</v>
      </c>
      <c r="F84">
        <v>3</v>
      </c>
      <c r="G84">
        <v>0</v>
      </c>
      <c r="H84">
        <v>0</v>
      </c>
      <c r="I84" t="s">
        <v>326</v>
      </c>
      <c r="J84">
        <v>83</v>
      </c>
      <c r="K84" t="s">
        <v>62</v>
      </c>
      <c r="L84">
        <v>1</v>
      </c>
      <c r="M84">
        <v>3</v>
      </c>
      <c r="N84">
        <v>0</v>
      </c>
      <c r="O84">
        <v>0</v>
      </c>
      <c r="P84">
        <v>3</v>
      </c>
    </row>
    <row r="85" spans="1:16" x14ac:dyDescent="0.2">
      <c r="A85">
        <f t="shared" si="2"/>
        <v>1</v>
      </c>
      <c r="B85">
        <f t="shared" si="3"/>
        <v>0</v>
      </c>
      <c r="D85" t="s">
        <v>82</v>
      </c>
      <c r="E85">
        <v>1</v>
      </c>
      <c r="F85">
        <v>2</v>
      </c>
      <c r="G85">
        <v>0</v>
      </c>
      <c r="H85">
        <v>0</v>
      </c>
      <c r="I85" t="s">
        <v>317</v>
      </c>
      <c r="J85">
        <v>84</v>
      </c>
      <c r="K85" t="s">
        <v>103</v>
      </c>
      <c r="L85">
        <v>2</v>
      </c>
      <c r="M85">
        <v>2</v>
      </c>
      <c r="N85">
        <v>0</v>
      </c>
      <c r="O85">
        <v>0</v>
      </c>
      <c r="P85">
        <v>1</v>
      </c>
    </row>
    <row r="86" spans="1:16" x14ac:dyDescent="0.2">
      <c r="A86">
        <f t="shared" si="2"/>
        <v>1</v>
      </c>
      <c r="B86">
        <f t="shared" si="3"/>
        <v>0</v>
      </c>
      <c r="D86" t="s">
        <v>56</v>
      </c>
      <c r="E86">
        <v>1</v>
      </c>
      <c r="F86">
        <v>2</v>
      </c>
      <c r="G86">
        <v>0</v>
      </c>
      <c r="H86">
        <v>0</v>
      </c>
      <c r="I86" t="s">
        <v>317</v>
      </c>
      <c r="J86">
        <v>85</v>
      </c>
      <c r="K86" t="s">
        <v>99</v>
      </c>
      <c r="L86">
        <v>1</v>
      </c>
      <c r="M86">
        <v>2</v>
      </c>
      <c r="N86">
        <v>0</v>
      </c>
      <c r="O86">
        <v>0</v>
      </c>
      <c r="P86">
        <v>2</v>
      </c>
    </row>
    <row r="87" spans="1:16" x14ac:dyDescent="0.2">
      <c r="A87">
        <f t="shared" si="2"/>
        <v>1</v>
      </c>
      <c r="B87">
        <f t="shared" si="3"/>
        <v>0</v>
      </c>
      <c r="D87" t="s">
        <v>99</v>
      </c>
      <c r="E87">
        <v>1</v>
      </c>
      <c r="F87">
        <v>2</v>
      </c>
      <c r="G87">
        <v>0</v>
      </c>
      <c r="H87">
        <v>0</v>
      </c>
      <c r="I87" t="s">
        <v>317</v>
      </c>
      <c r="J87">
        <v>86</v>
      </c>
      <c r="K87" t="s">
        <v>82</v>
      </c>
      <c r="L87">
        <v>1</v>
      </c>
      <c r="M87">
        <v>2</v>
      </c>
      <c r="N87">
        <v>0</v>
      </c>
      <c r="O87">
        <v>0</v>
      </c>
      <c r="P87">
        <v>2</v>
      </c>
    </row>
    <row r="88" spans="1:16" x14ac:dyDescent="0.2">
      <c r="A88">
        <f t="shared" si="2"/>
        <v>0</v>
      </c>
      <c r="B88">
        <f t="shared" si="3"/>
        <v>0</v>
      </c>
      <c r="D88" t="s">
        <v>49</v>
      </c>
      <c r="E88">
        <v>1</v>
      </c>
      <c r="F88">
        <v>2</v>
      </c>
      <c r="G88">
        <v>0</v>
      </c>
      <c r="H88">
        <v>0</v>
      </c>
      <c r="I88" t="s">
        <v>317</v>
      </c>
      <c r="J88">
        <v>87</v>
      </c>
      <c r="K88" t="s">
        <v>49</v>
      </c>
      <c r="L88">
        <v>1</v>
      </c>
      <c r="M88">
        <v>2</v>
      </c>
      <c r="N88">
        <v>0</v>
      </c>
      <c r="O88">
        <v>0</v>
      </c>
      <c r="P88">
        <v>2</v>
      </c>
    </row>
    <row r="89" spans="1:16" x14ac:dyDescent="0.2">
      <c r="A89">
        <f t="shared" si="2"/>
        <v>1</v>
      </c>
      <c r="B89">
        <f t="shared" si="3"/>
        <v>0</v>
      </c>
      <c r="D89" t="s">
        <v>103</v>
      </c>
      <c r="E89">
        <v>2</v>
      </c>
      <c r="F89">
        <v>2</v>
      </c>
      <c r="G89">
        <v>0</v>
      </c>
      <c r="H89">
        <v>0</v>
      </c>
      <c r="I89" t="s">
        <v>327</v>
      </c>
      <c r="J89">
        <v>88</v>
      </c>
      <c r="K89" t="s">
        <v>56</v>
      </c>
      <c r="L89">
        <v>1</v>
      </c>
      <c r="M89">
        <v>2</v>
      </c>
      <c r="N89">
        <v>0</v>
      </c>
      <c r="O89">
        <v>0</v>
      </c>
      <c r="P89">
        <v>2</v>
      </c>
    </row>
    <row r="90" spans="1:16" x14ac:dyDescent="0.2">
      <c r="A90">
        <f t="shared" si="2"/>
        <v>1</v>
      </c>
      <c r="B90">
        <f t="shared" si="3"/>
        <v>0</v>
      </c>
      <c r="D90" t="s">
        <v>100</v>
      </c>
      <c r="E90">
        <v>1</v>
      </c>
      <c r="F90">
        <v>1</v>
      </c>
      <c r="G90">
        <v>0</v>
      </c>
      <c r="H90">
        <v>0</v>
      </c>
      <c r="I90" t="s">
        <v>327</v>
      </c>
      <c r="J90">
        <v>89</v>
      </c>
      <c r="K90" t="s">
        <v>90</v>
      </c>
      <c r="L90">
        <v>1</v>
      </c>
      <c r="M90">
        <v>1</v>
      </c>
      <c r="N90">
        <v>0</v>
      </c>
      <c r="O90">
        <v>0</v>
      </c>
      <c r="P90">
        <v>1</v>
      </c>
    </row>
    <row r="91" spans="1:16" x14ac:dyDescent="0.2">
      <c r="A91">
        <f t="shared" si="2"/>
        <v>1</v>
      </c>
      <c r="B91">
        <f t="shared" si="3"/>
        <v>0</v>
      </c>
      <c r="D91" t="s">
        <v>104</v>
      </c>
      <c r="E91">
        <v>1</v>
      </c>
      <c r="F91">
        <v>1</v>
      </c>
      <c r="G91">
        <v>0</v>
      </c>
      <c r="H91">
        <v>0</v>
      </c>
      <c r="I91" t="s">
        <v>327</v>
      </c>
      <c r="J91">
        <v>90</v>
      </c>
      <c r="K91" t="s">
        <v>100</v>
      </c>
      <c r="L91">
        <v>1</v>
      </c>
      <c r="M91">
        <v>1</v>
      </c>
      <c r="N91">
        <v>0</v>
      </c>
      <c r="O91">
        <v>0</v>
      </c>
      <c r="P91">
        <v>1</v>
      </c>
    </row>
    <row r="92" spans="1:16" x14ac:dyDescent="0.2">
      <c r="A92">
        <f t="shared" si="2"/>
        <v>1</v>
      </c>
      <c r="B92">
        <f t="shared" si="3"/>
        <v>0</v>
      </c>
      <c r="D92" t="s">
        <v>90</v>
      </c>
      <c r="E92">
        <v>1</v>
      </c>
      <c r="F92">
        <v>1</v>
      </c>
      <c r="G92">
        <v>0</v>
      </c>
      <c r="H92">
        <v>0</v>
      </c>
      <c r="I92" t="s">
        <v>327</v>
      </c>
      <c r="J92">
        <v>91</v>
      </c>
      <c r="K92" t="s">
        <v>104</v>
      </c>
      <c r="L92">
        <v>1</v>
      </c>
      <c r="M92">
        <v>1</v>
      </c>
      <c r="N92">
        <v>0</v>
      </c>
      <c r="O92">
        <v>0</v>
      </c>
      <c r="P92">
        <v>1</v>
      </c>
    </row>
    <row r="93" spans="1:16" x14ac:dyDescent="0.2">
      <c r="A93">
        <f t="shared" si="2"/>
        <v>1</v>
      </c>
      <c r="B93">
        <f t="shared" si="3"/>
        <v>0</v>
      </c>
      <c r="E93">
        <v>2</v>
      </c>
      <c r="F93">
        <v>0</v>
      </c>
      <c r="G93">
        <v>0</v>
      </c>
      <c r="H93">
        <v>0</v>
      </c>
      <c r="I93" t="s">
        <v>328</v>
      </c>
      <c r="J93">
        <v>92</v>
      </c>
      <c r="K93" t="s">
        <v>161</v>
      </c>
      <c r="L93">
        <v>0</v>
      </c>
      <c r="M93">
        <v>0</v>
      </c>
      <c r="N93">
        <v>0</v>
      </c>
      <c r="O93">
        <v>0</v>
      </c>
      <c r="P93">
        <v>0</v>
      </c>
    </row>
    <row r="94" spans="1:16" x14ac:dyDescent="0.2">
      <c r="J94">
        <v>93</v>
      </c>
      <c r="K94" t="s">
        <v>162</v>
      </c>
      <c r="L94">
        <v>0</v>
      </c>
      <c r="M94">
        <v>0</v>
      </c>
      <c r="N94">
        <v>0</v>
      </c>
      <c r="O94">
        <v>0</v>
      </c>
      <c r="P94">
        <v>0</v>
      </c>
    </row>
    <row r="95" spans="1:16" x14ac:dyDescent="0.2">
      <c r="J95">
        <v>94</v>
      </c>
      <c r="K95" t="s">
        <v>163</v>
      </c>
      <c r="L95">
        <v>0</v>
      </c>
      <c r="M95">
        <v>0</v>
      </c>
      <c r="N95">
        <v>0</v>
      </c>
      <c r="O95">
        <v>0</v>
      </c>
      <c r="P95">
        <v>0</v>
      </c>
    </row>
    <row r="96" spans="1:16" x14ac:dyDescent="0.2">
      <c r="J96">
        <v>95</v>
      </c>
      <c r="K96" t="s">
        <v>164</v>
      </c>
      <c r="L96">
        <v>0</v>
      </c>
      <c r="M96">
        <v>0</v>
      </c>
      <c r="N96">
        <v>0</v>
      </c>
      <c r="O96">
        <v>0</v>
      </c>
      <c r="P96">
        <v>0</v>
      </c>
    </row>
    <row r="97" spans="10:16" x14ac:dyDescent="0.2">
      <c r="J97">
        <v>96</v>
      </c>
      <c r="K97" t="s">
        <v>165</v>
      </c>
      <c r="L97">
        <v>0</v>
      </c>
      <c r="M97">
        <v>0</v>
      </c>
      <c r="N97">
        <v>0</v>
      </c>
      <c r="O97">
        <v>0</v>
      </c>
      <c r="P97">
        <v>0</v>
      </c>
    </row>
    <row r="98" spans="10:16" x14ac:dyDescent="0.2">
      <c r="J98">
        <v>97</v>
      </c>
      <c r="K98" t="s">
        <v>166</v>
      </c>
      <c r="L98">
        <v>0</v>
      </c>
      <c r="M98">
        <v>0</v>
      </c>
      <c r="N98">
        <v>0</v>
      </c>
      <c r="O98">
        <v>0</v>
      </c>
      <c r="P98">
        <v>0</v>
      </c>
    </row>
    <row r="99" spans="10:16" x14ac:dyDescent="0.2">
      <c r="J99">
        <v>98</v>
      </c>
      <c r="K99" t="s">
        <v>167</v>
      </c>
      <c r="L99">
        <v>0</v>
      </c>
      <c r="M99">
        <v>0</v>
      </c>
      <c r="N99">
        <v>0</v>
      </c>
      <c r="O99">
        <v>0</v>
      </c>
      <c r="P99">
        <v>0</v>
      </c>
    </row>
    <row r="100" spans="10:16" x14ac:dyDescent="0.2">
      <c r="J100">
        <v>99</v>
      </c>
      <c r="K100" t="s">
        <v>168</v>
      </c>
      <c r="L100">
        <v>0</v>
      </c>
      <c r="M100">
        <v>0</v>
      </c>
      <c r="N100">
        <v>0</v>
      </c>
      <c r="O100">
        <v>0</v>
      </c>
      <c r="P100">
        <v>0</v>
      </c>
    </row>
    <row r="101" spans="10:16" x14ac:dyDescent="0.2">
      <c r="J101">
        <v>100</v>
      </c>
      <c r="K101" t="s">
        <v>169</v>
      </c>
      <c r="L101">
        <v>0</v>
      </c>
      <c r="M101">
        <v>0</v>
      </c>
      <c r="N101">
        <v>0</v>
      </c>
      <c r="O101">
        <v>0</v>
      </c>
      <c r="P101">
        <v>0</v>
      </c>
    </row>
    <row r="102" spans="10:16" x14ac:dyDescent="0.2">
      <c r="J102">
        <v>101</v>
      </c>
      <c r="K102" t="s">
        <v>170</v>
      </c>
      <c r="L102">
        <v>0</v>
      </c>
      <c r="M102">
        <v>0</v>
      </c>
      <c r="N102">
        <v>0</v>
      </c>
      <c r="O102">
        <v>0</v>
      </c>
      <c r="P102">
        <v>0</v>
      </c>
    </row>
    <row r="103" spans="10:16" x14ac:dyDescent="0.2">
      <c r="J103">
        <v>102</v>
      </c>
      <c r="K103" t="s">
        <v>171</v>
      </c>
      <c r="L103">
        <v>0</v>
      </c>
      <c r="M103">
        <v>0</v>
      </c>
      <c r="N103">
        <v>0</v>
      </c>
      <c r="O103">
        <v>0</v>
      </c>
      <c r="P103">
        <v>0</v>
      </c>
    </row>
    <row r="104" spans="10:16" x14ac:dyDescent="0.2">
      <c r="J104">
        <v>103</v>
      </c>
      <c r="K104" t="s">
        <v>172</v>
      </c>
      <c r="L104">
        <v>0</v>
      </c>
      <c r="M104">
        <v>0</v>
      </c>
      <c r="N104">
        <v>0</v>
      </c>
      <c r="O104">
        <v>0</v>
      </c>
      <c r="P104">
        <v>0</v>
      </c>
    </row>
    <row r="105" spans="10:16" x14ac:dyDescent="0.2">
      <c r="J105">
        <v>104</v>
      </c>
      <c r="K105" t="s">
        <v>173</v>
      </c>
      <c r="L105">
        <v>0</v>
      </c>
      <c r="M105">
        <v>0</v>
      </c>
      <c r="N105">
        <v>0</v>
      </c>
      <c r="O105">
        <v>0</v>
      </c>
      <c r="P105">
        <v>0</v>
      </c>
    </row>
    <row r="106" spans="10:16" x14ac:dyDescent="0.2">
      <c r="J106">
        <v>105</v>
      </c>
      <c r="K106" t="s">
        <v>174</v>
      </c>
      <c r="L106">
        <v>0</v>
      </c>
      <c r="M106">
        <v>0</v>
      </c>
      <c r="N106">
        <v>0</v>
      </c>
      <c r="O106">
        <v>0</v>
      </c>
      <c r="P106">
        <v>0</v>
      </c>
    </row>
    <row r="107" spans="10:16" x14ac:dyDescent="0.2">
      <c r="J107">
        <v>106</v>
      </c>
      <c r="K107" t="s">
        <v>175</v>
      </c>
      <c r="L107">
        <v>0</v>
      </c>
      <c r="M107">
        <v>0</v>
      </c>
      <c r="N107">
        <v>0</v>
      </c>
      <c r="O107">
        <v>0</v>
      </c>
      <c r="P107">
        <v>0</v>
      </c>
    </row>
    <row r="108" spans="10:16" x14ac:dyDescent="0.2">
      <c r="J108">
        <v>107</v>
      </c>
      <c r="K108" t="s">
        <v>176</v>
      </c>
      <c r="L108">
        <v>0</v>
      </c>
      <c r="M108">
        <v>0</v>
      </c>
      <c r="N108">
        <v>0</v>
      </c>
      <c r="O108">
        <v>0</v>
      </c>
      <c r="P108">
        <v>0</v>
      </c>
    </row>
    <row r="109" spans="10:16" x14ac:dyDescent="0.2">
      <c r="J109">
        <v>108</v>
      </c>
      <c r="K109" t="s">
        <v>177</v>
      </c>
      <c r="L109">
        <v>0</v>
      </c>
      <c r="M109">
        <v>0</v>
      </c>
      <c r="N109">
        <v>0</v>
      </c>
      <c r="O109">
        <v>0</v>
      </c>
      <c r="P109">
        <v>0</v>
      </c>
    </row>
    <row r="110" spans="10:16" x14ac:dyDescent="0.2">
      <c r="J110">
        <v>109</v>
      </c>
      <c r="K110" t="s">
        <v>178</v>
      </c>
      <c r="L110">
        <v>0</v>
      </c>
      <c r="M110">
        <v>0</v>
      </c>
      <c r="N110">
        <v>0</v>
      </c>
      <c r="O110">
        <v>0</v>
      </c>
      <c r="P110">
        <v>0</v>
      </c>
    </row>
    <row r="111" spans="10:16" x14ac:dyDescent="0.2">
      <c r="J111">
        <v>110</v>
      </c>
      <c r="K111" t="s">
        <v>179</v>
      </c>
      <c r="L111">
        <v>0</v>
      </c>
      <c r="M111">
        <v>0</v>
      </c>
      <c r="N111">
        <v>0</v>
      </c>
      <c r="O111">
        <v>0</v>
      </c>
      <c r="P111">
        <v>0</v>
      </c>
    </row>
    <row r="112" spans="10:16" x14ac:dyDescent="0.2">
      <c r="J112">
        <v>111</v>
      </c>
      <c r="K112" t="s">
        <v>180</v>
      </c>
      <c r="L112">
        <v>0</v>
      </c>
      <c r="M112">
        <v>0</v>
      </c>
      <c r="N112">
        <v>0</v>
      </c>
      <c r="O112">
        <v>0</v>
      </c>
      <c r="P112">
        <v>0</v>
      </c>
    </row>
    <row r="113" spans="10:16" x14ac:dyDescent="0.2">
      <c r="J113">
        <v>112</v>
      </c>
      <c r="K113" t="s">
        <v>181</v>
      </c>
      <c r="L113">
        <v>0</v>
      </c>
      <c r="M113">
        <v>0</v>
      </c>
      <c r="N113">
        <v>0</v>
      </c>
      <c r="O113">
        <v>0</v>
      </c>
      <c r="P113">
        <v>0</v>
      </c>
    </row>
    <row r="114" spans="10:16" x14ac:dyDescent="0.2">
      <c r="J114">
        <v>113</v>
      </c>
      <c r="K114" t="s">
        <v>182</v>
      </c>
      <c r="L114">
        <v>0</v>
      </c>
      <c r="M114">
        <v>0</v>
      </c>
      <c r="N114">
        <v>0</v>
      </c>
      <c r="O114">
        <v>0</v>
      </c>
      <c r="P114">
        <v>0</v>
      </c>
    </row>
    <row r="115" spans="10:16" x14ac:dyDescent="0.2">
      <c r="J115">
        <v>114</v>
      </c>
      <c r="K115" t="s">
        <v>183</v>
      </c>
      <c r="L115">
        <v>0</v>
      </c>
      <c r="M115">
        <v>0</v>
      </c>
      <c r="N115">
        <v>0</v>
      </c>
      <c r="O115">
        <v>0</v>
      </c>
      <c r="P115">
        <v>0</v>
      </c>
    </row>
    <row r="116" spans="10:16" x14ac:dyDescent="0.2">
      <c r="J116">
        <v>115</v>
      </c>
      <c r="K116" t="s">
        <v>184</v>
      </c>
      <c r="L116">
        <v>0</v>
      </c>
      <c r="M116">
        <v>0</v>
      </c>
      <c r="N116">
        <v>0</v>
      </c>
      <c r="O116">
        <v>0</v>
      </c>
      <c r="P116">
        <v>0</v>
      </c>
    </row>
    <row r="117" spans="10:16" x14ac:dyDescent="0.2">
      <c r="J117">
        <v>116</v>
      </c>
      <c r="K117" t="s">
        <v>185</v>
      </c>
      <c r="L117">
        <v>0</v>
      </c>
      <c r="M117">
        <v>0</v>
      </c>
      <c r="N117">
        <v>0</v>
      </c>
      <c r="O117">
        <v>0</v>
      </c>
      <c r="P117">
        <v>0</v>
      </c>
    </row>
    <row r="118" spans="10:16" x14ac:dyDescent="0.2">
      <c r="J118">
        <v>117</v>
      </c>
      <c r="K118" t="s">
        <v>186</v>
      </c>
      <c r="L118">
        <v>0</v>
      </c>
      <c r="M118">
        <v>0</v>
      </c>
      <c r="N118">
        <v>0</v>
      </c>
      <c r="O118">
        <v>0</v>
      </c>
      <c r="P118">
        <v>0</v>
      </c>
    </row>
    <row r="119" spans="10:16" x14ac:dyDescent="0.2">
      <c r="J119">
        <v>118</v>
      </c>
      <c r="K119" t="s">
        <v>187</v>
      </c>
      <c r="L119">
        <v>0</v>
      </c>
      <c r="M119">
        <v>0</v>
      </c>
      <c r="N119">
        <v>0</v>
      </c>
      <c r="O119">
        <v>0</v>
      </c>
      <c r="P119">
        <v>0</v>
      </c>
    </row>
    <row r="120" spans="10:16" x14ac:dyDescent="0.2">
      <c r="J120">
        <v>119</v>
      </c>
      <c r="K120" t="s">
        <v>188</v>
      </c>
      <c r="L120">
        <v>0</v>
      </c>
      <c r="M120">
        <v>0</v>
      </c>
      <c r="N120">
        <v>0</v>
      </c>
      <c r="O120">
        <v>0</v>
      </c>
      <c r="P120">
        <v>0</v>
      </c>
    </row>
    <row r="121" spans="10:16" x14ac:dyDescent="0.2">
      <c r="J121">
        <v>120</v>
      </c>
      <c r="K121" t="s">
        <v>189</v>
      </c>
      <c r="L121">
        <v>0</v>
      </c>
      <c r="M121">
        <v>0</v>
      </c>
      <c r="N121">
        <v>0</v>
      </c>
      <c r="O121">
        <v>0</v>
      </c>
      <c r="P121">
        <v>0</v>
      </c>
    </row>
    <row r="122" spans="10:16" x14ac:dyDescent="0.2">
      <c r="J122">
        <v>121</v>
      </c>
      <c r="K122" t="s">
        <v>190</v>
      </c>
      <c r="L122">
        <v>0</v>
      </c>
      <c r="M122">
        <v>0</v>
      </c>
      <c r="N122">
        <v>0</v>
      </c>
      <c r="O122">
        <v>0</v>
      </c>
      <c r="P122">
        <v>0</v>
      </c>
    </row>
    <row r="123" spans="10:16" x14ac:dyDescent="0.2">
      <c r="J123">
        <v>122</v>
      </c>
      <c r="K123" t="s">
        <v>191</v>
      </c>
      <c r="L123">
        <v>0</v>
      </c>
      <c r="M123">
        <v>0</v>
      </c>
      <c r="N123">
        <v>0</v>
      </c>
      <c r="O123">
        <v>0</v>
      </c>
      <c r="P123">
        <v>0</v>
      </c>
    </row>
    <row r="124" spans="10:16" x14ac:dyDescent="0.2">
      <c r="J124">
        <v>123</v>
      </c>
      <c r="K124" t="s">
        <v>192</v>
      </c>
      <c r="L124">
        <v>0</v>
      </c>
      <c r="M124">
        <v>0</v>
      </c>
      <c r="N124">
        <v>0</v>
      </c>
      <c r="O124">
        <v>0</v>
      </c>
      <c r="P124">
        <v>0</v>
      </c>
    </row>
    <row r="125" spans="10:16" x14ac:dyDescent="0.2">
      <c r="J125">
        <v>124</v>
      </c>
      <c r="K125" t="s">
        <v>193</v>
      </c>
      <c r="L125">
        <v>0</v>
      </c>
      <c r="M125">
        <v>0</v>
      </c>
      <c r="N125">
        <v>0</v>
      </c>
      <c r="O125">
        <v>0</v>
      </c>
      <c r="P125">
        <v>0</v>
      </c>
    </row>
    <row r="126" spans="10:16" x14ac:dyDescent="0.2">
      <c r="J126">
        <v>125</v>
      </c>
      <c r="K126" t="s">
        <v>194</v>
      </c>
      <c r="L126">
        <v>0</v>
      </c>
      <c r="M126">
        <v>0</v>
      </c>
      <c r="N126">
        <v>0</v>
      </c>
      <c r="O126">
        <v>0</v>
      </c>
      <c r="P126">
        <v>0</v>
      </c>
    </row>
    <row r="127" spans="10:16" x14ac:dyDescent="0.2">
      <c r="J127">
        <v>126</v>
      </c>
      <c r="K127" t="s">
        <v>195</v>
      </c>
      <c r="L127">
        <v>0</v>
      </c>
      <c r="M127">
        <v>0</v>
      </c>
      <c r="N127">
        <v>0</v>
      </c>
      <c r="O127">
        <v>0</v>
      </c>
      <c r="P127">
        <v>0</v>
      </c>
    </row>
    <row r="128" spans="10:16" x14ac:dyDescent="0.2">
      <c r="J128">
        <v>127</v>
      </c>
      <c r="K128" t="s">
        <v>196</v>
      </c>
      <c r="L128">
        <v>0</v>
      </c>
      <c r="M128">
        <v>0</v>
      </c>
      <c r="N128">
        <v>0</v>
      </c>
      <c r="O128">
        <v>0</v>
      </c>
      <c r="P128">
        <v>0</v>
      </c>
    </row>
    <row r="129" spans="10:16" x14ac:dyDescent="0.2">
      <c r="J129">
        <v>128</v>
      </c>
      <c r="K129" t="s">
        <v>197</v>
      </c>
      <c r="L129">
        <v>0</v>
      </c>
      <c r="M129">
        <v>0</v>
      </c>
      <c r="N129">
        <v>0</v>
      </c>
      <c r="O129">
        <v>0</v>
      </c>
      <c r="P129">
        <v>0</v>
      </c>
    </row>
    <row r="130" spans="10:16" x14ac:dyDescent="0.2">
      <c r="J130">
        <v>129</v>
      </c>
      <c r="K130" t="s">
        <v>198</v>
      </c>
      <c r="L130">
        <v>0</v>
      </c>
      <c r="M130">
        <v>0</v>
      </c>
      <c r="N130">
        <v>0</v>
      </c>
      <c r="O130">
        <v>0</v>
      </c>
      <c r="P130">
        <v>0</v>
      </c>
    </row>
    <row r="131" spans="10:16" x14ac:dyDescent="0.2">
      <c r="J131">
        <v>130</v>
      </c>
      <c r="K131" t="s">
        <v>199</v>
      </c>
      <c r="L131">
        <v>0</v>
      </c>
      <c r="M131">
        <v>0</v>
      </c>
      <c r="N131">
        <v>0</v>
      </c>
      <c r="O131">
        <v>0</v>
      </c>
      <c r="P131">
        <v>0</v>
      </c>
    </row>
    <row r="132" spans="10:16" x14ac:dyDescent="0.2">
      <c r="J132">
        <v>131</v>
      </c>
      <c r="K132" t="s">
        <v>200</v>
      </c>
      <c r="L132">
        <v>0</v>
      </c>
      <c r="M132">
        <v>0</v>
      </c>
      <c r="N132">
        <v>0</v>
      </c>
      <c r="O132">
        <v>0</v>
      </c>
      <c r="P132">
        <v>0</v>
      </c>
    </row>
    <row r="133" spans="10:16" x14ac:dyDescent="0.2">
      <c r="J133">
        <v>132</v>
      </c>
      <c r="K133" t="s">
        <v>201</v>
      </c>
      <c r="L133">
        <v>0</v>
      </c>
      <c r="M133">
        <v>0</v>
      </c>
      <c r="N133">
        <v>0</v>
      </c>
      <c r="O133">
        <v>0</v>
      </c>
      <c r="P133">
        <v>0</v>
      </c>
    </row>
    <row r="134" spans="10:16" x14ac:dyDescent="0.2">
      <c r="J134">
        <v>133</v>
      </c>
      <c r="K134" t="s">
        <v>202</v>
      </c>
      <c r="L134">
        <v>0</v>
      </c>
      <c r="M134">
        <v>0</v>
      </c>
      <c r="N134">
        <v>0</v>
      </c>
      <c r="O134">
        <v>0</v>
      </c>
      <c r="P134">
        <v>0</v>
      </c>
    </row>
    <row r="135" spans="10:16" x14ac:dyDescent="0.2">
      <c r="J135">
        <v>134</v>
      </c>
      <c r="K135" t="s">
        <v>203</v>
      </c>
      <c r="L135">
        <v>0</v>
      </c>
      <c r="M135">
        <v>0</v>
      </c>
      <c r="N135">
        <v>0</v>
      </c>
      <c r="O135">
        <v>0</v>
      </c>
      <c r="P135">
        <v>0</v>
      </c>
    </row>
    <row r="136" spans="10:16" x14ac:dyDescent="0.2">
      <c r="J136">
        <v>135</v>
      </c>
      <c r="K136" t="s">
        <v>204</v>
      </c>
      <c r="L136">
        <v>0</v>
      </c>
      <c r="M136">
        <v>0</v>
      </c>
      <c r="N136">
        <v>0</v>
      </c>
      <c r="O136">
        <v>0</v>
      </c>
      <c r="P136">
        <v>0</v>
      </c>
    </row>
    <row r="137" spans="10:16" x14ac:dyDescent="0.2">
      <c r="J137">
        <v>136</v>
      </c>
      <c r="K137" t="s">
        <v>205</v>
      </c>
      <c r="L137">
        <v>0</v>
      </c>
      <c r="M137">
        <v>0</v>
      </c>
      <c r="N137">
        <v>0</v>
      </c>
      <c r="O137">
        <v>0</v>
      </c>
      <c r="P137">
        <v>0</v>
      </c>
    </row>
    <row r="138" spans="10:16" x14ac:dyDescent="0.2">
      <c r="J138">
        <v>137</v>
      </c>
      <c r="K138" t="s">
        <v>206</v>
      </c>
      <c r="L138">
        <v>0</v>
      </c>
      <c r="M138">
        <v>0</v>
      </c>
      <c r="N138">
        <v>0</v>
      </c>
      <c r="O138">
        <v>0</v>
      </c>
      <c r="P138">
        <v>0</v>
      </c>
    </row>
    <row r="139" spans="10:16" x14ac:dyDescent="0.2">
      <c r="J139">
        <v>138</v>
      </c>
      <c r="K139" t="s">
        <v>207</v>
      </c>
      <c r="L139">
        <v>0</v>
      </c>
      <c r="M139">
        <v>0</v>
      </c>
      <c r="N139">
        <v>0</v>
      </c>
      <c r="O139">
        <v>0</v>
      </c>
      <c r="P139">
        <v>0</v>
      </c>
    </row>
    <row r="140" spans="10:16" x14ac:dyDescent="0.2">
      <c r="J140">
        <v>139</v>
      </c>
      <c r="K140" t="s">
        <v>208</v>
      </c>
      <c r="L140">
        <v>0</v>
      </c>
      <c r="M140">
        <v>0</v>
      </c>
      <c r="N140">
        <v>0</v>
      </c>
      <c r="O140">
        <v>0</v>
      </c>
      <c r="P140">
        <v>0</v>
      </c>
    </row>
    <row r="141" spans="10:16" x14ac:dyDescent="0.2">
      <c r="J141">
        <v>140</v>
      </c>
      <c r="K141" t="s">
        <v>209</v>
      </c>
      <c r="L141">
        <v>0</v>
      </c>
      <c r="M141">
        <v>0</v>
      </c>
      <c r="N141">
        <v>0</v>
      </c>
      <c r="O141">
        <v>0</v>
      </c>
      <c r="P141">
        <v>0</v>
      </c>
    </row>
    <row r="142" spans="10:16" x14ac:dyDescent="0.2">
      <c r="J142">
        <v>141</v>
      </c>
      <c r="K142" t="s">
        <v>210</v>
      </c>
      <c r="L142">
        <v>0</v>
      </c>
      <c r="M142">
        <v>0</v>
      </c>
      <c r="N142">
        <v>0</v>
      </c>
      <c r="O142">
        <v>0</v>
      </c>
      <c r="P142">
        <v>0</v>
      </c>
    </row>
    <row r="143" spans="10:16" x14ac:dyDescent="0.2">
      <c r="J143">
        <v>142</v>
      </c>
      <c r="K143" t="s">
        <v>211</v>
      </c>
      <c r="L143">
        <v>0</v>
      </c>
      <c r="M143">
        <v>0</v>
      </c>
      <c r="N143">
        <v>0</v>
      </c>
      <c r="O143">
        <v>0</v>
      </c>
      <c r="P143">
        <v>0</v>
      </c>
    </row>
    <row r="144" spans="10:16" x14ac:dyDescent="0.2">
      <c r="J144">
        <v>143</v>
      </c>
      <c r="K144" t="s">
        <v>212</v>
      </c>
      <c r="L144">
        <v>0</v>
      </c>
      <c r="M144">
        <v>0</v>
      </c>
      <c r="N144">
        <v>0</v>
      </c>
      <c r="O144">
        <v>0</v>
      </c>
      <c r="P144">
        <v>0</v>
      </c>
    </row>
    <row r="145" spans="10:16" x14ac:dyDescent="0.2">
      <c r="J145">
        <v>144</v>
      </c>
      <c r="K145" t="s">
        <v>213</v>
      </c>
      <c r="L145">
        <v>0</v>
      </c>
      <c r="M145">
        <v>0</v>
      </c>
      <c r="N145">
        <v>0</v>
      </c>
      <c r="O145">
        <v>0</v>
      </c>
      <c r="P145">
        <v>0</v>
      </c>
    </row>
    <row r="146" spans="10:16" x14ac:dyDescent="0.2">
      <c r="J146">
        <v>145</v>
      </c>
      <c r="K146" t="s">
        <v>214</v>
      </c>
      <c r="L146">
        <v>0</v>
      </c>
      <c r="M146">
        <v>0</v>
      </c>
      <c r="N146">
        <v>0</v>
      </c>
      <c r="O146">
        <v>0</v>
      </c>
      <c r="P146">
        <v>0</v>
      </c>
    </row>
    <row r="147" spans="10:16" x14ac:dyDescent="0.2">
      <c r="J147">
        <v>146</v>
      </c>
      <c r="K147" t="s">
        <v>215</v>
      </c>
      <c r="L147">
        <v>0</v>
      </c>
      <c r="M147">
        <v>0</v>
      </c>
      <c r="N147">
        <v>0</v>
      </c>
      <c r="O147">
        <v>0</v>
      </c>
      <c r="P147">
        <v>0</v>
      </c>
    </row>
    <row r="148" spans="10:16" x14ac:dyDescent="0.2">
      <c r="J148">
        <v>147</v>
      </c>
      <c r="K148" t="s">
        <v>216</v>
      </c>
      <c r="L148">
        <v>0</v>
      </c>
      <c r="M148">
        <v>0</v>
      </c>
      <c r="N148">
        <v>0</v>
      </c>
      <c r="O148">
        <v>0</v>
      </c>
      <c r="P148">
        <v>0</v>
      </c>
    </row>
    <row r="149" spans="10:16" x14ac:dyDescent="0.2">
      <c r="J149">
        <v>148</v>
      </c>
      <c r="K149" t="s">
        <v>217</v>
      </c>
      <c r="L149">
        <v>0</v>
      </c>
      <c r="M149">
        <v>0</v>
      </c>
      <c r="N149">
        <v>0</v>
      </c>
      <c r="O149">
        <v>0</v>
      </c>
      <c r="P149">
        <v>0</v>
      </c>
    </row>
    <row r="150" spans="10:16" x14ac:dyDescent="0.2">
      <c r="J150">
        <v>149</v>
      </c>
      <c r="K150" t="s">
        <v>218</v>
      </c>
      <c r="L150">
        <v>0</v>
      </c>
      <c r="M150">
        <v>0</v>
      </c>
      <c r="N150">
        <v>0</v>
      </c>
      <c r="O150">
        <v>0</v>
      </c>
      <c r="P150">
        <v>0</v>
      </c>
    </row>
    <row r="151" spans="10:16" x14ac:dyDescent="0.2">
      <c r="J151">
        <v>150</v>
      </c>
      <c r="K151" t="s">
        <v>219</v>
      </c>
      <c r="L151">
        <v>0</v>
      </c>
      <c r="M151">
        <v>0</v>
      </c>
      <c r="N151">
        <v>0</v>
      </c>
      <c r="O151">
        <v>0</v>
      </c>
      <c r="P151">
        <v>0</v>
      </c>
    </row>
    <row r="152" spans="10:16" x14ac:dyDescent="0.2">
      <c r="J152">
        <v>151</v>
      </c>
      <c r="K152" t="s">
        <v>220</v>
      </c>
      <c r="L152">
        <v>0</v>
      </c>
      <c r="M152">
        <v>0</v>
      </c>
      <c r="N152">
        <v>0</v>
      </c>
      <c r="O152">
        <v>0</v>
      </c>
      <c r="P152">
        <v>0</v>
      </c>
    </row>
    <row r="153" spans="10:16" x14ac:dyDescent="0.2">
      <c r="J153">
        <v>152</v>
      </c>
      <c r="K153" t="s">
        <v>221</v>
      </c>
      <c r="L153">
        <v>0</v>
      </c>
      <c r="M153">
        <v>0</v>
      </c>
      <c r="N153">
        <v>0</v>
      </c>
      <c r="O153">
        <v>0</v>
      </c>
      <c r="P153">
        <v>0</v>
      </c>
    </row>
    <row r="154" spans="10:16" x14ac:dyDescent="0.2">
      <c r="J154">
        <v>153</v>
      </c>
      <c r="K154" t="s">
        <v>222</v>
      </c>
      <c r="L154">
        <v>0</v>
      </c>
      <c r="M154">
        <v>0</v>
      </c>
      <c r="N154">
        <v>0</v>
      </c>
      <c r="O154">
        <v>0</v>
      </c>
      <c r="P154">
        <v>0</v>
      </c>
    </row>
    <row r="155" spans="10:16" x14ac:dyDescent="0.2">
      <c r="J155">
        <v>154</v>
      </c>
      <c r="K155" t="s">
        <v>223</v>
      </c>
      <c r="L155">
        <v>0</v>
      </c>
      <c r="M155">
        <v>0</v>
      </c>
      <c r="N155">
        <v>0</v>
      </c>
      <c r="O155">
        <v>0</v>
      </c>
      <c r="P155">
        <v>0</v>
      </c>
    </row>
    <row r="156" spans="10:16" x14ac:dyDescent="0.2">
      <c r="J156">
        <v>155</v>
      </c>
      <c r="K156" t="s">
        <v>224</v>
      </c>
      <c r="L156">
        <v>0</v>
      </c>
      <c r="M156">
        <v>0</v>
      </c>
      <c r="N156">
        <v>0</v>
      </c>
      <c r="O156">
        <v>0</v>
      </c>
      <c r="P156">
        <v>0</v>
      </c>
    </row>
    <row r="157" spans="10:16" x14ac:dyDescent="0.2">
      <c r="J157">
        <v>156</v>
      </c>
      <c r="K157" t="s">
        <v>225</v>
      </c>
      <c r="L157">
        <v>0</v>
      </c>
      <c r="M157">
        <v>0</v>
      </c>
      <c r="N157">
        <v>0</v>
      </c>
      <c r="O157">
        <v>0</v>
      </c>
      <c r="P157">
        <v>0</v>
      </c>
    </row>
    <row r="158" spans="10:16" x14ac:dyDescent="0.2">
      <c r="J158">
        <v>157</v>
      </c>
      <c r="K158" t="s">
        <v>226</v>
      </c>
      <c r="L158">
        <v>0</v>
      </c>
      <c r="M158">
        <v>0</v>
      </c>
      <c r="N158">
        <v>0</v>
      </c>
      <c r="O158">
        <v>0</v>
      </c>
      <c r="P158">
        <v>0</v>
      </c>
    </row>
    <row r="159" spans="10:16" x14ac:dyDescent="0.2">
      <c r="J159">
        <v>158</v>
      </c>
      <c r="K159" t="s">
        <v>227</v>
      </c>
      <c r="L159">
        <v>0</v>
      </c>
      <c r="M159">
        <v>0</v>
      </c>
      <c r="N159">
        <v>0</v>
      </c>
      <c r="O159">
        <v>0</v>
      </c>
      <c r="P159">
        <v>0</v>
      </c>
    </row>
    <row r="160" spans="10:16" x14ac:dyDescent="0.2">
      <c r="J160">
        <v>159</v>
      </c>
      <c r="K160" t="s">
        <v>228</v>
      </c>
      <c r="L160">
        <v>0</v>
      </c>
      <c r="M160">
        <v>0</v>
      </c>
      <c r="N160">
        <v>0</v>
      </c>
      <c r="O160">
        <v>0</v>
      </c>
      <c r="P160">
        <v>0</v>
      </c>
    </row>
    <row r="161" spans="10:16" x14ac:dyDescent="0.2">
      <c r="J161">
        <v>160</v>
      </c>
      <c r="K161" t="s">
        <v>229</v>
      </c>
      <c r="L161">
        <v>0</v>
      </c>
      <c r="M161">
        <v>0</v>
      </c>
      <c r="N161">
        <v>0</v>
      </c>
      <c r="O161">
        <v>0</v>
      </c>
      <c r="P161">
        <v>0</v>
      </c>
    </row>
    <row r="162" spans="10:16" x14ac:dyDescent="0.2">
      <c r="J162">
        <v>161</v>
      </c>
      <c r="K162" t="s">
        <v>230</v>
      </c>
      <c r="L162">
        <v>0</v>
      </c>
      <c r="M162">
        <v>0</v>
      </c>
      <c r="N162">
        <v>0</v>
      </c>
      <c r="O162">
        <v>0</v>
      </c>
      <c r="P162">
        <v>0</v>
      </c>
    </row>
    <row r="163" spans="10:16" x14ac:dyDescent="0.2">
      <c r="J163">
        <v>162</v>
      </c>
      <c r="K163" t="s">
        <v>231</v>
      </c>
      <c r="L163">
        <v>0</v>
      </c>
      <c r="M163">
        <v>0</v>
      </c>
      <c r="N163">
        <v>0</v>
      </c>
      <c r="O163">
        <v>0</v>
      </c>
      <c r="P163">
        <v>0</v>
      </c>
    </row>
    <row r="164" spans="10:16" x14ac:dyDescent="0.2">
      <c r="J164">
        <v>163</v>
      </c>
      <c r="K164" t="s">
        <v>232</v>
      </c>
      <c r="L164">
        <v>0</v>
      </c>
      <c r="M164">
        <v>0</v>
      </c>
      <c r="N164">
        <v>0</v>
      </c>
      <c r="O164">
        <v>0</v>
      </c>
      <c r="P164">
        <v>0</v>
      </c>
    </row>
    <row r="165" spans="10:16" x14ac:dyDescent="0.2">
      <c r="J165">
        <v>164</v>
      </c>
      <c r="K165" t="s">
        <v>233</v>
      </c>
      <c r="L165">
        <v>0</v>
      </c>
      <c r="M165">
        <v>0</v>
      </c>
      <c r="N165">
        <v>0</v>
      </c>
      <c r="O165">
        <v>0</v>
      </c>
      <c r="P165">
        <v>0</v>
      </c>
    </row>
    <row r="166" spans="10:16" x14ac:dyDescent="0.2">
      <c r="J166">
        <v>165</v>
      </c>
      <c r="K166" t="s">
        <v>234</v>
      </c>
      <c r="L166">
        <v>0</v>
      </c>
      <c r="M166">
        <v>0</v>
      </c>
      <c r="N166">
        <v>0</v>
      </c>
      <c r="O166">
        <v>0</v>
      </c>
      <c r="P166">
        <v>0</v>
      </c>
    </row>
    <row r="167" spans="10:16" x14ac:dyDescent="0.2">
      <c r="J167">
        <v>166</v>
      </c>
      <c r="K167" t="s">
        <v>235</v>
      </c>
      <c r="L167">
        <v>0</v>
      </c>
      <c r="M167">
        <v>0</v>
      </c>
      <c r="N167">
        <v>0</v>
      </c>
      <c r="O167">
        <v>0</v>
      </c>
      <c r="P167">
        <v>0</v>
      </c>
    </row>
    <row r="168" spans="10:16" x14ac:dyDescent="0.2">
      <c r="J168">
        <v>167</v>
      </c>
      <c r="K168" t="s">
        <v>236</v>
      </c>
      <c r="L168">
        <v>0</v>
      </c>
      <c r="M168">
        <v>0</v>
      </c>
      <c r="N168">
        <v>0</v>
      </c>
      <c r="O168">
        <v>0</v>
      </c>
      <c r="P168">
        <v>0</v>
      </c>
    </row>
    <row r="169" spans="10:16" x14ac:dyDescent="0.2">
      <c r="J169">
        <v>168</v>
      </c>
      <c r="K169" t="s">
        <v>237</v>
      </c>
      <c r="L169">
        <v>0</v>
      </c>
      <c r="M169">
        <v>0</v>
      </c>
      <c r="N169">
        <v>0</v>
      </c>
      <c r="O169">
        <v>0</v>
      </c>
      <c r="P169">
        <v>0</v>
      </c>
    </row>
    <row r="170" spans="10:16" x14ac:dyDescent="0.2">
      <c r="J170">
        <v>169</v>
      </c>
      <c r="K170" t="s">
        <v>238</v>
      </c>
      <c r="L170">
        <v>0</v>
      </c>
      <c r="M170">
        <v>0</v>
      </c>
      <c r="N170">
        <v>0</v>
      </c>
      <c r="O170">
        <v>0</v>
      </c>
      <c r="P170">
        <v>0</v>
      </c>
    </row>
    <row r="171" spans="10:16" x14ac:dyDescent="0.2">
      <c r="J171">
        <v>170</v>
      </c>
      <c r="K171" t="s">
        <v>239</v>
      </c>
      <c r="L171">
        <v>0</v>
      </c>
      <c r="M171">
        <v>0</v>
      </c>
      <c r="N171">
        <v>0</v>
      </c>
      <c r="O171">
        <v>0</v>
      </c>
      <c r="P171">
        <v>0</v>
      </c>
    </row>
    <row r="172" spans="10:16" x14ac:dyDescent="0.2">
      <c r="J172">
        <v>171</v>
      </c>
      <c r="K172" t="s">
        <v>240</v>
      </c>
      <c r="L172">
        <v>0</v>
      </c>
      <c r="M172">
        <v>0</v>
      </c>
      <c r="N172">
        <v>0</v>
      </c>
      <c r="O172">
        <v>0</v>
      </c>
      <c r="P172">
        <v>0</v>
      </c>
    </row>
    <row r="173" spans="10:16" x14ac:dyDescent="0.2">
      <c r="J173">
        <v>172</v>
      </c>
      <c r="K173" t="s">
        <v>241</v>
      </c>
      <c r="L173">
        <v>0</v>
      </c>
      <c r="M173">
        <v>0</v>
      </c>
      <c r="N173">
        <v>0</v>
      </c>
      <c r="O173">
        <v>0</v>
      </c>
      <c r="P173">
        <v>0</v>
      </c>
    </row>
    <row r="174" spans="10:16" x14ac:dyDescent="0.2">
      <c r="J174">
        <v>173</v>
      </c>
      <c r="K174" t="s">
        <v>242</v>
      </c>
      <c r="L174">
        <v>0</v>
      </c>
      <c r="M174">
        <v>0</v>
      </c>
      <c r="N174">
        <v>0</v>
      </c>
      <c r="O174">
        <v>0</v>
      </c>
      <c r="P174">
        <v>0</v>
      </c>
    </row>
    <row r="175" spans="10:16" x14ac:dyDescent="0.2">
      <c r="J175">
        <v>174</v>
      </c>
      <c r="K175" t="s">
        <v>243</v>
      </c>
      <c r="L175">
        <v>0</v>
      </c>
      <c r="M175">
        <v>0</v>
      </c>
      <c r="N175">
        <v>0</v>
      </c>
      <c r="O175">
        <v>0</v>
      </c>
      <c r="P175">
        <v>0</v>
      </c>
    </row>
    <row r="176" spans="10:16" x14ac:dyDescent="0.2">
      <c r="J176">
        <v>175</v>
      </c>
      <c r="K176" t="s">
        <v>244</v>
      </c>
      <c r="L176">
        <v>0</v>
      </c>
      <c r="M176">
        <v>0</v>
      </c>
      <c r="N176">
        <v>0</v>
      </c>
      <c r="O176">
        <v>0</v>
      </c>
      <c r="P176">
        <v>0</v>
      </c>
    </row>
    <row r="177" spans="10:16" x14ac:dyDescent="0.2">
      <c r="J177">
        <v>176</v>
      </c>
      <c r="K177" t="s">
        <v>245</v>
      </c>
      <c r="L177">
        <v>0</v>
      </c>
      <c r="M177">
        <v>0</v>
      </c>
      <c r="N177">
        <v>0</v>
      </c>
      <c r="O177">
        <v>0</v>
      </c>
      <c r="P177">
        <v>0</v>
      </c>
    </row>
    <row r="178" spans="10:16" x14ac:dyDescent="0.2">
      <c r="J178">
        <v>177</v>
      </c>
      <c r="K178" t="s">
        <v>246</v>
      </c>
      <c r="L178">
        <v>0</v>
      </c>
      <c r="M178">
        <v>0</v>
      </c>
      <c r="N178">
        <v>0</v>
      </c>
      <c r="O178">
        <v>0</v>
      </c>
      <c r="P178">
        <v>0</v>
      </c>
    </row>
    <row r="179" spans="10:16" x14ac:dyDescent="0.2">
      <c r="J179">
        <v>178</v>
      </c>
      <c r="K179" t="s">
        <v>247</v>
      </c>
      <c r="L179">
        <v>0</v>
      </c>
      <c r="M179">
        <v>0</v>
      </c>
      <c r="N179">
        <v>0</v>
      </c>
      <c r="O179">
        <v>0</v>
      </c>
      <c r="P179">
        <v>0</v>
      </c>
    </row>
    <row r="180" spans="10:16" x14ac:dyDescent="0.2">
      <c r="J180">
        <v>179</v>
      </c>
      <c r="K180" t="s">
        <v>248</v>
      </c>
      <c r="L180">
        <v>0</v>
      </c>
      <c r="M180">
        <v>0</v>
      </c>
      <c r="N180">
        <v>0</v>
      </c>
      <c r="O180">
        <v>0</v>
      </c>
      <c r="P180">
        <v>0</v>
      </c>
    </row>
    <row r="181" spans="10:16" x14ac:dyDescent="0.2">
      <c r="J181">
        <v>180</v>
      </c>
      <c r="K181" t="s">
        <v>249</v>
      </c>
      <c r="L181">
        <v>0</v>
      </c>
      <c r="M181">
        <v>0</v>
      </c>
      <c r="N181">
        <v>0</v>
      </c>
      <c r="O181">
        <v>0</v>
      </c>
      <c r="P181">
        <v>0</v>
      </c>
    </row>
    <row r="182" spans="10:16" x14ac:dyDescent="0.2">
      <c r="J182">
        <v>181</v>
      </c>
      <c r="K182" t="s">
        <v>250</v>
      </c>
      <c r="L182">
        <v>0</v>
      </c>
      <c r="M182">
        <v>0</v>
      </c>
      <c r="N182">
        <v>0</v>
      </c>
      <c r="O182">
        <v>0</v>
      </c>
      <c r="P182">
        <v>0</v>
      </c>
    </row>
    <row r="183" spans="10:16" x14ac:dyDescent="0.2">
      <c r="J183">
        <v>182</v>
      </c>
      <c r="K183" t="s">
        <v>251</v>
      </c>
      <c r="L183">
        <v>0</v>
      </c>
      <c r="M183">
        <v>0</v>
      </c>
      <c r="N183">
        <v>0</v>
      </c>
      <c r="O183">
        <v>0</v>
      </c>
      <c r="P183">
        <v>0</v>
      </c>
    </row>
    <row r="184" spans="10:16" x14ac:dyDescent="0.2">
      <c r="J184">
        <v>183</v>
      </c>
      <c r="K184" t="s">
        <v>252</v>
      </c>
      <c r="L184">
        <v>0</v>
      </c>
      <c r="M184">
        <v>0</v>
      </c>
      <c r="N184">
        <v>0</v>
      </c>
      <c r="O184">
        <v>0</v>
      </c>
      <c r="P184">
        <v>0</v>
      </c>
    </row>
    <row r="185" spans="10:16" x14ac:dyDescent="0.2">
      <c r="J185">
        <v>184</v>
      </c>
      <c r="K185" t="s">
        <v>253</v>
      </c>
      <c r="L185">
        <v>0</v>
      </c>
      <c r="M185">
        <v>0</v>
      </c>
      <c r="N185">
        <v>0</v>
      </c>
      <c r="O185">
        <v>0</v>
      </c>
      <c r="P185">
        <v>0</v>
      </c>
    </row>
    <row r="186" spans="10:16" x14ac:dyDescent="0.2">
      <c r="J186">
        <v>185</v>
      </c>
      <c r="K186" t="s">
        <v>254</v>
      </c>
      <c r="L186">
        <v>0</v>
      </c>
      <c r="M186">
        <v>0</v>
      </c>
      <c r="N186">
        <v>0</v>
      </c>
      <c r="O186">
        <v>0</v>
      </c>
      <c r="P186">
        <v>0</v>
      </c>
    </row>
    <row r="187" spans="10:16" x14ac:dyDescent="0.2">
      <c r="J187">
        <v>186</v>
      </c>
      <c r="K187" t="s">
        <v>255</v>
      </c>
      <c r="L187">
        <v>0</v>
      </c>
      <c r="M187">
        <v>0</v>
      </c>
      <c r="N187">
        <v>0</v>
      </c>
      <c r="O187">
        <v>0</v>
      </c>
      <c r="P187">
        <v>0</v>
      </c>
    </row>
    <row r="188" spans="10:16" x14ac:dyDescent="0.2">
      <c r="J188">
        <v>187</v>
      </c>
      <c r="K188" t="s">
        <v>256</v>
      </c>
      <c r="L188">
        <v>0</v>
      </c>
      <c r="M188">
        <v>0</v>
      </c>
      <c r="N188">
        <v>0</v>
      </c>
      <c r="O188">
        <v>0</v>
      </c>
      <c r="P188">
        <v>0</v>
      </c>
    </row>
    <row r="189" spans="10:16" x14ac:dyDescent="0.2">
      <c r="J189">
        <v>188</v>
      </c>
      <c r="K189" t="s">
        <v>257</v>
      </c>
      <c r="L189">
        <v>0</v>
      </c>
      <c r="M189">
        <v>0</v>
      </c>
      <c r="N189">
        <v>0</v>
      </c>
      <c r="O189">
        <v>0</v>
      </c>
      <c r="P189">
        <v>0</v>
      </c>
    </row>
    <row r="190" spans="10:16" x14ac:dyDescent="0.2">
      <c r="J190">
        <v>189</v>
      </c>
      <c r="K190" t="s">
        <v>258</v>
      </c>
      <c r="L190">
        <v>0</v>
      </c>
      <c r="M190">
        <v>0</v>
      </c>
      <c r="N190">
        <v>0</v>
      </c>
      <c r="O190">
        <v>0</v>
      </c>
      <c r="P190">
        <v>0</v>
      </c>
    </row>
    <row r="191" spans="10:16" x14ac:dyDescent="0.2">
      <c r="J191">
        <v>190</v>
      </c>
      <c r="K191" t="s">
        <v>259</v>
      </c>
      <c r="L191">
        <v>0</v>
      </c>
      <c r="M191">
        <v>0</v>
      </c>
      <c r="N191">
        <v>0</v>
      </c>
      <c r="O191">
        <v>0</v>
      </c>
      <c r="P191">
        <v>0</v>
      </c>
    </row>
    <row r="192" spans="10:16" x14ac:dyDescent="0.2">
      <c r="J192">
        <v>191</v>
      </c>
      <c r="K192" t="s">
        <v>260</v>
      </c>
      <c r="L192">
        <v>0</v>
      </c>
      <c r="M192">
        <v>0</v>
      </c>
      <c r="N192">
        <v>0</v>
      </c>
      <c r="O192">
        <v>0</v>
      </c>
      <c r="P192">
        <v>0</v>
      </c>
    </row>
    <row r="193" spans="10:16" x14ac:dyDescent="0.2">
      <c r="J193">
        <v>192</v>
      </c>
      <c r="K193" t="s">
        <v>261</v>
      </c>
      <c r="L193">
        <v>0</v>
      </c>
      <c r="M193">
        <v>0</v>
      </c>
      <c r="N193">
        <v>0</v>
      </c>
      <c r="O193">
        <v>0</v>
      </c>
      <c r="P193">
        <v>0</v>
      </c>
    </row>
    <row r="194" spans="10:16" x14ac:dyDescent="0.2">
      <c r="J194">
        <v>193</v>
      </c>
      <c r="K194" t="s">
        <v>262</v>
      </c>
      <c r="L194">
        <v>0</v>
      </c>
      <c r="M194">
        <v>0</v>
      </c>
      <c r="N194">
        <v>0</v>
      </c>
      <c r="O194">
        <v>0</v>
      </c>
      <c r="P194">
        <v>0</v>
      </c>
    </row>
    <row r="195" spans="10:16" x14ac:dyDescent="0.2">
      <c r="J195">
        <v>194</v>
      </c>
      <c r="K195" t="s">
        <v>263</v>
      </c>
      <c r="L195">
        <v>0</v>
      </c>
      <c r="M195">
        <v>0</v>
      </c>
      <c r="N195">
        <v>0</v>
      </c>
      <c r="O195">
        <v>0</v>
      </c>
      <c r="P195">
        <v>0</v>
      </c>
    </row>
    <row r="196" spans="10:16" x14ac:dyDescent="0.2">
      <c r="J196">
        <v>195</v>
      </c>
      <c r="K196" t="s">
        <v>264</v>
      </c>
      <c r="L196">
        <v>0</v>
      </c>
      <c r="M196">
        <v>0</v>
      </c>
      <c r="N196">
        <v>0</v>
      </c>
      <c r="O196">
        <v>0</v>
      </c>
      <c r="P196">
        <v>0</v>
      </c>
    </row>
    <row r="197" spans="10:16" x14ac:dyDescent="0.2">
      <c r="J197">
        <v>196</v>
      </c>
      <c r="K197" t="s">
        <v>265</v>
      </c>
      <c r="L197">
        <v>0</v>
      </c>
      <c r="M197">
        <v>0</v>
      </c>
      <c r="N197">
        <v>0</v>
      </c>
      <c r="O197">
        <v>0</v>
      </c>
      <c r="P197">
        <v>0</v>
      </c>
    </row>
    <row r="198" spans="10:16" x14ac:dyDescent="0.2">
      <c r="J198">
        <v>197</v>
      </c>
      <c r="K198" t="s">
        <v>266</v>
      </c>
      <c r="L198">
        <v>0</v>
      </c>
      <c r="M198">
        <v>0</v>
      </c>
      <c r="N198">
        <v>0</v>
      </c>
      <c r="O198">
        <v>0</v>
      </c>
      <c r="P198">
        <v>0</v>
      </c>
    </row>
    <row r="199" spans="10:16" x14ac:dyDescent="0.2">
      <c r="J199">
        <v>198</v>
      </c>
      <c r="K199" t="s">
        <v>267</v>
      </c>
      <c r="L199">
        <v>0</v>
      </c>
      <c r="M199">
        <v>0</v>
      </c>
      <c r="N199">
        <v>0</v>
      </c>
      <c r="O199">
        <v>0</v>
      </c>
      <c r="P199">
        <v>0</v>
      </c>
    </row>
    <row r="200" spans="10:16" x14ac:dyDescent="0.2">
      <c r="J200">
        <v>199</v>
      </c>
      <c r="K200" t="s">
        <v>268</v>
      </c>
      <c r="L200">
        <v>0</v>
      </c>
      <c r="M200">
        <v>0</v>
      </c>
      <c r="N200">
        <v>0</v>
      </c>
      <c r="O200">
        <v>0</v>
      </c>
      <c r="P200">
        <v>0</v>
      </c>
    </row>
    <row r="201" spans="10:16" x14ac:dyDescent="0.2">
      <c r="J201">
        <v>200</v>
      </c>
      <c r="K201" t="s">
        <v>269</v>
      </c>
      <c r="L201">
        <v>0</v>
      </c>
      <c r="M201">
        <v>0</v>
      </c>
      <c r="N201">
        <v>0</v>
      </c>
      <c r="O201">
        <v>0</v>
      </c>
      <c r="P201">
        <v>0</v>
      </c>
    </row>
    <row r="202" spans="10:16" x14ac:dyDescent="0.2">
      <c r="J202">
        <v>201</v>
      </c>
      <c r="K202" t="s">
        <v>270</v>
      </c>
      <c r="L202">
        <v>0</v>
      </c>
      <c r="M202">
        <v>0</v>
      </c>
      <c r="N202">
        <v>0</v>
      </c>
      <c r="O202">
        <v>0</v>
      </c>
      <c r="P202">
        <v>0</v>
      </c>
    </row>
    <row r="203" spans="10:16" x14ac:dyDescent="0.2">
      <c r="J203">
        <v>202</v>
      </c>
      <c r="K203" t="s">
        <v>271</v>
      </c>
      <c r="L203">
        <v>0</v>
      </c>
      <c r="M203">
        <v>0</v>
      </c>
      <c r="N203">
        <v>0</v>
      </c>
      <c r="O203">
        <v>0</v>
      </c>
      <c r="P203">
        <v>0</v>
      </c>
    </row>
    <row r="204" spans="10:16" x14ac:dyDescent="0.2">
      <c r="J204">
        <v>203</v>
      </c>
      <c r="K204" t="s">
        <v>272</v>
      </c>
      <c r="L204">
        <v>0</v>
      </c>
      <c r="M204">
        <v>0</v>
      </c>
      <c r="N204">
        <v>0</v>
      </c>
      <c r="O204">
        <v>0</v>
      </c>
      <c r="P204">
        <v>0</v>
      </c>
    </row>
    <row r="205" spans="10:16" x14ac:dyDescent="0.2">
      <c r="J205">
        <v>204</v>
      </c>
      <c r="K205" t="s">
        <v>273</v>
      </c>
      <c r="L205">
        <v>0</v>
      </c>
      <c r="M205">
        <v>0</v>
      </c>
      <c r="N205">
        <v>0</v>
      </c>
      <c r="O205">
        <v>0</v>
      </c>
      <c r="P205">
        <v>0</v>
      </c>
    </row>
    <row r="206" spans="10:16" x14ac:dyDescent="0.2">
      <c r="J206">
        <v>205</v>
      </c>
      <c r="K206" t="s">
        <v>274</v>
      </c>
      <c r="L206">
        <v>0</v>
      </c>
      <c r="M206">
        <v>0</v>
      </c>
      <c r="N206">
        <v>0</v>
      </c>
      <c r="O206">
        <v>0</v>
      </c>
      <c r="P206">
        <v>0</v>
      </c>
    </row>
    <row r="207" spans="10:16" x14ac:dyDescent="0.2">
      <c r="J207">
        <v>206</v>
      </c>
      <c r="K207" t="s">
        <v>275</v>
      </c>
      <c r="L207">
        <v>0</v>
      </c>
      <c r="M207">
        <v>0</v>
      </c>
      <c r="N207">
        <v>0</v>
      </c>
      <c r="O207">
        <v>0</v>
      </c>
      <c r="P207">
        <v>0</v>
      </c>
    </row>
    <row r="208" spans="10:16" x14ac:dyDescent="0.2">
      <c r="J208">
        <v>207</v>
      </c>
      <c r="K208" t="s">
        <v>276</v>
      </c>
      <c r="L208">
        <v>0</v>
      </c>
      <c r="M208">
        <v>0</v>
      </c>
      <c r="N208">
        <v>0</v>
      </c>
      <c r="O208">
        <v>0</v>
      </c>
      <c r="P208">
        <v>0</v>
      </c>
    </row>
    <row r="209" spans="10:16" x14ac:dyDescent="0.2">
      <c r="J209">
        <v>208</v>
      </c>
      <c r="K209" t="s">
        <v>277</v>
      </c>
      <c r="L209">
        <v>0</v>
      </c>
      <c r="M209">
        <v>0</v>
      </c>
      <c r="N209">
        <v>0</v>
      </c>
      <c r="O209">
        <v>0</v>
      </c>
      <c r="P209">
        <v>0</v>
      </c>
    </row>
    <row r="210" spans="10:16" x14ac:dyDescent="0.2">
      <c r="J210">
        <v>209</v>
      </c>
      <c r="K210" t="s">
        <v>278</v>
      </c>
      <c r="L210">
        <v>0</v>
      </c>
      <c r="M210">
        <v>0</v>
      </c>
      <c r="N210">
        <v>0</v>
      </c>
      <c r="O210">
        <v>0</v>
      </c>
      <c r="P210">
        <v>0</v>
      </c>
    </row>
    <row r="211" spans="10:16" x14ac:dyDescent="0.2">
      <c r="J211">
        <v>210</v>
      </c>
      <c r="K211" t="s">
        <v>279</v>
      </c>
      <c r="L211">
        <v>0</v>
      </c>
      <c r="M211">
        <v>0</v>
      </c>
      <c r="N211">
        <v>0</v>
      </c>
      <c r="O211">
        <v>0</v>
      </c>
      <c r="P211">
        <v>0</v>
      </c>
    </row>
    <row r="212" spans="10:16" x14ac:dyDescent="0.2">
      <c r="J212">
        <v>211</v>
      </c>
      <c r="K212" t="s">
        <v>280</v>
      </c>
      <c r="L212">
        <v>0</v>
      </c>
      <c r="M212">
        <v>0</v>
      </c>
      <c r="N212">
        <v>0</v>
      </c>
      <c r="O212">
        <v>0</v>
      </c>
      <c r="P212">
        <v>0</v>
      </c>
    </row>
    <row r="213" spans="10:16" x14ac:dyDescent="0.2">
      <c r="J213">
        <v>212</v>
      </c>
      <c r="K213" t="s">
        <v>281</v>
      </c>
      <c r="L213">
        <v>0</v>
      </c>
      <c r="M213">
        <v>0</v>
      </c>
      <c r="N213">
        <v>0</v>
      </c>
      <c r="O213">
        <v>0</v>
      </c>
      <c r="P213">
        <v>0</v>
      </c>
    </row>
    <row r="214" spans="10:16" x14ac:dyDescent="0.2">
      <c r="J214">
        <v>213</v>
      </c>
      <c r="K214" t="s">
        <v>282</v>
      </c>
      <c r="L214">
        <v>0</v>
      </c>
      <c r="M214">
        <v>0</v>
      </c>
      <c r="N214">
        <v>0</v>
      </c>
      <c r="O214">
        <v>0</v>
      </c>
      <c r="P214">
        <v>0</v>
      </c>
    </row>
    <row r="215" spans="10:16" x14ac:dyDescent="0.2">
      <c r="J215">
        <v>214</v>
      </c>
      <c r="K215" t="s">
        <v>283</v>
      </c>
      <c r="L215">
        <v>0</v>
      </c>
      <c r="M215">
        <v>0</v>
      </c>
      <c r="N215">
        <v>0</v>
      </c>
      <c r="O215">
        <v>0</v>
      </c>
      <c r="P215">
        <v>0</v>
      </c>
    </row>
    <row r="216" spans="10:16" x14ac:dyDescent="0.2">
      <c r="J216">
        <v>215</v>
      </c>
      <c r="K216" t="s">
        <v>284</v>
      </c>
      <c r="L216">
        <v>0</v>
      </c>
      <c r="M216">
        <v>0</v>
      </c>
      <c r="N216">
        <v>0</v>
      </c>
      <c r="O216">
        <v>0</v>
      </c>
      <c r="P216">
        <v>0</v>
      </c>
    </row>
    <row r="217" spans="10:16" x14ac:dyDescent="0.2">
      <c r="J217">
        <v>216</v>
      </c>
      <c r="K217" t="s">
        <v>285</v>
      </c>
      <c r="L217">
        <v>0</v>
      </c>
      <c r="M217">
        <v>0</v>
      </c>
      <c r="N217">
        <v>0</v>
      </c>
      <c r="O217">
        <v>0</v>
      </c>
      <c r="P217">
        <v>0</v>
      </c>
    </row>
    <row r="218" spans="10:16" x14ac:dyDescent="0.2">
      <c r="J218">
        <v>217</v>
      </c>
      <c r="K218" t="s">
        <v>286</v>
      </c>
      <c r="L218">
        <v>0</v>
      </c>
      <c r="M218">
        <v>0</v>
      </c>
      <c r="N218">
        <v>0</v>
      </c>
      <c r="O218">
        <v>0</v>
      </c>
      <c r="P218">
        <v>0</v>
      </c>
    </row>
    <row r="219" spans="10:16" x14ac:dyDescent="0.2">
      <c r="J219">
        <v>218</v>
      </c>
      <c r="K219" t="s">
        <v>287</v>
      </c>
      <c r="L219">
        <v>0</v>
      </c>
      <c r="M219">
        <v>0</v>
      </c>
      <c r="N219">
        <v>0</v>
      </c>
      <c r="O219">
        <v>0</v>
      </c>
      <c r="P219">
        <v>0</v>
      </c>
    </row>
    <row r="220" spans="10:16" x14ac:dyDescent="0.2">
      <c r="J220">
        <v>219</v>
      </c>
      <c r="K220" t="s">
        <v>288</v>
      </c>
      <c r="L220">
        <v>0</v>
      </c>
      <c r="M220">
        <v>0</v>
      </c>
      <c r="N220">
        <v>0</v>
      </c>
      <c r="O220">
        <v>0</v>
      </c>
      <c r="P220">
        <v>0</v>
      </c>
    </row>
    <row r="221" spans="10:16" x14ac:dyDescent="0.2">
      <c r="J221">
        <v>220</v>
      </c>
      <c r="K221" t="s">
        <v>289</v>
      </c>
      <c r="L221">
        <v>0</v>
      </c>
      <c r="M221">
        <v>0</v>
      </c>
      <c r="N221">
        <v>0</v>
      </c>
      <c r="O221">
        <v>0</v>
      </c>
      <c r="P221">
        <v>0</v>
      </c>
    </row>
    <row r="222" spans="10:16" x14ac:dyDescent="0.2">
      <c r="J222">
        <v>221</v>
      </c>
      <c r="K222" t="s">
        <v>290</v>
      </c>
      <c r="L222">
        <v>0</v>
      </c>
      <c r="M222">
        <v>0</v>
      </c>
      <c r="N222">
        <v>0</v>
      </c>
      <c r="O222">
        <v>0</v>
      </c>
      <c r="P222">
        <v>0</v>
      </c>
    </row>
    <row r="223" spans="10:16" x14ac:dyDescent="0.2">
      <c r="J223">
        <v>222</v>
      </c>
      <c r="K223" t="s">
        <v>291</v>
      </c>
      <c r="L223">
        <v>0</v>
      </c>
      <c r="M223">
        <v>0</v>
      </c>
      <c r="N223">
        <v>0</v>
      </c>
      <c r="O223">
        <v>0</v>
      </c>
      <c r="P223">
        <v>0</v>
      </c>
    </row>
    <row r="224" spans="10:16" x14ac:dyDescent="0.2">
      <c r="J224">
        <v>223</v>
      </c>
      <c r="K224" t="s">
        <v>292</v>
      </c>
      <c r="L224">
        <v>0</v>
      </c>
      <c r="M224">
        <v>0</v>
      </c>
      <c r="N224">
        <v>0</v>
      </c>
      <c r="O224">
        <v>0</v>
      </c>
      <c r="P224">
        <v>0</v>
      </c>
    </row>
    <row r="225" spans="10:16" x14ac:dyDescent="0.2">
      <c r="J225">
        <v>224</v>
      </c>
      <c r="K225" t="s">
        <v>293</v>
      </c>
      <c r="L225">
        <v>0</v>
      </c>
      <c r="M225">
        <v>0</v>
      </c>
      <c r="N225">
        <v>0</v>
      </c>
      <c r="O225">
        <v>0</v>
      </c>
      <c r="P225">
        <v>0</v>
      </c>
    </row>
    <row r="226" spans="10:16" x14ac:dyDescent="0.2">
      <c r="J226">
        <v>225</v>
      </c>
      <c r="K226" t="s">
        <v>294</v>
      </c>
      <c r="L226">
        <v>0</v>
      </c>
      <c r="M226">
        <v>0</v>
      </c>
      <c r="N226">
        <v>0</v>
      </c>
      <c r="O226">
        <v>0</v>
      </c>
      <c r="P226">
        <v>0</v>
      </c>
    </row>
    <row r="227" spans="10:16" x14ac:dyDescent="0.2">
      <c r="J227">
        <v>226</v>
      </c>
      <c r="K227" t="s">
        <v>295</v>
      </c>
      <c r="L227">
        <v>0</v>
      </c>
      <c r="M227">
        <v>0</v>
      </c>
      <c r="N227">
        <v>0</v>
      </c>
      <c r="O227">
        <v>0</v>
      </c>
      <c r="P227">
        <v>0</v>
      </c>
    </row>
    <row r="228" spans="10:16" x14ac:dyDescent="0.2">
      <c r="J228">
        <v>227</v>
      </c>
      <c r="K228" t="s">
        <v>296</v>
      </c>
      <c r="L228">
        <v>0</v>
      </c>
      <c r="M228">
        <v>0</v>
      </c>
      <c r="N228">
        <v>0</v>
      </c>
      <c r="O228">
        <v>0</v>
      </c>
      <c r="P228">
        <v>0</v>
      </c>
    </row>
    <row r="229" spans="10:16" x14ac:dyDescent="0.2">
      <c r="J229">
        <v>228</v>
      </c>
      <c r="K229" t="s">
        <v>297</v>
      </c>
      <c r="L229">
        <v>0</v>
      </c>
      <c r="M229">
        <v>0</v>
      </c>
      <c r="N229">
        <v>0</v>
      </c>
      <c r="O229">
        <v>0</v>
      </c>
      <c r="P229">
        <v>0</v>
      </c>
    </row>
    <row r="230" spans="10:16" x14ac:dyDescent="0.2">
      <c r="J230">
        <v>229</v>
      </c>
      <c r="K230" t="s">
        <v>298</v>
      </c>
      <c r="L230">
        <v>0</v>
      </c>
      <c r="M230">
        <v>0</v>
      </c>
      <c r="N230">
        <v>0</v>
      </c>
      <c r="O230">
        <v>0</v>
      </c>
      <c r="P230">
        <v>0</v>
      </c>
    </row>
    <row r="231" spans="10:16" x14ac:dyDescent="0.2">
      <c r="J231">
        <v>230</v>
      </c>
      <c r="K231" t="s">
        <v>299</v>
      </c>
      <c r="L231">
        <v>0</v>
      </c>
      <c r="M231">
        <v>0</v>
      </c>
      <c r="N231">
        <v>0</v>
      </c>
      <c r="O231">
        <v>0</v>
      </c>
      <c r="P231">
        <v>0</v>
      </c>
    </row>
    <row r="232" spans="10:16" x14ac:dyDescent="0.2">
      <c r="J232">
        <v>231</v>
      </c>
      <c r="K232" t="s">
        <v>300</v>
      </c>
      <c r="L232">
        <v>0</v>
      </c>
      <c r="M232">
        <v>0</v>
      </c>
      <c r="N232">
        <v>0</v>
      </c>
      <c r="O232">
        <v>0</v>
      </c>
      <c r="P232">
        <v>0</v>
      </c>
    </row>
    <row r="233" spans="10:16" x14ac:dyDescent="0.2">
      <c r="J233">
        <v>232</v>
      </c>
      <c r="K233" t="s">
        <v>301</v>
      </c>
      <c r="L233">
        <v>0</v>
      </c>
      <c r="M233">
        <v>0</v>
      </c>
      <c r="N233">
        <v>0</v>
      </c>
      <c r="O233">
        <v>0</v>
      </c>
      <c r="P233">
        <v>0</v>
      </c>
    </row>
    <row r="234" spans="10:16" x14ac:dyDescent="0.2">
      <c r="J234">
        <v>233</v>
      </c>
      <c r="K234" t="s">
        <v>302</v>
      </c>
      <c r="L234">
        <v>0</v>
      </c>
      <c r="M234">
        <v>0</v>
      </c>
      <c r="N234">
        <v>0</v>
      </c>
      <c r="O234">
        <v>0</v>
      </c>
      <c r="P234">
        <v>0</v>
      </c>
    </row>
    <row r="235" spans="10:16" x14ac:dyDescent="0.2">
      <c r="J235">
        <v>234</v>
      </c>
      <c r="K235" t="s">
        <v>303</v>
      </c>
      <c r="L235">
        <v>0</v>
      </c>
      <c r="M235">
        <v>0</v>
      </c>
      <c r="N235">
        <v>0</v>
      </c>
      <c r="O235">
        <v>0</v>
      </c>
      <c r="P235">
        <v>0</v>
      </c>
    </row>
    <row r="236" spans="10:16" x14ac:dyDescent="0.2">
      <c r="J236">
        <v>235</v>
      </c>
      <c r="K236" t="s">
        <v>304</v>
      </c>
      <c r="L236">
        <v>0</v>
      </c>
      <c r="M236">
        <v>0</v>
      </c>
      <c r="N236">
        <v>0</v>
      </c>
      <c r="O236">
        <v>0</v>
      </c>
      <c r="P236">
        <v>0</v>
      </c>
    </row>
    <row r="237" spans="10:16" x14ac:dyDescent="0.2">
      <c r="J237">
        <v>236</v>
      </c>
      <c r="K237" t="s">
        <v>102</v>
      </c>
      <c r="L237">
        <v>0</v>
      </c>
      <c r="M237">
        <v>0</v>
      </c>
      <c r="N237">
        <v>0</v>
      </c>
      <c r="O237">
        <v>0</v>
      </c>
      <c r="P237">
        <v>0</v>
      </c>
    </row>
    <row r="238" spans="10:16" x14ac:dyDescent="0.2">
      <c r="J238">
        <v>237</v>
      </c>
      <c r="K238" t="s">
        <v>305</v>
      </c>
      <c r="L238">
        <v>0</v>
      </c>
      <c r="M238">
        <v>0</v>
      </c>
      <c r="N238">
        <v>0</v>
      </c>
      <c r="O238">
        <v>0</v>
      </c>
      <c r="P238">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2AC6A-D734-5D4A-888F-581D67063B6D}">
  <sheetPr codeName="Sheet5"/>
  <dimension ref="A1:E1119"/>
  <sheetViews>
    <sheetView zoomScale="73" zoomScaleNormal="73" workbookViewId="0">
      <selection activeCell="E2" sqref="E2"/>
    </sheetView>
  </sheetViews>
  <sheetFormatPr baseColWidth="10" defaultRowHeight="16" x14ac:dyDescent="0.2"/>
  <cols>
    <col min="5" max="5" width="10.83203125" style="3"/>
  </cols>
  <sheetData>
    <row r="1" spans="1:5" x14ac:dyDescent="0.2">
      <c r="A1" s="1" t="s">
        <v>0</v>
      </c>
      <c r="E1" s="5" t="s">
        <v>306</v>
      </c>
    </row>
    <row r="2" spans="1:5" x14ac:dyDescent="0.2">
      <c r="A2" s="1" t="s">
        <v>1</v>
      </c>
      <c r="B2" s="1" t="s">
        <v>2</v>
      </c>
      <c r="C2" s="1" t="s">
        <v>3</v>
      </c>
      <c r="D2" s="1" t="s">
        <v>4</v>
      </c>
      <c r="E2" s="4">
        <v>1</v>
      </c>
    </row>
    <row r="3" spans="1:5" x14ac:dyDescent="0.2">
      <c r="A3">
        <v>1</v>
      </c>
      <c r="B3" t="s">
        <v>45</v>
      </c>
      <c r="C3">
        <v>5</v>
      </c>
      <c r="D3">
        <v>16</v>
      </c>
      <c r="E3" s="3">
        <f>1</f>
        <v>1</v>
      </c>
    </row>
    <row r="4" spans="1:5" x14ac:dyDescent="0.2">
      <c r="A4">
        <v>2</v>
      </c>
      <c r="B4" t="s">
        <v>25</v>
      </c>
      <c r="C4">
        <v>0</v>
      </c>
      <c r="D4">
        <v>12</v>
      </c>
      <c r="E4" s="3">
        <f>IF(A4=$A$1,E3+1,E3)</f>
        <v>1</v>
      </c>
    </row>
    <row r="5" spans="1:5" x14ac:dyDescent="0.2">
      <c r="A5">
        <v>3</v>
      </c>
      <c r="B5" t="s">
        <v>74</v>
      </c>
      <c r="C5">
        <v>0</v>
      </c>
      <c r="D5">
        <v>8</v>
      </c>
      <c r="E5" s="3">
        <f>1</f>
        <v>1</v>
      </c>
    </row>
    <row r="6" spans="1:5" x14ac:dyDescent="0.2">
      <c r="A6">
        <v>4</v>
      </c>
      <c r="B6" t="s">
        <v>31</v>
      </c>
      <c r="C6">
        <v>0</v>
      </c>
      <c r="D6">
        <v>4</v>
      </c>
      <c r="E6" s="3">
        <f>IF(A6=$A$1,E5+1,E5)</f>
        <v>1</v>
      </c>
    </row>
    <row r="7" spans="1:5" x14ac:dyDescent="0.2">
      <c r="A7">
        <v>5</v>
      </c>
      <c r="B7" t="s">
        <v>96</v>
      </c>
      <c r="C7">
        <v>0</v>
      </c>
      <c r="D7">
        <v>2</v>
      </c>
      <c r="E7" s="3">
        <f>1</f>
        <v>1</v>
      </c>
    </row>
    <row r="8" spans="1:5" x14ac:dyDescent="0.2">
      <c r="A8">
        <v>6</v>
      </c>
      <c r="B8" t="s">
        <v>28</v>
      </c>
      <c r="C8">
        <v>0</v>
      </c>
      <c r="D8">
        <v>1</v>
      </c>
      <c r="E8" s="3">
        <f>IF(A8=$A$1,E7+1,E7)</f>
        <v>1</v>
      </c>
    </row>
    <row r="9" spans="1:5" x14ac:dyDescent="0.2">
      <c r="A9">
        <v>7</v>
      </c>
      <c r="B9" s="2" t="s">
        <v>10</v>
      </c>
      <c r="C9" s="2" t="s">
        <v>10</v>
      </c>
      <c r="D9" s="2" t="s">
        <v>10</v>
      </c>
      <c r="E9" s="3">
        <f>1</f>
        <v>1</v>
      </c>
    </row>
    <row r="10" spans="1:5" x14ac:dyDescent="0.2">
      <c r="A10">
        <v>8</v>
      </c>
      <c r="B10" s="2" t="s">
        <v>10</v>
      </c>
      <c r="C10" s="2" t="s">
        <v>10</v>
      </c>
      <c r="D10" s="2" t="s">
        <v>10</v>
      </c>
      <c r="E10" s="3">
        <f>IF(A10=$A$1,E9+1,E9)</f>
        <v>1</v>
      </c>
    </row>
    <row r="11" spans="1:5" x14ac:dyDescent="0.2">
      <c r="A11" s="1" t="s">
        <v>11</v>
      </c>
      <c r="E11" s="3">
        <f>1</f>
        <v>1</v>
      </c>
    </row>
    <row r="12" spans="1:5" x14ac:dyDescent="0.2">
      <c r="A12" s="1" t="s">
        <v>1</v>
      </c>
      <c r="B12" s="1" t="s">
        <v>2</v>
      </c>
      <c r="C12" s="1" t="s">
        <v>3</v>
      </c>
      <c r="D12" s="1" t="s">
        <v>4</v>
      </c>
      <c r="E12" s="3">
        <f>IF(A12=$A$1,E11+1,E11)</f>
        <v>1</v>
      </c>
    </row>
    <row r="13" spans="1:5" x14ac:dyDescent="0.2">
      <c r="A13">
        <v>1</v>
      </c>
      <c r="B13" t="s">
        <v>41</v>
      </c>
      <c r="C13">
        <v>2</v>
      </c>
      <c r="D13">
        <v>16</v>
      </c>
      <c r="E13" s="3">
        <f>1</f>
        <v>1</v>
      </c>
    </row>
    <row r="14" spans="1:5" x14ac:dyDescent="0.2">
      <c r="A14">
        <v>2</v>
      </c>
      <c r="B14" t="s">
        <v>101</v>
      </c>
      <c r="C14">
        <v>1</v>
      </c>
      <c r="D14">
        <v>12</v>
      </c>
      <c r="E14" s="3">
        <f>IF(A14=$A$1,E13+1,E13)</f>
        <v>1</v>
      </c>
    </row>
    <row r="15" spans="1:5" x14ac:dyDescent="0.2">
      <c r="A15">
        <v>3</v>
      </c>
      <c r="B15" t="s">
        <v>102</v>
      </c>
      <c r="C15">
        <v>1</v>
      </c>
      <c r="D15">
        <v>8</v>
      </c>
      <c r="E15" s="3">
        <f>1</f>
        <v>1</v>
      </c>
    </row>
    <row r="16" spans="1:5" x14ac:dyDescent="0.2">
      <c r="A16">
        <v>4</v>
      </c>
      <c r="B16" t="s">
        <v>9</v>
      </c>
      <c r="C16">
        <v>1</v>
      </c>
      <c r="D16">
        <v>4</v>
      </c>
      <c r="E16" s="3">
        <f>IF(A16=$A$1,E15+1,E15)</f>
        <v>1</v>
      </c>
    </row>
    <row r="17" spans="1:5" x14ac:dyDescent="0.2">
      <c r="A17">
        <v>5</v>
      </c>
      <c r="B17" t="s">
        <v>40</v>
      </c>
      <c r="C17">
        <v>0</v>
      </c>
      <c r="D17">
        <v>2</v>
      </c>
      <c r="E17" s="3">
        <f>1</f>
        <v>1</v>
      </c>
    </row>
    <row r="18" spans="1:5" x14ac:dyDescent="0.2">
      <c r="A18">
        <v>6</v>
      </c>
      <c r="B18" t="s">
        <v>26</v>
      </c>
      <c r="C18">
        <v>0</v>
      </c>
      <c r="D18">
        <v>1</v>
      </c>
      <c r="E18" s="3">
        <f>IF(A18=$A$1,E17+1,E17)</f>
        <v>1</v>
      </c>
    </row>
    <row r="19" spans="1:5" x14ac:dyDescent="0.2">
      <c r="A19">
        <v>7</v>
      </c>
      <c r="B19" s="2" t="s">
        <v>10</v>
      </c>
      <c r="C19" s="2" t="s">
        <v>10</v>
      </c>
      <c r="D19" s="2" t="s">
        <v>10</v>
      </c>
      <c r="E19" s="3">
        <f>1</f>
        <v>1</v>
      </c>
    </row>
    <row r="20" spans="1:5" x14ac:dyDescent="0.2">
      <c r="A20">
        <v>8</v>
      </c>
      <c r="B20" s="2" t="s">
        <v>10</v>
      </c>
      <c r="C20" s="2" t="s">
        <v>10</v>
      </c>
      <c r="D20" s="2" t="s">
        <v>10</v>
      </c>
      <c r="E20" s="3">
        <f>IF(A20=$A$1,E19+1,E19)</f>
        <v>1</v>
      </c>
    </row>
    <row r="21" spans="1:5" x14ac:dyDescent="0.2">
      <c r="A21" s="1" t="s">
        <v>17</v>
      </c>
      <c r="E21" s="3">
        <f>1</f>
        <v>1</v>
      </c>
    </row>
    <row r="22" spans="1:5" x14ac:dyDescent="0.2">
      <c r="A22" s="1" t="s">
        <v>1</v>
      </c>
      <c r="B22" s="1" t="s">
        <v>2</v>
      </c>
      <c r="C22" s="1" t="s">
        <v>3</v>
      </c>
      <c r="D22" s="1" t="s">
        <v>4</v>
      </c>
      <c r="E22" s="3">
        <f>IF(A22=$A$1,E21+1,E21)</f>
        <v>1</v>
      </c>
    </row>
    <row r="23" spans="1:5" x14ac:dyDescent="0.2">
      <c r="A23">
        <v>1</v>
      </c>
      <c r="B23" t="s">
        <v>87</v>
      </c>
      <c r="C23">
        <v>2</v>
      </c>
      <c r="D23">
        <v>15</v>
      </c>
      <c r="E23" s="3">
        <f>1</f>
        <v>1</v>
      </c>
    </row>
    <row r="24" spans="1:5" x14ac:dyDescent="0.2">
      <c r="A24">
        <v>2</v>
      </c>
      <c r="B24" t="s">
        <v>8</v>
      </c>
      <c r="C24">
        <v>1</v>
      </c>
      <c r="D24">
        <v>11</v>
      </c>
      <c r="E24" s="3">
        <f>IF(A24=$A$1,E23+1,E23)</f>
        <v>1</v>
      </c>
    </row>
    <row r="25" spans="1:5" x14ac:dyDescent="0.2">
      <c r="A25">
        <v>3</v>
      </c>
      <c r="B25" t="s">
        <v>33</v>
      </c>
      <c r="C25">
        <v>1</v>
      </c>
      <c r="D25">
        <v>7</v>
      </c>
      <c r="E25" s="3">
        <f>1</f>
        <v>1</v>
      </c>
    </row>
    <row r="26" spans="1:5" x14ac:dyDescent="0.2">
      <c r="A26">
        <v>4</v>
      </c>
      <c r="B26" t="s">
        <v>47</v>
      </c>
      <c r="C26">
        <v>0</v>
      </c>
      <c r="D26">
        <v>3</v>
      </c>
      <c r="E26" s="3">
        <f>IF(A26=$A$1,E25+1,E25)</f>
        <v>1</v>
      </c>
    </row>
    <row r="27" spans="1:5" x14ac:dyDescent="0.2">
      <c r="A27">
        <v>5</v>
      </c>
      <c r="B27" t="s">
        <v>23</v>
      </c>
      <c r="C27">
        <v>0</v>
      </c>
      <c r="D27">
        <v>1</v>
      </c>
      <c r="E27" s="3">
        <f>1</f>
        <v>1</v>
      </c>
    </row>
    <row r="28" spans="1:5" x14ac:dyDescent="0.2">
      <c r="A28">
        <v>6</v>
      </c>
      <c r="B28" s="2" t="s">
        <v>10</v>
      </c>
      <c r="C28" s="2" t="s">
        <v>10</v>
      </c>
      <c r="D28" s="2" t="s">
        <v>10</v>
      </c>
      <c r="E28" s="3">
        <f>IF(A28=$A$1,E27+1,E27)</f>
        <v>1</v>
      </c>
    </row>
    <row r="29" spans="1:5" x14ac:dyDescent="0.2">
      <c r="A29">
        <v>7</v>
      </c>
      <c r="B29" s="2" t="s">
        <v>10</v>
      </c>
      <c r="C29" s="2" t="s">
        <v>10</v>
      </c>
      <c r="D29" s="2" t="s">
        <v>10</v>
      </c>
      <c r="E29" s="3">
        <f>1</f>
        <v>1</v>
      </c>
    </row>
    <row r="30" spans="1:5" x14ac:dyDescent="0.2">
      <c r="A30">
        <v>8</v>
      </c>
      <c r="B30" s="2" t="s">
        <v>10</v>
      </c>
      <c r="C30" s="2" t="s">
        <v>10</v>
      </c>
      <c r="D30" s="2" t="s">
        <v>10</v>
      </c>
      <c r="E30" s="3">
        <f>IF(A30=$A$1,E29+1,E29)</f>
        <v>1</v>
      </c>
    </row>
    <row r="31" spans="1:5" x14ac:dyDescent="0.2">
      <c r="A31" s="1" t="s">
        <v>24</v>
      </c>
      <c r="E31" s="3">
        <f>1</f>
        <v>1</v>
      </c>
    </row>
    <row r="32" spans="1:5" x14ac:dyDescent="0.2">
      <c r="A32" s="1" t="s">
        <v>1</v>
      </c>
      <c r="B32" s="1" t="s">
        <v>2</v>
      </c>
      <c r="C32" s="1" t="s">
        <v>3</v>
      </c>
      <c r="D32" s="1" t="s">
        <v>4</v>
      </c>
      <c r="E32" s="3">
        <f t="shared" ref="E32:E95" si="0">IF(A32=$A$1,E31+1,E31)</f>
        <v>1</v>
      </c>
    </row>
    <row r="33" spans="1:5" x14ac:dyDescent="0.2">
      <c r="A33">
        <v>1</v>
      </c>
      <c r="B33" t="s">
        <v>22</v>
      </c>
      <c r="C33">
        <v>2</v>
      </c>
      <c r="D33">
        <v>16</v>
      </c>
      <c r="E33" s="3">
        <f t="shared" si="0"/>
        <v>1</v>
      </c>
    </row>
    <row r="34" spans="1:5" x14ac:dyDescent="0.2">
      <c r="A34">
        <v>2</v>
      </c>
      <c r="B34" t="s">
        <v>103</v>
      </c>
      <c r="C34">
        <v>1</v>
      </c>
      <c r="D34">
        <v>12</v>
      </c>
      <c r="E34" s="3">
        <f t="shared" si="0"/>
        <v>1</v>
      </c>
    </row>
    <row r="35" spans="1:5" x14ac:dyDescent="0.2">
      <c r="A35">
        <v>3</v>
      </c>
      <c r="B35" t="s">
        <v>18</v>
      </c>
      <c r="C35">
        <v>1</v>
      </c>
      <c r="D35">
        <v>8</v>
      </c>
      <c r="E35" s="3">
        <f t="shared" si="0"/>
        <v>1</v>
      </c>
    </row>
    <row r="36" spans="1:5" x14ac:dyDescent="0.2">
      <c r="A36">
        <v>4</v>
      </c>
      <c r="B36" t="s">
        <v>32</v>
      </c>
      <c r="C36">
        <v>1</v>
      </c>
      <c r="D36">
        <v>4</v>
      </c>
      <c r="E36" s="3">
        <f t="shared" si="0"/>
        <v>1</v>
      </c>
    </row>
    <row r="37" spans="1:5" x14ac:dyDescent="0.2">
      <c r="A37">
        <v>5</v>
      </c>
      <c r="B37" t="s">
        <v>19</v>
      </c>
      <c r="C37">
        <v>0</v>
      </c>
      <c r="D37">
        <v>2</v>
      </c>
      <c r="E37" s="3">
        <f t="shared" si="0"/>
        <v>1</v>
      </c>
    </row>
    <row r="38" spans="1:5" x14ac:dyDescent="0.2">
      <c r="A38">
        <v>6</v>
      </c>
      <c r="B38" t="s">
        <v>75</v>
      </c>
      <c r="C38">
        <v>0</v>
      </c>
      <c r="D38">
        <v>1</v>
      </c>
      <c r="E38" s="3">
        <f t="shared" si="0"/>
        <v>1</v>
      </c>
    </row>
    <row r="39" spans="1:5" x14ac:dyDescent="0.2">
      <c r="A39">
        <v>7</v>
      </c>
      <c r="B39" s="2" t="s">
        <v>10</v>
      </c>
      <c r="C39" s="2" t="s">
        <v>10</v>
      </c>
      <c r="D39" s="2" t="s">
        <v>10</v>
      </c>
      <c r="E39" s="3">
        <f t="shared" si="0"/>
        <v>1</v>
      </c>
    </row>
    <row r="40" spans="1:5" x14ac:dyDescent="0.2">
      <c r="A40">
        <v>8</v>
      </c>
      <c r="B40" s="2" t="s">
        <v>10</v>
      </c>
      <c r="C40" s="2" t="s">
        <v>10</v>
      </c>
      <c r="D40" s="2" t="s">
        <v>10</v>
      </c>
      <c r="E40" s="3">
        <f t="shared" si="0"/>
        <v>1</v>
      </c>
    </row>
    <row r="41" spans="1:5" x14ac:dyDescent="0.2">
      <c r="A41" s="1" t="s">
        <v>30</v>
      </c>
      <c r="E41" s="3">
        <f t="shared" si="0"/>
        <v>1</v>
      </c>
    </row>
    <row r="42" spans="1:5" x14ac:dyDescent="0.2">
      <c r="A42" s="1" t="s">
        <v>1</v>
      </c>
      <c r="B42" s="1" t="s">
        <v>2</v>
      </c>
      <c r="C42" s="1" t="s">
        <v>3</v>
      </c>
      <c r="D42" s="1" t="s">
        <v>4</v>
      </c>
      <c r="E42" s="3">
        <f t="shared" si="0"/>
        <v>1</v>
      </c>
    </row>
    <row r="43" spans="1:5" x14ac:dyDescent="0.2">
      <c r="A43">
        <v>1</v>
      </c>
      <c r="B43" t="s">
        <v>46</v>
      </c>
      <c r="C43">
        <v>3</v>
      </c>
      <c r="D43">
        <v>15</v>
      </c>
      <c r="E43" s="3">
        <f t="shared" si="0"/>
        <v>1</v>
      </c>
    </row>
    <row r="44" spans="1:5" x14ac:dyDescent="0.2">
      <c r="A44">
        <v>2</v>
      </c>
      <c r="B44" t="s">
        <v>35</v>
      </c>
      <c r="C44">
        <v>1</v>
      </c>
      <c r="D44">
        <v>11</v>
      </c>
      <c r="E44" s="3">
        <f t="shared" si="0"/>
        <v>1</v>
      </c>
    </row>
    <row r="45" spans="1:5" x14ac:dyDescent="0.2">
      <c r="A45">
        <v>3</v>
      </c>
      <c r="B45" t="s">
        <v>6</v>
      </c>
      <c r="C45">
        <v>0</v>
      </c>
      <c r="D45">
        <v>7</v>
      </c>
      <c r="E45" s="3">
        <f t="shared" si="0"/>
        <v>1</v>
      </c>
    </row>
    <row r="46" spans="1:5" x14ac:dyDescent="0.2">
      <c r="A46">
        <v>4</v>
      </c>
      <c r="B46" t="s">
        <v>69</v>
      </c>
      <c r="C46">
        <v>0</v>
      </c>
      <c r="D46">
        <v>3</v>
      </c>
      <c r="E46" s="3">
        <f t="shared" si="0"/>
        <v>1</v>
      </c>
    </row>
    <row r="47" spans="1:5" x14ac:dyDescent="0.2">
      <c r="A47">
        <v>5</v>
      </c>
      <c r="B47" t="s">
        <v>15</v>
      </c>
      <c r="C47">
        <v>0</v>
      </c>
      <c r="D47">
        <v>1</v>
      </c>
      <c r="E47" s="3">
        <f t="shared" si="0"/>
        <v>1</v>
      </c>
    </row>
    <row r="48" spans="1:5" x14ac:dyDescent="0.2">
      <c r="A48">
        <v>6</v>
      </c>
      <c r="B48" s="2" t="s">
        <v>10</v>
      </c>
      <c r="C48" s="2" t="s">
        <v>10</v>
      </c>
      <c r="D48" s="2" t="s">
        <v>10</v>
      </c>
      <c r="E48" s="3">
        <f t="shared" si="0"/>
        <v>1</v>
      </c>
    </row>
    <row r="49" spans="1:5" x14ac:dyDescent="0.2">
      <c r="A49">
        <v>7</v>
      </c>
      <c r="B49" s="2" t="s">
        <v>10</v>
      </c>
      <c r="C49" s="2" t="s">
        <v>10</v>
      </c>
      <c r="D49" s="2" t="s">
        <v>10</v>
      </c>
      <c r="E49" s="3">
        <f t="shared" si="0"/>
        <v>1</v>
      </c>
    </row>
    <row r="50" spans="1:5" x14ac:dyDescent="0.2">
      <c r="A50">
        <v>8</v>
      </c>
      <c r="B50" s="2" t="s">
        <v>10</v>
      </c>
      <c r="C50" s="2" t="s">
        <v>10</v>
      </c>
      <c r="D50" s="2" t="s">
        <v>10</v>
      </c>
      <c r="E50" s="3">
        <f t="shared" si="0"/>
        <v>1</v>
      </c>
    </row>
    <row r="51" spans="1:5" x14ac:dyDescent="0.2">
      <c r="A51" s="1" t="s">
        <v>37</v>
      </c>
      <c r="E51" s="3">
        <f t="shared" si="0"/>
        <v>1</v>
      </c>
    </row>
    <row r="52" spans="1:5" x14ac:dyDescent="0.2">
      <c r="A52" s="1" t="s">
        <v>1</v>
      </c>
      <c r="B52" s="1" t="s">
        <v>2</v>
      </c>
      <c r="C52" s="1" t="s">
        <v>3</v>
      </c>
      <c r="D52" s="1" t="s">
        <v>4</v>
      </c>
      <c r="E52" s="3">
        <f t="shared" si="0"/>
        <v>1</v>
      </c>
    </row>
    <row r="53" spans="1:5" x14ac:dyDescent="0.2">
      <c r="A53">
        <v>1</v>
      </c>
      <c r="B53" t="s">
        <v>55</v>
      </c>
      <c r="C53">
        <v>4</v>
      </c>
      <c r="D53">
        <v>16</v>
      </c>
      <c r="E53" s="3">
        <f t="shared" si="0"/>
        <v>1</v>
      </c>
    </row>
    <row r="54" spans="1:5" x14ac:dyDescent="0.2">
      <c r="A54">
        <v>2</v>
      </c>
      <c r="B54" t="s">
        <v>60</v>
      </c>
      <c r="C54">
        <v>1</v>
      </c>
      <c r="D54">
        <v>12</v>
      </c>
      <c r="E54" s="3">
        <f t="shared" si="0"/>
        <v>1</v>
      </c>
    </row>
    <row r="55" spans="1:5" x14ac:dyDescent="0.2">
      <c r="A55">
        <v>3</v>
      </c>
      <c r="B55" t="s">
        <v>14</v>
      </c>
      <c r="C55">
        <v>0</v>
      </c>
      <c r="D55">
        <v>8</v>
      </c>
      <c r="E55" s="3">
        <f t="shared" si="0"/>
        <v>1</v>
      </c>
    </row>
    <row r="56" spans="1:5" x14ac:dyDescent="0.2">
      <c r="A56">
        <v>4</v>
      </c>
      <c r="B56" t="s">
        <v>97</v>
      </c>
      <c r="C56">
        <v>0</v>
      </c>
      <c r="D56">
        <v>4</v>
      </c>
      <c r="E56" s="3">
        <f t="shared" si="0"/>
        <v>1</v>
      </c>
    </row>
    <row r="57" spans="1:5" x14ac:dyDescent="0.2">
      <c r="A57">
        <v>5</v>
      </c>
      <c r="B57" t="s">
        <v>59</v>
      </c>
      <c r="C57">
        <v>0</v>
      </c>
      <c r="D57">
        <v>2</v>
      </c>
      <c r="E57" s="3">
        <f t="shared" si="0"/>
        <v>1</v>
      </c>
    </row>
    <row r="58" spans="1:5" x14ac:dyDescent="0.2">
      <c r="A58">
        <v>6</v>
      </c>
      <c r="B58" t="s">
        <v>39</v>
      </c>
      <c r="C58">
        <v>0</v>
      </c>
      <c r="D58">
        <v>1</v>
      </c>
      <c r="E58" s="3">
        <f t="shared" si="0"/>
        <v>1</v>
      </c>
    </row>
    <row r="59" spans="1:5" x14ac:dyDescent="0.2">
      <c r="A59">
        <v>7</v>
      </c>
      <c r="B59" s="2" t="s">
        <v>10</v>
      </c>
      <c r="C59" s="2" t="s">
        <v>10</v>
      </c>
      <c r="D59" s="2" t="s">
        <v>10</v>
      </c>
      <c r="E59" s="3">
        <f t="shared" si="0"/>
        <v>1</v>
      </c>
    </row>
    <row r="60" spans="1:5" x14ac:dyDescent="0.2">
      <c r="A60">
        <v>8</v>
      </c>
      <c r="B60" s="2" t="s">
        <v>10</v>
      </c>
      <c r="C60" s="2" t="s">
        <v>10</v>
      </c>
      <c r="D60" s="2" t="s">
        <v>10</v>
      </c>
      <c r="E60" s="3">
        <f t="shared" si="0"/>
        <v>1</v>
      </c>
    </row>
    <row r="61" spans="1:5" x14ac:dyDescent="0.2">
      <c r="A61" s="1" t="s">
        <v>0</v>
      </c>
      <c r="E61" s="3">
        <f t="shared" si="0"/>
        <v>2</v>
      </c>
    </row>
    <row r="62" spans="1:5" x14ac:dyDescent="0.2">
      <c r="A62" s="1" t="s">
        <v>1</v>
      </c>
      <c r="B62" s="1" t="s">
        <v>2</v>
      </c>
      <c r="C62" s="1" t="s">
        <v>3</v>
      </c>
      <c r="D62" s="1" t="s">
        <v>4</v>
      </c>
      <c r="E62" s="3">
        <f t="shared" si="0"/>
        <v>2</v>
      </c>
    </row>
    <row r="63" spans="1:5" x14ac:dyDescent="0.2">
      <c r="A63">
        <v>1</v>
      </c>
      <c r="B63" t="s">
        <v>12</v>
      </c>
      <c r="C63">
        <v>4</v>
      </c>
      <c r="D63">
        <v>16</v>
      </c>
      <c r="E63" s="3">
        <f t="shared" si="0"/>
        <v>2</v>
      </c>
    </row>
    <row r="64" spans="1:5" x14ac:dyDescent="0.2">
      <c r="A64">
        <v>2</v>
      </c>
      <c r="B64" t="s">
        <v>46</v>
      </c>
      <c r="C64">
        <v>1</v>
      </c>
      <c r="D64">
        <v>12</v>
      </c>
      <c r="E64" s="3">
        <f t="shared" si="0"/>
        <v>2</v>
      </c>
    </row>
    <row r="65" spans="1:5" x14ac:dyDescent="0.2">
      <c r="A65">
        <v>3</v>
      </c>
      <c r="B65" t="s">
        <v>102</v>
      </c>
      <c r="C65">
        <v>0</v>
      </c>
      <c r="D65">
        <v>8</v>
      </c>
      <c r="E65" s="3">
        <f t="shared" si="0"/>
        <v>2</v>
      </c>
    </row>
    <row r="66" spans="1:5" x14ac:dyDescent="0.2">
      <c r="A66">
        <v>4</v>
      </c>
      <c r="B66" t="s">
        <v>45</v>
      </c>
      <c r="C66">
        <v>0</v>
      </c>
      <c r="D66">
        <v>4</v>
      </c>
      <c r="E66" s="3">
        <f t="shared" si="0"/>
        <v>2</v>
      </c>
    </row>
    <row r="67" spans="1:5" x14ac:dyDescent="0.2">
      <c r="A67">
        <v>5</v>
      </c>
      <c r="B67" t="s">
        <v>32</v>
      </c>
      <c r="C67">
        <v>0</v>
      </c>
      <c r="D67">
        <v>2</v>
      </c>
      <c r="E67" s="3">
        <f t="shared" si="0"/>
        <v>2</v>
      </c>
    </row>
    <row r="68" spans="1:5" x14ac:dyDescent="0.2">
      <c r="A68">
        <v>6</v>
      </c>
      <c r="B68" t="s">
        <v>69</v>
      </c>
      <c r="C68">
        <v>0</v>
      </c>
      <c r="D68">
        <v>1</v>
      </c>
      <c r="E68" s="3">
        <f t="shared" si="0"/>
        <v>2</v>
      </c>
    </row>
    <row r="69" spans="1:5" x14ac:dyDescent="0.2">
      <c r="A69">
        <v>7</v>
      </c>
      <c r="B69" s="2" t="s">
        <v>10</v>
      </c>
      <c r="C69" s="2" t="s">
        <v>10</v>
      </c>
      <c r="D69" s="2" t="s">
        <v>10</v>
      </c>
      <c r="E69" s="3">
        <f t="shared" si="0"/>
        <v>2</v>
      </c>
    </row>
    <row r="70" spans="1:5" x14ac:dyDescent="0.2">
      <c r="A70">
        <v>8</v>
      </c>
      <c r="B70" s="2" t="s">
        <v>10</v>
      </c>
      <c r="C70" s="2" t="s">
        <v>10</v>
      </c>
      <c r="D70" s="2" t="s">
        <v>10</v>
      </c>
      <c r="E70" s="3">
        <f t="shared" si="0"/>
        <v>2</v>
      </c>
    </row>
    <row r="71" spans="1:5" x14ac:dyDescent="0.2">
      <c r="A71" s="1" t="s">
        <v>11</v>
      </c>
      <c r="E71" s="3">
        <f t="shared" si="0"/>
        <v>2</v>
      </c>
    </row>
    <row r="72" spans="1:5" x14ac:dyDescent="0.2">
      <c r="A72" s="1" t="s">
        <v>1</v>
      </c>
      <c r="B72" s="1" t="s">
        <v>2</v>
      </c>
      <c r="C72" s="1" t="s">
        <v>3</v>
      </c>
      <c r="D72" s="1" t="s">
        <v>4</v>
      </c>
      <c r="E72" s="3">
        <f t="shared" si="0"/>
        <v>2</v>
      </c>
    </row>
    <row r="73" spans="1:5" x14ac:dyDescent="0.2">
      <c r="A73">
        <v>1</v>
      </c>
      <c r="B73" t="s">
        <v>8</v>
      </c>
      <c r="C73">
        <v>1</v>
      </c>
      <c r="D73">
        <v>16</v>
      </c>
      <c r="E73" s="3">
        <f t="shared" si="0"/>
        <v>2</v>
      </c>
    </row>
    <row r="74" spans="1:5" x14ac:dyDescent="0.2">
      <c r="A74">
        <v>2</v>
      </c>
      <c r="B74" t="s">
        <v>42</v>
      </c>
      <c r="C74">
        <v>3</v>
      </c>
      <c r="D74">
        <v>12</v>
      </c>
      <c r="E74" s="3">
        <f t="shared" si="0"/>
        <v>2</v>
      </c>
    </row>
    <row r="75" spans="1:5" x14ac:dyDescent="0.2">
      <c r="A75">
        <v>3</v>
      </c>
      <c r="B75" t="s">
        <v>40</v>
      </c>
      <c r="C75">
        <v>1</v>
      </c>
      <c r="D75">
        <v>8</v>
      </c>
      <c r="E75" s="3">
        <f t="shared" si="0"/>
        <v>2</v>
      </c>
    </row>
    <row r="76" spans="1:5" x14ac:dyDescent="0.2">
      <c r="A76">
        <v>4</v>
      </c>
      <c r="B76" t="s">
        <v>65</v>
      </c>
      <c r="C76">
        <v>0</v>
      </c>
      <c r="D76">
        <v>4</v>
      </c>
      <c r="E76" s="3">
        <f t="shared" si="0"/>
        <v>2</v>
      </c>
    </row>
    <row r="77" spans="1:5" x14ac:dyDescent="0.2">
      <c r="A77">
        <v>5</v>
      </c>
      <c r="B77" t="s">
        <v>101</v>
      </c>
      <c r="C77">
        <v>0</v>
      </c>
      <c r="D77">
        <v>2</v>
      </c>
      <c r="E77" s="3">
        <f t="shared" si="0"/>
        <v>2</v>
      </c>
    </row>
    <row r="78" spans="1:5" x14ac:dyDescent="0.2">
      <c r="A78">
        <v>6</v>
      </c>
      <c r="B78" t="s">
        <v>28</v>
      </c>
      <c r="C78">
        <v>0</v>
      </c>
      <c r="D78">
        <v>1</v>
      </c>
      <c r="E78" s="3">
        <f t="shared" si="0"/>
        <v>2</v>
      </c>
    </row>
    <row r="79" spans="1:5" x14ac:dyDescent="0.2">
      <c r="A79">
        <v>7</v>
      </c>
      <c r="B79" s="2" t="s">
        <v>10</v>
      </c>
      <c r="C79" s="2" t="s">
        <v>10</v>
      </c>
      <c r="D79" s="2" t="s">
        <v>10</v>
      </c>
      <c r="E79" s="3">
        <f t="shared" si="0"/>
        <v>2</v>
      </c>
    </row>
    <row r="80" spans="1:5" x14ac:dyDescent="0.2">
      <c r="A80">
        <v>8</v>
      </c>
      <c r="B80" s="2" t="s">
        <v>10</v>
      </c>
      <c r="C80" s="2" t="s">
        <v>10</v>
      </c>
      <c r="D80" s="2" t="s">
        <v>10</v>
      </c>
      <c r="E80" s="3">
        <f t="shared" si="0"/>
        <v>2</v>
      </c>
    </row>
    <row r="81" spans="1:5" x14ac:dyDescent="0.2">
      <c r="A81" s="1" t="s">
        <v>17</v>
      </c>
      <c r="E81" s="3">
        <f t="shared" si="0"/>
        <v>2</v>
      </c>
    </row>
    <row r="82" spans="1:5" x14ac:dyDescent="0.2">
      <c r="A82" s="1" t="s">
        <v>1</v>
      </c>
      <c r="B82" s="1" t="s">
        <v>2</v>
      </c>
      <c r="C82" s="1" t="s">
        <v>3</v>
      </c>
      <c r="D82" s="1" t="s">
        <v>4</v>
      </c>
      <c r="E82" s="3">
        <f t="shared" si="0"/>
        <v>2</v>
      </c>
    </row>
    <row r="83" spans="1:5" x14ac:dyDescent="0.2">
      <c r="A83">
        <v>1</v>
      </c>
      <c r="B83" t="s">
        <v>14</v>
      </c>
      <c r="C83">
        <v>2</v>
      </c>
      <c r="D83">
        <v>16</v>
      </c>
      <c r="E83" s="3">
        <f t="shared" si="0"/>
        <v>2</v>
      </c>
    </row>
    <row r="84" spans="1:5" x14ac:dyDescent="0.2">
      <c r="A84">
        <v>2</v>
      </c>
      <c r="B84" t="s">
        <v>74</v>
      </c>
      <c r="C84">
        <v>2</v>
      </c>
      <c r="D84">
        <v>12</v>
      </c>
      <c r="E84" s="3">
        <f t="shared" si="0"/>
        <v>2</v>
      </c>
    </row>
    <row r="85" spans="1:5" x14ac:dyDescent="0.2">
      <c r="A85">
        <v>3</v>
      </c>
      <c r="B85" t="s">
        <v>9</v>
      </c>
      <c r="C85">
        <v>0</v>
      </c>
      <c r="D85">
        <v>8</v>
      </c>
      <c r="E85" s="3">
        <f t="shared" si="0"/>
        <v>2</v>
      </c>
    </row>
    <row r="86" spans="1:5" x14ac:dyDescent="0.2">
      <c r="A86">
        <v>4</v>
      </c>
      <c r="B86" t="s">
        <v>41</v>
      </c>
      <c r="C86">
        <v>1</v>
      </c>
      <c r="D86">
        <v>4</v>
      </c>
      <c r="E86" s="3">
        <f t="shared" si="0"/>
        <v>2</v>
      </c>
    </row>
    <row r="87" spans="1:5" x14ac:dyDescent="0.2">
      <c r="A87">
        <v>5</v>
      </c>
      <c r="B87" t="s">
        <v>33</v>
      </c>
      <c r="C87">
        <v>0</v>
      </c>
      <c r="D87">
        <v>2</v>
      </c>
      <c r="E87" s="3">
        <f t="shared" si="0"/>
        <v>2</v>
      </c>
    </row>
    <row r="88" spans="1:5" x14ac:dyDescent="0.2">
      <c r="A88">
        <v>6</v>
      </c>
      <c r="B88" t="s">
        <v>31</v>
      </c>
      <c r="C88">
        <v>0</v>
      </c>
      <c r="D88">
        <v>1</v>
      </c>
      <c r="E88" s="3">
        <f t="shared" si="0"/>
        <v>2</v>
      </c>
    </row>
    <row r="89" spans="1:5" x14ac:dyDescent="0.2">
      <c r="A89">
        <v>7</v>
      </c>
      <c r="B89" s="2" t="s">
        <v>10</v>
      </c>
      <c r="C89" s="2" t="s">
        <v>10</v>
      </c>
      <c r="D89" s="2" t="s">
        <v>10</v>
      </c>
      <c r="E89" s="3">
        <f t="shared" si="0"/>
        <v>2</v>
      </c>
    </row>
    <row r="90" spans="1:5" x14ac:dyDescent="0.2">
      <c r="A90">
        <v>8</v>
      </c>
      <c r="B90" s="2" t="s">
        <v>10</v>
      </c>
      <c r="C90" s="2" t="s">
        <v>10</v>
      </c>
      <c r="D90" s="2" t="s">
        <v>10</v>
      </c>
      <c r="E90" s="3">
        <f t="shared" si="0"/>
        <v>2</v>
      </c>
    </row>
    <row r="91" spans="1:5" x14ac:dyDescent="0.2">
      <c r="A91" s="1" t="s">
        <v>24</v>
      </c>
      <c r="E91" s="3">
        <f t="shared" si="0"/>
        <v>2</v>
      </c>
    </row>
    <row r="92" spans="1:5" x14ac:dyDescent="0.2">
      <c r="A92" s="1" t="s">
        <v>1</v>
      </c>
      <c r="B92" s="1" t="s">
        <v>2</v>
      </c>
      <c r="C92" s="1" t="s">
        <v>3</v>
      </c>
      <c r="D92" s="1" t="s">
        <v>4</v>
      </c>
      <c r="E92" s="3">
        <f t="shared" si="0"/>
        <v>2</v>
      </c>
    </row>
    <row r="93" spans="1:5" x14ac:dyDescent="0.2">
      <c r="A93">
        <v>1</v>
      </c>
      <c r="B93" t="s">
        <v>22</v>
      </c>
      <c r="C93">
        <v>1</v>
      </c>
      <c r="D93">
        <v>16</v>
      </c>
      <c r="E93" s="3">
        <f t="shared" si="0"/>
        <v>2</v>
      </c>
    </row>
    <row r="94" spans="1:5" x14ac:dyDescent="0.2">
      <c r="A94">
        <v>2</v>
      </c>
      <c r="B94" t="s">
        <v>39</v>
      </c>
      <c r="C94">
        <v>4</v>
      </c>
      <c r="D94">
        <v>12</v>
      </c>
      <c r="E94" s="3">
        <f t="shared" si="0"/>
        <v>2</v>
      </c>
    </row>
    <row r="95" spans="1:5" x14ac:dyDescent="0.2">
      <c r="A95">
        <v>3</v>
      </c>
      <c r="B95" t="s">
        <v>75</v>
      </c>
      <c r="C95">
        <v>0</v>
      </c>
      <c r="D95">
        <v>8</v>
      </c>
      <c r="E95" s="3">
        <f t="shared" si="0"/>
        <v>2</v>
      </c>
    </row>
    <row r="96" spans="1:5" x14ac:dyDescent="0.2">
      <c r="A96">
        <v>4</v>
      </c>
      <c r="B96" t="s">
        <v>6</v>
      </c>
      <c r="C96">
        <v>0</v>
      </c>
      <c r="D96">
        <v>4</v>
      </c>
      <c r="E96" s="3">
        <f t="shared" ref="E96:E159" si="1">IF(A96=$A$1,E95+1,E95)</f>
        <v>2</v>
      </c>
    </row>
    <row r="97" spans="1:5" x14ac:dyDescent="0.2">
      <c r="A97">
        <v>5</v>
      </c>
      <c r="B97" t="s">
        <v>68</v>
      </c>
      <c r="C97">
        <v>0</v>
      </c>
      <c r="D97">
        <v>2</v>
      </c>
      <c r="E97" s="3">
        <f t="shared" si="1"/>
        <v>2</v>
      </c>
    </row>
    <row r="98" spans="1:5" x14ac:dyDescent="0.2">
      <c r="A98">
        <v>6</v>
      </c>
      <c r="B98" t="s">
        <v>76</v>
      </c>
      <c r="C98">
        <v>0</v>
      </c>
      <c r="D98">
        <v>1</v>
      </c>
      <c r="E98" s="3">
        <f t="shared" si="1"/>
        <v>2</v>
      </c>
    </row>
    <row r="99" spans="1:5" x14ac:dyDescent="0.2">
      <c r="A99">
        <v>7</v>
      </c>
      <c r="B99" s="2" t="s">
        <v>10</v>
      </c>
      <c r="C99" s="2" t="s">
        <v>10</v>
      </c>
      <c r="D99" s="2" t="s">
        <v>10</v>
      </c>
      <c r="E99" s="3">
        <f t="shared" si="1"/>
        <v>2</v>
      </c>
    </row>
    <row r="100" spans="1:5" x14ac:dyDescent="0.2">
      <c r="A100">
        <v>8</v>
      </c>
      <c r="B100" s="2" t="s">
        <v>10</v>
      </c>
      <c r="C100" s="2" t="s">
        <v>10</v>
      </c>
      <c r="D100" s="2" t="s">
        <v>10</v>
      </c>
      <c r="E100" s="3">
        <f t="shared" si="1"/>
        <v>2</v>
      </c>
    </row>
    <row r="101" spans="1:5" x14ac:dyDescent="0.2">
      <c r="A101" s="1" t="s">
        <v>30</v>
      </c>
      <c r="E101" s="3">
        <f t="shared" si="1"/>
        <v>2</v>
      </c>
    </row>
    <row r="102" spans="1:5" x14ac:dyDescent="0.2">
      <c r="A102" s="1" t="s">
        <v>1</v>
      </c>
      <c r="B102" s="1" t="s">
        <v>2</v>
      </c>
      <c r="C102" s="1" t="s">
        <v>3</v>
      </c>
      <c r="D102" s="1" t="s">
        <v>4</v>
      </c>
      <c r="E102" s="3">
        <f t="shared" si="1"/>
        <v>2</v>
      </c>
    </row>
    <row r="103" spans="1:5" x14ac:dyDescent="0.2">
      <c r="A103">
        <v>1</v>
      </c>
      <c r="B103" t="s">
        <v>87</v>
      </c>
      <c r="C103">
        <v>2</v>
      </c>
      <c r="D103">
        <v>16</v>
      </c>
      <c r="E103" s="3">
        <f t="shared" si="1"/>
        <v>2</v>
      </c>
    </row>
    <row r="104" spans="1:5" x14ac:dyDescent="0.2">
      <c r="A104">
        <v>2</v>
      </c>
      <c r="B104" t="s">
        <v>92</v>
      </c>
      <c r="C104">
        <v>1</v>
      </c>
      <c r="D104">
        <v>12</v>
      </c>
      <c r="E104" s="3">
        <f t="shared" si="1"/>
        <v>2</v>
      </c>
    </row>
    <row r="105" spans="1:5" x14ac:dyDescent="0.2">
      <c r="A105">
        <v>3</v>
      </c>
      <c r="B105" t="s">
        <v>25</v>
      </c>
      <c r="C105">
        <v>2</v>
      </c>
      <c r="D105">
        <v>8</v>
      </c>
      <c r="E105" s="3">
        <f t="shared" si="1"/>
        <v>2</v>
      </c>
    </row>
    <row r="106" spans="1:5" x14ac:dyDescent="0.2">
      <c r="A106">
        <v>4</v>
      </c>
      <c r="B106" t="s">
        <v>55</v>
      </c>
      <c r="C106">
        <v>0</v>
      </c>
      <c r="D106">
        <v>4</v>
      </c>
      <c r="E106" s="3">
        <f t="shared" si="1"/>
        <v>2</v>
      </c>
    </row>
    <row r="107" spans="1:5" x14ac:dyDescent="0.2">
      <c r="A107">
        <v>5</v>
      </c>
      <c r="B107" t="s">
        <v>21</v>
      </c>
      <c r="C107">
        <v>0</v>
      </c>
      <c r="D107">
        <v>2</v>
      </c>
      <c r="E107" s="3">
        <f t="shared" si="1"/>
        <v>2</v>
      </c>
    </row>
    <row r="108" spans="1:5" x14ac:dyDescent="0.2">
      <c r="A108">
        <v>6</v>
      </c>
      <c r="B108" t="s">
        <v>15</v>
      </c>
      <c r="C108">
        <v>0</v>
      </c>
      <c r="D108">
        <v>1</v>
      </c>
      <c r="E108" s="3">
        <f t="shared" si="1"/>
        <v>2</v>
      </c>
    </row>
    <row r="109" spans="1:5" x14ac:dyDescent="0.2">
      <c r="A109">
        <v>7</v>
      </c>
      <c r="B109" s="2" t="s">
        <v>10</v>
      </c>
      <c r="C109" s="2" t="s">
        <v>10</v>
      </c>
      <c r="D109" s="2" t="s">
        <v>10</v>
      </c>
      <c r="E109" s="3">
        <f t="shared" si="1"/>
        <v>2</v>
      </c>
    </row>
    <row r="110" spans="1:5" x14ac:dyDescent="0.2">
      <c r="A110">
        <v>8</v>
      </c>
      <c r="B110" s="2" t="s">
        <v>10</v>
      </c>
      <c r="C110" s="2" t="s">
        <v>10</v>
      </c>
      <c r="D110" s="2" t="s">
        <v>10</v>
      </c>
      <c r="E110" s="3">
        <f t="shared" si="1"/>
        <v>2</v>
      </c>
    </row>
    <row r="111" spans="1:5" x14ac:dyDescent="0.2">
      <c r="A111" s="1" t="s">
        <v>37</v>
      </c>
      <c r="E111" s="3">
        <f t="shared" si="1"/>
        <v>2</v>
      </c>
    </row>
    <row r="112" spans="1:5" x14ac:dyDescent="0.2">
      <c r="A112" s="1" t="s">
        <v>1</v>
      </c>
      <c r="B112" s="1" t="s">
        <v>2</v>
      </c>
      <c r="C112" s="1" t="s">
        <v>3</v>
      </c>
      <c r="D112" s="1" t="s">
        <v>4</v>
      </c>
      <c r="E112" s="3">
        <f t="shared" si="1"/>
        <v>2</v>
      </c>
    </row>
    <row r="113" spans="1:5" x14ac:dyDescent="0.2">
      <c r="A113">
        <v>1</v>
      </c>
      <c r="B113" t="s">
        <v>54</v>
      </c>
      <c r="C113">
        <v>2</v>
      </c>
      <c r="D113">
        <v>16</v>
      </c>
      <c r="E113" s="3">
        <f t="shared" si="1"/>
        <v>2</v>
      </c>
    </row>
    <row r="114" spans="1:5" x14ac:dyDescent="0.2">
      <c r="A114">
        <v>2</v>
      </c>
      <c r="B114" t="s">
        <v>16</v>
      </c>
      <c r="C114">
        <v>3</v>
      </c>
      <c r="D114">
        <v>12</v>
      </c>
      <c r="E114" s="3">
        <f t="shared" si="1"/>
        <v>2</v>
      </c>
    </row>
    <row r="115" spans="1:5" x14ac:dyDescent="0.2">
      <c r="A115">
        <v>3</v>
      </c>
      <c r="B115" t="s">
        <v>26</v>
      </c>
      <c r="C115">
        <v>0</v>
      </c>
      <c r="D115">
        <v>8</v>
      </c>
      <c r="E115" s="3">
        <f t="shared" si="1"/>
        <v>2</v>
      </c>
    </row>
    <row r="116" spans="1:5" x14ac:dyDescent="0.2">
      <c r="A116">
        <v>4</v>
      </c>
      <c r="B116" t="s">
        <v>19</v>
      </c>
      <c r="C116">
        <v>0</v>
      </c>
      <c r="D116">
        <v>4</v>
      </c>
      <c r="E116" s="3">
        <f t="shared" si="1"/>
        <v>2</v>
      </c>
    </row>
    <row r="117" spans="1:5" x14ac:dyDescent="0.2">
      <c r="A117">
        <v>5</v>
      </c>
      <c r="B117" t="s">
        <v>73</v>
      </c>
      <c r="C117">
        <v>0</v>
      </c>
      <c r="D117">
        <v>2</v>
      </c>
      <c r="E117" s="3">
        <f t="shared" si="1"/>
        <v>2</v>
      </c>
    </row>
    <row r="118" spans="1:5" x14ac:dyDescent="0.2">
      <c r="A118">
        <v>6</v>
      </c>
      <c r="B118" t="s">
        <v>52</v>
      </c>
      <c r="C118">
        <v>0</v>
      </c>
      <c r="D118">
        <v>1</v>
      </c>
      <c r="E118" s="3">
        <f t="shared" si="1"/>
        <v>2</v>
      </c>
    </row>
    <row r="119" spans="1:5" x14ac:dyDescent="0.2">
      <c r="A119">
        <v>7</v>
      </c>
      <c r="B119" s="2" t="s">
        <v>10</v>
      </c>
      <c r="C119" s="2" t="s">
        <v>10</v>
      </c>
      <c r="D119" s="2" t="s">
        <v>10</v>
      </c>
      <c r="E119" s="3">
        <f t="shared" si="1"/>
        <v>2</v>
      </c>
    </row>
    <row r="120" spans="1:5" x14ac:dyDescent="0.2">
      <c r="A120">
        <v>8</v>
      </c>
      <c r="B120" s="2" t="s">
        <v>10</v>
      </c>
      <c r="C120" s="2" t="s">
        <v>10</v>
      </c>
      <c r="D120" s="2" t="s">
        <v>10</v>
      </c>
      <c r="E120" s="3">
        <f t="shared" si="1"/>
        <v>2</v>
      </c>
    </row>
    <row r="121" spans="1:5" x14ac:dyDescent="0.2">
      <c r="A121" s="1" t="s">
        <v>44</v>
      </c>
      <c r="E121" s="3">
        <f t="shared" si="1"/>
        <v>2</v>
      </c>
    </row>
    <row r="122" spans="1:5" x14ac:dyDescent="0.2">
      <c r="A122" s="1" t="s">
        <v>1</v>
      </c>
      <c r="B122" s="1" t="s">
        <v>2</v>
      </c>
      <c r="C122" s="1" t="s">
        <v>3</v>
      </c>
      <c r="D122" s="1" t="s">
        <v>4</v>
      </c>
      <c r="E122" s="3">
        <f t="shared" si="1"/>
        <v>2</v>
      </c>
    </row>
    <row r="123" spans="1:5" x14ac:dyDescent="0.2">
      <c r="A123">
        <v>1</v>
      </c>
      <c r="B123" t="s">
        <v>35</v>
      </c>
      <c r="C123">
        <v>3</v>
      </c>
      <c r="D123">
        <v>16</v>
      </c>
      <c r="E123" s="3">
        <f t="shared" si="1"/>
        <v>2</v>
      </c>
    </row>
    <row r="124" spans="1:5" x14ac:dyDescent="0.2">
      <c r="A124">
        <v>2</v>
      </c>
      <c r="B124" t="s">
        <v>27</v>
      </c>
      <c r="C124">
        <v>1</v>
      </c>
      <c r="D124">
        <v>12</v>
      </c>
      <c r="E124" s="3">
        <f t="shared" si="1"/>
        <v>2</v>
      </c>
    </row>
    <row r="125" spans="1:5" x14ac:dyDescent="0.2">
      <c r="A125">
        <v>3</v>
      </c>
      <c r="B125" t="s">
        <v>18</v>
      </c>
      <c r="C125">
        <v>0</v>
      </c>
      <c r="D125">
        <v>8</v>
      </c>
      <c r="E125" s="3">
        <f t="shared" si="1"/>
        <v>2</v>
      </c>
    </row>
    <row r="126" spans="1:5" x14ac:dyDescent="0.2">
      <c r="A126">
        <v>4</v>
      </c>
      <c r="B126" t="s">
        <v>59</v>
      </c>
      <c r="C126">
        <v>0</v>
      </c>
      <c r="D126">
        <v>4</v>
      </c>
      <c r="E126" s="3">
        <f t="shared" si="1"/>
        <v>2</v>
      </c>
    </row>
    <row r="127" spans="1:5" x14ac:dyDescent="0.2">
      <c r="A127">
        <v>5</v>
      </c>
      <c r="B127" t="s">
        <v>77</v>
      </c>
      <c r="C127">
        <v>1</v>
      </c>
      <c r="D127">
        <v>2</v>
      </c>
      <c r="E127" s="3">
        <f t="shared" si="1"/>
        <v>2</v>
      </c>
    </row>
    <row r="128" spans="1:5" x14ac:dyDescent="0.2">
      <c r="A128">
        <v>6</v>
      </c>
      <c r="B128" t="s">
        <v>47</v>
      </c>
      <c r="C128">
        <v>0</v>
      </c>
      <c r="D128">
        <v>1</v>
      </c>
      <c r="E128" s="3">
        <f t="shared" si="1"/>
        <v>2</v>
      </c>
    </row>
    <row r="129" spans="1:5" x14ac:dyDescent="0.2">
      <c r="A129">
        <v>7</v>
      </c>
      <c r="B129" s="2" t="s">
        <v>10</v>
      </c>
      <c r="C129" s="2" t="s">
        <v>10</v>
      </c>
      <c r="D129" s="2" t="s">
        <v>10</v>
      </c>
      <c r="E129" s="3">
        <f t="shared" si="1"/>
        <v>2</v>
      </c>
    </row>
    <row r="130" spans="1:5" x14ac:dyDescent="0.2">
      <c r="A130">
        <v>8</v>
      </c>
      <c r="B130" s="2" t="s">
        <v>10</v>
      </c>
      <c r="C130" s="2" t="s">
        <v>10</v>
      </c>
      <c r="D130" s="2" t="s">
        <v>10</v>
      </c>
      <c r="E130" s="3">
        <f t="shared" si="1"/>
        <v>2</v>
      </c>
    </row>
    <row r="131" spans="1:5" x14ac:dyDescent="0.2">
      <c r="A131" s="1" t="s">
        <v>0</v>
      </c>
      <c r="E131" s="3">
        <f t="shared" si="1"/>
        <v>3</v>
      </c>
    </row>
    <row r="132" spans="1:5" x14ac:dyDescent="0.2">
      <c r="A132" s="1" t="s">
        <v>1</v>
      </c>
      <c r="B132" s="1" t="s">
        <v>2</v>
      </c>
      <c r="C132" s="1" t="s">
        <v>3</v>
      </c>
      <c r="D132" s="1" t="s">
        <v>4</v>
      </c>
      <c r="E132" s="3">
        <f t="shared" si="1"/>
        <v>3</v>
      </c>
    </row>
    <row r="133" spans="1:5" x14ac:dyDescent="0.2">
      <c r="A133">
        <v>1</v>
      </c>
      <c r="B133" t="s">
        <v>34</v>
      </c>
      <c r="C133">
        <v>3</v>
      </c>
      <c r="D133">
        <v>16</v>
      </c>
      <c r="E133" s="3">
        <f t="shared" si="1"/>
        <v>3</v>
      </c>
    </row>
    <row r="134" spans="1:5" x14ac:dyDescent="0.2">
      <c r="A134">
        <v>2</v>
      </c>
      <c r="B134" t="s">
        <v>75</v>
      </c>
      <c r="C134">
        <v>1</v>
      </c>
      <c r="D134">
        <v>12</v>
      </c>
      <c r="E134" s="3">
        <f t="shared" si="1"/>
        <v>3</v>
      </c>
    </row>
    <row r="135" spans="1:5" x14ac:dyDescent="0.2">
      <c r="A135">
        <v>3</v>
      </c>
      <c r="B135" t="s">
        <v>54</v>
      </c>
      <c r="C135">
        <v>0</v>
      </c>
      <c r="D135">
        <v>8</v>
      </c>
      <c r="E135" s="3">
        <f t="shared" si="1"/>
        <v>3</v>
      </c>
    </row>
    <row r="136" spans="1:5" x14ac:dyDescent="0.2">
      <c r="A136">
        <v>4</v>
      </c>
      <c r="B136" t="s">
        <v>23</v>
      </c>
      <c r="C136">
        <v>1</v>
      </c>
      <c r="D136">
        <v>4</v>
      </c>
      <c r="E136" s="3">
        <f t="shared" si="1"/>
        <v>3</v>
      </c>
    </row>
    <row r="137" spans="1:5" x14ac:dyDescent="0.2">
      <c r="A137">
        <v>5</v>
      </c>
      <c r="B137" t="s">
        <v>41</v>
      </c>
      <c r="C137">
        <v>0</v>
      </c>
      <c r="D137">
        <v>2</v>
      </c>
      <c r="E137" s="3">
        <f t="shared" si="1"/>
        <v>3</v>
      </c>
    </row>
    <row r="138" spans="1:5" x14ac:dyDescent="0.2">
      <c r="A138">
        <v>6</v>
      </c>
      <c r="B138" t="s">
        <v>87</v>
      </c>
      <c r="C138">
        <v>0</v>
      </c>
      <c r="D138">
        <v>1</v>
      </c>
      <c r="E138" s="3">
        <f t="shared" si="1"/>
        <v>3</v>
      </c>
    </row>
    <row r="139" spans="1:5" x14ac:dyDescent="0.2">
      <c r="A139">
        <v>7</v>
      </c>
      <c r="B139" s="2" t="s">
        <v>10</v>
      </c>
      <c r="C139" s="2" t="s">
        <v>10</v>
      </c>
      <c r="D139" s="2" t="s">
        <v>10</v>
      </c>
      <c r="E139" s="3">
        <f t="shared" si="1"/>
        <v>3</v>
      </c>
    </row>
    <row r="140" spans="1:5" x14ac:dyDescent="0.2">
      <c r="A140">
        <v>8</v>
      </c>
      <c r="B140" s="2" t="s">
        <v>10</v>
      </c>
      <c r="C140" s="2" t="s">
        <v>10</v>
      </c>
      <c r="D140" s="2" t="s">
        <v>10</v>
      </c>
      <c r="E140" s="3">
        <f t="shared" si="1"/>
        <v>3</v>
      </c>
    </row>
    <row r="141" spans="1:5" x14ac:dyDescent="0.2">
      <c r="A141" s="1" t="s">
        <v>11</v>
      </c>
      <c r="E141" s="3">
        <f t="shared" si="1"/>
        <v>3</v>
      </c>
    </row>
    <row r="142" spans="1:5" x14ac:dyDescent="0.2">
      <c r="A142" s="1" t="s">
        <v>1</v>
      </c>
      <c r="B142" s="1" t="s">
        <v>2</v>
      </c>
      <c r="C142" s="1" t="s">
        <v>3</v>
      </c>
      <c r="D142" s="1" t="s">
        <v>4</v>
      </c>
      <c r="E142" s="3">
        <f t="shared" si="1"/>
        <v>3</v>
      </c>
    </row>
    <row r="143" spans="1:5" x14ac:dyDescent="0.2">
      <c r="A143">
        <v>1</v>
      </c>
      <c r="B143" t="s">
        <v>92</v>
      </c>
      <c r="C143">
        <v>5</v>
      </c>
      <c r="D143">
        <v>17</v>
      </c>
      <c r="E143" s="3">
        <f t="shared" si="1"/>
        <v>3</v>
      </c>
    </row>
    <row r="144" spans="1:5" x14ac:dyDescent="0.2">
      <c r="A144">
        <v>2</v>
      </c>
      <c r="B144" t="s">
        <v>6</v>
      </c>
      <c r="C144">
        <v>1</v>
      </c>
      <c r="D144">
        <v>13</v>
      </c>
      <c r="E144" s="3">
        <f t="shared" si="1"/>
        <v>3</v>
      </c>
    </row>
    <row r="145" spans="1:5" x14ac:dyDescent="0.2">
      <c r="A145">
        <v>3</v>
      </c>
      <c r="B145" t="s">
        <v>98</v>
      </c>
      <c r="C145">
        <v>0</v>
      </c>
      <c r="D145">
        <v>9</v>
      </c>
      <c r="E145" s="3">
        <f t="shared" si="1"/>
        <v>3</v>
      </c>
    </row>
    <row r="146" spans="1:5" x14ac:dyDescent="0.2">
      <c r="A146">
        <v>4</v>
      </c>
      <c r="B146" t="s">
        <v>42</v>
      </c>
      <c r="C146">
        <v>0</v>
      </c>
      <c r="D146">
        <v>5</v>
      </c>
      <c r="E146" s="3">
        <f t="shared" si="1"/>
        <v>3</v>
      </c>
    </row>
    <row r="147" spans="1:5" x14ac:dyDescent="0.2">
      <c r="A147">
        <v>5</v>
      </c>
      <c r="B147" t="s">
        <v>35</v>
      </c>
      <c r="C147">
        <v>0</v>
      </c>
      <c r="D147">
        <v>3</v>
      </c>
      <c r="E147" s="3">
        <f t="shared" si="1"/>
        <v>3</v>
      </c>
    </row>
    <row r="148" spans="1:5" x14ac:dyDescent="0.2">
      <c r="A148">
        <v>6</v>
      </c>
      <c r="B148" t="s">
        <v>59</v>
      </c>
      <c r="C148">
        <v>0</v>
      </c>
      <c r="D148">
        <v>2</v>
      </c>
      <c r="E148" s="3">
        <f t="shared" si="1"/>
        <v>3</v>
      </c>
    </row>
    <row r="149" spans="1:5" x14ac:dyDescent="0.2">
      <c r="A149">
        <v>7</v>
      </c>
      <c r="B149" t="s">
        <v>65</v>
      </c>
      <c r="C149">
        <v>0</v>
      </c>
      <c r="D149">
        <v>1</v>
      </c>
      <c r="E149" s="3">
        <f t="shared" si="1"/>
        <v>3</v>
      </c>
    </row>
    <row r="150" spans="1:5" x14ac:dyDescent="0.2">
      <c r="A150">
        <v>8</v>
      </c>
      <c r="B150" s="2" t="s">
        <v>10</v>
      </c>
      <c r="C150" s="2" t="s">
        <v>10</v>
      </c>
      <c r="D150" s="2" t="s">
        <v>10</v>
      </c>
      <c r="E150" s="3">
        <f t="shared" si="1"/>
        <v>3</v>
      </c>
    </row>
    <row r="151" spans="1:5" x14ac:dyDescent="0.2">
      <c r="A151" s="1" t="s">
        <v>17</v>
      </c>
      <c r="E151" s="3">
        <f t="shared" si="1"/>
        <v>3</v>
      </c>
    </row>
    <row r="152" spans="1:5" x14ac:dyDescent="0.2">
      <c r="A152" s="1" t="s">
        <v>1</v>
      </c>
      <c r="B152" s="1" t="s">
        <v>2</v>
      </c>
      <c r="C152" s="1" t="s">
        <v>3</v>
      </c>
      <c r="D152" s="1" t="s">
        <v>4</v>
      </c>
      <c r="E152" s="3">
        <f t="shared" si="1"/>
        <v>3</v>
      </c>
    </row>
    <row r="153" spans="1:5" x14ac:dyDescent="0.2">
      <c r="A153">
        <v>1</v>
      </c>
      <c r="B153" t="s">
        <v>52</v>
      </c>
      <c r="C153">
        <v>2</v>
      </c>
      <c r="D153">
        <v>17</v>
      </c>
      <c r="E153" s="3">
        <f t="shared" si="1"/>
        <v>3</v>
      </c>
    </row>
    <row r="154" spans="1:5" x14ac:dyDescent="0.2">
      <c r="A154">
        <v>2</v>
      </c>
      <c r="B154" t="s">
        <v>16</v>
      </c>
      <c r="C154">
        <v>1</v>
      </c>
      <c r="D154">
        <v>13</v>
      </c>
      <c r="E154" s="3">
        <f t="shared" si="1"/>
        <v>3</v>
      </c>
    </row>
    <row r="155" spans="1:5" x14ac:dyDescent="0.2">
      <c r="A155">
        <v>3</v>
      </c>
      <c r="B155" t="s">
        <v>50</v>
      </c>
      <c r="C155">
        <v>2</v>
      </c>
      <c r="D155">
        <v>9</v>
      </c>
      <c r="E155" s="3">
        <f t="shared" si="1"/>
        <v>3</v>
      </c>
    </row>
    <row r="156" spans="1:5" x14ac:dyDescent="0.2">
      <c r="A156">
        <v>4</v>
      </c>
      <c r="B156" t="s">
        <v>88</v>
      </c>
      <c r="C156">
        <v>1</v>
      </c>
      <c r="D156">
        <v>5</v>
      </c>
      <c r="E156" s="3">
        <f t="shared" si="1"/>
        <v>3</v>
      </c>
    </row>
    <row r="157" spans="1:5" x14ac:dyDescent="0.2">
      <c r="A157">
        <v>5</v>
      </c>
      <c r="B157" t="s">
        <v>46</v>
      </c>
      <c r="C157">
        <v>0</v>
      </c>
      <c r="D157">
        <v>3</v>
      </c>
      <c r="E157" s="3">
        <f t="shared" si="1"/>
        <v>3</v>
      </c>
    </row>
    <row r="158" spans="1:5" x14ac:dyDescent="0.2">
      <c r="A158">
        <v>6</v>
      </c>
      <c r="B158" t="s">
        <v>14</v>
      </c>
      <c r="C158">
        <v>0</v>
      </c>
      <c r="D158">
        <v>2</v>
      </c>
      <c r="E158" s="3">
        <f t="shared" si="1"/>
        <v>3</v>
      </c>
    </row>
    <row r="159" spans="1:5" x14ac:dyDescent="0.2">
      <c r="A159">
        <v>7</v>
      </c>
      <c r="B159" t="s">
        <v>76</v>
      </c>
      <c r="C159">
        <v>0</v>
      </c>
      <c r="D159">
        <v>1</v>
      </c>
      <c r="E159" s="3">
        <f t="shared" si="1"/>
        <v>3</v>
      </c>
    </row>
    <row r="160" spans="1:5" x14ac:dyDescent="0.2">
      <c r="A160">
        <v>8</v>
      </c>
      <c r="B160" s="2" t="s">
        <v>10</v>
      </c>
      <c r="C160" s="2" t="s">
        <v>10</v>
      </c>
      <c r="D160" s="2" t="s">
        <v>10</v>
      </c>
      <c r="E160" s="3">
        <f t="shared" ref="E160:E223" si="2">IF(A160=$A$1,E159+1,E159)</f>
        <v>3</v>
      </c>
    </row>
    <row r="161" spans="1:5" x14ac:dyDescent="0.2">
      <c r="A161" s="1" t="s">
        <v>24</v>
      </c>
      <c r="E161" s="3">
        <f t="shared" si="2"/>
        <v>3</v>
      </c>
    </row>
    <row r="162" spans="1:5" x14ac:dyDescent="0.2">
      <c r="A162" s="1" t="s">
        <v>1</v>
      </c>
      <c r="B162" s="1" t="s">
        <v>2</v>
      </c>
      <c r="C162" s="1" t="s">
        <v>3</v>
      </c>
      <c r="D162" s="1" t="s">
        <v>4</v>
      </c>
      <c r="E162" s="3">
        <f t="shared" si="2"/>
        <v>3</v>
      </c>
    </row>
    <row r="163" spans="1:5" x14ac:dyDescent="0.2">
      <c r="A163">
        <v>1</v>
      </c>
      <c r="B163" t="s">
        <v>73</v>
      </c>
      <c r="C163">
        <v>4</v>
      </c>
      <c r="D163">
        <v>17</v>
      </c>
      <c r="E163" s="3">
        <f t="shared" si="2"/>
        <v>3</v>
      </c>
    </row>
    <row r="164" spans="1:5" x14ac:dyDescent="0.2">
      <c r="A164">
        <v>2</v>
      </c>
      <c r="B164" t="s">
        <v>68</v>
      </c>
      <c r="C164">
        <v>1</v>
      </c>
      <c r="D164">
        <v>13</v>
      </c>
      <c r="E164" s="3">
        <f t="shared" si="2"/>
        <v>3</v>
      </c>
    </row>
    <row r="165" spans="1:5" x14ac:dyDescent="0.2">
      <c r="A165">
        <v>3</v>
      </c>
      <c r="B165" t="s">
        <v>39</v>
      </c>
      <c r="C165">
        <v>1</v>
      </c>
      <c r="D165">
        <v>9</v>
      </c>
      <c r="E165" s="3">
        <f t="shared" si="2"/>
        <v>3</v>
      </c>
    </row>
    <row r="166" spans="1:5" x14ac:dyDescent="0.2">
      <c r="A166">
        <v>4</v>
      </c>
      <c r="B166" t="s">
        <v>60</v>
      </c>
      <c r="C166">
        <v>0</v>
      </c>
      <c r="D166">
        <v>5</v>
      </c>
      <c r="E166" s="3">
        <f t="shared" si="2"/>
        <v>3</v>
      </c>
    </row>
    <row r="167" spans="1:5" x14ac:dyDescent="0.2">
      <c r="A167">
        <v>5</v>
      </c>
      <c r="B167" t="s">
        <v>47</v>
      </c>
      <c r="C167">
        <v>0</v>
      </c>
      <c r="D167">
        <v>3</v>
      </c>
      <c r="E167" s="3">
        <f t="shared" si="2"/>
        <v>3</v>
      </c>
    </row>
    <row r="168" spans="1:5" x14ac:dyDescent="0.2">
      <c r="A168">
        <v>6</v>
      </c>
      <c r="B168" t="s">
        <v>29</v>
      </c>
      <c r="C168">
        <v>0</v>
      </c>
      <c r="D168">
        <v>2</v>
      </c>
      <c r="E168" s="3">
        <f t="shared" si="2"/>
        <v>3</v>
      </c>
    </row>
    <row r="169" spans="1:5" x14ac:dyDescent="0.2">
      <c r="A169">
        <v>7</v>
      </c>
      <c r="B169" t="s">
        <v>32</v>
      </c>
      <c r="C169">
        <v>0</v>
      </c>
      <c r="D169">
        <v>1</v>
      </c>
      <c r="E169" s="3">
        <f t="shared" si="2"/>
        <v>3</v>
      </c>
    </row>
    <row r="170" spans="1:5" x14ac:dyDescent="0.2">
      <c r="A170">
        <v>8</v>
      </c>
      <c r="B170" s="2" t="s">
        <v>10</v>
      </c>
      <c r="C170" s="2" t="s">
        <v>10</v>
      </c>
      <c r="D170" s="2" t="s">
        <v>10</v>
      </c>
      <c r="E170" s="3">
        <f t="shared" si="2"/>
        <v>3</v>
      </c>
    </row>
    <row r="171" spans="1:5" x14ac:dyDescent="0.2">
      <c r="A171" s="1" t="s">
        <v>30</v>
      </c>
      <c r="E171" s="3">
        <f t="shared" si="2"/>
        <v>3</v>
      </c>
    </row>
    <row r="172" spans="1:5" x14ac:dyDescent="0.2">
      <c r="A172" s="1" t="s">
        <v>1</v>
      </c>
      <c r="B172" s="1" t="s">
        <v>2</v>
      </c>
      <c r="C172" s="1" t="s">
        <v>3</v>
      </c>
      <c r="D172" s="1" t="s">
        <v>4</v>
      </c>
      <c r="E172" s="3">
        <f t="shared" si="2"/>
        <v>3</v>
      </c>
    </row>
    <row r="173" spans="1:5" x14ac:dyDescent="0.2">
      <c r="A173">
        <v>1</v>
      </c>
      <c r="B173" t="s">
        <v>40</v>
      </c>
      <c r="C173">
        <v>3</v>
      </c>
      <c r="D173">
        <v>16</v>
      </c>
      <c r="E173" s="3">
        <f t="shared" si="2"/>
        <v>3</v>
      </c>
    </row>
    <row r="174" spans="1:5" x14ac:dyDescent="0.2">
      <c r="A174">
        <v>2</v>
      </c>
      <c r="B174" t="s">
        <v>69</v>
      </c>
      <c r="C174">
        <v>0</v>
      </c>
      <c r="D174">
        <v>12</v>
      </c>
      <c r="E174" s="3">
        <f t="shared" si="2"/>
        <v>3</v>
      </c>
    </row>
    <row r="175" spans="1:5" x14ac:dyDescent="0.2">
      <c r="A175">
        <v>3</v>
      </c>
      <c r="B175" t="s">
        <v>74</v>
      </c>
      <c r="C175">
        <v>2</v>
      </c>
      <c r="D175">
        <v>8</v>
      </c>
      <c r="E175" s="3">
        <f t="shared" si="2"/>
        <v>3</v>
      </c>
    </row>
    <row r="176" spans="1:5" x14ac:dyDescent="0.2">
      <c r="A176">
        <v>4</v>
      </c>
      <c r="B176" t="s">
        <v>101</v>
      </c>
      <c r="C176">
        <v>0</v>
      </c>
      <c r="D176">
        <v>4</v>
      </c>
      <c r="E176" s="3">
        <f t="shared" si="2"/>
        <v>3</v>
      </c>
    </row>
    <row r="177" spans="1:5" x14ac:dyDescent="0.2">
      <c r="A177">
        <v>5</v>
      </c>
      <c r="B177" t="s">
        <v>28</v>
      </c>
      <c r="C177">
        <v>0</v>
      </c>
      <c r="D177">
        <v>2</v>
      </c>
      <c r="E177" s="3">
        <f t="shared" si="2"/>
        <v>3</v>
      </c>
    </row>
    <row r="178" spans="1:5" x14ac:dyDescent="0.2">
      <c r="A178">
        <v>6</v>
      </c>
      <c r="B178" t="s">
        <v>22</v>
      </c>
      <c r="C178">
        <v>0</v>
      </c>
      <c r="D178">
        <v>1</v>
      </c>
      <c r="E178" s="3">
        <f t="shared" si="2"/>
        <v>3</v>
      </c>
    </row>
    <row r="179" spans="1:5" x14ac:dyDescent="0.2">
      <c r="A179">
        <v>7</v>
      </c>
      <c r="B179" s="2" t="s">
        <v>10</v>
      </c>
      <c r="C179" s="2" t="s">
        <v>10</v>
      </c>
      <c r="D179" s="2" t="s">
        <v>10</v>
      </c>
      <c r="E179" s="3">
        <f t="shared" si="2"/>
        <v>3</v>
      </c>
    </row>
    <row r="180" spans="1:5" x14ac:dyDescent="0.2">
      <c r="A180">
        <v>8</v>
      </c>
      <c r="B180" s="2" t="s">
        <v>10</v>
      </c>
      <c r="C180" s="2" t="s">
        <v>10</v>
      </c>
      <c r="D180" s="2" t="s">
        <v>10</v>
      </c>
      <c r="E180" s="3">
        <f t="shared" si="2"/>
        <v>3</v>
      </c>
    </row>
    <row r="181" spans="1:5" x14ac:dyDescent="0.2">
      <c r="A181" s="1" t="s">
        <v>37</v>
      </c>
      <c r="E181" s="3">
        <f t="shared" si="2"/>
        <v>3</v>
      </c>
    </row>
    <row r="182" spans="1:5" x14ac:dyDescent="0.2">
      <c r="A182" s="1" t="s">
        <v>1</v>
      </c>
      <c r="B182" s="1" t="s">
        <v>2</v>
      </c>
      <c r="C182" s="1" t="s">
        <v>3</v>
      </c>
      <c r="D182" s="1" t="s">
        <v>4</v>
      </c>
      <c r="E182" s="3">
        <f t="shared" si="2"/>
        <v>3</v>
      </c>
    </row>
    <row r="183" spans="1:5" x14ac:dyDescent="0.2">
      <c r="A183">
        <v>1</v>
      </c>
      <c r="B183" t="s">
        <v>103</v>
      </c>
      <c r="C183">
        <v>3</v>
      </c>
      <c r="D183">
        <v>17</v>
      </c>
      <c r="E183" s="3">
        <f t="shared" si="2"/>
        <v>3</v>
      </c>
    </row>
    <row r="184" spans="1:5" x14ac:dyDescent="0.2">
      <c r="A184">
        <v>2</v>
      </c>
      <c r="B184" t="s">
        <v>25</v>
      </c>
      <c r="C184">
        <v>0</v>
      </c>
      <c r="D184">
        <v>13</v>
      </c>
      <c r="E184" s="3">
        <f t="shared" si="2"/>
        <v>3</v>
      </c>
    </row>
    <row r="185" spans="1:5" x14ac:dyDescent="0.2">
      <c r="A185">
        <v>3</v>
      </c>
      <c r="B185" t="s">
        <v>55</v>
      </c>
      <c r="C185">
        <v>1</v>
      </c>
      <c r="D185">
        <v>9</v>
      </c>
      <c r="E185" s="3">
        <f t="shared" si="2"/>
        <v>3</v>
      </c>
    </row>
    <row r="186" spans="1:5" x14ac:dyDescent="0.2">
      <c r="A186">
        <v>4</v>
      </c>
      <c r="B186" t="s">
        <v>45</v>
      </c>
      <c r="C186">
        <v>2</v>
      </c>
      <c r="D186">
        <v>5</v>
      </c>
      <c r="E186" s="3">
        <f t="shared" si="2"/>
        <v>3</v>
      </c>
    </row>
    <row r="187" spans="1:5" x14ac:dyDescent="0.2">
      <c r="A187">
        <v>5</v>
      </c>
      <c r="B187" t="s">
        <v>21</v>
      </c>
      <c r="C187">
        <v>0</v>
      </c>
      <c r="D187">
        <v>3</v>
      </c>
      <c r="E187" s="3">
        <f t="shared" si="2"/>
        <v>3</v>
      </c>
    </row>
    <row r="188" spans="1:5" x14ac:dyDescent="0.2">
      <c r="A188">
        <v>6</v>
      </c>
      <c r="B188" t="s">
        <v>26</v>
      </c>
      <c r="C188">
        <v>0</v>
      </c>
      <c r="D188">
        <v>2</v>
      </c>
      <c r="E188" s="3">
        <f t="shared" si="2"/>
        <v>3</v>
      </c>
    </row>
    <row r="189" spans="1:5" x14ac:dyDescent="0.2">
      <c r="A189">
        <v>7</v>
      </c>
      <c r="B189" t="s">
        <v>33</v>
      </c>
      <c r="C189">
        <v>0</v>
      </c>
      <c r="D189">
        <v>1</v>
      </c>
      <c r="E189" s="3">
        <f t="shared" si="2"/>
        <v>3</v>
      </c>
    </row>
    <row r="190" spans="1:5" x14ac:dyDescent="0.2">
      <c r="A190">
        <v>8</v>
      </c>
      <c r="B190" s="2" t="s">
        <v>10</v>
      </c>
      <c r="C190" s="2" t="s">
        <v>10</v>
      </c>
      <c r="D190" s="2" t="s">
        <v>10</v>
      </c>
      <c r="E190" s="3">
        <f t="shared" si="2"/>
        <v>3</v>
      </c>
    </row>
    <row r="191" spans="1:5" x14ac:dyDescent="0.2">
      <c r="A191" s="1" t="s">
        <v>44</v>
      </c>
      <c r="E191" s="3">
        <f t="shared" si="2"/>
        <v>3</v>
      </c>
    </row>
    <row r="192" spans="1:5" x14ac:dyDescent="0.2">
      <c r="A192" s="1" t="s">
        <v>1</v>
      </c>
      <c r="B192" s="1" t="s">
        <v>2</v>
      </c>
      <c r="C192" s="1" t="s">
        <v>3</v>
      </c>
      <c r="D192" s="1" t="s">
        <v>4</v>
      </c>
      <c r="E192" s="3">
        <f t="shared" si="2"/>
        <v>3</v>
      </c>
    </row>
    <row r="193" spans="1:5" x14ac:dyDescent="0.2">
      <c r="A193">
        <v>1</v>
      </c>
      <c r="B193" t="s">
        <v>9</v>
      </c>
      <c r="C193">
        <v>2</v>
      </c>
      <c r="D193">
        <v>16</v>
      </c>
      <c r="E193" s="3">
        <f t="shared" si="2"/>
        <v>3</v>
      </c>
    </row>
    <row r="194" spans="1:5" x14ac:dyDescent="0.2">
      <c r="A194">
        <v>2</v>
      </c>
      <c r="B194" t="s">
        <v>12</v>
      </c>
      <c r="C194">
        <v>1</v>
      </c>
      <c r="D194">
        <v>12</v>
      </c>
      <c r="E194" s="3">
        <f t="shared" si="2"/>
        <v>3</v>
      </c>
    </row>
    <row r="195" spans="1:5" x14ac:dyDescent="0.2">
      <c r="A195">
        <v>3</v>
      </c>
      <c r="B195" t="s">
        <v>15</v>
      </c>
      <c r="C195">
        <v>2</v>
      </c>
      <c r="D195">
        <v>8</v>
      </c>
      <c r="E195" s="3">
        <f t="shared" si="2"/>
        <v>3</v>
      </c>
    </row>
    <row r="196" spans="1:5" x14ac:dyDescent="0.2">
      <c r="A196">
        <v>4</v>
      </c>
      <c r="B196" t="s">
        <v>31</v>
      </c>
      <c r="C196">
        <v>0</v>
      </c>
      <c r="D196">
        <v>4</v>
      </c>
      <c r="E196" s="3">
        <f t="shared" si="2"/>
        <v>3</v>
      </c>
    </row>
    <row r="197" spans="1:5" x14ac:dyDescent="0.2">
      <c r="A197">
        <v>5</v>
      </c>
      <c r="B197" t="s">
        <v>102</v>
      </c>
      <c r="C197">
        <v>0</v>
      </c>
      <c r="D197">
        <v>2</v>
      </c>
      <c r="E197" s="3">
        <f t="shared" si="2"/>
        <v>3</v>
      </c>
    </row>
    <row r="198" spans="1:5" x14ac:dyDescent="0.2">
      <c r="A198">
        <v>6</v>
      </c>
      <c r="B198" t="s">
        <v>27</v>
      </c>
      <c r="C198">
        <v>0</v>
      </c>
      <c r="D198">
        <v>1</v>
      </c>
      <c r="E198" s="3">
        <f t="shared" si="2"/>
        <v>3</v>
      </c>
    </row>
    <row r="199" spans="1:5" x14ac:dyDescent="0.2">
      <c r="A199">
        <v>7</v>
      </c>
      <c r="B199" s="2" t="s">
        <v>10</v>
      </c>
      <c r="C199" s="2" t="s">
        <v>10</v>
      </c>
      <c r="D199" s="2" t="s">
        <v>10</v>
      </c>
      <c r="E199" s="3">
        <f t="shared" si="2"/>
        <v>3</v>
      </c>
    </row>
    <row r="200" spans="1:5" x14ac:dyDescent="0.2">
      <c r="A200">
        <v>8</v>
      </c>
      <c r="B200" s="2" t="s">
        <v>10</v>
      </c>
      <c r="C200" s="2" t="s">
        <v>10</v>
      </c>
      <c r="D200" s="2" t="s">
        <v>10</v>
      </c>
      <c r="E200" s="3">
        <f t="shared" si="2"/>
        <v>3</v>
      </c>
    </row>
    <row r="201" spans="1:5" x14ac:dyDescent="0.2">
      <c r="A201" s="1" t="s">
        <v>0</v>
      </c>
      <c r="E201" s="3">
        <f t="shared" si="2"/>
        <v>4</v>
      </c>
    </row>
    <row r="202" spans="1:5" x14ac:dyDescent="0.2">
      <c r="A202" s="1" t="s">
        <v>1</v>
      </c>
      <c r="B202" s="1" t="s">
        <v>2</v>
      </c>
      <c r="C202" s="1" t="s">
        <v>3</v>
      </c>
      <c r="D202" s="1" t="s">
        <v>4</v>
      </c>
      <c r="E202" s="3">
        <f t="shared" si="2"/>
        <v>4</v>
      </c>
    </row>
    <row r="203" spans="1:5" x14ac:dyDescent="0.2">
      <c r="A203">
        <v>1</v>
      </c>
      <c r="B203" t="s">
        <v>26</v>
      </c>
      <c r="C203">
        <v>4</v>
      </c>
      <c r="D203">
        <v>16</v>
      </c>
      <c r="E203" s="3">
        <f t="shared" si="2"/>
        <v>4</v>
      </c>
    </row>
    <row r="204" spans="1:5" x14ac:dyDescent="0.2">
      <c r="A204">
        <v>2</v>
      </c>
      <c r="B204" t="s">
        <v>31</v>
      </c>
      <c r="C204">
        <v>1</v>
      </c>
      <c r="D204">
        <v>12</v>
      </c>
      <c r="E204" s="3">
        <f t="shared" si="2"/>
        <v>4</v>
      </c>
    </row>
    <row r="205" spans="1:5" x14ac:dyDescent="0.2">
      <c r="A205">
        <v>3</v>
      </c>
      <c r="B205" t="s">
        <v>25</v>
      </c>
      <c r="C205">
        <v>0</v>
      </c>
      <c r="D205">
        <v>8</v>
      </c>
      <c r="E205" s="3">
        <f t="shared" si="2"/>
        <v>4</v>
      </c>
    </row>
    <row r="206" spans="1:5" x14ac:dyDescent="0.2">
      <c r="A206">
        <v>4</v>
      </c>
      <c r="B206" t="s">
        <v>98</v>
      </c>
      <c r="C206">
        <v>0</v>
      </c>
      <c r="D206">
        <v>4</v>
      </c>
      <c r="E206" s="3">
        <f t="shared" si="2"/>
        <v>4</v>
      </c>
    </row>
    <row r="207" spans="1:5" x14ac:dyDescent="0.2">
      <c r="A207">
        <v>5</v>
      </c>
      <c r="B207" t="s">
        <v>12</v>
      </c>
      <c r="C207">
        <v>0</v>
      </c>
      <c r="D207">
        <v>2</v>
      </c>
      <c r="E207" s="3">
        <f t="shared" si="2"/>
        <v>4</v>
      </c>
    </row>
    <row r="208" spans="1:5" x14ac:dyDescent="0.2">
      <c r="A208">
        <v>6</v>
      </c>
      <c r="B208" t="s">
        <v>8</v>
      </c>
      <c r="C208">
        <v>0</v>
      </c>
      <c r="D208">
        <v>1</v>
      </c>
      <c r="E208" s="3">
        <f t="shared" si="2"/>
        <v>4</v>
      </c>
    </row>
    <row r="209" spans="1:5" x14ac:dyDescent="0.2">
      <c r="A209">
        <v>7</v>
      </c>
      <c r="B209" s="2" t="s">
        <v>10</v>
      </c>
      <c r="C209" s="2" t="s">
        <v>10</v>
      </c>
      <c r="D209" s="2" t="s">
        <v>10</v>
      </c>
      <c r="E209" s="3">
        <f t="shared" si="2"/>
        <v>4</v>
      </c>
    </row>
    <row r="210" spans="1:5" x14ac:dyDescent="0.2">
      <c r="A210">
        <v>8</v>
      </c>
      <c r="B210" s="2" t="s">
        <v>10</v>
      </c>
      <c r="C210" s="2" t="s">
        <v>10</v>
      </c>
      <c r="D210" s="2" t="s">
        <v>10</v>
      </c>
      <c r="E210" s="3">
        <f t="shared" si="2"/>
        <v>4</v>
      </c>
    </row>
    <row r="211" spans="1:5" x14ac:dyDescent="0.2">
      <c r="A211" s="1" t="s">
        <v>11</v>
      </c>
      <c r="E211" s="3">
        <f t="shared" si="2"/>
        <v>4</v>
      </c>
    </row>
    <row r="212" spans="1:5" x14ac:dyDescent="0.2">
      <c r="A212" s="1" t="s">
        <v>1</v>
      </c>
      <c r="B212" s="1" t="s">
        <v>2</v>
      </c>
      <c r="C212" s="1" t="s">
        <v>3</v>
      </c>
      <c r="D212" s="1" t="s">
        <v>4</v>
      </c>
      <c r="E212" s="3">
        <f t="shared" si="2"/>
        <v>4</v>
      </c>
    </row>
    <row r="213" spans="1:5" x14ac:dyDescent="0.2">
      <c r="A213">
        <v>1</v>
      </c>
      <c r="B213" t="s">
        <v>52</v>
      </c>
      <c r="C213">
        <v>5</v>
      </c>
      <c r="D213">
        <v>16</v>
      </c>
      <c r="E213" s="3">
        <f t="shared" si="2"/>
        <v>4</v>
      </c>
    </row>
    <row r="214" spans="1:5" x14ac:dyDescent="0.2">
      <c r="A214">
        <v>2</v>
      </c>
      <c r="B214" t="s">
        <v>61</v>
      </c>
      <c r="C214">
        <v>0</v>
      </c>
      <c r="D214">
        <v>12</v>
      </c>
      <c r="E214" s="3">
        <f t="shared" si="2"/>
        <v>4</v>
      </c>
    </row>
    <row r="215" spans="1:5" x14ac:dyDescent="0.2">
      <c r="A215">
        <v>3</v>
      </c>
      <c r="B215" t="s">
        <v>55</v>
      </c>
      <c r="C215">
        <v>0</v>
      </c>
      <c r="D215">
        <v>8</v>
      </c>
      <c r="E215" s="3">
        <f t="shared" si="2"/>
        <v>4</v>
      </c>
    </row>
    <row r="216" spans="1:5" x14ac:dyDescent="0.2">
      <c r="A216">
        <v>4</v>
      </c>
      <c r="B216" t="s">
        <v>9</v>
      </c>
      <c r="C216">
        <v>0</v>
      </c>
      <c r="D216">
        <v>4</v>
      </c>
      <c r="E216" s="3">
        <f t="shared" si="2"/>
        <v>4</v>
      </c>
    </row>
    <row r="217" spans="1:5" x14ac:dyDescent="0.2">
      <c r="A217">
        <v>5</v>
      </c>
      <c r="B217" t="s">
        <v>41</v>
      </c>
      <c r="C217">
        <v>0</v>
      </c>
      <c r="D217">
        <v>2</v>
      </c>
      <c r="E217" s="3">
        <f t="shared" si="2"/>
        <v>4</v>
      </c>
    </row>
    <row r="218" spans="1:5" x14ac:dyDescent="0.2">
      <c r="A218">
        <v>6</v>
      </c>
      <c r="B218" t="s">
        <v>29</v>
      </c>
      <c r="C218">
        <v>0</v>
      </c>
      <c r="D218">
        <v>1</v>
      </c>
      <c r="E218" s="3">
        <f t="shared" si="2"/>
        <v>4</v>
      </c>
    </row>
    <row r="219" spans="1:5" x14ac:dyDescent="0.2">
      <c r="A219">
        <v>7</v>
      </c>
      <c r="B219" s="2" t="s">
        <v>10</v>
      </c>
      <c r="C219" s="2" t="s">
        <v>10</v>
      </c>
      <c r="D219" s="2" t="s">
        <v>10</v>
      </c>
      <c r="E219" s="3">
        <f t="shared" si="2"/>
        <v>4</v>
      </c>
    </row>
    <row r="220" spans="1:5" x14ac:dyDescent="0.2">
      <c r="A220">
        <v>8</v>
      </c>
      <c r="B220" s="2" t="s">
        <v>10</v>
      </c>
      <c r="C220" s="2" t="s">
        <v>10</v>
      </c>
      <c r="D220" s="2" t="s">
        <v>10</v>
      </c>
      <c r="E220" s="3">
        <f t="shared" si="2"/>
        <v>4</v>
      </c>
    </row>
    <row r="221" spans="1:5" x14ac:dyDescent="0.2">
      <c r="A221" s="1" t="s">
        <v>17</v>
      </c>
      <c r="E221" s="3">
        <f t="shared" si="2"/>
        <v>4</v>
      </c>
    </row>
    <row r="222" spans="1:5" x14ac:dyDescent="0.2">
      <c r="A222" s="1" t="s">
        <v>1</v>
      </c>
      <c r="B222" s="1" t="s">
        <v>2</v>
      </c>
      <c r="C222" s="1" t="s">
        <v>3</v>
      </c>
      <c r="D222" s="1" t="s">
        <v>4</v>
      </c>
      <c r="E222" s="3">
        <f t="shared" si="2"/>
        <v>4</v>
      </c>
    </row>
    <row r="223" spans="1:5" x14ac:dyDescent="0.2">
      <c r="A223">
        <v>1</v>
      </c>
      <c r="B223" t="s">
        <v>76</v>
      </c>
      <c r="C223">
        <v>1</v>
      </c>
      <c r="D223">
        <v>17</v>
      </c>
      <c r="E223" s="3">
        <f t="shared" si="2"/>
        <v>4</v>
      </c>
    </row>
    <row r="224" spans="1:5" x14ac:dyDescent="0.2">
      <c r="A224">
        <v>2</v>
      </c>
      <c r="B224" t="s">
        <v>60</v>
      </c>
      <c r="C224">
        <v>3</v>
      </c>
      <c r="D224">
        <v>13</v>
      </c>
      <c r="E224" s="3">
        <f t="shared" ref="E224:E287" si="3">IF(A224=$A$1,E223+1,E223)</f>
        <v>4</v>
      </c>
    </row>
    <row r="225" spans="1:5" x14ac:dyDescent="0.2">
      <c r="A225">
        <v>3</v>
      </c>
      <c r="B225" t="s">
        <v>87</v>
      </c>
      <c r="C225">
        <v>1</v>
      </c>
      <c r="D225">
        <v>9</v>
      </c>
      <c r="E225" s="3">
        <f t="shared" si="3"/>
        <v>4</v>
      </c>
    </row>
    <row r="226" spans="1:5" x14ac:dyDescent="0.2">
      <c r="A226">
        <v>4</v>
      </c>
      <c r="B226" t="s">
        <v>102</v>
      </c>
      <c r="C226">
        <v>0</v>
      </c>
      <c r="D226">
        <v>5</v>
      </c>
      <c r="E226" s="3">
        <f t="shared" si="3"/>
        <v>4</v>
      </c>
    </row>
    <row r="227" spans="1:5" x14ac:dyDescent="0.2">
      <c r="A227">
        <v>5</v>
      </c>
      <c r="B227" t="s">
        <v>19</v>
      </c>
      <c r="C227">
        <v>1</v>
      </c>
      <c r="D227">
        <v>3</v>
      </c>
      <c r="E227" s="3">
        <f t="shared" si="3"/>
        <v>4</v>
      </c>
    </row>
    <row r="228" spans="1:5" x14ac:dyDescent="0.2">
      <c r="A228">
        <v>6</v>
      </c>
      <c r="B228" t="s">
        <v>53</v>
      </c>
      <c r="C228">
        <v>0</v>
      </c>
      <c r="D228">
        <v>2</v>
      </c>
      <c r="E228" s="3">
        <f t="shared" si="3"/>
        <v>4</v>
      </c>
    </row>
    <row r="229" spans="1:5" x14ac:dyDescent="0.2">
      <c r="A229">
        <v>7</v>
      </c>
      <c r="B229" t="s">
        <v>73</v>
      </c>
      <c r="C229">
        <v>0</v>
      </c>
      <c r="D229">
        <v>1</v>
      </c>
      <c r="E229" s="3">
        <f t="shared" si="3"/>
        <v>4</v>
      </c>
    </row>
    <row r="230" spans="1:5" x14ac:dyDescent="0.2">
      <c r="A230">
        <v>8</v>
      </c>
      <c r="B230" s="2" t="s">
        <v>10</v>
      </c>
      <c r="C230" s="2" t="s">
        <v>10</v>
      </c>
      <c r="D230" s="2" t="s">
        <v>10</v>
      </c>
      <c r="E230" s="3">
        <f t="shared" si="3"/>
        <v>4</v>
      </c>
    </row>
    <row r="231" spans="1:5" x14ac:dyDescent="0.2">
      <c r="A231" s="1" t="s">
        <v>24</v>
      </c>
      <c r="E231" s="3">
        <f t="shared" si="3"/>
        <v>4</v>
      </c>
    </row>
    <row r="232" spans="1:5" x14ac:dyDescent="0.2">
      <c r="A232" s="1" t="s">
        <v>1</v>
      </c>
      <c r="B232" s="1" t="s">
        <v>2</v>
      </c>
      <c r="C232" s="1" t="s">
        <v>3</v>
      </c>
      <c r="D232" s="1" t="s">
        <v>4</v>
      </c>
      <c r="E232" s="3">
        <f t="shared" si="3"/>
        <v>4</v>
      </c>
    </row>
    <row r="233" spans="1:5" x14ac:dyDescent="0.2">
      <c r="A233">
        <v>1</v>
      </c>
      <c r="B233" t="s">
        <v>23</v>
      </c>
      <c r="C233">
        <v>3</v>
      </c>
      <c r="D233">
        <v>16</v>
      </c>
      <c r="E233" s="3">
        <f t="shared" si="3"/>
        <v>4</v>
      </c>
    </row>
    <row r="234" spans="1:5" x14ac:dyDescent="0.2">
      <c r="A234">
        <v>2</v>
      </c>
      <c r="B234" t="s">
        <v>69</v>
      </c>
      <c r="C234">
        <v>1</v>
      </c>
      <c r="D234">
        <v>12</v>
      </c>
      <c r="E234" s="3">
        <f t="shared" si="3"/>
        <v>4</v>
      </c>
    </row>
    <row r="235" spans="1:5" x14ac:dyDescent="0.2">
      <c r="A235">
        <v>3</v>
      </c>
      <c r="B235" t="s">
        <v>65</v>
      </c>
      <c r="C235">
        <v>1</v>
      </c>
      <c r="D235">
        <v>8</v>
      </c>
      <c r="E235" s="3">
        <f t="shared" si="3"/>
        <v>4</v>
      </c>
    </row>
    <row r="236" spans="1:5" x14ac:dyDescent="0.2">
      <c r="A236">
        <v>4</v>
      </c>
      <c r="B236" t="s">
        <v>14</v>
      </c>
      <c r="C236">
        <v>0</v>
      </c>
      <c r="D236">
        <v>4</v>
      </c>
      <c r="E236" s="3">
        <f t="shared" si="3"/>
        <v>4</v>
      </c>
    </row>
    <row r="237" spans="1:5" x14ac:dyDescent="0.2">
      <c r="A237">
        <v>5</v>
      </c>
      <c r="B237" t="s">
        <v>15</v>
      </c>
      <c r="C237">
        <v>0</v>
      </c>
      <c r="D237">
        <v>2</v>
      </c>
      <c r="E237" s="3">
        <f t="shared" si="3"/>
        <v>4</v>
      </c>
    </row>
    <row r="238" spans="1:5" x14ac:dyDescent="0.2">
      <c r="A238">
        <v>6</v>
      </c>
      <c r="B238" t="s">
        <v>40</v>
      </c>
      <c r="C238">
        <v>0</v>
      </c>
      <c r="D238">
        <v>1</v>
      </c>
      <c r="E238" s="3">
        <f t="shared" si="3"/>
        <v>4</v>
      </c>
    </row>
    <row r="239" spans="1:5" x14ac:dyDescent="0.2">
      <c r="A239">
        <v>7</v>
      </c>
      <c r="B239" s="2" t="s">
        <v>10</v>
      </c>
      <c r="C239" s="2" t="s">
        <v>10</v>
      </c>
      <c r="D239" s="2" t="s">
        <v>10</v>
      </c>
      <c r="E239" s="3">
        <f t="shared" si="3"/>
        <v>4</v>
      </c>
    </row>
    <row r="240" spans="1:5" x14ac:dyDescent="0.2">
      <c r="A240">
        <v>8</v>
      </c>
      <c r="B240" s="2" t="s">
        <v>10</v>
      </c>
      <c r="C240" s="2" t="s">
        <v>10</v>
      </c>
      <c r="D240" s="2" t="s">
        <v>10</v>
      </c>
      <c r="E240" s="3">
        <f t="shared" si="3"/>
        <v>4</v>
      </c>
    </row>
    <row r="241" spans="1:5" x14ac:dyDescent="0.2">
      <c r="A241" s="1" t="s">
        <v>30</v>
      </c>
      <c r="E241" s="3">
        <f t="shared" si="3"/>
        <v>4</v>
      </c>
    </row>
    <row r="242" spans="1:5" x14ac:dyDescent="0.2">
      <c r="A242" s="1" t="s">
        <v>1</v>
      </c>
      <c r="B242" s="1" t="s">
        <v>2</v>
      </c>
      <c r="C242" s="1" t="s">
        <v>3</v>
      </c>
      <c r="D242" s="1" t="s">
        <v>4</v>
      </c>
      <c r="E242" s="3">
        <f t="shared" si="3"/>
        <v>4</v>
      </c>
    </row>
    <row r="243" spans="1:5" x14ac:dyDescent="0.2">
      <c r="A243">
        <v>1</v>
      </c>
      <c r="B243" t="s">
        <v>22</v>
      </c>
      <c r="C243">
        <v>5</v>
      </c>
      <c r="D243">
        <v>17</v>
      </c>
      <c r="E243" s="3">
        <f t="shared" si="3"/>
        <v>4</v>
      </c>
    </row>
    <row r="244" spans="1:5" x14ac:dyDescent="0.2">
      <c r="A244">
        <v>2</v>
      </c>
      <c r="B244" t="s">
        <v>75</v>
      </c>
      <c r="C244">
        <v>0</v>
      </c>
      <c r="D244">
        <v>13</v>
      </c>
      <c r="E244" s="3">
        <f t="shared" si="3"/>
        <v>4</v>
      </c>
    </row>
    <row r="245" spans="1:5" x14ac:dyDescent="0.2">
      <c r="A245">
        <v>3</v>
      </c>
      <c r="B245" t="s">
        <v>6</v>
      </c>
      <c r="C245">
        <v>0</v>
      </c>
      <c r="D245">
        <v>9</v>
      </c>
      <c r="E245" s="3">
        <f t="shared" si="3"/>
        <v>4</v>
      </c>
    </row>
    <row r="246" spans="1:5" x14ac:dyDescent="0.2">
      <c r="A246">
        <v>4</v>
      </c>
      <c r="B246" t="s">
        <v>39</v>
      </c>
      <c r="C246">
        <v>1</v>
      </c>
      <c r="D246">
        <v>5</v>
      </c>
      <c r="E246" s="3">
        <f t="shared" si="3"/>
        <v>4</v>
      </c>
    </row>
    <row r="247" spans="1:5" x14ac:dyDescent="0.2">
      <c r="A247">
        <v>5</v>
      </c>
      <c r="B247" t="s">
        <v>68</v>
      </c>
      <c r="C247">
        <v>0</v>
      </c>
      <c r="D247">
        <v>3</v>
      </c>
      <c r="E247" s="3">
        <f t="shared" si="3"/>
        <v>4</v>
      </c>
    </row>
    <row r="248" spans="1:5" x14ac:dyDescent="0.2">
      <c r="A248">
        <v>6</v>
      </c>
      <c r="B248" t="s">
        <v>42</v>
      </c>
      <c r="C248">
        <v>0</v>
      </c>
      <c r="D248">
        <v>2</v>
      </c>
      <c r="E248" s="3">
        <f t="shared" si="3"/>
        <v>4</v>
      </c>
    </row>
    <row r="249" spans="1:5" x14ac:dyDescent="0.2">
      <c r="A249">
        <v>7</v>
      </c>
      <c r="B249" t="s">
        <v>46</v>
      </c>
      <c r="C249">
        <v>0</v>
      </c>
      <c r="D249">
        <v>1</v>
      </c>
      <c r="E249" s="3">
        <f t="shared" si="3"/>
        <v>4</v>
      </c>
    </row>
    <row r="250" spans="1:5" x14ac:dyDescent="0.2">
      <c r="A250">
        <v>8</v>
      </c>
      <c r="B250" s="2" t="s">
        <v>10</v>
      </c>
      <c r="C250" s="2" t="s">
        <v>10</v>
      </c>
      <c r="D250" s="2" t="s">
        <v>10</v>
      </c>
      <c r="E250" s="3">
        <f t="shared" si="3"/>
        <v>4</v>
      </c>
    </row>
    <row r="251" spans="1:5" x14ac:dyDescent="0.2">
      <c r="A251" s="1" t="s">
        <v>37</v>
      </c>
      <c r="E251" s="3">
        <f t="shared" si="3"/>
        <v>4</v>
      </c>
    </row>
    <row r="252" spans="1:5" x14ac:dyDescent="0.2">
      <c r="A252" s="1" t="s">
        <v>1</v>
      </c>
      <c r="B252" s="1" t="s">
        <v>2</v>
      </c>
      <c r="C252" s="1" t="s">
        <v>3</v>
      </c>
      <c r="D252" s="1" t="s">
        <v>4</v>
      </c>
      <c r="E252" s="3">
        <f t="shared" si="3"/>
        <v>4</v>
      </c>
    </row>
    <row r="253" spans="1:5" x14ac:dyDescent="0.2">
      <c r="A253">
        <v>1</v>
      </c>
      <c r="B253" t="s">
        <v>47</v>
      </c>
      <c r="C253">
        <v>2</v>
      </c>
      <c r="D253">
        <v>17</v>
      </c>
      <c r="E253" s="3">
        <f t="shared" si="3"/>
        <v>4</v>
      </c>
    </row>
    <row r="254" spans="1:5" x14ac:dyDescent="0.2">
      <c r="A254">
        <v>2</v>
      </c>
      <c r="B254" t="s">
        <v>50</v>
      </c>
      <c r="C254">
        <v>3</v>
      </c>
      <c r="D254">
        <v>13</v>
      </c>
      <c r="E254" s="3">
        <f t="shared" si="3"/>
        <v>4</v>
      </c>
    </row>
    <row r="255" spans="1:5" x14ac:dyDescent="0.2">
      <c r="A255">
        <v>3</v>
      </c>
      <c r="B255" t="s">
        <v>18</v>
      </c>
      <c r="C255">
        <v>1</v>
      </c>
      <c r="D255">
        <v>9</v>
      </c>
      <c r="E255" s="3">
        <f t="shared" si="3"/>
        <v>4</v>
      </c>
    </row>
    <row r="256" spans="1:5" x14ac:dyDescent="0.2">
      <c r="A256">
        <v>4</v>
      </c>
      <c r="B256" t="s">
        <v>74</v>
      </c>
      <c r="C256">
        <v>0</v>
      </c>
      <c r="D256">
        <v>5</v>
      </c>
      <c r="E256" s="3">
        <f t="shared" si="3"/>
        <v>4</v>
      </c>
    </row>
    <row r="257" spans="1:5" x14ac:dyDescent="0.2">
      <c r="A257">
        <v>5</v>
      </c>
      <c r="B257" t="s">
        <v>33</v>
      </c>
      <c r="C257">
        <v>0</v>
      </c>
      <c r="D257">
        <v>3</v>
      </c>
      <c r="E257" s="3">
        <f t="shared" si="3"/>
        <v>4</v>
      </c>
    </row>
    <row r="258" spans="1:5" x14ac:dyDescent="0.2">
      <c r="A258">
        <v>6</v>
      </c>
      <c r="B258" t="s">
        <v>35</v>
      </c>
      <c r="C258">
        <v>0</v>
      </c>
      <c r="D258">
        <v>2</v>
      </c>
      <c r="E258" s="3">
        <f t="shared" si="3"/>
        <v>4</v>
      </c>
    </row>
    <row r="259" spans="1:5" x14ac:dyDescent="0.2">
      <c r="A259">
        <v>7</v>
      </c>
      <c r="B259" t="s">
        <v>32</v>
      </c>
      <c r="C259">
        <v>0</v>
      </c>
      <c r="D259">
        <v>1</v>
      </c>
      <c r="E259" s="3">
        <f t="shared" si="3"/>
        <v>4</v>
      </c>
    </row>
    <row r="260" spans="1:5" x14ac:dyDescent="0.2">
      <c r="A260">
        <v>8</v>
      </c>
      <c r="B260" s="2" t="s">
        <v>10</v>
      </c>
      <c r="C260" s="2" t="s">
        <v>10</v>
      </c>
      <c r="D260" s="2" t="s">
        <v>10</v>
      </c>
      <c r="E260" s="3">
        <f t="shared" si="3"/>
        <v>4</v>
      </c>
    </row>
    <row r="261" spans="1:5" x14ac:dyDescent="0.2">
      <c r="A261" s="1" t="s">
        <v>44</v>
      </c>
      <c r="E261" s="3">
        <f t="shared" si="3"/>
        <v>4</v>
      </c>
    </row>
    <row r="262" spans="1:5" x14ac:dyDescent="0.2">
      <c r="A262" s="1" t="s">
        <v>1</v>
      </c>
      <c r="B262" s="1" t="s">
        <v>2</v>
      </c>
      <c r="C262" s="1" t="s">
        <v>3</v>
      </c>
      <c r="D262" s="1" t="s">
        <v>4</v>
      </c>
      <c r="E262" s="3">
        <f t="shared" si="3"/>
        <v>4</v>
      </c>
    </row>
    <row r="263" spans="1:5" x14ac:dyDescent="0.2">
      <c r="A263">
        <v>1</v>
      </c>
      <c r="B263" t="s">
        <v>103</v>
      </c>
      <c r="C263">
        <v>1</v>
      </c>
      <c r="D263">
        <v>16</v>
      </c>
      <c r="E263" s="3">
        <f t="shared" si="3"/>
        <v>4</v>
      </c>
    </row>
    <row r="264" spans="1:5" x14ac:dyDescent="0.2">
      <c r="A264">
        <v>2</v>
      </c>
      <c r="B264" t="s">
        <v>101</v>
      </c>
      <c r="C264">
        <v>2</v>
      </c>
      <c r="D264">
        <v>12</v>
      </c>
      <c r="E264" s="3">
        <f t="shared" si="3"/>
        <v>4</v>
      </c>
    </row>
    <row r="265" spans="1:5" x14ac:dyDescent="0.2">
      <c r="A265">
        <v>3</v>
      </c>
      <c r="B265" t="s">
        <v>27</v>
      </c>
      <c r="C265">
        <v>0</v>
      </c>
      <c r="D265">
        <v>8</v>
      </c>
      <c r="E265" s="3">
        <f t="shared" si="3"/>
        <v>4</v>
      </c>
    </row>
    <row r="266" spans="1:5" x14ac:dyDescent="0.2">
      <c r="A266">
        <v>4</v>
      </c>
      <c r="B266" t="s">
        <v>92</v>
      </c>
      <c r="C266">
        <v>2</v>
      </c>
      <c r="D266">
        <v>4</v>
      </c>
      <c r="E266" s="3">
        <f t="shared" si="3"/>
        <v>4</v>
      </c>
    </row>
    <row r="267" spans="1:5" x14ac:dyDescent="0.2">
      <c r="A267">
        <v>5</v>
      </c>
      <c r="B267" t="s">
        <v>59</v>
      </c>
      <c r="C267">
        <v>0</v>
      </c>
      <c r="D267">
        <v>2</v>
      </c>
      <c r="E267" s="3">
        <f t="shared" si="3"/>
        <v>4</v>
      </c>
    </row>
    <row r="268" spans="1:5" x14ac:dyDescent="0.2">
      <c r="A268">
        <v>6</v>
      </c>
      <c r="B268" t="s">
        <v>21</v>
      </c>
      <c r="C268">
        <v>0</v>
      </c>
      <c r="D268">
        <v>1</v>
      </c>
      <c r="E268" s="3">
        <f t="shared" si="3"/>
        <v>4</v>
      </c>
    </row>
    <row r="269" spans="1:5" x14ac:dyDescent="0.2">
      <c r="A269">
        <v>7</v>
      </c>
      <c r="B269" s="2" t="s">
        <v>10</v>
      </c>
      <c r="C269" s="2" t="s">
        <v>10</v>
      </c>
      <c r="D269" s="2" t="s">
        <v>10</v>
      </c>
      <c r="E269" s="3">
        <f t="shared" si="3"/>
        <v>4</v>
      </c>
    </row>
    <row r="270" spans="1:5" x14ac:dyDescent="0.2">
      <c r="A270">
        <v>8</v>
      </c>
      <c r="B270" s="2" t="s">
        <v>10</v>
      </c>
      <c r="C270" s="2" t="s">
        <v>10</v>
      </c>
      <c r="D270" s="2" t="s">
        <v>10</v>
      </c>
      <c r="E270" s="3">
        <f t="shared" si="3"/>
        <v>4</v>
      </c>
    </row>
    <row r="271" spans="1:5" x14ac:dyDescent="0.2">
      <c r="A271" s="1" t="s">
        <v>0</v>
      </c>
      <c r="E271" s="3">
        <f t="shared" si="3"/>
        <v>5</v>
      </c>
    </row>
    <row r="272" spans="1:5" x14ac:dyDescent="0.2">
      <c r="A272" s="1" t="s">
        <v>1</v>
      </c>
      <c r="B272" s="1" t="s">
        <v>2</v>
      </c>
      <c r="C272" s="1" t="s">
        <v>3</v>
      </c>
      <c r="D272" s="1" t="s">
        <v>4</v>
      </c>
      <c r="E272" s="3">
        <f t="shared" si="3"/>
        <v>5</v>
      </c>
    </row>
    <row r="273" spans="1:5" x14ac:dyDescent="0.2">
      <c r="A273">
        <v>1</v>
      </c>
      <c r="B273" t="s">
        <v>53</v>
      </c>
      <c r="C273">
        <v>2</v>
      </c>
      <c r="D273">
        <v>17</v>
      </c>
      <c r="E273" s="3">
        <f t="shared" si="3"/>
        <v>5</v>
      </c>
    </row>
    <row r="274" spans="1:5" x14ac:dyDescent="0.2">
      <c r="A274">
        <v>2</v>
      </c>
      <c r="B274" t="s">
        <v>19</v>
      </c>
      <c r="C274">
        <v>4</v>
      </c>
      <c r="D274">
        <v>13</v>
      </c>
      <c r="E274" s="3">
        <f t="shared" si="3"/>
        <v>5</v>
      </c>
    </row>
    <row r="275" spans="1:5" x14ac:dyDescent="0.2">
      <c r="A275">
        <v>3</v>
      </c>
      <c r="B275" t="s">
        <v>61</v>
      </c>
      <c r="C275">
        <v>0</v>
      </c>
      <c r="D275">
        <v>9</v>
      </c>
      <c r="E275" s="3">
        <f t="shared" si="3"/>
        <v>5</v>
      </c>
    </row>
    <row r="276" spans="1:5" x14ac:dyDescent="0.2">
      <c r="A276">
        <v>4</v>
      </c>
      <c r="B276" t="s">
        <v>33</v>
      </c>
      <c r="C276">
        <v>0</v>
      </c>
      <c r="D276">
        <v>5</v>
      </c>
      <c r="E276" s="3">
        <f t="shared" si="3"/>
        <v>5</v>
      </c>
    </row>
    <row r="277" spans="1:5" x14ac:dyDescent="0.2">
      <c r="A277">
        <v>5</v>
      </c>
      <c r="B277" t="s">
        <v>28</v>
      </c>
      <c r="C277">
        <v>0</v>
      </c>
      <c r="D277">
        <v>3</v>
      </c>
      <c r="E277" s="3">
        <f t="shared" si="3"/>
        <v>5</v>
      </c>
    </row>
    <row r="278" spans="1:5" x14ac:dyDescent="0.2">
      <c r="A278">
        <v>6</v>
      </c>
      <c r="B278" t="s">
        <v>55</v>
      </c>
      <c r="C278">
        <v>0</v>
      </c>
      <c r="D278">
        <v>2</v>
      </c>
      <c r="E278" s="3">
        <f t="shared" si="3"/>
        <v>5</v>
      </c>
    </row>
    <row r="279" spans="1:5" x14ac:dyDescent="0.2">
      <c r="A279">
        <v>7</v>
      </c>
      <c r="B279" t="s">
        <v>101</v>
      </c>
      <c r="C279">
        <v>0</v>
      </c>
      <c r="D279">
        <v>1</v>
      </c>
      <c r="E279" s="3">
        <f t="shared" si="3"/>
        <v>5</v>
      </c>
    </row>
    <row r="280" spans="1:5" x14ac:dyDescent="0.2">
      <c r="A280">
        <v>8</v>
      </c>
      <c r="B280" s="2" t="s">
        <v>10</v>
      </c>
      <c r="C280" s="2" t="s">
        <v>10</v>
      </c>
      <c r="D280" s="2" t="s">
        <v>10</v>
      </c>
      <c r="E280" s="3">
        <f t="shared" si="3"/>
        <v>5</v>
      </c>
    </row>
    <row r="281" spans="1:5" x14ac:dyDescent="0.2">
      <c r="A281" s="1" t="s">
        <v>11</v>
      </c>
      <c r="E281" s="3">
        <f t="shared" si="3"/>
        <v>5</v>
      </c>
    </row>
    <row r="282" spans="1:5" x14ac:dyDescent="0.2">
      <c r="A282" s="1" t="s">
        <v>1</v>
      </c>
      <c r="B282" s="1" t="s">
        <v>2</v>
      </c>
      <c r="C282" s="1" t="s">
        <v>3</v>
      </c>
      <c r="D282" s="1" t="s">
        <v>4</v>
      </c>
      <c r="E282" s="3">
        <f t="shared" si="3"/>
        <v>5</v>
      </c>
    </row>
    <row r="283" spans="1:5" x14ac:dyDescent="0.2">
      <c r="A283">
        <v>1</v>
      </c>
      <c r="B283" t="s">
        <v>68</v>
      </c>
      <c r="C283">
        <v>3</v>
      </c>
      <c r="D283">
        <v>17</v>
      </c>
      <c r="E283" s="3">
        <f t="shared" si="3"/>
        <v>5</v>
      </c>
    </row>
    <row r="284" spans="1:5" x14ac:dyDescent="0.2">
      <c r="A284">
        <v>2</v>
      </c>
      <c r="B284" t="s">
        <v>8</v>
      </c>
      <c r="C284">
        <v>3</v>
      </c>
      <c r="D284">
        <v>13</v>
      </c>
      <c r="E284" s="3">
        <f t="shared" si="3"/>
        <v>5</v>
      </c>
    </row>
    <row r="285" spans="1:5" x14ac:dyDescent="0.2">
      <c r="A285">
        <v>3</v>
      </c>
      <c r="B285" t="s">
        <v>31</v>
      </c>
      <c r="C285">
        <v>0</v>
      </c>
      <c r="D285">
        <v>9</v>
      </c>
      <c r="E285" s="3">
        <f t="shared" si="3"/>
        <v>5</v>
      </c>
    </row>
    <row r="286" spans="1:5" x14ac:dyDescent="0.2">
      <c r="A286">
        <v>4</v>
      </c>
      <c r="B286" t="s">
        <v>103</v>
      </c>
      <c r="C286">
        <v>0</v>
      </c>
      <c r="D286">
        <v>5</v>
      </c>
      <c r="E286" s="3">
        <f t="shared" si="3"/>
        <v>5</v>
      </c>
    </row>
    <row r="287" spans="1:5" x14ac:dyDescent="0.2">
      <c r="A287">
        <v>5</v>
      </c>
      <c r="B287" t="s">
        <v>54</v>
      </c>
      <c r="C287">
        <v>0</v>
      </c>
      <c r="D287">
        <v>3</v>
      </c>
      <c r="E287" s="3">
        <f t="shared" si="3"/>
        <v>5</v>
      </c>
    </row>
    <row r="288" spans="1:5" x14ac:dyDescent="0.2">
      <c r="A288">
        <v>6</v>
      </c>
      <c r="B288" t="s">
        <v>41</v>
      </c>
      <c r="C288">
        <v>0</v>
      </c>
      <c r="D288">
        <v>2</v>
      </c>
      <c r="E288" s="3">
        <f t="shared" ref="E288:E351" si="4">IF(A288=$A$1,E287+1,E287)</f>
        <v>5</v>
      </c>
    </row>
    <row r="289" spans="1:5" x14ac:dyDescent="0.2">
      <c r="A289">
        <v>7</v>
      </c>
      <c r="B289" t="s">
        <v>69</v>
      </c>
      <c r="C289">
        <v>0</v>
      </c>
      <c r="D289">
        <v>1</v>
      </c>
      <c r="E289" s="3">
        <f t="shared" si="4"/>
        <v>5</v>
      </c>
    </row>
    <row r="290" spans="1:5" x14ac:dyDescent="0.2">
      <c r="A290">
        <v>8</v>
      </c>
      <c r="B290" s="2" t="s">
        <v>10</v>
      </c>
      <c r="C290" s="2" t="s">
        <v>10</v>
      </c>
      <c r="D290" s="2" t="s">
        <v>10</v>
      </c>
      <c r="E290" s="3">
        <f t="shared" si="4"/>
        <v>5</v>
      </c>
    </row>
    <row r="291" spans="1:5" x14ac:dyDescent="0.2">
      <c r="A291" s="1" t="s">
        <v>17</v>
      </c>
      <c r="E291" s="3">
        <f t="shared" si="4"/>
        <v>5</v>
      </c>
    </row>
    <row r="292" spans="1:5" x14ac:dyDescent="0.2">
      <c r="A292" s="1" t="s">
        <v>1</v>
      </c>
      <c r="B292" s="1" t="s">
        <v>2</v>
      </c>
      <c r="C292" s="1" t="s">
        <v>3</v>
      </c>
      <c r="D292" s="1" t="s">
        <v>4</v>
      </c>
      <c r="E292" s="3">
        <f t="shared" si="4"/>
        <v>5</v>
      </c>
    </row>
    <row r="293" spans="1:5" x14ac:dyDescent="0.2">
      <c r="A293">
        <v>1</v>
      </c>
      <c r="B293" t="s">
        <v>59</v>
      </c>
      <c r="C293">
        <v>2</v>
      </c>
      <c r="D293">
        <v>17</v>
      </c>
      <c r="E293" s="3">
        <f t="shared" si="4"/>
        <v>5</v>
      </c>
    </row>
    <row r="294" spans="1:5" x14ac:dyDescent="0.2">
      <c r="A294">
        <v>2</v>
      </c>
      <c r="B294" t="s">
        <v>21</v>
      </c>
      <c r="C294">
        <v>1</v>
      </c>
      <c r="D294">
        <v>13</v>
      </c>
      <c r="E294" s="3">
        <f t="shared" si="4"/>
        <v>5</v>
      </c>
    </row>
    <row r="295" spans="1:5" x14ac:dyDescent="0.2">
      <c r="A295">
        <v>3</v>
      </c>
      <c r="B295" t="s">
        <v>50</v>
      </c>
      <c r="C295">
        <v>0</v>
      </c>
      <c r="D295">
        <v>9</v>
      </c>
      <c r="E295" s="3">
        <f t="shared" si="4"/>
        <v>5</v>
      </c>
    </row>
    <row r="296" spans="1:5" x14ac:dyDescent="0.2">
      <c r="A296">
        <v>4</v>
      </c>
      <c r="B296" t="s">
        <v>88</v>
      </c>
      <c r="C296">
        <v>1</v>
      </c>
      <c r="D296">
        <v>5</v>
      </c>
      <c r="E296" s="3">
        <f t="shared" si="4"/>
        <v>5</v>
      </c>
    </row>
    <row r="297" spans="1:5" x14ac:dyDescent="0.2">
      <c r="A297">
        <v>5</v>
      </c>
      <c r="B297" t="s">
        <v>46</v>
      </c>
      <c r="C297">
        <v>1</v>
      </c>
      <c r="D297">
        <v>3</v>
      </c>
      <c r="E297" s="3">
        <f t="shared" si="4"/>
        <v>5</v>
      </c>
    </row>
    <row r="298" spans="1:5" x14ac:dyDescent="0.2">
      <c r="A298">
        <v>6</v>
      </c>
      <c r="B298" t="s">
        <v>76</v>
      </c>
      <c r="C298">
        <v>1</v>
      </c>
      <c r="D298">
        <v>2</v>
      </c>
      <c r="E298" s="3">
        <f t="shared" si="4"/>
        <v>5</v>
      </c>
    </row>
    <row r="299" spans="1:5" x14ac:dyDescent="0.2">
      <c r="A299">
        <v>7</v>
      </c>
      <c r="B299" t="s">
        <v>29</v>
      </c>
      <c r="C299">
        <v>0</v>
      </c>
      <c r="D299">
        <v>1</v>
      </c>
      <c r="E299" s="3">
        <f t="shared" si="4"/>
        <v>5</v>
      </c>
    </row>
    <row r="300" spans="1:5" x14ac:dyDescent="0.2">
      <c r="A300">
        <v>8</v>
      </c>
      <c r="B300" s="2" t="s">
        <v>10</v>
      </c>
      <c r="C300" s="2" t="s">
        <v>10</v>
      </c>
      <c r="D300" s="2" t="s">
        <v>10</v>
      </c>
      <c r="E300" s="3">
        <f t="shared" si="4"/>
        <v>5</v>
      </c>
    </row>
    <row r="301" spans="1:5" x14ac:dyDescent="0.2">
      <c r="A301" s="1" t="s">
        <v>24</v>
      </c>
      <c r="E301" s="3">
        <f t="shared" si="4"/>
        <v>5</v>
      </c>
    </row>
    <row r="302" spans="1:5" x14ac:dyDescent="0.2">
      <c r="A302" s="1" t="s">
        <v>1</v>
      </c>
      <c r="B302" s="1" t="s">
        <v>2</v>
      </c>
      <c r="C302" s="1" t="s">
        <v>3</v>
      </c>
      <c r="D302" s="1" t="s">
        <v>4</v>
      </c>
      <c r="E302" s="3">
        <f t="shared" si="4"/>
        <v>5</v>
      </c>
    </row>
    <row r="303" spans="1:5" x14ac:dyDescent="0.2">
      <c r="A303">
        <v>1</v>
      </c>
      <c r="B303" t="s">
        <v>18</v>
      </c>
      <c r="C303">
        <v>4</v>
      </c>
      <c r="D303">
        <v>17</v>
      </c>
      <c r="E303" s="3">
        <f t="shared" si="4"/>
        <v>5</v>
      </c>
    </row>
    <row r="304" spans="1:5" x14ac:dyDescent="0.2">
      <c r="A304">
        <v>2</v>
      </c>
      <c r="B304" t="s">
        <v>22</v>
      </c>
      <c r="C304">
        <v>0</v>
      </c>
      <c r="D304">
        <v>13</v>
      </c>
      <c r="E304" s="3">
        <f t="shared" si="4"/>
        <v>5</v>
      </c>
    </row>
    <row r="305" spans="1:5" x14ac:dyDescent="0.2">
      <c r="A305">
        <v>3</v>
      </c>
      <c r="B305" t="s">
        <v>38</v>
      </c>
      <c r="C305">
        <v>2</v>
      </c>
      <c r="D305">
        <v>9</v>
      </c>
      <c r="E305" s="3">
        <f t="shared" si="4"/>
        <v>5</v>
      </c>
    </row>
    <row r="306" spans="1:5" x14ac:dyDescent="0.2">
      <c r="A306">
        <v>4</v>
      </c>
      <c r="B306" t="s">
        <v>65</v>
      </c>
      <c r="C306">
        <v>0</v>
      </c>
      <c r="D306">
        <v>5</v>
      </c>
      <c r="E306" s="3">
        <f t="shared" si="4"/>
        <v>5</v>
      </c>
    </row>
    <row r="307" spans="1:5" x14ac:dyDescent="0.2">
      <c r="A307">
        <v>5</v>
      </c>
      <c r="B307" t="s">
        <v>45</v>
      </c>
      <c r="C307">
        <v>0</v>
      </c>
      <c r="D307">
        <v>3</v>
      </c>
      <c r="E307" s="3">
        <f t="shared" si="4"/>
        <v>5</v>
      </c>
    </row>
    <row r="308" spans="1:5" x14ac:dyDescent="0.2">
      <c r="A308">
        <v>6</v>
      </c>
      <c r="B308" t="s">
        <v>98</v>
      </c>
      <c r="C308">
        <v>0</v>
      </c>
      <c r="D308">
        <v>2</v>
      </c>
      <c r="E308" s="3">
        <f t="shared" si="4"/>
        <v>5</v>
      </c>
    </row>
    <row r="309" spans="1:5" x14ac:dyDescent="0.2">
      <c r="A309">
        <v>7</v>
      </c>
      <c r="B309" t="s">
        <v>40</v>
      </c>
      <c r="C309">
        <v>0</v>
      </c>
      <c r="D309">
        <v>1</v>
      </c>
      <c r="E309" s="3">
        <f t="shared" si="4"/>
        <v>5</v>
      </c>
    </row>
    <row r="310" spans="1:5" x14ac:dyDescent="0.2">
      <c r="A310">
        <v>8</v>
      </c>
      <c r="B310" s="2" t="s">
        <v>10</v>
      </c>
      <c r="C310" s="2" t="s">
        <v>10</v>
      </c>
      <c r="D310" s="2" t="s">
        <v>10</v>
      </c>
      <c r="E310" s="3">
        <f t="shared" si="4"/>
        <v>5</v>
      </c>
    </row>
    <row r="311" spans="1:5" x14ac:dyDescent="0.2">
      <c r="A311" s="1" t="s">
        <v>30</v>
      </c>
      <c r="E311" s="3">
        <f t="shared" si="4"/>
        <v>5</v>
      </c>
    </row>
    <row r="312" spans="1:5" x14ac:dyDescent="0.2">
      <c r="A312" s="1" t="s">
        <v>1</v>
      </c>
      <c r="B312" s="1" t="s">
        <v>2</v>
      </c>
      <c r="C312" s="1" t="s">
        <v>3</v>
      </c>
      <c r="D312" s="1" t="s">
        <v>4</v>
      </c>
      <c r="E312" s="3">
        <f t="shared" si="4"/>
        <v>5</v>
      </c>
    </row>
    <row r="313" spans="1:5" x14ac:dyDescent="0.2">
      <c r="A313">
        <v>1</v>
      </c>
      <c r="B313" t="s">
        <v>23</v>
      </c>
      <c r="C313">
        <v>2</v>
      </c>
      <c r="D313">
        <v>16</v>
      </c>
      <c r="E313" s="3">
        <f t="shared" si="4"/>
        <v>5</v>
      </c>
    </row>
    <row r="314" spans="1:5" x14ac:dyDescent="0.2">
      <c r="A314">
        <v>2</v>
      </c>
      <c r="B314" t="s">
        <v>12</v>
      </c>
      <c r="C314">
        <v>1</v>
      </c>
      <c r="D314">
        <v>12</v>
      </c>
      <c r="E314" s="3">
        <f t="shared" si="4"/>
        <v>5</v>
      </c>
    </row>
    <row r="315" spans="1:5" x14ac:dyDescent="0.2">
      <c r="A315">
        <v>3</v>
      </c>
      <c r="B315" t="s">
        <v>305</v>
      </c>
      <c r="C315">
        <v>2</v>
      </c>
      <c r="D315">
        <v>8</v>
      </c>
      <c r="E315" s="3">
        <f t="shared" si="4"/>
        <v>5</v>
      </c>
    </row>
    <row r="316" spans="1:5" x14ac:dyDescent="0.2">
      <c r="A316">
        <v>4</v>
      </c>
      <c r="B316" t="s">
        <v>25</v>
      </c>
      <c r="C316">
        <v>0</v>
      </c>
      <c r="D316">
        <v>4</v>
      </c>
      <c r="E316" s="3">
        <f t="shared" si="4"/>
        <v>5</v>
      </c>
    </row>
    <row r="317" spans="1:5" x14ac:dyDescent="0.2">
      <c r="A317">
        <v>5</v>
      </c>
      <c r="B317" t="s">
        <v>26</v>
      </c>
      <c r="C317">
        <v>0</v>
      </c>
      <c r="D317">
        <v>2</v>
      </c>
      <c r="E317" s="3">
        <f t="shared" si="4"/>
        <v>5</v>
      </c>
    </row>
    <row r="318" spans="1:5" x14ac:dyDescent="0.2">
      <c r="A318">
        <v>6</v>
      </c>
      <c r="B318" t="s">
        <v>52</v>
      </c>
      <c r="C318">
        <v>0</v>
      </c>
      <c r="D318">
        <v>1</v>
      </c>
      <c r="E318" s="3">
        <f t="shared" si="4"/>
        <v>5</v>
      </c>
    </row>
    <row r="319" spans="1:5" x14ac:dyDescent="0.2">
      <c r="A319">
        <v>7</v>
      </c>
      <c r="B319" s="2" t="s">
        <v>10</v>
      </c>
      <c r="C319" s="2" t="s">
        <v>10</v>
      </c>
      <c r="D319" s="2" t="s">
        <v>10</v>
      </c>
      <c r="E319" s="3">
        <f t="shared" si="4"/>
        <v>5</v>
      </c>
    </row>
    <row r="320" spans="1:5" x14ac:dyDescent="0.2">
      <c r="A320">
        <v>8</v>
      </c>
      <c r="B320" s="2" t="s">
        <v>10</v>
      </c>
      <c r="C320" s="2" t="s">
        <v>10</v>
      </c>
      <c r="D320" s="2" t="s">
        <v>10</v>
      </c>
      <c r="E320" s="3">
        <f t="shared" si="4"/>
        <v>5</v>
      </c>
    </row>
    <row r="321" spans="1:5" x14ac:dyDescent="0.2">
      <c r="A321" s="1" t="s">
        <v>37</v>
      </c>
      <c r="E321" s="3">
        <f t="shared" si="4"/>
        <v>5</v>
      </c>
    </row>
    <row r="322" spans="1:5" x14ac:dyDescent="0.2">
      <c r="A322" s="1" t="s">
        <v>1</v>
      </c>
      <c r="B322" s="1" t="s">
        <v>2</v>
      </c>
      <c r="C322" s="1" t="s">
        <v>3</v>
      </c>
      <c r="D322" s="1" t="s">
        <v>4</v>
      </c>
      <c r="E322" s="3">
        <f t="shared" si="4"/>
        <v>5</v>
      </c>
    </row>
    <row r="323" spans="1:5" x14ac:dyDescent="0.2">
      <c r="A323">
        <v>1</v>
      </c>
      <c r="B323" t="s">
        <v>6</v>
      </c>
      <c r="C323">
        <v>2</v>
      </c>
      <c r="D323">
        <v>17</v>
      </c>
      <c r="E323" s="3">
        <f t="shared" si="4"/>
        <v>5</v>
      </c>
    </row>
    <row r="324" spans="1:5" x14ac:dyDescent="0.2">
      <c r="A324">
        <v>2</v>
      </c>
      <c r="B324" t="s">
        <v>60</v>
      </c>
      <c r="C324">
        <v>1</v>
      </c>
      <c r="D324">
        <v>13</v>
      </c>
      <c r="E324" s="3">
        <f t="shared" si="4"/>
        <v>5</v>
      </c>
    </row>
    <row r="325" spans="1:5" x14ac:dyDescent="0.2">
      <c r="A325">
        <v>3</v>
      </c>
      <c r="B325" t="s">
        <v>77</v>
      </c>
      <c r="C325">
        <v>1</v>
      </c>
      <c r="D325">
        <v>9</v>
      </c>
      <c r="E325" s="3">
        <f t="shared" si="4"/>
        <v>5</v>
      </c>
    </row>
    <row r="326" spans="1:5" x14ac:dyDescent="0.2">
      <c r="A326">
        <v>4</v>
      </c>
      <c r="B326" t="s">
        <v>75</v>
      </c>
      <c r="C326">
        <v>0</v>
      </c>
      <c r="D326">
        <v>5</v>
      </c>
      <c r="E326" s="3">
        <f t="shared" si="4"/>
        <v>5</v>
      </c>
    </row>
    <row r="327" spans="1:5" x14ac:dyDescent="0.2">
      <c r="A327">
        <v>5</v>
      </c>
      <c r="B327" t="s">
        <v>39</v>
      </c>
      <c r="C327">
        <v>2</v>
      </c>
      <c r="D327">
        <v>3</v>
      </c>
      <c r="E327" s="3">
        <f t="shared" si="4"/>
        <v>5</v>
      </c>
    </row>
    <row r="328" spans="1:5" x14ac:dyDescent="0.2">
      <c r="A328">
        <v>6</v>
      </c>
      <c r="B328" t="s">
        <v>35</v>
      </c>
      <c r="C328">
        <v>0</v>
      </c>
      <c r="D328">
        <v>2</v>
      </c>
      <c r="E328" s="3">
        <f t="shared" si="4"/>
        <v>5</v>
      </c>
    </row>
    <row r="329" spans="1:5" x14ac:dyDescent="0.2">
      <c r="A329">
        <v>7</v>
      </c>
      <c r="B329" t="s">
        <v>81</v>
      </c>
      <c r="C329">
        <v>0</v>
      </c>
      <c r="D329">
        <v>1</v>
      </c>
      <c r="E329" s="3">
        <f t="shared" si="4"/>
        <v>5</v>
      </c>
    </row>
    <row r="330" spans="1:5" x14ac:dyDescent="0.2">
      <c r="A330">
        <v>8</v>
      </c>
      <c r="B330" s="2" t="s">
        <v>10</v>
      </c>
      <c r="C330" s="2" t="s">
        <v>10</v>
      </c>
      <c r="D330" s="2" t="s">
        <v>10</v>
      </c>
      <c r="E330" s="3">
        <f t="shared" si="4"/>
        <v>5</v>
      </c>
    </row>
    <row r="331" spans="1:5" x14ac:dyDescent="0.2">
      <c r="A331" s="1" t="s">
        <v>44</v>
      </c>
      <c r="E331" s="3">
        <f t="shared" si="4"/>
        <v>5</v>
      </c>
    </row>
    <row r="332" spans="1:5" x14ac:dyDescent="0.2">
      <c r="A332" s="1" t="s">
        <v>1</v>
      </c>
      <c r="B332" s="1" t="s">
        <v>2</v>
      </c>
      <c r="C332" s="1" t="s">
        <v>3</v>
      </c>
      <c r="D332" s="1" t="s">
        <v>4</v>
      </c>
      <c r="E332" s="3">
        <f t="shared" si="4"/>
        <v>5</v>
      </c>
    </row>
    <row r="333" spans="1:5" x14ac:dyDescent="0.2">
      <c r="A333">
        <v>1</v>
      </c>
      <c r="B333" t="s">
        <v>9</v>
      </c>
      <c r="C333">
        <v>4</v>
      </c>
      <c r="D333">
        <v>17</v>
      </c>
      <c r="E333" s="3">
        <f t="shared" si="4"/>
        <v>5</v>
      </c>
    </row>
    <row r="334" spans="1:5" x14ac:dyDescent="0.2">
      <c r="A334">
        <v>2</v>
      </c>
      <c r="B334" t="s">
        <v>74</v>
      </c>
      <c r="C334">
        <v>1</v>
      </c>
      <c r="D334">
        <v>13</v>
      </c>
      <c r="E334" s="3">
        <f t="shared" si="4"/>
        <v>5</v>
      </c>
    </row>
    <row r="335" spans="1:5" x14ac:dyDescent="0.2">
      <c r="A335">
        <v>3</v>
      </c>
      <c r="B335" t="s">
        <v>73</v>
      </c>
      <c r="C335">
        <v>0</v>
      </c>
      <c r="D335">
        <v>9</v>
      </c>
      <c r="E335" s="3">
        <f t="shared" si="4"/>
        <v>5</v>
      </c>
    </row>
    <row r="336" spans="1:5" x14ac:dyDescent="0.2">
      <c r="A336">
        <v>4</v>
      </c>
      <c r="B336" t="s">
        <v>47</v>
      </c>
      <c r="C336">
        <v>1</v>
      </c>
      <c r="D336">
        <v>5</v>
      </c>
      <c r="E336" s="3">
        <f t="shared" si="4"/>
        <v>5</v>
      </c>
    </row>
    <row r="337" spans="1:5" x14ac:dyDescent="0.2">
      <c r="A337">
        <v>5</v>
      </c>
      <c r="B337" t="s">
        <v>42</v>
      </c>
      <c r="C337">
        <v>0</v>
      </c>
      <c r="D337">
        <v>3</v>
      </c>
      <c r="E337" s="3">
        <f t="shared" si="4"/>
        <v>5</v>
      </c>
    </row>
    <row r="338" spans="1:5" x14ac:dyDescent="0.2">
      <c r="A338">
        <v>6</v>
      </c>
      <c r="B338" t="s">
        <v>27</v>
      </c>
      <c r="C338">
        <v>0</v>
      </c>
      <c r="D338">
        <v>2</v>
      </c>
      <c r="E338" s="3">
        <f t="shared" si="4"/>
        <v>5</v>
      </c>
    </row>
    <row r="339" spans="1:5" x14ac:dyDescent="0.2">
      <c r="A339">
        <v>7</v>
      </c>
      <c r="B339" t="s">
        <v>92</v>
      </c>
      <c r="C339">
        <v>0</v>
      </c>
      <c r="D339">
        <v>1</v>
      </c>
      <c r="E339" s="3">
        <f t="shared" si="4"/>
        <v>5</v>
      </c>
    </row>
    <row r="340" spans="1:5" x14ac:dyDescent="0.2">
      <c r="A340">
        <v>8</v>
      </c>
      <c r="B340" s="2" t="s">
        <v>10</v>
      </c>
      <c r="C340" s="2" t="s">
        <v>10</v>
      </c>
      <c r="D340" s="2" t="s">
        <v>10</v>
      </c>
      <c r="E340" s="3">
        <f t="shared" si="4"/>
        <v>5</v>
      </c>
    </row>
    <row r="341" spans="1:5" x14ac:dyDescent="0.2">
      <c r="A341" s="1" t="s">
        <v>0</v>
      </c>
      <c r="E341" s="3">
        <f t="shared" si="4"/>
        <v>6</v>
      </c>
    </row>
    <row r="342" spans="1:5" x14ac:dyDescent="0.2">
      <c r="A342" s="1" t="s">
        <v>1</v>
      </c>
      <c r="B342" s="1" t="s">
        <v>2</v>
      </c>
      <c r="C342" s="1" t="s">
        <v>3</v>
      </c>
      <c r="D342" s="1" t="s">
        <v>4</v>
      </c>
      <c r="E342" s="3">
        <f t="shared" si="4"/>
        <v>6</v>
      </c>
    </row>
    <row r="343" spans="1:5" x14ac:dyDescent="0.2">
      <c r="A343">
        <v>1</v>
      </c>
      <c r="B343" t="s">
        <v>59</v>
      </c>
      <c r="C343">
        <v>4</v>
      </c>
      <c r="D343">
        <v>16</v>
      </c>
      <c r="E343" s="3">
        <f t="shared" si="4"/>
        <v>6</v>
      </c>
    </row>
    <row r="344" spans="1:5" x14ac:dyDescent="0.2">
      <c r="A344">
        <v>2</v>
      </c>
      <c r="B344" t="s">
        <v>31</v>
      </c>
      <c r="C344">
        <v>0</v>
      </c>
      <c r="D344">
        <v>12</v>
      </c>
      <c r="E344" s="3">
        <f t="shared" si="4"/>
        <v>6</v>
      </c>
    </row>
    <row r="345" spans="1:5" x14ac:dyDescent="0.2">
      <c r="A345">
        <v>3</v>
      </c>
      <c r="B345" t="s">
        <v>54</v>
      </c>
      <c r="C345">
        <v>0</v>
      </c>
      <c r="D345">
        <v>8</v>
      </c>
      <c r="E345" s="3">
        <f t="shared" si="4"/>
        <v>6</v>
      </c>
    </row>
    <row r="346" spans="1:5" x14ac:dyDescent="0.2">
      <c r="A346">
        <v>4</v>
      </c>
      <c r="B346" t="s">
        <v>38</v>
      </c>
      <c r="C346">
        <v>0</v>
      </c>
      <c r="D346">
        <v>4</v>
      </c>
      <c r="E346" s="3">
        <f t="shared" si="4"/>
        <v>6</v>
      </c>
    </row>
    <row r="347" spans="1:5" x14ac:dyDescent="0.2">
      <c r="A347">
        <v>5</v>
      </c>
      <c r="B347" t="s">
        <v>76</v>
      </c>
      <c r="C347">
        <v>1</v>
      </c>
      <c r="D347">
        <v>2</v>
      </c>
      <c r="E347" s="3">
        <f t="shared" si="4"/>
        <v>6</v>
      </c>
    </row>
    <row r="348" spans="1:5" x14ac:dyDescent="0.2">
      <c r="A348">
        <v>6</v>
      </c>
      <c r="B348" t="s">
        <v>103</v>
      </c>
      <c r="C348">
        <v>0</v>
      </c>
      <c r="D348">
        <v>1</v>
      </c>
      <c r="E348" s="3">
        <f t="shared" si="4"/>
        <v>6</v>
      </c>
    </row>
    <row r="349" spans="1:5" x14ac:dyDescent="0.2">
      <c r="A349">
        <v>7</v>
      </c>
      <c r="B349" s="2" t="s">
        <v>10</v>
      </c>
      <c r="C349" s="2" t="s">
        <v>10</v>
      </c>
      <c r="D349" s="2" t="s">
        <v>10</v>
      </c>
      <c r="E349" s="3">
        <f t="shared" si="4"/>
        <v>6</v>
      </c>
    </row>
    <row r="350" spans="1:5" x14ac:dyDescent="0.2">
      <c r="A350">
        <v>8</v>
      </c>
      <c r="B350" s="2" t="s">
        <v>10</v>
      </c>
      <c r="C350" s="2" t="s">
        <v>10</v>
      </c>
      <c r="D350" s="2" t="s">
        <v>10</v>
      </c>
      <c r="E350" s="3">
        <f t="shared" si="4"/>
        <v>6</v>
      </c>
    </row>
    <row r="351" spans="1:5" x14ac:dyDescent="0.2">
      <c r="A351" s="1" t="s">
        <v>11</v>
      </c>
      <c r="E351" s="3">
        <f t="shared" si="4"/>
        <v>6</v>
      </c>
    </row>
    <row r="352" spans="1:5" x14ac:dyDescent="0.2">
      <c r="A352" s="1" t="s">
        <v>1</v>
      </c>
      <c r="B352" s="1" t="s">
        <v>2</v>
      </c>
      <c r="C352" s="1" t="s">
        <v>3</v>
      </c>
      <c r="D352" s="1" t="s">
        <v>4</v>
      </c>
      <c r="E352" s="3">
        <f t="shared" ref="E352:E415" si="5">IF(A352=$A$1,E351+1,E351)</f>
        <v>6</v>
      </c>
    </row>
    <row r="353" spans="1:5" x14ac:dyDescent="0.2">
      <c r="A353">
        <v>1</v>
      </c>
      <c r="B353" t="s">
        <v>50</v>
      </c>
      <c r="C353">
        <v>1</v>
      </c>
      <c r="D353">
        <v>16</v>
      </c>
      <c r="E353" s="3">
        <f t="shared" si="5"/>
        <v>6</v>
      </c>
    </row>
    <row r="354" spans="1:5" x14ac:dyDescent="0.2">
      <c r="A354">
        <v>2</v>
      </c>
      <c r="B354" t="s">
        <v>102</v>
      </c>
      <c r="C354">
        <v>2</v>
      </c>
      <c r="D354">
        <v>12</v>
      </c>
      <c r="E354" s="3">
        <f t="shared" si="5"/>
        <v>6</v>
      </c>
    </row>
    <row r="355" spans="1:5" x14ac:dyDescent="0.2">
      <c r="A355">
        <v>3</v>
      </c>
      <c r="B355" t="s">
        <v>40</v>
      </c>
      <c r="C355">
        <v>2</v>
      </c>
      <c r="D355">
        <v>8</v>
      </c>
      <c r="E355" s="3">
        <f t="shared" si="5"/>
        <v>6</v>
      </c>
    </row>
    <row r="356" spans="1:5" x14ac:dyDescent="0.2">
      <c r="A356">
        <v>4</v>
      </c>
      <c r="B356" t="s">
        <v>33</v>
      </c>
      <c r="C356">
        <v>0</v>
      </c>
      <c r="D356">
        <v>4</v>
      </c>
      <c r="E356" s="3">
        <f t="shared" si="5"/>
        <v>6</v>
      </c>
    </row>
    <row r="357" spans="1:5" x14ac:dyDescent="0.2">
      <c r="A357">
        <v>5</v>
      </c>
      <c r="B357" t="s">
        <v>47</v>
      </c>
      <c r="C357">
        <v>0</v>
      </c>
      <c r="D357">
        <v>2</v>
      </c>
      <c r="E357" s="3">
        <f t="shared" si="5"/>
        <v>6</v>
      </c>
    </row>
    <row r="358" spans="1:5" x14ac:dyDescent="0.2">
      <c r="A358">
        <v>6</v>
      </c>
      <c r="B358" t="s">
        <v>66</v>
      </c>
      <c r="C358">
        <v>0</v>
      </c>
      <c r="D358">
        <v>1</v>
      </c>
      <c r="E358" s="3">
        <f t="shared" si="5"/>
        <v>6</v>
      </c>
    </row>
    <row r="359" spans="1:5" x14ac:dyDescent="0.2">
      <c r="A359">
        <v>7</v>
      </c>
      <c r="B359" s="2" t="s">
        <v>10</v>
      </c>
      <c r="C359" s="2" t="s">
        <v>10</v>
      </c>
      <c r="D359" s="2" t="s">
        <v>10</v>
      </c>
      <c r="E359" s="3">
        <f t="shared" si="5"/>
        <v>6</v>
      </c>
    </row>
    <row r="360" spans="1:5" x14ac:dyDescent="0.2">
      <c r="A360">
        <v>8</v>
      </c>
      <c r="B360" s="2" t="s">
        <v>10</v>
      </c>
      <c r="C360" s="2" t="s">
        <v>10</v>
      </c>
      <c r="D360" s="2" t="s">
        <v>10</v>
      </c>
      <c r="E360" s="3">
        <f t="shared" si="5"/>
        <v>6</v>
      </c>
    </row>
    <row r="361" spans="1:5" x14ac:dyDescent="0.2">
      <c r="A361" s="1" t="s">
        <v>17</v>
      </c>
      <c r="E361" s="3">
        <f t="shared" si="5"/>
        <v>6</v>
      </c>
    </row>
    <row r="362" spans="1:5" x14ac:dyDescent="0.2">
      <c r="A362" s="1" t="s">
        <v>1</v>
      </c>
      <c r="B362" s="1" t="s">
        <v>2</v>
      </c>
      <c r="C362" s="1" t="s">
        <v>3</v>
      </c>
      <c r="D362" s="1" t="s">
        <v>4</v>
      </c>
      <c r="E362" s="3">
        <f t="shared" si="5"/>
        <v>6</v>
      </c>
    </row>
    <row r="363" spans="1:5" x14ac:dyDescent="0.2">
      <c r="A363">
        <v>1</v>
      </c>
      <c r="B363" t="s">
        <v>65</v>
      </c>
      <c r="C363">
        <v>4</v>
      </c>
      <c r="D363">
        <v>16</v>
      </c>
      <c r="E363" s="3">
        <f t="shared" si="5"/>
        <v>6</v>
      </c>
    </row>
    <row r="364" spans="1:5" x14ac:dyDescent="0.2">
      <c r="A364">
        <v>2</v>
      </c>
      <c r="B364" t="s">
        <v>41</v>
      </c>
      <c r="C364">
        <v>1</v>
      </c>
      <c r="D364">
        <v>12</v>
      </c>
      <c r="E364" s="3">
        <f t="shared" si="5"/>
        <v>6</v>
      </c>
    </row>
    <row r="365" spans="1:5" x14ac:dyDescent="0.2">
      <c r="A365">
        <v>3</v>
      </c>
      <c r="B365" t="s">
        <v>55</v>
      </c>
      <c r="C365">
        <v>0</v>
      </c>
      <c r="D365">
        <v>8</v>
      </c>
      <c r="E365" s="3">
        <f t="shared" si="5"/>
        <v>6</v>
      </c>
    </row>
    <row r="366" spans="1:5" x14ac:dyDescent="0.2">
      <c r="A366">
        <v>4</v>
      </c>
      <c r="B366" t="s">
        <v>14</v>
      </c>
      <c r="C366">
        <v>0</v>
      </c>
      <c r="D366">
        <v>4</v>
      </c>
      <c r="E366" s="3">
        <f t="shared" si="5"/>
        <v>6</v>
      </c>
    </row>
    <row r="367" spans="1:5" x14ac:dyDescent="0.2">
      <c r="A367">
        <v>5</v>
      </c>
      <c r="B367" t="s">
        <v>29</v>
      </c>
      <c r="C367">
        <v>0</v>
      </c>
      <c r="D367">
        <v>2</v>
      </c>
      <c r="E367" s="3">
        <f t="shared" si="5"/>
        <v>6</v>
      </c>
    </row>
    <row r="368" spans="1:5" x14ac:dyDescent="0.2">
      <c r="A368">
        <v>6</v>
      </c>
      <c r="B368" t="s">
        <v>53</v>
      </c>
      <c r="C368">
        <v>0</v>
      </c>
      <c r="D368">
        <v>1</v>
      </c>
      <c r="E368" s="3">
        <f t="shared" si="5"/>
        <v>6</v>
      </c>
    </row>
    <row r="369" spans="1:5" x14ac:dyDescent="0.2">
      <c r="A369">
        <v>7</v>
      </c>
      <c r="B369" s="2" t="s">
        <v>10</v>
      </c>
      <c r="C369" s="2" t="s">
        <v>10</v>
      </c>
      <c r="D369" s="2" t="s">
        <v>10</v>
      </c>
      <c r="E369" s="3">
        <f t="shared" si="5"/>
        <v>6</v>
      </c>
    </row>
    <row r="370" spans="1:5" x14ac:dyDescent="0.2">
      <c r="A370">
        <v>8</v>
      </c>
      <c r="B370" s="2" t="s">
        <v>10</v>
      </c>
      <c r="C370" s="2" t="s">
        <v>10</v>
      </c>
      <c r="D370" s="2" t="s">
        <v>10</v>
      </c>
      <c r="E370" s="3">
        <f t="shared" si="5"/>
        <v>6</v>
      </c>
    </row>
    <row r="371" spans="1:5" x14ac:dyDescent="0.2">
      <c r="A371" s="1" t="s">
        <v>24</v>
      </c>
      <c r="E371" s="3">
        <f t="shared" si="5"/>
        <v>6</v>
      </c>
    </row>
    <row r="372" spans="1:5" x14ac:dyDescent="0.2">
      <c r="A372" s="1" t="s">
        <v>1</v>
      </c>
      <c r="B372" s="1" t="s">
        <v>2</v>
      </c>
      <c r="C372" s="1" t="s">
        <v>3</v>
      </c>
      <c r="D372" s="1" t="s">
        <v>4</v>
      </c>
      <c r="E372" s="3">
        <f t="shared" si="5"/>
        <v>6</v>
      </c>
    </row>
    <row r="373" spans="1:5" x14ac:dyDescent="0.2">
      <c r="A373">
        <v>1</v>
      </c>
      <c r="B373" t="s">
        <v>46</v>
      </c>
      <c r="C373">
        <v>1</v>
      </c>
      <c r="D373">
        <v>16</v>
      </c>
      <c r="E373" s="3">
        <f t="shared" si="5"/>
        <v>6</v>
      </c>
    </row>
    <row r="374" spans="1:5" x14ac:dyDescent="0.2">
      <c r="A374">
        <v>2</v>
      </c>
      <c r="B374" t="s">
        <v>25</v>
      </c>
      <c r="C374">
        <v>1</v>
      </c>
      <c r="D374">
        <v>12</v>
      </c>
      <c r="E374" s="3">
        <f t="shared" si="5"/>
        <v>6</v>
      </c>
    </row>
    <row r="375" spans="1:5" x14ac:dyDescent="0.2">
      <c r="A375">
        <v>3</v>
      </c>
      <c r="B375" t="s">
        <v>8</v>
      </c>
      <c r="C375">
        <v>2</v>
      </c>
      <c r="D375">
        <v>8</v>
      </c>
      <c r="E375" s="3">
        <f t="shared" si="5"/>
        <v>6</v>
      </c>
    </row>
    <row r="376" spans="1:5" x14ac:dyDescent="0.2">
      <c r="A376">
        <v>4</v>
      </c>
      <c r="B376" t="s">
        <v>22</v>
      </c>
      <c r="C376">
        <v>1</v>
      </c>
      <c r="D376">
        <v>4</v>
      </c>
      <c r="E376" s="3">
        <f t="shared" si="5"/>
        <v>6</v>
      </c>
    </row>
    <row r="377" spans="1:5" x14ac:dyDescent="0.2">
      <c r="A377">
        <v>5</v>
      </c>
      <c r="B377" t="s">
        <v>52</v>
      </c>
      <c r="C377">
        <v>0</v>
      </c>
      <c r="D377">
        <v>2</v>
      </c>
      <c r="E377" s="3">
        <f t="shared" si="5"/>
        <v>6</v>
      </c>
    </row>
    <row r="378" spans="1:5" x14ac:dyDescent="0.2">
      <c r="A378">
        <v>6</v>
      </c>
      <c r="B378" t="s">
        <v>21</v>
      </c>
      <c r="C378">
        <v>0</v>
      </c>
      <c r="D378">
        <v>1</v>
      </c>
      <c r="E378" s="3">
        <f t="shared" si="5"/>
        <v>6</v>
      </c>
    </row>
    <row r="379" spans="1:5" x14ac:dyDescent="0.2">
      <c r="A379">
        <v>7</v>
      </c>
      <c r="B379" s="2" t="s">
        <v>10</v>
      </c>
      <c r="C379" s="2" t="s">
        <v>10</v>
      </c>
      <c r="D379" s="2" t="s">
        <v>10</v>
      </c>
      <c r="E379" s="3">
        <f t="shared" si="5"/>
        <v>6</v>
      </c>
    </row>
    <row r="380" spans="1:5" x14ac:dyDescent="0.2">
      <c r="A380">
        <v>8</v>
      </c>
      <c r="B380" s="2" t="s">
        <v>10</v>
      </c>
      <c r="C380" s="2" t="s">
        <v>10</v>
      </c>
      <c r="D380" s="2" t="s">
        <v>10</v>
      </c>
      <c r="E380" s="3">
        <f t="shared" si="5"/>
        <v>6</v>
      </c>
    </row>
    <row r="381" spans="1:5" x14ac:dyDescent="0.2">
      <c r="A381" s="1" t="s">
        <v>30</v>
      </c>
      <c r="E381" s="3">
        <f t="shared" si="5"/>
        <v>6</v>
      </c>
    </row>
    <row r="382" spans="1:5" x14ac:dyDescent="0.2">
      <c r="A382" s="1" t="s">
        <v>1</v>
      </c>
      <c r="B382" s="1" t="s">
        <v>2</v>
      </c>
      <c r="C382" s="1" t="s">
        <v>3</v>
      </c>
      <c r="D382" s="1" t="s">
        <v>4</v>
      </c>
      <c r="E382" s="3">
        <f t="shared" si="5"/>
        <v>6</v>
      </c>
    </row>
    <row r="383" spans="1:5" x14ac:dyDescent="0.2">
      <c r="A383">
        <v>1</v>
      </c>
      <c r="B383" t="s">
        <v>45</v>
      </c>
      <c r="C383">
        <v>2</v>
      </c>
      <c r="D383">
        <v>16</v>
      </c>
      <c r="E383" s="3">
        <f t="shared" si="5"/>
        <v>6</v>
      </c>
    </row>
    <row r="384" spans="1:5" x14ac:dyDescent="0.2">
      <c r="A384">
        <v>2</v>
      </c>
      <c r="B384" t="s">
        <v>61</v>
      </c>
      <c r="C384">
        <v>1</v>
      </c>
      <c r="D384">
        <v>12</v>
      </c>
      <c r="E384" s="3">
        <f t="shared" si="5"/>
        <v>6</v>
      </c>
    </row>
    <row r="385" spans="1:5" x14ac:dyDescent="0.2">
      <c r="A385">
        <v>3</v>
      </c>
      <c r="B385" t="s">
        <v>101</v>
      </c>
      <c r="C385">
        <v>1</v>
      </c>
      <c r="D385">
        <v>8</v>
      </c>
      <c r="E385" s="3">
        <f t="shared" si="5"/>
        <v>6</v>
      </c>
    </row>
    <row r="386" spans="1:5" x14ac:dyDescent="0.2">
      <c r="A386">
        <v>4</v>
      </c>
      <c r="B386" t="s">
        <v>12</v>
      </c>
      <c r="C386">
        <v>1</v>
      </c>
      <c r="D386">
        <v>4</v>
      </c>
      <c r="E386" s="3">
        <f t="shared" si="5"/>
        <v>6</v>
      </c>
    </row>
    <row r="387" spans="1:5" x14ac:dyDescent="0.2">
      <c r="A387">
        <v>5</v>
      </c>
      <c r="B387" t="s">
        <v>81</v>
      </c>
      <c r="C387">
        <v>0</v>
      </c>
      <c r="D387">
        <v>2</v>
      </c>
      <c r="E387" s="3">
        <f t="shared" si="5"/>
        <v>6</v>
      </c>
    </row>
    <row r="388" spans="1:5" x14ac:dyDescent="0.2">
      <c r="A388">
        <v>6</v>
      </c>
      <c r="B388" t="s">
        <v>18</v>
      </c>
      <c r="C388">
        <v>0</v>
      </c>
      <c r="D388">
        <v>1</v>
      </c>
      <c r="E388" s="3">
        <f t="shared" si="5"/>
        <v>6</v>
      </c>
    </row>
    <row r="389" spans="1:5" x14ac:dyDescent="0.2">
      <c r="A389">
        <v>7</v>
      </c>
      <c r="B389" s="2" t="s">
        <v>10</v>
      </c>
      <c r="C389" s="2" t="s">
        <v>10</v>
      </c>
      <c r="D389" s="2" t="s">
        <v>10</v>
      </c>
      <c r="E389" s="3">
        <f t="shared" si="5"/>
        <v>6</v>
      </c>
    </row>
    <row r="390" spans="1:5" x14ac:dyDescent="0.2">
      <c r="A390">
        <v>8</v>
      </c>
      <c r="B390" s="2" t="s">
        <v>10</v>
      </c>
      <c r="C390" s="2" t="s">
        <v>10</v>
      </c>
      <c r="D390" s="2" t="s">
        <v>10</v>
      </c>
      <c r="E390" s="3">
        <f t="shared" si="5"/>
        <v>6</v>
      </c>
    </row>
    <row r="391" spans="1:5" x14ac:dyDescent="0.2">
      <c r="A391" s="1" t="s">
        <v>37</v>
      </c>
      <c r="E391" s="3">
        <f t="shared" si="5"/>
        <v>6</v>
      </c>
    </row>
    <row r="392" spans="1:5" x14ac:dyDescent="0.2">
      <c r="A392" s="1" t="s">
        <v>1</v>
      </c>
      <c r="B392" s="1" t="s">
        <v>2</v>
      </c>
      <c r="C392" s="1" t="s">
        <v>3</v>
      </c>
      <c r="D392" s="1" t="s">
        <v>4</v>
      </c>
      <c r="E392" s="3">
        <f t="shared" si="5"/>
        <v>6</v>
      </c>
    </row>
    <row r="393" spans="1:5" x14ac:dyDescent="0.2">
      <c r="A393">
        <v>1</v>
      </c>
      <c r="B393" t="s">
        <v>94</v>
      </c>
      <c r="C393">
        <v>4</v>
      </c>
      <c r="D393">
        <v>16</v>
      </c>
      <c r="E393" s="3">
        <f t="shared" si="5"/>
        <v>6</v>
      </c>
    </row>
    <row r="394" spans="1:5" x14ac:dyDescent="0.2">
      <c r="A394">
        <v>2</v>
      </c>
      <c r="B394" t="s">
        <v>68</v>
      </c>
      <c r="C394">
        <v>1</v>
      </c>
      <c r="D394">
        <v>12</v>
      </c>
      <c r="E394" s="3">
        <f t="shared" si="5"/>
        <v>6</v>
      </c>
    </row>
    <row r="395" spans="1:5" x14ac:dyDescent="0.2">
      <c r="A395">
        <v>3</v>
      </c>
      <c r="B395" t="s">
        <v>26</v>
      </c>
      <c r="C395">
        <v>0</v>
      </c>
      <c r="D395">
        <v>8</v>
      </c>
      <c r="E395" s="3">
        <f t="shared" si="5"/>
        <v>6</v>
      </c>
    </row>
    <row r="396" spans="1:5" x14ac:dyDescent="0.2">
      <c r="A396">
        <v>4</v>
      </c>
      <c r="B396" t="s">
        <v>43</v>
      </c>
      <c r="C396">
        <v>0</v>
      </c>
      <c r="D396">
        <v>4</v>
      </c>
      <c r="E396" s="3">
        <f t="shared" si="5"/>
        <v>6</v>
      </c>
    </row>
    <row r="397" spans="1:5" x14ac:dyDescent="0.2">
      <c r="A397">
        <v>5</v>
      </c>
      <c r="B397" t="s">
        <v>75</v>
      </c>
      <c r="C397">
        <v>0</v>
      </c>
      <c r="D397">
        <v>2</v>
      </c>
      <c r="E397" s="3">
        <f t="shared" si="5"/>
        <v>6</v>
      </c>
    </row>
    <row r="398" spans="1:5" x14ac:dyDescent="0.2">
      <c r="A398">
        <v>6</v>
      </c>
      <c r="B398" t="s">
        <v>92</v>
      </c>
      <c r="C398">
        <v>0</v>
      </c>
      <c r="D398">
        <v>1</v>
      </c>
      <c r="E398" s="3">
        <f t="shared" si="5"/>
        <v>6</v>
      </c>
    </row>
    <row r="399" spans="1:5" x14ac:dyDescent="0.2">
      <c r="A399">
        <v>7</v>
      </c>
      <c r="B399" s="2" t="s">
        <v>10</v>
      </c>
      <c r="C399" s="2" t="s">
        <v>10</v>
      </c>
      <c r="D399" s="2" t="s">
        <v>10</v>
      </c>
      <c r="E399" s="3">
        <f t="shared" si="5"/>
        <v>6</v>
      </c>
    </row>
    <row r="400" spans="1:5" x14ac:dyDescent="0.2">
      <c r="A400">
        <v>8</v>
      </c>
      <c r="B400" s="2" t="s">
        <v>10</v>
      </c>
      <c r="C400" s="2" t="s">
        <v>10</v>
      </c>
      <c r="D400" s="2" t="s">
        <v>10</v>
      </c>
      <c r="E400" s="3">
        <f t="shared" si="5"/>
        <v>6</v>
      </c>
    </row>
    <row r="401" spans="1:5" x14ac:dyDescent="0.2">
      <c r="A401" s="1" t="s">
        <v>44</v>
      </c>
      <c r="E401" s="3">
        <f t="shared" si="5"/>
        <v>6</v>
      </c>
    </row>
    <row r="402" spans="1:5" x14ac:dyDescent="0.2">
      <c r="A402" s="1" t="s">
        <v>1</v>
      </c>
      <c r="B402" s="1" t="s">
        <v>2</v>
      </c>
      <c r="C402" s="1" t="s">
        <v>3</v>
      </c>
      <c r="D402" s="1" t="s">
        <v>4</v>
      </c>
      <c r="E402" s="3">
        <f t="shared" si="5"/>
        <v>6</v>
      </c>
    </row>
    <row r="403" spans="1:5" x14ac:dyDescent="0.2">
      <c r="A403">
        <v>1</v>
      </c>
      <c r="B403" t="s">
        <v>19</v>
      </c>
      <c r="C403">
        <v>3</v>
      </c>
      <c r="D403">
        <v>17</v>
      </c>
      <c r="E403" s="3">
        <f t="shared" si="5"/>
        <v>6</v>
      </c>
    </row>
    <row r="404" spans="1:5" x14ac:dyDescent="0.2">
      <c r="A404">
        <v>2</v>
      </c>
      <c r="B404" t="s">
        <v>28</v>
      </c>
      <c r="C404">
        <v>3</v>
      </c>
      <c r="D404">
        <v>13</v>
      </c>
      <c r="E404" s="3">
        <f t="shared" si="5"/>
        <v>6</v>
      </c>
    </row>
    <row r="405" spans="1:5" x14ac:dyDescent="0.2">
      <c r="A405">
        <v>3</v>
      </c>
      <c r="B405" t="s">
        <v>35</v>
      </c>
      <c r="C405">
        <v>0</v>
      </c>
      <c r="D405">
        <v>9</v>
      </c>
      <c r="E405" s="3">
        <f t="shared" si="5"/>
        <v>6</v>
      </c>
    </row>
    <row r="406" spans="1:5" x14ac:dyDescent="0.2">
      <c r="A406">
        <v>4</v>
      </c>
      <c r="B406" t="s">
        <v>60</v>
      </c>
      <c r="C406">
        <v>0</v>
      </c>
      <c r="D406">
        <v>5</v>
      </c>
      <c r="E406" s="3">
        <f t="shared" si="5"/>
        <v>6</v>
      </c>
    </row>
    <row r="407" spans="1:5" x14ac:dyDescent="0.2">
      <c r="A407">
        <v>5</v>
      </c>
      <c r="B407" t="s">
        <v>9</v>
      </c>
      <c r="C407">
        <v>0</v>
      </c>
      <c r="D407">
        <v>3</v>
      </c>
      <c r="E407" s="3">
        <f t="shared" si="5"/>
        <v>6</v>
      </c>
    </row>
    <row r="408" spans="1:5" x14ac:dyDescent="0.2">
      <c r="A408">
        <v>6</v>
      </c>
      <c r="B408" t="s">
        <v>87</v>
      </c>
      <c r="C408">
        <v>0</v>
      </c>
      <c r="D408">
        <v>2</v>
      </c>
      <c r="E408" s="3">
        <f t="shared" si="5"/>
        <v>6</v>
      </c>
    </row>
    <row r="409" spans="1:5" x14ac:dyDescent="0.2">
      <c r="A409">
        <v>7</v>
      </c>
      <c r="B409" t="s">
        <v>23</v>
      </c>
      <c r="C409">
        <v>0</v>
      </c>
      <c r="D409">
        <v>1</v>
      </c>
      <c r="E409" s="3">
        <f t="shared" si="5"/>
        <v>6</v>
      </c>
    </row>
    <row r="410" spans="1:5" x14ac:dyDescent="0.2">
      <c r="A410">
        <v>8</v>
      </c>
      <c r="B410" s="2" t="s">
        <v>10</v>
      </c>
      <c r="C410" s="2" t="s">
        <v>10</v>
      </c>
      <c r="D410" s="2" t="s">
        <v>10</v>
      </c>
      <c r="E410" s="3">
        <f t="shared" si="5"/>
        <v>6</v>
      </c>
    </row>
    <row r="411" spans="1:5" x14ac:dyDescent="0.2">
      <c r="A411" s="1" t="s">
        <v>51</v>
      </c>
      <c r="E411" s="3">
        <f t="shared" si="5"/>
        <v>6</v>
      </c>
    </row>
    <row r="412" spans="1:5" x14ac:dyDescent="0.2">
      <c r="A412" s="1" t="s">
        <v>1</v>
      </c>
      <c r="B412" s="1" t="s">
        <v>2</v>
      </c>
      <c r="C412" s="1" t="s">
        <v>3</v>
      </c>
      <c r="D412" s="1" t="s">
        <v>4</v>
      </c>
      <c r="E412" s="3">
        <f t="shared" si="5"/>
        <v>6</v>
      </c>
    </row>
    <row r="413" spans="1:5" x14ac:dyDescent="0.2">
      <c r="A413">
        <v>1</v>
      </c>
      <c r="B413" t="s">
        <v>73</v>
      </c>
      <c r="C413">
        <v>2</v>
      </c>
      <c r="D413">
        <v>16</v>
      </c>
      <c r="E413" s="3">
        <f t="shared" si="5"/>
        <v>6</v>
      </c>
    </row>
    <row r="414" spans="1:5" x14ac:dyDescent="0.2">
      <c r="A414">
        <v>2</v>
      </c>
      <c r="B414" t="s">
        <v>69</v>
      </c>
      <c r="C414">
        <v>3</v>
      </c>
      <c r="D414">
        <v>12</v>
      </c>
      <c r="E414" s="3">
        <f t="shared" si="5"/>
        <v>6</v>
      </c>
    </row>
    <row r="415" spans="1:5" x14ac:dyDescent="0.2">
      <c r="A415">
        <v>3</v>
      </c>
      <c r="B415" t="s">
        <v>6</v>
      </c>
      <c r="C415">
        <v>0</v>
      </c>
      <c r="D415">
        <v>8</v>
      </c>
      <c r="E415" s="3">
        <f t="shared" si="5"/>
        <v>6</v>
      </c>
    </row>
    <row r="416" spans="1:5" x14ac:dyDescent="0.2">
      <c r="A416">
        <v>4</v>
      </c>
      <c r="B416" t="s">
        <v>42</v>
      </c>
      <c r="C416">
        <v>0</v>
      </c>
      <c r="D416">
        <v>4</v>
      </c>
      <c r="E416" s="3">
        <f t="shared" ref="E416:E479" si="6">IF(A416=$A$1,E415+1,E415)</f>
        <v>6</v>
      </c>
    </row>
    <row r="417" spans="1:5" x14ac:dyDescent="0.2">
      <c r="A417">
        <v>5</v>
      </c>
      <c r="B417" t="s">
        <v>39</v>
      </c>
      <c r="C417">
        <v>0</v>
      </c>
      <c r="D417">
        <v>2</v>
      </c>
      <c r="E417" s="3">
        <f t="shared" si="6"/>
        <v>6</v>
      </c>
    </row>
    <row r="418" spans="1:5" x14ac:dyDescent="0.2">
      <c r="A418">
        <v>6</v>
      </c>
      <c r="B418" t="s">
        <v>74</v>
      </c>
      <c r="C418">
        <v>0</v>
      </c>
      <c r="D418">
        <v>1</v>
      </c>
      <c r="E418" s="3">
        <f t="shared" si="6"/>
        <v>6</v>
      </c>
    </row>
    <row r="419" spans="1:5" x14ac:dyDescent="0.2">
      <c r="A419">
        <v>7</v>
      </c>
      <c r="B419" s="2" t="s">
        <v>10</v>
      </c>
      <c r="C419" s="2" t="s">
        <v>10</v>
      </c>
      <c r="D419" s="2" t="s">
        <v>10</v>
      </c>
      <c r="E419" s="3">
        <f t="shared" si="6"/>
        <v>6</v>
      </c>
    </row>
    <row r="420" spans="1:5" x14ac:dyDescent="0.2">
      <c r="A420">
        <v>8</v>
      </c>
      <c r="B420" s="2" t="s">
        <v>10</v>
      </c>
      <c r="C420" s="2" t="s">
        <v>10</v>
      </c>
      <c r="D420" s="2" t="s">
        <v>10</v>
      </c>
      <c r="E420" s="3">
        <f t="shared" si="6"/>
        <v>6</v>
      </c>
    </row>
    <row r="421" spans="1:5" x14ac:dyDescent="0.2">
      <c r="A421" s="1" t="s">
        <v>0</v>
      </c>
      <c r="E421" s="3">
        <f t="shared" si="6"/>
        <v>7</v>
      </c>
    </row>
    <row r="422" spans="1:5" x14ac:dyDescent="0.2">
      <c r="A422" s="1" t="s">
        <v>1</v>
      </c>
      <c r="B422" s="1" t="s">
        <v>2</v>
      </c>
      <c r="C422" s="1" t="s">
        <v>3</v>
      </c>
      <c r="D422" s="1" t="s">
        <v>4</v>
      </c>
      <c r="E422" s="3">
        <f t="shared" si="6"/>
        <v>7</v>
      </c>
    </row>
    <row r="423" spans="1:5" x14ac:dyDescent="0.2">
      <c r="A423">
        <v>1</v>
      </c>
      <c r="B423" t="s">
        <v>103</v>
      </c>
      <c r="C423">
        <v>2</v>
      </c>
      <c r="D423">
        <v>16</v>
      </c>
      <c r="E423" s="3">
        <f t="shared" si="6"/>
        <v>7</v>
      </c>
    </row>
    <row r="424" spans="1:5" x14ac:dyDescent="0.2">
      <c r="A424">
        <v>2</v>
      </c>
      <c r="B424" t="s">
        <v>41</v>
      </c>
      <c r="C424">
        <v>1</v>
      </c>
      <c r="D424">
        <v>12</v>
      </c>
      <c r="E424" s="3">
        <f t="shared" si="6"/>
        <v>7</v>
      </c>
    </row>
    <row r="425" spans="1:5" x14ac:dyDescent="0.2">
      <c r="A425">
        <v>3</v>
      </c>
      <c r="B425" t="s">
        <v>9</v>
      </c>
      <c r="C425">
        <v>2</v>
      </c>
      <c r="D425">
        <v>8</v>
      </c>
      <c r="E425" s="3">
        <f t="shared" si="6"/>
        <v>7</v>
      </c>
    </row>
    <row r="426" spans="1:5" x14ac:dyDescent="0.2">
      <c r="A426">
        <v>4</v>
      </c>
      <c r="B426" t="s">
        <v>88</v>
      </c>
      <c r="C426">
        <v>0</v>
      </c>
      <c r="D426">
        <v>4</v>
      </c>
      <c r="E426" s="3">
        <f t="shared" si="6"/>
        <v>7</v>
      </c>
    </row>
    <row r="427" spans="1:5" x14ac:dyDescent="0.2">
      <c r="A427">
        <v>5</v>
      </c>
      <c r="B427" t="s">
        <v>31</v>
      </c>
      <c r="C427">
        <v>0</v>
      </c>
      <c r="D427">
        <v>2</v>
      </c>
      <c r="E427" s="3">
        <f t="shared" si="6"/>
        <v>7</v>
      </c>
    </row>
    <row r="428" spans="1:5" x14ac:dyDescent="0.2">
      <c r="A428">
        <v>6</v>
      </c>
      <c r="B428" t="s">
        <v>54</v>
      </c>
      <c r="C428">
        <v>0</v>
      </c>
      <c r="D428">
        <v>1</v>
      </c>
      <c r="E428" s="3">
        <f t="shared" si="6"/>
        <v>7</v>
      </c>
    </row>
    <row r="429" spans="1:5" x14ac:dyDescent="0.2">
      <c r="A429">
        <v>7</v>
      </c>
      <c r="B429" s="2" t="s">
        <v>10</v>
      </c>
      <c r="C429" s="2" t="s">
        <v>10</v>
      </c>
      <c r="D429" s="2" t="s">
        <v>10</v>
      </c>
      <c r="E429" s="3">
        <f t="shared" si="6"/>
        <v>7</v>
      </c>
    </row>
    <row r="430" spans="1:5" x14ac:dyDescent="0.2">
      <c r="A430">
        <v>8</v>
      </c>
      <c r="B430" s="2" t="s">
        <v>10</v>
      </c>
      <c r="C430" s="2" t="s">
        <v>10</v>
      </c>
      <c r="D430" s="2" t="s">
        <v>10</v>
      </c>
      <c r="E430" s="3">
        <f t="shared" si="6"/>
        <v>7</v>
      </c>
    </row>
    <row r="431" spans="1:5" x14ac:dyDescent="0.2">
      <c r="A431" s="1" t="s">
        <v>11</v>
      </c>
      <c r="E431" s="3">
        <f t="shared" si="6"/>
        <v>7</v>
      </c>
    </row>
    <row r="432" spans="1:5" x14ac:dyDescent="0.2">
      <c r="A432" s="1" t="s">
        <v>1</v>
      </c>
      <c r="B432" s="1" t="s">
        <v>2</v>
      </c>
      <c r="C432" s="1" t="s">
        <v>3</v>
      </c>
      <c r="D432" s="1" t="s">
        <v>4</v>
      </c>
      <c r="E432" s="3">
        <f t="shared" si="6"/>
        <v>7</v>
      </c>
    </row>
    <row r="433" spans="1:5" x14ac:dyDescent="0.2">
      <c r="A433">
        <v>1</v>
      </c>
      <c r="B433" t="s">
        <v>305</v>
      </c>
      <c r="C433">
        <v>2</v>
      </c>
      <c r="D433">
        <v>16</v>
      </c>
      <c r="E433" s="3">
        <f t="shared" si="6"/>
        <v>7</v>
      </c>
    </row>
    <row r="434" spans="1:5" x14ac:dyDescent="0.2">
      <c r="A434">
        <v>2</v>
      </c>
      <c r="B434" t="s">
        <v>102</v>
      </c>
      <c r="C434">
        <v>3</v>
      </c>
      <c r="D434">
        <v>12</v>
      </c>
      <c r="E434" s="3">
        <f t="shared" si="6"/>
        <v>7</v>
      </c>
    </row>
    <row r="435" spans="1:5" x14ac:dyDescent="0.2">
      <c r="A435">
        <v>3</v>
      </c>
      <c r="B435" t="s">
        <v>25</v>
      </c>
      <c r="C435">
        <v>0</v>
      </c>
      <c r="D435">
        <v>8</v>
      </c>
      <c r="E435" s="3">
        <f t="shared" si="6"/>
        <v>7</v>
      </c>
    </row>
    <row r="436" spans="1:5" x14ac:dyDescent="0.2">
      <c r="A436">
        <v>4</v>
      </c>
      <c r="B436" t="s">
        <v>6</v>
      </c>
      <c r="C436">
        <v>0</v>
      </c>
      <c r="D436">
        <v>4</v>
      </c>
      <c r="E436" s="3">
        <f t="shared" si="6"/>
        <v>7</v>
      </c>
    </row>
    <row r="437" spans="1:5" x14ac:dyDescent="0.2">
      <c r="A437">
        <v>5</v>
      </c>
      <c r="B437" t="s">
        <v>26</v>
      </c>
      <c r="C437">
        <v>0</v>
      </c>
      <c r="D437">
        <v>2</v>
      </c>
      <c r="E437" s="3">
        <f t="shared" si="6"/>
        <v>7</v>
      </c>
    </row>
    <row r="438" spans="1:5" x14ac:dyDescent="0.2">
      <c r="A438">
        <v>6</v>
      </c>
      <c r="B438" t="s">
        <v>55</v>
      </c>
      <c r="C438">
        <v>0</v>
      </c>
      <c r="D438">
        <v>1</v>
      </c>
      <c r="E438" s="3">
        <f t="shared" si="6"/>
        <v>7</v>
      </c>
    </row>
    <row r="439" spans="1:5" x14ac:dyDescent="0.2">
      <c r="A439">
        <v>7</v>
      </c>
      <c r="B439" s="2" t="s">
        <v>10</v>
      </c>
      <c r="C439" s="2" t="s">
        <v>10</v>
      </c>
      <c r="D439" s="2" t="s">
        <v>10</v>
      </c>
      <c r="E439" s="3">
        <f t="shared" si="6"/>
        <v>7</v>
      </c>
    </row>
    <row r="440" spans="1:5" x14ac:dyDescent="0.2">
      <c r="A440">
        <v>8</v>
      </c>
      <c r="B440" s="2" t="s">
        <v>10</v>
      </c>
      <c r="C440" s="2" t="s">
        <v>10</v>
      </c>
      <c r="D440" s="2" t="s">
        <v>10</v>
      </c>
      <c r="E440" s="3">
        <f t="shared" si="6"/>
        <v>7</v>
      </c>
    </row>
    <row r="441" spans="1:5" x14ac:dyDescent="0.2">
      <c r="A441" s="1" t="s">
        <v>17</v>
      </c>
      <c r="E441" s="3">
        <f t="shared" si="6"/>
        <v>7</v>
      </c>
    </row>
    <row r="442" spans="1:5" x14ac:dyDescent="0.2">
      <c r="A442" s="1" t="s">
        <v>1</v>
      </c>
      <c r="B442" s="1" t="s">
        <v>2</v>
      </c>
      <c r="C442" s="1" t="s">
        <v>3</v>
      </c>
      <c r="D442" s="1" t="s">
        <v>4</v>
      </c>
      <c r="E442" s="3">
        <f t="shared" si="6"/>
        <v>7</v>
      </c>
    </row>
    <row r="443" spans="1:5" x14ac:dyDescent="0.2">
      <c r="A443">
        <v>1</v>
      </c>
      <c r="B443" t="s">
        <v>12</v>
      </c>
      <c r="C443">
        <v>2</v>
      </c>
      <c r="D443">
        <v>16</v>
      </c>
      <c r="E443" s="3">
        <f t="shared" si="6"/>
        <v>7</v>
      </c>
    </row>
    <row r="444" spans="1:5" x14ac:dyDescent="0.2">
      <c r="A444">
        <v>2</v>
      </c>
      <c r="B444" t="s">
        <v>33</v>
      </c>
      <c r="C444">
        <v>2</v>
      </c>
      <c r="D444">
        <v>12</v>
      </c>
      <c r="E444" s="3">
        <f t="shared" si="6"/>
        <v>7</v>
      </c>
    </row>
    <row r="445" spans="1:5" x14ac:dyDescent="0.2">
      <c r="A445">
        <v>3</v>
      </c>
      <c r="B445" t="s">
        <v>65</v>
      </c>
      <c r="C445">
        <v>0</v>
      </c>
      <c r="D445">
        <v>8</v>
      </c>
      <c r="E445" s="3">
        <f t="shared" si="6"/>
        <v>7</v>
      </c>
    </row>
    <row r="446" spans="1:5" x14ac:dyDescent="0.2">
      <c r="A446">
        <v>4</v>
      </c>
      <c r="B446" t="s">
        <v>21</v>
      </c>
      <c r="C446">
        <v>1</v>
      </c>
      <c r="D446">
        <v>4</v>
      </c>
      <c r="E446" s="3">
        <f t="shared" si="6"/>
        <v>7</v>
      </c>
    </row>
    <row r="447" spans="1:5" x14ac:dyDescent="0.2">
      <c r="A447">
        <v>5</v>
      </c>
      <c r="B447" t="s">
        <v>14</v>
      </c>
      <c r="C447">
        <v>0</v>
      </c>
      <c r="D447">
        <v>2</v>
      </c>
      <c r="E447" s="3">
        <f t="shared" si="6"/>
        <v>7</v>
      </c>
    </row>
    <row r="448" spans="1:5" x14ac:dyDescent="0.2">
      <c r="A448">
        <v>6</v>
      </c>
      <c r="B448" t="s">
        <v>15</v>
      </c>
      <c r="C448">
        <v>0</v>
      </c>
      <c r="D448">
        <v>1</v>
      </c>
      <c r="E448" s="3">
        <f t="shared" si="6"/>
        <v>7</v>
      </c>
    </row>
    <row r="449" spans="1:5" x14ac:dyDescent="0.2">
      <c r="A449">
        <v>7</v>
      </c>
      <c r="B449" s="2" t="s">
        <v>10</v>
      </c>
      <c r="C449" s="2" t="s">
        <v>10</v>
      </c>
      <c r="D449" s="2" t="s">
        <v>10</v>
      </c>
      <c r="E449" s="3">
        <f t="shared" si="6"/>
        <v>7</v>
      </c>
    </row>
    <row r="450" spans="1:5" x14ac:dyDescent="0.2">
      <c r="A450">
        <v>8</v>
      </c>
      <c r="B450" s="2" t="s">
        <v>10</v>
      </c>
      <c r="C450" s="2" t="s">
        <v>10</v>
      </c>
      <c r="D450" s="2" t="s">
        <v>10</v>
      </c>
      <c r="E450" s="3">
        <f t="shared" si="6"/>
        <v>7</v>
      </c>
    </row>
    <row r="451" spans="1:5" x14ac:dyDescent="0.2">
      <c r="A451" s="1" t="s">
        <v>24</v>
      </c>
      <c r="E451" s="3">
        <f t="shared" si="6"/>
        <v>7</v>
      </c>
    </row>
    <row r="452" spans="1:5" x14ac:dyDescent="0.2">
      <c r="A452" s="1" t="s">
        <v>1</v>
      </c>
      <c r="B452" s="1" t="s">
        <v>2</v>
      </c>
      <c r="C452" s="1" t="s">
        <v>3</v>
      </c>
      <c r="D452" s="1" t="s">
        <v>4</v>
      </c>
      <c r="E452" s="3">
        <f t="shared" si="6"/>
        <v>7</v>
      </c>
    </row>
    <row r="453" spans="1:5" x14ac:dyDescent="0.2">
      <c r="A453">
        <v>1</v>
      </c>
      <c r="B453" t="s">
        <v>73</v>
      </c>
      <c r="C453">
        <v>4</v>
      </c>
      <c r="D453">
        <v>16</v>
      </c>
      <c r="E453" s="3">
        <f t="shared" si="6"/>
        <v>7</v>
      </c>
    </row>
    <row r="454" spans="1:5" x14ac:dyDescent="0.2">
      <c r="A454">
        <v>2</v>
      </c>
      <c r="B454" t="s">
        <v>76</v>
      </c>
      <c r="C454">
        <v>1</v>
      </c>
      <c r="D454">
        <v>12</v>
      </c>
      <c r="E454" s="3">
        <f t="shared" si="6"/>
        <v>7</v>
      </c>
    </row>
    <row r="455" spans="1:5" x14ac:dyDescent="0.2">
      <c r="A455">
        <v>3</v>
      </c>
      <c r="B455" t="s">
        <v>32</v>
      </c>
      <c r="C455">
        <v>0</v>
      </c>
      <c r="D455">
        <v>8</v>
      </c>
      <c r="E455" s="3">
        <f t="shared" si="6"/>
        <v>7</v>
      </c>
    </row>
    <row r="456" spans="1:5" x14ac:dyDescent="0.2">
      <c r="A456">
        <v>4</v>
      </c>
      <c r="B456" t="s">
        <v>23</v>
      </c>
      <c r="C456">
        <v>0</v>
      </c>
      <c r="D456">
        <v>4</v>
      </c>
      <c r="E456" s="3">
        <f t="shared" si="6"/>
        <v>7</v>
      </c>
    </row>
    <row r="457" spans="1:5" x14ac:dyDescent="0.2">
      <c r="A457">
        <v>5</v>
      </c>
      <c r="B457" t="s">
        <v>87</v>
      </c>
      <c r="C457">
        <v>0</v>
      </c>
      <c r="D457">
        <v>2</v>
      </c>
      <c r="E457" s="3">
        <f t="shared" si="6"/>
        <v>7</v>
      </c>
    </row>
    <row r="458" spans="1:5" x14ac:dyDescent="0.2">
      <c r="A458">
        <v>6</v>
      </c>
      <c r="B458" t="s">
        <v>50</v>
      </c>
      <c r="C458">
        <v>0</v>
      </c>
      <c r="D458">
        <v>1</v>
      </c>
      <c r="E458" s="3">
        <f t="shared" si="6"/>
        <v>7</v>
      </c>
    </row>
    <row r="459" spans="1:5" x14ac:dyDescent="0.2">
      <c r="A459">
        <v>7</v>
      </c>
      <c r="B459" s="2" t="s">
        <v>10</v>
      </c>
      <c r="C459" s="2" t="s">
        <v>10</v>
      </c>
      <c r="D459" s="2" t="s">
        <v>10</v>
      </c>
      <c r="E459" s="3">
        <f t="shared" si="6"/>
        <v>7</v>
      </c>
    </row>
    <row r="460" spans="1:5" x14ac:dyDescent="0.2">
      <c r="A460">
        <v>8</v>
      </c>
      <c r="B460" s="2" t="s">
        <v>10</v>
      </c>
      <c r="C460" s="2" t="s">
        <v>10</v>
      </c>
      <c r="D460" s="2" t="s">
        <v>10</v>
      </c>
      <c r="E460" s="3">
        <f t="shared" si="6"/>
        <v>7</v>
      </c>
    </row>
    <row r="461" spans="1:5" x14ac:dyDescent="0.2">
      <c r="A461" s="1" t="s">
        <v>30</v>
      </c>
      <c r="E461" s="3">
        <f t="shared" si="6"/>
        <v>7</v>
      </c>
    </row>
    <row r="462" spans="1:5" x14ac:dyDescent="0.2">
      <c r="A462" s="1" t="s">
        <v>1</v>
      </c>
      <c r="B462" s="1" t="s">
        <v>2</v>
      </c>
      <c r="C462" s="1" t="s">
        <v>3</v>
      </c>
      <c r="D462" s="1" t="s">
        <v>4</v>
      </c>
      <c r="E462" s="3">
        <f t="shared" si="6"/>
        <v>7</v>
      </c>
    </row>
    <row r="463" spans="1:5" x14ac:dyDescent="0.2">
      <c r="A463">
        <v>1</v>
      </c>
      <c r="B463" t="s">
        <v>18</v>
      </c>
      <c r="C463">
        <v>1</v>
      </c>
      <c r="D463">
        <v>16</v>
      </c>
      <c r="E463" s="3">
        <f t="shared" si="6"/>
        <v>7</v>
      </c>
    </row>
    <row r="464" spans="1:5" x14ac:dyDescent="0.2">
      <c r="A464">
        <v>2</v>
      </c>
      <c r="B464" t="s">
        <v>53</v>
      </c>
      <c r="C464">
        <v>3</v>
      </c>
      <c r="D464">
        <v>12</v>
      </c>
      <c r="E464" s="3">
        <f t="shared" si="6"/>
        <v>7</v>
      </c>
    </row>
    <row r="465" spans="1:5" x14ac:dyDescent="0.2">
      <c r="A465">
        <v>3</v>
      </c>
      <c r="B465" t="s">
        <v>61</v>
      </c>
      <c r="C465">
        <v>1</v>
      </c>
      <c r="D465">
        <v>8</v>
      </c>
      <c r="E465" s="3">
        <f t="shared" si="6"/>
        <v>7</v>
      </c>
    </row>
    <row r="466" spans="1:5" x14ac:dyDescent="0.2">
      <c r="A466">
        <v>4</v>
      </c>
      <c r="B466" t="s">
        <v>22</v>
      </c>
      <c r="C466">
        <v>0</v>
      </c>
      <c r="D466">
        <v>4</v>
      </c>
      <c r="E466" s="3">
        <f t="shared" si="6"/>
        <v>7</v>
      </c>
    </row>
    <row r="467" spans="1:5" x14ac:dyDescent="0.2">
      <c r="A467">
        <v>5</v>
      </c>
      <c r="B467" t="s">
        <v>38</v>
      </c>
      <c r="C467">
        <v>0</v>
      </c>
      <c r="D467">
        <v>2</v>
      </c>
      <c r="E467" s="3">
        <f t="shared" si="6"/>
        <v>7</v>
      </c>
    </row>
    <row r="468" spans="1:5" x14ac:dyDescent="0.2">
      <c r="A468">
        <v>6</v>
      </c>
      <c r="B468" t="s">
        <v>101</v>
      </c>
      <c r="C468">
        <v>0</v>
      </c>
      <c r="D468">
        <v>1</v>
      </c>
      <c r="E468" s="3">
        <f t="shared" si="6"/>
        <v>7</v>
      </c>
    </row>
    <row r="469" spans="1:5" x14ac:dyDescent="0.2">
      <c r="A469">
        <v>7</v>
      </c>
      <c r="B469" s="2" t="s">
        <v>10</v>
      </c>
      <c r="C469" s="2" t="s">
        <v>10</v>
      </c>
      <c r="D469" s="2" t="s">
        <v>10</v>
      </c>
      <c r="E469" s="3">
        <f t="shared" si="6"/>
        <v>7</v>
      </c>
    </row>
    <row r="470" spans="1:5" x14ac:dyDescent="0.2">
      <c r="A470">
        <v>8</v>
      </c>
      <c r="B470" s="2" t="s">
        <v>10</v>
      </c>
      <c r="C470" s="2" t="s">
        <v>10</v>
      </c>
      <c r="D470" s="2" t="s">
        <v>10</v>
      </c>
      <c r="E470" s="3">
        <f t="shared" si="6"/>
        <v>7</v>
      </c>
    </row>
    <row r="471" spans="1:5" x14ac:dyDescent="0.2">
      <c r="A471" s="1" t="s">
        <v>37</v>
      </c>
      <c r="E471" s="3">
        <f t="shared" si="6"/>
        <v>7</v>
      </c>
    </row>
    <row r="472" spans="1:5" x14ac:dyDescent="0.2">
      <c r="A472" s="1" t="s">
        <v>1</v>
      </c>
      <c r="B472" s="1" t="s">
        <v>2</v>
      </c>
      <c r="C472" s="1" t="s">
        <v>3</v>
      </c>
      <c r="D472" s="1" t="s">
        <v>4</v>
      </c>
      <c r="E472" s="3">
        <f t="shared" si="6"/>
        <v>7</v>
      </c>
    </row>
    <row r="473" spans="1:5" x14ac:dyDescent="0.2">
      <c r="A473">
        <v>1</v>
      </c>
      <c r="B473" t="s">
        <v>8</v>
      </c>
      <c r="C473">
        <v>3</v>
      </c>
      <c r="D473">
        <v>17</v>
      </c>
      <c r="E473" s="3">
        <f t="shared" si="6"/>
        <v>7</v>
      </c>
    </row>
    <row r="474" spans="1:5" x14ac:dyDescent="0.2">
      <c r="A474">
        <v>2</v>
      </c>
      <c r="B474" t="s">
        <v>43</v>
      </c>
      <c r="C474">
        <v>2</v>
      </c>
      <c r="D474">
        <v>13</v>
      </c>
      <c r="E474" s="3">
        <f t="shared" si="6"/>
        <v>7</v>
      </c>
    </row>
    <row r="475" spans="1:5" x14ac:dyDescent="0.2">
      <c r="A475">
        <v>3</v>
      </c>
      <c r="B475" t="s">
        <v>98</v>
      </c>
      <c r="C475">
        <v>0</v>
      </c>
      <c r="D475">
        <v>9</v>
      </c>
      <c r="E475" s="3">
        <f t="shared" si="6"/>
        <v>7</v>
      </c>
    </row>
    <row r="476" spans="1:5" x14ac:dyDescent="0.2">
      <c r="A476">
        <v>4</v>
      </c>
      <c r="B476" t="s">
        <v>60</v>
      </c>
      <c r="C476">
        <v>0</v>
      </c>
      <c r="D476">
        <v>5</v>
      </c>
      <c r="E476" s="3">
        <f t="shared" si="6"/>
        <v>7</v>
      </c>
    </row>
    <row r="477" spans="1:5" x14ac:dyDescent="0.2">
      <c r="A477">
        <v>5</v>
      </c>
      <c r="B477" t="s">
        <v>46</v>
      </c>
      <c r="C477">
        <v>1</v>
      </c>
      <c r="D477">
        <v>3</v>
      </c>
      <c r="E477" s="3">
        <f t="shared" si="6"/>
        <v>7</v>
      </c>
    </row>
    <row r="478" spans="1:5" x14ac:dyDescent="0.2">
      <c r="A478">
        <v>6</v>
      </c>
      <c r="B478" t="s">
        <v>48</v>
      </c>
      <c r="C478">
        <v>0</v>
      </c>
      <c r="D478">
        <v>2</v>
      </c>
      <c r="E478" s="3">
        <f t="shared" si="6"/>
        <v>7</v>
      </c>
    </row>
    <row r="479" spans="1:5" x14ac:dyDescent="0.2">
      <c r="A479">
        <v>7</v>
      </c>
      <c r="B479" t="s">
        <v>42</v>
      </c>
      <c r="C479">
        <v>0</v>
      </c>
      <c r="D479">
        <v>1</v>
      </c>
      <c r="E479" s="3">
        <f t="shared" si="6"/>
        <v>7</v>
      </c>
    </row>
    <row r="480" spans="1:5" x14ac:dyDescent="0.2">
      <c r="A480">
        <v>8</v>
      </c>
      <c r="B480" s="2" t="s">
        <v>10</v>
      </c>
      <c r="C480" s="2" t="s">
        <v>10</v>
      </c>
      <c r="D480" s="2" t="s">
        <v>10</v>
      </c>
      <c r="E480" s="3">
        <f t="shared" ref="E480:E543" si="7">IF(A480=$A$1,E479+1,E479)</f>
        <v>7</v>
      </c>
    </row>
    <row r="481" spans="1:5" x14ac:dyDescent="0.2">
      <c r="A481" s="1" t="s">
        <v>44</v>
      </c>
      <c r="E481" s="3">
        <f t="shared" si="7"/>
        <v>7</v>
      </c>
    </row>
    <row r="482" spans="1:5" x14ac:dyDescent="0.2">
      <c r="A482" s="1" t="s">
        <v>1</v>
      </c>
      <c r="B482" s="1" t="s">
        <v>2</v>
      </c>
      <c r="C482" s="1" t="s">
        <v>3</v>
      </c>
      <c r="D482" s="1" t="s">
        <v>4</v>
      </c>
      <c r="E482" s="3">
        <f t="shared" si="7"/>
        <v>7</v>
      </c>
    </row>
    <row r="483" spans="1:5" x14ac:dyDescent="0.2">
      <c r="A483">
        <v>1</v>
      </c>
      <c r="B483" t="s">
        <v>19</v>
      </c>
      <c r="C483">
        <v>3</v>
      </c>
      <c r="D483">
        <v>17</v>
      </c>
      <c r="E483" s="3">
        <f t="shared" si="7"/>
        <v>7</v>
      </c>
    </row>
    <row r="484" spans="1:5" x14ac:dyDescent="0.2">
      <c r="A484">
        <v>2</v>
      </c>
      <c r="B484" t="s">
        <v>29</v>
      </c>
      <c r="C484">
        <v>2</v>
      </c>
      <c r="D484">
        <v>13</v>
      </c>
      <c r="E484" s="3">
        <f t="shared" si="7"/>
        <v>7</v>
      </c>
    </row>
    <row r="485" spans="1:5" x14ac:dyDescent="0.2">
      <c r="A485">
        <v>3</v>
      </c>
      <c r="B485" t="s">
        <v>69</v>
      </c>
      <c r="C485">
        <v>0</v>
      </c>
      <c r="D485">
        <v>9</v>
      </c>
      <c r="E485" s="3">
        <f t="shared" si="7"/>
        <v>7</v>
      </c>
    </row>
    <row r="486" spans="1:5" x14ac:dyDescent="0.2">
      <c r="A486">
        <v>4</v>
      </c>
      <c r="B486" t="s">
        <v>47</v>
      </c>
      <c r="C486">
        <v>0</v>
      </c>
      <c r="D486">
        <v>5</v>
      </c>
      <c r="E486" s="3">
        <f t="shared" si="7"/>
        <v>7</v>
      </c>
    </row>
    <row r="487" spans="1:5" x14ac:dyDescent="0.2">
      <c r="A487">
        <v>5</v>
      </c>
      <c r="B487" t="s">
        <v>92</v>
      </c>
      <c r="C487">
        <v>1</v>
      </c>
      <c r="D487">
        <v>3</v>
      </c>
      <c r="E487" s="3">
        <f t="shared" si="7"/>
        <v>7</v>
      </c>
    </row>
    <row r="488" spans="1:5" x14ac:dyDescent="0.2">
      <c r="A488">
        <v>6</v>
      </c>
      <c r="B488" t="s">
        <v>35</v>
      </c>
      <c r="C488">
        <v>0</v>
      </c>
      <c r="D488">
        <v>2</v>
      </c>
      <c r="E488" s="3">
        <f t="shared" si="7"/>
        <v>7</v>
      </c>
    </row>
    <row r="489" spans="1:5" x14ac:dyDescent="0.2">
      <c r="A489">
        <v>7</v>
      </c>
      <c r="B489" t="s">
        <v>68</v>
      </c>
      <c r="C489">
        <v>0</v>
      </c>
      <c r="D489">
        <v>1</v>
      </c>
      <c r="E489" s="3">
        <f t="shared" si="7"/>
        <v>7</v>
      </c>
    </row>
    <row r="490" spans="1:5" x14ac:dyDescent="0.2">
      <c r="A490">
        <v>8</v>
      </c>
      <c r="B490" s="2" t="s">
        <v>10</v>
      </c>
      <c r="C490" s="2" t="s">
        <v>10</v>
      </c>
      <c r="D490" s="2" t="s">
        <v>10</v>
      </c>
      <c r="E490" s="3">
        <f t="shared" si="7"/>
        <v>7</v>
      </c>
    </row>
    <row r="491" spans="1:5" x14ac:dyDescent="0.2">
      <c r="A491" s="1" t="s">
        <v>51</v>
      </c>
      <c r="E491" s="3">
        <f t="shared" si="7"/>
        <v>7</v>
      </c>
    </row>
    <row r="492" spans="1:5" x14ac:dyDescent="0.2">
      <c r="A492" s="1" t="s">
        <v>1</v>
      </c>
      <c r="B492" s="1" t="s">
        <v>2</v>
      </c>
      <c r="C492" s="1" t="s">
        <v>3</v>
      </c>
      <c r="D492" s="1" t="s">
        <v>4</v>
      </c>
      <c r="E492" s="3">
        <f t="shared" si="7"/>
        <v>7</v>
      </c>
    </row>
    <row r="493" spans="1:5" x14ac:dyDescent="0.2">
      <c r="A493">
        <v>1</v>
      </c>
      <c r="B493" t="s">
        <v>52</v>
      </c>
      <c r="C493">
        <v>3</v>
      </c>
      <c r="D493">
        <v>17</v>
      </c>
      <c r="E493" s="3">
        <f t="shared" si="7"/>
        <v>7</v>
      </c>
    </row>
    <row r="494" spans="1:5" x14ac:dyDescent="0.2">
      <c r="A494">
        <v>2</v>
      </c>
      <c r="B494" t="s">
        <v>75</v>
      </c>
      <c r="C494">
        <v>2</v>
      </c>
      <c r="D494">
        <v>13</v>
      </c>
      <c r="E494" s="3">
        <f t="shared" si="7"/>
        <v>7</v>
      </c>
    </row>
    <row r="495" spans="1:5" x14ac:dyDescent="0.2">
      <c r="A495">
        <v>3</v>
      </c>
      <c r="B495" t="s">
        <v>94</v>
      </c>
      <c r="C495">
        <v>1</v>
      </c>
      <c r="D495">
        <v>9</v>
      </c>
      <c r="E495" s="3">
        <f t="shared" si="7"/>
        <v>7</v>
      </c>
    </row>
    <row r="496" spans="1:5" x14ac:dyDescent="0.2">
      <c r="A496">
        <v>4</v>
      </c>
      <c r="B496" t="s">
        <v>74</v>
      </c>
      <c r="C496">
        <v>0</v>
      </c>
      <c r="D496">
        <v>5</v>
      </c>
      <c r="E496" s="3">
        <f t="shared" si="7"/>
        <v>7</v>
      </c>
    </row>
    <row r="497" spans="1:5" x14ac:dyDescent="0.2">
      <c r="A497">
        <v>5</v>
      </c>
      <c r="B497" t="s">
        <v>39</v>
      </c>
      <c r="C497">
        <v>0</v>
      </c>
      <c r="D497">
        <v>3</v>
      </c>
      <c r="E497" s="3">
        <f t="shared" si="7"/>
        <v>7</v>
      </c>
    </row>
    <row r="498" spans="1:5" x14ac:dyDescent="0.2">
      <c r="A498">
        <v>6</v>
      </c>
      <c r="B498" t="s">
        <v>66</v>
      </c>
      <c r="C498">
        <v>0</v>
      </c>
      <c r="D498">
        <v>2</v>
      </c>
      <c r="E498" s="3">
        <f t="shared" si="7"/>
        <v>7</v>
      </c>
    </row>
    <row r="499" spans="1:5" x14ac:dyDescent="0.2">
      <c r="A499">
        <v>7</v>
      </c>
      <c r="B499" t="s">
        <v>28</v>
      </c>
      <c r="C499">
        <v>0</v>
      </c>
      <c r="D499">
        <v>1</v>
      </c>
      <c r="E499" s="3">
        <f t="shared" si="7"/>
        <v>7</v>
      </c>
    </row>
    <row r="500" spans="1:5" x14ac:dyDescent="0.2">
      <c r="A500">
        <v>8</v>
      </c>
      <c r="B500" s="2" t="s">
        <v>10</v>
      </c>
      <c r="C500" s="2" t="s">
        <v>10</v>
      </c>
      <c r="D500" s="2" t="s">
        <v>10</v>
      </c>
      <c r="E500" s="3">
        <f t="shared" si="7"/>
        <v>7</v>
      </c>
    </row>
    <row r="501" spans="1:5" x14ac:dyDescent="0.2">
      <c r="A501" s="1" t="s">
        <v>0</v>
      </c>
      <c r="E501" s="3">
        <f t="shared" si="7"/>
        <v>8</v>
      </c>
    </row>
    <row r="502" spans="1:5" x14ac:dyDescent="0.2">
      <c r="A502" s="1" t="s">
        <v>1</v>
      </c>
      <c r="B502" s="1" t="s">
        <v>2</v>
      </c>
      <c r="C502" s="1" t="s">
        <v>3</v>
      </c>
      <c r="D502" s="1" t="s">
        <v>4</v>
      </c>
      <c r="E502" s="3">
        <f t="shared" si="7"/>
        <v>8</v>
      </c>
    </row>
    <row r="503" spans="1:5" x14ac:dyDescent="0.2">
      <c r="A503">
        <v>1</v>
      </c>
      <c r="B503" t="s">
        <v>60</v>
      </c>
      <c r="C503">
        <v>4</v>
      </c>
      <c r="D503">
        <v>16</v>
      </c>
      <c r="E503" s="3">
        <f t="shared" si="7"/>
        <v>8</v>
      </c>
    </row>
    <row r="504" spans="1:5" x14ac:dyDescent="0.2">
      <c r="A504">
        <v>2</v>
      </c>
      <c r="B504" t="s">
        <v>14</v>
      </c>
      <c r="C504">
        <v>0</v>
      </c>
      <c r="D504">
        <v>12</v>
      </c>
      <c r="E504" s="3">
        <f t="shared" si="7"/>
        <v>8</v>
      </c>
    </row>
    <row r="505" spans="1:5" x14ac:dyDescent="0.2">
      <c r="A505">
        <v>3</v>
      </c>
      <c r="B505" t="s">
        <v>38</v>
      </c>
      <c r="C505">
        <v>1</v>
      </c>
      <c r="D505">
        <v>8</v>
      </c>
      <c r="E505" s="3">
        <f t="shared" si="7"/>
        <v>8</v>
      </c>
    </row>
    <row r="506" spans="1:5" x14ac:dyDescent="0.2">
      <c r="A506">
        <v>4</v>
      </c>
      <c r="B506" t="s">
        <v>25</v>
      </c>
      <c r="C506">
        <v>0</v>
      </c>
      <c r="D506">
        <v>4</v>
      </c>
      <c r="E506" s="3">
        <f t="shared" si="7"/>
        <v>8</v>
      </c>
    </row>
    <row r="507" spans="1:5" x14ac:dyDescent="0.2">
      <c r="A507">
        <v>5</v>
      </c>
      <c r="B507" t="s">
        <v>68</v>
      </c>
      <c r="C507">
        <v>0</v>
      </c>
      <c r="D507">
        <v>2</v>
      </c>
      <c r="E507" s="3">
        <f t="shared" si="7"/>
        <v>8</v>
      </c>
    </row>
    <row r="508" spans="1:5" x14ac:dyDescent="0.2">
      <c r="A508">
        <v>6</v>
      </c>
      <c r="B508" t="s">
        <v>66</v>
      </c>
      <c r="C508">
        <v>0</v>
      </c>
      <c r="D508">
        <v>1</v>
      </c>
      <c r="E508" s="3">
        <f t="shared" si="7"/>
        <v>8</v>
      </c>
    </row>
    <row r="509" spans="1:5" x14ac:dyDescent="0.2">
      <c r="A509">
        <v>7</v>
      </c>
      <c r="B509" s="2" t="s">
        <v>10</v>
      </c>
      <c r="C509" s="2" t="s">
        <v>10</v>
      </c>
      <c r="D509" s="2" t="s">
        <v>10</v>
      </c>
      <c r="E509" s="3">
        <f t="shared" si="7"/>
        <v>8</v>
      </c>
    </row>
    <row r="510" spans="1:5" x14ac:dyDescent="0.2">
      <c r="A510">
        <v>8</v>
      </c>
      <c r="B510" s="2" t="s">
        <v>10</v>
      </c>
      <c r="C510" s="2" t="s">
        <v>10</v>
      </c>
      <c r="D510" s="2" t="s">
        <v>10</v>
      </c>
      <c r="E510" s="3">
        <f t="shared" si="7"/>
        <v>8</v>
      </c>
    </row>
    <row r="511" spans="1:5" x14ac:dyDescent="0.2">
      <c r="A511" s="1" t="s">
        <v>11</v>
      </c>
      <c r="E511" s="3">
        <f t="shared" si="7"/>
        <v>8</v>
      </c>
    </row>
    <row r="512" spans="1:5" x14ac:dyDescent="0.2">
      <c r="A512" s="1" t="s">
        <v>1</v>
      </c>
      <c r="B512" s="1" t="s">
        <v>2</v>
      </c>
      <c r="C512" s="1" t="s">
        <v>3</v>
      </c>
      <c r="D512" s="1" t="s">
        <v>4</v>
      </c>
      <c r="E512" s="3">
        <f t="shared" si="7"/>
        <v>8</v>
      </c>
    </row>
    <row r="513" spans="1:5" x14ac:dyDescent="0.2">
      <c r="A513">
        <v>1</v>
      </c>
      <c r="B513" t="s">
        <v>87</v>
      </c>
      <c r="C513">
        <v>3</v>
      </c>
      <c r="D513">
        <v>16</v>
      </c>
      <c r="E513" s="3">
        <f t="shared" si="7"/>
        <v>8</v>
      </c>
    </row>
    <row r="514" spans="1:5" x14ac:dyDescent="0.2">
      <c r="A514">
        <v>2</v>
      </c>
      <c r="B514" t="s">
        <v>46</v>
      </c>
      <c r="C514">
        <v>1</v>
      </c>
      <c r="D514">
        <v>12</v>
      </c>
      <c r="E514" s="3">
        <f t="shared" si="7"/>
        <v>8</v>
      </c>
    </row>
    <row r="515" spans="1:5" x14ac:dyDescent="0.2">
      <c r="A515">
        <v>3</v>
      </c>
      <c r="B515" t="s">
        <v>12</v>
      </c>
      <c r="C515">
        <v>1</v>
      </c>
      <c r="D515">
        <v>8</v>
      </c>
      <c r="E515" s="3">
        <f t="shared" si="7"/>
        <v>8</v>
      </c>
    </row>
    <row r="516" spans="1:5" x14ac:dyDescent="0.2">
      <c r="A516">
        <v>4</v>
      </c>
      <c r="B516" t="s">
        <v>39</v>
      </c>
      <c r="C516">
        <v>0</v>
      </c>
      <c r="D516">
        <v>4</v>
      </c>
      <c r="E516" s="3">
        <f t="shared" si="7"/>
        <v>8</v>
      </c>
    </row>
    <row r="517" spans="1:5" x14ac:dyDescent="0.2">
      <c r="A517">
        <v>5</v>
      </c>
      <c r="B517" t="s">
        <v>52</v>
      </c>
      <c r="C517">
        <v>0</v>
      </c>
      <c r="D517">
        <v>2</v>
      </c>
      <c r="E517" s="3">
        <f t="shared" si="7"/>
        <v>8</v>
      </c>
    </row>
    <row r="518" spans="1:5" x14ac:dyDescent="0.2">
      <c r="A518">
        <v>6</v>
      </c>
      <c r="B518" t="s">
        <v>15</v>
      </c>
      <c r="C518">
        <v>0</v>
      </c>
      <c r="D518">
        <v>1</v>
      </c>
      <c r="E518" s="3">
        <f t="shared" si="7"/>
        <v>8</v>
      </c>
    </row>
    <row r="519" spans="1:5" x14ac:dyDescent="0.2">
      <c r="A519">
        <v>7</v>
      </c>
      <c r="B519" s="2" t="s">
        <v>10</v>
      </c>
      <c r="C519" s="2" t="s">
        <v>10</v>
      </c>
      <c r="D519" s="2" t="s">
        <v>10</v>
      </c>
      <c r="E519" s="3">
        <f t="shared" si="7"/>
        <v>8</v>
      </c>
    </row>
    <row r="520" spans="1:5" x14ac:dyDescent="0.2">
      <c r="A520">
        <v>8</v>
      </c>
      <c r="B520" s="2" t="s">
        <v>10</v>
      </c>
      <c r="C520" s="2" t="s">
        <v>10</v>
      </c>
      <c r="D520" s="2" t="s">
        <v>10</v>
      </c>
      <c r="E520" s="3">
        <f t="shared" si="7"/>
        <v>8</v>
      </c>
    </row>
    <row r="521" spans="1:5" x14ac:dyDescent="0.2">
      <c r="A521" s="1" t="s">
        <v>17</v>
      </c>
      <c r="E521" s="3">
        <f t="shared" si="7"/>
        <v>8</v>
      </c>
    </row>
    <row r="522" spans="1:5" x14ac:dyDescent="0.2">
      <c r="A522" s="1" t="s">
        <v>1</v>
      </c>
      <c r="B522" s="1" t="s">
        <v>2</v>
      </c>
      <c r="C522" s="1" t="s">
        <v>3</v>
      </c>
      <c r="D522" s="1" t="s">
        <v>4</v>
      </c>
      <c r="E522" s="3">
        <f t="shared" si="7"/>
        <v>8</v>
      </c>
    </row>
    <row r="523" spans="1:5" x14ac:dyDescent="0.2">
      <c r="A523">
        <v>1</v>
      </c>
      <c r="B523" t="s">
        <v>74</v>
      </c>
      <c r="C523">
        <v>2</v>
      </c>
      <c r="D523">
        <v>15</v>
      </c>
      <c r="E523" s="3">
        <f t="shared" si="7"/>
        <v>8</v>
      </c>
    </row>
    <row r="524" spans="1:5" x14ac:dyDescent="0.2">
      <c r="A524">
        <v>2</v>
      </c>
      <c r="B524" t="s">
        <v>59</v>
      </c>
      <c r="C524">
        <v>1</v>
      </c>
      <c r="D524">
        <v>11</v>
      </c>
      <c r="E524" s="3">
        <f t="shared" si="7"/>
        <v>8</v>
      </c>
    </row>
    <row r="525" spans="1:5" x14ac:dyDescent="0.2">
      <c r="A525">
        <v>3</v>
      </c>
      <c r="B525" t="s">
        <v>75</v>
      </c>
      <c r="C525">
        <v>1</v>
      </c>
      <c r="D525">
        <v>7</v>
      </c>
      <c r="E525" s="3">
        <f t="shared" si="7"/>
        <v>8</v>
      </c>
    </row>
    <row r="526" spans="1:5" x14ac:dyDescent="0.2">
      <c r="A526">
        <v>4</v>
      </c>
      <c r="B526" t="s">
        <v>21</v>
      </c>
      <c r="C526">
        <v>0</v>
      </c>
      <c r="D526">
        <v>3</v>
      </c>
      <c r="E526" s="3">
        <f t="shared" si="7"/>
        <v>8</v>
      </c>
    </row>
    <row r="527" spans="1:5" x14ac:dyDescent="0.2">
      <c r="A527">
        <v>5</v>
      </c>
      <c r="B527" t="s">
        <v>23</v>
      </c>
      <c r="C527">
        <v>0</v>
      </c>
      <c r="D527">
        <v>1</v>
      </c>
      <c r="E527" s="3">
        <f t="shared" si="7"/>
        <v>8</v>
      </c>
    </row>
    <row r="528" spans="1:5" x14ac:dyDescent="0.2">
      <c r="A528">
        <v>6</v>
      </c>
      <c r="B528" s="2" t="s">
        <v>10</v>
      </c>
      <c r="C528" s="2" t="s">
        <v>10</v>
      </c>
      <c r="D528" s="2" t="s">
        <v>10</v>
      </c>
      <c r="E528" s="3">
        <f t="shared" si="7"/>
        <v>8</v>
      </c>
    </row>
    <row r="529" spans="1:5" x14ac:dyDescent="0.2">
      <c r="A529">
        <v>7</v>
      </c>
      <c r="B529" s="2" t="s">
        <v>10</v>
      </c>
      <c r="C529" s="2" t="s">
        <v>10</v>
      </c>
      <c r="D529" s="2" t="s">
        <v>10</v>
      </c>
      <c r="E529" s="3">
        <f t="shared" si="7"/>
        <v>8</v>
      </c>
    </row>
    <row r="530" spans="1:5" x14ac:dyDescent="0.2">
      <c r="A530">
        <v>8</v>
      </c>
      <c r="B530" s="2" t="s">
        <v>10</v>
      </c>
      <c r="C530" s="2" t="s">
        <v>10</v>
      </c>
      <c r="D530" s="2" t="s">
        <v>10</v>
      </c>
      <c r="E530" s="3">
        <f t="shared" si="7"/>
        <v>8</v>
      </c>
    </row>
    <row r="531" spans="1:5" x14ac:dyDescent="0.2">
      <c r="A531" s="1" t="s">
        <v>24</v>
      </c>
      <c r="E531" s="3">
        <f t="shared" si="7"/>
        <v>8</v>
      </c>
    </row>
    <row r="532" spans="1:5" x14ac:dyDescent="0.2">
      <c r="A532" s="1" t="s">
        <v>1</v>
      </c>
      <c r="B532" s="1" t="s">
        <v>2</v>
      </c>
      <c r="C532" s="1" t="s">
        <v>3</v>
      </c>
      <c r="D532" s="1" t="s">
        <v>4</v>
      </c>
      <c r="E532" s="3">
        <f t="shared" si="7"/>
        <v>8</v>
      </c>
    </row>
    <row r="533" spans="1:5" x14ac:dyDescent="0.2">
      <c r="A533">
        <v>1</v>
      </c>
      <c r="B533" t="s">
        <v>98</v>
      </c>
      <c r="C533">
        <v>4</v>
      </c>
      <c r="D533">
        <v>15</v>
      </c>
      <c r="E533" s="3">
        <f t="shared" si="7"/>
        <v>8</v>
      </c>
    </row>
    <row r="534" spans="1:5" x14ac:dyDescent="0.2">
      <c r="A534">
        <v>2</v>
      </c>
      <c r="B534" t="s">
        <v>101</v>
      </c>
      <c r="C534">
        <v>0</v>
      </c>
      <c r="D534">
        <v>11</v>
      </c>
      <c r="E534" s="3">
        <f t="shared" si="7"/>
        <v>8</v>
      </c>
    </row>
    <row r="535" spans="1:5" x14ac:dyDescent="0.2">
      <c r="A535">
        <v>3</v>
      </c>
      <c r="B535" t="s">
        <v>33</v>
      </c>
      <c r="C535">
        <v>0</v>
      </c>
      <c r="D535">
        <v>7</v>
      </c>
      <c r="E535" s="3">
        <f t="shared" si="7"/>
        <v>8</v>
      </c>
    </row>
    <row r="536" spans="1:5" x14ac:dyDescent="0.2">
      <c r="A536">
        <v>4</v>
      </c>
      <c r="B536" t="s">
        <v>42</v>
      </c>
      <c r="C536">
        <v>0</v>
      </c>
      <c r="D536">
        <v>3</v>
      </c>
      <c r="E536" s="3">
        <f t="shared" si="7"/>
        <v>8</v>
      </c>
    </row>
    <row r="537" spans="1:5" x14ac:dyDescent="0.2">
      <c r="A537">
        <v>5</v>
      </c>
      <c r="B537" t="s">
        <v>55</v>
      </c>
      <c r="C537">
        <v>0</v>
      </c>
      <c r="D537">
        <v>1</v>
      </c>
      <c r="E537" s="3">
        <f t="shared" si="7"/>
        <v>8</v>
      </c>
    </row>
    <row r="538" spans="1:5" x14ac:dyDescent="0.2">
      <c r="A538">
        <v>6</v>
      </c>
      <c r="B538" s="2" t="s">
        <v>10</v>
      </c>
      <c r="C538" s="2" t="s">
        <v>10</v>
      </c>
      <c r="D538" s="2" t="s">
        <v>10</v>
      </c>
      <c r="E538" s="3">
        <f t="shared" si="7"/>
        <v>8</v>
      </c>
    </row>
    <row r="539" spans="1:5" x14ac:dyDescent="0.2">
      <c r="A539">
        <v>7</v>
      </c>
      <c r="B539" s="2" t="s">
        <v>10</v>
      </c>
      <c r="C539" s="2" t="s">
        <v>10</v>
      </c>
      <c r="D539" s="2" t="s">
        <v>10</v>
      </c>
      <c r="E539" s="3">
        <f t="shared" si="7"/>
        <v>8</v>
      </c>
    </row>
    <row r="540" spans="1:5" x14ac:dyDescent="0.2">
      <c r="A540">
        <v>8</v>
      </c>
      <c r="B540" s="2" t="s">
        <v>10</v>
      </c>
      <c r="C540" s="2" t="s">
        <v>10</v>
      </c>
      <c r="D540" s="2" t="s">
        <v>10</v>
      </c>
      <c r="E540" s="3">
        <f t="shared" si="7"/>
        <v>8</v>
      </c>
    </row>
    <row r="541" spans="1:5" x14ac:dyDescent="0.2">
      <c r="A541" s="1" t="s">
        <v>30</v>
      </c>
      <c r="E541" s="3">
        <f t="shared" si="7"/>
        <v>8</v>
      </c>
    </row>
    <row r="542" spans="1:5" x14ac:dyDescent="0.2">
      <c r="A542" s="1" t="s">
        <v>1</v>
      </c>
      <c r="B542" s="1" t="s">
        <v>2</v>
      </c>
      <c r="C542" s="1" t="s">
        <v>3</v>
      </c>
      <c r="D542" s="1" t="s">
        <v>4</v>
      </c>
      <c r="E542" s="3">
        <f t="shared" si="7"/>
        <v>8</v>
      </c>
    </row>
    <row r="543" spans="1:5" x14ac:dyDescent="0.2">
      <c r="A543">
        <v>1</v>
      </c>
      <c r="B543" t="s">
        <v>50</v>
      </c>
      <c r="C543">
        <v>3</v>
      </c>
      <c r="D543">
        <v>15</v>
      </c>
      <c r="E543" s="3">
        <f t="shared" si="7"/>
        <v>8</v>
      </c>
    </row>
    <row r="544" spans="1:5" x14ac:dyDescent="0.2">
      <c r="A544">
        <v>2</v>
      </c>
      <c r="B544" t="s">
        <v>35</v>
      </c>
      <c r="C544">
        <v>0</v>
      </c>
      <c r="D544">
        <v>11</v>
      </c>
      <c r="E544" s="3">
        <f t="shared" ref="E544:E607" si="8">IF(A544=$A$1,E543+1,E543)</f>
        <v>8</v>
      </c>
    </row>
    <row r="545" spans="1:5" x14ac:dyDescent="0.2">
      <c r="A545">
        <v>3</v>
      </c>
      <c r="B545" t="s">
        <v>61</v>
      </c>
      <c r="C545">
        <v>1</v>
      </c>
      <c r="D545">
        <v>7</v>
      </c>
      <c r="E545" s="3">
        <f t="shared" si="8"/>
        <v>8</v>
      </c>
    </row>
    <row r="546" spans="1:5" x14ac:dyDescent="0.2">
      <c r="A546">
        <v>4</v>
      </c>
      <c r="B546" t="s">
        <v>76</v>
      </c>
      <c r="C546">
        <v>0</v>
      </c>
      <c r="D546">
        <v>3</v>
      </c>
      <c r="E546" s="3">
        <f t="shared" si="8"/>
        <v>8</v>
      </c>
    </row>
    <row r="547" spans="1:5" x14ac:dyDescent="0.2">
      <c r="A547">
        <v>5</v>
      </c>
      <c r="B547" t="s">
        <v>8</v>
      </c>
      <c r="C547">
        <v>0</v>
      </c>
      <c r="D547">
        <v>1</v>
      </c>
      <c r="E547" s="3">
        <f t="shared" si="8"/>
        <v>8</v>
      </c>
    </row>
    <row r="548" spans="1:5" x14ac:dyDescent="0.2">
      <c r="A548">
        <v>6</v>
      </c>
      <c r="B548" s="2" t="s">
        <v>10</v>
      </c>
      <c r="C548" s="2" t="s">
        <v>10</v>
      </c>
      <c r="D548" s="2" t="s">
        <v>10</v>
      </c>
      <c r="E548" s="3">
        <f t="shared" si="8"/>
        <v>8</v>
      </c>
    </row>
    <row r="549" spans="1:5" x14ac:dyDescent="0.2">
      <c r="A549">
        <v>7</v>
      </c>
      <c r="B549" s="2" t="s">
        <v>10</v>
      </c>
      <c r="C549" s="2" t="s">
        <v>10</v>
      </c>
      <c r="D549" s="2" t="s">
        <v>10</v>
      </c>
      <c r="E549" s="3">
        <f t="shared" si="8"/>
        <v>8</v>
      </c>
    </row>
    <row r="550" spans="1:5" x14ac:dyDescent="0.2">
      <c r="A550">
        <v>8</v>
      </c>
      <c r="B550" s="2" t="s">
        <v>10</v>
      </c>
      <c r="C550" s="2" t="s">
        <v>10</v>
      </c>
      <c r="D550" s="2" t="s">
        <v>10</v>
      </c>
      <c r="E550" s="3">
        <f t="shared" si="8"/>
        <v>8</v>
      </c>
    </row>
    <row r="551" spans="1:5" x14ac:dyDescent="0.2">
      <c r="A551" s="1" t="s">
        <v>37</v>
      </c>
      <c r="E551" s="3">
        <f t="shared" si="8"/>
        <v>8</v>
      </c>
    </row>
    <row r="552" spans="1:5" x14ac:dyDescent="0.2">
      <c r="A552" s="1" t="s">
        <v>1</v>
      </c>
      <c r="B552" s="1" t="s">
        <v>2</v>
      </c>
      <c r="C552" s="1" t="s">
        <v>3</v>
      </c>
      <c r="D552" s="1" t="s">
        <v>4</v>
      </c>
      <c r="E552" s="3">
        <f t="shared" si="8"/>
        <v>8</v>
      </c>
    </row>
    <row r="553" spans="1:5" x14ac:dyDescent="0.2">
      <c r="A553">
        <v>1</v>
      </c>
      <c r="B553" t="s">
        <v>18</v>
      </c>
      <c r="C553">
        <v>2</v>
      </c>
      <c r="D553">
        <v>15</v>
      </c>
      <c r="E553" s="3">
        <f t="shared" si="8"/>
        <v>8</v>
      </c>
    </row>
    <row r="554" spans="1:5" x14ac:dyDescent="0.2">
      <c r="A554">
        <v>2</v>
      </c>
      <c r="B554" t="s">
        <v>26</v>
      </c>
      <c r="C554">
        <v>1</v>
      </c>
      <c r="D554">
        <v>11</v>
      </c>
      <c r="E554" s="3">
        <f t="shared" si="8"/>
        <v>8</v>
      </c>
    </row>
    <row r="555" spans="1:5" x14ac:dyDescent="0.2">
      <c r="A555">
        <v>3</v>
      </c>
      <c r="B555" t="s">
        <v>20</v>
      </c>
      <c r="C555">
        <v>1</v>
      </c>
      <c r="D555">
        <v>7</v>
      </c>
      <c r="E555" s="3">
        <f t="shared" si="8"/>
        <v>8</v>
      </c>
    </row>
    <row r="556" spans="1:5" x14ac:dyDescent="0.2">
      <c r="A556">
        <v>4</v>
      </c>
      <c r="B556" t="s">
        <v>69</v>
      </c>
      <c r="C556">
        <v>0</v>
      </c>
      <c r="D556">
        <v>3</v>
      </c>
      <c r="E556" s="3">
        <f t="shared" si="8"/>
        <v>8</v>
      </c>
    </row>
    <row r="557" spans="1:5" x14ac:dyDescent="0.2">
      <c r="A557">
        <v>5</v>
      </c>
      <c r="B557" t="s">
        <v>103</v>
      </c>
      <c r="C557">
        <v>0</v>
      </c>
      <c r="D557">
        <v>1</v>
      </c>
      <c r="E557" s="3">
        <f t="shared" si="8"/>
        <v>8</v>
      </c>
    </row>
    <row r="558" spans="1:5" x14ac:dyDescent="0.2">
      <c r="A558">
        <v>6</v>
      </c>
      <c r="B558" s="2" t="s">
        <v>10</v>
      </c>
      <c r="C558" s="2" t="s">
        <v>10</v>
      </c>
      <c r="D558" s="2" t="s">
        <v>10</v>
      </c>
      <c r="E558" s="3">
        <f t="shared" si="8"/>
        <v>8</v>
      </c>
    </row>
    <row r="559" spans="1:5" x14ac:dyDescent="0.2">
      <c r="A559">
        <v>7</v>
      </c>
      <c r="B559" s="2" t="s">
        <v>10</v>
      </c>
      <c r="C559" s="2" t="s">
        <v>10</v>
      </c>
      <c r="D559" s="2" t="s">
        <v>10</v>
      </c>
      <c r="E559" s="3">
        <f t="shared" si="8"/>
        <v>8</v>
      </c>
    </row>
    <row r="560" spans="1:5" x14ac:dyDescent="0.2">
      <c r="A560">
        <v>8</v>
      </c>
      <c r="B560" s="2" t="s">
        <v>10</v>
      </c>
      <c r="C560" s="2" t="s">
        <v>10</v>
      </c>
      <c r="D560" s="2" t="s">
        <v>10</v>
      </c>
      <c r="E560" s="3">
        <f t="shared" si="8"/>
        <v>8</v>
      </c>
    </row>
    <row r="561" spans="1:5" x14ac:dyDescent="0.2">
      <c r="A561" s="1" t="s">
        <v>44</v>
      </c>
      <c r="E561" s="3">
        <f t="shared" si="8"/>
        <v>8</v>
      </c>
    </row>
    <row r="562" spans="1:5" x14ac:dyDescent="0.2">
      <c r="A562" s="1" t="s">
        <v>1</v>
      </c>
      <c r="B562" s="1" t="s">
        <v>2</v>
      </c>
      <c r="C562" s="1" t="s">
        <v>3</v>
      </c>
      <c r="D562" s="1" t="s">
        <v>4</v>
      </c>
      <c r="E562" s="3">
        <f t="shared" si="8"/>
        <v>8</v>
      </c>
    </row>
    <row r="563" spans="1:5" x14ac:dyDescent="0.2">
      <c r="A563">
        <v>1</v>
      </c>
      <c r="B563" t="s">
        <v>65</v>
      </c>
      <c r="C563">
        <v>2</v>
      </c>
      <c r="D563">
        <v>15</v>
      </c>
      <c r="E563" s="3">
        <f t="shared" si="8"/>
        <v>8</v>
      </c>
    </row>
    <row r="564" spans="1:5" x14ac:dyDescent="0.2">
      <c r="A564">
        <v>2</v>
      </c>
      <c r="B564" t="s">
        <v>43</v>
      </c>
      <c r="C564">
        <v>1</v>
      </c>
      <c r="D564">
        <v>11</v>
      </c>
      <c r="E564" s="3">
        <f t="shared" si="8"/>
        <v>8</v>
      </c>
    </row>
    <row r="565" spans="1:5" x14ac:dyDescent="0.2">
      <c r="A565">
        <v>3</v>
      </c>
      <c r="B565" t="s">
        <v>41</v>
      </c>
      <c r="C565">
        <v>1</v>
      </c>
      <c r="D565">
        <v>7</v>
      </c>
      <c r="E565" s="3">
        <f t="shared" si="8"/>
        <v>8</v>
      </c>
    </row>
    <row r="566" spans="1:5" x14ac:dyDescent="0.2">
      <c r="A566">
        <v>4</v>
      </c>
      <c r="B566" t="s">
        <v>29</v>
      </c>
      <c r="C566">
        <v>0</v>
      </c>
      <c r="D566">
        <v>3</v>
      </c>
      <c r="E566" s="3">
        <f t="shared" si="8"/>
        <v>8</v>
      </c>
    </row>
    <row r="567" spans="1:5" x14ac:dyDescent="0.2">
      <c r="A567">
        <v>5</v>
      </c>
      <c r="B567" t="s">
        <v>28</v>
      </c>
      <c r="C567">
        <v>0</v>
      </c>
      <c r="D567">
        <v>1</v>
      </c>
      <c r="E567" s="3">
        <f t="shared" si="8"/>
        <v>8</v>
      </c>
    </row>
    <row r="568" spans="1:5" x14ac:dyDescent="0.2">
      <c r="A568">
        <v>6</v>
      </c>
      <c r="B568" s="2" t="s">
        <v>10</v>
      </c>
      <c r="C568" s="2" t="s">
        <v>10</v>
      </c>
      <c r="D568" s="2" t="s">
        <v>10</v>
      </c>
      <c r="E568" s="3">
        <f t="shared" si="8"/>
        <v>8</v>
      </c>
    </row>
    <row r="569" spans="1:5" x14ac:dyDescent="0.2">
      <c r="A569">
        <v>7</v>
      </c>
      <c r="B569" s="2" t="s">
        <v>10</v>
      </c>
      <c r="C569" s="2" t="s">
        <v>10</v>
      </c>
      <c r="D569" s="2" t="s">
        <v>10</v>
      </c>
      <c r="E569" s="3">
        <f t="shared" si="8"/>
        <v>8</v>
      </c>
    </row>
    <row r="570" spans="1:5" x14ac:dyDescent="0.2">
      <c r="A570">
        <v>8</v>
      </c>
      <c r="B570" s="2" t="s">
        <v>10</v>
      </c>
      <c r="C570" s="2" t="s">
        <v>10</v>
      </c>
      <c r="D570" s="2" t="s">
        <v>10</v>
      </c>
      <c r="E570" s="3">
        <f t="shared" si="8"/>
        <v>8</v>
      </c>
    </row>
    <row r="571" spans="1:5" x14ac:dyDescent="0.2">
      <c r="A571" s="1" t="s">
        <v>51</v>
      </c>
      <c r="E571" s="3">
        <f t="shared" si="8"/>
        <v>8</v>
      </c>
    </row>
    <row r="572" spans="1:5" x14ac:dyDescent="0.2">
      <c r="A572" s="1" t="s">
        <v>1</v>
      </c>
      <c r="B572" s="1" t="s">
        <v>2</v>
      </c>
      <c r="C572" s="1" t="s">
        <v>3</v>
      </c>
      <c r="D572" s="1" t="s">
        <v>4</v>
      </c>
      <c r="E572" s="3">
        <f t="shared" si="8"/>
        <v>8</v>
      </c>
    </row>
    <row r="573" spans="1:5" x14ac:dyDescent="0.2">
      <c r="A573">
        <v>1</v>
      </c>
      <c r="B573" t="s">
        <v>92</v>
      </c>
      <c r="C573">
        <v>5</v>
      </c>
      <c r="D573">
        <v>16</v>
      </c>
      <c r="E573" s="3">
        <f t="shared" si="8"/>
        <v>8</v>
      </c>
    </row>
    <row r="574" spans="1:5" x14ac:dyDescent="0.2">
      <c r="A574">
        <v>2</v>
      </c>
      <c r="B574" t="s">
        <v>40</v>
      </c>
      <c r="C574">
        <v>0</v>
      </c>
      <c r="D574">
        <v>12</v>
      </c>
      <c r="E574" s="3">
        <f t="shared" si="8"/>
        <v>8</v>
      </c>
    </row>
    <row r="575" spans="1:5" x14ac:dyDescent="0.2">
      <c r="A575">
        <v>3</v>
      </c>
      <c r="B575" t="s">
        <v>73</v>
      </c>
      <c r="C575">
        <v>0</v>
      </c>
      <c r="D575">
        <v>8</v>
      </c>
      <c r="E575" s="3">
        <f t="shared" si="8"/>
        <v>8</v>
      </c>
    </row>
    <row r="576" spans="1:5" x14ac:dyDescent="0.2">
      <c r="A576">
        <v>4</v>
      </c>
      <c r="B576" t="s">
        <v>27</v>
      </c>
      <c r="C576">
        <v>0</v>
      </c>
      <c r="D576">
        <v>4</v>
      </c>
      <c r="E576" s="3">
        <f t="shared" si="8"/>
        <v>8</v>
      </c>
    </row>
    <row r="577" spans="1:5" x14ac:dyDescent="0.2">
      <c r="A577">
        <v>5</v>
      </c>
      <c r="B577" t="s">
        <v>9</v>
      </c>
      <c r="C577">
        <v>0</v>
      </c>
      <c r="D577">
        <v>2</v>
      </c>
      <c r="E577" s="3">
        <f t="shared" si="8"/>
        <v>8</v>
      </c>
    </row>
    <row r="578" spans="1:5" x14ac:dyDescent="0.2">
      <c r="A578">
        <v>6</v>
      </c>
      <c r="B578" t="s">
        <v>31</v>
      </c>
      <c r="C578">
        <v>0</v>
      </c>
      <c r="D578">
        <v>1</v>
      </c>
      <c r="E578" s="3">
        <f t="shared" si="8"/>
        <v>8</v>
      </c>
    </row>
    <row r="579" spans="1:5" x14ac:dyDescent="0.2">
      <c r="A579">
        <v>7</v>
      </c>
      <c r="B579" s="2" t="s">
        <v>10</v>
      </c>
      <c r="C579" s="2" t="s">
        <v>10</v>
      </c>
      <c r="D579" s="2" t="s">
        <v>10</v>
      </c>
      <c r="E579" s="3">
        <f t="shared" si="8"/>
        <v>8</v>
      </c>
    </row>
    <row r="580" spans="1:5" x14ac:dyDescent="0.2">
      <c r="A580">
        <v>8</v>
      </c>
      <c r="B580" s="2" t="s">
        <v>10</v>
      </c>
      <c r="C580" s="2" t="s">
        <v>10</v>
      </c>
      <c r="D580" s="2" t="s">
        <v>10</v>
      </c>
      <c r="E580" s="3">
        <f t="shared" si="8"/>
        <v>8</v>
      </c>
    </row>
    <row r="581" spans="1:5" x14ac:dyDescent="0.2">
      <c r="A581" s="1" t="s">
        <v>0</v>
      </c>
      <c r="E581" s="3">
        <f t="shared" si="8"/>
        <v>9</v>
      </c>
    </row>
    <row r="582" spans="1:5" x14ac:dyDescent="0.2">
      <c r="A582" s="1" t="s">
        <v>1</v>
      </c>
      <c r="B582" s="1" t="s">
        <v>2</v>
      </c>
      <c r="C582" s="1" t="s">
        <v>3</v>
      </c>
      <c r="D582" s="1" t="s">
        <v>4</v>
      </c>
      <c r="E582" s="3">
        <f t="shared" si="8"/>
        <v>9</v>
      </c>
    </row>
    <row r="583" spans="1:5" x14ac:dyDescent="0.2">
      <c r="A583">
        <v>1</v>
      </c>
      <c r="B583" t="s">
        <v>76</v>
      </c>
      <c r="C583">
        <v>4</v>
      </c>
      <c r="D583">
        <v>16</v>
      </c>
      <c r="E583" s="3">
        <f t="shared" si="8"/>
        <v>9</v>
      </c>
    </row>
    <row r="584" spans="1:5" x14ac:dyDescent="0.2">
      <c r="A584">
        <v>2</v>
      </c>
      <c r="B584" t="s">
        <v>66</v>
      </c>
      <c r="C584">
        <v>0</v>
      </c>
      <c r="D584">
        <v>12</v>
      </c>
      <c r="E584" s="3">
        <f t="shared" si="8"/>
        <v>9</v>
      </c>
    </row>
    <row r="585" spans="1:5" x14ac:dyDescent="0.2">
      <c r="A585">
        <v>3</v>
      </c>
      <c r="B585" t="s">
        <v>101</v>
      </c>
      <c r="C585">
        <v>1</v>
      </c>
      <c r="D585">
        <v>8</v>
      </c>
      <c r="E585" s="3">
        <f t="shared" si="8"/>
        <v>9</v>
      </c>
    </row>
    <row r="586" spans="1:5" x14ac:dyDescent="0.2">
      <c r="A586">
        <v>4</v>
      </c>
      <c r="B586" t="s">
        <v>18</v>
      </c>
      <c r="C586">
        <v>0</v>
      </c>
      <c r="D586">
        <v>4</v>
      </c>
      <c r="E586" s="3">
        <f t="shared" si="8"/>
        <v>9</v>
      </c>
    </row>
    <row r="587" spans="1:5" x14ac:dyDescent="0.2">
      <c r="A587">
        <v>5</v>
      </c>
      <c r="B587" t="s">
        <v>41</v>
      </c>
      <c r="C587">
        <v>0</v>
      </c>
      <c r="D587">
        <v>2</v>
      </c>
      <c r="E587" s="3">
        <f t="shared" si="8"/>
        <v>9</v>
      </c>
    </row>
    <row r="588" spans="1:5" x14ac:dyDescent="0.2">
      <c r="A588">
        <v>6</v>
      </c>
      <c r="B588" t="s">
        <v>52</v>
      </c>
      <c r="C588">
        <v>0</v>
      </c>
      <c r="D588">
        <v>1</v>
      </c>
      <c r="E588" s="3">
        <f t="shared" si="8"/>
        <v>9</v>
      </c>
    </row>
    <row r="589" spans="1:5" x14ac:dyDescent="0.2">
      <c r="A589">
        <v>7</v>
      </c>
      <c r="B589" s="2" t="s">
        <v>10</v>
      </c>
      <c r="C589" s="2" t="s">
        <v>10</v>
      </c>
      <c r="D589" s="2" t="s">
        <v>10</v>
      </c>
      <c r="E589" s="3">
        <f t="shared" si="8"/>
        <v>9</v>
      </c>
    </row>
    <row r="590" spans="1:5" x14ac:dyDescent="0.2">
      <c r="A590">
        <v>8</v>
      </c>
      <c r="B590" s="2" t="s">
        <v>10</v>
      </c>
      <c r="C590" s="2" t="s">
        <v>10</v>
      </c>
      <c r="D590" s="2" t="s">
        <v>10</v>
      </c>
      <c r="E590" s="3">
        <f t="shared" si="8"/>
        <v>9</v>
      </c>
    </row>
    <row r="591" spans="1:5" x14ac:dyDescent="0.2">
      <c r="A591" s="1" t="s">
        <v>11</v>
      </c>
      <c r="E591" s="3">
        <f t="shared" si="8"/>
        <v>9</v>
      </c>
    </row>
    <row r="592" spans="1:5" x14ac:dyDescent="0.2">
      <c r="A592" s="1" t="s">
        <v>1</v>
      </c>
      <c r="B592" s="1" t="s">
        <v>2</v>
      </c>
      <c r="C592" s="1" t="s">
        <v>3</v>
      </c>
      <c r="D592" s="1" t="s">
        <v>4</v>
      </c>
      <c r="E592" s="3">
        <f t="shared" si="8"/>
        <v>9</v>
      </c>
    </row>
    <row r="593" spans="1:5" x14ac:dyDescent="0.2">
      <c r="A593">
        <v>1</v>
      </c>
      <c r="B593" t="s">
        <v>45</v>
      </c>
      <c r="C593">
        <v>5</v>
      </c>
      <c r="D593">
        <v>16</v>
      </c>
      <c r="E593" s="3">
        <f t="shared" si="8"/>
        <v>9</v>
      </c>
    </row>
    <row r="594" spans="1:5" x14ac:dyDescent="0.2">
      <c r="A594">
        <v>2</v>
      </c>
      <c r="B594" t="s">
        <v>69</v>
      </c>
      <c r="C594">
        <v>0</v>
      </c>
      <c r="D594">
        <v>12</v>
      </c>
      <c r="E594" s="3">
        <f t="shared" si="8"/>
        <v>9</v>
      </c>
    </row>
    <row r="595" spans="1:5" x14ac:dyDescent="0.2">
      <c r="A595">
        <v>3</v>
      </c>
      <c r="B595" t="s">
        <v>38</v>
      </c>
      <c r="C595">
        <v>0</v>
      </c>
      <c r="D595">
        <v>8</v>
      </c>
      <c r="E595" s="3">
        <f t="shared" si="8"/>
        <v>9</v>
      </c>
    </row>
    <row r="596" spans="1:5" x14ac:dyDescent="0.2">
      <c r="A596">
        <v>4</v>
      </c>
      <c r="B596" t="s">
        <v>75</v>
      </c>
      <c r="C596">
        <v>0</v>
      </c>
      <c r="D596">
        <v>4</v>
      </c>
      <c r="E596" s="3">
        <f t="shared" si="8"/>
        <v>9</v>
      </c>
    </row>
    <row r="597" spans="1:5" x14ac:dyDescent="0.2">
      <c r="A597">
        <v>5</v>
      </c>
      <c r="B597" t="s">
        <v>9</v>
      </c>
      <c r="C597">
        <v>0</v>
      </c>
      <c r="D597">
        <v>2</v>
      </c>
      <c r="E597" s="3">
        <f t="shared" si="8"/>
        <v>9</v>
      </c>
    </row>
    <row r="598" spans="1:5" x14ac:dyDescent="0.2">
      <c r="A598">
        <v>6</v>
      </c>
      <c r="B598" t="s">
        <v>26</v>
      </c>
      <c r="C598">
        <v>0</v>
      </c>
      <c r="D598">
        <v>1</v>
      </c>
      <c r="E598" s="3">
        <f t="shared" si="8"/>
        <v>9</v>
      </c>
    </row>
    <row r="599" spans="1:5" x14ac:dyDescent="0.2">
      <c r="A599">
        <v>7</v>
      </c>
      <c r="B599" s="2" t="s">
        <v>10</v>
      </c>
      <c r="C599" s="2" t="s">
        <v>10</v>
      </c>
      <c r="D599" s="2" t="s">
        <v>10</v>
      </c>
      <c r="E599" s="3">
        <f t="shared" si="8"/>
        <v>9</v>
      </c>
    </row>
    <row r="600" spans="1:5" x14ac:dyDescent="0.2">
      <c r="A600">
        <v>8</v>
      </c>
      <c r="B600" s="2" t="s">
        <v>10</v>
      </c>
      <c r="C600" s="2" t="s">
        <v>10</v>
      </c>
      <c r="D600" s="2" t="s">
        <v>10</v>
      </c>
      <c r="E600" s="3">
        <f t="shared" si="8"/>
        <v>9</v>
      </c>
    </row>
    <row r="601" spans="1:5" x14ac:dyDescent="0.2">
      <c r="A601" s="1" t="s">
        <v>17</v>
      </c>
      <c r="E601" s="3">
        <f t="shared" si="8"/>
        <v>9</v>
      </c>
    </row>
    <row r="602" spans="1:5" x14ac:dyDescent="0.2">
      <c r="A602" s="1" t="s">
        <v>1</v>
      </c>
      <c r="B602" s="1" t="s">
        <v>2</v>
      </c>
      <c r="C602" s="1" t="s">
        <v>3</v>
      </c>
      <c r="D602" s="1" t="s">
        <v>4</v>
      </c>
      <c r="E602" s="3">
        <f t="shared" si="8"/>
        <v>9</v>
      </c>
    </row>
    <row r="603" spans="1:5" x14ac:dyDescent="0.2">
      <c r="A603">
        <v>1</v>
      </c>
      <c r="B603" t="s">
        <v>305</v>
      </c>
      <c r="C603">
        <v>2</v>
      </c>
      <c r="D603">
        <v>16</v>
      </c>
      <c r="E603" s="3">
        <f t="shared" si="8"/>
        <v>9</v>
      </c>
    </row>
    <row r="604" spans="1:5" x14ac:dyDescent="0.2">
      <c r="A604">
        <v>2</v>
      </c>
      <c r="B604" t="s">
        <v>29</v>
      </c>
      <c r="C604">
        <v>1</v>
      </c>
      <c r="D604">
        <v>12</v>
      </c>
      <c r="E604" s="3">
        <f t="shared" si="8"/>
        <v>9</v>
      </c>
    </row>
    <row r="605" spans="1:5" x14ac:dyDescent="0.2">
      <c r="A605">
        <v>3</v>
      </c>
      <c r="B605" t="s">
        <v>43</v>
      </c>
      <c r="C605">
        <v>2</v>
      </c>
      <c r="D605">
        <v>8</v>
      </c>
      <c r="E605" s="3">
        <f t="shared" si="8"/>
        <v>9</v>
      </c>
    </row>
    <row r="606" spans="1:5" x14ac:dyDescent="0.2">
      <c r="A606">
        <v>4</v>
      </c>
      <c r="B606" t="s">
        <v>31</v>
      </c>
      <c r="C606">
        <v>0</v>
      </c>
      <c r="D606">
        <v>4</v>
      </c>
      <c r="E606" s="3">
        <f t="shared" si="8"/>
        <v>9</v>
      </c>
    </row>
    <row r="607" spans="1:5" x14ac:dyDescent="0.2">
      <c r="A607">
        <v>5</v>
      </c>
      <c r="B607" t="s">
        <v>21</v>
      </c>
      <c r="C607">
        <v>0</v>
      </c>
      <c r="D607">
        <v>2</v>
      </c>
      <c r="E607" s="3">
        <f t="shared" si="8"/>
        <v>9</v>
      </c>
    </row>
    <row r="608" spans="1:5" x14ac:dyDescent="0.2">
      <c r="A608">
        <v>6</v>
      </c>
      <c r="B608" t="s">
        <v>50</v>
      </c>
      <c r="C608">
        <v>0</v>
      </c>
      <c r="D608">
        <v>1</v>
      </c>
      <c r="E608" s="3">
        <f t="shared" ref="E608:E671" si="9">IF(A608=$A$1,E607+1,E607)</f>
        <v>9</v>
      </c>
    </row>
    <row r="609" spans="1:5" x14ac:dyDescent="0.2">
      <c r="A609">
        <v>7</v>
      </c>
      <c r="B609" s="2" t="s">
        <v>10</v>
      </c>
      <c r="C609" s="2" t="s">
        <v>10</v>
      </c>
      <c r="D609" s="2" t="s">
        <v>10</v>
      </c>
      <c r="E609" s="3">
        <f t="shared" si="9"/>
        <v>9</v>
      </c>
    </row>
    <row r="610" spans="1:5" x14ac:dyDescent="0.2">
      <c r="A610">
        <v>8</v>
      </c>
      <c r="B610" s="2" t="s">
        <v>10</v>
      </c>
      <c r="C610" s="2" t="s">
        <v>10</v>
      </c>
      <c r="D610" s="2" t="s">
        <v>10</v>
      </c>
      <c r="E610" s="3">
        <f t="shared" si="9"/>
        <v>9</v>
      </c>
    </row>
    <row r="611" spans="1:5" x14ac:dyDescent="0.2">
      <c r="A611" s="1" t="s">
        <v>24</v>
      </c>
      <c r="E611" s="3">
        <f t="shared" si="9"/>
        <v>9</v>
      </c>
    </row>
    <row r="612" spans="1:5" x14ac:dyDescent="0.2">
      <c r="A612" s="1" t="s">
        <v>1</v>
      </c>
      <c r="B612" s="1" t="s">
        <v>2</v>
      </c>
      <c r="C612" s="1" t="s">
        <v>3</v>
      </c>
      <c r="D612" s="1" t="s">
        <v>4</v>
      </c>
      <c r="E612" s="3">
        <f t="shared" si="9"/>
        <v>9</v>
      </c>
    </row>
    <row r="613" spans="1:5" x14ac:dyDescent="0.2">
      <c r="A613">
        <v>1</v>
      </c>
      <c r="B613" t="s">
        <v>46</v>
      </c>
      <c r="C613">
        <v>1</v>
      </c>
      <c r="D613">
        <v>16</v>
      </c>
      <c r="E613" s="3">
        <f t="shared" si="9"/>
        <v>9</v>
      </c>
    </row>
    <row r="614" spans="1:5" x14ac:dyDescent="0.2">
      <c r="A614">
        <v>2</v>
      </c>
      <c r="B614" t="s">
        <v>20</v>
      </c>
      <c r="C614">
        <v>2</v>
      </c>
      <c r="D614">
        <v>12</v>
      </c>
      <c r="E614" s="3">
        <f t="shared" si="9"/>
        <v>9</v>
      </c>
    </row>
    <row r="615" spans="1:5" x14ac:dyDescent="0.2">
      <c r="A615">
        <v>3</v>
      </c>
      <c r="B615" t="s">
        <v>54</v>
      </c>
      <c r="C615">
        <v>2</v>
      </c>
      <c r="D615">
        <v>8</v>
      </c>
      <c r="E615" s="3">
        <f t="shared" si="9"/>
        <v>9</v>
      </c>
    </row>
    <row r="616" spans="1:5" x14ac:dyDescent="0.2">
      <c r="A616">
        <v>4</v>
      </c>
      <c r="B616" t="s">
        <v>23</v>
      </c>
      <c r="C616">
        <v>0</v>
      </c>
      <c r="D616">
        <v>4</v>
      </c>
      <c r="E616" s="3">
        <f t="shared" si="9"/>
        <v>9</v>
      </c>
    </row>
    <row r="617" spans="1:5" x14ac:dyDescent="0.2">
      <c r="A617">
        <v>5</v>
      </c>
      <c r="B617" t="s">
        <v>15</v>
      </c>
      <c r="C617">
        <v>0</v>
      </c>
      <c r="D617">
        <v>2</v>
      </c>
      <c r="E617" s="3">
        <f t="shared" si="9"/>
        <v>9</v>
      </c>
    </row>
    <row r="618" spans="1:5" x14ac:dyDescent="0.2">
      <c r="A618">
        <v>6</v>
      </c>
      <c r="B618" t="s">
        <v>47</v>
      </c>
      <c r="C618">
        <v>0</v>
      </c>
      <c r="D618">
        <v>1</v>
      </c>
      <c r="E618" s="3">
        <f t="shared" si="9"/>
        <v>9</v>
      </c>
    </row>
    <row r="619" spans="1:5" x14ac:dyDescent="0.2">
      <c r="A619">
        <v>7</v>
      </c>
      <c r="B619" s="2" t="s">
        <v>10</v>
      </c>
      <c r="C619" s="2" t="s">
        <v>10</v>
      </c>
      <c r="D619" s="2" t="s">
        <v>10</v>
      </c>
      <c r="E619" s="3">
        <f t="shared" si="9"/>
        <v>9</v>
      </c>
    </row>
    <row r="620" spans="1:5" x14ac:dyDescent="0.2">
      <c r="A620">
        <v>8</v>
      </c>
      <c r="B620" s="2" t="s">
        <v>10</v>
      </c>
      <c r="C620" s="2" t="s">
        <v>10</v>
      </c>
      <c r="D620" s="2" t="s">
        <v>10</v>
      </c>
      <c r="E620" s="3">
        <f t="shared" si="9"/>
        <v>9</v>
      </c>
    </row>
    <row r="621" spans="1:5" x14ac:dyDescent="0.2">
      <c r="A621" s="1" t="s">
        <v>30</v>
      </c>
      <c r="E621" s="3">
        <f t="shared" si="9"/>
        <v>9</v>
      </c>
    </row>
    <row r="622" spans="1:5" x14ac:dyDescent="0.2">
      <c r="A622" s="1" t="s">
        <v>1</v>
      </c>
      <c r="B622" s="1" t="s">
        <v>2</v>
      </c>
      <c r="C622" s="1" t="s">
        <v>3</v>
      </c>
      <c r="D622" s="1" t="s">
        <v>4</v>
      </c>
      <c r="E622" s="3">
        <f t="shared" si="9"/>
        <v>9</v>
      </c>
    </row>
    <row r="623" spans="1:5" x14ac:dyDescent="0.2">
      <c r="A623">
        <v>1</v>
      </c>
      <c r="B623" t="s">
        <v>40</v>
      </c>
      <c r="C623">
        <v>3</v>
      </c>
      <c r="D623">
        <v>16</v>
      </c>
      <c r="E623" s="3">
        <f t="shared" si="9"/>
        <v>9</v>
      </c>
    </row>
    <row r="624" spans="1:5" x14ac:dyDescent="0.2">
      <c r="A624">
        <v>2</v>
      </c>
      <c r="B624" t="s">
        <v>68</v>
      </c>
      <c r="C624">
        <v>2</v>
      </c>
      <c r="D624">
        <v>12</v>
      </c>
      <c r="E624" s="3">
        <f t="shared" si="9"/>
        <v>9</v>
      </c>
    </row>
    <row r="625" spans="1:5" x14ac:dyDescent="0.2">
      <c r="A625">
        <v>3</v>
      </c>
      <c r="B625" t="s">
        <v>92</v>
      </c>
      <c r="C625">
        <v>0</v>
      </c>
      <c r="D625">
        <v>8</v>
      </c>
      <c r="E625" s="3">
        <f t="shared" si="9"/>
        <v>9</v>
      </c>
    </row>
    <row r="626" spans="1:5" x14ac:dyDescent="0.2">
      <c r="A626">
        <v>4</v>
      </c>
      <c r="B626" t="s">
        <v>74</v>
      </c>
      <c r="C626">
        <v>0</v>
      </c>
      <c r="D626">
        <v>4</v>
      </c>
      <c r="E626" s="3">
        <f t="shared" si="9"/>
        <v>9</v>
      </c>
    </row>
    <row r="627" spans="1:5" x14ac:dyDescent="0.2">
      <c r="A627">
        <v>5</v>
      </c>
      <c r="B627" t="s">
        <v>6</v>
      </c>
      <c r="C627">
        <v>0</v>
      </c>
      <c r="D627">
        <v>2</v>
      </c>
      <c r="E627" s="3">
        <f t="shared" si="9"/>
        <v>9</v>
      </c>
    </row>
    <row r="628" spans="1:5" x14ac:dyDescent="0.2">
      <c r="A628">
        <v>6</v>
      </c>
      <c r="B628" t="s">
        <v>28</v>
      </c>
      <c r="C628">
        <v>0</v>
      </c>
      <c r="D628">
        <v>1</v>
      </c>
      <c r="E628" s="3">
        <f t="shared" si="9"/>
        <v>9</v>
      </c>
    </row>
    <row r="629" spans="1:5" x14ac:dyDescent="0.2">
      <c r="A629">
        <v>7</v>
      </c>
      <c r="B629" s="2" t="s">
        <v>10</v>
      </c>
      <c r="C629" s="2" t="s">
        <v>10</v>
      </c>
      <c r="D629" s="2" t="s">
        <v>10</v>
      </c>
      <c r="E629" s="3">
        <f t="shared" si="9"/>
        <v>9</v>
      </c>
    </row>
    <row r="630" spans="1:5" x14ac:dyDescent="0.2">
      <c r="A630">
        <v>8</v>
      </c>
      <c r="B630" s="2" t="s">
        <v>10</v>
      </c>
      <c r="C630" s="2" t="s">
        <v>10</v>
      </c>
      <c r="D630" s="2" t="s">
        <v>10</v>
      </c>
      <c r="E630" s="3">
        <f t="shared" si="9"/>
        <v>9</v>
      </c>
    </row>
    <row r="631" spans="1:5" x14ac:dyDescent="0.2">
      <c r="A631" s="1" t="s">
        <v>37</v>
      </c>
      <c r="E631" s="3">
        <f t="shared" si="9"/>
        <v>9</v>
      </c>
    </row>
    <row r="632" spans="1:5" x14ac:dyDescent="0.2">
      <c r="A632" s="1" t="s">
        <v>1</v>
      </c>
      <c r="B632" s="1" t="s">
        <v>2</v>
      </c>
      <c r="C632" s="1" t="s">
        <v>3</v>
      </c>
      <c r="D632" s="1" t="s">
        <v>4</v>
      </c>
      <c r="E632" s="3">
        <f t="shared" si="9"/>
        <v>9</v>
      </c>
    </row>
    <row r="633" spans="1:5" x14ac:dyDescent="0.2">
      <c r="A633">
        <v>1</v>
      </c>
      <c r="B633" t="s">
        <v>8</v>
      </c>
      <c r="C633">
        <v>2</v>
      </c>
      <c r="D633">
        <v>16</v>
      </c>
      <c r="E633" s="3">
        <f t="shared" si="9"/>
        <v>9</v>
      </c>
    </row>
    <row r="634" spans="1:5" x14ac:dyDescent="0.2">
      <c r="A634">
        <v>2</v>
      </c>
      <c r="B634" t="s">
        <v>65</v>
      </c>
      <c r="C634">
        <v>2</v>
      </c>
      <c r="D634">
        <v>12</v>
      </c>
      <c r="E634" s="3">
        <f t="shared" si="9"/>
        <v>9</v>
      </c>
    </row>
    <row r="635" spans="1:5" x14ac:dyDescent="0.2">
      <c r="A635">
        <v>3</v>
      </c>
      <c r="B635" t="s">
        <v>25</v>
      </c>
      <c r="C635">
        <v>1</v>
      </c>
      <c r="D635">
        <v>8</v>
      </c>
      <c r="E635" s="3">
        <f t="shared" si="9"/>
        <v>9</v>
      </c>
    </row>
    <row r="636" spans="1:5" x14ac:dyDescent="0.2">
      <c r="A636">
        <v>4</v>
      </c>
      <c r="B636" t="s">
        <v>35</v>
      </c>
      <c r="C636">
        <v>0</v>
      </c>
      <c r="D636">
        <v>4</v>
      </c>
      <c r="E636" s="3">
        <f t="shared" si="9"/>
        <v>9</v>
      </c>
    </row>
    <row r="637" spans="1:5" x14ac:dyDescent="0.2">
      <c r="A637">
        <v>5</v>
      </c>
      <c r="B637" t="s">
        <v>102</v>
      </c>
      <c r="C637">
        <v>0</v>
      </c>
      <c r="D637">
        <v>2</v>
      </c>
      <c r="E637" s="3">
        <f t="shared" si="9"/>
        <v>9</v>
      </c>
    </row>
    <row r="638" spans="1:5" x14ac:dyDescent="0.2">
      <c r="A638">
        <v>6</v>
      </c>
      <c r="B638" t="s">
        <v>14</v>
      </c>
      <c r="C638">
        <v>0</v>
      </c>
      <c r="D638">
        <v>1</v>
      </c>
      <c r="E638" s="3">
        <f t="shared" si="9"/>
        <v>9</v>
      </c>
    </row>
    <row r="639" spans="1:5" x14ac:dyDescent="0.2">
      <c r="A639">
        <v>7</v>
      </c>
      <c r="B639" s="2" t="s">
        <v>10</v>
      </c>
      <c r="C639" s="2" t="s">
        <v>10</v>
      </c>
      <c r="D639" s="2" t="s">
        <v>10</v>
      </c>
      <c r="E639" s="3">
        <f t="shared" si="9"/>
        <v>9</v>
      </c>
    </row>
    <row r="640" spans="1:5" x14ac:dyDescent="0.2">
      <c r="A640">
        <v>8</v>
      </c>
      <c r="B640" s="2" t="s">
        <v>10</v>
      </c>
      <c r="C640" s="2" t="s">
        <v>10</v>
      </c>
      <c r="D640" s="2" t="s">
        <v>10</v>
      </c>
      <c r="E640" s="3">
        <f t="shared" si="9"/>
        <v>9</v>
      </c>
    </row>
    <row r="641" spans="1:5" x14ac:dyDescent="0.2">
      <c r="A641" s="1" t="s">
        <v>44</v>
      </c>
      <c r="E641" s="3">
        <f t="shared" si="9"/>
        <v>9</v>
      </c>
    </row>
    <row r="642" spans="1:5" x14ac:dyDescent="0.2">
      <c r="A642" s="1" t="s">
        <v>1</v>
      </c>
      <c r="B642" s="1" t="s">
        <v>2</v>
      </c>
      <c r="C642" s="1" t="s">
        <v>3</v>
      </c>
      <c r="D642" s="1" t="s">
        <v>4</v>
      </c>
      <c r="E642" s="3">
        <f t="shared" si="9"/>
        <v>9</v>
      </c>
    </row>
    <row r="643" spans="1:5" x14ac:dyDescent="0.2">
      <c r="A643">
        <v>1</v>
      </c>
      <c r="B643" t="s">
        <v>59</v>
      </c>
      <c r="C643">
        <v>3</v>
      </c>
      <c r="D643">
        <v>15</v>
      </c>
      <c r="E643" s="3">
        <f t="shared" si="9"/>
        <v>9</v>
      </c>
    </row>
    <row r="644" spans="1:5" x14ac:dyDescent="0.2">
      <c r="A644">
        <v>2</v>
      </c>
      <c r="B644" t="s">
        <v>19</v>
      </c>
      <c r="C644">
        <v>1</v>
      </c>
      <c r="D644">
        <v>11</v>
      </c>
      <c r="E644" s="3">
        <f t="shared" si="9"/>
        <v>9</v>
      </c>
    </row>
    <row r="645" spans="1:5" x14ac:dyDescent="0.2">
      <c r="A645">
        <v>3</v>
      </c>
      <c r="B645" t="s">
        <v>32</v>
      </c>
      <c r="C645">
        <v>0</v>
      </c>
      <c r="D645">
        <v>7</v>
      </c>
      <c r="E645" s="3">
        <f t="shared" si="9"/>
        <v>9</v>
      </c>
    </row>
    <row r="646" spans="1:5" x14ac:dyDescent="0.2">
      <c r="A646">
        <v>4</v>
      </c>
      <c r="B646" t="s">
        <v>88</v>
      </c>
      <c r="C646">
        <v>0</v>
      </c>
      <c r="D646">
        <v>3</v>
      </c>
      <c r="E646" s="3">
        <f t="shared" si="9"/>
        <v>9</v>
      </c>
    </row>
    <row r="647" spans="1:5" x14ac:dyDescent="0.2">
      <c r="A647">
        <v>5</v>
      </c>
      <c r="B647" t="s">
        <v>60</v>
      </c>
      <c r="C647">
        <v>0</v>
      </c>
      <c r="D647">
        <v>1</v>
      </c>
      <c r="E647" s="3">
        <f t="shared" si="9"/>
        <v>9</v>
      </c>
    </row>
    <row r="648" spans="1:5" x14ac:dyDescent="0.2">
      <c r="A648">
        <v>6</v>
      </c>
      <c r="B648" s="2" t="s">
        <v>10</v>
      </c>
      <c r="C648" s="2" t="s">
        <v>10</v>
      </c>
      <c r="D648" s="2" t="s">
        <v>10</v>
      </c>
      <c r="E648" s="3">
        <f t="shared" si="9"/>
        <v>9</v>
      </c>
    </row>
    <row r="649" spans="1:5" x14ac:dyDescent="0.2">
      <c r="A649">
        <v>7</v>
      </c>
      <c r="B649" s="2" t="s">
        <v>10</v>
      </c>
      <c r="C649" s="2" t="s">
        <v>10</v>
      </c>
      <c r="D649" s="2" t="s">
        <v>10</v>
      </c>
      <c r="E649" s="3">
        <f t="shared" si="9"/>
        <v>9</v>
      </c>
    </row>
    <row r="650" spans="1:5" x14ac:dyDescent="0.2">
      <c r="A650">
        <v>8</v>
      </c>
      <c r="B650" s="2" t="s">
        <v>10</v>
      </c>
      <c r="C650" s="2" t="s">
        <v>10</v>
      </c>
      <c r="D650" s="2" t="s">
        <v>10</v>
      </c>
      <c r="E650" s="3">
        <f t="shared" si="9"/>
        <v>9</v>
      </c>
    </row>
    <row r="651" spans="1:5" x14ac:dyDescent="0.2">
      <c r="A651" s="1" t="s">
        <v>0</v>
      </c>
      <c r="E651" s="3">
        <f t="shared" si="9"/>
        <v>10</v>
      </c>
    </row>
    <row r="652" spans="1:5" x14ac:dyDescent="0.2">
      <c r="A652" s="1" t="s">
        <v>1</v>
      </c>
      <c r="B652" s="1" t="s">
        <v>2</v>
      </c>
      <c r="C652" s="1" t="s">
        <v>3</v>
      </c>
      <c r="D652" s="1" t="s">
        <v>4</v>
      </c>
      <c r="E652" s="3">
        <f t="shared" si="9"/>
        <v>10</v>
      </c>
    </row>
    <row r="653" spans="1:5" x14ac:dyDescent="0.2">
      <c r="A653">
        <v>1</v>
      </c>
      <c r="B653" t="s">
        <v>29</v>
      </c>
      <c r="C653">
        <v>3</v>
      </c>
      <c r="D653">
        <v>17</v>
      </c>
      <c r="E653" s="3">
        <f t="shared" si="9"/>
        <v>10</v>
      </c>
    </row>
    <row r="654" spans="1:5" x14ac:dyDescent="0.2">
      <c r="A654">
        <v>2</v>
      </c>
      <c r="B654" t="s">
        <v>101</v>
      </c>
      <c r="C654">
        <v>1</v>
      </c>
      <c r="D654">
        <v>13</v>
      </c>
      <c r="E654" s="3">
        <f t="shared" si="9"/>
        <v>10</v>
      </c>
    </row>
    <row r="655" spans="1:5" x14ac:dyDescent="0.2">
      <c r="A655">
        <v>3</v>
      </c>
      <c r="B655" t="s">
        <v>26</v>
      </c>
      <c r="C655">
        <v>0</v>
      </c>
      <c r="D655">
        <v>9</v>
      </c>
      <c r="E655" s="3">
        <f t="shared" si="9"/>
        <v>10</v>
      </c>
    </row>
    <row r="656" spans="1:5" x14ac:dyDescent="0.2">
      <c r="A656">
        <v>4</v>
      </c>
      <c r="B656" t="s">
        <v>75</v>
      </c>
      <c r="C656">
        <v>1</v>
      </c>
      <c r="D656">
        <v>5</v>
      </c>
      <c r="E656" s="3">
        <f t="shared" si="9"/>
        <v>10</v>
      </c>
    </row>
    <row r="657" spans="1:5" x14ac:dyDescent="0.2">
      <c r="A657">
        <v>5</v>
      </c>
      <c r="B657" t="s">
        <v>47</v>
      </c>
      <c r="C657">
        <v>1</v>
      </c>
      <c r="D657">
        <v>3</v>
      </c>
      <c r="E657" s="3">
        <f t="shared" si="9"/>
        <v>10</v>
      </c>
    </row>
    <row r="658" spans="1:5" x14ac:dyDescent="0.2">
      <c r="A658">
        <v>6</v>
      </c>
      <c r="B658" t="s">
        <v>55</v>
      </c>
      <c r="C658">
        <v>0</v>
      </c>
      <c r="D658">
        <v>2</v>
      </c>
      <c r="E658" s="3">
        <f t="shared" si="9"/>
        <v>10</v>
      </c>
    </row>
    <row r="659" spans="1:5" x14ac:dyDescent="0.2">
      <c r="A659">
        <v>7</v>
      </c>
      <c r="B659" t="s">
        <v>76</v>
      </c>
      <c r="C659">
        <v>0</v>
      </c>
      <c r="D659">
        <v>1</v>
      </c>
      <c r="E659" s="3">
        <f t="shared" si="9"/>
        <v>10</v>
      </c>
    </row>
    <row r="660" spans="1:5" x14ac:dyDescent="0.2">
      <c r="A660">
        <v>8</v>
      </c>
      <c r="B660" s="2" t="s">
        <v>10</v>
      </c>
      <c r="C660" s="2" t="s">
        <v>10</v>
      </c>
      <c r="D660" s="2" t="s">
        <v>10</v>
      </c>
      <c r="E660" s="3">
        <f t="shared" si="9"/>
        <v>10</v>
      </c>
    </row>
    <row r="661" spans="1:5" x14ac:dyDescent="0.2">
      <c r="A661" s="1" t="s">
        <v>11</v>
      </c>
      <c r="E661" s="3">
        <f t="shared" si="9"/>
        <v>10</v>
      </c>
    </row>
    <row r="662" spans="1:5" x14ac:dyDescent="0.2">
      <c r="A662" s="1" t="s">
        <v>1</v>
      </c>
      <c r="B662" s="1" t="s">
        <v>2</v>
      </c>
      <c r="C662" s="1" t="s">
        <v>3</v>
      </c>
      <c r="D662" s="1" t="s">
        <v>4</v>
      </c>
      <c r="E662" s="3">
        <f t="shared" si="9"/>
        <v>10</v>
      </c>
    </row>
    <row r="663" spans="1:5" x14ac:dyDescent="0.2">
      <c r="A663">
        <v>1</v>
      </c>
      <c r="B663" t="s">
        <v>12</v>
      </c>
      <c r="C663">
        <v>4</v>
      </c>
      <c r="D663">
        <v>16</v>
      </c>
      <c r="E663" s="3">
        <f t="shared" si="9"/>
        <v>10</v>
      </c>
    </row>
    <row r="664" spans="1:5" x14ac:dyDescent="0.2">
      <c r="A664">
        <v>2</v>
      </c>
      <c r="B664" t="s">
        <v>92</v>
      </c>
      <c r="C664">
        <v>0</v>
      </c>
      <c r="D664">
        <v>12</v>
      </c>
      <c r="E664" s="3">
        <f t="shared" si="9"/>
        <v>10</v>
      </c>
    </row>
    <row r="665" spans="1:5" x14ac:dyDescent="0.2">
      <c r="A665">
        <v>3</v>
      </c>
      <c r="B665" t="s">
        <v>59</v>
      </c>
      <c r="C665">
        <v>0</v>
      </c>
      <c r="D665">
        <v>8</v>
      </c>
      <c r="E665" s="3">
        <f t="shared" si="9"/>
        <v>10</v>
      </c>
    </row>
    <row r="666" spans="1:5" x14ac:dyDescent="0.2">
      <c r="A666">
        <v>4</v>
      </c>
      <c r="B666" t="s">
        <v>46</v>
      </c>
      <c r="C666">
        <v>0</v>
      </c>
      <c r="D666">
        <v>4</v>
      </c>
      <c r="E666" s="3">
        <f t="shared" si="9"/>
        <v>10</v>
      </c>
    </row>
    <row r="667" spans="1:5" x14ac:dyDescent="0.2">
      <c r="A667">
        <v>5</v>
      </c>
      <c r="B667" t="s">
        <v>31</v>
      </c>
      <c r="C667">
        <v>1</v>
      </c>
      <c r="D667">
        <v>2</v>
      </c>
      <c r="E667" s="3">
        <f t="shared" si="9"/>
        <v>10</v>
      </c>
    </row>
    <row r="668" spans="1:5" x14ac:dyDescent="0.2">
      <c r="A668">
        <v>6</v>
      </c>
      <c r="B668" t="s">
        <v>23</v>
      </c>
      <c r="C668">
        <v>0</v>
      </c>
      <c r="D668">
        <v>1</v>
      </c>
      <c r="E668" s="3">
        <f t="shared" si="9"/>
        <v>10</v>
      </c>
    </row>
    <row r="669" spans="1:5" x14ac:dyDescent="0.2">
      <c r="A669">
        <v>7</v>
      </c>
      <c r="B669" s="2" t="s">
        <v>10</v>
      </c>
      <c r="C669" s="2" t="s">
        <v>10</v>
      </c>
      <c r="D669" s="2" t="s">
        <v>10</v>
      </c>
      <c r="E669" s="3">
        <f t="shared" si="9"/>
        <v>10</v>
      </c>
    </row>
    <row r="670" spans="1:5" x14ac:dyDescent="0.2">
      <c r="A670">
        <v>8</v>
      </c>
      <c r="B670" s="2" t="s">
        <v>10</v>
      </c>
      <c r="C670" s="2" t="s">
        <v>10</v>
      </c>
      <c r="D670" s="2" t="s">
        <v>10</v>
      </c>
      <c r="E670" s="3">
        <f t="shared" si="9"/>
        <v>10</v>
      </c>
    </row>
    <row r="671" spans="1:5" x14ac:dyDescent="0.2">
      <c r="A671" s="1" t="s">
        <v>17</v>
      </c>
      <c r="E671" s="3">
        <f t="shared" si="9"/>
        <v>10</v>
      </c>
    </row>
    <row r="672" spans="1:5" x14ac:dyDescent="0.2">
      <c r="A672" s="1" t="s">
        <v>1</v>
      </c>
      <c r="B672" s="1" t="s">
        <v>2</v>
      </c>
      <c r="C672" s="1" t="s">
        <v>3</v>
      </c>
      <c r="D672" s="1" t="s">
        <v>4</v>
      </c>
      <c r="E672" s="3">
        <f t="shared" ref="E672:E735" si="10">IF(A672=$A$1,E671+1,E671)</f>
        <v>10</v>
      </c>
    </row>
    <row r="673" spans="1:5" x14ac:dyDescent="0.2">
      <c r="A673">
        <v>1</v>
      </c>
      <c r="B673" t="s">
        <v>68</v>
      </c>
      <c r="C673">
        <v>5</v>
      </c>
      <c r="D673">
        <v>17</v>
      </c>
      <c r="E673" s="3">
        <f t="shared" si="10"/>
        <v>10</v>
      </c>
    </row>
    <row r="674" spans="1:5" x14ac:dyDescent="0.2">
      <c r="A674">
        <v>2</v>
      </c>
      <c r="B674" t="s">
        <v>69</v>
      </c>
      <c r="C674">
        <v>0</v>
      </c>
      <c r="D674">
        <v>13</v>
      </c>
      <c r="E674" s="3">
        <f t="shared" si="10"/>
        <v>10</v>
      </c>
    </row>
    <row r="675" spans="1:5" x14ac:dyDescent="0.2">
      <c r="A675">
        <v>3</v>
      </c>
      <c r="B675" t="s">
        <v>32</v>
      </c>
      <c r="C675">
        <v>0</v>
      </c>
      <c r="D675">
        <v>9</v>
      </c>
      <c r="E675" s="3">
        <f t="shared" si="10"/>
        <v>10</v>
      </c>
    </row>
    <row r="676" spans="1:5" x14ac:dyDescent="0.2">
      <c r="A676">
        <v>4</v>
      </c>
      <c r="B676" t="s">
        <v>18</v>
      </c>
      <c r="C676">
        <v>0</v>
      </c>
      <c r="D676">
        <v>5</v>
      </c>
      <c r="E676" s="3">
        <f t="shared" si="10"/>
        <v>10</v>
      </c>
    </row>
    <row r="677" spans="1:5" x14ac:dyDescent="0.2">
      <c r="A677">
        <v>5</v>
      </c>
      <c r="B677" t="s">
        <v>74</v>
      </c>
      <c r="C677">
        <v>1</v>
      </c>
      <c r="D677">
        <v>3</v>
      </c>
      <c r="E677" s="3">
        <f t="shared" si="10"/>
        <v>10</v>
      </c>
    </row>
    <row r="678" spans="1:5" x14ac:dyDescent="0.2">
      <c r="A678">
        <v>6</v>
      </c>
      <c r="B678" t="s">
        <v>87</v>
      </c>
      <c r="C678">
        <v>0</v>
      </c>
      <c r="D678">
        <v>2</v>
      </c>
      <c r="E678" s="3">
        <f t="shared" si="10"/>
        <v>10</v>
      </c>
    </row>
    <row r="679" spans="1:5" x14ac:dyDescent="0.2">
      <c r="A679">
        <v>7</v>
      </c>
      <c r="B679" t="s">
        <v>305</v>
      </c>
      <c r="C679">
        <v>0</v>
      </c>
      <c r="D679">
        <v>1</v>
      </c>
      <c r="E679" s="3">
        <f t="shared" si="10"/>
        <v>10</v>
      </c>
    </row>
    <row r="680" spans="1:5" x14ac:dyDescent="0.2">
      <c r="A680">
        <v>8</v>
      </c>
      <c r="B680" s="2" t="s">
        <v>10</v>
      </c>
      <c r="C680" s="2" t="s">
        <v>10</v>
      </c>
      <c r="D680" s="2" t="s">
        <v>10</v>
      </c>
      <c r="E680" s="3">
        <f t="shared" si="10"/>
        <v>10</v>
      </c>
    </row>
    <row r="681" spans="1:5" x14ac:dyDescent="0.2">
      <c r="A681" s="1" t="s">
        <v>24</v>
      </c>
      <c r="E681" s="3">
        <f t="shared" si="10"/>
        <v>10</v>
      </c>
    </row>
    <row r="682" spans="1:5" x14ac:dyDescent="0.2">
      <c r="A682" s="1" t="s">
        <v>1</v>
      </c>
      <c r="B682" s="1" t="s">
        <v>2</v>
      </c>
      <c r="C682" s="1" t="s">
        <v>3</v>
      </c>
      <c r="D682" s="1" t="s">
        <v>4</v>
      </c>
      <c r="E682" s="3">
        <f t="shared" si="10"/>
        <v>10</v>
      </c>
    </row>
    <row r="683" spans="1:5" x14ac:dyDescent="0.2">
      <c r="A683">
        <v>1</v>
      </c>
      <c r="B683" t="s">
        <v>102</v>
      </c>
      <c r="C683">
        <v>2</v>
      </c>
      <c r="D683">
        <v>16</v>
      </c>
      <c r="E683" s="3">
        <f t="shared" si="10"/>
        <v>10</v>
      </c>
    </row>
    <row r="684" spans="1:5" x14ac:dyDescent="0.2">
      <c r="A684">
        <v>2</v>
      </c>
      <c r="B684" t="s">
        <v>35</v>
      </c>
      <c r="C684">
        <v>1</v>
      </c>
      <c r="D684">
        <v>12</v>
      </c>
      <c r="E684" s="3">
        <f t="shared" si="10"/>
        <v>10</v>
      </c>
    </row>
    <row r="685" spans="1:5" x14ac:dyDescent="0.2">
      <c r="A685">
        <v>3</v>
      </c>
      <c r="B685" t="s">
        <v>9</v>
      </c>
      <c r="C685">
        <v>2</v>
      </c>
      <c r="D685">
        <v>8</v>
      </c>
      <c r="E685" s="3">
        <f t="shared" si="10"/>
        <v>10</v>
      </c>
    </row>
    <row r="686" spans="1:5" x14ac:dyDescent="0.2">
      <c r="A686">
        <v>4</v>
      </c>
      <c r="B686" t="s">
        <v>15</v>
      </c>
      <c r="C686">
        <v>0</v>
      </c>
      <c r="D686">
        <v>4</v>
      </c>
      <c r="E686" s="3">
        <f t="shared" si="10"/>
        <v>10</v>
      </c>
    </row>
    <row r="687" spans="1:5" x14ac:dyDescent="0.2">
      <c r="A687">
        <v>5</v>
      </c>
      <c r="B687" t="s">
        <v>40</v>
      </c>
      <c r="C687">
        <v>0</v>
      </c>
      <c r="D687">
        <v>2</v>
      </c>
      <c r="E687" s="3">
        <f t="shared" si="10"/>
        <v>10</v>
      </c>
    </row>
    <row r="688" spans="1:5" x14ac:dyDescent="0.2">
      <c r="A688">
        <v>6</v>
      </c>
      <c r="B688" t="s">
        <v>60</v>
      </c>
      <c r="C688">
        <v>0</v>
      </c>
      <c r="D688">
        <v>1</v>
      </c>
      <c r="E688" s="3">
        <f t="shared" si="10"/>
        <v>10</v>
      </c>
    </row>
    <row r="689" spans="1:5" x14ac:dyDescent="0.2">
      <c r="A689">
        <v>7</v>
      </c>
      <c r="B689" s="2" t="s">
        <v>10</v>
      </c>
      <c r="C689" s="2" t="s">
        <v>10</v>
      </c>
      <c r="D689" s="2" t="s">
        <v>10</v>
      </c>
      <c r="E689" s="3">
        <f t="shared" si="10"/>
        <v>10</v>
      </c>
    </row>
    <row r="690" spans="1:5" x14ac:dyDescent="0.2">
      <c r="A690">
        <v>8</v>
      </c>
      <c r="B690" s="2" t="s">
        <v>10</v>
      </c>
      <c r="C690" s="2" t="s">
        <v>10</v>
      </c>
      <c r="D690" s="2" t="s">
        <v>10</v>
      </c>
      <c r="E690" s="3">
        <f t="shared" si="10"/>
        <v>10</v>
      </c>
    </row>
    <row r="691" spans="1:5" x14ac:dyDescent="0.2">
      <c r="A691" s="1" t="s">
        <v>30</v>
      </c>
      <c r="E691" s="3">
        <f t="shared" si="10"/>
        <v>10</v>
      </c>
    </row>
    <row r="692" spans="1:5" x14ac:dyDescent="0.2">
      <c r="A692" s="1" t="s">
        <v>1</v>
      </c>
      <c r="B692" s="1" t="s">
        <v>2</v>
      </c>
      <c r="C692" s="1" t="s">
        <v>3</v>
      </c>
      <c r="D692" s="1" t="s">
        <v>4</v>
      </c>
      <c r="E692" s="3">
        <f t="shared" si="10"/>
        <v>10</v>
      </c>
    </row>
    <row r="693" spans="1:5" x14ac:dyDescent="0.2">
      <c r="A693">
        <v>1</v>
      </c>
      <c r="B693" t="s">
        <v>33</v>
      </c>
      <c r="C693">
        <v>1</v>
      </c>
      <c r="D693">
        <v>16</v>
      </c>
      <c r="E693" s="3">
        <f t="shared" si="10"/>
        <v>10</v>
      </c>
    </row>
    <row r="694" spans="1:5" x14ac:dyDescent="0.2">
      <c r="A694">
        <v>2</v>
      </c>
      <c r="B694" t="s">
        <v>50</v>
      </c>
      <c r="C694">
        <v>2</v>
      </c>
      <c r="D694">
        <v>12</v>
      </c>
      <c r="E694" s="3">
        <f t="shared" si="10"/>
        <v>10</v>
      </c>
    </row>
    <row r="695" spans="1:5" x14ac:dyDescent="0.2">
      <c r="A695">
        <v>3</v>
      </c>
      <c r="B695" t="s">
        <v>22</v>
      </c>
      <c r="C695">
        <v>0</v>
      </c>
      <c r="D695">
        <v>8</v>
      </c>
      <c r="E695" s="3">
        <f t="shared" si="10"/>
        <v>10</v>
      </c>
    </row>
    <row r="696" spans="1:5" x14ac:dyDescent="0.2">
      <c r="A696">
        <v>4</v>
      </c>
      <c r="B696" t="s">
        <v>8</v>
      </c>
      <c r="C696">
        <v>1</v>
      </c>
      <c r="D696">
        <v>4</v>
      </c>
      <c r="E696" s="3">
        <f t="shared" si="10"/>
        <v>10</v>
      </c>
    </row>
    <row r="697" spans="1:5" x14ac:dyDescent="0.2">
      <c r="A697">
        <v>5</v>
      </c>
      <c r="B697" t="s">
        <v>21</v>
      </c>
      <c r="C697">
        <v>1</v>
      </c>
      <c r="D697">
        <v>2</v>
      </c>
      <c r="E697" s="3">
        <f t="shared" si="10"/>
        <v>10</v>
      </c>
    </row>
    <row r="698" spans="1:5" x14ac:dyDescent="0.2">
      <c r="A698">
        <v>6</v>
      </c>
      <c r="B698" t="s">
        <v>14</v>
      </c>
      <c r="C698">
        <v>0</v>
      </c>
      <c r="D698">
        <v>1</v>
      </c>
      <c r="E698" s="3">
        <f t="shared" si="10"/>
        <v>10</v>
      </c>
    </row>
    <row r="699" spans="1:5" x14ac:dyDescent="0.2">
      <c r="A699">
        <v>7</v>
      </c>
      <c r="B699" s="2" t="s">
        <v>10</v>
      </c>
      <c r="C699" s="2" t="s">
        <v>10</v>
      </c>
      <c r="D699" s="2" t="s">
        <v>10</v>
      </c>
      <c r="E699" s="3">
        <f t="shared" si="10"/>
        <v>10</v>
      </c>
    </row>
    <row r="700" spans="1:5" x14ac:dyDescent="0.2">
      <c r="A700">
        <v>8</v>
      </c>
      <c r="B700" s="2" t="s">
        <v>10</v>
      </c>
      <c r="C700" s="2" t="s">
        <v>10</v>
      </c>
      <c r="D700" s="2" t="s">
        <v>10</v>
      </c>
      <c r="E700" s="3">
        <f t="shared" si="10"/>
        <v>10</v>
      </c>
    </row>
    <row r="701" spans="1:5" x14ac:dyDescent="0.2">
      <c r="A701" s="1" t="s">
        <v>37</v>
      </c>
      <c r="E701" s="3">
        <f t="shared" si="10"/>
        <v>10</v>
      </c>
    </row>
    <row r="702" spans="1:5" x14ac:dyDescent="0.2">
      <c r="A702" s="1" t="s">
        <v>1</v>
      </c>
      <c r="B702" s="1" t="s">
        <v>2</v>
      </c>
      <c r="C702" s="1" t="s">
        <v>3</v>
      </c>
      <c r="D702" s="1" t="s">
        <v>4</v>
      </c>
      <c r="E702" s="3">
        <f t="shared" si="10"/>
        <v>10</v>
      </c>
    </row>
    <row r="703" spans="1:5" x14ac:dyDescent="0.2">
      <c r="A703">
        <v>1</v>
      </c>
      <c r="B703" t="s">
        <v>73</v>
      </c>
      <c r="C703">
        <v>2</v>
      </c>
      <c r="D703">
        <v>17</v>
      </c>
      <c r="E703" s="3">
        <f t="shared" si="10"/>
        <v>10</v>
      </c>
    </row>
    <row r="704" spans="1:5" x14ac:dyDescent="0.2">
      <c r="A704">
        <v>2</v>
      </c>
      <c r="B704" t="s">
        <v>28</v>
      </c>
      <c r="C704">
        <v>2</v>
      </c>
      <c r="D704">
        <v>13</v>
      </c>
      <c r="E704" s="3">
        <f t="shared" si="10"/>
        <v>10</v>
      </c>
    </row>
    <row r="705" spans="1:5" x14ac:dyDescent="0.2">
      <c r="A705">
        <v>3</v>
      </c>
      <c r="B705" t="s">
        <v>66</v>
      </c>
      <c r="C705">
        <v>2</v>
      </c>
      <c r="D705">
        <v>9</v>
      </c>
      <c r="E705" s="3">
        <f t="shared" si="10"/>
        <v>10</v>
      </c>
    </row>
    <row r="706" spans="1:5" x14ac:dyDescent="0.2">
      <c r="A706">
        <v>4</v>
      </c>
      <c r="B706" t="s">
        <v>39</v>
      </c>
      <c r="C706">
        <v>0</v>
      </c>
      <c r="D706">
        <v>5</v>
      </c>
      <c r="E706" s="3">
        <f t="shared" si="10"/>
        <v>10</v>
      </c>
    </row>
    <row r="707" spans="1:5" x14ac:dyDescent="0.2">
      <c r="A707">
        <v>5</v>
      </c>
      <c r="B707" t="s">
        <v>25</v>
      </c>
      <c r="C707">
        <v>0</v>
      </c>
      <c r="D707">
        <v>3</v>
      </c>
      <c r="E707" s="3">
        <f t="shared" si="10"/>
        <v>10</v>
      </c>
    </row>
    <row r="708" spans="1:5" x14ac:dyDescent="0.2">
      <c r="A708">
        <v>6</v>
      </c>
      <c r="B708" t="s">
        <v>61</v>
      </c>
      <c r="C708">
        <v>0</v>
      </c>
      <c r="D708">
        <v>2</v>
      </c>
      <c r="E708" s="3">
        <f t="shared" si="10"/>
        <v>10</v>
      </c>
    </row>
    <row r="709" spans="1:5" x14ac:dyDescent="0.2">
      <c r="A709">
        <v>7</v>
      </c>
      <c r="B709" t="s">
        <v>172</v>
      </c>
      <c r="C709">
        <v>0</v>
      </c>
      <c r="D709">
        <v>1</v>
      </c>
      <c r="E709" s="3">
        <f t="shared" si="10"/>
        <v>10</v>
      </c>
    </row>
    <row r="710" spans="1:5" x14ac:dyDescent="0.2">
      <c r="A710">
        <v>8</v>
      </c>
      <c r="B710" s="2" t="s">
        <v>10</v>
      </c>
      <c r="C710" s="2" t="s">
        <v>10</v>
      </c>
      <c r="D710" s="2" t="s">
        <v>10</v>
      </c>
      <c r="E710" s="3">
        <f t="shared" si="10"/>
        <v>10</v>
      </c>
    </row>
    <row r="711" spans="1:5" x14ac:dyDescent="0.2">
      <c r="A711" s="1" t="s">
        <v>44</v>
      </c>
      <c r="E711" s="3">
        <f t="shared" si="10"/>
        <v>10</v>
      </c>
    </row>
    <row r="712" spans="1:5" x14ac:dyDescent="0.2">
      <c r="A712" s="1" t="s">
        <v>1</v>
      </c>
      <c r="B712" s="1" t="s">
        <v>2</v>
      </c>
      <c r="C712" s="1" t="s">
        <v>3</v>
      </c>
      <c r="D712" s="1" t="s">
        <v>4</v>
      </c>
      <c r="E712" s="3">
        <f t="shared" si="10"/>
        <v>10</v>
      </c>
    </row>
    <row r="713" spans="1:5" x14ac:dyDescent="0.2">
      <c r="A713">
        <v>1</v>
      </c>
      <c r="B713" t="s">
        <v>54</v>
      </c>
      <c r="C713">
        <v>3</v>
      </c>
      <c r="D713">
        <v>16</v>
      </c>
      <c r="E713" s="3">
        <f t="shared" si="10"/>
        <v>10</v>
      </c>
    </row>
    <row r="714" spans="1:5" x14ac:dyDescent="0.2">
      <c r="A714">
        <v>2</v>
      </c>
      <c r="B714" t="s">
        <v>41</v>
      </c>
      <c r="C714">
        <v>0</v>
      </c>
      <c r="D714">
        <v>12</v>
      </c>
      <c r="E714" s="3">
        <f t="shared" si="10"/>
        <v>10</v>
      </c>
    </row>
    <row r="715" spans="1:5" x14ac:dyDescent="0.2">
      <c r="A715">
        <v>3</v>
      </c>
      <c r="B715" t="s">
        <v>43</v>
      </c>
      <c r="C715">
        <v>1</v>
      </c>
      <c r="D715">
        <v>8</v>
      </c>
      <c r="E715" s="3">
        <f t="shared" si="10"/>
        <v>10</v>
      </c>
    </row>
    <row r="716" spans="1:5" x14ac:dyDescent="0.2">
      <c r="A716">
        <v>4</v>
      </c>
      <c r="B716" t="s">
        <v>67</v>
      </c>
      <c r="C716">
        <v>1</v>
      </c>
      <c r="D716">
        <v>4</v>
      </c>
      <c r="E716" s="3">
        <f t="shared" si="10"/>
        <v>10</v>
      </c>
    </row>
    <row r="717" spans="1:5" x14ac:dyDescent="0.2">
      <c r="A717">
        <v>5</v>
      </c>
      <c r="B717" t="s">
        <v>45</v>
      </c>
      <c r="C717">
        <v>0</v>
      </c>
      <c r="D717">
        <v>2</v>
      </c>
      <c r="E717" s="3">
        <f t="shared" si="10"/>
        <v>10</v>
      </c>
    </row>
    <row r="718" spans="1:5" x14ac:dyDescent="0.2">
      <c r="A718">
        <v>6</v>
      </c>
      <c r="B718" t="s">
        <v>42</v>
      </c>
      <c r="C718">
        <v>0</v>
      </c>
      <c r="D718">
        <v>1</v>
      </c>
      <c r="E718" s="3">
        <f t="shared" si="10"/>
        <v>10</v>
      </c>
    </row>
    <row r="719" spans="1:5" x14ac:dyDescent="0.2">
      <c r="A719">
        <v>7</v>
      </c>
      <c r="B719" s="2" t="s">
        <v>10</v>
      </c>
      <c r="C719" s="2" t="s">
        <v>10</v>
      </c>
      <c r="D719" s="2" t="s">
        <v>10</v>
      </c>
      <c r="E719" s="3">
        <f t="shared" si="10"/>
        <v>10</v>
      </c>
    </row>
    <row r="720" spans="1:5" x14ac:dyDescent="0.2">
      <c r="A720">
        <v>8</v>
      </c>
      <c r="B720" s="2" t="s">
        <v>10</v>
      </c>
      <c r="C720" s="2" t="s">
        <v>10</v>
      </c>
      <c r="D720" s="2" t="s">
        <v>10</v>
      </c>
      <c r="E720" s="3">
        <f t="shared" si="10"/>
        <v>10</v>
      </c>
    </row>
    <row r="721" spans="1:5" x14ac:dyDescent="0.2">
      <c r="A721" s="1" t="s">
        <v>0</v>
      </c>
      <c r="E721" s="3">
        <f t="shared" si="10"/>
        <v>11</v>
      </c>
    </row>
    <row r="722" spans="1:5" x14ac:dyDescent="0.2">
      <c r="A722" s="1" t="s">
        <v>1</v>
      </c>
      <c r="B722" s="1" t="s">
        <v>2</v>
      </c>
      <c r="C722" s="1" t="s">
        <v>3</v>
      </c>
      <c r="D722" s="1" t="s">
        <v>4</v>
      </c>
      <c r="E722" s="3">
        <f t="shared" si="10"/>
        <v>11</v>
      </c>
    </row>
    <row r="723" spans="1:5" x14ac:dyDescent="0.2">
      <c r="A723">
        <v>1</v>
      </c>
      <c r="B723" t="s">
        <v>68</v>
      </c>
      <c r="C723">
        <v>3</v>
      </c>
      <c r="D723">
        <v>16</v>
      </c>
      <c r="E723" s="3">
        <f t="shared" si="10"/>
        <v>11</v>
      </c>
    </row>
    <row r="724" spans="1:5" x14ac:dyDescent="0.2">
      <c r="A724">
        <v>2</v>
      </c>
      <c r="B724" t="s">
        <v>75</v>
      </c>
      <c r="C724">
        <v>1</v>
      </c>
      <c r="D724">
        <v>12</v>
      </c>
      <c r="E724" s="3">
        <f t="shared" si="10"/>
        <v>11</v>
      </c>
    </row>
    <row r="725" spans="1:5" x14ac:dyDescent="0.2">
      <c r="A725">
        <v>3</v>
      </c>
      <c r="B725" t="s">
        <v>50</v>
      </c>
      <c r="C725">
        <v>0</v>
      </c>
      <c r="D725">
        <v>8</v>
      </c>
      <c r="E725" s="3">
        <f t="shared" si="10"/>
        <v>11</v>
      </c>
    </row>
    <row r="726" spans="1:5" x14ac:dyDescent="0.2">
      <c r="A726">
        <v>4</v>
      </c>
      <c r="B726" t="s">
        <v>69</v>
      </c>
      <c r="C726">
        <v>1</v>
      </c>
      <c r="D726">
        <v>4</v>
      </c>
      <c r="E726" s="3">
        <f t="shared" si="10"/>
        <v>11</v>
      </c>
    </row>
    <row r="727" spans="1:5" x14ac:dyDescent="0.2">
      <c r="A727">
        <v>5</v>
      </c>
      <c r="B727" t="s">
        <v>25</v>
      </c>
      <c r="C727">
        <v>0</v>
      </c>
      <c r="D727">
        <v>2</v>
      </c>
      <c r="E727" s="3">
        <f t="shared" si="10"/>
        <v>11</v>
      </c>
    </row>
    <row r="728" spans="1:5" x14ac:dyDescent="0.2">
      <c r="A728">
        <v>6</v>
      </c>
      <c r="B728" t="s">
        <v>305</v>
      </c>
      <c r="C728">
        <v>0</v>
      </c>
      <c r="D728">
        <v>1</v>
      </c>
      <c r="E728" s="3">
        <f t="shared" si="10"/>
        <v>11</v>
      </c>
    </row>
    <row r="729" spans="1:5" x14ac:dyDescent="0.2">
      <c r="A729">
        <v>7</v>
      </c>
      <c r="B729" s="2" t="s">
        <v>10</v>
      </c>
      <c r="C729" s="2" t="s">
        <v>10</v>
      </c>
      <c r="D729" s="2" t="s">
        <v>10</v>
      </c>
      <c r="E729" s="3">
        <f t="shared" si="10"/>
        <v>11</v>
      </c>
    </row>
    <row r="730" spans="1:5" x14ac:dyDescent="0.2">
      <c r="A730">
        <v>8</v>
      </c>
      <c r="B730" s="2" t="s">
        <v>10</v>
      </c>
      <c r="C730" s="2" t="s">
        <v>10</v>
      </c>
      <c r="D730" s="2" t="s">
        <v>10</v>
      </c>
      <c r="E730" s="3">
        <f t="shared" si="10"/>
        <v>11</v>
      </c>
    </row>
    <row r="731" spans="1:5" x14ac:dyDescent="0.2">
      <c r="A731" s="1" t="s">
        <v>11</v>
      </c>
      <c r="E731" s="3">
        <f t="shared" si="10"/>
        <v>11</v>
      </c>
    </row>
    <row r="732" spans="1:5" x14ac:dyDescent="0.2">
      <c r="A732" s="1" t="s">
        <v>1</v>
      </c>
      <c r="B732" s="1" t="s">
        <v>2</v>
      </c>
      <c r="C732" s="1" t="s">
        <v>3</v>
      </c>
      <c r="D732" s="1" t="s">
        <v>4</v>
      </c>
      <c r="E732" s="3">
        <f t="shared" si="10"/>
        <v>11</v>
      </c>
    </row>
    <row r="733" spans="1:5" x14ac:dyDescent="0.2">
      <c r="A733">
        <v>1</v>
      </c>
      <c r="B733" t="s">
        <v>61</v>
      </c>
      <c r="C733">
        <v>2</v>
      </c>
      <c r="D733">
        <v>16</v>
      </c>
      <c r="E733" s="3">
        <f t="shared" si="10"/>
        <v>11</v>
      </c>
    </row>
    <row r="734" spans="1:5" x14ac:dyDescent="0.2">
      <c r="A734">
        <v>2</v>
      </c>
      <c r="B734" t="s">
        <v>8</v>
      </c>
      <c r="C734">
        <v>2</v>
      </c>
      <c r="D734">
        <v>12</v>
      </c>
      <c r="E734" s="3">
        <f t="shared" si="10"/>
        <v>11</v>
      </c>
    </row>
    <row r="735" spans="1:5" x14ac:dyDescent="0.2">
      <c r="A735">
        <v>3</v>
      </c>
      <c r="B735" t="s">
        <v>28</v>
      </c>
      <c r="C735">
        <v>1</v>
      </c>
      <c r="D735">
        <v>8</v>
      </c>
      <c r="E735" s="3">
        <f t="shared" si="10"/>
        <v>11</v>
      </c>
    </row>
    <row r="736" spans="1:5" x14ac:dyDescent="0.2">
      <c r="A736">
        <v>4</v>
      </c>
      <c r="B736" t="s">
        <v>45</v>
      </c>
      <c r="C736">
        <v>0</v>
      </c>
      <c r="D736">
        <v>4</v>
      </c>
      <c r="E736" s="3">
        <f t="shared" ref="E736:E799" si="11">IF(A736=$A$1,E735+1,E735)</f>
        <v>11</v>
      </c>
    </row>
    <row r="737" spans="1:5" x14ac:dyDescent="0.2">
      <c r="A737">
        <v>5</v>
      </c>
      <c r="B737" t="s">
        <v>46</v>
      </c>
      <c r="C737">
        <v>0</v>
      </c>
      <c r="D737">
        <v>2</v>
      </c>
      <c r="E737" s="3">
        <f t="shared" si="11"/>
        <v>11</v>
      </c>
    </row>
    <row r="738" spans="1:5" x14ac:dyDescent="0.2">
      <c r="A738">
        <v>6</v>
      </c>
      <c r="B738" t="s">
        <v>92</v>
      </c>
      <c r="C738">
        <v>0</v>
      </c>
      <c r="D738">
        <v>1</v>
      </c>
      <c r="E738" s="3">
        <f t="shared" si="11"/>
        <v>11</v>
      </c>
    </row>
    <row r="739" spans="1:5" x14ac:dyDescent="0.2">
      <c r="A739">
        <v>7</v>
      </c>
      <c r="B739" s="2" t="s">
        <v>10</v>
      </c>
      <c r="C739" s="2" t="s">
        <v>10</v>
      </c>
      <c r="D739" s="2" t="s">
        <v>10</v>
      </c>
      <c r="E739" s="3">
        <f t="shared" si="11"/>
        <v>11</v>
      </c>
    </row>
    <row r="740" spans="1:5" x14ac:dyDescent="0.2">
      <c r="A740">
        <v>8</v>
      </c>
      <c r="B740" s="2" t="s">
        <v>10</v>
      </c>
      <c r="C740" s="2" t="s">
        <v>10</v>
      </c>
      <c r="D740" s="2" t="s">
        <v>10</v>
      </c>
      <c r="E740" s="3">
        <f t="shared" si="11"/>
        <v>11</v>
      </c>
    </row>
    <row r="741" spans="1:5" x14ac:dyDescent="0.2">
      <c r="A741" s="1" t="s">
        <v>17</v>
      </c>
      <c r="E741" s="3">
        <f t="shared" si="11"/>
        <v>11</v>
      </c>
    </row>
    <row r="742" spans="1:5" x14ac:dyDescent="0.2">
      <c r="A742" s="1" t="s">
        <v>1</v>
      </c>
      <c r="B742" s="1" t="s">
        <v>2</v>
      </c>
      <c r="C742" s="1" t="s">
        <v>3</v>
      </c>
      <c r="D742" s="1" t="s">
        <v>4</v>
      </c>
      <c r="E742" s="3">
        <f t="shared" si="11"/>
        <v>11</v>
      </c>
    </row>
    <row r="743" spans="1:5" x14ac:dyDescent="0.2">
      <c r="A743">
        <v>1</v>
      </c>
      <c r="B743" t="s">
        <v>9</v>
      </c>
      <c r="C743">
        <v>4</v>
      </c>
      <c r="D743">
        <v>16</v>
      </c>
      <c r="E743" s="3">
        <f t="shared" si="11"/>
        <v>11</v>
      </c>
    </row>
    <row r="744" spans="1:5" x14ac:dyDescent="0.2">
      <c r="A744">
        <v>2</v>
      </c>
      <c r="B744" t="s">
        <v>21</v>
      </c>
      <c r="C744">
        <v>1</v>
      </c>
      <c r="D744">
        <v>12</v>
      </c>
      <c r="E744" s="3">
        <f t="shared" si="11"/>
        <v>11</v>
      </c>
    </row>
    <row r="745" spans="1:5" x14ac:dyDescent="0.2">
      <c r="A745">
        <v>3</v>
      </c>
      <c r="B745" t="s">
        <v>14</v>
      </c>
      <c r="C745">
        <v>0</v>
      </c>
      <c r="D745">
        <v>8</v>
      </c>
      <c r="E745" s="3">
        <f t="shared" si="11"/>
        <v>11</v>
      </c>
    </row>
    <row r="746" spans="1:5" x14ac:dyDescent="0.2">
      <c r="A746">
        <v>4</v>
      </c>
      <c r="B746" t="s">
        <v>26</v>
      </c>
      <c r="C746">
        <v>0</v>
      </c>
      <c r="D746">
        <v>4</v>
      </c>
      <c r="E746" s="3">
        <f t="shared" si="11"/>
        <v>11</v>
      </c>
    </row>
    <row r="747" spans="1:5" x14ac:dyDescent="0.2">
      <c r="A747">
        <v>5</v>
      </c>
      <c r="B747" t="s">
        <v>33</v>
      </c>
      <c r="C747">
        <v>0</v>
      </c>
      <c r="D747">
        <v>2</v>
      </c>
      <c r="E747" s="3">
        <f t="shared" si="11"/>
        <v>11</v>
      </c>
    </row>
    <row r="748" spans="1:5" x14ac:dyDescent="0.2">
      <c r="A748">
        <v>6</v>
      </c>
      <c r="B748" t="s">
        <v>102</v>
      </c>
      <c r="C748">
        <v>0</v>
      </c>
      <c r="D748">
        <v>1</v>
      </c>
      <c r="E748" s="3">
        <f t="shared" si="11"/>
        <v>11</v>
      </c>
    </row>
    <row r="749" spans="1:5" x14ac:dyDescent="0.2">
      <c r="A749">
        <v>7</v>
      </c>
      <c r="B749" s="2" t="s">
        <v>10</v>
      </c>
      <c r="C749" s="2" t="s">
        <v>10</v>
      </c>
      <c r="D749" s="2" t="s">
        <v>10</v>
      </c>
      <c r="E749" s="3">
        <f t="shared" si="11"/>
        <v>11</v>
      </c>
    </row>
    <row r="750" spans="1:5" x14ac:dyDescent="0.2">
      <c r="A750">
        <v>8</v>
      </c>
      <c r="B750" s="2" t="s">
        <v>10</v>
      </c>
      <c r="C750" s="2" t="s">
        <v>10</v>
      </c>
      <c r="D750" s="2" t="s">
        <v>10</v>
      </c>
      <c r="E750" s="3">
        <f t="shared" si="11"/>
        <v>11</v>
      </c>
    </row>
    <row r="751" spans="1:5" x14ac:dyDescent="0.2">
      <c r="A751" s="1" t="s">
        <v>24</v>
      </c>
      <c r="E751" s="3">
        <f t="shared" si="11"/>
        <v>11</v>
      </c>
    </row>
    <row r="752" spans="1:5" x14ac:dyDescent="0.2">
      <c r="A752" s="1" t="s">
        <v>1</v>
      </c>
      <c r="B752" s="1" t="s">
        <v>2</v>
      </c>
      <c r="C752" s="1" t="s">
        <v>3</v>
      </c>
      <c r="D752" s="1" t="s">
        <v>4</v>
      </c>
      <c r="E752" s="3">
        <f t="shared" si="11"/>
        <v>11</v>
      </c>
    </row>
    <row r="753" spans="1:5" x14ac:dyDescent="0.2">
      <c r="A753">
        <v>1</v>
      </c>
      <c r="B753" t="s">
        <v>55</v>
      </c>
      <c r="C753">
        <v>4</v>
      </c>
      <c r="D753">
        <v>16</v>
      </c>
      <c r="E753" s="3">
        <f t="shared" si="11"/>
        <v>11</v>
      </c>
    </row>
    <row r="754" spans="1:5" x14ac:dyDescent="0.2">
      <c r="A754">
        <v>2</v>
      </c>
      <c r="B754" t="s">
        <v>19</v>
      </c>
      <c r="C754">
        <v>0</v>
      </c>
      <c r="D754">
        <v>12</v>
      </c>
      <c r="E754" s="3">
        <f t="shared" si="11"/>
        <v>11</v>
      </c>
    </row>
    <row r="755" spans="1:5" x14ac:dyDescent="0.2">
      <c r="A755">
        <v>3</v>
      </c>
      <c r="B755" t="s">
        <v>35</v>
      </c>
      <c r="C755">
        <v>1</v>
      </c>
      <c r="D755">
        <v>8</v>
      </c>
      <c r="E755" s="3">
        <f t="shared" si="11"/>
        <v>11</v>
      </c>
    </row>
    <row r="756" spans="1:5" x14ac:dyDescent="0.2">
      <c r="A756">
        <v>4</v>
      </c>
      <c r="B756" t="s">
        <v>31</v>
      </c>
      <c r="C756">
        <v>0</v>
      </c>
      <c r="D756">
        <v>4</v>
      </c>
      <c r="E756" s="3">
        <f t="shared" si="11"/>
        <v>11</v>
      </c>
    </row>
    <row r="757" spans="1:5" x14ac:dyDescent="0.2">
      <c r="A757">
        <v>5</v>
      </c>
      <c r="B757" t="s">
        <v>88</v>
      </c>
      <c r="C757">
        <v>0</v>
      </c>
      <c r="D757">
        <v>2</v>
      </c>
      <c r="E757" s="3">
        <f t="shared" si="11"/>
        <v>11</v>
      </c>
    </row>
    <row r="758" spans="1:5" x14ac:dyDescent="0.2">
      <c r="A758">
        <v>6</v>
      </c>
      <c r="B758" t="s">
        <v>74</v>
      </c>
      <c r="C758">
        <v>0</v>
      </c>
      <c r="D758">
        <v>1</v>
      </c>
      <c r="E758" s="3">
        <f t="shared" si="11"/>
        <v>11</v>
      </c>
    </row>
    <row r="759" spans="1:5" x14ac:dyDescent="0.2">
      <c r="A759">
        <v>7</v>
      </c>
      <c r="B759" s="2" t="s">
        <v>10</v>
      </c>
      <c r="C759" s="2" t="s">
        <v>10</v>
      </c>
      <c r="D759" s="2" t="s">
        <v>10</v>
      </c>
      <c r="E759" s="3">
        <f t="shared" si="11"/>
        <v>11</v>
      </c>
    </row>
    <row r="760" spans="1:5" x14ac:dyDescent="0.2">
      <c r="A760">
        <v>8</v>
      </c>
      <c r="B760" s="2" t="s">
        <v>10</v>
      </c>
      <c r="C760" s="2" t="s">
        <v>10</v>
      </c>
      <c r="D760" s="2" t="s">
        <v>10</v>
      </c>
      <c r="E760" s="3">
        <f t="shared" si="11"/>
        <v>11</v>
      </c>
    </row>
    <row r="761" spans="1:5" x14ac:dyDescent="0.2">
      <c r="A761" s="1" t="s">
        <v>30</v>
      </c>
      <c r="E761" s="3">
        <f t="shared" si="11"/>
        <v>11</v>
      </c>
    </row>
    <row r="762" spans="1:5" x14ac:dyDescent="0.2">
      <c r="A762" s="1" t="s">
        <v>1</v>
      </c>
      <c r="B762" s="1" t="s">
        <v>2</v>
      </c>
      <c r="C762" s="1" t="s">
        <v>3</v>
      </c>
      <c r="D762" s="1" t="s">
        <v>4</v>
      </c>
      <c r="E762" s="3">
        <f t="shared" si="11"/>
        <v>11</v>
      </c>
    </row>
    <row r="763" spans="1:5" x14ac:dyDescent="0.2">
      <c r="A763">
        <v>1</v>
      </c>
      <c r="B763" t="s">
        <v>52</v>
      </c>
      <c r="C763">
        <v>2</v>
      </c>
      <c r="D763">
        <v>16</v>
      </c>
      <c r="E763" s="3">
        <f t="shared" si="11"/>
        <v>11</v>
      </c>
    </row>
    <row r="764" spans="1:5" x14ac:dyDescent="0.2">
      <c r="A764">
        <v>2</v>
      </c>
      <c r="B764" t="s">
        <v>41</v>
      </c>
      <c r="C764">
        <v>1</v>
      </c>
      <c r="D764">
        <v>12</v>
      </c>
      <c r="E764" s="3">
        <f t="shared" si="11"/>
        <v>11</v>
      </c>
    </row>
    <row r="765" spans="1:5" x14ac:dyDescent="0.2">
      <c r="A765">
        <v>3</v>
      </c>
      <c r="B765" t="s">
        <v>12</v>
      </c>
      <c r="C765">
        <v>2</v>
      </c>
      <c r="D765">
        <v>8</v>
      </c>
      <c r="E765" s="3">
        <f t="shared" si="11"/>
        <v>11</v>
      </c>
    </row>
    <row r="766" spans="1:5" x14ac:dyDescent="0.2">
      <c r="A766">
        <v>4</v>
      </c>
      <c r="B766" t="s">
        <v>39</v>
      </c>
      <c r="C766">
        <v>0</v>
      </c>
      <c r="D766">
        <v>4</v>
      </c>
      <c r="E766" s="3">
        <f t="shared" si="11"/>
        <v>11</v>
      </c>
    </row>
    <row r="767" spans="1:5" x14ac:dyDescent="0.2">
      <c r="A767">
        <v>5</v>
      </c>
      <c r="B767" t="s">
        <v>18</v>
      </c>
      <c r="C767">
        <v>0</v>
      </c>
      <c r="D767">
        <v>2</v>
      </c>
      <c r="E767" s="3">
        <f t="shared" si="11"/>
        <v>11</v>
      </c>
    </row>
    <row r="768" spans="1:5" x14ac:dyDescent="0.2">
      <c r="A768">
        <v>6</v>
      </c>
      <c r="B768" t="s">
        <v>47</v>
      </c>
      <c r="C768">
        <v>0</v>
      </c>
      <c r="D768">
        <v>1</v>
      </c>
      <c r="E768" s="3">
        <f t="shared" si="11"/>
        <v>11</v>
      </c>
    </row>
    <row r="769" spans="1:5" x14ac:dyDescent="0.2">
      <c r="A769">
        <v>7</v>
      </c>
      <c r="B769" s="2" t="s">
        <v>10</v>
      </c>
      <c r="C769" s="2" t="s">
        <v>10</v>
      </c>
      <c r="D769" s="2" t="s">
        <v>10</v>
      </c>
      <c r="E769" s="3">
        <f t="shared" si="11"/>
        <v>11</v>
      </c>
    </row>
    <row r="770" spans="1:5" x14ac:dyDescent="0.2">
      <c r="A770">
        <v>8</v>
      </c>
      <c r="B770" s="2" t="s">
        <v>10</v>
      </c>
      <c r="C770" s="2" t="s">
        <v>10</v>
      </c>
      <c r="D770" s="2" t="s">
        <v>10</v>
      </c>
      <c r="E770" s="3">
        <f t="shared" si="11"/>
        <v>11</v>
      </c>
    </row>
    <row r="771" spans="1:5" x14ac:dyDescent="0.2">
      <c r="A771" s="1" t="s">
        <v>37</v>
      </c>
      <c r="E771" s="3">
        <f t="shared" si="11"/>
        <v>11</v>
      </c>
    </row>
    <row r="772" spans="1:5" x14ac:dyDescent="0.2">
      <c r="A772" s="1" t="s">
        <v>1</v>
      </c>
      <c r="B772" s="1" t="s">
        <v>2</v>
      </c>
      <c r="C772" s="1" t="s">
        <v>3</v>
      </c>
      <c r="D772" s="1" t="s">
        <v>4</v>
      </c>
      <c r="E772" s="3">
        <f t="shared" si="11"/>
        <v>11</v>
      </c>
    </row>
    <row r="773" spans="1:5" x14ac:dyDescent="0.2">
      <c r="A773">
        <v>1</v>
      </c>
      <c r="B773" t="s">
        <v>344</v>
      </c>
      <c r="C773">
        <v>3</v>
      </c>
      <c r="D773">
        <v>16</v>
      </c>
      <c r="E773" s="3">
        <f t="shared" si="11"/>
        <v>11</v>
      </c>
    </row>
    <row r="774" spans="1:5" x14ac:dyDescent="0.2">
      <c r="A774">
        <v>2</v>
      </c>
      <c r="B774" t="s">
        <v>76</v>
      </c>
      <c r="C774">
        <v>0</v>
      </c>
      <c r="D774">
        <v>12</v>
      </c>
      <c r="E774" s="3">
        <f t="shared" si="11"/>
        <v>11</v>
      </c>
    </row>
    <row r="775" spans="1:5" x14ac:dyDescent="0.2">
      <c r="A775">
        <v>3</v>
      </c>
      <c r="B775" t="s">
        <v>65</v>
      </c>
      <c r="C775">
        <v>2</v>
      </c>
      <c r="D775">
        <v>8</v>
      </c>
      <c r="E775" s="3">
        <f t="shared" si="11"/>
        <v>11</v>
      </c>
    </row>
    <row r="776" spans="1:5" x14ac:dyDescent="0.2">
      <c r="A776">
        <v>4</v>
      </c>
      <c r="B776" t="s">
        <v>6</v>
      </c>
      <c r="C776">
        <v>0</v>
      </c>
      <c r="D776">
        <v>4</v>
      </c>
      <c r="E776" s="3">
        <f t="shared" si="11"/>
        <v>11</v>
      </c>
    </row>
    <row r="777" spans="1:5" x14ac:dyDescent="0.2">
      <c r="A777">
        <v>5</v>
      </c>
      <c r="B777" t="s">
        <v>32</v>
      </c>
      <c r="C777">
        <v>0</v>
      </c>
      <c r="D777">
        <v>2</v>
      </c>
      <c r="E777" s="3">
        <f t="shared" si="11"/>
        <v>11</v>
      </c>
    </row>
    <row r="778" spans="1:5" x14ac:dyDescent="0.2">
      <c r="A778">
        <v>6</v>
      </c>
      <c r="B778" t="s">
        <v>87</v>
      </c>
      <c r="C778">
        <v>0</v>
      </c>
      <c r="D778">
        <v>1</v>
      </c>
      <c r="E778" s="3">
        <f t="shared" si="11"/>
        <v>11</v>
      </c>
    </row>
    <row r="779" spans="1:5" x14ac:dyDescent="0.2">
      <c r="A779">
        <v>7</v>
      </c>
      <c r="B779" s="2" t="s">
        <v>10</v>
      </c>
      <c r="C779" s="2" t="s">
        <v>10</v>
      </c>
      <c r="D779" s="2" t="s">
        <v>10</v>
      </c>
      <c r="E779" s="3">
        <f t="shared" si="11"/>
        <v>11</v>
      </c>
    </row>
    <row r="780" spans="1:5" x14ac:dyDescent="0.2">
      <c r="A780">
        <v>8</v>
      </c>
      <c r="B780" s="2" t="s">
        <v>10</v>
      </c>
      <c r="C780" s="2" t="s">
        <v>10</v>
      </c>
      <c r="D780" s="2" t="s">
        <v>10</v>
      </c>
      <c r="E780" s="3">
        <f t="shared" si="11"/>
        <v>11</v>
      </c>
    </row>
    <row r="781" spans="1:5" x14ac:dyDescent="0.2">
      <c r="A781" s="1" t="s">
        <v>44</v>
      </c>
      <c r="E781" s="3">
        <f t="shared" si="11"/>
        <v>11</v>
      </c>
    </row>
    <row r="782" spans="1:5" x14ac:dyDescent="0.2">
      <c r="A782" s="1" t="s">
        <v>1</v>
      </c>
      <c r="B782" s="1" t="s">
        <v>2</v>
      </c>
      <c r="C782" s="1" t="s">
        <v>3</v>
      </c>
      <c r="D782" s="1" t="s">
        <v>4</v>
      </c>
      <c r="E782" s="3">
        <f t="shared" si="11"/>
        <v>11</v>
      </c>
    </row>
    <row r="783" spans="1:5" x14ac:dyDescent="0.2">
      <c r="A783">
        <v>1</v>
      </c>
      <c r="B783" t="s">
        <v>73</v>
      </c>
      <c r="C783">
        <v>4</v>
      </c>
      <c r="D783">
        <v>16</v>
      </c>
      <c r="E783" s="3">
        <f t="shared" si="11"/>
        <v>11</v>
      </c>
    </row>
    <row r="784" spans="1:5" x14ac:dyDescent="0.2">
      <c r="A784">
        <v>2</v>
      </c>
      <c r="B784" t="s">
        <v>54</v>
      </c>
      <c r="C784">
        <v>0</v>
      </c>
      <c r="D784">
        <v>12</v>
      </c>
      <c r="E784" s="3">
        <f t="shared" si="11"/>
        <v>11</v>
      </c>
    </row>
    <row r="785" spans="1:5" x14ac:dyDescent="0.2">
      <c r="A785">
        <v>3</v>
      </c>
      <c r="B785" t="s">
        <v>66</v>
      </c>
      <c r="C785">
        <v>1</v>
      </c>
      <c r="D785">
        <v>8</v>
      </c>
      <c r="E785" s="3">
        <f t="shared" si="11"/>
        <v>11</v>
      </c>
    </row>
    <row r="786" spans="1:5" x14ac:dyDescent="0.2">
      <c r="A786">
        <v>4</v>
      </c>
      <c r="B786" t="s">
        <v>60</v>
      </c>
      <c r="C786">
        <v>0</v>
      </c>
      <c r="D786">
        <v>4</v>
      </c>
      <c r="E786" s="3">
        <f t="shared" si="11"/>
        <v>11</v>
      </c>
    </row>
    <row r="787" spans="1:5" x14ac:dyDescent="0.2">
      <c r="A787">
        <v>5</v>
      </c>
      <c r="B787" t="s">
        <v>81</v>
      </c>
      <c r="C787">
        <v>0</v>
      </c>
      <c r="D787">
        <v>2</v>
      </c>
      <c r="E787" s="3">
        <f t="shared" si="11"/>
        <v>11</v>
      </c>
    </row>
    <row r="788" spans="1:5" x14ac:dyDescent="0.2">
      <c r="A788">
        <v>6</v>
      </c>
      <c r="B788" t="s">
        <v>42</v>
      </c>
      <c r="C788">
        <v>0</v>
      </c>
      <c r="D788">
        <v>1</v>
      </c>
      <c r="E788" s="3">
        <f t="shared" si="11"/>
        <v>11</v>
      </c>
    </row>
    <row r="789" spans="1:5" x14ac:dyDescent="0.2">
      <c r="A789">
        <v>7</v>
      </c>
      <c r="B789" s="2" t="s">
        <v>10</v>
      </c>
      <c r="C789" s="2" t="s">
        <v>10</v>
      </c>
      <c r="D789" s="2" t="s">
        <v>10</v>
      </c>
      <c r="E789" s="3">
        <f t="shared" si="11"/>
        <v>11</v>
      </c>
    </row>
    <row r="790" spans="1:5" x14ac:dyDescent="0.2">
      <c r="A790">
        <v>8</v>
      </c>
      <c r="B790" s="2" t="s">
        <v>10</v>
      </c>
      <c r="C790" s="2" t="s">
        <v>10</v>
      </c>
      <c r="D790" s="2"/>
      <c r="E790" s="3">
        <f t="shared" si="11"/>
        <v>11</v>
      </c>
    </row>
    <row r="791" spans="1:5" x14ac:dyDescent="0.2">
      <c r="A791" s="1" t="s">
        <v>0</v>
      </c>
      <c r="E791" s="3">
        <f t="shared" si="11"/>
        <v>12</v>
      </c>
    </row>
    <row r="792" spans="1:5" x14ac:dyDescent="0.2">
      <c r="A792" s="1" t="s">
        <v>1</v>
      </c>
      <c r="B792" s="1" t="s">
        <v>2</v>
      </c>
      <c r="C792" s="1" t="s">
        <v>3</v>
      </c>
      <c r="D792" s="1" t="s">
        <v>4</v>
      </c>
      <c r="E792" s="3">
        <f t="shared" si="11"/>
        <v>12</v>
      </c>
    </row>
    <row r="793" spans="1:5" x14ac:dyDescent="0.2">
      <c r="A793">
        <v>1</v>
      </c>
      <c r="B793" t="s">
        <v>15</v>
      </c>
      <c r="C793">
        <v>2</v>
      </c>
      <c r="D793">
        <v>16</v>
      </c>
      <c r="E793" s="3">
        <f t="shared" si="11"/>
        <v>12</v>
      </c>
    </row>
    <row r="794" spans="1:5" x14ac:dyDescent="0.2">
      <c r="A794">
        <v>2</v>
      </c>
      <c r="B794" t="s">
        <v>35</v>
      </c>
      <c r="C794">
        <v>1</v>
      </c>
      <c r="D794">
        <v>12</v>
      </c>
      <c r="E794" s="3">
        <f t="shared" si="11"/>
        <v>12</v>
      </c>
    </row>
    <row r="795" spans="1:5" x14ac:dyDescent="0.2">
      <c r="A795">
        <v>3</v>
      </c>
      <c r="B795" t="s">
        <v>40</v>
      </c>
      <c r="C795">
        <v>2</v>
      </c>
      <c r="D795">
        <v>8</v>
      </c>
      <c r="E795" s="3">
        <f t="shared" si="11"/>
        <v>12</v>
      </c>
    </row>
    <row r="796" spans="1:5" x14ac:dyDescent="0.2">
      <c r="A796">
        <v>4</v>
      </c>
      <c r="B796" t="s">
        <v>101</v>
      </c>
      <c r="C796">
        <v>0</v>
      </c>
      <c r="D796">
        <v>4</v>
      </c>
      <c r="E796" s="3">
        <f t="shared" si="11"/>
        <v>12</v>
      </c>
    </row>
    <row r="797" spans="1:5" x14ac:dyDescent="0.2">
      <c r="A797">
        <v>5</v>
      </c>
      <c r="B797" t="s">
        <v>345</v>
      </c>
      <c r="C797">
        <v>0</v>
      </c>
      <c r="D797">
        <v>2</v>
      </c>
      <c r="E797" s="3">
        <f t="shared" si="11"/>
        <v>12</v>
      </c>
    </row>
    <row r="798" spans="1:5" x14ac:dyDescent="0.2">
      <c r="A798">
        <v>6</v>
      </c>
      <c r="B798" t="s">
        <v>33</v>
      </c>
      <c r="C798">
        <v>0</v>
      </c>
      <c r="D798">
        <v>1</v>
      </c>
      <c r="E798" s="3">
        <f t="shared" si="11"/>
        <v>12</v>
      </c>
    </row>
    <row r="799" spans="1:5" x14ac:dyDescent="0.2">
      <c r="A799">
        <v>7</v>
      </c>
      <c r="B799" s="2" t="s">
        <v>10</v>
      </c>
      <c r="C799" s="2" t="s">
        <v>10</v>
      </c>
      <c r="D799" s="2" t="s">
        <v>10</v>
      </c>
      <c r="E799" s="3">
        <f t="shared" si="11"/>
        <v>12</v>
      </c>
    </row>
    <row r="800" spans="1:5" x14ac:dyDescent="0.2">
      <c r="A800">
        <v>8</v>
      </c>
      <c r="B800" s="2" t="s">
        <v>10</v>
      </c>
      <c r="C800" s="2" t="s">
        <v>10</v>
      </c>
      <c r="D800" s="2" t="s">
        <v>10</v>
      </c>
      <c r="E800" s="3">
        <f t="shared" ref="E800:E863" si="12">IF(A800=$A$1,E799+1,E799)</f>
        <v>12</v>
      </c>
    </row>
    <row r="801" spans="1:5" x14ac:dyDescent="0.2">
      <c r="A801" s="1" t="s">
        <v>11</v>
      </c>
      <c r="E801" s="3">
        <f t="shared" si="12"/>
        <v>12</v>
      </c>
    </row>
    <row r="802" spans="1:5" x14ac:dyDescent="0.2">
      <c r="A802" s="1" t="s">
        <v>1</v>
      </c>
      <c r="B802" s="1" t="s">
        <v>2</v>
      </c>
      <c r="C802" s="1" t="s">
        <v>3</v>
      </c>
      <c r="D802" s="1" t="s">
        <v>4</v>
      </c>
      <c r="E802" s="3">
        <f t="shared" si="12"/>
        <v>12</v>
      </c>
    </row>
    <row r="803" spans="1:5" x14ac:dyDescent="0.2">
      <c r="A803">
        <v>1</v>
      </c>
      <c r="B803" t="s">
        <v>69</v>
      </c>
      <c r="C803">
        <v>2</v>
      </c>
      <c r="D803">
        <v>16</v>
      </c>
      <c r="E803" s="3">
        <f t="shared" si="12"/>
        <v>12</v>
      </c>
    </row>
    <row r="804" spans="1:5" x14ac:dyDescent="0.2">
      <c r="A804">
        <v>2</v>
      </c>
      <c r="B804" t="s">
        <v>9</v>
      </c>
      <c r="C804">
        <v>2</v>
      </c>
      <c r="D804">
        <v>12</v>
      </c>
      <c r="E804" s="3">
        <f t="shared" si="12"/>
        <v>12</v>
      </c>
    </row>
    <row r="805" spans="1:5" x14ac:dyDescent="0.2">
      <c r="A805">
        <v>3</v>
      </c>
      <c r="B805" t="s">
        <v>25</v>
      </c>
      <c r="C805">
        <v>0</v>
      </c>
      <c r="D805">
        <v>8</v>
      </c>
      <c r="E805" s="3">
        <f t="shared" si="12"/>
        <v>12</v>
      </c>
    </row>
    <row r="806" spans="1:5" x14ac:dyDescent="0.2">
      <c r="A806">
        <v>4</v>
      </c>
      <c r="B806" t="s">
        <v>74</v>
      </c>
      <c r="C806">
        <v>0</v>
      </c>
      <c r="D806">
        <v>4</v>
      </c>
      <c r="E806" s="3">
        <f t="shared" si="12"/>
        <v>12</v>
      </c>
    </row>
    <row r="807" spans="1:5" x14ac:dyDescent="0.2">
      <c r="A807">
        <v>5</v>
      </c>
      <c r="B807" t="s">
        <v>92</v>
      </c>
      <c r="C807">
        <v>1</v>
      </c>
      <c r="D807">
        <v>2</v>
      </c>
      <c r="E807" s="3">
        <f t="shared" si="12"/>
        <v>12</v>
      </c>
    </row>
    <row r="808" spans="1:5" x14ac:dyDescent="0.2">
      <c r="A808">
        <v>6</v>
      </c>
      <c r="B808" t="s">
        <v>60</v>
      </c>
      <c r="C808">
        <v>0</v>
      </c>
      <c r="D808">
        <v>1</v>
      </c>
      <c r="E808" s="3">
        <f t="shared" si="12"/>
        <v>12</v>
      </c>
    </row>
    <row r="809" spans="1:5" x14ac:dyDescent="0.2">
      <c r="A809">
        <v>7</v>
      </c>
      <c r="B809" s="2" t="s">
        <v>10</v>
      </c>
      <c r="C809" s="2" t="s">
        <v>10</v>
      </c>
      <c r="D809" s="2" t="s">
        <v>10</v>
      </c>
      <c r="E809" s="3">
        <f t="shared" si="12"/>
        <v>12</v>
      </c>
    </row>
    <row r="810" spans="1:5" x14ac:dyDescent="0.2">
      <c r="A810">
        <v>8</v>
      </c>
      <c r="B810" s="2" t="s">
        <v>10</v>
      </c>
      <c r="C810" s="2" t="s">
        <v>10</v>
      </c>
      <c r="D810" s="2" t="s">
        <v>10</v>
      </c>
      <c r="E810" s="3">
        <f t="shared" si="12"/>
        <v>12</v>
      </c>
    </row>
    <row r="811" spans="1:5" x14ac:dyDescent="0.2">
      <c r="A811" s="1" t="s">
        <v>17</v>
      </c>
      <c r="E811" s="3">
        <f t="shared" si="12"/>
        <v>12</v>
      </c>
    </row>
    <row r="812" spans="1:5" x14ac:dyDescent="0.2">
      <c r="A812" s="1" t="s">
        <v>1</v>
      </c>
      <c r="B812" s="1" t="s">
        <v>2</v>
      </c>
      <c r="C812" s="1" t="s">
        <v>3</v>
      </c>
      <c r="D812" s="1" t="s">
        <v>4</v>
      </c>
      <c r="E812" s="3">
        <f t="shared" si="12"/>
        <v>12</v>
      </c>
    </row>
    <row r="813" spans="1:5" x14ac:dyDescent="0.2">
      <c r="A813">
        <v>1</v>
      </c>
      <c r="B813" t="s">
        <v>43</v>
      </c>
      <c r="C813">
        <v>3</v>
      </c>
      <c r="D813">
        <v>16</v>
      </c>
      <c r="E813" s="3">
        <f t="shared" si="12"/>
        <v>12</v>
      </c>
    </row>
    <row r="814" spans="1:5" x14ac:dyDescent="0.2">
      <c r="A814">
        <v>2</v>
      </c>
      <c r="B814" t="s">
        <v>47</v>
      </c>
      <c r="C814">
        <v>2</v>
      </c>
      <c r="D814">
        <v>12</v>
      </c>
      <c r="E814" s="3">
        <f t="shared" si="12"/>
        <v>12</v>
      </c>
    </row>
    <row r="815" spans="1:5" x14ac:dyDescent="0.2">
      <c r="A815">
        <v>3</v>
      </c>
      <c r="B815" t="s">
        <v>41</v>
      </c>
      <c r="C815">
        <v>0</v>
      </c>
      <c r="D815">
        <v>8</v>
      </c>
      <c r="E815" s="3">
        <f t="shared" si="12"/>
        <v>12</v>
      </c>
    </row>
    <row r="816" spans="1:5" x14ac:dyDescent="0.2">
      <c r="A816">
        <v>4</v>
      </c>
      <c r="B816" t="s">
        <v>32</v>
      </c>
      <c r="C816">
        <v>0</v>
      </c>
      <c r="D816">
        <v>4</v>
      </c>
      <c r="E816" s="3">
        <f t="shared" si="12"/>
        <v>12</v>
      </c>
    </row>
    <row r="817" spans="1:5" x14ac:dyDescent="0.2">
      <c r="A817">
        <v>5</v>
      </c>
      <c r="B817" t="s">
        <v>6</v>
      </c>
      <c r="C817">
        <v>0</v>
      </c>
      <c r="D817">
        <v>2</v>
      </c>
      <c r="E817" s="3">
        <f t="shared" si="12"/>
        <v>12</v>
      </c>
    </row>
    <row r="818" spans="1:5" x14ac:dyDescent="0.2">
      <c r="A818">
        <v>6</v>
      </c>
      <c r="B818" t="s">
        <v>21</v>
      </c>
      <c r="C818">
        <v>0</v>
      </c>
      <c r="D818">
        <v>1</v>
      </c>
      <c r="E818" s="3">
        <f t="shared" si="12"/>
        <v>12</v>
      </c>
    </row>
    <row r="819" spans="1:5" x14ac:dyDescent="0.2">
      <c r="A819">
        <v>7</v>
      </c>
      <c r="B819" s="2" t="s">
        <v>10</v>
      </c>
      <c r="C819" s="2" t="s">
        <v>10</v>
      </c>
      <c r="D819" s="2" t="s">
        <v>10</v>
      </c>
      <c r="E819" s="3">
        <f t="shared" si="12"/>
        <v>12</v>
      </c>
    </row>
    <row r="820" spans="1:5" x14ac:dyDescent="0.2">
      <c r="A820">
        <v>8</v>
      </c>
      <c r="B820" s="2" t="s">
        <v>10</v>
      </c>
      <c r="C820" s="2" t="s">
        <v>10</v>
      </c>
      <c r="D820" s="2" t="s">
        <v>10</v>
      </c>
      <c r="E820" s="3">
        <f t="shared" si="12"/>
        <v>12</v>
      </c>
    </row>
    <row r="821" spans="1:5" x14ac:dyDescent="0.2">
      <c r="A821" s="1" t="s">
        <v>24</v>
      </c>
      <c r="E821" s="3">
        <f t="shared" si="12"/>
        <v>12</v>
      </c>
    </row>
    <row r="822" spans="1:5" x14ac:dyDescent="0.2">
      <c r="A822" s="1" t="s">
        <v>1</v>
      </c>
      <c r="B822" s="1" t="s">
        <v>2</v>
      </c>
      <c r="C822" s="1" t="s">
        <v>3</v>
      </c>
      <c r="D822" s="1" t="s">
        <v>4</v>
      </c>
      <c r="E822" s="3">
        <f t="shared" si="12"/>
        <v>12</v>
      </c>
    </row>
    <row r="823" spans="1:5" x14ac:dyDescent="0.2">
      <c r="A823">
        <v>1</v>
      </c>
      <c r="B823" t="s">
        <v>26</v>
      </c>
      <c r="C823">
        <v>2</v>
      </c>
      <c r="D823">
        <v>16</v>
      </c>
      <c r="E823" s="3">
        <f t="shared" si="12"/>
        <v>12</v>
      </c>
    </row>
    <row r="824" spans="1:5" x14ac:dyDescent="0.2">
      <c r="A824">
        <v>2</v>
      </c>
      <c r="B824" t="s">
        <v>55</v>
      </c>
      <c r="C824">
        <v>1</v>
      </c>
      <c r="D824">
        <v>12</v>
      </c>
      <c r="E824" s="3">
        <f t="shared" si="12"/>
        <v>12</v>
      </c>
    </row>
    <row r="825" spans="1:5" x14ac:dyDescent="0.2">
      <c r="A825">
        <v>3</v>
      </c>
      <c r="B825" t="s">
        <v>67</v>
      </c>
      <c r="C825">
        <v>0</v>
      </c>
      <c r="D825">
        <v>8</v>
      </c>
      <c r="E825" s="3">
        <f t="shared" si="12"/>
        <v>12</v>
      </c>
    </row>
    <row r="826" spans="1:5" x14ac:dyDescent="0.2">
      <c r="A826">
        <v>4</v>
      </c>
      <c r="B826" t="s">
        <v>50</v>
      </c>
      <c r="C826">
        <v>1</v>
      </c>
      <c r="D826">
        <v>4</v>
      </c>
      <c r="E826" s="3">
        <f t="shared" si="12"/>
        <v>12</v>
      </c>
    </row>
    <row r="827" spans="1:5" x14ac:dyDescent="0.2">
      <c r="A827">
        <v>5</v>
      </c>
      <c r="B827" t="s">
        <v>76</v>
      </c>
      <c r="C827">
        <v>1</v>
      </c>
      <c r="D827">
        <v>2</v>
      </c>
      <c r="E827" s="3">
        <f t="shared" si="12"/>
        <v>12</v>
      </c>
    </row>
    <row r="828" spans="1:5" x14ac:dyDescent="0.2">
      <c r="A828">
        <v>6</v>
      </c>
      <c r="B828" t="s">
        <v>8</v>
      </c>
      <c r="C828">
        <v>0</v>
      </c>
      <c r="D828">
        <v>1</v>
      </c>
      <c r="E828" s="3">
        <f t="shared" si="12"/>
        <v>12</v>
      </c>
    </row>
    <row r="829" spans="1:5" x14ac:dyDescent="0.2">
      <c r="A829">
        <v>7</v>
      </c>
      <c r="B829" s="2" t="s">
        <v>10</v>
      </c>
      <c r="C829" s="2" t="s">
        <v>10</v>
      </c>
      <c r="D829" s="2" t="s">
        <v>10</v>
      </c>
      <c r="E829" s="3">
        <f t="shared" si="12"/>
        <v>12</v>
      </c>
    </row>
    <row r="830" spans="1:5" x14ac:dyDescent="0.2">
      <c r="A830">
        <v>8</v>
      </c>
      <c r="B830" s="2" t="s">
        <v>10</v>
      </c>
      <c r="C830" s="2" t="s">
        <v>10</v>
      </c>
      <c r="D830" s="2" t="s">
        <v>10</v>
      </c>
      <c r="E830" s="3">
        <f t="shared" si="12"/>
        <v>12</v>
      </c>
    </row>
    <row r="831" spans="1:5" x14ac:dyDescent="0.2">
      <c r="A831" s="1" t="s">
        <v>30</v>
      </c>
      <c r="E831" s="3">
        <f t="shared" si="12"/>
        <v>12</v>
      </c>
    </row>
    <row r="832" spans="1:5" x14ac:dyDescent="0.2">
      <c r="A832" s="1" t="s">
        <v>1</v>
      </c>
      <c r="B832" s="1" t="s">
        <v>2</v>
      </c>
      <c r="C832" s="1" t="s">
        <v>3</v>
      </c>
      <c r="D832" s="1" t="s">
        <v>4</v>
      </c>
      <c r="E832" s="3">
        <f t="shared" si="12"/>
        <v>12</v>
      </c>
    </row>
    <row r="833" spans="1:5" x14ac:dyDescent="0.2">
      <c r="A833">
        <v>1</v>
      </c>
      <c r="B833" t="s">
        <v>45</v>
      </c>
      <c r="C833">
        <v>5</v>
      </c>
      <c r="D833">
        <v>16</v>
      </c>
      <c r="E833" s="3">
        <f t="shared" si="12"/>
        <v>12</v>
      </c>
    </row>
    <row r="834" spans="1:5" x14ac:dyDescent="0.2">
      <c r="A834">
        <v>2</v>
      </c>
      <c r="B834" t="s">
        <v>31</v>
      </c>
      <c r="C834">
        <v>0</v>
      </c>
      <c r="D834">
        <v>12</v>
      </c>
      <c r="E834" s="3">
        <f t="shared" si="12"/>
        <v>12</v>
      </c>
    </row>
    <row r="835" spans="1:5" x14ac:dyDescent="0.2">
      <c r="A835">
        <v>3</v>
      </c>
      <c r="B835" t="s">
        <v>102</v>
      </c>
      <c r="C835">
        <v>0</v>
      </c>
      <c r="D835">
        <v>8</v>
      </c>
      <c r="E835" s="3">
        <f t="shared" si="12"/>
        <v>12</v>
      </c>
    </row>
    <row r="836" spans="1:5" x14ac:dyDescent="0.2">
      <c r="A836">
        <v>4</v>
      </c>
      <c r="B836" t="s">
        <v>52</v>
      </c>
      <c r="C836">
        <v>0</v>
      </c>
      <c r="D836">
        <v>4</v>
      </c>
      <c r="E836" s="3">
        <f t="shared" si="12"/>
        <v>12</v>
      </c>
    </row>
    <row r="837" spans="1:5" x14ac:dyDescent="0.2">
      <c r="A837">
        <v>5</v>
      </c>
      <c r="B837" t="s">
        <v>12</v>
      </c>
      <c r="C837">
        <v>0</v>
      </c>
      <c r="D837">
        <v>2</v>
      </c>
      <c r="E837" s="3">
        <f t="shared" si="12"/>
        <v>12</v>
      </c>
    </row>
    <row r="838" spans="1:5" x14ac:dyDescent="0.2">
      <c r="A838">
        <v>6</v>
      </c>
      <c r="B838" t="s">
        <v>42</v>
      </c>
      <c r="C838">
        <v>0</v>
      </c>
      <c r="D838">
        <v>1</v>
      </c>
      <c r="E838" s="3">
        <f t="shared" si="12"/>
        <v>12</v>
      </c>
    </row>
    <row r="839" spans="1:5" x14ac:dyDescent="0.2">
      <c r="A839">
        <v>7</v>
      </c>
      <c r="B839" s="2" t="s">
        <v>10</v>
      </c>
      <c r="C839" s="2" t="s">
        <v>10</v>
      </c>
      <c r="D839" s="2" t="s">
        <v>10</v>
      </c>
      <c r="E839" s="3">
        <f t="shared" si="12"/>
        <v>12</v>
      </c>
    </row>
    <row r="840" spans="1:5" x14ac:dyDescent="0.2">
      <c r="A840">
        <v>8</v>
      </c>
      <c r="B840" s="2" t="s">
        <v>10</v>
      </c>
      <c r="C840" s="2" t="s">
        <v>10</v>
      </c>
      <c r="D840" s="2" t="s">
        <v>10</v>
      </c>
      <c r="E840" s="3">
        <f t="shared" si="12"/>
        <v>12</v>
      </c>
    </row>
    <row r="841" spans="1:5" x14ac:dyDescent="0.2">
      <c r="A841" s="1" t="s">
        <v>37</v>
      </c>
      <c r="E841" s="3">
        <f t="shared" si="12"/>
        <v>12</v>
      </c>
    </row>
    <row r="842" spans="1:5" x14ac:dyDescent="0.2">
      <c r="A842" s="1" t="s">
        <v>1</v>
      </c>
      <c r="B842" s="1" t="s">
        <v>2</v>
      </c>
      <c r="C842" s="1" t="s">
        <v>3</v>
      </c>
      <c r="D842" s="1" t="s">
        <v>4</v>
      </c>
      <c r="E842" s="3">
        <f t="shared" si="12"/>
        <v>12</v>
      </c>
    </row>
    <row r="843" spans="1:5" x14ac:dyDescent="0.2">
      <c r="A843">
        <v>1</v>
      </c>
      <c r="B843" t="s">
        <v>73</v>
      </c>
      <c r="C843">
        <v>4</v>
      </c>
      <c r="D843">
        <v>15</v>
      </c>
      <c r="E843" s="3">
        <f t="shared" si="12"/>
        <v>12</v>
      </c>
    </row>
    <row r="844" spans="1:5" x14ac:dyDescent="0.2">
      <c r="A844">
        <v>2</v>
      </c>
      <c r="B844" t="s">
        <v>46</v>
      </c>
      <c r="C844">
        <v>0</v>
      </c>
      <c r="D844">
        <v>11</v>
      </c>
      <c r="E844" s="3">
        <f t="shared" si="12"/>
        <v>12</v>
      </c>
    </row>
    <row r="845" spans="1:5" x14ac:dyDescent="0.2">
      <c r="A845">
        <v>3</v>
      </c>
      <c r="B845" t="s">
        <v>65</v>
      </c>
      <c r="C845">
        <v>0</v>
      </c>
      <c r="D845">
        <v>7</v>
      </c>
      <c r="E845" s="3">
        <f t="shared" si="12"/>
        <v>12</v>
      </c>
    </row>
    <row r="846" spans="1:5" x14ac:dyDescent="0.2">
      <c r="A846">
        <v>4</v>
      </c>
      <c r="B846" t="s">
        <v>18</v>
      </c>
      <c r="C846">
        <v>0</v>
      </c>
      <c r="D846">
        <v>3</v>
      </c>
      <c r="E846" s="3">
        <f t="shared" si="12"/>
        <v>12</v>
      </c>
    </row>
    <row r="847" spans="1:5" x14ac:dyDescent="0.2">
      <c r="A847">
        <v>5</v>
      </c>
      <c r="B847" t="s">
        <v>103</v>
      </c>
      <c r="C847">
        <v>0</v>
      </c>
      <c r="D847">
        <v>1</v>
      </c>
      <c r="E847" s="3">
        <f t="shared" si="12"/>
        <v>12</v>
      </c>
    </row>
    <row r="848" spans="1:5" x14ac:dyDescent="0.2">
      <c r="A848">
        <v>6</v>
      </c>
      <c r="B848" s="2" t="s">
        <v>10</v>
      </c>
      <c r="C848" s="2" t="s">
        <v>10</v>
      </c>
      <c r="D848" s="2" t="s">
        <v>10</v>
      </c>
      <c r="E848" s="3">
        <f t="shared" si="12"/>
        <v>12</v>
      </c>
    </row>
    <row r="849" spans="1:5" x14ac:dyDescent="0.2">
      <c r="A849">
        <v>7</v>
      </c>
      <c r="B849" s="2" t="s">
        <v>10</v>
      </c>
      <c r="C849" s="2" t="s">
        <v>10</v>
      </c>
      <c r="D849" s="2" t="s">
        <v>10</v>
      </c>
      <c r="E849" s="3">
        <f t="shared" si="12"/>
        <v>12</v>
      </c>
    </row>
    <row r="850" spans="1:5" x14ac:dyDescent="0.2">
      <c r="A850">
        <v>8</v>
      </c>
      <c r="B850" s="2" t="s">
        <v>10</v>
      </c>
      <c r="C850" s="2" t="s">
        <v>10</v>
      </c>
      <c r="D850" s="2" t="s">
        <v>10</v>
      </c>
      <c r="E850" s="3">
        <f t="shared" si="12"/>
        <v>12</v>
      </c>
    </row>
    <row r="851" spans="1:5" x14ac:dyDescent="0.2">
      <c r="A851" s="1" t="s">
        <v>44</v>
      </c>
      <c r="E851" s="3">
        <f t="shared" si="12"/>
        <v>12</v>
      </c>
    </row>
    <row r="852" spans="1:5" x14ac:dyDescent="0.2">
      <c r="A852" s="1" t="s">
        <v>1</v>
      </c>
      <c r="B852" s="1" t="s">
        <v>2</v>
      </c>
      <c r="C852" s="1" t="s">
        <v>3</v>
      </c>
      <c r="D852" s="1" t="s">
        <v>4</v>
      </c>
      <c r="E852" s="3">
        <f t="shared" si="12"/>
        <v>12</v>
      </c>
    </row>
    <row r="853" spans="1:5" x14ac:dyDescent="0.2">
      <c r="A853">
        <v>1</v>
      </c>
      <c r="B853" t="s">
        <v>68</v>
      </c>
      <c r="C853">
        <v>2</v>
      </c>
      <c r="D853">
        <v>16</v>
      </c>
      <c r="E853" s="3">
        <f t="shared" si="12"/>
        <v>12</v>
      </c>
    </row>
    <row r="854" spans="1:5" x14ac:dyDescent="0.2">
      <c r="A854">
        <v>2</v>
      </c>
      <c r="B854" t="s">
        <v>14</v>
      </c>
      <c r="C854">
        <v>2</v>
      </c>
      <c r="D854">
        <v>12</v>
      </c>
      <c r="E854" s="3">
        <f t="shared" si="12"/>
        <v>12</v>
      </c>
    </row>
    <row r="855" spans="1:5" x14ac:dyDescent="0.2">
      <c r="A855">
        <v>3</v>
      </c>
      <c r="B855" t="s">
        <v>61</v>
      </c>
      <c r="C855">
        <v>1</v>
      </c>
      <c r="D855">
        <v>8</v>
      </c>
      <c r="E855" s="3">
        <f t="shared" si="12"/>
        <v>12</v>
      </c>
    </row>
    <row r="856" spans="1:5" x14ac:dyDescent="0.2">
      <c r="A856">
        <v>4</v>
      </c>
      <c r="B856" t="s">
        <v>75</v>
      </c>
      <c r="C856">
        <v>0</v>
      </c>
      <c r="D856">
        <v>4</v>
      </c>
      <c r="E856" s="3">
        <f t="shared" si="12"/>
        <v>12</v>
      </c>
    </row>
    <row r="857" spans="1:5" x14ac:dyDescent="0.2">
      <c r="A857">
        <v>5</v>
      </c>
      <c r="B857" t="s">
        <v>54</v>
      </c>
      <c r="C857">
        <v>0</v>
      </c>
      <c r="D857">
        <v>2</v>
      </c>
      <c r="E857" s="3">
        <f t="shared" si="12"/>
        <v>12</v>
      </c>
    </row>
    <row r="858" spans="1:5" x14ac:dyDescent="0.2">
      <c r="A858">
        <v>6</v>
      </c>
      <c r="B858" t="s">
        <v>66</v>
      </c>
      <c r="C858">
        <v>0</v>
      </c>
      <c r="D858">
        <v>1</v>
      </c>
      <c r="E858" s="3">
        <f t="shared" si="12"/>
        <v>12</v>
      </c>
    </row>
    <row r="859" spans="1:5" x14ac:dyDescent="0.2">
      <c r="A859">
        <v>7</v>
      </c>
      <c r="B859" s="2" t="s">
        <v>10</v>
      </c>
      <c r="C859" s="2" t="s">
        <v>10</v>
      </c>
      <c r="D859" s="2" t="s">
        <v>10</v>
      </c>
      <c r="E859" s="3">
        <f t="shared" si="12"/>
        <v>12</v>
      </c>
    </row>
    <row r="860" spans="1:5" x14ac:dyDescent="0.2">
      <c r="A860">
        <v>8</v>
      </c>
      <c r="B860" s="2" t="s">
        <v>10</v>
      </c>
      <c r="C860" s="2" t="s">
        <v>10</v>
      </c>
      <c r="D860" s="2" t="s">
        <v>10</v>
      </c>
      <c r="E860" s="3">
        <f t="shared" si="12"/>
        <v>12</v>
      </c>
    </row>
    <row r="861" spans="1:5" x14ac:dyDescent="0.2">
      <c r="A861" s="1" t="s">
        <v>0</v>
      </c>
      <c r="E861" s="3">
        <f t="shared" si="12"/>
        <v>13</v>
      </c>
    </row>
    <row r="862" spans="1:5" x14ac:dyDescent="0.2">
      <c r="A862" s="1" t="s">
        <v>1</v>
      </c>
      <c r="B862" s="1" t="s">
        <v>2</v>
      </c>
      <c r="C862" s="1" t="s">
        <v>3</v>
      </c>
      <c r="D862" s="1" t="s">
        <v>4</v>
      </c>
      <c r="E862" s="3">
        <f t="shared" si="12"/>
        <v>13</v>
      </c>
    </row>
    <row r="863" spans="1:5" x14ac:dyDescent="0.2">
      <c r="A863">
        <v>1</v>
      </c>
      <c r="B863" t="s">
        <v>59</v>
      </c>
      <c r="C863">
        <v>3</v>
      </c>
      <c r="D863">
        <v>16</v>
      </c>
      <c r="E863" s="3">
        <f t="shared" si="12"/>
        <v>13</v>
      </c>
    </row>
    <row r="864" spans="1:5" x14ac:dyDescent="0.2">
      <c r="A864">
        <v>2</v>
      </c>
      <c r="B864" t="s">
        <v>26</v>
      </c>
      <c r="C864">
        <v>0</v>
      </c>
      <c r="D864">
        <v>12</v>
      </c>
      <c r="E864" s="3">
        <f t="shared" ref="E864:E927" si="13">IF(A864=$A$1,E863+1,E863)</f>
        <v>13</v>
      </c>
    </row>
    <row r="865" spans="1:5" x14ac:dyDescent="0.2">
      <c r="A865">
        <v>3</v>
      </c>
      <c r="B865" t="s">
        <v>66</v>
      </c>
      <c r="C865">
        <v>2</v>
      </c>
      <c r="D865">
        <v>8</v>
      </c>
      <c r="E865" s="3">
        <f t="shared" si="13"/>
        <v>13</v>
      </c>
    </row>
    <row r="866" spans="1:5" x14ac:dyDescent="0.2">
      <c r="A866">
        <v>4</v>
      </c>
      <c r="B866" t="s">
        <v>52</v>
      </c>
      <c r="C866">
        <v>0</v>
      </c>
      <c r="D866">
        <v>4</v>
      </c>
      <c r="E866" s="3">
        <f t="shared" si="13"/>
        <v>13</v>
      </c>
    </row>
    <row r="867" spans="1:5" x14ac:dyDescent="0.2">
      <c r="A867">
        <v>5</v>
      </c>
      <c r="B867" t="s">
        <v>12</v>
      </c>
      <c r="C867">
        <v>0</v>
      </c>
      <c r="D867">
        <v>2</v>
      </c>
      <c r="E867" s="3">
        <f t="shared" si="13"/>
        <v>13</v>
      </c>
    </row>
    <row r="868" spans="1:5" x14ac:dyDescent="0.2">
      <c r="A868">
        <v>6</v>
      </c>
      <c r="B868" t="s">
        <v>65</v>
      </c>
      <c r="C868">
        <v>0</v>
      </c>
      <c r="D868">
        <v>1</v>
      </c>
      <c r="E868" s="3">
        <f t="shared" si="13"/>
        <v>13</v>
      </c>
    </row>
    <row r="869" spans="1:5" x14ac:dyDescent="0.2">
      <c r="A869">
        <v>7</v>
      </c>
      <c r="B869" s="2" t="s">
        <v>10</v>
      </c>
      <c r="C869" s="2" t="s">
        <v>10</v>
      </c>
      <c r="D869" s="2" t="s">
        <v>10</v>
      </c>
      <c r="E869" s="3">
        <f t="shared" si="13"/>
        <v>13</v>
      </c>
    </row>
    <row r="870" spans="1:5" x14ac:dyDescent="0.2">
      <c r="A870">
        <v>8</v>
      </c>
      <c r="B870" s="2" t="s">
        <v>10</v>
      </c>
      <c r="C870" s="2" t="s">
        <v>10</v>
      </c>
      <c r="D870" s="2" t="s">
        <v>10</v>
      </c>
      <c r="E870" s="3">
        <f t="shared" si="13"/>
        <v>13</v>
      </c>
    </row>
    <row r="871" spans="1:5" x14ac:dyDescent="0.2">
      <c r="A871" s="1" t="s">
        <v>11</v>
      </c>
      <c r="E871" s="3">
        <f t="shared" si="13"/>
        <v>13</v>
      </c>
    </row>
    <row r="872" spans="1:5" x14ac:dyDescent="0.2">
      <c r="A872" s="1" t="s">
        <v>1</v>
      </c>
      <c r="B872" s="1" t="s">
        <v>2</v>
      </c>
      <c r="C872" s="1" t="s">
        <v>3</v>
      </c>
      <c r="D872" s="1" t="s">
        <v>4</v>
      </c>
      <c r="E872" s="3">
        <f t="shared" si="13"/>
        <v>13</v>
      </c>
    </row>
    <row r="873" spans="1:5" x14ac:dyDescent="0.2">
      <c r="A873">
        <v>1</v>
      </c>
      <c r="B873" t="s">
        <v>39</v>
      </c>
      <c r="C873">
        <v>2</v>
      </c>
      <c r="D873">
        <v>16</v>
      </c>
      <c r="E873" s="3">
        <f t="shared" si="13"/>
        <v>13</v>
      </c>
    </row>
    <row r="874" spans="1:5" x14ac:dyDescent="0.2">
      <c r="A874">
        <v>2</v>
      </c>
      <c r="B874" t="s">
        <v>43</v>
      </c>
      <c r="C874">
        <v>3</v>
      </c>
      <c r="D874">
        <v>12</v>
      </c>
      <c r="E874" s="3">
        <f t="shared" si="13"/>
        <v>13</v>
      </c>
    </row>
    <row r="875" spans="1:5" x14ac:dyDescent="0.2">
      <c r="A875">
        <v>3</v>
      </c>
      <c r="B875" t="s">
        <v>25</v>
      </c>
      <c r="C875">
        <v>0</v>
      </c>
      <c r="D875">
        <v>8</v>
      </c>
      <c r="E875" s="3">
        <f t="shared" si="13"/>
        <v>13</v>
      </c>
    </row>
    <row r="876" spans="1:5" x14ac:dyDescent="0.2">
      <c r="A876">
        <v>4</v>
      </c>
      <c r="B876" t="s">
        <v>35</v>
      </c>
      <c r="C876">
        <v>0</v>
      </c>
      <c r="D876">
        <v>4</v>
      </c>
      <c r="E876" s="3">
        <f t="shared" si="13"/>
        <v>13</v>
      </c>
    </row>
    <row r="877" spans="1:5" x14ac:dyDescent="0.2">
      <c r="A877">
        <v>5</v>
      </c>
      <c r="B877" t="s">
        <v>6</v>
      </c>
      <c r="C877">
        <v>0</v>
      </c>
      <c r="D877">
        <v>2</v>
      </c>
      <c r="E877" s="3">
        <f t="shared" si="13"/>
        <v>13</v>
      </c>
    </row>
    <row r="878" spans="1:5" x14ac:dyDescent="0.2">
      <c r="A878">
        <v>6</v>
      </c>
      <c r="B878" t="s">
        <v>29</v>
      </c>
      <c r="C878">
        <v>0</v>
      </c>
      <c r="D878">
        <v>1</v>
      </c>
      <c r="E878" s="3">
        <f t="shared" si="13"/>
        <v>13</v>
      </c>
    </row>
    <row r="879" spans="1:5" x14ac:dyDescent="0.2">
      <c r="A879">
        <v>7</v>
      </c>
      <c r="B879" s="2" t="s">
        <v>10</v>
      </c>
      <c r="C879" s="2" t="s">
        <v>10</v>
      </c>
      <c r="D879" s="2" t="s">
        <v>10</v>
      </c>
      <c r="E879" s="3">
        <f t="shared" si="13"/>
        <v>13</v>
      </c>
    </row>
    <row r="880" spans="1:5" x14ac:dyDescent="0.2">
      <c r="A880">
        <v>8</v>
      </c>
      <c r="B880" s="2" t="s">
        <v>10</v>
      </c>
      <c r="C880" s="2" t="s">
        <v>10</v>
      </c>
      <c r="D880" s="2" t="s">
        <v>10</v>
      </c>
      <c r="E880" s="3">
        <f t="shared" si="13"/>
        <v>13</v>
      </c>
    </row>
    <row r="881" spans="1:5" x14ac:dyDescent="0.2">
      <c r="A881" s="1" t="s">
        <v>17</v>
      </c>
      <c r="E881" s="3">
        <f t="shared" si="13"/>
        <v>13</v>
      </c>
    </row>
    <row r="882" spans="1:5" x14ac:dyDescent="0.2">
      <c r="A882" s="1" t="s">
        <v>1</v>
      </c>
      <c r="B882" s="1" t="s">
        <v>2</v>
      </c>
      <c r="C882" s="1" t="s">
        <v>3</v>
      </c>
      <c r="D882" s="1" t="s">
        <v>4</v>
      </c>
      <c r="E882" s="3">
        <f t="shared" si="13"/>
        <v>13</v>
      </c>
    </row>
    <row r="883" spans="1:5" x14ac:dyDescent="0.2">
      <c r="A883">
        <v>1</v>
      </c>
      <c r="B883" t="s">
        <v>73</v>
      </c>
      <c r="C883">
        <v>3</v>
      </c>
      <c r="D883">
        <v>16</v>
      </c>
      <c r="E883" s="3">
        <f t="shared" si="13"/>
        <v>13</v>
      </c>
    </row>
    <row r="884" spans="1:5" x14ac:dyDescent="0.2">
      <c r="A884">
        <v>2</v>
      </c>
      <c r="B884" t="s">
        <v>32</v>
      </c>
      <c r="C884">
        <v>1</v>
      </c>
      <c r="D884">
        <v>12</v>
      </c>
      <c r="E884" s="3">
        <f t="shared" si="13"/>
        <v>13</v>
      </c>
    </row>
    <row r="885" spans="1:5" x14ac:dyDescent="0.2">
      <c r="A885">
        <v>3</v>
      </c>
      <c r="B885" t="s">
        <v>75</v>
      </c>
      <c r="C885">
        <v>0</v>
      </c>
      <c r="D885">
        <v>8</v>
      </c>
      <c r="E885" s="3">
        <f t="shared" si="13"/>
        <v>13</v>
      </c>
    </row>
    <row r="886" spans="1:5" x14ac:dyDescent="0.2">
      <c r="A886">
        <v>4</v>
      </c>
      <c r="B886" t="s">
        <v>15</v>
      </c>
      <c r="C886">
        <v>1</v>
      </c>
      <c r="D886">
        <v>4</v>
      </c>
      <c r="E886" s="3">
        <f t="shared" si="13"/>
        <v>13</v>
      </c>
    </row>
    <row r="887" spans="1:5" x14ac:dyDescent="0.2">
      <c r="A887">
        <v>5</v>
      </c>
      <c r="B887" t="s">
        <v>74</v>
      </c>
      <c r="C887">
        <v>0</v>
      </c>
      <c r="D887">
        <v>2</v>
      </c>
      <c r="E887" s="3">
        <f t="shared" si="13"/>
        <v>13</v>
      </c>
    </row>
    <row r="888" spans="1:5" x14ac:dyDescent="0.2">
      <c r="A888">
        <v>6</v>
      </c>
      <c r="B888" t="s">
        <v>61</v>
      </c>
      <c r="C888">
        <v>0</v>
      </c>
      <c r="D888">
        <v>1</v>
      </c>
      <c r="E888" s="3">
        <f t="shared" si="13"/>
        <v>13</v>
      </c>
    </row>
    <row r="889" spans="1:5" x14ac:dyDescent="0.2">
      <c r="A889">
        <v>7</v>
      </c>
      <c r="B889" s="2" t="s">
        <v>10</v>
      </c>
      <c r="C889" s="2" t="s">
        <v>10</v>
      </c>
      <c r="D889" s="2" t="s">
        <v>10</v>
      </c>
      <c r="E889" s="3">
        <f t="shared" si="13"/>
        <v>13</v>
      </c>
    </row>
    <row r="890" spans="1:5" x14ac:dyDescent="0.2">
      <c r="A890">
        <v>8</v>
      </c>
      <c r="B890" s="2" t="s">
        <v>10</v>
      </c>
      <c r="C890" s="2" t="s">
        <v>10</v>
      </c>
      <c r="D890" s="2" t="s">
        <v>10</v>
      </c>
      <c r="E890" s="3">
        <f t="shared" si="13"/>
        <v>13</v>
      </c>
    </row>
    <row r="891" spans="1:5" x14ac:dyDescent="0.2">
      <c r="A891" s="1" t="s">
        <v>24</v>
      </c>
      <c r="E891" s="3">
        <f t="shared" si="13"/>
        <v>13</v>
      </c>
    </row>
    <row r="892" spans="1:5" x14ac:dyDescent="0.2">
      <c r="A892" s="1" t="s">
        <v>1</v>
      </c>
      <c r="B892" s="1" t="s">
        <v>2</v>
      </c>
      <c r="C892" s="1" t="s">
        <v>3</v>
      </c>
      <c r="D892" s="1" t="s">
        <v>4</v>
      </c>
      <c r="E892" s="3">
        <f t="shared" si="13"/>
        <v>13</v>
      </c>
    </row>
    <row r="893" spans="1:5" x14ac:dyDescent="0.2">
      <c r="A893">
        <v>1</v>
      </c>
      <c r="B893" t="s">
        <v>14</v>
      </c>
      <c r="C893">
        <v>2</v>
      </c>
      <c r="D893">
        <v>16</v>
      </c>
      <c r="E893" s="3">
        <f t="shared" si="13"/>
        <v>13</v>
      </c>
    </row>
    <row r="894" spans="1:5" x14ac:dyDescent="0.2">
      <c r="A894">
        <v>2</v>
      </c>
      <c r="B894" t="s">
        <v>68</v>
      </c>
      <c r="C894">
        <v>1</v>
      </c>
      <c r="D894">
        <v>12</v>
      </c>
      <c r="E894" s="3">
        <f t="shared" si="13"/>
        <v>13</v>
      </c>
    </row>
    <row r="895" spans="1:5" x14ac:dyDescent="0.2">
      <c r="A895">
        <v>3</v>
      </c>
      <c r="B895" t="s">
        <v>40</v>
      </c>
      <c r="C895">
        <v>2</v>
      </c>
      <c r="D895">
        <v>8</v>
      </c>
      <c r="E895" s="3">
        <f t="shared" si="13"/>
        <v>13</v>
      </c>
    </row>
    <row r="896" spans="1:5" x14ac:dyDescent="0.2">
      <c r="A896">
        <v>4</v>
      </c>
      <c r="B896" t="s">
        <v>21</v>
      </c>
      <c r="C896">
        <v>0</v>
      </c>
      <c r="D896">
        <v>4</v>
      </c>
      <c r="E896" s="3">
        <f t="shared" si="13"/>
        <v>13</v>
      </c>
    </row>
    <row r="897" spans="1:5" x14ac:dyDescent="0.2">
      <c r="A897">
        <v>5</v>
      </c>
      <c r="B897" t="s">
        <v>31</v>
      </c>
      <c r="C897">
        <v>0</v>
      </c>
      <c r="D897">
        <v>2</v>
      </c>
      <c r="E897" s="3">
        <f t="shared" si="13"/>
        <v>13</v>
      </c>
    </row>
    <row r="898" spans="1:5" x14ac:dyDescent="0.2">
      <c r="A898">
        <v>6</v>
      </c>
      <c r="B898" t="s">
        <v>87</v>
      </c>
      <c r="C898">
        <v>0</v>
      </c>
      <c r="D898">
        <v>1</v>
      </c>
      <c r="E898" s="3">
        <f t="shared" si="13"/>
        <v>13</v>
      </c>
    </row>
    <row r="899" spans="1:5" x14ac:dyDescent="0.2">
      <c r="A899">
        <v>7</v>
      </c>
      <c r="B899" s="2" t="s">
        <v>10</v>
      </c>
      <c r="C899" s="2" t="s">
        <v>10</v>
      </c>
      <c r="D899" s="2" t="s">
        <v>10</v>
      </c>
      <c r="E899" s="3">
        <f t="shared" si="13"/>
        <v>13</v>
      </c>
    </row>
    <row r="900" spans="1:5" x14ac:dyDescent="0.2">
      <c r="A900">
        <v>8</v>
      </c>
      <c r="B900" s="2" t="s">
        <v>10</v>
      </c>
      <c r="C900" s="2" t="s">
        <v>10</v>
      </c>
      <c r="D900" s="2" t="s">
        <v>10</v>
      </c>
      <c r="E900" s="3">
        <f t="shared" si="13"/>
        <v>13</v>
      </c>
    </row>
    <row r="901" spans="1:5" x14ac:dyDescent="0.2">
      <c r="A901" s="1" t="s">
        <v>30</v>
      </c>
      <c r="E901" s="3">
        <f t="shared" si="13"/>
        <v>13</v>
      </c>
    </row>
    <row r="902" spans="1:5" x14ac:dyDescent="0.2">
      <c r="A902" s="1" t="s">
        <v>1</v>
      </c>
      <c r="B902" s="1" t="s">
        <v>2</v>
      </c>
      <c r="C902" s="1" t="s">
        <v>3</v>
      </c>
      <c r="D902" s="1" t="s">
        <v>4</v>
      </c>
      <c r="E902" s="3">
        <f t="shared" si="13"/>
        <v>13</v>
      </c>
    </row>
    <row r="903" spans="1:5" x14ac:dyDescent="0.2">
      <c r="A903">
        <v>1</v>
      </c>
      <c r="B903" t="s">
        <v>9</v>
      </c>
      <c r="C903">
        <v>4</v>
      </c>
      <c r="D903">
        <v>16</v>
      </c>
      <c r="E903" s="3">
        <f t="shared" si="13"/>
        <v>13</v>
      </c>
    </row>
    <row r="904" spans="1:5" x14ac:dyDescent="0.2">
      <c r="A904">
        <v>2</v>
      </c>
      <c r="B904" t="s">
        <v>18</v>
      </c>
      <c r="C904">
        <v>0</v>
      </c>
      <c r="D904">
        <v>12</v>
      </c>
      <c r="E904" s="3">
        <f t="shared" si="13"/>
        <v>13</v>
      </c>
    </row>
    <row r="905" spans="1:5" x14ac:dyDescent="0.2">
      <c r="A905">
        <v>3</v>
      </c>
      <c r="B905" t="s">
        <v>345</v>
      </c>
      <c r="C905">
        <v>0</v>
      </c>
      <c r="D905">
        <v>8</v>
      </c>
      <c r="E905" s="3">
        <f t="shared" si="13"/>
        <v>13</v>
      </c>
    </row>
    <row r="906" spans="1:5" x14ac:dyDescent="0.2">
      <c r="A906">
        <v>4</v>
      </c>
      <c r="B906" t="s">
        <v>55</v>
      </c>
      <c r="C906">
        <v>1</v>
      </c>
      <c r="D906">
        <v>4</v>
      </c>
      <c r="E906" s="3">
        <f t="shared" si="13"/>
        <v>13</v>
      </c>
    </row>
    <row r="907" spans="1:5" x14ac:dyDescent="0.2">
      <c r="A907">
        <v>5</v>
      </c>
      <c r="B907" t="s">
        <v>60</v>
      </c>
      <c r="C907">
        <v>0</v>
      </c>
      <c r="D907">
        <v>2</v>
      </c>
      <c r="E907" s="3">
        <f t="shared" si="13"/>
        <v>13</v>
      </c>
    </row>
    <row r="908" spans="1:5" x14ac:dyDescent="0.2">
      <c r="A908">
        <v>6</v>
      </c>
      <c r="B908" t="s">
        <v>42</v>
      </c>
      <c r="C908">
        <v>0</v>
      </c>
      <c r="D908">
        <v>1</v>
      </c>
      <c r="E908" s="3">
        <f t="shared" si="13"/>
        <v>13</v>
      </c>
    </row>
    <row r="909" spans="1:5" x14ac:dyDescent="0.2">
      <c r="A909">
        <v>7</v>
      </c>
      <c r="B909" s="2" t="s">
        <v>10</v>
      </c>
      <c r="C909" s="2" t="s">
        <v>10</v>
      </c>
      <c r="D909" s="2" t="s">
        <v>10</v>
      </c>
      <c r="E909" s="3">
        <f t="shared" si="13"/>
        <v>13</v>
      </c>
    </row>
    <row r="910" spans="1:5" x14ac:dyDescent="0.2">
      <c r="A910">
        <v>8</v>
      </c>
      <c r="B910" s="2" t="s">
        <v>10</v>
      </c>
      <c r="C910" s="2" t="s">
        <v>10</v>
      </c>
      <c r="D910" s="2" t="s">
        <v>10</v>
      </c>
      <c r="E910" s="3">
        <f t="shared" si="13"/>
        <v>13</v>
      </c>
    </row>
    <row r="911" spans="1:5" x14ac:dyDescent="0.2">
      <c r="A911" s="1" t="s">
        <v>37</v>
      </c>
      <c r="E911" s="3">
        <f t="shared" si="13"/>
        <v>13</v>
      </c>
    </row>
    <row r="912" spans="1:5" x14ac:dyDescent="0.2">
      <c r="A912" s="1" t="s">
        <v>1</v>
      </c>
      <c r="B912" s="1" t="s">
        <v>2</v>
      </c>
      <c r="C912" s="1" t="s">
        <v>3</v>
      </c>
      <c r="D912" s="1" t="s">
        <v>4</v>
      </c>
      <c r="E912" s="3">
        <f t="shared" si="13"/>
        <v>13</v>
      </c>
    </row>
    <row r="913" spans="1:5" x14ac:dyDescent="0.2">
      <c r="A913">
        <v>1</v>
      </c>
      <c r="B913" t="s">
        <v>54</v>
      </c>
      <c r="C913">
        <v>1</v>
      </c>
      <c r="D913">
        <v>17</v>
      </c>
      <c r="E913" s="3">
        <f t="shared" si="13"/>
        <v>13</v>
      </c>
    </row>
    <row r="914" spans="1:5" x14ac:dyDescent="0.2">
      <c r="A914">
        <v>2</v>
      </c>
      <c r="B914" t="s">
        <v>41</v>
      </c>
      <c r="C914">
        <v>3</v>
      </c>
      <c r="D914">
        <v>13</v>
      </c>
      <c r="E914" s="3">
        <f t="shared" si="13"/>
        <v>13</v>
      </c>
    </row>
    <row r="915" spans="1:5" x14ac:dyDescent="0.2">
      <c r="A915">
        <v>3</v>
      </c>
      <c r="B915" t="s">
        <v>47</v>
      </c>
      <c r="C915">
        <v>2</v>
      </c>
      <c r="D915">
        <v>9</v>
      </c>
      <c r="E915" s="3">
        <f t="shared" si="13"/>
        <v>13</v>
      </c>
    </row>
    <row r="916" spans="1:5" x14ac:dyDescent="0.2">
      <c r="A916">
        <v>4</v>
      </c>
      <c r="B916" t="s">
        <v>33</v>
      </c>
      <c r="C916">
        <v>0</v>
      </c>
      <c r="D916">
        <v>5</v>
      </c>
      <c r="E916" s="3">
        <f t="shared" si="13"/>
        <v>13</v>
      </c>
    </row>
    <row r="917" spans="1:5" x14ac:dyDescent="0.2">
      <c r="A917">
        <v>5</v>
      </c>
      <c r="B917" t="s">
        <v>92</v>
      </c>
      <c r="C917">
        <v>0</v>
      </c>
      <c r="D917">
        <v>3</v>
      </c>
      <c r="E917" s="3">
        <f t="shared" si="13"/>
        <v>13</v>
      </c>
    </row>
    <row r="918" spans="1:5" x14ac:dyDescent="0.2">
      <c r="A918">
        <v>6</v>
      </c>
      <c r="B918" t="s">
        <v>45</v>
      </c>
      <c r="C918">
        <v>0</v>
      </c>
      <c r="D918">
        <v>2</v>
      </c>
      <c r="E918" s="3">
        <f t="shared" si="13"/>
        <v>13</v>
      </c>
    </row>
    <row r="919" spans="1:5" x14ac:dyDescent="0.2">
      <c r="A919">
        <v>7</v>
      </c>
      <c r="B919" t="s">
        <v>22</v>
      </c>
      <c r="C919">
        <v>0</v>
      </c>
      <c r="D919">
        <v>1</v>
      </c>
      <c r="E919" s="3">
        <f t="shared" si="13"/>
        <v>13</v>
      </c>
    </row>
    <row r="920" spans="1:5" x14ac:dyDescent="0.2">
      <c r="A920">
        <v>8</v>
      </c>
      <c r="B920" s="2" t="s">
        <v>10</v>
      </c>
      <c r="C920" s="2" t="s">
        <v>10</v>
      </c>
      <c r="D920" s="2" t="s">
        <v>10</v>
      </c>
      <c r="E920" s="3">
        <f t="shared" si="13"/>
        <v>13</v>
      </c>
    </row>
    <row r="921" spans="1:5" x14ac:dyDescent="0.2">
      <c r="A921" s="1" t="s">
        <v>44</v>
      </c>
      <c r="E921" s="3">
        <f t="shared" si="13"/>
        <v>13</v>
      </c>
    </row>
    <row r="922" spans="1:5" x14ac:dyDescent="0.2">
      <c r="A922" s="1" t="s">
        <v>1</v>
      </c>
      <c r="B922" s="1" t="s">
        <v>2</v>
      </c>
      <c r="C922" s="1" t="s">
        <v>3</v>
      </c>
      <c r="D922" s="1" t="s">
        <v>4</v>
      </c>
      <c r="E922" s="3">
        <f t="shared" si="13"/>
        <v>13</v>
      </c>
    </row>
    <row r="923" spans="1:5" x14ac:dyDescent="0.2">
      <c r="A923">
        <v>1</v>
      </c>
      <c r="B923" t="s">
        <v>305</v>
      </c>
      <c r="C923">
        <v>3</v>
      </c>
      <c r="D923">
        <v>16</v>
      </c>
      <c r="E923" s="3">
        <f t="shared" si="13"/>
        <v>13</v>
      </c>
    </row>
    <row r="924" spans="1:5" x14ac:dyDescent="0.2">
      <c r="A924">
        <v>2</v>
      </c>
      <c r="B924" t="s">
        <v>76</v>
      </c>
      <c r="C924">
        <v>1</v>
      </c>
      <c r="D924">
        <v>12</v>
      </c>
      <c r="E924" s="3">
        <f t="shared" si="13"/>
        <v>13</v>
      </c>
    </row>
    <row r="925" spans="1:5" x14ac:dyDescent="0.2">
      <c r="A925">
        <v>3</v>
      </c>
      <c r="B925" t="s">
        <v>101</v>
      </c>
      <c r="C925">
        <v>1</v>
      </c>
      <c r="D925">
        <v>8</v>
      </c>
      <c r="E925" s="3">
        <f t="shared" si="13"/>
        <v>13</v>
      </c>
    </row>
    <row r="926" spans="1:5" x14ac:dyDescent="0.2">
      <c r="A926">
        <v>4</v>
      </c>
      <c r="B926" t="s">
        <v>19</v>
      </c>
      <c r="C926">
        <v>0</v>
      </c>
      <c r="D926">
        <v>4</v>
      </c>
      <c r="E926" s="3">
        <f t="shared" si="13"/>
        <v>13</v>
      </c>
    </row>
    <row r="927" spans="1:5" x14ac:dyDescent="0.2">
      <c r="A927">
        <v>5</v>
      </c>
      <c r="B927" t="s">
        <v>50</v>
      </c>
      <c r="C927">
        <v>0</v>
      </c>
      <c r="D927">
        <v>2</v>
      </c>
      <c r="E927" s="3">
        <f t="shared" si="13"/>
        <v>13</v>
      </c>
    </row>
    <row r="928" spans="1:5" x14ac:dyDescent="0.2">
      <c r="A928">
        <v>6</v>
      </c>
      <c r="B928" t="s">
        <v>69</v>
      </c>
      <c r="C928">
        <v>0</v>
      </c>
      <c r="D928">
        <v>1</v>
      </c>
      <c r="E928" s="3">
        <f t="shared" ref="E928:E991" si="14">IF(A928=$A$1,E927+1,E927)</f>
        <v>13</v>
      </c>
    </row>
    <row r="929" spans="1:5" x14ac:dyDescent="0.2">
      <c r="A929">
        <v>7</v>
      </c>
      <c r="B929" s="2" t="s">
        <v>10</v>
      </c>
      <c r="C929" s="2" t="s">
        <v>10</v>
      </c>
      <c r="D929" s="2" t="s">
        <v>10</v>
      </c>
      <c r="E929" s="3">
        <f t="shared" si="14"/>
        <v>13</v>
      </c>
    </row>
    <row r="930" spans="1:5" x14ac:dyDescent="0.2">
      <c r="A930">
        <v>8</v>
      </c>
      <c r="B930" s="2" t="s">
        <v>10</v>
      </c>
      <c r="C930" s="2" t="s">
        <v>10</v>
      </c>
      <c r="D930" s="2" t="s">
        <v>10</v>
      </c>
      <c r="E930" s="3">
        <f t="shared" si="14"/>
        <v>13</v>
      </c>
    </row>
    <row r="931" spans="1:5" x14ac:dyDescent="0.2">
      <c r="E931" s="3">
        <f t="shared" si="14"/>
        <v>13</v>
      </c>
    </row>
    <row r="932" spans="1:5" x14ac:dyDescent="0.2">
      <c r="E932" s="3">
        <f t="shared" si="14"/>
        <v>13</v>
      </c>
    </row>
    <row r="933" spans="1:5" x14ac:dyDescent="0.2">
      <c r="E933" s="3">
        <f t="shared" si="14"/>
        <v>13</v>
      </c>
    </row>
    <row r="934" spans="1:5" x14ac:dyDescent="0.2">
      <c r="E934" s="3">
        <f t="shared" si="14"/>
        <v>13</v>
      </c>
    </row>
    <row r="935" spans="1:5" x14ac:dyDescent="0.2">
      <c r="E935" s="3">
        <f t="shared" si="14"/>
        <v>13</v>
      </c>
    </row>
    <row r="936" spans="1:5" x14ac:dyDescent="0.2">
      <c r="E936" s="3">
        <f t="shared" si="14"/>
        <v>13</v>
      </c>
    </row>
    <row r="937" spans="1:5" x14ac:dyDescent="0.2">
      <c r="E937" s="3">
        <f t="shared" si="14"/>
        <v>13</v>
      </c>
    </row>
    <row r="938" spans="1:5" x14ac:dyDescent="0.2">
      <c r="E938" s="3">
        <f t="shared" si="14"/>
        <v>13</v>
      </c>
    </row>
    <row r="939" spans="1:5" x14ac:dyDescent="0.2">
      <c r="E939" s="3">
        <f t="shared" si="14"/>
        <v>13</v>
      </c>
    </row>
    <row r="940" spans="1:5" x14ac:dyDescent="0.2">
      <c r="E940" s="3">
        <f t="shared" si="14"/>
        <v>13</v>
      </c>
    </row>
    <row r="941" spans="1:5" x14ac:dyDescent="0.2">
      <c r="E941" s="3">
        <f t="shared" si="14"/>
        <v>13</v>
      </c>
    </row>
    <row r="942" spans="1:5" x14ac:dyDescent="0.2">
      <c r="E942" s="3">
        <f t="shared" si="14"/>
        <v>13</v>
      </c>
    </row>
    <row r="943" spans="1:5" x14ac:dyDescent="0.2">
      <c r="E943" s="3">
        <f t="shared" si="14"/>
        <v>13</v>
      </c>
    </row>
    <row r="944" spans="1:5" x14ac:dyDescent="0.2">
      <c r="E944" s="3">
        <f t="shared" si="14"/>
        <v>13</v>
      </c>
    </row>
    <row r="945" spans="5:5" x14ac:dyDescent="0.2">
      <c r="E945" s="3">
        <f t="shared" si="14"/>
        <v>13</v>
      </c>
    </row>
    <row r="946" spans="5:5" x14ac:dyDescent="0.2">
      <c r="E946" s="3">
        <f t="shared" si="14"/>
        <v>13</v>
      </c>
    </row>
    <row r="947" spans="5:5" x14ac:dyDescent="0.2">
      <c r="E947" s="3">
        <f t="shared" si="14"/>
        <v>13</v>
      </c>
    </row>
    <row r="948" spans="5:5" x14ac:dyDescent="0.2">
      <c r="E948" s="3">
        <f t="shared" si="14"/>
        <v>13</v>
      </c>
    </row>
    <row r="949" spans="5:5" x14ac:dyDescent="0.2">
      <c r="E949" s="3">
        <f t="shared" si="14"/>
        <v>13</v>
      </c>
    </row>
    <row r="950" spans="5:5" x14ac:dyDescent="0.2">
      <c r="E950" s="3">
        <f t="shared" si="14"/>
        <v>13</v>
      </c>
    </row>
    <row r="951" spans="5:5" x14ac:dyDescent="0.2">
      <c r="E951" s="3">
        <f t="shared" si="14"/>
        <v>13</v>
      </c>
    </row>
    <row r="952" spans="5:5" x14ac:dyDescent="0.2">
      <c r="E952" s="3">
        <f t="shared" si="14"/>
        <v>13</v>
      </c>
    </row>
    <row r="953" spans="5:5" x14ac:dyDescent="0.2">
      <c r="E953" s="3">
        <f t="shared" si="14"/>
        <v>13</v>
      </c>
    </row>
    <row r="954" spans="5:5" x14ac:dyDescent="0.2">
      <c r="E954" s="3">
        <f t="shared" si="14"/>
        <v>13</v>
      </c>
    </row>
    <row r="955" spans="5:5" x14ac:dyDescent="0.2">
      <c r="E955" s="3">
        <f t="shared" si="14"/>
        <v>13</v>
      </c>
    </row>
    <row r="956" spans="5:5" x14ac:dyDescent="0.2">
      <c r="E956" s="3">
        <f t="shared" si="14"/>
        <v>13</v>
      </c>
    </row>
    <row r="957" spans="5:5" x14ac:dyDescent="0.2">
      <c r="E957" s="3">
        <f t="shared" si="14"/>
        <v>13</v>
      </c>
    </row>
    <row r="958" spans="5:5" x14ac:dyDescent="0.2">
      <c r="E958" s="3">
        <f t="shared" si="14"/>
        <v>13</v>
      </c>
    </row>
    <row r="959" spans="5:5" x14ac:dyDescent="0.2">
      <c r="E959" s="3">
        <f t="shared" si="14"/>
        <v>13</v>
      </c>
    </row>
    <row r="960" spans="5:5" x14ac:dyDescent="0.2">
      <c r="E960" s="3">
        <f t="shared" si="14"/>
        <v>13</v>
      </c>
    </row>
    <row r="961" spans="5:5" x14ac:dyDescent="0.2">
      <c r="E961" s="3">
        <f t="shared" si="14"/>
        <v>13</v>
      </c>
    </row>
    <row r="962" spans="5:5" x14ac:dyDescent="0.2">
      <c r="E962" s="3">
        <f t="shared" si="14"/>
        <v>13</v>
      </c>
    </row>
    <row r="963" spans="5:5" x14ac:dyDescent="0.2">
      <c r="E963" s="3">
        <f t="shared" si="14"/>
        <v>13</v>
      </c>
    </row>
    <row r="964" spans="5:5" x14ac:dyDescent="0.2">
      <c r="E964" s="3">
        <f t="shared" si="14"/>
        <v>13</v>
      </c>
    </row>
    <row r="965" spans="5:5" x14ac:dyDescent="0.2">
      <c r="E965" s="3">
        <f t="shared" si="14"/>
        <v>13</v>
      </c>
    </row>
    <row r="966" spans="5:5" x14ac:dyDescent="0.2">
      <c r="E966" s="3">
        <f t="shared" si="14"/>
        <v>13</v>
      </c>
    </row>
    <row r="967" spans="5:5" x14ac:dyDescent="0.2">
      <c r="E967" s="3">
        <f t="shared" si="14"/>
        <v>13</v>
      </c>
    </row>
    <row r="968" spans="5:5" x14ac:dyDescent="0.2">
      <c r="E968" s="3">
        <f t="shared" si="14"/>
        <v>13</v>
      </c>
    </row>
    <row r="969" spans="5:5" x14ac:dyDescent="0.2">
      <c r="E969" s="3">
        <f t="shared" si="14"/>
        <v>13</v>
      </c>
    </row>
    <row r="970" spans="5:5" x14ac:dyDescent="0.2">
      <c r="E970" s="3">
        <f t="shared" si="14"/>
        <v>13</v>
      </c>
    </row>
    <row r="971" spans="5:5" x14ac:dyDescent="0.2">
      <c r="E971" s="3">
        <f t="shared" si="14"/>
        <v>13</v>
      </c>
    </row>
    <row r="972" spans="5:5" x14ac:dyDescent="0.2">
      <c r="E972" s="3">
        <f t="shared" si="14"/>
        <v>13</v>
      </c>
    </row>
    <row r="973" spans="5:5" x14ac:dyDescent="0.2">
      <c r="E973" s="3">
        <f t="shared" si="14"/>
        <v>13</v>
      </c>
    </row>
    <row r="974" spans="5:5" x14ac:dyDescent="0.2">
      <c r="E974" s="3">
        <f t="shared" si="14"/>
        <v>13</v>
      </c>
    </row>
    <row r="975" spans="5:5" x14ac:dyDescent="0.2">
      <c r="E975" s="3">
        <f t="shared" si="14"/>
        <v>13</v>
      </c>
    </row>
    <row r="976" spans="5:5" x14ac:dyDescent="0.2">
      <c r="E976" s="3">
        <f t="shared" si="14"/>
        <v>13</v>
      </c>
    </row>
    <row r="977" spans="5:5" x14ac:dyDescent="0.2">
      <c r="E977" s="3">
        <f t="shared" si="14"/>
        <v>13</v>
      </c>
    </row>
    <row r="978" spans="5:5" x14ac:dyDescent="0.2">
      <c r="E978" s="3">
        <f t="shared" si="14"/>
        <v>13</v>
      </c>
    </row>
    <row r="979" spans="5:5" x14ac:dyDescent="0.2">
      <c r="E979" s="3">
        <f t="shared" si="14"/>
        <v>13</v>
      </c>
    </row>
    <row r="980" spans="5:5" x14ac:dyDescent="0.2">
      <c r="E980" s="3">
        <f t="shared" si="14"/>
        <v>13</v>
      </c>
    </row>
    <row r="981" spans="5:5" x14ac:dyDescent="0.2">
      <c r="E981" s="3">
        <f t="shared" si="14"/>
        <v>13</v>
      </c>
    </row>
    <row r="982" spans="5:5" x14ac:dyDescent="0.2">
      <c r="E982" s="3">
        <f t="shared" si="14"/>
        <v>13</v>
      </c>
    </row>
    <row r="983" spans="5:5" x14ac:dyDescent="0.2">
      <c r="E983" s="3">
        <f t="shared" si="14"/>
        <v>13</v>
      </c>
    </row>
    <row r="984" spans="5:5" x14ac:dyDescent="0.2">
      <c r="E984" s="3">
        <f t="shared" si="14"/>
        <v>13</v>
      </c>
    </row>
    <row r="985" spans="5:5" x14ac:dyDescent="0.2">
      <c r="E985" s="3">
        <f t="shared" si="14"/>
        <v>13</v>
      </c>
    </row>
    <row r="986" spans="5:5" x14ac:dyDescent="0.2">
      <c r="E986" s="3">
        <f t="shared" si="14"/>
        <v>13</v>
      </c>
    </row>
    <row r="987" spans="5:5" x14ac:dyDescent="0.2">
      <c r="E987" s="3">
        <f t="shared" si="14"/>
        <v>13</v>
      </c>
    </row>
    <row r="988" spans="5:5" x14ac:dyDescent="0.2">
      <c r="E988" s="3">
        <f t="shared" si="14"/>
        <v>13</v>
      </c>
    </row>
    <row r="989" spans="5:5" x14ac:dyDescent="0.2">
      <c r="E989" s="3">
        <f t="shared" si="14"/>
        <v>13</v>
      </c>
    </row>
    <row r="990" spans="5:5" x14ac:dyDescent="0.2">
      <c r="E990" s="3">
        <f t="shared" si="14"/>
        <v>13</v>
      </c>
    </row>
    <row r="991" spans="5:5" x14ac:dyDescent="0.2">
      <c r="E991" s="3">
        <f t="shared" si="14"/>
        <v>13</v>
      </c>
    </row>
    <row r="992" spans="5:5" x14ac:dyDescent="0.2">
      <c r="E992" s="3">
        <f t="shared" ref="E992:E1055" si="15">IF(A992=$A$1,E991+1,E991)</f>
        <v>13</v>
      </c>
    </row>
    <row r="993" spans="5:5" x14ac:dyDescent="0.2">
      <c r="E993" s="3">
        <f t="shared" si="15"/>
        <v>13</v>
      </c>
    </row>
    <row r="994" spans="5:5" x14ac:dyDescent="0.2">
      <c r="E994" s="3">
        <f t="shared" si="15"/>
        <v>13</v>
      </c>
    </row>
    <row r="995" spans="5:5" x14ac:dyDescent="0.2">
      <c r="E995" s="3">
        <f t="shared" si="15"/>
        <v>13</v>
      </c>
    </row>
    <row r="996" spans="5:5" x14ac:dyDescent="0.2">
      <c r="E996" s="3">
        <f t="shared" si="15"/>
        <v>13</v>
      </c>
    </row>
    <row r="997" spans="5:5" x14ac:dyDescent="0.2">
      <c r="E997" s="3">
        <f t="shared" si="15"/>
        <v>13</v>
      </c>
    </row>
    <row r="998" spans="5:5" x14ac:dyDescent="0.2">
      <c r="E998" s="3">
        <f t="shared" si="15"/>
        <v>13</v>
      </c>
    </row>
    <row r="999" spans="5:5" x14ac:dyDescent="0.2">
      <c r="E999" s="3">
        <f t="shared" si="15"/>
        <v>13</v>
      </c>
    </row>
    <row r="1000" spans="5:5" x14ac:dyDescent="0.2">
      <c r="E1000" s="3">
        <f t="shared" si="15"/>
        <v>13</v>
      </c>
    </row>
    <row r="1001" spans="5:5" x14ac:dyDescent="0.2">
      <c r="E1001" s="3">
        <f t="shared" si="15"/>
        <v>13</v>
      </c>
    </row>
    <row r="1002" spans="5:5" x14ac:dyDescent="0.2">
      <c r="E1002" s="3">
        <f t="shared" si="15"/>
        <v>13</v>
      </c>
    </row>
    <row r="1003" spans="5:5" x14ac:dyDescent="0.2">
      <c r="E1003" s="3">
        <f t="shared" si="15"/>
        <v>13</v>
      </c>
    </row>
    <row r="1004" spans="5:5" x14ac:dyDescent="0.2">
      <c r="E1004" s="3">
        <f t="shared" si="15"/>
        <v>13</v>
      </c>
    </row>
    <row r="1005" spans="5:5" x14ac:dyDescent="0.2">
      <c r="E1005" s="3">
        <f t="shared" si="15"/>
        <v>13</v>
      </c>
    </row>
    <row r="1006" spans="5:5" x14ac:dyDescent="0.2">
      <c r="E1006" s="3">
        <f t="shared" si="15"/>
        <v>13</v>
      </c>
    </row>
    <row r="1007" spans="5:5" x14ac:dyDescent="0.2">
      <c r="E1007" s="3">
        <f t="shared" si="15"/>
        <v>13</v>
      </c>
    </row>
    <row r="1008" spans="5:5" x14ac:dyDescent="0.2">
      <c r="E1008" s="3">
        <f t="shared" si="15"/>
        <v>13</v>
      </c>
    </row>
    <row r="1009" spans="5:5" x14ac:dyDescent="0.2">
      <c r="E1009" s="3">
        <f t="shared" si="15"/>
        <v>13</v>
      </c>
    </row>
    <row r="1010" spans="5:5" x14ac:dyDescent="0.2">
      <c r="E1010" s="3">
        <f t="shared" si="15"/>
        <v>13</v>
      </c>
    </row>
    <row r="1011" spans="5:5" x14ac:dyDescent="0.2">
      <c r="E1011" s="3">
        <f t="shared" si="15"/>
        <v>13</v>
      </c>
    </row>
    <row r="1012" spans="5:5" x14ac:dyDescent="0.2">
      <c r="E1012" s="3">
        <f t="shared" si="15"/>
        <v>13</v>
      </c>
    </row>
    <row r="1013" spans="5:5" x14ac:dyDescent="0.2">
      <c r="E1013" s="3">
        <f t="shared" si="15"/>
        <v>13</v>
      </c>
    </row>
    <row r="1014" spans="5:5" x14ac:dyDescent="0.2">
      <c r="E1014" s="3">
        <f t="shared" si="15"/>
        <v>13</v>
      </c>
    </row>
    <row r="1015" spans="5:5" x14ac:dyDescent="0.2">
      <c r="E1015" s="3">
        <f t="shared" si="15"/>
        <v>13</v>
      </c>
    </row>
    <row r="1016" spans="5:5" x14ac:dyDescent="0.2">
      <c r="E1016" s="3">
        <f t="shared" si="15"/>
        <v>13</v>
      </c>
    </row>
    <row r="1017" spans="5:5" x14ac:dyDescent="0.2">
      <c r="E1017" s="3">
        <f t="shared" si="15"/>
        <v>13</v>
      </c>
    </row>
    <row r="1018" spans="5:5" x14ac:dyDescent="0.2">
      <c r="E1018" s="3">
        <f t="shared" si="15"/>
        <v>13</v>
      </c>
    </row>
    <row r="1019" spans="5:5" x14ac:dyDescent="0.2">
      <c r="E1019" s="3">
        <f t="shared" si="15"/>
        <v>13</v>
      </c>
    </row>
    <row r="1020" spans="5:5" x14ac:dyDescent="0.2">
      <c r="E1020" s="3">
        <f t="shared" si="15"/>
        <v>13</v>
      </c>
    </row>
    <row r="1021" spans="5:5" x14ac:dyDescent="0.2">
      <c r="E1021" s="3">
        <f t="shared" si="15"/>
        <v>13</v>
      </c>
    </row>
    <row r="1022" spans="5:5" x14ac:dyDescent="0.2">
      <c r="E1022" s="3">
        <f t="shared" si="15"/>
        <v>13</v>
      </c>
    </row>
    <row r="1023" spans="5:5" x14ac:dyDescent="0.2">
      <c r="E1023" s="3">
        <f t="shared" si="15"/>
        <v>13</v>
      </c>
    </row>
    <row r="1024" spans="5:5" x14ac:dyDescent="0.2">
      <c r="E1024" s="3">
        <f t="shared" si="15"/>
        <v>13</v>
      </c>
    </row>
    <row r="1025" spans="5:5" x14ac:dyDescent="0.2">
      <c r="E1025" s="3">
        <f t="shared" si="15"/>
        <v>13</v>
      </c>
    </row>
    <row r="1026" spans="5:5" x14ac:dyDescent="0.2">
      <c r="E1026" s="3">
        <f t="shared" si="15"/>
        <v>13</v>
      </c>
    </row>
    <row r="1027" spans="5:5" x14ac:dyDescent="0.2">
      <c r="E1027" s="3">
        <f t="shared" si="15"/>
        <v>13</v>
      </c>
    </row>
    <row r="1028" spans="5:5" x14ac:dyDescent="0.2">
      <c r="E1028" s="3">
        <f t="shared" si="15"/>
        <v>13</v>
      </c>
    </row>
    <row r="1029" spans="5:5" x14ac:dyDescent="0.2">
      <c r="E1029" s="3">
        <f t="shared" si="15"/>
        <v>13</v>
      </c>
    </row>
    <row r="1030" spans="5:5" x14ac:dyDescent="0.2">
      <c r="E1030" s="3">
        <f t="shared" si="15"/>
        <v>13</v>
      </c>
    </row>
    <row r="1031" spans="5:5" x14ac:dyDescent="0.2">
      <c r="E1031" s="3">
        <f t="shared" si="15"/>
        <v>13</v>
      </c>
    </row>
    <row r="1032" spans="5:5" x14ac:dyDescent="0.2">
      <c r="E1032" s="3">
        <f t="shared" si="15"/>
        <v>13</v>
      </c>
    </row>
    <row r="1033" spans="5:5" x14ac:dyDescent="0.2">
      <c r="E1033" s="3">
        <f t="shared" si="15"/>
        <v>13</v>
      </c>
    </row>
    <row r="1034" spans="5:5" x14ac:dyDescent="0.2">
      <c r="E1034" s="3">
        <f t="shared" si="15"/>
        <v>13</v>
      </c>
    </row>
    <row r="1035" spans="5:5" x14ac:dyDescent="0.2">
      <c r="E1035" s="3">
        <f t="shared" si="15"/>
        <v>13</v>
      </c>
    </row>
    <row r="1036" spans="5:5" x14ac:dyDescent="0.2">
      <c r="E1036" s="3">
        <f t="shared" si="15"/>
        <v>13</v>
      </c>
    </row>
    <row r="1037" spans="5:5" x14ac:dyDescent="0.2">
      <c r="E1037" s="3">
        <f t="shared" si="15"/>
        <v>13</v>
      </c>
    </row>
    <row r="1038" spans="5:5" x14ac:dyDescent="0.2">
      <c r="E1038" s="3">
        <f t="shared" si="15"/>
        <v>13</v>
      </c>
    </row>
    <row r="1039" spans="5:5" x14ac:dyDescent="0.2">
      <c r="E1039" s="3">
        <f t="shared" si="15"/>
        <v>13</v>
      </c>
    </row>
    <row r="1040" spans="5:5" x14ac:dyDescent="0.2">
      <c r="E1040" s="3">
        <f t="shared" si="15"/>
        <v>13</v>
      </c>
    </row>
    <row r="1041" spans="5:5" x14ac:dyDescent="0.2">
      <c r="E1041" s="3">
        <f t="shared" si="15"/>
        <v>13</v>
      </c>
    </row>
    <row r="1042" spans="5:5" x14ac:dyDescent="0.2">
      <c r="E1042" s="3">
        <f t="shared" si="15"/>
        <v>13</v>
      </c>
    </row>
    <row r="1043" spans="5:5" x14ac:dyDescent="0.2">
      <c r="E1043" s="3">
        <f t="shared" si="15"/>
        <v>13</v>
      </c>
    </row>
    <row r="1044" spans="5:5" x14ac:dyDescent="0.2">
      <c r="E1044" s="3">
        <f t="shared" si="15"/>
        <v>13</v>
      </c>
    </row>
    <row r="1045" spans="5:5" x14ac:dyDescent="0.2">
      <c r="E1045" s="3">
        <f t="shared" si="15"/>
        <v>13</v>
      </c>
    </row>
    <row r="1046" spans="5:5" x14ac:dyDescent="0.2">
      <c r="E1046" s="3">
        <f t="shared" si="15"/>
        <v>13</v>
      </c>
    </row>
    <row r="1047" spans="5:5" x14ac:dyDescent="0.2">
      <c r="E1047" s="3">
        <f t="shared" si="15"/>
        <v>13</v>
      </c>
    </row>
    <row r="1048" spans="5:5" x14ac:dyDescent="0.2">
      <c r="E1048" s="3">
        <f t="shared" si="15"/>
        <v>13</v>
      </c>
    </row>
    <row r="1049" spans="5:5" x14ac:dyDescent="0.2">
      <c r="E1049" s="3">
        <f t="shared" si="15"/>
        <v>13</v>
      </c>
    </row>
    <row r="1050" spans="5:5" x14ac:dyDescent="0.2">
      <c r="E1050" s="3">
        <f t="shared" si="15"/>
        <v>13</v>
      </c>
    </row>
    <row r="1051" spans="5:5" x14ac:dyDescent="0.2">
      <c r="E1051" s="3">
        <f t="shared" si="15"/>
        <v>13</v>
      </c>
    </row>
    <row r="1052" spans="5:5" x14ac:dyDescent="0.2">
      <c r="E1052" s="3">
        <f t="shared" si="15"/>
        <v>13</v>
      </c>
    </row>
    <row r="1053" spans="5:5" x14ac:dyDescent="0.2">
      <c r="E1053" s="3">
        <f t="shared" si="15"/>
        <v>13</v>
      </c>
    </row>
    <row r="1054" spans="5:5" x14ac:dyDescent="0.2">
      <c r="E1054" s="3">
        <f t="shared" si="15"/>
        <v>13</v>
      </c>
    </row>
    <row r="1055" spans="5:5" x14ac:dyDescent="0.2">
      <c r="E1055" s="3">
        <f t="shared" si="15"/>
        <v>13</v>
      </c>
    </row>
    <row r="1056" spans="5:5" x14ac:dyDescent="0.2">
      <c r="E1056" s="3">
        <f t="shared" ref="E1056:E1119" si="16">IF(A1056=$A$1,E1055+1,E1055)</f>
        <v>13</v>
      </c>
    </row>
    <row r="1057" spans="5:5" x14ac:dyDescent="0.2">
      <c r="E1057" s="3">
        <f t="shared" si="16"/>
        <v>13</v>
      </c>
    </row>
    <row r="1058" spans="5:5" x14ac:dyDescent="0.2">
      <c r="E1058" s="3">
        <f t="shared" si="16"/>
        <v>13</v>
      </c>
    </row>
    <row r="1059" spans="5:5" x14ac:dyDescent="0.2">
      <c r="E1059" s="3">
        <f t="shared" si="16"/>
        <v>13</v>
      </c>
    </row>
    <row r="1060" spans="5:5" x14ac:dyDescent="0.2">
      <c r="E1060" s="3">
        <f t="shared" si="16"/>
        <v>13</v>
      </c>
    </row>
    <row r="1061" spans="5:5" x14ac:dyDescent="0.2">
      <c r="E1061" s="3">
        <f t="shared" si="16"/>
        <v>13</v>
      </c>
    </row>
    <row r="1062" spans="5:5" x14ac:dyDescent="0.2">
      <c r="E1062" s="3">
        <f t="shared" si="16"/>
        <v>13</v>
      </c>
    </row>
    <row r="1063" spans="5:5" x14ac:dyDescent="0.2">
      <c r="E1063" s="3">
        <f t="shared" si="16"/>
        <v>13</v>
      </c>
    </row>
    <row r="1064" spans="5:5" x14ac:dyDescent="0.2">
      <c r="E1064" s="3">
        <f t="shared" si="16"/>
        <v>13</v>
      </c>
    </row>
    <row r="1065" spans="5:5" x14ac:dyDescent="0.2">
      <c r="E1065" s="3">
        <f t="shared" si="16"/>
        <v>13</v>
      </c>
    </row>
    <row r="1066" spans="5:5" x14ac:dyDescent="0.2">
      <c r="E1066" s="3">
        <f t="shared" si="16"/>
        <v>13</v>
      </c>
    </row>
    <row r="1067" spans="5:5" x14ac:dyDescent="0.2">
      <c r="E1067" s="3">
        <f t="shared" si="16"/>
        <v>13</v>
      </c>
    </row>
    <row r="1068" spans="5:5" x14ac:dyDescent="0.2">
      <c r="E1068" s="3">
        <f t="shared" si="16"/>
        <v>13</v>
      </c>
    </row>
    <row r="1069" spans="5:5" x14ac:dyDescent="0.2">
      <c r="E1069" s="3">
        <f t="shared" si="16"/>
        <v>13</v>
      </c>
    </row>
    <row r="1070" spans="5:5" x14ac:dyDescent="0.2">
      <c r="E1070" s="3">
        <f t="shared" si="16"/>
        <v>13</v>
      </c>
    </row>
    <row r="1071" spans="5:5" x14ac:dyDescent="0.2">
      <c r="E1071" s="3">
        <f t="shared" si="16"/>
        <v>13</v>
      </c>
    </row>
    <row r="1072" spans="5:5" x14ac:dyDescent="0.2">
      <c r="E1072" s="3">
        <f t="shared" si="16"/>
        <v>13</v>
      </c>
    </row>
    <row r="1073" spans="5:5" x14ac:dyDescent="0.2">
      <c r="E1073" s="3">
        <f t="shared" si="16"/>
        <v>13</v>
      </c>
    </row>
    <row r="1074" spans="5:5" x14ac:dyDescent="0.2">
      <c r="E1074" s="3">
        <f t="shared" si="16"/>
        <v>13</v>
      </c>
    </row>
    <row r="1075" spans="5:5" x14ac:dyDescent="0.2">
      <c r="E1075" s="3">
        <f t="shared" si="16"/>
        <v>13</v>
      </c>
    </row>
    <row r="1076" spans="5:5" x14ac:dyDescent="0.2">
      <c r="E1076" s="3">
        <f t="shared" si="16"/>
        <v>13</v>
      </c>
    </row>
    <row r="1077" spans="5:5" x14ac:dyDescent="0.2">
      <c r="E1077" s="3">
        <f t="shared" si="16"/>
        <v>13</v>
      </c>
    </row>
    <row r="1078" spans="5:5" x14ac:dyDescent="0.2">
      <c r="E1078" s="3">
        <f t="shared" si="16"/>
        <v>13</v>
      </c>
    </row>
    <row r="1079" spans="5:5" x14ac:dyDescent="0.2">
      <c r="E1079" s="3">
        <f t="shared" si="16"/>
        <v>13</v>
      </c>
    </row>
    <row r="1080" spans="5:5" x14ac:dyDescent="0.2">
      <c r="E1080" s="3">
        <f t="shared" si="16"/>
        <v>13</v>
      </c>
    </row>
    <row r="1081" spans="5:5" x14ac:dyDescent="0.2">
      <c r="E1081" s="3">
        <f t="shared" si="16"/>
        <v>13</v>
      </c>
    </row>
    <row r="1082" spans="5:5" x14ac:dyDescent="0.2">
      <c r="E1082" s="3">
        <f t="shared" si="16"/>
        <v>13</v>
      </c>
    </row>
    <row r="1083" spans="5:5" x14ac:dyDescent="0.2">
      <c r="E1083" s="3">
        <f t="shared" si="16"/>
        <v>13</v>
      </c>
    </row>
    <row r="1084" spans="5:5" x14ac:dyDescent="0.2">
      <c r="E1084" s="3">
        <f t="shared" si="16"/>
        <v>13</v>
      </c>
    </row>
    <row r="1085" spans="5:5" x14ac:dyDescent="0.2">
      <c r="E1085" s="3">
        <f t="shared" si="16"/>
        <v>13</v>
      </c>
    </row>
    <row r="1086" spans="5:5" x14ac:dyDescent="0.2">
      <c r="E1086" s="3">
        <f t="shared" si="16"/>
        <v>13</v>
      </c>
    </row>
    <row r="1087" spans="5:5" x14ac:dyDescent="0.2">
      <c r="E1087" s="3">
        <f t="shared" si="16"/>
        <v>13</v>
      </c>
    </row>
    <row r="1088" spans="5:5" x14ac:dyDescent="0.2">
      <c r="E1088" s="3">
        <f t="shared" si="16"/>
        <v>13</v>
      </c>
    </row>
    <row r="1089" spans="5:5" x14ac:dyDescent="0.2">
      <c r="E1089" s="3">
        <f t="shared" si="16"/>
        <v>13</v>
      </c>
    </row>
    <row r="1090" spans="5:5" x14ac:dyDescent="0.2">
      <c r="E1090" s="3">
        <f t="shared" si="16"/>
        <v>13</v>
      </c>
    </row>
    <row r="1091" spans="5:5" x14ac:dyDescent="0.2">
      <c r="E1091" s="3">
        <f t="shared" si="16"/>
        <v>13</v>
      </c>
    </row>
    <row r="1092" spans="5:5" x14ac:dyDescent="0.2">
      <c r="E1092" s="3">
        <f t="shared" si="16"/>
        <v>13</v>
      </c>
    </row>
    <row r="1093" spans="5:5" x14ac:dyDescent="0.2">
      <c r="E1093" s="3">
        <f t="shared" si="16"/>
        <v>13</v>
      </c>
    </row>
    <row r="1094" spans="5:5" x14ac:dyDescent="0.2">
      <c r="E1094" s="3">
        <f t="shared" si="16"/>
        <v>13</v>
      </c>
    </row>
    <row r="1095" spans="5:5" x14ac:dyDescent="0.2">
      <c r="E1095" s="3">
        <f t="shared" si="16"/>
        <v>13</v>
      </c>
    </row>
    <row r="1096" spans="5:5" x14ac:dyDescent="0.2">
      <c r="E1096" s="3">
        <f t="shared" si="16"/>
        <v>13</v>
      </c>
    </row>
    <row r="1097" spans="5:5" x14ac:dyDescent="0.2">
      <c r="E1097" s="3">
        <f t="shared" si="16"/>
        <v>13</v>
      </c>
    </row>
    <row r="1098" spans="5:5" x14ac:dyDescent="0.2">
      <c r="E1098" s="3">
        <f t="shared" si="16"/>
        <v>13</v>
      </c>
    </row>
    <row r="1099" spans="5:5" x14ac:dyDescent="0.2">
      <c r="E1099" s="3">
        <f t="shared" si="16"/>
        <v>13</v>
      </c>
    </row>
    <row r="1100" spans="5:5" x14ac:dyDescent="0.2">
      <c r="E1100" s="3">
        <f t="shared" si="16"/>
        <v>13</v>
      </c>
    </row>
    <row r="1101" spans="5:5" x14ac:dyDescent="0.2">
      <c r="E1101" s="3">
        <f t="shared" si="16"/>
        <v>13</v>
      </c>
    </row>
    <row r="1102" spans="5:5" x14ac:dyDescent="0.2">
      <c r="E1102" s="3">
        <f t="shared" si="16"/>
        <v>13</v>
      </c>
    </row>
    <row r="1103" spans="5:5" x14ac:dyDescent="0.2">
      <c r="E1103" s="3">
        <f t="shared" si="16"/>
        <v>13</v>
      </c>
    </row>
    <row r="1104" spans="5:5" x14ac:dyDescent="0.2">
      <c r="E1104" s="3">
        <f t="shared" si="16"/>
        <v>13</v>
      </c>
    </row>
    <row r="1105" spans="5:5" x14ac:dyDescent="0.2">
      <c r="E1105" s="3">
        <f t="shared" si="16"/>
        <v>13</v>
      </c>
    </row>
    <row r="1106" spans="5:5" x14ac:dyDescent="0.2">
      <c r="E1106" s="3">
        <f t="shared" si="16"/>
        <v>13</v>
      </c>
    </row>
    <row r="1107" spans="5:5" x14ac:dyDescent="0.2">
      <c r="E1107" s="3">
        <f t="shared" si="16"/>
        <v>13</v>
      </c>
    </row>
    <row r="1108" spans="5:5" x14ac:dyDescent="0.2">
      <c r="E1108" s="3">
        <f t="shared" si="16"/>
        <v>13</v>
      </c>
    </row>
    <row r="1109" spans="5:5" x14ac:dyDescent="0.2">
      <c r="E1109" s="3">
        <f t="shared" si="16"/>
        <v>13</v>
      </c>
    </row>
    <row r="1110" spans="5:5" x14ac:dyDescent="0.2">
      <c r="E1110" s="3">
        <f t="shared" si="16"/>
        <v>13</v>
      </c>
    </row>
    <row r="1111" spans="5:5" x14ac:dyDescent="0.2">
      <c r="E1111" s="3">
        <f t="shared" si="16"/>
        <v>13</v>
      </c>
    </row>
    <row r="1112" spans="5:5" x14ac:dyDescent="0.2">
      <c r="E1112" s="3">
        <f t="shared" si="16"/>
        <v>13</v>
      </c>
    </row>
    <row r="1113" spans="5:5" x14ac:dyDescent="0.2">
      <c r="E1113" s="3">
        <f t="shared" si="16"/>
        <v>13</v>
      </c>
    </row>
    <row r="1114" spans="5:5" x14ac:dyDescent="0.2">
      <c r="E1114" s="3">
        <f t="shared" si="16"/>
        <v>13</v>
      </c>
    </row>
    <row r="1115" spans="5:5" x14ac:dyDescent="0.2">
      <c r="E1115" s="3">
        <f t="shared" si="16"/>
        <v>13</v>
      </c>
    </row>
    <row r="1116" spans="5:5" x14ac:dyDescent="0.2">
      <c r="E1116" s="3">
        <f t="shared" si="16"/>
        <v>13</v>
      </c>
    </row>
    <row r="1117" spans="5:5" x14ac:dyDescent="0.2">
      <c r="E1117" s="3">
        <f t="shared" si="16"/>
        <v>13</v>
      </c>
    </row>
    <row r="1118" spans="5:5" x14ac:dyDescent="0.2">
      <c r="E1118" s="3">
        <f t="shared" si="16"/>
        <v>13</v>
      </c>
    </row>
    <row r="1119" spans="5:5" x14ac:dyDescent="0.2">
      <c r="E1119" s="3">
        <f t="shared" si="16"/>
        <v>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8E41E-056E-334B-B839-8DF5869C12C4}">
  <sheetPr codeName="Sheet7"/>
  <dimension ref="A1:E570"/>
  <sheetViews>
    <sheetView zoomScale="73" zoomScaleNormal="73" workbookViewId="0">
      <selection activeCell="A860" sqref="A1:D1048576"/>
    </sheetView>
  </sheetViews>
  <sheetFormatPr baseColWidth="10" defaultRowHeight="16" x14ac:dyDescent="0.2"/>
  <cols>
    <col min="5" max="5" width="23.83203125" bestFit="1" customWidth="1"/>
  </cols>
  <sheetData>
    <row r="1" spans="1:5" x14ac:dyDescent="0.2">
      <c r="A1">
        <v>1</v>
      </c>
      <c r="B1" t="s">
        <v>45</v>
      </c>
      <c r="C1">
        <v>5</v>
      </c>
      <c r="D1">
        <v>16</v>
      </c>
      <c r="E1" t="str">
        <f t="shared" ref="E1:E12" si="0">B1&amp;"/"&amp;D1&amp;"/"&amp;A1&amp;"/"&amp;C1</f>
        <v>yaltar/16/1/5</v>
      </c>
    </row>
    <row r="2" spans="1:5" x14ac:dyDescent="0.2">
      <c r="A2">
        <v>2</v>
      </c>
      <c r="B2" t="s">
        <v>25</v>
      </c>
      <c r="C2">
        <v>0</v>
      </c>
      <c r="D2">
        <v>12</v>
      </c>
      <c r="E2" t="str">
        <f t="shared" si="0"/>
        <v>Claudius/12/2/0</v>
      </c>
    </row>
    <row r="3" spans="1:5" x14ac:dyDescent="0.2">
      <c r="A3">
        <v>3</v>
      </c>
      <c r="B3" t="s">
        <v>74</v>
      </c>
      <c r="C3">
        <v>0</v>
      </c>
      <c r="D3">
        <v>8</v>
      </c>
      <c r="E3" t="str">
        <f t="shared" si="0"/>
        <v>PatB/8/3/0</v>
      </c>
    </row>
    <row r="4" spans="1:5" x14ac:dyDescent="0.2">
      <c r="A4">
        <v>4</v>
      </c>
      <c r="B4" t="s">
        <v>31</v>
      </c>
      <c r="C4">
        <v>0</v>
      </c>
      <c r="D4">
        <v>4</v>
      </c>
      <c r="E4" t="str">
        <f t="shared" si="0"/>
        <v>CHRIS92340/4/4/0</v>
      </c>
    </row>
    <row r="5" spans="1:5" x14ac:dyDescent="0.2">
      <c r="A5">
        <v>5</v>
      </c>
      <c r="B5" t="s">
        <v>96</v>
      </c>
      <c r="C5">
        <v>0</v>
      </c>
      <c r="D5">
        <v>2</v>
      </c>
      <c r="E5" t="str">
        <f t="shared" si="0"/>
        <v>Gui/2/5/0</v>
      </c>
    </row>
    <row r="6" spans="1:5" x14ac:dyDescent="0.2">
      <c r="A6">
        <v>6</v>
      </c>
      <c r="B6" t="s">
        <v>28</v>
      </c>
      <c r="C6">
        <v>0</v>
      </c>
      <c r="D6">
        <v>1</v>
      </c>
      <c r="E6" t="str">
        <f t="shared" si="0"/>
        <v>sobab/1/6/0</v>
      </c>
    </row>
    <row r="7" spans="1:5" x14ac:dyDescent="0.2">
      <c r="A7">
        <v>1</v>
      </c>
      <c r="B7" t="s">
        <v>41</v>
      </c>
      <c r="C7">
        <v>2</v>
      </c>
      <c r="D7">
        <v>16</v>
      </c>
      <c r="E7" t="str">
        <f t="shared" si="0"/>
        <v>gibouille/16/1/2</v>
      </c>
    </row>
    <row r="8" spans="1:5" x14ac:dyDescent="0.2">
      <c r="A8">
        <v>2</v>
      </c>
      <c r="B8" t="s">
        <v>101</v>
      </c>
      <c r="C8">
        <v>1</v>
      </c>
      <c r="D8">
        <v>12</v>
      </c>
      <c r="E8" t="str">
        <f t="shared" si="0"/>
        <v>ChrisFrankfurt/12/2/1</v>
      </c>
    </row>
    <row r="9" spans="1:5" x14ac:dyDescent="0.2">
      <c r="A9">
        <v>3</v>
      </c>
      <c r="B9" t="s">
        <v>102</v>
      </c>
      <c r="C9">
        <v>1</v>
      </c>
      <c r="D9">
        <v>8</v>
      </c>
      <c r="E9" t="str">
        <f t="shared" si="0"/>
        <v>Doudoululu/8/3/1</v>
      </c>
    </row>
    <row r="10" spans="1:5" x14ac:dyDescent="0.2">
      <c r="A10">
        <v>4</v>
      </c>
      <c r="B10" t="s">
        <v>9</v>
      </c>
      <c r="C10">
        <v>1</v>
      </c>
      <c r="D10">
        <v>4</v>
      </c>
      <c r="E10" t="str">
        <f t="shared" si="0"/>
        <v>K1/4/4/1</v>
      </c>
    </row>
    <row r="11" spans="1:5" x14ac:dyDescent="0.2">
      <c r="A11">
        <v>5</v>
      </c>
      <c r="B11" t="s">
        <v>40</v>
      </c>
      <c r="C11">
        <v>0</v>
      </c>
      <c r="D11">
        <v>2</v>
      </c>
      <c r="E11" t="str">
        <f t="shared" si="0"/>
        <v>Lén@/2/5/0</v>
      </c>
    </row>
    <row r="12" spans="1:5" x14ac:dyDescent="0.2">
      <c r="A12">
        <v>6</v>
      </c>
      <c r="B12" t="s">
        <v>26</v>
      </c>
      <c r="C12">
        <v>0</v>
      </c>
      <c r="D12">
        <v>1</v>
      </c>
      <c r="E12" t="str">
        <f t="shared" si="0"/>
        <v>LOSOGRE/1/6/0</v>
      </c>
    </row>
    <row r="13" spans="1:5" x14ac:dyDescent="0.2">
      <c r="A13">
        <v>1</v>
      </c>
      <c r="B13" t="s">
        <v>87</v>
      </c>
      <c r="C13">
        <v>2</v>
      </c>
      <c r="D13">
        <v>15</v>
      </c>
      <c r="E13" t="str">
        <f t="shared" ref="E13:E25" si="1">B13&amp;"/"&amp;D13&amp;"/"&amp;A13&amp;"/"&amp;C13</f>
        <v>Proph@ne/15/1/2</v>
      </c>
    </row>
    <row r="14" spans="1:5" x14ac:dyDescent="0.2">
      <c r="A14">
        <v>2</v>
      </c>
      <c r="B14" t="s">
        <v>8</v>
      </c>
      <c r="C14">
        <v>1</v>
      </c>
      <c r="D14">
        <v>11</v>
      </c>
      <c r="E14" t="str">
        <f t="shared" si="1"/>
        <v>Maxime/11/2/1</v>
      </c>
    </row>
    <row r="15" spans="1:5" x14ac:dyDescent="0.2">
      <c r="A15">
        <v>3</v>
      </c>
      <c r="B15" t="s">
        <v>33</v>
      </c>
      <c r="C15">
        <v>1</v>
      </c>
      <c r="D15">
        <v>7</v>
      </c>
      <c r="E15" t="str">
        <f t="shared" si="1"/>
        <v>Ptit Savoyard/7/3/1</v>
      </c>
    </row>
    <row r="16" spans="1:5" x14ac:dyDescent="0.2">
      <c r="A16">
        <v>4</v>
      </c>
      <c r="B16" t="s">
        <v>47</v>
      </c>
      <c r="C16">
        <v>0</v>
      </c>
      <c r="D16">
        <v>3</v>
      </c>
      <c r="E16" t="str">
        <f t="shared" si="1"/>
        <v>Logan/3/4/0</v>
      </c>
    </row>
    <row r="17" spans="1:5" x14ac:dyDescent="0.2">
      <c r="A17">
        <v>5</v>
      </c>
      <c r="B17" t="s">
        <v>23</v>
      </c>
      <c r="C17">
        <v>0</v>
      </c>
      <c r="D17">
        <v>1</v>
      </c>
      <c r="E17" t="str">
        <f t="shared" si="1"/>
        <v>Lylith75/1/5/0</v>
      </c>
    </row>
    <row r="18" spans="1:5" x14ac:dyDescent="0.2">
      <c r="A18">
        <v>1</v>
      </c>
      <c r="B18" t="s">
        <v>22</v>
      </c>
      <c r="C18">
        <v>2</v>
      </c>
      <c r="D18">
        <v>16</v>
      </c>
      <c r="E18" t="str">
        <f t="shared" si="1"/>
        <v>Dart 45/16/1/2</v>
      </c>
    </row>
    <row r="19" spans="1:5" x14ac:dyDescent="0.2">
      <c r="A19">
        <v>2</v>
      </c>
      <c r="B19" t="s">
        <v>103</v>
      </c>
      <c r="C19">
        <v>1</v>
      </c>
      <c r="D19">
        <v>12</v>
      </c>
      <c r="E19" t="str">
        <f t="shared" si="1"/>
        <v>zzav/12/2/1</v>
      </c>
    </row>
    <row r="20" spans="1:5" x14ac:dyDescent="0.2">
      <c r="A20">
        <v>3</v>
      </c>
      <c r="B20" t="s">
        <v>18</v>
      </c>
      <c r="C20">
        <v>1</v>
      </c>
      <c r="D20">
        <v>8</v>
      </c>
      <c r="E20" t="str">
        <f t="shared" si="1"/>
        <v>MAMS/8/3/1</v>
      </c>
    </row>
    <row r="21" spans="1:5" x14ac:dyDescent="0.2">
      <c r="A21">
        <v>4</v>
      </c>
      <c r="B21" t="s">
        <v>32</v>
      </c>
      <c r="C21">
        <v>1</v>
      </c>
      <c r="D21">
        <v>4</v>
      </c>
      <c r="E21" t="str">
        <f t="shared" si="1"/>
        <v>OlivierN92/4/4/1</v>
      </c>
    </row>
    <row r="22" spans="1:5" x14ac:dyDescent="0.2">
      <c r="A22">
        <v>5</v>
      </c>
      <c r="B22" t="s">
        <v>19</v>
      </c>
      <c r="C22">
        <v>0</v>
      </c>
      <c r="D22">
        <v>2</v>
      </c>
      <c r="E22" t="str">
        <f t="shared" si="1"/>
        <v>Giobeck/2/5/0</v>
      </c>
    </row>
    <row r="23" spans="1:5" x14ac:dyDescent="0.2">
      <c r="A23">
        <v>6</v>
      </c>
      <c r="B23" t="s">
        <v>75</v>
      </c>
      <c r="C23">
        <v>0</v>
      </c>
      <c r="D23">
        <v>1</v>
      </c>
      <c r="E23" t="str">
        <f t="shared" si="1"/>
        <v>Michelbey/1/6/0</v>
      </c>
    </row>
    <row r="24" spans="1:5" x14ac:dyDescent="0.2">
      <c r="A24">
        <v>1</v>
      </c>
      <c r="B24" t="s">
        <v>46</v>
      </c>
      <c r="C24">
        <v>3</v>
      </c>
      <c r="D24">
        <v>15</v>
      </c>
      <c r="E24" t="str">
        <f t="shared" si="1"/>
        <v>Jérôme/15/1/3</v>
      </c>
    </row>
    <row r="25" spans="1:5" x14ac:dyDescent="0.2">
      <c r="A25">
        <v>2</v>
      </c>
      <c r="B25" t="s">
        <v>35</v>
      </c>
      <c r="C25">
        <v>1</v>
      </c>
      <c r="D25">
        <v>11</v>
      </c>
      <c r="E25" t="str">
        <f t="shared" si="1"/>
        <v>JeanMichelTiming/11/2/1</v>
      </c>
    </row>
    <row r="26" spans="1:5" x14ac:dyDescent="0.2">
      <c r="A26">
        <v>3</v>
      </c>
      <c r="B26" t="s">
        <v>6</v>
      </c>
      <c r="C26">
        <v>0</v>
      </c>
      <c r="D26">
        <v>7</v>
      </c>
      <c r="E26" t="str">
        <f t="shared" ref="E26:E40" si="2">B26&amp;"/"&amp;D26&amp;"/"&amp;A26&amp;"/"&amp;C26</f>
        <v>Pyja/7/3/0</v>
      </c>
    </row>
    <row r="27" spans="1:5" x14ac:dyDescent="0.2">
      <c r="A27">
        <v>4</v>
      </c>
      <c r="B27" t="s">
        <v>69</v>
      </c>
      <c r="C27">
        <v>0</v>
      </c>
      <c r="D27">
        <v>3</v>
      </c>
      <c r="E27" t="str">
        <f t="shared" si="2"/>
        <v>Catherine/3/4/0</v>
      </c>
    </row>
    <row r="28" spans="1:5" x14ac:dyDescent="0.2">
      <c r="A28">
        <v>5</v>
      </c>
      <c r="B28" t="s">
        <v>15</v>
      </c>
      <c r="C28">
        <v>0</v>
      </c>
      <c r="D28">
        <v>1</v>
      </c>
      <c r="E28" t="str">
        <f t="shared" si="2"/>
        <v>LAAtof/1/5/0</v>
      </c>
    </row>
    <row r="29" spans="1:5" x14ac:dyDescent="0.2">
      <c r="A29">
        <v>1</v>
      </c>
      <c r="B29" t="s">
        <v>55</v>
      </c>
      <c r="C29">
        <v>4</v>
      </c>
      <c r="D29">
        <v>16</v>
      </c>
      <c r="E29" t="str">
        <f t="shared" si="2"/>
        <v>Bounette/16/1/4</v>
      </c>
    </row>
    <row r="30" spans="1:5" x14ac:dyDescent="0.2">
      <c r="A30">
        <v>2</v>
      </c>
      <c r="B30" t="s">
        <v>60</v>
      </c>
      <c r="C30">
        <v>1</v>
      </c>
      <c r="D30">
        <v>12</v>
      </c>
      <c r="E30" t="str">
        <f t="shared" si="2"/>
        <v>zizou/12/2/1</v>
      </c>
    </row>
    <row r="31" spans="1:5" x14ac:dyDescent="0.2">
      <c r="A31">
        <v>3</v>
      </c>
      <c r="B31" t="s">
        <v>14</v>
      </c>
      <c r="C31">
        <v>0</v>
      </c>
      <c r="D31">
        <v>8</v>
      </c>
      <c r="E31" t="str">
        <f t="shared" si="2"/>
        <v>Ramm/8/3/0</v>
      </c>
    </row>
    <row r="32" spans="1:5" x14ac:dyDescent="0.2">
      <c r="A32">
        <v>4</v>
      </c>
      <c r="B32" t="s">
        <v>97</v>
      </c>
      <c r="C32">
        <v>0</v>
      </c>
      <c r="D32">
        <v>4</v>
      </c>
      <c r="E32" t="str">
        <f t="shared" si="2"/>
        <v>Quartz/4/4/0</v>
      </c>
    </row>
    <row r="33" spans="1:5" x14ac:dyDescent="0.2">
      <c r="A33">
        <v>5</v>
      </c>
      <c r="B33" t="s">
        <v>59</v>
      </c>
      <c r="C33">
        <v>0</v>
      </c>
      <c r="D33">
        <v>2</v>
      </c>
      <c r="E33" t="str">
        <f t="shared" si="2"/>
        <v>YooooDA/2/5/0</v>
      </c>
    </row>
    <row r="34" spans="1:5" x14ac:dyDescent="0.2">
      <c r="A34">
        <v>6</v>
      </c>
      <c r="B34" t="s">
        <v>39</v>
      </c>
      <c r="C34">
        <v>0</v>
      </c>
      <c r="D34">
        <v>1</v>
      </c>
      <c r="E34" t="str">
        <f t="shared" si="2"/>
        <v>kheops/1/6/0</v>
      </c>
    </row>
    <row r="35" spans="1:5" x14ac:dyDescent="0.2">
      <c r="A35">
        <v>1</v>
      </c>
      <c r="B35" t="s">
        <v>12</v>
      </c>
      <c r="C35">
        <v>4</v>
      </c>
      <c r="D35">
        <v>16</v>
      </c>
      <c r="E35" t="str">
        <f t="shared" si="2"/>
        <v>Gnak/16/1/4</v>
      </c>
    </row>
    <row r="36" spans="1:5" x14ac:dyDescent="0.2">
      <c r="A36">
        <v>2</v>
      </c>
      <c r="B36" t="s">
        <v>46</v>
      </c>
      <c r="C36">
        <v>1</v>
      </c>
      <c r="D36">
        <v>12</v>
      </c>
      <c r="E36" t="str">
        <f t="shared" si="2"/>
        <v>Jérôme/12/2/1</v>
      </c>
    </row>
    <row r="37" spans="1:5" x14ac:dyDescent="0.2">
      <c r="A37">
        <v>3</v>
      </c>
      <c r="B37" t="s">
        <v>102</v>
      </c>
      <c r="C37">
        <v>0</v>
      </c>
      <c r="D37">
        <v>8</v>
      </c>
      <c r="E37" t="str">
        <f t="shared" si="2"/>
        <v>Doudoululu/8/3/0</v>
      </c>
    </row>
    <row r="38" spans="1:5" x14ac:dyDescent="0.2">
      <c r="A38">
        <v>4</v>
      </c>
      <c r="B38" t="s">
        <v>45</v>
      </c>
      <c r="C38">
        <v>0</v>
      </c>
      <c r="D38">
        <v>4</v>
      </c>
      <c r="E38" t="str">
        <f t="shared" si="2"/>
        <v>yaltar/4/4/0</v>
      </c>
    </row>
    <row r="39" spans="1:5" x14ac:dyDescent="0.2">
      <c r="A39">
        <v>5</v>
      </c>
      <c r="B39" t="s">
        <v>32</v>
      </c>
      <c r="C39">
        <v>0</v>
      </c>
      <c r="D39">
        <v>2</v>
      </c>
      <c r="E39" t="str">
        <f t="shared" si="2"/>
        <v>OlivierN92/2/5/0</v>
      </c>
    </row>
    <row r="40" spans="1:5" x14ac:dyDescent="0.2">
      <c r="A40">
        <v>6</v>
      </c>
      <c r="B40" t="s">
        <v>69</v>
      </c>
      <c r="C40">
        <v>0</v>
      </c>
      <c r="D40">
        <v>1</v>
      </c>
      <c r="E40" t="str">
        <f t="shared" si="2"/>
        <v>Catherine/1/6/0</v>
      </c>
    </row>
    <row r="41" spans="1:5" x14ac:dyDescent="0.2">
      <c r="A41">
        <v>1</v>
      </c>
      <c r="B41" t="s">
        <v>8</v>
      </c>
      <c r="C41">
        <v>1</v>
      </c>
      <c r="D41">
        <v>16</v>
      </c>
      <c r="E41" t="str">
        <f t="shared" ref="E41:E56" si="3">B41&amp;"/"&amp;D41&amp;"/"&amp;A41&amp;"/"&amp;C41</f>
        <v>Maxime/16/1/1</v>
      </c>
    </row>
    <row r="42" spans="1:5" x14ac:dyDescent="0.2">
      <c r="A42">
        <v>2</v>
      </c>
      <c r="B42" t="s">
        <v>42</v>
      </c>
      <c r="C42">
        <v>3</v>
      </c>
      <c r="D42">
        <v>12</v>
      </c>
      <c r="E42" t="str">
        <f t="shared" si="3"/>
        <v>Claptou/12/2/3</v>
      </c>
    </row>
    <row r="43" spans="1:5" x14ac:dyDescent="0.2">
      <c r="A43">
        <v>3</v>
      </c>
      <c r="B43" t="s">
        <v>40</v>
      </c>
      <c r="C43">
        <v>1</v>
      </c>
      <c r="D43">
        <v>8</v>
      </c>
      <c r="E43" t="str">
        <f t="shared" si="3"/>
        <v>Lén@/8/3/1</v>
      </c>
    </row>
    <row r="44" spans="1:5" x14ac:dyDescent="0.2">
      <c r="A44">
        <v>4</v>
      </c>
      <c r="B44" t="s">
        <v>65</v>
      </c>
      <c r="C44">
        <v>0</v>
      </c>
      <c r="D44">
        <v>4</v>
      </c>
      <c r="E44" t="str">
        <f t="shared" si="3"/>
        <v>Ripolin/4/4/0</v>
      </c>
    </row>
    <row r="45" spans="1:5" x14ac:dyDescent="0.2">
      <c r="A45">
        <v>5</v>
      </c>
      <c r="B45" t="s">
        <v>101</v>
      </c>
      <c r="C45">
        <v>0</v>
      </c>
      <c r="D45">
        <v>2</v>
      </c>
      <c r="E45" t="str">
        <f t="shared" si="3"/>
        <v>ChrisFrankfurt/2/5/0</v>
      </c>
    </row>
    <row r="46" spans="1:5" x14ac:dyDescent="0.2">
      <c r="A46">
        <v>6</v>
      </c>
      <c r="B46" t="s">
        <v>28</v>
      </c>
      <c r="C46">
        <v>0</v>
      </c>
      <c r="D46">
        <v>1</v>
      </c>
      <c r="E46" t="str">
        <f t="shared" si="3"/>
        <v>sobab/1/6/0</v>
      </c>
    </row>
    <row r="47" spans="1:5" x14ac:dyDescent="0.2">
      <c r="A47">
        <v>1</v>
      </c>
      <c r="B47" t="s">
        <v>14</v>
      </c>
      <c r="C47">
        <v>2</v>
      </c>
      <c r="D47">
        <v>16</v>
      </c>
      <c r="E47" t="str">
        <f t="shared" si="3"/>
        <v>Ramm/16/1/2</v>
      </c>
    </row>
    <row r="48" spans="1:5" x14ac:dyDescent="0.2">
      <c r="A48">
        <v>2</v>
      </c>
      <c r="B48" t="s">
        <v>74</v>
      </c>
      <c r="C48">
        <v>2</v>
      </c>
      <c r="D48">
        <v>12</v>
      </c>
      <c r="E48" t="str">
        <f t="shared" si="3"/>
        <v>PatB/12/2/2</v>
      </c>
    </row>
    <row r="49" spans="1:5" x14ac:dyDescent="0.2">
      <c r="A49">
        <v>3</v>
      </c>
      <c r="B49" t="s">
        <v>9</v>
      </c>
      <c r="C49">
        <v>0</v>
      </c>
      <c r="D49">
        <v>8</v>
      </c>
      <c r="E49" t="str">
        <f t="shared" si="3"/>
        <v>K1/8/3/0</v>
      </c>
    </row>
    <row r="50" spans="1:5" x14ac:dyDescent="0.2">
      <c r="A50">
        <v>4</v>
      </c>
      <c r="B50" t="s">
        <v>41</v>
      </c>
      <c r="C50">
        <v>1</v>
      </c>
      <c r="D50">
        <v>4</v>
      </c>
      <c r="E50" t="str">
        <f t="shared" si="3"/>
        <v>gibouille/4/4/1</v>
      </c>
    </row>
    <row r="51" spans="1:5" x14ac:dyDescent="0.2">
      <c r="A51">
        <v>5</v>
      </c>
      <c r="B51" t="s">
        <v>33</v>
      </c>
      <c r="C51">
        <v>0</v>
      </c>
      <c r="D51">
        <v>2</v>
      </c>
      <c r="E51" t="str">
        <f t="shared" si="3"/>
        <v>Ptit Savoyard/2/5/0</v>
      </c>
    </row>
    <row r="52" spans="1:5" x14ac:dyDescent="0.2">
      <c r="A52">
        <v>6</v>
      </c>
      <c r="B52" t="s">
        <v>31</v>
      </c>
      <c r="C52">
        <v>0</v>
      </c>
      <c r="D52">
        <v>1</v>
      </c>
      <c r="E52" t="str">
        <f t="shared" si="3"/>
        <v>CHRIS92340/1/6/0</v>
      </c>
    </row>
    <row r="53" spans="1:5" x14ac:dyDescent="0.2">
      <c r="A53">
        <v>1</v>
      </c>
      <c r="B53" t="s">
        <v>22</v>
      </c>
      <c r="C53">
        <v>1</v>
      </c>
      <c r="D53">
        <v>16</v>
      </c>
      <c r="E53" t="str">
        <f t="shared" si="3"/>
        <v>Dart 45/16/1/1</v>
      </c>
    </row>
    <row r="54" spans="1:5" x14ac:dyDescent="0.2">
      <c r="A54">
        <v>2</v>
      </c>
      <c r="B54" t="s">
        <v>39</v>
      </c>
      <c r="C54">
        <v>4</v>
      </c>
      <c r="D54">
        <v>12</v>
      </c>
      <c r="E54" t="str">
        <f t="shared" si="3"/>
        <v>kheops/12/2/4</v>
      </c>
    </row>
    <row r="55" spans="1:5" x14ac:dyDescent="0.2">
      <c r="A55">
        <v>3</v>
      </c>
      <c r="B55" t="s">
        <v>75</v>
      </c>
      <c r="C55">
        <v>0</v>
      </c>
      <c r="D55">
        <v>8</v>
      </c>
      <c r="E55" t="str">
        <f t="shared" si="3"/>
        <v>Michelbey/8/3/0</v>
      </c>
    </row>
    <row r="56" spans="1:5" x14ac:dyDescent="0.2">
      <c r="A56">
        <v>4</v>
      </c>
      <c r="B56" t="s">
        <v>6</v>
      </c>
      <c r="C56">
        <v>0</v>
      </c>
      <c r="D56">
        <v>4</v>
      </c>
      <c r="E56" t="str">
        <f t="shared" si="3"/>
        <v>Pyja/4/4/0</v>
      </c>
    </row>
    <row r="57" spans="1:5" x14ac:dyDescent="0.2">
      <c r="A57">
        <v>5</v>
      </c>
      <c r="B57" t="s">
        <v>68</v>
      </c>
      <c r="C57">
        <v>0</v>
      </c>
      <c r="D57">
        <v>2</v>
      </c>
      <c r="E57" t="str">
        <f t="shared" ref="E57:E70" si="4">B57&amp;"/"&amp;D57&amp;"/"&amp;A57&amp;"/"&amp;C57</f>
        <v>zubbaz/2/5/0</v>
      </c>
    </row>
    <row r="58" spans="1:5" x14ac:dyDescent="0.2">
      <c r="A58">
        <v>6</v>
      </c>
      <c r="B58" t="s">
        <v>76</v>
      </c>
      <c r="C58">
        <v>0</v>
      </c>
      <c r="D58">
        <v>1</v>
      </c>
      <c r="E58" t="str">
        <f t="shared" si="4"/>
        <v>Comment2/1/6/0</v>
      </c>
    </row>
    <row r="59" spans="1:5" x14ac:dyDescent="0.2">
      <c r="A59">
        <v>1</v>
      </c>
      <c r="B59" t="s">
        <v>87</v>
      </c>
      <c r="C59">
        <v>2</v>
      </c>
      <c r="D59">
        <v>16</v>
      </c>
      <c r="E59" t="str">
        <f t="shared" si="4"/>
        <v>Proph@ne/16/1/2</v>
      </c>
    </row>
    <row r="60" spans="1:5" x14ac:dyDescent="0.2">
      <c r="A60">
        <v>2</v>
      </c>
      <c r="B60" t="s">
        <v>92</v>
      </c>
      <c r="C60">
        <v>1</v>
      </c>
      <c r="D60">
        <v>12</v>
      </c>
      <c r="E60" t="str">
        <f t="shared" si="4"/>
        <v>Jacks&amp;Five/12/2/1</v>
      </c>
    </row>
    <row r="61" spans="1:5" x14ac:dyDescent="0.2">
      <c r="A61">
        <v>3</v>
      </c>
      <c r="B61" t="s">
        <v>25</v>
      </c>
      <c r="C61">
        <v>2</v>
      </c>
      <c r="D61">
        <v>8</v>
      </c>
      <c r="E61" t="str">
        <f t="shared" si="4"/>
        <v>Claudius/8/3/2</v>
      </c>
    </row>
    <row r="62" spans="1:5" x14ac:dyDescent="0.2">
      <c r="A62">
        <v>4</v>
      </c>
      <c r="B62" t="s">
        <v>55</v>
      </c>
      <c r="C62">
        <v>0</v>
      </c>
      <c r="D62">
        <v>4</v>
      </c>
      <c r="E62" t="str">
        <f t="shared" si="4"/>
        <v>Bounette/4/4/0</v>
      </c>
    </row>
    <row r="63" spans="1:5" x14ac:dyDescent="0.2">
      <c r="A63">
        <v>5</v>
      </c>
      <c r="B63" t="s">
        <v>21</v>
      </c>
      <c r="C63">
        <v>0</v>
      </c>
      <c r="D63">
        <v>2</v>
      </c>
      <c r="E63" t="str">
        <f t="shared" si="4"/>
        <v>Carmin/2/5/0</v>
      </c>
    </row>
    <row r="64" spans="1:5" x14ac:dyDescent="0.2">
      <c r="A64">
        <v>6</v>
      </c>
      <c r="B64" t="s">
        <v>15</v>
      </c>
      <c r="C64">
        <v>0</v>
      </c>
      <c r="D64">
        <v>1</v>
      </c>
      <c r="E64" t="str">
        <f t="shared" si="4"/>
        <v>LAAtof/1/6/0</v>
      </c>
    </row>
    <row r="65" spans="1:5" x14ac:dyDescent="0.2">
      <c r="A65">
        <v>1</v>
      </c>
      <c r="B65" t="s">
        <v>54</v>
      </c>
      <c r="C65">
        <v>2</v>
      </c>
      <c r="D65">
        <v>16</v>
      </c>
      <c r="E65" t="str">
        <f t="shared" si="4"/>
        <v>Salsamanu/16/1/2</v>
      </c>
    </row>
    <row r="66" spans="1:5" x14ac:dyDescent="0.2">
      <c r="A66">
        <v>2</v>
      </c>
      <c r="B66" t="s">
        <v>16</v>
      </c>
      <c r="C66">
        <v>3</v>
      </c>
      <c r="D66">
        <v>12</v>
      </c>
      <c r="E66" t="str">
        <f t="shared" si="4"/>
        <v>Stan/12/2/3</v>
      </c>
    </row>
    <row r="67" spans="1:5" x14ac:dyDescent="0.2">
      <c r="A67">
        <v>3</v>
      </c>
      <c r="B67" t="s">
        <v>26</v>
      </c>
      <c r="C67">
        <v>0</v>
      </c>
      <c r="D67">
        <v>8</v>
      </c>
      <c r="E67" t="str">
        <f t="shared" si="4"/>
        <v>LOSOGRE/8/3/0</v>
      </c>
    </row>
    <row r="68" spans="1:5" x14ac:dyDescent="0.2">
      <c r="A68">
        <v>4</v>
      </c>
      <c r="B68" t="s">
        <v>19</v>
      </c>
      <c r="C68">
        <v>0</v>
      </c>
      <c r="D68">
        <v>4</v>
      </c>
      <c r="E68" t="str">
        <f t="shared" si="4"/>
        <v>Giobeck/4/4/0</v>
      </c>
    </row>
    <row r="69" spans="1:5" x14ac:dyDescent="0.2">
      <c r="A69">
        <v>5</v>
      </c>
      <c r="B69" t="s">
        <v>73</v>
      </c>
      <c r="C69">
        <v>0</v>
      </c>
      <c r="D69">
        <v>2</v>
      </c>
      <c r="E69" t="str">
        <f t="shared" si="4"/>
        <v>Flem/2/5/0</v>
      </c>
    </row>
    <row r="70" spans="1:5" x14ac:dyDescent="0.2">
      <c r="A70">
        <v>6</v>
      </c>
      <c r="B70" t="s">
        <v>52</v>
      </c>
      <c r="C70">
        <v>0</v>
      </c>
      <c r="D70">
        <v>1</v>
      </c>
      <c r="E70" t="str">
        <f t="shared" si="4"/>
        <v>Coach Pepito/1/6/0</v>
      </c>
    </row>
    <row r="71" spans="1:5" x14ac:dyDescent="0.2">
      <c r="A71">
        <v>1</v>
      </c>
      <c r="B71" t="s">
        <v>35</v>
      </c>
      <c r="C71">
        <v>3</v>
      </c>
      <c r="D71">
        <v>16</v>
      </c>
      <c r="E71" t="str">
        <f t="shared" ref="E71:E87" si="5">B71&amp;"/"&amp;D71&amp;"/"&amp;A71&amp;"/"&amp;C71</f>
        <v>JeanMichelTiming/16/1/3</v>
      </c>
    </row>
    <row r="72" spans="1:5" x14ac:dyDescent="0.2">
      <c r="A72">
        <v>2</v>
      </c>
      <c r="B72" t="s">
        <v>27</v>
      </c>
      <c r="C72">
        <v>1</v>
      </c>
      <c r="D72">
        <v>12</v>
      </c>
      <c r="E72" t="str">
        <f t="shared" si="5"/>
        <v>Mandrake/12/2/1</v>
      </c>
    </row>
    <row r="73" spans="1:5" x14ac:dyDescent="0.2">
      <c r="A73">
        <v>3</v>
      </c>
      <c r="B73" t="s">
        <v>18</v>
      </c>
      <c r="C73">
        <v>0</v>
      </c>
      <c r="D73">
        <v>8</v>
      </c>
      <c r="E73" t="str">
        <f t="shared" si="5"/>
        <v>MAMS/8/3/0</v>
      </c>
    </row>
    <row r="74" spans="1:5" x14ac:dyDescent="0.2">
      <c r="A74">
        <v>4</v>
      </c>
      <c r="B74" t="s">
        <v>59</v>
      </c>
      <c r="C74">
        <v>0</v>
      </c>
      <c r="D74">
        <v>4</v>
      </c>
      <c r="E74" t="str">
        <f t="shared" si="5"/>
        <v>YooooDA/4/4/0</v>
      </c>
    </row>
    <row r="75" spans="1:5" x14ac:dyDescent="0.2">
      <c r="A75">
        <v>5</v>
      </c>
      <c r="B75" t="s">
        <v>77</v>
      </c>
      <c r="C75">
        <v>1</v>
      </c>
      <c r="D75">
        <v>2</v>
      </c>
      <c r="E75" t="str">
        <f t="shared" si="5"/>
        <v>Récréatif/2/5/1</v>
      </c>
    </row>
    <row r="76" spans="1:5" x14ac:dyDescent="0.2">
      <c r="A76">
        <v>6</v>
      </c>
      <c r="B76" t="s">
        <v>47</v>
      </c>
      <c r="C76">
        <v>0</v>
      </c>
      <c r="D76">
        <v>1</v>
      </c>
      <c r="E76" t="str">
        <f t="shared" si="5"/>
        <v>Logan/1/6/0</v>
      </c>
    </row>
    <row r="77" spans="1:5" x14ac:dyDescent="0.2">
      <c r="A77">
        <v>1</v>
      </c>
      <c r="B77" t="s">
        <v>34</v>
      </c>
      <c r="C77">
        <v>3</v>
      </c>
      <c r="D77">
        <v>16</v>
      </c>
      <c r="E77" t="str">
        <f t="shared" si="5"/>
        <v>Solex/16/1/3</v>
      </c>
    </row>
    <row r="78" spans="1:5" x14ac:dyDescent="0.2">
      <c r="A78">
        <v>2</v>
      </c>
      <c r="B78" t="s">
        <v>75</v>
      </c>
      <c r="C78">
        <v>1</v>
      </c>
      <c r="D78">
        <v>12</v>
      </c>
      <c r="E78" t="str">
        <f t="shared" si="5"/>
        <v>Michelbey/12/2/1</v>
      </c>
    </row>
    <row r="79" spans="1:5" x14ac:dyDescent="0.2">
      <c r="A79">
        <v>3</v>
      </c>
      <c r="B79" t="s">
        <v>54</v>
      </c>
      <c r="C79">
        <v>0</v>
      </c>
      <c r="D79">
        <v>8</v>
      </c>
      <c r="E79" t="str">
        <f t="shared" si="5"/>
        <v>Salsamanu/8/3/0</v>
      </c>
    </row>
    <row r="80" spans="1:5" x14ac:dyDescent="0.2">
      <c r="A80">
        <v>4</v>
      </c>
      <c r="B80" t="s">
        <v>23</v>
      </c>
      <c r="C80">
        <v>1</v>
      </c>
      <c r="D80">
        <v>4</v>
      </c>
      <c r="E80" t="str">
        <f t="shared" si="5"/>
        <v>Lylith75/4/4/1</v>
      </c>
    </row>
    <row r="81" spans="1:5" x14ac:dyDescent="0.2">
      <c r="A81">
        <v>5</v>
      </c>
      <c r="B81" t="s">
        <v>41</v>
      </c>
      <c r="C81">
        <v>0</v>
      </c>
      <c r="D81">
        <v>2</v>
      </c>
      <c r="E81" t="str">
        <f t="shared" si="5"/>
        <v>gibouille/2/5/0</v>
      </c>
    </row>
    <row r="82" spans="1:5" x14ac:dyDescent="0.2">
      <c r="A82">
        <v>6</v>
      </c>
      <c r="B82" t="s">
        <v>87</v>
      </c>
      <c r="C82">
        <v>0</v>
      </c>
      <c r="D82">
        <v>1</v>
      </c>
      <c r="E82" t="str">
        <f t="shared" si="5"/>
        <v>Proph@ne/1/6/0</v>
      </c>
    </row>
    <row r="83" spans="1:5" x14ac:dyDescent="0.2">
      <c r="A83">
        <v>1</v>
      </c>
      <c r="B83" t="s">
        <v>92</v>
      </c>
      <c r="C83">
        <v>5</v>
      </c>
      <c r="D83">
        <v>17</v>
      </c>
      <c r="E83" t="str">
        <f t="shared" si="5"/>
        <v>Jacks&amp;Five/17/1/5</v>
      </c>
    </row>
    <row r="84" spans="1:5" x14ac:dyDescent="0.2">
      <c r="A84">
        <v>2</v>
      </c>
      <c r="B84" t="s">
        <v>6</v>
      </c>
      <c r="C84">
        <v>1</v>
      </c>
      <c r="D84">
        <v>13</v>
      </c>
      <c r="E84" t="str">
        <f t="shared" si="5"/>
        <v>Pyja/13/2/1</v>
      </c>
    </row>
    <row r="85" spans="1:5" x14ac:dyDescent="0.2">
      <c r="A85">
        <v>3</v>
      </c>
      <c r="B85" t="s">
        <v>98</v>
      </c>
      <c r="C85">
        <v>0</v>
      </c>
      <c r="D85">
        <v>9</v>
      </c>
      <c r="E85" t="str">
        <f t="shared" si="5"/>
        <v>Blocknote/9/3/0</v>
      </c>
    </row>
    <row r="86" spans="1:5" x14ac:dyDescent="0.2">
      <c r="A86">
        <v>4</v>
      </c>
      <c r="B86" t="s">
        <v>42</v>
      </c>
      <c r="C86">
        <v>0</v>
      </c>
      <c r="D86">
        <v>5</v>
      </c>
      <c r="E86" t="str">
        <f t="shared" si="5"/>
        <v>Claptou/5/4/0</v>
      </c>
    </row>
    <row r="87" spans="1:5" x14ac:dyDescent="0.2">
      <c r="A87">
        <v>5</v>
      </c>
      <c r="B87" t="s">
        <v>35</v>
      </c>
      <c r="C87">
        <v>0</v>
      </c>
      <c r="D87">
        <v>3</v>
      </c>
      <c r="E87" t="str">
        <f t="shared" si="5"/>
        <v>JeanMichelTiming/3/5/0</v>
      </c>
    </row>
    <row r="88" spans="1:5" x14ac:dyDescent="0.2">
      <c r="A88">
        <v>6</v>
      </c>
      <c r="B88" t="s">
        <v>59</v>
      </c>
      <c r="C88">
        <v>0</v>
      </c>
      <c r="D88">
        <v>2</v>
      </c>
      <c r="E88" t="str">
        <f t="shared" ref="E88:E116" si="6">B88&amp;"/"&amp;D88&amp;"/"&amp;A88&amp;"/"&amp;C88</f>
        <v>YooooDA/2/6/0</v>
      </c>
    </row>
    <row r="89" spans="1:5" x14ac:dyDescent="0.2">
      <c r="A89">
        <v>7</v>
      </c>
      <c r="B89" t="s">
        <v>65</v>
      </c>
      <c r="C89">
        <v>0</v>
      </c>
      <c r="D89">
        <v>1</v>
      </c>
      <c r="E89" t="str">
        <f t="shared" si="6"/>
        <v>Ripolin/1/7/0</v>
      </c>
    </row>
    <row r="90" spans="1:5" x14ac:dyDescent="0.2">
      <c r="A90">
        <v>1</v>
      </c>
      <c r="B90" t="s">
        <v>52</v>
      </c>
      <c r="C90">
        <v>2</v>
      </c>
      <c r="D90">
        <v>17</v>
      </c>
      <c r="E90" t="str">
        <f t="shared" si="6"/>
        <v>Coach Pepito/17/1/2</v>
      </c>
    </row>
    <row r="91" spans="1:5" x14ac:dyDescent="0.2">
      <c r="A91">
        <v>2</v>
      </c>
      <c r="B91" t="s">
        <v>16</v>
      </c>
      <c r="C91">
        <v>1</v>
      </c>
      <c r="D91">
        <v>13</v>
      </c>
      <c r="E91" t="str">
        <f t="shared" si="6"/>
        <v>Stan/13/2/1</v>
      </c>
    </row>
    <row r="92" spans="1:5" x14ac:dyDescent="0.2">
      <c r="A92">
        <v>3</v>
      </c>
      <c r="B92" t="s">
        <v>50</v>
      </c>
      <c r="C92">
        <v>2</v>
      </c>
      <c r="D92">
        <v>9</v>
      </c>
      <c r="E92" t="str">
        <f t="shared" si="6"/>
        <v>MLADENGO/9/3/2</v>
      </c>
    </row>
    <row r="93" spans="1:5" x14ac:dyDescent="0.2">
      <c r="A93">
        <v>4</v>
      </c>
      <c r="B93" t="s">
        <v>88</v>
      </c>
      <c r="C93">
        <v>1</v>
      </c>
      <c r="D93">
        <v>5</v>
      </c>
      <c r="E93" t="str">
        <f t="shared" si="6"/>
        <v>Yarael/5/4/1</v>
      </c>
    </row>
    <row r="94" spans="1:5" x14ac:dyDescent="0.2">
      <c r="A94">
        <v>5</v>
      </c>
      <c r="B94" t="s">
        <v>46</v>
      </c>
      <c r="C94">
        <v>0</v>
      </c>
      <c r="D94">
        <v>3</v>
      </c>
      <c r="E94" t="str">
        <f t="shared" si="6"/>
        <v>Jérôme/3/5/0</v>
      </c>
    </row>
    <row r="95" spans="1:5" x14ac:dyDescent="0.2">
      <c r="A95">
        <v>6</v>
      </c>
      <c r="B95" t="s">
        <v>14</v>
      </c>
      <c r="C95">
        <v>0</v>
      </c>
      <c r="D95">
        <v>2</v>
      </c>
      <c r="E95" t="str">
        <f t="shared" si="6"/>
        <v>Ramm/2/6/0</v>
      </c>
    </row>
    <row r="96" spans="1:5" x14ac:dyDescent="0.2">
      <c r="A96">
        <v>7</v>
      </c>
      <c r="B96" t="s">
        <v>76</v>
      </c>
      <c r="C96">
        <v>0</v>
      </c>
      <c r="D96">
        <v>1</v>
      </c>
      <c r="E96" t="str">
        <f t="shared" si="6"/>
        <v>Comment2/1/7/0</v>
      </c>
    </row>
    <row r="97" spans="1:5" x14ac:dyDescent="0.2">
      <c r="A97">
        <v>1</v>
      </c>
      <c r="B97" t="s">
        <v>73</v>
      </c>
      <c r="C97">
        <v>4</v>
      </c>
      <c r="D97">
        <v>17</v>
      </c>
      <c r="E97" t="str">
        <f t="shared" si="6"/>
        <v>Flem/17/1/4</v>
      </c>
    </row>
    <row r="98" spans="1:5" x14ac:dyDescent="0.2">
      <c r="A98">
        <v>2</v>
      </c>
      <c r="B98" t="s">
        <v>68</v>
      </c>
      <c r="C98">
        <v>1</v>
      </c>
      <c r="D98">
        <v>13</v>
      </c>
      <c r="E98" t="str">
        <f t="shared" si="6"/>
        <v>zubbaz/13/2/1</v>
      </c>
    </row>
    <row r="99" spans="1:5" x14ac:dyDescent="0.2">
      <c r="A99">
        <v>3</v>
      </c>
      <c r="B99" t="s">
        <v>39</v>
      </c>
      <c r="C99">
        <v>1</v>
      </c>
      <c r="D99">
        <v>9</v>
      </c>
      <c r="E99" t="str">
        <f t="shared" si="6"/>
        <v>kheops/9/3/1</v>
      </c>
    </row>
    <row r="100" spans="1:5" x14ac:dyDescent="0.2">
      <c r="A100">
        <v>4</v>
      </c>
      <c r="B100" t="s">
        <v>60</v>
      </c>
      <c r="C100">
        <v>0</v>
      </c>
      <c r="D100">
        <v>5</v>
      </c>
      <c r="E100" t="str">
        <f t="shared" si="6"/>
        <v>zizou/5/4/0</v>
      </c>
    </row>
    <row r="101" spans="1:5" x14ac:dyDescent="0.2">
      <c r="A101">
        <v>5</v>
      </c>
      <c r="B101" t="s">
        <v>47</v>
      </c>
      <c r="C101">
        <v>0</v>
      </c>
      <c r="D101">
        <v>3</v>
      </c>
      <c r="E101" t="str">
        <f t="shared" si="6"/>
        <v>Logan/3/5/0</v>
      </c>
    </row>
    <row r="102" spans="1:5" x14ac:dyDescent="0.2">
      <c r="A102">
        <v>6</v>
      </c>
      <c r="B102" t="s">
        <v>29</v>
      </c>
      <c r="C102">
        <v>0</v>
      </c>
      <c r="D102">
        <v>2</v>
      </c>
      <c r="E102" t="str">
        <f t="shared" si="6"/>
        <v>NoDoubt/2/6/0</v>
      </c>
    </row>
    <row r="103" spans="1:5" x14ac:dyDescent="0.2">
      <c r="A103">
        <v>7</v>
      </c>
      <c r="B103" t="s">
        <v>32</v>
      </c>
      <c r="C103">
        <v>0</v>
      </c>
      <c r="D103">
        <v>1</v>
      </c>
      <c r="E103" t="str">
        <f t="shared" si="6"/>
        <v>OlivierN92/1/7/0</v>
      </c>
    </row>
    <row r="104" spans="1:5" x14ac:dyDescent="0.2">
      <c r="A104">
        <v>1</v>
      </c>
      <c r="B104" t="s">
        <v>40</v>
      </c>
      <c r="C104">
        <v>3</v>
      </c>
      <c r="D104">
        <v>16</v>
      </c>
      <c r="E104" t="str">
        <f t="shared" si="6"/>
        <v>Lén@/16/1/3</v>
      </c>
    </row>
    <row r="105" spans="1:5" x14ac:dyDescent="0.2">
      <c r="A105">
        <v>2</v>
      </c>
      <c r="B105" t="s">
        <v>69</v>
      </c>
      <c r="C105">
        <v>0</v>
      </c>
      <c r="D105">
        <v>12</v>
      </c>
      <c r="E105" t="str">
        <f t="shared" si="6"/>
        <v>Catherine/12/2/0</v>
      </c>
    </row>
    <row r="106" spans="1:5" x14ac:dyDescent="0.2">
      <c r="A106">
        <v>3</v>
      </c>
      <c r="B106" t="s">
        <v>74</v>
      </c>
      <c r="C106">
        <v>2</v>
      </c>
      <c r="D106">
        <v>8</v>
      </c>
      <c r="E106" t="str">
        <f t="shared" si="6"/>
        <v>PatB/8/3/2</v>
      </c>
    </row>
    <row r="107" spans="1:5" x14ac:dyDescent="0.2">
      <c r="A107">
        <v>4</v>
      </c>
      <c r="B107" t="s">
        <v>101</v>
      </c>
      <c r="C107">
        <v>0</v>
      </c>
      <c r="D107">
        <v>4</v>
      </c>
      <c r="E107" t="str">
        <f t="shared" si="6"/>
        <v>ChrisFrankfurt/4/4/0</v>
      </c>
    </row>
    <row r="108" spans="1:5" x14ac:dyDescent="0.2">
      <c r="A108">
        <v>5</v>
      </c>
      <c r="B108" t="s">
        <v>28</v>
      </c>
      <c r="C108">
        <v>0</v>
      </c>
      <c r="D108">
        <v>2</v>
      </c>
      <c r="E108" t="str">
        <f t="shared" si="6"/>
        <v>sobab/2/5/0</v>
      </c>
    </row>
    <row r="109" spans="1:5" x14ac:dyDescent="0.2">
      <c r="A109">
        <v>6</v>
      </c>
      <c r="B109" t="s">
        <v>22</v>
      </c>
      <c r="C109">
        <v>0</v>
      </c>
      <c r="D109">
        <v>1</v>
      </c>
      <c r="E109" t="str">
        <f t="shared" si="6"/>
        <v>Dart 45/1/6/0</v>
      </c>
    </row>
    <row r="110" spans="1:5" x14ac:dyDescent="0.2">
      <c r="A110">
        <v>1</v>
      </c>
      <c r="B110" t="s">
        <v>103</v>
      </c>
      <c r="C110">
        <v>3</v>
      </c>
      <c r="D110">
        <v>17</v>
      </c>
      <c r="E110" t="str">
        <f t="shared" si="6"/>
        <v>zzav/17/1/3</v>
      </c>
    </row>
    <row r="111" spans="1:5" x14ac:dyDescent="0.2">
      <c r="A111">
        <v>2</v>
      </c>
      <c r="B111" t="s">
        <v>25</v>
      </c>
      <c r="C111">
        <v>0</v>
      </c>
      <c r="D111">
        <v>13</v>
      </c>
      <c r="E111" t="str">
        <f t="shared" si="6"/>
        <v>Claudius/13/2/0</v>
      </c>
    </row>
    <row r="112" spans="1:5" x14ac:dyDescent="0.2">
      <c r="A112">
        <v>3</v>
      </c>
      <c r="B112" t="s">
        <v>55</v>
      </c>
      <c r="C112">
        <v>1</v>
      </c>
      <c r="D112">
        <v>9</v>
      </c>
      <c r="E112" t="str">
        <f t="shared" si="6"/>
        <v>Bounette/9/3/1</v>
      </c>
    </row>
    <row r="113" spans="1:5" x14ac:dyDescent="0.2">
      <c r="A113">
        <v>4</v>
      </c>
      <c r="B113" t="s">
        <v>45</v>
      </c>
      <c r="C113">
        <v>2</v>
      </c>
      <c r="D113">
        <v>5</v>
      </c>
      <c r="E113" t="str">
        <f t="shared" si="6"/>
        <v>yaltar/5/4/2</v>
      </c>
    </row>
    <row r="114" spans="1:5" x14ac:dyDescent="0.2">
      <c r="A114">
        <v>5</v>
      </c>
      <c r="B114" t="s">
        <v>21</v>
      </c>
      <c r="C114">
        <v>0</v>
      </c>
      <c r="D114">
        <v>3</v>
      </c>
      <c r="E114" t="str">
        <f t="shared" si="6"/>
        <v>Carmin/3/5/0</v>
      </c>
    </row>
    <row r="115" spans="1:5" x14ac:dyDescent="0.2">
      <c r="A115">
        <v>6</v>
      </c>
      <c r="B115" t="s">
        <v>26</v>
      </c>
      <c r="C115">
        <v>0</v>
      </c>
      <c r="D115">
        <v>2</v>
      </c>
      <c r="E115" t="str">
        <f t="shared" si="6"/>
        <v>LOSOGRE/2/6/0</v>
      </c>
    </row>
    <row r="116" spans="1:5" x14ac:dyDescent="0.2">
      <c r="A116">
        <v>7</v>
      </c>
      <c r="B116" t="s">
        <v>33</v>
      </c>
      <c r="C116">
        <v>0</v>
      </c>
      <c r="D116">
        <v>1</v>
      </c>
      <c r="E116" t="str">
        <f t="shared" si="6"/>
        <v>Ptit Savoyard/1/7/0</v>
      </c>
    </row>
    <row r="117" spans="1:5" x14ac:dyDescent="0.2">
      <c r="A117">
        <v>1</v>
      </c>
      <c r="B117" t="s">
        <v>9</v>
      </c>
      <c r="C117">
        <v>2</v>
      </c>
      <c r="D117">
        <v>16</v>
      </c>
      <c r="E117" t="str">
        <f t="shared" ref="E117:E142" si="7">B117&amp;"/"&amp;D117&amp;"/"&amp;A117&amp;"/"&amp;C117</f>
        <v>K1/16/1/2</v>
      </c>
    </row>
    <row r="118" spans="1:5" x14ac:dyDescent="0.2">
      <c r="A118">
        <v>2</v>
      </c>
      <c r="B118" t="s">
        <v>12</v>
      </c>
      <c r="C118">
        <v>1</v>
      </c>
      <c r="D118">
        <v>12</v>
      </c>
      <c r="E118" t="str">
        <f t="shared" si="7"/>
        <v>Gnak/12/2/1</v>
      </c>
    </row>
    <row r="119" spans="1:5" x14ac:dyDescent="0.2">
      <c r="A119">
        <v>3</v>
      </c>
      <c r="B119" t="s">
        <v>15</v>
      </c>
      <c r="C119">
        <v>2</v>
      </c>
      <c r="D119">
        <v>8</v>
      </c>
      <c r="E119" t="str">
        <f t="shared" si="7"/>
        <v>LAAtof/8/3/2</v>
      </c>
    </row>
    <row r="120" spans="1:5" x14ac:dyDescent="0.2">
      <c r="A120">
        <v>4</v>
      </c>
      <c r="B120" t="s">
        <v>31</v>
      </c>
      <c r="C120">
        <v>0</v>
      </c>
      <c r="D120">
        <v>4</v>
      </c>
      <c r="E120" t="str">
        <f t="shared" si="7"/>
        <v>CHRIS92340/4/4/0</v>
      </c>
    </row>
    <row r="121" spans="1:5" x14ac:dyDescent="0.2">
      <c r="A121">
        <v>5</v>
      </c>
      <c r="B121" t="s">
        <v>102</v>
      </c>
      <c r="C121">
        <v>0</v>
      </c>
      <c r="D121">
        <v>2</v>
      </c>
      <c r="E121" t="str">
        <f t="shared" si="7"/>
        <v>Doudoululu/2/5/0</v>
      </c>
    </row>
    <row r="122" spans="1:5" x14ac:dyDescent="0.2">
      <c r="A122">
        <v>6</v>
      </c>
      <c r="B122" t="s">
        <v>27</v>
      </c>
      <c r="C122">
        <v>0</v>
      </c>
      <c r="D122">
        <v>1</v>
      </c>
      <c r="E122" t="str">
        <f t="shared" si="7"/>
        <v>Mandrake/1/6/0</v>
      </c>
    </row>
    <row r="123" spans="1:5" x14ac:dyDescent="0.2">
      <c r="A123">
        <v>1</v>
      </c>
      <c r="B123" t="s">
        <v>26</v>
      </c>
      <c r="C123">
        <v>4</v>
      </c>
      <c r="D123">
        <v>16</v>
      </c>
      <c r="E123" t="str">
        <f t="shared" si="7"/>
        <v>LOSOGRE/16/1/4</v>
      </c>
    </row>
    <row r="124" spans="1:5" x14ac:dyDescent="0.2">
      <c r="A124">
        <v>2</v>
      </c>
      <c r="B124" t="s">
        <v>31</v>
      </c>
      <c r="C124">
        <v>1</v>
      </c>
      <c r="D124">
        <v>12</v>
      </c>
      <c r="E124" t="str">
        <f t="shared" si="7"/>
        <v>CHRIS92340/12/2/1</v>
      </c>
    </row>
    <row r="125" spans="1:5" x14ac:dyDescent="0.2">
      <c r="A125">
        <v>3</v>
      </c>
      <c r="B125" t="s">
        <v>25</v>
      </c>
      <c r="C125">
        <v>0</v>
      </c>
      <c r="D125">
        <v>8</v>
      </c>
      <c r="E125" t="str">
        <f t="shared" si="7"/>
        <v>Claudius/8/3/0</v>
      </c>
    </row>
    <row r="126" spans="1:5" x14ac:dyDescent="0.2">
      <c r="A126">
        <v>4</v>
      </c>
      <c r="B126" t="s">
        <v>98</v>
      </c>
      <c r="C126">
        <v>0</v>
      </c>
      <c r="D126">
        <v>4</v>
      </c>
      <c r="E126" t="str">
        <f t="shared" si="7"/>
        <v>Blocknote/4/4/0</v>
      </c>
    </row>
    <row r="127" spans="1:5" x14ac:dyDescent="0.2">
      <c r="A127">
        <v>5</v>
      </c>
      <c r="B127" t="s">
        <v>12</v>
      </c>
      <c r="C127">
        <v>0</v>
      </c>
      <c r="D127">
        <v>2</v>
      </c>
      <c r="E127" t="str">
        <f t="shared" si="7"/>
        <v>Gnak/2/5/0</v>
      </c>
    </row>
    <row r="128" spans="1:5" x14ac:dyDescent="0.2">
      <c r="A128">
        <v>6</v>
      </c>
      <c r="B128" t="s">
        <v>8</v>
      </c>
      <c r="C128">
        <v>0</v>
      </c>
      <c r="D128">
        <v>1</v>
      </c>
      <c r="E128" t="str">
        <f t="shared" si="7"/>
        <v>Maxime/1/6/0</v>
      </c>
    </row>
    <row r="129" spans="1:5" x14ac:dyDescent="0.2">
      <c r="A129">
        <v>1</v>
      </c>
      <c r="B129" t="s">
        <v>52</v>
      </c>
      <c r="C129">
        <v>5</v>
      </c>
      <c r="D129">
        <v>16</v>
      </c>
      <c r="E129" t="str">
        <f t="shared" si="7"/>
        <v>Coach Pepito/16/1/5</v>
      </c>
    </row>
    <row r="130" spans="1:5" x14ac:dyDescent="0.2">
      <c r="A130">
        <v>2</v>
      </c>
      <c r="B130" t="s">
        <v>61</v>
      </c>
      <c r="C130">
        <v>0</v>
      </c>
      <c r="D130">
        <v>12</v>
      </c>
      <c r="E130" t="str">
        <f t="shared" si="7"/>
        <v>Kri-lin/12/2/0</v>
      </c>
    </row>
    <row r="131" spans="1:5" x14ac:dyDescent="0.2">
      <c r="A131">
        <v>3</v>
      </c>
      <c r="B131" t="s">
        <v>55</v>
      </c>
      <c r="C131">
        <v>0</v>
      </c>
      <c r="D131">
        <v>8</v>
      </c>
      <c r="E131" t="str">
        <f t="shared" si="7"/>
        <v>Bounette/8/3/0</v>
      </c>
    </row>
    <row r="132" spans="1:5" x14ac:dyDescent="0.2">
      <c r="A132">
        <v>4</v>
      </c>
      <c r="B132" t="s">
        <v>9</v>
      </c>
      <c r="C132">
        <v>0</v>
      </c>
      <c r="D132">
        <v>4</v>
      </c>
      <c r="E132" t="str">
        <f t="shared" si="7"/>
        <v>K1/4/4/0</v>
      </c>
    </row>
    <row r="133" spans="1:5" x14ac:dyDescent="0.2">
      <c r="A133">
        <v>5</v>
      </c>
      <c r="B133" t="s">
        <v>41</v>
      </c>
      <c r="C133">
        <v>0</v>
      </c>
      <c r="D133">
        <v>2</v>
      </c>
      <c r="E133" t="str">
        <f t="shared" si="7"/>
        <v>gibouille/2/5/0</v>
      </c>
    </row>
    <row r="134" spans="1:5" x14ac:dyDescent="0.2">
      <c r="A134">
        <v>6</v>
      </c>
      <c r="B134" t="s">
        <v>29</v>
      </c>
      <c r="C134">
        <v>0</v>
      </c>
      <c r="D134">
        <v>1</v>
      </c>
      <c r="E134" t="str">
        <f t="shared" si="7"/>
        <v>NoDoubt/1/6/0</v>
      </c>
    </row>
    <row r="135" spans="1:5" x14ac:dyDescent="0.2">
      <c r="A135">
        <v>1</v>
      </c>
      <c r="B135" t="s">
        <v>76</v>
      </c>
      <c r="C135">
        <v>1</v>
      </c>
      <c r="D135">
        <v>17</v>
      </c>
      <c r="E135" t="str">
        <f t="shared" si="7"/>
        <v>Comment2/17/1/1</v>
      </c>
    </row>
    <row r="136" spans="1:5" x14ac:dyDescent="0.2">
      <c r="A136">
        <v>2</v>
      </c>
      <c r="B136" t="s">
        <v>60</v>
      </c>
      <c r="C136">
        <v>3</v>
      </c>
      <c r="D136">
        <v>13</v>
      </c>
      <c r="E136" t="str">
        <f t="shared" si="7"/>
        <v>zizou/13/2/3</v>
      </c>
    </row>
    <row r="137" spans="1:5" x14ac:dyDescent="0.2">
      <c r="A137">
        <v>3</v>
      </c>
      <c r="B137" t="s">
        <v>87</v>
      </c>
      <c r="C137">
        <v>1</v>
      </c>
      <c r="D137">
        <v>9</v>
      </c>
      <c r="E137" t="str">
        <f t="shared" si="7"/>
        <v>Proph@ne/9/3/1</v>
      </c>
    </row>
    <row r="138" spans="1:5" x14ac:dyDescent="0.2">
      <c r="A138">
        <v>4</v>
      </c>
      <c r="B138" t="s">
        <v>102</v>
      </c>
      <c r="C138">
        <v>0</v>
      </c>
      <c r="D138">
        <v>5</v>
      </c>
      <c r="E138" t="str">
        <f t="shared" si="7"/>
        <v>Doudoululu/5/4/0</v>
      </c>
    </row>
    <row r="139" spans="1:5" x14ac:dyDescent="0.2">
      <c r="A139">
        <v>5</v>
      </c>
      <c r="B139" t="s">
        <v>19</v>
      </c>
      <c r="C139">
        <v>1</v>
      </c>
      <c r="D139">
        <v>3</v>
      </c>
      <c r="E139" t="str">
        <f t="shared" si="7"/>
        <v>Giobeck/3/5/1</v>
      </c>
    </row>
    <row r="140" spans="1:5" x14ac:dyDescent="0.2">
      <c r="A140">
        <v>6</v>
      </c>
      <c r="B140" t="s">
        <v>53</v>
      </c>
      <c r="C140">
        <v>0</v>
      </c>
      <c r="D140">
        <v>2</v>
      </c>
      <c r="E140" t="str">
        <f t="shared" si="7"/>
        <v>Makoche/2/6/0</v>
      </c>
    </row>
    <row r="141" spans="1:5" x14ac:dyDescent="0.2">
      <c r="A141">
        <v>7</v>
      </c>
      <c r="B141" t="s">
        <v>73</v>
      </c>
      <c r="C141">
        <v>0</v>
      </c>
      <c r="D141">
        <v>1</v>
      </c>
      <c r="E141" t="str">
        <f t="shared" si="7"/>
        <v>Flem/1/7/0</v>
      </c>
    </row>
    <row r="142" spans="1:5" x14ac:dyDescent="0.2">
      <c r="A142">
        <v>1</v>
      </c>
      <c r="B142" t="s">
        <v>23</v>
      </c>
      <c r="C142">
        <v>3</v>
      </c>
      <c r="D142">
        <v>16</v>
      </c>
      <c r="E142" t="str">
        <f t="shared" si="7"/>
        <v>Lylith75/16/1/3</v>
      </c>
    </row>
    <row r="143" spans="1:5" x14ac:dyDescent="0.2">
      <c r="A143">
        <v>2</v>
      </c>
      <c r="B143" t="s">
        <v>69</v>
      </c>
      <c r="C143">
        <v>1</v>
      </c>
      <c r="D143">
        <v>12</v>
      </c>
      <c r="E143" t="str">
        <f t="shared" ref="E143:E167" si="8">B143&amp;"/"&amp;D143&amp;"/"&amp;A143&amp;"/"&amp;C143</f>
        <v>Catherine/12/2/1</v>
      </c>
    </row>
    <row r="144" spans="1:5" x14ac:dyDescent="0.2">
      <c r="A144">
        <v>3</v>
      </c>
      <c r="B144" t="s">
        <v>65</v>
      </c>
      <c r="C144">
        <v>1</v>
      </c>
      <c r="D144">
        <v>8</v>
      </c>
      <c r="E144" t="str">
        <f t="shared" si="8"/>
        <v>Ripolin/8/3/1</v>
      </c>
    </row>
    <row r="145" spans="1:5" x14ac:dyDescent="0.2">
      <c r="A145">
        <v>4</v>
      </c>
      <c r="B145" t="s">
        <v>14</v>
      </c>
      <c r="C145">
        <v>0</v>
      </c>
      <c r="D145">
        <v>4</v>
      </c>
      <c r="E145" t="str">
        <f t="shared" si="8"/>
        <v>Ramm/4/4/0</v>
      </c>
    </row>
    <row r="146" spans="1:5" x14ac:dyDescent="0.2">
      <c r="A146">
        <v>5</v>
      </c>
      <c r="B146" t="s">
        <v>15</v>
      </c>
      <c r="C146">
        <v>0</v>
      </c>
      <c r="D146">
        <v>2</v>
      </c>
      <c r="E146" t="str">
        <f t="shared" si="8"/>
        <v>LAAtof/2/5/0</v>
      </c>
    </row>
    <row r="147" spans="1:5" x14ac:dyDescent="0.2">
      <c r="A147">
        <v>6</v>
      </c>
      <c r="B147" t="s">
        <v>40</v>
      </c>
      <c r="C147">
        <v>0</v>
      </c>
      <c r="D147">
        <v>1</v>
      </c>
      <c r="E147" t="str">
        <f t="shared" si="8"/>
        <v>Lén@/1/6/0</v>
      </c>
    </row>
    <row r="148" spans="1:5" x14ac:dyDescent="0.2">
      <c r="A148">
        <v>1</v>
      </c>
      <c r="B148" t="s">
        <v>22</v>
      </c>
      <c r="C148">
        <v>5</v>
      </c>
      <c r="D148">
        <v>17</v>
      </c>
      <c r="E148" t="str">
        <f t="shared" si="8"/>
        <v>Dart 45/17/1/5</v>
      </c>
    </row>
    <row r="149" spans="1:5" x14ac:dyDescent="0.2">
      <c r="A149">
        <v>2</v>
      </c>
      <c r="B149" t="s">
        <v>75</v>
      </c>
      <c r="C149">
        <v>0</v>
      </c>
      <c r="D149">
        <v>13</v>
      </c>
      <c r="E149" t="str">
        <f t="shared" si="8"/>
        <v>Michelbey/13/2/0</v>
      </c>
    </row>
    <row r="150" spans="1:5" x14ac:dyDescent="0.2">
      <c r="A150">
        <v>3</v>
      </c>
      <c r="B150" t="s">
        <v>6</v>
      </c>
      <c r="C150">
        <v>0</v>
      </c>
      <c r="D150">
        <v>9</v>
      </c>
      <c r="E150" t="str">
        <f t="shared" si="8"/>
        <v>Pyja/9/3/0</v>
      </c>
    </row>
    <row r="151" spans="1:5" x14ac:dyDescent="0.2">
      <c r="A151">
        <v>4</v>
      </c>
      <c r="B151" t="s">
        <v>39</v>
      </c>
      <c r="C151">
        <v>1</v>
      </c>
      <c r="D151">
        <v>5</v>
      </c>
      <c r="E151" t="str">
        <f t="shared" si="8"/>
        <v>kheops/5/4/1</v>
      </c>
    </row>
    <row r="152" spans="1:5" x14ac:dyDescent="0.2">
      <c r="A152">
        <v>5</v>
      </c>
      <c r="B152" t="s">
        <v>68</v>
      </c>
      <c r="C152">
        <v>0</v>
      </c>
      <c r="D152">
        <v>3</v>
      </c>
      <c r="E152" t="str">
        <f t="shared" si="8"/>
        <v>zubbaz/3/5/0</v>
      </c>
    </row>
    <row r="153" spans="1:5" x14ac:dyDescent="0.2">
      <c r="A153">
        <v>6</v>
      </c>
      <c r="B153" t="s">
        <v>42</v>
      </c>
      <c r="C153">
        <v>0</v>
      </c>
      <c r="D153">
        <v>2</v>
      </c>
      <c r="E153" t="str">
        <f t="shared" si="8"/>
        <v>Claptou/2/6/0</v>
      </c>
    </row>
    <row r="154" spans="1:5" x14ac:dyDescent="0.2">
      <c r="A154">
        <v>7</v>
      </c>
      <c r="B154" t="s">
        <v>46</v>
      </c>
      <c r="C154">
        <v>0</v>
      </c>
      <c r="D154">
        <v>1</v>
      </c>
      <c r="E154" t="str">
        <f t="shared" si="8"/>
        <v>Jérôme/1/7/0</v>
      </c>
    </row>
    <row r="155" spans="1:5" x14ac:dyDescent="0.2">
      <c r="A155">
        <v>1</v>
      </c>
      <c r="B155" t="s">
        <v>47</v>
      </c>
      <c r="C155">
        <v>2</v>
      </c>
      <c r="D155">
        <v>17</v>
      </c>
      <c r="E155" t="str">
        <f t="shared" si="8"/>
        <v>Logan/17/1/2</v>
      </c>
    </row>
    <row r="156" spans="1:5" x14ac:dyDescent="0.2">
      <c r="A156">
        <v>2</v>
      </c>
      <c r="B156" t="s">
        <v>50</v>
      </c>
      <c r="C156">
        <v>3</v>
      </c>
      <c r="D156">
        <v>13</v>
      </c>
      <c r="E156" t="str">
        <f t="shared" si="8"/>
        <v>MLADENGO/13/2/3</v>
      </c>
    </row>
    <row r="157" spans="1:5" x14ac:dyDescent="0.2">
      <c r="A157">
        <v>3</v>
      </c>
      <c r="B157" t="s">
        <v>18</v>
      </c>
      <c r="C157">
        <v>1</v>
      </c>
      <c r="D157">
        <v>9</v>
      </c>
      <c r="E157" t="str">
        <f t="shared" si="8"/>
        <v>MAMS/9/3/1</v>
      </c>
    </row>
    <row r="158" spans="1:5" x14ac:dyDescent="0.2">
      <c r="A158">
        <v>4</v>
      </c>
      <c r="B158" t="s">
        <v>74</v>
      </c>
      <c r="C158">
        <v>0</v>
      </c>
      <c r="D158">
        <v>5</v>
      </c>
      <c r="E158" t="str">
        <f t="shared" si="8"/>
        <v>PatB/5/4/0</v>
      </c>
    </row>
    <row r="159" spans="1:5" x14ac:dyDescent="0.2">
      <c r="A159">
        <v>5</v>
      </c>
      <c r="B159" t="s">
        <v>33</v>
      </c>
      <c r="C159">
        <v>0</v>
      </c>
      <c r="D159">
        <v>3</v>
      </c>
      <c r="E159" t="str">
        <f t="shared" si="8"/>
        <v>Ptit Savoyard/3/5/0</v>
      </c>
    </row>
    <row r="160" spans="1:5" x14ac:dyDescent="0.2">
      <c r="A160">
        <v>6</v>
      </c>
      <c r="B160" t="s">
        <v>35</v>
      </c>
      <c r="C160">
        <v>0</v>
      </c>
      <c r="D160">
        <v>2</v>
      </c>
      <c r="E160" t="str">
        <f t="shared" si="8"/>
        <v>JeanMichelTiming/2/6/0</v>
      </c>
    </row>
    <row r="161" spans="1:5" x14ac:dyDescent="0.2">
      <c r="A161">
        <v>7</v>
      </c>
      <c r="B161" t="s">
        <v>32</v>
      </c>
      <c r="C161">
        <v>0</v>
      </c>
      <c r="D161">
        <v>1</v>
      </c>
      <c r="E161" t="str">
        <f t="shared" si="8"/>
        <v>OlivierN92/1/7/0</v>
      </c>
    </row>
    <row r="162" spans="1:5" x14ac:dyDescent="0.2">
      <c r="A162">
        <v>1</v>
      </c>
      <c r="B162" t="s">
        <v>103</v>
      </c>
      <c r="C162">
        <v>1</v>
      </c>
      <c r="D162">
        <v>16</v>
      </c>
      <c r="E162" t="str">
        <f t="shared" si="8"/>
        <v>zzav/16/1/1</v>
      </c>
    </row>
    <row r="163" spans="1:5" x14ac:dyDescent="0.2">
      <c r="A163">
        <v>2</v>
      </c>
      <c r="B163" t="s">
        <v>101</v>
      </c>
      <c r="C163">
        <v>2</v>
      </c>
      <c r="D163">
        <v>12</v>
      </c>
      <c r="E163" t="str">
        <f t="shared" si="8"/>
        <v>ChrisFrankfurt/12/2/2</v>
      </c>
    </row>
    <row r="164" spans="1:5" x14ac:dyDescent="0.2">
      <c r="A164">
        <v>3</v>
      </c>
      <c r="B164" t="s">
        <v>27</v>
      </c>
      <c r="C164">
        <v>0</v>
      </c>
      <c r="D164">
        <v>8</v>
      </c>
      <c r="E164" t="str">
        <f t="shared" si="8"/>
        <v>Mandrake/8/3/0</v>
      </c>
    </row>
    <row r="165" spans="1:5" x14ac:dyDescent="0.2">
      <c r="A165">
        <v>4</v>
      </c>
      <c r="B165" t="s">
        <v>92</v>
      </c>
      <c r="C165">
        <v>2</v>
      </c>
      <c r="D165">
        <v>4</v>
      </c>
      <c r="E165" t="str">
        <f t="shared" si="8"/>
        <v>Jacks&amp;Five/4/4/2</v>
      </c>
    </row>
    <row r="166" spans="1:5" x14ac:dyDescent="0.2">
      <c r="A166">
        <v>5</v>
      </c>
      <c r="B166" t="s">
        <v>59</v>
      </c>
      <c r="C166">
        <v>0</v>
      </c>
      <c r="D166">
        <v>2</v>
      </c>
      <c r="E166" t="str">
        <f t="shared" si="8"/>
        <v>YooooDA/2/5/0</v>
      </c>
    </row>
    <row r="167" spans="1:5" x14ac:dyDescent="0.2">
      <c r="A167">
        <v>6</v>
      </c>
      <c r="B167" t="s">
        <v>21</v>
      </c>
      <c r="C167">
        <v>0</v>
      </c>
      <c r="D167">
        <v>1</v>
      </c>
      <c r="E167" t="str">
        <f t="shared" si="8"/>
        <v>Carmin/1/6/0</v>
      </c>
    </row>
    <row r="168" spans="1:5" x14ac:dyDescent="0.2">
      <c r="A168">
        <v>1</v>
      </c>
      <c r="B168" t="s">
        <v>53</v>
      </c>
      <c r="C168">
        <v>2</v>
      </c>
      <c r="D168">
        <v>17</v>
      </c>
      <c r="E168" t="str">
        <f t="shared" ref="E168:E212" si="9">B168&amp;"/"&amp;D168&amp;"/"&amp;A168&amp;"/"&amp;C168</f>
        <v>Makoche/17/1/2</v>
      </c>
    </row>
    <row r="169" spans="1:5" x14ac:dyDescent="0.2">
      <c r="A169">
        <v>2</v>
      </c>
      <c r="B169" t="s">
        <v>19</v>
      </c>
      <c r="C169">
        <v>4</v>
      </c>
      <c r="D169">
        <v>13</v>
      </c>
      <c r="E169" t="str">
        <f t="shared" si="9"/>
        <v>Giobeck/13/2/4</v>
      </c>
    </row>
    <row r="170" spans="1:5" x14ac:dyDescent="0.2">
      <c r="A170">
        <v>3</v>
      </c>
      <c r="B170" t="s">
        <v>61</v>
      </c>
      <c r="C170">
        <v>0</v>
      </c>
      <c r="D170">
        <v>9</v>
      </c>
      <c r="E170" t="str">
        <f t="shared" si="9"/>
        <v>Kri-lin/9/3/0</v>
      </c>
    </row>
    <row r="171" spans="1:5" x14ac:dyDescent="0.2">
      <c r="A171">
        <v>4</v>
      </c>
      <c r="B171" t="s">
        <v>33</v>
      </c>
      <c r="C171">
        <v>0</v>
      </c>
      <c r="D171">
        <v>5</v>
      </c>
      <c r="E171" t="str">
        <f t="shared" si="9"/>
        <v>Ptit Savoyard/5/4/0</v>
      </c>
    </row>
    <row r="172" spans="1:5" x14ac:dyDescent="0.2">
      <c r="A172">
        <v>5</v>
      </c>
      <c r="B172" t="s">
        <v>28</v>
      </c>
      <c r="C172">
        <v>0</v>
      </c>
      <c r="D172">
        <v>3</v>
      </c>
      <c r="E172" t="str">
        <f t="shared" si="9"/>
        <v>sobab/3/5/0</v>
      </c>
    </row>
    <row r="173" spans="1:5" x14ac:dyDescent="0.2">
      <c r="A173">
        <v>6</v>
      </c>
      <c r="B173" t="s">
        <v>55</v>
      </c>
      <c r="C173">
        <v>0</v>
      </c>
      <c r="D173">
        <v>2</v>
      </c>
      <c r="E173" t="str">
        <f t="shared" si="9"/>
        <v>Bounette/2/6/0</v>
      </c>
    </row>
    <row r="174" spans="1:5" x14ac:dyDescent="0.2">
      <c r="A174">
        <v>7</v>
      </c>
      <c r="B174" t="s">
        <v>101</v>
      </c>
      <c r="C174">
        <v>0</v>
      </c>
      <c r="D174">
        <v>1</v>
      </c>
      <c r="E174" t="str">
        <f t="shared" si="9"/>
        <v>ChrisFrankfurt/1/7/0</v>
      </c>
    </row>
    <row r="175" spans="1:5" x14ac:dyDescent="0.2">
      <c r="A175">
        <v>1</v>
      </c>
      <c r="B175" t="s">
        <v>68</v>
      </c>
      <c r="C175">
        <v>3</v>
      </c>
      <c r="D175">
        <v>17</v>
      </c>
      <c r="E175" t="str">
        <f t="shared" si="9"/>
        <v>zubbaz/17/1/3</v>
      </c>
    </row>
    <row r="176" spans="1:5" x14ac:dyDescent="0.2">
      <c r="A176">
        <v>2</v>
      </c>
      <c r="B176" t="s">
        <v>8</v>
      </c>
      <c r="C176">
        <v>3</v>
      </c>
      <c r="D176">
        <v>13</v>
      </c>
      <c r="E176" t="str">
        <f t="shared" si="9"/>
        <v>Maxime/13/2/3</v>
      </c>
    </row>
    <row r="177" spans="1:5" x14ac:dyDescent="0.2">
      <c r="A177">
        <v>3</v>
      </c>
      <c r="B177" t="s">
        <v>31</v>
      </c>
      <c r="C177">
        <v>0</v>
      </c>
      <c r="D177">
        <v>9</v>
      </c>
      <c r="E177" t="str">
        <f t="shared" si="9"/>
        <v>CHRIS92340/9/3/0</v>
      </c>
    </row>
    <row r="178" spans="1:5" x14ac:dyDescent="0.2">
      <c r="A178">
        <v>4</v>
      </c>
      <c r="B178" t="s">
        <v>103</v>
      </c>
      <c r="C178">
        <v>0</v>
      </c>
      <c r="D178">
        <v>5</v>
      </c>
      <c r="E178" t="str">
        <f t="shared" si="9"/>
        <v>zzav/5/4/0</v>
      </c>
    </row>
    <row r="179" spans="1:5" x14ac:dyDescent="0.2">
      <c r="A179">
        <v>5</v>
      </c>
      <c r="B179" t="s">
        <v>54</v>
      </c>
      <c r="C179">
        <v>0</v>
      </c>
      <c r="D179">
        <v>3</v>
      </c>
      <c r="E179" t="str">
        <f t="shared" si="9"/>
        <v>Salsamanu/3/5/0</v>
      </c>
    </row>
    <row r="180" spans="1:5" x14ac:dyDescent="0.2">
      <c r="A180">
        <v>6</v>
      </c>
      <c r="B180" t="s">
        <v>41</v>
      </c>
      <c r="C180">
        <v>0</v>
      </c>
      <c r="D180">
        <v>2</v>
      </c>
      <c r="E180" t="str">
        <f t="shared" si="9"/>
        <v>gibouille/2/6/0</v>
      </c>
    </row>
    <row r="181" spans="1:5" x14ac:dyDescent="0.2">
      <c r="A181">
        <v>7</v>
      </c>
      <c r="B181" t="s">
        <v>69</v>
      </c>
      <c r="C181">
        <v>0</v>
      </c>
      <c r="D181">
        <v>1</v>
      </c>
      <c r="E181" t="str">
        <f t="shared" si="9"/>
        <v>Catherine/1/7/0</v>
      </c>
    </row>
    <row r="182" spans="1:5" x14ac:dyDescent="0.2">
      <c r="A182">
        <v>1</v>
      </c>
      <c r="B182" t="s">
        <v>59</v>
      </c>
      <c r="C182">
        <v>2</v>
      </c>
      <c r="D182">
        <v>17</v>
      </c>
      <c r="E182" t="str">
        <f t="shared" si="9"/>
        <v>YooooDA/17/1/2</v>
      </c>
    </row>
    <row r="183" spans="1:5" x14ac:dyDescent="0.2">
      <c r="A183">
        <v>2</v>
      </c>
      <c r="B183" t="s">
        <v>21</v>
      </c>
      <c r="C183">
        <v>1</v>
      </c>
      <c r="D183">
        <v>13</v>
      </c>
      <c r="E183" t="str">
        <f t="shared" si="9"/>
        <v>Carmin/13/2/1</v>
      </c>
    </row>
    <row r="184" spans="1:5" x14ac:dyDescent="0.2">
      <c r="A184">
        <v>3</v>
      </c>
      <c r="B184" t="s">
        <v>50</v>
      </c>
      <c r="C184">
        <v>0</v>
      </c>
      <c r="D184">
        <v>9</v>
      </c>
      <c r="E184" t="str">
        <f t="shared" si="9"/>
        <v>MLADENGO/9/3/0</v>
      </c>
    </row>
    <row r="185" spans="1:5" x14ac:dyDescent="0.2">
      <c r="A185">
        <v>4</v>
      </c>
      <c r="B185" t="s">
        <v>88</v>
      </c>
      <c r="C185">
        <v>1</v>
      </c>
      <c r="D185">
        <v>5</v>
      </c>
      <c r="E185" t="str">
        <f t="shared" si="9"/>
        <v>Yarael/5/4/1</v>
      </c>
    </row>
    <row r="186" spans="1:5" x14ac:dyDescent="0.2">
      <c r="A186">
        <v>5</v>
      </c>
      <c r="B186" t="s">
        <v>46</v>
      </c>
      <c r="C186">
        <v>1</v>
      </c>
      <c r="D186">
        <v>3</v>
      </c>
      <c r="E186" t="str">
        <f t="shared" si="9"/>
        <v>Jérôme/3/5/1</v>
      </c>
    </row>
    <row r="187" spans="1:5" x14ac:dyDescent="0.2">
      <c r="A187">
        <v>6</v>
      </c>
      <c r="B187" t="s">
        <v>76</v>
      </c>
      <c r="C187">
        <v>1</v>
      </c>
      <c r="D187">
        <v>2</v>
      </c>
      <c r="E187" t="str">
        <f t="shared" si="9"/>
        <v>Comment2/2/6/1</v>
      </c>
    </row>
    <row r="188" spans="1:5" x14ac:dyDescent="0.2">
      <c r="A188">
        <v>7</v>
      </c>
      <c r="B188" t="s">
        <v>29</v>
      </c>
      <c r="C188">
        <v>0</v>
      </c>
      <c r="D188">
        <v>1</v>
      </c>
      <c r="E188" t="str">
        <f t="shared" si="9"/>
        <v>NoDoubt/1/7/0</v>
      </c>
    </row>
    <row r="189" spans="1:5" x14ac:dyDescent="0.2">
      <c r="A189">
        <v>1</v>
      </c>
      <c r="B189" t="s">
        <v>18</v>
      </c>
      <c r="C189">
        <v>4</v>
      </c>
      <c r="D189">
        <v>17</v>
      </c>
      <c r="E189" t="str">
        <f t="shared" si="9"/>
        <v>MAMS/17/1/4</v>
      </c>
    </row>
    <row r="190" spans="1:5" x14ac:dyDescent="0.2">
      <c r="A190">
        <v>2</v>
      </c>
      <c r="B190" t="s">
        <v>22</v>
      </c>
      <c r="C190">
        <v>0</v>
      </c>
      <c r="D190">
        <v>13</v>
      </c>
      <c r="E190" t="str">
        <f t="shared" si="9"/>
        <v>Dart 45/13/2/0</v>
      </c>
    </row>
    <row r="191" spans="1:5" x14ac:dyDescent="0.2">
      <c r="A191">
        <v>3</v>
      </c>
      <c r="B191" t="s">
        <v>38</v>
      </c>
      <c r="C191">
        <v>2</v>
      </c>
      <c r="D191">
        <v>9</v>
      </c>
      <c r="E191" t="str">
        <f t="shared" si="9"/>
        <v>cTTprmoa/9/3/2</v>
      </c>
    </row>
    <row r="192" spans="1:5" x14ac:dyDescent="0.2">
      <c r="A192">
        <v>4</v>
      </c>
      <c r="B192" t="s">
        <v>65</v>
      </c>
      <c r="C192">
        <v>0</v>
      </c>
      <c r="D192">
        <v>5</v>
      </c>
      <c r="E192" t="str">
        <f t="shared" si="9"/>
        <v>Ripolin/5/4/0</v>
      </c>
    </row>
    <row r="193" spans="1:5" x14ac:dyDescent="0.2">
      <c r="A193">
        <v>5</v>
      </c>
      <c r="B193" t="s">
        <v>45</v>
      </c>
      <c r="C193">
        <v>0</v>
      </c>
      <c r="D193">
        <v>3</v>
      </c>
      <c r="E193" t="str">
        <f t="shared" si="9"/>
        <v>yaltar/3/5/0</v>
      </c>
    </row>
    <row r="194" spans="1:5" x14ac:dyDescent="0.2">
      <c r="A194">
        <v>6</v>
      </c>
      <c r="B194" t="s">
        <v>98</v>
      </c>
      <c r="C194">
        <v>0</v>
      </c>
      <c r="D194">
        <v>2</v>
      </c>
      <c r="E194" t="str">
        <f t="shared" si="9"/>
        <v>Blocknote/2/6/0</v>
      </c>
    </row>
    <row r="195" spans="1:5" x14ac:dyDescent="0.2">
      <c r="A195">
        <v>7</v>
      </c>
      <c r="B195" t="s">
        <v>40</v>
      </c>
      <c r="C195">
        <v>0</v>
      </c>
      <c r="D195">
        <v>1</v>
      </c>
      <c r="E195" t="str">
        <f t="shared" si="9"/>
        <v>Lén@/1/7/0</v>
      </c>
    </row>
    <row r="196" spans="1:5" x14ac:dyDescent="0.2">
      <c r="A196">
        <v>1</v>
      </c>
      <c r="B196" t="s">
        <v>23</v>
      </c>
      <c r="C196">
        <v>2</v>
      </c>
      <c r="D196">
        <v>16</v>
      </c>
      <c r="E196" t="str">
        <f t="shared" si="9"/>
        <v>Lylith75/16/1/2</v>
      </c>
    </row>
    <row r="197" spans="1:5" x14ac:dyDescent="0.2">
      <c r="A197">
        <v>2</v>
      </c>
      <c r="B197" t="s">
        <v>12</v>
      </c>
      <c r="C197">
        <v>1</v>
      </c>
      <c r="D197">
        <v>12</v>
      </c>
      <c r="E197" t="str">
        <f t="shared" si="9"/>
        <v>Gnak/12/2/1</v>
      </c>
    </row>
    <row r="198" spans="1:5" x14ac:dyDescent="0.2">
      <c r="A198">
        <v>3</v>
      </c>
      <c r="B198" t="s">
        <v>305</v>
      </c>
      <c r="C198">
        <v>2</v>
      </c>
      <c r="D198">
        <v>8</v>
      </c>
      <c r="E198" t="str">
        <f t="shared" si="9"/>
        <v>flowww/8/3/2</v>
      </c>
    </row>
    <row r="199" spans="1:5" x14ac:dyDescent="0.2">
      <c r="A199">
        <v>4</v>
      </c>
      <c r="B199" t="s">
        <v>25</v>
      </c>
      <c r="C199">
        <v>0</v>
      </c>
      <c r="D199">
        <v>4</v>
      </c>
      <c r="E199" t="str">
        <f t="shared" si="9"/>
        <v>Claudius/4/4/0</v>
      </c>
    </row>
    <row r="200" spans="1:5" x14ac:dyDescent="0.2">
      <c r="A200">
        <v>5</v>
      </c>
      <c r="B200" t="s">
        <v>26</v>
      </c>
      <c r="C200">
        <v>0</v>
      </c>
      <c r="D200">
        <v>2</v>
      </c>
      <c r="E200" t="str">
        <f t="shared" si="9"/>
        <v>LOSOGRE/2/5/0</v>
      </c>
    </row>
    <row r="201" spans="1:5" x14ac:dyDescent="0.2">
      <c r="A201">
        <v>6</v>
      </c>
      <c r="B201" t="s">
        <v>52</v>
      </c>
      <c r="C201">
        <v>0</v>
      </c>
      <c r="D201">
        <v>1</v>
      </c>
      <c r="E201" t="str">
        <f t="shared" si="9"/>
        <v>Coach Pepito/1/6/0</v>
      </c>
    </row>
    <row r="202" spans="1:5" x14ac:dyDescent="0.2">
      <c r="A202">
        <v>1</v>
      </c>
      <c r="B202" t="s">
        <v>6</v>
      </c>
      <c r="C202">
        <v>2</v>
      </c>
      <c r="D202">
        <v>17</v>
      </c>
      <c r="E202" t="str">
        <f t="shared" si="9"/>
        <v>Pyja/17/1/2</v>
      </c>
    </row>
    <row r="203" spans="1:5" x14ac:dyDescent="0.2">
      <c r="A203">
        <v>2</v>
      </c>
      <c r="B203" t="s">
        <v>60</v>
      </c>
      <c r="C203">
        <v>1</v>
      </c>
      <c r="D203">
        <v>13</v>
      </c>
      <c r="E203" t="str">
        <f t="shared" si="9"/>
        <v>zizou/13/2/1</v>
      </c>
    </row>
    <row r="204" spans="1:5" x14ac:dyDescent="0.2">
      <c r="A204">
        <v>3</v>
      </c>
      <c r="B204" t="s">
        <v>77</v>
      </c>
      <c r="C204">
        <v>1</v>
      </c>
      <c r="D204">
        <v>9</v>
      </c>
      <c r="E204" t="str">
        <f t="shared" si="9"/>
        <v>Récréatif/9/3/1</v>
      </c>
    </row>
    <row r="205" spans="1:5" x14ac:dyDescent="0.2">
      <c r="A205">
        <v>4</v>
      </c>
      <c r="B205" t="s">
        <v>75</v>
      </c>
      <c r="C205">
        <v>0</v>
      </c>
      <c r="D205">
        <v>5</v>
      </c>
      <c r="E205" t="str">
        <f t="shared" si="9"/>
        <v>Michelbey/5/4/0</v>
      </c>
    </row>
    <row r="206" spans="1:5" x14ac:dyDescent="0.2">
      <c r="A206">
        <v>5</v>
      </c>
      <c r="B206" t="s">
        <v>39</v>
      </c>
      <c r="C206">
        <v>2</v>
      </c>
      <c r="D206">
        <v>3</v>
      </c>
      <c r="E206" t="str">
        <f t="shared" si="9"/>
        <v>kheops/3/5/2</v>
      </c>
    </row>
    <row r="207" spans="1:5" x14ac:dyDescent="0.2">
      <c r="A207">
        <v>6</v>
      </c>
      <c r="B207" t="s">
        <v>35</v>
      </c>
      <c r="C207">
        <v>0</v>
      </c>
      <c r="D207">
        <v>2</v>
      </c>
      <c r="E207" t="str">
        <f t="shared" si="9"/>
        <v>JeanMichelTiming/2/6/0</v>
      </c>
    </row>
    <row r="208" spans="1:5" x14ac:dyDescent="0.2">
      <c r="A208">
        <v>7</v>
      </c>
      <c r="B208" t="s">
        <v>81</v>
      </c>
      <c r="C208">
        <v>0</v>
      </c>
      <c r="D208">
        <v>1</v>
      </c>
      <c r="E208" t="str">
        <f t="shared" si="9"/>
        <v>Empedocle/1/7/0</v>
      </c>
    </row>
    <row r="209" spans="1:5" x14ac:dyDescent="0.2">
      <c r="A209">
        <v>1</v>
      </c>
      <c r="B209" t="s">
        <v>9</v>
      </c>
      <c r="C209">
        <v>4</v>
      </c>
      <c r="D209">
        <v>17</v>
      </c>
      <c r="E209" t="str">
        <f t="shared" si="9"/>
        <v>K1/17/1/4</v>
      </c>
    </row>
    <row r="210" spans="1:5" x14ac:dyDescent="0.2">
      <c r="A210">
        <v>2</v>
      </c>
      <c r="B210" t="s">
        <v>74</v>
      </c>
      <c r="C210">
        <v>1</v>
      </c>
      <c r="D210">
        <v>13</v>
      </c>
      <c r="E210" t="str">
        <f t="shared" si="9"/>
        <v>PatB/13/2/1</v>
      </c>
    </row>
    <row r="211" spans="1:5" x14ac:dyDescent="0.2">
      <c r="A211">
        <v>3</v>
      </c>
      <c r="B211" t="s">
        <v>73</v>
      </c>
      <c r="C211">
        <v>0</v>
      </c>
      <c r="D211">
        <v>9</v>
      </c>
      <c r="E211" t="str">
        <f t="shared" si="9"/>
        <v>Flem/9/3/0</v>
      </c>
    </row>
    <row r="212" spans="1:5" x14ac:dyDescent="0.2">
      <c r="A212">
        <v>4</v>
      </c>
      <c r="B212" t="s">
        <v>47</v>
      </c>
      <c r="C212">
        <v>1</v>
      </c>
      <c r="D212">
        <v>5</v>
      </c>
      <c r="E212" t="str">
        <f t="shared" si="9"/>
        <v>Logan/5/4/1</v>
      </c>
    </row>
    <row r="213" spans="1:5" x14ac:dyDescent="0.2">
      <c r="A213">
        <v>5</v>
      </c>
      <c r="B213" t="s">
        <v>42</v>
      </c>
      <c r="C213">
        <v>0</v>
      </c>
      <c r="D213">
        <v>3</v>
      </c>
      <c r="E213" t="str">
        <f t="shared" ref="E213:E251" si="10">B213&amp;"/"&amp;D213&amp;"/"&amp;A213&amp;"/"&amp;C213</f>
        <v>Claptou/3/5/0</v>
      </c>
    </row>
    <row r="214" spans="1:5" x14ac:dyDescent="0.2">
      <c r="A214">
        <v>6</v>
      </c>
      <c r="B214" t="s">
        <v>27</v>
      </c>
      <c r="C214">
        <v>0</v>
      </c>
      <c r="D214">
        <v>2</v>
      </c>
      <c r="E214" t="str">
        <f t="shared" si="10"/>
        <v>Mandrake/2/6/0</v>
      </c>
    </row>
    <row r="215" spans="1:5" x14ac:dyDescent="0.2">
      <c r="A215">
        <v>7</v>
      </c>
      <c r="B215" t="s">
        <v>92</v>
      </c>
      <c r="C215">
        <v>0</v>
      </c>
      <c r="D215">
        <v>1</v>
      </c>
      <c r="E215" t="str">
        <f t="shared" si="10"/>
        <v>Jacks&amp;Five/1/7/0</v>
      </c>
    </row>
    <row r="216" spans="1:5" x14ac:dyDescent="0.2">
      <c r="A216">
        <v>1</v>
      </c>
      <c r="B216" t="s">
        <v>59</v>
      </c>
      <c r="C216">
        <v>4</v>
      </c>
      <c r="D216">
        <v>16</v>
      </c>
      <c r="E216" t="str">
        <f t="shared" si="10"/>
        <v>YooooDA/16/1/4</v>
      </c>
    </row>
    <row r="217" spans="1:5" x14ac:dyDescent="0.2">
      <c r="A217">
        <v>2</v>
      </c>
      <c r="B217" t="s">
        <v>31</v>
      </c>
      <c r="C217">
        <v>0</v>
      </c>
      <c r="D217">
        <v>12</v>
      </c>
      <c r="E217" t="str">
        <f t="shared" si="10"/>
        <v>CHRIS92340/12/2/0</v>
      </c>
    </row>
    <row r="218" spans="1:5" x14ac:dyDescent="0.2">
      <c r="A218">
        <v>3</v>
      </c>
      <c r="B218" t="s">
        <v>54</v>
      </c>
      <c r="C218">
        <v>0</v>
      </c>
      <c r="D218">
        <v>8</v>
      </c>
      <c r="E218" t="str">
        <f t="shared" si="10"/>
        <v>Salsamanu/8/3/0</v>
      </c>
    </row>
    <row r="219" spans="1:5" x14ac:dyDescent="0.2">
      <c r="A219">
        <v>4</v>
      </c>
      <c r="B219" t="s">
        <v>38</v>
      </c>
      <c r="C219">
        <v>0</v>
      </c>
      <c r="D219">
        <v>4</v>
      </c>
      <c r="E219" t="str">
        <f t="shared" si="10"/>
        <v>cTTprmoa/4/4/0</v>
      </c>
    </row>
    <row r="220" spans="1:5" x14ac:dyDescent="0.2">
      <c r="A220">
        <v>5</v>
      </c>
      <c r="B220" t="s">
        <v>76</v>
      </c>
      <c r="C220">
        <v>1</v>
      </c>
      <c r="D220">
        <v>2</v>
      </c>
      <c r="E220" t="str">
        <f t="shared" si="10"/>
        <v>Comment2/2/5/1</v>
      </c>
    </row>
    <row r="221" spans="1:5" x14ac:dyDescent="0.2">
      <c r="A221">
        <v>6</v>
      </c>
      <c r="B221" t="s">
        <v>103</v>
      </c>
      <c r="C221">
        <v>0</v>
      </c>
      <c r="D221">
        <v>1</v>
      </c>
      <c r="E221" t="str">
        <f t="shared" si="10"/>
        <v>zzav/1/6/0</v>
      </c>
    </row>
    <row r="222" spans="1:5" x14ac:dyDescent="0.2">
      <c r="A222">
        <v>1</v>
      </c>
      <c r="B222" t="s">
        <v>50</v>
      </c>
      <c r="C222">
        <v>1</v>
      </c>
      <c r="D222">
        <v>16</v>
      </c>
      <c r="E222" t="str">
        <f t="shared" si="10"/>
        <v>MLADENGO/16/1/1</v>
      </c>
    </row>
    <row r="223" spans="1:5" x14ac:dyDescent="0.2">
      <c r="A223">
        <v>2</v>
      </c>
      <c r="B223" t="s">
        <v>102</v>
      </c>
      <c r="C223">
        <v>2</v>
      </c>
      <c r="D223">
        <v>12</v>
      </c>
      <c r="E223" t="str">
        <f t="shared" si="10"/>
        <v>Doudoululu/12/2/2</v>
      </c>
    </row>
    <row r="224" spans="1:5" x14ac:dyDescent="0.2">
      <c r="A224">
        <v>3</v>
      </c>
      <c r="B224" t="s">
        <v>40</v>
      </c>
      <c r="C224">
        <v>2</v>
      </c>
      <c r="D224">
        <v>8</v>
      </c>
      <c r="E224" t="str">
        <f t="shared" si="10"/>
        <v>Lén@/8/3/2</v>
      </c>
    </row>
    <row r="225" spans="1:5" x14ac:dyDescent="0.2">
      <c r="A225">
        <v>4</v>
      </c>
      <c r="B225" t="s">
        <v>33</v>
      </c>
      <c r="C225">
        <v>0</v>
      </c>
      <c r="D225">
        <v>4</v>
      </c>
      <c r="E225" t="str">
        <f t="shared" si="10"/>
        <v>Ptit Savoyard/4/4/0</v>
      </c>
    </row>
    <row r="226" spans="1:5" x14ac:dyDescent="0.2">
      <c r="A226">
        <v>5</v>
      </c>
      <c r="B226" t="s">
        <v>47</v>
      </c>
      <c r="C226">
        <v>0</v>
      </c>
      <c r="D226">
        <v>2</v>
      </c>
      <c r="E226" t="str">
        <f t="shared" si="10"/>
        <v>Logan/2/5/0</v>
      </c>
    </row>
    <row r="227" spans="1:5" x14ac:dyDescent="0.2">
      <c r="A227">
        <v>6</v>
      </c>
      <c r="B227" t="s">
        <v>66</v>
      </c>
      <c r="C227">
        <v>0</v>
      </c>
      <c r="D227">
        <v>1</v>
      </c>
      <c r="E227" t="str">
        <f t="shared" si="10"/>
        <v>Ad Vitam/1/6/0</v>
      </c>
    </row>
    <row r="228" spans="1:5" x14ac:dyDescent="0.2">
      <c r="A228">
        <v>1</v>
      </c>
      <c r="B228" t="s">
        <v>65</v>
      </c>
      <c r="C228">
        <v>4</v>
      </c>
      <c r="D228">
        <v>16</v>
      </c>
      <c r="E228" t="str">
        <f t="shared" si="10"/>
        <v>Ripolin/16/1/4</v>
      </c>
    </row>
    <row r="229" spans="1:5" x14ac:dyDescent="0.2">
      <c r="A229">
        <v>2</v>
      </c>
      <c r="B229" t="s">
        <v>41</v>
      </c>
      <c r="C229">
        <v>1</v>
      </c>
      <c r="D229">
        <v>12</v>
      </c>
      <c r="E229" t="str">
        <f t="shared" si="10"/>
        <v>gibouille/12/2/1</v>
      </c>
    </row>
    <row r="230" spans="1:5" x14ac:dyDescent="0.2">
      <c r="A230">
        <v>3</v>
      </c>
      <c r="B230" t="s">
        <v>55</v>
      </c>
      <c r="C230">
        <v>0</v>
      </c>
      <c r="D230">
        <v>8</v>
      </c>
      <c r="E230" t="str">
        <f t="shared" si="10"/>
        <v>Bounette/8/3/0</v>
      </c>
    </row>
    <row r="231" spans="1:5" x14ac:dyDescent="0.2">
      <c r="A231">
        <v>4</v>
      </c>
      <c r="B231" t="s">
        <v>14</v>
      </c>
      <c r="C231">
        <v>0</v>
      </c>
      <c r="D231">
        <v>4</v>
      </c>
      <c r="E231" t="str">
        <f t="shared" si="10"/>
        <v>Ramm/4/4/0</v>
      </c>
    </row>
    <row r="232" spans="1:5" x14ac:dyDescent="0.2">
      <c r="A232">
        <v>5</v>
      </c>
      <c r="B232" t="s">
        <v>29</v>
      </c>
      <c r="C232">
        <v>0</v>
      </c>
      <c r="D232">
        <v>2</v>
      </c>
      <c r="E232" t="str">
        <f t="shared" si="10"/>
        <v>NoDoubt/2/5/0</v>
      </c>
    </row>
    <row r="233" spans="1:5" x14ac:dyDescent="0.2">
      <c r="A233">
        <v>6</v>
      </c>
      <c r="B233" t="s">
        <v>53</v>
      </c>
      <c r="C233">
        <v>0</v>
      </c>
      <c r="D233">
        <v>1</v>
      </c>
      <c r="E233" t="str">
        <f t="shared" si="10"/>
        <v>Makoche/1/6/0</v>
      </c>
    </row>
    <row r="234" spans="1:5" x14ac:dyDescent="0.2">
      <c r="A234">
        <v>1</v>
      </c>
      <c r="B234" t="s">
        <v>46</v>
      </c>
      <c r="C234">
        <v>1</v>
      </c>
      <c r="D234">
        <v>16</v>
      </c>
      <c r="E234" t="str">
        <f t="shared" si="10"/>
        <v>Jérôme/16/1/1</v>
      </c>
    </row>
    <row r="235" spans="1:5" x14ac:dyDescent="0.2">
      <c r="A235">
        <v>2</v>
      </c>
      <c r="B235" t="s">
        <v>25</v>
      </c>
      <c r="C235">
        <v>1</v>
      </c>
      <c r="D235">
        <v>12</v>
      </c>
      <c r="E235" t="str">
        <f t="shared" si="10"/>
        <v>Claudius/12/2/1</v>
      </c>
    </row>
    <row r="236" spans="1:5" x14ac:dyDescent="0.2">
      <c r="A236">
        <v>3</v>
      </c>
      <c r="B236" t="s">
        <v>8</v>
      </c>
      <c r="C236">
        <v>2</v>
      </c>
      <c r="D236">
        <v>8</v>
      </c>
      <c r="E236" t="str">
        <f t="shared" si="10"/>
        <v>Maxime/8/3/2</v>
      </c>
    </row>
    <row r="237" spans="1:5" x14ac:dyDescent="0.2">
      <c r="A237">
        <v>4</v>
      </c>
      <c r="B237" t="s">
        <v>22</v>
      </c>
      <c r="C237">
        <v>1</v>
      </c>
      <c r="D237">
        <v>4</v>
      </c>
      <c r="E237" t="str">
        <f t="shared" si="10"/>
        <v>Dart 45/4/4/1</v>
      </c>
    </row>
    <row r="238" spans="1:5" x14ac:dyDescent="0.2">
      <c r="A238">
        <v>5</v>
      </c>
      <c r="B238" t="s">
        <v>52</v>
      </c>
      <c r="C238">
        <v>0</v>
      </c>
      <c r="D238">
        <v>2</v>
      </c>
      <c r="E238" t="str">
        <f t="shared" si="10"/>
        <v>Coach Pepito/2/5/0</v>
      </c>
    </row>
    <row r="239" spans="1:5" x14ac:dyDescent="0.2">
      <c r="A239">
        <v>6</v>
      </c>
      <c r="B239" t="s">
        <v>21</v>
      </c>
      <c r="C239">
        <v>0</v>
      </c>
      <c r="D239">
        <v>1</v>
      </c>
      <c r="E239" t="str">
        <f t="shared" si="10"/>
        <v>Carmin/1/6/0</v>
      </c>
    </row>
    <row r="240" spans="1:5" x14ac:dyDescent="0.2">
      <c r="A240">
        <v>1</v>
      </c>
      <c r="B240" t="s">
        <v>45</v>
      </c>
      <c r="C240">
        <v>2</v>
      </c>
      <c r="D240">
        <v>16</v>
      </c>
      <c r="E240" t="str">
        <f t="shared" si="10"/>
        <v>yaltar/16/1/2</v>
      </c>
    </row>
    <row r="241" spans="1:5" x14ac:dyDescent="0.2">
      <c r="A241">
        <v>2</v>
      </c>
      <c r="B241" t="s">
        <v>61</v>
      </c>
      <c r="C241">
        <v>1</v>
      </c>
      <c r="D241">
        <v>12</v>
      </c>
      <c r="E241" t="str">
        <f t="shared" si="10"/>
        <v>Kri-lin/12/2/1</v>
      </c>
    </row>
    <row r="242" spans="1:5" x14ac:dyDescent="0.2">
      <c r="A242">
        <v>3</v>
      </c>
      <c r="B242" t="s">
        <v>101</v>
      </c>
      <c r="C242">
        <v>1</v>
      </c>
      <c r="D242">
        <v>8</v>
      </c>
      <c r="E242" t="str">
        <f t="shared" si="10"/>
        <v>ChrisFrankfurt/8/3/1</v>
      </c>
    </row>
    <row r="243" spans="1:5" x14ac:dyDescent="0.2">
      <c r="A243">
        <v>4</v>
      </c>
      <c r="B243" t="s">
        <v>12</v>
      </c>
      <c r="C243">
        <v>1</v>
      </c>
      <c r="D243">
        <v>4</v>
      </c>
      <c r="E243" t="str">
        <f t="shared" si="10"/>
        <v>Gnak/4/4/1</v>
      </c>
    </row>
    <row r="244" spans="1:5" x14ac:dyDescent="0.2">
      <c r="A244">
        <v>5</v>
      </c>
      <c r="B244" t="s">
        <v>81</v>
      </c>
      <c r="C244">
        <v>0</v>
      </c>
      <c r="D244">
        <v>2</v>
      </c>
      <c r="E244" t="str">
        <f t="shared" si="10"/>
        <v>Empedocle/2/5/0</v>
      </c>
    </row>
    <row r="245" spans="1:5" x14ac:dyDescent="0.2">
      <c r="A245">
        <v>6</v>
      </c>
      <c r="B245" t="s">
        <v>18</v>
      </c>
      <c r="C245">
        <v>0</v>
      </c>
      <c r="D245">
        <v>1</v>
      </c>
      <c r="E245" t="str">
        <f t="shared" si="10"/>
        <v>MAMS/1/6/0</v>
      </c>
    </row>
    <row r="246" spans="1:5" x14ac:dyDescent="0.2">
      <c r="A246">
        <v>1</v>
      </c>
      <c r="B246" t="s">
        <v>94</v>
      </c>
      <c r="C246">
        <v>4</v>
      </c>
      <c r="D246">
        <v>16</v>
      </c>
      <c r="E246" t="str">
        <f t="shared" si="10"/>
        <v>Jaden le désosseur/16/1/4</v>
      </c>
    </row>
    <row r="247" spans="1:5" x14ac:dyDescent="0.2">
      <c r="A247">
        <v>2</v>
      </c>
      <c r="B247" t="s">
        <v>68</v>
      </c>
      <c r="C247">
        <v>1</v>
      </c>
      <c r="D247">
        <v>12</v>
      </c>
      <c r="E247" t="str">
        <f t="shared" si="10"/>
        <v>zubbaz/12/2/1</v>
      </c>
    </row>
    <row r="248" spans="1:5" x14ac:dyDescent="0.2">
      <c r="A248">
        <v>3</v>
      </c>
      <c r="B248" t="s">
        <v>26</v>
      </c>
      <c r="C248">
        <v>0</v>
      </c>
      <c r="D248">
        <v>8</v>
      </c>
      <c r="E248" t="str">
        <f t="shared" si="10"/>
        <v>LOSOGRE/8/3/0</v>
      </c>
    </row>
    <row r="249" spans="1:5" x14ac:dyDescent="0.2">
      <c r="A249">
        <v>4</v>
      </c>
      <c r="B249" t="s">
        <v>43</v>
      </c>
      <c r="C249">
        <v>0</v>
      </c>
      <c r="D249">
        <v>4</v>
      </c>
      <c r="E249" t="str">
        <f t="shared" si="10"/>
        <v>KassTwo/4/4/0</v>
      </c>
    </row>
    <row r="250" spans="1:5" x14ac:dyDescent="0.2">
      <c r="A250">
        <v>5</v>
      </c>
      <c r="B250" t="s">
        <v>75</v>
      </c>
      <c r="C250">
        <v>0</v>
      </c>
      <c r="D250">
        <v>2</v>
      </c>
      <c r="E250" t="str">
        <f t="shared" si="10"/>
        <v>Michelbey/2/5/0</v>
      </c>
    </row>
    <row r="251" spans="1:5" x14ac:dyDescent="0.2">
      <c r="A251">
        <v>6</v>
      </c>
      <c r="B251" t="s">
        <v>92</v>
      </c>
      <c r="C251">
        <v>0</v>
      </c>
      <c r="D251">
        <v>1</v>
      </c>
      <c r="E251" t="str">
        <f t="shared" si="10"/>
        <v>Jacks&amp;Five/1/6/0</v>
      </c>
    </row>
    <row r="252" spans="1:5" x14ac:dyDescent="0.2">
      <c r="A252">
        <v>1</v>
      </c>
      <c r="B252" t="s">
        <v>19</v>
      </c>
      <c r="C252">
        <v>3</v>
      </c>
      <c r="D252">
        <v>17</v>
      </c>
      <c r="E252" t="str">
        <f t="shared" ref="E252:E290" si="11">B252&amp;"/"&amp;D252&amp;"/"&amp;A252&amp;"/"&amp;C252</f>
        <v>Giobeck/17/1/3</v>
      </c>
    </row>
    <row r="253" spans="1:5" x14ac:dyDescent="0.2">
      <c r="A253">
        <v>2</v>
      </c>
      <c r="B253" t="s">
        <v>28</v>
      </c>
      <c r="C253">
        <v>3</v>
      </c>
      <c r="D253">
        <v>13</v>
      </c>
      <c r="E253" t="str">
        <f t="shared" si="11"/>
        <v>sobab/13/2/3</v>
      </c>
    </row>
    <row r="254" spans="1:5" x14ac:dyDescent="0.2">
      <c r="A254">
        <v>3</v>
      </c>
      <c r="B254" t="s">
        <v>35</v>
      </c>
      <c r="C254">
        <v>0</v>
      </c>
      <c r="D254">
        <v>9</v>
      </c>
      <c r="E254" t="str">
        <f t="shared" si="11"/>
        <v>JeanMichelTiming/9/3/0</v>
      </c>
    </row>
    <row r="255" spans="1:5" x14ac:dyDescent="0.2">
      <c r="A255">
        <v>4</v>
      </c>
      <c r="B255" t="s">
        <v>60</v>
      </c>
      <c r="C255">
        <v>0</v>
      </c>
      <c r="D255">
        <v>5</v>
      </c>
      <c r="E255" t="str">
        <f t="shared" si="11"/>
        <v>zizou/5/4/0</v>
      </c>
    </row>
    <row r="256" spans="1:5" x14ac:dyDescent="0.2">
      <c r="A256">
        <v>5</v>
      </c>
      <c r="B256" t="s">
        <v>9</v>
      </c>
      <c r="C256">
        <v>0</v>
      </c>
      <c r="D256">
        <v>3</v>
      </c>
      <c r="E256" t="str">
        <f t="shared" si="11"/>
        <v>K1/3/5/0</v>
      </c>
    </row>
    <row r="257" spans="1:5" x14ac:dyDescent="0.2">
      <c r="A257">
        <v>6</v>
      </c>
      <c r="B257" t="s">
        <v>87</v>
      </c>
      <c r="C257">
        <v>0</v>
      </c>
      <c r="D257">
        <v>2</v>
      </c>
      <c r="E257" t="str">
        <f t="shared" si="11"/>
        <v>Proph@ne/2/6/0</v>
      </c>
    </row>
    <row r="258" spans="1:5" x14ac:dyDescent="0.2">
      <c r="A258">
        <v>7</v>
      </c>
      <c r="B258" t="s">
        <v>23</v>
      </c>
      <c r="C258">
        <v>0</v>
      </c>
      <c r="D258">
        <v>1</v>
      </c>
      <c r="E258" t="str">
        <f t="shared" si="11"/>
        <v>Lylith75/1/7/0</v>
      </c>
    </row>
    <row r="259" spans="1:5" x14ac:dyDescent="0.2">
      <c r="A259">
        <v>1</v>
      </c>
      <c r="B259" t="s">
        <v>73</v>
      </c>
      <c r="C259">
        <v>2</v>
      </c>
      <c r="D259">
        <v>16</v>
      </c>
      <c r="E259" t="str">
        <f t="shared" si="11"/>
        <v>Flem/16/1/2</v>
      </c>
    </row>
    <row r="260" spans="1:5" x14ac:dyDescent="0.2">
      <c r="A260">
        <v>2</v>
      </c>
      <c r="B260" t="s">
        <v>69</v>
      </c>
      <c r="C260">
        <v>3</v>
      </c>
      <c r="D260">
        <v>12</v>
      </c>
      <c r="E260" t="str">
        <f t="shared" si="11"/>
        <v>Catherine/12/2/3</v>
      </c>
    </row>
    <row r="261" spans="1:5" x14ac:dyDescent="0.2">
      <c r="A261">
        <v>3</v>
      </c>
      <c r="B261" t="s">
        <v>6</v>
      </c>
      <c r="C261">
        <v>0</v>
      </c>
      <c r="D261">
        <v>8</v>
      </c>
      <c r="E261" t="str">
        <f t="shared" si="11"/>
        <v>Pyja/8/3/0</v>
      </c>
    </row>
    <row r="262" spans="1:5" x14ac:dyDescent="0.2">
      <c r="A262">
        <v>4</v>
      </c>
      <c r="B262" t="s">
        <v>42</v>
      </c>
      <c r="C262">
        <v>0</v>
      </c>
      <c r="D262">
        <v>4</v>
      </c>
      <c r="E262" t="str">
        <f t="shared" si="11"/>
        <v>Claptou/4/4/0</v>
      </c>
    </row>
    <row r="263" spans="1:5" x14ac:dyDescent="0.2">
      <c r="A263">
        <v>5</v>
      </c>
      <c r="B263" t="s">
        <v>39</v>
      </c>
      <c r="C263">
        <v>0</v>
      </c>
      <c r="D263">
        <v>2</v>
      </c>
      <c r="E263" t="str">
        <f t="shared" si="11"/>
        <v>kheops/2/5/0</v>
      </c>
    </row>
    <row r="264" spans="1:5" x14ac:dyDescent="0.2">
      <c r="A264">
        <v>6</v>
      </c>
      <c r="B264" t="s">
        <v>74</v>
      </c>
      <c r="C264">
        <v>0</v>
      </c>
      <c r="D264">
        <v>1</v>
      </c>
      <c r="E264" t="str">
        <f t="shared" si="11"/>
        <v>PatB/1/6/0</v>
      </c>
    </row>
    <row r="265" spans="1:5" x14ac:dyDescent="0.2">
      <c r="A265">
        <v>1</v>
      </c>
      <c r="B265" t="s">
        <v>103</v>
      </c>
      <c r="C265">
        <v>2</v>
      </c>
      <c r="D265">
        <v>16</v>
      </c>
      <c r="E265" t="str">
        <f t="shared" si="11"/>
        <v>zzav/16/1/2</v>
      </c>
    </row>
    <row r="266" spans="1:5" x14ac:dyDescent="0.2">
      <c r="A266">
        <v>2</v>
      </c>
      <c r="B266" t="s">
        <v>41</v>
      </c>
      <c r="C266">
        <v>1</v>
      </c>
      <c r="D266">
        <v>12</v>
      </c>
      <c r="E266" t="str">
        <f t="shared" si="11"/>
        <v>gibouille/12/2/1</v>
      </c>
    </row>
    <row r="267" spans="1:5" x14ac:dyDescent="0.2">
      <c r="A267">
        <v>3</v>
      </c>
      <c r="B267" t="s">
        <v>9</v>
      </c>
      <c r="C267">
        <v>2</v>
      </c>
      <c r="D267">
        <v>8</v>
      </c>
      <c r="E267" t="str">
        <f t="shared" si="11"/>
        <v>K1/8/3/2</v>
      </c>
    </row>
    <row r="268" spans="1:5" x14ac:dyDescent="0.2">
      <c r="A268">
        <v>4</v>
      </c>
      <c r="B268" t="s">
        <v>88</v>
      </c>
      <c r="C268">
        <v>0</v>
      </c>
      <c r="D268">
        <v>4</v>
      </c>
      <c r="E268" t="str">
        <f t="shared" si="11"/>
        <v>Yarael/4/4/0</v>
      </c>
    </row>
    <row r="269" spans="1:5" x14ac:dyDescent="0.2">
      <c r="A269">
        <v>5</v>
      </c>
      <c r="B269" t="s">
        <v>31</v>
      </c>
      <c r="C269">
        <v>0</v>
      </c>
      <c r="D269">
        <v>2</v>
      </c>
      <c r="E269" t="str">
        <f t="shared" si="11"/>
        <v>CHRIS92340/2/5/0</v>
      </c>
    </row>
    <row r="270" spans="1:5" x14ac:dyDescent="0.2">
      <c r="A270">
        <v>6</v>
      </c>
      <c r="B270" t="s">
        <v>54</v>
      </c>
      <c r="C270">
        <v>0</v>
      </c>
      <c r="D270">
        <v>1</v>
      </c>
      <c r="E270" t="str">
        <f t="shared" si="11"/>
        <v>Salsamanu/1/6/0</v>
      </c>
    </row>
    <row r="271" spans="1:5" x14ac:dyDescent="0.2">
      <c r="A271">
        <v>1</v>
      </c>
      <c r="B271" t="s">
        <v>305</v>
      </c>
      <c r="C271">
        <v>2</v>
      </c>
      <c r="D271">
        <v>16</v>
      </c>
      <c r="E271" t="str">
        <f t="shared" si="11"/>
        <v>flowww/16/1/2</v>
      </c>
    </row>
    <row r="272" spans="1:5" x14ac:dyDescent="0.2">
      <c r="A272">
        <v>2</v>
      </c>
      <c r="B272" t="s">
        <v>102</v>
      </c>
      <c r="C272">
        <v>3</v>
      </c>
      <c r="D272">
        <v>12</v>
      </c>
      <c r="E272" t="str">
        <f t="shared" si="11"/>
        <v>Doudoululu/12/2/3</v>
      </c>
    </row>
    <row r="273" spans="1:5" x14ac:dyDescent="0.2">
      <c r="A273">
        <v>3</v>
      </c>
      <c r="B273" t="s">
        <v>25</v>
      </c>
      <c r="C273">
        <v>0</v>
      </c>
      <c r="D273">
        <v>8</v>
      </c>
      <c r="E273" t="str">
        <f t="shared" si="11"/>
        <v>Claudius/8/3/0</v>
      </c>
    </row>
    <row r="274" spans="1:5" x14ac:dyDescent="0.2">
      <c r="A274">
        <v>4</v>
      </c>
      <c r="B274" t="s">
        <v>6</v>
      </c>
      <c r="C274">
        <v>0</v>
      </c>
      <c r="D274">
        <v>4</v>
      </c>
      <c r="E274" t="str">
        <f t="shared" si="11"/>
        <v>Pyja/4/4/0</v>
      </c>
    </row>
    <row r="275" spans="1:5" x14ac:dyDescent="0.2">
      <c r="A275">
        <v>5</v>
      </c>
      <c r="B275" t="s">
        <v>26</v>
      </c>
      <c r="C275">
        <v>0</v>
      </c>
      <c r="D275">
        <v>2</v>
      </c>
      <c r="E275" t="str">
        <f t="shared" si="11"/>
        <v>LOSOGRE/2/5/0</v>
      </c>
    </row>
    <row r="276" spans="1:5" x14ac:dyDescent="0.2">
      <c r="A276">
        <v>6</v>
      </c>
      <c r="B276" t="s">
        <v>55</v>
      </c>
      <c r="C276">
        <v>0</v>
      </c>
      <c r="D276">
        <v>1</v>
      </c>
      <c r="E276" t="str">
        <f t="shared" si="11"/>
        <v>Bounette/1/6/0</v>
      </c>
    </row>
    <row r="277" spans="1:5" x14ac:dyDescent="0.2">
      <c r="A277">
        <v>1</v>
      </c>
      <c r="B277" t="s">
        <v>12</v>
      </c>
      <c r="C277">
        <v>2</v>
      </c>
      <c r="D277">
        <v>16</v>
      </c>
      <c r="E277" t="str">
        <f t="shared" si="11"/>
        <v>Gnak/16/1/2</v>
      </c>
    </row>
    <row r="278" spans="1:5" x14ac:dyDescent="0.2">
      <c r="A278">
        <v>2</v>
      </c>
      <c r="B278" t="s">
        <v>33</v>
      </c>
      <c r="C278">
        <v>2</v>
      </c>
      <c r="D278">
        <v>12</v>
      </c>
      <c r="E278" t="str">
        <f t="shared" si="11"/>
        <v>Ptit Savoyard/12/2/2</v>
      </c>
    </row>
    <row r="279" spans="1:5" x14ac:dyDescent="0.2">
      <c r="A279">
        <v>3</v>
      </c>
      <c r="B279" t="s">
        <v>65</v>
      </c>
      <c r="C279">
        <v>0</v>
      </c>
      <c r="D279">
        <v>8</v>
      </c>
      <c r="E279" t="str">
        <f t="shared" si="11"/>
        <v>Ripolin/8/3/0</v>
      </c>
    </row>
    <row r="280" spans="1:5" x14ac:dyDescent="0.2">
      <c r="A280">
        <v>4</v>
      </c>
      <c r="B280" t="s">
        <v>21</v>
      </c>
      <c r="C280">
        <v>1</v>
      </c>
      <c r="D280">
        <v>4</v>
      </c>
      <c r="E280" t="str">
        <f t="shared" si="11"/>
        <v>Carmin/4/4/1</v>
      </c>
    </row>
    <row r="281" spans="1:5" x14ac:dyDescent="0.2">
      <c r="A281">
        <v>5</v>
      </c>
      <c r="B281" t="s">
        <v>14</v>
      </c>
      <c r="C281">
        <v>0</v>
      </c>
      <c r="D281">
        <v>2</v>
      </c>
      <c r="E281" t="str">
        <f t="shared" si="11"/>
        <v>Ramm/2/5/0</v>
      </c>
    </row>
    <row r="282" spans="1:5" x14ac:dyDescent="0.2">
      <c r="A282">
        <v>6</v>
      </c>
      <c r="B282" t="s">
        <v>15</v>
      </c>
      <c r="C282">
        <v>0</v>
      </c>
      <c r="D282">
        <v>1</v>
      </c>
      <c r="E282" t="str">
        <f t="shared" si="11"/>
        <v>LAAtof/1/6/0</v>
      </c>
    </row>
    <row r="283" spans="1:5" x14ac:dyDescent="0.2">
      <c r="A283">
        <v>1</v>
      </c>
      <c r="B283" t="s">
        <v>73</v>
      </c>
      <c r="C283">
        <v>4</v>
      </c>
      <c r="D283">
        <v>16</v>
      </c>
      <c r="E283" t="str">
        <f t="shared" si="11"/>
        <v>Flem/16/1/4</v>
      </c>
    </row>
    <row r="284" spans="1:5" x14ac:dyDescent="0.2">
      <c r="A284">
        <v>2</v>
      </c>
      <c r="B284" t="s">
        <v>76</v>
      </c>
      <c r="C284">
        <v>1</v>
      </c>
      <c r="D284">
        <v>12</v>
      </c>
      <c r="E284" t="str">
        <f t="shared" si="11"/>
        <v>Comment2/12/2/1</v>
      </c>
    </row>
    <row r="285" spans="1:5" x14ac:dyDescent="0.2">
      <c r="A285">
        <v>3</v>
      </c>
      <c r="B285" t="s">
        <v>32</v>
      </c>
      <c r="C285">
        <v>0</v>
      </c>
      <c r="D285">
        <v>8</v>
      </c>
      <c r="E285" t="str">
        <f t="shared" si="11"/>
        <v>OlivierN92/8/3/0</v>
      </c>
    </row>
    <row r="286" spans="1:5" x14ac:dyDescent="0.2">
      <c r="A286">
        <v>4</v>
      </c>
      <c r="B286" t="s">
        <v>23</v>
      </c>
      <c r="C286">
        <v>0</v>
      </c>
      <c r="D286">
        <v>4</v>
      </c>
      <c r="E286" t="str">
        <f t="shared" si="11"/>
        <v>Lylith75/4/4/0</v>
      </c>
    </row>
    <row r="287" spans="1:5" x14ac:dyDescent="0.2">
      <c r="A287">
        <v>5</v>
      </c>
      <c r="B287" t="s">
        <v>87</v>
      </c>
      <c r="C287">
        <v>0</v>
      </c>
      <c r="D287">
        <v>2</v>
      </c>
      <c r="E287" t="str">
        <f t="shared" si="11"/>
        <v>Proph@ne/2/5/0</v>
      </c>
    </row>
    <row r="288" spans="1:5" x14ac:dyDescent="0.2">
      <c r="A288">
        <v>6</v>
      </c>
      <c r="B288" t="s">
        <v>50</v>
      </c>
      <c r="C288">
        <v>0</v>
      </c>
      <c r="D288">
        <v>1</v>
      </c>
      <c r="E288" t="str">
        <f t="shared" si="11"/>
        <v>MLADENGO/1/6/0</v>
      </c>
    </row>
    <row r="289" spans="1:5" x14ac:dyDescent="0.2">
      <c r="A289">
        <v>1</v>
      </c>
      <c r="B289" t="s">
        <v>18</v>
      </c>
      <c r="C289">
        <v>1</v>
      </c>
      <c r="D289">
        <v>16</v>
      </c>
      <c r="E289" t="str">
        <f t="shared" si="11"/>
        <v>MAMS/16/1/1</v>
      </c>
    </row>
    <row r="290" spans="1:5" x14ac:dyDescent="0.2">
      <c r="A290">
        <v>2</v>
      </c>
      <c r="B290" t="s">
        <v>53</v>
      </c>
      <c r="C290">
        <v>3</v>
      </c>
      <c r="D290">
        <v>12</v>
      </c>
      <c r="E290" t="str">
        <f t="shared" si="11"/>
        <v>Makoche/12/2/3</v>
      </c>
    </row>
    <row r="291" spans="1:5" x14ac:dyDescent="0.2">
      <c r="A291">
        <v>3</v>
      </c>
      <c r="B291" t="s">
        <v>61</v>
      </c>
      <c r="C291">
        <v>1</v>
      </c>
      <c r="D291">
        <v>8</v>
      </c>
      <c r="E291" t="str">
        <f t="shared" ref="E291:E354" si="12">B291&amp;"/"&amp;D291&amp;"/"&amp;A291&amp;"/"&amp;C291</f>
        <v>Kri-lin/8/3/1</v>
      </c>
    </row>
    <row r="292" spans="1:5" x14ac:dyDescent="0.2">
      <c r="A292">
        <v>4</v>
      </c>
      <c r="B292" t="s">
        <v>22</v>
      </c>
      <c r="C292">
        <v>0</v>
      </c>
      <c r="D292">
        <v>4</v>
      </c>
      <c r="E292" t="str">
        <f t="shared" si="12"/>
        <v>Dart 45/4/4/0</v>
      </c>
    </row>
    <row r="293" spans="1:5" x14ac:dyDescent="0.2">
      <c r="A293">
        <v>5</v>
      </c>
      <c r="B293" t="s">
        <v>38</v>
      </c>
      <c r="C293">
        <v>0</v>
      </c>
      <c r="D293">
        <v>2</v>
      </c>
      <c r="E293" t="str">
        <f t="shared" si="12"/>
        <v>cTTprmoa/2/5/0</v>
      </c>
    </row>
    <row r="294" spans="1:5" x14ac:dyDescent="0.2">
      <c r="A294">
        <v>6</v>
      </c>
      <c r="B294" t="s">
        <v>101</v>
      </c>
      <c r="C294">
        <v>0</v>
      </c>
      <c r="D294">
        <v>1</v>
      </c>
      <c r="E294" t="str">
        <f t="shared" si="12"/>
        <v>ChrisFrankfurt/1/6/0</v>
      </c>
    </row>
    <row r="295" spans="1:5" x14ac:dyDescent="0.2">
      <c r="A295">
        <v>1</v>
      </c>
      <c r="B295" t="s">
        <v>8</v>
      </c>
      <c r="C295">
        <v>3</v>
      </c>
      <c r="D295">
        <v>17</v>
      </c>
      <c r="E295" t="str">
        <f t="shared" si="12"/>
        <v>Maxime/17/1/3</v>
      </c>
    </row>
    <row r="296" spans="1:5" x14ac:dyDescent="0.2">
      <c r="A296">
        <v>2</v>
      </c>
      <c r="B296" t="s">
        <v>43</v>
      </c>
      <c r="C296">
        <v>2</v>
      </c>
      <c r="D296">
        <v>13</v>
      </c>
      <c r="E296" t="str">
        <f t="shared" si="12"/>
        <v>KassTwo/13/2/2</v>
      </c>
    </row>
    <row r="297" spans="1:5" x14ac:dyDescent="0.2">
      <c r="A297">
        <v>3</v>
      </c>
      <c r="B297" t="s">
        <v>98</v>
      </c>
      <c r="C297">
        <v>0</v>
      </c>
      <c r="D297">
        <v>9</v>
      </c>
      <c r="E297" t="str">
        <f t="shared" si="12"/>
        <v>Blocknote/9/3/0</v>
      </c>
    </row>
    <row r="298" spans="1:5" x14ac:dyDescent="0.2">
      <c r="A298">
        <v>4</v>
      </c>
      <c r="B298" t="s">
        <v>60</v>
      </c>
      <c r="C298">
        <v>0</v>
      </c>
      <c r="D298">
        <v>5</v>
      </c>
      <c r="E298" t="str">
        <f t="shared" si="12"/>
        <v>zizou/5/4/0</v>
      </c>
    </row>
    <row r="299" spans="1:5" x14ac:dyDescent="0.2">
      <c r="A299">
        <v>5</v>
      </c>
      <c r="B299" t="s">
        <v>46</v>
      </c>
      <c r="C299">
        <v>1</v>
      </c>
      <c r="D299">
        <v>3</v>
      </c>
      <c r="E299" t="str">
        <f t="shared" si="12"/>
        <v>Jérôme/3/5/1</v>
      </c>
    </row>
    <row r="300" spans="1:5" x14ac:dyDescent="0.2">
      <c r="A300">
        <v>6</v>
      </c>
      <c r="B300" t="s">
        <v>48</v>
      </c>
      <c r="C300">
        <v>0</v>
      </c>
      <c r="D300">
        <v>2</v>
      </c>
      <c r="E300" t="str">
        <f t="shared" si="12"/>
        <v>Pintu/2/6/0</v>
      </c>
    </row>
    <row r="301" spans="1:5" x14ac:dyDescent="0.2">
      <c r="A301">
        <v>7</v>
      </c>
      <c r="B301" t="s">
        <v>42</v>
      </c>
      <c r="C301">
        <v>0</v>
      </c>
      <c r="D301">
        <v>1</v>
      </c>
      <c r="E301" t="str">
        <f t="shared" si="12"/>
        <v>Claptou/1/7/0</v>
      </c>
    </row>
    <row r="302" spans="1:5" x14ac:dyDescent="0.2">
      <c r="A302">
        <v>1</v>
      </c>
      <c r="B302" t="s">
        <v>19</v>
      </c>
      <c r="C302">
        <v>3</v>
      </c>
      <c r="D302">
        <v>17</v>
      </c>
      <c r="E302" t="str">
        <f t="shared" si="12"/>
        <v>Giobeck/17/1/3</v>
      </c>
    </row>
    <row r="303" spans="1:5" x14ac:dyDescent="0.2">
      <c r="A303">
        <v>2</v>
      </c>
      <c r="B303" t="s">
        <v>29</v>
      </c>
      <c r="C303">
        <v>2</v>
      </c>
      <c r="D303">
        <v>13</v>
      </c>
      <c r="E303" t="str">
        <f t="shared" si="12"/>
        <v>NoDoubt/13/2/2</v>
      </c>
    </row>
    <row r="304" spans="1:5" x14ac:dyDescent="0.2">
      <c r="A304">
        <v>3</v>
      </c>
      <c r="B304" t="s">
        <v>69</v>
      </c>
      <c r="C304">
        <v>0</v>
      </c>
      <c r="D304">
        <v>9</v>
      </c>
      <c r="E304" t="str">
        <f t="shared" si="12"/>
        <v>Catherine/9/3/0</v>
      </c>
    </row>
    <row r="305" spans="1:5" x14ac:dyDescent="0.2">
      <c r="A305">
        <v>4</v>
      </c>
      <c r="B305" t="s">
        <v>47</v>
      </c>
      <c r="C305">
        <v>0</v>
      </c>
      <c r="D305">
        <v>5</v>
      </c>
      <c r="E305" t="str">
        <f t="shared" si="12"/>
        <v>Logan/5/4/0</v>
      </c>
    </row>
    <row r="306" spans="1:5" x14ac:dyDescent="0.2">
      <c r="A306">
        <v>5</v>
      </c>
      <c r="B306" t="s">
        <v>92</v>
      </c>
      <c r="C306">
        <v>1</v>
      </c>
      <c r="D306">
        <v>3</v>
      </c>
      <c r="E306" t="str">
        <f t="shared" si="12"/>
        <v>Jacks&amp;Five/3/5/1</v>
      </c>
    </row>
    <row r="307" spans="1:5" x14ac:dyDescent="0.2">
      <c r="A307">
        <v>6</v>
      </c>
      <c r="B307" t="s">
        <v>35</v>
      </c>
      <c r="C307">
        <v>0</v>
      </c>
      <c r="D307">
        <v>2</v>
      </c>
      <c r="E307" t="str">
        <f t="shared" si="12"/>
        <v>JeanMichelTiming/2/6/0</v>
      </c>
    </row>
    <row r="308" spans="1:5" x14ac:dyDescent="0.2">
      <c r="A308">
        <v>7</v>
      </c>
      <c r="B308" t="s">
        <v>68</v>
      </c>
      <c r="C308">
        <v>0</v>
      </c>
      <c r="D308">
        <v>1</v>
      </c>
      <c r="E308" t="str">
        <f t="shared" si="12"/>
        <v>zubbaz/1/7/0</v>
      </c>
    </row>
    <row r="309" spans="1:5" x14ac:dyDescent="0.2">
      <c r="A309">
        <v>1</v>
      </c>
      <c r="B309" t="s">
        <v>52</v>
      </c>
      <c r="C309">
        <v>3</v>
      </c>
      <c r="D309">
        <v>17</v>
      </c>
      <c r="E309" t="str">
        <f t="shared" si="12"/>
        <v>Coach Pepito/17/1/3</v>
      </c>
    </row>
    <row r="310" spans="1:5" x14ac:dyDescent="0.2">
      <c r="A310">
        <v>2</v>
      </c>
      <c r="B310" t="s">
        <v>75</v>
      </c>
      <c r="C310">
        <v>2</v>
      </c>
      <c r="D310">
        <v>13</v>
      </c>
      <c r="E310" t="str">
        <f t="shared" si="12"/>
        <v>Michelbey/13/2/2</v>
      </c>
    </row>
    <row r="311" spans="1:5" x14ac:dyDescent="0.2">
      <c r="A311">
        <v>3</v>
      </c>
      <c r="B311" t="s">
        <v>94</v>
      </c>
      <c r="C311">
        <v>1</v>
      </c>
      <c r="D311">
        <v>9</v>
      </c>
      <c r="E311" t="str">
        <f t="shared" si="12"/>
        <v>Jaden le désosseur/9/3/1</v>
      </c>
    </row>
    <row r="312" spans="1:5" x14ac:dyDescent="0.2">
      <c r="A312">
        <v>4</v>
      </c>
      <c r="B312" t="s">
        <v>74</v>
      </c>
      <c r="C312">
        <v>0</v>
      </c>
      <c r="D312">
        <v>5</v>
      </c>
      <c r="E312" t="str">
        <f t="shared" si="12"/>
        <v>PatB/5/4/0</v>
      </c>
    </row>
    <row r="313" spans="1:5" x14ac:dyDescent="0.2">
      <c r="A313">
        <v>5</v>
      </c>
      <c r="B313" t="s">
        <v>39</v>
      </c>
      <c r="C313">
        <v>0</v>
      </c>
      <c r="D313">
        <v>3</v>
      </c>
      <c r="E313" t="str">
        <f t="shared" si="12"/>
        <v>kheops/3/5/0</v>
      </c>
    </row>
    <row r="314" spans="1:5" x14ac:dyDescent="0.2">
      <c r="A314">
        <v>6</v>
      </c>
      <c r="B314" t="s">
        <v>66</v>
      </c>
      <c r="C314">
        <v>0</v>
      </c>
      <c r="D314">
        <v>2</v>
      </c>
      <c r="E314" t="str">
        <f t="shared" si="12"/>
        <v>Ad Vitam/2/6/0</v>
      </c>
    </row>
    <row r="315" spans="1:5" x14ac:dyDescent="0.2">
      <c r="A315">
        <v>7</v>
      </c>
      <c r="B315" t="s">
        <v>28</v>
      </c>
      <c r="C315">
        <v>0</v>
      </c>
      <c r="D315">
        <v>1</v>
      </c>
      <c r="E315" t="str">
        <f t="shared" si="12"/>
        <v>sobab/1/7/0</v>
      </c>
    </row>
    <row r="316" spans="1:5" x14ac:dyDescent="0.2">
      <c r="A316">
        <v>1</v>
      </c>
      <c r="B316" t="s">
        <v>60</v>
      </c>
      <c r="C316">
        <v>4</v>
      </c>
      <c r="D316">
        <v>16</v>
      </c>
      <c r="E316" t="str">
        <f t="shared" si="12"/>
        <v>zizou/16/1/4</v>
      </c>
    </row>
    <row r="317" spans="1:5" x14ac:dyDescent="0.2">
      <c r="A317">
        <v>2</v>
      </c>
      <c r="B317" t="s">
        <v>14</v>
      </c>
      <c r="C317">
        <v>0</v>
      </c>
      <c r="D317">
        <v>12</v>
      </c>
      <c r="E317" t="str">
        <f t="shared" si="12"/>
        <v>Ramm/12/2/0</v>
      </c>
    </row>
    <row r="318" spans="1:5" x14ac:dyDescent="0.2">
      <c r="A318">
        <v>3</v>
      </c>
      <c r="B318" t="s">
        <v>38</v>
      </c>
      <c r="C318">
        <v>1</v>
      </c>
      <c r="D318">
        <v>8</v>
      </c>
      <c r="E318" t="str">
        <f t="shared" si="12"/>
        <v>cTTprmoa/8/3/1</v>
      </c>
    </row>
    <row r="319" spans="1:5" x14ac:dyDescent="0.2">
      <c r="A319">
        <v>4</v>
      </c>
      <c r="B319" t="s">
        <v>25</v>
      </c>
      <c r="C319">
        <v>0</v>
      </c>
      <c r="D319">
        <v>4</v>
      </c>
      <c r="E319" t="str">
        <f t="shared" si="12"/>
        <v>Claudius/4/4/0</v>
      </c>
    </row>
    <row r="320" spans="1:5" x14ac:dyDescent="0.2">
      <c r="A320">
        <v>5</v>
      </c>
      <c r="B320" t="s">
        <v>68</v>
      </c>
      <c r="C320">
        <v>0</v>
      </c>
      <c r="D320">
        <v>2</v>
      </c>
      <c r="E320" t="str">
        <f t="shared" si="12"/>
        <v>zubbaz/2/5/0</v>
      </c>
    </row>
    <row r="321" spans="1:5" x14ac:dyDescent="0.2">
      <c r="A321">
        <v>6</v>
      </c>
      <c r="B321" t="s">
        <v>66</v>
      </c>
      <c r="C321">
        <v>0</v>
      </c>
      <c r="D321">
        <v>1</v>
      </c>
      <c r="E321" t="str">
        <f t="shared" si="12"/>
        <v>Ad Vitam/1/6/0</v>
      </c>
    </row>
    <row r="322" spans="1:5" x14ac:dyDescent="0.2">
      <c r="A322">
        <v>1</v>
      </c>
      <c r="B322" t="s">
        <v>87</v>
      </c>
      <c r="C322">
        <v>3</v>
      </c>
      <c r="D322">
        <v>16</v>
      </c>
      <c r="E322" t="str">
        <f t="shared" si="12"/>
        <v>Proph@ne/16/1/3</v>
      </c>
    </row>
    <row r="323" spans="1:5" x14ac:dyDescent="0.2">
      <c r="A323">
        <v>2</v>
      </c>
      <c r="B323" t="s">
        <v>46</v>
      </c>
      <c r="C323">
        <v>1</v>
      </c>
      <c r="D323">
        <v>12</v>
      </c>
      <c r="E323" t="str">
        <f t="shared" si="12"/>
        <v>Jérôme/12/2/1</v>
      </c>
    </row>
    <row r="324" spans="1:5" x14ac:dyDescent="0.2">
      <c r="A324">
        <v>3</v>
      </c>
      <c r="B324" t="s">
        <v>12</v>
      </c>
      <c r="C324">
        <v>1</v>
      </c>
      <c r="D324">
        <v>8</v>
      </c>
      <c r="E324" t="str">
        <f t="shared" si="12"/>
        <v>Gnak/8/3/1</v>
      </c>
    </row>
    <row r="325" spans="1:5" x14ac:dyDescent="0.2">
      <c r="A325">
        <v>4</v>
      </c>
      <c r="B325" t="s">
        <v>39</v>
      </c>
      <c r="C325">
        <v>0</v>
      </c>
      <c r="D325">
        <v>4</v>
      </c>
      <c r="E325" t="str">
        <f t="shared" si="12"/>
        <v>kheops/4/4/0</v>
      </c>
    </row>
    <row r="326" spans="1:5" x14ac:dyDescent="0.2">
      <c r="A326">
        <v>5</v>
      </c>
      <c r="B326" t="s">
        <v>52</v>
      </c>
      <c r="C326">
        <v>0</v>
      </c>
      <c r="D326">
        <v>2</v>
      </c>
      <c r="E326" t="str">
        <f t="shared" si="12"/>
        <v>Coach Pepito/2/5/0</v>
      </c>
    </row>
    <row r="327" spans="1:5" x14ac:dyDescent="0.2">
      <c r="A327">
        <v>6</v>
      </c>
      <c r="B327" t="s">
        <v>15</v>
      </c>
      <c r="C327">
        <v>0</v>
      </c>
      <c r="D327">
        <v>1</v>
      </c>
      <c r="E327" t="str">
        <f t="shared" si="12"/>
        <v>LAAtof/1/6/0</v>
      </c>
    </row>
    <row r="328" spans="1:5" x14ac:dyDescent="0.2">
      <c r="A328">
        <v>1</v>
      </c>
      <c r="B328" t="s">
        <v>74</v>
      </c>
      <c r="C328">
        <v>2</v>
      </c>
      <c r="D328">
        <v>15</v>
      </c>
      <c r="E328" t="str">
        <f t="shared" si="12"/>
        <v>PatB/15/1/2</v>
      </c>
    </row>
    <row r="329" spans="1:5" x14ac:dyDescent="0.2">
      <c r="A329">
        <v>2</v>
      </c>
      <c r="B329" t="s">
        <v>59</v>
      </c>
      <c r="C329">
        <v>1</v>
      </c>
      <c r="D329">
        <v>11</v>
      </c>
      <c r="E329" t="str">
        <f t="shared" si="12"/>
        <v>YooooDA/11/2/1</v>
      </c>
    </row>
    <row r="330" spans="1:5" x14ac:dyDescent="0.2">
      <c r="A330">
        <v>3</v>
      </c>
      <c r="B330" t="s">
        <v>75</v>
      </c>
      <c r="C330">
        <v>1</v>
      </c>
      <c r="D330">
        <v>7</v>
      </c>
      <c r="E330" t="str">
        <f t="shared" si="12"/>
        <v>Michelbey/7/3/1</v>
      </c>
    </row>
    <row r="331" spans="1:5" x14ac:dyDescent="0.2">
      <c r="A331">
        <v>4</v>
      </c>
      <c r="B331" t="s">
        <v>21</v>
      </c>
      <c r="C331">
        <v>0</v>
      </c>
      <c r="D331">
        <v>3</v>
      </c>
      <c r="E331" t="str">
        <f t="shared" si="12"/>
        <v>Carmin/3/4/0</v>
      </c>
    </row>
    <row r="332" spans="1:5" x14ac:dyDescent="0.2">
      <c r="A332">
        <v>5</v>
      </c>
      <c r="B332" t="s">
        <v>23</v>
      </c>
      <c r="C332">
        <v>0</v>
      </c>
      <c r="D332">
        <v>1</v>
      </c>
      <c r="E332" t="str">
        <f t="shared" si="12"/>
        <v>Lylith75/1/5/0</v>
      </c>
    </row>
    <row r="333" spans="1:5" x14ac:dyDescent="0.2">
      <c r="A333">
        <v>1</v>
      </c>
      <c r="B333" t="s">
        <v>98</v>
      </c>
      <c r="C333">
        <v>4</v>
      </c>
      <c r="D333">
        <v>15</v>
      </c>
      <c r="E333" t="str">
        <f t="shared" si="12"/>
        <v>Blocknote/15/1/4</v>
      </c>
    </row>
    <row r="334" spans="1:5" x14ac:dyDescent="0.2">
      <c r="A334">
        <v>2</v>
      </c>
      <c r="B334" t="s">
        <v>101</v>
      </c>
      <c r="C334">
        <v>0</v>
      </c>
      <c r="D334">
        <v>11</v>
      </c>
      <c r="E334" t="str">
        <f t="shared" si="12"/>
        <v>ChrisFrankfurt/11/2/0</v>
      </c>
    </row>
    <row r="335" spans="1:5" x14ac:dyDescent="0.2">
      <c r="A335">
        <v>3</v>
      </c>
      <c r="B335" t="s">
        <v>33</v>
      </c>
      <c r="C335">
        <v>0</v>
      </c>
      <c r="D335">
        <v>7</v>
      </c>
      <c r="E335" t="str">
        <f t="shared" si="12"/>
        <v>Ptit Savoyard/7/3/0</v>
      </c>
    </row>
    <row r="336" spans="1:5" x14ac:dyDescent="0.2">
      <c r="A336">
        <v>4</v>
      </c>
      <c r="B336" t="s">
        <v>42</v>
      </c>
      <c r="C336">
        <v>0</v>
      </c>
      <c r="D336">
        <v>3</v>
      </c>
      <c r="E336" t="str">
        <f t="shared" si="12"/>
        <v>Claptou/3/4/0</v>
      </c>
    </row>
    <row r="337" spans="1:5" x14ac:dyDescent="0.2">
      <c r="A337">
        <v>5</v>
      </c>
      <c r="B337" t="s">
        <v>55</v>
      </c>
      <c r="C337">
        <v>0</v>
      </c>
      <c r="D337">
        <v>1</v>
      </c>
      <c r="E337" t="str">
        <f t="shared" si="12"/>
        <v>Bounette/1/5/0</v>
      </c>
    </row>
    <row r="338" spans="1:5" x14ac:dyDescent="0.2">
      <c r="A338">
        <v>1</v>
      </c>
      <c r="B338" t="s">
        <v>50</v>
      </c>
      <c r="C338">
        <v>3</v>
      </c>
      <c r="D338">
        <v>15</v>
      </c>
      <c r="E338" t="str">
        <f t="shared" si="12"/>
        <v>MLADENGO/15/1/3</v>
      </c>
    </row>
    <row r="339" spans="1:5" x14ac:dyDescent="0.2">
      <c r="A339">
        <v>2</v>
      </c>
      <c r="B339" t="s">
        <v>35</v>
      </c>
      <c r="C339">
        <v>0</v>
      </c>
      <c r="D339">
        <v>11</v>
      </c>
      <c r="E339" t="str">
        <f t="shared" si="12"/>
        <v>JeanMichelTiming/11/2/0</v>
      </c>
    </row>
    <row r="340" spans="1:5" x14ac:dyDescent="0.2">
      <c r="A340">
        <v>3</v>
      </c>
      <c r="B340" t="s">
        <v>61</v>
      </c>
      <c r="C340">
        <v>1</v>
      </c>
      <c r="D340">
        <v>7</v>
      </c>
      <c r="E340" t="str">
        <f t="shared" si="12"/>
        <v>Kri-lin/7/3/1</v>
      </c>
    </row>
    <row r="341" spans="1:5" x14ac:dyDescent="0.2">
      <c r="A341">
        <v>4</v>
      </c>
      <c r="B341" t="s">
        <v>76</v>
      </c>
      <c r="C341">
        <v>0</v>
      </c>
      <c r="D341">
        <v>3</v>
      </c>
      <c r="E341" t="str">
        <f t="shared" si="12"/>
        <v>Comment2/3/4/0</v>
      </c>
    </row>
    <row r="342" spans="1:5" x14ac:dyDescent="0.2">
      <c r="A342">
        <v>5</v>
      </c>
      <c r="B342" t="s">
        <v>8</v>
      </c>
      <c r="C342">
        <v>0</v>
      </c>
      <c r="D342">
        <v>1</v>
      </c>
      <c r="E342" t="str">
        <f t="shared" si="12"/>
        <v>Maxime/1/5/0</v>
      </c>
    </row>
    <row r="343" spans="1:5" x14ac:dyDescent="0.2">
      <c r="A343">
        <v>1</v>
      </c>
      <c r="B343" t="s">
        <v>18</v>
      </c>
      <c r="C343">
        <v>2</v>
      </c>
      <c r="D343">
        <v>15</v>
      </c>
      <c r="E343" t="str">
        <f t="shared" si="12"/>
        <v>MAMS/15/1/2</v>
      </c>
    </row>
    <row r="344" spans="1:5" x14ac:dyDescent="0.2">
      <c r="A344">
        <v>2</v>
      </c>
      <c r="B344" t="s">
        <v>26</v>
      </c>
      <c r="C344">
        <v>1</v>
      </c>
      <c r="D344">
        <v>11</v>
      </c>
      <c r="E344" t="str">
        <f t="shared" si="12"/>
        <v>LOSOGRE/11/2/1</v>
      </c>
    </row>
    <row r="345" spans="1:5" x14ac:dyDescent="0.2">
      <c r="A345">
        <v>3</v>
      </c>
      <c r="B345" t="s">
        <v>20</v>
      </c>
      <c r="C345">
        <v>1</v>
      </c>
      <c r="D345">
        <v>7</v>
      </c>
      <c r="E345" t="str">
        <f t="shared" si="12"/>
        <v>saymsonite/7/3/1</v>
      </c>
    </row>
    <row r="346" spans="1:5" x14ac:dyDescent="0.2">
      <c r="A346">
        <v>4</v>
      </c>
      <c r="B346" t="s">
        <v>69</v>
      </c>
      <c r="C346">
        <v>0</v>
      </c>
      <c r="D346">
        <v>3</v>
      </c>
      <c r="E346" t="str">
        <f t="shared" si="12"/>
        <v>Catherine/3/4/0</v>
      </c>
    </row>
    <row r="347" spans="1:5" x14ac:dyDescent="0.2">
      <c r="A347">
        <v>5</v>
      </c>
      <c r="B347" t="s">
        <v>103</v>
      </c>
      <c r="C347">
        <v>0</v>
      </c>
      <c r="D347">
        <v>1</v>
      </c>
      <c r="E347" t="str">
        <f t="shared" si="12"/>
        <v>zzav/1/5/0</v>
      </c>
    </row>
    <row r="348" spans="1:5" x14ac:dyDescent="0.2">
      <c r="A348">
        <v>1</v>
      </c>
      <c r="B348" t="s">
        <v>65</v>
      </c>
      <c r="C348">
        <v>2</v>
      </c>
      <c r="D348">
        <v>15</v>
      </c>
      <c r="E348" t="str">
        <f t="shared" si="12"/>
        <v>Ripolin/15/1/2</v>
      </c>
    </row>
    <row r="349" spans="1:5" x14ac:dyDescent="0.2">
      <c r="A349">
        <v>2</v>
      </c>
      <c r="B349" t="s">
        <v>43</v>
      </c>
      <c r="C349">
        <v>1</v>
      </c>
      <c r="D349">
        <v>11</v>
      </c>
      <c r="E349" t="str">
        <f t="shared" si="12"/>
        <v>KassTwo/11/2/1</v>
      </c>
    </row>
    <row r="350" spans="1:5" x14ac:dyDescent="0.2">
      <c r="A350">
        <v>3</v>
      </c>
      <c r="B350" t="s">
        <v>41</v>
      </c>
      <c r="C350">
        <v>1</v>
      </c>
      <c r="D350">
        <v>7</v>
      </c>
      <c r="E350" t="str">
        <f t="shared" si="12"/>
        <v>gibouille/7/3/1</v>
      </c>
    </row>
    <row r="351" spans="1:5" x14ac:dyDescent="0.2">
      <c r="A351">
        <v>4</v>
      </c>
      <c r="B351" t="s">
        <v>29</v>
      </c>
      <c r="C351">
        <v>0</v>
      </c>
      <c r="D351">
        <v>3</v>
      </c>
      <c r="E351" t="str">
        <f t="shared" si="12"/>
        <v>NoDoubt/3/4/0</v>
      </c>
    </row>
    <row r="352" spans="1:5" x14ac:dyDescent="0.2">
      <c r="A352">
        <v>5</v>
      </c>
      <c r="B352" t="s">
        <v>28</v>
      </c>
      <c r="C352">
        <v>0</v>
      </c>
      <c r="D352">
        <v>1</v>
      </c>
      <c r="E352" t="str">
        <f t="shared" si="12"/>
        <v>sobab/1/5/0</v>
      </c>
    </row>
    <row r="353" spans="1:5" x14ac:dyDescent="0.2">
      <c r="A353">
        <v>1</v>
      </c>
      <c r="B353" t="s">
        <v>92</v>
      </c>
      <c r="C353">
        <v>5</v>
      </c>
      <c r="D353">
        <v>16</v>
      </c>
      <c r="E353" t="str">
        <f t="shared" si="12"/>
        <v>Jacks&amp;Five/16/1/5</v>
      </c>
    </row>
    <row r="354" spans="1:5" x14ac:dyDescent="0.2">
      <c r="A354">
        <v>2</v>
      </c>
      <c r="B354" t="s">
        <v>40</v>
      </c>
      <c r="C354">
        <v>0</v>
      </c>
      <c r="D354">
        <v>12</v>
      </c>
      <c r="E354" t="str">
        <f t="shared" si="12"/>
        <v>Lén@/12/2/0</v>
      </c>
    </row>
    <row r="355" spans="1:5" x14ac:dyDescent="0.2">
      <c r="A355">
        <v>3</v>
      </c>
      <c r="B355" t="s">
        <v>73</v>
      </c>
      <c r="C355">
        <v>0</v>
      </c>
      <c r="D355">
        <v>8</v>
      </c>
      <c r="E355" t="str">
        <f t="shared" ref="E355:E418" si="13">B355&amp;"/"&amp;D355&amp;"/"&amp;A355&amp;"/"&amp;C355</f>
        <v>Flem/8/3/0</v>
      </c>
    </row>
    <row r="356" spans="1:5" x14ac:dyDescent="0.2">
      <c r="A356">
        <v>4</v>
      </c>
      <c r="B356" t="s">
        <v>27</v>
      </c>
      <c r="C356">
        <v>0</v>
      </c>
      <c r="D356">
        <v>4</v>
      </c>
      <c r="E356" t="str">
        <f t="shared" si="13"/>
        <v>Mandrake/4/4/0</v>
      </c>
    </row>
    <row r="357" spans="1:5" x14ac:dyDescent="0.2">
      <c r="A357">
        <v>5</v>
      </c>
      <c r="B357" t="s">
        <v>9</v>
      </c>
      <c r="C357">
        <v>0</v>
      </c>
      <c r="D357">
        <v>2</v>
      </c>
      <c r="E357" t="str">
        <f t="shared" si="13"/>
        <v>K1/2/5/0</v>
      </c>
    </row>
    <row r="358" spans="1:5" x14ac:dyDescent="0.2">
      <c r="A358">
        <v>6</v>
      </c>
      <c r="B358" t="s">
        <v>31</v>
      </c>
      <c r="C358">
        <v>0</v>
      </c>
      <c r="D358">
        <v>1</v>
      </c>
      <c r="E358" t="str">
        <f t="shared" si="13"/>
        <v>CHRIS92340/1/6/0</v>
      </c>
    </row>
    <row r="359" spans="1:5" x14ac:dyDescent="0.2">
      <c r="A359">
        <v>1</v>
      </c>
      <c r="B359" t="s">
        <v>76</v>
      </c>
      <c r="C359">
        <v>4</v>
      </c>
      <c r="D359">
        <v>16</v>
      </c>
      <c r="E359" t="str">
        <f t="shared" si="13"/>
        <v>Comment2/16/1/4</v>
      </c>
    </row>
    <row r="360" spans="1:5" x14ac:dyDescent="0.2">
      <c r="A360">
        <v>2</v>
      </c>
      <c r="B360" t="s">
        <v>66</v>
      </c>
      <c r="C360">
        <v>0</v>
      </c>
      <c r="D360">
        <v>12</v>
      </c>
      <c r="E360" t="str">
        <f t="shared" si="13"/>
        <v>Ad Vitam/12/2/0</v>
      </c>
    </row>
    <row r="361" spans="1:5" x14ac:dyDescent="0.2">
      <c r="A361">
        <v>3</v>
      </c>
      <c r="B361" t="s">
        <v>101</v>
      </c>
      <c r="C361">
        <v>1</v>
      </c>
      <c r="D361">
        <v>8</v>
      </c>
      <c r="E361" t="str">
        <f t="shared" si="13"/>
        <v>ChrisFrankfurt/8/3/1</v>
      </c>
    </row>
    <row r="362" spans="1:5" x14ac:dyDescent="0.2">
      <c r="A362">
        <v>4</v>
      </c>
      <c r="B362" t="s">
        <v>18</v>
      </c>
      <c r="C362">
        <v>0</v>
      </c>
      <c r="D362">
        <v>4</v>
      </c>
      <c r="E362" t="str">
        <f t="shared" si="13"/>
        <v>MAMS/4/4/0</v>
      </c>
    </row>
    <row r="363" spans="1:5" x14ac:dyDescent="0.2">
      <c r="A363">
        <v>5</v>
      </c>
      <c r="B363" t="s">
        <v>41</v>
      </c>
      <c r="C363">
        <v>0</v>
      </c>
      <c r="D363">
        <v>2</v>
      </c>
      <c r="E363" t="str">
        <f t="shared" si="13"/>
        <v>gibouille/2/5/0</v>
      </c>
    </row>
    <row r="364" spans="1:5" x14ac:dyDescent="0.2">
      <c r="A364">
        <v>6</v>
      </c>
      <c r="B364" t="s">
        <v>52</v>
      </c>
      <c r="C364">
        <v>0</v>
      </c>
      <c r="D364">
        <v>1</v>
      </c>
      <c r="E364" t="str">
        <f t="shared" si="13"/>
        <v>Coach Pepito/1/6/0</v>
      </c>
    </row>
    <row r="365" spans="1:5" x14ac:dyDescent="0.2">
      <c r="A365">
        <v>1</v>
      </c>
      <c r="B365" t="s">
        <v>45</v>
      </c>
      <c r="C365">
        <v>5</v>
      </c>
      <c r="D365">
        <v>16</v>
      </c>
      <c r="E365" t="str">
        <f t="shared" si="13"/>
        <v>yaltar/16/1/5</v>
      </c>
    </row>
    <row r="366" spans="1:5" x14ac:dyDescent="0.2">
      <c r="A366">
        <v>2</v>
      </c>
      <c r="B366" t="s">
        <v>69</v>
      </c>
      <c r="C366">
        <v>0</v>
      </c>
      <c r="D366">
        <v>12</v>
      </c>
      <c r="E366" t="str">
        <f t="shared" si="13"/>
        <v>Catherine/12/2/0</v>
      </c>
    </row>
    <row r="367" spans="1:5" x14ac:dyDescent="0.2">
      <c r="A367">
        <v>3</v>
      </c>
      <c r="B367" t="s">
        <v>38</v>
      </c>
      <c r="C367">
        <v>0</v>
      </c>
      <c r="D367">
        <v>8</v>
      </c>
      <c r="E367" t="str">
        <f t="shared" si="13"/>
        <v>cTTprmoa/8/3/0</v>
      </c>
    </row>
    <row r="368" spans="1:5" x14ac:dyDescent="0.2">
      <c r="A368">
        <v>4</v>
      </c>
      <c r="B368" t="s">
        <v>75</v>
      </c>
      <c r="C368">
        <v>0</v>
      </c>
      <c r="D368">
        <v>4</v>
      </c>
      <c r="E368" t="str">
        <f t="shared" si="13"/>
        <v>Michelbey/4/4/0</v>
      </c>
    </row>
    <row r="369" spans="1:5" x14ac:dyDescent="0.2">
      <c r="A369">
        <v>5</v>
      </c>
      <c r="B369" t="s">
        <v>9</v>
      </c>
      <c r="C369">
        <v>0</v>
      </c>
      <c r="D369">
        <v>2</v>
      </c>
      <c r="E369" t="str">
        <f t="shared" si="13"/>
        <v>K1/2/5/0</v>
      </c>
    </row>
    <row r="370" spans="1:5" x14ac:dyDescent="0.2">
      <c r="A370">
        <v>6</v>
      </c>
      <c r="B370" t="s">
        <v>26</v>
      </c>
      <c r="C370">
        <v>0</v>
      </c>
      <c r="D370">
        <v>1</v>
      </c>
      <c r="E370" t="str">
        <f t="shared" si="13"/>
        <v>LOSOGRE/1/6/0</v>
      </c>
    </row>
    <row r="371" spans="1:5" x14ac:dyDescent="0.2">
      <c r="A371">
        <v>1</v>
      </c>
      <c r="B371" t="s">
        <v>305</v>
      </c>
      <c r="C371">
        <v>2</v>
      </c>
      <c r="D371">
        <v>16</v>
      </c>
      <c r="E371" t="str">
        <f t="shared" si="13"/>
        <v>flowww/16/1/2</v>
      </c>
    </row>
    <row r="372" spans="1:5" x14ac:dyDescent="0.2">
      <c r="A372">
        <v>2</v>
      </c>
      <c r="B372" t="s">
        <v>29</v>
      </c>
      <c r="C372">
        <v>1</v>
      </c>
      <c r="D372">
        <v>12</v>
      </c>
      <c r="E372" t="str">
        <f t="shared" si="13"/>
        <v>NoDoubt/12/2/1</v>
      </c>
    </row>
    <row r="373" spans="1:5" x14ac:dyDescent="0.2">
      <c r="A373">
        <v>3</v>
      </c>
      <c r="B373" t="s">
        <v>43</v>
      </c>
      <c r="C373">
        <v>2</v>
      </c>
      <c r="D373">
        <v>8</v>
      </c>
      <c r="E373" t="str">
        <f t="shared" si="13"/>
        <v>KassTwo/8/3/2</v>
      </c>
    </row>
    <row r="374" spans="1:5" x14ac:dyDescent="0.2">
      <c r="A374">
        <v>4</v>
      </c>
      <c r="B374" t="s">
        <v>31</v>
      </c>
      <c r="C374">
        <v>0</v>
      </c>
      <c r="D374">
        <v>4</v>
      </c>
      <c r="E374" t="str">
        <f t="shared" si="13"/>
        <v>CHRIS92340/4/4/0</v>
      </c>
    </row>
    <row r="375" spans="1:5" x14ac:dyDescent="0.2">
      <c r="A375">
        <v>5</v>
      </c>
      <c r="B375" t="s">
        <v>21</v>
      </c>
      <c r="C375">
        <v>0</v>
      </c>
      <c r="D375">
        <v>2</v>
      </c>
      <c r="E375" t="str">
        <f t="shared" si="13"/>
        <v>Carmin/2/5/0</v>
      </c>
    </row>
    <row r="376" spans="1:5" x14ac:dyDescent="0.2">
      <c r="A376">
        <v>6</v>
      </c>
      <c r="B376" t="s">
        <v>50</v>
      </c>
      <c r="C376">
        <v>0</v>
      </c>
      <c r="D376">
        <v>1</v>
      </c>
      <c r="E376" t="str">
        <f t="shared" si="13"/>
        <v>MLADENGO/1/6/0</v>
      </c>
    </row>
    <row r="377" spans="1:5" x14ac:dyDescent="0.2">
      <c r="A377">
        <v>1</v>
      </c>
      <c r="B377" t="s">
        <v>46</v>
      </c>
      <c r="C377">
        <v>1</v>
      </c>
      <c r="D377">
        <v>16</v>
      </c>
      <c r="E377" t="str">
        <f t="shared" si="13"/>
        <v>Jérôme/16/1/1</v>
      </c>
    </row>
    <row r="378" spans="1:5" x14ac:dyDescent="0.2">
      <c r="A378">
        <v>2</v>
      </c>
      <c r="B378" t="s">
        <v>20</v>
      </c>
      <c r="C378">
        <v>2</v>
      </c>
      <c r="D378">
        <v>12</v>
      </c>
      <c r="E378" t="str">
        <f t="shared" si="13"/>
        <v>saymsonite/12/2/2</v>
      </c>
    </row>
    <row r="379" spans="1:5" x14ac:dyDescent="0.2">
      <c r="A379">
        <v>3</v>
      </c>
      <c r="B379" t="s">
        <v>54</v>
      </c>
      <c r="C379">
        <v>2</v>
      </c>
      <c r="D379">
        <v>8</v>
      </c>
      <c r="E379" t="str">
        <f t="shared" si="13"/>
        <v>Salsamanu/8/3/2</v>
      </c>
    </row>
    <row r="380" spans="1:5" x14ac:dyDescent="0.2">
      <c r="A380">
        <v>4</v>
      </c>
      <c r="B380" t="s">
        <v>23</v>
      </c>
      <c r="C380">
        <v>0</v>
      </c>
      <c r="D380">
        <v>4</v>
      </c>
      <c r="E380" t="str">
        <f t="shared" si="13"/>
        <v>Lylith75/4/4/0</v>
      </c>
    </row>
    <row r="381" spans="1:5" x14ac:dyDescent="0.2">
      <c r="A381">
        <v>5</v>
      </c>
      <c r="B381" t="s">
        <v>15</v>
      </c>
      <c r="C381">
        <v>0</v>
      </c>
      <c r="D381">
        <v>2</v>
      </c>
      <c r="E381" t="str">
        <f t="shared" si="13"/>
        <v>LAAtof/2/5/0</v>
      </c>
    </row>
    <row r="382" spans="1:5" x14ac:dyDescent="0.2">
      <c r="A382">
        <v>6</v>
      </c>
      <c r="B382" t="s">
        <v>47</v>
      </c>
      <c r="C382">
        <v>0</v>
      </c>
      <c r="D382">
        <v>1</v>
      </c>
      <c r="E382" t="str">
        <f t="shared" si="13"/>
        <v>Logan/1/6/0</v>
      </c>
    </row>
    <row r="383" spans="1:5" x14ac:dyDescent="0.2">
      <c r="A383">
        <v>1</v>
      </c>
      <c r="B383" t="s">
        <v>40</v>
      </c>
      <c r="C383">
        <v>3</v>
      </c>
      <c r="D383">
        <v>16</v>
      </c>
      <c r="E383" t="str">
        <f t="shared" si="13"/>
        <v>Lén@/16/1/3</v>
      </c>
    </row>
    <row r="384" spans="1:5" x14ac:dyDescent="0.2">
      <c r="A384">
        <v>2</v>
      </c>
      <c r="B384" t="s">
        <v>68</v>
      </c>
      <c r="C384">
        <v>2</v>
      </c>
      <c r="D384">
        <v>12</v>
      </c>
      <c r="E384" t="str">
        <f t="shared" si="13"/>
        <v>zubbaz/12/2/2</v>
      </c>
    </row>
    <row r="385" spans="1:5" x14ac:dyDescent="0.2">
      <c r="A385">
        <v>3</v>
      </c>
      <c r="B385" t="s">
        <v>92</v>
      </c>
      <c r="C385">
        <v>0</v>
      </c>
      <c r="D385">
        <v>8</v>
      </c>
      <c r="E385" t="str">
        <f t="shared" si="13"/>
        <v>Jacks&amp;Five/8/3/0</v>
      </c>
    </row>
    <row r="386" spans="1:5" x14ac:dyDescent="0.2">
      <c r="A386">
        <v>4</v>
      </c>
      <c r="B386" t="s">
        <v>74</v>
      </c>
      <c r="C386">
        <v>0</v>
      </c>
      <c r="D386">
        <v>4</v>
      </c>
      <c r="E386" t="str">
        <f t="shared" si="13"/>
        <v>PatB/4/4/0</v>
      </c>
    </row>
    <row r="387" spans="1:5" x14ac:dyDescent="0.2">
      <c r="A387">
        <v>5</v>
      </c>
      <c r="B387" t="s">
        <v>6</v>
      </c>
      <c r="C387">
        <v>0</v>
      </c>
      <c r="D387">
        <v>2</v>
      </c>
      <c r="E387" t="str">
        <f t="shared" si="13"/>
        <v>Pyja/2/5/0</v>
      </c>
    </row>
    <row r="388" spans="1:5" x14ac:dyDescent="0.2">
      <c r="A388">
        <v>6</v>
      </c>
      <c r="B388" t="s">
        <v>28</v>
      </c>
      <c r="C388">
        <v>0</v>
      </c>
      <c r="D388">
        <v>1</v>
      </c>
      <c r="E388" t="str">
        <f t="shared" si="13"/>
        <v>sobab/1/6/0</v>
      </c>
    </row>
    <row r="389" spans="1:5" x14ac:dyDescent="0.2">
      <c r="A389">
        <v>1</v>
      </c>
      <c r="B389" t="s">
        <v>8</v>
      </c>
      <c r="C389">
        <v>2</v>
      </c>
      <c r="D389">
        <v>16</v>
      </c>
      <c r="E389" t="str">
        <f t="shared" si="13"/>
        <v>Maxime/16/1/2</v>
      </c>
    </row>
    <row r="390" spans="1:5" x14ac:dyDescent="0.2">
      <c r="A390">
        <v>2</v>
      </c>
      <c r="B390" t="s">
        <v>65</v>
      </c>
      <c r="C390">
        <v>2</v>
      </c>
      <c r="D390">
        <v>12</v>
      </c>
      <c r="E390" t="str">
        <f t="shared" si="13"/>
        <v>Ripolin/12/2/2</v>
      </c>
    </row>
    <row r="391" spans="1:5" x14ac:dyDescent="0.2">
      <c r="A391">
        <v>3</v>
      </c>
      <c r="B391" t="s">
        <v>25</v>
      </c>
      <c r="C391">
        <v>1</v>
      </c>
      <c r="D391">
        <v>8</v>
      </c>
      <c r="E391" t="str">
        <f t="shared" si="13"/>
        <v>Claudius/8/3/1</v>
      </c>
    </row>
    <row r="392" spans="1:5" x14ac:dyDescent="0.2">
      <c r="A392">
        <v>4</v>
      </c>
      <c r="B392" t="s">
        <v>35</v>
      </c>
      <c r="C392">
        <v>0</v>
      </c>
      <c r="D392">
        <v>4</v>
      </c>
      <c r="E392" t="str">
        <f t="shared" si="13"/>
        <v>JeanMichelTiming/4/4/0</v>
      </c>
    </row>
    <row r="393" spans="1:5" x14ac:dyDescent="0.2">
      <c r="A393">
        <v>5</v>
      </c>
      <c r="B393" t="s">
        <v>102</v>
      </c>
      <c r="C393">
        <v>0</v>
      </c>
      <c r="D393">
        <v>2</v>
      </c>
      <c r="E393" t="str">
        <f t="shared" si="13"/>
        <v>Doudoululu/2/5/0</v>
      </c>
    </row>
    <row r="394" spans="1:5" x14ac:dyDescent="0.2">
      <c r="A394">
        <v>6</v>
      </c>
      <c r="B394" t="s">
        <v>14</v>
      </c>
      <c r="C394">
        <v>0</v>
      </c>
      <c r="D394">
        <v>1</v>
      </c>
      <c r="E394" t="str">
        <f t="shared" si="13"/>
        <v>Ramm/1/6/0</v>
      </c>
    </row>
    <row r="395" spans="1:5" x14ac:dyDescent="0.2">
      <c r="A395">
        <v>1</v>
      </c>
      <c r="B395" t="s">
        <v>59</v>
      </c>
      <c r="C395">
        <v>3</v>
      </c>
      <c r="D395">
        <v>15</v>
      </c>
      <c r="E395" t="str">
        <f t="shared" si="13"/>
        <v>YooooDA/15/1/3</v>
      </c>
    </row>
    <row r="396" spans="1:5" x14ac:dyDescent="0.2">
      <c r="A396">
        <v>2</v>
      </c>
      <c r="B396" t="s">
        <v>19</v>
      </c>
      <c r="C396">
        <v>1</v>
      </c>
      <c r="D396">
        <v>11</v>
      </c>
      <c r="E396" t="str">
        <f t="shared" si="13"/>
        <v>Giobeck/11/2/1</v>
      </c>
    </row>
    <row r="397" spans="1:5" x14ac:dyDescent="0.2">
      <c r="A397">
        <v>3</v>
      </c>
      <c r="B397" t="s">
        <v>32</v>
      </c>
      <c r="C397">
        <v>0</v>
      </c>
      <c r="D397">
        <v>7</v>
      </c>
      <c r="E397" t="str">
        <f t="shared" si="13"/>
        <v>OlivierN92/7/3/0</v>
      </c>
    </row>
    <row r="398" spans="1:5" x14ac:dyDescent="0.2">
      <c r="A398">
        <v>4</v>
      </c>
      <c r="B398" t="s">
        <v>88</v>
      </c>
      <c r="C398">
        <v>0</v>
      </c>
      <c r="D398">
        <v>3</v>
      </c>
      <c r="E398" t="str">
        <f t="shared" si="13"/>
        <v>Yarael/3/4/0</v>
      </c>
    </row>
    <row r="399" spans="1:5" x14ac:dyDescent="0.2">
      <c r="A399">
        <v>5</v>
      </c>
      <c r="B399" t="s">
        <v>60</v>
      </c>
      <c r="C399">
        <v>0</v>
      </c>
      <c r="D399">
        <v>1</v>
      </c>
      <c r="E399" t="str">
        <f t="shared" si="13"/>
        <v>zizou/1/5/0</v>
      </c>
    </row>
    <row r="400" spans="1:5" x14ac:dyDescent="0.2">
      <c r="A400">
        <v>1</v>
      </c>
      <c r="B400" t="s">
        <v>29</v>
      </c>
      <c r="C400">
        <v>3</v>
      </c>
      <c r="D400">
        <v>17</v>
      </c>
      <c r="E400" t="str">
        <f t="shared" si="13"/>
        <v>NoDoubt/17/1/3</v>
      </c>
    </row>
    <row r="401" spans="1:5" x14ac:dyDescent="0.2">
      <c r="A401">
        <v>2</v>
      </c>
      <c r="B401" t="s">
        <v>101</v>
      </c>
      <c r="C401">
        <v>1</v>
      </c>
      <c r="D401">
        <v>13</v>
      </c>
      <c r="E401" t="str">
        <f t="shared" si="13"/>
        <v>ChrisFrankfurt/13/2/1</v>
      </c>
    </row>
    <row r="402" spans="1:5" x14ac:dyDescent="0.2">
      <c r="A402">
        <v>3</v>
      </c>
      <c r="B402" t="s">
        <v>26</v>
      </c>
      <c r="C402">
        <v>0</v>
      </c>
      <c r="D402">
        <v>9</v>
      </c>
      <c r="E402" t="str">
        <f t="shared" si="13"/>
        <v>LOSOGRE/9/3/0</v>
      </c>
    </row>
    <row r="403" spans="1:5" x14ac:dyDescent="0.2">
      <c r="A403">
        <v>4</v>
      </c>
      <c r="B403" t="s">
        <v>75</v>
      </c>
      <c r="C403">
        <v>1</v>
      </c>
      <c r="D403">
        <v>5</v>
      </c>
      <c r="E403" t="str">
        <f t="shared" si="13"/>
        <v>Michelbey/5/4/1</v>
      </c>
    </row>
    <row r="404" spans="1:5" x14ac:dyDescent="0.2">
      <c r="A404">
        <v>5</v>
      </c>
      <c r="B404" t="s">
        <v>47</v>
      </c>
      <c r="C404">
        <v>1</v>
      </c>
      <c r="D404">
        <v>3</v>
      </c>
      <c r="E404" t="str">
        <f t="shared" si="13"/>
        <v>Logan/3/5/1</v>
      </c>
    </row>
    <row r="405" spans="1:5" x14ac:dyDescent="0.2">
      <c r="A405">
        <v>6</v>
      </c>
      <c r="B405" t="s">
        <v>55</v>
      </c>
      <c r="C405">
        <v>0</v>
      </c>
      <c r="D405">
        <v>2</v>
      </c>
      <c r="E405" t="str">
        <f t="shared" si="13"/>
        <v>Bounette/2/6/0</v>
      </c>
    </row>
    <row r="406" spans="1:5" x14ac:dyDescent="0.2">
      <c r="A406">
        <v>7</v>
      </c>
      <c r="B406" t="s">
        <v>76</v>
      </c>
      <c r="C406">
        <v>0</v>
      </c>
      <c r="D406">
        <v>1</v>
      </c>
      <c r="E406" t="str">
        <f t="shared" si="13"/>
        <v>Comment2/1/7/0</v>
      </c>
    </row>
    <row r="407" spans="1:5" x14ac:dyDescent="0.2">
      <c r="A407">
        <v>1</v>
      </c>
      <c r="B407" t="s">
        <v>12</v>
      </c>
      <c r="C407">
        <v>4</v>
      </c>
      <c r="D407">
        <v>16</v>
      </c>
      <c r="E407" t="str">
        <f t="shared" si="13"/>
        <v>Gnak/16/1/4</v>
      </c>
    </row>
    <row r="408" spans="1:5" x14ac:dyDescent="0.2">
      <c r="A408">
        <v>2</v>
      </c>
      <c r="B408" t="s">
        <v>92</v>
      </c>
      <c r="C408">
        <v>0</v>
      </c>
      <c r="D408">
        <v>12</v>
      </c>
      <c r="E408" t="str">
        <f t="shared" si="13"/>
        <v>Jacks&amp;Five/12/2/0</v>
      </c>
    </row>
    <row r="409" spans="1:5" x14ac:dyDescent="0.2">
      <c r="A409">
        <v>3</v>
      </c>
      <c r="B409" t="s">
        <v>59</v>
      </c>
      <c r="C409">
        <v>0</v>
      </c>
      <c r="D409">
        <v>8</v>
      </c>
      <c r="E409" t="str">
        <f t="shared" si="13"/>
        <v>YooooDA/8/3/0</v>
      </c>
    </row>
    <row r="410" spans="1:5" x14ac:dyDescent="0.2">
      <c r="A410">
        <v>4</v>
      </c>
      <c r="B410" t="s">
        <v>46</v>
      </c>
      <c r="C410">
        <v>0</v>
      </c>
      <c r="D410">
        <v>4</v>
      </c>
      <c r="E410" t="str">
        <f t="shared" si="13"/>
        <v>Jérôme/4/4/0</v>
      </c>
    </row>
    <row r="411" spans="1:5" x14ac:dyDescent="0.2">
      <c r="A411">
        <v>5</v>
      </c>
      <c r="B411" t="s">
        <v>31</v>
      </c>
      <c r="C411">
        <v>1</v>
      </c>
      <c r="D411">
        <v>2</v>
      </c>
      <c r="E411" t="str">
        <f t="shared" si="13"/>
        <v>CHRIS92340/2/5/1</v>
      </c>
    </row>
    <row r="412" spans="1:5" x14ac:dyDescent="0.2">
      <c r="A412">
        <v>6</v>
      </c>
      <c r="B412" t="s">
        <v>23</v>
      </c>
      <c r="C412">
        <v>0</v>
      </c>
      <c r="D412">
        <v>1</v>
      </c>
      <c r="E412" t="str">
        <f t="shared" si="13"/>
        <v>Lylith75/1/6/0</v>
      </c>
    </row>
    <row r="413" spans="1:5" x14ac:dyDescent="0.2">
      <c r="A413">
        <v>1</v>
      </c>
      <c r="B413" t="s">
        <v>68</v>
      </c>
      <c r="C413">
        <v>5</v>
      </c>
      <c r="D413">
        <v>17</v>
      </c>
      <c r="E413" t="str">
        <f t="shared" si="13"/>
        <v>zubbaz/17/1/5</v>
      </c>
    </row>
    <row r="414" spans="1:5" x14ac:dyDescent="0.2">
      <c r="A414">
        <v>2</v>
      </c>
      <c r="B414" t="s">
        <v>69</v>
      </c>
      <c r="C414">
        <v>0</v>
      </c>
      <c r="D414">
        <v>13</v>
      </c>
      <c r="E414" t="str">
        <f t="shared" si="13"/>
        <v>Catherine/13/2/0</v>
      </c>
    </row>
    <row r="415" spans="1:5" x14ac:dyDescent="0.2">
      <c r="A415">
        <v>3</v>
      </c>
      <c r="B415" t="s">
        <v>32</v>
      </c>
      <c r="C415">
        <v>0</v>
      </c>
      <c r="D415">
        <v>9</v>
      </c>
      <c r="E415" t="str">
        <f t="shared" si="13"/>
        <v>OlivierN92/9/3/0</v>
      </c>
    </row>
    <row r="416" spans="1:5" x14ac:dyDescent="0.2">
      <c r="A416">
        <v>4</v>
      </c>
      <c r="B416" t="s">
        <v>18</v>
      </c>
      <c r="C416">
        <v>0</v>
      </c>
      <c r="D416">
        <v>5</v>
      </c>
      <c r="E416" t="str">
        <f t="shared" si="13"/>
        <v>MAMS/5/4/0</v>
      </c>
    </row>
    <row r="417" spans="1:5" x14ac:dyDescent="0.2">
      <c r="A417">
        <v>5</v>
      </c>
      <c r="B417" t="s">
        <v>74</v>
      </c>
      <c r="C417">
        <v>1</v>
      </c>
      <c r="D417">
        <v>3</v>
      </c>
      <c r="E417" t="str">
        <f t="shared" si="13"/>
        <v>PatB/3/5/1</v>
      </c>
    </row>
    <row r="418" spans="1:5" x14ac:dyDescent="0.2">
      <c r="A418">
        <v>6</v>
      </c>
      <c r="B418" t="s">
        <v>87</v>
      </c>
      <c r="C418">
        <v>0</v>
      </c>
      <c r="D418">
        <v>2</v>
      </c>
      <c r="E418" t="str">
        <f t="shared" si="13"/>
        <v>Proph@ne/2/6/0</v>
      </c>
    </row>
    <row r="419" spans="1:5" x14ac:dyDescent="0.2">
      <c r="A419">
        <v>7</v>
      </c>
      <c r="B419" t="s">
        <v>305</v>
      </c>
      <c r="C419">
        <v>0</v>
      </c>
      <c r="D419">
        <v>1</v>
      </c>
      <c r="E419" t="str">
        <f t="shared" ref="E419:E482" si="14">B419&amp;"/"&amp;D419&amp;"/"&amp;A419&amp;"/"&amp;C419</f>
        <v>flowww/1/7/0</v>
      </c>
    </row>
    <row r="420" spans="1:5" x14ac:dyDescent="0.2">
      <c r="A420">
        <v>1</v>
      </c>
      <c r="B420" t="s">
        <v>102</v>
      </c>
      <c r="C420">
        <v>2</v>
      </c>
      <c r="D420">
        <v>16</v>
      </c>
      <c r="E420" t="str">
        <f t="shared" si="14"/>
        <v>Doudoululu/16/1/2</v>
      </c>
    </row>
    <row r="421" spans="1:5" x14ac:dyDescent="0.2">
      <c r="A421">
        <v>2</v>
      </c>
      <c r="B421" t="s">
        <v>35</v>
      </c>
      <c r="C421">
        <v>1</v>
      </c>
      <c r="D421">
        <v>12</v>
      </c>
      <c r="E421" t="str">
        <f t="shared" si="14"/>
        <v>JeanMichelTiming/12/2/1</v>
      </c>
    </row>
    <row r="422" spans="1:5" x14ac:dyDescent="0.2">
      <c r="A422">
        <v>3</v>
      </c>
      <c r="B422" t="s">
        <v>9</v>
      </c>
      <c r="C422">
        <v>2</v>
      </c>
      <c r="D422">
        <v>8</v>
      </c>
      <c r="E422" t="str">
        <f t="shared" si="14"/>
        <v>K1/8/3/2</v>
      </c>
    </row>
    <row r="423" spans="1:5" x14ac:dyDescent="0.2">
      <c r="A423">
        <v>4</v>
      </c>
      <c r="B423" t="s">
        <v>15</v>
      </c>
      <c r="C423">
        <v>0</v>
      </c>
      <c r="D423">
        <v>4</v>
      </c>
      <c r="E423" t="str">
        <f t="shared" si="14"/>
        <v>LAAtof/4/4/0</v>
      </c>
    </row>
    <row r="424" spans="1:5" x14ac:dyDescent="0.2">
      <c r="A424">
        <v>5</v>
      </c>
      <c r="B424" t="s">
        <v>40</v>
      </c>
      <c r="C424">
        <v>0</v>
      </c>
      <c r="D424">
        <v>2</v>
      </c>
      <c r="E424" t="str">
        <f t="shared" si="14"/>
        <v>Lén@/2/5/0</v>
      </c>
    </row>
    <row r="425" spans="1:5" x14ac:dyDescent="0.2">
      <c r="A425">
        <v>6</v>
      </c>
      <c r="B425" t="s">
        <v>60</v>
      </c>
      <c r="C425">
        <v>0</v>
      </c>
      <c r="D425">
        <v>1</v>
      </c>
      <c r="E425" t="str">
        <f t="shared" si="14"/>
        <v>zizou/1/6/0</v>
      </c>
    </row>
    <row r="426" spans="1:5" x14ac:dyDescent="0.2">
      <c r="A426">
        <v>1</v>
      </c>
      <c r="B426" t="s">
        <v>33</v>
      </c>
      <c r="C426">
        <v>1</v>
      </c>
      <c r="D426">
        <v>16</v>
      </c>
      <c r="E426" t="str">
        <f t="shared" si="14"/>
        <v>Ptit Savoyard/16/1/1</v>
      </c>
    </row>
    <row r="427" spans="1:5" x14ac:dyDescent="0.2">
      <c r="A427">
        <v>2</v>
      </c>
      <c r="B427" t="s">
        <v>50</v>
      </c>
      <c r="C427">
        <v>2</v>
      </c>
      <c r="D427">
        <v>12</v>
      </c>
      <c r="E427" t="str">
        <f t="shared" si="14"/>
        <v>MLADENGO/12/2/2</v>
      </c>
    </row>
    <row r="428" spans="1:5" x14ac:dyDescent="0.2">
      <c r="A428">
        <v>3</v>
      </c>
      <c r="B428" t="s">
        <v>22</v>
      </c>
      <c r="C428">
        <v>0</v>
      </c>
      <c r="D428">
        <v>8</v>
      </c>
      <c r="E428" t="str">
        <f t="shared" si="14"/>
        <v>Dart 45/8/3/0</v>
      </c>
    </row>
    <row r="429" spans="1:5" x14ac:dyDescent="0.2">
      <c r="A429">
        <v>4</v>
      </c>
      <c r="B429" t="s">
        <v>8</v>
      </c>
      <c r="C429">
        <v>1</v>
      </c>
      <c r="D429">
        <v>4</v>
      </c>
      <c r="E429" t="str">
        <f t="shared" si="14"/>
        <v>Maxime/4/4/1</v>
      </c>
    </row>
    <row r="430" spans="1:5" x14ac:dyDescent="0.2">
      <c r="A430">
        <v>5</v>
      </c>
      <c r="B430" t="s">
        <v>21</v>
      </c>
      <c r="C430">
        <v>1</v>
      </c>
      <c r="D430">
        <v>2</v>
      </c>
      <c r="E430" t="str">
        <f t="shared" si="14"/>
        <v>Carmin/2/5/1</v>
      </c>
    </row>
    <row r="431" spans="1:5" x14ac:dyDescent="0.2">
      <c r="A431">
        <v>6</v>
      </c>
      <c r="B431" t="s">
        <v>14</v>
      </c>
      <c r="C431">
        <v>0</v>
      </c>
      <c r="D431">
        <v>1</v>
      </c>
      <c r="E431" t="str">
        <f t="shared" si="14"/>
        <v>Ramm/1/6/0</v>
      </c>
    </row>
    <row r="432" spans="1:5" x14ac:dyDescent="0.2">
      <c r="A432">
        <v>1</v>
      </c>
      <c r="B432" t="s">
        <v>73</v>
      </c>
      <c r="C432">
        <v>2</v>
      </c>
      <c r="D432">
        <v>17</v>
      </c>
      <c r="E432" t="str">
        <f t="shared" si="14"/>
        <v>Flem/17/1/2</v>
      </c>
    </row>
    <row r="433" spans="1:5" x14ac:dyDescent="0.2">
      <c r="A433">
        <v>2</v>
      </c>
      <c r="B433" t="s">
        <v>28</v>
      </c>
      <c r="C433">
        <v>2</v>
      </c>
      <c r="D433">
        <v>13</v>
      </c>
      <c r="E433" t="str">
        <f t="shared" si="14"/>
        <v>sobab/13/2/2</v>
      </c>
    </row>
    <row r="434" spans="1:5" x14ac:dyDescent="0.2">
      <c r="A434">
        <v>3</v>
      </c>
      <c r="B434" t="s">
        <v>66</v>
      </c>
      <c r="C434">
        <v>2</v>
      </c>
      <c r="D434">
        <v>9</v>
      </c>
      <c r="E434" t="str">
        <f t="shared" si="14"/>
        <v>Ad Vitam/9/3/2</v>
      </c>
    </row>
    <row r="435" spans="1:5" x14ac:dyDescent="0.2">
      <c r="A435">
        <v>4</v>
      </c>
      <c r="B435" t="s">
        <v>39</v>
      </c>
      <c r="C435">
        <v>0</v>
      </c>
      <c r="D435">
        <v>5</v>
      </c>
      <c r="E435" t="str">
        <f t="shared" si="14"/>
        <v>kheops/5/4/0</v>
      </c>
    </row>
    <row r="436" spans="1:5" x14ac:dyDescent="0.2">
      <c r="A436">
        <v>5</v>
      </c>
      <c r="B436" t="s">
        <v>25</v>
      </c>
      <c r="C436">
        <v>0</v>
      </c>
      <c r="D436">
        <v>3</v>
      </c>
      <c r="E436" t="str">
        <f t="shared" si="14"/>
        <v>Claudius/3/5/0</v>
      </c>
    </row>
    <row r="437" spans="1:5" x14ac:dyDescent="0.2">
      <c r="A437">
        <v>6</v>
      </c>
      <c r="B437" t="s">
        <v>61</v>
      </c>
      <c r="C437">
        <v>0</v>
      </c>
      <c r="D437">
        <v>2</v>
      </c>
      <c r="E437" t="str">
        <f t="shared" si="14"/>
        <v>Kri-lin/2/6/0</v>
      </c>
    </row>
    <row r="438" spans="1:5" x14ac:dyDescent="0.2">
      <c r="A438">
        <v>7</v>
      </c>
      <c r="B438" t="s">
        <v>172</v>
      </c>
      <c r="C438">
        <v>0</v>
      </c>
      <c r="D438">
        <v>1</v>
      </c>
      <c r="E438" t="str">
        <f t="shared" si="14"/>
        <v>Le_Poulpe/1/7/0</v>
      </c>
    </row>
    <row r="439" spans="1:5" x14ac:dyDescent="0.2">
      <c r="A439">
        <v>1</v>
      </c>
      <c r="B439" t="s">
        <v>54</v>
      </c>
      <c r="C439">
        <v>3</v>
      </c>
      <c r="D439">
        <v>16</v>
      </c>
      <c r="E439" t="str">
        <f t="shared" si="14"/>
        <v>Salsamanu/16/1/3</v>
      </c>
    </row>
    <row r="440" spans="1:5" x14ac:dyDescent="0.2">
      <c r="A440">
        <v>2</v>
      </c>
      <c r="B440" t="s">
        <v>41</v>
      </c>
      <c r="C440">
        <v>0</v>
      </c>
      <c r="D440">
        <v>12</v>
      </c>
      <c r="E440" t="str">
        <f t="shared" si="14"/>
        <v>gibouille/12/2/0</v>
      </c>
    </row>
    <row r="441" spans="1:5" x14ac:dyDescent="0.2">
      <c r="A441">
        <v>3</v>
      </c>
      <c r="B441" t="s">
        <v>43</v>
      </c>
      <c r="C441">
        <v>1</v>
      </c>
      <c r="D441">
        <v>8</v>
      </c>
      <c r="E441" t="str">
        <f t="shared" si="14"/>
        <v>KassTwo/8/3/1</v>
      </c>
    </row>
    <row r="442" spans="1:5" x14ac:dyDescent="0.2">
      <c r="A442">
        <v>4</v>
      </c>
      <c r="B442" t="s">
        <v>67</v>
      </c>
      <c r="C442">
        <v>1</v>
      </c>
      <c r="D442">
        <v>4</v>
      </c>
      <c r="E442" t="str">
        <f t="shared" si="14"/>
        <v>Jackiechoune/4/4/1</v>
      </c>
    </row>
    <row r="443" spans="1:5" x14ac:dyDescent="0.2">
      <c r="A443">
        <v>5</v>
      </c>
      <c r="B443" t="s">
        <v>45</v>
      </c>
      <c r="C443">
        <v>0</v>
      </c>
      <c r="D443">
        <v>2</v>
      </c>
      <c r="E443" t="str">
        <f t="shared" si="14"/>
        <v>yaltar/2/5/0</v>
      </c>
    </row>
    <row r="444" spans="1:5" x14ac:dyDescent="0.2">
      <c r="A444">
        <v>6</v>
      </c>
      <c r="B444" t="s">
        <v>42</v>
      </c>
      <c r="C444">
        <v>0</v>
      </c>
      <c r="D444">
        <v>1</v>
      </c>
      <c r="E444" t="str">
        <f t="shared" si="14"/>
        <v>Claptou/1/6/0</v>
      </c>
    </row>
    <row r="445" spans="1:5" x14ac:dyDescent="0.2">
      <c r="A445">
        <v>1</v>
      </c>
      <c r="B445" t="s">
        <v>68</v>
      </c>
      <c r="C445">
        <v>3</v>
      </c>
      <c r="D445">
        <v>16</v>
      </c>
      <c r="E445" t="str">
        <f t="shared" si="14"/>
        <v>zubbaz/16/1/3</v>
      </c>
    </row>
    <row r="446" spans="1:5" x14ac:dyDescent="0.2">
      <c r="A446">
        <v>2</v>
      </c>
      <c r="B446" t="s">
        <v>75</v>
      </c>
      <c r="C446">
        <v>1</v>
      </c>
      <c r="D446">
        <v>12</v>
      </c>
      <c r="E446" t="str">
        <f t="shared" si="14"/>
        <v>Michelbey/12/2/1</v>
      </c>
    </row>
    <row r="447" spans="1:5" x14ac:dyDescent="0.2">
      <c r="A447">
        <v>3</v>
      </c>
      <c r="B447" t="s">
        <v>50</v>
      </c>
      <c r="C447">
        <v>0</v>
      </c>
      <c r="D447">
        <v>8</v>
      </c>
      <c r="E447" t="str">
        <f t="shared" si="14"/>
        <v>MLADENGO/8/3/0</v>
      </c>
    </row>
    <row r="448" spans="1:5" x14ac:dyDescent="0.2">
      <c r="A448">
        <v>4</v>
      </c>
      <c r="B448" t="s">
        <v>69</v>
      </c>
      <c r="C448">
        <v>1</v>
      </c>
      <c r="D448">
        <v>4</v>
      </c>
      <c r="E448" t="str">
        <f t="shared" si="14"/>
        <v>Catherine/4/4/1</v>
      </c>
    </row>
    <row r="449" spans="1:5" x14ac:dyDescent="0.2">
      <c r="A449">
        <v>5</v>
      </c>
      <c r="B449" t="s">
        <v>25</v>
      </c>
      <c r="C449">
        <v>0</v>
      </c>
      <c r="D449">
        <v>2</v>
      </c>
      <c r="E449" t="str">
        <f t="shared" si="14"/>
        <v>Claudius/2/5/0</v>
      </c>
    </row>
    <row r="450" spans="1:5" x14ac:dyDescent="0.2">
      <c r="A450">
        <v>6</v>
      </c>
      <c r="B450" t="s">
        <v>305</v>
      </c>
      <c r="C450">
        <v>0</v>
      </c>
      <c r="D450">
        <v>1</v>
      </c>
      <c r="E450" t="str">
        <f t="shared" si="14"/>
        <v>flowww/1/6/0</v>
      </c>
    </row>
    <row r="451" spans="1:5" x14ac:dyDescent="0.2">
      <c r="A451">
        <v>1</v>
      </c>
      <c r="B451" t="s">
        <v>61</v>
      </c>
      <c r="C451">
        <v>2</v>
      </c>
      <c r="D451">
        <v>16</v>
      </c>
      <c r="E451" t="str">
        <f t="shared" si="14"/>
        <v>Kri-lin/16/1/2</v>
      </c>
    </row>
    <row r="452" spans="1:5" x14ac:dyDescent="0.2">
      <c r="A452">
        <v>2</v>
      </c>
      <c r="B452" t="s">
        <v>8</v>
      </c>
      <c r="C452">
        <v>2</v>
      </c>
      <c r="D452">
        <v>12</v>
      </c>
      <c r="E452" t="str">
        <f t="shared" si="14"/>
        <v>Maxime/12/2/2</v>
      </c>
    </row>
    <row r="453" spans="1:5" x14ac:dyDescent="0.2">
      <c r="A453">
        <v>3</v>
      </c>
      <c r="B453" t="s">
        <v>28</v>
      </c>
      <c r="C453">
        <v>1</v>
      </c>
      <c r="D453">
        <v>8</v>
      </c>
      <c r="E453" t="str">
        <f t="shared" si="14"/>
        <v>sobab/8/3/1</v>
      </c>
    </row>
    <row r="454" spans="1:5" x14ac:dyDescent="0.2">
      <c r="A454">
        <v>4</v>
      </c>
      <c r="B454" t="s">
        <v>45</v>
      </c>
      <c r="C454">
        <v>0</v>
      </c>
      <c r="D454">
        <v>4</v>
      </c>
      <c r="E454" t="str">
        <f t="shared" si="14"/>
        <v>yaltar/4/4/0</v>
      </c>
    </row>
    <row r="455" spans="1:5" x14ac:dyDescent="0.2">
      <c r="A455">
        <v>5</v>
      </c>
      <c r="B455" t="s">
        <v>46</v>
      </c>
      <c r="C455">
        <v>0</v>
      </c>
      <c r="D455">
        <v>2</v>
      </c>
      <c r="E455" t="str">
        <f t="shared" si="14"/>
        <v>Jérôme/2/5/0</v>
      </c>
    </row>
    <row r="456" spans="1:5" x14ac:dyDescent="0.2">
      <c r="A456">
        <v>6</v>
      </c>
      <c r="B456" t="s">
        <v>92</v>
      </c>
      <c r="C456">
        <v>0</v>
      </c>
      <c r="D456">
        <v>1</v>
      </c>
      <c r="E456" t="str">
        <f t="shared" si="14"/>
        <v>Jacks&amp;Five/1/6/0</v>
      </c>
    </row>
    <row r="457" spans="1:5" x14ac:dyDescent="0.2">
      <c r="A457">
        <v>1</v>
      </c>
      <c r="B457" t="s">
        <v>9</v>
      </c>
      <c r="C457">
        <v>4</v>
      </c>
      <c r="D457">
        <v>16</v>
      </c>
      <c r="E457" t="str">
        <f t="shared" si="14"/>
        <v>K1/16/1/4</v>
      </c>
    </row>
    <row r="458" spans="1:5" x14ac:dyDescent="0.2">
      <c r="A458">
        <v>2</v>
      </c>
      <c r="B458" t="s">
        <v>21</v>
      </c>
      <c r="C458">
        <v>1</v>
      </c>
      <c r="D458">
        <v>12</v>
      </c>
      <c r="E458" t="str">
        <f t="shared" si="14"/>
        <v>Carmin/12/2/1</v>
      </c>
    </row>
    <row r="459" spans="1:5" x14ac:dyDescent="0.2">
      <c r="A459">
        <v>3</v>
      </c>
      <c r="B459" t="s">
        <v>14</v>
      </c>
      <c r="C459">
        <v>0</v>
      </c>
      <c r="D459">
        <v>8</v>
      </c>
      <c r="E459" t="str">
        <f t="shared" si="14"/>
        <v>Ramm/8/3/0</v>
      </c>
    </row>
    <row r="460" spans="1:5" x14ac:dyDescent="0.2">
      <c r="A460">
        <v>4</v>
      </c>
      <c r="B460" t="s">
        <v>26</v>
      </c>
      <c r="C460">
        <v>0</v>
      </c>
      <c r="D460">
        <v>4</v>
      </c>
      <c r="E460" t="str">
        <f t="shared" si="14"/>
        <v>LOSOGRE/4/4/0</v>
      </c>
    </row>
    <row r="461" spans="1:5" x14ac:dyDescent="0.2">
      <c r="A461">
        <v>5</v>
      </c>
      <c r="B461" t="s">
        <v>33</v>
      </c>
      <c r="C461">
        <v>0</v>
      </c>
      <c r="D461">
        <v>2</v>
      </c>
      <c r="E461" t="str">
        <f t="shared" si="14"/>
        <v>Ptit Savoyard/2/5/0</v>
      </c>
    </row>
    <row r="462" spans="1:5" x14ac:dyDescent="0.2">
      <c r="A462">
        <v>6</v>
      </c>
      <c r="B462" t="s">
        <v>102</v>
      </c>
      <c r="C462">
        <v>0</v>
      </c>
      <c r="D462">
        <v>1</v>
      </c>
      <c r="E462" t="str">
        <f t="shared" si="14"/>
        <v>Doudoululu/1/6/0</v>
      </c>
    </row>
    <row r="463" spans="1:5" x14ac:dyDescent="0.2">
      <c r="A463">
        <v>1</v>
      </c>
      <c r="B463" t="s">
        <v>55</v>
      </c>
      <c r="C463">
        <v>4</v>
      </c>
      <c r="D463">
        <v>16</v>
      </c>
      <c r="E463" t="str">
        <f t="shared" si="14"/>
        <v>Bounette/16/1/4</v>
      </c>
    </row>
    <row r="464" spans="1:5" x14ac:dyDescent="0.2">
      <c r="A464">
        <v>2</v>
      </c>
      <c r="B464" t="s">
        <v>19</v>
      </c>
      <c r="C464">
        <v>0</v>
      </c>
      <c r="D464">
        <v>12</v>
      </c>
      <c r="E464" t="str">
        <f t="shared" si="14"/>
        <v>Giobeck/12/2/0</v>
      </c>
    </row>
    <row r="465" spans="1:5" x14ac:dyDescent="0.2">
      <c r="A465">
        <v>3</v>
      </c>
      <c r="B465" t="s">
        <v>35</v>
      </c>
      <c r="C465">
        <v>1</v>
      </c>
      <c r="D465">
        <v>8</v>
      </c>
      <c r="E465" t="str">
        <f t="shared" si="14"/>
        <v>JeanMichelTiming/8/3/1</v>
      </c>
    </row>
    <row r="466" spans="1:5" x14ac:dyDescent="0.2">
      <c r="A466">
        <v>4</v>
      </c>
      <c r="B466" t="s">
        <v>31</v>
      </c>
      <c r="C466">
        <v>0</v>
      </c>
      <c r="D466">
        <v>4</v>
      </c>
      <c r="E466" t="str">
        <f t="shared" si="14"/>
        <v>CHRIS92340/4/4/0</v>
      </c>
    </row>
    <row r="467" spans="1:5" x14ac:dyDescent="0.2">
      <c r="A467">
        <v>5</v>
      </c>
      <c r="B467" t="s">
        <v>88</v>
      </c>
      <c r="C467">
        <v>0</v>
      </c>
      <c r="D467">
        <v>2</v>
      </c>
      <c r="E467" t="str">
        <f t="shared" si="14"/>
        <v>Yarael/2/5/0</v>
      </c>
    </row>
    <row r="468" spans="1:5" x14ac:dyDescent="0.2">
      <c r="A468">
        <v>6</v>
      </c>
      <c r="B468" t="s">
        <v>74</v>
      </c>
      <c r="C468">
        <v>0</v>
      </c>
      <c r="D468">
        <v>1</v>
      </c>
      <c r="E468" t="str">
        <f t="shared" si="14"/>
        <v>PatB/1/6/0</v>
      </c>
    </row>
    <row r="469" spans="1:5" x14ac:dyDescent="0.2">
      <c r="A469">
        <v>1</v>
      </c>
      <c r="B469" t="s">
        <v>52</v>
      </c>
      <c r="C469">
        <v>2</v>
      </c>
      <c r="D469">
        <v>16</v>
      </c>
      <c r="E469" t="str">
        <f t="shared" si="14"/>
        <v>Coach Pepito/16/1/2</v>
      </c>
    </row>
    <row r="470" spans="1:5" x14ac:dyDescent="0.2">
      <c r="A470">
        <v>2</v>
      </c>
      <c r="B470" t="s">
        <v>41</v>
      </c>
      <c r="C470">
        <v>1</v>
      </c>
      <c r="D470">
        <v>12</v>
      </c>
      <c r="E470" t="str">
        <f t="shared" si="14"/>
        <v>gibouille/12/2/1</v>
      </c>
    </row>
    <row r="471" spans="1:5" x14ac:dyDescent="0.2">
      <c r="A471">
        <v>3</v>
      </c>
      <c r="B471" t="s">
        <v>12</v>
      </c>
      <c r="C471">
        <v>2</v>
      </c>
      <c r="D471">
        <v>8</v>
      </c>
      <c r="E471" t="str">
        <f t="shared" si="14"/>
        <v>Gnak/8/3/2</v>
      </c>
    </row>
    <row r="472" spans="1:5" x14ac:dyDescent="0.2">
      <c r="A472">
        <v>4</v>
      </c>
      <c r="B472" t="s">
        <v>39</v>
      </c>
      <c r="C472">
        <v>0</v>
      </c>
      <c r="D472">
        <v>4</v>
      </c>
      <c r="E472" t="str">
        <f t="shared" si="14"/>
        <v>kheops/4/4/0</v>
      </c>
    </row>
    <row r="473" spans="1:5" x14ac:dyDescent="0.2">
      <c r="A473">
        <v>5</v>
      </c>
      <c r="B473" t="s">
        <v>18</v>
      </c>
      <c r="C473">
        <v>0</v>
      </c>
      <c r="D473">
        <v>2</v>
      </c>
      <c r="E473" t="str">
        <f t="shared" si="14"/>
        <v>MAMS/2/5/0</v>
      </c>
    </row>
    <row r="474" spans="1:5" x14ac:dyDescent="0.2">
      <c r="A474">
        <v>6</v>
      </c>
      <c r="B474" t="s">
        <v>47</v>
      </c>
      <c r="C474">
        <v>0</v>
      </c>
      <c r="D474">
        <v>1</v>
      </c>
      <c r="E474" t="str">
        <f t="shared" si="14"/>
        <v>Logan/1/6/0</v>
      </c>
    </row>
    <row r="475" spans="1:5" x14ac:dyDescent="0.2">
      <c r="A475">
        <v>1</v>
      </c>
      <c r="B475" t="s">
        <v>344</v>
      </c>
      <c r="C475">
        <v>3</v>
      </c>
      <c r="D475">
        <v>16</v>
      </c>
      <c r="E475" t="str">
        <f t="shared" si="14"/>
        <v>Zil/16/1/3</v>
      </c>
    </row>
    <row r="476" spans="1:5" x14ac:dyDescent="0.2">
      <c r="A476">
        <v>2</v>
      </c>
      <c r="B476" t="s">
        <v>76</v>
      </c>
      <c r="C476">
        <v>0</v>
      </c>
      <c r="D476">
        <v>12</v>
      </c>
      <c r="E476" t="str">
        <f t="shared" si="14"/>
        <v>Comment2/12/2/0</v>
      </c>
    </row>
    <row r="477" spans="1:5" x14ac:dyDescent="0.2">
      <c r="A477">
        <v>3</v>
      </c>
      <c r="B477" t="s">
        <v>65</v>
      </c>
      <c r="C477">
        <v>2</v>
      </c>
      <c r="D477">
        <v>8</v>
      </c>
      <c r="E477" t="str">
        <f t="shared" si="14"/>
        <v>Ripolin/8/3/2</v>
      </c>
    </row>
    <row r="478" spans="1:5" x14ac:dyDescent="0.2">
      <c r="A478">
        <v>4</v>
      </c>
      <c r="B478" t="s">
        <v>6</v>
      </c>
      <c r="C478">
        <v>0</v>
      </c>
      <c r="D478">
        <v>4</v>
      </c>
      <c r="E478" t="str">
        <f t="shared" si="14"/>
        <v>Pyja/4/4/0</v>
      </c>
    </row>
    <row r="479" spans="1:5" x14ac:dyDescent="0.2">
      <c r="A479">
        <v>5</v>
      </c>
      <c r="B479" t="s">
        <v>32</v>
      </c>
      <c r="C479">
        <v>0</v>
      </c>
      <c r="D479">
        <v>2</v>
      </c>
      <c r="E479" t="str">
        <f t="shared" si="14"/>
        <v>OlivierN92/2/5/0</v>
      </c>
    </row>
    <row r="480" spans="1:5" x14ac:dyDescent="0.2">
      <c r="A480">
        <v>6</v>
      </c>
      <c r="B480" t="s">
        <v>87</v>
      </c>
      <c r="C480">
        <v>0</v>
      </c>
      <c r="D480">
        <v>1</v>
      </c>
      <c r="E480" t="str">
        <f t="shared" si="14"/>
        <v>Proph@ne/1/6/0</v>
      </c>
    </row>
    <row r="481" spans="1:5" x14ac:dyDescent="0.2">
      <c r="A481">
        <v>1</v>
      </c>
      <c r="B481" t="s">
        <v>73</v>
      </c>
      <c r="C481">
        <v>4</v>
      </c>
      <c r="D481">
        <v>16</v>
      </c>
      <c r="E481" t="str">
        <f t="shared" si="14"/>
        <v>Flem/16/1/4</v>
      </c>
    </row>
    <row r="482" spans="1:5" x14ac:dyDescent="0.2">
      <c r="A482">
        <v>2</v>
      </c>
      <c r="B482" t="s">
        <v>54</v>
      </c>
      <c r="C482">
        <v>0</v>
      </c>
      <c r="D482">
        <v>12</v>
      </c>
      <c r="E482" t="str">
        <f t="shared" si="14"/>
        <v>Salsamanu/12/2/0</v>
      </c>
    </row>
    <row r="483" spans="1:5" x14ac:dyDescent="0.2">
      <c r="A483">
        <v>3</v>
      </c>
      <c r="B483" t="s">
        <v>66</v>
      </c>
      <c r="C483">
        <v>1</v>
      </c>
      <c r="D483">
        <v>8</v>
      </c>
      <c r="E483" t="str">
        <f t="shared" ref="E483:E546" si="15">B483&amp;"/"&amp;D483&amp;"/"&amp;A483&amp;"/"&amp;C483</f>
        <v>Ad Vitam/8/3/1</v>
      </c>
    </row>
    <row r="484" spans="1:5" x14ac:dyDescent="0.2">
      <c r="A484">
        <v>4</v>
      </c>
      <c r="B484" t="s">
        <v>60</v>
      </c>
      <c r="C484">
        <v>0</v>
      </c>
      <c r="D484">
        <v>4</v>
      </c>
      <c r="E484" t="str">
        <f t="shared" si="15"/>
        <v>zizou/4/4/0</v>
      </c>
    </row>
    <row r="485" spans="1:5" x14ac:dyDescent="0.2">
      <c r="A485">
        <v>5</v>
      </c>
      <c r="B485" t="s">
        <v>81</v>
      </c>
      <c r="C485">
        <v>0</v>
      </c>
      <c r="D485">
        <v>2</v>
      </c>
      <c r="E485" t="str">
        <f t="shared" si="15"/>
        <v>Empedocle/2/5/0</v>
      </c>
    </row>
    <row r="486" spans="1:5" x14ac:dyDescent="0.2">
      <c r="A486">
        <v>6</v>
      </c>
      <c r="B486" t="s">
        <v>42</v>
      </c>
      <c r="C486">
        <v>0</v>
      </c>
      <c r="D486">
        <v>1</v>
      </c>
      <c r="E486" t="str">
        <f t="shared" si="15"/>
        <v>Claptou/1/6/0</v>
      </c>
    </row>
    <row r="487" spans="1:5" x14ac:dyDescent="0.2">
      <c r="A487">
        <v>1</v>
      </c>
      <c r="B487" t="s">
        <v>15</v>
      </c>
      <c r="C487">
        <v>2</v>
      </c>
      <c r="D487">
        <v>16</v>
      </c>
      <c r="E487" t="str">
        <f t="shared" si="15"/>
        <v>LAAtof/16/1/2</v>
      </c>
    </row>
    <row r="488" spans="1:5" x14ac:dyDescent="0.2">
      <c r="A488">
        <v>2</v>
      </c>
      <c r="B488" t="s">
        <v>35</v>
      </c>
      <c r="C488">
        <v>1</v>
      </c>
      <c r="D488">
        <v>12</v>
      </c>
      <c r="E488" t="str">
        <f t="shared" si="15"/>
        <v>JeanMichelTiming/12/2/1</v>
      </c>
    </row>
    <row r="489" spans="1:5" x14ac:dyDescent="0.2">
      <c r="A489">
        <v>3</v>
      </c>
      <c r="B489" t="s">
        <v>40</v>
      </c>
      <c r="C489">
        <v>2</v>
      </c>
      <c r="D489">
        <v>8</v>
      </c>
      <c r="E489" t="str">
        <f t="shared" si="15"/>
        <v>Lén@/8/3/2</v>
      </c>
    </row>
    <row r="490" spans="1:5" x14ac:dyDescent="0.2">
      <c r="A490">
        <v>4</v>
      </c>
      <c r="B490" t="s">
        <v>101</v>
      </c>
      <c r="C490">
        <v>0</v>
      </c>
      <c r="D490">
        <v>4</v>
      </c>
      <c r="E490" t="str">
        <f t="shared" si="15"/>
        <v>ChrisFrankfurt/4/4/0</v>
      </c>
    </row>
    <row r="491" spans="1:5" x14ac:dyDescent="0.2">
      <c r="A491">
        <v>5</v>
      </c>
      <c r="B491" t="s">
        <v>345</v>
      </c>
      <c r="C491">
        <v>0</v>
      </c>
      <c r="D491">
        <v>2</v>
      </c>
      <c r="E491" t="str">
        <f t="shared" si="15"/>
        <v>Thibaultp75/2/5/0</v>
      </c>
    </row>
    <row r="492" spans="1:5" x14ac:dyDescent="0.2">
      <c r="A492">
        <v>6</v>
      </c>
      <c r="B492" t="s">
        <v>33</v>
      </c>
      <c r="C492">
        <v>0</v>
      </c>
      <c r="D492">
        <v>1</v>
      </c>
      <c r="E492" t="str">
        <f t="shared" si="15"/>
        <v>Ptit Savoyard/1/6/0</v>
      </c>
    </row>
    <row r="493" spans="1:5" x14ac:dyDescent="0.2">
      <c r="A493">
        <v>1</v>
      </c>
      <c r="B493" t="s">
        <v>69</v>
      </c>
      <c r="C493">
        <v>2</v>
      </c>
      <c r="D493">
        <v>16</v>
      </c>
      <c r="E493" t="str">
        <f t="shared" si="15"/>
        <v>Catherine/16/1/2</v>
      </c>
    </row>
    <row r="494" spans="1:5" x14ac:dyDescent="0.2">
      <c r="A494">
        <v>2</v>
      </c>
      <c r="B494" t="s">
        <v>9</v>
      </c>
      <c r="C494">
        <v>2</v>
      </c>
      <c r="D494">
        <v>12</v>
      </c>
      <c r="E494" t="str">
        <f t="shared" si="15"/>
        <v>K1/12/2/2</v>
      </c>
    </row>
    <row r="495" spans="1:5" x14ac:dyDescent="0.2">
      <c r="A495">
        <v>3</v>
      </c>
      <c r="B495" t="s">
        <v>25</v>
      </c>
      <c r="C495">
        <v>0</v>
      </c>
      <c r="D495">
        <v>8</v>
      </c>
      <c r="E495" t="str">
        <f t="shared" si="15"/>
        <v>Claudius/8/3/0</v>
      </c>
    </row>
    <row r="496" spans="1:5" x14ac:dyDescent="0.2">
      <c r="A496">
        <v>4</v>
      </c>
      <c r="B496" t="s">
        <v>74</v>
      </c>
      <c r="C496">
        <v>0</v>
      </c>
      <c r="D496">
        <v>4</v>
      </c>
      <c r="E496" t="str">
        <f t="shared" si="15"/>
        <v>PatB/4/4/0</v>
      </c>
    </row>
    <row r="497" spans="1:5" x14ac:dyDescent="0.2">
      <c r="A497">
        <v>5</v>
      </c>
      <c r="B497" t="s">
        <v>92</v>
      </c>
      <c r="C497">
        <v>1</v>
      </c>
      <c r="D497">
        <v>2</v>
      </c>
      <c r="E497" t="str">
        <f t="shared" si="15"/>
        <v>Jacks&amp;Five/2/5/1</v>
      </c>
    </row>
    <row r="498" spans="1:5" x14ac:dyDescent="0.2">
      <c r="A498">
        <v>6</v>
      </c>
      <c r="B498" t="s">
        <v>60</v>
      </c>
      <c r="C498">
        <v>0</v>
      </c>
      <c r="D498">
        <v>1</v>
      </c>
      <c r="E498" t="str">
        <f t="shared" si="15"/>
        <v>zizou/1/6/0</v>
      </c>
    </row>
    <row r="499" spans="1:5" x14ac:dyDescent="0.2">
      <c r="A499">
        <v>1</v>
      </c>
      <c r="B499" t="s">
        <v>43</v>
      </c>
      <c r="C499">
        <v>3</v>
      </c>
      <c r="D499">
        <v>16</v>
      </c>
      <c r="E499" t="str">
        <f t="shared" si="15"/>
        <v>KassTwo/16/1/3</v>
      </c>
    </row>
    <row r="500" spans="1:5" x14ac:dyDescent="0.2">
      <c r="A500">
        <v>2</v>
      </c>
      <c r="B500" t="s">
        <v>47</v>
      </c>
      <c r="C500">
        <v>2</v>
      </c>
      <c r="D500">
        <v>12</v>
      </c>
      <c r="E500" t="str">
        <f t="shared" si="15"/>
        <v>Logan/12/2/2</v>
      </c>
    </row>
    <row r="501" spans="1:5" x14ac:dyDescent="0.2">
      <c r="A501">
        <v>3</v>
      </c>
      <c r="B501" t="s">
        <v>41</v>
      </c>
      <c r="C501">
        <v>0</v>
      </c>
      <c r="D501">
        <v>8</v>
      </c>
      <c r="E501" t="str">
        <f t="shared" si="15"/>
        <v>gibouille/8/3/0</v>
      </c>
    </row>
    <row r="502" spans="1:5" x14ac:dyDescent="0.2">
      <c r="A502">
        <v>4</v>
      </c>
      <c r="B502" t="s">
        <v>32</v>
      </c>
      <c r="C502">
        <v>0</v>
      </c>
      <c r="D502">
        <v>4</v>
      </c>
      <c r="E502" t="str">
        <f t="shared" si="15"/>
        <v>OlivierN92/4/4/0</v>
      </c>
    </row>
    <row r="503" spans="1:5" x14ac:dyDescent="0.2">
      <c r="A503">
        <v>5</v>
      </c>
      <c r="B503" t="s">
        <v>6</v>
      </c>
      <c r="C503">
        <v>0</v>
      </c>
      <c r="D503">
        <v>2</v>
      </c>
      <c r="E503" t="str">
        <f t="shared" si="15"/>
        <v>Pyja/2/5/0</v>
      </c>
    </row>
    <row r="504" spans="1:5" x14ac:dyDescent="0.2">
      <c r="A504">
        <v>6</v>
      </c>
      <c r="B504" t="s">
        <v>21</v>
      </c>
      <c r="C504">
        <v>0</v>
      </c>
      <c r="D504">
        <v>1</v>
      </c>
      <c r="E504" t="str">
        <f t="shared" si="15"/>
        <v>Carmin/1/6/0</v>
      </c>
    </row>
    <row r="505" spans="1:5" x14ac:dyDescent="0.2">
      <c r="A505">
        <v>1</v>
      </c>
      <c r="B505" t="s">
        <v>26</v>
      </c>
      <c r="C505">
        <v>2</v>
      </c>
      <c r="D505">
        <v>16</v>
      </c>
      <c r="E505" t="str">
        <f t="shared" si="15"/>
        <v>LOSOGRE/16/1/2</v>
      </c>
    </row>
    <row r="506" spans="1:5" x14ac:dyDescent="0.2">
      <c r="A506">
        <v>2</v>
      </c>
      <c r="B506" t="s">
        <v>55</v>
      </c>
      <c r="C506">
        <v>1</v>
      </c>
      <c r="D506">
        <v>12</v>
      </c>
      <c r="E506" t="str">
        <f t="shared" si="15"/>
        <v>Bounette/12/2/1</v>
      </c>
    </row>
    <row r="507" spans="1:5" x14ac:dyDescent="0.2">
      <c r="A507">
        <v>3</v>
      </c>
      <c r="B507" t="s">
        <v>67</v>
      </c>
      <c r="C507">
        <v>0</v>
      </c>
      <c r="D507">
        <v>8</v>
      </c>
      <c r="E507" t="str">
        <f t="shared" si="15"/>
        <v>Jackiechoune/8/3/0</v>
      </c>
    </row>
    <row r="508" spans="1:5" x14ac:dyDescent="0.2">
      <c r="A508">
        <v>4</v>
      </c>
      <c r="B508" t="s">
        <v>50</v>
      </c>
      <c r="C508">
        <v>1</v>
      </c>
      <c r="D508">
        <v>4</v>
      </c>
      <c r="E508" t="str">
        <f t="shared" si="15"/>
        <v>MLADENGO/4/4/1</v>
      </c>
    </row>
    <row r="509" spans="1:5" x14ac:dyDescent="0.2">
      <c r="A509">
        <v>5</v>
      </c>
      <c r="B509" t="s">
        <v>76</v>
      </c>
      <c r="C509">
        <v>1</v>
      </c>
      <c r="D509">
        <v>2</v>
      </c>
      <c r="E509" t="str">
        <f t="shared" si="15"/>
        <v>Comment2/2/5/1</v>
      </c>
    </row>
    <row r="510" spans="1:5" x14ac:dyDescent="0.2">
      <c r="A510">
        <v>6</v>
      </c>
      <c r="B510" t="s">
        <v>8</v>
      </c>
      <c r="C510">
        <v>0</v>
      </c>
      <c r="D510">
        <v>1</v>
      </c>
      <c r="E510" t="str">
        <f t="shared" si="15"/>
        <v>Maxime/1/6/0</v>
      </c>
    </row>
    <row r="511" spans="1:5" x14ac:dyDescent="0.2">
      <c r="A511">
        <v>1</v>
      </c>
      <c r="B511" t="s">
        <v>45</v>
      </c>
      <c r="C511">
        <v>5</v>
      </c>
      <c r="D511">
        <v>16</v>
      </c>
      <c r="E511" t="str">
        <f t="shared" si="15"/>
        <v>yaltar/16/1/5</v>
      </c>
    </row>
    <row r="512" spans="1:5" x14ac:dyDescent="0.2">
      <c r="A512">
        <v>2</v>
      </c>
      <c r="B512" t="s">
        <v>31</v>
      </c>
      <c r="C512">
        <v>0</v>
      </c>
      <c r="D512">
        <v>12</v>
      </c>
      <c r="E512" t="str">
        <f t="shared" si="15"/>
        <v>CHRIS92340/12/2/0</v>
      </c>
    </row>
    <row r="513" spans="1:5" x14ac:dyDescent="0.2">
      <c r="A513">
        <v>3</v>
      </c>
      <c r="B513" t="s">
        <v>102</v>
      </c>
      <c r="C513">
        <v>0</v>
      </c>
      <c r="D513">
        <v>8</v>
      </c>
      <c r="E513" t="str">
        <f t="shared" si="15"/>
        <v>Doudoululu/8/3/0</v>
      </c>
    </row>
    <row r="514" spans="1:5" x14ac:dyDescent="0.2">
      <c r="A514">
        <v>4</v>
      </c>
      <c r="B514" t="s">
        <v>52</v>
      </c>
      <c r="C514">
        <v>0</v>
      </c>
      <c r="D514">
        <v>4</v>
      </c>
      <c r="E514" t="str">
        <f t="shared" si="15"/>
        <v>Coach Pepito/4/4/0</v>
      </c>
    </row>
    <row r="515" spans="1:5" x14ac:dyDescent="0.2">
      <c r="A515">
        <v>5</v>
      </c>
      <c r="B515" t="s">
        <v>12</v>
      </c>
      <c r="C515">
        <v>0</v>
      </c>
      <c r="D515">
        <v>2</v>
      </c>
      <c r="E515" t="str">
        <f t="shared" si="15"/>
        <v>Gnak/2/5/0</v>
      </c>
    </row>
    <row r="516" spans="1:5" x14ac:dyDescent="0.2">
      <c r="A516">
        <v>6</v>
      </c>
      <c r="B516" t="s">
        <v>42</v>
      </c>
      <c r="C516">
        <v>0</v>
      </c>
      <c r="D516">
        <v>1</v>
      </c>
      <c r="E516" t="str">
        <f t="shared" si="15"/>
        <v>Claptou/1/6/0</v>
      </c>
    </row>
    <row r="517" spans="1:5" x14ac:dyDescent="0.2">
      <c r="A517">
        <v>1</v>
      </c>
      <c r="B517" t="s">
        <v>73</v>
      </c>
      <c r="C517">
        <v>4</v>
      </c>
      <c r="D517">
        <v>15</v>
      </c>
      <c r="E517" t="str">
        <f t="shared" si="15"/>
        <v>Flem/15/1/4</v>
      </c>
    </row>
    <row r="518" spans="1:5" x14ac:dyDescent="0.2">
      <c r="A518">
        <v>2</v>
      </c>
      <c r="B518" t="s">
        <v>46</v>
      </c>
      <c r="C518">
        <v>0</v>
      </c>
      <c r="D518">
        <v>11</v>
      </c>
      <c r="E518" t="str">
        <f t="shared" si="15"/>
        <v>Jérôme/11/2/0</v>
      </c>
    </row>
    <row r="519" spans="1:5" x14ac:dyDescent="0.2">
      <c r="A519">
        <v>3</v>
      </c>
      <c r="B519" t="s">
        <v>65</v>
      </c>
      <c r="C519">
        <v>0</v>
      </c>
      <c r="D519">
        <v>7</v>
      </c>
      <c r="E519" t="str">
        <f t="shared" si="15"/>
        <v>Ripolin/7/3/0</v>
      </c>
    </row>
    <row r="520" spans="1:5" x14ac:dyDescent="0.2">
      <c r="A520">
        <v>4</v>
      </c>
      <c r="B520" t="s">
        <v>18</v>
      </c>
      <c r="C520">
        <v>0</v>
      </c>
      <c r="D520">
        <v>3</v>
      </c>
      <c r="E520" t="str">
        <f t="shared" si="15"/>
        <v>MAMS/3/4/0</v>
      </c>
    </row>
    <row r="521" spans="1:5" x14ac:dyDescent="0.2">
      <c r="A521">
        <v>5</v>
      </c>
      <c r="B521" t="s">
        <v>103</v>
      </c>
      <c r="C521">
        <v>0</v>
      </c>
      <c r="D521">
        <v>1</v>
      </c>
      <c r="E521" t="str">
        <f t="shared" si="15"/>
        <v>zzav/1/5/0</v>
      </c>
    </row>
    <row r="522" spans="1:5" x14ac:dyDescent="0.2">
      <c r="A522">
        <v>1</v>
      </c>
      <c r="B522" t="s">
        <v>68</v>
      </c>
      <c r="C522">
        <v>2</v>
      </c>
      <c r="D522">
        <v>16</v>
      </c>
      <c r="E522" t="str">
        <f t="shared" si="15"/>
        <v>zubbaz/16/1/2</v>
      </c>
    </row>
    <row r="523" spans="1:5" x14ac:dyDescent="0.2">
      <c r="A523">
        <v>2</v>
      </c>
      <c r="B523" t="s">
        <v>14</v>
      </c>
      <c r="C523">
        <v>2</v>
      </c>
      <c r="D523">
        <v>12</v>
      </c>
      <c r="E523" t="str">
        <f t="shared" si="15"/>
        <v>Ramm/12/2/2</v>
      </c>
    </row>
    <row r="524" spans="1:5" x14ac:dyDescent="0.2">
      <c r="A524">
        <v>3</v>
      </c>
      <c r="B524" t="s">
        <v>61</v>
      </c>
      <c r="C524">
        <v>1</v>
      </c>
      <c r="D524">
        <v>8</v>
      </c>
      <c r="E524" t="str">
        <f t="shared" si="15"/>
        <v>Kri-lin/8/3/1</v>
      </c>
    </row>
    <row r="525" spans="1:5" x14ac:dyDescent="0.2">
      <c r="A525">
        <v>4</v>
      </c>
      <c r="B525" t="s">
        <v>75</v>
      </c>
      <c r="C525">
        <v>0</v>
      </c>
      <c r="D525">
        <v>4</v>
      </c>
      <c r="E525" t="str">
        <f t="shared" si="15"/>
        <v>Michelbey/4/4/0</v>
      </c>
    </row>
    <row r="526" spans="1:5" x14ac:dyDescent="0.2">
      <c r="A526">
        <v>5</v>
      </c>
      <c r="B526" t="s">
        <v>54</v>
      </c>
      <c r="C526">
        <v>0</v>
      </c>
      <c r="D526">
        <v>2</v>
      </c>
      <c r="E526" t="str">
        <f t="shared" si="15"/>
        <v>Salsamanu/2/5/0</v>
      </c>
    </row>
    <row r="527" spans="1:5" x14ac:dyDescent="0.2">
      <c r="A527">
        <v>6</v>
      </c>
      <c r="B527" t="s">
        <v>66</v>
      </c>
      <c r="C527">
        <v>0</v>
      </c>
      <c r="D527">
        <v>1</v>
      </c>
      <c r="E527" t="str">
        <f t="shared" si="15"/>
        <v>Ad Vitam/1/6/0</v>
      </c>
    </row>
    <row r="528" spans="1:5" x14ac:dyDescent="0.2">
      <c r="A528">
        <v>1</v>
      </c>
      <c r="B528" t="s">
        <v>59</v>
      </c>
      <c r="C528">
        <v>3</v>
      </c>
      <c r="D528">
        <v>16</v>
      </c>
      <c r="E528" t="str">
        <f t="shared" si="15"/>
        <v>YooooDA/16/1/3</v>
      </c>
    </row>
    <row r="529" spans="1:5" x14ac:dyDescent="0.2">
      <c r="A529">
        <v>2</v>
      </c>
      <c r="B529" t="s">
        <v>26</v>
      </c>
      <c r="C529">
        <v>0</v>
      </c>
      <c r="D529">
        <v>12</v>
      </c>
      <c r="E529" t="str">
        <f t="shared" si="15"/>
        <v>LOSOGRE/12/2/0</v>
      </c>
    </row>
    <row r="530" spans="1:5" x14ac:dyDescent="0.2">
      <c r="A530">
        <v>3</v>
      </c>
      <c r="B530" t="s">
        <v>66</v>
      </c>
      <c r="C530">
        <v>2</v>
      </c>
      <c r="D530">
        <v>8</v>
      </c>
      <c r="E530" t="str">
        <f t="shared" si="15"/>
        <v>Ad Vitam/8/3/2</v>
      </c>
    </row>
    <row r="531" spans="1:5" x14ac:dyDescent="0.2">
      <c r="A531">
        <v>4</v>
      </c>
      <c r="B531" t="s">
        <v>52</v>
      </c>
      <c r="C531">
        <v>0</v>
      </c>
      <c r="D531">
        <v>4</v>
      </c>
      <c r="E531" t="str">
        <f t="shared" si="15"/>
        <v>Coach Pepito/4/4/0</v>
      </c>
    </row>
    <row r="532" spans="1:5" x14ac:dyDescent="0.2">
      <c r="A532">
        <v>5</v>
      </c>
      <c r="B532" t="s">
        <v>12</v>
      </c>
      <c r="C532">
        <v>0</v>
      </c>
      <c r="D532">
        <v>2</v>
      </c>
      <c r="E532" t="str">
        <f t="shared" si="15"/>
        <v>Gnak/2/5/0</v>
      </c>
    </row>
    <row r="533" spans="1:5" x14ac:dyDescent="0.2">
      <c r="A533">
        <v>6</v>
      </c>
      <c r="B533" t="s">
        <v>65</v>
      </c>
      <c r="C533">
        <v>0</v>
      </c>
      <c r="D533">
        <v>1</v>
      </c>
      <c r="E533" t="str">
        <f t="shared" si="15"/>
        <v>Ripolin/1/6/0</v>
      </c>
    </row>
    <row r="534" spans="1:5" x14ac:dyDescent="0.2">
      <c r="A534">
        <v>1</v>
      </c>
      <c r="B534" t="s">
        <v>39</v>
      </c>
      <c r="C534">
        <v>2</v>
      </c>
      <c r="D534">
        <v>16</v>
      </c>
      <c r="E534" t="str">
        <f t="shared" si="15"/>
        <v>kheops/16/1/2</v>
      </c>
    </row>
    <row r="535" spans="1:5" x14ac:dyDescent="0.2">
      <c r="A535">
        <v>2</v>
      </c>
      <c r="B535" t="s">
        <v>43</v>
      </c>
      <c r="C535">
        <v>3</v>
      </c>
      <c r="D535">
        <v>12</v>
      </c>
      <c r="E535" t="str">
        <f t="shared" si="15"/>
        <v>KassTwo/12/2/3</v>
      </c>
    </row>
    <row r="536" spans="1:5" x14ac:dyDescent="0.2">
      <c r="A536">
        <v>3</v>
      </c>
      <c r="B536" t="s">
        <v>25</v>
      </c>
      <c r="C536">
        <v>0</v>
      </c>
      <c r="D536">
        <v>8</v>
      </c>
      <c r="E536" t="str">
        <f t="shared" si="15"/>
        <v>Claudius/8/3/0</v>
      </c>
    </row>
    <row r="537" spans="1:5" x14ac:dyDescent="0.2">
      <c r="A537">
        <v>4</v>
      </c>
      <c r="B537" t="s">
        <v>35</v>
      </c>
      <c r="C537">
        <v>0</v>
      </c>
      <c r="D537">
        <v>4</v>
      </c>
      <c r="E537" t="str">
        <f t="shared" si="15"/>
        <v>JeanMichelTiming/4/4/0</v>
      </c>
    </row>
    <row r="538" spans="1:5" x14ac:dyDescent="0.2">
      <c r="A538">
        <v>5</v>
      </c>
      <c r="B538" t="s">
        <v>6</v>
      </c>
      <c r="C538">
        <v>0</v>
      </c>
      <c r="D538">
        <v>2</v>
      </c>
      <c r="E538" t="str">
        <f t="shared" si="15"/>
        <v>Pyja/2/5/0</v>
      </c>
    </row>
    <row r="539" spans="1:5" x14ac:dyDescent="0.2">
      <c r="A539">
        <v>6</v>
      </c>
      <c r="B539" t="s">
        <v>29</v>
      </c>
      <c r="C539">
        <v>0</v>
      </c>
      <c r="D539">
        <v>1</v>
      </c>
      <c r="E539" t="str">
        <f t="shared" si="15"/>
        <v>NoDoubt/1/6/0</v>
      </c>
    </row>
    <row r="540" spans="1:5" x14ac:dyDescent="0.2">
      <c r="A540">
        <v>1</v>
      </c>
      <c r="B540" t="s">
        <v>73</v>
      </c>
      <c r="C540">
        <v>3</v>
      </c>
      <c r="D540">
        <v>16</v>
      </c>
      <c r="E540" t="str">
        <f t="shared" si="15"/>
        <v>Flem/16/1/3</v>
      </c>
    </row>
    <row r="541" spans="1:5" x14ac:dyDescent="0.2">
      <c r="A541">
        <v>2</v>
      </c>
      <c r="B541" t="s">
        <v>32</v>
      </c>
      <c r="C541">
        <v>1</v>
      </c>
      <c r="D541">
        <v>12</v>
      </c>
      <c r="E541" t="str">
        <f t="shared" si="15"/>
        <v>OlivierN92/12/2/1</v>
      </c>
    </row>
    <row r="542" spans="1:5" x14ac:dyDescent="0.2">
      <c r="A542">
        <v>3</v>
      </c>
      <c r="B542" t="s">
        <v>75</v>
      </c>
      <c r="C542">
        <v>0</v>
      </c>
      <c r="D542">
        <v>8</v>
      </c>
      <c r="E542" t="str">
        <f t="shared" si="15"/>
        <v>Michelbey/8/3/0</v>
      </c>
    </row>
    <row r="543" spans="1:5" x14ac:dyDescent="0.2">
      <c r="A543">
        <v>4</v>
      </c>
      <c r="B543" t="s">
        <v>15</v>
      </c>
      <c r="C543">
        <v>1</v>
      </c>
      <c r="D543">
        <v>4</v>
      </c>
      <c r="E543" t="str">
        <f t="shared" si="15"/>
        <v>LAAtof/4/4/1</v>
      </c>
    </row>
    <row r="544" spans="1:5" x14ac:dyDescent="0.2">
      <c r="A544">
        <v>5</v>
      </c>
      <c r="B544" t="s">
        <v>74</v>
      </c>
      <c r="C544">
        <v>0</v>
      </c>
      <c r="D544">
        <v>2</v>
      </c>
      <c r="E544" t="str">
        <f t="shared" si="15"/>
        <v>PatB/2/5/0</v>
      </c>
    </row>
    <row r="545" spans="1:5" x14ac:dyDescent="0.2">
      <c r="A545">
        <v>6</v>
      </c>
      <c r="B545" t="s">
        <v>61</v>
      </c>
      <c r="C545">
        <v>0</v>
      </c>
      <c r="D545">
        <v>1</v>
      </c>
      <c r="E545" t="str">
        <f t="shared" si="15"/>
        <v>Kri-lin/1/6/0</v>
      </c>
    </row>
    <row r="546" spans="1:5" x14ac:dyDescent="0.2">
      <c r="A546">
        <v>1</v>
      </c>
      <c r="B546" t="s">
        <v>14</v>
      </c>
      <c r="C546">
        <v>2</v>
      </c>
      <c r="D546">
        <v>16</v>
      </c>
      <c r="E546" t="str">
        <f t="shared" si="15"/>
        <v>Ramm/16/1/2</v>
      </c>
    </row>
    <row r="547" spans="1:5" x14ac:dyDescent="0.2">
      <c r="A547">
        <v>2</v>
      </c>
      <c r="B547" t="s">
        <v>68</v>
      </c>
      <c r="C547">
        <v>1</v>
      </c>
      <c r="D547">
        <v>12</v>
      </c>
      <c r="E547" t="str">
        <f t="shared" ref="E547:E570" si="16">B547&amp;"/"&amp;D547&amp;"/"&amp;A547&amp;"/"&amp;C547</f>
        <v>zubbaz/12/2/1</v>
      </c>
    </row>
    <row r="548" spans="1:5" x14ac:dyDescent="0.2">
      <c r="A548">
        <v>3</v>
      </c>
      <c r="B548" t="s">
        <v>40</v>
      </c>
      <c r="C548">
        <v>2</v>
      </c>
      <c r="D548">
        <v>8</v>
      </c>
      <c r="E548" t="str">
        <f t="shared" si="16"/>
        <v>Lén@/8/3/2</v>
      </c>
    </row>
    <row r="549" spans="1:5" x14ac:dyDescent="0.2">
      <c r="A549">
        <v>4</v>
      </c>
      <c r="B549" t="s">
        <v>21</v>
      </c>
      <c r="C549">
        <v>0</v>
      </c>
      <c r="D549">
        <v>4</v>
      </c>
      <c r="E549" t="str">
        <f t="shared" si="16"/>
        <v>Carmin/4/4/0</v>
      </c>
    </row>
    <row r="550" spans="1:5" x14ac:dyDescent="0.2">
      <c r="A550">
        <v>5</v>
      </c>
      <c r="B550" t="s">
        <v>31</v>
      </c>
      <c r="C550">
        <v>0</v>
      </c>
      <c r="D550">
        <v>2</v>
      </c>
      <c r="E550" t="str">
        <f t="shared" si="16"/>
        <v>CHRIS92340/2/5/0</v>
      </c>
    </row>
    <row r="551" spans="1:5" x14ac:dyDescent="0.2">
      <c r="A551">
        <v>6</v>
      </c>
      <c r="B551" t="s">
        <v>87</v>
      </c>
      <c r="C551">
        <v>0</v>
      </c>
      <c r="D551">
        <v>1</v>
      </c>
      <c r="E551" t="str">
        <f t="shared" si="16"/>
        <v>Proph@ne/1/6/0</v>
      </c>
    </row>
    <row r="552" spans="1:5" x14ac:dyDescent="0.2">
      <c r="A552">
        <v>1</v>
      </c>
      <c r="B552" t="s">
        <v>9</v>
      </c>
      <c r="C552">
        <v>4</v>
      </c>
      <c r="D552">
        <v>16</v>
      </c>
      <c r="E552" t="str">
        <f t="shared" si="16"/>
        <v>K1/16/1/4</v>
      </c>
    </row>
    <row r="553" spans="1:5" x14ac:dyDescent="0.2">
      <c r="A553">
        <v>2</v>
      </c>
      <c r="B553" t="s">
        <v>18</v>
      </c>
      <c r="C553">
        <v>0</v>
      </c>
      <c r="D553">
        <v>12</v>
      </c>
      <c r="E553" t="str">
        <f t="shared" si="16"/>
        <v>MAMS/12/2/0</v>
      </c>
    </row>
    <row r="554" spans="1:5" x14ac:dyDescent="0.2">
      <c r="A554">
        <v>3</v>
      </c>
      <c r="B554" t="s">
        <v>345</v>
      </c>
      <c r="C554">
        <v>0</v>
      </c>
      <c r="D554">
        <v>8</v>
      </c>
      <c r="E554" t="str">
        <f t="shared" si="16"/>
        <v>Thibaultp75/8/3/0</v>
      </c>
    </row>
    <row r="555" spans="1:5" x14ac:dyDescent="0.2">
      <c r="A555">
        <v>4</v>
      </c>
      <c r="B555" t="s">
        <v>55</v>
      </c>
      <c r="C555">
        <v>1</v>
      </c>
      <c r="D555">
        <v>4</v>
      </c>
      <c r="E555" t="str">
        <f t="shared" si="16"/>
        <v>Bounette/4/4/1</v>
      </c>
    </row>
    <row r="556" spans="1:5" x14ac:dyDescent="0.2">
      <c r="A556">
        <v>5</v>
      </c>
      <c r="B556" t="s">
        <v>60</v>
      </c>
      <c r="C556">
        <v>0</v>
      </c>
      <c r="D556">
        <v>2</v>
      </c>
      <c r="E556" t="str">
        <f t="shared" si="16"/>
        <v>zizou/2/5/0</v>
      </c>
    </row>
    <row r="557" spans="1:5" x14ac:dyDescent="0.2">
      <c r="A557">
        <v>6</v>
      </c>
      <c r="B557" t="s">
        <v>42</v>
      </c>
      <c r="C557">
        <v>0</v>
      </c>
      <c r="D557">
        <v>1</v>
      </c>
      <c r="E557" t="str">
        <f t="shared" si="16"/>
        <v>Claptou/1/6/0</v>
      </c>
    </row>
    <row r="558" spans="1:5" x14ac:dyDescent="0.2">
      <c r="A558">
        <v>1</v>
      </c>
      <c r="B558" t="s">
        <v>54</v>
      </c>
      <c r="C558">
        <v>1</v>
      </c>
      <c r="D558">
        <v>17</v>
      </c>
      <c r="E558" t="str">
        <f t="shared" si="16"/>
        <v>Salsamanu/17/1/1</v>
      </c>
    </row>
    <row r="559" spans="1:5" x14ac:dyDescent="0.2">
      <c r="A559">
        <v>2</v>
      </c>
      <c r="B559" t="s">
        <v>41</v>
      </c>
      <c r="C559">
        <v>3</v>
      </c>
      <c r="D559">
        <v>13</v>
      </c>
      <c r="E559" t="str">
        <f t="shared" si="16"/>
        <v>gibouille/13/2/3</v>
      </c>
    </row>
    <row r="560" spans="1:5" x14ac:dyDescent="0.2">
      <c r="A560">
        <v>3</v>
      </c>
      <c r="B560" t="s">
        <v>47</v>
      </c>
      <c r="C560">
        <v>2</v>
      </c>
      <c r="D560">
        <v>9</v>
      </c>
      <c r="E560" t="str">
        <f t="shared" si="16"/>
        <v>Logan/9/3/2</v>
      </c>
    </row>
    <row r="561" spans="1:5" x14ac:dyDescent="0.2">
      <c r="A561">
        <v>4</v>
      </c>
      <c r="B561" t="s">
        <v>33</v>
      </c>
      <c r="C561">
        <v>0</v>
      </c>
      <c r="D561">
        <v>5</v>
      </c>
      <c r="E561" t="str">
        <f t="shared" si="16"/>
        <v>Ptit Savoyard/5/4/0</v>
      </c>
    </row>
    <row r="562" spans="1:5" x14ac:dyDescent="0.2">
      <c r="A562">
        <v>5</v>
      </c>
      <c r="B562" t="s">
        <v>92</v>
      </c>
      <c r="C562">
        <v>0</v>
      </c>
      <c r="D562">
        <v>3</v>
      </c>
      <c r="E562" t="str">
        <f t="shared" si="16"/>
        <v>Jacks&amp;Five/3/5/0</v>
      </c>
    </row>
    <row r="563" spans="1:5" x14ac:dyDescent="0.2">
      <c r="A563">
        <v>6</v>
      </c>
      <c r="B563" t="s">
        <v>45</v>
      </c>
      <c r="C563">
        <v>0</v>
      </c>
      <c r="D563">
        <v>2</v>
      </c>
      <c r="E563" t="str">
        <f t="shared" si="16"/>
        <v>yaltar/2/6/0</v>
      </c>
    </row>
    <row r="564" spans="1:5" x14ac:dyDescent="0.2">
      <c r="A564">
        <v>7</v>
      </c>
      <c r="B564" t="s">
        <v>22</v>
      </c>
      <c r="C564">
        <v>0</v>
      </c>
      <c r="D564">
        <v>1</v>
      </c>
      <c r="E564" t="str">
        <f t="shared" si="16"/>
        <v>Dart 45/1/7/0</v>
      </c>
    </row>
    <row r="565" spans="1:5" x14ac:dyDescent="0.2">
      <c r="A565">
        <v>1</v>
      </c>
      <c r="B565" t="s">
        <v>305</v>
      </c>
      <c r="C565">
        <v>3</v>
      </c>
      <c r="D565">
        <v>16</v>
      </c>
      <c r="E565" t="str">
        <f t="shared" si="16"/>
        <v>flowww/16/1/3</v>
      </c>
    </row>
    <row r="566" spans="1:5" x14ac:dyDescent="0.2">
      <c r="A566">
        <v>2</v>
      </c>
      <c r="B566" t="s">
        <v>76</v>
      </c>
      <c r="C566">
        <v>1</v>
      </c>
      <c r="D566">
        <v>12</v>
      </c>
      <c r="E566" t="str">
        <f t="shared" si="16"/>
        <v>Comment2/12/2/1</v>
      </c>
    </row>
    <row r="567" spans="1:5" x14ac:dyDescent="0.2">
      <c r="A567">
        <v>3</v>
      </c>
      <c r="B567" t="s">
        <v>101</v>
      </c>
      <c r="C567">
        <v>1</v>
      </c>
      <c r="D567">
        <v>8</v>
      </c>
      <c r="E567" t="str">
        <f t="shared" si="16"/>
        <v>ChrisFrankfurt/8/3/1</v>
      </c>
    </row>
    <row r="568" spans="1:5" x14ac:dyDescent="0.2">
      <c r="A568">
        <v>4</v>
      </c>
      <c r="B568" t="s">
        <v>19</v>
      </c>
      <c r="C568">
        <v>0</v>
      </c>
      <c r="D568">
        <v>4</v>
      </c>
      <c r="E568" t="str">
        <f t="shared" si="16"/>
        <v>Giobeck/4/4/0</v>
      </c>
    </row>
    <row r="569" spans="1:5" x14ac:dyDescent="0.2">
      <c r="A569">
        <v>5</v>
      </c>
      <c r="B569" t="s">
        <v>50</v>
      </c>
      <c r="C569">
        <v>0</v>
      </c>
      <c r="D569">
        <v>2</v>
      </c>
      <c r="E569" t="str">
        <f t="shared" si="16"/>
        <v>MLADENGO/2/5/0</v>
      </c>
    </row>
    <row r="570" spans="1:5" x14ac:dyDescent="0.2">
      <c r="A570">
        <v>6</v>
      </c>
      <c r="B570" t="s">
        <v>69</v>
      </c>
      <c r="C570">
        <v>0</v>
      </c>
      <c r="D570">
        <v>1</v>
      </c>
      <c r="E570" t="str">
        <f t="shared" si="16"/>
        <v>Catherine/1/6/0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539F5-9880-5F45-9D72-38212570C5F3}">
  <sheetPr codeName="Sheet9"/>
  <dimension ref="A1:Q238"/>
  <sheetViews>
    <sheetView zoomScale="90" zoomScaleNormal="90" workbookViewId="0">
      <selection activeCell="A860" sqref="A1:D1048576"/>
    </sheetView>
  </sheetViews>
  <sheetFormatPr baseColWidth="10" defaultRowHeight="16" x14ac:dyDescent="0.2"/>
  <cols>
    <col min="1" max="1" width="17.6640625" bestFit="1" customWidth="1"/>
    <col min="2" max="2" width="17.6640625" customWidth="1"/>
    <col min="3" max="3" width="5.6640625" customWidth="1"/>
    <col min="9" max="9" width="10.83203125" style="6" customWidth="1"/>
  </cols>
  <sheetData>
    <row r="1" spans="1:17" x14ac:dyDescent="0.2">
      <c r="A1" t="s">
        <v>329</v>
      </c>
      <c r="B1" t="s">
        <v>330</v>
      </c>
      <c r="D1" t="s">
        <v>2</v>
      </c>
      <c r="E1" t="s">
        <v>109</v>
      </c>
      <c r="F1" t="s">
        <v>110</v>
      </c>
      <c r="G1" t="s">
        <v>111</v>
      </c>
      <c r="H1" t="s">
        <v>112</v>
      </c>
      <c r="I1" s="6" t="s">
        <v>113</v>
      </c>
      <c r="K1" s="1" t="s">
        <v>108</v>
      </c>
      <c r="L1" s="1" t="s">
        <v>2</v>
      </c>
      <c r="M1" s="1" t="s">
        <v>109</v>
      </c>
      <c r="N1" s="1" t="s">
        <v>110</v>
      </c>
      <c r="O1" s="1" t="s">
        <v>111</v>
      </c>
      <c r="P1" s="1" t="s">
        <v>112</v>
      </c>
      <c r="Q1" s="1" t="s">
        <v>113</v>
      </c>
    </row>
    <row r="2" spans="1:17" x14ac:dyDescent="0.2">
      <c r="A2">
        <f t="shared" ref="A2:A33" si="0">IF(D2=L2,0,1)</f>
        <v>0</v>
      </c>
      <c r="B2">
        <f>F2-N2</f>
        <v>0</v>
      </c>
      <c r="D2" t="s">
        <v>73</v>
      </c>
      <c r="E2">
        <v>10</v>
      </c>
      <c r="F2">
        <v>132</v>
      </c>
      <c r="G2">
        <v>7</v>
      </c>
      <c r="H2">
        <v>23</v>
      </c>
      <c r="I2" s="6" t="s">
        <v>352</v>
      </c>
      <c r="K2">
        <v>1</v>
      </c>
      <c r="L2" t="s">
        <v>73</v>
      </c>
      <c r="M2">
        <v>10</v>
      </c>
      <c r="N2">
        <v>132</v>
      </c>
      <c r="O2">
        <v>7</v>
      </c>
      <c r="P2">
        <v>23</v>
      </c>
      <c r="Q2" t="s">
        <v>352</v>
      </c>
    </row>
    <row r="3" spans="1:17" x14ac:dyDescent="0.2">
      <c r="A3">
        <f t="shared" si="0"/>
        <v>0</v>
      </c>
      <c r="B3">
        <f t="shared" ref="B3:B66" si="1">F3-N3</f>
        <v>0</v>
      </c>
      <c r="D3" t="s">
        <v>68</v>
      </c>
      <c r="E3">
        <v>10</v>
      </c>
      <c r="F3">
        <v>120</v>
      </c>
      <c r="G3">
        <v>4</v>
      </c>
      <c r="H3">
        <v>18</v>
      </c>
      <c r="I3" s="6" t="s">
        <v>314</v>
      </c>
      <c r="K3">
        <v>2</v>
      </c>
      <c r="L3" t="s">
        <v>68</v>
      </c>
      <c r="M3">
        <v>10</v>
      </c>
      <c r="N3">
        <v>120</v>
      </c>
      <c r="O3">
        <v>4</v>
      </c>
      <c r="P3">
        <v>18</v>
      </c>
      <c r="Q3">
        <v>12</v>
      </c>
    </row>
    <row r="4" spans="1:17" x14ac:dyDescent="0.2">
      <c r="A4">
        <f t="shared" si="0"/>
        <v>0</v>
      </c>
      <c r="B4">
        <f t="shared" si="1"/>
        <v>0</v>
      </c>
      <c r="D4" t="s">
        <v>9</v>
      </c>
      <c r="E4">
        <v>10</v>
      </c>
      <c r="F4">
        <v>109</v>
      </c>
      <c r="G4">
        <v>4</v>
      </c>
      <c r="H4">
        <v>21</v>
      </c>
      <c r="I4" s="6" t="s">
        <v>117</v>
      </c>
      <c r="K4">
        <v>3</v>
      </c>
      <c r="L4" t="s">
        <v>9</v>
      </c>
      <c r="M4">
        <v>10</v>
      </c>
      <c r="N4">
        <v>109</v>
      </c>
      <c r="O4">
        <v>4</v>
      </c>
      <c r="P4">
        <v>21</v>
      </c>
      <c r="Q4" t="s">
        <v>117</v>
      </c>
    </row>
    <row r="5" spans="1:17" x14ac:dyDescent="0.2">
      <c r="A5">
        <f t="shared" si="0"/>
        <v>0</v>
      </c>
      <c r="B5">
        <f t="shared" si="1"/>
        <v>0</v>
      </c>
      <c r="D5" t="s">
        <v>8</v>
      </c>
      <c r="E5">
        <v>10</v>
      </c>
      <c r="F5">
        <v>99</v>
      </c>
      <c r="G5">
        <v>3</v>
      </c>
      <c r="H5">
        <v>15</v>
      </c>
      <c r="I5" s="6" t="s">
        <v>121</v>
      </c>
      <c r="K5">
        <v>4</v>
      </c>
      <c r="L5" t="s">
        <v>8</v>
      </c>
      <c r="M5">
        <v>10</v>
      </c>
      <c r="N5">
        <v>99</v>
      </c>
      <c r="O5">
        <v>3</v>
      </c>
      <c r="P5">
        <v>15</v>
      </c>
      <c r="Q5" t="s">
        <v>121</v>
      </c>
    </row>
    <row r="6" spans="1:17" x14ac:dyDescent="0.2">
      <c r="A6">
        <f t="shared" si="0"/>
        <v>0</v>
      </c>
      <c r="B6">
        <f t="shared" si="1"/>
        <v>0</v>
      </c>
      <c r="D6" t="s">
        <v>41</v>
      </c>
      <c r="E6">
        <v>10</v>
      </c>
      <c r="F6">
        <v>98</v>
      </c>
      <c r="G6">
        <v>1</v>
      </c>
      <c r="H6">
        <v>10</v>
      </c>
      <c r="I6" s="6" t="s">
        <v>122</v>
      </c>
      <c r="K6">
        <v>5</v>
      </c>
      <c r="L6" t="s">
        <v>41</v>
      </c>
      <c r="M6">
        <v>10</v>
      </c>
      <c r="N6">
        <v>98</v>
      </c>
      <c r="O6">
        <v>1</v>
      </c>
      <c r="P6">
        <v>10</v>
      </c>
      <c r="Q6" t="s">
        <v>122</v>
      </c>
    </row>
    <row r="7" spans="1:17" x14ac:dyDescent="0.2">
      <c r="A7">
        <f t="shared" si="0"/>
        <v>0</v>
      </c>
      <c r="B7">
        <f t="shared" si="1"/>
        <v>0</v>
      </c>
      <c r="D7" t="s">
        <v>18</v>
      </c>
      <c r="E7">
        <v>10</v>
      </c>
      <c r="F7">
        <v>97</v>
      </c>
      <c r="G7">
        <v>3</v>
      </c>
      <c r="H7">
        <v>9</v>
      </c>
      <c r="I7" s="6" t="s">
        <v>353</v>
      </c>
      <c r="K7">
        <v>6</v>
      </c>
      <c r="L7" t="s">
        <v>18</v>
      </c>
      <c r="M7">
        <v>10</v>
      </c>
      <c r="N7">
        <v>97</v>
      </c>
      <c r="O7">
        <v>3</v>
      </c>
      <c r="P7">
        <v>9</v>
      </c>
      <c r="Q7" t="s">
        <v>353</v>
      </c>
    </row>
    <row r="8" spans="1:17" x14ac:dyDescent="0.2">
      <c r="A8">
        <f t="shared" si="0"/>
        <v>0</v>
      </c>
      <c r="B8">
        <f t="shared" si="1"/>
        <v>0</v>
      </c>
      <c r="D8" t="s">
        <v>12</v>
      </c>
      <c r="E8">
        <v>10</v>
      </c>
      <c r="F8">
        <v>96</v>
      </c>
      <c r="G8">
        <v>3</v>
      </c>
      <c r="H8">
        <v>16</v>
      </c>
      <c r="I8" s="6" t="s">
        <v>123</v>
      </c>
      <c r="K8">
        <v>7</v>
      </c>
      <c r="L8" t="s">
        <v>12</v>
      </c>
      <c r="M8">
        <v>10</v>
      </c>
      <c r="N8">
        <v>96</v>
      </c>
      <c r="O8">
        <v>3</v>
      </c>
      <c r="P8">
        <v>16</v>
      </c>
      <c r="Q8" t="s">
        <v>123</v>
      </c>
    </row>
    <row r="9" spans="1:17" x14ac:dyDescent="0.2">
      <c r="A9">
        <f t="shared" si="0"/>
        <v>0</v>
      </c>
      <c r="B9">
        <f t="shared" si="1"/>
        <v>0</v>
      </c>
      <c r="D9" t="s">
        <v>69</v>
      </c>
      <c r="E9">
        <v>10</v>
      </c>
      <c r="F9">
        <v>96</v>
      </c>
      <c r="G9">
        <v>1</v>
      </c>
      <c r="H9">
        <v>7</v>
      </c>
      <c r="I9" s="6" t="s">
        <v>123</v>
      </c>
      <c r="K9">
        <v>8</v>
      </c>
      <c r="L9" t="s">
        <v>69</v>
      </c>
      <c r="M9">
        <v>10</v>
      </c>
      <c r="N9">
        <v>96</v>
      </c>
      <c r="O9">
        <v>1</v>
      </c>
      <c r="P9">
        <v>7</v>
      </c>
      <c r="Q9" t="s">
        <v>123</v>
      </c>
    </row>
    <row r="10" spans="1:17" x14ac:dyDescent="0.2">
      <c r="A10">
        <f t="shared" si="0"/>
        <v>0</v>
      </c>
      <c r="B10">
        <f t="shared" si="1"/>
        <v>1</v>
      </c>
      <c r="D10" t="s">
        <v>46</v>
      </c>
      <c r="E10">
        <v>10</v>
      </c>
      <c r="F10">
        <v>95</v>
      </c>
      <c r="G10">
        <v>3</v>
      </c>
      <c r="H10">
        <v>9</v>
      </c>
      <c r="I10" s="6" t="s">
        <v>159</v>
      </c>
      <c r="K10">
        <v>9</v>
      </c>
      <c r="L10" t="s">
        <v>46</v>
      </c>
      <c r="M10">
        <v>10</v>
      </c>
      <c r="N10">
        <v>94</v>
      </c>
      <c r="O10">
        <v>3</v>
      </c>
      <c r="P10">
        <v>9</v>
      </c>
      <c r="Q10" t="s">
        <v>350</v>
      </c>
    </row>
    <row r="11" spans="1:17" x14ac:dyDescent="0.2">
      <c r="A11">
        <f t="shared" si="0"/>
        <v>0</v>
      </c>
      <c r="B11">
        <f t="shared" si="1"/>
        <v>0</v>
      </c>
      <c r="D11" t="s">
        <v>59</v>
      </c>
      <c r="E11">
        <v>10</v>
      </c>
      <c r="F11">
        <v>93</v>
      </c>
      <c r="G11">
        <v>4</v>
      </c>
      <c r="H11">
        <v>13</v>
      </c>
      <c r="I11" s="6" t="s">
        <v>354</v>
      </c>
      <c r="K11">
        <v>10</v>
      </c>
      <c r="L11" t="s">
        <v>59</v>
      </c>
      <c r="M11">
        <v>10</v>
      </c>
      <c r="N11">
        <v>93</v>
      </c>
      <c r="O11">
        <v>4</v>
      </c>
      <c r="P11">
        <v>13</v>
      </c>
      <c r="Q11" t="s">
        <v>354</v>
      </c>
    </row>
    <row r="12" spans="1:17" x14ac:dyDescent="0.2">
      <c r="A12">
        <f t="shared" si="0"/>
        <v>0</v>
      </c>
      <c r="B12">
        <f t="shared" si="1"/>
        <v>0</v>
      </c>
      <c r="D12" t="s">
        <v>54</v>
      </c>
      <c r="E12">
        <v>10</v>
      </c>
      <c r="F12">
        <v>91</v>
      </c>
      <c r="G12">
        <v>3</v>
      </c>
      <c r="H12">
        <v>8</v>
      </c>
      <c r="I12" s="6" t="s">
        <v>355</v>
      </c>
      <c r="K12">
        <v>11</v>
      </c>
      <c r="L12" t="s">
        <v>54</v>
      </c>
      <c r="M12">
        <v>10</v>
      </c>
      <c r="N12">
        <v>91</v>
      </c>
      <c r="O12">
        <v>3</v>
      </c>
      <c r="P12">
        <v>8</v>
      </c>
      <c r="Q12" t="s">
        <v>355</v>
      </c>
    </row>
    <row r="13" spans="1:17" x14ac:dyDescent="0.2">
      <c r="A13">
        <f t="shared" si="0"/>
        <v>0</v>
      </c>
      <c r="B13">
        <f t="shared" si="1"/>
        <v>0</v>
      </c>
      <c r="D13" t="s">
        <v>35</v>
      </c>
      <c r="E13">
        <v>10</v>
      </c>
      <c r="F13">
        <v>90</v>
      </c>
      <c r="G13">
        <v>1</v>
      </c>
      <c r="H13">
        <v>7</v>
      </c>
      <c r="I13" s="6" t="s">
        <v>318</v>
      </c>
      <c r="K13">
        <v>12</v>
      </c>
      <c r="L13" t="s">
        <v>35</v>
      </c>
      <c r="M13">
        <v>10</v>
      </c>
      <c r="N13">
        <v>90</v>
      </c>
      <c r="O13">
        <v>1</v>
      </c>
      <c r="P13">
        <v>7</v>
      </c>
      <c r="Q13">
        <v>9</v>
      </c>
    </row>
    <row r="14" spans="1:17" x14ac:dyDescent="0.2">
      <c r="A14">
        <f t="shared" si="0"/>
        <v>0</v>
      </c>
      <c r="B14">
        <f t="shared" si="1"/>
        <v>0</v>
      </c>
      <c r="D14" t="s">
        <v>50</v>
      </c>
      <c r="E14">
        <v>10</v>
      </c>
      <c r="F14">
        <v>89</v>
      </c>
      <c r="G14">
        <v>2</v>
      </c>
      <c r="H14">
        <v>12</v>
      </c>
      <c r="I14" s="6" t="s">
        <v>356</v>
      </c>
      <c r="K14">
        <v>13</v>
      </c>
      <c r="L14" t="s">
        <v>50</v>
      </c>
      <c r="M14">
        <v>10</v>
      </c>
      <c r="N14">
        <v>89</v>
      </c>
      <c r="O14">
        <v>2</v>
      </c>
      <c r="P14">
        <v>12</v>
      </c>
      <c r="Q14" t="s">
        <v>356</v>
      </c>
    </row>
    <row r="15" spans="1:17" x14ac:dyDescent="0.2">
      <c r="A15">
        <f t="shared" si="0"/>
        <v>0</v>
      </c>
      <c r="B15">
        <f t="shared" si="1"/>
        <v>0</v>
      </c>
      <c r="D15" t="s">
        <v>25</v>
      </c>
      <c r="E15">
        <v>10</v>
      </c>
      <c r="F15">
        <v>89</v>
      </c>
      <c r="G15">
        <v>0</v>
      </c>
      <c r="H15">
        <v>4</v>
      </c>
      <c r="I15" s="6" t="s">
        <v>356</v>
      </c>
      <c r="K15">
        <v>14</v>
      </c>
      <c r="L15" t="s">
        <v>25</v>
      </c>
      <c r="M15">
        <v>10</v>
      </c>
      <c r="N15">
        <v>89</v>
      </c>
      <c r="O15">
        <v>0</v>
      </c>
      <c r="P15">
        <v>4</v>
      </c>
      <c r="Q15" t="s">
        <v>356</v>
      </c>
    </row>
    <row r="16" spans="1:17" x14ac:dyDescent="0.2">
      <c r="A16">
        <f t="shared" si="0"/>
        <v>0</v>
      </c>
      <c r="B16">
        <f t="shared" si="1"/>
        <v>0</v>
      </c>
      <c r="D16" t="s">
        <v>26</v>
      </c>
      <c r="E16">
        <v>10</v>
      </c>
      <c r="F16">
        <v>88</v>
      </c>
      <c r="G16">
        <v>2</v>
      </c>
      <c r="H16">
        <v>7</v>
      </c>
      <c r="I16" s="6" t="s">
        <v>124</v>
      </c>
      <c r="K16">
        <v>15</v>
      </c>
      <c r="L16" t="s">
        <v>26</v>
      </c>
      <c r="M16">
        <v>10</v>
      </c>
      <c r="N16">
        <v>88</v>
      </c>
      <c r="O16">
        <v>2</v>
      </c>
      <c r="P16">
        <v>7</v>
      </c>
      <c r="Q16" t="s">
        <v>124</v>
      </c>
    </row>
    <row r="17" spans="1:17" x14ac:dyDescent="0.2">
      <c r="A17">
        <f t="shared" si="0"/>
        <v>0</v>
      </c>
      <c r="B17">
        <f t="shared" si="1"/>
        <v>0</v>
      </c>
      <c r="D17" t="s">
        <v>75</v>
      </c>
      <c r="E17">
        <v>10</v>
      </c>
      <c r="F17">
        <v>87</v>
      </c>
      <c r="G17">
        <v>0</v>
      </c>
      <c r="H17">
        <v>6</v>
      </c>
      <c r="I17" s="6" t="s">
        <v>126</v>
      </c>
      <c r="K17">
        <v>16</v>
      </c>
      <c r="L17" t="s">
        <v>75</v>
      </c>
      <c r="M17">
        <v>10</v>
      </c>
      <c r="N17">
        <v>87</v>
      </c>
      <c r="O17">
        <v>0</v>
      </c>
      <c r="P17">
        <v>6</v>
      </c>
      <c r="Q17" t="s">
        <v>126</v>
      </c>
    </row>
    <row r="18" spans="1:17" x14ac:dyDescent="0.2">
      <c r="A18">
        <f t="shared" si="0"/>
        <v>0</v>
      </c>
      <c r="B18">
        <f t="shared" si="1"/>
        <v>0</v>
      </c>
      <c r="D18" t="s">
        <v>45</v>
      </c>
      <c r="E18">
        <v>10</v>
      </c>
      <c r="F18">
        <v>84</v>
      </c>
      <c r="G18">
        <v>4</v>
      </c>
      <c r="H18">
        <v>19</v>
      </c>
      <c r="I18" s="6" t="s">
        <v>346</v>
      </c>
      <c r="K18">
        <v>17</v>
      </c>
      <c r="L18" t="s">
        <v>45</v>
      </c>
      <c r="M18">
        <v>10</v>
      </c>
      <c r="N18">
        <v>84</v>
      </c>
      <c r="O18">
        <v>4</v>
      </c>
      <c r="P18">
        <v>19</v>
      </c>
      <c r="Q18" t="s">
        <v>346</v>
      </c>
    </row>
    <row r="19" spans="1:17" x14ac:dyDescent="0.2">
      <c r="A19">
        <f t="shared" si="0"/>
        <v>0</v>
      </c>
      <c r="B19">
        <f t="shared" si="1"/>
        <v>0</v>
      </c>
      <c r="D19" t="s">
        <v>65</v>
      </c>
      <c r="E19">
        <v>10</v>
      </c>
      <c r="F19">
        <v>84</v>
      </c>
      <c r="G19">
        <v>2</v>
      </c>
      <c r="H19">
        <v>11</v>
      </c>
      <c r="I19" s="6" t="s">
        <v>346</v>
      </c>
      <c r="K19">
        <v>18</v>
      </c>
      <c r="L19" t="s">
        <v>65</v>
      </c>
      <c r="M19">
        <v>10</v>
      </c>
      <c r="N19">
        <v>84</v>
      </c>
      <c r="O19">
        <v>2</v>
      </c>
      <c r="P19">
        <v>11</v>
      </c>
      <c r="Q19" t="s">
        <v>346</v>
      </c>
    </row>
    <row r="20" spans="1:17" x14ac:dyDescent="0.2">
      <c r="A20">
        <f t="shared" si="0"/>
        <v>1</v>
      </c>
      <c r="B20">
        <f t="shared" si="1"/>
        <v>1</v>
      </c>
      <c r="D20" t="s">
        <v>14</v>
      </c>
      <c r="E20">
        <v>10</v>
      </c>
      <c r="F20">
        <v>84</v>
      </c>
      <c r="G20">
        <v>2</v>
      </c>
      <c r="H20">
        <v>6</v>
      </c>
      <c r="I20" s="6" t="s">
        <v>346</v>
      </c>
      <c r="K20">
        <v>19</v>
      </c>
      <c r="L20" t="s">
        <v>19</v>
      </c>
      <c r="M20">
        <v>9</v>
      </c>
      <c r="N20">
        <v>83</v>
      </c>
      <c r="O20">
        <v>2</v>
      </c>
      <c r="P20">
        <v>12</v>
      </c>
      <c r="Q20" t="s">
        <v>357</v>
      </c>
    </row>
    <row r="21" spans="1:17" x14ac:dyDescent="0.2">
      <c r="A21">
        <f t="shared" si="0"/>
        <v>1</v>
      </c>
      <c r="B21">
        <f t="shared" si="1"/>
        <v>0</v>
      </c>
      <c r="D21" t="s">
        <v>19</v>
      </c>
      <c r="E21">
        <v>9</v>
      </c>
      <c r="F21">
        <v>83</v>
      </c>
      <c r="G21">
        <v>2</v>
      </c>
      <c r="H21">
        <v>12</v>
      </c>
      <c r="I21" s="6" t="s">
        <v>363</v>
      </c>
      <c r="K21">
        <v>20</v>
      </c>
      <c r="L21" t="s">
        <v>14</v>
      </c>
      <c r="M21">
        <v>10</v>
      </c>
      <c r="N21">
        <v>83</v>
      </c>
      <c r="O21">
        <v>2</v>
      </c>
      <c r="P21">
        <v>6</v>
      </c>
      <c r="Q21" t="s">
        <v>128</v>
      </c>
    </row>
    <row r="22" spans="1:17" x14ac:dyDescent="0.2">
      <c r="A22">
        <f t="shared" si="0"/>
        <v>0</v>
      </c>
      <c r="B22">
        <f t="shared" si="1"/>
        <v>0</v>
      </c>
      <c r="D22" t="s">
        <v>101</v>
      </c>
      <c r="E22">
        <v>10</v>
      </c>
      <c r="F22">
        <v>82</v>
      </c>
      <c r="G22">
        <v>0</v>
      </c>
      <c r="H22">
        <v>7</v>
      </c>
      <c r="I22" s="6" t="s">
        <v>129</v>
      </c>
      <c r="K22">
        <v>21</v>
      </c>
      <c r="L22" t="s">
        <v>101</v>
      </c>
      <c r="M22">
        <v>10</v>
      </c>
      <c r="N22">
        <v>82</v>
      </c>
      <c r="O22">
        <v>0</v>
      </c>
      <c r="P22">
        <v>7</v>
      </c>
      <c r="Q22" t="s">
        <v>129</v>
      </c>
    </row>
    <row r="23" spans="1:17" x14ac:dyDescent="0.2">
      <c r="A23">
        <f t="shared" si="0"/>
        <v>0</v>
      </c>
      <c r="B23">
        <f t="shared" si="1"/>
        <v>0</v>
      </c>
      <c r="D23" t="s">
        <v>40</v>
      </c>
      <c r="E23">
        <v>10</v>
      </c>
      <c r="F23">
        <v>81</v>
      </c>
      <c r="G23">
        <v>2</v>
      </c>
      <c r="H23">
        <v>13</v>
      </c>
      <c r="I23" s="6" t="s">
        <v>130</v>
      </c>
      <c r="K23">
        <v>22</v>
      </c>
      <c r="L23" t="s">
        <v>40</v>
      </c>
      <c r="M23">
        <v>10</v>
      </c>
      <c r="N23">
        <v>81</v>
      </c>
      <c r="O23">
        <v>2</v>
      </c>
      <c r="P23">
        <v>13</v>
      </c>
      <c r="Q23" t="s">
        <v>130</v>
      </c>
    </row>
    <row r="24" spans="1:17" x14ac:dyDescent="0.2">
      <c r="A24">
        <f t="shared" si="0"/>
        <v>1</v>
      </c>
      <c r="B24">
        <f t="shared" si="1"/>
        <v>1</v>
      </c>
      <c r="D24" t="s">
        <v>55</v>
      </c>
      <c r="E24">
        <v>10</v>
      </c>
      <c r="F24">
        <v>81</v>
      </c>
      <c r="G24">
        <v>2</v>
      </c>
      <c r="H24">
        <v>11</v>
      </c>
      <c r="I24" s="6" t="s">
        <v>130</v>
      </c>
      <c r="K24">
        <v>23</v>
      </c>
      <c r="L24" t="s">
        <v>52</v>
      </c>
      <c r="M24">
        <v>10</v>
      </c>
      <c r="N24">
        <v>80</v>
      </c>
      <c r="O24">
        <v>4</v>
      </c>
      <c r="P24">
        <v>12</v>
      </c>
      <c r="Q24">
        <v>8</v>
      </c>
    </row>
    <row r="25" spans="1:17" x14ac:dyDescent="0.2">
      <c r="A25">
        <f t="shared" si="0"/>
        <v>1</v>
      </c>
      <c r="B25">
        <f t="shared" si="1"/>
        <v>0</v>
      </c>
      <c r="D25" t="s">
        <v>52</v>
      </c>
      <c r="E25">
        <v>10</v>
      </c>
      <c r="F25">
        <v>80</v>
      </c>
      <c r="G25">
        <v>4</v>
      </c>
      <c r="H25">
        <v>12</v>
      </c>
      <c r="I25" s="6" t="s">
        <v>311</v>
      </c>
      <c r="K25">
        <v>24</v>
      </c>
      <c r="L25" t="s">
        <v>22</v>
      </c>
      <c r="M25">
        <v>9</v>
      </c>
      <c r="N25">
        <v>80</v>
      </c>
      <c r="O25">
        <v>3</v>
      </c>
      <c r="P25">
        <v>9</v>
      </c>
      <c r="Q25" t="s">
        <v>358</v>
      </c>
    </row>
    <row r="26" spans="1:17" x14ac:dyDescent="0.2">
      <c r="A26">
        <f t="shared" si="0"/>
        <v>1</v>
      </c>
      <c r="B26">
        <f t="shared" si="1"/>
        <v>0</v>
      </c>
      <c r="D26" t="s">
        <v>22</v>
      </c>
      <c r="E26">
        <v>9</v>
      </c>
      <c r="F26">
        <v>80</v>
      </c>
      <c r="G26">
        <v>3</v>
      </c>
      <c r="H26">
        <v>9</v>
      </c>
      <c r="I26" s="6" t="s">
        <v>364</v>
      </c>
      <c r="K26">
        <v>25</v>
      </c>
      <c r="L26" t="s">
        <v>55</v>
      </c>
      <c r="M26">
        <v>10</v>
      </c>
      <c r="N26">
        <v>80</v>
      </c>
      <c r="O26">
        <v>2</v>
      </c>
      <c r="P26">
        <v>11</v>
      </c>
      <c r="Q26">
        <v>8</v>
      </c>
    </row>
    <row r="27" spans="1:17" x14ac:dyDescent="0.2">
      <c r="A27">
        <f t="shared" si="0"/>
        <v>0</v>
      </c>
      <c r="B27">
        <f t="shared" si="1"/>
        <v>0</v>
      </c>
      <c r="D27" t="s">
        <v>76</v>
      </c>
      <c r="E27">
        <v>10</v>
      </c>
      <c r="F27">
        <v>79</v>
      </c>
      <c r="G27">
        <v>2</v>
      </c>
      <c r="H27">
        <v>10</v>
      </c>
      <c r="I27" s="6" t="s">
        <v>340</v>
      </c>
      <c r="K27">
        <v>26</v>
      </c>
      <c r="L27" t="s">
        <v>76</v>
      </c>
      <c r="M27">
        <v>10</v>
      </c>
      <c r="N27">
        <v>79</v>
      </c>
      <c r="O27">
        <v>2</v>
      </c>
      <c r="P27">
        <v>10</v>
      </c>
      <c r="Q27" t="s">
        <v>340</v>
      </c>
    </row>
    <row r="28" spans="1:17" x14ac:dyDescent="0.2">
      <c r="A28">
        <f t="shared" si="0"/>
        <v>0</v>
      </c>
      <c r="B28">
        <f t="shared" si="1"/>
        <v>0</v>
      </c>
      <c r="D28" t="s">
        <v>92</v>
      </c>
      <c r="E28">
        <v>10</v>
      </c>
      <c r="F28">
        <v>78</v>
      </c>
      <c r="G28">
        <v>2</v>
      </c>
      <c r="H28">
        <v>15</v>
      </c>
      <c r="I28" s="6" t="s">
        <v>131</v>
      </c>
      <c r="K28">
        <v>27</v>
      </c>
      <c r="L28" t="s">
        <v>92</v>
      </c>
      <c r="M28">
        <v>10</v>
      </c>
      <c r="N28">
        <v>78</v>
      </c>
      <c r="O28">
        <v>2</v>
      </c>
      <c r="P28">
        <v>15</v>
      </c>
      <c r="Q28" t="s">
        <v>131</v>
      </c>
    </row>
    <row r="29" spans="1:17" x14ac:dyDescent="0.2">
      <c r="A29">
        <f t="shared" si="0"/>
        <v>0</v>
      </c>
      <c r="B29">
        <f t="shared" si="1"/>
        <v>0</v>
      </c>
      <c r="D29" t="s">
        <v>74</v>
      </c>
      <c r="E29">
        <v>10</v>
      </c>
      <c r="F29">
        <v>77</v>
      </c>
      <c r="G29">
        <v>1</v>
      </c>
      <c r="H29">
        <v>8</v>
      </c>
      <c r="I29" s="6" t="s">
        <v>132</v>
      </c>
      <c r="K29">
        <v>28</v>
      </c>
      <c r="L29" t="s">
        <v>74</v>
      </c>
      <c r="M29">
        <v>10</v>
      </c>
      <c r="N29">
        <v>77</v>
      </c>
      <c r="O29">
        <v>1</v>
      </c>
      <c r="P29">
        <v>8</v>
      </c>
      <c r="Q29" t="s">
        <v>132</v>
      </c>
    </row>
    <row r="30" spans="1:17" x14ac:dyDescent="0.2">
      <c r="A30">
        <f t="shared" si="0"/>
        <v>0</v>
      </c>
      <c r="B30">
        <f t="shared" si="1"/>
        <v>0</v>
      </c>
      <c r="D30" t="s">
        <v>60</v>
      </c>
      <c r="E30">
        <v>10</v>
      </c>
      <c r="F30">
        <v>76</v>
      </c>
      <c r="G30">
        <v>1</v>
      </c>
      <c r="H30">
        <v>9</v>
      </c>
      <c r="I30" s="6" t="s">
        <v>154</v>
      </c>
      <c r="K30">
        <v>29</v>
      </c>
      <c r="L30" t="s">
        <v>60</v>
      </c>
      <c r="M30">
        <v>10</v>
      </c>
      <c r="N30">
        <v>76</v>
      </c>
      <c r="O30">
        <v>1</v>
      </c>
      <c r="P30">
        <v>9</v>
      </c>
      <c r="Q30" t="s">
        <v>154</v>
      </c>
    </row>
    <row r="31" spans="1:17" x14ac:dyDescent="0.2">
      <c r="A31">
        <f t="shared" si="0"/>
        <v>0</v>
      </c>
      <c r="B31">
        <f t="shared" si="1"/>
        <v>0</v>
      </c>
      <c r="D31" t="s">
        <v>61</v>
      </c>
      <c r="E31">
        <v>9</v>
      </c>
      <c r="F31">
        <v>75</v>
      </c>
      <c r="G31">
        <v>1</v>
      </c>
      <c r="H31">
        <v>6</v>
      </c>
      <c r="I31" s="6" t="s">
        <v>365</v>
      </c>
      <c r="K31">
        <v>30</v>
      </c>
      <c r="L31" t="s">
        <v>61</v>
      </c>
      <c r="M31">
        <v>9</v>
      </c>
      <c r="N31">
        <v>75</v>
      </c>
      <c r="O31">
        <v>1</v>
      </c>
      <c r="P31">
        <v>6</v>
      </c>
      <c r="Q31" t="s">
        <v>359</v>
      </c>
    </row>
    <row r="32" spans="1:17" x14ac:dyDescent="0.2">
      <c r="A32">
        <f t="shared" si="0"/>
        <v>0</v>
      </c>
      <c r="B32">
        <f t="shared" si="1"/>
        <v>0</v>
      </c>
      <c r="D32" t="s">
        <v>102</v>
      </c>
      <c r="E32">
        <v>10</v>
      </c>
      <c r="F32">
        <v>74</v>
      </c>
      <c r="G32">
        <v>1</v>
      </c>
      <c r="H32">
        <v>8</v>
      </c>
      <c r="I32" s="6" t="s">
        <v>134</v>
      </c>
      <c r="K32">
        <v>31</v>
      </c>
      <c r="L32" t="s">
        <v>102</v>
      </c>
      <c r="M32">
        <v>10</v>
      </c>
      <c r="N32">
        <v>74</v>
      </c>
      <c r="O32">
        <v>1</v>
      </c>
      <c r="P32">
        <v>8</v>
      </c>
      <c r="Q32" t="s">
        <v>134</v>
      </c>
    </row>
    <row r="33" spans="1:17" x14ac:dyDescent="0.2">
      <c r="A33">
        <f t="shared" si="0"/>
        <v>0</v>
      </c>
      <c r="B33">
        <f t="shared" si="1"/>
        <v>0</v>
      </c>
      <c r="D33" t="s">
        <v>43</v>
      </c>
      <c r="E33">
        <v>7</v>
      </c>
      <c r="F33">
        <v>72</v>
      </c>
      <c r="G33">
        <v>1</v>
      </c>
      <c r="H33">
        <v>12</v>
      </c>
      <c r="I33" s="6" t="s">
        <v>366</v>
      </c>
      <c r="K33">
        <v>32</v>
      </c>
      <c r="L33" t="s">
        <v>43</v>
      </c>
      <c r="M33">
        <v>7</v>
      </c>
      <c r="N33">
        <v>72</v>
      </c>
      <c r="O33">
        <v>1</v>
      </c>
      <c r="P33">
        <v>12</v>
      </c>
      <c r="Q33" t="s">
        <v>360</v>
      </c>
    </row>
    <row r="34" spans="1:17" x14ac:dyDescent="0.2">
      <c r="A34">
        <f t="shared" ref="A34:A63" si="2">IF(D34=L34,0,1)</f>
        <v>0</v>
      </c>
      <c r="B34">
        <f t="shared" si="1"/>
        <v>0</v>
      </c>
      <c r="D34" t="s">
        <v>6</v>
      </c>
      <c r="E34">
        <v>10</v>
      </c>
      <c r="F34">
        <v>70</v>
      </c>
      <c r="G34">
        <v>1</v>
      </c>
      <c r="H34">
        <v>3</v>
      </c>
      <c r="I34" s="6" t="s">
        <v>313</v>
      </c>
      <c r="K34">
        <v>33</v>
      </c>
      <c r="L34" t="s">
        <v>6</v>
      </c>
      <c r="M34">
        <v>10</v>
      </c>
      <c r="N34">
        <v>70</v>
      </c>
      <c r="O34">
        <v>1</v>
      </c>
      <c r="P34">
        <v>3</v>
      </c>
      <c r="Q34">
        <v>7</v>
      </c>
    </row>
    <row r="35" spans="1:17" x14ac:dyDescent="0.2">
      <c r="A35">
        <f t="shared" si="2"/>
        <v>0</v>
      </c>
      <c r="B35">
        <f t="shared" si="1"/>
        <v>0</v>
      </c>
      <c r="D35" t="s">
        <v>103</v>
      </c>
      <c r="E35">
        <v>8</v>
      </c>
      <c r="F35">
        <v>69</v>
      </c>
      <c r="G35">
        <v>3</v>
      </c>
      <c r="H35">
        <v>7</v>
      </c>
      <c r="I35" s="6" t="s">
        <v>310</v>
      </c>
      <c r="K35">
        <v>34</v>
      </c>
      <c r="L35" t="s">
        <v>103</v>
      </c>
      <c r="M35">
        <v>8</v>
      </c>
      <c r="N35">
        <v>69</v>
      </c>
      <c r="O35">
        <v>3</v>
      </c>
      <c r="P35">
        <v>7</v>
      </c>
      <c r="Q35" t="s">
        <v>343</v>
      </c>
    </row>
    <row r="36" spans="1:17" x14ac:dyDescent="0.2">
      <c r="A36">
        <f t="shared" si="2"/>
        <v>0</v>
      </c>
      <c r="B36">
        <f t="shared" si="1"/>
        <v>0</v>
      </c>
      <c r="D36" t="s">
        <v>87</v>
      </c>
      <c r="E36">
        <v>10</v>
      </c>
      <c r="F36">
        <v>65</v>
      </c>
      <c r="G36">
        <v>3</v>
      </c>
      <c r="H36">
        <v>8</v>
      </c>
      <c r="I36" s="6" t="s">
        <v>149</v>
      </c>
      <c r="K36">
        <v>35</v>
      </c>
      <c r="L36" t="s">
        <v>87</v>
      </c>
      <c r="M36">
        <v>10</v>
      </c>
      <c r="N36">
        <v>65</v>
      </c>
      <c r="O36">
        <v>3</v>
      </c>
      <c r="P36">
        <v>8</v>
      </c>
      <c r="Q36" t="s">
        <v>149</v>
      </c>
    </row>
    <row r="37" spans="1:17" x14ac:dyDescent="0.2">
      <c r="A37">
        <f t="shared" si="2"/>
        <v>0</v>
      </c>
      <c r="B37">
        <f t="shared" si="1"/>
        <v>0</v>
      </c>
      <c r="D37" t="s">
        <v>31</v>
      </c>
      <c r="E37">
        <v>10</v>
      </c>
      <c r="F37">
        <v>65</v>
      </c>
      <c r="G37">
        <v>0</v>
      </c>
      <c r="H37">
        <v>2</v>
      </c>
      <c r="I37" s="6" t="s">
        <v>149</v>
      </c>
      <c r="K37">
        <v>36</v>
      </c>
      <c r="L37" t="s">
        <v>31</v>
      </c>
      <c r="M37">
        <v>10</v>
      </c>
      <c r="N37">
        <v>65</v>
      </c>
      <c r="O37">
        <v>0</v>
      </c>
      <c r="P37">
        <v>2</v>
      </c>
      <c r="Q37" t="s">
        <v>149</v>
      </c>
    </row>
    <row r="38" spans="1:17" x14ac:dyDescent="0.2">
      <c r="A38">
        <f t="shared" si="2"/>
        <v>0</v>
      </c>
      <c r="B38">
        <f t="shared" si="1"/>
        <v>0</v>
      </c>
      <c r="D38" t="s">
        <v>39</v>
      </c>
      <c r="E38">
        <v>10</v>
      </c>
      <c r="F38">
        <v>63</v>
      </c>
      <c r="G38">
        <v>1</v>
      </c>
      <c r="H38">
        <v>10</v>
      </c>
      <c r="I38" s="6" t="s">
        <v>143</v>
      </c>
      <c r="K38">
        <v>37</v>
      </c>
      <c r="L38" t="s">
        <v>39</v>
      </c>
      <c r="M38">
        <v>10</v>
      </c>
      <c r="N38">
        <v>63</v>
      </c>
      <c r="O38">
        <v>1</v>
      </c>
      <c r="P38">
        <v>10</v>
      </c>
      <c r="Q38" t="s">
        <v>143</v>
      </c>
    </row>
    <row r="39" spans="1:17" x14ac:dyDescent="0.2">
      <c r="A39">
        <f t="shared" si="2"/>
        <v>0</v>
      </c>
      <c r="B39">
        <f t="shared" si="1"/>
        <v>0</v>
      </c>
      <c r="D39" t="s">
        <v>33</v>
      </c>
      <c r="E39">
        <v>10</v>
      </c>
      <c r="F39">
        <v>63</v>
      </c>
      <c r="G39">
        <v>1</v>
      </c>
      <c r="H39">
        <v>4</v>
      </c>
      <c r="I39" s="6" t="s">
        <v>143</v>
      </c>
      <c r="K39">
        <v>38</v>
      </c>
      <c r="L39" t="s">
        <v>33</v>
      </c>
      <c r="M39">
        <v>10</v>
      </c>
      <c r="N39">
        <v>63</v>
      </c>
      <c r="O39">
        <v>1</v>
      </c>
      <c r="P39">
        <v>4</v>
      </c>
      <c r="Q39" t="s">
        <v>143</v>
      </c>
    </row>
    <row r="40" spans="1:17" x14ac:dyDescent="0.2">
      <c r="A40">
        <f t="shared" si="2"/>
        <v>0</v>
      </c>
      <c r="B40">
        <f t="shared" si="1"/>
        <v>0</v>
      </c>
      <c r="D40" t="s">
        <v>47</v>
      </c>
      <c r="E40">
        <v>10</v>
      </c>
      <c r="F40">
        <v>60</v>
      </c>
      <c r="G40">
        <v>1</v>
      </c>
      <c r="H40">
        <v>8</v>
      </c>
      <c r="I40" s="6" t="s">
        <v>323</v>
      </c>
      <c r="K40">
        <v>39</v>
      </c>
      <c r="L40" t="s">
        <v>47</v>
      </c>
      <c r="M40">
        <v>10</v>
      </c>
      <c r="N40">
        <v>60</v>
      </c>
      <c r="O40">
        <v>1</v>
      </c>
      <c r="P40">
        <v>8</v>
      </c>
      <c r="Q40">
        <v>6</v>
      </c>
    </row>
    <row r="41" spans="1:17" x14ac:dyDescent="0.2">
      <c r="A41">
        <f t="shared" si="2"/>
        <v>0</v>
      </c>
      <c r="B41">
        <f t="shared" si="1"/>
        <v>0</v>
      </c>
      <c r="D41" t="s">
        <v>305</v>
      </c>
      <c r="E41">
        <v>6</v>
      </c>
      <c r="F41">
        <v>58</v>
      </c>
      <c r="G41">
        <v>3</v>
      </c>
      <c r="H41">
        <v>9</v>
      </c>
      <c r="I41" s="6" t="s">
        <v>367</v>
      </c>
      <c r="K41">
        <v>40</v>
      </c>
      <c r="L41" t="s">
        <v>305</v>
      </c>
      <c r="M41">
        <v>6</v>
      </c>
      <c r="N41">
        <v>58</v>
      </c>
      <c r="O41">
        <v>3</v>
      </c>
      <c r="P41">
        <v>9</v>
      </c>
      <c r="Q41" t="s">
        <v>361</v>
      </c>
    </row>
    <row r="42" spans="1:17" x14ac:dyDescent="0.2">
      <c r="A42">
        <f t="shared" si="2"/>
        <v>0</v>
      </c>
      <c r="B42">
        <f t="shared" si="1"/>
        <v>0</v>
      </c>
      <c r="D42" t="s">
        <v>29</v>
      </c>
      <c r="E42">
        <v>9</v>
      </c>
      <c r="F42">
        <v>52</v>
      </c>
      <c r="G42">
        <v>1</v>
      </c>
      <c r="H42">
        <v>6</v>
      </c>
      <c r="I42" s="6" t="s">
        <v>335</v>
      </c>
      <c r="K42">
        <v>41</v>
      </c>
      <c r="L42" t="s">
        <v>29</v>
      </c>
      <c r="M42">
        <v>9</v>
      </c>
      <c r="N42">
        <v>52</v>
      </c>
      <c r="O42">
        <v>1</v>
      </c>
      <c r="P42">
        <v>6</v>
      </c>
      <c r="Q42" t="s">
        <v>150</v>
      </c>
    </row>
    <row r="43" spans="1:17" x14ac:dyDescent="0.2">
      <c r="A43">
        <f t="shared" si="2"/>
        <v>0</v>
      </c>
      <c r="B43">
        <f t="shared" si="1"/>
        <v>0</v>
      </c>
      <c r="D43" t="s">
        <v>32</v>
      </c>
      <c r="E43">
        <v>10</v>
      </c>
      <c r="F43">
        <v>50</v>
      </c>
      <c r="G43">
        <v>0</v>
      </c>
      <c r="H43">
        <v>2</v>
      </c>
      <c r="I43" s="6" t="s">
        <v>322</v>
      </c>
      <c r="K43">
        <v>42</v>
      </c>
      <c r="L43" t="s">
        <v>32</v>
      </c>
      <c r="M43">
        <v>10</v>
      </c>
      <c r="N43">
        <v>50</v>
      </c>
      <c r="O43">
        <v>0</v>
      </c>
      <c r="P43">
        <v>2</v>
      </c>
      <c r="Q43">
        <v>5</v>
      </c>
    </row>
    <row r="44" spans="1:17" x14ac:dyDescent="0.2">
      <c r="A44">
        <f t="shared" si="2"/>
        <v>0</v>
      </c>
      <c r="B44">
        <f t="shared" si="1"/>
        <v>0</v>
      </c>
      <c r="D44" t="s">
        <v>23</v>
      </c>
      <c r="E44">
        <v>9</v>
      </c>
      <c r="F44">
        <v>48</v>
      </c>
      <c r="G44">
        <v>2</v>
      </c>
      <c r="H44">
        <v>6</v>
      </c>
      <c r="I44" s="6" t="s">
        <v>324</v>
      </c>
      <c r="K44">
        <v>43</v>
      </c>
      <c r="L44" t="s">
        <v>23</v>
      </c>
      <c r="M44">
        <v>9</v>
      </c>
      <c r="N44">
        <v>48</v>
      </c>
      <c r="O44">
        <v>2</v>
      </c>
      <c r="P44">
        <v>6</v>
      </c>
      <c r="Q44" t="s">
        <v>160</v>
      </c>
    </row>
    <row r="45" spans="1:17" x14ac:dyDescent="0.2">
      <c r="A45">
        <f t="shared" si="2"/>
        <v>0</v>
      </c>
      <c r="B45">
        <f t="shared" si="1"/>
        <v>0</v>
      </c>
      <c r="D45" t="s">
        <v>21</v>
      </c>
      <c r="E45">
        <v>10</v>
      </c>
      <c r="F45">
        <v>46</v>
      </c>
      <c r="G45">
        <v>0</v>
      </c>
      <c r="H45">
        <v>4</v>
      </c>
      <c r="I45" s="6" t="s">
        <v>151</v>
      </c>
      <c r="K45">
        <v>44</v>
      </c>
      <c r="L45" t="s">
        <v>21</v>
      </c>
      <c r="M45">
        <v>10</v>
      </c>
      <c r="N45">
        <v>46</v>
      </c>
      <c r="O45">
        <v>0</v>
      </c>
      <c r="P45">
        <v>4</v>
      </c>
      <c r="Q45" t="s">
        <v>151</v>
      </c>
    </row>
    <row r="46" spans="1:17" x14ac:dyDescent="0.2">
      <c r="A46">
        <f t="shared" si="2"/>
        <v>0</v>
      </c>
      <c r="B46">
        <f t="shared" si="1"/>
        <v>0</v>
      </c>
      <c r="D46" t="s">
        <v>28</v>
      </c>
      <c r="E46">
        <v>10</v>
      </c>
      <c r="F46">
        <v>44</v>
      </c>
      <c r="G46">
        <v>0</v>
      </c>
      <c r="H46">
        <v>6</v>
      </c>
      <c r="I46" s="6" t="s">
        <v>347</v>
      </c>
      <c r="K46">
        <v>45</v>
      </c>
      <c r="L46" t="s">
        <v>28</v>
      </c>
      <c r="M46">
        <v>10</v>
      </c>
      <c r="N46">
        <v>44</v>
      </c>
      <c r="O46">
        <v>0</v>
      </c>
      <c r="P46">
        <v>6</v>
      </c>
      <c r="Q46" t="s">
        <v>347</v>
      </c>
    </row>
    <row r="47" spans="1:17" x14ac:dyDescent="0.2">
      <c r="A47">
        <f t="shared" si="2"/>
        <v>0</v>
      </c>
      <c r="B47">
        <f t="shared" si="1"/>
        <v>0</v>
      </c>
      <c r="D47" t="s">
        <v>66</v>
      </c>
      <c r="E47">
        <v>8</v>
      </c>
      <c r="F47">
        <v>42</v>
      </c>
      <c r="G47">
        <v>0</v>
      </c>
      <c r="H47">
        <v>5</v>
      </c>
      <c r="I47" s="6" t="s">
        <v>362</v>
      </c>
      <c r="K47">
        <v>46</v>
      </c>
      <c r="L47" t="s">
        <v>66</v>
      </c>
      <c r="M47">
        <v>8</v>
      </c>
      <c r="N47">
        <v>42</v>
      </c>
      <c r="O47">
        <v>0</v>
      </c>
      <c r="P47">
        <v>5</v>
      </c>
      <c r="Q47" t="s">
        <v>362</v>
      </c>
    </row>
    <row r="48" spans="1:17" x14ac:dyDescent="0.2">
      <c r="A48">
        <f t="shared" si="2"/>
        <v>0</v>
      </c>
      <c r="B48">
        <f t="shared" si="1"/>
        <v>0</v>
      </c>
      <c r="D48" t="s">
        <v>15</v>
      </c>
      <c r="E48">
        <v>10</v>
      </c>
      <c r="F48">
        <v>40</v>
      </c>
      <c r="G48">
        <v>1</v>
      </c>
      <c r="H48">
        <v>5</v>
      </c>
      <c r="I48" s="6" t="s">
        <v>316</v>
      </c>
      <c r="K48">
        <v>47</v>
      </c>
      <c r="L48" t="s">
        <v>15</v>
      </c>
      <c r="M48">
        <v>10</v>
      </c>
      <c r="N48">
        <v>40</v>
      </c>
      <c r="O48">
        <v>1</v>
      </c>
      <c r="P48">
        <v>5</v>
      </c>
      <c r="Q48">
        <v>4</v>
      </c>
    </row>
    <row r="49" spans="1:17" x14ac:dyDescent="0.2">
      <c r="A49">
        <f t="shared" si="2"/>
        <v>0</v>
      </c>
      <c r="B49">
        <f t="shared" si="1"/>
        <v>0</v>
      </c>
      <c r="D49" t="s">
        <v>98</v>
      </c>
      <c r="E49">
        <v>5</v>
      </c>
      <c r="F49">
        <v>39</v>
      </c>
      <c r="G49">
        <v>1</v>
      </c>
      <c r="H49">
        <v>4</v>
      </c>
      <c r="I49" s="6" t="s">
        <v>131</v>
      </c>
      <c r="K49">
        <v>48</v>
      </c>
      <c r="L49" t="s">
        <v>98</v>
      </c>
      <c r="M49">
        <v>5</v>
      </c>
      <c r="N49">
        <v>39</v>
      </c>
      <c r="O49">
        <v>1</v>
      </c>
      <c r="P49">
        <v>4</v>
      </c>
      <c r="Q49" t="s">
        <v>131</v>
      </c>
    </row>
    <row r="50" spans="1:17" x14ac:dyDescent="0.2">
      <c r="A50">
        <f t="shared" si="2"/>
        <v>0</v>
      </c>
      <c r="B50">
        <f t="shared" si="1"/>
        <v>0</v>
      </c>
      <c r="D50" t="s">
        <v>42</v>
      </c>
      <c r="E50">
        <v>10</v>
      </c>
      <c r="F50">
        <v>33</v>
      </c>
      <c r="G50">
        <v>0</v>
      </c>
      <c r="H50">
        <v>3</v>
      </c>
      <c r="I50" s="6" t="s">
        <v>348</v>
      </c>
      <c r="K50">
        <v>49</v>
      </c>
      <c r="L50" t="s">
        <v>42</v>
      </c>
      <c r="M50">
        <v>10</v>
      </c>
      <c r="N50">
        <v>33</v>
      </c>
      <c r="O50">
        <v>0</v>
      </c>
      <c r="P50">
        <v>3</v>
      </c>
      <c r="Q50" t="s">
        <v>348</v>
      </c>
    </row>
    <row r="51" spans="1:17" x14ac:dyDescent="0.2">
      <c r="A51">
        <f t="shared" si="2"/>
        <v>0</v>
      </c>
      <c r="B51">
        <f t="shared" si="1"/>
        <v>0</v>
      </c>
      <c r="D51" t="s">
        <v>53</v>
      </c>
      <c r="E51">
        <v>4</v>
      </c>
      <c r="F51">
        <v>32</v>
      </c>
      <c r="G51">
        <v>1</v>
      </c>
      <c r="H51">
        <v>5</v>
      </c>
      <c r="I51" s="6" t="s">
        <v>311</v>
      </c>
      <c r="K51">
        <v>50</v>
      </c>
      <c r="L51" t="s">
        <v>53</v>
      </c>
      <c r="M51">
        <v>4</v>
      </c>
      <c r="N51">
        <v>32</v>
      </c>
      <c r="O51">
        <v>1</v>
      </c>
      <c r="P51">
        <v>5</v>
      </c>
      <c r="Q51">
        <v>8</v>
      </c>
    </row>
    <row r="52" spans="1:17" x14ac:dyDescent="0.2">
      <c r="A52">
        <f t="shared" si="2"/>
        <v>0</v>
      </c>
      <c r="B52">
        <f t="shared" si="1"/>
        <v>0</v>
      </c>
      <c r="D52" t="s">
        <v>38</v>
      </c>
      <c r="E52">
        <v>5</v>
      </c>
      <c r="F52">
        <v>31</v>
      </c>
      <c r="G52">
        <v>0</v>
      </c>
      <c r="H52">
        <v>3</v>
      </c>
      <c r="I52" s="6" t="s">
        <v>342</v>
      </c>
      <c r="K52">
        <v>51</v>
      </c>
      <c r="L52" t="s">
        <v>38</v>
      </c>
      <c r="M52">
        <v>5</v>
      </c>
      <c r="N52">
        <v>31</v>
      </c>
      <c r="O52">
        <v>0</v>
      </c>
      <c r="P52">
        <v>3</v>
      </c>
      <c r="Q52" t="s">
        <v>342</v>
      </c>
    </row>
    <row r="53" spans="1:17" x14ac:dyDescent="0.2">
      <c r="A53">
        <f t="shared" si="2"/>
        <v>0</v>
      </c>
      <c r="B53">
        <f t="shared" si="1"/>
        <v>0</v>
      </c>
      <c r="D53" t="s">
        <v>27</v>
      </c>
      <c r="E53">
        <v>5</v>
      </c>
      <c r="F53">
        <v>27</v>
      </c>
      <c r="G53">
        <v>0</v>
      </c>
      <c r="H53">
        <v>1</v>
      </c>
      <c r="I53" s="6" t="s">
        <v>157</v>
      </c>
      <c r="K53">
        <v>52</v>
      </c>
      <c r="L53" t="s">
        <v>27</v>
      </c>
      <c r="M53">
        <v>5</v>
      </c>
      <c r="N53">
        <v>27</v>
      </c>
      <c r="O53">
        <v>0</v>
      </c>
      <c r="P53">
        <v>1</v>
      </c>
      <c r="Q53" t="s">
        <v>157</v>
      </c>
    </row>
    <row r="54" spans="1:17" x14ac:dyDescent="0.2">
      <c r="A54">
        <f t="shared" si="2"/>
        <v>0</v>
      </c>
      <c r="B54">
        <f t="shared" si="1"/>
        <v>0</v>
      </c>
      <c r="D54" t="s">
        <v>94</v>
      </c>
      <c r="E54">
        <v>2</v>
      </c>
      <c r="F54">
        <v>25</v>
      </c>
      <c r="G54">
        <v>1</v>
      </c>
      <c r="H54">
        <v>5</v>
      </c>
      <c r="I54" s="6" t="s">
        <v>307</v>
      </c>
      <c r="K54">
        <v>53</v>
      </c>
      <c r="L54" t="s">
        <v>94</v>
      </c>
      <c r="M54">
        <v>2</v>
      </c>
      <c r="N54">
        <v>25</v>
      </c>
      <c r="O54">
        <v>1</v>
      </c>
      <c r="P54">
        <v>5</v>
      </c>
      <c r="Q54" t="s">
        <v>307</v>
      </c>
    </row>
    <row r="55" spans="1:17" x14ac:dyDescent="0.2">
      <c r="A55">
        <f t="shared" si="2"/>
        <v>0</v>
      </c>
      <c r="B55">
        <f t="shared" si="1"/>
        <v>0</v>
      </c>
      <c r="D55" t="s">
        <v>16</v>
      </c>
      <c r="E55">
        <v>2</v>
      </c>
      <c r="F55">
        <v>25</v>
      </c>
      <c r="G55">
        <v>0</v>
      </c>
      <c r="H55">
        <v>4</v>
      </c>
      <c r="I55" s="6" t="s">
        <v>307</v>
      </c>
      <c r="K55">
        <v>54</v>
      </c>
      <c r="L55" t="s">
        <v>16</v>
      </c>
      <c r="M55">
        <v>2</v>
      </c>
      <c r="N55">
        <v>25</v>
      </c>
      <c r="O55">
        <v>0</v>
      </c>
      <c r="P55">
        <v>4</v>
      </c>
      <c r="Q55" t="s">
        <v>307</v>
      </c>
    </row>
    <row r="56" spans="1:17" x14ac:dyDescent="0.2">
      <c r="A56">
        <f t="shared" si="2"/>
        <v>0</v>
      </c>
      <c r="B56">
        <f t="shared" si="1"/>
        <v>0</v>
      </c>
      <c r="D56" t="s">
        <v>20</v>
      </c>
      <c r="E56">
        <v>2</v>
      </c>
      <c r="F56">
        <v>19</v>
      </c>
      <c r="G56">
        <v>0</v>
      </c>
      <c r="H56">
        <v>3</v>
      </c>
      <c r="I56" s="6" t="s">
        <v>159</v>
      </c>
      <c r="K56">
        <v>55</v>
      </c>
      <c r="L56" t="s">
        <v>20</v>
      </c>
      <c r="M56">
        <v>2</v>
      </c>
      <c r="N56">
        <v>19</v>
      </c>
      <c r="O56">
        <v>0</v>
      </c>
      <c r="P56">
        <v>3</v>
      </c>
      <c r="Q56" t="s">
        <v>159</v>
      </c>
    </row>
    <row r="57" spans="1:17" x14ac:dyDescent="0.2">
      <c r="A57">
        <f t="shared" si="2"/>
        <v>0</v>
      </c>
      <c r="B57">
        <f t="shared" si="1"/>
        <v>0</v>
      </c>
      <c r="D57" t="s">
        <v>88</v>
      </c>
      <c r="E57">
        <v>5</v>
      </c>
      <c r="F57">
        <v>19</v>
      </c>
      <c r="G57">
        <v>0</v>
      </c>
      <c r="H57">
        <v>2</v>
      </c>
      <c r="I57" s="6" t="s">
        <v>320</v>
      </c>
      <c r="K57">
        <v>56</v>
      </c>
      <c r="L57" t="s">
        <v>88</v>
      </c>
      <c r="M57">
        <v>5</v>
      </c>
      <c r="N57">
        <v>19</v>
      </c>
      <c r="O57">
        <v>0</v>
      </c>
      <c r="P57">
        <v>2</v>
      </c>
      <c r="Q57" t="s">
        <v>320</v>
      </c>
    </row>
    <row r="58" spans="1:17" x14ac:dyDescent="0.2">
      <c r="A58">
        <f t="shared" si="2"/>
        <v>1</v>
      </c>
      <c r="B58">
        <f t="shared" si="1"/>
        <v>0</v>
      </c>
      <c r="D58" t="s">
        <v>344</v>
      </c>
      <c r="E58">
        <v>1</v>
      </c>
      <c r="F58">
        <v>16</v>
      </c>
      <c r="G58">
        <v>1</v>
      </c>
      <c r="H58">
        <v>3</v>
      </c>
      <c r="I58" s="6" t="s">
        <v>315</v>
      </c>
      <c r="K58">
        <v>57</v>
      </c>
      <c r="L58" t="s">
        <v>34</v>
      </c>
      <c r="M58">
        <v>1</v>
      </c>
      <c r="N58">
        <v>16</v>
      </c>
      <c r="O58">
        <v>1</v>
      </c>
      <c r="P58">
        <v>3</v>
      </c>
      <c r="Q58">
        <v>16</v>
      </c>
    </row>
    <row r="59" spans="1:17" x14ac:dyDescent="0.2">
      <c r="A59">
        <f t="shared" si="2"/>
        <v>1</v>
      </c>
      <c r="B59">
        <f t="shared" si="1"/>
        <v>0</v>
      </c>
      <c r="D59" t="s">
        <v>34</v>
      </c>
      <c r="E59">
        <v>1</v>
      </c>
      <c r="F59">
        <v>16</v>
      </c>
      <c r="G59">
        <v>1</v>
      </c>
      <c r="H59">
        <v>3</v>
      </c>
      <c r="I59" s="6" t="s">
        <v>315</v>
      </c>
      <c r="K59">
        <v>58</v>
      </c>
      <c r="L59" t="s">
        <v>344</v>
      </c>
      <c r="M59">
        <v>1</v>
      </c>
      <c r="N59">
        <v>16</v>
      </c>
      <c r="O59">
        <v>1</v>
      </c>
      <c r="P59">
        <v>3</v>
      </c>
      <c r="Q59">
        <v>16</v>
      </c>
    </row>
    <row r="60" spans="1:17" x14ac:dyDescent="0.2">
      <c r="A60">
        <f t="shared" si="2"/>
        <v>0</v>
      </c>
      <c r="B60">
        <f t="shared" si="1"/>
        <v>0</v>
      </c>
      <c r="D60" t="s">
        <v>67</v>
      </c>
      <c r="E60">
        <v>2</v>
      </c>
      <c r="F60">
        <v>12</v>
      </c>
      <c r="G60">
        <v>0</v>
      </c>
      <c r="H60">
        <v>1</v>
      </c>
      <c r="I60" s="6" t="s">
        <v>323</v>
      </c>
      <c r="K60">
        <v>59</v>
      </c>
      <c r="L60" t="s">
        <v>67</v>
      </c>
      <c r="M60">
        <v>2</v>
      </c>
      <c r="N60">
        <v>12</v>
      </c>
      <c r="O60">
        <v>0</v>
      </c>
      <c r="P60">
        <v>1</v>
      </c>
      <c r="Q60">
        <v>6</v>
      </c>
    </row>
    <row r="61" spans="1:17" x14ac:dyDescent="0.2">
      <c r="A61">
        <f t="shared" si="2"/>
        <v>0</v>
      </c>
      <c r="B61">
        <f t="shared" si="1"/>
        <v>0</v>
      </c>
      <c r="D61" t="s">
        <v>77</v>
      </c>
      <c r="E61">
        <v>2</v>
      </c>
      <c r="F61">
        <v>11</v>
      </c>
      <c r="G61">
        <v>0</v>
      </c>
      <c r="H61">
        <v>2</v>
      </c>
      <c r="I61" s="6" t="s">
        <v>308</v>
      </c>
      <c r="K61">
        <v>60</v>
      </c>
      <c r="L61" t="s">
        <v>77</v>
      </c>
      <c r="M61">
        <v>2</v>
      </c>
      <c r="N61">
        <v>11</v>
      </c>
      <c r="O61">
        <v>0</v>
      </c>
      <c r="P61">
        <v>2</v>
      </c>
      <c r="Q61" t="s">
        <v>308</v>
      </c>
    </row>
    <row r="62" spans="1:17" x14ac:dyDescent="0.2">
      <c r="A62">
        <f t="shared" si="2"/>
        <v>0</v>
      </c>
      <c r="B62">
        <f t="shared" si="1"/>
        <v>0</v>
      </c>
      <c r="D62" t="s">
        <v>345</v>
      </c>
      <c r="E62">
        <v>2</v>
      </c>
      <c r="F62">
        <v>10</v>
      </c>
      <c r="G62">
        <v>0</v>
      </c>
      <c r="H62">
        <v>0</v>
      </c>
      <c r="I62" s="6" t="s">
        <v>322</v>
      </c>
      <c r="K62">
        <v>61</v>
      </c>
      <c r="L62" t="s">
        <v>345</v>
      </c>
      <c r="M62">
        <v>2</v>
      </c>
      <c r="N62">
        <v>10</v>
      </c>
      <c r="O62">
        <v>0</v>
      </c>
      <c r="P62">
        <v>0</v>
      </c>
      <c r="Q62">
        <v>5</v>
      </c>
    </row>
    <row r="63" spans="1:17" x14ac:dyDescent="0.2">
      <c r="A63">
        <f t="shared" si="2"/>
        <v>0</v>
      </c>
      <c r="B63">
        <f t="shared" si="1"/>
        <v>0</v>
      </c>
      <c r="D63" t="s">
        <v>81</v>
      </c>
      <c r="E63">
        <v>3</v>
      </c>
      <c r="F63">
        <v>5</v>
      </c>
      <c r="G63">
        <v>0</v>
      </c>
      <c r="H63">
        <v>0</v>
      </c>
      <c r="I63" s="6" t="s">
        <v>349</v>
      </c>
      <c r="K63">
        <v>62</v>
      </c>
      <c r="L63" t="s">
        <v>81</v>
      </c>
      <c r="M63">
        <v>3</v>
      </c>
      <c r="N63">
        <v>5</v>
      </c>
      <c r="O63">
        <v>0</v>
      </c>
      <c r="P63">
        <v>0</v>
      </c>
      <c r="Q63" t="s">
        <v>351</v>
      </c>
    </row>
    <row r="64" spans="1:17" x14ac:dyDescent="0.2">
      <c r="B64">
        <f t="shared" si="1"/>
        <v>0</v>
      </c>
      <c r="D64" t="s">
        <v>97</v>
      </c>
      <c r="E64">
        <v>1</v>
      </c>
      <c r="F64">
        <v>4</v>
      </c>
      <c r="G64">
        <v>0</v>
      </c>
      <c r="H64">
        <v>0</v>
      </c>
      <c r="I64" s="6" t="s">
        <v>316</v>
      </c>
      <c r="K64">
        <v>63</v>
      </c>
      <c r="L64" t="s">
        <v>97</v>
      </c>
      <c r="M64">
        <v>1</v>
      </c>
      <c r="N64">
        <v>4</v>
      </c>
      <c r="O64">
        <v>0</v>
      </c>
      <c r="P64">
        <v>0</v>
      </c>
      <c r="Q64">
        <v>4</v>
      </c>
    </row>
    <row r="65" spans="2:17" x14ac:dyDescent="0.2">
      <c r="B65">
        <f t="shared" si="1"/>
        <v>0</v>
      </c>
      <c r="D65" t="s">
        <v>48</v>
      </c>
      <c r="E65">
        <v>1</v>
      </c>
      <c r="F65">
        <v>2</v>
      </c>
      <c r="G65">
        <v>0</v>
      </c>
      <c r="H65">
        <v>0</v>
      </c>
      <c r="I65" s="6" t="s">
        <v>317</v>
      </c>
      <c r="K65">
        <v>64</v>
      </c>
      <c r="L65" t="s">
        <v>96</v>
      </c>
      <c r="M65">
        <v>1</v>
      </c>
      <c r="N65">
        <v>2</v>
      </c>
      <c r="O65">
        <v>0</v>
      </c>
      <c r="P65">
        <v>0</v>
      </c>
      <c r="Q65">
        <v>2</v>
      </c>
    </row>
    <row r="66" spans="2:17" x14ac:dyDescent="0.2">
      <c r="B66">
        <f t="shared" si="1"/>
        <v>0</v>
      </c>
      <c r="D66" t="s">
        <v>96</v>
      </c>
      <c r="E66">
        <v>1</v>
      </c>
      <c r="F66">
        <v>2</v>
      </c>
      <c r="G66">
        <v>0</v>
      </c>
      <c r="H66">
        <v>0</v>
      </c>
      <c r="I66" s="6" t="s">
        <v>317</v>
      </c>
      <c r="K66">
        <v>65</v>
      </c>
      <c r="L66" t="s">
        <v>48</v>
      </c>
      <c r="M66">
        <v>1</v>
      </c>
      <c r="N66">
        <v>2</v>
      </c>
      <c r="O66">
        <v>0</v>
      </c>
      <c r="P66">
        <v>0</v>
      </c>
      <c r="Q66">
        <v>2</v>
      </c>
    </row>
    <row r="67" spans="2:17" x14ac:dyDescent="0.2">
      <c r="B67">
        <f t="shared" ref="B67:B93" si="3">F67-N67</f>
        <v>0</v>
      </c>
      <c r="D67" t="s">
        <v>172</v>
      </c>
      <c r="E67">
        <v>1</v>
      </c>
      <c r="F67">
        <v>1</v>
      </c>
      <c r="G67">
        <v>0</v>
      </c>
      <c r="H67">
        <v>0</v>
      </c>
      <c r="I67" s="6" t="s">
        <v>327</v>
      </c>
      <c r="K67">
        <v>66</v>
      </c>
      <c r="L67" t="s">
        <v>172</v>
      </c>
      <c r="M67">
        <v>1</v>
      </c>
      <c r="N67">
        <v>1</v>
      </c>
      <c r="O67">
        <v>0</v>
      </c>
      <c r="P67">
        <v>0</v>
      </c>
      <c r="Q67">
        <v>1</v>
      </c>
    </row>
    <row r="68" spans="2:17" x14ac:dyDescent="0.2">
      <c r="B68">
        <f t="shared" si="3"/>
        <v>0</v>
      </c>
    </row>
    <row r="69" spans="2:17" x14ac:dyDescent="0.2">
      <c r="B69">
        <f t="shared" si="3"/>
        <v>0</v>
      </c>
      <c r="K69">
        <v>68</v>
      </c>
      <c r="L69" t="s">
        <v>164</v>
      </c>
      <c r="M69">
        <v>0</v>
      </c>
      <c r="N69">
        <v>0</v>
      </c>
      <c r="O69">
        <v>0</v>
      </c>
      <c r="P69">
        <v>0</v>
      </c>
      <c r="Q69">
        <v>0</v>
      </c>
    </row>
    <row r="70" spans="2:17" x14ac:dyDescent="0.2">
      <c r="B70">
        <f t="shared" si="3"/>
        <v>0</v>
      </c>
      <c r="K70">
        <v>69</v>
      </c>
      <c r="L70" t="s">
        <v>99</v>
      </c>
      <c r="M70">
        <v>0</v>
      </c>
      <c r="N70">
        <v>0</v>
      </c>
      <c r="O70">
        <v>0</v>
      </c>
      <c r="P70">
        <v>0</v>
      </c>
      <c r="Q70">
        <v>0</v>
      </c>
    </row>
    <row r="71" spans="2:17" x14ac:dyDescent="0.2">
      <c r="B71">
        <f t="shared" si="3"/>
        <v>0</v>
      </c>
      <c r="K71">
        <v>70</v>
      </c>
      <c r="L71" t="s">
        <v>165</v>
      </c>
      <c r="M71">
        <v>0</v>
      </c>
      <c r="N71">
        <v>0</v>
      </c>
      <c r="O71">
        <v>0</v>
      </c>
      <c r="P71">
        <v>0</v>
      </c>
      <c r="Q71">
        <v>0</v>
      </c>
    </row>
    <row r="72" spans="2:17" x14ac:dyDescent="0.2">
      <c r="B72">
        <f t="shared" si="3"/>
        <v>0</v>
      </c>
      <c r="K72">
        <v>71</v>
      </c>
      <c r="L72" t="s">
        <v>166</v>
      </c>
      <c r="M72">
        <v>0</v>
      </c>
      <c r="N72">
        <v>0</v>
      </c>
      <c r="O72">
        <v>0</v>
      </c>
      <c r="P72">
        <v>0</v>
      </c>
      <c r="Q72">
        <v>0</v>
      </c>
    </row>
    <row r="73" spans="2:17" x14ac:dyDescent="0.2">
      <c r="B73">
        <f t="shared" si="3"/>
        <v>0</v>
      </c>
      <c r="K73">
        <v>72</v>
      </c>
      <c r="L73" t="s">
        <v>105</v>
      </c>
      <c r="M73">
        <v>0</v>
      </c>
      <c r="N73">
        <v>0</v>
      </c>
      <c r="O73">
        <v>0</v>
      </c>
      <c r="P73">
        <v>0</v>
      </c>
      <c r="Q73">
        <v>0</v>
      </c>
    </row>
    <row r="74" spans="2:17" x14ac:dyDescent="0.2">
      <c r="B74">
        <f t="shared" si="3"/>
        <v>0</v>
      </c>
      <c r="K74">
        <v>73</v>
      </c>
      <c r="L74" t="s">
        <v>167</v>
      </c>
      <c r="M74">
        <v>0</v>
      </c>
      <c r="N74">
        <v>0</v>
      </c>
      <c r="O74">
        <v>0</v>
      </c>
      <c r="P74">
        <v>0</v>
      </c>
      <c r="Q74">
        <v>0</v>
      </c>
    </row>
    <row r="75" spans="2:17" x14ac:dyDescent="0.2">
      <c r="B75">
        <f t="shared" si="3"/>
        <v>0</v>
      </c>
      <c r="K75">
        <v>74</v>
      </c>
      <c r="L75" t="s">
        <v>82</v>
      </c>
      <c r="M75">
        <v>0</v>
      </c>
      <c r="N75">
        <v>0</v>
      </c>
      <c r="O75">
        <v>0</v>
      </c>
      <c r="P75">
        <v>0</v>
      </c>
      <c r="Q75">
        <v>0</v>
      </c>
    </row>
    <row r="76" spans="2:17" x14ac:dyDescent="0.2">
      <c r="B76">
        <f t="shared" si="3"/>
        <v>0</v>
      </c>
      <c r="K76">
        <v>75</v>
      </c>
      <c r="L76" t="s">
        <v>95</v>
      </c>
      <c r="M76">
        <v>0</v>
      </c>
      <c r="N76">
        <v>0</v>
      </c>
      <c r="O76">
        <v>0</v>
      </c>
      <c r="P76">
        <v>0</v>
      </c>
      <c r="Q76">
        <v>0</v>
      </c>
    </row>
    <row r="77" spans="2:17" x14ac:dyDescent="0.2">
      <c r="B77">
        <f t="shared" si="3"/>
        <v>0</v>
      </c>
      <c r="K77">
        <v>76</v>
      </c>
      <c r="L77" t="s">
        <v>168</v>
      </c>
      <c r="M77">
        <v>0</v>
      </c>
      <c r="N77">
        <v>0</v>
      </c>
      <c r="O77">
        <v>0</v>
      </c>
      <c r="P77">
        <v>0</v>
      </c>
      <c r="Q77">
        <v>0</v>
      </c>
    </row>
    <row r="78" spans="2:17" x14ac:dyDescent="0.2">
      <c r="B78">
        <f t="shared" si="3"/>
        <v>0</v>
      </c>
      <c r="K78">
        <v>77</v>
      </c>
      <c r="L78" t="s">
        <v>169</v>
      </c>
      <c r="M78">
        <v>0</v>
      </c>
      <c r="N78">
        <v>0</v>
      </c>
      <c r="O78">
        <v>0</v>
      </c>
      <c r="P78">
        <v>0</v>
      </c>
      <c r="Q78">
        <v>0</v>
      </c>
    </row>
    <row r="79" spans="2:17" x14ac:dyDescent="0.2">
      <c r="B79">
        <f t="shared" si="3"/>
        <v>0</v>
      </c>
      <c r="K79">
        <v>78</v>
      </c>
      <c r="L79" t="s">
        <v>170</v>
      </c>
      <c r="M79">
        <v>0</v>
      </c>
      <c r="N79">
        <v>0</v>
      </c>
      <c r="O79">
        <v>0</v>
      </c>
      <c r="P79">
        <v>0</v>
      </c>
      <c r="Q79">
        <v>0</v>
      </c>
    </row>
    <row r="80" spans="2:17" x14ac:dyDescent="0.2">
      <c r="B80">
        <f t="shared" si="3"/>
        <v>0</v>
      </c>
      <c r="K80">
        <v>79</v>
      </c>
      <c r="L80" t="s">
        <v>171</v>
      </c>
      <c r="M80">
        <v>0</v>
      </c>
      <c r="N80">
        <v>0</v>
      </c>
      <c r="O80">
        <v>0</v>
      </c>
      <c r="P80">
        <v>0</v>
      </c>
      <c r="Q80">
        <v>0</v>
      </c>
    </row>
    <row r="81" spans="2:17" x14ac:dyDescent="0.2">
      <c r="B81">
        <f t="shared" si="3"/>
        <v>0</v>
      </c>
      <c r="K81">
        <v>80</v>
      </c>
      <c r="L81" t="s">
        <v>172</v>
      </c>
      <c r="M81">
        <v>0</v>
      </c>
      <c r="N81">
        <v>0</v>
      </c>
      <c r="O81">
        <v>0</v>
      </c>
      <c r="P81">
        <v>0</v>
      </c>
      <c r="Q81">
        <v>0</v>
      </c>
    </row>
    <row r="82" spans="2:17" x14ac:dyDescent="0.2">
      <c r="B82">
        <f t="shared" si="3"/>
        <v>0</v>
      </c>
      <c r="K82">
        <v>81</v>
      </c>
      <c r="L82" t="s">
        <v>173</v>
      </c>
      <c r="M82">
        <v>0</v>
      </c>
      <c r="N82">
        <v>0</v>
      </c>
      <c r="O82">
        <v>0</v>
      </c>
      <c r="P82">
        <v>0</v>
      </c>
      <c r="Q82">
        <v>0</v>
      </c>
    </row>
    <row r="83" spans="2:17" x14ac:dyDescent="0.2">
      <c r="B83">
        <f t="shared" si="3"/>
        <v>0</v>
      </c>
      <c r="K83">
        <v>82</v>
      </c>
      <c r="L83" t="s">
        <v>174</v>
      </c>
      <c r="M83">
        <v>0</v>
      </c>
      <c r="N83">
        <v>0</v>
      </c>
      <c r="O83">
        <v>0</v>
      </c>
      <c r="P83">
        <v>0</v>
      </c>
      <c r="Q83">
        <v>0</v>
      </c>
    </row>
    <row r="84" spans="2:17" x14ac:dyDescent="0.2">
      <c r="B84">
        <f t="shared" si="3"/>
        <v>0</v>
      </c>
      <c r="K84">
        <v>83</v>
      </c>
      <c r="L84" t="s">
        <v>175</v>
      </c>
      <c r="M84">
        <v>0</v>
      </c>
      <c r="N84">
        <v>0</v>
      </c>
      <c r="O84">
        <v>0</v>
      </c>
      <c r="P84">
        <v>0</v>
      </c>
      <c r="Q84">
        <v>0</v>
      </c>
    </row>
    <row r="85" spans="2:17" x14ac:dyDescent="0.2">
      <c r="B85">
        <f t="shared" si="3"/>
        <v>0</v>
      </c>
      <c r="K85">
        <v>84</v>
      </c>
      <c r="L85" t="s">
        <v>176</v>
      </c>
      <c r="M85">
        <v>0</v>
      </c>
      <c r="N85">
        <v>0</v>
      </c>
      <c r="O85">
        <v>0</v>
      </c>
      <c r="P85">
        <v>0</v>
      </c>
      <c r="Q85">
        <v>0</v>
      </c>
    </row>
    <row r="86" spans="2:17" x14ac:dyDescent="0.2">
      <c r="B86">
        <f t="shared" si="3"/>
        <v>0</v>
      </c>
      <c r="K86">
        <v>85</v>
      </c>
      <c r="L86" t="s">
        <v>7</v>
      </c>
      <c r="M86">
        <v>0</v>
      </c>
      <c r="N86">
        <v>0</v>
      </c>
      <c r="O86">
        <v>0</v>
      </c>
      <c r="P86">
        <v>0</v>
      </c>
      <c r="Q86">
        <v>0</v>
      </c>
    </row>
    <row r="87" spans="2:17" x14ac:dyDescent="0.2">
      <c r="B87">
        <f t="shared" si="3"/>
        <v>0</v>
      </c>
      <c r="K87">
        <v>86</v>
      </c>
      <c r="L87" t="s">
        <v>177</v>
      </c>
      <c r="M87">
        <v>0</v>
      </c>
      <c r="N87">
        <v>0</v>
      </c>
      <c r="O87">
        <v>0</v>
      </c>
      <c r="P87">
        <v>0</v>
      </c>
      <c r="Q87">
        <v>0</v>
      </c>
    </row>
    <row r="88" spans="2:17" x14ac:dyDescent="0.2">
      <c r="B88">
        <f t="shared" si="3"/>
        <v>0</v>
      </c>
      <c r="K88">
        <v>87</v>
      </c>
      <c r="L88" t="s">
        <v>178</v>
      </c>
      <c r="M88">
        <v>0</v>
      </c>
      <c r="N88">
        <v>0</v>
      </c>
      <c r="O88">
        <v>0</v>
      </c>
      <c r="P88">
        <v>0</v>
      </c>
      <c r="Q88">
        <v>0</v>
      </c>
    </row>
    <row r="89" spans="2:17" x14ac:dyDescent="0.2">
      <c r="B89">
        <f t="shared" si="3"/>
        <v>0</v>
      </c>
      <c r="K89">
        <v>88</v>
      </c>
      <c r="L89" t="s">
        <v>179</v>
      </c>
      <c r="M89">
        <v>0</v>
      </c>
      <c r="N89">
        <v>0</v>
      </c>
      <c r="O89">
        <v>0</v>
      </c>
      <c r="P89">
        <v>0</v>
      </c>
      <c r="Q89">
        <v>0</v>
      </c>
    </row>
    <row r="90" spans="2:17" x14ac:dyDescent="0.2">
      <c r="B90">
        <f t="shared" si="3"/>
        <v>0</v>
      </c>
      <c r="K90">
        <v>89</v>
      </c>
      <c r="L90" t="s">
        <v>180</v>
      </c>
      <c r="M90">
        <v>0</v>
      </c>
      <c r="N90">
        <v>0</v>
      </c>
      <c r="O90">
        <v>0</v>
      </c>
      <c r="P90">
        <v>0</v>
      </c>
      <c r="Q90">
        <v>0</v>
      </c>
    </row>
    <row r="91" spans="2:17" x14ac:dyDescent="0.2">
      <c r="B91">
        <f t="shared" si="3"/>
        <v>0</v>
      </c>
      <c r="K91">
        <v>90</v>
      </c>
    </row>
    <row r="92" spans="2:17" x14ac:dyDescent="0.2">
      <c r="B92">
        <f t="shared" si="3"/>
        <v>0</v>
      </c>
      <c r="K92">
        <v>91</v>
      </c>
      <c r="L92" t="s">
        <v>84</v>
      </c>
      <c r="M92">
        <v>0</v>
      </c>
      <c r="N92">
        <v>0</v>
      </c>
      <c r="O92">
        <v>0</v>
      </c>
      <c r="P92">
        <v>0</v>
      </c>
      <c r="Q92">
        <v>0</v>
      </c>
    </row>
    <row r="93" spans="2:17" x14ac:dyDescent="0.2">
      <c r="B93">
        <f t="shared" si="3"/>
        <v>0</v>
      </c>
      <c r="K93">
        <v>92</v>
      </c>
      <c r="L93" t="s">
        <v>182</v>
      </c>
      <c r="M93">
        <v>0</v>
      </c>
      <c r="N93">
        <v>0</v>
      </c>
      <c r="O93">
        <v>0</v>
      </c>
      <c r="P93">
        <v>0</v>
      </c>
      <c r="Q93">
        <v>0</v>
      </c>
    </row>
    <row r="94" spans="2:17" x14ac:dyDescent="0.2">
      <c r="K94">
        <v>93</v>
      </c>
      <c r="L94" t="s">
        <v>183</v>
      </c>
      <c r="M94">
        <v>0</v>
      </c>
      <c r="N94">
        <v>0</v>
      </c>
      <c r="O94">
        <v>0</v>
      </c>
      <c r="P94">
        <v>0</v>
      </c>
      <c r="Q94">
        <v>0</v>
      </c>
    </row>
    <row r="95" spans="2:17" x14ac:dyDescent="0.2">
      <c r="K95">
        <v>94</v>
      </c>
      <c r="L95" t="s">
        <v>5</v>
      </c>
      <c r="M95">
        <v>0</v>
      </c>
      <c r="N95">
        <v>0</v>
      </c>
      <c r="O95">
        <v>0</v>
      </c>
      <c r="P95">
        <v>0</v>
      </c>
      <c r="Q95">
        <v>0</v>
      </c>
    </row>
    <row r="96" spans="2:17" x14ac:dyDescent="0.2">
      <c r="K96">
        <v>95</v>
      </c>
      <c r="L96" t="s">
        <v>184</v>
      </c>
      <c r="M96">
        <v>0</v>
      </c>
      <c r="N96">
        <v>0</v>
      </c>
      <c r="O96">
        <v>0</v>
      </c>
      <c r="P96">
        <v>0</v>
      </c>
      <c r="Q96">
        <v>0</v>
      </c>
    </row>
    <row r="97" spans="11:17" x14ac:dyDescent="0.2">
      <c r="K97">
        <v>96</v>
      </c>
      <c r="L97" t="s">
        <v>185</v>
      </c>
      <c r="M97">
        <v>0</v>
      </c>
      <c r="N97">
        <v>0</v>
      </c>
      <c r="O97">
        <v>0</v>
      </c>
      <c r="P97">
        <v>0</v>
      </c>
      <c r="Q97">
        <v>0</v>
      </c>
    </row>
    <row r="98" spans="11:17" x14ac:dyDescent="0.2">
      <c r="K98">
        <v>97</v>
      </c>
      <c r="L98" t="s">
        <v>186</v>
      </c>
      <c r="M98">
        <v>0</v>
      </c>
      <c r="N98">
        <v>0</v>
      </c>
      <c r="O98">
        <v>0</v>
      </c>
      <c r="P98">
        <v>0</v>
      </c>
      <c r="Q98">
        <v>0</v>
      </c>
    </row>
    <row r="99" spans="11:17" x14ac:dyDescent="0.2">
      <c r="K99">
        <v>98</v>
      </c>
      <c r="L99" t="s">
        <v>187</v>
      </c>
      <c r="M99">
        <v>0</v>
      </c>
      <c r="N99">
        <v>0</v>
      </c>
      <c r="O99">
        <v>0</v>
      </c>
      <c r="P99">
        <v>0</v>
      </c>
      <c r="Q99">
        <v>0</v>
      </c>
    </row>
    <row r="100" spans="11:17" x14ac:dyDescent="0.2">
      <c r="K100">
        <v>99</v>
      </c>
      <c r="L100" t="s">
        <v>188</v>
      </c>
      <c r="M100">
        <v>0</v>
      </c>
      <c r="N100">
        <v>0</v>
      </c>
      <c r="O100">
        <v>0</v>
      </c>
      <c r="P100">
        <v>0</v>
      </c>
      <c r="Q100">
        <v>0</v>
      </c>
    </row>
    <row r="101" spans="11:17" x14ac:dyDescent="0.2">
      <c r="K101">
        <v>100</v>
      </c>
      <c r="L101" t="s">
        <v>189</v>
      </c>
      <c r="M101">
        <v>0</v>
      </c>
      <c r="N101">
        <v>0</v>
      </c>
      <c r="O101">
        <v>0</v>
      </c>
      <c r="P101">
        <v>0</v>
      </c>
      <c r="Q101">
        <v>0</v>
      </c>
    </row>
    <row r="102" spans="11:17" x14ac:dyDescent="0.2">
      <c r="K102">
        <v>101</v>
      </c>
      <c r="L102" t="s">
        <v>190</v>
      </c>
      <c r="M102">
        <v>0</v>
      </c>
      <c r="N102">
        <v>0</v>
      </c>
      <c r="O102">
        <v>0</v>
      </c>
      <c r="P102">
        <v>0</v>
      </c>
      <c r="Q102">
        <v>0</v>
      </c>
    </row>
    <row r="103" spans="11:17" x14ac:dyDescent="0.2">
      <c r="K103">
        <v>102</v>
      </c>
      <c r="L103" t="s">
        <v>191</v>
      </c>
      <c r="M103">
        <v>0</v>
      </c>
      <c r="N103">
        <v>0</v>
      </c>
      <c r="O103">
        <v>0</v>
      </c>
      <c r="P103">
        <v>0</v>
      </c>
      <c r="Q103">
        <v>0</v>
      </c>
    </row>
    <row r="104" spans="11:17" x14ac:dyDescent="0.2">
      <c r="K104">
        <v>103</v>
      </c>
      <c r="L104" t="s">
        <v>192</v>
      </c>
      <c r="M104">
        <v>0</v>
      </c>
      <c r="N104">
        <v>0</v>
      </c>
      <c r="O104">
        <v>0</v>
      </c>
      <c r="P104">
        <v>0</v>
      </c>
      <c r="Q104">
        <v>0</v>
      </c>
    </row>
    <row r="105" spans="11:17" x14ac:dyDescent="0.2">
      <c r="K105">
        <v>104</v>
      </c>
      <c r="L105" t="s">
        <v>80</v>
      </c>
      <c r="M105">
        <v>0</v>
      </c>
      <c r="N105">
        <v>0</v>
      </c>
      <c r="O105">
        <v>0</v>
      </c>
      <c r="P105">
        <v>0</v>
      </c>
      <c r="Q105">
        <v>0</v>
      </c>
    </row>
    <row r="106" spans="11:17" x14ac:dyDescent="0.2">
      <c r="K106">
        <v>105</v>
      </c>
      <c r="L106" t="s">
        <v>193</v>
      </c>
      <c r="M106">
        <v>0</v>
      </c>
      <c r="N106">
        <v>0</v>
      </c>
      <c r="O106">
        <v>0</v>
      </c>
      <c r="P106">
        <v>0</v>
      </c>
      <c r="Q106">
        <v>0</v>
      </c>
    </row>
    <row r="107" spans="11:17" x14ac:dyDescent="0.2">
      <c r="K107">
        <v>106</v>
      </c>
      <c r="L107" t="s">
        <v>194</v>
      </c>
      <c r="M107">
        <v>0</v>
      </c>
      <c r="N107">
        <v>0</v>
      </c>
      <c r="O107">
        <v>0</v>
      </c>
      <c r="P107">
        <v>0</v>
      </c>
      <c r="Q107">
        <v>0</v>
      </c>
    </row>
    <row r="108" spans="11:17" x14ac:dyDescent="0.2">
      <c r="K108">
        <v>107</v>
      </c>
      <c r="L108" t="s">
        <v>195</v>
      </c>
      <c r="M108">
        <v>0</v>
      </c>
      <c r="N108">
        <v>0</v>
      </c>
      <c r="O108">
        <v>0</v>
      </c>
      <c r="P108">
        <v>0</v>
      </c>
      <c r="Q108">
        <v>0</v>
      </c>
    </row>
    <row r="109" spans="11:17" x14ac:dyDescent="0.2">
      <c r="K109">
        <v>108</v>
      </c>
      <c r="L109" t="s">
        <v>196</v>
      </c>
      <c r="M109">
        <v>0</v>
      </c>
      <c r="N109">
        <v>0</v>
      </c>
      <c r="O109">
        <v>0</v>
      </c>
      <c r="P109">
        <v>0</v>
      </c>
      <c r="Q109">
        <v>0</v>
      </c>
    </row>
    <row r="110" spans="11:17" x14ac:dyDescent="0.2">
      <c r="K110">
        <v>109</v>
      </c>
      <c r="L110" t="s">
        <v>91</v>
      </c>
      <c r="M110">
        <v>0</v>
      </c>
      <c r="N110">
        <v>0</v>
      </c>
      <c r="O110">
        <v>0</v>
      </c>
      <c r="P110">
        <v>0</v>
      </c>
      <c r="Q110">
        <v>0</v>
      </c>
    </row>
    <row r="111" spans="11:17" x14ac:dyDescent="0.2">
      <c r="K111">
        <v>110</v>
      </c>
      <c r="L111" t="s">
        <v>197</v>
      </c>
      <c r="M111">
        <v>0</v>
      </c>
      <c r="N111">
        <v>0</v>
      </c>
      <c r="O111">
        <v>0</v>
      </c>
      <c r="P111">
        <v>0</v>
      </c>
      <c r="Q111">
        <v>0</v>
      </c>
    </row>
    <row r="112" spans="11:17" x14ac:dyDescent="0.2">
      <c r="K112">
        <v>111</v>
      </c>
      <c r="L112" t="s">
        <v>198</v>
      </c>
      <c r="M112">
        <v>0</v>
      </c>
      <c r="N112">
        <v>0</v>
      </c>
      <c r="O112">
        <v>0</v>
      </c>
      <c r="P112">
        <v>0</v>
      </c>
      <c r="Q112">
        <v>0</v>
      </c>
    </row>
    <row r="113" spans="11:17" x14ac:dyDescent="0.2">
      <c r="K113">
        <v>112</v>
      </c>
      <c r="L113" t="s">
        <v>199</v>
      </c>
      <c r="M113">
        <v>0</v>
      </c>
      <c r="N113">
        <v>0</v>
      </c>
      <c r="O113">
        <v>0</v>
      </c>
      <c r="P113">
        <v>0</v>
      </c>
      <c r="Q113">
        <v>0</v>
      </c>
    </row>
    <row r="114" spans="11:17" x14ac:dyDescent="0.2">
      <c r="K114">
        <v>113</v>
      </c>
      <c r="L114" t="s">
        <v>200</v>
      </c>
      <c r="M114">
        <v>0</v>
      </c>
      <c r="N114">
        <v>0</v>
      </c>
      <c r="O114">
        <v>0</v>
      </c>
      <c r="P114">
        <v>0</v>
      </c>
      <c r="Q114">
        <v>0</v>
      </c>
    </row>
    <row r="115" spans="11:17" x14ac:dyDescent="0.2">
      <c r="K115">
        <v>114</v>
      </c>
      <c r="L115" t="s">
        <v>201</v>
      </c>
      <c r="M115">
        <v>0</v>
      </c>
      <c r="N115">
        <v>0</v>
      </c>
      <c r="O115">
        <v>0</v>
      </c>
      <c r="P115">
        <v>0</v>
      </c>
      <c r="Q115">
        <v>0</v>
      </c>
    </row>
    <row r="116" spans="11:17" x14ac:dyDescent="0.2">
      <c r="K116">
        <v>115</v>
      </c>
      <c r="L116" t="s">
        <v>86</v>
      </c>
      <c r="M116">
        <v>0</v>
      </c>
      <c r="N116">
        <v>0</v>
      </c>
      <c r="O116">
        <v>0</v>
      </c>
      <c r="P116">
        <v>0</v>
      </c>
      <c r="Q116">
        <v>0</v>
      </c>
    </row>
    <row r="117" spans="11:17" x14ac:dyDescent="0.2">
      <c r="K117">
        <v>116</v>
      </c>
      <c r="L117" t="s">
        <v>202</v>
      </c>
      <c r="M117">
        <v>0</v>
      </c>
      <c r="N117">
        <v>0</v>
      </c>
      <c r="O117">
        <v>0</v>
      </c>
      <c r="P117">
        <v>0</v>
      </c>
      <c r="Q117">
        <v>0</v>
      </c>
    </row>
    <row r="118" spans="11:17" x14ac:dyDescent="0.2">
      <c r="K118">
        <v>117</v>
      </c>
      <c r="L118" t="s">
        <v>203</v>
      </c>
      <c r="M118">
        <v>0</v>
      </c>
      <c r="N118">
        <v>0</v>
      </c>
      <c r="O118">
        <v>0</v>
      </c>
      <c r="P118">
        <v>0</v>
      </c>
      <c r="Q118">
        <v>0</v>
      </c>
    </row>
    <row r="119" spans="11:17" x14ac:dyDescent="0.2">
      <c r="K119">
        <v>118</v>
      </c>
      <c r="L119" t="s">
        <v>204</v>
      </c>
      <c r="M119">
        <v>0</v>
      </c>
      <c r="N119">
        <v>0</v>
      </c>
      <c r="O119">
        <v>0</v>
      </c>
      <c r="P119">
        <v>0</v>
      </c>
      <c r="Q119">
        <v>0</v>
      </c>
    </row>
    <row r="120" spans="11:17" x14ac:dyDescent="0.2">
      <c r="K120">
        <v>119</v>
      </c>
      <c r="L120" t="s">
        <v>205</v>
      </c>
      <c r="M120">
        <v>0</v>
      </c>
      <c r="N120">
        <v>0</v>
      </c>
      <c r="O120">
        <v>0</v>
      </c>
      <c r="P120">
        <v>0</v>
      </c>
      <c r="Q120">
        <v>0</v>
      </c>
    </row>
    <row r="121" spans="11:17" x14ac:dyDescent="0.2">
      <c r="K121">
        <v>120</v>
      </c>
      <c r="L121" t="s">
        <v>206</v>
      </c>
      <c r="M121">
        <v>0</v>
      </c>
      <c r="N121">
        <v>0</v>
      </c>
      <c r="O121">
        <v>0</v>
      </c>
      <c r="P121">
        <v>0</v>
      </c>
      <c r="Q121">
        <v>0</v>
      </c>
    </row>
    <row r="122" spans="11:17" x14ac:dyDescent="0.2">
      <c r="K122">
        <v>121</v>
      </c>
      <c r="L122" t="s">
        <v>207</v>
      </c>
      <c r="M122">
        <v>0</v>
      </c>
      <c r="N122">
        <v>0</v>
      </c>
      <c r="O122">
        <v>0</v>
      </c>
      <c r="P122">
        <v>0</v>
      </c>
      <c r="Q122">
        <v>0</v>
      </c>
    </row>
    <row r="123" spans="11:17" x14ac:dyDescent="0.2">
      <c r="K123">
        <v>122</v>
      </c>
      <c r="L123" t="s">
        <v>208</v>
      </c>
      <c r="M123">
        <v>0</v>
      </c>
      <c r="N123">
        <v>0</v>
      </c>
      <c r="O123">
        <v>0</v>
      </c>
      <c r="P123">
        <v>0</v>
      </c>
      <c r="Q123">
        <v>0</v>
      </c>
    </row>
    <row r="124" spans="11:17" x14ac:dyDescent="0.2">
      <c r="K124">
        <v>123</v>
      </c>
      <c r="L124" t="s">
        <v>209</v>
      </c>
      <c r="M124">
        <v>0</v>
      </c>
      <c r="N124">
        <v>0</v>
      </c>
      <c r="O124">
        <v>0</v>
      </c>
      <c r="P124">
        <v>0</v>
      </c>
      <c r="Q124">
        <v>0</v>
      </c>
    </row>
    <row r="125" spans="11:17" x14ac:dyDescent="0.2">
      <c r="K125">
        <v>124</v>
      </c>
      <c r="L125" t="s">
        <v>210</v>
      </c>
      <c r="M125">
        <v>0</v>
      </c>
      <c r="N125">
        <v>0</v>
      </c>
      <c r="O125">
        <v>0</v>
      </c>
      <c r="P125">
        <v>0</v>
      </c>
      <c r="Q125">
        <v>0</v>
      </c>
    </row>
    <row r="126" spans="11:17" x14ac:dyDescent="0.2">
      <c r="K126">
        <v>125</v>
      </c>
      <c r="L126" t="s">
        <v>63</v>
      </c>
      <c r="M126">
        <v>0</v>
      </c>
      <c r="N126">
        <v>0</v>
      </c>
      <c r="O126">
        <v>0</v>
      </c>
      <c r="P126">
        <v>0</v>
      </c>
      <c r="Q126">
        <v>0</v>
      </c>
    </row>
    <row r="127" spans="11:17" x14ac:dyDescent="0.2">
      <c r="K127">
        <v>126</v>
      </c>
      <c r="L127" t="s">
        <v>211</v>
      </c>
      <c r="M127">
        <v>0</v>
      </c>
      <c r="N127">
        <v>0</v>
      </c>
      <c r="O127">
        <v>0</v>
      </c>
      <c r="P127">
        <v>0</v>
      </c>
      <c r="Q127">
        <v>0</v>
      </c>
    </row>
    <row r="128" spans="11:17" x14ac:dyDescent="0.2">
      <c r="K128">
        <v>127</v>
      </c>
      <c r="L128" t="s">
        <v>212</v>
      </c>
      <c r="M128">
        <v>0</v>
      </c>
      <c r="N128">
        <v>0</v>
      </c>
      <c r="O128">
        <v>0</v>
      </c>
      <c r="P128">
        <v>0</v>
      </c>
      <c r="Q128">
        <v>0</v>
      </c>
    </row>
    <row r="129" spans="11:17" x14ac:dyDescent="0.2">
      <c r="K129">
        <v>128</v>
      </c>
      <c r="L129" t="s">
        <v>213</v>
      </c>
      <c r="M129">
        <v>0</v>
      </c>
      <c r="N129">
        <v>0</v>
      </c>
      <c r="O129">
        <v>0</v>
      </c>
      <c r="P129">
        <v>0</v>
      </c>
      <c r="Q129">
        <v>0</v>
      </c>
    </row>
    <row r="130" spans="11:17" x14ac:dyDescent="0.2">
      <c r="K130">
        <v>129</v>
      </c>
      <c r="L130" t="s">
        <v>214</v>
      </c>
      <c r="M130">
        <v>0</v>
      </c>
      <c r="N130">
        <v>0</v>
      </c>
      <c r="O130">
        <v>0</v>
      </c>
      <c r="P130">
        <v>0</v>
      </c>
      <c r="Q130">
        <v>0</v>
      </c>
    </row>
    <row r="131" spans="11:17" x14ac:dyDescent="0.2">
      <c r="K131">
        <v>130</v>
      </c>
      <c r="L131" t="s">
        <v>215</v>
      </c>
      <c r="M131">
        <v>0</v>
      </c>
      <c r="N131">
        <v>0</v>
      </c>
      <c r="O131">
        <v>0</v>
      </c>
      <c r="P131">
        <v>0</v>
      </c>
      <c r="Q131">
        <v>0</v>
      </c>
    </row>
    <row r="132" spans="11:17" x14ac:dyDescent="0.2">
      <c r="K132">
        <v>131</v>
      </c>
      <c r="L132" t="s">
        <v>216</v>
      </c>
      <c r="M132">
        <v>0</v>
      </c>
      <c r="N132">
        <v>0</v>
      </c>
      <c r="O132">
        <v>0</v>
      </c>
      <c r="P132">
        <v>0</v>
      </c>
      <c r="Q132">
        <v>0</v>
      </c>
    </row>
    <row r="133" spans="11:17" x14ac:dyDescent="0.2">
      <c r="K133">
        <v>132</v>
      </c>
      <c r="L133" t="s">
        <v>217</v>
      </c>
      <c r="M133">
        <v>0</v>
      </c>
      <c r="N133">
        <v>0</v>
      </c>
      <c r="O133">
        <v>0</v>
      </c>
      <c r="P133">
        <v>0</v>
      </c>
      <c r="Q133">
        <v>0</v>
      </c>
    </row>
    <row r="134" spans="11:17" x14ac:dyDescent="0.2">
      <c r="K134">
        <v>133</v>
      </c>
      <c r="L134" t="s">
        <v>218</v>
      </c>
      <c r="M134">
        <v>0</v>
      </c>
      <c r="N134">
        <v>0</v>
      </c>
      <c r="O134">
        <v>0</v>
      </c>
      <c r="P134">
        <v>0</v>
      </c>
      <c r="Q134">
        <v>0</v>
      </c>
    </row>
    <row r="135" spans="11:17" x14ac:dyDescent="0.2">
      <c r="K135">
        <v>134</v>
      </c>
      <c r="L135" t="s">
        <v>219</v>
      </c>
      <c r="M135">
        <v>0</v>
      </c>
      <c r="N135">
        <v>0</v>
      </c>
      <c r="O135">
        <v>0</v>
      </c>
      <c r="P135">
        <v>0</v>
      </c>
      <c r="Q135">
        <v>0</v>
      </c>
    </row>
    <row r="136" spans="11:17" x14ac:dyDescent="0.2">
      <c r="K136">
        <v>135</v>
      </c>
      <c r="L136" t="s">
        <v>220</v>
      </c>
      <c r="M136">
        <v>0</v>
      </c>
      <c r="N136">
        <v>0</v>
      </c>
      <c r="O136">
        <v>0</v>
      </c>
      <c r="P136">
        <v>0</v>
      </c>
      <c r="Q136">
        <v>0</v>
      </c>
    </row>
    <row r="137" spans="11:17" x14ac:dyDescent="0.2">
      <c r="K137">
        <v>136</v>
      </c>
      <c r="L137" t="s">
        <v>221</v>
      </c>
      <c r="M137">
        <v>0</v>
      </c>
      <c r="N137">
        <v>0</v>
      </c>
      <c r="O137">
        <v>0</v>
      </c>
      <c r="P137">
        <v>0</v>
      </c>
      <c r="Q137">
        <v>0</v>
      </c>
    </row>
    <row r="138" spans="11:17" x14ac:dyDescent="0.2">
      <c r="K138">
        <v>137</v>
      </c>
      <c r="L138" t="s">
        <v>222</v>
      </c>
      <c r="M138">
        <v>0</v>
      </c>
      <c r="N138">
        <v>0</v>
      </c>
      <c r="O138">
        <v>0</v>
      </c>
      <c r="P138">
        <v>0</v>
      </c>
      <c r="Q138">
        <v>0</v>
      </c>
    </row>
    <row r="139" spans="11:17" x14ac:dyDescent="0.2">
      <c r="K139">
        <v>138</v>
      </c>
      <c r="L139" t="s">
        <v>223</v>
      </c>
      <c r="M139">
        <v>0</v>
      </c>
      <c r="N139">
        <v>0</v>
      </c>
      <c r="O139">
        <v>0</v>
      </c>
      <c r="P139">
        <v>0</v>
      </c>
      <c r="Q139">
        <v>0</v>
      </c>
    </row>
    <row r="140" spans="11:17" x14ac:dyDescent="0.2">
      <c r="K140">
        <v>139</v>
      </c>
      <c r="L140" t="s">
        <v>224</v>
      </c>
      <c r="M140">
        <v>0</v>
      </c>
      <c r="N140">
        <v>0</v>
      </c>
      <c r="O140">
        <v>0</v>
      </c>
      <c r="P140">
        <v>0</v>
      </c>
      <c r="Q140">
        <v>0</v>
      </c>
    </row>
    <row r="141" spans="11:17" x14ac:dyDescent="0.2">
      <c r="K141">
        <v>140</v>
      </c>
      <c r="L141" t="s">
        <v>225</v>
      </c>
      <c r="M141">
        <v>0</v>
      </c>
      <c r="N141">
        <v>0</v>
      </c>
      <c r="O141">
        <v>0</v>
      </c>
      <c r="P141">
        <v>0</v>
      </c>
      <c r="Q141">
        <v>0</v>
      </c>
    </row>
    <row r="142" spans="11:17" x14ac:dyDescent="0.2">
      <c r="K142">
        <v>141</v>
      </c>
      <c r="L142" t="s">
        <v>226</v>
      </c>
      <c r="M142">
        <v>0</v>
      </c>
      <c r="N142">
        <v>0</v>
      </c>
      <c r="O142">
        <v>0</v>
      </c>
      <c r="P142">
        <v>0</v>
      </c>
      <c r="Q142">
        <v>0</v>
      </c>
    </row>
    <row r="143" spans="11:17" x14ac:dyDescent="0.2">
      <c r="K143">
        <v>142</v>
      </c>
      <c r="L143" t="s">
        <v>227</v>
      </c>
      <c r="M143">
        <v>0</v>
      </c>
      <c r="N143">
        <v>0</v>
      </c>
      <c r="O143">
        <v>0</v>
      </c>
      <c r="P143">
        <v>0</v>
      </c>
      <c r="Q143">
        <v>0</v>
      </c>
    </row>
    <row r="144" spans="11:17" x14ac:dyDescent="0.2">
      <c r="K144">
        <v>143</v>
      </c>
      <c r="L144" t="s">
        <v>228</v>
      </c>
      <c r="M144">
        <v>0</v>
      </c>
      <c r="N144">
        <v>0</v>
      </c>
      <c r="O144">
        <v>0</v>
      </c>
      <c r="P144">
        <v>0</v>
      </c>
      <c r="Q144">
        <v>0</v>
      </c>
    </row>
    <row r="145" spans="11:17" x14ac:dyDescent="0.2">
      <c r="K145">
        <v>144</v>
      </c>
      <c r="L145" t="s">
        <v>229</v>
      </c>
      <c r="M145">
        <v>0</v>
      </c>
      <c r="N145">
        <v>0</v>
      </c>
      <c r="O145">
        <v>0</v>
      </c>
      <c r="P145">
        <v>0</v>
      </c>
      <c r="Q145">
        <v>0</v>
      </c>
    </row>
    <row r="146" spans="11:17" x14ac:dyDescent="0.2">
      <c r="K146">
        <v>145</v>
      </c>
      <c r="L146" t="s">
        <v>230</v>
      </c>
      <c r="M146">
        <v>0</v>
      </c>
      <c r="N146">
        <v>0</v>
      </c>
      <c r="O146">
        <v>0</v>
      </c>
      <c r="P146">
        <v>0</v>
      </c>
      <c r="Q146">
        <v>0</v>
      </c>
    </row>
    <row r="147" spans="11:17" x14ac:dyDescent="0.2">
      <c r="K147">
        <v>146</v>
      </c>
      <c r="L147" t="s">
        <v>231</v>
      </c>
      <c r="M147">
        <v>0</v>
      </c>
      <c r="N147">
        <v>0</v>
      </c>
      <c r="O147">
        <v>0</v>
      </c>
      <c r="P147">
        <v>0</v>
      </c>
      <c r="Q147">
        <v>0</v>
      </c>
    </row>
    <row r="148" spans="11:17" x14ac:dyDescent="0.2">
      <c r="K148">
        <v>147</v>
      </c>
      <c r="L148" t="s">
        <v>232</v>
      </c>
      <c r="M148">
        <v>0</v>
      </c>
      <c r="N148">
        <v>0</v>
      </c>
      <c r="O148">
        <v>0</v>
      </c>
      <c r="P148">
        <v>0</v>
      </c>
      <c r="Q148">
        <v>0</v>
      </c>
    </row>
    <row r="149" spans="11:17" x14ac:dyDescent="0.2">
      <c r="K149">
        <v>148</v>
      </c>
      <c r="L149" t="s">
        <v>233</v>
      </c>
      <c r="M149">
        <v>0</v>
      </c>
      <c r="N149">
        <v>0</v>
      </c>
      <c r="O149">
        <v>0</v>
      </c>
      <c r="P149">
        <v>0</v>
      </c>
      <c r="Q149">
        <v>0</v>
      </c>
    </row>
    <row r="150" spans="11:17" x14ac:dyDescent="0.2">
      <c r="K150">
        <v>149</v>
      </c>
      <c r="L150" t="s">
        <v>234</v>
      </c>
      <c r="M150">
        <v>0</v>
      </c>
      <c r="N150">
        <v>0</v>
      </c>
      <c r="O150">
        <v>0</v>
      </c>
      <c r="P150">
        <v>0</v>
      </c>
      <c r="Q150">
        <v>0</v>
      </c>
    </row>
    <row r="151" spans="11:17" x14ac:dyDescent="0.2">
      <c r="K151">
        <v>150</v>
      </c>
      <c r="L151" t="s">
        <v>235</v>
      </c>
      <c r="M151">
        <v>0</v>
      </c>
      <c r="N151">
        <v>0</v>
      </c>
      <c r="O151">
        <v>0</v>
      </c>
      <c r="P151">
        <v>0</v>
      </c>
      <c r="Q151">
        <v>0</v>
      </c>
    </row>
    <row r="152" spans="11:17" x14ac:dyDescent="0.2">
      <c r="K152">
        <v>151</v>
      </c>
      <c r="L152" t="s">
        <v>236</v>
      </c>
      <c r="M152">
        <v>0</v>
      </c>
      <c r="N152">
        <v>0</v>
      </c>
      <c r="O152">
        <v>0</v>
      </c>
      <c r="P152">
        <v>0</v>
      </c>
      <c r="Q152">
        <v>0</v>
      </c>
    </row>
    <row r="153" spans="11:17" x14ac:dyDescent="0.2">
      <c r="K153">
        <v>152</v>
      </c>
      <c r="L153" t="s">
        <v>237</v>
      </c>
      <c r="M153">
        <v>0</v>
      </c>
      <c r="N153">
        <v>0</v>
      </c>
      <c r="O153">
        <v>0</v>
      </c>
      <c r="P153">
        <v>0</v>
      </c>
      <c r="Q153">
        <v>0</v>
      </c>
    </row>
    <row r="154" spans="11:17" x14ac:dyDescent="0.2">
      <c r="K154">
        <v>153</v>
      </c>
      <c r="L154" t="s">
        <v>238</v>
      </c>
      <c r="M154">
        <v>0</v>
      </c>
      <c r="N154">
        <v>0</v>
      </c>
      <c r="O154">
        <v>0</v>
      </c>
      <c r="P154">
        <v>0</v>
      </c>
      <c r="Q154">
        <v>0</v>
      </c>
    </row>
    <row r="155" spans="11:17" x14ac:dyDescent="0.2">
      <c r="K155">
        <v>154</v>
      </c>
      <c r="L155" t="s">
        <v>239</v>
      </c>
      <c r="M155">
        <v>0</v>
      </c>
      <c r="N155">
        <v>0</v>
      </c>
      <c r="O155">
        <v>0</v>
      </c>
      <c r="P155">
        <v>0</v>
      </c>
      <c r="Q155">
        <v>0</v>
      </c>
    </row>
    <row r="156" spans="11:17" x14ac:dyDescent="0.2">
      <c r="K156">
        <v>155</v>
      </c>
      <c r="L156" t="s">
        <v>240</v>
      </c>
      <c r="M156">
        <v>0</v>
      </c>
      <c r="N156">
        <v>0</v>
      </c>
      <c r="O156">
        <v>0</v>
      </c>
      <c r="P156">
        <v>0</v>
      </c>
      <c r="Q156">
        <v>0</v>
      </c>
    </row>
    <row r="157" spans="11:17" x14ac:dyDescent="0.2">
      <c r="K157">
        <v>156</v>
      </c>
      <c r="L157" t="s">
        <v>241</v>
      </c>
      <c r="M157">
        <v>0</v>
      </c>
      <c r="N157">
        <v>0</v>
      </c>
      <c r="O157">
        <v>0</v>
      </c>
      <c r="P157">
        <v>0</v>
      </c>
      <c r="Q157">
        <v>0</v>
      </c>
    </row>
    <row r="158" spans="11:17" x14ac:dyDescent="0.2">
      <c r="K158">
        <v>157</v>
      </c>
      <c r="L158" t="s">
        <v>242</v>
      </c>
      <c r="M158">
        <v>0</v>
      </c>
      <c r="N158">
        <v>0</v>
      </c>
      <c r="O158">
        <v>0</v>
      </c>
      <c r="P158">
        <v>0</v>
      </c>
      <c r="Q158">
        <v>0</v>
      </c>
    </row>
    <row r="159" spans="11:17" x14ac:dyDescent="0.2">
      <c r="K159">
        <v>158</v>
      </c>
      <c r="L159" t="s">
        <v>243</v>
      </c>
      <c r="M159">
        <v>0</v>
      </c>
      <c r="N159">
        <v>0</v>
      </c>
      <c r="O159">
        <v>0</v>
      </c>
      <c r="P159">
        <v>0</v>
      </c>
      <c r="Q159">
        <v>0</v>
      </c>
    </row>
    <row r="160" spans="11:17" x14ac:dyDescent="0.2">
      <c r="K160">
        <v>159</v>
      </c>
      <c r="L160" t="s">
        <v>244</v>
      </c>
      <c r="M160">
        <v>0</v>
      </c>
      <c r="N160">
        <v>0</v>
      </c>
      <c r="O160">
        <v>0</v>
      </c>
      <c r="P160">
        <v>0</v>
      </c>
      <c r="Q160">
        <v>0</v>
      </c>
    </row>
    <row r="161" spans="11:17" x14ac:dyDescent="0.2">
      <c r="K161">
        <v>160</v>
      </c>
      <c r="L161" t="s">
        <v>245</v>
      </c>
      <c r="M161">
        <v>0</v>
      </c>
      <c r="N161">
        <v>0</v>
      </c>
      <c r="O161">
        <v>0</v>
      </c>
      <c r="P161">
        <v>0</v>
      </c>
      <c r="Q161">
        <v>0</v>
      </c>
    </row>
    <row r="162" spans="11:17" x14ac:dyDescent="0.2">
      <c r="K162">
        <v>161</v>
      </c>
      <c r="L162" t="s">
        <v>246</v>
      </c>
      <c r="M162">
        <v>0</v>
      </c>
      <c r="N162">
        <v>0</v>
      </c>
      <c r="O162">
        <v>0</v>
      </c>
      <c r="P162">
        <v>0</v>
      </c>
      <c r="Q162">
        <v>0</v>
      </c>
    </row>
    <row r="163" spans="11:17" x14ac:dyDescent="0.2">
      <c r="K163">
        <v>162</v>
      </c>
      <c r="L163" t="s">
        <v>247</v>
      </c>
      <c r="M163">
        <v>0</v>
      </c>
      <c r="N163">
        <v>0</v>
      </c>
      <c r="O163">
        <v>0</v>
      </c>
      <c r="P163">
        <v>0</v>
      </c>
      <c r="Q163">
        <v>0</v>
      </c>
    </row>
    <row r="164" spans="11:17" x14ac:dyDescent="0.2">
      <c r="K164">
        <v>163</v>
      </c>
      <c r="L164" t="s">
        <v>248</v>
      </c>
      <c r="M164">
        <v>0</v>
      </c>
      <c r="N164">
        <v>0</v>
      </c>
      <c r="O164">
        <v>0</v>
      </c>
      <c r="P164">
        <v>0</v>
      </c>
      <c r="Q164">
        <v>0</v>
      </c>
    </row>
    <row r="165" spans="11:17" x14ac:dyDescent="0.2">
      <c r="K165">
        <v>164</v>
      </c>
      <c r="L165" t="s">
        <v>249</v>
      </c>
      <c r="M165">
        <v>0</v>
      </c>
      <c r="N165">
        <v>0</v>
      </c>
      <c r="O165">
        <v>0</v>
      </c>
      <c r="P165">
        <v>0</v>
      </c>
      <c r="Q165">
        <v>0</v>
      </c>
    </row>
    <row r="166" spans="11:17" x14ac:dyDescent="0.2">
      <c r="K166">
        <v>165</v>
      </c>
      <c r="L166" t="s">
        <v>250</v>
      </c>
      <c r="M166">
        <v>0</v>
      </c>
      <c r="N166">
        <v>0</v>
      </c>
      <c r="O166">
        <v>0</v>
      </c>
      <c r="P166">
        <v>0</v>
      </c>
      <c r="Q166">
        <v>0</v>
      </c>
    </row>
    <row r="167" spans="11:17" x14ac:dyDescent="0.2">
      <c r="K167">
        <v>166</v>
      </c>
      <c r="L167" t="s">
        <v>251</v>
      </c>
      <c r="M167">
        <v>0</v>
      </c>
      <c r="N167">
        <v>0</v>
      </c>
      <c r="O167">
        <v>0</v>
      </c>
      <c r="P167">
        <v>0</v>
      </c>
      <c r="Q167">
        <v>0</v>
      </c>
    </row>
    <row r="168" spans="11:17" x14ac:dyDescent="0.2">
      <c r="K168">
        <v>167</v>
      </c>
      <c r="L168" t="s">
        <v>252</v>
      </c>
      <c r="M168">
        <v>0</v>
      </c>
      <c r="N168">
        <v>0</v>
      </c>
      <c r="O168">
        <v>0</v>
      </c>
      <c r="P168">
        <v>0</v>
      </c>
      <c r="Q168">
        <v>0</v>
      </c>
    </row>
    <row r="169" spans="11:17" x14ac:dyDescent="0.2">
      <c r="K169">
        <v>168</v>
      </c>
      <c r="L169" t="s">
        <v>253</v>
      </c>
      <c r="M169">
        <v>0</v>
      </c>
      <c r="N169">
        <v>0</v>
      </c>
      <c r="O169">
        <v>0</v>
      </c>
      <c r="P169">
        <v>0</v>
      </c>
      <c r="Q169">
        <v>0</v>
      </c>
    </row>
    <row r="170" spans="11:17" x14ac:dyDescent="0.2">
      <c r="K170">
        <v>169</v>
      </c>
      <c r="L170" t="s">
        <v>254</v>
      </c>
      <c r="M170">
        <v>0</v>
      </c>
      <c r="N170">
        <v>0</v>
      </c>
      <c r="O170">
        <v>0</v>
      </c>
      <c r="P170">
        <v>0</v>
      </c>
      <c r="Q170">
        <v>0</v>
      </c>
    </row>
    <row r="171" spans="11:17" x14ac:dyDescent="0.2">
      <c r="K171">
        <v>170</v>
      </c>
      <c r="L171" t="s">
        <v>255</v>
      </c>
      <c r="M171">
        <v>0</v>
      </c>
      <c r="N171">
        <v>0</v>
      </c>
      <c r="O171">
        <v>0</v>
      </c>
      <c r="P171">
        <v>0</v>
      </c>
      <c r="Q171">
        <v>0</v>
      </c>
    </row>
    <row r="172" spans="11:17" x14ac:dyDescent="0.2">
      <c r="K172">
        <v>171</v>
      </c>
      <c r="L172" t="s">
        <v>256</v>
      </c>
      <c r="M172">
        <v>0</v>
      </c>
      <c r="N172">
        <v>0</v>
      </c>
      <c r="O172">
        <v>0</v>
      </c>
      <c r="P172">
        <v>0</v>
      </c>
      <c r="Q172">
        <v>0</v>
      </c>
    </row>
    <row r="173" spans="11:17" x14ac:dyDescent="0.2">
      <c r="K173">
        <v>172</v>
      </c>
      <c r="L173" t="s">
        <v>257</v>
      </c>
      <c r="M173">
        <v>0</v>
      </c>
      <c r="N173">
        <v>0</v>
      </c>
      <c r="O173">
        <v>0</v>
      </c>
      <c r="P173">
        <v>0</v>
      </c>
      <c r="Q173">
        <v>0</v>
      </c>
    </row>
    <row r="174" spans="11:17" x14ac:dyDescent="0.2">
      <c r="K174">
        <v>173</v>
      </c>
      <c r="L174" t="s">
        <v>258</v>
      </c>
      <c r="M174">
        <v>0</v>
      </c>
      <c r="N174">
        <v>0</v>
      </c>
      <c r="O174">
        <v>0</v>
      </c>
      <c r="P174">
        <v>0</v>
      </c>
      <c r="Q174">
        <v>0</v>
      </c>
    </row>
    <row r="175" spans="11:17" x14ac:dyDescent="0.2">
      <c r="K175">
        <v>174</v>
      </c>
      <c r="L175" t="s">
        <v>259</v>
      </c>
      <c r="M175">
        <v>0</v>
      </c>
      <c r="N175">
        <v>0</v>
      </c>
      <c r="O175">
        <v>0</v>
      </c>
      <c r="P175">
        <v>0</v>
      </c>
      <c r="Q175">
        <v>0</v>
      </c>
    </row>
    <row r="176" spans="11:17" x14ac:dyDescent="0.2">
      <c r="K176">
        <v>175</v>
      </c>
      <c r="L176" t="s">
        <v>260</v>
      </c>
      <c r="M176">
        <v>0</v>
      </c>
      <c r="N176">
        <v>0</v>
      </c>
      <c r="O176">
        <v>0</v>
      </c>
      <c r="P176">
        <v>0</v>
      </c>
      <c r="Q176">
        <v>0</v>
      </c>
    </row>
    <row r="177" spans="11:17" x14ac:dyDescent="0.2">
      <c r="K177">
        <v>176</v>
      </c>
      <c r="L177" t="s">
        <v>85</v>
      </c>
      <c r="M177">
        <v>0</v>
      </c>
      <c r="N177">
        <v>0</v>
      </c>
      <c r="O177">
        <v>0</v>
      </c>
      <c r="P177">
        <v>0</v>
      </c>
      <c r="Q177">
        <v>0</v>
      </c>
    </row>
    <row r="178" spans="11:17" x14ac:dyDescent="0.2">
      <c r="K178">
        <v>177</v>
      </c>
      <c r="L178" t="s">
        <v>261</v>
      </c>
      <c r="M178">
        <v>0</v>
      </c>
      <c r="N178">
        <v>0</v>
      </c>
      <c r="O178">
        <v>0</v>
      </c>
      <c r="P178">
        <v>0</v>
      </c>
      <c r="Q178">
        <v>0</v>
      </c>
    </row>
    <row r="179" spans="11:17" x14ac:dyDescent="0.2">
      <c r="K179">
        <v>178</v>
      </c>
      <c r="L179" t="s">
        <v>262</v>
      </c>
      <c r="M179">
        <v>0</v>
      </c>
      <c r="N179">
        <v>0</v>
      </c>
      <c r="O179">
        <v>0</v>
      </c>
      <c r="P179">
        <v>0</v>
      </c>
      <c r="Q179">
        <v>0</v>
      </c>
    </row>
    <row r="180" spans="11:17" x14ac:dyDescent="0.2">
      <c r="K180">
        <v>179</v>
      </c>
      <c r="L180" t="s">
        <v>263</v>
      </c>
      <c r="M180">
        <v>0</v>
      </c>
      <c r="N180">
        <v>0</v>
      </c>
      <c r="O180">
        <v>0</v>
      </c>
      <c r="P180">
        <v>0</v>
      </c>
      <c r="Q180">
        <v>0</v>
      </c>
    </row>
    <row r="181" spans="11:17" x14ac:dyDescent="0.2">
      <c r="K181">
        <v>180</v>
      </c>
      <c r="L181" t="s">
        <v>264</v>
      </c>
      <c r="M181">
        <v>0</v>
      </c>
      <c r="N181">
        <v>0</v>
      </c>
      <c r="O181">
        <v>0</v>
      </c>
      <c r="P181">
        <v>0</v>
      </c>
      <c r="Q181">
        <v>0</v>
      </c>
    </row>
    <row r="182" spans="11:17" x14ac:dyDescent="0.2">
      <c r="K182">
        <v>181</v>
      </c>
      <c r="L182" t="s">
        <v>265</v>
      </c>
      <c r="M182">
        <v>0</v>
      </c>
      <c r="N182">
        <v>0</v>
      </c>
      <c r="O182">
        <v>0</v>
      </c>
      <c r="P182">
        <v>0</v>
      </c>
      <c r="Q182">
        <v>0</v>
      </c>
    </row>
    <row r="183" spans="11:17" x14ac:dyDescent="0.2">
      <c r="K183">
        <v>182</v>
      </c>
      <c r="L183" t="s">
        <v>266</v>
      </c>
      <c r="M183">
        <v>0</v>
      </c>
      <c r="N183">
        <v>0</v>
      </c>
      <c r="O183">
        <v>0</v>
      </c>
      <c r="P183">
        <v>0</v>
      </c>
      <c r="Q183">
        <v>0</v>
      </c>
    </row>
    <row r="184" spans="11:17" x14ac:dyDescent="0.2">
      <c r="K184">
        <v>183</v>
      </c>
      <c r="L184" t="s">
        <v>267</v>
      </c>
      <c r="M184">
        <v>0</v>
      </c>
      <c r="N184">
        <v>0</v>
      </c>
      <c r="O184">
        <v>0</v>
      </c>
      <c r="P184">
        <v>0</v>
      </c>
      <c r="Q184">
        <v>0</v>
      </c>
    </row>
    <row r="185" spans="11:17" x14ac:dyDescent="0.2">
      <c r="K185">
        <v>184</v>
      </c>
      <c r="L185" t="s">
        <v>268</v>
      </c>
      <c r="M185">
        <v>0</v>
      </c>
      <c r="N185">
        <v>0</v>
      </c>
      <c r="O185">
        <v>0</v>
      </c>
      <c r="P185">
        <v>0</v>
      </c>
      <c r="Q185">
        <v>0</v>
      </c>
    </row>
    <row r="186" spans="11:17" x14ac:dyDescent="0.2">
      <c r="K186">
        <v>185</v>
      </c>
      <c r="L186" t="s">
        <v>269</v>
      </c>
      <c r="M186">
        <v>0</v>
      </c>
      <c r="N186">
        <v>0</v>
      </c>
      <c r="O186">
        <v>0</v>
      </c>
      <c r="P186">
        <v>0</v>
      </c>
      <c r="Q186">
        <v>0</v>
      </c>
    </row>
    <row r="187" spans="11:17" x14ac:dyDescent="0.2">
      <c r="K187">
        <v>186</v>
      </c>
      <c r="L187" t="s">
        <v>270</v>
      </c>
      <c r="M187">
        <v>0</v>
      </c>
      <c r="N187">
        <v>0</v>
      </c>
      <c r="O187">
        <v>0</v>
      </c>
      <c r="P187">
        <v>0</v>
      </c>
      <c r="Q187">
        <v>0</v>
      </c>
    </row>
    <row r="188" spans="11:17" x14ac:dyDescent="0.2">
      <c r="K188">
        <v>187</v>
      </c>
      <c r="L188" t="s">
        <v>271</v>
      </c>
      <c r="M188">
        <v>0</v>
      </c>
      <c r="N188">
        <v>0</v>
      </c>
      <c r="O188">
        <v>0</v>
      </c>
      <c r="P188">
        <v>0</v>
      </c>
      <c r="Q188">
        <v>0</v>
      </c>
    </row>
    <row r="189" spans="11:17" x14ac:dyDescent="0.2">
      <c r="K189">
        <v>188</v>
      </c>
      <c r="L189" t="s">
        <v>272</v>
      </c>
      <c r="M189">
        <v>0</v>
      </c>
      <c r="N189">
        <v>0</v>
      </c>
      <c r="O189">
        <v>0</v>
      </c>
      <c r="P189">
        <v>0</v>
      </c>
      <c r="Q189">
        <v>0</v>
      </c>
    </row>
    <row r="190" spans="11:17" x14ac:dyDescent="0.2">
      <c r="K190">
        <v>189</v>
      </c>
      <c r="L190" t="s">
        <v>273</v>
      </c>
      <c r="M190">
        <v>0</v>
      </c>
      <c r="N190">
        <v>0</v>
      </c>
      <c r="O190">
        <v>0</v>
      </c>
      <c r="P190">
        <v>0</v>
      </c>
      <c r="Q190">
        <v>0</v>
      </c>
    </row>
    <row r="191" spans="11:17" x14ac:dyDescent="0.2">
      <c r="K191">
        <v>190</v>
      </c>
      <c r="L191" t="s">
        <v>274</v>
      </c>
      <c r="M191">
        <v>0</v>
      </c>
      <c r="N191">
        <v>0</v>
      </c>
      <c r="O191">
        <v>0</v>
      </c>
      <c r="P191">
        <v>0</v>
      </c>
      <c r="Q191">
        <v>0</v>
      </c>
    </row>
    <row r="192" spans="11:17" x14ac:dyDescent="0.2">
      <c r="K192">
        <v>191</v>
      </c>
      <c r="L192" t="s">
        <v>275</v>
      </c>
      <c r="M192">
        <v>0</v>
      </c>
      <c r="N192">
        <v>0</v>
      </c>
      <c r="O192">
        <v>0</v>
      </c>
      <c r="P192">
        <v>0</v>
      </c>
      <c r="Q192">
        <v>0</v>
      </c>
    </row>
    <row r="193" spans="11:17" x14ac:dyDescent="0.2">
      <c r="K193">
        <v>192</v>
      </c>
      <c r="L193" t="s">
        <v>276</v>
      </c>
      <c r="M193">
        <v>0</v>
      </c>
      <c r="N193">
        <v>0</v>
      </c>
      <c r="O193">
        <v>0</v>
      </c>
      <c r="P193">
        <v>0</v>
      </c>
      <c r="Q193">
        <v>0</v>
      </c>
    </row>
    <row r="194" spans="11:17" x14ac:dyDescent="0.2">
      <c r="K194">
        <v>193</v>
      </c>
      <c r="L194" t="s">
        <v>83</v>
      </c>
      <c r="M194">
        <v>0</v>
      </c>
      <c r="N194">
        <v>0</v>
      </c>
      <c r="O194">
        <v>0</v>
      </c>
      <c r="P194">
        <v>0</v>
      </c>
      <c r="Q194">
        <v>0</v>
      </c>
    </row>
    <row r="195" spans="11:17" x14ac:dyDescent="0.2">
      <c r="K195">
        <v>194</v>
      </c>
      <c r="L195" t="s">
        <v>277</v>
      </c>
      <c r="M195">
        <v>0</v>
      </c>
      <c r="N195">
        <v>0</v>
      </c>
      <c r="O195">
        <v>0</v>
      </c>
      <c r="P195">
        <v>0</v>
      </c>
      <c r="Q195">
        <v>0</v>
      </c>
    </row>
    <row r="196" spans="11:17" x14ac:dyDescent="0.2">
      <c r="K196">
        <v>195</v>
      </c>
      <c r="L196" t="s">
        <v>278</v>
      </c>
      <c r="M196">
        <v>0</v>
      </c>
      <c r="N196">
        <v>0</v>
      </c>
      <c r="O196">
        <v>0</v>
      </c>
      <c r="P196">
        <v>0</v>
      </c>
      <c r="Q196">
        <v>0</v>
      </c>
    </row>
    <row r="197" spans="11:17" x14ac:dyDescent="0.2">
      <c r="K197">
        <v>196</v>
      </c>
      <c r="L197" t="s">
        <v>279</v>
      </c>
      <c r="M197">
        <v>0</v>
      </c>
      <c r="N197">
        <v>0</v>
      </c>
      <c r="O197">
        <v>0</v>
      </c>
      <c r="P197">
        <v>0</v>
      </c>
      <c r="Q197">
        <v>0</v>
      </c>
    </row>
    <row r="198" spans="11:17" x14ac:dyDescent="0.2">
      <c r="K198">
        <v>197</v>
      </c>
      <c r="L198" t="s">
        <v>89</v>
      </c>
      <c r="M198">
        <v>0</v>
      </c>
      <c r="N198">
        <v>0</v>
      </c>
      <c r="O198">
        <v>0</v>
      </c>
      <c r="P198">
        <v>0</v>
      </c>
      <c r="Q198">
        <v>0</v>
      </c>
    </row>
    <row r="199" spans="11:17" x14ac:dyDescent="0.2">
      <c r="K199">
        <v>198</v>
      </c>
      <c r="L199" t="s">
        <v>280</v>
      </c>
      <c r="M199">
        <v>0</v>
      </c>
      <c r="N199">
        <v>0</v>
      </c>
      <c r="O199">
        <v>0</v>
      </c>
      <c r="P199">
        <v>0</v>
      </c>
      <c r="Q199">
        <v>0</v>
      </c>
    </row>
    <row r="200" spans="11:17" x14ac:dyDescent="0.2">
      <c r="K200">
        <v>199</v>
      </c>
      <c r="L200" t="s">
        <v>281</v>
      </c>
      <c r="M200">
        <v>0</v>
      </c>
      <c r="N200">
        <v>0</v>
      </c>
      <c r="O200">
        <v>0</v>
      </c>
      <c r="P200">
        <v>0</v>
      </c>
      <c r="Q200">
        <v>0</v>
      </c>
    </row>
    <row r="201" spans="11:17" x14ac:dyDescent="0.2">
      <c r="K201">
        <v>200</v>
      </c>
      <c r="L201" t="s">
        <v>282</v>
      </c>
      <c r="M201">
        <v>0</v>
      </c>
      <c r="N201">
        <v>0</v>
      </c>
      <c r="O201">
        <v>0</v>
      </c>
      <c r="P201">
        <v>0</v>
      </c>
      <c r="Q201">
        <v>0</v>
      </c>
    </row>
    <row r="202" spans="11:17" x14ac:dyDescent="0.2">
      <c r="K202">
        <v>201</v>
      </c>
      <c r="L202" t="s">
        <v>283</v>
      </c>
      <c r="M202">
        <v>0</v>
      </c>
      <c r="N202">
        <v>0</v>
      </c>
      <c r="O202">
        <v>0</v>
      </c>
      <c r="P202">
        <v>0</v>
      </c>
      <c r="Q202">
        <v>0</v>
      </c>
    </row>
    <row r="203" spans="11:17" x14ac:dyDescent="0.2">
      <c r="K203">
        <v>202</v>
      </c>
      <c r="L203" t="s">
        <v>284</v>
      </c>
      <c r="M203">
        <v>0</v>
      </c>
      <c r="N203">
        <v>0</v>
      </c>
      <c r="O203">
        <v>0</v>
      </c>
      <c r="P203">
        <v>0</v>
      </c>
      <c r="Q203">
        <v>0</v>
      </c>
    </row>
    <row r="204" spans="11:17" x14ac:dyDescent="0.2">
      <c r="K204">
        <v>203</v>
      </c>
      <c r="L204" t="s">
        <v>285</v>
      </c>
      <c r="M204">
        <v>0</v>
      </c>
      <c r="N204">
        <v>0</v>
      </c>
      <c r="O204">
        <v>0</v>
      </c>
      <c r="P204">
        <v>0</v>
      </c>
      <c r="Q204">
        <v>0</v>
      </c>
    </row>
    <row r="205" spans="11:17" x14ac:dyDescent="0.2">
      <c r="K205">
        <v>204</v>
      </c>
      <c r="L205" t="s">
        <v>286</v>
      </c>
      <c r="M205">
        <v>0</v>
      </c>
      <c r="N205">
        <v>0</v>
      </c>
      <c r="O205">
        <v>0</v>
      </c>
      <c r="P205">
        <v>0</v>
      </c>
      <c r="Q205">
        <v>0</v>
      </c>
    </row>
    <row r="206" spans="11:17" x14ac:dyDescent="0.2">
      <c r="K206">
        <v>205</v>
      </c>
      <c r="L206" t="s">
        <v>287</v>
      </c>
      <c r="M206">
        <v>0</v>
      </c>
      <c r="N206">
        <v>0</v>
      </c>
      <c r="O206">
        <v>0</v>
      </c>
      <c r="P206">
        <v>0</v>
      </c>
      <c r="Q206">
        <v>0</v>
      </c>
    </row>
    <row r="207" spans="11:17" x14ac:dyDescent="0.2">
      <c r="K207">
        <v>206</v>
      </c>
      <c r="L207" t="s">
        <v>288</v>
      </c>
      <c r="M207">
        <v>0</v>
      </c>
      <c r="N207">
        <v>0</v>
      </c>
      <c r="O207">
        <v>0</v>
      </c>
      <c r="P207">
        <v>0</v>
      </c>
      <c r="Q207">
        <v>0</v>
      </c>
    </row>
    <row r="208" spans="11:17" x14ac:dyDescent="0.2">
      <c r="K208">
        <v>207</v>
      </c>
      <c r="L208" t="s">
        <v>289</v>
      </c>
      <c r="M208">
        <v>0</v>
      </c>
      <c r="N208">
        <v>0</v>
      </c>
      <c r="O208">
        <v>0</v>
      </c>
      <c r="P208">
        <v>0</v>
      </c>
      <c r="Q208">
        <v>0</v>
      </c>
    </row>
    <row r="209" spans="11:17" x14ac:dyDescent="0.2">
      <c r="K209">
        <v>208</v>
      </c>
      <c r="L209" t="s">
        <v>290</v>
      </c>
      <c r="M209">
        <v>0</v>
      </c>
      <c r="N209">
        <v>0</v>
      </c>
      <c r="O209">
        <v>0</v>
      </c>
      <c r="P209">
        <v>0</v>
      </c>
      <c r="Q209">
        <v>0</v>
      </c>
    </row>
    <row r="210" spans="11:17" x14ac:dyDescent="0.2">
      <c r="K210">
        <v>209</v>
      </c>
      <c r="L210" t="s">
        <v>291</v>
      </c>
      <c r="M210">
        <v>0</v>
      </c>
      <c r="N210">
        <v>0</v>
      </c>
      <c r="O210">
        <v>0</v>
      </c>
      <c r="P210">
        <v>0</v>
      </c>
      <c r="Q210">
        <v>0</v>
      </c>
    </row>
    <row r="211" spans="11:17" x14ac:dyDescent="0.2">
      <c r="K211">
        <v>210</v>
      </c>
      <c r="L211" t="s">
        <v>292</v>
      </c>
      <c r="M211">
        <v>0</v>
      </c>
      <c r="N211">
        <v>0</v>
      </c>
      <c r="O211">
        <v>0</v>
      </c>
      <c r="P211">
        <v>0</v>
      </c>
      <c r="Q211">
        <v>0</v>
      </c>
    </row>
    <row r="212" spans="11:17" x14ac:dyDescent="0.2">
      <c r="K212">
        <v>211</v>
      </c>
      <c r="L212" t="s">
        <v>293</v>
      </c>
      <c r="M212">
        <v>0</v>
      </c>
      <c r="N212">
        <v>0</v>
      </c>
      <c r="O212">
        <v>0</v>
      </c>
      <c r="P212">
        <v>0</v>
      </c>
      <c r="Q212">
        <v>0</v>
      </c>
    </row>
    <row r="213" spans="11:17" x14ac:dyDescent="0.2">
      <c r="K213">
        <v>212</v>
      </c>
      <c r="L213" t="s">
        <v>294</v>
      </c>
      <c r="M213">
        <v>0</v>
      </c>
      <c r="N213">
        <v>0</v>
      </c>
      <c r="O213">
        <v>0</v>
      </c>
      <c r="P213">
        <v>0</v>
      </c>
      <c r="Q213">
        <v>0</v>
      </c>
    </row>
    <row r="214" spans="11:17" x14ac:dyDescent="0.2">
      <c r="K214">
        <v>213</v>
      </c>
      <c r="L214" t="s">
        <v>295</v>
      </c>
      <c r="M214">
        <v>0</v>
      </c>
      <c r="N214">
        <v>0</v>
      </c>
      <c r="O214">
        <v>0</v>
      </c>
      <c r="P214">
        <v>0</v>
      </c>
      <c r="Q214">
        <v>0</v>
      </c>
    </row>
    <row r="215" spans="11:17" x14ac:dyDescent="0.2">
      <c r="K215">
        <v>214</v>
      </c>
      <c r="L215" t="s">
        <v>296</v>
      </c>
      <c r="M215">
        <v>0</v>
      </c>
      <c r="N215">
        <v>0</v>
      </c>
      <c r="O215">
        <v>0</v>
      </c>
      <c r="P215">
        <v>0</v>
      </c>
      <c r="Q215">
        <v>0</v>
      </c>
    </row>
    <row r="216" spans="11:17" x14ac:dyDescent="0.2">
      <c r="K216">
        <v>215</v>
      </c>
      <c r="L216" t="s">
        <v>297</v>
      </c>
      <c r="M216">
        <v>0</v>
      </c>
      <c r="N216">
        <v>0</v>
      </c>
      <c r="O216">
        <v>0</v>
      </c>
      <c r="P216">
        <v>0</v>
      </c>
      <c r="Q216">
        <v>0</v>
      </c>
    </row>
    <row r="217" spans="11:17" x14ac:dyDescent="0.2">
      <c r="K217">
        <v>216</v>
      </c>
      <c r="L217" t="s">
        <v>298</v>
      </c>
      <c r="M217">
        <v>0</v>
      </c>
      <c r="N217">
        <v>0</v>
      </c>
      <c r="O217">
        <v>0</v>
      </c>
      <c r="P217">
        <v>0</v>
      </c>
      <c r="Q217">
        <v>0</v>
      </c>
    </row>
    <row r="218" spans="11:17" x14ac:dyDescent="0.2">
      <c r="K218">
        <v>217</v>
      </c>
      <c r="L218" t="s">
        <v>299</v>
      </c>
      <c r="M218">
        <v>0</v>
      </c>
      <c r="N218">
        <v>0</v>
      </c>
      <c r="O218">
        <v>0</v>
      </c>
      <c r="P218">
        <v>0</v>
      </c>
      <c r="Q218">
        <v>0</v>
      </c>
    </row>
    <row r="219" spans="11:17" x14ac:dyDescent="0.2">
      <c r="K219">
        <v>218</v>
      </c>
      <c r="L219" t="s">
        <v>300</v>
      </c>
      <c r="M219">
        <v>0</v>
      </c>
      <c r="N219">
        <v>0</v>
      </c>
      <c r="O219">
        <v>0</v>
      </c>
      <c r="P219">
        <v>0</v>
      </c>
      <c r="Q219">
        <v>0</v>
      </c>
    </row>
    <row r="220" spans="11:17" x14ac:dyDescent="0.2">
      <c r="K220">
        <v>219</v>
      </c>
      <c r="L220" t="s">
        <v>90</v>
      </c>
      <c r="M220">
        <v>0</v>
      </c>
      <c r="N220">
        <v>0</v>
      </c>
      <c r="O220">
        <v>0</v>
      </c>
      <c r="P220">
        <v>0</v>
      </c>
      <c r="Q220">
        <v>0</v>
      </c>
    </row>
    <row r="221" spans="11:17" x14ac:dyDescent="0.2">
      <c r="K221">
        <v>220</v>
      </c>
      <c r="L221" t="s">
        <v>301</v>
      </c>
      <c r="M221">
        <v>0</v>
      </c>
      <c r="N221">
        <v>0</v>
      </c>
      <c r="O221">
        <v>0</v>
      </c>
      <c r="P221">
        <v>0</v>
      </c>
      <c r="Q221">
        <v>0</v>
      </c>
    </row>
    <row r="222" spans="11:17" x14ac:dyDescent="0.2">
      <c r="K222">
        <v>221</v>
      </c>
      <c r="L222" t="s">
        <v>302</v>
      </c>
      <c r="M222">
        <v>0</v>
      </c>
      <c r="N222">
        <v>0</v>
      </c>
      <c r="O222">
        <v>0</v>
      </c>
      <c r="P222">
        <v>0</v>
      </c>
      <c r="Q222">
        <v>0</v>
      </c>
    </row>
    <row r="223" spans="11:17" x14ac:dyDescent="0.2">
      <c r="K223">
        <v>222</v>
      </c>
      <c r="L223" t="s">
        <v>303</v>
      </c>
      <c r="M223">
        <v>0</v>
      </c>
      <c r="N223">
        <v>0</v>
      </c>
      <c r="O223">
        <v>0</v>
      </c>
      <c r="P223">
        <v>0</v>
      </c>
      <c r="Q223">
        <v>0</v>
      </c>
    </row>
    <row r="224" spans="11:17" x14ac:dyDescent="0.2">
      <c r="K224">
        <v>223</v>
      </c>
      <c r="L224" t="s">
        <v>304</v>
      </c>
      <c r="M224">
        <v>0</v>
      </c>
      <c r="N224">
        <v>0</v>
      </c>
      <c r="O224">
        <v>0</v>
      </c>
      <c r="P224">
        <v>0</v>
      </c>
      <c r="Q224">
        <v>0</v>
      </c>
    </row>
    <row r="225" spans="11:17" x14ac:dyDescent="0.2">
      <c r="K225">
        <v>224</v>
      </c>
      <c r="L225" t="s">
        <v>13</v>
      </c>
      <c r="M225">
        <v>0</v>
      </c>
      <c r="N225">
        <v>0</v>
      </c>
      <c r="O225">
        <v>0</v>
      </c>
      <c r="P225">
        <v>0</v>
      </c>
      <c r="Q225">
        <v>0</v>
      </c>
    </row>
    <row r="226" spans="11:17" x14ac:dyDescent="0.2">
      <c r="K226">
        <v>225</v>
      </c>
      <c r="L226" t="s">
        <v>71</v>
      </c>
      <c r="M226">
        <v>0</v>
      </c>
      <c r="N226">
        <v>0</v>
      </c>
      <c r="O226">
        <v>0</v>
      </c>
      <c r="P226">
        <v>0</v>
      </c>
      <c r="Q226">
        <v>0</v>
      </c>
    </row>
    <row r="227" spans="11:17" x14ac:dyDescent="0.2">
      <c r="K227">
        <v>226</v>
      </c>
      <c r="L227" t="s">
        <v>72</v>
      </c>
      <c r="M227">
        <v>0</v>
      </c>
      <c r="N227">
        <v>0</v>
      </c>
      <c r="O227">
        <v>0</v>
      </c>
      <c r="P227">
        <v>0</v>
      </c>
      <c r="Q227">
        <v>0</v>
      </c>
    </row>
    <row r="228" spans="11:17" x14ac:dyDescent="0.2">
      <c r="K228">
        <v>227</v>
      </c>
      <c r="L228" t="s">
        <v>62</v>
      </c>
      <c r="M228">
        <v>0</v>
      </c>
      <c r="N228">
        <v>0</v>
      </c>
      <c r="O228">
        <v>0</v>
      </c>
      <c r="P228">
        <v>0</v>
      </c>
      <c r="Q228">
        <v>0</v>
      </c>
    </row>
    <row r="229" spans="11:17" x14ac:dyDescent="0.2">
      <c r="K229">
        <v>228</v>
      </c>
      <c r="L229" t="s">
        <v>36</v>
      </c>
      <c r="M229">
        <v>0</v>
      </c>
      <c r="N229">
        <v>0</v>
      </c>
      <c r="O229">
        <v>0</v>
      </c>
      <c r="P229">
        <v>0</v>
      </c>
      <c r="Q229">
        <v>0</v>
      </c>
    </row>
    <row r="230" spans="11:17" x14ac:dyDescent="0.2">
      <c r="K230">
        <v>229</v>
      </c>
      <c r="L230" t="s">
        <v>49</v>
      </c>
      <c r="M230">
        <v>0</v>
      </c>
      <c r="N230">
        <v>0</v>
      </c>
      <c r="O230">
        <v>0</v>
      </c>
      <c r="P230">
        <v>0</v>
      </c>
      <c r="Q230">
        <v>0</v>
      </c>
    </row>
    <row r="231" spans="11:17" x14ac:dyDescent="0.2">
      <c r="K231">
        <v>230</v>
      </c>
      <c r="L231" t="s">
        <v>57</v>
      </c>
      <c r="M231">
        <v>0</v>
      </c>
      <c r="N231">
        <v>0</v>
      </c>
      <c r="O231">
        <v>0</v>
      </c>
      <c r="P231">
        <v>0</v>
      </c>
      <c r="Q231">
        <v>0</v>
      </c>
    </row>
    <row r="232" spans="11:17" x14ac:dyDescent="0.2">
      <c r="K232">
        <v>231</v>
      </c>
      <c r="L232" t="s">
        <v>56</v>
      </c>
      <c r="M232">
        <v>0</v>
      </c>
      <c r="N232">
        <v>0</v>
      </c>
      <c r="O232">
        <v>0</v>
      </c>
      <c r="P232">
        <v>0</v>
      </c>
      <c r="Q232">
        <v>0</v>
      </c>
    </row>
    <row r="233" spans="11:17" x14ac:dyDescent="0.2">
      <c r="K233">
        <v>232</v>
      </c>
      <c r="L233" t="s">
        <v>78</v>
      </c>
      <c r="M233">
        <v>0</v>
      </c>
      <c r="N233">
        <v>0</v>
      </c>
      <c r="O233">
        <v>0</v>
      </c>
      <c r="P233">
        <v>0</v>
      </c>
      <c r="Q233">
        <v>0</v>
      </c>
    </row>
    <row r="234" spans="11:17" x14ac:dyDescent="0.2">
      <c r="K234">
        <v>233</v>
      </c>
      <c r="L234" t="s">
        <v>79</v>
      </c>
      <c r="M234">
        <v>0</v>
      </c>
      <c r="N234">
        <v>0</v>
      </c>
      <c r="O234">
        <v>0</v>
      </c>
      <c r="P234">
        <v>0</v>
      </c>
      <c r="Q234">
        <v>0</v>
      </c>
    </row>
    <row r="235" spans="11:17" x14ac:dyDescent="0.2">
      <c r="K235">
        <v>234</v>
      </c>
      <c r="L235" t="s">
        <v>100</v>
      </c>
      <c r="M235">
        <v>0</v>
      </c>
      <c r="N235">
        <v>0</v>
      </c>
      <c r="O235">
        <v>0</v>
      </c>
      <c r="P235">
        <v>0</v>
      </c>
      <c r="Q235">
        <v>0</v>
      </c>
    </row>
    <row r="236" spans="11:17" x14ac:dyDescent="0.2">
      <c r="K236">
        <v>235</v>
      </c>
      <c r="L236" t="s">
        <v>104</v>
      </c>
      <c r="M236">
        <v>0</v>
      </c>
      <c r="N236">
        <v>0</v>
      </c>
      <c r="O236">
        <v>0</v>
      </c>
      <c r="P236">
        <v>0</v>
      </c>
      <c r="Q236">
        <v>0</v>
      </c>
    </row>
    <row r="237" spans="11:17" x14ac:dyDescent="0.2">
      <c r="K237">
        <v>236</v>
      </c>
      <c r="L237" t="s">
        <v>106</v>
      </c>
      <c r="M237">
        <v>0</v>
      </c>
      <c r="N237">
        <v>0</v>
      </c>
      <c r="O237">
        <v>0</v>
      </c>
      <c r="P237">
        <v>0</v>
      </c>
      <c r="Q237">
        <v>0</v>
      </c>
    </row>
    <row r="238" spans="11:17" x14ac:dyDescent="0.2">
      <c r="K238">
        <v>237</v>
      </c>
      <c r="L238" t="s">
        <v>107</v>
      </c>
      <c r="M238">
        <v>0</v>
      </c>
      <c r="N238">
        <v>0</v>
      </c>
      <c r="O238">
        <v>0</v>
      </c>
      <c r="P238">
        <v>0</v>
      </c>
      <c r="Q238">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BF70F-94AE-DF48-A7D1-921A2660EFCB}">
  <sheetPr codeName="Sheet11"/>
  <dimension ref="A1:E1119"/>
  <sheetViews>
    <sheetView topLeftCell="A739" zoomScale="73" zoomScaleNormal="73" workbookViewId="0">
      <selection activeCell="B773" sqref="B773"/>
    </sheetView>
  </sheetViews>
  <sheetFormatPr baseColWidth="10" defaultRowHeight="16" x14ac:dyDescent="0.2"/>
  <cols>
    <col min="5" max="5" width="10.83203125" style="3"/>
  </cols>
  <sheetData>
    <row r="1" spans="1:5" x14ac:dyDescent="0.2">
      <c r="A1" s="1" t="s">
        <v>0</v>
      </c>
      <c r="E1" s="5" t="s">
        <v>306</v>
      </c>
    </row>
    <row r="2" spans="1:5" x14ac:dyDescent="0.2">
      <c r="A2" s="1" t="s">
        <v>1</v>
      </c>
      <c r="B2" s="1" t="s">
        <v>2</v>
      </c>
      <c r="C2" s="1" t="s">
        <v>3</v>
      </c>
      <c r="D2" s="1" t="s">
        <v>4</v>
      </c>
      <c r="E2" s="4">
        <v>1</v>
      </c>
    </row>
    <row r="3" spans="1:5" x14ac:dyDescent="0.2">
      <c r="A3">
        <v>1</v>
      </c>
      <c r="B3" t="s">
        <v>32</v>
      </c>
      <c r="C3">
        <v>3</v>
      </c>
      <c r="D3">
        <v>16</v>
      </c>
      <c r="E3" s="3">
        <f>1</f>
        <v>1</v>
      </c>
    </row>
    <row r="4" spans="1:5" x14ac:dyDescent="0.2">
      <c r="A4">
        <v>2</v>
      </c>
      <c r="B4" t="s">
        <v>18</v>
      </c>
      <c r="C4">
        <v>1</v>
      </c>
      <c r="D4">
        <v>12</v>
      </c>
      <c r="E4" s="3">
        <f>IF(A4=$A$1,E3+1,E3)</f>
        <v>1</v>
      </c>
    </row>
    <row r="5" spans="1:5" x14ac:dyDescent="0.2">
      <c r="A5">
        <v>3</v>
      </c>
      <c r="B5" t="s">
        <v>69</v>
      </c>
      <c r="C5">
        <v>1</v>
      </c>
      <c r="D5">
        <v>8</v>
      </c>
      <c r="E5" s="3">
        <f>1</f>
        <v>1</v>
      </c>
    </row>
    <row r="6" spans="1:5" x14ac:dyDescent="0.2">
      <c r="A6">
        <v>4</v>
      </c>
      <c r="B6" t="s">
        <v>47</v>
      </c>
      <c r="C6">
        <v>0</v>
      </c>
      <c r="D6">
        <v>4</v>
      </c>
      <c r="E6" s="3">
        <f>IF(A6=$A$1,E5+1,E5)</f>
        <v>1</v>
      </c>
    </row>
    <row r="7" spans="1:5" x14ac:dyDescent="0.2">
      <c r="A7">
        <v>5</v>
      </c>
      <c r="B7" t="s">
        <v>12</v>
      </c>
      <c r="C7">
        <v>0</v>
      </c>
      <c r="D7">
        <v>2</v>
      </c>
      <c r="E7" s="3">
        <f>1</f>
        <v>1</v>
      </c>
    </row>
    <row r="8" spans="1:5" x14ac:dyDescent="0.2">
      <c r="A8">
        <v>6</v>
      </c>
      <c r="B8" t="s">
        <v>40</v>
      </c>
      <c r="C8">
        <v>0</v>
      </c>
      <c r="D8">
        <v>1</v>
      </c>
      <c r="E8" s="3">
        <f>IF(A8=$A$1,E7+1,E7)</f>
        <v>1</v>
      </c>
    </row>
    <row r="9" spans="1:5" x14ac:dyDescent="0.2">
      <c r="A9">
        <v>7</v>
      </c>
      <c r="B9" s="2" t="s">
        <v>10</v>
      </c>
      <c r="C9" s="2" t="s">
        <v>10</v>
      </c>
      <c r="D9" s="2" t="s">
        <v>10</v>
      </c>
      <c r="E9" s="3">
        <f>1</f>
        <v>1</v>
      </c>
    </row>
    <row r="10" spans="1:5" x14ac:dyDescent="0.2">
      <c r="A10">
        <v>8</v>
      </c>
      <c r="B10" s="2" t="s">
        <v>10</v>
      </c>
      <c r="C10" s="2" t="s">
        <v>10</v>
      </c>
      <c r="D10" s="2" t="s">
        <v>10</v>
      </c>
      <c r="E10" s="3">
        <f>IF(A10=$A$1,E9+1,E9)</f>
        <v>1</v>
      </c>
    </row>
    <row r="11" spans="1:5" x14ac:dyDescent="0.2">
      <c r="A11" s="1" t="s">
        <v>11</v>
      </c>
      <c r="E11" s="3">
        <f>1</f>
        <v>1</v>
      </c>
    </row>
    <row r="12" spans="1:5" x14ac:dyDescent="0.2">
      <c r="A12" s="1" t="s">
        <v>1</v>
      </c>
      <c r="B12" s="1" t="s">
        <v>2</v>
      </c>
      <c r="C12" s="1" t="s">
        <v>3</v>
      </c>
      <c r="D12" s="1" t="s">
        <v>4</v>
      </c>
      <c r="E12" s="3">
        <f>IF(A12=$A$1,E11+1,E11)</f>
        <v>1</v>
      </c>
    </row>
    <row r="13" spans="1:5" x14ac:dyDescent="0.2">
      <c r="A13">
        <v>1</v>
      </c>
      <c r="B13" t="s">
        <v>31</v>
      </c>
      <c r="C13">
        <v>2</v>
      </c>
      <c r="D13">
        <v>16</v>
      </c>
      <c r="E13" s="3">
        <f>1</f>
        <v>1</v>
      </c>
    </row>
    <row r="14" spans="1:5" x14ac:dyDescent="0.2">
      <c r="A14">
        <v>2</v>
      </c>
      <c r="B14" t="s">
        <v>59</v>
      </c>
      <c r="C14">
        <v>2</v>
      </c>
      <c r="D14">
        <v>12</v>
      </c>
      <c r="E14" s="3">
        <f>IF(A14=$A$1,E13+1,E13)</f>
        <v>1</v>
      </c>
    </row>
    <row r="15" spans="1:5" x14ac:dyDescent="0.2">
      <c r="A15">
        <v>3</v>
      </c>
      <c r="B15" t="s">
        <v>76</v>
      </c>
      <c r="C15">
        <v>1</v>
      </c>
      <c r="D15">
        <v>8</v>
      </c>
      <c r="E15" s="3">
        <f>1</f>
        <v>1</v>
      </c>
    </row>
    <row r="16" spans="1:5" x14ac:dyDescent="0.2">
      <c r="A16">
        <v>4</v>
      </c>
      <c r="B16" t="s">
        <v>15</v>
      </c>
      <c r="C16">
        <v>0</v>
      </c>
      <c r="D16">
        <v>4</v>
      </c>
      <c r="E16" s="3">
        <f>IF(A16=$A$1,E15+1,E15)</f>
        <v>1</v>
      </c>
    </row>
    <row r="17" spans="1:5" x14ac:dyDescent="0.2">
      <c r="A17">
        <v>5</v>
      </c>
      <c r="B17" t="s">
        <v>60</v>
      </c>
      <c r="C17">
        <v>0</v>
      </c>
      <c r="D17">
        <v>2</v>
      </c>
      <c r="E17" s="3">
        <f>1</f>
        <v>1</v>
      </c>
    </row>
    <row r="18" spans="1:5" x14ac:dyDescent="0.2">
      <c r="A18">
        <v>6</v>
      </c>
      <c r="B18" t="s">
        <v>73</v>
      </c>
      <c r="C18">
        <v>0</v>
      </c>
      <c r="D18">
        <v>1</v>
      </c>
      <c r="E18" s="3">
        <f>IF(A18=$A$1,E17+1,E17)</f>
        <v>1</v>
      </c>
    </row>
    <row r="19" spans="1:5" x14ac:dyDescent="0.2">
      <c r="A19">
        <v>7</v>
      </c>
      <c r="B19" s="2" t="s">
        <v>10</v>
      </c>
      <c r="C19" s="2" t="s">
        <v>10</v>
      </c>
      <c r="D19" s="2" t="s">
        <v>10</v>
      </c>
      <c r="E19" s="3">
        <f>1</f>
        <v>1</v>
      </c>
    </row>
    <row r="20" spans="1:5" x14ac:dyDescent="0.2">
      <c r="A20">
        <v>8</v>
      </c>
      <c r="B20" s="2" t="s">
        <v>10</v>
      </c>
      <c r="C20" s="2" t="s">
        <v>10</v>
      </c>
      <c r="D20" s="2" t="s">
        <v>10</v>
      </c>
      <c r="E20" s="3">
        <f>IF(A20=$A$1,E19+1,E19)</f>
        <v>1</v>
      </c>
    </row>
    <row r="21" spans="1:5" x14ac:dyDescent="0.2">
      <c r="A21" s="1" t="s">
        <v>17</v>
      </c>
      <c r="E21" s="3">
        <f>1</f>
        <v>1</v>
      </c>
    </row>
    <row r="22" spans="1:5" x14ac:dyDescent="0.2">
      <c r="A22" s="1" t="s">
        <v>1</v>
      </c>
      <c r="B22" s="1" t="s">
        <v>2</v>
      </c>
      <c r="C22" s="1" t="s">
        <v>3</v>
      </c>
      <c r="D22" s="1" t="s">
        <v>4</v>
      </c>
      <c r="E22" s="3">
        <f>IF(A22=$A$1,E21+1,E21)</f>
        <v>1</v>
      </c>
    </row>
    <row r="23" spans="1:5" x14ac:dyDescent="0.2">
      <c r="A23">
        <v>1</v>
      </c>
      <c r="B23" t="s">
        <v>68</v>
      </c>
      <c r="C23">
        <v>2</v>
      </c>
      <c r="D23">
        <v>15</v>
      </c>
      <c r="E23" s="3">
        <f>1</f>
        <v>1</v>
      </c>
    </row>
    <row r="24" spans="1:5" x14ac:dyDescent="0.2">
      <c r="A24">
        <v>2</v>
      </c>
      <c r="B24" t="s">
        <v>65</v>
      </c>
      <c r="C24">
        <v>1</v>
      </c>
      <c r="D24">
        <v>11</v>
      </c>
      <c r="E24" s="3">
        <f>IF(A24=$A$1,E23+1,E23)</f>
        <v>1</v>
      </c>
    </row>
    <row r="25" spans="1:5" x14ac:dyDescent="0.2">
      <c r="A25">
        <v>3</v>
      </c>
      <c r="B25" t="s">
        <v>26</v>
      </c>
      <c r="C25">
        <v>0</v>
      </c>
      <c r="D25">
        <v>7</v>
      </c>
      <c r="E25" s="3">
        <f>1</f>
        <v>1</v>
      </c>
    </row>
    <row r="26" spans="1:5" x14ac:dyDescent="0.2">
      <c r="A26">
        <v>4</v>
      </c>
      <c r="B26" t="s">
        <v>101</v>
      </c>
      <c r="C26">
        <v>1</v>
      </c>
      <c r="D26">
        <v>3</v>
      </c>
      <c r="E26" s="3">
        <f>IF(A26=$A$1,E25+1,E25)</f>
        <v>1</v>
      </c>
    </row>
    <row r="27" spans="1:5" x14ac:dyDescent="0.2">
      <c r="A27">
        <v>5</v>
      </c>
      <c r="B27" t="s">
        <v>14</v>
      </c>
      <c r="C27">
        <v>0</v>
      </c>
      <c r="D27">
        <v>1</v>
      </c>
      <c r="E27" s="3">
        <f>1</f>
        <v>1</v>
      </c>
    </row>
    <row r="28" spans="1:5" x14ac:dyDescent="0.2">
      <c r="A28">
        <v>6</v>
      </c>
      <c r="B28" s="2" t="s">
        <v>10</v>
      </c>
      <c r="C28" s="2" t="s">
        <v>10</v>
      </c>
      <c r="D28" s="2" t="s">
        <v>10</v>
      </c>
      <c r="E28" s="3">
        <f>IF(A28=$A$1,E27+1,E27)</f>
        <v>1</v>
      </c>
    </row>
    <row r="29" spans="1:5" x14ac:dyDescent="0.2">
      <c r="A29">
        <v>7</v>
      </c>
      <c r="B29" s="2" t="s">
        <v>10</v>
      </c>
      <c r="C29" s="2" t="s">
        <v>10</v>
      </c>
      <c r="D29" s="2" t="s">
        <v>10</v>
      </c>
      <c r="E29" s="3">
        <f>1</f>
        <v>1</v>
      </c>
    </row>
    <row r="30" spans="1:5" x14ac:dyDescent="0.2">
      <c r="A30">
        <v>8</v>
      </c>
      <c r="B30" s="2" t="s">
        <v>10</v>
      </c>
      <c r="C30" s="2" t="s">
        <v>10</v>
      </c>
      <c r="D30" s="2" t="s">
        <v>10</v>
      </c>
      <c r="E30" s="3">
        <f>IF(A30=$A$1,E29+1,E29)</f>
        <v>1</v>
      </c>
    </row>
    <row r="31" spans="1:5" x14ac:dyDescent="0.2">
      <c r="A31" s="1" t="s">
        <v>24</v>
      </c>
      <c r="E31" s="3">
        <f>1</f>
        <v>1</v>
      </c>
    </row>
    <row r="32" spans="1:5" x14ac:dyDescent="0.2">
      <c r="A32" s="1" t="s">
        <v>1</v>
      </c>
      <c r="B32" s="1" t="s">
        <v>2</v>
      </c>
      <c r="C32" s="1" t="s">
        <v>3</v>
      </c>
      <c r="D32" s="1" t="s">
        <v>4</v>
      </c>
      <c r="E32" s="3">
        <f t="shared" ref="E32:E95" si="0">IF(A32=$A$1,E31+1,E31)</f>
        <v>1</v>
      </c>
    </row>
    <row r="33" spans="1:5" x14ac:dyDescent="0.2">
      <c r="A33">
        <v>1</v>
      </c>
      <c r="B33" t="s">
        <v>75</v>
      </c>
      <c r="C33">
        <v>3</v>
      </c>
      <c r="D33">
        <v>16</v>
      </c>
      <c r="E33" s="3">
        <f t="shared" si="0"/>
        <v>1</v>
      </c>
    </row>
    <row r="34" spans="1:5" x14ac:dyDescent="0.2">
      <c r="A34">
        <v>2</v>
      </c>
      <c r="B34" t="s">
        <v>55</v>
      </c>
      <c r="C34">
        <v>0</v>
      </c>
      <c r="D34">
        <v>12</v>
      </c>
      <c r="E34" s="3">
        <f t="shared" si="0"/>
        <v>1</v>
      </c>
    </row>
    <row r="35" spans="1:5" x14ac:dyDescent="0.2">
      <c r="A35">
        <v>3</v>
      </c>
      <c r="B35" t="s">
        <v>45</v>
      </c>
      <c r="C35">
        <v>1</v>
      </c>
      <c r="D35">
        <v>8</v>
      </c>
      <c r="E35" s="3">
        <f t="shared" si="0"/>
        <v>1</v>
      </c>
    </row>
    <row r="36" spans="1:5" x14ac:dyDescent="0.2">
      <c r="A36">
        <v>4</v>
      </c>
      <c r="B36" t="s">
        <v>8</v>
      </c>
      <c r="C36">
        <v>1</v>
      </c>
      <c r="D36">
        <v>4</v>
      </c>
      <c r="E36" s="3">
        <f t="shared" si="0"/>
        <v>1</v>
      </c>
    </row>
    <row r="37" spans="1:5" x14ac:dyDescent="0.2">
      <c r="A37">
        <v>5</v>
      </c>
      <c r="B37" t="s">
        <v>9</v>
      </c>
      <c r="C37">
        <v>0</v>
      </c>
      <c r="D37">
        <v>2</v>
      </c>
      <c r="E37" s="3">
        <f t="shared" si="0"/>
        <v>1</v>
      </c>
    </row>
    <row r="38" spans="1:5" x14ac:dyDescent="0.2">
      <c r="A38">
        <v>6</v>
      </c>
      <c r="B38" t="s">
        <v>92</v>
      </c>
      <c r="C38">
        <v>0</v>
      </c>
      <c r="D38">
        <v>1</v>
      </c>
      <c r="E38" s="3">
        <f t="shared" si="0"/>
        <v>1</v>
      </c>
    </row>
    <row r="39" spans="1:5" x14ac:dyDescent="0.2">
      <c r="A39">
        <v>7</v>
      </c>
      <c r="B39" s="2" t="s">
        <v>10</v>
      </c>
      <c r="C39" s="2" t="s">
        <v>10</v>
      </c>
      <c r="D39" s="2" t="s">
        <v>10</v>
      </c>
      <c r="E39" s="3">
        <f t="shared" si="0"/>
        <v>1</v>
      </c>
    </row>
    <row r="40" spans="1:5" x14ac:dyDescent="0.2">
      <c r="A40">
        <v>8</v>
      </c>
      <c r="B40" s="2" t="s">
        <v>10</v>
      </c>
      <c r="C40" s="2" t="s">
        <v>10</v>
      </c>
      <c r="D40" s="2" t="s">
        <v>10</v>
      </c>
      <c r="E40" s="3">
        <f t="shared" si="0"/>
        <v>1</v>
      </c>
    </row>
    <row r="41" spans="1:5" x14ac:dyDescent="0.2">
      <c r="A41" s="1" t="s">
        <v>30</v>
      </c>
      <c r="E41" s="3">
        <f t="shared" si="0"/>
        <v>1</v>
      </c>
    </row>
    <row r="42" spans="1:5" x14ac:dyDescent="0.2">
      <c r="A42" s="1" t="s">
        <v>1</v>
      </c>
      <c r="B42" s="1" t="s">
        <v>2</v>
      </c>
      <c r="C42" s="1" t="s">
        <v>3</v>
      </c>
      <c r="D42" s="1" t="s">
        <v>4</v>
      </c>
      <c r="E42" s="3">
        <f t="shared" si="0"/>
        <v>1</v>
      </c>
    </row>
    <row r="43" spans="1:5" x14ac:dyDescent="0.2">
      <c r="A43">
        <v>1</v>
      </c>
      <c r="B43" t="s">
        <v>43</v>
      </c>
      <c r="C43">
        <v>3</v>
      </c>
      <c r="D43">
        <v>15</v>
      </c>
      <c r="E43" s="3">
        <f t="shared" si="0"/>
        <v>1</v>
      </c>
    </row>
    <row r="44" spans="1:5" x14ac:dyDescent="0.2">
      <c r="A44">
        <v>2</v>
      </c>
      <c r="B44" t="s">
        <v>25</v>
      </c>
      <c r="C44">
        <v>0</v>
      </c>
      <c r="D44">
        <v>11</v>
      </c>
      <c r="E44" s="3">
        <f t="shared" si="0"/>
        <v>1</v>
      </c>
    </row>
    <row r="45" spans="1:5" x14ac:dyDescent="0.2">
      <c r="A45">
        <v>3</v>
      </c>
      <c r="B45" t="s">
        <v>345</v>
      </c>
      <c r="C45">
        <v>1</v>
      </c>
      <c r="D45">
        <v>7</v>
      </c>
      <c r="E45" s="3">
        <f t="shared" si="0"/>
        <v>1</v>
      </c>
    </row>
    <row r="46" spans="1:5" x14ac:dyDescent="0.2">
      <c r="A46">
        <v>4</v>
      </c>
      <c r="B46" t="s">
        <v>21</v>
      </c>
      <c r="C46">
        <v>0</v>
      </c>
      <c r="D46">
        <v>3</v>
      </c>
      <c r="E46" s="3">
        <f t="shared" si="0"/>
        <v>1</v>
      </c>
    </row>
    <row r="47" spans="1:5" x14ac:dyDescent="0.2">
      <c r="A47">
        <v>5</v>
      </c>
      <c r="B47" t="s">
        <v>305</v>
      </c>
      <c r="C47">
        <v>0</v>
      </c>
      <c r="D47">
        <v>1</v>
      </c>
      <c r="E47" s="3">
        <f t="shared" si="0"/>
        <v>1</v>
      </c>
    </row>
    <row r="48" spans="1:5" x14ac:dyDescent="0.2">
      <c r="A48">
        <v>6</v>
      </c>
      <c r="B48" s="2" t="s">
        <v>10</v>
      </c>
      <c r="C48" s="2" t="s">
        <v>10</v>
      </c>
      <c r="D48" s="2" t="s">
        <v>10</v>
      </c>
      <c r="E48" s="3">
        <f t="shared" si="0"/>
        <v>1</v>
      </c>
    </row>
    <row r="49" spans="1:5" x14ac:dyDescent="0.2">
      <c r="A49">
        <v>7</v>
      </c>
      <c r="B49" s="2" t="s">
        <v>10</v>
      </c>
      <c r="C49" s="2" t="s">
        <v>10</v>
      </c>
      <c r="D49" s="2" t="s">
        <v>10</v>
      </c>
      <c r="E49" s="3">
        <f t="shared" si="0"/>
        <v>1</v>
      </c>
    </row>
    <row r="50" spans="1:5" x14ac:dyDescent="0.2">
      <c r="A50">
        <v>8</v>
      </c>
      <c r="B50" s="2" t="s">
        <v>10</v>
      </c>
      <c r="C50" s="2" t="s">
        <v>10</v>
      </c>
      <c r="D50" s="2" t="s">
        <v>10</v>
      </c>
      <c r="E50" s="3">
        <f t="shared" si="0"/>
        <v>1</v>
      </c>
    </row>
    <row r="51" spans="1:5" x14ac:dyDescent="0.2">
      <c r="A51" s="1" t="s">
        <v>37</v>
      </c>
      <c r="E51" s="3">
        <f t="shared" si="0"/>
        <v>1</v>
      </c>
    </row>
    <row r="52" spans="1:5" x14ac:dyDescent="0.2">
      <c r="A52" s="1" t="s">
        <v>1</v>
      </c>
      <c r="B52" s="1" t="s">
        <v>2</v>
      </c>
      <c r="C52" s="1" t="s">
        <v>3</v>
      </c>
      <c r="D52" s="1" t="s">
        <v>4</v>
      </c>
      <c r="E52" s="3">
        <f t="shared" si="0"/>
        <v>1</v>
      </c>
    </row>
    <row r="53" spans="1:5" x14ac:dyDescent="0.2">
      <c r="A53">
        <v>1</v>
      </c>
      <c r="B53" t="s">
        <v>54</v>
      </c>
      <c r="C53">
        <v>2</v>
      </c>
      <c r="D53">
        <v>15</v>
      </c>
      <c r="E53" s="3">
        <f t="shared" si="0"/>
        <v>1</v>
      </c>
    </row>
    <row r="54" spans="1:5" x14ac:dyDescent="0.2">
      <c r="A54">
        <v>2</v>
      </c>
      <c r="B54" t="s">
        <v>6</v>
      </c>
      <c r="C54">
        <v>2</v>
      </c>
      <c r="D54">
        <v>11</v>
      </c>
      <c r="E54" s="3">
        <f t="shared" si="0"/>
        <v>1</v>
      </c>
    </row>
    <row r="55" spans="1:5" x14ac:dyDescent="0.2">
      <c r="A55">
        <v>3</v>
      </c>
      <c r="B55" t="s">
        <v>46</v>
      </c>
      <c r="C55">
        <v>0</v>
      </c>
      <c r="D55">
        <v>7</v>
      </c>
      <c r="E55" s="3">
        <f t="shared" si="0"/>
        <v>1</v>
      </c>
    </row>
    <row r="56" spans="1:5" x14ac:dyDescent="0.2">
      <c r="A56">
        <v>4</v>
      </c>
      <c r="B56" t="s">
        <v>87</v>
      </c>
      <c r="C56">
        <v>0</v>
      </c>
      <c r="D56">
        <v>3</v>
      </c>
      <c r="E56" s="3">
        <f t="shared" si="0"/>
        <v>1</v>
      </c>
    </row>
    <row r="57" spans="1:5" x14ac:dyDescent="0.2">
      <c r="A57">
        <v>5</v>
      </c>
      <c r="B57" t="s">
        <v>74</v>
      </c>
      <c r="C57">
        <v>0</v>
      </c>
      <c r="D57">
        <v>1</v>
      </c>
      <c r="E57" s="3">
        <f t="shared" si="0"/>
        <v>1</v>
      </c>
    </row>
    <row r="58" spans="1:5" x14ac:dyDescent="0.2">
      <c r="A58">
        <v>6</v>
      </c>
      <c r="B58" s="2" t="s">
        <v>10</v>
      </c>
      <c r="C58" s="2" t="s">
        <v>10</v>
      </c>
      <c r="D58" s="2" t="s">
        <v>10</v>
      </c>
      <c r="E58" s="3">
        <f t="shared" si="0"/>
        <v>1</v>
      </c>
    </row>
    <row r="59" spans="1:5" x14ac:dyDescent="0.2">
      <c r="A59">
        <v>7</v>
      </c>
      <c r="B59" s="2" t="s">
        <v>10</v>
      </c>
      <c r="C59" s="2" t="s">
        <v>10</v>
      </c>
      <c r="D59" s="2" t="s">
        <v>10</v>
      </c>
      <c r="E59" s="3">
        <f t="shared" si="0"/>
        <v>1</v>
      </c>
    </row>
    <row r="60" spans="1:5" x14ac:dyDescent="0.2">
      <c r="A60">
        <v>8</v>
      </c>
      <c r="B60" s="2" t="s">
        <v>10</v>
      </c>
      <c r="C60" s="2" t="s">
        <v>10</v>
      </c>
      <c r="D60" s="2" t="s">
        <v>10</v>
      </c>
      <c r="E60" s="3">
        <f t="shared" si="0"/>
        <v>1</v>
      </c>
    </row>
    <row r="61" spans="1:5" x14ac:dyDescent="0.2">
      <c r="A61" s="1" t="s">
        <v>44</v>
      </c>
      <c r="E61" s="3">
        <f t="shared" si="0"/>
        <v>1</v>
      </c>
    </row>
    <row r="62" spans="1:5" x14ac:dyDescent="0.2">
      <c r="A62" s="1" t="s">
        <v>1</v>
      </c>
      <c r="B62" s="1" t="s">
        <v>2</v>
      </c>
      <c r="C62" s="1" t="s">
        <v>3</v>
      </c>
      <c r="D62" s="1" t="s">
        <v>4</v>
      </c>
      <c r="E62" s="3">
        <f t="shared" si="0"/>
        <v>1</v>
      </c>
    </row>
    <row r="63" spans="1:5" x14ac:dyDescent="0.2">
      <c r="A63">
        <v>1</v>
      </c>
      <c r="B63" t="s">
        <v>39</v>
      </c>
      <c r="C63">
        <v>2</v>
      </c>
      <c r="D63">
        <v>16</v>
      </c>
      <c r="E63" s="3">
        <f t="shared" si="0"/>
        <v>1</v>
      </c>
    </row>
    <row r="64" spans="1:5" x14ac:dyDescent="0.2">
      <c r="A64">
        <v>2</v>
      </c>
      <c r="B64" t="s">
        <v>42</v>
      </c>
      <c r="C64">
        <v>2</v>
      </c>
      <c r="D64">
        <v>12</v>
      </c>
      <c r="E64" s="3">
        <f t="shared" si="0"/>
        <v>1</v>
      </c>
    </row>
    <row r="65" spans="1:5" x14ac:dyDescent="0.2">
      <c r="A65">
        <v>3</v>
      </c>
      <c r="B65" t="s">
        <v>41</v>
      </c>
      <c r="C65">
        <v>1</v>
      </c>
      <c r="D65">
        <v>8</v>
      </c>
      <c r="E65" s="3">
        <f t="shared" si="0"/>
        <v>1</v>
      </c>
    </row>
    <row r="66" spans="1:5" x14ac:dyDescent="0.2">
      <c r="A66">
        <v>4</v>
      </c>
      <c r="B66" t="s">
        <v>50</v>
      </c>
      <c r="C66">
        <v>0</v>
      </c>
      <c r="D66">
        <v>4</v>
      </c>
      <c r="E66" s="3">
        <f t="shared" si="0"/>
        <v>1</v>
      </c>
    </row>
    <row r="67" spans="1:5" x14ac:dyDescent="0.2">
      <c r="A67">
        <v>5</v>
      </c>
      <c r="B67" t="s">
        <v>35</v>
      </c>
      <c r="C67">
        <v>0</v>
      </c>
      <c r="D67">
        <v>2</v>
      </c>
      <c r="E67" s="3">
        <f t="shared" si="0"/>
        <v>1</v>
      </c>
    </row>
    <row r="68" spans="1:5" x14ac:dyDescent="0.2">
      <c r="A68">
        <v>6</v>
      </c>
      <c r="B68" t="s">
        <v>28</v>
      </c>
      <c r="C68">
        <v>0</v>
      </c>
      <c r="D68">
        <v>1</v>
      </c>
      <c r="E68" s="3">
        <f t="shared" si="0"/>
        <v>1</v>
      </c>
    </row>
    <row r="69" spans="1:5" x14ac:dyDescent="0.2">
      <c r="A69" s="1" t="s">
        <v>0</v>
      </c>
      <c r="E69" s="3">
        <f t="shared" si="0"/>
        <v>2</v>
      </c>
    </row>
    <row r="70" spans="1:5" x14ac:dyDescent="0.2">
      <c r="A70" s="1" t="s">
        <v>1</v>
      </c>
      <c r="B70" s="1" t="s">
        <v>2</v>
      </c>
      <c r="C70" s="1" t="s">
        <v>3</v>
      </c>
      <c r="D70" s="1" t="s">
        <v>4</v>
      </c>
      <c r="E70" s="3">
        <f t="shared" si="0"/>
        <v>2</v>
      </c>
    </row>
    <row r="71" spans="1:5" x14ac:dyDescent="0.2">
      <c r="A71">
        <v>1</v>
      </c>
      <c r="B71" t="s">
        <v>68</v>
      </c>
      <c r="C71">
        <v>5</v>
      </c>
      <c r="D71">
        <v>17</v>
      </c>
      <c r="E71" s="3">
        <f t="shared" si="0"/>
        <v>2</v>
      </c>
    </row>
    <row r="72" spans="1:5" x14ac:dyDescent="0.2">
      <c r="A72">
        <v>2</v>
      </c>
      <c r="B72" t="s">
        <v>50</v>
      </c>
      <c r="C72">
        <v>0</v>
      </c>
      <c r="D72">
        <v>13</v>
      </c>
      <c r="E72" s="3">
        <f t="shared" si="0"/>
        <v>2</v>
      </c>
    </row>
    <row r="73" spans="1:5" x14ac:dyDescent="0.2">
      <c r="A73">
        <v>3</v>
      </c>
      <c r="B73" t="s">
        <v>47</v>
      </c>
      <c r="C73">
        <v>1</v>
      </c>
      <c r="D73">
        <v>9</v>
      </c>
      <c r="E73" s="3">
        <f t="shared" si="0"/>
        <v>2</v>
      </c>
    </row>
    <row r="74" spans="1:5" x14ac:dyDescent="0.2">
      <c r="A74">
        <v>4</v>
      </c>
      <c r="B74" t="s">
        <v>8</v>
      </c>
      <c r="C74">
        <v>0</v>
      </c>
      <c r="D74">
        <v>5</v>
      </c>
      <c r="E74" s="3">
        <f t="shared" si="0"/>
        <v>2</v>
      </c>
    </row>
    <row r="75" spans="1:5" x14ac:dyDescent="0.2">
      <c r="A75">
        <v>5</v>
      </c>
      <c r="B75" t="s">
        <v>45</v>
      </c>
      <c r="C75">
        <v>0</v>
      </c>
      <c r="D75">
        <v>3</v>
      </c>
      <c r="E75" s="3">
        <f t="shared" si="0"/>
        <v>2</v>
      </c>
    </row>
    <row r="76" spans="1:5" x14ac:dyDescent="0.2">
      <c r="A76">
        <v>6</v>
      </c>
      <c r="B76" t="s">
        <v>92</v>
      </c>
      <c r="C76">
        <v>0</v>
      </c>
      <c r="D76">
        <v>2</v>
      </c>
      <c r="E76" s="3">
        <f t="shared" si="0"/>
        <v>2</v>
      </c>
    </row>
    <row r="77" spans="1:5" x14ac:dyDescent="0.2">
      <c r="A77">
        <v>7</v>
      </c>
      <c r="B77" t="s">
        <v>43</v>
      </c>
      <c r="C77">
        <v>0</v>
      </c>
      <c r="D77">
        <v>1</v>
      </c>
      <c r="E77" s="3">
        <f t="shared" si="0"/>
        <v>2</v>
      </c>
    </row>
    <row r="78" spans="1:5" x14ac:dyDescent="0.2">
      <c r="A78">
        <v>8</v>
      </c>
      <c r="B78" s="2" t="s">
        <v>10</v>
      </c>
      <c r="C78" s="2" t="s">
        <v>10</v>
      </c>
      <c r="D78" s="2" t="s">
        <v>10</v>
      </c>
      <c r="E78" s="3">
        <f t="shared" si="0"/>
        <v>2</v>
      </c>
    </row>
    <row r="79" spans="1:5" x14ac:dyDescent="0.2">
      <c r="A79" s="1" t="s">
        <v>11</v>
      </c>
      <c r="E79" s="3">
        <f t="shared" si="0"/>
        <v>2</v>
      </c>
    </row>
    <row r="80" spans="1:5" x14ac:dyDescent="0.2">
      <c r="A80" s="1" t="s">
        <v>1</v>
      </c>
      <c r="B80" s="1" t="s">
        <v>2</v>
      </c>
      <c r="C80" s="1" t="s">
        <v>3</v>
      </c>
      <c r="D80" s="1" t="s">
        <v>4</v>
      </c>
      <c r="E80" s="3">
        <f t="shared" si="0"/>
        <v>2</v>
      </c>
    </row>
    <row r="81" spans="1:5" x14ac:dyDescent="0.2">
      <c r="A81">
        <v>1</v>
      </c>
      <c r="B81" t="s">
        <v>14</v>
      </c>
      <c r="C81">
        <v>2</v>
      </c>
      <c r="D81">
        <v>16</v>
      </c>
      <c r="E81" s="3">
        <f t="shared" si="0"/>
        <v>2</v>
      </c>
    </row>
    <row r="82" spans="1:5" x14ac:dyDescent="0.2">
      <c r="A82">
        <v>2</v>
      </c>
      <c r="B82" t="s">
        <v>35</v>
      </c>
      <c r="C82">
        <v>2</v>
      </c>
      <c r="D82">
        <v>12</v>
      </c>
      <c r="E82" s="3">
        <f t="shared" si="0"/>
        <v>2</v>
      </c>
    </row>
    <row r="83" spans="1:5" x14ac:dyDescent="0.2">
      <c r="A83">
        <v>3</v>
      </c>
      <c r="B83" t="s">
        <v>101</v>
      </c>
      <c r="C83">
        <v>0</v>
      </c>
      <c r="D83">
        <v>8</v>
      </c>
      <c r="E83" s="3">
        <f t="shared" si="0"/>
        <v>2</v>
      </c>
    </row>
    <row r="84" spans="1:5" x14ac:dyDescent="0.2">
      <c r="A84">
        <v>4</v>
      </c>
      <c r="B84" t="s">
        <v>40</v>
      </c>
      <c r="C84">
        <v>1</v>
      </c>
      <c r="D84">
        <v>4</v>
      </c>
      <c r="E84" s="3">
        <f t="shared" si="0"/>
        <v>2</v>
      </c>
    </row>
    <row r="85" spans="1:5" x14ac:dyDescent="0.2">
      <c r="A85">
        <v>5</v>
      </c>
      <c r="B85" t="s">
        <v>61</v>
      </c>
      <c r="C85">
        <v>0</v>
      </c>
      <c r="D85">
        <v>2</v>
      </c>
      <c r="E85" s="3">
        <f t="shared" si="0"/>
        <v>2</v>
      </c>
    </row>
    <row r="86" spans="1:5" x14ac:dyDescent="0.2">
      <c r="A86">
        <v>6</v>
      </c>
      <c r="B86" t="s">
        <v>69</v>
      </c>
      <c r="C86">
        <v>0</v>
      </c>
      <c r="D86">
        <v>1</v>
      </c>
      <c r="E86" s="3">
        <f t="shared" si="0"/>
        <v>2</v>
      </c>
    </row>
    <row r="87" spans="1:5" x14ac:dyDescent="0.2">
      <c r="A87">
        <v>7</v>
      </c>
      <c r="B87" s="2" t="s">
        <v>10</v>
      </c>
      <c r="C87" s="2" t="s">
        <v>10</v>
      </c>
      <c r="D87" s="2" t="s">
        <v>10</v>
      </c>
      <c r="E87" s="3">
        <f t="shared" si="0"/>
        <v>2</v>
      </c>
    </row>
    <row r="88" spans="1:5" x14ac:dyDescent="0.2">
      <c r="A88">
        <v>8</v>
      </c>
      <c r="B88" s="2" t="s">
        <v>10</v>
      </c>
      <c r="C88" s="2" t="s">
        <v>10</v>
      </c>
      <c r="D88" s="2" t="s">
        <v>10</v>
      </c>
      <c r="E88" s="3">
        <f t="shared" si="0"/>
        <v>2</v>
      </c>
    </row>
    <row r="89" spans="1:5" x14ac:dyDescent="0.2">
      <c r="A89" s="1" t="s">
        <v>17</v>
      </c>
      <c r="E89" s="3">
        <f t="shared" si="0"/>
        <v>2</v>
      </c>
    </row>
    <row r="90" spans="1:5" x14ac:dyDescent="0.2">
      <c r="A90" s="1" t="s">
        <v>1</v>
      </c>
      <c r="B90" s="1" t="s">
        <v>2</v>
      </c>
      <c r="C90" s="1" t="s">
        <v>3</v>
      </c>
      <c r="D90" s="1" t="s">
        <v>4</v>
      </c>
      <c r="E90" s="3">
        <f t="shared" si="0"/>
        <v>2</v>
      </c>
    </row>
    <row r="91" spans="1:5" x14ac:dyDescent="0.2">
      <c r="A91">
        <v>1</v>
      </c>
      <c r="B91" t="s">
        <v>46</v>
      </c>
      <c r="C91">
        <v>2</v>
      </c>
      <c r="D91">
        <v>16</v>
      </c>
      <c r="E91" s="3">
        <f t="shared" si="0"/>
        <v>2</v>
      </c>
    </row>
    <row r="92" spans="1:5" x14ac:dyDescent="0.2">
      <c r="A92">
        <v>2</v>
      </c>
      <c r="B92" t="s">
        <v>18</v>
      </c>
      <c r="C92">
        <v>3</v>
      </c>
      <c r="D92">
        <v>12</v>
      </c>
      <c r="E92" s="3">
        <f t="shared" si="0"/>
        <v>2</v>
      </c>
    </row>
    <row r="93" spans="1:5" x14ac:dyDescent="0.2">
      <c r="A93">
        <v>3</v>
      </c>
      <c r="B93" t="s">
        <v>25</v>
      </c>
      <c r="C93">
        <v>0</v>
      </c>
      <c r="D93">
        <v>8</v>
      </c>
      <c r="E93" s="3">
        <f t="shared" si="0"/>
        <v>2</v>
      </c>
    </row>
    <row r="94" spans="1:5" x14ac:dyDescent="0.2">
      <c r="A94">
        <v>4</v>
      </c>
      <c r="B94" t="s">
        <v>102</v>
      </c>
      <c r="C94">
        <v>0</v>
      </c>
      <c r="D94">
        <v>4</v>
      </c>
      <c r="E94" s="3">
        <f t="shared" si="0"/>
        <v>2</v>
      </c>
    </row>
    <row r="95" spans="1:5" x14ac:dyDescent="0.2">
      <c r="A95">
        <v>5</v>
      </c>
      <c r="B95" t="s">
        <v>88</v>
      </c>
      <c r="C95">
        <v>0</v>
      </c>
      <c r="D95">
        <v>2</v>
      </c>
      <c r="E95" s="3">
        <f t="shared" si="0"/>
        <v>2</v>
      </c>
    </row>
    <row r="96" spans="1:5" x14ac:dyDescent="0.2">
      <c r="A96">
        <v>6</v>
      </c>
      <c r="B96" t="s">
        <v>38</v>
      </c>
      <c r="C96">
        <v>0</v>
      </c>
      <c r="D96">
        <v>1</v>
      </c>
      <c r="E96" s="3">
        <f t="shared" ref="E96:E159" si="1">IF(A96=$A$1,E95+1,E95)</f>
        <v>2</v>
      </c>
    </row>
    <row r="97" spans="1:5" x14ac:dyDescent="0.2">
      <c r="A97">
        <v>7</v>
      </c>
      <c r="B97" s="2" t="s">
        <v>10</v>
      </c>
      <c r="C97" s="2" t="s">
        <v>10</v>
      </c>
      <c r="D97" s="2" t="s">
        <v>10</v>
      </c>
      <c r="E97" s="3">
        <f t="shared" si="1"/>
        <v>2</v>
      </c>
    </row>
    <row r="98" spans="1:5" x14ac:dyDescent="0.2">
      <c r="A98">
        <v>8</v>
      </c>
      <c r="B98" s="2" t="s">
        <v>10</v>
      </c>
      <c r="C98" s="2" t="s">
        <v>10</v>
      </c>
      <c r="D98" s="2" t="s">
        <v>10</v>
      </c>
      <c r="E98" s="3">
        <f t="shared" si="1"/>
        <v>2</v>
      </c>
    </row>
    <row r="99" spans="1:5" x14ac:dyDescent="0.2">
      <c r="A99" s="1" t="s">
        <v>24</v>
      </c>
      <c r="E99" s="3">
        <f t="shared" si="1"/>
        <v>2</v>
      </c>
    </row>
    <row r="100" spans="1:5" x14ac:dyDescent="0.2">
      <c r="A100" s="1" t="s">
        <v>1</v>
      </c>
      <c r="B100" s="1" t="s">
        <v>2</v>
      </c>
      <c r="C100" s="1" t="s">
        <v>3</v>
      </c>
      <c r="D100" s="1" t="s">
        <v>4</v>
      </c>
      <c r="E100" s="3">
        <f t="shared" si="1"/>
        <v>2</v>
      </c>
    </row>
    <row r="101" spans="1:5" x14ac:dyDescent="0.2">
      <c r="A101">
        <v>1</v>
      </c>
      <c r="B101" t="s">
        <v>6</v>
      </c>
      <c r="C101">
        <v>2</v>
      </c>
      <c r="D101">
        <v>16</v>
      </c>
      <c r="E101" s="3">
        <f t="shared" si="1"/>
        <v>2</v>
      </c>
    </row>
    <row r="102" spans="1:5" x14ac:dyDescent="0.2">
      <c r="A102">
        <v>2</v>
      </c>
      <c r="B102" t="s">
        <v>29</v>
      </c>
      <c r="C102">
        <v>2</v>
      </c>
      <c r="D102">
        <v>12</v>
      </c>
      <c r="E102" s="3">
        <f t="shared" si="1"/>
        <v>2</v>
      </c>
    </row>
    <row r="103" spans="1:5" x14ac:dyDescent="0.2">
      <c r="A103">
        <v>3</v>
      </c>
      <c r="B103" t="s">
        <v>9</v>
      </c>
      <c r="C103">
        <v>1</v>
      </c>
      <c r="D103">
        <v>8</v>
      </c>
      <c r="E103" s="3">
        <f t="shared" si="1"/>
        <v>2</v>
      </c>
    </row>
    <row r="104" spans="1:5" x14ac:dyDescent="0.2">
      <c r="A104">
        <v>4</v>
      </c>
      <c r="B104" t="s">
        <v>76</v>
      </c>
      <c r="C104">
        <v>0</v>
      </c>
      <c r="D104">
        <v>4</v>
      </c>
      <c r="E104" s="3">
        <f t="shared" si="1"/>
        <v>2</v>
      </c>
    </row>
    <row r="105" spans="1:5" x14ac:dyDescent="0.2">
      <c r="A105">
        <v>5</v>
      </c>
      <c r="B105" t="s">
        <v>28</v>
      </c>
      <c r="C105">
        <v>0</v>
      </c>
      <c r="D105">
        <v>2</v>
      </c>
      <c r="E105" s="3">
        <f t="shared" si="1"/>
        <v>2</v>
      </c>
    </row>
    <row r="106" spans="1:5" x14ac:dyDescent="0.2">
      <c r="A106">
        <v>6</v>
      </c>
      <c r="B106" t="s">
        <v>87</v>
      </c>
      <c r="C106">
        <v>0</v>
      </c>
      <c r="D106">
        <v>1</v>
      </c>
      <c r="E106" s="3">
        <f t="shared" si="1"/>
        <v>2</v>
      </c>
    </row>
    <row r="107" spans="1:5" x14ac:dyDescent="0.2">
      <c r="A107">
        <v>7</v>
      </c>
      <c r="B107" s="2" t="s">
        <v>10</v>
      </c>
      <c r="C107" s="2" t="s">
        <v>10</v>
      </c>
      <c r="D107" s="2" t="s">
        <v>10</v>
      </c>
      <c r="E107" s="3">
        <f t="shared" si="1"/>
        <v>2</v>
      </c>
    </row>
    <row r="108" spans="1:5" x14ac:dyDescent="0.2">
      <c r="A108">
        <v>8</v>
      </c>
      <c r="B108" s="2" t="s">
        <v>10</v>
      </c>
      <c r="C108" s="2" t="s">
        <v>10</v>
      </c>
      <c r="D108" s="2" t="s">
        <v>10</v>
      </c>
      <c r="E108" s="3">
        <f t="shared" si="1"/>
        <v>2</v>
      </c>
    </row>
    <row r="109" spans="1:5" x14ac:dyDescent="0.2">
      <c r="A109" s="1" t="s">
        <v>30</v>
      </c>
      <c r="E109" s="3">
        <f t="shared" si="1"/>
        <v>2</v>
      </c>
    </row>
    <row r="110" spans="1:5" x14ac:dyDescent="0.2">
      <c r="A110" s="1" t="s">
        <v>1</v>
      </c>
      <c r="B110" s="1" t="s">
        <v>2</v>
      </c>
      <c r="C110" s="1" t="s">
        <v>3</v>
      </c>
      <c r="D110" s="1" t="s">
        <v>4</v>
      </c>
      <c r="E110" s="3">
        <f t="shared" si="1"/>
        <v>2</v>
      </c>
    </row>
    <row r="111" spans="1:5" x14ac:dyDescent="0.2">
      <c r="A111">
        <v>1</v>
      </c>
      <c r="B111" t="s">
        <v>66</v>
      </c>
      <c r="C111">
        <v>3</v>
      </c>
      <c r="D111">
        <v>16</v>
      </c>
      <c r="E111" s="3">
        <f t="shared" si="1"/>
        <v>2</v>
      </c>
    </row>
    <row r="112" spans="1:5" x14ac:dyDescent="0.2">
      <c r="A112">
        <v>2</v>
      </c>
      <c r="B112" t="s">
        <v>23</v>
      </c>
      <c r="C112">
        <v>0</v>
      </c>
      <c r="D112">
        <v>12</v>
      </c>
      <c r="E112" s="3">
        <f t="shared" si="1"/>
        <v>2</v>
      </c>
    </row>
    <row r="113" spans="1:5" x14ac:dyDescent="0.2">
      <c r="A113">
        <v>3</v>
      </c>
      <c r="B113" t="s">
        <v>65</v>
      </c>
      <c r="C113">
        <v>1</v>
      </c>
      <c r="D113">
        <v>8</v>
      </c>
      <c r="E113" s="3">
        <f t="shared" si="1"/>
        <v>2</v>
      </c>
    </row>
    <row r="114" spans="1:5" x14ac:dyDescent="0.2">
      <c r="A114">
        <v>4</v>
      </c>
      <c r="B114" t="s">
        <v>74</v>
      </c>
      <c r="C114">
        <v>1</v>
      </c>
      <c r="D114">
        <v>4</v>
      </c>
      <c r="E114" s="3">
        <f t="shared" si="1"/>
        <v>2</v>
      </c>
    </row>
    <row r="115" spans="1:5" x14ac:dyDescent="0.2">
      <c r="A115">
        <v>5</v>
      </c>
      <c r="B115" t="s">
        <v>15</v>
      </c>
      <c r="C115">
        <v>0</v>
      </c>
      <c r="D115">
        <v>2</v>
      </c>
      <c r="E115" s="3">
        <f t="shared" si="1"/>
        <v>2</v>
      </c>
    </row>
    <row r="116" spans="1:5" x14ac:dyDescent="0.2">
      <c r="A116">
        <v>6</v>
      </c>
      <c r="B116" t="s">
        <v>345</v>
      </c>
      <c r="C116">
        <v>0</v>
      </c>
      <c r="D116">
        <v>1</v>
      </c>
      <c r="E116" s="3">
        <f t="shared" si="1"/>
        <v>2</v>
      </c>
    </row>
    <row r="117" spans="1:5" x14ac:dyDescent="0.2">
      <c r="A117">
        <v>7</v>
      </c>
      <c r="B117" s="2" t="s">
        <v>10</v>
      </c>
      <c r="C117" s="2" t="s">
        <v>10</v>
      </c>
      <c r="D117" s="2" t="s">
        <v>10</v>
      </c>
      <c r="E117" s="3">
        <f t="shared" si="1"/>
        <v>2</v>
      </c>
    </row>
    <row r="118" spans="1:5" x14ac:dyDescent="0.2">
      <c r="A118">
        <v>8</v>
      </c>
      <c r="B118" s="2" t="s">
        <v>10</v>
      </c>
      <c r="C118" s="2" t="s">
        <v>10</v>
      </c>
      <c r="D118" s="2" t="s">
        <v>10</v>
      </c>
      <c r="E118" s="3">
        <f t="shared" si="1"/>
        <v>2</v>
      </c>
    </row>
    <row r="119" spans="1:5" x14ac:dyDescent="0.2">
      <c r="A119" s="1" t="s">
        <v>37</v>
      </c>
      <c r="E119" s="3">
        <f t="shared" si="1"/>
        <v>2</v>
      </c>
    </row>
    <row r="120" spans="1:5" x14ac:dyDescent="0.2">
      <c r="A120" s="1" t="s">
        <v>1</v>
      </c>
      <c r="B120" s="1" t="s">
        <v>2</v>
      </c>
      <c r="C120" s="1" t="s">
        <v>3</v>
      </c>
      <c r="D120" s="1" t="s">
        <v>4</v>
      </c>
      <c r="E120" s="3">
        <f t="shared" si="1"/>
        <v>2</v>
      </c>
    </row>
    <row r="121" spans="1:5" x14ac:dyDescent="0.2">
      <c r="A121">
        <v>1</v>
      </c>
      <c r="B121" t="s">
        <v>12</v>
      </c>
      <c r="C121">
        <v>4</v>
      </c>
      <c r="D121">
        <v>17</v>
      </c>
      <c r="E121" s="3">
        <f t="shared" si="1"/>
        <v>2</v>
      </c>
    </row>
    <row r="122" spans="1:5" x14ac:dyDescent="0.2">
      <c r="A122">
        <v>2</v>
      </c>
      <c r="B122" t="s">
        <v>21</v>
      </c>
      <c r="C122">
        <v>0</v>
      </c>
      <c r="D122">
        <v>13</v>
      </c>
      <c r="E122" s="3">
        <f t="shared" si="1"/>
        <v>2</v>
      </c>
    </row>
    <row r="123" spans="1:5" x14ac:dyDescent="0.2">
      <c r="A123">
        <v>3</v>
      </c>
      <c r="B123" t="s">
        <v>75</v>
      </c>
      <c r="C123">
        <v>1</v>
      </c>
      <c r="D123">
        <v>9</v>
      </c>
      <c r="E123" s="3">
        <f t="shared" si="1"/>
        <v>2</v>
      </c>
    </row>
    <row r="124" spans="1:5" x14ac:dyDescent="0.2">
      <c r="A124">
        <v>4</v>
      </c>
      <c r="B124" t="s">
        <v>42</v>
      </c>
      <c r="C124">
        <v>0</v>
      </c>
      <c r="D124">
        <v>5</v>
      </c>
      <c r="E124" s="3">
        <f t="shared" si="1"/>
        <v>2</v>
      </c>
    </row>
    <row r="125" spans="1:5" x14ac:dyDescent="0.2">
      <c r="A125">
        <v>5</v>
      </c>
      <c r="B125" t="s">
        <v>31</v>
      </c>
      <c r="C125">
        <v>1</v>
      </c>
      <c r="D125">
        <v>3</v>
      </c>
      <c r="E125" s="3">
        <f t="shared" si="1"/>
        <v>2</v>
      </c>
    </row>
    <row r="126" spans="1:5" x14ac:dyDescent="0.2">
      <c r="A126">
        <v>6</v>
      </c>
      <c r="B126" t="s">
        <v>41</v>
      </c>
      <c r="C126">
        <v>0</v>
      </c>
      <c r="D126">
        <v>2</v>
      </c>
      <c r="E126" s="3">
        <f t="shared" si="1"/>
        <v>2</v>
      </c>
    </row>
    <row r="127" spans="1:5" x14ac:dyDescent="0.2">
      <c r="A127">
        <v>7</v>
      </c>
      <c r="B127" t="s">
        <v>33</v>
      </c>
      <c r="C127">
        <v>0</v>
      </c>
      <c r="D127">
        <v>1</v>
      </c>
      <c r="E127" s="3">
        <f t="shared" si="1"/>
        <v>2</v>
      </c>
    </row>
    <row r="128" spans="1:5" x14ac:dyDescent="0.2">
      <c r="A128">
        <v>8</v>
      </c>
      <c r="B128" s="2" t="s">
        <v>10</v>
      </c>
      <c r="C128" s="2" t="s">
        <v>10</v>
      </c>
      <c r="D128" s="2" t="s">
        <v>10</v>
      </c>
      <c r="E128" s="3">
        <f t="shared" si="1"/>
        <v>2</v>
      </c>
    </row>
    <row r="129" spans="1:5" x14ac:dyDescent="0.2">
      <c r="A129" s="1" t="s">
        <v>44</v>
      </c>
      <c r="E129" s="3">
        <f t="shared" si="1"/>
        <v>2</v>
      </c>
    </row>
    <row r="130" spans="1:5" x14ac:dyDescent="0.2">
      <c r="A130" s="1" t="s">
        <v>1</v>
      </c>
      <c r="B130" s="1" t="s">
        <v>2</v>
      </c>
      <c r="C130" s="1" t="s">
        <v>3</v>
      </c>
      <c r="D130" s="1" t="s">
        <v>4</v>
      </c>
      <c r="E130" s="3">
        <f t="shared" si="1"/>
        <v>2</v>
      </c>
    </row>
    <row r="131" spans="1:5" x14ac:dyDescent="0.2">
      <c r="A131">
        <v>1</v>
      </c>
      <c r="B131" t="s">
        <v>52</v>
      </c>
      <c r="C131">
        <v>2</v>
      </c>
      <c r="D131">
        <v>16</v>
      </c>
      <c r="E131" s="3">
        <f t="shared" si="1"/>
        <v>2</v>
      </c>
    </row>
    <row r="132" spans="1:5" x14ac:dyDescent="0.2">
      <c r="A132">
        <v>2</v>
      </c>
      <c r="B132" t="s">
        <v>59</v>
      </c>
      <c r="C132">
        <v>3</v>
      </c>
      <c r="D132">
        <v>12</v>
      </c>
      <c r="E132" s="3">
        <f t="shared" si="1"/>
        <v>2</v>
      </c>
    </row>
    <row r="133" spans="1:5" x14ac:dyDescent="0.2">
      <c r="A133">
        <v>3</v>
      </c>
      <c r="B133" t="s">
        <v>19</v>
      </c>
      <c r="C133">
        <v>0</v>
      </c>
      <c r="D133">
        <v>8</v>
      </c>
      <c r="E133" s="3">
        <f t="shared" si="1"/>
        <v>2</v>
      </c>
    </row>
    <row r="134" spans="1:5" x14ac:dyDescent="0.2">
      <c r="A134">
        <v>4</v>
      </c>
      <c r="B134" t="s">
        <v>54</v>
      </c>
      <c r="C134">
        <v>0</v>
      </c>
      <c r="D134">
        <v>4</v>
      </c>
      <c r="E134" s="3">
        <f t="shared" si="1"/>
        <v>2</v>
      </c>
    </row>
    <row r="135" spans="1:5" x14ac:dyDescent="0.2">
      <c r="A135">
        <v>5</v>
      </c>
      <c r="B135" t="s">
        <v>32</v>
      </c>
      <c r="C135">
        <v>0</v>
      </c>
      <c r="D135">
        <v>2</v>
      </c>
      <c r="E135" s="3">
        <f t="shared" si="1"/>
        <v>2</v>
      </c>
    </row>
    <row r="136" spans="1:5" x14ac:dyDescent="0.2">
      <c r="A136">
        <v>6</v>
      </c>
      <c r="B136" t="s">
        <v>26</v>
      </c>
      <c r="C136">
        <v>0</v>
      </c>
      <c r="D136">
        <v>1</v>
      </c>
      <c r="E136" s="3">
        <f t="shared" si="1"/>
        <v>2</v>
      </c>
    </row>
    <row r="137" spans="1:5" x14ac:dyDescent="0.2">
      <c r="A137" s="1" t="s">
        <v>0</v>
      </c>
      <c r="E137" s="3">
        <f t="shared" si="1"/>
        <v>3</v>
      </c>
    </row>
    <row r="138" spans="1:5" x14ac:dyDescent="0.2">
      <c r="A138" s="1" t="s">
        <v>1</v>
      </c>
      <c r="B138" s="1" t="s">
        <v>2</v>
      </c>
      <c r="C138" s="1" t="s">
        <v>3</v>
      </c>
      <c r="D138" s="1" t="s">
        <v>4</v>
      </c>
      <c r="E138" s="3">
        <f t="shared" si="1"/>
        <v>3</v>
      </c>
    </row>
    <row r="139" spans="1:5" x14ac:dyDescent="0.2">
      <c r="A139">
        <v>1</v>
      </c>
      <c r="B139" t="s">
        <v>61</v>
      </c>
      <c r="C139">
        <v>2</v>
      </c>
      <c r="D139">
        <v>16</v>
      </c>
      <c r="E139" s="3">
        <f t="shared" si="1"/>
        <v>3</v>
      </c>
    </row>
    <row r="140" spans="1:5" x14ac:dyDescent="0.2">
      <c r="A140">
        <v>2</v>
      </c>
      <c r="B140" t="s">
        <v>12</v>
      </c>
      <c r="C140">
        <v>2</v>
      </c>
      <c r="D140">
        <v>12</v>
      </c>
      <c r="E140" s="3">
        <f t="shared" si="1"/>
        <v>3</v>
      </c>
    </row>
    <row r="141" spans="1:5" x14ac:dyDescent="0.2">
      <c r="A141">
        <v>3</v>
      </c>
      <c r="B141" t="s">
        <v>14</v>
      </c>
      <c r="C141">
        <v>1</v>
      </c>
      <c r="D141">
        <v>8</v>
      </c>
      <c r="E141" s="3">
        <f t="shared" si="1"/>
        <v>3</v>
      </c>
    </row>
    <row r="142" spans="1:5" x14ac:dyDescent="0.2">
      <c r="A142">
        <v>4</v>
      </c>
      <c r="B142" t="s">
        <v>81</v>
      </c>
      <c r="C142">
        <v>0</v>
      </c>
      <c r="D142">
        <v>4</v>
      </c>
      <c r="E142" s="3">
        <f t="shared" si="1"/>
        <v>3</v>
      </c>
    </row>
    <row r="143" spans="1:5" x14ac:dyDescent="0.2">
      <c r="A143">
        <v>5</v>
      </c>
      <c r="B143" t="s">
        <v>18</v>
      </c>
      <c r="C143">
        <v>0</v>
      </c>
      <c r="D143">
        <v>2</v>
      </c>
      <c r="E143" s="3">
        <f t="shared" si="1"/>
        <v>3</v>
      </c>
    </row>
    <row r="144" spans="1:5" x14ac:dyDescent="0.2">
      <c r="A144">
        <v>6</v>
      </c>
      <c r="B144" t="s">
        <v>92</v>
      </c>
      <c r="C144">
        <v>0</v>
      </c>
      <c r="D144">
        <v>1</v>
      </c>
      <c r="E144" s="3">
        <f t="shared" si="1"/>
        <v>3</v>
      </c>
    </row>
    <row r="145" spans="1:5" x14ac:dyDescent="0.2">
      <c r="A145">
        <v>7</v>
      </c>
      <c r="B145" s="2" t="s">
        <v>10</v>
      </c>
      <c r="C145" s="2" t="s">
        <v>10</v>
      </c>
      <c r="D145" s="2" t="s">
        <v>10</v>
      </c>
      <c r="E145" s="3">
        <f t="shared" si="1"/>
        <v>3</v>
      </c>
    </row>
    <row r="146" spans="1:5" x14ac:dyDescent="0.2">
      <c r="A146">
        <v>8</v>
      </c>
      <c r="B146" s="2" t="s">
        <v>10</v>
      </c>
      <c r="C146" s="2" t="s">
        <v>10</v>
      </c>
      <c r="D146" s="2" t="s">
        <v>10</v>
      </c>
      <c r="E146" s="3">
        <f t="shared" si="1"/>
        <v>3</v>
      </c>
    </row>
    <row r="147" spans="1:5" x14ac:dyDescent="0.2">
      <c r="A147" s="1" t="s">
        <v>11</v>
      </c>
      <c r="E147" s="3">
        <f t="shared" si="1"/>
        <v>3</v>
      </c>
    </row>
    <row r="148" spans="1:5" x14ac:dyDescent="0.2">
      <c r="A148" s="1" t="s">
        <v>1</v>
      </c>
      <c r="B148" s="1" t="s">
        <v>2</v>
      </c>
      <c r="C148" s="1" t="s">
        <v>3</v>
      </c>
      <c r="D148" s="1" t="s">
        <v>4</v>
      </c>
      <c r="E148" s="3">
        <f t="shared" si="1"/>
        <v>3</v>
      </c>
    </row>
    <row r="149" spans="1:5" x14ac:dyDescent="0.2">
      <c r="A149">
        <v>1</v>
      </c>
      <c r="B149" t="s">
        <v>98</v>
      </c>
      <c r="C149">
        <v>2</v>
      </c>
      <c r="D149">
        <v>17</v>
      </c>
      <c r="E149" s="3">
        <f t="shared" si="1"/>
        <v>3</v>
      </c>
    </row>
    <row r="150" spans="1:5" x14ac:dyDescent="0.2">
      <c r="A150">
        <v>2</v>
      </c>
      <c r="B150" t="s">
        <v>39</v>
      </c>
      <c r="C150">
        <v>4</v>
      </c>
      <c r="D150">
        <v>13</v>
      </c>
      <c r="E150" s="3">
        <f t="shared" si="1"/>
        <v>3</v>
      </c>
    </row>
    <row r="151" spans="1:5" x14ac:dyDescent="0.2">
      <c r="A151">
        <v>3</v>
      </c>
      <c r="B151" t="s">
        <v>8</v>
      </c>
      <c r="C151">
        <v>0</v>
      </c>
      <c r="D151">
        <v>9</v>
      </c>
      <c r="E151" s="3">
        <f t="shared" si="1"/>
        <v>3</v>
      </c>
    </row>
    <row r="152" spans="1:5" x14ac:dyDescent="0.2">
      <c r="A152">
        <v>4</v>
      </c>
      <c r="B152" t="s">
        <v>19</v>
      </c>
      <c r="C152">
        <v>0</v>
      </c>
      <c r="D152">
        <v>5</v>
      </c>
      <c r="E152" s="3">
        <f t="shared" si="1"/>
        <v>3</v>
      </c>
    </row>
    <row r="153" spans="1:5" x14ac:dyDescent="0.2">
      <c r="A153">
        <v>5</v>
      </c>
      <c r="B153" t="s">
        <v>33</v>
      </c>
      <c r="C153">
        <v>0</v>
      </c>
      <c r="D153">
        <v>3</v>
      </c>
      <c r="E153" s="3">
        <f t="shared" si="1"/>
        <v>3</v>
      </c>
    </row>
    <row r="154" spans="1:5" x14ac:dyDescent="0.2">
      <c r="A154">
        <v>6</v>
      </c>
      <c r="B154" t="s">
        <v>368</v>
      </c>
      <c r="C154">
        <v>0</v>
      </c>
      <c r="D154">
        <v>2</v>
      </c>
      <c r="E154" s="3">
        <f t="shared" si="1"/>
        <v>3</v>
      </c>
    </row>
    <row r="155" spans="1:5" x14ac:dyDescent="0.2">
      <c r="A155">
        <v>7</v>
      </c>
      <c r="B155" t="s">
        <v>76</v>
      </c>
      <c r="C155">
        <v>0</v>
      </c>
      <c r="D155">
        <v>1</v>
      </c>
      <c r="E155" s="3">
        <f t="shared" si="1"/>
        <v>3</v>
      </c>
    </row>
    <row r="156" spans="1:5" x14ac:dyDescent="0.2">
      <c r="A156">
        <v>8</v>
      </c>
      <c r="B156" s="2" t="s">
        <v>10</v>
      </c>
      <c r="C156" s="2" t="s">
        <v>10</v>
      </c>
      <c r="D156" s="2" t="s">
        <v>10</v>
      </c>
      <c r="E156" s="3">
        <f t="shared" si="1"/>
        <v>3</v>
      </c>
    </row>
    <row r="157" spans="1:5" x14ac:dyDescent="0.2">
      <c r="A157" s="1" t="s">
        <v>17</v>
      </c>
      <c r="E157" s="3">
        <f t="shared" si="1"/>
        <v>3</v>
      </c>
    </row>
    <row r="158" spans="1:5" x14ac:dyDescent="0.2">
      <c r="A158" s="1" t="s">
        <v>1</v>
      </c>
      <c r="B158" s="1" t="s">
        <v>2</v>
      </c>
      <c r="C158" s="1" t="s">
        <v>3</v>
      </c>
      <c r="D158" s="1" t="s">
        <v>4</v>
      </c>
      <c r="E158" s="3">
        <f t="shared" si="1"/>
        <v>3</v>
      </c>
    </row>
    <row r="159" spans="1:5" x14ac:dyDescent="0.2">
      <c r="A159">
        <v>1</v>
      </c>
      <c r="B159" t="s">
        <v>40</v>
      </c>
      <c r="C159">
        <v>4</v>
      </c>
      <c r="D159">
        <v>17</v>
      </c>
      <c r="E159" s="3">
        <f t="shared" si="1"/>
        <v>3</v>
      </c>
    </row>
    <row r="160" spans="1:5" x14ac:dyDescent="0.2">
      <c r="A160">
        <v>2</v>
      </c>
      <c r="B160" t="s">
        <v>305</v>
      </c>
      <c r="C160">
        <v>2</v>
      </c>
      <c r="D160">
        <v>13</v>
      </c>
      <c r="E160" s="3">
        <f t="shared" ref="E160:E223" si="2">IF(A160=$A$1,E159+1,E159)</f>
        <v>3</v>
      </c>
    </row>
    <row r="161" spans="1:5" x14ac:dyDescent="0.2">
      <c r="A161">
        <v>3</v>
      </c>
      <c r="B161" t="s">
        <v>55</v>
      </c>
      <c r="C161">
        <v>0</v>
      </c>
      <c r="D161">
        <v>9</v>
      </c>
      <c r="E161" s="3">
        <f t="shared" si="2"/>
        <v>3</v>
      </c>
    </row>
    <row r="162" spans="1:5" x14ac:dyDescent="0.2">
      <c r="A162">
        <v>4</v>
      </c>
      <c r="B162" t="s">
        <v>47</v>
      </c>
      <c r="C162">
        <v>0</v>
      </c>
      <c r="D162">
        <v>5</v>
      </c>
      <c r="E162" s="3">
        <f t="shared" si="2"/>
        <v>3</v>
      </c>
    </row>
    <row r="163" spans="1:5" x14ac:dyDescent="0.2">
      <c r="A163">
        <v>5</v>
      </c>
      <c r="B163" t="s">
        <v>69</v>
      </c>
      <c r="C163">
        <v>0</v>
      </c>
      <c r="D163">
        <v>3</v>
      </c>
      <c r="E163" s="3">
        <f t="shared" si="2"/>
        <v>3</v>
      </c>
    </row>
    <row r="164" spans="1:5" x14ac:dyDescent="0.2">
      <c r="A164">
        <v>6</v>
      </c>
      <c r="B164" t="s">
        <v>43</v>
      </c>
      <c r="C164">
        <v>0</v>
      </c>
      <c r="D164">
        <v>2</v>
      </c>
      <c r="E164" s="3">
        <f t="shared" si="2"/>
        <v>3</v>
      </c>
    </row>
    <row r="165" spans="1:5" x14ac:dyDescent="0.2">
      <c r="A165">
        <v>7</v>
      </c>
      <c r="B165" t="s">
        <v>42</v>
      </c>
      <c r="C165">
        <v>0</v>
      </c>
      <c r="D165">
        <v>1</v>
      </c>
      <c r="E165" s="3">
        <f t="shared" si="2"/>
        <v>3</v>
      </c>
    </row>
    <row r="166" spans="1:5" x14ac:dyDescent="0.2">
      <c r="A166">
        <v>8</v>
      </c>
      <c r="B166" s="2" t="s">
        <v>10</v>
      </c>
      <c r="C166" s="2" t="s">
        <v>10</v>
      </c>
      <c r="D166" s="2" t="s">
        <v>10</v>
      </c>
      <c r="E166" s="3">
        <f t="shared" si="2"/>
        <v>3</v>
      </c>
    </row>
    <row r="167" spans="1:5" x14ac:dyDescent="0.2">
      <c r="A167" s="1" t="s">
        <v>24</v>
      </c>
      <c r="E167" s="3">
        <f t="shared" si="2"/>
        <v>3</v>
      </c>
    </row>
    <row r="168" spans="1:5" x14ac:dyDescent="0.2">
      <c r="A168" s="1" t="s">
        <v>1</v>
      </c>
      <c r="B168" s="1" t="s">
        <v>2</v>
      </c>
      <c r="C168" s="1" t="s">
        <v>3</v>
      </c>
      <c r="D168" s="1" t="s">
        <v>4</v>
      </c>
      <c r="E168" s="3">
        <f t="shared" si="2"/>
        <v>3</v>
      </c>
    </row>
    <row r="169" spans="1:5" x14ac:dyDescent="0.2">
      <c r="A169">
        <v>1</v>
      </c>
      <c r="B169" t="s">
        <v>23</v>
      </c>
      <c r="C169">
        <v>1</v>
      </c>
      <c r="D169">
        <v>17</v>
      </c>
      <c r="E169" s="3">
        <f t="shared" si="2"/>
        <v>3</v>
      </c>
    </row>
    <row r="170" spans="1:5" x14ac:dyDescent="0.2">
      <c r="A170">
        <v>2</v>
      </c>
      <c r="B170" t="s">
        <v>41</v>
      </c>
      <c r="C170">
        <v>1</v>
      </c>
      <c r="D170">
        <v>13</v>
      </c>
      <c r="E170" s="3">
        <f t="shared" si="2"/>
        <v>3</v>
      </c>
    </row>
    <row r="171" spans="1:5" x14ac:dyDescent="0.2">
      <c r="A171">
        <v>3</v>
      </c>
      <c r="B171" t="s">
        <v>59</v>
      </c>
      <c r="C171">
        <v>1</v>
      </c>
      <c r="D171">
        <v>9</v>
      </c>
      <c r="E171" s="3">
        <f t="shared" si="2"/>
        <v>3</v>
      </c>
    </row>
    <row r="172" spans="1:5" x14ac:dyDescent="0.2">
      <c r="A172">
        <v>4</v>
      </c>
      <c r="B172" t="s">
        <v>32</v>
      </c>
      <c r="C172">
        <v>0</v>
      </c>
      <c r="D172">
        <v>5</v>
      </c>
      <c r="E172" s="3">
        <f t="shared" si="2"/>
        <v>3</v>
      </c>
    </row>
    <row r="173" spans="1:5" x14ac:dyDescent="0.2">
      <c r="A173">
        <v>5</v>
      </c>
      <c r="B173" t="s">
        <v>25</v>
      </c>
      <c r="C173">
        <v>1</v>
      </c>
      <c r="D173">
        <v>3</v>
      </c>
      <c r="E173" s="3">
        <f t="shared" si="2"/>
        <v>3</v>
      </c>
    </row>
    <row r="174" spans="1:5" x14ac:dyDescent="0.2">
      <c r="A174">
        <v>6</v>
      </c>
      <c r="B174" t="s">
        <v>87</v>
      </c>
      <c r="C174">
        <v>1</v>
      </c>
      <c r="D174">
        <v>2</v>
      </c>
      <c r="E174" s="3">
        <f t="shared" si="2"/>
        <v>3</v>
      </c>
    </row>
    <row r="175" spans="1:5" x14ac:dyDescent="0.2">
      <c r="A175">
        <v>7</v>
      </c>
      <c r="B175" t="s">
        <v>103</v>
      </c>
      <c r="C175">
        <v>0</v>
      </c>
      <c r="D175">
        <v>1</v>
      </c>
      <c r="E175" s="3">
        <f t="shared" si="2"/>
        <v>3</v>
      </c>
    </row>
    <row r="176" spans="1:5" x14ac:dyDescent="0.2">
      <c r="A176">
        <v>8</v>
      </c>
      <c r="B176" s="2" t="s">
        <v>10</v>
      </c>
      <c r="C176" s="2" t="s">
        <v>10</v>
      </c>
      <c r="D176" s="2" t="s">
        <v>10</v>
      </c>
      <c r="E176" s="3">
        <f t="shared" si="2"/>
        <v>3</v>
      </c>
    </row>
    <row r="177" spans="1:5" x14ac:dyDescent="0.2">
      <c r="A177" s="1" t="s">
        <v>30</v>
      </c>
      <c r="E177" s="3">
        <f t="shared" si="2"/>
        <v>3</v>
      </c>
    </row>
    <row r="178" spans="1:5" x14ac:dyDescent="0.2">
      <c r="A178" s="1" t="s">
        <v>1</v>
      </c>
      <c r="B178" s="1" t="s">
        <v>2</v>
      </c>
      <c r="C178" s="1" t="s">
        <v>3</v>
      </c>
      <c r="D178" s="1" t="s">
        <v>4</v>
      </c>
      <c r="E178" s="3">
        <f t="shared" si="2"/>
        <v>3</v>
      </c>
    </row>
    <row r="179" spans="1:5" x14ac:dyDescent="0.2">
      <c r="A179">
        <v>1</v>
      </c>
      <c r="B179" t="s">
        <v>6</v>
      </c>
      <c r="C179">
        <v>1</v>
      </c>
      <c r="D179">
        <v>16</v>
      </c>
      <c r="E179" s="3">
        <f t="shared" si="2"/>
        <v>3</v>
      </c>
    </row>
    <row r="180" spans="1:5" x14ac:dyDescent="0.2">
      <c r="A180">
        <v>2</v>
      </c>
      <c r="B180" t="s">
        <v>102</v>
      </c>
      <c r="C180">
        <v>3</v>
      </c>
      <c r="D180">
        <v>12</v>
      </c>
      <c r="E180" s="3">
        <f t="shared" si="2"/>
        <v>3</v>
      </c>
    </row>
    <row r="181" spans="1:5" x14ac:dyDescent="0.2">
      <c r="A181">
        <v>3</v>
      </c>
      <c r="B181" t="s">
        <v>75</v>
      </c>
      <c r="C181">
        <v>1</v>
      </c>
      <c r="D181">
        <v>8</v>
      </c>
      <c r="E181" s="3">
        <f t="shared" si="2"/>
        <v>3</v>
      </c>
    </row>
    <row r="182" spans="1:5" x14ac:dyDescent="0.2">
      <c r="A182">
        <v>4</v>
      </c>
      <c r="B182" t="s">
        <v>50</v>
      </c>
      <c r="C182">
        <v>0</v>
      </c>
      <c r="D182">
        <v>4</v>
      </c>
      <c r="E182" s="3">
        <f t="shared" si="2"/>
        <v>3</v>
      </c>
    </row>
    <row r="183" spans="1:5" x14ac:dyDescent="0.2">
      <c r="A183">
        <v>5</v>
      </c>
      <c r="B183" t="s">
        <v>60</v>
      </c>
      <c r="C183">
        <v>0</v>
      </c>
      <c r="D183">
        <v>2</v>
      </c>
      <c r="E183" s="3">
        <f t="shared" si="2"/>
        <v>3</v>
      </c>
    </row>
    <row r="184" spans="1:5" x14ac:dyDescent="0.2">
      <c r="A184">
        <v>6</v>
      </c>
      <c r="B184" t="s">
        <v>9</v>
      </c>
      <c r="C184">
        <v>0</v>
      </c>
      <c r="D184">
        <v>1</v>
      </c>
      <c r="E184" s="3">
        <f t="shared" si="2"/>
        <v>3</v>
      </c>
    </row>
    <row r="185" spans="1:5" x14ac:dyDescent="0.2">
      <c r="A185">
        <v>7</v>
      </c>
      <c r="B185" s="2" t="s">
        <v>10</v>
      </c>
      <c r="C185" s="2" t="s">
        <v>10</v>
      </c>
      <c r="D185" s="2" t="s">
        <v>10</v>
      </c>
      <c r="E185" s="3">
        <f t="shared" si="2"/>
        <v>3</v>
      </c>
    </row>
    <row r="186" spans="1:5" x14ac:dyDescent="0.2">
      <c r="A186">
        <v>8</v>
      </c>
      <c r="B186" s="2" t="s">
        <v>10</v>
      </c>
      <c r="C186" s="2" t="s">
        <v>10</v>
      </c>
      <c r="D186" s="2" t="s">
        <v>10</v>
      </c>
      <c r="E186" s="3">
        <f t="shared" si="2"/>
        <v>3</v>
      </c>
    </row>
    <row r="187" spans="1:5" x14ac:dyDescent="0.2">
      <c r="A187" s="1" t="s">
        <v>37</v>
      </c>
      <c r="E187" s="3">
        <f t="shared" si="2"/>
        <v>3</v>
      </c>
    </row>
    <row r="188" spans="1:5" x14ac:dyDescent="0.2">
      <c r="A188" s="1" t="s">
        <v>1</v>
      </c>
      <c r="B188" s="1" t="s">
        <v>2</v>
      </c>
      <c r="C188" s="1" t="s">
        <v>3</v>
      </c>
      <c r="D188" s="1" t="s">
        <v>4</v>
      </c>
      <c r="E188" s="3">
        <f t="shared" si="2"/>
        <v>3</v>
      </c>
    </row>
    <row r="189" spans="1:5" x14ac:dyDescent="0.2">
      <c r="A189">
        <v>1</v>
      </c>
      <c r="B189" t="s">
        <v>46</v>
      </c>
      <c r="C189">
        <v>1</v>
      </c>
      <c r="D189">
        <v>16</v>
      </c>
      <c r="E189" s="3">
        <f t="shared" si="2"/>
        <v>3</v>
      </c>
    </row>
    <row r="190" spans="1:5" x14ac:dyDescent="0.2">
      <c r="A190">
        <v>2</v>
      </c>
      <c r="B190" t="s">
        <v>345</v>
      </c>
      <c r="C190">
        <v>1</v>
      </c>
      <c r="D190">
        <v>12</v>
      </c>
      <c r="E190" s="3">
        <f t="shared" si="2"/>
        <v>3</v>
      </c>
    </row>
    <row r="191" spans="1:5" x14ac:dyDescent="0.2">
      <c r="A191">
        <v>3</v>
      </c>
      <c r="B191" t="s">
        <v>21</v>
      </c>
      <c r="C191">
        <v>3</v>
      </c>
      <c r="D191">
        <v>8</v>
      </c>
      <c r="E191" s="3">
        <f t="shared" si="2"/>
        <v>3</v>
      </c>
    </row>
    <row r="192" spans="1:5" x14ac:dyDescent="0.2">
      <c r="A192">
        <v>4</v>
      </c>
      <c r="B192" t="s">
        <v>66</v>
      </c>
      <c r="C192">
        <v>0</v>
      </c>
      <c r="D192">
        <v>4</v>
      </c>
      <c r="E192" s="3">
        <f t="shared" si="2"/>
        <v>3</v>
      </c>
    </row>
    <row r="193" spans="1:5" x14ac:dyDescent="0.2">
      <c r="A193">
        <v>5</v>
      </c>
      <c r="B193" t="s">
        <v>54</v>
      </c>
      <c r="C193">
        <v>0</v>
      </c>
      <c r="D193">
        <v>2</v>
      </c>
      <c r="E193" s="3">
        <f t="shared" si="2"/>
        <v>3</v>
      </c>
    </row>
    <row r="194" spans="1:5" x14ac:dyDescent="0.2">
      <c r="A194">
        <v>6</v>
      </c>
      <c r="B194" t="s">
        <v>73</v>
      </c>
      <c r="C194">
        <v>0</v>
      </c>
      <c r="D194">
        <v>1</v>
      </c>
      <c r="E194" s="3">
        <f t="shared" si="2"/>
        <v>3</v>
      </c>
    </row>
    <row r="195" spans="1:5" x14ac:dyDescent="0.2">
      <c r="A195">
        <v>7</v>
      </c>
      <c r="B195" s="2" t="s">
        <v>10</v>
      </c>
      <c r="C195" s="2" t="s">
        <v>10</v>
      </c>
      <c r="D195" s="2" t="s">
        <v>10</v>
      </c>
      <c r="E195" s="3">
        <f t="shared" si="2"/>
        <v>3</v>
      </c>
    </row>
    <row r="196" spans="1:5" x14ac:dyDescent="0.2">
      <c r="A196">
        <v>8</v>
      </c>
      <c r="B196" s="2" t="s">
        <v>10</v>
      </c>
      <c r="C196" s="2" t="s">
        <v>10</v>
      </c>
      <c r="D196" s="2" t="s">
        <v>10</v>
      </c>
      <c r="E196" s="3">
        <f t="shared" si="2"/>
        <v>3</v>
      </c>
    </row>
    <row r="197" spans="1:5" x14ac:dyDescent="0.2">
      <c r="A197" s="1" t="s">
        <v>44</v>
      </c>
      <c r="E197" s="3">
        <f t="shared" si="2"/>
        <v>3</v>
      </c>
    </row>
    <row r="198" spans="1:5" x14ac:dyDescent="0.2">
      <c r="A198" s="1" t="s">
        <v>1</v>
      </c>
      <c r="B198" s="1" t="s">
        <v>2</v>
      </c>
      <c r="C198" s="1" t="s">
        <v>3</v>
      </c>
      <c r="D198" s="1" t="s">
        <v>4</v>
      </c>
      <c r="E198" s="3">
        <f t="shared" si="2"/>
        <v>3</v>
      </c>
    </row>
    <row r="199" spans="1:5" x14ac:dyDescent="0.2">
      <c r="A199">
        <v>1</v>
      </c>
      <c r="B199" t="s">
        <v>74</v>
      </c>
      <c r="C199">
        <v>2</v>
      </c>
      <c r="D199">
        <v>16</v>
      </c>
      <c r="E199" s="3">
        <f t="shared" si="2"/>
        <v>3</v>
      </c>
    </row>
    <row r="200" spans="1:5" x14ac:dyDescent="0.2">
      <c r="A200">
        <v>2</v>
      </c>
      <c r="B200" t="s">
        <v>101</v>
      </c>
      <c r="C200">
        <v>2</v>
      </c>
      <c r="D200">
        <v>12</v>
      </c>
      <c r="E200" s="3">
        <f t="shared" si="2"/>
        <v>3</v>
      </c>
    </row>
    <row r="201" spans="1:5" x14ac:dyDescent="0.2">
      <c r="A201">
        <v>3</v>
      </c>
      <c r="B201" t="s">
        <v>28</v>
      </c>
      <c r="C201">
        <v>1</v>
      </c>
      <c r="D201">
        <v>8</v>
      </c>
      <c r="E201" s="3">
        <f t="shared" si="2"/>
        <v>3</v>
      </c>
    </row>
    <row r="202" spans="1:5" x14ac:dyDescent="0.2">
      <c r="A202">
        <v>4</v>
      </c>
      <c r="B202" t="s">
        <v>35</v>
      </c>
      <c r="C202">
        <v>0</v>
      </c>
      <c r="D202">
        <v>4</v>
      </c>
      <c r="E202" s="3">
        <f t="shared" si="2"/>
        <v>3</v>
      </c>
    </row>
    <row r="203" spans="1:5" x14ac:dyDescent="0.2">
      <c r="A203">
        <v>5</v>
      </c>
      <c r="B203" t="s">
        <v>26</v>
      </c>
      <c r="C203">
        <v>0</v>
      </c>
      <c r="D203">
        <v>2</v>
      </c>
      <c r="E203" s="3">
        <f t="shared" si="2"/>
        <v>3</v>
      </c>
    </row>
    <row r="204" spans="1:5" x14ac:dyDescent="0.2">
      <c r="A204">
        <v>6</v>
      </c>
      <c r="B204" t="s">
        <v>45</v>
      </c>
      <c r="C204">
        <v>0</v>
      </c>
      <c r="D204">
        <v>1</v>
      </c>
      <c r="E204" s="3">
        <f t="shared" si="2"/>
        <v>3</v>
      </c>
    </row>
    <row r="205" spans="1:5" x14ac:dyDescent="0.2">
      <c r="A205" s="1" t="s">
        <v>0</v>
      </c>
      <c r="E205" s="3">
        <f t="shared" si="2"/>
        <v>4</v>
      </c>
    </row>
    <row r="206" spans="1:5" x14ac:dyDescent="0.2">
      <c r="A206" s="1" t="s">
        <v>1</v>
      </c>
      <c r="B206" s="1" t="s">
        <v>2</v>
      </c>
      <c r="C206" s="1" t="s">
        <v>3</v>
      </c>
      <c r="D206" s="1" t="s">
        <v>4</v>
      </c>
      <c r="E206" s="3">
        <f t="shared" si="2"/>
        <v>4</v>
      </c>
    </row>
    <row r="207" spans="1:5" x14ac:dyDescent="0.2">
      <c r="A207">
        <v>1</v>
      </c>
      <c r="B207" t="s">
        <v>43</v>
      </c>
      <c r="C207">
        <v>3</v>
      </c>
      <c r="D207">
        <v>16</v>
      </c>
      <c r="E207" s="3">
        <f t="shared" si="2"/>
        <v>4</v>
      </c>
    </row>
    <row r="208" spans="1:5" x14ac:dyDescent="0.2">
      <c r="A208">
        <v>2</v>
      </c>
      <c r="B208" t="s">
        <v>15</v>
      </c>
      <c r="C208">
        <v>1</v>
      </c>
      <c r="D208">
        <v>12</v>
      </c>
      <c r="E208" s="3">
        <f t="shared" si="2"/>
        <v>4</v>
      </c>
    </row>
    <row r="209" spans="1:5" x14ac:dyDescent="0.2">
      <c r="A209">
        <v>3</v>
      </c>
      <c r="B209" t="s">
        <v>103</v>
      </c>
      <c r="C209">
        <v>1</v>
      </c>
      <c r="D209">
        <v>8</v>
      </c>
      <c r="E209" s="3">
        <f t="shared" si="2"/>
        <v>4</v>
      </c>
    </row>
    <row r="210" spans="1:5" x14ac:dyDescent="0.2">
      <c r="A210">
        <v>4</v>
      </c>
      <c r="B210" t="s">
        <v>21</v>
      </c>
      <c r="C210">
        <v>0</v>
      </c>
      <c r="D210">
        <v>4</v>
      </c>
      <c r="E210" s="3">
        <f t="shared" si="2"/>
        <v>4</v>
      </c>
    </row>
    <row r="211" spans="1:5" x14ac:dyDescent="0.2">
      <c r="A211">
        <v>5</v>
      </c>
      <c r="B211" t="s">
        <v>46</v>
      </c>
      <c r="C211">
        <v>0</v>
      </c>
      <c r="D211">
        <v>2</v>
      </c>
      <c r="E211" s="3">
        <f t="shared" si="2"/>
        <v>4</v>
      </c>
    </row>
    <row r="212" spans="1:5" x14ac:dyDescent="0.2">
      <c r="A212">
        <v>6</v>
      </c>
      <c r="B212" t="s">
        <v>33</v>
      </c>
      <c r="C212">
        <v>0</v>
      </c>
      <c r="D212">
        <v>1</v>
      </c>
      <c r="E212" s="3">
        <f t="shared" si="2"/>
        <v>4</v>
      </c>
    </row>
    <row r="213" spans="1:5" x14ac:dyDescent="0.2">
      <c r="A213">
        <v>7</v>
      </c>
      <c r="B213" s="2" t="s">
        <v>10</v>
      </c>
      <c r="C213" s="2" t="s">
        <v>10</v>
      </c>
      <c r="D213" s="2" t="s">
        <v>10</v>
      </c>
      <c r="E213" s="3">
        <f t="shared" si="2"/>
        <v>4</v>
      </c>
    </row>
    <row r="214" spans="1:5" x14ac:dyDescent="0.2">
      <c r="A214">
        <v>8</v>
      </c>
      <c r="B214" s="2" t="s">
        <v>10</v>
      </c>
      <c r="C214" s="2" t="s">
        <v>10</v>
      </c>
      <c r="D214" s="2" t="s">
        <v>10</v>
      </c>
      <c r="E214" s="3">
        <f t="shared" si="2"/>
        <v>4</v>
      </c>
    </row>
    <row r="215" spans="1:5" x14ac:dyDescent="0.2">
      <c r="A215" s="1" t="s">
        <v>11</v>
      </c>
      <c r="E215" s="3">
        <f t="shared" si="2"/>
        <v>4</v>
      </c>
    </row>
    <row r="216" spans="1:5" x14ac:dyDescent="0.2">
      <c r="A216" s="1" t="s">
        <v>1</v>
      </c>
      <c r="B216" s="1" t="s">
        <v>2</v>
      </c>
      <c r="C216" s="1" t="s">
        <v>3</v>
      </c>
      <c r="D216" s="1" t="s">
        <v>4</v>
      </c>
      <c r="E216" s="3">
        <f t="shared" si="2"/>
        <v>4</v>
      </c>
    </row>
    <row r="217" spans="1:5" x14ac:dyDescent="0.2">
      <c r="A217">
        <v>0</v>
      </c>
      <c r="C217">
        <v>0</v>
      </c>
      <c r="D217">
        <v>0</v>
      </c>
      <c r="E217" s="3">
        <f t="shared" si="2"/>
        <v>4</v>
      </c>
    </row>
    <row r="218" spans="1:5" x14ac:dyDescent="0.2">
      <c r="A218">
        <v>0</v>
      </c>
      <c r="C218">
        <v>0</v>
      </c>
      <c r="D218">
        <v>0</v>
      </c>
      <c r="E218" s="3">
        <f t="shared" si="2"/>
        <v>4</v>
      </c>
    </row>
    <row r="219" spans="1:5" x14ac:dyDescent="0.2">
      <c r="A219">
        <v>1</v>
      </c>
      <c r="B219" t="s">
        <v>345</v>
      </c>
      <c r="C219">
        <v>1</v>
      </c>
      <c r="D219">
        <v>16</v>
      </c>
      <c r="E219" s="3">
        <f t="shared" si="2"/>
        <v>4</v>
      </c>
    </row>
    <row r="220" spans="1:5" x14ac:dyDescent="0.2">
      <c r="A220">
        <v>2</v>
      </c>
      <c r="B220" t="s">
        <v>47</v>
      </c>
      <c r="C220">
        <v>2</v>
      </c>
      <c r="D220">
        <v>12</v>
      </c>
      <c r="E220" s="3">
        <f t="shared" si="2"/>
        <v>4</v>
      </c>
    </row>
    <row r="221" spans="1:5" x14ac:dyDescent="0.2">
      <c r="A221">
        <v>3</v>
      </c>
      <c r="B221" t="s">
        <v>14</v>
      </c>
      <c r="C221">
        <v>1</v>
      </c>
      <c r="D221">
        <v>8</v>
      </c>
      <c r="E221" s="3">
        <f t="shared" si="2"/>
        <v>4</v>
      </c>
    </row>
    <row r="222" spans="1:5" x14ac:dyDescent="0.2">
      <c r="A222">
        <v>4</v>
      </c>
      <c r="B222" t="s">
        <v>61</v>
      </c>
      <c r="C222">
        <v>1</v>
      </c>
      <c r="D222">
        <v>4</v>
      </c>
      <c r="E222" s="3">
        <f t="shared" si="2"/>
        <v>4</v>
      </c>
    </row>
    <row r="223" spans="1:5" x14ac:dyDescent="0.2">
      <c r="A223">
        <v>5</v>
      </c>
      <c r="B223" t="s">
        <v>19</v>
      </c>
      <c r="C223">
        <v>0</v>
      </c>
      <c r="D223">
        <v>2</v>
      </c>
      <c r="E223" s="3">
        <f t="shared" si="2"/>
        <v>4</v>
      </c>
    </row>
    <row r="224" spans="1:5" x14ac:dyDescent="0.2">
      <c r="A224">
        <v>6</v>
      </c>
      <c r="B224" t="s">
        <v>6</v>
      </c>
      <c r="C224">
        <v>0</v>
      </c>
      <c r="D224">
        <v>1</v>
      </c>
      <c r="E224" s="3">
        <f t="shared" ref="E224:E287" si="3">IF(A224=$A$1,E223+1,E223)</f>
        <v>4</v>
      </c>
    </row>
    <row r="225" spans="1:5" x14ac:dyDescent="0.2">
      <c r="A225">
        <v>9</v>
      </c>
      <c r="B225" s="2" t="s">
        <v>10</v>
      </c>
      <c r="C225" s="2" t="s">
        <v>10</v>
      </c>
      <c r="D225" s="2" t="s">
        <v>10</v>
      </c>
      <c r="E225" s="3">
        <f t="shared" si="3"/>
        <v>4</v>
      </c>
    </row>
    <row r="226" spans="1:5" x14ac:dyDescent="0.2">
      <c r="A226">
        <v>10</v>
      </c>
      <c r="B226" s="2" t="s">
        <v>10</v>
      </c>
      <c r="C226" s="2" t="s">
        <v>10</v>
      </c>
      <c r="D226" s="2" t="s">
        <v>10</v>
      </c>
      <c r="E226" s="3">
        <f t="shared" si="3"/>
        <v>4</v>
      </c>
    </row>
    <row r="227" spans="1:5" x14ac:dyDescent="0.2">
      <c r="A227" s="1" t="s">
        <v>17</v>
      </c>
      <c r="E227" s="3">
        <f t="shared" si="3"/>
        <v>4</v>
      </c>
    </row>
    <row r="228" spans="1:5" x14ac:dyDescent="0.2">
      <c r="A228" s="1" t="s">
        <v>1</v>
      </c>
      <c r="B228" s="1" t="s">
        <v>2</v>
      </c>
      <c r="C228" s="1" t="s">
        <v>3</v>
      </c>
      <c r="D228" s="1" t="s">
        <v>4</v>
      </c>
      <c r="E228" s="3">
        <f t="shared" si="3"/>
        <v>4</v>
      </c>
    </row>
    <row r="229" spans="1:5" x14ac:dyDescent="0.2">
      <c r="A229">
        <v>1</v>
      </c>
      <c r="B229" t="s">
        <v>68</v>
      </c>
      <c r="C229">
        <v>2</v>
      </c>
      <c r="D229">
        <v>16</v>
      </c>
      <c r="E229" s="3">
        <f t="shared" si="3"/>
        <v>4</v>
      </c>
    </row>
    <row r="230" spans="1:5" x14ac:dyDescent="0.2">
      <c r="A230">
        <v>2</v>
      </c>
      <c r="B230" t="s">
        <v>32</v>
      </c>
      <c r="C230">
        <v>2</v>
      </c>
      <c r="D230">
        <v>12</v>
      </c>
      <c r="E230" s="3">
        <f t="shared" si="3"/>
        <v>4</v>
      </c>
    </row>
    <row r="231" spans="1:5" x14ac:dyDescent="0.2">
      <c r="A231">
        <v>3</v>
      </c>
      <c r="B231" t="s">
        <v>12</v>
      </c>
      <c r="C231">
        <v>0</v>
      </c>
      <c r="D231">
        <v>8</v>
      </c>
      <c r="E231" s="3">
        <f t="shared" si="3"/>
        <v>4</v>
      </c>
    </row>
    <row r="232" spans="1:5" x14ac:dyDescent="0.2">
      <c r="A232">
        <v>4</v>
      </c>
      <c r="B232" t="s">
        <v>102</v>
      </c>
      <c r="C232">
        <v>0</v>
      </c>
      <c r="D232">
        <v>4</v>
      </c>
      <c r="E232" s="3">
        <f t="shared" si="3"/>
        <v>4</v>
      </c>
    </row>
    <row r="233" spans="1:5" x14ac:dyDescent="0.2">
      <c r="A233">
        <v>5</v>
      </c>
      <c r="B233" t="s">
        <v>26</v>
      </c>
      <c r="C233">
        <v>1</v>
      </c>
      <c r="D233">
        <v>2</v>
      </c>
      <c r="E233" s="3">
        <f t="shared" si="3"/>
        <v>4</v>
      </c>
    </row>
    <row r="234" spans="1:5" x14ac:dyDescent="0.2">
      <c r="A234">
        <v>6</v>
      </c>
      <c r="B234" t="s">
        <v>54</v>
      </c>
      <c r="C234">
        <v>0</v>
      </c>
      <c r="D234">
        <v>1</v>
      </c>
      <c r="E234" s="3">
        <f t="shared" si="3"/>
        <v>4</v>
      </c>
    </row>
    <row r="235" spans="1:5" x14ac:dyDescent="0.2">
      <c r="A235">
        <v>7</v>
      </c>
      <c r="B235" s="2" t="s">
        <v>10</v>
      </c>
      <c r="C235" s="2" t="s">
        <v>10</v>
      </c>
      <c r="D235" s="2" t="s">
        <v>10</v>
      </c>
      <c r="E235" s="3">
        <f t="shared" si="3"/>
        <v>4</v>
      </c>
    </row>
    <row r="236" spans="1:5" x14ac:dyDescent="0.2">
      <c r="A236">
        <v>8</v>
      </c>
      <c r="B236" s="2" t="s">
        <v>10</v>
      </c>
      <c r="C236" s="2" t="s">
        <v>10</v>
      </c>
      <c r="D236" s="2" t="s">
        <v>10</v>
      </c>
      <c r="E236" s="3">
        <f t="shared" si="3"/>
        <v>4</v>
      </c>
    </row>
    <row r="237" spans="1:5" x14ac:dyDescent="0.2">
      <c r="A237" s="1" t="s">
        <v>24</v>
      </c>
      <c r="E237" s="3">
        <f t="shared" si="3"/>
        <v>4</v>
      </c>
    </row>
    <row r="238" spans="1:5" x14ac:dyDescent="0.2">
      <c r="A238" s="1" t="s">
        <v>1</v>
      </c>
      <c r="B238" s="1" t="s">
        <v>2</v>
      </c>
      <c r="C238" s="1" t="s">
        <v>3</v>
      </c>
      <c r="D238" s="1" t="s">
        <v>4</v>
      </c>
      <c r="E238" s="3">
        <f t="shared" si="3"/>
        <v>4</v>
      </c>
    </row>
    <row r="239" spans="1:5" x14ac:dyDescent="0.2">
      <c r="A239">
        <v>1</v>
      </c>
      <c r="B239" t="s">
        <v>98</v>
      </c>
      <c r="C239">
        <v>4</v>
      </c>
      <c r="D239">
        <v>16</v>
      </c>
      <c r="E239" s="3">
        <f t="shared" si="3"/>
        <v>4</v>
      </c>
    </row>
    <row r="240" spans="1:5" x14ac:dyDescent="0.2">
      <c r="A240">
        <v>2</v>
      </c>
      <c r="B240" t="s">
        <v>25</v>
      </c>
      <c r="C240">
        <v>1</v>
      </c>
      <c r="D240">
        <v>12</v>
      </c>
      <c r="E240" s="3">
        <f t="shared" si="3"/>
        <v>4</v>
      </c>
    </row>
    <row r="241" spans="1:5" x14ac:dyDescent="0.2">
      <c r="A241">
        <v>3</v>
      </c>
      <c r="B241" t="s">
        <v>18</v>
      </c>
      <c r="C241">
        <v>0</v>
      </c>
      <c r="D241">
        <v>8</v>
      </c>
      <c r="E241" s="3">
        <f t="shared" si="3"/>
        <v>4</v>
      </c>
    </row>
    <row r="242" spans="1:5" x14ac:dyDescent="0.2">
      <c r="A242">
        <v>4</v>
      </c>
      <c r="B242" t="s">
        <v>59</v>
      </c>
      <c r="C242">
        <v>0</v>
      </c>
      <c r="D242">
        <v>4</v>
      </c>
      <c r="E242" s="3">
        <f t="shared" si="3"/>
        <v>4</v>
      </c>
    </row>
    <row r="243" spans="1:5" x14ac:dyDescent="0.2">
      <c r="A243">
        <v>5</v>
      </c>
      <c r="B243" t="s">
        <v>8</v>
      </c>
      <c r="C243">
        <v>0</v>
      </c>
      <c r="D243">
        <v>2</v>
      </c>
      <c r="E243" s="3">
        <f t="shared" si="3"/>
        <v>4</v>
      </c>
    </row>
    <row r="244" spans="1:5" x14ac:dyDescent="0.2">
      <c r="A244">
        <v>6</v>
      </c>
      <c r="B244" t="s">
        <v>92</v>
      </c>
      <c r="C244">
        <v>0</v>
      </c>
      <c r="D244">
        <v>1</v>
      </c>
      <c r="E244" s="3">
        <f t="shared" si="3"/>
        <v>4</v>
      </c>
    </row>
    <row r="245" spans="1:5" x14ac:dyDescent="0.2">
      <c r="A245">
        <v>7</v>
      </c>
      <c r="B245" s="2" t="s">
        <v>10</v>
      </c>
      <c r="C245" s="2" t="s">
        <v>10</v>
      </c>
      <c r="D245" s="2" t="s">
        <v>10</v>
      </c>
      <c r="E245" s="3">
        <f t="shared" si="3"/>
        <v>4</v>
      </c>
    </row>
    <row r="246" spans="1:5" x14ac:dyDescent="0.2">
      <c r="A246">
        <v>8</v>
      </c>
      <c r="B246" s="2" t="s">
        <v>10</v>
      </c>
      <c r="C246" s="2" t="s">
        <v>10</v>
      </c>
      <c r="D246" s="2" t="s">
        <v>10</v>
      </c>
      <c r="E246" s="3">
        <f t="shared" si="3"/>
        <v>4</v>
      </c>
    </row>
    <row r="247" spans="1:5" x14ac:dyDescent="0.2">
      <c r="A247" s="1" t="s">
        <v>30</v>
      </c>
      <c r="E247" s="3">
        <f t="shared" si="3"/>
        <v>4</v>
      </c>
    </row>
    <row r="248" spans="1:5" x14ac:dyDescent="0.2">
      <c r="A248" s="1" t="s">
        <v>1</v>
      </c>
      <c r="B248" s="1" t="s">
        <v>2</v>
      </c>
      <c r="C248" s="1" t="s">
        <v>3</v>
      </c>
      <c r="D248" s="1" t="s">
        <v>4</v>
      </c>
      <c r="E248" s="3">
        <f t="shared" si="3"/>
        <v>4</v>
      </c>
    </row>
    <row r="249" spans="1:5" x14ac:dyDescent="0.2">
      <c r="A249">
        <v>1</v>
      </c>
      <c r="B249" t="s">
        <v>50</v>
      </c>
      <c r="C249">
        <v>1</v>
      </c>
      <c r="D249">
        <v>16</v>
      </c>
      <c r="E249" s="3">
        <f t="shared" si="3"/>
        <v>4</v>
      </c>
    </row>
    <row r="250" spans="1:5" x14ac:dyDescent="0.2">
      <c r="A250">
        <v>2</v>
      </c>
      <c r="B250" t="s">
        <v>45</v>
      </c>
      <c r="C250">
        <v>4</v>
      </c>
      <c r="D250">
        <v>12</v>
      </c>
      <c r="E250" s="3">
        <f t="shared" si="3"/>
        <v>4</v>
      </c>
    </row>
    <row r="251" spans="1:5" x14ac:dyDescent="0.2">
      <c r="A251">
        <v>3</v>
      </c>
      <c r="B251" t="s">
        <v>9</v>
      </c>
      <c r="C251">
        <v>0</v>
      </c>
      <c r="D251">
        <v>8</v>
      </c>
      <c r="E251" s="3">
        <f t="shared" si="3"/>
        <v>4</v>
      </c>
    </row>
    <row r="252" spans="1:5" x14ac:dyDescent="0.2">
      <c r="A252">
        <v>4</v>
      </c>
      <c r="B252" t="s">
        <v>65</v>
      </c>
      <c r="C252">
        <v>0</v>
      </c>
      <c r="D252">
        <v>4</v>
      </c>
      <c r="E252" s="3">
        <f t="shared" si="3"/>
        <v>4</v>
      </c>
    </row>
    <row r="253" spans="1:5" x14ac:dyDescent="0.2">
      <c r="A253">
        <v>5</v>
      </c>
      <c r="B253" t="s">
        <v>52</v>
      </c>
      <c r="C253">
        <v>0</v>
      </c>
      <c r="D253">
        <v>2</v>
      </c>
      <c r="E253" s="3">
        <f t="shared" si="3"/>
        <v>4</v>
      </c>
    </row>
    <row r="254" spans="1:5" x14ac:dyDescent="0.2">
      <c r="A254">
        <v>6</v>
      </c>
      <c r="B254" t="s">
        <v>28</v>
      </c>
      <c r="C254">
        <v>0</v>
      </c>
      <c r="D254">
        <v>1</v>
      </c>
      <c r="E254" s="3">
        <f t="shared" si="3"/>
        <v>4</v>
      </c>
    </row>
    <row r="255" spans="1:5" x14ac:dyDescent="0.2">
      <c r="A255">
        <v>7</v>
      </c>
      <c r="B255" s="2" t="s">
        <v>10</v>
      </c>
      <c r="C255" s="2" t="s">
        <v>10</v>
      </c>
      <c r="D255" s="2" t="s">
        <v>10</v>
      </c>
      <c r="E255" s="3">
        <f t="shared" si="3"/>
        <v>4</v>
      </c>
    </row>
    <row r="256" spans="1:5" x14ac:dyDescent="0.2">
      <c r="A256">
        <v>8</v>
      </c>
      <c r="B256" s="2" t="s">
        <v>10</v>
      </c>
      <c r="C256" s="2" t="s">
        <v>10</v>
      </c>
      <c r="D256" s="2" t="s">
        <v>10</v>
      </c>
      <c r="E256" s="3">
        <f t="shared" si="3"/>
        <v>4</v>
      </c>
    </row>
    <row r="257" spans="1:5" x14ac:dyDescent="0.2">
      <c r="A257" s="1" t="s">
        <v>37</v>
      </c>
      <c r="E257" s="3">
        <f t="shared" si="3"/>
        <v>4</v>
      </c>
    </row>
    <row r="258" spans="1:5" x14ac:dyDescent="0.2">
      <c r="A258" s="1" t="s">
        <v>1</v>
      </c>
      <c r="B258" s="1" t="s">
        <v>2</v>
      </c>
      <c r="C258" s="1" t="s">
        <v>3</v>
      </c>
      <c r="D258" s="1" t="s">
        <v>4</v>
      </c>
      <c r="E258" s="3">
        <f t="shared" si="3"/>
        <v>4</v>
      </c>
    </row>
    <row r="259" spans="1:5" x14ac:dyDescent="0.2">
      <c r="A259">
        <v>1</v>
      </c>
      <c r="B259" t="s">
        <v>87</v>
      </c>
      <c r="C259">
        <v>2</v>
      </c>
      <c r="D259">
        <v>16</v>
      </c>
      <c r="E259" s="3">
        <f t="shared" si="3"/>
        <v>4</v>
      </c>
    </row>
    <row r="260" spans="1:5" x14ac:dyDescent="0.2">
      <c r="A260">
        <v>2</v>
      </c>
      <c r="B260" t="s">
        <v>39</v>
      </c>
      <c r="C260">
        <v>3</v>
      </c>
      <c r="D260">
        <v>12</v>
      </c>
      <c r="E260" s="3">
        <f t="shared" si="3"/>
        <v>4</v>
      </c>
    </row>
    <row r="261" spans="1:5" x14ac:dyDescent="0.2">
      <c r="A261">
        <v>3</v>
      </c>
      <c r="B261" t="s">
        <v>75</v>
      </c>
      <c r="C261">
        <v>0</v>
      </c>
      <c r="D261">
        <v>8</v>
      </c>
      <c r="E261" s="3">
        <f t="shared" si="3"/>
        <v>4</v>
      </c>
    </row>
    <row r="262" spans="1:5" x14ac:dyDescent="0.2">
      <c r="A262">
        <v>4</v>
      </c>
      <c r="B262" t="s">
        <v>53</v>
      </c>
      <c r="C262">
        <v>0</v>
      </c>
      <c r="D262">
        <v>4</v>
      </c>
      <c r="E262" s="3">
        <f t="shared" si="3"/>
        <v>4</v>
      </c>
    </row>
    <row r="263" spans="1:5" x14ac:dyDescent="0.2">
      <c r="A263">
        <v>5</v>
      </c>
      <c r="B263" t="s">
        <v>66</v>
      </c>
      <c r="C263">
        <v>0</v>
      </c>
      <c r="D263">
        <v>2</v>
      </c>
      <c r="E263" s="3">
        <f t="shared" si="3"/>
        <v>4</v>
      </c>
    </row>
    <row r="264" spans="1:5" x14ac:dyDescent="0.2">
      <c r="A264">
        <v>6</v>
      </c>
      <c r="B264" t="s">
        <v>73</v>
      </c>
      <c r="C264">
        <v>0</v>
      </c>
      <c r="D264">
        <v>1</v>
      </c>
      <c r="E264" s="3">
        <f t="shared" si="3"/>
        <v>4</v>
      </c>
    </row>
    <row r="265" spans="1:5" x14ac:dyDescent="0.2">
      <c r="A265">
        <v>7</v>
      </c>
      <c r="B265" s="2" t="s">
        <v>10</v>
      </c>
      <c r="C265" s="2" t="s">
        <v>10</v>
      </c>
      <c r="D265" s="2" t="s">
        <v>10</v>
      </c>
      <c r="E265" s="3">
        <f t="shared" si="3"/>
        <v>4</v>
      </c>
    </row>
    <row r="266" spans="1:5" x14ac:dyDescent="0.2">
      <c r="A266">
        <v>8</v>
      </c>
      <c r="B266" s="2" t="s">
        <v>10</v>
      </c>
      <c r="C266" s="2" t="s">
        <v>10</v>
      </c>
      <c r="D266" s="2" t="s">
        <v>10</v>
      </c>
      <c r="E266" s="3">
        <f t="shared" si="3"/>
        <v>4</v>
      </c>
    </row>
    <row r="267" spans="1:5" x14ac:dyDescent="0.2">
      <c r="A267" s="1" t="s">
        <v>44</v>
      </c>
      <c r="E267" s="3">
        <f t="shared" si="3"/>
        <v>4</v>
      </c>
    </row>
    <row r="268" spans="1:5" x14ac:dyDescent="0.2">
      <c r="A268" s="1" t="s">
        <v>1</v>
      </c>
      <c r="B268" s="1" t="s">
        <v>2</v>
      </c>
      <c r="C268" s="1" t="s">
        <v>3</v>
      </c>
      <c r="D268" s="1" t="s">
        <v>4</v>
      </c>
      <c r="E268" s="3">
        <f t="shared" si="3"/>
        <v>4</v>
      </c>
    </row>
    <row r="269" spans="1:5" x14ac:dyDescent="0.2">
      <c r="A269">
        <v>1</v>
      </c>
      <c r="B269" t="s">
        <v>40</v>
      </c>
      <c r="C269">
        <v>4</v>
      </c>
      <c r="D269">
        <v>15</v>
      </c>
      <c r="E269" s="3">
        <f t="shared" si="3"/>
        <v>4</v>
      </c>
    </row>
    <row r="270" spans="1:5" x14ac:dyDescent="0.2">
      <c r="A270">
        <v>2</v>
      </c>
      <c r="B270" t="s">
        <v>69</v>
      </c>
      <c r="C270">
        <v>0</v>
      </c>
      <c r="D270">
        <v>11</v>
      </c>
      <c r="E270" s="3">
        <f t="shared" si="3"/>
        <v>4</v>
      </c>
    </row>
    <row r="271" spans="1:5" x14ac:dyDescent="0.2">
      <c r="A271">
        <v>3</v>
      </c>
      <c r="B271" t="s">
        <v>76</v>
      </c>
      <c r="C271">
        <v>0</v>
      </c>
      <c r="D271">
        <v>7</v>
      </c>
      <c r="E271" s="3">
        <f t="shared" si="3"/>
        <v>4</v>
      </c>
    </row>
    <row r="272" spans="1:5" x14ac:dyDescent="0.2">
      <c r="A272">
        <v>4</v>
      </c>
      <c r="B272" t="s">
        <v>42</v>
      </c>
      <c r="C272">
        <v>0</v>
      </c>
      <c r="D272">
        <v>3</v>
      </c>
      <c r="E272" s="3">
        <f t="shared" si="3"/>
        <v>4</v>
      </c>
    </row>
    <row r="273" spans="1:5" x14ac:dyDescent="0.2">
      <c r="A273">
        <v>5</v>
      </c>
      <c r="B273" t="s">
        <v>74</v>
      </c>
      <c r="C273">
        <v>0</v>
      </c>
      <c r="D273">
        <v>1</v>
      </c>
      <c r="E273" s="3">
        <f t="shared" si="3"/>
        <v>4</v>
      </c>
    </row>
    <row r="274" spans="1:5" x14ac:dyDescent="0.2">
      <c r="A274" s="1" t="s">
        <v>0</v>
      </c>
      <c r="E274" s="3">
        <f t="shared" si="3"/>
        <v>5</v>
      </c>
    </row>
    <row r="275" spans="1:5" x14ac:dyDescent="0.2">
      <c r="A275" s="1" t="s">
        <v>1</v>
      </c>
      <c r="B275" s="1" t="s">
        <v>2</v>
      </c>
      <c r="C275" s="1" t="s">
        <v>3</v>
      </c>
      <c r="D275" s="1" t="s">
        <v>4</v>
      </c>
      <c r="E275" s="3">
        <f t="shared" si="3"/>
        <v>5</v>
      </c>
    </row>
    <row r="276" spans="1:5" x14ac:dyDescent="0.2">
      <c r="A276">
        <v>1</v>
      </c>
      <c r="B276" t="s">
        <v>9</v>
      </c>
      <c r="C276">
        <v>3</v>
      </c>
      <c r="D276">
        <v>16</v>
      </c>
      <c r="E276" s="3">
        <f t="shared" si="3"/>
        <v>5</v>
      </c>
    </row>
    <row r="277" spans="1:5" x14ac:dyDescent="0.2">
      <c r="A277">
        <v>2</v>
      </c>
      <c r="B277" t="s">
        <v>32</v>
      </c>
      <c r="C277">
        <v>1</v>
      </c>
      <c r="D277">
        <v>12</v>
      </c>
      <c r="E277" s="3">
        <f t="shared" si="3"/>
        <v>5</v>
      </c>
    </row>
    <row r="278" spans="1:5" x14ac:dyDescent="0.2">
      <c r="A278">
        <v>3</v>
      </c>
      <c r="B278" t="s">
        <v>76</v>
      </c>
      <c r="C278">
        <v>0</v>
      </c>
      <c r="D278">
        <v>8</v>
      </c>
      <c r="E278" s="3">
        <f t="shared" si="3"/>
        <v>5</v>
      </c>
    </row>
    <row r="279" spans="1:5" x14ac:dyDescent="0.2">
      <c r="A279">
        <v>4</v>
      </c>
      <c r="B279" t="s">
        <v>12</v>
      </c>
      <c r="C279">
        <v>1</v>
      </c>
      <c r="D279">
        <v>4</v>
      </c>
      <c r="E279" s="3">
        <f t="shared" si="3"/>
        <v>5</v>
      </c>
    </row>
    <row r="280" spans="1:5" x14ac:dyDescent="0.2">
      <c r="A280">
        <v>5</v>
      </c>
      <c r="B280" t="s">
        <v>101</v>
      </c>
      <c r="C280">
        <v>0</v>
      </c>
      <c r="D280">
        <v>2</v>
      </c>
      <c r="E280" s="3">
        <f t="shared" si="3"/>
        <v>5</v>
      </c>
    </row>
    <row r="281" spans="1:5" x14ac:dyDescent="0.2">
      <c r="A281">
        <v>6</v>
      </c>
      <c r="B281" t="s">
        <v>50</v>
      </c>
      <c r="C281">
        <v>0</v>
      </c>
      <c r="D281">
        <v>1</v>
      </c>
      <c r="E281" s="3">
        <f t="shared" si="3"/>
        <v>5</v>
      </c>
    </row>
    <row r="282" spans="1:5" x14ac:dyDescent="0.2">
      <c r="A282">
        <v>7</v>
      </c>
      <c r="B282" s="2" t="s">
        <v>10</v>
      </c>
      <c r="C282" s="2" t="s">
        <v>10</v>
      </c>
      <c r="D282" s="2" t="s">
        <v>10</v>
      </c>
      <c r="E282" s="3">
        <f t="shared" si="3"/>
        <v>5</v>
      </c>
    </row>
    <row r="283" spans="1:5" x14ac:dyDescent="0.2">
      <c r="A283">
        <v>8</v>
      </c>
      <c r="B283" s="2" t="s">
        <v>10</v>
      </c>
      <c r="C283" s="2" t="s">
        <v>10</v>
      </c>
      <c r="D283" s="2" t="s">
        <v>10</v>
      </c>
      <c r="E283" s="3">
        <f t="shared" si="3"/>
        <v>5</v>
      </c>
    </row>
    <row r="284" spans="1:5" x14ac:dyDescent="0.2">
      <c r="A284" s="1" t="s">
        <v>11</v>
      </c>
      <c r="E284" s="3">
        <f t="shared" si="3"/>
        <v>5</v>
      </c>
    </row>
    <row r="285" spans="1:5" x14ac:dyDescent="0.2">
      <c r="A285" s="1" t="s">
        <v>1</v>
      </c>
      <c r="B285" s="1" t="s">
        <v>2</v>
      </c>
      <c r="C285" s="1" t="s">
        <v>3</v>
      </c>
      <c r="D285" s="1" t="s">
        <v>4</v>
      </c>
      <c r="E285" s="3">
        <f t="shared" si="3"/>
        <v>5</v>
      </c>
    </row>
    <row r="286" spans="1:5" x14ac:dyDescent="0.2">
      <c r="A286">
        <v>1</v>
      </c>
      <c r="B286" t="s">
        <v>39</v>
      </c>
      <c r="C286">
        <v>2</v>
      </c>
      <c r="D286">
        <v>16</v>
      </c>
      <c r="E286" s="3">
        <f t="shared" si="3"/>
        <v>5</v>
      </c>
    </row>
    <row r="287" spans="1:5" x14ac:dyDescent="0.2">
      <c r="A287">
        <v>2</v>
      </c>
      <c r="B287" t="s">
        <v>45</v>
      </c>
      <c r="C287">
        <v>2</v>
      </c>
      <c r="D287">
        <v>12</v>
      </c>
      <c r="E287" s="3">
        <f t="shared" si="3"/>
        <v>5</v>
      </c>
    </row>
    <row r="288" spans="1:5" x14ac:dyDescent="0.2">
      <c r="A288">
        <v>3</v>
      </c>
      <c r="B288" t="s">
        <v>103</v>
      </c>
      <c r="C288">
        <v>0</v>
      </c>
      <c r="D288">
        <v>8</v>
      </c>
      <c r="E288" s="3">
        <f t="shared" ref="E288:E351" si="4">IF(A288=$A$1,E287+1,E287)</f>
        <v>5</v>
      </c>
    </row>
    <row r="289" spans="1:5" x14ac:dyDescent="0.2">
      <c r="A289">
        <v>4</v>
      </c>
      <c r="B289" t="s">
        <v>345</v>
      </c>
      <c r="C289">
        <v>1</v>
      </c>
      <c r="D289">
        <v>4</v>
      </c>
      <c r="E289" s="3">
        <f t="shared" si="4"/>
        <v>5</v>
      </c>
    </row>
    <row r="290" spans="1:5" x14ac:dyDescent="0.2">
      <c r="A290">
        <v>5</v>
      </c>
      <c r="B290" t="s">
        <v>74</v>
      </c>
      <c r="C290">
        <v>0</v>
      </c>
      <c r="D290">
        <v>2</v>
      </c>
      <c r="E290" s="3">
        <f t="shared" si="4"/>
        <v>5</v>
      </c>
    </row>
    <row r="291" spans="1:5" x14ac:dyDescent="0.2">
      <c r="A291">
        <v>6</v>
      </c>
      <c r="B291" t="s">
        <v>55</v>
      </c>
      <c r="C291">
        <v>0</v>
      </c>
      <c r="D291">
        <v>1</v>
      </c>
      <c r="E291" s="3">
        <f t="shared" si="4"/>
        <v>5</v>
      </c>
    </row>
    <row r="292" spans="1:5" x14ac:dyDescent="0.2">
      <c r="A292">
        <v>7</v>
      </c>
      <c r="B292" s="2" t="s">
        <v>10</v>
      </c>
      <c r="C292" s="2" t="s">
        <v>10</v>
      </c>
      <c r="D292" s="2" t="s">
        <v>10</v>
      </c>
      <c r="E292" s="3">
        <f t="shared" si="4"/>
        <v>5</v>
      </c>
    </row>
    <row r="293" spans="1:5" x14ac:dyDescent="0.2">
      <c r="A293">
        <v>8</v>
      </c>
      <c r="B293" s="2" t="s">
        <v>10</v>
      </c>
      <c r="C293" s="2" t="s">
        <v>10</v>
      </c>
      <c r="D293" s="2" t="s">
        <v>10</v>
      </c>
      <c r="E293" s="3">
        <f t="shared" si="4"/>
        <v>5</v>
      </c>
    </row>
    <row r="294" spans="1:5" x14ac:dyDescent="0.2">
      <c r="A294" s="1" t="s">
        <v>17</v>
      </c>
      <c r="E294" s="3">
        <f t="shared" si="4"/>
        <v>5</v>
      </c>
    </row>
    <row r="295" spans="1:5" x14ac:dyDescent="0.2">
      <c r="A295" s="1" t="s">
        <v>1</v>
      </c>
      <c r="B295" s="1" t="s">
        <v>2</v>
      </c>
      <c r="C295" s="1" t="s">
        <v>3</v>
      </c>
      <c r="D295" s="1" t="s">
        <v>4</v>
      </c>
      <c r="E295" s="3">
        <f t="shared" si="4"/>
        <v>5</v>
      </c>
    </row>
    <row r="296" spans="1:5" x14ac:dyDescent="0.2">
      <c r="A296">
        <v>1</v>
      </c>
      <c r="B296" t="s">
        <v>23</v>
      </c>
      <c r="C296">
        <v>2</v>
      </c>
      <c r="D296">
        <v>16</v>
      </c>
      <c r="E296" s="3">
        <f t="shared" si="4"/>
        <v>5</v>
      </c>
    </row>
    <row r="297" spans="1:5" x14ac:dyDescent="0.2">
      <c r="A297">
        <v>2</v>
      </c>
      <c r="B297" t="s">
        <v>75</v>
      </c>
      <c r="C297">
        <v>2</v>
      </c>
      <c r="D297">
        <v>12</v>
      </c>
      <c r="E297" s="3">
        <f t="shared" si="4"/>
        <v>5</v>
      </c>
    </row>
    <row r="298" spans="1:5" x14ac:dyDescent="0.2">
      <c r="A298">
        <v>3</v>
      </c>
      <c r="B298" t="s">
        <v>47</v>
      </c>
      <c r="C298">
        <v>0</v>
      </c>
      <c r="D298">
        <v>8</v>
      </c>
      <c r="E298" s="3">
        <f t="shared" si="4"/>
        <v>5</v>
      </c>
    </row>
    <row r="299" spans="1:5" x14ac:dyDescent="0.2">
      <c r="A299">
        <v>4</v>
      </c>
      <c r="B299" t="s">
        <v>53</v>
      </c>
      <c r="C299">
        <v>1</v>
      </c>
      <c r="D299">
        <v>4</v>
      </c>
      <c r="E299" s="3">
        <f t="shared" si="4"/>
        <v>5</v>
      </c>
    </row>
    <row r="300" spans="1:5" x14ac:dyDescent="0.2">
      <c r="A300">
        <v>5</v>
      </c>
      <c r="B300" t="s">
        <v>88</v>
      </c>
      <c r="C300">
        <v>0</v>
      </c>
      <c r="D300">
        <v>2</v>
      </c>
      <c r="E300" s="3">
        <f t="shared" si="4"/>
        <v>5</v>
      </c>
    </row>
    <row r="301" spans="1:5" x14ac:dyDescent="0.2">
      <c r="A301">
        <v>6</v>
      </c>
      <c r="B301" t="s">
        <v>18</v>
      </c>
      <c r="C301">
        <v>0</v>
      </c>
      <c r="D301">
        <v>1</v>
      </c>
      <c r="E301" s="3">
        <f t="shared" si="4"/>
        <v>5</v>
      </c>
    </row>
    <row r="302" spans="1:5" x14ac:dyDescent="0.2">
      <c r="A302">
        <v>7</v>
      </c>
      <c r="B302" s="2" t="s">
        <v>10</v>
      </c>
      <c r="C302" s="2" t="s">
        <v>10</v>
      </c>
      <c r="D302" s="2" t="s">
        <v>10</v>
      </c>
      <c r="E302" s="3">
        <f t="shared" si="4"/>
        <v>5</v>
      </c>
    </row>
    <row r="303" spans="1:5" x14ac:dyDescent="0.2">
      <c r="A303">
        <v>8</v>
      </c>
      <c r="B303" s="2" t="s">
        <v>10</v>
      </c>
      <c r="C303" s="2" t="s">
        <v>10</v>
      </c>
      <c r="D303" s="2" t="s">
        <v>10</v>
      </c>
      <c r="E303" s="3">
        <f t="shared" si="4"/>
        <v>5</v>
      </c>
    </row>
    <row r="304" spans="1:5" x14ac:dyDescent="0.2">
      <c r="A304" s="1" t="s">
        <v>24</v>
      </c>
      <c r="E304" s="3">
        <f t="shared" si="4"/>
        <v>5</v>
      </c>
    </row>
    <row r="305" spans="1:5" x14ac:dyDescent="0.2">
      <c r="A305" s="1" t="s">
        <v>1</v>
      </c>
      <c r="B305" s="1" t="s">
        <v>2</v>
      </c>
      <c r="C305" s="1" t="s">
        <v>3</v>
      </c>
      <c r="D305" s="1" t="s">
        <v>4</v>
      </c>
      <c r="E305" s="3">
        <f t="shared" si="4"/>
        <v>5</v>
      </c>
    </row>
    <row r="306" spans="1:5" x14ac:dyDescent="0.2">
      <c r="A306">
        <v>1</v>
      </c>
      <c r="B306" t="s">
        <v>68</v>
      </c>
      <c r="C306">
        <v>3</v>
      </c>
      <c r="D306">
        <v>15</v>
      </c>
      <c r="E306" s="3">
        <f t="shared" si="4"/>
        <v>5</v>
      </c>
    </row>
    <row r="307" spans="1:5" x14ac:dyDescent="0.2">
      <c r="A307">
        <v>2</v>
      </c>
      <c r="B307" t="s">
        <v>41</v>
      </c>
      <c r="C307">
        <v>1</v>
      </c>
      <c r="D307">
        <v>11</v>
      </c>
      <c r="E307" s="3">
        <f t="shared" si="4"/>
        <v>5</v>
      </c>
    </row>
    <row r="308" spans="1:5" x14ac:dyDescent="0.2">
      <c r="A308">
        <v>3</v>
      </c>
      <c r="B308" t="s">
        <v>46</v>
      </c>
      <c r="C308">
        <v>0</v>
      </c>
      <c r="D308">
        <v>7</v>
      </c>
      <c r="E308" s="3">
        <f t="shared" si="4"/>
        <v>5</v>
      </c>
    </row>
    <row r="309" spans="1:5" x14ac:dyDescent="0.2">
      <c r="A309">
        <v>4</v>
      </c>
      <c r="B309" t="s">
        <v>61</v>
      </c>
      <c r="C309">
        <v>0</v>
      </c>
      <c r="D309">
        <v>3</v>
      </c>
      <c r="E309" s="3">
        <f t="shared" si="4"/>
        <v>5</v>
      </c>
    </row>
    <row r="310" spans="1:5" x14ac:dyDescent="0.2">
      <c r="A310">
        <v>5</v>
      </c>
      <c r="B310" t="s">
        <v>54</v>
      </c>
      <c r="C310">
        <v>0</v>
      </c>
      <c r="D310">
        <v>1</v>
      </c>
      <c r="E310" s="3">
        <f t="shared" si="4"/>
        <v>5</v>
      </c>
    </row>
    <row r="311" spans="1:5" x14ac:dyDescent="0.2">
      <c r="A311">
        <v>6</v>
      </c>
      <c r="B311" s="2" t="s">
        <v>10</v>
      </c>
      <c r="C311" s="2" t="s">
        <v>10</v>
      </c>
      <c r="D311" s="2" t="s">
        <v>10</v>
      </c>
      <c r="E311" s="3">
        <f t="shared" si="4"/>
        <v>5</v>
      </c>
    </row>
    <row r="312" spans="1:5" x14ac:dyDescent="0.2">
      <c r="A312">
        <v>7</v>
      </c>
      <c r="B312" s="2" t="s">
        <v>10</v>
      </c>
      <c r="C312" s="2" t="s">
        <v>10</v>
      </c>
      <c r="D312" s="2" t="s">
        <v>10</v>
      </c>
      <c r="E312" s="3">
        <f t="shared" si="4"/>
        <v>5</v>
      </c>
    </row>
    <row r="313" spans="1:5" x14ac:dyDescent="0.2">
      <c r="A313">
        <v>8</v>
      </c>
      <c r="B313" s="2" t="s">
        <v>10</v>
      </c>
      <c r="C313" s="2" t="s">
        <v>10</v>
      </c>
      <c r="D313" s="2" t="s">
        <v>10</v>
      </c>
      <c r="E313" s="3">
        <f t="shared" si="4"/>
        <v>5</v>
      </c>
    </row>
    <row r="314" spans="1:5" x14ac:dyDescent="0.2">
      <c r="A314" s="1" t="s">
        <v>30</v>
      </c>
      <c r="E314" s="3">
        <f t="shared" si="4"/>
        <v>5</v>
      </c>
    </row>
    <row r="315" spans="1:5" x14ac:dyDescent="0.2">
      <c r="A315" s="1" t="s">
        <v>1</v>
      </c>
      <c r="B315" s="1" t="s">
        <v>2</v>
      </c>
      <c r="C315" s="1" t="s">
        <v>3</v>
      </c>
      <c r="D315" s="1" t="s">
        <v>4</v>
      </c>
      <c r="E315" s="3">
        <f t="shared" si="4"/>
        <v>5</v>
      </c>
    </row>
    <row r="316" spans="1:5" x14ac:dyDescent="0.2">
      <c r="A316">
        <v>1</v>
      </c>
      <c r="B316" t="s">
        <v>19</v>
      </c>
      <c r="C316">
        <v>2</v>
      </c>
      <c r="D316">
        <v>16</v>
      </c>
      <c r="E316" s="3">
        <f t="shared" si="4"/>
        <v>5</v>
      </c>
    </row>
    <row r="317" spans="1:5" x14ac:dyDescent="0.2">
      <c r="A317">
        <v>2</v>
      </c>
      <c r="B317" t="s">
        <v>25</v>
      </c>
      <c r="C317">
        <v>0</v>
      </c>
      <c r="D317">
        <v>12</v>
      </c>
      <c r="E317" s="3">
        <f t="shared" si="4"/>
        <v>5</v>
      </c>
    </row>
    <row r="318" spans="1:5" x14ac:dyDescent="0.2">
      <c r="A318">
        <v>3</v>
      </c>
      <c r="B318" t="s">
        <v>40</v>
      </c>
      <c r="C318">
        <v>3</v>
      </c>
      <c r="D318">
        <v>8</v>
      </c>
      <c r="E318" s="3">
        <f t="shared" si="4"/>
        <v>5</v>
      </c>
    </row>
    <row r="319" spans="1:5" x14ac:dyDescent="0.2">
      <c r="A319">
        <v>4</v>
      </c>
      <c r="B319" t="s">
        <v>35</v>
      </c>
      <c r="C319">
        <v>0</v>
      </c>
      <c r="D319">
        <v>4</v>
      </c>
      <c r="E319" s="3">
        <f t="shared" si="4"/>
        <v>5</v>
      </c>
    </row>
    <row r="320" spans="1:5" x14ac:dyDescent="0.2">
      <c r="A320">
        <v>5</v>
      </c>
      <c r="B320" t="s">
        <v>6</v>
      </c>
      <c r="C320">
        <v>0</v>
      </c>
      <c r="D320">
        <v>2</v>
      </c>
      <c r="E320" s="3">
        <f t="shared" si="4"/>
        <v>5</v>
      </c>
    </row>
    <row r="321" spans="1:5" x14ac:dyDescent="0.2">
      <c r="A321">
        <v>6</v>
      </c>
      <c r="B321" t="s">
        <v>15</v>
      </c>
      <c r="C321">
        <v>0</v>
      </c>
      <c r="D321">
        <v>1</v>
      </c>
      <c r="E321" s="3">
        <f t="shared" si="4"/>
        <v>5</v>
      </c>
    </row>
    <row r="322" spans="1:5" x14ac:dyDescent="0.2">
      <c r="A322">
        <v>7</v>
      </c>
      <c r="B322" s="2" t="s">
        <v>10</v>
      </c>
      <c r="C322" s="2" t="s">
        <v>10</v>
      </c>
      <c r="D322" s="2" t="s">
        <v>10</v>
      </c>
      <c r="E322" s="3">
        <f t="shared" si="4"/>
        <v>5</v>
      </c>
    </row>
    <row r="323" spans="1:5" x14ac:dyDescent="0.2">
      <c r="A323">
        <v>8</v>
      </c>
      <c r="B323" s="2" t="s">
        <v>10</v>
      </c>
      <c r="C323" s="2" t="s">
        <v>10</v>
      </c>
      <c r="D323" s="2" t="s">
        <v>10</v>
      </c>
      <c r="E323" s="3">
        <f t="shared" si="4"/>
        <v>5</v>
      </c>
    </row>
    <row r="324" spans="1:5" x14ac:dyDescent="0.2">
      <c r="A324" s="1" t="s">
        <v>37</v>
      </c>
      <c r="E324" s="3">
        <f t="shared" si="4"/>
        <v>5</v>
      </c>
    </row>
    <row r="325" spans="1:5" x14ac:dyDescent="0.2">
      <c r="A325" s="1" t="s">
        <v>1</v>
      </c>
      <c r="B325" s="1" t="s">
        <v>2</v>
      </c>
      <c r="C325" s="1" t="s">
        <v>3</v>
      </c>
      <c r="D325" s="1" t="s">
        <v>4</v>
      </c>
      <c r="E325" s="3">
        <f t="shared" si="4"/>
        <v>5</v>
      </c>
    </row>
    <row r="326" spans="1:5" x14ac:dyDescent="0.2">
      <c r="A326">
        <v>1</v>
      </c>
      <c r="B326" t="s">
        <v>28</v>
      </c>
      <c r="C326">
        <v>1</v>
      </c>
      <c r="D326">
        <v>15</v>
      </c>
      <c r="E326" s="3">
        <f t="shared" si="4"/>
        <v>5</v>
      </c>
    </row>
    <row r="327" spans="1:5" x14ac:dyDescent="0.2">
      <c r="A327">
        <v>2</v>
      </c>
      <c r="B327" t="s">
        <v>21</v>
      </c>
      <c r="C327">
        <v>1</v>
      </c>
      <c r="D327">
        <v>11</v>
      </c>
      <c r="E327" s="3">
        <f t="shared" si="4"/>
        <v>5</v>
      </c>
    </row>
    <row r="328" spans="1:5" x14ac:dyDescent="0.2">
      <c r="A328">
        <v>3</v>
      </c>
      <c r="B328" t="s">
        <v>65</v>
      </c>
      <c r="C328">
        <v>1</v>
      </c>
      <c r="D328">
        <v>7</v>
      </c>
      <c r="E328" s="3">
        <f t="shared" si="4"/>
        <v>5</v>
      </c>
    </row>
    <row r="329" spans="1:5" x14ac:dyDescent="0.2">
      <c r="A329">
        <v>4</v>
      </c>
      <c r="B329" t="s">
        <v>87</v>
      </c>
      <c r="C329">
        <v>1</v>
      </c>
      <c r="D329">
        <v>3</v>
      </c>
      <c r="E329" s="3">
        <f t="shared" si="4"/>
        <v>5</v>
      </c>
    </row>
    <row r="330" spans="1:5" x14ac:dyDescent="0.2">
      <c r="A330">
        <v>5</v>
      </c>
      <c r="B330" t="s">
        <v>66</v>
      </c>
      <c r="C330">
        <v>0</v>
      </c>
      <c r="D330">
        <v>1</v>
      </c>
      <c r="E330" s="3">
        <f t="shared" si="4"/>
        <v>5</v>
      </c>
    </row>
    <row r="331" spans="1:5" x14ac:dyDescent="0.2">
      <c r="A331">
        <v>6</v>
      </c>
      <c r="B331" s="2" t="s">
        <v>10</v>
      </c>
      <c r="C331" s="2" t="s">
        <v>10</v>
      </c>
      <c r="D331" s="2" t="s">
        <v>10</v>
      </c>
      <c r="E331" s="3">
        <f t="shared" si="4"/>
        <v>5</v>
      </c>
    </row>
    <row r="332" spans="1:5" x14ac:dyDescent="0.2">
      <c r="A332" s="1" t="s">
        <v>0</v>
      </c>
      <c r="E332" s="3">
        <f t="shared" si="4"/>
        <v>6</v>
      </c>
    </row>
    <row r="333" spans="1:5" x14ac:dyDescent="0.2">
      <c r="A333" s="1" t="s">
        <v>1</v>
      </c>
      <c r="B333" s="1" t="s">
        <v>2</v>
      </c>
      <c r="C333" s="1" t="s">
        <v>3</v>
      </c>
      <c r="D333" s="1" t="s">
        <v>4</v>
      </c>
      <c r="E333" s="3">
        <f t="shared" si="4"/>
        <v>6</v>
      </c>
    </row>
    <row r="334" spans="1:5" x14ac:dyDescent="0.2">
      <c r="A334">
        <v>1</v>
      </c>
      <c r="B334" t="s">
        <v>46</v>
      </c>
      <c r="C334">
        <v>2</v>
      </c>
      <c r="D334">
        <v>17</v>
      </c>
      <c r="E334" s="3">
        <f t="shared" si="4"/>
        <v>6</v>
      </c>
    </row>
    <row r="335" spans="1:5" x14ac:dyDescent="0.2">
      <c r="A335">
        <v>2</v>
      </c>
      <c r="B335" t="s">
        <v>68</v>
      </c>
      <c r="C335">
        <v>2</v>
      </c>
      <c r="D335">
        <v>13</v>
      </c>
      <c r="E335" s="3">
        <f t="shared" si="4"/>
        <v>6</v>
      </c>
    </row>
    <row r="336" spans="1:5" x14ac:dyDescent="0.2">
      <c r="A336">
        <v>3</v>
      </c>
      <c r="B336" t="s">
        <v>55</v>
      </c>
      <c r="C336">
        <v>2</v>
      </c>
      <c r="D336">
        <v>9</v>
      </c>
      <c r="E336" s="3">
        <f t="shared" si="4"/>
        <v>6</v>
      </c>
    </row>
    <row r="337" spans="1:5" x14ac:dyDescent="0.2">
      <c r="A337">
        <v>4</v>
      </c>
      <c r="B337" t="s">
        <v>39</v>
      </c>
      <c r="C337">
        <v>0</v>
      </c>
      <c r="D337">
        <v>5</v>
      </c>
      <c r="E337" s="3">
        <f t="shared" si="4"/>
        <v>6</v>
      </c>
    </row>
    <row r="338" spans="1:5" x14ac:dyDescent="0.2">
      <c r="A338">
        <v>5</v>
      </c>
      <c r="B338" t="s">
        <v>21</v>
      </c>
      <c r="C338">
        <v>0</v>
      </c>
      <c r="D338">
        <v>3</v>
      </c>
      <c r="E338" s="3">
        <f t="shared" si="4"/>
        <v>6</v>
      </c>
    </row>
    <row r="339" spans="1:5" x14ac:dyDescent="0.2">
      <c r="A339">
        <v>6</v>
      </c>
      <c r="B339" t="s">
        <v>33</v>
      </c>
      <c r="C339">
        <v>0</v>
      </c>
      <c r="D339">
        <v>2</v>
      </c>
      <c r="E339" s="3">
        <f t="shared" si="4"/>
        <v>6</v>
      </c>
    </row>
    <row r="340" spans="1:5" x14ac:dyDescent="0.2">
      <c r="A340">
        <v>7</v>
      </c>
      <c r="B340" t="s">
        <v>102</v>
      </c>
      <c r="C340">
        <v>0</v>
      </c>
      <c r="D340">
        <v>1</v>
      </c>
      <c r="E340" s="3">
        <f t="shared" si="4"/>
        <v>6</v>
      </c>
    </row>
    <row r="341" spans="1:5" x14ac:dyDescent="0.2">
      <c r="A341">
        <v>8</v>
      </c>
      <c r="B341" s="2" t="s">
        <v>10</v>
      </c>
      <c r="C341" s="2" t="s">
        <v>10</v>
      </c>
      <c r="D341" s="2" t="s">
        <v>10</v>
      </c>
      <c r="E341" s="3">
        <f t="shared" si="4"/>
        <v>6</v>
      </c>
    </row>
    <row r="342" spans="1:5" x14ac:dyDescent="0.2">
      <c r="A342" s="1" t="s">
        <v>11</v>
      </c>
      <c r="E342" s="3">
        <f t="shared" si="4"/>
        <v>6</v>
      </c>
    </row>
    <row r="343" spans="1:5" x14ac:dyDescent="0.2">
      <c r="A343" s="1" t="s">
        <v>1</v>
      </c>
      <c r="B343" s="1" t="s">
        <v>2</v>
      </c>
      <c r="C343" s="1" t="s">
        <v>3</v>
      </c>
      <c r="D343" s="1" t="s">
        <v>4</v>
      </c>
      <c r="E343" s="3">
        <f t="shared" si="4"/>
        <v>6</v>
      </c>
    </row>
    <row r="344" spans="1:5" x14ac:dyDescent="0.2">
      <c r="A344">
        <v>1</v>
      </c>
      <c r="B344" t="s">
        <v>19</v>
      </c>
      <c r="C344">
        <v>3</v>
      </c>
      <c r="D344">
        <v>16</v>
      </c>
      <c r="E344" s="3">
        <f t="shared" si="4"/>
        <v>6</v>
      </c>
    </row>
    <row r="345" spans="1:5" x14ac:dyDescent="0.2">
      <c r="A345">
        <v>2</v>
      </c>
      <c r="B345" t="s">
        <v>345</v>
      </c>
      <c r="C345">
        <v>0</v>
      </c>
      <c r="D345">
        <v>12</v>
      </c>
      <c r="E345" s="3">
        <f t="shared" si="4"/>
        <v>6</v>
      </c>
    </row>
    <row r="346" spans="1:5" x14ac:dyDescent="0.2">
      <c r="A346">
        <v>3</v>
      </c>
      <c r="B346" t="s">
        <v>61</v>
      </c>
      <c r="C346">
        <v>0</v>
      </c>
      <c r="D346">
        <v>8</v>
      </c>
      <c r="E346" s="3">
        <f t="shared" si="4"/>
        <v>6</v>
      </c>
    </row>
    <row r="347" spans="1:5" x14ac:dyDescent="0.2">
      <c r="A347">
        <v>4</v>
      </c>
      <c r="B347" t="s">
        <v>65</v>
      </c>
      <c r="C347">
        <v>2</v>
      </c>
      <c r="D347">
        <v>4</v>
      </c>
      <c r="E347" s="3">
        <f t="shared" si="4"/>
        <v>6</v>
      </c>
    </row>
    <row r="348" spans="1:5" x14ac:dyDescent="0.2">
      <c r="A348">
        <v>5</v>
      </c>
      <c r="B348" t="s">
        <v>69</v>
      </c>
      <c r="C348">
        <v>0</v>
      </c>
      <c r="D348">
        <v>2</v>
      </c>
      <c r="E348" s="3">
        <f t="shared" si="4"/>
        <v>6</v>
      </c>
    </row>
    <row r="349" spans="1:5" x14ac:dyDescent="0.2">
      <c r="A349">
        <v>6</v>
      </c>
      <c r="B349" t="s">
        <v>74</v>
      </c>
      <c r="C349">
        <v>0</v>
      </c>
      <c r="D349">
        <v>1</v>
      </c>
      <c r="E349" s="3">
        <f t="shared" si="4"/>
        <v>6</v>
      </c>
    </row>
    <row r="350" spans="1:5" x14ac:dyDescent="0.2">
      <c r="A350">
        <v>7</v>
      </c>
      <c r="B350" s="2" t="s">
        <v>10</v>
      </c>
      <c r="C350" s="2" t="s">
        <v>10</v>
      </c>
      <c r="D350" s="2" t="s">
        <v>10</v>
      </c>
      <c r="E350" s="3">
        <f t="shared" si="4"/>
        <v>6</v>
      </c>
    </row>
    <row r="351" spans="1:5" x14ac:dyDescent="0.2">
      <c r="A351">
        <v>8</v>
      </c>
      <c r="B351" s="2" t="s">
        <v>10</v>
      </c>
      <c r="C351" s="2" t="s">
        <v>10</v>
      </c>
      <c r="D351" s="2" t="s">
        <v>10</v>
      </c>
      <c r="E351" s="3">
        <f t="shared" si="4"/>
        <v>6</v>
      </c>
    </row>
    <row r="352" spans="1:5" x14ac:dyDescent="0.2">
      <c r="A352" s="1" t="s">
        <v>17</v>
      </c>
      <c r="E352" s="3">
        <f t="shared" ref="E352:E415" si="5">IF(A352=$A$1,E351+1,E351)</f>
        <v>6</v>
      </c>
    </row>
    <row r="353" spans="1:5" x14ac:dyDescent="0.2">
      <c r="A353" s="1" t="s">
        <v>1</v>
      </c>
      <c r="B353" s="1" t="s">
        <v>2</v>
      </c>
      <c r="C353" s="1" t="s">
        <v>3</v>
      </c>
      <c r="D353" s="1" t="s">
        <v>4</v>
      </c>
      <c r="E353" s="3">
        <f t="shared" si="5"/>
        <v>6</v>
      </c>
    </row>
    <row r="354" spans="1:5" x14ac:dyDescent="0.2">
      <c r="A354">
        <v>1</v>
      </c>
      <c r="B354" t="s">
        <v>53</v>
      </c>
      <c r="C354">
        <v>2</v>
      </c>
      <c r="D354">
        <v>17</v>
      </c>
      <c r="E354" s="3">
        <f t="shared" si="5"/>
        <v>6</v>
      </c>
    </row>
    <row r="355" spans="1:5" x14ac:dyDescent="0.2">
      <c r="A355">
        <v>2</v>
      </c>
      <c r="B355" t="s">
        <v>101</v>
      </c>
      <c r="C355">
        <v>3</v>
      </c>
      <c r="D355">
        <v>13</v>
      </c>
      <c r="E355" s="3">
        <f t="shared" si="5"/>
        <v>6</v>
      </c>
    </row>
    <row r="356" spans="1:5" x14ac:dyDescent="0.2">
      <c r="A356">
        <v>3</v>
      </c>
      <c r="B356" t="s">
        <v>35</v>
      </c>
      <c r="C356">
        <v>1</v>
      </c>
      <c r="D356">
        <v>9</v>
      </c>
      <c r="E356" s="3">
        <f t="shared" si="5"/>
        <v>6</v>
      </c>
    </row>
    <row r="357" spans="1:5" x14ac:dyDescent="0.2">
      <c r="A357">
        <v>4</v>
      </c>
      <c r="B357" t="s">
        <v>41</v>
      </c>
      <c r="C357">
        <v>0</v>
      </c>
      <c r="D357">
        <v>5</v>
      </c>
      <c r="E357" s="3">
        <f t="shared" si="5"/>
        <v>6</v>
      </c>
    </row>
    <row r="358" spans="1:5" x14ac:dyDescent="0.2">
      <c r="A358">
        <v>5</v>
      </c>
      <c r="B358" t="s">
        <v>305</v>
      </c>
      <c r="C358">
        <v>0</v>
      </c>
      <c r="D358">
        <v>3</v>
      </c>
      <c r="E358" s="3">
        <f t="shared" si="5"/>
        <v>6</v>
      </c>
    </row>
    <row r="359" spans="1:5" x14ac:dyDescent="0.2">
      <c r="A359">
        <v>6</v>
      </c>
      <c r="B359" t="s">
        <v>47</v>
      </c>
      <c r="C359">
        <v>0</v>
      </c>
      <c r="D359">
        <v>2</v>
      </c>
      <c r="E359" s="3">
        <f t="shared" si="5"/>
        <v>6</v>
      </c>
    </row>
    <row r="360" spans="1:5" x14ac:dyDescent="0.2">
      <c r="A360">
        <v>7</v>
      </c>
      <c r="B360" t="s">
        <v>59</v>
      </c>
      <c r="C360">
        <v>0</v>
      </c>
      <c r="D360">
        <v>1</v>
      </c>
      <c r="E360" s="3">
        <f t="shared" si="5"/>
        <v>6</v>
      </c>
    </row>
    <row r="361" spans="1:5" x14ac:dyDescent="0.2">
      <c r="A361">
        <v>8</v>
      </c>
      <c r="B361" s="2" t="s">
        <v>10</v>
      </c>
      <c r="C361" s="2" t="s">
        <v>10</v>
      </c>
      <c r="D361" s="2" t="s">
        <v>10</v>
      </c>
      <c r="E361" s="3">
        <f t="shared" si="5"/>
        <v>6</v>
      </c>
    </row>
    <row r="362" spans="1:5" x14ac:dyDescent="0.2">
      <c r="A362" s="1" t="s">
        <v>24</v>
      </c>
      <c r="E362" s="3">
        <f t="shared" si="5"/>
        <v>6</v>
      </c>
    </row>
    <row r="363" spans="1:5" x14ac:dyDescent="0.2">
      <c r="A363" s="1" t="s">
        <v>1</v>
      </c>
      <c r="B363" s="1" t="s">
        <v>2</v>
      </c>
      <c r="C363" s="1" t="s">
        <v>3</v>
      </c>
      <c r="D363" s="1" t="s">
        <v>4</v>
      </c>
      <c r="E363" s="3">
        <f t="shared" si="5"/>
        <v>6</v>
      </c>
    </row>
    <row r="364" spans="1:5" x14ac:dyDescent="0.2">
      <c r="A364">
        <v>1</v>
      </c>
      <c r="B364" t="s">
        <v>369</v>
      </c>
      <c r="C364">
        <v>5</v>
      </c>
      <c r="D364">
        <v>16</v>
      </c>
      <c r="E364" s="3">
        <f t="shared" si="5"/>
        <v>6</v>
      </c>
    </row>
    <row r="365" spans="1:5" x14ac:dyDescent="0.2">
      <c r="A365">
        <v>2</v>
      </c>
      <c r="B365" t="s">
        <v>98</v>
      </c>
      <c r="C365">
        <v>0</v>
      </c>
      <c r="D365">
        <v>12</v>
      </c>
      <c r="E365" s="3">
        <f t="shared" si="5"/>
        <v>6</v>
      </c>
    </row>
    <row r="366" spans="1:5" x14ac:dyDescent="0.2">
      <c r="A366">
        <v>3</v>
      </c>
      <c r="B366" t="s">
        <v>60</v>
      </c>
      <c r="C366">
        <v>0</v>
      </c>
      <c r="D366">
        <v>8</v>
      </c>
      <c r="E366" s="3">
        <f t="shared" si="5"/>
        <v>6</v>
      </c>
    </row>
    <row r="367" spans="1:5" x14ac:dyDescent="0.2">
      <c r="A367">
        <v>4</v>
      </c>
      <c r="B367" t="s">
        <v>54</v>
      </c>
      <c r="C367">
        <v>0</v>
      </c>
      <c r="D367">
        <v>4</v>
      </c>
      <c r="E367" s="3">
        <f t="shared" si="5"/>
        <v>6</v>
      </c>
    </row>
    <row r="368" spans="1:5" x14ac:dyDescent="0.2">
      <c r="A368">
        <v>5</v>
      </c>
      <c r="B368" t="s">
        <v>12</v>
      </c>
      <c r="C368">
        <v>0</v>
      </c>
      <c r="D368">
        <v>2</v>
      </c>
      <c r="E368" s="3">
        <f t="shared" si="5"/>
        <v>6</v>
      </c>
    </row>
    <row r="369" spans="1:5" x14ac:dyDescent="0.2">
      <c r="A369">
        <v>6</v>
      </c>
      <c r="B369" t="s">
        <v>87</v>
      </c>
      <c r="C369">
        <v>0</v>
      </c>
      <c r="D369">
        <v>1</v>
      </c>
      <c r="E369" s="3">
        <f t="shared" si="5"/>
        <v>6</v>
      </c>
    </row>
    <row r="370" spans="1:5" x14ac:dyDescent="0.2">
      <c r="A370">
        <v>7</v>
      </c>
      <c r="B370" s="2" t="s">
        <v>10</v>
      </c>
      <c r="C370" s="2" t="s">
        <v>10</v>
      </c>
      <c r="D370" s="2" t="s">
        <v>10</v>
      </c>
      <c r="E370" s="3">
        <f t="shared" si="5"/>
        <v>6</v>
      </c>
    </row>
    <row r="371" spans="1:5" x14ac:dyDescent="0.2">
      <c r="A371">
        <v>8</v>
      </c>
      <c r="B371" s="2" t="s">
        <v>10</v>
      </c>
      <c r="C371" s="2" t="s">
        <v>10</v>
      </c>
      <c r="D371" s="2" t="s">
        <v>10</v>
      </c>
      <c r="E371" s="3">
        <f t="shared" si="5"/>
        <v>6</v>
      </c>
    </row>
    <row r="372" spans="1:5" x14ac:dyDescent="0.2">
      <c r="A372" s="1" t="s">
        <v>30</v>
      </c>
      <c r="E372" s="3">
        <f t="shared" si="5"/>
        <v>6</v>
      </c>
    </row>
    <row r="373" spans="1:5" x14ac:dyDescent="0.2">
      <c r="A373" s="1" t="s">
        <v>1</v>
      </c>
      <c r="B373" s="1" t="s">
        <v>2</v>
      </c>
      <c r="C373" s="1" t="s">
        <v>3</v>
      </c>
      <c r="D373" s="1" t="s">
        <v>4</v>
      </c>
      <c r="E373" s="3">
        <f t="shared" si="5"/>
        <v>6</v>
      </c>
    </row>
    <row r="374" spans="1:5" x14ac:dyDescent="0.2">
      <c r="A374">
        <v>1</v>
      </c>
      <c r="B374" t="s">
        <v>6</v>
      </c>
      <c r="C374">
        <v>1</v>
      </c>
      <c r="D374">
        <v>17</v>
      </c>
      <c r="E374" s="3">
        <f t="shared" si="5"/>
        <v>6</v>
      </c>
    </row>
    <row r="375" spans="1:5" x14ac:dyDescent="0.2">
      <c r="A375">
        <v>2</v>
      </c>
      <c r="B375" t="s">
        <v>26</v>
      </c>
      <c r="C375">
        <v>3</v>
      </c>
      <c r="D375">
        <v>13</v>
      </c>
      <c r="E375" s="3">
        <f t="shared" si="5"/>
        <v>6</v>
      </c>
    </row>
    <row r="376" spans="1:5" x14ac:dyDescent="0.2">
      <c r="A376">
        <v>3</v>
      </c>
      <c r="B376" t="s">
        <v>76</v>
      </c>
      <c r="C376">
        <v>1</v>
      </c>
      <c r="D376">
        <v>9</v>
      </c>
      <c r="E376" s="3">
        <f t="shared" si="5"/>
        <v>6</v>
      </c>
    </row>
    <row r="377" spans="1:5" x14ac:dyDescent="0.2">
      <c r="A377">
        <v>4</v>
      </c>
      <c r="B377" t="s">
        <v>28</v>
      </c>
      <c r="C377">
        <v>1</v>
      </c>
      <c r="D377">
        <v>5</v>
      </c>
      <c r="E377" s="3">
        <f t="shared" si="5"/>
        <v>6</v>
      </c>
    </row>
    <row r="378" spans="1:5" x14ac:dyDescent="0.2">
      <c r="A378">
        <v>5</v>
      </c>
      <c r="B378" t="s">
        <v>42</v>
      </c>
      <c r="C378">
        <v>0</v>
      </c>
      <c r="D378">
        <v>3</v>
      </c>
      <c r="E378" s="3">
        <f t="shared" si="5"/>
        <v>6</v>
      </c>
    </row>
    <row r="379" spans="1:5" x14ac:dyDescent="0.2">
      <c r="A379">
        <v>6</v>
      </c>
      <c r="B379" t="s">
        <v>15</v>
      </c>
      <c r="C379">
        <v>0</v>
      </c>
      <c r="D379">
        <v>2</v>
      </c>
      <c r="E379" s="3">
        <f t="shared" si="5"/>
        <v>6</v>
      </c>
    </row>
    <row r="380" spans="1:5" x14ac:dyDescent="0.2">
      <c r="A380">
        <v>7</v>
      </c>
      <c r="B380" t="s">
        <v>32</v>
      </c>
      <c r="C380">
        <v>0</v>
      </c>
      <c r="D380">
        <v>1</v>
      </c>
      <c r="E380" s="3">
        <f t="shared" si="5"/>
        <v>6</v>
      </c>
    </row>
    <row r="381" spans="1:5" x14ac:dyDescent="0.2">
      <c r="A381">
        <v>8</v>
      </c>
      <c r="B381" s="2" t="s">
        <v>10</v>
      </c>
      <c r="C381" s="2" t="s">
        <v>10</v>
      </c>
      <c r="D381" s="2" t="s">
        <v>10</v>
      </c>
      <c r="E381" s="3">
        <f t="shared" si="5"/>
        <v>6</v>
      </c>
    </row>
    <row r="382" spans="1:5" x14ac:dyDescent="0.2">
      <c r="A382" s="1" t="s">
        <v>37</v>
      </c>
      <c r="E382" s="3">
        <f t="shared" si="5"/>
        <v>6</v>
      </c>
    </row>
    <row r="383" spans="1:5" x14ac:dyDescent="0.2">
      <c r="A383" s="1" t="s">
        <v>1</v>
      </c>
      <c r="B383" s="1" t="s">
        <v>2</v>
      </c>
      <c r="C383" s="1" t="s">
        <v>3</v>
      </c>
      <c r="D383" s="1" t="s">
        <v>4</v>
      </c>
      <c r="E383" s="3">
        <f t="shared" si="5"/>
        <v>6</v>
      </c>
    </row>
    <row r="384" spans="1:5" x14ac:dyDescent="0.2">
      <c r="A384">
        <v>1</v>
      </c>
      <c r="B384" t="s">
        <v>73</v>
      </c>
      <c r="C384">
        <v>3</v>
      </c>
      <c r="D384">
        <v>17</v>
      </c>
      <c r="E384" s="3">
        <f t="shared" si="5"/>
        <v>6</v>
      </c>
    </row>
    <row r="385" spans="1:5" x14ac:dyDescent="0.2">
      <c r="A385">
        <v>2</v>
      </c>
      <c r="B385" t="s">
        <v>75</v>
      </c>
      <c r="C385">
        <v>3</v>
      </c>
      <c r="D385">
        <v>13</v>
      </c>
      <c r="E385" s="3">
        <f t="shared" si="5"/>
        <v>6</v>
      </c>
    </row>
    <row r="386" spans="1:5" x14ac:dyDescent="0.2">
      <c r="A386">
        <v>3</v>
      </c>
      <c r="B386" t="s">
        <v>368</v>
      </c>
      <c r="C386">
        <v>0</v>
      </c>
      <c r="D386">
        <v>9</v>
      </c>
      <c r="E386" s="3">
        <f t="shared" si="5"/>
        <v>6</v>
      </c>
    </row>
    <row r="387" spans="1:5" x14ac:dyDescent="0.2">
      <c r="A387">
        <v>4</v>
      </c>
      <c r="B387" t="s">
        <v>14</v>
      </c>
      <c r="C387">
        <v>0</v>
      </c>
      <c r="D387">
        <v>5</v>
      </c>
      <c r="E387" s="3">
        <f t="shared" si="5"/>
        <v>6</v>
      </c>
    </row>
    <row r="388" spans="1:5" x14ac:dyDescent="0.2">
      <c r="A388">
        <v>5</v>
      </c>
      <c r="B388" t="s">
        <v>25</v>
      </c>
      <c r="C388">
        <v>0</v>
      </c>
      <c r="D388">
        <v>3</v>
      </c>
      <c r="E388" s="3">
        <f t="shared" si="5"/>
        <v>6</v>
      </c>
    </row>
    <row r="389" spans="1:5" x14ac:dyDescent="0.2">
      <c r="A389">
        <v>6</v>
      </c>
      <c r="B389" t="s">
        <v>8</v>
      </c>
      <c r="C389">
        <v>0</v>
      </c>
      <c r="D389">
        <v>2</v>
      </c>
      <c r="E389" s="3">
        <f t="shared" si="5"/>
        <v>6</v>
      </c>
    </row>
    <row r="390" spans="1:5" x14ac:dyDescent="0.2">
      <c r="A390">
        <v>7</v>
      </c>
      <c r="B390" t="s">
        <v>9</v>
      </c>
      <c r="C390">
        <v>0</v>
      </c>
      <c r="D390">
        <v>1</v>
      </c>
      <c r="E390" s="3">
        <f t="shared" si="5"/>
        <v>6</v>
      </c>
    </row>
    <row r="391" spans="1:5" x14ac:dyDescent="0.2">
      <c r="A391">
        <v>8</v>
      </c>
      <c r="B391" s="2" t="s">
        <v>10</v>
      </c>
      <c r="C391" s="2" t="s">
        <v>10</v>
      </c>
      <c r="D391" s="2"/>
      <c r="E391" s="3">
        <f t="shared" si="5"/>
        <v>6</v>
      </c>
    </row>
    <row r="392" spans="1:5" x14ac:dyDescent="0.2">
      <c r="A392" s="1" t="s">
        <v>0</v>
      </c>
      <c r="E392" s="3">
        <f t="shared" si="5"/>
        <v>7</v>
      </c>
    </row>
    <row r="393" spans="1:5" x14ac:dyDescent="0.2">
      <c r="A393" s="1" t="s">
        <v>1</v>
      </c>
      <c r="B393" s="1" t="s">
        <v>2</v>
      </c>
      <c r="C393" s="1" t="s">
        <v>3</v>
      </c>
      <c r="D393" s="1" t="s">
        <v>4</v>
      </c>
      <c r="E393" s="3">
        <f t="shared" si="5"/>
        <v>7</v>
      </c>
    </row>
    <row r="394" spans="1:5" x14ac:dyDescent="0.2">
      <c r="A394">
        <v>1</v>
      </c>
      <c r="B394" t="s">
        <v>12</v>
      </c>
      <c r="C394">
        <v>4</v>
      </c>
      <c r="D394">
        <v>16</v>
      </c>
      <c r="E394" s="3">
        <f t="shared" si="5"/>
        <v>7</v>
      </c>
    </row>
    <row r="395" spans="1:5" x14ac:dyDescent="0.2">
      <c r="A395">
        <v>2</v>
      </c>
      <c r="B395" t="s">
        <v>75</v>
      </c>
      <c r="C395">
        <v>0</v>
      </c>
      <c r="D395">
        <v>12</v>
      </c>
      <c r="E395" s="3">
        <f t="shared" si="5"/>
        <v>7</v>
      </c>
    </row>
    <row r="396" spans="1:5" x14ac:dyDescent="0.2">
      <c r="A396">
        <v>3</v>
      </c>
      <c r="B396" t="s">
        <v>29</v>
      </c>
      <c r="C396">
        <v>1</v>
      </c>
      <c r="D396">
        <v>8</v>
      </c>
      <c r="E396" s="3">
        <f t="shared" si="5"/>
        <v>7</v>
      </c>
    </row>
    <row r="397" spans="1:5" x14ac:dyDescent="0.2">
      <c r="A397">
        <v>4</v>
      </c>
      <c r="B397" t="s">
        <v>60</v>
      </c>
      <c r="C397">
        <v>0</v>
      </c>
      <c r="D397">
        <v>4</v>
      </c>
      <c r="E397" s="3">
        <f t="shared" si="5"/>
        <v>7</v>
      </c>
    </row>
    <row r="398" spans="1:5" x14ac:dyDescent="0.2">
      <c r="A398">
        <v>5</v>
      </c>
      <c r="B398" t="s">
        <v>65</v>
      </c>
      <c r="C398">
        <v>0</v>
      </c>
      <c r="D398">
        <v>2</v>
      </c>
      <c r="E398" s="3">
        <f t="shared" si="5"/>
        <v>7</v>
      </c>
    </row>
    <row r="399" spans="1:5" x14ac:dyDescent="0.2">
      <c r="A399">
        <v>6</v>
      </c>
      <c r="B399" t="s">
        <v>42</v>
      </c>
      <c r="C399">
        <v>0</v>
      </c>
      <c r="D399">
        <v>1</v>
      </c>
      <c r="E399" s="3">
        <f t="shared" si="5"/>
        <v>7</v>
      </c>
    </row>
    <row r="400" spans="1:5" x14ac:dyDescent="0.2">
      <c r="A400">
        <v>7</v>
      </c>
      <c r="B400" s="2" t="s">
        <v>10</v>
      </c>
      <c r="C400" s="2" t="s">
        <v>10</v>
      </c>
      <c r="D400" s="2" t="s">
        <v>10</v>
      </c>
      <c r="E400" s="3">
        <f t="shared" si="5"/>
        <v>7</v>
      </c>
    </row>
    <row r="401" spans="1:5" x14ac:dyDescent="0.2">
      <c r="A401">
        <v>8</v>
      </c>
      <c r="B401" s="2" t="s">
        <v>10</v>
      </c>
      <c r="C401" s="2" t="s">
        <v>10</v>
      </c>
      <c r="D401" s="2" t="s">
        <v>10</v>
      </c>
      <c r="E401" s="3">
        <f t="shared" si="5"/>
        <v>7</v>
      </c>
    </row>
    <row r="402" spans="1:5" x14ac:dyDescent="0.2">
      <c r="A402" s="1" t="s">
        <v>11</v>
      </c>
      <c r="E402" s="3">
        <f t="shared" si="5"/>
        <v>7</v>
      </c>
    </row>
    <row r="403" spans="1:5" x14ac:dyDescent="0.2">
      <c r="A403" s="1" t="s">
        <v>1</v>
      </c>
      <c r="B403" s="1" t="s">
        <v>2</v>
      </c>
      <c r="C403" s="1" t="s">
        <v>3</v>
      </c>
      <c r="D403" s="1" t="s">
        <v>4</v>
      </c>
      <c r="E403" s="3">
        <f t="shared" si="5"/>
        <v>7</v>
      </c>
    </row>
    <row r="404" spans="1:5" x14ac:dyDescent="0.2">
      <c r="A404">
        <v>1</v>
      </c>
      <c r="B404" t="s">
        <v>66</v>
      </c>
      <c r="C404">
        <v>4</v>
      </c>
      <c r="D404">
        <v>16</v>
      </c>
      <c r="E404" s="3">
        <f t="shared" si="5"/>
        <v>7</v>
      </c>
    </row>
    <row r="405" spans="1:5" x14ac:dyDescent="0.2">
      <c r="A405">
        <v>2</v>
      </c>
      <c r="B405" t="s">
        <v>9</v>
      </c>
      <c r="C405">
        <v>0</v>
      </c>
      <c r="D405">
        <v>12</v>
      </c>
      <c r="E405" s="3">
        <f t="shared" si="5"/>
        <v>7</v>
      </c>
    </row>
    <row r="406" spans="1:5" x14ac:dyDescent="0.2">
      <c r="A406">
        <v>3</v>
      </c>
      <c r="B406" t="s">
        <v>46</v>
      </c>
      <c r="C406">
        <v>0</v>
      </c>
      <c r="D406">
        <v>8</v>
      </c>
      <c r="E406" s="3">
        <f t="shared" si="5"/>
        <v>7</v>
      </c>
    </row>
    <row r="407" spans="1:5" x14ac:dyDescent="0.2">
      <c r="A407">
        <v>4</v>
      </c>
      <c r="B407" t="s">
        <v>101</v>
      </c>
      <c r="C407">
        <v>1</v>
      </c>
      <c r="D407">
        <v>4</v>
      </c>
      <c r="E407" s="3">
        <f t="shared" si="5"/>
        <v>7</v>
      </c>
    </row>
    <row r="408" spans="1:5" x14ac:dyDescent="0.2">
      <c r="A408">
        <v>5</v>
      </c>
      <c r="B408" t="s">
        <v>39</v>
      </c>
      <c r="C408">
        <v>0</v>
      </c>
      <c r="D408">
        <v>2</v>
      </c>
      <c r="E408" s="3">
        <f t="shared" si="5"/>
        <v>7</v>
      </c>
    </row>
    <row r="409" spans="1:5" x14ac:dyDescent="0.2">
      <c r="A409">
        <v>6</v>
      </c>
      <c r="B409" t="s">
        <v>22</v>
      </c>
      <c r="C409">
        <v>0</v>
      </c>
      <c r="D409">
        <v>1</v>
      </c>
      <c r="E409" s="3">
        <f t="shared" si="5"/>
        <v>7</v>
      </c>
    </row>
    <row r="410" spans="1:5" x14ac:dyDescent="0.2">
      <c r="A410">
        <v>7</v>
      </c>
      <c r="B410" s="2" t="s">
        <v>10</v>
      </c>
      <c r="C410" s="2" t="s">
        <v>10</v>
      </c>
      <c r="D410" s="2" t="s">
        <v>10</v>
      </c>
      <c r="E410" s="3">
        <f t="shared" si="5"/>
        <v>7</v>
      </c>
    </row>
    <row r="411" spans="1:5" x14ac:dyDescent="0.2">
      <c r="A411">
        <v>8</v>
      </c>
      <c r="B411" s="2" t="s">
        <v>10</v>
      </c>
      <c r="C411" s="2" t="s">
        <v>10</v>
      </c>
      <c r="D411" s="2" t="s">
        <v>10</v>
      </c>
      <c r="E411" s="3">
        <f t="shared" si="5"/>
        <v>7</v>
      </c>
    </row>
    <row r="412" spans="1:5" x14ac:dyDescent="0.2">
      <c r="A412" s="1" t="s">
        <v>17</v>
      </c>
      <c r="E412" s="3">
        <f t="shared" si="5"/>
        <v>7</v>
      </c>
    </row>
    <row r="413" spans="1:5" x14ac:dyDescent="0.2">
      <c r="A413" s="1" t="s">
        <v>1</v>
      </c>
      <c r="B413" s="1" t="s">
        <v>2</v>
      </c>
      <c r="C413" s="1" t="s">
        <v>3</v>
      </c>
      <c r="D413" s="1" t="s">
        <v>4</v>
      </c>
      <c r="E413" s="3">
        <f t="shared" si="5"/>
        <v>7</v>
      </c>
    </row>
    <row r="414" spans="1:5" x14ac:dyDescent="0.2">
      <c r="A414">
        <v>1</v>
      </c>
      <c r="B414" t="s">
        <v>98</v>
      </c>
      <c r="C414">
        <v>3</v>
      </c>
      <c r="D414">
        <v>16</v>
      </c>
      <c r="E414" s="3">
        <f t="shared" si="5"/>
        <v>7</v>
      </c>
    </row>
    <row r="415" spans="1:5" x14ac:dyDescent="0.2">
      <c r="A415">
        <v>2</v>
      </c>
      <c r="B415" t="s">
        <v>45</v>
      </c>
      <c r="C415">
        <v>2</v>
      </c>
      <c r="D415">
        <v>12</v>
      </c>
      <c r="E415" s="3">
        <f t="shared" si="5"/>
        <v>7</v>
      </c>
    </row>
    <row r="416" spans="1:5" x14ac:dyDescent="0.2">
      <c r="A416">
        <v>3</v>
      </c>
      <c r="B416" t="s">
        <v>61</v>
      </c>
      <c r="C416">
        <v>0</v>
      </c>
      <c r="D416">
        <v>8</v>
      </c>
      <c r="E416" s="3">
        <f t="shared" ref="E416:E479" si="6">IF(A416=$A$1,E415+1,E415)</f>
        <v>7</v>
      </c>
    </row>
    <row r="417" spans="1:5" x14ac:dyDescent="0.2">
      <c r="A417">
        <v>4</v>
      </c>
      <c r="B417" t="s">
        <v>52</v>
      </c>
      <c r="C417">
        <v>0</v>
      </c>
      <c r="D417">
        <v>4</v>
      </c>
      <c r="E417" s="3">
        <f t="shared" si="6"/>
        <v>7</v>
      </c>
    </row>
    <row r="418" spans="1:5" x14ac:dyDescent="0.2">
      <c r="A418">
        <v>5</v>
      </c>
      <c r="B418" t="s">
        <v>35</v>
      </c>
      <c r="C418">
        <v>0</v>
      </c>
      <c r="D418">
        <v>2</v>
      </c>
      <c r="E418" s="3">
        <f t="shared" si="6"/>
        <v>7</v>
      </c>
    </row>
    <row r="419" spans="1:5" x14ac:dyDescent="0.2">
      <c r="A419">
        <v>6</v>
      </c>
      <c r="B419" t="s">
        <v>8</v>
      </c>
      <c r="C419">
        <v>0</v>
      </c>
      <c r="D419">
        <v>1</v>
      </c>
      <c r="E419" s="3">
        <f t="shared" si="6"/>
        <v>7</v>
      </c>
    </row>
    <row r="420" spans="1:5" x14ac:dyDescent="0.2">
      <c r="A420">
        <v>7</v>
      </c>
      <c r="B420" s="2" t="s">
        <v>10</v>
      </c>
      <c r="C420" s="2" t="s">
        <v>10</v>
      </c>
      <c r="D420" s="2" t="s">
        <v>10</v>
      </c>
      <c r="E420" s="3">
        <f t="shared" si="6"/>
        <v>7</v>
      </c>
    </row>
    <row r="421" spans="1:5" x14ac:dyDescent="0.2">
      <c r="A421">
        <v>8</v>
      </c>
      <c r="B421" s="2" t="s">
        <v>10</v>
      </c>
      <c r="C421" s="2" t="s">
        <v>10</v>
      </c>
      <c r="D421" s="2" t="s">
        <v>10</v>
      </c>
      <c r="E421" s="3">
        <f t="shared" si="6"/>
        <v>7</v>
      </c>
    </row>
    <row r="422" spans="1:5" x14ac:dyDescent="0.2">
      <c r="A422" s="1" t="s">
        <v>24</v>
      </c>
      <c r="E422" s="3">
        <f t="shared" si="6"/>
        <v>7</v>
      </c>
    </row>
    <row r="423" spans="1:5" x14ac:dyDescent="0.2">
      <c r="A423" s="1" t="s">
        <v>1</v>
      </c>
      <c r="B423" s="1" t="s">
        <v>2</v>
      </c>
      <c r="C423" s="1" t="s">
        <v>3</v>
      </c>
      <c r="D423" s="1" t="s">
        <v>4</v>
      </c>
      <c r="E423" s="3">
        <f t="shared" si="6"/>
        <v>7</v>
      </c>
    </row>
    <row r="424" spans="1:5" x14ac:dyDescent="0.2">
      <c r="A424">
        <v>1</v>
      </c>
      <c r="B424" t="s">
        <v>41</v>
      </c>
      <c r="C424">
        <v>2</v>
      </c>
      <c r="D424">
        <v>16</v>
      </c>
      <c r="E424" s="3">
        <f t="shared" si="6"/>
        <v>7</v>
      </c>
    </row>
    <row r="425" spans="1:5" x14ac:dyDescent="0.2">
      <c r="A425">
        <v>2</v>
      </c>
      <c r="B425" t="s">
        <v>76</v>
      </c>
      <c r="C425">
        <v>2</v>
      </c>
      <c r="D425">
        <v>12</v>
      </c>
      <c r="E425" s="3">
        <f t="shared" si="6"/>
        <v>7</v>
      </c>
    </row>
    <row r="426" spans="1:5" x14ac:dyDescent="0.2">
      <c r="A426">
        <v>3</v>
      </c>
      <c r="B426" t="s">
        <v>55</v>
      </c>
      <c r="C426">
        <v>0</v>
      </c>
      <c r="D426">
        <v>8</v>
      </c>
      <c r="E426" s="3">
        <f t="shared" si="6"/>
        <v>7</v>
      </c>
    </row>
    <row r="427" spans="1:5" x14ac:dyDescent="0.2">
      <c r="A427">
        <v>4</v>
      </c>
      <c r="B427" t="s">
        <v>54</v>
      </c>
      <c r="C427">
        <v>0</v>
      </c>
      <c r="D427">
        <v>4</v>
      </c>
      <c r="E427" s="3">
        <f t="shared" si="6"/>
        <v>7</v>
      </c>
    </row>
    <row r="428" spans="1:5" x14ac:dyDescent="0.2">
      <c r="A428">
        <v>5</v>
      </c>
      <c r="B428" t="s">
        <v>28</v>
      </c>
      <c r="C428">
        <v>1</v>
      </c>
      <c r="D428">
        <v>2</v>
      </c>
      <c r="E428" s="3">
        <f t="shared" si="6"/>
        <v>7</v>
      </c>
    </row>
    <row r="429" spans="1:5" x14ac:dyDescent="0.2">
      <c r="A429">
        <v>6</v>
      </c>
      <c r="B429" t="s">
        <v>68</v>
      </c>
      <c r="C429">
        <v>0</v>
      </c>
      <c r="D429">
        <v>1</v>
      </c>
      <c r="E429" s="3">
        <f t="shared" si="6"/>
        <v>7</v>
      </c>
    </row>
    <row r="430" spans="1:5" x14ac:dyDescent="0.2">
      <c r="A430">
        <v>7</v>
      </c>
      <c r="B430" s="2" t="s">
        <v>10</v>
      </c>
      <c r="C430" s="2" t="s">
        <v>10</v>
      </c>
      <c r="D430" s="2" t="s">
        <v>10</v>
      </c>
      <c r="E430" s="3">
        <f t="shared" si="6"/>
        <v>7</v>
      </c>
    </row>
    <row r="431" spans="1:5" x14ac:dyDescent="0.2">
      <c r="A431">
        <v>8</v>
      </c>
      <c r="B431" s="2" t="s">
        <v>10</v>
      </c>
      <c r="C431" s="2" t="s">
        <v>10</v>
      </c>
      <c r="D431" s="2" t="s">
        <v>10</v>
      </c>
      <c r="E431" s="3">
        <f t="shared" si="6"/>
        <v>7</v>
      </c>
    </row>
    <row r="432" spans="1:5" x14ac:dyDescent="0.2">
      <c r="A432" s="1" t="s">
        <v>30</v>
      </c>
      <c r="E432" s="3">
        <f t="shared" si="6"/>
        <v>7</v>
      </c>
    </row>
    <row r="433" spans="1:5" x14ac:dyDescent="0.2">
      <c r="A433" s="1" t="s">
        <v>1</v>
      </c>
      <c r="B433" s="1" t="s">
        <v>2</v>
      </c>
      <c r="C433" s="1" t="s">
        <v>3</v>
      </c>
      <c r="D433" s="1" t="s">
        <v>4</v>
      </c>
      <c r="E433" s="3">
        <f t="shared" si="6"/>
        <v>7</v>
      </c>
    </row>
    <row r="434" spans="1:5" x14ac:dyDescent="0.2">
      <c r="A434">
        <v>1</v>
      </c>
      <c r="B434" t="s">
        <v>69</v>
      </c>
      <c r="C434">
        <v>1</v>
      </c>
      <c r="D434">
        <v>16</v>
      </c>
      <c r="E434" s="3">
        <f t="shared" si="6"/>
        <v>7</v>
      </c>
    </row>
    <row r="435" spans="1:5" x14ac:dyDescent="0.2">
      <c r="A435">
        <v>2</v>
      </c>
      <c r="B435" t="s">
        <v>26</v>
      </c>
      <c r="C435">
        <v>3</v>
      </c>
      <c r="D435">
        <v>12</v>
      </c>
      <c r="E435" s="3">
        <f t="shared" si="6"/>
        <v>7</v>
      </c>
    </row>
    <row r="436" spans="1:5" x14ac:dyDescent="0.2">
      <c r="A436">
        <v>3</v>
      </c>
      <c r="B436" t="s">
        <v>59</v>
      </c>
      <c r="C436">
        <v>1</v>
      </c>
      <c r="D436">
        <v>8</v>
      </c>
      <c r="E436" s="3">
        <f t="shared" si="6"/>
        <v>7</v>
      </c>
    </row>
    <row r="437" spans="1:5" x14ac:dyDescent="0.2">
      <c r="A437">
        <v>4</v>
      </c>
      <c r="B437" t="s">
        <v>92</v>
      </c>
      <c r="C437">
        <v>0</v>
      </c>
      <c r="D437">
        <v>4</v>
      </c>
      <c r="E437" s="3">
        <f t="shared" si="6"/>
        <v>7</v>
      </c>
    </row>
    <row r="438" spans="1:5" x14ac:dyDescent="0.2">
      <c r="A438">
        <v>5</v>
      </c>
      <c r="B438" t="s">
        <v>74</v>
      </c>
      <c r="C438">
        <v>0</v>
      </c>
      <c r="D438">
        <v>2</v>
      </c>
      <c r="E438" s="3">
        <f t="shared" si="6"/>
        <v>7</v>
      </c>
    </row>
    <row r="439" spans="1:5" x14ac:dyDescent="0.2">
      <c r="A439">
        <v>6</v>
      </c>
      <c r="B439" t="s">
        <v>25</v>
      </c>
      <c r="C439">
        <v>0</v>
      </c>
      <c r="D439">
        <v>1</v>
      </c>
      <c r="E439" s="3">
        <f t="shared" si="6"/>
        <v>7</v>
      </c>
    </row>
    <row r="440" spans="1:5" x14ac:dyDescent="0.2">
      <c r="A440">
        <v>7</v>
      </c>
      <c r="B440" s="2" t="s">
        <v>10</v>
      </c>
      <c r="C440" s="2" t="s">
        <v>10</v>
      </c>
      <c r="D440" s="2" t="s">
        <v>10</v>
      </c>
      <c r="E440" s="3">
        <f t="shared" si="6"/>
        <v>7</v>
      </c>
    </row>
    <row r="441" spans="1:5" x14ac:dyDescent="0.2">
      <c r="A441">
        <v>8</v>
      </c>
      <c r="B441" s="2" t="s">
        <v>10</v>
      </c>
      <c r="C441" s="2" t="s">
        <v>10</v>
      </c>
      <c r="D441" s="2" t="s">
        <v>10</v>
      </c>
      <c r="E441" s="3">
        <f t="shared" si="6"/>
        <v>7</v>
      </c>
    </row>
    <row r="442" spans="1:5" x14ac:dyDescent="0.2">
      <c r="A442" s="1" t="s">
        <v>37</v>
      </c>
      <c r="E442" s="3">
        <f t="shared" si="6"/>
        <v>7</v>
      </c>
    </row>
    <row r="443" spans="1:5" x14ac:dyDescent="0.2">
      <c r="A443" s="1" t="s">
        <v>1</v>
      </c>
      <c r="B443" s="1" t="s">
        <v>2</v>
      </c>
      <c r="C443" s="1" t="s">
        <v>3</v>
      </c>
      <c r="D443" s="1" t="s">
        <v>4</v>
      </c>
      <c r="E443" s="3">
        <f t="shared" si="6"/>
        <v>7</v>
      </c>
    </row>
    <row r="444" spans="1:5" x14ac:dyDescent="0.2">
      <c r="A444">
        <v>1</v>
      </c>
      <c r="B444" t="s">
        <v>19</v>
      </c>
      <c r="C444">
        <v>2</v>
      </c>
      <c r="D444">
        <v>16</v>
      </c>
      <c r="E444" s="3">
        <f t="shared" si="6"/>
        <v>7</v>
      </c>
    </row>
    <row r="445" spans="1:5" x14ac:dyDescent="0.2">
      <c r="A445">
        <v>2</v>
      </c>
      <c r="B445" t="s">
        <v>6</v>
      </c>
      <c r="C445">
        <v>2</v>
      </c>
      <c r="D445">
        <v>12</v>
      </c>
      <c r="E445" s="3">
        <f t="shared" si="6"/>
        <v>7</v>
      </c>
    </row>
    <row r="446" spans="1:5" x14ac:dyDescent="0.2">
      <c r="A446">
        <v>3</v>
      </c>
      <c r="B446" t="s">
        <v>73</v>
      </c>
      <c r="C446">
        <v>0</v>
      </c>
      <c r="D446">
        <v>8</v>
      </c>
      <c r="E446" s="3">
        <f t="shared" si="6"/>
        <v>7</v>
      </c>
    </row>
    <row r="447" spans="1:5" x14ac:dyDescent="0.2">
      <c r="A447">
        <v>4</v>
      </c>
      <c r="B447" t="s">
        <v>21</v>
      </c>
      <c r="C447">
        <v>0</v>
      </c>
      <c r="D447">
        <v>4</v>
      </c>
      <c r="E447" s="3">
        <f t="shared" si="6"/>
        <v>7</v>
      </c>
    </row>
    <row r="448" spans="1:5" x14ac:dyDescent="0.2">
      <c r="A448">
        <v>5</v>
      </c>
      <c r="B448" t="s">
        <v>368</v>
      </c>
      <c r="C448">
        <v>1</v>
      </c>
      <c r="D448">
        <v>2</v>
      </c>
      <c r="E448" s="3">
        <f t="shared" si="6"/>
        <v>7</v>
      </c>
    </row>
    <row r="449" spans="1:5" x14ac:dyDescent="0.2">
      <c r="A449">
        <v>6</v>
      </c>
      <c r="B449" t="s">
        <v>14</v>
      </c>
      <c r="C449">
        <v>0</v>
      </c>
      <c r="D449">
        <v>1</v>
      </c>
      <c r="E449" s="3">
        <f t="shared" si="6"/>
        <v>7</v>
      </c>
    </row>
    <row r="450" spans="1:5" x14ac:dyDescent="0.2">
      <c r="A450">
        <v>7</v>
      </c>
      <c r="B450" s="2" t="s">
        <v>10</v>
      </c>
      <c r="C450" s="2" t="s">
        <v>10</v>
      </c>
      <c r="D450" s="2" t="s">
        <v>10</v>
      </c>
      <c r="E450" s="3">
        <f t="shared" si="6"/>
        <v>7</v>
      </c>
    </row>
    <row r="451" spans="1:5" x14ac:dyDescent="0.2">
      <c r="A451">
        <v>8</v>
      </c>
      <c r="B451" s="2" t="s">
        <v>10</v>
      </c>
      <c r="C451" s="2" t="s">
        <v>10</v>
      </c>
      <c r="D451" s="2" t="s">
        <v>10</v>
      </c>
      <c r="E451" s="3">
        <f t="shared" si="6"/>
        <v>7</v>
      </c>
    </row>
    <row r="452" spans="1:5" x14ac:dyDescent="0.2">
      <c r="A452" s="1" t="s">
        <v>0</v>
      </c>
      <c r="E452" s="3">
        <f t="shared" si="6"/>
        <v>8</v>
      </c>
    </row>
    <row r="453" spans="1:5" x14ac:dyDescent="0.2">
      <c r="A453" s="1" t="s">
        <v>1</v>
      </c>
      <c r="B453" s="1" t="s">
        <v>2</v>
      </c>
      <c r="C453" s="1" t="s">
        <v>3</v>
      </c>
      <c r="D453" s="1" t="s">
        <v>4</v>
      </c>
      <c r="E453" s="3">
        <f t="shared" si="6"/>
        <v>8</v>
      </c>
    </row>
    <row r="454" spans="1:5" x14ac:dyDescent="0.2">
      <c r="A454">
        <v>1</v>
      </c>
      <c r="B454" t="s">
        <v>46</v>
      </c>
      <c r="C454">
        <v>1</v>
      </c>
      <c r="D454">
        <v>16</v>
      </c>
      <c r="E454" s="3">
        <f t="shared" si="6"/>
        <v>8</v>
      </c>
    </row>
    <row r="455" spans="1:5" x14ac:dyDescent="0.2">
      <c r="A455">
        <v>2</v>
      </c>
      <c r="B455" t="s">
        <v>52</v>
      </c>
      <c r="C455">
        <v>4</v>
      </c>
      <c r="D455">
        <v>12</v>
      </c>
      <c r="E455" s="3">
        <f t="shared" si="6"/>
        <v>8</v>
      </c>
    </row>
    <row r="456" spans="1:5" x14ac:dyDescent="0.2">
      <c r="A456">
        <v>3</v>
      </c>
      <c r="B456" t="s">
        <v>69</v>
      </c>
      <c r="C456">
        <v>0</v>
      </c>
      <c r="D456">
        <v>8</v>
      </c>
      <c r="E456" s="3">
        <f t="shared" si="6"/>
        <v>8</v>
      </c>
    </row>
    <row r="457" spans="1:5" x14ac:dyDescent="0.2">
      <c r="A457">
        <v>4</v>
      </c>
      <c r="B457" t="s">
        <v>25</v>
      </c>
      <c r="C457">
        <v>0</v>
      </c>
      <c r="D457">
        <v>4</v>
      </c>
      <c r="E457" s="3">
        <f t="shared" si="6"/>
        <v>8</v>
      </c>
    </row>
    <row r="458" spans="1:5" x14ac:dyDescent="0.2">
      <c r="A458">
        <v>5</v>
      </c>
      <c r="B458" t="s">
        <v>6</v>
      </c>
      <c r="C458">
        <v>0</v>
      </c>
      <c r="D458">
        <v>2</v>
      </c>
      <c r="E458" s="3">
        <f t="shared" si="6"/>
        <v>8</v>
      </c>
    </row>
    <row r="459" spans="1:5" x14ac:dyDescent="0.2">
      <c r="A459">
        <v>6</v>
      </c>
      <c r="B459" t="s">
        <v>54</v>
      </c>
      <c r="C459">
        <v>0</v>
      </c>
      <c r="D459">
        <v>1</v>
      </c>
      <c r="E459" s="3">
        <f t="shared" si="6"/>
        <v>8</v>
      </c>
    </row>
    <row r="460" spans="1:5" x14ac:dyDescent="0.2">
      <c r="A460">
        <v>7</v>
      </c>
      <c r="B460" s="2" t="s">
        <v>10</v>
      </c>
      <c r="C460" s="2" t="s">
        <v>10</v>
      </c>
      <c r="D460" s="2" t="s">
        <v>10</v>
      </c>
      <c r="E460" s="3">
        <f t="shared" si="6"/>
        <v>8</v>
      </c>
    </row>
    <row r="461" spans="1:5" x14ac:dyDescent="0.2">
      <c r="A461">
        <v>8</v>
      </c>
      <c r="B461" s="2" t="s">
        <v>10</v>
      </c>
      <c r="C461" s="2" t="s">
        <v>10</v>
      </c>
      <c r="D461" s="2" t="s">
        <v>10</v>
      </c>
      <c r="E461" s="3">
        <f t="shared" si="6"/>
        <v>8</v>
      </c>
    </row>
    <row r="462" spans="1:5" x14ac:dyDescent="0.2">
      <c r="A462" s="1" t="s">
        <v>11</v>
      </c>
      <c r="E462" s="3">
        <f t="shared" si="6"/>
        <v>8</v>
      </c>
    </row>
    <row r="463" spans="1:5" x14ac:dyDescent="0.2">
      <c r="A463" s="1" t="s">
        <v>1</v>
      </c>
      <c r="B463" s="1" t="s">
        <v>2</v>
      </c>
      <c r="C463" s="1" t="s">
        <v>3</v>
      </c>
      <c r="D463" s="1" t="s">
        <v>4</v>
      </c>
      <c r="E463" s="3">
        <f t="shared" si="6"/>
        <v>8</v>
      </c>
    </row>
    <row r="464" spans="1:5" x14ac:dyDescent="0.2">
      <c r="A464">
        <v>1</v>
      </c>
      <c r="B464" t="s">
        <v>40</v>
      </c>
      <c r="C464">
        <v>3</v>
      </c>
      <c r="D464">
        <v>16</v>
      </c>
      <c r="E464" s="3">
        <f t="shared" si="6"/>
        <v>8</v>
      </c>
    </row>
    <row r="465" spans="1:5" x14ac:dyDescent="0.2">
      <c r="A465">
        <v>2</v>
      </c>
      <c r="B465" t="s">
        <v>88</v>
      </c>
      <c r="C465">
        <v>1</v>
      </c>
      <c r="D465">
        <v>12</v>
      </c>
      <c r="E465" s="3">
        <f t="shared" si="6"/>
        <v>8</v>
      </c>
    </row>
    <row r="466" spans="1:5" x14ac:dyDescent="0.2">
      <c r="A466">
        <v>3</v>
      </c>
      <c r="B466" t="s">
        <v>98</v>
      </c>
      <c r="C466">
        <v>1</v>
      </c>
      <c r="D466">
        <v>8</v>
      </c>
      <c r="E466" s="3">
        <f t="shared" si="6"/>
        <v>8</v>
      </c>
    </row>
    <row r="467" spans="1:5" x14ac:dyDescent="0.2">
      <c r="A467">
        <v>4</v>
      </c>
      <c r="B467" t="s">
        <v>45</v>
      </c>
      <c r="C467">
        <v>0</v>
      </c>
      <c r="D467">
        <v>4</v>
      </c>
      <c r="E467" s="3">
        <f t="shared" si="6"/>
        <v>8</v>
      </c>
    </row>
    <row r="468" spans="1:5" x14ac:dyDescent="0.2">
      <c r="A468">
        <v>5</v>
      </c>
      <c r="B468" t="s">
        <v>21</v>
      </c>
      <c r="C468">
        <v>0</v>
      </c>
      <c r="D468">
        <v>2</v>
      </c>
      <c r="E468" s="3">
        <f t="shared" si="6"/>
        <v>8</v>
      </c>
    </row>
    <row r="469" spans="1:5" x14ac:dyDescent="0.2">
      <c r="A469">
        <v>6</v>
      </c>
      <c r="B469" t="s">
        <v>74</v>
      </c>
      <c r="C469">
        <v>0</v>
      </c>
      <c r="D469">
        <v>1</v>
      </c>
      <c r="E469" s="3">
        <f t="shared" si="6"/>
        <v>8</v>
      </c>
    </row>
    <row r="470" spans="1:5" x14ac:dyDescent="0.2">
      <c r="A470">
        <v>7</v>
      </c>
      <c r="B470" s="2" t="s">
        <v>10</v>
      </c>
      <c r="C470" s="2" t="s">
        <v>10</v>
      </c>
      <c r="D470" s="2" t="s">
        <v>10</v>
      </c>
      <c r="E470" s="3">
        <f t="shared" si="6"/>
        <v>8</v>
      </c>
    </row>
    <row r="471" spans="1:5" x14ac:dyDescent="0.2">
      <c r="A471">
        <v>8</v>
      </c>
      <c r="B471" s="2" t="s">
        <v>10</v>
      </c>
      <c r="C471" s="2" t="s">
        <v>10</v>
      </c>
      <c r="D471" s="2" t="s">
        <v>10</v>
      </c>
      <c r="E471" s="3">
        <f t="shared" si="6"/>
        <v>8</v>
      </c>
    </row>
    <row r="472" spans="1:5" x14ac:dyDescent="0.2">
      <c r="A472" s="1" t="s">
        <v>17</v>
      </c>
      <c r="E472" s="3">
        <f t="shared" si="6"/>
        <v>8</v>
      </c>
    </row>
    <row r="473" spans="1:5" x14ac:dyDescent="0.2">
      <c r="A473" s="1" t="s">
        <v>1</v>
      </c>
      <c r="B473" s="1" t="s">
        <v>2</v>
      </c>
      <c r="C473" s="1" t="s">
        <v>3</v>
      </c>
      <c r="D473" s="1" t="s">
        <v>4</v>
      </c>
      <c r="E473" s="3">
        <f t="shared" si="6"/>
        <v>8</v>
      </c>
    </row>
    <row r="474" spans="1:5" x14ac:dyDescent="0.2">
      <c r="A474">
        <v>1</v>
      </c>
      <c r="B474" t="s">
        <v>41</v>
      </c>
      <c r="C474">
        <v>4</v>
      </c>
      <c r="D474">
        <v>16</v>
      </c>
      <c r="E474" s="3">
        <f t="shared" si="6"/>
        <v>8</v>
      </c>
    </row>
    <row r="475" spans="1:5" x14ac:dyDescent="0.2">
      <c r="A475">
        <v>2</v>
      </c>
      <c r="B475" t="s">
        <v>26</v>
      </c>
      <c r="C475">
        <v>1</v>
      </c>
      <c r="D475">
        <v>12</v>
      </c>
      <c r="E475" s="3">
        <f t="shared" si="6"/>
        <v>8</v>
      </c>
    </row>
    <row r="476" spans="1:5" x14ac:dyDescent="0.2">
      <c r="A476">
        <v>3</v>
      </c>
      <c r="B476" t="s">
        <v>23</v>
      </c>
      <c r="C476">
        <v>0</v>
      </c>
      <c r="D476">
        <v>8</v>
      </c>
      <c r="E476" s="3">
        <f t="shared" si="6"/>
        <v>8</v>
      </c>
    </row>
    <row r="477" spans="1:5" x14ac:dyDescent="0.2">
      <c r="A477">
        <v>4</v>
      </c>
      <c r="B477" t="s">
        <v>101</v>
      </c>
      <c r="C477">
        <v>0</v>
      </c>
      <c r="D477">
        <v>4</v>
      </c>
      <c r="E477" s="3">
        <f t="shared" si="6"/>
        <v>8</v>
      </c>
    </row>
    <row r="478" spans="1:5" x14ac:dyDescent="0.2">
      <c r="A478">
        <v>5</v>
      </c>
      <c r="B478" t="s">
        <v>29</v>
      </c>
      <c r="C478">
        <v>0</v>
      </c>
      <c r="D478">
        <v>2</v>
      </c>
      <c r="E478" s="3">
        <f t="shared" si="6"/>
        <v>8</v>
      </c>
    </row>
    <row r="479" spans="1:5" x14ac:dyDescent="0.2">
      <c r="A479">
        <v>6</v>
      </c>
      <c r="B479" t="s">
        <v>22</v>
      </c>
      <c r="C479">
        <v>0</v>
      </c>
      <c r="D479">
        <v>1</v>
      </c>
      <c r="E479" s="3">
        <f t="shared" si="6"/>
        <v>8</v>
      </c>
    </row>
    <row r="480" spans="1:5" x14ac:dyDescent="0.2">
      <c r="A480">
        <v>7</v>
      </c>
      <c r="B480" s="2" t="s">
        <v>10</v>
      </c>
      <c r="C480" s="2" t="s">
        <v>10</v>
      </c>
      <c r="D480" s="2" t="s">
        <v>10</v>
      </c>
      <c r="E480" s="3">
        <f t="shared" ref="E480:E543" si="7">IF(A480=$A$1,E479+1,E479)</f>
        <v>8</v>
      </c>
    </row>
    <row r="481" spans="1:5" x14ac:dyDescent="0.2">
      <c r="A481">
        <v>8</v>
      </c>
      <c r="B481" s="2" t="s">
        <v>10</v>
      </c>
      <c r="C481" s="2" t="s">
        <v>10</v>
      </c>
      <c r="D481" s="2" t="s">
        <v>10</v>
      </c>
      <c r="E481" s="3">
        <f t="shared" si="7"/>
        <v>8</v>
      </c>
    </row>
    <row r="482" spans="1:5" x14ac:dyDescent="0.2">
      <c r="A482" s="1" t="s">
        <v>24</v>
      </c>
      <c r="E482" s="3">
        <f t="shared" si="7"/>
        <v>8</v>
      </c>
    </row>
    <row r="483" spans="1:5" x14ac:dyDescent="0.2">
      <c r="A483" s="1" t="s">
        <v>1</v>
      </c>
      <c r="B483" s="1" t="s">
        <v>2</v>
      </c>
      <c r="C483" s="1" t="s">
        <v>3</v>
      </c>
      <c r="D483" s="1" t="s">
        <v>4</v>
      </c>
      <c r="E483" s="3">
        <f t="shared" si="7"/>
        <v>8</v>
      </c>
    </row>
    <row r="484" spans="1:5" x14ac:dyDescent="0.2">
      <c r="A484">
        <v>1</v>
      </c>
      <c r="B484" t="s">
        <v>61</v>
      </c>
      <c r="C484">
        <v>2</v>
      </c>
      <c r="D484">
        <v>16</v>
      </c>
      <c r="E484" s="3">
        <f t="shared" si="7"/>
        <v>8</v>
      </c>
    </row>
    <row r="485" spans="1:5" x14ac:dyDescent="0.2">
      <c r="A485">
        <v>2</v>
      </c>
      <c r="B485" t="s">
        <v>68</v>
      </c>
      <c r="C485">
        <v>1</v>
      </c>
      <c r="D485">
        <v>12</v>
      </c>
      <c r="E485" s="3">
        <f t="shared" si="7"/>
        <v>8</v>
      </c>
    </row>
    <row r="486" spans="1:5" x14ac:dyDescent="0.2">
      <c r="A486">
        <v>3</v>
      </c>
      <c r="B486" t="s">
        <v>92</v>
      </c>
      <c r="C486">
        <v>2</v>
      </c>
      <c r="D486">
        <v>8</v>
      </c>
      <c r="E486" s="3">
        <f t="shared" si="7"/>
        <v>8</v>
      </c>
    </row>
    <row r="487" spans="1:5" x14ac:dyDescent="0.2">
      <c r="A487">
        <v>4</v>
      </c>
      <c r="B487" t="s">
        <v>42</v>
      </c>
      <c r="C487">
        <v>0</v>
      </c>
      <c r="D487">
        <v>4</v>
      </c>
      <c r="E487" s="3">
        <f t="shared" si="7"/>
        <v>8</v>
      </c>
    </row>
    <row r="488" spans="1:5" x14ac:dyDescent="0.2">
      <c r="A488">
        <v>5</v>
      </c>
      <c r="B488" t="s">
        <v>12</v>
      </c>
      <c r="C488">
        <v>0</v>
      </c>
      <c r="D488">
        <v>2</v>
      </c>
      <c r="E488" s="3">
        <f t="shared" si="7"/>
        <v>8</v>
      </c>
    </row>
    <row r="489" spans="1:5" x14ac:dyDescent="0.2">
      <c r="A489">
        <v>6</v>
      </c>
      <c r="B489" t="s">
        <v>370</v>
      </c>
      <c r="C489">
        <v>0</v>
      </c>
      <c r="D489">
        <v>1</v>
      </c>
      <c r="E489" s="3">
        <f t="shared" si="7"/>
        <v>8</v>
      </c>
    </row>
    <row r="490" spans="1:5" x14ac:dyDescent="0.2">
      <c r="A490">
        <v>7</v>
      </c>
      <c r="B490" s="2" t="s">
        <v>10</v>
      </c>
      <c r="C490" s="2" t="s">
        <v>10</v>
      </c>
      <c r="D490" s="2" t="s">
        <v>10</v>
      </c>
      <c r="E490" s="3">
        <f t="shared" si="7"/>
        <v>8</v>
      </c>
    </row>
    <row r="491" spans="1:5" x14ac:dyDescent="0.2">
      <c r="A491">
        <v>8</v>
      </c>
      <c r="B491" s="2" t="s">
        <v>10</v>
      </c>
      <c r="C491" s="2" t="s">
        <v>10</v>
      </c>
      <c r="D491" s="2" t="s">
        <v>10</v>
      </c>
      <c r="E491" s="3">
        <f t="shared" si="7"/>
        <v>8</v>
      </c>
    </row>
    <row r="492" spans="1:5" x14ac:dyDescent="0.2">
      <c r="A492" s="1" t="s">
        <v>30</v>
      </c>
      <c r="E492" s="3">
        <f t="shared" si="7"/>
        <v>8</v>
      </c>
    </row>
    <row r="493" spans="1:5" x14ac:dyDescent="0.2">
      <c r="A493" s="1" t="s">
        <v>1</v>
      </c>
      <c r="B493" s="1" t="s">
        <v>2</v>
      </c>
      <c r="C493" s="1" t="s">
        <v>3</v>
      </c>
      <c r="D493" s="1" t="s">
        <v>4</v>
      </c>
      <c r="E493" s="3">
        <f t="shared" si="7"/>
        <v>8</v>
      </c>
    </row>
    <row r="494" spans="1:5" x14ac:dyDescent="0.2">
      <c r="A494">
        <v>1</v>
      </c>
      <c r="B494" t="s">
        <v>9</v>
      </c>
      <c r="C494">
        <v>4</v>
      </c>
      <c r="D494">
        <v>16</v>
      </c>
      <c r="E494" s="3">
        <f t="shared" si="7"/>
        <v>8</v>
      </c>
    </row>
    <row r="495" spans="1:5" x14ac:dyDescent="0.2">
      <c r="A495">
        <v>2</v>
      </c>
      <c r="B495" t="s">
        <v>75</v>
      </c>
      <c r="C495">
        <v>1</v>
      </c>
      <c r="D495">
        <v>12</v>
      </c>
      <c r="E495" s="3">
        <f t="shared" si="7"/>
        <v>8</v>
      </c>
    </row>
    <row r="496" spans="1:5" x14ac:dyDescent="0.2">
      <c r="A496">
        <v>3</v>
      </c>
      <c r="B496" t="s">
        <v>28</v>
      </c>
      <c r="C496">
        <v>0</v>
      </c>
      <c r="D496">
        <v>8</v>
      </c>
      <c r="E496" s="3">
        <f t="shared" si="7"/>
        <v>8</v>
      </c>
    </row>
    <row r="497" spans="1:5" x14ac:dyDescent="0.2">
      <c r="A497">
        <v>4</v>
      </c>
      <c r="B497" t="s">
        <v>33</v>
      </c>
      <c r="C497">
        <v>0</v>
      </c>
      <c r="D497">
        <v>4</v>
      </c>
      <c r="E497" s="3">
        <f t="shared" si="7"/>
        <v>8</v>
      </c>
    </row>
    <row r="498" spans="1:5" x14ac:dyDescent="0.2">
      <c r="A498">
        <v>5</v>
      </c>
      <c r="B498" t="s">
        <v>15</v>
      </c>
      <c r="C498">
        <v>0</v>
      </c>
      <c r="D498">
        <v>2</v>
      </c>
      <c r="E498" s="3">
        <f t="shared" si="7"/>
        <v>8</v>
      </c>
    </row>
    <row r="499" spans="1:5" x14ac:dyDescent="0.2">
      <c r="A499">
        <v>6</v>
      </c>
      <c r="B499" t="s">
        <v>87</v>
      </c>
      <c r="C499">
        <v>0</v>
      </c>
      <c r="D499">
        <v>1</v>
      </c>
      <c r="E499" s="3">
        <f t="shared" si="7"/>
        <v>8</v>
      </c>
    </row>
    <row r="500" spans="1:5" x14ac:dyDescent="0.2">
      <c r="A500">
        <v>7</v>
      </c>
      <c r="B500" s="2" t="s">
        <v>10</v>
      </c>
      <c r="C500" s="2" t="s">
        <v>10</v>
      </c>
      <c r="D500" s="2" t="s">
        <v>10</v>
      </c>
      <c r="E500" s="3">
        <f t="shared" si="7"/>
        <v>8</v>
      </c>
    </row>
    <row r="501" spans="1:5" x14ac:dyDescent="0.2">
      <c r="A501">
        <v>8</v>
      </c>
      <c r="B501" s="2" t="s">
        <v>10</v>
      </c>
      <c r="C501" s="2" t="s">
        <v>10</v>
      </c>
      <c r="D501" s="2" t="s">
        <v>10</v>
      </c>
      <c r="E501" s="3">
        <f t="shared" si="7"/>
        <v>8</v>
      </c>
    </row>
    <row r="502" spans="1:5" x14ac:dyDescent="0.2">
      <c r="A502" s="1" t="s">
        <v>37</v>
      </c>
      <c r="E502" s="3">
        <f t="shared" si="7"/>
        <v>8</v>
      </c>
    </row>
    <row r="503" spans="1:5" x14ac:dyDescent="0.2">
      <c r="A503" s="1" t="s">
        <v>1</v>
      </c>
      <c r="B503" s="1" t="s">
        <v>2</v>
      </c>
      <c r="C503" s="1" t="s">
        <v>3</v>
      </c>
      <c r="D503" s="1" t="s">
        <v>4</v>
      </c>
      <c r="E503" s="3">
        <f t="shared" si="7"/>
        <v>8</v>
      </c>
    </row>
    <row r="504" spans="1:5" x14ac:dyDescent="0.2">
      <c r="A504">
        <v>1</v>
      </c>
      <c r="B504" t="s">
        <v>43</v>
      </c>
      <c r="C504">
        <v>3</v>
      </c>
      <c r="D504">
        <v>16</v>
      </c>
      <c r="E504" s="3">
        <f t="shared" si="7"/>
        <v>8</v>
      </c>
    </row>
    <row r="505" spans="1:5" x14ac:dyDescent="0.2">
      <c r="A505">
        <v>2</v>
      </c>
      <c r="B505" t="s">
        <v>66</v>
      </c>
      <c r="C505">
        <v>0</v>
      </c>
      <c r="D505">
        <v>12</v>
      </c>
      <c r="E505" s="3">
        <f t="shared" si="7"/>
        <v>8</v>
      </c>
    </row>
    <row r="506" spans="1:5" x14ac:dyDescent="0.2">
      <c r="A506">
        <v>3</v>
      </c>
      <c r="B506" t="s">
        <v>73</v>
      </c>
      <c r="C506">
        <v>1</v>
      </c>
      <c r="D506">
        <v>8</v>
      </c>
      <c r="E506" s="3">
        <f t="shared" si="7"/>
        <v>8</v>
      </c>
    </row>
    <row r="507" spans="1:5" x14ac:dyDescent="0.2">
      <c r="A507">
        <v>4</v>
      </c>
      <c r="B507" t="s">
        <v>19</v>
      </c>
      <c r="C507">
        <v>1</v>
      </c>
      <c r="D507">
        <v>4</v>
      </c>
      <c r="E507" s="3">
        <f t="shared" si="7"/>
        <v>8</v>
      </c>
    </row>
    <row r="508" spans="1:5" x14ac:dyDescent="0.2">
      <c r="A508">
        <v>5</v>
      </c>
      <c r="B508" t="s">
        <v>35</v>
      </c>
      <c r="C508">
        <v>0</v>
      </c>
      <c r="D508">
        <v>2</v>
      </c>
      <c r="E508" s="3">
        <f t="shared" si="7"/>
        <v>8</v>
      </c>
    </row>
    <row r="509" spans="1:5" x14ac:dyDescent="0.2">
      <c r="A509">
        <v>6</v>
      </c>
      <c r="B509" t="s">
        <v>50</v>
      </c>
      <c r="C509">
        <v>0</v>
      </c>
      <c r="D509">
        <v>1</v>
      </c>
      <c r="E509" s="3">
        <f t="shared" si="7"/>
        <v>8</v>
      </c>
    </row>
    <row r="510" spans="1:5" x14ac:dyDescent="0.2">
      <c r="A510">
        <v>7</v>
      </c>
      <c r="B510" s="2" t="s">
        <v>10</v>
      </c>
      <c r="C510" s="2" t="s">
        <v>10</v>
      </c>
      <c r="D510" s="2" t="s">
        <v>10</v>
      </c>
      <c r="E510" s="3">
        <f t="shared" si="7"/>
        <v>8</v>
      </c>
    </row>
    <row r="511" spans="1:5" x14ac:dyDescent="0.2">
      <c r="A511">
        <v>8</v>
      </c>
      <c r="B511" s="2" t="s">
        <v>10</v>
      </c>
      <c r="C511" s="2" t="s">
        <v>10</v>
      </c>
      <c r="D511" s="2" t="s">
        <v>10</v>
      </c>
      <c r="E511" s="3">
        <f t="shared" si="7"/>
        <v>8</v>
      </c>
    </row>
    <row r="512" spans="1:5" x14ac:dyDescent="0.2">
      <c r="A512" s="1" t="s">
        <v>0</v>
      </c>
      <c r="E512" s="3">
        <f t="shared" si="7"/>
        <v>9</v>
      </c>
    </row>
    <row r="513" spans="1:5" x14ac:dyDescent="0.2">
      <c r="A513" s="1" t="s">
        <v>1</v>
      </c>
      <c r="B513" s="1" t="s">
        <v>2</v>
      </c>
      <c r="C513" s="1" t="s">
        <v>3</v>
      </c>
      <c r="D513" s="1" t="s">
        <v>4</v>
      </c>
      <c r="E513" s="3">
        <f t="shared" si="7"/>
        <v>9</v>
      </c>
    </row>
    <row r="514" spans="1:5" x14ac:dyDescent="0.2">
      <c r="A514">
        <v>1</v>
      </c>
      <c r="B514" t="s">
        <v>42</v>
      </c>
      <c r="C514">
        <v>3</v>
      </c>
      <c r="D514">
        <v>16</v>
      </c>
      <c r="E514" s="3">
        <f t="shared" si="7"/>
        <v>9</v>
      </c>
    </row>
    <row r="515" spans="1:5" x14ac:dyDescent="0.2">
      <c r="A515">
        <v>2</v>
      </c>
      <c r="B515" t="s">
        <v>27</v>
      </c>
      <c r="C515">
        <v>1</v>
      </c>
      <c r="D515">
        <v>12</v>
      </c>
      <c r="E515" s="3">
        <f t="shared" si="7"/>
        <v>9</v>
      </c>
    </row>
    <row r="516" spans="1:5" x14ac:dyDescent="0.2">
      <c r="A516">
        <v>3</v>
      </c>
      <c r="B516" t="s">
        <v>371</v>
      </c>
      <c r="C516">
        <v>1</v>
      </c>
      <c r="D516">
        <v>8</v>
      </c>
      <c r="E516" s="3">
        <f t="shared" si="7"/>
        <v>9</v>
      </c>
    </row>
    <row r="517" spans="1:5" x14ac:dyDescent="0.2">
      <c r="A517">
        <v>4</v>
      </c>
      <c r="B517" t="s">
        <v>35</v>
      </c>
      <c r="C517">
        <v>0</v>
      </c>
      <c r="D517">
        <v>4</v>
      </c>
      <c r="E517" s="3">
        <f t="shared" si="7"/>
        <v>9</v>
      </c>
    </row>
    <row r="518" spans="1:5" x14ac:dyDescent="0.2">
      <c r="A518">
        <v>5</v>
      </c>
      <c r="B518" t="s">
        <v>41</v>
      </c>
      <c r="C518">
        <v>0</v>
      </c>
      <c r="D518">
        <v>2</v>
      </c>
      <c r="E518" s="3">
        <f t="shared" si="7"/>
        <v>9</v>
      </c>
    </row>
    <row r="519" spans="1:5" x14ac:dyDescent="0.2">
      <c r="A519">
        <v>6</v>
      </c>
      <c r="B519" t="s">
        <v>65</v>
      </c>
      <c r="C519">
        <v>0</v>
      </c>
      <c r="D519">
        <v>1</v>
      </c>
      <c r="E519" s="3">
        <f t="shared" si="7"/>
        <v>9</v>
      </c>
    </row>
    <row r="520" spans="1:5" x14ac:dyDescent="0.2">
      <c r="A520">
        <v>7</v>
      </c>
      <c r="B520" s="2" t="s">
        <v>10</v>
      </c>
      <c r="C520" s="2" t="s">
        <v>10</v>
      </c>
      <c r="D520" s="2" t="s">
        <v>10</v>
      </c>
      <c r="E520" s="3">
        <f t="shared" si="7"/>
        <v>9</v>
      </c>
    </row>
    <row r="521" spans="1:5" x14ac:dyDescent="0.2">
      <c r="A521">
        <v>8</v>
      </c>
      <c r="B521" s="2" t="s">
        <v>10</v>
      </c>
      <c r="C521" s="2" t="s">
        <v>10</v>
      </c>
      <c r="D521" s="2" t="s">
        <v>10</v>
      </c>
      <c r="E521" s="3">
        <f t="shared" si="7"/>
        <v>9</v>
      </c>
    </row>
    <row r="522" spans="1:5" x14ac:dyDescent="0.2">
      <c r="A522" s="1" t="s">
        <v>11</v>
      </c>
      <c r="E522" s="3">
        <f t="shared" si="7"/>
        <v>9</v>
      </c>
    </row>
    <row r="523" spans="1:5" x14ac:dyDescent="0.2">
      <c r="A523" s="1" t="s">
        <v>1</v>
      </c>
      <c r="B523" s="1" t="s">
        <v>2</v>
      </c>
      <c r="C523" s="1" t="s">
        <v>3</v>
      </c>
      <c r="D523" s="1" t="s">
        <v>4</v>
      </c>
      <c r="E523" s="3">
        <f t="shared" si="7"/>
        <v>9</v>
      </c>
    </row>
    <row r="524" spans="1:5" x14ac:dyDescent="0.2">
      <c r="A524">
        <v>1</v>
      </c>
      <c r="B524" t="s">
        <v>68</v>
      </c>
      <c r="C524">
        <v>2</v>
      </c>
      <c r="D524">
        <v>16</v>
      </c>
      <c r="E524" s="3">
        <f t="shared" si="7"/>
        <v>9</v>
      </c>
    </row>
    <row r="525" spans="1:5" x14ac:dyDescent="0.2">
      <c r="A525">
        <v>2</v>
      </c>
      <c r="B525" t="s">
        <v>45</v>
      </c>
      <c r="C525">
        <v>2</v>
      </c>
      <c r="D525">
        <v>12</v>
      </c>
      <c r="E525" s="3">
        <f t="shared" si="7"/>
        <v>9</v>
      </c>
    </row>
    <row r="526" spans="1:5" x14ac:dyDescent="0.2">
      <c r="A526">
        <v>3</v>
      </c>
      <c r="B526" t="s">
        <v>15</v>
      </c>
      <c r="C526">
        <v>1</v>
      </c>
      <c r="D526">
        <v>8</v>
      </c>
      <c r="E526" s="3">
        <f t="shared" si="7"/>
        <v>9</v>
      </c>
    </row>
    <row r="527" spans="1:5" x14ac:dyDescent="0.2">
      <c r="A527">
        <v>4</v>
      </c>
      <c r="B527" t="s">
        <v>74</v>
      </c>
      <c r="C527">
        <v>0</v>
      </c>
      <c r="D527">
        <v>4</v>
      </c>
      <c r="E527" s="3">
        <f t="shared" si="7"/>
        <v>9</v>
      </c>
    </row>
    <row r="528" spans="1:5" x14ac:dyDescent="0.2">
      <c r="A528">
        <v>5</v>
      </c>
      <c r="B528" t="s">
        <v>31</v>
      </c>
      <c r="C528">
        <v>0</v>
      </c>
      <c r="D528">
        <v>2</v>
      </c>
      <c r="E528" s="3">
        <f t="shared" si="7"/>
        <v>9</v>
      </c>
    </row>
    <row r="529" spans="1:5" x14ac:dyDescent="0.2">
      <c r="A529">
        <v>6</v>
      </c>
      <c r="B529" t="s">
        <v>25</v>
      </c>
      <c r="C529">
        <v>0</v>
      </c>
      <c r="D529">
        <v>1</v>
      </c>
      <c r="E529" s="3">
        <f t="shared" si="7"/>
        <v>9</v>
      </c>
    </row>
    <row r="530" spans="1:5" x14ac:dyDescent="0.2">
      <c r="A530">
        <v>7</v>
      </c>
      <c r="B530" s="2" t="s">
        <v>10</v>
      </c>
      <c r="C530" s="2" t="s">
        <v>10</v>
      </c>
      <c r="D530" s="2" t="s">
        <v>10</v>
      </c>
      <c r="E530" s="3">
        <f t="shared" si="7"/>
        <v>9</v>
      </c>
    </row>
    <row r="531" spans="1:5" x14ac:dyDescent="0.2">
      <c r="A531">
        <v>8</v>
      </c>
      <c r="B531" s="2" t="s">
        <v>10</v>
      </c>
      <c r="C531" s="2" t="s">
        <v>10</v>
      </c>
      <c r="D531" s="2" t="s">
        <v>10</v>
      </c>
      <c r="E531" s="3">
        <f t="shared" si="7"/>
        <v>9</v>
      </c>
    </row>
    <row r="532" spans="1:5" x14ac:dyDescent="0.2">
      <c r="A532" s="1" t="s">
        <v>17</v>
      </c>
      <c r="E532" s="3">
        <f t="shared" si="7"/>
        <v>9</v>
      </c>
    </row>
    <row r="533" spans="1:5" x14ac:dyDescent="0.2">
      <c r="A533" s="1" t="s">
        <v>1</v>
      </c>
      <c r="B533" s="1" t="s">
        <v>2</v>
      </c>
      <c r="C533" s="1" t="s">
        <v>3</v>
      </c>
      <c r="D533" s="1" t="s">
        <v>4</v>
      </c>
      <c r="E533" s="3">
        <f t="shared" si="7"/>
        <v>9</v>
      </c>
    </row>
    <row r="534" spans="1:5" x14ac:dyDescent="0.2">
      <c r="A534">
        <v>1</v>
      </c>
      <c r="B534" t="s">
        <v>40</v>
      </c>
      <c r="C534">
        <v>3</v>
      </c>
      <c r="D534">
        <v>15</v>
      </c>
      <c r="E534" s="3">
        <f t="shared" si="7"/>
        <v>9</v>
      </c>
    </row>
    <row r="535" spans="1:5" x14ac:dyDescent="0.2">
      <c r="A535">
        <v>2</v>
      </c>
      <c r="B535" t="s">
        <v>69</v>
      </c>
      <c r="C535">
        <v>1</v>
      </c>
      <c r="D535">
        <v>11</v>
      </c>
      <c r="E535" s="3">
        <f t="shared" si="7"/>
        <v>9</v>
      </c>
    </row>
    <row r="536" spans="1:5" x14ac:dyDescent="0.2">
      <c r="A536">
        <v>3</v>
      </c>
      <c r="B536" t="s">
        <v>305</v>
      </c>
      <c r="C536">
        <v>0</v>
      </c>
      <c r="D536">
        <v>7</v>
      </c>
      <c r="E536" s="3">
        <f t="shared" si="7"/>
        <v>9</v>
      </c>
    </row>
    <row r="537" spans="1:5" x14ac:dyDescent="0.2">
      <c r="A537">
        <v>4</v>
      </c>
      <c r="B537" t="s">
        <v>46</v>
      </c>
      <c r="C537">
        <v>0</v>
      </c>
      <c r="D537">
        <v>3</v>
      </c>
      <c r="E537" s="3">
        <f t="shared" si="7"/>
        <v>9</v>
      </c>
    </row>
    <row r="538" spans="1:5" x14ac:dyDescent="0.2">
      <c r="A538">
        <v>5</v>
      </c>
      <c r="B538" t="s">
        <v>12</v>
      </c>
      <c r="C538">
        <v>0</v>
      </c>
      <c r="D538">
        <v>1</v>
      </c>
      <c r="E538" s="3">
        <f t="shared" si="7"/>
        <v>9</v>
      </c>
    </row>
    <row r="539" spans="1:5" x14ac:dyDescent="0.2">
      <c r="A539">
        <v>6</v>
      </c>
      <c r="B539" s="2" t="s">
        <v>10</v>
      </c>
      <c r="C539" s="2" t="s">
        <v>10</v>
      </c>
      <c r="D539" s="2" t="s">
        <v>10</v>
      </c>
      <c r="E539" s="3">
        <f t="shared" si="7"/>
        <v>9</v>
      </c>
    </row>
    <row r="540" spans="1:5" x14ac:dyDescent="0.2">
      <c r="A540">
        <v>7</v>
      </c>
      <c r="B540" s="2" t="s">
        <v>10</v>
      </c>
      <c r="C540" s="2" t="s">
        <v>10</v>
      </c>
      <c r="D540" s="2" t="s">
        <v>10</v>
      </c>
      <c r="E540" s="3">
        <f t="shared" si="7"/>
        <v>9</v>
      </c>
    </row>
    <row r="541" spans="1:5" x14ac:dyDescent="0.2">
      <c r="A541">
        <v>8</v>
      </c>
      <c r="B541" s="2" t="s">
        <v>10</v>
      </c>
      <c r="C541" s="2" t="s">
        <v>10</v>
      </c>
      <c r="D541" s="2" t="s">
        <v>10</v>
      </c>
      <c r="E541" s="3">
        <f t="shared" si="7"/>
        <v>9</v>
      </c>
    </row>
    <row r="542" spans="1:5" x14ac:dyDescent="0.2">
      <c r="A542" s="1" t="s">
        <v>24</v>
      </c>
      <c r="E542" s="3">
        <f t="shared" si="7"/>
        <v>9</v>
      </c>
    </row>
    <row r="543" spans="1:5" x14ac:dyDescent="0.2">
      <c r="A543" s="1" t="s">
        <v>1</v>
      </c>
      <c r="B543" s="1" t="s">
        <v>2</v>
      </c>
      <c r="C543" s="1" t="s">
        <v>3</v>
      </c>
      <c r="D543" s="1" t="s">
        <v>4</v>
      </c>
      <c r="E543" s="3">
        <f t="shared" si="7"/>
        <v>9</v>
      </c>
    </row>
    <row r="544" spans="1:5" x14ac:dyDescent="0.2">
      <c r="A544">
        <v>1</v>
      </c>
      <c r="B544" t="s">
        <v>66</v>
      </c>
      <c r="C544">
        <v>1</v>
      </c>
      <c r="D544">
        <v>16</v>
      </c>
      <c r="E544" s="3">
        <f t="shared" ref="E544:E607" si="8">IF(A544=$A$1,E543+1,E543)</f>
        <v>9</v>
      </c>
    </row>
    <row r="545" spans="1:5" x14ac:dyDescent="0.2">
      <c r="A545">
        <v>2</v>
      </c>
      <c r="B545" t="s">
        <v>345</v>
      </c>
      <c r="C545">
        <v>2</v>
      </c>
      <c r="D545">
        <v>12</v>
      </c>
      <c r="E545" s="3">
        <f t="shared" si="8"/>
        <v>9</v>
      </c>
    </row>
    <row r="546" spans="1:5" x14ac:dyDescent="0.2">
      <c r="A546">
        <v>3</v>
      </c>
      <c r="B546" t="s">
        <v>61</v>
      </c>
      <c r="C546">
        <v>1</v>
      </c>
      <c r="D546">
        <v>8</v>
      </c>
      <c r="E546" s="3">
        <f t="shared" si="8"/>
        <v>9</v>
      </c>
    </row>
    <row r="547" spans="1:5" x14ac:dyDescent="0.2">
      <c r="A547">
        <v>4</v>
      </c>
      <c r="B547" t="s">
        <v>43</v>
      </c>
      <c r="C547">
        <v>1</v>
      </c>
      <c r="D547">
        <v>4</v>
      </c>
      <c r="E547" s="3">
        <f t="shared" si="8"/>
        <v>9</v>
      </c>
    </row>
    <row r="548" spans="1:5" x14ac:dyDescent="0.2">
      <c r="A548">
        <v>5</v>
      </c>
      <c r="B548" t="s">
        <v>98</v>
      </c>
      <c r="C548">
        <v>0</v>
      </c>
      <c r="D548">
        <v>2</v>
      </c>
      <c r="E548" s="3">
        <f t="shared" si="8"/>
        <v>9</v>
      </c>
    </row>
    <row r="549" spans="1:5" x14ac:dyDescent="0.2">
      <c r="A549">
        <v>6</v>
      </c>
      <c r="B549" t="s">
        <v>102</v>
      </c>
      <c r="C549">
        <v>0</v>
      </c>
      <c r="D549">
        <v>1</v>
      </c>
      <c r="E549" s="3">
        <f t="shared" si="8"/>
        <v>9</v>
      </c>
    </row>
    <row r="550" spans="1:5" x14ac:dyDescent="0.2">
      <c r="A550">
        <v>7</v>
      </c>
      <c r="B550" s="2" t="s">
        <v>10</v>
      </c>
      <c r="C550" s="2" t="s">
        <v>10</v>
      </c>
      <c r="D550" s="2" t="s">
        <v>10</v>
      </c>
      <c r="E550" s="3">
        <f t="shared" si="8"/>
        <v>9</v>
      </c>
    </row>
    <row r="551" spans="1:5" x14ac:dyDescent="0.2">
      <c r="A551">
        <v>8</v>
      </c>
      <c r="B551" s="2" t="s">
        <v>10</v>
      </c>
      <c r="C551" s="2" t="s">
        <v>10</v>
      </c>
      <c r="D551" s="2" t="s">
        <v>10</v>
      </c>
      <c r="E551" s="3">
        <f t="shared" si="8"/>
        <v>9</v>
      </c>
    </row>
    <row r="552" spans="1:5" x14ac:dyDescent="0.2">
      <c r="A552" s="1" t="s">
        <v>30</v>
      </c>
      <c r="E552" s="3">
        <f t="shared" si="8"/>
        <v>9</v>
      </c>
    </row>
    <row r="553" spans="1:5" x14ac:dyDescent="0.2">
      <c r="A553" s="1" t="s">
        <v>1</v>
      </c>
      <c r="B553" s="1" t="s">
        <v>2</v>
      </c>
      <c r="C553" s="1" t="s">
        <v>3</v>
      </c>
      <c r="D553" s="1" t="s">
        <v>4</v>
      </c>
      <c r="E553" s="3">
        <f t="shared" si="8"/>
        <v>9</v>
      </c>
    </row>
    <row r="554" spans="1:5" x14ac:dyDescent="0.2">
      <c r="A554">
        <v>1</v>
      </c>
      <c r="B554" t="s">
        <v>75</v>
      </c>
      <c r="C554">
        <v>2</v>
      </c>
      <c r="D554">
        <v>16</v>
      </c>
      <c r="E554" s="3">
        <f t="shared" si="8"/>
        <v>9</v>
      </c>
    </row>
    <row r="555" spans="1:5" x14ac:dyDescent="0.2">
      <c r="A555">
        <v>2</v>
      </c>
      <c r="B555" t="s">
        <v>19</v>
      </c>
      <c r="C555">
        <v>1</v>
      </c>
      <c r="D555">
        <v>12</v>
      </c>
      <c r="E555" s="3">
        <f t="shared" si="8"/>
        <v>9</v>
      </c>
    </row>
    <row r="556" spans="1:5" x14ac:dyDescent="0.2">
      <c r="A556">
        <v>3</v>
      </c>
      <c r="B556" t="s">
        <v>73</v>
      </c>
      <c r="C556">
        <v>1</v>
      </c>
      <c r="D556">
        <v>8</v>
      </c>
      <c r="E556" s="3">
        <f t="shared" si="8"/>
        <v>9</v>
      </c>
    </row>
    <row r="557" spans="1:5" x14ac:dyDescent="0.2">
      <c r="A557">
        <v>4</v>
      </c>
      <c r="B557" t="s">
        <v>87</v>
      </c>
      <c r="C557">
        <v>1</v>
      </c>
      <c r="D557">
        <v>4</v>
      </c>
      <c r="E557" s="3">
        <f t="shared" si="8"/>
        <v>9</v>
      </c>
    </row>
    <row r="558" spans="1:5" x14ac:dyDescent="0.2">
      <c r="A558">
        <v>5</v>
      </c>
      <c r="B558" t="s">
        <v>39</v>
      </c>
      <c r="C558">
        <v>0</v>
      </c>
      <c r="D558">
        <v>2</v>
      </c>
      <c r="E558" s="3">
        <f t="shared" si="8"/>
        <v>9</v>
      </c>
    </row>
    <row r="559" spans="1:5" x14ac:dyDescent="0.2">
      <c r="A559">
        <v>6</v>
      </c>
      <c r="B559" t="s">
        <v>21</v>
      </c>
      <c r="C559">
        <v>0</v>
      </c>
      <c r="D559">
        <v>1</v>
      </c>
      <c r="E559" s="3">
        <f t="shared" si="8"/>
        <v>9</v>
      </c>
    </row>
    <row r="560" spans="1:5" x14ac:dyDescent="0.2">
      <c r="A560">
        <v>7</v>
      </c>
      <c r="B560" s="2" t="s">
        <v>10</v>
      </c>
      <c r="C560" s="2" t="s">
        <v>10</v>
      </c>
      <c r="D560" s="2" t="s">
        <v>10</v>
      </c>
      <c r="E560" s="3">
        <f t="shared" si="8"/>
        <v>9</v>
      </c>
    </row>
    <row r="561" spans="1:5" x14ac:dyDescent="0.2">
      <c r="A561">
        <v>8</v>
      </c>
      <c r="B561" s="2" t="s">
        <v>10</v>
      </c>
      <c r="C561" s="2" t="s">
        <v>10</v>
      </c>
      <c r="D561" s="2" t="s">
        <v>10</v>
      </c>
      <c r="E561" s="3">
        <f t="shared" si="8"/>
        <v>9</v>
      </c>
    </row>
    <row r="562" spans="1:5" x14ac:dyDescent="0.2">
      <c r="A562" s="1" t="s">
        <v>0</v>
      </c>
      <c r="E562" s="3">
        <f t="shared" si="8"/>
        <v>10</v>
      </c>
    </row>
    <row r="563" spans="1:5" x14ac:dyDescent="0.2">
      <c r="A563" s="1" t="s">
        <v>1</v>
      </c>
      <c r="B563" s="1" t="s">
        <v>2</v>
      </c>
      <c r="C563" s="1" t="s">
        <v>3</v>
      </c>
      <c r="D563" s="1" t="s">
        <v>4</v>
      </c>
      <c r="E563" s="3">
        <f t="shared" si="8"/>
        <v>10</v>
      </c>
    </row>
    <row r="564" spans="1:5" x14ac:dyDescent="0.2">
      <c r="A564">
        <v>1</v>
      </c>
      <c r="B564" t="s">
        <v>94</v>
      </c>
      <c r="C564">
        <v>4</v>
      </c>
      <c r="D564">
        <v>17</v>
      </c>
      <c r="E564" s="3">
        <f t="shared" si="8"/>
        <v>10</v>
      </c>
    </row>
    <row r="565" spans="1:5" x14ac:dyDescent="0.2">
      <c r="A565">
        <v>2</v>
      </c>
      <c r="B565" t="s">
        <v>32</v>
      </c>
      <c r="C565">
        <v>0</v>
      </c>
      <c r="D565">
        <v>13</v>
      </c>
      <c r="E565" s="3">
        <f t="shared" si="8"/>
        <v>10</v>
      </c>
    </row>
    <row r="566" spans="1:5" x14ac:dyDescent="0.2">
      <c r="A566">
        <v>3</v>
      </c>
      <c r="B566" t="s">
        <v>102</v>
      </c>
      <c r="C566">
        <v>2</v>
      </c>
      <c r="D566">
        <v>9</v>
      </c>
      <c r="E566" s="3">
        <f t="shared" si="8"/>
        <v>10</v>
      </c>
    </row>
    <row r="567" spans="1:5" x14ac:dyDescent="0.2">
      <c r="A567">
        <v>4</v>
      </c>
      <c r="B567" t="s">
        <v>73</v>
      </c>
      <c r="C567">
        <v>0</v>
      </c>
      <c r="D567">
        <v>5</v>
      </c>
      <c r="E567" s="3">
        <f t="shared" si="8"/>
        <v>10</v>
      </c>
    </row>
    <row r="568" spans="1:5" x14ac:dyDescent="0.2">
      <c r="A568">
        <v>5</v>
      </c>
      <c r="B568" t="s">
        <v>66</v>
      </c>
      <c r="C568">
        <v>0</v>
      </c>
      <c r="D568">
        <v>3</v>
      </c>
      <c r="E568" s="3">
        <f t="shared" si="8"/>
        <v>10</v>
      </c>
    </row>
    <row r="569" spans="1:5" x14ac:dyDescent="0.2">
      <c r="A569">
        <v>6</v>
      </c>
      <c r="B569" t="s">
        <v>345</v>
      </c>
      <c r="C569">
        <v>0</v>
      </c>
      <c r="D569">
        <v>2</v>
      </c>
      <c r="E569" s="3">
        <f t="shared" si="8"/>
        <v>10</v>
      </c>
    </row>
    <row r="570" spans="1:5" x14ac:dyDescent="0.2">
      <c r="A570">
        <v>7</v>
      </c>
      <c r="B570" t="s">
        <v>74</v>
      </c>
      <c r="C570">
        <v>0</v>
      </c>
      <c r="D570">
        <v>1</v>
      </c>
      <c r="E570" s="3">
        <f t="shared" si="8"/>
        <v>10</v>
      </c>
    </row>
    <row r="571" spans="1:5" x14ac:dyDescent="0.2">
      <c r="A571">
        <v>8</v>
      </c>
      <c r="B571" s="2" t="s">
        <v>10</v>
      </c>
      <c r="C571" s="2" t="s">
        <v>10</v>
      </c>
      <c r="D571" s="2" t="s">
        <v>10</v>
      </c>
      <c r="E571" s="3">
        <f t="shared" si="8"/>
        <v>10</v>
      </c>
    </row>
    <row r="572" spans="1:5" x14ac:dyDescent="0.2">
      <c r="A572" s="1" t="s">
        <v>11</v>
      </c>
      <c r="E572" s="3">
        <f t="shared" si="8"/>
        <v>10</v>
      </c>
    </row>
    <row r="573" spans="1:5" x14ac:dyDescent="0.2">
      <c r="A573" s="1" t="s">
        <v>1</v>
      </c>
      <c r="B573" s="1" t="s">
        <v>2</v>
      </c>
      <c r="C573" s="1" t="s">
        <v>3</v>
      </c>
      <c r="D573" s="1" t="s">
        <v>4</v>
      </c>
      <c r="E573" s="3">
        <f t="shared" si="8"/>
        <v>10</v>
      </c>
    </row>
    <row r="574" spans="1:5" x14ac:dyDescent="0.2">
      <c r="A574">
        <v>1</v>
      </c>
      <c r="B574" t="s">
        <v>76</v>
      </c>
      <c r="C574">
        <v>3</v>
      </c>
      <c r="D574">
        <v>16</v>
      </c>
      <c r="E574" s="3">
        <f t="shared" si="8"/>
        <v>10</v>
      </c>
    </row>
    <row r="575" spans="1:5" x14ac:dyDescent="0.2">
      <c r="A575">
        <v>2</v>
      </c>
      <c r="B575" t="s">
        <v>15</v>
      </c>
      <c r="C575">
        <v>2</v>
      </c>
      <c r="D575">
        <v>12</v>
      </c>
      <c r="E575" s="3">
        <f t="shared" si="8"/>
        <v>10</v>
      </c>
    </row>
    <row r="576" spans="1:5" x14ac:dyDescent="0.2">
      <c r="A576">
        <v>3</v>
      </c>
      <c r="B576" t="s">
        <v>46</v>
      </c>
      <c r="C576">
        <v>0</v>
      </c>
      <c r="D576">
        <v>8</v>
      </c>
      <c r="E576" s="3">
        <f t="shared" si="8"/>
        <v>10</v>
      </c>
    </row>
    <row r="577" spans="1:5" x14ac:dyDescent="0.2">
      <c r="A577">
        <v>4</v>
      </c>
      <c r="B577" t="s">
        <v>42</v>
      </c>
      <c r="C577">
        <v>0</v>
      </c>
      <c r="D577">
        <v>4</v>
      </c>
      <c r="E577" s="3">
        <f t="shared" si="8"/>
        <v>10</v>
      </c>
    </row>
    <row r="578" spans="1:5" x14ac:dyDescent="0.2">
      <c r="A578">
        <v>5</v>
      </c>
      <c r="B578" t="s">
        <v>21</v>
      </c>
      <c r="C578">
        <v>0</v>
      </c>
      <c r="D578">
        <v>2</v>
      </c>
      <c r="E578" s="3">
        <f t="shared" si="8"/>
        <v>10</v>
      </c>
    </row>
    <row r="579" spans="1:5" x14ac:dyDescent="0.2">
      <c r="A579">
        <v>6</v>
      </c>
      <c r="B579" t="s">
        <v>23</v>
      </c>
      <c r="C579">
        <v>0</v>
      </c>
      <c r="D579">
        <v>1</v>
      </c>
      <c r="E579" s="3">
        <f t="shared" si="8"/>
        <v>10</v>
      </c>
    </row>
    <row r="580" spans="1:5" x14ac:dyDescent="0.2">
      <c r="A580">
        <v>7</v>
      </c>
      <c r="B580" s="2" t="s">
        <v>10</v>
      </c>
      <c r="C580" s="2" t="s">
        <v>10</v>
      </c>
      <c r="D580" s="2" t="s">
        <v>10</v>
      </c>
      <c r="E580" s="3">
        <f t="shared" si="8"/>
        <v>10</v>
      </c>
    </row>
    <row r="581" spans="1:5" x14ac:dyDescent="0.2">
      <c r="A581">
        <v>8</v>
      </c>
      <c r="B581" s="2" t="s">
        <v>10</v>
      </c>
      <c r="C581" s="2" t="s">
        <v>10</v>
      </c>
      <c r="D581" s="2" t="s">
        <v>10</v>
      </c>
      <c r="E581" s="3">
        <f t="shared" si="8"/>
        <v>10</v>
      </c>
    </row>
    <row r="582" spans="1:5" x14ac:dyDescent="0.2">
      <c r="A582" s="1" t="s">
        <v>17</v>
      </c>
      <c r="E582" s="3">
        <f t="shared" si="8"/>
        <v>10</v>
      </c>
    </row>
    <row r="583" spans="1:5" x14ac:dyDescent="0.2">
      <c r="A583" s="1" t="s">
        <v>1</v>
      </c>
      <c r="B583" s="1" t="s">
        <v>2</v>
      </c>
      <c r="C583" s="1" t="s">
        <v>3</v>
      </c>
      <c r="D583" s="1" t="s">
        <v>4</v>
      </c>
      <c r="E583" s="3">
        <f t="shared" si="8"/>
        <v>10</v>
      </c>
    </row>
    <row r="584" spans="1:5" x14ac:dyDescent="0.2">
      <c r="A584">
        <v>1</v>
      </c>
      <c r="B584" t="s">
        <v>12</v>
      </c>
      <c r="C584">
        <v>4</v>
      </c>
      <c r="D584">
        <v>17</v>
      </c>
      <c r="E584" s="3">
        <f t="shared" si="8"/>
        <v>10</v>
      </c>
    </row>
    <row r="585" spans="1:5" x14ac:dyDescent="0.2">
      <c r="A585">
        <v>2</v>
      </c>
      <c r="B585" t="s">
        <v>19</v>
      </c>
      <c r="C585">
        <v>1</v>
      </c>
      <c r="D585">
        <v>13</v>
      </c>
      <c r="E585" s="3">
        <f t="shared" si="8"/>
        <v>10</v>
      </c>
    </row>
    <row r="586" spans="1:5" x14ac:dyDescent="0.2">
      <c r="A586">
        <v>3</v>
      </c>
      <c r="B586" t="s">
        <v>50</v>
      </c>
      <c r="C586">
        <v>0</v>
      </c>
      <c r="D586">
        <v>9</v>
      </c>
      <c r="E586" s="3">
        <f t="shared" si="8"/>
        <v>10</v>
      </c>
    </row>
    <row r="587" spans="1:5" x14ac:dyDescent="0.2">
      <c r="A587">
        <v>4</v>
      </c>
      <c r="B587" t="s">
        <v>40</v>
      </c>
      <c r="C587">
        <v>1</v>
      </c>
      <c r="D587">
        <v>5</v>
      </c>
      <c r="E587" s="3">
        <f t="shared" si="8"/>
        <v>10</v>
      </c>
    </row>
    <row r="588" spans="1:5" x14ac:dyDescent="0.2">
      <c r="A588">
        <v>5</v>
      </c>
      <c r="B588" t="s">
        <v>75</v>
      </c>
      <c r="C588">
        <v>0</v>
      </c>
      <c r="D588">
        <v>3</v>
      </c>
      <c r="E588" s="3">
        <f t="shared" si="8"/>
        <v>10</v>
      </c>
    </row>
    <row r="589" spans="1:5" x14ac:dyDescent="0.2">
      <c r="A589">
        <v>6</v>
      </c>
      <c r="B589" t="s">
        <v>69</v>
      </c>
      <c r="C589">
        <v>0</v>
      </c>
      <c r="D589">
        <v>2</v>
      </c>
      <c r="E589" s="3">
        <f t="shared" si="8"/>
        <v>10</v>
      </c>
    </row>
    <row r="590" spans="1:5" x14ac:dyDescent="0.2">
      <c r="A590">
        <v>7</v>
      </c>
      <c r="B590" t="s">
        <v>33</v>
      </c>
      <c r="C590">
        <v>0</v>
      </c>
      <c r="D590">
        <v>1</v>
      </c>
      <c r="E590" s="3">
        <f t="shared" si="8"/>
        <v>10</v>
      </c>
    </row>
    <row r="591" spans="1:5" x14ac:dyDescent="0.2">
      <c r="A591">
        <v>8</v>
      </c>
      <c r="B591" s="2" t="s">
        <v>10</v>
      </c>
      <c r="C591" s="2" t="s">
        <v>10</v>
      </c>
      <c r="D591" s="2" t="s">
        <v>10</v>
      </c>
      <c r="E591" s="3">
        <f t="shared" si="8"/>
        <v>10</v>
      </c>
    </row>
    <row r="592" spans="1:5" x14ac:dyDescent="0.2">
      <c r="A592" s="1" t="s">
        <v>24</v>
      </c>
      <c r="E592" s="3">
        <f t="shared" si="8"/>
        <v>10</v>
      </c>
    </row>
    <row r="593" spans="1:5" x14ac:dyDescent="0.2">
      <c r="A593" s="1" t="s">
        <v>1</v>
      </c>
      <c r="B593" s="1" t="s">
        <v>2</v>
      </c>
      <c r="C593" s="1" t="s">
        <v>3</v>
      </c>
      <c r="D593" s="1" t="s">
        <v>4</v>
      </c>
      <c r="E593" s="3">
        <f t="shared" si="8"/>
        <v>10</v>
      </c>
    </row>
    <row r="594" spans="1:5" x14ac:dyDescent="0.2">
      <c r="A594">
        <v>1</v>
      </c>
      <c r="B594" t="s">
        <v>54</v>
      </c>
      <c r="C594">
        <v>4</v>
      </c>
      <c r="D594">
        <v>16</v>
      </c>
      <c r="E594" s="3">
        <f t="shared" si="8"/>
        <v>10</v>
      </c>
    </row>
    <row r="595" spans="1:5" x14ac:dyDescent="0.2">
      <c r="A595">
        <v>2</v>
      </c>
      <c r="B595" t="s">
        <v>25</v>
      </c>
      <c r="C595">
        <v>0</v>
      </c>
      <c r="D595">
        <v>12</v>
      </c>
      <c r="E595" s="3">
        <f t="shared" si="8"/>
        <v>10</v>
      </c>
    </row>
    <row r="596" spans="1:5" x14ac:dyDescent="0.2">
      <c r="A596">
        <v>3</v>
      </c>
      <c r="B596" t="s">
        <v>98</v>
      </c>
      <c r="C596">
        <v>0</v>
      </c>
      <c r="D596">
        <v>8</v>
      </c>
      <c r="E596" s="3">
        <f t="shared" si="8"/>
        <v>10</v>
      </c>
    </row>
    <row r="597" spans="1:5" x14ac:dyDescent="0.2">
      <c r="A597">
        <v>4</v>
      </c>
      <c r="B597" t="s">
        <v>377</v>
      </c>
      <c r="C597">
        <v>1</v>
      </c>
      <c r="D597">
        <v>4</v>
      </c>
      <c r="E597" s="3">
        <f t="shared" si="8"/>
        <v>10</v>
      </c>
    </row>
    <row r="598" spans="1:5" x14ac:dyDescent="0.2">
      <c r="A598">
        <v>5</v>
      </c>
      <c r="B598" t="s">
        <v>9</v>
      </c>
      <c r="C598">
        <v>0</v>
      </c>
      <c r="D598">
        <v>2</v>
      </c>
      <c r="E598" s="3">
        <f t="shared" si="8"/>
        <v>10</v>
      </c>
    </row>
    <row r="599" spans="1:5" x14ac:dyDescent="0.2">
      <c r="A599">
        <v>6</v>
      </c>
      <c r="B599" t="s">
        <v>52</v>
      </c>
      <c r="C599">
        <v>0</v>
      </c>
      <c r="D599">
        <v>1</v>
      </c>
      <c r="E599" s="3">
        <f t="shared" si="8"/>
        <v>10</v>
      </c>
    </row>
    <row r="600" spans="1:5" x14ac:dyDescent="0.2">
      <c r="A600">
        <v>7</v>
      </c>
      <c r="B600" s="2" t="s">
        <v>10</v>
      </c>
      <c r="C600" s="2" t="s">
        <v>10</v>
      </c>
      <c r="D600" s="2" t="s">
        <v>10</v>
      </c>
      <c r="E600" s="3">
        <f t="shared" si="8"/>
        <v>10</v>
      </c>
    </row>
    <row r="601" spans="1:5" x14ac:dyDescent="0.2">
      <c r="A601">
        <v>8</v>
      </c>
      <c r="B601" s="2" t="s">
        <v>10</v>
      </c>
      <c r="C601" s="2" t="s">
        <v>10</v>
      </c>
      <c r="D601" s="2" t="s">
        <v>10</v>
      </c>
      <c r="E601" s="3">
        <f t="shared" si="8"/>
        <v>10</v>
      </c>
    </row>
    <row r="602" spans="1:5" x14ac:dyDescent="0.2">
      <c r="A602" s="1" t="s">
        <v>30</v>
      </c>
      <c r="E602" s="3">
        <f t="shared" si="8"/>
        <v>10</v>
      </c>
    </row>
    <row r="603" spans="1:5" x14ac:dyDescent="0.2">
      <c r="A603" s="1" t="s">
        <v>1</v>
      </c>
      <c r="B603" s="1" t="s">
        <v>2</v>
      </c>
      <c r="C603" s="1" t="s">
        <v>3</v>
      </c>
      <c r="D603" s="1" t="s">
        <v>4</v>
      </c>
      <c r="E603" s="3">
        <f t="shared" si="8"/>
        <v>10</v>
      </c>
    </row>
    <row r="604" spans="1:5" x14ac:dyDescent="0.2">
      <c r="A604">
        <v>1</v>
      </c>
      <c r="B604" t="s">
        <v>65</v>
      </c>
      <c r="C604">
        <v>4</v>
      </c>
      <c r="D604">
        <v>17</v>
      </c>
      <c r="E604" s="3">
        <f t="shared" si="8"/>
        <v>10</v>
      </c>
    </row>
    <row r="605" spans="1:5" x14ac:dyDescent="0.2">
      <c r="A605">
        <v>2</v>
      </c>
      <c r="B605" t="s">
        <v>68</v>
      </c>
      <c r="C605">
        <v>1</v>
      </c>
      <c r="D605">
        <v>13</v>
      </c>
      <c r="E605" s="3">
        <f t="shared" si="8"/>
        <v>10</v>
      </c>
    </row>
    <row r="606" spans="1:5" x14ac:dyDescent="0.2">
      <c r="A606">
        <v>3</v>
      </c>
      <c r="B606" t="s">
        <v>45</v>
      </c>
      <c r="C606">
        <v>1</v>
      </c>
      <c r="D606">
        <v>9</v>
      </c>
      <c r="E606" s="3">
        <f t="shared" si="8"/>
        <v>10</v>
      </c>
    </row>
    <row r="607" spans="1:5" x14ac:dyDescent="0.2">
      <c r="A607">
        <v>4</v>
      </c>
      <c r="B607" t="s">
        <v>6</v>
      </c>
      <c r="C607">
        <v>0</v>
      </c>
      <c r="D607">
        <v>5</v>
      </c>
      <c r="E607" s="3">
        <f t="shared" si="8"/>
        <v>10</v>
      </c>
    </row>
    <row r="608" spans="1:5" x14ac:dyDescent="0.2">
      <c r="A608">
        <v>5</v>
      </c>
      <c r="B608" t="s">
        <v>41</v>
      </c>
      <c r="C608">
        <v>0</v>
      </c>
      <c r="D608">
        <v>3</v>
      </c>
      <c r="E608" s="3">
        <f t="shared" ref="E608:E671" si="9">IF(A608=$A$1,E607+1,E607)</f>
        <v>10</v>
      </c>
    </row>
    <row r="609" spans="1:5" x14ac:dyDescent="0.2">
      <c r="A609">
        <v>6</v>
      </c>
      <c r="B609" t="s">
        <v>35</v>
      </c>
      <c r="C609">
        <v>0</v>
      </c>
      <c r="D609">
        <v>2</v>
      </c>
      <c r="E609" s="3">
        <f t="shared" si="9"/>
        <v>10</v>
      </c>
    </row>
    <row r="610" spans="1:5" x14ac:dyDescent="0.2">
      <c r="A610">
        <v>7</v>
      </c>
      <c r="B610" t="s">
        <v>14</v>
      </c>
      <c r="C610">
        <v>0</v>
      </c>
      <c r="D610">
        <v>1</v>
      </c>
      <c r="E610" s="3">
        <f t="shared" si="9"/>
        <v>10</v>
      </c>
    </row>
    <row r="611" spans="1:5" x14ac:dyDescent="0.2">
      <c r="A611" s="1" t="s">
        <v>0</v>
      </c>
      <c r="E611" s="3">
        <f t="shared" si="9"/>
        <v>11</v>
      </c>
    </row>
    <row r="612" spans="1:5" x14ac:dyDescent="0.2">
      <c r="A612" s="1" t="s">
        <v>1</v>
      </c>
      <c r="B612" s="1" t="s">
        <v>2</v>
      </c>
      <c r="C612" s="1" t="s">
        <v>3</v>
      </c>
      <c r="D612" s="1" t="s">
        <v>4</v>
      </c>
      <c r="E612" s="3">
        <f t="shared" si="9"/>
        <v>11</v>
      </c>
    </row>
    <row r="613" spans="1:5" x14ac:dyDescent="0.2">
      <c r="A613">
        <v>1</v>
      </c>
      <c r="B613" t="s">
        <v>75</v>
      </c>
      <c r="C613">
        <v>0</v>
      </c>
      <c r="D613">
        <v>15</v>
      </c>
      <c r="E613" s="3">
        <f t="shared" si="9"/>
        <v>11</v>
      </c>
    </row>
    <row r="614" spans="1:5" x14ac:dyDescent="0.2">
      <c r="A614">
        <v>2</v>
      </c>
      <c r="B614" t="s">
        <v>21</v>
      </c>
      <c r="C614">
        <v>1</v>
      </c>
      <c r="D614">
        <v>11</v>
      </c>
      <c r="E614" s="3">
        <f t="shared" si="9"/>
        <v>11</v>
      </c>
    </row>
    <row r="615" spans="1:5" x14ac:dyDescent="0.2">
      <c r="A615">
        <v>3</v>
      </c>
      <c r="B615" t="s">
        <v>68</v>
      </c>
      <c r="C615">
        <v>2</v>
      </c>
      <c r="D615">
        <v>7</v>
      </c>
      <c r="E615" s="3">
        <f t="shared" si="9"/>
        <v>11</v>
      </c>
    </row>
    <row r="616" spans="1:5" x14ac:dyDescent="0.2">
      <c r="A616">
        <v>4</v>
      </c>
      <c r="B616" t="s">
        <v>46</v>
      </c>
      <c r="C616">
        <v>0</v>
      </c>
      <c r="D616">
        <v>3</v>
      </c>
      <c r="E616" s="3">
        <f t="shared" si="9"/>
        <v>11</v>
      </c>
    </row>
    <row r="617" spans="1:5" x14ac:dyDescent="0.2">
      <c r="A617">
        <v>5</v>
      </c>
      <c r="B617" t="s">
        <v>61</v>
      </c>
      <c r="C617">
        <v>0</v>
      </c>
      <c r="D617">
        <v>1</v>
      </c>
      <c r="E617" s="3">
        <f t="shared" si="9"/>
        <v>11</v>
      </c>
    </row>
    <row r="618" spans="1:5" x14ac:dyDescent="0.2">
      <c r="A618">
        <v>6</v>
      </c>
      <c r="B618" s="2" t="s">
        <v>10</v>
      </c>
      <c r="C618" s="2" t="s">
        <v>10</v>
      </c>
      <c r="D618" s="2" t="s">
        <v>10</v>
      </c>
      <c r="E618" s="3">
        <f t="shared" si="9"/>
        <v>11</v>
      </c>
    </row>
    <row r="619" spans="1:5" x14ac:dyDescent="0.2">
      <c r="A619">
        <v>7</v>
      </c>
      <c r="B619" s="2" t="s">
        <v>10</v>
      </c>
      <c r="C619" s="2" t="s">
        <v>10</v>
      </c>
      <c r="D619" s="2" t="s">
        <v>10</v>
      </c>
      <c r="E619" s="3">
        <f t="shared" si="9"/>
        <v>11</v>
      </c>
    </row>
    <row r="620" spans="1:5" x14ac:dyDescent="0.2">
      <c r="A620">
        <v>8</v>
      </c>
      <c r="B620" s="2" t="s">
        <v>10</v>
      </c>
      <c r="C620" s="2" t="s">
        <v>10</v>
      </c>
      <c r="D620" s="2" t="s">
        <v>10</v>
      </c>
      <c r="E620" s="3">
        <f t="shared" si="9"/>
        <v>11</v>
      </c>
    </row>
    <row r="621" spans="1:5" x14ac:dyDescent="0.2">
      <c r="A621" s="1" t="s">
        <v>11</v>
      </c>
      <c r="E621" s="3">
        <f t="shared" si="9"/>
        <v>11</v>
      </c>
    </row>
    <row r="622" spans="1:5" x14ac:dyDescent="0.2">
      <c r="A622" s="1" t="s">
        <v>1</v>
      </c>
      <c r="B622" s="1" t="s">
        <v>2</v>
      </c>
      <c r="C622" s="1" t="s">
        <v>3</v>
      </c>
      <c r="D622" s="1" t="s">
        <v>4</v>
      </c>
      <c r="E622" s="3">
        <f t="shared" si="9"/>
        <v>11</v>
      </c>
    </row>
    <row r="623" spans="1:5" x14ac:dyDescent="0.2">
      <c r="A623">
        <v>1</v>
      </c>
      <c r="B623" t="s">
        <v>9</v>
      </c>
      <c r="C623">
        <v>3</v>
      </c>
      <c r="D623">
        <v>16</v>
      </c>
      <c r="E623" s="3">
        <f t="shared" si="9"/>
        <v>11</v>
      </c>
    </row>
    <row r="624" spans="1:5" x14ac:dyDescent="0.2">
      <c r="A624">
        <v>2</v>
      </c>
      <c r="B624" t="s">
        <v>69</v>
      </c>
      <c r="C624">
        <v>1</v>
      </c>
      <c r="D624">
        <v>12</v>
      </c>
      <c r="E624" s="3">
        <f t="shared" si="9"/>
        <v>11</v>
      </c>
    </row>
    <row r="625" spans="1:5" x14ac:dyDescent="0.2">
      <c r="A625">
        <v>3</v>
      </c>
      <c r="B625" t="s">
        <v>65</v>
      </c>
      <c r="C625">
        <v>0</v>
      </c>
      <c r="D625">
        <v>8</v>
      </c>
      <c r="E625" s="3">
        <f t="shared" si="9"/>
        <v>11</v>
      </c>
    </row>
    <row r="626" spans="1:5" x14ac:dyDescent="0.2">
      <c r="A626">
        <v>4</v>
      </c>
      <c r="B626" t="s">
        <v>39</v>
      </c>
      <c r="C626">
        <v>0</v>
      </c>
      <c r="D626">
        <v>4</v>
      </c>
      <c r="E626" s="3">
        <f t="shared" si="9"/>
        <v>11</v>
      </c>
    </row>
    <row r="627" spans="1:5" x14ac:dyDescent="0.2">
      <c r="A627">
        <v>5</v>
      </c>
      <c r="B627" t="s">
        <v>33</v>
      </c>
      <c r="C627">
        <v>1</v>
      </c>
      <c r="D627">
        <v>2</v>
      </c>
      <c r="E627" s="3">
        <f t="shared" si="9"/>
        <v>11</v>
      </c>
    </row>
    <row r="628" spans="1:5" x14ac:dyDescent="0.2">
      <c r="A628">
        <v>6</v>
      </c>
      <c r="B628" t="s">
        <v>40</v>
      </c>
      <c r="C628">
        <v>0</v>
      </c>
      <c r="D628">
        <v>1</v>
      </c>
      <c r="E628" s="3">
        <f t="shared" si="9"/>
        <v>11</v>
      </c>
    </row>
    <row r="629" spans="1:5" x14ac:dyDescent="0.2">
      <c r="A629">
        <v>7</v>
      </c>
      <c r="B629" s="2" t="s">
        <v>10</v>
      </c>
      <c r="C629" s="2" t="s">
        <v>10</v>
      </c>
      <c r="D629" s="2" t="s">
        <v>10</v>
      </c>
      <c r="E629" s="3">
        <f t="shared" si="9"/>
        <v>11</v>
      </c>
    </row>
    <row r="630" spans="1:5" x14ac:dyDescent="0.2">
      <c r="A630">
        <v>8</v>
      </c>
      <c r="B630" s="2" t="s">
        <v>10</v>
      </c>
      <c r="C630" s="2" t="s">
        <v>10</v>
      </c>
      <c r="D630" s="2" t="s">
        <v>10</v>
      </c>
      <c r="E630" s="3">
        <f t="shared" si="9"/>
        <v>11</v>
      </c>
    </row>
    <row r="631" spans="1:5" x14ac:dyDescent="0.2">
      <c r="A631" s="1" t="s">
        <v>17</v>
      </c>
      <c r="E631" s="3">
        <f t="shared" si="9"/>
        <v>11</v>
      </c>
    </row>
    <row r="632" spans="1:5" x14ac:dyDescent="0.2">
      <c r="A632" s="1" t="s">
        <v>1</v>
      </c>
      <c r="B632" s="1" t="s">
        <v>2</v>
      </c>
      <c r="C632" s="1" t="s">
        <v>3</v>
      </c>
      <c r="D632" s="1" t="s">
        <v>4</v>
      </c>
      <c r="E632" s="3">
        <f t="shared" si="9"/>
        <v>11</v>
      </c>
    </row>
    <row r="633" spans="1:5" x14ac:dyDescent="0.2">
      <c r="A633">
        <v>1</v>
      </c>
      <c r="B633" t="s">
        <v>377</v>
      </c>
      <c r="C633">
        <v>2</v>
      </c>
      <c r="D633">
        <v>16</v>
      </c>
      <c r="E633" s="3">
        <f t="shared" si="9"/>
        <v>11</v>
      </c>
    </row>
    <row r="634" spans="1:5" x14ac:dyDescent="0.2">
      <c r="A634">
        <v>2</v>
      </c>
      <c r="B634" t="s">
        <v>76</v>
      </c>
      <c r="C634">
        <v>3</v>
      </c>
      <c r="D634">
        <v>12</v>
      </c>
      <c r="E634" s="3">
        <f t="shared" si="9"/>
        <v>11</v>
      </c>
    </row>
    <row r="635" spans="1:5" x14ac:dyDescent="0.2">
      <c r="A635">
        <v>3</v>
      </c>
      <c r="B635" t="s">
        <v>59</v>
      </c>
      <c r="C635">
        <v>0</v>
      </c>
      <c r="D635">
        <v>8</v>
      </c>
      <c r="E635" s="3">
        <f t="shared" si="9"/>
        <v>11</v>
      </c>
    </row>
    <row r="636" spans="1:5" x14ac:dyDescent="0.2">
      <c r="A636">
        <v>4</v>
      </c>
      <c r="B636" t="s">
        <v>35</v>
      </c>
      <c r="C636">
        <v>0</v>
      </c>
      <c r="D636">
        <v>4</v>
      </c>
      <c r="E636" s="3">
        <f t="shared" si="9"/>
        <v>11</v>
      </c>
    </row>
    <row r="637" spans="1:5" x14ac:dyDescent="0.2">
      <c r="A637">
        <v>5</v>
      </c>
      <c r="B637" t="s">
        <v>8</v>
      </c>
      <c r="C637">
        <v>0</v>
      </c>
      <c r="D637">
        <v>2</v>
      </c>
      <c r="E637" s="3">
        <f t="shared" si="9"/>
        <v>11</v>
      </c>
    </row>
    <row r="638" spans="1:5" x14ac:dyDescent="0.2">
      <c r="A638">
        <v>6</v>
      </c>
      <c r="B638" t="s">
        <v>19</v>
      </c>
      <c r="C638">
        <v>0</v>
      </c>
      <c r="D638">
        <v>1</v>
      </c>
      <c r="E638" s="3">
        <f t="shared" si="9"/>
        <v>11</v>
      </c>
    </row>
    <row r="639" spans="1:5" x14ac:dyDescent="0.2">
      <c r="A639">
        <v>7</v>
      </c>
      <c r="B639" s="2" t="s">
        <v>10</v>
      </c>
      <c r="C639" s="2" t="s">
        <v>10</v>
      </c>
      <c r="D639" s="2" t="s">
        <v>10</v>
      </c>
      <c r="E639" s="3">
        <f t="shared" si="9"/>
        <v>11</v>
      </c>
    </row>
    <row r="640" spans="1:5" x14ac:dyDescent="0.2">
      <c r="A640">
        <v>8</v>
      </c>
      <c r="B640" s="2" t="s">
        <v>10</v>
      </c>
      <c r="C640" s="2" t="s">
        <v>10</v>
      </c>
      <c r="D640" s="2" t="s">
        <v>10</v>
      </c>
      <c r="E640" s="3">
        <f t="shared" si="9"/>
        <v>11</v>
      </c>
    </row>
    <row r="641" spans="1:5" x14ac:dyDescent="0.2">
      <c r="A641" s="1" t="s">
        <v>24</v>
      </c>
      <c r="E641" s="3">
        <f t="shared" si="9"/>
        <v>11</v>
      </c>
    </row>
    <row r="642" spans="1:5" x14ac:dyDescent="0.2">
      <c r="A642" s="1" t="s">
        <v>1</v>
      </c>
      <c r="B642" s="1" t="s">
        <v>2</v>
      </c>
      <c r="C642" s="1" t="s">
        <v>3</v>
      </c>
      <c r="D642" s="1" t="s">
        <v>4</v>
      </c>
      <c r="E642" s="3">
        <f t="shared" si="9"/>
        <v>11</v>
      </c>
    </row>
    <row r="643" spans="1:5" x14ac:dyDescent="0.2">
      <c r="A643">
        <v>1</v>
      </c>
      <c r="B643" t="s">
        <v>12</v>
      </c>
      <c r="C643">
        <v>3</v>
      </c>
      <c r="D643">
        <v>15</v>
      </c>
      <c r="E643" s="3">
        <f t="shared" si="9"/>
        <v>11</v>
      </c>
    </row>
    <row r="644" spans="1:5" x14ac:dyDescent="0.2">
      <c r="A644">
        <v>2</v>
      </c>
      <c r="B644" t="s">
        <v>32</v>
      </c>
      <c r="C644">
        <v>0</v>
      </c>
      <c r="D644">
        <v>11</v>
      </c>
      <c r="E644" s="3">
        <f t="shared" si="9"/>
        <v>11</v>
      </c>
    </row>
    <row r="645" spans="1:5" x14ac:dyDescent="0.2">
      <c r="A645">
        <v>3</v>
      </c>
      <c r="B645" t="s">
        <v>345</v>
      </c>
      <c r="C645">
        <v>1</v>
      </c>
      <c r="D645">
        <v>7</v>
      </c>
      <c r="E645" s="3">
        <f t="shared" si="9"/>
        <v>11</v>
      </c>
    </row>
    <row r="646" spans="1:5" x14ac:dyDescent="0.2">
      <c r="A646">
        <v>4</v>
      </c>
      <c r="B646" t="s">
        <v>54</v>
      </c>
      <c r="C646">
        <v>0</v>
      </c>
      <c r="D646">
        <v>3</v>
      </c>
      <c r="E646" s="3">
        <f t="shared" si="9"/>
        <v>11</v>
      </c>
    </row>
    <row r="647" spans="1:5" x14ac:dyDescent="0.2">
      <c r="A647">
        <v>5</v>
      </c>
      <c r="B647" t="s">
        <v>25</v>
      </c>
      <c r="C647">
        <v>0</v>
      </c>
      <c r="D647">
        <v>1</v>
      </c>
      <c r="E647" s="3">
        <f t="shared" si="9"/>
        <v>11</v>
      </c>
    </row>
    <row r="648" spans="1:5" x14ac:dyDescent="0.2">
      <c r="A648">
        <v>6</v>
      </c>
      <c r="B648" s="2" t="s">
        <v>10</v>
      </c>
      <c r="C648" s="2" t="s">
        <v>10</v>
      </c>
      <c r="D648" s="2" t="s">
        <v>10</v>
      </c>
      <c r="E648" s="3">
        <f t="shared" si="9"/>
        <v>11</v>
      </c>
    </row>
    <row r="649" spans="1:5" x14ac:dyDescent="0.2">
      <c r="A649">
        <v>7</v>
      </c>
      <c r="B649" s="2" t="s">
        <v>10</v>
      </c>
      <c r="C649" s="2" t="s">
        <v>10</v>
      </c>
      <c r="D649" s="2" t="s">
        <v>10</v>
      </c>
      <c r="E649" s="3">
        <f t="shared" si="9"/>
        <v>11</v>
      </c>
    </row>
    <row r="650" spans="1:5" x14ac:dyDescent="0.2">
      <c r="A650">
        <v>8</v>
      </c>
      <c r="B650" s="2" t="s">
        <v>10</v>
      </c>
      <c r="C650" s="2" t="s">
        <v>10</v>
      </c>
      <c r="D650" s="2" t="s">
        <v>10</v>
      </c>
      <c r="E650" s="3">
        <f t="shared" si="9"/>
        <v>11</v>
      </c>
    </row>
    <row r="651" spans="1:5" x14ac:dyDescent="0.2">
      <c r="A651" s="1" t="s">
        <v>30</v>
      </c>
      <c r="E651" s="3">
        <f t="shared" si="9"/>
        <v>11</v>
      </c>
    </row>
    <row r="652" spans="1:5" x14ac:dyDescent="0.2">
      <c r="A652" s="1" t="s">
        <v>1</v>
      </c>
      <c r="B652" s="1" t="s">
        <v>2</v>
      </c>
      <c r="C652" s="1" t="s">
        <v>3</v>
      </c>
      <c r="D652" s="1" t="s">
        <v>4</v>
      </c>
      <c r="E652" s="3">
        <f t="shared" si="9"/>
        <v>11</v>
      </c>
    </row>
    <row r="653" spans="1:5" x14ac:dyDescent="0.2">
      <c r="A653">
        <v>1</v>
      </c>
      <c r="B653" t="s">
        <v>23</v>
      </c>
      <c r="C653">
        <v>3</v>
      </c>
      <c r="D653">
        <v>15</v>
      </c>
      <c r="E653" s="3">
        <f t="shared" si="9"/>
        <v>11</v>
      </c>
    </row>
    <row r="654" spans="1:5" x14ac:dyDescent="0.2">
      <c r="A654">
        <v>2</v>
      </c>
      <c r="B654" t="s">
        <v>53</v>
      </c>
      <c r="C654">
        <v>0</v>
      </c>
      <c r="D654">
        <v>11</v>
      </c>
      <c r="E654" s="3">
        <f t="shared" si="9"/>
        <v>11</v>
      </c>
    </row>
    <row r="655" spans="1:5" x14ac:dyDescent="0.2">
      <c r="A655">
        <v>3</v>
      </c>
      <c r="B655" t="s">
        <v>41</v>
      </c>
      <c r="C655">
        <v>1</v>
      </c>
      <c r="D655">
        <v>7</v>
      </c>
      <c r="E655" s="3">
        <f t="shared" si="9"/>
        <v>11</v>
      </c>
    </row>
    <row r="656" spans="1:5" x14ac:dyDescent="0.2">
      <c r="A656">
        <v>4</v>
      </c>
      <c r="B656" t="s">
        <v>102</v>
      </c>
      <c r="C656">
        <v>0</v>
      </c>
      <c r="D656">
        <v>3</v>
      </c>
      <c r="E656" s="3">
        <f t="shared" si="9"/>
        <v>11</v>
      </c>
    </row>
    <row r="657" spans="1:5" x14ac:dyDescent="0.2">
      <c r="A657">
        <v>5</v>
      </c>
      <c r="B657" t="s">
        <v>6</v>
      </c>
      <c r="C657">
        <v>0</v>
      </c>
      <c r="D657">
        <v>1</v>
      </c>
      <c r="E657" s="3">
        <f t="shared" si="9"/>
        <v>11</v>
      </c>
    </row>
    <row r="658" spans="1:5" x14ac:dyDescent="0.2">
      <c r="A658">
        <v>6</v>
      </c>
      <c r="B658" s="2" t="s">
        <v>10</v>
      </c>
      <c r="C658" s="2" t="s">
        <v>10</v>
      </c>
      <c r="D658" s="2" t="s">
        <v>10</v>
      </c>
      <c r="E658" s="3">
        <f t="shared" si="9"/>
        <v>11</v>
      </c>
    </row>
    <row r="659" spans="1:5" x14ac:dyDescent="0.2">
      <c r="A659">
        <v>7</v>
      </c>
      <c r="B659" s="2" t="s">
        <v>10</v>
      </c>
      <c r="C659" s="2" t="s">
        <v>10</v>
      </c>
      <c r="D659" s="2" t="s">
        <v>10</v>
      </c>
      <c r="E659" s="3">
        <f t="shared" si="9"/>
        <v>11</v>
      </c>
    </row>
    <row r="660" spans="1:5" x14ac:dyDescent="0.2">
      <c r="A660">
        <v>8</v>
      </c>
      <c r="B660" s="2" t="s">
        <v>10</v>
      </c>
      <c r="C660" s="2" t="s">
        <v>10</v>
      </c>
      <c r="D660" s="2" t="s">
        <v>10</v>
      </c>
      <c r="E660" s="3">
        <f t="shared" si="9"/>
        <v>11</v>
      </c>
    </row>
    <row r="661" spans="1:5" x14ac:dyDescent="0.2">
      <c r="A661" s="1" t="s">
        <v>37</v>
      </c>
      <c r="E661" s="3">
        <f t="shared" si="9"/>
        <v>11</v>
      </c>
    </row>
    <row r="662" spans="1:5" x14ac:dyDescent="0.2">
      <c r="A662" s="1" t="s">
        <v>1</v>
      </c>
      <c r="B662" s="1" t="s">
        <v>2</v>
      </c>
      <c r="C662" s="1" t="s">
        <v>3</v>
      </c>
      <c r="D662" s="1" t="s">
        <v>4</v>
      </c>
      <c r="E662" s="3">
        <f t="shared" si="9"/>
        <v>11</v>
      </c>
    </row>
    <row r="663" spans="1:5" x14ac:dyDescent="0.2">
      <c r="A663">
        <v>1</v>
      </c>
      <c r="B663" t="s">
        <v>15</v>
      </c>
      <c r="C663">
        <v>1</v>
      </c>
      <c r="D663">
        <v>15</v>
      </c>
      <c r="E663" s="3">
        <f t="shared" si="9"/>
        <v>11</v>
      </c>
    </row>
    <row r="664" spans="1:5" x14ac:dyDescent="0.2">
      <c r="A664">
        <v>2</v>
      </c>
      <c r="B664" t="s">
        <v>43</v>
      </c>
      <c r="C664">
        <v>3</v>
      </c>
      <c r="D664">
        <v>11</v>
      </c>
      <c r="E664" s="3">
        <f t="shared" si="9"/>
        <v>11</v>
      </c>
    </row>
    <row r="665" spans="1:5" x14ac:dyDescent="0.2">
      <c r="A665">
        <v>3</v>
      </c>
      <c r="B665" t="s">
        <v>96</v>
      </c>
      <c r="C665">
        <v>0</v>
      </c>
      <c r="D665">
        <v>7</v>
      </c>
      <c r="E665" s="3">
        <f t="shared" si="9"/>
        <v>11</v>
      </c>
    </row>
    <row r="666" spans="1:5" x14ac:dyDescent="0.2">
      <c r="A666">
        <v>4</v>
      </c>
      <c r="B666" t="s">
        <v>73</v>
      </c>
      <c r="C666">
        <v>0</v>
      </c>
      <c r="D666">
        <v>3</v>
      </c>
      <c r="E666" s="3">
        <f t="shared" si="9"/>
        <v>11</v>
      </c>
    </row>
    <row r="667" spans="1:5" x14ac:dyDescent="0.2">
      <c r="A667">
        <v>5</v>
      </c>
      <c r="B667" t="s">
        <v>45</v>
      </c>
      <c r="C667">
        <v>0</v>
      </c>
      <c r="D667">
        <v>1</v>
      </c>
      <c r="E667" s="3">
        <f t="shared" si="9"/>
        <v>11</v>
      </c>
    </row>
    <row r="668" spans="1:5" x14ac:dyDescent="0.2">
      <c r="A668" s="1" t="s">
        <v>0</v>
      </c>
      <c r="E668" s="3">
        <f t="shared" si="9"/>
        <v>12</v>
      </c>
    </row>
    <row r="669" spans="1:5" x14ac:dyDescent="0.2">
      <c r="A669" s="1" t="s">
        <v>1</v>
      </c>
      <c r="B669" s="1" t="s">
        <v>2</v>
      </c>
      <c r="C669" s="1" t="s">
        <v>3</v>
      </c>
      <c r="D669" s="1" t="s">
        <v>4</v>
      </c>
      <c r="E669" s="3">
        <f t="shared" si="9"/>
        <v>12</v>
      </c>
    </row>
    <row r="670" spans="1:5" x14ac:dyDescent="0.2">
      <c r="A670">
        <v>1</v>
      </c>
      <c r="B670" t="s">
        <v>15</v>
      </c>
      <c r="C670">
        <v>3</v>
      </c>
      <c r="D670">
        <v>16</v>
      </c>
      <c r="E670" s="3">
        <f t="shared" si="9"/>
        <v>12</v>
      </c>
    </row>
    <row r="671" spans="1:5" x14ac:dyDescent="0.2">
      <c r="A671">
        <v>2</v>
      </c>
      <c r="B671" t="s">
        <v>377</v>
      </c>
      <c r="C671">
        <v>0</v>
      </c>
      <c r="D671">
        <v>12</v>
      </c>
      <c r="E671" s="3">
        <f t="shared" si="9"/>
        <v>12</v>
      </c>
    </row>
    <row r="672" spans="1:5" x14ac:dyDescent="0.2">
      <c r="A672">
        <v>3</v>
      </c>
      <c r="B672" t="s">
        <v>6</v>
      </c>
      <c r="C672">
        <v>1</v>
      </c>
      <c r="D672">
        <v>8</v>
      </c>
      <c r="E672" s="3">
        <f t="shared" ref="E672:E735" si="10">IF(A672=$A$1,E671+1,E671)</f>
        <v>12</v>
      </c>
    </row>
    <row r="673" spans="1:5" x14ac:dyDescent="0.2">
      <c r="A673">
        <v>4</v>
      </c>
      <c r="B673" t="s">
        <v>14</v>
      </c>
      <c r="C673">
        <v>1</v>
      </c>
      <c r="D673">
        <v>4</v>
      </c>
      <c r="E673" s="3">
        <f t="shared" si="10"/>
        <v>12</v>
      </c>
    </row>
    <row r="674" spans="1:5" x14ac:dyDescent="0.2">
      <c r="A674">
        <v>5</v>
      </c>
      <c r="B674" t="s">
        <v>12</v>
      </c>
      <c r="C674">
        <v>0</v>
      </c>
      <c r="D674">
        <v>2</v>
      </c>
      <c r="E674" s="3">
        <f t="shared" si="10"/>
        <v>12</v>
      </c>
    </row>
    <row r="675" spans="1:5" x14ac:dyDescent="0.2">
      <c r="A675">
        <v>6</v>
      </c>
      <c r="B675" t="s">
        <v>68</v>
      </c>
      <c r="C675">
        <v>0</v>
      </c>
      <c r="D675">
        <v>1</v>
      </c>
      <c r="E675" s="3">
        <f t="shared" si="10"/>
        <v>12</v>
      </c>
    </row>
    <row r="676" spans="1:5" x14ac:dyDescent="0.2">
      <c r="A676">
        <v>7</v>
      </c>
      <c r="B676" s="2" t="s">
        <v>10</v>
      </c>
      <c r="C676" s="2" t="s">
        <v>10</v>
      </c>
      <c r="D676" s="2" t="s">
        <v>10</v>
      </c>
      <c r="E676" s="3">
        <f t="shared" si="10"/>
        <v>12</v>
      </c>
    </row>
    <row r="677" spans="1:5" x14ac:dyDescent="0.2">
      <c r="A677">
        <v>8</v>
      </c>
      <c r="B677" s="2" t="s">
        <v>10</v>
      </c>
      <c r="C677" s="2" t="s">
        <v>10</v>
      </c>
      <c r="D677" s="2" t="s">
        <v>10</v>
      </c>
      <c r="E677" s="3">
        <f t="shared" si="10"/>
        <v>12</v>
      </c>
    </row>
    <row r="678" spans="1:5" x14ac:dyDescent="0.2">
      <c r="A678" s="1" t="s">
        <v>11</v>
      </c>
      <c r="E678" s="3">
        <f t="shared" si="10"/>
        <v>12</v>
      </c>
    </row>
    <row r="679" spans="1:5" x14ac:dyDescent="0.2">
      <c r="A679" s="1" t="s">
        <v>1</v>
      </c>
      <c r="B679" s="1" t="s">
        <v>2</v>
      </c>
      <c r="C679" s="1" t="s">
        <v>3</v>
      </c>
      <c r="D679" s="1" t="s">
        <v>4</v>
      </c>
      <c r="E679" s="3">
        <f t="shared" si="10"/>
        <v>12</v>
      </c>
    </row>
    <row r="680" spans="1:5" x14ac:dyDescent="0.2">
      <c r="A680">
        <v>1</v>
      </c>
      <c r="B680" t="s">
        <v>23</v>
      </c>
      <c r="C680">
        <v>2</v>
      </c>
      <c r="D680">
        <v>16</v>
      </c>
      <c r="E680" s="3">
        <f t="shared" si="10"/>
        <v>12</v>
      </c>
    </row>
    <row r="681" spans="1:5" x14ac:dyDescent="0.2">
      <c r="A681">
        <v>2</v>
      </c>
      <c r="B681" t="s">
        <v>39</v>
      </c>
      <c r="C681">
        <v>1</v>
      </c>
      <c r="D681">
        <v>12</v>
      </c>
      <c r="E681" s="3">
        <f t="shared" si="10"/>
        <v>12</v>
      </c>
    </row>
    <row r="682" spans="1:5" x14ac:dyDescent="0.2">
      <c r="A682">
        <v>3</v>
      </c>
      <c r="B682" t="s">
        <v>66</v>
      </c>
      <c r="C682">
        <v>2</v>
      </c>
      <c r="D682">
        <v>8</v>
      </c>
      <c r="E682" s="3">
        <f t="shared" si="10"/>
        <v>12</v>
      </c>
    </row>
    <row r="683" spans="1:5" x14ac:dyDescent="0.2">
      <c r="A683">
        <v>4</v>
      </c>
      <c r="B683" t="s">
        <v>75</v>
      </c>
      <c r="C683">
        <v>0</v>
      </c>
      <c r="D683">
        <v>4</v>
      </c>
      <c r="E683" s="3">
        <f t="shared" si="10"/>
        <v>12</v>
      </c>
    </row>
    <row r="684" spans="1:5" x14ac:dyDescent="0.2">
      <c r="A684">
        <v>5</v>
      </c>
      <c r="B684" t="s">
        <v>33</v>
      </c>
      <c r="C684">
        <v>0</v>
      </c>
      <c r="D684">
        <v>2</v>
      </c>
      <c r="E684" s="3">
        <f t="shared" si="10"/>
        <v>12</v>
      </c>
    </row>
    <row r="685" spans="1:5" x14ac:dyDescent="0.2">
      <c r="A685">
        <v>6</v>
      </c>
      <c r="B685" t="s">
        <v>305</v>
      </c>
      <c r="C685">
        <v>0</v>
      </c>
      <c r="D685">
        <v>1</v>
      </c>
      <c r="E685" s="3">
        <f t="shared" si="10"/>
        <v>12</v>
      </c>
    </row>
    <row r="686" spans="1:5" x14ac:dyDescent="0.2">
      <c r="A686">
        <v>7</v>
      </c>
      <c r="B686" s="2" t="s">
        <v>10</v>
      </c>
      <c r="C686" s="2" t="s">
        <v>10</v>
      </c>
      <c r="D686" s="2" t="s">
        <v>10</v>
      </c>
      <c r="E686" s="3">
        <f t="shared" si="10"/>
        <v>12</v>
      </c>
    </row>
    <row r="687" spans="1:5" x14ac:dyDescent="0.2">
      <c r="A687">
        <v>8</v>
      </c>
      <c r="B687" s="2" t="s">
        <v>10</v>
      </c>
      <c r="C687" s="2" t="s">
        <v>10</v>
      </c>
      <c r="D687" s="2" t="s">
        <v>10</v>
      </c>
      <c r="E687" s="3">
        <f t="shared" si="10"/>
        <v>12</v>
      </c>
    </row>
    <row r="688" spans="1:5" x14ac:dyDescent="0.2">
      <c r="A688" s="1" t="s">
        <v>17</v>
      </c>
      <c r="E688" s="3">
        <f t="shared" si="10"/>
        <v>12</v>
      </c>
    </row>
    <row r="689" spans="1:5" x14ac:dyDescent="0.2">
      <c r="A689" s="1" t="s">
        <v>1</v>
      </c>
      <c r="B689" s="1" t="s">
        <v>2</v>
      </c>
      <c r="C689" s="1" t="s">
        <v>3</v>
      </c>
      <c r="D689" s="1" t="s">
        <v>4</v>
      </c>
      <c r="E689" s="3">
        <f t="shared" si="10"/>
        <v>12</v>
      </c>
    </row>
    <row r="690" spans="1:5" x14ac:dyDescent="0.2">
      <c r="A690">
        <v>1</v>
      </c>
      <c r="B690" t="s">
        <v>54</v>
      </c>
      <c r="C690">
        <v>1</v>
      </c>
      <c r="D690">
        <v>17</v>
      </c>
      <c r="E690" s="3">
        <f t="shared" si="10"/>
        <v>12</v>
      </c>
    </row>
    <row r="691" spans="1:5" x14ac:dyDescent="0.2">
      <c r="A691">
        <v>2</v>
      </c>
      <c r="B691" t="s">
        <v>48</v>
      </c>
      <c r="C691">
        <v>5</v>
      </c>
      <c r="D691">
        <v>13</v>
      </c>
      <c r="E691" s="3">
        <f t="shared" si="10"/>
        <v>12</v>
      </c>
    </row>
    <row r="692" spans="1:5" x14ac:dyDescent="0.2">
      <c r="A692">
        <v>3</v>
      </c>
      <c r="B692" t="s">
        <v>60</v>
      </c>
      <c r="C692">
        <v>0</v>
      </c>
      <c r="D692">
        <v>9</v>
      </c>
      <c r="E692" s="3">
        <f t="shared" si="10"/>
        <v>12</v>
      </c>
    </row>
    <row r="693" spans="1:5" x14ac:dyDescent="0.2">
      <c r="A693">
        <v>4</v>
      </c>
      <c r="B693" t="s">
        <v>35</v>
      </c>
      <c r="C693">
        <v>0</v>
      </c>
      <c r="D693">
        <v>5</v>
      </c>
      <c r="E693" s="3">
        <f t="shared" si="10"/>
        <v>12</v>
      </c>
    </row>
    <row r="694" spans="1:5" x14ac:dyDescent="0.2">
      <c r="A694">
        <v>5</v>
      </c>
      <c r="B694" t="s">
        <v>61</v>
      </c>
      <c r="C694">
        <v>0</v>
      </c>
      <c r="D694">
        <v>3</v>
      </c>
      <c r="E694" s="3">
        <f t="shared" si="10"/>
        <v>12</v>
      </c>
    </row>
    <row r="695" spans="1:5" x14ac:dyDescent="0.2">
      <c r="A695">
        <v>6</v>
      </c>
      <c r="B695" t="s">
        <v>76</v>
      </c>
      <c r="C695">
        <v>0</v>
      </c>
      <c r="D695">
        <v>2</v>
      </c>
      <c r="E695" s="3">
        <f t="shared" si="10"/>
        <v>12</v>
      </c>
    </row>
    <row r="696" spans="1:5" x14ac:dyDescent="0.2">
      <c r="A696">
        <v>7</v>
      </c>
      <c r="B696" t="s">
        <v>25</v>
      </c>
      <c r="C696">
        <v>0</v>
      </c>
      <c r="D696">
        <v>1</v>
      </c>
      <c r="E696" s="3">
        <f t="shared" si="10"/>
        <v>12</v>
      </c>
    </row>
    <row r="697" spans="1:5" x14ac:dyDescent="0.2">
      <c r="A697">
        <v>8</v>
      </c>
      <c r="B697" s="2" t="s">
        <v>10</v>
      </c>
      <c r="C697" s="2" t="s">
        <v>10</v>
      </c>
      <c r="D697" s="2" t="s">
        <v>10</v>
      </c>
      <c r="E697" s="3">
        <f t="shared" si="10"/>
        <v>12</v>
      </c>
    </row>
    <row r="698" spans="1:5" x14ac:dyDescent="0.2">
      <c r="A698" s="1" t="s">
        <v>24</v>
      </c>
      <c r="E698" s="3">
        <f t="shared" si="10"/>
        <v>12</v>
      </c>
    </row>
    <row r="699" spans="1:5" x14ac:dyDescent="0.2">
      <c r="A699" s="1" t="s">
        <v>1</v>
      </c>
      <c r="B699" s="1" t="s">
        <v>2</v>
      </c>
      <c r="C699" s="1" t="s">
        <v>3</v>
      </c>
      <c r="D699" s="1" t="s">
        <v>4</v>
      </c>
      <c r="E699" s="3">
        <f t="shared" si="10"/>
        <v>12</v>
      </c>
    </row>
    <row r="700" spans="1:5" x14ac:dyDescent="0.2">
      <c r="A700">
        <v>1</v>
      </c>
      <c r="B700" t="s">
        <v>102</v>
      </c>
      <c r="C700">
        <v>3</v>
      </c>
      <c r="D700">
        <v>17</v>
      </c>
      <c r="E700" s="3">
        <f t="shared" si="10"/>
        <v>12</v>
      </c>
    </row>
    <row r="701" spans="1:5" x14ac:dyDescent="0.2">
      <c r="A701">
        <v>2</v>
      </c>
      <c r="B701" t="s">
        <v>69</v>
      </c>
      <c r="C701">
        <v>1</v>
      </c>
      <c r="D701">
        <v>13</v>
      </c>
      <c r="E701" s="3">
        <f t="shared" si="10"/>
        <v>12</v>
      </c>
    </row>
    <row r="702" spans="1:5" x14ac:dyDescent="0.2">
      <c r="A702">
        <v>3</v>
      </c>
      <c r="B702" t="s">
        <v>46</v>
      </c>
      <c r="C702">
        <v>1</v>
      </c>
      <c r="D702">
        <v>9</v>
      </c>
      <c r="E702" s="3">
        <f t="shared" si="10"/>
        <v>12</v>
      </c>
    </row>
    <row r="703" spans="1:5" x14ac:dyDescent="0.2">
      <c r="A703">
        <v>4</v>
      </c>
      <c r="B703" t="s">
        <v>45</v>
      </c>
      <c r="C703">
        <v>0</v>
      </c>
      <c r="D703">
        <v>5</v>
      </c>
      <c r="E703" s="3">
        <f t="shared" si="10"/>
        <v>12</v>
      </c>
    </row>
    <row r="704" spans="1:5" x14ac:dyDescent="0.2">
      <c r="A704">
        <v>5</v>
      </c>
      <c r="B704" t="s">
        <v>73</v>
      </c>
      <c r="C704">
        <v>1</v>
      </c>
      <c r="D704">
        <v>3</v>
      </c>
      <c r="E704" s="3">
        <f t="shared" si="10"/>
        <v>12</v>
      </c>
    </row>
    <row r="705" spans="1:5" x14ac:dyDescent="0.2">
      <c r="A705">
        <v>6</v>
      </c>
      <c r="B705" t="s">
        <v>59</v>
      </c>
      <c r="C705">
        <v>0</v>
      </c>
      <c r="D705">
        <v>2</v>
      </c>
      <c r="E705" s="3">
        <f t="shared" si="10"/>
        <v>12</v>
      </c>
    </row>
    <row r="706" spans="1:5" x14ac:dyDescent="0.2">
      <c r="A706">
        <v>7</v>
      </c>
      <c r="B706" t="s">
        <v>40</v>
      </c>
      <c r="C706">
        <v>0</v>
      </c>
      <c r="D706">
        <v>1</v>
      </c>
      <c r="E706" s="3">
        <f t="shared" si="10"/>
        <v>12</v>
      </c>
    </row>
    <row r="707" spans="1:5" x14ac:dyDescent="0.2">
      <c r="A707">
        <v>8</v>
      </c>
      <c r="B707" s="2" t="s">
        <v>10</v>
      </c>
      <c r="C707" s="2" t="s">
        <v>10</v>
      </c>
      <c r="D707" s="2" t="s">
        <v>10</v>
      </c>
      <c r="E707" s="3">
        <f t="shared" si="10"/>
        <v>12</v>
      </c>
    </row>
    <row r="708" spans="1:5" x14ac:dyDescent="0.2">
      <c r="A708" s="1" t="s">
        <v>30</v>
      </c>
      <c r="E708" s="3">
        <f t="shared" si="10"/>
        <v>12</v>
      </c>
    </row>
    <row r="709" spans="1:5" x14ac:dyDescent="0.2">
      <c r="A709" s="1" t="s">
        <v>1</v>
      </c>
      <c r="B709" s="1" t="s">
        <v>2</v>
      </c>
      <c r="C709" s="1" t="s">
        <v>3</v>
      </c>
      <c r="D709" s="1" t="s">
        <v>4</v>
      </c>
      <c r="E709" s="3">
        <f t="shared" si="10"/>
        <v>12</v>
      </c>
    </row>
    <row r="710" spans="1:5" x14ac:dyDescent="0.2">
      <c r="A710">
        <v>1</v>
      </c>
      <c r="B710" t="s">
        <v>19</v>
      </c>
      <c r="C710">
        <v>2</v>
      </c>
      <c r="D710">
        <v>17</v>
      </c>
      <c r="E710" s="3">
        <f t="shared" si="10"/>
        <v>12</v>
      </c>
    </row>
    <row r="711" spans="1:5" x14ac:dyDescent="0.2">
      <c r="A711">
        <v>2</v>
      </c>
      <c r="B711" t="s">
        <v>42</v>
      </c>
      <c r="C711">
        <v>2</v>
      </c>
      <c r="D711">
        <v>13</v>
      </c>
      <c r="E711" s="3">
        <f t="shared" si="10"/>
        <v>12</v>
      </c>
    </row>
    <row r="712" spans="1:5" x14ac:dyDescent="0.2">
      <c r="A712">
        <v>3</v>
      </c>
      <c r="B712" t="s">
        <v>21</v>
      </c>
      <c r="C712">
        <v>1</v>
      </c>
      <c r="D712">
        <v>9</v>
      </c>
      <c r="E712" s="3">
        <f t="shared" si="10"/>
        <v>12</v>
      </c>
    </row>
    <row r="713" spans="1:5" x14ac:dyDescent="0.2">
      <c r="A713">
        <v>4</v>
      </c>
      <c r="B713" t="s">
        <v>32</v>
      </c>
      <c r="C713">
        <v>1</v>
      </c>
      <c r="D713">
        <v>5</v>
      </c>
      <c r="E713" s="3">
        <f t="shared" si="10"/>
        <v>12</v>
      </c>
    </row>
    <row r="714" spans="1:5" x14ac:dyDescent="0.2">
      <c r="A714">
        <v>5</v>
      </c>
      <c r="B714" t="s">
        <v>92</v>
      </c>
      <c r="C714">
        <v>0</v>
      </c>
      <c r="D714">
        <v>3</v>
      </c>
      <c r="E714" s="3">
        <f t="shared" si="10"/>
        <v>12</v>
      </c>
    </row>
    <row r="715" spans="1:5" x14ac:dyDescent="0.2">
      <c r="A715">
        <v>6</v>
      </c>
      <c r="B715" t="s">
        <v>55</v>
      </c>
      <c r="C715">
        <v>0</v>
      </c>
      <c r="D715">
        <v>2</v>
      </c>
      <c r="E715" s="3">
        <f t="shared" si="10"/>
        <v>12</v>
      </c>
    </row>
    <row r="716" spans="1:5" x14ac:dyDescent="0.2">
      <c r="A716">
        <v>7</v>
      </c>
      <c r="B716" t="s">
        <v>26</v>
      </c>
      <c r="C716">
        <v>0</v>
      </c>
      <c r="D716">
        <v>1</v>
      </c>
      <c r="E716" s="3">
        <f t="shared" si="10"/>
        <v>12</v>
      </c>
    </row>
    <row r="717" spans="1:5" x14ac:dyDescent="0.2">
      <c r="A717" s="1" t="s">
        <v>0</v>
      </c>
      <c r="E717" s="3">
        <f t="shared" si="10"/>
        <v>13</v>
      </c>
    </row>
    <row r="718" spans="1:5" x14ac:dyDescent="0.2">
      <c r="A718" s="1" t="s">
        <v>1</v>
      </c>
      <c r="B718" s="1" t="s">
        <v>2</v>
      </c>
      <c r="C718" s="1" t="s">
        <v>3</v>
      </c>
      <c r="D718" s="1" t="s">
        <v>4</v>
      </c>
      <c r="E718" s="3">
        <f t="shared" si="10"/>
        <v>13</v>
      </c>
    </row>
    <row r="719" spans="1:5" x14ac:dyDescent="0.2">
      <c r="A719">
        <v>1</v>
      </c>
      <c r="B719" t="s">
        <v>345</v>
      </c>
      <c r="C719">
        <v>1</v>
      </c>
      <c r="D719">
        <v>15</v>
      </c>
      <c r="E719" s="3">
        <f t="shared" si="10"/>
        <v>13</v>
      </c>
    </row>
    <row r="720" spans="1:5" x14ac:dyDescent="0.2">
      <c r="A720">
        <v>2</v>
      </c>
      <c r="B720" t="s">
        <v>35</v>
      </c>
      <c r="C720">
        <v>1</v>
      </c>
      <c r="D720">
        <v>11</v>
      </c>
      <c r="E720" s="3">
        <f t="shared" si="10"/>
        <v>13</v>
      </c>
    </row>
    <row r="721" spans="1:5" x14ac:dyDescent="0.2">
      <c r="A721">
        <v>3</v>
      </c>
      <c r="B721" t="s">
        <v>25</v>
      </c>
      <c r="C721">
        <v>1</v>
      </c>
      <c r="D721">
        <v>7</v>
      </c>
      <c r="E721" s="3">
        <f t="shared" si="10"/>
        <v>13</v>
      </c>
    </row>
    <row r="722" spans="1:5" x14ac:dyDescent="0.2">
      <c r="A722">
        <v>4</v>
      </c>
      <c r="B722" t="s">
        <v>66</v>
      </c>
      <c r="C722">
        <v>1</v>
      </c>
      <c r="D722">
        <v>3</v>
      </c>
      <c r="E722" s="3">
        <f t="shared" si="10"/>
        <v>13</v>
      </c>
    </row>
    <row r="723" spans="1:5" x14ac:dyDescent="0.2">
      <c r="A723">
        <v>5</v>
      </c>
      <c r="B723" t="s">
        <v>102</v>
      </c>
      <c r="C723">
        <v>0</v>
      </c>
      <c r="D723">
        <v>1</v>
      </c>
      <c r="E723" s="3">
        <f t="shared" si="10"/>
        <v>13</v>
      </c>
    </row>
    <row r="724" spans="1:5" x14ac:dyDescent="0.2">
      <c r="A724">
        <v>6</v>
      </c>
      <c r="B724" s="2" t="s">
        <v>10</v>
      </c>
      <c r="C724" s="2" t="s">
        <v>10</v>
      </c>
      <c r="D724" s="2" t="s">
        <v>10</v>
      </c>
      <c r="E724" s="3">
        <f t="shared" si="10"/>
        <v>13</v>
      </c>
    </row>
    <row r="725" spans="1:5" x14ac:dyDescent="0.2">
      <c r="A725">
        <v>7</v>
      </c>
      <c r="B725" s="2" t="s">
        <v>10</v>
      </c>
      <c r="C725" s="2" t="s">
        <v>10</v>
      </c>
      <c r="D725" s="2" t="s">
        <v>10</v>
      </c>
      <c r="E725" s="3">
        <f t="shared" si="10"/>
        <v>13</v>
      </c>
    </row>
    <row r="726" spans="1:5" x14ac:dyDescent="0.2">
      <c r="A726">
        <v>8</v>
      </c>
      <c r="B726" s="2" t="s">
        <v>10</v>
      </c>
      <c r="C726" s="2" t="s">
        <v>10</v>
      </c>
      <c r="D726" s="2" t="s">
        <v>10</v>
      </c>
      <c r="E726" s="3">
        <f t="shared" si="10"/>
        <v>13</v>
      </c>
    </row>
    <row r="727" spans="1:5" x14ac:dyDescent="0.2">
      <c r="A727" s="1" t="s">
        <v>11</v>
      </c>
      <c r="E727" s="3">
        <f t="shared" si="10"/>
        <v>13</v>
      </c>
    </row>
    <row r="728" spans="1:5" x14ac:dyDescent="0.2">
      <c r="A728" s="1" t="s">
        <v>1</v>
      </c>
      <c r="B728" s="1" t="s">
        <v>2</v>
      </c>
      <c r="C728" s="1" t="s">
        <v>3</v>
      </c>
      <c r="D728" s="1" t="s">
        <v>4</v>
      </c>
      <c r="E728" s="3">
        <f t="shared" si="10"/>
        <v>13</v>
      </c>
    </row>
    <row r="729" spans="1:5" x14ac:dyDescent="0.2">
      <c r="A729">
        <v>1</v>
      </c>
      <c r="B729" t="s">
        <v>73</v>
      </c>
      <c r="C729">
        <v>3</v>
      </c>
      <c r="D729">
        <v>16</v>
      </c>
      <c r="E729" s="3">
        <f t="shared" si="10"/>
        <v>13</v>
      </c>
    </row>
    <row r="730" spans="1:5" x14ac:dyDescent="0.2">
      <c r="A730">
        <v>2</v>
      </c>
      <c r="B730" t="s">
        <v>377</v>
      </c>
      <c r="C730">
        <v>0</v>
      </c>
      <c r="D730">
        <v>12</v>
      </c>
      <c r="E730" s="3">
        <f t="shared" si="10"/>
        <v>13</v>
      </c>
    </row>
    <row r="731" spans="1:5" x14ac:dyDescent="0.2">
      <c r="A731">
        <v>3</v>
      </c>
      <c r="B731" t="s">
        <v>32</v>
      </c>
      <c r="C731">
        <v>0</v>
      </c>
      <c r="D731">
        <v>8</v>
      </c>
      <c r="E731" s="3">
        <f t="shared" si="10"/>
        <v>13</v>
      </c>
    </row>
    <row r="732" spans="1:5" x14ac:dyDescent="0.2">
      <c r="A732">
        <v>4</v>
      </c>
      <c r="B732" t="s">
        <v>40</v>
      </c>
      <c r="C732">
        <v>2</v>
      </c>
      <c r="D732">
        <v>4</v>
      </c>
      <c r="E732" s="3">
        <f t="shared" si="10"/>
        <v>13</v>
      </c>
    </row>
    <row r="733" spans="1:5" x14ac:dyDescent="0.2">
      <c r="A733">
        <v>5</v>
      </c>
      <c r="B733" t="s">
        <v>23</v>
      </c>
      <c r="C733">
        <v>0</v>
      </c>
      <c r="D733">
        <v>2</v>
      </c>
      <c r="E733" s="3">
        <f t="shared" si="10"/>
        <v>13</v>
      </c>
    </row>
    <row r="734" spans="1:5" x14ac:dyDescent="0.2">
      <c r="A734">
        <v>6</v>
      </c>
      <c r="B734" t="s">
        <v>81</v>
      </c>
      <c r="C734">
        <v>0</v>
      </c>
      <c r="D734">
        <v>1</v>
      </c>
      <c r="E734" s="3">
        <f t="shared" si="10"/>
        <v>13</v>
      </c>
    </row>
    <row r="735" spans="1:5" x14ac:dyDescent="0.2">
      <c r="A735">
        <v>7</v>
      </c>
      <c r="B735" s="2" t="s">
        <v>10</v>
      </c>
      <c r="C735" s="2" t="s">
        <v>10</v>
      </c>
      <c r="D735" s="2" t="s">
        <v>10</v>
      </c>
      <c r="E735" s="3">
        <f t="shared" si="10"/>
        <v>13</v>
      </c>
    </row>
    <row r="736" spans="1:5" x14ac:dyDescent="0.2">
      <c r="A736">
        <v>8</v>
      </c>
      <c r="B736" s="2" t="s">
        <v>10</v>
      </c>
      <c r="C736" s="2" t="s">
        <v>10</v>
      </c>
      <c r="D736" s="2" t="s">
        <v>10</v>
      </c>
      <c r="E736" s="3">
        <f t="shared" ref="E736:E799" si="11">IF(A736=$A$1,E735+1,E735)</f>
        <v>13</v>
      </c>
    </row>
    <row r="737" spans="1:5" x14ac:dyDescent="0.2">
      <c r="A737" s="1" t="s">
        <v>17</v>
      </c>
      <c r="E737" s="3">
        <f t="shared" si="11"/>
        <v>13</v>
      </c>
    </row>
    <row r="738" spans="1:5" x14ac:dyDescent="0.2">
      <c r="A738" s="1" t="s">
        <v>1</v>
      </c>
      <c r="B738" s="1" t="s">
        <v>2</v>
      </c>
      <c r="C738" s="1" t="s">
        <v>3</v>
      </c>
      <c r="D738" s="1" t="s">
        <v>4</v>
      </c>
      <c r="E738" s="3">
        <f t="shared" si="11"/>
        <v>13</v>
      </c>
    </row>
    <row r="739" spans="1:5" x14ac:dyDescent="0.2">
      <c r="A739">
        <v>1</v>
      </c>
      <c r="B739" t="s">
        <v>61</v>
      </c>
      <c r="C739">
        <v>3</v>
      </c>
      <c r="D739">
        <v>15</v>
      </c>
      <c r="E739" s="3">
        <f t="shared" si="11"/>
        <v>13</v>
      </c>
    </row>
    <row r="740" spans="1:5" x14ac:dyDescent="0.2">
      <c r="A740">
        <v>2</v>
      </c>
      <c r="B740" t="s">
        <v>33</v>
      </c>
      <c r="C740">
        <v>0</v>
      </c>
      <c r="D740">
        <v>11</v>
      </c>
      <c r="E740" s="3">
        <f t="shared" si="11"/>
        <v>13</v>
      </c>
    </row>
    <row r="741" spans="1:5" x14ac:dyDescent="0.2">
      <c r="A741">
        <v>3</v>
      </c>
      <c r="B741" t="s">
        <v>6</v>
      </c>
      <c r="C741">
        <v>1</v>
      </c>
      <c r="D741">
        <v>7</v>
      </c>
      <c r="E741" s="3">
        <f t="shared" si="11"/>
        <v>13</v>
      </c>
    </row>
    <row r="742" spans="1:5" x14ac:dyDescent="0.2">
      <c r="A742">
        <v>4</v>
      </c>
      <c r="B742" t="s">
        <v>69</v>
      </c>
      <c r="C742">
        <v>0</v>
      </c>
      <c r="D742">
        <v>3</v>
      </c>
      <c r="E742" s="3">
        <f t="shared" si="11"/>
        <v>13</v>
      </c>
    </row>
    <row r="743" spans="1:5" x14ac:dyDescent="0.2">
      <c r="A743">
        <v>5</v>
      </c>
      <c r="B743" t="s">
        <v>12</v>
      </c>
      <c r="C743">
        <v>0</v>
      </c>
      <c r="D743">
        <v>1</v>
      </c>
      <c r="E743" s="3">
        <f t="shared" si="11"/>
        <v>13</v>
      </c>
    </row>
    <row r="744" spans="1:5" x14ac:dyDescent="0.2">
      <c r="A744">
        <v>6</v>
      </c>
      <c r="B744" s="2" t="s">
        <v>10</v>
      </c>
      <c r="C744" s="2" t="s">
        <v>10</v>
      </c>
      <c r="D744" s="2" t="s">
        <v>10</v>
      </c>
      <c r="E744" s="3">
        <f t="shared" si="11"/>
        <v>13</v>
      </c>
    </row>
    <row r="745" spans="1:5" x14ac:dyDescent="0.2">
      <c r="A745">
        <v>7</v>
      </c>
      <c r="B745" s="2" t="s">
        <v>10</v>
      </c>
      <c r="C745" s="2" t="s">
        <v>10</v>
      </c>
      <c r="D745" s="2" t="s">
        <v>10</v>
      </c>
      <c r="E745" s="3">
        <f t="shared" si="11"/>
        <v>13</v>
      </c>
    </row>
    <row r="746" spans="1:5" x14ac:dyDescent="0.2">
      <c r="A746">
        <v>8</v>
      </c>
      <c r="B746" s="2" t="s">
        <v>10</v>
      </c>
      <c r="C746" s="2" t="s">
        <v>10</v>
      </c>
      <c r="D746" s="2" t="s">
        <v>10</v>
      </c>
      <c r="E746" s="3">
        <f t="shared" si="11"/>
        <v>13</v>
      </c>
    </row>
    <row r="747" spans="1:5" x14ac:dyDescent="0.2">
      <c r="A747" s="1" t="s">
        <v>24</v>
      </c>
      <c r="E747" s="3">
        <f t="shared" si="11"/>
        <v>13</v>
      </c>
    </row>
    <row r="748" spans="1:5" x14ac:dyDescent="0.2">
      <c r="A748" s="1" t="s">
        <v>1</v>
      </c>
      <c r="B748" s="1" t="s">
        <v>2</v>
      </c>
      <c r="C748" s="1" t="s">
        <v>3</v>
      </c>
      <c r="D748" s="1" t="s">
        <v>4</v>
      </c>
      <c r="E748" s="3">
        <f t="shared" si="11"/>
        <v>13</v>
      </c>
    </row>
    <row r="749" spans="1:5" x14ac:dyDescent="0.2">
      <c r="A749">
        <v>1</v>
      </c>
      <c r="B749" t="s">
        <v>98</v>
      </c>
      <c r="C749">
        <v>3</v>
      </c>
      <c r="D749">
        <v>16</v>
      </c>
      <c r="E749" s="3">
        <f t="shared" si="11"/>
        <v>13</v>
      </c>
    </row>
    <row r="750" spans="1:5" x14ac:dyDescent="0.2">
      <c r="A750">
        <v>2</v>
      </c>
      <c r="B750" t="s">
        <v>55</v>
      </c>
      <c r="C750">
        <v>1</v>
      </c>
      <c r="D750">
        <v>12</v>
      </c>
      <c r="E750" s="3">
        <f t="shared" si="11"/>
        <v>13</v>
      </c>
    </row>
    <row r="751" spans="1:5" x14ac:dyDescent="0.2">
      <c r="A751">
        <v>3</v>
      </c>
      <c r="B751" t="s">
        <v>46</v>
      </c>
      <c r="C751">
        <v>1</v>
      </c>
      <c r="D751">
        <v>8</v>
      </c>
      <c r="E751" s="3">
        <f t="shared" si="11"/>
        <v>13</v>
      </c>
    </row>
    <row r="752" spans="1:5" x14ac:dyDescent="0.2">
      <c r="A752">
        <v>4</v>
      </c>
      <c r="B752" t="s">
        <v>52</v>
      </c>
      <c r="C752">
        <v>0</v>
      </c>
      <c r="D752">
        <v>4</v>
      </c>
      <c r="E752" s="3">
        <f t="shared" si="11"/>
        <v>13</v>
      </c>
    </row>
    <row r="753" spans="1:5" x14ac:dyDescent="0.2">
      <c r="A753">
        <v>5</v>
      </c>
      <c r="B753" t="s">
        <v>60</v>
      </c>
      <c r="C753">
        <v>0</v>
      </c>
      <c r="D753">
        <v>2</v>
      </c>
      <c r="E753" s="3">
        <f t="shared" si="11"/>
        <v>13</v>
      </c>
    </row>
    <row r="754" spans="1:5" x14ac:dyDescent="0.2">
      <c r="A754">
        <v>6</v>
      </c>
      <c r="B754" t="s">
        <v>28</v>
      </c>
      <c r="C754">
        <v>0</v>
      </c>
      <c r="D754">
        <v>1</v>
      </c>
      <c r="E754" s="3">
        <f t="shared" si="11"/>
        <v>13</v>
      </c>
    </row>
    <row r="755" spans="1:5" x14ac:dyDescent="0.2">
      <c r="A755">
        <v>7</v>
      </c>
      <c r="B755" s="2" t="s">
        <v>10</v>
      </c>
      <c r="C755" s="2" t="s">
        <v>10</v>
      </c>
      <c r="D755" s="2" t="s">
        <v>10</v>
      </c>
      <c r="E755" s="3">
        <f t="shared" si="11"/>
        <v>13</v>
      </c>
    </row>
    <row r="756" spans="1:5" x14ac:dyDescent="0.2">
      <c r="A756">
        <v>8</v>
      </c>
      <c r="B756" s="2" t="s">
        <v>10</v>
      </c>
      <c r="C756" s="2" t="s">
        <v>10</v>
      </c>
      <c r="D756" s="2" t="s">
        <v>10</v>
      </c>
      <c r="E756" s="3">
        <f t="shared" si="11"/>
        <v>13</v>
      </c>
    </row>
    <row r="757" spans="1:5" x14ac:dyDescent="0.2">
      <c r="A757" s="1" t="s">
        <v>30</v>
      </c>
      <c r="E757" s="3">
        <f t="shared" si="11"/>
        <v>13</v>
      </c>
    </row>
    <row r="758" spans="1:5" x14ac:dyDescent="0.2">
      <c r="A758" s="1" t="s">
        <v>1</v>
      </c>
      <c r="B758" s="1" t="s">
        <v>2</v>
      </c>
      <c r="C758" s="1" t="s">
        <v>3</v>
      </c>
      <c r="D758" s="1" t="s">
        <v>4</v>
      </c>
      <c r="E758" s="3">
        <f t="shared" si="11"/>
        <v>13</v>
      </c>
    </row>
    <row r="759" spans="1:5" x14ac:dyDescent="0.2">
      <c r="A759">
        <v>1</v>
      </c>
      <c r="B759" t="s">
        <v>92</v>
      </c>
      <c r="C759">
        <v>4</v>
      </c>
      <c r="D759">
        <v>16</v>
      </c>
      <c r="E759" s="3">
        <f t="shared" si="11"/>
        <v>13</v>
      </c>
    </row>
    <row r="760" spans="1:5" x14ac:dyDescent="0.2">
      <c r="A760">
        <v>2</v>
      </c>
      <c r="B760" t="s">
        <v>101</v>
      </c>
      <c r="C760">
        <v>0</v>
      </c>
      <c r="D760">
        <v>12</v>
      </c>
      <c r="E760" s="3">
        <f t="shared" si="11"/>
        <v>13</v>
      </c>
    </row>
    <row r="761" spans="1:5" x14ac:dyDescent="0.2">
      <c r="A761">
        <v>3</v>
      </c>
      <c r="B761" t="s">
        <v>26</v>
      </c>
      <c r="C761">
        <v>0</v>
      </c>
      <c r="D761">
        <v>8</v>
      </c>
      <c r="E761" s="3">
        <f t="shared" si="11"/>
        <v>13</v>
      </c>
    </row>
    <row r="762" spans="1:5" x14ac:dyDescent="0.2">
      <c r="A762">
        <v>4</v>
      </c>
      <c r="B762" t="s">
        <v>21</v>
      </c>
      <c r="C762">
        <v>0</v>
      </c>
      <c r="D762">
        <v>4</v>
      </c>
      <c r="E762" s="3">
        <f t="shared" si="11"/>
        <v>13</v>
      </c>
    </row>
    <row r="763" spans="1:5" x14ac:dyDescent="0.2">
      <c r="A763">
        <v>5</v>
      </c>
      <c r="B763" t="s">
        <v>76</v>
      </c>
      <c r="C763">
        <v>0</v>
      </c>
      <c r="D763">
        <v>2</v>
      </c>
      <c r="E763" s="3">
        <f t="shared" si="11"/>
        <v>13</v>
      </c>
    </row>
    <row r="764" spans="1:5" x14ac:dyDescent="0.2">
      <c r="A764">
        <v>6</v>
      </c>
      <c r="B764" t="s">
        <v>42</v>
      </c>
      <c r="C764">
        <v>0</v>
      </c>
      <c r="D764">
        <v>1</v>
      </c>
      <c r="E764" s="3">
        <f t="shared" si="11"/>
        <v>13</v>
      </c>
    </row>
    <row r="765" spans="1:5" x14ac:dyDescent="0.2">
      <c r="A765">
        <v>7</v>
      </c>
      <c r="B765" s="2" t="s">
        <v>10</v>
      </c>
      <c r="C765" s="2" t="s">
        <v>10</v>
      </c>
      <c r="D765" s="2" t="s">
        <v>10</v>
      </c>
      <c r="E765" s="3">
        <f t="shared" si="11"/>
        <v>13</v>
      </c>
    </row>
    <row r="766" spans="1:5" x14ac:dyDescent="0.2">
      <c r="A766">
        <v>8</v>
      </c>
      <c r="B766" s="2" t="s">
        <v>10</v>
      </c>
      <c r="C766" s="2" t="s">
        <v>10</v>
      </c>
      <c r="D766" s="2" t="s">
        <v>10</v>
      </c>
      <c r="E766" s="3">
        <f t="shared" si="11"/>
        <v>13</v>
      </c>
    </row>
    <row r="767" spans="1:5" x14ac:dyDescent="0.2">
      <c r="A767" s="1" t="s">
        <v>37</v>
      </c>
      <c r="E767" s="3">
        <f t="shared" si="11"/>
        <v>13</v>
      </c>
    </row>
    <row r="768" spans="1:5" x14ac:dyDescent="0.2">
      <c r="A768" s="1" t="s">
        <v>1</v>
      </c>
      <c r="B768" s="1" t="s">
        <v>2</v>
      </c>
      <c r="C768" s="1" t="s">
        <v>3</v>
      </c>
      <c r="D768" s="1" t="s">
        <v>4</v>
      </c>
      <c r="E768" s="3">
        <f t="shared" si="11"/>
        <v>13</v>
      </c>
    </row>
    <row r="769" spans="1:5" x14ac:dyDescent="0.2">
      <c r="A769">
        <v>1</v>
      </c>
      <c r="B769" t="s">
        <v>45</v>
      </c>
      <c r="C769">
        <v>1</v>
      </c>
      <c r="D769">
        <v>16</v>
      </c>
      <c r="E769" s="3">
        <f t="shared" si="11"/>
        <v>13</v>
      </c>
    </row>
    <row r="770" spans="1:5" x14ac:dyDescent="0.2">
      <c r="A770">
        <v>2</v>
      </c>
      <c r="B770" t="s">
        <v>48</v>
      </c>
      <c r="C770">
        <v>4</v>
      </c>
      <c r="D770">
        <v>12</v>
      </c>
      <c r="E770" s="3">
        <f t="shared" si="11"/>
        <v>13</v>
      </c>
    </row>
    <row r="771" spans="1:5" x14ac:dyDescent="0.2">
      <c r="A771">
        <v>3</v>
      </c>
      <c r="B771" t="s">
        <v>75</v>
      </c>
      <c r="C771">
        <v>0</v>
      </c>
      <c r="D771">
        <v>8</v>
      </c>
      <c r="E771" s="3">
        <f t="shared" si="11"/>
        <v>13</v>
      </c>
    </row>
    <row r="772" spans="1:5" x14ac:dyDescent="0.2">
      <c r="A772">
        <v>4</v>
      </c>
      <c r="B772" t="s">
        <v>59</v>
      </c>
      <c r="C772">
        <v>0</v>
      </c>
      <c r="D772">
        <v>4</v>
      </c>
      <c r="E772" s="3">
        <f t="shared" si="11"/>
        <v>13</v>
      </c>
    </row>
    <row r="773" spans="1:5" x14ac:dyDescent="0.2">
      <c r="A773">
        <v>5</v>
      </c>
      <c r="B773" t="s">
        <v>19</v>
      </c>
      <c r="C773">
        <v>0</v>
      </c>
      <c r="D773">
        <v>2</v>
      </c>
      <c r="E773" s="3">
        <f t="shared" si="11"/>
        <v>13</v>
      </c>
    </row>
    <row r="774" spans="1:5" x14ac:dyDescent="0.2">
      <c r="A774">
        <v>6</v>
      </c>
      <c r="B774" t="s">
        <v>14</v>
      </c>
      <c r="C774">
        <v>0</v>
      </c>
      <c r="D774">
        <v>1</v>
      </c>
      <c r="E774" s="3">
        <f t="shared" si="11"/>
        <v>13</v>
      </c>
    </row>
    <row r="775" spans="1:5" x14ac:dyDescent="0.2">
      <c r="A775">
        <v>7</v>
      </c>
      <c r="B775" s="2" t="s">
        <v>10</v>
      </c>
      <c r="C775" s="2" t="s">
        <v>10</v>
      </c>
      <c r="D775" s="2" t="s">
        <v>10</v>
      </c>
      <c r="E775" s="3">
        <f t="shared" si="11"/>
        <v>13</v>
      </c>
    </row>
    <row r="776" spans="1:5" x14ac:dyDescent="0.2">
      <c r="A776">
        <v>8</v>
      </c>
      <c r="B776" s="2" t="s">
        <v>10</v>
      </c>
      <c r="C776" s="2" t="s">
        <v>10</v>
      </c>
      <c r="D776" s="2" t="s">
        <v>10</v>
      </c>
      <c r="E776" s="3">
        <f t="shared" si="11"/>
        <v>13</v>
      </c>
    </row>
    <row r="777" spans="1:5" x14ac:dyDescent="0.2">
      <c r="E777" s="3">
        <f t="shared" si="11"/>
        <v>13</v>
      </c>
    </row>
    <row r="778" spans="1:5" x14ac:dyDescent="0.2">
      <c r="E778" s="3">
        <f t="shared" si="11"/>
        <v>13</v>
      </c>
    </row>
    <row r="779" spans="1:5" x14ac:dyDescent="0.2">
      <c r="B779" s="2"/>
      <c r="C779" s="2"/>
      <c r="D779" s="2"/>
      <c r="E779" s="3">
        <f t="shared" si="11"/>
        <v>13</v>
      </c>
    </row>
    <row r="780" spans="1:5" x14ac:dyDescent="0.2">
      <c r="B780" s="2"/>
      <c r="C780" s="2"/>
      <c r="D780" s="2"/>
      <c r="E780" s="3">
        <f t="shared" si="11"/>
        <v>13</v>
      </c>
    </row>
    <row r="781" spans="1:5" x14ac:dyDescent="0.2">
      <c r="A781" s="1"/>
      <c r="E781" s="3">
        <f t="shared" si="11"/>
        <v>13</v>
      </c>
    </row>
    <row r="782" spans="1:5" x14ac:dyDescent="0.2">
      <c r="A782" s="1"/>
      <c r="B782" s="1"/>
      <c r="C782" s="1"/>
      <c r="D782" s="1"/>
      <c r="E782" s="3">
        <f t="shared" si="11"/>
        <v>13</v>
      </c>
    </row>
    <row r="783" spans="1:5" x14ac:dyDescent="0.2">
      <c r="E783" s="3">
        <f t="shared" si="11"/>
        <v>13</v>
      </c>
    </row>
    <row r="784" spans="1:5" x14ac:dyDescent="0.2">
      <c r="E784" s="3">
        <f t="shared" si="11"/>
        <v>13</v>
      </c>
    </row>
    <row r="785" spans="1:5" x14ac:dyDescent="0.2">
      <c r="E785" s="3">
        <f t="shared" si="11"/>
        <v>13</v>
      </c>
    </row>
    <row r="786" spans="1:5" x14ac:dyDescent="0.2">
      <c r="E786" s="3">
        <f t="shared" si="11"/>
        <v>13</v>
      </c>
    </row>
    <row r="787" spans="1:5" x14ac:dyDescent="0.2">
      <c r="E787" s="3">
        <f t="shared" si="11"/>
        <v>13</v>
      </c>
    </row>
    <row r="788" spans="1:5" x14ac:dyDescent="0.2">
      <c r="E788" s="3">
        <f t="shared" si="11"/>
        <v>13</v>
      </c>
    </row>
    <row r="789" spans="1:5" x14ac:dyDescent="0.2">
      <c r="B789" s="2"/>
      <c r="C789" s="2"/>
      <c r="D789" s="2"/>
      <c r="E789" s="3">
        <f t="shared" si="11"/>
        <v>13</v>
      </c>
    </row>
    <row r="790" spans="1:5" x14ac:dyDescent="0.2">
      <c r="B790" s="2"/>
      <c r="C790" s="2"/>
      <c r="D790" s="2"/>
      <c r="E790" s="3">
        <f t="shared" si="11"/>
        <v>13</v>
      </c>
    </row>
    <row r="791" spans="1:5" x14ac:dyDescent="0.2">
      <c r="A791" s="1"/>
      <c r="E791" s="3">
        <f t="shared" si="11"/>
        <v>13</v>
      </c>
    </row>
    <row r="792" spans="1:5" x14ac:dyDescent="0.2">
      <c r="A792" s="1"/>
      <c r="B792" s="1"/>
      <c r="C792" s="1"/>
      <c r="D792" s="1"/>
      <c r="E792" s="3">
        <f t="shared" si="11"/>
        <v>13</v>
      </c>
    </row>
    <row r="793" spans="1:5" x14ac:dyDescent="0.2">
      <c r="E793" s="3">
        <f t="shared" si="11"/>
        <v>13</v>
      </c>
    </row>
    <row r="794" spans="1:5" x14ac:dyDescent="0.2">
      <c r="E794" s="3">
        <f t="shared" si="11"/>
        <v>13</v>
      </c>
    </row>
    <row r="795" spans="1:5" x14ac:dyDescent="0.2">
      <c r="E795" s="3">
        <f t="shared" si="11"/>
        <v>13</v>
      </c>
    </row>
    <row r="796" spans="1:5" x14ac:dyDescent="0.2">
      <c r="E796" s="3">
        <f t="shared" si="11"/>
        <v>13</v>
      </c>
    </row>
    <row r="797" spans="1:5" x14ac:dyDescent="0.2">
      <c r="E797" s="3">
        <f t="shared" si="11"/>
        <v>13</v>
      </c>
    </row>
    <row r="798" spans="1:5" x14ac:dyDescent="0.2">
      <c r="E798" s="3">
        <f t="shared" si="11"/>
        <v>13</v>
      </c>
    </row>
    <row r="799" spans="1:5" x14ac:dyDescent="0.2">
      <c r="B799" s="2"/>
      <c r="C799" s="2"/>
      <c r="D799" s="2"/>
      <c r="E799" s="3">
        <f t="shared" si="11"/>
        <v>13</v>
      </c>
    </row>
    <row r="800" spans="1:5" x14ac:dyDescent="0.2">
      <c r="B800" s="2"/>
      <c r="C800" s="2"/>
      <c r="D800" s="2"/>
      <c r="E800" s="3">
        <f t="shared" ref="E800:E863" si="12">IF(A800=$A$1,E799+1,E799)</f>
        <v>13</v>
      </c>
    </row>
    <row r="801" spans="1:5" x14ac:dyDescent="0.2">
      <c r="A801" s="1"/>
      <c r="E801" s="3">
        <f t="shared" si="12"/>
        <v>13</v>
      </c>
    </row>
    <row r="802" spans="1:5" x14ac:dyDescent="0.2">
      <c r="A802" s="1"/>
      <c r="B802" s="1"/>
      <c r="C802" s="1"/>
      <c r="D802" s="1"/>
      <c r="E802" s="3">
        <f t="shared" si="12"/>
        <v>13</v>
      </c>
    </row>
    <row r="803" spans="1:5" x14ac:dyDescent="0.2">
      <c r="E803" s="3">
        <f t="shared" si="12"/>
        <v>13</v>
      </c>
    </row>
    <row r="804" spans="1:5" x14ac:dyDescent="0.2">
      <c r="E804" s="3">
        <f t="shared" si="12"/>
        <v>13</v>
      </c>
    </row>
    <row r="805" spans="1:5" x14ac:dyDescent="0.2">
      <c r="E805" s="3">
        <f t="shared" si="12"/>
        <v>13</v>
      </c>
    </row>
    <row r="806" spans="1:5" x14ac:dyDescent="0.2">
      <c r="E806" s="3">
        <f t="shared" si="12"/>
        <v>13</v>
      </c>
    </row>
    <row r="807" spans="1:5" x14ac:dyDescent="0.2">
      <c r="E807" s="3">
        <f t="shared" si="12"/>
        <v>13</v>
      </c>
    </row>
    <row r="808" spans="1:5" x14ac:dyDescent="0.2">
      <c r="E808" s="3">
        <f t="shared" si="12"/>
        <v>13</v>
      </c>
    </row>
    <row r="809" spans="1:5" x14ac:dyDescent="0.2">
      <c r="B809" s="2"/>
      <c r="C809" s="2"/>
      <c r="D809" s="2"/>
      <c r="E809" s="3">
        <f t="shared" si="12"/>
        <v>13</v>
      </c>
    </row>
    <row r="810" spans="1:5" x14ac:dyDescent="0.2">
      <c r="B810" s="2"/>
      <c r="C810" s="2"/>
      <c r="D810" s="2"/>
      <c r="E810" s="3">
        <f t="shared" si="12"/>
        <v>13</v>
      </c>
    </row>
    <row r="811" spans="1:5" x14ac:dyDescent="0.2">
      <c r="A811" s="1"/>
      <c r="E811" s="3">
        <f t="shared" si="12"/>
        <v>13</v>
      </c>
    </row>
    <row r="812" spans="1:5" x14ac:dyDescent="0.2">
      <c r="A812" s="1"/>
      <c r="B812" s="1"/>
      <c r="C812" s="1"/>
      <c r="D812" s="1"/>
      <c r="E812" s="3">
        <f t="shared" si="12"/>
        <v>13</v>
      </c>
    </row>
    <row r="813" spans="1:5" x14ac:dyDescent="0.2">
      <c r="E813" s="3">
        <f t="shared" si="12"/>
        <v>13</v>
      </c>
    </row>
    <row r="814" spans="1:5" x14ac:dyDescent="0.2">
      <c r="E814" s="3">
        <f t="shared" si="12"/>
        <v>13</v>
      </c>
    </row>
    <row r="815" spans="1:5" x14ac:dyDescent="0.2">
      <c r="E815" s="3">
        <f t="shared" si="12"/>
        <v>13</v>
      </c>
    </row>
    <row r="816" spans="1:5" x14ac:dyDescent="0.2">
      <c r="E816" s="3">
        <f t="shared" si="12"/>
        <v>13</v>
      </c>
    </row>
    <row r="817" spans="1:5" x14ac:dyDescent="0.2">
      <c r="E817" s="3">
        <f t="shared" si="12"/>
        <v>13</v>
      </c>
    </row>
    <row r="818" spans="1:5" x14ac:dyDescent="0.2">
      <c r="E818" s="3">
        <f t="shared" si="12"/>
        <v>13</v>
      </c>
    </row>
    <row r="819" spans="1:5" x14ac:dyDescent="0.2">
      <c r="B819" s="2"/>
      <c r="C819" s="2"/>
      <c r="D819" s="2"/>
      <c r="E819" s="3">
        <f t="shared" si="12"/>
        <v>13</v>
      </c>
    </row>
    <row r="820" spans="1:5" x14ac:dyDescent="0.2">
      <c r="B820" s="2"/>
      <c r="C820" s="2"/>
      <c r="D820" s="2"/>
      <c r="E820" s="3">
        <f t="shared" si="12"/>
        <v>13</v>
      </c>
    </row>
    <row r="821" spans="1:5" x14ac:dyDescent="0.2">
      <c r="A821" s="1"/>
      <c r="E821" s="3">
        <f t="shared" si="12"/>
        <v>13</v>
      </c>
    </row>
    <row r="822" spans="1:5" x14ac:dyDescent="0.2">
      <c r="A822" s="1"/>
      <c r="B822" s="1"/>
      <c r="C822" s="1"/>
      <c r="D822" s="1"/>
      <c r="E822" s="3">
        <f t="shared" si="12"/>
        <v>13</v>
      </c>
    </row>
    <row r="823" spans="1:5" x14ac:dyDescent="0.2">
      <c r="E823" s="3">
        <f t="shared" si="12"/>
        <v>13</v>
      </c>
    </row>
    <row r="824" spans="1:5" x14ac:dyDescent="0.2">
      <c r="E824" s="3">
        <f t="shared" si="12"/>
        <v>13</v>
      </c>
    </row>
    <row r="825" spans="1:5" x14ac:dyDescent="0.2">
      <c r="E825" s="3">
        <f t="shared" si="12"/>
        <v>13</v>
      </c>
    </row>
    <row r="826" spans="1:5" x14ac:dyDescent="0.2">
      <c r="E826" s="3">
        <f t="shared" si="12"/>
        <v>13</v>
      </c>
    </row>
    <row r="827" spans="1:5" x14ac:dyDescent="0.2">
      <c r="E827" s="3">
        <f t="shared" si="12"/>
        <v>13</v>
      </c>
    </row>
    <row r="828" spans="1:5" x14ac:dyDescent="0.2">
      <c r="E828" s="3">
        <f t="shared" si="12"/>
        <v>13</v>
      </c>
    </row>
    <row r="829" spans="1:5" x14ac:dyDescent="0.2">
      <c r="B829" s="2"/>
      <c r="C829" s="2"/>
      <c r="D829" s="2"/>
      <c r="E829" s="3">
        <f t="shared" si="12"/>
        <v>13</v>
      </c>
    </row>
    <row r="830" spans="1:5" x14ac:dyDescent="0.2">
      <c r="B830" s="2"/>
      <c r="C830" s="2"/>
      <c r="D830" s="2"/>
      <c r="E830" s="3">
        <f t="shared" si="12"/>
        <v>13</v>
      </c>
    </row>
    <row r="831" spans="1:5" x14ac:dyDescent="0.2">
      <c r="A831" s="1"/>
      <c r="E831" s="3">
        <f t="shared" si="12"/>
        <v>13</v>
      </c>
    </row>
    <row r="832" spans="1:5" x14ac:dyDescent="0.2">
      <c r="A832" s="1"/>
      <c r="B832" s="1"/>
      <c r="C832" s="1"/>
      <c r="D832" s="1"/>
      <c r="E832" s="3">
        <f t="shared" si="12"/>
        <v>13</v>
      </c>
    </row>
    <row r="833" spans="1:5" x14ac:dyDescent="0.2">
      <c r="E833" s="3">
        <f t="shared" si="12"/>
        <v>13</v>
      </c>
    </row>
    <row r="834" spans="1:5" x14ac:dyDescent="0.2">
      <c r="E834" s="3">
        <f t="shared" si="12"/>
        <v>13</v>
      </c>
    </row>
    <row r="835" spans="1:5" x14ac:dyDescent="0.2">
      <c r="E835" s="3">
        <f t="shared" si="12"/>
        <v>13</v>
      </c>
    </row>
    <row r="836" spans="1:5" x14ac:dyDescent="0.2">
      <c r="E836" s="3">
        <f t="shared" si="12"/>
        <v>13</v>
      </c>
    </row>
    <row r="837" spans="1:5" x14ac:dyDescent="0.2">
      <c r="E837" s="3">
        <f t="shared" si="12"/>
        <v>13</v>
      </c>
    </row>
    <row r="838" spans="1:5" x14ac:dyDescent="0.2">
      <c r="E838" s="3">
        <f t="shared" si="12"/>
        <v>13</v>
      </c>
    </row>
    <row r="839" spans="1:5" x14ac:dyDescent="0.2">
      <c r="B839" s="2"/>
      <c r="C839" s="2"/>
      <c r="D839" s="2"/>
      <c r="E839" s="3">
        <f t="shared" si="12"/>
        <v>13</v>
      </c>
    </row>
    <row r="840" spans="1:5" x14ac:dyDescent="0.2">
      <c r="B840" s="2"/>
      <c r="C840" s="2"/>
      <c r="D840" s="2"/>
      <c r="E840" s="3">
        <f t="shared" si="12"/>
        <v>13</v>
      </c>
    </row>
    <row r="841" spans="1:5" x14ac:dyDescent="0.2">
      <c r="A841" s="1"/>
      <c r="E841" s="3">
        <f t="shared" si="12"/>
        <v>13</v>
      </c>
    </row>
    <row r="842" spans="1:5" x14ac:dyDescent="0.2">
      <c r="A842" s="1"/>
      <c r="B842" s="1"/>
      <c r="C842" s="1"/>
      <c r="D842" s="1"/>
      <c r="E842" s="3">
        <f t="shared" si="12"/>
        <v>13</v>
      </c>
    </row>
    <row r="843" spans="1:5" x14ac:dyDescent="0.2">
      <c r="E843" s="3">
        <f t="shared" si="12"/>
        <v>13</v>
      </c>
    </row>
    <row r="844" spans="1:5" x14ac:dyDescent="0.2">
      <c r="E844" s="3">
        <f t="shared" si="12"/>
        <v>13</v>
      </c>
    </row>
    <row r="845" spans="1:5" x14ac:dyDescent="0.2">
      <c r="E845" s="3">
        <f t="shared" si="12"/>
        <v>13</v>
      </c>
    </row>
    <row r="846" spans="1:5" x14ac:dyDescent="0.2">
      <c r="E846" s="3">
        <f t="shared" si="12"/>
        <v>13</v>
      </c>
    </row>
    <row r="847" spans="1:5" x14ac:dyDescent="0.2">
      <c r="E847" s="3">
        <f t="shared" si="12"/>
        <v>13</v>
      </c>
    </row>
    <row r="848" spans="1:5" x14ac:dyDescent="0.2">
      <c r="B848" s="2"/>
      <c r="C848" s="2"/>
      <c r="D848" s="2"/>
      <c r="E848" s="3">
        <f t="shared" si="12"/>
        <v>13</v>
      </c>
    </row>
    <row r="849" spans="1:5" x14ac:dyDescent="0.2">
      <c r="B849" s="2"/>
      <c r="C849" s="2"/>
      <c r="D849" s="2"/>
      <c r="E849" s="3">
        <f t="shared" si="12"/>
        <v>13</v>
      </c>
    </row>
    <row r="850" spans="1:5" x14ac:dyDescent="0.2">
      <c r="B850" s="2"/>
      <c r="C850" s="2"/>
      <c r="D850" s="2"/>
      <c r="E850" s="3">
        <f t="shared" si="12"/>
        <v>13</v>
      </c>
    </row>
    <row r="851" spans="1:5" x14ac:dyDescent="0.2">
      <c r="A851" s="1"/>
      <c r="E851" s="3">
        <f t="shared" si="12"/>
        <v>13</v>
      </c>
    </row>
    <row r="852" spans="1:5" x14ac:dyDescent="0.2">
      <c r="A852" s="1"/>
      <c r="B852" s="1"/>
      <c r="C852" s="1"/>
      <c r="D852" s="1"/>
      <c r="E852" s="3">
        <f t="shared" si="12"/>
        <v>13</v>
      </c>
    </row>
    <row r="853" spans="1:5" x14ac:dyDescent="0.2">
      <c r="E853" s="3">
        <f t="shared" si="12"/>
        <v>13</v>
      </c>
    </row>
    <row r="854" spans="1:5" x14ac:dyDescent="0.2">
      <c r="E854" s="3">
        <f t="shared" si="12"/>
        <v>13</v>
      </c>
    </row>
    <row r="855" spans="1:5" x14ac:dyDescent="0.2">
      <c r="E855" s="3">
        <f t="shared" si="12"/>
        <v>13</v>
      </c>
    </row>
    <row r="856" spans="1:5" x14ac:dyDescent="0.2">
      <c r="E856" s="3">
        <f t="shared" si="12"/>
        <v>13</v>
      </c>
    </row>
    <row r="857" spans="1:5" x14ac:dyDescent="0.2">
      <c r="E857" s="3">
        <f t="shared" si="12"/>
        <v>13</v>
      </c>
    </row>
    <row r="858" spans="1:5" x14ac:dyDescent="0.2">
      <c r="E858" s="3">
        <f t="shared" si="12"/>
        <v>13</v>
      </c>
    </row>
    <row r="859" spans="1:5" x14ac:dyDescent="0.2">
      <c r="B859" s="2"/>
      <c r="C859" s="2"/>
      <c r="D859" s="2"/>
      <c r="E859" s="3">
        <f t="shared" si="12"/>
        <v>13</v>
      </c>
    </row>
    <row r="860" spans="1:5" x14ac:dyDescent="0.2">
      <c r="B860" s="2"/>
      <c r="C860" s="2"/>
      <c r="D860" s="2"/>
      <c r="E860" s="3">
        <f t="shared" si="12"/>
        <v>13</v>
      </c>
    </row>
    <row r="861" spans="1:5" x14ac:dyDescent="0.2">
      <c r="A861" s="1"/>
      <c r="E861" s="3">
        <f t="shared" si="12"/>
        <v>13</v>
      </c>
    </row>
    <row r="862" spans="1:5" x14ac:dyDescent="0.2">
      <c r="A862" s="1"/>
      <c r="B862" s="1"/>
      <c r="C862" s="1"/>
      <c r="D862" s="1"/>
      <c r="E862" s="3">
        <f t="shared" si="12"/>
        <v>13</v>
      </c>
    </row>
    <row r="863" spans="1:5" x14ac:dyDescent="0.2">
      <c r="E863" s="3">
        <f t="shared" si="12"/>
        <v>13</v>
      </c>
    </row>
    <row r="864" spans="1:5" x14ac:dyDescent="0.2">
      <c r="E864" s="3">
        <f t="shared" ref="E864:E927" si="13">IF(A864=$A$1,E863+1,E863)</f>
        <v>13</v>
      </c>
    </row>
    <row r="865" spans="1:5" x14ac:dyDescent="0.2">
      <c r="E865" s="3">
        <f t="shared" si="13"/>
        <v>13</v>
      </c>
    </row>
    <row r="866" spans="1:5" x14ac:dyDescent="0.2">
      <c r="E866" s="3">
        <f t="shared" si="13"/>
        <v>13</v>
      </c>
    </row>
    <row r="867" spans="1:5" x14ac:dyDescent="0.2">
      <c r="E867" s="3">
        <f t="shared" si="13"/>
        <v>13</v>
      </c>
    </row>
    <row r="868" spans="1:5" x14ac:dyDescent="0.2">
      <c r="E868" s="3">
        <f t="shared" si="13"/>
        <v>13</v>
      </c>
    </row>
    <row r="869" spans="1:5" x14ac:dyDescent="0.2">
      <c r="B869" s="2"/>
      <c r="C869" s="2"/>
      <c r="D869" s="2"/>
      <c r="E869" s="3">
        <f t="shared" si="13"/>
        <v>13</v>
      </c>
    </row>
    <row r="870" spans="1:5" x14ac:dyDescent="0.2">
      <c r="B870" s="2"/>
      <c r="C870" s="2"/>
      <c r="D870" s="2"/>
      <c r="E870" s="3">
        <f t="shared" si="13"/>
        <v>13</v>
      </c>
    </row>
    <row r="871" spans="1:5" x14ac:dyDescent="0.2">
      <c r="A871" s="1"/>
      <c r="E871" s="3">
        <f t="shared" si="13"/>
        <v>13</v>
      </c>
    </row>
    <row r="872" spans="1:5" x14ac:dyDescent="0.2">
      <c r="A872" s="1"/>
      <c r="B872" s="1"/>
      <c r="C872" s="1"/>
      <c r="D872" s="1"/>
      <c r="E872" s="3">
        <f t="shared" si="13"/>
        <v>13</v>
      </c>
    </row>
    <row r="873" spans="1:5" x14ac:dyDescent="0.2">
      <c r="E873" s="3">
        <f t="shared" si="13"/>
        <v>13</v>
      </c>
    </row>
    <row r="874" spans="1:5" x14ac:dyDescent="0.2">
      <c r="E874" s="3">
        <f t="shared" si="13"/>
        <v>13</v>
      </c>
    </row>
    <row r="875" spans="1:5" x14ac:dyDescent="0.2">
      <c r="E875" s="3">
        <f t="shared" si="13"/>
        <v>13</v>
      </c>
    </row>
    <row r="876" spans="1:5" x14ac:dyDescent="0.2">
      <c r="E876" s="3">
        <f t="shared" si="13"/>
        <v>13</v>
      </c>
    </row>
    <row r="877" spans="1:5" x14ac:dyDescent="0.2">
      <c r="E877" s="3">
        <f t="shared" si="13"/>
        <v>13</v>
      </c>
    </row>
    <row r="878" spans="1:5" x14ac:dyDescent="0.2">
      <c r="E878" s="3">
        <f t="shared" si="13"/>
        <v>13</v>
      </c>
    </row>
    <row r="879" spans="1:5" x14ac:dyDescent="0.2">
      <c r="B879" s="2"/>
      <c r="C879" s="2"/>
      <c r="D879" s="2"/>
      <c r="E879" s="3">
        <f t="shared" si="13"/>
        <v>13</v>
      </c>
    </row>
    <row r="880" spans="1:5" x14ac:dyDescent="0.2">
      <c r="B880" s="2"/>
      <c r="C880" s="2"/>
      <c r="D880" s="2"/>
      <c r="E880" s="3">
        <f t="shared" si="13"/>
        <v>13</v>
      </c>
    </row>
    <row r="881" spans="1:5" x14ac:dyDescent="0.2">
      <c r="A881" s="1"/>
      <c r="E881" s="3">
        <f t="shared" si="13"/>
        <v>13</v>
      </c>
    </row>
    <row r="882" spans="1:5" x14ac:dyDescent="0.2">
      <c r="A882" s="1"/>
      <c r="B882" s="1"/>
      <c r="C882" s="1"/>
      <c r="D882" s="1"/>
      <c r="E882" s="3">
        <f t="shared" si="13"/>
        <v>13</v>
      </c>
    </row>
    <row r="883" spans="1:5" x14ac:dyDescent="0.2">
      <c r="E883" s="3">
        <f t="shared" si="13"/>
        <v>13</v>
      </c>
    </row>
    <row r="884" spans="1:5" x14ac:dyDescent="0.2">
      <c r="E884" s="3">
        <f t="shared" si="13"/>
        <v>13</v>
      </c>
    </row>
    <row r="885" spans="1:5" x14ac:dyDescent="0.2">
      <c r="E885" s="3">
        <f t="shared" si="13"/>
        <v>13</v>
      </c>
    </row>
    <row r="886" spans="1:5" x14ac:dyDescent="0.2">
      <c r="E886" s="3">
        <f t="shared" si="13"/>
        <v>13</v>
      </c>
    </row>
    <row r="887" spans="1:5" x14ac:dyDescent="0.2">
      <c r="E887" s="3">
        <f t="shared" si="13"/>
        <v>13</v>
      </c>
    </row>
    <row r="888" spans="1:5" x14ac:dyDescent="0.2">
      <c r="E888" s="3">
        <f t="shared" si="13"/>
        <v>13</v>
      </c>
    </row>
    <row r="889" spans="1:5" x14ac:dyDescent="0.2">
      <c r="B889" s="2"/>
      <c r="C889" s="2"/>
      <c r="D889" s="2"/>
      <c r="E889" s="3">
        <f t="shared" si="13"/>
        <v>13</v>
      </c>
    </row>
    <row r="890" spans="1:5" x14ac:dyDescent="0.2">
      <c r="B890" s="2"/>
      <c r="C890" s="2"/>
      <c r="D890" s="2"/>
      <c r="E890" s="3">
        <f t="shared" si="13"/>
        <v>13</v>
      </c>
    </row>
    <row r="891" spans="1:5" x14ac:dyDescent="0.2">
      <c r="A891" s="1"/>
      <c r="E891" s="3">
        <f t="shared" si="13"/>
        <v>13</v>
      </c>
    </row>
    <row r="892" spans="1:5" x14ac:dyDescent="0.2">
      <c r="A892" s="1"/>
      <c r="B892" s="1"/>
      <c r="C892" s="1"/>
      <c r="D892" s="1"/>
      <c r="E892" s="3">
        <f t="shared" si="13"/>
        <v>13</v>
      </c>
    </row>
    <row r="893" spans="1:5" x14ac:dyDescent="0.2">
      <c r="E893" s="3">
        <f t="shared" si="13"/>
        <v>13</v>
      </c>
    </row>
    <row r="894" spans="1:5" x14ac:dyDescent="0.2">
      <c r="E894" s="3">
        <f t="shared" si="13"/>
        <v>13</v>
      </c>
    </row>
    <row r="895" spans="1:5" x14ac:dyDescent="0.2">
      <c r="E895" s="3">
        <f t="shared" si="13"/>
        <v>13</v>
      </c>
    </row>
    <row r="896" spans="1:5" x14ac:dyDescent="0.2">
      <c r="E896" s="3">
        <f t="shared" si="13"/>
        <v>13</v>
      </c>
    </row>
    <row r="897" spans="1:5" x14ac:dyDescent="0.2">
      <c r="E897" s="3">
        <f t="shared" si="13"/>
        <v>13</v>
      </c>
    </row>
    <row r="898" spans="1:5" x14ac:dyDescent="0.2">
      <c r="E898" s="3">
        <f t="shared" si="13"/>
        <v>13</v>
      </c>
    </row>
    <row r="899" spans="1:5" x14ac:dyDescent="0.2">
      <c r="B899" s="2"/>
      <c r="C899" s="2"/>
      <c r="D899" s="2"/>
      <c r="E899" s="3">
        <f t="shared" si="13"/>
        <v>13</v>
      </c>
    </row>
    <row r="900" spans="1:5" x14ac:dyDescent="0.2">
      <c r="B900" s="2"/>
      <c r="C900" s="2"/>
      <c r="D900" s="2"/>
      <c r="E900" s="3">
        <f t="shared" si="13"/>
        <v>13</v>
      </c>
    </row>
    <row r="901" spans="1:5" x14ac:dyDescent="0.2">
      <c r="A901" s="1"/>
      <c r="E901" s="3">
        <f t="shared" si="13"/>
        <v>13</v>
      </c>
    </row>
    <row r="902" spans="1:5" x14ac:dyDescent="0.2">
      <c r="A902" s="1"/>
      <c r="B902" s="1"/>
      <c r="C902" s="1"/>
      <c r="D902" s="1"/>
      <c r="E902" s="3">
        <f t="shared" si="13"/>
        <v>13</v>
      </c>
    </row>
    <row r="903" spans="1:5" x14ac:dyDescent="0.2">
      <c r="E903" s="3">
        <f t="shared" si="13"/>
        <v>13</v>
      </c>
    </row>
    <row r="904" spans="1:5" x14ac:dyDescent="0.2">
      <c r="E904" s="3">
        <f t="shared" si="13"/>
        <v>13</v>
      </c>
    </row>
    <row r="905" spans="1:5" x14ac:dyDescent="0.2">
      <c r="E905" s="3">
        <f t="shared" si="13"/>
        <v>13</v>
      </c>
    </row>
    <row r="906" spans="1:5" x14ac:dyDescent="0.2">
      <c r="E906" s="3">
        <f t="shared" si="13"/>
        <v>13</v>
      </c>
    </row>
    <row r="907" spans="1:5" x14ac:dyDescent="0.2">
      <c r="E907" s="3">
        <f t="shared" si="13"/>
        <v>13</v>
      </c>
    </row>
    <row r="908" spans="1:5" x14ac:dyDescent="0.2">
      <c r="E908" s="3">
        <f t="shared" si="13"/>
        <v>13</v>
      </c>
    </row>
    <row r="909" spans="1:5" x14ac:dyDescent="0.2">
      <c r="B909" s="2"/>
      <c r="C909" s="2"/>
      <c r="D909" s="2"/>
      <c r="E909" s="3">
        <f t="shared" si="13"/>
        <v>13</v>
      </c>
    </row>
    <row r="910" spans="1:5" x14ac:dyDescent="0.2">
      <c r="B910" s="2"/>
      <c r="C910" s="2"/>
      <c r="D910" s="2"/>
      <c r="E910" s="3">
        <f t="shared" si="13"/>
        <v>13</v>
      </c>
    </row>
    <row r="911" spans="1:5" x14ac:dyDescent="0.2">
      <c r="A911" s="1"/>
      <c r="E911" s="3">
        <f t="shared" si="13"/>
        <v>13</v>
      </c>
    </row>
    <row r="912" spans="1:5" x14ac:dyDescent="0.2">
      <c r="A912" s="1"/>
      <c r="B912" s="1"/>
      <c r="C912" s="1"/>
      <c r="D912" s="1"/>
      <c r="E912" s="3">
        <f t="shared" si="13"/>
        <v>13</v>
      </c>
    </row>
    <row r="913" spans="1:5" x14ac:dyDescent="0.2">
      <c r="E913" s="3">
        <f t="shared" si="13"/>
        <v>13</v>
      </c>
    </row>
    <row r="914" spans="1:5" x14ac:dyDescent="0.2">
      <c r="E914" s="3">
        <f t="shared" si="13"/>
        <v>13</v>
      </c>
    </row>
    <row r="915" spans="1:5" x14ac:dyDescent="0.2">
      <c r="E915" s="3">
        <f t="shared" si="13"/>
        <v>13</v>
      </c>
    </row>
    <row r="916" spans="1:5" x14ac:dyDescent="0.2">
      <c r="E916" s="3">
        <f t="shared" si="13"/>
        <v>13</v>
      </c>
    </row>
    <row r="917" spans="1:5" x14ac:dyDescent="0.2">
      <c r="E917" s="3">
        <f t="shared" si="13"/>
        <v>13</v>
      </c>
    </row>
    <row r="918" spans="1:5" x14ac:dyDescent="0.2">
      <c r="E918" s="3">
        <f t="shared" si="13"/>
        <v>13</v>
      </c>
    </row>
    <row r="919" spans="1:5" x14ac:dyDescent="0.2">
      <c r="E919" s="3">
        <f t="shared" si="13"/>
        <v>13</v>
      </c>
    </row>
    <row r="920" spans="1:5" x14ac:dyDescent="0.2">
      <c r="B920" s="2"/>
      <c r="C920" s="2"/>
      <c r="D920" s="2"/>
      <c r="E920" s="3">
        <f t="shared" si="13"/>
        <v>13</v>
      </c>
    </row>
    <row r="921" spans="1:5" x14ac:dyDescent="0.2">
      <c r="A921" s="1"/>
      <c r="E921" s="3">
        <f t="shared" si="13"/>
        <v>13</v>
      </c>
    </row>
    <row r="922" spans="1:5" x14ac:dyDescent="0.2">
      <c r="A922" s="1"/>
      <c r="B922" s="1"/>
      <c r="C922" s="1"/>
      <c r="D922" s="1"/>
      <c r="E922" s="3">
        <f t="shared" si="13"/>
        <v>13</v>
      </c>
    </row>
    <row r="923" spans="1:5" x14ac:dyDescent="0.2">
      <c r="E923" s="3">
        <f t="shared" si="13"/>
        <v>13</v>
      </c>
    </row>
    <row r="924" spans="1:5" x14ac:dyDescent="0.2">
      <c r="E924" s="3">
        <f t="shared" si="13"/>
        <v>13</v>
      </c>
    </row>
    <row r="925" spans="1:5" x14ac:dyDescent="0.2">
      <c r="E925" s="3">
        <f t="shared" si="13"/>
        <v>13</v>
      </c>
    </row>
    <row r="926" spans="1:5" x14ac:dyDescent="0.2">
      <c r="E926" s="3">
        <f t="shared" si="13"/>
        <v>13</v>
      </c>
    </row>
    <row r="927" spans="1:5" x14ac:dyDescent="0.2">
      <c r="E927" s="3">
        <f t="shared" si="13"/>
        <v>13</v>
      </c>
    </row>
    <row r="928" spans="1:5" x14ac:dyDescent="0.2">
      <c r="E928" s="3">
        <f t="shared" ref="E928:E991" si="14">IF(A928=$A$1,E927+1,E927)</f>
        <v>13</v>
      </c>
    </row>
    <row r="929" spans="2:5" x14ac:dyDescent="0.2">
      <c r="B929" s="2"/>
      <c r="C929" s="2"/>
      <c r="D929" s="2"/>
      <c r="E929" s="3">
        <f t="shared" si="14"/>
        <v>13</v>
      </c>
    </row>
    <row r="930" spans="2:5" x14ac:dyDescent="0.2">
      <c r="B930" s="2"/>
      <c r="C930" s="2"/>
      <c r="D930" s="2"/>
      <c r="E930" s="3">
        <f t="shared" si="14"/>
        <v>13</v>
      </c>
    </row>
    <row r="931" spans="2:5" x14ac:dyDescent="0.2">
      <c r="E931" s="3">
        <f t="shared" si="14"/>
        <v>13</v>
      </c>
    </row>
    <row r="932" spans="2:5" x14ac:dyDescent="0.2">
      <c r="E932" s="3">
        <f t="shared" si="14"/>
        <v>13</v>
      </c>
    </row>
    <row r="933" spans="2:5" x14ac:dyDescent="0.2">
      <c r="E933" s="3">
        <f t="shared" si="14"/>
        <v>13</v>
      </c>
    </row>
    <row r="934" spans="2:5" x14ac:dyDescent="0.2">
      <c r="E934" s="3">
        <f t="shared" si="14"/>
        <v>13</v>
      </c>
    </row>
    <row r="935" spans="2:5" x14ac:dyDescent="0.2">
      <c r="E935" s="3">
        <f t="shared" si="14"/>
        <v>13</v>
      </c>
    </row>
    <row r="936" spans="2:5" x14ac:dyDescent="0.2">
      <c r="E936" s="3">
        <f t="shared" si="14"/>
        <v>13</v>
      </c>
    </row>
    <row r="937" spans="2:5" x14ac:dyDescent="0.2">
      <c r="E937" s="3">
        <f t="shared" si="14"/>
        <v>13</v>
      </c>
    </row>
    <row r="938" spans="2:5" x14ac:dyDescent="0.2">
      <c r="E938" s="3">
        <f t="shared" si="14"/>
        <v>13</v>
      </c>
    </row>
    <row r="939" spans="2:5" x14ac:dyDescent="0.2">
      <c r="E939" s="3">
        <f t="shared" si="14"/>
        <v>13</v>
      </c>
    </row>
    <row r="940" spans="2:5" x14ac:dyDescent="0.2">
      <c r="E940" s="3">
        <f t="shared" si="14"/>
        <v>13</v>
      </c>
    </row>
    <row r="941" spans="2:5" x14ac:dyDescent="0.2">
      <c r="E941" s="3">
        <f t="shared" si="14"/>
        <v>13</v>
      </c>
    </row>
    <row r="942" spans="2:5" x14ac:dyDescent="0.2">
      <c r="E942" s="3">
        <f t="shared" si="14"/>
        <v>13</v>
      </c>
    </row>
    <row r="943" spans="2:5" x14ac:dyDescent="0.2">
      <c r="E943" s="3">
        <f t="shared" si="14"/>
        <v>13</v>
      </c>
    </row>
    <row r="944" spans="2:5" x14ac:dyDescent="0.2">
      <c r="E944" s="3">
        <f t="shared" si="14"/>
        <v>13</v>
      </c>
    </row>
    <row r="945" spans="5:5" x14ac:dyDescent="0.2">
      <c r="E945" s="3">
        <f t="shared" si="14"/>
        <v>13</v>
      </c>
    </row>
    <row r="946" spans="5:5" x14ac:dyDescent="0.2">
      <c r="E946" s="3">
        <f t="shared" si="14"/>
        <v>13</v>
      </c>
    </row>
    <row r="947" spans="5:5" x14ac:dyDescent="0.2">
      <c r="E947" s="3">
        <f t="shared" si="14"/>
        <v>13</v>
      </c>
    </row>
    <row r="948" spans="5:5" x14ac:dyDescent="0.2">
      <c r="E948" s="3">
        <f t="shared" si="14"/>
        <v>13</v>
      </c>
    </row>
    <row r="949" spans="5:5" x14ac:dyDescent="0.2">
      <c r="E949" s="3">
        <f t="shared" si="14"/>
        <v>13</v>
      </c>
    </row>
    <row r="950" spans="5:5" x14ac:dyDescent="0.2">
      <c r="E950" s="3">
        <f t="shared" si="14"/>
        <v>13</v>
      </c>
    </row>
    <row r="951" spans="5:5" x14ac:dyDescent="0.2">
      <c r="E951" s="3">
        <f t="shared" si="14"/>
        <v>13</v>
      </c>
    </row>
    <row r="952" spans="5:5" x14ac:dyDescent="0.2">
      <c r="E952" s="3">
        <f t="shared" si="14"/>
        <v>13</v>
      </c>
    </row>
    <row r="953" spans="5:5" x14ac:dyDescent="0.2">
      <c r="E953" s="3">
        <f t="shared" si="14"/>
        <v>13</v>
      </c>
    </row>
    <row r="954" spans="5:5" x14ac:dyDescent="0.2">
      <c r="E954" s="3">
        <f t="shared" si="14"/>
        <v>13</v>
      </c>
    </row>
    <row r="955" spans="5:5" x14ac:dyDescent="0.2">
      <c r="E955" s="3">
        <f t="shared" si="14"/>
        <v>13</v>
      </c>
    </row>
    <row r="956" spans="5:5" x14ac:dyDescent="0.2">
      <c r="E956" s="3">
        <f t="shared" si="14"/>
        <v>13</v>
      </c>
    </row>
    <row r="957" spans="5:5" x14ac:dyDescent="0.2">
      <c r="E957" s="3">
        <f t="shared" si="14"/>
        <v>13</v>
      </c>
    </row>
    <row r="958" spans="5:5" x14ac:dyDescent="0.2">
      <c r="E958" s="3">
        <f t="shared" si="14"/>
        <v>13</v>
      </c>
    </row>
    <row r="959" spans="5:5" x14ac:dyDescent="0.2">
      <c r="E959" s="3">
        <f t="shared" si="14"/>
        <v>13</v>
      </c>
    </row>
    <row r="960" spans="5:5" x14ac:dyDescent="0.2">
      <c r="E960" s="3">
        <f t="shared" si="14"/>
        <v>13</v>
      </c>
    </row>
    <row r="961" spans="5:5" x14ac:dyDescent="0.2">
      <c r="E961" s="3">
        <f t="shared" si="14"/>
        <v>13</v>
      </c>
    </row>
    <row r="962" spans="5:5" x14ac:dyDescent="0.2">
      <c r="E962" s="3">
        <f t="shared" si="14"/>
        <v>13</v>
      </c>
    </row>
    <row r="963" spans="5:5" x14ac:dyDescent="0.2">
      <c r="E963" s="3">
        <f t="shared" si="14"/>
        <v>13</v>
      </c>
    </row>
    <row r="964" spans="5:5" x14ac:dyDescent="0.2">
      <c r="E964" s="3">
        <f t="shared" si="14"/>
        <v>13</v>
      </c>
    </row>
    <row r="965" spans="5:5" x14ac:dyDescent="0.2">
      <c r="E965" s="3">
        <f t="shared" si="14"/>
        <v>13</v>
      </c>
    </row>
    <row r="966" spans="5:5" x14ac:dyDescent="0.2">
      <c r="E966" s="3">
        <f t="shared" si="14"/>
        <v>13</v>
      </c>
    </row>
    <row r="967" spans="5:5" x14ac:dyDescent="0.2">
      <c r="E967" s="3">
        <f t="shared" si="14"/>
        <v>13</v>
      </c>
    </row>
    <row r="968" spans="5:5" x14ac:dyDescent="0.2">
      <c r="E968" s="3">
        <f t="shared" si="14"/>
        <v>13</v>
      </c>
    </row>
    <row r="969" spans="5:5" x14ac:dyDescent="0.2">
      <c r="E969" s="3">
        <f t="shared" si="14"/>
        <v>13</v>
      </c>
    </row>
    <row r="970" spans="5:5" x14ac:dyDescent="0.2">
      <c r="E970" s="3">
        <f t="shared" si="14"/>
        <v>13</v>
      </c>
    </row>
    <row r="971" spans="5:5" x14ac:dyDescent="0.2">
      <c r="E971" s="3">
        <f t="shared" si="14"/>
        <v>13</v>
      </c>
    </row>
    <row r="972" spans="5:5" x14ac:dyDescent="0.2">
      <c r="E972" s="3">
        <f t="shared" si="14"/>
        <v>13</v>
      </c>
    </row>
    <row r="973" spans="5:5" x14ac:dyDescent="0.2">
      <c r="E973" s="3">
        <f t="shared" si="14"/>
        <v>13</v>
      </c>
    </row>
    <row r="974" spans="5:5" x14ac:dyDescent="0.2">
      <c r="E974" s="3">
        <f t="shared" si="14"/>
        <v>13</v>
      </c>
    </row>
    <row r="975" spans="5:5" x14ac:dyDescent="0.2">
      <c r="E975" s="3">
        <f t="shared" si="14"/>
        <v>13</v>
      </c>
    </row>
    <row r="976" spans="5:5" x14ac:dyDescent="0.2">
      <c r="E976" s="3">
        <f t="shared" si="14"/>
        <v>13</v>
      </c>
    </row>
    <row r="977" spans="5:5" x14ac:dyDescent="0.2">
      <c r="E977" s="3">
        <f t="shared" si="14"/>
        <v>13</v>
      </c>
    </row>
    <row r="978" spans="5:5" x14ac:dyDescent="0.2">
      <c r="E978" s="3">
        <f t="shared" si="14"/>
        <v>13</v>
      </c>
    </row>
    <row r="979" spans="5:5" x14ac:dyDescent="0.2">
      <c r="E979" s="3">
        <f t="shared" si="14"/>
        <v>13</v>
      </c>
    </row>
    <row r="980" spans="5:5" x14ac:dyDescent="0.2">
      <c r="E980" s="3">
        <f t="shared" si="14"/>
        <v>13</v>
      </c>
    </row>
    <row r="981" spans="5:5" x14ac:dyDescent="0.2">
      <c r="E981" s="3">
        <f t="shared" si="14"/>
        <v>13</v>
      </c>
    </row>
    <row r="982" spans="5:5" x14ac:dyDescent="0.2">
      <c r="E982" s="3">
        <f t="shared" si="14"/>
        <v>13</v>
      </c>
    </row>
    <row r="983" spans="5:5" x14ac:dyDescent="0.2">
      <c r="E983" s="3">
        <f t="shared" si="14"/>
        <v>13</v>
      </c>
    </row>
    <row r="984" spans="5:5" x14ac:dyDescent="0.2">
      <c r="E984" s="3">
        <f t="shared" si="14"/>
        <v>13</v>
      </c>
    </row>
    <row r="985" spans="5:5" x14ac:dyDescent="0.2">
      <c r="E985" s="3">
        <f t="shared" si="14"/>
        <v>13</v>
      </c>
    </row>
    <row r="986" spans="5:5" x14ac:dyDescent="0.2">
      <c r="E986" s="3">
        <f t="shared" si="14"/>
        <v>13</v>
      </c>
    </row>
    <row r="987" spans="5:5" x14ac:dyDescent="0.2">
      <c r="E987" s="3">
        <f t="shared" si="14"/>
        <v>13</v>
      </c>
    </row>
    <row r="988" spans="5:5" x14ac:dyDescent="0.2">
      <c r="E988" s="3">
        <f t="shared" si="14"/>
        <v>13</v>
      </c>
    </row>
    <row r="989" spans="5:5" x14ac:dyDescent="0.2">
      <c r="E989" s="3">
        <f t="shared" si="14"/>
        <v>13</v>
      </c>
    </row>
    <row r="990" spans="5:5" x14ac:dyDescent="0.2">
      <c r="E990" s="3">
        <f t="shared" si="14"/>
        <v>13</v>
      </c>
    </row>
    <row r="991" spans="5:5" x14ac:dyDescent="0.2">
      <c r="E991" s="3">
        <f t="shared" si="14"/>
        <v>13</v>
      </c>
    </row>
    <row r="992" spans="5:5" x14ac:dyDescent="0.2">
      <c r="E992" s="3">
        <f t="shared" ref="E992:E1055" si="15">IF(A992=$A$1,E991+1,E991)</f>
        <v>13</v>
      </c>
    </row>
    <row r="993" spans="5:5" x14ac:dyDescent="0.2">
      <c r="E993" s="3">
        <f t="shared" si="15"/>
        <v>13</v>
      </c>
    </row>
    <row r="994" spans="5:5" x14ac:dyDescent="0.2">
      <c r="E994" s="3">
        <f t="shared" si="15"/>
        <v>13</v>
      </c>
    </row>
    <row r="995" spans="5:5" x14ac:dyDescent="0.2">
      <c r="E995" s="3">
        <f t="shared" si="15"/>
        <v>13</v>
      </c>
    </row>
    <row r="996" spans="5:5" x14ac:dyDescent="0.2">
      <c r="E996" s="3">
        <f t="shared" si="15"/>
        <v>13</v>
      </c>
    </row>
    <row r="997" spans="5:5" x14ac:dyDescent="0.2">
      <c r="E997" s="3">
        <f t="shared" si="15"/>
        <v>13</v>
      </c>
    </row>
    <row r="998" spans="5:5" x14ac:dyDescent="0.2">
      <c r="E998" s="3">
        <f t="shared" si="15"/>
        <v>13</v>
      </c>
    </row>
    <row r="999" spans="5:5" x14ac:dyDescent="0.2">
      <c r="E999" s="3">
        <f t="shared" si="15"/>
        <v>13</v>
      </c>
    </row>
    <row r="1000" spans="5:5" x14ac:dyDescent="0.2">
      <c r="E1000" s="3">
        <f t="shared" si="15"/>
        <v>13</v>
      </c>
    </row>
    <row r="1001" spans="5:5" x14ac:dyDescent="0.2">
      <c r="E1001" s="3">
        <f t="shared" si="15"/>
        <v>13</v>
      </c>
    </row>
    <row r="1002" spans="5:5" x14ac:dyDescent="0.2">
      <c r="E1002" s="3">
        <f t="shared" si="15"/>
        <v>13</v>
      </c>
    </row>
    <row r="1003" spans="5:5" x14ac:dyDescent="0.2">
      <c r="E1003" s="3">
        <f t="shared" si="15"/>
        <v>13</v>
      </c>
    </row>
    <row r="1004" spans="5:5" x14ac:dyDescent="0.2">
      <c r="E1004" s="3">
        <f t="shared" si="15"/>
        <v>13</v>
      </c>
    </row>
    <row r="1005" spans="5:5" x14ac:dyDescent="0.2">
      <c r="E1005" s="3">
        <f t="shared" si="15"/>
        <v>13</v>
      </c>
    </row>
    <row r="1006" spans="5:5" x14ac:dyDescent="0.2">
      <c r="E1006" s="3">
        <f t="shared" si="15"/>
        <v>13</v>
      </c>
    </row>
    <row r="1007" spans="5:5" x14ac:dyDescent="0.2">
      <c r="E1007" s="3">
        <f t="shared" si="15"/>
        <v>13</v>
      </c>
    </row>
    <row r="1008" spans="5:5" x14ac:dyDescent="0.2">
      <c r="E1008" s="3">
        <f t="shared" si="15"/>
        <v>13</v>
      </c>
    </row>
    <row r="1009" spans="5:5" x14ac:dyDescent="0.2">
      <c r="E1009" s="3">
        <f t="shared" si="15"/>
        <v>13</v>
      </c>
    </row>
    <row r="1010" spans="5:5" x14ac:dyDescent="0.2">
      <c r="E1010" s="3">
        <f t="shared" si="15"/>
        <v>13</v>
      </c>
    </row>
    <row r="1011" spans="5:5" x14ac:dyDescent="0.2">
      <c r="E1011" s="3">
        <f t="shared" si="15"/>
        <v>13</v>
      </c>
    </row>
    <row r="1012" spans="5:5" x14ac:dyDescent="0.2">
      <c r="E1012" s="3">
        <f t="shared" si="15"/>
        <v>13</v>
      </c>
    </row>
    <row r="1013" spans="5:5" x14ac:dyDescent="0.2">
      <c r="E1013" s="3">
        <f t="shared" si="15"/>
        <v>13</v>
      </c>
    </row>
    <row r="1014" spans="5:5" x14ac:dyDescent="0.2">
      <c r="E1014" s="3">
        <f t="shared" si="15"/>
        <v>13</v>
      </c>
    </row>
    <row r="1015" spans="5:5" x14ac:dyDescent="0.2">
      <c r="E1015" s="3">
        <f t="shared" si="15"/>
        <v>13</v>
      </c>
    </row>
    <row r="1016" spans="5:5" x14ac:dyDescent="0.2">
      <c r="E1016" s="3">
        <f t="shared" si="15"/>
        <v>13</v>
      </c>
    </row>
    <row r="1017" spans="5:5" x14ac:dyDescent="0.2">
      <c r="E1017" s="3">
        <f t="shared" si="15"/>
        <v>13</v>
      </c>
    </row>
    <row r="1018" spans="5:5" x14ac:dyDescent="0.2">
      <c r="E1018" s="3">
        <f t="shared" si="15"/>
        <v>13</v>
      </c>
    </row>
    <row r="1019" spans="5:5" x14ac:dyDescent="0.2">
      <c r="E1019" s="3">
        <f t="shared" si="15"/>
        <v>13</v>
      </c>
    </row>
    <row r="1020" spans="5:5" x14ac:dyDescent="0.2">
      <c r="E1020" s="3">
        <f t="shared" si="15"/>
        <v>13</v>
      </c>
    </row>
    <row r="1021" spans="5:5" x14ac:dyDescent="0.2">
      <c r="E1021" s="3">
        <f t="shared" si="15"/>
        <v>13</v>
      </c>
    </row>
    <row r="1022" spans="5:5" x14ac:dyDescent="0.2">
      <c r="E1022" s="3">
        <f t="shared" si="15"/>
        <v>13</v>
      </c>
    </row>
    <row r="1023" spans="5:5" x14ac:dyDescent="0.2">
      <c r="E1023" s="3">
        <f t="shared" si="15"/>
        <v>13</v>
      </c>
    </row>
    <row r="1024" spans="5:5" x14ac:dyDescent="0.2">
      <c r="E1024" s="3">
        <f t="shared" si="15"/>
        <v>13</v>
      </c>
    </row>
    <row r="1025" spans="5:5" x14ac:dyDescent="0.2">
      <c r="E1025" s="3">
        <f t="shared" si="15"/>
        <v>13</v>
      </c>
    </row>
    <row r="1026" spans="5:5" x14ac:dyDescent="0.2">
      <c r="E1026" s="3">
        <f t="shared" si="15"/>
        <v>13</v>
      </c>
    </row>
    <row r="1027" spans="5:5" x14ac:dyDescent="0.2">
      <c r="E1027" s="3">
        <f t="shared" si="15"/>
        <v>13</v>
      </c>
    </row>
    <row r="1028" spans="5:5" x14ac:dyDescent="0.2">
      <c r="E1028" s="3">
        <f t="shared" si="15"/>
        <v>13</v>
      </c>
    </row>
    <row r="1029" spans="5:5" x14ac:dyDescent="0.2">
      <c r="E1029" s="3">
        <f t="shared" si="15"/>
        <v>13</v>
      </c>
    </row>
    <row r="1030" spans="5:5" x14ac:dyDescent="0.2">
      <c r="E1030" s="3">
        <f t="shared" si="15"/>
        <v>13</v>
      </c>
    </row>
    <row r="1031" spans="5:5" x14ac:dyDescent="0.2">
      <c r="E1031" s="3">
        <f t="shared" si="15"/>
        <v>13</v>
      </c>
    </row>
    <row r="1032" spans="5:5" x14ac:dyDescent="0.2">
      <c r="E1032" s="3">
        <f t="shared" si="15"/>
        <v>13</v>
      </c>
    </row>
    <row r="1033" spans="5:5" x14ac:dyDescent="0.2">
      <c r="E1033" s="3">
        <f t="shared" si="15"/>
        <v>13</v>
      </c>
    </row>
    <row r="1034" spans="5:5" x14ac:dyDescent="0.2">
      <c r="E1034" s="3">
        <f t="shared" si="15"/>
        <v>13</v>
      </c>
    </row>
    <row r="1035" spans="5:5" x14ac:dyDescent="0.2">
      <c r="E1035" s="3">
        <f t="shared" si="15"/>
        <v>13</v>
      </c>
    </row>
    <row r="1036" spans="5:5" x14ac:dyDescent="0.2">
      <c r="E1036" s="3">
        <f t="shared" si="15"/>
        <v>13</v>
      </c>
    </row>
    <row r="1037" spans="5:5" x14ac:dyDescent="0.2">
      <c r="E1037" s="3">
        <f t="shared" si="15"/>
        <v>13</v>
      </c>
    </row>
    <row r="1038" spans="5:5" x14ac:dyDescent="0.2">
      <c r="E1038" s="3">
        <f t="shared" si="15"/>
        <v>13</v>
      </c>
    </row>
    <row r="1039" spans="5:5" x14ac:dyDescent="0.2">
      <c r="E1039" s="3">
        <f t="shared" si="15"/>
        <v>13</v>
      </c>
    </row>
    <row r="1040" spans="5:5" x14ac:dyDescent="0.2">
      <c r="E1040" s="3">
        <f t="shared" si="15"/>
        <v>13</v>
      </c>
    </row>
    <row r="1041" spans="5:5" x14ac:dyDescent="0.2">
      <c r="E1041" s="3">
        <f t="shared" si="15"/>
        <v>13</v>
      </c>
    </row>
    <row r="1042" spans="5:5" x14ac:dyDescent="0.2">
      <c r="E1042" s="3">
        <f t="shared" si="15"/>
        <v>13</v>
      </c>
    </row>
    <row r="1043" spans="5:5" x14ac:dyDescent="0.2">
      <c r="E1043" s="3">
        <f t="shared" si="15"/>
        <v>13</v>
      </c>
    </row>
    <row r="1044" spans="5:5" x14ac:dyDescent="0.2">
      <c r="E1044" s="3">
        <f t="shared" si="15"/>
        <v>13</v>
      </c>
    </row>
    <row r="1045" spans="5:5" x14ac:dyDescent="0.2">
      <c r="E1045" s="3">
        <f t="shared" si="15"/>
        <v>13</v>
      </c>
    </row>
    <row r="1046" spans="5:5" x14ac:dyDescent="0.2">
      <c r="E1046" s="3">
        <f t="shared" si="15"/>
        <v>13</v>
      </c>
    </row>
    <row r="1047" spans="5:5" x14ac:dyDescent="0.2">
      <c r="E1047" s="3">
        <f t="shared" si="15"/>
        <v>13</v>
      </c>
    </row>
    <row r="1048" spans="5:5" x14ac:dyDescent="0.2">
      <c r="E1048" s="3">
        <f t="shared" si="15"/>
        <v>13</v>
      </c>
    </row>
    <row r="1049" spans="5:5" x14ac:dyDescent="0.2">
      <c r="E1049" s="3">
        <f t="shared" si="15"/>
        <v>13</v>
      </c>
    </row>
    <row r="1050" spans="5:5" x14ac:dyDescent="0.2">
      <c r="E1050" s="3">
        <f t="shared" si="15"/>
        <v>13</v>
      </c>
    </row>
    <row r="1051" spans="5:5" x14ac:dyDescent="0.2">
      <c r="E1051" s="3">
        <f t="shared" si="15"/>
        <v>13</v>
      </c>
    </row>
    <row r="1052" spans="5:5" x14ac:dyDescent="0.2">
      <c r="E1052" s="3">
        <f t="shared" si="15"/>
        <v>13</v>
      </c>
    </row>
    <row r="1053" spans="5:5" x14ac:dyDescent="0.2">
      <c r="E1053" s="3">
        <f t="shared" si="15"/>
        <v>13</v>
      </c>
    </row>
    <row r="1054" spans="5:5" x14ac:dyDescent="0.2">
      <c r="E1054" s="3">
        <f t="shared" si="15"/>
        <v>13</v>
      </c>
    </row>
    <row r="1055" spans="5:5" x14ac:dyDescent="0.2">
      <c r="E1055" s="3">
        <f t="shared" si="15"/>
        <v>13</v>
      </c>
    </row>
    <row r="1056" spans="5:5" x14ac:dyDescent="0.2">
      <c r="E1056" s="3">
        <f t="shared" ref="E1056:E1119" si="16">IF(A1056=$A$1,E1055+1,E1055)</f>
        <v>13</v>
      </c>
    </row>
    <row r="1057" spans="5:5" x14ac:dyDescent="0.2">
      <c r="E1057" s="3">
        <f t="shared" si="16"/>
        <v>13</v>
      </c>
    </row>
    <row r="1058" spans="5:5" x14ac:dyDescent="0.2">
      <c r="E1058" s="3">
        <f t="shared" si="16"/>
        <v>13</v>
      </c>
    </row>
    <row r="1059" spans="5:5" x14ac:dyDescent="0.2">
      <c r="E1059" s="3">
        <f t="shared" si="16"/>
        <v>13</v>
      </c>
    </row>
    <row r="1060" spans="5:5" x14ac:dyDescent="0.2">
      <c r="E1060" s="3">
        <f t="shared" si="16"/>
        <v>13</v>
      </c>
    </row>
    <row r="1061" spans="5:5" x14ac:dyDescent="0.2">
      <c r="E1061" s="3">
        <f t="shared" si="16"/>
        <v>13</v>
      </c>
    </row>
    <row r="1062" spans="5:5" x14ac:dyDescent="0.2">
      <c r="E1062" s="3">
        <f t="shared" si="16"/>
        <v>13</v>
      </c>
    </row>
    <row r="1063" spans="5:5" x14ac:dyDescent="0.2">
      <c r="E1063" s="3">
        <f t="shared" si="16"/>
        <v>13</v>
      </c>
    </row>
    <row r="1064" spans="5:5" x14ac:dyDescent="0.2">
      <c r="E1064" s="3">
        <f t="shared" si="16"/>
        <v>13</v>
      </c>
    </row>
    <row r="1065" spans="5:5" x14ac:dyDescent="0.2">
      <c r="E1065" s="3">
        <f t="shared" si="16"/>
        <v>13</v>
      </c>
    </row>
    <row r="1066" spans="5:5" x14ac:dyDescent="0.2">
      <c r="E1066" s="3">
        <f t="shared" si="16"/>
        <v>13</v>
      </c>
    </row>
    <row r="1067" spans="5:5" x14ac:dyDescent="0.2">
      <c r="E1067" s="3">
        <f t="shared" si="16"/>
        <v>13</v>
      </c>
    </row>
    <row r="1068" spans="5:5" x14ac:dyDescent="0.2">
      <c r="E1068" s="3">
        <f t="shared" si="16"/>
        <v>13</v>
      </c>
    </row>
    <row r="1069" spans="5:5" x14ac:dyDescent="0.2">
      <c r="E1069" s="3">
        <f t="shared" si="16"/>
        <v>13</v>
      </c>
    </row>
    <row r="1070" spans="5:5" x14ac:dyDescent="0.2">
      <c r="E1070" s="3">
        <f t="shared" si="16"/>
        <v>13</v>
      </c>
    </row>
    <row r="1071" spans="5:5" x14ac:dyDescent="0.2">
      <c r="E1071" s="3">
        <f t="shared" si="16"/>
        <v>13</v>
      </c>
    </row>
    <row r="1072" spans="5:5" x14ac:dyDescent="0.2">
      <c r="E1072" s="3">
        <f t="shared" si="16"/>
        <v>13</v>
      </c>
    </row>
    <row r="1073" spans="5:5" x14ac:dyDescent="0.2">
      <c r="E1073" s="3">
        <f t="shared" si="16"/>
        <v>13</v>
      </c>
    </row>
    <row r="1074" spans="5:5" x14ac:dyDescent="0.2">
      <c r="E1074" s="3">
        <f t="shared" si="16"/>
        <v>13</v>
      </c>
    </row>
    <row r="1075" spans="5:5" x14ac:dyDescent="0.2">
      <c r="E1075" s="3">
        <f t="shared" si="16"/>
        <v>13</v>
      </c>
    </row>
    <row r="1076" spans="5:5" x14ac:dyDescent="0.2">
      <c r="E1076" s="3">
        <f t="shared" si="16"/>
        <v>13</v>
      </c>
    </row>
    <row r="1077" spans="5:5" x14ac:dyDescent="0.2">
      <c r="E1077" s="3">
        <f t="shared" si="16"/>
        <v>13</v>
      </c>
    </row>
    <row r="1078" spans="5:5" x14ac:dyDescent="0.2">
      <c r="E1078" s="3">
        <f t="shared" si="16"/>
        <v>13</v>
      </c>
    </row>
    <row r="1079" spans="5:5" x14ac:dyDescent="0.2">
      <c r="E1079" s="3">
        <f t="shared" si="16"/>
        <v>13</v>
      </c>
    </row>
    <row r="1080" spans="5:5" x14ac:dyDescent="0.2">
      <c r="E1080" s="3">
        <f t="shared" si="16"/>
        <v>13</v>
      </c>
    </row>
    <row r="1081" spans="5:5" x14ac:dyDescent="0.2">
      <c r="E1081" s="3">
        <f t="shared" si="16"/>
        <v>13</v>
      </c>
    </row>
    <row r="1082" spans="5:5" x14ac:dyDescent="0.2">
      <c r="E1082" s="3">
        <f t="shared" si="16"/>
        <v>13</v>
      </c>
    </row>
    <row r="1083" spans="5:5" x14ac:dyDescent="0.2">
      <c r="E1083" s="3">
        <f t="shared" si="16"/>
        <v>13</v>
      </c>
    </row>
    <row r="1084" spans="5:5" x14ac:dyDescent="0.2">
      <c r="E1084" s="3">
        <f t="shared" si="16"/>
        <v>13</v>
      </c>
    </row>
    <row r="1085" spans="5:5" x14ac:dyDescent="0.2">
      <c r="E1085" s="3">
        <f t="shared" si="16"/>
        <v>13</v>
      </c>
    </row>
    <row r="1086" spans="5:5" x14ac:dyDescent="0.2">
      <c r="E1086" s="3">
        <f t="shared" si="16"/>
        <v>13</v>
      </c>
    </row>
    <row r="1087" spans="5:5" x14ac:dyDescent="0.2">
      <c r="E1087" s="3">
        <f t="shared" si="16"/>
        <v>13</v>
      </c>
    </row>
    <row r="1088" spans="5:5" x14ac:dyDescent="0.2">
      <c r="E1088" s="3">
        <f t="shared" si="16"/>
        <v>13</v>
      </c>
    </row>
    <row r="1089" spans="5:5" x14ac:dyDescent="0.2">
      <c r="E1089" s="3">
        <f t="shared" si="16"/>
        <v>13</v>
      </c>
    </row>
    <row r="1090" spans="5:5" x14ac:dyDescent="0.2">
      <c r="E1090" s="3">
        <f t="shared" si="16"/>
        <v>13</v>
      </c>
    </row>
    <row r="1091" spans="5:5" x14ac:dyDescent="0.2">
      <c r="E1091" s="3">
        <f t="shared" si="16"/>
        <v>13</v>
      </c>
    </row>
    <row r="1092" spans="5:5" x14ac:dyDescent="0.2">
      <c r="E1092" s="3">
        <f t="shared" si="16"/>
        <v>13</v>
      </c>
    </row>
    <row r="1093" spans="5:5" x14ac:dyDescent="0.2">
      <c r="E1093" s="3">
        <f t="shared" si="16"/>
        <v>13</v>
      </c>
    </row>
    <row r="1094" spans="5:5" x14ac:dyDescent="0.2">
      <c r="E1094" s="3">
        <f t="shared" si="16"/>
        <v>13</v>
      </c>
    </row>
    <row r="1095" spans="5:5" x14ac:dyDescent="0.2">
      <c r="E1095" s="3">
        <f t="shared" si="16"/>
        <v>13</v>
      </c>
    </row>
    <row r="1096" spans="5:5" x14ac:dyDescent="0.2">
      <c r="E1096" s="3">
        <f t="shared" si="16"/>
        <v>13</v>
      </c>
    </row>
    <row r="1097" spans="5:5" x14ac:dyDescent="0.2">
      <c r="E1097" s="3">
        <f t="shared" si="16"/>
        <v>13</v>
      </c>
    </row>
    <row r="1098" spans="5:5" x14ac:dyDescent="0.2">
      <c r="E1098" s="3">
        <f t="shared" si="16"/>
        <v>13</v>
      </c>
    </row>
    <row r="1099" spans="5:5" x14ac:dyDescent="0.2">
      <c r="E1099" s="3">
        <f t="shared" si="16"/>
        <v>13</v>
      </c>
    </row>
    <row r="1100" spans="5:5" x14ac:dyDescent="0.2">
      <c r="E1100" s="3">
        <f t="shared" si="16"/>
        <v>13</v>
      </c>
    </row>
    <row r="1101" spans="5:5" x14ac:dyDescent="0.2">
      <c r="E1101" s="3">
        <f t="shared" si="16"/>
        <v>13</v>
      </c>
    </row>
    <row r="1102" spans="5:5" x14ac:dyDescent="0.2">
      <c r="E1102" s="3">
        <f t="shared" si="16"/>
        <v>13</v>
      </c>
    </row>
    <row r="1103" spans="5:5" x14ac:dyDescent="0.2">
      <c r="E1103" s="3">
        <f t="shared" si="16"/>
        <v>13</v>
      </c>
    </row>
    <row r="1104" spans="5:5" x14ac:dyDescent="0.2">
      <c r="E1104" s="3">
        <f t="shared" si="16"/>
        <v>13</v>
      </c>
    </row>
    <row r="1105" spans="5:5" x14ac:dyDescent="0.2">
      <c r="E1105" s="3">
        <f t="shared" si="16"/>
        <v>13</v>
      </c>
    </row>
    <row r="1106" spans="5:5" x14ac:dyDescent="0.2">
      <c r="E1106" s="3">
        <f t="shared" si="16"/>
        <v>13</v>
      </c>
    </row>
    <row r="1107" spans="5:5" x14ac:dyDescent="0.2">
      <c r="E1107" s="3">
        <f t="shared" si="16"/>
        <v>13</v>
      </c>
    </row>
    <row r="1108" spans="5:5" x14ac:dyDescent="0.2">
      <c r="E1108" s="3">
        <f t="shared" si="16"/>
        <v>13</v>
      </c>
    </row>
    <row r="1109" spans="5:5" x14ac:dyDescent="0.2">
      <c r="E1109" s="3">
        <f t="shared" si="16"/>
        <v>13</v>
      </c>
    </row>
    <row r="1110" spans="5:5" x14ac:dyDescent="0.2">
      <c r="E1110" s="3">
        <f t="shared" si="16"/>
        <v>13</v>
      </c>
    </row>
    <row r="1111" spans="5:5" x14ac:dyDescent="0.2">
      <c r="E1111" s="3">
        <f t="shared" si="16"/>
        <v>13</v>
      </c>
    </row>
    <row r="1112" spans="5:5" x14ac:dyDescent="0.2">
      <c r="E1112" s="3">
        <f t="shared" si="16"/>
        <v>13</v>
      </c>
    </row>
    <row r="1113" spans="5:5" x14ac:dyDescent="0.2">
      <c r="E1113" s="3">
        <f t="shared" si="16"/>
        <v>13</v>
      </c>
    </row>
    <row r="1114" spans="5:5" x14ac:dyDescent="0.2">
      <c r="E1114" s="3">
        <f t="shared" si="16"/>
        <v>13</v>
      </c>
    </row>
    <row r="1115" spans="5:5" x14ac:dyDescent="0.2">
      <c r="E1115" s="3">
        <f t="shared" si="16"/>
        <v>13</v>
      </c>
    </row>
    <row r="1116" spans="5:5" x14ac:dyDescent="0.2">
      <c r="E1116" s="3">
        <f t="shared" si="16"/>
        <v>13</v>
      </c>
    </row>
    <row r="1117" spans="5:5" x14ac:dyDescent="0.2">
      <c r="E1117" s="3">
        <f t="shared" si="16"/>
        <v>13</v>
      </c>
    </row>
    <row r="1118" spans="5:5" x14ac:dyDescent="0.2">
      <c r="E1118" s="3">
        <f t="shared" si="16"/>
        <v>13</v>
      </c>
    </row>
    <row r="1119" spans="5:5" x14ac:dyDescent="0.2">
      <c r="E1119" s="3">
        <f t="shared" si="16"/>
        <v>13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4E13D-07FF-924B-AAA7-7F948935D7E8}">
  <sheetPr codeName="Sheet13"/>
  <dimension ref="A1:E630"/>
  <sheetViews>
    <sheetView topLeftCell="A434" zoomScale="73" zoomScaleNormal="73" workbookViewId="0">
      <selection activeCell="E1" sqref="E1:E476"/>
    </sheetView>
  </sheetViews>
  <sheetFormatPr baseColWidth="10" defaultRowHeight="16" x14ac:dyDescent="0.2"/>
  <cols>
    <col min="5" max="5" width="23.83203125" bestFit="1" customWidth="1"/>
  </cols>
  <sheetData>
    <row r="1" spans="1:5" x14ac:dyDescent="0.2">
      <c r="A1">
        <v>1</v>
      </c>
      <c r="B1" t="s">
        <v>32</v>
      </c>
      <c r="C1">
        <v>3</v>
      </c>
      <c r="D1">
        <v>16</v>
      </c>
      <c r="E1" t="str">
        <f t="shared" ref="E1:E35" si="0">B1&amp;"/"&amp;D1&amp;"/"&amp;A1&amp;"/"&amp;C1</f>
        <v>OlivierN92/16/1/3</v>
      </c>
    </row>
    <row r="2" spans="1:5" x14ac:dyDescent="0.2">
      <c r="A2">
        <v>2</v>
      </c>
      <c r="B2" t="s">
        <v>18</v>
      </c>
      <c r="C2">
        <v>1</v>
      </c>
      <c r="D2">
        <v>12</v>
      </c>
      <c r="E2" t="str">
        <f t="shared" si="0"/>
        <v>MAMS/12/2/1</v>
      </c>
    </row>
    <row r="3" spans="1:5" x14ac:dyDescent="0.2">
      <c r="A3">
        <v>3</v>
      </c>
      <c r="B3" t="s">
        <v>69</v>
      </c>
      <c r="C3">
        <v>1</v>
      </c>
      <c r="D3">
        <v>8</v>
      </c>
      <c r="E3" t="str">
        <f t="shared" si="0"/>
        <v>Catherine/8/3/1</v>
      </c>
    </row>
    <row r="4" spans="1:5" x14ac:dyDescent="0.2">
      <c r="A4">
        <v>4</v>
      </c>
      <c r="B4" t="s">
        <v>47</v>
      </c>
      <c r="C4">
        <v>0</v>
      </c>
      <c r="D4">
        <v>4</v>
      </c>
      <c r="E4" t="str">
        <f t="shared" si="0"/>
        <v>Logan/4/4/0</v>
      </c>
    </row>
    <row r="5" spans="1:5" x14ac:dyDescent="0.2">
      <c r="A5">
        <v>5</v>
      </c>
      <c r="B5" t="s">
        <v>12</v>
      </c>
      <c r="C5">
        <v>0</v>
      </c>
      <c r="D5">
        <v>2</v>
      </c>
      <c r="E5" t="str">
        <f t="shared" si="0"/>
        <v>Gnak/2/5/0</v>
      </c>
    </row>
    <row r="6" spans="1:5" x14ac:dyDescent="0.2">
      <c r="A6">
        <v>6</v>
      </c>
      <c r="B6" t="s">
        <v>40</v>
      </c>
      <c r="C6">
        <v>0</v>
      </c>
      <c r="D6">
        <v>1</v>
      </c>
      <c r="E6" t="str">
        <f t="shared" si="0"/>
        <v>Lén@/1/6/0</v>
      </c>
    </row>
    <row r="7" spans="1:5" x14ac:dyDescent="0.2">
      <c r="A7">
        <v>1</v>
      </c>
      <c r="B7" t="s">
        <v>31</v>
      </c>
      <c r="C7">
        <v>2</v>
      </c>
      <c r="D7">
        <v>16</v>
      </c>
      <c r="E7" t="str">
        <f t="shared" si="0"/>
        <v>CHRIS92340/16/1/2</v>
      </c>
    </row>
    <row r="8" spans="1:5" x14ac:dyDescent="0.2">
      <c r="A8">
        <v>2</v>
      </c>
      <c r="B8" t="s">
        <v>59</v>
      </c>
      <c r="C8">
        <v>2</v>
      </c>
      <c r="D8">
        <v>12</v>
      </c>
      <c r="E8" t="str">
        <f t="shared" si="0"/>
        <v>YooooDA/12/2/2</v>
      </c>
    </row>
    <row r="9" spans="1:5" x14ac:dyDescent="0.2">
      <c r="A9">
        <v>3</v>
      </c>
      <c r="B9" t="s">
        <v>76</v>
      </c>
      <c r="C9">
        <v>1</v>
      </c>
      <c r="D9">
        <v>8</v>
      </c>
      <c r="E9" t="str">
        <f t="shared" si="0"/>
        <v>Comment2/8/3/1</v>
      </c>
    </row>
    <row r="10" spans="1:5" x14ac:dyDescent="0.2">
      <c r="A10">
        <v>4</v>
      </c>
      <c r="B10" t="s">
        <v>15</v>
      </c>
      <c r="C10">
        <v>0</v>
      </c>
      <c r="D10">
        <v>4</v>
      </c>
      <c r="E10" t="str">
        <f t="shared" si="0"/>
        <v>LAAtof/4/4/0</v>
      </c>
    </row>
    <row r="11" spans="1:5" x14ac:dyDescent="0.2">
      <c r="A11">
        <v>5</v>
      </c>
      <c r="B11" t="s">
        <v>60</v>
      </c>
      <c r="C11">
        <v>0</v>
      </c>
      <c r="D11">
        <v>2</v>
      </c>
      <c r="E11" t="str">
        <f t="shared" si="0"/>
        <v>zizou/2/5/0</v>
      </c>
    </row>
    <row r="12" spans="1:5" x14ac:dyDescent="0.2">
      <c r="A12">
        <v>6</v>
      </c>
      <c r="B12" t="s">
        <v>73</v>
      </c>
      <c r="C12">
        <v>0</v>
      </c>
      <c r="D12">
        <v>1</v>
      </c>
      <c r="E12" t="str">
        <f t="shared" si="0"/>
        <v>Flem/1/6/0</v>
      </c>
    </row>
    <row r="13" spans="1:5" x14ac:dyDescent="0.2">
      <c r="A13">
        <v>1</v>
      </c>
      <c r="B13" t="s">
        <v>68</v>
      </c>
      <c r="C13">
        <v>2</v>
      </c>
      <c r="D13">
        <v>15</v>
      </c>
      <c r="E13" t="str">
        <f t="shared" si="0"/>
        <v>zubbaz/15/1/2</v>
      </c>
    </row>
    <row r="14" spans="1:5" x14ac:dyDescent="0.2">
      <c r="A14">
        <v>2</v>
      </c>
      <c r="B14" t="s">
        <v>65</v>
      </c>
      <c r="C14">
        <v>1</v>
      </c>
      <c r="D14">
        <v>11</v>
      </c>
      <c r="E14" t="str">
        <f t="shared" si="0"/>
        <v>Ripolin/11/2/1</v>
      </c>
    </row>
    <row r="15" spans="1:5" x14ac:dyDescent="0.2">
      <c r="A15">
        <v>3</v>
      </c>
      <c r="B15" t="s">
        <v>26</v>
      </c>
      <c r="C15">
        <v>0</v>
      </c>
      <c r="D15">
        <v>7</v>
      </c>
      <c r="E15" t="str">
        <f t="shared" si="0"/>
        <v>LOSOGRE/7/3/0</v>
      </c>
    </row>
    <row r="16" spans="1:5" x14ac:dyDescent="0.2">
      <c r="A16">
        <v>4</v>
      </c>
      <c r="B16" t="s">
        <v>101</v>
      </c>
      <c r="C16">
        <v>1</v>
      </c>
      <c r="D16">
        <v>3</v>
      </c>
      <c r="E16" t="str">
        <f t="shared" si="0"/>
        <v>ChrisFrankfurt/3/4/1</v>
      </c>
    </row>
    <row r="17" spans="1:5" x14ac:dyDescent="0.2">
      <c r="A17">
        <v>5</v>
      </c>
      <c r="B17" t="s">
        <v>14</v>
      </c>
      <c r="C17">
        <v>0</v>
      </c>
      <c r="D17">
        <v>1</v>
      </c>
      <c r="E17" t="str">
        <f t="shared" si="0"/>
        <v>Ramm/1/5/0</v>
      </c>
    </row>
    <row r="18" spans="1:5" x14ac:dyDescent="0.2">
      <c r="A18">
        <v>1</v>
      </c>
      <c r="B18" t="s">
        <v>75</v>
      </c>
      <c r="C18">
        <v>3</v>
      </c>
      <c r="D18">
        <v>16</v>
      </c>
      <c r="E18" t="str">
        <f t="shared" si="0"/>
        <v>Michelbey/16/1/3</v>
      </c>
    </row>
    <row r="19" spans="1:5" x14ac:dyDescent="0.2">
      <c r="A19">
        <v>2</v>
      </c>
      <c r="B19" t="s">
        <v>55</v>
      </c>
      <c r="C19">
        <v>0</v>
      </c>
      <c r="D19">
        <v>12</v>
      </c>
      <c r="E19" t="str">
        <f t="shared" si="0"/>
        <v>Bounette/12/2/0</v>
      </c>
    </row>
    <row r="20" spans="1:5" x14ac:dyDescent="0.2">
      <c r="A20">
        <v>3</v>
      </c>
      <c r="B20" t="s">
        <v>45</v>
      </c>
      <c r="C20">
        <v>1</v>
      </c>
      <c r="D20">
        <v>8</v>
      </c>
      <c r="E20" t="str">
        <f t="shared" si="0"/>
        <v>yaltar/8/3/1</v>
      </c>
    </row>
    <row r="21" spans="1:5" x14ac:dyDescent="0.2">
      <c r="A21">
        <v>4</v>
      </c>
      <c r="B21" t="s">
        <v>8</v>
      </c>
      <c r="C21">
        <v>1</v>
      </c>
      <c r="D21">
        <v>4</v>
      </c>
      <c r="E21" t="str">
        <f t="shared" si="0"/>
        <v>Maxime/4/4/1</v>
      </c>
    </row>
    <row r="22" spans="1:5" x14ac:dyDescent="0.2">
      <c r="A22">
        <v>5</v>
      </c>
      <c r="B22" t="s">
        <v>9</v>
      </c>
      <c r="C22">
        <v>0</v>
      </c>
      <c r="D22">
        <v>2</v>
      </c>
      <c r="E22" t="str">
        <f t="shared" si="0"/>
        <v>K1/2/5/0</v>
      </c>
    </row>
    <row r="23" spans="1:5" x14ac:dyDescent="0.2">
      <c r="A23">
        <v>6</v>
      </c>
      <c r="B23" t="s">
        <v>92</v>
      </c>
      <c r="C23">
        <v>0</v>
      </c>
      <c r="D23">
        <v>1</v>
      </c>
      <c r="E23" t="str">
        <f t="shared" si="0"/>
        <v>Jacks&amp;Five/1/6/0</v>
      </c>
    </row>
    <row r="24" spans="1:5" x14ac:dyDescent="0.2">
      <c r="A24">
        <v>1</v>
      </c>
      <c r="B24" t="s">
        <v>43</v>
      </c>
      <c r="C24">
        <v>3</v>
      </c>
      <c r="D24">
        <v>15</v>
      </c>
      <c r="E24" t="str">
        <f t="shared" si="0"/>
        <v>KassTwo/15/1/3</v>
      </c>
    </row>
    <row r="25" spans="1:5" x14ac:dyDescent="0.2">
      <c r="A25">
        <v>2</v>
      </c>
      <c r="B25" t="s">
        <v>25</v>
      </c>
      <c r="C25">
        <v>0</v>
      </c>
      <c r="D25">
        <v>11</v>
      </c>
      <c r="E25" t="str">
        <f t="shared" si="0"/>
        <v>Claudius/11/2/0</v>
      </c>
    </row>
    <row r="26" spans="1:5" x14ac:dyDescent="0.2">
      <c r="A26">
        <v>3</v>
      </c>
      <c r="B26" t="s">
        <v>345</v>
      </c>
      <c r="C26">
        <v>1</v>
      </c>
      <c r="D26">
        <v>7</v>
      </c>
      <c r="E26" t="str">
        <f t="shared" si="0"/>
        <v>Thibaultp75/7/3/1</v>
      </c>
    </row>
    <row r="27" spans="1:5" x14ac:dyDescent="0.2">
      <c r="A27">
        <v>4</v>
      </c>
      <c r="B27" t="s">
        <v>21</v>
      </c>
      <c r="C27">
        <v>0</v>
      </c>
      <c r="D27">
        <v>3</v>
      </c>
      <c r="E27" t="str">
        <f t="shared" si="0"/>
        <v>Carmin/3/4/0</v>
      </c>
    </row>
    <row r="28" spans="1:5" x14ac:dyDescent="0.2">
      <c r="A28">
        <v>5</v>
      </c>
      <c r="B28" t="s">
        <v>305</v>
      </c>
      <c r="C28">
        <v>0</v>
      </c>
      <c r="D28">
        <v>1</v>
      </c>
      <c r="E28" t="str">
        <f t="shared" si="0"/>
        <v>flowww/1/5/0</v>
      </c>
    </row>
    <row r="29" spans="1:5" x14ac:dyDescent="0.2">
      <c r="A29">
        <v>1</v>
      </c>
      <c r="B29" t="s">
        <v>54</v>
      </c>
      <c r="C29">
        <v>2</v>
      </c>
      <c r="D29">
        <v>15</v>
      </c>
      <c r="E29" t="str">
        <f t="shared" si="0"/>
        <v>Salsamanu/15/1/2</v>
      </c>
    </row>
    <row r="30" spans="1:5" x14ac:dyDescent="0.2">
      <c r="A30">
        <v>2</v>
      </c>
      <c r="B30" t="s">
        <v>6</v>
      </c>
      <c r="C30">
        <v>2</v>
      </c>
      <c r="D30">
        <v>11</v>
      </c>
      <c r="E30" t="str">
        <f t="shared" si="0"/>
        <v>Pyja/11/2/2</v>
      </c>
    </row>
    <row r="31" spans="1:5" x14ac:dyDescent="0.2">
      <c r="A31">
        <v>3</v>
      </c>
      <c r="B31" t="s">
        <v>46</v>
      </c>
      <c r="C31">
        <v>0</v>
      </c>
      <c r="D31">
        <v>7</v>
      </c>
      <c r="E31" t="str">
        <f t="shared" si="0"/>
        <v>Jérôme/7/3/0</v>
      </c>
    </row>
    <row r="32" spans="1:5" x14ac:dyDescent="0.2">
      <c r="A32">
        <v>4</v>
      </c>
      <c r="B32" t="s">
        <v>87</v>
      </c>
      <c r="C32">
        <v>0</v>
      </c>
      <c r="D32">
        <v>3</v>
      </c>
      <c r="E32" t="str">
        <f t="shared" si="0"/>
        <v>Proph@ne/3/4/0</v>
      </c>
    </row>
    <row r="33" spans="1:5" x14ac:dyDescent="0.2">
      <c r="A33">
        <v>5</v>
      </c>
      <c r="B33" t="s">
        <v>74</v>
      </c>
      <c r="C33">
        <v>0</v>
      </c>
      <c r="D33">
        <v>1</v>
      </c>
      <c r="E33" t="str">
        <f t="shared" si="0"/>
        <v>PatB/1/5/0</v>
      </c>
    </row>
    <row r="34" spans="1:5" x14ac:dyDescent="0.2">
      <c r="A34">
        <v>1</v>
      </c>
      <c r="B34" t="s">
        <v>39</v>
      </c>
      <c r="C34">
        <v>2</v>
      </c>
      <c r="D34">
        <v>16</v>
      </c>
      <c r="E34" t="str">
        <f t="shared" si="0"/>
        <v>kheops/16/1/2</v>
      </c>
    </row>
    <row r="35" spans="1:5" x14ac:dyDescent="0.2">
      <c r="A35">
        <v>2</v>
      </c>
      <c r="B35" t="s">
        <v>42</v>
      </c>
      <c r="C35">
        <v>2</v>
      </c>
      <c r="D35">
        <v>12</v>
      </c>
      <c r="E35" t="str">
        <f t="shared" si="0"/>
        <v>Claptou/12/2/2</v>
      </c>
    </row>
    <row r="36" spans="1:5" x14ac:dyDescent="0.2">
      <c r="A36">
        <v>3</v>
      </c>
      <c r="B36" t="s">
        <v>41</v>
      </c>
      <c r="C36">
        <v>1</v>
      </c>
      <c r="D36">
        <v>8</v>
      </c>
      <c r="E36" t="str">
        <f t="shared" ref="E36:E77" si="1">B36&amp;"/"&amp;D36&amp;"/"&amp;A36&amp;"/"&amp;C36</f>
        <v>gibouille/8/3/1</v>
      </c>
    </row>
    <row r="37" spans="1:5" x14ac:dyDescent="0.2">
      <c r="A37">
        <v>4</v>
      </c>
      <c r="B37" t="s">
        <v>50</v>
      </c>
      <c r="C37">
        <v>0</v>
      </c>
      <c r="D37">
        <v>4</v>
      </c>
      <c r="E37" t="str">
        <f t="shared" si="1"/>
        <v>MLADENGO/4/4/0</v>
      </c>
    </row>
    <row r="38" spans="1:5" x14ac:dyDescent="0.2">
      <c r="A38">
        <v>5</v>
      </c>
      <c r="B38" t="s">
        <v>35</v>
      </c>
      <c r="C38">
        <v>0</v>
      </c>
      <c r="D38">
        <v>2</v>
      </c>
      <c r="E38" t="str">
        <f t="shared" si="1"/>
        <v>JeanMichelTiming/2/5/0</v>
      </c>
    </row>
    <row r="39" spans="1:5" x14ac:dyDescent="0.2">
      <c r="A39">
        <v>6</v>
      </c>
      <c r="B39" t="s">
        <v>28</v>
      </c>
      <c r="C39">
        <v>0</v>
      </c>
      <c r="D39">
        <v>1</v>
      </c>
      <c r="E39" t="str">
        <f t="shared" si="1"/>
        <v>sobab/1/6/0</v>
      </c>
    </row>
    <row r="40" spans="1:5" x14ac:dyDescent="0.2">
      <c r="A40">
        <v>1</v>
      </c>
      <c r="B40" t="s">
        <v>68</v>
      </c>
      <c r="C40">
        <v>5</v>
      </c>
      <c r="D40">
        <v>17</v>
      </c>
      <c r="E40" t="str">
        <f t="shared" si="1"/>
        <v>zubbaz/17/1/5</v>
      </c>
    </row>
    <row r="41" spans="1:5" x14ac:dyDescent="0.2">
      <c r="A41">
        <v>2</v>
      </c>
      <c r="B41" t="s">
        <v>50</v>
      </c>
      <c r="C41">
        <v>0</v>
      </c>
      <c r="D41">
        <v>13</v>
      </c>
      <c r="E41" t="str">
        <f t="shared" si="1"/>
        <v>MLADENGO/13/2/0</v>
      </c>
    </row>
    <row r="42" spans="1:5" x14ac:dyDescent="0.2">
      <c r="A42">
        <v>3</v>
      </c>
      <c r="B42" t="s">
        <v>47</v>
      </c>
      <c r="C42">
        <v>1</v>
      </c>
      <c r="D42">
        <v>9</v>
      </c>
      <c r="E42" t="str">
        <f t="shared" si="1"/>
        <v>Logan/9/3/1</v>
      </c>
    </row>
    <row r="43" spans="1:5" x14ac:dyDescent="0.2">
      <c r="A43">
        <v>4</v>
      </c>
      <c r="B43" t="s">
        <v>8</v>
      </c>
      <c r="C43">
        <v>0</v>
      </c>
      <c r="D43">
        <v>5</v>
      </c>
      <c r="E43" t="str">
        <f t="shared" si="1"/>
        <v>Maxime/5/4/0</v>
      </c>
    </row>
    <row r="44" spans="1:5" x14ac:dyDescent="0.2">
      <c r="A44">
        <v>5</v>
      </c>
      <c r="B44" t="s">
        <v>45</v>
      </c>
      <c r="C44">
        <v>0</v>
      </c>
      <c r="D44">
        <v>3</v>
      </c>
      <c r="E44" t="str">
        <f t="shared" si="1"/>
        <v>yaltar/3/5/0</v>
      </c>
    </row>
    <row r="45" spans="1:5" x14ac:dyDescent="0.2">
      <c r="A45">
        <v>6</v>
      </c>
      <c r="B45" t="s">
        <v>92</v>
      </c>
      <c r="C45">
        <v>0</v>
      </c>
      <c r="D45">
        <v>2</v>
      </c>
      <c r="E45" t="str">
        <f t="shared" si="1"/>
        <v>Jacks&amp;Five/2/6/0</v>
      </c>
    </row>
    <row r="46" spans="1:5" x14ac:dyDescent="0.2">
      <c r="A46">
        <v>7</v>
      </c>
      <c r="B46" t="s">
        <v>43</v>
      </c>
      <c r="C46">
        <v>0</v>
      </c>
      <c r="D46">
        <v>1</v>
      </c>
      <c r="E46" t="str">
        <f t="shared" si="1"/>
        <v>KassTwo/1/7/0</v>
      </c>
    </row>
    <row r="47" spans="1:5" x14ac:dyDescent="0.2">
      <c r="A47">
        <v>1</v>
      </c>
      <c r="B47" t="s">
        <v>14</v>
      </c>
      <c r="C47">
        <v>2</v>
      </c>
      <c r="D47">
        <v>16</v>
      </c>
      <c r="E47" t="str">
        <f t="shared" si="1"/>
        <v>Ramm/16/1/2</v>
      </c>
    </row>
    <row r="48" spans="1:5" x14ac:dyDescent="0.2">
      <c r="A48">
        <v>2</v>
      </c>
      <c r="B48" t="s">
        <v>35</v>
      </c>
      <c r="C48">
        <v>2</v>
      </c>
      <c r="D48">
        <v>12</v>
      </c>
      <c r="E48" t="str">
        <f t="shared" si="1"/>
        <v>JeanMichelTiming/12/2/2</v>
      </c>
    </row>
    <row r="49" spans="1:5" x14ac:dyDescent="0.2">
      <c r="A49">
        <v>3</v>
      </c>
      <c r="B49" t="s">
        <v>101</v>
      </c>
      <c r="C49">
        <v>0</v>
      </c>
      <c r="D49">
        <v>8</v>
      </c>
      <c r="E49" t="str">
        <f t="shared" si="1"/>
        <v>ChrisFrankfurt/8/3/0</v>
      </c>
    </row>
    <row r="50" spans="1:5" x14ac:dyDescent="0.2">
      <c r="A50">
        <v>4</v>
      </c>
      <c r="B50" t="s">
        <v>40</v>
      </c>
      <c r="C50">
        <v>1</v>
      </c>
      <c r="D50">
        <v>4</v>
      </c>
      <c r="E50" t="str">
        <f t="shared" si="1"/>
        <v>Lén@/4/4/1</v>
      </c>
    </row>
    <row r="51" spans="1:5" x14ac:dyDescent="0.2">
      <c r="A51">
        <v>5</v>
      </c>
      <c r="B51" t="s">
        <v>61</v>
      </c>
      <c r="C51">
        <v>0</v>
      </c>
      <c r="D51">
        <v>2</v>
      </c>
      <c r="E51" t="str">
        <f t="shared" si="1"/>
        <v>Kri-lin/2/5/0</v>
      </c>
    </row>
    <row r="52" spans="1:5" x14ac:dyDescent="0.2">
      <c r="A52">
        <v>6</v>
      </c>
      <c r="B52" t="s">
        <v>69</v>
      </c>
      <c r="C52">
        <v>0</v>
      </c>
      <c r="D52">
        <v>1</v>
      </c>
      <c r="E52" t="str">
        <f t="shared" si="1"/>
        <v>Catherine/1/6/0</v>
      </c>
    </row>
    <row r="53" spans="1:5" x14ac:dyDescent="0.2">
      <c r="A53">
        <v>1</v>
      </c>
      <c r="B53" t="s">
        <v>46</v>
      </c>
      <c r="C53">
        <v>2</v>
      </c>
      <c r="D53">
        <v>16</v>
      </c>
      <c r="E53" t="str">
        <f t="shared" si="1"/>
        <v>Jérôme/16/1/2</v>
      </c>
    </row>
    <row r="54" spans="1:5" x14ac:dyDescent="0.2">
      <c r="A54">
        <v>2</v>
      </c>
      <c r="B54" t="s">
        <v>18</v>
      </c>
      <c r="C54">
        <v>3</v>
      </c>
      <c r="D54">
        <v>12</v>
      </c>
      <c r="E54" t="str">
        <f t="shared" si="1"/>
        <v>MAMS/12/2/3</v>
      </c>
    </row>
    <row r="55" spans="1:5" x14ac:dyDescent="0.2">
      <c r="A55">
        <v>3</v>
      </c>
      <c r="B55" t="s">
        <v>25</v>
      </c>
      <c r="C55">
        <v>0</v>
      </c>
      <c r="D55">
        <v>8</v>
      </c>
      <c r="E55" t="str">
        <f t="shared" si="1"/>
        <v>Claudius/8/3/0</v>
      </c>
    </row>
    <row r="56" spans="1:5" x14ac:dyDescent="0.2">
      <c r="A56">
        <v>4</v>
      </c>
      <c r="B56" t="s">
        <v>102</v>
      </c>
      <c r="C56">
        <v>0</v>
      </c>
      <c r="D56">
        <v>4</v>
      </c>
      <c r="E56" t="str">
        <f t="shared" si="1"/>
        <v>Doudoululu/4/4/0</v>
      </c>
    </row>
    <row r="57" spans="1:5" x14ac:dyDescent="0.2">
      <c r="A57">
        <v>5</v>
      </c>
      <c r="B57" t="s">
        <v>88</v>
      </c>
      <c r="C57">
        <v>0</v>
      </c>
      <c r="D57">
        <v>2</v>
      </c>
      <c r="E57" t="str">
        <f t="shared" si="1"/>
        <v>Yarael/2/5/0</v>
      </c>
    </row>
    <row r="58" spans="1:5" x14ac:dyDescent="0.2">
      <c r="A58">
        <v>6</v>
      </c>
      <c r="B58" t="s">
        <v>38</v>
      </c>
      <c r="C58">
        <v>0</v>
      </c>
      <c r="D58">
        <v>1</v>
      </c>
      <c r="E58" t="str">
        <f t="shared" si="1"/>
        <v>cTTprmoa/1/6/0</v>
      </c>
    </row>
    <row r="59" spans="1:5" x14ac:dyDescent="0.2">
      <c r="A59">
        <v>1</v>
      </c>
      <c r="B59" t="s">
        <v>6</v>
      </c>
      <c r="C59">
        <v>2</v>
      </c>
      <c r="D59">
        <v>16</v>
      </c>
      <c r="E59" t="str">
        <f t="shared" si="1"/>
        <v>Pyja/16/1/2</v>
      </c>
    </row>
    <row r="60" spans="1:5" x14ac:dyDescent="0.2">
      <c r="A60">
        <v>2</v>
      </c>
      <c r="B60" t="s">
        <v>29</v>
      </c>
      <c r="C60">
        <v>2</v>
      </c>
      <c r="D60">
        <v>12</v>
      </c>
      <c r="E60" t="str">
        <f t="shared" si="1"/>
        <v>NoDoubt/12/2/2</v>
      </c>
    </row>
    <row r="61" spans="1:5" x14ac:dyDescent="0.2">
      <c r="A61">
        <v>3</v>
      </c>
      <c r="B61" t="s">
        <v>9</v>
      </c>
      <c r="C61">
        <v>1</v>
      </c>
      <c r="D61">
        <v>8</v>
      </c>
      <c r="E61" t="str">
        <f t="shared" si="1"/>
        <v>K1/8/3/1</v>
      </c>
    </row>
    <row r="62" spans="1:5" x14ac:dyDescent="0.2">
      <c r="A62">
        <v>4</v>
      </c>
      <c r="B62" t="s">
        <v>76</v>
      </c>
      <c r="C62">
        <v>0</v>
      </c>
      <c r="D62">
        <v>4</v>
      </c>
      <c r="E62" t="str">
        <f t="shared" si="1"/>
        <v>Comment2/4/4/0</v>
      </c>
    </row>
    <row r="63" spans="1:5" x14ac:dyDescent="0.2">
      <c r="A63">
        <v>5</v>
      </c>
      <c r="B63" t="s">
        <v>28</v>
      </c>
      <c r="C63">
        <v>0</v>
      </c>
      <c r="D63">
        <v>2</v>
      </c>
      <c r="E63" t="str">
        <f t="shared" si="1"/>
        <v>sobab/2/5/0</v>
      </c>
    </row>
    <row r="64" spans="1:5" x14ac:dyDescent="0.2">
      <c r="A64">
        <v>6</v>
      </c>
      <c r="B64" t="s">
        <v>87</v>
      </c>
      <c r="C64">
        <v>0</v>
      </c>
      <c r="D64">
        <v>1</v>
      </c>
      <c r="E64" t="str">
        <f t="shared" si="1"/>
        <v>Proph@ne/1/6/0</v>
      </c>
    </row>
    <row r="65" spans="1:5" x14ac:dyDescent="0.2">
      <c r="A65">
        <v>1</v>
      </c>
      <c r="B65" t="s">
        <v>66</v>
      </c>
      <c r="C65">
        <v>3</v>
      </c>
      <c r="D65">
        <v>16</v>
      </c>
      <c r="E65" t="str">
        <f t="shared" si="1"/>
        <v>Ad Vitam/16/1/3</v>
      </c>
    </row>
    <row r="66" spans="1:5" x14ac:dyDescent="0.2">
      <c r="A66">
        <v>2</v>
      </c>
      <c r="B66" t="s">
        <v>23</v>
      </c>
      <c r="C66">
        <v>0</v>
      </c>
      <c r="D66">
        <v>12</v>
      </c>
      <c r="E66" t="str">
        <f t="shared" si="1"/>
        <v>Lylith75/12/2/0</v>
      </c>
    </row>
    <row r="67" spans="1:5" x14ac:dyDescent="0.2">
      <c r="A67">
        <v>3</v>
      </c>
      <c r="B67" t="s">
        <v>65</v>
      </c>
      <c r="C67">
        <v>1</v>
      </c>
      <c r="D67">
        <v>8</v>
      </c>
      <c r="E67" t="str">
        <f t="shared" si="1"/>
        <v>Ripolin/8/3/1</v>
      </c>
    </row>
    <row r="68" spans="1:5" x14ac:dyDescent="0.2">
      <c r="A68">
        <v>4</v>
      </c>
      <c r="B68" t="s">
        <v>74</v>
      </c>
      <c r="C68">
        <v>1</v>
      </c>
      <c r="D68">
        <v>4</v>
      </c>
      <c r="E68" t="str">
        <f t="shared" si="1"/>
        <v>PatB/4/4/1</v>
      </c>
    </row>
    <row r="69" spans="1:5" x14ac:dyDescent="0.2">
      <c r="A69">
        <v>5</v>
      </c>
      <c r="B69" t="s">
        <v>15</v>
      </c>
      <c r="C69">
        <v>0</v>
      </c>
      <c r="D69">
        <v>2</v>
      </c>
      <c r="E69" t="str">
        <f t="shared" si="1"/>
        <v>LAAtof/2/5/0</v>
      </c>
    </row>
    <row r="70" spans="1:5" x14ac:dyDescent="0.2">
      <c r="A70">
        <v>6</v>
      </c>
      <c r="B70" t="s">
        <v>345</v>
      </c>
      <c r="C70">
        <v>0</v>
      </c>
      <c r="D70">
        <v>1</v>
      </c>
      <c r="E70" t="str">
        <f t="shared" si="1"/>
        <v>Thibaultp75/1/6/0</v>
      </c>
    </row>
    <row r="71" spans="1:5" x14ac:dyDescent="0.2">
      <c r="A71">
        <v>1</v>
      </c>
      <c r="B71" t="s">
        <v>12</v>
      </c>
      <c r="C71">
        <v>4</v>
      </c>
      <c r="D71">
        <v>17</v>
      </c>
      <c r="E71" t="str">
        <f t="shared" si="1"/>
        <v>Gnak/17/1/4</v>
      </c>
    </row>
    <row r="72" spans="1:5" x14ac:dyDescent="0.2">
      <c r="A72">
        <v>2</v>
      </c>
      <c r="B72" t="s">
        <v>21</v>
      </c>
      <c r="C72">
        <v>0</v>
      </c>
      <c r="D72">
        <v>13</v>
      </c>
      <c r="E72" t="str">
        <f t="shared" si="1"/>
        <v>Carmin/13/2/0</v>
      </c>
    </row>
    <row r="73" spans="1:5" x14ac:dyDescent="0.2">
      <c r="A73">
        <v>3</v>
      </c>
      <c r="B73" t="s">
        <v>75</v>
      </c>
      <c r="C73">
        <v>1</v>
      </c>
      <c r="D73">
        <v>9</v>
      </c>
      <c r="E73" t="str">
        <f t="shared" si="1"/>
        <v>Michelbey/9/3/1</v>
      </c>
    </row>
    <row r="74" spans="1:5" x14ac:dyDescent="0.2">
      <c r="A74">
        <v>4</v>
      </c>
      <c r="B74" t="s">
        <v>42</v>
      </c>
      <c r="C74">
        <v>0</v>
      </c>
      <c r="D74">
        <v>5</v>
      </c>
      <c r="E74" t="str">
        <f t="shared" si="1"/>
        <v>Claptou/5/4/0</v>
      </c>
    </row>
    <row r="75" spans="1:5" x14ac:dyDescent="0.2">
      <c r="A75">
        <v>5</v>
      </c>
      <c r="B75" t="s">
        <v>31</v>
      </c>
      <c r="C75">
        <v>1</v>
      </c>
      <c r="D75">
        <v>3</v>
      </c>
      <c r="E75" t="str">
        <f t="shared" si="1"/>
        <v>CHRIS92340/3/5/1</v>
      </c>
    </row>
    <row r="76" spans="1:5" x14ac:dyDescent="0.2">
      <c r="A76">
        <v>6</v>
      </c>
      <c r="B76" t="s">
        <v>41</v>
      </c>
      <c r="C76">
        <v>0</v>
      </c>
      <c r="D76">
        <v>2</v>
      </c>
      <c r="E76" t="str">
        <f t="shared" si="1"/>
        <v>gibouille/2/6/0</v>
      </c>
    </row>
    <row r="77" spans="1:5" x14ac:dyDescent="0.2">
      <c r="A77">
        <v>7</v>
      </c>
      <c r="B77" t="s">
        <v>33</v>
      </c>
      <c r="C77">
        <v>0</v>
      </c>
      <c r="D77">
        <v>1</v>
      </c>
      <c r="E77" t="str">
        <f t="shared" si="1"/>
        <v>Ptit Savoyard/1/7/0</v>
      </c>
    </row>
    <row r="78" spans="1:5" x14ac:dyDescent="0.2">
      <c r="A78">
        <v>1</v>
      </c>
      <c r="B78" t="s">
        <v>52</v>
      </c>
      <c r="C78">
        <v>2</v>
      </c>
      <c r="D78">
        <v>16</v>
      </c>
      <c r="E78" t="str">
        <f t="shared" ref="E78:E120" si="2">B78&amp;"/"&amp;D78&amp;"/"&amp;A78&amp;"/"&amp;C78</f>
        <v>Coach Pepito/16/1/2</v>
      </c>
    </row>
    <row r="79" spans="1:5" x14ac:dyDescent="0.2">
      <c r="A79">
        <v>2</v>
      </c>
      <c r="B79" t="s">
        <v>59</v>
      </c>
      <c r="C79">
        <v>3</v>
      </c>
      <c r="D79">
        <v>12</v>
      </c>
      <c r="E79" t="str">
        <f t="shared" si="2"/>
        <v>YooooDA/12/2/3</v>
      </c>
    </row>
    <row r="80" spans="1:5" x14ac:dyDescent="0.2">
      <c r="A80">
        <v>3</v>
      </c>
      <c r="B80" t="s">
        <v>19</v>
      </c>
      <c r="C80">
        <v>0</v>
      </c>
      <c r="D80">
        <v>8</v>
      </c>
      <c r="E80" t="str">
        <f t="shared" si="2"/>
        <v>Giobeck/8/3/0</v>
      </c>
    </row>
    <row r="81" spans="1:5" x14ac:dyDescent="0.2">
      <c r="A81">
        <v>4</v>
      </c>
      <c r="B81" t="s">
        <v>54</v>
      </c>
      <c r="C81">
        <v>0</v>
      </c>
      <c r="D81">
        <v>4</v>
      </c>
      <c r="E81" t="str">
        <f t="shared" si="2"/>
        <v>Salsamanu/4/4/0</v>
      </c>
    </row>
    <row r="82" spans="1:5" x14ac:dyDescent="0.2">
      <c r="A82">
        <v>5</v>
      </c>
      <c r="B82" t="s">
        <v>32</v>
      </c>
      <c r="C82">
        <v>0</v>
      </c>
      <c r="D82">
        <v>2</v>
      </c>
      <c r="E82" t="str">
        <f t="shared" si="2"/>
        <v>OlivierN92/2/5/0</v>
      </c>
    </row>
    <row r="83" spans="1:5" x14ac:dyDescent="0.2">
      <c r="A83">
        <v>6</v>
      </c>
      <c r="B83" t="s">
        <v>26</v>
      </c>
      <c r="C83">
        <v>0</v>
      </c>
      <c r="D83">
        <v>1</v>
      </c>
      <c r="E83" t="str">
        <f t="shared" si="2"/>
        <v>LOSOGRE/1/6/0</v>
      </c>
    </row>
    <row r="84" spans="1:5" x14ac:dyDescent="0.2">
      <c r="A84">
        <v>1</v>
      </c>
      <c r="B84" t="s">
        <v>61</v>
      </c>
      <c r="C84">
        <v>2</v>
      </c>
      <c r="D84">
        <v>16</v>
      </c>
      <c r="E84" t="str">
        <f t="shared" si="2"/>
        <v>Kri-lin/16/1/2</v>
      </c>
    </row>
    <row r="85" spans="1:5" x14ac:dyDescent="0.2">
      <c r="A85">
        <v>2</v>
      </c>
      <c r="B85" t="s">
        <v>12</v>
      </c>
      <c r="C85">
        <v>2</v>
      </c>
      <c r="D85">
        <v>12</v>
      </c>
      <c r="E85" t="str">
        <f t="shared" si="2"/>
        <v>Gnak/12/2/2</v>
      </c>
    </row>
    <row r="86" spans="1:5" x14ac:dyDescent="0.2">
      <c r="A86">
        <v>3</v>
      </c>
      <c r="B86" t="s">
        <v>14</v>
      </c>
      <c r="C86">
        <v>1</v>
      </c>
      <c r="D86">
        <v>8</v>
      </c>
      <c r="E86" t="str">
        <f t="shared" si="2"/>
        <v>Ramm/8/3/1</v>
      </c>
    </row>
    <row r="87" spans="1:5" x14ac:dyDescent="0.2">
      <c r="A87">
        <v>4</v>
      </c>
      <c r="B87" t="s">
        <v>81</v>
      </c>
      <c r="C87">
        <v>0</v>
      </c>
      <c r="D87">
        <v>4</v>
      </c>
      <c r="E87" t="str">
        <f t="shared" si="2"/>
        <v>Empedocle/4/4/0</v>
      </c>
    </row>
    <row r="88" spans="1:5" x14ac:dyDescent="0.2">
      <c r="A88">
        <v>5</v>
      </c>
      <c r="B88" t="s">
        <v>18</v>
      </c>
      <c r="C88">
        <v>0</v>
      </c>
      <c r="D88">
        <v>2</v>
      </c>
      <c r="E88" t="str">
        <f t="shared" si="2"/>
        <v>MAMS/2/5/0</v>
      </c>
    </row>
    <row r="89" spans="1:5" x14ac:dyDescent="0.2">
      <c r="A89">
        <v>6</v>
      </c>
      <c r="B89" t="s">
        <v>92</v>
      </c>
      <c r="C89">
        <v>0</v>
      </c>
      <c r="D89">
        <v>1</v>
      </c>
      <c r="E89" t="str">
        <f t="shared" si="2"/>
        <v>Jacks&amp;Five/1/6/0</v>
      </c>
    </row>
    <row r="90" spans="1:5" x14ac:dyDescent="0.2">
      <c r="A90">
        <v>1</v>
      </c>
      <c r="B90" t="s">
        <v>98</v>
      </c>
      <c r="C90">
        <v>2</v>
      </c>
      <c r="D90">
        <v>17</v>
      </c>
      <c r="E90" t="str">
        <f t="shared" si="2"/>
        <v>Blocknote/17/1/2</v>
      </c>
    </row>
    <row r="91" spans="1:5" x14ac:dyDescent="0.2">
      <c r="A91">
        <v>2</v>
      </c>
      <c r="B91" t="s">
        <v>39</v>
      </c>
      <c r="C91">
        <v>4</v>
      </c>
      <c r="D91">
        <v>13</v>
      </c>
      <c r="E91" t="str">
        <f t="shared" si="2"/>
        <v>kheops/13/2/4</v>
      </c>
    </row>
    <row r="92" spans="1:5" x14ac:dyDescent="0.2">
      <c r="A92">
        <v>3</v>
      </c>
      <c r="B92" t="s">
        <v>8</v>
      </c>
      <c r="C92">
        <v>0</v>
      </c>
      <c r="D92">
        <v>9</v>
      </c>
      <c r="E92" t="str">
        <f t="shared" si="2"/>
        <v>Maxime/9/3/0</v>
      </c>
    </row>
    <row r="93" spans="1:5" x14ac:dyDescent="0.2">
      <c r="A93">
        <v>4</v>
      </c>
      <c r="B93" t="s">
        <v>19</v>
      </c>
      <c r="C93">
        <v>0</v>
      </c>
      <c r="D93">
        <v>5</v>
      </c>
      <c r="E93" t="str">
        <f t="shared" si="2"/>
        <v>Giobeck/5/4/0</v>
      </c>
    </row>
    <row r="94" spans="1:5" x14ac:dyDescent="0.2">
      <c r="A94">
        <v>5</v>
      </c>
      <c r="B94" t="s">
        <v>33</v>
      </c>
      <c r="C94">
        <v>0</v>
      </c>
      <c r="D94">
        <v>3</v>
      </c>
      <c r="E94" t="str">
        <f t="shared" si="2"/>
        <v>Ptit Savoyard/3/5/0</v>
      </c>
    </row>
    <row r="95" spans="1:5" x14ac:dyDescent="0.2">
      <c r="A95">
        <v>6</v>
      </c>
      <c r="B95" t="s">
        <v>368</v>
      </c>
      <c r="C95">
        <v>0</v>
      </c>
      <c r="D95">
        <v>2</v>
      </c>
      <c r="E95" t="str">
        <f t="shared" si="2"/>
        <v>Wasp/2/6/0</v>
      </c>
    </row>
    <row r="96" spans="1:5" x14ac:dyDescent="0.2">
      <c r="A96">
        <v>7</v>
      </c>
      <c r="B96" t="s">
        <v>76</v>
      </c>
      <c r="C96">
        <v>0</v>
      </c>
      <c r="D96">
        <v>1</v>
      </c>
      <c r="E96" t="str">
        <f t="shared" si="2"/>
        <v>Comment2/1/7/0</v>
      </c>
    </row>
    <row r="97" spans="1:5" x14ac:dyDescent="0.2">
      <c r="A97">
        <v>1</v>
      </c>
      <c r="B97" t="s">
        <v>40</v>
      </c>
      <c r="C97">
        <v>4</v>
      </c>
      <c r="D97">
        <v>17</v>
      </c>
      <c r="E97" t="str">
        <f t="shared" si="2"/>
        <v>Lén@/17/1/4</v>
      </c>
    </row>
    <row r="98" spans="1:5" x14ac:dyDescent="0.2">
      <c r="A98">
        <v>2</v>
      </c>
      <c r="B98" t="s">
        <v>305</v>
      </c>
      <c r="C98">
        <v>2</v>
      </c>
      <c r="D98">
        <v>13</v>
      </c>
      <c r="E98" t="str">
        <f t="shared" si="2"/>
        <v>flowww/13/2/2</v>
      </c>
    </row>
    <row r="99" spans="1:5" x14ac:dyDescent="0.2">
      <c r="A99">
        <v>3</v>
      </c>
      <c r="B99" t="s">
        <v>55</v>
      </c>
      <c r="C99">
        <v>0</v>
      </c>
      <c r="D99">
        <v>9</v>
      </c>
      <c r="E99" t="str">
        <f t="shared" si="2"/>
        <v>Bounette/9/3/0</v>
      </c>
    </row>
    <row r="100" spans="1:5" x14ac:dyDescent="0.2">
      <c r="A100">
        <v>4</v>
      </c>
      <c r="B100" t="s">
        <v>47</v>
      </c>
      <c r="C100">
        <v>0</v>
      </c>
      <c r="D100">
        <v>5</v>
      </c>
      <c r="E100" t="str">
        <f t="shared" si="2"/>
        <v>Logan/5/4/0</v>
      </c>
    </row>
    <row r="101" spans="1:5" x14ac:dyDescent="0.2">
      <c r="A101">
        <v>5</v>
      </c>
      <c r="B101" t="s">
        <v>69</v>
      </c>
      <c r="C101">
        <v>0</v>
      </c>
      <c r="D101">
        <v>3</v>
      </c>
      <c r="E101" t="str">
        <f t="shared" si="2"/>
        <v>Catherine/3/5/0</v>
      </c>
    </row>
    <row r="102" spans="1:5" x14ac:dyDescent="0.2">
      <c r="A102">
        <v>6</v>
      </c>
      <c r="B102" t="s">
        <v>43</v>
      </c>
      <c r="C102">
        <v>0</v>
      </c>
      <c r="D102">
        <v>2</v>
      </c>
      <c r="E102" t="str">
        <f t="shared" si="2"/>
        <v>KassTwo/2/6/0</v>
      </c>
    </row>
    <row r="103" spans="1:5" x14ac:dyDescent="0.2">
      <c r="A103">
        <v>7</v>
      </c>
      <c r="B103" t="s">
        <v>42</v>
      </c>
      <c r="C103">
        <v>0</v>
      </c>
      <c r="D103">
        <v>1</v>
      </c>
      <c r="E103" t="str">
        <f t="shared" si="2"/>
        <v>Claptou/1/7/0</v>
      </c>
    </row>
    <row r="104" spans="1:5" x14ac:dyDescent="0.2">
      <c r="A104">
        <v>1</v>
      </c>
      <c r="B104" t="s">
        <v>23</v>
      </c>
      <c r="C104">
        <v>1</v>
      </c>
      <c r="D104">
        <v>17</v>
      </c>
      <c r="E104" t="str">
        <f t="shared" si="2"/>
        <v>Lylith75/17/1/1</v>
      </c>
    </row>
    <row r="105" spans="1:5" x14ac:dyDescent="0.2">
      <c r="A105">
        <v>2</v>
      </c>
      <c r="B105" t="s">
        <v>41</v>
      </c>
      <c r="C105">
        <v>1</v>
      </c>
      <c r="D105">
        <v>13</v>
      </c>
      <c r="E105" t="str">
        <f t="shared" si="2"/>
        <v>gibouille/13/2/1</v>
      </c>
    </row>
    <row r="106" spans="1:5" x14ac:dyDescent="0.2">
      <c r="A106">
        <v>3</v>
      </c>
      <c r="B106" t="s">
        <v>59</v>
      </c>
      <c r="C106">
        <v>1</v>
      </c>
      <c r="D106">
        <v>9</v>
      </c>
      <c r="E106" t="str">
        <f t="shared" si="2"/>
        <v>YooooDA/9/3/1</v>
      </c>
    </row>
    <row r="107" spans="1:5" x14ac:dyDescent="0.2">
      <c r="A107">
        <v>4</v>
      </c>
      <c r="B107" t="s">
        <v>32</v>
      </c>
      <c r="C107">
        <v>0</v>
      </c>
      <c r="D107">
        <v>5</v>
      </c>
      <c r="E107" t="str">
        <f t="shared" si="2"/>
        <v>OlivierN92/5/4/0</v>
      </c>
    </row>
    <row r="108" spans="1:5" x14ac:dyDescent="0.2">
      <c r="A108">
        <v>5</v>
      </c>
      <c r="B108" t="s">
        <v>25</v>
      </c>
      <c r="C108">
        <v>1</v>
      </c>
      <c r="D108">
        <v>3</v>
      </c>
      <c r="E108" t="str">
        <f t="shared" si="2"/>
        <v>Claudius/3/5/1</v>
      </c>
    </row>
    <row r="109" spans="1:5" x14ac:dyDescent="0.2">
      <c r="A109">
        <v>6</v>
      </c>
      <c r="B109" t="s">
        <v>87</v>
      </c>
      <c r="C109">
        <v>1</v>
      </c>
      <c r="D109">
        <v>2</v>
      </c>
      <c r="E109" t="str">
        <f t="shared" si="2"/>
        <v>Proph@ne/2/6/1</v>
      </c>
    </row>
    <row r="110" spans="1:5" x14ac:dyDescent="0.2">
      <c r="A110">
        <v>7</v>
      </c>
      <c r="B110" t="s">
        <v>103</v>
      </c>
      <c r="C110">
        <v>0</v>
      </c>
      <c r="D110">
        <v>1</v>
      </c>
      <c r="E110" t="str">
        <f t="shared" si="2"/>
        <v>zzav/1/7/0</v>
      </c>
    </row>
    <row r="111" spans="1:5" x14ac:dyDescent="0.2">
      <c r="A111">
        <v>1</v>
      </c>
      <c r="B111" t="s">
        <v>6</v>
      </c>
      <c r="C111">
        <v>1</v>
      </c>
      <c r="D111">
        <v>16</v>
      </c>
      <c r="E111" t="str">
        <f t="shared" si="2"/>
        <v>Pyja/16/1/1</v>
      </c>
    </row>
    <row r="112" spans="1:5" x14ac:dyDescent="0.2">
      <c r="A112">
        <v>2</v>
      </c>
      <c r="B112" t="s">
        <v>102</v>
      </c>
      <c r="C112">
        <v>3</v>
      </c>
      <c r="D112">
        <v>12</v>
      </c>
      <c r="E112" t="str">
        <f t="shared" si="2"/>
        <v>Doudoululu/12/2/3</v>
      </c>
    </row>
    <row r="113" spans="1:5" x14ac:dyDescent="0.2">
      <c r="A113">
        <v>3</v>
      </c>
      <c r="B113" t="s">
        <v>75</v>
      </c>
      <c r="C113">
        <v>1</v>
      </c>
      <c r="D113">
        <v>8</v>
      </c>
      <c r="E113" t="str">
        <f t="shared" si="2"/>
        <v>Michelbey/8/3/1</v>
      </c>
    </row>
    <row r="114" spans="1:5" x14ac:dyDescent="0.2">
      <c r="A114">
        <v>4</v>
      </c>
      <c r="B114" t="s">
        <v>50</v>
      </c>
      <c r="C114">
        <v>0</v>
      </c>
      <c r="D114">
        <v>4</v>
      </c>
      <c r="E114" t="str">
        <f t="shared" si="2"/>
        <v>MLADENGO/4/4/0</v>
      </c>
    </row>
    <row r="115" spans="1:5" x14ac:dyDescent="0.2">
      <c r="A115">
        <v>5</v>
      </c>
      <c r="B115" t="s">
        <v>60</v>
      </c>
      <c r="C115">
        <v>0</v>
      </c>
      <c r="D115">
        <v>2</v>
      </c>
      <c r="E115" t="str">
        <f t="shared" si="2"/>
        <v>zizou/2/5/0</v>
      </c>
    </row>
    <row r="116" spans="1:5" x14ac:dyDescent="0.2">
      <c r="A116">
        <v>6</v>
      </c>
      <c r="B116" t="s">
        <v>9</v>
      </c>
      <c r="C116">
        <v>0</v>
      </c>
      <c r="D116">
        <v>1</v>
      </c>
      <c r="E116" t="str">
        <f t="shared" si="2"/>
        <v>K1/1/6/0</v>
      </c>
    </row>
    <row r="117" spans="1:5" x14ac:dyDescent="0.2">
      <c r="A117">
        <v>1</v>
      </c>
      <c r="B117" t="s">
        <v>46</v>
      </c>
      <c r="C117">
        <v>1</v>
      </c>
      <c r="D117">
        <v>16</v>
      </c>
      <c r="E117" t="str">
        <f t="shared" si="2"/>
        <v>Jérôme/16/1/1</v>
      </c>
    </row>
    <row r="118" spans="1:5" x14ac:dyDescent="0.2">
      <c r="A118">
        <v>2</v>
      </c>
      <c r="B118" t="s">
        <v>345</v>
      </c>
      <c r="C118">
        <v>1</v>
      </c>
      <c r="D118">
        <v>12</v>
      </c>
      <c r="E118" t="str">
        <f t="shared" si="2"/>
        <v>Thibaultp75/12/2/1</v>
      </c>
    </row>
    <row r="119" spans="1:5" x14ac:dyDescent="0.2">
      <c r="A119">
        <v>3</v>
      </c>
      <c r="B119" t="s">
        <v>21</v>
      </c>
      <c r="C119">
        <v>3</v>
      </c>
      <c r="D119">
        <v>8</v>
      </c>
      <c r="E119" t="str">
        <f t="shared" si="2"/>
        <v>Carmin/8/3/3</v>
      </c>
    </row>
    <row r="120" spans="1:5" x14ac:dyDescent="0.2">
      <c r="A120">
        <v>4</v>
      </c>
      <c r="B120" t="s">
        <v>66</v>
      </c>
      <c r="C120">
        <v>0</v>
      </c>
      <c r="D120">
        <v>4</v>
      </c>
      <c r="E120" t="str">
        <f t="shared" si="2"/>
        <v>Ad Vitam/4/4/0</v>
      </c>
    </row>
    <row r="121" spans="1:5" x14ac:dyDescent="0.2">
      <c r="A121">
        <v>5</v>
      </c>
      <c r="B121" t="s">
        <v>54</v>
      </c>
      <c r="C121">
        <v>0</v>
      </c>
      <c r="D121">
        <v>2</v>
      </c>
      <c r="E121" t="str">
        <f t="shared" ref="E121:E158" si="3">B121&amp;"/"&amp;D121&amp;"/"&amp;A121&amp;"/"&amp;C121</f>
        <v>Salsamanu/2/5/0</v>
      </c>
    </row>
    <row r="122" spans="1:5" x14ac:dyDescent="0.2">
      <c r="A122">
        <v>6</v>
      </c>
      <c r="B122" t="s">
        <v>73</v>
      </c>
      <c r="C122">
        <v>0</v>
      </c>
      <c r="D122">
        <v>1</v>
      </c>
      <c r="E122" t="str">
        <f t="shared" si="3"/>
        <v>Flem/1/6/0</v>
      </c>
    </row>
    <row r="123" spans="1:5" x14ac:dyDescent="0.2">
      <c r="A123">
        <v>1</v>
      </c>
      <c r="B123" t="s">
        <v>74</v>
      </c>
      <c r="C123">
        <v>2</v>
      </c>
      <c r="D123">
        <v>16</v>
      </c>
      <c r="E123" t="str">
        <f t="shared" si="3"/>
        <v>PatB/16/1/2</v>
      </c>
    </row>
    <row r="124" spans="1:5" x14ac:dyDescent="0.2">
      <c r="A124">
        <v>2</v>
      </c>
      <c r="B124" t="s">
        <v>101</v>
      </c>
      <c r="C124">
        <v>2</v>
      </c>
      <c r="D124">
        <v>12</v>
      </c>
      <c r="E124" t="str">
        <f t="shared" si="3"/>
        <v>ChrisFrankfurt/12/2/2</v>
      </c>
    </row>
    <row r="125" spans="1:5" x14ac:dyDescent="0.2">
      <c r="A125">
        <v>3</v>
      </c>
      <c r="B125" t="s">
        <v>28</v>
      </c>
      <c r="C125">
        <v>1</v>
      </c>
      <c r="D125">
        <v>8</v>
      </c>
      <c r="E125" t="str">
        <f t="shared" si="3"/>
        <v>sobab/8/3/1</v>
      </c>
    </row>
    <row r="126" spans="1:5" x14ac:dyDescent="0.2">
      <c r="A126">
        <v>4</v>
      </c>
      <c r="B126" t="s">
        <v>35</v>
      </c>
      <c r="C126">
        <v>0</v>
      </c>
      <c r="D126">
        <v>4</v>
      </c>
      <c r="E126" t="str">
        <f t="shared" si="3"/>
        <v>JeanMichelTiming/4/4/0</v>
      </c>
    </row>
    <row r="127" spans="1:5" x14ac:dyDescent="0.2">
      <c r="A127">
        <v>5</v>
      </c>
      <c r="B127" t="s">
        <v>26</v>
      </c>
      <c r="C127">
        <v>0</v>
      </c>
      <c r="D127">
        <v>2</v>
      </c>
      <c r="E127" t="str">
        <f t="shared" si="3"/>
        <v>LOSOGRE/2/5/0</v>
      </c>
    </row>
    <row r="128" spans="1:5" x14ac:dyDescent="0.2">
      <c r="A128">
        <v>6</v>
      </c>
      <c r="B128" t="s">
        <v>45</v>
      </c>
      <c r="C128">
        <v>0</v>
      </c>
      <c r="D128">
        <v>1</v>
      </c>
      <c r="E128" t="str">
        <f t="shared" si="3"/>
        <v>yaltar/1/6/0</v>
      </c>
    </row>
    <row r="129" spans="1:5" x14ac:dyDescent="0.2">
      <c r="A129">
        <v>1</v>
      </c>
      <c r="B129" t="s">
        <v>43</v>
      </c>
      <c r="C129">
        <v>3</v>
      </c>
      <c r="D129">
        <v>16</v>
      </c>
      <c r="E129" t="str">
        <f t="shared" si="3"/>
        <v>KassTwo/16/1/3</v>
      </c>
    </row>
    <row r="130" spans="1:5" x14ac:dyDescent="0.2">
      <c r="A130">
        <v>2</v>
      </c>
      <c r="B130" t="s">
        <v>15</v>
      </c>
      <c r="C130">
        <v>1</v>
      </c>
      <c r="D130">
        <v>12</v>
      </c>
      <c r="E130" t="str">
        <f t="shared" si="3"/>
        <v>LAAtof/12/2/1</v>
      </c>
    </row>
    <row r="131" spans="1:5" x14ac:dyDescent="0.2">
      <c r="A131">
        <v>3</v>
      </c>
      <c r="B131" t="s">
        <v>103</v>
      </c>
      <c r="C131">
        <v>1</v>
      </c>
      <c r="D131">
        <v>8</v>
      </c>
      <c r="E131" t="str">
        <f t="shared" si="3"/>
        <v>zzav/8/3/1</v>
      </c>
    </row>
    <row r="132" spans="1:5" x14ac:dyDescent="0.2">
      <c r="A132">
        <v>4</v>
      </c>
      <c r="B132" t="s">
        <v>21</v>
      </c>
      <c r="C132">
        <v>0</v>
      </c>
      <c r="D132">
        <v>4</v>
      </c>
      <c r="E132" t="str">
        <f t="shared" si="3"/>
        <v>Carmin/4/4/0</v>
      </c>
    </row>
    <row r="133" spans="1:5" x14ac:dyDescent="0.2">
      <c r="A133">
        <v>5</v>
      </c>
      <c r="B133" t="s">
        <v>46</v>
      </c>
      <c r="C133">
        <v>0</v>
      </c>
      <c r="D133">
        <v>2</v>
      </c>
      <c r="E133" t="str">
        <f t="shared" si="3"/>
        <v>Jérôme/2/5/0</v>
      </c>
    </row>
    <row r="134" spans="1:5" x14ac:dyDescent="0.2">
      <c r="A134">
        <v>6</v>
      </c>
      <c r="B134" t="s">
        <v>33</v>
      </c>
      <c r="C134">
        <v>0</v>
      </c>
      <c r="D134">
        <v>1</v>
      </c>
      <c r="E134" t="str">
        <f t="shared" si="3"/>
        <v>Ptit Savoyard/1/6/0</v>
      </c>
    </row>
    <row r="135" spans="1:5" x14ac:dyDescent="0.2">
      <c r="A135">
        <v>1</v>
      </c>
      <c r="B135" t="s">
        <v>345</v>
      </c>
      <c r="C135">
        <v>1</v>
      </c>
      <c r="D135">
        <v>16</v>
      </c>
      <c r="E135" t="str">
        <f t="shared" si="3"/>
        <v>Thibaultp75/16/1/1</v>
      </c>
    </row>
    <row r="136" spans="1:5" x14ac:dyDescent="0.2">
      <c r="A136">
        <v>2</v>
      </c>
      <c r="B136" t="s">
        <v>47</v>
      </c>
      <c r="C136">
        <v>2</v>
      </c>
      <c r="D136">
        <v>12</v>
      </c>
      <c r="E136" t="str">
        <f t="shared" si="3"/>
        <v>Logan/12/2/2</v>
      </c>
    </row>
    <row r="137" spans="1:5" x14ac:dyDescent="0.2">
      <c r="A137">
        <v>3</v>
      </c>
      <c r="B137" t="s">
        <v>14</v>
      </c>
      <c r="C137">
        <v>1</v>
      </c>
      <c r="D137">
        <v>8</v>
      </c>
      <c r="E137" t="str">
        <f t="shared" si="3"/>
        <v>Ramm/8/3/1</v>
      </c>
    </row>
    <row r="138" spans="1:5" x14ac:dyDescent="0.2">
      <c r="A138">
        <v>4</v>
      </c>
      <c r="B138" t="s">
        <v>61</v>
      </c>
      <c r="C138">
        <v>1</v>
      </c>
      <c r="D138">
        <v>4</v>
      </c>
      <c r="E138" t="str">
        <f t="shared" si="3"/>
        <v>Kri-lin/4/4/1</v>
      </c>
    </row>
    <row r="139" spans="1:5" x14ac:dyDescent="0.2">
      <c r="A139">
        <v>5</v>
      </c>
      <c r="B139" t="s">
        <v>19</v>
      </c>
      <c r="C139">
        <v>0</v>
      </c>
      <c r="D139">
        <v>2</v>
      </c>
      <c r="E139" t="str">
        <f t="shared" si="3"/>
        <v>Giobeck/2/5/0</v>
      </c>
    </row>
    <row r="140" spans="1:5" x14ac:dyDescent="0.2">
      <c r="A140">
        <v>6</v>
      </c>
      <c r="B140" t="s">
        <v>6</v>
      </c>
      <c r="C140">
        <v>0</v>
      </c>
      <c r="D140">
        <v>1</v>
      </c>
      <c r="E140" t="str">
        <f t="shared" si="3"/>
        <v>Pyja/1/6/0</v>
      </c>
    </row>
    <row r="141" spans="1:5" x14ac:dyDescent="0.2">
      <c r="A141">
        <v>1</v>
      </c>
      <c r="B141" t="s">
        <v>68</v>
      </c>
      <c r="C141">
        <v>2</v>
      </c>
      <c r="D141">
        <v>16</v>
      </c>
      <c r="E141" t="str">
        <f t="shared" si="3"/>
        <v>zubbaz/16/1/2</v>
      </c>
    </row>
    <row r="142" spans="1:5" x14ac:dyDescent="0.2">
      <c r="A142">
        <v>2</v>
      </c>
      <c r="B142" t="s">
        <v>32</v>
      </c>
      <c r="C142">
        <v>2</v>
      </c>
      <c r="D142">
        <v>12</v>
      </c>
      <c r="E142" t="str">
        <f t="shared" si="3"/>
        <v>OlivierN92/12/2/2</v>
      </c>
    </row>
    <row r="143" spans="1:5" x14ac:dyDescent="0.2">
      <c r="A143">
        <v>3</v>
      </c>
      <c r="B143" t="s">
        <v>12</v>
      </c>
      <c r="C143">
        <v>0</v>
      </c>
      <c r="D143">
        <v>8</v>
      </c>
      <c r="E143" t="str">
        <f t="shared" si="3"/>
        <v>Gnak/8/3/0</v>
      </c>
    </row>
    <row r="144" spans="1:5" x14ac:dyDescent="0.2">
      <c r="A144">
        <v>4</v>
      </c>
      <c r="B144" t="s">
        <v>102</v>
      </c>
      <c r="C144">
        <v>0</v>
      </c>
      <c r="D144">
        <v>4</v>
      </c>
      <c r="E144" t="str">
        <f t="shared" si="3"/>
        <v>Doudoululu/4/4/0</v>
      </c>
    </row>
    <row r="145" spans="1:5" x14ac:dyDescent="0.2">
      <c r="A145">
        <v>5</v>
      </c>
      <c r="B145" t="s">
        <v>26</v>
      </c>
      <c r="C145">
        <v>1</v>
      </c>
      <c r="D145">
        <v>2</v>
      </c>
      <c r="E145" t="str">
        <f t="shared" si="3"/>
        <v>LOSOGRE/2/5/1</v>
      </c>
    </row>
    <row r="146" spans="1:5" x14ac:dyDescent="0.2">
      <c r="A146">
        <v>6</v>
      </c>
      <c r="B146" t="s">
        <v>54</v>
      </c>
      <c r="C146">
        <v>0</v>
      </c>
      <c r="D146">
        <v>1</v>
      </c>
      <c r="E146" t="str">
        <f t="shared" si="3"/>
        <v>Salsamanu/1/6/0</v>
      </c>
    </row>
    <row r="147" spans="1:5" x14ac:dyDescent="0.2">
      <c r="A147">
        <v>1</v>
      </c>
      <c r="B147" t="s">
        <v>98</v>
      </c>
      <c r="C147">
        <v>4</v>
      </c>
      <c r="D147">
        <v>16</v>
      </c>
      <c r="E147" t="str">
        <f t="shared" si="3"/>
        <v>Blocknote/16/1/4</v>
      </c>
    </row>
    <row r="148" spans="1:5" x14ac:dyDescent="0.2">
      <c r="A148">
        <v>2</v>
      </c>
      <c r="B148" t="s">
        <v>25</v>
      </c>
      <c r="C148">
        <v>1</v>
      </c>
      <c r="D148">
        <v>12</v>
      </c>
      <c r="E148" t="str">
        <f t="shared" si="3"/>
        <v>Claudius/12/2/1</v>
      </c>
    </row>
    <row r="149" spans="1:5" x14ac:dyDescent="0.2">
      <c r="A149">
        <v>3</v>
      </c>
      <c r="B149" t="s">
        <v>18</v>
      </c>
      <c r="C149">
        <v>0</v>
      </c>
      <c r="D149">
        <v>8</v>
      </c>
      <c r="E149" t="str">
        <f t="shared" si="3"/>
        <v>MAMS/8/3/0</v>
      </c>
    </row>
    <row r="150" spans="1:5" x14ac:dyDescent="0.2">
      <c r="A150">
        <v>4</v>
      </c>
      <c r="B150" t="s">
        <v>59</v>
      </c>
      <c r="C150">
        <v>0</v>
      </c>
      <c r="D150">
        <v>4</v>
      </c>
      <c r="E150" t="str">
        <f t="shared" si="3"/>
        <v>YooooDA/4/4/0</v>
      </c>
    </row>
    <row r="151" spans="1:5" x14ac:dyDescent="0.2">
      <c r="A151">
        <v>5</v>
      </c>
      <c r="B151" t="s">
        <v>8</v>
      </c>
      <c r="C151">
        <v>0</v>
      </c>
      <c r="D151">
        <v>2</v>
      </c>
      <c r="E151" t="str">
        <f t="shared" si="3"/>
        <v>Maxime/2/5/0</v>
      </c>
    </row>
    <row r="152" spans="1:5" x14ac:dyDescent="0.2">
      <c r="A152">
        <v>6</v>
      </c>
      <c r="B152" t="s">
        <v>92</v>
      </c>
      <c r="C152">
        <v>0</v>
      </c>
      <c r="D152">
        <v>1</v>
      </c>
      <c r="E152" t="str">
        <f t="shared" si="3"/>
        <v>Jacks&amp;Five/1/6/0</v>
      </c>
    </row>
    <row r="153" spans="1:5" x14ac:dyDescent="0.2">
      <c r="A153">
        <v>1</v>
      </c>
      <c r="B153" t="s">
        <v>50</v>
      </c>
      <c r="C153">
        <v>1</v>
      </c>
      <c r="D153">
        <v>16</v>
      </c>
      <c r="E153" t="str">
        <f t="shared" si="3"/>
        <v>MLADENGO/16/1/1</v>
      </c>
    </row>
    <row r="154" spans="1:5" x14ac:dyDescent="0.2">
      <c r="A154">
        <v>2</v>
      </c>
      <c r="B154" t="s">
        <v>45</v>
      </c>
      <c r="C154">
        <v>4</v>
      </c>
      <c r="D154">
        <v>12</v>
      </c>
      <c r="E154" t="str">
        <f t="shared" si="3"/>
        <v>yaltar/12/2/4</v>
      </c>
    </row>
    <row r="155" spans="1:5" x14ac:dyDescent="0.2">
      <c r="A155">
        <v>3</v>
      </c>
      <c r="B155" t="s">
        <v>9</v>
      </c>
      <c r="C155">
        <v>0</v>
      </c>
      <c r="D155">
        <v>8</v>
      </c>
      <c r="E155" t="str">
        <f t="shared" si="3"/>
        <v>K1/8/3/0</v>
      </c>
    </row>
    <row r="156" spans="1:5" x14ac:dyDescent="0.2">
      <c r="A156">
        <v>4</v>
      </c>
      <c r="B156" t="s">
        <v>65</v>
      </c>
      <c r="C156">
        <v>0</v>
      </c>
      <c r="D156">
        <v>4</v>
      </c>
      <c r="E156" t="str">
        <f t="shared" si="3"/>
        <v>Ripolin/4/4/0</v>
      </c>
    </row>
    <row r="157" spans="1:5" x14ac:dyDescent="0.2">
      <c r="A157">
        <v>5</v>
      </c>
      <c r="B157" t="s">
        <v>52</v>
      </c>
      <c r="C157">
        <v>0</v>
      </c>
      <c r="D157">
        <v>2</v>
      </c>
      <c r="E157" t="str">
        <f t="shared" si="3"/>
        <v>Coach Pepito/2/5/0</v>
      </c>
    </row>
    <row r="158" spans="1:5" x14ac:dyDescent="0.2">
      <c r="A158">
        <v>6</v>
      </c>
      <c r="B158" t="s">
        <v>28</v>
      </c>
      <c r="C158">
        <v>0</v>
      </c>
      <c r="D158">
        <v>1</v>
      </c>
      <c r="E158" t="str">
        <f t="shared" si="3"/>
        <v>sobab/1/6/0</v>
      </c>
    </row>
    <row r="159" spans="1:5" x14ac:dyDescent="0.2">
      <c r="A159">
        <v>1</v>
      </c>
      <c r="B159" t="s">
        <v>87</v>
      </c>
      <c r="C159">
        <v>2</v>
      </c>
      <c r="D159">
        <v>16</v>
      </c>
      <c r="E159" t="str">
        <f t="shared" ref="E159:E197" si="4">B159&amp;"/"&amp;D159&amp;"/"&amp;A159&amp;"/"&amp;C159</f>
        <v>Proph@ne/16/1/2</v>
      </c>
    </row>
    <row r="160" spans="1:5" x14ac:dyDescent="0.2">
      <c r="A160">
        <v>2</v>
      </c>
      <c r="B160" t="s">
        <v>39</v>
      </c>
      <c r="C160">
        <v>3</v>
      </c>
      <c r="D160">
        <v>12</v>
      </c>
      <c r="E160" t="str">
        <f t="shared" si="4"/>
        <v>kheops/12/2/3</v>
      </c>
    </row>
    <row r="161" spans="1:5" x14ac:dyDescent="0.2">
      <c r="A161">
        <v>3</v>
      </c>
      <c r="B161" t="s">
        <v>75</v>
      </c>
      <c r="C161">
        <v>0</v>
      </c>
      <c r="D161">
        <v>8</v>
      </c>
      <c r="E161" t="str">
        <f t="shared" si="4"/>
        <v>Michelbey/8/3/0</v>
      </c>
    </row>
    <row r="162" spans="1:5" x14ac:dyDescent="0.2">
      <c r="A162">
        <v>4</v>
      </c>
      <c r="B162" t="s">
        <v>53</v>
      </c>
      <c r="C162">
        <v>0</v>
      </c>
      <c r="D162">
        <v>4</v>
      </c>
      <c r="E162" t="str">
        <f t="shared" si="4"/>
        <v>Makoche/4/4/0</v>
      </c>
    </row>
    <row r="163" spans="1:5" x14ac:dyDescent="0.2">
      <c r="A163">
        <v>5</v>
      </c>
      <c r="B163" t="s">
        <v>66</v>
      </c>
      <c r="C163">
        <v>0</v>
      </c>
      <c r="D163">
        <v>2</v>
      </c>
      <c r="E163" t="str">
        <f t="shared" si="4"/>
        <v>Ad Vitam/2/5/0</v>
      </c>
    </row>
    <row r="164" spans="1:5" x14ac:dyDescent="0.2">
      <c r="A164">
        <v>6</v>
      </c>
      <c r="B164" t="s">
        <v>73</v>
      </c>
      <c r="C164">
        <v>0</v>
      </c>
      <c r="D164">
        <v>1</v>
      </c>
      <c r="E164" t="str">
        <f t="shared" si="4"/>
        <v>Flem/1/6/0</v>
      </c>
    </row>
    <row r="165" spans="1:5" x14ac:dyDescent="0.2">
      <c r="A165">
        <v>1</v>
      </c>
      <c r="B165" t="s">
        <v>40</v>
      </c>
      <c r="C165">
        <v>4</v>
      </c>
      <c r="D165">
        <v>15</v>
      </c>
      <c r="E165" t="str">
        <f t="shared" si="4"/>
        <v>Lén@/15/1/4</v>
      </c>
    </row>
    <row r="166" spans="1:5" x14ac:dyDescent="0.2">
      <c r="A166">
        <v>2</v>
      </c>
      <c r="B166" t="s">
        <v>69</v>
      </c>
      <c r="C166">
        <v>0</v>
      </c>
      <c r="D166">
        <v>11</v>
      </c>
      <c r="E166" t="str">
        <f t="shared" si="4"/>
        <v>Catherine/11/2/0</v>
      </c>
    </row>
    <row r="167" spans="1:5" x14ac:dyDescent="0.2">
      <c r="A167">
        <v>3</v>
      </c>
      <c r="B167" t="s">
        <v>76</v>
      </c>
      <c r="C167">
        <v>0</v>
      </c>
      <c r="D167">
        <v>7</v>
      </c>
      <c r="E167" t="str">
        <f t="shared" si="4"/>
        <v>Comment2/7/3/0</v>
      </c>
    </row>
    <row r="168" spans="1:5" x14ac:dyDescent="0.2">
      <c r="A168">
        <v>4</v>
      </c>
      <c r="B168" t="s">
        <v>42</v>
      </c>
      <c r="C168">
        <v>0</v>
      </c>
      <c r="D168">
        <v>3</v>
      </c>
      <c r="E168" t="str">
        <f t="shared" si="4"/>
        <v>Claptou/3/4/0</v>
      </c>
    </row>
    <row r="169" spans="1:5" x14ac:dyDescent="0.2">
      <c r="A169">
        <v>5</v>
      </c>
      <c r="B169" t="s">
        <v>74</v>
      </c>
      <c r="C169">
        <v>0</v>
      </c>
      <c r="D169">
        <v>1</v>
      </c>
      <c r="E169" t="str">
        <f t="shared" si="4"/>
        <v>PatB/1/5/0</v>
      </c>
    </row>
    <row r="170" spans="1:5" x14ac:dyDescent="0.2">
      <c r="A170">
        <v>1</v>
      </c>
      <c r="B170" t="s">
        <v>9</v>
      </c>
      <c r="C170">
        <v>3</v>
      </c>
      <c r="D170">
        <v>16</v>
      </c>
      <c r="E170" t="str">
        <f t="shared" si="4"/>
        <v>K1/16/1/3</v>
      </c>
    </row>
    <row r="171" spans="1:5" x14ac:dyDescent="0.2">
      <c r="A171">
        <v>2</v>
      </c>
      <c r="B171" t="s">
        <v>32</v>
      </c>
      <c r="C171">
        <v>1</v>
      </c>
      <c r="D171">
        <v>12</v>
      </c>
      <c r="E171" t="str">
        <f t="shared" si="4"/>
        <v>OlivierN92/12/2/1</v>
      </c>
    </row>
    <row r="172" spans="1:5" x14ac:dyDescent="0.2">
      <c r="A172">
        <v>3</v>
      </c>
      <c r="B172" t="s">
        <v>76</v>
      </c>
      <c r="C172">
        <v>0</v>
      </c>
      <c r="D172">
        <v>8</v>
      </c>
      <c r="E172" t="str">
        <f t="shared" si="4"/>
        <v>Comment2/8/3/0</v>
      </c>
    </row>
    <row r="173" spans="1:5" x14ac:dyDescent="0.2">
      <c r="A173">
        <v>4</v>
      </c>
      <c r="B173" t="s">
        <v>12</v>
      </c>
      <c r="C173">
        <v>1</v>
      </c>
      <c r="D173">
        <v>4</v>
      </c>
      <c r="E173" t="str">
        <f t="shared" si="4"/>
        <v>Gnak/4/4/1</v>
      </c>
    </row>
    <row r="174" spans="1:5" x14ac:dyDescent="0.2">
      <c r="A174">
        <v>5</v>
      </c>
      <c r="B174" t="s">
        <v>101</v>
      </c>
      <c r="C174">
        <v>0</v>
      </c>
      <c r="D174">
        <v>2</v>
      </c>
      <c r="E174" t="str">
        <f t="shared" si="4"/>
        <v>ChrisFrankfurt/2/5/0</v>
      </c>
    </row>
    <row r="175" spans="1:5" x14ac:dyDescent="0.2">
      <c r="A175">
        <v>6</v>
      </c>
      <c r="B175" t="s">
        <v>50</v>
      </c>
      <c r="C175">
        <v>0</v>
      </c>
      <c r="D175">
        <v>1</v>
      </c>
      <c r="E175" t="str">
        <f t="shared" si="4"/>
        <v>MLADENGO/1/6/0</v>
      </c>
    </row>
    <row r="176" spans="1:5" x14ac:dyDescent="0.2">
      <c r="A176">
        <v>1</v>
      </c>
      <c r="B176" t="s">
        <v>39</v>
      </c>
      <c r="C176">
        <v>2</v>
      </c>
      <c r="D176">
        <v>16</v>
      </c>
      <c r="E176" t="str">
        <f t="shared" si="4"/>
        <v>kheops/16/1/2</v>
      </c>
    </row>
    <row r="177" spans="1:5" x14ac:dyDescent="0.2">
      <c r="A177">
        <v>2</v>
      </c>
      <c r="B177" t="s">
        <v>45</v>
      </c>
      <c r="C177">
        <v>2</v>
      </c>
      <c r="D177">
        <v>12</v>
      </c>
      <c r="E177" t="str">
        <f t="shared" si="4"/>
        <v>yaltar/12/2/2</v>
      </c>
    </row>
    <row r="178" spans="1:5" x14ac:dyDescent="0.2">
      <c r="A178">
        <v>3</v>
      </c>
      <c r="B178" t="s">
        <v>103</v>
      </c>
      <c r="C178">
        <v>0</v>
      </c>
      <c r="D178">
        <v>8</v>
      </c>
      <c r="E178" t="str">
        <f t="shared" si="4"/>
        <v>zzav/8/3/0</v>
      </c>
    </row>
    <row r="179" spans="1:5" x14ac:dyDescent="0.2">
      <c r="A179">
        <v>4</v>
      </c>
      <c r="B179" t="s">
        <v>345</v>
      </c>
      <c r="C179">
        <v>1</v>
      </c>
      <c r="D179">
        <v>4</v>
      </c>
      <c r="E179" t="str">
        <f t="shared" si="4"/>
        <v>Thibaultp75/4/4/1</v>
      </c>
    </row>
    <row r="180" spans="1:5" x14ac:dyDescent="0.2">
      <c r="A180">
        <v>5</v>
      </c>
      <c r="B180" t="s">
        <v>74</v>
      </c>
      <c r="C180">
        <v>0</v>
      </c>
      <c r="D180">
        <v>2</v>
      </c>
      <c r="E180" t="str">
        <f t="shared" si="4"/>
        <v>PatB/2/5/0</v>
      </c>
    </row>
    <row r="181" spans="1:5" x14ac:dyDescent="0.2">
      <c r="A181">
        <v>6</v>
      </c>
      <c r="B181" t="s">
        <v>55</v>
      </c>
      <c r="C181">
        <v>0</v>
      </c>
      <c r="D181">
        <v>1</v>
      </c>
      <c r="E181" t="str">
        <f t="shared" si="4"/>
        <v>Bounette/1/6/0</v>
      </c>
    </row>
    <row r="182" spans="1:5" x14ac:dyDescent="0.2">
      <c r="A182">
        <v>1</v>
      </c>
      <c r="B182" t="s">
        <v>23</v>
      </c>
      <c r="C182">
        <v>2</v>
      </c>
      <c r="D182">
        <v>16</v>
      </c>
      <c r="E182" t="str">
        <f t="shared" si="4"/>
        <v>Lylith75/16/1/2</v>
      </c>
    </row>
    <row r="183" spans="1:5" x14ac:dyDescent="0.2">
      <c r="A183">
        <v>2</v>
      </c>
      <c r="B183" t="s">
        <v>75</v>
      </c>
      <c r="C183">
        <v>2</v>
      </c>
      <c r="D183">
        <v>12</v>
      </c>
      <c r="E183" t="str">
        <f t="shared" si="4"/>
        <v>Michelbey/12/2/2</v>
      </c>
    </row>
    <row r="184" spans="1:5" x14ac:dyDescent="0.2">
      <c r="A184">
        <v>3</v>
      </c>
      <c r="B184" t="s">
        <v>47</v>
      </c>
      <c r="C184">
        <v>0</v>
      </c>
      <c r="D184">
        <v>8</v>
      </c>
      <c r="E184" t="str">
        <f t="shared" si="4"/>
        <v>Logan/8/3/0</v>
      </c>
    </row>
    <row r="185" spans="1:5" x14ac:dyDescent="0.2">
      <c r="A185">
        <v>4</v>
      </c>
      <c r="B185" t="s">
        <v>53</v>
      </c>
      <c r="C185">
        <v>1</v>
      </c>
      <c r="D185">
        <v>4</v>
      </c>
      <c r="E185" t="str">
        <f t="shared" si="4"/>
        <v>Makoche/4/4/1</v>
      </c>
    </row>
    <row r="186" spans="1:5" x14ac:dyDescent="0.2">
      <c r="A186">
        <v>5</v>
      </c>
      <c r="B186" t="s">
        <v>88</v>
      </c>
      <c r="C186">
        <v>0</v>
      </c>
      <c r="D186">
        <v>2</v>
      </c>
      <c r="E186" t="str">
        <f t="shared" si="4"/>
        <v>Yarael/2/5/0</v>
      </c>
    </row>
    <row r="187" spans="1:5" x14ac:dyDescent="0.2">
      <c r="A187">
        <v>6</v>
      </c>
      <c r="B187" t="s">
        <v>18</v>
      </c>
      <c r="C187">
        <v>0</v>
      </c>
      <c r="D187">
        <v>1</v>
      </c>
      <c r="E187" t="str">
        <f t="shared" si="4"/>
        <v>MAMS/1/6/0</v>
      </c>
    </row>
    <row r="188" spans="1:5" x14ac:dyDescent="0.2">
      <c r="A188">
        <v>1</v>
      </c>
      <c r="B188" t="s">
        <v>68</v>
      </c>
      <c r="C188">
        <v>3</v>
      </c>
      <c r="D188">
        <v>15</v>
      </c>
      <c r="E188" t="str">
        <f t="shared" si="4"/>
        <v>zubbaz/15/1/3</v>
      </c>
    </row>
    <row r="189" spans="1:5" x14ac:dyDescent="0.2">
      <c r="A189">
        <v>2</v>
      </c>
      <c r="B189" t="s">
        <v>41</v>
      </c>
      <c r="C189">
        <v>1</v>
      </c>
      <c r="D189">
        <v>11</v>
      </c>
      <c r="E189" t="str">
        <f t="shared" si="4"/>
        <v>gibouille/11/2/1</v>
      </c>
    </row>
    <row r="190" spans="1:5" x14ac:dyDescent="0.2">
      <c r="A190">
        <v>3</v>
      </c>
      <c r="B190" t="s">
        <v>46</v>
      </c>
      <c r="C190">
        <v>0</v>
      </c>
      <c r="D190">
        <v>7</v>
      </c>
      <c r="E190" t="str">
        <f t="shared" si="4"/>
        <v>Jérôme/7/3/0</v>
      </c>
    </row>
    <row r="191" spans="1:5" x14ac:dyDescent="0.2">
      <c r="A191">
        <v>4</v>
      </c>
      <c r="B191" t="s">
        <v>61</v>
      </c>
      <c r="C191">
        <v>0</v>
      </c>
      <c r="D191">
        <v>3</v>
      </c>
      <c r="E191" t="str">
        <f t="shared" si="4"/>
        <v>Kri-lin/3/4/0</v>
      </c>
    </row>
    <row r="192" spans="1:5" x14ac:dyDescent="0.2">
      <c r="A192">
        <v>5</v>
      </c>
      <c r="B192" t="s">
        <v>54</v>
      </c>
      <c r="C192">
        <v>0</v>
      </c>
      <c r="D192">
        <v>1</v>
      </c>
      <c r="E192" t="str">
        <f t="shared" si="4"/>
        <v>Salsamanu/1/5/0</v>
      </c>
    </row>
    <row r="193" spans="1:5" x14ac:dyDescent="0.2">
      <c r="A193">
        <v>1</v>
      </c>
      <c r="B193" t="s">
        <v>19</v>
      </c>
      <c r="C193">
        <v>2</v>
      </c>
      <c r="D193">
        <v>16</v>
      </c>
      <c r="E193" t="str">
        <f t="shared" si="4"/>
        <v>Giobeck/16/1/2</v>
      </c>
    </row>
    <row r="194" spans="1:5" x14ac:dyDescent="0.2">
      <c r="A194">
        <v>2</v>
      </c>
      <c r="B194" t="s">
        <v>25</v>
      </c>
      <c r="C194">
        <v>0</v>
      </c>
      <c r="D194">
        <v>12</v>
      </c>
      <c r="E194" t="str">
        <f t="shared" si="4"/>
        <v>Claudius/12/2/0</v>
      </c>
    </row>
    <row r="195" spans="1:5" x14ac:dyDescent="0.2">
      <c r="A195">
        <v>3</v>
      </c>
      <c r="B195" t="s">
        <v>40</v>
      </c>
      <c r="C195">
        <v>3</v>
      </c>
      <c r="D195">
        <v>8</v>
      </c>
      <c r="E195" t="str">
        <f t="shared" si="4"/>
        <v>Lén@/8/3/3</v>
      </c>
    </row>
    <row r="196" spans="1:5" x14ac:dyDescent="0.2">
      <c r="A196">
        <v>4</v>
      </c>
      <c r="B196" t="s">
        <v>35</v>
      </c>
      <c r="C196">
        <v>0</v>
      </c>
      <c r="D196">
        <v>4</v>
      </c>
      <c r="E196" t="str">
        <f t="shared" si="4"/>
        <v>JeanMichelTiming/4/4/0</v>
      </c>
    </row>
    <row r="197" spans="1:5" x14ac:dyDescent="0.2">
      <c r="A197">
        <v>5</v>
      </c>
      <c r="B197" t="s">
        <v>6</v>
      </c>
      <c r="C197">
        <v>0</v>
      </c>
      <c r="D197">
        <v>2</v>
      </c>
      <c r="E197" t="str">
        <f t="shared" si="4"/>
        <v>Pyja/2/5/0</v>
      </c>
    </row>
    <row r="198" spans="1:5" x14ac:dyDescent="0.2">
      <c r="A198">
        <v>6</v>
      </c>
      <c r="B198" t="s">
        <v>15</v>
      </c>
      <c r="C198">
        <v>0</v>
      </c>
      <c r="D198">
        <v>1</v>
      </c>
      <c r="E198" t="str">
        <f t="shared" ref="E198:E237" si="5">B198&amp;"/"&amp;D198&amp;"/"&amp;A198&amp;"/"&amp;C198</f>
        <v>LAAtof/1/6/0</v>
      </c>
    </row>
    <row r="199" spans="1:5" x14ac:dyDescent="0.2">
      <c r="A199">
        <v>1</v>
      </c>
      <c r="B199" t="s">
        <v>28</v>
      </c>
      <c r="C199">
        <v>1</v>
      </c>
      <c r="D199">
        <v>15</v>
      </c>
      <c r="E199" t="str">
        <f t="shared" si="5"/>
        <v>sobab/15/1/1</v>
      </c>
    </row>
    <row r="200" spans="1:5" x14ac:dyDescent="0.2">
      <c r="A200">
        <v>2</v>
      </c>
      <c r="B200" t="s">
        <v>21</v>
      </c>
      <c r="C200">
        <v>1</v>
      </c>
      <c r="D200">
        <v>11</v>
      </c>
      <c r="E200" t="str">
        <f t="shared" si="5"/>
        <v>Carmin/11/2/1</v>
      </c>
    </row>
    <row r="201" spans="1:5" x14ac:dyDescent="0.2">
      <c r="A201">
        <v>3</v>
      </c>
      <c r="B201" t="s">
        <v>65</v>
      </c>
      <c r="C201">
        <v>1</v>
      </c>
      <c r="D201">
        <v>7</v>
      </c>
      <c r="E201" t="str">
        <f t="shared" si="5"/>
        <v>Ripolin/7/3/1</v>
      </c>
    </row>
    <row r="202" spans="1:5" x14ac:dyDescent="0.2">
      <c r="A202">
        <v>4</v>
      </c>
      <c r="B202" t="s">
        <v>87</v>
      </c>
      <c r="C202">
        <v>1</v>
      </c>
      <c r="D202">
        <v>3</v>
      </c>
      <c r="E202" t="str">
        <f t="shared" si="5"/>
        <v>Proph@ne/3/4/1</v>
      </c>
    </row>
    <row r="203" spans="1:5" x14ac:dyDescent="0.2">
      <c r="A203">
        <v>5</v>
      </c>
      <c r="B203" t="s">
        <v>66</v>
      </c>
      <c r="C203">
        <v>0</v>
      </c>
      <c r="D203">
        <v>1</v>
      </c>
      <c r="E203" t="str">
        <f t="shared" si="5"/>
        <v>Ad Vitam/1/5/0</v>
      </c>
    </row>
    <row r="204" spans="1:5" x14ac:dyDescent="0.2">
      <c r="A204">
        <v>1</v>
      </c>
      <c r="B204" t="s">
        <v>46</v>
      </c>
      <c r="C204">
        <v>2</v>
      </c>
      <c r="D204">
        <v>17</v>
      </c>
      <c r="E204" t="str">
        <f t="shared" si="5"/>
        <v>Jérôme/17/1/2</v>
      </c>
    </row>
    <row r="205" spans="1:5" x14ac:dyDescent="0.2">
      <c r="A205">
        <v>2</v>
      </c>
      <c r="B205" t="s">
        <v>68</v>
      </c>
      <c r="C205">
        <v>2</v>
      </c>
      <c r="D205">
        <v>13</v>
      </c>
      <c r="E205" t="str">
        <f t="shared" si="5"/>
        <v>zubbaz/13/2/2</v>
      </c>
    </row>
    <row r="206" spans="1:5" x14ac:dyDescent="0.2">
      <c r="A206">
        <v>3</v>
      </c>
      <c r="B206" t="s">
        <v>55</v>
      </c>
      <c r="C206">
        <v>2</v>
      </c>
      <c r="D206">
        <v>9</v>
      </c>
      <c r="E206" t="str">
        <f t="shared" si="5"/>
        <v>Bounette/9/3/2</v>
      </c>
    </row>
    <row r="207" spans="1:5" x14ac:dyDescent="0.2">
      <c r="A207">
        <v>4</v>
      </c>
      <c r="B207" t="s">
        <v>39</v>
      </c>
      <c r="C207">
        <v>0</v>
      </c>
      <c r="D207">
        <v>5</v>
      </c>
      <c r="E207" t="str">
        <f t="shared" si="5"/>
        <v>kheops/5/4/0</v>
      </c>
    </row>
    <row r="208" spans="1:5" x14ac:dyDescent="0.2">
      <c r="A208">
        <v>5</v>
      </c>
      <c r="B208" t="s">
        <v>21</v>
      </c>
      <c r="C208">
        <v>0</v>
      </c>
      <c r="D208">
        <v>3</v>
      </c>
      <c r="E208" t="str">
        <f t="shared" si="5"/>
        <v>Carmin/3/5/0</v>
      </c>
    </row>
    <row r="209" spans="1:5" x14ac:dyDescent="0.2">
      <c r="A209">
        <v>6</v>
      </c>
      <c r="B209" t="s">
        <v>33</v>
      </c>
      <c r="C209">
        <v>0</v>
      </c>
      <c r="D209">
        <v>2</v>
      </c>
      <c r="E209" t="str">
        <f t="shared" si="5"/>
        <v>Ptit Savoyard/2/6/0</v>
      </c>
    </row>
    <row r="210" spans="1:5" x14ac:dyDescent="0.2">
      <c r="A210">
        <v>7</v>
      </c>
      <c r="B210" t="s">
        <v>102</v>
      </c>
      <c r="C210">
        <v>0</v>
      </c>
      <c r="D210">
        <v>1</v>
      </c>
      <c r="E210" t="str">
        <f t="shared" si="5"/>
        <v>Doudoululu/1/7/0</v>
      </c>
    </row>
    <row r="211" spans="1:5" x14ac:dyDescent="0.2">
      <c r="A211">
        <v>1</v>
      </c>
      <c r="B211" t="s">
        <v>19</v>
      </c>
      <c r="C211">
        <v>3</v>
      </c>
      <c r="D211">
        <v>16</v>
      </c>
      <c r="E211" t="str">
        <f t="shared" si="5"/>
        <v>Giobeck/16/1/3</v>
      </c>
    </row>
    <row r="212" spans="1:5" x14ac:dyDescent="0.2">
      <c r="A212">
        <v>2</v>
      </c>
      <c r="B212" t="s">
        <v>345</v>
      </c>
      <c r="C212">
        <v>0</v>
      </c>
      <c r="D212">
        <v>12</v>
      </c>
      <c r="E212" t="str">
        <f t="shared" si="5"/>
        <v>Thibaultp75/12/2/0</v>
      </c>
    </row>
    <row r="213" spans="1:5" x14ac:dyDescent="0.2">
      <c r="A213">
        <v>3</v>
      </c>
      <c r="B213" t="s">
        <v>61</v>
      </c>
      <c r="C213">
        <v>0</v>
      </c>
      <c r="D213">
        <v>8</v>
      </c>
      <c r="E213" t="str">
        <f t="shared" si="5"/>
        <v>Kri-lin/8/3/0</v>
      </c>
    </row>
    <row r="214" spans="1:5" x14ac:dyDescent="0.2">
      <c r="A214">
        <v>4</v>
      </c>
      <c r="B214" t="s">
        <v>65</v>
      </c>
      <c r="C214">
        <v>2</v>
      </c>
      <c r="D214">
        <v>4</v>
      </c>
      <c r="E214" t="str">
        <f t="shared" si="5"/>
        <v>Ripolin/4/4/2</v>
      </c>
    </row>
    <row r="215" spans="1:5" x14ac:dyDescent="0.2">
      <c r="A215">
        <v>5</v>
      </c>
      <c r="B215" t="s">
        <v>69</v>
      </c>
      <c r="C215">
        <v>0</v>
      </c>
      <c r="D215">
        <v>2</v>
      </c>
      <c r="E215" t="str">
        <f t="shared" si="5"/>
        <v>Catherine/2/5/0</v>
      </c>
    </row>
    <row r="216" spans="1:5" x14ac:dyDescent="0.2">
      <c r="A216">
        <v>6</v>
      </c>
      <c r="B216" t="s">
        <v>74</v>
      </c>
      <c r="C216">
        <v>0</v>
      </c>
      <c r="D216">
        <v>1</v>
      </c>
      <c r="E216" t="str">
        <f t="shared" si="5"/>
        <v>PatB/1/6/0</v>
      </c>
    </row>
    <row r="217" spans="1:5" x14ac:dyDescent="0.2">
      <c r="A217">
        <v>1</v>
      </c>
      <c r="B217" t="s">
        <v>53</v>
      </c>
      <c r="C217">
        <v>2</v>
      </c>
      <c r="D217">
        <v>17</v>
      </c>
      <c r="E217" t="str">
        <f t="shared" si="5"/>
        <v>Makoche/17/1/2</v>
      </c>
    </row>
    <row r="218" spans="1:5" x14ac:dyDescent="0.2">
      <c r="A218">
        <v>2</v>
      </c>
      <c r="B218" t="s">
        <v>101</v>
      </c>
      <c r="C218">
        <v>3</v>
      </c>
      <c r="D218">
        <v>13</v>
      </c>
      <c r="E218" t="str">
        <f t="shared" si="5"/>
        <v>ChrisFrankfurt/13/2/3</v>
      </c>
    </row>
    <row r="219" spans="1:5" x14ac:dyDescent="0.2">
      <c r="A219">
        <v>3</v>
      </c>
      <c r="B219" t="s">
        <v>35</v>
      </c>
      <c r="C219">
        <v>1</v>
      </c>
      <c r="D219">
        <v>9</v>
      </c>
      <c r="E219" t="str">
        <f t="shared" si="5"/>
        <v>JeanMichelTiming/9/3/1</v>
      </c>
    </row>
    <row r="220" spans="1:5" x14ac:dyDescent="0.2">
      <c r="A220">
        <v>4</v>
      </c>
      <c r="B220" t="s">
        <v>41</v>
      </c>
      <c r="C220">
        <v>0</v>
      </c>
      <c r="D220">
        <v>5</v>
      </c>
      <c r="E220" t="str">
        <f t="shared" si="5"/>
        <v>gibouille/5/4/0</v>
      </c>
    </row>
    <row r="221" spans="1:5" x14ac:dyDescent="0.2">
      <c r="A221">
        <v>5</v>
      </c>
      <c r="B221" t="s">
        <v>305</v>
      </c>
      <c r="C221">
        <v>0</v>
      </c>
      <c r="D221">
        <v>3</v>
      </c>
      <c r="E221" t="str">
        <f t="shared" si="5"/>
        <v>flowww/3/5/0</v>
      </c>
    </row>
    <row r="222" spans="1:5" x14ac:dyDescent="0.2">
      <c r="A222">
        <v>6</v>
      </c>
      <c r="B222" t="s">
        <v>47</v>
      </c>
      <c r="C222">
        <v>0</v>
      </c>
      <c r="D222">
        <v>2</v>
      </c>
      <c r="E222" t="str">
        <f t="shared" si="5"/>
        <v>Logan/2/6/0</v>
      </c>
    </row>
    <row r="223" spans="1:5" x14ac:dyDescent="0.2">
      <c r="A223">
        <v>7</v>
      </c>
      <c r="B223" t="s">
        <v>59</v>
      </c>
      <c r="C223">
        <v>0</v>
      </c>
      <c r="D223">
        <v>1</v>
      </c>
      <c r="E223" t="str">
        <f t="shared" si="5"/>
        <v>YooooDA/1/7/0</v>
      </c>
    </row>
    <row r="224" spans="1:5" x14ac:dyDescent="0.2">
      <c r="A224">
        <v>1</v>
      </c>
      <c r="B224" t="s">
        <v>369</v>
      </c>
      <c r="C224">
        <v>5</v>
      </c>
      <c r="D224">
        <v>16</v>
      </c>
      <c r="E224" t="str">
        <f t="shared" si="5"/>
        <v>Thibault/16/1/5</v>
      </c>
    </row>
    <row r="225" spans="1:5" x14ac:dyDescent="0.2">
      <c r="A225">
        <v>2</v>
      </c>
      <c r="B225" t="s">
        <v>98</v>
      </c>
      <c r="C225">
        <v>0</v>
      </c>
      <c r="D225">
        <v>12</v>
      </c>
      <c r="E225" t="str">
        <f t="shared" si="5"/>
        <v>Blocknote/12/2/0</v>
      </c>
    </row>
    <row r="226" spans="1:5" x14ac:dyDescent="0.2">
      <c r="A226">
        <v>3</v>
      </c>
      <c r="B226" t="s">
        <v>60</v>
      </c>
      <c r="C226">
        <v>0</v>
      </c>
      <c r="D226">
        <v>8</v>
      </c>
      <c r="E226" t="str">
        <f t="shared" si="5"/>
        <v>zizou/8/3/0</v>
      </c>
    </row>
    <row r="227" spans="1:5" x14ac:dyDescent="0.2">
      <c r="A227">
        <v>4</v>
      </c>
      <c r="B227" t="s">
        <v>54</v>
      </c>
      <c r="C227">
        <v>0</v>
      </c>
      <c r="D227">
        <v>4</v>
      </c>
      <c r="E227" t="str">
        <f t="shared" si="5"/>
        <v>Salsamanu/4/4/0</v>
      </c>
    </row>
    <row r="228" spans="1:5" x14ac:dyDescent="0.2">
      <c r="A228">
        <v>5</v>
      </c>
      <c r="B228" t="s">
        <v>12</v>
      </c>
      <c r="C228">
        <v>0</v>
      </c>
      <c r="D228">
        <v>2</v>
      </c>
      <c r="E228" t="str">
        <f t="shared" si="5"/>
        <v>Gnak/2/5/0</v>
      </c>
    </row>
    <row r="229" spans="1:5" x14ac:dyDescent="0.2">
      <c r="A229">
        <v>6</v>
      </c>
      <c r="B229" t="s">
        <v>87</v>
      </c>
      <c r="C229">
        <v>0</v>
      </c>
      <c r="D229">
        <v>1</v>
      </c>
      <c r="E229" t="str">
        <f t="shared" si="5"/>
        <v>Proph@ne/1/6/0</v>
      </c>
    </row>
    <row r="230" spans="1:5" x14ac:dyDescent="0.2">
      <c r="A230">
        <v>1</v>
      </c>
      <c r="B230" t="s">
        <v>6</v>
      </c>
      <c r="C230">
        <v>1</v>
      </c>
      <c r="D230">
        <v>17</v>
      </c>
      <c r="E230" t="str">
        <f t="shared" si="5"/>
        <v>Pyja/17/1/1</v>
      </c>
    </row>
    <row r="231" spans="1:5" x14ac:dyDescent="0.2">
      <c r="A231">
        <v>2</v>
      </c>
      <c r="B231" t="s">
        <v>26</v>
      </c>
      <c r="C231">
        <v>3</v>
      </c>
      <c r="D231">
        <v>13</v>
      </c>
      <c r="E231" t="str">
        <f t="shared" si="5"/>
        <v>LOSOGRE/13/2/3</v>
      </c>
    </row>
    <row r="232" spans="1:5" x14ac:dyDescent="0.2">
      <c r="A232">
        <v>3</v>
      </c>
      <c r="B232" t="s">
        <v>76</v>
      </c>
      <c r="C232">
        <v>1</v>
      </c>
      <c r="D232">
        <v>9</v>
      </c>
      <c r="E232" t="str">
        <f t="shared" si="5"/>
        <v>Comment2/9/3/1</v>
      </c>
    </row>
    <row r="233" spans="1:5" x14ac:dyDescent="0.2">
      <c r="A233">
        <v>4</v>
      </c>
      <c r="B233" t="s">
        <v>28</v>
      </c>
      <c r="C233">
        <v>1</v>
      </c>
      <c r="D233">
        <v>5</v>
      </c>
      <c r="E233" t="str">
        <f t="shared" si="5"/>
        <v>sobab/5/4/1</v>
      </c>
    </row>
    <row r="234" spans="1:5" x14ac:dyDescent="0.2">
      <c r="A234">
        <v>5</v>
      </c>
      <c r="B234" t="s">
        <v>42</v>
      </c>
      <c r="C234">
        <v>0</v>
      </c>
      <c r="D234">
        <v>3</v>
      </c>
      <c r="E234" t="str">
        <f t="shared" si="5"/>
        <v>Claptou/3/5/0</v>
      </c>
    </row>
    <row r="235" spans="1:5" x14ac:dyDescent="0.2">
      <c r="A235">
        <v>6</v>
      </c>
      <c r="B235" t="s">
        <v>15</v>
      </c>
      <c r="C235">
        <v>0</v>
      </c>
      <c r="D235">
        <v>2</v>
      </c>
      <c r="E235" t="str">
        <f t="shared" si="5"/>
        <v>LAAtof/2/6/0</v>
      </c>
    </row>
    <row r="236" spans="1:5" x14ac:dyDescent="0.2">
      <c r="A236">
        <v>7</v>
      </c>
      <c r="B236" t="s">
        <v>32</v>
      </c>
      <c r="C236">
        <v>0</v>
      </c>
      <c r="D236">
        <v>1</v>
      </c>
      <c r="E236" t="str">
        <f t="shared" si="5"/>
        <v>OlivierN92/1/7/0</v>
      </c>
    </row>
    <row r="237" spans="1:5" x14ac:dyDescent="0.2">
      <c r="A237">
        <v>1</v>
      </c>
      <c r="B237" t="s">
        <v>73</v>
      </c>
      <c r="C237">
        <v>3</v>
      </c>
      <c r="D237">
        <v>17</v>
      </c>
      <c r="E237" t="str">
        <f t="shared" si="5"/>
        <v>Flem/17/1/3</v>
      </c>
    </row>
    <row r="238" spans="1:5" x14ac:dyDescent="0.2">
      <c r="A238">
        <v>2</v>
      </c>
      <c r="B238" t="s">
        <v>75</v>
      </c>
      <c r="C238">
        <v>3</v>
      </c>
      <c r="D238">
        <v>13</v>
      </c>
      <c r="E238" t="str">
        <f t="shared" ref="E238:E301" si="6">B238&amp;"/"&amp;D238&amp;"/"&amp;A238&amp;"/"&amp;C238</f>
        <v>Michelbey/13/2/3</v>
      </c>
    </row>
    <row r="239" spans="1:5" x14ac:dyDescent="0.2">
      <c r="A239">
        <v>3</v>
      </c>
      <c r="B239" t="s">
        <v>368</v>
      </c>
      <c r="C239">
        <v>0</v>
      </c>
      <c r="D239">
        <v>9</v>
      </c>
      <c r="E239" t="str">
        <f t="shared" si="6"/>
        <v>Wasp/9/3/0</v>
      </c>
    </row>
    <row r="240" spans="1:5" x14ac:dyDescent="0.2">
      <c r="A240">
        <v>4</v>
      </c>
      <c r="B240" t="s">
        <v>14</v>
      </c>
      <c r="C240">
        <v>0</v>
      </c>
      <c r="D240">
        <v>5</v>
      </c>
      <c r="E240" t="str">
        <f t="shared" si="6"/>
        <v>Ramm/5/4/0</v>
      </c>
    </row>
    <row r="241" spans="1:5" x14ac:dyDescent="0.2">
      <c r="A241">
        <v>5</v>
      </c>
      <c r="B241" t="s">
        <v>25</v>
      </c>
      <c r="C241">
        <v>0</v>
      </c>
      <c r="D241">
        <v>3</v>
      </c>
      <c r="E241" t="str">
        <f t="shared" si="6"/>
        <v>Claudius/3/5/0</v>
      </c>
    </row>
    <row r="242" spans="1:5" x14ac:dyDescent="0.2">
      <c r="A242">
        <v>6</v>
      </c>
      <c r="B242" t="s">
        <v>8</v>
      </c>
      <c r="C242">
        <v>0</v>
      </c>
      <c r="D242">
        <v>2</v>
      </c>
      <c r="E242" t="str">
        <f t="shared" si="6"/>
        <v>Maxime/2/6/0</v>
      </c>
    </row>
    <row r="243" spans="1:5" x14ac:dyDescent="0.2">
      <c r="A243">
        <v>7</v>
      </c>
      <c r="B243" t="s">
        <v>9</v>
      </c>
      <c r="C243">
        <v>0</v>
      </c>
      <c r="D243">
        <v>1</v>
      </c>
      <c r="E243" t="str">
        <f t="shared" si="6"/>
        <v>K1/1/7/0</v>
      </c>
    </row>
    <row r="244" spans="1:5" x14ac:dyDescent="0.2">
      <c r="A244">
        <v>1</v>
      </c>
      <c r="B244" t="s">
        <v>12</v>
      </c>
      <c r="C244">
        <v>4</v>
      </c>
      <c r="D244">
        <v>16</v>
      </c>
      <c r="E244" t="str">
        <f t="shared" si="6"/>
        <v>Gnak/16/1/4</v>
      </c>
    </row>
    <row r="245" spans="1:5" x14ac:dyDescent="0.2">
      <c r="A245">
        <v>2</v>
      </c>
      <c r="B245" t="s">
        <v>75</v>
      </c>
      <c r="C245">
        <v>0</v>
      </c>
      <c r="D245">
        <v>12</v>
      </c>
      <c r="E245" t="str">
        <f t="shared" si="6"/>
        <v>Michelbey/12/2/0</v>
      </c>
    </row>
    <row r="246" spans="1:5" x14ac:dyDescent="0.2">
      <c r="A246">
        <v>3</v>
      </c>
      <c r="B246" t="s">
        <v>29</v>
      </c>
      <c r="C246">
        <v>1</v>
      </c>
      <c r="D246">
        <v>8</v>
      </c>
      <c r="E246" t="str">
        <f t="shared" si="6"/>
        <v>NoDoubt/8/3/1</v>
      </c>
    </row>
    <row r="247" spans="1:5" x14ac:dyDescent="0.2">
      <c r="A247">
        <v>4</v>
      </c>
      <c r="B247" t="s">
        <v>60</v>
      </c>
      <c r="C247">
        <v>0</v>
      </c>
      <c r="D247">
        <v>4</v>
      </c>
      <c r="E247" t="str">
        <f t="shared" si="6"/>
        <v>zizou/4/4/0</v>
      </c>
    </row>
    <row r="248" spans="1:5" x14ac:dyDescent="0.2">
      <c r="A248">
        <v>5</v>
      </c>
      <c r="B248" t="s">
        <v>65</v>
      </c>
      <c r="C248">
        <v>0</v>
      </c>
      <c r="D248">
        <v>2</v>
      </c>
      <c r="E248" t="str">
        <f t="shared" si="6"/>
        <v>Ripolin/2/5/0</v>
      </c>
    </row>
    <row r="249" spans="1:5" x14ac:dyDescent="0.2">
      <c r="A249">
        <v>6</v>
      </c>
      <c r="B249" t="s">
        <v>42</v>
      </c>
      <c r="C249">
        <v>0</v>
      </c>
      <c r="D249">
        <v>1</v>
      </c>
      <c r="E249" t="str">
        <f t="shared" si="6"/>
        <v>Claptou/1/6/0</v>
      </c>
    </row>
    <row r="250" spans="1:5" x14ac:dyDescent="0.2">
      <c r="A250">
        <v>1</v>
      </c>
      <c r="B250" t="s">
        <v>66</v>
      </c>
      <c r="C250">
        <v>4</v>
      </c>
      <c r="D250">
        <v>16</v>
      </c>
      <c r="E250" t="str">
        <f t="shared" si="6"/>
        <v>Ad Vitam/16/1/4</v>
      </c>
    </row>
    <row r="251" spans="1:5" x14ac:dyDescent="0.2">
      <c r="A251">
        <v>2</v>
      </c>
      <c r="B251" t="s">
        <v>9</v>
      </c>
      <c r="C251">
        <v>0</v>
      </c>
      <c r="D251">
        <v>12</v>
      </c>
      <c r="E251" t="str">
        <f t="shared" si="6"/>
        <v>K1/12/2/0</v>
      </c>
    </row>
    <row r="252" spans="1:5" x14ac:dyDescent="0.2">
      <c r="A252">
        <v>3</v>
      </c>
      <c r="B252" t="s">
        <v>46</v>
      </c>
      <c r="C252">
        <v>0</v>
      </c>
      <c r="D252">
        <v>8</v>
      </c>
      <c r="E252" t="str">
        <f t="shared" si="6"/>
        <v>Jérôme/8/3/0</v>
      </c>
    </row>
    <row r="253" spans="1:5" x14ac:dyDescent="0.2">
      <c r="A253">
        <v>4</v>
      </c>
      <c r="B253" t="s">
        <v>101</v>
      </c>
      <c r="C253">
        <v>1</v>
      </c>
      <c r="D253">
        <v>4</v>
      </c>
      <c r="E253" t="str">
        <f t="shared" si="6"/>
        <v>ChrisFrankfurt/4/4/1</v>
      </c>
    </row>
    <row r="254" spans="1:5" x14ac:dyDescent="0.2">
      <c r="A254">
        <v>5</v>
      </c>
      <c r="B254" t="s">
        <v>39</v>
      </c>
      <c r="C254">
        <v>0</v>
      </c>
      <c r="D254">
        <v>2</v>
      </c>
      <c r="E254" t="str">
        <f t="shared" si="6"/>
        <v>kheops/2/5/0</v>
      </c>
    </row>
    <row r="255" spans="1:5" x14ac:dyDescent="0.2">
      <c r="A255">
        <v>6</v>
      </c>
      <c r="B255" t="s">
        <v>22</v>
      </c>
      <c r="C255">
        <v>0</v>
      </c>
      <c r="D255">
        <v>1</v>
      </c>
      <c r="E255" t="str">
        <f t="shared" si="6"/>
        <v>Dart 45/1/6/0</v>
      </c>
    </row>
    <row r="256" spans="1:5" x14ac:dyDescent="0.2">
      <c r="A256">
        <v>1</v>
      </c>
      <c r="B256" t="s">
        <v>98</v>
      </c>
      <c r="C256">
        <v>3</v>
      </c>
      <c r="D256">
        <v>16</v>
      </c>
      <c r="E256" t="str">
        <f t="shared" si="6"/>
        <v>Blocknote/16/1/3</v>
      </c>
    </row>
    <row r="257" spans="1:5" x14ac:dyDescent="0.2">
      <c r="A257">
        <v>2</v>
      </c>
      <c r="B257" t="s">
        <v>45</v>
      </c>
      <c r="C257">
        <v>2</v>
      </c>
      <c r="D257">
        <v>12</v>
      </c>
      <c r="E257" t="str">
        <f t="shared" si="6"/>
        <v>yaltar/12/2/2</v>
      </c>
    </row>
    <row r="258" spans="1:5" x14ac:dyDescent="0.2">
      <c r="A258">
        <v>3</v>
      </c>
      <c r="B258" t="s">
        <v>61</v>
      </c>
      <c r="C258">
        <v>0</v>
      </c>
      <c r="D258">
        <v>8</v>
      </c>
      <c r="E258" t="str">
        <f t="shared" si="6"/>
        <v>Kri-lin/8/3/0</v>
      </c>
    </row>
    <row r="259" spans="1:5" x14ac:dyDescent="0.2">
      <c r="A259">
        <v>4</v>
      </c>
      <c r="B259" t="s">
        <v>52</v>
      </c>
      <c r="C259">
        <v>0</v>
      </c>
      <c r="D259">
        <v>4</v>
      </c>
      <c r="E259" t="str">
        <f t="shared" si="6"/>
        <v>Coach Pepito/4/4/0</v>
      </c>
    </row>
    <row r="260" spans="1:5" x14ac:dyDescent="0.2">
      <c r="A260">
        <v>5</v>
      </c>
      <c r="B260" t="s">
        <v>35</v>
      </c>
      <c r="C260">
        <v>0</v>
      </c>
      <c r="D260">
        <v>2</v>
      </c>
      <c r="E260" t="str">
        <f t="shared" si="6"/>
        <v>JeanMichelTiming/2/5/0</v>
      </c>
    </row>
    <row r="261" spans="1:5" x14ac:dyDescent="0.2">
      <c r="A261">
        <v>6</v>
      </c>
      <c r="B261" t="s">
        <v>8</v>
      </c>
      <c r="C261">
        <v>0</v>
      </c>
      <c r="D261">
        <v>1</v>
      </c>
      <c r="E261" t="str">
        <f t="shared" si="6"/>
        <v>Maxime/1/6/0</v>
      </c>
    </row>
    <row r="262" spans="1:5" x14ac:dyDescent="0.2">
      <c r="A262">
        <v>1</v>
      </c>
      <c r="B262" t="s">
        <v>41</v>
      </c>
      <c r="C262">
        <v>2</v>
      </c>
      <c r="D262">
        <v>16</v>
      </c>
      <c r="E262" t="str">
        <f t="shared" si="6"/>
        <v>gibouille/16/1/2</v>
      </c>
    </row>
    <row r="263" spans="1:5" x14ac:dyDescent="0.2">
      <c r="A263">
        <v>2</v>
      </c>
      <c r="B263" t="s">
        <v>76</v>
      </c>
      <c r="C263">
        <v>2</v>
      </c>
      <c r="D263">
        <v>12</v>
      </c>
      <c r="E263" t="str">
        <f t="shared" si="6"/>
        <v>Comment2/12/2/2</v>
      </c>
    </row>
    <row r="264" spans="1:5" x14ac:dyDescent="0.2">
      <c r="A264">
        <v>3</v>
      </c>
      <c r="B264" t="s">
        <v>55</v>
      </c>
      <c r="C264">
        <v>0</v>
      </c>
      <c r="D264">
        <v>8</v>
      </c>
      <c r="E264" t="str">
        <f t="shared" si="6"/>
        <v>Bounette/8/3/0</v>
      </c>
    </row>
    <row r="265" spans="1:5" x14ac:dyDescent="0.2">
      <c r="A265">
        <v>4</v>
      </c>
      <c r="B265" t="s">
        <v>54</v>
      </c>
      <c r="C265">
        <v>0</v>
      </c>
      <c r="D265">
        <v>4</v>
      </c>
      <c r="E265" t="str">
        <f t="shared" si="6"/>
        <v>Salsamanu/4/4/0</v>
      </c>
    </row>
    <row r="266" spans="1:5" x14ac:dyDescent="0.2">
      <c r="A266">
        <v>5</v>
      </c>
      <c r="B266" t="s">
        <v>28</v>
      </c>
      <c r="C266">
        <v>1</v>
      </c>
      <c r="D266">
        <v>2</v>
      </c>
      <c r="E266" t="str">
        <f t="shared" si="6"/>
        <v>sobab/2/5/1</v>
      </c>
    </row>
    <row r="267" spans="1:5" x14ac:dyDescent="0.2">
      <c r="A267">
        <v>6</v>
      </c>
      <c r="B267" t="s">
        <v>68</v>
      </c>
      <c r="C267">
        <v>0</v>
      </c>
      <c r="D267">
        <v>1</v>
      </c>
      <c r="E267" t="str">
        <f t="shared" si="6"/>
        <v>zubbaz/1/6/0</v>
      </c>
    </row>
    <row r="268" spans="1:5" x14ac:dyDescent="0.2">
      <c r="A268">
        <v>1</v>
      </c>
      <c r="B268" t="s">
        <v>69</v>
      </c>
      <c r="C268">
        <v>1</v>
      </c>
      <c r="D268">
        <v>16</v>
      </c>
      <c r="E268" t="str">
        <f t="shared" si="6"/>
        <v>Catherine/16/1/1</v>
      </c>
    </row>
    <row r="269" spans="1:5" x14ac:dyDescent="0.2">
      <c r="A269">
        <v>2</v>
      </c>
      <c r="B269" t="s">
        <v>26</v>
      </c>
      <c r="C269">
        <v>3</v>
      </c>
      <c r="D269">
        <v>12</v>
      </c>
      <c r="E269" t="str">
        <f t="shared" si="6"/>
        <v>LOSOGRE/12/2/3</v>
      </c>
    </row>
    <row r="270" spans="1:5" x14ac:dyDescent="0.2">
      <c r="A270">
        <v>3</v>
      </c>
      <c r="B270" t="s">
        <v>59</v>
      </c>
      <c r="C270">
        <v>1</v>
      </c>
      <c r="D270">
        <v>8</v>
      </c>
      <c r="E270" t="str">
        <f t="shared" si="6"/>
        <v>YooooDA/8/3/1</v>
      </c>
    </row>
    <row r="271" spans="1:5" x14ac:dyDescent="0.2">
      <c r="A271">
        <v>4</v>
      </c>
      <c r="B271" t="s">
        <v>92</v>
      </c>
      <c r="C271">
        <v>0</v>
      </c>
      <c r="D271">
        <v>4</v>
      </c>
      <c r="E271" t="str">
        <f t="shared" si="6"/>
        <v>Jacks&amp;Five/4/4/0</v>
      </c>
    </row>
    <row r="272" spans="1:5" x14ac:dyDescent="0.2">
      <c r="A272">
        <v>5</v>
      </c>
      <c r="B272" t="s">
        <v>74</v>
      </c>
      <c r="C272">
        <v>0</v>
      </c>
      <c r="D272">
        <v>2</v>
      </c>
      <c r="E272" t="str">
        <f t="shared" si="6"/>
        <v>PatB/2/5/0</v>
      </c>
    </row>
    <row r="273" spans="1:5" x14ac:dyDescent="0.2">
      <c r="A273">
        <v>6</v>
      </c>
      <c r="B273" t="s">
        <v>25</v>
      </c>
      <c r="C273">
        <v>0</v>
      </c>
      <c r="D273">
        <v>1</v>
      </c>
      <c r="E273" t="str">
        <f t="shared" si="6"/>
        <v>Claudius/1/6/0</v>
      </c>
    </row>
    <row r="274" spans="1:5" x14ac:dyDescent="0.2">
      <c r="A274">
        <v>1</v>
      </c>
      <c r="B274" t="s">
        <v>19</v>
      </c>
      <c r="C274">
        <v>2</v>
      </c>
      <c r="D274">
        <v>16</v>
      </c>
      <c r="E274" t="str">
        <f t="shared" si="6"/>
        <v>Giobeck/16/1/2</v>
      </c>
    </row>
    <row r="275" spans="1:5" x14ac:dyDescent="0.2">
      <c r="A275">
        <v>2</v>
      </c>
      <c r="B275" t="s">
        <v>6</v>
      </c>
      <c r="C275">
        <v>2</v>
      </c>
      <c r="D275">
        <v>12</v>
      </c>
      <c r="E275" t="str">
        <f t="shared" si="6"/>
        <v>Pyja/12/2/2</v>
      </c>
    </row>
    <row r="276" spans="1:5" x14ac:dyDescent="0.2">
      <c r="A276">
        <v>3</v>
      </c>
      <c r="B276" t="s">
        <v>73</v>
      </c>
      <c r="C276">
        <v>0</v>
      </c>
      <c r="D276">
        <v>8</v>
      </c>
      <c r="E276" t="str">
        <f t="shared" si="6"/>
        <v>Flem/8/3/0</v>
      </c>
    </row>
    <row r="277" spans="1:5" x14ac:dyDescent="0.2">
      <c r="A277">
        <v>4</v>
      </c>
      <c r="B277" t="s">
        <v>21</v>
      </c>
      <c r="C277">
        <v>0</v>
      </c>
      <c r="D277">
        <v>4</v>
      </c>
      <c r="E277" t="str">
        <f t="shared" si="6"/>
        <v>Carmin/4/4/0</v>
      </c>
    </row>
    <row r="278" spans="1:5" x14ac:dyDescent="0.2">
      <c r="A278">
        <v>5</v>
      </c>
      <c r="B278" t="s">
        <v>368</v>
      </c>
      <c r="C278">
        <v>1</v>
      </c>
      <c r="D278">
        <v>2</v>
      </c>
      <c r="E278" t="str">
        <f t="shared" si="6"/>
        <v>Wasp/2/5/1</v>
      </c>
    </row>
    <row r="279" spans="1:5" x14ac:dyDescent="0.2">
      <c r="A279">
        <v>6</v>
      </c>
      <c r="B279" t="s">
        <v>14</v>
      </c>
      <c r="C279">
        <v>0</v>
      </c>
      <c r="D279">
        <v>1</v>
      </c>
      <c r="E279" t="str">
        <f t="shared" si="6"/>
        <v>Ramm/1/6/0</v>
      </c>
    </row>
    <row r="280" spans="1:5" x14ac:dyDescent="0.2">
      <c r="A280">
        <v>1</v>
      </c>
      <c r="B280" t="s">
        <v>46</v>
      </c>
      <c r="C280">
        <v>1</v>
      </c>
      <c r="D280">
        <v>16</v>
      </c>
      <c r="E280" t="str">
        <f t="shared" si="6"/>
        <v>Jérôme/16/1/1</v>
      </c>
    </row>
    <row r="281" spans="1:5" x14ac:dyDescent="0.2">
      <c r="A281">
        <v>2</v>
      </c>
      <c r="B281" t="s">
        <v>52</v>
      </c>
      <c r="C281">
        <v>4</v>
      </c>
      <c r="D281">
        <v>12</v>
      </c>
      <c r="E281" t="str">
        <f t="shared" si="6"/>
        <v>Coach Pepito/12/2/4</v>
      </c>
    </row>
    <row r="282" spans="1:5" x14ac:dyDescent="0.2">
      <c r="A282">
        <v>3</v>
      </c>
      <c r="B282" t="s">
        <v>69</v>
      </c>
      <c r="C282">
        <v>0</v>
      </c>
      <c r="D282">
        <v>8</v>
      </c>
      <c r="E282" t="str">
        <f t="shared" si="6"/>
        <v>Catherine/8/3/0</v>
      </c>
    </row>
    <row r="283" spans="1:5" x14ac:dyDescent="0.2">
      <c r="A283">
        <v>4</v>
      </c>
      <c r="B283" t="s">
        <v>25</v>
      </c>
      <c r="C283">
        <v>0</v>
      </c>
      <c r="D283">
        <v>4</v>
      </c>
      <c r="E283" t="str">
        <f t="shared" si="6"/>
        <v>Claudius/4/4/0</v>
      </c>
    </row>
    <row r="284" spans="1:5" x14ac:dyDescent="0.2">
      <c r="A284">
        <v>5</v>
      </c>
      <c r="B284" t="s">
        <v>6</v>
      </c>
      <c r="C284">
        <v>0</v>
      </c>
      <c r="D284">
        <v>2</v>
      </c>
      <c r="E284" t="str">
        <f t="shared" si="6"/>
        <v>Pyja/2/5/0</v>
      </c>
    </row>
    <row r="285" spans="1:5" x14ac:dyDescent="0.2">
      <c r="A285">
        <v>6</v>
      </c>
      <c r="B285" t="s">
        <v>54</v>
      </c>
      <c r="C285">
        <v>0</v>
      </c>
      <c r="D285">
        <v>1</v>
      </c>
      <c r="E285" t="str">
        <f t="shared" si="6"/>
        <v>Salsamanu/1/6/0</v>
      </c>
    </row>
    <row r="286" spans="1:5" x14ac:dyDescent="0.2">
      <c r="A286">
        <v>1</v>
      </c>
      <c r="B286" t="s">
        <v>40</v>
      </c>
      <c r="C286">
        <v>3</v>
      </c>
      <c r="D286">
        <v>16</v>
      </c>
      <c r="E286" t="str">
        <f t="shared" si="6"/>
        <v>Lén@/16/1/3</v>
      </c>
    </row>
    <row r="287" spans="1:5" x14ac:dyDescent="0.2">
      <c r="A287">
        <v>2</v>
      </c>
      <c r="B287" t="s">
        <v>88</v>
      </c>
      <c r="C287">
        <v>1</v>
      </c>
      <c r="D287">
        <v>12</v>
      </c>
      <c r="E287" t="str">
        <f t="shared" si="6"/>
        <v>Yarael/12/2/1</v>
      </c>
    </row>
    <row r="288" spans="1:5" x14ac:dyDescent="0.2">
      <c r="A288">
        <v>3</v>
      </c>
      <c r="B288" t="s">
        <v>98</v>
      </c>
      <c r="C288">
        <v>1</v>
      </c>
      <c r="D288">
        <v>8</v>
      </c>
      <c r="E288" t="str">
        <f t="shared" si="6"/>
        <v>Blocknote/8/3/1</v>
      </c>
    </row>
    <row r="289" spans="1:5" x14ac:dyDescent="0.2">
      <c r="A289">
        <v>4</v>
      </c>
      <c r="B289" t="s">
        <v>45</v>
      </c>
      <c r="C289">
        <v>0</v>
      </c>
      <c r="D289">
        <v>4</v>
      </c>
      <c r="E289" t="str">
        <f t="shared" si="6"/>
        <v>yaltar/4/4/0</v>
      </c>
    </row>
    <row r="290" spans="1:5" x14ac:dyDescent="0.2">
      <c r="A290">
        <v>5</v>
      </c>
      <c r="B290" t="s">
        <v>21</v>
      </c>
      <c r="C290">
        <v>0</v>
      </c>
      <c r="D290">
        <v>2</v>
      </c>
      <c r="E290" t="str">
        <f t="shared" si="6"/>
        <v>Carmin/2/5/0</v>
      </c>
    </row>
    <row r="291" spans="1:5" x14ac:dyDescent="0.2">
      <c r="A291">
        <v>6</v>
      </c>
      <c r="B291" t="s">
        <v>74</v>
      </c>
      <c r="C291">
        <v>0</v>
      </c>
      <c r="D291">
        <v>1</v>
      </c>
      <c r="E291" t="str">
        <f t="shared" si="6"/>
        <v>PatB/1/6/0</v>
      </c>
    </row>
    <row r="292" spans="1:5" x14ac:dyDescent="0.2">
      <c r="A292">
        <v>1</v>
      </c>
      <c r="B292" t="s">
        <v>41</v>
      </c>
      <c r="C292">
        <v>4</v>
      </c>
      <c r="D292">
        <v>16</v>
      </c>
      <c r="E292" t="str">
        <f t="shared" si="6"/>
        <v>gibouille/16/1/4</v>
      </c>
    </row>
    <row r="293" spans="1:5" x14ac:dyDescent="0.2">
      <c r="A293">
        <v>2</v>
      </c>
      <c r="B293" t="s">
        <v>26</v>
      </c>
      <c r="C293">
        <v>1</v>
      </c>
      <c r="D293">
        <v>12</v>
      </c>
      <c r="E293" t="str">
        <f t="shared" si="6"/>
        <v>LOSOGRE/12/2/1</v>
      </c>
    </row>
    <row r="294" spans="1:5" x14ac:dyDescent="0.2">
      <c r="A294">
        <v>3</v>
      </c>
      <c r="B294" t="s">
        <v>23</v>
      </c>
      <c r="C294">
        <v>0</v>
      </c>
      <c r="D294">
        <v>8</v>
      </c>
      <c r="E294" t="str">
        <f t="shared" si="6"/>
        <v>Lylith75/8/3/0</v>
      </c>
    </row>
    <row r="295" spans="1:5" x14ac:dyDescent="0.2">
      <c r="A295">
        <v>4</v>
      </c>
      <c r="B295" t="s">
        <v>101</v>
      </c>
      <c r="C295">
        <v>0</v>
      </c>
      <c r="D295">
        <v>4</v>
      </c>
      <c r="E295" t="str">
        <f t="shared" si="6"/>
        <v>ChrisFrankfurt/4/4/0</v>
      </c>
    </row>
    <row r="296" spans="1:5" x14ac:dyDescent="0.2">
      <c r="A296">
        <v>5</v>
      </c>
      <c r="B296" t="s">
        <v>29</v>
      </c>
      <c r="C296">
        <v>0</v>
      </c>
      <c r="D296">
        <v>2</v>
      </c>
      <c r="E296" t="str">
        <f t="shared" si="6"/>
        <v>NoDoubt/2/5/0</v>
      </c>
    </row>
    <row r="297" spans="1:5" x14ac:dyDescent="0.2">
      <c r="A297">
        <v>6</v>
      </c>
      <c r="B297" t="s">
        <v>22</v>
      </c>
      <c r="C297">
        <v>0</v>
      </c>
      <c r="D297">
        <v>1</v>
      </c>
      <c r="E297" t="str">
        <f t="shared" si="6"/>
        <v>Dart 45/1/6/0</v>
      </c>
    </row>
    <row r="298" spans="1:5" x14ac:dyDescent="0.2">
      <c r="A298">
        <v>1</v>
      </c>
      <c r="B298" t="s">
        <v>61</v>
      </c>
      <c r="C298">
        <v>2</v>
      </c>
      <c r="D298">
        <v>16</v>
      </c>
      <c r="E298" t="str">
        <f t="shared" si="6"/>
        <v>Kri-lin/16/1/2</v>
      </c>
    </row>
    <row r="299" spans="1:5" x14ac:dyDescent="0.2">
      <c r="A299">
        <v>2</v>
      </c>
      <c r="B299" t="s">
        <v>68</v>
      </c>
      <c r="C299">
        <v>1</v>
      </c>
      <c r="D299">
        <v>12</v>
      </c>
      <c r="E299" t="str">
        <f t="shared" si="6"/>
        <v>zubbaz/12/2/1</v>
      </c>
    </row>
    <row r="300" spans="1:5" x14ac:dyDescent="0.2">
      <c r="A300">
        <v>3</v>
      </c>
      <c r="B300" t="s">
        <v>92</v>
      </c>
      <c r="C300">
        <v>2</v>
      </c>
      <c r="D300">
        <v>8</v>
      </c>
      <c r="E300" t="str">
        <f t="shared" si="6"/>
        <v>Jacks&amp;Five/8/3/2</v>
      </c>
    </row>
    <row r="301" spans="1:5" x14ac:dyDescent="0.2">
      <c r="A301">
        <v>4</v>
      </c>
      <c r="B301" t="s">
        <v>42</v>
      </c>
      <c r="C301">
        <v>0</v>
      </c>
      <c r="D301">
        <v>4</v>
      </c>
      <c r="E301" t="str">
        <f t="shared" si="6"/>
        <v>Claptou/4/4/0</v>
      </c>
    </row>
    <row r="302" spans="1:5" x14ac:dyDescent="0.2">
      <c r="A302">
        <v>5</v>
      </c>
      <c r="B302" t="s">
        <v>12</v>
      </c>
      <c r="C302">
        <v>0</v>
      </c>
      <c r="D302">
        <v>2</v>
      </c>
      <c r="E302" t="str">
        <f t="shared" ref="E302:E365" si="7">B302&amp;"/"&amp;D302&amp;"/"&amp;A302&amp;"/"&amp;C302</f>
        <v>Gnak/2/5/0</v>
      </c>
    </row>
    <row r="303" spans="1:5" x14ac:dyDescent="0.2">
      <c r="A303">
        <v>6</v>
      </c>
      <c r="B303" t="s">
        <v>370</v>
      </c>
      <c r="C303">
        <v>0</v>
      </c>
      <c r="D303">
        <v>1</v>
      </c>
      <c r="E303" t="str">
        <f t="shared" si="7"/>
        <v>Gautier/1/6/0</v>
      </c>
    </row>
    <row r="304" spans="1:5" x14ac:dyDescent="0.2">
      <c r="A304">
        <v>1</v>
      </c>
      <c r="B304" t="s">
        <v>9</v>
      </c>
      <c r="C304">
        <v>4</v>
      </c>
      <c r="D304">
        <v>16</v>
      </c>
      <c r="E304" t="str">
        <f t="shared" si="7"/>
        <v>K1/16/1/4</v>
      </c>
    </row>
    <row r="305" spans="1:5" x14ac:dyDescent="0.2">
      <c r="A305">
        <v>2</v>
      </c>
      <c r="B305" t="s">
        <v>75</v>
      </c>
      <c r="C305">
        <v>1</v>
      </c>
      <c r="D305">
        <v>12</v>
      </c>
      <c r="E305" t="str">
        <f t="shared" si="7"/>
        <v>Michelbey/12/2/1</v>
      </c>
    </row>
    <row r="306" spans="1:5" x14ac:dyDescent="0.2">
      <c r="A306">
        <v>3</v>
      </c>
      <c r="B306" t="s">
        <v>28</v>
      </c>
      <c r="C306">
        <v>0</v>
      </c>
      <c r="D306">
        <v>8</v>
      </c>
      <c r="E306" t="str">
        <f t="shared" si="7"/>
        <v>sobab/8/3/0</v>
      </c>
    </row>
    <row r="307" spans="1:5" x14ac:dyDescent="0.2">
      <c r="A307">
        <v>4</v>
      </c>
      <c r="B307" t="s">
        <v>33</v>
      </c>
      <c r="C307">
        <v>0</v>
      </c>
      <c r="D307">
        <v>4</v>
      </c>
      <c r="E307" t="str">
        <f t="shared" si="7"/>
        <v>Ptit Savoyard/4/4/0</v>
      </c>
    </row>
    <row r="308" spans="1:5" x14ac:dyDescent="0.2">
      <c r="A308">
        <v>5</v>
      </c>
      <c r="B308" t="s">
        <v>15</v>
      </c>
      <c r="C308">
        <v>0</v>
      </c>
      <c r="D308">
        <v>2</v>
      </c>
      <c r="E308" t="str">
        <f t="shared" si="7"/>
        <v>LAAtof/2/5/0</v>
      </c>
    </row>
    <row r="309" spans="1:5" x14ac:dyDescent="0.2">
      <c r="A309">
        <v>6</v>
      </c>
      <c r="B309" t="s">
        <v>87</v>
      </c>
      <c r="C309">
        <v>0</v>
      </c>
      <c r="D309">
        <v>1</v>
      </c>
      <c r="E309" t="str">
        <f t="shared" si="7"/>
        <v>Proph@ne/1/6/0</v>
      </c>
    </row>
    <row r="310" spans="1:5" x14ac:dyDescent="0.2">
      <c r="A310">
        <v>1</v>
      </c>
      <c r="B310" t="s">
        <v>43</v>
      </c>
      <c r="C310">
        <v>3</v>
      </c>
      <c r="D310">
        <v>16</v>
      </c>
      <c r="E310" t="str">
        <f t="shared" si="7"/>
        <v>KassTwo/16/1/3</v>
      </c>
    </row>
    <row r="311" spans="1:5" x14ac:dyDescent="0.2">
      <c r="A311">
        <v>2</v>
      </c>
      <c r="B311" t="s">
        <v>66</v>
      </c>
      <c r="C311">
        <v>0</v>
      </c>
      <c r="D311">
        <v>12</v>
      </c>
      <c r="E311" t="str">
        <f t="shared" si="7"/>
        <v>Ad Vitam/12/2/0</v>
      </c>
    </row>
    <row r="312" spans="1:5" x14ac:dyDescent="0.2">
      <c r="A312">
        <v>3</v>
      </c>
      <c r="B312" t="s">
        <v>73</v>
      </c>
      <c r="C312">
        <v>1</v>
      </c>
      <c r="D312">
        <v>8</v>
      </c>
      <c r="E312" t="str">
        <f t="shared" si="7"/>
        <v>Flem/8/3/1</v>
      </c>
    </row>
    <row r="313" spans="1:5" x14ac:dyDescent="0.2">
      <c r="A313">
        <v>4</v>
      </c>
      <c r="B313" t="s">
        <v>19</v>
      </c>
      <c r="C313">
        <v>1</v>
      </c>
      <c r="D313">
        <v>4</v>
      </c>
      <c r="E313" t="str">
        <f t="shared" si="7"/>
        <v>Giobeck/4/4/1</v>
      </c>
    </row>
    <row r="314" spans="1:5" x14ac:dyDescent="0.2">
      <c r="A314">
        <v>5</v>
      </c>
      <c r="B314" t="s">
        <v>35</v>
      </c>
      <c r="C314">
        <v>0</v>
      </c>
      <c r="D314">
        <v>2</v>
      </c>
      <c r="E314" t="str">
        <f t="shared" si="7"/>
        <v>JeanMichelTiming/2/5/0</v>
      </c>
    </row>
    <row r="315" spans="1:5" x14ac:dyDescent="0.2">
      <c r="A315">
        <v>6</v>
      </c>
      <c r="B315" t="s">
        <v>50</v>
      </c>
      <c r="C315">
        <v>0</v>
      </c>
      <c r="D315">
        <v>1</v>
      </c>
      <c r="E315" t="str">
        <f t="shared" si="7"/>
        <v>MLADENGO/1/6/0</v>
      </c>
    </row>
    <row r="316" spans="1:5" x14ac:dyDescent="0.2">
      <c r="A316">
        <v>1</v>
      </c>
      <c r="B316" t="s">
        <v>42</v>
      </c>
      <c r="C316">
        <v>3</v>
      </c>
      <c r="D316">
        <v>16</v>
      </c>
      <c r="E316" t="str">
        <f t="shared" si="7"/>
        <v>Claptou/16/1/3</v>
      </c>
    </row>
    <row r="317" spans="1:5" x14ac:dyDescent="0.2">
      <c r="A317">
        <v>2</v>
      </c>
      <c r="B317" t="s">
        <v>27</v>
      </c>
      <c r="C317">
        <v>1</v>
      </c>
      <c r="D317">
        <v>12</v>
      </c>
      <c r="E317" t="str">
        <f t="shared" si="7"/>
        <v>Mandrake/12/2/1</v>
      </c>
    </row>
    <row r="318" spans="1:5" x14ac:dyDescent="0.2">
      <c r="A318">
        <v>3</v>
      </c>
      <c r="B318" t="s">
        <v>371</v>
      </c>
      <c r="C318">
        <v>1</v>
      </c>
      <c r="D318">
        <v>8</v>
      </c>
      <c r="E318" t="str">
        <f t="shared" si="7"/>
        <v>Labataxe/8/3/1</v>
      </c>
    </row>
    <row r="319" spans="1:5" x14ac:dyDescent="0.2">
      <c r="A319">
        <v>4</v>
      </c>
      <c r="B319" t="s">
        <v>35</v>
      </c>
      <c r="C319">
        <v>0</v>
      </c>
      <c r="D319">
        <v>4</v>
      </c>
      <c r="E319" t="str">
        <f t="shared" si="7"/>
        <v>JeanMichelTiming/4/4/0</v>
      </c>
    </row>
    <row r="320" spans="1:5" x14ac:dyDescent="0.2">
      <c r="A320">
        <v>5</v>
      </c>
      <c r="B320" t="s">
        <v>41</v>
      </c>
      <c r="C320">
        <v>0</v>
      </c>
      <c r="D320">
        <v>2</v>
      </c>
      <c r="E320" t="str">
        <f t="shared" si="7"/>
        <v>gibouille/2/5/0</v>
      </c>
    </row>
    <row r="321" spans="1:5" x14ac:dyDescent="0.2">
      <c r="A321">
        <v>6</v>
      </c>
      <c r="B321" t="s">
        <v>65</v>
      </c>
      <c r="C321">
        <v>0</v>
      </c>
      <c r="D321">
        <v>1</v>
      </c>
      <c r="E321" t="str">
        <f t="shared" si="7"/>
        <v>Ripolin/1/6/0</v>
      </c>
    </row>
    <row r="322" spans="1:5" x14ac:dyDescent="0.2">
      <c r="A322">
        <v>1</v>
      </c>
      <c r="B322" t="s">
        <v>68</v>
      </c>
      <c r="C322">
        <v>2</v>
      </c>
      <c r="D322">
        <v>16</v>
      </c>
      <c r="E322" t="str">
        <f t="shared" si="7"/>
        <v>zubbaz/16/1/2</v>
      </c>
    </row>
    <row r="323" spans="1:5" x14ac:dyDescent="0.2">
      <c r="A323">
        <v>2</v>
      </c>
      <c r="B323" t="s">
        <v>45</v>
      </c>
      <c r="C323">
        <v>2</v>
      </c>
      <c r="D323">
        <v>12</v>
      </c>
      <c r="E323" t="str">
        <f t="shared" si="7"/>
        <v>yaltar/12/2/2</v>
      </c>
    </row>
    <row r="324" spans="1:5" x14ac:dyDescent="0.2">
      <c r="A324">
        <v>3</v>
      </c>
      <c r="B324" t="s">
        <v>15</v>
      </c>
      <c r="C324">
        <v>1</v>
      </c>
      <c r="D324">
        <v>8</v>
      </c>
      <c r="E324" t="str">
        <f t="shared" si="7"/>
        <v>LAAtof/8/3/1</v>
      </c>
    </row>
    <row r="325" spans="1:5" x14ac:dyDescent="0.2">
      <c r="A325">
        <v>4</v>
      </c>
      <c r="B325" t="s">
        <v>74</v>
      </c>
      <c r="C325">
        <v>0</v>
      </c>
      <c r="D325">
        <v>4</v>
      </c>
      <c r="E325" t="str">
        <f t="shared" si="7"/>
        <v>PatB/4/4/0</v>
      </c>
    </row>
    <row r="326" spans="1:5" x14ac:dyDescent="0.2">
      <c r="A326">
        <v>5</v>
      </c>
      <c r="B326" t="s">
        <v>31</v>
      </c>
      <c r="C326">
        <v>0</v>
      </c>
      <c r="D326">
        <v>2</v>
      </c>
      <c r="E326" t="str">
        <f t="shared" si="7"/>
        <v>CHRIS92340/2/5/0</v>
      </c>
    </row>
    <row r="327" spans="1:5" x14ac:dyDescent="0.2">
      <c r="A327">
        <v>6</v>
      </c>
      <c r="B327" t="s">
        <v>25</v>
      </c>
      <c r="C327">
        <v>0</v>
      </c>
      <c r="D327">
        <v>1</v>
      </c>
      <c r="E327" t="str">
        <f t="shared" si="7"/>
        <v>Claudius/1/6/0</v>
      </c>
    </row>
    <row r="328" spans="1:5" x14ac:dyDescent="0.2">
      <c r="A328">
        <v>1</v>
      </c>
      <c r="B328" t="s">
        <v>40</v>
      </c>
      <c r="C328">
        <v>3</v>
      </c>
      <c r="D328">
        <v>15</v>
      </c>
      <c r="E328" t="str">
        <f t="shared" si="7"/>
        <v>Lén@/15/1/3</v>
      </c>
    </row>
    <row r="329" spans="1:5" x14ac:dyDescent="0.2">
      <c r="A329">
        <v>2</v>
      </c>
      <c r="B329" t="s">
        <v>69</v>
      </c>
      <c r="C329">
        <v>1</v>
      </c>
      <c r="D329">
        <v>11</v>
      </c>
      <c r="E329" t="str">
        <f t="shared" si="7"/>
        <v>Catherine/11/2/1</v>
      </c>
    </row>
    <row r="330" spans="1:5" x14ac:dyDescent="0.2">
      <c r="A330">
        <v>3</v>
      </c>
      <c r="B330" t="s">
        <v>305</v>
      </c>
      <c r="C330">
        <v>0</v>
      </c>
      <c r="D330">
        <v>7</v>
      </c>
      <c r="E330" t="str">
        <f t="shared" si="7"/>
        <v>flowww/7/3/0</v>
      </c>
    </row>
    <row r="331" spans="1:5" x14ac:dyDescent="0.2">
      <c r="A331">
        <v>4</v>
      </c>
      <c r="B331" t="s">
        <v>46</v>
      </c>
      <c r="C331">
        <v>0</v>
      </c>
      <c r="D331">
        <v>3</v>
      </c>
      <c r="E331" t="str">
        <f t="shared" si="7"/>
        <v>Jérôme/3/4/0</v>
      </c>
    </row>
    <row r="332" spans="1:5" x14ac:dyDescent="0.2">
      <c r="A332">
        <v>5</v>
      </c>
      <c r="B332" t="s">
        <v>12</v>
      </c>
      <c r="C332">
        <v>0</v>
      </c>
      <c r="D332">
        <v>1</v>
      </c>
      <c r="E332" t="str">
        <f t="shared" si="7"/>
        <v>Gnak/1/5/0</v>
      </c>
    </row>
    <row r="333" spans="1:5" x14ac:dyDescent="0.2">
      <c r="A333">
        <v>1</v>
      </c>
      <c r="B333" t="s">
        <v>66</v>
      </c>
      <c r="C333">
        <v>1</v>
      </c>
      <c r="D333">
        <v>16</v>
      </c>
      <c r="E333" t="str">
        <f t="shared" si="7"/>
        <v>Ad Vitam/16/1/1</v>
      </c>
    </row>
    <row r="334" spans="1:5" x14ac:dyDescent="0.2">
      <c r="A334">
        <v>2</v>
      </c>
      <c r="B334" t="s">
        <v>345</v>
      </c>
      <c r="C334">
        <v>2</v>
      </c>
      <c r="D334">
        <v>12</v>
      </c>
      <c r="E334" t="str">
        <f t="shared" si="7"/>
        <v>Thibaultp75/12/2/2</v>
      </c>
    </row>
    <row r="335" spans="1:5" x14ac:dyDescent="0.2">
      <c r="A335">
        <v>3</v>
      </c>
      <c r="B335" t="s">
        <v>61</v>
      </c>
      <c r="C335">
        <v>1</v>
      </c>
      <c r="D335">
        <v>8</v>
      </c>
      <c r="E335" t="str">
        <f t="shared" si="7"/>
        <v>Kri-lin/8/3/1</v>
      </c>
    </row>
    <row r="336" spans="1:5" x14ac:dyDescent="0.2">
      <c r="A336">
        <v>4</v>
      </c>
      <c r="B336" t="s">
        <v>43</v>
      </c>
      <c r="C336">
        <v>1</v>
      </c>
      <c r="D336">
        <v>4</v>
      </c>
      <c r="E336" t="str">
        <f t="shared" si="7"/>
        <v>KassTwo/4/4/1</v>
      </c>
    </row>
    <row r="337" spans="1:5" x14ac:dyDescent="0.2">
      <c r="A337">
        <v>5</v>
      </c>
      <c r="B337" t="s">
        <v>98</v>
      </c>
      <c r="C337">
        <v>0</v>
      </c>
      <c r="D337">
        <v>2</v>
      </c>
      <c r="E337" t="str">
        <f t="shared" si="7"/>
        <v>Blocknote/2/5/0</v>
      </c>
    </row>
    <row r="338" spans="1:5" x14ac:dyDescent="0.2">
      <c r="A338">
        <v>6</v>
      </c>
      <c r="B338" t="s">
        <v>102</v>
      </c>
      <c r="C338">
        <v>0</v>
      </c>
      <c r="D338">
        <v>1</v>
      </c>
      <c r="E338" t="str">
        <f t="shared" si="7"/>
        <v>Doudoululu/1/6/0</v>
      </c>
    </row>
    <row r="339" spans="1:5" x14ac:dyDescent="0.2">
      <c r="A339">
        <v>1</v>
      </c>
      <c r="B339" t="s">
        <v>75</v>
      </c>
      <c r="C339">
        <v>2</v>
      </c>
      <c r="D339">
        <v>16</v>
      </c>
      <c r="E339" t="str">
        <f t="shared" si="7"/>
        <v>Michelbey/16/1/2</v>
      </c>
    </row>
    <row r="340" spans="1:5" x14ac:dyDescent="0.2">
      <c r="A340">
        <v>2</v>
      </c>
      <c r="B340" t="s">
        <v>19</v>
      </c>
      <c r="C340">
        <v>1</v>
      </c>
      <c r="D340">
        <v>12</v>
      </c>
      <c r="E340" t="str">
        <f t="shared" si="7"/>
        <v>Giobeck/12/2/1</v>
      </c>
    </row>
    <row r="341" spans="1:5" x14ac:dyDescent="0.2">
      <c r="A341">
        <v>3</v>
      </c>
      <c r="B341" t="s">
        <v>73</v>
      </c>
      <c r="C341">
        <v>1</v>
      </c>
      <c r="D341">
        <v>8</v>
      </c>
      <c r="E341" t="str">
        <f t="shared" si="7"/>
        <v>Flem/8/3/1</v>
      </c>
    </row>
    <row r="342" spans="1:5" x14ac:dyDescent="0.2">
      <c r="A342">
        <v>4</v>
      </c>
      <c r="B342" t="s">
        <v>87</v>
      </c>
      <c r="C342">
        <v>1</v>
      </c>
      <c r="D342">
        <v>4</v>
      </c>
      <c r="E342" t="str">
        <f t="shared" si="7"/>
        <v>Proph@ne/4/4/1</v>
      </c>
    </row>
    <row r="343" spans="1:5" x14ac:dyDescent="0.2">
      <c r="A343">
        <v>5</v>
      </c>
      <c r="B343" t="s">
        <v>39</v>
      </c>
      <c r="C343">
        <v>0</v>
      </c>
      <c r="D343">
        <v>2</v>
      </c>
      <c r="E343" t="str">
        <f t="shared" si="7"/>
        <v>kheops/2/5/0</v>
      </c>
    </row>
    <row r="344" spans="1:5" x14ac:dyDescent="0.2">
      <c r="A344">
        <v>6</v>
      </c>
      <c r="B344" t="s">
        <v>21</v>
      </c>
      <c r="C344">
        <v>0</v>
      </c>
      <c r="D344">
        <v>1</v>
      </c>
      <c r="E344" t="str">
        <f t="shared" si="7"/>
        <v>Carmin/1/6/0</v>
      </c>
    </row>
    <row r="345" spans="1:5" x14ac:dyDescent="0.2">
      <c r="A345">
        <v>1</v>
      </c>
      <c r="B345" t="s">
        <v>94</v>
      </c>
      <c r="C345">
        <v>4</v>
      </c>
      <c r="D345">
        <v>17</v>
      </c>
      <c r="E345" t="str">
        <f t="shared" si="7"/>
        <v>Jaden le désosseur/17/1/4</v>
      </c>
    </row>
    <row r="346" spans="1:5" x14ac:dyDescent="0.2">
      <c r="A346">
        <v>2</v>
      </c>
      <c r="B346" t="s">
        <v>32</v>
      </c>
      <c r="C346">
        <v>0</v>
      </c>
      <c r="D346">
        <v>13</v>
      </c>
      <c r="E346" t="str">
        <f t="shared" si="7"/>
        <v>OlivierN92/13/2/0</v>
      </c>
    </row>
    <row r="347" spans="1:5" x14ac:dyDescent="0.2">
      <c r="A347">
        <v>3</v>
      </c>
      <c r="B347" t="s">
        <v>102</v>
      </c>
      <c r="C347">
        <v>2</v>
      </c>
      <c r="D347">
        <v>9</v>
      </c>
      <c r="E347" t="str">
        <f t="shared" si="7"/>
        <v>Doudoululu/9/3/2</v>
      </c>
    </row>
    <row r="348" spans="1:5" x14ac:dyDescent="0.2">
      <c r="A348">
        <v>4</v>
      </c>
      <c r="B348" t="s">
        <v>73</v>
      </c>
      <c r="C348">
        <v>0</v>
      </c>
      <c r="D348">
        <v>5</v>
      </c>
      <c r="E348" t="str">
        <f t="shared" si="7"/>
        <v>Flem/5/4/0</v>
      </c>
    </row>
    <row r="349" spans="1:5" x14ac:dyDescent="0.2">
      <c r="A349">
        <v>5</v>
      </c>
      <c r="B349" t="s">
        <v>66</v>
      </c>
      <c r="C349">
        <v>0</v>
      </c>
      <c r="D349">
        <v>3</v>
      </c>
      <c r="E349" t="str">
        <f t="shared" si="7"/>
        <v>Ad Vitam/3/5/0</v>
      </c>
    </row>
    <row r="350" spans="1:5" x14ac:dyDescent="0.2">
      <c r="A350">
        <v>6</v>
      </c>
      <c r="B350" t="s">
        <v>345</v>
      </c>
      <c r="C350">
        <v>0</v>
      </c>
      <c r="D350">
        <v>2</v>
      </c>
      <c r="E350" t="str">
        <f t="shared" si="7"/>
        <v>Thibaultp75/2/6/0</v>
      </c>
    </row>
    <row r="351" spans="1:5" x14ac:dyDescent="0.2">
      <c r="A351">
        <v>7</v>
      </c>
      <c r="B351" t="s">
        <v>74</v>
      </c>
      <c r="C351">
        <v>0</v>
      </c>
      <c r="D351">
        <v>1</v>
      </c>
      <c r="E351" t="str">
        <f t="shared" si="7"/>
        <v>PatB/1/7/0</v>
      </c>
    </row>
    <row r="352" spans="1:5" x14ac:dyDescent="0.2">
      <c r="A352">
        <v>1</v>
      </c>
      <c r="B352" t="s">
        <v>76</v>
      </c>
      <c r="C352">
        <v>3</v>
      </c>
      <c r="D352">
        <v>16</v>
      </c>
      <c r="E352" t="str">
        <f t="shared" si="7"/>
        <v>Comment2/16/1/3</v>
      </c>
    </row>
    <row r="353" spans="1:5" x14ac:dyDescent="0.2">
      <c r="A353">
        <v>2</v>
      </c>
      <c r="B353" t="s">
        <v>15</v>
      </c>
      <c r="C353">
        <v>2</v>
      </c>
      <c r="D353">
        <v>12</v>
      </c>
      <c r="E353" t="str">
        <f t="shared" si="7"/>
        <v>LAAtof/12/2/2</v>
      </c>
    </row>
    <row r="354" spans="1:5" x14ac:dyDescent="0.2">
      <c r="A354">
        <v>3</v>
      </c>
      <c r="B354" t="s">
        <v>46</v>
      </c>
      <c r="C354">
        <v>0</v>
      </c>
      <c r="D354">
        <v>8</v>
      </c>
      <c r="E354" t="str">
        <f t="shared" si="7"/>
        <v>Jérôme/8/3/0</v>
      </c>
    </row>
    <row r="355" spans="1:5" x14ac:dyDescent="0.2">
      <c r="A355">
        <v>4</v>
      </c>
      <c r="B355" t="s">
        <v>42</v>
      </c>
      <c r="C355">
        <v>0</v>
      </c>
      <c r="D355">
        <v>4</v>
      </c>
      <c r="E355" t="str">
        <f t="shared" si="7"/>
        <v>Claptou/4/4/0</v>
      </c>
    </row>
    <row r="356" spans="1:5" x14ac:dyDescent="0.2">
      <c r="A356">
        <v>5</v>
      </c>
      <c r="B356" t="s">
        <v>21</v>
      </c>
      <c r="C356">
        <v>0</v>
      </c>
      <c r="D356">
        <v>2</v>
      </c>
      <c r="E356" t="str">
        <f t="shared" si="7"/>
        <v>Carmin/2/5/0</v>
      </c>
    </row>
    <row r="357" spans="1:5" x14ac:dyDescent="0.2">
      <c r="A357">
        <v>6</v>
      </c>
      <c r="B357" t="s">
        <v>23</v>
      </c>
      <c r="C357">
        <v>0</v>
      </c>
      <c r="D357">
        <v>1</v>
      </c>
      <c r="E357" t="str">
        <f t="shared" si="7"/>
        <v>Lylith75/1/6/0</v>
      </c>
    </row>
    <row r="358" spans="1:5" x14ac:dyDescent="0.2">
      <c r="A358">
        <v>1</v>
      </c>
      <c r="B358" t="s">
        <v>12</v>
      </c>
      <c r="C358">
        <v>4</v>
      </c>
      <c r="D358">
        <v>17</v>
      </c>
      <c r="E358" t="str">
        <f t="shared" si="7"/>
        <v>Gnak/17/1/4</v>
      </c>
    </row>
    <row r="359" spans="1:5" x14ac:dyDescent="0.2">
      <c r="A359">
        <v>2</v>
      </c>
      <c r="B359" t="s">
        <v>19</v>
      </c>
      <c r="C359">
        <v>1</v>
      </c>
      <c r="D359">
        <v>13</v>
      </c>
      <c r="E359" t="str">
        <f t="shared" si="7"/>
        <v>Giobeck/13/2/1</v>
      </c>
    </row>
    <row r="360" spans="1:5" x14ac:dyDescent="0.2">
      <c r="A360">
        <v>3</v>
      </c>
      <c r="B360" t="s">
        <v>50</v>
      </c>
      <c r="C360">
        <v>0</v>
      </c>
      <c r="D360">
        <v>9</v>
      </c>
      <c r="E360" t="str">
        <f t="shared" si="7"/>
        <v>MLADENGO/9/3/0</v>
      </c>
    </row>
    <row r="361" spans="1:5" x14ac:dyDescent="0.2">
      <c r="A361">
        <v>4</v>
      </c>
      <c r="B361" t="s">
        <v>40</v>
      </c>
      <c r="C361">
        <v>1</v>
      </c>
      <c r="D361">
        <v>5</v>
      </c>
      <c r="E361" t="str">
        <f t="shared" si="7"/>
        <v>Lén@/5/4/1</v>
      </c>
    </row>
    <row r="362" spans="1:5" x14ac:dyDescent="0.2">
      <c r="A362">
        <v>5</v>
      </c>
      <c r="B362" t="s">
        <v>75</v>
      </c>
      <c r="C362">
        <v>0</v>
      </c>
      <c r="D362">
        <v>3</v>
      </c>
      <c r="E362" t="str">
        <f t="shared" si="7"/>
        <v>Michelbey/3/5/0</v>
      </c>
    </row>
    <row r="363" spans="1:5" x14ac:dyDescent="0.2">
      <c r="A363">
        <v>6</v>
      </c>
      <c r="B363" t="s">
        <v>69</v>
      </c>
      <c r="C363">
        <v>0</v>
      </c>
      <c r="D363">
        <v>2</v>
      </c>
      <c r="E363" t="str">
        <f t="shared" si="7"/>
        <v>Catherine/2/6/0</v>
      </c>
    </row>
    <row r="364" spans="1:5" x14ac:dyDescent="0.2">
      <c r="A364">
        <v>7</v>
      </c>
      <c r="B364" t="s">
        <v>33</v>
      </c>
      <c r="C364">
        <v>0</v>
      </c>
      <c r="D364">
        <v>1</v>
      </c>
      <c r="E364" t="str">
        <f t="shared" si="7"/>
        <v>Ptit Savoyard/1/7/0</v>
      </c>
    </row>
    <row r="365" spans="1:5" x14ac:dyDescent="0.2">
      <c r="A365">
        <v>1</v>
      </c>
      <c r="B365" t="s">
        <v>54</v>
      </c>
      <c r="C365">
        <v>4</v>
      </c>
      <c r="D365">
        <v>16</v>
      </c>
      <c r="E365" t="str">
        <f t="shared" si="7"/>
        <v>Salsamanu/16/1/4</v>
      </c>
    </row>
    <row r="366" spans="1:5" x14ac:dyDescent="0.2">
      <c r="A366">
        <v>2</v>
      </c>
      <c r="B366" t="s">
        <v>25</v>
      </c>
      <c r="C366">
        <v>0</v>
      </c>
      <c r="D366">
        <v>12</v>
      </c>
      <c r="E366" t="str">
        <f t="shared" ref="E366:E429" si="8">B366&amp;"/"&amp;D366&amp;"/"&amp;A366&amp;"/"&amp;C366</f>
        <v>Claudius/12/2/0</v>
      </c>
    </row>
    <row r="367" spans="1:5" x14ac:dyDescent="0.2">
      <c r="A367">
        <v>3</v>
      </c>
      <c r="B367" t="s">
        <v>98</v>
      </c>
      <c r="C367">
        <v>0</v>
      </c>
      <c r="D367">
        <v>8</v>
      </c>
      <c r="E367" t="str">
        <f t="shared" si="8"/>
        <v>Blocknote/8/3/0</v>
      </c>
    </row>
    <row r="368" spans="1:5" x14ac:dyDescent="0.2">
      <c r="A368">
        <v>4</v>
      </c>
      <c r="B368" t="s">
        <v>377</v>
      </c>
      <c r="C368">
        <v>1</v>
      </c>
      <c r="D368">
        <v>4</v>
      </c>
      <c r="E368" t="str">
        <f t="shared" si="8"/>
        <v>Marco58/4/4/1</v>
      </c>
    </row>
    <row r="369" spans="1:5" x14ac:dyDescent="0.2">
      <c r="A369">
        <v>5</v>
      </c>
      <c r="B369" t="s">
        <v>9</v>
      </c>
      <c r="C369">
        <v>0</v>
      </c>
      <c r="D369">
        <v>2</v>
      </c>
      <c r="E369" t="str">
        <f t="shared" si="8"/>
        <v>K1/2/5/0</v>
      </c>
    </row>
    <row r="370" spans="1:5" x14ac:dyDescent="0.2">
      <c r="A370">
        <v>6</v>
      </c>
      <c r="B370" t="s">
        <v>52</v>
      </c>
      <c r="C370">
        <v>0</v>
      </c>
      <c r="D370">
        <v>1</v>
      </c>
      <c r="E370" t="str">
        <f t="shared" si="8"/>
        <v>Coach Pepito/1/6/0</v>
      </c>
    </row>
    <row r="371" spans="1:5" x14ac:dyDescent="0.2">
      <c r="A371">
        <v>1</v>
      </c>
      <c r="B371" t="s">
        <v>65</v>
      </c>
      <c r="C371">
        <v>4</v>
      </c>
      <c r="D371">
        <v>17</v>
      </c>
      <c r="E371" t="str">
        <f t="shared" si="8"/>
        <v>Ripolin/17/1/4</v>
      </c>
    </row>
    <row r="372" spans="1:5" x14ac:dyDescent="0.2">
      <c r="A372">
        <v>2</v>
      </c>
      <c r="B372" t="s">
        <v>68</v>
      </c>
      <c r="C372">
        <v>1</v>
      </c>
      <c r="D372">
        <v>13</v>
      </c>
      <c r="E372" t="str">
        <f t="shared" si="8"/>
        <v>zubbaz/13/2/1</v>
      </c>
    </row>
    <row r="373" spans="1:5" x14ac:dyDescent="0.2">
      <c r="A373">
        <v>3</v>
      </c>
      <c r="B373" t="s">
        <v>45</v>
      </c>
      <c r="C373">
        <v>1</v>
      </c>
      <c r="D373">
        <v>9</v>
      </c>
      <c r="E373" t="str">
        <f t="shared" si="8"/>
        <v>yaltar/9/3/1</v>
      </c>
    </row>
    <row r="374" spans="1:5" x14ac:dyDescent="0.2">
      <c r="A374">
        <v>4</v>
      </c>
      <c r="B374" t="s">
        <v>6</v>
      </c>
      <c r="C374">
        <v>0</v>
      </c>
      <c r="D374">
        <v>5</v>
      </c>
      <c r="E374" t="str">
        <f t="shared" si="8"/>
        <v>Pyja/5/4/0</v>
      </c>
    </row>
    <row r="375" spans="1:5" x14ac:dyDescent="0.2">
      <c r="A375">
        <v>5</v>
      </c>
      <c r="B375" t="s">
        <v>41</v>
      </c>
      <c r="C375">
        <v>0</v>
      </c>
      <c r="D375">
        <v>3</v>
      </c>
      <c r="E375" t="str">
        <f t="shared" si="8"/>
        <v>gibouille/3/5/0</v>
      </c>
    </row>
    <row r="376" spans="1:5" x14ac:dyDescent="0.2">
      <c r="A376">
        <v>6</v>
      </c>
      <c r="B376" t="s">
        <v>35</v>
      </c>
      <c r="C376">
        <v>0</v>
      </c>
      <c r="D376">
        <v>2</v>
      </c>
      <c r="E376" t="str">
        <f t="shared" si="8"/>
        <v>JeanMichelTiming/2/6/0</v>
      </c>
    </row>
    <row r="377" spans="1:5" x14ac:dyDescent="0.2">
      <c r="A377">
        <v>7</v>
      </c>
      <c r="B377" t="s">
        <v>14</v>
      </c>
      <c r="C377">
        <v>0</v>
      </c>
      <c r="D377">
        <v>1</v>
      </c>
      <c r="E377" t="str">
        <f t="shared" si="8"/>
        <v>Ramm/1/7/0</v>
      </c>
    </row>
    <row r="378" spans="1:5" x14ac:dyDescent="0.2">
      <c r="A378">
        <v>1</v>
      </c>
      <c r="B378" t="s">
        <v>75</v>
      </c>
      <c r="C378">
        <v>0</v>
      </c>
      <c r="D378">
        <v>15</v>
      </c>
      <c r="E378" t="str">
        <f t="shared" si="8"/>
        <v>Michelbey/15/1/0</v>
      </c>
    </row>
    <row r="379" spans="1:5" x14ac:dyDescent="0.2">
      <c r="A379">
        <v>2</v>
      </c>
      <c r="B379" t="s">
        <v>21</v>
      </c>
      <c r="C379">
        <v>1</v>
      </c>
      <c r="D379">
        <v>11</v>
      </c>
      <c r="E379" t="str">
        <f t="shared" si="8"/>
        <v>Carmin/11/2/1</v>
      </c>
    </row>
    <row r="380" spans="1:5" x14ac:dyDescent="0.2">
      <c r="A380">
        <v>3</v>
      </c>
      <c r="B380" t="s">
        <v>68</v>
      </c>
      <c r="C380">
        <v>2</v>
      </c>
      <c r="D380">
        <v>7</v>
      </c>
      <c r="E380" t="str">
        <f t="shared" si="8"/>
        <v>zubbaz/7/3/2</v>
      </c>
    </row>
    <row r="381" spans="1:5" x14ac:dyDescent="0.2">
      <c r="A381">
        <v>4</v>
      </c>
      <c r="B381" t="s">
        <v>46</v>
      </c>
      <c r="C381">
        <v>0</v>
      </c>
      <c r="D381">
        <v>3</v>
      </c>
      <c r="E381" t="str">
        <f t="shared" si="8"/>
        <v>Jérôme/3/4/0</v>
      </c>
    </row>
    <row r="382" spans="1:5" x14ac:dyDescent="0.2">
      <c r="A382">
        <v>5</v>
      </c>
      <c r="B382" t="s">
        <v>61</v>
      </c>
      <c r="C382">
        <v>0</v>
      </c>
      <c r="D382">
        <v>1</v>
      </c>
      <c r="E382" t="str">
        <f t="shared" si="8"/>
        <v>Kri-lin/1/5/0</v>
      </c>
    </row>
    <row r="383" spans="1:5" x14ac:dyDescent="0.2">
      <c r="A383">
        <v>1</v>
      </c>
      <c r="B383" t="s">
        <v>9</v>
      </c>
      <c r="C383">
        <v>3</v>
      </c>
      <c r="D383">
        <v>16</v>
      </c>
      <c r="E383" t="str">
        <f t="shared" si="8"/>
        <v>K1/16/1/3</v>
      </c>
    </row>
    <row r="384" spans="1:5" x14ac:dyDescent="0.2">
      <c r="A384">
        <v>2</v>
      </c>
      <c r="B384" t="s">
        <v>69</v>
      </c>
      <c r="C384">
        <v>1</v>
      </c>
      <c r="D384">
        <v>12</v>
      </c>
      <c r="E384" t="str">
        <f t="shared" si="8"/>
        <v>Catherine/12/2/1</v>
      </c>
    </row>
    <row r="385" spans="1:5" x14ac:dyDescent="0.2">
      <c r="A385">
        <v>3</v>
      </c>
      <c r="B385" t="s">
        <v>65</v>
      </c>
      <c r="C385">
        <v>0</v>
      </c>
      <c r="D385">
        <v>8</v>
      </c>
      <c r="E385" t="str">
        <f t="shared" si="8"/>
        <v>Ripolin/8/3/0</v>
      </c>
    </row>
    <row r="386" spans="1:5" x14ac:dyDescent="0.2">
      <c r="A386">
        <v>4</v>
      </c>
      <c r="B386" t="s">
        <v>39</v>
      </c>
      <c r="C386">
        <v>0</v>
      </c>
      <c r="D386">
        <v>4</v>
      </c>
      <c r="E386" t="str">
        <f t="shared" si="8"/>
        <v>kheops/4/4/0</v>
      </c>
    </row>
    <row r="387" spans="1:5" x14ac:dyDescent="0.2">
      <c r="A387">
        <v>5</v>
      </c>
      <c r="B387" t="s">
        <v>33</v>
      </c>
      <c r="C387">
        <v>1</v>
      </c>
      <c r="D387">
        <v>2</v>
      </c>
      <c r="E387" t="str">
        <f t="shared" si="8"/>
        <v>Ptit Savoyard/2/5/1</v>
      </c>
    </row>
    <row r="388" spans="1:5" x14ac:dyDescent="0.2">
      <c r="A388">
        <v>6</v>
      </c>
      <c r="B388" t="s">
        <v>40</v>
      </c>
      <c r="C388">
        <v>0</v>
      </c>
      <c r="D388">
        <v>1</v>
      </c>
      <c r="E388" t="str">
        <f t="shared" si="8"/>
        <v>Lén@/1/6/0</v>
      </c>
    </row>
    <row r="389" spans="1:5" x14ac:dyDescent="0.2">
      <c r="A389">
        <v>1</v>
      </c>
      <c r="B389" t="s">
        <v>377</v>
      </c>
      <c r="C389">
        <v>2</v>
      </c>
      <c r="D389">
        <v>16</v>
      </c>
      <c r="E389" t="str">
        <f t="shared" si="8"/>
        <v>Marco58/16/1/2</v>
      </c>
    </row>
    <row r="390" spans="1:5" x14ac:dyDescent="0.2">
      <c r="A390">
        <v>2</v>
      </c>
      <c r="B390" t="s">
        <v>76</v>
      </c>
      <c r="C390">
        <v>3</v>
      </c>
      <c r="D390">
        <v>12</v>
      </c>
      <c r="E390" t="str">
        <f t="shared" si="8"/>
        <v>Comment2/12/2/3</v>
      </c>
    </row>
    <row r="391" spans="1:5" x14ac:dyDescent="0.2">
      <c r="A391">
        <v>3</v>
      </c>
      <c r="B391" t="s">
        <v>59</v>
      </c>
      <c r="C391">
        <v>0</v>
      </c>
      <c r="D391">
        <v>8</v>
      </c>
      <c r="E391" t="str">
        <f t="shared" si="8"/>
        <v>YooooDA/8/3/0</v>
      </c>
    </row>
    <row r="392" spans="1:5" x14ac:dyDescent="0.2">
      <c r="A392">
        <v>4</v>
      </c>
      <c r="B392" t="s">
        <v>35</v>
      </c>
      <c r="C392">
        <v>0</v>
      </c>
      <c r="D392">
        <v>4</v>
      </c>
      <c r="E392" t="str">
        <f t="shared" si="8"/>
        <v>JeanMichelTiming/4/4/0</v>
      </c>
    </row>
    <row r="393" spans="1:5" x14ac:dyDescent="0.2">
      <c r="A393">
        <v>5</v>
      </c>
      <c r="B393" t="s">
        <v>8</v>
      </c>
      <c r="C393">
        <v>0</v>
      </c>
      <c r="D393">
        <v>2</v>
      </c>
      <c r="E393" t="str">
        <f t="shared" si="8"/>
        <v>Maxime/2/5/0</v>
      </c>
    </row>
    <row r="394" spans="1:5" x14ac:dyDescent="0.2">
      <c r="A394">
        <v>6</v>
      </c>
      <c r="B394" t="s">
        <v>19</v>
      </c>
      <c r="C394">
        <v>0</v>
      </c>
      <c r="D394">
        <v>1</v>
      </c>
      <c r="E394" t="str">
        <f t="shared" si="8"/>
        <v>Giobeck/1/6/0</v>
      </c>
    </row>
    <row r="395" spans="1:5" x14ac:dyDescent="0.2">
      <c r="A395">
        <v>1</v>
      </c>
      <c r="B395" t="s">
        <v>12</v>
      </c>
      <c r="C395">
        <v>3</v>
      </c>
      <c r="D395">
        <v>15</v>
      </c>
      <c r="E395" t="str">
        <f t="shared" si="8"/>
        <v>Gnak/15/1/3</v>
      </c>
    </row>
    <row r="396" spans="1:5" x14ac:dyDescent="0.2">
      <c r="A396">
        <v>2</v>
      </c>
      <c r="B396" t="s">
        <v>32</v>
      </c>
      <c r="C396">
        <v>0</v>
      </c>
      <c r="D396">
        <v>11</v>
      </c>
      <c r="E396" t="str">
        <f t="shared" si="8"/>
        <v>OlivierN92/11/2/0</v>
      </c>
    </row>
    <row r="397" spans="1:5" x14ac:dyDescent="0.2">
      <c r="A397">
        <v>3</v>
      </c>
      <c r="B397" t="s">
        <v>345</v>
      </c>
      <c r="C397">
        <v>1</v>
      </c>
      <c r="D397">
        <v>7</v>
      </c>
      <c r="E397" t="str">
        <f t="shared" si="8"/>
        <v>Thibaultp75/7/3/1</v>
      </c>
    </row>
    <row r="398" spans="1:5" x14ac:dyDescent="0.2">
      <c r="A398">
        <v>4</v>
      </c>
      <c r="B398" t="s">
        <v>54</v>
      </c>
      <c r="C398">
        <v>0</v>
      </c>
      <c r="D398">
        <v>3</v>
      </c>
      <c r="E398" t="str">
        <f t="shared" si="8"/>
        <v>Salsamanu/3/4/0</v>
      </c>
    </row>
    <row r="399" spans="1:5" x14ac:dyDescent="0.2">
      <c r="A399">
        <v>5</v>
      </c>
      <c r="B399" t="s">
        <v>25</v>
      </c>
      <c r="C399">
        <v>0</v>
      </c>
      <c r="D399">
        <v>1</v>
      </c>
      <c r="E399" t="str">
        <f t="shared" si="8"/>
        <v>Claudius/1/5/0</v>
      </c>
    </row>
    <row r="400" spans="1:5" x14ac:dyDescent="0.2">
      <c r="A400">
        <v>1</v>
      </c>
      <c r="B400" t="s">
        <v>23</v>
      </c>
      <c r="C400">
        <v>3</v>
      </c>
      <c r="D400">
        <v>15</v>
      </c>
      <c r="E400" t="str">
        <f t="shared" si="8"/>
        <v>Lylith75/15/1/3</v>
      </c>
    </row>
    <row r="401" spans="1:5" x14ac:dyDescent="0.2">
      <c r="A401">
        <v>2</v>
      </c>
      <c r="B401" t="s">
        <v>53</v>
      </c>
      <c r="C401">
        <v>0</v>
      </c>
      <c r="D401">
        <v>11</v>
      </c>
      <c r="E401" t="str">
        <f t="shared" si="8"/>
        <v>Makoche/11/2/0</v>
      </c>
    </row>
    <row r="402" spans="1:5" x14ac:dyDescent="0.2">
      <c r="A402">
        <v>3</v>
      </c>
      <c r="B402" t="s">
        <v>41</v>
      </c>
      <c r="C402">
        <v>1</v>
      </c>
      <c r="D402">
        <v>7</v>
      </c>
      <c r="E402" t="str">
        <f t="shared" si="8"/>
        <v>gibouille/7/3/1</v>
      </c>
    </row>
    <row r="403" spans="1:5" x14ac:dyDescent="0.2">
      <c r="A403">
        <v>4</v>
      </c>
      <c r="B403" t="s">
        <v>102</v>
      </c>
      <c r="C403">
        <v>0</v>
      </c>
      <c r="D403">
        <v>3</v>
      </c>
      <c r="E403" t="str">
        <f t="shared" si="8"/>
        <v>Doudoululu/3/4/0</v>
      </c>
    </row>
    <row r="404" spans="1:5" x14ac:dyDescent="0.2">
      <c r="A404">
        <v>5</v>
      </c>
      <c r="B404" t="s">
        <v>6</v>
      </c>
      <c r="C404">
        <v>0</v>
      </c>
      <c r="D404">
        <v>1</v>
      </c>
      <c r="E404" t="str">
        <f t="shared" si="8"/>
        <v>Pyja/1/5/0</v>
      </c>
    </row>
    <row r="405" spans="1:5" x14ac:dyDescent="0.2">
      <c r="A405">
        <v>1</v>
      </c>
      <c r="B405" t="s">
        <v>15</v>
      </c>
      <c r="C405">
        <v>1</v>
      </c>
      <c r="D405">
        <v>15</v>
      </c>
      <c r="E405" t="str">
        <f t="shared" si="8"/>
        <v>LAAtof/15/1/1</v>
      </c>
    </row>
    <row r="406" spans="1:5" x14ac:dyDescent="0.2">
      <c r="A406">
        <v>2</v>
      </c>
      <c r="B406" t="s">
        <v>43</v>
      </c>
      <c r="C406">
        <v>3</v>
      </c>
      <c r="D406">
        <v>11</v>
      </c>
      <c r="E406" t="str">
        <f t="shared" si="8"/>
        <v>KassTwo/11/2/3</v>
      </c>
    </row>
    <row r="407" spans="1:5" x14ac:dyDescent="0.2">
      <c r="A407">
        <v>3</v>
      </c>
      <c r="B407" t="s">
        <v>96</v>
      </c>
      <c r="C407">
        <v>0</v>
      </c>
      <c r="D407">
        <v>7</v>
      </c>
      <c r="E407" t="str">
        <f t="shared" si="8"/>
        <v>Gui/7/3/0</v>
      </c>
    </row>
    <row r="408" spans="1:5" x14ac:dyDescent="0.2">
      <c r="A408">
        <v>4</v>
      </c>
      <c r="B408" t="s">
        <v>73</v>
      </c>
      <c r="C408">
        <v>0</v>
      </c>
      <c r="D408">
        <v>3</v>
      </c>
      <c r="E408" t="str">
        <f t="shared" si="8"/>
        <v>Flem/3/4/0</v>
      </c>
    </row>
    <row r="409" spans="1:5" x14ac:dyDescent="0.2">
      <c r="A409">
        <v>5</v>
      </c>
      <c r="B409" t="s">
        <v>45</v>
      </c>
      <c r="C409">
        <v>0</v>
      </c>
      <c r="D409">
        <v>1</v>
      </c>
      <c r="E409" t="str">
        <f t="shared" si="8"/>
        <v>yaltar/1/5/0</v>
      </c>
    </row>
    <row r="410" spans="1:5" x14ac:dyDescent="0.2">
      <c r="A410">
        <v>1</v>
      </c>
      <c r="B410" t="s">
        <v>15</v>
      </c>
      <c r="C410">
        <v>3</v>
      </c>
      <c r="D410">
        <v>16</v>
      </c>
      <c r="E410" t="str">
        <f t="shared" si="8"/>
        <v>LAAtof/16/1/3</v>
      </c>
    </row>
    <row r="411" spans="1:5" x14ac:dyDescent="0.2">
      <c r="A411">
        <v>2</v>
      </c>
      <c r="B411" t="s">
        <v>377</v>
      </c>
      <c r="C411">
        <v>0</v>
      </c>
      <c r="D411">
        <v>12</v>
      </c>
      <c r="E411" t="str">
        <f t="shared" si="8"/>
        <v>Marco58/12/2/0</v>
      </c>
    </row>
    <row r="412" spans="1:5" x14ac:dyDescent="0.2">
      <c r="A412">
        <v>3</v>
      </c>
      <c r="B412" t="s">
        <v>6</v>
      </c>
      <c r="C412">
        <v>1</v>
      </c>
      <c r="D412">
        <v>8</v>
      </c>
      <c r="E412" t="str">
        <f t="shared" si="8"/>
        <v>Pyja/8/3/1</v>
      </c>
    </row>
    <row r="413" spans="1:5" x14ac:dyDescent="0.2">
      <c r="A413">
        <v>4</v>
      </c>
      <c r="B413" t="s">
        <v>14</v>
      </c>
      <c r="C413">
        <v>1</v>
      </c>
      <c r="D413">
        <v>4</v>
      </c>
      <c r="E413" t="str">
        <f t="shared" si="8"/>
        <v>Ramm/4/4/1</v>
      </c>
    </row>
    <row r="414" spans="1:5" x14ac:dyDescent="0.2">
      <c r="A414">
        <v>5</v>
      </c>
      <c r="B414" t="s">
        <v>12</v>
      </c>
      <c r="C414">
        <v>0</v>
      </c>
      <c r="D414">
        <v>2</v>
      </c>
      <c r="E414" t="str">
        <f t="shared" si="8"/>
        <v>Gnak/2/5/0</v>
      </c>
    </row>
    <row r="415" spans="1:5" x14ac:dyDescent="0.2">
      <c r="A415">
        <v>6</v>
      </c>
      <c r="B415" t="s">
        <v>68</v>
      </c>
      <c r="C415">
        <v>0</v>
      </c>
      <c r="D415">
        <v>1</v>
      </c>
      <c r="E415" t="str">
        <f t="shared" si="8"/>
        <v>zubbaz/1/6/0</v>
      </c>
    </row>
    <row r="416" spans="1:5" x14ac:dyDescent="0.2">
      <c r="A416">
        <v>1</v>
      </c>
      <c r="B416" t="s">
        <v>23</v>
      </c>
      <c r="C416">
        <v>2</v>
      </c>
      <c r="D416">
        <v>16</v>
      </c>
      <c r="E416" t="str">
        <f t="shared" si="8"/>
        <v>Lylith75/16/1/2</v>
      </c>
    </row>
    <row r="417" spans="1:5" x14ac:dyDescent="0.2">
      <c r="A417">
        <v>2</v>
      </c>
      <c r="B417" t="s">
        <v>39</v>
      </c>
      <c r="C417">
        <v>1</v>
      </c>
      <c r="D417">
        <v>12</v>
      </c>
      <c r="E417" t="str">
        <f t="shared" si="8"/>
        <v>kheops/12/2/1</v>
      </c>
    </row>
    <row r="418" spans="1:5" x14ac:dyDescent="0.2">
      <c r="A418">
        <v>3</v>
      </c>
      <c r="B418" t="s">
        <v>66</v>
      </c>
      <c r="C418">
        <v>2</v>
      </c>
      <c r="D418">
        <v>8</v>
      </c>
      <c r="E418" t="str">
        <f t="shared" si="8"/>
        <v>Ad Vitam/8/3/2</v>
      </c>
    </row>
    <row r="419" spans="1:5" x14ac:dyDescent="0.2">
      <c r="A419">
        <v>4</v>
      </c>
      <c r="B419" t="s">
        <v>75</v>
      </c>
      <c r="C419">
        <v>0</v>
      </c>
      <c r="D419">
        <v>4</v>
      </c>
      <c r="E419" t="str">
        <f t="shared" si="8"/>
        <v>Michelbey/4/4/0</v>
      </c>
    </row>
    <row r="420" spans="1:5" x14ac:dyDescent="0.2">
      <c r="A420">
        <v>5</v>
      </c>
      <c r="B420" t="s">
        <v>33</v>
      </c>
      <c r="C420">
        <v>0</v>
      </c>
      <c r="D420">
        <v>2</v>
      </c>
      <c r="E420" t="str">
        <f t="shared" si="8"/>
        <v>Ptit Savoyard/2/5/0</v>
      </c>
    </row>
    <row r="421" spans="1:5" x14ac:dyDescent="0.2">
      <c r="A421">
        <v>6</v>
      </c>
      <c r="B421" t="s">
        <v>305</v>
      </c>
      <c r="C421">
        <v>0</v>
      </c>
      <c r="D421">
        <v>1</v>
      </c>
      <c r="E421" t="str">
        <f t="shared" si="8"/>
        <v>flowww/1/6/0</v>
      </c>
    </row>
    <row r="422" spans="1:5" x14ac:dyDescent="0.2">
      <c r="A422">
        <v>1</v>
      </c>
      <c r="B422" t="s">
        <v>54</v>
      </c>
      <c r="C422">
        <v>1</v>
      </c>
      <c r="D422">
        <v>17</v>
      </c>
      <c r="E422" t="str">
        <f t="shared" si="8"/>
        <v>Salsamanu/17/1/1</v>
      </c>
    </row>
    <row r="423" spans="1:5" x14ac:dyDescent="0.2">
      <c r="A423">
        <v>2</v>
      </c>
      <c r="B423" t="s">
        <v>48</v>
      </c>
      <c r="C423">
        <v>5</v>
      </c>
      <c r="D423">
        <v>13</v>
      </c>
      <c r="E423" t="str">
        <f t="shared" si="8"/>
        <v>Pintu/13/2/5</v>
      </c>
    </row>
    <row r="424" spans="1:5" x14ac:dyDescent="0.2">
      <c r="A424">
        <v>3</v>
      </c>
      <c r="B424" t="s">
        <v>60</v>
      </c>
      <c r="C424">
        <v>0</v>
      </c>
      <c r="D424">
        <v>9</v>
      </c>
      <c r="E424" t="str">
        <f t="shared" si="8"/>
        <v>zizou/9/3/0</v>
      </c>
    </row>
    <row r="425" spans="1:5" x14ac:dyDescent="0.2">
      <c r="A425">
        <v>4</v>
      </c>
      <c r="B425" t="s">
        <v>35</v>
      </c>
      <c r="C425">
        <v>0</v>
      </c>
      <c r="D425">
        <v>5</v>
      </c>
      <c r="E425" t="str">
        <f t="shared" si="8"/>
        <v>JeanMichelTiming/5/4/0</v>
      </c>
    </row>
    <row r="426" spans="1:5" x14ac:dyDescent="0.2">
      <c r="A426">
        <v>5</v>
      </c>
      <c r="B426" t="s">
        <v>61</v>
      </c>
      <c r="C426">
        <v>0</v>
      </c>
      <c r="D426">
        <v>3</v>
      </c>
      <c r="E426" t="str">
        <f t="shared" si="8"/>
        <v>Kri-lin/3/5/0</v>
      </c>
    </row>
    <row r="427" spans="1:5" x14ac:dyDescent="0.2">
      <c r="A427">
        <v>6</v>
      </c>
      <c r="B427" t="s">
        <v>76</v>
      </c>
      <c r="C427">
        <v>0</v>
      </c>
      <c r="D427">
        <v>2</v>
      </c>
      <c r="E427" t="str">
        <f t="shared" si="8"/>
        <v>Comment2/2/6/0</v>
      </c>
    </row>
    <row r="428" spans="1:5" x14ac:dyDescent="0.2">
      <c r="A428">
        <v>7</v>
      </c>
      <c r="B428" t="s">
        <v>25</v>
      </c>
      <c r="C428">
        <v>0</v>
      </c>
      <c r="D428">
        <v>1</v>
      </c>
      <c r="E428" t="str">
        <f t="shared" si="8"/>
        <v>Claudius/1/7/0</v>
      </c>
    </row>
    <row r="429" spans="1:5" x14ac:dyDescent="0.2">
      <c r="A429">
        <v>1</v>
      </c>
      <c r="B429" t="s">
        <v>102</v>
      </c>
      <c r="C429">
        <v>3</v>
      </c>
      <c r="D429">
        <v>17</v>
      </c>
      <c r="E429" t="str">
        <f t="shared" si="8"/>
        <v>Doudoululu/17/1/3</v>
      </c>
    </row>
    <row r="430" spans="1:5" x14ac:dyDescent="0.2">
      <c r="A430">
        <v>2</v>
      </c>
      <c r="B430" t="s">
        <v>69</v>
      </c>
      <c r="C430">
        <v>1</v>
      </c>
      <c r="D430">
        <v>13</v>
      </c>
      <c r="E430" t="str">
        <f t="shared" ref="E430:E476" si="9">B430&amp;"/"&amp;D430&amp;"/"&amp;A430&amp;"/"&amp;C430</f>
        <v>Catherine/13/2/1</v>
      </c>
    </row>
    <row r="431" spans="1:5" x14ac:dyDescent="0.2">
      <c r="A431">
        <v>3</v>
      </c>
      <c r="B431" t="s">
        <v>46</v>
      </c>
      <c r="C431">
        <v>1</v>
      </c>
      <c r="D431">
        <v>9</v>
      </c>
      <c r="E431" t="str">
        <f t="shared" si="9"/>
        <v>Jérôme/9/3/1</v>
      </c>
    </row>
    <row r="432" spans="1:5" x14ac:dyDescent="0.2">
      <c r="A432">
        <v>4</v>
      </c>
      <c r="B432" t="s">
        <v>45</v>
      </c>
      <c r="C432">
        <v>0</v>
      </c>
      <c r="D432">
        <v>5</v>
      </c>
      <c r="E432" t="str">
        <f t="shared" si="9"/>
        <v>yaltar/5/4/0</v>
      </c>
    </row>
    <row r="433" spans="1:5" x14ac:dyDescent="0.2">
      <c r="A433">
        <v>5</v>
      </c>
      <c r="B433" t="s">
        <v>73</v>
      </c>
      <c r="C433">
        <v>1</v>
      </c>
      <c r="D433">
        <v>3</v>
      </c>
      <c r="E433" t="str">
        <f t="shared" si="9"/>
        <v>Flem/3/5/1</v>
      </c>
    </row>
    <row r="434" spans="1:5" x14ac:dyDescent="0.2">
      <c r="A434">
        <v>6</v>
      </c>
      <c r="B434" t="s">
        <v>59</v>
      </c>
      <c r="C434">
        <v>0</v>
      </c>
      <c r="D434">
        <v>2</v>
      </c>
      <c r="E434" t="str">
        <f t="shared" si="9"/>
        <v>YooooDA/2/6/0</v>
      </c>
    </row>
    <row r="435" spans="1:5" x14ac:dyDescent="0.2">
      <c r="A435">
        <v>7</v>
      </c>
      <c r="B435" t="s">
        <v>40</v>
      </c>
      <c r="C435">
        <v>0</v>
      </c>
      <c r="D435">
        <v>1</v>
      </c>
      <c r="E435" t="str">
        <f t="shared" si="9"/>
        <v>Lén@/1/7/0</v>
      </c>
    </row>
    <row r="436" spans="1:5" x14ac:dyDescent="0.2">
      <c r="A436">
        <v>1</v>
      </c>
      <c r="B436" t="s">
        <v>19</v>
      </c>
      <c r="C436">
        <v>2</v>
      </c>
      <c r="D436">
        <v>17</v>
      </c>
      <c r="E436" t="str">
        <f t="shared" si="9"/>
        <v>Giobeck/17/1/2</v>
      </c>
    </row>
    <row r="437" spans="1:5" x14ac:dyDescent="0.2">
      <c r="A437">
        <v>2</v>
      </c>
      <c r="B437" t="s">
        <v>42</v>
      </c>
      <c r="C437">
        <v>2</v>
      </c>
      <c r="D437">
        <v>13</v>
      </c>
      <c r="E437" t="str">
        <f t="shared" si="9"/>
        <v>Claptou/13/2/2</v>
      </c>
    </row>
    <row r="438" spans="1:5" x14ac:dyDescent="0.2">
      <c r="A438">
        <v>3</v>
      </c>
      <c r="B438" t="s">
        <v>21</v>
      </c>
      <c r="C438">
        <v>1</v>
      </c>
      <c r="D438">
        <v>9</v>
      </c>
      <c r="E438" t="str">
        <f t="shared" si="9"/>
        <v>Carmin/9/3/1</v>
      </c>
    </row>
    <row r="439" spans="1:5" x14ac:dyDescent="0.2">
      <c r="A439">
        <v>4</v>
      </c>
      <c r="B439" t="s">
        <v>32</v>
      </c>
      <c r="C439">
        <v>1</v>
      </c>
      <c r="D439">
        <v>5</v>
      </c>
      <c r="E439" t="str">
        <f t="shared" si="9"/>
        <v>OlivierN92/5/4/1</v>
      </c>
    </row>
    <row r="440" spans="1:5" x14ac:dyDescent="0.2">
      <c r="A440">
        <v>5</v>
      </c>
      <c r="B440" t="s">
        <v>92</v>
      </c>
      <c r="C440">
        <v>0</v>
      </c>
      <c r="D440">
        <v>3</v>
      </c>
      <c r="E440" t="str">
        <f t="shared" si="9"/>
        <v>Jacks&amp;Five/3/5/0</v>
      </c>
    </row>
    <row r="441" spans="1:5" x14ac:dyDescent="0.2">
      <c r="A441">
        <v>6</v>
      </c>
      <c r="B441" t="s">
        <v>55</v>
      </c>
      <c r="C441">
        <v>0</v>
      </c>
      <c r="D441">
        <v>2</v>
      </c>
      <c r="E441" t="str">
        <f t="shared" si="9"/>
        <v>Bounette/2/6/0</v>
      </c>
    </row>
    <row r="442" spans="1:5" x14ac:dyDescent="0.2">
      <c r="A442">
        <v>7</v>
      </c>
      <c r="B442" t="s">
        <v>26</v>
      </c>
      <c r="C442">
        <v>0</v>
      </c>
      <c r="D442">
        <v>1</v>
      </c>
      <c r="E442" t="str">
        <f t="shared" si="9"/>
        <v>LOSOGRE/1/7/0</v>
      </c>
    </row>
    <row r="443" spans="1:5" x14ac:dyDescent="0.2">
      <c r="A443">
        <v>1</v>
      </c>
      <c r="B443" t="s">
        <v>345</v>
      </c>
      <c r="C443">
        <v>1</v>
      </c>
      <c r="D443">
        <v>15</v>
      </c>
      <c r="E443" t="str">
        <f t="shared" si="9"/>
        <v>Thibaultp75/15/1/1</v>
      </c>
    </row>
    <row r="444" spans="1:5" x14ac:dyDescent="0.2">
      <c r="A444">
        <v>2</v>
      </c>
      <c r="B444" t="s">
        <v>35</v>
      </c>
      <c r="C444">
        <v>1</v>
      </c>
      <c r="D444">
        <v>11</v>
      </c>
      <c r="E444" t="str">
        <f t="shared" si="9"/>
        <v>JeanMichelTiming/11/2/1</v>
      </c>
    </row>
    <row r="445" spans="1:5" x14ac:dyDescent="0.2">
      <c r="A445">
        <v>3</v>
      </c>
      <c r="B445" t="s">
        <v>25</v>
      </c>
      <c r="C445">
        <v>1</v>
      </c>
      <c r="D445">
        <v>7</v>
      </c>
      <c r="E445" t="str">
        <f t="shared" si="9"/>
        <v>Claudius/7/3/1</v>
      </c>
    </row>
    <row r="446" spans="1:5" x14ac:dyDescent="0.2">
      <c r="A446">
        <v>4</v>
      </c>
      <c r="B446" t="s">
        <v>66</v>
      </c>
      <c r="C446">
        <v>1</v>
      </c>
      <c r="D446">
        <v>3</v>
      </c>
      <c r="E446" t="str">
        <f t="shared" si="9"/>
        <v>Ad Vitam/3/4/1</v>
      </c>
    </row>
    <row r="447" spans="1:5" x14ac:dyDescent="0.2">
      <c r="A447">
        <v>5</v>
      </c>
      <c r="B447" t="s">
        <v>102</v>
      </c>
      <c r="C447">
        <v>0</v>
      </c>
      <c r="D447">
        <v>1</v>
      </c>
      <c r="E447" t="str">
        <f t="shared" si="9"/>
        <v>Doudoululu/1/5/0</v>
      </c>
    </row>
    <row r="448" spans="1:5" x14ac:dyDescent="0.2">
      <c r="A448">
        <v>1</v>
      </c>
      <c r="B448" t="s">
        <v>73</v>
      </c>
      <c r="C448">
        <v>3</v>
      </c>
      <c r="D448">
        <v>16</v>
      </c>
      <c r="E448" t="str">
        <f t="shared" si="9"/>
        <v>Flem/16/1/3</v>
      </c>
    </row>
    <row r="449" spans="1:5" x14ac:dyDescent="0.2">
      <c r="A449">
        <v>2</v>
      </c>
      <c r="B449" t="s">
        <v>377</v>
      </c>
      <c r="C449">
        <v>0</v>
      </c>
      <c r="D449">
        <v>12</v>
      </c>
      <c r="E449" t="str">
        <f t="shared" si="9"/>
        <v>Marco58/12/2/0</v>
      </c>
    </row>
    <row r="450" spans="1:5" x14ac:dyDescent="0.2">
      <c r="A450">
        <v>3</v>
      </c>
      <c r="B450" t="s">
        <v>32</v>
      </c>
      <c r="C450">
        <v>0</v>
      </c>
      <c r="D450">
        <v>8</v>
      </c>
      <c r="E450" t="str">
        <f t="shared" si="9"/>
        <v>OlivierN92/8/3/0</v>
      </c>
    </row>
    <row r="451" spans="1:5" x14ac:dyDescent="0.2">
      <c r="A451">
        <v>4</v>
      </c>
      <c r="B451" t="s">
        <v>40</v>
      </c>
      <c r="C451">
        <v>2</v>
      </c>
      <c r="D451">
        <v>4</v>
      </c>
      <c r="E451" t="str">
        <f t="shared" si="9"/>
        <v>Lén@/4/4/2</v>
      </c>
    </row>
    <row r="452" spans="1:5" x14ac:dyDescent="0.2">
      <c r="A452">
        <v>5</v>
      </c>
      <c r="B452" t="s">
        <v>23</v>
      </c>
      <c r="C452">
        <v>0</v>
      </c>
      <c r="D452">
        <v>2</v>
      </c>
      <c r="E452" t="str">
        <f t="shared" si="9"/>
        <v>Lylith75/2/5/0</v>
      </c>
    </row>
    <row r="453" spans="1:5" x14ac:dyDescent="0.2">
      <c r="A453">
        <v>6</v>
      </c>
      <c r="B453" t="s">
        <v>81</v>
      </c>
      <c r="C453">
        <v>0</v>
      </c>
      <c r="D453">
        <v>1</v>
      </c>
      <c r="E453" t="str">
        <f t="shared" si="9"/>
        <v>Empedocle/1/6/0</v>
      </c>
    </row>
    <row r="454" spans="1:5" x14ac:dyDescent="0.2">
      <c r="A454">
        <v>1</v>
      </c>
      <c r="B454" t="s">
        <v>61</v>
      </c>
      <c r="C454">
        <v>3</v>
      </c>
      <c r="D454">
        <v>15</v>
      </c>
      <c r="E454" t="str">
        <f t="shared" si="9"/>
        <v>Kri-lin/15/1/3</v>
      </c>
    </row>
    <row r="455" spans="1:5" x14ac:dyDescent="0.2">
      <c r="A455">
        <v>2</v>
      </c>
      <c r="B455" t="s">
        <v>33</v>
      </c>
      <c r="C455">
        <v>0</v>
      </c>
      <c r="D455">
        <v>11</v>
      </c>
      <c r="E455" t="str">
        <f t="shared" si="9"/>
        <v>Ptit Savoyard/11/2/0</v>
      </c>
    </row>
    <row r="456" spans="1:5" x14ac:dyDescent="0.2">
      <c r="A456">
        <v>3</v>
      </c>
      <c r="B456" t="s">
        <v>6</v>
      </c>
      <c r="C456">
        <v>1</v>
      </c>
      <c r="D456">
        <v>7</v>
      </c>
      <c r="E456" t="str">
        <f t="shared" si="9"/>
        <v>Pyja/7/3/1</v>
      </c>
    </row>
    <row r="457" spans="1:5" x14ac:dyDescent="0.2">
      <c r="A457">
        <v>4</v>
      </c>
      <c r="B457" t="s">
        <v>69</v>
      </c>
      <c r="C457">
        <v>0</v>
      </c>
      <c r="D457">
        <v>3</v>
      </c>
      <c r="E457" t="str">
        <f t="shared" si="9"/>
        <v>Catherine/3/4/0</v>
      </c>
    </row>
    <row r="458" spans="1:5" x14ac:dyDescent="0.2">
      <c r="A458">
        <v>5</v>
      </c>
      <c r="B458" t="s">
        <v>12</v>
      </c>
      <c r="C458">
        <v>0</v>
      </c>
      <c r="D458">
        <v>1</v>
      </c>
      <c r="E458" t="str">
        <f t="shared" si="9"/>
        <v>Gnak/1/5/0</v>
      </c>
    </row>
    <row r="459" spans="1:5" x14ac:dyDescent="0.2">
      <c r="A459">
        <v>1</v>
      </c>
      <c r="B459" t="s">
        <v>98</v>
      </c>
      <c r="C459">
        <v>3</v>
      </c>
      <c r="D459">
        <v>16</v>
      </c>
      <c r="E459" t="str">
        <f t="shared" si="9"/>
        <v>Blocknote/16/1/3</v>
      </c>
    </row>
    <row r="460" spans="1:5" x14ac:dyDescent="0.2">
      <c r="A460">
        <v>2</v>
      </c>
      <c r="B460" t="s">
        <v>55</v>
      </c>
      <c r="C460">
        <v>1</v>
      </c>
      <c r="D460">
        <v>12</v>
      </c>
      <c r="E460" t="str">
        <f t="shared" si="9"/>
        <v>Bounette/12/2/1</v>
      </c>
    </row>
    <row r="461" spans="1:5" x14ac:dyDescent="0.2">
      <c r="A461">
        <v>3</v>
      </c>
      <c r="B461" t="s">
        <v>46</v>
      </c>
      <c r="C461">
        <v>1</v>
      </c>
      <c r="D461">
        <v>8</v>
      </c>
      <c r="E461" t="str">
        <f t="shared" si="9"/>
        <v>Jérôme/8/3/1</v>
      </c>
    </row>
    <row r="462" spans="1:5" x14ac:dyDescent="0.2">
      <c r="A462">
        <v>4</v>
      </c>
      <c r="B462" t="s">
        <v>52</v>
      </c>
      <c r="C462">
        <v>0</v>
      </c>
      <c r="D462">
        <v>4</v>
      </c>
      <c r="E462" t="str">
        <f t="shared" si="9"/>
        <v>Coach Pepito/4/4/0</v>
      </c>
    </row>
    <row r="463" spans="1:5" x14ac:dyDescent="0.2">
      <c r="A463">
        <v>5</v>
      </c>
      <c r="B463" t="s">
        <v>60</v>
      </c>
      <c r="C463">
        <v>0</v>
      </c>
      <c r="D463">
        <v>2</v>
      </c>
      <c r="E463" t="str">
        <f t="shared" si="9"/>
        <v>zizou/2/5/0</v>
      </c>
    </row>
    <row r="464" spans="1:5" x14ac:dyDescent="0.2">
      <c r="A464">
        <v>6</v>
      </c>
      <c r="B464" t="s">
        <v>28</v>
      </c>
      <c r="C464">
        <v>0</v>
      </c>
      <c r="D464">
        <v>1</v>
      </c>
      <c r="E464" t="str">
        <f t="shared" si="9"/>
        <v>sobab/1/6/0</v>
      </c>
    </row>
    <row r="465" spans="1:5" x14ac:dyDescent="0.2">
      <c r="A465">
        <v>1</v>
      </c>
      <c r="B465" t="s">
        <v>92</v>
      </c>
      <c r="C465">
        <v>4</v>
      </c>
      <c r="D465">
        <v>16</v>
      </c>
      <c r="E465" t="str">
        <f t="shared" si="9"/>
        <v>Jacks&amp;Five/16/1/4</v>
      </c>
    </row>
    <row r="466" spans="1:5" x14ac:dyDescent="0.2">
      <c r="A466">
        <v>2</v>
      </c>
      <c r="B466" t="s">
        <v>101</v>
      </c>
      <c r="C466">
        <v>0</v>
      </c>
      <c r="D466">
        <v>12</v>
      </c>
      <c r="E466" t="str">
        <f t="shared" si="9"/>
        <v>ChrisFrankfurt/12/2/0</v>
      </c>
    </row>
    <row r="467" spans="1:5" x14ac:dyDescent="0.2">
      <c r="A467">
        <v>3</v>
      </c>
      <c r="B467" t="s">
        <v>26</v>
      </c>
      <c r="C467">
        <v>0</v>
      </c>
      <c r="D467">
        <v>8</v>
      </c>
      <c r="E467" t="str">
        <f t="shared" si="9"/>
        <v>LOSOGRE/8/3/0</v>
      </c>
    </row>
    <row r="468" spans="1:5" x14ac:dyDescent="0.2">
      <c r="A468">
        <v>4</v>
      </c>
      <c r="B468" t="s">
        <v>21</v>
      </c>
      <c r="C468">
        <v>0</v>
      </c>
      <c r="D468">
        <v>4</v>
      </c>
      <c r="E468" t="str">
        <f t="shared" si="9"/>
        <v>Carmin/4/4/0</v>
      </c>
    </row>
    <row r="469" spans="1:5" x14ac:dyDescent="0.2">
      <c r="A469">
        <v>5</v>
      </c>
      <c r="B469" t="s">
        <v>76</v>
      </c>
      <c r="C469">
        <v>0</v>
      </c>
      <c r="D469">
        <v>2</v>
      </c>
      <c r="E469" t="str">
        <f t="shared" si="9"/>
        <v>Comment2/2/5/0</v>
      </c>
    </row>
    <row r="470" spans="1:5" x14ac:dyDescent="0.2">
      <c r="A470">
        <v>6</v>
      </c>
      <c r="B470" t="s">
        <v>42</v>
      </c>
      <c r="C470">
        <v>0</v>
      </c>
      <c r="D470">
        <v>1</v>
      </c>
      <c r="E470" t="str">
        <f t="shared" si="9"/>
        <v>Claptou/1/6/0</v>
      </c>
    </row>
    <row r="471" spans="1:5" x14ac:dyDescent="0.2">
      <c r="A471">
        <v>1</v>
      </c>
      <c r="B471" t="s">
        <v>45</v>
      </c>
      <c r="C471">
        <v>1</v>
      </c>
      <c r="D471">
        <v>16</v>
      </c>
      <c r="E471" t="str">
        <f t="shared" si="9"/>
        <v>yaltar/16/1/1</v>
      </c>
    </row>
    <row r="472" spans="1:5" x14ac:dyDescent="0.2">
      <c r="A472">
        <v>2</v>
      </c>
      <c r="B472" t="s">
        <v>48</v>
      </c>
      <c r="C472">
        <v>4</v>
      </c>
      <c r="D472">
        <v>12</v>
      </c>
      <c r="E472" t="str">
        <f t="shared" si="9"/>
        <v>Pintu/12/2/4</v>
      </c>
    </row>
    <row r="473" spans="1:5" x14ac:dyDescent="0.2">
      <c r="A473">
        <v>3</v>
      </c>
      <c r="B473" t="s">
        <v>75</v>
      </c>
      <c r="C473">
        <v>0</v>
      </c>
      <c r="D473">
        <v>8</v>
      </c>
      <c r="E473" t="str">
        <f t="shared" si="9"/>
        <v>Michelbey/8/3/0</v>
      </c>
    </row>
    <row r="474" spans="1:5" x14ac:dyDescent="0.2">
      <c r="A474">
        <v>4</v>
      </c>
      <c r="B474" t="s">
        <v>59</v>
      </c>
      <c r="C474">
        <v>0</v>
      </c>
      <c r="D474">
        <v>4</v>
      </c>
      <c r="E474" t="str">
        <f t="shared" si="9"/>
        <v>YooooDA/4/4/0</v>
      </c>
    </row>
    <row r="475" spans="1:5" x14ac:dyDescent="0.2">
      <c r="A475">
        <v>5</v>
      </c>
      <c r="B475" t="s">
        <v>19</v>
      </c>
      <c r="C475">
        <v>0</v>
      </c>
      <c r="D475">
        <v>2</v>
      </c>
      <c r="E475" t="str">
        <f t="shared" si="9"/>
        <v>Giobeck/2/5/0</v>
      </c>
    </row>
    <row r="476" spans="1:5" x14ac:dyDescent="0.2">
      <c r="A476">
        <v>6</v>
      </c>
      <c r="B476" t="s">
        <v>14</v>
      </c>
      <c r="C476">
        <v>0</v>
      </c>
      <c r="D476">
        <v>1</v>
      </c>
      <c r="E476" t="str">
        <f t="shared" si="9"/>
        <v>Ramm/1/6/0</v>
      </c>
    </row>
    <row r="479" spans="1:5" x14ac:dyDescent="0.2">
      <c r="B479" s="2"/>
      <c r="C479" s="2"/>
      <c r="D479" s="2"/>
    </row>
    <row r="480" spans="1:5" x14ac:dyDescent="0.2">
      <c r="B480" s="2"/>
      <c r="C480" s="2"/>
      <c r="D480" s="2"/>
    </row>
    <row r="481" spans="1:4" x14ac:dyDescent="0.2">
      <c r="A481" s="1"/>
    </row>
    <row r="482" spans="1:4" x14ac:dyDescent="0.2">
      <c r="A482" s="1"/>
      <c r="B482" s="1"/>
      <c r="C482" s="1"/>
      <c r="D482" s="1"/>
    </row>
    <row r="489" spans="1:4" x14ac:dyDescent="0.2">
      <c r="B489" s="2"/>
      <c r="C489" s="2"/>
      <c r="D489" s="2"/>
    </row>
    <row r="490" spans="1:4" x14ac:dyDescent="0.2">
      <c r="B490" s="2"/>
      <c r="C490" s="2"/>
      <c r="D490" s="2"/>
    </row>
    <row r="491" spans="1:4" x14ac:dyDescent="0.2">
      <c r="A491" s="1"/>
    </row>
    <row r="492" spans="1:4" x14ac:dyDescent="0.2">
      <c r="A492" s="1"/>
      <c r="B492" s="1"/>
      <c r="C492" s="1"/>
      <c r="D492" s="1"/>
    </row>
    <row r="499" spans="1:4" x14ac:dyDescent="0.2">
      <c r="B499" s="2"/>
      <c r="C499" s="2"/>
      <c r="D499" s="2"/>
    </row>
    <row r="500" spans="1:4" x14ac:dyDescent="0.2">
      <c r="B500" s="2"/>
      <c r="C500" s="2"/>
      <c r="D500" s="2"/>
    </row>
    <row r="501" spans="1:4" x14ac:dyDescent="0.2">
      <c r="A501" s="1"/>
    </row>
    <row r="502" spans="1:4" x14ac:dyDescent="0.2">
      <c r="A502" s="1"/>
      <c r="B502" s="1"/>
      <c r="C502" s="1"/>
      <c r="D502" s="1"/>
    </row>
    <row r="509" spans="1:4" x14ac:dyDescent="0.2">
      <c r="B509" s="2"/>
      <c r="C509" s="2"/>
      <c r="D509" s="2"/>
    </row>
    <row r="510" spans="1:4" x14ac:dyDescent="0.2">
      <c r="B510" s="2"/>
      <c r="C510" s="2"/>
      <c r="D510" s="2"/>
    </row>
    <row r="511" spans="1:4" x14ac:dyDescent="0.2">
      <c r="A511" s="1"/>
    </row>
    <row r="512" spans="1:4" x14ac:dyDescent="0.2">
      <c r="A512" s="1"/>
      <c r="B512" s="1"/>
      <c r="C512" s="1"/>
      <c r="D512" s="1"/>
    </row>
    <row r="519" spans="1:4" x14ac:dyDescent="0.2">
      <c r="B519" s="2"/>
      <c r="C519" s="2"/>
      <c r="D519" s="2"/>
    </row>
    <row r="520" spans="1:4" x14ac:dyDescent="0.2">
      <c r="B520" s="2"/>
      <c r="C520" s="2"/>
      <c r="D520" s="2"/>
    </row>
    <row r="521" spans="1:4" x14ac:dyDescent="0.2">
      <c r="A521" s="1"/>
    </row>
    <row r="522" spans="1:4" x14ac:dyDescent="0.2">
      <c r="A522" s="1"/>
      <c r="B522" s="1"/>
      <c r="C522" s="1"/>
      <c r="D522" s="1"/>
    </row>
    <row r="529" spans="1:4" x14ac:dyDescent="0.2">
      <c r="B529" s="2"/>
      <c r="C529" s="2"/>
      <c r="D529" s="2"/>
    </row>
    <row r="530" spans="1:4" x14ac:dyDescent="0.2">
      <c r="B530" s="2"/>
      <c r="C530" s="2"/>
      <c r="D530" s="2"/>
    </row>
    <row r="531" spans="1:4" x14ac:dyDescent="0.2">
      <c r="A531" s="1"/>
    </row>
    <row r="532" spans="1:4" x14ac:dyDescent="0.2">
      <c r="A532" s="1"/>
      <c r="B532" s="1"/>
      <c r="C532" s="1"/>
      <c r="D532" s="1"/>
    </row>
    <row r="539" spans="1:4" x14ac:dyDescent="0.2">
      <c r="B539" s="2"/>
      <c r="C539" s="2"/>
      <c r="D539" s="2"/>
    </row>
    <row r="540" spans="1:4" x14ac:dyDescent="0.2">
      <c r="B540" s="2"/>
      <c r="C540" s="2"/>
      <c r="D540" s="2"/>
    </row>
    <row r="541" spans="1:4" x14ac:dyDescent="0.2">
      <c r="A541" s="1"/>
    </row>
    <row r="542" spans="1:4" x14ac:dyDescent="0.2">
      <c r="A542" s="1"/>
      <c r="B542" s="1"/>
      <c r="C542" s="1"/>
      <c r="D542" s="1"/>
    </row>
    <row r="548" spans="1:4" x14ac:dyDescent="0.2">
      <c r="B548" s="2"/>
      <c r="C548" s="2"/>
      <c r="D548" s="2"/>
    </row>
    <row r="549" spans="1:4" x14ac:dyDescent="0.2">
      <c r="B549" s="2"/>
      <c r="C549" s="2"/>
      <c r="D549" s="2"/>
    </row>
    <row r="550" spans="1:4" x14ac:dyDescent="0.2">
      <c r="B550" s="2"/>
      <c r="C550" s="2"/>
      <c r="D550" s="2"/>
    </row>
    <row r="551" spans="1:4" x14ac:dyDescent="0.2">
      <c r="A551" s="1"/>
    </row>
    <row r="552" spans="1:4" x14ac:dyDescent="0.2">
      <c r="A552" s="1"/>
      <c r="B552" s="1"/>
      <c r="C552" s="1"/>
      <c r="D552" s="1"/>
    </row>
    <row r="559" spans="1:4" x14ac:dyDescent="0.2">
      <c r="B559" s="2"/>
      <c r="C559" s="2"/>
      <c r="D559" s="2"/>
    </row>
    <row r="560" spans="1:4" x14ac:dyDescent="0.2">
      <c r="B560" s="2"/>
      <c r="C560" s="2"/>
      <c r="D560" s="2"/>
    </row>
    <row r="561" spans="1:4" x14ac:dyDescent="0.2">
      <c r="A561" s="1"/>
    </row>
    <row r="562" spans="1:4" x14ac:dyDescent="0.2">
      <c r="A562" s="1"/>
      <c r="B562" s="1"/>
      <c r="C562" s="1"/>
      <c r="D562" s="1"/>
    </row>
    <row r="569" spans="1:4" x14ac:dyDescent="0.2">
      <c r="B569" s="2"/>
      <c r="C569" s="2"/>
      <c r="D569" s="2"/>
    </row>
    <row r="570" spans="1:4" x14ac:dyDescent="0.2">
      <c r="B570" s="2"/>
      <c r="C570" s="2"/>
      <c r="D570" s="2"/>
    </row>
    <row r="571" spans="1:4" x14ac:dyDescent="0.2">
      <c r="A571" s="1"/>
    </row>
    <row r="572" spans="1:4" x14ac:dyDescent="0.2">
      <c r="A572" s="1"/>
      <c r="B572" s="1"/>
      <c r="C572" s="1"/>
      <c r="D572" s="1"/>
    </row>
    <row r="579" spans="1:4" x14ac:dyDescent="0.2">
      <c r="B579" s="2"/>
      <c r="C579" s="2"/>
      <c r="D579" s="2"/>
    </row>
    <row r="580" spans="1:4" x14ac:dyDescent="0.2">
      <c r="B580" s="2"/>
      <c r="C580" s="2"/>
      <c r="D580" s="2"/>
    </row>
    <row r="581" spans="1:4" x14ac:dyDescent="0.2">
      <c r="A581" s="1"/>
    </row>
    <row r="582" spans="1:4" x14ac:dyDescent="0.2">
      <c r="A582" s="1"/>
      <c r="B582" s="1"/>
      <c r="C582" s="1"/>
      <c r="D582" s="1"/>
    </row>
    <row r="589" spans="1:4" x14ac:dyDescent="0.2">
      <c r="B589" s="2"/>
      <c r="C589" s="2"/>
      <c r="D589" s="2"/>
    </row>
    <row r="590" spans="1:4" x14ac:dyDescent="0.2">
      <c r="B590" s="2"/>
      <c r="C590" s="2"/>
      <c r="D590" s="2"/>
    </row>
    <row r="591" spans="1:4" x14ac:dyDescent="0.2">
      <c r="A591" s="1"/>
    </row>
    <row r="592" spans="1:4" x14ac:dyDescent="0.2">
      <c r="A592" s="1"/>
      <c r="B592" s="1"/>
      <c r="C592" s="1"/>
      <c r="D592" s="1"/>
    </row>
    <row r="599" spans="1:4" x14ac:dyDescent="0.2">
      <c r="B599" s="2"/>
      <c r="C599" s="2"/>
      <c r="D599" s="2"/>
    </row>
    <row r="600" spans="1:4" x14ac:dyDescent="0.2">
      <c r="B600" s="2"/>
      <c r="C600" s="2"/>
      <c r="D600" s="2"/>
    </row>
    <row r="601" spans="1:4" x14ac:dyDescent="0.2">
      <c r="A601" s="1"/>
    </row>
    <row r="602" spans="1:4" x14ac:dyDescent="0.2">
      <c r="A602" s="1"/>
      <c r="B602" s="1"/>
      <c r="C602" s="1"/>
      <c r="D602" s="1"/>
    </row>
    <row r="609" spans="1:4" x14ac:dyDescent="0.2">
      <c r="B609" s="2"/>
      <c r="C609" s="2"/>
      <c r="D609" s="2"/>
    </row>
    <row r="610" spans="1:4" x14ac:dyDescent="0.2">
      <c r="B610" s="2"/>
      <c r="C610" s="2"/>
      <c r="D610" s="2"/>
    </row>
    <row r="611" spans="1:4" x14ac:dyDescent="0.2">
      <c r="A611" s="1"/>
    </row>
    <row r="612" spans="1:4" x14ac:dyDescent="0.2">
      <c r="A612" s="1"/>
      <c r="B612" s="1"/>
      <c r="C612" s="1"/>
      <c r="D612" s="1"/>
    </row>
    <row r="620" spans="1:4" x14ac:dyDescent="0.2">
      <c r="B620" s="2"/>
      <c r="C620" s="2"/>
      <c r="D620" s="2"/>
    </row>
    <row r="621" spans="1:4" x14ac:dyDescent="0.2">
      <c r="A621" s="1"/>
    </row>
    <row r="622" spans="1:4" x14ac:dyDescent="0.2">
      <c r="A622" s="1"/>
      <c r="B622" s="1"/>
      <c r="C622" s="1"/>
      <c r="D622" s="1"/>
    </row>
    <row r="629" spans="2:4" x14ac:dyDescent="0.2">
      <c r="B629" s="2"/>
      <c r="C629" s="2"/>
      <c r="D629" s="2"/>
    </row>
    <row r="630" spans="2:4" x14ac:dyDescent="0.2">
      <c r="B630" s="2"/>
      <c r="C630" s="2"/>
      <c r="D630"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A4A31-4E97-704D-9CE1-54DB6FE6034D}">
  <sheetPr codeName="Sheet14"/>
  <dimension ref="A1:Q93"/>
  <sheetViews>
    <sheetView zoomScale="90" zoomScaleNormal="90" workbookViewId="0">
      <selection activeCell="I6" sqref="I6"/>
    </sheetView>
  </sheetViews>
  <sheetFormatPr baseColWidth="10" defaultRowHeight="16" x14ac:dyDescent="0.2"/>
  <cols>
    <col min="1" max="1" width="17.6640625" bestFit="1" customWidth="1"/>
    <col min="2" max="2" width="17.6640625" customWidth="1"/>
    <col min="3" max="3" width="5.6640625" customWidth="1"/>
    <col min="4" max="4" width="16.5" bestFit="1" customWidth="1"/>
    <col min="9" max="9" width="10.83203125" style="6" customWidth="1"/>
  </cols>
  <sheetData>
    <row r="1" spans="1:17" x14ac:dyDescent="0.2">
      <c r="A1" t="s">
        <v>329</v>
      </c>
      <c r="B1" t="s">
        <v>330</v>
      </c>
      <c r="C1" s="1" t="s">
        <v>108</v>
      </c>
      <c r="D1" s="1" t="s">
        <v>2</v>
      </c>
      <c r="E1" s="1" t="s">
        <v>109</v>
      </c>
      <c r="F1" s="1" t="s">
        <v>110</v>
      </c>
      <c r="G1" s="1" t="s">
        <v>111</v>
      </c>
      <c r="H1" s="1" t="s">
        <v>112</v>
      </c>
      <c r="I1" s="1" t="s">
        <v>113</v>
      </c>
      <c r="K1" s="1" t="s">
        <v>108</v>
      </c>
      <c r="L1" s="1" t="s">
        <v>2</v>
      </c>
      <c r="M1" s="1" t="s">
        <v>109</v>
      </c>
      <c r="N1" s="1" t="s">
        <v>110</v>
      </c>
      <c r="O1" s="1" t="s">
        <v>111</v>
      </c>
      <c r="P1" s="1" t="s">
        <v>112</v>
      </c>
      <c r="Q1" s="1" t="s">
        <v>113</v>
      </c>
    </row>
    <row r="2" spans="1:17" x14ac:dyDescent="0.2">
      <c r="A2">
        <f t="shared" ref="A2:A63" si="0">IF(D2=L2,0,1)</f>
        <v>0</v>
      </c>
      <c r="B2">
        <f>F2-N2</f>
        <v>0</v>
      </c>
      <c r="C2">
        <v>1</v>
      </c>
      <c r="D2" t="s">
        <v>68</v>
      </c>
      <c r="E2">
        <v>10</v>
      </c>
      <c r="F2">
        <v>125</v>
      </c>
      <c r="G2">
        <v>5</v>
      </c>
      <c r="H2">
        <v>20</v>
      </c>
      <c r="I2">
        <v>12.5</v>
      </c>
      <c r="K2">
        <v>1</v>
      </c>
      <c r="L2" t="s">
        <v>68</v>
      </c>
      <c r="M2">
        <v>10</v>
      </c>
      <c r="N2">
        <v>125</v>
      </c>
      <c r="O2">
        <v>5</v>
      </c>
      <c r="P2">
        <v>20</v>
      </c>
      <c r="Q2" t="s">
        <v>307</v>
      </c>
    </row>
    <row r="3" spans="1:17" x14ac:dyDescent="0.2">
      <c r="A3">
        <f t="shared" si="0"/>
        <v>0</v>
      </c>
      <c r="B3">
        <f t="shared" ref="B3:B66" si="1">F3-N3</f>
        <v>0</v>
      </c>
      <c r="C3">
        <v>2</v>
      </c>
      <c r="D3" t="s">
        <v>75</v>
      </c>
      <c r="E3">
        <v>10</v>
      </c>
      <c r="F3">
        <v>121</v>
      </c>
      <c r="G3">
        <v>3</v>
      </c>
      <c r="H3">
        <v>13</v>
      </c>
      <c r="I3">
        <v>12.1</v>
      </c>
      <c r="K3">
        <v>2</v>
      </c>
      <c r="L3" t="s">
        <v>75</v>
      </c>
      <c r="M3">
        <v>10</v>
      </c>
      <c r="N3">
        <v>121</v>
      </c>
      <c r="O3">
        <v>3</v>
      </c>
      <c r="P3">
        <v>13</v>
      </c>
      <c r="Q3" t="s">
        <v>115</v>
      </c>
    </row>
    <row r="4" spans="1:17" x14ac:dyDescent="0.2">
      <c r="A4">
        <f t="shared" si="0"/>
        <v>0</v>
      </c>
      <c r="B4">
        <f t="shared" si="1"/>
        <v>0</v>
      </c>
      <c r="C4">
        <v>3</v>
      </c>
      <c r="D4" t="s">
        <v>46</v>
      </c>
      <c r="E4">
        <v>10</v>
      </c>
      <c r="F4">
        <v>112</v>
      </c>
      <c r="G4">
        <v>4</v>
      </c>
      <c r="H4">
        <v>8</v>
      </c>
      <c r="I4">
        <v>11.2</v>
      </c>
      <c r="K4">
        <v>3</v>
      </c>
      <c r="L4" t="s">
        <v>46</v>
      </c>
      <c r="M4">
        <v>10</v>
      </c>
      <c r="N4">
        <v>112</v>
      </c>
      <c r="O4">
        <v>4</v>
      </c>
      <c r="P4">
        <v>8</v>
      </c>
      <c r="Q4" t="s">
        <v>338</v>
      </c>
    </row>
    <row r="5" spans="1:17" x14ac:dyDescent="0.2">
      <c r="A5">
        <f t="shared" si="0"/>
        <v>0</v>
      </c>
      <c r="B5">
        <f t="shared" si="1"/>
        <v>0</v>
      </c>
      <c r="C5">
        <v>4</v>
      </c>
      <c r="D5" t="s">
        <v>19</v>
      </c>
      <c r="E5">
        <v>10</v>
      </c>
      <c r="F5">
        <v>109</v>
      </c>
      <c r="G5">
        <v>4</v>
      </c>
      <c r="H5">
        <v>12</v>
      </c>
      <c r="I5">
        <v>10.9</v>
      </c>
      <c r="K5">
        <v>4</v>
      </c>
      <c r="L5" t="s">
        <v>19</v>
      </c>
      <c r="M5">
        <v>10</v>
      </c>
      <c r="N5">
        <v>109</v>
      </c>
      <c r="O5">
        <v>4</v>
      </c>
      <c r="P5">
        <v>12</v>
      </c>
      <c r="Q5" t="s">
        <v>117</v>
      </c>
    </row>
    <row r="6" spans="1:17" x14ac:dyDescent="0.2">
      <c r="A6">
        <f t="shared" si="0"/>
        <v>1</v>
      </c>
      <c r="B6">
        <f t="shared" si="1"/>
        <v>1</v>
      </c>
      <c r="C6">
        <v>5</v>
      </c>
      <c r="D6" t="s">
        <v>6</v>
      </c>
      <c r="E6">
        <v>10</v>
      </c>
      <c r="F6">
        <v>96</v>
      </c>
      <c r="G6">
        <v>3</v>
      </c>
      <c r="H6">
        <v>10</v>
      </c>
      <c r="I6">
        <v>9.6</v>
      </c>
      <c r="K6">
        <v>5</v>
      </c>
      <c r="L6" t="s">
        <v>98</v>
      </c>
      <c r="M6">
        <v>8</v>
      </c>
      <c r="N6">
        <v>95</v>
      </c>
      <c r="O6">
        <v>4</v>
      </c>
      <c r="P6">
        <v>13</v>
      </c>
      <c r="Q6" t="s">
        <v>438</v>
      </c>
    </row>
    <row r="7" spans="1:17" x14ac:dyDescent="0.2">
      <c r="A7">
        <f t="shared" si="0"/>
        <v>1</v>
      </c>
      <c r="B7">
        <f t="shared" si="1"/>
        <v>0</v>
      </c>
      <c r="C7">
        <v>6</v>
      </c>
      <c r="D7" t="s">
        <v>12</v>
      </c>
      <c r="E7">
        <v>10</v>
      </c>
      <c r="F7">
        <v>95</v>
      </c>
      <c r="G7">
        <v>4</v>
      </c>
      <c r="H7">
        <v>18</v>
      </c>
      <c r="I7">
        <v>9.5</v>
      </c>
      <c r="K7">
        <v>6</v>
      </c>
      <c r="L7" t="s">
        <v>6</v>
      </c>
      <c r="M7">
        <v>10</v>
      </c>
      <c r="N7">
        <v>95</v>
      </c>
      <c r="O7">
        <v>3</v>
      </c>
      <c r="P7">
        <v>10</v>
      </c>
      <c r="Q7" t="s">
        <v>159</v>
      </c>
    </row>
    <row r="8" spans="1:17" x14ac:dyDescent="0.2">
      <c r="A8">
        <f t="shared" si="0"/>
        <v>1</v>
      </c>
      <c r="B8">
        <f t="shared" si="1"/>
        <v>2</v>
      </c>
      <c r="C8">
        <v>7</v>
      </c>
      <c r="D8" t="s">
        <v>98</v>
      </c>
      <c r="E8">
        <v>8</v>
      </c>
      <c r="F8">
        <v>95</v>
      </c>
      <c r="G8">
        <v>4</v>
      </c>
      <c r="H8">
        <v>13</v>
      </c>
      <c r="I8">
        <v>11.875</v>
      </c>
      <c r="K8">
        <v>7</v>
      </c>
      <c r="L8" t="s">
        <v>12</v>
      </c>
      <c r="M8">
        <v>10</v>
      </c>
      <c r="N8">
        <v>93</v>
      </c>
      <c r="O8">
        <v>4</v>
      </c>
      <c r="P8">
        <v>18</v>
      </c>
      <c r="Q8" t="s">
        <v>354</v>
      </c>
    </row>
    <row r="9" spans="1:17" x14ac:dyDescent="0.2">
      <c r="A9">
        <f t="shared" si="0"/>
        <v>0</v>
      </c>
      <c r="B9">
        <f t="shared" si="1"/>
        <v>2</v>
      </c>
      <c r="C9">
        <v>8</v>
      </c>
      <c r="D9" t="s">
        <v>45</v>
      </c>
      <c r="E9">
        <v>10</v>
      </c>
      <c r="F9">
        <v>93</v>
      </c>
      <c r="G9">
        <v>1</v>
      </c>
      <c r="H9">
        <v>13</v>
      </c>
      <c r="I9">
        <v>9.3000000000000007</v>
      </c>
      <c r="K9">
        <v>8</v>
      </c>
      <c r="L9" t="s">
        <v>45</v>
      </c>
      <c r="M9">
        <v>10</v>
      </c>
      <c r="N9">
        <v>91</v>
      </c>
      <c r="O9">
        <v>1</v>
      </c>
      <c r="P9">
        <v>13</v>
      </c>
      <c r="Q9" t="s">
        <v>355</v>
      </c>
    </row>
    <row r="10" spans="1:17" x14ac:dyDescent="0.2">
      <c r="A10">
        <f t="shared" si="0"/>
        <v>0</v>
      </c>
      <c r="B10">
        <f t="shared" si="1"/>
        <v>0</v>
      </c>
      <c r="C10">
        <v>9</v>
      </c>
      <c r="D10" t="s">
        <v>345</v>
      </c>
      <c r="E10">
        <v>10</v>
      </c>
      <c r="F10">
        <v>88</v>
      </c>
      <c r="G10">
        <v>2</v>
      </c>
      <c r="H10">
        <v>8</v>
      </c>
      <c r="I10">
        <v>8.8000000000000007</v>
      </c>
      <c r="K10">
        <v>9</v>
      </c>
      <c r="L10" t="s">
        <v>345</v>
      </c>
      <c r="M10">
        <v>10</v>
      </c>
      <c r="N10">
        <v>88</v>
      </c>
      <c r="O10">
        <v>2</v>
      </c>
      <c r="P10">
        <v>8</v>
      </c>
      <c r="Q10" t="s">
        <v>124</v>
      </c>
    </row>
    <row r="11" spans="1:17" x14ac:dyDescent="0.2">
      <c r="A11">
        <f t="shared" si="0"/>
        <v>0</v>
      </c>
      <c r="B11">
        <f t="shared" si="1"/>
        <v>0</v>
      </c>
      <c r="C11">
        <v>10</v>
      </c>
      <c r="D11" t="s">
        <v>23</v>
      </c>
      <c r="E11">
        <v>8</v>
      </c>
      <c r="F11">
        <v>87</v>
      </c>
      <c r="G11">
        <v>4</v>
      </c>
      <c r="H11">
        <v>8</v>
      </c>
      <c r="I11">
        <v>10.875</v>
      </c>
      <c r="K11">
        <v>10</v>
      </c>
      <c r="L11" t="s">
        <v>23</v>
      </c>
      <c r="M11">
        <v>8</v>
      </c>
      <c r="N11">
        <v>87</v>
      </c>
      <c r="O11">
        <v>4</v>
      </c>
      <c r="P11">
        <v>8</v>
      </c>
      <c r="Q11" t="s">
        <v>125</v>
      </c>
    </row>
    <row r="12" spans="1:17" x14ac:dyDescent="0.2">
      <c r="A12">
        <f t="shared" si="0"/>
        <v>0</v>
      </c>
      <c r="B12">
        <f t="shared" si="1"/>
        <v>0</v>
      </c>
      <c r="C12">
        <v>11</v>
      </c>
      <c r="D12" t="s">
        <v>69</v>
      </c>
      <c r="E12">
        <v>10</v>
      </c>
      <c r="F12">
        <v>87</v>
      </c>
      <c r="G12">
        <v>1</v>
      </c>
      <c r="H12">
        <v>5</v>
      </c>
      <c r="I12">
        <v>8.6999999999999993</v>
      </c>
      <c r="K12">
        <v>11</v>
      </c>
      <c r="L12" t="s">
        <v>69</v>
      </c>
      <c r="M12">
        <v>10</v>
      </c>
      <c r="N12">
        <v>87</v>
      </c>
      <c r="O12">
        <v>1</v>
      </c>
      <c r="P12">
        <v>5</v>
      </c>
      <c r="Q12" t="s">
        <v>126</v>
      </c>
    </row>
    <row r="13" spans="1:17" x14ac:dyDescent="0.2">
      <c r="A13">
        <f t="shared" si="0"/>
        <v>0</v>
      </c>
      <c r="B13">
        <f t="shared" si="1"/>
        <v>0</v>
      </c>
      <c r="C13">
        <v>12</v>
      </c>
      <c r="D13" t="s">
        <v>40</v>
      </c>
      <c r="E13">
        <v>10</v>
      </c>
      <c r="F13">
        <v>86</v>
      </c>
      <c r="G13">
        <v>4</v>
      </c>
      <c r="H13">
        <v>21</v>
      </c>
      <c r="I13">
        <v>8.6</v>
      </c>
      <c r="K13">
        <v>12</v>
      </c>
      <c r="L13" t="s">
        <v>40</v>
      </c>
      <c r="M13">
        <v>10</v>
      </c>
      <c r="N13">
        <v>86</v>
      </c>
      <c r="O13">
        <v>4</v>
      </c>
      <c r="P13">
        <v>21</v>
      </c>
      <c r="Q13" t="s">
        <v>339</v>
      </c>
    </row>
    <row r="14" spans="1:17" x14ac:dyDescent="0.2">
      <c r="A14">
        <f t="shared" si="0"/>
        <v>0</v>
      </c>
      <c r="B14">
        <f t="shared" si="1"/>
        <v>0</v>
      </c>
      <c r="C14">
        <v>13</v>
      </c>
      <c r="D14" t="s">
        <v>32</v>
      </c>
      <c r="E14">
        <v>10</v>
      </c>
      <c r="F14">
        <v>85</v>
      </c>
      <c r="G14">
        <v>1</v>
      </c>
      <c r="H14">
        <v>7</v>
      </c>
      <c r="I14">
        <v>8.5</v>
      </c>
      <c r="K14">
        <v>13</v>
      </c>
      <c r="L14" t="s">
        <v>32</v>
      </c>
      <c r="M14">
        <v>10</v>
      </c>
      <c r="N14">
        <v>85</v>
      </c>
      <c r="O14">
        <v>1</v>
      </c>
      <c r="P14">
        <v>7</v>
      </c>
      <c r="Q14" t="s">
        <v>127</v>
      </c>
    </row>
    <row r="15" spans="1:17" x14ac:dyDescent="0.2">
      <c r="A15">
        <f t="shared" si="0"/>
        <v>1</v>
      </c>
      <c r="B15">
        <f t="shared" si="1"/>
        <v>0</v>
      </c>
      <c r="C15">
        <v>14</v>
      </c>
      <c r="D15" t="s">
        <v>61</v>
      </c>
      <c r="E15">
        <v>10</v>
      </c>
      <c r="F15">
        <v>83</v>
      </c>
      <c r="G15">
        <v>3</v>
      </c>
      <c r="H15">
        <v>9</v>
      </c>
      <c r="I15">
        <v>8.3000000000000007</v>
      </c>
      <c r="K15">
        <v>14</v>
      </c>
      <c r="L15" t="s">
        <v>41</v>
      </c>
      <c r="M15">
        <v>10</v>
      </c>
      <c r="N15">
        <v>83</v>
      </c>
      <c r="O15">
        <v>2</v>
      </c>
      <c r="P15">
        <v>10</v>
      </c>
      <c r="Q15" t="s">
        <v>128</v>
      </c>
    </row>
    <row r="16" spans="1:17" x14ac:dyDescent="0.2">
      <c r="A16">
        <f t="shared" si="0"/>
        <v>1</v>
      </c>
      <c r="B16">
        <f t="shared" si="1"/>
        <v>1</v>
      </c>
      <c r="C16">
        <v>15</v>
      </c>
      <c r="D16" t="s">
        <v>41</v>
      </c>
      <c r="E16">
        <v>10</v>
      </c>
      <c r="F16">
        <v>83</v>
      </c>
      <c r="G16">
        <v>2</v>
      </c>
      <c r="H16">
        <v>10</v>
      </c>
      <c r="I16">
        <v>8.3000000000000007</v>
      </c>
      <c r="K16">
        <v>15</v>
      </c>
      <c r="L16" t="s">
        <v>9</v>
      </c>
      <c r="M16">
        <v>10</v>
      </c>
      <c r="N16">
        <v>82</v>
      </c>
      <c r="O16">
        <v>3</v>
      </c>
      <c r="P16">
        <v>11</v>
      </c>
      <c r="Q16" t="s">
        <v>129</v>
      </c>
    </row>
    <row r="17" spans="1:17" x14ac:dyDescent="0.2">
      <c r="A17">
        <f t="shared" si="0"/>
        <v>1</v>
      </c>
      <c r="B17">
        <f t="shared" si="1"/>
        <v>0</v>
      </c>
      <c r="C17">
        <v>16</v>
      </c>
      <c r="D17" t="s">
        <v>9</v>
      </c>
      <c r="E17">
        <v>10</v>
      </c>
      <c r="F17">
        <v>82</v>
      </c>
      <c r="G17">
        <v>3</v>
      </c>
      <c r="H17">
        <v>11</v>
      </c>
      <c r="I17">
        <v>8.1999999999999993</v>
      </c>
      <c r="J17" t="s">
        <v>378</v>
      </c>
      <c r="K17">
        <v>16</v>
      </c>
      <c r="L17" t="s">
        <v>61</v>
      </c>
      <c r="M17">
        <v>10</v>
      </c>
      <c r="N17">
        <v>82</v>
      </c>
      <c r="O17">
        <v>3</v>
      </c>
      <c r="P17">
        <v>9</v>
      </c>
      <c r="Q17" t="s">
        <v>129</v>
      </c>
    </row>
    <row r="18" spans="1:17" x14ac:dyDescent="0.2">
      <c r="A18">
        <f t="shared" si="0"/>
        <v>0</v>
      </c>
      <c r="B18">
        <f t="shared" si="1"/>
        <v>0</v>
      </c>
      <c r="C18">
        <v>17</v>
      </c>
      <c r="D18" t="s">
        <v>39</v>
      </c>
      <c r="E18">
        <v>9</v>
      </c>
      <c r="F18">
        <v>82</v>
      </c>
      <c r="G18">
        <v>2</v>
      </c>
      <c r="H18">
        <v>12</v>
      </c>
      <c r="I18">
        <v>9.1111111111111107</v>
      </c>
      <c r="K18">
        <v>17</v>
      </c>
      <c r="L18" t="s">
        <v>39</v>
      </c>
      <c r="M18">
        <v>9</v>
      </c>
      <c r="N18">
        <v>82</v>
      </c>
      <c r="O18">
        <v>2</v>
      </c>
      <c r="P18">
        <v>12</v>
      </c>
      <c r="Q18" t="s">
        <v>410</v>
      </c>
    </row>
    <row r="19" spans="1:17" x14ac:dyDescent="0.2">
      <c r="A19">
        <f t="shared" si="0"/>
        <v>0</v>
      </c>
      <c r="B19">
        <f t="shared" si="1"/>
        <v>0</v>
      </c>
      <c r="C19">
        <v>18</v>
      </c>
      <c r="D19" t="s">
        <v>66</v>
      </c>
      <c r="E19">
        <v>10</v>
      </c>
      <c r="F19">
        <v>81</v>
      </c>
      <c r="G19">
        <v>3</v>
      </c>
      <c r="H19">
        <v>11</v>
      </c>
      <c r="I19">
        <v>8.1</v>
      </c>
      <c r="K19">
        <v>18</v>
      </c>
      <c r="L19" t="s">
        <v>66</v>
      </c>
      <c r="M19">
        <v>10</v>
      </c>
      <c r="N19">
        <v>81</v>
      </c>
      <c r="O19">
        <v>3</v>
      </c>
      <c r="P19">
        <v>11</v>
      </c>
      <c r="Q19" t="s">
        <v>130</v>
      </c>
    </row>
    <row r="20" spans="1:17" x14ac:dyDescent="0.2">
      <c r="A20">
        <f t="shared" si="0"/>
        <v>0</v>
      </c>
      <c r="B20">
        <f t="shared" si="1"/>
        <v>0</v>
      </c>
      <c r="C20">
        <v>19</v>
      </c>
      <c r="D20" t="s">
        <v>76</v>
      </c>
      <c r="E20">
        <v>10</v>
      </c>
      <c r="F20">
        <v>80</v>
      </c>
      <c r="G20">
        <v>1</v>
      </c>
      <c r="H20">
        <v>10</v>
      </c>
      <c r="I20">
        <v>8</v>
      </c>
      <c r="K20">
        <v>19</v>
      </c>
      <c r="L20" t="s">
        <v>76</v>
      </c>
      <c r="M20">
        <v>10</v>
      </c>
      <c r="N20">
        <v>80</v>
      </c>
      <c r="O20">
        <v>1</v>
      </c>
      <c r="P20">
        <v>10</v>
      </c>
      <c r="Q20">
        <v>8</v>
      </c>
    </row>
    <row r="21" spans="1:17" x14ac:dyDescent="0.2">
      <c r="A21">
        <f t="shared" si="0"/>
        <v>0</v>
      </c>
      <c r="B21">
        <f t="shared" si="1"/>
        <v>0</v>
      </c>
      <c r="C21">
        <v>20</v>
      </c>
      <c r="D21" t="s">
        <v>15</v>
      </c>
      <c r="E21">
        <v>10</v>
      </c>
      <c r="F21">
        <v>74</v>
      </c>
      <c r="G21">
        <v>2</v>
      </c>
      <c r="H21">
        <v>8</v>
      </c>
      <c r="I21">
        <v>7.4</v>
      </c>
      <c r="K21">
        <v>20</v>
      </c>
      <c r="L21" t="s">
        <v>15</v>
      </c>
      <c r="M21">
        <v>10</v>
      </c>
      <c r="N21">
        <v>74</v>
      </c>
      <c r="O21">
        <v>2</v>
      </c>
      <c r="P21">
        <v>8</v>
      </c>
      <c r="Q21" t="s">
        <v>134</v>
      </c>
    </row>
    <row r="22" spans="1:17" x14ac:dyDescent="0.2">
      <c r="A22">
        <f t="shared" si="0"/>
        <v>0</v>
      </c>
      <c r="B22">
        <f t="shared" si="1"/>
        <v>0</v>
      </c>
      <c r="C22">
        <v>21</v>
      </c>
      <c r="D22" t="s">
        <v>25</v>
      </c>
      <c r="E22">
        <v>10</v>
      </c>
      <c r="F22">
        <v>73</v>
      </c>
      <c r="G22">
        <v>0</v>
      </c>
      <c r="H22">
        <v>3</v>
      </c>
      <c r="I22">
        <v>7.3</v>
      </c>
      <c r="K22">
        <v>21</v>
      </c>
      <c r="L22" t="s">
        <v>25</v>
      </c>
      <c r="M22">
        <v>10</v>
      </c>
      <c r="N22">
        <v>73</v>
      </c>
      <c r="O22">
        <v>0</v>
      </c>
      <c r="P22">
        <v>3</v>
      </c>
      <c r="Q22" t="s">
        <v>135</v>
      </c>
    </row>
    <row r="23" spans="1:17" x14ac:dyDescent="0.2">
      <c r="A23">
        <f t="shared" si="0"/>
        <v>0</v>
      </c>
      <c r="B23">
        <f t="shared" si="1"/>
        <v>0</v>
      </c>
      <c r="C23">
        <v>22</v>
      </c>
      <c r="D23" t="s">
        <v>73</v>
      </c>
      <c r="E23">
        <v>10</v>
      </c>
      <c r="F23">
        <v>70</v>
      </c>
      <c r="G23">
        <v>2</v>
      </c>
      <c r="H23">
        <v>9</v>
      </c>
      <c r="I23">
        <v>7</v>
      </c>
      <c r="K23">
        <v>22</v>
      </c>
      <c r="L23" t="s">
        <v>73</v>
      </c>
      <c r="M23">
        <v>10</v>
      </c>
      <c r="N23">
        <v>70</v>
      </c>
      <c r="O23">
        <v>2</v>
      </c>
      <c r="P23">
        <v>9</v>
      </c>
      <c r="Q23">
        <v>7</v>
      </c>
    </row>
    <row r="24" spans="1:17" x14ac:dyDescent="0.2">
      <c r="A24">
        <f t="shared" si="0"/>
        <v>0</v>
      </c>
      <c r="B24">
        <f t="shared" si="1"/>
        <v>1</v>
      </c>
      <c r="C24">
        <v>23</v>
      </c>
      <c r="D24" t="s">
        <v>21</v>
      </c>
      <c r="E24">
        <v>10</v>
      </c>
      <c r="F24">
        <v>70</v>
      </c>
      <c r="G24">
        <v>0</v>
      </c>
      <c r="H24">
        <v>6</v>
      </c>
      <c r="I24">
        <v>7</v>
      </c>
      <c r="K24">
        <v>23</v>
      </c>
      <c r="L24" t="s">
        <v>21</v>
      </c>
      <c r="M24">
        <v>10</v>
      </c>
      <c r="N24">
        <v>69</v>
      </c>
      <c r="O24">
        <v>0</v>
      </c>
      <c r="P24">
        <v>6</v>
      </c>
      <c r="Q24" t="s">
        <v>411</v>
      </c>
    </row>
    <row r="25" spans="1:17" x14ac:dyDescent="0.2">
      <c r="A25">
        <f t="shared" si="0"/>
        <v>0</v>
      </c>
      <c r="B25">
        <f t="shared" si="1"/>
        <v>0</v>
      </c>
      <c r="C25">
        <v>24</v>
      </c>
      <c r="D25" t="s">
        <v>54</v>
      </c>
      <c r="E25">
        <v>10</v>
      </c>
      <c r="F25">
        <v>67</v>
      </c>
      <c r="G25">
        <v>3</v>
      </c>
      <c r="H25">
        <v>7</v>
      </c>
      <c r="I25">
        <v>6.7</v>
      </c>
      <c r="K25">
        <v>24</v>
      </c>
      <c r="L25" t="s">
        <v>54</v>
      </c>
      <c r="M25">
        <v>10</v>
      </c>
      <c r="N25">
        <v>67</v>
      </c>
      <c r="O25">
        <v>3</v>
      </c>
      <c r="P25">
        <v>7</v>
      </c>
      <c r="Q25" t="s">
        <v>139</v>
      </c>
    </row>
    <row r="26" spans="1:17" x14ac:dyDescent="0.2">
      <c r="A26">
        <f t="shared" si="0"/>
        <v>0</v>
      </c>
      <c r="B26">
        <f t="shared" si="1"/>
        <v>0</v>
      </c>
      <c r="C26">
        <v>25</v>
      </c>
      <c r="D26" t="s">
        <v>43</v>
      </c>
      <c r="E26">
        <v>7</v>
      </c>
      <c r="F26">
        <v>65</v>
      </c>
      <c r="G26">
        <v>3</v>
      </c>
      <c r="H26">
        <v>13</v>
      </c>
      <c r="I26">
        <v>9.2857142857142794</v>
      </c>
      <c r="K26">
        <v>25</v>
      </c>
      <c r="L26" t="s">
        <v>43</v>
      </c>
      <c r="M26">
        <v>7</v>
      </c>
      <c r="N26">
        <v>65</v>
      </c>
      <c r="O26">
        <v>3</v>
      </c>
      <c r="P26">
        <v>13</v>
      </c>
      <c r="Q26" t="s">
        <v>412</v>
      </c>
    </row>
    <row r="27" spans="1:17" x14ac:dyDescent="0.2">
      <c r="A27">
        <f t="shared" si="0"/>
        <v>0</v>
      </c>
      <c r="B27">
        <f t="shared" si="1"/>
        <v>0</v>
      </c>
      <c r="C27">
        <v>26</v>
      </c>
      <c r="D27" t="s">
        <v>65</v>
      </c>
      <c r="E27">
        <v>9</v>
      </c>
      <c r="F27">
        <v>62</v>
      </c>
      <c r="G27">
        <v>1</v>
      </c>
      <c r="H27">
        <v>9</v>
      </c>
      <c r="I27">
        <v>6.8888888888888804</v>
      </c>
      <c r="K27">
        <v>26</v>
      </c>
      <c r="L27" t="s">
        <v>65</v>
      </c>
      <c r="M27">
        <v>9</v>
      </c>
      <c r="N27">
        <v>62</v>
      </c>
      <c r="O27">
        <v>1</v>
      </c>
      <c r="P27">
        <v>9</v>
      </c>
      <c r="Q27" t="s">
        <v>413</v>
      </c>
    </row>
    <row r="28" spans="1:17" x14ac:dyDescent="0.2">
      <c r="A28">
        <f t="shared" si="0"/>
        <v>0</v>
      </c>
      <c r="B28">
        <f t="shared" si="1"/>
        <v>0</v>
      </c>
      <c r="C28">
        <v>27</v>
      </c>
      <c r="D28" t="s">
        <v>42</v>
      </c>
      <c r="E28">
        <v>10</v>
      </c>
      <c r="F28">
        <v>62</v>
      </c>
      <c r="G28">
        <v>1</v>
      </c>
      <c r="H28">
        <v>7</v>
      </c>
      <c r="I28">
        <v>6.2</v>
      </c>
      <c r="K28">
        <v>27</v>
      </c>
      <c r="L28" t="s">
        <v>42</v>
      </c>
      <c r="M28">
        <v>10</v>
      </c>
      <c r="N28">
        <v>62</v>
      </c>
      <c r="O28">
        <v>1</v>
      </c>
      <c r="P28">
        <v>7</v>
      </c>
      <c r="Q28" t="s">
        <v>342</v>
      </c>
    </row>
    <row r="29" spans="1:17" x14ac:dyDescent="0.2">
      <c r="A29">
        <f t="shared" si="0"/>
        <v>0</v>
      </c>
      <c r="B29">
        <f t="shared" si="1"/>
        <v>0</v>
      </c>
      <c r="C29">
        <v>28</v>
      </c>
      <c r="D29" t="s">
        <v>59</v>
      </c>
      <c r="E29">
        <v>9</v>
      </c>
      <c r="F29">
        <v>60</v>
      </c>
      <c r="G29">
        <v>0</v>
      </c>
      <c r="H29">
        <v>7</v>
      </c>
      <c r="I29">
        <v>6.6666666666666599</v>
      </c>
      <c r="K29">
        <v>28</v>
      </c>
      <c r="L29" t="s">
        <v>59</v>
      </c>
      <c r="M29">
        <v>9</v>
      </c>
      <c r="N29">
        <v>60</v>
      </c>
      <c r="O29">
        <v>0</v>
      </c>
      <c r="P29">
        <v>7</v>
      </c>
      <c r="Q29" t="s">
        <v>415</v>
      </c>
    </row>
    <row r="30" spans="1:17" x14ac:dyDescent="0.2">
      <c r="A30">
        <f t="shared" si="0"/>
        <v>0</v>
      </c>
      <c r="B30">
        <f t="shared" si="1"/>
        <v>0</v>
      </c>
      <c r="C30">
        <v>29</v>
      </c>
      <c r="D30" t="s">
        <v>26</v>
      </c>
      <c r="E30">
        <v>9</v>
      </c>
      <c r="F30">
        <v>58</v>
      </c>
      <c r="G30">
        <v>0</v>
      </c>
      <c r="H30">
        <v>8</v>
      </c>
      <c r="I30">
        <v>6.4444444444444402</v>
      </c>
      <c r="K30">
        <v>29</v>
      </c>
      <c r="L30" t="s">
        <v>26</v>
      </c>
      <c r="M30">
        <v>9</v>
      </c>
      <c r="N30">
        <v>58</v>
      </c>
      <c r="O30">
        <v>0</v>
      </c>
      <c r="P30">
        <v>8</v>
      </c>
      <c r="Q30" t="s">
        <v>439</v>
      </c>
    </row>
    <row r="31" spans="1:17" x14ac:dyDescent="0.2">
      <c r="A31">
        <f t="shared" si="0"/>
        <v>0</v>
      </c>
      <c r="B31">
        <f t="shared" si="1"/>
        <v>0</v>
      </c>
      <c r="C31">
        <v>30</v>
      </c>
      <c r="D31" t="s">
        <v>101</v>
      </c>
      <c r="E31">
        <v>8</v>
      </c>
      <c r="F31">
        <v>58</v>
      </c>
      <c r="G31">
        <v>0</v>
      </c>
      <c r="H31">
        <v>7</v>
      </c>
      <c r="I31">
        <v>7.25</v>
      </c>
      <c r="K31">
        <v>30</v>
      </c>
      <c r="L31" t="s">
        <v>101</v>
      </c>
      <c r="M31">
        <v>8</v>
      </c>
      <c r="N31">
        <v>58</v>
      </c>
      <c r="O31">
        <v>0</v>
      </c>
      <c r="P31">
        <v>7</v>
      </c>
      <c r="Q31" t="s">
        <v>440</v>
      </c>
    </row>
    <row r="32" spans="1:17" x14ac:dyDescent="0.2">
      <c r="A32">
        <f t="shared" si="0"/>
        <v>0</v>
      </c>
      <c r="B32">
        <f t="shared" si="1"/>
        <v>0</v>
      </c>
      <c r="C32">
        <v>31</v>
      </c>
      <c r="D32" t="s">
        <v>35</v>
      </c>
      <c r="E32">
        <v>10</v>
      </c>
      <c r="F32">
        <v>57</v>
      </c>
      <c r="G32">
        <v>0</v>
      </c>
      <c r="H32">
        <v>4</v>
      </c>
      <c r="I32">
        <v>5.7</v>
      </c>
      <c r="K32">
        <v>31</v>
      </c>
      <c r="L32" t="s">
        <v>35</v>
      </c>
      <c r="M32">
        <v>10</v>
      </c>
      <c r="N32">
        <v>57</v>
      </c>
      <c r="O32">
        <v>0</v>
      </c>
      <c r="P32">
        <v>4</v>
      </c>
      <c r="Q32" t="s">
        <v>441</v>
      </c>
    </row>
    <row r="33" spans="1:17" x14ac:dyDescent="0.2">
      <c r="A33">
        <f t="shared" si="0"/>
        <v>0</v>
      </c>
      <c r="B33">
        <f t="shared" si="1"/>
        <v>0</v>
      </c>
      <c r="C33">
        <v>32</v>
      </c>
      <c r="D33" t="s">
        <v>55</v>
      </c>
      <c r="E33">
        <v>7</v>
      </c>
      <c r="F33">
        <v>53</v>
      </c>
      <c r="G33">
        <v>0</v>
      </c>
      <c r="H33">
        <v>3</v>
      </c>
      <c r="I33">
        <v>7.5714285714285703</v>
      </c>
      <c r="K33">
        <v>32</v>
      </c>
      <c r="L33" t="s">
        <v>55</v>
      </c>
      <c r="M33">
        <v>7</v>
      </c>
      <c r="N33">
        <v>53</v>
      </c>
      <c r="O33">
        <v>0</v>
      </c>
      <c r="P33">
        <v>3</v>
      </c>
      <c r="Q33" t="s">
        <v>442</v>
      </c>
    </row>
    <row r="34" spans="1:17" x14ac:dyDescent="0.2">
      <c r="A34">
        <f t="shared" si="0"/>
        <v>0</v>
      </c>
      <c r="B34">
        <f t="shared" si="1"/>
        <v>0</v>
      </c>
      <c r="C34">
        <v>33</v>
      </c>
      <c r="D34" t="s">
        <v>102</v>
      </c>
      <c r="E34">
        <v>9</v>
      </c>
      <c r="F34">
        <v>52</v>
      </c>
      <c r="G34">
        <v>1</v>
      </c>
      <c r="H34">
        <v>8</v>
      </c>
      <c r="I34">
        <v>5.7777777777777697</v>
      </c>
      <c r="K34">
        <v>33</v>
      </c>
      <c r="L34" t="s">
        <v>102</v>
      </c>
      <c r="M34">
        <v>9</v>
      </c>
      <c r="N34">
        <v>52</v>
      </c>
      <c r="O34">
        <v>1</v>
      </c>
      <c r="P34">
        <v>8</v>
      </c>
      <c r="Q34" t="s">
        <v>150</v>
      </c>
    </row>
    <row r="35" spans="1:17" x14ac:dyDescent="0.2">
      <c r="A35">
        <f t="shared" si="0"/>
        <v>0</v>
      </c>
      <c r="B35">
        <f t="shared" si="1"/>
        <v>0</v>
      </c>
      <c r="C35">
        <v>34</v>
      </c>
      <c r="D35" t="s">
        <v>50</v>
      </c>
      <c r="E35">
        <v>7</v>
      </c>
      <c r="F35">
        <v>48</v>
      </c>
      <c r="G35">
        <v>1</v>
      </c>
      <c r="H35">
        <v>1</v>
      </c>
      <c r="I35">
        <v>6.8571428571428497</v>
      </c>
      <c r="K35">
        <v>34</v>
      </c>
      <c r="L35" t="s">
        <v>50</v>
      </c>
      <c r="M35">
        <v>7</v>
      </c>
      <c r="N35">
        <v>48</v>
      </c>
      <c r="O35">
        <v>1</v>
      </c>
      <c r="P35">
        <v>1</v>
      </c>
      <c r="Q35" t="s">
        <v>414</v>
      </c>
    </row>
    <row r="36" spans="1:17" x14ac:dyDescent="0.2">
      <c r="A36">
        <f t="shared" si="0"/>
        <v>0</v>
      </c>
      <c r="B36">
        <f t="shared" si="1"/>
        <v>0</v>
      </c>
      <c r="C36">
        <v>35</v>
      </c>
      <c r="D36" t="s">
        <v>14</v>
      </c>
      <c r="E36">
        <v>9</v>
      </c>
      <c r="F36">
        <v>45</v>
      </c>
      <c r="G36">
        <v>1</v>
      </c>
      <c r="H36">
        <v>5</v>
      </c>
      <c r="I36">
        <v>5</v>
      </c>
      <c r="K36">
        <v>35</v>
      </c>
      <c r="L36" t="s">
        <v>14</v>
      </c>
      <c r="M36">
        <v>9</v>
      </c>
      <c r="N36">
        <v>45</v>
      </c>
      <c r="O36">
        <v>1</v>
      </c>
      <c r="P36">
        <v>5</v>
      </c>
      <c r="Q36">
        <v>5</v>
      </c>
    </row>
    <row r="37" spans="1:17" x14ac:dyDescent="0.2">
      <c r="A37">
        <f t="shared" si="0"/>
        <v>0</v>
      </c>
      <c r="B37">
        <f t="shared" si="1"/>
        <v>0</v>
      </c>
      <c r="C37">
        <v>36</v>
      </c>
      <c r="D37" t="s">
        <v>377</v>
      </c>
      <c r="E37">
        <v>4</v>
      </c>
      <c r="F37">
        <v>44</v>
      </c>
      <c r="G37">
        <v>1</v>
      </c>
      <c r="H37">
        <v>3</v>
      </c>
      <c r="I37">
        <v>11</v>
      </c>
      <c r="K37">
        <v>36</v>
      </c>
      <c r="L37" t="s">
        <v>377</v>
      </c>
      <c r="M37">
        <v>4</v>
      </c>
      <c r="N37">
        <v>44</v>
      </c>
      <c r="O37">
        <v>1</v>
      </c>
      <c r="P37">
        <v>3</v>
      </c>
      <c r="Q37">
        <v>11</v>
      </c>
    </row>
    <row r="38" spans="1:17" x14ac:dyDescent="0.2">
      <c r="A38">
        <f t="shared" si="0"/>
        <v>0</v>
      </c>
      <c r="B38">
        <f t="shared" si="1"/>
        <v>0</v>
      </c>
      <c r="C38">
        <v>37</v>
      </c>
      <c r="D38" t="s">
        <v>28</v>
      </c>
      <c r="E38">
        <v>9</v>
      </c>
      <c r="F38">
        <v>43</v>
      </c>
      <c r="G38">
        <v>1</v>
      </c>
      <c r="H38">
        <v>4</v>
      </c>
      <c r="I38">
        <v>4.7777777777777697</v>
      </c>
      <c r="K38">
        <v>37</v>
      </c>
      <c r="L38" t="s">
        <v>28</v>
      </c>
      <c r="M38">
        <v>9</v>
      </c>
      <c r="N38">
        <v>43</v>
      </c>
      <c r="O38">
        <v>1</v>
      </c>
      <c r="P38">
        <v>4</v>
      </c>
      <c r="Q38" t="s">
        <v>443</v>
      </c>
    </row>
    <row r="39" spans="1:17" x14ac:dyDescent="0.2">
      <c r="A39">
        <f t="shared" si="0"/>
        <v>0</v>
      </c>
      <c r="B39">
        <f t="shared" si="1"/>
        <v>0</v>
      </c>
      <c r="C39">
        <v>38</v>
      </c>
      <c r="D39" t="s">
        <v>47</v>
      </c>
      <c r="E39">
        <v>6</v>
      </c>
      <c r="F39">
        <v>40</v>
      </c>
      <c r="G39">
        <v>0</v>
      </c>
      <c r="H39">
        <v>3</v>
      </c>
      <c r="I39">
        <v>6.6666666666666599</v>
      </c>
      <c r="J39" t="s">
        <v>313</v>
      </c>
      <c r="K39">
        <v>38</v>
      </c>
      <c r="L39" t="s">
        <v>47</v>
      </c>
      <c r="M39">
        <v>6</v>
      </c>
      <c r="N39">
        <v>40</v>
      </c>
      <c r="O39">
        <v>0</v>
      </c>
      <c r="P39">
        <v>3</v>
      </c>
      <c r="Q39" t="s">
        <v>415</v>
      </c>
    </row>
    <row r="40" spans="1:17" x14ac:dyDescent="0.2">
      <c r="A40">
        <f t="shared" si="0"/>
        <v>0</v>
      </c>
      <c r="B40">
        <f t="shared" si="1"/>
        <v>0</v>
      </c>
      <c r="C40">
        <v>39</v>
      </c>
      <c r="D40" t="s">
        <v>52</v>
      </c>
      <c r="E40">
        <v>6</v>
      </c>
      <c r="F40">
        <v>39</v>
      </c>
      <c r="G40">
        <v>1</v>
      </c>
      <c r="H40">
        <v>6</v>
      </c>
      <c r="I40">
        <v>6.5</v>
      </c>
      <c r="K40">
        <v>39</v>
      </c>
      <c r="L40" t="s">
        <v>52</v>
      </c>
      <c r="M40">
        <v>6</v>
      </c>
      <c r="N40">
        <v>39</v>
      </c>
      <c r="O40">
        <v>1</v>
      </c>
      <c r="P40">
        <v>6</v>
      </c>
      <c r="Q40" t="s">
        <v>149</v>
      </c>
    </row>
    <row r="41" spans="1:17" x14ac:dyDescent="0.2">
      <c r="A41">
        <f t="shared" si="0"/>
        <v>0</v>
      </c>
      <c r="B41">
        <f t="shared" si="1"/>
        <v>0</v>
      </c>
      <c r="C41">
        <v>40</v>
      </c>
      <c r="D41" t="s">
        <v>92</v>
      </c>
      <c r="E41">
        <v>8</v>
      </c>
      <c r="F41">
        <v>36</v>
      </c>
      <c r="G41">
        <v>1</v>
      </c>
      <c r="H41">
        <v>6</v>
      </c>
      <c r="I41">
        <v>4.5</v>
      </c>
      <c r="K41">
        <v>40</v>
      </c>
      <c r="L41" t="s">
        <v>92</v>
      </c>
      <c r="M41">
        <v>8</v>
      </c>
      <c r="N41">
        <v>36</v>
      </c>
      <c r="O41">
        <v>1</v>
      </c>
      <c r="P41">
        <v>6</v>
      </c>
      <c r="Q41" t="s">
        <v>158</v>
      </c>
    </row>
    <row r="42" spans="1:17" x14ac:dyDescent="0.2">
      <c r="A42">
        <f t="shared" si="0"/>
        <v>0</v>
      </c>
      <c r="B42">
        <f t="shared" si="1"/>
        <v>0</v>
      </c>
      <c r="C42">
        <v>41</v>
      </c>
      <c r="D42" t="s">
        <v>53</v>
      </c>
      <c r="E42">
        <v>4</v>
      </c>
      <c r="F42">
        <v>36</v>
      </c>
      <c r="G42">
        <v>1</v>
      </c>
      <c r="H42">
        <v>3</v>
      </c>
      <c r="I42">
        <v>9</v>
      </c>
      <c r="K42">
        <v>41</v>
      </c>
      <c r="L42" t="s">
        <v>53</v>
      </c>
      <c r="M42">
        <v>4</v>
      </c>
      <c r="N42">
        <v>36</v>
      </c>
      <c r="O42">
        <v>1</v>
      </c>
      <c r="P42">
        <v>3</v>
      </c>
      <c r="Q42">
        <v>9</v>
      </c>
    </row>
    <row r="43" spans="1:17" x14ac:dyDescent="0.2">
      <c r="A43">
        <f t="shared" si="0"/>
        <v>0</v>
      </c>
      <c r="B43">
        <f t="shared" si="1"/>
        <v>0</v>
      </c>
      <c r="C43">
        <v>42</v>
      </c>
      <c r="D43" t="s">
        <v>18</v>
      </c>
      <c r="E43">
        <v>5</v>
      </c>
      <c r="F43">
        <v>35</v>
      </c>
      <c r="G43">
        <v>0</v>
      </c>
      <c r="H43">
        <v>4</v>
      </c>
      <c r="I43">
        <v>7</v>
      </c>
      <c r="K43">
        <v>42</v>
      </c>
      <c r="L43" t="s">
        <v>18</v>
      </c>
      <c r="M43">
        <v>5</v>
      </c>
      <c r="N43">
        <v>35</v>
      </c>
      <c r="O43">
        <v>0</v>
      </c>
      <c r="P43">
        <v>4</v>
      </c>
      <c r="Q43">
        <v>7</v>
      </c>
    </row>
    <row r="44" spans="1:17" x14ac:dyDescent="0.2">
      <c r="A44">
        <f t="shared" si="0"/>
        <v>0</v>
      </c>
      <c r="B44">
        <f t="shared" si="1"/>
        <v>0</v>
      </c>
      <c r="C44">
        <v>43</v>
      </c>
      <c r="D44" t="s">
        <v>74</v>
      </c>
      <c r="E44">
        <v>10</v>
      </c>
      <c r="F44">
        <v>33</v>
      </c>
      <c r="G44">
        <v>1</v>
      </c>
      <c r="H44">
        <v>3</v>
      </c>
      <c r="I44">
        <v>3.3</v>
      </c>
      <c r="K44">
        <v>43</v>
      </c>
      <c r="L44" t="s">
        <v>74</v>
      </c>
      <c r="M44">
        <v>10</v>
      </c>
      <c r="N44">
        <v>33</v>
      </c>
      <c r="O44">
        <v>1</v>
      </c>
      <c r="P44">
        <v>3</v>
      </c>
      <c r="Q44" t="s">
        <v>348</v>
      </c>
    </row>
    <row r="45" spans="1:17" x14ac:dyDescent="0.2">
      <c r="A45">
        <f t="shared" si="0"/>
        <v>0</v>
      </c>
      <c r="B45">
        <f t="shared" si="1"/>
        <v>0</v>
      </c>
      <c r="C45">
        <v>44</v>
      </c>
      <c r="D45" t="s">
        <v>87</v>
      </c>
      <c r="E45">
        <v>8</v>
      </c>
      <c r="F45">
        <v>31</v>
      </c>
      <c r="G45">
        <v>1</v>
      </c>
      <c r="H45">
        <v>5</v>
      </c>
      <c r="I45">
        <v>3.875</v>
      </c>
      <c r="K45">
        <v>44</v>
      </c>
      <c r="L45" t="s">
        <v>87</v>
      </c>
      <c r="M45">
        <v>8</v>
      </c>
      <c r="N45">
        <v>31</v>
      </c>
      <c r="O45">
        <v>1</v>
      </c>
      <c r="P45">
        <v>5</v>
      </c>
      <c r="Q45" t="s">
        <v>416</v>
      </c>
    </row>
    <row r="46" spans="1:17" x14ac:dyDescent="0.2">
      <c r="A46">
        <f t="shared" si="0"/>
        <v>0</v>
      </c>
      <c r="B46">
        <f t="shared" si="1"/>
        <v>0</v>
      </c>
      <c r="C46">
        <v>45</v>
      </c>
      <c r="D46" t="s">
        <v>33</v>
      </c>
      <c r="E46">
        <v>9</v>
      </c>
      <c r="F46">
        <v>27</v>
      </c>
      <c r="G46">
        <v>0</v>
      </c>
      <c r="H46">
        <v>1</v>
      </c>
      <c r="I46">
        <v>3</v>
      </c>
      <c r="K46">
        <v>45</v>
      </c>
      <c r="L46" t="s">
        <v>33</v>
      </c>
      <c r="M46">
        <v>9</v>
      </c>
      <c r="N46">
        <v>27</v>
      </c>
      <c r="O46">
        <v>0</v>
      </c>
      <c r="P46">
        <v>1</v>
      </c>
      <c r="Q46">
        <v>3</v>
      </c>
    </row>
    <row r="47" spans="1:17" x14ac:dyDescent="0.2">
      <c r="A47">
        <f t="shared" si="0"/>
        <v>0</v>
      </c>
      <c r="B47">
        <f t="shared" si="1"/>
        <v>0</v>
      </c>
      <c r="C47">
        <v>46</v>
      </c>
      <c r="D47" t="s">
        <v>60</v>
      </c>
      <c r="E47">
        <v>6</v>
      </c>
      <c r="F47">
        <v>27</v>
      </c>
      <c r="G47">
        <v>0</v>
      </c>
      <c r="H47">
        <v>0</v>
      </c>
      <c r="I47">
        <v>4.5</v>
      </c>
      <c r="K47">
        <v>46</v>
      </c>
      <c r="L47" t="s">
        <v>60</v>
      </c>
      <c r="M47">
        <v>6</v>
      </c>
      <c r="N47">
        <v>27</v>
      </c>
      <c r="O47">
        <v>0</v>
      </c>
      <c r="P47">
        <v>0</v>
      </c>
      <c r="Q47" t="s">
        <v>158</v>
      </c>
    </row>
    <row r="48" spans="1:17" x14ac:dyDescent="0.2">
      <c r="A48">
        <f t="shared" si="0"/>
        <v>0</v>
      </c>
      <c r="B48">
        <f t="shared" si="1"/>
        <v>0</v>
      </c>
      <c r="C48">
        <v>47</v>
      </c>
      <c r="D48" t="s">
        <v>48</v>
      </c>
      <c r="E48">
        <v>2</v>
      </c>
      <c r="F48">
        <v>25</v>
      </c>
      <c r="G48">
        <v>0</v>
      </c>
      <c r="H48">
        <v>9</v>
      </c>
      <c r="I48">
        <v>12.5</v>
      </c>
      <c r="K48">
        <v>47</v>
      </c>
      <c r="L48" t="s">
        <v>48</v>
      </c>
      <c r="M48">
        <v>2</v>
      </c>
      <c r="N48">
        <v>25</v>
      </c>
      <c r="O48">
        <v>0</v>
      </c>
      <c r="P48">
        <v>9</v>
      </c>
      <c r="Q48" t="s">
        <v>307</v>
      </c>
    </row>
    <row r="49" spans="1:17" x14ac:dyDescent="0.2">
      <c r="A49">
        <f t="shared" si="0"/>
        <v>0</v>
      </c>
      <c r="B49">
        <f t="shared" si="1"/>
        <v>0</v>
      </c>
      <c r="C49">
        <v>48</v>
      </c>
      <c r="D49" t="s">
        <v>305</v>
      </c>
      <c r="E49">
        <v>5</v>
      </c>
      <c r="F49">
        <v>25</v>
      </c>
      <c r="G49">
        <v>0</v>
      </c>
      <c r="H49">
        <v>2</v>
      </c>
      <c r="I49">
        <v>5</v>
      </c>
      <c r="J49">
        <v>4</v>
      </c>
      <c r="K49">
        <v>48</v>
      </c>
      <c r="L49" t="s">
        <v>305</v>
      </c>
      <c r="M49">
        <v>5</v>
      </c>
      <c r="N49">
        <v>25</v>
      </c>
      <c r="O49">
        <v>0</v>
      </c>
      <c r="P49">
        <v>2</v>
      </c>
      <c r="Q49">
        <v>5</v>
      </c>
    </row>
    <row r="50" spans="1:17" x14ac:dyDescent="0.2">
      <c r="A50">
        <f t="shared" si="0"/>
        <v>0</v>
      </c>
      <c r="B50">
        <f t="shared" si="1"/>
        <v>0</v>
      </c>
      <c r="C50">
        <v>49</v>
      </c>
      <c r="D50" t="s">
        <v>8</v>
      </c>
      <c r="E50">
        <v>7</v>
      </c>
      <c r="F50">
        <v>25</v>
      </c>
      <c r="G50">
        <v>0</v>
      </c>
      <c r="H50">
        <v>1</v>
      </c>
      <c r="I50">
        <v>3.5714285714285698</v>
      </c>
      <c r="K50">
        <v>49</v>
      </c>
      <c r="L50" t="s">
        <v>8</v>
      </c>
      <c r="M50">
        <v>7</v>
      </c>
      <c r="N50">
        <v>25</v>
      </c>
      <c r="O50">
        <v>0</v>
      </c>
      <c r="P50">
        <v>1</v>
      </c>
      <c r="Q50" t="s">
        <v>417</v>
      </c>
    </row>
    <row r="51" spans="1:17" x14ac:dyDescent="0.2">
      <c r="A51">
        <f t="shared" si="0"/>
        <v>0</v>
      </c>
      <c r="B51">
        <f t="shared" si="1"/>
        <v>0</v>
      </c>
      <c r="C51">
        <v>50</v>
      </c>
      <c r="D51" t="s">
        <v>29</v>
      </c>
      <c r="E51">
        <v>3</v>
      </c>
      <c r="F51">
        <v>22</v>
      </c>
      <c r="G51">
        <v>0</v>
      </c>
      <c r="H51">
        <v>3</v>
      </c>
      <c r="I51">
        <v>7.3333333333333304</v>
      </c>
      <c r="K51">
        <v>50</v>
      </c>
      <c r="L51" t="s">
        <v>29</v>
      </c>
      <c r="M51">
        <v>3</v>
      </c>
      <c r="N51">
        <v>22</v>
      </c>
      <c r="O51">
        <v>0</v>
      </c>
      <c r="P51">
        <v>3</v>
      </c>
      <c r="Q51" t="s">
        <v>140</v>
      </c>
    </row>
    <row r="52" spans="1:17" x14ac:dyDescent="0.2">
      <c r="A52">
        <f t="shared" si="0"/>
        <v>0</v>
      </c>
      <c r="B52">
        <f t="shared" si="1"/>
        <v>0</v>
      </c>
      <c r="C52">
        <v>51</v>
      </c>
      <c r="D52" t="s">
        <v>31</v>
      </c>
      <c r="E52">
        <v>3</v>
      </c>
      <c r="F52">
        <v>21</v>
      </c>
      <c r="G52">
        <v>1</v>
      </c>
      <c r="H52">
        <v>3</v>
      </c>
      <c r="I52">
        <v>7</v>
      </c>
      <c r="K52">
        <v>51</v>
      </c>
      <c r="L52" t="s">
        <v>31</v>
      </c>
      <c r="M52">
        <v>3</v>
      </c>
      <c r="N52">
        <v>21</v>
      </c>
      <c r="O52">
        <v>1</v>
      </c>
      <c r="P52">
        <v>3</v>
      </c>
      <c r="Q52">
        <v>7</v>
      </c>
    </row>
    <row r="53" spans="1:17" x14ac:dyDescent="0.2">
      <c r="A53">
        <f t="shared" si="0"/>
        <v>0</v>
      </c>
      <c r="B53">
        <f t="shared" si="1"/>
        <v>0</v>
      </c>
      <c r="C53">
        <v>52</v>
      </c>
      <c r="D53" t="s">
        <v>94</v>
      </c>
      <c r="E53">
        <v>1</v>
      </c>
      <c r="F53">
        <v>17</v>
      </c>
      <c r="G53">
        <v>1</v>
      </c>
      <c r="H53">
        <v>4</v>
      </c>
      <c r="I53">
        <v>17</v>
      </c>
      <c r="K53">
        <v>52</v>
      </c>
      <c r="L53" t="s">
        <v>94</v>
      </c>
      <c r="M53">
        <v>1</v>
      </c>
      <c r="N53">
        <v>17</v>
      </c>
      <c r="O53">
        <v>1</v>
      </c>
      <c r="P53">
        <v>4</v>
      </c>
      <c r="Q53">
        <v>17</v>
      </c>
    </row>
    <row r="54" spans="1:17" x14ac:dyDescent="0.2">
      <c r="A54">
        <f t="shared" si="0"/>
        <v>0</v>
      </c>
      <c r="B54">
        <f t="shared" si="1"/>
        <v>0</v>
      </c>
      <c r="C54">
        <v>53</v>
      </c>
      <c r="D54" t="s">
        <v>103</v>
      </c>
      <c r="E54">
        <v>3</v>
      </c>
      <c r="F54">
        <v>17</v>
      </c>
      <c r="G54">
        <v>0</v>
      </c>
      <c r="H54">
        <v>1</v>
      </c>
      <c r="I54">
        <v>5.6666666666666599</v>
      </c>
      <c r="K54">
        <v>53</v>
      </c>
      <c r="L54" t="s">
        <v>103</v>
      </c>
      <c r="M54">
        <v>3</v>
      </c>
      <c r="N54">
        <v>17</v>
      </c>
      <c r="O54">
        <v>0</v>
      </c>
      <c r="P54">
        <v>1</v>
      </c>
      <c r="Q54" t="s">
        <v>400</v>
      </c>
    </row>
    <row r="55" spans="1:17" x14ac:dyDescent="0.2">
      <c r="A55">
        <f t="shared" si="0"/>
        <v>0</v>
      </c>
      <c r="B55">
        <f t="shared" si="1"/>
        <v>0</v>
      </c>
      <c r="C55">
        <v>54</v>
      </c>
      <c r="D55" t="s">
        <v>369</v>
      </c>
      <c r="E55">
        <v>1</v>
      </c>
      <c r="F55">
        <v>16</v>
      </c>
      <c r="G55">
        <v>1</v>
      </c>
      <c r="H55">
        <v>5</v>
      </c>
      <c r="I55">
        <v>16</v>
      </c>
      <c r="J55" t="s">
        <v>317</v>
      </c>
      <c r="K55">
        <v>54</v>
      </c>
      <c r="L55" t="s">
        <v>369</v>
      </c>
      <c r="M55">
        <v>1</v>
      </c>
      <c r="N55">
        <v>16</v>
      </c>
      <c r="O55">
        <v>1</v>
      </c>
      <c r="P55">
        <v>5</v>
      </c>
      <c r="Q55">
        <v>16</v>
      </c>
    </row>
    <row r="56" spans="1:17" x14ac:dyDescent="0.2">
      <c r="A56">
        <f t="shared" si="0"/>
        <v>0</v>
      </c>
      <c r="B56">
        <f t="shared" si="1"/>
        <v>0</v>
      </c>
      <c r="C56">
        <v>55</v>
      </c>
      <c r="D56" t="s">
        <v>88</v>
      </c>
      <c r="E56">
        <v>3</v>
      </c>
      <c r="F56">
        <v>16</v>
      </c>
      <c r="G56">
        <v>0</v>
      </c>
      <c r="H56">
        <v>1</v>
      </c>
      <c r="I56">
        <v>5.3333333333333304</v>
      </c>
      <c r="K56">
        <v>55</v>
      </c>
      <c r="L56" t="s">
        <v>88</v>
      </c>
      <c r="M56">
        <v>3</v>
      </c>
      <c r="N56">
        <v>16</v>
      </c>
      <c r="O56">
        <v>0</v>
      </c>
      <c r="P56">
        <v>1</v>
      </c>
      <c r="Q56" t="s">
        <v>160</v>
      </c>
    </row>
    <row r="57" spans="1:17" x14ac:dyDescent="0.2">
      <c r="A57">
        <f t="shared" si="0"/>
        <v>0</v>
      </c>
      <c r="B57">
        <f t="shared" si="1"/>
        <v>0</v>
      </c>
      <c r="C57">
        <v>56</v>
      </c>
      <c r="D57" t="s">
        <v>368</v>
      </c>
      <c r="E57">
        <v>3</v>
      </c>
      <c r="F57">
        <v>13</v>
      </c>
      <c r="G57">
        <v>0</v>
      </c>
      <c r="H57">
        <v>1</v>
      </c>
      <c r="I57">
        <v>4.3333333333333304</v>
      </c>
      <c r="K57">
        <v>56</v>
      </c>
      <c r="L57" t="s">
        <v>368</v>
      </c>
      <c r="M57">
        <v>3</v>
      </c>
      <c r="N57">
        <v>13</v>
      </c>
      <c r="O57">
        <v>0</v>
      </c>
      <c r="P57">
        <v>1</v>
      </c>
      <c r="Q57" t="s">
        <v>409</v>
      </c>
    </row>
    <row r="58" spans="1:17" x14ac:dyDescent="0.2">
      <c r="A58">
        <f t="shared" si="0"/>
        <v>0</v>
      </c>
      <c r="B58">
        <f t="shared" si="1"/>
        <v>0</v>
      </c>
      <c r="C58">
        <v>57</v>
      </c>
      <c r="D58" t="s">
        <v>27</v>
      </c>
      <c r="E58">
        <v>1</v>
      </c>
      <c r="F58">
        <v>12</v>
      </c>
      <c r="G58">
        <v>0</v>
      </c>
      <c r="H58">
        <v>1</v>
      </c>
      <c r="I58">
        <v>12</v>
      </c>
      <c r="K58">
        <v>57</v>
      </c>
      <c r="L58" t="s">
        <v>27</v>
      </c>
      <c r="M58">
        <v>1</v>
      </c>
      <c r="N58">
        <v>12</v>
      </c>
      <c r="O58">
        <v>0</v>
      </c>
      <c r="P58">
        <v>1</v>
      </c>
      <c r="Q58">
        <v>12</v>
      </c>
    </row>
    <row r="59" spans="1:17" x14ac:dyDescent="0.2">
      <c r="A59">
        <f t="shared" si="0"/>
        <v>0</v>
      </c>
      <c r="B59">
        <f t="shared" si="1"/>
        <v>0</v>
      </c>
      <c r="C59">
        <v>58</v>
      </c>
      <c r="D59" t="s">
        <v>371</v>
      </c>
      <c r="E59">
        <v>1</v>
      </c>
      <c r="F59">
        <v>8</v>
      </c>
      <c r="G59">
        <v>0</v>
      </c>
      <c r="H59">
        <v>1</v>
      </c>
      <c r="I59">
        <v>8</v>
      </c>
      <c r="K59">
        <v>58</v>
      </c>
      <c r="L59" t="s">
        <v>371</v>
      </c>
      <c r="M59">
        <v>1</v>
      </c>
      <c r="N59">
        <v>8</v>
      </c>
      <c r="O59">
        <v>0</v>
      </c>
      <c r="P59">
        <v>1</v>
      </c>
      <c r="Q59">
        <v>8</v>
      </c>
    </row>
    <row r="60" spans="1:17" x14ac:dyDescent="0.2">
      <c r="A60">
        <f t="shared" si="0"/>
        <v>0</v>
      </c>
      <c r="B60">
        <f t="shared" si="1"/>
        <v>0</v>
      </c>
      <c r="C60">
        <v>59</v>
      </c>
      <c r="D60" t="s">
        <v>96</v>
      </c>
      <c r="E60">
        <v>1</v>
      </c>
      <c r="F60">
        <v>7</v>
      </c>
      <c r="G60">
        <v>0</v>
      </c>
      <c r="H60">
        <v>0</v>
      </c>
      <c r="I60">
        <v>7</v>
      </c>
      <c r="K60">
        <v>59</v>
      </c>
      <c r="L60" t="s">
        <v>96</v>
      </c>
      <c r="M60">
        <v>1</v>
      </c>
      <c r="N60">
        <v>7</v>
      </c>
      <c r="O60">
        <v>0</v>
      </c>
      <c r="P60">
        <v>0</v>
      </c>
      <c r="Q60">
        <v>7</v>
      </c>
    </row>
    <row r="61" spans="1:17" x14ac:dyDescent="0.2">
      <c r="A61">
        <f t="shared" si="0"/>
        <v>0</v>
      </c>
      <c r="B61">
        <f t="shared" si="1"/>
        <v>0</v>
      </c>
      <c r="C61">
        <v>60</v>
      </c>
      <c r="D61" t="s">
        <v>81</v>
      </c>
      <c r="E61">
        <v>2</v>
      </c>
      <c r="F61">
        <v>5</v>
      </c>
      <c r="G61">
        <v>0</v>
      </c>
      <c r="H61">
        <v>0</v>
      </c>
      <c r="I61">
        <v>2.5</v>
      </c>
      <c r="J61" t="s">
        <v>327</v>
      </c>
      <c r="K61">
        <v>60</v>
      </c>
      <c r="L61" t="s">
        <v>81</v>
      </c>
      <c r="M61">
        <v>2</v>
      </c>
      <c r="N61">
        <v>5</v>
      </c>
      <c r="O61">
        <v>0</v>
      </c>
      <c r="P61">
        <v>0</v>
      </c>
      <c r="Q61" t="s">
        <v>444</v>
      </c>
    </row>
    <row r="62" spans="1:17" x14ac:dyDescent="0.2">
      <c r="A62">
        <f t="shared" si="0"/>
        <v>0</v>
      </c>
      <c r="B62">
        <f t="shared" si="1"/>
        <v>0</v>
      </c>
      <c r="C62">
        <v>61</v>
      </c>
      <c r="D62" t="s">
        <v>22</v>
      </c>
      <c r="E62">
        <v>2</v>
      </c>
      <c r="F62">
        <v>2</v>
      </c>
      <c r="G62">
        <v>0</v>
      </c>
      <c r="H62">
        <v>0</v>
      </c>
      <c r="I62">
        <v>1</v>
      </c>
      <c r="K62">
        <v>61</v>
      </c>
      <c r="L62" t="s">
        <v>22</v>
      </c>
      <c r="M62">
        <v>2</v>
      </c>
      <c r="N62">
        <v>2</v>
      </c>
      <c r="O62">
        <v>0</v>
      </c>
      <c r="P62">
        <v>0</v>
      </c>
      <c r="Q62">
        <v>1</v>
      </c>
    </row>
    <row r="63" spans="1:17" x14ac:dyDescent="0.2">
      <c r="A63">
        <f t="shared" si="0"/>
        <v>0</v>
      </c>
      <c r="B63">
        <f t="shared" si="1"/>
        <v>0</v>
      </c>
      <c r="C63">
        <v>62</v>
      </c>
      <c r="D63" t="s">
        <v>38</v>
      </c>
      <c r="E63">
        <v>1</v>
      </c>
      <c r="F63">
        <v>1</v>
      </c>
      <c r="G63">
        <v>0</v>
      </c>
      <c r="H63">
        <v>0</v>
      </c>
      <c r="I63">
        <v>1</v>
      </c>
      <c r="K63">
        <v>62</v>
      </c>
      <c r="L63" t="s">
        <v>38</v>
      </c>
      <c r="M63">
        <v>1</v>
      </c>
      <c r="N63">
        <v>1</v>
      </c>
      <c r="O63">
        <v>0</v>
      </c>
      <c r="P63">
        <v>0</v>
      </c>
      <c r="Q63">
        <v>1</v>
      </c>
    </row>
    <row r="64" spans="1:17" x14ac:dyDescent="0.2">
      <c r="B64">
        <f t="shared" si="1"/>
        <v>0</v>
      </c>
      <c r="C64">
        <v>63</v>
      </c>
      <c r="D64" t="s">
        <v>370</v>
      </c>
      <c r="E64">
        <v>1</v>
      </c>
      <c r="F64">
        <v>1</v>
      </c>
      <c r="G64">
        <v>0</v>
      </c>
      <c r="H64">
        <v>0</v>
      </c>
      <c r="I64">
        <v>1</v>
      </c>
      <c r="K64">
        <v>63</v>
      </c>
      <c r="L64" t="s">
        <v>370</v>
      </c>
      <c r="M64">
        <v>1</v>
      </c>
      <c r="N64">
        <v>1</v>
      </c>
      <c r="O64">
        <v>0</v>
      </c>
      <c r="P64">
        <v>0</v>
      </c>
      <c r="Q64">
        <v>1</v>
      </c>
    </row>
    <row r="65" spans="2:17" x14ac:dyDescent="0.2">
      <c r="B65">
        <f t="shared" si="1"/>
        <v>0</v>
      </c>
      <c r="C65">
        <v>64</v>
      </c>
      <c r="I65"/>
      <c r="K65">
        <v>64</v>
      </c>
      <c r="L65" t="s">
        <v>161</v>
      </c>
      <c r="M65">
        <v>0</v>
      </c>
      <c r="N65">
        <v>0</v>
      </c>
      <c r="O65">
        <v>0</v>
      </c>
      <c r="P65">
        <v>0</v>
      </c>
      <c r="Q65">
        <v>0</v>
      </c>
    </row>
    <row r="66" spans="2:17" x14ac:dyDescent="0.2">
      <c r="B66">
        <f t="shared" si="1"/>
        <v>0</v>
      </c>
      <c r="C66">
        <v>65</v>
      </c>
      <c r="D66" t="s">
        <v>93</v>
      </c>
      <c r="E66">
        <v>0</v>
      </c>
      <c r="F66">
        <v>0</v>
      </c>
      <c r="G66">
        <v>0</v>
      </c>
      <c r="H66">
        <v>0</v>
      </c>
      <c r="I66">
        <v>0</v>
      </c>
      <c r="K66">
        <v>65</v>
      </c>
      <c r="L66" t="s">
        <v>93</v>
      </c>
      <c r="M66">
        <v>0</v>
      </c>
      <c r="N66">
        <v>0</v>
      </c>
      <c r="O66">
        <v>0</v>
      </c>
      <c r="P66">
        <v>0</v>
      </c>
      <c r="Q66">
        <v>0</v>
      </c>
    </row>
    <row r="67" spans="2:17" x14ac:dyDescent="0.2">
      <c r="B67">
        <f t="shared" ref="B67:B93" si="2">F67-N67</f>
        <v>0</v>
      </c>
      <c r="C67">
        <v>66</v>
      </c>
      <c r="D67" t="s">
        <v>162</v>
      </c>
      <c r="E67">
        <v>0</v>
      </c>
      <c r="F67">
        <v>0</v>
      </c>
      <c r="G67">
        <v>0</v>
      </c>
      <c r="H67">
        <v>0</v>
      </c>
      <c r="I67">
        <v>0</v>
      </c>
      <c r="K67">
        <v>66</v>
      </c>
      <c r="L67" t="s">
        <v>162</v>
      </c>
      <c r="M67">
        <v>0</v>
      </c>
      <c r="N67">
        <v>0</v>
      </c>
      <c r="O67">
        <v>0</v>
      </c>
      <c r="P67">
        <v>0</v>
      </c>
      <c r="Q67">
        <v>0</v>
      </c>
    </row>
    <row r="68" spans="2:17" x14ac:dyDescent="0.2">
      <c r="B68">
        <f t="shared" si="2"/>
        <v>0</v>
      </c>
      <c r="C68">
        <v>67</v>
      </c>
      <c r="D68" t="s">
        <v>67</v>
      </c>
      <c r="E68">
        <v>0</v>
      </c>
      <c r="F68">
        <v>0</v>
      </c>
      <c r="G68">
        <v>0</v>
      </c>
      <c r="H68">
        <v>0</v>
      </c>
      <c r="I68">
        <v>0</v>
      </c>
      <c r="K68">
        <v>67</v>
      </c>
      <c r="L68" t="s">
        <v>67</v>
      </c>
      <c r="M68">
        <v>0</v>
      </c>
      <c r="N68">
        <v>0</v>
      </c>
      <c r="O68">
        <v>0</v>
      </c>
      <c r="P68">
        <v>0</v>
      </c>
      <c r="Q68">
        <v>0</v>
      </c>
    </row>
    <row r="69" spans="2:17" x14ac:dyDescent="0.2">
      <c r="B69">
        <f t="shared" si="2"/>
        <v>0</v>
      </c>
      <c r="C69">
        <v>68</v>
      </c>
      <c r="D69" t="s">
        <v>163</v>
      </c>
      <c r="E69">
        <v>0</v>
      </c>
      <c r="F69">
        <v>0</v>
      </c>
      <c r="G69">
        <v>0</v>
      </c>
      <c r="H69">
        <v>0</v>
      </c>
      <c r="I69">
        <v>0</v>
      </c>
      <c r="K69">
        <v>68</v>
      </c>
      <c r="L69" t="s">
        <v>163</v>
      </c>
      <c r="M69">
        <v>0</v>
      </c>
      <c r="N69">
        <v>0</v>
      </c>
      <c r="O69">
        <v>0</v>
      </c>
      <c r="P69">
        <v>0</v>
      </c>
      <c r="Q69">
        <v>0</v>
      </c>
    </row>
    <row r="70" spans="2:17" x14ac:dyDescent="0.2">
      <c r="B70">
        <f t="shared" si="2"/>
        <v>0</v>
      </c>
      <c r="C70">
        <v>69</v>
      </c>
      <c r="D70" t="s">
        <v>164</v>
      </c>
      <c r="E70">
        <v>0</v>
      </c>
      <c r="F70">
        <v>0</v>
      </c>
      <c r="G70">
        <v>0</v>
      </c>
      <c r="H70">
        <v>0</v>
      </c>
      <c r="I70">
        <v>0</v>
      </c>
      <c r="K70">
        <v>69</v>
      </c>
      <c r="L70" t="s">
        <v>164</v>
      </c>
      <c r="M70">
        <v>0</v>
      </c>
      <c r="N70">
        <v>0</v>
      </c>
      <c r="O70">
        <v>0</v>
      </c>
      <c r="P70">
        <v>0</v>
      </c>
      <c r="Q70">
        <v>0</v>
      </c>
    </row>
    <row r="71" spans="2:17" x14ac:dyDescent="0.2">
      <c r="B71">
        <f t="shared" si="2"/>
        <v>0</v>
      </c>
    </row>
    <row r="72" spans="2:17" x14ac:dyDescent="0.2">
      <c r="B72">
        <f t="shared" si="2"/>
        <v>0</v>
      </c>
    </row>
    <row r="73" spans="2:17" x14ac:dyDescent="0.2">
      <c r="B73">
        <f t="shared" si="2"/>
        <v>0</v>
      </c>
    </row>
    <row r="74" spans="2:17" x14ac:dyDescent="0.2">
      <c r="B74">
        <f t="shared" si="2"/>
        <v>0</v>
      </c>
    </row>
    <row r="75" spans="2:17" x14ac:dyDescent="0.2">
      <c r="B75">
        <f t="shared" si="2"/>
        <v>0</v>
      </c>
    </row>
    <row r="76" spans="2:17" x14ac:dyDescent="0.2">
      <c r="B76">
        <f t="shared" si="2"/>
        <v>0</v>
      </c>
    </row>
    <row r="77" spans="2:17" x14ac:dyDescent="0.2">
      <c r="B77">
        <f t="shared" si="2"/>
        <v>0</v>
      </c>
    </row>
    <row r="78" spans="2:17" x14ac:dyDescent="0.2">
      <c r="B78">
        <f t="shared" si="2"/>
        <v>0</v>
      </c>
    </row>
    <row r="79" spans="2:17" x14ac:dyDescent="0.2">
      <c r="B79">
        <f t="shared" si="2"/>
        <v>0</v>
      </c>
    </row>
    <row r="80" spans="2:17" x14ac:dyDescent="0.2">
      <c r="B80">
        <f t="shared" si="2"/>
        <v>0</v>
      </c>
    </row>
    <row r="81" spans="2:2" x14ac:dyDescent="0.2">
      <c r="B81">
        <f t="shared" si="2"/>
        <v>0</v>
      </c>
    </row>
    <row r="82" spans="2:2" x14ac:dyDescent="0.2">
      <c r="B82">
        <f t="shared" si="2"/>
        <v>0</v>
      </c>
    </row>
    <row r="83" spans="2:2" x14ac:dyDescent="0.2">
      <c r="B83">
        <f t="shared" si="2"/>
        <v>0</v>
      </c>
    </row>
    <row r="84" spans="2:2" x14ac:dyDescent="0.2">
      <c r="B84">
        <f t="shared" si="2"/>
        <v>0</v>
      </c>
    </row>
    <row r="85" spans="2:2" x14ac:dyDescent="0.2">
      <c r="B85">
        <f t="shared" si="2"/>
        <v>0</v>
      </c>
    </row>
    <row r="86" spans="2:2" x14ac:dyDescent="0.2">
      <c r="B86">
        <f t="shared" si="2"/>
        <v>0</v>
      </c>
    </row>
    <row r="87" spans="2:2" x14ac:dyDescent="0.2">
      <c r="B87">
        <f t="shared" si="2"/>
        <v>0</v>
      </c>
    </row>
    <row r="88" spans="2:2" x14ac:dyDescent="0.2">
      <c r="B88">
        <f t="shared" si="2"/>
        <v>0</v>
      </c>
    </row>
    <row r="89" spans="2:2" x14ac:dyDescent="0.2">
      <c r="B89">
        <f t="shared" si="2"/>
        <v>0</v>
      </c>
    </row>
    <row r="90" spans="2:2" x14ac:dyDescent="0.2">
      <c r="B90">
        <f t="shared" si="2"/>
        <v>0</v>
      </c>
    </row>
    <row r="91" spans="2:2" x14ac:dyDescent="0.2">
      <c r="B91">
        <f t="shared" si="2"/>
        <v>0</v>
      </c>
    </row>
    <row r="92" spans="2:2" x14ac:dyDescent="0.2">
      <c r="B92">
        <f t="shared" si="2"/>
        <v>0</v>
      </c>
    </row>
    <row r="93" spans="2:2" x14ac:dyDescent="0.2">
      <c r="B93">
        <f t="shared" si="2"/>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19A31-4F3B-A746-B715-58556931D278}">
  <sheetPr codeName="Sheet18"/>
  <dimension ref="A1:G3061"/>
  <sheetViews>
    <sheetView topLeftCell="A2664" zoomScaleNormal="100" workbookViewId="0">
      <selection activeCell="C2686" sqref="C2686"/>
    </sheetView>
  </sheetViews>
  <sheetFormatPr baseColWidth="10" defaultRowHeight="16" x14ac:dyDescent="0.2"/>
  <cols>
    <col min="5" max="5" width="10.83203125" style="3"/>
  </cols>
  <sheetData>
    <row r="1" spans="1:5" x14ac:dyDescent="0.2">
      <c r="A1" s="1" t="s">
        <v>0</v>
      </c>
      <c r="E1" s="5" t="s">
        <v>306</v>
      </c>
    </row>
    <row r="2" spans="1:5" x14ac:dyDescent="0.2">
      <c r="A2" s="1" t="s">
        <v>1</v>
      </c>
      <c r="B2" s="1" t="s">
        <v>2</v>
      </c>
      <c r="C2" s="1" t="s">
        <v>3</v>
      </c>
      <c r="D2" s="1" t="s">
        <v>4</v>
      </c>
      <c r="E2" s="4">
        <v>1</v>
      </c>
    </row>
    <row r="3" spans="1:5" x14ac:dyDescent="0.2">
      <c r="A3">
        <v>0</v>
      </c>
      <c r="C3">
        <v>0</v>
      </c>
      <c r="D3">
        <v>0</v>
      </c>
      <c r="E3" s="3">
        <f>IF(A3=$A$1,E2+1,E2)</f>
        <v>1</v>
      </c>
    </row>
    <row r="4" spans="1:5" x14ac:dyDescent="0.2">
      <c r="A4">
        <v>1</v>
      </c>
      <c r="B4" t="s">
        <v>503</v>
      </c>
      <c r="C4">
        <v>5</v>
      </c>
      <c r="D4">
        <v>17</v>
      </c>
      <c r="E4" s="3">
        <f t="shared" ref="E4:E67" si="0">IF(A4=$A$1,E3+1,E3)</f>
        <v>1</v>
      </c>
    </row>
    <row r="5" spans="1:5" x14ac:dyDescent="0.2">
      <c r="A5">
        <v>2</v>
      </c>
      <c r="B5" t="s">
        <v>6</v>
      </c>
      <c r="C5">
        <v>1</v>
      </c>
      <c r="D5">
        <v>13</v>
      </c>
      <c r="E5" s="3">
        <f t="shared" si="0"/>
        <v>1</v>
      </c>
    </row>
    <row r="6" spans="1:5" x14ac:dyDescent="0.2">
      <c r="A6">
        <v>3</v>
      </c>
      <c r="B6" t="s">
        <v>5</v>
      </c>
      <c r="C6">
        <v>0</v>
      </c>
      <c r="D6">
        <v>9</v>
      </c>
      <c r="E6" s="3">
        <f t="shared" si="0"/>
        <v>1</v>
      </c>
    </row>
    <row r="7" spans="1:5" x14ac:dyDescent="0.2">
      <c r="A7">
        <v>4</v>
      </c>
      <c r="B7" t="s">
        <v>510</v>
      </c>
      <c r="C7">
        <v>0</v>
      </c>
      <c r="D7">
        <v>5</v>
      </c>
      <c r="E7" s="3">
        <f t="shared" si="0"/>
        <v>1</v>
      </c>
    </row>
    <row r="8" spans="1:5" x14ac:dyDescent="0.2">
      <c r="A8">
        <v>5</v>
      </c>
      <c r="B8" t="s">
        <v>511</v>
      </c>
      <c r="C8">
        <v>0</v>
      </c>
      <c r="D8">
        <v>3</v>
      </c>
      <c r="E8" s="3">
        <f t="shared" si="0"/>
        <v>1</v>
      </c>
    </row>
    <row r="9" spans="1:5" x14ac:dyDescent="0.2">
      <c r="A9">
        <v>6</v>
      </c>
      <c r="B9" t="s">
        <v>33</v>
      </c>
      <c r="C9">
        <v>0</v>
      </c>
      <c r="D9">
        <v>2</v>
      </c>
      <c r="E9" s="3">
        <f t="shared" si="0"/>
        <v>1</v>
      </c>
    </row>
    <row r="10" spans="1:5" x14ac:dyDescent="0.2">
      <c r="A10">
        <v>7</v>
      </c>
      <c r="B10" t="s">
        <v>493</v>
      </c>
      <c r="C10">
        <v>0</v>
      </c>
      <c r="D10">
        <v>1</v>
      </c>
      <c r="E10" s="3">
        <f t="shared" si="0"/>
        <v>1</v>
      </c>
    </row>
    <row r="11" spans="1:5" x14ac:dyDescent="0.2">
      <c r="A11">
        <v>9</v>
      </c>
      <c r="B11" s="2" t="s">
        <v>10</v>
      </c>
      <c r="C11" s="2" t="s">
        <v>10</v>
      </c>
      <c r="D11" s="2" t="s">
        <v>10</v>
      </c>
      <c r="E11" s="3">
        <f t="shared" si="0"/>
        <v>1</v>
      </c>
    </row>
    <row r="12" spans="1:5" x14ac:dyDescent="0.2">
      <c r="A12" s="1" t="s">
        <v>11</v>
      </c>
      <c r="E12" s="3">
        <f t="shared" si="0"/>
        <v>1</v>
      </c>
    </row>
    <row r="13" spans="1:5" x14ac:dyDescent="0.2">
      <c r="A13" s="1" t="s">
        <v>1</v>
      </c>
      <c r="B13" s="1" t="s">
        <v>2</v>
      </c>
      <c r="C13" s="1" t="s">
        <v>3</v>
      </c>
      <c r="D13" s="1" t="s">
        <v>4</v>
      </c>
      <c r="E13" s="3">
        <f t="shared" si="0"/>
        <v>1</v>
      </c>
    </row>
    <row r="14" spans="1:5" x14ac:dyDescent="0.2">
      <c r="A14">
        <v>1</v>
      </c>
      <c r="B14" t="s">
        <v>75</v>
      </c>
      <c r="C14">
        <v>1</v>
      </c>
      <c r="D14">
        <v>16</v>
      </c>
      <c r="E14" s="3">
        <f t="shared" si="0"/>
        <v>1</v>
      </c>
    </row>
    <row r="15" spans="1:5" x14ac:dyDescent="0.2">
      <c r="A15">
        <v>2</v>
      </c>
      <c r="B15" t="s">
        <v>451</v>
      </c>
      <c r="C15">
        <v>4</v>
      </c>
      <c r="D15">
        <v>12</v>
      </c>
      <c r="E15" s="3">
        <f t="shared" si="0"/>
        <v>1</v>
      </c>
    </row>
    <row r="16" spans="1:5" x14ac:dyDescent="0.2">
      <c r="A16">
        <v>3</v>
      </c>
      <c r="B16" t="s">
        <v>512</v>
      </c>
      <c r="C16">
        <v>0</v>
      </c>
      <c r="D16">
        <v>8</v>
      </c>
      <c r="E16" s="3">
        <f t="shared" si="0"/>
        <v>1</v>
      </c>
    </row>
    <row r="17" spans="1:5" x14ac:dyDescent="0.2">
      <c r="A17">
        <v>4</v>
      </c>
      <c r="B17" t="s">
        <v>25</v>
      </c>
      <c r="C17">
        <v>0</v>
      </c>
      <c r="D17">
        <v>4</v>
      </c>
      <c r="E17" s="3">
        <f t="shared" si="0"/>
        <v>1</v>
      </c>
    </row>
    <row r="18" spans="1:5" x14ac:dyDescent="0.2">
      <c r="A18">
        <v>5</v>
      </c>
      <c r="B18" t="s">
        <v>345</v>
      </c>
      <c r="C18">
        <v>0</v>
      </c>
      <c r="D18">
        <v>2</v>
      </c>
      <c r="E18" s="3">
        <f t="shared" si="0"/>
        <v>1</v>
      </c>
    </row>
    <row r="19" spans="1:5" x14ac:dyDescent="0.2">
      <c r="A19">
        <v>6</v>
      </c>
      <c r="B19" t="s">
        <v>513</v>
      </c>
      <c r="C19">
        <v>0</v>
      </c>
      <c r="D19">
        <v>1</v>
      </c>
      <c r="E19" s="3">
        <f t="shared" si="0"/>
        <v>1</v>
      </c>
    </row>
    <row r="20" spans="1:5" x14ac:dyDescent="0.2">
      <c r="A20">
        <v>7</v>
      </c>
      <c r="B20" s="2" t="s">
        <v>10</v>
      </c>
      <c r="C20" s="2" t="s">
        <v>10</v>
      </c>
      <c r="D20" s="2" t="s">
        <v>10</v>
      </c>
      <c r="E20" s="3">
        <f t="shared" si="0"/>
        <v>1</v>
      </c>
    </row>
    <row r="21" spans="1:5" x14ac:dyDescent="0.2">
      <c r="A21">
        <v>8</v>
      </c>
      <c r="B21" s="2" t="s">
        <v>10</v>
      </c>
      <c r="C21" s="2" t="s">
        <v>10</v>
      </c>
      <c r="D21" s="2" t="s">
        <v>10</v>
      </c>
      <c r="E21" s="3">
        <f t="shared" si="0"/>
        <v>1</v>
      </c>
    </row>
    <row r="22" spans="1:5" x14ac:dyDescent="0.2">
      <c r="A22" s="1" t="s">
        <v>17</v>
      </c>
      <c r="E22" s="3">
        <f t="shared" si="0"/>
        <v>1</v>
      </c>
    </row>
    <row r="23" spans="1:5" x14ac:dyDescent="0.2">
      <c r="A23" s="1" t="s">
        <v>1</v>
      </c>
      <c r="B23" s="1" t="s">
        <v>2</v>
      </c>
      <c r="C23" s="1" t="s">
        <v>3</v>
      </c>
      <c r="D23" s="1" t="s">
        <v>4</v>
      </c>
      <c r="E23" s="3">
        <f t="shared" si="0"/>
        <v>1</v>
      </c>
    </row>
    <row r="24" spans="1:5" x14ac:dyDescent="0.2">
      <c r="A24">
        <v>1</v>
      </c>
      <c r="B24" t="s">
        <v>65</v>
      </c>
      <c r="C24">
        <v>1</v>
      </c>
      <c r="D24">
        <v>16</v>
      </c>
      <c r="E24" s="3">
        <f t="shared" si="0"/>
        <v>1</v>
      </c>
    </row>
    <row r="25" spans="1:5" x14ac:dyDescent="0.2">
      <c r="A25">
        <v>2</v>
      </c>
      <c r="B25" t="s">
        <v>490</v>
      </c>
      <c r="C25">
        <v>2</v>
      </c>
      <c r="D25">
        <v>12</v>
      </c>
      <c r="E25" s="3">
        <f t="shared" si="0"/>
        <v>1</v>
      </c>
    </row>
    <row r="26" spans="1:5" x14ac:dyDescent="0.2">
      <c r="A26">
        <v>3</v>
      </c>
      <c r="B26" t="s">
        <v>9</v>
      </c>
      <c r="C26">
        <v>2</v>
      </c>
      <c r="D26">
        <v>8</v>
      </c>
      <c r="E26" s="3">
        <f t="shared" si="0"/>
        <v>1</v>
      </c>
    </row>
    <row r="27" spans="1:5" x14ac:dyDescent="0.2">
      <c r="A27">
        <v>4</v>
      </c>
      <c r="B27" t="s">
        <v>21</v>
      </c>
      <c r="C27">
        <v>0</v>
      </c>
      <c r="D27">
        <v>4</v>
      </c>
      <c r="E27" s="3">
        <f t="shared" si="0"/>
        <v>1</v>
      </c>
    </row>
    <row r="28" spans="1:5" x14ac:dyDescent="0.2">
      <c r="A28">
        <v>5</v>
      </c>
      <c r="B28" t="s">
        <v>514</v>
      </c>
      <c r="C28">
        <v>0</v>
      </c>
      <c r="D28">
        <v>2</v>
      </c>
      <c r="E28" s="3">
        <f t="shared" si="0"/>
        <v>1</v>
      </c>
    </row>
    <row r="29" spans="1:5" x14ac:dyDescent="0.2">
      <c r="A29">
        <v>6</v>
      </c>
      <c r="B29" t="s">
        <v>87</v>
      </c>
      <c r="C29">
        <v>0</v>
      </c>
      <c r="D29">
        <v>1</v>
      </c>
      <c r="E29" s="3">
        <f t="shared" si="0"/>
        <v>1</v>
      </c>
    </row>
    <row r="30" spans="1:5" x14ac:dyDescent="0.2">
      <c r="A30">
        <v>7</v>
      </c>
      <c r="B30" s="2" t="s">
        <v>10</v>
      </c>
      <c r="C30" s="2" t="s">
        <v>10</v>
      </c>
      <c r="D30" s="2" t="s">
        <v>10</v>
      </c>
      <c r="E30" s="3">
        <f t="shared" si="0"/>
        <v>1</v>
      </c>
    </row>
    <row r="31" spans="1:5" x14ac:dyDescent="0.2">
      <c r="A31">
        <v>8</v>
      </c>
      <c r="B31" s="2" t="s">
        <v>10</v>
      </c>
      <c r="C31" s="2" t="s">
        <v>10</v>
      </c>
      <c r="D31" s="2" t="s">
        <v>10</v>
      </c>
      <c r="E31" s="3">
        <f t="shared" si="0"/>
        <v>1</v>
      </c>
    </row>
    <row r="32" spans="1:5" x14ac:dyDescent="0.2">
      <c r="A32" s="1" t="s">
        <v>30</v>
      </c>
      <c r="E32" s="3">
        <f t="shared" si="0"/>
        <v>1</v>
      </c>
    </row>
    <row r="33" spans="1:5" x14ac:dyDescent="0.2">
      <c r="A33" s="1" t="s">
        <v>1</v>
      </c>
      <c r="B33" s="1" t="s">
        <v>2</v>
      </c>
      <c r="C33" s="1" t="s">
        <v>3</v>
      </c>
      <c r="D33" s="1" t="s">
        <v>4</v>
      </c>
      <c r="E33" s="3">
        <f t="shared" si="0"/>
        <v>1</v>
      </c>
    </row>
    <row r="34" spans="1:5" x14ac:dyDescent="0.2">
      <c r="A34">
        <v>1</v>
      </c>
      <c r="B34" t="s">
        <v>34</v>
      </c>
      <c r="C34">
        <v>1</v>
      </c>
      <c r="D34">
        <v>17</v>
      </c>
      <c r="E34" s="3">
        <f t="shared" si="0"/>
        <v>1</v>
      </c>
    </row>
    <row r="35" spans="1:5" x14ac:dyDescent="0.2">
      <c r="A35">
        <v>2</v>
      </c>
      <c r="B35" t="s">
        <v>506</v>
      </c>
      <c r="C35">
        <v>2</v>
      </c>
      <c r="D35">
        <v>13</v>
      </c>
      <c r="E35" s="3">
        <f t="shared" si="0"/>
        <v>1</v>
      </c>
    </row>
    <row r="36" spans="1:5" x14ac:dyDescent="0.2">
      <c r="A36">
        <v>3</v>
      </c>
      <c r="B36" t="s">
        <v>101</v>
      </c>
      <c r="C36">
        <v>2</v>
      </c>
      <c r="D36">
        <v>9</v>
      </c>
      <c r="E36" s="3">
        <f t="shared" si="0"/>
        <v>1</v>
      </c>
    </row>
    <row r="37" spans="1:5" x14ac:dyDescent="0.2">
      <c r="A37">
        <v>4</v>
      </c>
      <c r="B37" t="s">
        <v>48</v>
      </c>
      <c r="C37">
        <v>0</v>
      </c>
      <c r="D37">
        <v>5</v>
      </c>
      <c r="E37" s="3">
        <f t="shared" si="0"/>
        <v>1</v>
      </c>
    </row>
    <row r="38" spans="1:5" x14ac:dyDescent="0.2">
      <c r="A38">
        <v>5</v>
      </c>
      <c r="B38" t="s">
        <v>515</v>
      </c>
      <c r="C38">
        <v>1</v>
      </c>
      <c r="D38">
        <v>3</v>
      </c>
      <c r="E38" s="3">
        <f t="shared" si="0"/>
        <v>1</v>
      </c>
    </row>
    <row r="39" spans="1:5" x14ac:dyDescent="0.2">
      <c r="A39">
        <v>6</v>
      </c>
      <c r="B39" t="s">
        <v>516</v>
      </c>
      <c r="C39">
        <v>0</v>
      </c>
      <c r="D39">
        <v>2</v>
      </c>
      <c r="E39" s="3">
        <f t="shared" si="0"/>
        <v>1</v>
      </c>
    </row>
    <row r="40" spans="1:5" x14ac:dyDescent="0.2">
      <c r="A40">
        <v>7</v>
      </c>
      <c r="B40" t="s">
        <v>29</v>
      </c>
      <c r="C40">
        <v>0</v>
      </c>
      <c r="D40">
        <v>1</v>
      </c>
      <c r="E40" s="3">
        <f t="shared" si="0"/>
        <v>1</v>
      </c>
    </row>
    <row r="41" spans="1:5" x14ac:dyDescent="0.2">
      <c r="A41">
        <v>8</v>
      </c>
      <c r="B41" s="2" t="s">
        <v>10</v>
      </c>
      <c r="C41" s="2" t="s">
        <v>10</v>
      </c>
      <c r="D41" s="2" t="s">
        <v>10</v>
      </c>
      <c r="E41" s="3">
        <f t="shared" si="0"/>
        <v>1</v>
      </c>
    </row>
    <row r="42" spans="1:5" x14ac:dyDescent="0.2">
      <c r="A42" s="1" t="s">
        <v>24</v>
      </c>
      <c r="E42" s="3">
        <f t="shared" si="0"/>
        <v>1</v>
      </c>
    </row>
    <row r="43" spans="1:5" x14ac:dyDescent="0.2">
      <c r="A43" s="1" t="s">
        <v>1</v>
      </c>
      <c r="B43" s="1" t="s">
        <v>2</v>
      </c>
      <c r="C43" s="1" t="s">
        <v>3</v>
      </c>
      <c r="D43" s="1" t="s">
        <v>4</v>
      </c>
      <c r="E43" s="3">
        <f t="shared" si="0"/>
        <v>1</v>
      </c>
    </row>
    <row r="44" spans="1:5" x14ac:dyDescent="0.2">
      <c r="A44">
        <v>1</v>
      </c>
      <c r="B44" t="s">
        <v>517</v>
      </c>
      <c r="C44">
        <v>3</v>
      </c>
      <c r="D44">
        <v>16</v>
      </c>
      <c r="E44" s="3">
        <f t="shared" si="0"/>
        <v>1</v>
      </c>
    </row>
    <row r="45" spans="1:5" x14ac:dyDescent="0.2">
      <c r="A45">
        <v>2</v>
      </c>
      <c r="B45" t="s">
        <v>55</v>
      </c>
      <c r="C45">
        <v>1</v>
      </c>
      <c r="D45">
        <v>12</v>
      </c>
      <c r="E45" s="3">
        <f t="shared" si="0"/>
        <v>1</v>
      </c>
    </row>
    <row r="46" spans="1:5" x14ac:dyDescent="0.2">
      <c r="A46">
        <v>3</v>
      </c>
      <c r="B46" t="s">
        <v>518</v>
      </c>
      <c r="C46">
        <v>0</v>
      </c>
      <c r="D46">
        <v>8</v>
      </c>
      <c r="E46" s="3">
        <f t="shared" si="0"/>
        <v>1</v>
      </c>
    </row>
    <row r="47" spans="1:5" x14ac:dyDescent="0.2">
      <c r="A47">
        <v>4</v>
      </c>
      <c r="B47" t="s">
        <v>191</v>
      </c>
      <c r="C47">
        <v>1</v>
      </c>
      <c r="D47">
        <v>4</v>
      </c>
      <c r="E47" s="3">
        <f t="shared" si="0"/>
        <v>1</v>
      </c>
    </row>
    <row r="48" spans="1:5" x14ac:dyDescent="0.2">
      <c r="A48">
        <v>5</v>
      </c>
      <c r="B48" t="s">
        <v>179</v>
      </c>
      <c r="C48">
        <v>0</v>
      </c>
      <c r="D48">
        <v>2</v>
      </c>
      <c r="E48" s="3">
        <f t="shared" si="0"/>
        <v>1</v>
      </c>
    </row>
    <row r="49" spans="1:5" x14ac:dyDescent="0.2">
      <c r="A49">
        <v>6</v>
      </c>
      <c r="B49" t="s">
        <v>19</v>
      </c>
      <c r="C49">
        <v>0</v>
      </c>
      <c r="D49">
        <v>1</v>
      </c>
      <c r="E49" s="3">
        <f t="shared" si="0"/>
        <v>1</v>
      </c>
    </row>
    <row r="50" spans="1:5" x14ac:dyDescent="0.2">
      <c r="A50">
        <v>7</v>
      </c>
      <c r="B50" s="2" t="s">
        <v>10</v>
      </c>
      <c r="C50" s="2" t="s">
        <v>10</v>
      </c>
      <c r="D50" s="2" t="s">
        <v>10</v>
      </c>
      <c r="E50" s="3">
        <f t="shared" si="0"/>
        <v>1</v>
      </c>
    </row>
    <row r="51" spans="1:5" x14ac:dyDescent="0.2">
      <c r="A51">
        <v>8</v>
      </c>
      <c r="B51" s="2" t="s">
        <v>10</v>
      </c>
      <c r="C51" s="2" t="s">
        <v>10</v>
      </c>
      <c r="D51" s="2" t="s">
        <v>10</v>
      </c>
      <c r="E51" s="3">
        <f t="shared" si="0"/>
        <v>1</v>
      </c>
    </row>
    <row r="52" spans="1:5" x14ac:dyDescent="0.2">
      <c r="A52" s="1" t="s">
        <v>37</v>
      </c>
      <c r="E52" s="3">
        <f t="shared" si="0"/>
        <v>1</v>
      </c>
    </row>
    <row r="53" spans="1:5" x14ac:dyDescent="0.2">
      <c r="A53" s="1" t="s">
        <v>1</v>
      </c>
      <c r="B53" s="1" t="s">
        <v>2</v>
      </c>
      <c r="C53" s="1" t="s">
        <v>3</v>
      </c>
      <c r="D53" s="1" t="s">
        <v>4</v>
      </c>
      <c r="E53" s="3">
        <f t="shared" si="0"/>
        <v>1</v>
      </c>
    </row>
    <row r="54" spans="1:5" x14ac:dyDescent="0.2">
      <c r="A54">
        <v>0</v>
      </c>
      <c r="C54">
        <v>0</v>
      </c>
      <c r="D54">
        <v>0</v>
      </c>
      <c r="E54" s="3">
        <f t="shared" si="0"/>
        <v>1</v>
      </c>
    </row>
    <row r="55" spans="1:5" x14ac:dyDescent="0.2">
      <c r="A55">
        <v>0</v>
      </c>
      <c r="C55">
        <v>0</v>
      </c>
      <c r="D55">
        <v>0</v>
      </c>
      <c r="E55" s="3">
        <f t="shared" si="0"/>
        <v>1</v>
      </c>
    </row>
    <row r="56" spans="1:5" x14ac:dyDescent="0.2">
      <c r="A56">
        <v>1</v>
      </c>
      <c r="B56" t="s">
        <v>501</v>
      </c>
      <c r="C56">
        <v>2</v>
      </c>
      <c r="D56">
        <v>16</v>
      </c>
      <c r="E56" s="3">
        <f t="shared" si="0"/>
        <v>1</v>
      </c>
    </row>
    <row r="57" spans="1:5" x14ac:dyDescent="0.2">
      <c r="A57">
        <v>2</v>
      </c>
      <c r="B57" t="s">
        <v>519</v>
      </c>
      <c r="C57">
        <v>2</v>
      </c>
      <c r="D57">
        <v>12</v>
      </c>
      <c r="E57" s="3">
        <f t="shared" si="0"/>
        <v>1</v>
      </c>
    </row>
    <row r="58" spans="1:5" x14ac:dyDescent="0.2">
      <c r="A58">
        <v>3</v>
      </c>
      <c r="B58" t="s">
        <v>504</v>
      </c>
      <c r="C58">
        <v>1</v>
      </c>
      <c r="D58">
        <v>8</v>
      </c>
      <c r="E58" s="3">
        <f t="shared" si="0"/>
        <v>1</v>
      </c>
    </row>
    <row r="59" spans="1:5" x14ac:dyDescent="0.2">
      <c r="A59">
        <v>4</v>
      </c>
      <c r="B59" t="s">
        <v>15</v>
      </c>
      <c r="C59">
        <v>0</v>
      </c>
      <c r="D59">
        <v>4</v>
      </c>
      <c r="E59" s="3">
        <f t="shared" si="0"/>
        <v>1</v>
      </c>
    </row>
    <row r="60" spans="1:5" x14ac:dyDescent="0.2">
      <c r="A60">
        <v>5</v>
      </c>
      <c r="B60" t="s">
        <v>507</v>
      </c>
      <c r="C60">
        <v>0</v>
      </c>
      <c r="D60">
        <v>2</v>
      </c>
      <c r="E60" s="3">
        <f t="shared" si="0"/>
        <v>1</v>
      </c>
    </row>
    <row r="61" spans="1:5" x14ac:dyDescent="0.2">
      <c r="A61">
        <v>6</v>
      </c>
      <c r="B61" t="s">
        <v>69</v>
      </c>
      <c r="C61">
        <v>0</v>
      </c>
      <c r="D61">
        <v>1</v>
      </c>
      <c r="E61" s="3">
        <f t="shared" si="0"/>
        <v>1</v>
      </c>
    </row>
    <row r="62" spans="1:5" x14ac:dyDescent="0.2">
      <c r="A62">
        <v>9</v>
      </c>
      <c r="B62" s="2" t="s">
        <v>10</v>
      </c>
      <c r="C62" s="2" t="s">
        <v>10</v>
      </c>
      <c r="D62" s="2" t="s">
        <v>10</v>
      </c>
      <c r="E62" s="3">
        <f t="shared" si="0"/>
        <v>1</v>
      </c>
    </row>
    <row r="63" spans="1:5" x14ac:dyDescent="0.2">
      <c r="A63">
        <v>10</v>
      </c>
      <c r="B63" s="2" t="s">
        <v>10</v>
      </c>
      <c r="C63" s="2" t="s">
        <v>10</v>
      </c>
      <c r="D63" s="2" t="s">
        <v>10</v>
      </c>
      <c r="E63" s="3">
        <f t="shared" si="0"/>
        <v>1</v>
      </c>
    </row>
    <row r="64" spans="1:5" x14ac:dyDescent="0.2">
      <c r="A64" s="1" t="s">
        <v>44</v>
      </c>
      <c r="E64" s="3">
        <f t="shared" si="0"/>
        <v>1</v>
      </c>
    </row>
    <row r="65" spans="1:5" x14ac:dyDescent="0.2">
      <c r="A65" s="1" t="s">
        <v>1</v>
      </c>
      <c r="B65" s="1" t="s">
        <v>2</v>
      </c>
      <c r="C65" s="1" t="s">
        <v>3</v>
      </c>
      <c r="D65" s="1" t="s">
        <v>4</v>
      </c>
      <c r="E65" s="3">
        <f t="shared" si="0"/>
        <v>1</v>
      </c>
    </row>
    <row r="66" spans="1:5" x14ac:dyDescent="0.2">
      <c r="A66">
        <v>1</v>
      </c>
      <c r="B66" t="s">
        <v>35</v>
      </c>
      <c r="C66">
        <v>4</v>
      </c>
      <c r="D66">
        <v>16</v>
      </c>
      <c r="E66" s="3">
        <f t="shared" si="0"/>
        <v>1</v>
      </c>
    </row>
    <row r="67" spans="1:5" x14ac:dyDescent="0.2">
      <c r="A67">
        <v>2</v>
      </c>
      <c r="B67" t="s">
        <v>74</v>
      </c>
      <c r="C67">
        <v>1</v>
      </c>
      <c r="D67">
        <v>12</v>
      </c>
      <c r="E67" s="3">
        <f t="shared" si="0"/>
        <v>1</v>
      </c>
    </row>
    <row r="68" spans="1:5" x14ac:dyDescent="0.2">
      <c r="A68">
        <v>3</v>
      </c>
      <c r="B68" t="s">
        <v>479</v>
      </c>
      <c r="C68">
        <v>0</v>
      </c>
      <c r="D68">
        <v>8</v>
      </c>
      <c r="E68" s="3">
        <f t="shared" ref="E68:E131" si="1">IF(A68=$A$1,E67+1,E67)</f>
        <v>1</v>
      </c>
    </row>
    <row r="69" spans="1:5" x14ac:dyDescent="0.2">
      <c r="A69">
        <v>4</v>
      </c>
      <c r="B69" t="s">
        <v>46</v>
      </c>
      <c r="C69">
        <v>0</v>
      </c>
      <c r="D69">
        <v>4</v>
      </c>
      <c r="E69" s="3">
        <f t="shared" si="1"/>
        <v>1</v>
      </c>
    </row>
    <row r="70" spans="1:5" x14ac:dyDescent="0.2">
      <c r="A70">
        <v>5</v>
      </c>
      <c r="B70" t="s">
        <v>14</v>
      </c>
      <c r="C70">
        <v>0</v>
      </c>
      <c r="D70">
        <v>2</v>
      </c>
      <c r="E70" s="3">
        <f t="shared" si="1"/>
        <v>1</v>
      </c>
    </row>
    <row r="71" spans="1:5" x14ac:dyDescent="0.2">
      <c r="A71">
        <v>6</v>
      </c>
      <c r="B71" t="s">
        <v>66</v>
      </c>
      <c r="C71">
        <v>0</v>
      </c>
      <c r="D71">
        <v>1</v>
      </c>
      <c r="E71" s="3">
        <f t="shared" si="1"/>
        <v>1</v>
      </c>
    </row>
    <row r="72" spans="1:5" x14ac:dyDescent="0.2">
      <c r="A72">
        <v>7</v>
      </c>
      <c r="B72" s="2" t="s">
        <v>10</v>
      </c>
      <c r="C72" s="2" t="s">
        <v>10</v>
      </c>
      <c r="D72" s="2" t="s">
        <v>10</v>
      </c>
      <c r="E72" s="3">
        <f t="shared" si="1"/>
        <v>1</v>
      </c>
    </row>
    <row r="73" spans="1:5" x14ac:dyDescent="0.2">
      <c r="A73">
        <v>8</v>
      </c>
      <c r="B73" s="2" t="s">
        <v>10</v>
      </c>
      <c r="C73" s="2" t="s">
        <v>10</v>
      </c>
      <c r="D73" s="2" t="s">
        <v>10</v>
      </c>
      <c r="E73" s="3">
        <f t="shared" si="1"/>
        <v>1</v>
      </c>
    </row>
    <row r="74" spans="1:5" x14ac:dyDescent="0.2">
      <c r="A74" s="1" t="s">
        <v>51</v>
      </c>
      <c r="E74" s="3">
        <f t="shared" si="1"/>
        <v>1</v>
      </c>
    </row>
    <row r="75" spans="1:5" x14ac:dyDescent="0.2">
      <c r="A75" s="1" t="s">
        <v>1</v>
      </c>
      <c r="B75" s="1" t="s">
        <v>2</v>
      </c>
      <c r="C75" s="1" t="s">
        <v>3</v>
      </c>
      <c r="D75" s="1" t="s">
        <v>4</v>
      </c>
      <c r="E75" s="3">
        <f t="shared" si="1"/>
        <v>1</v>
      </c>
    </row>
    <row r="76" spans="1:5" x14ac:dyDescent="0.2">
      <c r="A76">
        <v>1</v>
      </c>
      <c r="B76" t="s">
        <v>27</v>
      </c>
      <c r="C76">
        <v>2</v>
      </c>
      <c r="D76">
        <v>16</v>
      </c>
      <c r="E76" s="3">
        <f t="shared" si="1"/>
        <v>1</v>
      </c>
    </row>
    <row r="77" spans="1:5" x14ac:dyDescent="0.2">
      <c r="A77">
        <v>2</v>
      </c>
      <c r="B77" t="s">
        <v>59</v>
      </c>
      <c r="C77">
        <v>2</v>
      </c>
      <c r="D77">
        <v>12</v>
      </c>
      <c r="E77" s="3">
        <f t="shared" si="1"/>
        <v>1</v>
      </c>
    </row>
    <row r="78" spans="1:5" x14ac:dyDescent="0.2">
      <c r="A78">
        <v>3</v>
      </c>
      <c r="B78" t="s">
        <v>520</v>
      </c>
      <c r="C78">
        <v>0</v>
      </c>
      <c r="D78">
        <v>8</v>
      </c>
      <c r="E78" s="3">
        <f t="shared" si="1"/>
        <v>1</v>
      </c>
    </row>
    <row r="79" spans="1:5" x14ac:dyDescent="0.2">
      <c r="A79">
        <v>4</v>
      </c>
      <c r="B79" t="s">
        <v>461</v>
      </c>
      <c r="C79">
        <v>1</v>
      </c>
      <c r="D79">
        <v>4</v>
      </c>
      <c r="E79" s="3">
        <f t="shared" si="1"/>
        <v>1</v>
      </c>
    </row>
    <row r="80" spans="1:5" x14ac:dyDescent="0.2">
      <c r="A80">
        <v>5</v>
      </c>
      <c r="B80" t="s">
        <v>509</v>
      </c>
      <c r="C80">
        <v>0</v>
      </c>
      <c r="D80">
        <v>2</v>
      </c>
      <c r="E80" s="3">
        <f t="shared" si="1"/>
        <v>1</v>
      </c>
    </row>
    <row r="81" spans="1:5" x14ac:dyDescent="0.2">
      <c r="A81">
        <v>6</v>
      </c>
      <c r="B81" t="s">
        <v>521</v>
      </c>
      <c r="C81">
        <v>0</v>
      </c>
      <c r="D81">
        <v>1</v>
      </c>
      <c r="E81" s="3">
        <f t="shared" si="1"/>
        <v>1</v>
      </c>
    </row>
    <row r="82" spans="1:5" x14ac:dyDescent="0.2">
      <c r="A82">
        <v>7</v>
      </c>
      <c r="B82" s="2" t="s">
        <v>10</v>
      </c>
      <c r="C82" s="2" t="s">
        <v>10</v>
      </c>
      <c r="D82" s="2" t="s">
        <v>10</v>
      </c>
      <c r="E82" s="3">
        <f t="shared" si="1"/>
        <v>1</v>
      </c>
    </row>
    <row r="83" spans="1:5" x14ac:dyDescent="0.2">
      <c r="A83">
        <v>8</v>
      </c>
      <c r="B83" s="2" t="s">
        <v>10</v>
      </c>
      <c r="C83" s="2" t="s">
        <v>10</v>
      </c>
      <c r="D83" s="2" t="s">
        <v>10</v>
      </c>
      <c r="E83" s="3">
        <f t="shared" si="1"/>
        <v>1</v>
      </c>
    </row>
    <row r="84" spans="1:5" x14ac:dyDescent="0.2">
      <c r="A84" s="1" t="s">
        <v>58</v>
      </c>
      <c r="E84" s="3">
        <f t="shared" si="1"/>
        <v>1</v>
      </c>
    </row>
    <row r="85" spans="1:5" x14ac:dyDescent="0.2">
      <c r="A85" s="1" t="s">
        <v>1</v>
      </c>
      <c r="B85" s="1" t="s">
        <v>2</v>
      </c>
      <c r="C85" s="1" t="s">
        <v>3</v>
      </c>
      <c r="D85" s="1" t="s">
        <v>4</v>
      </c>
      <c r="E85" s="3">
        <f t="shared" si="1"/>
        <v>1</v>
      </c>
    </row>
    <row r="86" spans="1:5" x14ac:dyDescent="0.2">
      <c r="A86">
        <v>1</v>
      </c>
      <c r="B86" t="s">
        <v>32</v>
      </c>
      <c r="C86">
        <v>4</v>
      </c>
      <c r="D86">
        <v>16</v>
      </c>
      <c r="E86" s="3">
        <f t="shared" si="1"/>
        <v>1</v>
      </c>
    </row>
    <row r="87" spans="1:5" x14ac:dyDescent="0.2">
      <c r="A87">
        <v>2</v>
      </c>
      <c r="B87" t="s">
        <v>502</v>
      </c>
      <c r="C87">
        <v>1</v>
      </c>
      <c r="D87">
        <v>12</v>
      </c>
      <c r="E87" s="3">
        <f t="shared" si="1"/>
        <v>1</v>
      </c>
    </row>
    <row r="88" spans="1:5" x14ac:dyDescent="0.2">
      <c r="A88">
        <v>3</v>
      </c>
      <c r="B88" t="s">
        <v>500</v>
      </c>
      <c r="C88">
        <v>0</v>
      </c>
      <c r="D88">
        <v>8</v>
      </c>
      <c r="E88" s="3">
        <f t="shared" si="1"/>
        <v>1</v>
      </c>
    </row>
    <row r="89" spans="1:5" x14ac:dyDescent="0.2">
      <c r="A89">
        <v>4</v>
      </c>
      <c r="B89" t="s">
        <v>61</v>
      </c>
      <c r="C89">
        <v>0</v>
      </c>
      <c r="D89">
        <v>4</v>
      </c>
      <c r="E89" s="3">
        <f t="shared" si="1"/>
        <v>1</v>
      </c>
    </row>
    <row r="90" spans="1:5" x14ac:dyDescent="0.2">
      <c r="A90">
        <v>5</v>
      </c>
      <c r="B90" t="s">
        <v>522</v>
      </c>
      <c r="C90">
        <v>0</v>
      </c>
      <c r="D90">
        <v>2</v>
      </c>
      <c r="E90" s="3">
        <f t="shared" si="1"/>
        <v>1</v>
      </c>
    </row>
    <row r="91" spans="1:5" x14ac:dyDescent="0.2">
      <c r="A91">
        <v>6</v>
      </c>
      <c r="B91" t="s">
        <v>505</v>
      </c>
      <c r="C91">
        <v>0</v>
      </c>
      <c r="D91">
        <v>1</v>
      </c>
      <c r="E91" s="3">
        <f t="shared" si="1"/>
        <v>1</v>
      </c>
    </row>
    <row r="92" spans="1:5" x14ac:dyDescent="0.2">
      <c r="A92">
        <v>7</v>
      </c>
      <c r="B92" s="2" t="s">
        <v>10</v>
      </c>
      <c r="C92" s="2" t="s">
        <v>10</v>
      </c>
      <c r="D92" s="2" t="s">
        <v>10</v>
      </c>
      <c r="E92" s="3">
        <f t="shared" si="1"/>
        <v>1</v>
      </c>
    </row>
    <row r="93" spans="1:5" x14ac:dyDescent="0.2">
      <c r="A93">
        <v>8</v>
      </c>
      <c r="B93" s="2" t="s">
        <v>10</v>
      </c>
      <c r="C93" s="2" t="s">
        <v>10</v>
      </c>
      <c r="D93" s="2" t="s">
        <v>10</v>
      </c>
      <c r="E93" s="3">
        <f t="shared" si="1"/>
        <v>1</v>
      </c>
    </row>
    <row r="94" spans="1:5" x14ac:dyDescent="0.2">
      <c r="A94" s="1" t="s">
        <v>0</v>
      </c>
      <c r="E94" s="3">
        <f t="shared" si="1"/>
        <v>2</v>
      </c>
    </row>
    <row r="95" spans="1:5" x14ac:dyDescent="0.2">
      <c r="A95" s="1" t="s">
        <v>1</v>
      </c>
      <c r="B95" s="1" t="s">
        <v>2</v>
      </c>
      <c r="C95" s="1" t="s">
        <v>3</v>
      </c>
      <c r="D95" s="1" t="s">
        <v>4</v>
      </c>
      <c r="E95" s="3">
        <f t="shared" si="1"/>
        <v>2</v>
      </c>
    </row>
    <row r="96" spans="1:5" x14ac:dyDescent="0.2">
      <c r="A96">
        <v>0</v>
      </c>
      <c r="C96">
        <v>0</v>
      </c>
      <c r="D96">
        <v>0</v>
      </c>
      <c r="E96" s="3">
        <f t="shared" si="1"/>
        <v>2</v>
      </c>
    </row>
    <row r="97" spans="1:5" x14ac:dyDescent="0.2">
      <c r="A97">
        <v>1</v>
      </c>
      <c r="B97" t="s">
        <v>506</v>
      </c>
      <c r="C97">
        <v>3</v>
      </c>
      <c r="D97">
        <v>17</v>
      </c>
      <c r="E97" s="3">
        <f t="shared" si="1"/>
        <v>2</v>
      </c>
    </row>
    <row r="98" spans="1:5" x14ac:dyDescent="0.2">
      <c r="A98">
        <v>2</v>
      </c>
      <c r="B98" t="s">
        <v>29</v>
      </c>
      <c r="C98">
        <v>1</v>
      </c>
      <c r="D98">
        <v>13</v>
      </c>
      <c r="E98" s="3">
        <f t="shared" si="1"/>
        <v>2</v>
      </c>
    </row>
    <row r="99" spans="1:5" x14ac:dyDescent="0.2">
      <c r="A99">
        <v>3</v>
      </c>
      <c r="B99" t="s">
        <v>523</v>
      </c>
      <c r="C99">
        <v>1</v>
      </c>
      <c r="D99">
        <v>9</v>
      </c>
      <c r="E99" s="3">
        <f t="shared" si="1"/>
        <v>2</v>
      </c>
    </row>
    <row r="100" spans="1:5" x14ac:dyDescent="0.2">
      <c r="A100">
        <v>4</v>
      </c>
      <c r="B100" t="s">
        <v>9</v>
      </c>
      <c r="C100">
        <v>1</v>
      </c>
      <c r="D100">
        <v>5</v>
      </c>
      <c r="E100" s="3">
        <f t="shared" si="1"/>
        <v>2</v>
      </c>
    </row>
    <row r="101" spans="1:5" x14ac:dyDescent="0.2">
      <c r="A101">
        <v>5</v>
      </c>
      <c r="B101" t="s">
        <v>88</v>
      </c>
      <c r="C101">
        <v>0</v>
      </c>
      <c r="D101">
        <v>3</v>
      </c>
      <c r="E101" s="3">
        <f t="shared" si="1"/>
        <v>2</v>
      </c>
    </row>
    <row r="102" spans="1:5" x14ac:dyDescent="0.2">
      <c r="A102">
        <v>6</v>
      </c>
      <c r="B102" t="s">
        <v>61</v>
      </c>
      <c r="C102">
        <v>0</v>
      </c>
      <c r="D102">
        <v>2</v>
      </c>
      <c r="E102" s="3">
        <f t="shared" si="1"/>
        <v>2</v>
      </c>
    </row>
    <row r="103" spans="1:5" x14ac:dyDescent="0.2">
      <c r="A103">
        <v>7</v>
      </c>
      <c r="B103" t="s">
        <v>35</v>
      </c>
      <c r="C103">
        <v>0</v>
      </c>
      <c r="D103">
        <v>1</v>
      </c>
      <c r="E103" s="3">
        <f t="shared" si="1"/>
        <v>2</v>
      </c>
    </row>
    <row r="104" spans="1:5" x14ac:dyDescent="0.2">
      <c r="A104">
        <v>9</v>
      </c>
      <c r="B104" s="2" t="s">
        <v>10</v>
      </c>
      <c r="C104" s="2" t="s">
        <v>10</v>
      </c>
      <c r="D104" s="2" t="s">
        <v>10</v>
      </c>
      <c r="E104" s="3">
        <f t="shared" si="1"/>
        <v>2</v>
      </c>
    </row>
    <row r="105" spans="1:5" x14ac:dyDescent="0.2">
      <c r="A105" s="1" t="s">
        <v>11</v>
      </c>
      <c r="E105" s="3">
        <f t="shared" si="1"/>
        <v>2</v>
      </c>
    </row>
    <row r="106" spans="1:5" x14ac:dyDescent="0.2">
      <c r="A106" s="1" t="s">
        <v>1</v>
      </c>
      <c r="B106" s="1" t="s">
        <v>2</v>
      </c>
      <c r="C106" s="1" t="s">
        <v>3</v>
      </c>
      <c r="D106" s="1" t="s">
        <v>4</v>
      </c>
      <c r="E106" s="3">
        <f t="shared" si="1"/>
        <v>2</v>
      </c>
    </row>
    <row r="107" spans="1:5" x14ac:dyDescent="0.2">
      <c r="A107">
        <v>1</v>
      </c>
      <c r="B107" t="s">
        <v>519</v>
      </c>
      <c r="C107">
        <v>5</v>
      </c>
      <c r="D107">
        <v>17</v>
      </c>
      <c r="E107" s="3">
        <f t="shared" si="1"/>
        <v>2</v>
      </c>
    </row>
    <row r="108" spans="1:5" x14ac:dyDescent="0.2">
      <c r="A108">
        <v>2</v>
      </c>
      <c r="B108" t="s">
        <v>21</v>
      </c>
      <c r="C108">
        <v>0</v>
      </c>
      <c r="D108">
        <v>13</v>
      </c>
      <c r="E108" s="3">
        <f t="shared" si="1"/>
        <v>2</v>
      </c>
    </row>
    <row r="109" spans="1:5" x14ac:dyDescent="0.2">
      <c r="A109">
        <v>3</v>
      </c>
      <c r="B109" t="s">
        <v>5</v>
      </c>
      <c r="C109">
        <v>1</v>
      </c>
      <c r="D109">
        <v>9</v>
      </c>
      <c r="E109" s="3">
        <f t="shared" si="1"/>
        <v>2</v>
      </c>
    </row>
    <row r="110" spans="1:5" x14ac:dyDescent="0.2">
      <c r="A110">
        <v>4</v>
      </c>
      <c r="B110" t="s">
        <v>69</v>
      </c>
      <c r="C110">
        <v>0</v>
      </c>
      <c r="D110">
        <v>5</v>
      </c>
      <c r="E110" s="3">
        <f t="shared" si="1"/>
        <v>2</v>
      </c>
    </row>
    <row r="111" spans="1:5" x14ac:dyDescent="0.2">
      <c r="A111">
        <v>5</v>
      </c>
      <c r="B111" t="s">
        <v>46</v>
      </c>
      <c r="C111">
        <v>0</v>
      </c>
      <c r="D111">
        <v>3</v>
      </c>
      <c r="E111" s="3">
        <f t="shared" si="1"/>
        <v>2</v>
      </c>
    </row>
    <row r="112" spans="1:5" x14ac:dyDescent="0.2">
      <c r="A112">
        <v>6</v>
      </c>
      <c r="B112" t="s">
        <v>509</v>
      </c>
      <c r="C112">
        <v>0</v>
      </c>
      <c r="D112">
        <v>2</v>
      </c>
      <c r="E112" s="3">
        <f t="shared" si="1"/>
        <v>2</v>
      </c>
    </row>
    <row r="113" spans="1:5" x14ac:dyDescent="0.2">
      <c r="A113">
        <v>7</v>
      </c>
      <c r="B113" t="s">
        <v>524</v>
      </c>
      <c r="C113">
        <v>0</v>
      </c>
      <c r="D113">
        <v>1</v>
      </c>
      <c r="E113" s="3">
        <f t="shared" si="1"/>
        <v>2</v>
      </c>
    </row>
    <row r="114" spans="1:5" x14ac:dyDescent="0.2">
      <c r="A114">
        <v>8</v>
      </c>
      <c r="B114" s="2" t="s">
        <v>10</v>
      </c>
      <c r="C114" s="2" t="s">
        <v>10</v>
      </c>
      <c r="D114" s="2" t="s">
        <v>10</v>
      </c>
      <c r="E114" s="3">
        <f t="shared" si="1"/>
        <v>2</v>
      </c>
    </row>
    <row r="115" spans="1:5" x14ac:dyDescent="0.2">
      <c r="A115" s="1" t="s">
        <v>17</v>
      </c>
      <c r="E115" s="3">
        <f t="shared" si="1"/>
        <v>2</v>
      </c>
    </row>
    <row r="116" spans="1:5" x14ac:dyDescent="0.2">
      <c r="A116" s="1" t="s">
        <v>1</v>
      </c>
      <c r="B116" s="1" t="s">
        <v>2</v>
      </c>
      <c r="C116" s="1" t="s">
        <v>3</v>
      </c>
      <c r="D116" s="1" t="s">
        <v>4</v>
      </c>
      <c r="E116" s="3">
        <f t="shared" si="1"/>
        <v>2</v>
      </c>
    </row>
    <row r="117" spans="1:5" x14ac:dyDescent="0.2">
      <c r="A117">
        <v>1</v>
      </c>
      <c r="B117" t="s">
        <v>345</v>
      </c>
      <c r="C117">
        <v>4</v>
      </c>
      <c r="D117">
        <v>17</v>
      </c>
      <c r="E117" s="3">
        <f t="shared" si="1"/>
        <v>2</v>
      </c>
    </row>
    <row r="118" spans="1:5" x14ac:dyDescent="0.2">
      <c r="A118">
        <v>2</v>
      </c>
      <c r="B118" t="s">
        <v>20</v>
      </c>
      <c r="C118">
        <v>2</v>
      </c>
      <c r="D118">
        <v>13</v>
      </c>
      <c r="E118" s="3">
        <f t="shared" si="1"/>
        <v>2</v>
      </c>
    </row>
    <row r="119" spans="1:5" x14ac:dyDescent="0.2">
      <c r="A119">
        <v>3</v>
      </c>
      <c r="B119" t="s">
        <v>76</v>
      </c>
      <c r="C119">
        <v>0</v>
      </c>
      <c r="D119">
        <v>9</v>
      </c>
      <c r="E119" s="3">
        <f t="shared" si="1"/>
        <v>2</v>
      </c>
    </row>
    <row r="120" spans="1:5" x14ac:dyDescent="0.2">
      <c r="A120">
        <v>4</v>
      </c>
      <c r="B120" t="s">
        <v>48</v>
      </c>
      <c r="C120">
        <v>0</v>
      </c>
      <c r="D120">
        <v>5</v>
      </c>
      <c r="E120" s="3">
        <f t="shared" si="1"/>
        <v>2</v>
      </c>
    </row>
    <row r="121" spans="1:5" x14ac:dyDescent="0.2">
      <c r="A121">
        <v>5</v>
      </c>
      <c r="B121" t="s">
        <v>25</v>
      </c>
      <c r="C121">
        <v>0</v>
      </c>
      <c r="D121">
        <v>3</v>
      </c>
      <c r="E121" s="3">
        <f t="shared" si="1"/>
        <v>2</v>
      </c>
    </row>
    <row r="122" spans="1:5" x14ac:dyDescent="0.2">
      <c r="A122">
        <v>6</v>
      </c>
      <c r="B122" t="s">
        <v>525</v>
      </c>
      <c r="C122">
        <v>0</v>
      </c>
      <c r="D122">
        <v>2</v>
      </c>
      <c r="E122" s="3">
        <f t="shared" si="1"/>
        <v>2</v>
      </c>
    </row>
    <row r="123" spans="1:5" x14ac:dyDescent="0.2">
      <c r="A123">
        <v>7</v>
      </c>
      <c r="B123" t="s">
        <v>74</v>
      </c>
      <c r="C123">
        <v>0</v>
      </c>
      <c r="D123">
        <v>1</v>
      </c>
      <c r="E123" s="3">
        <f t="shared" si="1"/>
        <v>2</v>
      </c>
    </row>
    <row r="124" spans="1:5" x14ac:dyDescent="0.2">
      <c r="A124">
        <v>8</v>
      </c>
      <c r="B124" s="2" t="s">
        <v>10</v>
      </c>
      <c r="C124" s="2" t="s">
        <v>10</v>
      </c>
      <c r="D124" s="2" t="s">
        <v>10</v>
      </c>
      <c r="E124" s="3">
        <f t="shared" si="1"/>
        <v>2</v>
      </c>
    </row>
    <row r="125" spans="1:5" x14ac:dyDescent="0.2">
      <c r="A125" s="1" t="s">
        <v>24</v>
      </c>
      <c r="E125" s="3">
        <f t="shared" si="1"/>
        <v>2</v>
      </c>
    </row>
    <row r="126" spans="1:5" x14ac:dyDescent="0.2">
      <c r="A126" s="1" t="s">
        <v>1</v>
      </c>
      <c r="B126" s="1" t="s">
        <v>2</v>
      </c>
      <c r="C126" s="1" t="s">
        <v>3</v>
      </c>
      <c r="D126" s="1" t="s">
        <v>4</v>
      </c>
      <c r="E126" s="3">
        <f t="shared" si="1"/>
        <v>2</v>
      </c>
    </row>
    <row r="127" spans="1:5" x14ac:dyDescent="0.2">
      <c r="A127">
        <v>1</v>
      </c>
      <c r="B127" t="s">
        <v>479</v>
      </c>
      <c r="C127">
        <v>3</v>
      </c>
      <c r="D127">
        <v>17</v>
      </c>
      <c r="E127" s="3">
        <f t="shared" si="1"/>
        <v>2</v>
      </c>
    </row>
    <row r="128" spans="1:5" x14ac:dyDescent="0.2">
      <c r="A128">
        <v>2</v>
      </c>
      <c r="B128" t="s">
        <v>507</v>
      </c>
      <c r="C128">
        <v>1</v>
      </c>
      <c r="D128">
        <v>13</v>
      </c>
      <c r="E128" s="3">
        <f t="shared" si="1"/>
        <v>2</v>
      </c>
    </row>
    <row r="129" spans="1:5" x14ac:dyDescent="0.2">
      <c r="A129">
        <v>3</v>
      </c>
      <c r="B129" t="s">
        <v>526</v>
      </c>
      <c r="C129">
        <v>1</v>
      </c>
      <c r="D129">
        <v>9</v>
      </c>
      <c r="E129" s="3">
        <f t="shared" si="1"/>
        <v>2</v>
      </c>
    </row>
    <row r="130" spans="1:5" x14ac:dyDescent="0.2">
      <c r="A130">
        <v>4</v>
      </c>
      <c r="B130" t="s">
        <v>34</v>
      </c>
      <c r="C130">
        <v>0</v>
      </c>
      <c r="D130">
        <v>5</v>
      </c>
      <c r="E130" s="3">
        <f t="shared" si="1"/>
        <v>2</v>
      </c>
    </row>
    <row r="131" spans="1:5" x14ac:dyDescent="0.2">
      <c r="A131">
        <v>5</v>
      </c>
      <c r="B131" t="s">
        <v>500</v>
      </c>
      <c r="C131">
        <v>1</v>
      </c>
      <c r="D131">
        <v>3</v>
      </c>
      <c r="E131" s="3">
        <f t="shared" si="1"/>
        <v>2</v>
      </c>
    </row>
    <row r="132" spans="1:5" x14ac:dyDescent="0.2">
      <c r="A132">
        <v>6</v>
      </c>
      <c r="B132" t="s">
        <v>75</v>
      </c>
      <c r="C132">
        <v>0</v>
      </c>
      <c r="D132">
        <v>2</v>
      </c>
      <c r="E132" s="3">
        <f t="shared" ref="E132:E195" si="2">IF(A132=$A$1,E131+1,E131)</f>
        <v>2</v>
      </c>
    </row>
    <row r="133" spans="1:5" x14ac:dyDescent="0.2">
      <c r="A133">
        <v>7</v>
      </c>
      <c r="B133" t="s">
        <v>475</v>
      </c>
      <c r="C133">
        <v>0</v>
      </c>
      <c r="D133">
        <v>1</v>
      </c>
      <c r="E133" s="3">
        <f t="shared" si="2"/>
        <v>2</v>
      </c>
    </row>
    <row r="134" spans="1:5" x14ac:dyDescent="0.2">
      <c r="A134">
        <v>8</v>
      </c>
      <c r="B134" s="2" t="s">
        <v>10</v>
      </c>
      <c r="C134" s="2" t="s">
        <v>10</v>
      </c>
      <c r="D134" s="2" t="s">
        <v>10</v>
      </c>
      <c r="E134" s="3">
        <f t="shared" si="2"/>
        <v>2</v>
      </c>
    </row>
    <row r="135" spans="1:5" x14ac:dyDescent="0.2">
      <c r="A135" s="1" t="s">
        <v>30</v>
      </c>
      <c r="E135" s="3">
        <f t="shared" si="2"/>
        <v>2</v>
      </c>
    </row>
    <row r="136" spans="1:5" x14ac:dyDescent="0.2">
      <c r="A136" s="1" t="s">
        <v>1</v>
      </c>
      <c r="B136" s="1" t="s">
        <v>2</v>
      </c>
      <c r="C136" s="1" t="s">
        <v>3</v>
      </c>
      <c r="D136" s="1" t="s">
        <v>4</v>
      </c>
      <c r="E136" s="3">
        <f t="shared" si="2"/>
        <v>2</v>
      </c>
    </row>
    <row r="137" spans="1:5" x14ac:dyDescent="0.2">
      <c r="A137">
        <v>0</v>
      </c>
      <c r="C137">
        <v>0</v>
      </c>
      <c r="D137">
        <v>0</v>
      </c>
      <c r="E137" s="3">
        <f t="shared" si="2"/>
        <v>2</v>
      </c>
    </row>
    <row r="138" spans="1:5" x14ac:dyDescent="0.2">
      <c r="A138">
        <v>0</v>
      </c>
      <c r="C138">
        <v>0</v>
      </c>
      <c r="D138">
        <v>0</v>
      </c>
      <c r="E138" s="3">
        <f t="shared" si="2"/>
        <v>2</v>
      </c>
    </row>
    <row r="139" spans="1:5" x14ac:dyDescent="0.2">
      <c r="A139">
        <v>1</v>
      </c>
      <c r="B139" t="s">
        <v>476</v>
      </c>
      <c r="C139">
        <v>3</v>
      </c>
      <c r="D139">
        <v>16</v>
      </c>
      <c r="E139" s="3">
        <f t="shared" si="2"/>
        <v>2</v>
      </c>
    </row>
    <row r="140" spans="1:5" x14ac:dyDescent="0.2">
      <c r="A140">
        <v>2</v>
      </c>
      <c r="B140" t="s">
        <v>516</v>
      </c>
      <c r="C140">
        <v>2</v>
      </c>
      <c r="D140">
        <v>12</v>
      </c>
      <c r="E140" s="3">
        <f t="shared" si="2"/>
        <v>2</v>
      </c>
    </row>
    <row r="141" spans="1:5" x14ac:dyDescent="0.2">
      <c r="A141">
        <v>3</v>
      </c>
      <c r="B141" t="s">
        <v>527</v>
      </c>
      <c r="C141">
        <v>0</v>
      </c>
      <c r="D141">
        <v>8</v>
      </c>
      <c r="E141" s="3">
        <f t="shared" si="2"/>
        <v>2</v>
      </c>
    </row>
    <row r="142" spans="1:5" x14ac:dyDescent="0.2">
      <c r="A142">
        <v>4</v>
      </c>
      <c r="B142" t="s">
        <v>490</v>
      </c>
      <c r="C142">
        <v>0</v>
      </c>
      <c r="D142">
        <v>4</v>
      </c>
      <c r="E142" s="3">
        <f t="shared" si="2"/>
        <v>2</v>
      </c>
    </row>
    <row r="143" spans="1:5" x14ac:dyDescent="0.2">
      <c r="A143">
        <v>5</v>
      </c>
      <c r="B143" t="s">
        <v>528</v>
      </c>
      <c r="C143">
        <v>0</v>
      </c>
      <c r="D143">
        <v>2</v>
      </c>
      <c r="E143" s="3">
        <f t="shared" si="2"/>
        <v>2</v>
      </c>
    </row>
    <row r="144" spans="1:5" x14ac:dyDescent="0.2">
      <c r="A144">
        <v>6</v>
      </c>
      <c r="B144" t="s">
        <v>529</v>
      </c>
      <c r="C144">
        <v>0</v>
      </c>
      <c r="D144">
        <v>1</v>
      </c>
      <c r="E144" s="3">
        <f t="shared" si="2"/>
        <v>2</v>
      </c>
    </row>
    <row r="145" spans="1:5" x14ac:dyDescent="0.2">
      <c r="A145">
        <v>9</v>
      </c>
      <c r="B145" s="2" t="s">
        <v>10</v>
      </c>
      <c r="C145" s="2" t="s">
        <v>10</v>
      </c>
      <c r="D145" s="2" t="s">
        <v>10</v>
      </c>
      <c r="E145" s="3">
        <f t="shared" si="2"/>
        <v>2</v>
      </c>
    </row>
    <row r="146" spans="1:5" x14ac:dyDescent="0.2">
      <c r="A146">
        <v>10</v>
      </c>
      <c r="B146" s="2" t="s">
        <v>10</v>
      </c>
      <c r="C146" s="2" t="s">
        <v>10</v>
      </c>
      <c r="D146" s="2" t="s">
        <v>10</v>
      </c>
      <c r="E146" s="3">
        <f t="shared" si="2"/>
        <v>2</v>
      </c>
    </row>
    <row r="147" spans="1:5" x14ac:dyDescent="0.2">
      <c r="A147" s="1" t="s">
        <v>44</v>
      </c>
      <c r="E147" s="3">
        <f t="shared" si="2"/>
        <v>2</v>
      </c>
    </row>
    <row r="148" spans="1:5" x14ac:dyDescent="0.2">
      <c r="A148" s="1" t="s">
        <v>1</v>
      </c>
      <c r="B148" s="1" t="s">
        <v>2</v>
      </c>
      <c r="C148" s="1" t="s">
        <v>3</v>
      </c>
      <c r="D148" s="1" t="s">
        <v>4</v>
      </c>
      <c r="E148" s="3">
        <f t="shared" si="2"/>
        <v>2</v>
      </c>
    </row>
    <row r="149" spans="1:5" x14ac:dyDescent="0.2">
      <c r="A149">
        <v>1</v>
      </c>
      <c r="B149" t="s">
        <v>55</v>
      </c>
      <c r="C149">
        <v>4</v>
      </c>
      <c r="D149">
        <v>16</v>
      </c>
      <c r="E149" s="3">
        <f t="shared" si="2"/>
        <v>2</v>
      </c>
    </row>
    <row r="150" spans="1:5" x14ac:dyDescent="0.2">
      <c r="A150">
        <v>2</v>
      </c>
      <c r="B150" t="s">
        <v>15</v>
      </c>
      <c r="C150">
        <v>0</v>
      </c>
      <c r="D150">
        <v>12</v>
      </c>
      <c r="E150" s="3">
        <f t="shared" si="2"/>
        <v>2</v>
      </c>
    </row>
    <row r="151" spans="1:5" x14ac:dyDescent="0.2">
      <c r="A151">
        <v>3</v>
      </c>
      <c r="B151" t="s">
        <v>530</v>
      </c>
      <c r="C151">
        <v>1</v>
      </c>
      <c r="D151">
        <v>8</v>
      </c>
      <c r="E151" s="3">
        <f t="shared" si="2"/>
        <v>2</v>
      </c>
    </row>
    <row r="152" spans="1:5" x14ac:dyDescent="0.2">
      <c r="A152">
        <v>4</v>
      </c>
      <c r="B152" t="s">
        <v>454</v>
      </c>
      <c r="C152">
        <v>0</v>
      </c>
      <c r="D152">
        <v>4</v>
      </c>
      <c r="E152" s="3">
        <f t="shared" si="2"/>
        <v>2</v>
      </c>
    </row>
    <row r="153" spans="1:5" x14ac:dyDescent="0.2">
      <c r="A153">
        <v>5</v>
      </c>
      <c r="B153" t="s">
        <v>87</v>
      </c>
      <c r="C153">
        <v>0</v>
      </c>
      <c r="D153">
        <v>2</v>
      </c>
      <c r="E153" s="3">
        <f t="shared" si="2"/>
        <v>2</v>
      </c>
    </row>
    <row r="154" spans="1:5" x14ac:dyDescent="0.2">
      <c r="A154">
        <v>6</v>
      </c>
      <c r="B154" t="s">
        <v>493</v>
      </c>
      <c r="C154">
        <v>0</v>
      </c>
      <c r="D154">
        <v>1</v>
      </c>
      <c r="E154" s="3">
        <f t="shared" si="2"/>
        <v>2</v>
      </c>
    </row>
    <row r="155" spans="1:5" x14ac:dyDescent="0.2">
      <c r="A155">
        <v>7</v>
      </c>
      <c r="B155" s="2" t="s">
        <v>10</v>
      </c>
      <c r="C155" s="2" t="s">
        <v>10</v>
      </c>
      <c r="D155" s="2" t="s">
        <v>10</v>
      </c>
      <c r="E155" s="3">
        <f t="shared" si="2"/>
        <v>2</v>
      </c>
    </row>
    <row r="156" spans="1:5" x14ac:dyDescent="0.2">
      <c r="A156">
        <v>8</v>
      </c>
      <c r="B156" s="2" t="s">
        <v>10</v>
      </c>
      <c r="C156" s="2" t="s">
        <v>10</v>
      </c>
      <c r="D156" s="2" t="s">
        <v>10</v>
      </c>
      <c r="E156" s="3">
        <f t="shared" si="2"/>
        <v>2</v>
      </c>
    </row>
    <row r="157" spans="1:5" x14ac:dyDescent="0.2">
      <c r="A157" s="1" t="s">
        <v>37</v>
      </c>
      <c r="E157" s="3">
        <f t="shared" si="2"/>
        <v>2</v>
      </c>
    </row>
    <row r="158" spans="1:5" x14ac:dyDescent="0.2">
      <c r="A158" s="1" t="s">
        <v>1</v>
      </c>
      <c r="B158" s="1" t="s">
        <v>2</v>
      </c>
      <c r="C158" s="1" t="s">
        <v>3</v>
      </c>
      <c r="D158" s="1" t="s">
        <v>4</v>
      </c>
      <c r="E158" s="3">
        <f t="shared" si="2"/>
        <v>2</v>
      </c>
    </row>
    <row r="159" spans="1:5" x14ac:dyDescent="0.2">
      <c r="A159">
        <v>1</v>
      </c>
      <c r="B159" t="s">
        <v>6</v>
      </c>
      <c r="C159">
        <v>1</v>
      </c>
      <c r="D159">
        <v>16</v>
      </c>
      <c r="E159" s="3">
        <f t="shared" si="2"/>
        <v>2</v>
      </c>
    </row>
    <row r="160" spans="1:5" x14ac:dyDescent="0.2">
      <c r="A160">
        <v>2</v>
      </c>
      <c r="B160" t="s">
        <v>512</v>
      </c>
      <c r="C160">
        <v>2</v>
      </c>
      <c r="D160">
        <v>12</v>
      </c>
      <c r="E160" s="3">
        <f t="shared" si="2"/>
        <v>2</v>
      </c>
    </row>
    <row r="161" spans="1:5" x14ac:dyDescent="0.2">
      <c r="A161">
        <v>3</v>
      </c>
      <c r="B161" t="s">
        <v>27</v>
      </c>
      <c r="C161">
        <v>1</v>
      </c>
      <c r="D161">
        <v>8</v>
      </c>
      <c r="E161" s="3">
        <f t="shared" si="2"/>
        <v>2</v>
      </c>
    </row>
    <row r="162" spans="1:5" x14ac:dyDescent="0.2">
      <c r="A162">
        <v>4</v>
      </c>
      <c r="B162" t="s">
        <v>65</v>
      </c>
      <c r="C162">
        <v>1</v>
      </c>
      <c r="D162">
        <v>4</v>
      </c>
      <c r="E162" s="3">
        <f t="shared" si="2"/>
        <v>2</v>
      </c>
    </row>
    <row r="163" spans="1:5" x14ac:dyDescent="0.2">
      <c r="A163">
        <v>5</v>
      </c>
      <c r="B163" t="s">
        <v>42</v>
      </c>
      <c r="C163">
        <v>0</v>
      </c>
      <c r="D163">
        <v>2</v>
      </c>
      <c r="E163" s="3">
        <f t="shared" si="2"/>
        <v>2</v>
      </c>
    </row>
    <row r="164" spans="1:5" x14ac:dyDescent="0.2">
      <c r="A164">
        <v>6</v>
      </c>
      <c r="B164" t="s">
        <v>461</v>
      </c>
      <c r="C164">
        <v>0</v>
      </c>
      <c r="D164">
        <v>1</v>
      </c>
      <c r="E164" s="3">
        <f t="shared" si="2"/>
        <v>2</v>
      </c>
    </row>
    <row r="165" spans="1:5" x14ac:dyDescent="0.2">
      <c r="A165">
        <v>7</v>
      </c>
      <c r="B165" s="2" t="s">
        <v>10</v>
      </c>
      <c r="C165" s="2" t="s">
        <v>10</v>
      </c>
      <c r="D165" s="2" t="s">
        <v>10</v>
      </c>
      <c r="E165" s="3">
        <f t="shared" si="2"/>
        <v>2</v>
      </c>
    </row>
    <row r="166" spans="1:5" x14ac:dyDescent="0.2">
      <c r="A166">
        <v>8</v>
      </c>
      <c r="B166" s="2" t="s">
        <v>10</v>
      </c>
      <c r="C166" s="2" t="s">
        <v>10</v>
      </c>
      <c r="D166" s="2" t="s">
        <v>10</v>
      </c>
      <c r="E166" s="3">
        <f t="shared" si="2"/>
        <v>2</v>
      </c>
    </row>
    <row r="167" spans="1:5" x14ac:dyDescent="0.2">
      <c r="A167" s="1" t="s">
        <v>51</v>
      </c>
      <c r="E167" s="3">
        <f t="shared" si="2"/>
        <v>2</v>
      </c>
    </row>
    <row r="168" spans="1:5" x14ac:dyDescent="0.2">
      <c r="A168" s="1" t="s">
        <v>1</v>
      </c>
      <c r="B168" s="1" t="s">
        <v>2</v>
      </c>
      <c r="C168" s="1" t="s">
        <v>3</v>
      </c>
      <c r="D168" s="1" t="s">
        <v>4</v>
      </c>
      <c r="E168" s="3">
        <f t="shared" si="2"/>
        <v>2</v>
      </c>
    </row>
    <row r="169" spans="1:5" x14ac:dyDescent="0.2">
      <c r="A169">
        <v>1</v>
      </c>
      <c r="B169" t="s">
        <v>59</v>
      </c>
      <c r="C169">
        <v>4</v>
      </c>
      <c r="D169">
        <v>17</v>
      </c>
      <c r="E169" s="3">
        <f t="shared" si="2"/>
        <v>2</v>
      </c>
    </row>
    <row r="170" spans="1:5" x14ac:dyDescent="0.2">
      <c r="A170">
        <v>2</v>
      </c>
      <c r="B170" t="s">
        <v>451</v>
      </c>
      <c r="C170">
        <v>1</v>
      </c>
      <c r="D170">
        <v>13</v>
      </c>
      <c r="E170" s="3">
        <f t="shared" si="2"/>
        <v>2</v>
      </c>
    </row>
    <row r="171" spans="1:5" x14ac:dyDescent="0.2">
      <c r="A171">
        <v>3</v>
      </c>
      <c r="B171" t="s">
        <v>501</v>
      </c>
      <c r="C171">
        <v>0</v>
      </c>
      <c r="D171">
        <v>9</v>
      </c>
      <c r="E171" s="3">
        <f t="shared" si="2"/>
        <v>2</v>
      </c>
    </row>
    <row r="172" spans="1:5" x14ac:dyDescent="0.2">
      <c r="A172">
        <v>4</v>
      </c>
      <c r="B172" t="s">
        <v>504</v>
      </c>
      <c r="C172">
        <v>1</v>
      </c>
      <c r="D172">
        <v>5</v>
      </c>
      <c r="E172" s="3">
        <f t="shared" si="2"/>
        <v>2</v>
      </c>
    </row>
    <row r="173" spans="1:5" x14ac:dyDescent="0.2">
      <c r="A173">
        <v>5</v>
      </c>
      <c r="B173" t="s">
        <v>521</v>
      </c>
      <c r="C173">
        <v>0</v>
      </c>
      <c r="D173">
        <v>3</v>
      </c>
      <c r="E173" s="3">
        <f t="shared" si="2"/>
        <v>2</v>
      </c>
    </row>
    <row r="174" spans="1:5" x14ac:dyDescent="0.2">
      <c r="A174">
        <v>6</v>
      </c>
      <c r="B174" t="s">
        <v>503</v>
      </c>
      <c r="C174">
        <v>0</v>
      </c>
      <c r="D174">
        <v>2</v>
      </c>
      <c r="E174" s="3">
        <f t="shared" si="2"/>
        <v>2</v>
      </c>
    </row>
    <row r="175" spans="1:5" x14ac:dyDescent="0.2">
      <c r="A175">
        <v>7</v>
      </c>
      <c r="B175" t="s">
        <v>505</v>
      </c>
      <c r="C175">
        <v>0</v>
      </c>
      <c r="D175">
        <v>1</v>
      </c>
      <c r="E175" s="3">
        <f t="shared" si="2"/>
        <v>2</v>
      </c>
    </row>
    <row r="176" spans="1:5" x14ac:dyDescent="0.2">
      <c r="A176">
        <v>8</v>
      </c>
      <c r="B176" s="2" t="s">
        <v>10</v>
      </c>
      <c r="C176" s="2" t="s">
        <v>10</v>
      </c>
      <c r="D176" s="2" t="s">
        <v>10</v>
      </c>
      <c r="E176" s="3">
        <f t="shared" si="2"/>
        <v>2</v>
      </c>
    </row>
    <row r="177" spans="1:5" x14ac:dyDescent="0.2">
      <c r="A177" s="1" t="s">
        <v>0</v>
      </c>
      <c r="E177" s="3">
        <f t="shared" si="2"/>
        <v>3</v>
      </c>
    </row>
    <row r="178" spans="1:5" x14ac:dyDescent="0.2">
      <c r="A178" s="1" t="s">
        <v>1</v>
      </c>
      <c r="B178" s="1" t="s">
        <v>2</v>
      </c>
      <c r="C178" s="1" t="s">
        <v>3</v>
      </c>
      <c r="D178" s="1" t="s">
        <v>4</v>
      </c>
      <c r="E178" s="3">
        <f t="shared" si="2"/>
        <v>3</v>
      </c>
    </row>
    <row r="179" spans="1:5" x14ac:dyDescent="0.2">
      <c r="A179">
        <v>1</v>
      </c>
      <c r="B179" t="s">
        <v>29</v>
      </c>
      <c r="C179">
        <v>3</v>
      </c>
      <c r="D179">
        <v>16</v>
      </c>
      <c r="E179" s="3">
        <f t="shared" si="2"/>
        <v>3</v>
      </c>
    </row>
    <row r="180" spans="1:5" x14ac:dyDescent="0.2">
      <c r="A180">
        <v>2</v>
      </c>
      <c r="B180" t="s">
        <v>516</v>
      </c>
      <c r="C180">
        <v>2</v>
      </c>
      <c r="D180">
        <v>12</v>
      </c>
      <c r="E180" s="3">
        <f t="shared" si="2"/>
        <v>3</v>
      </c>
    </row>
    <row r="181" spans="1:5" x14ac:dyDescent="0.2">
      <c r="A181">
        <v>3</v>
      </c>
      <c r="B181" t="s">
        <v>476</v>
      </c>
      <c r="C181">
        <v>0</v>
      </c>
      <c r="D181">
        <v>8</v>
      </c>
      <c r="E181" s="3">
        <f t="shared" si="2"/>
        <v>3</v>
      </c>
    </row>
    <row r="182" spans="1:5" x14ac:dyDescent="0.2">
      <c r="A182">
        <v>4</v>
      </c>
      <c r="B182" t="s">
        <v>508</v>
      </c>
      <c r="C182">
        <v>0</v>
      </c>
      <c r="D182">
        <v>4</v>
      </c>
      <c r="E182" s="3">
        <f t="shared" si="2"/>
        <v>3</v>
      </c>
    </row>
    <row r="183" spans="1:5" x14ac:dyDescent="0.2">
      <c r="A183">
        <v>5</v>
      </c>
      <c r="B183" t="s">
        <v>75</v>
      </c>
      <c r="C183">
        <v>0</v>
      </c>
      <c r="D183">
        <v>2</v>
      </c>
      <c r="E183" s="3">
        <f t="shared" si="2"/>
        <v>3</v>
      </c>
    </row>
    <row r="184" spans="1:5" x14ac:dyDescent="0.2">
      <c r="A184">
        <v>6</v>
      </c>
      <c r="B184" t="s">
        <v>530</v>
      </c>
      <c r="C184">
        <v>0</v>
      </c>
      <c r="D184">
        <v>1</v>
      </c>
      <c r="E184" s="3">
        <f t="shared" si="2"/>
        <v>3</v>
      </c>
    </row>
    <row r="185" spans="1:5" x14ac:dyDescent="0.2">
      <c r="A185">
        <v>7</v>
      </c>
      <c r="B185" s="2" t="s">
        <v>10</v>
      </c>
      <c r="C185" s="2" t="s">
        <v>10</v>
      </c>
      <c r="D185" s="2" t="s">
        <v>10</v>
      </c>
      <c r="E185" s="3">
        <f t="shared" si="2"/>
        <v>3</v>
      </c>
    </row>
    <row r="186" spans="1:5" x14ac:dyDescent="0.2">
      <c r="A186">
        <v>8</v>
      </c>
      <c r="B186" s="2" t="s">
        <v>10</v>
      </c>
      <c r="C186" s="2" t="s">
        <v>10</v>
      </c>
      <c r="D186" s="2" t="s">
        <v>10</v>
      </c>
      <c r="E186" s="3">
        <f t="shared" si="2"/>
        <v>3</v>
      </c>
    </row>
    <row r="187" spans="1:5" x14ac:dyDescent="0.2">
      <c r="A187" s="1" t="s">
        <v>11</v>
      </c>
      <c r="E187" s="3">
        <f t="shared" si="2"/>
        <v>3</v>
      </c>
    </row>
    <row r="188" spans="1:5" x14ac:dyDescent="0.2">
      <c r="A188" s="1" t="s">
        <v>1</v>
      </c>
      <c r="B188" s="1" t="s">
        <v>2</v>
      </c>
      <c r="C188" s="1" t="s">
        <v>3</v>
      </c>
      <c r="D188" s="1" t="s">
        <v>4</v>
      </c>
      <c r="E188" s="3">
        <f t="shared" si="2"/>
        <v>3</v>
      </c>
    </row>
    <row r="189" spans="1:5" x14ac:dyDescent="0.2">
      <c r="A189">
        <v>1</v>
      </c>
      <c r="B189" t="s">
        <v>505</v>
      </c>
      <c r="C189">
        <v>1</v>
      </c>
      <c r="D189">
        <v>16</v>
      </c>
      <c r="E189" s="3">
        <f t="shared" si="2"/>
        <v>3</v>
      </c>
    </row>
    <row r="190" spans="1:5" x14ac:dyDescent="0.2">
      <c r="A190">
        <v>2</v>
      </c>
      <c r="B190" t="s">
        <v>48</v>
      </c>
      <c r="C190">
        <v>3</v>
      </c>
      <c r="D190">
        <v>12</v>
      </c>
      <c r="E190" s="3">
        <f t="shared" si="2"/>
        <v>3</v>
      </c>
    </row>
    <row r="191" spans="1:5" x14ac:dyDescent="0.2">
      <c r="A191">
        <v>3</v>
      </c>
      <c r="B191" t="s">
        <v>510</v>
      </c>
      <c r="C191">
        <v>1</v>
      </c>
      <c r="D191">
        <v>8</v>
      </c>
      <c r="E191" s="3">
        <f t="shared" si="2"/>
        <v>3</v>
      </c>
    </row>
    <row r="192" spans="1:5" x14ac:dyDescent="0.2">
      <c r="A192">
        <v>4</v>
      </c>
      <c r="B192" t="s">
        <v>452</v>
      </c>
      <c r="C192">
        <v>0</v>
      </c>
      <c r="D192">
        <v>4</v>
      </c>
      <c r="E192" s="3">
        <f t="shared" si="2"/>
        <v>3</v>
      </c>
    </row>
    <row r="193" spans="1:7" x14ac:dyDescent="0.2">
      <c r="A193">
        <v>5</v>
      </c>
      <c r="B193" t="s">
        <v>69</v>
      </c>
      <c r="C193">
        <v>0</v>
      </c>
      <c r="D193">
        <v>2</v>
      </c>
      <c r="E193" s="3">
        <f t="shared" si="2"/>
        <v>3</v>
      </c>
    </row>
    <row r="194" spans="1:7" x14ac:dyDescent="0.2">
      <c r="A194">
        <v>6</v>
      </c>
      <c r="B194" t="s">
        <v>506</v>
      </c>
      <c r="C194">
        <v>0</v>
      </c>
      <c r="D194">
        <v>1</v>
      </c>
      <c r="E194" s="3">
        <f t="shared" si="2"/>
        <v>3</v>
      </c>
    </row>
    <row r="195" spans="1:7" x14ac:dyDescent="0.2">
      <c r="A195">
        <v>7</v>
      </c>
      <c r="B195" s="2" t="s">
        <v>10</v>
      </c>
      <c r="C195" s="2" t="s">
        <v>10</v>
      </c>
      <c r="D195" s="2" t="s">
        <v>10</v>
      </c>
      <c r="E195" s="3">
        <f t="shared" si="2"/>
        <v>3</v>
      </c>
    </row>
    <row r="196" spans="1:7" x14ac:dyDescent="0.2">
      <c r="A196">
        <v>8</v>
      </c>
      <c r="B196" s="2" t="s">
        <v>10</v>
      </c>
      <c r="C196" s="2" t="s">
        <v>10</v>
      </c>
      <c r="D196" s="2" t="s">
        <v>10</v>
      </c>
      <c r="E196" s="3">
        <f t="shared" ref="E196:E198" si="3">IF(A196=$A$1,E195+1,E195)</f>
        <v>3</v>
      </c>
    </row>
    <row r="197" spans="1:7" x14ac:dyDescent="0.2">
      <c r="A197" s="1" t="s">
        <v>17</v>
      </c>
      <c r="E197" s="3">
        <f t="shared" si="3"/>
        <v>3</v>
      </c>
    </row>
    <row r="198" spans="1:7" x14ac:dyDescent="0.2">
      <c r="A198" s="1" t="s">
        <v>1</v>
      </c>
      <c r="B198" s="1" t="s">
        <v>2</v>
      </c>
      <c r="C198" s="1" t="s">
        <v>3</v>
      </c>
      <c r="D198" s="1" t="s">
        <v>4</v>
      </c>
      <c r="E198" s="3">
        <f t="shared" si="3"/>
        <v>3</v>
      </c>
    </row>
    <row r="199" spans="1:7" x14ac:dyDescent="0.2">
      <c r="A199">
        <v>1</v>
      </c>
      <c r="B199" t="s">
        <v>507</v>
      </c>
      <c r="C199">
        <v>4</v>
      </c>
      <c r="D199">
        <v>16</v>
      </c>
      <c r="E199" s="3">
        <f>IF(A199=$A$1,E198+1,E198)</f>
        <v>3</v>
      </c>
      <c r="G199" s="1"/>
    </row>
    <row r="200" spans="1:7" x14ac:dyDescent="0.2">
      <c r="A200">
        <v>2</v>
      </c>
      <c r="B200" t="s">
        <v>534</v>
      </c>
      <c r="C200">
        <v>1</v>
      </c>
      <c r="D200">
        <v>12</v>
      </c>
      <c r="E200" s="3">
        <f>IF(A200=$A$1,E199+1,E199)</f>
        <v>3</v>
      </c>
      <c r="G200" s="1"/>
    </row>
    <row r="201" spans="1:7" x14ac:dyDescent="0.2">
      <c r="A201">
        <v>3</v>
      </c>
      <c r="B201" t="s">
        <v>526</v>
      </c>
      <c r="C201">
        <v>0</v>
      </c>
      <c r="D201">
        <v>8</v>
      </c>
      <c r="E201" s="3">
        <f>IF(A201=$A$1,E200+1,E200)</f>
        <v>3</v>
      </c>
    </row>
    <row r="202" spans="1:7" x14ac:dyDescent="0.2">
      <c r="A202">
        <v>4</v>
      </c>
      <c r="B202" t="s">
        <v>535</v>
      </c>
      <c r="C202">
        <v>0</v>
      </c>
      <c r="D202">
        <v>4</v>
      </c>
      <c r="E202" s="3">
        <f>IF(A202=$A$1,E201+1,E201)</f>
        <v>3</v>
      </c>
    </row>
    <row r="203" spans="1:7" x14ac:dyDescent="0.2">
      <c r="A203">
        <v>5</v>
      </c>
      <c r="B203" t="s">
        <v>527</v>
      </c>
      <c r="C203">
        <v>0</v>
      </c>
      <c r="D203">
        <v>2</v>
      </c>
      <c r="E203" s="3">
        <f>IF(A203=$A$1,E202+1,E202)</f>
        <v>3</v>
      </c>
    </row>
    <row r="204" spans="1:7" x14ac:dyDescent="0.2">
      <c r="A204">
        <v>6</v>
      </c>
      <c r="B204" t="s">
        <v>345</v>
      </c>
      <c r="C204">
        <v>0</v>
      </c>
      <c r="D204">
        <v>1</v>
      </c>
      <c r="E204" s="3">
        <f>IF(A204=$A$1,E203+1,E203)</f>
        <v>3</v>
      </c>
    </row>
    <row r="205" spans="1:7" x14ac:dyDescent="0.2">
      <c r="A205">
        <v>7</v>
      </c>
      <c r="B205" s="2" t="s">
        <v>10</v>
      </c>
      <c r="C205" s="2" t="s">
        <v>10</v>
      </c>
      <c r="D205" s="2" t="s">
        <v>10</v>
      </c>
      <c r="E205" s="3">
        <f>IF(A205=$A$1,E204+1,E204)</f>
        <v>3</v>
      </c>
    </row>
    <row r="206" spans="1:7" x14ac:dyDescent="0.2">
      <c r="A206">
        <v>8</v>
      </c>
      <c r="B206" s="2" t="s">
        <v>10</v>
      </c>
      <c r="C206" s="2" t="s">
        <v>10</v>
      </c>
      <c r="D206" s="2" t="s">
        <v>10</v>
      </c>
      <c r="E206" s="3">
        <f>IF(A206=$A$1,E205+1,E205)</f>
        <v>3</v>
      </c>
    </row>
    <row r="207" spans="1:7" x14ac:dyDescent="0.2">
      <c r="A207" s="1" t="s">
        <v>30</v>
      </c>
      <c r="E207" s="3">
        <f>IF(A207=$A$1,E206+1,E206)</f>
        <v>3</v>
      </c>
    </row>
    <row r="208" spans="1:7" x14ac:dyDescent="0.2">
      <c r="A208" s="1" t="s">
        <v>1</v>
      </c>
      <c r="B208" s="1" t="s">
        <v>2</v>
      </c>
      <c r="C208" s="1" t="s">
        <v>3</v>
      </c>
      <c r="D208" s="1" t="s">
        <v>4</v>
      </c>
      <c r="E208" s="3">
        <f>IF(A208=$A$1,E207+1,E207)</f>
        <v>3</v>
      </c>
    </row>
    <row r="209" spans="1:7" x14ac:dyDescent="0.2">
      <c r="A209">
        <v>0</v>
      </c>
      <c r="C209">
        <v>0</v>
      </c>
      <c r="D209">
        <v>0</v>
      </c>
      <c r="E209" s="3">
        <f>IF(A209=$A$1,E208+1,E208)</f>
        <v>3</v>
      </c>
      <c r="G209" s="1"/>
    </row>
    <row r="210" spans="1:7" x14ac:dyDescent="0.2">
      <c r="A210">
        <v>1</v>
      </c>
      <c r="B210" t="s">
        <v>87</v>
      </c>
      <c r="C210">
        <v>1</v>
      </c>
      <c r="D210">
        <v>17</v>
      </c>
      <c r="E210" s="3">
        <f>IF(A210=$A$1,E209+1,E209)</f>
        <v>3</v>
      </c>
      <c r="G210" s="1"/>
    </row>
    <row r="211" spans="1:7" x14ac:dyDescent="0.2">
      <c r="A211">
        <v>2</v>
      </c>
      <c r="B211" t="s">
        <v>27</v>
      </c>
      <c r="C211">
        <v>3</v>
      </c>
      <c r="D211">
        <v>13</v>
      </c>
      <c r="E211" s="3">
        <f>IF(A211=$A$1,E210+1,E210)</f>
        <v>3</v>
      </c>
    </row>
    <row r="212" spans="1:7" x14ac:dyDescent="0.2">
      <c r="A212">
        <v>3</v>
      </c>
      <c r="B212" t="s">
        <v>461</v>
      </c>
      <c r="C212">
        <v>1</v>
      </c>
      <c r="D212">
        <v>9</v>
      </c>
      <c r="E212" s="3">
        <f>IF(A212=$A$1,E211+1,E211)</f>
        <v>3</v>
      </c>
    </row>
    <row r="213" spans="1:7" x14ac:dyDescent="0.2">
      <c r="A213">
        <v>4</v>
      </c>
      <c r="B213" t="s">
        <v>21</v>
      </c>
      <c r="C213">
        <v>0</v>
      </c>
      <c r="D213">
        <v>5</v>
      </c>
      <c r="E213" s="3">
        <f>IF(A213=$A$1,E212+1,E212)</f>
        <v>3</v>
      </c>
    </row>
    <row r="214" spans="1:7" x14ac:dyDescent="0.2">
      <c r="A214">
        <v>5</v>
      </c>
      <c r="B214" t="s">
        <v>462</v>
      </c>
      <c r="C214">
        <v>1</v>
      </c>
      <c r="D214">
        <v>3</v>
      </c>
      <c r="E214" s="3">
        <f>IF(A214=$A$1,E213+1,E213)</f>
        <v>3</v>
      </c>
    </row>
    <row r="215" spans="1:7" x14ac:dyDescent="0.2">
      <c r="A215">
        <v>6</v>
      </c>
      <c r="B215" t="s">
        <v>531</v>
      </c>
      <c r="C215">
        <v>0</v>
      </c>
      <c r="D215">
        <v>2</v>
      </c>
      <c r="E215" s="3">
        <f>IF(A215=$A$1,E214+1,E214)</f>
        <v>3</v>
      </c>
    </row>
    <row r="216" spans="1:7" x14ac:dyDescent="0.2">
      <c r="A216">
        <v>7</v>
      </c>
      <c r="B216" t="s">
        <v>532</v>
      </c>
      <c r="C216">
        <v>0</v>
      </c>
      <c r="D216">
        <v>1</v>
      </c>
      <c r="E216" s="3">
        <f>IF(A216=$A$1,E215+1,E215)</f>
        <v>3</v>
      </c>
    </row>
    <row r="217" spans="1:7" x14ac:dyDescent="0.2">
      <c r="A217">
        <v>9</v>
      </c>
      <c r="B217" s="2" t="s">
        <v>10</v>
      </c>
      <c r="C217" s="2" t="s">
        <v>10</v>
      </c>
      <c r="D217" s="2" t="s">
        <v>10</v>
      </c>
      <c r="E217" s="3">
        <f>IF(A217=$A$1,E216+1,E216)</f>
        <v>3</v>
      </c>
    </row>
    <row r="218" spans="1:7" x14ac:dyDescent="0.2">
      <c r="A218" s="1" t="s">
        <v>24</v>
      </c>
      <c r="E218" s="3">
        <f>IF(A218=$A$1,E217+1,E217)</f>
        <v>3</v>
      </c>
    </row>
    <row r="219" spans="1:7" x14ac:dyDescent="0.2">
      <c r="A219" s="1" t="s">
        <v>1</v>
      </c>
      <c r="B219" s="1" t="s">
        <v>2</v>
      </c>
      <c r="C219" s="1" t="s">
        <v>3</v>
      </c>
      <c r="D219" s="1" t="s">
        <v>4</v>
      </c>
      <c r="E219" s="3">
        <f>IF(A219=$A$1,E218+1,E218)</f>
        <v>3</v>
      </c>
      <c r="G219" s="1"/>
    </row>
    <row r="220" spans="1:7" x14ac:dyDescent="0.2">
      <c r="A220">
        <v>0</v>
      </c>
      <c r="C220">
        <v>0</v>
      </c>
      <c r="D220">
        <v>0</v>
      </c>
      <c r="E220" s="3">
        <f>IF(A220=$A$1,E219+1,E219)</f>
        <v>3</v>
      </c>
      <c r="G220" s="1"/>
    </row>
    <row r="221" spans="1:7" x14ac:dyDescent="0.2">
      <c r="A221">
        <v>1</v>
      </c>
      <c r="B221" t="s">
        <v>59</v>
      </c>
      <c r="C221">
        <v>3</v>
      </c>
      <c r="D221">
        <v>17</v>
      </c>
      <c r="E221" s="3">
        <f>IF(A221=$A$1,E220+1,E220)</f>
        <v>3</v>
      </c>
    </row>
    <row r="222" spans="1:7" x14ac:dyDescent="0.2">
      <c r="A222">
        <v>2</v>
      </c>
      <c r="B222" t="s">
        <v>490</v>
      </c>
      <c r="C222">
        <v>3</v>
      </c>
      <c r="D222">
        <v>13</v>
      </c>
      <c r="E222" s="3">
        <f>IF(A222=$A$1,E221+1,E221)</f>
        <v>3</v>
      </c>
    </row>
    <row r="223" spans="1:7" x14ac:dyDescent="0.2">
      <c r="A223">
        <v>3</v>
      </c>
      <c r="B223" t="s">
        <v>479</v>
      </c>
      <c r="C223">
        <v>0</v>
      </c>
      <c r="D223">
        <v>9</v>
      </c>
      <c r="E223" s="3">
        <f>IF(A223=$A$1,E222+1,E222)</f>
        <v>3</v>
      </c>
    </row>
    <row r="224" spans="1:7" x14ac:dyDescent="0.2">
      <c r="A224">
        <v>4</v>
      </c>
      <c r="B224" t="s">
        <v>9</v>
      </c>
      <c r="C224">
        <v>0</v>
      </c>
      <c r="D224">
        <v>5</v>
      </c>
      <c r="E224" s="3">
        <f>IF(A224=$A$1,E223+1,E223)</f>
        <v>3</v>
      </c>
    </row>
    <row r="225" spans="1:7" x14ac:dyDescent="0.2">
      <c r="A225">
        <v>5</v>
      </c>
      <c r="B225" t="s">
        <v>76</v>
      </c>
      <c r="C225">
        <v>0</v>
      </c>
      <c r="D225">
        <v>3</v>
      </c>
      <c r="E225" s="3">
        <f>IF(A225=$A$1,E224+1,E224)</f>
        <v>3</v>
      </c>
    </row>
    <row r="226" spans="1:7" x14ac:dyDescent="0.2">
      <c r="A226">
        <v>6</v>
      </c>
      <c r="B226" t="s">
        <v>533</v>
      </c>
      <c r="C226">
        <v>0</v>
      </c>
      <c r="D226">
        <v>2</v>
      </c>
      <c r="E226" s="3">
        <f>IF(A226=$A$1,E225+1,E225)</f>
        <v>3</v>
      </c>
    </row>
    <row r="227" spans="1:7" x14ac:dyDescent="0.2">
      <c r="A227">
        <v>7</v>
      </c>
      <c r="B227" t="s">
        <v>451</v>
      </c>
      <c r="C227">
        <v>0</v>
      </c>
      <c r="D227">
        <v>1</v>
      </c>
      <c r="E227" s="3">
        <f>IF(A227=$A$1,E226+1,E226)</f>
        <v>3</v>
      </c>
    </row>
    <row r="228" spans="1:7" x14ac:dyDescent="0.2">
      <c r="A228">
        <v>9</v>
      </c>
      <c r="B228" s="2" t="s">
        <v>10</v>
      </c>
      <c r="C228" s="2" t="s">
        <v>10</v>
      </c>
      <c r="D228" s="2" t="s">
        <v>10</v>
      </c>
      <c r="E228" s="3">
        <f>IF(A228=$A$1,E227+1,E227)</f>
        <v>3</v>
      </c>
    </row>
    <row r="229" spans="1:7" x14ac:dyDescent="0.2">
      <c r="A229" s="1" t="s">
        <v>58</v>
      </c>
      <c r="E229" s="3">
        <f>IF(A229=$A$1,E228+1,E228)</f>
        <v>3</v>
      </c>
      <c r="G229" s="1"/>
    </row>
    <row r="230" spans="1:7" x14ac:dyDescent="0.2">
      <c r="A230" s="1" t="s">
        <v>1</v>
      </c>
      <c r="B230" s="1" t="s">
        <v>2</v>
      </c>
      <c r="C230" s="1" t="s">
        <v>3</v>
      </c>
      <c r="D230" s="1" t="s">
        <v>4</v>
      </c>
      <c r="E230" s="3">
        <f>IF(A230=$A$1,E229+1,E229)</f>
        <v>3</v>
      </c>
      <c r="G230" s="1"/>
    </row>
    <row r="231" spans="1:7" x14ac:dyDescent="0.2">
      <c r="A231">
        <v>1</v>
      </c>
      <c r="B231" t="s">
        <v>512</v>
      </c>
      <c r="C231">
        <v>2</v>
      </c>
      <c r="D231">
        <v>16</v>
      </c>
      <c r="E231" s="3">
        <f>IF(A231=$A$1,E230+1,E230)</f>
        <v>3</v>
      </c>
    </row>
    <row r="232" spans="1:7" x14ac:dyDescent="0.2">
      <c r="A232">
        <v>2</v>
      </c>
      <c r="B232" t="s">
        <v>493</v>
      </c>
      <c r="C232">
        <v>2</v>
      </c>
      <c r="D232">
        <v>12</v>
      </c>
      <c r="E232" s="3">
        <f>IF(A232=$A$1,E231+1,E231)</f>
        <v>3</v>
      </c>
    </row>
    <row r="233" spans="1:7" x14ac:dyDescent="0.2">
      <c r="A233">
        <v>3</v>
      </c>
      <c r="B233" t="s">
        <v>501</v>
      </c>
      <c r="C233">
        <v>1</v>
      </c>
      <c r="D233">
        <v>8</v>
      </c>
      <c r="E233" s="3">
        <f>IF(A233=$A$1,E232+1,E232)</f>
        <v>3</v>
      </c>
    </row>
    <row r="234" spans="1:7" x14ac:dyDescent="0.2">
      <c r="A234">
        <v>4</v>
      </c>
      <c r="B234" t="s">
        <v>521</v>
      </c>
      <c r="C234">
        <v>0</v>
      </c>
      <c r="D234">
        <v>4</v>
      </c>
      <c r="E234" s="3">
        <f>IF(A234=$A$1,E233+1,E233)</f>
        <v>3</v>
      </c>
    </row>
    <row r="235" spans="1:7" x14ac:dyDescent="0.2">
      <c r="A235">
        <v>5</v>
      </c>
      <c r="B235" t="s">
        <v>32</v>
      </c>
      <c r="C235">
        <v>0</v>
      </c>
      <c r="D235">
        <v>2</v>
      </c>
      <c r="E235" s="3">
        <f>IF(A235=$A$1,E234+1,E234)</f>
        <v>3</v>
      </c>
    </row>
    <row r="236" spans="1:7" x14ac:dyDescent="0.2">
      <c r="A236">
        <v>6</v>
      </c>
      <c r="B236" t="s">
        <v>504</v>
      </c>
      <c r="C236">
        <v>0</v>
      </c>
      <c r="D236">
        <v>1</v>
      </c>
      <c r="E236" s="3">
        <f>IF(A236=$A$1,E235+1,E235)</f>
        <v>3</v>
      </c>
    </row>
    <row r="237" spans="1:7" x14ac:dyDescent="0.2">
      <c r="A237">
        <v>7</v>
      </c>
      <c r="B237" s="2" t="s">
        <v>10</v>
      </c>
      <c r="C237" s="2" t="s">
        <v>10</v>
      </c>
      <c r="D237" s="2" t="s">
        <v>10</v>
      </c>
      <c r="E237" s="3">
        <f>IF(A237=$A$1,E236+1,E236)</f>
        <v>3</v>
      </c>
    </row>
    <row r="238" spans="1:7" x14ac:dyDescent="0.2">
      <c r="A238">
        <v>8</v>
      </c>
      <c r="B238" s="2" t="s">
        <v>10</v>
      </c>
      <c r="C238" s="2" t="s">
        <v>10</v>
      </c>
      <c r="D238" s="2" t="s">
        <v>10</v>
      </c>
      <c r="E238" s="3">
        <f>IF(A238=$A$1,E237+1,E237)</f>
        <v>3</v>
      </c>
    </row>
    <row r="239" spans="1:7" x14ac:dyDescent="0.2">
      <c r="A239" s="1" t="s">
        <v>51</v>
      </c>
      <c r="E239" s="3">
        <f>IF(A239=$A$1,E238+1,E238)</f>
        <v>3</v>
      </c>
    </row>
    <row r="240" spans="1:7" x14ac:dyDescent="0.2">
      <c r="A240" s="1" t="s">
        <v>1</v>
      </c>
      <c r="B240" s="1" t="s">
        <v>2</v>
      </c>
      <c r="C240" s="1" t="s">
        <v>3</v>
      </c>
      <c r="D240" s="1" t="s">
        <v>4</v>
      </c>
      <c r="E240" s="3">
        <f>IF(A240=$A$1,E239+1,E239)</f>
        <v>3</v>
      </c>
      <c r="G240" s="1"/>
    </row>
    <row r="241" spans="1:7" x14ac:dyDescent="0.2">
      <c r="A241">
        <v>1</v>
      </c>
      <c r="B241" t="s">
        <v>66</v>
      </c>
      <c r="C241">
        <v>3</v>
      </c>
      <c r="D241">
        <v>16</v>
      </c>
      <c r="E241" s="3">
        <f>IF(A241=$A$1,E240+1,E240)</f>
        <v>3</v>
      </c>
      <c r="G241" s="1"/>
    </row>
    <row r="242" spans="1:7" x14ac:dyDescent="0.2">
      <c r="A242">
        <v>2</v>
      </c>
      <c r="B242" t="s">
        <v>519</v>
      </c>
      <c r="C242">
        <v>0</v>
      </c>
      <c r="D242">
        <v>12</v>
      </c>
      <c r="E242" s="3">
        <f>IF(A242=$A$1,E241+1,E241)</f>
        <v>3</v>
      </c>
    </row>
    <row r="243" spans="1:7" x14ac:dyDescent="0.2">
      <c r="A243">
        <v>3</v>
      </c>
      <c r="B243" t="s">
        <v>101</v>
      </c>
      <c r="C243">
        <v>1</v>
      </c>
      <c r="D243">
        <v>8</v>
      </c>
      <c r="E243" s="3">
        <f>IF(A243=$A$1,E242+1,E242)</f>
        <v>3</v>
      </c>
    </row>
    <row r="244" spans="1:7" x14ac:dyDescent="0.2">
      <c r="A244">
        <v>4</v>
      </c>
      <c r="B244" t="s">
        <v>475</v>
      </c>
      <c r="C244">
        <v>1</v>
      </c>
      <c r="D244">
        <v>4</v>
      </c>
      <c r="E244" s="3">
        <f>IF(A244=$A$1,E243+1,E243)</f>
        <v>3</v>
      </c>
    </row>
    <row r="245" spans="1:7" x14ac:dyDescent="0.2">
      <c r="A245">
        <v>5</v>
      </c>
      <c r="B245" t="s">
        <v>6</v>
      </c>
      <c r="C245">
        <v>0</v>
      </c>
      <c r="D245">
        <v>2</v>
      </c>
      <c r="E245" s="3">
        <f>IF(A245=$A$1,E244+1,E244)</f>
        <v>3</v>
      </c>
    </row>
    <row r="246" spans="1:7" x14ac:dyDescent="0.2">
      <c r="A246">
        <v>6</v>
      </c>
      <c r="B246" t="s">
        <v>525</v>
      </c>
      <c r="C246">
        <v>0</v>
      </c>
      <c r="D246">
        <v>1</v>
      </c>
      <c r="E246" s="3">
        <f>IF(A246=$A$1,E245+1,E245)</f>
        <v>3</v>
      </c>
    </row>
    <row r="247" spans="1:7" x14ac:dyDescent="0.2">
      <c r="A247">
        <v>7</v>
      </c>
      <c r="B247" s="2" t="s">
        <v>10</v>
      </c>
      <c r="C247" s="2" t="s">
        <v>10</v>
      </c>
      <c r="D247" s="2" t="s">
        <v>10</v>
      </c>
      <c r="E247" s="3">
        <f>IF(A247=$A$1,E246+1,E246)</f>
        <v>3</v>
      </c>
    </row>
    <row r="248" spans="1:7" x14ac:dyDescent="0.2">
      <c r="A248">
        <v>8</v>
      </c>
      <c r="B248" s="2" t="s">
        <v>10</v>
      </c>
      <c r="C248" s="2" t="s">
        <v>10</v>
      </c>
      <c r="D248" s="2" t="s">
        <v>10</v>
      </c>
      <c r="E248" s="3">
        <f>IF(A248=$A$1,E247+1,E247)</f>
        <v>3</v>
      </c>
    </row>
    <row r="249" spans="1:7" x14ac:dyDescent="0.2">
      <c r="A249" s="1" t="s">
        <v>44</v>
      </c>
      <c r="E249" s="3">
        <f>IF(A249=$A$1,E248+1,E248)</f>
        <v>3</v>
      </c>
    </row>
    <row r="250" spans="1:7" x14ac:dyDescent="0.2">
      <c r="A250" s="1" t="s">
        <v>1</v>
      </c>
      <c r="B250" s="1" t="s">
        <v>2</v>
      </c>
      <c r="C250" s="1" t="s">
        <v>3</v>
      </c>
      <c r="D250" s="1" t="s">
        <v>4</v>
      </c>
      <c r="E250" s="3">
        <f>IF(A250=$A$1,E249+1,E249)</f>
        <v>3</v>
      </c>
    </row>
    <row r="251" spans="1:7" x14ac:dyDescent="0.2">
      <c r="A251">
        <v>1</v>
      </c>
      <c r="B251" t="s">
        <v>14</v>
      </c>
      <c r="C251">
        <v>5</v>
      </c>
      <c r="D251">
        <v>16</v>
      </c>
      <c r="E251" s="3">
        <f>IF(A251=$A$1,E250+1,E250)</f>
        <v>3</v>
      </c>
      <c r="G251" s="1"/>
    </row>
    <row r="252" spans="1:7" x14ac:dyDescent="0.2">
      <c r="A252">
        <v>2</v>
      </c>
      <c r="B252" t="s">
        <v>33</v>
      </c>
      <c r="C252">
        <v>0</v>
      </c>
      <c r="D252">
        <v>12</v>
      </c>
      <c r="E252" s="3">
        <f>IF(A252=$A$1,E251+1,E251)</f>
        <v>3</v>
      </c>
      <c r="G252" s="1"/>
    </row>
    <row r="253" spans="1:7" x14ac:dyDescent="0.2">
      <c r="A253">
        <v>3</v>
      </c>
      <c r="B253" t="s">
        <v>35</v>
      </c>
      <c r="C253">
        <v>1</v>
      </c>
      <c r="D253">
        <v>8</v>
      </c>
      <c r="E253" s="3">
        <f>IF(A253=$A$1,E252+1,E252)</f>
        <v>3</v>
      </c>
    </row>
    <row r="254" spans="1:7" x14ac:dyDescent="0.2">
      <c r="A254">
        <v>4</v>
      </c>
      <c r="B254" t="s">
        <v>74</v>
      </c>
      <c r="C254">
        <v>0</v>
      </c>
      <c r="D254">
        <v>4</v>
      </c>
      <c r="E254" s="3">
        <f>IF(A254=$A$1,E253+1,E253)</f>
        <v>3</v>
      </c>
    </row>
    <row r="255" spans="1:7" x14ac:dyDescent="0.2">
      <c r="A255">
        <v>5</v>
      </c>
      <c r="B255" t="s">
        <v>40</v>
      </c>
      <c r="C255">
        <v>0</v>
      </c>
      <c r="D255">
        <v>2</v>
      </c>
      <c r="E255" s="3">
        <f>IF(A255=$A$1,E254+1,E254)</f>
        <v>3</v>
      </c>
    </row>
    <row r="256" spans="1:7" x14ac:dyDescent="0.2">
      <c r="A256">
        <v>6</v>
      </c>
      <c r="B256" t="s">
        <v>34</v>
      </c>
      <c r="C256">
        <v>0</v>
      </c>
      <c r="D256">
        <v>1</v>
      </c>
      <c r="E256" s="3">
        <f>IF(A256=$A$1,E255+1,E255)</f>
        <v>3</v>
      </c>
    </row>
    <row r="257" spans="1:7" x14ac:dyDescent="0.2">
      <c r="A257">
        <v>7</v>
      </c>
      <c r="B257" s="2" t="s">
        <v>10</v>
      </c>
      <c r="C257" s="2" t="s">
        <v>10</v>
      </c>
      <c r="D257" s="2" t="s">
        <v>10</v>
      </c>
      <c r="E257" s="3">
        <f>IF(A257=$A$1,E256+1,E256)</f>
        <v>3</v>
      </c>
    </row>
    <row r="258" spans="1:7" x14ac:dyDescent="0.2">
      <c r="A258">
        <v>8</v>
      </c>
      <c r="B258" s="2" t="s">
        <v>10</v>
      </c>
      <c r="C258" s="2" t="s">
        <v>10</v>
      </c>
      <c r="D258" s="2" t="s">
        <v>10</v>
      </c>
      <c r="E258" s="3">
        <f>IF(A258=$A$1,E257+1,E257)</f>
        <v>3</v>
      </c>
    </row>
    <row r="259" spans="1:7" x14ac:dyDescent="0.2">
      <c r="A259" s="1" t="s">
        <v>37</v>
      </c>
      <c r="E259" s="3">
        <f>IF(A259=$A$1,E258+1,E258)</f>
        <v>3</v>
      </c>
    </row>
    <row r="260" spans="1:7" x14ac:dyDescent="0.2">
      <c r="A260" s="1" t="s">
        <v>1</v>
      </c>
      <c r="B260" s="1" t="s">
        <v>2</v>
      </c>
      <c r="C260" s="1" t="s">
        <v>3</v>
      </c>
      <c r="D260" s="1" t="s">
        <v>4</v>
      </c>
      <c r="E260" s="3">
        <f>IF(A260=$A$1,E259+1,E259)</f>
        <v>3</v>
      </c>
    </row>
    <row r="261" spans="1:7" x14ac:dyDescent="0.2">
      <c r="A261">
        <v>1</v>
      </c>
      <c r="B261" t="s">
        <v>502</v>
      </c>
      <c r="C261">
        <v>4</v>
      </c>
      <c r="D261">
        <v>16</v>
      </c>
      <c r="E261" s="3">
        <f>IF(A261=$A$1,E260+1,E260)</f>
        <v>3</v>
      </c>
      <c r="G261" s="1"/>
    </row>
    <row r="262" spans="1:7" x14ac:dyDescent="0.2">
      <c r="A262">
        <v>2</v>
      </c>
      <c r="B262" t="s">
        <v>42</v>
      </c>
      <c r="C262">
        <v>1</v>
      </c>
      <c r="D262">
        <v>12</v>
      </c>
      <c r="E262" s="3">
        <f>IF(A262=$A$1,E261+1,E261)</f>
        <v>3</v>
      </c>
      <c r="G262" s="1"/>
    </row>
    <row r="263" spans="1:7" x14ac:dyDescent="0.2">
      <c r="A263">
        <v>3</v>
      </c>
      <c r="B263" t="s">
        <v>46</v>
      </c>
      <c r="C263">
        <v>0</v>
      </c>
      <c r="D263">
        <v>8</v>
      </c>
      <c r="E263" s="3">
        <f>IF(A263=$A$1,E262+1,E262)</f>
        <v>3</v>
      </c>
    </row>
    <row r="264" spans="1:7" x14ac:dyDescent="0.2">
      <c r="A264">
        <v>4</v>
      </c>
      <c r="B264" t="s">
        <v>25</v>
      </c>
      <c r="C264">
        <v>0</v>
      </c>
      <c r="D264">
        <v>4</v>
      </c>
      <c r="E264" s="3">
        <f>IF(A264=$A$1,E263+1,E263)</f>
        <v>3</v>
      </c>
    </row>
    <row r="265" spans="1:7" x14ac:dyDescent="0.2">
      <c r="A265">
        <v>5</v>
      </c>
      <c r="B265" t="s">
        <v>509</v>
      </c>
      <c r="C265">
        <v>0</v>
      </c>
      <c r="D265">
        <v>2</v>
      </c>
      <c r="E265" s="3">
        <f>IF(A265=$A$1,E264+1,E264)</f>
        <v>3</v>
      </c>
    </row>
    <row r="266" spans="1:7" x14ac:dyDescent="0.2">
      <c r="A266">
        <v>6</v>
      </c>
      <c r="B266" t="s">
        <v>61</v>
      </c>
      <c r="C266">
        <v>0</v>
      </c>
      <c r="D266">
        <v>1</v>
      </c>
      <c r="E266" s="3">
        <f>IF(A266=$A$1,E265+1,E265)</f>
        <v>3</v>
      </c>
    </row>
    <row r="267" spans="1:7" x14ac:dyDescent="0.2">
      <c r="A267">
        <v>7</v>
      </c>
      <c r="B267" s="2" t="s">
        <v>10</v>
      </c>
      <c r="C267" s="2" t="s">
        <v>10</v>
      </c>
      <c r="D267" s="2" t="s">
        <v>10</v>
      </c>
      <c r="E267" s="3">
        <f>IF(A267=$A$1,E266+1,E266)</f>
        <v>3</v>
      </c>
    </row>
    <row r="268" spans="1:7" x14ac:dyDescent="0.2">
      <c r="A268">
        <v>8</v>
      </c>
      <c r="B268" s="2" t="s">
        <v>10</v>
      </c>
      <c r="C268" s="2" t="s">
        <v>10</v>
      </c>
      <c r="D268" s="2" t="s">
        <v>10</v>
      </c>
      <c r="E268" s="3">
        <f>IF(A268=$A$1,E267+1,E267)</f>
        <v>3</v>
      </c>
    </row>
    <row r="269" spans="1:7" x14ac:dyDescent="0.2">
      <c r="A269" s="1" t="s">
        <v>0</v>
      </c>
      <c r="E269" s="3">
        <f>IF(A269=$A$1,E268+1,E268)</f>
        <v>4</v>
      </c>
    </row>
    <row r="270" spans="1:7" x14ac:dyDescent="0.2">
      <c r="A270" s="1" t="s">
        <v>1</v>
      </c>
      <c r="B270" s="1" t="s">
        <v>2</v>
      </c>
      <c r="C270" s="1" t="s">
        <v>3</v>
      </c>
      <c r="D270" s="1" t="s">
        <v>4</v>
      </c>
      <c r="E270" s="3">
        <f>IF(A270=$A$1,E269+1,E269)</f>
        <v>4</v>
      </c>
    </row>
    <row r="271" spans="1:7" x14ac:dyDescent="0.2">
      <c r="A271">
        <v>1</v>
      </c>
      <c r="B271" t="s">
        <v>461</v>
      </c>
      <c r="C271">
        <v>4</v>
      </c>
      <c r="D271">
        <v>17</v>
      </c>
      <c r="E271" s="3">
        <f>IF(A271=$A$1,E270+1,E270)</f>
        <v>4</v>
      </c>
      <c r="G271" s="1"/>
    </row>
    <row r="272" spans="1:7" x14ac:dyDescent="0.2">
      <c r="A272">
        <v>2</v>
      </c>
      <c r="B272" t="s">
        <v>479</v>
      </c>
      <c r="C272">
        <v>2</v>
      </c>
      <c r="D272">
        <v>13</v>
      </c>
      <c r="E272" s="3">
        <f>IF(A272=$A$1,E271+1,E271)</f>
        <v>4</v>
      </c>
      <c r="G272" s="1"/>
    </row>
    <row r="273" spans="1:7" x14ac:dyDescent="0.2">
      <c r="A273">
        <v>3</v>
      </c>
      <c r="B273" t="s">
        <v>525</v>
      </c>
      <c r="C273">
        <v>0</v>
      </c>
      <c r="D273">
        <v>9</v>
      </c>
      <c r="E273" s="3">
        <f>IF(A273=$A$1,E272+1,E272)</f>
        <v>4</v>
      </c>
    </row>
    <row r="274" spans="1:7" x14ac:dyDescent="0.2">
      <c r="A274">
        <v>4</v>
      </c>
      <c r="B274" t="s">
        <v>55</v>
      </c>
      <c r="C274">
        <v>0</v>
      </c>
      <c r="D274">
        <v>5</v>
      </c>
      <c r="E274" s="3">
        <f>IF(A274=$A$1,E273+1,E273)</f>
        <v>4</v>
      </c>
    </row>
    <row r="275" spans="1:7" x14ac:dyDescent="0.2">
      <c r="A275">
        <v>5</v>
      </c>
      <c r="B275" t="s">
        <v>261</v>
      </c>
      <c r="C275">
        <v>0</v>
      </c>
      <c r="D275">
        <v>3</v>
      </c>
      <c r="E275" s="3">
        <f>IF(A275=$A$1,E274+1,E274)</f>
        <v>4</v>
      </c>
    </row>
    <row r="276" spans="1:7" x14ac:dyDescent="0.2">
      <c r="A276">
        <v>6</v>
      </c>
      <c r="B276" t="s">
        <v>40</v>
      </c>
      <c r="C276">
        <v>0</v>
      </c>
      <c r="D276">
        <v>2</v>
      </c>
      <c r="E276" s="3">
        <f>IF(A276=$A$1,E275+1,E275)</f>
        <v>4</v>
      </c>
    </row>
    <row r="277" spans="1:7" x14ac:dyDescent="0.2">
      <c r="A277">
        <v>7</v>
      </c>
      <c r="B277" t="s">
        <v>506</v>
      </c>
      <c r="C277">
        <v>0</v>
      </c>
      <c r="D277">
        <v>1</v>
      </c>
      <c r="E277" s="3">
        <f>IF(A277=$A$1,E276+1,E276)</f>
        <v>4</v>
      </c>
    </row>
    <row r="278" spans="1:7" x14ac:dyDescent="0.2">
      <c r="A278">
        <v>8</v>
      </c>
      <c r="B278" s="2" t="s">
        <v>10</v>
      </c>
      <c r="C278" s="2" t="s">
        <v>10</v>
      </c>
      <c r="D278" s="2" t="s">
        <v>10</v>
      </c>
      <c r="E278" s="3">
        <f>IF(A278=$A$1,E277+1,E277)</f>
        <v>4</v>
      </c>
    </row>
    <row r="279" spans="1:7" x14ac:dyDescent="0.2">
      <c r="A279" s="1" t="s">
        <v>11</v>
      </c>
      <c r="E279" s="3">
        <f>IF(A279=$A$1,E278+1,E278)</f>
        <v>4</v>
      </c>
    </row>
    <row r="280" spans="1:7" x14ac:dyDescent="0.2">
      <c r="A280" s="1" t="s">
        <v>1</v>
      </c>
      <c r="B280" s="1" t="s">
        <v>2</v>
      </c>
      <c r="C280" s="1" t="s">
        <v>3</v>
      </c>
      <c r="D280" s="1" t="s">
        <v>4</v>
      </c>
      <c r="E280" s="3">
        <f>IF(A280=$A$1,E279+1,E279)</f>
        <v>4</v>
      </c>
    </row>
    <row r="281" spans="1:7" x14ac:dyDescent="0.2">
      <c r="A281">
        <v>1</v>
      </c>
      <c r="B281" t="s">
        <v>493</v>
      </c>
      <c r="C281">
        <v>2</v>
      </c>
      <c r="D281">
        <v>17</v>
      </c>
      <c r="E281" s="3">
        <f>IF(A281=$A$1,E280+1,E280)</f>
        <v>4</v>
      </c>
      <c r="G281" s="1"/>
    </row>
    <row r="282" spans="1:7" x14ac:dyDescent="0.2">
      <c r="A282">
        <v>2</v>
      </c>
      <c r="B282" t="s">
        <v>29</v>
      </c>
      <c r="C282">
        <v>1</v>
      </c>
      <c r="D282">
        <v>13</v>
      </c>
      <c r="E282" s="3">
        <f>IF(A282=$A$1,E281+1,E281)</f>
        <v>4</v>
      </c>
      <c r="G282" s="1"/>
    </row>
    <row r="283" spans="1:7" x14ac:dyDescent="0.2">
      <c r="A283">
        <v>3</v>
      </c>
      <c r="B283" t="s">
        <v>518</v>
      </c>
      <c r="C283">
        <v>3</v>
      </c>
      <c r="D283">
        <v>9</v>
      </c>
      <c r="E283" s="3">
        <f>IF(A283=$A$1,E282+1,E282)</f>
        <v>4</v>
      </c>
    </row>
    <row r="284" spans="1:7" x14ac:dyDescent="0.2">
      <c r="A284">
        <v>4</v>
      </c>
      <c r="B284" t="s">
        <v>46</v>
      </c>
      <c r="C284">
        <v>0</v>
      </c>
      <c r="D284">
        <v>5</v>
      </c>
      <c r="E284" s="3">
        <f>IF(A284=$A$1,E283+1,E283)</f>
        <v>4</v>
      </c>
    </row>
    <row r="285" spans="1:7" x14ac:dyDescent="0.2">
      <c r="A285">
        <v>5</v>
      </c>
      <c r="B285" t="s">
        <v>20</v>
      </c>
      <c r="C285">
        <v>0</v>
      </c>
      <c r="D285">
        <v>3</v>
      </c>
      <c r="E285" s="3">
        <f>IF(A285=$A$1,E284+1,E284)</f>
        <v>4</v>
      </c>
    </row>
    <row r="286" spans="1:7" x14ac:dyDescent="0.2">
      <c r="A286">
        <v>6</v>
      </c>
      <c r="B286" t="s">
        <v>9</v>
      </c>
      <c r="C286">
        <v>0</v>
      </c>
      <c r="D286">
        <v>2</v>
      </c>
      <c r="E286" s="3">
        <f>IF(A286=$A$1,E285+1,E285)</f>
        <v>4</v>
      </c>
    </row>
    <row r="287" spans="1:7" x14ac:dyDescent="0.2">
      <c r="A287">
        <v>7</v>
      </c>
      <c r="B287" t="s">
        <v>535</v>
      </c>
      <c r="C287">
        <v>0</v>
      </c>
      <c r="D287">
        <v>1</v>
      </c>
      <c r="E287" s="3">
        <f>IF(A287=$A$1,E286+1,E286)</f>
        <v>4</v>
      </c>
    </row>
    <row r="288" spans="1:7" x14ac:dyDescent="0.2">
      <c r="A288">
        <v>8</v>
      </c>
      <c r="B288" s="2" t="s">
        <v>10</v>
      </c>
      <c r="C288" s="2" t="s">
        <v>10</v>
      </c>
      <c r="D288" s="2" t="s">
        <v>10</v>
      </c>
      <c r="E288" s="3">
        <f>IF(A288=$A$1,E287+1,E287)</f>
        <v>4</v>
      </c>
    </row>
    <row r="289" spans="1:5" x14ac:dyDescent="0.2">
      <c r="A289" s="1" t="s">
        <v>17</v>
      </c>
      <c r="E289" s="3">
        <f>IF(A289=$A$1,E288+1,E288)</f>
        <v>4</v>
      </c>
    </row>
    <row r="290" spans="1:5" x14ac:dyDescent="0.2">
      <c r="A290" s="1" t="s">
        <v>1</v>
      </c>
      <c r="B290" s="1" t="s">
        <v>2</v>
      </c>
      <c r="C290" s="1" t="s">
        <v>3</v>
      </c>
      <c r="D290" s="1" t="s">
        <v>4</v>
      </c>
      <c r="E290" s="3">
        <f>IF(A290=$A$1,E289+1,E289)</f>
        <v>4</v>
      </c>
    </row>
    <row r="291" spans="1:5" x14ac:dyDescent="0.2">
      <c r="A291">
        <v>1</v>
      </c>
      <c r="B291" t="s">
        <v>490</v>
      </c>
      <c r="C291">
        <v>3</v>
      </c>
      <c r="D291">
        <v>17</v>
      </c>
      <c r="E291" s="3">
        <f t="shared" ref="E291:E354" si="4">IF(A291=$A$1,E290+1,E290)</f>
        <v>4</v>
      </c>
    </row>
    <row r="292" spans="1:5" x14ac:dyDescent="0.2">
      <c r="A292">
        <v>2</v>
      </c>
      <c r="B292" t="s">
        <v>531</v>
      </c>
      <c r="C292">
        <v>3</v>
      </c>
      <c r="D292">
        <v>13</v>
      </c>
      <c r="E292" s="3">
        <f t="shared" si="4"/>
        <v>4</v>
      </c>
    </row>
    <row r="293" spans="1:5" x14ac:dyDescent="0.2">
      <c r="A293">
        <v>3</v>
      </c>
      <c r="B293" t="s">
        <v>61</v>
      </c>
      <c r="C293">
        <v>0</v>
      </c>
      <c r="D293">
        <v>9</v>
      </c>
      <c r="E293" s="3">
        <f t="shared" si="4"/>
        <v>4</v>
      </c>
    </row>
    <row r="294" spans="1:5" x14ac:dyDescent="0.2">
      <c r="A294">
        <v>4</v>
      </c>
      <c r="B294" t="s">
        <v>42</v>
      </c>
      <c r="C294">
        <v>0</v>
      </c>
      <c r="D294">
        <v>5</v>
      </c>
      <c r="E294" s="3">
        <f t="shared" si="4"/>
        <v>4</v>
      </c>
    </row>
    <row r="295" spans="1:5" x14ac:dyDescent="0.2">
      <c r="A295">
        <v>5</v>
      </c>
      <c r="B295" t="s">
        <v>69</v>
      </c>
      <c r="C295">
        <v>0</v>
      </c>
      <c r="D295">
        <v>3</v>
      </c>
      <c r="E295" s="3">
        <f t="shared" si="4"/>
        <v>4</v>
      </c>
    </row>
    <row r="296" spans="1:5" x14ac:dyDescent="0.2">
      <c r="A296">
        <v>6</v>
      </c>
      <c r="B296" t="s">
        <v>21</v>
      </c>
      <c r="C296">
        <v>0</v>
      </c>
      <c r="D296">
        <v>2</v>
      </c>
      <c r="E296" s="3">
        <f t="shared" si="4"/>
        <v>4</v>
      </c>
    </row>
    <row r="297" spans="1:5" x14ac:dyDescent="0.2">
      <c r="A297">
        <v>7</v>
      </c>
      <c r="B297" t="s">
        <v>35</v>
      </c>
      <c r="C297">
        <v>0</v>
      </c>
      <c r="D297">
        <v>1</v>
      </c>
      <c r="E297" s="3">
        <f t="shared" si="4"/>
        <v>4</v>
      </c>
    </row>
    <row r="298" spans="1:5" x14ac:dyDescent="0.2">
      <c r="A298">
        <v>8</v>
      </c>
      <c r="B298" s="2" t="s">
        <v>10</v>
      </c>
      <c r="C298" s="2" t="s">
        <v>10</v>
      </c>
      <c r="D298" s="2" t="s">
        <v>10</v>
      </c>
      <c r="E298" s="3">
        <f t="shared" si="4"/>
        <v>4</v>
      </c>
    </row>
    <row r="299" spans="1:5" x14ac:dyDescent="0.2">
      <c r="A299" s="1" t="s">
        <v>24</v>
      </c>
      <c r="E299" s="3">
        <f t="shared" si="4"/>
        <v>4</v>
      </c>
    </row>
    <row r="300" spans="1:5" x14ac:dyDescent="0.2">
      <c r="A300" s="1" t="s">
        <v>1</v>
      </c>
      <c r="B300" s="1" t="s">
        <v>2</v>
      </c>
      <c r="C300" s="1" t="s">
        <v>3</v>
      </c>
      <c r="D300" s="1" t="s">
        <v>4</v>
      </c>
      <c r="E300" s="3">
        <f t="shared" si="4"/>
        <v>4</v>
      </c>
    </row>
    <row r="301" spans="1:5" x14ac:dyDescent="0.2">
      <c r="A301">
        <v>1</v>
      </c>
      <c r="B301" t="s">
        <v>515</v>
      </c>
      <c r="C301">
        <v>4</v>
      </c>
      <c r="D301">
        <v>17</v>
      </c>
      <c r="E301" s="3">
        <f t="shared" si="4"/>
        <v>4</v>
      </c>
    </row>
    <row r="302" spans="1:5" x14ac:dyDescent="0.2">
      <c r="A302">
        <v>2</v>
      </c>
      <c r="B302" t="s">
        <v>66</v>
      </c>
      <c r="C302">
        <v>1</v>
      </c>
      <c r="D302">
        <v>13</v>
      </c>
      <c r="E302" s="3">
        <f t="shared" si="4"/>
        <v>4</v>
      </c>
    </row>
    <row r="303" spans="1:5" x14ac:dyDescent="0.2">
      <c r="A303">
        <v>3</v>
      </c>
      <c r="B303" t="s">
        <v>452</v>
      </c>
      <c r="C303">
        <v>1</v>
      </c>
      <c r="D303">
        <v>9</v>
      </c>
      <c r="E303" s="3">
        <f t="shared" si="4"/>
        <v>4</v>
      </c>
    </row>
    <row r="304" spans="1:5" x14ac:dyDescent="0.2">
      <c r="A304">
        <v>4</v>
      </c>
      <c r="B304" t="s">
        <v>73</v>
      </c>
      <c r="C304">
        <v>0</v>
      </c>
      <c r="D304">
        <v>5</v>
      </c>
      <c r="E304" s="3">
        <f t="shared" si="4"/>
        <v>4</v>
      </c>
    </row>
    <row r="305" spans="1:5" x14ac:dyDescent="0.2">
      <c r="A305">
        <v>5</v>
      </c>
      <c r="B305" t="s">
        <v>519</v>
      </c>
      <c r="C305">
        <v>0</v>
      </c>
      <c r="D305">
        <v>3</v>
      </c>
      <c r="E305" s="3">
        <f t="shared" si="4"/>
        <v>4</v>
      </c>
    </row>
    <row r="306" spans="1:5" x14ac:dyDescent="0.2">
      <c r="A306">
        <v>6</v>
      </c>
      <c r="B306" t="s">
        <v>528</v>
      </c>
      <c r="C306">
        <v>0</v>
      </c>
      <c r="D306">
        <v>2</v>
      </c>
      <c r="E306" s="3">
        <f t="shared" si="4"/>
        <v>4</v>
      </c>
    </row>
    <row r="307" spans="1:5" x14ac:dyDescent="0.2">
      <c r="A307">
        <v>7</v>
      </c>
      <c r="B307" t="s">
        <v>345</v>
      </c>
      <c r="C307">
        <v>0</v>
      </c>
      <c r="D307">
        <v>1</v>
      </c>
      <c r="E307" s="3">
        <f t="shared" si="4"/>
        <v>4</v>
      </c>
    </row>
    <row r="308" spans="1:5" x14ac:dyDescent="0.2">
      <c r="A308">
        <v>8</v>
      </c>
      <c r="B308" s="2" t="s">
        <v>10</v>
      </c>
      <c r="C308" s="2" t="s">
        <v>10</v>
      </c>
      <c r="D308" s="2" t="s">
        <v>10</v>
      </c>
      <c r="E308" s="3">
        <f t="shared" si="4"/>
        <v>4</v>
      </c>
    </row>
    <row r="309" spans="1:5" x14ac:dyDescent="0.2">
      <c r="A309" s="1" t="s">
        <v>30</v>
      </c>
      <c r="E309" s="3">
        <f t="shared" si="4"/>
        <v>4</v>
      </c>
    </row>
    <row r="310" spans="1:5" x14ac:dyDescent="0.2">
      <c r="A310" s="1" t="s">
        <v>1</v>
      </c>
      <c r="B310" s="1" t="s">
        <v>2</v>
      </c>
      <c r="C310" s="1" t="s">
        <v>3</v>
      </c>
      <c r="D310" s="1" t="s">
        <v>4</v>
      </c>
      <c r="E310" s="3">
        <f t="shared" si="4"/>
        <v>4</v>
      </c>
    </row>
    <row r="311" spans="1:5" x14ac:dyDescent="0.2">
      <c r="A311">
        <v>1</v>
      </c>
      <c r="B311" t="s">
        <v>503</v>
      </c>
      <c r="C311">
        <v>2</v>
      </c>
      <c r="D311">
        <v>17</v>
      </c>
      <c r="E311" s="3">
        <f t="shared" si="4"/>
        <v>4</v>
      </c>
    </row>
    <row r="312" spans="1:5" x14ac:dyDescent="0.2">
      <c r="A312">
        <v>2</v>
      </c>
      <c r="B312" t="s">
        <v>15</v>
      </c>
      <c r="C312">
        <v>2</v>
      </c>
      <c r="D312">
        <v>13</v>
      </c>
      <c r="E312" s="3">
        <f t="shared" si="4"/>
        <v>4</v>
      </c>
    </row>
    <row r="313" spans="1:5" x14ac:dyDescent="0.2">
      <c r="A313">
        <v>3</v>
      </c>
      <c r="B313" t="s">
        <v>534</v>
      </c>
      <c r="C313">
        <v>1</v>
      </c>
      <c r="D313">
        <v>9</v>
      </c>
      <c r="E313" s="3">
        <f t="shared" si="4"/>
        <v>4</v>
      </c>
    </row>
    <row r="314" spans="1:5" x14ac:dyDescent="0.2">
      <c r="A314">
        <v>4</v>
      </c>
      <c r="B314" t="s">
        <v>516</v>
      </c>
      <c r="C314">
        <v>1</v>
      </c>
      <c r="D314">
        <v>5</v>
      </c>
      <c r="E314" s="3">
        <f t="shared" si="4"/>
        <v>4</v>
      </c>
    </row>
    <row r="315" spans="1:5" x14ac:dyDescent="0.2">
      <c r="A315">
        <v>5</v>
      </c>
      <c r="B315" t="s">
        <v>526</v>
      </c>
      <c r="C315">
        <v>0</v>
      </c>
      <c r="D315">
        <v>3</v>
      </c>
      <c r="E315" s="3">
        <f t="shared" si="4"/>
        <v>4</v>
      </c>
    </row>
    <row r="316" spans="1:5" x14ac:dyDescent="0.2">
      <c r="A316">
        <v>6</v>
      </c>
      <c r="B316" t="s">
        <v>87</v>
      </c>
      <c r="C316">
        <v>0</v>
      </c>
      <c r="D316">
        <v>2</v>
      </c>
      <c r="E316" s="3">
        <f t="shared" si="4"/>
        <v>4</v>
      </c>
    </row>
    <row r="317" spans="1:5" x14ac:dyDescent="0.2">
      <c r="A317">
        <v>7</v>
      </c>
      <c r="B317" t="s">
        <v>502</v>
      </c>
      <c r="C317">
        <v>0</v>
      </c>
      <c r="D317">
        <v>1</v>
      </c>
      <c r="E317" s="3">
        <f t="shared" si="4"/>
        <v>4</v>
      </c>
    </row>
    <row r="318" spans="1:5" x14ac:dyDescent="0.2">
      <c r="A318">
        <v>8</v>
      </c>
      <c r="B318" s="2" t="s">
        <v>10</v>
      </c>
      <c r="C318" s="2" t="s">
        <v>10</v>
      </c>
      <c r="D318" s="2" t="s">
        <v>10</v>
      </c>
      <c r="E318" s="3">
        <f t="shared" si="4"/>
        <v>4</v>
      </c>
    </row>
    <row r="319" spans="1:5" x14ac:dyDescent="0.2">
      <c r="A319" s="1" t="s">
        <v>37</v>
      </c>
      <c r="E319" s="3">
        <f t="shared" si="4"/>
        <v>4</v>
      </c>
    </row>
    <row r="320" spans="1:5" x14ac:dyDescent="0.2">
      <c r="A320" s="1" t="s">
        <v>1</v>
      </c>
      <c r="B320" s="1" t="s">
        <v>2</v>
      </c>
      <c r="C320" s="1" t="s">
        <v>3</v>
      </c>
      <c r="D320" s="1" t="s">
        <v>4</v>
      </c>
      <c r="E320" s="3">
        <f t="shared" si="4"/>
        <v>4</v>
      </c>
    </row>
    <row r="321" spans="1:5" x14ac:dyDescent="0.2">
      <c r="A321">
        <v>1</v>
      </c>
      <c r="B321" t="s">
        <v>505</v>
      </c>
      <c r="C321">
        <v>4</v>
      </c>
      <c r="D321">
        <v>17</v>
      </c>
      <c r="E321" s="3">
        <f t="shared" si="4"/>
        <v>4</v>
      </c>
    </row>
    <row r="322" spans="1:5" x14ac:dyDescent="0.2">
      <c r="A322">
        <v>2</v>
      </c>
      <c r="B322" t="s">
        <v>491</v>
      </c>
      <c r="C322">
        <v>1</v>
      </c>
      <c r="D322">
        <v>13</v>
      </c>
      <c r="E322" s="3">
        <f t="shared" si="4"/>
        <v>4</v>
      </c>
    </row>
    <row r="323" spans="1:5" x14ac:dyDescent="0.2">
      <c r="A323">
        <v>3</v>
      </c>
      <c r="B323" t="s">
        <v>6</v>
      </c>
      <c r="C323">
        <v>0</v>
      </c>
      <c r="D323">
        <v>9</v>
      </c>
      <c r="E323" s="3">
        <f t="shared" si="4"/>
        <v>4</v>
      </c>
    </row>
    <row r="324" spans="1:5" x14ac:dyDescent="0.2">
      <c r="A324">
        <v>4</v>
      </c>
      <c r="B324" t="s">
        <v>484</v>
      </c>
      <c r="C324">
        <v>0</v>
      </c>
      <c r="D324">
        <v>5</v>
      </c>
      <c r="E324" s="3">
        <f t="shared" si="4"/>
        <v>4</v>
      </c>
    </row>
    <row r="325" spans="1:5" x14ac:dyDescent="0.2">
      <c r="A325">
        <v>5</v>
      </c>
      <c r="B325" t="s">
        <v>74</v>
      </c>
      <c r="C325">
        <v>0</v>
      </c>
      <c r="D325">
        <v>3</v>
      </c>
      <c r="E325" s="3">
        <f t="shared" si="4"/>
        <v>4</v>
      </c>
    </row>
    <row r="326" spans="1:5" x14ac:dyDescent="0.2">
      <c r="A326">
        <v>6</v>
      </c>
      <c r="B326" t="s">
        <v>507</v>
      </c>
      <c r="C326">
        <v>1</v>
      </c>
      <c r="D326">
        <v>2</v>
      </c>
      <c r="E326" s="3">
        <f t="shared" si="4"/>
        <v>4</v>
      </c>
    </row>
    <row r="327" spans="1:5" x14ac:dyDescent="0.2">
      <c r="A327">
        <v>7</v>
      </c>
      <c r="B327" t="s">
        <v>527</v>
      </c>
      <c r="C327">
        <v>0</v>
      </c>
      <c r="D327">
        <v>1</v>
      </c>
      <c r="E327" s="3">
        <f t="shared" si="4"/>
        <v>4</v>
      </c>
    </row>
    <row r="328" spans="1:5" x14ac:dyDescent="0.2">
      <c r="A328">
        <v>8</v>
      </c>
      <c r="B328" s="2" t="s">
        <v>10</v>
      </c>
      <c r="C328" s="2" t="s">
        <v>10</v>
      </c>
      <c r="D328" s="2" t="s">
        <v>10</v>
      </c>
      <c r="E328" s="3">
        <f t="shared" si="4"/>
        <v>4</v>
      </c>
    </row>
    <row r="329" spans="1:5" x14ac:dyDescent="0.2">
      <c r="A329" s="1" t="s">
        <v>44</v>
      </c>
      <c r="E329" s="3">
        <f t="shared" si="4"/>
        <v>4</v>
      </c>
    </row>
    <row r="330" spans="1:5" x14ac:dyDescent="0.2">
      <c r="A330" s="1" t="s">
        <v>1</v>
      </c>
      <c r="B330" s="1" t="s">
        <v>2</v>
      </c>
      <c r="C330" s="1" t="s">
        <v>3</v>
      </c>
      <c r="D330" s="1" t="s">
        <v>4</v>
      </c>
      <c r="E330" s="3">
        <f t="shared" si="4"/>
        <v>4</v>
      </c>
    </row>
    <row r="331" spans="1:5" x14ac:dyDescent="0.2">
      <c r="A331">
        <v>1</v>
      </c>
      <c r="B331" t="s">
        <v>59</v>
      </c>
      <c r="C331">
        <v>3</v>
      </c>
      <c r="D331">
        <v>17</v>
      </c>
      <c r="E331" s="3">
        <f t="shared" si="4"/>
        <v>4</v>
      </c>
    </row>
    <row r="332" spans="1:5" x14ac:dyDescent="0.2">
      <c r="A332">
        <v>2</v>
      </c>
      <c r="B332" t="s">
        <v>533</v>
      </c>
      <c r="C332">
        <v>1</v>
      </c>
      <c r="D332">
        <v>13</v>
      </c>
      <c r="E332" s="3">
        <f t="shared" si="4"/>
        <v>4</v>
      </c>
    </row>
    <row r="333" spans="1:5" x14ac:dyDescent="0.2">
      <c r="A333">
        <v>3</v>
      </c>
      <c r="B333" t="s">
        <v>523</v>
      </c>
      <c r="C333">
        <v>2</v>
      </c>
      <c r="D333">
        <v>9</v>
      </c>
      <c r="E333" s="3">
        <f t="shared" si="4"/>
        <v>4</v>
      </c>
    </row>
    <row r="334" spans="1:5" x14ac:dyDescent="0.2">
      <c r="A334">
        <v>4</v>
      </c>
      <c r="B334" t="s">
        <v>33</v>
      </c>
      <c r="C334">
        <v>0</v>
      </c>
      <c r="D334">
        <v>5</v>
      </c>
      <c r="E334" s="3">
        <f t="shared" si="4"/>
        <v>4</v>
      </c>
    </row>
    <row r="335" spans="1:5" x14ac:dyDescent="0.2">
      <c r="A335">
        <v>5</v>
      </c>
      <c r="B335" t="s">
        <v>14</v>
      </c>
      <c r="C335">
        <v>0</v>
      </c>
      <c r="D335">
        <v>3</v>
      </c>
      <c r="E335" s="3">
        <f t="shared" si="4"/>
        <v>4</v>
      </c>
    </row>
    <row r="336" spans="1:5" x14ac:dyDescent="0.2">
      <c r="A336">
        <v>6</v>
      </c>
      <c r="B336" t="s">
        <v>75</v>
      </c>
      <c r="C336">
        <v>0</v>
      </c>
      <c r="D336">
        <v>2</v>
      </c>
      <c r="E336" s="3">
        <f t="shared" si="4"/>
        <v>4</v>
      </c>
    </row>
    <row r="337" spans="1:5" x14ac:dyDescent="0.2">
      <c r="A337">
        <v>7</v>
      </c>
      <c r="B337" t="s">
        <v>65</v>
      </c>
      <c r="C337">
        <v>0</v>
      </c>
      <c r="D337">
        <v>1</v>
      </c>
      <c r="E337" s="3">
        <f t="shared" si="4"/>
        <v>4</v>
      </c>
    </row>
    <row r="338" spans="1:5" x14ac:dyDescent="0.2">
      <c r="A338">
        <v>8</v>
      </c>
      <c r="B338" s="2" t="s">
        <v>10</v>
      </c>
      <c r="C338" s="2" t="s">
        <v>10</v>
      </c>
      <c r="D338" s="2" t="s">
        <v>10</v>
      </c>
      <c r="E338" s="3">
        <f t="shared" si="4"/>
        <v>4</v>
      </c>
    </row>
    <row r="339" spans="1:5" x14ac:dyDescent="0.2">
      <c r="A339" s="1" t="s">
        <v>51</v>
      </c>
      <c r="E339" s="3">
        <f t="shared" si="4"/>
        <v>4</v>
      </c>
    </row>
    <row r="340" spans="1:5" x14ac:dyDescent="0.2">
      <c r="A340" s="1" t="s">
        <v>1</v>
      </c>
      <c r="B340" s="1" t="s">
        <v>2</v>
      </c>
      <c r="C340" s="1" t="s">
        <v>3</v>
      </c>
      <c r="D340" s="1" t="s">
        <v>4</v>
      </c>
      <c r="E340" s="3">
        <f t="shared" si="4"/>
        <v>4</v>
      </c>
    </row>
    <row r="341" spans="1:5" x14ac:dyDescent="0.2">
      <c r="A341">
        <v>1</v>
      </c>
      <c r="B341" t="s">
        <v>81</v>
      </c>
      <c r="C341">
        <v>1</v>
      </c>
      <c r="D341">
        <v>17</v>
      </c>
      <c r="E341" s="3">
        <f t="shared" si="4"/>
        <v>4</v>
      </c>
    </row>
    <row r="342" spans="1:5" x14ac:dyDescent="0.2">
      <c r="A342">
        <v>2</v>
      </c>
      <c r="B342" t="s">
        <v>512</v>
      </c>
      <c r="C342">
        <v>3</v>
      </c>
      <c r="D342">
        <v>13</v>
      </c>
      <c r="E342" s="3">
        <f t="shared" si="4"/>
        <v>4</v>
      </c>
    </row>
    <row r="343" spans="1:5" x14ac:dyDescent="0.2">
      <c r="A343">
        <v>3</v>
      </c>
      <c r="B343" t="s">
        <v>25</v>
      </c>
      <c r="C343">
        <v>1</v>
      </c>
      <c r="D343">
        <v>9</v>
      </c>
      <c r="E343" s="3">
        <f t="shared" si="4"/>
        <v>4</v>
      </c>
    </row>
    <row r="344" spans="1:5" x14ac:dyDescent="0.2">
      <c r="A344">
        <v>4</v>
      </c>
      <c r="B344" t="s">
        <v>532</v>
      </c>
      <c r="C344">
        <v>1</v>
      </c>
      <c r="D344">
        <v>5</v>
      </c>
      <c r="E344" s="3">
        <f t="shared" si="4"/>
        <v>4</v>
      </c>
    </row>
    <row r="345" spans="1:5" x14ac:dyDescent="0.2">
      <c r="A345">
        <v>5</v>
      </c>
      <c r="B345" t="s">
        <v>32</v>
      </c>
      <c r="C345">
        <v>0</v>
      </c>
      <c r="D345">
        <v>3</v>
      </c>
      <c r="E345" s="3">
        <f t="shared" si="4"/>
        <v>4</v>
      </c>
    </row>
    <row r="346" spans="1:5" x14ac:dyDescent="0.2">
      <c r="A346">
        <v>6</v>
      </c>
      <c r="B346" t="s">
        <v>48</v>
      </c>
      <c r="C346">
        <v>0</v>
      </c>
      <c r="D346">
        <v>2</v>
      </c>
      <c r="E346" s="3">
        <f t="shared" si="4"/>
        <v>4</v>
      </c>
    </row>
    <row r="347" spans="1:5" x14ac:dyDescent="0.2">
      <c r="A347">
        <v>7</v>
      </c>
      <c r="B347" t="s">
        <v>476</v>
      </c>
      <c r="C347">
        <v>0</v>
      </c>
      <c r="D347">
        <v>1</v>
      </c>
      <c r="E347" s="3">
        <f t="shared" si="4"/>
        <v>4</v>
      </c>
    </row>
    <row r="348" spans="1:5" x14ac:dyDescent="0.2">
      <c r="A348">
        <v>8</v>
      </c>
      <c r="B348" s="2" t="s">
        <v>10</v>
      </c>
      <c r="C348" s="2" t="s">
        <v>10</v>
      </c>
      <c r="D348" s="2" t="s">
        <v>10</v>
      </c>
      <c r="E348" s="3">
        <f t="shared" si="4"/>
        <v>4</v>
      </c>
    </row>
    <row r="349" spans="1:5" x14ac:dyDescent="0.2">
      <c r="A349" s="1" t="s">
        <v>58</v>
      </c>
      <c r="E349" s="3">
        <f t="shared" si="4"/>
        <v>4</v>
      </c>
    </row>
    <row r="350" spans="1:5" x14ac:dyDescent="0.2">
      <c r="A350" s="1" t="s">
        <v>1</v>
      </c>
      <c r="B350" s="1" t="s">
        <v>2</v>
      </c>
      <c r="C350" s="1" t="s">
        <v>3</v>
      </c>
      <c r="D350" s="1" t="s">
        <v>4</v>
      </c>
      <c r="E350" s="3">
        <f t="shared" si="4"/>
        <v>4</v>
      </c>
    </row>
    <row r="351" spans="1:5" x14ac:dyDescent="0.2">
      <c r="A351">
        <v>1</v>
      </c>
      <c r="B351" t="s">
        <v>451</v>
      </c>
      <c r="C351">
        <v>3</v>
      </c>
      <c r="D351">
        <v>17</v>
      </c>
      <c r="E351" s="3">
        <f t="shared" si="4"/>
        <v>4</v>
      </c>
    </row>
    <row r="352" spans="1:5" x14ac:dyDescent="0.2">
      <c r="A352">
        <v>2</v>
      </c>
      <c r="B352" t="s">
        <v>280</v>
      </c>
      <c r="C352">
        <v>1</v>
      </c>
      <c r="D352">
        <v>13</v>
      </c>
      <c r="E352" s="3">
        <f t="shared" si="4"/>
        <v>4</v>
      </c>
    </row>
    <row r="353" spans="1:5" x14ac:dyDescent="0.2">
      <c r="A353">
        <v>3</v>
      </c>
      <c r="B353" t="s">
        <v>179</v>
      </c>
      <c r="C353">
        <v>2</v>
      </c>
      <c r="D353">
        <v>9</v>
      </c>
      <c r="E353" s="3">
        <f t="shared" si="4"/>
        <v>4</v>
      </c>
    </row>
    <row r="354" spans="1:5" x14ac:dyDescent="0.2">
      <c r="A354">
        <v>4</v>
      </c>
      <c r="B354" t="s">
        <v>27</v>
      </c>
      <c r="C354">
        <v>0</v>
      </c>
      <c r="D354">
        <v>5</v>
      </c>
      <c r="E354" s="3">
        <f t="shared" si="4"/>
        <v>4</v>
      </c>
    </row>
    <row r="355" spans="1:5" x14ac:dyDescent="0.2">
      <c r="A355">
        <v>5</v>
      </c>
      <c r="B355" t="s">
        <v>504</v>
      </c>
      <c r="C355">
        <v>0</v>
      </c>
      <c r="D355">
        <v>3</v>
      </c>
      <c r="E355" s="3">
        <f t="shared" ref="E355:E418" si="5">IF(A355=$A$1,E354+1,E354)</f>
        <v>4</v>
      </c>
    </row>
    <row r="356" spans="1:5" x14ac:dyDescent="0.2">
      <c r="A356">
        <v>6</v>
      </c>
      <c r="B356" t="s">
        <v>508</v>
      </c>
      <c r="C356">
        <v>0</v>
      </c>
      <c r="D356">
        <v>2</v>
      </c>
      <c r="E356" s="3">
        <f t="shared" si="5"/>
        <v>4</v>
      </c>
    </row>
    <row r="357" spans="1:5" x14ac:dyDescent="0.2">
      <c r="A357">
        <v>7</v>
      </c>
      <c r="B357" t="s">
        <v>5</v>
      </c>
      <c r="C357">
        <v>0</v>
      </c>
      <c r="D357">
        <v>1</v>
      </c>
      <c r="E357" s="3">
        <f t="shared" si="5"/>
        <v>4</v>
      </c>
    </row>
    <row r="358" spans="1:5" x14ac:dyDescent="0.2">
      <c r="A358">
        <v>8</v>
      </c>
      <c r="B358" s="2" t="s">
        <v>10</v>
      </c>
      <c r="C358" s="2" t="s">
        <v>10</v>
      </c>
      <c r="D358" s="2" t="s">
        <v>10</v>
      </c>
      <c r="E358" s="3">
        <f t="shared" si="5"/>
        <v>4</v>
      </c>
    </row>
    <row r="359" spans="1:5" x14ac:dyDescent="0.2">
      <c r="A359" s="1" t="s">
        <v>0</v>
      </c>
      <c r="E359" s="3">
        <f t="shared" si="5"/>
        <v>5</v>
      </c>
    </row>
    <row r="360" spans="1:5" x14ac:dyDescent="0.2">
      <c r="A360" s="1" t="s">
        <v>1</v>
      </c>
      <c r="B360" s="1" t="s">
        <v>2</v>
      </c>
      <c r="C360" s="1" t="s">
        <v>3</v>
      </c>
      <c r="D360" s="1" t="s">
        <v>4</v>
      </c>
      <c r="E360" s="3">
        <f t="shared" si="5"/>
        <v>5</v>
      </c>
    </row>
    <row r="361" spans="1:5" x14ac:dyDescent="0.2">
      <c r="A361">
        <v>0</v>
      </c>
      <c r="C361">
        <v>0</v>
      </c>
      <c r="D361">
        <v>0</v>
      </c>
      <c r="E361" s="3">
        <f t="shared" si="5"/>
        <v>5</v>
      </c>
    </row>
    <row r="362" spans="1:5" x14ac:dyDescent="0.2">
      <c r="A362">
        <v>0</v>
      </c>
      <c r="C362">
        <v>0</v>
      </c>
      <c r="D362">
        <v>0</v>
      </c>
      <c r="E362" s="3">
        <f t="shared" si="5"/>
        <v>5</v>
      </c>
    </row>
    <row r="363" spans="1:5" x14ac:dyDescent="0.2">
      <c r="A363">
        <v>1</v>
      </c>
      <c r="B363" t="s">
        <v>530</v>
      </c>
      <c r="C363">
        <v>2</v>
      </c>
      <c r="D363">
        <v>16</v>
      </c>
      <c r="E363" s="3">
        <f t="shared" si="5"/>
        <v>5</v>
      </c>
    </row>
    <row r="364" spans="1:5" x14ac:dyDescent="0.2">
      <c r="A364">
        <v>2</v>
      </c>
      <c r="B364" t="s">
        <v>510</v>
      </c>
      <c r="C364">
        <v>3</v>
      </c>
      <c r="D364">
        <v>12</v>
      </c>
      <c r="E364" s="3">
        <f t="shared" si="5"/>
        <v>5</v>
      </c>
    </row>
    <row r="365" spans="1:5" x14ac:dyDescent="0.2">
      <c r="A365">
        <v>3</v>
      </c>
      <c r="B365" t="s">
        <v>87</v>
      </c>
      <c r="C365">
        <v>0</v>
      </c>
      <c r="D365">
        <v>8</v>
      </c>
      <c r="E365" s="3">
        <f t="shared" si="5"/>
        <v>5</v>
      </c>
    </row>
    <row r="366" spans="1:5" x14ac:dyDescent="0.2">
      <c r="A366">
        <v>4</v>
      </c>
      <c r="B366" t="s">
        <v>493</v>
      </c>
      <c r="C366">
        <v>0</v>
      </c>
      <c r="D366">
        <v>4</v>
      </c>
      <c r="E366" s="3">
        <f t="shared" si="5"/>
        <v>5</v>
      </c>
    </row>
    <row r="367" spans="1:5" x14ac:dyDescent="0.2">
      <c r="A367">
        <v>5</v>
      </c>
      <c r="B367" t="s">
        <v>6</v>
      </c>
      <c r="C367">
        <v>0</v>
      </c>
      <c r="D367">
        <v>2</v>
      </c>
      <c r="E367" s="3">
        <f t="shared" si="5"/>
        <v>5</v>
      </c>
    </row>
    <row r="368" spans="1:5" x14ac:dyDescent="0.2">
      <c r="A368">
        <v>6</v>
      </c>
      <c r="B368" t="s">
        <v>61</v>
      </c>
      <c r="C368">
        <v>0</v>
      </c>
      <c r="D368">
        <v>1</v>
      </c>
      <c r="E368" s="3">
        <f t="shared" si="5"/>
        <v>5</v>
      </c>
    </row>
    <row r="369" spans="1:5" x14ac:dyDescent="0.2">
      <c r="A369">
        <v>9</v>
      </c>
      <c r="B369" s="2" t="s">
        <v>10</v>
      </c>
      <c r="C369" s="2" t="s">
        <v>10</v>
      </c>
      <c r="D369" s="2" t="s">
        <v>10</v>
      </c>
      <c r="E369" s="3">
        <f t="shared" si="5"/>
        <v>5</v>
      </c>
    </row>
    <row r="370" spans="1:5" x14ac:dyDescent="0.2">
      <c r="A370">
        <v>10</v>
      </c>
      <c r="B370" s="2" t="s">
        <v>10</v>
      </c>
      <c r="C370" s="2" t="s">
        <v>10</v>
      </c>
      <c r="D370" s="2" t="s">
        <v>10</v>
      </c>
      <c r="E370" s="3">
        <f t="shared" si="5"/>
        <v>5</v>
      </c>
    </row>
    <row r="371" spans="1:5" x14ac:dyDescent="0.2">
      <c r="A371" s="1" t="s">
        <v>11</v>
      </c>
      <c r="E371" s="3">
        <f t="shared" si="5"/>
        <v>5</v>
      </c>
    </row>
    <row r="372" spans="1:5" x14ac:dyDescent="0.2">
      <c r="A372" s="1" t="s">
        <v>1</v>
      </c>
      <c r="B372" s="1" t="s">
        <v>2</v>
      </c>
      <c r="C372" s="1" t="s">
        <v>3</v>
      </c>
      <c r="D372" s="1" t="s">
        <v>4</v>
      </c>
      <c r="E372" s="3">
        <f t="shared" si="5"/>
        <v>5</v>
      </c>
    </row>
    <row r="373" spans="1:5" x14ac:dyDescent="0.2">
      <c r="A373">
        <v>1</v>
      </c>
      <c r="B373" t="s">
        <v>46</v>
      </c>
      <c r="C373">
        <v>4</v>
      </c>
      <c r="D373">
        <v>17</v>
      </c>
      <c r="E373" s="3">
        <f t="shared" si="5"/>
        <v>5</v>
      </c>
    </row>
    <row r="374" spans="1:5" x14ac:dyDescent="0.2">
      <c r="A374">
        <v>2</v>
      </c>
      <c r="B374" t="s">
        <v>461</v>
      </c>
      <c r="C374">
        <v>1</v>
      </c>
      <c r="D374">
        <v>13</v>
      </c>
      <c r="E374" s="3">
        <f t="shared" si="5"/>
        <v>5</v>
      </c>
    </row>
    <row r="375" spans="1:5" x14ac:dyDescent="0.2">
      <c r="A375">
        <v>3</v>
      </c>
      <c r="B375" t="s">
        <v>35</v>
      </c>
      <c r="C375">
        <v>0</v>
      </c>
      <c r="D375">
        <v>9</v>
      </c>
      <c r="E375" s="3">
        <f t="shared" si="5"/>
        <v>5</v>
      </c>
    </row>
    <row r="376" spans="1:5" x14ac:dyDescent="0.2">
      <c r="A376">
        <v>4</v>
      </c>
      <c r="B376" t="s">
        <v>500</v>
      </c>
      <c r="C376">
        <v>0</v>
      </c>
      <c r="D376">
        <v>5</v>
      </c>
      <c r="E376" s="3">
        <f t="shared" si="5"/>
        <v>5</v>
      </c>
    </row>
    <row r="377" spans="1:5" x14ac:dyDescent="0.2">
      <c r="A377">
        <v>5</v>
      </c>
      <c r="B377" t="s">
        <v>462</v>
      </c>
      <c r="C377">
        <v>1</v>
      </c>
      <c r="D377">
        <v>3</v>
      </c>
      <c r="E377" s="3">
        <f t="shared" si="5"/>
        <v>5</v>
      </c>
    </row>
    <row r="378" spans="1:5" x14ac:dyDescent="0.2">
      <c r="A378">
        <v>6</v>
      </c>
      <c r="B378" t="s">
        <v>503</v>
      </c>
      <c r="C378">
        <v>0</v>
      </c>
      <c r="D378">
        <v>2</v>
      </c>
      <c r="E378" s="3">
        <f t="shared" si="5"/>
        <v>5</v>
      </c>
    </row>
    <row r="379" spans="1:5" x14ac:dyDescent="0.2">
      <c r="A379">
        <v>7</v>
      </c>
      <c r="B379" t="s">
        <v>65</v>
      </c>
      <c r="C379">
        <v>0</v>
      </c>
      <c r="D379">
        <v>1</v>
      </c>
      <c r="E379" s="3">
        <f t="shared" si="5"/>
        <v>5</v>
      </c>
    </row>
    <row r="380" spans="1:5" x14ac:dyDescent="0.2">
      <c r="A380">
        <v>8</v>
      </c>
      <c r="B380" s="2" t="s">
        <v>10</v>
      </c>
      <c r="C380" s="2" t="s">
        <v>10</v>
      </c>
      <c r="D380" s="2" t="s">
        <v>10</v>
      </c>
      <c r="E380" s="3">
        <f t="shared" si="5"/>
        <v>5</v>
      </c>
    </row>
    <row r="381" spans="1:5" x14ac:dyDescent="0.2">
      <c r="A381" s="1" t="s">
        <v>17</v>
      </c>
      <c r="E381" s="3">
        <f t="shared" si="5"/>
        <v>5</v>
      </c>
    </row>
    <row r="382" spans="1:5" x14ac:dyDescent="0.2">
      <c r="A382" s="1" t="s">
        <v>1</v>
      </c>
      <c r="B382" s="1" t="s">
        <v>2</v>
      </c>
      <c r="C382" s="1" t="s">
        <v>3</v>
      </c>
      <c r="D382" s="1" t="s">
        <v>4</v>
      </c>
      <c r="E382" s="3">
        <f t="shared" si="5"/>
        <v>5</v>
      </c>
    </row>
    <row r="383" spans="1:5" x14ac:dyDescent="0.2">
      <c r="A383">
        <v>1</v>
      </c>
      <c r="B383" t="s">
        <v>505</v>
      </c>
      <c r="C383">
        <v>3</v>
      </c>
      <c r="D383">
        <v>17</v>
      </c>
      <c r="E383" s="3">
        <f t="shared" si="5"/>
        <v>5</v>
      </c>
    </row>
    <row r="384" spans="1:5" x14ac:dyDescent="0.2">
      <c r="A384">
        <v>2</v>
      </c>
      <c r="B384" t="s">
        <v>454</v>
      </c>
      <c r="C384">
        <v>2</v>
      </c>
      <c r="D384">
        <v>13</v>
      </c>
      <c r="E384" s="3">
        <f t="shared" si="5"/>
        <v>5</v>
      </c>
    </row>
    <row r="385" spans="1:5" x14ac:dyDescent="0.2">
      <c r="A385">
        <v>3</v>
      </c>
      <c r="B385" t="s">
        <v>534</v>
      </c>
      <c r="C385">
        <v>1</v>
      </c>
      <c r="D385">
        <v>9</v>
      </c>
      <c r="E385" s="3">
        <f t="shared" si="5"/>
        <v>5</v>
      </c>
    </row>
    <row r="386" spans="1:5" x14ac:dyDescent="0.2">
      <c r="A386">
        <v>4</v>
      </c>
      <c r="B386" t="s">
        <v>479</v>
      </c>
      <c r="C386">
        <v>0</v>
      </c>
      <c r="D386">
        <v>5</v>
      </c>
      <c r="E386" s="3">
        <f t="shared" si="5"/>
        <v>5</v>
      </c>
    </row>
    <row r="387" spans="1:5" x14ac:dyDescent="0.2">
      <c r="A387">
        <v>5</v>
      </c>
      <c r="B387" t="s">
        <v>69</v>
      </c>
      <c r="C387">
        <v>0</v>
      </c>
      <c r="D387">
        <v>3</v>
      </c>
      <c r="E387" s="3">
        <f t="shared" si="5"/>
        <v>5</v>
      </c>
    </row>
    <row r="388" spans="1:5" x14ac:dyDescent="0.2">
      <c r="A388">
        <v>6</v>
      </c>
      <c r="B388" t="s">
        <v>9</v>
      </c>
      <c r="C388">
        <v>0</v>
      </c>
      <c r="D388">
        <v>2</v>
      </c>
      <c r="E388" s="3">
        <f t="shared" si="5"/>
        <v>5</v>
      </c>
    </row>
    <row r="389" spans="1:5" x14ac:dyDescent="0.2">
      <c r="A389">
        <v>7</v>
      </c>
      <c r="B389" t="s">
        <v>518</v>
      </c>
      <c r="C389">
        <v>0</v>
      </c>
      <c r="D389">
        <v>1</v>
      </c>
      <c r="E389" s="3">
        <f t="shared" si="5"/>
        <v>5</v>
      </c>
    </row>
    <row r="390" spans="1:5" x14ac:dyDescent="0.2">
      <c r="A390">
        <v>8</v>
      </c>
      <c r="B390" s="2" t="s">
        <v>10</v>
      </c>
      <c r="C390" s="2" t="s">
        <v>10</v>
      </c>
      <c r="D390" s="2" t="s">
        <v>10</v>
      </c>
      <c r="E390" s="3">
        <f t="shared" si="5"/>
        <v>5</v>
      </c>
    </row>
    <row r="391" spans="1:5" x14ac:dyDescent="0.2">
      <c r="A391" s="1" t="s">
        <v>24</v>
      </c>
      <c r="E391" s="3">
        <f t="shared" si="5"/>
        <v>5</v>
      </c>
    </row>
    <row r="392" spans="1:5" x14ac:dyDescent="0.2">
      <c r="A392" s="1" t="s">
        <v>1</v>
      </c>
      <c r="B392" s="1" t="s">
        <v>2</v>
      </c>
      <c r="C392" s="1" t="s">
        <v>3</v>
      </c>
      <c r="D392" s="1" t="s">
        <v>4</v>
      </c>
      <c r="E392" s="3">
        <f t="shared" si="5"/>
        <v>5</v>
      </c>
    </row>
    <row r="393" spans="1:5" x14ac:dyDescent="0.2">
      <c r="A393">
        <v>1</v>
      </c>
      <c r="B393" t="s">
        <v>476</v>
      </c>
      <c r="C393">
        <v>4</v>
      </c>
      <c r="D393">
        <v>15</v>
      </c>
      <c r="E393" s="3">
        <f t="shared" si="5"/>
        <v>5</v>
      </c>
    </row>
    <row r="394" spans="1:5" x14ac:dyDescent="0.2">
      <c r="A394">
        <v>2</v>
      </c>
      <c r="B394" t="s">
        <v>512</v>
      </c>
      <c r="C394">
        <v>0</v>
      </c>
      <c r="D394">
        <v>11</v>
      </c>
      <c r="E394" s="3">
        <f t="shared" si="5"/>
        <v>5</v>
      </c>
    </row>
    <row r="395" spans="1:5" x14ac:dyDescent="0.2">
      <c r="A395">
        <v>3</v>
      </c>
      <c r="B395" t="s">
        <v>25</v>
      </c>
      <c r="C395">
        <v>0</v>
      </c>
      <c r="D395">
        <v>7</v>
      </c>
      <c r="E395" s="3">
        <f t="shared" si="5"/>
        <v>5</v>
      </c>
    </row>
    <row r="396" spans="1:5" x14ac:dyDescent="0.2">
      <c r="A396">
        <v>4</v>
      </c>
      <c r="B396" t="s">
        <v>81</v>
      </c>
      <c r="C396">
        <v>0</v>
      </c>
      <c r="D396">
        <v>3</v>
      </c>
      <c r="E396" s="3">
        <f t="shared" si="5"/>
        <v>5</v>
      </c>
    </row>
    <row r="397" spans="1:5" x14ac:dyDescent="0.2">
      <c r="A397">
        <v>5</v>
      </c>
      <c r="B397" t="s">
        <v>345</v>
      </c>
      <c r="C397">
        <v>0</v>
      </c>
      <c r="D397">
        <v>1</v>
      </c>
      <c r="E397" s="3">
        <f t="shared" si="5"/>
        <v>5</v>
      </c>
    </row>
    <row r="398" spans="1:5" x14ac:dyDescent="0.2">
      <c r="A398">
        <v>6</v>
      </c>
      <c r="B398" s="2" t="s">
        <v>10</v>
      </c>
      <c r="C398" s="2" t="s">
        <v>10</v>
      </c>
      <c r="D398" s="2" t="s">
        <v>10</v>
      </c>
      <c r="E398" s="3">
        <f t="shared" si="5"/>
        <v>5</v>
      </c>
    </row>
    <row r="399" spans="1:5" x14ac:dyDescent="0.2">
      <c r="A399">
        <v>7</v>
      </c>
      <c r="B399" s="2" t="s">
        <v>10</v>
      </c>
      <c r="C399" s="2" t="s">
        <v>10</v>
      </c>
      <c r="D399" s="2" t="s">
        <v>10</v>
      </c>
      <c r="E399" s="3">
        <f t="shared" si="5"/>
        <v>5</v>
      </c>
    </row>
    <row r="400" spans="1:5" x14ac:dyDescent="0.2">
      <c r="A400">
        <v>8</v>
      </c>
      <c r="B400" s="2" t="s">
        <v>10</v>
      </c>
      <c r="C400" s="2" t="s">
        <v>10</v>
      </c>
      <c r="D400" s="2" t="s">
        <v>10</v>
      </c>
      <c r="E400" s="3">
        <f t="shared" si="5"/>
        <v>5</v>
      </c>
    </row>
    <row r="401" spans="1:5" x14ac:dyDescent="0.2">
      <c r="A401" s="1" t="s">
        <v>30</v>
      </c>
      <c r="E401" s="3">
        <f t="shared" si="5"/>
        <v>5</v>
      </c>
    </row>
    <row r="402" spans="1:5" x14ac:dyDescent="0.2">
      <c r="A402" s="1" t="s">
        <v>1</v>
      </c>
      <c r="B402" s="1" t="s">
        <v>2</v>
      </c>
      <c r="C402" s="1" t="s">
        <v>3</v>
      </c>
      <c r="D402" s="1" t="s">
        <v>4</v>
      </c>
      <c r="E402" s="3">
        <f t="shared" si="5"/>
        <v>5</v>
      </c>
    </row>
    <row r="403" spans="1:5" x14ac:dyDescent="0.2">
      <c r="A403">
        <v>1</v>
      </c>
      <c r="B403" t="s">
        <v>73</v>
      </c>
      <c r="C403">
        <v>2</v>
      </c>
      <c r="D403">
        <v>16</v>
      </c>
      <c r="E403" s="3">
        <f t="shared" si="5"/>
        <v>5</v>
      </c>
    </row>
    <row r="404" spans="1:5" x14ac:dyDescent="0.2">
      <c r="A404">
        <v>2</v>
      </c>
      <c r="B404" t="s">
        <v>523</v>
      </c>
      <c r="C404">
        <v>1</v>
      </c>
      <c r="D404">
        <v>12</v>
      </c>
      <c r="E404" s="3">
        <f t="shared" si="5"/>
        <v>5</v>
      </c>
    </row>
    <row r="405" spans="1:5" x14ac:dyDescent="0.2">
      <c r="A405">
        <v>3</v>
      </c>
      <c r="B405" t="s">
        <v>507</v>
      </c>
      <c r="C405">
        <v>1</v>
      </c>
      <c r="D405">
        <v>8</v>
      </c>
      <c r="E405" s="3">
        <f t="shared" si="5"/>
        <v>5</v>
      </c>
    </row>
    <row r="406" spans="1:5" x14ac:dyDescent="0.2">
      <c r="A406">
        <v>4</v>
      </c>
      <c r="B406" t="s">
        <v>34</v>
      </c>
      <c r="C406">
        <v>0</v>
      </c>
      <c r="D406">
        <v>4</v>
      </c>
      <c r="E406" s="3">
        <f t="shared" si="5"/>
        <v>5</v>
      </c>
    </row>
    <row r="407" spans="1:5" x14ac:dyDescent="0.2">
      <c r="A407">
        <v>5</v>
      </c>
      <c r="B407" t="s">
        <v>528</v>
      </c>
      <c r="C407">
        <v>1</v>
      </c>
      <c r="D407">
        <v>2</v>
      </c>
      <c r="E407" s="3">
        <f t="shared" si="5"/>
        <v>5</v>
      </c>
    </row>
    <row r="408" spans="1:5" x14ac:dyDescent="0.2">
      <c r="A408">
        <v>6</v>
      </c>
      <c r="B408" t="s">
        <v>66</v>
      </c>
      <c r="C408">
        <v>0</v>
      </c>
      <c r="D408">
        <v>1</v>
      </c>
      <c r="E408" s="3">
        <f t="shared" si="5"/>
        <v>5</v>
      </c>
    </row>
    <row r="409" spans="1:5" x14ac:dyDescent="0.2">
      <c r="A409">
        <v>7</v>
      </c>
      <c r="B409" s="2" t="s">
        <v>10</v>
      </c>
      <c r="C409" s="2" t="s">
        <v>10</v>
      </c>
      <c r="D409" s="2" t="s">
        <v>10</v>
      </c>
      <c r="E409" s="3">
        <f t="shared" si="5"/>
        <v>5</v>
      </c>
    </row>
    <row r="410" spans="1:5" x14ac:dyDescent="0.2">
      <c r="A410">
        <v>8</v>
      </c>
      <c r="B410" s="2" t="s">
        <v>10</v>
      </c>
      <c r="C410" s="2" t="s">
        <v>10</v>
      </c>
      <c r="D410" s="2" t="s">
        <v>10</v>
      </c>
      <c r="E410" s="3">
        <f t="shared" si="5"/>
        <v>5</v>
      </c>
    </row>
    <row r="411" spans="1:5" x14ac:dyDescent="0.2">
      <c r="A411" s="1" t="s">
        <v>37</v>
      </c>
      <c r="E411" s="3">
        <f t="shared" si="5"/>
        <v>5</v>
      </c>
    </row>
    <row r="412" spans="1:5" x14ac:dyDescent="0.2">
      <c r="A412" s="1" t="s">
        <v>1</v>
      </c>
      <c r="B412" s="1" t="s">
        <v>2</v>
      </c>
      <c r="C412" s="1" t="s">
        <v>3</v>
      </c>
      <c r="D412" s="1" t="s">
        <v>4</v>
      </c>
      <c r="E412" s="3">
        <f t="shared" si="5"/>
        <v>5</v>
      </c>
    </row>
    <row r="413" spans="1:5" x14ac:dyDescent="0.2">
      <c r="A413">
        <v>1</v>
      </c>
      <c r="B413" t="s">
        <v>532</v>
      </c>
      <c r="C413">
        <v>3</v>
      </c>
      <c r="D413">
        <v>17</v>
      </c>
      <c r="E413" s="3">
        <f t="shared" si="5"/>
        <v>5</v>
      </c>
    </row>
    <row r="414" spans="1:5" x14ac:dyDescent="0.2">
      <c r="A414">
        <v>2</v>
      </c>
      <c r="B414" t="s">
        <v>516</v>
      </c>
      <c r="C414">
        <v>2</v>
      </c>
      <c r="D414">
        <v>13</v>
      </c>
      <c r="E414" s="3">
        <f t="shared" si="5"/>
        <v>5</v>
      </c>
    </row>
    <row r="415" spans="1:5" x14ac:dyDescent="0.2">
      <c r="A415">
        <v>3</v>
      </c>
      <c r="B415" t="s">
        <v>280</v>
      </c>
      <c r="C415">
        <v>0</v>
      </c>
      <c r="D415">
        <v>9</v>
      </c>
      <c r="E415" s="3">
        <f t="shared" si="5"/>
        <v>5</v>
      </c>
    </row>
    <row r="416" spans="1:5" x14ac:dyDescent="0.2">
      <c r="A416">
        <v>4</v>
      </c>
      <c r="B416" t="s">
        <v>42</v>
      </c>
      <c r="C416">
        <v>1</v>
      </c>
      <c r="D416">
        <v>5</v>
      </c>
      <c r="E416" s="3">
        <f t="shared" si="5"/>
        <v>5</v>
      </c>
    </row>
    <row r="417" spans="1:5" x14ac:dyDescent="0.2">
      <c r="A417">
        <v>5</v>
      </c>
      <c r="B417" t="s">
        <v>55</v>
      </c>
      <c r="C417">
        <v>0</v>
      </c>
      <c r="D417">
        <v>3</v>
      </c>
      <c r="E417" s="3">
        <f t="shared" si="5"/>
        <v>5</v>
      </c>
    </row>
    <row r="418" spans="1:5" x14ac:dyDescent="0.2">
      <c r="A418">
        <v>6</v>
      </c>
      <c r="B418" t="s">
        <v>21</v>
      </c>
      <c r="C418">
        <v>0</v>
      </c>
      <c r="D418">
        <v>2</v>
      </c>
      <c r="E418" s="3">
        <f t="shared" si="5"/>
        <v>5</v>
      </c>
    </row>
    <row r="419" spans="1:5" x14ac:dyDescent="0.2">
      <c r="A419">
        <v>7</v>
      </c>
      <c r="B419" t="s">
        <v>99</v>
      </c>
      <c r="C419">
        <v>0</v>
      </c>
      <c r="D419">
        <v>1</v>
      </c>
      <c r="E419" s="3">
        <f t="shared" ref="E419:E482" si="6">IF(A419=$A$1,E418+1,E418)</f>
        <v>5</v>
      </c>
    </row>
    <row r="420" spans="1:5" x14ac:dyDescent="0.2">
      <c r="A420">
        <v>8</v>
      </c>
      <c r="B420" s="2" t="s">
        <v>10</v>
      </c>
      <c r="C420" s="2" t="s">
        <v>10</v>
      </c>
      <c r="D420" s="2" t="s">
        <v>10</v>
      </c>
      <c r="E420" s="3">
        <f t="shared" si="6"/>
        <v>5</v>
      </c>
    </row>
    <row r="421" spans="1:5" x14ac:dyDescent="0.2">
      <c r="A421" s="1" t="s">
        <v>44</v>
      </c>
      <c r="E421" s="3">
        <f t="shared" si="6"/>
        <v>5</v>
      </c>
    </row>
    <row r="422" spans="1:5" x14ac:dyDescent="0.2">
      <c r="A422" s="1" t="s">
        <v>1</v>
      </c>
      <c r="B422" s="1" t="s">
        <v>2</v>
      </c>
      <c r="C422" s="1" t="s">
        <v>3</v>
      </c>
      <c r="D422" s="1" t="s">
        <v>4</v>
      </c>
      <c r="E422" s="3">
        <f t="shared" si="6"/>
        <v>5</v>
      </c>
    </row>
    <row r="423" spans="1:5" x14ac:dyDescent="0.2">
      <c r="A423">
        <v>0</v>
      </c>
      <c r="C423">
        <v>0</v>
      </c>
      <c r="D423">
        <v>0</v>
      </c>
      <c r="E423" s="3">
        <f t="shared" si="6"/>
        <v>5</v>
      </c>
    </row>
    <row r="424" spans="1:5" x14ac:dyDescent="0.2">
      <c r="A424">
        <v>0</v>
      </c>
      <c r="C424">
        <v>0</v>
      </c>
      <c r="D424">
        <v>0</v>
      </c>
      <c r="E424" s="3">
        <f t="shared" si="6"/>
        <v>5</v>
      </c>
    </row>
    <row r="425" spans="1:5" x14ac:dyDescent="0.2">
      <c r="A425">
        <v>0</v>
      </c>
      <c r="C425">
        <v>0</v>
      </c>
      <c r="D425">
        <v>0</v>
      </c>
      <c r="E425" s="3">
        <f t="shared" si="6"/>
        <v>5</v>
      </c>
    </row>
    <row r="426" spans="1:5" x14ac:dyDescent="0.2">
      <c r="A426">
        <v>0</v>
      </c>
      <c r="C426">
        <v>0</v>
      </c>
      <c r="D426">
        <v>0</v>
      </c>
      <c r="E426" s="3">
        <f t="shared" si="6"/>
        <v>5</v>
      </c>
    </row>
    <row r="427" spans="1:5" x14ac:dyDescent="0.2">
      <c r="A427">
        <v>1</v>
      </c>
      <c r="B427" t="s">
        <v>75</v>
      </c>
      <c r="C427">
        <v>2</v>
      </c>
      <c r="D427">
        <v>15</v>
      </c>
      <c r="E427" s="3">
        <f t="shared" si="6"/>
        <v>5</v>
      </c>
    </row>
    <row r="428" spans="1:5" x14ac:dyDescent="0.2">
      <c r="A428">
        <v>2</v>
      </c>
      <c r="B428" t="s">
        <v>475</v>
      </c>
      <c r="C428">
        <v>1</v>
      </c>
      <c r="D428">
        <v>11</v>
      </c>
      <c r="E428" s="3">
        <f t="shared" si="6"/>
        <v>5</v>
      </c>
    </row>
    <row r="429" spans="1:5" x14ac:dyDescent="0.2">
      <c r="A429">
        <v>3</v>
      </c>
      <c r="B429" t="s">
        <v>515</v>
      </c>
      <c r="C429">
        <v>0</v>
      </c>
      <c r="D429">
        <v>7</v>
      </c>
      <c r="E429" s="3">
        <f t="shared" si="6"/>
        <v>5</v>
      </c>
    </row>
    <row r="430" spans="1:5" x14ac:dyDescent="0.2">
      <c r="A430">
        <v>4</v>
      </c>
      <c r="B430" t="s">
        <v>76</v>
      </c>
      <c r="C430">
        <v>2</v>
      </c>
      <c r="D430">
        <v>3</v>
      </c>
      <c r="E430" s="3">
        <f t="shared" si="6"/>
        <v>5</v>
      </c>
    </row>
    <row r="431" spans="1:5" x14ac:dyDescent="0.2">
      <c r="A431">
        <v>5</v>
      </c>
      <c r="B431" t="s">
        <v>29</v>
      </c>
      <c r="C431">
        <v>0</v>
      </c>
      <c r="D431">
        <v>1</v>
      </c>
      <c r="E431" s="3">
        <f t="shared" si="6"/>
        <v>5</v>
      </c>
    </row>
    <row r="432" spans="1:5" x14ac:dyDescent="0.2">
      <c r="A432">
        <v>10</v>
      </c>
      <c r="B432" s="2" t="s">
        <v>10</v>
      </c>
      <c r="C432" s="2" t="s">
        <v>10</v>
      </c>
      <c r="D432" s="2" t="s">
        <v>10</v>
      </c>
      <c r="E432" s="3">
        <f t="shared" si="6"/>
        <v>5</v>
      </c>
    </row>
    <row r="433" spans="1:5" x14ac:dyDescent="0.2">
      <c r="A433">
        <v>11</v>
      </c>
      <c r="B433" s="2" t="s">
        <v>10</v>
      </c>
      <c r="C433" s="2" t="s">
        <v>10</v>
      </c>
      <c r="D433" s="2" t="s">
        <v>10</v>
      </c>
      <c r="E433" s="3">
        <f t="shared" si="6"/>
        <v>5</v>
      </c>
    </row>
    <row r="434" spans="1:5" x14ac:dyDescent="0.2">
      <c r="A434">
        <v>12</v>
      </c>
      <c r="B434" s="2" t="s">
        <v>10</v>
      </c>
      <c r="C434" s="2" t="s">
        <v>10</v>
      </c>
      <c r="D434" s="2" t="s">
        <v>10</v>
      </c>
      <c r="E434" s="3">
        <f t="shared" si="6"/>
        <v>5</v>
      </c>
    </row>
    <row r="435" spans="1:5" x14ac:dyDescent="0.2">
      <c r="A435" s="1" t="s">
        <v>51</v>
      </c>
      <c r="E435" s="3">
        <f t="shared" si="6"/>
        <v>5</v>
      </c>
    </row>
    <row r="436" spans="1:5" x14ac:dyDescent="0.2">
      <c r="A436" s="1" t="s">
        <v>1</v>
      </c>
      <c r="B436" s="1" t="s">
        <v>2</v>
      </c>
      <c r="C436" s="1" t="s">
        <v>3</v>
      </c>
      <c r="D436" s="1" t="s">
        <v>4</v>
      </c>
      <c r="E436" s="3">
        <f t="shared" si="6"/>
        <v>5</v>
      </c>
    </row>
    <row r="437" spans="1:5" x14ac:dyDescent="0.2">
      <c r="A437">
        <v>1</v>
      </c>
      <c r="B437" t="s">
        <v>451</v>
      </c>
      <c r="C437">
        <v>5</v>
      </c>
      <c r="D437">
        <v>17</v>
      </c>
      <c r="E437" s="3">
        <f t="shared" si="6"/>
        <v>5</v>
      </c>
    </row>
    <row r="438" spans="1:5" x14ac:dyDescent="0.2">
      <c r="A438">
        <v>2</v>
      </c>
      <c r="B438" t="s">
        <v>452</v>
      </c>
      <c r="C438">
        <v>0</v>
      </c>
      <c r="D438">
        <v>13</v>
      </c>
      <c r="E438" s="3">
        <f t="shared" si="6"/>
        <v>5</v>
      </c>
    </row>
    <row r="439" spans="1:5" x14ac:dyDescent="0.2">
      <c r="A439">
        <v>3</v>
      </c>
      <c r="B439" t="s">
        <v>519</v>
      </c>
      <c r="C439">
        <v>0</v>
      </c>
      <c r="D439">
        <v>9</v>
      </c>
      <c r="E439" s="3">
        <f t="shared" si="6"/>
        <v>5</v>
      </c>
    </row>
    <row r="440" spans="1:5" x14ac:dyDescent="0.2">
      <c r="A440">
        <v>4</v>
      </c>
      <c r="B440" t="s">
        <v>261</v>
      </c>
      <c r="C440">
        <v>1</v>
      </c>
      <c r="D440">
        <v>5</v>
      </c>
      <c r="E440" s="3">
        <f t="shared" si="6"/>
        <v>5</v>
      </c>
    </row>
    <row r="441" spans="1:5" x14ac:dyDescent="0.2">
      <c r="A441">
        <v>5</v>
      </c>
      <c r="B441" t="s">
        <v>527</v>
      </c>
      <c r="C441">
        <v>0</v>
      </c>
      <c r="D441">
        <v>3</v>
      </c>
      <c r="E441" s="3">
        <f t="shared" si="6"/>
        <v>5</v>
      </c>
    </row>
    <row r="442" spans="1:5" x14ac:dyDescent="0.2">
      <c r="A442">
        <v>6</v>
      </c>
      <c r="B442" t="s">
        <v>59</v>
      </c>
      <c r="C442">
        <v>0</v>
      </c>
      <c r="D442">
        <v>2</v>
      </c>
      <c r="E442" s="3">
        <f t="shared" si="6"/>
        <v>5</v>
      </c>
    </row>
    <row r="443" spans="1:5" x14ac:dyDescent="0.2">
      <c r="A443">
        <v>7</v>
      </c>
      <c r="B443" t="s">
        <v>27</v>
      </c>
      <c r="C443">
        <v>0</v>
      </c>
      <c r="D443">
        <v>1</v>
      </c>
      <c r="E443" s="3">
        <f t="shared" si="6"/>
        <v>5</v>
      </c>
    </row>
    <row r="444" spans="1:5" x14ac:dyDescent="0.2">
      <c r="A444">
        <v>8</v>
      </c>
      <c r="B444" s="2" t="s">
        <v>10</v>
      </c>
      <c r="C444" s="2" t="s">
        <v>10</v>
      </c>
      <c r="D444" s="2" t="s">
        <v>10</v>
      </c>
      <c r="E444" s="3">
        <f t="shared" si="6"/>
        <v>5</v>
      </c>
    </row>
    <row r="445" spans="1:5" x14ac:dyDescent="0.2">
      <c r="A445" s="1" t="s">
        <v>0</v>
      </c>
      <c r="E445" s="3">
        <f t="shared" si="6"/>
        <v>6</v>
      </c>
    </row>
    <row r="446" spans="1:5" x14ac:dyDescent="0.2">
      <c r="A446" s="1" t="s">
        <v>1</v>
      </c>
      <c r="B446" s="1" t="s">
        <v>2</v>
      </c>
      <c r="C446" s="1" t="s">
        <v>3</v>
      </c>
      <c r="D446" s="1" t="s">
        <v>4</v>
      </c>
      <c r="E446" s="3">
        <f t="shared" si="6"/>
        <v>6</v>
      </c>
    </row>
    <row r="447" spans="1:5" x14ac:dyDescent="0.2">
      <c r="A447">
        <v>1</v>
      </c>
      <c r="B447" t="s">
        <v>476</v>
      </c>
      <c r="C447">
        <v>4</v>
      </c>
      <c r="D447">
        <v>16</v>
      </c>
      <c r="E447" s="3">
        <f t="shared" si="6"/>
        <v>6</v>
      </c>
    </row>
    <row r="448" spans="1:5" x14ac:dyDescent="0.2">
      <c r="A448">
        <v>2</v>
      </c>
      <c r="B448" t="s">
        <v>69</v>
      </c>
      <c r="C448">
        <v>0</v>
      </c>
      <c r="D448">
        <v>12</v>
      </c>
      <c r="E448" s="3">
        <f t="shared" si="6"/>
        <v>6</v>
      </c>
    </row>
    <row r="449" spans="1:5" x14ac:dyDescent="0.2">
      <c r="A449">
        <v>3</v>
      </c>
      <c r="B449" t="s">
        <v>461</v>
      </c>
      <c r="C449">
        <v>0</v>
      </c>
      <c r="D449">
        <v>8</v>
      </c>
      <c r="E449" s="3">
        <f t="shared" si="6"/>
        <v>6</v>
      </c>
    </row>
    <row r="450" spans="1:5" x14ac:dyDescent="0.2">
      <c r="A450">
        <v>4</v>
      </c>
      <c r="B450" t="s">
        <v>454</v>
      </c>
      <c r="C450">
        <v>0</v>
      </c>
      <c r="D450">
        <v>4</v>
      </c>
      <c r="E450" s="3">
        <f t="shared" si="6"/>
        <v>6</v>
      </c>
    </row>
    <row r="451" spans="1:5" x14ac:dyDescent="0.2">
      <c r="A451">
        <v>5</v>
      </c>
      <c r="B451" t="s">
        <v>46</v>
      </c>
      <c r="C451">
        <v>1</v>
      </c>
      <c r="D451">
        <v>2</v>
      </c>
      <c r="E451" s="3">
        <f t="shared" si="6"/>
        <v>6</v>
      </c>
    </row>
    <row r="452" spans="1:5" x14ac:dyDescent="0.2">
      <c r="A452">
        <v>6</v>
      </c>
      <c r="B452" t="s">
        <v>484</v>
      </c>
      <c r="C452">
        <v>0</v>
      </c>
      <c r="D452">
        <v>1</v>
      </c>
      <c r="E452" s="3">
        <f t="shared" si="6"/>
        <v>6</v>
      </c>
    </row>
    <row r="453" spans="1:5" x14ac:dyDescent="0.2">
      <c r="A453">
        <v>7</v>
      </c>
      <c r="B453" s="2" t="s">
        <v>10</v>
      </c>
      <c r="C453" s="2" t="s">
        <v>10</v>
      </c>
      <c r="D453" s="2" t="s">
        <v>10</v>
      </c>
      <c r="E453" s="3">
        <f t="shared" si="6"/>
        <v>6</v>
      </c>
    </row>
    <row r="454" spans="1:5" x14ac:dyDescent="0.2">
      <c r="A454">
        <v>8</v>
      </c>
      <c r="B454" s="2" t="s">
        <v>10</v>
      </c>
      <c r="C454" s="2" t="s">
        <v>10</v>
      </c>
      <c r="D454" s="2" t="s">
        <v>10</v>
      </c>
      <c r="E454" s="3">
        <f t="shared" si="6"/>
        <v>6</v>
      </c>
    </row>
    <row r="455" spans="1:5" x14ac:dyDescent="0.2">
      <c r="A455" s="1" t="s">
        <v>30</v>
      </c>
      <c r="E455" s="3">
        <f t="shared" si="6"/>
        <v>6</v>
      </c>
    </row>
    <row r="456" spans="1:5" x14ac:dyDescent="0.2">
      <c r="A456" s="1" t="s">
        <v>1</v>
      </c>
      <c r="B456" s="1" t="s">
        <v>2</v>
      </c>
      <c r="C456" s="1" t="s">
        <v>3</v>
      </c>
      <c r="D456" s="1" t="s">
        <v>4</v>
      </c>
      <c r="E456" s="3">
        <f t="shared" si="6"/>
        <v>6</v>
      </c>
    </row>
    <row r="457" spans="1:5" x14ac:dyDescent="0.2">
      <c r="A457">
        <v>0</v>
      </c>
      <c r="C457">
        <v>0</v>
      </c>
      <c r="D457">
        <v>0</v>
      </c>
      <c r="E457" s="3">
        <f t="shared" si="6"/>
        <v>6</v>
      </c>
    </row>
    <row r="458" spans="1:5" x14ac:dyDescent="0.2">
      <c r="A458">
        <v>1</v>
      </c>
      <c r="B458" t="s">
        <v>535</v>
      </c>
      <c r="C458">
        <v>3</v>
      </c>
      <c r="D458">
        <v>17</v>
      </c>
      <c r="E458" s="3">
        <f t="shared" si="6"/>
        <v>6</v>
      </c>
    </row>
    <row r="459" spans="1:5" x14ac:dyDescent="0.2">
      <c r="A459">
        <v>2</v>
      </c>
      <c r="B459" t="s">
        <v>504</v>
      </c>
      <c r="C459">
        <v>1</v>
      </c>
      <c r="D459">
        <v>13</v>
      </c>
      <c r="E459" s="3">
        <f t="shared" si="6"/>
        <v>6</v>
      </c>
    </row>
    <row r="460" spans="1:5" x14ac:dyDescent="0.2">
      <c r="A460">
        <v>3</v>
      </c>
      <c r="B460" t="s">
        <v>55</v>
      </c>
      <c r="C460">
        <v>0</v>
      </c>
      <c r="D460">
        <v>9</v>
      </c>
      <c r="E460" s="3">
        <f t="shared" si="6"/>
        <v>6</v>
      </c>
    </row>
    <row r="461" spans="1:5" x14ac:dyDescent="0.2">
      <c r="A461">
        <v>4</v>
      </c>
      <c r="B461" t="s">
        <v>32</v>
      </c>
      <c r="C461">
        <v>0</v>
      </c>
      <c r="D461">
        <v>5</v>
      </c>
      <c r="E461" s="3">
        <f t="shared" si="6"/>
        <v>6</v>
      </c>
    </row>
    <row r="462" spans="1:5" x14ac:dyDescent="0.2">
      <c r="A462">
        <v>5</v>
      </c>
      <c r="B462" t="s">
        <v>505</v>
      </c>
      <c r="C462">
        <v>1</v>
      </c>
      <c r="D462">
        <v>3</v>
      </c>
      <c r="E462" s="3">
        <f t="shared" si="6"/>
        <v>6</v>
      </c>
    </row>
    <row r="463" spans="1:5" x14ac:dyDescent="0.2">
      <c r="A463">
        <v>6</v>
      </c>
      <c r="B463" t="s">
        <v>523</v>
      </c>
      <c r="C463">
        <v>0</v>
      </c>
      <c r="D463">
        <v>2</v>
      </c>
      <c r="E463" s="3">
        <f t="shared" si="6"/>
        <v>6</v>
      </c>
    </row>
    <row r="464" spans="1:5" x14ac:dyDescent="0.2">
      <c r="A464">
        <v>7</v>
      </c>
      <c r="B464" t="s">
        <v>179</v>
      </c>
      <c r="C464">
        <v>0</v>
      </c>
      <c r="D464">
        <v>1</v>
      </c>
      <c r="E464" s="3">
        <f t="shared" si="6"/>
        <v>6</v>
      </c>
    </row>
    <row r="465" spans="1:5" x14ac:dyDescent="0.2">
      <c r="A465">
        <v>9</v>
      </c>
      <c r="B465" s="2" t="s">
        <v>10</v>
      </c>
      <c r="C465" s="2" t="s">
        <v>10</v>
      </c>
      <c r="D465" s="2" t="s">
        <v>10</v>
      </c>
      <c r="E465" s="3">
        <f t="shared" si="6"/>
        <v>6</v>
      </c>
    </row>
    <row r="466" spans="1:5" x14ac:dyDescent="0.2">
      <c r="A466" s="1" t="s">
        <v>17</v>
      </c>
      <c r="E466" s="3">
        <f t="shared" si="6"/>
        <v>6</v>
      </c>
    </row>
    <row r="467" spans="1:5" x14ac:dyDescent="0.2">
      <c r="A467" s="1" t="s">
        <v>1</v>
      </c>
      <c r="B467" s="1" t="s">
        <v>2</v>
      </c>
      <c r="C467" s="1" t="s">
        <v>3</v>
      </c>
      <c r="D467" s="1" t="s">
        <v>4</v>
      </c>
      <c r="E467" s="3">
        <f t="shared" si="6"/>
        <v>6</v>
      </c>
    </row>
    <row r="468" spans="1:5" x14ac:dyDescent="0.2">
      <c r="A468">
        <v>1</v>
      </c>
      <c r="B468" t="s">
        <v>534</v>
      </c>
      <c r="C468">
        <v>2</v>
      </c>
      <c r="D468">
        <v>16</v>
      </c>
      <c r="E468" s="3">
        <f t="shared" si="6"/>
        <v>6</v>
      </c>
    </row>
    <row r="469" spans="1:5" x14ac:dyDescent="0.2">
      <c r="A469">
        <v>2</v>
      </c>
      <c r="B469" t="s">
        <v>76</v>
      </c>
      <c r="C469">
        <v>2</v>
      </c>
      <c r="D469">
        <v>12</v>
      </c>
      <c r="E469" s="3">
        <f t="shared" si="6"/>
        <v>6</v>
      </c>
    </row>
    <row r="470" spans="1:5" x14ac:dyDescent="0.2">
      <c r="A470">
        <v>3</v>
      </c>
      <c r="B470" t="s">
        <v>531</v>
      </c>
      <c r="C470">
        <v>1</v>
      </c>
      <c r="D470">
        <v>8</v>
      </c>
      <c r="E470" s="3">
        <f t="shared" si="6"/>
        <v>6</v>
      </c>
    </row>
    <row r="471" spans="1:5" x14ac:dyDescent="0.2">
      <c r="A471">
        <v>4</v>
      </c>
      <c r="B471" t="s">
        <v>9</v>
      </c>
      <c r="C471">
        <v>0</v>
      </c>
      <c r="D471">
        <v>4</v>
      </c>
      <c r="E471" s="3">
        <f t="shared" si="6"/>
        <v>6</v>
      </c>
    </row>
    <row r="472" spans="1:5" x14ac:dyDescent="0.2">
      <c r="A472">
        <v>5</v>
      </c>
      <c r="B472" t="s">
        <v>15</v>
      </c>
      <c r="C472">
        <v>0</v>
      </c>
      <c r="D472">
        <v>2</v>
      </c>
      <c r="E472" s="3">
        <f t="shared" si="6"/>
        <v>6</v>
      </c>
    </row>
    <row r="473" spans="1:5" x14ac:dyDescent="0.2">
      <c r="A473">
        <v>6</v>
      </c>
      <c r="B473" t="s">
        <v>507</v>
      </c>
      <c r="C473">
        <v>0</v>
      </c>
      <c r="D473">
        <v>1</v>
      </c>
      <c r="E473" s="3">
        <f t="shared" si="6"/>
        <v>6</v>
      </c>
    </row>
    <row r="474" spans="1:5" x14ac:dyDescent="0.2">
      <c r="A474">
        <v>7</v>
      </c>
      <c r="B474" s="2" t="s">
        <v>10</v>
      </c>
      <c r="C474" s="2" t="s">
        <v>10</v>
      </c>
      <c r="D474" s="2" t="s">
        <v>10</v>
      </c>
      <c r="E474" s="3">
        <f t="shared" si="6"/>
        <v>6</v>
      </c>
    </row>
    <row r="475" spans="1:5" x14ac:dyDescent="0.2">
      <c r="A475">
        <v>8</v>
      </c>
      <c r="B475" s="2" t="s">
        <v>10</v>
      </c>
      <c r="C475" s="2" t="s">
        <v>10</v>
      </c>
      <c r="D475" s="2" t="s">
        <v>10</v>
      </c>
      <c r="E475" s="3">
        <f t="shared" si="6"/>
        <v>6</v>
      </c>
    </row>
    <row r="476" spans="1:5" x14ac:dyDescent="0.2">
      <c r="A476" s="1" t="s">
        <v>24</v>
      </c>
      <c r="E476" s="3">
        <f t="shared" si="6"/>
        <v>6</v>
      </c>
    </row>
    <row r="477" spans="1:5" x14ac:dyDescent="0.2">
      <c r="A477" s="1" t="s">
        <v>1</v>
      </c>
      <c r="B477" s="1" t="s">
        <v>2</v>
      </c>
      <c r="C477" s="1" t="s">
        <v>3</v>
      </c>
      <c r="D477" s="1" t="s">
        <v>4</v>
      </c>
      <c r="E477" s="3">
        <f t="shared" si="6"/>
        <v>6</v>
      </c>
    </row>
    <row r="478" spans="1:5" x14ac:dyDescent="0.2">
      <c r="A478">
        <v>1</v>
      </c>
      <c r="B478" t="s">
        <v>40</v>
      </c>
      <c r="C478">
        <v>2</v>
      </c>
      <c r="D478">
        <v>17</v>
      </c>
      <c r="E478" s="3">
        <f t="shared" si="6"/>
        <v>6</v>
      </c>
    </row>
    <row r="479" spans="1:5" x14ac:dyDescent="0.2">
      <c r="A479">
        <v>2</v>
      </c>
      <c r="B479" t="s">
        <v>61</v>
      </c>
      <c r="C479">
        <v>2</v>
      </c>
      <c r="D479">
        <v>13</v>
      </c>
      <c r="E479" s="3">
        <f t="shared" si="6"/>
        <v>6</v>
      </c>
    </row>
    <row r="480" spans="1:5" x14ac:dyDescent="0.2">
      <c r="A480">
        <v>3</v>
      </c>
      <c r="B480" t="s">
        <v>503</v>
      </c>
      <c r="C480">
        <v>0</v>
      </c>
      <c r="D480">
        <v>9</v>
      </c>
      <c r="E480" s="3">
        <f t="shared" si="6"/>
        <v>6</v>
      </c>
    </row>
    <row r="481" spans="1:5" x14ac:dyDescent="0.2">
      <c r="A481">
        <v>4</v>
      </c>
      <c r="B481" t="s">
        <v>451</v>
      </c>
      <c r="C481">
        <v>2</v>
      </c>
      <c r="D481">
        <v>5</v>
      </c>
      <c r="E481" s="3">
        <f t="shared" si="6"/>
        <v>6</v>
      </c>
    </row>
    <row r="482" spans="1:5" x14ac:dyDescent="0.2">
      <c r="A482">
        <v>5</v>
      </c>
      <c r="B482" t="s">
        <v>490</v>
      </c>
      <c r="C482">
        <v>0</v>
      </c>
      <c r="D482">
        <v>3</v>
      </c>
      <c r="E482" s="3">
        <f t="shared" si="6"/>
        <v>6</v>
      </c>
    </row>
    <row r="483" spans="1:5" x14ac:dyDescent="0.2">
      <c r="A483">
        <v>6</v>
      </c>
      <c r="B483" t="s">
        <v>5</v>
      </c>
      <c r="C483">
        <v>0</v>
      </c>
      <c r="D483">
        <v>2</v>
      </c>
      <c r="E483" s="3">
        <f t="shared" ref="E483:E546" si="7">IF(A483=$A$1,E482+1,E482)</f>
        <v>6</v>
      </c>
    </row>
    <row r="484" spans="1:5" x14ac:dyDescent="0.2">
      <c r="A484">
        <v>7</v>
      </c>
      <c r="B484" t="s">
        <v>475</v>
      </c>
      <c r="C484">
        <v>0</v>
      </c>
      <c r="D484">
        <v>1</v>
      </c>
      <c r="E484" s="3">
        <f t="shared" si="7"/>
        <v>6</v>
      </c>
    </row>
    <row r="485" spans="1:5" x14ac:dyDescent="0.2">
      <c r="A485">
        <v>8</v>
      </c>
      <c r="B485" s="2" t="s">
        <v>10</v>
      </c>
      <c r="C485" s="2" t="s">
        <v>10</v>
      </c>
      <c r="D485" s="2" t="s">
        <v>10</v>
      </c>
      <c r="E485" s="3">
        <f t="shared" si="7"/>
        <v>6</v>
      </c>
    </row>
    <row r="486" spans="1:5" x14ac:dyDescent="0.2">
      <c r="A486" s="1" t="s">
        <v>11</v>
      </c>
      <c r="E486" s="3">
        <f t="shared" si="7"/>
        <v>6</v>
      </c>
    </row>
    <row r="487" spans="1:5" x14ac:dyDescent="0.2">
      <c r="A487" s="1" t="s">
        <v>1</v>
      </c>
      <c r="B487" s="1" t="s">
        <v>2</v>
      </c>
      <c r="C487" s="1" t="s">
        <v>3</v>
      </c>
      <c r="D487" s="1" t="s">
        <v>4</v>
      </c>
      <c r="E487" s="3">
        <f t="shared" si="7"/>
        <v>6</v>
      </c>
    </row>
    <row r="488" spans="1:5" x14ac:dyDescent="0.2">
      <c r="A488">
        <v>1</v>
      </c>
      <c r="B488" t="s">
        <v>6</v>
      </c>
      <c r="C488">
        <v>2</v>
      </c>
      <c r="D488">
        <v>17</v>
      </c>
      <c r="E488" s="3">
        <f t="shared" si="7"/>
        <v>6</v>
      </c>
    </row>
    <row r="489" spans="1:5" x14ac:dyDescent="0.2">
      <c r="A489">
        <v>2</v>
      </c>
      <c r="B489" t="s">
        <v>525</v>
      </c>
      <c r="C489">
        <v>1</v>
      </c>
      <c r="D489">
        <v>13</v>
      </c>
      <c r="E489" s="3">
        <f t="shared" si="7"/>
        <v>6</v>
      </c>
    </row>
    <row r="490" spans="1:5" x14ac:dyDescent="0.2">
      <c r="A490">
        <v>3</v>
      </c>
      <c r="B490" t="s">
        <v>345</v>
      </c>
      <c r="C490">
        <v>1</v>
      </c>
      <c r="D490">
        <v>9</v>
      </c>
      <c r="E490" s="3">
        <f t="shared" si="7"/>
        <v>6</v>
      </c>
    </row>
    <row r="491" spans="1:5" x14ac:dyDescent="0.2">
      <c r="A491">
        <v>4</v>
      </c>
      <c r="B491" t="s">
        <v>509</v>
      </c>
      <c r="C491">
        <v>0</v>
      </c>
      <c r="D491">
        <v>5</v>
      </c>
      <c r="E491" s="3">
        <f t="shared" si="7"/>
        <v>6</v>
      </c>
    </row>
    <row r="492" spans="1:5" x14ac:dyDescent="0.2">
      <c r="A492">
        <v>5</v>
      </c>
      <c r="B492" t="s">
        <v>530</v>
      </c>
      <c r="C492">
        <v>0</v>
      </c>
      <c r="D492">
        <v>3</v>
      </c>
      <c r="E492" s="3">
        <f t="shared" si="7"/>
        <v>6</v>
      </c>
    </row>
    <row r="493" spans="1:5" x14ac:dyDescent="0.2">
      <c r="A493">
        <v>6</v>
      </c>
      <c r="B493" t="s">
        <v>87</v>
      </c>
      <c r="C493">
        <v>0</v>
      </c>
      <c r="D493">
        <v>2</v>
      </c>
      <c r="E493" s="3">
        <f t="shared" si="7"/>
        <v>6</v>
      </c>
    </row>
    <row r="494" spans="1:5" x14ac:dyDescent="0.2">
      <c r="A494">
        <v>7</v>
      </c>
      <c r="B494" t="s">
        <v>501</v>
      </c>
      <c r="C494">
        <v>0</v>
      </c>
      <c r="D494">
        <v>1</v>
      </c>
      <c r="E494" s="3">
        <f t="shared" si="7"/>
        <v>6</v>
      </c>
    </row>
    <row r="495" spans="1:5" x14ac:dyDescent="0.2">
      <c r="A495">
        <v>8</v>
      </c>
      <c r="B495" s="2" t="s">
        <v>10</v>
      </c>
      <c r="C495" s="2" t="s">
        <v>10</v>
      </c>
      <c r="D495" s="2" t="s">
        <v>10</v>
      </c>
      <c r="E495" s="3">
        <f t="shared" si="7"/>
        <v>6</v>
      </c>
    </row>
    <row r="496" spans="1:5" x14ac:dyDescent="0.2">
      <c r="A496" s="1" t="s">
        <v>37</v>
      </c>
      <c r="E496" s="3">
        <f t="shared" si="7"/>
        <v>6</v>
      </c>
    </row>
    <row r="497" spans="1:5" x14ac:dyDescent="0.2">
      <c r="A497" s="1" t="s">
        <v>1</v>
      </c>
      <c r="B497" s="1" t="s">
        <v>2</v>
      </c>
      <c r="C497" s="1" t="s">
        <v>3</v>
      </c>
      <c r="D497" s="1" t="s">
        <v>4</v>
      </c>
      <c r="E497" s="3">
        <f t="shared" si="7"/>
        <v>6</v>
      </c>
    </row>
    <row r="498" spans="1:5" x14ac:dyDescent="0.2">
      <c r="A498">
        <v>1</v>
      </c>
      <c r="B498" t="s">
        <v>66</v>
      </c>
      <c r="C498">
        <v>5</v>
      </c>
      <c r="D498">
        <v>17</v>
      </c>
      <c r="E498" s="3">
        <f t="shared" si="7"/>
        <v>6</v>
      </c>
    </row>
    <row r="499" spans="1:5" x14ac:dyDescent="0.2">
      <c r="A499">
        <v>2</v>
      </c>
      <c r="B499" t="s">
        <v>33</v>
      </c>
      <c r="C499">
        <v>0</v>
      </c>
      <c r="D499">
        <v>13</v>
      </c>
      <c r="E499" s="3">
        <f t="shared" si="7"/>
        <v>6</v>
      </c>
    </row>
    <row r="500" spans="1:5" x14ac:dyDescent="0.2">
      <c r="A500">
        <v>3</v>
      </c>
      <c r="B500" t="s">
        <v>14</v>
      </c>
      <c r="C500">
        <v>0</v>
      </c>
      <c r="D500">
        <v>9</v>
      </c>
      <c r="E500" s="3">
        <f t="shared" si="7"/>
        <v>6</v>
      </c>
    </row>
    <row r="501" spans="1:5" x14ac:dyDescent="0.2">
      <c r="A501">
        <v>4</v>
      </c>
      <c r="B501" t="s">
        <v>27</v>
      </c>
      <c r="C501">
        <v>1</v>
      </c>
      <c r="D501">
        <v>5</v>
      </c>
      <c r="E501" s="3">
        <f t="shared" si="7"/>
        <v>6</v>
      </c>
    </row>
    <row r="502" spans="1:5" x14ac:dyDescent="0.2">
      <c r="A502">
        <v>5</v>
      </c>
      <c r="B502" t="s">
        <v>500</v>
      </c>
      <c r="C502">
        <v>0</v>
      </c>
      <c r="D502">
        <v>3</v>
      </c>
      <c r="E502" s="3">
        <f t="shared" si="7"/>
        <v>6</v>
      </c>
    </row>
    <row r="503" spans="1:5" x14ac:dyDescent="0.2">
      <c r="A503">
        <v>6</v>
      </c>
      <c r="B503" t="s">
        <v>74</v>
      </c>
      <c r="C503">
        <v>0</v>
      </c>
      <c r="D503">
        <v>2</v>
      </c>
      <c r="E503" s="3">
        <f t="shared" si="7"/>
        <v>6</v>
      </c>
    </row>
    <row r="504" spans="1:5" x14ac:dyDescent="0.2">
      <c r="A504">
        <v>7</v>
      </c>
      <c r="B504" t="s">
        <v>491</v>
      </c>
      <c r="C504">
        <v>0</v>
      </c>
      <c r="D504">
        <v>1</v>
      </c>
      <c r="E504" s="3">
        <f t="shared" si="7"/>
        <v>6</v>
      </c>
    </row>
    <row r="505" spans="1:5" x14ac:dyDescent="0.2">
      <c r="A505">
        <v>8</v>
      </c>
      <c r="B505" s="2" t="s">
        <v>10</v>
      </c>
      <c r="C505" s="2" t="s">
        <v>10</v>
      </c>
      <c r="D505" s="2" t="s">
        <v>10</v>
      </c>
      <c r="E505" s="3">
        <f t="shared" si="7"/>
        <v>6</v>
      </c>
    </row>
    <row r="506" spans="1:5" x14ac:dyDescent="0.2">
      <c r="A506" s="1" t="s">
        <v>44</v>
      </c>
      <c r="E506" s="3">
        <f t="shared" si="7"/>
        <v>6</v>
      </c>
    </row>
    <row r="507" spans="1:5" x14ac:dyDescent="0.2">
      <c r="A507" s="1" t="s">
        <v>1</v>
      </c>
      <c r="B507" s="1" t="s">
        <v>2</v>
      </c>
      <c r="C507" s="1" t="s">
        <v>3</v>
      </c>
      <c r="D507" s="1" t="s">
        <v>4</v>
      </c>
      <c r="E507" s="3">
        <f t="shared" si="7"/>
        <v>6</v>
      </c>
    </row>
    <row r="508" spans="1:5" x14ac:dyDescent="0.2">
      <c r="A508">
        <v>0</v>
      </c>
      <c r="C508">
        <v>0</v>
      </c>
      <c r="D508">
        <v>0</v>
      </c>
      <c r="E508" s="3">
        <f t="shared" si="7"/>
        <v>6</v>
      </c>
    </row>
    <row r="509" spans="1:5" x14ac:dyDescent="0.2">
      <c r="A509">
        <v>1</v>
      </c>
      <c r="B509" t="s">
        <v>25</v>
      </c>
      <c r="C509">
        <v>3</v>
      </c>
      <c r="D509">
        <v>17</v>
      </c>
      <c r="E509" s="3">
        <f t="shared" si="7"/>
        <v>6</v>
      </c>
    </row>
    <row r="510" spans="1:5" x14ac:dyDescent="0.2">
      <c r="A510">
        <v>2</v>
      </c>
      <c r="B510" t="s">
        <v>35</v>
      </c>
      <c r="C510">
        <v>0</v>
      </c>
      <c r="D510">
        <v>13</v>
      </c>
      <c r="E510" s="3">
        <f t="shared" si="7"/>
        <v>6</v>
      </c>
    </row>
    <row r="511" spans="1:5" x14ac:dyDescent="0.2">
      <c r="A511">
        <v>3</v>
      </c>
      <c r="B511" t="s">
        <v>479</v>
      </c>
      <c r="C511">
        <v>0</v>
      </c>
      <c r="D511">
        <v>9</v>
      </c>
      <c r="E511" s="3">
        <f t="shared" si="7"/>
        <v>6</v>
      </c>
    </row>
    <row r="512" spans="1:5" x14ac:dyDescent="0.2">
      <c r="A512">
        <v>4</v>
      </c>
      <c r="B512" t="s">
        <v>19</v>
      </c>
      <c r="C512">
        <v>1</v>
      </c>
      <c r="D512">
        <v>5</v>
      </c>
      <c r="E512" s="3">
        <f t="shared" si="7"/>
        <v>6</v>
      </c>
    </row>
    <row r="513" spans="1:5" x14ac:dyDescent="0.2">
      <c r="A513">
        <v>5</v>
      </c>
      <c r="B513" t="s">
        <v>533</v>
      </c>
      <c r="C513">
        <v>1</v>
      </c>
      <c r="D513">
        <v>3</v>
      </c>
      <c r="E513" s="3">
        <f t="shared" si="7"/>
        <v>6</v>
      </c>
    </row>
    <row r="514" spans="1:5" x14ac:dyDescent="0.2">
      <c r="A514">
        <v>6</v>
      </c>
      <c r="B514" t="s">
        <v>512</v>
      </c>
      <c r="C514">
        <v>0</v>
      </c>
      <c r="D514">
        <v>2</v>
      </c>
      <c r="E514" s="3">
        <f t="shared" si="7"/>
        <v>6</v>
      </c>
    </row>
    <row r="515" spans="1:5" x14ac:dyDescent="0.2">
      <c r="A515">
        <v>7</v>
      </c>
      <c r="B515" t="s">
        <v>528</v>
      </c>
      <c r="C515">
        <v>0</v>
      </c>
      <c r="D515">
        <v>1</v>
      </c>
      <c r="E515" s="3">
        <f t="shared" si="7"/>
        <v>6</v>
      </c>
    </row>
    <row r="516" spans="1:5" x14ac:dyDescent="0.2">
      <c r="A516">
        <v>9</v>
      </c>
      <c r="B516" s="2" t="s">
        <v>10</v>
      </c>
      <c r="C516" s="2" t="s">
        <v>10</v>
      </c>
      <c r="D516" s="2" t="s">
        <v>10</v>
      </c>
      <c r="E516" s="3">
        <f t="shared" si="7"/>
        <v>6</v>
      </c>
    </row>
    <row r="517" spans="1:5" x14ac:dyDescent="0.2">
      <c r="A517" s="1" t="s">
        <v>51</v>
      </c>
      <c r="E517" s="3">
        <f t="shared" si="7"/>
        <v>6</v>
      </c>
    </row>
    <row r="518" spans="1:5" x14ac:dyDescent="0.2">
      <c r="A518" s="1" t="s">
        <v>1</v>
      </c>
      <c r="B518" s="1" t="s">
        <v>2</v>
      </c>
      <c r="C518" s="1" t="s">
        <v>3</v>
      </c>
      <c r="D518" s="1" t="s">
        <v>4</v>
      </c>
      <c r="E518" s="3">
        <f t="shared" si="7"/>
        <v>6</v>
      </c>
    </row>
    <row r="519" spans="1:5" x14ac:dyDescent="0.2">
      <c r="A519">
        <v>1</v>
      </c>
      <c r="B519" t="s">
        <v>53</v>
      </c>
      <c r="C519">
        <v>4</v>
      </c>
      <c r="D519">
        <v>17</v>
      </c>
      <c r="E519" s="3">
        <f t="shared" si="7"/>
        <v>6</v>
      </c>
    </row>
    <row r="520" spans="1:5" x14ac:dyDescent="0.2">
      <c r="A520">
        <v>2</v>
      </c>
      <c r="B520" t="s">
        <v>81</v>
      </c>
      <c r="C520">
        <v>2</v>
      </c>
      <c r="D520">
        <v>13</v>
      </c>
      <c r="E520" s="3">
        <f t="shared" si="7"/>
        <v>6</v>
      </c>
    </row>
    <row r="521" spans="1:5" x14ac:dyDescent="0.2">
      <c r="A521">
        <v>3</v>
      </c>
      <c r="B521" t="s">
        <v>75</v>
      </c>
      <c r="C521">
        <v>0</v>
      </c>
      <c r="D521">
        <v>9</v>
      </c>
      <c r="E521" s="3">
        <f t="shared" si="7"/>
        <v>6</v>
      </c>
    </row>
    <row r="522" spans="1:5" x14ac:dyDescent="0.2">
      <c r="A522">
        <v>4</v>
      </c>
      <c r="B522" t="s">
        <v>521</v>
      </c>
      <c r="C522">
        <v>0</v>
      </c>
      <c r="D522">
        <v>5</v>
      </c>
      <c r="E522" s="3">
        <f t="shared" si="7"/>
        <v>6</v>
      </c>
    </row>
    <row r="523" spans="1:5" x14ac:dyDescent="0.2">
      <c r="A523">
        <v>5</v>
      </c>
      <c r="B523" t="s">
        <v>21</v>
      </c>
      <c r="C523">
        <v>0</v>
      </c>
      <c r="D523">
        <v>3</v>
      </c>
      <c r="E523" s="3">
        <f t="shared" si="7"/>
        <v>6</v>
      </c>
    </row>
    <row r="524" spans="1:5" x14ac:dyDescent="0.2">
      <c r="A524">
        <v>6</v>
      </c>
      <c r="B524" t="s">
        <v>493</v>
      </c>
      <c r="C524">
        <v>0</v>
      </c>
      <c r="D524">
        <v>2</v>
      </c>
      <c r="E524" s="3">
        <f t="shared" si="7"/>
        <v>6</v>
      </c>
    </row>
    <row r="525" spans="1:5" x14ac:dyDescent="0.2">
      <c r="A525">
        <v>7</v>
      </c>
      <c r="B525" t="s">
        <v>462</v>
      </c>
      <c r="C525">
        <v>0</v>
      </c>
      <c r="D525">
        <v>1</v>
      </c>
      <c r="E525" s="3">
        <f t="shared" si="7"/>
        <v>6</v>
      </c>
    </row>
    <row r="526" spans="1:5" x14ac:dyDescent="0.2">
      <c r="A526">
        <v>8</v>
      </c>
      <c r="B526" s="2" t="s">
        <v>10</v>
      </c>
      <c r="C526" s="2" t="s">
        <v>10</v>
      </c>
      <c r="D526" s="2" t="s">
        <v>10</v>
      </c>
      <c r="E526" s="3">
        <f t="shared" si="7"/>
        <v>6</v>
      </c>
    </row>
    <row r="527" spans="1:5" x14ac:dyDescent="0.2">
      <c r="A527" s="1" t="s">
        <v>58</v>
      </c>
      <c r="E527" s="3">
        <f t="shared" si="7"/>
        <v>6</v>
      </c>
    </row>
    <row r="528" spans="1:5" x14ac:dyDescent="0.2">
      <c r="A528" s="1" t="s">
        <v>1</v>
      </c>
      <c r="B528" s="1" t="s">
        <v>2</v>
      </c>
      <c r="C528" s="1" t="s">
        <v>3</v>
      </c>
      <c r="D528" s="1" t="s">
        <v>4</v>
      </c>
      <c r="E528" s="3">
        <f t="shared" si="7"/>
        <v>6</v>
      </c>
    </row>
    <row r="529" spans="1:5" x14ac:dyDescent="0.2">
      <c r="A529">
        <v>1</v>
      </c>
      <c r="B529" t="s">
        <v>42</v>
      </c>
      <c r="C529">
        <v>4</v>
      </c>
      <c r="D529">
        <v>17</v>
      </c>
      <c r="E529" s="3">
        <f t="shared" si="7"/>
        <v>6</v>
      </c>
    </row>
    <row r="530" spans="1:5" x14ac:dyDescent="0.2">
      <c r="A530">
        <v>2</v>
      </c>
      <c r="B530" t="s">
        <v>452</v>
      </c>
      <c r="C530">
        <v>1</v>
      </c>
      <c r="D530">
        <v>13</v>
      </c>
      <c r="E530" s="3">
        <f t="shared" si="7"/>
        <v>6</v>
      </c>
    </row>
    <row r="531" spans="1:5" x14ac:dyDescent="0.2">
      <c r="A531">
        <v>3</v>
      </c>
      <c r="B531" t="s">
        <v>516</v>
      </c>
      <c r="C531">
        <v>1</v>
      </c>
      <c r="D531">
        <v>9</v>
      </c>
      <c r="E531" s="3">
        <f t="shared" si="7"/>
        <v>6</v>
      </c>
    </row>
    <row r="532" spans="1:5" x14ac:dyDescent="0.2">
      <c r="A532">
        <v>4</v>
      </c>
      <c r="B532" t="s">
        <v>536</v>
      </c>
      <c r="C532">
        <v>0</v>
      </c>
      <c r="D532">
        <v>5</v>
      </c>
      <c r="E532" s="3">
        <f t="shared" si="7"/>
        <v>6</v>
      </c>
    </row>
    <row r="533" spans="1:5" x14ac:dyDescent="0.2">
      <c r="A533">
        <v>5</v>
      </c>
      <c r="B533" t="s">
        <v>59</v>
      </c>
      <c r="C533">
        <v>0</v>
      </c>
      <c r="D533">
        <v>3</v>
      </c>
      <c r="E533" s="3">
        <f t="shared" si="7"/>
        <v>6</v>
      </c>
    </row>
    <row r="534" spans="1:5" x14ac:dyDescent="0.2">
      <c r="A534">
        <v>6</v>
      </c>
      <c r="B534" t="s">
        <v>20</v>
      </c>
      <c r="C534">
        <v>0</v>
      </c>
      <c r="D534">
        <v>2</v>
      </c>
      <c r="E534" s="3">
        <f t="shared" si="7"/>
        <v>6</v>
      </c>
    </row>
    <row r="535" spans="1:5" x14ac:dyDescent="0.2">
      <c r="A535">
        <v>7</v>
      </c>
      <c r="B535" t="s">
        <v>280</v>
      </c>
      <c r="C535">
        <v>0</v>
      </c>
      <c r="D535">
        <v>1</v>
      </c>
      <c r="E535" s="3">
        <f t="shared" si="7"/>
        <v>6</v>
      </c>
    </row>
    <row r="536" spans="1:5" x14ac:dyDescent="0.2">
      <c r="A536">
        <v>8</v>
      </c>
      <c r="B536" s="2" t="s">
        <v>10</v>
      </c>
      <c r="C536" s="2" t="s">
        <v>10</v>
      </c>
      <c r="D536" s="2"/>
      <c r="E536" s="3">
        <f t="shared" si="7"/>
        <v>6</v>
      </c>
    </row>
    <row r="537" spans="1:5" x14ac:dyDescent="0.2">
      <c r="A537" s="1" t="s">
        <v>537</v>
      </c>
      <c r="E537" s="3">
        <f t="shared" si="7"/>
        <v>7</v>
      </c>
    </row>
    <row r="538" spans="1:5" x14ac:dyDescent="0.2">
      <c r="A538" s="1" t="s">
        <v>1</v>
      </c>
      <c r="B538" s="1" t="s">
        <v>2</v>
      </c>
      <c r="C538" s="1" t="s">
        <v>3</v>
      </c>
      <c r="D538" s="1" t="s">
        <v>4</v>
      </c>
      <c r="E538" s="3">
        <f t="shared" si="7"/>
        <v>7</v>
      </c>
    </row>
    <row r="539" spans="1:5" x14ac:dyDescent="0.2">
      <c r="A539">
        <v>1</v>
      </c>
      <c r="B539" t="s">
        <v>27</v>
      </c>
      <c r="C539">
        <v>2</v>
      </c>
      <c r="D539">
        <v>16</v>
      </c>
      <c r="E539" s="3">
        <f t="shared" si="7"/>
        <v>7</v>
      </c>
    </row>
    <row r="540" spans="1:5" x14ac:dyDescent="0.2">
      <c r="A540">
        <v>2</v>
      </c>
      <c r="B540" t="s">
        <v>69</v>
      </c>
      <c r="C540">
        <v>1</v>
      </c>
      <c r="D540">
        <v>12</v>
      </c>
      <c r="E540" s="3">
        <f t="shared" si="7"/>
        <v>7</v>
      </c>
    </row>
    <row r="541" spans="1:5" x14ac:dyDescent="0.2">
      <c r="A541">
        <v>3</v>
      </c>
      <c r="B541" t="s">
        <v>75</v>
      </c>
      <c r="C541">
        <v>1</v>
      </c>
      <c r="D541">
        <v>8</v>
      </c>
      <c r="E541" s="3">
        <f t="shared" si="7"/>
        <v>7</v>
      </c>
    </row>
    <row r="542" spans="1:5" x14ac:dyDescent="0.2">
      <c r="A542">
        <v>4</v>
      </c>
      <c r="B542" t="s">
        <v>33</v>
      </c>
      <c r="C542">
        <v>0</v>
      </c>
      <c r="D542">
        <v>4</v>
      </c>
      <c r="E542" s="3">
        <f t="shared" si="7"/>
        <v>7</v>
      </c>
    </row>
    <row r="543" spans="1:5" x14ac:dyDescent="0.2">
      <c r="A543">
        <v>5</v>
      </c>
      <c r="B543" t="s">
        <v>503</v>
      </c>
      <c r="C543">
        <v>1</v>
      </c>
      <c r="D543">
        <v>2</v>
      </c>
      <c r="E543" s="3">
        <f t="shared" si="7"/>
        <v>7</v>
      </c>
    </row>
    <row r="544" spans="1:5" x14ac:dyDescent="0.2">
      <c r="A544">
        <v>6</v>
      </c>
      <c r="B544" t="s">
        <v>523</v>
      </c>
      <c r="C544">
        <v>0</v>
      </c>
      <c r="D544">
        <v>1</v>
      </c>
      <c r="E544" s="3">
        <f t="shared" si="7"/>
        <v>7</v>
      </c>
    </row>
    <row r="545" spans="1:5" x14ac:dyDescent="0.2">
      <c r="A545">
        <v>7</v>
      </c>
      <c r="B545" s="2" t="s">
        <v>10</v>
      </c>
      <c r="C545" s="2" t="s">
        <v>10</v>
      </c>
      <c r="D545" s="2" t="s">
        <v>10</v>
      </c>
      <c r="E545" s="3">
        <f t="shared" si="7"/>
        <v>7</v>
      </c>
    </row>
    <row r="546" spans="1:5" x14ac:dyDescent="0.2">
      <c r="A546">
        <v>8</v>
      </c>
      <c r="B546" s="2" t="s">
        <v>10</v>
      </c>
      <c r="C546" s="2" t="s">
        <v>10</v>
      </c>
      <c r="D546" s="2" t="s">
        <v>10</v>
      </c>
      <c r="E546" s="3">
        <f t="shared" si="7"/>
        <v>7</v>
      </c>
    </row>
    <row r="547" spans="1:5" x14ac:dyDescent="0.2">
      <c r="A547" s="1" t="s">
        <v>538</v>
      </c>
      <c r="E547" s="3">
        <f t="shared" ref="E547:E610" si="8">IF(A547=$A$1,E546+1,E546)</f>
        <v>7</v>
      </c>
    </row>
    <row r="548" spans="1:5" x14ac:dyDescent="0.2">
      <c r="A548" s="1" t="s">
        <v>1</v>
      </c>
      <c r="B548" s="1" t="s">
        <v>2</v>
      </c>
      <c r="C548" s="1" t="s">
        <v>3</v>
      </c>
      <c r="D548" s="1" t="s">
        <v>4</v>
      </c>
      <c r="E548" s="3">
        <f t="shared" si="8"/>
        <v>7</v>
      </c>
    </row>
    <row r="549" spans="1:5" x14ac:dyDescent="0.2">
      <c r="A549">
        <v>1</v>
      </c>
      <c r="B549" t="s">
        <v>506</v>
      </c>
      <c r="C549">
        <v>1</v>
      </c>
      <c r="D549">
        <v>16</v>
      </c>
      <c r="E549" s="3">
        <f t="shared" si="8"/>
        <v>7</v>
      </c>
    </row>
    <row r="550" spans="1:5" x14ac:dyDescent="0.2">
      <c r="A550">
        <v>2</v>
      </c>
      <c r="B550" t="s">
        <v>25</v>
      </c>
      <c r="C550">
        <v>1</v>
      </c>
      <c r="D550">
        <v>12</v>
      </c>
      <c r="E550" s="3">
        <f t="shared" si="8"/>
        <v>7</v>
      </c>
    </row>
    <row r="551" spans="1:5" x14ac:dyDescent="0.2">
      <c r="A551">
        <v>3</v>
      </c>
      <c r="B551" t="s">
        <v>528</v>
      </c>
      <c r="C551">
        <v>3</v>
      </c>
      <c r="D551">
        <v>8</v>
      </c>
      <c r="E551" s="3">
        <f t="shared" si="8"/>
        <v>7</v>
      </c>
    </row>
    <row r="552" spans="1:5" x14ac:dyDescent="0.2">
      <c r="A552">
        <v>4</v>
      </c>
      <c r="B552" t="s">
        <v>508</v>
      </c>
      <c r="C552">
        <v>0</v>
      </c>
      <c r="D552">
        <v>4</v>
      </c>
      <c r="E552" s="3">
        <f t="shared" si="8"/>
        <v>7</v>
      </c>
    </row>
    <row r="553" spans="1:5" x14ac:dyDescent="0.2">
      <c r="A553">
        <v>5</v>
      </c>
      <c r="B553" t="s">
        <v>476</v>
      </c>
      <c r="C553">
        <v>0</v>
      </c>
      <c r="D553">
        <v>2</v>
      </c>
      <c r="E553" s="3">
        <f t="shared" si="8"/>
        <v>7</v>
      </c>
    </row>
    <row r="554" spans="1:5" x14ac:dyDescent="0.2">
      <c r="A554">
        <v>6</v>
      </c>
      <c r="B554" t="s">
        <v>19</v>
      </c>
      <c r="C554">
        <v>0</v>
      </c>
      <c r="D554">
        <v>1</v>
      </c>
      <c r="E554" s="3">
        <f t="shared" si="8"/>
        <v>7</v>
      </c>
    </row>
    <row r="555" spans="1:5" x14ac:dyDescent="0.2">
      <c r="A555">
        <v>7</v>
      </c>
      <c r="B555" s="2" t="s">
        <v>10</v>
      </c>
      <c r="C555" s="2" t="s">
        <v>10</v>
      </c>
      <c r="D555" s="2" t="s">
        <v>10</v>
      </c>
      <c r="E555" s="3">
        <f t="shared" si="8"/>
        <v>7</v>
      </c>
    </row>
    <row r="556" spans="1:5" x14ac:dyDescent="0.2">
      <c r="A556">
        <v>8</v>
      </c>
      <c r="B556" s="2" t="s">
        <v>10</v>
      </c>
      <c r="C556" s="2" t="s">
        <v>10</v>
      </c>
      <c r="D556" s="2" t="s">
        <v>10</v>
      </c>
      <c r="E556" s="3">
        <f t="shared" si="8"/>
        <v>7</v>
      </c>
    </row>
    <row r="557" spans="1:5" x14ac:dyDescent="0.2">
      <c r="A557" s="1" t="s">
        <v>539</v>
      </c>
      <c r="E557" s="3">
        <f t="shared" si="8"/>
        <v>7</v>
      </c>
    </row>
    <row r="558" spans="1:5" x14ac:dyDescent="0.2">
      <c r="A558" s="1" t="s">
        <v>1</v>
      </c>
      <c r="B558" s="1" t="s">
        <v>2</v>
      </c>
      <c r="C558" s="1" t="s">
        <v>3</v>
      </c>
      <c r="D558" s="1" t="s">
        <v>4</v>
      </c>
      <c r="E558" s="3">
        <f t="shared" si="8"/>
        <v>7</v>
      </c>
    </row>
    <row r="559" spans="1:5" x14ac:dyDescent="0.2">
      <c r="A559">
        <v>1</v>
      </c>
      <c r="B559" t="s">
        <v>66</v>
      </c>
      <c r="C559">
        <v>3</v>
      </c>
      <c r="D559">
        <v>16</v>
      </c>
      <c r="E559" s="3">
        <f t="shared" si="8"/>
        <v>7</v>
      </c>
    </row>
    <row r="560" spans="1:5" x14ac:dyDescent="0.2">
      <c r="A560">
        <v>2</v>
      </c>
      <c r="B560" t="s">
        <v>485</v>
      </c>
      <c r="C560">
        <v>1</v>
      </c>
      <c r="D560">
        <v>12</v>
      </c>
      <c r="E560" s="3">
        <f t="shared" si="8"/>
        <v>7</v>
      </c>
    </row>
    <row r="561" spans="1:5" x14ac:dyDescent="0.2">
      <c r="A561">
        <v>3</v>
      </c>
      <c r="B561" t="s">
        <v>534</v>
      </c>
      <c r="C561">
        <v>0</v>
      </c>
      <c r="D561">
        <v>8</v>
      </c>
      <c r="E561" s="3">
        <f t="shared" si="8"/>
        <v>7</v>
      </c>
    </row>
    <row r="562" spans="1:5" x14ac:dyDescent="0.2">
      <c r="A562">
        <v>4</v>
      </c>
      <c r="B562" t="s">
        <v>21</v>
      </c>
      <c r="C562">
        <v>1</v>
      </c>
      <c r="D562">
        <v>4</v>
      </c>
      <c r="E562" s="3">
        <f t="shared" si="8"/>
        <v>7</v>
      </c>
    </row>
    <row r="563" spans="1:5" x14ac:dyDescent="0.2">
      <c r="A563">
        <v>5</v>
      </c>
      <c r="B563" t="s">
        <v>81</v>
      </c>
      <c r="C563">
        <v>0</v>
      </c>
      <c r="D563">
        <v>2</v>
      </c>
      <c r="E563" s="3">
        <f t="shared" si="8"/>
        <v>7</v>
      </c>
    </row>
    <row r="564" spans="1:5" x14ac:dyDescent="0.2">
      <c r="A564">
        <v>6</v>
      </c>
      <c r="B564" t="s">
        <v>280</v>
      </c>
      <c r="C564">
        <v>0</v>
      </c>
      <c r="D564">
        <v>1</v>
      </c>
      <c r="E564" s="3">
        <f t="shared" si="8"/>
        <v>7</v>
      </c>
    </row>
    <row r="565" spans="1:5" x14ac:dyDescent="0.2">
      <c r="A565">
        <v>7</v>
      </c>
      <c r="B565" s="2" t="s">
        <v>10</v>
      </c>
      <c r="C565" s="2" t="s">
        <v>10</v>
      </c>
      <c r="D565" s="2" t="s">
        <v>10</v>
      </c>
      <c r="E565" s="3">
        <f t="shared" si="8"/>
        <v>7</v>
      </c>
    </row>
    <row r="566" spans="1:5" x14ac:dyDescent="0.2">
      <c r="A566">
        <v>8</v>
      </c>
      <c r="B566" s="2" t="s">
        <v>10</v>
      </c>
      <c r="C566" s="2" t="s">
        <v>10</v>
      </c>
      <c r="D566" s="2" t="s">
        <v>10</v>
      </c>
      <c r="E566" s="3">
        <f t="shared" si="8"/>
        <v>7</v>
      </c>
    </row>
    <row r="567" spans="1:5" x14ac:dyDescent="0.2">
      <c r="A567" s="1" t="s">
        <v>540</v>
      </c>
      <c r="E567" s="3">
        <f t="shared" si="8"/>
        <v>7</v>
      </c>
    </row>
    <row r="568" spans="1:5" x14ac:dyDescent="0.2">
      <c r="A568" s="1" t="s">
        <v>1</v>
      </c>
      <c r="B568" s="1" t="s">
        <v>2</v>
      </c>
      <c r="C568" s="1" t="s">
        <v>3</v>
      </c>
      <c r="D568" s="1" t="s">
        <v>4</v>
      </c>
      <c r="E568" s="3">
        <f t="shared" si="8"/>
        <v>7</v>
      </c>
    </row>
    <row r="569" spans="1:5" x14ac:dyDescent="0.2">
      <c r="A569">
        <v>1</v>
      </c>
      <c r="B569" t="s">
        <v>493</v>
      </c>
      <c r="C569">
        <v>1</v>
      </c>
      <c r="D569">
        <v>16</v>
      </c>
      <c r="E569" s="3">
        <f t="shared" si="8"/>
        <v>7</v>
      </c>
    </row>
    <row r="570" spans="1:5" x14ac:dyDescent="0.2">
      <c r="A570">
        <v>2</v>
      </c>
      <c r="B570" t="s">
        <v>451</v>
      </c>
      <c r="C570">
        <v>0</v>
      </c>
      <c r="D570">
        <v>12</v>
      </c>
      <c r="E570" s="3">
        <f t="shared" si="8"/>
        <v>7</v>
      </c>
    </row>
    <row r="571" spans="1:5" x14ac:dyDescent="0.2">
      <c r="A571">
        <v>3</v>
      </c>
      <c r="B571" t="s">
        <v>518</v>
      </c>
      <c r="C571">
        <v>1</v>
      </c>
      <c r="D571">
        <v>8</v>
      </c>
      <c r="E571" s="3">
        <f t="shared" si="8"/>
        <v>7</v>
      </c>
    </row>
    <row r="572" spans="1:5" x14ac:dyDescent="0.2">
      <c r="A572">
        <v>4</v>
      </c>
      <c r="B572" t="s">
        <v>479</v>
      </c>
      <c r="C572">
        <v>0</v>
      </c>
      <c r="D572">
        <v>4</v>
      </c>
      <c r="E572" s="3">
        <f t="shared" si="8"/>
        <v>7</v>
      </c>
    </row>
    <row r="573" spans="1:5" x14ac:dyDescent="0.2">
      <c r="A573">
        <v>5</v>
      </c>
      <c r="B573" t="s">
        <v>9</v>
      </c>
      <c r="C573">
        <v>1</v>
      </c>
      <c r="D573">
        <v>2</v>
      </c>
      <c r="E573" s="3">
        <f t="shared" si="8"/>
        <v>7</v>
      </c>
    </row>
    <row r="574" spans="1:5" x14ac:dyDescent="0.2">
      <c r="A574">
        <v>6</v>
      </c>
      <c r="B574" t="s">
        <v>533</v>
      </c>
      <c r="C574">
        <v>0</v>
      </c>
      <c r="D574">
        <v>1</v>
      </c>
      <c r="E574" s="3">
        <f t="shared" si="8"/>
        <v>7</v>
      </c>
    </row>
    <row r="575" spans="1:5" x14ac:dyDescent="0.2">
      <c r="A575">
        <v>7</v>
      </c>
      <c r="B575" s="2" t="s">
        <v>10</v>
      </c>
      <c r="C575" s="2" t="s">
        <v>10</v>
      </c>
      <c r="D575" s="2" t="s">
        <v>10</v>
      </c>
      <c r="E575" s="3">
        <f t="shared" si="8"/>
        <v>7</v>
      </c>
    </row>
    <row r="576" spans="1:5" x14ac:dyDescent="0.2">
      <c r="A576">
        <v>8</v>
      </c>
      <c r="B576" s="2" t="s">
        <v>10</v>
      </c>
      <c r="C576" s="2" t="s">
        <v>10</v>
      </c>
      <c r="D576" s="2" t="s">
        <v>10</v>
      </c>
      <c r="E576" s="3">
        <f t="shared" si="8"/>
        <v>7</v>
      </c>
    </row>
    <row r="577" spans="1:5" x14ac:dyDescent="0.2">
      <c r="A577" s="1" t="s">
        <v>541</v>
      </c>
      <c r="E577" s="3">
        <f t="shared" si="8"/>
        <v>7</v>
      </c>
    </row>
    <row r="578" spans="1:5" x14ac:dyDescent="0.2">
      <c r="A578" s="1" t="s">
        <v>1</v>
      </c>
      <c r="B578" s="1" t="s">
        <v>2</v>
      </c>
      <c r="C578" s="1" t="s">
        <v>3</v>
      </c>
      <c r="D578" s="1" t="s">
        <v>4</v>
      </c>
      <c r="E578" s="3">
        <f t="shared" si="8"/>
        <v>7</v>
      </c>
    </row>
    <row r="579" spans="1:5" x14ac:dyDescent="0.2">
      <c r="A579">
        <v>1</v>
      </c>
      <c r="B579" t="s">
        <v>490</v>
      </c>
      <c r="C579">
        <v>4</v>
      </c>
      <c r="D579">
        <v>16</v>
      </c>
      <c r="E579" s="3">
        <f t="shared" si="8"/>
        <v>7</v>
      </c>
    </row>
    <row r="580" spans="1:5" x14ac:dyDescent="0.2">
      <c r="A580">
        <v>2</v>
      </c>
      <c r="B580" t="s">
        <v>74</v>
      </c>
      <c r="C580">
        <v>1</v>
      </c>
      <c r="D580">
        <v>12</v>
      </c>
      <c r="E580" s="3">
        <f t="shared" si="8"/>
        <v>7</v>
      </c>
    </row>
    <row r="581" spans="1:5" x14ac:dyDescent="0.2">
      <c r="A581">
        <v>3</v>
      </c>
      <c r="B581" t="s">
        <v>46</v>
      </c>
      <c r="C581">
        <v>0</v>
      </c>
      <c r="D581">
        <v>8</v>
      </c>
      <c r="E581" s="3">
        <f t="shared" si="8"/>
        <v>7</v>
      </c>
    </row>
    <row r="582" spans="1:5" x14ac:dyDescent="0.2">
      <c r="A582">
        <v>4</v>
      </c>
      <c r="B582" t="s">
        <v>501</v>
      </c>
      <c r="C582">
        <v>0</v>
      </c>
      <c r="D582">
        <v>4</v>
      </c>
      <c r="E582" s="3">
        <f t="shared" si="8"/>
        <v>7</v>
      </c>
    </row>
    <row r="583" spans="1:5" x14ac:dyDescent="0.2">
      <c r="A583">
        <v>5</v>
      </c>
      <c r="B583" t="s">
        <v>32</v>
      </c>
      <c r="C583">
        <v>0</v>
      </c>
      <c r="D583">
        <v>2</v>
      </c>
      <c r="E583" s="3">
        <f t="shared" si="8"/>
        <v>7</v>
      </c>
    </row>
    <row r="584" spans="1:5" x14ac:dyDescent="0.2">
      <c r="A584">
        <v>6</v>
      </c>
      <c r="B584" t="s">
        <v>521</v>
      </c>
      <c r="C584">
        <v>0</v>
      </c>
      <c r="D584">
        <v>1</v>
      </c>
      <c r="E584" s="3">
        <f t="shared" si="8"/>
        <v>7</v>
      </c>
    </row>
    <row r="585" spans="1:5" x14ac:dyDescent="0.2">
      <c r="A585">
        <v>7</v>
      </c>
      <c r="B585" s="2" t="s">
        <v>10</v>
      </c>
      <c r="C585" s="2" t="s">
        <v>10</v>
      </c>
      <c r="D585" s="2" t="s">
        <v>10</v>
      </c>
      <c r="E585" s="3">
        <f t="shared" si="8"/>
        <v>7</v>
      </c>
    </row>
    <row r="586" spans="1:5" x14ac:dyDescent="0.2">
      <c r="A586">
        <v>8</v>
      </c>
      <c r="B586" s="2" t="s">
        <v>10</v>
      </c>
      <c r="C586" s="2" t="s">
        <v>10</v>
      </c>
      <c r="D586" s="2" t="s">
        <v>10</v>
      </c>
      <c r="E586" s="3">
        <f t="shared" si="8"/>
        <v>7</v>
      </c>
    </row>
    <row r="587" spans="1:5" x14ac:dyDescent="0.2">
      <c r="A587" s="1" t="s">
        <v>542</v>
      </c>
      <c r="E587" s="3">
        <f t="shared" si="8"/>
        <v>7</v>
      </c>
    </row>
    <row r="588" spans="1:5" x14ac:dyDescent="0.2">
      <c r="A588" s="1" t="s">
        <v>1</v>
      </c>
      <c r="B588" s="1" t="s">
        <v>2</v>
      </c>
      <c r="C588" s="1" t="s">
        <v>3</v>
      </c>
      <c r="D588" s="1" t="s">
        <v>4</v>
      </c>
      <c r="E588" s="3">
        <f t="shared" si="8"/>
        <v>7</v>
      </c>
    </row>
    <row r="589" spans="1:5" x14ac:dyDescent="0.2">
      <c r="A589">
        <v>1</v>
      </c>
      <c r="B589" t="s">
        <v>535</v>
      </c>
      <c r="C589">
        <v>4</v>
      </c>
      <c r="D589">
        <v>16</v>
      </c>
      <c r="E589" s="3">
        <f t="shared" si="8"/>
        <v>7</v>
      </c>
    </row>
    <row r="590" spans="1:5" x14ac:dyDescent="0.2">
      <c r="A590">
        <v>2</v>
      </c>
      <c r="B590" t="s">
        <v>502</v>
      </c>
      <c r="C590">
        <v>1</v>
      </c>
      <c r="D590">
        <v>12</v>
      </c>
      <c r="E590" s="3">
        <f t="shared" si="8"/>
        <v>7</v>
      </c>
    </row>
    <row r="591" spans="1:5" x14ac:dyDescent="0.2">
      <c r="A591">
        <v>3</v>
      </c>
      <c r="B591" t="s">
        <v>42</v>
      </c>
      <c r="C591">
        <v>0</v>
      </c>
      <c r="D591">
        <v>8</v>
      </c>
      <c r="E591" s="3">
        <f t="shared" si="8"/>
        <v>7</v>
      </c>
    </row>
    <row r="592" spans="1:5" x14ac:dyDescent="0.2">
      <c r="A592">
        <v>4</v>
      </c>
      <c r="B592" t="s">
        <v>454</v>
      </c>
      <c r="C592">
        <v>0</v>
      </c>
      <c r="D592">
        <v>4</v>
      </c>
      <c r="E592" s="3">
        <f t="shared" si="8"/>
        <v>7</v>
      </c>
    </row>
    <row r="593" spans="1:5" x14ac:dyDescent="0.2">
      <c r="A593">
        <v>5</v>
      </c>
      <c r="B593" t="s">
        <v>101</v>
      </c>
      <c r="C593">
        <v>0</v>
      </c>
      <c r="D593">
        <v>2</v>
      </c>
      <c r="E593" s="3">
        <f t="shared" si="8"/>
        <v>7</v>
      </c>
    </row>
    <row r="594" spans="1:5" x14ac:dyDescent="0.2">
      <c r="A594">
        <v>6</v>
      </c>
      <c r="B594" t="s">
        <v>55</v>
      </c>
      <c r="C594">
        <v>0</v>
      </c>
      <c r="D594">
        <v>1</v>
      </c>
      <c r="E594" s="3">
        <f t="shared" si="8"/>
        <v>7</v>
      </c>
    </row>
    <row r="595" spans="1:5" x14ac:dyDescent="0.2">
      <c r="A595">
        <v>7</v>
      </c>
      <c r="B595" s="2" t="s">
        <v>10</v>
      </c>
      <c r="C595" s="2" t="s">
        <v>10</v>
      </c>
      <c r="D595" s="2" t="s">
        <v>10</v>
      </c>
      <c r="E595" s="3">
        <f t="shared" si="8"/>
        <v>7</v>
      </c>
    </row>
    <row r="596" spans="1:5" x14ac:dyDescent="0.2">
      <c r="A596">
        <v>8</v>
      </c>
      <c r="B596" s="2" t="s">
        <v>10</v>
      </c>
      <c r="C596" s="2" t="s">
        <v>10</v>
      </c>
      <c r="D596" s="2" t="s">
        <v>10</v>
      </c>
      <c r="E596" s="3">
        <f t="shared" si="8"/>
        <v>7</v>
      </c>
    </row>
    <row r="597" spans="1:5" x14ac:dyDescent="0.2">
      <c r="A597" s="1" t="s">
        <v>543</v>
      </c>
      <c r="E597" s="3">
        <f t="shared" si="8"/>
        <v>7</v>
      </c>
    </row>
    <row r="598" spans="1:5" x14ac:dyDescent="0.2">
      <c r="A598" s="1" t="s">
        <v>1</v>
      </c>
      <c r="B598" s="1" t="s">
        <v>2</v>
      </c>
      <c r="C598" s="1" t="s">
        <v>3</v>
      </c>
      <c r="D598" s="1" t="s">
        <v>4</v>
      </c>
      <c r="E598" s="3">
        <f t="shared" si="8"/>
        <v>7</v>
      </c>
    </row>
    <row r="599" spans="1:5" x14ac:dyDescent="0.2">
      <c r="A599">
        <v>1</v>
      </c>
      <c r="B599" t="s">
        <v>507</v>
      </c>
      <c r="C599">
        <v>3</v>
      </c>
      <c r="D599">
        <v>16</v>
      </c>
      <c r="E599" s="3">
        <f t="shared" si="8"/>
        <v>7</v>
      </c>
    </row>
    <row r="600" spans="1:5" x14ac:dyDescent="0.2">
      <c r="A600">
        <v>2</v>
      </c>
      <c r="B600" t="s">
        <v>65</v>
      </c>
      <c r="C600">
        <v>0</v>
      </c>
      <c r="D600">
        <v>12</v>
      </c>
      <c r="E600" s="3">
        <f t="shared" si="8"/>
        <v>7</v>
      </c>
    </row>
    <row r="601" spans="1:5" x14ac:dyDescent="0.2">
      <c r="A601">
        <v>3</v>
      </c>
      <c r="B601" t="s">
        <v>536</v>
      </c>
      <c r="C601">
        <v>1</v>
      </c>
      <c r="D601">
        <v>8</v>
      </c>
      <c r="E601" s="3">
        <f t="shared" si="8"/>
        <v>7</v>
      </c>
    </row>
    <row r="602" spans="1:5" x14ac:dyDescent="0.2">
      <c r="A602">
        <v>4</v>
      </c>
      <c r="B602" t="s">
        <v>515</v>
      </c>
      <c r="C602">
        <v>0</v>
      </c>
      <c r="D602">
        <v>4</v>
      </c>
      <c r="E602" s="3">
        <f t="shared" si="8"/>
        <v>7</v>
      </c>
    </row>
    <row r="603" spans="1:5" x14ac:dyDescent="0.2">
      <c r="A603">
        <v>5</v>
      </c>
      <c r="B603" t="s">
        <v>15</v>
      </c>
      <c r="C603">
        <v>1</v>
      </c>
      <c r="D603">
        <v>2</v>
      </c>
      <c r="E603" s="3">
        <f t="shared" si="8"/>
        <v>7</v>
      </c>
    </row>
    <row r="604" spans="1:5" x14ac:dyDescent="0.2">
      <c r="A604">
        <v>6</v>
      </c>
      <c r="B604" t="s">
        <v>527</v>
      </c>
      <c r="C604">
        <v>0</v>
      </c>
      <c r="D604">
        <v>1</v>
      </c>
      <c r="E604" s="3">
        <f t="shared" si="8"/>
        <v>7</v>
      </c>
    </row>
    <row r="605" spans="1:5" x14ac:dyDescent="0.2">
      <c r="A605">
        <v>7</v>
      </c>
      <c r="B605" s="2" t="s">
        <v>10</v>
      </c>
      <c r="C605" s="2" t="s">
        <v>10</v>
      </c>
      <c r="D605" s="2" t="s">
        <v>10</v>
      </c>
      <c r="E605" s="3">
        <f t="shared" si="8"/>
        <v>7</v>
      </c>
    </row>
    <row r="606" spans="1:5" x14ac:dyDescent="0.2">
      <c r="A606">
        <v>8</v>
      </c>
      <c r="B606" s="2" t="s">
        <v>10</v>
      </c>
      <c r="C606" s="2" t="s">
        <v>10</v>
      </c>
      <c r="D606" s="2" t="s">
        <v>10</v>
      </c>
      <c r="E606" s="3">
        <f t="shared" si="8"/>
        <v>7</v>
      </c>
    </row>
    <row r="607" spans="1:5" x14ac:dyDescent="0.2">
      <c r="A607" s="1" t="s">
        <v>544</v>
      </c>
      <c r="E607" s="3">
        <f t="shared" si="8"/>
        <v>7</v>
      </c>
    </row>
    <row r="608" spans="1:5" x14ac:dyDescent="0.2">
      <c r="A608" s="1" t="s">
        <v>1</v>
      </c>
      <c r="B608" s="1" t="s">
        <v>2</v>
      </c>
      <c r="C608" s="1" t="s">
        <v>3</v>
      </c>
      <c r="D608" s="1" t="s">
        <v>4</v>
      </c>
      <c r="E608" s="3">
        <f t="shared" si="8"/>
        <v>7</v>
      </c>
    </row>
    <row r="609" spans="1:5" x14ac:dyDescent="0.2">
      <c r="A609">
        <v>1</v>
      </c>
      <c r="B609" t="s">
        <v>452</v>
      </c>
      <c r="C609">
        <v>4</v>
      </c>
      <c r="D609">
        <v>17</v>
      </c>
      <c r="E609" s="3">
        <f t="shared" si="8"/>
        <v>7</v>
      </c>
    </row>
    <row r="610" spans="1:5" x14ac:dyDescent="0.2">
      <c r="A610">
        <v>2</v>
      </c>
      <c r="B610" t="s">
        <v>6</v>
      </c>
      <c r="C610">
        <v>0</v>
      </c>
      <c r="D610">
        <v>13</v>
      </c>
      <c r="E610" s="3">
        <f t="shared" si="8"/>
        <v>7</v>
      </c>
    </row>
    <row r="611" spans="1:5" x14ac:dyDescent="0.2">
      <c r="A611">
        <v>3</v>
      </c>
      <c r="B611" t="s">
        <v>505</v>
      </c>
      <c r="C611">
        <v>1</v>
      </c>
      <c r="D611">
        <v>9</v>
      </c>
      <c r="E611" s="3">
        <f t="shared" ref="E611:E674" si="9">IF(A611=$A$1,E610+1,E610)</f>
        <v>7</v>
      </c>
    </row>
    <row r="612" spans="1:5" x14ac:dyDescent="0.2">
      <c r="A612">
        <v>4</v>
      </c>
      <c r="B612" t="s">
        <v>73</v>
      </c>
      <c r="C612">
        <v>1</v>
      </c>
      <c r="D612">
        <v>5</v>
      </c>
      <c r="E612" s="3">
        <f t="shared" si="9"/>
        <v>7</v>
      </c>
    </row>
    <row r="613" spans="1:5" x14ac:dyDescent="0.2">
      <c r="A613">
        <v>5</v>
      </c>
      <c r="B613" t="s">
        <v>59</v>
      </c>
      <c r="C613">
        <v>0</v>
      </c>
      <c r="D613">
        <v>3</v>
      </c>
      <c r="E613" s="3">
        <f t="shared" si="9"/>
        <v>7</v>
      </c>
    </row>
    <row r="614" spans="1:5" x14ac:dyDescent="0.2">
      <c r="A614">
        <v>6</v>
      </c>
      <c r="B614" t="s">
        <v>519</v>
      </c>
      <c r="C614">
        <v>0</v>
      </c>
      <c r="D614">
        <v>2</v>
      </c>
      <c r="E614" s="3">
        <f t="shared" si="9"/>
        <v>7</v>
      </c>
    </row>
    <row r="615" spans="1:5" x14ac:dyDescent="0.2">
      <c r="A615">
        <v>7</v>
      </c>
      <c r="B615" t="s">
        <v>475</v>
      </c>
      <c r="C615">
        <v>0</v>
      </c>
      <c r="D615">
        <v>1</v>
      </c>
      <c r="E615" s="3">
        <f t="shared" si="9"/>
        <v>7</v>
      </c>
    </row>
    <row r="616" spans="1:5" x14ac:dyDescent="0.2">
      <c r="A616">
        <v>8</v>
      </c>
      <c r="B616" s="2" t="s">
        <v>10</v>
      </c>
      <c r="C616" s="2" t="s">
        <v>10</v>
      </c>
      <c r="D616" s="2" t="s">
        <v>10</v>
      </c>
      <c r="E616" s="3">
        <f t="shared" si="9"/>
        <v>7</v>
      </c>
    </row>
    <row r="617" spans="1:5" x14ac:dyDescent="0.2">
      <c r="A617" s="1" t="s">
        <v>0</v>
      </c>
      <c r="E617" s="3">
        <f t="shared" si="9"/>
        <v>8</v>
      </c>
    </row>
    <row r="618" spans="1:5" x14ac:dyDescent="0.2">
      <c r="A618" s="1" t="s">
        <v>1</v>
      </c>
      <c r="B618" s="1" t="s">
        <v>2</v>
      </c>
      <c r="C618" s="1" t="s">
        <v>3</v>
      </c>
      <c r="D618" s="1" t="s">
        <v>4</v>
      </c>
      <c r="E618" s="3">
        <f t="shared" si="9"/>
        <v>8</v>
      </c>
    </row>
    <row r="619" spans="1:5" x14ac:dyDescent="0.2">
      <c r="A619">
        <v>0</v>
      </c>
      <c r="C619">
        <v>0</v>
      </c>
      <c r="D619">
        <v>0</v>
      </c>
      <c r="E619" s="3">
        <f t="shared" si="9"/>
        <v>8</v>
      </c>
    </row>
    <row r="620" spans="1:5" x14ac:dyDescent="0.2">
      <c r="A620">
        <v>0</v>
      </c>
      <c r="C620">
        <v>0</v>
      </c>
      <c r="D620">
        <v>0</v>
      </c>
      <c r="E620" s="3">
        <f t="shared" si="9"/>
        <v>8</v>
      </c>
    </row>
    <row r="621" spans="1:5" x14ac:dyDescent="0.2">
      <c r="A621">
        <v>1</v>
      </c>
      <c r="B621" t="s">
        <v>27</v>
      </c>
      <c r="C621">
        <v>2</v>
      </c>
      <c r="D621">
        <v>16</v>
      </c>
      <c r="E621" s="3">
        <f t="shared" si="9"/>
        <v>8</v>
      </c>
    </row>
    <row r="622" spans="1:5" x14ac:dyDescent="0.2">
      <c r="A622">
        <v>2</v>
      </c>
      <c r="B622" t="s">
        <v>345</v>
      </c>
      <c r="C622">
        <v>2</v>
      </c>
      <c r="D622">
        <v>12</v>
      </c>
      <c r="E622" s="3">
        <f t="shared" si="9"/>
        <v>8</v>
      </c>
    </row>
    <row r="623" spans="1:5" x14ac:dyDescent="0.2">
      <c r="A623">
        <v>3</v>
      </c>
      <c r="B623" t="s">
        <v>532</v>
      </c>
      <c r="C623">
        <v>0</v>
      </c>
      <c r="D623">
        <v>8</v>
      </c>
      <c r="E623" s="3">
        <f t="shared" si="9"/>
        <v>8</v>
      </c>
    </row>
    <row r="624" spans="1:5" x14ac:dyDescent="0.2">
      <c r="A624">
        <v>4</v>
      </c>
      <c r="B624" t="s">
        <v>76</v>
      </c>
      <c r="C624">
        <v>0</v>
      </c>
      <c r="D624">
        <v>4</v>
      </c>
      <c r="E624" s="3">
        <f t="shared" si="9"/>
        <v>8</v>
      </c>
    </row>
    <row r="625" spans="1:5" x14ac:dyDescent="0.2">
      <c r="A625">
        <v>5</v>
      </c>
      <c r="B625" t="s">
        <v>535</v>
      </c>
      <c r="C625">
        <v>1</v>
      </c>
      <c r="D625">
        <v>2</v>
      </c>
      <c r="E625" s="3">
        <f t="shared" si="9"/>
        <v>8</v>
      </c>
    </row>
    <row r="626" spans="1:5" x14ac:dyDescent="0.2">
      <c r="A626">
        <v>6</v>
      </c>
      <c r="B626" t="s">
        <v>61</v>
      </c>
      <c r="C626">
        <v>0</v>
      </c>
      <c r="D626">
        <v>1</v>
      </c>
      <c r="E626" s="3">
        <f t="shared" si="9"/>
        <v>8</v>
      </c>
    </row>
    <row r="627" spans="1:5" x14ac:dyDescent="0.2">
      <c r="A627">
        <v>9</v>
      </c>
      <c r="B627" s="2" t="s">
        <v>10</v>
      </c>
      <c r="C627" s="2" t="s">
        <v>10</v>
      </c>
      <c r="D627" s="2" t="s">
        <v>10</v>
      </c>
      <c r="E627" s="3">
        <f t="shared" si="9"/>
        <v>8</v>
      </c>
    </row>
    <row r="628" spans="1:5" x14ac:dyDescent="0.2">
      <c r="A628">
        <v>10</v>
      </c>
      <c r="B628" s="2" t="s">
        <v>10</v>
      </c>
      <c r="C628" s="2" t="s">
        <v>10</v>
      </c>
      <c r="D628" s="2" t="s">
        <v>10</v>
      </c>
      <c r="E628" s="3">
        <f t="shared" si="9"/>
        <v>8</v>
      </c>
    </row>
    <row r="629" spans="1:5" x14ac:dyDescent="0.2">
      <c r="A629" s="1" t="s">
        <v>11</v>
      </c>
      <c r="E629" s="3">
        <f t="shared" si="9"/>
        <v>8</v>
      </c>
    </row>
    <row r="630" spans="1:5" x14ac:dyDescent="0.2">
      <c r="A630" s="1" t="s">
        <v>1</v>
      </c>
      <c r="B630" s="1" t="s">
        <v>2</v>
      </c>
      <c r="C630" s="1" t="s">
        <v>3</v>
      </c>
      <c r="D630" s="1" t="s">
        <v>4</v>
      </c>
      <c r="E630" s="3">
        <f t="shared" si="9"/>
        <v>8</v>
      </c>
    </row>
    <row r="631" spans="1:5" x14ac:dyDescent="0.2">
      <c r="A631">
        <v>0</v>
      </c>
      <c r="C631">
        <v>0</v>
      </c>
      <c r="D631">
        <v>0</v>
      </c>
      <c r="E631" s="3">
        <f t="shared" si="9"/>
        <v>8</v>
      </c>
    </row>
    <row r="632" spans="1:5" x14ac:dyDescent="0.2">
      <c r="A632">
        <v>1</v>
      </c>
      <c r="B632" t="s">
        <v>476</v>
      </c>
      <c r="C632">
        <v>3</v>
      </c>
      <c r="D632">
        <v>17</v>
      </c>
      <c r="E632" s="3">
        <f t="shared" si="9"/>
        <v>8</v>
      </c>
    </row>
    <row r="633" spans="1:5" x14ac:dyDescent="0.2">
      <c r="A633">
        <v>2</v>
      </c>
      <c r="B633" t="s">
        <v>518</v>
      </c>
      <c r="C633">
        <v>0</v>
      </c>
      <c r="D633">
        <v>13</v>
      </c>
      <c r="E633" s="3">
        <f t="shared" si="9"/>
        <v>8</v>
      </c>
    </row>
    <row r="634" spans="1:5" x14ac:dyDescent="0.2">
      <c r="A634">
        <v>3</v>
      </c>
      <c r="B634" t="s">
        <v>530</v>
      </c>
      <c r="C634">
        <v>1</v>
      </c>
      <c r="D634">
        <v>9</v>
      </c>
      <c r="E634" s="3">
        <f t="shared" si="9"/>
        <v>8</v>
      </c>
    </row>
    <row r="635" spans="1:5" x14ac:dyDescent="0.2">
      <c r="A635">
        <v>4</v>
      </c>
      <c r="B635" t="s">
        <v>500</v>
      </c>
      <c r="C635">
        <v>2</v>
      </c>
      <c r="D635">
        <v>5</v>
      </c>
      <c r="E635" s="3">
        <f t="shared" si="9"/>
        <v>8</v>
      </c>
    </row>
    <row r="636" spans="1:5" x14ac:dyDescent="0.2">
      <c r="A636">
        <v>5</v>
      </c>
      <c r="B636" t="s">
        <v>502</v>
      </c>
      <c r="C636">
        <v>0</v>
      </c>
      <c r="D636">
        <v>3</v>
      </c>
      <c r="E636" s="3">
        <f t="shared" si="9"/>
        <v>8</v>
      </c>
    </row>
    <row r="637" spans="1:5" x14ac:dyDescent="0.2">
      <c r="A637">
        <v>6</v>
      </c>
      <c r="B637" t="s">
        <v>519</v>
      </c>
      <c r="C637">
        <v>0</v>
      </c>
      <c r="D637">
        <v>2</v>
      </c>
      <c r="E637" s="3">
        <f t="shared" si="9"/>
        <v>8</v>
      </c>
    </row>
    <row r="638" spans="1:5" x14ac:dyDescent="0.2">
      <c r="A638">
        <v>7</v>
      </c>
      <c r="B638" t="s">
        <v>485</v>
      </c>
      <c r="C638">
        <v>0</v>
      </c>
      <c r="D638">
        <v>1</v>
      </c>
      <c r="E638" s="3">
        <f t="shared" si="9"/>
        <v>8</v>
      </c>
    </row>
    <row r="639" spans="1:5" x14ac:dyDescent="0.2">
      <c r="A639">
        <v>9</v>
      </c>
      <c r="B639" s="2" t="s">
        <v>10</v>
      </c>
      <c r="C639" s="2" t="s">
        <v>10</v>
      </c>
      <c r="D639" s="2" t="s">
        <v>10</v>
      </c>
      <c r="E639" s="3">
        <f t="shared" si="9"/>
        <v>8</v>
      </c>
    </row>
    <row r="640" spans="1:5" x14ac:dyDescent="0.2">
      <c r="A640" s="1" t="s">
        <v>17</v>
      </c>
      <c r="E640" s="3">
        <f t="shared" si="9"/>
        <v>8</v>
      </c>
    </row>
    <row r="641" spans="1:5" x14ac:dyDescent="0.2">
      <c r="A641" s="1" t="s">
        <v>1</v>
      </c>
      <c r="B641" s="1" t="s">
        <v>2</v>
      </c>
      <c r="C641" s="1" t="s">
        <v>3</v>
      </c>
      <c r="D641" s="1" t="s">
        <v>4</v>
      </c>
      <c r="E641" s="3">
        <f t="shared" si="9"/>
        <v>8</v>
      </c>
    </row>
    <row r="642" spans="1:5" x14ac:dyDescent="0.2">
      <c r="A642">
        <v>1</v>
      </c>
      <c r="B642" t="s">
        <v>493</v>
      </c>
      <c r="C642">
        <v>2</v>
      </c>
      <c r="D642">
        <v>17</v>
      </c>
      <c r="E642" s="3">
        <f t="shared" si="9"/>
        <v>8</v>
      </c>
    </row>
    <row r="643" spans="1:5" x14ac:dyDescent="0.2">
      <c r="A643">
        <v>2</v>
      </c>
      <c r="B643" t="s">
        <v>526</v>
      </c>
      <c r="C643">
        <v>1</v>
      </c>
      <c r="D643">
        <v>13</v>
      </c>
      <c r="E643" s="3">
        <f t="shared" si="9"/>
        <v>8</v>
      </c>
    </row>
    <row r="644" spans="1:5" x14ac:dyDescent="0.2">
      <c r="A644">
        <v>3</v>
      </c>
      <c r="B644" t="s">
        <v>534</v>
      </c>
      <c r="C644">
        <v>0</v>
      </c>
      <c r="D644">
        <v>9</v>
      </c>
      <c r="E644" s="3">
        <f t="shared" si="9"/>
        <v>8</v>
      </c>
    </row>
    <row r="645" spans="1:5" x14ac:dyDescent="0.2">
      <c r="A645">
        <v>3</v>
      </c>
      <c r="B645" t="s">
        <v>101</v>
      </c>
      <c r="C645">
        <v>0</v>
      </c>
      <c r="D645">
        <v>9</v>
      </c>
      <c r="E645" s="3">
        <f t="shared" si="9"/>
        <v>8</v>
      </c>
    </row>
    <row r="646" spans="1:5" x14ac:dyDescent="0.2">
      <c r="A646">
        <v>4</v>
      </c>
      <c r="B646" t="s">
        <v>454</v>
      </c>
      <c r="C646">
        <v>3</v>
      </c>
      <c r="D646">
        <v>5</v>
      </c>
      <c r="E646" s="3">
        <f t="shared" si="9"/>
        <v>8</v>
      </c>
    </row>
    <row r="647" spans="1:5" x14ac:dyDescent="0.2">
      <c r="A647">
        <v>5</v>
      </c>
      <c r="B647" t="s">
        <v>509</v>
      </c>
      <c r="C647">
        <v>0</v>
      </c>
      <c r="D647">
        <v>3</v>
      </c>
      <c r="E647" s="3">
        <f t="shared" si="9"/>
        <v>8</v>
      </c>
    </row>
    <row r="648" spans="1:5" x14ac:dyDescent="0.2">
      <c r="A648">
        <v>7</v>
      </c>
      <c r="B648" t="s">
        <v>55</v>
      </c>
      <c r="C648">
        <v>0</v>
      </c>
      <c r="D648">
        <v>1</v>
      </c>
      <c r="E648" s="3">
        <f t="shared" si="9"/>
        <v>8</v>
      </c>
    </row>
    <row r="649" spans="1:5" x14ac:dyDescent="0.2">
      <c r="A649">
        <v>8</v>
      </c>
      <c r="B649" s="2" t="s">
        <v>10</v>
      </c>
      <c r="C649" s="2" t="s">
        <v>10</v>
      </c>
      <c r="D649" s="2" t="s">
        <v>10</v>
      </c>
      <c r="E649" s="3">
        <f t="shared" si="9"/>
        <v>8</v>
      </c>
    </row>
    <row r="650" spans="1:5" x14ac:dyDescent="0.2">
      <c r="A650" s="1" t="s">
        <v>24</v>
      </c>
      <c r="E650" s="3">
        <f t="shared" si="9"/>
        <v>8</v>
      </c>
    </row>
    <row r="651" spans="1:5" x14ac:dyDescent="0.2">
      <c r="A651" s="1" t="s">
        <v>1</v>
      </c>
      <c r="B651" s="1" t="s">
        <v>2</v>
      </c>
      <c r="C651" s="1" t="s">
        <v>3</v>
      </c>
      <c r="D651" s="1" t="s">
        <v>4</v>
      </c>
      <c r="E651" s="3">
        <f t="shared" si="9"/>
        <v>8</v>
      </c>
    </row>
    <row r="652" spans="1:5" x14ac:dyDescent="0.2">
      <c r="A652">
        <v>1</v>
      </c>
      <c r="B652" t="s">
        <v>25</v>
      </c>
      <c r="C652">
        <v>1</v>
      </c>
      <c r="D652">
        <v>17</v>
      </c>
      <c r="E652" s="3">
        <f t="shared" si="9"/>
        <v>8</v>
      </c>
    </row>
    <row r="653" spans="1:5" x14ac:dyDescent="0.2">
      <c r="A653">
        <v>2</v>
      </c>
      <c r="B653" t="s">
        <v>510</v>
      </c>
      <c r="C653">
        <v>5</v>
      </c>
      <c r="D653">
        <v>13</v>
      </c>
      <c r="E653" s="3">
        <f t="shared" si="9"/>
        <v>8</v>
      </c>
    </row>
    <row r="654" spans="1:5" x14ac:dyDescent="0.2">
      <c r="A654">
        <v>3</v>
      </c>
      <c r="B654" t="s">
        <v>505</v>
      </c>
      <c r="C654">
        <v>0</v>
      </c>
      <c r="D654">
        <v>9</v>
      </c>
      <c r="E654" s="3">
        <f t="shared" si="9"/>
        <v>8</v>
      </c>
    </row>
    <row r="655" spans="1:5" x14ac:dyDescent="0.2">
      <c r="A655">
        <v>4</v>
      </c>
      <c r="B655" t="s">
        <v>32</v>
      </c>
      <c r="C655">
        <v>0</v>
      </c>
      <c r="D655">
        <v>5</v>
      </c>
      <c r="E655" s="3">
        <f t="shared" si="9"/>
        <v>8</v>
      </c>
    </row>
    <row r="656" spans="1:5" x14ac:dyDescent="0.2">
      <c r="A656">
        <v>5</v>
      </c>
      <c r="B656" t="s">
        <v>490</v>
      </c>
      <c r="C656">
        <v>0</v>
      </c>
      <c r="D656">
        <v>3</v>
      </c>
      <c r="E656" s="3">
        <f t="shared" si="9"/>
        <v>8</v>
      </c>
    </row>
    <row r="657" spans="1:5" x14ac:dyDescent="0.2">
      <c r="A657">
        <v>6</v>
      </c>
      <c r="B657" t="s">
        <v>536</v>
      </c>
      <c r="C657">
        <v>0</v>
      </c>
      <c r="D657">
        <v>2</v>
      </c>
      <c r="E657" s="3">
        <f t="shared" si="9"/>
        <v>8</v>
      </c>
    </row>
    <row r="658" spans="1:5" x14ac:dyDescent="0.2">
      <c r="A658">
        <v>7</v>
      </c>
      <c r="B658" t="s">
        <v>69</v>
      </c>
      <c r="C658">
        <v>0</v>
      </c>
      <c r="D658">
        <v>1</v>
      </c>
      <c r="E658" s="3">
        <f t="shared" si="9"/>
        <v>8</v>
      </c>
    </row>
    <row r="659" spans="1:5" x14ac:dyDescent="0.2">
      <c r="A659">
        <v>8</v>
      </c>
      <c r="B659" s="2" t="s">
        <v>10</v>
      </c>
      <c r="C659" s="2" t="s">
        <v>10</v>
      </c>
      <c r="D659" s="2" t="s">
        <v>10</v>
      </c>
      <c r="E659" s="3">
        <f t="shared" si="9"/>
        <v>8</v>
      </c>
    </row>
    <row r="660" spans="1:5" x14ac:dyDescent="0.2">
      <c r="A660" s="1" t="s">
        <v>30</v>
      </c>
      <c r="E660" s="3">
        <f t="shared" si="9"/>
        <v>8</v>
      </c>
    </row>
    <row r="661" spans="1:5" x14ac:dyDescent="0.2">
      <c r="A661" s="1" t="s">
        <v>1</v>
      </c>
      <c r="B661" s="1" t="s">
        <v>2</v>
      </c>
      <c r="C661" s="1" t="s">
        <v>3</v>
      </c>
      <c r="D661" s="1" t="s">
        <v>4</v>
      </c>
      <c r="E661" s="3">
        <f t="shared" si="9"/>
        <v>8</v>
      </c>
    </row>
    <row r="662" spans="1:5" x14ac:dyDescent="0.2">
      <c r="A662">
        <v>1</v>
      </c>
      <c r="B662" t="s">
        <v>35</v>
      </c>
      <c r="C662">
        <v>1</v>
      </c>
      <c r="D662">
        <v>16</v>
      </c>
      <c r="E662" s="3">
        <f t="shared" si="9"/>
        <v>8</v>
      </c>
    </row>
    <row r="663" spans="1:5" x14ac:dyDescent="0.2">
      <c r="A663">
        <v>2</v>
      </c>
      <c r="B663" t="s">
        <v>503</v>
      </c>
      <c r="C663">
        <v>4</v>
      </c>
      <c r="D663">
        <v>12</v>
      </c>
      <c r="E663" s="3">
        <f t="shared" si="9"/>
        <v>8</v>
      </c>
    </row>
    <row r="664" spans="1:5" x14ac:dyDescent="0.2">
      <c r="A664">
        <v>3</v>
      </c>
      <c r="B664" t="s">
        <v>34</v>
      </c>
      <c r="C664">
        <v>0</v>
      </c>
      <c r="D664">
        <v>8</v>
      </c>
      <c r="E664" s="3">
        <f t="shared" si="9"/>
        <v>8</v>
      </c>
    </row>
    <row r="665" spans="1:5" x14ac:dyDescent="0.2">
      <c r="A665">
        <v>4</v>
      </c>
      <c r="B665" t="s">
        <v>46</v>
      </c>
      <c r="C665">
        <v>0</v>
      </c>
      <c r="D665">
        <v>4</v>
      </c>
      <c r="E665" s="3">
        <f t="shared" si="9"/>
        <v>8</v>
      </c>
    </row>
    <row r="666" spans="1:5" x14ac:dyDescent="0.2">
      <c r="A666">
        <v>5</v>
      </c>
      <c r="B666" t="s">
        <v>479</v>
      </c>
      <c r="C666">
        <v>0</v>
      </c>
      <c r="D666">
        <v>2</v>
      </c>
      <c r="E666" s="3">
        <f t="shared" si="9"/>
        <v>8</v>
      </c>
    </row>
    <row r="667" spans="1:5" x14ac:dyDescent="0.2">
      <c r="A667">
        <v>6</v>
      </c>
      <c r="B667" t="s">
        <v>33</v>
      </c>
      <c r="C667">
        <v>0</v>
      </c>
      <c r="D667">
        <v>1</v>
      </c>
      <c r="E667" s="3">
        <f t="shared" si="9"/>
        <v>8</v>
      </c>
    </row>
    <row r="668" spans="1:5" x14ac:dyDescent="0.2">
      <c r="A668">
        <v>7</v>
      </c>
      <c r="B668" s="2" t="s">
        <v>10</v>
      </c>
      <c r="C668" s="2" t="s">
        <v>10</v>
      </c>
      <c r="D668" s="2" t="s">
        <v>10</v>
      </c>
      <c r="E668" s="3">
        <f t="shared" si="9"/>
        <v>8</v>
      </c>
    </row>
    <row r="669" spans="1:5" x14ac:dyDescent="0.2">
      <c r="A669">
        <v>8</v>
      </c>
      <c r="B669" s="2" t="s">
        <v>10</v>
      </c>
      <c r="C669" s="2" t="s">
        <v>10</v>
      </c>
      <c r="D669" s="2" t="s">
        <v>10</v>
      </c>
      <c r="E669" s="3">
        <f t="shared" si="9"/>
        <v>8</v>
      </c>
    </row>
    <row r="670" spans="1:5" x14ac:dyDescent="0.2">
      <c r="A670" s="1" t="s">
        <v>37</v>
      </c>
      <c r="E670" s="3">
        <f t="shared" si="9"/>
        <v>8</v>
      </c>
    </row>
    <row r="671" spans="1:5" x14ac:dyDescent="0.2">
      <c r="A671" s="1" t="s">
        <v>1</v>
      </c>
      <c r="B671" s="1" t="s">
        <v>2</v>
      </c>
      <c r="C671" s="1" t="s">
        <v>3</v>
      </c>
      <c r="D671" s="1" t="s">
        <v>4</v>
      </c>
      <c r="E671" s="3">
        <f t="shared" si="9"/>
        <v>8</v>
      </c>
    </row>
    <row r="672" spans="1:5" x14ac:dyDescent="0.2">
      <c r="A672">
        <v>1</v>
      </c>
      <c r="B672" t="s">
        <v>87</v>
      </c>
      <c r="C672">
        <v>1</v>
      </c>
      <c r="D672">
        <v>16</v>
      </c>
      <c r="E672" s="3">
        <f t="shared" si="9"/>
        <v>8</v>
      </c>
    </row>
    <row r="673" spans="1:5" x14ac:dyDescent="0.2">
      <c r="A673">
        <v>2</v>
      </c>
      <c r="B673" t="s">
        <v>9</v>
      </c>
      <c r="C673">
        <v>3</v>
      </c>
      <c r="D673">
        <v>12</v>
      </c>
      <c r="E673" s="3">
        <f t="shared" si="9"/>
        <v>8</v>
      </c>
    </row>
    <row r="674" spans="1:5" x14ac:dyDescent="0.2">
      <c r="A674">
        <v>3</v>
      </c>
      <c r="B674" t="s">
        <v>280</v>
      </c>
      <c r="C674">
        <v>0</v>
      </c>
      <c r="D674">
        <v>8</v>
      </c>
      <c r="E674" s="3">
        <f t="shared" si="9"/>
        <v>8</v>
      </c>
    </row>
    <row r="675" spans="1:5" x14ac:dyDescent="0.2">
      <c r="A675">
        <v>4</v>
      </c>
      <c r="B675" t="s">
        <v>451</v>
      </c>
      <c r="C675">
        <v>0</v>
      </c>
      <c r="D675">
        <v>4</v>
      </c>
      <c r="E675" s="3">
        <f t="shared" ref="E675:E738" si="10">IF(A675=$A$1,E674+1,E674)</f>
        <v>8</v>
      </c>
    </row>
    <row r="676" spans="1:5" x14ac:dyDescent="0.2">
      <c r="A676">
        <v>5</v>
      </c>
      <c r="B676" t="s">
        <v>21</v>
      </c>
      <c r="C676">
        <v>0</v>
      </c>
      <c r="D676">
        <v>2</v>
      </c>
      <c r="E676" s="3">
        <f t="shared" si="10"/>
        <v>8</v>
      </c>
    </row>
    <row r="677" spans="1:5" x14ac:dyDescent="0.2">
      <c r="A677">
        <v>6</v>
      </c>
      <c r="B677" t="s">
        <v>75</v>
      </c>
      <c r="C677">
        <v>0</v>
      </c>
      <c r="D677">
        <v>1</v>
      </c>
      <c r="E677" s="3">
        <f t="shared" si="10"/>
        <v>8</v>
      </c>
    </row>
    <row r="678" spans="1:5" x14ac:dyDescent="0.2">
      <c r="A678">
        <v>7</v>
      </c>
      <c r="B678" s="2" t="s">
        <v>10</v>
      </c>
      <c r="C678" s="2" t="s">
        <v>10</v>
      </c>
      <c r="D678" s="2" t="s">
        <v>10</v>
      </c>
      <c r="E678" s="3">
        <f t="shared" si="10"/>
        <v>8</v>
      </c>
    </row>
    <row r="679" spans="1:5" x14ac:dyDescent="0.2">
      <c r="A679">
        <v>8</v>
      </c>
      <c r="B679" s="2" t="s">
        <v>10</v>
      </c>
      <c r="C679" s="2" t="s">
        <v>10</v>
      </c>
      <c r="D679" s="2" t="s">
        <v>10</v>
      </c>
      <c r="E679" s="3">
        <f t="shared" si="10"/>
        <v>8</v>
      </c>
    </row>
    <row r="680" spans="1:5" x14ac:dyDescent="0.2">
      <c r="A680" s="1" t="s">
        <v>44</v>
      </c>
      <c r="E680" s="3">
        <f t="shared" si="10"/>
        <v>8</v>
      </c>
    </row>
    <row r="681" spans="1:5" x14ac:dyDescent="0.2">
      <c r="A681" s="1" t="s">
        <v>1</v>
      </c>
      <c r="B681" s="1" t="s">
        <v>2</v>
      </c>
      <c r="C681" s="1" t="s">
        <v>3</v>
      </c>
      <c r="D681" s="1" t="s">
        <v>4</v>
      </c>
      <c r="E681" s="3">
        <f t="shared" si="10"/>
        <v>8</v>
      </c>
    </row>
    <row r="682" spans="1:5" x14ac:dyDescent="0.2">
      <c r="A682">
        <v>1</v>
      </c>
      <c r="B682" t="s">
        <v>506</v>
      </c>
      <c r="C682">
        <v>4</v>
      </c>
      <c r="D682">
        <v>17</v>
      </c>
      <c r="E682" s="3">
        <f t="shared" si="10"/>
        <v>8</v>
      </c>
    </row>
    <row r="683" spans="1:5" x14ac:dyDescent="0.2">
      <c r="A683">
        <v>2</v>
      </c>
      <c r="B683" t="s">
        <v>74</v>
      </c>
      <c r="C683">
        <v>2</v>
      </c>
      <c r="D683">
        <v>13</v>
      </c>
      <c r="E683" s="3">
        <f t="shared" si="10"/>
        <v>8</v>
      </c>
    </row>
    <row r="684" spans="1:5" x14ac:dyDescent="0.2">
      <c r="A684">
        <v>3</v>
      </c>
      <c r="B684" t="s">
        <v>19</v>
      </c>
      <c r="C684">
        <v>0</v>
      </c>
      <c r="D684">
        <v>9</v>
      </c>
      <c r="E684" s="3">
        <f t="shared" si="10"/>
        <v>8</v>
      </c>
    </row>
    <row r="685" spans="1:5" x14ac:dyDescent="0.2">
      <c r="A685">
        <v>4</v>
      </c>
      <c r="B685" t="s">
        <v>507</v>
      </c>
      <c r="C685">
        <v>0</v>
      </c>
      <c r="D685">
        <v>5</v>
      </c>
      <c r="E685" s="3">
        <f t="shared" si="10"/>
        <v>8</v>
      </c>
    </row>
    <row r="686" spans="1:5" x14ac:dyDescent="0.2">
      <c r="A686">
        <v>5</v>
      </c>
      <c r="B686" t="s">
        <v>491</v>
      </c>
      <c r="C686">
        <v>0</v>
      </c>
      <c r="D686">
        <v>3</v>
      </c>
      <c r="E686" s="3">
        <f t="shared" si="10"/>
        <v>8</v>
      </c>
    </row>
    <row r="687" spans="1:5" x14ac:dyDescent="0.2">
      <c r="A687">
        <v>6</v>
      </c>
      <c r="B687" t="s">
        <v>66</v>
      </c>
      <c r="C687">
        <v>0</v>
      </c>
      <c r="D687">
        <v>2</v>
      </c>
      <c r="E687" s="3">
        <f t="shared" si="10"/>
        <v>8</v>
      </c>
    </row>
    <row r="688" spans="1:5" x14ac:dyDescent="0.2">
      <c r="A688">
        <v>7</v>
      </c>
      <c r="B688" t="s">
        <v>504</v>
      </c>
      <c r="C688">
        <v>0</v>
      </c>
      <c r="D688">
        <v>1</v>
      </c>
      <c r="E688" s="3">
        <f t="shared" si="10"/>
        <v>8</v>
      </c>
    </row>
    <row r="689" spans="1:5" x14ac:dyDescent="0.2">
      <c r="A689">
        <v>8</v>
      </c>
      <c r="B689" s="2" t="s">
        <v>10</v>
      </c>
      <c r="C689" s="2" t="s">
        <v>10</v>
      </c>
      <c r="D689" s="2" t="s">
        <v>10</v>
      </c>
      <c r="E689" s="3">
        <f t="shared" si="10"/>
        <v>8</v>
      </c>
    </row>
    <row r="690" spans="1:5" x14ac:dyDescent="0.2">
      <c r="A690" s="1" t="s">
        <v>51</v>
      </c>
      <c r="E690" s="3">
        <f t="shared" si="10"/>
        <v>8</v>
      </c>
    </row>
    <row r="691" spans="1:5" x14ac:dyDescent="0.2">
      <c r="A691" s="1" t="s">
        <v>1</v>
      </c>
      <c r="B691" s="1" t="s">
        <v>2</v>
      </c>
      <c r="C691" s="1" t="s">
        <v>3</v>
      </c>
      <c r="D691" s="1" t="s">
        <v>4</v>
      </c>
      <c r="E691" s="3">
        <f t="shared" si="10"/>
        <v>8</v>
      </c>
    </row>
    <row r="692" spans="1:5" x14ac:dyDescent="0.2">
      <c r="A692">
        <v>1</v>
      </c>
      <c r="B692" t="s">
        <v>6</v>
      </c>
      <c r="C692">
        <v>4</v>
      </c>
      <c r="D692">
        <v>16</v>
      </c>
      <c r="E692" s="3">
        <f t="shared" si="10"/>
        <v>8</v>
      </c>
    </row>
    <row r="693" spans="1:5" x14ac:dyDescent="0.2">
      <c r="A693">
        <v>2</v>
      </c>
      <c r="B693" t="s">
        <v>73</v>
      </c>
      <c r="C693">
        <v>0</v>
      </c>
      <c r="D693">
        <v>12</v>
      </c>
      <c r="E693" s="3">
        <f t="shared" si="10"/>
        <v>8</v>
      </c>
    </row>
    <row r="694" spans="1:5" x14ac:dyDescent="0.2">
      <c r="A694">
        <v>3</v>
      </c>
      <c r="B694" t="s">
        <v>484</v>
      </c>
      <c r="C694">
        <v>1</v>
      </c>
      <c r="D694">
        <v>8</v>
      </c>
      <c r="E694" s="3">
        <f t="shared" si="10"/>
        <v>8</v>
      </c>
    </row>
    <row r="695" spans="1:5" x14ac:dyDescent="0.2">
      <c r="A695">
        <v>4</v>
      </c>
      <c r="B695" t="s">
        <v>512</v>
      </c>
      <c r="C695">
        <v>0</v>
      </c>
      <c r="D695">
        <v>4</v>
      </c>
      <c r="E695" s="3">
        <f t="shared" si="10"/>
        <v>8</v>
      </c>
    </row>
    <row r="696" spans="1:5" x14ac:dyDescent="0.2">
      <c r="A696">
        <v>5</v>
      </c>
      <c r="B696" t="s">
        <v>501</v>
      </c>
      <c r="C696">
        <v>0</v>
      </c>
      <c r="D696">
        <v>2</v>
      </c>
      <c r="E696" s="3">
        <f t="shared" si="10"/>
        <v>8</v>
      </c>
    </row>
    <row r="697" spans="1:5" x14ac:dyDescent="0.2">
      <c r="A697">
        <v>6</v>
      </c>
      <c r="B697" t="s">
        <v>527</v>
      </c>
      <c r="C697">
        <v>0</v>
      </c>
      <c r="D697">
        <v>1</v>
      </c>
      <c r="E697" s="3">
        <f t="shared" si="10"/>
        <v>8</v>
      </c>
    </row>
    <row r="698" spans="1:5" x14ac:dyDescent="0.2">
      <c r="A698">
        <v>7</v>
      </c>
      <c r="B698" s="2" t="s">
        <v>10</v>
      </c>
      <c r="C698" s="2" t="s">
        <v>10</v>
      </c>
      <c r="D698" s="2" t="s">
        <v>10</v>
      </c>
      <c r="E698" s="3">
        <f t="shared" si="10"/>
        <v>8</v>
      </c>
    </row>
    <row r="699" spans="1:5" x14ac:dyDescent="0.2">
      <c r="A699">
        <v>8</v>
      </c>
      <c r="B699" s="2" t="s">
        <v>10</v>
      </c>
      <c r="C699" s="2" t="s">
        <v>10</v>
      </c>
      <c r="D699" s="2" t="s">
        <v>10</v>
      </c>
      <c r="E699" s="3">
        <f t="shared" si="10"/>
        <v>8</v>
      </c>
    </row>
    <row r="700" spans="1:5" x14ac:dyDescent="0.2">
      <c r="A700" s="1" t="s">
        <v>58</v>
      </c>
      <c r="E700" s="3">
        <f t="shared" si="10"/>
        <v>8</v>
      </c>
    </row>
    <row r="701" spans="1:5" x14ac:dyDescent="0.2">
      <c r="A701" s="1" t="s">
        <v>1</v>
      </c>
      <c r="B701" s="1" t="s">
        <v>2</v>
      </c>
      <c r="C701" s="1" t="s">
        <v>3</v>
      </c>
      <c r="D701" s="1" t="s">
        <v>4</v>
      </c>
      <c r="E701" s="3">
        <f t="shared" si="10"/>
        <v>8</v>
      </c>
    </row>
    <row r="702" spans="1:5" x14ac:dyDescent="0.2">
      <c r="A702">
        <v>1</v>
      </c>
      <c r="B702" t="s">
        <v>15</v>
      </c>
      <c r="C702">
        <v>3</v>
      </c>
      <c r="D702">
        <v>17</v>
      </c>
      <c r="E702" s="3">
        <f t="shared" si="10"/>
        <v>8</v>
      </c>
    </row>
    <row r="703" spans="1:5" x14ac:dyDescent="0.2">
      <c r="A703">
        <v>2</v>
      </c>
      <c r="B703" t="s">
        <v>42</v>
      </c>
      <c r="C703">
        <v>3</v>
      </c>
      <c r="D703">
        <v>13</v>
      </c>
      <c r="E703" s="3">
        <f t="shared" si="10"/>
        <v>8</v>
      </c>
    </row>
    <row r="704" spans="1:5" x14ac:dyDescent="0.2">
      <c r="A704">
        <v>3</v>
      </c>
      <c r="B704" t="s">
        <v>452</v>
      </c>
      <c r="C704">
        <v>0</v>
      </c>
      <c r="D704">
        <v>9</v>
      </c>
      <c r="E704" s="3">
        <f t="shared" si="10"/>
        <v>8</v>
      </c>
    </row>
    <row r="705" spans="1:5" x14ac:dyDescent="0.2">
      <c r="A705">
        <v>4</v>
      </c>
      <c r="B705" t="s">
        <v>508</v>
      </c>
      <c r="C705">
        <v>0</v>
      </c>
      <c r="D705">
        <v>5</v>
      </c>
      <c r="E705" s="3">
        <f t="shared" si="10"/>
        <v>8</v>
      </c>
    </row>
    <row r="706" spans="1:5" x14ac:dyDescent="0.2">
      <c r="A706">
        <v>5</v>
      </c>
      <c r="B706" t="s">
        <v>525</v>
      </c>
      <c r="C706">
        <v>0</v>
      </c>
      <c r="D706">
        <v>3</v>
      </c>
      <c r="E706" s="3">
        <f t="shared" si="10"/>
        <v>8</v>
      </c>
    </row>
    <row r="707" spans="1:5" x14ac:dyDescent="0.2">
      <c r="A707">
        <v>6</v>
      </c>
      <c r="B707" t="s">
        <v>59</v>
      </c>
      <c r="C707">
        <v>0</v>
      </c>
      <c r="D707">
        <v>2</v>
      </c>
      <c r="E707" s="3">
        <f t="shared" si="10"/>
        <v>8</v>
      </c>
    </row>
    <row r="708" spans="1:5" x14ac:dyDescent="0.2">
      <c r="A708">
        <v>7</v>
      </c>
      <c r="B708" t="s">
        <v>533</v>
      </c>
      <c r="C708">
        <v>0</v>
      </c>
      <c r="D708">
        <v>1</v>
      </c>
      <c r="E708" s="3">
        <f t="shared" si="10"/>
        <v>8</v>
      </c>
    </row>
    <row r="709" spans="1:5" x14ac:dyDescent="0.2">
      <c r="A709">
        <v>8</v>
      </c>
      <c r="B709" s="2" t="s">
        <v>10</v>
      </c>
      <c r="C709" s="2" t="s">
        <v>10</v>
      </c>
      <c r="D709" s="2" t="s">
        <v>10</v>
      </c>
      <c r="E709" s="3">
        <f t="shared" si="10"/>
        <v>8</v>
      </c>
    </row>
    <row r="710" spans="1:5" x14ac:dyDescent="0.2">
      <c r="A710" s="1" t="s">
        <v>0</v>
      </c>
      <c r="E710" s="3">
        <f t="shared" si="10"/>
        <v>9</v>
      </c>
    </row>
    <row r="711" spans="1:5" x14ac:dyDescent="0.2">
      <c r="A711" s="1" t="s">
        <v>1</v>
      </c>
      <c r="B711" s="1" t="s">
        <v>2</v>
      </c>
      <c r="C711" s="1" t="s">
        <v>3</v>
      </c>
      <c r="D711" s="1" t="s">
        <v>4</v>
      </c>
      <c r="E711" s="3">
        <f t="shared" si="10"/>
        <v>9</v>
      </c>
    </row>
    <row r="712" spans="1:5" x14ac:dyDescent="0.2">
      <c r="A712">
        <v>1</v>
      </c>
      <c r="B712" t="s">
        <v>46</v>
      </c>
      <c r="C712">
        <v>3</v>
      </c>
      <c r="D712">
        <v>17</v>
      </c>
      <c r="E712" s="3">
        <f t="shared" si="10"/>
        <v>9</v>
      </c>
    </row>
    <row r="713" spans="1:5" x14ac:dyDescent="0.2">
      <c r="A713">
        <v>2</v>
      </c>
      <c r="B713" t="s">
        <v>521</v>
      </c>
      <c r="C713">
        <v>3</v>
      </c>
      <c r="D713">
        <v>13</v>
      </c>
      <c r="E713" s="3">
        <f t="shared" si="10"/>
        <v>9</v>
      </c>
    </row>
    <row r="714" spans="1:5" x14ac:dyDescent="0.2">
      <c r="A714">
        <v>3</v>
      </c>
      <c r="B714" t="s">
        <v>491</v>
      </c>
      <c r="C714">
        <v>0</v>
      </c>
      <c r="D714">
        <v>9</v>
      </c>
      <c r="E714" s="3">
        <f t="shared" si="10"/>
        <v>9</v>
      </c>
    </row>
    <row r="715" spans="1:5" x14ac:dyDescent="0.2">
      <c r="A715">
        <v>4</v>
      </c>
      <c r="B715" t="s">
        <v>479</v>
      </c>
      <c r="C715">
        <v>0</v>
      </c>
      <c r="D715">
        <v>5</v>
      </c>
      <c r="E715" s="3">
        <f t="shared" si="10"/>
        <v>9</v>
      </c>
    </row>
    <row r="716" spans="1:5" x14ac:dyDescent="0.2">
      <c r="A716">
        <v>5</v>
      </c>
      <c r="B716" t="s">
        <v>59</v>
      </c>
      <c r="C716">
        <v>0</v>
      </c>
      <c r="D716">
        <v>3</v>
      </c>
      <c r="E716" s="3">
        <f t="shared" si="10"/>
        <v>9</v>
      </c>
    </row>
    <row r="717" spans="1:5" x14ac:dyDescent="0.2">
      <c r="A717">
        <v>6</v>
      </c>
      <c r="B717" t="s">
        <v>65</v>
      </c>
      <c r="C717">
        <v>0</v>
      </c>
      <c r="D717">
        <v>2</v>
      </c>
      <c r="E717" s="3">
        <f t="shared" si="10"/>
        <v>9</v>
      </c>
    </row>
    <row r="718" spans="1:5" x14ac:dyDescent="0.2">
      <c r="A718">
        <v>7</v>
      </c>
      <c r="B718" t="s">
        <v>516</v>
      </c>
      <c r="C718">
        <v>0</v>
      </c>
      <c r="D718">
        <v>1</v>
      </c>
      <c r="E718" s="3">
        <f t="shared" si="10"/>
        <v>9</v>
      </c>
    </row>
    <row r="719" spans="1:5" x14ac:dyDescent="0.2">
      <c r="A719">
        <v>8</v>
      </c>
      <c r="B719" s="2" t="s">
        <v>10</v>
      </c>
      <c r="C719" s="2" t="s">
        <v>10</v>
      </c>
      <c r="D719" s="2" t="s">
        <v>10</v>
      </c>
      <c r="E719" s="3">
        <f t="shared" si="10"/>
        <v>9</v>
      </c>
    </row>
    <row r="720" spans="1:5" x14ac:dyDescent="0.2">
      <c r="A720" s="1" t="s">
        <v>11</v>
      </c>
      <c r="E720" s="3">
        <f t="shared" si="10"/>
        <v>9</v>
      </c>
    </row>
    <row r="721" spans="1:5" x14ac:dyDescent="0.2">
      <c r="A721" s="1" t="s">
        <v>1</v>
      </c>
      <c r="B721" s="1" t="s">
        <v>2</v>
      </c>
      <c r="C721" s="1" t="s">
        <v>3</v>
      </c>
      <c r="D721" s="1" t="s">
        <v>4</v>
      </c>
      <c r="E721" s="3">
        <f t="shared" si="10"/>
        <v>9</v>
      </c>
    </row>
    <row r="722" spans="1:5" x14ac:dyDescent="0.2">
      <c r="A722">
        <v>1</v>
      </c>
      <c r="B722" t="s">
        <v>74</v>
      </c>
      <c r="C722">
        <v>2</v>
      </c>
      <c r="D722">
        <v>16</v>
      </c>
      <c r="E722" s="3">
        <f t="shared" si="10"/>
        <v>9</v>
      </c>
    </row>
    <row r="723" spans="1:5" x14ac:dyDescent="0.2">
      <c r="A723">
        <v>2</v>
      </c>
      <c r="B723" t="s">
        <v>518</v>
      </c>
      <c r="C723">
        <v>0</v>
      </c>
      <c r="D723">
        <v>12</v>
      </c>
      <c r="E723" s="3">
        <f t="shared" si="10"/>
        <v>9</v>
      </c>
    </row>
    <row r="724" spans="1:5" x14ac:dyDescent="0.2">
      <c r="A724">
        <v>3</v>
      </c>
      <c r="B724" t="s">
        <v>519</v>
      </c>
      <c r="C724">
        <v>2</v>
      </c>
      <c r="D724">
        <v>8</v>
      </c>
      <c r="E724" s="3">
        <f t="shared" si="10"/>
        <v>9</v>
      </c>
    </row>
    <row r="725" spans="1:5" x14ac:dyDescent="0.2">
      <c r="A725">
        <v>4</v>
      </c>
      <c r="B725" t="s">
        <v>87</v>
      </c>
      <c r="C725">
        <v>1</v>
      </c>
      <c r="D725">
        <v>4</v>
      </c>
      <c r="E725" s="3">
        <f t="shared" si="10"/>
        <v>9</v>
      </c>
    </row>
    <row r="726" spans="1:5" x14ac:dyDescent="0.2">
      <c r="A726">
        <v>5</v>
      </c>
      <c r="B726" t="s">
        <v>530</v>
      </c>
      <c r="C726">
        <v>0</v>
      </c>
      <c r="D726">
        <v>2</v>
      </c>
      <c r="E726" s="3">
        <f t="shared" si="10"/>
        <v>9</v>
      </c>
    </row>
    <row r="727" spans="1:5" x14ac:dyDescent="0.2">
      <c r="A727">
        <v>6</v>
      </c>
      <c r="B727" t="s">
        <v>475</v>
      </c>
      <c r="C727">
        <v>0</v>
      </c>
      <c r="D727">
        <v>1</v>
      </c>
      <c r="E727" s="3">
        <f t="shared" si="10"/>
        <v>9</v>
      </c>
    </row>
    <row r="728" spans="1:5" x14ac:dyDescent="0.2">
      <c r="A728">
        <v>7</v>
      </c>
      <c r="B728" s="2" t="s">
        <v>10</v>
      </c>
      <c r="C728" s="2" t="s">
        <v>10</v>
      </c>
      <c r="D728" s="2" t="s">
        <v>10</v>
      </c>
      <c r="E728" s="3">
        <f t="shared" si="10"/>
        <v>9</v>
      </c>
    </row>
    <row r="729" spans="1:5" x14ac:dyDescent="0.2">
      <c r="A729">
        <v>8</v>
      </c>
      <c r="B729" s="2" t="s">
        <v>10</v>
      </c>
      <c r="C729" s="2" t="s">
        <v>10</v>
      </c>
      <c r="D729" s="2" t="s">
        <v>10</v>
      </c>
      <c r="E729" s="3">
        <f t="shared" si="10"/>
        <v>9</v>
      </c>
    </row>
    <row r="730" spans="1:5" x14ac:dyDescent="0.2">
      <c r="A730" s="1" t="s">
        <v>24</v>
      </c>
      <c r="E730" s="3">
        <f t="shared" si="10"/>
        <v>9</v>
      </c>
    </row>
    <row r="731" spans="1:5" x14ac:dyDescent="0.2">
      <c r="A731" s="1" t="s">
        <v>1</v>
      </c>
      <c r="B731" s="1" t="s">
        <v>2</v>
      </c>
      <c r="C731" s="1" t="s">
        <v>3</v>
      </c>
      <c r="D731" s="1" t="s">
        <v>4</v>
      </c>
      <c r="E731" s="3">
        <f t="shared" si="10"/>
        <v>9</v>
      </c>
    </row>
    <row r="732" spans="1:5" x14ac:dyDescent="0.2">
      <c r="A732">
        <v>0</v>
      </c>
      <c r="C732">
        <v>0</v>
      </c>
      <c r="D732">
        <v>0</v>
      </c>
      <c r="E732" s="3">
        <f t="shared" si="10"/>
        <v>9</v>
      </c>
    </row>
    <row r="733" spans="1:5" x14ac:dyDescent="0.2">
      <c r="A733">
        <v>0</v>
      </c>
      <c r="C733">
        <v>0</v>
      </c>
      <c r="D733">
        <v>0</v>
      </c>
      <c r="E733" s="3">
        <f t="shared" si="10"/>
        <v>9</v>
      </c>
    </row>
    <row r="734" spans="1:5" x14ac:dyDescent="0.2">
      <c r="A734">
        <v>1</v>
      </c>
      <c r="B734" t="s">
        <v>532</v>
      </c>
      <c r="C734">
        <v>2</v>
      </c>
      <c r="D734">
        <v>16</v>
      </c>
      <c r="E734" s="3">
        <f t="shared" si="10"/>
        <v>9</v>
      </c>
    </row>
    <row r="735" spans="1:5" x14ac:dyDescent="0.2">
      <c r="A735">
        <v>2</v>
      </c>
      <c r="B735" t="s">
        <v>501</v>
      </c>
      <c r="C735">
        <v>3</v>
      </c>
      <c r="D735">
        <v>12</v>
      </c>
      <c r="E735" s="3">
        <f t="shared" si="10"/>
        <v>9</v>
      </c>
    </row>
    <row r="736" spans="1:5" x14ac:dyDescent="0.2">
      <c r="A736">
        <v>3</v>
      </c>
      <c r="B736" t="s">
        <v>25</v>
      </c>
      <c r="C736">
        <v>0</v>
      </c>
      <c r="D736">
        <v>8</v>
      </c>
      <c r="E736" s="3">
        <f t="shared" si="10"/>
        <v>9</v>
      </c>
    </row>
    <row r="737" spans="1:5" x14ac:dyDescent="0.2">
      <c r="A737">
        <v>4</v>
      </c>
      <c r="B737" t="s">
        <v>53</v>
      </c>
      <c r="C737">
        <v>0</v>
      </c>
      <c r="D737">
        <v>4</v>
      </c>
      <c r="E737" s="3">
        <f t="shared" si="10"/>
        <v>9</v>
      </c>
    </row>
    <row r="738" spans="1:5" x14ac:dyDescent="0.2">
      <c r="A738">
        <v>5</v>
      </c>
      <c r="B738" t="s">
        <v>525</v>
      </c>
      <c r="C738">
        <v>0</v>
      </c>
      <c r="D738">
        <v>2</v>
      </c>
      <c r="E738" s="3">
        <f t="shared" si="10"/>
        <v>9</v>
      </c>
    </row>
    <row r="739" spans="1:5" x14ac:dyDescent="0.2">
      <c r="A739">
        <v>6</v>
      </c>
      <c r="B739" t="s">
        <v>545</v>
      </c>
      <c r="C739">
        <v>0</v>
      </c>
      <c r="D739">
        <v>1</v>
      </c>
      <c r="E739" s="3">
        <f t="shared" ref="E739:E802" si="11">IF(A739=$A$1,E738+1,E738)</f>
        <v>9</v>
      </c>
    </row>
    <row r="740" spans="1:5" x14ac:dyDescent="0.2">
      <c r="A740">
        <v>9</v>
      </c>
      <c r="B740" s="2" t="s">
        <v>10</v>
      </c>
      <c r="C740" s="2" t="s">
        <v>10</v>
      </c>
      <c r="D740" s="2" t="s">
        <v>10</v>
      </c>
      <c r="E740" s="3">
        <f t="shared" si="11"/>
        <v>9</v>
      </c>
    </row>
    <row r="741" spans="1:5" x14ac:dyDescent="0.2">
      <c r="A741">
        <v>10</v>
      </c>
      <c r="B741" s="2" t="s">
        <v>10</v>
      </c>
      <c r="C741" s="2" t="s">
        <v>10</v>
      </c>
      <c r="D741" s="2" t="s">
        <v>10</v>
      </c>
      <c r="E741" s="3">
        <f t="shared" si="11"/>
        <v>9</v>
      </c>
    </row>
    <row r="742" spans="1:5" x14ac:dyDescent="0.2">
      <c r="A742" s="1" t="s">
        <v>17</v>
      </c>
      <c r="E742" s="3">
        <f t="shared" si="11"/>
        <v>9</v>
      </c>
    </row>
    <row r="743" spans="1:5" x14ac:dyDescent="0.2">
      <c r="A743" s="1" t="s">
        <v>1</v>
      </c>
      <c r="B743" s="1" t="s">
        <v>2</v>
      </c>
      <c r="C743" s="1" t="s">
        <v>3</v>
      </c>
      <c r="D743" s="1" t="s">
        <v>4</v>
      </c>
      <c r="E743" s="3">
        <f t="shared" si="11"/>
        <v>9</v>
      </c>
    </row>
    <row r="744" spans="1:5" x14ac:dyDescent="0.2">
      <c r="A744">
        <v>1</v>
      </c>
      <c r="B744" t="s">
        <v>29</v>
      </c>
      <c r="C744">
        <v>1</v>
      </c>
      <c r="D744">
        <v>16</v>
      </c>
      <c r="E744" s="3">
        <f t="shared" si="11"/>
        <v>9</v>
      </c>
    </row>
    <row r="745" spans="1:5" x14ac:dyDescent="0.2">
      <c r="A745">
        <v>2</v>
      </c>
      <c r="B745" t="s">
        <v>490</v>
      </c>
      <c r="C745">
        <v>3</v>
      </c>
      <c r="D745">
        <v>12</v>
      </c>
      <c r="E745" s="3">
        <f t="shared" si="11"/>
        <v>9</v>
      </c>
    </row>
    <row r="746" spans="1:5" x14ac:dyDescent="0.2">
      <c r="A746">
        <v>3</v>
      </c>
      <c r="B746" t="s">
        <v>69</v>
      </c>
      <c r="C746">
        <v>1</v>
      </c>
      <c r="D746">
        <v>8</v>
      </c>
      <c r="E746" s="3">
        <f t="shared" si="11"/>
        <v>9</v>
      </c>
    </row>
    <row r="747" spans="1:5" x14ac:dyDescent="0.2">
      <c r="A747">
        <v>4</v>
      </c>
      <c r="B747" t="s">
        <v>508</v>
      </c>
      <c r="C747">
        <v>0</v>
      </c>
      <c r="D747">
        <v>4</v>
      </c>
      <c r="E747" s="3">
        <f t="shared" si="11"/>
        <v>9</v>
      </c>
    </row>
    <row r="748" spans="1:5" x14ac:dyDescent="0.2">
      <c r="A748">
        <v>5</v>
      </c>
      <c r="B748" t="s">
        <v>75</v>
      </c>
      <c r="C748">
        <v>0</v>
      </c>
      <c r="D748">
        <v>2</v>
      </c>
      <c r="E748" s="3">
        <f t="shared" si="11"/>
        <v>9</v>
      </c>
    </row>
    <row r="749" spans="1:5" x14ac:dyDescent="0.2">
      <c r="A749">
        <v>6</v>
      </c>
      <c r="B749" t="s">
        <v>21</v>
      </c>
      <c r="C749">
        <v>0</v>
      </c>
      <c r="D749">
        <v>1</v>
      </c>
      <c r="E749" s="3">
        <f t="shared" si="11"/>
        <v>9</v>
      </c>
    </row>
    <row r="750" spans="1:5" x14ac:dyDescent="0.2">
      <c r="A750">
        <v>7</v>
      </c>
      <c r="B750" s="2" t="s">
        <v>10</v>
      </c>
      <c r="C750" s="2" t="s">
        <v>10</v>
      </c>
      <c r="D750" s="2" t="s">
        <v>10</v>
      </c>
      <c r="E750" s="3">
        <f t="shared" si="11"/>
        <v>9</v>
      </c>
    </row>
    <row r="751" spans="1:5" x14ac:dyDescent="0.2">
      <c r="A751">
        <v>8</v>
      </c>
      <c r="B751" s="2" t="s">
        <v>10</v>
      </c>
      <c r="C751" s="2" t="s">
        <v>10</v>
      </c>
      <c r="D751" s="2" t="s">
        <v>10</v>
      </c>
      <c r="E751" s="3">
        <f t="shared" si="11"/>
        <v>9</v>
      </c>
    </row>
    <row r="752" spans="1:5" x14ac:dyDescent="0.2">
      <c r="A752" s="1" t="s">
        <v>37</v>
      </c>
      <c r="E752" s="3">
        <f t="shared" si="11"/>
        <v>9</v>
      </c>
    </row>
    <row r="753" spans="1:5" x14ac:dyDescent="0.2">
      <c r="A753" s="1" t="s">
        <v>1</v>
      </c>
      <c r="B753" s="1" t="s">
        <v>2</v>
      </c>
      <c r="C753" s="1" t="s">
        <v>3</v>
      </c>
      <c r="D753" s="1" t="s">
        <v>4</v>
      </c>
      <c r="E753" s="3">
        <f t="shared" si="11"/>
        <v>9</v>
      </c>
    </row>
    <row r="754" spans="1:5" x14ac:dyDescent="0.2">
      <c r="A754">
        <v>1</v>
      </c>
      <c r="B754" t="s">
        <v>81</v>
      </c>
      <c r="C754">
        <v>5</v>
      </c>
      <c r="D754">
        <v>17</v>
      </c>
      <c r="E754" s="3">
        <f t="shared" si="11"/>
        <v>9</v>
      </c>
    </row>
    <row r="755" spans="1:5" x14ac:dyDescent="0.2">
      <c r="A755">
        <v>2</v>
      </c>
      <c r="B755" t="s">
        <v>452</v>
      </c>
      <c r="C755">
        <v>0</v>
      </c>
      <c r="D755">
        <v>13</v>
      </c>
      <c r="E755" s="3">
        <f t="shared" si="11"/>
        <v>9</v>
      </c>
    </row>
    <row r="756" spans="1:5" x14ac:dyDescent="0.2">
      <c r="A756">
        <v>3</v>
      </c>
      <c r="B756" t="s">
        <v>27</v>
      </c>
      <c r="C756">
        <v>0</v>
      </c>
      <c r="D756">
        <v>9</v>
      </c>
      <c r="E756" s="3">
        <f t="shared" si="11"/>
        <v>9</v>
      </c>
    </row>
    <row r="757" spans="1:5" x14ac:dyDescent="0.2">
      <c r="A757">
        <v>4</v>
      </c>
      <c r="B757" t="s">
        <v>502</v>
      </c>
      <c r="C757">
        <v>0</v>
      </c>
      <c r="D757">
        <v>5</v>
      </c>
      <c r="E757" s="3">
        <f t="shared" si="11"/>
        <v>9</v>
      </c>
    </row>
    <row r="758" spans="1:5" x14ac:dyDescent="0.2">
      <c r="A758">
        <v>5</v>
      </c>
      <c r="B758" t="s">
        <v>73</v>
      </c>
      <c r="C758">
        <v>1</v>
      </c>
      <c r="D758">
        <v>3</v>
      </c>
      <c r="E758" s="3">
        <f t="shared" si="11"/>
        <v>9</v>
      </c>
    </row>
    <row r="759" spans="1:5" x14ac:dyDescent="0.2">
      <c r="A759">
        <v>6</v>
      </c>
      <c r="B759" t="s">
        <v>505</v>
      </c>
      <c r="C759">
        <v>0</v>
      </c>
      <c r="D759">
        <v>2</v>
      </c>
      <c r="E759" s="3">
        <f t="shared" si="11"/>
        <v>9</v>
      </c>
    </row>
    <row r="760" spans="1:5" x14ac:dyDescent="0.2">
      <c r="A760">
        <v>7</v>
      </c>
      <c r="B760" t="s">
        <v>493</v>
      </c>
      <c r="C760">
        <v>0</v>
      </c>
      <c r="D760">
        <v>1</v>
      </c>
      <c r="E760" s="3">
        <f t="shared" si="11"/>
        <v>9</v>
      </c>
    </row>
    <row r="761" spans="1:5" x14ac:dyDescent="0.2">
      <c r="A761">
        <v>8</v>
      </c>
      <c r="B761" s="2" t="s">
        <v>10</v>
      </c>
      <c r="C761" s="2" t="s">
        <v>10</v>
      </c>
      <c r="D761" s="2" t="s">
        <v>10</v>
      </c>
      <c r="E761" s="3">
        <f t="shared" si="11"/>
        <v>9</v>
      </c>
    </row>
    <row r="762" spans="1:5" x14ac:dyDescent="0.2">
      <c r="A762" s="1" t="s">
        <v>30</v>
      </c>
      <c r="E762" s="3">
        <f t="shared" si="11"/>
        <v>9</v>
      </c>
    </row>
    <row r="763" spans="1:5" x14ac:dyDescent="0.2">
      <c r="A763" s="1" t="s">
        <v>1</v>
      </c>
      <c r="B763" s="1" t="s">
        <v>2</v>
      </c>
      <c r="C763" s="1" t="s">
        <v>3</v>
      </c>
      <c r="D763" s="1" t="s">
        <v>4</v>
      </c>
      <c r="E763" s="3">
        <f t="shared" si="11"/>
        <v>9</v>
      </c>
    </row>
    <row r="764" spans="1:5" x14ac:dyDescent="0.2">
      <c r="A764">
        <v>1</v>
      </c>
      <c r="B764" t="s">
        <v>500</v>
      </c>
      <c r="C764">
        <v>5</v>
      </c>
      <c r="D764">
        <v>17</v>
      </c>
      <c r="E764" s="3">
        <f t="shared" si="11"/>
        <v>9</v>
      </c>
    </row>
    <row r="765" spans="1:5" x14ac:dyDescent="0.2">
      <c r="A765">
        <v>2</v>
      </c>
      <c r="B765" t="s">
        <v>534</v>
      </c>
      <c r="C765">
        <v>1</v>
      </c>
      <c r="D765">
        <v>13</v>
      </c>
      <c r="E765" s="3">
        <f t="shared" si="11"/>
        <v>9</v>
      </c>
    </row>
    <row r="766" spans="1:5" x14ac:dyDescent="0.2">
      <c r="A766">
        <v>3</v>
      </c>
      <c r="B766" t="s">
        <v>88</v>
      </c>
      <c r="C766">
        <v>0</v>
      </c>
      <c r="D766">
        <v>9</v>
      </c>
      <c r="E766" s="3">
        <f t="shared" si="11"/>
        <v>9</v>
      </c>
    </row>
    <row r="767" spans="1:5" x14ac:dyDescent="0.2">
      <c r="A767">
        <v>4</v>
      </c>
      <c r="B767" t="s">
        <v>55</v>
      </c>
      <c r="C767">
        <v>0</v>
      </c>
      <c r="D767">
        <v>5</v>
      </c>
      <c r="E767" s="3">
        <f t="shared" si="11"/>
        <v>9</v>
      </c>
    </row>
    <row r="768" spans="1:5" x14ac:dyDescent="0.2">
      <c r="A768">
        <v>5</v>
      </c>
      <c r="B768" t="s">
        <v>9</v>
      </c>
      <c r="C768">
        <v>0</v>
      </c>
      <c r="D768">
        <v>3</v>
      </c>
      <c r="E768" s="3">
        <f t="shared" si="11"/>
        <v>9</v>
      </c>
    </row>
    <row r="769" spans="1:5" x14ac:dyDescent="0.2">
      <c r="A769">
        <v>6</v>
      </c>
      <c r="B769" t="s">
        <v>506</v>
      </c>
      <c r="C769">
        <v>0</v>
      </c>
      <c r="D769">
        <v>2</v>
      </c>
      <c r="E769" s="3">
        <f t="shared" si="11"/>
        <v>9</v>
      </c>
    </row>
    <row r="770" spans="1:5" x14ac:dyDescent="0.2">
      <c r="A770">
        <v>7</v>
      </c>
      <c r="B770" t="s">
        <v>345</v>
      </c>
      <c r="C770">
        <v>0</v>
      </c>
      <c r="D770">
        <v>1</v>
      </c>
      <c r="E770" s="3">
        <f t="shared" si="11"/>
        <v>9</v>
      </c>
    </row>
    <row r="771" spans="1:5" x14ac:dyDescent="0.2">
      <c r="A771">
        <v>8</v>
      </c>
      <c r="B771" s="2" t="s">
        <v>10</v>
      </c>
      <c r="C771" s="2" t="s">
        <v>10</v>
      </c>
      <c r="D771" s="2" t="s">
        <v>10</v>
      </c>
      <c r="E771" s="3">
        <f t="shared" si="11"/>
        <v>9</v>
      </c>
    </row>
    <row r="772" spans="1:5" x14ac:dyDescent="0.2">
      <c r="A772" s="1" t="s">
        <v>44</v>
      </c>
      <c r="E772" s="3">
        <f t="shared" si="11"/>
        <v>9</v>
      </c>
    </row>
    <row r="773" spans="1:5" x14ac:dyDescent="0.2">
      <c r="A773" s="1" t="s">
        <v>1</v>
      </c>
      <c r="B773" s="1" t="s">
        <v>2</v>
      </c>
      <c r="C773" s="1" t="s">
        <v>3</v>
      </c>
      <c r="D773" s="1" t="s">
        <v>4</v>
      </c>
      <c r="E773" s="3">
        <f t="shared" si="11"/>
        <v>9</v>
      </c>
    </row>
    <row r="774" spans="1:5" x14ac:dyDescent="0.2">
      <c r="A774">
        <v>1</v>
      </c>
      <c r="B774" t="s">
        <v>507</v>
      </c>
      <c r="C774">
        <v>3</v>
      </c>
      <c r="D774">
        <v>16</v>
      </c>
      <c r="E774" s="3">
        <f t="shared" si="11"/>
        <v>9</v>
      </c>
    </row>
    <row r="775" spans="1:5" x14ac:dyDescent="0.2">
      <c r="A775">
        <v>2</v>
      </c>
      <c r="B775" t="s">
        <v>531</v>
      </c>
      <c r="C775">
        <v>2</v>
      </c>
      <c r="D775">
        <v>12</v>
      </c>
      <c r="E775" s="3">
        <f t="shared" si="11"/>
        <v>9</v>
      </c>
    </row>
    <row r="776" spans="1:5" x14ac:dyDescent="0.2">
      <c r="A776">
        <v>3</v>
      </c>
      <c r="B776" t="s">
        <v>546</v>
      </c>
      <c r="C776">
        <v>0</v>
      </c>
      <c r="D776">
        <v>8</v>
      </c>
      <c r="E776" s="3">
        <f t="shared" si="11"/>
        <v>9</v>
      </c>
    </row>
    <row r="777" spans="1:5" x14ac:dyDescent="0.2">
      <c r="A777">
        <v>4</v>
      </c>
      <c r="B777" t="s">
        <v>504</v>
      </c>
      <c r="C777">
        <v>0</v>
      </c>
      <c r="D777">
        <v>4</v>
      </c>
      <c r="E777" s="3">
        <f t="shared" si="11"/>
        <v>9</v>
      </c>
    </row>
    <row r="778" spans="1:5" x14ac:dyDescent="0.2">
      <c r="A778">
        <v>5</v>
      </c>
      <c r="B778" t="s">
        <v>6</v>
      </c>
      <c r="C778">
        <v>0</v>
      </c>
      <c r="D778">
        <v>2</v>
      </c>
      <c r="E778" s="3">
        <f t="shared" si="11"/>
        <v>9</v>
      </c>
    </row>
    <row r="779" spans="1:5" x14ac:dyDescent="0.2">
      <c r="A779">
        <v>6</v>
      </c>
      <c r="B779" t="s">
        <v>526</v>
      </c>
      <c r="C779">
        <v>0</v>
      </c>
      <c r="D779">
        <v>1</v>
      </c>
      <c r="E779" s="3">
        <f t="shared" si="11"/>
        <v>9</v>
      </c>
    </row>
    <row r="780" spans="1:5" x14ac:dyDescent="0.2">
      <c r="A780">
        <v>7</v>
      </c>
      <c r="B780" s="2" t="s">
        <v>10</v>
      </c>
      <c r="C780" s="2" t="s">
        <v>10</v>
      </c>
      <c r="D780" s="2" t="s">
        <v>10</v>
      </c>
      <c r="E780" s="3">
        <f t="shared" si="11"/>
        <v>9</v>
      </c>
    </row>
    <row r="781" spans="1:5" x14ac:dyDescent="0.2">
      <c r="A781">
        <v>8</v>
      </c>
      <c r="B781" s="2" t="s">
        <v>10</v>
      </c>
      <c r="C781" s="2" t="s">
        <v>10</v>
      </c>
      <c r="D781" s="2" t="s">
        <v>10</v>
      </c>
      <c r="E781" s="3">
        <f t="shared" si="11"/>
        <v>9</v>
      </c>
    </row>
    <row r="782" spans="1:5" x14ac:dyDescent="0.2">
      <c r="A782" s="1" t="s">
        <v>51</v>
      </c>
      <c r="E782" s="3">
        <f t="shared" si="11"/>
        <v>9</v>
      </c>
    </row>
    <row r="783" spans="1:5" x14ac:dyDescent="0.2">
      <c r="A783" s="1" t="s">
        <v>1</v>
      </c>
      <c r="B783" s="1" t="s">
        <v>2</v>
      </c>
      <c r="C783" s="1" t="s">
        <v>3</v>
      </c>
      <c r="D783" s="1" t="s">
        <v>4</v>
      </c>
      <c r="E783" s="3">
        <f t="shared" si="11"/>
        <v>9</v>
      </c>
    </row>
    <row r="784" spans="1:5" x14ac:dyDescent="0.2">
      <c r="A784">
        <v>1</v>
      </c>
      <c r="B784" t="s">
        <v>48</v>
      </c>
      <c r="C784">
        <v>4</v>
      </c>
      <c r="D784">
        <v>16</v>
      </c>
      <c r="E784" s="3">
        <f t="shared" si="11"/>
        <v>9</v>
      </c>
    </row>
    <row r="785" spans="1:5" x14ac:dyDescent="0.2">
      <c r="A785">
        <v>2</v>
      </c>
      <c r="B785" t="s">
        <v>35</v>
      </c>
      <c r="C785">
        <v>1</v>
      </c>
      <c r="D785">
        <v>12</v>
      </c>
      <c r="E785" s="3">
        <f t="shared" si="11"/>
        <v>9</v>
      </c>
    </row>
    <row r="786" spans="1:5" x14ac:dyDescent="0.2">
      <c r="A786">
        <v>3</v>
      </c>
      <c r="B786" t="s">
        <v>484</v>
      </c>
      <c r="C786">
        <v>0</v>
      </c>
      <c r="D786">
        <v>8</v>
      </c>
      <c r="E786" s="3">
        <f t="shared" si="11"/>
        <v>9</v>
      </c>
    </row>
    <row r="787" spans="1:5" x14ac:dyDescent="0.2">
      <c r="A787">
        <v>4</v>
      </c>
      <c r="B787" t="s">
        <v>461</v>
      </c>
      <c r="C787">
        <v>0</v>
      </c>
      <c r="D787">
        <v>4</v>
      </c>
      <c r="E787" s="3">
        <f t="shared" si="11"/>
        <v>9</v>
      </c>
    </row>
    <row r="788" spans="1:5" x14ac:dyDescent="0.2">
      <c r="A788">
        <v>5</v>
      </c>
      <c r="B788" t="s">
        <v>535</v>
      </c>
      <c r="C788">
        <v>0</v>
      </c>
      <c r="D788">
        <v>2</v>
      </c>
      <c r="E788" s="3">
        <f t="shared" si="11"/>
        <v>9</v>
      </c>
    </row>
    <row r="789" spans="1:5" x14ac:dyDescent="0.2">
      <c r="A789">
        <v>6</v>
      </c>
      <c r="B789" t="s">
        <v>66</v>
      </c>
      <c r="C789">
        <v>0</v>
      </c>
      <c r="D789">
        <v>1</v>
      </c>
      <c r="E789" s="3">
        <f t="shared" si="11"/>
        <v>9</v>
      </c>
    </row>
    <row r="790" spans="1:5" x14ac:dyDescent="0.2">
      <c r="A790">
        <v>7</v>
      </c>
      <c r="B790" s="2" t="s">
        <v>10</v>
      </c>
      <c r="C790" s="2" t="s">
        <v>10</v>
      </c>
      <c r="D790" s="2" t="s">
        <v>10</v>
      </c>
      <c r="E790" s="3">
        <f t="shared" si="11"/>
        <v>9</v>
      </c>
    </row>
    <row r="791" spans="1:5" x14ac:dyDescent="0.2">
      <c r="A791">
        <v>8</v>
      </c>
      <c r="B791" s="2" t="s">
        <v>10</v>
      </c>
      <c r="C791" s="2" t="s">
        <v>10</v>
      </c>
      <c r="D791" s="2" t="s">
        <v>10</v>
      </c>
      <c r="E791" s="3">
        <f t="shared" si="11"/>
        <v>9</v>
      </c>
    </row>
    <row r="792" spans="1:5" x14ac:dyDescent="0.2">
      <c r="A792" s="1" t="s">
        <v>58</v>
      </c>
      <c r="E792" s="3">
        <f t="shared" si="11"/>
        <v>9</v>
      </c>
    </row>
    <row r="793" spans="1:5" x14ac:dyDescent="0.2">
      <c r="A793" s="1" t="s">
        <v>1</v>
      </c>
      <c r="B793" s="1" t="s">
        <v>2</v>
      </c>
      <c r="C793" s="1" t="s">
        <v>3</v>
      </c>
      <c r="D793" s="1" t="s">
        <v>4</v>
      </c>
      <c r="E793" s="3">
        <f t="shared" si="11"/>
        <v>9</v>
      </c>
    </row>
    <row r="794" spans="1:5" x14ac:dyDescent="0.2">
      <c r="A794">
        <v>1</v>
      </c>
      <c r="B794" t="s">
        <v>14</v>
      </c>
      <c r="C794">
        <v>1</v>
      </c>
      <c r="D794">
        <v>16</v>
      </c>
      <c r="E794" s="3">
        <f t="shared" si="11"/>
        <v>9</v>
      </c>
    </row>
    <row r="795" spans="1:5" x14ac:dyDescent="0.2">
      <c r="A795">
        <v>2</v>
      </c>
      <c r="B795" t="s">
        <v>42</v>
      </c>
      <c r="C795">
        <v>1</v>
      </c>
      <c r="D795">
        <v>12</v>
      </c>
      <c r="E795" s="3">
        <f t="shared" si="11"/>
        <v>9</v>
      </c>
    </row>
    <row r="796" spans="1:5" x14ac:dyDescent="0.2">
      <c r="A796">
        <v>3</v>
      </c>
      <c r="B796" t="s">
        <v>485</v>
      </c>
      <c r="C796">
        <v>3</v>
      </c>
      <c r="D796">
        <v>8</v>
      </c>
      <c r="E796" s="3">
        <f t="shared" si="11"/>
        <v>9</v>
      </c>
    </row>
    <row r="797" spans="1:5" x14ac:dyDescent="0.2">
      <c r="A797">
        <v>4</v>
      </c>
      <c r="B797" t="s">
        <v>280</v>
      </c>
      <c r="C797">
        <v>0</v>
      </c>
      <c r="D797">
        <v>4</v>
      </c>
      <c r="E797" s="3">
        <f t="shared" si="11"/>
        <v>9</v>
      </c>
    </row>
    <row r="798" spans="1:5" x14ac:dyDescent="0.2">
      <c r="A798">
        <v>5</v>
      </c>
      <c r="B798" t="s">
        <v>503</v>
      </c>
      <c r="C798">
        <v>0</v>
      </c>
      <c r="D798">
        <v>2</v>
      </c>
      <c r="E798" s="3">
        <f t="shared" si="11"/>
        <v>9</v>
      </c>
    </row>
    <row r="799" spans="1:5" x14ac:dyDescent="0.2">
      <c r="A799">
        <v>6</v>
      </c>
      <c r="B799" t="s">
        <v>512</v>
      </c>
      <c r="C799">
        <v>0</v>
      </c>
      <c r="D799">
        <v>1</v>
      </c>
      <c r="E799" s="3">
        <f t="shared" si="11"/>
        <v>9</v>
      </c>
    </row>
    <row r="800" spans="1:5" x14ac:dyDescent="0.2">
      <c r="A800">
        <v>7</v>
      </c>
      <c r="B800" s="2" t="s">
        <v>10</v>
      </c>
      <c r="C800" s="2" t="s">
        <v>10</v>
      </c>
      <c r="D800" s="2" t="s">
        <v>10</v>
      </c>
      <c r="E800" s="3">
        <f t="shared" si="11"/>
        <v>9</v>
      </c>
    </row>
    <row r="801" spans="1:5" x14ac:dyDescent="0.2">
      <c r="A801">
        <v>8</v>
      </c>
      <c r="B801" s="2" t="s">
        <v>10</v>
      </c>
      <c r="C801" s="2" t="s">
        <v>10</v>
      </c>
      <c r="D801" s="2" t="s">
        <v>10</v>
      </c>
      <c r="E801" s="3">
        <f t="shared" si="11"/>
        <v>9</v>
      </c>
    </row>
    <row r="802" spans="1:5" x14ac:dyDescent="0.2">
      <c r="A802" s="1" t="s">
        <v>0</v>
      </c>
      <c r="E802" s="3">
        <f t="shared" si="11"/>
        <v>10</v>
      </c>
    </row>
    <row r="803" spans="1:5" x14ac:dyDescent="0.2">
      <c r="A803" s="1" t="s">
        <v>1</v>
      </c>
      <c r="B803" s="1" t="s">
        <v>2</v>
      </c>
      <c r="C803" s="1" t="s">
        <v>3</v>
      </c>
      <c r="D803" s="1" t="s">
        <v>4</v>
      </c>
      <c r="E803" s="3">
        <f t="shared" ref="E803:E866" si="12">IF(A803=$A$1,E802+1,E802)</f>
        <v>10</v>
      </c>
    </row>
    <row r="804" spans="1:5" x14ac:dyDescent="0.2">
      <c r="A804">
        <v>1</v>
      </c>
      <c r="B804" t="s">
        <v>452</v>
      </c>
      <c r="C804">
        <v>3</v>
      </c>
      <c r="D804">
        <v>16</v>
      </c>
      <c r="E804" s="3">
        <f t="shared" si="12"/>
        <v>10</v>
      </c>
    </row>
    <row r="805" spans="1:5" x14ac:dyDescent="0.2">
      <c r="A805">
        <v>2</v>
      </c>
      <c r="B805" t="s">
        <v>101</v>
      </c>
      <c r="C805">
        <v>1</v>
      </c>
      <c r="D805">
        <v>12</v>
      </c>
      <c r="E805" s="3">
        <f t="shared" si="12"/>
        <v>10</v>
      </c>
    </row>
    <row r="806" spans="1:5" x14ac:dyDescent="0.2">
      <c r="A806">
        <v>3</v>
      </c>
      <c r="B806" t="s">
        <v>518</v>
      </c>
      <c r="C806">
        <v>1</v>
      </c>
      <c r="D806">
        <v>8</v>
      </c>
      <c r="E806" s="3">
        <f t="shared" si="12"/>
        <v>10</v>
      </c>
    </row>
    <row r="807" spans="1:5" x14ac:dyDescent="0.2">
      <c r="A807">
        <v>4</v>
      </c>
      <c r="B807" t="s">
        <v>505</v>
      </c>
      <c r="C807">
        <v>0</v>
      </c>
      <c r="D807">
        <v>4</v>
      </c>
      <c r="E807" s="3">
        <f t="shared" si="12"/>
        <v>10</v>
      </c>
    </row>
    <row r="808" spans="1:5" x14ac:dyDescent="0.2">
      <c r="A808">
        <v>5</v>
      </c>
      <c r="B808" t="s">
        <v>479</v>
      </c>
      <c r="C808">
        <v>0</v>
      </c>
      <c r="D808">
        <v>2</v>
      </c>
      <c r="E808" s="3">
        <f t="shared" si="12"/>
        <v>10</v>
      </c>
    </row>
    <row r="809" spans="1:5" x14ac:dyDescent="0.2">
      <c r="A809">
        <v>6</v>
      </c>
      <c r="B809" t="s">
        <v>532</v>
      </c>
      <c r="C809">
        <v>0</v>
      </c>
      <c r="D809">
        <v>1</v>
      </c>
      <c r="E809" s="3">
        <f t="shared" si="12"/>
        <v>10</v>
      </c>
    </row>
    <row r="810" spans="1:5" x14ac:dyDescent="0.2">
      <c r="A810">
        <v>7</v>
      </c>
      <c r="B810" s="2" t="s">
        <v>10</v>
      </c>
      <c r="C810" s="2" t="s">
        <v>10</v>
      </c>
      <c r="D810" s="2" t="s">
        <v>10</v>
      </c>
      <c r="E810" s="3">
        <f t="shared" si="12"/>
        <v>10</v>
      </c>
    </row>
    <row r="811" spans="1:5" x14ac:dyDescent="0.2">
      <c r="A811">
        <v>8</v>
      </c>
      <c r="B811" s="2" t="s">
        <v>10</v>
      </c>
      <c r="C811" s="2" t="s">
        <v>10</v>
      </c>
      <c r="D811" s="2" t="s">
        <v>10</v>
      </c>
      <c r="E811" s="3">
        <f t="shared" si="12"/>
        <v>10</v>
      </c>
    </row>
    <row r="812" spans="1:5" x14ac:dyDescent="0.2">
      <c r="A812" s="1" t="s">
        <v>17</v>
      </c>
      <c r="E812" s="3">
        <f t="shared" si="12"/>
        <v>10</v>
      </c>
    </row>
    <row r="813" spans="1:5" x14ac:dyDescent="0.2">
      <c r="A813" s="1" t="s">
        <v>1</v>
      </c>
      <c r="B813" s="1" t="s">
        <v>2</v>
      </c>
      <c r="C813" s="1" t="s">
        <v>3</v>
      </c>
      <c r="D813" s="1" t="s">
        <v>4</v>
      </c>
      <c r="E813" s="3">
        <f t="shared" si="12"/>
        <v>10</v>
      </c>
    </row>
    <row r="814" spans="1:5" x14ac:dyDescent="0.2">
      <c r="A814">
        <v>1</v>
      </c>
      <c r="B814" t="s">
        <v>485</v>
      </c>
      <c r="C814">
        <v>4</v>
      </c>
      <c r="D814">
        <v>16</v>
      </c>
      <c r="E814" s="3">
        <f t="shared" si="12"/>
        <v>10</v>
      </c>
    </row>
    <row r="815" spans="1:5" x14ac:dyDescent="0.2">
      <c r="A815">
        <v>2</v>
      </c>
      <c r="B815" t="s">
        <v>534</v>
      </c>
      <c r="C815">
        <v>0</v>
      </c>
      <c r="D815">
        <v>12</v>
      </c>
      <c r="E815" s="3">
        <f t="shared" si="12"/>
        <v>10</v>
      </c>
    </row>
    <row r="816" spans="1:5" x14ac:dyDescent="0.2">
      <c r="A816">
        <v>3</v>
      </c>
      <c r="B816" t="s">
        <v>21</v>
      </c>
      <c r="C816">
        <v>1</v>
      </c>
      <c r="D816">
        <v>8</v>
      </c>
      <c r="E816" s="3">
        <f t="shared" si="12"/>
        <v>10</v>
      </c>
    </row>
    <row r="817" spans="1:5" x14ac:dyDescent="0.2">
      <c r="A817">
        <v>4</v>
      </c>
      <c r="B817" t="s">
        <v>42</v>
      </c>
      <c r="C817">
        <v>0</v>
      </c>
      <c r="D817">
        <v>4</v>
      </c>
      <c r="E817" s="3">
        <f t="shared" si="12"/>
        <v>10</v>
      </c>
    </row>
    <row r="818" spans="1:5" x14ac:dyDescent="0.2">
      <c r="A818">
        <v>5</v>
      </c>
      <c r="B818" t="s">
        <v>454</v>
      </c>
      <c r="C818">
        <v>0</v>
      </c>
      <c r="D818">
        <v>2</v>
      </c>
      <c r="E818" s="3">
        <f t="shared" si="12"/>
        <v>10</v>
      </c>
    </row>
    <row r="819" spans="1:5" x14ac:dyDescent="0.2">
      <c r="A819">
        <v>6</v>
      </c>
      <c r="B819" t="s">
        <v>526</v>
      </c>
      <c r="C819">
        <v>0</v>
      </c>
      <c r="D819">
        <v>1</v>
      </c>
      <c r="E819" s="3">
        <f t="shared" si="12"/>
        <v>10</v>
      </c>
    </row>
    <row r="820" spans="1:5" x14ac:dyDescent="0.2">
      <c r="A820">
        <v>7</v>
      </c>
      <c r="B820" s="2" t="s">
        <v>10</v>
      </c>
      <c r="C820" s="2" t="s">
        <v>10</v>
      </c>
      <c r="D820" s="2" t="s">
        <v>10</v>
      </c>
      <c r="E820" s="3">
        <f t="shared" si="12"/>
        <v>10</v>
      </c>
    </row>
    <row r="821" spans="1:5" x14ac:dyDescent="0.2">
      <c r="A821">
        <v>8</v>
      </c>
      <c r="B821" s="2" t="s">
        <v>10</v>
      </c>
      <c r="C821" s="2" t="s">
        <v>10</v>
      </c>
      <c r="D821" s="2" t="s">
        <v>10</v>
      </c>
      <c r="E821" s="3">
        <f t="shared" si="12"/>
        <v>10</v>
      </c>
    </row>
    <row r="822" spans="1:5" x14ac:dyDescent="0.2">
      <c r="A822" s="1" t="s">
        <v>24</v>
      </c>
      <c r="E822" s="3">
        <f t="shared" si="12"/>
        <v>10</v>
      </c>
    </row>
    <row r="823" spans="1:5" x14ac:dyDescent="0.2">
      <c r="A823" s="1" t="s">
        <v>1</v>
      </c>
      <c r="B823" s="1" t="s">
        <v>2</v>
      </c>
      <c r="C823" s="1" t="s">
        <v>3</v>
      </c>
      <c r="D823" s="1" t="s">
        <v>4</v>
      </c>
      <c r="E823" s="3">
        <f t="shared" si="12"/>
        <v>10</v>
      </c>
    </row>
    <row r="824" spans="1:5" x14ac:dyDescent="0.2">
      <c r="A824">
        <v>1</v>
      </c>
      <c r="B824" t="s">
        <v>46</v>
      </c>
      <c r="C824">
        <v>3</v>
      </c>
      <c r="D824">
        <v>16</v>
      </c>
      <c r="E824" s="3">
        <f t="shared" si="12"/>
        <v>10</v>
      </c>
    </row>
    <row r="825" spans="1:5" x14ac:dyDescent="0.2">
      <c r="A825">
        <v>2</v>
      </c>
      <c r="B825" t="s">
        <v>9</v>
      </c>
      <c r="C825">
        <v>1</v>
      </c>
      <c r="D825">
        <v>12</v>
      </c>
      <c r="E825" s="3">
        <f t="shared" si="12"/>
        <v>10</v>
      </c>
    </row>
    <row r="826" spans="1:5" x14ac:dyDescent="0.2">
      <c r="A826">
        <v>3</v>
      </c>
      <c r="B826" t="s">
        <v>280</v>
      </c>
      <c r="C826">
        <v>1</v>
      </c>
      <c r="D826">
        <v>8</v>
      </c>
      <c r="E826" s="3">
        <f t="shared" si="12"/>
        <v>10</v>
      </c>
    </row>
    <row r="827" spans="1:5" x14ac:dyDescent="0.2">
      <c r="A827">
        <v>4</v>
      </c>
      <c r="B827" t="s">
        <v>508</v>
      </c>
      <c r="C827">
        <v>0</v>
      </c>
      <c r="D827">
        <v>4</v>
      </c>
      <c r="E827" s="3">
        <f t="shared" si="12"/>
        <v>10</v>
      </c>
    </row>
    <row r="828" spans="1:5" x14ac:dyDescent="0.2">
      <c r="A828">
        <v>5</v>
      </c>
      <c r="B828" t="s">
        <v>516</v>
      </c>
      <c r="C828">
        <v>0</v>
      </c>
      <c r="D828">
        <v>2</v>
      </c>
      <c r="E828" s="3">
        <f t="shared" si="12"/>
        <v>10</v>
      </c>
    </row>
    <row r="829" spans="1:5" x14ac:dyDescent="0.2">
      <c r="A829">
        <v>6</v>
      </c>
      <c r="B829" t="s">
        <v>345</v>
      </c>
      <c r="C829">
        <v>0</v>
      </c>
      <c r="D829">
        <v>1</v>
      </c>
      <c r="E829" s="3">
        <f t="shared" si="12"/>
        <v>10</v>
      </c>
    </row>
    <row r="830" spans="1:5" x14ac:dyDescent="0.2">
      <c r="A830">
        <v>7</v>
      </c>
      <c r="B830" s="2" t="s">
        <v>10</v>
      </c>
      <c r="C830" s="2" t="s">
        <v>10</v>
      </c>
      <c r="D830" s="2" t="s">
        <v>10</v>
      </c>
      <c r="E830" s="3">
        <f t="shared" si="12"/>
        <v>10</v>
      </c>
    </row>
    <row r="831" spans="1:5" x14ac:dyDescent="0.2">
      <c r="A831">
        <v>8</v>
      </c>
      <c r="B831" s="2" t="s">
        <v>10</v>
      </c>
      <c r="C831" s="2" t="s">
        <v>10</v>
      </c>
      <c r="D831" s="2" t="s">
        <v>10</v>
      </c>
      <c r="E831" s="3">
        <f t="shared" si="12"/>
        <v>10</v>
      </c>
    </row>
    <row r="832" spans="1:5" x14ac:dyDescent="0.2">
      <c r="A832" s="1" t="s">
        <v>30</v>
      </c>
      <c r="E832" s="3">
        <f t="shared" si="12"/>
        <v>10</v>
      </c>
    </row>
    <row r="833" spans="1:5" x14ac:dyDescent="0.2">
      <c r="A833" s="1" t="s">
        <v>1</v>
      </c>
      <c r="B833" s="1" t="s">
        <v>2</v>
      </c>
      <c r="C833" s="1" t="s">
        <v>3</v>
      </c>
      <c r="D833" s="1" t="s">
        <v>4</v>
      </c>
      <c r="E833" s="3">
        <f t="shared" si="12"/>
        <v>10</v>
      </c>
    </row>
    <row r="834" spans="1:5" x14ac:dyDescent="0.2">
      <c r="A834">
        <v>1</v>
      </c>
      <c r="B834" t="s">
        <v>500</v>
      </c>
      <c r="C834">
        <v>3</v>
      </c>
      <c r="D834">
        <v>16</v>
      </c>
      <c r="E834" s="3">
        <f t="shared" si="12"/>
        <v>10</v>
      </c>
    </row>
    <row r="835" spans="1:5" x14ac:dyDescent="0.2">
      <c r="A835">
        <v>2</v>
      </c>
      <c r="B835" t="s">
        <v>25</v>
      </c>
      <c r="C835">
        <v>2</v>
      </c>
      <c r="D835">
        <v>12</v>
      </c>
      <c r="E835" s="3">
        <f t="shared" si="12"/>
        <v>10</v>
      </c>
    </row>
    <row r="836" spans="1:5" x14ac:dyDescent="0.2">
      <c r="A836">
        <v>3</v>
      </c>
      <c r="B836" t="s">
        <v>69</v>
      </c>
      <c r="C836">
        <v>0</v>
      </c>
      <c r="D836">
        <v>8</v>
      </c>
      <c r="E836" s="3">
        <f t="shared" si="12"/>
        <v>10</v>
      </c>
    </row>
    <row r="837" spans="1:5" x14ac:dyDescent="0.2">
      <c r="A837">
        <v>4</v>
      </c>
      <c r="B837" t="s">
        <v>61</v>
      </c>
      <c r="C837">
        <v>0</v>
      </c>
      <c r="D837">
        <v>4</v>
      </c>
      <c r="E837" s="3">
        <f t="shared" si="12"/>
        <v>10</v>
      </c>
    </row>
    <row r="838" spans="1:5" x14ac:dyDescent="0.2">
      <c r="A838">
        <v>5</v>
      </c>
      <c r="B838" t="s">
        <v>512</v>
      </c>
      <c r="C838">
        <v>0</v>
      </c>
      <c r="D838">
        <v>2</v>
      </c>
      <c r="E838" s="3">
        <f t="shared" si="12"/>
        <v>10</v>
      </c>
    </row>
    <row r="839" spans="1:5" x14ac:dyDescent="0.2">
      <c r="A839">
        <v>6</v>
      </c>
      <c r="B839" t="s">
        <v>525</v>
      </c>
      <c r="C839">
        <v>0</v>
      </c>
      <c r="D839">
        <v>1</v>
      </c>
      <c r="E839" s="3">
        <f t="shared" si="12"/>
        <v>10</v>
      </c>
    </row>
    <row r="840" spans="1:5" x14ac:dyDescent="0.2">
      <c r="A840">
        <v>7</v>
      </c>
      <c r="B840" s="2" t="s">
        <v>10</v>
      </c>
      <c r="C840" s="2" t="s">
        <v>10</v>
      </c>
      <c r="D840" s="2" t="s">
        <v>10</v>
      </c>
      <c r="E840" s="3">
        <f t="shared" si="12"/>
        <v>10</v>
      </c>
    </row>
    <row r="841" spans="1:5" x14ac:dyDescent="0.2">
      <c r="A841">
        <v>8</v>
      </c>
      <c r="B841" s="2" t="s">
        <v>10</v>
      </c>
      <c r="C841" s="2" t="s">
        <v>10</v>
      </c>
      <c r="D841" s="2" t="s">
        <v>10</v>
      </c>
      <c r="E841" s="3">
        <f t="shared" si="12"/>
        <v>10</v>
      </c>
    </row>
    <row r="842" spans="1:5" x14ac:dyDescent="0.2">
      <c r="A842" s="1" t="s">
        <v>37</v>
      </c>
      <c r="E842" s="3">
        <f t="shared" si="12"/>
        <v>10</v>
      </c>
    </row>
    <row r="843" spans="1:5" x14ac:dyDescent="0.2">
      <c r="A843" s="1" t="s">
        <v>1</v>
      </c>
      <c r="B843" s="1" t="s">
        <v>2</v>
      </c>
      <c r="C843" s="1" t="s">
        <v>3</v>
      </c>
      <c r="D843" s="1" t="s">
        <v>4</v>
      </c>
      <c r="E843" s="3">
        <f t="shared" si="12"/>
        <v>10</v>
      </c>
    </row>
    <row r="844" spans="1:5" x14ac:dyDescent="0.2">
      <c r="A844">
        <v>0</v>
      </c>
      <c r="C844">
        <v>0</v>
      </c>
      <c r="D844">
        <v>0</v>
      </c>
      <c r="E844" s="3">
        <f t="shared" si="12"/>
        <v>10</v>
      </c>
    </row>
    <row r="845" spans="1:5" x14ac:dyDescent="0.2">
      <c r="A845">
        <v>0</v>
      </c>
      <c r="C845">
        <v>0</v>
      </c>
      <c r="D845">
        <v>0</v>
      </c>
      <c r="E845" s="3">
        <f t="shared" si="12"/>
        <v>10</v>
      </c>
    </row>
    <row r="846" spans="1:5" x14ac:dyDescent="0.2">
      <c r="A846">
        <v>0</v>
      </c>
      <c r="C846">
        <v>0</v>
      </c>
      <c r="D846">
        <v>0</v>
      </c>
      <c r="E846" s="3">
        <f t="shared" si="12"/>
        <v>10</v>
      </c>
    </row>
    <row r="847" spans="1:5" x14ac:dyDescent="0.2">
      <c r="A847">
        <v>1</v>
      </c>
      <c r="B847" t="s">
        <v>535</v>
      </c>
      <c r="C847">
        <v>3</v>
      </c>
      <c r="D847">
        <v>15</v>
      </c>
      <c r="E847" s="3">
        <f t="shared" si="12"/>
        <v>10</v>
      </c>
    </row>
    <row r="848" spans="1:5" x14ac:dyDescent="0.2">
      <c r="A848">
        <v>2</v>
      </c>
      <c r="B848" t="s">
        <v>491</v>
      </c>
      <c r="C848">
        <v>1</v>
      </c>
      <c r="D848">
        <v>11</v>
      </c>
      <c r="E848" s="3">
        <f t="shared" si="12"/>
        <v>10</v>
      </c>
    </row>
    <row r="849" spans="1:5" x14ac:dyDescent="0.2">
      <c r="A849">
        <v>3</v>
      </c>
      <c r="B849" t="s">
        <v>73</v>
      </c>
      <c r="C849">
        <v>0</v>
      </c>
      <c r="D849">
        <v>7</v>
      </c>
      <c r="E849" s="3">
        <f t="shared" si="12"/>
        <v>10</v>
      </c>
    </row>
    <row r="850" spans="1:5" x14ac:dyDescent="0.2">
      <c r="A850">
        <v>4</v>
      </c>
      <c r="B850" t="s">
        <v>27</v>
      </c>
      <c r="C850">
        <v>0</v>
      </c>
      <c r="D850">
        <v>3</v>
      </c>
      <c r="E850" s="3">
        <f t="shared" si="12"/>
        <v>10</v>
      </c>
    </row>
    <row r="851" spans="1:5" x14ac:dyDescent="0.2">
      <c r="A851">
        <v>5</v>
      </c>
      <c r="B851" t="s">
        <v>475</v>
      </c>
      <c r="C851">
        <v>0</v>
      </c>
      <c r="D851">
        <v>1</v>
      </c>
      <c r="E851" s="3">
        <f t="shared" si="12"/>
        <v>10</v>
      </c>
    </row>
    <row r="852" spans="1:5" x14ac:dyDescent="0.2">
      <c r="A852">
        <v>9</v>
      </c>
      <c r="B852" s="2" t="s">
        <v>10</v>
      </c>
      <c r="C852" s="2" t="s">
        <v>10</v>
      </c>
      <c r="D852" s="2" t="s">
        <v>10</v>
      </c>
      <c r="E852" s="3">
        <f t="shared" si="12"/>
        <v>10</v>
      </c>
    </row>
    <row r="853" spans="1:5" x14ac:dyDescent="0.2">
      <c r="A853">
        <v>10</v>
      </c>
      <c r="B853" s="2" t="s">
        <v>10</v>
      </c>
      <c r="C853" s="2" t="s">
        <v>10</v>
      </c>
      <c r="D853" s="2" t="s">
        <v>10</v>
      </c>
      <c r="E853" s="3">
        <f t="shared" si="12"/>
        <v>10</v>
      </c>
    </row>
    <row r="854" spans="1:5" x14ac:dyDescent="0.2">
      <c r="A854">
        <v>11</v>
      </c>
      <c r="B854" s="2" t="s">
        <v>10</v>
      </c>
      <c r="C854" s="2" t="s">
        <v>10</v>
      </c>
      <c r="D854" s="2" t="s">
        <v>10</v>
      </c>
      <c r="E854" s="3">
        <f t="shared" si="12"/>
        <v>10</v>
      </c>
    </row>
    <row r="855" spans="1:5" x14ac:dyDescent="0.2">
      <c r="A855" s="1" t="s">
        <v>44</v>
      </c>
      <c r="E855" s="3">
        <f t="shared" si="12"/>
        <v>10</v>
      </c>
    </row>
    <row r="856" spans="1:5" x14ac:dyDescent="0.2">
      <c r="A856" s="1" t="s">
        <v>1</v>
      </c>
      <c r="B856" s="1" t="s">
        <v>2</v>
      </c>
      <c r="C856" s="1" t="s">
        <v>3</v>
      </c>
      <c r="D856" s="1" t="s">
        <v>4</v>
      </c>
      <c r="E856" s="3">
        <f t="shared" si="12"/>
        <v>10</v>
      </c>
    </row>
    <row r="857" spans="1:5" x14ac:dyDescent="0.2">
      <c r="A857">
        <v>1</v>
      </c>
      <c r="B857" t="s">
        <v>504</v>
      </c>
      <c r="C857">
        <v>4</v>
      </c>
      <c r="D857">
        <v>16</v>
      </c>
      <c r="E857" s="3">
        <f t="shared" si="12"/>
        <v>10</v>
      </c>
    </row>
    <row r="858" spans="1:5" x14ac:dyDescent="0.2">
      <c r="A858">
        <v>2</v>
      </c>
      <c r="B858" t="s">
        <v>81</v>
      </c>
      <c r="C858">
        <v>0</v>
      </c>
      <c r="D858">
        <v>12</v>
      </c>
      <c r="E858" s="3">
        <f t="shared" si="12"/>
        <v>10</v>
      </c>
    </row>
    <row r="859" spans="1:5" x14ac:dyDescent="0.2">
      <c r="A859">
        <v>3</v>
      </c>
      <c r="B859" t="s">
        <v>533</v>
      </c>
      <c r="C859">
        <v>0</v>
      </c>
      <c r="D859">
        <v>8</v>
      </c>
      <c r="E859" s="3">
        <f t="shared" si="12"/>
        <v>10</v>
      </c>
    </row>
    <row r="860" spans="1:5" x14ac:dyDescent="0.2">
      <c r="A860">
        <v>4</v>
      </c>
      <c r="B860" t="s">
        <v>501</v>
      </c>
      <c r="C860">
        <v>1</v>
      </c>
      <c r="D860">
        <v>4</v>
      </c>
      <c r="E860" s="3">
        <f t="shared" si="12"/>
        <v>10</v>
      </c>
    </row>
    <row r="861" spans="1:5" x14ac:dyDescent="0.2">
      <c r="A861">
        <v>5</v>
      </c>
      <c r="B861" t="s">
        <v>493</v>
      </c>
      <c r="C861">
        <v>0</v>
      </c>
      <c r="D861">
        <v>2</v>
      </c>
      <c r="E861" s="3">
        <f t="shared" si="12"/>
        <v>10</v>
      </c>
    </row>
    <row r="862" spans="1:5" x14ac:dyDescent="0.2">
      <c r="A862">
        <v>6</v>
      </c>
      <c r="B862" t="s">
        <v>75</v>
      </c>
      <c r="C862">
        <v>0</v>
      </c>
      <c r="D862">
        <v>1</v>
      </c>
      <c r="E862" s="3">
        <f t="shared" si="12"/>
        <v>10</v>
      </c>
    </row>
    <row r="863" spans="1:5" x14ac:dyDescent="0.2">
      <c r="A863">
        <v>7</v>
      </c>
      <c r="B863" s="2" t="s">
        <v>10</v>
      </c>
      <c r="C863" s="2" t="s">
        <v>10</v>
      </c>
      <c r="D863" s="2" t="s">
        <v>10</v>
      </c>
      <c r="E863" s="3">
        <f t="shared" si="12"/>
        <v>10</v>
      </c>
    </row>
    <row r="864" spans="1:5" x14ac:dyDescent="0.2">
      <c r="A864">
        <v>8</v>
      </c>
      <c r="B864" s="2" t="s">
        <v>10</v>
      </c>
      <c r="C864" s="2" t="s">
        <v>10</v>
      </c>
      <c r="D864" s="2" t="s">
        <v>10</v>
      </c>
      <c r="E864" s="3">
        <f t="shared" si="12"/>
        <v>10</v>
      </c>
    </row>
    <row r="865" spans="1:5" x14ac:dyDescent="0.2">
      <c r="A865" s="1" t="s">
        <v>51</v>
      </c>
      <c r="E865" s="3">
        <f t="shared" si="12"/>
        <v>10</v>
      </c>
    </row>
    <row r="866" spans="1:5" x14ac:dyDescent="0.2">
      <c r="A866" s="1" t="s">
        <v>1</v>
      </c>
      <c r="B866" s="1" t="s">
        <v>2</v>
      </c>
      <c r="C866" s="1" t="s">
        <v>3</v>
      </c>
      <c r="D866" s="1" t="s">
        <v>4</v>
      </c>
      <c r="E866" s="3">
        <f t="shared" si="12"/>
        <v>10</v>
      </c>
    </row>
    <row r="867" spans="1:5" x14ac:dyDescent="0.2">
      <c r="A867">
        <v>1</v>
      </c>
      <c r="B867" t="s">
        <v>502</v>
      </c>
      <c r="C867">
        <v>3</v>
      </c>
      <c r="D867">
        <v>15</v>
      </c>
      <c r="E867" s="3">
        <f t="shared" ref="E867:E930" si="13">IF(A867=$A$1,E866+1,E866)</f>
        <v>10</v>
      </c>
    </row>
    <row r="868" spans="1:5" x14ac:dyDescent="0.2">
      <c r="A868">
        <v>2</v>
      </c>
      <c r="B868" t="s">
        <v>74</v>
      </c>
      <c r="C868">
        <v>0</v>
      </c>
      <c r="D868">
        <v>11</v>
      </c>
      <c r="E868" s="3">
        <f t="shared" si="13"/>
        <v>10</v>
      </c>
    </row>
    <row r="869" spans="1:5" x14ac:dyDescent="0.2">
      <c r="A869">
        <v>3</v>
      </c>
      <c r="B869" t="s">
        <v>66</v>
      </c>
      <c r="C869">
        <v>1</v>
      </c>
      <c r="D869">
        <v>7</v>
      </c>
      <c r="E869" s="3">
        <f t="shared" si="13"/>
        <v>10</v>
      </c>
    </row>
    <row r="870" spans="1:5" x14ac:dyDescent="0.2">
      <c r="A870">
        <v>4</v>
      </c>
      <c r="B870" t="s">
        <v>530</v>
      </c>
      <c r="C870">
        <v>0</v>
      </c>
      <c r="D870">
        <v>3</v>
      </c>
      <c r="E870" s="3">
        <f t="shared" si="13"/>
        <v>10</v>
      </c>
    </row>
    <row r="871" spans="1:5" x14ac:dyDescent="0.2">
      <c r="A871">
        <v>5</v>
      </c>
      <c r="B871" t="s">
        <v>76</v>
      </c>
      <c r="C871">
        <v>0</v>
      </c>
      <c r="D871">
        <v>1</v>
      </c>
      <c r="E871" s="3">
        <f t="shared" si="13"/>
        <v>10</v>
      </c>
    </row>
    <row r="872" spans="1:5" x14ac:dyDescent="0.2">
      <c r="A872">
        <v>6</v>
      </c>
      <c r="B872" s="2" t="s">
        <v>10</v>
      </c>
      <c r="C872" s="2" t="s">
        <v>10</v>
      </c>
      <c r="D872" s="2" t="s">
        <v>10</v>
      </c>
      <c r="E872" s="3">
        <f t="shared" si="13"/>
        <v>10</v>
      </c>
    </row>
    <row r="873" spans="1:5" x14ac:dyDescent="0.2">
      <c r="A873">
        <v>7</v>
      </c>
      <c r="B873" s="2" t="s">
        <v>10</v>
      </c>
      <c r="C873" s="2" t="s">
        <v>10</v>
      </c>
      <c r="D873" s="2" t="s">
        <v>10</v>
      </c>
      <c r="E873" s="3">
        <f t="shared" si="13"/>
        <v>10</v>
      </c>
    </row>
    <row r="874" spans="1:5" x14ac:dyDescent="0.2">
      <c r="A874">
        <v>8</v>
      </c>
      <c r="B874" s="2" t="s">
        <v>10</v>
      </c>
      <c r="C874" s="2" t="s">
        <v>10</v>
      </c>
      <c r="D874" s="2" t="s">
        <v>10</v>
      </c>
      <c r="E874" s="3">
        <f t="shared" si="13"/>
        <v>10</v>
      </c>
    </row>
    <row r="875" spans="1:5" x14ac:dyDescent="0.2">
      <c r="A875" s="1" t="s">
        <v>58</v>
      </c>
      <c r="E875" s="3">
        <f t="shared" si="13"/>
        <v>10</v>
      </c>
    </row>
    <row r="876" spans="1:5" x14ac:dyDescent="0.2">
      <c r="A876" s="1" t="s">
        <v>1</v>
      </c>
      <c r="B876" s="1" t="s">
        <v>2</v>
      </c>
      <c r="C876" s="1" t="s">
        <v>3</v>
      </c>
      <c r="D876" s="1" t="s">
        <v>4</v>
      </c>
      <c r="E876" s="3">
        <f t="shared" si="13"/>
        <v>10</v>
      </c>
    </row>
    <row r="877" spans="1:5" x14ac:dyDescent="0.2">
      <c r="A877">
        <v>1</v>
      </c>
      <c r="B877" t="s">
        <v>509</v>
      </c>
      <c r="C877">
        <v>4</v>
      </c>
      <c r="D877">
        <v>15</v>
      </c>
      <c r="E877" s="3">
        <f t="shared" si="13"/>
        <v>10</v>
      </c>
    </row>
    <row r="878" spans="1:5" x14ac:dyDescent="0.2">
      <c r="A878">
        <v>2</v>
      </c>
      <c r="B878" t="s">
        <v>6</v>
      </c>
      <c r="C878">
        <v>0</v>
      </c>
      <c r="D878">
        <v>11</v>
      </c>
      <c r="E878" s="3">
        <f t="shared" si="13"/>
        <v>10</v>
      </c>
    </row>
    <row r="879" spans="1:5" x14ac:dyDescent="0.2">
      <c r="A879">
        <v>3</v>
      </c>
      <c r="B879" t="s">
        <v>461</v>
      </c>
      <c r="C879">
        <v>0</v>
      </c>
      <c r="D879">
        <v>7</v>
      </c>
      <c r="E879" s="3">
        <f t="shared" si="13"/>
        <v>10</v>
      </c>
    </row>
    <row r="880" spans="1:5" x14ac:dyDescent="0.2">
      <c r="A880">
        <v>4</v>
      </c>
      <c r="B880" t="s">
        <v>490</v>
      </c>
      <c r="C880">
        <v>0</v>
      </c>
      <c r="D880">
        <v>3</v>
      </c>
      <c r="E880" s="3">
        <f t="shared" si="13"/>
        <v>10</v>
      </c>
    </row>
    <row r="881" spans="1:5" x14ac:dyDescent="0.2">
      <c r="A881">
        <v>5</v>
      </c>
      <c r="B881" t="s">
        <v>519</v>
      </c>
      <c r="C881">
        <v>0</v>
      </c>
      <c r="D881">
        <v>1</v>
      </c>
      <c r="E881" s="3">
        <f t="shared" si="13"/>
        <v>10</v>
      </c>
    </row>
    <row r="882" spans="1:5" x14ac:dyDescent="0.2">
      <c r="A882">
        <v>6</v>
      </c>
      <c r="B882" s="2" t="s">
        <v>10</v>
      </c>
      <c r="C882" s="2" t="s">
        <v>10</v>
      </c>
      <c r="D882" s="2" t="s">
        <v>10</v>
      </c>
      <c r="E882" s="3">
        <f t="shared" si="13"/>
        <v>10</v>
      </c>
    </row>
    <row r="883" spans="1:5" x14ac:dyDescent="0.2">
      <c r="A883">
        <v>7</v>
      </c>
      <c r="B883" s="2" t="s">
        <v>10</v>
      </c>
      <c r="C883" s="2" t="s">
        <v>10</v>
      </c>
      <c r="D883" s="2" t="s">
        <v>10</v>
      </c>
      <c r="E883" s="3">
        <f t="shared" si="13"/>
        <v>10</v>
      </c>
    </row>
    <row r="884" spans="1:5" x14ac:dyDescent="0.2">
      <c r="A884">
        <v>8</v>
      </c>
      <c r="B884" s="2" t="s">
        <v>10</v>
      </c>
      <c r="C884" s="2" t="s">
        <v>10</v>
      </c>
      <c r="D884" s="2" t="s">
        <v>10</v>
      </c>
      <c r="E884" s="3">
        <f t="shared" si="13"/>
        <v>10</v>
      </c>
    </row>
    <row r="885" spans="1:5" x14ac:dyDescent="0.2">
      <c r="A885" s="1" t="s">
        <v>11</v>
      </c>
      <c r="E885" s="3">
        <f t="shared" si="13"/>
        <v>10</v>
      </c>
    </row>
    <row r="886" spans="1:5" x14ac:dyDescent="0.2">
      <c r="A886" s="1" t="s">
        <v>1</v>
      </c>
      <c r="B886" s="1" t="s">
        <v>2</v>
      </c>
      <c r="C886" s="1" t="s">
        <v>3</v>
      </c>
      <c r="D886" s="1" t="s">
        <v>4</v>
      </c>
      <c r="E886" s="3">
        <f t="shared" si="13"/>
        <v>10</v>
      </c>
    </row>
    <row r="887" spans="1:5" x14ac:dyDescent="0.2">
      <c r="A887">
        <v>1</v>
      </c>
      <c r="B887" t="s">
        <v>55</v>
      </c>
      <c r="C887">
        <v>2</v>
      </c>
      <c r="D887">
        <v>16</v>
      </c>
      <c r="E887" s="3">
        <f t="shared" si="13"/>
        <v>10</v>
      </c>
    </row>
    <row r="888" spans="1:5" x14ac:dyDescent="0.2">
      <c r="A888">
        <v>2</v>
      </c>
      <c r="B888" t="s">
        <v>451</v>
      </c>
      <c r="C888">
        <v>2</v>
      </c>
      <c r="D888">
        <v>12</v>
      </c>
      <c r="E888" s="3">
        <f t="shared" si="13"/>
        <v>10</v>
      </c>
    </row>
    <row r="889" spans="1:5" x14ac:dyDescent="0.2">
      <c r="A889">
        <v>3</v>
      </c>
      <c r="B889" t="s">
        <v>476</v>
      </c>
      <c r="C889">
        <v>0</v>
      </c>
      <c r="D889">
        <v>8</v>
      </c>
      <c r="E889" s="3">
        <f t="shared" si="13"/>
        <v>10</v>
      </c>
    </row>
    <row r="890" spans="1:5" x14ac:dyDescent="0.2">
      <c r="A890">
        <v>4</v>
      </c>
      <c r="B890" t="s">
        <v>88</v>
      </c>
      <c r="C890">
        <v>1</v>
      </c>
      <c r="D890">
        <v>4</v>
      </c>
      <c r="E890" s="3">
        <f t="shared" si="13"/>
        <v>10</v>
      </c>
    </row>
    <row r="891" spans="1:5" x14ac:dyDescent="0.2">
      <c r="A891">
        <v>5</v>
      </c>
      <c r="B891" t="s">
        <v>507</v>
      </c>
      <c r="C891">
        <v>0</v>
      </c>
      <c r="D891">
        <v>2</v>
      </c>
      <c r="E891" s="3">
        <f t="shared" si="13"/>
        <v>10</v>
      </c>
    </row>
    <row r="892" spans="1:5" x14ac:dyDescent="0.2">
      <c r="A892">
        <v>6</v>
      </c>
      <c r="B892" t="s">
        <v>35</v>
      </c>
      <c r="C892">
        <v>0</v>
      </c>
      <c r="D892">
        <v>1</v>
      </c>
      <c r="E892" s="3">
        <f t="shared" si="13"/>
        <v>10</v>
      </c>
    </row>
    <row r="893" spans="1:5" x14ac:dyDescent="0.2">
      <c r="A893">
        <v>7</v>
      </c>
      <c r="B893" s="2" t="s">
        <v>10</v>
      </c>
      <c r="C893" s="2" t="s">
        <v>10</v>
      </c>
      <c r="D893" s="2" t="s">
        <v>10</v>
      </c>
      <c r="E893" s="3">
        <f t="shared" si="13"/>
        <v>10</v>
      </c>
    </row>
    <row r="894" spans="1:5" x14ac:dyDescent="0.2">
      <c r="A894">
        <v>8</v>
      </c>
      <c r="B894" s="2" t="s">
        <v>10</v>
      </c>
      <c r="C894" s="2" t="s">
        <v>10</v>
      </c>
      <c r="D894" s="2" t="s">
        <v>10</v>
      </c>
      <c r="E894" s="3">
        <f t="shared" si="13"/>
        <v>10</v>
      </c>
    </row>
    <row r="895" spans="1:5" x14ac:dyDescent="0.2">
      <c r="A895" s="1" t="s">
        <v>537</v>
      </c>
      <c r="E895" s="3">
        <f t="shared" si="13"/>
        <v>11</v>
      </c>
    </row>
    <row r="896" spans="1:5" x14ac:dyDescent="0.2">
      <c r="A896" s="1" t="s">
        <v>1</v>
      </c>
      <c r="B896" s="1" t="s">
        <v>2</v>
      </c>
      <c r="C896" s="1" t="s">
        <v>3</v>
      </c>
      <c r="D896" s="1" t="s">
        <v>4</v>
      </c>
      <c r="E896" s="3">
        <f t="shared" si="13"/>
        <v>11</v>
      </c>
    </row>
    <row r="897" spans="1:5" x14ac:dyDescent="0.2">
      <c r="A897">
        <v>1</v>
      </c>
      <c r="B897" t="s">
        <v>25</v>
      </c>
      <c r="C897">
        <v>1</v>
      </c>
      <c r="D897">
        <v>16</v>
      </c>
      <c r="E897" s="3">
        <f t="shared" si="13"/>
        <v>11</v>
      </c>
    </row>
    <row r="898" spans="1:5" x14ac:dyDescent="0.2">
      <c r="A898">
        <v>2</v>
      </c>
      <c r="B898" t="s">
        <v>61</v>
      </c>
      <c r="C898">
        <v>3</v>
      </c>
      <c r="D898">
        <v>12</v>
      </c>
      <c r="E898" s="3">
        <f t="shared" si="13"/>
        <v>11</v>
      </c>
    </row>
    <row r="899" spans="1:5" x14ac:dyDescent="0.2">
      <c r="A899">
        <v>3</v>
      </c>
      <c r="B899" t="s">
        <v>490</v>
      </c>
      <c r="C899">
        <v>0</v>
      </c>
      <c r="D899">
        <v>8</v>
      </c>
      <c r="E899" s="3">
        <f t="shared" si="13"/>
        <v>11</v>
      </c>
    </row>
    <row r="900" spans="1:5" x14ac:dyDescent="0.2">
      <c r="A900">
        <v>4</v>
      </c>
      <c r="B900" t="s">
        <v>500</v>
      </c>
      <c r="C900">
        <v>1</v>
      </c>
      <c r="D900">
        <v>4</v>
      </c>
      <c r="E900" s="3">
        <f t="shared" si="13"/>
        <v>11</v>
      </c>
    </row>
    <row r="901" spans="1:5" x14ac:dyDescent="0.2">
      <c r="A901">
        <v>5</v>
      </c>
      <c r="B901" t="s">
        <v>452</v>
      </c>
      <c r="C901">
        <v>0</v>
      </c>
      <c r="D901">
        <v>2</v>
      </c>
      <c r="E901" s="3">
        <f t="shared" si="13"/>
        <v>11</v>
      </c>
    </row>
    <row r="902" spans="1:5" x14ac:dyDescent="0.2">
      <c r="A902">
        <v>6</v>
      </c>
      <c r="B902" t="s">
        <v>345</v>
      </c>
      <c r="C902">
        <v>0</v>
      </c>
      <c r="D902">
        <v>1</v>
      </c>
      <c r="E902" s="3">
        <f t="shared" si="13"/>
        <v>11</v>
      </c>
    </row>
    <row r="903" spans="1:5" x14ac:dyDescent="0.2">
      <c r="A903">
        <v>7</v>
      </c>
      <c r="B903" s="2" t="s">
        <v>10</v>
      </c>
      <c r="C903" s="2" t="s">
        <v>10</v>
      </c>
      <c r="D903" s="2" t="s">
        <v>10</v>
      </c>
      <c r="E903" s="3">
        <f t="shared" si="13"/>
        <v>11</v>
      </c>
    </row>
    <row r="904" spans="1:5" x14ac:dyDescent="0.2">
      <c r="A904">
        <v>8</v>
      </c>
      <c r="B904" s="2" t="s">
        <v>10</v>
      </c>
      <c r="C904" s="2" t="s">
        <v>10</v>
      </c>
      <c r="D904" s="2" t="s">
        <v>10</v>
      </c>
      <c r="E904" s="3">
        <f t="shared" si="13"/>
        <v>11</v>
      </c>
    </row>
    <row r="905" spans="1:5" x14ac:dyDescent="0.2">
      <c r="A905" s="1" t="s">
        <v>538</v>
      </c>
      <c r="E905" s="3">
        <f t="shared" si="13"/>
        <v>11</v>
      </c>
    </row>
    <row r="906" spans="1:5" x14ac:dyDescent="0.2">
      <c r="A906" s="1" t="s">
        <v>1</v>
      </c>
      <c r="B906" s="1" t="s">
        <v>2</v>
      </c>
      <c r="C906" s="1" t="s">
        <v>3</v>
      </c>
      <c r="D906" s="1" t="s">
        <v>4</v>
      </c>
      <c r="E906" s="3">
        <f t="shared" si="13"/>
        <v>11</v>
      </c>
    </row>
    <row r="907" spans="1:5" x14ac:dyDescent="0.2">
      <c r="A907">
        <v>1</v>
      </c>
      <c r="B907" t="s">
        <v>476</v>
      </c>
      <c r="C907">
        <v>3</v>
      </c>
      <c r="D907">
        <v>16</v>
      </c>
      <c r="E907" s="3">
        <f t="shared" si="13"/>
        <v>11</v>
      </c>
    </row>
    <row r="908" spans="1:5" x14ac:dyDescent="0.2">
      <c r="A908">
        <v>2</v>
      </c>
      <c r="B908" t="s">
        <v>535</v>
      </c>
      <c r="C908">
        <v>1</v>
      </c>
      <c r="D908">
        <v>12</v>
      </c>
      <c r="E908" s="3">
        <f t="shared" si="13"/>
        <v>11</v>
      </c>
    </row>
    <row r="909" spans="1:5" x14ac:dyDescent="0.2">
      <c r="A909">
        <v>3</v>
      </c>
      <c r="B909" t="s">
        <v>547</v>
      </c>
      <c r="C909">
        <v>1</v>
      </c>
      <c r="D909">
        <v>8</v>
      </c>
      <c r="E909" s="3">
        <f t="shared" si="13"/>
        <v>11</v>
      </c>
    </row>
    <row r="910" spans="1:5" x14ac:dyDescent="0.2">
      <c r="A910">
        <v>4</v>
      </c>
      <c r="B910" t="s">
        <v>454</v>
      </c>
      <c r="C910">
        <v>0</v>
      </c>
      <c r="D910">
        <v>4</v>
      </c>
      <c r="E910" s="3">
        <f t="shared" si="13"/>
        <v>11</v>
      </c>
    </row>
    <row r="911" spans="1:5" x14ac:dyDescent="0.2">
      <c r="A911">
        <v>5</v>
      </c>
      <c r="B911" t="s">
        <v>55</v>
      </c>
      <c r="C911">
        <v>0</v>
      </c>
      <c r="D911">
        <v>2</v>
      </c>
      <c r="E911" s="3">
        <f t="shared" si="13"/>
        <v>11</v>
      </c>
    </row>
    <row r="912" spans="1:5" x14ac:dyDescent="0.2">
      <c r="A912">
        <v>6</v>
      </c>
      <c r="B912" t="s">
        <v>73</v>
      </c>
      <c r="C912">
        <v>0</v>
      </c>
      <c r="D912">
        <v>1</v>
      </c>
      <c r="E912" s="3">
        <f t="shared" si="13"/>
        <v>11</v>
      </c>
    </row>
    <row r="913" spans="1:5" x14ac:dyDescent="0.2">
      <c r="A913">
        <v>7</v>
      </c>
      <c r="B913" s="2" t="s">
        <v>10</v>
      </c>
      <c r="C913" s="2" t="s">
        <v>10</v>
      </c>
      <c r="D913" s="2" t="s">
        <v>10</v>
      </c>
      <c r="E913" s="3">
        <f t="shared" si="13"/>
        <v>11</v>
      </c>
    </row>
    <row r="914" spans="1:5" x14ac:dyDescent="0.2">
      <c r="A914">
        <v>8</v>
      </c>
      <c r="B914" s="2" t="s">
        <v>10</v>
      </c>
      <c r="C914" s="2" t="s">
        <v>10</v>
      </c>
      <c r="D914" s="2" t="s">
        <v>10</v>
      </c>
      <c r="E914" s="3">
        <f t="shared" si="13"/>
        <v>11</v>
      </c>
    </row>
    <row r="915" spans="1:5" x14ac:dyDescent="0.2">
      <c r="A915" s="1" t="s">
        <v>539</v>
      </c>
      <c r="E915" s="3">
        <f t="shared" si="13"/>
        <v>11</v>
      </c>
    </row>
    <row r="916" spans="1:5" x14ac:dyDescent="0.2">
      <c r="A916" s="1" t="s">
        <v>1</v>
      </c>
      <c r="B916" s="1" t="s">
        <v>2</v>
      </c>
      <c r="C916" s="1" t="s">
        <v>3</v>
      </c>
      <c r="D916" s="1" t="s">
        <v>4</v>
      </c>
      <c r="E916" s="3">
        <f t="shared" si="13"/>
        <v>11</v>
      </c>
    </row>
    <row r="917" spans="1:5" x14ac:dyDescent="0.2">
      <c r="A917">
        <v>1</v>
      </c>
      <c r="B917" t="s">
        <v>534</v>
      </c>
      <c r="C917">
        <v>3</v>
      </c>
      <c r="D917">
        <v>15</v>
      </c>
      <c r="E917" s="3">
        <f t="shared" si="13"/>
        <v>11</v>
      </c>
    </row>
    <row r="918" spans="1:5" x14ac:dyDescent="0.2">
      <c r="A918">
        <v>2</v>
      </c>
      <c r="B918" t="s">
        <v>501</v>
      </c>
      <c r="C918">
        <v>1</v>
      </c>
      <c r="D918">
        <v>11</v>
      </c>
      <c r="E918" s="3">
        <f t="shared" si="13"/>
        <v>11</v>
      </c>
    </row>
    <row r="919" spans="1:5" x14ac:dyDescent="0.2">
      <c r="A919">
        <v>3</v>
      </c>
      <c r="B919" t="s">
        <v>66</v>
      </c>
      <c r="C919">
        <v>0</v>
      </c>
      <c r="D919">
        <v>7</v>
      </c>
      <c r="E919" s="3">
        <f t="shared" si="13"/>
        <v>11</v>
      </c>
    </row>
    <row r="920" spans="1:5" x14ac:dyDescent="0.2">
      <c r="A920">
        <v>4</v>
      </c>
      <c r="B920" t="s">
        <v>27</v>
      </c>
      <c r="C920">
        <v>0</v>
      </c>
      <c r="D920">
        <v>3</v>
      </c>
      <c r="E920" s="3">
        <f t="shared" si="13"/>
        <v>11</v>
      </c>
    </row>
    <row r="921" spans="1:5" x14ac:dyDescent="0.2">
      <c r="A921">
        <v>5</v>
      </c>
      <c r="B921" t="s">
        <v>9</v>
      </c>
      <c r="C921">
        <v>0</v>
      </c>
      <c r="D921">
        <v>1</v>
      </c>
      <c r="E921" s="3">
        <f t="shared" si="13"/>
        <v>11</v>
      </c>
    </row>
    <row r="922" spans="1:5" x14ac:dyDescent="0.2">
      <c r="A922">
        <v>6</v>
      </c>
      <c r="B922" s="2" t="s">
        <v>10</v>
      </c>
      <c r="C922" s="2" t="s">
        <v>10</v>
      </c>
      <c r="D922" s="2" t="s">
        <v>10</v>
      </c>
      <c r="E922" s="3">
        <f t="shared" si="13"/>
        <v>11</v>
      </c>
    </row>
    <row r="923" spans="1:5" x14ac:dyDescent="0.2">
      <c r="A923">
        <v>7</v>
      </c>
      <c r="B923" s="2" t="s">
        <v>10</v>
      </c>
      <c r="C923" s="2" t="s">
        <v>10</v>
      </c>
      <c r="D923" s="2" t="s">
        <v>10</v>
      </c>
      <c r="E923" s="3">
        <f t="shared" si="13"/>
        <v>11</v>
      </c>
    </row>
    <row r="924" spans="1:5" x14ac:dyDescent="0.2">
      <c r="A924">
        <v>8</v>
      </c>
      <c r="B924" s="2" t="s">
        <v>10</v>
      </c>
      <c r="C924" s="2" t="s">
        <v>10</v>
      </c>
      <c r="D924" s="2" t="s">
        <v>10</v>
      </c>
      <c r="E924" s="3">
        <f t="shared" si="13"/>
        <v>11</v>
      </c>
    </row>
    <row r="925" spans="1:5" x14ac:dyDescent="0.2">
      <c r="A925" s="1" t="s">
        <v>540</v>
      </c>
      <c r="E925" s="3">
        <f t="shared" si="13"/>
        <v>11</v>
      </c>
    </row>
    <row r="926" spans="1:5" x14ac:dyDescent="0.2">
      <c r="A926" s="1" t="s">
        <v>1</v>
      </c>
      <c r="B926" s="1" t="s">
        <v>2</v>
      </c>
      <c r="C926" s="1" t="s">
        <v>3</v>
      </c>
      <c r="D926" s="1" t="s">
        <v>4</v>
      </c>
      <c r="E926" s="3">
        <f t="shared" si="13"/>
        <v>11</v>
      </c>
    </row>
    <row r="927" spans="1:5" x14ac:dyDescent="0.2">
      <c r="A927">
        <v>1</v>
      </c>
      <c r="B927" t="s">
        <v>506</v>
      </c>
      <c r="C927">
        <v>3</v>
      </c>
      <c r="D927">
        <v>15</v>
      </c>
      <c r="E927" s="3">
        <f t="shared" si="13"/>
        <v>11</v>
      </c>
    </row>
    <row r="928" spans="1:5" x14ac:dyDescent="0.2">
      <c r="A928">
        <v>2</v>
      </c>
      <c r="B928" t="s">
        <v>46</v>
      </c>
      <c r="C928">
        <v>1</v>
      </c>
      <c r="D928">
        <v>11</v>
      </c>
      <c r="E928" s="3">
        <f t="shared" si="13"/>
        <v>11</v>
      </c>
    </row>
    <row r="929" spans="1:5" x14ac:dyDescent="0.2">
      <c r="A929">
        <v>3</v>
      </c>
      <c r="B929" t="s">
        <v>74</v>
      </c>
      <c r="C929">
        <v>0</v>
      </c>
      <c r="D929">
        <v>7</v>
      </c>
      <c r="E929" s="3">
        <f t="shared" si="13"/>
        <v>11</v>
      </c>
    </row>
    <row r="930" spans="1:5" x14ac:dyDescent="0.2">
      <c r="A930">
        <v>4</v>
      </c>
      <c r="B930" t="s">
        <v>6</v>
      </c>
      <c r="C930">
        <v>0</v>
      </c>
      <c r="D930">
        <v>3</v>
      </c>
      <c r="E930" s="3">
        <f t="shared" si="13"/>
        <v>11</v>
      </c>
    </row>
    <row r="931" spans="1:5" x14ac:dyDescent="0.2">
      <c r="A931">
        <v>5</v>
      </c>
      <c r="B931" t="s">
        <v>507</v>
      </c>
      <c r="C931">
        <v>0</v>
      </c>
      <c r="D931">
        <v>1</v>
      </c>
      <c r="E931" s="3">
        <f t="shared" ref="E931:E994" si="14">IF(A931=$A$1,E930+1,E930)</f>
        <v>11</v>
      </c>
    </row>
    <row r="932" spans="1:5" x14ac:dyDescent="0.2">
      <c r="A932">
        <v>6</v>
      </c>
      <c r="B932" s="2" t="s">
        <v>10</v>
      </c>
      <c r="C932" s="2" t="s">
        <v>10</v>
      </c>
      <c r="D932" s="2" t="s">
        <v>10</v>
      </c>
      <c r="E932" s="3">
        <f t="shared" si="14"/>
        <v>11</v>
      </c>
    </row>
    <row r="933" spans="1:5" x14ac:dyDescent="0.2">
      <c r="A933">
        <v>7</v>
      </c>
      <c r="B933" s="2" t="s">
        <v>10</v>
      </c>
      <c r="C933" s="2" t="s">
        <v>10</v>
      </c>
      <c r="D933" s="2" t="s">
        <v>10</v>
      </c>
      <c r="E933" s="3">
        <f t="shared" si="14"/>
        <v>11</v>
      </c>
    </row>
    <row r="934" spans="1:5" x14ac:dyDescent="0.2">
      <c r="A934">
        <v>8</v>
      </c>
      <c r="B934" s="2" t="s">
        <v>10</v>
      </c>
      <c r="C934" s="2" t="s">
        <v>10</v>
      </c>
      <c r="D934" s="2" t="s">
        <v>10</v>
      </c>
      <c r="E934" s="3">
        <f t="shared" si="14"/>
        <v>11</v>
      </c>
    </row>
    <row r="935" spans="1:5" x14ac:dyDescent="0.2">
      <c r="A935" s="1" t="s">
        <v>541</v>
      </c>
      <c r="E935" s="3">
        <f t="shared" si="14"/>
        <v>11</v>
      </c>
    </row>
    <row r="936" spans="1:5" x14ac:dyDescent="0.2">
      <c r="A936" s="1" t="s">
        <v>1</v>
      </c>
      <c r="B936" s="1" t="s">
        <v>2</v>
      </c>
      <c r="C936" s="1" t="s">
        <v>3</v>
      </c>
      <c r="D936" s="1" t="s">
        <v>4</v>
      </c>
      <c r="E936" s="3">
        <f t="shared" si="14"/>
        <v>11</v>
      </c>
    </row>
    <row r="937" spans="1:5" x14ac:dyDescent="0.2">
      <c r="A937">
        <v>0</v>
      </c>
      <c r="C937">
        <v>0</v>
      </c>
      <c r="D937">
        <v>0</v>
      </c>
      <c r="E937" s="3">
        <f t="shared" si="14"/>
        <v>11</v>
      </c>
    </row>
    <row r="938" spans="1:5" x14ac:dyDescent="0.2">
      <c r="A938">
        <v>0</v>
      </c>
      <c r="C938">
        <v>0</v>
      </c>
      <c r="D938">
        <v>0</v>
      </c>
      <c r="E938" s="3">
        <f t="shared" si="14"/>
        <v>11</v>
      </c>
    </row>
    <row r="939" spans="1:5" x14ac:dyDescent="0.2">
      <c r="A939">
        <v>0</v>
      </c>
      <c r="C939">
        <v>0</v>
      </c>
      <c r="D939">
        <v>0</v>
      </c>
      <c r="E939" s="3">
        <f t="shared" si="14"/>
        <v>11</v>
      </c>
    </row>
    <row r="940" spans="1:5" x14ac:dyDescent="0.2">
      <c r="A940">
        <v>1</v>
      </c>
      <c r="B940" t="s">
        <v>493</v>
      </c>
      <c r="C940">
        <v>2</v>
      </c>
      <c r="D940">
        <v>15</v>
      </c>
      <c r="E940" s="3">
        <f t="shared" si="14"/>
        <v>11</v>
      </c>
    </row>
    <row r="941" spans="1:5" x14ac:dyDescent="0.2">
      <c r="A941">
        <v>2</v>
      </c>
      <c r="B941" t="s">
        <v>526</v>
      </c>
      <c r="C941">
        <v>1</v>
      </c>
      <c r="D941">
        <v>11</v>
      </c>
      <c r="E941" s="3">
        <f t="shared" si="14"/>
        <v>11</v>
      </c>
    </row>
    <row r="942" spans="1:5" x14ac:dyDescent="0.2">
      <c r="A942">
        <v>3</v>
      </c>
      <c r="B942" t="s">
        <v>516</v>
      </c>
      <c r="C942">
        <v>1</v>
      </c>
      <c r="D942">
        <v>7</v>
      </c>
      <c r="E942" s="3">
        <f t="shared" si="14"/>
        <v>11</v>
      </c>
    </row>
    <row r="943" spans="1:5" x14ac:dyDescent="0.2">
      <c r="A943">
        <v>4</v>
      </c>
      <c r="B943" t="s">
        <v>525</v>
      </c>
      <c r="C943">
        <v>0</v>
      </c>
      <c r="D943">
        <v>3</v>
      </c>
      <c r="E943" s="3">
        <f t="shared" si="14"/>
        <v>11</v>
      </c>
    </row>
    <row r="944" spans="1:5" x14ac:dyDescent="0.2">
      <c r="A944">
        <v>5</v>
      </c>
      <c r="B944" t="s">
        <v>87</v>
      </c>
      <c r="C944">
        <v>0</v>
      </c>
      <c r="D944">
        <v>1</v>
      </c>
      <c r="E944" s="3">
        <f t="shared" si="14"/>
        <v>11</v>
      </c>
    </row>
    <row r="945" spans="1:5" x14ac:dyDescent="0.2">
      <c r="A945">
        <v>9</v>
      </c>
      <c r="B945" s="2" t="s">
        <v>10</v>
      </c>
      <c r="C945" s="2" t="s">
        <v>10</v>
      </c>
      <c r="D945" s="2" t="s">
        <v>10</v>
      </c>
      <c r="E945" s="3">
        <f t="shared" si="14"/>
        <v>11</v>
      </c>
    </row>
    <row r="946" spans="1:5" x14ac:dyDescent="0.2">
      <c r="A946">
        <v>10</v>
      </c>
      <c r="B946" s="2" t="s">
        <v>10</v>
      </c>
      <c r="C946" s="2" t="s">
        <v>10</v>
      </c>
      <c r="D946" s="2" t="s">
        <v>10</v>
      </c>
      <c r="E946" s="3">
        <f t="shared" si="14"/>
        <v>11</v>
      </c>
    </row>
    <row r="947" spans="1:5" x14ac:dyDescent="0.2">
      <c r="A947">
        <v>11</v>
      </c>
      <c r="B947" s="2" t="s">
        <v>10</v>
      </c>
      <c r="C947" s="2" t="s">
        <v>10</v>
      </c>
      <c r="D947" s="2" t="s">
        <v>10</v>
      </c>
      <c r="E947" s="3">
        <f t="shared" si="14"/>
        <v>11</v>
      </c>
    </row>
    <row r="948" spans="1:5" x14ac:dyDescent="0.2">
      <c r="A948" s="1" t="s">
        <v>542</v>
      </c>
      <c r="E948" s="3">
        <f t="shared" si="14"/>
        <v>11</v>
      </c>
    </row>
    <row r="949" spans="1:5" x14ac:dyDescent="0.2">
      <c r="A949" s="1" t="s">
        <v>1</v>
      </c>
      <c r="B949" s="1" t="s">
        <v>2</v>
      </c>
      <c r="C949" s="1" t="s">
        <v>3</v>
      </c>
      <c r="D949" s="1" t="s">
        <v>4</v>
      </c>
      <c r="E949" s="3">
        <f t="shared" si="14"/>
        <v>11</v>
      </c>
    </row>
    <row r="950" spans="1:5" x14ac:dyDescent="0.2">
      <c r="A950">
        <v>1</v>
      </c>
      <c r="B950" t="s">
        <v>21</v>
      </c>
      <c r="C950">
        <v>3</v>
      </c>
      <c r="D950">
        <v>15</v>
      </c>
      <c r="E950" s="3">
        <f t="shared" si="14"/>
        <v>11</v>
      </c>
    </row>
    <row r="951" spans="1:5" x14ac:dyDescent="0.2">
      <c r="A951">
        <v>2</v>
      </c>
      <c r="B951" t="s">
        <v>65</v>
      </c>
      <c r="C951">
        <v>1</v>
      </c>
      <c r="D951">
        <v>11</v>
      </c>
      <c r="E951" s="3">
        <f t="shared" si="14"/>
        <v>11</v>
      </c>
    </row>
    <row r="952" spans="1:5" x14ac:dyDescent="0.2">
      <c r="A952">
        <v>3</v>
      </c>
      <c r="B952" t="s">
        <v>75</v>
      </c>
      <c r="C952">
        <v>0</v>
      </c>
      <c r="D952">
        <v>7</v>
      </c>
      <c r="E952" s="3">
        <f t="shared" si="14"/>
        <v>11</v>
      </c>
    </row>
    <row r="953" spans="1:5" x14ac:dyDescent="0.2">
      <c r="A953">
        <v>4</v>
      </c>
      <c r="B953" t="s">
        <v>461</v>
      </c>
      <c r="C953">
        <v>0</v>
      </c>
      <c r="D953">
        <v>3</v>
      </c>
      <c r="E953" s="3">
        <f t="shared" si="14"/>
        <v>11</v>
      </c>
    </row>
    <row r="954" spans="1:5" x14ac:dyDescent="0.2">
      <c r="A954">
        <v>5</v>
      </c>
      <c r="B954" t="s">
        <v>531</v>
      </c>
      <c r="C954">
        <v>0</v>
      </c>
      <c r="D954">
        <v>1</v>
      </c>
      <c r="E954" s="3">
        <f t="shared" si="14"/>
        <v>11</v>
      </c>
    </row>
    <row r="955" spans="1:5" x14ac:dyDescent="0.2">
      <c r="A955">
        <v>6</v>
      </c>
      <c r="B955" s="2" t="s">
        <v>10</v>
      </c>
      <c r="C955" s="2" t="s">
        <v>10</v>
      </c>
      <c r="D955" s="2" t="s">
        <v>10</v>
      </c>
      <c r="E955" s="3">
        <f t="shared" si="14"/>
        <v>11</v>
      </c>
    </row>
    <row r="956" spans="1:5" x14ac:dyDescent="0.2">
      <c r="A956">
        <v>7</v>
      </c>
      <c r="B956" s="2" t="s">
        <v>10</v>
      </c>
      <c r="C956" s="2" t="s">
        <v>10</v>
      </c>
      <c r="D956" s="2" t="s">
        <v>10</v>
      </c>
      <c r="E956" s="3">
        <f t="shared" si="14"/>
        <v>11</v>
      </c>
    </row>
    <row r="957" spans="1:5" x14ac:dyDescent="0.2">
      <c r="A957">
        <v>8</v>
      </c>
      <c r="B957" s="2" t="s">
        <v>10</v>
      </c>
      <c r="C957" s="2" t="s">
        <v>10</v>
      </c>
      <c r="D957" s="2" t="s">
        <v>10</v>
      </c>
      <c r="E957" s="3">
        <f t="shared" si="14"/>
        <v>11</v>
      </c>
    </row>
    <row r="958" spans="1:5" x14ac:dyDescent="0.2">
      <c r="A958" s="1" t="s">
        <v>543</v>
      </c>
      <c r="E958" s="3">
        <f t="shared" si="14"/>
        <v>11</v>
      </c>
    </row>
    <row r="959" spans="1:5" x14ac:dyDescent="0.2">
      <c r="A959" s="1" t="s">
        <v>1</v>
      </c>
      <c r="B959" s="1" t="s">
        <v>2</v>
      </c>
      <c r="C959" s="1" t="s">
        <v>3</v>
      </c>
      <c r="D959" s="1" t="s">
        <v>4</v>
      </c>
      <c r="E959" s="3">
        <f t="shared" si="14"/>
        <v>11</v>
      </c>
    </row>
    <row r="960" spans="1:5" x14ac:dyDescent="0.2">
      <c r="A960">
        <v>1</v>
      </c>
      <c r="B960" t="s">
        <v>35</v>
      </c>
      <c r="C960">
        <v>4</v>
      </c>
      <c r="D960">
        <v>16</v>
      </c>
      <c r="E960" s="3">
        <f t="shared" si="14"/>
        <v>11</v>
      </c>
    </row>
    <row r="961" spans="1:5" x14ac:dyDescent="0.2">
      <c r="A961">
        <v>2</v>
      </c>
      <c r="B961" t="s">
        <v>15</v>
      </c>
      <c r="C961">
        <v>0</v>
      </c>
      <c r="D961">
        <v>12</v>
      </c>
      <c r="E961" s="3">
        <f t="shared" si="14"/>
        <v>11</v>
      </c>
    </row>
    <row r="962" spans="1:5" x14ac:dyDescent="0.2">
      <c r="A962">
        <v>3</v>
      </c>
      <c r="B962" t="s">
        <v>81</v>
      </c>
      <c r="C962">
        <v>1</v>
      </c>
      <c r="D962">
        <v>8</v>
      </c>
      <c r="E962" s="3">
        <f t="shared" si="14"/>
        <v>11</v>
      </c>
    </row>
    <row r="963" spans="1:5" x14ac:dyDescent="0.2">
      <c r="A963">
        <v>4</v>
      </c>
      <c r="B963" t="s">
        <v>69</v>
      </c>
      <c r="C963">
        <v>0</v>
      </c>
      <c r="D963">
        <v>4</v>
      </c>
      <c r="E963" s="3">
        <f t="shared" si="14"/>
        <v>11</v>
      </c>
    </row>
    <row r="964" spans="1:5" x14ac:dyDescent="0.2">
      <c r="A964">
        <v>5</v>
      </c>
      <c r="B964" t="s">
        <v>519</v>
      </c>
      <c r="C964">
        <v>0</v>
      </c>
      <c r="D964">
        <v>2</v>
      </c>
      <c r="E964" s="3">
        <f t="shared" si="14"/>
        <v>11</v>
      </c>
    </row>
    <row r="965" spans="1:5" x14ac:dyDescent="0.2">
      <c r="A965">
        <v>6</v>
      </c>
      <c r="B965" t="s">
        <v>509</v>
      </c>
      <c r="C965">
        <v>0</v>
      </c>
      <c r="D965">
        <v>1</v>
      </c>
      <c r="E965" s="3">
        <f t="shared" si="14"/>
        <v>11</v>
      </c>
    </row>
    <row r="966" spans="1:5" x14ac:dyDescent="0.2">
      <c r="A966">
        <v>7</v>
      </c>
      <c r="B966" s="2" t="s">
        <v>10</v>
      </c>
      <c r="C966" s="2" t="s">
        <v>10</v>
      </c>
      <c r="D966" s="2" t="s">
        <v>10</v>
      </c>
      <c r="E966" s="3">
        <f t="shared" si="14"/>
        <v>11</v>
      </c>
    </row>
    <row r="967" spans="1:5" x14ac:dyDescent="0.2">
      <c r="A967">
        <v>8</v>
      </c>
      <c r="B967" s="2" t="s">
        <v>10</v>
      </c>
      <c r="C967" s="2" t="s">
        <v>10</v>
      </c>
      <c r="D967" s="2" t="s">
        <v>10</v>
      </c>
      <c r="E967" s="3">
        <f t="shared" si="14"/>
        <v>11</v>
      </c>
    </row>
    <row r="968" spans="1:5" x14ac:dyDescent="0.2">
      <c r="A968" s="1" t="s">
        <v>544</v>
      </c>
      <c r="E968" s="3">
        <f t="shared" si="14"/>
        <v>11</v>
      </c>
    </row>
    <row r="969" spans="1:5" x14ac:dyDescent="0.2">
      <c r="A969" s="1" t="s">
        <v>1</v>
      </c>
      <c r="B969" s="1" t="s">
        <v>2</v>
      </c>
      <c r="C969" s="1" t="s">
        <v>3</v>
      </c>
      <c r="D969" s="1" t="s">
        <v>4</v>
      </c>
      <c r="E969" s="3">
        <f t="shared" si="14"/>
        <v>11</v>
      </c>
    </row>
    <row r="970" spans="1:5" x14ac:dyDescent="0.2">
      <c r="A970">
        <v>1</v>
      </c>
      <c r="B970" t="s">
        <v>280</v>
      </c>
      <c r="C970">
        <v>3</v>
      </c>
      <c r="D970">
        <v>16</v>
      </c>
      <c r="E970" s="3">
        <f t="shared" si="14"/>
        <v>11</v>
      </c>
    </row>
    <row r="971" spans="1:5" x14ac:dyDescent="0.2">
      <c r="A971">
        <v>2</v>
      </c>
      <c r="B971" t="s">
        <v>530</v>
      </c>
      <c r="C971">
        <v>0</v>
      </c>
      <c r="D971">
        <v>12</v>
      </c>
      <c r="E971" s="3">
        <f t="shared" si="14"/>
        <v>11</v>
      </c>
    </row>
    <row r="972" spans="1:5" x14ac:dyDescent="0.2">
      <c r="A972">
        <v>3</v>
      </c>
      <c r="B972" t="s">
        <v>485</v>
      </c>
      <c r="C972">
        <v>2</v>
      </c>
      <c r="D972">
        <v>8</v>
      </c>
      <c r="E972" s="3">
        <f t="shared" si="14"/>
        <v>11</v>
      </c>
    </row>
    <row r="973" spans="1:5" x14ac:dyDescent="0.2">
      <c r="A973">
        <v>4</v>
      </c>
      <c r="B973" t="s">
        <v>505</v>
      </c>
      <c r="C973">
        <v>0</v>
      </c>
      <c r="D973">
        <v>4</v>
      </c>
      <c r="E973" s="3">
        <f t="shared" si="14"/>
        <v>11</v>
      </c>
    </row>
    <row r="974" spans="1:5" x14ac:dyDescent="0.2">
      <c r="A974">
        <v>5</v>
      </c>
      <c r="B974" t="s">
        <v>512</v>
      </c>
      <c r="C974">
        <v>0</v>
      </c>
      <c r="D974">
        <v>2</v>
      </c>
      <c r="E974" s="3">
        <f t="shared" si="14"/>
        <v>11</v>
      </c>
    </row>
    <row r="975" spans="1:5" x14ac:dyDescent="0.2">
      <c r="A975">
        <v>6</v>
      </c>
      <c r="B975" t="s">
        <v>502</v>
      </c>
      <c r="C975">
        <v>0</v>
      </c>
      <c r="D975">
        <v>1</v>
      </c>
      <c r="E975" s="3">
        <f t="shared" si="14"/>
        <v>11</v>
      </c>
    </row>
    <row r="976" spans="1:5" x14ac:dyDescent="0.2">
      <c r="A976">
        <v>7</v>
      </c>
      <c r="B976" s="2" t="s">
        <v>10</v>
      </c>
      <c r="C976" s="2" t="s">
        <v>10</v>
      </c>
      <c r="D976" s="2" t="s">
        <v>10</v>
      </c>
      <c r="E976" s="3">
        <f t="shared" si="14"/>
        <v>11</v>
      </c>
    </row>
    <row r="977" spans="1:5" x14ac:dyDescent="0.2">
      <c r="A977">
        <v>8</v>
      </c>
      <c r="B977" s="2" t="s">
        <v>10</v>
      </c>
      <c r="C977" s="2" t="s">
        <v>10</v>
      </c>
      <c r="D977" s="2" t="s">
        <v>10</v>
      </c>
      <c r="E977" s="3">
        <f t="shared" si="14"/>
        <v>11</v>
      </c>
    </row>
    <row r="978" spans="1:5" x14ac:dyDescent="0.2">
      <c r="A978" s="1" t="s">
        <v>548</v>
      </c>
      <c r="E978" s="3">
        <f t="shared" si="14"/>
        <v>11</v>
      </c>
    </row>
    <row r="979" spans="1:5" x14ac:dyDescent="0.2">
      <c r="A979" s="1" t="s">
        <v>1</v>
      </c>
      <c r="B979" s="1" t="s">
        <v>2</v>
      </c>
      <c r="C979" s="1" t="s">
        <v>3</v>
      </c>
      <c r="D979" s="1" t="s">
        <v>4</v>
      </c>
      <c r="E979" s="3">
        <f t="shared" si="14"/>
        <v>11</v>
      </c>
    </row>
    <row r="980" spans="1:5" x14ac:dyDescent="0.2">
      <c r="A980">
        <v>1</v>
      </c>
      <c r="B980" t="s">
        <v>42</v>
      </c>
      <c r="C980">
        <v>3</v>
      </c>
      <c r="D980">
        <v>16</v>
      </c>
      <c r="E980" s="3">
        <f t="shared" si="14"/>
        <v>11</v>
      </c>
    </row>
    <row r="981" spans="1:5" x14ac:dyDescent="0.2">
      <c r="A981">
        <v>2</v>
      </c>
      <c r="B981" t="s">
        <v>518</v>
      </c>
      <c r="C981">
        <v>1</v>
      </c>
      <c r="D981">
        <v>12</v>
      </c>
      <c r="E981" s="3">
        <f t="shared" si="14"/>
        <v>11</v>
      </c>
    </row>
    <row r="982" spans="1:5" x14ac:dyDescent="0.2">
      <c r="A982">
        <v>3</v>
      </c>
      <c r="B982" t="s">
        <v>14</v>
      </c>
      <c r="C982">
        <v>0</v>
      </c>
      <c r="D982">
        <v>8</v>
      </c>
      <c r="E982" s="3">
        <f t="shared" si="14"/>
        <v>11</v>
      </c>
    </row>
    <row r="983" spans="1:5" x14ac:dyDescent="0.2">
      <c r="A983">
        <v>4</v>
      </c>
      <c r="B983" t="s">
        <v>19</v>
      </c>
      <c r="C983">
        <v>1</v>
      </c>
      <c r="D983">
        <v>4</v>
      </c>
      <c r="E983" s="3">
        <f t="shared" si="14"/>
        <v>11</v>
      </c>
    </row>
    <row r="984" spans="1:5" x14ac:dyDescent="0.2">
      <c r="A984">
        <v>5</v>
      </c>
      <c r="B984" t="s">
        <v>59</v>
      </c>
      <c r="C984">
        <v>0</v>
      </c>
      <c r="D984">
        <v>2</v>
      </c>
      <c r="E984" s="3">
        <f t="shared" si="14"/>
        <v>11</v>
      </c>
    </row>
    <row r="985" spans="1:5" x14ac:dyDescent="0.2">
      <c r="A985">
        <v>6</v>
      </c>
      <c r="B985" t="s">
        <v>451</v>
      </c>
      <c r="C985">
        <v>0</v>
      </c>
      <c r="D985">
        <v>1</v>
      </c>
      <c r="E985" s="3">
        <f t="shared" si="14"/>
        <v>11</v>
      </c>
    </row>
    <row r="986" spans="1:5" x14ac:dyDescent="0.2">
      <c r="A986">
        <v>7</v>
      </c>
      <c r="B986" s="2" t="s">
        <v>10</v>
      </c>
      <c r="C986" s="2" t="s">
        <v>10</v>
      </c>
      <c r="D986" s="2" t="s">
        <v>10</v>
      </c>
      <c r="E986" s="3">
        <f t="shared" si="14"/>
        <v>11</v>
      </c>
    </row>
    <row r="987" spans="1:5" x14ac:dyDescent="0.2">
      <c r="A987">
        <v>8</v>
      </c>
      <c r="B987" s="2" t="s">
        <v>10</v>
      </c>
      <c r="C987" s="2" t="s">
        <v>10</v>
      </c>
      <c r="D987" s="2" t="s">
        <v>10</v>
      </c>
      <c r="E987" s="3">
        <f t="shared" si="14"/>
        <v>11</v>
      </c>
    </row>
    <row r="988" spans="1:5" x14ac:dyDescent="0.2">
      <c r="A988" s="1" t="s">
        <v>537</v>
      </c>
      <c r="E988" s="3">
        <f t="shared" si="14"/>
        <v>12</v>
      </c>
    </row>
    <row r="989" spans="1:5" x14ac:dyDescent="0.2">
      <c r="A989" s="1" t="s">
        <v>1</v>
      </c>
      <c r="B989" s="1" t="s">
        <v>2</v>
      </c>
      <c r="C989" s="1" t="s">
        <v>3</v>
      </c>
      <c r="D989" s="1" t="s">
        <v>4</v>
      </c>
      <c r="E989" s="3">
        <f t="shared" si="14"/>
        <v>12</v>
      </c>
    </row>
    <row r="990" spans="1:5" x14ac:dyDescent="0.2">
      <c r="A990">
        <v>1</v>
      </c>
      <c r="B990" t="s">
        <v>501</v>
      </c>
      <c r="C990">
        <v>4</v>
      </c>
      <c r="D990">
        <v>16</v>
      </c>
      <c r="E990" s="3">
        <f t="shared" si="14"/>
        <v>12</v>
      </c>
    </row>
    <row r="991" spans="1:5" x14ac:dyDescent="0.2">
      <c r="A991">
        <v>2</v>
      </c>
      <c r="B991" t="s">
        <v>25</v>
      </c>
      <c r="C991">
        <v>1</v>
      </c>
      <c r="D991">
        <v>12</v>
      </c>
      <c r="E991" s="3">
        <f t="shared" si="14"/>
        <v>12</v>
      </c>
    </row>
    <row r="992" spans="1:5" x14ac:dyDescent="0.2">
      <c r="A992">
        <v>3</v>
      </c>
      <c r="B992" t="s">
        <v>88</v>
      </c>
      <c r="C992">
        <v>0</v>
      </c>
      <c r="D992">
        <v>8</v>
      </c>
      <c r="E992" s="3">
        <f t="shared" si="14"/>
        <v>12</v>
      </c>
    </row>
    <row r="993" spans="1:5" x14ac:dyDescent="0.2">
      <c r="A993">
        <v>4</v>
      </c>
      <c r="B993" t="s">
        <v>506</v>
      </c>
      <c r="C993">
        <v>0</v>
      </c>
      <c r="D993">
        <v>4</v>
      </c>
      <c r="E993" s="3">
        <f t="shared" si="14"/>
        <v>12</v>
      </c>
    </row>
    <row r="994" spans="1:5" x14ac:dyDescent="0.2">
      <c r="A994">
        <v>5</v>
      </c>
      <c r="B994" t="s">
        <v>345</v>
      </c>
      <c r="C994">
        <v>0</v>
      </c>
      <c r="D994">
        <v>2</v>
      </c>
      <c r="E994" s="3">
        <f t="shared" si="14"/>
        <v>12</v>
      </c>
    </row>
    <row r="995" spans="1:5" x14ac:dyDescent="0.2">
      <c r="A995">
        <v>6</v>
      </c>
      <c r="B995" t="s">
        <v>508</v>
      </c>
      <c r="C995">
        <v>0</v>
      </c>
      <c r="D995">
        <v>1</v>
      </c>
      <c r="E995" s="3">
        <f t="shared" ref="E995:E1058" si="15">IF(A995=$A$1,E994+1,E994)</f>
        <v>12</v>
      </c>
    </row>
    <row r="996" spans="1:5" x14ac:dyDescent="0.2">
      <c r="A996">
        <v>7</v>
      </c>
      <c r="B996" s="2" t="s">
        <v>10</v>
      </c>
      <c r="C996" s="2" t="s">
        <v>10</v>
      </c>
      <c r="D996" s="2" t="s">
        <v>10</v>
      </c>
      <c r="E996" s="3">
        <f t="shared" si="15"/>
        <v>12</v>
      </c>
    </row>
    <row r="997" spans="1:5" x14ac:dyDescent="0.2">
      <c r="A997">
        <v>8</v>
      </c>
      <c r="B997" s="2" t="s">
        <v>10</v>
      </c>
      <c r="C997" s="2" t="s">
        <v>10</v>
      </c>
      <c r="D997" s="2" t="s">
        <v>10</v>
      </c>
      <c r="E997" s="3">
        <f t="shared" si="15"/>
        <v>12</v>
      </c>
    </row>
    <row r="998" spans="1:5" x14ac:dyDescent="0.2">
      <c r="A998" s="1" t="s">
        <v>538</v>
      </c>
      <c r="E998" s="3">
        <f t="shared" si="15"/>
        <v>12</v>
      </c>
    </row>
    <row r="999" spans="1:5" x14ac:dyDescent="0.2">
      <c r="A999" s="1" t="s">
        <v>1</v>
      </c>
      <c r="B999" s="1" t="s">
        <v>2</v>
      </c>
      <c r="C999" s="1" t="s">
        <v>3</v>
      </c>
      <c r="D999" s="1" t="s">
        <v>4</v>
      </c>
      <c r="E999" s="3">
        <f t="shared" si="15"/>
        <v>12</v>
      </c>
    </row>
    <row r="1000" spans="1:5" x14ac:dyDescent="0.2">
      <c r="A1000">
        <v>1</v>
      </c>
      <c r="B1000" t="s">
        <v>530</v>
      </c>
      <c r="C1000">
        <v>4</v>
      </c>
      <c r="D1000">
        <v>16</v>
      </c>
      <c r="E1000" s="3">
        <f t="shared" si="15"/>
        <v>12</v>
      </c>
    </row>
    <row r="1001" spans="1:5" x14ac:dyDescent="0.2">
      <c r="A1001">
        <v>2</v>
      </c>
      <c r="B1001" t="s">
        <v>74</v>
      </c>
      <c r="C1001">
        <v>1</v>
      </c>
      <c r="D1001">
        <v>12</v>
      </c>
      <c r="E1001" s="3">
        <f t="shared" si="15"/>
        <v>12</v>
      </c>
    </row>
    <row r="1002" spans="1:5" x14ac:dyDescent="0.2">
      <c r="A1002">
        <v>3</v>
      </c>
      <c r="B1002" t="s">
        <v>512</v>
      </c>
      <c r="C1002">
        <v>0</v>
      </c>
      <c r="D1002">
        <v>8</v>
      </c>
      <c r="E1002" s="3">
        <f t="shared" si="15"/>
        <v>12</v>
      </c>
    </row>
    <row r="1003" spans="1:5" x14ac:dyDescent="0.2">
      <c r="A1003">
        <v>4</v>
      </c>
      <c r="B1003" t="s">
        <v>493</v>
      </c>
      <c r="C1003">
        <v>0</v>
      </c>
      <c r="D1003">
        <v>4</v>
      </c>
      <c r="E1003" s="3">
        <f t="shared" si="15"/>
        <v>12</v>
      </c>
    </row>
    <row r="1004" spans="1:5" x14ac:dyDescent="0.2">
      <c r="A1004">
        <v>5</v>
      </c>
      <c r="B1004" t="s">
        <v>258</v>
      </c>
      <c r="C1004">
        <v>0</v>
      </c>
      <c r="D1004">
        <v>2</v>
      </c>
      <c r="E1004" s="3">
        <f t="shared" si="15"/>
        <v>12</v>
      </c>
    </row>
    <row r="1005" spans="1:5" x14ac:dyDescent="0.2">
      <c r="A1005">
        <v>6</v>
      </c>
      <c r="B1005" t="s">
        <v>534</v>
      </c>
      <c r="C1005">
        <v>0</v>
      </c>
      <c r="D1005">
        <v>1</v>
      </c>
      <c r="E1005" s="3">
        <f t="shared" si="15"/>
        <v>12</v>
      </c>
    </row>
    <row r="1006" spans="1:5" x14ac:dyDescent="0.2">
      <c r="A1006">
        <v>7</v>
      </c>
      <c r="B1006" s="2" t="s">
        <v>10</v>
      </c>
      <c r="C1006" s="2" t="s">
        <v>10</v>
      </c>
      <c r="D1006" s="2" t="s">
        <v>10</v>
      </c>
      <c r="E1006" s="3">
        <f t="shared" si="15"/>
        <v>12</v>
      </c>
    </row>
    <row r="1007" spans="1:5" x14ac:dyDescent="0.2">
      <c r="A1007">
        <v>8</v>
      </c>
      <c r="B1007" s="2" t="s">
        <v>10</v>
      </c>
      <c r="C1007" s="2" t="s">
        <v>10</v>
      </c>
      <c r="D1007" s="2" t="s">
        <v>10</v>
      </c>
      <c r="E1007" s="3">
        <f t="shared" si="15"/>
        <v>12</v>
      </c>
    </row>
    <row r="1008" spans="1:5" x14ac:dyDescent="0.2">
      <c r="A1008" s="1" t="s">
        <v>539</v>
      </c>
      <c r="E1008" s="3">
        <f t="shared" si="15"/>
        <v>12</v>
      </c>
    </row>
    <row r="1009" spans="1:5" x14ac:dyDescent="0.2">
      <c r="A1009" s="1" t="s">
        <v>1</v>
      </c>
      <c r="B1009" s="1" t="s">
        <v>2</v>
      </c>
      <c r="C1009" s="1" t="s">
        <v>3</v>
      </c>
      <c r="D1009" s="1" t="s">
        <v>4</v>
      </c>
      <c r="E1009" s="3">
        <f t="shared" si="15"/>
        <v>12</v>
      </c>
    </row>
    <row r="1010" spans="1:5" x14ac:dyDescent="0.2">
      <c r="A1010">
        <v>1</v>
      </c>
      <c r="B1010" t="s">
        <v>505</v>
      </c>
      <c r="C1010">
        <v>1</v>
      </c>
      <c r="D1010">
        <v>17</v>
      </c>
      <c r="E1010" s="3">
        <f t="shared" si="15"/>
        <v>12</v>
      </c>
    </row>
    <row r="1011" spans="1:5" x14ac:dyDescent="0.2">
      <c r="A1011">
        <v>2</v>
      </c>
      <c r="B1011" t="s">
        <v>535</v>
      </c>
      <c r="C1011">
        <v>4</v>
      </c>
      <c r="D1011">
        <v>13</v>
      </c>
      <c r="E1011" s="3">
        <f t="shared" si="15"/>
        <v>12</v>
      </c>
    </row>
    <row r="1012" spans="1:5" x14ac:dyDescent="0.2">
      <c r="A1012">
        <v>3</v>
      </c>
      <c r="B1012" t="s">
        <v>15</v>
      </c>
      <c r="C1012">
        <v>1</v>
      </c>
      <c r="D1012">
        <v>9</v>
      </c>
      <c r="E1012" s="3">
        <f t="shared" si="15"/>
        <v>12</v>
      </c>
    </row>
    <row r="1013" spans="1:5" x14ac:dyDescent="0.2">
      <c r="A1013">
        <v>4</v>
      </c>
      <c r="B1013" t="s">
        <v>526</v>
      </c>
      <c r="C1013">
        <v>0</v>
      </c>
      <c r="D1013">
        <v>5</v>
      </c>
      <c r="E1013" s="3">
        <f t="shared" si="15"/>
        <v>12</v>
      </c>
    </row>
    <row r="1014" spans="1:5" x14ac:dyDescent="0.2">
      <c r="A1014">
        <v>5</v>
      </c>
      <c r="B1014" t="s">
        <v>454</v>
      </c>
      <c r="C1014">
        <v>0</v>
      </c>
      <c r="D1014">
        <v>3</v>
      </c>
      <c r="E1014" s="3">
        <f t="shared" si="15"/>
        <v>12</v>
      </c>
    </row>
    <row r="1015" spans="1:5" x14ac:dyDescent="0.2">
      <c r="A1015">
        <v>6</v>
      </c>
      <c r="B1015" t="s">
        <v>75</v>
      </c>
      <c r="C1015">
        <v>0</v>
      </c>
      <c r="D1015">
        <v>2</v>
      </c>
      <c r="E1015" s="3">
        <f t="shared" si="15"/>
        <v>12</v>
      </c>
    </row>
    <row r="1016" spans="1:5" x14ac:dyDescent="0.2">
      <c r="A1016">
        <v>7</v>
      </c>
      <c r="B1016" t="s">
        <v>485</v>
      </c>
      <c r="C1016">
        <v>0</v>
      </c>
      <c r="D1016">
        <v>1</v>
      </c>
      <c r="E1016" s="3">
        <f t="shared" si="15"/>
        <v>12</v>
      </c>
    </row>
    <row r="1017" spans="1:5" x14ac:dyDescent="0.2">
      <c r="A1017">
        <v>8</v>
      </c>
      <c r="B1017" s="2" t="s">
        <v>10</v>
      </c>
      <c r="C1017" s="2" t="s">
        <v>10</v>
      </c>
      <c r="D1017" s="2" t="s">
        <v>10</v>
      </c>
      <c r="E1017" s="3">
        <f t="shared" si="15"/>
        <v>12</v>
      </c>
    </row>
    <row r="1018" spans="1:5" x14ac:dyDescent="0.2">
      <c r="A1018" s="1" t="s">
        <v>540</v>
      </c>
      <c r="E1018" s="3">
        <f t="shared" si="15"/>
        <v>12</v>
      </c>
    </row>
    <row r="1019" spans="1:5" x14ac:dyDescent="0.2">
      <c r="A1019" s="1" t="s">
        <v>1</v>
      </c>
      <c r="B1019" s="1" t="s">
        <v>2</v>
      </c>
      <c r="C1019" s="1" t="s">
        <v>3</v>
      </c>
      <c r="D1019" s="1" t="s">
        <v>4</v>
      </c>
      <c r="E1019" s="3">
        <f t="shared" si="15"/>
        <v>12</v>
      </c>
    </row>
    <row r="1020" spans="1:5" x14ac:dyDescent="0.2">
      <c r="A1020">
        <v>1</v>
      </c>
      <c r="B1020" t="s">
        <v>27</v>
      </c>
      <c r="C1020">
        <v>3</v>
      </c>
      <c r="D1020">
        <v>16</v>
      </c>
      <c r="E1020" s="3">
        <f t="shared" si="15"/>
        <v>12</v>
      </c>
    </row>
    <row r="1021" spans="1:5" x14ac:dyDescent="0.2">
      <c r="A1021">
        <v>2</v>
      </c>
      <c r="B1021" t="s">
        <v>61</v>
      </c>
      <c r="C1021">
        <v>1</v>
      </c>
      <c r="D1021">
        <v>12</v>
      </c>
      <c r="E1021" s="3">
        <f t="shared" si="15"/>
        <v>12</v>
      </c>
    </row>
    <row r="1022" spans="1:5" x14ac:dyDescent="0.2">
      <c r="A1022">
        <v>3</v>
      </c>
      <c r="B1022" t="s">
        <v>59</v>
      </c>
      <c r="C1022">
        <v>0</v>
      </c>
      <c r="D1022">
        <v>8</v>
      </c>
      <c r="E1022" s="3">
        <f t="shared" si="15"/>
        <v>12</v>
      </c>
    </row>
    <row r="1023" spans="1:5" x14ac:dyDescent="0.2">
      <c r="A1023">
        <v>4</v>
      </c>
      <c r="B1023" t="s">
        <v>87</v>
      </c>
      <c r="C1023">
        <v>1</v>
      </c>
      <c r="D1023">
        <v>4</v>
      </c>
      <c r="E1023" s="3">
        <f t="shared" si="15"/>
        <v>12</v>
      </c>
    </row>
    <row r="1024" spans="1:5" x14ac:dyDescent="0.2">
      <c r="A1024">
        <v>5</v>
      </c>
      <c r="B1024" t="s">
        <v>42</v>
      </c>
      <c r="C1024">
        <v>0</v>
      </c>
      <c r="D1024">
        <v>2</v>
      </c>
      <c r="E1024" s="3">
        <f t="shared" si="15"/>
        <v>12</v>
      </c>
    </row>
    <row r="1025" spans="1:5" x14ac:dyDescent="0.2">
      <c r="A1025">
        <v>6</v>
      </c>
      <c r="B1025" t="s">
        <v>46</v>
      </c>
      <c r="C1025">
        <v>0</v>
      </c>
      <c r="D1025">
        <v>1</v>
      </c>
      <c r="E1025" s="3">
        <f t="shared" si="15"/>
        <v>12</v>
      </c>
    </row>
    <row r="1026" spans="1:5" x14ac:dyDescent="0.2">
      <c r="A1026">
        <v>7</v>
      </c>
      <c r="B1026" s="2" t="s">
        <v>10</v>
      </c>
      <c r="C1026" s="2" t="s">
        <v>10</v>
      </c>
      <c r="D1026" s="2" t="s">
        <v>10</v>
      </c>
      <c r="E1026" s="3">
        <f t="shared" si="15"/>
        <v>12</v>
      </c>
    </row>
    <row r="1027" spans="1:5" x14ac:dyDescent="0.2">
      <c r="A1027">
        <v>8</v>
      </c>
      <c r="B1027" s="2" t="s">
        <v>10</v>
      </c>
      <c r="C1027" s="2" t="s">
        <v>10</v>
      </c>
      <c r="D1027" s="2" t="s">
        <v>10</v>
      </c>
      <c r="E1027" s="3">
        <f t="shared" si="15"/>
        <v>12</v>
      </c>
    </row>
    <row r="1028" spans="1:5" x14ac:dyDescent="0.2">
      <c r="A1028" s="1" t="s">
        <v>541</v>
      </c>
      <c r="E1028" s="3">
        <f t="shared" si="15"/>
        <v>12</v>
      </c>
    </row>
    <row r="1029" spans="1:5" x14ac:dyDescent="0.2">
      <c r="A1029" s="1" t="s">
        <v>1</v>
      </c>
      <c r="B1029" s="1" t="s">
        <v>2</v>
      </c>
      <c r="C1029" s="1" t="s">
        <v>3</v>
      </c>
      <c r="D1029" s="1" t="s">
        <v>4</v>
      </c>
      <c r="E1029" s="3">
        <f t="shared" si="15"/>
        <v>12</v>
      </c>
    </row>
    <row r="1030" spans="1:5" x14ac:dyDescent="0.2">
      <c r="A1030">
        <v>1</v>
      </c>
      <c r="B1030" t="s">
        <v>490</v>
      </c>
      <c r="C1030">
        <v>3</v>
      </c>
      <c r="D1030">
        <v>16</v>
      </c>
      <c r="E1030" s="3">
        <f t="shared" si="15"/>
        <v>12</v>
      </c>
    </row>
    <row r="1031" spans="1:5" x14ac:dyDescent="0.2">
      <c r="A1031">
        <v>2</v>
      </c>
      <c r="B1031" t="s">
        <v>66</v>
      </c>
      <c r="C1031">
        <v>1</v>
      </c>
      <c r="D1031">
        <v>12</v>
      </c>
      <c r="E1031" s="3">
        <f t="shared" si="15"/>
        <v>12</v>
      </c>
    </row>
    <row r="1032" spans="1:5" x14ac:dyDescent="0.2">
      <c r="A1032">
        <v>3</v>
      </c>
      <c r="B1032" t="s">
        <v>32</v>
      </c>
      <c r="C1032">
        <v>1</v>
      </c>
      <c r="D1032">
        <v>8</v>
      </c>
      <c r="E1032" s="3">
        <f t="shared" si="15"/>
        <v>12</v>
      </c>
    </row>
    <row r="1033" spans="1:5" x14ac:dyDescent="0.2">
      <c r="A1033">
        <v>4</v>
      </c>
      <c r="B1033" t="s">
        <v>507</v>
      </c>
      <c r="C1033">
        <v>0</v>
      </c>
      <c r="D1033">
        <v>4</v>
      </c>
      <c r="E1033" s="3">
        <f t="shared" si="15"/>
        <v>12</v>
      </c>
    </row>
    <row r="1034" spans="1:5" x14ac:dyDescent="0.2">
      <c r="A1034">
        <v>5</v>
      </c>
      <c r="B1034" t="s">
        <v>280</v>
      </c>
      <c r="C1034">
        <v>0</v>
      </c>
      <c r="D1034">
        <v>2</v>
      </c>
      <c r="E1034" s="3">
        <f t="shared" si="15"/>
        <v>12</v>
      </c>
    </row>
    <row r="1035" spans="1:5" x14ac:dyDescent="0.2">
      <c r="A1035">
        <v>6</v>
      </c>
      <c r="B1035" t="s">
        <v>476</v>
      </c>
      <c r="C1035">
        <v>0</v>
      </c>
      <c r="D1035">
        <v>1</v>
      </c>
      <c r="E1035" s="3">
        <f t="shared" si="15"/>
        <v>12</v>
      </c>
    </row>
    <row r="1036" spans="1:5" x14ac:dyDescent="0.2">
      <c r="A1036">
        <v>7</v>
      </c>
      <c r="B1036" s="2" t="s">
        <v>10</v>
      </c>
      <c r="C1036" s="2" t="s">
        <v>10</v>
      </c>
      <c r="D1036" s="2" t="s">
        <v>10</v>
      </c>
      <c r="E1036" s="3">
        <f t="shared" si="15"/>
        <v>12</v>
      </c>
    </row>
    <row r="1037" spans="1:5" x14ac:dyDescent="0.2">
      <c r="A1037">
        <v>8</v>
      </c>
      <c r="B1037" s="2" t="s">
        <v>10</v>
      </c>
      <c r="C1037" s="2" t="s">
        <v>10</v>
      </c>
      <c r="D1037" s="2" t="s">
        <v>10</v>
      </c>
      <c r="E1037" s="3">
        <f t="shared" si="15"/>
        <v>12</v>
      </c>
    </row>
    <row r="1038" spans="1:5" x14ac:dyDescent="0.2">
      <c r="A1038" s="1" t="s">
        <v>542</v>
      </c>
      <c r="E1038" s="3">
        <f t="shared" si="15"/>
        <v>12</v>
      </c>
    </row>
    <row r="1039" spans="1:5" x14ac:dyDescent="0.2">
      <c r="A1039" s="1" t="s">
        <v>1</v>
      </c>
      <c r="B1039" s="1" t="s">
        <v>2</v>
      </c>
      <c r="C1039" s="1" t="s">
        <v>3</v>
      </c>
      <c r="D1039" s="1" t="s">
        <v>4</v>
      </c>
      <c r="E1039" s="3">
        <f t="shared" si="15"/>
        <v>12</v>
      </c>
    </row>
    <row r="1040" spans="1:5" x14ac:dyDescent="0.2">
      <c r="A1040">
        <v>1</v>
      </c>
      <c r="B1040" t="s">
        <v>516</v>
      </c>
      <c r="C1040">
        <v>3</v>
      </c>
      <c r="D1040">
        <v>16</v>
      </c>
      <c r="E1040" s="3">
        <f t="shared" si="15"/>
        <v>12</v>
      </c>
    </row>
    <row r="1041" spans="1:5" x14ac:dyDescent="0.2">
      <c r="A1041">
        <v>2</v>
      </c>
      <c r="B1041" t="s">
        <v>521</v>
      </c>
      <c r="C1041">
        <v>1</v>
      </c>
      <c r="D1041">
        <v>12</v>
      </c>
      <c r="E1041" s="3">
        <f t="shared" si="15"/>
        <v>12</v>
      </c>
    </row>
    <row r="1042" spans="1:5" x14ac:dyDescent="0.2">
      <c r="A1042">
        <v>3</v>
      </c>
      <c r="B1042" t="s">
        <v>6</v>
      </c>
      <c r="C1042">
        <v>0</v>
      </c>
      <c r="D1042">
        <v>8</v>
      </c>
      <c r="E1042" s="3">
        <f t="shared" si="15"/>
        <v>12</v>
      </c>
    </row>
    <row r="1043" spans="1:5" x14ac:dyDescent="0.2">
      <c r="A1043">
        <v>4</v>
      </c>
      <c r="B1043" t="s">
        <v>35</v>
      </c>
      <c r="C1043">
        <v>1</v>
      </c>
      <c r="D1043">
        <v>4</v>
      </c>
      <c r="E1043" s="3">
        <f t="shared" si="15"/>
        <v>12</v>
      </c>
    </row>
    <row r="1044" spans="1:5" x14ac:dyDescent="0.2">
      <c r="A1044">
        <v>5</v>
      </c>
      <c r="B1044" t="s">
        <v>73</v>
      </c>
      <c r="C1044">
        <v>0</v>
      </c>
      <c r="D1044">
        <v>2</v>
      </c>
      <c r="E1044" s="3">
        <f t="shared" si="15"/>
        <v>12</v>
      </c>
    </row>
    <row r="1045" spans="1:5" x14ac:dyDescent="0.2">
      <c r="A1045">
        <v>6</v>
      </c>
      <c r="B1045" t="s">
        <v>504</v>
      </c>
      <c r="C1045">
        <v>0</v>
      </c>
      <c r="D1045">
        <v>1</v>
      </c>
      <c r="E1045" s="3">
        <f t="shared" si="15"/>
        <v>12</v>
      </c>
    </row>
    <row r="1046" spans="1:5" x14ac:dyDescent="0.2">
      <c r="A1046">
        <v>7</v>
      </c>
      <c r="B1046" s="2" t="s">
        <v>10</v>
      </c>
      <c r="C1046" s="2" t="s">
        <v>10</v>
      </c>
      <c r="D1046" s="2" t="s">
        <v>10</v>
      </c>
      <c r="E1046" s="3">
        <f t="shared" si="15"/>
        <v>12</v>
      </c>
    </row>
    <row r="1047" spans="1:5" x14ac:dyDescent="0.2">
      <c r="A1047">
        <v>8</v>
      </c>
      <c r="B1047" s="2" t="s">
        <v>10</v>
      </c>
      <c r="C1047" s="2" t="s">
        <v>10</v>
      </c>
      <c r="D1047" s="2" t="s">
        <v>10</v>
      </c>
      <c r="E1047" s="3">
        <f t="shared" si="15"/>
        <v>12</v>
      </c>
    </row>
    <row r="1048" spans="1:5" x14ac:dyDescent="0.2">
      <c r="A1048" s="1" t="s">
        <v>543</v>
      </c>
      <c r="E1048" s="3">
        <f t="shared" si="15"/>
        <v>12</v>
      </c>
    </row>
    <row r="1049" spans="1:5" x14ac:dyDescent="0.2">
      <c r="A1049" s="1" t="s">
        <v>1</v>
      </c>
      <c r="B1049" s="1" t="s">
        <v>2</v>
      </c>
      <c r="C1049" s="1" t="s">
        <v>3</v>
      </c>
      <c r="D1049" s="1" t="s">
        <v>4</v>
      </c>
      <c r="E1049" s="3">
        <f t="shared" si="15"/>
        <v>12</v>
      </c>
    </row>
    <row r="1050" spans="1:5" x14ac:dyDescent="0.2">
      <c r="A1050">
        <v>1</v>
      </c>
      <c r="B1050" t="s">
        <v>503</v>
      </c>
      <c r="C1050">
        <v>5</v>
      </c>
      <c r="D1050">
        <v>16</v>
      </c>
      <c r="E1050" s="3">
        <f t="shared" si="15"/>
        <v>12</v>
      </c>
    </row>
    <row r="1051" spans="1:5" x14ac:dyDescent="0.2">
      <c r="A1051">
        <v>2</v>
      </c>
      <c r="B1051" t="s">
        <v>21</v>
      </c>
      <c r="C1051">
        <v>0</v>
      </c>
      <c r="D1051">
        <v>12</v>
      </c>
      <c r="E1051" s="3">
        <f t="shared" si="15"/>
        <v>12</v>
      </c>
    </row>
    <row r="1052" spans="1:5" x14ac:dyDescent="0.2">
      <c r="A1052">
        <v>3</v>
      </c>
      <c r="B1052" t="s">
        <v>69</v>
      </c>
      <c r="C1052">
        <v>0</v>
      </c>
      <c r="D1052">
        <v>8</v>
      </c>
      <c r="E1052" s="3">
        <f t="shared" si="15"/>
        <v>12</v>
      </c>
    </row>
    <row r="1053" spans="1:5" x14ac:dyDescent="0.2">
      <c r="A1053">
        <v>4</v>
      </c>
      <c r="B1053" t="s">
        <v>509</v>
      </c>
      <c r="C1053">
        <v>0</v>
      </c>
      <c r="D1053">
        <v>4</v>
      </c>
      <c r="E1053" s="3">
        <f t="shared" si="15"/>
        <v>12</v>
      </c>
    </row>
    <row r="1054" spans="1:5" x14ac:dyDescent="0.2">
      <c r="A1054">
        <v>5</v>
      </c>
      <c r="B1054" t="s">
        <v>76</v>
      </c>
      <c r="C1054">
        <v>0</v>
      </c>
      <c r="D1054">
        <v>2</v>
      </c>
      <c r="E1054" s="3">
        <f t="shared" si="15"/>
        <v>12</v>
      </c>
    </row>
    <row r="1055" spans="1:5" x14ac:dyDescent="0.2">
      <c r="A1055">
        <v>6</v>
      </c>
      <c r="B1055" t="s">
        <v>461</v>
      </c>
      <c r="C1055">
        <v>0</v>
      </c>
      <c r="D1055">
        <v>1</v>
      </c>
      <c r="E1055" s="3">
        <f t="shared" si="15"/>
        <v>12</v>
      </c>
    </row>
    <row r="1056" spans="1:5" x14ac:dyDescent="0.2">
      <c r="A1056">
        <v>7</v>
      </c>
      <c r="B1056" s="2" t="s">
        <v>10</v>
      </c>
      <c r="C1056" s="2" t="s">
        <v>10</v>
      </c>
      <c r="D1056" s="2" t="s">
        <v>10</v>
      </c>
      <c r="E1056" s="3">
        <f t="shared" si="15"/>
        <v>12</v>
      </c>
    </row>
    <row r="1057" spans="1:5" x14ac:dyDescent="0.2">
      <c r="A1057">
        <v>8</v>
      </c>
      <c r="B1057" s="2" t="s">
        <v>10</v>
      </c>
      <c r="C1057" s="2" t="s">
        <v>10</v>
      </c>
      <c r="D1057" s="2" t="s">
        <v>10</v>
      </c>
      <c r="E1057" s="3">
        <f t="shared" si="15"/>
        <v>12</v>
      </c>
    </row>
    <row r="1058" spans="1:5" x14ac:dyDescent="0.2">
      <c r="A1058" s="1" t="s">
        <v>549</v>
      </c>
      <c r="E1058" s="3">
        <f t="shared" si="15"/>
        <v>12</v>
      </c>
    </row>
    <row r="1059" spans="1:5" x14ac:dyDescent="0.2">
      <c r="A1059" s="1" t="s">
        <v>1</v>
      </c>
      <c r="B1059" s="1" t="s">
        <v>2</v>
      </c>
      <c r="C1059" s="1" t="s">
        <v>3</v>
      </c>
      <c r="D1059" s="1" t="s">
        <v>4</v>
      </c>
      <c r="E1059" s="3">
        <f t="shared" ref="E1059:E1122" si="16">IF(A1059=$A$1,E1058+1,E1058)</f>
        <v>12</v>
      </c>
    </row>
    <row r="1060" spans="1:5" x14ac:dyDescent="0.2">
      <c r="A1060">
        <v>1</v>
      </c>
      <c r="B1060" t="s">
        <v>475</v>
      </c>
      <c r="C1060">
        <v>4</v>
      </c>
      <c r="D1060">
        <v>16</v>
      </c>
      <c r="E1060" s="3">
        <f t="shared" si="16"/>
        <v>12</v>
      </c>
    </row>
    <row r="1061" spans="1:5" x14ac:dyDescent="0.2">
      <c r="A1061">
        <v>2</v>
      </c>
      <c r="B1061" t="s">
        <v>65</v>
      </c>
      <c r="C1061">
        <v>1</v>
      </c>
      <c r="D1061">
        <v>12</v>
      </c>
      <c r="E1061" s="3">
        <f t="shared" si="16"/>
        <v>12</v>
      </c>
    </row>
    <row r="1062" spans="1:5" x14ac:dyDescent="0.2">
      <c r="A1062">
        <v>3</v>
      </c>
      <c r="B1062" t="s">
        <v>525</v>
      </c>
      <c r="C1062">
        <v>0</v>
      </c>
      <c r="D1062">
        <v>8</v>
      </c>
      <c r="E1062" s="3">
        <f t="shared" si="16"/>
        <v>12</v>
      </c>
    </row>
    <row r="1063" spans="1:5" x14ac:dyDescent="0.2">
      <c r="A1063">
        <v>4</v>
      </c>
      <c r="B1063" t="s">
        <v>500</v>
      </c>
      <c r="C1063">
        <v>0</v>
      </c>
      <c r="D1063">
        <v>4</v>
      </c>
      <c r="E1063" s="3">
        <f t="shared" si="16"/>
        <v>12</v>
      </c>
    </row>
    <row r="1064" spans="1:5" x14ac:dyDescent="0.2">
      <c r="A1064">
        <v>5</v>
      </c>
      <c r="B1064" t="s">
        <v>9</v>
      </c>
      <c r="C1064">
        <v>0</v>
      </c>
      <c r="D1064">
        <v>2</v>
      </c>
      <c r="E1064" s="3">
        <f t="shared" si="16"/>
        <v>12</v>
      </c>
    </row>
    <row r="1065" spans="1:5" x14ac:dyDescent="0.2">
      <c r="A1065">
        <v>6</v>
      </c>
      <c r="B1065" t="s">
        <v>452</v>
      </c>
      <c r="C1065">
        <v>0</v>
      </c>
      <c r="D1065">
        <v>1</v>
      </c>
      <c r="E1065" s="3">
        <f t="shared" si="16"/>
        <v>12</v>
      </c>
    </row>
    <row r="1066" spans="1:5" x14ac:dyDescent="0.2">
      <c r="A1066">
        <v>7</v>
      </c>
      <c r="B1066" s="2" t="s">
        <v>10</v>
      </c>
      <c r="C1066" s="2" t="s">
        <v>10</v>
      </c>
      <c r="D1066" s="2" t="s">
        <v>10</v>
      </c>
      <c r="E1066" s="3">
        <f t="shared" si="16"/>
        <v>12</v>
      </c>
    </row>
    <row r="1067" spans="1:5" x14ac:dyDescent="0.2">
      <c r="A1067">
        <v>8</v>
      </c>
      <c r="B1067" s="2" t="s">
        <v>10</v>
      </c>
      <c r="C1067" s="2" t="s">
        <v>10</v>
      </c>
      <c r="D1067" s="2" t="s">
        <v>10</v>
      </c>
      <c r="E1067" s="3">
        <f t="shared" si="16"/>
        <v>12</v>
      </c>
    </row>
    <row r="1068" spans="1:5" x14ac:dyDescent="0.2">
      <c r="A1068" s="1" t="s">
        <v>0</v>
      </c>
      <c r="E1068" s="3">
        <f t="shared" si="16"/>
        <v>13</v>
      </c>
    </row>
    <row r="1069" spans="1:5" x14ac:dyDescent="0.2">
      <c r="A1069" s="1" t="s">
        <v>1</v>
      </c>
      <c r="B1069" s="1" t="s">
        <v>2</v>
      </c>
      <c r="C1069" s="1" t="s">
        <v>3</v>
      </c>
      <c r="D1069" s="1" t="s">
        <v>4</v>
      </c>
      <c r="E1069" s="3">
        <f t="shared" si="16"/>
        <v>13</v>
      </c>
    </row>
    <row r="1070" spans="1:5" x14ac:dyDescent="0.2">
      <c r="A1070">
        <v>1</v>
      </c>
      <c r="B1070" t="s">
        <v>75</v>
      </c>
      <c r="C1070">
        <v>3</v>
      </c>
      <c r="D1070">
        <v>16</v>
      </c>
      <c r="E1070" s="3">
        <f t="shared" si="16"/>
        <v>13</v>
      </c>
    </row>
    <row r="1071" spans="1:5" x14ac:dyDescent="0.2">
      <c r="A1071">
        <v>2</v>
      </c>
      <c r="B1071" t="s">
        <v>345</v>
      </c>
      <c r="C1071">
        <v>1</v>
      </c>
      <c r="D1071">
        <v>12</v>
      </c>
      <c r="E1071" s="3">
        <f t="shared" si="16"/>
        <v>13</v>
      </c>
    </row>
    <row r="1072" spans="1:5" x14ac:dyDescent="0.2">
      <c r="A1072">
        <v>3</v>
      </c>
      <c r="B1072" t="s">
        <v>534</v>
      </c>
      <c r="C1072">
        <v>1</v>
      </c>
      <c r="D1072">
        <v>8</v>
      </c>
      <c r="E1072" s="3">
        <f t="shared" si="16"/>
        <v>13</v>
      </c>
    </row>
    <row r="1073" spans="1:5" x14ac:dyDescent="0.2">
      <c r="A1073">
        <v>4</v>
      </c>
      <c r="B1073" t="s">
        <v>74</v>
      </c>
      <c r="C1073">
        <v>0</v>
      </c>
      <c r="D1073">
        <v>4</v>
      </c>
      <c r="E1073" s="3">
        <f t="shared" si="16"/>
        <v>13</v>
      </c>
    </row>
    <row r="1074" spans="1:5" x14ac:dyDescent="0.2">
      <c r="A1074">
        <v>5</v>
      </c>
      <c r="B1074" t="s">
        <v>516</v>
      </c>
      <c r="C1074">
        <v>0</v>
      </c>
      <c r="D1074">
        <v>2</v>
      </c>
      <c r="E1074" s="3">
        <f t="shared" si="16"/>
        <v>13</v>
      </c>
    </row>
    <row r="1075" spans="1:5" x14ac:dyDescent="0.2">
      <c r="A1075">
        <v>6</v>
      </c>
      <c r="B1075" t="s">
        <v>9</v>
      </c>
      <c r="C1075">
        <v>0</v>
      </c>
      <c r="D1075">
        <v>1</v>
      </c>
      <c r="E1075" s="3">
        <f t="shared" si="16"/>
        <v>13</v>
      </c>
    </row>
    <row r="1076" spans="1:5" x14ac:dyDescent="0.2">
      <c r="A1076">
        <v>7</v>
      </c>
      <c r="B1076" s="2" t="s">
        <v>10</v>
      </c>
      <c r="C1076" s="2" t="s">
        <v>10</v>
      </c>
      <c r="D1076" s="2" t="s">
        <v>10</v>
      </c>
      <c r="E1076" s="3">
        <f t="shared" si="16"/>
        <v>13</v>
      </c>
    </row>
    <row r="1077" spans="1:5" x14ac:dyDescent="0.2">
      <c r="A1077">
        <v>8</v>
      </c>
      <c r="B1077" s="2" t="s">
        <v>10</v>
      </c>
      <c r="C1077" s="2" t="s">
        <v>10</v>
      </c>
      <c r="D1077" s="2" t="s">
        <v>10</v>
      </c>
      <c r="E1077" s="3">
        <f t="shared" si="16"/>
        <v>13</v>
      </c>
    </row>
    <row r="1078" spans="1:5" x14ac:dyDescent="0.2">
      <c r="A1078" s="1" t="s">
        <v>11</v>
      </c>
      <c r="E1078" s="3">
        <f t="shared" si="16"/>
        <v>13</v>
      </c>
    </row>
    <row r="1079" spans="1:5" x14ac:dyDescent="0.2">
      <c r="A1079" s="1" t="s">
        <v>1</v>
      </c>
      <c r="B1079" s="1" t="s">
        <v>2</v>
      </c>
      <c r="C1079" s="1" t="s">
        <v>3</v>
      </c>
      <c r="D1079" s="1" t="s">
        <v>4</v>
      </c>
      <c r="E1079" s="3">
        <f t="shared" si="16"/>
        <v>13</v>
      </c>
    </row>
    <row r="1080" spans="1:5" x14ac:dyDescent="0.2">
      <c r="A1080">
        <v>0</v>
      </c>
      <c r="C1080">
        <v>0</v>
      </c>
      <c r="D1080">
        <v>0</v>
      </c>
      <c r="E1080" s="3">
        <f t="shared" si="16"/>
        <v>13</v>
      </c>
    </row>
    <row r="1081" spans="1:5" x14ac:dyDescent="0.2">
      <c r="A1081">
        <v>0</v>
      </c>
      <c r="C1081">
        <v>0</v>
      </c>
      <c r="D1081">
        <v>0</v>
      </c>
      <c r="E1081" s="3">
        <f t="shared" si="16"/>
        <v>13</v>
      </c>
    </row>
    <row r="1082" spans="1:5" x14ac:dyDescent="0.2">
      <c r="A1082">
        <v>1</v>
      </c>
      <c r="B1082" t="s">
        <v>527</v>
      </c>
      <c r="C1082">
        <v>3</v>
      </c>
      <c r="D1082">
        <v>16</v>
      </c>
      <c r="E1082" s="3">
        <f t="shared" si="16"/>
        <v>13</v>
      </c>
    </row>
    <row r="1083" spans="1:5" x14ac:dyDescent="0.2">
      <c r="A1083">
        <v>2</v>
      </c>
      <c r="B1083" t="s">
        <v>35</v>
      </c>
      <c r="C1083">
        <v>2</v>
      </c>
      <c r="D1083">
        <v>12</v>
      </c>
      <c r="E1083" s="3">
        <f t="shared" si="16"/>
        <v>13</v>
      </c>
    </row>
    <row r="1084" spans="1:5" x14ac:dyDescent="0.2">
      <c r="A1084">
        <v>3</v>
      </c>
      <c r="B1084" t="s">
        <v>479</v>
      </c>
      <c r="C1084">
        <v>0</v>
      </c>
      <c r="D1084">
        <v>8</v>
      </c>
      <c r="E1084" s="3">
        <f t="shared" si="16"/>
        <v>13</v>
      </c>
    </row>
    <row r="1085" spans="1:5" x14ac:dyDescent="0.2">
      <c r="A1085">
        <v>4</v>
      </c>
      <c r="B1085" t="s">
        <v>88</v>
      </c>
      <c r="C1085">
        <v>0</v>
      </c>
      <c r="D1085">
        <v>4</v>
      </c>
      <c r="E1085" s="3">
        <f t="shared" si="16"/>
        <v>13</v>
      </c>
    </row>
    <row r="1086" spans="1:5" x14ac:dyDescent="0.2">
      <c r="A1086">
        <v>5</v>
      </c>
      <c r="B1086" t="s">
        <v>46</v>
      </c>
      <c r="C1086">
        <v>0</v>
      </c>
      <c r="D1086">
        <v>2</v>
      </c>
      <c r="E1086" s="3">
        <f t="shared" si="16"/>
        <v>13</v>
      </c>
    </row>
    <row r="1087" spans="1:5" x14ac:dyDescent="0.2">
      <c r="A1087">
        <v>6</v>
      </c>
      <c r="B1087" t="s">
        <v>507</v>
      </c>
      <c r="C1087">
        <v>0</v>
      </c>
      <c r="D1087">
        <v>1</v>
      </c>
      <c r="E1087" s="3">
        <f t="shared" si="16"/>
        <v>13</v>
      </c>
    </row>
    <row r="1088" spans="1:5" x14ac:dyDescent="0.2">
      <c r="A1088">
        <v>9</v>
      </c>
      <c r="B1088" s="2" t="s">
        <v>10</v>
      </c>
      <c r="C1088" s="2" t="s">
        <v>10</v>
      </c>
      <c r="D1088" s="2" t="s">
        <v>10</v>
      </c>
      <c r="E1088" s="3">
        <f t="shared" si="16"/>
        <v>13</v>
      </c>
    </row>
    <row r="1089" spans="1:5" x14ac:dyDescent="0.2">
      <c r="A1089">
        <v>10</v>
      </c>
      <c r="B1089" s="2" t="s">
        <v>10</v>
      </c>
      <c r="C1089" s="2" t="s">
        <v>10</v>
      </c>
      <c r="D1089" s="2" t="s">
        <v>10</v>
      </c>
      <c r="E1089" s="3">
        <f t="shared" si="16"/>
        <v>13</v>
      </c>
    </row>
    <row r="1090" spans="1:5" x14ac:dyDescent="0.2">
      <c r="A1090" s="1" t="s">
        <v>17</v>
      </c>
      <c r="E1090" s="3">
        <f t="shared" si="16"/>
        <v>13</v>
      </c>
    </row>
    <row r="1091" spans="1:5" x14ac:dyDescent="0.2">
      <c r="A1091" s="1" t="s">
        <v>1</v>
      </c>
      <c r="B1091" s="1" t="s">
        <v>2</v>
      </c>
      <c r="C1091" s="1" t="s">
        <v>3</v>
      </c>
      <c r="D1091" s="1" t="s">
        <v>4</v>
      </c>
      <c r="E1091" s="3">
        <f t="shared" si="16"/>
        <v>13</v>
      </c>
    </row>
    <row r="1092" spans="1:5" x14ac:dyDescent="0.2">
      <c r="A1092">
        <v>1</v>
      </c>
      <c r="B1092" t="s">
        <v>535</v>
      </c>
      <c r="C1092">
        <v>3</v>
      </c>
      <c r="D1092">
        <v>16</v>
      </c>
      <c r="E1092" s="3">
        <f t="shared" si="16"/>
        <v>13</v>
      </c>
    </row>
    <row r="1093" spans="1:5" x14ac:dyDescent="0.2">
      <c r="A1093">
        <v>2</v>
      </c>
      <c r="B1093" t="s">
        <v>485</v>
      </c>
      <c r="C1093">
        <v>1</v>
      </c>
      <c r="D1093">
        <v>12</v>
      </c>
      <c r="E1093" s="3">
        <f t="shared" si="16"/>
        <v>13</v>
      </c>
    </row>
    <row r="1094" spans="1:5" x14ac:dyDescent="0.2">
      <c r="A1094">
        <v>3</v>
      </c>
      <c r="B1094" t="s">
        <v>550</v>
      </c>
      <c r="C1094">
        <v>0</v>
      </c>
      <c r="D1094">
        <v>8</v>
      </c>
      <c r="E1094" s="3">
        <f t="shared" si="16"/>
        <v>13</v>
      </c>
    </row>
    <row r="1095" spans="1:5" x14ac:dyDescent="0.2">
      <c r="A1095">
        <v>4</v>
      </c>
      <c r="B1095" t="s">
        <v>40</v>
      </c>
      <c r="C1095">
        <v>1</v>
      </c>
      <c r="D1095">
        <v>4</v>
      </c>
      <c r="E1095" s="3">
        <f t="shared" si="16"/>
        <v>13</v>
      </c>
    </row>
    <row r="1096" spans="1:5" x14ac:dyDescent="0.2">
      <c r="A1096">
        <v>5</v>
      </c>
      <c r="B1096" t="s">
        <v>519</v>
      </c>
      <c r="C1096">
        <v>0</v>
      </c>
      <c r="D1096">
        <v>2</v>
      </c>
      <c r="E1096" s="3">
        <f t="shared" si="16"/>
        <v>13</v>
      </c>
    </row>
    <row r="1097" spans="1:5" x14ac:dyDescent="0.2">
      <c r="A1097">
        <v>6</v>
      </c>
      <c r="B1097" t="s">
        <v>506</v>
      </c>
      <c r="C1097">
        <v>0</v>
      </c>
      <c r="D1097">
        <v>1</v>
      </c>
      <c r="E1097" s="3">
        <f t="shared" si="16"/>
        <v>13</v>
      </c>
    </row>
    <row r="1098" spans="1:5" x14ac:dyDescent="0.2">
      <c r="A1098">
        <v>7</v>
      </c>
      <c r="B1098" s="2" t="s">
        <v>10</v>
      </c>
      <c r="C1098" s="2" t="s">
        <v>10</v>
      </c>
      <c r="D1098" s="2" t="s">
        <v>10</v>
      </c>
      <c r="E1098" s="3">
        <f t="shared" si="16"/>
        <v>13</v>
      </c>
    </row>
    <row r="1099" spans="1:5" x14ac:dyDescent="0.2">
      <c r="A1099">
        <v>8</v>
      </c>
      <c r="B1099" s="2" t="s">
        <v>10</v>
      </c>
      <c r="C1099" s="2" t="s">
        <v>10</v>
      </c>
      <c r="D1099" s="2" t="s">
        <v>10</v>
      </c>
      <c r="E1099" s="3">
        <f t="shared" si="16"/>
        <v>13</v>
      </c>
    </row>
    <row r="1100" spans="1:5" x14ac:dyDescent="0.2">
      <c r="A1100" s="1" t="s">
        <v>24</v>
      </c>
      <c r="E1100" s="3">
        <f t="shared" si="16"/>
        <v>13</v>
      </c>
    </row>
    <row r="1101" spans="1:5" x14ac:dyDescent="0.2">
      <c r="A1101" s="1" t="s">
        <v>1</v>
      </c>
      <c r="B1101" s="1" t="s">
        <v>2</v>
      </c>
      <c r="C1101" s="1" t="s">
        <v>3</v>
      </c>
      <c r="D1101" s="1" t="s">
        <v>4</v>
      </c>
      <c r="E1101" s="3">
        <f t="shared" si="16"/>
        <v>13</v>
      </c>
    </row>
    <row r="1102" spans="1:5" x14ac:dyDescent="0.2">
      <c r="A1102">
        <v>1</v>
      </c>
      <c r="B1102" t="s">
        <v>504</v>
      </c>
      <c r="C1102">
        <v>3</v>
      </c>
      <c r="D1102">
        <v>16</v>
      </c>
      <c r="E1102" s="3">
        <f t="shared" si="16"/>
        <v>13</v>
      </c>
    </row>
    <row r="1103" spans="1:5" x14ac:dyDescent="0.2">
      <c r="A1103">
        <v>2</v>
      </c>
      <c r="B1103" t="s">
        <v>25</v>
      </c>
      <c r="C1103">
        <v>1</v>
      </c>
      <c r="D1103">
        <v>12</v>
      </c>
      <c r="E1103" s="3">
        <f t="shared" si="16"/>
        <v>13</v>
      </c>
    </row>
    <row r="1104" spans="1:5" x14ac:dyDescent="0.2">
      <c r="A1104">
        <v>3</v>
      </c>
      <c r="B1104" t="s">
        <v>69</v>
      </c>
      <c r="C1104">
        <v>1</v>
      </c>
      <c r="D1104">
        <v>8</v>
      </c>
      <c r="E1104" s="3">
        <f t="shared" si="16"/>
        <v>13</v>
      </c>
    </row>
    <row r="1105" spans="1:5" x14ac:dyDescent="0.2">
      <c r="A1105">
        <v>4</v>
      </c>
      <c r="B1105" t="s">
        <v>521</v>
      </c>
      <c r="C1105">
        <v>0</v>
      </c>
      <c r="D1105">
        <v>4</v>
      </c>
      <c r="E1105" s="3">
        <f t="shared" si="16"/>
        <v>13</v>
      </c>
    </row>
    <row r="1106" spans="1:5" x14ac:dyDescent="0.2">
      <c r="A1106">
        <v>5</v>
      </c>
      <c r="B1106" t="s">
        <v>27</v>
      </c>
      <c r="C1106">
        <v>0</v>
      </c>
      <c r="D1106">
        <v>2</v>
      </c>
      <c r="E1106" s="3">
        <f t="shared" si="16"/>
        <v>13</v>
      </c>
    </row>
    <row r="1107" spans="1:5" x14ac:dyDescent="0.2">
      <c r="A1107">
        <v>6</v>
      </c>
      <c r="B1107" t="s">
        <v>512</v>
      </c>
      <c r="C1107">
        <v>0</v>
      </c>
      <c r="D1107">
        <v>1</v>
      </c>
      <c r="E1107" s="3">
        <f t="shared" si="16"/>
        <v>13</v>
      </c>
    </row>
    <row r="1108" spans="1:5" x14ac:dyDescent="0.2">
      <c r="A1108">
        <v>7</v>
      </c>
      <c r="B1108" s="2" t="s">
        <v>10</v>
      </c>
      <c r="C1108" s="2" t="s">
        <v>10</v>
      </c>
      <c r="D1108" s="2" t="s">
        <v>10</v>
      </c>
      <c r="E1108" s="3">
        <f t="shared" si="16"/>
        <v>13</v>
      </c>
    </row>
    <row r="1109" spans="1:5" x14ac:dyDescent="0.2">
      <c r="A1109">
        <v>8</v>
      </c>
      <c r="B1109" s="2" t="s">
        <v>10</v>
      </c>
      <c r="C1109" s="2" t="s">
        <v>10</v>
      </c>
      <c r="D1109" s="2" t="s">
        <v>10</v>
      </c>
      <c r="E1109" s="3">
        <f t="shared" si="16"/>
        <v>13</v>
      </c>
    </row>
    <row r="1110" spans="1:5" x14ac:dyDescent="0.2">
      <c r="A1110" s="1" t="s">
        <v>30</v>
      </c>
      <c r="E1110" s="3">
        <f t="shared" si="16"/>
        <v>13</v>
      </c>
    </row>
    <row r="1111" spans="1:5" x14ac:dyDescent="0.2">
      <c r="A1111" s="1" t="s">
        <v>1</v>
      </c>
      <c r="B1111" s="1" t="s">
        <v>2</v>
      </c>
      <c r="C1111" s="1" t="s">
        <v>3</v>
      </c>
      <c r="D1111" s="1" t="s">
        <v>4</v>
      </c>
      <c r="E1111" s="3">
        <f t="shared" si="16"/>
        <v>13</v>
      </c>
    </row>
    <row r="1112" spans="1:5" x14ac:dyDescent="0.2">
      <c r="A1112">
        <v>1</v>
      </c>
      <c r="B1112" t="s">
        <v>42</v>
      </c>
      <c r="C1112">
        <v>3</v>
      </c>
      <c r="D1112">
        <v>17</v>
      </c>
      <c r="E1112" s="3">
        <f t="shared" si="16"/>
        <v>13</v>
      </c>
    </row>
    <row r="1113" spans="1:5" x14ac:dyDescent="0.2">
      <c r="A1113">
        <v>2</v>
      </c>
      <c r="B1113" t="s">
        <v>19</v>
      </c>
      <c r="C1113">
        <v>0</v>
      </c>
      <c r="D1113">
        <v>13</v>
      </c>
      <c r="E1113" s="3">
        <f t="shared" si="16"/>
        <v>13</v>
      </c>
    </row>
    <row r="1114" spans="1:5" x14ac:dyDescent="0.2">
      <c r="A1114">
        <v>3</v>
      </c>
      <c r="B1114" t="s">
        <v>493</v>
      </c>
      <c r="C1114">
        <v>3</v>
      </c>
      <c r="D1114">
        <v>9</v>
      </c>
      <c r="E1114" s="3">
        <f t="shared" si="16"/>
        <v>13</v>
      </c>
    </row>
    <row r="1115" spans="1:5" x14ac:dyDescent="0.2">
      <c r="A1115">
        <v>4</v>
      </c>
      <c r="B1115" t="s">
        <v>21</v>
      </c>
      <c r="C1115">
        <v>0</v>
      </c>
      <c r="D1115">
        <v>5</v>
      </c>
      <c r="E1115" s="3">
        <f t="shared" si="16"/>
        <v>13</v>
      </c>
    </row>
    <row r="1116" spans="1:5" x14ac:dyDescent="0.2">
      <c r="A1116">
        <v>5</v>
      </c>
      <c r="B1116" t="s">
        <v>462</v>
      </c>
      <c r="C1116">
        <v>0</v>
      </c>
      <c r="D1116">
        <v>3</v>
      </c>
      <c r="E1116" s="3">
        <f t="shared" si="16"/>
        <v>13</v>
      </c>
    </row>
    <row r="1117" spans="1:5" x14ac:dyDescent="0.2">
      <c r="A1117">
        <v>6</v>
      </c>
      <c r="B1117" t="s">
        <v>525</v>
      </c>
      <c r="C1117">
        <v>0</v>
      </c>
      <c r="D1117">
        <v>2</v>
      </c>
      <c r="E1117" s="3">
        <f t="shared" si="16"/>
        <v>13</v>
      </c>
    </row>
    <row r="1118" spans="1:5" x14ac:dyDescent="0.2">
      <c r="A1118">
        <v>7</v>
      </c>
      <c r="B1118" t="s">
        <v>59</v>
      </c>
      <c r="C1118">
        <v>0</v>
      </c>
      <c r="D1118">
        <v>1</v>
      </c>
      <c r="E1118" s="3">
        <f t="shared" si="16"/>
        <v>13</v>
      </c>
    </row>
    <row r="1119" spans="1:5" x14ac:dyDescent="0.2">
      <c r="A1119">
        <v>8</v>
      </c>
      <c r="B1119" s="2" t="s">
        <v>10</v>
      </c>
      <c r="C1119" s="2" t="s">
        <v>10</v>
      </c>
      <c r="D1119" s="2" t="s">
        <v>10</v>
      </c>
      <c r="E1119" s="3">
        <f t="shared" si="16"/>
        <v>13</v>
      </c>
    </row>
    <row r="1120" spans="1:5" x14ac:dyDescent="0.2">
      <c r="A1120" s="1" t="s">
        <v>37</v>
      </c>
      <c r="E1120" s="3">
        <f t="shared" si="16"/>
        <v>13</v>
      </c>
    </row>
    <row r="1121" spans="1:5" x14ac:dyDescent="0.2">
      <c r="A1121" s="1" t="s">
        <v>1</v>
      </c>
      <c r="B1121" s="1" t="s">
        <v>2</v>
      </c>
      <c r="C1121" s="1" t="s">
        <v>3</v>
      </c>
      <c r="D1121" s="1" t="s">
        <v>4</v>
      </c>
      <c r="E1121" s="3">
        <f t="shared" si="16"/>
        <v>13</v>
      </c>
    </row>
    <row r="1122" spans="1:5" x14ac:dyDescent="0.2">
      <c r="A1122">
        <v>1</v>
      </c>
      <c r="B1122" t="s">
        <v>531</v>
      </c>
      <c r="C1122">
        <v>5</v>
      </c>
      <c r="D1122">
        <v>16</v>
      </c>
      <c r="E1122" s="3">
        <f t="shared" si="16"/>
        <v>13</v>
      </c>
    </row>
    <row r="1123" spans="1:5" x14ac:dyDescent="0.2">
      <c r="A1123">
        <v>2</v>
      </c>
      <c r="B1123" t="s">
        <v>66</v>
      </c>
      <c r="C1123">
        <v>0</v>
      </c>
      <c r="D1123">
        <v>12</v>
      </c>
      <c r="E1123" s="3">
        <f t="shared" ref="E1123:E1186" si="17">IF(A1123=$A$1,E1122+1,E1122)</f>
        <v>13</v>
      </c>
    </row>
    <row r="1124" spans="1:5" x14ac:dyDescent="0.2">
      <c r="A1124">
        <v>3</v>
      </c>
      <c r="B1124" t="s">
        <v>65</v>
      </c>
      <c r="C1124">
        <v>0</v>
      </c>
      <c r="D1124">
        <v>8</v>
      </c>
      <c r="E1124" s="3">
        <f t="shared" si="17"/>
        <v>13</v>
      </c>
    </row>
    <row r="1125" spans="1:5" x14ac:dyDescent="0.2">
      <c r="A1125">
        <v>4</v>
      </c>
      <c r="B1125" t="s">
        <v>14</v>
      </c>
      <c r="C1125">
        <v>0</v>
      </c>
      <c r="D1125">
        <v>4</v>
      </c>
      <c r="E1125" s="3">
        <f t="shared" si="17"/>
        <v>13</v>
      </c>
    </row>
    <row r="1126" spans="1:5" x14ac:dyDescent="0.2">
      <c r="A1126">
        <v>5</v>
      </c>
      <c r="B1126" t="s">
        <v>73</v>
      </c>
      <c r="C1126">
        <v>0</v>
      </c>
      <c r="D1126">
        <v>2</v>
      </c>
      <c r="E1126" s="3">
        <f t="shared" si="17"/>
        <v>13</v>
      </c>
    </row>
    <row r="1127" spans="1:5" x14ac:dyDescent="0.2">
      <c r="A1127">
        <v>6</v>
      </c>
      <c r="B1127" t="s">
        <v>76</v>
      </c>
      <c r="C1127">
        <v>0</v>
      </c>
      <c r="D1127">
        <v>1</v>
      </c>
      <c r="E1127" s="3">
        <f t="shared" si="17"/>
        <v>13</v>
      </c>
    </row>
    <row r="1128" spans="1:5" x14ac:dyDescent="0.2">
      <c r="A1128">
        <v>7</v>
      </c>
      <c r="B1128" s="2" t="s">
        <v>10</v>
      </c>
      <c r="C1128" s="2" t="s">
        <v>10</v>
      </c>
      <c r="D1128" s="2" t="s">
        <v>10</v>
      </c>
      <c r="E1128" s="3">
        <f t="shared" si="17"/>
        <v>13</v>
      </c>
    </row>
    <row r="1129" spans="1:5" x14ac:dyDescent="0.2">
      <c r="A1129">
        <v>8</v>
      </c>
      <c r="B1129" s="2" t="s">
        <v>10</v>
      </c>
      <c r="C1129" s="2" t="s">
        <v>10</v>
      </c>
      <c r="D1129" s="2" t="s">
        <v>10</v>
      </c>
      <c r="E1129" s="3">
        <f t="shared" si="17"/>
        <v>13</v>
      </c>
    </row>
    <row r="1130" spans="1:5" x14ac:dyDescent="0.2">
      <c r="A1130" s="1" t="s">
        <v>44</v>
      </c>
      <c r="E1130" s="3">
        <f t="shared" si="17"/>
        <v>13</v>
      </c>
    </row>
    <row r="1131" spans="1:5" x14ac:dyDescent="0.2">
      <c r="A1131" s="1" t="s">
        <v>1</v>
      </c>
      <c r="B1131" s="1" t="s">
        <v>2</v>
      </c>
      <c r="C1131" s="1" t="s">
        <v>3</v>
      </c>
      <c r="D1131" s="1" t="s">
        <v>4</v>
      </c>
      <c r="E1131" s="3">
        <f t="shared" si="17"/>
        <v>13</v>
      </c>
    </row>
    <row r="1132" spans="1:5" x14ac:dyDescent="0.2">
      <c r="A1132">
        <v>1</v>
      </c>
      <c r="B1132" t="s">
        <v>505</v>
      </c>
      <c r="C1132">
        <v>1</v>
      </c>
      <c r="D1132">
        <v>17</v>
      </c>
      <c r="E1132" s="3">
        <f t="shared" si="17"/>
        <v>13</v>
      </c>
    </row>
    <row r="1133" spans="1:5" x14ac:dyDescent="0.2">
      <c r="A1133">
        <v>2</v>
      </c>
      <c r="B1133" t="s">
        <v>530</v>
      </c>
      <c r="C1133">
        <v>1</v>
      </c>
      <c r="D1133">
        <v>13</v>
      </c>
      <c r="E1133" s="3">
        <f t="shared" si="17"/>
        <v>13</v>
      </c>
    </row>
    <row r="1134" spans="1:5" x14ac:dyDescent="0.2">
      <c r="A1134">
        <v>3</v>
      </c>
      <c r="B1134" t="s">
        <v>280</v>
      </c>
      <c r="C1134">
        <v>3</v>
      </c>
      <c r="D1134">
        <v>9</v>
      </c>
      <c r="E1134" s="3">
        <f t="shared" si="17"/>
        <v>13</v>
      </c>
    </row>
    <row r="1135" spans="1:5" x14ac:dyDescent="0.2">
      <c r="A1135">
        <v>4</v>
      </c>
      <c r="B1135" t="s">
        <v>461</v>
      </c>
      <c r="C1135">
        <v>0</v>
      </c>
      <c r="D1135">
        <v>5</v>
      </c>
      <c r="E1135" s="3">
        <f t="shared" si="17"/>
        <v>13</v>
      </c>
    </row>
    <row r="1136" spans="1:5" x14ac:dyDescent="0.2">
      <c r="A1136">
        <v>5</v>
      </c>
      <c r="B1136" t="s">
        <v>503</v>
      </c>
      <c r="C1136">
        <v>1</v>
      </c>
      <c r="D1136">
        <v>3</v>
      </c>
      <c r="E1136" s="3">
        <f t="shared" si="17"/>
        <v>13</v>
      </c>
    </row>
    <row r="1137" spans="1:5" x14ac:dyDescent="0.2">
      <c r="A1137">
        <v>6</v>
      </c>
      <c r="B1137" t="s">
        <v>6</v>
      </c>
      <c r="C1137">
        <v>0</v>
      </c>
      <c r="D1137">
        <v>2</v>
      </c>
      <c r="E1137" s="3">
        <f t="shared" si="17"/>
        <v>13</v>
      </c>
    </row>
    <row r="1138" spans="1:5" x14ac:dyDescent="0.2">
      <c r="A1138">
        <v>7</v>
      </c>
      <c r="B1138" t="s">
        <v>509</v>
      </c>
      <c r="C1138">
        <v>0</v>
      </c>
      <c r="D1138">
        <v>1</v>
      </c>
      <c r="E1138" s="3">
        <f t="shared" si="17"/>
        <v>13</v>
      </c>
    </row>
    <row r="1139" spans="1:5" x14ac:dyDescent="0.2">
      <c r="A1139">
        <v>8</v>
      </c>
      <c r="B1139" s="2" t="s">
        <v>10</v>
      </c>
      <c r="C1139" s="2" t="s">
        <v>10</v>
      </c>
      <c r="D1139" s="2" t="s">
        <v>10</v>
      </c>
      <c r="E1139" s="3">
        <f t="shared" si="17"/>
        <v>13</v>
      </c>
    </row>
    <row r="1140" spans="1:5" x14ac:dyDescent="0.2">
      <c r="A1140" s="1" t="s">
        <v>0</v>
      </c>
      <c r="E1140" s="3">
        <f t="shared" si="17"/>
        <v>14</v>
      </c>
    </row>
    <row r="1141" spans="1:5" x14ac:dyDescent="0.2">
      <c r="A1141" s="1" t="s">
        <v>1</v>
      </c>
      <c r="B1141" s="1" t="s">
        <v>2</v>
      </c>
      <c r="C1141" s="1" t="s">
        <v>3</v>
      </c>
      <c r="D1141" s="1" t="s">
        <v>4</v>
      </c>
      <c r="E1141" s="3">
        <f t="shared" si="17"/>
        <v>14</v>
      </c>
    </row>
    <row r="1142" spans="1:5" x14ac:dyDescent="0.2">
      <c r="A1142">
        <v>1</v>
      </c>
      <c r="B1142" t="s">
        <v>345</v>
      </c>
      <c r="C1142">
        <v>4</v>
      </c>
      <c r="D1142">
        <v>16</v>
      </c>
      <c r="E1142" s="3">
        <f t="shared" si="17"/>
        <v>14</v>
      </c>
    </row>
    <row r="1143" spans="1:5" x14ac:dyDescent="0.2">
      <c r="A1143">
        <v>2</v>
      </c>
      <c r="B1143" t="s">
        <v>25</v>
      </c>
      <c r="C1143">
        <v>0</v>
      </c>
      <c r="D1143">
        <v>12</v>
      </c>
      <c r="E1143" s="3">
        <f t="shared" si="17"/>
        <v>14</v>
      </c>
    </row>
    <row r="1144" spans="1:5" x14ac:dyDescent="0.2">
      <c r="A1144">
        <v>3</v>
      </c>
      <c r="B1144" t="s">
        <v>81</v>
      </c>
      <c r="C1144">
        <v>1</v>
      </c>
      <c r="D1144">
        <v>8</v>
      </c>
      <c r="E1144" s="3">
        <f t="shared" si="17"/>
        <v>14</v>
      </c>
    </row>
    <row r="1145" spans="1:5" x14ac:dyDescent="0.2">
      <c r="A1145">
        <v>4</v>
      </c>
      <c r="B1145" t="s">
        <v>75</v>
      </c>
      <c r="C1145">
        <v>0</v>
      </c>
      <c r="D1145">
        <v>4</v>
      </c>
      <c r="E1145" s="3">
        <f t="shared" si="17"/>
        <v>14</v>
      </c>
    </row>
    <row r="1146" spans="1:5" x14ac:dyDescent="0.2">
      <c r="A1146">
        <v>5</v>
      </c>
      <c r="B1146" t="s">
        <v>87</v>
      </c>
      <c r="C1146">
        <v>0</v>
      </c>
      <c r="D1146">
        <v>2</v>
      </c>
      <c r="E1146" s="3">
        <f t="shared" si="17"/>
        <v>14</v>
      </c>
    </row>
    <row r="1147" spans="1:5" x14ac:dyDescent="0.2">
      <c r="A1147">
        <v>6</v>
      </c>
      <c r="B1147" t="s">
        <v>40</v>
      </c>
      <c r="C1147">
        <v>0</v>
      </c>
      <c r="D1147">
        <v>1</v>
      </c>
      <c r="E1147" s="3">
        <f t="shared" si="17"/>
        <v>14</v>
      </c>
    </row>
    <row r="1148" spans="1:5" x14ac:dyDescent="0.2">
      <c r="A1148">
        <v>7</v>
      </c>
      <c r="B1148" s="2" t="s">
        <v>10</v>
      </c>
      <c r="C1148" s="2" t="s">
        <v>10</v>
      </c>
      <c r="D1148" s="2" t="s">
        <v>10</v>
      </c>
      <c r="E1148" s="3">
        <f t="shared" si="17"/>
        <v>14</v>
      </c>
    </row>
    <row r="1149" spans="1:5" x14ac:dyDescent="0.2">
      <c r="A1149">
        <v>8</v>
      </c>
      <c r="B1149" s="2" t="s">
        <v>10</v>
      </c>
      <c r="C1149" s="2" t="s">
        <v>10</v>
      </c>
      <c r="D1149" s="2" t="s">
        <v>10</v>
      </c>
      <c r="E1149" s="3">
        <f t="shared" si="17"/>
        <v>14</v>
      </c>
    </row>
    <row r="1150" spans="1:5" x14ac:dyDescent="0.2">
      <c r="A1150" s="1" t="s">
        <v>11</v>
      </c>
      <c r="E1150" s="3">
        <f t="shared" si="17"/>
        <v>14</v>
      </c>
    </row>
    <row r="1151" spans="1:5" x14ac:dyDescent="0.2">
      <c r="A1151" s="1" t="s">
        <v>1</v>
      </c>
      <c r="B1151" s="1" t="s">
        <v>2</v>
      </c>
      <c r="C1151" s="1" t="s">
        <v>3</v>
      </c>
      <c r="D1151" s="1" t="s">
        <v>4</v>
      </c>
      <c r="E1151" s="3">
        <f t="shared" si="17"/>
        <v>14</v>
      </c>
    </row>
    <row r="1152" spans="1:5" x14ac:dyDescent="0.2">
      <c r="A1152">
        <v>1</v>
      </c>
      <c r="B1152" t="s">
        <v>73</v>
      </c>
      <c r="C1152">
        <v>4</v>
      </c>
      <c r="D1152">
        <v>16</v>
      </c>
      <c r="E1152" s="3">
        <f t="shared" si="17"/>
        <v>14</v>
      </c>
    </row>
    <row r="1153" spans="1:5" x14ac:dyDescent="0.2">
      <c r="A1153">
        <v>2</v>
      </c>
      <c r="B1153" t="s">
        <v>509</v>
      </c>
      <c r="C1153">
        <v>1</v>
      </c>
      <c r="D1153">
        <v>12</v>
      </c>
      <c r="E1153" s="3">
        <f t="shared" si="17"/>
        <v>14</v>
      </c>
    </row>
    <row r="1154" spans="1:5" x14ac:dyDescent="0.2">
      <c r="A1154">
        <v>3</v>
      </c>
      <c r="B1154" t="s">
        <v>74</v>
      </c>
      <c r="C1154">
        <v>0</v>
      </c>
      <c r="D1154">
        <v>8</v>
      </c>
      <c r="E1154" s="3">
        <f t="shared" si="17"/>
        <v>14</v>
      </c>
    </row>
    <row r="1155" spans="1:5" x14ac:dyDescent="0.2">
      <c r="A1155">
        <v>4</v>
      </c>
      <c r="B1155" t="s">
        <v>532</v>
      </c>
      <c r="C1155">
        <v>0</v>
      </c>
      <c r="D1155">
        <v>4</v>
      </c>
      <c r="E1155" s="3">
        <f t="shared" si="17"/>
        <v>14</v>
      </c>
    </row>
    <row r="1156" spans="1:5" x14ac:dyDescent="0.2">
      <c r="A1156">
        <v>5</v>
      </c>
      <c r="B1156" t="s">
        <v>536</v>
      </c>
      <c r="C1156">
        <v>0</v>
      </c>
      <c r="D1156">
        <v>2</v>
      </c>
      <c r="E1156" s="3">
        <f t="shared" si="17"/>
        <v>14</v>
      </c>
    </row>
    <row r="1157" spans="1:5" x14ac:dyDescent="0.2">
      <c r="A1157">
        <v>6</v>
      </c>
      <c r="B1157" t="s">
        <v>507</v>
      </c>
      <c r="C1157">
        <v>0</v>
      </c>
      <c r="D1157">
        <v>1</v>
      </c>
      <c r="E1157" s="3">
        <f t="shared" si="17"/>
        <v>14</v>
      </c>
    </row>
    <row r="1158" spans="1:5" x14ac:dyDescent="0.2">
      <c r="A1158">
        <v>7</v>
      </c>
      <c r="B1158" s="2" t="s">
        <v>10</v>
      </c>
      <c r="C1158" s="2" t="s">
        <v>10</v>
      </c>
      <c r="D1158" s="2" t="s">
        <v>10</v>
      </c>
      <c r="E1158" s="3">
        <f t="shared" si="17"/>
        <v>14</v>
      </c>
    </row>
    <row r="1159" spans="1:5" x14ac:dyDescent="0.2">
      <c r="A1159">
        <v>8</v>
      </c>
      <c r="B1159" s="2" t="s">
        <v>10</v>
      </c>
      <c r="C1159" s="2" t="s">
        <v>10</v>
      </c>
      <c r="D1159" s="2" t="s">
        <v>10</v>
      </c>
      <c r="E1159" s="3">
        <f t="shared" si="17"/>
        <v>14</v>
      </c>
    </row>
    <row r="1160" spans="1:5" x14ac:dyDescent="0.2">
      <c r="A1160" s="1" t="s">
        <v>17</v>
      </c>
      <c r="E1160" s="3">
        <f t="shared" si="17"/>
        <v>14</v>
      </c>
    </row>
    <row r="1161" spans="1:5" x14ac:dyDescent="0.2">
      <c r="A1161" s="1" t="s">
        <v>1</v>
      </c>
      <c r="B1161" s="1" t="s">
        <v>2</v>
      </c>
      <c r="C1161" s="1" t="s">
        <v>3</v>
      </c>
      <c r="D1161" s="1" t="s">
        <v>4</v>
      </c>
      <c r="E1161" s="3">
        <f t="shared" si="17"/>
        <v>14</v>
      </c>
    </row>
    <row r="1162" spans="1:5" x14ac:dyDescent="0.2">
      <c r="A1162">
        <v>1</v>
      </c>
      <c r="B1162" t="s">
        <v>69</v>
      </c>
      <c r="C1162">
        <v>2</v>
      </c>
      <c r="D1162">
        <v>17</v>
      </c>
      <c r="E1162" s="3">
        <f t="shared" si="17"/>
        <v>14</v>
      </c>
    </row>
    <row r="1163" spans="1:5" x14ac:dyDescent="0.2">
      <c r="A1163">
        <v>2</v>
      </c>
      <c r="B1163" t="s">
        <v>46</v>
      </c>
      <c r="C1163">
        <v>2</v>
      </c>
      <c r="D1163">
        <v>13</v>
      </c>
      <c r="E1163" s="3">
        <f t="shared" si="17"/>
        <v>14</v>
      </c>
    </row>
    <row r="1164" spans="1:5" x14ac:dyDescent="0.2">
      <c r="A1164">
        <v>3</v>
      </c>
      <c r="B1164" t="s">
        <v>500</v>
      </c>
      <c r="C1164">
        <v>1</v>
      </c>
      <c r="D1164">
        <v>9</v>
      </c>
      <c r="E1164" s="3">
        <f t="shared" si="17"/>
        <v>14</v>
      </c>
    </row>
    <row r="1165" spans="1:5" x14ac:dyDescent="0.2">
      <c r="A1165">
        <v>4</v>
      </c>
      <c r="B1165" t="s">
        <v>508</v>
      </c>
      <c r="C1165">
        <v>0</v>
      </c>
      <c r="D1165">
        <v>5</v>
      </c>
      <c r="E1165" s="3">
        <f t="shared" si="17"/>
        <v>14</v>
      </c>
    </row>
    <row r="1166" spans="1:5" x14ac:dyDescent="0.2">
      <c r="A1166">
        <v>5</v>
      </c>
      <c r="B1166" t="s">
        <v>476</v>
      </c>
      <c r="C1166">
        <v>1</v>
      </c>
      <c r="D1166">
        <v>3</v>
      </c>
      <c r="E1166" s="3">
        <f t="shared" si="17"/>
        <v>14</v>
      </c>
    </row>
    <row r="1167" spans="1:5" x14ac:dyDescent="0.2">
      <c r="A1167">
        <v>6</v>
      </c>
      <c r="B1167" t="s">
        <v>55</v>
      </c>
      <c r="C1167">
        <v>0</v>
      </c>
      <c r="D1167">
        <v>2</v>
      </c>
      <c r="E1167" s="3">
        <f t="shared" si="17"/>
        <v>14</v>
      </c>
    </row>
    <row r="1168" spans="1:5" x14ac:dyDescent="0.2">
      <c r="A1168">
        <v>7</v>
      </c>
      <c r="B1168" t="s">
        <v>65</v>
      </c>
      <c r="C1168">
        <v>0</v>
      </c>
      <c r="D1168">
        <v>1</v>
      </c>
      <c r="E1168" s="3">
        <f t="shared" si="17"/>
        <v>14</v>
      </c>
    </row>
    <row r="1169" spans="1:5" x14ac:dyDescent="0.2">
      <c r="A1169">
        <v>8</v>
      </c>
      <c r="B1169" s="2" t="s">
        <v>10</v>
      </c>
      <c r="C1169" s="2" t="s">
        <v>10</v>
      </c>
      <c r="D1169" s="2" t="s">
        <v>10</v>
      </c>
      <c r="E1169" s="3">
        <f t="shared" si="17"/>
        <v>14</v>
      </c>
    </row>
    <row r="1170" spans="1:5" x14ac:dyDescent="0.2">
      <c r="A1170" s="1" t="s">
        <v>24</v>
      </c>
      <c r="E1170" s="3">
        <f t="shared" si="17"/>
        <v>14</v>
      </c>
    </row>
    <row r="1171" spans="1:5" x14ac:dyDescent="0.2">
      <c r="A1171" s="1" t="s">
        <v>1</v>
      </c>
      <c r="B1171" s="1" t="s">
        <v>2</v>
      </c>
      <c r="C1171" s="1" t="s">
        <v>3</v>
      </c>
      <c r="D1171" s="1" t="s">
        <v>4</v>
      </c>
      <c r="E1171" s="3">
        <f t="shared" si="17"/>
        <v>14</v>
      </c>
    </row>
    <row r="1172" spans="1:5" x14ac:dyDescent="0.2">
      <c r="A1172">
        <v>1</v>
      </c>
      <c r="B1172" t="s">
        <v>32</v>
      </c>
      <c r="C1172">
        <v>4</v>
      </c>
      <c r="D1172">
        <v>16</v>
      </c>
      <c r="E1172" s="3">
        <f t="shared" si="17"/>
        <v>14</v>
      </c>
    </row>
    <row r="1173" spans="1:5" x14ac:dyDescent="0.2">
      <c r="A1173">
        <v>2</v>
      </c>
      <c r="B1173" t="s">
        <v>534</v>
      </c>
      <c r="C1173">
        <v>1</v>
      </c>
      <c r="D1173">
        <v>12</v>
      </c>
      <c r="E1173" s="3">
        <f t="shared" si="17"/>
        <v>14</v>
      </c>
    </row>
    <row r="1174" spans="1:5" x14ac:dyDescent="0.2">
      <c r="A1174">
        <v>3</v>
      </c>
      <c r="B1174" t="s">
        <v>14</v>
      </c>
      <c r="C1174">
        <v>0</v>
      </c>
      <c r="D1174">
        <v>8</v>
      </c>
      <c r="E1174" s="3">
        <f t="shared" si="17"/>
        <v>14</v>
      </c>
    </row>
    <row r="1175" spans="1:5" x14ac:dyDescent="0.2">
      <c r="A1175">
        <v>4</v>
      </c>
      <c r="B1175" t="s">
        <v>485</v>
      </c>
      <c r="C1175">
        <v>0</v>
      </c>
      <c r="D1175">
        <v>4</v>
      </c>
      <c r="E1175" s="3">
        <f t="shared" si="17"/>
        <v>14</v>
      </c>
    </row>
    <row r="1176" spans="1:5" x14ac:dyDescent="0.2">
      <c r="A1176">
        <v>5</v>
      </c>
      <c r="B1176" t="s">
        <v>521</v>
      </c>
      <c r="C1176">
        <v>0</v>
      </c>
      <c r="D1176">
        <v>2</v>
      </c>
      <c r="E1176" s="3">
        <f t="shared" si="17"/>
        <v>14</v>
      </c>
    </row>
    <row r="1177" spans="1:5" x14ac:dyDescent="0.2">
      <c r="A1177">
        <v>6</v>
      </c>
      <c r="B1177" t="s">
        <v>535</v>
      </c>
      <c r="C1177">
        <v>0</v>
      </c>
      <c r="D1177">
        <v>1</v>
      </c>
      <c r="E1177" s="3">
        <f t="shared" si="17"/>
        <v>14</v>
      </c>
    </row>
    <row r="1178" spans="1:5" x14ac:dyDescent="0.2">
      <c r="A1178">
        <v>7</v>
      </c>
      <c r="B1178" s="2" t="s">
        <v>10</v>
      </c>
      <c r="C1178" s="2" t="s">
        <v>10</v>
      </c>
      <c r="D1178" s="2" t="s">
        <v>10</v>
      </c>
      <c r="E1178" s="3">
        <f t="shared" si="17"/>
        <v>14</v>
      </c>
    </row>
    <row r="1179" spans="1:5" x14ac:dyDescent="0.2">
      <c r="A1179">
        <v>8</v>
      </c>
      <c r="B1179" s="2" t="s">
        <v>10</v>
      </c>
      <c r="C1179" s="2" t="s">
        <v>10</v>
      </c>
      <c r="D1179" s="2" t="s">
        <v>10</v>
      </c>
      <c r="E1179" s="3">
        <f t="shared" si="17"/>
        <v>14</v>
      </c>
    </row>
    <row r="1180" spans="1:5" x14ac:dyDescent="0.2">
      <c r="A1180" s="1" t="s">
        <v>30</v>
      </c>
      <c r="E1180" s="3">
        <f t="shared" si="17"/>
        <v>14</v>
      </c>
    </row>
    <row r="1181" spans="1:5" x14ac:dyDescent="0.2">
      <c r="A1181" s="1" t="s">
        <v>1</v>
      </c>
      <c r="B1181" s="1" t="s">
        <v>2</v>
      </c>
      <c r="C1181" s="1" t="s">
        <v>3</v>
      </c>
      <c r="D1181" s="1" t="s">
        <v>4</v>
      </c>
      <c r="E1181" s="3">
        <f t="shared" si="17"/>
        <v>14</v>
      </c>
    </row>
    <row r="1182" spans="1:5" x14ac:dyDescent="0.2">
      <c r="A1182">
        <v>1</v>
      </c>
      <c r="B1182" t="s">
        <v>9</v>
      </c>
      <c r="C1182">
        <v>4</v>
      </c>
      <c r="D1182">
        <v>17</v>
      </c>
      <c r="E1182" s="3">
        <f t="shared" si="17"/>
        <v>14</v>
      </c>
    </row>
    <row r="1183" spans="1:5" x14ac:dyDescent="0.2">
      <c r="A1183">
        <v>2</v>
      </c>
      <c r="B1183" t="s">
        <v>101</v>
      </c>
      <c r="C1183">
        <v>0</v>
      </c>
      <c r="D1183">
        <v>13</v>
      </c>
      <c r="E1183" s="3">
        <f t="shared" si="17"/>
        <v>14</v>
      </c>
    </row>
    <row r="1184" spans="1:5" x14ac:dyDescent="0.2">
      <c r="A1184">
        <v>3</v>
      </c>
      <c r="B1184" t="s">
        <v>493</v>
      </c>
      <c r="C1184">
        <v>2</v>
      </c>
      <c r="D1184">
        <v>9</v>
      </c>
      <c r="E1184" s="3">
        <f t="shared" si="17"/>
        <v>14</v>
      </c>
    </row>
    <row r="1185" spans="1:5" x14ac:dyDescent="0.2">
      <c r="A1185">
        <v>4</v>
      </c>
      <c r="B1185" t="s">
        <v>490</v>
      </c>
      <c r="C1185">
        <v>0</v>
      </c>
      <c r="D1185">
        <v>5</v>
      </c>
      <c r="E1185" s="3">
        <f t="shared" si="17"/>
        <v>14</v>
      </c>
    </row>
    <row r="1186" spans="1:5" x14ac:dyDescent="0.2">
      <c r="A1186">
        <v>5</v>
      </c>
      <c r="B1186" t="s">
        <v>505</v>
      </c>
      <c r="C1186">
        <v>0</v>
      </c>
      <c r="D1186">
        <v>3</v>
      </c>
      <c r="E1186" s="3">
        <f t="shared" si="17"/>
        <v>14</v>
      </c>
    </row>
    <row r="1187" spans="1:5" x14ac:dyDescent="0.2">
      <c r="A1187">
        <v>6</v>
      </c>
      <c r="B1187" t="s">
        <v>530</v>
      </c>
      <c r="C1187">
        <v>0</v>
      </c>
      <c r="D1187">
        <v>2</v>
      </c>
      <c r="E1187" s="3">
        <f t="shared" ref="E1187:E1250" si="18">IF(A1187=$A$1,E1186+1,E1186)</f>
        <v>14</v>
      </c>
    </row>
    <row r="1188" spans="1:5" x14ac:dyDescent="0.2">
      <c r="A1188">
        <v>7</v>
      </c>
      <c r="B1188" t="s">
        <v>15</v>
      </c>
      <c r="C1188">
        <v>0</v>
      </c>
      <c r="D1188">
        <v>1</v>
      </c>
      <c r="E1188" s="3">
        <f t="shared" si="18"/>
        <v>14</v>
      </c>
    </row>
    <row r="1189" spans="1:5" x14ac:dyDescent="0.2">
      <c r="A1189">
        <v>8</v>
      </c>
      <c r="B1189" s="2" t="s">
        <v>10</v>
      </c>
      <c r="C1189" s="2" t="s">
        <v>10</v>
      </c>
      <c r="D1189" s="2" t="s">
        <v>10</v>
      </c>
      <c r="E1189" s="3">
        <f t="shared" si="18"/>
        <v>14</v>
      </c>
    </row>
    <row r="1190" spans="1:5" x14ac:dyDescent="0.2">
      <c r="A1190" s="1" t="s">
        <v>37</v>
      </c>
      <c r="E1190" s="3">
        <f t="shared" si="18"/>
        <v>14</v>
      </c>
    </row>
    <row r="1191" spans="1:5" x14ac:dyDescent="0.2">
      <c r="A1191" s="1" t="s">
        <v>1</v>
      </c>
      <c r="B1191" s="1" t="s">
        <v>2</v>
      </c>
      <c r="C1191" s="1" t="s">
        <v>3</v>
      </c>
      <c r="D1191" s="1" t="s">
        <v>4</v>
      </c>
      <c r="E1191" s="3">
        <f t="shared" si="18"/>
        <v>14</v>
      </c>
    </row>
    <row r="1192" spans="1:5" x14ac:dyDescent="0.2">
      <c r="A1192">
        <v>1</v>
      </c>
      <c r="B1192" t="s">
        <v>6</v>
      </c>
      <c r="C1192">
        <v>2</v>
      </c>
      <c r="D1192">
        <v>17</v>
      </c>
      <c r="E1192" s="3">
        <f t="shared" si="18"/>
        <v>14</v>
      </c>
    </row>
    <row r="1193" spans="1:5" x14ac:dyDescent="0.2">
      <c r="A1193">
        <v>2</v>
      </c>
      <c r="B1193" t="s">
        <v>461</v>
      </c>
      <c r="C1193">
        <v>3</v>
      </c>
      <c r="D1193">
        <v>13</v>
      </c>
      <c r="E1193" s="3">
        <f t="shared" si="18"/>
        <v>14</v>
      </c>
    </row>
    <row r="1194" spans="1:5" x14ac:dyDescent="0.2">
      <c r="A1194">
        <v>3</v>
      </c>
      <c r="B1194" t="s">
        <v>42</v>
      </c>
      <c r="C1194">
        <v>0</v>
      </c>
      <c r="D1194">
        <v>9</v>
      </c>
      <c r="E1194" s="3">
        <f t="shared" si="18"/>
        <v>14</v>
      </c>
    </row>
    <row r="1195" spans="1:5" x14ac:dyDescent="0.2">
      <c r="A1195">
        <v>4</v>
      </c>
      <c r="B1195" t="s">
        <v>512</v>
      </c>
      <c r="C1195">
        <v>1</v>
      </c>
      <c r="D1195">
        <v>5</v>
      </c>
      <c r="E1195" s="3">
        <f t="shared" si="18"/>
        <v>14</v>
      </c>
    </row>
    <row r="1196" spans="1:5" x14ac:dyDescent="0.2">
      <c r="A1196">
        <v>5</v>
      </c>
      <c r="B1196" t="s">
        <v>504</v>
      </c>
      <c r="C1196">
        <v>0</v>
      </c>
      <c r="D1196">
        <v>3</v>
      </c>
      <c r="E1196" s="3">
        <f t="shared" si="18"/>
        <v>14</v>
      </c>
    </row>
    <row r="1197" spans="1:5" x14ac:dyDescent="0.2">
      <c r="A1197">
        <v>6</v>
      </c>
      <c r="B1197" t="s">
        <v>503</v>
      </c>
      <c r="C1197">
        <v>0</v>
      </c>
      <c r="D1197">
        <v>2</v>
      </c>
      <c r="E1197" s="3">
        <f t="shared" si="18"/>
        <v>14</v>
      </c>
    </row>
    <row r="1198" spans="1:5" x14ac:dyDescent="0.2">
      <c r="A1198">
        <v>7</v>
      </c>
      <c r="B1198" t="s">
        <v>27</v>
      </c>
      <c r="C1198">
        <v>0</v>
      </c>
      <c r="D1198">
        <v>1</v>
      </c>
      <c r="E1198" s="3">
        <f t="shared" si="18"/>
        <v>14</v>
      </c>
    </row>
    <row r="1199" spans="1:5" x14ac:dyDescent="0.2">
      <c r="A1199">
        <v>8</v>
      </c>
      <c r="B1199" s="2" t="s">
        <v>10</v>
      </c>
      <c r="C1199" s="2" t="s">
        <v>10</v>
      </c>
      <c r="D1199" s="2" t="s">
        <v>10</v>
      </c>
      <c r="E1199" s="3">
        <f t="shared" si="18"/>
        <v>14</v>
      </c>
    </row>
    <row r="1200" spans="1:5" x14ac:dyDescent="0.2">
      <c r="A1200" s="1" t="s">
        <v>44</v>
      </c>
      <c r="E1200" s="3">
        <f t="shared" si="18"/>
        <v>14</v>
      </c>
    </row>
    <row r="1201" spans="1:5" x14ac:dyDescent="0.2">
      <c r="A1201" s="1" t="s">
        <v>1</v>
      </c>
      <c r="B1201" s="1" t="s">
        <v>2</v>
      </c>
      <c r="C1201" s="1" t="s">
        <v>3</v>
      </c>
      <c r="D1201" s="1" t="s">
        <v>4</v>
      </c>
      <c r="E1201" s="3">
        <f t="shared" si="18"/>
        <v>14</v>
      </c>
    </row>
    <row r="1202" spans="1:5" x14ac:dyDescent="0.2">
      <c r="A1202">
        <v>1</v>
      </c>
      <c r="B1202" t="s">
        <v>452</v>
      </c>
      <c r="C1202">
        <v>3</v>
      </c>
      <c r="D1202">
        <v>17</v>
      </c>
      <c r="E1202" s="3">
        <f t="shared" si="18"/>
        <v>14</v>
      </c>
    </row>
    <row r="1203" spans="1:5" x14ac:dyDescent="0.2">
      <c r="A1203">
        <v>2</v>
      </c>
      <c r="B1203" t="s">
        <v>19</v>
      </c>
      <c r="C1203">
        <v>3</v>
      </c>
      <c r="D1203">
        <v>13</v>
      </c>
      <c r="E1203" s="3">
        <f t="shared" si="18"/>
        <v>14</v>
      </c>
    </row>
    <row r="1204" spans="1:5" x14ac:dyDescent="0.2">
      <c r="A1204">
        <v>3</v>
      </c>
      <c r="B1204" t="s">
        <v>35</v>
      </c>
      <c r="C1204">
        <v>0</v>
      </c>
      <c r="D1204">
        <v>9</v>
      </c>
      <c r="E1204" s="3">
        <f t="shared" si="18"/>
        <v>14</v>
      </c>
    </row>
    <row r="1205" spans="1:5" x14ac:dyDescent="0.2">
      <c r="A1205">
        <v>4</v>
      </c>
      <c r="B1205" t="s">
        <v>475</v>
      </c>
      <c r="C1205">
        <v>0</v>
      </c>
      <c r="D1205">
        <v>5</v>
      </c>
      <c r="E1205" s="3">
        <f t="shared" si="18"/>
        <v>14</v>
      </c>
    </row>
    <row r="1206" spans="1:5" x14ac:dyDescent="0.2">
      <c r="A1206">
        <v>5</v>
      </c>
      <c r="B1206" t="s">
        <v>501</v>
      </c>
      <c r="C1206">
        <v>0</v>
      </c>
      <c r="D1206">
        <v>3</v>
      </c>
      <c r="E1206" s="3">
        <f t="shared" si="18"/>
        <v>14</v>
      </c>
    </row>
    <row r="1207" spans="1:5" x14ac:dyDescent="0.2">
      <c r="A1207">
        <v>6</v>
      </c>
      <c r="B1207" t="s">
        <v>76</v>
      </c>
      <c r="C1207">
        <v>0</v>
      </c>
      <c r="D1207">
        <v>2</v>
      </c>
      <c r="E1207" s="3">
        <f t="shared" si="18"/>
        <v>14</v>
      </c>
    </row>
    <row r="1208" spans="1:5" x14ac:dyDescent="0.2">
      <c r="A1208">
        <v>7</v>
      </c>
      <c r="B1208" t="s">
        <v>518</v>
      </c>
      <c r="C1208">
        <v>0</v>
      </c>
      <c r="D1208">
        <v>1</v>
      </c>
      <c r="E1208" s="3">
        <f t="shared" si="18"/>
        <v>14</v>
      </c>
    </row>
    <row r="1209" spans="1:5" x14ac:dyDescent="0.2">
      <c r="A1209">
        <v>8</v>
      </c>
      <c r="B1209" s="2" t="s">
        <v>10</v>
      </c>
      <c r="C1209" s="2" t="s">
        <v>10</v>
      </c>
      <c r="D1209" s="2" t="s">
        <v>10</v>
      </c>
      <c r="E1209" s="3">
        <f t="shared" si="18"/>
        <v>14</v>
      </c>
    </row>
    <row r="1210" spans="1:5" x14ac:dyDescent="0.2">
      <c r="A1210" s="1" t="s">
        <v>0</v>
      </c>
      <c r="E1210" s="3">
        <f t="shared" si="18"/>
        <v>15</v>
      </c>
    </row>
    <row r="1211" spans="1:5" x14ac:dyDescent="0.2">
      <c r="A1211" s="1" t="s">
        <v>1</v>
      </c>
      <c r="B1211" s="1" t="s">
        <v>2</v>
      </c>
      <c r="C1211" s="1" t="s">
        <v>3</v>
      </c>
      <c r="D1211" s="1" t="s">
        <v>4</v>
      </c>
      <c r="E1211" s="3">
        <f t="shared" si="18"/>
        <v>15</v>
      </c>
    </row>
    <row r="1212" spans="1:5" x14ac:dyDescent="0.2">
      <c r="A1212">
        <v>1</v>
      </c>
      <c r="B1212" t="s">
        <v>503</v>
      </c>
      <c r="C1212">
        <v>1</v>
      </c>
      <c r="D1212">
        <v>16</v>
      </c>
      <c r="E1212" s="3">
        <f t="shared" si="18"/>
        <v>15</v>
      </c>
    </row>
    <row r="1213" spans="1:5" x14ac:dyDescent="0.2">
      <c r="A1213">
        <v>2</v>
      </c>
      <c r="B1213" t="s">
        <v>29</v>
      </c>
      <c r="C1213">
        <v>2</v>
      </c>
      <c r="D1213">
        <v>12</v>
      </c>
      <c r="E1213" s="3">
        <f t="shared" si="18"/>
        <v>15</v>
      </c>
    </row>
    <row r="1214" spans="1:5" x14ac:dyDescent="0.2">
      <c r="A1214">
        <v>3</v>
      </c>
      <c r="B1214" t="s">
        <v>32</v>
      </c>
      <c r="C1214">
        <v>1</v>
      </c>
      <c r="D1214">
        <v>8</v>
      </c>
      <c r="E1214" s="3">
        <f t="shared" si="18"/>
        <v>15</v>
      </c>
    </row>
    <row r="1215" spans="1:5" x14ac:dyDescent="0.2">
      <c r="A1215">
        <v>4</v>
      </c>
      <c r="B1215" t="s">
        <v>515</v>
      </c>
      <c r="C1215">
        <v>1</v>
      </c>
      <c r="D1215">
        <v>4</v>
      </c>
      <c r="E1215" s="3">
        <f t="shared" si="18"/>
        <v>15</v>
      </c>
    </row>
    <row r="1216" spans="1:5" x14ac:dyDescent="0.2">
      <c r="A1216">
        <v>5</v>
      </c>
      <c r="B1216" t="s">
        <v>345</v>
      </c>
      <c r="C1216">
        <v>0</v>
      </c>
      <c r="D1216">
        <v>2</v>
      </c>
      <c r="E1216" s="3">
        <f t="shared" si="18"/>
        <v>15</v>
      </c>
    </row>
    <row r="1217" spans="1:5" x14ac:dyDescent="0.2">
      <c r="A1217">
        <v>6</v>
      </c>
      <c r="B1217" t="s">
        <v>33</v>
      </c>
      <c r="C1217">
        <v>0</v>
      </c>
      <c r="D1217">
        <v>1</v>
      </c>
      <c r="E1217" s="3">
        <f t="shared" si="18"/>
        <v>15</v>
      </c>
    </row>
    <row r="1218" spans="1:5" x14ac:dyDescent="0.2">
      <c r="A1218">
        <v>7</v>
      </c>
      <c r="B1218" s="2" t="s">
        <v>10</v>
      </c>
      <c r="C1218" s="2" t="s">
        <v>10</v>
      </c>
      <c r="D1218" s="2" t="s">
        <v>10</v>
      </c>
      <c r="E1218" s="3">
        <f t="shared" si="18"/>
        <v>15</v>
      </c>
    </row>
    <row r="1219" spans="1:5" x14ac:dyDescent="0.2">
      <c r="A1219">
        <v>8</v>
      </c>
      <c r="B1219" s="2" t="s">
        <v>10</v>
      </c>
      <c r="C1219" s="2" t="s">
        <v>10</v>
      </c>
      <c r="D1219" s="2" t="s">
        <v>10</v>
      </c>
      <c r="E1219" s="3">
        <f t="shared" si="18"/>
        <v>15</v>
      </c>
    </row>
    <row r="1220" spans="1:5" x14ac:dyDescent="0.2">
      <c r="A1220" s="1" t="s">
        <v>11</v>
      </c>
      <c r="E1220" s="3">
        <f t="shared" si="18"/>
        <v>15</v>
      </c>
    </row>
    <row r="1221" spans="1:5" x14ac:dyDescent="0.2">
      <c r="A1221" s="1" t="s">
        <v>1</v>
      </c>
      <c r="B1221" s="1" t="s">
        <v>2</v>
      </c>
      <c r="C1221" s="1" t="s">
        <v>3</v>
      </c>
      <c r="D1221" s="1" t="s">
        <v>4</v>
      </c>
      <c r="E1221" s="3">
        <f t="shared" si="18"/>
        <v>15</v>
      </c>
    </row>
    <row r="1222" spans="1:5" x14ac:dyDescent="0.2">
      <c r="A1222">
        <v>1</v>
      </c>
      <c r="B1222" t="s">
        <v>475</v>
      </c>
      <c r="C1222">
        <v>3</v>
      </c>
      <c r="D1222">
        <v>16</v>
      </c>
      <c r="E1222" s="3">
        <f t="shared" si="18"/>
        <v>15</v>
      </c>
    </row>
    <row r="1223" spans="1:5" x14ac:dyDescent="0.2">
      <c r="A1223">
        <v>2</v>
      </c>
      <c r="B1223" t="s">
        <v>69</v>
      </c>
      <c r="C1223">
        <v>2</v>
      </c>
      <c r="D1223">
        <v>12</v>
      </c>
      <c r="E1223" s="3">
        <f t="shared" si="18"/>
        <v>15</v>
      </c>
    </row>
    <row r="1224" spans="1:5" x14ac:dyDescent="0.2">
      <c r="A1224">
        <v>3</v>
      </c>
      <c r="B1224" t="s">
        <v>508</v>
      </c>
      <c r="C1224">
        <v>0</v>
      </c>
      <c r="D1224">
        <v>8</v>
      </c>
      <c r="E1224" s="3">
        <f t="shared" si="18"/>
        <v>15</v>
      </c>
    </row>
    <row r="1225" spans="1:5" x14ac:dyDescent="0.2">
      <c r="A1225">
        <v>4</v>
      </c>
      <c r="B1225" t="s">
        <v>479</v>
      </c>
      <c r="C1225">
        <v>0</v>
      </c>
      <c r="D1225">
        <v>4</v>
      </c>
      <c r="E1225" s="3">
        <f t="shared" si="18"/>
        <v>15</v>
      </c>
    </row>
    <row r="1226" spans="1:5" x14ac:dyDescent="0.2">
      <c r="A1226">
        <v>5</v>
      </c>
      <c r="B1226" t="s">
        <v>519</v>
      </c>
      <c r="C1226">
        <v>0</v>
      </c>
      <c r="D1226">
        <v>2</v>
      </c>
      <c r="E1226" s="3">
        <f t="shared" si="18"/>
        <v>15</v>
      </c>
    </row>
    <row r="1227" spans="1:5" x14ac:dyDescent="0.2">
      <c r="A1227">
        <v>6</v>
      </c>
      <c r="B1227" t="s">
        <v>485</v>
      </c>
      <c r="C1227">
        <v>0</v>
      </c>
      <c r="D1227">
        <v>1</v>
      </c>
      <c r="E1227" s="3">
        <f t="shared" si="18"/>
        <v>15</v>
      </c>
    </row>
    <row r="1228" spans="1:5" x14ac:dyDescent="0.2">
      <c r="A1228">
        <v>7</v>
      </c>
      <c r="B1228" s="2" t="s">
        <v>10</v>
      </c>
      <c r="C1228" s="2" t="s">
        <v>10</v>
      </c>
      <c r="D1228" s="2" t="s">
        <v>10</v>
      </c>
      <c r="E1228" s="3">
        <f t="shared" si="18"/>
        <v>15</v>
      </c>
    </row>
    <row r="1229" spans="1:5" x14ac:dyDescent="0.2">
      <c r="A1229">
        <v>8</v>
      </c>
      <c r="B1229" s="2" t="s">
        <v>10</v>
      </c>
      <c r="C1229" s="2" t="s">
        <v>10</v>
      </c>
      <c r="D1229" s="2" t="s">
        <v>10</v>
      </c>
      <c r="E1229" s="3">
        <f t="shared" si="18"/>
        <v>15</v>
      </c>
    </row>
    <row r="1230" spans="1:5" x14ac:dyDescent="0.2">
      <c r="A1230" s="1" t="s">
        <v>17</v>
      </c>
      <c r="E1230" s="3">
        <f t="shared" si="18"/>
        <v>15</v>
      </c>
    </row>
    <row r="1231" spans="1:5" x14ac:dyDescent="0.2">
      <c r="A1231" s="1" t="s">
        <v>1</v>
      </c>
      <c r="B1231" s="1" t="s">
        <v>2</v>
      </c>
      <c r="C1231" s="1" t="s">
        <v>3</v>
      </c>
      <c r="D1231" s="1" t="s">
        <v>4</v>
      </c>
      <c r="E1231" s="3">
        <f t="shared" si="18"/>
        <v>15</v>
      </c>
    </row>
    <row r="1232" spans="1:5" x14ac:dyDescent="0.2">
      <c r="A1232">
        <v>1</v>
      </c>
      <c r="B1232" t="s">
        <v>533</v>
      </c>
      <c r="C1232">
        <v>3</v>
      </c>
      <c r="D1232">
        <v>17</v>
      </c>
      <c r="E1232" s="3">
        <f t="shared" si="18"/>
        <v>15</v>
      </c>
    </row>
    <row r="1233" spans="1:5" x14ac:dyDescent="0.2">
      <c r="A1233">
        <v>2</v>
      </c>
      <c r="B1233" t="s">
        <v>55</v>
      </c>
      <c r="C1233">
        <v>0</v>
      </c>
      <c r="D1233">
        <v>13</v>
      </c>
      <c r="E1233" s="3">
        <f t="shared" si="18"/>
        <v>15</v>
      </c>
    </row>
    <row r="1234" spans="1:5" x14ac:dyDescent="0.2">
      <c r="A1234">
        <v>3</v>
      </c>
      <c r="B1234" t="s">
        <v>19</v>
      </c>
      <c r="C1234">
        <v>1</v>
      </c>
      <c r="D1234">
        <v>9</v>
      </c>
      <c r="E1234" s="3">
        <f t="shared" si="18"/>
        <v>15</v>
      </c>
    </row>
    <row r="1235" spans="1:5" x14ac:dyDescent="0.2">
      <c r="A1235">
        <v>4</v>
      </c>
      <c r="B1235" t="s">
        <v>27</v>
      </c>
      <c r="C1235">
        <v>1</v>
      </c>
      <c r="D1235">
        <v>5</v>
      </c>
      <c r="E1235" s="3">
        <f t="shared" si="18"/>
        <v>15</v>
      </c>
    </row>
    <row r="1236" spans="1:5" x14ac:dyDescent="0.2">
      <c r="A1236">
        <v>5</v>
      </c>
      <c r="B1236" t="s">
        <v>452</v>
      </c>
      <c r="C1236">
        <v>1</v>
      </c>
      <c r="D1236">
        <v>3</v>
      </c>
      <c r="E1236" s="3">
        <f t="shared" si="18"/>
        <v>15</v>
      </c>
    </row>
    <row r="1237" spans="1:5" x14ac:dyDescent="0.2">
      <c r="A1237">
        <v>6</v>
      </c>
      <c r="B1237" t="s">
        <v>512</v>
      </c>
      <c r="C1237">
        <v>0</v>
      </c>
      <c r="D1237">
        <v>2</v>
      </c>
      <c r="E1237" s="3">
        <f t="shared" si="18"/>
        <v>15</v>
      </c>
    </row>
    <row r="1238" spans="1:5" x14ac:dyDescent="0.2">
      <c r="A1238">
        <v>7</v>
      </c>
      <c r="B1238" t="s">
        <v>35</v>
      </c>
      <c r="C1238">
        <v>0</v>
      </c>
      <c r="D1238">
        <v>1</v>
      </c>
      <c r="E1238" s="3">
        <f t="shared" si="18"/>
        <v>15</v>
      </c>
    </row>
    <row r="1239" spans="1:5" x14ac:dyDescent="0.2">
      <c r="A1239">
        <v>8</v>
      </c>
      <c r="B1239" s="2" t="s">
        <v>10</v>
      </c>
      <c r="C1239" s="2" t="s">
        <v>10</v>
      </c>
      <c r="D1239" s="2" t="s">
        <v>10</v>
      </c>
      <c r="E1239" s="3">
        <f t="shared" si="18"/>
        <v>15</v>
      </c>
    </row>
    <row r="1240" spans="1:5" x14ac:dyDescent="0.2">
      <c r="A1240" s="1" t="s">
        <v>24</v>
      </c>
      <c r="E1240" s="3">
        <f t="shared" si="18"/>
        <v>15</v>
      </c>
    </row>
    <row r="1241" spans="1:5" x14ac:dyDescent="0.2">
      <c r="A1241" s="1" t="s">
        <v>1</v>
      </c>
      <c r="B1241" s="1" t="s">
        <v>2</v>
      </c>
      <c r="C1241" s="1" t="s">
        <v>3</v>
      </c>
      <c r="D1241" s="1" t="s">
        <v>4</v>
      </c>
      <c r="E1241" s="3">
        <f t="shared" si="18"/>
        <v>15</v>
      </c>
    </row>
    <row r="1242" spans="1:5" x14ac:dyDescent="0.2">
      <c r="A1242">
        <v>1</v>
      </c>
      <c r="B1242" t="s">
        <v>46</v>
      </c>
      <c r="C1242">
        <v>2</v>
      </c>
      <c r="D1242">
        <v>17</v>
      </c>
      <c r="E1242" s="3">
        <f t="shared" si="18"/>
        <v>15</v>
      </c>
    </row>
    <row r="1243" spans="1:5" x14ac:dyDescent="0.2">
      <c r="A1243">
        <v>2</v>
      </c>
      <c r="B1243" t="s">
        <v>500</v>
      </c>
      <c r="C1243">
        <v>1</v>
      </c>
      <c r="D1243">
        <v>13</v>
      </c>
      <c r="E1243" s="3">
        <f t="shared" si="18"/>
        <v>15</v>
      </c>
    </row>
    <row r="1244" spans="1:5" x14ac:dyDescent="0.2">
      <c r="A1244">
        <v>3</v>
      </c>
      <c r="B1244" t="s">
        <v>280</v>
      </c>
      <c r="C1244">
        <v>1</v>
      </c>
      <c r="D1244">
        <v>9</v>
      </c>
      <c r="E1244" s="3">
        <f t="shared" si="18"/>
        <v>15</v>
      </c>
    </row>
    <row r="1245" spans="1:5" x14ac:dyDescent="0.2">
      <c r="A1245">
        <v>4</v>
      </c>
      <c r="B1245" t="s">
        <v>518</v>
      </c>
      <c r="C1245">
        <v>2</v>
      </c>
      <c r="D1245">
        <v>5</v>
      </c>
      <c r="E1245" s="3">
        <f t="shared" si="18"/>
        <v>15</v>
      </c>
    </row>
    <row r="1246" spans="1:5" x14ac:dyDescent="0.2">
      <c r="A1246">
        <v>5</v>
      </c>
      <c r="B1246" t="s">
        <v>73</v>
      </c>
      <c r="C1246">
        <v>0</v>
      </c>
      <c r="D1246">
        <v>3</v>
      </c>
      <c r="E1246" s="3">
        <f t="shared" si="18"/>
        <v>15</v>
      </c>
    </row>
    <row r="1247" spans="1:5" x14ac:dyDescent="0.2">
      <c r="A1247">
        <v>6</v>
      </c>
      <c r="B1247" t="s">
        <v>526</v>
      </c>
      <c r="C1247">
        <v>0</v>
      </c>
      <c r="D1247">
        <v>2</v>
      </c>
      <c r="E1247" s="3">
        <f t="shared" si="18"/>
        <v>15</v>
      </c>
    </row>
    <row r="1248" spans="1:5" x14ac:dyDescent="0.2">
      <c r="A1248">
        <v>7</v>
      </c>
      <c r="B1248" t="s">
        <v>507</v>
      </c>
      <c r="C1248">
        <v>0</v>
      </c>
      <c r="D1248">
        <v>1</v>
      </c>
      <c r="E1248" s="3">
        <f t="shared" si="18"/>
        <v>15</v>
      </c>
    </row>
    <row r="1249" spans="1:5" x14ac:dyDescent="0.2">
      <c r="A1249">
        <v>8</v>
      </c>
      <c r="B1249" s="2" t="s">
        <v>10</v>
      </c>
      <c r="C1249" s="2" t="s">
        <v>10</v>
      </c>
      <c r="D1249" s="2" t="s">
        <v>10</v>
      </c>
      <c r="E1249" s="3">
        <f t="shared" si="18"/>
        <v>15</v>
      </c>
    </row>
    <row r="1250" spans="1:5" x14ac:dyDescent="0.2">
      <c r="A1250" s="1" t="s">
        <v>30</v>
      </c>
      <c r="E1250" s="3">
        <f t="shared" si="18"/>
        <v>15</v>
      </c>
    </row>
    <row r="1251" spans="1:5" x14ac:dyDescent="0.2">
      <c r="A1251" s="1" t="s">
        <v>1</v>
      </c>
      <c r="B1251" s="1" t="s">
        <v>2</v>
      </c>
      <c r="C1251" s="1" t="s">
        <v>3</v>
      </c>
      <c r="D1251" s="1" t="s">
        <v>4</v>
      </c>
      <c r="E1251" s="3">
        <f t="shared" ref="E1251:E1314" si="19">IF(A1251=$A$1,E1250+1,E1250)</f>
        <v>15</v>
      </c>
    </row>
    <row r="1252" spans="1:5" x14ac:dyDescent="0.2">
      <c r="A1252">
        <v>1</v>
      </c>
      <c r="B1252" t="s">
        <v>461</v>
      </c>
      <c r="C1252">
        <v>3</v>
      </c>
      <c r="D1252">
        <v>16</v>
      </c>
      <c r="E1252" s="3">
        <f t="shared" si="19"/>
        <v>15</v>
      </c>
    </row>
    <row r="1253" spans="1:5" x14ac:dyDescent="0.2">
      <c r="A1253">
        <v>2</v>
      </c>
      <c r="B1253" t="s">
        <v>493</v>
      </c>
      <c r="C1253">
        <v>2</v>
      </c>
      <c r="D1253">
        <v>12</v>
      </c>
      <c r="E1253" s="3">
        <f t="shared" si="19"/>
        <v>15</v>
      </c>
    </row>
    <row r="1254" spans="1:5" x14ac:dyDescent="0.2">
      <c r="A1254">
        <v>3</v>
      </c>
      <c r="B1254" t="s">
        <v>534</v>
      </c>
      <c r="C1254">
        <v>0</v>
      </c>
      <c r="D1254">
        <v>8</v>
      </c>
      <c r="E1254" s="3">
        <f t="shared" si="19"/>
        <v>15</v>
      </c>
    </row>
    <row r="1255" spans="1:5" x14ac:dyDescent="0.2">
      <c r="A1255">
        <v>4</v>
      </c>
      <c r="B1255" t="s">
        <v>6</v>
      </c>
      <c r="C1255">
        <v>0</v>
      </c>
      <c r="D1255">
        <v>4</v>
      </c>
      <c r="E1255" s="3">
        <f t="shared" si="19"/>
        <v>15</v>
      </c>
    </row>
    <row r="1256" spans="1:5" x14ac:dyDescent="0.2">
      <c r="A1256">
        <v>5</v>
      </c>
      <c r="B1256" t="s">
        <v>504</v>
      </c>
      <c r="C1256">
        <v>0</v>
      </c>
      <c r="D1256">
        <v>2</v>
      </c>
      <c r="E1256" s="3">
        <f t="shared" si="19"/>
        <v>15</v>
      </c>
    </row>
    <row r="1257" spans="1:5" x14ac:dyDescent="0.2">
      <c r="A1257">
        <v>6</v>
      </c>
      <c r="B1257" t="s">
        <v>506</v>
      </c>
      <c r="C1257">
        <v>0</v>
      </c>
      <c r="D1257">
        <v>1</v>
      </c>
      <c r="E1257" s="3">
        <f t="shared" si="19"/>
        <v>15</v>
      </c>
    </row>
    <row r="1258" spans="1:5" x14ac:dyDescent="0.2">
      <c r="A1258">
        <v>7</v>
      </c>
      <c r="B1258" s="2" t="s">
        <v>10</v>
      </c>
      <c r="C1258" s="2" t="s">
        <v>10</v>
      </c>
      <c r="D1258" s="2" t="s">
        <v>10</v>
      </c>
      <c r="E1258" s="3">
        <f t="shared" si="19"/>
        <v>15</v>
      </c>
    </row>
    <row r="1259" spans="1:5" x14ac:dyDescent="0.2">
      <c r="A1259">
        <v>8</v>
      </c>
      <c r="B1259" s="2" t="s">
        <v>10</v>
      </c>
      <c r="C1259" s="2" t="s">
        <v>10</v>
      </c>
      <c r="D1259" s="2" t="s">
        <v>10</v>
      </c>
      <c r="E1259" s="3">
        <f t="shared" si="19"/>
        <v>15</v>
      </c>
    </row>
    <row r="1260" spans="1:5" x14ac:dyDescent="0.2">
      <c r="A1260" s="1" t="s">
        <v>37</v>
      </c>
      <c r="E1260" s="3">
        <f t="shared" si="19"/>
        <v>15</v>
      </c>
    </row>
    <row r="1261" spans="1:5" x14ac:dyDescent="0.2">
      <c r="A1261" s="1" t="s">
        <v>1</v>
      </c>
      <c r="B1261" s="1" t="s">
        <v>2</v>
      </c>
      <c r="C1261" s="1" t="s">
        <v>3</v>
      </c>
      <c r="D1261" s="1" t="s">
        <v>4</v>
      </c>
      <c r="E1261" s="3">
        <f t="shared" si="19"/>
        <v>15</v>
      </c>
    </row>
    <row r="1262" spans="1:5" x14ac:dyDescent="0.2">
      <c r="A1262">
        <v>1</v>
      </c>
      <c r="B1262" t="s">
        <v>87</v>
      </c>
      <c r="C1262">
        <v>4</v>
      </c>
      <c r="D1262">
        <v>16</v>
      </c>
      <c r="E1262" s="3">
        <f t="shared" si="19"/>
        <v>15</v>
      </c>
    </row>
    <row r="1263" spans="1:5" x14ac:dyDescent="0.2">
      <c r="A1263">
        <v>2</v>
      </c>
      <c r="B1263" t="s">
        <v>516</v>
      </c>
      <c r="C1263">
        <v>1</v>
      </c>
      <c r="D1263">
        <v>12</v>
      </c>
      <c r="E1263" s="3">
        <f t="shared" si="19"/>
        <v>15</v>
      </c>
    </row>
    <row r="1264" spans="1:5" x14ac:dyDescent="0.2">
      <c r="A1264">
        <v>3</v>
      </c>
      <c r="B1264" t="s">
        <v>490</v>
      </c>
      <c r="C1264">
        <v>0</v>
      </c>
      <c r="D1264">
        <v>8</v>
      </c>
      <c r="E1264" s="3">
        <f t="shared" si="19"/>
        <v>15</v>
      </c>
    </row>
    <row r="1265" spans="1:5" x14ac:dyDescent="0.2">
      <c r="A1265">
        <v>4</v>
      </c>
      <c r="B1265" t="s">
        <v>74</v>
      </c>
      <c r="C1265">
        <v>0</v>
      </c>
      <c r="D1265">
        <v>4</v>
      </c>
      <c r="E1265" s="3">
        <f t="shared" si="19"/>
        <v>15</v>
      </c>
    </row>
    <row r="1266" spans="1:5" x14ac:dyDescent="0.2">
      <c r="A1266">
        <v>5</v>
      </c>
      <c r="B1266" t="s">
        <v>15</v>
      </c>
      <c r="C1266">
        <v>0</v>
      </c>
      <c r="D1266">
        <v>2</v>
      </c>
      <c r="E1266" s="3">
        <f t="shared" si="19"/>
        <v>15</v>
      </c>
    </row>
    <row r="1267" spans="1:5" x14ac:dyDescent="0.2">
      <c r="A1267">
        <v>6</v>
      </c>
      <c r="B1267" t="s">
        <v>525</v>
      </c>
      <c r="C1267">
        <v>0</v>
      </c>
      <c r="D1267">
        <v>1</v>
      </c>
      <c r="E1267" s="3">
        <f t="shared" si="19"/>
        <v>15</v>
      </c>
    </row>
    <row r="1268" spans="1:5" x14ac:dyDescent="0.2">
      <c r="A1268">
        <v>7</v>
      </c>
      <c r="B1268" s="2" t="s">
        <v>10</v>
      </c>
      <c r="C1268" s="2" t="s">
        <v>10</v>
      </c>
      <c r="D1268" s="2" t="s">
        <v>10</v>
      </c>
      <c r="E1268" s="3">
        <f t="shared" si="19"/>
        <v>15</v>
      </c>
    </row>
    <row r="1269" spans="1:5" x14ac:dyDescent="0.2">
      <c r="A1269">
        <v>8</v>
      </c>
      <c r="B1269" s="2" t="s">
        <v>10</v>
      </c>
      <c r="C1269" s="2" t="s">
        <v>10</v>
      </c>
      <c r="D1269" s="2" t="s">
        <v>10</v>
      </c>
      <c r="E1269" s="3">
        <f t="shared" si="19"/>
        <v>15</v>
      </c>
    </row>
    <row r="1270" spans="1:5" x14ac:dyDescent="0.2">
      <c r="A1270" s="1" t="s">
        <v>44</v>
      </c>
      <c r="E1270" s="3">
        <f t="shared" si="19"/>
        <v>15</v>
      </c>
    </row>
    <row r="1271" spans="1:5" x14ac:dyDescent="0.2">
      <c r="A1271" s="1" t="s">
        <v>1</v>
      </c>
      <c r="B1271" s="1" t="s">
        <v>2</v>
      </c>
      <c r="C1271" s="1" t="s">
        <v>3</v>
      </c>
      <c r="D1271" s="1" t="s">
        <v>4</v>
      </c>
      <c r="E1271" s="3">
        <f t="shared" si="19"/>
        <v>15</v>
      </c>
    </row>
    <row r="1272" spans="1:5" x14ac:dyDescent="0.2">
      <c r="A1272">
        <v>1</v>
      </c>
      <c r="B1272" t="s">
        <v>42</v>
      </c>
      <c r="C1272">
        <v>0</v>
      </c>
      <c r="D1272">
        <v>17</v>
      </c>
      <c r="E1272" s="3">
        <f t="shared" si="19"/>
        <v>15</v>
      </c>
    </row>
    <row r="1273" spans="1:5" x14ac:dyDescent="0.2">
      <c r="A1273">
        <v>2</v>
      </c>
      <c r="B1273" t="s">
        <v>25</v>
      </c>
      <c r="C1273">
        <v>3</v>
      </c>
      <c r="D1273">
        <v>13</v>
      </c>
      <c r="E1273" s="3">
        <f t="shared" si="19"/>
        <v>15</v>
      </c>
    </row>
    <row r="1274" spans="1:5" x14ac:dyDescent="0.2">
      <c r="A1274">
        <v>3</v>
      </c>
      <c r="B1274" t="s">
        <v>505</v>
      </c>
      <c r="C1274">
        <v>2</v>
      </c>
      <c r="D1274">
        <v>9</v>
      </c>
      <c r="E1274" s="3">
        <f t="shared" si="19"/>
        <v>15</v>
      </c>
    </row>
    <row r="1275" spans="1:5" x14ac:dyDescent="0.2">
      <c r="A1275">
        <v>4</v>
      </c>
      <c r="B1275" t="s">
        <v>75</v>
      </c>
      <c r="C1275">
        <v>1</v>
      </c>
      <c r="D1275">
        <v>5</v>
      </c>
      <c r="E1275" s="3">
        <f t="shared" si="19"/>
        <v>15</v>
      </c>
    </row>
    <row r="1276" spans="1:5" x14ac:dyDescent="0.2">
      <c r="A1276">
        <v>5</v>
      </c>
      <c r="B1276" t="s">
        <v>61</v>
      </c>
      <c r="C1276">
        <v>0</v>
      </c>
      <c r="D1276">
        <v>3</v>
      </c>
      <c r="E1276" s="3">
        <f t="shared" si="19"/>
        <v>15</v>
      </c>
    </row>
    <row r="1277" spans="1:5" x14ac:dyDescent="0.2">
      <c r="A1277">
        <v>6</v>
      </c>
      <c r="B1277" t="s">
        <v>454</v>
      </c>
      <c r="C1277">
        <v>0</v>
      </c>
      <c r="D1277">
        <v>2</v>
      </c>
      <c r="E1277" s="3">
        <f t="shared" si="19"/>
        <v>15</v>
      </c>
    </row>
    <row r="1278" spans="1:5" x14ac:dyDescent="0.2">
      <c r="A1278">
        <v>7</v>
      </c>
      <c r="B1278" t="s">
        <v>9</v>
      </c>
      <c r="C1278">
        <v>0</v>
      </c>
      <c r="D1278">
        <v>1</v>
      </c>
      <c r="E1278" s="3">
        <f t="shared" si="19"/>
        <v>15</v>
      </c>
    </row>
    <row r="1279" spans="1:5" x14ac:dyDescent="0.2">
      <c r="A1279">
        <v>8</v>
      </c>
      <c r="B1279" s="2" t="s">
        <v>10</v>
      </c>
      <c r="C1279" s="2" t="s">
        <v>10</v>
      </c>
      <c r="D1279" s="2" t="s">
        <v>10</v>
      </c>
      <c r="E1279" s="3">
        <f t="shared" si="19"/>
        <v>15</v>
      </c>
    </row>
    <row r="1280" spans="1:5" x14ac:dyDescent="0.2">
      <c r="A1280" s="1" t="s">
        <v>51</v>
      </c>
      <c r="E1280" s="3">
        <f t="shared" si="19"/>
        <v>15</v>
      </c>
    </row>
    <row r="1281" spans="1:5" x14ac:dyDescent="0.2">
      <c r="A1281" s="1" t="s">
        <v>1</v>
      </c>
      <c r="B1281" s="1" t="s">
        <v>2</v>
      </c>
      <c r="C1281" s="1" t="s">
        <v>3</v>
      </c>
      <c r="D1281" s="1" t="s">
        <v>4</v>
      </c>
      <c r="E1281" s="3">
        <f t="shared" si="19"/>
        <v>15</v>
      </c>
    </row>
    <row r="1282" spans="1:5" x14ac:dyDescent="0.2">
      <c r="A1282">
        <v>1</v>
      </c>
      <c r="B1282" t="s">
        <v>66</v>
      </c>
      <c r="C1282">
        <v>2</v>
      </c>
      <c r="D1282">
        <v>16</v>
      </c>
      <c r="E1282" s="3">
        <f t="shared" si="19"/>
        <v>15</v>
      </c>
    </row>
    <row r="1283" spans="1:5" x14ac:dyDescent="0.2">
      <c r="A1283">
        <v>2</v>
      </c>
      <c r="B1283" t="s">
        <v>76</v>
      </c>
      <c r="C1283">
        <v>3</v>
      </c>
      <c r="D1283">
        <v>12</v>
      </c>
      <c r="E1283" s="3">
        <f t="shared" si="19"/>
        <v>15</v>
      </c>
    </row>
    <row r="1284" spans="1:5" x14ac:dyDescent="0.2">
      <c r="A1284">
        <v>3</v>
      </c>
      <c r="B1284" t="s">
        <v>21</v>
      </c>
      <c r="C1284">
        <v>0</v>
      </c>
      <c r="D1284">
        <v>8</v>
      </c>
      <c r="E1284" s="3">
        <f t="shared" si="19"/>
        <v>15</v>
      </c>
    </row>
    <row r="1285" spans="1:5" x14ac:dyDescent="0.2">
      <c r="A1285">
        <v>4</v>
      </c>
      <c r="B1285" t="s">
        <v>509</v>
      </c>
      <c r="C1285">
        <v>0</v>
      </c>
      <c r="D1285">
        <v>4</v>
      </c>
      <c r="E1285" s="3">
        <f t="shared" si="19"/>
        <v>15</v>
      </c>
    </row>
    <row r="1286" spans="1:5" x14ac:dyDescent="0.2">
      <c r="A1286">
        <v>5</v>
      </c>
      <c r="B1286" t="s">
        <v>530</v>
      </c>
      <c r="C1286">
        <v>0</v>
      </c>
      <c r="D1286">
        <v>2</v>
      </c>
      <c r="E1286" s="3">
        <f t="shared" si="19"/>
        <v>15</v>
      </c>
    </row>
    <row r="1287" spans="1:5" x14ac:dyDescent="0.2">
      <c r="A1287">
        <v>6</v>
      </c>
      <c r="B1287" t="s">
        <v>101</v>
      </c>
      <c r="C1287">
        <v>0</v>
      </c>
      <c r="D1287">
        <v>1</v>
      </c>
      <c r="E1287" s="3">
        <f t="shared" si="19"/>
        <v>15</v>
      </c>
    </row>
    <row r="1288" spans="1:5" x14ac:dyDescent="0.2">
      <c r="A1288">
        <v>7</v>
      </c>
      <c r="B1288" s="2" t="s">
        <v>10</v>
      </c>
      <c r="C1288" s="2" t="s">
        <v>10</v>
      </c>
      <c r="D1288" s="2" t="s">
        <v>10</v>
      </c>
      <c r="E1288" s="3">
        <f t="shared" si="19"/>
        <v>15</v>
      </c>
    </row>
    <row r="1289" spans="1:5" x14ac:dyDescent="0.2">
      <c r="A1289">
        <v>8</v>
      </c>
      <c r="B1289" s="2" t="s">
        <v>10</v>
      </c>
      <c r="C1289" s="2" t="s">
        <v>10</v>
      </c>
      <c r="D1289" s="2" t="s">
        <v>10</v>
      </c>
      <c r="E1289" s="3">
        <f t="shared" si="19"/>
        <v>15</v>
      </c>
    </row>
    <row r="1290" spans="1:5" x14ac:dyDescent="0.2">
      <c r="A1290" s="1" t="s">
        <v>0</v>
      </c>
      <c r="E1290" s="3">
        <f t="shared" si="19"/>
        <v>16</v>
      </c>
    </row>
    <row r="1291" spans="1:5" x14ac:dyDescent="0.2">
      <c r="A1291" s="1" t="s">
        <v>1</v>
      </c>
      <c r="B1291" s="1" t="s">
        <v>2</v>
      </c>
      <c r="C1291" s="1" t="s">
        <v>3</v>
      </c>
      <c r="D1291" s="1" t="s">
        <v>4</v>
      </c>
      <c r="E1291" s="3">
        <f t="shared" si="19"/>
        <v>16</v>
      </c>
    </row>
    <row r="1292" spans="1:5" x14ac:dyDescent="0.2">
      <c r="A1292">
        <v>1</v>
      </c>
      <c r="B1292" t="s">
        <v>484</v>
      </c>
      <c r="C1292">
        <v>2</v>
      </c>
      <c r="D1292">
        <v>17</v>
      </c>
      <c r="E1292" s="3">
        <f t="shared" si="19"/>
        <v>16</v>
      </c>
    </row>
    <row r="1293" spans="1:5" x14ac:dyDescent="0.2">
      <c r="A1293">
        <v>2</v>
      </c>
      <c r="B1293" t="s">
        <v>463</v>
      </c>
      <c r="C1293">
        <v>3</v>
      </c>
      <c r="D1293">
        <v>13</v>
      </c>
      <c r="E1293" s="3">
        <f t="shared" si="19"/>
        <v>16</v>
      </c>
    </row>
    <row r="1294" spans="1:5" x14ac:dyDescent="0.2">
      <c r="A1294">
        <v>3</v>
      </c>
      <c r="B1294" t="s">
        <v>490</v>
      </c>
      <c r="C1294">
        <v>0</v>
      </c>
      <c r="D1294">
        <v>9</v>
      </c>
      <c r="E1294" s="3">
        <f t="shared" si="19"/>
        <v>16</v>
      </c>
    </row>
    <row r="1295" spans="1:5" x14ac:dyDescent="0.2">
      <c r="A1295">
        <v>4</v>
      </c>
      <c r="B1295" t="s">
        <v>73</v>
      </c>
      <c r="C1295">
        <v>1</v>
      </c>
      <c r="D1295">
        <v>5</v>
      </c>
      <c r="E1295" s="3">
        <f t="shared" si="19"/>
        <v>16</v>
      </c>
    </row>
    <row r="1296" spans="1:5" x14ac:dyDescent="0.2">
      <c r="A1296">
        <v>5</v>
      </c>
      <c r="B1296" t="s">
        <v>504</v>
      </c>
      <c r="C1296">
        <v>0</v>
      </c>
      <c r="D1296">
        <v>3</v>
      </c>
      <c r="E1296" s="3">
        <f t="shared" si="19"/>
        <v>16</v>
      </c>
    </row>
    <row r="1297" spans="1:5" x14ac:dyDescent="0.2">
      <c r="A1297">
        <v>6</v>
      </c>
      <c r="B1297" t="s">
        <v>9</v>
      </c>
      <c r="C1297">
        <v>0</v>
      </c>
      <c r="D1297">
        <v>2</v>
      </c>
      <c r="E1297" s="3">
        <f t="shared" si="19"/>
        <v>16</v>
      </c>
    </row>
    <row r="1298" spans="1:5" x14ac:dyDescent="0.2">
      <c r="A1298">
        <v>7</v>
      </c>
      <c r="B1298" t="s">
        <v>33</v>
      </c>
      <c r="C1298">
        <v>0</v>
      </c>
      <c r="D1298">
        <v>1</v>
      </c>
      <c r="E1298" s="3">
        <f t="shared" si="19"/>
        <v>16</v>
      </c>
    </row>
    <row r="1299" spans="1:5" x14ac:dyDescent="0.2">
      <c r="A1299">
        <v>8</v>
      </c>
      <c r="B1299" s="2" t="s">
        <v>10</v>
      </c>
      <c r="C1299" s="2" t="s">
        <v>10</v>
      </c>
      <c r="D1299" s="2" t="s">
        <v>10</v>
      </c>
      <c r="E1299" s="3">
        <f t="shared" si="19"/>
        <v>16</v>
      </c>
    </row>
    <row r="1300" spans="1:5" x14ac:dyDescent="0.2">
      <c r="A1300" s="1" t="s">
        <v>11</v>
      </c>
      <c r="E1300" s="3">
        <f t="shared" si="19"/>
        <v>16</v>
      </c>
    </row>
    <row r="1301" spans="1:5" x14ac:dyDescent="0.2">
      <c r="A1301" s="1" t="s">
        <v>1</v>
      </c>
      <c r="B1301" s="1" t="s">
        <v>2</v>
      </c>
      <c r="C1301" s="1" t="s">
        <v>3</v>
      </c>
      <c r="D1301" s="1" t="s">
        <v>4</v>
      </c>
      <c r="E1301" s="3">
        <f t="shared" si="19"/>
        <v>16</v>
      </c>
    </row>
    <row r="1302" spans="1:5" x14ac:dyDescent="0.2">
      <c r="A1302">
        <v>1</v>
      </c>
      <c r="B1302" t="s">
        <v>461</v>
      </c>
      <c r="C1302">
        <v>2</v>
      </c>
      <c r="D1302">
        <v>17</v>
      </c>
      <c r="E1302" s="3">
        <f t="shared" si="19"/>
        <v>16</v>
      </c>
    </row>
    <row r="1303" spans="1:5" x14ac:dyDescent="0.2">
      <c r="A1303">
        <v>2</v>
      </c>
      <c r="B1303" t="s">
        <v>519</v>
      </c>
      <c r="C1303">
        <v>0</v>
      </c>
      <c r="D1303">
        <v>13</v>
      </c>
      <c r="E1303" s="3">
        <f t="shared" si="19"/>
        <v>16</v>
      </c>
    </row>
    <row r="1304" spans="1:5" x14ac:dyDescent="0.2">
      <c r="A1304">
        <v>3</v>
      </c>
      <c r="B1304" t="s">
        <v>493</v>
      </c>
      <c r="C1304">
        <v>4</v>
      </c>
      <c r="D1304">
        <v>9</v>
      </c>
      <c r="E1304" s="3">
        <f t="shared" si="19"/>
        <v>16</v>
      </c>
    </row>
    <row r="1305" spans="1:5" x14ac:dyDescent="0.2">
      <c r="A1305">
        <v>4</v>
      </c>
      <c r="B1305" t="s">
        <v>81</v>
      </c>
      <c r="C1305">
        <v>0</v>
      </c>
      <c r="D1305">
        <v>5</v>
      </c>
      <c r="E1305" s="3">
        <f t="shared" si="19"/>
        <v>16</v>
      </c>
    </row>
    <row r="1306" spans="1:5" x14ac:dyDescent="0.2">
      <c r="A1306">
        <v>5</v>
      </c>
      <c r="B1306" t="s">
        <v>518</v>
      </c>
      <c r="C1306">
        <v>0</v>
      </c>
      <c r="D1306">
        <v>3</v>
      </c>
      <c r="E1306" s="3">
        <f t="shared" si="19"/>
        <v>16</v>
      </c>
    </row>
    <row r="1307" spans="1:5" x14ac:dyDescent="0.2">
      <c r="A1307">
        <v>6</v>
      </c>
      <c r="B1307" t="s">
        <v>69</v>
      </c>
      <c r="C1307">
        <v>0</v>
      </c>
      <c r="D1307">
        <v>2</v>
      </c>
      <c r="E1307" s="3">
        <f t="shared" si="19"/>
        <v>16</v>
      </c>
    </row>
    <row r="1308" spans="1:5" x14ac:dyDescent="0.2">
      <c r="A1308">
        <v>7</v>
      </c>
      <c r="B1308" t="s">
        <v>485</v>
      </c>
      <c r="C1308">
        <v>0</v>
      </c>
      <c r="D1308">
        <v>1</v>
      </c>
      <c r="E1308" s="3">
        <f t="shared" si="19"/>
        <v>16</v>
      </c>
    </row>
    <row r="1309" spans="1:5" x14ac:dyDescent="0.2">
      <c r="A1309">
        <v>8</v>
      </c>
      <c r="B1309" s="2" t="s">
        <v>10</v>
      </c>
      <c r="C1309" s="2" t="s">
        <v>10</v>
      </c>
      <c r="D1309" s="2" t="s">
        <v>10</v>
      </c>
      <c r="E1309" s="3">
        <f t="shared" si="19"/>
        <v>16</v>
      </c>
    </row>
    <row r="1310" spans="1:5" x14ac:dyDescent="0.2">
      <c r="A1310" s="1" t="s">
        <v>17</v>
      </c>
      <c r="E1310" s="3">
        <f t="shared" si="19"/>
        <v>16</v>
      </c>
    </row>
    <row r="1311" spans="1:5" x14ac:dyDescent="0.2">
      <c r="A1311" s="1" t="s">
        <v>1</v>
      </c>
      <c r="B1311" s="1" t="s">
        <v>2</v>
      </c>
      <c r="C1311" s="1" t="s">
        <v>3</v>
      </c>
      <c r="D1311" s="1" t="s">
        <v>4</v>
      </c>
      <c r="E1311" s="3">
        <f t="shared" si="19"/>
        <v>16</v>
      </c>
    </row>
    <row r="1312" spans="1:5" x14ac:dyDescent="0.2">
      <c r="A1312">
        <v>1</v>
      </c>
      <c r="B1312" t="s">
        <v>46</v>
      </c>
      <c r="C1312">
        <v>3</v>
      </c>
      <c r="D1312">
        <v>17</v>
      </c>
      <c r="E1312" s="3">
        <f t="shared" si="19"/>
        <v>16</v>
      </c>
    </row>
    <row r="1313" spans="1:5" x14ac:dyDescent="0.2">
      <c r="A1313">
        <v>2</v>
      </c>
      <c r="B1313" t="s">
        <v>509</v>
      </c>
      <c r="C1313">
        <v>2</v>
      </c>
      <c r="D1313">
        <v>13</v>
      </c>
      <c r="E1313" s="3">
        <f t="shared" si="19"/>
        <v>16</v>
      </c>
    </row>
    <row r="1314" spans="1:5" x14ac:dyDescent="0.2">
      <c r="A1314">
        <v>3</v>
      </c>
      <c r="B1314" t="s">
        <v>526</v>
      </c>
      <c r="C1314">
        <v>1</v>
      </c>
      <c r="D1314">
        <v>9</v>
      </c>
      <c r="E1314" s="3">
        <f t="shared" si="19"/>
        <v>16</v>
      </c>
    </row>
    <row r="1315" spans="1:5" x14ac:dyDescent="0.2">
      <c r="A1315">
        <v>4</v>
      </c>
      <c r="B1315" t="s">
        <v>42</v>
      </c>
      <c r="C1315">
        <v>0</v>
      </c>
      <c r="D1315">
        <v>5</v>
      </c>
      <c r="E1315" s="3">
        <f t="shared" ref="E1315:E1378" si="20">IF(A1315=$A$1,E1314+1,E1314)</f>
        <v>16</v>
      </c>
    </row>
    <row r="1316" spans="1:5" x14ac:dyDescent="0.2">
      <c r="A1316">
        <v>5</v>
      </c>
      <c r="B1316" t="s">
        <v>15</v>
      </c>
      <c r="C1316">
        <v>0</v>
      </c>
      <c r="D1316">
        <v>3</v>
      </c>
      <c r="E1316" s="3">
        <f t="shared" si="20"/>
        <v>16</v>
      </c>
    </row>
    <row r="1317" spans="1:5" x14ac:dyDescent="0.2">
      <c r="A1317">
        <v>6</v>
      </c>
      <c r="B1317" t="s">
        <v>534</v>
      </c>
      <c r="C1317">
        <v>0</v>
      </c>
      <c r="D1317">
        <v>2</v>
      </c>
      <c r="E1317" s="3">
        <f t="shared" si="20"/>
        <v>16</v>
      </c>
    </row>
    <row r="1318" spans="1:5" x14ac:dyDescent="0.2">
      <c r="A1318">
        <v>7</v>
      </c>
      <c r="B1318" t="s">
        <v>6</v>
      </c>
      <c r="C1318">
        <v>0</v>
      </c>
      <c r="D1318">
        <v>1</v>
      </c>
      <c r="E1318" s="3">
        <f t="shared" si="20"/>
        <v>16</v>
      </c>
    </row>
    <row r="1319" spans="1:5" x14ac:dyDescent="0.2">
      <c r="A1319">
        <v>8</v>
      </c>
      <c r="B1319" s="2" t="s">
        <v>10</v>
      </c>
      <c r="C1319" s="2" t="s">
        <v>10</v>
      </c>
      <c r="D1319" s="2" t="s">
        <v>10</v>
      </c>
      <c r="E1319" s="3">
        <f t="shared" si="20"/>
        <v>16</v>
      </c>
    </row>
    <row r="1320" spans="1:5" x14ac:dyDescent="0.2">
      <c r="A1320" s="1" t="s">
        <v>24</v>
      </c>
      <c r="E1320" s="3">
        <f t="shared" si="20"/>
        <v>16</v>
      </c>
    </row>
    <row r="1321" spans="1:5" x14ac:dyDescent="0.2">
      <c r="A1321" s="1" t="s">
        <v>1</v>
      </c>
      <c r="B1321" s="1" t="s">
        <v>2</v>
      </c>
      <c r="C1321" s="1" t="s">
        <v>3</v>
      </c>
      <c r="D1321" s="1" t="s">
        <v>4</v>
      </c>
      <c r="E1321" s="3">
        <f t="shared" si="20"/>
        <v>16</v>
      </c>
    </row>
    <row r="1322" spans="1:5" x14ac:dyDescent="0.2">
      <c r="A1322">
        <v>1</v>
      </c>
      <c r="B1322" t="s">
        <v>502</v>
      </c>
      <c r="C1322">
        <v>3</v>
      </c>
      <c r="D1322">
        <v>17</v>
      </c>
      <c r="E1322" s="3">
        <f t="shared" si="20"/>
        <v>16</v>
      </c>
    </row>
    <row r="1323" spans="1:5" x14ac:dyDescent="0.2">
      <c r="A1323">
        <v>2</v>
      </c>
      <c r="B1323" t="s">
        <v>55</v>
      </c>
      <c r="C1323">
        <v>3</v>
      </c>
      <c r="D1323">
        <v>13</v>
      </c>
      <c r="E1323" s="3">
        <f t="shared" si="20"/>
        <v>16</v>
      </c>
    </row>
    <row r="1324" spans="1:5" x14ac:dyDescent="0.2">
      <c r="A1324">
        <v>3</v>
      </c>
      <c r="B1324" t="s">
        <v>14</v>
      </c>
      <c r="C1324">
        <v>0</v>
      </c>
      <c r="D1324">
        <v>9</v>
      </c>
      <c r="E1324" s="3">
        <f t="shared" si="20"/>
        <v>16</v>
      </c>
    </row>
    <row r="1325" spans="1:5" x14ac:dyDescent="0.2">
      <c r="A1325">
        <v>4</v>
      </c>
      <c r="B1325" t="s">
        <v>507</v>
      </c>
      <c r="C1325">
        <v>0</v>
      </c>
      <c r="D1325">
        <v>5</v>
      </c>
      <c r="E1325" s="3">
        <f t="shared" si="20"/>
        <v>16</v>
      </c>
    </row>
    <row r="1326" spans="1:5" x14ac:dyDescent="0.2">
      <c r="A1326">
        <v>5</v>
      </c>
      <c r="B1326" t="s">
        <v>87</v>
      </c>
      <c r="C1326">
        <v>0</v>
      </c>
      <c r="D1326">
        <v>3</v>
      </c>
      <c r="E1326" s="3">
        <f t="shared" si="20"/>
        <v>16</v>
      </c>
    </row>
    <row r="1327" spans="1:5" x14ac:dyDescent="0.2">
      <c r="A1327">
        <v>6</v>
      </c>
      <c r="B1327" t="s">
        <v>74</v>
      </c>
      <c r="C1327">
        <v>0</v>
      </c>
      <c r="D1327">
        <v>2</v>
      </c>
      <c r="E1327" s="3">
        <f t="shared" si="20"/>
        <v>16</v>
      </c>
    </row>
    <row r="1328" spans="1:5" x14ac:dyDescent="0.2">
      <c r="A1328">
        <v>7</v>
      </c>
      <c r="B1328" t="s">
        <v>516</v>
      </c>
      <c r="C1328">
        <v>0</v>
      </c>
      <c r="D1328">
        <v>1</v>
      </c>
      <c r="E1328" s="3">
        <f t="shared" si="20"/>
        <v>16</v>
      </c>
    </row>
    <row r="1329" spans="1:5" x14ac:dyDescent="0.2">
      <c r="A1329">
        <v>8</v>
      </c>
      <c r="B1329" s="2" t="s">
        <v>10</v>
      </c>
      <c r="C1329" s="2" t="s">
        <v>10</v>
      </c>
      <c r="D1329" s="2" t="s">
        <v>10</v>
      </c>
      <c r="E1329" s="3">
        <f t="shared" si="20"/>
        <v>16</v>
      </c>
    </row>
    <row r="1330" spans="1:5" x14ac:dyDescent="0.2">
      <c r="A1330" s="1" t="s">
        <v>30</v>
      </c>
      <c r="E1330" s="3">
        <f t="shared" si="20"/>
        <v>16</v>
      </c>
    </row>
    <row r="1331" spans="1:5" x14ac:dyDescent="0.2">
      <c r="A1331" s="1" t="s">
        <v>1</v>
      </c>
      <c r="B1331" s="1" t="s">
        <v>2</v>
      </c>
      <c r="C1331" s="1" t="s">
        <v>3</v>
      </c>
      <c r="D1331" s="1" t="s">
        <v>4</v>
      </c>
      <c r="E1331" s="3">
        <f t="shared" si="20"/>
        <v>16</v>
      </c>
    </row>
    <row r="1332" spans="1:5" x14ac:dyDescent="0.2">
      <c r="A1332">
        <v>1</v>
      </c>
      <c r="B1332" t="s">
        <v>101</v>
      </c>
      <c r="C1332">
        <v>2</v>
      </c>
      <c r="D1332">
        <v>18</v>
      </c>
      <c r="E1332" s="3">
        <f t="shared" si="20"/>
        <v>16</v>
      </c>
    </row>
    <row r="1333" spans="1:5" x14ac:dyDescent="0.2">
      <c r="A1333">
        <v>2</v>
      </c>
      <c r="B1333" t="s">
        <v>66</v>
      </c>
      <c r="C1333">
        <v>2</v>
      </c>
      <c r="D1333">
        <v>14</v>
      </c>
      <c r="E1333" s="3">
        <f t="shared" si="20"/>
        <v>16</v>
      </c>
    </row>
    <row r="1334" spans="1:5" x14ac:dyDescent="0.2">
      <c r="A1334">
        <v>3</v>
      </c>
      <c r="B1334" t="s">
        <v>19</v>
      </c>
      <c r="C1334">
        <v>1</v>
      </c>
      <c r="D1334">
        <v>10</v>
      </c>
      <c r="E1334" s="3">
        <f t="shared" si="20"/>
        <v>16</v>
      </c>
    </row>
    <row r="1335" spans="1:5" x14ac:dyDescent="0.2">
      <c r="A1335">
        <v>4</v>
      </c>
      <c r="B1335" t="s">
        <v>505</v>
      </c>
      <c r="C1335">
        <v>0</v>
      </c>
      <c r="D1335">
        <v>6</v>
      </c>
      <c r="E1335" s="3">
        <f t="shared" si="20"/>
        <v>16</v>
      </c>
    </row>
    <row r="1336" spans="1:5" x14ac:dyDescent="0.2">
      <c r="A1336">
        <v>5</v>
      </c>
      <c r="B1336" t="s">
        <v>21</v>
      </c>
      <c r="C1336">
        <v>2</v>
      </c>
      <c r="D1336">
        <v>4</v>
      </c>
      <c r="E1336" s="3">
        <f t="shared" si="20"/>
        <v>16</v>
      </c>
    </row>
    <row r="1337" spans="1:5" x14ac:dyDescent="0.2">
      <c r="A1337">
        <v>6</v>
      </c>
      <c r="B1337" t="s">
        <v>501</v>
      </c>
      <c r="C1337">
        <v>0</v>
      </c>
      <c r="D1337">
        <v>3</v>
      </c>
      <c r="E1337" s="3">
        <f t="shared" si="20"/>
        <v>16</v>
      </c>
    </row>
    <row r="1338" spans="1:5" x14ac:dyDescent="0.2">
      <c r="A1338">
        <v>7</v>
      </c>
      <c r="B1338" t="s">
        <v>25</v>
      </c>
      <c r="C1338">
        <v>0</v>
      </c>
      <c r="D1338">
        <v>2</v>
      </c>
      <c r="E1338" s="3">
        <f t="shared" si="20"/>
        <v>16</v>
      </c>
    </row>
    <row r="1339" spans="1:5" x14ac:dyDescent="0.2">
      <c r="A1339">
        <v>8</v>
      </c>
      <c r="B1339" t="s">
        <v>512</v>
      </c>
      <c r="C1339">
        <v>0</v>
      </c>
      <c r="D1339">
        <v>1</v>
      </c>
      <c r="E1339" s="3">
        <f t="shared" si="20"/>
        <v>16</v>
      </c>
    </row>
    <row r="1340" spans="1:5" x14ac:dyDescent="0.2">
      <c r="A1340" s="1" t="s">
        <v>37</v>
      </c>
      <c r="E1340" s="3">
        <f t="shared" si="20"/>
        <v>16</v>
      </c>
    </row>
    <row r="1341" spans="1:5" x14ac:dyDescent="0.2">
      <c r="A1341" s="1" t="s">
        <v>1</v>
      </c>
      <c r="B1341" s="1" t="s">
        <v>2</v>
      </c>
      <c r="C1341" s="1" t="s">
        <v>3</v>
      </c>
      <c r="D1341" s="1" t="s">
        <v>4</v>
      </c>
      <c r="E1341" s="3">
        <f t="shared" si="20"/>
        <v>16</v>
      </c>
    </row>
    <row r="1342" spans="1:5" x14ac:dyDescent="0.2">
      <c r="A1342">
        <v>1</v>
      </c>
      <c r="B1342" t="s">
        <v>75</v>
      </c>
      <c r="C1342">
        <v>3</v>
      </c>
      <c r="D1342">
        <v>17</v>
      </c>
      <c r="E1342" s="3">
        <f t="shared" si="20"/>
        <v>16</v>
      </c>
    </row>
    <row r="1343" spans="1:5" x14ac:dyDescent="0.2">
      <c r="A1343">
        <v>2</v>
      </c>
      <c r="B1343" t="s">
        <v>503</v>
      </c>
      <c r="C1343">
        <v>3</v>
      </c>
      <c r="D1343">
        <v>13</v>
      </c>
      <c r="E1343" s="3">
        <f t="shared" si="20"/>
        <v>16</v>
      </c>
    </row>
    <row r="1344" spans="1:5" x14ac:dyDescent="0.2">
      <c r="A1344">
        <v>3</v>
      </c>
      <c r="B1344" t="s">
        <v>454</v>
      </c>
      <c r="C1344">
        <v>0</v>
      </c>
      <c r="D1344">
        <v>9</v>
      </c>
      <c r="E1344" s="3">
        <f t="shared" si="20"/>
        <v>16</v>
      </c>
    </row>
    <row r="1345" spans="1:5" x14ac:dyDescent="0.2">
      <c r="A1345">
        <v>4</v>
      </c>
      <c r="B1345" t="s">
        <v>510</v>
      </c>
      <c r="C1345">
        <v>0</v>
      </c>
      <c r="D1345">
        <v>5</v>
      </c>
      <c r="E1345" s="3">
        <f t="shared" si="20"/>
        <v>16</v>
      </c>
    </row>
    <row r="1346" spans="1:5" x14ac:dyDescent="0.2">
      <c r="A1346">
        <v>5</v>
      </c>
      <c r="B1346" t="s">
        <v>475</v>
      </c>
      <c r="C1346">
        <v>0</v>
      </c>
      <c r="D1346">
        <v>3</v>
      </c>
      <c r="E1346" s="3">
        <f t="shared" si="20"/>
        <v>16</v>
      </c>
    </row>
    <row r="1347" spans="1:5" x14ac:dyDescent="0.2">
      <c r="A1347">
        <v>6</v>
      </c>
      <c r="B1347" t="s">
        <v>525</v>
      </c>
      <c r="C1347">
        <v>0</v>
      </c>
      <c r="D1347">
        <v>2</v>
      </c>
      <c r="E1347" s="3">
        <f t="shared" si="20"/>
        <v>16</v>
      </c>
    </row>
    <row r="1348" spans="1:5" x14ac:dyDescent="0.2">
      <c r="A1348">
        <v>7</v>
      </c>
      <c r="B1348" t="s">
        <v>32</v>
      </c>
      <c r="C1348">
        <v>0</v>
      </c>
      <c r="D1348">
        <v>1</v>
      </c>
      <c r="E1348" s="3">
        <f t="shared" si="20"/>
        <v>16</v>
      </c>
    </row>
    <row r="1349" spans="1:5" x14ac:dyDescent="0.2">
      <c r="A1349">
        <v>8</v>
      </c>
      <c r="B1349" s="2" t="s">
        <v>10</v>
      </c>
      <c r="C1349" s="2" t="s">
        <v>10</v>
      </c>
      <c r="D1349" s="2" t="s">
        <v>10</v>
      </c>
      <c r="E1349" s="3">
        <f t="shared" si="20"/>
        <v>16</v>
      </c>
    </row>
    <row r="1350" spans="1:5" x14ac:dyDescent="0.2">
      <c r="A1350" s="1" t="s">
        <v>537</v>
      </c>
      <c r="E1350" s="3">
        <f t="shared" si="20"/>
        <v>17</v>
      </c>
    </row>
    <row r="1351" spans="1:5" x14ac:dyDescent="0.2">
      <c r="A1351" s="1" t="s">
        <v>1</v>
      </c>
      <c r="B1351" s="1" t="s">
        <v>2</v>
      </c>
      <c r="C1351" s="1" t="s">
        <v>3</v>
      </c>
      <c r="D1351" s="1" t="s">
        <v>4</v>
      </c>
      <c r="E1351" s="3">
        <f t="shared" si="20"/>
        <v>17</v>
      </c>
    </row>
    <row r="1352" spans="1:5" x14ac:dyDescent="0.2">
      <c r="A1352">
        <v>1</v>
      </c>
      <c r="B1352" t="s">
        <v>512</v>
      </c>
      <c r="C1352">
        <v>4</v>
      </c>
      <c r="D1352">
        <v>16</v>
      </c>
      <c r="E1352" s="3">
        <f t="shared" si="20"/>
        <v>17</v>
      </c>
    </row>
    <row r="1353" spans="1:5" x14ac:dyDescent="0.2">
      <c r="A1353">
        <v>2</v>
      </c>
      <c r="B1353" t="s">
        <v>475</v>
      </c>
      <c r="C1353">
        <v>1</v>
      </c>
      <c r="D1353">
        <v>12</v>
      </c>
      <c r="E1353" s="3">
        <f t="shared" si="20"/>
        <v>17</v>
      </c>
    </row>
    <row r="1354" spans="1:5" x14ac:dyDescent="0.2">
      <c r="A1354">
        <v>3</v>
      </c>
      <c r="B1354" t="s">
        <v>6</v>
      </c>
      <c r="C1354">
        <v>0</v>
      </c>
      <c r="D1354">
        <v>8</v>
      </c>
      <c r="E1354" s="3">
        <f t="shared" si="20"/>
        <v>17</v>
      </c>
    </row>
    <row r="1355" spans="1:5" x14ac:dyDescent="0.2">
      <c r="A1355">
        <v>4</v>
      </c>
      <c r="B1355" t="s">
        <v>345</v>
      </c>
      <c r="C1355">
        <v>0</v>
      </c>
      <c r="D1355">
        <v>4</v>
      </c>
      <c r="E1355" s="3">
        <f t="shared" si="20"/>
        <v>17</v>
      </c>
    </row>
    <row r="1356" spans="1:5" x14ac:dyDescent="0.2">
      <c r="A1356">
        <v>5</v>
      </c>
      <c r="B1356" t="s">
        <v>42</v>
      </c>
      <c r="C1356">
        <v>0</v>
      </c>
      <c r="D1356">
        <v>2</v>
      </c>
      <c r="E1356" s="3">
        <f t="shared" si="20"/>
        <v>17</v>
      </c>
    </row>
    <row r="1357" spans="1:5" x14ac:dyDescent="0.2">
      <c r="A1357">
        <v>6</v>
      </c>
      <c r="B1357" t="s">
        <v>87</v>
      </c>
      <c r="C1357">
        <v>0</v>
      </c>
      <c r="D1357">
        <v>1</v>
      </c>
      <c r="E1357" s="3">
        <f t="shared" si="20"/>
        <v>17</v>
      </c>
    </row>
    <row r="1358" spans="1:5" x14ac:dyDescent="0.2">
      <c r="A1358">
        <v>7</v>
      </c>
      <c r="B1358" s="2" t="s">
        <v>10</v>
      </c>
      <c r="C1358" s="2" t="s">
        <v>10</v>
      </c>
      <c r="D1358" s="2" t="s">
        <v>10</v>
      </c>
      <c r="E1358" s="3">
        <f t="shared" si="20"/>
        <v>17</v>
      </c>
    </row>
    <row r="1359" spans="1:5" x14ac:dyDescent="0.2">
      <c r="A1359">
        <v>8</v>
      </c>
      <c r="B1359" s="2" t="s">
        <v>10</v>
      </c>
      <c r="C1359" s="2" t="s">
        <v>10</v>
      </c>
      <c r="D1359" s="2" t="s">
        <v>10</v>
      </c>
      <c r="E1359" s="3">
        <f t="shared" si="20"/>
        <v>17</v>
      </c>
    </row>
    <row r="1360" spans="1:5" x14ac:dyDescent="0.2">
      <c r="A1360" s="1" t="s">
        <v>538</v>
      </c>
      <c r="E1360" s="3">
        <f t="shared" si="20"/>
        <v>17</v>
      </c>
    </row>
    <row r="1361" spans="1:5" x14ac:dyDescent="0.2">
      <c r="A1361" s="1" t="s">
        <v>1</v>
      </c>
      <c r="B1361" s="1" t="s">
        <v>2</v>
      </c>
      <c r="C1361" s="1" t="s">
        <v>3</v>
      </c>
      <c r="D1361" s="1" t="s">
        <v>4</v>
      </c>
      <c r="E1361" s="3">
        <f t="shared" si="20"/>
        <v>17</v>
      </c>
    </row>
    <row r="1362" spans="1:5" x14ac:dyDescent="0.2">
      <c r="A1362">
        <v>1</v>
      </c>
      <c r="B1362" t="s">
        <v>506</v>
      </c>
      <c r="C1362">
        <v>2</v>
      </c>
      <c r="D1362">
        <v>17</v>
      </c>
      <c r="E1362" s="3">
        <f t="shared" si="20"/>
        <v>17</v>
      </c>
    </row>
    <row r="1363" spans="1:5" x14ac:dyDescent="0.2">
      <c r="A1363">
        <v>2</v>
      </c>
      <c r="B1363" t="s">
        <v>503</v>
      </c>
      <c r="C1363">
        <v>3</v>
      </c>
      <c r="D1363">
        <v>13</v>
      </c>
      <c r="E1363" s="3">
        <f t="shared" si="20"/>
        <v>17</v>
      </c>
    </row>
    <row r="1364" spans="1:5" x14ac:dyDescent="0.2">
      <c r="A1364">
        <v>3</v>
      </c>
      <c r="B1364" t="s">
        <v>515</v>
      </c>
      <c r="C1364">
        <v>0</v>
      </c>
      <c r="D1364">
        <v>9</v>
      </c>
      <c r="E1364" s="3">
        <f t="shared" si="20"/>
        <v>17</v>
      </c>
    </row>
    <row r="1365" spans="1:5" x14ac:dyDescent="0.2">
      <c r="A1365">
        <v>4</v>
      </c>
      <c r="B1365" t="s">
        <v>74</v>
      </c>
      <c r="C1365">
        <v>1</v>
      </c>
      <c r="D1365">
        <v>5</v>
      </c>
      <c r="E1365" s="3">
        <f t="shared" si="20"/>
        <v>17</v>
      </c>
    </row>
    <row r="1366" spans="1:5" x14ac:dyDescent="0.2">
      <c r="A1366">
        <v>5</v>
      </c>
      <c r="B1366" t="s">
        <v>507</v>
      </c>
      <c r="C1366">
        <v>0</v>
      </c>
      <c r="D1366">
        <v>3</v>
      </c>
      <c r="E1366" s="3">
        <f t="shared" si="20"/>
        <v>17</v>
      </c>
    </row>
    <row r="1367" spans="1:5" x14ac:dyDescent="0.2">
      <c r="A1367">
        <v>6</v>
      </c>
      <c r="B1367" t="s">
        <v>516</v>
      </c>
      <c r="C1367">
        <v>0</v>
      </c>
      <c r="D1367">
        <v>2</v>
      </c>
      <c r="E1367" s="3">
        <f t="shared" si="20"/>
        <v>17</v>
      </c>
    </row>
    <row r="1368" spans="1:5" x14ac:dyDescent="0.2">
      <c r="A1368">
        <v>7</v>
      </c>
      <c r="B1368" t="s">
        <v>500</v>
      </c>
      <c r="C1368">
        <v>0</v>
      </c>
      <c r="D1368">
        <v>1</v>
      </c>
      <c r="E1368" s="3">
        <f t="shared" si="20"/>
        <v>17</v>
      </c>
    </row>
    <row r="1369" spans="1:5" x14ac:dyDescent="0.2">
      <c r="A1369">
        <v>8</v>
      </c>
      <c r="B1369" s="2" t="s">
        <v>10</v>
      </c>
      <c r="C1369" s="2" t="s">
        <v>10</v>
      </c>
      <c r="D1369" s="2" t="s">
        <v>10</v>
      </c>
      <c r="E1369" s="3">
        <f t="shared" si="20"/>
        <v>17</v>
      </c>
    </row>
    <row r="1370" spans="1:5" x14ac:dyDescent="0.2">
      <c r="A1370" s="1" t="s">
        <v>539</v>
      </c>
      <c r="E1370" s="3">
        <f t="shared" si="20"/>
        <v>17</v>
      </c>
    </row>
    <row r="1371" spans="1:5" x14ac:dyDescent="0.2">
      <c r="A1371" s="1" t="s">
        <v>1</v>
      </c>
      <c r="B1371" s="1" t="s">
        <v>2</v>
      </c>
      <c r="C1371" s="1" t="s">
        <v>3</v>
      </c>
      <c r="D1371" s="1" t="s">
        <v>4</v>
      </c>
      <c r="E1371" s="3">
        <f t="shared" si="20"/>
        <v>17</v>
      </c>
    </row>
    <row r="1372" spans="1:5" x14ac:dyDescent="0.2">
      <c r="A1372">
        <v>1</v>
      </c>
      <c r="B1372" t="s">
        <v>476</v>
      </c>
      <c r="C1372">
        <v>4</v>
      </c>
      <c r="D1372">
        <v>17</v>
      </c>
      <c r="E1372" s="3">
        <f t="shared" si="20"/>
        <v>17</v>
      </c>
    </row>
    <row r="1373" spans="1:5" x14ac:dyDescent="0.2">
      <c r="A1373">
        <v>2</v>
      </c>
      <c r="B1373" t="s">
        <v>66</v>
      </c>
      <c r="C1373">
        <v>0</v>
      </c>
      <c r="D1373">
        <v>13</v>
      </c>
      <c r="E1373" s="3">
        <f t="shared" si="20"/>
        <v>17</v>
      </c>
    </row>
    <row r="1374" spans="1:5" x14ac:dyDescent="0.2">
      <c r="A1374">
        <v>3</v>
      </c>
      <c r="B1374" t="s">
        <v>75</v>
      </c>
      <c r="C1374">
        <v>1</v>
      </c>
      <c r="D1374">
        <v>9</v>
      </c>
      <c r="E1374" s="3">
        <f t="shared" si="20"/>
        <v>17</v>
      </c>
    </row>
    <row r="1375" spans="1:5" x14ac:dyDescent="0.2">
      <c r="A1375">
        <v>4</v>
      </c>
      <c r="B1375" t="s">
        <v>534</v>
      </c>
      <c r="C1375">
        <v>1</v>
      </c>
      <c r="D1375">
        <v>5</v>
      </c>
      <c r="E1375" s="3">
        <f t="shared" si="20"/>
        <v>17</v>
      </c>
    </row>
    <row r="1376" spans="1:5" x14ac:dyDescent="0.2">
      <c r="A1376">
        <v>5</v>
      </c>
      <c r="B1376" t="s">
        <v>69</v>
      </c>
      <c r="C1376">
        <v>0</v>
      </c>
      <c r="D1376">
        <v>3</v>
      </c>
      <c r="E1376" s="3">
        <f t="shared" si="20"/>
        <v>17</v>
      </c>
    </row>
    <row r="1377" spans="1:5" x14ac:dyDescent="0.2">
      <c r="A1377">
        <v>6</v>
      </c>
      <c r="B1377" t="s">
        <v>504</v>
      </c>
      <c r="C1377">
        <v>0</v>
      </c>
      <c r="D1377">
        <v>2</v>
      </c>
      <c r="E1377" s="3">
        <f t="shared" si="20"/>
        <v>17</v>
      </c>
    </row>
    <row r="1378" spans="1:5" x14ac:dyDescent="0.2">
      <c r="A1378">
        <v>7</v>
      </c>
      <c r="B1378" t="s">
        <v>15</v>
      </c>
      <c r="C1378">
        <v>0</v>
      </c>
      <c r="D1378">
        <v>1</v>
      </c>
      <c r="E1378" s="3">
        <f t="shared" si="20"/>
        <v>17</v>
      </c>
    </row>
    <row r="1379" spans="1:5" x14ac:dyDescent="0.2">
      <c r="A1379">
        <v>8</v>
      </c>
      <c r="B1379" s="2" t="s">
        <v>10</v>
      </c>
      <c r="C1379" s="2" t="s">
        <v>10</v>
      </c>
      <c r="D1379" s="2" t="s">
        <v>10</v>
      </c>
      <c r="E1379" s="3">
        <f t="shared" ref="E1379:E1442" si="21">IF(A1379=$A$1,E1378+1,E1378)</f>
        <v>17</v>
      </c>
    </row>
    <row r="1380" spans="1:5" x14ac:dyDescent="0.2">
      <c r="A1380" s="1" t="s">
        <v>540</v>
      </c>
      <c r="E1380" s="3">
        <f t="shared" si="21"/>
        <v>17</v>
      </c>
    </row>
    <row r="1381" spans="1:5" x14ac:dyDescent="0.2">
      <c r="A1381" s="1" t="s">
        <v>1</v>
      </c>
      <c r="B1381" s="1" t="s">
        <v>2</v>
      </c>
      <c r="C1381" s="1" t="s">
        <v>3</v>
      </c>
      <c r="D1381" s="1" t="s">
        <v>4</v>
      </c>
      <c r="E1381" s="3">
        <f t="shared" si="21"/>
        <v>17</v>
      </c>
    </row>
    <row r="1382" spans="1:5" x14ac:dyDescent="0.2">
      <c r="A1382">
        <v>1</v>
      </c>
      <c r="B1382" t="s">
        <v>29</v>
      </c>
      <c r="C1382">
        <v>5</v>
      </c>
      <c r="D1382">
        <v>17</v>
      </c>
      <c r="E1382" s="3">
        <f t="shared" si="21"/>
        <v>17</v>
      </c>
    </row>
    <row r="1383" spans="1:5" x14ac:dyDescent="0.2">
      <c r="A1383">
        <v>2</v>
      </c>
      <c r="B1383" t="s">
        <v>55</v>
      </c>
      <c r="C1383">
        <v>0</v>
      </c>
      <c r="D1383">
        <v>13</v>
      </c>
      <c r="E1383" s="3">
        <f t="shared" si="21"/>
        <v>17</v>
      </c>
    </row>
    <row r="1384" spans="1:5" x14ac:dyDescent="0.2">
      <c r="A1384">
        <v>3</v>
      </c>
      <c r="B1384" t="s">
        <v>485</v>
      </c>
      <c r="C1384">
        <v>1</v>
      </c>
      <c r="D1384">
        <v>9</v>
      </c>
      <c r="E1384" s="3">
        <f t="shared" si="21"/>
        <v>17</v>
      </c>
    </row>
    <row r="1385" spans="1:5" x14ac:dyDescent="0.2">
      <c r="A1385">
        <v>4</v>
      </c>
      <c r="B1385" t="s">
        <v>518</v>
      </c>
      <c r="C1385">
        <v>0</v>
      </c>
      <c r="D1385">
        <v>5</v>
      </c>
      <c r="E1385" s="3">
        <f t="shared" si="21"/>
        <v>17</v>
      </c>
    </row>
    <row r="1386" spans="1:5" x14ac:dyDescent="0.2">
      <c r="A1386">
        <v>5</v>
      </c>
      <c r="B1386" t="s">
        <v>73</v>
      </c>
      <c r="C1386">
        <v>0</v>
      </c>
      <c r="D1386">
        <v>3</v>
      </c>
      <c r="E1386" s="3">
        <f t="shared" si="21"/>
        <v>17</v>
      </c>
    </row>
    <row r="1387" spans="1:5" x14ac:dyDescent="0.2">
      <c r="A1387">
        <v>6</v>
      </c>
      <c r="B1387" t="s">
        <v>493</v>
      </c>
      <c r="C1387">
        <v>0</v>
      </c>
      <c r="D1387">
        <v>2</v>
      </c>
      <c r="E1387" s="3">
        <f t="shared" si="21"/>
        <v>17</v>
      </c>
    </row>
    <row r="1388" spans="1:5" x14ac:dyDescent="0.2">
      <c r="A1388">
        <v>7</v>
      </c>
      <c r="B1388" t="s">
        <v>65</v>
      </c>
      <c r="C1388">
        <v>0</v>
      </c>
      <c r="D1388">
        <v>1</v>
      </c>
      <c r="E1388" s="3">
        <f t="shared" si="21"/>
        <v>17</v>
      </c>
    </row>
    <row r="1389" spans="1:5" x14ac:dyDescent="0.2">
      <c r="A1389">
        <v>8</v>
      </c>
      <c r="B1389" s="2" t="s">
        <v>10</v>
      </c>
      <c r="C1389" s="2" t="s">
        <v>10</v>
      </c>
      <c r="D1389" s="2" t="s">
        <v>10</v>
      </c>
      <c r="E1389" s="3">
        <f t="shared" si="21"/>
        <v>17</v>
      </c>
    </row>
    <row r="1390" spans="1:5" x14ac:dyDescent="0.2">
      <c r="A1390" s="1" t="s">
        <v>541</v>
      </c>
      <c r="E1390" s="3">
        <f t="shared" si="21"/>
        <v>17</v>
      </c>
    </row>
    <row r="1391" spans="1:5" x14ac:dyDescent="0.2">
      <c r="A1391" s="1" t="s">
        <v>1</v>
      </c>
      <c r="B1391" s="1" t="s">
        <v>2</v>
      </c>
      <c r="C1391" s="1" t="s">
        <v>3</v>
      </c>
      <c r="D1391" s="1" t="s">
        <v>4</v>
      </c>
      <c r="E1391" s="3">
        <f t="shared" si="21"/>
        <v>17</v>
      </c>
    </row>
    <row r="1392" spans="1:5" x14ac:dyDescent="0.2">
      <c r="A1392">
        <v>1</v>
      </c>
      <c r="B1392" t="s">
        <v>14</v>
      </c>
      <c r="C1392">
        <v>2</v>
      </c>
      <c r="D1392">
        <v>17</v>
      </c>
      <c r="E1392" s="3">
        <f t="shared" si="21"/>
        <v>17</v>
      </c>
    </row>
    <row r="1393" spans="1:5" x14ac:dyDescent="0.2">
      <c r="A1393">
        <v>2</v>
      </c>
      <c r="B1393" t="s">
        <v>35</v>
      </c>
      <c r="C1393">
        <v>3</v>
      </c>
      <c r="D1393">
        <v>13</v>
      </c>
      <c r="E1393" s="3">
        <f t="shared" si="21"/>
        <v>17</v>
      </c>
    </row>
    <row r="1394" spans="1:5" x14ac:dyDescent="0.2">
      <c r="A1394">
        <v>3</v>
      </c>
      <c r="B1394" t="s">
        <v>46</v>
      </c>
      <c r="C1394">
        <v>1</v>
      </c>
      <c r="D1394">
        <v>9</v>
      </c>
      <c r="E1394" s="3">
        <f t="shared" si="21"/>
        <v>17</v>
      </c>
    </row>
    <row r="1395" spans="1:5" x14ac:dyDescent="0.2">
      <c r="A1395">
        <v>4</v>
      </c>
      <c r="B1395" t="s">
        <v>532</v>
      </c>
      <c r="C1395">
        <v>0</v>
      </c>
      <c r="D1395">
        <v>5</v>
      </c>
      <c r="E1395" s="3">
        <f t="shared" si="21"/>
        <v>17</v>
      </c>
    </row>
    <row r="1396" spans="1:5" x14ac:dyDescent="0.2">
      <c r="A1396">
        <v>5</v>
      </c>
      <c r="B1396" t="s">
        <v>25</v>
      </c>
      <c r="C1396">
        <v>0</v>
      </c>
      <c r="D1396">
        <v>3</v>
      </c>
      <c r="E1396" s="3">
        <f t="shared" si="21"/>
        <v>17</v>
      </c>
    </row>
    <row r="1397" spans="1:5" x14ac:dyDescent="0.2">
      <c r="A1397">
        <v>6</v>
      </c>
      <c r="B1397" t="s">
        <v>501</v>
      </c>
      <c r="C1397">
        <v>0</v>
      </c>
      <c r="D1397">
        <v>2</v>
      </c>
      <c r="E1397" s="3">
        <f t="shared" si="21"/>
        <v>17</v>
      </c>
    </row>
    <row r="1398" spans="1:5" x14ac:dyDescent="0.2">
      <c r="A1398">
        <v>7</v>
      </c>
      <c r="B1398" t="s">
        <v>505</v>
      </c>
      <c r="C1398">
        <v>0</v>
      </c>
      <c r="D1398">
        <v>1</v>
      </c>
      <c r="E1398" s="3">
        <f t="shared" si="21"/>
        <v>17</v>
      </c>
    </row>
    <row r="1399" spans="1:5" x14ac:dyDescent="0.2">
      <c r="A1399">
        <v>8</v>
      </c>
      <c r="B1399" s="2" t="s">
        <v>10</v>
      </c>
      <c r="C1399" s="2" t="s">
        <v>10</v>
      </c>
      <c r="D1399" s="2" t="s">
        <v>10</v>
      </c>
      <c r="E1399" s="3">
        <f t="shared" si="21"/>
        <v>17</v>
      </c>
    </row>
    <row r="1400" spans="1:5" x14ac:dyDescent="0.2">
      <c r="A1400" s="1" t="s">
        <v>542</v>
      </c>
      <c r="E1400" s="3">
        <f t="shared" si="21"/>
        <v>17</v>
      </c>
    </row>
    <row r="1401" spans="1:5" x14ac:dyDescent="0.2">
      <c r="A1401" s="1" t="s">
        <v>1</v>
      </c>
      <c r="B1401" s="1" t="s">
        <v>2</v>
      </c>
      <c r="C1401" s="1" t="s">
        <v>3</v>
      </c>
      <c r="D1401" s="1" t="s">
        <v>4</v>
      </c>
      <c r="E1401" s="3">
        <f t="shared" si="21"/>
        <v>17</v>
      </c>
    </row>
    <row r="1402" spans="1:5" x14ac:dyDescent="0.2">
      <c r="A1402">
        <v>1</v>
      </c>
      <c r="B1402" t="s">
        <v>19</v>
      </c>
      <c r="C1402">
        <v>2</v>
      </c>
      <c r="D1402">
        <v>17</v>
      </c>
      <c r="E1402" s="3">
        <f t="shared" si="21"/>
        <v>17</v>
      </c>
    </row>
    <row r="1403" spans="1:5" x14ac:dyDescent="0.2">
      <c r="A1403">
        <v>2</v>
      </c>
      <c r="B1403" t="s">
        <v>76</v>
      </c>
      <c r="C1403">
        <v>0</v>
      </c>
      <c r="D1403">
        <v>13</v>
      </c>
      <c r="E1403" s="3">
        <f t="shared" si="21"/>
        <v>17</v>
      </c>
    </row>
    <row r="1404" spans="1:5" x14ac:dyDescent="0.2">
      <c r="A1404">
        <v>3</v>
      </c>
      <c r="B1404" t="s">
        <v>9</v>
      </c>
      <c r="C1404">
        <v>2</v>
      </c>
      <c r="D1404">
        <v>9</v>
      </c>
      <c r="E1404" s="3">
        <f t="shared" si="21"/>
        <v>17</v>
      </c>
    </row>
    <row r="1405" spans="1:5" x14ac:dyDescent="0.2">
      <c r="A1405">
        <v>4</v>
      </c>
      <c r="B1405" t="s">
        <v>27</v>
      </c>
      <c r="C1405">
        <v>1</v>
      </c>
      <c r="D1405">
        <v>5</v>
      </c>
      <c r="E1405" s="3">
        <f t="shared" si="21"/>
        <v>17</v>
      </c>
    </row>
    <row r="1406" spans="1:5" x14ac:dyDescent="0.2">
      <c r="A1406">
        <v>5</v>
      </c>
      <c r="B1406" t="s">
        <v>525</v>
      </c>
      <c r="C1406">
        <v>0</v>
      </c>
      <c r="D1406">
        <v>3</v>
      </c>
      <c r="E1406" s="3">
        <f t="shared" si="21"/>
        <v>17</v>
      </c>
    </row>
    <row r="1407" spans="1:5" x14ac:dyDescent="0.2">
      <c r="A1407">
        <v>6</v>
      </c>
      <c r="B1407" t="s">
        <v>21</v>
      </c>
      <c r="C1407">
        <v>0</v>
      </c>
      <c r="D1407">
        <v>2</v>
      </c>
      <c r="E1407" s="3">
        <f t="shared" si="21"/>
        <v>17</v>
      </c>
    </row>
    <row r="1408" spans="1:5" x14ac:dyDescent="0.2">
      <c r="A1408">
        <v>7</v>
      </c>
      <c r="B1408" t="s">
        <v>484</v>
      </c>
      <c r="C1408">
        <v>0</v>
      </c>
      <c r="D1408">
        <v>1</v>
      </c>
      <c r="E1408" s="3">
        <f t="shared" si="21"/>
        <v>17</v>
      </c>
    </row>
    <row r="1409" spans="1:5" x14ac:dyDescent="0.2">
      <c r="A1409">
        <v>8</v>
      </c>
      <c r="B1409" s="2" t="s">
        <v>10</v>
      </c>
      <c r="C1409" s="2" t="s">
        <v>10</v>
      </c>
      <c r="D1409" s="2" t="s">
        <v>10</v>
      </c>
      <c r="E1409" s="3">
        <f t="shared" si="21"/>
        <v>17</v>
      </c>
    </row>
    <row r="1410" spans="1:5" x14ac:dyDescent="0.2">
      <c r="A1410" s="1" t="s">
        <v>543</v>
      </c>
      <c r="E1410" s="3">
        <f t="shared" si="21"/>
        <v>17</v>
      </c>
    </row>
    <row r="1411" spans="1:5" x14ac:dyDescent="0.2">
      <c r="A1411" s="1" t="s">
        <v>1</v>
      </c>
      <c r="B1411" s="1" t="s">
        <v>2</v>
      </c>
      <c r="C1411" s="1" t="s">
        <v>3</v>
      </c>
      <c r="D1411" s="1" t="s">
        <v>4</v>
      </c>
      <c r="E1411" s="3">
        <f t="shared" si="21"/>
        <v>17</v>
      </c>
    </row>
    <row r="1412" spans="1:5" x14ac:dyDescent="0.2">
      <c r="A1412">
        <v>0</v>
      </c>
      <c r="C1412">
        <v>0</v>
      </c>
      <c r="D1412">
        <v>0</v>
      </c>
      <c r="E1412" s="3">
        <f t="shared" si="21"/>
        <v>17</v>
      </c>
    </row>
    <row r="1413" spans="1:5" x14ac:dyDescent="0.2">
      <c r="A1413">
        <v>1</v>
      </c>
      <c r="B1413" t="s">
        <v>81</v>
      </c>
      <c r="C1413">
        <v>4</v>
      </c>
      <c r="D1413">
        <v>17</v>
      </c>
      <c r="E1413" s="3">
        <f t="shared" si="21"/>
        <v>17</v>
      </c>
    </row>
    <row r="1414" spans="1:5" x14ac:dyDescent="0.2">
      <c r="A1414">
        <v>2</v>
      </c>
      <c r="B1414" t="s">
        <v>490</v>
      </c>
      <c r="C1414">
        <v>0</v>
      </c>
      <c r="D1414">
        <v>13</v>
      </c>
      <c r="E1414" s="3">
        <f t="shared" si="21"/>
        <v>17</v>
      </c>
    </row>
    <row r="1415" spans="1:5" x14ac:dyDescent="0.2">
      <c r="A1415">
        <v>3</v>
      </c>
      <c r="B1415" t="s">
        <v>461</v>
      </c>
      <c r="C1415">
        <v>1</v>
      </c>
      <c r="D1415">
        <v>9</v>
      </c>
      <c r="E1415" s="3">
        <f t="shared" si="21"/>
        <v>17</v>
      </c>
    </row>
    <row r="1416" spans="1:5" x14ac:dyDescent="0.2">
      <c r="A1416">
        <v>3</v>
      </c>
      <c r="B1416" t="s">
        <v>280</v>
      </c>
      <c r="C1416">
        <v>0</v>
      </c>
      <c r="D1416">
        <v>9</v>
      </c>
      <c r="E1416" s="3">
        <f t="shared" si="21"/>
        <v>17</v>
      </c>
    </row>
    <row r="1417" spans="1:5" x14ac:dyDescent="0.2">
      <c r="A1417">
        <v>5</v>
      </c>
      <c r="B1417" t="s">
        <v>509</v>
      </c>
      <c r="C1417">
        <v>1</v>
      </c>
      <c r="D1417">
        <v>3</v>
      </c>
      <c r="E1417" s="3">
        <f t="shared" si="21"/>
        <v>17</v>
      </c>
    </row>
    <row r="1418" spans="1:5" x14ac:dyDescent="0.2">
      <c r="A1418">
        <v>6</v>
      </c>
      <c r="B1418" t="s">
        <v>535</v>
      </c>
      <c r="C1418">
        <v>0</v>
      </c>
      <c r="D1418">
        <v>2</v>
      </c>
      <c r="E1418" s="3">
        <f t="shared" si="21"/>
        <v>17</v>
      </c>
    </row>
    <row r="1419" spans="1:5" x14ac:dyDescent="0.2">
      <c r="A1419">
        <v>7</v>
      </c>
      <c r="B1419" t="s">
        <v>519</v>
      </c>
      <c r="C1419">
        <v>0</v>
      </c>
      <c r="D1419">
        <v>1</v>
      </c>
      <c r="E1419" s="3">
        <f t="shared" si="21"/>
        <v>17</v>
      </c>
    </row>
    <row r="1420" spans="1:5" x14ac:dyDescent="0.2">
      <c r="A1420">
        <v>9</v>
      </c>
      <c r="B1420" s="2" t="s">
        <v>10</v>
      </c>
      <c r="C1420" s="2" t="s">
        <v>10</v>
      </c>
      <c r="D1420" s="2" t="s">
        <v>10</v>
      </c>
      <c r="E1420" s="3">
        <f t="shared" si="21"/>
        <v>17</v>
      </c>
    </row>
    <row r="1421" spans="1:5" x14ac:dyDescent="0.2">
      <c r="A1421" s="1" t="s">
        <v>0</v>
      </c>
      <c r="E1421" s="3">
        <f t="shared" si="21"/>
        <v>18</v>
      </c>
    </row>
    <row r="1422" spans="1:5" x14ac:dyDescent="0.2">
      <c r="A1422" s="1" t="s">
        <v>1</v>
      </c>
      <c r="B1422" s="1" t="s">
        <v>2</v>
      </c>
      <c r="C1422" s="1" t="s">
        <v>3</v>
      </c>
      <c r="D1422" s="1" t="s">
        <v>4</v>
      </c>
      <c r="E1422" s="3">
        <f t="shared" si="21"/>
        <v>18</v>
      </c>
    </row>
    <row r="1423" spans="1:5" x14ac:dyDescent="0.2">
      <c r="A1423">
        <v>1</v>
      </c>
      <c r="B1423" t="s">
        <v>25</v>
      </c>
      <c r="C1423">
        <v>2</v>
      </c>
      <c r="D1423">
        <v>17</v>
      </c>
      <c r="E1423" s="3">
        <f t="shared" si="21"/>
        <v>18</v>
      </c>
    </row>
    <row r="1424" spans="1:5" x14ac:dyDescent="0.2">
      <c r="A1424">
        <v>2</v>
      </c>
      <c r="B1424" t="s">
        <v>73</v>
      </c>
      <c r="C1424">
        <v>3</v>
      </c>
      <c r="D1424">
        <v>13</v>
      </c>
      <c r="E1424" s="3">
        <f t="shared" si="21"/>
        <v>18</v>
      </c>
    </row>
    <row r="1425" spans="1:5" x14ac:dyDescent="0.2">
      <c r="A1425">
        <v>3</v>
      </c>
      <c r="B1425" t="s">
        <v>75</v>
      </c>
      <c r="C1425">
        <v>0</v>
      </c>
      <c r="D1425">
        <v>9</v>
      </c>
      <c r="E1425" s="3">
        <f t="shared" si="21"/>
        <v>18</v>
      </c>
    </row>
    <row r="1426" spans="1:5" x14ac:dyDescent="0.2">
      <c r="A1426">
        <v>4</v>
      </c>
      <c r="B1426" t="s">
        <v>502</v>
      </c>
      <c r="C1426">
        <v>1</v>
      </c>
      <c r="D1426">
        <v>5</v>
      </c>
      <c r="E1426" s="3">
        <f t="shared" si="21"/>
        <v>18</v>
      </c>
    </row>
    <row r="1427" spans="1:5" x14ac:dyDescent="0.2">
      <c r="A1427">
        <v>5</v>
      </c>
      <c r="B1427" t="s">
        <v>530</v>
      </c>
      <c r="C1427">
        <v>0</v>
      </c>
      <c r="D1427">
        <v>3</v>
      </c>
      <c r="E1427" s="3">
        <f t="shared" si="21"/>
        <v>18</v>
      </c>
    </row>
    <row r="1428" spans="1:5" x14ac:dyDescent="0.2">
      <c r="A1428">
        <v>6</v>
      </c>
      <c r="B1428" t="s">
        <v>485</v>
      </c>
      <c r="C1428">
        <v>0</v>
      </c>
      <c r="D1428">
        <v>2</v>
      </c>
      <c r="E1428" s="3">
        <f t="shared" si="21"/>
        <v>18</v>
      </c>
    </row>
    <row r="1429" spans="1:5" x14ac:dyDescent="0.2">
      <c r="A1429">
        <v>7</v>
      </c>
      <c r="B1429" t="s">
        <v>526</v>
      </c>
      <c r="C1429">
        <v>0</v>
      </c>
      <c r="D1429">
        <v>1</v>
      </c>
      <c r="E1429" s="3">
        <f t="shared" si="21"/>
        <v>18</v>
      </c>
    </row>
    <row r="1430" spans="1:5" x14ac:dyDescent="0.2">
      <c r="A1430">
        <v>8</v>
      </c>
      <c r="B1430" s="2" t="s">
        <v>10</v>
      </c>
      <c r="C1430" s="2" t="s">
        <v>10</v>
      </c>
      <c r="D1430" s="2" t="s">
        <v>10</v>
      </c>
      <c r="E1430" s="3">
        <f t="shared" si="21"/>
        <v>18</v>
      </c>
    </row>
    <row r="1431" spans="1:5" x14ac:dyDescent="0.2">
      <c r="A1431" s="1" t="s">
        <v>11</v>
      </c>
      <c r="E1431" s="3">
        <f t="shared" si="21"/>
        <v>18</v>
      </c>
    </row>
    <row r="1432" spans="1:5" x14ac:dyDescent="0.2">
      <c r="A1432" s="1" t="s">
        <v>1</v>
      </c>
      <c r="B1432" s="1" t="s">
        <v>2</v>
      </c>
      <c r="C1432" s="1" t="s">
        <v>3</v>
      </c>
      <c r="D1432" s="1" t="s">
        <v>4</v>
      </c>
      <c r="E1432" s="3">
        <f t="shared" si="21"/>
        <v>18</v>
      </c>
    </row>
    <row r="1433" spans="1:5" x14ac:dyDescent="0.2">
      <c r="A1433">
        <v>1</v>
      </c>
      <c r="B1433" t="s">
        <v>534</v>
      </c>
      <c r="C1433">
        <v>1</v>
      </c>
      <c r="D1433">
        <v>17</v>
      </c>
      <c r="E1433" s="3">
        <f t="shared" si="21"/>
        <v>18</v>
      </c>
    </row>
    <row r="1434" spans="1:5" x14ac:dyDescent="0.2">
      <c r="A1434">
        <v>2</v>
      </c>
      <c r="B1434" t="s">
        <v>501</v>
      </c>
      <c r="C1434">
        <v>3</v>
      </c>
      <c r="D1434">
        <v>13</v>
      </c>
      <c r="E1434" s="3">
        <f t="shared" si="21"/>
        <v>18</v>
      </c>
    </row>
    <row r="1435" spans="1:5" x14ac:dyDescent="0.2">
      <c r="A1435">
        <v>3</v>
      </c>
      <c r="B1435" t="s">
        <v>493</v>
      </c>
      <c r="C1435">
        <v>2</v>
      </c>
      <c r="D1435">
        <v>9</v>
      </c>
      <c r="E1435" s="3">
        <f t="shared" si="21"/>
        <v>18</v>
      </c>
    </row>
    <row r="1436" spans="1:5" x14ac:dyDescent="0.2">
      <c r="A1436">
        <v>4</v>
      </c>
      <c r="B1436" t="s">
        <v>69</v>
      </c>
      <c r="C1436">
        <v>0</v>
      </c>
      <c r="D1436">
        <v>5</v>
      </c>
      <c r="E1436" s="3">
        <f t="shared" si="21"/>
        <v>18</v>
      </c>
    </row>
    <row r="1437" spans="1:5" x14ac:dyDescent="0.2">
      <c r="A1437">
        <v>5</v>
      </c>
      <c r="B1437" t="s">
        <v>14</v>
      </c>
      <c r="C1437">
        <v>0</v>
      </c>
      <c r="D1437">
        <v>3</v>
      </c>
      <c r="E1437" s="3">
        <f t="shared" si="21"/>
        <v>18</v>
      </c>
    </row>
    <row r="1438" spans="1:5" x14ac:dyDescent="0.2">
      <c r="A1438">
        <v>6</v>
      </c>
      <c r="B1438" t="s">
        <v>500</v>
      </c>
      <c r="C1438">
        <v>0</v>
      </c>
      <c r="D1438">
        <v>2</v>
      </c>
      <c r="E1438" s="3">
        <f t="shared" si="21"/>
        <v>18</v>
      </c>
    </row>
    <row r="1439" spans="1:5" x14ac:dyDescent="0.2">
      <c r="A1439">
        <v>7</v>
      </c>
      <c r="B1439" t="s">
        <v>519</v>
      </c>
      <c r="C1439">
        <v>0</v>
      </c>
      <c r="D1439">
        <v>1</v>
      </c>
      <c r="E1439" s="3">
        <f t="shared" si="21"/>
        <v>18</v>
      </c>
    </row>
    <row r="1440" spans="1:5" x14ac:dyDescent="0.2">
      <c r="A1440">
        <v>8</v>
      </c>
      <c r="B1440" s="2" t="s">
        <v>10</v>
      </c>
      <c r="C1440" s="2" t="s">
        <v>10</v>
      </c>
      <c r="D1440" s="2" t="s">
        <v>10</v>
      </c>
      <c r="E1440" s="3">
        <f t="shared" si="21"/>
        <v>18</v>
      </c>
    </row>
    <row r="1441" spans="1:5" x14ac:dyDescent="0.2">
      <c r="A1441" s="1" t="s">
        <v>17</v>
      </c>
      <c r="E1441" s="3">
        <f t="shared" si="21"/>
        <v>18</v>
      </c>
    </row>
    <row r="1442" spans="1:5" x14ac:dyDescent="0.2">
      <c r="A1442" s="1" t="s">
        <v>1</v>
      </c>
      <c r="B1442" s="1" t="s">
        <v>2</v>
      </c>
      <c r="C1442" s="1" t="s">
        <v>3</v>
      </c>
      <c r="D1442" s="1" t="s">
        <v>4</v>
      </c>
      <c r="E1442" s="3">
        <f t="shared" si="21"/>
        <v>18</v>
      </c>
    </row>
    <row r="1443" spans="1:5" x14ac:dyDescent="0.2">
      <c r="A1443">
        <v>1</v>
      </c>
      <c r="B1443" t="s">
        <v>55</v>
      </c>
      <c r="C1443">
        <v>4</v>
      </c>
      <c r="D1443">
        <v>17</v>
      </c>
      <c r="E1443" s="3">
        <f t="shared" ref="E1443:E1506" si="22">IF(A1443=$A$1,E1442+1,E1442)</f>
        <v>18</v>
      </c>
    </row>
    <row r="1444" spans="1:5" x14ac:dyDescent="0.2">
      <c r="A1444">
        <v>2</v>
      </c>
      <c r="B1444" t="s">
        <v>479</v>
      </c>
      <c r="C1444">
        <v>1</v>
      </c>
      <c r="D1444">
        <v>13</v>
      </c>
      <c r="E1444" s="3">
        <f t="shared" si="22"/>
        <v>18</v>
      </c>
    </row>
    <row r="1445" spans="1:5" x14ac:dyDescent="0.2">
      <c r="A1445">
        <v>3</v>
      </c>
      <c r="B1445" t="s">
        <v>504</v>
      </c>
      <c r="C1445">
        <v>0</v>
      </c>
      <c r="D1445">
        <v>9</v>
      </c>
      <c r="E1445" s="3">
        <f t="shared" si="22"/>
        <v>18</v>
      </c>
    </row>
    <row r="1446" spans="1:5" x14ac:dyDescent="0.2">
      <c r="A1446">
        <v>4</v>
      </c>
      <c r="B1446" t="s">
        <v>490</v>
      </c>
      <c r="C1446">
        <v>1</v>
      </c>
      <c r="D1446">
        <v>5</v>
      </c>
      <c r="E1446" s="3">
        <f t="shared" si="22"/>
        <v>18</v>
      </c>
    </row>
    <row r="1447" spans="1:5" x14ac:dyDescent="0.2">
      <c r="A1447">
        <v>5</v>
      </c>
      <c r="B1447" t="s">
        <v>35</v>
      </c>
      <c r="C1447">
        <v>0</v>
      </c>
      <c r="D1447">
        <v>3</v>
      </c>
      <c r="E1447" s="3">
        <f t="shared" si="22"/>
        <v>18</v>
      </c>
    </row>
    <row r="1448" spans="1:5" x14ac:dyDescent="0.2">
      <c r="A1448">
        <v>6</v>
      </c>
      <c r="B1448" t="s">
        <v>46</v>
      </c>
      <c r="C1448">
        <v>0</v>
      </c>
      <c r="D1448">
        <v>2</v>
      </c>
      <c r="E1448" s="3">
        <f t="shared" si="22"/>
        <v>18</v>
      </c>
    </row>
    <row r="1449" spans="1:5" x14ac:dyDescent="0.2">
      <c r="A1449">
        <v>7</v>
      </c>
      <c r="B1449" t="s">
        <v>516</v>
      </c>
      <c r="C1449">
        <v>0</v>
      </c>
      <c r="D1449">
        <v>1</v>
      </c>
      <c r="E1449" s="3">
        <f t="shared" si="22"/>
        <v>18</v>
      </c>
    </row>
    <row r="1450" spans="1:5" x14ac:dyDescent="0.2">
      <c r="A1450">
        <v>8</v>
      </c>
      <c r="B1450" s="2" t="s">
        <v>10</v>
      </c>
      <c r="C1450" s="2" t="s">
        <v>10</v>
      </c>
      <c r="D1450" s="2" t="s">
        <v>10</v>
      </c>
      <c r="E1450" s="3">
        <f t="shared" si="22"/>
        <v>18</v>
      </c>
    </row>
    <row r="1451" spans="1:5" x14ac:dyDescent="0.2">
      <c r="A1451" s="1" t="s">
        <v>24</v>
      </c>
      <c r="E1451" s="3">
        <f t="shared" si="22"/>
        <v>18</v>
      </c>
    </row>
    <row r="1452" spans="1:5" x14ac:dyDescent="0.2">
      <c r="A1452" s="1" t="s">
        <v>1</v>
      </c>
      <c r="B1452" s="1" t="s">
        <v>2</v>
      </c>
      <c r="C1452" s="1" t="s">
        <v>3</v>
      </c>
      <c r="D1452" s="1" t="s">
        <v>4</v>
      </c>
      <c r="E1452" s="3">
        <f t="shared" si="22"/>
        <v>18</v>
      </c>
    </row>
    <row r="1453" spans="1:5" x14ac:dyDescent="0.2">
      <c r="A1453">
        <v>1</v>
      </c>
      <c r="B1453" t="s">
        <v>506</v>
      </c>
      <c r="C1453">
        <v>4</v>
      </c>
      <c r="D1453">
        <v>17</v>
      </c>
      <c r="E1453" s="3">
        <f t="shared" si="22"/>
        <v>18</v>
      </c>
    </row>
    <row r="1454" spans="1:5" x14ac:dyDescent="0.2">
      <c r="A1454">
        <v>2</v>
      </c>
      <c r="B1454" t="s">
        <v>6</v>
      </c>
      <c r="C1454">
        <v>0</v>
      </c>
      <c r="D1454">
        <v>13</v>
      </c>
      <c r="E1454" s="3">
        <f t="shared" si="22"/>
        <v>18</v>
      </c>
    </row>
    <row r="1455" spans="1:5" x14ac:dyDescent="0.2">
      <c r="A1455">
        <v>3</v>
      </c>
      <c r="B1455" t="s">
        <v>21</v>
      </c>
      <c r="C1455">
        <v>2</v>
      </c>
      <c r="D1455">
        <v>9</v>
      </c>
      <c r="E1455" s="3">
        <f t="shared" si="22"/>
        <v>18</v>
      </c>
    </row>
    <row r="1456" spans="1:5" x14ac:dyDescent="0.2">
      <c r="A1456">
        <v>4</v>
      </c>
      <c r="B1456" t="s">
        <v>461</v>
      </c>
      <c r="C1456">
        <v>0</v>
      </c>
      <c r="D1456">
        <v>5</v>
      </c>
      <c r="E1456" s="3">
        <f t="shared" si="22"/>
        <v>18</v>
      </c>
    </row>
    <row r="1457" spans="1:5" x14ac:dyDescent="0.2">
      <c r="A1457">
        <v>5</v>
      </c>
      <c r="B1457" t="s">
        <v>535</v>
      </c>
      <c r="C1457">
        <v>0</v>
      </c>
      <c r="D1457">
        <v>3</v>
      </c>
      <c r="E1457" s="3">
        <f t="shared" si="22"/>
        <v>18</v>
      </c>
    </row>
    <row r="1458" spans="1:5" x14ac:dyDescent="0.2">
      <c r="A1458">
        <v>6</v>
      </c>
      <c r="B1458" t="s">
        <v>505</v>
      </c>
      <c r="C1458">
        <v>0</v>
      </c>
      <c r="D1458">
        <v>2</v>
      </c>
      <c r="E1458" s="3">
        <f t="shared" si="22"/>
        <v>18</v>
      </c>
    </row>
    <row r="1459" spans="1:5" x14ac:dyDescent="0.2">
      <c r="A1459">
        <v>7</v>
      </c>
      <c r="B1459" t="s">
        <v>33</v>
      </c>
      <c r="C1459">
        <v>0</v>
      </c>
      <c r="D1459">
        <v>1</v>
      </c>
      <c r="E1459" s="3">
        <f t="shared" si="22"/>
        <v>18</v>
      </c>
    </row>
    <row r="1460" spans="1:5" x14ac:dyDescent="0.2">
      <c r="A1460">
        <v>8</v>
      </c>
      <c r="B1460" s="2" t="s">
        <v>10</v>
      </c>
      <c r="C1460" s="2" t="s">
        <v>10</v>
      </c>
      <c r="D1460" s="2" t="s">
        <v>10</v>
      </c>
      <c r="E1460" s="3">
        <f t="shared" si="22"/>
        <v>18</v>
      </c>
    </row>
    <row r="1461" spans="1:5" x14ac:dyDescent="0.2">
      <c r="A1461" s="1" t="s">
        <v>30</v>
      </c>
      <c r="E1461" s="3">
        <f t="shared" si="22"/>
        <v>18</v>
      </c>
    </row>
    <row r="1462" spans="1:5" x14ac:dyDescent="0.2">
      <c r="A1462" s="1" t="s">
        <v>1</v>
      </c>
      <c r="B1462" s="1" t="s">
        <v>2</v>
      </c>
      <c r="C1462" s="1" t="s">
        <v>3</v>
      </c>
      <c r="D1462" s="1" t="s">
        <v>4</v>
      </c>
      <c r="E1462" s="3">
        <f t="shared" si="22"/>
        <v>18</v>
      </c>
    </row>
    <row r="1463" spans="1:5" x14ac:dyDescent="0.2">
      <c r="A1463">
        <v>1</v>
      </c>
      <c r="B1463" t="s">
        <v>454</v>
      </c>
      <c r="C1463">
        <v>3</v>
      </c>
      <c r="D1463">
        <v>17</v>
      </c>
      <c r="E1463" s="3">
        <f t="shared" si="22"/>
        <v>18</v>
      </c>
    </row>
    <row r="1464" spans="1:5" x14ac:dyDescent="0.2">
      <c r="A1464">
        <v>2</v>
      </c>
      <c r="B1464" t="s">
        <v>19</v>
      </c>
      <c r="C1464">
        <v>1</v>
      </c>
      <c r="D1464">
        <v>13</v>
      </c>
      <c r="E1464" s="3">
        <f t="shared" si="22"/>
        <v>18</v>
      </c>
    </row>
    <row r="1465" spans="1:5" x14ac:dyDescent="0.2">
      <c r="A1465">
        <v>3</v>
      </c>
      <c r="B1465" t="s">
        <v>66</v>
      </c>
      <c r="C1465">
        <v>1</v>
      </c>
      <c r="D1465">
        <v>9</v>
      </c>
      <c r="E1465" s="3">
        <f t="shared" si="22"/>
        <v>18</v>
      </c>
    </row>
    <row r="1466" spans="1:5" x14ac:dyDescent="0.2">
      <c r="A1466">
        <v>4</v>
      </c>
      <c r="B1466" t="s">
        <v>533</v>
      </c>
      <c r="C1466">
        <v>1</v>
      </c>
      <c r="D1466">
        <v>5</v>
      </c>
      <c r="E1466" s="3">
        <f t="shared" si="22"/>
        <v>18</v>
      </c>
    </row>
    <row r="1467" spans="1:5" x14ac:dyDescent="0.2">
      <c r="A1467">
        <v>5</v>
      </c>
      <c r="B1467" t="s">
        <v>76</v>
      </c>
      <c r="C1467">
        <v>0</v>
      </c>
      <c r="D1467">
        <v>3</v>
      </c>
      <c r="E1467" s="3">
        <f t="shared" si="22"/>
        <v>18</v>
      </c>
    </row>
    <row r="1468" spans="1:5" x14ac:dyDescent="0.2">
      <c r="A1468">
        <v>6</v>
      </c>
      <c r="B1468" t="s">
        <v>503</v>
      </c>
      <c r="C1468">
        <v>0</v>
      </c>
      <c r="D1468">
        <v>2</v>
      </c>
      <c r="E1468" s="3">
        <f t="shared" si="22"/>
        <v>18</v>
      </c>
    </row>
    <row r="1469" spans="1:5" x14ac:dyDescent="0.2">
      <c r="A1469">
        <v>7</v>
      </c>
      <c r="B1469" t="s">
        <v>101</v>
      </c>
      <c r="C1469">
        <v>0</v>
      </c>
      <c r="D1469">
        <v>1</v>
      </c>
      <c r="E1469" s="3">
        <f t="shared" si="22"/>
        <v>18</v>
      </c>
    </row>
    <row r="1470" spans="1:5" x14ac:dyDescent="0.2">
      <c r="A1470">
        <v>8</v>
      </c>
      <c r="B1470" s="2" t="s">
        <v>10</v>
      </c>
      <c r="C1470" s="2" t="s">
        <v>10</v>
      </c>
      <c r="D1470" s="2" t="s">
        <v>10</v>
      </c>
      <c r="E1470" s="3">
        <f t="shared" si="22"/>
        <v>18</v>
      </c>
    </row>
    <row r="1471" spans="1:5" x14ac:dyDescent="0.2">
      <c r="A1471" s="1" t="s">
        <v>37</v>
      </c>
      <c r="E1471" s="3">
        <f t="shared" si="22"/>
        <v>18</v>
      </c>
    </row>
    <row r="1472" spans="1:5" x14ac:dyDescent="0.2">
      <c r="A1472" s="1" t="s">
        <v>1</v>
      </c>
      <c r="B1472" s="1" t="s">
        <v>2</v>
      </c>
      <c r="C1472" s="1" t="s">
        <v>3</v>
      </c>
      <c r="D1472" s="1" t="s">
        <v>4</v>
      </c>
      <c r="E1472" s="3">
        <f t="shared" si="22"/>
        <v>18</v>
      </c>
    </row>
    <row r="1473" spans="1:5" x14ac:dyDescent="0.2">
      <c r="A1473">
        <v>1</v>
      </c>
      <c r="B1473" t="s">
        <v>27</v>
      </c>
      <c r="C1473">
        <v>5</v>
      </c>
      <c r="D1473">
        <v>17</v>
      </c>
      <c r="E1473" s="3">
        <f t="shared" si="22"/>
        <v>18</v>
      </c>
    </row>
    <row r="1474" spans="1:5" x14ac:dyDescent="0.2">
      <c r="A1474">
        <v>2</v>
      </c>
      <c r="B1474" t="s">
        <v>475</v>
      </c>
      <c r="C1474">
        <v>1</v>
      </c>
      <c r="D1474">
        <v>13</v>
      </c>
      <c r="E1474" s="3">
        <f t="shared" si="22"/>
        <v>18</v>
      </c>
    </row>
    <row r="1475" spans="1:5" x14ac:dyDescent="0.2">
      <c r="A1475">
        <v>3</v>
      </c>
      <c r="B1475" t="s">
        <v>74</v>
      </c>
      <c r="C1475">
        <v>0</v>
      </c>
      <c r="D1475">
        <v>9</v>
      </c>
      <c r="E1475" s="3">
        <f t="shared" si="22"/>
        <v>18</v>
      </c>
    </row>
    <row r="1476" spans="1:5" x14ac:dyDescent="0.2">
      <c r="A1476">
        <v>4</v>
      </c>
      <c r="B1476" t="s">
        <v>509</v>
      </c>
      <c r="C1476">
        <v>0</v>
      </c>
      <c r="D1476">
        <v>5</v>
      </c>
      <c r="E1476" s="3">
        <f t="shared" si="22"/>
        <v>18</v>
      </c>
    </row>
    <row r="1477" spans="1:5" x14ac:dyDescent="0.2">
      <c r="A1477">
        <v>5</v>
      </c>
      <c r="B1477" t="s">
        <v>81</v>
      </c>
      <c r="C1477">
        <v>0</v>
      </c>
      <c r="D1477">
        <v>3</v>
      </c>
      <c r="E1477" s="3">
        <f t="shared" si="22"/>
        <v>18</v>
      </c>
    </row>
    <row r="1478" spans="1:5" x14ac:dyDescent="0.2">
      <c r="A1478">
        <v>6</v>
      </c>
      <c r="B1478" t="s">
        <v>515</v>
      </c>
      <c r="C1478">
        <v>0</v>
      </c>
      <c r="D1478">
        <v>2</v>
      </c>
      <c r="E1478" s="3">
        <f t="shared" si="22"/>
        <v>18</v>
      </c>
    </row>
    <row r="1479" spans="1:5" x14ac:dyDescent="0.2">
      <c r="A1479">
        <v>7</v>
      </c>
      <c r="B1479" t="s">
        <v>507</v>
      </c>
      <c r="C1479">
        <v>0</v>
      </c>
      <c r="D1479">
        <v>1</v>
      </c>
      <c r="E1479" s="3">
        <f t="shared" si="22"/>
        <v>18</v>
      </c>
    </row>
    <row r="1480" spans="1:5" x14ac:dyDescent="0.2">
      <c r="A1480">
        <v>8</v>
      </c>
      <c r="B1480" s="2" t="s">
        <v>10</v>
      </c>
      <c r="C1480" s="2" t="s">
        <v>10</v>
      </c>
      <c r="D1480" s="2" t="s">
        <v>10</v>
      </c>
      <c r="E1480" s="3">
        <f t="shared" si="22"/>
        <v>18</v>
      </c>
    </row>
    <row r="1481" spans="1:5" x14ac:dyDescent="0.2">
      <c r="A1481" s="1" t="s">
        <v>44</v>
      </c>
      <c r="E1481" s="3">
        <f t="shared" si="22"/>
        <v>18</v>
      </c>
    </row>
    <row r="1482" spans="1:5" x14ac:dyDescent="0.2">
      <c r="A1482" s="1" t="s">
        <v>1</v>
      </c>
      <c r="B1482" s="1" t="s">
        <v>2</v>
      </c>
      <c r="C1482" s="1" t="s">
        <v>3</v>
      </c>
      <c r="D1482" s="1" t="s">
        <v>4</v>
      </c>
      <c r="E1482" s="3">
        <f t="shared" si="22"/>
        <v>18</v>
      </c>
    </row>
    <row r="1483" spans="1:5" x14ac:dyDescent="0.2">
      <c r="A1483">
        <v>1</v>
      </c>
      <c r="B1483" t="s">
        <v>88</v>
      </c>
      <c r="C1483">
        <v>2</v>
      </c>
      <c r="D1483">
        <v>17</v>
      </c>
      <c r="E1483" s="3">
        <f t="shared" si="22"/>
        <v>18</v>
      </c>
    </row>
    <row r="1484" spans="1:5" x14ac:dyDescent="0.2">
      <c r="A1484">
        <v>2</v>
      </c>
      <c r="B1484" t="s">
        <v>532</v>
      </c>
      <c r="C1484">
        <v>0</v>
      </c>
      <c r="D1484">
        <v>13</v>
      </c>
      <c r="E1484" s="3">
        <f t="shared" si="22"/>
        <v>18</v>
      </c>
    </row>
    <row r="1485" spans="1:5" x14ac:dyDescent="0.2">
      <c r="A1485">
        <v>3</v>
      </c>
      <c r="B1485" t="s">
        <v>531</v>
      </c>
      <c r="C1485">
        <v>4</v>
      </c>
      <c r="D1485">
        <v>9</v>
      </c>
      <c r="E1485" s="3">
        <f t="shared" si="22"/>
        <v>18</v>
      </c>
    </row>
    <row r="1486" spans="1:5" x14ac:dyDescent="0.2">
      <c r="A1486">
        <v>4</v>
      </c>
      <c r="B1486" t="s">
        <v>59</v>
      </c>
      <c r="C1486">
        <v>0</v>
      </c>
      <c r="D1486">
        <v>5</v>
      </c>
      <c r="E1486" s="3">
        <f t="shared" si="22"/>
        <v>18</v>
      </c>
    </row>
    <row r="1487" spans="1:5" x14ac:dyDescent="0.2">
      <c r="A1487">
        <v>5</v>
      </c>
      <c r="B1487" t="s">
        <v>280</v>
      </c>
      <c r="C1487">
        <v>0</v>
      </c>
      <c r="D1487">
        <v>3</v>
      </c>
      <c r="E1487" s="3">
        <f t="shared" si="22"/>
        <v>18</v>
      </c>
    </row>
    <row r="1488" spans="1:5" x14ac:dyDescent="0.2">
      <c r="A1488">
        <v>6</v>
      </c>
      <c r="B1488" t="s">
        <v>9</v>
      </c>
      <c r="C1488">
        <v>0</v>
      </c>
      <c r="D1488">
        <v>2</v>
      </c>
      <c r="E1488" s="3">
        <f t="shared" si="22"/>
        <v>18</v>
      </c>
    </row>
    <row r="1489" spans="1:5" x14ac:dyDescent="0.2">
      <c r="A1489">
        <v>7</v>
      </c>
      <c r="B1489" t="s">
        <v>525</v>
      </c>
      <c r="C1489">
        <v>0</v>
      </c>
      <c r="D1489">
        <v>1</v>
      </c>
      <c r="E1489" s="3">
        <f t="shared" si="22"/>
        <v>18</v>
      </c>
    </row>
    <row r="1490" spans="1:5" x14ac:dyDescent="0.2">
      <c r="A1490">
        <v>8</v>
      </c>
      <c r="B1490" s="2" t="s">
        <v>10</v>
      </c>
      <c r="C1490" s="2" t="s">
        <v>10</v>
      </c>
      <c r="D1490" s="2" t="s">
        <v>10</v>
      </c>
      <c r="E1490" s="3">
        <f t="shared" si="22"/>
        <v>18</v>
      </c>
    </row>
    <row r="1491" spans="1:5" x14ac:dyDescent="0.2">
      <c r="A1491" s="1" t="s">
        <v>0</v>
      </c>
      <c r="E1491" s="3">
        <f t="shared" si="22"/>
        <v>19</v>
      </c>
    </row>
    <row r="1492" spans="1:5" x14ac:dyDescent="0.2">
      <c r="A1492" s="1" t="s">
        <v>1</v>
      </c>
      <c r="B1492" s="1" t="s">
        <v>2</v>
      </c>
      <c r="C1492" s="1" t="s">
        <v>3</v>
      </c>
      <c r="D1492" s="1" t="s">
        <v>4</v>
      </c>
      <c r="E1492" s="3">
        <f t="shared" si="22"/>
        <v>19</v>
      </c>
    </row>
    <row r="1493" spans="1:5" x14ac:dyDescent="0.2">
      <c r="A1493">
        <v>1</v>
      </c>
      <c r="B1493" t="s">
        <v>505</v>
      </c>
      <c r="C1493">
        <v>1</v>
      </c>
      <c r="D1493">
        <v>16</v>
      </c>
      <c r="E1493" s="3">
        <f t="shared" si="22"/>
        <v>19</v>
      </c>
    </row>
    <row r="1494" spans="1:5" x14ac:dyDescent="0.2">
      <c r="A1494">
        <v>2</v>
      </c>
      <c r="B1494" t="s">
        <v>475</v>
      </c>
      <c r="C1494">
        <v>3</v>
      </c>
      <c r="D1494">
        <v>12</v>
      </c>
      <c r="E1494" s="3">
        <f t="shared" si="22"/>
        <v>19</v>
      </c>
    </row>
    <row r="1495" spans="1:5" x14ac:dyDescent="0.2">
      <c r="A1495">
        <v>3</v>
      </c>
      <c r="B1495" t="s">
        <v>345</v>
      </c>
      <c r="C1495">
        <v>1</v>
      </c>
      <c r="D1495">
        <v>8</v>
      </c>
      <c r="E1495" s="3">
        <f t="shared" si="22"/>
        <v>19</v>
      </c>
    </row>
    <row r="1496" spans="1:5" x14ac:dyDescent="0.2">
      <c r="A1496">
        <v>4</v>
      </c>
      <c r="B1496" t="s">
        <v>46</v>
      </c>
      <c r="C1496">
        <v>0</v>
      </c>
      <c r="D1496">
        <v>4</v>
      </c>
      <c r="E1496" s="3">
        <f t="shared" si="22"/>
        <v>19</v>
      </c>
    </row>
    <row r="1497" spans="1:5" x14ac:dyDescent="0.2">
      <c r="A1497">
        <v>5</v>
      </c>
      <c r="B1497" t="s">
        <v>485</v>
      </c>
      <c r="C1497">
        <v>0</v>
      </c>
      <c r="D1497">
        <v>2</v>
      </c>
      <c r="E1497" s="3">
        <f t="shared" si="22"/>
        <v>19</v>
      </c>
    </row>
    <row r="1498" spans="1:5" x14ac:dyDescent="0.2">
      <c r="A1498">
        <v>6</v>
      </c>
      <c r="B1498" t="s">
        <v>512</v>
      </c>
      <c r="C1498">
        <v>0</v>
      </c>
      <c r="D1498">
        <v>1</v>
      </c>
      <c r="E1498" s="3">
        <f t="shared" si="22"/>
        <v>19</v>
      </c>
    </row>
    <row r="1499" spans="1:5" x14ac:dyDescent="0.2">
      <c r="A1499">
        <v>7</v>
      </c>
      <c r="B1499" s="2" t="s">
        <v>10</v>
      </c>
      <c r="C1499" s="2" t="s">
        <v>10</v>
      </c>
      <c r="D1499" s="2" t="s">
        <v>10</v>
      </c>
      <c r="E1499" s="3">
        <f t="shared" si="22"/>
        <v>19</v>
      </c>
    </row>
    <row r="1500" spans="1:5" x14ac:dyDescent="0.2">
      <c r="A1500">
        <v>8</v>
      </c>
      <c r="B1500" s="2" t="s">
        <v>10</v>
      </c>
      <c r="C1500" s="2" t="s">
        <v>10</v>
      </c>
      <c r="D1500" s="2" t="s">
        <v>10</v>
      </c>
      <c r="E1500" s="3">
        <f t="shared" si="22"/>
        <v>19</v>
      </c>
    </row>
    <row r="1501" spans="1:5" x14ac:dyDescent="0.2">
      <c r="A1501" s="1" t="s">
        <v>11</v>
      </c>
      <c r="E1501" s="3">
        <f t="shared" si="22"/>
        <v>19</v>
      </c>
    </row>
    <row r="1502" spans="1:5" x14ac:dyDescent="0.2">
      <c r="A1502" s="1" t="s">
        <v>1</v>
      </c>
      <c r="B1502" s="1" t="s">
        <v>2</v>
      </c>
      <c r="C1502" s="1" t="s">
        <v>3</v>
      </c>
      <c r="D1502" s="1" t="s">
        <v>4</v>
      </c>
      <c r="E1502" s="3">
        <f t="shared" si="22"/>
        <v>19</v>
      </c>
    </row>
    <row r="1503" spans="1:5" x14ac:dyDescent="0.2">
      <c r="A1503">
        <v>1</v>
      </c>
      <c r="B1503" t="s">
        <v>532</v>
      </c>
      <c r="C1503">
        <v>4</v>
      </c>
      <c r="D1503">
        <v>16</v>
      </c>
      <c r="E1503" s="3">
        <f t="shared" si="22"/>
        <v>19</v>
      </c>
    </row>
    <row r="1504" spans="1:5" x14ac:dyDescent="0.2">
      <c r="A1504">
        <v>2</v>
      </c>
      <c r="B1504" t="s">
        <v>25</v>
      </c>
      <c r="C1504">
        <v>0</v>
      </c>
      <c r="D1504">
        <v>12</v>
      </c>
      <c r="E1504" s="3">
        <f t="shared" si="22"/>
        <v>19</v>
      </c>
    </row>
    <row r="1505" spans="1:5" x14ac:dyDescent="0.2">
      <c r="A1505">
        <v>3</v>
      </c>
      <c r="B1505" t="s">
        <v>33</v>
      </c>
      <c r="C1505">
        <v>1</v>
      </c>
      <c r="D1505">
        <v>8</v>
      </c>
      <c r="E1505" s="3">
        <f t="shared" si="22"/>
        <v>19</v>
      </c>
    </row>
    <row r="1506" spans="1:5" x14ac:dyDescent="0.2">
      <c r="A1506">
        <v>4</v>
      </c>
      <c r="B1506" t="s">
        <v>509</v>
      </c>
      <c r="C1506">
        <v>0</v>
      </c>
      <c r="D1506">
        <v>4</v>
      </c>
      <c r="E1506" s="3">
        <f t="shared" si="22"/>
        <v>19</v>
      </c>
    </row>
    <row r="1507" spans="1:5" x14ac:dyDescent="0.2">
      <c r="A1507">
        <v>5</v>
      </c>
      <c r="B1507" t="s">
        <v>534</v>
      </c>
      <c r="C1507">
        <v>0</v>
      </c>
      <c r="D1507">
        <v>2</v>
      </c>
      <c r="E1507" s="3">
        <f t="shared" ref="E1507:E1570" si="23">IF(A1507=$A$1,E1506+1,E1506)</f>
        <v>19</v>
      </c>
    </row>
    <row r="1508" spans="1:5" x14ac:dyDescent="0.2">
      <c r="A1508">
        <v>6</v>
      </c>
      <c r="B1508" t="s">
        <v>27</v>
      </c>
      <c r="C1508">
        <v>0</v>
      </c>
      <c r="D1508">
        <v>1</v>
      </c>
      <c r="E1508" s="3">
        <f t="shared" si="23"/>
        <v>19</v>
      </c>
    </row>
    <row r="1509" spans="1:5" x14ac:dyDescent="0.2">
      <c r="A1509">
        <v>7</v>
      </c>
      <c r="B1509" s="2" t="s">
        <v>10</v>
      </c>
      <c r="C1509" s="2" t="s">
        <v>10</v>
      </c>
      <c r="D1509" s="2" t="s">
        <v>10</v>
      </c>
      <c r="E1509" s="3">
        <f t="shared" si="23"/>
        <v>19</v>
      </c>
    </row>
    <row r="1510" spans="1:5" x14ac:dyDescent="0.2">
      <c r="A1510">
        <v>8</v>
      </c>
      <c r="B1510" s="2" t="s">
        <v>10</v>
      </c>
      <c r="C1510" s="2" t="s">
        <v>10</v>
      </c>
      <c r="D1510" s="2" t="s">
        <v>10</v>
      </c>
      <c r="E1510" s="3">
        <f t="shared" si="23"/>
        <v>19</v>
      </c>
    </row>
    <row r="1511" spans="1:5" x14ac:dyDescent="0.2">
      <c r="A1511" s="1" t="s">
        <v>17</v>
      </c>
      <c r="E1511" s="3">
        <f t="shared" si="23"/>
        <v>19</v>
      </c>
    </row>
    <row r="1512" spans="1:5" x14ac:dyDescent="0.2">
      <c r="A1512" s="1" t="s">
        <v>1</v>
      </c>
      <c r="B1512" s="1" t="s">
        <v>2</v>
      </c>
      <c r="C1512" s="1" t="s">
        <v>3</v>
      </c>
      <c r="D1512" s="1" t="s">
        <v>4</v>
      </c>
      <c r="E1512" s="3">
        <f t="shared" si="23"/>
        <v>19</v>
      </c>
    </row>
    <row r="1513" spans="1:5" x14ac:dyDescent="0.2">
      <c r="A1513">
        <v>1</v>
      </c>
      <c r="B1513" t="s">
        <v>65</v>
      </c>
      <c r="C1513">
        <v>4</v>
      </c>
      <c r="D1513">
        <v>16</v>
      </c>
      <c r="E1513" s="3">
        <f t="shared" si="23"/>
        <v>19</v>
      </c>
    </row>
    <row r="1514" spans="1:5" x14ac:dyDescent="0.2">
      <c r="A1514">
        <v>2</v>
      </c>
      <c r="B1514" t="s">
        <v>29</v>
      </c>
      <c r="C1514">
        <v>1</v>
      </c>
      <c r="D1514">
        <v>12</v>
      </c>
      <c r="E1514" s="3">
        <f t="shared" si="23"/>
        <v>19</v>
      </c>
    </row>
    <row r="1515" spans="1:5" x14ac:dyDescent="0.2">
      <c r="A1515">
        <v>3</v>
      </c>
      <c r="B1515" t="s">
        <v>74</v>
      </c>
      <c r="C1515">
        <v>0</v>
      </c>
      <c r="D1515">
        <v>8</v>
      </c>
      <c r="E1515" s="3">
        <f t="shared" si="23"/>
        <v>19</v>
      </c>
    </row>
    <row r="1516" spans="1:5" x14ac:dyDescent="0.2">
      <c r="A1516">
        <v>4</v>
      </c>
      <c r="B1516" t="s">
        <v>479</v>
      </c>
      <c r="C1516">
        <v>0</v>
      </c>
      <c r="D1516">
        <v>4</v>
      </c>
      <c r="E1516" s="3">
        <f t="shared" si="23"/>
        <v>19</v>
      </c>
    </row>
    <row r="1517" spans="1:5" x14ac:dyDescent="0.2">
      <c r="A1517">
        <v>5</v>
      </c>
      <c r="B1517" t="s">
        <v>19</v>
      </c>
      <c r="C1517">
        <v>0</v>
      </c>
      <c r="D1517">
        <v>2</v>
      </c>
      <c r="E1517" s="3">
        <f t="shared" si="23"/>
        <v>19</v>
      </c>
    </row>
    <row r="1518" spans="1:5" x14ac:dyDescent="0.2">
      <c r="A1518">
        <v>6</v>
      </c>
      <c r="B1518" t="s">
        <v>507</v>
      </c>
      <c r="C1518">
        <v>0</v>
      </c>
      <c r="D1518">
        <v>1</v>
      </c>
      <c r="E1518" s="3">
        <f t="shared" si="23"/>
        <v>19</v>
      </c>
    </row>
    <row r="1519" spans="1:5" x14ac:dyDescent="0.2">
      <c r="A1519">
        <v>7</v>
      </c>
      <c r="B1519" s="2" t="s">
        <v>10</v>
      </c>
      <c r="C1519" s="2" t="s">
        <v>10</v>
      </c>
      <c r="D1519" s="2" t="s">
        <v>10</v>
      </c>
      <c r="E1519" s="3">
        <f t="shared" si="23"/>
        <v>19</v>
      </c>
    </row>
    <row r="1520" spans="1:5" x14ac:dyDescent="0.2">
      <c r="A1520">
        <v>8</v>
      </c>
      <c r="B1520" s="2" t="s">
        <v>10</v>
      </c>
      <c r="C1520" s="2" t="s">
        <v>10</v>
      </c>
      <c r="D1520" s="2" t="s">
        <v>10</v>
      </c>
      <c r="E1520" s="3">
        <f t="shared" si="23"/>
        <v>19</v>
      </c>
    </row>
    <row r="1521" spans="1:5" x14ac:dyDescent="0.2">
      <c r="A1521" s="1" t="s">
        <v>24</v>
      </c>
      <c r="E1521" s="3">
        <f t="shared" si="23"/>
        <v>19</v>
      </c>
    </row>
    <row r="1522" spans="1:5" x14ac:dyDescent="0.2">
      <c r="A1522" s="1" t="s">
        <v>1</v>
      </c>
      <c r="B1522" s="1" t="s">
        <v>2</v>
      </c>
      <c r="C1522" s="1" t="s">
        <v>3</v>
      </c>
      <c r="D1522" s="1" t="s">
        <v>4</v>
      </c>
      <c r="E1522" s="3">
        <f t="shared" si="23"/>
        <v>19</v>
      </c>
    </row>
    <row r="1523" spans="1:5" x14ac:dyDescent="0.2">
      <c r="A1523">
        <v>1</v>
      </c>
      <c r="B1523" t="s">
        <v>506</v>
      </c>
      <c r="C1523">
        <v>3</v>
      </c>
      <c r="D1523">
        <v>16</v>
      </c>
      <c r="E1523" s="3">
        <f t="shared" si="23"/>
        <v>19</v>
      </c>
    </row>
    <row r="1524" spans="1:5" x14ac:dyDescent="0.2">
      <c r="A1524">
        <v>2</v>
      </c>
      <c r="B1524" t="s">
        <v>35</v>
      </c>
      <c r="C1524">
        <v>2</v>
      </c>
      <c r="D1524">
        <v>12</v>
      </c>
      <c r="E1524" s="3">
        <f t="shared" si="23"/>
        <v>19</v>
      </c>
    </row>
    <row r="1525" spans="1:5" x14ac:dyDescent="0.2">
      <c r="A1525">
        <v>3</v>
      </c>
      <c r="B1525" t="s">
        <v>69</v>
      </c>
      <c r="C1525">
        <v>0</v>
      </c>
      <c r="D1525">
        <v>8</v>
      </c>
      <c r="E1525" s="3">
        <f t="shared" si="23"/>
        <v>19</v>
      </c>
    </row>
    <row r="1526" spans="1:5" x14ac:dyDescent="0.2">
      <c r="A1526">
        <v>4</v>
      </c>
      <c r="B1526" t="s">
        <v>501</v>
      </c>
      <c r="C1526">
        <v>0</v>
      </c>
      <c r="D1526">
        <v>4</v>
      </c>
      <c r="E1526" s="3">
        <f t="shared" si="23"/>
        <v>19</v>
      </c>
    </row>
    <row r="1527" spans="1:5" x14ac:dyDescent="0.2">
      <c r="A1527">
        <v>5</v>
      </c>
      <c r="B1527" t="s">
        <v>526</v>
      </c>
      <c r="C1527">
        <v>0</v>
      </c>
      <c r="D1527">
        <v>2</v>
      </c>
      <c r="E1527" s="3">
        <f t="shared" si="23"/>
        <v>19</v>
      </c>
    </row>
    <row r="1528" spans="1:5" x14ac:dyDescent="0.2">
      <c r="A1528">
        <v>6</v>
      </c>
      <c r="B1528" t="s">
        <v>55</v>
      </c>
      <c r="C1528">
        <v>0</v>
      </c>
      <c r="D1528">
        <v>1</v>
      </c>
      <c r="E1528" s="3">
        <f t="shared" si="23"/>
        <v>19</v>
      </c>
    </row>
    <row r="1529" spans="1:5" x14ac:dyDescent="0.2">
      <c r="A1529">
        <v>7</v>
      </c>
      <c r="B1529" s="2" t="s">
        <v>10</v>
      </c>
      <c r="C1529" s="2" t="s">
        <v>10</v>
      </c>
      <c r="D1529" s="2" t="s">
        <v>10</v>
      </c>
      <c r="E1529" s="3">
        <f t="shared" si="23"/>
        <v>19</v>
      </c>
    </row>
    <row r="1530" spans="1:5" x14ac:dyDescent="0.2">
      <c r="A1530">
        <v>8</v>
      </c>
      <c r="B1530" s="2" t="s">
        <v>10</v>
      </c>
      <c r="C1530" s="2" t="s">
        <v>10</v>
      </c>
      <c r="D1530" s="2" t="s">
        <v>10</v>
      </c>
      <c r="E1530" s="3">
        <f t="shared" si="23"/>
        <v>19</v>
      </c>
    </row>
    <row r="1531" spans="1:5" x14ac:dyDescent="0.2">
      <c r="A1531" s="1" t="s">
        <v>30</v>
      </c>
      <c r="E1531" s="3">
        <f t="shared" si="23"/>
        <v>19</v>
      </c>
    </row>
    <row r="1532" spans="1:5" x14ac:dyDescent="0.2">
      <c r="A1532" s="1" t="s">
        <v>1</v>
      </c>
      <c r="B1532" s="1" t="s">
        <v>2</v>
      </c>
      <c r="C1532" s="1" t="s">
        <v>3</v>
      </c>
      <c r="D1532" s="1" t="s">
        <v>4</v>
      </c>
      <c r="E1532" s="3">
        <f t="shared" si="23"/>
        <v>19</v>
      </c>
    </row>
    <row r="1533" spans="1:5" x14ac:dyDescent="0.2">
      <c r="A1533">
        <v>1</v>
      </c>
      <c r="B1533" t="s">
        <v>66</v>
      </c>
      <c r="C1533">
        <v>4</v>
      </c>
      <c r="D1533">
        <v>16</v>
      </c>
      <c r="E1533" s="3">
        <f t="shared" si="23"/>
        <v>19</v>
      </c>
    </row>
    <row r="1534" spans="1:5" x14ac:dyDescent="0.2">
      <c r="A1534">
        <v>2</v>
      </c>
      <c r="B1534" t="s">
        <v>101</v>
      </c>
      <c r="C1534">
        <v>0</v>
      </c>
      <c r="D1534">
        <v>12</v>
      </c>
      <c r="E1534" s="3">
        <f t="shared" si="23"/>
        <v>19</v>
      </c>
    </row>
    <row r="1535" spans="1:5" x14ac:dyDescent="0.2">
      <c r="A1535">
        <v>3</v>
      </c>
      <c r="B1535" t="s">
        <v>21</v>
      </c>
      <c r="C1535">
        <v>1</v>
      </c>
      <c r="D1535">
        <v>8</v>
      </c>
      <c r="E1535" s="3">
        <f t="shared" si="23"/>
        <v>19</v>
      </c>
    </row>
    <row r="1536" spans="1:5" x14ac:dyDescent="0.2">
      <c r="A1536">
        <v>4</v>
      </c>
      <c r="B1536" t="s">
        <v>73</v>
      </c>
      <c r="C1536">
        <v>0</v>
      </c>
      <c r="D1536">
        <v>4</v>
      </c>
      <c r="E1536" s="3">
        <f t="shared" si="23"/>
        <v>19</v>
      </c>
    </row>
    <row r="1537" spans="1:5" x14ac:dyDescent="0.2">
      <c r="A1537">
        <v>5</v>
      </c>
      <c r="B1537" t="s">
        <v>490</v>
      </c>
      <c r="C1537">
        <v>0</v>
      </c>
      <c r="D1537">
        <v>2</v>
      </c>
      <c r="E1537" s="3">
        <f t="shared" si="23"/>
        <v>19</v>
      </c>
    </row>
    <row r="1538" spans="1:5" x14ac:dyDescent="0.2">
      <c r="A1538">
        <v>6</v>
      </c>
      <c r="B1538" t="s">
        <v>525</v>
      </c>
      <c r="C1538">
        <v>0</v>
      </c>
      <c r="D1538">
        <v>1</v>
      </c>
      <c r="E1538" s="3">
        <f t="shared" si="23"/>
        <v>19</v>
      </c>
    </row>
    <row r="1539" spans="1:5" x14ac:dyDescent="0.2">
      <c r="A1539">
        <v>7</v>
      </c>
      <c r="B1539" s="2" t="s">
        <v>10</v>
      </c>
      <c r="C1539" s="2" t="s">
        <v>10</v>
      </c>
      <c r="D1539" s="2" t="s">
        <v>10</v>
      </c>
      <c r="E1539" s="3">
        <f t="shared" si="23"/>
        <v>19</v>
      </c>
    </row>
    <row r="1540" spans="1:5" x14ac:dyDescent="0.2">
      <c r="A1540">
        <v>8</v>
      </c>
      <c r="B1540" s="2" t="s">
        <v>10</v>
      </c>
      <c r="C1540" s="2" t="s">
        <v>10</v>
      </c>
      <c r="D1540" s="2" t="s">
        <v>10</v>
      </c>
      <c r="E1540" s="3">
        <f t="shared" si="23"/>
        <v>19</v>
      </c>
    </row>
    <row r="1541" spans="1:5" x14ac:dyDescent="0.2">
      <c r="A1541" s="1" t="s">
        <v>37</v>
      </c>
      <c r="E1541" s="3">
        <f t="shared" si="23"/>
        <v>19</v>
      </c>
    </row>
    <row r="1542" spans="1:5" x14ac:dyDescent="0.2">
      <c r="A1542" s="1" t="s">
        <v>1</v>
      </c>
      <c r="B1542" s="1" t="s">
        <v>2</v>
      </c>
      <c r="C1542" s="1" t="s">
        <v>3</v>
      </c>
      <c r="D1542" s="1" t="s">
        <v>4</v>
      </c>
      <c r="E1542" s="3">
        <f t="shared" si="23"/>
        <v>19</v>
      </c>
    </row>
    <row r="1543" spans="1:5" x14ac:dyDescent="0.2">
      <c r="A1543">
        <v>1</v>
      </c>
      <c r="B1543" t="s">
        <v>504</v>
      </c>
      <c r="C1543">
        <v>3</v>
      </c>
      <c r="D1543">
        <v>16</v>
      </c>
      <c r="E1543" s="3">
        <f t="shared" si="23"/>
        <v>19</v>
      </c>
    </row>
    <row r="1544" spans="1:5" x14ac:dyDescent="0.2">
      <c r="A1544">
        <v>2</v>
      </c>
      <c r="B1544" t="s">
        <v>461</v>
      </c>
      <c r="C1544">
        <v>2</v>
      </c>
      <c r="D1544">
        <v>12</v>
      </c>
      <c r="E1544" s="3">
        <f t="shared" si="23"/>
        <v>19</v>
      </c>
    </row>
    <row r="1545" spans="1:5" x14ac:dyDescent="0.2">
      <c r="A1545">
        <v>3</v>
      </c>
      <c r="B1545" t="s">
        <v>81</v>
      </c>
      <c r="C1545">
        <v>0</v>
      </c>
      <c r="D1545">
        <v>8</v>
      </c>
      <c r="E1545" s="3">
        <f t="shared" si="23"/>
        <v>19</v>
      </c>
    </row>
    <row r="1546" spans="1:5" x14ac:dyDescent="0.2">
      <c r="A1546">
        <v>4</v>
      </c>
      <c r="B1546" t="s">
        <v>519</v>
      </c>
      <c r="C1546">
        <v>0</v>
      </c>
      <c r="D1546">
        <v>4</v>
      </c>
      <c r="E1546" s="3">
        <f t="shared" si="23"/>
        <v>19</v>
      </c>
    </row>
    <row r="1547" spans="1:5" x14ac:dyDescent="0.2">
      <c r="A1547">
        <v>5</v>
      </c>
      <c r="B1547" t="s">
        <v>493</v>
      </c>
      <c r="C1547">
        <v>0</v>
      </c>
      <c r="D1547">
        <v>2</v>
      </c>
      <c r="E1547" s="3">
        <f t="shared" si="23"/>
        <v>19</v>
      </c>
    </row>
    <row r="1548" spans="1:5" x14ac:dyDescent="0.2">
      <c r="A1548">
        <v>6</v>
      </c>
      <c r="B1548" t="s">
        <v>280</v>
      </c>
      <c r="C1548">
        <v>0</v>
      </c>
      <c r="D1548">
        <v>1</v>
      </c>
      <c r="E1548" s="3">
        <f t="shared" si="23"/>
        <v>19</v>
      </c>
    </row>
    <row r="1549" spans="1:5" x14ac:dyDescent="0.2">
      <c r="A1549">
        <v>7</v>
      </c>
      <c r="B1549" s="2" t="s">
        <v>10</v>
      </c>
      <c r="C1549" s="2" t="s">
        <v>10</v>
      </c>
      <c r="D1549" s="2" t="s">
        <v>10</v>
      </c>
      <c r="E1549" s="3">
        <f t="shared" si="23"/>
        <v>19</v>
      </c>
    </row>
    <row r="1550" spans="1:5" x14ac:dyDescent="0.2">
      <c r="A1550">
        <v>8</v>
      </c>
      <c r="B1550" s="2" t="s">
        <v>10</v>
      </c>
      <c r="C1550" s="2" t="s">
        <v>10</v>
      </c>
      <c r="D1550" s="2" t="s">
        <v>10</v>
      </c>
      <c r="E1550" s="3">
        <f t="shared" si="23"/>
        <v>19</v>
      </c>
    </row>
    <row r="1551" spans="1:5" x14ac:dyDescent="0.2">
      <c r="A1551" s="1" t="s">
        <v>44</v>
      </c>
      <c r="E1551" s="3">
        <f t="shared" si="23"/>
        <v>19</v>
      </c>
    </row>
    <row r="1552" spans="1:5" x14ac:dyDescent="0.2">
      <c r="A1552" s="1" t="s">
        <v>1</v>
      </c>
      <c r="B1552" s="1" t="s">
        <v>2</v>
      </c>
      <c r="C1552" s="1" t="s">
        <v>3</v>
      </c>
      <c r="D1552" s="1" t="s">
        <v>4</v>
      </c>
      <c r="E1552" s="3">
        <f t="shared" si="23"/>
        <v>19</v>
      </c>
    </row>
    <row r="1553" spans="1:5" x14ac:dyDescent="0.2">
      <c r="A1553">
        <v>1</v>
      </c>
      <c r="B1553" t="s">
        <v>452</v>
      </c>
      <c r="C1553">
        <v>3</v>
      </c>
      <c r="D1553">
        <v>16</v>
      </c>
      <c r="E1553" s="3">
        <f t="shared" si="23"/>
        <v>19</v>
      </c>
    </row>
    <row r="1554" spans="1:5" x14ac:dyDescent="0.2">
      <c r="A1554">
        <v>2</v>
      </c>
      <c r="B1554" t="s">
        <v>503</v>
      </c>
      <c r="C1554">
        <v>1</v>
      </c>
      <c r="D1554">
        <v>12</v>
      </c>
      <c r="E1554" s="3">
        <f t="shared" si="23"/>
        <v>19</v>
      </c>
    </row>
    <row r="1555" spans="1:5" x14ac:dyDescent="0.2">
      <c r="A1555">
        <v>3</v>
      </c>
      <c r="B1555" t="s">
        <v>516</v>
      </c>
      <c r="C1555">
        <v>0</v>
      </c>
      <c r="D1555">
        <v>8</v>
      </c>
      <c r="E1555" s="3">
        <f t="shared" si="23"/>
        <v>19</v>
      </c>
    </row>
    <row r="1556" spans="1:5" x14ac:dyDescent="0.2">
      <c r="A1556">
        <v>4</v>
      </c>
      <c r="B1556" t="s">
        <v>75</v>
      </c>
      <c r="C1556">
        <v>0</v>
      </c>
      <c r="D1556">
        <v>4</v>
      </c>
      <c r="E1556" s="3">
        <f t="shared" si="23"/>
        <v>19</v>
      </c>
    </row>
    <row r="1557" spans="1:5" x14ac:dyDescent="0.2">
      <c r="A1557">
        <v>5</v>
      </c>
      <c r="B1557" t="s">
        <v>454</v>
      </c>
      <c r="C1557">
        <v>1</v>
      </c>
      <c r="D1557">
        <v>2</v>
      </c>
      <c r="E1557" s="3">
        <f t="shared" si="23"/>
        <v>19</v>
      </c>
    </row>
    <row r="1558" spans="1:5" x14ac:dyDescent="0.2">
      <c r="A1558">
        <v>6</v>
      </c>
      <c r="B1558" t="s">
        <v>48</v>
      </c>
      <c r="C1558">
        <v>0</v>
      </c>
      <c r="D1558">
        <v>1</v>
      </c>
      <c r="E1558" s="3">
        <f t="shared" si="23"/>
        <v>19</v>
      </c>
    </row>
    <row r="1559" spans="1:5" x14ac:dyDescent="0.2">
      <c r="A1559">
        <v>7</v>
      </c>
      <c r="B1559" s="2" t="s">
        <v>10</v>
      </c>
      <c r="C1559" s="2" t="s">
        <v>10</v>
      </c>
      <c r="D1559" s="2" t="s">
        <v>10</v>
      </c>
      <c r="E1559" s="3">
        <f t="shared" si="23"/>
        <v>19</v>
      </c>
    </row>
    <row r="1560" spans="1:5" x14ac:dyDescent="0.2">
      <c r="A1560">
        <v>8</v>
      </c>
      <c r="B1560" s="2" t="s">
        <v>10</v>
      </c>
      <c r="C1560" s="2" t="s">
        <v>10</v>
      </c>
      <c r="D1560" s="2" t="s">
        <v>10</v>
      </c>
      <c r="E1560" s="3">
        <f t="shared" si="23"/>
        <v>19</v>
      </c>
    </row>
    <row r="1561" spans="1:5" x14ac:dyDescent="0.2">
      <c r="A1561" s="1" t="s">
        <v>0</v>
      </c>
      <c r="E1561" s="3">
        <f t="shared" si="23"/>
        <v>20</v>
      </c>
    </row>
    <row r="1562" spans="1:5" x14ac:dyDescent="0.2">
      <c r="A1562" s="1" t="s">
        <v>1</v>
      </c>
      <c r="B1562" s="1" t="s">
        <v>2</v>
      </c>
      <c r="C1562" s="1" t="s">
        <v>3</v>
      </c>
      <c r="D1562" s="1" t="s">
        <v>4</v>
      </c>
      <c r="E1562" s="3">
        <f t="shared" si="23"/>
        <v>20</v>
      </c>
    </row>
    <row r="1563" spans="1:5" x14ac:dyDescent="0.2">
      <c r="A1563">
        <v>0</v>
      </c>
      <c r="C1563">
        <v>0</v>
      </c>
      <c r="D1563">
        <v>0</v>
      </c>
      <c r="E1563" s="3">
        <f t="shared" si="23"/>
        <v>20</v>
      </c>
    </row>
    <row r="1564" spans="1:5" x14ac:dyDescent="0.2">
      <c r="A1564">
        <v>0</v>
      </c>
      <c r="C1564">
        <v>0</v>
      </c>
      <c r="D1564">
        <v>0</v>
      </c>
      <c r="E1564" s="3">
        <f t="shared" si="23"/>
        <v>20</v>
      </c>
    </row>
    <row r="1565" spans="1:5" x14ac:dyDescent="0.2">
      <c r="A1565">
        <v>1</v>
      </c>
      <c r="B1565" t="s">
        <v>345</v>
      </c>
      <c r="C1565">
        <v>4</v>
      </c>
      <c r="D1565">
        <v>16</v>
      </c>
      <c r="E1565" s="3">
        <f t="shared" si="23"/>
        <v>20</v>
      </c>
    </row>
    <row r="1566" spans="1:5" x14ac:dyDescent="0.2">
      <c r="A1566">
        <v>2</v>
      </c>
      <c r="B1566" t="s">
        <v>280</v>
      </c>
      <c r="C1566">
        <v>0</v>
      </c>
      <c r="D1566">
        <v>12</v>
      </c>
      <c r="E1566" s="3">
        <f t="shared" si="23"/>
        <v>20</v>
      </c>
    </row>
    <row r="1567" spans="1:5" x14ac:dyDescent="0.2">
      <c r="A1567">
        <v>3</v>
      </c>
      <c r="B1567" t="s">
        <v>534</v>
      </c>
      <c r="C1567">
        <v>0</v>
      </c>
      <c r="D1567">
        <v>8</v>
      </c>
      <c r="E1567" s="3">
        <f t="shared" si="23"/>
        <v>20</v>
      </c>
    </row>
    <row r="1568" spans="1:5" x14ac:dyDescent="0.2">
      <c r="A1568">
        <v>4</v>
      </c>
      <c r="B1568" t="s">
        <v>516</v>
      </c>
      <c r="C1568">
        <v>0</v>
      </c>
      <c r="D1568">
        <v>4</v>
      </c>
      <c r="E1568" s="3">
        <f t="shared" si="23"/>
        <v>20</v>
      </c>
    </row>
    <row r="1569" spans="1:5" x14ac:dyDescent="0.2">
      <c r="A1569">
        <v>5</v>
      </c>
      <c r="B1569" t="s">
        <v>19</v>
      </c>
      <c r="C1569">
        <v>1</v>
      </c>
      <c r="D1569">
        <v>2</v>
      </c>
      <c r="E1569" s="3">
        <f t="shared" si="23"/>
        <v>20</v>
      </c>
    </row>
    <row r="1570" spans="1:5" x14ac:dyDescent="0.2">
      <c r="A1570">
        <v>6</v>
      </c>
      <c r="B1570" t="s">
        <v>535</v>
      </c>
      <c r="C1570">
        <v>0</v>
      </c>
      <c r="D1570">
        <v>1</v>
      </c>
      <c r="E1570" s="3">
        <f t="shared" si="23"/>
        <v>20</v>
      </c>
    </row>
    <row r="1571" spans="1:5" x14ac:dyDescent="0.2">
      <c r="A1571">
        <v>9</v>
      </c>
      <c r="B1571" s="2" t="s">
        <v>10</v>
      </c>
      <c r="C1571" s="2" t="s">
        <v>10</v>
      </c>
      <c r="D1571" s="2" t="s">
        <v>10</v>
      </c>
      <c r="E1571" s="3">
        <f t="shared" ref="E1571:E1634" si="24">IF(A1571=$A$1,E1570+1,E1570)</f>
        <v>20</v>
      </c>
    </row>
    <row r="1572" spans="1:5" x14ac:dyDescent="0.2">
      <c r="A1572">
        <v>10</v>
      </c>
      <c r="B1572" s="2" t="s">
        <v>10</v>
      </c>
      <c r="C1572" s="2" t="s">
        <v>10</v>
      </c>
      <c r="D1572" s="2" t="s">
        <v>10</v>
      </c>
      <c r="E1572" s="3">
        <f t="shared" si="24"/>
        <v>20</v>
      </c>
    </row>
    <row r="1573" spans="1:5" x14ac:dyDescent="0.2">
      <c r="A1573" s="1" t="s">
        <v>11</v>
      </c>
      <c r="E1573" s="3">
        <f t="shared" si="24"/>
        <v>20</v>
      </c>
    </row>
    <row r="1574" spans="1:5" x14ac:dyDescent="0.2">
      <c r="A1574" s="1" t="s">
        <v>1</v>
      </c>
      <c r="B1574" s="1" t="s">
        <v>2</v>
      </c>
      <c r="C1574" s="1" t="s">
        <v>3</v>
      </c>
      <c r="D1574" s="1" t="s">
        <v>4</v>
      </c>
      <c r="E1574" s="3">
        <f t="shared" si="24"/>
        <v>20</v>
      </c>
    </row>
    <row r="1575" spans="1:5" x14ac:dyDescent="0.2">
      <c r="A1575">
        <v>1</v>
      </c>
      <c r="B1575" t="s">
        <v>46</v>
      </c>
      <c r="C1575">
        <v>1</v>
      </c>
      <c r="D1575">
        <v>15</v>
      </c>
      <c r="E1575" s="3">
        <f t="shared" si="24"/>
        <v>20</v>
      </c>
    </row>
    <row r="1576" spans="1:5" x14ac:dyDescent="0.2">
      <c r="A1576">
        <v>2</v>
      </c>
      <c r="B1576" t="s">
        <v>485</v>
      </c>
      <c r="C1576">
        <v>3</v>
      </c>
      <c r="D1576">
        <v>11</v>
      </c>
      <c r="E1576" s="3">
        <f t="shared" si="24"/>
        <v>20</v>
      </c>
    </row>
    <row r="1577" spans="1:5" x14ac:dyDescent="0.2">
      <c r="A1577">
        <v>3</v>
      </c>
      <c r="B1577" t="s">
        <v>81</v>
      </c>
      <c r="C1577">
        <v>0</v>
      </c>
      <c r="D1577">
        <v>7</v>
      </c>
      <c r="E1577" s="3">
        <f t="shared" si="24"/>
        <v>20</v>
      </c>
    </row>
    <row r="1578" spans="1:5" x14ac:dyDescent="0.2">
      <c r="A1578">
        <v>4</v>
      </c>
      <c r="B1578" t="s">
        <v>454</v>
      </c>
      <c r="C1578">
        <v>0</v>
      </c>
      <c r="D1578">
        <v>3</v>
      </c>
      <c r="E1578" s="3">
        <f t="shared" si="24"/>
        <v>20</v>
      </c>
    </row>
    <row r="1579" spans="1:5" x14ac:dyDescent="0.2">
      <c r="A1579">
        <v>5</v>
      </c>
      <c r="B1579" t="s">
        <v>493</v>
      </c>
      <c r="C1579">
        <v>0</v>
      </c>
      <c r="D1579">
        <v>1</v>
      </c>
      <c r="E1579" s="3">
        <f t="shared" si="24"/>
        <v>20</v>
      </c>
    </row>
    <row r="1580" spans="1:5" x14ac:dyDescent="0.2">
      <c r="A1580">
        <v>6</v>
      </c>
      <c r="B1580" s="2" t="s">
        <v>10</v>
      </c>
      <c r="C1580" s="2" t="s">
        <v>10</v>
      </c>
      <c r="D1580" s="2" t="s">
        <v>10</v>
      </c>
      <c r="E1580" s="3">
        <f t="shared" si="24"/>
        <v>20</v>
      </c>
    </row>
    <row r="1581" spans="1:5" x14ac:dyDescent="0.2">
      <c r="A1581">
        <v>7</v>
      </c>
      <c r="B1581" s="2" t="s">
        <v>10</v>
      </c>
      <c r="C1581" s="2" t="s">
        <v>10</v>
      </c>
      <c r="D1581" s="2" t="s">
        <v>10</v>
      </c>
      <c r="E1581" s="3">
        <f t="shared" si="24"/>
        <v>20</v>
      </c>
    </row>
    <row r="1582" spans="1:5" x14ac:dyDescent="0.2">
      <c r="A1582">
        <v>8</v>
      </c>
      <c r="B1582" s="2" t="s">
        <v>10</v>
      </c>
      <c r="C1582" s="2" t="s">
        <v>10</v>
      </c>
      <c r="D1582" s="2" t="s">
        <v>10</v>
      </c>
      <c r="E1582" s="3">
        <f t="shared" si="24"/>
        <v>20</v>
      </c>
    </row>
    <row r="1583" spans="1:5" x14ac:dyDescent="0.2">
      <c r="A1583" s="1" t="s">
        <v>17</v>
      </c>
      <c r="E1583" s="3">
        <f t="shared" si="24"/>
        <v>20</v>
      </c>
    </row>
    <row r="1584" spans="1:5" x14ac:dyDescent="0.2">
      <c r="A1584" s="1" t="s">
        <v>1</v>
      </c>
      <c r="B1584" s="1" t="s">
        <v>2</v>
      </c>
      <c r="C1584" s="1" t="s">
        <v>3</v>
      </c>
      <c r="D1584" s="1" t="s">
        <v>4</v>
      </c>
      <c r="E1584" s="3">
        <f t="shared" si="24"/>
        <v>20</v>
      </c>
    </row>
    <row r="1585" spans="1:5" x14ac:dyDescent="0.2">
      <c r="A1585">
        <v>1</v>
      </c>
      <c r="B1585" t="s">
        <v>74</v>
      </c>
      <c r="C1585">
        <v>3</v>
      </c>
      <c r="D1585">
        <v>16</v>
      </c>
      <c r="E1585" s="3">
        <f t="shared" si="24"/>
        <v>20</v>
      </c>
    </row>
    <row r="1586" spans="1:5" x14ac:dyDescent="0.2">
      <c r="A1586">
        <v>2</v>
      </c>
      <c r="B1586" t="s">
        <v>479</v>
      </c>
      <c r="C1586">
        <v>0</v>
      </c>
      <c r="D1586">
        <v>12</v>
      </c>
      <c r="E1586" s="3">
        <f t="shared" si="24"/>
        <v>20</v>
      </c>
    </row>
    <row r="1587" spans="1:5" x14ac:dyDescent="0.2">
      <c r="A1587">
        <v>3</v>
      </c>
      <c r="B1587" t="s">
        <v>505</v>
      </c>
      <c r="C1587">
        <v>2</v>
      </c>
      <c r="D1587">
        <v>8</v>
      </c>
      <c r="E1587" s="3">
        <f t="shared" si="24"/>
        <v>20</v>
      </c>
    </row>
    <row r="1588" spans="1:5" x14ac:dyDescent="0.2">
      <c r="A1588">
        <v>4</v>
      </c>
      <c r="B1588" t="s">
        <v>33</v>
      </c>
      <c r="C1588">
        <v>0</v>
      </c>
      <c r="D1588">
        <v>4</v>
      </c>
      <c r="E1588" s="3">
        <f t="shared" si="24"/>
        <v>20</v>
      </c>
    </row>
    <row r="1589" spans="1:5" x14ac:dyDescent="0.2">
      <c r="A1589">
        <v>5</v>
      </c>
      <c r="B1589" t="s">
        <v>507</v>
      </c>
      <c r="C1589">
        <v>0</v>
      </c>
      <c r="D1589">
        <v>2</v>
      </c>
      <c r="E1589" s="3">
        <f t="shared" si="24"/>
        <v>20</v>
      </c>
    </row>
    <row r="1590" spans="1:5" x14ac:dyDescent="0.2">
      <c r="A1590">
        <v>6</v>
      </c>
      <c r="B1590" t="s">
        <v>9</v>
      </c>
      <c r="C1590">
        <v>0</v>
      </c>
      <c r="D1590">
        <v>1</v>
      </c>
      <c r="E1590" s="3">
        <f t="shared" si="24"/>
        <v>20</v>
      </c>
    </row>
    <row r="1591" spans="1:5" x14ac:dyDescent="0.2">
      <c r="A1591">
        <v>7</v>
      </c>
      <c r="B1591" s="2" t="s">
        <v>10</v>
      </c>
      <c r="C1591" s="2" t="s">
        <v>10</v>
      </c>
      <c r="D1591" s="2" t="s">
        <v>10</v>
      </c>
      <c r="E1591" s="3">
        <f t="shared" si="24"/>
        <v>20</v>
      </c>
    </row>
    <row r="1592" spans="1:5" x14ac:dyDescent="0.2">
      <c r="A1592">
        <v>8</v>
      </c>
      <c r="B1592" s="2" t="s">
        <v>10</v>
      </c>
      <c r="C1592" s="2" t="s">
        <v>10</v>
      </c>
      <c r="D1592" s="2" t="s">
        <v>10</v>
      </c>
      <c r="E1592" s="3">
        <f t="shared" si="24"/>
        <v>20</v>
      </c>
    </row>
    <row r="1593" spans="1:5" x14ac:dyDescent="0.2">
      <c r="A1593" s="1" t="s">
        <v>24</v>
      </c>
      <c r="E1593" s="3">
        <f t="shared" si="24"/>
        <v>20</v>
      </c>
    </row>
    <row r="1594" spans="1:5" x14ac:dyDescent="0.2">
      <c r="A1594" s="1" t="s">
        <v>1</v>
      </c>
      <c r="B1594" s="1" t="s">
        <v>2</v>
      </c>
      <c r="C1594" s="1" t="s">
        <v>3</v>
      </c>
      <c r="D1594" s="1" t="s">
        <v>4</v>
      </c>
      <c r="E1594" s="3">
        <f t="shared" si="24"/>
        <v>20</v>
      </c>
    </row>
    <row r="1595" spans="1:5" x14ac:dyDescent="0.2">
      <c r="A1595">
        <v>1</v>
      </c>
      <c r="B1595" t="s">
        <v>73</v>
      </c>
      <c r="C1595">
        <v>3</v>
      </c>
      <c r="D1595">
        <v>15</v>
      </c>
      <c r="E1595" s="3">
        <f t="shared" si="24"/>
        <v>20</v>
      </c>
    </row>
    <row r="1596" spans="1:5" x14ac:dyDescent="0.2">
      <c r="A1596">
        <v>2</v>
      </c>
      <c r="B1596" t="s">
        <v>69</v>
      </c>
      <c r="C1596">
        <v>0</v>
      </c>
      <c r="D1596">
        <v>11</v>
      </c>
      <c r="E1596" s="3">
        <f t="shared" si="24"/>
        <v>20</v>
      </c>
    </row>
    <row r="1597" spans="1:5" x14ac:dyDescent="0.2">
      <c r="A1597">
        <v>3</v>
      </c>
      <c r="B1597" t="s">
        <v>21</v>
      </c>
      <c r="C1597">
        <v>1</v>
      </c>
      <c r="D1597">
        <v>7</v>
      </c>
      <c r="E1597" s="3">
        <f t="shared" si="24"/>
        <v>20</v>
      </c>
    </row>
    <row r="1598" spans="1:5" x14ac:dyDescent="0.2">
      <c r="A1598">
        <v>4</v>
      </c>
      <c r="B1598" t="s">
        <v>6</v>
      </c>
      <c r="C1598">
        <v>0</v>
      </c>
      <c r="D1598">
        <v>3</v>
      </c>
      <c r="E1598" s="3">
        <f t="shared" si="24"/>
        <v>20</v>
      </c>
    </row>
    <row r="1599" spans="1:5" x14ac:dyDescent="0.2">
      <c r="A1599">
        <v>5</v>
      </c>
      <c r="B1599" t="s">
        <v>25</v>
      </c>
      <c r="C1599">
        <v>0</v>
      </c>
      <c r="D1599">
        <v>1</v>
      </c>
      <c r="E1599" s="3">
        <f t="shared" si="24"/>
        <v>20</v>
      </c>
    </row>
    <row r="1600" spans="1:5" x14ac:dyDescent="0.2">
      <c r="A1600">
        <v>6</v>
      </c>
      <c r="B1600" s="2" t="s">
        <v>10</v>
      </c>
      <c r="C1600" s="2" t="s">
        <v>10</v>
      </c>
      <c r="D1600" s="2" t="s">
        <v>10</v>
      </c>
      <c r="E1600" s="3">
        <f t="shared" si="24"/>
        <v>20</v>
      </c>
    </row>
    <row r="1601" spans="1:5" x14ac:dyDescent="0.2">
      <c r="A1601">
        <v>7</v>
      </c>
      <c r="B1601" s="2" t="s">
        <v>10</v>
      </c>
      <c r="C1601" s="2" t="s">
        <v>10</v>
      </c>
      <c r="D1601" s="2" t="s">
        <v>10</v>
      </c>
      <c r="E1601" s="3">
        <f t="shared" si="24"/>
        <v>20</v>
      </c>
    </row>
    <row r="1602" spans="1:5" x14ac:dyDescent="0.2">
      <c r="A1602">
        <v>8</v>
      </c>
      <c r="B1602" s="2" t="s">
        <v>10</v>
      </c>
      <c r="C1602" s="2" t="s">
        <v>10</v>
      </c>
      <c r="D1602" s="2" t="s">
        <v>10</v>
      </c>
      <c r="E1602" s="3">
        <f t="shared" si="24"/>
        <v>20</v>
      </c>
    </row>
    <row r="1603" spans="1:5" x14ac:dyDescent="0.2">
      <c r="A1603" s="1" t="s">
        <v>30</v>
      </c>
      <c r="E1603" s="3">
        <f t="shared" si="24"/>
        <v>20</v>
      </c>
    </row>
    <row r="1604" spans="1:5" x14ac:dyDescent="0.2">
      <c r="A1604" s="1" t="s">
        <v>1</v>
      </c>
      <c r="B1604" s="1" t="s">
        <v>2</v>
      </c>
      <c r="C1604" s="1" t="s">
        <v>3</v>
      </c>
      <c r="D1604" s="1" t="s">
        <v>4</v>
      </c>
      <c r="E1604" s="3">
        <f t="shared" si="24"/>
        <v>20</v>
      </c>
    </row>
    <row r="1605" spans="1:5" x14ac:dyDescent="0.2">
      <c r="A1605">
        <v>1</v>
      </c>
      <c r="B1605" t="s">
        <v>66</v>
      </c>
      <c r="C1605">
        <v>3</v>
      </c>
      <c r="D1605">
        <v>15</v>
      </c>
      <c r="E1605" s="3">
        <f t="shared" si="24"/>
        <v>20</v>
      </c>
    </row>
    <row r="1606" spans="1:5" x14ac:dyDescent="0.2">
      <c r="A1606">
        <v>2</v>
      </c>
      <c r="B1606" t="s">
        <v>533</v>
      </c>
      <c r="C1606">
        <v>0</v>
      </c>
      <c r="D1606">
        <v>11</v>
      </c>
      <c r="E1606" s="3">
        <f t="shared" si="24"/>
        <v>20</v>
      </c>
    </row>
    <row r="1607" spans="1:5" x14ac:dyDescent="0.2">
      <c r="A1607">
        <v>3</v>
      </c>
      <c r="B1607" t="s">
        <v>35</v>
      </c>
      <c r="C1607">
        <v>1</v>
      </c>
      <c r="D1607">
        <v>7</v>
      </c>
      <c r="E1607" s="3">
        <f t="shared" si="24"/>
        <v>20</v>
      </c>
    </row>
    <row r="1608" spans="1:5" x14ac:dyDescent="0.2">
      <c r="A1608">
        <v>4</v>
      </c>
      <c r="B1608" t="s">
        <v>65</v>
      </c>
      <c r="C1608">
        <v>0</v>
      </c>
      <c r="D1608">
        <v>3</v>
      </c>
      <c r="E1608" s="3">
        <f t="shared" si="24"/>
        <v>20</v>
      </c>
    </row>
    <row r="1609" spans="1:5" x14ac:dyDescent="0.2">
      <c r="A1609">
        <v>5</v>
      </c>
      <c r="B1609" t="s">
        <v>475</v>
      </c>
      <c r="C1609">
        <v>0</v>
      </c>
      <c r="D1609">
        <v>1</v>
      </c>
      <c r="E1609" s="3">
        <f t="shared" si="24"/>
        <v>20</v>
      </c>
    </row>
    <row r="1610" spans="1:5" x14ac:dyDescent="0.2">
      <c r="A1610">
        <v>6</v>
      </c>
      <c r="B1610" s="2" t="s">
        <v>10</v>
      </c>
      <c r="C1610" s="2" t="s">
        <v>10</v>
      </c>
      <c r="D1610" s="2" t="s">
        <v>10</v>
      </c>
      <c r="E1610" s="3">
        <f t="shared" si="24"/>
        <v>20</v>
      </c>
    </row>
    <row r="1611" spans="1:5" x14ac:dyDescent="0.2">
      <c r="A1611">
        <v>7</v>
      </c>
      <c r="B1611" s="2" t="s">
        <v>10</v>
      </c>
      <c r="C1611" s="2" t="s">
        <v>10</v>
      </c>
      <c r="D1611" s="2" t="s">
        <v>10</v>
      </c>
      <c r="E1611" s="3">
        <f t="shared" si="24"/>
        <v>20</v>
      </c>
    </row>
    <row r="1612" spans="1:5" x14ac:dyDescent="0.2">
      <c r="A1612">
        <v>8</v>
      </c>
      <c r="B1612" s="2" t="s">
        <v>10</v>
      </c>
      <c r="C1612" s="2" t="s">
        <v>10</v>
      </c>
      <c r="D1612" s="2" t="s">
        <v>10</v>
      </c>
      <c r="E1612" s="3">
        <f t="shared" si="24"/>
        <v>20</v>
      </c>
    </row>
    <row r="1613" spans="1:5" x14ac:dyDescent="0.2">
      <c r="A1613" s="1" t="s">
        <v>37</v>
      </c>
      <c r="E1613" s="3">
        <f t="shared" si="24"/>
        <v>20</v>
      </c>
    </row>
    <row r="1614" spans="1:5" x14ac:dyDescent="0.2">
      <c r="A1614" s="1" t="s">
        <v>1</v>
      </c>
      <c r="B1614" s="1" t="s">
        <v>2</v>
      </c>
      <c r="C1614" s="1" t="s">
        <v>3</v>
      </c>
      <c r="D1614" s="1" t="s">
        <v>4</v>
      </c>
      <c r="E1614" s="3">
        <f t="shared" si="24"/>
        <v>20</v>
      </c>
    </row>
    <row r="1615" spans="1:5" x14ac:dyDescent="0.2">
      <c r="A1615">
        <v>1</v>
      </c>
      <c r="B1615" t="s">
        <v>27</v>
      </c>
      <c r="C1615">
        <v>4</v>
      </c>
      <c r="D1615">
        <v>16</v>
      </c>
      <c r="E1615" s="3">
        <f t="shared" si="24"/>
        <v>20</v>
      </c>
    </row>
    <row r="1616" spans="1:5" x14ac:dyDescent="0.2">
      <c r="A1616">
        <v>2</v>
      </c>
      <c r="B1616" t="s">
        <v>525</v>
      </c>
      <c r="C1616">
        <v>0</v>
      </c>
      <c r="D1616">
        <v>12</v>
      </c>
      <c r="E1616" s="3">
        <f t="shared" si="24"/>
        <v>20</v>
      </c>
    </row>
    <row r="1617" spans="1:5" x14ac:dyDescent="0.2">
      <c r="A1617">
        <v>3</v>
      </c>
      <c r="B1617" t="s">
        <v>518</v>
      </c>
      <c r="C1617">
        <v>1</v>
      </c>
      <c r="D1617">
        <v>8</v>
      </c>
      <c r="E1617" s="3">
        <f t="shared" si="24"/>
        <v>20</v>
      </c>
    </row>
    <row r="1618" spans="1:5" x14ac:dyDescent="0.2">
      <c r="A1618">
        <v>4</v>
      </c>
      <c r="B1618" t="s">
        <v>512</v>
      </c>
      <c r="C1618">
        <v>0</v>
      </c>
      <c r="D1618">
        <v>4</v>
      </c>
      <c r="E1618" s="3">
        <f t="shared" si="24"/>
        <v>20</v>
      </c>
    </row>
    <row r="1619" spans="1:5" x14ac:dyDescent="0.2">
      <c r="A1619">
        <v>5</v>
      </c>
      <c r="B1619" t="s">
        <v>55</v>
      </c>
      <c r="C1619">
        <v>0</v>
      </c>
      <c r="D1619">
        <v>2</v>
      </c>
      <c r="E1619" s="3">
        <f t="shared" si="24"/>
        <v>20</v>
      </c>
    </row>
    <row r="1620" spans="1:5" x14ac:dyDescent="0.2">
      <c r="A1620">
        <v>6</v>
      </c>
      <c r="B1620" t="s">
        <v>42</v>
      </c>
      <c r="C1620">
        <v>0</v>
      </c>
      <c r="D1620">
        <v>1</v>
      </c>
      <c r="E1620" s="3">
        <f t="shared" si="24"/>
        <v>20</v>
      </c>
    </row>
    <row r="1621" spans="1:5" x14ac:dyDescent="0.2">
      <c r="A1621">
        <v>7</v>
      </c>
      <c r="B1621" s="2" t="s">
        <v>10</v>
      </c>
      <c r="C1621" s="2" t="s">
        <v>10</v>
      </c>
      <c r="D1621" s="2" t="s">
        <v>10</v>
      </c>
      <c r="E1621" s="3">
        <f t="shared" si="24"/>
        <v>20</v>
      </c>
    </row>
    <row r="1622" spans="1:5" x14ac:dyDescent="0.2">
      <c r="A1622">
        <v>8</v>
      </c>
      <c r="B1622" s="2" t="s">
        <v>10</v>
      </c>
      <c r="C1622" s="2" t="s">
        <v>10</v>
      </c>
      <c r="D1622" s="2" t="s">
        <v>10</v>
      </c>
      <c r="E1622" s="3">
        <f t="shared" si="24"/>
        <v>20</v>
      </c>
    </row>
    <row r="1623" spans="1:5" x14ac:dyDescent="0.2">
      <c r="A1623" s="1" t="s">
        <v>51</v>
      </c>
      <c r="E1623" s="3">
        <f t="shared" si="24"/>
        <v>20</v>
      </c>
    </row>
    <row r="1624" spans="1:5" x14ac:dyDescent="0.2">
      <c r="A1624" s="1" t="s">
        <v>1</v>
      </c>
      <c r="B1624" s="1" t="s">
        <v>2</v>
      </c>
      <c r="C1624" s="1" t="s">
        <v>3</v>
      </c>
      <c r="D1624" s="1" t="s">
        <v>4</v>
      </c>
      <c r="E1624" s="3">
        <f t="shared" si="24"/>
        <v>20</v>
      </c>
    </row>
    <row r="1625" spans="1:5" x14ac:dyDescent="0.2">
      <c r="A1625">
        <v>1</v>
      </c>
      <c r="B1625" t="s">
        <v>502</v>
      </c>
      <c r="C1625">
        <v>3</v>
      </c>
      <c r="D1625">
        <v>16</v>
      </c>
      <c r="E1625" s="3">
        <f t="shared" si="24"/>
        <v>20</v>
      </c>
    </row>
    <row r="1626" spans="1:5" x14ac:dyDescent="0.2">
      <c r="A1626">
        <v>2</v>
      </c>
      <c r="B1626" t="s">
        <v>32</v>
      </c>
      <c r="C1626">
        <v>0</v>
      </c>
      <c r="D1626">
        <v>12</v>
      </c>
      <c r="E1626" s="3">
        <f t="shared" si="24"/>
        <v>20</v>
      </c>
    </row>
    <row r="1627" spans="1:5" x14ac:dyDescent="0.2">
      <c r="A1627">
        <v>3</v>
      </c>
      <c r="B1627" t="s">
        <v>87</v>
      </c>
      <c r="C1627">
        <v>2</v>
      </c>
      <c r="D1627">
        <v>8</v>
      </c>
      <c r="E1627" s="3">
        <f t="shared" si="24"/>
        <v>20</v>
      </c>
    </row>
    <row r="1628" spans="1:5" x14ac:dyDescent="0.2">
      <c r="A1628">
        <v>4</v>
      </c>
      <c r="B1628" t="s">
        <v>504</v>
      </c>
      <c r="C1628">
        <v>0</v>
      </c>
      <c r="D1628">
        <v>4</v>
      </c>
      <c r="E1628" s="3">
        <f t="shared" si="24"/>
        <v>20</v>
      </c>
    </row>
    <row r="1629" spans="1:5" x14ac:dyDescent="0.2">
      <c r="A1629">
        <v>5</v>
      </c>
      <c r="B1629" t="s">
        <v>503</v>
      </c>
      <c r="C1629">
        <v>0</v>
      </c>
      <c r="D1629">
        <v>2</v>
      </c>
      <c r="E1629" s="3">
        <f t="shared" si="24"/>
        <v>20</v>
      </c>
    </row>
    <row r="1630" spans="1:5" x14ac:dyDescent="0.2">
      <c r="A1630">
        <v>6</v>
      </c>
      <c r="B1630" t="s">
        <v>75</v>
      </c>
      <c r="C1630">
        <v>0</v>
      </c>
      <c r="D1630">
        <v>1</v>
      </c>
      <c r="E1630" s="3">
        <f t="shared" si="24"/>
        <v>20</v>
      </c>
    </row>
    <row r="1631" spans="1:5" x14ac:dyDescent="0.2">
      <c r="A1631">
        <v>7</v>
      </c>
      <c r="B1631" s="2" t="s">
        <v>10</v>
      </c>
      <c r="C1631" s="2" t="s">
        <v>10</v>
      </c>
      <c r="D1631" s="2" t="s">
        <v>10</v>
      </c>
      <c r="E1631" s="3">
        <f t="shared" si="24"/>
        <v>20</v>
      </c>
    </row>
    <row r="1632" spans="1:5" x14ac:dyDescent="0.2">
      <c r="A1632">
        <v>8</v>
      </c>
      <c r="B1632" s="2" t="s">
        <v>10</v>
      </c>
      <c r="C1632" s="2" t="s">
        <v>10</v>
      </c>
      <c r="D1632" s="2" t="s">
        <v>10</v>
      </c>
      <c r="E1632" s="3">
        <f t="shared" si="24"/>
        <v>20</v>
      </c>
    </row>
    <row r="1633" spans="1:5" x14ac:dyDescent="0.2">
      <c r="A1633" s="1" t="s">
        <v>0</v>
      </c>
      <c r="E1633" s="3">
        <f t="shared" si="24"/>
        <v>21</v>
      </c>
    </row>
    <row r="1634" spans="1:5" x14ac:dyDescent="0.2">
      <c r="A1634" s="1" t="s">
        <v>1</v>
      </c>
      <c r="B1634" s="1" t="s">
        <v>2</v>
      </c>
      <c r="C1634" s="1" t="s">
        <v>3</v>
      </c>
      <c r="D1634" s="1" t="s">
        <v>4</v>
      </c>
      <c r="E1634" s="3">
        <f t="shared" si="24"/>
        <v>21</v>
      </c>
    </row>
    <row r="1635" spans="1:5" x14ac:dyDescent="0.2">
      <c r="A1635">
        <v>1</v>
      </c>
      <c r="B1635" t="s">
        <v>534</v>
      </c>
      <c r="C1635">
        <v>2</v>
      </c>
      <c r="D1635">
        <v>16</v>
      </c>
      <c r="E1635" s="3">
        <f t="shared" ref="E1635:E1698" si="25">IF(A1635=$A$1,E1634+1,E1634)</f>
        <v>21</v>
      </c>
    </row>
    <row r="1636" spans="1:5" x14ac:dyDescent="0.2">
      <c r="A1636">
        <v>2</v>
      </c>
      <c r="B1636" t="s">
        <v>27</v>
      </c>
      <c r="C1636">
        <v>1</v>
      </c>
      <c r="D1636">
        <v>12</v>
      </c>
      <c r="E1636" s="3">
        <f t="shared" si="25"/>
        <v>21</v>
      </c>
    </row>
    <row r="1637" spans="1:5" x14ac:dyDescent="0.2">
      <c r="A1637">
        <v>3</v>
      </c>
      <c r="B1637" t="s">
        <v>509</v>
      </c>
      <c r="C1637">
        <v>1</v>
      </c>
      <c r="D1637">
        <v>8</v>
      </c>
      <c r="E1637" s="3">
        <f t="shared" si="25"/>
        <v>21</v>
      </c>
    </row>
    <row r="1638" spans="1:5" x14ac:dyDescent="0.2">
      <c r="A1638">
        <v>4</v>
      </c>
      <c r="B1638" t="s">
        <v>46</v>
      </c>
      <c r="C1638">
        <v>1</v>
      </c>
      <c r="D1638">
        <v>4</v>
      </c>
      <c r="E1638" s="3">
        <f t="shared" si="25"/>
        <v>21</v>
      </c>
    </row>
    <row r="1639" spans="1:5" x14ac:dyDescent="0.2">
      <c r="A1639">
        <v>5</v>
      </c>
      <c r="B1639" t="s">
        <v>65</v>
      </c>
      <c r="C1639">
        <v>0</v>
      </c>
      <c r="D1639">
        <v>2</v>
      </c>
      <c r="E1639" s="3">
        <f t="shared" si="25"/>
        <v>21</v>
      </c>
    </row>
    <row r="1640" spans="1:5" x14ac:dyDescent="0.2">
      <c r="A1640">
        <v>6</v>
      </c>
      <c r="B1640" t="s">
        <v>345</v>
      </c>
      <c r="C1640">
        <v>0</v>
      </c>
      <c r="D1640">
        <v>1</v>
      </c>
      <c r="E1640" s="3">
        <f t="shared" si="25"/>
        <v>21</v>
      </c>
    </row>
    <row r="1641" spans="1:5" x14ac:dyDescent="0.2">
      <c r="A1641">
        <v>7</v>
      </c>
      <c r="B1641" s="2" t="s">
        <v>10</v>
      </c>
      <c r="C1641" s="2" t="s">
        <v>10</v>
      </c>
      <c r="D1641" s="2" t="s">
        <v>10</v>
      </c>
      <c r="E1641" s="3">
        <f t="shared" si="25"/>
        <v>21</v>
      </c>
    </row>
    <row r="1642" spans="1:5" x14ac:dyDescent="0.2">
      <c r="A1642">
        <v>8</v>
      </c>
      <c r="B1642" s="2" t="s">
        <v>10</v>
      </c>
      <c r="C1642" s="2" t="s">
        <v>10</v>
      </c>
      <c r="D1642" s="2" t="s">
        <v>10</v>
      </c>
      <c r="E1642" s="3">
        <f t="shared" si="25"/>
        <v>21</v>
      </c>
    </row>
    <row r="1643" spans="1:5" x14ac:dyDescent="0.2">
      <c r="A1643" s="1" t="s">
        <v>11</v>
      </c>
      <c r="E1643" s="3">
        <f t="shared" si="25"/>
        <v>21</v>
      </c>
    </row>
    <row r="1644" spans="1:5" x14ac:dyDescent="0.2">
      <c r="A1644" s="1" t="s">
        <v>1</v>
      </c>
      <c r="B1644" s="1" t="s">
        <v>2</v>
      </c>
      <c r="C1644" s="1" t="s">
        <v>3</v>
      </c>
      <c r="D1644" s="1" t="s">
        <v>4</v>
      </c>
      <c r="E1644" s="3">
        <f t="shared" si="25"/>
        <v>21</v>
      </c>
    </row>
    <row r="1645" spans="1:5" x14ac:dyDescent="0.2">
      <c r="A1645">
        <v>1</v>
      </c>
      <c r="B1645" t="s">
        <v>461</v>
      </c>
      <c r="C1645">
        <v>3</v>
      </c>
      <c r="D1645">
        <v>17</v>
      </c>
      <c r="E1645" s="3">
        <f t="shared" si="25"/>
        <v>21</v>
      </c>
    </row>
    <row r="1646" spans="1:5" x14ac:dyDescent="0.2">
      <c r="A1646">
        <v>2</v>
      </c>
      <c r="B1646" t="s">
        <v>519</v>
      </c>
      <c r="C1646">
        <v>2</v>
      </c>
      <c r="D1646">
        <v>13</v>
      </c>
      <c r="E1646" s="3">
        <f t="shared" si="25"/>
        <v>21</v>
      </c>
    </row>
    <row r="1647" spans="1:5" x14ac:dyDescent="0.2">
      <c r="A1647">
        <v>3</v>
      </c>
      <c r="B1647" t="s">
        <v>14</v>
      </c>
      <c r="C1647">
        <v>0</v>
      </c>
      <c r="D1647">
        <v>9</v>
      </c>
      <c r="E1647" s="3">
        <f t="shared" si="25"/>
        <v>21</v>
      </c>
    </row>
    <row r="1648" spans="1:5" x14ac:dyDescent="0.2">
      <c r="A1648">
        <v>4</v>
      </c>
      <c r="B1648" t="s">
        <v>21</v>
      </c>
      <c r="C1648">
        <v>0</v>
      </c>
      <c r="D1648">
        <v>5</v>
      </c>
      <c r="E1648" s="3">
        <f t="shared" si="25"/>
        <v>21</v>
      </c>
    </row>
    <row r="1649" spans="1:5" x14ac:dyDescent="0.2">
      <c r="A1649">
        <v>5</v>
      </c>
      <c r="B1649" t="s">
        <v>9</v>
      </c>
      <c r="C1649">
        <v>1</v>
      </c>
      <c r="D1649">
        <v>3</v>
      </c>
      <c r="E1649" s="3">
        <f t="shared" si="25"/>
        <v>21</v>
      </c>
    </row>
    <row r="1650" spans="1:5" x14ac:dyDescent="0.2">
      <c r="A1650">
        <v>6</v>
      </c>
      <c r="B1650" t="s">
        <v>512</v>
      </c>
      <c r="C1650">
        <v>0</v>
      </c>
      <c r="D1650">
        <v>2</v>
      </c>
      <c r="E1650" s="3">
        <f t="shared" si="25"/>
        <v>21</v>
      </c>
    </row>
    <row r="1651" spans="1:5" x14ac:dyDescent="0.2">
      <c r="A1651">
        <v>7</v>
      </c>
      <c r="B1651" t="s">
        <v>61</v>
      </c>
      <c r="C1651">
        <v>0</v>
      </c>
      <c r="D1651">
        <v>1</v>
      </c>
      <c r="E1651" s="3">
        <f t="shared" si="25"/>
        <v>21</v>
      </c>
    </row>
    <row r="1652" spans="1:5" x14ac:dyDescent="0.2">
      <c r="A1652">
        <v>8</v>
      </c>
      <c r="B1652" s="2" t="s">
        <v>10</v>
      </c>
      <c r="C1652" s="2" t="s">
        <v>10</v>
      </c>
      <c r="D1652" s="2" t="s">
        <v>10</v>
      </c>
      <c r="E1652" s="3">
        <f t="shared" si="25"/>
        <v>21</v>
      </c>
    </row>
    <row r="1653" spans="1:5" x14ac:dyDescent="0.2">
      <c r="A1653" s="1" t="s">
        <v>17</v>
      </c>
      <c r="E1653" s="3">
        <f t="shared" si="25"/>
        <v>21</v>
      </c>
    </row>
    <row r="1654" spans="1:5" x14ac:dyDescent="0.2">
      <c r="A1654" s="1" t="s">
        <v>1</v>
      </c>
      <c r="B1654" s="1" t="s">
        <v>2</v>
      </c>
      <c r="C1654" s="1" t="s">
        <v>3</v>
      </c>
      <c r="D1654" s="1" t="s">
        <v>4</v>
      </c>
      <c r="E1654" s="3">
        <f t="shared" si="25"/>
        <v>21</v>
      </c>
    </row>
    <row r="1655" spans="1:5" x14ac:dyDescent="0.2">
      <c r="A1655">
        <v>1</v>
      </c>
      <c r="B1655" t="s">
        <v>33</v>
      </c>
      <c r="C1655">
        <v>1</v>
      </c>
      <c r="D1655">
        <v>16</v>
      </c>
      <c r="E1655" s="3">
        <f t="shared" si="25"/>
        <v>21</v>
      </c>
    </row>
    <row r="1656" spans="1:5" x14ac:dyDescent="0.2">
      <c r="A1656">
        <v>2</v>
      </c>
      <c r="B1656" t="s">
        <v>506</v>
      </c>
      <c r="C1656">
        <v>3</v>
      </c>
      <c r="D1656">
        <v>12</v>
      </c>
      <c r="E1656" s="3">
        <f t="shared" si="25"/>
        <v>21</v>
      </c>
    </row>
    <row r="1657" spans="1:5" x14ac:dyDescent="0.2">
      <c r="A1657">
        <v>3</v>
      </c>
      <c r="B1657" t="s">
        <v>6</v>
      </c>
      <c r="C1657">
        <v>1</v>
      </c>
      <c r="D1657">
        <v>8</v>
      </c>
      <c r="E1657" s="3">
        <f t="shared" si="25"/>
        <v>21</v>
      </c>
    </row>
    <row r="1658" spans="1:5" x14ac:dyDescent="0.2">
      <c r="A1658">
        <v>4</v>
      </c>
      <c r="B1658" t="s">
        <v>479</v>
      </c>
      <c r="C1658">
        <v>0</v>
      </c>
      <c r="D1658">
        <v>4</v>
      </c>
      <c r="E1658" s="3">
        <f t="shared" si="25"/>
        <v>21</v>
      </c>
    </row>
    <row r="1659" spans="1:5" x14ac:dyDescent="0.2">
      <c r="A1659">
        <v>5</v>
      </c>
      <c r="B1659" t="s">
        <v>55</v>
      </c>
      <c r="C1659">
        <v>0</v>
      </c>
      <c r="D1659">
        <v>2</v>
      </c>
      <c r="E1659" s="3">
        <f t="shared" si="25"/>
        <v>21</v>
      </c>
    </row>
    <row r="1660" spans="1:5" x14ac:dyDescent="0.2">
      <c r="A1660">
        <v>6</v>
      </c>
      <c r="B1660" t="s">
        <v>69</v>
      </c>
      <c r="C1660">
        <v>0</v>
      </c>
      <c r="D1660">
        <v>1</v>
      </c>
      <c r="E1660" s="3">
        <f t="shared" si="25"/>
        <v>21</v>
      </c>
    </row>
    <row r="1661" spans="1:5" x14ac:dyDescent="0.2">
      <c r="A1661">
        <v>7</v>
      </c>
      <c r="B1661" s="2" t="s">
        <v>10</v>
      </c>
      <c r="C1661" s="2" t="s">
        <v>10</v>
      </c>
      <c r="D1661" s="2" t="s">
        <v>10</v>
      </c>
      <c r="E1661" s="3">
        <f t="shared" si="25"/>
        <v>21</v>
      </c>
    </row>
    <row r="1662" spans="1:5" x14ac:dyDescent="0.2">
      <c r="A1662">
        <v>8</v>
      </c>
      <c r="B1662" s="2" t="s">
        <v>10</v>
      </c>
      <c r="C1662" s="2" t="s">
        <v>10</v>
      </c>
      <c r="D1662" s="2" t="s">
        <v>10</v>
      </c>
      <c r="E1662" s="3">
        <f t="shared" si="25"/>
        <v>21</v>
      </c>
    </row>
    <row r="1663" spans="1:5" x14ac:dyDescent="0.2">
      <c r="A1663" s="1" t="s">
        <v>24</v>
      </c>
      <c r="E1663" s="3">
        <f t="shared" si="25"/>
        <v>21</v>
      </c>
    </row>
    <row r="1664" spans="1:5" x14ac:dyDescent="0.2">
      <c r="A1664" s="1" t="s">
        <v>1</v>
      </c>
      <c r="B1664" s="1" t="s">
        <v>2</v>
      </c>
      <c r="C1664" s="1" t="s">
        <v>3</v>
      </c>
      <c r="D1664" s="1" t="s">
        <v>4</v>
      </c>
      <c r="E1664" s="3">
        <f t="shared" si="25"/>
        <v>21</v>
      </c>
    </row>
    <row r="1665" spans="1:5" x14ac:dyDescent="0.2">
      <c r="A1665">
        <v>1</v>
      </c>
      <c r="B1665" t="s">
        <v>35</v>
      </c>
      <c r="C1665">
        <v>4</v>
      </c>
      <c r="D1665">
        <v>16</v>
      </c>
      <c r="E1665" s="3">
        <f t="shared" si="25"/>
        <v>21</v>
      </c>
    </row>
    <row r="1666" spans="1:5" x14ac:dyDescent="0.2">
      <c r="A1666">
        <v>2</v>
      </c>
      <c r="B1666" t="s">
        <v>74</v>
      </c>
      <c r="C1666">
        <v>1</v>
      </c>
      <c r="D1666">
        <v>12</v>
      </c>
      <c r="E1666" s="3">
        <f t="shared" si="25"/>
        <v>21</v>
      </c>
    </row>
    <row r="1667" spans="1:5" x14ac:dyDescent="0.2">
      <c r="A1667">
        <v>3</v>
      </c>
      <c r="B1667" t="s">
        <v>485</v>
      </c>
      <c r="C1667">
        <v>0</v>
      </c>
      <c r="D1667">
        <v>8</v>
      </c>
      <c r="E1667" s="3">
        <f t="shared" si="25"/>
        <v>21</v>
      </c>
    </row>
    <row r="1668" spans="1:5" x14ac:dyDescent="0.2">
      <c r="A1668">
        <v>4</v>
      </c>
      <c r="B1668" t="s">
        <v>525</v>
      </c>
      <c r="C1668">
        <v>0</v>
      </c>
      <c r="D1668">
        <v>4</v>
      </c>
      <c r="E1668" s="3">
        <f t="shared" si="25"/>
        <v>21</v>
      </c>
    </row>
    <row r="1669" spans="1:5" x14ac:dyDescent="0.2">
      <c r="A1669">
        <v>5</v>
      </c>
      <c r="B1669" t="s">
        <v>493</v>
      </c>
      <c r="C1669">
        <v>0</v>
      </c>
      <c r="D1669">
        <v>2</v>
      </c>
      <c r="E1669" s="3">
        <f t="shared" si="25"/>
        <v>21</v>
      </c>
    </row>
    <row r="1670" spans="1:5" x14ac:dyDescent="0.2">
      <c r="A1670">
        <v>6</v>
      </c>
      <c r="B1670" t="s">
        <v>40</v>
      </c>
      <c r="C1670">
        <v>0</v>
      </c>
      <c r="D1670">
        <v>1</v>
      </c>
      <c r="E1670" s="3">
        <f t="shared" si="25"/>
        <v>21</v>
      </c>
    </row>
    <row r="1671" spans="1:5" x14ac:dyDescent="0.2">
      <c r="A1671">
        <v>7</v>
      </c>
      <c r="B1671" s="2" t="s">
        <v>10</v>
      </c>
      <c r="C1671" s="2" t="s">
        <v>10</v>
      </c>
      <c r="D1671" s="2" t="s">
        <v>10</v>
      </c>
      <c r="E1671" s="3">
        <f t="shared" si="25"/>
        <v>21</v>
      </c>
    </row>
    <row r="1672" spans="1:5" x14ac:dyDescent="0.2">
      <c r="A1672">
        <v>8</v>
      </c>
      <c r="B1672" s="2" t="s">
        <v>10</v>
      </c>
      <c r="C1672" s="2" t="s">
        <v>10</v>
      </c>
      <c r="D1672" s="2" t="s">
        <v>10</v>
      </c>
      <c r="E1672" s="3">
        <f t="shared" si="25"/>
        <v>21</v>
      </c>
    </row>
    <row r="1673" spans="1:5" x14ac:dyDescent="0.2">
      <c r="A1673" s="1" t="s">
        <v>30</v>
      </c>
      <c r="E1673" s="3">
        <f t="shared" si="25"/>
        <v>21</v>
      </c>
    </row>
    <row r="1674" spans="1:5" x14ac:dyDescent="0.2">
      <c r="A1674" s="1" t="s">
        <v>1</v>
      </c>
      <c r="B1674" s="1" t="s">
        <v>2</v>
      </c>
      <c r="C1674" s="1" t="s">
        <v>3</v>
      </c>
      <c r="D1674" s="1" t="s">
        <v>4</v>
      </c>
      <c r="E1674" s="3">
        <f t="shared" si="25"/>
        <v>21</v>
      </c>
    </row>
    <row r="1675" spans="1:5" x14ac:dyDescent="0.2">
      <c r="A1675">
        <v>0</v>
      </c>
      <c r="C1675">
        <v>0</v>
      </c>
      <c r="D1675">
        <v>0</v>
      </c>
      <c r="E1675" s="3">
        <f t="shared" si="25"/>
        <v>21</v>
      </c>
    </row>
    <row r="1676" spans="1:5" x14ac:dyDescent="0.2">
      <c r="A1676">
        <v>1</v>
      </c>
      <c r="B1676" t="s">
        <v>66</v>
      </c>
      <c r="C1676">
        <v>2</v>
      </c>
      <c r="D1676">
        <v>17</v>
      </c>
      <c r="E1676" s="3">
        <f t="shared" si="25"/>
        <v>21</v>
      </c>
    </row>
    <row r="1677" spans="1:5" x14ac:dyDescent="0.2">
      <c r="A1677">
        <v>2</v>
      </c>
      <c r="B1677" t="s">
        <v>25</v>
      </c>
      <c r="C1677">
        <v>3</v>
      </c>
      <c r="D1677">
        <v>13</v>
      </c>
      <c r="E1677" s="3">
        <f t="shared" si="25"/>
        <v>21</v>
      </c>
    </row>
    <row r="1678" spans="1:5" x14ac:dyDescent="0.2">
      <c r="A1678">
        <v>3</v>
      </c>
      <c r="B1678" t="s">
        <v>81</v>
      </c>
      <c r="C1678">
        <v>0</v>
      </c>
      <c r="D1678">
        <v>9</v>
      </c>
      <c r="E1678" s="3">
        <f t="shared" si="25"/>
        <v>21</v>
      </c>
    </row>
    <row r="1679" spans="1:5" x14ac:dyDescent="0.2">
      <c r="A1679">
        <v>4</v>
      </c>
      <c r="B1679" t="s">
        <v>59</v>
      </c>
      <c r="C1679">
        <v>0</v>
      </c>
      <c r="D1679">
        <v>5</v>
      </c>
      <c r="E1679" s="3">
        <f t="shared" si="25"/>
        <v>21</v>
      </c>
    </row>
    <row r="1680" spans="1:5" x14ac:dyDescent="0.2">
      <c r="A1680">
        <v>5</v>
      </c>
      <c r="B1680" t="s">
        <v>73</v>
      </c>
      <c r="C1680">
        <v>0</v>
      </c>
      <c r="D1680">
        <v>3</v>
      </c>
      <c r="E1680" s="3">
        <f t="shared" si="25"/>
        <v>21</v>
      </c>
    </row>
    <row r="1681" spans="1:5" x14ac:dyDescent="0.2">
      <c r="A1681">
        <v>6</v>
      </c>
      <c r="B1681" t="s">
        <v>535</v>
      </c>
      <c r="C1681">
        <v>1</v>
      </c>
      <c r="D1681">
        <v>2</v>
      </c>
      <c r="E1681" s="3">
        <f t="shared" si="25"/>
        <v>21</v>
      </c>
    </row>
    <row r="1682" spans="1:5" x14ac:dyDescent="0.2">
      <c r="A1682">
        <v>7</v>
      </c>
      <c r="B1682" t="s">
        <v>32</v>
      </c>
      <c r="C1682">
        <v>0</v>
      </c>
      <c r="D1682">
        <v>1</v>
      </c>
      <c r="E1682" s="3">
        <f t="shared" si="25"/>
        <v>21</v>
      </c>
    </row>
    <row r="1683" spans="1:5" x14ac:dyDescent="0.2">
      <c r="A1683">
        <v>9</v>
      </c>
      <c r="B1683" s="2" t="s">
        <v>10</v>
      </c>
      <c r="C1683" s="2" t="s">
        <v>10</v>
      </c>
      <c r="D1683" s="2" t="s">
        <v>10</v>
      </c>
      <c r="E1683" s="3">
        <f t="shared" si="25"/>
        <v>21</v>
      </c>
    </row>
    <row r="1684" spans="1:5" x14ac:dyDescent="0.2">
      <c r="A1684" s="1" t="s">
        <v>37</v>
      </c>
      <c r="E1684" s="3">
        <f t="shared" si="25"/>
        <v>21</v>
      </c>
    </row>
    <row r="1685" spans="1:5" x14ac:dyDescent="0.2">
      <c r="A1685" s="1" t="s">
        <v>1</v>
      </c>
      <c r="B1685" s="1" t="s">
        <v>2</v>
      </c>
      <c r="C1685" s="1" t="s">
        <v>3</v>
      </c>
      <c r="D1685" s="1" t="s">
        <v>4</v>
      </c>
      <c r="E1685" s="3">
        <f t="shared" si="25"/>
        <v>21</v>
      </c>
    </row>
    <row r="1686" spans="1:5" x14ac:dyDescent="0.2">
      <c r="A1686">
        <v>0</v>
      </c>
      <c r="C1686">
        <v>0</v>
      </c>
      <c r="D1686">
        <v>0</v>
      </c>
      <c r="E1686" s="3">
        <f t="shared" si="25"/>
        <v>21</v>
      </c>
    </row>
    <row r="1687" spans="1:5" x14ac:dyDescent="0.2">
      <c r="A1687">
        <v>0</v>
      </c>
      <c r="C1687">
        <v>0</v>
      </c>
      <c r="D1687">
        <v>0</v>
      </c>
      <c r="E1687" s="3">
        <f t="shared" si="25"/>
        <v>21</v>
      </c>
    </row>
    <row r="1688" spans="1:5" x14ac:dyDescent="0.2">
      <c r="A1688">
        <v>1</v>
      </c>
      <c r="B1688" t="s">
        <v>475</v>
      </c>
      <c r="C1688">
        <v>3</v>
      </c>
      <c r="D1688">
        <v>16</v>
      </c>
      <c r="E1688" s="3">
        <f t="shared" si="25"/>
        <v>21</v>
      </c>
    </row>
    <row r="1689" spans="1:5" x14ac:dyDescent="0.2">
      <c r="A1689">
        <v>2</v>
      </c>
      <c r="B1689" t="s">
        <v>87</v>
      </c>
      <c r="C1689">
        <v>2</v>
      </c>
      <c r="D1689">
        <v>12</v>
      </c>
      <c r="E1689" s="3">
        <f t="shared" si="25"/>
        <v>21</v>
      </c>
    </row>
    <row r="1690" spans="1:5" x14ac:dyDescent="0.2">
      <c r="A1690">
        <v>3</v>
      </c>
      <c r="B1690" t="s">
        <v>76</v>
      </c>
      <c r="C1690">
        <v>0</v>
      </c>
      <c r="D1690">
        <v>8</v>
      </c>
      <c r="E1690" s="3">
        <f t="shared" si="25"/>
        <v>21</v>
      </c>
    </row>
    <row r="1691" spans="1:5" x14ac:dyDescent="0.2">
      <c r="A1691">
        <v>4</v>
      </c>
      <c r="B1691" t="s">
        <v>88</v>
      </c>
      <c r="C1691">
        <v>0</v>
      </c>
      <c r="D1691">
        <v>4</v>
      </c>
      <c r="E1691" s="3">
        <f t="shared" si="25"/>
        <v>21</v>
      </c>
    </row>
    <row r="1692" spans="1:5" x14ac:dyDescent="0.2">
      <c r="A1692">
        <v>5</v>
      </c>
      <c r="B1692" t="s">
        <v>516</v>
      </c>
      <c r="C1692">
        <v>0</v>
      </c>
      <c r="D1692">
        <v>2</v>
      </c>
      <c r="E1692" s="3">
        <f t="shared" si="25"/>
        <v>21</v>
      </c>
    </row>
    <row r="1693" spans="1:5" x14ac:dyDescent="0.2">
      <c r="A1693">
        <v>6</v>
      </c>
      <c r="B1693" t="s">
        <v>507</v>
      </c>
      <c r="C1693">
        <v>0</v>
      </c>
      <c r="D1693">
        <v>1</v>
      </c>
      <c r="E1693" s="3">
        <f t="shared" si="25"/>
        <v>21</v>
      </c>
    </row>
    <row r="1694" spans="1:5" x14ac:dyDescent="0.2">
      <c r="A1694">
        <v>9</v>
      </c>
      <c r="B1694" s="2" t="s">
        <v>10</v>
      </c>
      <c r="C1694" s="2" t="s">
        <v>10</v>
      </c>
      <c r="D1694" s="2" t="s">
        <v>10</v>
      </c>
      <c r="E1694" s="3">
        <f t="shared" si="25"/>
        <v>21</v>
      </c>
    </row>
    <row r="1695" spans="1:5" x14ac:dyDescent="0.2">
      <c r="A1695">
        <v>10</v>
      </c>
      <c r="B1695" s="2" t="s">
        <v>10</v>
      </c>
      <c r="C1695" s="2" t="s">
        <v>10</v>
      </c>
      <c r="D1695" s="2" t="s">
        <v>10</v>
      </c>
      <c r="E1695" s="3">
        <f t="shared" si="25"/>
        <v>21</v>
      </c>
    </row>
    <row r="1696" spans="1:5" x14ac:dyDescent="0.2">
      <c r="A1696" s="1" t="s">
        <v>44</v>
      </c>
      <c r="E1696" s="3">
        <f t="shared" si="25"/>
        <v>21</v>
      </c>
    </row>
    <row r="1697" spans="1:5" x14ac:dyDescent="0.2">
      <c r="A1697" s="1" t="s">
        <v>1</v>
      </c>
      <c r="B1697" s="1" t="s">
        <v>2</v>
      </c>
      <c r="C1697" s="1" t="s">
        <v>3</v>
      </c>
      <c r="D1697" s="1" t="s">
        <v>4</v>
      </c>
      <c r="E1697" s="3">
        <f t="shared" si="25"/>
        <v>21</v>
      </c>
    </row>
    <row r="1698" spans="1:5" x14ac:dyDescent="0.2">
      <c r="A1698">
        <v>0</v>
      </c>
      <c r="C1698">
        <v>0</v>
      </c>
      <c r="D1698">
        <v>0</v>
      </c>
      <c r="E1698" s="3">
        <f t="shared" si="25"/>
        <v>21</v>
      </c>
    </row>
    <row r="1699" spans="1:5" x14ac:dyDescent="0.2">
      <c r="A1699">
        <v>0</v>
      </c>
      <c r="C1699">
        <v>0</v>
      </c>
      <c r="D1699">
        <v>0</v>
      </c>
      <c r="E1699" s="3">
        <f t="shared" ref="E1699:E1762" si="26">IF(A1699=$A$1,E1698+1,E1698)</f>
        <v>21</v>
      </c>
    </row>
    <row r="1700" spans="1:5" x14ac:dyDescent="0.2">
      <c r="A1700">
        <v>1</v>
      </c>
      <c r="B1700" t="s">
        <v>15</v>
      </c>
      <c r="C1700">
        <v>1</v>
      </c>
      <c r="D1700">
        <v>16</v>
      </c>
      <c r="E1700" s="3">
        <f t="shared" si="26"/>
        <v>21</v>
      </c>
    </row>
    <row r="1701" spans="1:5" x14ac:dyDescent="0.2">
      <c r="A1701">
        <v>2</v>
      </c>
      <c r="B1701" t="s">
        <v>501</v>
      </c>
      <c r="C1701">
        <v>1</v>
      </c>
      <c r="D1701">
        <v>12</v>
      </c>
      <c r="E1701" s="3">
        <f t="shared" si="26"/>
        <v>21</v>
      </c>
    </row>
    <row r="1702" spans="1:5" x14ac:dyDescent="0.2">
      <c r="A1702">
        <v>3</v>
      </c>
      <c r="B1702" t="s">
        <v>75</v>
      </c>
      <c r="C1702">
        <v>3</v>
      </c>
      <c r="D1702">
        <v>8</v>
      </c>
      <c r="E1702" s="3">
        <f t="shared" si="26"/>
        <v>21</v>
      </c>
    </row>
    <row r="1703" spans="1:5" x14ac:dyDescent="0.2">
      <c r="A1703">
        <v>4</v>
      </c>
      <c r="B1703" t="s">
        <v>280</v>
      </c>
      <c r="C1703">
        <v>0</v>
      </c>
      <c r="D1703">
        <v>4</v>
      </c>
      <c r="E1703" s="3">
        <f t="shared" si="26"/>
        <v>21</v>
      </c>
    </row>
    <row r="1704" spans="1:5" x14ac:dyDescent="0.2">
      <c r="A1704">
        <v>5</v>
      </c>
      <c r="B1704" t="s">
        <v>484</v>
      </c>
      <c r="C1704">
        <v>0</v>
      </c>
      <c r="D1704">
        <v>2</v>
      </c>
      <c r="E1704" s="3">
        <f t="shared" si="26"/>
        <v>21</v>
      </c>
    </row>
    <row r="1705" spans="1:5" x14ac:dyDescent="0.2">
      <c r="A1705">
        <v>6</v>
      </c>
      <c r="B1705" t="s">
        <v>510</v>
      </c>
      <c r="C1705">
        <v>0</v>
      </c>
      <c r="D1705">
        <v>1</v>
      </c>
      <c r="E1705" s="3">
        <f t="shared" si="26"/>
        <v>21</v>
      </c>
    </row>
    <row r="1706" spans="1:5" x14ac:dyDescent="0.2">
      <c r="A1706">
        <v>9</v>
      </c>
      <c r="B1706" s="2" t="s">
        <v>10</v>
      </c>
      <c r="C1706" s="2" t="s">
        <v>10</v>
      </c>
      <c r="D1706" s="2" t="s">
        <v>10</v>
      </c>
      <c r="E1706" s="3">
        <f t="shared" si="26"/>
        <v>21</v>
      </c>
    </row>
    <row r="1707" spans="1:5" x14ac:dyDescent="0.2">
      <c r="A1707">
        <v>10</v>
      </c>
      <c r="B1707" s="2" t="s">
        <v>10</v>
      </c>
      <c r="C1707" s="2" t="s">
        <v>10</v>
      </c>
      <c r="D1707" s="2" t="s">
        <v>10</v>
      </c>
      <c r="E1707" s="3">
        <f t="shared" si="26"/>
        <v>21</v>
      </c>
    </row>
    <row r="1708" spans="1:5" x14ac:dyDescent="0.2">
      <c r="A1708" s="1" t="s">
        <v>51</v>
      </c>
      <c r="E1708" s="3">
        <f t="shared" si="26"/>
        <v>21</v>
      </c>
    </row>
    <row r="1709" spans="1:5" x14ac:dyDescent="0.2">
      <c r="A1709" s="1" t="s">
        <v>1</v>
      </c>
      <c r="B1709" s="1" t="s">
        <v>2</v>
      </c>
      <c r="C1709" s="1" t="s">
        <v>3</v>
      </c>
      <c r="D1709" s="1" t="s">
        <v>4</v>
      </c>
      <c r="E1709" s="3">
        <f t="shared" si="26"/>
        <v>21</v>
      </c>
    </row>
    <row r="1710" spans="1:5" x14ac:dyDescent="0.2">
      <c r="A1710">
        <v>0</v>
      </c>
      <c r="C1710">
        <v>0</v>
      </c>
      <c r="D1710">
        <v>0</v>
      </c>
      <c r="E1710" s="3">
        <f t="shared" si="26"/>
        <v>21</v>
      </c>
    </row>
    <row r="1711" spans="1:5" x14ac:dyDescent="0.2">
      <c r="A1711">
        <v>1</v>
      </c>
      <c r="B1711" t="s">
        <v>502</v>
      </c>
      <c r="C1711">
        <v>3</v>
      </c>
      <c r="D1711">
        <v>17</v>
      </c>
      <c r="E1711" s="3">
        <f t="shared" si="26"/>
        <v>21</v>
      </c>
    </row>
    <row r="1712" spans="1:5" x14ac:dyDescent="0.2">
      <c r="A1712">
        <v>2</v>
      </c>
      <c r="B1712" t="s">
        <v>505</v>
      </c>
      <c r="C1712">
        <v>2</v>
      </c>
      <c r="D1712">
        <v>13</v>
      </c>
      <c r="E1712" s="3">
        <f t="shared" si="26"/>
        <v>21</v>
      </c>
    </row>
    <row r="1713" spans="1:5" x14ac:dyDescent="0.2">
      <c r="A1713">
        <v>3</v>
      </c>
      <c r="B1713" t="s">
        <v>454</v>
      </c>
      <c r="C1713">
        <v>0</v>
      </c>
      <c r="D1713">
        <v>9</v>
      </c>
      <c r="E1713" s="3">
        <f t="shared" si="26"/>
        <v>21</v>
      </c>
    </row>
    <row r="1714" spans="1:5" x14ac:dyDescent="0.2">
      <c r="A1714">
        <v>4</v>
      </c>
      <c r="B1714" t="s">
        <v>503</v>
      </c>
      <c r="C1714">
        <v>1</v>
      </c>
      <c r="D1714">
        <v>5</v>
      </c>
      <c r="E1714" s="3">
        <f t="shared" si="26"/>
        <v>21</v>
      </c>
    </row>
    <row r="1715" spans="1:5" x14ac:dyDescent="0.2">
      <c r="A1715">
        <v>5</v>
      </c>
      <c r="B1715" t="s">
        <v>500</v>
      </c>
      <c r="C1715">
        <v>0</v>
      </c>
      <c r="D1715">
        <v>3</v>
      </c>
      <c r="E1715" s="3">
        <f t="shared" si="26"/>
        <v>21</v>
      </c>
    </row>
    <row r="1716" spans="1:5" x14ac:dyDescent="0.2">
      <c r="A1716">
        <v>6</v>
      </c>
      <c r="B1716" t="s">
        <v>42</v>
      </c>
      <c r="C1716">
        <v>0</v>
      </c>
      <c r="D1716">
        <v>2</v>
      </c>
      <c r="E1716" s="3">
        <f t="shared" si="26"/>
        <v>21</v>
      </c>
    </row>
    <row r="1717" spans="1:5" x14ac:dyDescent="0.2">
      <c r="A1717">
        <v>7</v>
      </c>
      <c r="B1717" t="s">
        <v>504</v>
      </c>
      <c r="C1717">
        <v>0</v>
      </c>
      <c r="D1717">
        <v>1</v>
      </c>
      <c r="E1717" s="3">
        <f t="shared" si="26"/>
        <v>21</v>
      </c>
    </row>
    <row r="1718" spans="1:5" x14ac:dyDescent="0.2">
      <c r="A1718">
        <v>9</v>
      </c>
      <c r="B1718" s="2" t="s">
        <v>10</v>
      </c>
      <c r="C1718" s="2" t="s">
        <v>10</v>
      </c>
      <c r="D1718" s="2" t="s">
        <v>10</v>
      </c>
      <c r="E1718" s="3">
        <f t="shared" si="26"/>
        <v>21</v>
      </c>
    </row>
    <row r="1719" spans="1:5" x14ac:dyDescent="0.2">
      <c r="A1719" s="1" t="s">
        <v>0</v>
      </c>
      <c r="E1719" s="3">
        <f t="shared" si="26"/>
        <v>22</v>
      </c>
    </row>
    <row r="1720" spans="1:5" x14ac:dyDescent="0.2">
      <c r="A1720" s="1" t="s">
        <v>1</v>
      </c>
      <c r="B1720" s="1" t="s">
        <v>2</v>
      </c>
      <c r="C1720" s="1" t="s">
        <v>3</v>
      </c>
      <c r="D1720" s="1" t="s">
        <v>4</v>
      </c>
      <c r="E1720" s="3">
        <f t="shared" si="26"/>
        <v>22</v>
      </c>
    </row>
    <row r="1721" spans="1:5" x14ac:dyDescent="0.2">
      <c r="A1721">
        <v>1</v>
      </c>
      <c r="B1721" t="s">
        <v>74</v>
      </c>
      <c r="C1721">
        <v>3</v>
      </c>
      <c r="D1721">
        <v>17</v>
      </c>
      <c r="E1721" s="3">
        <f t="shared" si="26"/>
        <v>22</v>
      </c>
    </row>
    <row r="1722" spans="1:5" x14ac:dyDescent="0.2">
      <c r="A1722">
        <v>2</v>
      </c>
      <c r="B1722" t="s">
        <v>502</v>
      </c>
      <c r="C1722">
        <v>2</v>
      </c>
      <c r="D1722">
        <v>13</v>
      </c>
      <c r="E1722" s="3">
        <f t="shared" si="26"/>
        <v>22</v>
      </c>
    </row>
    <row r="1723" spans="1:5" x14ac:dyDescent="0.2">
      <c r="A1723">
        <v>3</v>
      </c>
      <c r="B1723" t="s">
        <v>509</v>
      </c>
      <c r="C1723">
        <v>0</v>
      </c>
      <c r="D1723">
        <v>9</v>
      </c>
      <c r="E1723" s="3">
        <f t="shared" si="26"/>
        <v>22</v>
      </c>
    </row>
    <row r="1724" spans="1:5" x14ac:dyDescent="0.2">
      <c r="A1724">
        <v>4</v>
      </c>
      <c r="B1724" t="s">
        <v>533</v>
      </c>
      <c r="C1724">
        <v>0</v>
      </c>
      <c r="D1724">
        <v>5</v>
      </c>
      <c r="E1724" s="3">
        <f t="shared" si="26"/>
        <v>22</v>
      </c>
    </row>
    <row r="1725" spans="1:5" x14ac:dyDescent="0.2">
      <c r="A1725">
        <v>5</v>
      </c>
      <c r="B1725" t="s">
        <v>508</v>
      </c>
      <c r="C1725">
        <v>0</v>
      </c>
      <c r="D1725">
        <v>3</v>
      </c>
      <c r="E1725" s="3">
        <f t="shared" si="26"/>
        <v>22</v>
      </c>
    </row>
    <row r="1726" spans="1:5" x14ac:dyDescent="0.2">
      <c r="A1726">
        <v>6</v>
      </c>
      <c r="B1726" t="s">
        <v>479</v>
      </c>
      <c r="C1726">
        <v>1</v>
      </c>
      <c r="D1726">
        <v>2</v>
      </c>
      <c r="E1726" s="3">
        <f t="shared" si="26"/>
        <v>22</v>
      </c>
    </row>
    <row r="1727" spans="1:5" x14ac:dyDescent="0.2">
      <c r="A1727">
        <v>7</v>
      </c>
      <c r="B1727" t="s">
        <v>505</v>
      </c>
      <c r="C1727">
        <v>0</v>
      </c>
      <c r="D1727">
        <v>1</v>
      </c>
      <c r="E1727" s="3">
        <f t="shared" si="26"/>
        <v>22</v>
      </c>
    </row>
    <row r="1728" spans="1:5" x14ac:dyDescent="0.2">
      <c r="A1728">
        <v>8</v>
      </c>
      <c r="B1728" s="2" t="s">
        <v>10</v>
      </c>
      <c r="C1728" s="2" t="s">
        <v>10</v>
      </c>
      <c r="D1728" s="2" t="s">
        <v>10</v>
      </c>
      <c r="E1728" s="3">
        <f t="shared" si="26"/>
        <v>22</v>
      </c>
    </row>
    <row r="1729" spans="1:5" x14ac:dyDescent="0.2">
      <c r="A1729" s="1" t="s">
        <v>11</v>
      </c>
      <c r="E1729" s="3">
        <f t="shared" si="26"/>
        <v>22</v>
      </c>
    </row>
    <row r="1730" spans="1:5" x14ac:dyDescent="0.2">
      <c r="A1730" s="1" t="s">
        <v>1</v>
      </c>
      <c r="B1730" s="1" t="s">
        <v>2</v>
      </c>
      <c r="C1730" s="1" t="s">
        <v>3</v>
      </c>
      <c r="D1730" s="1" t="s">
        <v>4</v>
      </c>
      <c r="E1730" s="3">
        <f t="shared" si="26"/>
        <v>22</v>
      </c>
    </row>
    <row r="1731" spans="1:5" x14ac:dyDescent="0.2">
      <c r="A1731">
        <v>1</v>
      </c>
      <c r="B1731" t="s">
        <v>535</v>
      </c>
      <c r="C1731">
        <v>2</v>
      </c>
      <c r="D1731">
        <v>16</v>
      </c>
      <c r="E1731" s="3">
        <f t="shared" si="26"/>
        <v>22</v>
      </c>
    </row>
    <row r="1732" spans="1:5" x14ac:dyDescent="0.2">
      <c r="A1732">
        <v>2</v>
      </c>
      <c r="B1732" t="s">
        <v>35</v>
      </c>
      <c r="C1732">
        <v>2</v>
      </c>
      <c r="D1732">
        <v>12</v>
      </c>
      <c r="E1732" s="3">
        <f t="shared" si="26"/>
        <v>22</v>
      </c>
    </row>
    <row r="1733" spans="1:5" x14ac:dyDescent="0.2">
      <c r="A1733">
        <v>3</v>
      </c>
      <c r="B1733" t="s">
        <v>33</v>
      </c>
      <c r="C1733">
        <v>0</v>
      </c>
      <c r="D1733">
        <v>8</v>
      </c>
      <c r="E1733" s="3">
        <f t="shared" si="26"/>
        <v>22</v>
      </c>
    </row>
    <row r="1734" spans="1:5" x14ac:dyDescent="0.2">
      <c r="A1734">
        <v>4</v>
      </c>
      <c r="B1734" t="s">
        <v>501</v>
      </c>
      <c r="C1734">
        <v>0</v>
      </c>
      <c r="D1734">
        <v>4</v>
      </c>
      <c r="E1734" s="3">
        <f t="shared" si="26"/>
        <v>22</v>
      </c>
    </row>
    <row r="1735" spans="1:5" x14ac:dyDescent="0.2">
      <c r="A1735">
        <v>5</v>
      </c>
      <c r="B1735" t="s">
        <v>40</v>
      </c>
      <c r="C1735">
        <v>1</v>
      </c>
      <c r="D1735">
        <v>2</v>
      </c>
      <c r="E1735" s="3">
        <f t="shared" si="26"/>
        <v>22</v>
      </c>
    </row>
    <row r="1736" spans="1:5" x14ac:dyDescent="0.2">
      <c r="A1736">
        <v>6</v>
      </c>
      <c r="B1736" t="s">
        <v>46</v>
      </c>
      <c r="C1736">
        <v>0</v>
      </c>
      <c r="D1736">
        <v>1</v>
      </c>
      <c r="E1736" s="3">
        <f t="shared" si="26"/>
        <v>22</v>
      </c>
    </row>
    <row r="1737" spans="1:5" x14ac:dyDescent="0.2">
      <c r="A1737">
        <v>7</v>
      </c>
      <c r="B1737" s="2" t="s">
        <v>10</v>
      </c>
      <c r="C1737" s="2" t="s">
        <v>10</v>
      </c>
      <c r="D1737" s="2" t="s">
        <v>10</v>
      </c>
      <c r="E1737" s="3">
        <f t="shared" si="26"/>
        <v>22</v>
      </c>
    </row>
    <row r="1738" spans="1:5" x14ac:dyDescent="0.2">
      <c r="A1738">
        <v>8</v>
      </c>
      <c r="B1738" s="2" t="s">
        <v>10</v>
      </c>
      <c r="C1738" s="2" t="s">
        <v>10</v>
      </c>
      <c r="D1738" s="2" t="s">
        <v>10</v>
      </c>
      <c r="E1738" s="3">
        <f t="shared" si="26"/>
        <v>22</v>
      </c>
    </row>
    <row r="1739" spans="1:5" x14ac:dyDescent="0.2">
      <c r="A1739" s="1" t="s">
        <v>17</v>
      </c>
      <c r="E1739" s="3">
        <f t="shared" si="26"/>
        <v>22</v>
      </c>
    </row>
    <row r="1740" spans="1:5" x14ac:dyDescent="0.2">
      <c r="A1740" s="1" t="s">
        <v>1</v>
      </c>
      <c r="B1740" s="1" t="s">
        <v>2</v>
      </c>
      <c r="C1740" s="1" t="s">
        <v>3</v>
      </c>
      <c r="D1740" s="1" t="s">
        <v>4</v>
      </c>
      <c r="E1740" s="3">
        <f t="shared" si="26"/>
        <v>22</v>
      </c>
    </row>
    <row r="1741" spans="1:5" x14ac:dyDescent="0.2">
      <c r="A1741">
        <v>1</v>
      </c>
      <c r="B1741" t="s">
        <v>490</v>
      </c>
      <c r="C1741">
        <v>3</v>
      </c>
      <c r="D1741">
        <v>17</v>
      </c>
      <c r="E1741" s="3">
        <f t="shared" si="26"/>
        <v>22</v>
      </c>
    </row>
    <row r="1742" spans="1:5" x14ac:dyDescent="0.2">
      <c r="A1742">
        <v>2</v>
      </c>
      <c r="B1742" t="s">
        <v>15</v>
      </c>
      <c r="C1742">
        <v>1</v>
      </c>
      <c r="D1742">
        <v>13</v>
      </c>
      <c r="E1742" s="3">
        <f t="shared" si="26"/>
        <v>22</v>
      </c>
    </row>
    <row r="1743" spans="1:5" x14ac:dyDescent="0.2">
      <c r="A1743">
        <v>3</v>
      </c>
      <c r="B1743" t="s">
        <v>25</v>
      </c>
      <c r="C1743">
        <v>1</v>
      </c>
      <c r="D1743">
        <v>9</v>
      </c>
      <c r="E1743" s="3">
        <f t="shared" si="26"/>
        <v>22</v>
      </c>
    </row>
    <row r="1744" spans="1:5" x14ac:dyDescent="0.2">
      <c r="A1744">
        <v>4</v>
      </c>
      <c r="B1744" t="s">
        <v>534</v>
      </c>
      <c r="C1744">
        <v>0</v>
      </c>
      <c r="D1744">
        <v>5</v>
      </c>
      <c r="E1744" s="3">
        <f t="shared" si="26"/>
        <v>22</v>
      </c>
    </row>
    <row r="1745" spans="1:5" x14ac:dyDescent="0.2">
      <c r="A1745">
        <v>5</v>
      </c>
      <c r="B1745" t="s">
        <v>6</v>
      </c>
      <c r="C1745">
        <v>0</v>
      </c>
      <c r="D1745">
        <v>3</v>
      </c>
      <c r="E1745" s="3">
        <f t="shared" si="26"/>
        <v>22</v>
      </c>
    </row>
    <row r="1746" spans="1:5" x14ac:dyDescent="0.2">
      <c r="A1746">
        <v>6</v>
      </c>
      <c r="B1746" t="s">
        <v>9</v>
      </c>
      <c r="C1746">
        <v>1</v>
      </c>
      <c r="D1746">
        <v>2</v>
      </c>
      <c r="E1746" s="3">
        <f t="shared" si="26"/>
        <v>22</v>
      </c>
    </row>
    <row r="1747" spans="1:5" x14ac:dyDescent="0.2">
      <c r="A1747">
        <v>7</v>
      </c>
      <c r="B1747" t="s">
        <v>518</v>
      </c>
      <c r="C1747">
        <v>0</v>
      </c>
      <c r="D1747">
        <v>1</v>
      </c>
      <c r="E1747" s="3">
        <f t="shared" si="26"/>
        <v>22</v>
      </c>
    </row>
    <row r="1748" spans="1:5" x14ac:dyDescent="0.2">
      <c r="A1748">
        <v>8</v>
      </c>
      <c r="B1748" s="2" t="s">
        <v>10</v>
      </c>
      <c r="C1748" s="2" t="s">
        <v>10</v>
      </c>
      <c r="D1748" s="2" t="s">
        <v>10</v>
      </c>
      <c r="E1748" s="3">
        <f t="shared" si="26"/>
        <v>22</v>
      </c>
    </row>
    <row r="1749" spans="1:5" x14ac:dyDescent="0.2">
      <c r="A1749" s="1" t="s">
        <v>24</v>
      </c>
      <c r="E1749" s="3">
        <f t="shared" si="26"/>
        <v>22</v>
      </c>
    </row>
    <row r="1750" spans="1:5" x14ac:dyDescent="0.2">
      <c r="A1750" s="1" t="s">
        <v>1</v>
      </c>
      <c r="B1750" s="1" t="s">
        <v>2</v>
      </c>
      <c r="C1750" s="1" t="s">
        <v>3</v>
      </c>
      <c r="D1750" s="1" t="s">
        <v>4</v>
      </c>
      <c r="E1750" s="3">
        <f t="shared" si="26"/>
        <v>22</v>
      </c>
    </row>
    <row r="1751" spans="1:5" x14ac:dyDescent="0.2">
      <c r="A1751">
        <v>1</v>
      </c>
      <c r="B1751" t="s">
        <v>32</v>
      </c>
      <c r="C1751">
        <v>2</v>
      </c>
      <c r="D1751">
        <v>17</v>
      </c>
      <c r="E1751" s="3">
        <f t="shared" si="26"/>
        <v>22</v>
      </c>
    </row>
    <row r="1752" spans="1:5" x14ac:dyDescent="0.2">
      <c r="A1752">
        <v>2</v>
      </c>
      <c r="B1752" t="s">
        <v>500</v>
      </c>
      <c r="C1752">
        <v>2</v>
      </c>
      <c r="D1752">
        <v>13</v>
      </c>
      <c r="E1752" s="3">
        <f t="shared" si="26"/>
        <v>22</v>
      </c>
    </row>
    <row r="1753" spans="1:5" x14ac:dyDescent="0.2">
      <c r="A1753">
        <v>3</v>
      </c>
      <c r="B1753" t="s">
        <v>87</v>
      </c>
      <c r="C1753">
        <v>2</v>
      </c>
      <c r="D1753">
        <v>9</v>
      </c>
      <c r="E1753" s="3">
        <f t="shared" si="26"/>
        <v>22</v>
      </c>
    </row>
    <row r="1754" spans="1:5" x14ac:dyDescent="0.2">
      <c r="A1754">
        <v>4</v>
      </c>
      <c r="B1754" t="s">
        <v>55</v>
      </c>
      <c r="C1754">
        <v>0</v>
      </c>
      <c r="D1754">
        <v>5</v>
      </c>
      <c r="E1754" s="3">
        <f t="shared" si="26"/>
        <v>22</v>
      </c>
    </row>
    <row r="1755" spans="1:5" x14ac:dyDescent="0.2">
      <c r="A1755">
        <v>5</v>
      </c>
      <c r="B1755" t="s">
        <v>519</v>
      </c>
      <c r="C1755">
        <v>0</v>
      </c>
      <c r="D1755">
        <v>3</v>
      </c>
      <c r="E1755" s="3">
        <f t="shared" si="26"/>
        <v>22</v>
      </c>
    </row>
    <row r="1756" spans="1:5" x14ac:dyDescent="0.2">
      <c r="A1756">
        <v>6</v>
      </c>
      <c r="B1756" t="s">
        <v>507</v>
      </c>
      <c r="C1756">
        <v>0</v>
      </c>
      <c r="D1756">
        <v>2</v>
      </c>
      <c r="E1756" s="3">
        <f t="shared" si="26"/>
        <v>22</v>
      </c>
    </row>
    <row r="1757" spans="1:5" x14ac:dyDescent="0.2">
      <c r="A1757">
        <v>7</v>
      </c>
      <c r="B1757" t="s">
        <v>485</v>
      </c>
      <c r="C1757">
        <v>0</v>
      </c>
      <c r="D1757">
        <v>1</v>
      </c>
      <c r="E1757" s="3">
        <f t="shared" si="26"/>
        <v>22</v>
      </c>
    </row>
    <row r="1758" spans="1:5" x14ac:dyDescent="0.2">
      <c r="A1758">
        <v>8</v>
      </c>
      <c r="B1758" s="2" t="s">
        <v>10</v>
      </c>
      <c r="C1758" s="2" t="s">
        <v>10</v>
      </c>
      <c r="D1758" s="2" t="s">
        <v>10</v>
      </c>
      <c r="E1758" s="3">
        <f t="shared" si="26"/>
        <v>22</v>
      </c>
    </row>
    <row r="1759" spans="1:5" x14ac:dyDescent="0.2">
      <c r="A1759" s="1" t="s">
        <v>30</v>
      </c>
      <c r="E1759" s="3">
        <f t="shared" si="26"/>
        <v>22</v>
      </c>
    </row>
    <row r="1760" spans="1:5" x14ac:dyDescent="0.2">
      <c r="A1760" s="1" t="s">
        <v>1</v>
      </c>
      <c r="B1760" s="1" t="s">
        <v>2</v>
      </c>
      <c r="C1760" s="1" t="s">
        <v>3</v>
      </c>
      <c r="D1760" s="1" t="s">
        <v>4</v>
      </c>
      <c r="E1760" s="3">
        <f t="shared" si="26"/>
        <v>22</v>
      </c>
    </row>
    <row r="1761" spans="1:5" x14ac:dyDescent="0.2">
      <c r="A1761">
        <v>1</v>
      </c>
      <c r="B1761" t="s">
        <v>532</v>
      </c>
      <c r="C1761">
        <v>1</v>
      </c>
      <c r="D1761">
        <v>16</v>
      </c>
      <c r="E1761" s="3">
        <f t="shared" si="26"/>
        <v>22</v>
      </c>
    </row>
    <row r="1762" spans="1:5" x14ac:dyDescent="0.2">
      <c r="A1762">
        <v>1</v>
      </c>
      <c r="B1762" t="s">
        <v>19</v>
      </c>
      <c r="C1762">
        <v>2</v>
      </c>
      <c r="D1762">
        <v>16</v>
      </c>
      <c r="E1762" s="3">
        <f t="shared" si="26"/>
        <v>22</v>
      </c>
    </row>
    <row r="1763" spans="1:5" x14ac:dyDescent="0.2">
      <c r="A1763">
        <v>3</v>
      </c>
      <c r="B1763" t="s">
        <v>69</v>
      </c>
      <c r="C1763">
        <v>1</v>
      </c>
      <c r="D1763">
        <v>8</v>
      </c>
      <c r="E1763" s="3">
        <f t="shared" ref="E1763:E1826" si="27">IF(A1763=$A$1,E1762+1,E1762)</f>
        <v>22</v>
      </c>
    </row>
    <row r="1764" spans="1:5" x14ac:dyDescent="0.2">
      <c r="A1764">
        <v>4</v>
      </c>
      <c r="B1764" t="s">
        <v>526</v>
      </c>
      <c r="C1764">
        <v>1</v>
      </c>
      <c r="D1764">
        <v>4</v>
      </c>
      <c r="E1764" s="3">
        <f t="shared" si="27"/>
        <v>22</v>
      </c>
    </row>
    <row r="1765" spans="1:5" x14ac:dyDescent="0.2">
      <c r="A1765">
        <v>5</v>
      </c>
      <c r="B1765" t="s">
        <v>21</v>
      </c>
      <c r="C1765">
        <v>0</v>
      </c>
      <c r="D1765">
        <v>2</v>
      </c>
      <c r="E1765" s="3">
        <f t="shared" si="27"/>
        <v>22</v>
      </c>
    </row>
    <row r="1766" spans="1:5" x14ac:dyDescent="0.2">
      <c r="A1766">
        <v>6</v>
      </c>
      <c r="B1766" t="s">
        <v>493</v>
      </c>
      <c r="C1766">
        <v>0</v>
      </c>
      <c r="D1766">
        <v>1</v>
      </c>
      <c r="E1766" s="3">
        <f t="shared" si="27"/>
        <v>22</v>
      </c>
    </row>
    <row r="1767" spans="1:5" x14ac:dyDescent="0.2">
      <c r="A1767">
        <v>7</v>
      </c>
      <c r="B1767" s="2" t="s">
        <v>10</v>
      </c>
      <c r="C1767" s="2" t="s">
        <v>10</v>
      </c>
      <c r="D1767" s="2" t="s">
        <v>10</v>
      </c>
      <c r="E1767" s="3">
        <f t="shared" si="27"/>
        <v>22</v>
      </c>
    </row>
    <row r="1768" spans="1:5" x14ac:dyDescent="0.2">
      <c r="A1768">
        <v>8</v>
      </c>
      <c r="B1768" s="2" t="s">
        <v>10</v>
      </c>
      <c r="C1768" s="2" t="s">
        <v>10</v>
      </c>
      <c r="D1768" s="2" t="s">
        <v>10</v>
      </c>
      <c r="E1768" s="3">
        <f t="shared" si="27"/>
        <v>22</v>
      </c>
    </row>
    <row r="1769" spans="1:5" x14ac:dyDescent="0.2">
      <c r="A1769" s="1" t="s">
        <v>37</v>
      </c>
      <c r="E1769" s="3">
        <f t="shared" si="27"/>
        <v>22</v>
      </c>
    </row>
    <row r="1770" spans="1:5" x14ac:dyDescent="0.2">
      <c r="A1770" s="1" t="s">
        <v>1</v>
      </c>
      <c r="B1770" s="1" t="s">
        <v>2</v>
      </c>
      <c r="C1770" s="1" t="s">
        <v>3</v>
      </c>
      <c r="D1770" s="1" t="s">
        <v>4</v>
      </c>
      <c r="E1770" s="3">
        <f t="shared" si="27"/>
        <v>22</v>
      </c>
    </row>
    <row r="1771" spans="1:5" x14ac:dyDescent="0.2">
      <c r="A1771">
        <v>1</v>
      </c>
      <c r="B1771" t="s">
        <v>475</v>
      </c>
      <c r="C1771">
        <v>5</v>
      </c>
      <c r="D1771">
        <v>16</v>
      </c>
      <c r="E1771" s="3">
        <f t="shared" si="27"/>
        <v>22</v>
      </c>
    </row>
    <row r="1772" spans="1:5" x14ac:dyDescent="0.2">
      <c r="A1772">
        <v>2</v>
      </c>
      <c r="B1772" t="s">
        <v>512</v>
      </c>
      <c r="C1772">
        <v>0</v>
      </c>
      <c r="D1772">
        <v>12</v>
      </c>
      <c r="E1772" s="3">
        <f t="shared" si="27"/>
        <v>22</v>
      </c>
    </row>
    <row r="1773" spans="1:5" x14ac:dyDescent="0.2">
      <c r="A1773">
        <v>3</v>
      </c>
      <c r="B1773" t="s">
        <v>476</v>
      </c>
      <c r="C1773">
        <v>0</v>
      </c>
      <c r="D1773">
        <v>8</v>
      </c>
      <c r="E1773" s="3">
        <f t="shared" si="27"/>
        <v>22</v>
      </c>
    </row>
    <row r="1774" spans="1:5" x14ac:dyDescent="0.2">
      <c r="A1774">
        <v>4</v>
      </c>
      <c r="B1774" t="s">
        <v>525</v>
      </c>
      <c r="C1774">
        <v>0</v>
      </c>
      <c r="D1774">
        <v>4</v>
      </c>
      <c r="E1774" s="3">
        <f t="shared" si="27"/>
        <v>22</v>
      </c>
    </row>
    <row r="1775" spans="1:5" x14ac:dyDescent="0.2">
      <c r="A1775">
        <v>5</v>
      </c>
      <c r="B1775" t="s">
        <v>81</v>
      </c>
      <c r="C1775">
        <v>0</v>
      </c>
      <c r="D1775">
        <v>2</v>
      </c>
      <c r="E1775" s="3">
        <f t="shared" si="27"/>
        <v>22</v>
      </c>
    </row>
    <row r="1776" spans="1:5" x14ac:dyDescent="0.2">
      <c r="A1776">
        <v>6</v>
      </c>
      <c r="B1776" t="s">
        <v>75</v>
      </c>
      <c r="C1776">
        <v>0</v>
      </c>
      <c r="D1776">
        <v>1</v>
      </c>
      <c r="E1776" s="3">
        <f t="shared" si="27"/>
        <v>22</v>
      </c>
    </row>
    <row r="1777" spans="1:5" x14ac:dyDescent="0.2">
      <c r="A1777">
        <v>7</v>
      </c>
      <c r="B1777" s="2" t="s">
        <v>10</v>
      </c>
      <c r="C1777" s="2" t="s">
        <v>10</v>
      </c>
      <c r="D1777" s="2" t="s">
        <v>10</v>
      </c>
      <c r="E1777" s="3">
        <f t="shared" si="27"/>
        <v>22</v>
      </c>
    </row>
    <row r="1778" spans="1:5" x14ac:dyDescent="0.2">
      <c r="A1778">
        <v>8</v>
      </c>
      <c r="B1778" s="2" t="s">
        <v>10</v>
      </c>
      <c r="C1778" s="2" t="s">
        <v>10</v>
      </c>
      <c r="D1778" s="2" t="s">
        <v>10</v>
      </c>
      <c r="E1778" s="3">
        <f t="shared" si="27"/>
        <v>22</v>
      </c>
    </row>
    <row r="1779" spans="1:5" x14ac:dyDescent="0.2">
      <c r="A1779" s="1" t="s">
        <v>44</v>
      </c>
      <c r="E1779" s="3">
        <f t="shared" si="27"/>
        <v>22</v>
      </c>
    </row>
    <row r="1780" spans="1:5" x14ac:dyDescent="0.2">
      <c r="A1780" s="1" t="s">
        <v>1</v>
      </c>
      <c r="B1780" s="1" t="s">
        <v>2</v>
      </c>
      <c r="C1780" s="1" t="s">
        <v>3</v>
      </c>
      <c r="D1780" s="1" t="s">
        <v>4</v>
      </c>
      <c r="E1780" s="3">
        <f t="shared" si="27"/>
        <v>22</v>
      </c>
    </row>
    <row r="1781" spans="1:5" x14ac:dyDescent="0.2">
      <c r="A1781">
        <v>1</v>
      </c>
      <c r="B1781" t="s">
        <v>515</v>
      </c>
      <c r="C1781">
        <v>2</v>
      </c>
      <c r="D1781">
        <v>17</v>
      </c>
      <c r="E1781" s="3">
        <f t="shared" si="27"/>
        <v>22</v>
      </c>
    </row>
    <row r="1782" spans="1:5" x14ac:dyDescent="0.2">
      <c r="A1782">
        <v>2</v>
      </c>
      <c r="B1782" t="s">
        <v>27</v>
      </c>
      <c r="C1782">
        <v>3</v>
      </c>
      <c r="D1782">
        <v>13</v>
      </c>
      <c r="E1782" s="3">
        <f t="shared" si="27"/>
        <v>22</v>
      </c>
    </row>
    <row r="1783" spans="1:5" x14ac:dyDescent="0.2">
      <c r="A1783">
        <v>3</v>
      </c>
      <c r="B1783" t="s">
        <v>504</v>
      </c>
      <c r="C1783">
        <v>1</v>
      </c>
      <c r="D1783">
        <v>9</v>
      </c>
      <c r="E1783" s="3">
        <f t="shared" si="27"/>
        <v>22</v>
      </c>
    </row>
    <row r="1784" spans="1:5" x14ac:dyDescent="0.2">
      <c r="A1784">
        <v>4</v>
      </c>
      <c r="B1784" t="s">
        <v>461</v>
      </c>
      <c r="C1784">
        <v>0</v>
      </c>
      <c r="D1784">
        <v>5</v>
      </c>
      <c r="E1784" s="3">
        <f t="shared" si="27"/>
        <v>22</v>
      </c>
    </row>
    <row r="1785" spans="1:5" x14ac:dyDescent="0.2">
      <c r="A1785">
        <v>5</v>
      </c>
      <c r="B1785" t="s">
        <v>531</v>
      </c>
      <c r="C1785">
        <v>0</v>
      </c>
      <c r="D1785">
        <v>3</v>
      </c>
      <c r="E1785" s="3">
        <f t="shared" si="27"/>
        <v>22</v>
      </c>
    </row>
    <row r="1786" spans="1:5" x14ac:dyDescent="0.2">
      <c r="A1786">
        <v>6</v>
      </c>
      <c r="B1786" t="s">
        <v>73</v>
      </c>
      <c r="C1786">
        <v>0</v>
      </c>
      <c r="D1786">
        <v>2</v>
      </c>
      <c r="E1786" s="3">
        <f t="shared" si="27"/>
        <v>22</v>
      </c>
    </row>
    <row r="1787" spans="1:5" x14ac:dyDescent="0.2">
      <c r="A1787">
        <v>7</v>
      </c>
      <c r="B1787" t="s">
        <v>66</v>
      </c>
      <c r="C1787">
        <v>0</v>
      </c>
      <c r="D1787">
        <v>1</v>
      </c>
      <c r="E1787" s="3">
        <f t="shared" si="27"/>
        <v>22</v>
      </c>
    </row>
    <row r="1788" spans="1:5" x14ac:dyDescent="0.2">
      <c r="A1788">
        <v>8</v>
      </c>
      <c r="B1788" s="2" t="s">
        <v>10</v>
      </c>
      <c r="C1788" s="2" t="s">
        <v>10</v>
      </c>
      <c r="D1788" s="2" t="s">
        <v>10</v>
      </c>
      <c r="E1788" s="3">
        <f t="shared" si="27"/>
        <v>22</v>
      </c>
    </row>
    <row r="1789" spans="1:5" x14ac:dyDescent="0.2">
      <c r="A1789" s="1" t="s">
        <v>0</v>
      </c>
      <c r="E1789" s="3">
        <f t="shared" si="27"/>
        <v>23</v>
      </c>
    </row>
    <row r="1790" spans="1:5" x14ac:dyDescent="0.2">
      <c r="A1790" s="1" t="s">
        <v>1</v>
      </c>
      <c r="B1790" s="1" t="s">
        <v>2</v>
      </c>
      <c r="C1790" s="1" t="s">
        <v>3</v>
      </c>
      <c r="D1790" s="1" t="s">
        <v>4</v>
      </c>
      <c r="E1790" s="3">
        <f t="shared" si="27"/>
        <v>23</v>
      </c>
    </row>
    <row r="1791" spans="1:5" x14ac:dyDescent="0.2">
      <c r="A1791">
        <v>0</v>
      </c>
      <c r="C1791">
        <v>0</v>
      </c>
      <c r="D1791">
        <v>0</v>
      </c>
      <c r="E1791" s="3">
        <f t="shared" si="27"/>
        <v>23</v>
      </c>
    </row>
    <row r="1792" spans="1:5" x14ac:dyDescent="0.2">
      <c r="A1792">
        <v>1</v>
      </c>
      <c r="B1792" t="s">
        <v>485</v>
      </c>
      <c r="C1792">
        <v>3</v>
      </c>
      <c r="D1792">
        <v>17</v>
      </c>
      <c r="E1792" s="3">
        <f t="shared" si="27"/>
        <v>23</v>
      </c>
    </row>
    <row r="1793" spans="1:5" x14ac:dyDescent="0.2">
      <c r="A1793">
        <v>2</v>
      </c>
      <c r="B1793" t="s">
        <v>55</v>
      </c>
      <c r="C1793">
        <v>1</v>
      </c>
      <c r="D1793">
        <v>13</v>
      </c>
      <c r="E1793" s="3">
        <f t="shared" si="27"/>
        <v>23</v>
      </c>
    </row>
    <row r="1794" spans="1:5" x14ac:dyDescent="0.2">
      <c r="A1794">
        <v>3</v>
      </c>
      <c r="B1794" t="s">
        <v>533</v>
      </c>
      <c r="C1794">
        <v>1</v>
      </c>
      <c r="D1794">
        <v>9</v>
      </c>
      <c r="E1794" s="3">
        <f t="shared" si="27"/>
        <v>23</v>
      </c>
    </row>
    <row r="1795" spans="1:5" x14ac:dyDescent="0.2">
      <c r="A1795">
        <v>4</v>
      </c>
      <c r="B1795" t="s">
        <v>551</v>
      </c>
      <c r="C1795">
        <v>1</v>
      </c>
      <c r="D1795">
        <v>5</v>
      </c>
      <c r="E1795" s="3">
        <f t="shared" si="27"/>
        <v>23</v>
      </c>
    </row>
    <row r="1796" spans="1:5" x14ac:dyDescent="0.2">
      <c r="A1796">
        <v>5</v>
      </c>
      <c r="B1796" t="s">
        <v>42</v>
      </c>
      <c r="C1796">
        <v>0</v>
      </c>
      <c r="D1796">
        <v>3</v>
      </c>
      <c r="E1796" s="3">
        <f t="shared" si="27"/>
        <v>23</v>
      </c>
    </row>
    <row r="1797" spans="1:5" x14ac:dyDescent="0.2">
      <c r="A1797">
        <v>6</v>
      </c>
      <c r="B1797" t="s">
        <v>508</v>
      </c>
      <c r="C1797">
        <v>0</v>
      </c>
      <c r="D1797">
        <v>2</v>
      </c>
      <c r="E1797" s="3">
        <f t="shared" si="27"/>
        <v>23</v>
      </c>
    </row>
    <row r="1798" spans="1:5" x14ac:dyDescent="0.2">
      <c r="A1798">
        <v>6</v>
      </c>
      <c r="B1798" t="s">
        <v>505</v>
      </c>
      <c r="C1798">
        <v>0</v>
      </c>
      <c r="D1798">
        <v>2</v>
      </c>
      <c r="E1798" s="3">
        <f t="shared" si="27"/>
        <v>23</v>
      </c>
    </row>
    <row r="1799" spans="1:5" x14ac:dyDescent="0.2">
      <c r="A1799">
        <v>9</v>
      </c>
      <c r="B1799" s="2" t="s">
        <v>10</v>
      </c>
      <c r="C1799" s="2" t="s">
        <v>10</v>
      </c>
      <c r="D1799" s="2" t="s">
        <v>10</v>
      </c>
      <c r="E1799" s="3">
        <f t="shared" si="27"/>
        <v>23</v>
      </c>
    </row>
    <row r="1800" spans="1:5" x14ac:dyDescent="0.2">
      <c r="A1800" s="1" t="s">
        <v>11</v>
      </c>
      <c r="E1800" s="3">
        <f t="shared" si="27"/>
        <v>23</v>
      </c>
    </row>
    <row r="1801" spans="1:5" x14ac:dyDescent="0.2">
      <c r="A1801" s="1" t="s">
        <v>1</v>
      </c>
      <c r="B1801" s="1" t="s">
        <v>2</v>
      </c>
      <c r="C1801" s="1" t="s">
        <v>3</v>
      </c>
      <c r="D1801" s="1" t="s">
        <v>4</v>
      </c>
      <c r="E1801" s="3">
        <f t="shared" si="27"/>
        <v>23</v>
      </c>
    </row>
    <row r="1802" spans="1:5" x14ac:dyDescent="0.2">
      <c r="A1802">
        <v>1</v>
      </c>
      <c r="B1802" t="s">
        <v>35</v>
      </c>
      <c r="C1802">
        <v>3</v>
      </c>
      <c r="D1802">
        <v>17</v>
      </c>
      <c r="E1802" s="3">
        <f t="shared" si="27"/>
        <v>23</v>
      </c>
    </row>
    <row r="1803" spans="1:5" x14ac:dyDescent="0.2">
      <c r="A1803">
        <v>2</v>
      </c>
      <c r="B1803" t="s">
        <v>535</v>
      </c>
      <c r="C1803">
        <v>1</v>
      </c>
      <c r="D1803">
        <v>13</v>
      </c>
      <c r="E1803" s="3">
        <f t="shared" si="27"/>
        <v>23</v>
      </c>
    </row>
    <row r="1804" spans="1:5" x14ac:dyDescent="0.2">
      <c r="A1804">
        <v>3</v>
      </c>
      <c r="B1804" t="s">
        <v>519</v>
      </c>
      <c r="C1804">
        <v>1</v>
      </c>
      <c r="D1804">
        <v>9</v>
      </c>
      <c r="E1804" s="3">
        <f t="shared" si="27"/>
        <v>23</v>
      </c>
    </row>
    <row r="1805" spans="1:5" x14ac:dyDescent="0.2">
      <c r="A1805">
        <v>4</v>
      </c>
      <c r="B1805" t="s">
        <v>534</v>
      </c>
      <c r="C1805">
        <v>1</v>
      </c>
      <c r="D1805">
        <v>5</v>
      </c>
      <c r="E1805" s="3">
        <f t="shared" si="27"/>
        <v>23</v>
      </c>
    </row>
    <row r="1806" spans="1:5" x14ac:dyDescent="0.2">
      <c r="A1806">
        <v>5</v>
      </c>
      <c r="B1806" t="s">
        <v>516</v>
      </c>
      <c r="C1806">
        <v>0</v>
      </c>
      <c r="D1806">
        <v>3</v>
      </c>
      <c r="E1806" s="3">
        <f t="shared" si="27"/>
        <v>23</v>
      </c>
    </row>
    <row r="1807" spans="1:5" x14ac:dyDescent="0.2">
      <c r="A1807">
        <v>6</v>
      </c>
      <c r="B1807" t="s">
        <v>280</v>
      </c>
      <c r="C1807">
        <v>0</v>
      </c>
      <c r="D1807">
        <v>2</v>
      </c>
      <c r="E1807" s="3">
        <f t="shared" si="27"/>
        <v>23</v>
      </c>
    </row>
    <row r="1808" spans="1:5" x14ac:dyDescent="0.2">
      <c r="A1808">
        <v>7</v>
      </c>
      <c r="B1808" t="s">
        <v>345</v>
      </c>
      <c r="C1808">
        <v>0</v>
      </c>
      <c r="D1808">
        <v>1</v>
      </c>
      <c r="E1808" s="3">
        <f t="shared" si="27"/>
        <v>23</v>
      </c>
    </row>
    <row r="1809" spans="1:5" x14ac:dyDescent="0.2">
      <c r="A1809">
        <v>8</v>
      </c>
      <c r="B1809" s="2" t="s">
        <v>10</v>
      </c>
      <c r="C1809" s="2" t="s">
        <v>10</v>
      </c>
      <c r="D1809" s="2" t="s">
        <v>10</v>
      </c>
      <c r="E1809" s="3">
        <f t="shared" si="27"/>
        <v>23</v>
      </c>
    </row>
    <row r="1810" spans="1:5" x14ac:dyDescent="0.2">
      <c r="A1810" s="1" t="s">
        <v>17</v>
      </c>
      <c r="E1810" s="3">
        <f t="shared" si="27"/>
        <v>23</v>
      </c>
    </row>
    <row r="1811" spans="1:5" x14ac:dyDescent="0.2">
      <c r="A1811" s="1" t="s">
        <v>1</v>
      </c>
      <c r="B1811" s="1" t="s">
        <v>2</v>
      </c>
      <c r="C1811" s="1" t="s">
        <v>3</v>
      </c>
      <c r="D1811" s="1" t="s">
        <v>4</v>
      </c>
      <c r="E1811" s="3">
        <f t="shared" si="27"/>
        <v>23</v>
      </c>
    </row>
    <row r="1812" spans="1:5" x14ac:dyDescent="0.2">
      <c r="A1812">
        <v>1</v>
      </c>
      <c r="B1812" t="s">
        <v>506</v>
      </c>
      <c r="C1812">
        <v>4</v>
      </c>
      <c r="D1812">
        <v>16</v>
      </c>
      <c r="E1812" s="3">
        <f t="shared" si="27"/>
        <v>23</v>
      </c>
    </row>
    <row r="1813" spans="1:5" x14ac:dyDescent="0.2">
      <c r="A1813">
        <v>2</v>
      </c>
      <c r="B1813" t="s">
        <v>475</v>
      </c>
      <c r="C1813">
        <v>1</v>
      </c>
      <c r="D1813">
        <v>12</v>
      </c>
      <c r="E1813" s="3">
        <f t="shared" si="27"/>
        <v>23</v>
      </c>
    </row>
    <row r="1814" spans="1:5" x14ac:dyDescent="0.2">
      <c r="A1814">
        <v>3</v>
      </c>
      <c r="B1814" t="s">
        <v>59</v>
      </c>
      <c r="C1814">
        <v>0</v>
      </c>
      <c r="D1814">
        <v>8</v>
      </c>
      <c r="E1814" s="3">
        <f t="shared" si="27"/>
        <v>23</v>
      </c>
    </row>
    <row r="1815" spans="1:5" x14ac:dyDescent="0.2">
      <c r="A1815">
        <v>4</v>
      </c>
      <c r="B1815" t="s">
        <v>25</v>
      </c>
      <c r="C1815">
        <v>0</v>
      </c>
      <c r="D1815">
        <v>4</v>
      </c>
      <c r="E1815" s="3">
        <f t="shared" si="27"/>
        <v>23</v>
      </c>
    </row>
    <row r="1816" spans="1:5" x14ac:dyDescent="0.2">
      <c r="A1816">
        <v>5</v>
      </c>
      <c r="B1816" t="s">
        <v>46</v>
      </c>
      <c r="C1816">
        <v>0</v>
      </c>
      <c r="D1816">
        <v>2</v>
      </c>
      <c r="E1816" s="3">
        <f t="shared" si="27"/>
        <v>23</v>
      </c>
    </row>
    <row r="1817" spans="1:5" x14ac:dyDescent="0.2">
      <c r="A1817">
        <v>6</v>
      </c>
      <c r="B1817" t="s">
        <v>9</v>
      </c>
      <c r="C1817">
        <v>0</v>
      </c>
      <c r="D1817">
        <v>1</v>
      </c>
      <c r="E1817" s="3">
        <f t="shared" si="27"/>
        <v>23</v>
      </c>
    </row>
    <row r="1818" spans="1:5" x14ac:dyDescent="0.2">
      <c r="A1818">
        <v>7</v>
      </c>
      <c r="B1818" s="2" t="s">
        <v>10</v>
      </c>
      <c r="C1818" s="2" t="s">
        <v>10</v>
      </c>
      <c r="D1818" s="2" t="s">
        <v>10</v>
      </c>
      <c r="E1818" s="3">
        <f t="shared" si="27"/>
        <v>23</v>
      </c>
    </row>
    <row r="1819" spans="1:5" x14ac:dyDescent="0.2">
      <c r="A1819">
        <v>8</v>
      </c>
      <c r="B1819" s="2" t="s">
        <v>10</v>
      </c>
      <c r="C1819" s="2" t="s">
        <v>10</v>
      </c>
      <c r="D1819" s="2" t="s">
        <v>10</v>
      </c>
      <c r="E1819" s="3">
        <f t="shared" si="27"/>
        <v>23</v>
      </c>
    </row>
    <row r="1820" spans="1:5" x14ac:dyDescent="0.2">
      <c r="A1820" s="1" t="s">
        <v>24</v>
      </c>
      <c r="E1820" s="3">
        <f t="shared" si="27"/>
        <v>23</v>
      </c>
    </row>
    <row r="1821" spans="1:5" x14ac:dyDescent="0.2">
      <c r="A1821" s="1" t="s">
        <v>1</v>
      </c>
      <c r="B1821" s="1" t="s">
        <v>2</v>
      </c>
      <c r="C1821" s="1" t="s">
        <v>3</v>
      </c>
      <c r="D1821" s="1" t="s">
        <v>4</v>
      </c>
      <c r="E1821" s="3">
        <f t="shared" si="27"/>
        <v>23</v>
      </c>
    </row>
    <row r="1822" spans="1:5" x14ac:dyDescent="0.2">
      <c r="A1822">
        <v>1</v>
      </c>
      <c r="B1822" t="s">
        <v>74</v>
      </c>
      <c r="C1822">
        <v>4</v>
      </c>
      <c r="D1822">
        <v>16</v>
      </c>
      <c r="E1822" s="3">
        <f t="shared" si="27"/>
        <v>23</v>
      </c>
    </row>
    <row r="1823" spans="1:5" x14ac:dyDescent="0.2">
      <c r="A1823">
        <v>2</v>
      </c>
      <c r="B1823" t="s">
        <v>15</v>
      </c>
      <c r="C1823">
        <v>1</v>
      </c>
      <c r="D1823">
        <v>12</v>
      </c>
      <c r="E1823" s="3">
        <f t="shared" si="27"/>
        <v>23</v>
      </c>
    </row>
    <row r="1824" spans="1:5" x14ac:dyDescent="0.2">
      <c r="A1824">
        <v>3</v>
      </c>
      <c r="B1824" t="s">
        <v>479</v>
      </c>
      <c r="C1824">
        <v>0</v>
      </c>
      <c r="D1824">
        <v>8</v>
      </c>
      <c r="E1824" s="3">
        <f t="shared" si="27"/>
        <v>23</v>
      </c>
    </row>
    <row r="1825" spans="1:5" x14ac:dyDescent="0.2">
      <c r="A1825">
        <v>4</v>
      </c>
      <c r="B1825" t="s">
        <v>69</v>
      </c>
      <c r="C1825">
        <v>0</v>
      </c>
      <c r="D1825">
        <v>4</v>
      </c>
      <c r="E1825" s="3">
        <f t="shared" si="27"/>
        <v>23</v>
      </c>
    </row>
    <row r="1826" spans="1:5" x14ac:dyDescent="0.2">
      <c r="A1826">
        <v>5</v>
      </c>
      <c r="B1826" t="s">
        <v>33</v>
      </c>
      <c r="C1826">
        <v>0</v>
      </c>
      <c r="D1826">
        <v>2</v>
      </c>
      <c r="E1826" s="3">
        <f t="shared" si="27"/>
        <v>23</v>
      </c>
    </row>
    <row r="1827" spans="1:5" x14ac:dyDescent="0.2">
      <c r="A1827">
        <v>6</v>
      </c>
      <c r="B1827" t="s">
        <v>501</v>
      </c>
      <c r="C1827">
        <v>0</v>
      </c>
      <c r="D1827">
        <v>1</v>
      </c>
      <c r="E1827" s="3">
        <f t="shared" ref="E1827:E1890" si="28">IF(A1827=$A$1,E1826+1,E1826)</f>
        <v>23</v>
      </c>
    </row>
    <row r="1828" spans="1:5" x14ac:dyDescent="0.2">
      <c r="A1828">
        <v>7</v>
      </c>
      <c r="B1828" s="2" t="s">
        <v>10</v>
      </c>
      <c r="C1828" s="2" t="s">
        <v>10</v>
      </c>
      <c r="D1828" s="2" t="s">
        <v>10</v>
      </c>
      <c r="E1828" s="3">
        <f t="shared" si="28"/>
        <v>23</v>
      </c>
    </row>
    <row r="1829" spans="1:5" x14ac:dyDescent="0.2">
      <c r="A1829">
        <v>8</v>
      </c>
      <c r="B1829" s="2" t="s">
        <v>10</v>
      </c>
      <c r="C1829" s="2" t="s">
        <v>10</v>
      </c>
      <c r="D1829" s="2" t="s">
        <v>10</v>
      </c>
      <c r="E1829" s="3">
        <f t="shared" si="28"/>
        <v>23</v>
      </c>
    </row>
    <row r="1830" spans="1:5" x14ac:dyDescent="0.2">
      <c r="A1830" s="1" t="s">
        <v>30</v>
      </c>
      <c r="E1830" s="3">
        <f t="shared" si="28"/>
        <v>23</v>
      </c>
    </row>
    <row r="1831" spans="1:5" x14ac:dyDescent="0.2">
      <c r="A1831" s="1" t="s">
        <v>1</v>
      </c>
      <c r="B1831" s="1" t="s">
        <v>2</v>
      </c>
      <c r="C1831" s="1" t="s">
        <v>3</v>
      </c>
      <c r="D1831" s="1" t="s">
        <v>4</v>
      </c>
      <c r="E1831" s="3">
        <f t="shared" si="28"/>
        <v>23</v>
      </c>
    </row>
    <row r="1832" spans="1:5" x14ac:dyDescent="0.2">
      <c r="A1832">
        <v>1</v>
      </c>
      <c r="B1832" t="s">
        <v>66</v>
      </c>
      <c r="C1832">
        <v>2</v>
      </c>
      <c r="D1832">
        <v>16</v>
      </c>
      <c r="E1832" s="3">
        <f t="shared" si="28"/>
        <v>23</v>
      </c>
    </row>
    <row r="1833" spans="1:5" x14ac:dyDescent="0.2">
      <c r="A1833">
        <v>2</v>
      </c>
      <c r="B1833" t="s">
        <v>21</v>
      </c>
      <c r="C1833">
        <v>2</v>
      </c>
      <c r="D1833">
        <v>12</v>
      </c>
      <c r="E1833" s="3">
        <f t="shared" si="28"/>
        <v>23</v>
      </c>
    </row>
    <row r="1834" spans="1:5" x14ac:dyDescent="0.2">
      <c r="A1834">
        <v>3</v>
      </c>
      <c r="B1834" t="s">
        <v>525</v>
      </c>
      <c r="C1834">
        <v>1</v>
      </c>
      <c r="D1834">
        <v>8</v>
      </c>
      <c r="E1834" s="3">
        <f t="shared" si="28"/>
        <v>23</v>
      </c>
    </row>
    <row r="1835" spans="1:5" x14ac:dyDescent="0.2">
      <c r="A1835">
        <v>4</v>
      </c>
      <c r="B1835" t="s">
        <v>493</v>
      </c>
      <c r="C1835">
        <v>0</v>
      </c>
      <c r="D1835">
        <v>4</v>
      </c>
      <c r="E1835" s="3">
        <f t="shared" si="28"/>
        <v>23</v>
      </c>
    </row>
    <row r="1836" spans="1:5" x14ac:dyDescent="0.2">
      <c r="A1836">
        <v>5</v>
      </c>
      <c r="B1836" t="s">
        <v>512</v>
      </c>
      <c r="C1836">
        <v>0</v>
      </c>
      <c r="D1836">
        <v>2</v>
      </c>
      <c r="E1836" s="3">
        <f t="shared" si="28"/>
        <v>23</v>
      </c>
    </row>
    <row r="1837" spans="1:5" x14ac:dyDescent="0.2">
      <c r="A1837">
        <v>6</v>
      </c>
      <c r="B1837" t="s">
        <v>507</v>
      </c>
      <c r="C1837">
        <v>0</v>
      </c>
      <c r="D1837">
        <v>1</v>
      </c>
      <c r="E1837" s="3">
        <f t="shared" si="28"/>
        <v>23</v>
      </c>
    </row>
    <row r="1838" spans="1:5" x14ac:dyDescent="0.2">
      <c r="A1838">
        <v>7</v>
      </c>
      <c r="B1838" s="2" t="s">
        <v>10</v>
      </c>
      <c r="C1838" s="2" t="s">
        <v>10</v>
      </c>
      <c r="D1838" s="2" t="s">
        <v>10</v>
      </c>
      <c r="E1838" s="3">
        <f t="shared" si="28"/>
        <v>23</v>
      </c>
    </row>
    <row r="1839" spans="1:5" x14ac:dyDescent="0.2">
      <c r="A1839">
        <v>8</v>
      </c>
      <c r="B1839" s="2" t="s">
        <v>10</v>
      </c>
      <c r="C1839" s="2" t="s">
        <v>10</v>
      </c>
      <c r="D1839" s="2" t="s">
        <v>10</v>
      </c>
      <c r="E1839" s="3">
        <f t="shared" si="28"/>
        <v>23</v>
      </c>
    </row>
    <row r="1840" spans="1:5" x14ac:dyDescent="0.2">
      <c r="A1840" s="1" t="s">
        <v>37</v>
      </c>
      <c r="E1840" s="3">
        <f t="shared" si="28"/>
        <v>23</v>
      </c>
    </row>
    <row r="1841" spans="1:5" x14ac:dyDescent="0.2">
      <c r="A1841" s="1" t="s">
        <v>1</v>
      </c>
      <c r="B1841" s="1" t="s">
        <v>2</v>
      </c>
      <c r="C1841" s="1" t="s">
        <v>3</v>
      </c>
      <c r="D1841" s="1" t="s">
        <v>4</v>
      </c>
      <c r="E1841" s="3">
        <f t="shared" si="28"/>
        <v>23</v>
      </c>
    </row>
    <row r="1842" spans="1:5" x14ac:dyDescent="0.2">
      <c r="A1842">
        <v>1</v>
      </c>
      <c r="B1842" t="s">
        <v>75</v>
      </c>
      <c r="C1842">
        <v>3</v>
      </c>
      <c r="D1842">
        <v>17</v>
      </c>
      <c r="E1842" s="3">
        <f t="shared" si="28"/>
        <v>23</v>
      </c>
    </row>
    <row r="1843" spans="1:5" x14ac:dyDescent="0.2">
      <c r="A1843">
        <v>2</v>
      </c>
      <c r="B1843" t="s">
        <v>504</v>
      </c>
      <c r="C1843">
        <v>2</v>
      </c>
      <c r="D1843">
        <v>13</v>
      </c>
      <c r="E1843" s="3">
        <f t="shared" si="28"/>
        <v>23</v>
      </c>
    </row>
    <row r="1844" spans="1:5" x14ac:dyDescent="0.2">
      <c r="A1844">
        <v>3</v>
      </c>
      <c r="B1844" t="s">
        <v>461</v>
      </c>
      <c r="C1844">
        <v>0</v>
      </c>
      <c r="D1844">
        <v>9</v>
      </c>
      <c r="E1844" s="3">
        <f t="shared" si="28"/>
        <v>23</v>
      </c>
    </row>
    <row r="1845" spans="1:5" x14ac:dyDescent="0.2">
      <c r="A1845">
        <v>4</v>
      </c>
      <c r="B1845" t="s">
        <v>27</v>
      </c>
      <c r="C1845">
        <v>0</v>
      </c>
      <c r="D1845">
        <v>5</v>
      </c>
      <c r="E1845" s="3">
        <f t="shared" si="28"/>
        <v>23</v>
      </c>
    </row>
    <row r="1846" spans="1:5" x14ac:dyDescent="0.2">
      <c r="A1846">
        <v>5</v>
      </c>
      <c r="B1846" t="s">
        <v>19</v>
      </c>
      <c r="C1846">
        <v>1</v>
      </c>
      <c r="D1846">
        <v>3</v>
      </c>
      <c r="E1846" s="3">
        <f t="shared" si="28"/>
        <v>23</v>
      </c>
    </row>
    <row r="1847" spans="1:5" x14ac:dyDescent="0.2">
      <c r="A1847">
        <v>6</v>
      </c>
      <c r="B1847" t="s">
        <v>73</v>
      </c>
      <c r="C1847">
        <v>0</v>
      </c>
      <c r="D1847">
        <v>2</v>
      </c>
      <c r="E1847" s="3">
        <f t="shared" si="28"/>
        <v>23</v>
      </c>
    </row>
    <row r="1848" spans="1:5" x14ac:dyDescent="0.2">
      <c r="A1848">
        <v>7</v>
      </c>
      <c r="B1848" t="s">
        <v>76</v>
      </c>
      <c r="C1848">
        <v>0</v>
      </c>
      <c r="D1848">
        <v>1</v>
      </c>
      <c r="E1848" s="3">
        <f t="shared" si="28"/>
        <v>23</v>
      </c>
    </row>
    <row r="1849" spans="1:5" x14ac:dyDescent="0.2">
      <c r="A1849">
        <v>8</v>
      </c>
      <c r="B1849" s="2" t="s">
        <v>10</v>
      </c>
      <c r="C1849" s="2" t="s">
        <v>10</v>
      </c>
      <c r="D1849" s="2" t="s">
        <v>10</v>
      </c>
      <c r="E1849" s="3">
        <f t="shared" si="28"/>
        <v>23</v>
      </c>
    </row>
    <row r="1850" spans="1:5" x14ac:dyDescent="0.2">
      <c r="A1850" s="1" t="s">
        <v>44</v>
      </c>
      <c r="E1850" s="3">
        <f t="shared" si="28"/>
        <v>23</v>
      </c>
    </row>
    <row r="1851" spans="1:5" x14ac:dyDescent="0.2">
      <c r="A1851" s="1" t="s">
        <v>1</v>
      </c>
      <c r="B1851" s="1" t="s">
        <v>2</v>
      </c>
      <c r="C1851" s="1" t="s">
        <v>3</v>
      </c>
      <c r="D1851" s="1" t="s">
        <v>4</v>
      </c>
      <c r="E1851" s="3">
        <f t="shared" si="28"/>
        <v>23</v>
      </c>
    </row>
    <row r="1852" spans="1:5" x14ac:dyDescent="0.2">
      <c r="A1852">
        <v>1</v>
      </c>
      <c r="B1852" t="s">
        <v>6</v>
      </c>
      <c r="C1852">
        <v>1</v>
      </c>
      <c r="D1852">
        <v>17</v>
      </c>
      <c r="E1852" s="3">
        <f t="shared" si="28"/>
        <v>23</v>
      </c>
    </row>
    <row r="1853" spans="1:5" x14ac:dyDescent="0.2">
      <c r="A1853">
        <v>1</v>
      </c>
      <c r="B1853" t="s">
        <v>490</v>
      </c>
      <c r="C1853">
        <v>3</v>
      </c>
      <c r="D1853">
        <v>17</v>
      </c>
      <c r="E1853" s="3">
        <f t="shared" si="28"/>
        <v>23</v>
      </c>
    </row>
    <row r="1854" spans="1:5" x14ac:dyDescent="0.2">
      <c r="A1854">
        <v>3</v>
      </c>
      <c r="B1854" t="s">
        <v>515</v>
      </c>
      <c r="C1854">
        <v>1</v>
      </c>
      <c r="D1854">
        <v>9</v>
      </c>
      <c r="E1854" s="3">
        <f t="shared" si="28"/>
        <v>23</v>
      </c>
    </row>
    <row r="1855" spans="1:5" x14ac:dyDescent="0.2">
      <c r="A1855">
        <v>4</v>
      </c>
      <c r="B1855" t="s">
        <v>88</v>
      </c>
      <c r="C1855">
        <v>0</v>
      </c>
      <c r="D1855">
        <v>5</v>
      </c>
      <c r="E1855" s="3">
        <f t="shared" si="28"/>
        <v>23</v>
      </c>
    </row>
    <row r="1856" spans="1:5" x14ac:dyDescent="0.2">
      <c r="A1856">
        <v>5</v>
      </c>
      <c r="B1856" t="s">
        <v>32</v>
      </c>
      <c r="C1856">
        <v>0</v>
      </c>
      <c r="D1856">
        <v>3</v>
      </c>
      <c r="E1856" s="3">
        <f t="shared" si="28"/>
        <v>23</v>
      </c>
    </row>
    <row r="1857" spans="1:5" x14ac:dyDescent="0.2">
      <c r="A1857">
        <v>6</v>
      </c>
      <c r="B1857" t="s">
        <v>509</v>
      </c>
      <c r="C1857">
        <v>1</v>
      </c>
      <c r="D1857">
        <v>2</v>
      </c>
      <c r="E1857" s="3">
        <f t="shared" si="28"/>
        <v>23</v>
      </c>
    </row>
    <row r="1858" spans="1:5" x14ac:dyDescent="0.2">
      <c r="A1858">
        <v>7</v>
      </c>
      <c r="B1858" t="s">
        <v>81</v>
      </c>
      <c r="C1858">
        <v>0</v>
      </c>
      <c r="D1858">
        <v>1</v>
      </c>
      <c r="E1858" s="3">
        <f t="shared" si="28"/>
        <v>23</v>
      </c>
    </row>
    <row r="1859" spans="1:5" x14ac:dyDescent="0.2">
      <c r="A1859">
        <v>8</v>
      </c>
      <c r="B1859" s="2" t="s">
        <v>10</v>
      </c>
      <c r="C1859" s="2" t="s">
        <v>10</v>
      </c>
      <c r="D1859" s="2" t="s">
        <v>10</v>
      </c>
      <c r="E1859" s="3">
        <f t="shared" si="28"/>
        <v>23</v>
      </c>
    </row>
    <row r="1860" spans="1:5" x14ac:dyDescent="0.2">
      <c r="A1860" s="1" t="s">
        <v>537</v>
      </c>
      <c r="E1860" s="3">
        <f t="shared" si="28"/>
        <v>24</v>
      </c>
    </row>
    <row r="1861" spans="1:5" x14ac:dyDescent="0.2">
      <c r="A1861" s="1" t="s">
        <v>1</v>
      </c>
      <c r="B1861" s="1" t="s">
        <v>2</v>
      </c>
      <c r="C1861" s="1" t="s">
        <v>3</v>
      </c>
      <c r="D1861" s="1" t="s">
        <v>4</v>
      </c>
      <c r="E1861" s="3">
        <f t="shared" si="28"/>
        <v>24</v>
      </c>
    </row>
    <row r="1862" spans="1:5" x14ac:dyDescent="0.2">
      <c r="A1862">
        <v>1</v>
      </c>
      <c r="B1862" t="s">
        <v>476</v>
      </c>
      <c r="C1862">
        <v>6</v>
      </c>
      <c r="D1862">
        <v>17</v>
      </c>
      <c r="E1862" s="3">
        <f t="shared" si="28"/>
        <v>24</v>
      </c>
    </row>
    <row r="1863" spans="1:5" x14ac:dyDescent="0.2">
      <c r="A1863">
        <v>2</v>
      </c>
      <c r="B1863" t="s">
        <v>534</v>
      </c>
      <c r="C1863">
        <v>0</v>
      </c>
      <c r="D1863">
        <v>13</v>
      </c>
      <c r="E1863" s="3">
        <f t="shared" si="28"/>
        <v>24</v>
      </c>
    </row>
    <row r="1864" spans="1:5" x14ac:dyDescent="0.2">
      <c r="A1864">
        <v>3</v>
      </c>
      <c r="B1864" t="s">
        <v>33</v>
      </c>
      <c r="C1864">
        <v>0</v>
      </c>
      <c r="D1864">
        <v>9</v>
      </c>
      <c r="E1864" s="3">
        <f t="shared" si="28"/>
        <v>24</v>
      </c>
    </row>
    <row r="1865" spans="1:5" x14ac:dyDescent="0.2">
      <c r="A1865">
        <v>4</v>
      </c>
      <c r="B1865" t="s">
        <v>515</v>
      </c>
      <c r="C1865">
        <v>0</v>
      </c>
      <c r="D1865">
        <v>5</v>
      </c>
      <c r="E1865" s="3">
        <f t="shared" si="28"/>
        <v>24</v>
      </c>
    </row>
    <row r="1866" spans="1:5" x14ac:dyDescent="0.2">
      <c r="A1866">
        <v>5</v>
      </c>
      <c r="B1866" t="s">
        <v>19</v>
      </c>
      <c r="C1866">
        <v>0</v>
      </c>
      <c r="D1866">
        <v>3</v>
      </c>
      <c r="E1866" s="3">
        <f t="shared" si="28"/>
        <v>24</v>
      </c>
    </row>
    <row r="1867" spans="1:5" x14ac:dyDescent="0.2">
      <c r="A1867">
        <v>6</v>
      </c>
      <c r="B1867" t="s">
        <v>74</v>
      </c>
      <c r="C1867">
        <v>0</v>
      </c>
      <c r="D1867">
        <v>2</v>
      </c>
      <c r="E1867" s="3">
        <f t="shared" si="28"/>
        <v>24</v>
      </c>
    </row>
    <row r="1868" spans="1:5" x14ac:dyDescent="0.2">
      <c r="A1868">
        <v>7</v>
      </c>
      <c r="B1868" t="s">
        <v>66</v>
      </c>
      <c r="C1868">
        <v>0</v>
      </c>
      <c r="D1868">
        <v>1</v>
      </c>
      <c r="E1868" s="3">
        <f t="shared" si="28"/>
        <v>24</v>
      </c>
    </row>
    <row r="1869" spans="1:5" x14ac:dyDescent="0.2">
      <c r="A1869">
        <v>8</v>
      </c>
      <c r="B1869" s="2" t="s">
        <v>10</v>
      </c>
      <c r="C1869" s="2" t="s">
        <v>10</v>
      </c>
      <c r="D1869" s="2" t="s">
        <v>10</v>
      </c>
      <c r="E1869" s="3">
        <f t="shared" si="28"/>
        <v>24</v>
      </c>
    </row>
    <row r="1870" spans="1:5" x14ac:dyDescent="0.2">
      <c r="A1870" s="1" t="s">
        <v>538</v>
      </c>
      <c r="E1870" s="3">
        <f t="shared" si="28"/>
        <v>24</v>
      </c>
    </row>
    <row r="1871" spans="1:5" x14ac:dyDescent="0.2">
      <c r="A1871" s="1" t="s">
        <v>1</v>
      </c>
      <c r="B1871" s="1" t="s">
        <v>2</v>
      </c>
      <c r="C1871" s="1" t="s">
        <v>3</v>
      </c>
      <c r="D1871" s="1" t="s">
        <v>4</v>
      </c>
      <c r="E1871" s="3">
        <f t="shared" si="28"/>
        <v>24</v>
      </c>
    </row>
    <row r="1872" spans="1:5" x14ac:dyDescent="0.2">
      <c r="A1872">
        <v>0</v>
      </c>
      <c r="C1872">
        <v>0</v>
      </c>
      <c r="D1872">
        <v>0</v>
      </c>
      <c r="E1872" s="3">
        <f t="shared" si="28"/>
        <v>24</v>
      </c>
    </row>
    <row r="1873" spans="1:5" x14ac:dyDescent="0.2">
      <c r="A1873">
        <v>1</v>
      </c>
      <c r="B1873" t="s">
        <v>87</v>
      </c>
      <c r="C1873">
        <v>4</v>
      </c>
      <c r="D1873">
        <v>17</v>
      </c>
      <c r="E1873" s="3">
        <f t="shared" si="28"/>
        <v>24</v>
      </c>
    </row>
    <row r="1874" spans="1:5" x14ac:dyDescent="0.2">
      <c r="A1874">
        <v>2</v>
      </c>
      <c r="B1874" t="s">
        <v>32</v>
      </c>
      <c r="C1874">
        <v>1</v>
      </c>
      <c r="D1874">
        <v>13</v>
      </c>
      <c r="E1874" s="3">
        <f t="shared" si="28"/>
        <v>24</v>
      </c>
    </row>
    <row r="1875" spans="1:5" x14ac:dyDescent="0.2">
      <c r="A1875">
        <v>3</v>
      </c>
      <c r="B1875" t="s">
        <v>59</v>
      </c>
      <c r="C1875">
        <v>0</v>
      </c>
      <c r="D1875">
        <v>9</v>
      </c>
      <c r="E1875" s="3">
        <f t="shared" si="28"/>
        <v>24</v>
      </c>
    </row>
    <row r="1876" spans="1:5" x14ac:dyDescent="0.2">
      <c r="A1876">
        <v>4</v>
      </c>
      <c r="B1876" t="s">
        <v>518</v>
      </c>
      <c r="C1876">
        <v>1</v>
      </c>
      <c r="D1876">
        <v>5</v>
      </c>
      <c r="E1876" s="3">
        <f t="shared" si="28"/>
        <v>24</v>
      </c>
    </row>
    <row r="1877" spans="1:5" x14ac:dyDescent="0.2">
      <c r="A1877">
        <v>5</v>
      </c>
      <c r="B1877" t="s">
        <v>516</v>
      </c>
      <c r="C1877">
        <v>0</v>
      </c>
      <c r="D1877">
        <v>3</v>
      </c>
      <c r="E1877" s="3">
        <f t="shared" si="28"/>
        <v>24</v>
      </c>
    </row>
    <row r="1878" spans="1:5" x14ac:dyDescent="0.2">
      <c r="A1878">
        <v>6</v>
      </c>
      <c r="B1878" t="s">
        <v>479</v>
      </c>
      <c r="C1878">
        <v>0</v>
      </c>
      <c r="D1878">
        <v>2</v>
      </c>
      <c r="E1878" s="3">
        <f t="shared" si="28"/>
        <v>24</v>
      </c>
    </row>
    <row r="1879" spans="1:5" x14ac:dyDescent="0.2">
      <c r="A1879">
        <v>7</v>
      </c>
      <c r="B1879" t="s">
        <v>25</v>
      </c>
      <c r="C1879">
        <v>0</v>
      </c>
      <c r="D1879">
        <v>1</v>
      </c>
      <c r="E1879" s="3">
        <f t="shared" si="28"/>
        <v>24</v>
      </c>
    </row>
    <row r="1880" spans="1:5" x14ac:dyDescent="0.2">
      <c r="A1880">
        <v>9</v>
      </c>
      <c r="B1880" s="2" t="s">
        <v>10</v>
      </c>
      <c r="C1880" s="2" t="s">
        <v>10</v>
      </c>
      <c r="D1880" s="2" t="s">
        <v>10</v>
      </c>
      <c r="E1880" s="3">
        <f t="shared" si="28"/>
        <v>24</v>
      </c>
    </row>
    <row r="1881" spans="1:5" x14ac:dyDescent="0.2">
      <c r="A1881" s="1" t="s">
        <v>539</v>
      </c>
      <c r="E1881" s="3">
        <f t="shared" si="28"/>
        <v>24</v>
      </c>
    </row>
    <row r="1882" spans="1:5" x14ac:dyDescent="0.2">
      <c r="A1882" s="1" t="s">
        <v>1</v>
      </c>
      <c r="B1882" s="1" t="s">
        <v>2</v>
      </c>
      <c r="C1882" s="1" t="s">
        <v>3</v>
      </c>
      <c r="D1882" s="1" t="s">
        <v>4</v>
      </c>
      <c r="E1882" s="3">
        <f t="shared" si="28"/>
        <v>24</v>
      </c>
    </row>
    <row r="1883" spans="1:5" x14ac:dyDescent="0.2">
      <c r="A1883">
        <v>1</v>
      </c>
      <c r="B1883" t="s">
        <v>75</v>
      </c>
      <c r="C1883">
        <v>4</v>
      </c>
      <c r="D1883">
        <v>17</v>
      </c>
      <c r="E1883" s="3">
        <f t="shared" si="28"/>
        <v>24</v>
      </c>
    </row>
    <row r="1884" spans="1:5" x14ac:dyDescent="0.2">
      <c r="A1884">
        <v>2</v>
      </c>
      <c r="B1884" t="s">
        <v>9</v>
      </c>
      <c r="C1884">
        <v>1</v>
      </c>
      <c r="D1884">
        <v>13</v>
      </c>
      <c r="E1884" s="3">
        <f t="shared" si="28"/>
        <v>24</v>
      </c>
    </row>
    <row r="1885" spans="1:5" x14ac:dyDescent="0.2">
      <c r="A1885">
        <v>3</v>
      </c>
      <c r="B1885" t="s">
        <v>475</v>
      </c>
      <c r="C1885">
        <v>0</v>
      </c>
      <c r="D1885">
        <v>9</v>
      </c>
      <c r="E1885" s="3">
        <f t="shared" si="28"/>
        <v>24</v>
      </c>
    </row>
    <row r="1886" spans="1:5" x14ac:dyDescent="0.2">
      <c r="A1886">
        <v>4</v>
      </c>
      <c r="B1886" t="s">
        <v>485</v>
      </c>
      <c r="C1886">
        <v>1</v>
      </c>
      <c r="D1886">
        <v>5</v>
      </c>
      <c r="E1886" s="3">
        <f t="shared" si="28"/>
        <v>24</v>
      </c>
    </row>
    <row r="1887" spans="1:5" x14ac:dyDescent="0.2">
      <c r="A1887">
        <v>5</v>
      </c>
      <c r="B1887" t="s">
        <v>526</v>
      </c>
      <c r="C1887">
        <v>0</v>
      </c>
      <c r="D1887">
        <v>3</v>
      </c>
      <c r="E1887" s="3">
        <f t="shared" si="28"/>
        <v>24</v>
      </c>
    </row>
    <row r="1888" spans="1:5" x14ac:dyDescent="0.2">
      <c r="A1888">
        <v>6</v>
      </c>
      <c r="B1888" t="s">
        <v>504</v>
      </c>
      <c r="C1888">
        <v>0</v>
      </c>
      <c r="D1888">
        <v>2</v>
      </c>
      <c r="E1888" s="3">
        <f t="shared" si="28"/>
        <v>24</v>
      </c>
    </row>
    <row r="1889" spans="1:5" x14ac:dyDescent="0.2">
      <c r="A1889">
        <v>7</v>
      </c>
      <c r="B1889" t="s">
        <v>35</v>
      </c>
      <c r="C1889">
        <v>0</v>
      </c>
      <c r="D1889">
        <v>1</v>
      </c>
      <c r="E1889" s="3">
        <f t="shared" si="28"/>
        <v>24</v>
      </c>
    </row>
    <row r="1890" spans="1:5" x14ac:dyDescent="0.2">
      <c r="A1890">
        <v>8</v>
      </c>
      <c r="B1890" s="2" t="s">
        <v>10</v>
      </c>
      <c r="C1890" s="2" t="s">
        <v>10</v>
      </c>
      <c r="D1890" s="2" t="s">
        <v>10</v>
      </c>
      <c r="E1890" s="3">
        <f t="shared" si="28"/>
        <v>24</v>
      </c>
    </row>
    <row r="1891" spans="1:5" x14ac:dyDescent="0.2">
      <c r="A1891" s="1" t="s">
        <v>540</v>
      </c>
      <c r="E1891" s="3">
        <f t="shared" ref="E1891:E1954" si="29">IF(A1891=$A$1,E1890+1,E1890)</f>
        <v>24</v>
      </c>
    </row>
    <row r="1892" spans="1:5" x14ac:dyDescent="0.2">
      <c r="A1892" s="1" t="s">
        <v>1</v>
      </c>
      <c r="B1892" s="1" t="s">
        <v>2</v>
      </c>
      <c r="C1892" s="1" t="s">
        <v>3</v>
      </c>
      <c r="D1892" s="1" t="s">
        <v>4</v>
      </c>
      <c r="E1892" s="3">
        <f t="shared" si="29"/>
        <v>24</v>
      </c>
    </row>
    <row r="1893" spans="1:5" x14ac:dyDescent="0.2">
      <c r="A1893">
        <v>0</v>
      </c>
      <c r="C1893">
        <v>0</v>
      </c>
      <c r="D1893">
        <v>0</v>
      </c>
      <c r="E1893" s="3">
        <f t="shared" si="29"/>
        <v>24</v>
      </c>
    </row>
    <row r="1894" spans="1:5" x14ac:dyDescent="0.2">
      <c r="A1894">
        <v>1</v>
      </c>
      <c r="B1894" t="s">
        <v>73</v>
      </c>
      <c r="C1894">
        <v>4</v>
      </c>
      <c r="D1894">
        <v>17</v>
      </c>
      <c r="E1894" s="3">
        <f t="shared" si="29"/>
        <v>24</v>
      </c>
    </row>
    <row r="1895" spans="1:5" x14ac:dyDescent="0.2">
      <c r="A1895">
        <v>2</v>
      </c>
      <c r="B1895" t="s">
        <v>69</v>
      </c>
      <c r="C1895">
        <v>2</v>
      </c>
      <c r="D1895">
        <v>13</v>
      </c>
      <c r="E1895" s="3">
        <f t="shared" si="29"/>
        <v>24</v>
      </c>
    </row>
    <row r="1896" spans="1:5" x14ac:dyDescent="0.2">
      <c r="A1896">
        <v>3</v>
      </c>
      <c r="B1896" t="s">
        <v>490</v>
      </c>
      <c r="C1896">
        <v>0</v>
      </c>
      <c r="D1896">
        <v>9</v>
      </c>
      <c r="E1896" s="3">
        <f t="shared" si="29"/>
        <v>24</v>
      </c>
    </row>
    <row r="1897" spans="1:5" x14ac:dyDescent="0.2">
      <c r="A1897">
        <v>4</v>
      </c>
      <c r="B1897" t="s">
        <v>552</v>
      </c>
      <c r="C1897">
        <v>0</v>
      </c>
      <c r="D1897">
        <v>5</v>
      </c>
      <c r="E1897" s="3">
        <f t="shared" si="29"/>
        <v>24</v>
      </c>
    </row>
    <row r="1898" spans="1:5" x14ac:dyDescent="0.2">
      <c r="A1898">
        <v>5</v>
      </c>
      <c r="B1898" t="s">
        <v>462</v>
      </c>
      <c r="C1898">
        <v>0</v>
      </c>
      <c r="D1898">
        <v>3</v>
      </c>
      <c r="E1898" s="3">
        <f t="shared" si="29"/>
        <v>24</v>
      </c>
    </row>
    <row r="1899" spans="1:5" x14ac:dyDescent="0.2">
      <c r="A1899">
        <v>6</v>
      </c>
      <c r="B1899" t="s">
        <v>15</v>
      </c>
      <c r="C1899">
        <v>0</v>
      </c>
      <c r="D1899">
        <v>2</v>
      </c>
      <c r="E1899" s="3">
        <f t="shared" si="29"/>
        <v>24</v>
      </c>
    </row>
    <row r="1900" spans="1:5" x14ac:dyDescent="0.2">
      <c r="A1900">
        <v>7</v>
      </c>
      <c r="B1900" t="s">
        <v>506</v>
      </c>
      <c r="C1900">
        <v>0</v>
      </c>
      <c r="D1900">
        <v>1</v>
      </c>
      <c r="E1900" s="3">
        <f t="shared" si="29"/>
        <v>24</v>
      </c>
    </row>
    <row r="1901" spans="1:5" x14ac:dyDescent="0.2">
      <c r="A1901">
        <v>9</v>
      </c>
      <c r="B1901" s="2" t="s">
        <v>10</v>
      </c>
      <c r="C1901" s="2" t="s">
        <v>10</v>
      </c>
      <c r="D1901" s="2" t="s">
        <v>10</v>
      </c>
      <c r="E1901" s="3">
        <f t="shared" si="29"/>
        <v>24</v>
      </c>
    </row>
    <row r="1902" spans="1:5" x14ac:dyDescent="0.2">
      <c r="A1902" s="1" t="s">
        <v>541</v>
      </c>
      <c r="E1902" s="3">
        <f t="shared" si="29"/>
        <v>24</v>
      </c>
    </row>
    <row r="1903" spans="1:5" x14ac:dyDescent="0.2">
      <c r="A1903" s="1" t="s">
        <v>1</v>
      </c>
      <c r="B1903" s="1" t="s">
        <v>2</v>
      </c>
      <c r="C1903" s="1" t="s">
        <v>3</v>
      </c>
      <c r="D1903" s="1" t="s">
        <v>4</v>
      </c>
      <c r="E1903" s="3">
        <f t="shared" si="29"/>
        <v>24</v>
      </c>
    </row>
    <row r="1904" spans="1:5" x14ac:dyDescent="0.2">
      <c r="A1904">
        <v>0</v>
      </c>
      <c r="C1904">
        <v>0</v>
      </c>
      <c r="D1904">
        <v>0</v>
      </c>
      <c r="E1904" s="3">
        <f t="shared" si="29"/>
        <v>24</v>
      </c>
    </row>
    <row r="1905" spans="1:5" x14ac:dyDescent="0.2">
      <c r="A1905">
        <v>1</v>
      </c>
      <c r="B1905" t="s">
        <v>61</v>
      </c>
      <c r="C1905">
        <v>2</v>
      </c>
      <c r="D1905">
        <v>17</v>
      </c>
      <c r="E1905" s="3">
        <f t="shared" si="29"/>
        <v>24</v>
      </c>
    </row>
    <row r="1906" spans="1:5" x14ac:dyDescent="0.2">
      <c r="A1906">
        <v>2</v>
      </c>
      <c r="B1906" t="s">
        <v>345</v>
      </c>
      <c r="C1906">
        <v>3</v>
      </c>
      <c r="D1906">
        <v>13</v>
      </c>
      <c r="E1906" s="3">
        <f t="shared" si="29"/>
        <v>24</v>
      </c>
    </row>
    <row r="1907" spans="1:5" x14ac:dyDescent="0.2">
      <c r="A1907">
        <v>3</v>
      </c>
      <c r="B1907" t="s">
        <v>553</v>
      </c>
      <c r="C1907">
        <v>1</v>
      </c>
      <c r="D1907">
        <v>9</v>
      </c>
      <c r="E1907" s="3">
        <f t="shared" si="29"/>
        <v>24</v>
      </c>
    </row>
    <row r="1908" spans="1:5" x14ac:dyDescent="0.2">
      <c r="A1908">
        <v>4</v>
      </c>
      <c r="B1908" t="s">
        <v>535</v>
      </c>
      <c r="C1908">
        <v>0</v>
      </c>
      <c r="D1908">
        <v>5</v>
      </c>
      <c r="E1908" s="3">
        <f t="shared" si="29"/>
        <v>24</v>
      </c>
    </row>
    <row r="1909" spans="1:5" x14ac:dyDescent="0.2">
      <c r="A1909">
        <v>5</v>
      </c>
      <c r="B1909" t="s">
        <v>40</v>
      </c>
      <c r="C1909">
        <v>0</v>
      </c>
      <c r="D1909">
        <v>3</v>
      </c>
      <c r="E1909" s="3">
        <f t="shared" si="29"/>
        <v>24</v>
      </c>
    </row>
    <row r="1910" spans="1:5" x14ac:dyDescent="0.2">
      <c r="A1910">
        <v>6</v>
      </c>
      <c r="B1910" t="s">
        <v>42</v>
      </c>
      <c r="C1910">
        <v>0</v>
      </c>
      <c r="D1910">
        <v>2</v>
      </c>
      <c r="E1910" s="3">
        <f t="shared" si="29"/>
        <v>24</v>
      </c>
    </row>
    <row r="1911" spans="1:5" x14ac:dyDescent="0.2">
      <c r="A1911">
        <v>7</v>
      </c>
      <c r="B1911" t="s">
        <v>507</v>
      </c>
      <c r="C1911">
        <v>0</v>
      </c>
      <c r="D1911">
        <v>1</v>
      </c>
      <c r="E1911" s="3">
        <f t="shared" si="29"/>
        <v>24</v>
      </c>
    </row>
    <row r="1912" spans="1:5" x14ac:dyDescent="0.2">
      <c r="A1912">
        <v>9</v>
      </c>
      <c r="B1912" s="2" t="s">
        <v>10</v>
      </c>
      <c r="C1912" s="2" t="s">
        <v>10</v>
      </c>
      <c r="D1912" s="2" t="s">
        <v>10</v>
      </c>
      <c r="E1912" s="3">
        <f t="shared" si="29"/>
        <v>24</v>
      </c>
    </row>
    <row r="1913" spans="1:5" x14ac:dyDescent="0.2">
      <c r="A1913" s="1" t="s">
        <v>542</v>
      </c>
      <c r="E1913" s="3">
        <f t="shared" si="29"/>
        <v>24</v>
      </c>
    </row>
    <row r="1914" spans="1:5" x14ac:dyDescent="0.2">
      <c r="A1914" s="1" t="s">
        <v>1</v>
      </c>
      <c r="B1914" s="1" t="s">
        <v>2</v>
      </c>
      <c r="C1914" s="1" t="s">
        <v>3</v>
      </c>
      <c r="D1914" s="1" t="s">
        <v>4</v>
      </c>
      <c r="E1914" s="3">
        <f t="shared" si="29"/>
        <v>24</v>
      </c>
    </row>
    <row r="1915" spans="1:5" x14ac:dyDescent="0.2">
      <c r="A1915">
        <v>0</v>
      </c>
      <c r="C1915">
        <v>0</v>
      </c>
      <c r="D1915">
        <v>0</v>
      </c>
      <c r="E1915" s="3">
        <f t="shared" si="29"/>
        <v>24</v>
      </c>
    </row>
    <row r="1916" spans="1:5" x14ac:dyDescent="0.2">
      <c r="A1916">
        <v>1</v>
      </c>
      <c r="B1916" t="s">
        <v>27</v>
      </c>
      <c r="C1916">
        <v>5</v>
      </c>
      <c r="D1916">
        <v>17</v>
      </c>
      <c r="E1916" s="3">
        <f t="shared" si="29"/>
        <v>24</v>
      </c>
    </row>
    <row r="1917" spans="1:5" x14ac:dyDescent="0.2">
      <c r="A1917">
        <v>2</v>
      </c>
      <c r="B1917" t="s">
        <v>493</v>
      </c>
      <c r="C1917">
        <v>0</v>
      </c>
      <c r="D1917">
        <v>13</v>
      </c>
      <c r="E1917" s="3">
        <f t="shared" si="29"/>
        <v>24</v>
      </c>
    </row>
    <row r="1918" spans="1:5" x14ac:dyDescent="0.2">
      <c r="A1918">
        <v>3</v>
      </c>
      <c r="B1918" t="s">
        <v>554</v>
      </c>
      <c r="C1918">
        <v>0</v>
      </c>
      <c r="D1918">
        <v>9</v>
      </c>
      <c r="E1918" s="3">
        <f t="shared" si="29"/>
        <v>24</v>
      </c>
    </row>
    <row r="1919" spans="1:5" x14ac:dyDescent="0.2">
      <c r="A1919">
        <v>4</v>
      </c>
      <c r="B1919" t="s">
        <v>491</v>
      </c>
      <c r="C1919">
        <v>0</v>
      </c>
      <c r="D1919">
        <v>5</v>
      </c>
      <c r="E1919" s="3">
        <f t="shared" si="29"/>
        <v>24</v>
      </c>
    </row>
    <row r="1920" spans="1:5" x14ac:dyDescent="0.2">
      <c r="A1920">
        <v>5</v>
      </c>
      <c r="B1920" t="s">
        <v>512</v>
      </c>
      <c r="C1920">
        <v>1</v>
      </c>
      <c r="D1920">
        <v>3</v>
      </c>
      <c r="E1920" s="3">
        <f t="shared" si="29"/>
        <v>24</v>
      </c>
    </row>
    <row r="1921" spans="1:5" x14ac:dyDescent="0.2">
      <c r="A1921">
        <v>6</v>
      </c>
      <c r="B1921" t="s">
        <v>65</v>
      </c>
      <c r="C1921">
        <v>0</v>
      </c>
      <c r="D1921">
        <v>2</v>
      </c>
      <c r="E1921" s="3">
        <f t="shared" si="29"/>
        <v>24</v>
      </c>
    </row>
    <row r="1922" spans="1:5" x14ac:dyDescent="0.2">
      <c r="A1922">
        <v>7</v>
      </c>
      <c r="B1922" t="s">
        <v>532</v>
      </c>
      <c r="C1922">
        <v>0</v>
      </c>
      <c r="D1922">
        <v>1</v>
      </c>
      <c r="E1922" s="3">
        <f t="shared" si="29"/>
        <v>24</v>
      </c>
    </row>
    <row r="1923" spans="1:5" x14ac:dyDescent="0.2">
      <c r="A1923">
        <v>9</v>
      </c>
      <c r="B1923" s="2" t="s">
        <v>10</v>
      </c>
      <c r="C1923" s="2" t="s">
        <v>10</v>
      </c>
      <c r="D1923" s="2" t="s">
        <v>10</v>
      </c>
      <c r="E1923" s="3">
        <f t="shared" si="29"/>
        <v>24</v>
      </c>
    </row>
    <row r="1924" spans="1:5" x14ac:dyDescent="0.2">
      <c r="A1924" s="1" t="s">
        <v>543</v>
      </c>
      <c r="E1924" s="3">
        <f t="shared" si="29"/>
        <v>24</v>
      </c>
    </row>
    <row r="1925" spans="1:5" x14ac:dyDescent="0.2">
      <c r="A1925" s="1" t="s">
        <v>1</v>
      </c>
      <c r="B1925" s="1" t="s">
        <v>2</v>
      </c>
      <c r="C1925" s="1" t="s">
        <v>3</v>
      </c>
      <c r="D1925" s="1" t="s">
        <v>4</v>
      </c>
      <c r="E1925" s="3">
        <f t="shared" si="29"/>
        <v>24</v>
      </c>
    </row>
    <row r="1926" spans="1:5" x14ac:dyDescent="0.2">
      <c r="A1926">
        <v>1</v>
      </c>
      <c r="B1926" t="s">
        <v>46</v>
      </c>
      <c r="C1926">
        <v>3</v>
      </c>
      <c r="D1926">
        <v>17</v>
      </c>
      <c r="E1926" s="3">
        <f t="shared" si="29"/>
        <v>24</v>
      </c>
    </row>
    <row r="1927" spans="1:5" x14ac:dyDescent="0.2">
      <c r="A1927">
        <v>2</v>
      </c>
      <c r="B1927" t="s">
        <v>21</v>
      </c>
      <c r="C1927">
        <v>2</v>
      </c>
      <c r="D1927">
        <v>13</v>
      </c>
      <c r="E1927" s="3">
        <f t="shared" si="29"/>
        <v>24</v>
      </c>
    </row>
    <row r="1928" spans="1:5" x14ac:dyDescent="0.2">
      <c r="A1928">
        <v>3</v>
      </c>
      <c r="B1928" t="s">
        <v>508</v>
      </c>
      <c r="C1928">
        <v>0</v>
      </c>
      <c r="D1928">
        <v>9</v>
      </c>
      <c r="E1928" s="3">
        <f t="shared" si="29"/>
        <v>24</v>
      </c>
    </row>
    <row r="1929" spans="1:5" x14ac:dyDescent="0.2">
      <c r="A1929">
        <v>4</v>
      </c>
      <c r="B1929" t="s">
        <v>6</v>
      </c>
      <c r="C1929">
        <v>1</v>
      </c>
      <c r="D1929">
        <v>5</v>
      </c>
      <c r="E1929" s="3">
        <f t="shared" si="29"/>
        <v>24</v>
      </c>
    </row>
    <row r="1930" spans="1:5" x14ac:dyDescent="0.2">
      <c r="A1930">
        <v>5</v>
      </c>
      <c r="B1930" t="s">
        <v>525</v>
      </c>
      <c r="C1930">
        <v>0</v>
      </c>
      <c r="D1930">
        <v>3</v>
      </c>
      <c r="E1930" s="3">
        <f t="shared" si="29"/>
        <v>24</v>
      </c>
    </row>
    <row r="1931" spans="1:5" x14ac:dyDescent="0.2">
      <c r="A1931">
        <v>6</v>
      </c>
      <c r="B1931" t="s">
        <v>280</v>
      </c>
      <c r="C1931">
        <v>0</v>
      </c>
      <c r="D1931">
        <v>2</v>
      </c>
      <c r="E1931" s="3">
        <f t="shared" si="29"/>
        <v>24</v>
      </c>
    </row>
    <row r="1932" spans="1:5" x14ac:dyDescent="0.2">
      <c r="A1932">
        <v>7</v>
      </c>
      <c r="B1932" t="s">
        <v>76</v>
      </c>
      <c r="C1932">
        <v>0</v>
      </c>
      <c r="D1932">
        <v>1</v>
      </c>
      <c r="E1932" s="3">
        <f t="shared" si="29"/>
        <v>24</v>
      </c>
    </row>
    <row r="1933" spans="1:5" x14ac:dyDescent="0.2">
      <c r="A1933">
        <v>8</v>
      </c>
      <c r="B1933" s="2" t="s">
        <v>10</v>
      </c>
      <c r="C1933" s="2" t="s">
        <v>10</v>
      </c>
      <c r="D1933" s="2" t="s">
        <v>10</v>
      </c>
      <c r="E1933" s="3">
        <f t="shared" si="29"/>
        <v>24</v>
      </c>
    </row>
    <row r="1934" spans="1:5" x14ac:dyDescent="0.2">
      <c r="A1934" s="1" t="s">
        <v>544</v>
      </c>
      <c r="E1934" s="3">
        <f t="shared" si="29"/>
        <v>24</v>
      </c>
    </row>
    <row r="1935" spans="1:5" x14ac:dyDescent="0.2">
      <c r="A1935" s="1" t="s">
        <v>1</v>
      </c>
      <c r="B1935" s="1" t="s">
        <v>2</v>
      </c>
      <c r="C1935" s="1" t="s">
        <v>3</v>
      </c>
      <c r="D1935" s="1" t="s">
        <v>4</v>
      </c>
      <c r="E1935" s="3">
        <f t="shared" si="29"/>
        <v>24</v>
      </c>
    </row>
    <row r="1936" spans="1:5" x14ac:dyDescent="0.2">
      <c r="A1936">
        <v>1</v>
      </c>
      <c r="B1936" t="s">
        <v>500</v>
      </c>
      <c r="C1936">
        <v>3</v>
      </c>
      <c r="D1936">
        <v>17</v>
      </c>
      <c r="E1936" s="3">
        <f t="shared" si="29"/>
        <v>24</v>
      </c>
    </row>
    <row r="1937" spans="1:5" x14ac:dyDescent="0.2">
      <c r="A1937">
        <v>2</v>
      </c>
      <c r="B1937" t="s">
        <v>454</v>
      </c>
      <c r="C1937">
        <v>1</v>
      </c>
      <c r="D1937">
        <v>13</v>
      </c>
      <c r="E1937" s="3">
        <f t="shared" si="29"/>
        <v>24</v>
      </c>
    </row>
    <row r="1938" spans="1:5" x14ac:dyDescent="0.2">
      <c r="A1938">
        <v>3</v>
      </c>
      <c r="B1938" t="s">
        <v>502</v>
      </c>
      <c r="C1938">
        <v>1</v>
      </c>
      <c r="D1938">
        <v>9</v>
      </c>
      <c r="E1938" s="3">
        <f t="shared" si="29"/>
        <v>24</v>
      </c>
    </row>
    <row r="1939" spans="1:5" x14ac:dyDescent="0.2">
      <c r="A1939">
        <v>4</v>
      </c>
      <c r="B1939" t="s">
        <v>55</v>
      </c>
      <c r="C1939">
        <v>0</v>
      </c>
      <c r="D1939">
        <v>5</v>
      </c>
      <c r="E1939" s="3">
        <f t="shared" si="29"/>
        <v>24</v>
      </c>
    </row>
    <row r="1940" spans="1:5" x14ac:dyDescent="0.2">
      <c r="A1940">
        <v>5</v>
      </c>
      <c r="B1940" t="s">
        <v>505</v>
      </c>
      <c r="C1940">
        <v>0</v>
      </c>
      <c r="D1940">
        <v>3</v>
      </c>
      <c r="E1940" s="3">
        <f t="shared" si="29"/>
        <v>24</v>
      </c>
    </row>
    <row r="1941" spans="1:5" x14ac:dyDescent="0.2">
      <c r="A1941">
        <v>6</v>
      </c>
      <c r="B1941" t="s">
        <v>509</v>
      </c>
      <c r="C1941">
        <v>1</v>
      </c>
      <c r="D1941">
        <v>2</v>
      </c>
      <c r="E1941" s="3">
        <f t="shared" si="29"/>
        <v>24</v>
      </c>
    </row>
    <row r="1942" spans="1:5" x14ac:dyDescent="0.2">
      <c r="A1942">
        <v>7</v>
      </c>
      <c r="B1942" t="s">
        <v>503</v>
      </c>
      <c r="C1942">
        <v>0</v>
      </c>
      <c r="D1942">
        <v>1</v>
      </c>
      <c r="E1942" s="3">
        <f t="shared" si="29"/>
        <v>24</v>
      </c>
    </row>
    <row r="1943" spans="1:5" x14ac:dyDescent="0.2">
      <c r="A1943">
        <v>8</v>
      </c>
      <c r="B1943" s="2" t="s">
        <v>10</v>
      </c>
      <c r="C1943" s="2" t="s">
        <v>10</v>
      </c>
      <c r="D1943" s="2" t="s">
        <v>10</v>
      </c>
      <c r="E1943" s="3">
        <f t="shared" si="29"/>
        <v>24</v>
      </c>
    </row>
    <row r="1944" spans="1:5" x14ac:dyDescent="0.2">
      <c r="A1944" s="1" t="s">
        <v>537</v>
      </c>
      <c r="E1944" s="3">
        <f t="shared" si="29"/>
        <v>25</v>
      </c>
    </row>
    <row r="1945" spans="1:5" x14ac:dyDescent="0.2">
      <c r="A1945" s="1" t="s">
        <v>1</v>
      </c>
      <c r="B1945" s="1" t="s">
        <v>2</v>
      </c>
      <c r="C1945" s="1" t="s">
        <v>3</v>
      </c>
      <c r="D1945" s="1" t="s">
        <v>4</v>
      </c>
      <c r="E1945" s="3">
        <f t="shared" si="29"/>
        <v>25</v>
      </c>
    </row>
    <row r="1946" spans="1:5" x14ac:dyDescent="0.2">
      <c r="A1946">
        <v>1</v>
      </c>
      <c r="B1946" t="s">
        <v>475</v>
      </c>
      <c r="C1946">
        <v>4</v>
      </c>
      <c r="D1946">
        <v>16</v>
      </c>
      <c r="E1946" s="3">
        <f t="shared" si="29"/>
        <v>25</v>
      </c>
    </row>
    <row r="1947" spans="1:5" x14ac:dyDescent="0.2">
      <c r="A1947">
        <v>2</v>
      </c>
      <c r="B1947" t="s">
        <v>461</v>
      </c>
      <c r="C1947">
        <v>0</v>
      </c>
      <c r="D1947">
        <v>12</v>
      </c>
      <c r="E1947" s="3">
        <f t="shared" si="29"/>
        <v>25</v>
      </c>
    </row>
    <row r="1948" spans="1:5" x14ac:dyDescent="0.2">
      <c r="A1948">
        <v>3</v>
      </c>
      <c r="B1948" t="s">
        <v>506</v>
      </c>
      <c r="C1948">
        <v>0</v>
      </c>
      <c r="D1948">
        <v>8</v>
      </c>
      <c r="E1948" s="3">
        <f t="shared" si="29"/>
        <v>25</v>
      </c>
    </row>
    <row r="1949" spans="1:5" x14ac:dyDescent="0.2">
      <c r="A1949">
        <v>4</v>
      </c>
      <c r="B1949" t="s">
        <v>25</v>
      </c>
      <c r="C1949">
        <v>0</v>
      </c>
      <c r="D1949">
        <v>4</v>
      </c>
      <c r="E1949" s="3">
        <f t="shared" si="29"/>
        <v>25</v>
      </c>
    </row>
    <row r="1950" spans="1:5" x14ac:dyDescent="0.2">
      <c r="A1950">
        <v>5</v>
      </c>
      <c r="B1950" t="s">
        <v>507</v>
      </c>
      <c r="C1950">
        <v>1</v>
      </c>
      <c r="D1950">
        <v>2</v>
      </c>
      <c r="E1950" s="3">
        <f t="shared" si="29"/>
        <v>25</v>
      </c>
    </row>
    <row r="1951" spans="1:5" x14ac:dyDescent="0.2">
      <c r="A1951">
        <v>6</v>
      </c>
      <c r="B1951" t="s">
        <v>345</v>
      </c>
      <c r="C1951">
        <v>0</v>
      </c>
      <c r="D1951">
        <v>1</v>
      </c>
      <c r="E1951" s="3">
        <f t="shared" si="29"/>
        <v>25</v>
      </c>
    </row>
    <row r="1952" spans="1:5" x14ac:dyDescent="0.2">
      <c r="A1952">
        <v>7</v>
      </c>
      <c r="B1952" s="2" t="s">
        <v>10</v>
      </c>
      <c r="C1952" s="2" t="s">
        <v>10</v>
      </c>
      <c r="D1952" s="2" t="s">
        <v>10</v>
      </c>
      <c r="E1952" s="3">
        <f t="shared" si="29"/>
        <v>25</v>
      </c>
    </row>
    <row r="1953" spans="1:5" x14ac:dyDescent="0.2">
      <c r="A1953">
        <v>8</v>
      </c>
      <c r="B1953" s="2" t="s">
        <v>10</v>
      </c>
      <c r="C1953" s="2" t="s">
        <v>10</v>
      </c>
      <c r="D1953" s="2" t="s">
        <v>10</v>
      </c>
      <c r="E1953" s="3">
        <f t="shared" si="29"/>
        <v>25</v>
      </c>
    </row>
    <row r="1954" spans="1:5" x14ac:dyDescent="0.2">
      <c r="A1954" s="1" t="s">
        <v>538</v>
      </c>
      <c r="E1954" s="3">
        <f t="shared" si="29"/>
        <v>25</v>
      </c>
    </row>
    <row r="1955" spans="1:5" x14ac:dyDescent="0.2">
      <c r="A1955" s="1" t="s">
        <v>1</v>
      </c>
      <c r="B1955" s="1" t="s">
        <v>2</v>
      </c>
      <c r="C1955" s="1" t="s">
        <v>3</v>
      </c>
      <c r="D1955" s="1" t="s">
        <v>4</v>
      </c>
      <c r="E1955" s="3">
        <f t="shared" ref="E1955:E2018" si="30">IF(A1955=$A$1,E1954+1,E1954)</f>
        <v>25</v>
      </c>
    </row>
    <row r="1956" spans="1:5" x14ac:dyDescent="0.2">
      <c r="A1956">
        <v>0</v>
      </c>
      <c r="C1956">
        <v>0</v>
      </c>
      <c r="D1956">
        <v>0</v>
      </c>
      <c r="E1956" s="3">
        <f t="shared" si="30"/>
        <v>25</v>
      </c>
    </row>
    <row r="1957" spans="1:5" x14ac:dyDescent="0.2">
      <c r="A1957">
        <v>1</v>
      </c>
      <c r="B1957" t="s">
        <v>535</v>
      </c>
      <c r="C1957">
        <v>4</v>
      </c>
      <c r="D1957">
        <v>17</v>
      </c>
      <c r="E1957" s="3">
        <f t="shared" si="30"/>
        <v>25</v>
      </c>
    </row>
    <row r="1958" spans="1:5" x14ac:dyDescent="0.2">
      <c r="A1958">
        <v>2</v>
      </c>
      <c r="B1958" t="s">
        <v>66</v>
      </c>
      <c r="C1958">
        <v>0</v>
      </c>
      <c r="D1958">
        <v>13</v>
      </c>
      <c r="E1958" s="3">
        <f t="shared" si="30"/>
        <v>25</v>
      </c>
    </row>
    <row r="1959" spans="1:5" x14ac:dyDescent="0.2">
      <c r="A1959">
        <v>3</v>
      </c>
      <c r="B1959" t="s">
        <v>476</v>
      </c>
      <c r="C1959">
        <v>1</v>
      </c>
      <c r="D1959">
        <v>9</v>
      </c>
      <c r="E1959" s="3">
        <f t="shared" si="30"/>
        <v>25</v>
      </c>
    </row>
    <row r="1960" spans="1:5" x14ac:dyDescent="0.2">
      <c r="A1960">
        <v>4</v>
      </c>
      <c r="B1960" t="s">
        <v>491</v>
      </c>
      <c r="C1960">
        <v>1</v>
      </c>
      <c r="D1960">
        <v>5</v>
      </c>
      <c r="E1960" s="3">
        <f t="shared" si="30"/>
        <v>25</v>
      </c>
    </row>
    <row r="1961" spans="1:5" x14ac:dyDescent="0.2">
      <c r="A1961">
        <v>5</v>
      </c>
      <c r="B1961" t="s">
        <v>462</v>
      </c>
      <c r="C1961">
        <v>0</v>
      </c>
      <c r="D1961">
        <v>3</v>
      </c>
      <c r="E1961" s="3">
        <f t="shared" si="30"/>
        <v>25</v>
      </c>
    </row>
    <row r="1962" spans="1:5" x14ac:dyDescent="0.2">
      <c r="A1962">
        <v>6</v>
      </c>
      <c r="B1962" t="s">
        <v>555</v>
      </c>
      <c r="C1962">
        <v>0</v>
      </c>
      <c r="D1962">
        <v>2</v>
      </c>
      <c r="E1962" s="3">
        <f t="shared" si="30"/>
        <v>25</v>
      </c>
    </row>
    <row r="1963" spans="1:5" x14ac:dyDescent="0.2">
      <c r="A1963">
        <v>7</v>
      </c>
      <c r="B1963" t="s">
        <v>505</v>
      </c>
      <c r="C1963">
        <v>0</v>
      </c>
      <c r="D1963">
        <v>1</v>
      </c>
      <c r="E1963" s="3">
        <f t="shared" si="30"/>
        <v>25</v>
      </c>
    </row>
    <row r="1964" spans="1:5" x14ac:dyDescent="0.2">
      <c r="A1964">
        <v>9</v>
      </c>
      <c r="B1964" s="2" t="s">
        <v>10</v>
      </c>
      <c r="C1964" s="2" t="s">
        <v>10</v>
      </c>
      <c r="D1964" s="2" t="s">
        <v>10</v>
      </c>
      <c r="E1964" s="3">
        <f t="shared" si="30"/>
        <v>25</v>
      </c>
    </row>
    <row r="1965" spans="1:5" x14ac:dyDescent="0.2">
      <c r="A1965" s="1" t="s">
        <v>539</v>
      </c>
      <c r="E1965" s="3">
        <f t="shared" si="30"/>
        <v>25</v>
      </c>
    </row>
    <row r="1966" spans="1:5" x14ac:dyDescent="0.2">
      <c r="A1966" s="1" t="s">
        <v>1</v>
      </c>
      <c r="B1966" s="1" t="s">
        <v>2</v>
      </c>
      <c r="C1966" s="1" t="s">
        <v>3</v>
      </c>
      <c r="D1966" s="1" t="s">
        <v>4</v>
      </c>
      <c r="E1966" s="3">
        <f t="shared" si="30"/>
        <v>25</v>
      </c>
    </row>
    <row r="1967" spans="1:5" x14ac:dyDescent="0.2">
      <c r="A1967">
        <v>1</v>
      </c>
      <c r="B1967" t="s">
        <v>509</v>
      </c>
      <c r="C1967">
        <v>4</v>
      </c>
      <c r="D1967">
        <v>16</v>
      </c>
      <c r="E1967" s="3">
        <f t="shared" si="30"/>
        <v>25</v>
      </c>
    </row>
    <row r="1968" spans="1:5" x14ac:dyDescent="0.2">
      <c r="A1968">
        <v>2</v>
      </c>
      <c r="B1968" t="s">
        <v>61</v>
      </c>
      <c r="C1968">
        <v>1</v>
      </c>
      <c r="D1968">
        <v>12</v>
      </c>
      <c r="E1968" s="3">
        <f t="shared" si="30"/>
        <v>25</v>
      </c>
    </row>
    <row r="1969" spans="1:5" x14ac:dyDescent="0.2">
      <c r="A1969">
        <v>3</v>
      </c>
      <c r="B1969" t="s">
        <v>532</v>
      </c>
      <c r="C1969">
        <v>0</v>
      </c>
      <c r="D1969">
        <v>8</v>
      </c>
      <c r="E1969" s="3">
        <f t="shared" si="30"/>
        <v>25</v>
      </c>
    </row>
    <row r="1970" spans="1:5" x14ac:dyDescent="0.2">
      <c r="A1970">
        <v>4</v>
      </c>
      <c r="B1970" t="s">
        <v>101</v>
      </c>
      <c r="C1970">
        <v>0</v>
      </c>
      <c r="D1970">
        <v>4</v>
      </c>
      <c r="E1970" s="3">
        <f t="shared" si="30"/>
        <v>25</v>
      </c>
    </row>
    <row r="1971" spans="1:5" x14ac:dyDescent="0.2">
      <c r="A1971">
        <v>5</v>
      </c>
      <c r="B1971" t="s">
        <v>493</v>
      </c>
      <c r="C1971">
        <v>0</v>
      </c>
      <c r="D1971">
        <v>2</v>
      </c>
      <c r="E1971" s="3">
        <f t="shared" si="30"/>
        <v>25</v>
      </c>
    </row>
    <row r="1972" spans="1:5" x14ac:dyDescent="0.2">
      <c r="A1972">
        <v>6</v>
      </c>
      <c r="B1972" t="s">
        <v>69</v>
      </c>
      <c r="C1972">
        <v>0</v>
      </c>
      <c r="D1972">
        <v>1</v>
      </c>
      <c r="E1972" s="3">
        <f t="shared" si="30"/>
        <v>25</v>
      </c>
    </row>
    <row r="1973" spans="1:5" x14ac:dyDescent="0.2">
      <c r="A1973">
        <v>7</v>
      </c>
      <c r="B1973" s="2" t="s">
        <v>10</v>
      </c>
      <c r="C1973" s="2" t="s">
        <v>10</v>
      </c>
      <c r="D1973" s="2" t="s">
        <v>10</v>
      </c>
      <c r="E1973" s="3">
        <f t="shared" si="30"/>
        <v>25</v>
      </c>
    </row>
    <row r="1974" spans="1:5" x14ac:dyDescent="0.2">
      <c r="A1974">
        <v>8</v>
      </c>
      <c r="B1974" s="2" t="s">
        <v>10</v>
      </c>
      <c r="C1974" s="2" t="s">
        <v>10</v>
      </c>
      <c r="D1974" s="2" t="s">
        <v>10</v>
      </c>
      <c r="E1974" s="3">
        <f t="shared" si="30"/>
        <v>25</v>
      </c>
    </row>
    <row r="1975" spans="1:5" x14ac:dyDescent="0.2">
      <c r="A1975" s="1" t="s">
        <v>540</v>
      </c>
      <c r="E1975" s="3">
        <f t="shared" si="30"/>
        <v>25</v>
      </c>
    </row>
    <row r="1976" spans="1:5" x14ac:dyDescent="0.2">
      <c r="A1976" s="1" t="s">
        <v>1</v>
      </c>
      <c r="B1976" s="1" t="s">
        <v>2</v>
      </c>
      <c r="C1976" s="1" t="s">
        <v>3</v>
      </c>
      <c r="D1976" s="1" t="s">
        <v>4</v>
      </c>
      <c r="E1976" s="3">
        <f t="shared" si="30"/>
        <v>25</v>
      </c>
    </row>
    <row r="1977" spans="1:5" x14ac:dyDescent="0.2">
      <c r="A1977">
        <v>1</v>
      </c>
      <c r="B1977" t="s">
        <v>75</v>
      </c>
      <c r="C1977">
        <v>4</v>
      </c>
      <c r="D1977">
        <v>17</v>
      </c>
      <c r="E1977" s="3">
        <f t="shared" si="30"/>
        <v>25</v>
      </c>
    </row>
    <row r="1978" spans="1:5" x14ac:dyDescent="0.2">
      <c r="A1978">
        <v>2</v>
      </c>
      <c r="B1978" t="s">
        <v>554</v>
      </c>
      <c r="C1978">
        <v>2</v>
      </c>
      <c r="D1978">
        <v>13</v>
      </c>
      <c r="E1978" s="3">
        <f t="shared" si="30"/>
        <v>25</v>
      </c>
    </row>
    <row r="1979" spans="1:5" x14ac:dyDescent="0.2">
      <c r="A1979">
        <v>3</v>
      </c>
      <c r="B1979" t="s">
        <v>534</v>
      </c>
      <c r="C1979">
        <v>0</v>
      </c>
      <c r="D1979">
        <v>9</v>
      </c>
      <c r="E1979" s="3">
        <f t="shared" si="30"/>
        <v>25</v>
      </c>
    </row>
    <row r="1980" spans="1:5" x14ac:dyDescent="0.2">
      <c r="A1980">
        <v>4</v>
      </c>
      <c r="B1980" t="s">
        <v>490</v>
      </c>
      <c r="C1980">
        <v>0</v>
      </c>
      <c r="D1980">
        <v>5</v>
      </c>
      <c r="E1980" s="3">
        <f t="shared" si="30"/>
        <v>25</v>
      </c>
    </row>
    <row r="1981" spans="1:5" x14ac:dyDescent="0.2">
      <c r="A1981">
        <v>5</v>
      </c>
      <c r="B1981" t="s">
        <v>87</v>
      </c>
      <c r="C1981">
        <v>0</v>
      </c>
      <c r="D1981">
        <v>3</v>
      </c>
      <c r="E1981" s="3">
        <f t="shared" si="30"/>
        <v>25</v>
      </c>
    </row>
    <row r="1982" spans="1:5" x14ac:dyDescent="0.2">
      <c r="A1982">
        <v>6</v>
      </c>
      <c r="B1982" t="s">
        <v>485</v>
      </c>
      <c r="C1982">
        <v>0</v>
      </c>
      <c r="D1982">
        <v>2</v>
      </c>
      <c r="E1982" s="3">
        <f t="shared" si="30"/>
        <v>25</v>
      </c>
    </row>
    <row r="1983" spans="1:5" x14ac:dyDescent="0.2">
      <c r="A1983">
        <v>7</v>
      </c>
      <c r="B1983" t="s">
        <v>479</v>
      </c>
      <c r="C1983">
        <v>0</v>
      </c>
      <c r="D1983">
        <v>1</v>
      </c>
      <c r="E1983" s="3">
        <f t="shared" si="30"/>
        <v>25</v>
      </c>
    </row>
    <row r="1984" spans="1:5" x14ac:dyDescent="0.2">
      <c r="A1984">
        <v>8</v>
      </c>
      <c r="B1984" s="2" t="s">
        <v>10</v>
      </c>
      <c r="C1984" s="2" t="s">
        <v>10</v>
      </c>
      <c r="D1984" s="2" t="s">
        <v>10</v>
      </c>
      <c r="E1984" s="3">
        <f t="shared" si="30"/>
        <v>25</v>
      </c>
    </row>
    <row r="1985" spans="1:5" x14ac:dyDescent="0.2">
      <c r="A1985" s="1" t="s">
        <v>549</v>
      </c>
      <c r="E1985" s="3">
        <f t="shared" si="30"/>
        <v>25</v>
      </c>
    </row>
    <row r="1986" spans="1:5" x14ac:dyDescent="0.2">
      <c r="A1986" s="1" t="s">
        <v>1</v>
      </c>
      <c r="B1986" s="1" t="s">
        <v>2</v>
      </c>
      <c r="C1986" s="1" t="s">
        <v>3</v>
      </c>
      <c r="D1986" s="1" t="s">
        <v>4</v>
      </c>
      <c r="E1986" s="3">
        <f t="shared" si="30"/>
        <v>25</v>
      </c>
    </row>
    <row r="1987" spans="1:5" x14ac:dyDescent="0.2">
      <c r="A1987">
        <v>1</v>
      </c>
      <c r="B1987" t="s">
        <v>503</v>
      </c>
      <c r="C1987">
        <v>3</v>
      </c>
      <c r="D1987">
        <v>16</v>
      </c>
      <c r="E1987" s="3">
        <f t="shared" si="30"/>
        <v>25</v>
      </c>
    </row>
    <row r="1988" spans="1:5" x14ac:dyDescent="0.2">
      <c r="A1988">
        <v>2</v>
      </c>
      <c r="B1988" t="s">
        <v>76</v>
      </c>
      <c r="C1988">
        <v>1</v>
      </c>
      <c r="D1988">
        <v>12</v>
      </c>
      <c r="E1988" s="3">
        <f t="shared" si="30"/>
        <v>25</v>
      </c>
    </row>
    <row r="1989" spans="1:5" x14ac:dyDescent="0.2">
      <c r="A1989">
        <v>3</v>
      </c>
      <c r="B1989" t="s">
        <v>533</v>
      </c>
      <c r="C1989">
        <v>1</v>
      </c>
      <c r="D1989">
        <v>8</v>
      </c>
      <c r="E1989" s="3">
        <f t="shared" si="30"/>
        <v>25</v>
      </c>
    </row>
    <row r="1990" spans="1:5" x14ac:dyDescent="0.2">
      <c r="A1990">
        <v>4</v>
      </c>
      <c r="B1990" t="s">
        <v>552</v>
      </c>
      <c r="C1990">
        <v>0</v>
      </c>
      <c r="D1990">
        <v>4</v>
      </c>
      <c r="E1990" s="3">
        <f t="shared" si="30"/>
        <v>25</v>
      </c>
    </row>
    <row r="1991" spans="1:5" x14ac:dyDescent="0.2">
      <c r="A1991">
        <v>5</v>
      </c>
      <c r="B1991" t="s">
        <v>35</v>
      </c>
      <c r="C1991">
        <v>0</v>
      </c>
      <c r="D1991">
        <v>2</v>
      </c>
      <c r="E1991" s="3">
        <f t="shared" si="30"/>
        <v>25</v>
      </c>
    </row>
    <row r="1992" spans="1:5" x14ac:dyDescent="0.2">
      <c r="A1992">
        <v>6</v>
      </c>
      <c r="B1992" t="s">
        <v>74</v>
      </c>
      <c r="C1992">
        <v>0</v>
      </c>
      <c r="D1992">
        <v>1</v>
      </c>
      <c r="E1992" s="3">
        <f t="shared" si="30"/>
        <v>25</v>
      </c>
    </row>
    <row r="1993" spans="1:5" x14ac:dyDescent="0.2">
      <c r="A1993">
        <v>7</v>
      </c>
      <c r="B1993" s="2" t="s">
        <v>10</v>
      </c>
      <c r="C1993" s="2" t="s">
        <v>10</v>
      </c>
      <c r="D1993" s="2" t="s">
        <v>10</v>
      </c>
      <c r="E1993" s="3">
        <f t="shared" si="30"/>
        <v>25</v>
      </c>
    </row>
    <row r="1994" spans="1:5" x14ac:dyDescent="0.2">
      <c r="A1994">
        <v>8</v>
      </c>
      <c r="B1994" s="2" t="s">
        <v>10</v>
      </c>
      <c r="C1994" s="2" t="s">
        <v>10</v>
      </c>
      <c r="D1994" s="2" t="s">
        <v>10</v>
      </c>
      <c r="E1994" s="3">
        <f t="shared" si="30"/>
        <v>25</v>
      </c>
    </row>
    <row r="1995" spans="1:5" x14ac:dyDescent="0.2">
      <c r="A1995" s="1" t="s">
        <v>542</v>
      </c>
      <c r="E1995" s="3">
        <f t="shared" si="30"/>
        <v>25</v>
      </c>
    </row>
    <row r="1996" spans="1:5" x14ac:dyDescent="0.2">
      <c r="A1996" s="1" t="s">
        <v>1</v>
      </c>
      <c r="B1996" s="1" t="s">
        <v>2</v>
      </c>
      <c r="C1996" s="1" t="s">
        <v>3</v>
      </c>
      <c r="D1996" s="1" t="s">
        <v>4</v>
      </c>
      <c r="E1996" s="3">
        <f t="shared" si="30"/>
        <v>25</v>
      </c>
    </row>
    <row r="1997" spans="1:5" x14ac:dyDescent="0.2">
      <c r="A1997">
        <v>1</v>
      </c>
      <c r="B1997" t="s">
        <v>27</v>
      </c>
      <c r="C1997">
        <v>2</v>
      </c>
      <c r="D1997">
        <v>16</v>
      </c>
      <c r="E1997" s="3">
        <f t="shared" si="30"/>
        <v>25</v>
      </c>
    </row>
    <row r="1998" spans="1:5" x14ac:dyDescent="0.2">
      <c r="A1998">
        <v>2</v>
      </c>
      <c r="B1998" t="s">
        <v>15</v>
      </c>
      <c r="C1998">
        <v>1</v>
      </c>
      <c r="D1998">
        <v>12</v>
      </c>
      <c r="E1998" s="3">
        <f t="shared" si="30"/>
        <v>25</v>
      </c>
    </row>
    <row r="1999" spans="1:5" x14ac:dyDescent="0.2">
      <c r="A1999">
        <v>3</v>
      </c>
      <c r="B1999" t="s">
        <v>516</v>
      </c>
      <c r="C1999">
        <v>2</v>
      </c>
      <c r="D1999">
        <v>8</v>
      </c>
      <c r="E1999" s="3">
        <f t="shared" si="30"/>
        <v>25</v>
      </c>
    </row>
    <row r="2000" spans="1:5" x14ac:dyDescent="0.2">
      <c r="A2000">
        <v>4</v>
      </c>
      <c r="B2000" t="s">
        <v>42</v>
      </c>
      <c r="C2000">
        <v>0</v>
      </c>
      <c r="D2000">
        <v>4</v>
      </c>
      <c r="E2000" s="3">
        <f t="shared" si="30"/>
        <v>25</v>
      </c>
    </row>
    <row r="2001" spans="1:5" x14ac:dyDescent="0.2">
      <c r="A2001">
        <v>5</v>
      </c>
      <c r="B2001" t="s">
        <v>21</v>
      </c>
      <c r="C2001">
        <v>0</v>
      </c>
      <c r="D2001">
        <v>2</v>
      </c>
      <c r="E2001" s="3">
        <f t="shared" si="30"/>
        <v>25</v>
      </c>
    </row>
    <row r="2002" spans="1:5" x14ac:dyDescent="0.2">
      <c r="A2002">
        <v>6</v>
      </c>
      <c r="B2002" t="s">
        <v>65</v>
      </c>
      <c r="C2002">
        <v>0</v>
      </c>
      <c r="D2002">
        <v>1</v>
      </c>
      <c r="E2002" s="3">
        <f t="shared" si="30"/>
        <v>25</v>
      </c>
    </row>
    <row r="2003" spans="1:5" x14ac:dyDescent="0.2">
      <c r="A2003">
        <v>7</v>
      </c>
      <c r="B2003" s="2" t="s">
        <v>10</v>
      </c>
      <c r="C2003" s="2" t="s">
        <v>10</v>
      </c>
      <c r="D2003" s="2" t="s">
        <v>10</v>
      </c>
      <c r="E2003" s="3">
        <f t="shared" si="30"/>
        <v>25</v>
      </c>
    </row>
    <row r="2004" spans="1:5" x14ac:dyDescent="0.2">
      <c r="A2004">
        <v>8</v>
      </c>
      <c r="B2004" s="2" t="s">
        <v>10</v>
      </c>
      <c r="C2004" s="2" t="s">
        <v>10</v>
      </c>
      <c r="D2004" s="2" t="s">
        <v>10</v>
      </c>
      <c r="E2004" s="3">
        <f t="shared" si="30"/>
        <v>25</v>
      </c>
    </row>
    <row r="2005" spans="1:5" x14ac:dyDescent="0.2">
      <c r="A2005" s="1" t="s">
        <v>543</v>
      </c>
      <c r="E2005" s="3">
        <f t="shared" si="30"/>
        <v>25</v>
      </c>
    </row>
    <row r="2006" spans="1:5" x14ac:dyDescent="0.2">
      <c r="A2006" s="1" t="s">
        <v>1</v>
      </c>
      <c r="B2006" s="1" t="s">
        <v>2</v>
      </c>
      <c r="C2006" s="1" t="s">
        <v>3</v>
      </c>
      <c r="D2006" s="1" t="s">
        <v>4</v>
      </c>
      <c r="E2006" s="3">
        <f t="shared" si="30"/>
        <v>25</v>
      </c>
    </row>
    <row r="2007" spans="1:5" x14ac:dyDescent="0.2">
      <c r="A2007">
        <v>1</v>
      </c>
      <c r="B2007" t="s">
        <v>73</v>
      </c>
      <c r="C2007">
        <v>3</v>
      </c>
      <c r="D2007">
        <v>16</v>
      </c>
      <c r="E2007" s="3">
        <f t="shared" si="30"/>
        <v>25</v>
      </c>
    </row>
    <row r="2008" spans="1:5" x14ac:dyDescent="0.2">
      <c r="A2008">
        <v>2</v>
      </c>
      <c r="B2008" t="s">
        <v>519</v>
      </c>
      <c r="C2008">
        <v>0</v>
      </c>
      <c r="D2008">
        <v>12</v>
      </c>
      <c r="E2008" s="3">
        <f t="shared" si="30"/>
        <v>25</v>
      </c>
    </row>
    <row r="2009" spans="1:5" x14ac:dyDescent="0.2">
      <c r="A2009">
        <v>3</v>
      </c>
      <c r="B2009" t="s">
        <v>46</v>
      </c>
      <c r="C2009">
        <v>0</v>
      </c>
      <c r="D2009">
        <v>8</v>
      </c>
      <c r="E2009" s="3">
        <f t="shared" si="30"/>
        <v>25</v>
      </c>
    </row>
    <row r="2010" spans="1:5" x14ac:dyDescent="0.2">
      <c r="A2010">
        <v>4</v>
      </c>
      <c r="B2010" t="s">
        <v>81</v>
      </c>
      <c r="C2010">
        <v>2</v>
      </c>
      <c r="D2010">
        <v>4</v>
      </c>
      <c r="E2010" s="3">
        <f t="shared" si="30"/>
        <v>25</v>
      </c>
    </row>
    <row r="2011" spans="1:5" x14ac:dyDescent="0.2">
      <c r="A2011">
        <v>5</v>
      </c>
      <c r="B2011" t="s">
        <v>454</v>
      </c>
      <c r="C2011">
        <v>0</v>
      </c>
      <c r="D2011">
        <v>2</v>
      </c>
      <c r="E2011" s="3">
        <f t="shared" si="30"/>
        <v>25</v>
      </c>
    </row>
    <row r="2012" spans="1:5" x14ac:dyDescent="0.2">
      <c r="A2012">
        <v>6</v>
      </c>
      <c r="B2012" t="s">
        <v>6</v>
      </c>
      <c r="C2012">
        <v>0</v>
      </c>
      <c r="D2012">
        <v>1</v>
      </c>
      <c r="E2012" s="3">
        <f t="shared" si="30"/>
        <v>25</v>
      </c>
    </row>
    <row r="2013" spans="1:5" x14ac:dyDescent="0.2">
      <c r="A2013">
        <v>7</v>
      </c>
      <c r="B2013" s="2" t="s">
        <v>10</v>
      </c>
      <c r="C2013" s="2" t="s">
        <v>10</v>
      </c>
      <c r="D2013" s="2" t="s">
        <v>10</v>
      </c>
      <c r="E2013" s="3">
        <f t="shared" si="30"/>
        <v>25</v>
      </c>
    </row>
    <row r="2014" spans="1:5" x14ac:dyDescent="0.2">
      <c r="A2014">
        <v>8</v>
      </c>
      <c r="B2014" s="2" t="s">
        <v>10</v>
      </c>
      <c r="C2014" s="2" t="s">
        <v>10</v>
      </c>
      <c r="D2014" s="2" t="s">
        <v>10</v>
      </c>
      <c r="E2014" s="3">
        <f t="shared" si="30"/>
        <v>25</v>
      </c>
    </row>
    <row r="2015" spans="1:5" x14ac:dyDescent="0.2">
      <c r="A2015" s="1" t="s">
        <v>544</v>
      </c>
      <c r="E2015" s="3">
        <f t="shared" si="30"/>
        <v>25</v>
      </c>
    </row>
    <row r="2016" spans="1:5" x14ac:dyDescent="0.2">
      <c r="A2016" s="1" t="s">
        <v>1</v>
      </c>
      <c r="B2016" s="1" t="s">
        <v>2</v>
      </c>
      <c r="C2016" s="1" t="s">
        <v>3</v>
      </c>
      <c r="D2016" s="1" t="s">
        <v>4</v>
      </c>
      <c r="E2016" s="3">
        <f t="shared" si="30"/>
        <v>25</v>
      </c>
    </row>
    <row r="2017" spans="1:5" x14ac:dyDescent="0.2">
      <c r="A2017">
        <v>0</v>
      </c>
      <c r="C2017">
        <v>0</v>
      </c>
      <c r="D2017">
        <v>0</v>
      </c>
      <c r="E2017" s="3">
        <f t="shared" si="30"/>
        <v>25</v>
      </c>
    </row>
    <row r="2018" spans="1:5" x14ac:dyDescent="0.2">
      <c r="A2018">
        <v>1</v>
      </c>
      <c r="B2018" t="s">
        <v>518</v>
      </c>
      <c r="C2018">
        <v>4</v>
      </c>
      <c r="D2018">
        <v>17</v>
      </c>
      <c r="E2018" s="3">
        <f t="shared" si="30"/>
        <v>25</v>
      </c>
    </row>
    <row r="2019" spans="1:5" x14ac:dyDescent="0.2">
      <c r="A2019">
        <v>2</v>
      </c>
      <c r="B2019" t="s">
        <v>521</v>
      </c>
      <c r="C2019">
        <v>0</v>
      </c>
      <c r="D2019">
        <v>13</v>
      </c>
      <c r="E2019" s="3">
        <f t="shared" ref="E2019:E2082" si="31">IF(A2019=$A$1,E2018+1,E2018)</f>
        <v>25</v>
      </c>
    </row>
    <row r="2020" spans="1:5" x14ac:dyDescent="0.2">
      <c r="A2020">
        <v>3</v>
      </c>
      <c r="B2020" t="s">
        <v>504</v>
      </c>
      <c r="C2020">
        <v>0</v>
      </c>
      <c r="D2020">
        <v>9</v>
      </c>
      <c r="E2020" s="3">
        <f t="shared" si="31"/>
        <v>25</v>
      </c>
    </row>
    <row r="2021" spans="1:5" x14ac:dyDescent="0.2">
      <c r="A2021">
        <v>4</v>
      </c>
      <c r="B2021" t="s">
        <v>55</v>
      </c>
      <c r="C2021">
        <v>1</v>
      </c>
      <c r="D2021">
        <v>5</v>
      </c>
      <c r="E2021" s="3">
        <f t="shared" si="31"/>
        <v>25</v>
      </c>
    </row>
    <row r="2022" spans="1:5" x14ac:dyDescent="0.2">
      <c r="A2022">
        <v>5</v>
      </c>
      <c r="B2022" t="s">
        <v>280</v>
      </c>
      <c r="C2022">
        <v>1</v>
      </c>
      <c r="D2022">
        <v>3</v>
      </c>
      <c r="E2022" s="3">
        <f t="shared" si="31"/>
        <v>25</v>
      </c>
    </row>
    <row r="2023" spans="1:5" x14ac:dyDescent="0.2">
      <c r="A2023">
        <v>6</v>
      </c>
      <c r="B2023" t="s">
        <v>501</v>
      </c>
      <c r="C2023">
        <v>0</v>
      </c>
      <c r="D2023">
        <v>2</v>
      </c>
      <c r="E2023" s="3">
        <f t="shared" si="31"/>
        <v>25</v>
      </c>
    </row>
    <row r="2024" spans="1:5" x14ac:dyDescent="0.2">
      <c r="A2024">
        <v>7</v>
      </c>
      <c r="B2024" t="s">
        <v>510</v>
      </c>
      <c r="C2024">
        <v>0</v>
      </c>
      <c r="D2024">
        <v>1</v>
      </c>
      <c r="E2024" s="3">
        <f t="shared" si="31"/>
        <v>25</v>
      </c>
    </row>
    <row r="2025" spans="1:5" x14ac:dyDescent="0.2">
      <c r="A2025">
        <v>9</v>
      </c>
      <c r="B2025" s="2" t="s">
        <v>10</v>
      </c>
      <c r="C2025" s="2" t="s">
        <v>10</v>
      </c>
      <c r="D2025" s="2" t="s">
        <v>10</v>
      </c>
      <c r="E2025" s="3">
        <f t="shared" si="31"/>
        <v>25</v>
      </c>
    </row>
    <row r="2026" spans="1:5" x14ac:dyDescent="0.2">
      <c r="A2026" s="1" t="s">
        <v>0</v>
      </c>
      <c r="E2026" s="3">
        <f t="shared" si="31"/>
        <v>26</v>
      </c>
    </row>
    <row r="2027" spans="1:5" x14ac:dyDescent="0.2">
      <c r="A2027" s="1" t="s">
        <v>1</v>
      </c>
      <c r="B2027" s="1" t="s">
        <v>2</v>
      </c>
      <c r="C2027" s="1" t="s">
        <v>3</v>
      </c>
      <c r="D2027" s="1" t="s">
        <v>4</v>
      </c>
      <c r="E2027" s="3">
        <f t="shared" si="31"/>
        <v>26</v>
      </c>
    </row>
    <row r="2028" spans="1:5" x14ac:dyDescent="0.2">
      <c r="A2028">
        <v>1</v>
      </c>
      <c r="B2028" t="s">
        <v>55</v>
      </c>
      <c r="C2028">
        <v>2</v>
      </c>
      <c r="D2028">
        <v>16</v>
      </c>
      <c r="E2028" s="3">
        <f t="shared" si="31"/>
        <v>26</v>
      </c>
    </row>
    <row r="2029" spans="1:5" x14ac:dyDescent="0.2">
      <c r="A2029">
        <v>2</v>
      </c>
      <c r="B2029" t="s">
        <v>87</v>
      </c>
      <c r="C2029">
        <v>1</v>
      </c>
      <c r="D2029">
        <v>12</v>
      </c>
      <c r="E2029" s="3">
        <f t="shared" si="31"/>
        <v>26</v>
      </c>
    </row>
    <row r="2030" spans="1:5" x14ac:dyDescent="0.2">
      <c r="A2030">
        <v>3</v>
      </c>
      <c r="B2030" t="s">
        <v>505</v>
      </c>
      <c r="C2030">
        <v>1</v>
      </c>
      <c r="D2030">
        <v>8</v>
      </c>
      <c r="E2030" s="3">
        <f t="shared" si="31"/>
        <v>26</v>
      </c>
    </row>
    <row r="2031" spans="1:5" x14ac:dyDescent="0.2">
      <c r="A2031">
        <v>4</v>
      </c>
      <c r="B2031" t="s">
        <v>507</v>
      </c>
      <c r="C2031">
        <v>1</v>
      </c>
      <c r="D2031">
        <v>4</v>
      </c>
      <c r="E2031" s="3">
        <f t="shared" si="31"/>
        <v>26</v>
      </c>
    </row>
    <row r="2032" spans="1:5" x14ac:dyDescent="0.2">
      <c r="A2032">
        <v>5</v>
      </c>
      <c r="B2032" t="s">
        <v>69</v>
      </c>
      <c r="C2032">
        <v>0</v>
      </c>
      <c r="D2032">
        <v>2</v>
      </c>
      <c r="E2032" s="3">
        <f t="shared" si="31"/>
        <v>26</v>
      </c>
    </row>
    <row r="2033" spans="1:5" x14ac:dyDescent="0.2">
      <c r="A2033">
        <v>6</v>
      </c>
      <c r="B2033" t="s">
        <v>454</v>
      </c>
      <c r="C2033">
        <v>0</v>
      </c>
      <c r="D2033">
        <v>1</v>
      </c>
      <c r="E2033" s="3">
        <f t="shared" si="31"/>
        <v>26</v>
      </c>
    </row>
    <row r="2034" spans="1:5" x14ac:dyDescent="0.2">
      <c r="A2034">
        <v>7</v>
      </c>
      <c r="B2034" s="2" t="s">
        <v>10</v>
      </c>
      <c r="C2034" s="2" t="s">
        <v>10</v>
      </c>
      <c r="D2034" s="2" t="s">
        <v>10</v>
      </c>
      <c r="E2034" s="3">
        <f t="shared" si="31"/>
        <v>26</v>
      </c>
    </row>
    <row r="2035" spans="1:5" x14ac:dyDescent="0.2">
      <c r="A2035">
        <v>8</v>
      </c>
      <c r="B2035" s="2" t="s">
        <v>10</v>
      </c>
      <c r="C2035" s="2" t="s">
        <v>10</v>
      </c>
      <c r="D2035" s="2" t="s">
        <v>10</v>
      </c>
      <c r="E2035" s="3">
        <f t="shared" si="31"/>
        <v>26</v>
      </c>
    </row>
    <row r="2036" spans="1:5" x14ac:dyDescent="0.2">
      <c r="A2036" s="1" t="s">
        <v>11</v>
      </c>
      <c r="E2036" s="3">
        <f t="shared" si="31"/>
        <v>26</v>
      </c>
    </row>
    <row r="2037" spans="1:5" x14ac:dyDescent="0.2">
      <c r="A2037" s="1" t="s">
        <v>1</v>
      </c>
      <c r="B2037" s="1" t="s">
        <v>2</v>
      </c>
      <c r="C2037" s="1" t="s">
        <v>3</v>
      </c>
      <c r="D2037" s="1" t="s">
        <v>4</v>
      </c>
      <c r="E2037" s="3">
        <f t="shared" si="31"/>
        <v>26</v>
      </c>
    </row>
    <row r="2038" spans="1:5" x14ac:dyDescent="0.2">
      <c r="A2038">
        <v>1</v>
      </c>
      <c r="B2038" t="s">
        <v>42</v>
      </c>
      <c r="C2038">
        <v>4</v>
      </c>
      <c r="D2038">
        <v>16</v>
      </c>
      <c r="E2038" s="3">
        <f t="shared" si="31"/>
        <v>26</v>
      </c>
    </row>
    <row r="2039" spans="1:5" x14ac:dyDescent="0.2">
      <c r="A2039">
        <v>2</v>
      </c>
      <c r="B2039" t="s">
        <v>479</v>
      </c>
      <c r="C2039">
        <v>0</v>
      </c>
      <c r="D2039">
        <v>12</v>
      </c>
      <c r="E2039" s="3">
        <f t="shared" si="31"/>
        <v>26</v>
      </c>
    </row>
    <row r="2040" spans="1:5" x14ac:dyDescent="0.2">
      <c r="A2040">
        <v>3</v>
      </c>
      <c r="B2040" t="s">
        <v>461</v>
      </c>
      <c r="C2040">
        <v>1</v>
      </c>
      <c r="D2040">
        <v>8</v>
      </c>
      <c r="E2040" s="3">
        <f t="shared" si="31"/>
        <v>26</v>
      </c>
    </row>
    <row r="2041" spans="1:5" x14ac:dyDescent="0.2">
      <c r="A2041">
        <v>4</v>
      </c>
      <c r="B2041" t="s">
        <v>25</v>
      </c>
      <c r="C2041">
        <v>0</v>
      </c>
      <c r="D2041">
        <v>4</v>
      </c>
      <c r="E2041" s="3">
        <f t="shared" si="31"/>
        <v>26</v>
      </c>
    </row>
    <row r="2042" spans="1:5" x14ac:dyDescent="0.2">
      <c r="A2042">
        <v>5</v>
      </c>
      <c r="B2042" t="s">
        <v>48</v>
      </c>
      <c r="C2042">
        <v>0</v>
      </c>
      <c r="D2042">
        <v>2</v>
      </c>
      <c r="E2042" s="3">
        <f t="shared" si="31"/>
        <v>26</v>
      </c>
    </row>
    <row r="2043" spans="1:5" x14ac:dyDescent="0.2">
      <c r="A2043">
        <v>6</v>
      </c>
      <c r="B2043" t="s">
        <v>9</v>
      </c>
      <c r="C2043">
        <v>0</v>
      </c>
      <c r="D2043">
        <v>1</v>
      </c>
      <c r="E2043" s="3">
        <f t="shared" si="31"/>
        <v>26</v>
      </c>
    </row>
    <row r="2044" spans="1:5" x14ac:dyDescent="0.2">
      <c r="A2044">
        <v>7</v>
      </c>
      <c r="B2044" s="2" t="s">
        <v>10</v>
      </c>
      <c r="C2044" s="2" t="s">
        <v>10</v>
      </c>
      <c r="D2044" s="2" t="s">
        <v>10</v>
      </c>
      <c r="E2044" s="3">
        <f t="shared" si="31"/>
        <v>26</v>
      </c>
    </row>
    <row r="2045" spans="1:5" x14ac:dyDescent="0.2">
      <c r="A2045">
        <v>8</v>
      </c>
      <c r="B2045" s="2" t="s">
        <v>10</v>
      </c>
      <c r="C2045" s="2" t="s">
        <v>10</v>
      </c>
      <c r="D2045" s="2" t="s">
        <v>10</v>
      </c>
      <c r="E2045" s="3">
        <f t="shared" si="31"/>
        <v>26</v>
      </c>
    </row>
    <row r="2046" spans="1:5" x14ac:dyDescent="0.2">
      <c r="A2046" s="1" t="s">
        <v>17</v>
      </c>
      <c r="E2046" s="3">
        <f t="shared" si="31"/>
        <v>26</v>
      </c>
    </row>
    <row r="2047" spans="1:5" x14ac:dyDescent="0.2">
      <c r="A2047" s="1" t="s">
        <v>1</v>
      </c>
      <c r="B2047" s="1" t="s">
        <v>2</v>
      </c>
      <c r="C2047" s="1" t="s">
        <v>3</v>
      </c>
      <c r="D2047" s="1" t="s">
        <v>4</v>
      </c>
      <c r="E2047" s="3">
        <f t="shared" si="31"/>
        <v>26</v>
      </c>
    </row>
    <row r="2048" spans="1:5" x14ac:dyDescent="0.2">
      <c r="A2048">
        <v>0</v>
      </c>
      <c r="C2048">
        <v>0</v>
      </c>
      <c r="D2048">
        <v>0</v>
      </c>
      <c r="E2048" s="3">
        <f t="shared" si="31"/>
        <v>26</v>
      </c>
    </row>
    <row r="2049" spans="1:5" x14ac:dyDescent="0.2">
      <c r="A2049">
        <v>0</v>
      </c>
      <c r="C2049">
        <v>0</v>
      </c>
      <c r="D2049">
        <v>0</v>
      </c>
      <c r="E2049" s="3">
        <f t="shared" si="31"/>
        <v>26</v>
      </c>
    </row>
    <row r="2050" spans="1:5" x14ac:dyDescent="0.2">
      <c r="A2050">
        <v>1</v>
      </c>
      <c r="B2050" t="s">
        <v>19</v>
      </c>
      <c r="C2050">
        <v>2</v>
      </c>
      <c r="D2050">
        <v>16</v>
      </c>
      <c r="E2050" s="3">
        <f t="shared" si="31"/>
        <v>26</v>
      </c>
    </row>
    <row r="2051" spans="1:5" x14ac:dyDescent="0.2">
      <c r="A2051">
        <v>2</v>
      </c>
      <c r="B2051" t="s">
        <v>261</v>
      </c>
      <c r="C2051">
        <v>1</v>
      </c>
      <c r="D2051">
        <v>12</v>
      </c>
      <c r="E2051" s="3">
        <f t="shared" si="31"/>
        <v>26</v>
      </c>
    </row>
    <row r="2052" spans="1:5" x14ac:dyDescent="0.2">
      <c r="A2052">
        <v>3</v>
      </c>
      <c r="B2052" t="s">
        <v>345</v>
      </c>
      <c r="C2052">
        <v>2</v>
      </c>
      <c r="D2052">
        <v>8</v>
      </c>
      <c r="E2052" s="3">
        <f t="shared" si="31"/>
        <v>26</v>
      </c>
    </row>
    <row r="2053" spans="1:5" x14ac:dyDescent="0.2">
      <c r="A2053">
        <v>4</v>
      </c>
      <c r="B2053" t="s">
        <v>535</v>
      </c>
      <c r="C2053">
        <v>0</v>
      </c>
      <c r="D2053">
        <v>4</v>
      </c>
      <c r="E2053" s="3">
        <f t="shared" si="31"/>
        <v>26</v>
      </c>
    </row>
    <row r="2054" spans="1:5" x14ac:dyDescent="0.2">
      <c r="A2054">
        <v>4</v>
      </c>
      <c r="B2054" t="s">
        <v>518</v>
      </c>
      <c r="C2054">
        <v>0</v>
      </c>
      <c r="D2054">
        <v>4</v>
      </c>
      <c r="E2054" s="3">
        <f t="shared" si="31"/>
        <v>26</v>
      </c>
    </row>
    <row r="2055" spans="1:5" x14ac:dyDescent="0.2">
      <c r="A2055">
        <v>6</v>
      </c>
      <c r="B2055" t="s">
        <v>556</v>
      </c>
      <c r="C2055">
        <v>0</v>
      </c>
      <c r="D2055">
        <v>1</v>
      </c>
      <c r="E2055" s="3">
        <f t="shared" si="31"/>
        <v>26</v>
      </c>
    </row>
    <row r="2056" spans="1:5" x14ac:dyDescent="0.2">
      <c r="A2056">
        <v>9</v>
      </c>
      <c r="B2056" s="2" t="s">
        <v>10</v>
      </c>
      <c r="C2056" s="2" t="s">
        <v>10</v>
      </c>
      <c r="D2056" s="2" t="s">
        <v>10</v>
      </c>
      <c r="E2056" s="3">
        <f t="shared" si="31"/>
        <v>26</v>
      </c>
    </row>
    <row r="2057" spans="1:5" x14ac:dyDescent="0.2">
      <c r="A2057">
        <v>10</v>
      </c>
      <c r="B2057" s="2" t="s">
        <v>10</v>
      </c>
      <c r="C2057" s="2" t="s">
        <v>10</v>
      </c>
      <c r="D2057" s="2" t="s">
        <v>10</v>
      </c>
      <c r="E2057" s="3">
        <f t="shared" si="31"/>
        <v>26</v>
      </c>
    </row>
    <row r="2058" spans="1:5" x14ac:dyDescent="0.2">
      <c r="A2058" s="1" t="s">
        <v>24</v>
      </c>
      <c r="E2058" s="3">
        <f t="shared" si="31"/>
        <v>26</v>
      </c>
    </row>
    <row r="2059" spans="1:5" x14ac:dyDescent="0.2">
      <c r="A2059" s="1" t="s">
        <v>1</v>
      </c>
      <c r="B2059" s="1" t="s">
        <v>2</v>
      </c>
      <c r="C2059" s="1" t="s">
        <v>3</v>
      </c>
      <c r="D2059" s="1" t="s">
        <v>4</v>
      </c>
      <c r="E2059" s="3">
        <f t="shared" si="31"/>
        <v>26</v>
      </c>
    </row>
    <row r="2060" spans="1:5" x14ac:dyDescent="0.2">
      <c r="A2060">
        <v>1</v>
      </c>
      <c r="B2060" t="s">
        <v>506</v>
      </c>
      <c r="C2060">
        <v>3</v>
      </c>
      <c r="D2060">
        <v>16</v>
      </c>
      <c r="E2060" s="3">
        <f t="shared" si="31"/>
        <v>26</v>
      </c>
    </row>
    <row r="2061" spans="1:5" x14ac:dyDescent="0.2">
      <c r="A2061">
        <v>2</v>
      </c>
      <c r="B2061" t="s">
        <v>490</v>
      </c>
      <c r="C2061">
        <v>0</v>
      </c>
      <c r="D2061">
        <v>12</v>
      </c>
      <c r="E2061" s="3">
        <f t="shared" si="31"/>
        <v>26</v>
      </c>
    </row>
    <row r="2062" spans="1:5" x14ac:dyDescent="0.2">
      <c r="A2062">
        <v>3</v>
      </c>
      <c r="B2062" t="s">
        <v>76</v>
      </c>
      <c r="C2062">
        <v>1</v>
      </c>
      <c r="D2062">
        <v>8</v>
      </c>
      <c r="E2062" s="3">
        <f t="shared" si="31"/>
        <v>26</v>
      </c>
    </row>
    <row r="2063" spans="1:5" x14ac:dyDescent="0.2">
      <c r="A2063">
        <v>4</v>
      </c>
      <c r="B2063" t="s">
        <v>555</v>
      </c>
      <c r="C2063">
        <v>0</v>
      </c>
      <c r="D2063">
        <v>4</v>
      </c>
      <c r="E2063" s="3">
        <f t="shared" si="31"/>
        <v>26</v>
      </c>
    </row>
    <row r="2064" spans="1:5" x14ac:dyDescent="0.2">
      <c r="A2064">
        <v>5</v>
      </c>
      <c r="B2064" t="s">
        <v>66</v>
      </c>
      <c r="C2064">
        <v>0</v>
      </c>
      <c r="D2064">
        <v>2</v>
      </c>
      <c r="E2064" s="3">
        <f t="shared" si="31"/>
        <v>26</v>
      </c>
    </row>
    <row r="2065" spans="1:5" x14ac:dyDescent="0.2">
      <c r="A2065">
        <v>6</v>
      </c>
      <c r="B2065" t="s">
        <v>534</v>
      </c>
      <c r="C2065">
        <v>0</v>
      </c>
      <c r="D2065">
        <v>1</v>
      </c>
      <c r="E2065" s="3">
        <f t="shared" si="31"/>
        <v>26</v>
      </c>
    </row>
    <row r="2066" spans="1:5" x14ac:dyDescent="0.2">
      <c r="A2066">
        <v>7</v>
      </c>
      <c r="B2066" s="2" t="s">
        <v>10</v>
      </c>
      <c r="C2066" s="2" t="s">
        <v>10</v>
      </c>
      <c r="D2066" s="2" t="s">
        <v>10</v>
      </c>
      <c r="E2066" s="3">
        <f t="shared" si="31"/>
        <v>26</v>
      </c>
    </row>
    <row r="2067" spans="1:5" x14ac:dyDescent="0.2">
      <c r="A2067">
        <v>8</v>
      </c>
      <c r="B2067" s="2" t="s">
        <v>10</v>
      </c>
      <c r="C2067" s="2" t="s">
        <v>10</v>
      </c>
      <c r="D2067" s="2" t="s">
        <v>10</v>
      </c>
      <c r="E2067" s="3">
        <f t="shared" si="31"/>
        <v>26</v>
      </c>
    </row>
    <row r="2068" spans="1:5" x14ac:dyDescent="0.2">
      <c r="A2068" s="1" t="s">
        <v>30</v>
      </c>
      <c r="E2068" s="3">
        <f t="shared" si="31"/>
        <v>26</v>
      </c>
    </row>
    <row r="2069" spans="1:5" x14ac:dyDescent="0.2">
      <c r="A2069" s="1" t="s">
        <v>1</v>
      </c>
      <c r="B2069" s="1" t="s">
        <v>2</v>
      </c>
      <c r="C2069" s="1" t="s">
        <v>3</v>
      </c>
      <c r="D2069" s="1" t="s">
        <v>4</v>
      </c>
      <c r="E2069" s="3">
        <f t="shared" si="31"/>
        <v>26</v>
      </c>
    </row>
    <row r="2070" spans="1:5" x14ac:dyDescent="0.2">
      <c r="A2070">
        <v>0</v>
      </c>
      <c r="C2070">
        <v>0</v>
      </c>
      <c r="D2070">
        <v>0</v>
      </c>
      <c r="E2070" s="3">
        <f t="shared" si="31"/>
        <v>26</v>
      </c>
    </row>
    <row r="2071" spans="1:5" x14ac:dyDescent="0.2">
      <c r="A2071">
        <v>0</v>
      </c>
      <c r="C2071">
        <v>0</v>
      </c>
      <c r="D2071">
        <v>0</v>
      </c>
      <c r="E2071" s="3">
        <f t="shared" si="31"/>
        <v>26</v>
      </c>
    </row>
    <row r="2072" spans="1:5" x14ac:dyDescent="0.2">
      <c r="A2072">
        <v>1</v>
      </c>
      <c r="B2072" t="s">
        <v>485</v>
      </c>
      <c r="C2072">
        <v>1</v>
      </c>
      <c r="D2072">
        <v>16</v>
      </c>
      <c r="E2072" s="3">
        <f t="shared" si="31"/>
        <v>26</v>
      </c>
    </row>
    <row r="2073" spans="1:5" x14ac:dyDescent="0.2">
      <c r="A2073">
        <v>2</v>
      </c>
      <c r="B2073" t="s">
        <v>88</v>
      </c>
      <c r="C2073">
        <v>3</v>
      </c>
      <c r="D2073">
        <v>12</v>
      </c>
      <c r="E2073" s="3">
        <f t="shared" si="31"/>
        <v>26</v>
      </c>
    </row>
    <row r="2074" spans="1:5" x14ac:dyDescent="0.2">
      <c r="A2074">
        <v>3</v>
      </c>
      <c r="B2074" t="s">
        <v>500</v>
      </c>
      <c r="C2074">
        <v>0</v>
      </c>
      <c r="D2074">
        <v>8</v>
      </c>
      <c r="E2074" s="3">
        <f t="shared" si="31"/>
        <v>26</v>
      </c>
    </row>
    <row r="2075" spans="1:5" x14ac:dyDescent="0.2">
      <c r="A2075">
        <v>4</v>
      </c>
      <c r="B2075" t="s">
        <v>503</v>
      </c>
      <c r="C2075">
        <v>1</v>
      </c>
      <c r="D2075">
        <v>4</v>
      </c>
      <c r="E2075" s="3">
        <f t="shared" si="31"/>
        <v>26</v>
      </c>
    </row>
    <row r="2076" spans="1:5" x14ac:dyDescent="0.2">
      <c r="A2076">
        <v>5</v>
      </c>
      <c r="B2076" t="s">
        <v>475</v>
      </c>
      <c r="C2076">
        <v>0</v>
      </c>
      <c r="D2076">
        <v>2</v>
      </c>
      <c r="E2076" s="3">
        <f t="shared" si="31"/>
        <v>26</v>
      </c>
    </row>
    <row r="2077" spans="1:5" x14ac:dyDescent="0.2">
      <c r="A2077">
        <v>6</v>
      </c>
      <c r="B2077" t="s">
        <v>74</v>
      </c>
      <c r="C2077">
        <v>0</v>
      </c>
      <c r="D2077">
        <v>1</v>
      </c>
      <c r="E2077" s="3">
        <f t="shared" si="31"/>
        <v>26</v>
      </c>
    </row>
    <row r="2078" spans="1:5" x14ac:dyDescent="0.2">
      <c r="A2078">
        <v>9</v>
      </c>
      <c r="B2078" s="2" t="s">
        <v>10</v>
      </c>
      <c r="C2078" s="2" t="s">
        <v>10</v>
      </c>
      <c r="D2078" s="2" t="s">
        <v>10</v>
      </c>
      <c r="E2078" s="3">
        <f t="shared" si="31"/>
        <v>26</v>
      </c>
    </row>
    <row r="2079" spans="1:5" x14ac:dyDescent="0.2">
      <c r="A2079">
        <v>10</v>
      </c>
      <c r="B2079" s="2" t="s">
        <v>10</v>
      </c>
      <c r="C2079" s="2" t="s">
        <v>10</v>
      </c>
      <c r="D2079" s="2" t="s">
        <v>10</v>
      </c>
      <c r="E2079" s="3">
        <f t="shared" si="31"/>
        <v>26</v>
      </c>
    </row>
    <row r="2080" spans="1:5" x14ac:dyDescent="0.2">
      <c r="A2080" s="1" t="s">
        <v>37</v>
      </c>
      <c r="E2080" s="3">
        <f t="shared" si="31"/>
        <v>26</v>
      </c>
    </row>
    <row r="2081" spans="1:5" x14ac:dyDescent="0.2">
      <c r="A2081" s="1" t="s">
        <v>1</v>
      </c>
      <c r="B2081" s="1" t="s">
        <v>2</v>
      </c>
      <c r="C2081" s="1" t="s">
        <v>3</v>
      </c>
      <c r="D2081" s="1" t="s">
        <v>4</v>
      </c>
      <c r="E2081" s="3">
        <f t="shared" si="31"/>
        <v>26</v>
      </c>
    </row>
    <row r="2082" spans="1:5" x14ac:dyDescent="0.2">
      <c r="A2082">
        <v>1</v>
      </c>
      <c r="B2082" t="s">
        <v>101</v>
      </c>
      <c r="C2082">
        <v>4</v>
      </c>
      <c r="D2082">
        <v>16</v>
      </c>
      <c r="E2082" s="3">
        <f t="shared" si="31"/>
        <v>26</v>
      </c>
    </row>
    <row r="2083" spans="1:5" x14ac:dyDescent="0.2">
      <c r="A2083">
        <v>2</v>
      </c>
      <c r="B2083" t="s">
        <v>35</v>
      </c>
      <c r="C2083">
        <v>1</v>
      </c>
      <c r="D2083">
        <v>12</v>
      </c>
      <c r="E2083" s="3">
        <f t="shared" ref="E2083:E2146" si="32">IF(A2083=$A$1,E2082+1,E2082)</f>
        <v>26</v>
      </c>
    </row>
    <row r="2084" spans="1:5" x14ac:dyDescent="0.2">
      <c r="A2084">
        <v>3</v>
      </c>
      <c r="B2084" t="s">
        <v>15</v>
      </c>
      <c r="C2084">
        <v>0</v>
      </c>
      <c r="D2084">
        <v>8</v>
      </c>
      <c r="E2084" s="3">
        <f t="shared" si="32"/>
        <v>26</v>
      </c>
    </row>
    <row r="2085" spans="1:5" x14ac:dyDescent="0.2">
      <c r="A2085">
        <v>4</v>
      </c>
      <c r="B2085" t="s">
        <v>81</v>
      </c>
      <c r="C2085">
        <v>0</v>
      </c>
      <c r="D2085">
        <v>4</v>
      </c>
      <c r="E2085" s="3">
        <f t="shared" si="32"/>
        <v>26</v>
      </c>
    </row>
    <row r="2086" spans="1:5" x14ac:dyDescent="0.2">
      <c r="A2086">
        <v>5</v>
      </c>
      <c r="B2086" t="s">
        <v>46</v>
      </c>
      <c r="C2086">
        <v>0</v>
      </c>
      <c r="D2086">
        <v>2</v>
      </c>
      <c r="E2086" s="3">
        <f t="shared" si="32"/>
        <v>26</v>
      </c>
    </row>
    <row r="2087" spans="1:5" x14ac:dyDescent="0.2">
      <c r="A2087">
        <v>6</v>
      </c>
      <c r="B2087" t="s">
        <v>21</v>
      </c>
      <c r="C2087">
        <v>0</v>
      </c>
      <c r="D2087">
        <v>1</v>
      </c>
      <c r="E2087" s="3">
        <f t="shared" si="32"/>
        <v>26</v>
      </c>
    </row>
    <row r="2088" spans="1:5" x14ac:dyDescent="0.2">
      <c r="A2088">
        <v>7</v>
      </c>
      <c r="B2088" s="2" t="s">
        <v>10</v>
      </c>
      <c r="C2088" s="2" t="s">
        <v>10</v>
      </c>
      <c r="D2088" s="2" t="s">
        <v>10</v>
      </c>
      <c r="E2088" s="3">
        <f t="shared" si="32"/>
        <v>26</v>
      </c>
    </row>
    <row r="2089" spans="1:5" x14ac:dyDescent="0.2">
      <c r="A2089">
        <v>8</v>
      </c>
      <c r="B2089" s="2" t="s">
        <v>10</v>
      </c>
      <c r="C2089" s="2" t="s">
        <v>10</v>
      </c>
      <c r="D2089" s="2" t="s">
        <v>10</v>
      </c>
      <c r="E2089" s="3">
        <f t="shared" si="32"/>
        <v>26</v>
      </c>
    </row>
    <row r="2090" spans="1:5" x14ac:dyDescent="0.2">
      <c r="A2090" s="1" t="s">
        <v>44</v>
      </c>
      <c r="E2090" s="3">
        <f t="shared" si="32"/>
        <v>26</v>
      </c>
    </row>
    <row r="2091" spans="1:5" x14ac:dyDescent="0.2">
      <c r="A2091" s="1" t="s">
        <v>1</v>
      </c>
      <c r="B2091" s="1" t="s">
        <v>2</v>
      </c>
      <c r="C2091" s="1" t="s">
        <v>3</v>
      </c>
      <c r="D2091" s="1" t="s">
        <v>4</v>
      </c>
      <c r="E2091" s="3">
        <f t="shared" si="32"/>
        <v>26</v>
      </c>
    </row>
    <row r="2092" spans="1:5" x14ac:dyDescent="0.2">
      <c r="A2092">
        <v>1</v>
      </c>
      <c r="B2092" t="s">
        <v>14</v>
      </c>
      <c r="C2092">
        <v>2</v>
      </c>
      <c r="D2092">
        <v>16</v>
      </c>
      <c r="E2092" s="3">
        <f t="shared" si="32"/>
        <v>26</v>
      </c>
    </row>
    <row r="2093" spans="1:5" x14ac:dyDescent="0.2">
      <c r="A2093">
        <v>2</v>
      </c>
      <c r="B2093" t="s">
        <v>509</v>
      </c>
      <c r="C2093">
        <v>2</v>
      </c>
      <c r="D2093">
        <v>12</v>
      </c>
      <c r="E2093" s="3">
        <f t="shared" si="32"/>
        <v>26</v>
      </c>
    </row>
    <row r="2094" spans="1:5" x14ac:dyDescent="0.2">
      <c r="A2094">
        <v>3</v>
      </c>
      <c r="B2094" t="s">
        <v>75</v>
      </c>
      <c r="C2094">
        <v>0</v>
      </c>
      <c r="D2094">
        <v>8</v>
      </c>
      <c r="E2094" s="3">
        <f t="shared" si="32"/>
        <v>26</v>
      </c>
    </row>
    <row r="2095" spans="1:5" x14ac:dyDescent="0.2">
      <c r="A2095">
        <v>4</v>
      </c>
      <c r="B2095" t="s">
        <v>554</v>
      </c>
      <c r="C2095">
        <v>0</v>
      </c>
      <c r="D2095">
        <v>4</v>
      </c>
      <c r="E2095" s="3">
        <f t="shared" si="32"/>
        <v>26</v>
      </c>
    </row>
    <row r="2096" spans="1:5" x14ac:dyDescent="0.2">
      <c r="A2096">
        <v>5</v>
      </c>
      <c r="B2096" t="s">
        <v>6</v>
      </c>
      <c r="C2096">
        <v>1</v>
      </c>
      <c r="D2096">
        <v>2</v>
      </c>
      <c r="E2096" s="3">
        <f t="shared" si="32"/>
        <v>26</v>
      </c>
    </row>
    <row r="2097" spans="1:5" x14ac:dyDescent="0.2">
      <c r="A2097">
        <v>6</v>
      </c>
      <c r="B2097" t="s">
        <v>501</v>
      </c>
      <c r="C2097">
        <v>0</v>
      </c>
      <c r="D2097">
        <v>1</v>
      </c>
      <c r="E2097" s="3">
        <f t="shared" si="32"/>
        <v>26</v>
      </c>
    </row>
    <row r="2098" spans="1:5" x14ac:dyDescent="0.2">
      <c r="A2098">
        <v>7</v>
      </c>
      <c r="B2098" s="2" t="s">
        <v>10</v>
      </c>
      <c r="C2098" s="2" t="s">
        <v>10</v>
      </c>
      <c r="D2098" s="2" t="s">
        <v>10</v>
      </c>
      <c r="E2098" s="3">
        <f t="shared" si="32"/>
        <v>26</v>
      </c>
    </row>
    <row r="2099" spans="1:5" x14ac:dyDescent="0.2">
      <c r="A2099">
        <v>8</v>
      </c>
      <c r="B2099" s="2" t="s">
        <v>10</v>
      </c>
      <c r="C2099" s="2" t="s">
        <v>10</v>
      </c>
      <c r="D2099" s="2" t="s">
        <v>10</v>
      </c>
      <c r="E2099" s="3">
        <f t="shared" si="32"/>
        <v>26</v>
      </c>
    </row>
    <row r="2100" spans="1:5" x14ac:dyDescent="0.2">
      <c r="A2100" s="1" t="s">
        <v>51</v>
      </c>
      <c r="E2100" s="3">
        <f t="shared" si="32"/>
        <v>26</v>
      </c>
    </row>
    <row r="2101" spans="1:5" x14ac:dyDescent="0.2">
      <c r="A2101" s="1" t="s">
        <v>1</v>
      </c>
      <c r="B2101" s="1" t="s">
        <v>2</v>
      </c>
      <c r="C2101" s="1" t="s">
        <v>3</v>
      </c>
      <c r="D2101" s="1" t="s">
        <v>4</v>
      </c>
      <c r="E2101" s="3">
        <f t="shared" si="32"/>
        <v>26</v>
      </c>
    </row>
    <row r="2102" spans="1:5" x14ac:dyDescent="0.2">
      <c r="A2102">
        <v>1</v>
      </c>
      <c r="B2102" t="s">
        <v>521</v>
      </c>
      <c r="C2102">
        <v>2</v>
      </c>
      <c r="D2102">
        <v>16</v>
      </c>
      <c r="E2102" s="3">
        <f t="shared" si="32"/>
        <v>26</v>
      </c>
    </row>
    <row r="2103" spans="1:5" x14ac:dyDescent="0.2">
      <c r="A2103">
        <v>2</v>
      </c>
      <c r="B2103" t="s">
        <v>493</v>
      </c>
      <c r="C2103">
        <v>1</v>
      </c>
      <c r="D2103">
        <v>12</v>
      </c>
      <c r="E2103" s="3">
        <f t="shared" si="32"/>
        <v>26</v>
      </c>
    </row>
    <row r="2104" spans="1:5" x14ac:dyDescent="0.2">
      <c r="A2104">
        <v>3</v>
      </c>
      <c r="B2104" t="s">
        <v>27</v>
      </c>
      <c r="C2104">
        <v>2</v>
      </c>
      <c r="D2104">
        <v>8</v>
      </c>
      <c r="E2104" s="3">
        <f t="shared" si="32"/>
        <v>26</v>
      </c>
    </row>
    <row r="2105" spans="1:5" x14ac:dyDescent="0.2">
      <c r="A2105">
        <v>4</v>
      </c>
      <c r="B2105" t="s">
        <v>525</v>
      </c>
      <c r="C2105">
        <v>0</v>
      </c>
      <c r="D2105">
        <v>4</v>
      </c>
      <c r="E2105" s="3">
        <f t="shared" si="32"/>
        <v>26</v>
      </c>
    </row>
    <row r="2106" spans="1:5" x14ac:dyDescent="0.2">
      <c r="A2106">
        <v>5</v>
      </c>
      <c r="B2106" t="s">
        <v>512</v>
      </c>
      <c r="C2106">
        <v>0</v>
      </c>
      <c r="D2106">
        <v>2</v>
      </c>
      <c r="E2106" s="3">
        <f t="shared" si="32"/>
        <v>26</v>
      </c>
    </row>
    <row r="2107" spans="1:5" x14ac:dyDescent="0.2">
      <c r="A2107">
        <v>6</v>
      </c>
      <c r="B2107" t="s">
        <v>280</v>
      </c>
      <c r="C2107">
        <v>0</v>
      </c>
      <c r="D2107">
        <v>1</v>
      </c>
      <c r="E2107" s="3">
        <f t="shared" si="32"/>
        <v>26</v>
      </c>
    </row>
    <row r="2108" spans="1:5" x14ac:dyDescent="0.2">
      <c r="A2108">
        <v>7</v>
      </c>
      <c r="B2108" s="2" t="s">
        <v>10</v>
      </c>
      <c r="C2108" s="2" t="s">
        <v>10</v>
      </c>
      <c r="D2108" s="2" t="s">
        <v>10</v>
      </c>
      <c r="E2108" s="3">
        <f t="shared" si="32"/>
        <v>26</v>
      </c>
    </row>
    <row r="2109" spans="1:5" x14ac:dyDescent="0.2">
      <c r="A2109">
        <v>8</v>
      </c>
      <c r="B2109" s="2" t="s">
        <v>10</v>
      </c>
      <c r="C2109" s="2" t="s">
        <v>10</v>
      </c>
      <c r="D2109" s="2" t="s">
        <v>10</v>
      </c>
      <c r="E2109" s="3">
        <f t="shared" si="32"/>
        <v>26</v>
      </c>
    </row>
    <row r="2110" spans="1:5" x14ac:dyDescent="0.2">
      <c r="A2110" s="1" t="s">
        <v>0</v>
      </c>
      <c r="E2110" s="3">
        <f t="shared" si="32"/>
        <v>27</v>
      </c>
    </row>
    <row r="2111" spans="1:5" x14ac:dyDescent="0.2">
      <c r="A2111" s="1" t="s">
        <v>1</v>
      </c>
      <c r="B2111" s="1" t="s">
        <v>2</v>
      </c>
      <c r="C2111" s="1" t="s">
        <v>3</v>
      </c>
      <c r="D2111" s="1" t="s">
        <v>4</v>
      </c>
      <c r="E2111" s="3">
        <f t="shared" si="32"/>
        <v>27</v>
      </c>
    </row>
    <row r="2112" spans="1:5" x14ac:dyDescent="0.2">
      <c r="A2112">
        <v>0</v>
      </c>
      <c r="C2112">
        <v>0</v>
      </c>
      <c r="D2112">
        <v>0</v>
      </c>
      <c r="E2112" s="3">
        <f t="shared" si="32"/>
        <v>27</v>
      </c>
    </row>
    <row r="2113" spans="1:5" x14ac:dyDescent="0.2">
      <c r="A2113">
        <v>0</v>
      </c>
      <c r="C2113">
        <v>0</v>
      </c>
      <c r="D2113">
        <v>0</v>
      </c>
      <c r="E2113" s="3">
        <f t="shared" si="32"/>
        <v>27</v>
      </c>
    </row>
    <row r="2114" spans="1:5" x14ac:dyDescent="0.2">
      <c r="A2114">
        <v>0</v>
      </c>
      <c r="C2114">
        <v>0</v>
      </c>
      <c r="D2114">
        <v>0</v>
      </c>
      <c r="E2114" s="3">
        <f t="shared" si="32"/>
        <v>27</v>
      </c>
    </row>
    <row r="2115" spans="1:5" x14ac:dyDescent="0.2">
      <c r="A2115">
        <v>1</v>
      </c>
      <c r="B2115" t="s">
        <v>557</v>
      </c>
      <c r="C2115">
        <v>4</v>
      </c>
      <c r="D2115">
        <v>15</v>
      </c>
      <c r="E2115" s="3">
        <f t="shared" si="32"/>
        <v>27</v>
      </c>
    </row>
    <row r="2116" spans="1:5" x14ac:dyDescent="0.2">
      <c r="A2116">
        <v>2</v>
      </c>
      <c r="B2116" t="s">
        <v>9</v>
      </c>
      <c r="C2116">
        <v>0</v>
      </c>
      <c r="D2116">
        <v>11</v>
      </c>
      <c r="E2116" s="3">
        <f t="shared" si="32"/>
        <v>27</v>
      </c>
    </row>
    <row r="2117" spans="1:5" x14ac:dyDescent="0.2">
      <c r="A2117">
        <v>3</v>
      </c>
      <c r="B2117" t="s">
        <v>15</v>
      </c>
      <c r="C2117">
        <v>0</v>
      </c>
      <c r="D2117">
        <v>7</v>
      </c>
      <c r="E2117" s="3">
        <f t="shared" si="32"/>
        <v>27</v>
      </c>
    </row>
    <row r="2118" spans="1:5" x14ac:dyDescent="0.2">
      <c r="A2118">
        <v>4</v>
      </c>
      <c r="B2118" t="s">
        <v>81</v>
      </c>
      <c r="C2118">
        <v>0</v>
      </c>
      <c r="D2118">
        <v>3</v>
      </c>
      <c r="E2118" s="3">
        <f t="shared" si="32"/>
        <v>27</v>
      </c>
    </row>
    <row r="2119" spans="1:5" x14ac:dyDescent="0.2">
      <c r="A2119">
        <v>5</v>
      </c>
      <c r="B2119" t="s">
        <v>73</v>
      </c>
      <c r="C2119">
        <v>0</v>
      </c>
      <c r="D2119">
        <v>1</v>
      </c>
      <c r="E2119" s="3">
        <f t="shared" si="32"/>
        <v>27</v>
      </c>
    </row>
    <row r="2120" spans="1:5" x14ac:dyDescent="0.2">
      <c r="A2120">
        <v>9</v>
      </c>
      <c r="B2120" s="2" t="s">
        <v>10</v>
      </c>
      <c r="C2120" s="2" t="s">
        <v>10</v>
      </c>
      <c r="D2120" s="2" t="s">
        <v>10</v>
      </c>
      <c r="E2120" s="3">
        <f t="shared" si="32"/>
        <v>27</v>
      </c>
    </row>
    <row r="2121" spans="1:5" x14ac:dyDescent="0.2">
      <c r="A2121">
        <v>10</v>
      </c>
      <c r="B2121" s="2" t="s">
        <v>10</v>
      </c>
      <c r="C2121" s="2" t="s">
        <v>10</v>
      </c>
      <c r="D2121" s="2" t="s">
        <v>10</v>
      </c>
      <c r="E2121" s="3">
        <f t="shared" si="32"/>
        <v>27</v>
      </c>
    </row>
    <row r="2122" spans="1:5" x14ac:dyDescent="0.2">
      <c r="A2122">
        <v>11</v>
      </c>
      <c r="B2122" s="2" t="s">
        <v>10</v>
      </c>
      <c r="C2122" s="2" t="s">
        <v>10</v>
      </c>
      <c r="D2122" s="2" t="s">
        <v>10</v>
      </c>
      <c r="E2122" s="3">
        <f t="shared" si="32"/>
        <v>27</v>
      </c>
    </row>
    <row r="2123" spans="1:5" x14ac:dyDescent="0.2">
      <c r="A2123" s="1" t="s">
        <v>11</v>
      </c>
      <c r="E2123" s="3">
        <f t="shared" si="32"/>
        <v>27</v>
      </c>
    </row>
    <row r="2124" spans="1:5" x14ac:dyDescent="0.2">
      <c r="A2124" s="1" t="s">
        <v>1</v>
      </c>
      <c r="B2124" s="1" t="s">
        <v>2</v>
      </c>
      <c r="C2124" s="1" t="s">
        <v>3</v>
      </c>
      <c r="D2124" s="1" t="s">
        <v>4</v>
      </c>
      <c r="E2124" s="3">
        <f t="shared" si="32"/>
        <v>27</v>
      </c>
    </row>
    <row r="2125" spans="1:5" x14ac:dyDescent="0.2">
      <c r="A2125">
        <v>1</v>
      </c>
      <c r="B2125" t="s">
        <v>74</v>
      </c>
      <c r="C2125">
        <v>2</v>
      </c>
      <c r="D2125">
        <v>16</v>
      </c>
      <c r="E2125" s="3">
        <f t="shared" si="32"/>
        <v>27</v>
      </c>
    </row>
    <row r="2126" spans="1:5" x14ac:dyDescent="0.2">
      <c r="A2126">
        <v>2</v>
      </c>
      <c r="B2126" t="s">
        <v>66</v>
      </c>
      <c r="C2126">
        <v>1</v>
      </c>
      <c r="D2126">
        <v>12</v>
      </c>
      <c r="E2126" s="3">
        <f t="shared" si="32"/>
        <v>27</v>
      </c>
    </row>
    <row r="2127" spans="1:5" x14ac:dyDescent="0.2">
      <c r="A2127">
        <v>3</v>
      </c>
      <c r="B2127" t="s">
        <v>500</v>
      </c>
      <c r="C2127">
        <v>1</v>
      </c>
      <c r="D2127">
        <v>8</v>
      </c>
      <c r="E2127" s="3">
        <f t="shared" si="32"/>
        <v>27</v>
      </c>
    </row>
    <row r="2128" spans="1:5" x14ac:dyDescent="0.2">
      <c r="A2128">
        <v>4</v>
      </c>
      <c r="B2128" t="s">
        <v>534</v>
      </c>
      <c r="C2128">
        <v>0</v>
      </c>
      <c r="D2128">
        <v>4</v>
      </c>
      <c r="E2128" s="3">
        <f t="shared" si="32"/>
        <v>27</v>
      </c>
    </row>
    <row r="2129" spans="1:5" x14ac:dyDescent="0.2">
      <c r="A2129">
        <v>5</v>
      </c>
      <c r="B2129" t="s">
        <v>479</v>
      </c>
      <c r="C2129">
        <v>1</v>
      </c>
      <c r="D2129">
        <v>2</v>
      </c>
      <c r="E2129" s="3">
        <f t="shared" si="32"/>
        <v>27</v>
      </c>
    </row>
    <row r="2130" spans="1:5" x14ac:dyDescent="0.2">
      <c r="A2130">
        <v>6</v>
      </c>
      <c r="B2130" t="s">
        <v>101</v>
      </c>
      <c r="C2130">
        <v>0</v>
      </c>
      <c r="D2130">
        <v>1</v>
      </c>
      <c r="E2130" s="3">
        <f t="shared" si="32"/>
        <v>27</v>
      </c>
    </row>
    <row r="2131" spans="1:5" x14ac:dyDescent="0.2">
      <c r="A2131">
        <v>7</v>
      </c>
      <c r="B2131" s="2" t="s">
        <v>10</v>
      </c>
      <c r="C2131" s="2" t="s">
        <v>10</v>
      </c>
      <c r="D2131" s="2" t="s">
        <v>10</v>
      </c>
      <c r="E2131" s="3">
        <f t="shared" si="32"/>
        <v>27</v>
      </c>
    </row>
    <row r="2132" spans="1:5" x14ac:dyDescent="0.2">
      <c r="A2132">
        <v>8</v>
      </c>
      <c r="B2132" s="2" t="s">
        <v>10</v>
      </c>
      <c r="C2132" s="2" t="s">
        <v>10</v>
      </c>
      <c r="D2132" s="2" t="s">
        <v>10</v>
      </c>
      <c r="E2132" s="3">
        <f t="shared" si="32"/>
        <v>27</v>
      </c>
    </row>
    <row r="2133" spans="1:5" x14ac:dyDescent="0.2">
      <c r="A2133" s="1" t="s">
        <v>17</v>
      </c>
      <c r="E2133" s="3">
        <f t="shared" si="32"/>
        <v>27</v>
      </c>
    </row>
    <row r="2134" spans="1:5" x14ac:dyDescent="0.2">
      <c r="A2134" s="1" t="s">
        <v>1</v>
      </c>
      <c r="B2134" s="1" t="s">
        <v>2</v>
      </c>
      <c r="C2134" s="1" t="s">
        <v>3</v>
      </c>
      <c r="D2134" s="1" t="s">
        <v>4</v>
      </c>
      <c r="E2134" s="3">
        <f t="shared" si="32"/>
        <v>27</v>
      </c>
    </row>
    <row r="2135" spans="1:5" x14ac:dyDescent="0.2">
      <c r="A2135">
        <v>0</v>
      </c>
      <c r="C2135">
        <v>0</v>
      </c>
      <c r="D2135">
        <v>0</v>
      </c>
      <c r="E2135" s="3">
        <f t="shared" si="32"/>
        <v>27</v>
      </c>
    </row>
    <row r="2136" spans="1:5" x14ac:dyDescent="0.2">
      <c r="A2136">
        <v>0</v>
      </c>
      <c r="C2136">
        <v>0</v>
      </c>
      <c r="D2136">
        <v>0</v>
      </c>
      <c r="E2136" s="3">
        <f t="shared" si="32"/>
        <v>27</v>
      </c>
    </row>
    <row r="2137" spans="1:5" x14ac:dyDescent="0.2">
      <c r="A2137">
        <v>0</v>
      </c>
      <c r="C2137">
        <v>0</v>
      </c>
      <c r="D2137">
        <v>0</v>
      </c>
      <c r="E2137" s="3">
        <f t="shared" si="32"/>
        <v>27</v>
      </c>
    </row>
    <row r="2138" spans="1:5" x14ac:dyDescent="0.2">
      <c r="A2138">
        <v>1</v>
      </c>
      <c r="B2138" t="s">
        <v>87</v>
      </c>
      <c r="C2138">
        <v>4</v>
      </c>
      <c r="D2138">
        <v>15</v>
      </c>
      <c r="E2138" s="3">
        <f t="shared" si="32"/>
        <v>27</v>
      </c>
    </row>
    <row r="2139" spans="1:5" x14ac:dyDescent="0.2">
      <c r="A2139">
        <v>2</v>
      </c>
      <c r="B2139" t="s">
        <v>558</v>
      </c>
      <c r="C2139">
        <v>0</v>
      </c>
      <c r="D2139">
        <v>11</v>
      </c>
      <c r="E2139" s="3">
        <f t="shared" si="32"/>
        <v>27</v>
      </c>
    </row>
    <row r="2140" spans="1:5" x14ac:dyDescent="0.2">
      <c r="A2140">
        <v>3</v>
      </c>
      <c r="B2140" t="s">
        <v>521</v>
      </c>
      <c r="C2140">
        <v>0</v>
      </c>
      <c r="D2140">
        <v>7</v>
      </c>
      <c r="E2140" s="3">
        <f t="shared" si="32"/>
        <v>27</v>
      </c>
    </row>
    <row r="2141" spans="1:5" x14ac:dyDescent="0.2">
      <c r="A2141">
        <v>4</v>
      </c>
      <c r="B2141" t="s">
        <v>535</v>
      </c>
      <c r="C2141">
        <v>0</v>
      </c>
      <c r="D2141">
        <v>3</v>
      </c>
      <c r="E2141" s="3">
        <f t="shared" si="32"/>
        <v>27</v>
      </c>
    </row>
    <row r="2142" spans="1:5" x14ac:dyDescent="0.2">
      <c r="A2142">
        <v>5</v>
      </c>
      <c r="B2142" t="s">
        <v>485</v>
      </c>
      <c r="C2142">
        <v>0</v>
      </c>
      <c r="D2142">
        <v>1</v>
      </c>
      <c r="E2142" s="3">
        <f t="shared" si="32"/>
        <v>27</v>
      </c>
    </row>
    <row r="2143" spans="1:5" x14ac:dyDescent="0.2">
      <c r="A2143">
        <v>9</v>
      </c>
      <c r="B2143" s="2" t="s">
        <v>10</v>
      </c>
      <c r="C2143" s="2" t="s">
        <v>10</v>
      </c>
      <c r="D2143" s="2" t="s">
        <v>10</v>
      </c>
      <c r="E2143" s="3">
        <f t="shared" si="32"/>
        <v>27</v>
      </c>
    </row>
    <row r="2144" spans="1:5" x14ac:dyDescent="0.2">
      <c r="A2144">
        <v>10</v>
      </c>
      <c r="B2144" s="2" t="s">
        <v>10</v>
      </c>
      <c r="C2144" s="2" t="s">
        <v>10</v>
      </c>
      <c r="D2144" s="2" t="s">
        <v>10</v>
      </c>
      <c r="E2144" s="3">
        <f t="shared" si="32"/>
        <v>27</v>
      </c>
    </row>
    <row r="2145" spans="1:5" x14ac:dyDescent="0.2">
      <c r="A2145">
        <v>11</v>
      </c>
      <c r="B2145" s="2" t="s">
        <v>10</v>
      </c>
      <c r="C2145" s="2" t="s">
        <v>10</v>
      </c>
      <c r="D2145" s="2" t="s">
        <v>10</v>
      </c>
      <c r="E2145" s="3">
        <f t="shared" si="32"/>
        <v>27</v>
      </c>
    </row>
    <row r="2146" spans="1:5" x14ac:dyDescent="0.2">
      <c r="A2146" s="1" t="s">
        <v>24</v>
      </c>
      <c r="E2146" s="3">
        <f t="shared" si="32"/>
        <v>27</v>
      </c>
    </row>
    <row r="2147" spans="1:5" x14ac:dyDescent="0.2">
      <c r="A2147" s="1" t="s">
        <v>1</v>
      </c>
      <c r="B2147" s="1" t="s">
        <v>2</v>
      </c>
      <c r="C2147" s="1" t="s">
        <v>3</v>
      </c>
      <c r="D2147" s="1" t="s">
        <v>4</v>
      </c>
      <c r="E2147" s="3">
        <f t="shared" ref="E2147:E2210" si="33">IF(A2147=$A$1,E2146+1,E2146)</f>
        <v>27</v>
      </c>
    </row>
    <row r="2148" spans="1:5" x14ac:dyDescent="0.2">
      <c r="A2148">
        <v>1</v>
      </c>
      <c r="B2148" t="s">
        <v>515</v>
      </c>
      <c r="C2148">
        <v>1</v>
      </c>
      <c r="D2148">
        <v>16</v>
      </c>
      <c r="E2148" s="3">
        <f t="shared" si="33"/>
        <v>27</v>
      </c>
    </row>
    <row r="2149" spans="1:5" x14ac:dyDescent="0.2">
      <c r="A2149">
        <v>2</v>
      </c>
      <c r="B2149" t="s">
        <v>526</v>
      </c>
      <c r="C2149">
        <v>3</v>
      </c>
      <c r="D2149">
        <v>12</v>
      </c>
      <c r="E2149" s="3">
        <f t="shared" si="33"/>
        <v>27</v>
      </c>
    </row>
    <row r="2150" spans="1:5" x14ac:dyDescent="0.2">
      <c r="A2150">
        <v>3</v>
      </c>
      <c r="B2150" t="s">
        <v>6</v>
      </c>
      <c r="C2150">
        <v>0</v>
      </c>
      <c r="D2150">
        <v>8</v>
      </c>
      <c r="E2150" s="3">
        <f t="shared" si="33"/>
        <v>27</v>
      </c>
    </row>
    <row r="2151" spans="1:5" x14ac:dyDescent="0.2">
      <c r="A2151">
        <v>4</v>
      </c>
      <c r="B2151" t="s">
        <v>25</v>
      </c>
      <c r="C2151">
        <v>1</v>
      </c>
      <c r="D2151">
        <v>4</v>
      </c>
      <c r="E2151" s="3">
        <f t="shared" si="33"/>
        <v>27</v>
      </c>
    </row>
    <row r="2152" spans="1:5" x14ac:dyDescent="0.2">
      <c r="A2152">
        <v>5</v>
      </c>
      <c r="B2152" t="s">
        <v>65</v>
      </c>
      <c r="C2152">
        <v>0</v>
      </c>
      <c r="D2152">
        <v>2</v>
      </c>
      <c r="E2152" s="3">
        <f t="shared" si="33"/>
        <v>27</v>
      </c>
    </row>
    <row r="2153" spans="1:5" x14ac:dyDescent="0.2">
      <c r="A2153">
        <v>6</v>
      </c>
      <c r="B2153" t="s">
        <v>454</v>
      </c>
      <c r="C2153">
        <v>0</v>
      </c>
      <c r="D2153">
        <v>1</v>
      </c>
      <c r="E2153" s="3">
        <f t="shared" si="33"/>
        <v>27</v>
      </c>
    </row>
    <row r="2154" spans="1:5" x14ac:dyDescent="0.2">
      <c r="A2154">
        <v>7</v>
      </c>
      <c r="B2154" s="2" t="s">
        <v>10</v>
      </c>
      <c r="C2154" s="2" t="s">
        <v>10</v>
      </c>
      <c r="D2154" s="2" t="s">
        <v>10</v>
      </c>
      <c r="E2154" s="3">
        <f t="shared" si="33"/>
        <v>27</v>
      </c>
    </row>
    <row r="2155" spans="1:5" x14ac:dyDescent="0.2">
      <c r="A2155">
        <v>8</v>
      </c>
      <c r="B2155" s="2" t="s">
        <v>10</v>
      </c>
      <c r="C2155" s="2" t="s">
        <v>10</v>
      </c>
      <c r="D2155" s="2" t="s">
        <v>10</v>
      </c>
      <c r="E2155" s="3">
        <f t="shared" si="33"/>
        <v>27</v>
      </c>
    </row>
    <row r="2156" spans="1:5" x14ac:dyDescent="0.2">
      <c r="A2156" s="1" t="s">
        <v>30</v>
      </c>
      <c r="E2156" s="3">
        <f t="shared" si="33"/>
        <v>27</v>
      </c>
    </row>
    <row r="2157" spans="1:5" x14ac:dyDescent="0.2">
      <c r="A2157" s="1" t="s">
        <v>1</v>
      </c>
      <c r="B2157" s="1" t="s">
        <v>2</v>
      </c>
      <c r="C2157" s="1" t="s">
        <v>3</v>
      </c>
      <c r="D2157" s="1" t="s">
        <v>4</v>
      </c>
      <c r="E2157" s="3">
        <f t="shared" si="33"/>
        <v>27</v>
      </c>
    </row>
    <row r="2158" spans="1:5" x14ac:dyDescent="0.2">
      <c r="A2158">
        <v>1</v>
      </c>
      <c r="B2158" t="s">
        <v>506</v>
      </c>
      <c r="C2158">
        <v>3</v>
      </c>
      <c r="D2158">
        <v>16</v>
      </c>
      <c r="E2158" s="3">
        <f t="shared" si="33"/>
        <v>27</v>
      </c>
    </row>
    <row r="2159" spans="1:5" x14ac:dyDescent="0.2">
      <c r="A2159">
        <v>2</v>
      </c>
      <c r="B2159" t="s">
        <v>552</v>
      </c>
      <c r="C2159">
        <v>1</v>
      </c>
      <c r="D2159">
        <v>12</v>
      </c>
      <c r="E2159" s="3">
        <f t="shared" si="33"/>
        <v>27</v>
      </c>
    </row>
    <row r="2160" spans="1:5" x14ac:dyDescent="0.2">
      <c r="A2160">
        <v>3</v>
      </c>
      <c r="B2160" t="s">
        <v>504</v>
      </c>
      <c r="C2160">
        <v>0</v>
      </c>
      <c r="D2160">
        <v>8</v>
      </c>
      <c r="E2160" s="3">
        <f t="shared" si="33"/>
        <v>27</v>
      </c>
    </row>
    <row r="2161" spans="1:5" x14ac:dyDescent="0.2">
      <c r="A2161">
        <v>4</v>
      </c>
      <c r="B2161" t="s">
        <v>507</v>
      </c>
      <c r="C2161">
        <v>1</v>
      </c>
      <c r="D2161">
        <v>4</v>
      </c>
      <c r="E2161" s="3">
        <f t="shared" si="33"/>
        <v>27</v>
      </c>
    </row>
    <row r="2162" spans="1:5" x14ac:dyDescent="0.2">
      <c r="A2162">
        <v>5</v>
      </c>
      <c r="B2162" t="s">
        <v>533</v>
      </c>
      <c r="C2162">
        <v>0</v>
      </c>
      <c r="D2162">
        <v>2</v>
      </c>
      <c r="E2162" s="3">
        <f t="shared" si="33"/>
        <v>27</v>
      </c>
    </row>
    <row r="2163" spans="1:5" x14ac:dyDescent="0.2">
      <c r="A2163">
        <v>6</v>
      </c>
      <c r="B2163" t="s">
        <v>76</v>
      </c>
      <c r="C2163">
        <v>0</v>
      </c>
      <c r="D2163">
        <v>1</v>
      </c>
      <c r="E2163" s="3">
        <f t="shared" si="33"/>
        <v>27</v>
      </c>
    </row>
    <row r="2164" spans="1:5" x14ac:dyDescent="0.2">
      <c r="A2164">
        <v>7</v>
      </c>
      <c r="B2164" s="2" t="s">
        <v>10</v>
      </c>
      <c r="C2164" s="2" t="s">
        <v>10</v>
      </c>
      <c r="D2164" s="2" t="s">
        <v>10</v>
      </c>
      <c r="E2164" s="3">
        <f t="shared" si="33"/>
        <v>27</v>
      </c>
    </row>
    <row r="2165" spans="1:5" x14ac:dyDescent="0.2">
      <c r="A2165">
        <v>8</v>
      </c>
      <c r="B2165" s="2" t="s">
        <v>10</v>
      </c>
      <c r="C2165" s="2" t="s">
        <v>10</v>
      </c>
      <c r="D2165" s="2" t="s">
        <v>10</v>
      </c>
      <c r="E2165" s="3">
        <f t="shared" si="33"/>
        <v>27</v>
      </c>
    </row>
    <row r="2166" spans="1:5" x14ac:dyDescent="0.2">
      <c r="A2166" s="1" t="s">
        <v>37</v>
      </c>
      <c r="E2166" s="3">
        <f t="shared" si="33"/>
        <v>27</v>
      </c>
    </row>
    <row r="2167" spans="1:5" x14ac:dyDescent="0.2">
      <c r="A2167" s="1" t="s">
        <v>1</v>
      </c>
      <c r="B2167" s="1" t="s">
        <v>2</v>
      </c>
      <c r="C2167" s="1" t="s">
        <v>3</v>
      </c>
      <c r="D2167" s="1" t="s">
        <v>4</v>
      </c>
      <c r="E2167" s="3">
        <f t="shared" si="33"/>
        <v>27</v>
      </c>
    </row>
    <row r="2168" spans="1:5" x14ac:dyDescent="0.2">
      <c r="A2168">
        <v>1</v>
      </c>
      <c r="B2168" t="s">
        <v>48</v>
      </c>
      <c r="C2168">
        <v>3</v>
      </c>
      <c r="D2168">
        <v>16</v>
      </c>
      <c r="E2168" s="3">
        <f t="shared" si="33"/>
        <v>27</v>
      </c>
    </row>
    <row r="2169" spans="1:5" x14ac:dyDescent="0.2">
      <c r="A2169">
        <v>2</v>
      </c>
      <c r="B2169" t="s">
        <v>35</v>
      </c>
      <c r="C2169">
        <v>1</v>
      </c>
      <c r="D2169">
        <v>12</v>
      </c>
      <c r="E2169" s="3">
        <f t="shared" si="33"/>
        <v>27</v>
      </c>
    </row>
    <row r="2170" spans="1:5" x14ac:dyDescent="0.2">
      <c r="A2170">
        <v>3</v>
      </c>
      <c r="B2170" t="s">
        <v>46</v>
      </c>
      <c r="C2170">
        <v>0</v>
      </c>
      <c r="D2170">
        <v>8</v>
      </c>
      <c r="E2170" s="3">
        <f t="shared" si="33"/>
        <v>27</v>
      </c>
    </row>
    <row r="2171" spans="1:5" x14ac:dyDescent="0.2">
      <c r="A2171">
        <v>4</v>
      </c>
      <c r="B2171" t="s">
        <v>32</v>
      </c>
      <c r="C2171">
        <v>0</v>
      </c>
      <c r="D2171">
        <v>4</v>
      </c>
      <c r="E2171" s="3">
        <f t="shared" si="33"/>
        <v>27</v>
      </c>
    </row>
    <row r="2172" spans="1:5" x14ac:dyDescent="0.2">
      <c r="A2172">
        <v>5</v>
      </c>
      <c r="B2172" t="s">
        <v>42</v>
      </c>
      <c r="C2172">
        <v>1</v>
      </c>
      <c r="D2172">
        <v>2</v>
      </c>
      <c r="E2172" s="3">
        <f t="shared" si="33"/>
        <v>27</v>
      </c>
    </row>
    <row r="2173" spans="1:5" x14ac:dyDescent="0.2">
      <c r="A2173">
        <v>6</v>
      </c>
      <c r="B2173" t="s">
        <v>516</v>
      </c>
      <c r="C2173">
        <v>0</v>
      </c>
      <c r="D2173">
        <v>1</v>
      </c>
      <c r="E2173" s="3">
        <f t="shared" si="33"/>
        <v>27</v>
      </c>
    </row>
    <row r="2174" spans="1:5" x14ac:dyDescent="0.2">
      <c r="A2174">
        <v>7</v>
      </c>
      <c r="B2174" s="2" t="s">
        <v>10</v>
      </c>
      <c r="C2174" s="2" t="s">
        <v>10</v>
      </c>
      <c r="D2174" s="2" t="s">
        <v>10</v>
      </c>
      <c r="E2174" s="3">
        <f t="shared" si="33"/>
        <v>27</v>
      </c>
    </row>
    <row r="2175" spans="1:5" x14ac:dyDescent="0.2">
      <c r="A2175">
        <v>8</v>
      </c>
      <c r="B2175" s="2" t="s">
        <v>10</v>
      </c>
      <c r="C2175" s="2" t="s">
        <v>10</v>
      </c>
      <c r="D2175" s="2" t="s">
        <v>10</v>
      </c>
      <c r="E2175" s="3">
        <f t="shared" si="33"/>
        <v>27</v>
      </c>
    </row>
    <row r="2176" spans="1:5" x14ac:dyDescent="0.2">
      <c r="A2176" s="1" t="s">
        <v>44</v>
      </c>
      <c r="E2176" s="3">
        <f t="shared" si="33"/>
        <v>27</v>
      </c>
    </row>
    <row r="2177" spans="1:5" x14ac:dyDescent="0.2">
      <c r="A2177" s="1" t="s">
        <v>1</v>
      </c>
      <c r="B2177" s="1" t="s">
        <v>2</v>
      </c>
      <c r="C2177" s="1" t="s">
        <v>3</v>
      </c>
      <c r="D2177" s="1" t="s">
        <v>4</v>
      </c>
      <c r="E2177" s="3">
        <f t="shared" si="33"/>
        <v>27</v>
      </c>
    </row>
    <row r="2178" spans="1:5" x14ac:dyDescent="0.2">
      <c r="A2178">
        <v>1</v>
      </c>
      <c r="B2178" t="s">
        <v>505</v>
      </c>
      <c r="C2178">
        <v>2</v>
      </c>
      <c r="D2178">
        <v>16</v>
      </c>
      <c r="E2178" s="3">
        <f t="shared" si="33"/>
        <v>27</v>
      </c>
    </row>
    <row r="2179" spans="1:5" x14ac:dyDescent="0.2">
      <c r="A2179">
        <v>2</v>
      </c>
      <c r="B2179" t="s">
        <v>461</v>
      </c>
      <c r="C2179">
        <v>1</v>
      </c>
      <c r="D2179">
        <v>12</v>
      </c>
      <c r="E2179" s="3">
        <f t="shared" si="33"/>
        <v>27</v>
      </c>
    </row>
    <row r="2180" spans="1:5" x14ac:dyDescent="0.2">
      <c r="A2180">
        <v>3</v>
      </c>
      <c r="B2180" t="s">
        <v>493</v>
      </c>
      <c r="C2180">
        <v>1</v>
      </c>
      <c r="D2180">
        <v>8</v>
      </c>
      <c r="E2180" s="3">
        <f t="shared" si="33"/>
        <v>27</v>
      </c>
    </row>
    <row r="2181" spans="1:5" x14ac:dyDescent="0.2">
      <c r="A2181">
        <v>4</v>
      </c>
      <c r="B2181" t="s">
        <v>21</v>
      </c>
      <c r="C2181">
        <v>0</v>
      </c>
      <c r="D2181">
        <v>4</v>
      </c>
      <c r="E2181" s="3">
        <f t="shared" si="33"/>
        <v>27</v>
      </c>
    </row>
    <row r="2182" spans="1:5" x14ac:dyDescent="0.2">
      <c r="A2182">
        <v>5</v>
      </c>
      <c r="B2182" t="s">
        <v>75</v>
      </c>
      <c r="C2182">
        <v>1</v>
      </c>
      <c r="D2182">
        <v>2</v>
      </c>
      <c r="E2182" s="3">
        <f t="shared" si="33"/>
        <v>27</v>
      </c>
    </row>
    <row r="2183" spans="1:5" x14ac:dyDescent="0.2">
      <c r="A2183">
        <v>6</v>
      </c>
      <c r="B2183" t="s">
        <v>280</v>
      </c>
      <c r="C2183">
        <v>0</v>
      </c>
      <c r="D2183">
        <v>1</v>
      </c>
      <c r="E2183" s="3">
        <f t="shared" si="33"/>
        <v>27</v>
      </c>
    </row>
    <row r="2184" spans="1:5" x14ac:dyDescent="0.2">
      <c r="A2184">
        <v>7</v>
      </c>
      <c r="B2184" s="2" t="s">
        <v>10</v>
      </c>
      <c r="C2184" s="2" t="s">
        <v>10</v>
      </c>
      <c r="D2184" s="2" t="s">
        <v>10</v>
      </c>
      <c r="E2184" s="3">
        <f t="shared" si="33"/>
        <v>27</v>
      </c>
    </row>
    <row r="2185" spans="1:5" x14ac:dyDescent="0.2">
      <c r="A2185">
        <v>8</v>
      </c>
      <c r="B2185" s="2" t="s">
        <v>10</v>
      </c>
      <c r="C2185" s="2" t="s">
        <v>10</v>
      </c>
      <c r="D2185" s="2" t="s">
        <v>10</v>
      </c>
      <c r="E2185" s="3">
        <f t="shared" si="33"/>
        <v>27</v>
      </c>
    </row>
    <row r="2186" spans="1:5" x14ac:dyDescent="0.2">
      <c r="A2186" s="1" t="s">
        <v>51</v>
      </c>
      <c r="E2186" s="3">
        <f t="shared" si="33"/>
        <v>27</v>
      </c>
    </row>
    <row r="2187" spans="1:5" x14ac:dyDescent="0.2">
      <c r="A2187" s="1" t="s">
        <v>1</v>
      </c>
      <c r="B2187" s="1" t="s">
        <v>2</v>
      </c>
      <c r="C2187" s="1" t="s">
        <v>3</v>
      </c>
      <c r="D2187" s="1" t="s">
        <v>4</v>
      </c>
      <c r="E2187" s="3">
        <f t="shared" si="33"/>
        <v>27</v>
      </c>
    </row>
    <row r="2188" spans="1:5" x14ac:dyDescent="0.2">
      <c r="A2188">
        <v>1</v>
      </c>
      <c r="B2188" t="s">
        <v>55</v>
      </c>
      <c r="C2188">
        <v>2</v>
      </c>
      <c r="D2188">
        <v>16</v>
      </c>
      <c r="E2188" s="3">
        <f t="shared" si="33"/>
        <v>27</v>
      </c>
    </row>
    <row r="2189" spans="1:5" x14ac:dyDescent="0.2">
      <c r="A2189">
        <v>2</v>
      </c>
      <c r="B2189" t="s">
        <v>14</v>
      </c>
      <c r="C2189">
        <v>2</v>
      </c>
      <c r="D2189">
        <v>12</v>
      </c>
      <c r="E2189" s="3">
        <f t="shared" si="33"/>
        <v>27</v>
      </c>
    </row>
    <row r="2190" spans="1:5" x14ac:dyDescent="0.2">
      <c r="A2190">
        <v>3</v>
      </c>
      <c r="B2190" t="s">
        <v>19</v>
      </c>
      <c r="C2190">
        <v>0</v>
      </c>
      <c r="D2190">
        <v>8</v>
      </c>
      <c r="E2190" s="3">
        <f t="shared" si="33"/>
        <v>27</v>
      </c>
    </row>
    <row r="2191" spans="1:5" x14ac:dyDescent="0.2">
      <c r="A2191">
        <v>4</v>
      </c>
      <c r="B2191" t="s">
        <v>501</v>
      </c>
      <c r="C2191">
        <v>1</v>
      </c>
      <c r="D2191">
        <v>4</v>
      </c>
      <c r="E2191" s="3">
        <f t="shared" si="33"/>
        <v>27</v>
      </c>
    </row>
    <row r="2192" spans="1:5" x14ac:dyDescent="0.2">
      <c r="A2192">
        <v>5</v>
      </c>
      <c r="B2192" t="s">
        <v>40</v>
      </c>
      <c r="C2192">
        <v>0</v>
      </c>
      <c r="D2192">
        <v>2</v>
      </c>
      <c r="E2192" s="3">
        <f t="shared" si="33"/>
        <v>27</v>
      </c>
    </row>
    <row r="2193" spans="1:5" x14ac:dyDescent="0.2">
      <c r="A2193">
        <v>6</v>
      </c>
      <c r="B2193" t="s">
        <v>518</v>
      </c>
      <c r="C2193">
        <v>0</v>
      </c>
      <c r="D2193">
        <v>1</v>
      </c>
      <c r="E2193" s="3">
        <f t="shared" si="33"/>
        <v>27</v>
      </c>
    </row>
    <row r="2194" spans="1:5" x14ac:dyDescent="0.2">
      <c r="A2194">
        <v>7</v>
      </c>
      <c r="B2194" s="2" t="s">
        <v>10</v>
      </c>
      <c r="C2194" s="2" t="s">
        <v>10</v>
      </c>
      <c r="D2194" s="2" t="s">
        <v>10</v>
      </c>
      <c r="E2194" s="3">
        <f t="shared" si="33"/>
        <v>27</v>
      </c>
    </row>
    <row r="2195" spans="1:5" x14ac:dyDescent="0.2">
      <c r="A2195">
        <v>8</v>
      </c>
      <c r="B2195" s="2" t="s">
        <v>10</v>
      </c>
      <c r="C2195" s="2" t="s">
        <v>10</v>
      </c>
      <c r="D2195" s="2" t="s">
        <v>10</v>
      </c>
      <c r="E2195" s="3">
        <f t="shared" si="33"/>
        <v>27</v>
      </c>
    </row>
    <row r="2196" spans="1:5" x14ac:dyDescent="0.2">
      <c r="A2196" s="1" t="s">
        <v>537</v>
      </c>
      <c r="E2196" s="3">
        <f t="shared" si="33"/>
        <v>28</v>
      </c>
    </row>
    <row r="2197" spans="1:5" x14ac:dyDescent="0.2">
      <c r="A2197" s="1" t="s">
        <v>1</v>
      </c>
      <c r="B2197" s="1" t="s">
        <v>2</v>
      </c>
      <c r="C2197" s="1" t="s">
        <v>3</v>
      </c>
      <c r="D2197" s="1" t="s">
        <v>4</v>
      </c>
      <c r="E2197" s="3">
        <f t="shared" si="33"/>
        <v>28</v>
      </c>
    </row>
    <row r="2198" spans="1:5" x14ac:dyDescent="0.2">
      <c r="A2198">
        <v>1</v>
      </c>
      <c r="B2198" t="s">
        <v>516</v>
      </c>
      <c r="C2198">
        <v>5</v>
      </c>
      <c r="D2198">
        <v>16</v>
      </c>
      <c r="E2198" s="3">
        <f t="shared" si="33"/>
        <v>28</v>
      </c>
    </row>
    <row r="2199" spans="1:5" x14ac:dyDescent="0.2">
      <c r="A2199">
        <v>2</v>
      </c>
      <c r="B2199" t="s">
        <v>552</v>
      </c>
      <c r="C2199">
        <v>0</v>
      </c>
      <c r="D2199">
        <v>12</v>
      </c>
      <c r="E2199" s="3">
        <f t="shared" si="33"/>
        <v>28</v>
      </c>
    </row>
    <row r="2200" spans="1:5" x14ac:dyDescent="0.2">
      <c r="A2200">
        <v>3</v>
      </c>
      <c r="B2200" t="s">
        <v>559</v>
      </c>
      <c r="C2200">
        <v>0</v>
      </c>
      <c r="D2200">
        <v>8</v>
      </c>
      <c r="E2200" s="3">
        <f t="shared" si="33"/>
        <v>28</v>
      </c>
    </row>
    <row r="2201" spans="1:5" x14ac:dyDescent="0.2">
      <c r="A2201">
        <v>4</v>
      </c>
      <c r="B2201" t="s">
        <v>46</v>
      </c>
      <c r="C2201">
        <v>0</v>
      </c>
      <c r="D2201">
        <v>4</v>
      </c>
      <c r="E2201" s="3">
        <f t="shared" si="33"/>
        <v>28</v>
      </c>
    </row>
    <row r="2202" spans="1:5" x14ac:dyDescent="0.2">
      <c r="A2202">
        <v>5</v>
      </c>
      <c r="B2202" t="s">
        <v>40</v>
      </c>
      <c r="C2202">
        <v>0</v>
      </c>
      <c r="D2202">
        <v>2</v>
      </c>
      <c r="E2202" s="3">
        <f t="shared" si="33"/>
        <v>28</v>
      </c>
    </row>
    <row r="2203" spans="1:5" x14ac:dyDescent="0.2">
      <c r="A2203">
        <v>6</v>
      </c>
      <c r="B2203" t="s">
        <v>87</v>
      </c>
      <c r="C2203">
        <v>0</v>
      </c>
      <c r="D2203">
        <v>1</v>
      </c>
      <c r="E2203" s="3">
        <f t="shared" si="33"/>
        <v>28</v>
      </c>
    </row>
    <row r="2204" spans="1:5" x14ac:dyDescent="0.2">
      <c r="A2204">
        <v>7</v>
      </c>
      <c r="B2204" s="2" t="s">
        <v>10</v>
      </c>
      <c r="C2204" s="2" t="s">
        <v>10</v>
      </c>
      <c r="D2204" s="2" t="s">
        <v>10</v>
      </c>
      <c r="E2204" s="3">
        <f t="shared" si="33"/>
        <v>28</v>
      </c>
    </row>
    <row r="2205" spans="1:5" x14ac:dyDescent="0.2">
      <c r="A2205">
        <v>8</v>
      </c>
      <c r="B2205" s="2" t="s">
        <v>10</v>
      </c>
      <c r="C2205" s="2" t="s">
        <v>10</v>
      </c>
      <c r="D2205" s="2" t="s">
        <v>10</v>
      </c>
      <c r="E2205" s="3">
        <f t="shared" si="33"/>
        <v>28</v>
      </c>
    </row>
    <row r="2206" spans="1:5" x14ac:dyDescent="0.2">
      <c r="A2206" s="1" t="s">
        <v>538</v>
      </c>
      <c r="E2206" s="3">
        <f t="shared" si="33"/>
        <v>28</v>
      </c>
    </row>
    <row r="2207" spans="1:5" x14ac:dyDescent="0.2">
      <c r="A2207" s="1" t="s">
        <v>1</v>
      </c>
      <c r="B2207" s="1" t="s">
        <v>2</v>
      </c>
      <c r="C2207" s="1" t="s">
        <v>3</v>
      </c>
      <c r="D2207" s="1" t="s">
        <v>4</v>
      </c>
      <c r="E2207" s="3">
        <f t="shared" si="33"/>
        <v>28</v>
      </c>
    </row>
    <row r="2208" spans="1:5" x14ac:dyDescent="0.2">
      <c r="A2208">
        <v>0</v>
      </c>
      <c r="C2208">
        <v>0</v>
      </c>
      <c r="D2208">
        <v>0</v>
      </c>
      <c r="E2208" s="3">
        <f t="shared" si="33"/>
        <v>28</v>
      </c>
    </row>
    <row r="2209" spans="1:5" x14ac:dyDescent="0.2">
      <c r="A2209">
        <v>0</v>
      </c>
      <c r="C2209">
        <v>0</v>
      </c>
      <c r="D2209">
        <v>0</v>
      </c>
      <c r="E2209" s="3">
        <f t="shared" si="33"/>
        <v>28</v>
      </c>
    </row>
    <row r="2210" spans="1:5" x14ac:dyDescent="0.2">
      <c r="A2210">
        <v>1</v>
      </c>
      <c r="B2210" t="s">
        <v>557</v>
      </c>
      <c r="C2210">
        <v>2</v>
      </c>
      <c r="D2210">
        <v>16</v>
      </c>
      <c r="E2210" s="3">
        <f t="shared" si="33"/>
        <v>28</v>
      </c>
    </row>
    <row r="2211" spans="1:5" x14ac:dyDescent="0.2">
      <c r="A2211">
        <v>2</v>
      </c>
      <c r="B2211" t="s">
        <v>534</v>
      </c>
      <c r="C2211">
        <v>2</v>
      </c>
      <c r="D2211">
        <v>12</v>
      </c>
      <c r="E2211" s="3">
        <f t="shared" ref="E2211:E2274" si="34">IF(A2211=$A$1,E2210+1,E2210)</f>
        <v>28</v>
      </c>
    </row>
    <row r="2212" spans="1:5" x14ac:dyDescent="0.2">
      <c r="A2212">
        <v>3</v>
      </c>
      <c r="B2212" t="s">
        <v>532</v>
      </c>
      <c r="C2212">
        <v>0</v>
      </c>
      <c r="D2212">
        <v>8</v>
      </c>
      <c r="E2212" s="3">
        <f t="shared" si="34"/>
        <v>28</v>
      </c>
    </row>
    <row r="2213" spans="1:5" x14ac:dyDescent="0.2">
      <c r="A2213">
        <v>4</v>
      </c>
      <c r="B2213" t="s">
        <v>558</v>
      </c>
      <c r="C2213">
        <v>1</v>
      </c>
      <c r="D2213">
        <v>4</v>
      </c>
      <c r="E2213" s="3">
        <f t="shared" si="34"/>
        <v>28</v>
      </c>
    </row>
    <row r="2214" spans="1:5" x14ac:dyDescent="0.2">
      <c r="A2214">
        <v>5</v>
      </c>
      <c r="B2214" t="s">
        <v>55</v>
      </c>
      <c r="C2214">
        <v>0</v>
      </c>
      <c r="D2214">
        <v>2</v>
      </c>
      <c r="E2214" s="3">
        <f t="shared" si="34"/>
        <v>28</v>
      </c>
    </row>
    <row r="2215" spans="1:5" x14ac:dyDescent="0.2">
      <c r="A2215">
        <v>6</v>
      </c>
      <c r="B2215" t="s">
        <v>65</v>
      </c>
      <c r="C2215">
        <v>0</v>
      </c>
      <c r="D2215">
        <v>1</v>
      </c>
      <c r="E2215" s="3">
        <f t="shared" si="34"/>
        <v>28</v>
      </c>
    </row>
    <row r="2216" spans="1:5" x14ac:dyDescent="0.2">
      <c r="A2216">
        <v>9</v>
      </c>
      <c r="B2216" s="2" t="s">
        <v>10</v>
      </c>
      <c r="C2216" s="2" t="s">
        <v>10</v>
      </c>
      <c r="D2216" s="2" t="s">
        <v>10</v>
      </c>
      <c r="E2216" s="3">
        <f t="shared" si="34"/>
        <v>28</v>
      </c>
    </row>
    <row r="2217" spans="1:5" x14ac:dyDescent="0.2">
      <c r="A2217">
        <v>10</v>
      </c>
      <c r="B2217" s="2" t="s">
        <v>10</v>
      </c>
      <c r="C2217" s="2" t="s">
        <v>10</v>
      </c>
      <c r="D2217" s="2" t="s">
        <v>10</v>
      </c>
      <c r="E2217" s="3">
        <f t="shared" si="34"/>
        <v>28</v>
      </c>
    </row>
    <row r="2218" spans="1:5" x14ac:dyDescent="0.2">
      <c r="A2218" s="1" t="s">
        <v>539</v>
      </c>
      <c r="E2218" s="3">
        <f t="shared" si="34"/>
        <v>28</v>
      </c>
    </row>
    <row r="2219" spans="1:5" x14ac:dyDescent="0.2">
      <c r="A2219" s="1" t="s">
        <v>1</v>
      </c>
      <c r="B2219" s="1" t="s">
        <v>2</v>
      </c>
      <c r="C2219" s="1" t="s">
        <v>3</v>
      </c>
      <c r="D2219" s="1" t="s">
        <v>4</v>
      </c>
      <c r="E2219" s="3">
        <f t="shared" si="34"/>
        <v>28</v>
      </c>
    </row>
    <row r="2220" spans="1:5" x14ac:dyDescent="0.2">
      <c r="A2220">
        <v>1</v>
      </c>
      <c r="B2220" t="s">
        <v>485</v>
      </c>
      <c r="C2220">
        <v>2</v>
      </c>
      <c r="D2220">
        <v>16</v>
      </c>
      <c r="E2220" s="3">
        <f t="shared" si="34"/>
        <v>28</v>
      </c>
    </row>
    <row r="2221" spans="1:5" x14ac:dyDescent="0.2">
      <c r="A2221">
        <v>2</v>
      </c>
      <c r="B2221" t="s">
        <v>14</v>
      </c>
      <c r="C2221">
        <v>3</v>
      </c>
      <c r="D2221">
        <v>12</v>
      </c>
      <c r="E2221" s="3">
        <f t="shared" si="34"/>
        <v>28</v>
      </c>
    </row>
    <row r="2222" spans="1:5" x14ac:dyDescent="0.2">
      <c r="A2222">
        <v>3</v>
      </c>
      <c r="B2222" t="s">
        <v>9</v>
      </c>
      <c r="C2222">
        <v>0</v>
      </c>
      <c r="D2222">
        <v>8</v>
      </c>
      <c r="E2222" s="3">
        <f t="shared" si="34"/>
        <v>28</v>
      </c>
    </row>
    <row r="2223" spans="1:5" x14ac:dyDescent="0.2">
      <c r="A2223">
        <v>4</v>
      </c>
      <c r="B2223" t="s">
        <v>479</v>
      </c>
      <c r="C2223">
        <v>0</v>
      </c>
      <c r="D2223">
        <v>4</v>
      </c>
      <c r="E2223" s="3">
        <f t="shared" si="34"/>
        <v>28</v>
      </c>
    </row>
    <row r="2224" spans="1:5" x14ac:dyDescent="0.2">
      <c r="A2224">
        <v>5</v>
      </c>
      <c r="B2224" t="s">
        <v>345</v>
      </c>
      <c r="C2224">
        <v>0</v>
      </c>
      <c r="D2224">
        <v>2</v>
      </c>
      <c r="E2224" s="3">
        <f t="shared" si="34"/>
        <v>28</v>
      </c>
    </row>
    <row r="2225" spans="1:5" x14ac:dyDescent="0.2">
      <c r="A2225">
        <v>6</v>
      </c>
      <c r="B2225" t="s">
        <v>76</v>
      </c>
      <c r="C2225">
        <v>0</v>
      </c>
      <c r="D2225">
        <v>1</v>
      </c>
      <c r="E2225" s="3">
        <f t="shared" si="34"/>
        <v>28</v>
      </c>
    </row>
    <row r="2226" spans="1:5" x14ac:dyDescent="0.2">
      <c r="A2226">
        <v>7</v>
      </c>
      <c r="B2226" s="2" t="s">
        <v>10</v>
      </c>
      <c r="C2226" s="2" t="s">
        <v>10</v>
      </c>
      <c r="D2226" s="2" t="s">
        <v>10</v>
      </c>
      <c r="E2226" s="3">
        <f t="shared" si="34"/>
        <v>28</v>
      </c>
    </row>
    <row r="2227" spans="1:5" x14ac:dyDescent="0.2">
      <c r="A2227">
        <v>8</v>
      </c>
      <c r="B2227" s="2" t="s">
        <v>10</v>
      </c>
      <c r="C2227" s="2" t="s">
        <v>10</v>
      </c>
      <c r="D2227" s="2" t="s">
        <v>10</v>
      </c>
      <c r="E2227" s="3">
        <f t="shared" si="34"/>
        <v>28</v>
      </c>
    </row>
    <row r="2228" spans="1:5" x14ac:dyDescent="0.2">
      <c r="A2228" s="1" t="s">
        <v>540</v>
      </c>
      <c r="E2228" s="3">
        <f t="shared" si="34"/>
        <v>28</v>
      </c>
    </row>
    <row r="2229" spans="1:5" x14ac:dyDescent="0.2">
      <c r="A2229" s="1" t="s">
        <v>1</v>
      </c>
      <c r="B2229" s="1" t="s">
        <v>2</v>
      </c>
      <c r="C2229" s="1" t="s">
        <v>3</v>
      </c>
      <c r="D2229" s="1" t="s">
        <v>4</v>
      </c>
      <c r="E2229" s="3">
        <f t="shared" si="34"/>
        <v>28</v>
      </c>
    </row>
    <row r="2230" spans="1:5" x14ac:dyDescent="0.2">
      <c r="A2230">
        <v>1</v>
      </c>
      <c r="B2230" t="s">
        <v>19</v>
      </c>
      <c r="C2230">
        <v>2</v>
      </c>
      <c r="D2230">
        <v>17</v>
      </c>
      <c r="E2230" s="3">
        <f t="shared" si="34"/>
        <v>28</v>
      </c>
    </row>
    <row r="2231" spans="1:5" x14ac:dyDescent="0.2">
      <c r="A2231">
        <v>2</v>
      </c>
      <c r="B2231" t="s">
        <v>66</v>
      </c>
      <c r="C2231">
        <v>2</v>
      </c>
      <c r="D2231">
        <v>13</v>
      </c>
      <c r="E2231" s="3">
        <f t="shared" si="34"/>
        <v>28</v>
      </c>
    </row>
    <row r="2232" spans="1:5" x14ac:dyDescent="0.2">
      <c r="A2232">
        <v>3</v>
      </c>
      <c r="B2232" t="s">
        <v>510</v>
      </c>
      <c r="C2232">
        <v>0</v>
      </c>
      <c r="D2232">
        <v>9</v>
      </c>
      <c r="E2232" s="3">
        <f t="shared" si="34"/>
        <v>28</v>
      </c>
    </row>
    <row r="2233" spans="1:5" x14ac:dyDescent="0.2">
      <c r="A2233">
        <v>4</v>
      </c>
      <c r="B2233" t="s">
        <v>74</v>
      </c>
      <c r="C2233">
        <v>0</v>
      </c>
      <c r="D2233">
        <v>5</v>
      </c>
      <c r="E2233" s="3">
        <f t="shared" si="34"/>
        <v>28</v>
      </c>
    </row>
    <row r="2234" spans="1:5" x14ac:dyDescent="0.2">
      <c r="A2234">
        <v>5</v>
      </c>
      <c r="B2234" t="s">
        <v>535</v>
      </c>
      <c r="C2234">
        <v>2</v>
      </c>
      <c r="D2234">
        <v>3</v>
      </c>
      <c r="E2234" s="3">
        <f t="shared" si="34"/>
        <v>28</v>
      </c>
    </row>
    <row r="2235" spans="1:5" x14ac:dyDescent="0.2">
      <c r="A2235">
        <v>6</v>
      </c>
      <c r="B2235" t="s">
        <v>490</v>
      </c>
      <c r="C2235">
        <v>0</v>
      </c>
      <c r="D2235">
        <v>2</v>
      </c>
      <c r="E2235" s="3">
        <f t="shared" si="34"/>
        <v>28</v>
      </c>
    </row>
    <row r="2236" spans="1:5" x14ac:dyDescent="0.2">
      <c r="A2236">
        <v>7</v>
      </c>
      <c r="B2236" t="s">
        <v>25</v>
      </c>
      <c r="C2236">
        <v>0</v>
      </c>
      <c r="D2236">
        <v>1</v>
      </c>
      <c r="E2236" s="3">
        <f t="shared" si="34"/>
        <v>28</v>
      </c>
    </row>
    <row r="2237" spans="1:5" x14ac:dyDescent="0.2">
      <c r="A2237">
        <v>8</v>
      </c>
      <c r="B2237" s="2" t="s">
        <v>10</v>
      </c>
      <c r="C2237" s="2" t="s">
        <v>10</v>
      </c>
      <c r="D2237" s="2" t="s">
        <v>10</v>
      </c>
      <c r="E2237" s="3">
        <f t="shared" si="34"/>
        <v>28</v>
      </c>
    </row>
    <row r="2238" spans="1:5" x14ac:dyDescent="0.2">
      <c r="A2238" s="1" t="s">
        <v>541</v>
      </c>
      <c r="E2238" s="3">
        <f t="shared" si="34"/>
        <v>28</v>
      </c>
    </row>
    <row r="2239" spans="1:5" x14ac:dyDescent="0.2">
      <c r="A2239" s="1" t="s">
        <v>1</v>
      </c>
      <c r="B2239" s="1" t="s">
        <v>2</v>
      </c>
      <c r="C2239" s="1" t="s">
        <v>3</v>
      </c>
      <c r="D2239" s="1" t="s">
        <v>4</v>
      </c>
      <c r="E2239" s="3">
        <f t="shared" si="34"/>
        <v>28</v>
      </c>
    </row>
    <row r="2240" spans="1:5" x14ac:dyDescent="0.2">
      <c r="A2240">
        <v>1</v>
      </c>
      <c r="B2240" t="s">
        <v>461</v>
      </c>
      <c r="C2240">
        <v>2</v>
      </c>
      <c r="D2240">
        <v>16</v>
      </c>
      <c r="E2240" s="3">
        <f t="shared" si="34"/>
        <v>28</v>
      </c>
    </row>
    <row r="2241" spans="1:5" x14ac:dyDescent="0.2">
      <c r="A2241">
        <v>2</v>
      </c>
      <c r="B2241" t="s">
        <v>509</v>
      </c>
      <c r="C2241">
        <v>2</v>
      </c>
      <c r="D2241">
        <v>12</v>
      </c>
      <c r="E2241" s="3">
        <f t="shared" si="34"/>
        <v>28</v>
      </c>
    </row>
    <row r="2242" spans="1:5" x14ac:dyDescent="0.2">
      <c r="A2242">
        <v>3</v>
      </c>
      <c r="B2242" t="s">
        <v>502</v>
      </c>
      <c r="C2242">
        <v>1</v>
      </c>
      <c r="D2242">
        <v>8</v>
      </c>
      <c r="E2242" s="3">
        <f t="shared" si="34"/>
        <v>28</v>
      </c>
    </row>
    <row r="2243" spans="1:5" x14ac:dyDescent="0.2">
      <c r="A2243">
        <v>4</v>
      </c>
      <c r="B2243" t="s">
        <v>475</v>
      </c>
      <c r="C2243">
        <v>0</v>
      </c>
      <c r="D2243">
        <v>4</v>
      </c>
      <c r="E2243" s="3">
        <f t="shared" si="34"/>
        <v>28</v>
      </c>
    </row>
    <row r="2244" spans="1:5" x14ac:dyDescent="0.2">
      <c r="A2244">
        <v>5</v>
      </c>
      <c r="B2244" t="s">
        <v>69</v>
      </c>
      <c r="C2244">
        <v>0</v>
      </c>
      <c r="D2244">
        <v>2</v>
      </c>
      <c r="E2244" s="3">
        <f t="shared" si="34"/>
        <v>28</v>
      </c>
    </row>
    <row r="2245" spans="1:5" x14ac:dyDescent="0.2">
      <c r="A2245">
        <v>6</v>
      </c>
      <c r="B2245" t="s">
        <v>21</v>
      </c>
      <c r="C2245">
        <v>0</v>
      </c>
      <c r="D2245">
        <v>1</v>
      </c>
      <c r="E2245" s="3">
        <f t="shared" si="34"/>
        <v>28</v>
      </c>
    </row>
    <row r="2246" spans="1:5" x14ac:dyDescent="0.2">
      <c r="A2246">
        <v>7</v>
      </c>
      <c r="B2246" s="2" t="s">
        <v>10</v>
      </c>
      <c r="C2246" s="2" t="s">
        <v>10</v>
      </c>
      <c r="D2246" s="2" t="s">
        <v>10</v>
      </c>
      <c r="E2246" s="3">
        <f t="shared" si="34"/>
        <v>28</v>
      </c>
    </row>
    <row r="2247" spans="1:5" x14ac:dyDescent="0.2">
      <c r="A2247">
        <v>8</v>
      </c>
      <c r="B2247" s="2" t="s">
        <v>10</v>
      </c>
      <c r="C2247" s="2" t="s">
        <v>10</v>
      </c>
      <c r="D2247" s="2" t="s">
        <v>10</v>
      </c>
      <c r="E2247" s="3">
        <f t="shared" si="34"/>
        <v>28</v>
      </c>
    </row>
    <row r="2248" spans="1:5" x14ac:dyDescent="0.2">
      <c r="A2248" s="1" t="s">
        <v>542</v>
      </c>
      <c r="E2248" s="3">
        <f t="shared" si="34"/>
        <v>28</v>
      </c>
    </row>
    <row r="2249" spans="1:5" x14ac:dyDescent="0.2">
      <c r="A2249" s="1" t="s">
        <v>1</v>
      </c>
      <c r="B2249" s="1" t="s">
        <v>2</v>
      </c>
      <c r="C2249" s="1" t="s">
        <v>3</v>
      </c>
      <c r="D2249" s="1" t="s">
        <v>4</v>
      </c>
      <c r="E2249" s="3">
        <f t="shared" si="34"/>
        <v>28</v>
      </c>
    </row>
    <row r="2250" spans="1:5" x14ac:dyDescent="0.2">
      <c r="A2250">
        <v>1</v>
      </c>
      <c r="B2250" t="s">
        <v>59</v>
      </c>
      <c r="C2250">
        <v>2</v>
      </c>
      <c r="D2250">
        <v>16</v>
      </c>
      <c r="E2250" s="3">
        <f t="shared" si="34"/>
        <v>28</v>
      </c>
    </row>
    <row r="2251" spans="1:5" x14ac:dyDescent="0.2">
      <c r="A2251">
        <v>2</v>
      </c>
      <c r="B2251" t="s">
        <v>560</v>
      </c>
      <c r="C2251">
        <v>2</v>
      </c>
      <c r="D2251">
        <v>12</v>
      </c>
      <c r="E2251" s="3">
        <f t="shared" si="34"/>
        <v>28</v>
      </c>
    </row>
    <row r="2252" spans="1:5" x14ac:dyDescent="0.2">
      <c r="A2252">
        <v>3</v>
      </c>
      <c r="B2252" t="s">
        <v>280</v>
      </c>
      <c r="C2252">
        <v>0</v>
      </c>
      <c r="D2252">
        <v>8</v>
      </c>
      <c r="E2252" s="3">
        <f t="shared" si="34"/>
        <v>28</v>
      </c>
    </row>
    <row r="2253" spans="1:5" x14ac:dyDescent="0.2">
      <c r="A2253">
        <v>4</v>
      </c>
      <c r="B2253" t="s">
        <v>452</v>
      </c>
      <c r="C2253">
        <v>0</v>
      </c>
      <c r="D2253">
        <v>4</v>
      </c>
      <c r="E2253" s="3">
        <f t="shared" si="34"/>
        <v>28</v>
      </c>
    </row>
    <row r="2254" spans="1:5" x14ac:dyDescent="0.2">
      <c r="A2254">
        <v>5</v>
      </c>
      <c r="B2254" t="s">
        <v>32</v>
      </c>
      <c r="C2254">
        <v>1</v>
      </c>
      <c r="D2254">
        <v>2</v>
      </c>
      <c r="E2254" s="3">
        <f t="shared" si="34"/>
        <v>28</v>
      </c>
    </row>
    <row r="2255" spans="1:5" x14ac:dyDescent="0.2">
      <c r="A2255">
        <v>6</v>
      </c>
      <c r="B2255" t="s">
        <v>506</v>
      </c>
      <c r="C2255">
        <v>0</v>
      </c>
      <c r="D2255">
        <v>1</v>
      </c>
      <c r="E2255" s="3">
        <f t="shared" si="34"/>
        <v>28</v>
      </c>
    </row>
    <row r="2256" spans="1:5" x14ac:dyDescent="0.2">
      <c r="A2256">
        <v>7</v>
      </c>
      <c r="B2256" s="2" t="s">
        <v>10</v>
      </c>
      <c r="C2256" s="2" t="s">
        <v>10</v>
      </c>
      <c r="D2256" s="2" t="s">
        <v>10</v>
      </c>
      <c r="E2256" s="3">
        <f t="shared" si="34"/>
        <v>28</v>
      </c>
    </row>
    <row r="2257" spans="1:5" x14ac:dyDescent="0.2">
      <c r="A2257">
        <v>8</v>
      </c>
      <c r="B2257" s="2" t="s">
        <v>10</v>
      </c>
      <c r="C2257" s="2" t="s">
        <v>10</v>
      </c>
      <c r="D2257" s="2" t="s">
        <v>10</v>
      </c>
      <c r="E2257" s="3">
        <f t="shared" si="34"/>
        <v>28</v>
      </c>
    </row>
    <row r="2258" spans="1:5" x14ac:dyDescent="0.2">
      <c r="A2258" s="1" t="s">
        <v>543</v>
      </c>
      <c r="E2258" s="3">
        <f t="shared" si="34"/>
        <v>28</v>
      </c>
    </row>
    <row r="2259" spans="1:5" x14ac:dyDescent="0.2">
      <c r="A2259" s="1" t="s">
        <v>1</v>
      </c>
      <c r="B2259" s="1" t="s">
        <v>2</v>
      </c>
      <c r="C2259" s="1" t="s">
        <v>3</v>
      </c>
      <c r="D2259" s="1" t="s">
        <v>4</v>
      </c>
      <c r="E2259" s="3">
        <f t="shared" si="34"/>
        <v>28</v>
      </c>
    </row>
    <row r="2260" spans="1:5" x14ac:dyDescent="0.2">
      <c r="A2260">
        <v>1</v>
      </c>
      <c r="B2260" t="s">
        <v>88</v>
      </c>
      <c r="C2260">
        <v>3</v>
      </c>
      <c r="D2260">
        <v>16</v>
      </c>
      <c r="E2260" s="3">
        <f t="shared" si="34"/>
        <v>28</v>
      </c>
    </row>
    <row r="2261" spans="1:5" x14ac:dyDescent="0.2">
      <c r="A2261">
        <v>2</v>
      </c>
      <c r="B2261" t="s">
        <v>6</v>
      </c>
      <c r="C2261">
        <v>0</v>
      </c>
      <c r="D2261">
        <v>12</v>
      </c>
      <c r="E2261" s="3">
        <f t="shared" si="34"/>
        <v>28</v>
      </c>
    </row>
    <row r="2262" spans="1:5" x14ac:dyDescent="0.2">
      <c r="A2262">
        <v>3</v>
      </c>
      <c r="B2262" t="s">
        <v>500</v>
      </c>
      <c r="C2262">
        <v>1</v>
      </c>
      <c r="D2262">
        <v>8</v>
      </c>
      <c r="E2262" s="3">
        <f t="shared" si="34"/>
        <v>28</v>
      </c>
    </row>
    <row r="2263" spans="1:5" x14ac:dyDescent="0.2">
      <c r="A2263">
        <v>4</v>
      </c>
      <c r="B2263" t="s">
        <v>73</v>
      </c>
      <c r="C2263">
        <v>1</v>
      </c>
      <c r="D2263">
        <v>4</v>
      </c>
      <c r="E2263" s="3">
        <f t="shared" si="34"/>
        <v>28</v>
      </c>
    </row>
    <row r="2264" spans="1:5" x14ac:dyDescent="0.2">
      <c r="A2264">
        <v>5</v>
      </c>
      <c r="B2264" t="s">
        <v>35</v>
      </c>
      <c r="C2264">
        <v>0</v>
      </c>
      <c r="D2264">
        <v>2</v>
      </c>
      <c r="E2264" s="3">
        <f t="shared" si="34"/>
        <v>28</v>
      </c>
    </row>
    <row r="2265" spans="1:5" x14ac:dyDescent="0.2">
      <c r="A2265">
        <v>6</v>
      </c>
      <c r="B2265" t="s">
        <v>27</v>
      </c>
      <c r="C2265">
        <v>0</v>
      </c>
      <c r="D2265">
        <v>1</v>
      </c>
      <c r="E2265" s="3">
        <f t="shared" si="34"/>
        <v>28</v>
      </c>
    </row>
    <row r="2266" spans="1:5" x14ac:dyDescent="0.2">
      <c r="A2266">
        <v>7</v>
      </c>
      <c r="B2266" s="2" t="s">
        <v>10</v>
      </c>
      <c r="C2266" s="2" t="s">
        <v>10</v>
      </c>
      <c r="D2266" s="2" t="s">
        <v>10</v>
      </c>
      <c r="E2266" s="3">
        <f t="shared" si="34"/>
        <v>28</v>
      </c>
    </row>
    <row r="2267" spans="1:5" x14ac:dyDescent="0.2">
      <c r="A2267">
        <v>8</v>
      </c>
      <c r="B2267" s="2" t="s">
        <v>10</v>
      </c>
      <c r="C2267" s="2" t="s">
        <v>10</v>
      </c>
      <c r="D2267" s="2" t="s">
        <v>10</v>
      </c>
      <c r="E2267" s="3">
        <f t="shared" si="34"/>
        <v>28</v>
      </c>
    </row>
    <row r="2268" spans="1:5" x14ac:dyDescent="0.2">
      <c r="A2268" s="1" t="s">
        <v>544</v>
      </c>
      <c r="E2268" s="3">
        <f t="shared" si="34"/>
        <v>28</v>
      </c>
    </row>
    <row r="2269" spans="1:5" x14ac:dyDescent="0.2">
      <c r="A2269" s="1" t="s">
        <v>1</v>
      </c>
      <c r="B2269" s="1" t="s">
        <v>2</v>
      </c>
      <c r="C2269" s="1" t="s">
        <v>3</v>
      </c>
      <c r="D2269" s="1" t="s">
        <v>4</v>
      </c>
      <c r="E2269" s="3">
        <f t="shared" si="34"/>
        <v>28</v>
      </c>
    </row>
    <row r="2270" spans="1:5" x14ac:dyDescent="0.2">
      <c r="A2270">
        <v>1</v>
      </c>
      <c r="B2270" t="s">
        <v>505</v>
      </c>
      <c r="C2270">
        <v>3</v>
      </c>
      <c r="D2270">
        <v>17</v>
      </c>
      <c r="E2270" s="3">
        <f t="shared" si="34"/>
        <v>28</v>
      </c>
    </row>
    <row r="2271" spans="1:5" x14ac:dyDescent="0.2">
      <c r="A2271">
        <v>2</v>
      </c>
      <c r="B2271" t="s">
        <v>504</v>
      </c>
      <c r="C2271">
        <v>2</v>
      </c>
      <c r="D2271">
        <v>13</v>
      </c>
      <c r="E2271" s="3">
        <f t="shared" si="34"/>
        <v>28</v>
      </c>
    </row>
    <row r="2272" spans="1:5" x14ac:dyDescent="0.2">
      <c r="A2272">
        <v>3</v>
      </c>
      <c r="B2272" t="s">
        <v>454</v>
      </c>
      <c r="C2272">
        <v>0</v>
      </c>
      <c r="D2272">
        <v>9</v>
      </c>
      <c r="E2272" s="3">
        <f t="shared" si="34"/>
        <v>28</v>
      </c>
    </row>
    <row r="2273" spans="1:5" x14ac:dyDescent="0.2">
      <c r="A2273">
        <v>4</v>
      </c>
      <c r="B2273" t="s">
        <v>75</v>
      </c>
      <c r="C2273">
        <v>0</v>
      </c>
      <c r="D2273">
        <v>5</v>
      </c>
      <c r="E2273" s="3">
        <f t="shared" si="34"/>
        <v>28</v>
      </c>
    </row>
    <row r="2274" spans="1:5" x14ac:dyDescent="0.2">
      <c r="A2274">
        <v>5</v>
      </c>
      <c r="B2274" t="s">
        <v>503</v>
      </c>
      <c r="C2274">
        <v>0</v>
      </c>
      <c r="D2274">
        <v>3</v>
      </c>
      <c r="E2274" s="3">
        <f t="shared" si="34"/>
        <v>28</v>
      </c>
    </row>
    <row r="2275" spans="1:5" x14ac:dyDescent="0.2">
      <c r="A2275">
        <v>6</v>
      </c>
      <c r="B2275" t="s">
        <v>518</v>
      </c>
      <c r="C2275">
        <v>1</v>
      </c>
      <c r="D2275">
        <v>2</v>
      </c>
      <c r="E2275" s="3">
        <f t="shared" ref="E2275:E2338" si="35">IF(A2275=$A$1,E2274+1,E2274)</f>
        <v>28</v>
      </c>
    </row>
    <row r="2276" spans="1:5" x14ac:dyDescent="0.2">
      <c r="A2276">
        <v>7</v>
      </c>
      <c r="B2276" t="s">
        <v>554</v>
      </c>
      <c r="C2276">
        <v>0</v>
      </c>
      <c r="D2276">
        <v>1</v>
      </c>
      <c r="E2276" s="3">
        <f t="shared" si="35"/>
        <v>28</v>
      </c>
    </row>
    <row r="2277" spans="1:5" x14ac:dyDescent="0.2">
      <c r="A2277">
        <v>8</v>
      </c>
      <c r="B2277" s="2" t="s">
        <v>10</v>
      </c>
      <c r="C2277" s="2" t="s">
        <v>10</v>
      </c>
      <c r="D2277" s="2" t="s">
        <v>10</v>
      </c>
      <c r="E2277" s="3">
        <f t="shared" si="35"/>
        <v>28</v>
      </c>
    </row>
    <row r="2278" spans="1:5" x14ac:dyDescent="0.2">
      <c r="A2278" s="1" t="s">
        <v>0</v>
      </c>
      <c r="E2278" s="3">
        <f t="shared" si="35"/>
        <v>29</v>
      </c>
    </row>
    <row r="2279" spans="1:5" x14ac:dyDescent="0.2">
      <c r="A2279" s="1" t="s">
        <v>1</v>
      </c>
      <c r="B2279" s="1" t="s">
        <v>2</v>
      </c>
      <c r="C2279" s="1" t="s">
        <v>3</v>
      </c>
      <c r="D2279" s="1" t="s">
        <v>4</v>
      </c>
      <c r="E2279" s="3">
        <f t="shared" si="35"/>
        <v>29</v>
      </c>
    </row>
    <row r="2280" spans="1:5" x14ac:dyDescent="0.2">
      <c r="A2280">
        <v>1</v>
      </c>
      <c r="B2280" t="s">
        <v>490</v>
      </c>
      <c r="C2280">
        <v>4</v>
      </c>
      <c r="D2280">
        <v>16</v>
      </c>
      <c r="E2280" s="3">
        <f t="shared" si="35"/>
        <v>29</v>
      </c>
    </row>
    <row r="2281" spans="1:5" x14ac:dyDescent="0.2">
      <c r="A2281">
        <v>2</v>
      </c>
      <c r="B2281" t="s">
        <v>506</v>
      </c>
      <c r="C2281">
        <v>1</v>
      </c>
      <c r="D2281">
        <v>12</v>
      </c>
      <c r="E2281" s="3">
        <f t="shared" si="35"/>
        <v>29</v>
      </c>
    </row>
    <row r="2282" spans="1:5" x14ac:dyDescent="0.2">
      <c r="A2282">
        <v>3</v>
      </c>
      <c r="B2282" t="s">
        <v>74</v>
      </c>
      <c r="C2282">
        <v>0</v>
      </c>
      <c r="D2282">
        <v>8</v>
      </c>
      <c r="E2282" s="3">
        <f t="shared" si="35"/>
        <v>29</v>
      </c>
    </row>
    <row r="2283" spans="1:5" x14ac:dyDescent="0.2">
      <c r="A2283">
        <v>4</v>
      </c>
      <c r="B2283" t="s">
        <v>507</v>
      </c>
      <c r="C2283">
        <v>0</v>
      </c>
      <c r="D2283">
        <v>4</v>
      </c>
      <c r="E2283" s="3">
        <f t="shared" si="35"/>
        <v>29</v>
      </c>
    </row>
    <row r="2284" spans="1:5" x14ac:dyDescent="0.2">
      <c r="A2284">
        <v>5</v>
      </c>
      <c r="B2284" t="s">
        <v>19</v>
      </c>
      <c r="C2284">
        <v>0</v>
      </c>
      <c r="D2284">
        <v>2</v>
      </c>
      <c r="E2284" s="3">
        <f t="shared" si="35"/>
        <v>29</v>
      </c>
    </row>
    <row r="2285" spans="1:5" x14ac:dyDescent="0.2">
      <c r="A2285">
        <v>6</v>
      </c>
      <c r="B2285" t="s">
        <v>9</v>
      </c>
      <c r="C2285">
        <v>0</v>
      </c>
      <c r="D2285">
        <v>1</v>
      </c>
      <c r="E2285" s="3">
        <f t="shared" si="35"/>
        <v>29</v>
      </c>
    </row>
    <row r="2286" spans="1:5" x14ac:dyDescent="0.2">
      <c r="A2286">
        <v>7</v>
      </c>
      <c r="B2286" s="2" t="s">
        <v>10</v>
      </c>
      <c r="C2286" s="2" t="s">
        <v>10</v>
      </c>
      <c r="D2286" s="2" t="s">
        <v>10</v>
      </c>
      <c r="E2286" s="3">
        <f t="shared" si="35"/>
        <v>29</v>
      </c>
    </row>
    <row r="2287" spans="1:5" x14ac:dyDescent="0.2">
      <c r="A2287">
        <v>8</v>
      </c>
      <c r="B2287" s="2" t="s">
        <v>10</v>
      </c>
      <c r="C2287" s="2" t="s">
        <v>10</v>
      </c>
      <c r="D2287" s="2" t="s">
        <v>10</v>
      </c>
      <c r="E2287" s="3">
        <f t="shared" si="35"/>
        <v>29</v>
      </c>
    </row>
    <row r="2288" spans="1:5" x14ac:dyDescent="0.2">
      <c r="A2288" s="1" t="s">
        <v>11</v>
      </c>
      <c r="E2288" s="3">
        <f t="shared" si="35"/>
        <v>29</v>
      </c>
    </row>
    <row r="2289" spans="1:5" x14ac:dyDescent="0.2">
      <c r="A2289" s="1" t="s">
        <v>1</v>
      </c>
      <c r="B2289" s="1" t="s">
        <v>2</v>
      </c>
      <c r="C2289" s="1" t="s">
        <v>3</v>
      </c>
      <c r="D2289" s="1" t="s">
        <v>4</v>
      </c>
      <c r="E2289" s="3">
        <f t="shared" si="35"/>
        <v>29</v>
      </c>
    </row>
    <row r="2290" spans="1:5" x14ac:dyDescent="0.2">
      <c r="A2290">
        <v>1</v>
      </c>
      <c r="B2290" t="s">
        <v>521</v>
      </c>
      <c r="C2290">
        <v>2</v>
      </c>
      <c r="D2290">
        <v>16</v>
      </c>
      <c r="E2290" s="3">
        <f t="shared" si="35"/>
        <v>29</v>
      </c>
    </row>
    <row r="2291" spans="1:5" x14ac:dyDescent="0.2">
      <c r="A2291">
        <v>2</v>
      </c>
      <c r="B2291" t="s">
        <v>75</v>
      </c>
      <c r="C2291">
        <v>2</v>
      </c>
      <c r="D2291">
        <v>12</v>
      </c>
      <c r="E2291" s="3">
        <f t="shared" si="35"/>
        <v>29</v>
      </c>
    </row>
    <row r="2292" spans="1:5" x14ac:dyDescent="0.2">
      <c r="A2292">
        <v>3</v>
      </c>
      <c r="B2292" t="s">
        <v>476</v>
      </c>
      <c r="C2292">
        <v>1</v>
      </c>
      <c r="D2292">
        <v>8</v>
      </c>
      <c r="E2292" s="3">
        <f t="shared" si="35"/>
        <v>29</v>
      </c>
    </row>
    <row r="2293" spans="1:5" x14ac:dyDescent="0.2">
      <c r="A2293">
        <v>4</v>
      </c>
      <c r="B2293" t="s">
        <v>55</v>
      </c>
      <c r="C2293">
        <v>0</v>
      </c>
      <c r="D2293">
        <v>4</v>
      </c>
      <c r="E2293" s="3">
        <f t="shared" si="35"/>
        <v>29</v>
      </c>
    </row>
    <row r="2294" spans="1:5" x14ac:dyDescent="0.2">
      <c r="A2294">
        <v>5</v>
      </c>
      <c r="B2294" t="s">
        <v>46</v>
      </c>
      <c r="C2294">
        <v>0</v>
      </c>
      <c r="D2294">
        <v>2</v>
      </c>
      <c r="E2294" s="3">
        <f t="shared" si="35"/>
        <v>29</v>
      </c>
    </row>
    <row r="2295" spans="1:5" x14ac:dyDescent="0.2">
      <c r="A2295">
        <v>6</v>
      </c>
      <c r="B2295" t="s">
        <v>485</v>
      </c>
      <c r="C2295">
        <v>0</v>
      </c>
      <c r="D2295">
        <v>1</v>
      </c>
      <c r="E2295" s="3">
        <f t="shared" si="35"/>
        <v>29</v>
      </c>
    </row>
    <row r="2296" spans="1:5" x14ac:dyDescent="0.2">
      <c r="A2296">
        <v>7</v>
      </c>
      <c r="B2296" s="2" t="s">
        <v>10</v>
      </c>
      <c r="C2296" s="2" t="s">
        <v>10</v>
      </c>
      <c r="D2296" s="2" t="s">
        <v>10</v>
      </c>
      <c r="E2296" s="3">
        <f t="shared" si="35"/>
        <v>29</v>
      </c>
    </row>
    <row r="2297" spans="1:5" x14ac:dyDescent="0.2">
      <c r="A2297">
        <v>8</v>
      </c>
      <c r="B2297" s="2" t="s">
        <v>10</v>
      </c>
      <c r="C2297" s="2" t="s">
        <v>10</v>
      </c>
      <c r="D2297" s="2" t="s">
        <v>10</v>
      </c>
      <c r="E2297" s="3">
        <f t="shared" si="35"/>
        <v>29</v>
      </c>
    </row>
    <row r="2298" spans="1:5" x14ac:dyDescent="0.2">
      <c r="A2298" s="1" t="s">
        <v>17</v>
      </c>
      <c r="E2298" s="3">
        <f t="shared" si="35"/>
        <v>29</v>
      </c>
    </row>
    <row r="2299" spans="1:5" x14ac:dyDescent="0.2">
      <c r="A2299" s="1" t="s">
        <v>1</v>
      </c>
      <c r="B2299" s="1" t="s">
        <v>2</v>
      </c>
      <c r="C2299" s="1" t="s">
        <v>3</v>
      </c>
      <c r="D2299" s="1" t="s">
        <v>4</v>
      </c>
      <c r="E2299" s="3">
        <f t="shared" si="35"/>
        <v>29</v>
      </c>
    </row>
    <row r="2300" spans="1:5" x14ac:dyDescent="0.2">
      <c r="A2300">
        <v>1</v>
      </c>
      <c r="B2300" t="s">
        <v>518</v>
      </c>
      <c r="C2300">
        <v>2</v>
      </c>
      <c r="D2300">
        <v>16</v>
      </c>
      <c r="E2300" s="3">
        <f t="shared" si="35"/>
        <v>29</v>
      </c>
    </row>
    <row r="2301" spans="1:5" x14ac:dyDescent="0.2">
      <c r="A2301">
        <v>2</v>
      </c>
      <c r="B2301" t="s">
        <v>66</v>
      </c>
      <c r="C2301">
        <v>3</v>
      </c>
      <c r="D2301">
        <v>12</v>
      </c>
      <c r="E2301" s="3">
        <f t="shared" si="35"/>
        <v>29</v>
      </c>
    </row>
    <row r="2302" spans="1:5" x14ac:dyDescent="0.2">
      <c r="A2302">
        <v>3</v>
      </c>
      <c r="B2302" t="s">
        <v>535</v>
      </c>
      <c r="C2302">
        <v>0</v>
      </c>
      <c r="D2302">
        <v>8</v>
      </c>
      <c r="E2302" s="3">
        <f t="shared" si="35"/>
        <v>29</v>
      </c>
    </row>
    <row r="2303" spans="1:5" x14ac:dyDescent="0.2">
      <c r="A2303">
        <v>4</v>
      </c>
      <c r="B2303" t="s">
        <v>484</v>
      </c>
      <c r="C2303">
        <v>0</v>
      </c>
      <c r="D2303">
        <v>4</v>
      </c>
      <c r="E2303" s="3">
        <f t="shared" si="35"/>
        <v>29</v>
      </c>
    </row>
    <row r="2304" spans="1:5" x14ac:dyDescent="0.2">
      <c r="A2304">
        <v>5</v>
      </c>
      <c r="B2304" t="s">
        <v>555</v>
      </c>
      <c r="C2304">
        <v>0</v>
      </c>
      <c r="D2304">
        <v>2</v>
      </c>
      <c r="E2304" s="3">
        <f t="shared" si="35"/>
        <v>29</v>
      </c>
    </row>
    <row r="2305" spans="1:5" x14ac:dyDescent="0.2">
      <c r="A2305">
        <v>6</v>
      </c>
      <c r="B2305" t="s">
        <v>59</v>
      </c>
      <c r="C2305">
        <v>0</v>
      </c>
      <c r="D2305">
        <v>1</v>
      </c>
      <c r="E2305" s="3">
        <f t="shared" si="35"/>
        <v>29</v>
      </c>
    </row>
    <row r="2306" spans="1:5" x14ac:dyDescent="0.2">
      <c r="A2306">
        <v>7</v>
      </c>
      <c r="B2306" s="2" t="s">
        <v>10</v>
      </c>
      <c r="C2306" s="2" t="s">
        <v>10</v>
      </c>
      <c r="D2306" s="2" t="s">
        <v>10</v>
      </c>
      <c r="E2306" s="3">
        <f t="shared" si="35"/>
        <v>29</v>
      </c>
    </row>
    <row r="2307" spans="1:5" x14ac:dyDescent="0.2">
      <c r="A2307">
        <v>8</v>
      </c>
      <c r="B2307" s="2" t="s">
        <v>10</v>
      </c>
      <c r="C2307" s="2" t="s">
        <v>10</v>
      </c>
      <c r="D2307" s="2" t="s">
        <v>10</v>
      </c>
      <c r="E2307" s="3">
        <f t="shared" si="35"/>
        <v>29</v>
      </c>
    </row>
    <row r="2308" spans="1:5" x14ac:dyDescent="0.2">
      <c r="A2308" s="1" t="s">
        <v>24</v>
      </c>
      <c r="E2308" s="3">
        <f t="shared" si="35"/>
        <v>29</v>
      </c>
    </row>
    <row r="2309" spans="1:5" x14ac:dyDescent="0.2">
      <c r="A2309" s="1" t="s">
        <v>1</v>
      </c>
      <c r="B2309" s="1" t="s">
        <v>2</v>
      </c>
      <c r="C2309" s="1" t="s">
        <v>3</v>
      </c>
      <c r="D2309" s="1" t="s">
        <v>4</v>
      </c>
      <c r="E2309" s="3">
        <f t="shared" si="35"/>
        <v>29</v>
      </c>
    </row>
    <row r="2310" spans="1:5" x14ac:dyDescent="0.2">
      <c r="A2310">
        <v>1</v>
      </c>
      <c r="B2310" t="s">
        <v>512</v>
      </c>
      <c r="C2310">
        <v>3</v>
      </c>
      <c r="D2310">
        <v>16</v>
      </c>
      <c r="E2310" s="3">
        <f t="shared" si="35"/>
        <v>29</v>
      </c>
    </row>
    <row r="2311" spans="1:5" x14ac:dyDescent="0.2">
      <c r="A2311">
        <v>2</v>
      </c>
      <c r="B2311" t="s">
        <v>42</v>
      </c>
      <c r="C2311">
        <v>2</v>
      </c>
      <c r="D2311">
        <v>12</v>
      </c>
      <c r="E2311" s="3">
        <f t="shared" si="35"/>
        <v>29</v>
      </c>
    </row>
    <row r="2312" spans="1:5" x14ac:dyDescent="0.2">
      <c r="A2312">
        <v>3</v>
      </c>
      <c r="B2312" t="s">
        <v>35</v>
      </c>
      <c r="C2312">
        <v>0</v>
      </c>
      <c r="D2312">
        <v>8</v>
      </c>
      <c r="E2312" s="3">
        <f t="shared" si="35"/>
        <v>29</v>
      </c>
    </row>
    <row r="2313" spans="1:5" x14ac:dyDescent="0.2">
      <c r="A2313">
        <v>4</v>
      </c>
      <c r="B2313" t="s">
        <v>516</v>
      </c>
      <c r="C2313">
        <v>0</v>
      </c>
      <c r="D2313">
        <v>4</v>
      </c>
      <c r="E2313" s="3">
        <f t="shared" si="35"/>
        <v>29</v>
      </c>
    </row>
    <row r="2314" spans="1:5" x14ac:dyDescent="0.2">
      <c r="A2314">
        <v>5</v>
      </c>
      <c r="B2314" t="s">
        <v>508</v>
      </c>
      <c r="C2314">
        <v>0</v>
      </c>
      <c r="D2314">
        <v>2</v>
      </c>
      <c r="E2314" s="3">
        <f t="shared" si="35"/>
        <v>29</v>
      </c>
    </row>
    <row r="2315" spans="1:5" x14ac:dyDescent="0.2">
      <c r="A2315">
        <v>6</v>
      </c>
      <c r="B2315" t="s">
        <v>69</v>
      </c>
      <c r="C2315">
        <v>0</v>
      </c>
      <c r="D2315">
        <v>1</v>
      </c>
      <c r="E2315" s="3">
        <f t="shared" si="35"/>
        <v>29</v>
      </c>
    </row>
    <row r="2316" spans="1:5" x14ac:dyDescent="0.2">
      <c r="A2316">
        <v>7</v>
      </c>
      <c r="B2316" s="2" t="s">
        <v>10</v>
      </c>
      <c r="C2316" s="2" t="s">
        <v>10</v>
      </c>
      <c r="D2316" s="2" t="s">
        <v>10</v>
      </c>
      <c r="E2316" s="3">
        <f t="shared" si="35"/>
        <v>29</v>
      </c>
    </row>
    <row r="2317" spans="1:5" x14ac:dyDescent="0.2">
      <c r="A2317">
        <v>8</v>
      </c>
      <c r="B2317" s="2" t="s">
        <v>10</v>
      </c>
      <c r="C2317" s="2" t="s">
        <v>10</v>
      </c>
      <c r="D2317" s="2" t="s">
        <v>10</v>
      </c>
      <c r="E2317" s="3">
        <f t="shared" si="35"/>
        <v>29</v>
      </c>
    </row>
    <row r="2318" spans="1:5" x14ac:dyDescent="0.2">
      <c r="A2318" s="1" t="s">
        <v>30</v>
      </c>
      <c r="E2318" s="3">
        <f t="shared" si="35"/>
        <v>29</v>
      </c>
    </row>
    <row r="2319" spans="1:5" x14ac:dyDescent="0.2">
      <c r="A2319" s="1" t="s">
        <v>1</v>
      </c>
      <c r="B2319" s="1" t="s">
        <v>2</v>
      </c>
      <c r="C2319" s="1" t="s">
        <v>3</v>
      </c>
      <c r="D2319" s="1" t="s">
        <v>4</v>
      </c>
      <c r="E2319" s="3">
        <f t="shared" si="35"/>
        <v>29</v>
      </c>
    </row>
    <row r="2320" spans="1:5" x14ac:dyDescent="0.2">
      <c r="A2320">
        <v>1</v>
      </c>
      <c r="B2320" t="s">
        <v>558</v>
      </c>
      <c r="C2320">
        <v>3</v>
      </c>
      <c r="D2320">
        <v>16</v>
      </c>
      <c r="E2320" s="3">
        <f t="shared" si="35"/>
        <v>29</v>
      </c>
    </row>
    <row r="2321" spans="1:5" x14ac:dyDescent="0.2">
      <c r="A2321">
        <v>2</v>
      </c>
      <c r="B2321" t="s">
        <v>479</v>
      </c>
      <c r="C2321">
        <v>2</v>
      </c>
      <c r="D2321">
        <v>12</v>
      </c>
      <c r="E2321" s="3">
        <f t="shared" si="35"/>
        <v>29</v>
      </c>
    </row>
    <row r="2322" spans="1:5" x14ac:dyDescent="0.2">
      <c r="A2322">
        <v>3</v>
      </c>
      <c r="B2322" t="s">
        <v>532</v>
      </c>
      <c r="C2322">
        <v>0</v>
      </c>
      <c r="D2322">
        <v>8</v>
      </c>
      <c r="E2322" s="3">
        <f t="shared" si="35"/>
        <v>29</v>
      </c>
    </row>
    <row r="2323" spans="1:5" x14ac:dyDescent="0.2">
      <c r="A2323">
        <v>4</v>
      </c>
      <c r="B2323" t="s">
        <v>534</v>
      </c>
      <c r="C2323">
        <v>0</v>
      </c>
      <c r="D2323">
        <v>4</v>
      </c>
      <c r="E2323" s="3">
        <f t="shared" si="35"/>
        <v>29</v>
      </c>
    </row>
    <row r="2324" spans="1:5" x14ac:dyDescent="0.2">
      <c r="A2324">
        <v>5</v>
      </c>
      <c r="B2324" t="s">
        <v>552</v>
      </c>
      <c r="C2324">
        <v>0</v>
      </c>
      <c r="D2324">
        <v>2</v>
      </c>
      <c r="E2324" s="3">
        <f t="shared" si="35"/>
        <v>29</v>
      </c>
    </row>
    <row r="2325" spans="1:5" x14ac:dyDescent="0.2">
      <c r="A2325">
        <v>6</v>
      </c>
      <c r="B2325" t="s">
        <v>554</v>
      </c>
      <c r="C2325">
        <v>0</v>
      </c>
      <c r="D2325">
        <v>1</v>
      </c>
      <c r="E2325" s="3">
        <f t="shared" si="35"/>
        <v>29</v>
      </c>
    </row>
    <row r="2326" spans="1:5" x14ac:dyDescent="0.2">
      <c r="A2326">
        <v>7</v>
      </c>
      <c r="B2326" s="2" t="s">
        <v>10</v>
      </c>
      <c r="C2326" s="2" t="s">
        <v>10</v>
      </c>
      <c r="D2326" s="2" t="s">
        <v>10</v>
      </c>
      <c r="E2326" s="3">
        <f t="shared" si="35"/>
        <v>29</v>
      </c>
    </row>
    <row r="2327" spans="1:5" x14ac:dyDescent="0.2">
      <c r="A2327">
        <v>8</v>
      </c>
      <c r="B2327" s="2" t="s">
        <v>10</v>
      </c>
      <c r="C2327" s="2" t="s">
        <v>10</v>
      </c>
      <c r="D2327" s="2" t="s">
        <v>10</v>
      </c>
      <c r="E2327" s="3">
        <f t="shared" si="35"/>
        <v>29</v>
      </c>
    </row>
    <row r="2328" spans="1:5" x14ac:dyDescent="0.2">
      <c r="A2328" s="1" t="s">
        <v>37</v>
      </c>
      <c r="E2328" s="3">
        <f t="shared" si="35"/>
        <v>29</v>
      </c>
    </row>
    <row r="2329" spans="1:5" x14ac:dyDescent="0.2">
      <c r="A2329" s="1" t="s">
        <v>1</v>
      </c>
      <c r="B2329" s="1" t="s">
        <v>2</v>
      </c>
      <c r="C2329" s="1" t="s">
        <v>3</v>
      </c>
      <c r="D2329" s="1" t="s">
        <v>4</v>
      </c>
      <c r="E2329" s="3">
        <f t="shared" si="35"/>
        <v>29</v>
      </c>
    </row>
    <row r="2330" spans="1:5" x14ac:dyDescent="0.2">
      <c r="A2330">
        <v>1</v>
      </c>
      <c r="B2330" t="s">
        <v>505</v>
      </c>
      <c r="C2330">
        <v>4</v>
      </c>
      <c r="D2330">
        <v>17</v>
      </c>
      <c r="E2330" s="3">
        <f t="shared" si="35"/>
        <v>29</v>
      </c>
    </row>
    <row r="2331" spans="1:5" x14ac:dyDescent="0.2">
      <c r="A2331">
        <v>2</v>
      </c>
      <c r="B2331" t="s">
        <v>504</v>
      </c>
      <c r="C2331">
        <v>1</v>
      </c>
      <c r="D2331">
        <v>13</v>
      </c>
      <c r="E2331" s="3">
        <f t="shared" si="35"/>
        <v>29</v>
      </c>
    </row>
    <row r="2332" spans="1:5" x14ac:dyDescent="0.2">
      <c r="A2332">
        <v>3</v>
      </c>
      <c r="B2332" t="s">
        <v>25</v>
      </c>
      <c r="C2332">
        <v>0</v>
      </c>
      <c r="D2332">
        <v>9</v>
      </c>
      <c r="E2332" s="3">
        <f t="shared" si="35"/>
        <v>29</v>
      </c>
    </row>
    <row r="2333" spans="1:5" x14ac:dyDescent="0.2">
      <c r="A2333">
        <v>4</v>
      </c>
      <c r="B2333" t="s">
        <v>526</v>
      </c>
      <c r="C2333">
        <v>0</v>
      </c>
      <c r="D2333">
        <v>5</v>
      </c>
      <c r="E2333" s="3">
        <f t="shared" si="35"/>
        <v>29</v>
      </c>
    </row>
    <row r="2334" spans="1:5" x14ac:dyDescent="0.2">
      <c r="A2334">
        <v>5</v>
      </c>
      <c r="B2334" t="s">
        <v>73</v>
      </c>
      <c r="C2334">
        <v>1</v>
      </c>
      <c r="D2334">
        <v>3</v>
      </c>
      <c r="E2334" s="3">
        <f t="shared" si="35"/>
        <v>29</v>
      </c>
    </row>
    <row r="2335" spans="1:5" x14ac:dyDescent="0.2">
      <c r="A2335">
        <v>6</v>
      </c>
      <c r="B2335" t="s">
        <v>502</v>
      </c>
      <c r="C2335">
        <v>0</v>
      </c>
      <c r="D2335">
        <v>2</v>
      </c>
      <c r="E2335" s="3">
        <f t="shared" si="35"/>
        <v>29</v>
      </c>
    </row>
    <row r="2336" spans="1:5" x14ac:dyDescent="0.2">
      <c r="A2336">
        <v>7</v>
      </c>
      <c r="B2336" t="s">
        <v>81</v>
      </c>
      <c r="C2336">
        <v>0</v>
      </c>
      <c r="D2336">
        <v>1</v>
      </c>
      <c r="E2336" s="3">
        <f t="shared" si="35"/>
        <v>29</v>
      </c>
    </row>
    <row r="2337" spans="1:5" x14ac:dyDescent="0.2">
      <c r="A2337">
        <v>8</v>
      </c>
      <c r="B2337" s="2" t="s">
        <v>10</v>
      </c>
      <c r="C2337" s="2" t="s">
        <v>10</v>
      </c>
      <c r="D2337" s="2" t="s">
        <v>10</v>
      </c>
      <c r="E2337" s="3">
        <f t="shared" si="35"/>
        <v>29</v>
      </c>
    </row>
    <row r="2338" spans="1:5" x14ac:dyDescent="0.2">
      <c r="A2338" s="1" t="s">
        <v>44</v>
      </c>
      <c r="E2338" s="3">
        <f t="shared" si="35"/>
        <v>29</v>
      </c>
    </row>
    <row r="2339" spans="1:5" x14ac:dyDescent="0.2">
      <c r="A2339" s="1" t="s">
        <v>1</v>
      </c>
      <c r="B2339" s="1" t="s">
        <v>2</v>
      </c>
      <c r="C2339" s="1" t="s">
        <v>3</v>
      </c>
      <c r="D2339" s="1" t="s">
        <v>4</v>
      </c>
      <c r="E2339" s="3">
        <f t="shared" ref="E2339:E2402" si="36">IF(A2339=$A$1,E2338+1,E2338)</f>
        <v>29</v>
      </c>
    </row>
    <row r="2340" spans="1:5" x14ac:dyDescent="0.2">
      <c r="A2340">
        <v>1</v>
      </c>
      <c r="B2340" t="s">
        <v>14</v>
      </c>
      <c r="C2340">
        <v>1</v>
      </c>
      <c r="D2340">
        <v>16</v>
      </c>
      <c r="E2340" s="3">
        <f t="shared" si="36"/>
        <v>29</v>
      </c>
    </row>
    <row r="2341" spans="1:5" x14ac:dyDescent="0.2">
      <c r="A2341">
        <v>2</v>
      </c>
      <c r="B2341" t="s">
        <v>88</v>
      </c>
      <c r="C2341">
        <v>4</v>
      </c>
      <c r="D2341">
        <v>12</v>
      </c>
      <c r="E2341" s="3">
        <f t="shared" si="36"/>
        <v>29</v>
      </c>
    </row>
    <row r="2342" spans="1:5" x14ac:dyDescent="0.2">
      <c r="A2342">
        <v>3</v>
      </c>
      <c r="B2342" t="s">
        <v>6</v>
      </c>
      <c r="C2342">
        <v>0</v>
      </c>
      <c r="D2342">
        <v>8</v>
      </c>
      <c r="E2342" s="3">
        <f t="shared" si="36"/>
        <v>29</v>
      </c>
    </row>
    <row r="2343" spans="1:5" x14ac:dyDescent="0.2">
      <c r="A2343">
        <v>4</v>
      </c>
      <c r="B2343" t="s">
        <v>65</v>
      </c>
      <c r="C2343">
        <v>0</v>
      </c>
      <c r="D2343">
        <v>4</v>
      </c>
      <c r="E2343" s="3">
        <f t="shared" si="36"/>
        <v>29</v>
      </c>
    </row>
    <row r="2344" spans="1:5" x14ac:dyDescent="0.2">
      <c r="A2344">
        <v>5</v>
      </c>
      <c r="B2344" t="s">
        <v>454</v>
      </c>
      <c r="C2344">
        <v>0</v>
      </c>
      <c r="D2344">
        <v>2</v>
      </c>
      <c r="E2344" s="3">
        <f t="shared" si="36"/>
        <v>29</v>
      </c>
    </row>
    <row r="2345" spans="1:5" x14ac:dyDescent="0.2">
      <c r="A2345">
        <v>6</v>
      </c>
      <c r="B2345" t="s">
        <v>21</v>
      </c>
      <c r="C2345">
        <v>0</v>
      </c>
      <c r="D2345">
        <v>1</v>
      </c>
      <c r="E2345" s="3">
        <f t="shared" si="36"/>
        <v>29</v>
      </c>
    </row>
    <row r="2346" spans="1:5" x14ac:dyDescent="0.2">
      <c r="A2346">
        <v>7</v>
      </c>
      <c r="B2346" s="2" t="s">
        <v>10</v>
      </c>
      <c r="C2346" s="2" t="s">
        <v>10</v>
      </c>
      <c r="D2346" s="2" t="s">
        <v>10</v>
      </c>
      <c r="E2346" s="3">
        <f t="shared" si="36"/>
        <v>29</v>
      </c>
    </row>
    <row r="2347" spans="1:5" x14ac:dyDescent="0.2">
      <c r="A2347">
        <v>8</v>
      </c>
      <c r="B2347" s="2" t="s">
        <v>10</v>
      </c>
      <c r="C2347" s="2" t="s">
        <v>10</v>
      </c>
      <c r="D2347" s="2" t="s">
        <v>10</v>
      </c>
      <c r="E2347" s="3">
        <f t="shared" si="36"/>
        <v>29</v>
      </c>
    </row>
    <row r="2348" spans="1:5" x14ac:dyDescent="0.2">
      <c r="A2348" s="1" t="s">
        <v>51</v>
      </c>
      <c r="E2348" s="3">
        <f t="shared" si="36"/>
        <v>29</v>
      </c>
    </row>
    <row r="2349" spans="1:5" x14ac:dyDescent="0.2">
      <c r="A2349" s="1" t="s">
        <v>1</v>
      </c>
      <c r="B2349" s="1" t="s">
        <v>2</v>
      </c>
      <c r="C2349" s="1" t="s">
        <v>3</v>
      </c>
      <c r="D2349" s="1" t="s">
        <v>4</v>
      </c>
      <c r="E2349" s="3">
        <f t="shared" si="36"/>
        <v>29</v>
      </c>
    </row>
    <row r="2350" spans="1:5" x14ac:dyDescent="0.2">
      <c r="A2350">
        <v>1</v>
      </c>
      <c r="B2350" t="s">
        <v>27</v>
      </c>
      <c r="C2350">
        <v>4</v>
      </c>
      <c r="D2350">
        <v>16</v>
      </c>
      <c r="E2350" s="3">
        <f t="shared" si="36"/>
        <v>29</v>
      </c>
    </row>
    <row r="2351" spans="1:5" x14ac:dyDescent="0.2">
      <c r="A2351">
        <v>2</v>
      </c>
      <c r="B2351" t="s">
        <v>452</v>
      </c>
      <c r="C2351">
        <v>1</v>
      </c>
      <c r="D2351">
        <v>12</v>
      </c>
      <c r="E2351" s="3">
        <f t="shared" si="36"/>
        <v>29</v>
      </c>
    </row>
    <row r="2352" spans="1:5" x14ac:dyDescent="0.2">
      <c r="A2352">
        <v>3</v>
      </c>
      <c r="B2352" t="s">
        <v>501</v>
      </c>
      <c r="C2352">
        <v>0</v>
      </c>
      <c r="D2352">
        <v>8</v>
      </c>
      <c r="E2352" s="3">
        <f t="shared" si="36"/>
        <v>29</v>
      </c>
    </row>
    <row r="2353" spans="1:5" x14ac:dyDescent="0.2">
      <c r="A2353">
        <v>4</v>
      </c>
      <c r="B2353" t="s">
        <v>15</v>
      </c>
      <c r="C2353">
        <v>0</v>
      </c>
      <c r="D2353">
        <v>4</v>
      </c>
      <c r="E2353" s="3">
        <f t="shared" si="36"/>
        <v>29</v>
      </c>
    </row>
    <row r="2354" spans="1:5" x14ac:dyDescent="0.2">
      <c r="A2354">
        <v>5</v>
      </c>
      <c r="B2354" t="s">
        <v>500</v>
      </c>
      <c r="C2354">
        <v>0</v>
      </c>
      <c r="D2354">
        <v>2</v>
      </c>
      <c r="E2354" s="3">
        <f t="shared" si="36"/>
        <v>29</v>
      </c>
    </row>
    <row r="2355" spans="1:5" x14ac:dyDescent="0.2">
      <c r="A2355">
        <v>6</v>
      </c>
      <c r="B2355" t="s">
        <v>493</v>
      </c>
      <c r="C2355">
        <v>0</v>
      </c>
      <c r="D2355">
        <v>1</v>
      </c>
      <c r="E2355" s="3">
        <f t="shared" si="36"/>
        <v>29</v>
      </c>
    </row>
    <row r="2356" spans="1:5" x14ac:dyDescent="0.2">
      <c r="A2356">
        <v>7</v>
      </c>
      <c r="B2356" s="2" t="s">
        <v>10</v>
      </c>
      <c r="C2356" s="2" t="s">
        <v>10</v>
      </c>
      <c r="D2356" s="2" t="s">
        <v>10</v>
      </c>
      <c r="E2356" s="3">
        <f t="shared" si="36"/>
        <v>29</v>
      </c>
    </row>
    <row r="2357" spans="1:5" x14ac:dyDescent="0.2">
      <c r="A2357">
        <v>8</v>
      </c>
      <c r="B2357" s="2" t="s">
        <v>10</v>
      </c>
      <c r="C2357" s="2" t="s">
        <v>10</v>
      </c>
      <c r="D2357" s="2" t="s">
        <v>10</v>
      </c>
      <c r="E2357" s="3">
        <f t="shared" si="36"/>
        <v>29</v>
      </c>
    </row>
    <row r="2358" spans="1:5" x14ac:dyDescent="0.2">
      <c r="A2358" s="1" t="s">
        <v>537</v>
      </c>
      <c r="E2358" s="3">
        <f t="shared" si="36"/>
        <v>30</v>
      </c>
    </row>
    <row r="2359" spans="1:5" x14ac:dyDescent="0.2">
      <c r="A2359" s="1" t="s">
        <v>1</v>
      </c>
      <c r="B2359" s="1" t="s">
        <v>2</v>
      </c>
      <c r="C2359" s="1" t="s">
        <v>3</v>
      </c>
      <c r="D2359" s="1" t="s">
        <v>4</v>
      </c>
      <c r="E2359" s="3">
        <f t="shared" si="36"/>
        <v>30</v>
      </c>
    </row>
    <row r="2360" spans="1:5" x14ac:dyDescent="0.2">
      <c r="A2360">
        <v>1</v>
      </c>
      <c r="B2360" t="s">
        <v>48</v>
      </c>
      <c r="C2360">
        <v>5</v>
      </c>
      <c r="D2360">
        <v>17</v>
      </c>
      <c r="E2360" s="3">
        <f t="shared" si="36"/>
        <v>30</v>
      </c>
    </row>
    <row r="2361" spans="1:5" x14ac:dyDescent="0.2">
      <c r="A2361">
        <v>2</v>
      </c>
      <c r="B2361" t="s">
        <v>558</v>
      </c>
      <c r="C2361">
        <v>1</v>
      </c>
      <c r="D2361">
        <v>13</v>
      </c>
      <c r="E2361" s="3">
        <f t="shared" si="36"/>
        <v>30</v>
      </c>
    </row>
    <row r="2362" spans="1:5" x14ac:dyDescent="0.2">
      <c r="A2362">
        <v>3</v>
      </c>
      <c r="B2362" t="s">
        <v>509</v>
      </c>
      <c r="C2362">
        <v>0</v>
      </c>
      <c r="D2362">
        <v>9</v>
      </c>
      <c r="E2362" s="3">
        <f t="shared" si="36"/>
        <v>30</v>
      </c>
    </row>
    <row r="2363" spans="1:5" x14ac:dyDescent="0.2">
      <c r="A2363">
        <v>4</v>
      </c>
      <c r="B2363" t="s">
        <v>506</v>
      </c>
      <c r="C2363">
        <v>0</v>
      </c>
      <c r="D2363">
        <v>5</v>
      </c>
      <c r="E2363" s="3">
        <f t="shared" si="36"/>
        <v>30</v>
      </c>
    </row>
    <row r="2364" spans="1:5" x14ac:dyDescent="0.2">
      <c r="A2364">
        <v>5</v>
      </c>
      <c r="B2364" t="s">
        <v>35</v>
      </c>
      <c r="C2364">
        <v>0</v>
      </c>
      <c r="D2364">
        <v>3</v>
      </c>
      <c r="E2364" s="3">
        <f t="shared" si="36"/>
        <v>30</v>
      </c>
    </row>
    <row r="2365" spans="1:5" x14ac:dyDescent="0.2">
      <c r="A2365">
        <v>6</v>
      </c>
      <c r="B2365" t="s">
        <v>507</v>
      </c>
      <c r="C2365">
        <v>0</v>
      </c>
      <c r="D2365">
        <v>2</v>
      </c>
      <c r="E2365" s="3">
        <f t="shared" si="36"/>
        <v>30</v>
      </c>
    </row>
    <row r="2366" spans="1:5" x14ac:dyDescent="0.2">
      <c r="A2366">
        <v>7</v>
      </c>
      <c r="B2366" t="s">
        <v>25</v>
      </c>
      <c r="C2366">
        <v>0</v>
      </c>
      <c r="D2366">
        <v>1</v>
      </c>
      <c r="E2366" s="3">
        <f t="shared" si="36"/>
        <v>30</v>
      </c>
    </row>
    <row r="2367" spans="1:5" x14ac:dyDescent="0.2">
      <c r="A2367">
        <v>8</v>
      </c>
      <c r="B2367" s="2" t="s">
        <v>10</v>
      </c>
      <c r="C2367" s="2" t="s">
        <v>10</v>
      </c>
      <c r="D2367" s="2" t="s">
        <v>10</v>
      </c>
      <c r="E2367" s="3">
        <f t="shared" si="36"/>
        <v>30</v>
      </c>
    </row>
    <row r="2368" spans="1:5" x14ac:dyDescent="0.2">
      <c r="A2368" s="1" t="s">
        <v>538</v>
      </c>
      <c r="E2368" s="3">
        <f t="shared" si="36"/>
        <v>30</v>
      </c>
    </row>
    <row r="2369" spans="1:5" x14ac:dyDescent="0.2">
      <c r="A2369" s="1" t="s">
        <v>1</v>
      </c>
      <c r="B2369" s="1" t="s">
        <v>2</v>
      </c>
      <c r="C2369" s="1" t="s">
        <v>3</v>
      </c>
      <c r="D2369" s="1" t="s">
        <v>4</v>
      </c>
      <c r="E2369" s="3">
        <f t="shared" si="36"/>
        <v>30</v>
      </c>
    </row>
    <row r="2370" spans="1:5" x14ac:dyDescent="0.2">
      <c r="A2370">
        <v>1</v>
      </c>
      <c r="B2370" t="s">
        <v>15</v>
      </c>
      <c r="C2370">
        <v>3</v>
      </c>
      <c r="D2370">
        <v>16</v>
      </c>
      <c r="E2370" s="3">
        <f t="shared" si="36"/>
        <v>30</v>
      </c>
    </row>
    <row r="2371" spans="1:5" x14ac:dyDescent="0.2">
      <c r="A2371">
        <v>2</v>
      </c>
      <c r="B2371" t="s">
        <v>69</v>
      </c>
      <c r="C2371">
        <v>2</v>
      </c>
      <c r="D2371">
        <v>12</v>
      </c>
      <c r="E2371" s="3">
        <f t="shared" si="36"/>
        <v>30</v>
      </c>
    </row>
    <row r="2372" spans="1:5" x14ac:dyDescent="0.2">
      <c r="A2372">
        <v>3</v>
      </c>
      <c r="B2372" t="s">
        <v>452</v>
      </c>
      <c r="C2372">
        <v>0</v>
      </c>
      <c r="D2372">
        <v>8</v>
      </c>
      <c r="E2372" s="3">
        <f t="shared" si="36"/>
        <v>30</v>
      </c>
    </row>
    <row r="2373" spans="1:5" x14ac:dyDescent="0.2">
      <c r="A2373">
        <v>4</v>
      </c>
      <c r="B2373" t="s">
        <v>14</v>
      </c>
      <c r="C2373">
        <v>0</v>
      </c>
      <c r="D2373">
        <v>4</v>
      </c>
      <c r="E2373" s="3">
        <f t="shared" si="36"/>
        <v>30</v>
      </c>
    </row>
    <row r="2374" spans="1:5" x14ac:dyDescent="0.2">
      <c r="A2374">
        <v>5</v>
      </c>
      <c r="B2374" t="s">
        <v>502</v>
      </c>
      <c r="C2374">
        <v>0</v>
      </c>
      <c r="D2374">
        <v>2</v>
      </c>
      <c r="E2374" s="3">
        <f t="shared" si="36"/>
        <v>30</v>
      </c>
    </row>
    <row r="2375" spans="1:5" x14ac:dyDescent="0.2">
      <c r="A2375">
        <v>6</v>
      </c>
      <c r="B2375" t="s">
        <v>557</v>
      </c>
      <c r="C2375">
        <v>0</v>
      </c>
      <c r="D2375">
        <v>1</v>
      </c>
      <c r="E2375" s="3">
        <f t="shared" si="36"/>
        <v>30</v>
      </c>
    </row>
    <row r="2376" spans="1:5" x14ac:dyDescent="0.2">
      <c r="A2376">
        <v>7</v>
      </c>
      <c r="B2376" s="2" t="s">
        <v>10</v>
      </c>
      <c r="C2376" s="2" t="s">
        <v>10</v>
      </c>
      <c r="D2376" s="2" t="s">
        <v>10</v>
      </c>
      <c r="E2376" s="3">
        <f t="shared" si="36"/>
        <v>30</v>
      </c>
    </row>
    <row r="2377" spans="1:5" x14ac:dyDescent="0.2">
      <c r="A2377">
        <v>8</v>
      </c>
      <c r="B2377" s="2" t="s">
        <v>10</v>
      </c>
      <c r="C2377" s="2" t="s">
        <v>10</v>
      </c>
      <c r="D2377" s="2" t="s">
        <v>10</v>
      </c>
      <c r="E2377" s="3">
        <f t="shared" si="36"/>
        <v>30</v>
      </c>
    </row>
    <row r="2378" spans="1:5" x14ac:dyDescent="0.2">
      <c r="A2378" s="1" t="s">
        <v>539</v>
      </c>
      <c r="E2378" s="3">
        <f t="shared" si="36"/>
        <v>30</v>
      </c>
    </row>
    <row r="2379" spans="1:5" x14ac:dyDescent="0.2">
      <c r="A2379" s="1" t="s">
        <v>1</v>
      </c>
      <c r="B2379" s="1" t="s">
        <v>2</v>
      </c>
      <c r="C2379" s="1" t="s">
        <v>3</v>
      </c>
      <c r="D2379" s="1" t="s">
        <v>4</v>
      </c>
      <c r="E2379" s="3">
        <f t="shared" si="36"/>
        <v>30</v>
      </c>
    </row>
    <row r="2380" spans="1:5" x14ac:dyDescent="0.2">
      <c r="A2380">
        <v>1</v>
      </c>
      <c r="B2380" t="s">
        <v>27</v>
      </c>
      <c r="C2380">
        <v>3</v>
      </c>
      <c r="D2380">
        <v>16</v>
      </c>
      <c r="E2380" s="3">
        <f t="shared" si="36"/>
        <v>30</v>
      </c>
    </row>
    <row r="2381" spans="1:5" x14ac:dyDescent="0.2">
      <c r="A2381">
        <v>2</v>
      </c>
      <c r="B2381" t="s">
        <v>280</v>
      </c>
      <c r="C2381">
        <v>2</v>
      </c>
      <c r="D2381">
        <v>12</v>
      </c>
      <c r="E2381" s="3">
        <f t="shared" si="36"/>
        <v>30</v>
      </c>
    </row>
    <row r="2382" spans="1:5" x14ac:dyDescent="0.2">
      <c r="A2382">
        <v>3</v>
      </c>
      <c r="B2382" t="s">
        <v>74</v>
      </c>
      <c r="C2382">
        <v>0</v>
      </c>
      <c r="D2382">
        <v>8</v>
      </c>
      <c r="E2382" s="3">
        <f t="shared" si="36"/>
        <v>30</v>
      </c>
    </row>
    <row r="2383" spans="1:5" x14ac:dyDescent="0.2">
      <c r="A2383">
        <v>4</v>
      </c>
      <c r="B2383" t="s">
        <v>46</v>
      </c>
      <c r="C2383">
        <v>0</v>
      </c>
      <c r="D2383">
        <v>4</v>
      </c>
      <c r="E2383" s="3">
        <f t="shared" si="36"/>
        <v>30</v>
      </c>
    </row>
    <row r="2384" spans="1:5" x14ac:dyDescent="0.2">
      <c r="A2384">
        <v>5</v>
      </c>
      <c r="B2384" t="s">
        <v>19</v>
      </c>
      <c r="C2384">
        <v>0</v>
      </c>
      <c r="D2384">
        <v>2</v>
      </c>
      <c r="E2384" s="3">
        <f t="shared" si="36"/>
        <v>30</v>
      </c>
    </row>
    <row r="2385" spans="1:5" x14ac:dyDescent="0.2">
      <c r="A2385">
        <v>6</v>
      </c>
      <c r="B2385" t="s">
        <v>485</v>
      </c>
      <c r="C2385">
        <v>0</v>
      </c>
      <c r="D2385">
        <v>1</v>
      </c>
      <c r="E2385" s="3">
        <f t="shared" si="36"/>
        <v>30</v>
      </c>
    </row>
    <row r="2386" spans="1:5" x14ac:dyDescent="0.2">
      <c r="A2386">
        <v>7</v>
      </c>
      <c r="B2386" s="2" t="s">
        <v>10</v>
      </c>
      <c r="C2386" s="2" t="s">
        <v>10</v>
      </c>
      <c r="D2386" s="2" t="s">
        <v>10</v>
      </c>
      <c r="E2386" s="3">
        <f t="shared" si="36"/>
        <v>30</v>
      </c>
    </row>
    <row r="2387" spans="1:5" x14ac:dyDescent="0.2">
      <c r="A2387">
        <v>8</v>
      </c>
      <c r="B2387" s="2" t="s">
        <v>10</v>
      </c>
      <c r="C2387" s="2" t="s">
        <v>10</v>
      </c>
      <c r="D2387" s="2" t="s">
        <v>10</v>
      </c>
      <c r="E2387" s="3">
        <f t="shared" si="36"/>
        <v>30</v>
      </c>
    </row>
    <row r="2388" spans="1:5" x14ac:dyDescent="0.2">
      <c r="A2388" s="1" t="s">
        <v>540</v>
      </c>
      <c r="E2388" s="3">
        <f t="shared" si="36"/>
        <v>30</v>
      </c>
    </row>
    <row r="2389" spans="1:5" x14ac:dyDescent="0.2">
      <c r="A2389" s="1" t="s">
        <v>1</v>
      </c>
      <c r="B2389" s="1" t="s">
        <v>2</v>
      </c>
      <c r="C2389" s="1" t="s">
        <v>3</v>
      </c>
      <c r="D2389" s="1" t="s">
        <v>4</v>
      </c>
      <c r="E2389" s="3">
        <f t="shared" si="36"/>
        <v>30</v>
      </c>
    </row>
    <row r="2390" spans="1:5" x14ac:dyDescent="0.2">
      <c r="A2390">
        <v>1</v>
      </c>
      <c r="B2390" t="s">
        <v>9</v>
      </c>
      <c r="C2390">
        <v>2</v>
      </c>
      <c r="D2390">
        <v>17</v>
      </c>
      <c r="E2390" s="3">
        <f t="shared" si="36"/>
        <v>30</v>
      </c>
    </row>
    <row r="2391" spans="1:5" x14ac:dyDescent="0.2">
      <c r="A2391">
        <v>2</v>
      </c>
      <c r="B2391" t="s">
        <v>504</v>
      </c>
      <c r="C2391">
        <v>3</v>
      </c>
      <c r="D2391">
        <v>13</v>
      </c>
      <c r="E2391" s="3">
        <f t="shared" si="36"/>
        <v>30</v>
      </c>
    </row>
    <row r="2392" spans="1:5" x14ac:dyDescent="0.2">
      <c r="A2392">
        <v>3</v>
      </c>
      <c r="B2392" t="s">
        <v>81</v>
      </c>
      <c r="C2392">
        <v>1</v>
      </c>
      <c r="D2392">
        <v>9</v>
      </c>
      <c r="E2392" s="3">
        <f t="shared" si="36"/>
        <v>30</v>
      </c>
    </row>
    <row r="2393" spans="1:5" x14ac:dyDescent="0.2">
      <c r="A2393">
        <v>4</v>
      </c>
      <c r="B2393" t="s">
        <v>88</v>
      </c>
      <c r="C2393">
        <v>0</v>
      </c>
      <c r="D2393">
        <v>5</v>
      </c>
      <c r="E2393" s="3">
        <f t="shared" si="36"/>
        <v>30</v>
      </c>
    </row>
    <row r="2394" spans="1:5" x14ac:dyDescent="0.2">
      <c r="A2394">
        <v>5</v>
      </c>
      <c r="B2394" t="s">
        <v>505</v>
      </c>
      <c r="C2394">
        <v>0</v>
      </c>
      <c r="D2394">
        <v>3</v>
      </c>
      <c r="E2394" s="3">
        <f t="shared" si="36"/>
        <v>30</v>
      </c>
    </row>
    <row r="2395" spans="1:5" x14ac:dyDescent="0.2">
      <c r="A2395">
        <v>6</v>
      </c>
      <c r="B2395" t="s">
        <v>534</v>
      </c>
      <c r="C2395">
        <v>0</v>
      </c>
      <c r="D2395">
        <v>2</v>
      </c>
      <c r="E2395" s="3">
        <f t="shared" si="36"/>
        <v>30</v>
      </c>
    </row>
    <row r="2396" spans="1:5" x14ac:dyDescent="0.2">
      <c r="A2396">
        <v>7</v>
      </c>
      <c r="B2396" t="s">
        <v>42</v>
      </c>
      <c r="C2396">
        <v>0</v>
      </c>
      <c r="D2396">
        <v>1</v>
      </c>
      <c r="E2396" s="3">
        <f t="shared" si="36"/>
        <v>30</v>
      </c>
    </row>
    <row r="2397" spans="1:5" x14ac:dyDescent="0.2">
      <c r="A2397">
        <v>8</v>
      </c>
      <c r="B2397" s="2" t="s">
        <v>10</v>
      </c>
      <c r="C2397" s="2" t="s">
        <v>10</v>
      </c>
      <c r="D2397" s="2" t="s">
        <v>10</v>
      </c>
      <c r="E2397" s="3">
        <f t="shared" si="36"/>
        <v>30</v>
      </c>
    </row>
    <row r="2398" spans="1:5" x14ac:dyDescent="0.2">
      <c r="A2398" s="1" t="s">
        <v>541</v>
      </c>
      <c r="E2398" s="3">
        <f t="shared" si="36"/>
        <v>30</v>
      </c>
    </row>
    <row r="2399" spans="1:5" x14ac:dyDescent="0.2">
      <c r="A2399" s="1" t="s">
        <v>1</v>
      </c>
      <c r="B2399" s="1" t="s">
        <v>2</v>
      </c>
      <c r="C2399" s="1" t="s">
        <v>3</v>
      </c>
      <c r="D2399" s="1" t="s">
        <v>4</v>
      </c>
      <c r="E2399" s="3">
        <f t="shared" si="36"/>
        <v>30</v>
      </c>
    </row>
    <row r="2400" spans="1:5" x14ac:dyDescent="0.2">
      <c r="A2400">
        <v>1</v>
      </c>
      <c r="B2400" t="s">
        <v>516</v>
      </c>
      <c r="C2400">
        <v>4</v>
      </c>
      <c r="D2400">
        <v>17</v>
      </c>
      <c r="E2400" s="3">
        <f t="shared" si="36"/>
        <v>30</v>
      </c>
    </row>
    <row r="2401" spans="1:5" x14ac:dyDescent="0.2">
      <c r="A2401">
        <v>2</v>
      </c>
      <c r="B2401" t="s">
        <v>521</v>
      </c>
      <c r="C2401">
        <v>2</v>
      </c>
      <c r="D2401">
        <v>13</v>
      </c>
      <c r="E2401" s="3">
        <f t="shared" si="36"/>
        <v>30</v>
      </c>
    </row>
    <row r="2402" spans="1:5" x14ac:dyDescent="0.2">
      <c r="A2402">
        <v>3</v>
      </c>
      <c r="B2402" t="s">
        <v>32</v>
      </c>
      <c r="C2402">
        <v>0</v>
      </c>
      <c r="D2402">
        <v>9</v>
      </c>
      <c r="E2402" s="3">
        <f t="shared" si="36"/>
        <v>30</v>
      </c>
    </row>
    <row r="2403" spans="1:5" x14ac:dyDescent="0.2">
      <c r="A2403">
        <v>4</v>
      </c>
      <c r="B2403" t="s">
        <v>66</v>
      </c>
      <c r="C2403">
        <v>0</v>
      </c>
      <c r="D2403">
        <v>5</v>
      </c>
      <c r="E2403" s="3">
        <f t="shared" ref="E2403:E2466" si="37">IF(A2403=$A$1,E2402+1,E2402)</f>
        <v>30</v>
      </c>
    </row>
    <row r="2404" spans="1:5" x14ac:dyDescent="0.2">
      <c r="A2404">
        <v>5</v>
      </c>
      <c r="B2404" t="s">
        <v>500</v>
      </c>
      <c r="C2404">
        <v>0</v>
      </c>
      <c r="D2404">
        <v>3</v>
      </c>
      <c r="E2404" s="3">
        <f t="shared" si="37"/>
        <v>30</v>
      </c>
    </row>
    <row r="2405" spans="1:5" x14ac:dyDescent="0.2">
      <c r="A2405">
        <v>6</v>
      </c>
      <c r="B2405" t="s">
        <v>535</v>
      </c>
      <c r="C2405">
        <v>0</v>
      </c>
      <c r="D2405">
        <v>2</v>
      </c>
      <c r="E2405" s="3">
        <f t="shared" si="37"/>
        <v>30</v>
      </c>
    </row>
    <row r="2406" spans="1:5" x14ac:dyDescent="0.2">
      <c r="A2406">
        <v>7</v>
      </c>
      <c r="B2406" t="s">
        <v>479</v>
      </c>
      <c r="C2406">
        <v>0</v>
      </c>
      <c r="D2406">
        <v>1</v>
      </c>
      <c r="E2406" s="3">
        <f t="shared" si="37"/>
        <v>30</v>
      </c>
    </row>
    <row r="2407" spans="1:5" x14ac:dyDescent="0.2">
      <c r="A2407">
        <v>8</v>
      </c>
      <c r="B2407" s="2" t="s">
        <v>10</v>
      </c>
      <c r="C2407" s="2" t="s">
        <v>10</v>
      </c>
      <c r="D2407" s="2" t="s">
        <v>10</v>
      </c>
      <c r="E2407" s="3">
        <f t="shared" si="37"/>
        <v>30</v>
      </c>
    </row>
    <row r="2408" spans="1:5" x14ac:dyDescent="0.2">
      <c r="A2408" s="1" t="s">
        <v>542</v>
      </c>
      <c r="E2408" s="3">
        <f t="shared" si="37"/>
        <v>30</v>
      </c>
    </row>
    <row r="2409" spans="1:5" x14ac:dyDescent="0.2">
      <c r="A2409" s="1" t="s">
        <v>1</v>
      </c>
      <c r="B2409" s="1" t="s">
        <v>2</v>
      </c>
      <c r="C2409" s="1" t="s">
        <v>3</v>
      </c>
      <c r="D2409" s="1" t="s">
        <v>4</v>
      </c>
      <c r="E2409" s="3">
        <f t="shared" si="37"/>
        <v>30</v>
      </c>
    </row>
    <row r="2410" spans="1:5" x14ac:dyDescent="0.2">
      <c r="A2410">
        <v>1</v>
      </c>
      <c r="B2410" t="s">
        <v>501</v>
      </c>
      <c r="C2410">
        <v>3</v>
      </c>
      <c r="D2410">
        <v>17</v>
      </c>
      <c r="E2410" s="3">
        <f t="shared" si="37"/>
        <v>30</v>
      </c>
    </row>
    <row r="2411" spans="1:5" x14ac:dyDescent="0.2">
      <c r="A2411">
        <v>2</v>
      </c>
      <c r="B2411" t="s">
        <v>493</v>
      </c>
      <c r="C2411">
        <v>1</v>
      </c>
      <c r="D2411">
        <v>13</v>
      </c>
      <c r="E2411" s="3">
        <f t="shared" si="37"/>
        <v>30</v>
      </c>
    </row>
    <row r="2412" spans="1:5" x14ac:dyDescent="0.2">
      <c r="A2412">
        <v>3</v>
      </c>
      <c r="B2412" t="s">
        <v>490</v>
      </c>
      <c r="C2412">
        <v>1</v>
      </c>
      <c r="D2412">
        <v>9</v>
      </c>
      <c r="E2412" s="3">
        <f t="shared" si="37"/>
        <v>30</v>
      </c>
    </row>
    <row r="2413" spans="1:5" x14ac:dyDescent="0.2">
      <c r="A2413">
        <v>4</v>
      </c>
      <c r="B2413" t="s">
        <v>6</v>
      </c>
      <c r="C2413">
        <v>0</v>
      </c>
      <c r="D2413">
        <v>5</v>
      </c>
      <c r="E2413" s="3">
        <f t="shared" si="37"/>
        <v>30</v>
      </c>
    </row>
    <row r="2414" spans="1:5" x14ac:dyDescent="0.2">
      <c r="A2414">
        <v>5</v>
      </c>
      <c r="B2414" t="s">
        <v>40</v>
      </c>
      <c r="C2414">
        <v>1</v>
      </c>
      <c r="D2414">
        <v>3</v>
      </c>
      <c r="E2414" s="3">
        <f t="shared" si="37"/>
        <v>30</v>
      </c>
    </row>
    <row r="2415" spans="1:5" x14ac:dyDescent="0.2">
      <c r="A2415">
        <v>6</v>
      </c>
      <c r="B2415" t="s">
        <v>55</v>
      </c>
      <c r="C2415">
        <v>0</v>
      </c>
      <c r="D2415">
        <v>2</v>
      </c>
      <c r="E2415" s="3">
        <f t="shared" si="37"/>
        <v>30</v>
      </c>
    </row>
    <row r="2416" spans="1:5" x14ac:dyDescent="0.2">
      <c r="A2416">
        <v>7</v>
      </c>
      <c r="B2416" t="s">
        <v>345</v>
      </c>
      <c r="C2416">
        <v>0</v>
      </c>
      <c r="D2416">
        <v>1</v>
      </c>
      <c r="E2416" s="3">
        <f t="shared" si="37"/>
        <v>30</v>
      </c>
    </row>
    <row r="2417" spans="1:5" x14ac:dyDescent="0.2">
      <c r="A2417">
        <v>8</v>
      </c>
      <c r="B2417" s="2" t="s">
        <v>10</v>
      </c>
      <c r="C2417" s="2" t="s">
        <v>10</v>
      </c>
      <c r="D2417" s="2" t="s">
        <v>10</v>
      </c>
      <c r="E2417" s="3">
        <f t="shared" si="37"/>
        <v>30</v>
      </c>
    </row>
    <row r="2418" spans="1:5" x14ac:dyDescent="0.2">
      <c r="A2418" s="1" t="s">
        <v>543</v>
      </c>
      <c r="E2418" s="3">
        <f t="shared" si="37"/>
        <v>30</v>
      </c>
    </row>
    <row r="2419" spans="1:5" x14ac:dyDescent="0.2">
      <c r="A2419" s="1" t="s">
        <v>1</v>
      </c>
      <c r="B2419" s="1" t="s">
        <v>2</v>
      </c>
      <c r="C2419" s="1" t="s">
        <v>3</v>
      </c>
      <c r="D2419" s="1" t="s">
        <v>4</v>
      </c>
      <c r="E2419" s="3">
        <f t="shared" si="37"/>
        <v>30</v>
      </c>
    </row>
    <row r="2420" spans="1:5" x14ac:dyDescent="0.2">
      <c r="A2420">
        <v>1</v>
      </c>
      <c r="B2420" t="s">
        <v>512</v>
      </c>
      <c r="C2420">
        <v>4</v>
      </c>
      <c r="D2420">
        <v>16</v>
      </c>
      <c r="E2420" s="3">
        <f t="shared" si="37"/>
        <v>30</v>
      </c>
    </row>
    <row r="2421" spans="1:5" x14ac:dyDescent="0.2">
      <c r="A2421">
        <v>2</v>
      </c>
      <c r="B2421" t="s">
        <v>552</v>
      </c>
      <c r="C2421">
        <v>0</v>
      </c>
      <c r="D2421">
        <v>12</v>
      </c>
      <c r="E2421" s="3">
        <f t="shared" si="37"/>
        <v>30</v>
      </c>
    </row>
    <row r="2422" spans="1:5" x14ac:dyDescent="0.2">
      <c r="A2422">
        <v>3</v>
      </c>
      <c r="B2422" t="s">
        <v>503</v>
      </c>
      <c r="C2422">
        <v>1</v>
      </c>
      <c r="D2422">
        <v>8</v>
      </c>
      <c r="E2422" s="3">
        <f t="shared" si="37"/>
        <v>30</v>
      </c>
    </row>
    <row r="2423" spans="1:5" x14ac:dyDescent="0.2">
      <c r="A2423">
        <v>4</v>
      </c>
      <c r="B2423" t="s">
        <v>73</v>
      </c>
      <c r="C2423">
        <v>0</v>
      </c>
      <c r="D2423">
        <v>4</v>
      </c>
      <c r="E2423" s="3">
        <f t="shared" si="37"/>
        <v>30</v>
      </c>
    </row>
    <row r="2424" spans="1:5" x14ac:dyDescent="0.2">
      <c r="A2424">
        <v>5</v>
      </c>
      <c r="B2424" t="s">
        <v>556</v>
      </c>
      <c r="C2424">
        <v>0</v>
      </c>
      <c r="D2424">
        <v>2</v>
      </c>
      <c r="E2424" s="3">
        <f t="shared" si="37"/>
        <v>30</v>
      </c>
    </row>
    <row r="2425" spans="1:5" x14ac:dyDescent="0.2">
      <c r="A2425">
        <v>6</v>
      </c>
      <c r="B2425" t="s">
        <v>87</v>
      </c>
      <c r="C2425">
        <v>0</v>
      </c>
      <c r="D2425">
        <v>1</v>
      </c>
      <c r="E2425" s="3">
        <f t="shared" si="37"/>
        <v>30</v>
      </c>
    </row>
    <row r="2426" spans="1:5" x14ac:dyDescent="0.2">
      <c r="A2426">
        <v>7</v>
      </c>
      <c r="B2426" s="2" t="s">
        <v>10</v>
      </c>
      <c r="C2426" s="2" t="s">
        <v>10</v>
      </c>
      <c r="D2426" s="2" t="s">
        <v>10</v>
      </c>
      <c r="E2426" s="3">
        <f t="shared" si="37"/>
        <v>30</v>
      </c>
    </row>
    <row r="2427" spans="1:5" x14ac:dyDescent="0.2">
      <c r="A2427">
        <v>8</v>
      </c>
      <c r="B2427" s="2" t="s">
        <v>10</v>
      </c>
      <c r="C2427" s="2" t="s">
        <v>10</v>
      </c>
      <c r="D2427" s="2" t="s">
        <v>10</v>
      </c>
      <c r="E2427" s="3">
        <f t="shared" si="37"/>
        <v>30</v>
      </c>
    </row>
    <row r="2428" spans="1:5" x14ac:dyDescent="0.2">
      <c r="A2428" s="1" t="s">
        <v>544</v>
      </c>
      <c r="E2428" s="3">
        <f t="shared" si="37"/>
        <v>30</v>
      </c>
    </row>
    <row r="2429" spans="1:5" x14ac:dyDescent="0.2">
      <c r="A2429" s="1" t="s">
        <v>1</v>
      </c>
      <c r="B2429" s="1" t="s">
        <v>2</v>
      </c>
      <c r="C2429" s="1" t="s">
        <v>3</v>
      </c>
      <c r="D2429" s="1" t="s">
        <v>4</v>
      </c>
      <c r="E2429" s="3">
        <f t="shared" si="37"/>
        <v>30</v>
      </c>
    </row>
    <row r="2430" spans="1:5" x14ac:dyDescent="0.2">
      <c r="A2430">
        <v>1</v>
      </c>
      <c r="B2430" t="s">
        <v>554</v>
      </c>
      <c r="C2430">
        <v>4</v>
      </c>
      <c r="D2430">
        <v>16</v>
      </c>
      <c r="E2430" s="3">
        <f t="shared" si="37"/>
        <v>30</v>
      </c>
    </row>
    <row r="2431" spans="1:5" x14ac:dyDescent="0.2">
      <c r="A2431">
        <v>2</v>
      </c>
      <c r="B2431" t="s">
        <v>75</v>
      </c>
      <c r="C2431">
        <v>1</v>
      </c>
      <c r="D2431">
        <v>12</v>
      </c>
      <c r="E2431" s="3">
        <f t="shared" si="37"/>
        <v>30</v>
      </c>
    </row>
    <row r="2432" spans="1:5" x14ac:dyDescent="0.2">
      <c r="A2432">
        <v>3</v>
      </c>
      <c r="B2432" t="s">
        <v>475</v>
      </c>
      <c r="C2432">
        <v>0</v>
      </c>
      <c r="D2432">
        <v>8</v>
      </c>
      <c r="E2432" s="3">
        <f t="shared" si="37"/>
        <v>30</v>
      </c>
    </row>
    <row r="2433" spans="1:5" x14ac:dyDescent="0.2">
      <c r="A2433">
        <v>4</v>
      </c>
      <c r="B2433" t="s">
        <v>21</v>
      </c>
      <c r="C2433">
        <v>0</v>
      </c>
      <c r="D2433">
        <v>4</v>
      </c>
      <c r="E2433" s="3">
        <f t="shared" si="37"/>
        <v>30</v>
      </c>
    </row>
    <row r="2434" spans="1:5" x14ac:dyDescent="0.2">
      <c r="A2434">
        <v>5</v>
      </c>
      <c r="B2434" t="s">
        <v>65</v>
      </c>
      <c r="C2434">
        <v>0</v>
      </c>
      <c r="D2434">
        <v>2</v>
      </c>
      <c r="E2434" s="3">
        <f t="shared" si="37"/>
        <v>30</v>
      </c>
    </row>
    <row r="2435" spans="1:5" x14ac:dyDescent="0.2">
      <c r="A2435">
        <v>6</v>
      </c>
      <c r="B2435" t="s">
        <v>476</v>
      </c>
      <c r="C2435">
        <v>0</v>
      </c>
      <c r="D2435">
        <v>1</v>
      </c>
      <c r="E2435" s="3">
        <f t="shared" si="37"/>
        <v>30</v>
      </c>
    </row>
    <row r="2436" spans="1:5" x14ac:dyDescent="0.2">
      <c r="A2436">
        <v>7</v>
      </c>
      <c r="B2436" s="2" t="s">
        <v>10</v>
      </c>
      <c r="C2436" s="2" t="s">
        <v>10</v>
      </c>
      <c r="D2436" s="2" t="s">
        <v>10</v>
      </c>
      <c r="E2436" s="3">
        <f t="shared" si="37"/>
        <v>30</v>
      </c>
    </row>
    <row r="2437" spans="1:5" x14ac:dyDescent="0.2">
      <c r="A2437">
        <v>8</v>
      </c>
      <c r="B2437" s="2" t="s">
        <v>10</v>
      </c>
      <c r="C2437" s="2" t="s">
        <v>10</v>
      </c>
      <c r="D2437" s="2" t="s">
        <v>10</v>
      </c>
      <c r="E2437" s="3">
        <f t="shared" si="37"/>
        <v>30</v>
      </c>
    </row>
    <row r="2438" spans="1:5" x14ac:dyDescent="0.2">
      <c r="A2438" s="1" t="s">
        <v>0</v>
      </c>
      <c r="E2438" s="3">
        <f t="shared" si="37"/>
        <v>31</v>
      </c>
    </row>
    <row r="2439" spans="1:5" x14ac:dyDescent="0.2">
      <c r="A2439" s="1" t="s">
        <v>1</v>
      </c>
      <c r="B2439" s="1" t="s">
        <v>2</v>
      </c>
      <c r="C2439" s="1" t="s">
        <v>3</v>
      </c>
      <c r="D2439" s="1" t="s">
        <v>4</v>
      </c>
      <c r="E2439" s="3">
        <f t="shared" si="37"/>
        <v>31</v>
      </c>
    </row>
    <row r="2440" spans="1:5" x14ac:dyDescent="0.2">
      <c r="A2440">
        <v>0</v>
      </c>
      <c r="C2440">
        <v>0</v>
      </c>
      <c r="D2440">
        <v>0</v>
      </c>
      <c r="E2440" s="3">
        <f t="shared" si="37"/>
        <v>31</v>
      </c>
    </row>
    <row r="2441" spans="1:5" x14ac:dyDescent="0.2">
      <c r="A2441">
        <v>0</v>
      </c>
      <c r="C2441">
        <v>0</v>
      </c>
      <c r="D2441">
        <v>0</v>
      </c>
      <c r="E2441" s="3">
        <f t="shared" si="37"/>
        <v>31</v>
      </c>
    </row>
    <row r="2442" spans="1:5" x14ac:dyDescent="0.2">
      <c r="A2442">
        <v>1</v>
      </c>
      <c r="B2442" t="s">
        <v>512</v>
      </c>
      <c r="C2442">
        <v>4</v>
      </c>
      <c r="D2442">
        <v>16</v>
      </c>
      <c r="E2442" s="3">
        <f t="shared" si="37"/>
        <v>31</v>
      </c>
    </row>
    <row r="2443" spans="1:5" x14ac:dyDescent="0.2">
      <c r="A2443">
        <v>2</v>
      </c>
      <c r="B2443" t="s">
        <v>345</v>
      </c>
      <c r="C2443">
        <v>0</v>
      </c>
      <c r="D2443">
        <v>12</v>
      </c>
      <c r="E2443" s="3">
        <f t="shared" si="37"/>
        <v>31</v>
      </c>
    </row>
    <row r="2444" spans="1:5" x14ac:dyDescent="0.2">
      <c r="A2444">
        <v>3</v>
      </c>
      <c r="B2444" t="s">
        <v>46</v>
      </c>
      <c r="C2444">
        <v>1</v>
      </c>
      <c r="D2444">
        <v>8</v>
      </c>
      <c r="E2444" s="3">
        <f t="shared" si="37"/>
        <v>31</v>
      </c>
    </row>
    <row r="2445" spans="1:5" x14ac:dyDescent="0.2">
      <c r="A2445">
        <v>4</v>
      </c>
      <c r="B2445" t="s">
        <v>525</v>
      </c>
      <c r="C2445">
        <v>0</v>
      </c>
      <c r="D2445">
        <v>4</v>
      </c>
      <c r="E2445" s="3">
        <f t="shared" si="37"/>
        <v>31</v>
      </c>
    </row>
    <row r="2446" spans="1:5" x14ac:dyDescent="0.2">
      <c r="A2446">
        <v>5</v>
      </c>
      <c r="B2446" t="s">
        <v>485</v>
      </c>
      <c r="C2446">
        <v>0</v>
      </c>
      <c r="D2446">
        <v>2</v>
      </c>
      <c r="E2446" s="3">
        <f t="shared" si="37"/>
        <v>31</v>
      </c>
    </row>
    <row r="2447" spans="1:5" x14ac:dyDescent="0.2">
      <c r="A2447">
        <v>6</v>
      </c>
      <c r="B2447" t="s">
        <v>535</v>
      </c>
      <c r="C2447">
        <v>0</v>
      </c>
      <c r="D2447">
        <v>1</v>
      </c>
      <c r="E2447" s="3">
        <f t="shared" si="37"/>
        <v>31</v>
      </c>
    </row>
    <row r="2448" spans="1:5" x14ac:dyDescent="0.2">
      <c r="A2448">
        <v>9</v>
      </c>
      <c r="B2448" s="2" t="s">
        <v>10</v>
      </c>
      <c r="C2448" s="2" t="s">
        <v>10</v>
      </c>
      <c r="D2448" s="2" t="s">
        <v>10</v>
      </c>
      <c r="E2448" s="3">
        <f t="shared" si="37"/>
        <v>31</v>
      </c>
    </row>
    <row r="2449" spans="1:5" x14ac:dyDescent="0.2">
      <c r="A2449">
        <v>10</v>
      </c>
      <c r="B2449" s="2" t="s">
        <v>10</v>
      </c>
      <c r="C2449" s="2" t="s">
        <v>10</v>
      </c>
      <c r="D2449" s="2" t="s">
        <v>10</v>
      </c>
      <c r="E2449" s="3">
        <f t="shared" si="37"/>
        <v>31</v>
      </c>
    </row>
    <row r="2450" spans="1:5" x14ac:dyDescent="0.2">
      <c r="A2450" s="1" t="s">
        <v>11</v>
      </c>
      <c r="E2450" s="3">
        <f t="shared" si="37"/>
        <v>31</v>
      </c>
    </row>
    <row r="2451" spans="1:5" x14ac:dyDescent="0.2">
      <c r="A2451" s="1" t="s">
        <v>1</v>
      </c>
      <c r="B2451" s="1" t="s">
        <v>2</v>
      </c>
      <c r="C2451" s="1" t="s">
        <v>3</v>
      </c>
      <c r="D2451" s="1" t="s">
        <v>4</v>
      </c>
      <c r="E2451" s="3">
        <f t="shared" si="37"/>
        <v>31</v>
      </c>
    </row>
    <row r="2452" spans="1:5" x14ac:dyDescent="0.2">
      <c r="A2452">
        <v>1</v>
      </c>
      <c r="B2452" t="s">
        <v>554</v>
      </c>
      <c r="C2452">
        <v>2</v>
      </c>
      <c r="D2452">
        <v>16</v>
      </c>
      <c r="E2452" s="3">
        <f t="shared" si="37"/>
        <v>31</v>
      </c>
    </row>
    <row r="2453" spans="1:5" x14ac:dyDescent="0.2">
      <c r="A2453">
        <v>2</v>
      </c>
      <c r="B2453" t="s">
        <v>9</v>
      </c>
      <c r="C2453">
        <v>2</v>
      </c>
      <c r="D2453">
        <v>12</v>
      </c>
      <c r="E2453" s="3">
        <f t="shared" si="37"/>
        <v>31</v>
      </c>
    </row>
    <row r="2454" spans="1:5" x14ac:dyDescent="0.2">
      <c r="A2454">
        <v>3</v>
      </c>
      <c r="B2454" t="s">
        <v>35</v>
      </c>
      <c r="C2454">
        <v>1</v>
      </c>
      <c r="D2454">
        <v>8</v>
      </c>
      <c r="E2454" s="3">
        <f t="shared" si="37"/>
        <v>31</v>
      </c>
    </row>
    <row r="2455" spans="1:5" x14ac:dyDescent="0.2">
      <c r="A2455">
        <v>4</v>
      </c>
      <c r="B2455" t="s">
        <v>493</v>
      </c>
      <c r="C2455">
        <v>0</v>
      </c>
      <c r="D2455">
        <v>4</v>
      </c>
      <c r="E2455" s="3">
        <f t="shared" si="37"/>
        <v>31</v>
      </c>
    </row>
    <row r="2456" spans="1:5" x14ac:dyDescent="0.2">
      <c r="A2456">
        <v>5</v>
      </c>
      <c r="B2456" t="s">
        <v>42</v>
      </c>
      <c r="C2456">
        <v>0</v>
      </c>
      <c r="D2456">
        <v>2</v>
      </c>
      <c r="E2456" s="3">
        <f t="shared" si="37"/>
        <v>31</v>
      </c>
    </row>
    <row r="2457" spans="1:5" x14ac:dyDescent="0.2">
      <c r="A2457">
        <v>6</v>
      </c>
      <c r="B2457" t="s">
        <v>516</v>
      </c>
      <c r="C2457">
        <v>0</v>
      </c>
      <c r="D2457">
        <v>1</v>
      </c>
      <c r="E2457" s="3">
        <f t="shared" si="37"/>
        <v>31</v>
      </c>
    </row>
    <row r="2458" spans="1:5" x14ac:dyDescent="0.2">
      <c r="A2458">
        <v>7</v>
      </c>
      <c r="B2458" s="2" t="s">
        <v>10</v>
      </c>
      <c r="C2458" s="2" t="s">
        <v>10</v>
      </c>
      <c r="D2458" s="2" t="s">
        <v>10</v>
      </c>
      <c r="E2458" s="3">
        <f t="shared" si="37"/>
        <v>31</v>
      </c>
    </row>
    <row r="2459" spans="1:5" x14ac:dyDescent="0.2">
      <c r="A2459">
        <v>8</v>
      </c>
      <c r="B2459" s="2" t="s">
        <v>10</v>
      </c>
      <c r="C2459" s="2" t="s">
        <v>10</v>
      </c>
      <c r="D2459" s="2" t="s">
        <v>10</v>
      </c>
      <c r="E2459" s="3">
        <f t="shared" si="37"/>
        <v>31</v>
      </c>
    </row>
    <row r="2460" spans="1:5" x14ac:dyDescent="0.2">
      <c r="A2460" s="1" t="s">
        <v>17</v>
      </c>
      <c r="E2460" s="3">
        <f t="shared" si="37"/>
        <v>31</v>
      </c>
    </row>
    <row r="2461" spans="1:5" x14ac:dyDescent="0.2">
      <c r="A2461" s="1" t="s">
        <v>1</v>
      </c>
      <c r="B2461" s="1" t="s">
        <v>2</v>
      </c>
      <c r="C2461" s="1" t="s">
        <v>3</v>
      </c>
      <c r="D2461" s="1" t="s">
        <v>4</v>
      </c>
      <c r="E2461" s="3">
        <f t="shared" si="37"/>
        <v>31</v>
      </c>
    </row>
    <row r="2462" spans="1:5" x14ac:dyDescent="0.2">
      <c r="A2462">
        <v>1</v>
      </c>
      <c r="B2462" t="s">
        <v>61</v>
      </c>
      <c r="C2462">
        <v>2</v>
      </c>
      <c r="D2462">
        <v>16</v>
      </c>
      <c r="E2462" s="3">
        <f t="shared" si="37"/>
        <v>31</v>
      </c>
    </row>
    <row r="2463" spans="1:5" x14ac:dyDescent="0.2">
      <c r="A2463">
        <v>2</v>
      </c>
      <c r="B2463" t="s">
        <v>14</v>
      </c>
      <c r="C2463">
        <v>1</v>
      </c>
      <c r="D2463">
        <v>12</v>
      </c>
      <c r="E2463" s="3">
        <f t="shared" si="37"/>
        <v>31</v>
      </c>
    </row>
    <row r="2464" spans="1:5" x14ac:dyDescent="0.2">
      <c r="A2464">
        <v>3</v>
      </c>
      <c r="B2464" t="s">
        <v>55</v>
      </c>
      <c r="C2464">
        <v>2</v>
      </c>
      <c r="D2464">
        <v>8</v>
      </c>
      <c r="E2464" s="3">
        <f t="shared" si="37"/>
        <v>31</v>
      </c>
    </row>
    <row r="2465" spans="1:5" x14ac:dyDescent="0.2">
      <c r="A2465">
        <v>4</v>
      </c>
      <c r="B2465" t="s">
        <v>69</v>
      </c>
      <c r="C2465">
        <v>0</v>
      </c>
      <c r="D2465">
        <v>4</v>
      </c>
      <c r="E2465" s="3">
        <f t="shared" si="37"/>
        <v>31</v>
      </c>
    </row>
    <row r="2466" spans="1:5" x14ac:dyDescent="0.2">
      <c r="A2466">
        <v>5</v>
      </c>
      <c r="B2466" t="s">
        <v>479</v>
      </c>
      <c r="C2466">
        <v>0</v>
      </c>
      <c r="D2466">
        <v>2</v>
      </c>
      <c r="E2466" s="3">
        <f t="shared" si="37"/>
        <v>31</v>
      </c>
    </row>
    <row r="2467" spans="1:5" x14ac:dyDescent="0.2">
      <c r="A2467">
        <v>6</v>
      </c>
      <c r="B2467" t="s">
        <v>75</v>
      </c>
      <c r="C2467">
        <v>0</v>
      </c>
      <c r="D2467">
        <v>1</v>
      </c>
      <c r="E2467" s="3">
        <f t="shared" ref="E2467:E2530" si="38">IF(A2467=$A$1,E2466+1,E2466)</f>
        <v>31</v>
      </c>
    </row>
    <row r="2468" spans="1:5" x14ac:dyDescent="0.2">
      <c r="A2468">
        <v>7</v>
      </c>
      <c r="B2468" s="2" t="s">
        <v>10</v>
      </c>
      <c r="C2468" s="2" t="s">
        <v>10</v>
      </c>
      <c r="D2468" s="2" t="s">
        <v>10</v>
      </c>
      <c r="E2468" s="3">
        <f t="shared" si="38"/>
        <v>31</v>
      </c>
    </row>
    <row r="2469" spans="1:5" x14ac:dyDescent="0.2">
      <c r="A2469">
        <v>8</v>
      </c>
      <c r="B2469" s="2" t="s">
        <v>10</v>
      </c>
      <c r="C2469" s="2" t="s">
        <v>10</v>
      </c>
      <c r="D2469" s="2" t="s">
        <v>10</v>
      </c>
      <c r="E2469" s="3">
        <f t="shared" si="38"/>
        <v>31</v>
      </c>
    </row>
    <row r="2470" spans="1:5" x14ac:dyDescent="0.2">
      <c r="A2470" s="1" t="s">
        <v>24</v>
      </c>
      <c r="E2470" s="3">
        <f t="shared" si="38"/>
        <v>31</v>
      </c>
    </row>
    <row r="2471" spans="1:5" x14ac:dyDescent="0.2">
      <c r="A2471" s="1" t="s">
        <v>1</v>
      </c>
      <c r="B2471" s="1" t="s">
        <v>2</v>
      </c>
      <c r="C2471" s="1" t="s">
        <v>3</v>
      </c>
      <c r="D2471" s="1" t="s">
        <v>4</v>
      </c>
      <c r="E2471" s="3">
        <f t="shared" si="38"/>
        <v>31</v>
      </c>
    </row>
    <row r="2472" spans="1:5" x14ac:dyDescent="0.2">
      <c r="A2472">
        <v>1</v>
      </c>
      <c r="B2472" t="s">
        <v>558</v>
      </c>
      <c r="C2472">
        <v>4</v>
      </c>
      <c r="D2472">
        <v>16</v>
      </c>
      <c r="E2472" s="3">
        <f t="shared" si="38"/>
        <v>31</v>
      </c>
    </row>
    <row r="2473" spans="1:5" x14ac:dyDescent="0.2">
      <c r="A2473">
        <v>2</v>
      </c>
      <c r="B2473" t="s">
        <v>534</v>
      </c>
      <c r="C2473">
        <v>1</v>
      </c>
      <c r="D2473">
        <v>12</v>
      </c>
      <c r="E2473" s="3">
        <f t="shared" si="38"/>
        <v>31</v>
      </c>
    </row>
    <row r="2474" spans="1:5" x14ac:dyDescent="0.2">
      <c r="A2474">
        <v>3</v>
      </c>
      <c r="B2474" t="s">
        <v>508</v>
      </c>
      <c r="C2474">
        <v>0</v>
      </c>
      <c r="D2474">
        <v>8</v>
      </c>
      <c r="E2474" s="3">
        <f t="shared" si="38"/>
        <v>31</v>
      </c>
    </row>
    <row r="2475" spans="1:5" x14ac:dyDescent="0.2">
      <c r="A2475">
        <v>4</v>
      </c>
      <c r="B2475" t="s">
        <v>504</v>
      </c>
      <c r="C2475">
        <v>0</v>
      </c>
      <c r="D2475">
        <v>4</v>
      </c>
      <c r="E2475" s="3">
        <f t="shared" si="38"/>
        <v>31</v>
      </c>
    </row>
    <row r="2476" spans="1:5" x14ac:dyDescent="0.2">
      <c r="A2476">
        <v>5</v>
      </c>
      <c r="B2476" t="s">
        <v>32</v>
      </c>
      <c r="C2476">
        <v>0</v>
      </c>
      <c r="D2476">
        <v>2</v>
      </c>
      <c r="E2476" s="3">
        <f t="shared" si="38"/>
        <v>31</v>
      </c>
    </row>
    <row r="2477" spans="1:5" x14ac:dyDescent="0.2">
      <c r="A2477">
        <v>6</v>
      </c>
      <c r="B2477" t="s">
        <v>27</v>
      </c>
      <c r="C2477">
        <v>0</v>
      </c>
      <c r="D2477">
        <v>1</v>
      </c>
      <c r="E2477" s="3">
        <f t="shared" si="38"/>
        <v>31</v>
      </c>
    </row>
    <row r="2478" spans="1:5" x14ac:dyDescent="0.2">
      <c r="A2478">
        <v>7</v>
      </c>
      <c r="B2478" s="2" t="s">
        <v>10</v>
      </c>
      <c r="C2478" s="2" t="s">
        <v>10</v>
      </c>
      <c r="D2478" s="2" t="s">
        <v>10</v>
      </c>
      <c r="E2478" s="3">
        <f t="shared" si="38"/>
        <v>31</v>
      </c>
    </row>
    <row r="2479" spans="1:5" x14ac:dyDescent="0.2">
      <c r="A2479">
        <v>8</v>
      </c>
      <c r="B2479" s="2" t="s">
        <v>10</v>
      </c>
      <c r="C2479" s="2" t="s">
        <v>10</v>
      </c>
      <c r="D2479" s="2" t="s">
        <v>10</v>
      </c>
      <c r="E2479" s="3">
        <f t="shared" si="38"/>
        <v>31</v>
      </c>
    </row>
    <row r="2480" spans="1:5" x14ac:dyDescent="0.2">
      <c r="A2480" s="1" t="s">
        <v>30</v>
      </c>
      <c r="E2480" s="3">
        <f t="shared" si="38"/>
        <v>31</v>
      </c>
    </row>
    <row r="2481" spans="1:5" x14ac:dyDescent="0.2">
      <c r="A2481" s="1" t="s">
        <v>1</v>
      </c>
      <c r="B2481" s="1" t="s">
        <v>2</v>
      </c>
      <c r="C2481" s="1" t="s">
        <v>3</v>
      </c>
      <c r="D2481" s="1" t="s">
        <v>4</v>
      </c>
      <c r="E2481" s="3">
        <f t="shared" si="38"/>
        <v>31</v>
      </c>
    </row>
    <row r="2482" spans="1:5" x14ac:dyDescent="0.2">
      <c r="A2482">
        <v>1</v>
      </c>
      <c r="B2482" t="s">
        <v>73</v>
      </c>
      <c r="C2482">
        <v>4</v>
      </c>
      <c r="D2482">
        <v>17</v>
      </c>
      <c r="E2482" s="3">
        <f t="shared" si="38"/>
        <v>31</v>
      </c>
    </row>
    <row r="2483" spans="1:5" x14ac:dyDescent="0.2">
      <c r="A2483">
        <v>2</v>
      </c>
      <c r="B2483" t="s">
        <v>454</v>
      </c>
      <c r="C2483">
        <v>1</v>
      </c>
      <c r="D2483">
        <v>13</v>
      </c>
      <c r="E2483" s="3">
        <f t="shared" si="38"/>
        <v>31</v>
      </c>
    </row>
    <row r="2484" spans="1:5" x14ac:dyDescent="0.2">
      <c r="A2484">
        <v>3</v>
      </c>
      <c r="B2484" t="s">
        <v>505</v>
      </c>
      <c r="C2484">
        <v>1</v>
      </c>
      <c r="D2484">
        <v>9</v>
      </c>
      <c r="E2484" s="3">
        <f t="shared" si="38"/>
        <v>31</v>
      </c>
    </row>
    <row r="2485" spans="1:5" x14ac:dyDescent="0.2">
      <c r="A2485">
        <v>4</v>
      </c>
      <c r="B2485" t="s">
        <v>552</v>
      </c>
      <c r="C2485">
        <v>0</v>
      </c>
      <c r="D2485">
        <v>5</v>
      </c>
      <c r="E2485" s="3">
        <f t="shared" si="38"/>
        <v>31</v>
      </c>
    </row>
    <row r="2486" spans="1:5" x14ac:dyDescent="0.2">
      <c r="A2486">
        <v>5</v>
      </c>
      <c r="B2486" t="s">
        <v>66</v>
      </c>
      <c r="C2486">
        <v>0</v>
      </c>
      <c r="D2486">
        <v>3</v>
      </c>
      <c r="E2486" s="3">
        <f t="shared" si="38"/>
        <v>31</v>
      </c>
    </row>
    <row r="2487" spans="1:5" x14ac:dyDescent="0.2">
      <c r="A2487">
        <v>6</v>
      </c>
      <c r="B2487" t="s">
        <v>21</v>
      </c>
      <c r="C2487">
        <v>0</v>
      </c>
      <c r="D2487">
        <v>2</v>
      </c>
      <c r="E2487" s="3">
        <f t="shared" si="38"/>
        <v>31</v>
      </c>
    </row>
    <row r="2488" spans="1:5" x14ac:dyDescent="0.2">
      <c r="A2488">
        <v>7</v>
      </c>
      <c r="B2488" t="s">
        <v>475</v>
      </c>
      <c r="C2488">
        <v>0</v>
      </c>
      <c r="D2488">
        <v>1</v>
      </c>
      <c r="E2488" s="3">
        <f t="shared" si="38"/>
        <v>31</v>
      </c>
    </row>
    <row r="2489" spans="1:5" x14ac:dyDescent="0.2">
      <c r="A2489">
        <v>8</v>
      </c>
      <c r="B2489" s="2" t="s">
        <v>10</v>
      </c>
      <c r="C2489" s="2" t="s">
        <v>10</v>
      </c>
      <c r="D2489" s="2" t="s">
        <v>10</v>
      </c>
      <c r="E2489" s="3">
        <f t="shared" si="38"/>
        <v>31</v>
      </c>
    </row>
    <row r="2490" spans="1:5" x14ac:dyDescent="0.2">
      <c r="A2490" s="1" t="s">
        <v>37</v>
      </c>
      <c r="E2490" s="3">
        <f t="shared" si="38"/>
        <v>31</v>
      </c>
    </row>
    <row r="2491" spans="1:5" x14ac:dyDescent="0.2">
      <c r="A2491" s="1" t="s">
        <v>1</v>
      </c>
      <c r="B2491" s="1" t="s">
        <v>2</v>
      </c>
      <c r="C2491" s="1" t="s">
        <v>3</v>
      </c>
      <c r="D2491" s="1" t="s">
        <v>4</v>
      </c>
      <c r="E2491" s="3">
        <f t="shared" si="38"/>
        <v>31</v>
      </c>
    </row>
    <row r="2492" spans="1:5" x14ac:dyDescent="0.2">
      <c r="A2492">
        <v>1</v>
      </c>
      <c r="B2492" t="s">
        <v>506</v>
      </c>
      <c r="C2492">
        <v>4</v>
      </c>
      <c r="D2492">
        <v>17</v>
      </c>
      <c r="E2492" s="3">
        <f t="shared" si="38"/>
        <v>31</v>
      </c>
    </row>
    <row r="2493" spans="1:5" x14ac:dyDescent="0.2">
      <c r="A2493">
        <v>2</v>
      </c>
      <c r="B2493" t="s">
        <v>74</v>
      </c>
      <c r="C2493">
        <v>1</v>
      </c>
      <c r="D2493">
        <v>13</v>
      </c>
      <c r="E2493" s="3">
        <f t="shared" si="38"/>
        <v>31</v>
      </c>
    </row>
    <row r="2494" spans="1:5" x14ac:dyDescent="0.2">
      <c r="A2494">
        <v>3</v>
      </c>
      <c r="B2494" t="s">
        <v>461</v>
      </c>
      <c r="C2494">
        <v>0</v>
      </c>
      <c r="D2494">
        <v>9</v>
      </c>
      <c r="E2494" s="3">
        <f t="shared" si="38"/>
        <v>31</v>
      </c>
    </row>
    <row r="2495" spans="1:5" x14ac:dyDescent="0.2">
      <c r="A2495">
        <v>4</v>
      </c>
      <c r="B2495" t="s">
        <v>507</v>
      </c>
      <c r="C2495">
        <v>0</v>
      </c>
      <c r="D2495">
        <v>5</v>
      </c>
      <c r="E2495" s="3">
        <f t="shared" si="38"/>
        <v>31</v>
      </c>
    </row>
    <row r="2496" spans="1:5" x14ac:dyDescent="0.2">
      <c r="A2496">
        <v>5</v>
      </c>
      <c r="B2496" t="s">
        <v>65</v>
      </c>
      <c r="C2496">
        <v>1</v>
      </c>
      <c r="D2496">
        <v>3</v>
      </c>
      <c r="E2496" s="3">
        <f t="shared" si="38"/>
        <v>31</v>
      </c>
    </row>
    <row r="2497" spans="1:5" x14ac:dyDescent="0.2">
      <c r="A2497">
        <v>6</v>
      </c>
      <c r="B2497" t="s">
        <v>48</v>
      </c>
      <c r="C2497">
        <v>0</v>
      </c>
      <c r="D2497">
        <v>2</v>
      </c>
      <c r="E2497" s="3">
        <f t="shared" si="38"/>
        <v>31</v>
      </c>
    </row>
    <row r="2498" spans="1:5" x14ac:dyDescent="0.2">
      <c r="A2498">
        <v>7</v>
      </c>
      <c r="B2498" t="s">
        <v>280</v>
      </c>
      <c r="C2498">
        <v>0</v>
      </c>
      <c r="D2498">
        <v>1</v>
      </c>
      <c r="E2498" s="3">
        <f t="shared" si="38"/>
        <v>31</v>
      </c>
    </row>
    <row r="2499" spans="1:5" x14ac:dyDescent="0.2">
      <c r="A2499">
        <v>8</v>
      </c>
      <c r="B2499" s="2" t="s">
        <v>10</v>
      </c>
      <c r="C2499" s="2" t="s">
        <v>10</v>
      </c>
      <c r="D2499" s="2" t="s">
        <v>10</v>
      </c>
      <c r="E2499" s="3">
        <f t="shared" si="38"/>
        <v>31</v>
      </c>
    </row>
    <row r="2500" spans="1:5" x14ac:dyDescent="0.2">
      <c r="A2500" s="1" t="s">
        <v>44</v>
      </c>
      <c r="E2500" s="3">
        <f t="shared" si="38"/>
        <v>31</v>
      </c>
    </row>
    <row r="2501" spans="1:5" x14ac:dyDescent="0.2">
      <c r="A2501" s="1" t="s">
        <v>1</v>
      </c>
      <c r="B2501" s="1" t="s">
        <v>2</v>
      </c>
      <c r="C2501" s="1" t="s">
        <v>3</v>
      </c>
      <c r="D2501" s="1" t="s">
        <v>4</v>
      </c>
      <c r="E2501" s="3">
        <f t="shared" si="38"/>
        <v>31</v>
      </c>
    </row>
    <row r="2502" spans="1:5" x14ac:dyDescent="0.2">
      <c r="A2502">
        <v>1</v>
      </c>
      <c r="B2502" t="s">
        <v>6</v>
      </c>
      <c r="C2502">
        <v>4</v>
      </c>
      <c r="D2502">
        <v>16</v>
      </c>
      <c r="E2502" s="3">
        <f t="shared" si="38"/>
        <v>31</v>
      </c>
    </row>
    <row r="2503" spans="1:5" x14ac:dyDescent="0.2">
      <c r="A2503">
        <v>2</v>
      </c>
      <c r="B2503" t="s">
        <v>557</v>
      </c>
      <c r="C2503">
        <v>1</v>
      </c>
      <c r="D2503">
        <v>12</v>
      </c>
      <c r="E2503" s="3">
        <f t="shared" si="38"/>
        <v>31</v>
      </c>
    </row>
    <row r="2504" spans="1:5" x14ac:dyDescent="0.2">
      <c r="A2504">
        <v>3</v>
      </c>
      <c r="B2504" t="s">
        <v>88</v>
      </c>
      <c r="C2504">
        <v>0</v>
      </c>
      <c r="D2504">
        <v>8</v>
      </c>
      <c r="E2504" s="3">
        <f t="shared" si="38"/>
        <v>31</v>
      </c>
    </row>
    <row r="2505" spans="1:5" x14ac:dyDescent="0.2">
      <c r="A2505">
        <v>4</v>
      </c>
      <c r="B2505" t="s">
        <v>25</v>
      </c>
      <c r="C2505">
        <v>0</v>
      </c>
      <c r="D2505">
        <v>4</v>
      </c>
      <c r="E2505" s="3">
        <f t="shared" si="38"/>
        <v>31</v>
      </c>
    </row>
    <row r="2506" spans="1:5" x14ac:dyDescent="0.2">
      <c r="A2506">
        <v>5</v>
      </c>
      <c r="B2506" t="s">
        <v>76</v>
      </c>
      <c r="C2506">
        <v>0</v>
      </c>
      <c r="D2506">
        <v>2</v>
      </c>
      <c r="E2506" s="3">
        <f t="shared" si="38"/>
        <v>31</v>
      </c>
    </row>
    <row r="2507" spans="1:5" x14ac:dyDescent="0.2">
      <c r="A2507">
        <v>6</v>
      </c>
      <c r="B2507" t="s">
        <v>503</v>
      </c>
      <c r="C2507">
        <v>0</v>
      </c>
      <c r="D2507">
        <v>1</v>
      </c>
      <c r="E2507" s="3">
        <f t="shared" si="38"/>
        <v>31</v>
      </c>
    </row>
    <row r="2508" spans="1:5" x14ac:dyDescent="0.2">
      <c r="A2508">
        <v>7</v>
      </c>
      <c r="B2508" s="2" t="s">
        <v>10</v>
      </c>
      <c r="C2508" s="2" t="s">
        <v>10</v>
      </c>
      <c r="D2508" s="2" t="s">
        <v>10</v>
      </c>
      <c r="E2508" s="3">
        <f t="shared" si="38"/>
        <v>31</v>
      </c>
    </row>
    <row r="2509" spans="1:5" x14ac:dyDescent="0.2">
      <c r="A2509">
        <v>8</v>
      </c>
      <c r="B2509" s="2" t="s">
        <v>10</v>
      </c>
      <c r="C2509" s="2" t="s">
        <v>10</v>
      </c>
      <c r="D2509" s="2" t="s">
        <v>10</v>
      </c>
      <c r="E2509" s="3">
        <f t="shared" si="38"/>
        <v>31</v>
      </c>
    </row>
    <row r="2510" spans="1:5" x14ac:dyDescent="0.2">
      <c r="A2510" s="1" t="s">
        <v>51</v>
      </c>
      <c r="E2510" s="3">
        <f t="shared" si="38"/>
        <v>31</v>
      </c>
    </row>
    <row r="2511" spans="1:5" x14ac:dyDescent="0.2">
      <c r="A2511" s="1" t="s">
        <v>1</v>
      </c>
      <c r="B2511" s="1" t="s">
        <v>2</v>
      </c>
      <c r="C2511" s="1" t="s">
        <v>3</v>
      </c>
      <c r="D2511" s="1" t="s">
        <v>4</v>
      </c>
      <c r="E2511" s="3">
        <f t="shared" si="38"/>
        <v>31</v>
      </c>
    </row>
    <row r="2512" spans="1:5" x14ac:dyDescent="0.2">
      <c r="A2512">
        <v>1</v>
      </c>
      <c r="B2512" t="s">
        <v>501</v>
      </c>
      <c r="C2512">
        <v>4</v>
      </c>
      <c r="D2512">
        <v>16</v>
      </c>
      <c r="E2512" s="3">
        <f t="shared" si="38"/>
        <v>31</v>
      </c>
    </row>
    <row r="2513" spans="1:5" x14ac:dyDescent="0.2">
      <c r="A2513">
        <v>2</v>
      </c>
      <c r="B2513" t="s">
        <v>490</v>
      </c>
      <c r="C2513">
        <v>0</v>
      </c>
      <c r="D2513">
        <v>12</v>
      </c>
      <c r="E2513" s="3">
        <f t="shared" si="38"/>
        <v>31</v>
      </c>
    </row>
    <row r="2514" spans="1:5" x14ac:dyDescent="0.2">
      <c r="A2514">
        <v>3</v>
      </c>
      <c r="B2514" t="s">
        <v>19</v>
      </c>
      <c r="C2514">
        <v>0</v>
      </c>
      <c r="D2514">
        <v>8</v>
      </c>
      <c r="E2514" s="3">
        <f t="shared" si="38"/>
        <v>31</v>
      </c>
    </row>
    <row r="2515" spans="1:5" x14ac:dyDescent="0.2">
      <c r="A2515">
        <v>4</v>
      </c>
      <c r="B2515" t="s">
        <v>510</v>
      </c>
      <c r="C2515">
        <v>1</v>
      </c>
      <c r="D2515">
        <v>4</v>
      </c>
      <c r="E2515" s="3">
        <f t="shared" si="38"/>
        <v>31</v>
      </c>
    </row>
    <row r="2516" spans="1:5" x14ac:dyDescent="0.2">
      <c r="A2516">
        <v>5</v>
      </c>
      <c r="B2516" t="s">
        <v>559</v>
      </c>
      <c r="C2516">
        <v>0</v>
      </c>
      <c r="D2516">
        <v>2</v>
      </c>
      <c r="E2516" s="3">
        <f t="shared" si="38"/>
        <v>31</v>
      </c>
    </row>
    <row r="2517" spans="1:5" x14ac:dyDescent="0.2">
      <c r="A2517">
        <v>6</v>
      </c>
      <c r="B2517" t="s">
        <v>521</v>
      </c>
      <c r="C2517">
        <v>0</v>
      </c>
      <c r="D2517">
        <v>1</v>
      </c>
      <c r="E2517" s="3">
        <f t="shared" si="38"/>
        <v>31</v>
      </c>
    </row>
    <row r="2518" spans="1:5" x14ac:dyDescent="0.2">
      <c r="A2518">
        <v>7</v>
      </c>
      <c r="B2518" s="2" t="s">
        <v>10</v>
      </c>
      <c r="C2518" s="2" t="s">
        <v>10</v>
      </c>
      <c r="D2518" s="2" t="s">
        <v>10</v>
      </c>
      <c r="E2518" s="3">
        <f t="shared" si="38"/>
        <v>31</v>
      </c>
    </row>
    <row r="2519" spans="1:5" x14ac:dyDescent="0.2">
      <c r="A2519">
        <v>8</v>
      </c>
      <c r="B2519" s="2" t="s">
        <v>10</v>
      </c>
      <c r="C2519" s="2" t="s">
        <v>10</v>
      </c>
      <c r="D2519" s="2" t="s">
        <v>10</v>
      </c>
      <c r="E2519" s="3">
        <f t="shared" si="38"/>
        <v>31</v>
      </c>
    </row>
    <row r="2520" spans="1:5" x14ac:dyDescent="0.2">
      <c r="A2520" s="1" t="s">
        <v>0</v>
      </c>
      <c r="E2520" s="3">
        <f t="shared" si="38"/>
        <v>32</v>
      </c>
    </row>
    <row r="2521" spans="1:5" x14ac:dyDescent="0.2">
      <c r="A2521" s="1" t="s">
        <v>1</v>
      </c>
      <c r="B2521" s="1" t="s">
        <v>2</v>
      </c>
      <c r="C2521" s="1" t="s">
        <v>3</v>
      </c>
      <c r="D2521" s="1" t="s">
        <v>4</v>
      </c>
      <c r="E2521" s="3">
        <f t="shared" si="38"/>
        <v>32</v>
      </c>
    </row>
    <row r="2522" spans="1:5" x14ac:dyDescent="0.2">
      <c r="A2522">
        <v>1</v>
      </c>
      <c r="B2522" t="s">
        <v>502</v>
      </c>
      <c r="C2522">
        <v>2</v>
      </c>
      <c r="D2522">
        <v>16</v>
      </c>
      <c r="E2522" s="3">
        <f t="shared" si="38"/>
        <v>32</v>
      </c>
    </row>
    <row r="2523" spans="1:5" x14ac:dyDescent="0.2">
      <c r="A2523">
        <v>2</v>
      </c>
      <c r="B2523" t="s">
        <v>87</v>
      </c>
      <c r="C2523">
        <v>2</v>
      </c>
      <c r="D2523">
        <v>12</v>
      </c>
      <c r="E2523" s="3">
        <f t="shared" si="38"/>
        <v>32</v>
      </c>
    </row>
    <row r="2524" spans="1:5" x14ac:dyDescent="0.2">
      <c r="A2524">
        <v>3</v>
      </c>
      <c r="B2524" t="s">
        <v>479</v>
      </c>
      <c r="C2524">
        <v>1</v>
      </c>
      <c r="D2524">
        <v>8</v>
      </c>
      <c r="E2524" s="3">
        <f t="shared" si="38"/>
        <v>32</v>
      </c>
    </row>
    <row r="2525" spans="1:5" x14ac:dyDescent="0.2">
      <c r="A2525">
        <v>4</v>
      </c>
      <c r="B2525" t="s">
        <v>507</v>
      </c>
      <c r="C2525">
        <v>0</v>
      </c>
      <c r="D2525">
        <v>4</v>
      </c>
      <c r="E2525" s="3">
        <f t="shared" si="38"/>
        <v>32</v>
      </c>
    </row>
    <row r="2526" spans="1:5" x14ac:dyDescent="0.2">
      <c r="A2526">
        <v>5</v>
      </c>
      <c r="B2526" t="s">
        <v>493</v>
      </c>
      <c r="C2526">
        <v>0</v>
      </c>
      <c r="D2526">
        <v>2</v>
      </c>
      <c r="E2526" s="3">
        <f t="shared" si="38"/>
        <v>32</v>
      </c>
    </row>
    <row r="2527" spans="1:5" x14ac:dyDescent="0.2">
      <c r="A2527">
        <v>6</v>
      </c>
      <c r="B2527" t="s">
        <v>35</v>
      </c>
      <c r="C2527">
        <v>0</v>
      </c>
      <c r="D2527">
        <v>1</v>
      </c>
      <c r="E2527" s="3">
        <f t="shared" si="38"/>
        <v>32</v>
      </c>
    </row>
    <row r="2528" spans="1:5" x14ac:dyDescent="0.2">
      <c r="A2528">
        <v>7</v>
      </c>
      <c r="B2528" s="2" t="s">
        <v>10</v>
      </c>
      <c r="C2528" s="2" t="s">
        <v>10</v>
      </c>
      <c r="D2528" s="2" t="s">
        <v>10</v>
      </c>
      <c r="E2528" s="3">
        <f t="shared" si="38"/>
        <v>32</v>
      </c>
    </row>
    <row r="2529" spans="1:5" x14ac:dyDescent="0.2">
      <c r="A2529">
        <v>8</v>
      </c>
      <c r="B2529" s="2" t="s">
        <v>10</v>
      </c>
      <c r="C2529" s="2" t="s">
        <v>10</v>
      </c>
      <c r="D2529" s="2" t="s">
        <v>10</v>
      </c>
      <c r="E2529" s="3">
        <f t="shared" si="38"/>
        <v>32</v>
      </c>
    </row>
    <row r="2530" spans="1:5" x14ac:dyDescent="0.2">
      <c r="A2530" s="1" t="s">
        <v>11</v>
      </c>
      <c r="E2530" s="3">
        <f t="shared" si="38"/>
        <v>32</v>
      </c>
    </row>
    <row r="2531" spans="1:5" x14ac:dyDescent="0.2">
      <c r="A2531" s="1" t="s">
        <v>1</v>
      </c>
      <c r="B2531" s="1" t="s">
        <v>2</v>
      </c>
      <c r="C2531" s="1" t="s">
        <v>3</v>
      </c>
      <c r="D2531" s="1" t="s">
        <v>4</v>
      </c>
      <c r="E2531" s="3">
        <f t="shared" ref="E2531:E2594" si="39">IF(A2531=$A$1,E2530+1,E2530)</f>
        <v>32</v>
      </c>
    </row>
    <row r="2532" spans="1:5" x14ac:dyDescent="0.2">
      <c r="A2532">
        <v>1</v>
      </c>
      <c r="B2532" t="s">
        <v>558</v>
      </c>
      <c r="C2532">
        <v>2</v>
      </c>
      <c r="D2532">
        <v>16</v>
      </c>
      <c r="E2532" s="3">
        <f t="shared" si="39"/>
        <v>32</v>
      </c>
    </row>
    <row r="2533" spans="1:5" x14ac:dyDescent="0.2">
      <c r="A2533">
        <v>2</v>
      </c>
      <c r="B2533" t="s">
        <v>74</v>
      </c>
      <c r="C2533">
        <v>2</v>
      </c>
      <c r="D2533">
        <v>12</v>
      </c>
      <c r="E2533" s="3">
        <f t="shared" si="39"/>
        <v>32</v>
      </c>
    </row>
    <row r="2534" spans="1:5" x14ac:dyDescent="0.2">
      <c r="A2534">
        <v>3</v>
      </c>
      <c r="B2534" t="s">
        <v>515</v>
      </c>
      <c r="C2534">
        <v>0</v>
      </c>
      <c r="D2534">
        <v>8</v>
      </c>
      <c r="E2534" s="3">
        <f t="shared" si="39"/>
        <v>32</v>
      </c>
    </row>
    <row r="2535" spans="1:5" x14ac:dyDescent="0.2">
      <c r="A2535">
        <v>4</v>
      </c>
      <c r="B2535" t="s">
        <v>75</v>
      </c>
      <c r="C2535">
        <v>1</v>
      </c>
      <c r="D2535">
        <v>4</v>
      </c>
      <c r="E2535" s="3">
        <f t="shared" si="39"/>
        <v>32</v>
      </c>
    </row>
    <row r="2536" spans="1:5" x14ac:dyDescent="0.2">
      <c r="A2536">
        <v>5</v>
      </c>
      <c r="B2536" t="s">
        <v>65</v>
      </c>
      <c r="C2536">
        <v>0</v>
      </c>
      <c r="D2536">
        <v>2</v>
      </c>
      <c r="E2536" s="3">
        <f t="shared" si="39"/>
        <v>32</v>
      </c>
    </row>
    <row r="2537" spans="1:5" x14ac:dyDescent="0.2">
      <c r="A2537">
        <v>6</v>
      </c>
      <c r="B2537" t="s">
        <v>533</v>
      </c>
      <c r="C2537">
        <v>0</v>
      </c>
      <c r="D2537">
        <v>1</v>
      </c>
      <c r="E2537" s="3">
        <f t="shared" si="39"/>
        <v>32</v>
      </c>
    </row>
    <row r="2538" spans="1:5" x14ac:dyDescent="0.2">
      <c r="A2538">
        <v>7</v>
      </c>
      <c r="B2538" s="2" t="s">
        <v>10</v>
      </c>
      <c r="C2538" s="2" t="s">
        <v>10</v>
      </c>
      <c r="D2538" s="2" t="s">
        <v>10</v>
      </c>
      <c r="E2538" s="3">
        <f t="shared" si="39"/>
        <v>32</v>
      </c>
    </row>
    <row r="2539" spans="1:5" x14ac:dyDescent="0.2">
      <c r="A2539">
        <v>8</v>
      </c>
      <c r="B2539" s="2" t="s">
        <v>10</v>
      </c>
      <c r="C2539" s="2" t="s">
        <v>10</v>
      </c>
      <c r="D2539" s="2" t="s">
        <v>10</v>
      </c>
      <c r="E2539" s="3">
        <f t="shared" si="39"/>
        <v>32</v>
      </c>
    </row>
    <row r="2540" spans="1:5" x14ac:dyDescent="0.2">
      <c r="A2540" s="1" t="s">
        <v>17</v>
      </c>
      <c r="E2540" s="3">
        <f t="shared" si="39"/>
        <v>32</v>
      </c>
    </row>
    <row r="2541" spans="1:5" x14ac:dyDescent="0.2">
      <c r="A2541" s="1" t="s">
        <v>1</v>
      </c>
      <c r="B2541" s="1" t="s">
        <v>2</v>
      </c>
      <c r="C2541" s="1" t="s">
        <v>3</v>
      </c>
      <c r="D2541" s="1" t="s">
        <v>4</v>
      </c>
      <c r="E2541" s="3">
        <f t="shared" si="39"/>
        <v>32</v>
      </c>
    </row>
    <row r="2542" spans="1:5" x14ac:dyDescent="0.2">
      <c r="A2542">
        <v>1</v>
      </c>
      <c r="B2542" t="s">
        <v>516</v>
      </c>
      <c r="C2542">
        <v>5</v>
      </c>
      <c r="D2542">
        <v>16</v>
      </c>
      <c r="E2542" s="3">
        <f t="shared" si="39"/>
        <v>32</v>
      </c>
    </row>
    <row r="2543" spans="1:5" x14ac:dyDescent="0.2">
      <c r="A2543">
        <v>2</v>
      </c>
      <c r="B2543" t="s">
        <v>534</v>
      </c>
      <c r="C2543">
        <v>0</v>
      </c>
      <c r="D2543">
        <v>12</v>
      </c>
      <c r="E2543" s="3">
        <f t="shared" si="39"/>
        <v>32</v>
      </c>
    </row>
    <row r="2544" spans="1:5" x14ac:dyDescent="0.2">
      <c r="A2544">
        <v>3</v>
      </c>
      <c r="B2544" t="s">
        <v>61</v>
      </c>
      <c r="C2544">
        <v>0</v>
      </c>
      <c r="D2544">
        <v>8</v>
      </c>
      <c r="E2544" s="3">
        <f t="shared" si="39"/>
        <v>32</v>
      </c>
    </row>
    <row r="2545" spans="1:5" x14ac:dyDescent="0.2">
      <c r="A2545">
        <v>4</v>
      </c>
      <c r="B2545" t="s">
        <v>69</v>
      </c>
      <c r="C2545">
        <v>0</v>
      </c>
      <c r="D2545">
        <v>4</v>
      </c>
      <c r="E2545" s="3">
        <f t="shared" si="39"/>
        <v>32</v>
      </c>
    </row>
    <row r="2546" spans="1:5" x14ac:dyDescent="0.2">
      <c r="A2546">
        <v>5</v>
      </c>
      <c r="B2546" t="s">
        <v>27</v>
      </c>
      <c r="C2546">
        <v>0</v>
      </c>
      <c r="D2546">
        <v>2</v>
      </c>
      <c r="E2546" s="3">
        <f t="shared" si="39"/>
        <v>32</v>
      </c>
    </row>
    <row r="2547" spans="1:5" x14ac:dyDescent="0.2">
      <c r="A2547">
        <v>6</v>
      </c>
      <c r="B2547" t="s">
        <v>40</v>
      </c>
      <c r="C2547">
        <v>0</v>
      </c>
      <c r="D2547">
        <v>1</v>
      </c>
      <c r="E2547" s="3">
        <f t="shared" si="39"/>
        <v>32</v>
      </c>
    </row>
    <row r="2548" spans="1:5" x14ac:dyDescent="0.2">
      <c r="A2548">
        <v>7</v>
      </c>
      <c r="B2548" s="2" t="s">
        <v>10</v>
      </c>
      <c r="C2548" s="2" t="s">
        <v>10</v>
      </c>
      <c r="D2548" s="2" t="s">
        <v>10</v>
      </c>
      <c r="E2548" s="3">
        <f t="shared" si="39"/>
        <v>32</v>
      </c>
    </row>
    <row r="2549" spans="1:5" x14ac:dyDescent="0.2">
      <c r="A2549">
        <v>8</v>
      </c>
      <c r="B2549" s="2" t="s">
        <v>10</v>
      </c>
      <c r="C2549" s="2" t="s">
        <v>10</v>
      </c>
      <c r="D2549" s="2" t="s">
        <v>10</v>
      </c>
      <c r="E2549" s="3">
        <f t="shared" si="39"/>
        <v>32</v>
      </c>
    </row>
    <row r="2550" spans="1:5" x14ac:dyDescent="0.2">
      <c r="A2550" s="1" t="s">
        <v>24</v>
      </c>
      <c r="E2550" s="3">
        <f t="shared" si="39"/>
        <v>32</v>
      </c>
    </row>
    <row r="2551" spans="1:5" x14ac:dyDescent="0.2">
      <c r="A2551" s="1" t="s">
        <v>1</v>
      </c>
      <c r="B2551" s="1" t="s">
        <v>2</v>
      </c>
      <c r="C2551" s="1" t="s">
        <v>3</v>
      </c>
      <c r="D2551" s="1" t="s">
        <v>4</v>
      </c>
      <c r="E2551" s="3">
        <f t="shared" si="39"/>
        <v>32</v>
      </c>
    </row>
    <row r="2552" spans="1:5" x14ac:dyDescent="0.2">
      <c r="A2552">
        <v>1</v>
      </c>
      <c r="B2552" t="s">
        <v>73</v>
      </c>
      <c r="C2552">
        <v>3</v>
      </c>
      <c r="D2552">
        <v>16</v>
      </c>
      <c r="E2552" s="3">
        <f t="shared" si="39"/>
        <v>32</v>
      </c>
    </row>
    <row r="2553" spans="1:5" x14ac:dyDescent="0.2">
      <c r="A2553">
        <v>2</v>
      </c>
      <c r="B2553" t="s">
        <v>25</v>
      </c>
      <c r="C2553">
        <v>2</v>
      </c>
      <c r="D2553">
        <v>12</v>
      </c>
      <c r="E2553" s="3">
        <f t="shared" si="39"/>
        <v>32</v>
      </c>
    </row>
    <row r="2554" spans="1:5" x14ac:dyDescent="0.2">
      <c r="A2554">
        <v>3</v>
      </c>
      <c r="B2554" t="s">
        <v>280</v>
      </c>
      <c r="C2554">
        <v>0</v>
      </c>
      <c r="D2554">
        <v>8</v>
      </c>
      <c r="E2554" s="3">
        <f t="shared" si="39"/>
        <v>32</v>
      </c>
    </row>
    <row r="2555" spans="1:5" x14ac:dyDescent="0.2">
      <c r="A2555">
        <v>4</v>
      </c>
      <c r="B2555" t="s">
        <v>535</v>
      </c>
      <c r="C2555">
        <v>0</v>
      </c>
      <c r="D2555">
        <v>4</v>
      </c>
      <c r="E2555" s="3">
        <f t="shared" si="39"/>
        <v>32</v>
      </c>
    </row>
    <row r="2556" spans="1:5" x14ac:dyDescent="0.2">
      <c r="A2556">
        <v>5</v>
      </c>
      <c r="B2556" t="s">
        <v>48</v>
      </c>
      <c r="C2556">
        <v>0</v>
      </c>
      <c r="D2556">
        <v>2</v>
      </c>
      <c r="E2556" s="3">
        <f t="shared" si="39"/>
        <v>32</v>
      </c>
    </row>
    <row r="2557" spans="1:5" x14ac:dyDescent="0.2">
      <c r="A2557">
        <v>6</v>
      </c>
      <c r="B2557" t="s">
        <v>345</v>
      </c>
      <c r="C2557">
        <v>0</v>
      </c>
      <c r="D2557">
        <v>1</v>
      </c>
      <c r="E2557" s="3">
        <f t="shared" si="39"/>
        <v>32</v>
      </c>
    </row>
    <row r="2558" spans="1:5" x14ac:dyDescent="0.2">
      <c r="A2558">
        <v>7</v>
      </c>
      <c r="B2558" s="2" t="s">
        <v>10</v>
      </c>
      <c r="C2558" s="2" t="s">
        <v>10</v>
      </c>
      <c r="D2558" s="2" t="s">
        <v>10</v>
      </c>
      <c r="E2558" s="3">
        <f t="shared" si="39"/>
        <v>32</v>
      </c>
    </row>
    <row r="2559" spans="1:5" x14ac:dyDescent="0.2">
      <c r="A2559">
        <v>8</v>
      </c>
      <c r="B2559" s="2" t="s">
        <v>10</v>
      </c>
      <c r="C2559" s="2" t="s">
        <v>10</v>
      </c>
      <c r="D2559" s="2" t="s">
        <v>10</v>
      </c>
      <c r="E2559" s="3">
        <f t="shared" si="39"/>
        <v>32</v>
      </c>
    </row>
    <row r="2560" spans="1:5" x14ac:dyDescent="0.2">
      <c r="A2560" s="1" t="s">
        <v>30</v>
      </c>
      <c r="E2560" s="3">
        <f t="shared" si="39"/>
        <v>32</v>
      </c>
    </row>
    <row r="2561" spans="1:5" x14ac:dyDescent="0.2">
      <c r="A2561" s="1" t="s">
        <v>1</v>
      </c>
      <c r="B2561" s="1" t="s">
        <v>2</v>
      </c>
      <c r="C2561" s="1" t="s">
        <v>3</v>
      </c>
      <c r="D2561" s="1" t="s">
        <v>4</v>
      </c>
      <c r="E2561" s="3">
        <f t="shared" si="39"/>
        <v>32</v>
      </c>
    </row>
    <row r="2562" spans="1:5" x14ac:dyDescent="0.2">
      <c r="A2562">
        <v>1</v>
      </c>
      <c r="B2562" t="s">
        <v>452</v>
      </c>
      <c r="C2562">
        <v>2</v>
      </c>
      <c r="D2562">
        <v>16</v>
      </c>
      <c r="E2562" s="3">
        <f t="shared" si="39"/>
        <v>32</v>
      </c>
    </row>
    <row r="2563" spans="1:5" x14ac:dyDescent="0.2">
      <c r="A2563">
        <v>2</v>
      </c>
      <c r="B2563" t="s">
        <v>505</v>
      </c>
      <c r="C2563">
        <v>1</v>
      </c>
      <c r="D2563">
        <v>12</v>
      </c>
      <c r="E2563" s="3">
        <f t="shared" si="39"/>
        <v>32</v>
      </c>
    </row>
    <row r="2564" spans="1:5" x14ac:dyDescent="0.2">
      <c r="A2564">
        <v>3</v>
      </c>
      <c r="B2564" t="s">
        <v>484</v>
      </c>
      <c r="C2564">
        <v>1</v>
      </c>
      <c r="D2564">
        <v>8</v>
      </c>
      <c r="E2564" s="3">
        <f t="shared" si="39"/>
        <v>32</v>
      </c>
    </row>
    <row r="2565" spans="1:5" x14ac:dyDescent="0.2">
      <c r="A2565">
        <v>4</v>
      </c>
      <c r="B2565" t="s">
        <v>490</v>
      </c>
      <c r="C2565">
        <v>1</v>
      </c>
      <c r="D2565">
        <v>4</v>
      </c>
      <c r="E2565" s="3">
        <f t="shared" si="39"/>
        <v>32</v>
      </c>
    </row>
    <row r="2566" spans="1:5" x14ac:dyDescent="0.2">
      <c r="A2566">
        <v>5</v>
      </c>
      <c r="B2566" t="s">
        <v>525</v>
      </c>
      <c r="C2566">
        <v>0</v>
      </c>
      <c r="D2566">
        <v>2</v>
      </c>
      <c r="E2566" s="3">
        <f t="shared" si="39"/>
        <v>32</v>
      </c>
    </row>
    <row r="2567" spans="1:5" x14ac:dyDescent="0.2">
      <c r="A2567">
        <v>6</v>
      </c>
      <c r="B2567" t="s">
        <v>504</v>
      </c>
      <c r="C2567">
        <v>0</v>
      </c>
      <c r="D2567">
        <v>1</v>
      </c>
      <c r="E2567" s="3">
        <f t="shared" si="39"/>
        <v>32</v>
      </c>
    </row>
    <row r="2568" spans="1:5" x14ac:dyDescent="0.2">
      <c r="A2568">
        <v>7</v>
      </c>
      <c r="B2568" s="2" t="s">
        <v>10</v>
      </c>
      <c r="C2568" s="2" t="s">
        <v>10</v>
      </c>
      <c r="D2568" s="2" t="s">
        <v>10</v>
      </c>
      <c r="E2568" s="3">
        <f t="shared" si="39"/>
        <v>32</v>
      </c>
    </row>
    <row r="2569" spans="1:5" x14ac:dyDescent="0.2">
      <c r="A2569">
        <v>8</v>
      </c>
      <c r="B2569" s="2" t="s">
        <v>10</v>
      </c>
      <c r="C2569" s="2" t="s">
        <v>10</v>
      </c>
      <c r="D2569" s="2" t="s">
        <v>10</v>
      </c>
      <c r="E2569" s="3">
        <f t="shared" si="39"/>
        <v>32</v>
      </c>
    </row>
    <row r="2570" spans="1:5" x14ac:dyDescent="0.2">
      <c r="A2570" s="1" t="s">
        <v>44</v>
      </c>
      <c r="E2570" s="3">
        <f t="shared" si="39"/>
        <v>32</v>
      </c>
    </row>
    <row r="2571" spans="1:5" x14ac:dyDescent="0.2">
      <c r="A2571" s="1" t="s">
        <v>1</v>
      </c>
      <c r="B2571" s="1" t="s">
        <v>2</v>
      </c>
      <c r="C2571" s="1" t="s">
        <v>3</v>
      </c>
      <c r="D2571" s="1" t="s">
        <v>4</v>
      </c>
      <c r="E2571" s="3">
        <f t="shared" si="39"/>
        <v>32</v>
      </c>
    </row>
    <row r="2572" spans="1:5" x14ac:dyDescent="0.2">
      <c r="A2572">
        <v>1</v>
      </c>
      <c r="B2572" t="s">
        <v>510</v>
      </c>
      <c r="C2572">
        <v>3</v>
      </c>
      <c r="D2572">
        <v>16</v>
      </c>
      <c r="E2572" s="3">
        <f t="shared" si="39"/>
        <v>32</v>
      </c>
    </row>
    <row r="2573" spans="1:5" x14ac:dyDescent="0.2">
      <c r="A2573">
        <v>2</v>
      </c>
      <c r="B2573" t="s">
        <v>76</v>
      </c>
      <c r="C2573">
        <v>2</v>
      </c>
      <c r="D2573">
        <v>12</v>
      </c>
      <c r="E2573" s="3">
        <f t="shared" si="39"/>
        <v>32</v>
      </c>
    </row>
    <row r="2574" spans="1:5" x14ac:dyDescent="0.2">
      <c r="A2574">
        <v>3</v>
      </c>
      <c r="B2574" t="s">
        <v>6</v>
      </c>
      <c r="C2574">
        <v>0</v>
      </c>
      <c r="D2574">
        <v>8</v>
      </c>
      <c r="E2574" s="3">
        <f t="shared" si="39"/>
        <v>32</v>
      </c>
    </row>
    <row r="2575" spans="1:5" x14ac:dyDescent="0.2">
      <c r="A2575">
        <v>4</v>
      </c>
      <c r="B2575" t="s">
        <v>46</v>
      </c>
      <c r="C2575">
        <v>0</v>
      </c>
      <c r="D2575">
        <v>4</v>
      </c>
      <c r="E2575" s="3">
        <f t="shared" si="39"/>
        <v>32</v>
      </c>
    </row>
    <row r="2576" spans="1:5" x14ac:dyDescent="0.2">
      <c r="A2576">
        <v>5</v>
      </c>
      <c r="B2576" t="s">
        <v>66</v>
      </c>
      <c r="C2576">
        <v>0</v>
      </c>
      <c r="D2576">
        <v>2</v>
      </c>
      <c r="E2576" s="3">
        <f t="shared" si="39"/>
        <v>32</v>
      </c>
    </row>
    <row r="2577" spans="1:5" x14ac:dyDescent="0.2">
      <c r="A2577">
        <v>6</v>
      </c>
      <c r="B2577" t="s">
        <v>506</v>
      </c>
      <c r="C2577">
        <v>0</v>
      </c>
      <c r="D2577">
        <v>1</v>
      </c>
      <c r="E2577" s="3">
        <f t="shared" si="39"/>
        <v>32</v>
      </c>
    </row>
    <row r="2578" spans="1:5" x14ac:dyDescent="0.2">
      <c r="A2578">
        <v>7</v>
      </c>
      <c r="B2578" s="2" t="s">
        <v>10</v>
      </c>
      <c r="C2578" s="2" t="s">
        <v>10</v>
      </c>
      <c r="D2578" s="2" t="s">
        <v>10</v>
      </c>
      <c r="E2578" s="3">
        <f t="shared" si="39"/>
        <v>32</v>
      </c>
    </row>
    <row r="2579" spans="1:5" x14ac:dyDescent="0.2">
      <c r="A2579">
        <v>8</v>
      </c>
      <c r="B2579" s="2" t="s">
        <v>10</v>
      </c>
      <c r="C2579" s="2" t="s">
        <v>10</v>
      </c>
      <c r="D2579" s="2" t="s">
        <v>10</v>
      </c>
      <c r="E2579" s="3">
        <f t="shared" si="39"/>
        <v>32</v>
      </c>
    </row>
    <row r="2580" spans="1:5" x14ac:dyDescent="0.2">
      <c r="A2580" s="1" t="s">
        <v>51</v>
      </c>
      <c r="E2580" s="3">
        <f t="shared" si="39"/>
        <v>32</v>
      </c>
    </row>
    <row r="2581" spans="1:5" x14ac:dyDescent="0.2">
      <c r="A2581" s="1" t="s">
        <v>1</v>
      </c>
      <c r="B2581" s="1" t="s">
        <v>2</v>
      </c>
      <c r="C2581" s="1" t="s">
        <v>3</v>
      </c>
      <c r="D2581" s="1" t="s">
        <v>4</v>
      </c>
      <c r="E2581" s="3">
        <f t="shared" si="39"/>
        <v>32</v>
      </c>
    </row>
    <row r="2582" spans="1:5" x14ac:dyDescent="0.2">
      <c r="A2582">
        <v>0</v>
      </c>
      <c r="C2582">
        <v>0</v>
      </c>
      <c r="D2582">
        <v>0</v>
      </c>
      <c r="E2582" s="3">
        <f t="shared" si="39"/>
        <v>32</v>
      </c>
    </row>
    <row r="2583" spans="1:5" x14ac:dyDescent="0.2">
      <c r="A2583">
        <v>0</v>
      </c>
      <c r="C2583">
        <v>0</v>
      </c>
      <c r="D2583">
        <v>0</v>
      </c>
      <c r="E2583" s="3">
        <f t="shared" si="39"/>
        <v>32</v>
      </c>
    </row>
    <row r="2584" spans="1:5" x14ac:dyDescent="0.2">
      <c r="A2584">
        <v>0</v>
      </c>
      <c r="C2584">
        <v>0</v>
      </c>
      <c r="D2584">
        <v>0</v>
      </c>
      <c r="E2584" s="3">
        <f t="shared" si="39"/>
        <v>32</v>
      </c>
    </row>
    <row r="2585" spans="1:5" x14ac:dyDescent="0.2">
      <c r="A2585">
        <v>1</v>
      </c>
      <c r="B2585" t="s">
        <v>500</v>
      </c>
      <c r="C2585">
        <v>3</v>
      </c>
      <c r="D2585">
        <v>15</v>
      </c>
      <c r="E2585" s="3">
        <f t="shared" si="39"/>
        <v>32</v>
      </c>
    </row>
    <row r="2586" spans="1:5" x14ac:dyDescent="0.2">
      <c r="A2586">
        <v>2</v>
      </c>
      <c r="B2586" t="s">
        <v>32</v>
      </c>
      <c r="C2586">
        <v>1</v>
      </c>
      <c r="D2586">
        <v>11</v>
      </c>
      <c r="E2586" s="3">
        <f t="shared" si="39"/>
        <v>32</v>
      </c>
    </row>
    <row r="2587" spans="1:5" x14ac:dyDescent="0.2">
      <c r="A2587">
        <v>3</v>
      </c>
      <c r="B2587" t="s">
        <v>554</v>
      </c>
      <c r="C2587">
        <v>0</v>
      </c>
      <c r="D2587">
        <v>7</v>
      </c>
      <c r="E2587" s="3">
        <f t="shared" si="39"/>
        <v>32</v>
      </c>
    </row>
    <row r="2588" spans="1:5" x14ac:dyDescent="0.2">
      <c r="A2588">
        <v>4</v>
      </c>
      <c r="B2588" t="s">
        <v>14</v>
      </c>
      <c r="C2588">
        <v>0</v>
      </c>
      <c r="D2588">
        <v>3</v>
      </c>
      <c r="E2588" s="3">
        <f t="shared" si="39"/>
        <v>32</v>
      </c>
    </row>
    <row r="2589" spans="1:5" x14ac:dyDescent="0.2">
      <c r="A2589">
        <v>5</v>
      </c>
      <c r="B2589" t="s">
        <v>475</v>
      </c>
      <c r="C2589">
        <v>0</v>
      </c>
      <c r="D2589">
        <v>1</v>
      </c>
      <c r="E2589" s="3">
        <f t="shared" si="39"/>
        <v>32</v>
      </c>
    </row>
    <row r="2590" spans="1:5" x14ac:dyDescent="0.2">
      <c r="A2590">
        <v>9</v>
      </c>
      <c r="B2590" s="2" t="s">
        <v>10</v>
      </c>
      <c r="C2590" s="2" t="s">
        <v>10</v>
      </c>
      <c r="D2590" s="2" t="s">
        <v>10</v>
      </c>
      <c r="E2590" s="3">
        <f t="shared" si="39"/>
        <v>32</v>
      </c>
    </row>
    <row r="2591" spans="1:5" x14ac:dyDescent="0.2">
      <c r="A2591">
        <v>10</v>
      </c>
      <c r="B2591" s="2" t="s">
        <v>10</v>
      </c>
      <c r="C2591" s="2" t="s">
        <v>10</v>
      </c>
      <c r="D2591" s="2" t="s">
        <v>10</v>
      </c>
      <c r="E2591" s="3">
        <f t="shared" si="39"/>
        <v>32</v>
      </c>
    </row>
    <row r="2592" spans="1:5" x14ac:dyDescent="0.2">
      <c r="A2592">
        <v>11</v>
      </c>
      <c r="B2592" s="2" t="s">
        <v>10</v>
      </c>
      <c r="C2592" s="2" t="s">
        <v>10</v>
      </c>
      <c r="D2592" s="2" t="s">
        <v>10</v>
      </c>
      <c r="E2592" s="3">
        <f t="shared" si="39"/>
        <v>32</v>
      </c>
    </row>
    <row r="2593" spans="1:5" x14ac:dyDescent="0.2">
      <c r="A2593" s="1" t="s">
        <v>37</v>
      </c>
      <c r="E2593" s="3">
        <f t="shared" si="39"/>
        <v>32</v>
      </c>
    </row>
    <row r="2594" spans="1:5" x14ac:dyDescent="0.2">
      <c r="A2594" s="1" t="s">
        <v>1</v>
      </c>
      <c r="B2594" s="1" t="s">
        <v>2</v>
      </c>
      <c r="C2594" s="1" t="s">
        <v>3</v>
      </c>
      <c r="D2594" s="1" t="s">
        <v>4</v>
      </c>
      <c r="E2594" s="3">
        <f t="shared" si="39"/>
        <v>32</v>
      </c>
    </row>
    <row r="2595" spans="1:5" x14ac:dyDescent="0.2">
      <c r="A2595">
        <v>1</v>
      </c>
      <c r="B2595" t="s">
        <v>9</v>
      </c>
      <c r="C2595">
        <v>5</v>
      </c>
      <c r="D2595">
        <v>16</v>
      </c>
      <c r="E2595" s="3">
        <f t="shared" ref="E2595:E2658" si="40">IF(A2595=$A$1,E2594+1,E2594)</f>
        <v>32</v>
      </c>
    </row>
    <row r="2596" spans="1:5" x14ac:dyDescent="0.2">
      <c r="A2596">
        <v>2</v>
      </c>
      <c r="B2596" t="s">
        <v>552</v>
      </c>
      <c r="C2596">
        <v>0</v>
      </c>
      <c r="D2596">
        <v>12</v>
      </c>
      <c r="E2596" s="3">
        <f t="shared" si="40"/>
        <v>32</v>
      </c>
    </row>
    <row r="2597" spans="1:5" x14ac:dyDescent="0.2">
      <c r="A2597">
        <v>3</v>
      </c>
      <c r="B2597" t="s">
        <v>55</v>
      </c>
      <c r="C2597">
        <v>0</v>
      </c>
      <c r="D2597">
        <v>8</v>
      </c>
      <c r="E2597" s="3">
        <f t="shared" si="40"/>
        <v>32</v>
      </c>
    </row>
    <row r="2598" spans="1:5" x14ac:dyDescent="0.2">
      <c r="A2598">
        <v>4</v>
      </c>
      <c r="B2598" t="s">
        <v>21</v>
      </c>
      <c r="C2598">
        <v>0</v>
      </c>
      <c r="D2598">
        <v>4</v>
      </c>
      <c r="E2598" s="3">
        <f t="shared" si="40"/>
        <v>32</v>
      </c>
    </row>
    <row r="2599" spans="1:5" x14ac:dyDescent="0.2">
      <c r="A2599">
        <v>5</v>
      </c>
      <c r="B2599" t="s">
        <v>556</v>
      </c>
      <c r="C2599">
        <v>0</v>
      </c>
      <c r="D2599">
        <v>2</v>
      </c>
      <c r="E2599" s="3">
        <f t="shared" si="40"/>
        <v>32</v>
      </c>
    </row>
    <row r="2600" spans="1:5" x14ac:dyDescent="0.2">
      <c r="A2600">
        <v>6</v>
      </c>
      <c r="B2600" t="s">
        <v>503</v>
      </c>
      <c r="C2600">
        <v>0</v>
      </c>
      <c r="D2600">
        <v>1</v>
      </c>
      <c r="E2600" s="3">
        <f t="shared" si="40"/>
        <v>32</v>
      </c>
    </row>
    <row r="2601" spans="1:5" x14ac:dyDescent="0.2">
      <c r="A2601">
        <v>7</v>
      </c>
      <c r="B2601" s="2" t="s">
        <v>10</v>
      </c>
      <c r="C2601" s="2" t="s">
        <v>10</v>
      </c>
      <c r="D2601" s="2" t="s">
        <v>10</v>
      </c>
      <c r="E2601" s="3">
        <f t="shared" si="40"/>
        <v>32</v>
      </c>
    </row>
    <row r="2602" spans="1:5" x14ac:dyDescent="0.2">
      <c r="A2602">
        <v>8</v>
      </c>
      <c r="B2602" s="2" t="s">
        <v>10</v>
      </c>
      <c r="C2602" s="2" t="s">
        <v>10</v>
      </c>
      <c r="D2602" s="2" t="s">
        <v>10</v>
      </c>
      <c r="E2602" s="3">
        <f t="shared" si="40"/>
        <v>32</v>
      </c>
    </row>
    <row r="2603" spans="1:5" x14ac:dyDescent="0.2">
      <c r="A2603" s="1" t="s">
        <v>0</v>
      </c>
      <c r="E2603" s="3">
        <f t="shared" si="40"/>
        <v>33</v>
      </c>
    </row>
    <row r="2604" spans="1:5" x14ac:dyDescent="0.2">
      <c r="A2604" s="1" t="s">
        <v>1</v>
      </c>
      <c r="B2604" s="1" t="s">
        <v>2</v>
      </c>
      <c r="C2604" s="1" t="s">
        <v>3</v>
      </c>
      <c r="D2604" s="1" t="s">
        <v>4</v>
      </c>
      <c r="E2604" s="3">
        <f t="shared" si="40"/>
        <v>33</v>
      </c>
    </row>
    <row r="2605" spans="1:5" x14ac:dyDescent="0.2">
      <c r="A2605">
        <v>1</v>
      </c>
      <c r="B2605" t="s">
        <v>61</v>
      </c>
      <c r="C2605">
        <v>2</v>
      </c>
      <c r="D2605">
        <v>16</v>
      </c>
      <c r="E2605" s="3">
        <f t="shared" si="40"/>
        <v>33</v>
      </c>
    </row>
    <row r="2606" spans="1:5" x14ac:dyDescent="0.2">
      <c r="A2606">
        <v>2</v>
      </c>
      <c r="B2606" t="s">
        <v>76</v>
      </c>
      <c r="C2606">
        <v>3</v>
      </c>
      <c r="D2606">
        <v>12</v>
      </c>
      <c r="E2606" s="3">
        <f t="shared" si="40"/>
        <v>33</v>
      </c>
    </row>
    <row r="2607" spans="1:5" x14ac:dyDescent="0.2">
      <c r="A2607">
        <v>3</v>
      </c>
      <c r="B2607" t="s">
        <v>554</v>
      </c>
      <c r="C2607">
        <v>0</v>
      </c>
      <c r="D2607">
        <v>8</v>
      </c>
      <c r="E2607" s="3">
        <f t="shared" si="40"/>
        <v>33</v>
      </c>
    </row>
    <row r="2608" spans="1:5" x14ac:dyDescent="0.2">
      <c r="A2608">
        <v>4</v>
      </c>
      <c r="B2608" t="s">
        <v>35</v>
      </c>
      <c r="C2608">
        <v>0</v>
      </c>
      <c r="D2608">
        <v>4</v>
      </c>
      <c r="E2608" s="3">
        <f t="shared" si="40"/>
        <v>33</v>
      </c>
    </row>
    <row r="2609" spans="1:5" x14ac:dyDescent="0.2">
      <c r="A2609">
        <v>5</v>
      </c>
      <c r="B2609" t="s">
        <v>25</v>
      </c>
      <c r="C2609">
        <v>0</v>
      </c>
      <c r="D2609">
        <v>2</v>
      </c>
      <c r="E2609" s="3">
        <f t="shared" si="40"/>
        <v>33</v>
      </c>
    </row>
    <row r="2610" spans="1:5" x14ac:dyDescent="0.2">
      <c r="A2610">
        <v>6</v>
      </c>
      <c r="B2610" t="s">
        <v>559</v>
      </c>
      <c r="C2610">
        <v>0</v>
      </c>
      <c r="D2610">
        <v>1</v>
      </c>
      <c r="E2610" s="3">
        <f t="shared" si="40"/>
        <v>33</v>
      </c>
    </row>
    <row r="2611" spans="1:5" x14ac:dyDescent="0.2">
      <c r="A2611">
        <v>7</v>
      </c>
      <c r="B2611" s="2" t="s">
        <v>10</v>
      </c>
      <c r="C2611" s="2" t="s">
        <v>10</v>
      </c>
      <c r="D2611" s="2" t="s">
        <v>10</v>
      </c>
      <c r="E2611" s="3">
        <f t="shared" si="40"/>
        <v>33</v>
      </c>
    </row>
    <row r="2612" spans="1:5" x14ac:dyDescent="0.2">
      <c r="A2612">
        <v>8</v>
      </c>
      <c r="B2612" s="2" t="s">
        <v>10</v>
      </c>
      <c r="C2612" s="2" t="s">
        <v>10</v>
      </c>
      <c r="D2612" s="2" t="s">
        <v>10</v>
      </c>
      <c r="E2612" s="3">
        <f t="shared" si="40"/>
        <v>33</v>
      </c>
    </row>
    <row r="2613" spans="1:5" x14ac:dyDescent="0.2">
      <c r="A2613" s="1" t="s">
        <v>11</v>
      </c>
      <c r="E2613" s="3">
        <f t="shared" si="40"/>
        <v>33</v>
      </c>
    </row>
    <row r="2614" spans="1:5" x14ac:dyDescent="0.2">
      <c r="A2614" s="1" t="s">
        <v>1</v>
      </c>
      <c r="B2614" s="1" t="s">
        <v>2</v>
      </c>
      <c r="C2614" s="1" t="s">
        <v>3</v>
      </c>
      <c r="D2614" s="1" t="s">
        <v>4</v>
      </c>
      <c r="E2614" s="3">
        <f t="shared" si="40"/>
        <v>33</v>
      </c>
    </row>
    <row r="2615" spans="1:5" x14ac:dyDescent="0.2">
      <c r="A2615">
        <v>1</v>
      </c>
      <c r="B2615" t="s">
        <v>535</v>
      </c>
      <c r="C2615">
        <v>3</v>
      </c>
      <c r="D2615">
        <v>16</v>
      </c>
      <c r="E2615" s="3">
        <f t="shared" si="40"/>
        <v>33</v>
      </c>
    </row>
    <row r="2616" spans="1:5" x14ac:dyDescent="0.2">
      <c r="A2616">
        <v>2</v>
      </c>
      <c r="B2616" t="s">
        <v>46</v>
      </c>
      <c r="C2616">
        <v>2</v>
      </c>
      <c r="D2616">
        <v>12</v>
      </c>
      <c r="E2616" s="3">
        <f t="shared" si="40"/>
        <v>33</v>
      </c>
    </row>
    <row r="2617" spans="1:5" x14ac:dyDescent="0.2">
      <c r="A2617">
        <v>3</v>
      </c>
      <c r="B2617" t="s">
        <v>14</v>
      </c>
      <c r="C2617">
        <v>0</v>
      </c>
      <c r="D2617">
        <v>8</v>
      </c>
      <c r="E2617" s="3">
        <f t="shared" si="40"/>
        <v>33</v>
      </c>
    </row>
    <row r="2618" spans="1:5" x14ac:dyDescent="0.2">
      <c r="A2618">
        <v>4</v>
      </c>
      <c r="B2618" t="s">
        <v>74</v>
      </c>
      <c r="C2618">
        <v>0</v>
      </c>
      <c r="D2618">
        <v>4</v>
      </c>
      <c r="E2618" s="3">
        <f t="shared" si="40"/>
        <v>33</v>
      </c>
    </row>
    <row r="2619" spans="1:5" x14ac:dyDescent="0.2">
      <c r="A2619">
        <v>5</v>
      </c>
      <c r="B2619" t="s">
        <v>19</v>
      </c>
      <c r="C2619">
        <v>0</v>
      </c>
      <c r="D2619">
        <v>2</v>
      </c>
      <c r="E2619" s="3">
        <f t="shared" si="40"/>
        <v>33</v>
      </c>
    </row>
    <row r="2620" spans="1:5" x14ac:dyDescent="0.2">
      <c r="A2620">
        <v>6</v>
      </c>
      <c r="B2620" t="s">
        <v>485</v>
      </c>
      <c r="C2620">
        <v>0</v>
      </c>
      <c r="D2620">
        <v>1</v>
      </c>
      <c r="E2620" s="3">
        <f t="shared" si="40"/>
        <v>33</v>
      </c>
    </row>
    <row r="2621" spans="1:5" x14ac:dyDescent="0.2">
      <c r="A2621">
        <v>7</v>
      </c>
      <c r="B2621" s="2" t="s">
        <v>10</v>
      </c>
      <c r="C2621" s="2" t="s">
        <v>10</v>
      </c>
      <c r="D2621" s="2" t="s">
        <v>10</v>
      </c>
      <c r="E2621" s="3">
        <f t="shared" si="40"/>
        <v>33</v>
      </c>
    </row>
    <row r="2622" spans="1:5" x14ac:dyDescent="0.2">
      <c r="A2622">
        <v>8</v>
      </c>
      <c r="B2622" s="2" t="s">
        <v>10</v>
      </c>
      <c r="C2622" s="2" t="s">
        <v>10</v>
      </c>
      <c r="D2622" s="2" t="s">
        <v>10</v>
      </c>
      <c r="E2622" s="3">
        <f t="shared" si="40"/>
        <v>33</v>
      </c>
    </row>
    <row r="2623" spans="1:5" x14ac:dyDescent="0.2">
      <c r="A2623" s="1" t="s">
        <v>17</v>
      </c>
      <c r="E2623" s="3">
        <f t="shared" si="40"/>
        <v>33</v>
      </c>
    </row>
    <row r="2624" spans="1:5" x14ac:dyDescent="0.2">
      <c r="A2624" s="1" t="s">
        <v>1</v>
      </c>
      <c r="B2624" s="1" t="s">
        <v>2</v>
      </c>
      <c r="C2624" s="1" t="s">
        <v>3</v>
      </c>
      <c r="D2624" s="1" t="s">
        <v>4</v>
      </c>
      <c r="E2624" s="3">
        <f t="shared" si="40"/>
        <v>33</v>
      </c>
    </row>
    <row r="2625" spans="1:5" x14ac:dyDescent="0.2">
      <c r="A2625">
        <v>1</v>
      </c>
      <c r="B2625" t="s">
        <v>507</v>
      </c>
      <c r="C2625">
        <v>3</v>
      </c>
      <c r="D2625">
        <v>16</v>
      </c>
      <c r="E2625" s="3">
        <f t="shared" si="40"/>
        <v>33</v>
      </c>
    </row>
    <row r="2626" spans="1:5" x14ac:dyDescent="0.2">
      <c r="A2626">
        <v>2</v>
      </c>
      <c r="B2626" t="s">
        <v>280</v>
      </c>
      <c r="C2626">
        <v>0</v>
      </c>
      <c r="D2626">
        <v>12</v>
      </c>
      <c r="E2626" s="3">
        <f t="shared" si="40"/>
        <v>33</v>
      </c>
    </row>
    <row r="2627" spans="1:5" x14ac:dyDescent="0.2">
      <c r="A2627">
        <v>3</v>
      </c>
      <c r="B2627" t="s">
        <v>534</v>
      </c>
      <c r="C2627">
        <v>0</v>
      </c>
      <c r="D2627">
        <v>8</v>
      </c>
      <c r="E2627" s="3">
        <f t="shared" si="40"/>
        <v>33</v>
      </c>
    </row>
    <row r="2628" spans="1:5" x14ac:dyDescent="0.2">
      <c r="A2628">
        <v>4</v>
      </c>
      <c r="B2628" t="s">
        <v>533</v>
      </c>
      <c r="C2628">
        <v>2</v>
      </c>
      <c r="D2628">
        <v>4</v>
      </c>
      <c r="E2628" s="3">
        <f t="shared" si="40"/>
        <v>33</v>
      </c>
    </row>
    <row r="2629" spans="1:5" x14ac:dyDescent="0.2">
      <c r="A2629">
        <v>5</v>
      </c>
      <c r="B2629" t="s">
        <v>475</v>
      </c>
      <c r="C2629">
        <v>0</v>
      </c>
      <c r="D2629">
        <v>2</v>
      </c>
      <c r="E2629" s="3">
        <f t="shared" si="40"/>
        <v>33</v>
      </c>
    </row>
    <row r="2630" spans="1:5" x14ac:dyDescent="0.2">
      <c r="A2630">
        <v>6</v>
      </c>
      <c r="B2630" t="s">
        <v>493</v>
      </c>
      <c r="C2630">
        <v>0</v>
      </c>
      <c r="D2630">
        <v>1</v>
      </c>
      <c r="E2630" s="3">
        <f t="shared" si="40"/>
        <v>33</v>
      </c>
    </row>
    <row r="2631" spans="1:5" x14ac:dyDescent="0.2">
      <c r="A2631">
        <v>7</v>
      </c>
      <c r="B2631" s="2" t="s">
        <v>10</v>
      </c>
      <c r="C2631" s="2" t="s">
        <v>10</v>
      </c>
      <c r="D2631" s="2" t="s">
        <v>10</v>
      </c>
      <c r="E2631" s="3">
        <f t="shared" si="40"/>
        <v>33</v>
      </c>
    </row>
    <row r="2632" spans="1:5" x14ac:dyDescent="0.2">
      <c r="A2632">
        <v>8</v>
      </c>
      <c r="B2632" s="2" t="s">
        <v>10</v>
      </c>
      <c r="C2632" s="2" t="s">
        <v>10</v>
      </c>
      <c r="D2632" s="2" t="s">
        <v>10</v>
      </c>
      <c r="E2632" s="3">
        <f t="shared" si="40"/>
        <v>33</v>
      </c>
    </row>
    <row r="2633" spans="1:5" x14ac:dyDescent="0.2">
      <c r="A2633" s="1" t="s">
        <v>24</v>
      </c>
      <c r="E2633" s="3">
        <f t="shared" si="40"/>
        <v>33</v>
      </c>
    </row>
    <row r="2634" spans="1:5" x14ac:dyDescent="0.2">
      <c r="A2634" s="1" t="s">
        <v>1</v>
      </c>
      <c r="B2634" s="1" t="s">
        <v>2</v>
      </c>
      <c r="C2634" s="1" t="s">
        <v>3</v>
      </c>
      <c r="D2634" s="1" t="s">
        <v>4</v>
      </c>
      <c r="E2634" s="3">
        <f t="shared" si="40"/>
        <v>33</v>
      </c>
    </row>
    <row r="2635" spans="1:5" x14ac:dyDescent="0.2">
      <c r="A2635">
        <v>1</v>
      </c>
      <c r="B2635" t="s">
        <v>9</v>
      </c>
      <c r="C2635">
        <v>3</v>
      </c>
      <c r="D2635">
        <v>16</v>
      </c>
      <c r="E2635" s="3">
        <f t="shared" si="40"/>
        <v>33</v>
      </c>
    </row>
    <row r="2636" spans="1:5" x14ac:dyDescent="0.2">
      <c r="A2636">
        <v>2</v>
      </c>
      <c r="B2636" t="s">
        <v>32</v>
      </c>
      <c r="C2636">
        <v>1</v>
      </c>
      <c r="D2636">
        <v>12</v>
      </c>
      <c r="E2636" s="3">
        <f t="shared" si="40"/>
        <v>33</v>
      </c>
    </row>
    <row r="2637" spans="1:5" x14ac:dyDescent="0.2">
      <c r="A2637">
        <v>3</v>
      </c>
      <c r="B2637" t="s">
        <v>21</v>
      </c>
      <c r="C2637">
        <v>1</v>
      </c>
      <c r="D2637">
        <v>8</v>
      </c>
      <c r="E2637" s="3">
        <f t="shared" si="40"/>
        <v>33</v>
      </c>
    </row>
    <row r="2638" spans="1:5" x14ac:dyDescent="0.2">
      <c r="A2638">
        <v>4</v>
      </c>
      <c r="B2638" t="s">
        <v>461</v>
      </c>
      <c r="C2638">
        <v>0</v>
      </c>
      <c r="D2638">
        <v>4</v>
      </c>
      <c r="E2638" s="3">
        <f t="shared" si="40"/>
        <v>33</v>
      </c>
    </row>
    <row r="2639" spans="1:5" x14ac:dyDescent="0.2">
      <c r="A2639">
        <v>5</v>
      </c>
      <c r="B2639" t="s">
        <v>69</v>
      </c>
      <c r="C2639">
        <v>0</v>
      </c>
      <c r="D2639">
        <v>2</v>
      </c>
      <c r="E2639" s="3">
        <f t="shared" si="40"/>
        <v>33</v>
      </c>
    </row>
    <row r="2640" spans="1:5" x14ac:dyDescent="0.2">
      <c r="A2640">
        <v>6</v>
      </c>
      <c r="B2640" t="s">
        <v>476</v>
      </c>
      <c r="C2640">
        <v>0</v>
      </c>
      <c r="D2640">
        <v>1</v>
      </c>
      <c r="E2640" s="3">
        <f t="shared" si="40"/>
        <v>33</v>
      </c>
    </row>
    <row r="2641" spans="1:5" x14ac:dyDescent="0.2">
      <c r="A2641">
        <v>7</v>
      </c>
      <c r="B2641" s="2" t="s">
        <v>10</v>
      </c>
      <c r="C2641" s="2" t="s">
        <v>10</v>
      </c>
      <c r="D2641" s="2" t="s">
        <v>10</v>
      </c>
      <c r="E2641" s="3">
        <f t="shared" si="40"/>
        <v>33</v>
      </c>
    </row>
    <row r="2642" spans="1:5" x14ac:dyDescent="0.2">
      <c r="A2642">
        <v>8</v>
      </c>
      <c r="B2642" s="2" t="s">
        <v>10</v>
      </c>
      <c r="C2642" s="2" t="s">
        <v>10</v>
      </c>
      <c r="D2642" s="2" t="s">
        <v>10</v>
      </c>
      <c r="E2642" s="3">
        <f t="shared" si="40"/>
        <v>33</v>
      </c>
    </row>
    <row r="2643" spans="1:5" x14ac:dyDescent="0.2">
      <c r="A2643" s="1" t="s">
        <v>30</v>
      </c>
      <c r="E2643" s="3">
        <f t="shared" si="40"/>
        <v>33</v>
      </c>
    </row>
    <row r="2644" spans="1:5" x14ac:dyDescent="0.2">
      <c r="A2644" s="1" t="s">
        <v>1</v>
      </c>
      <c r="B2644" s="1" t="s">
        <v>2</v>
      </c>
      <c r="C2644" s="1" t="s">
        <v>3</v>
      </c>
      <c r="D2644" s="1" t="s">
        <v>4</v>
      </c>
      <c r="E2644" s="3">
        <f t="shared" si="40"/>
        <v>33</v>
      </c>
    </row>
    <row r="2645" spans="1:5" x14ac:dyDescent="0.2">
      <c r="A2645">
        <v>1</v>
      </c>
      <c r="B2645" t="s">
        <v>509</v>
      </c>
      <c r="C2645">
        <v>4</v>
      </c>
      <c r="D2645">
        <v>16</v>
      </c>
      <c r="E2645" s="3">
        <f t="shared" si="40"/>
        <v>33</v>
      </c>
    </row>
    <row r="2646" spans="1:5" x14ac:dyDescent="0.2">
      <c r="A2646">
        <v>2</v>
      </c>
      <c r="B2646" t="s">
        <v>55</v>
      </c>
      <c r="C2646">
        <v>1</v>
      </c>
      <c r="D2646">
        <v>12</v>
      </c>
      <c r="E2646" s="3">
        <f t="shared" si="40"/>
        <v>33</v>
      </c>
    </row>
    <row r="2647" spans="1:5" x14ac:dyDescent="0.2">
      <c r="A2647">
        <v>3</v>
      </c>
      <c r="B2647" t="s">
        <v>558</v>
      </c>
      <c r="C2647">
        <v>0</v>
      </c>
      <c r="D2647">
        <v>8</v>
      </c>
      <c r="E2647" s="3">
        <f t="shared" si="40"/>
        <v>33</v>
      </c>
    </row>
    <row r="2648" spans="1:5" x14ac:dyDescent="0.2">
      <c r="A2648">
        <v>4</v>
      </c>
      <c r="B2648" t="s">
        <v>75</v>
      </c>
      <c r="C2648">
        <v>0</v>
      </c>
      <c r="D2648">
        <v>4</v>
      </c>
      <c r="E2648" s="3">
        <f t="shared" si="40"/>
        <v>33</v>
      </c>
    </row>
    <row r="2649" spans="1:5" x14ac:dyDescent="0.2">
      <c r="A2649">
        <v>5</v>
      </c>
      <c r="B2649" t="s">
        <v>479</v>
      </c>
      <c r="C2649">
        <v>0</v>
      </c>
      <c r="D2649">
        <v>2</v>
      </c>
      <c r="E2649" s="3">
        <f t="shared" si="40"/>
        <v>33</v>
      </c>
    </row>
    <row r="2650" spans="1:5" x14ac:dyDescent="0.2">
      <c r="A2650">
        <v>6</v>
      </c>
      <c r="B2650" t="s">
        <v>512</v>
      </c>
      <c r="C2650">
        <v>0</v>
      </c>
      <c r="D2650">
        <v>1</v>
      </c>
      <c r="E2650" s="3">
        <f t="shared" si="40"/>
        <v>33</v>
      </c>
    </row>
    <row r="2651" spans="1:5" x14ac:dyDescent="0.2">
      <c r="A2651">
        <v>7</v>
      </c>
      <c r="B2651" s="2" t="s">
        <v>10</v>
      </c>
      <c r="C2651" s="2" t="s">
        <v>10</v>
      </c>
      <c r="D2651" s="2" t="s">
        <v>10</v>
      </c>
      <c r="E2651" s="3">
        <f t="shared" si="40"/>
        <v>33</v>
      </c>
    </row>
    <row r="2652" spans="1:5" x14ac:dyDescent="0.2">
      <c r="A2652">
        <v>8</v>
      </c>
      <c r="B2652" s="2" t="s">
        <v>10</v>
      </c>
      <c r="C2652" s="2" t="s">
        <v>10</v>
      </c>
      <c r="D2652" s="2" t="s">
        <v>10</v>
      </c>
      <c r="E2652" s="3">
        <f t="shared" si="40"/>
        <v>33</v>
      </c>
    </row>
    <row r="2653" spans="1:5" x14ac:dyDescent="0.2">
      <c r="A2653" s="1" t="s">
        <v>37</v>
      </c>
      <c r="E2653" s="3">
        <f t="shared" si="40"/>
        <v>33</v>
      </c>
    </row>
    <row r="2654" spans="1:5" x14ac:dyDescent="0.2">
      <c r="A2654" s="1" t="s">
        <v>1</v>
      </c>
      <c r="B2654" s="1" t="s">
        <v>2</v>
      </c>
      <c r="C2654" s="1" t="s">
        <v>3</v>
      </c>
      <c r="D2654" s="1" t="s">
        <v>4</v>
      </c>
      <c r="E2654" s="3">
        <f t="shared" si="40"/>
        <v>33</v>
      </c>
    </row>
    <row r="2655" spans="1:5" x14ac:dyDescent="0.2">
      <c r="A2655">
        <v>1</v>
      </c>
      <c r="B2655" t="s">
        <v>65</v>
      </c>
      <c r="C2655">
        <v>3</v>
      </c>
      <c r="D2655">
        <v>16</v>
      </c>
      <c r="E2655" s="3">
        <f t="shared" si="40"/>
        <v>33</v>
      </c>
    </row>
    <row r="2656" spans="1:5" x14ac:dyDescent="0.2">
      <c r="A2656">
        <v>2</v>
      </c>
      <c r="B2656" t="s">
        <v>66</v>
      </c>
      <c r="C2656">
        <v>0</v>
      </c>
      <c r="D2656">
        <v>12</v>
      </c>
      <c r="E2656" s="3">
        <f t="shared" si="40"/>
        <v>33</v>
      </c>
    </row>
    <row r="2657" spans="1:5" x14ac:dyDescent="0.2">
      <c r="A2657">
        <v>3</v>
      </c>
      <c r="B2657" t="s">
        <v>557</v>
      </c>
      <c r="C2657">
        <v>2</v>
      </c>
      <c r="D2657">
        <v>8</v>
      </c>
      <c r="E2657" s="3">
        <f t="shared" si="40"/>
        <v>33</v>
      </c>
    </row>
    <row r="2658" spans="1:5" x14ac:dyDescent="0.2">
      <c r="A2658">
        <v>4</v>
      </c>
      <c r="B2658" t="s">
        <v>505</v>
      </c>
      <c r="C2658">
        <v>0</v>
      </c>
      <c r="D2658">
        <v>4</v>
      </c>
      <c r="E2658" s="3">
        <f t="shared" si="40"/>
        <v>33</v>
      </c>
    </row>
    <row r="2659" spans="1:5" x14ac:dyDescent="0.2">
      <c r="A2659">
        <v>5</v>
      </c>
      <c r="B2659" t="s">
        <v>345</v>
      </c>
      <c r="C2659">
        <v>0</v>
      </c>
      <c r="D2659">
        <v>2</v>
      </c>
      <c r="E2659" s="3">
        <f t="shared" ref="E2659:E2722" si="41">IF(A2659=$A$1,E2658+1,E2658)</f>
        <v>33</v>
      </c>
    </row>
    <row r="2660" spans="1:5" x14ac:dyDescent="0.2">
      <c r="A2660">
        <v>6</v>
      </c>
      <c r="B2660" t="s">
        <v>526</v>
      </c>
      <c r="C2660">
        <v>0</v>
      </c>
      <c r="D2660">
        <v>1</v>
      </c>
      <c r="E2660" s="3">
        <f t="shared" si="41"/>
        <v>33</v>
      </c>
    </row>
    <row r="2661" spans="1:5" x14ac:dyDescent="0.2">
      <c r="A2661">
        <v>7</v>
      </c>
      <c r="B2661" s="2" t="s">
        <v>10</v>
      </c>
      <c r="C2661" s="2" t="s">
        <v>10</v>
      </c>
      <c r="D2661" s="2" t="s">
        <v>10</v>
      </c>
      <c r="E2661" s="3">
        <f t="shared" si="41"/>
        <v>33</v>
      </c>
    </row>
    <row r="2662" spans="1:5" x14ac:dyDescent="0.2">
      <c r="A2662">
        <v>8</v>
      </c>
      <c r="B2662" s="2" t="s">
        <v>10</v>
      </c>
      <c r="C2662" s="2" t="s">
        <v>10</v>
      </c>
      <c r="D2662" s="2" t="s">
        <v>10</v>
      </c>
      <c r="E2662" s="3">
        <f t="shared" si="41"/>
        <v>33</v>
      </c>
    </row>
    <row r="2663" spans="1:5" x14ac:dyDescent="0.2">
      <c r="A2663" s="1" t="s">
        <v>44</v>
      </c>
      <c r="E2663" s="3">
        <f t="shared" si="41"/>
        <v>33</v>
      </c>
    </row>
    <row r="2664" spans="1:5" x14ac:dyDescent="0.2">
      <c r="A2664" s="1" t="s">
        <v>1</v>
      </c>
      <c r="B2664" s="1" t="s">
        <v>2</v>
      </c>
      <c r="C2664" s="1" t="s">
        <v>3</v>
      </c>
      <c r="D2664" s="1" t="s">
        <v>4</v>
      </c>
      <c r="E2664" s="3">
        <f t="shared" si="41"/>
        <v>33</v>
      </c>
    </row>
    <row r="2665" spans="1:5" x14ac:dyDescent="0.2">
      <c r="A2665">
        <v>1</v>
      </c>
      <c r="B2665" t="s">
        <v>516</v>
      </c>
      <c r="C2665">
        <v>5</v>
      </c>
      <c r="D2665">
        <v>16</v>
      </c>
      <c r="E2665" s="3">
        <f t="shared" si="41"/>
        <v>33</v>
      </c>
    </row>
    <row r="2666" spans="1:5" x14ac:dyDescent="0.2">
      <c r="A2666">
        <v>2</v>
      </c>
      <c r="B2666" t="s">
        <v>500</v>
      </c>
      <c r="C2666">
        <v>0</v>
      </c>
      <c r="D2666">
        <v>12</v>
      </c>
      <c r="E2666" s="3">
        <f t="shared" si="41"/>
        <v>33</v>
      </c>
    </row>
    <row r="2667" spans="1:5" x14ac:dyDescent="0.2">
      <c r="A2667">
        <v>3</v>
      </c>
      <c r="B2667" t="s">
        <v>506</v>
      </c>
      <c r="C2667">
        <v>0</v>
      </c>
      <c r="D2667">
        <v>8</v>
      </c>
      <c r="E2667" s="3">
        <f t="shared" si="41"/>
        <v>33</v>
      </c>
    </row>
    <row r="2668" spans="1:5" x14ac:dyDescent="0.2">
      <c r="A2668">
        <v>4</v>
      </c>
      <c r="B2668" t="s">
        <v>552</v>
      </c>
      <c r="C2668">
        <v>0</v>
      </c>
      <c r="D2668">
        <v>4</v>
      </c>
      <c r="E2668" s="3">
        <f t="shared" si="41"/>
        <v>33</v>
      </c>
    </row>
    <row r="2669" spans="1:5" x14ac:dyDescent="0.2">
      <c r="A2669">
        <v>5</v>
      </c>
      <c r="B2669" t="s">
        <v>42</v>
      </c>
      <c r="C2669">
        <v>0</v>
      </c>
      <c r="D2669">
        <v>2</v>
      </c>
      <c r="E2669" s="3">
        <f t="shared" si="41"/>
        <v>33</v>
      </c>
    </row>
    <row r="2670" spans="1:5" x14ac:dyDescent="0.2">
      <c r="A2670">
        <v>6</v>
      </c>
      <c r="B2670" t="s">
        <v>73</v>
      </c>
      <c r="C2670">
        <v>0</v>
      </c>
      <c r="D2670">
        <v>1</v>
      </c>
      <c r="E2670" s="3">
        <f t="shared" si="41"/>
        <v>33</v>
      </c>
    </row>
    <row r="2671" spans="1:5" x14ac:dyDescent="0.2">
      <c r="A2671">
        <v>7</v>
      </c>
      <c r="B2671" s="2" t="s">
        <v>10</v>
      </c>
      <c r="C2671" s="2" t="s">
        <v>10</v>
      </c>
      <c r="D2671" s="2" t="s">
        <v>10</v>
      </c>
      <c r="E2671" s="3">
        <f t="shared" si="41"/>
        <v>33</v>
      </c>
    </row>
    <row r="2672" spans="1:5" x14ac:dyDescent="0.2">
      <c r="A2672">
        <v>8</v>
      </c>
      <c r="B2672" s="2" t="s">
        <v>10</v>
      </c>
      <c r="C2672" s="2" t="s">
        <v>10</v>
      </c>
      <c r="D2672" s="2" t="s">
        <v>10</v>
      </c>
      <c r="E2672" s="3">
        <f t="shared" si="41"/>
        <v>33</v>
      </c>
    </row>
    <row r="2673" spans="1:5" x14ac:dyDescent="0.2">
      <c r="A2673" s="1" t="s">
        <v>51</v>
      </c>
      <c r="E2673" s="3">
        <f t="shared" si="41"/>
        <v>33</v>
      </c>
    </row>
    <row r="2674" spans="1:5" x14ac:dyDescent="0.2">
      <c r="A2674" s="1" t="s">
        <v>1</v>
      </c>
      <c r="B2674" s="1" t="s">
        <v>2</v>
      </c>
      <c r="C2674" s="1" t="s">
        <v>3</v>
      </c>
      <c r="D2674" s="1" t="s">
        <v>4</v>
      </c>
      <c r="E2674" s="3">
        <f t="shared" si="41"/>
        <v>33</v>
      </c>
    </row>
    <row r="2675" spans="1:5" x14ac:dyDescent="0.2">
      <c r="A2675">
        <v>1</v>
      </c>
      <c r="B2675" t="s">
        <v>27</v>
      </c>
      <c r="C2675">
        <v>3</v>
      </c>
      <c r="D2675">
        <v>16</v>
      </c>
      <c r="E2675" s="3">
        <f t="shared" si="41"/>
        <v>33</v>
      </c>
    </row>
    <row r="2676" spans="1:5" x14ac:dyDescent="0.2">
      <c r="A2676">
        <v>2</v>
      </c>
      <c r="B2676" t="s">
        <v>521</v>
      </c>
      <c r="C2676">
        <v>2</v>
      </c>
      <c r="D2676">
        <v>12</v>
      </c>
      <c r="E2676" s="3">
        <f t="shared" si="41"/>
        <v>33</v>
      </c>
    </row>
    <row r="2677" spans="1:5" x14ac:dyDescent="0.2">
      <c r="A2677">
        <v>3</v>
      </c>
      <c r="B2677" t="s">
        <v>490</v>
      </c>
      <c r="C2677">
        <v>0</v>
      </c>
      <c r="D2677">
        <v>8</v>
      </c>
      <c r="E2677" s="3">
        <f t="shared" si="41"/>
        <v>33</v>
      </c>
    </row>
    <row r="2678" spans="1:5" x14ac:dyDescent="0.2">
      <c r="A2678">
        <v>4</v>
      </c>
      <c r="B2678" t="s">
        <v>501</v>
      </c>
      <c r="C2678">
        <v>0</v>
      </c>
      <c r="D2678">
        <v>4</v>
      </c>
      <c r="E2678" s="3">
        <f t="shared" si="41"/>
        <v>33</v>
      </c>
    </row>
    <row r="2679" spans="1:5" x14ac:dyDescent="0.2">
      <c r="A2679">
        <v>5</v>
      </c>
      <c r="B2679" t="s">
        <v>6</v>
      </c>
      <c r="C2679">
        <v>0</v>
      </c>
      <c r="D2679">
        <v>2</v>
      </c>
      <c r="E2679" s="3">
        <f t="shared" si="41"/>
        <v>33</v>
      </c>
    </row>
    <row r="2680" spans="1:5" x14ac:dyDescent="0.2">
      <c r="A2680">
        <v>6</v>
      </c>
      <c r="B2680" t="s">
        <v>504</v>
      </c>
      <c r="C2680">
        <v>0</v>
      </c>
      <c r="D2680">
        <v>1</v>
      </c>
      <c r="E2680" s="3">
        <f t="shared" si="41"/>
        <v>33</v>
      </c>
    </row>
    <row r="2681" spans="1:5" x14ac:dyDescent="0.2">
      <c r="A2681">
        <v>7</v>
      </c>
      <c r="B2681" s="2" t="s">
        <v>10</v>
      </c>
      <c r="C2681" s="2" t="s">
        <v>10</v>
      </c>
      <c r="D2681" s="2" t="s">
        <v>10</v>
      </c>
      <c r="E2681" s="3">
        <f t="shared" si="41"/>
        <v>33</v>
      </c>
    </row>
    <row r="2682" spans="1:5" x14ac:dyDescent="0.2">
      <c r="A2682">
        <v>8</v>
      </c>
      <c r="B2682" s="2" t="s">
        <v>10</v>
      </c>
      <c r="C2682" s="2" t="s">
        <v>10</v>
      </c>
      <c r="D2682" s="2" t="s">
        <v>10</v>
      </c>
      <c r="E2682" s="3">
        <f t="shared" si="41"/>
        <v>33</v>
      </c>
    </row>
    <row r="2683" spans="1:5" x14ac:dyDescent="0.2">
      <c r="E2683" s="3">
        <f t="shared" si="41"/>
        <v>33</v>
      </c>
    </row>
    <row r="2684" spans="1:5" x14ac:dyDescent="0.2">
      <c r="E2684" s="3">
        <f t="shared" si="41"/>
        <v>33</v>
      </c>
    </row>
    <row r="2685" spans="1:5" x14ac:dyDescent="0.2">
      <c r="E2685" s="3">
        <f t="shared" si="41"/>
        <v>33</v>
      </c>
    </row>
    <row r="2686" spans="1:5" x14ac:dyDescent="0.2">
      <c r="E2686" s="3">
        <f t="shared" si="41"/>
        <v>33</v>
      </c>
    </row>
    <row r="2687" spans="1:5" x14ac:dyDescent="0.2">
      <c r="E2687" s="3">
        <f t="shared" si="41"/>
        <v>33</v>
      </c>
    </row>
    <row r="2688" spans="1:5" x14ac:dyDescent="0.2">
      <c r="B2688" s="2"/>
      <c r="C2688" s="2"/>
      <c r="D2688" s="2"/>
      <c r="E2688" s="3">
        <f t="shared" si="41"/>
        <v>33</v>
      </c>
    </row>
    <row r="2689" spans="1:5" x14ac:dyDescent="0.2">
      <c r="B2689" s="2"/>
      <c r="C2689" s="2"/>
      <c r="D2689" s="2"/>
      <c r="E2689" s="3">
        <f t="shared" si="41"/>
        <v>33</v>
      </c>
    </row>
    <row r="2690" spans="1:5" x14ac:dyDescent="0.2">
      <c r="A2690" s="1"/>
      <c r="E2690" s="3">
        <f t="shared" si="41"/>
        <v>33</v>
      </c>
    </row>
    <row r="2691" spans="1:5" x14ac:dyDescent="0.2">
      <c r="A2691" s="1"/>
      <c r="B2691" s="1"/>
      <c r="C2691" s="1"/>
      <c r="D2691" s="1"/>
      <c r="E2691" s="3">
        <f t="shared" si="41"/>
        <v>33</v>
      </c>
    </row>
    <row r="2692" spans="1:5" x14ac:dyDescent="0.2">
      <c r="E2692" s="3">
        <f t="shared" si="41"/>
        <v>33</v>
      </c>
    </row>
    <row r="2693" spans="1:5" x14ac:dyDescent="0.2">
      <c r="E2693" s="3">
        <f t="shared" si="41"/>
        <v>33</v>
      </c>
    </row>
    <row r="2694" spans="1:5" x14ac:dyDescent="0.2">
      <c r="E2694" s="3">
        <f t="shared" si="41"/>
        <v>33</v>
      </c>
    </row>
    <row r="2695" spans="1:5" x14ac:dyDescent="0.2">
      <c r="E2695" s="3">
        <f t="shared" si="41"/>
        <v>33</v>
      </c>
    </row>
    <row r="2696" spans="1:5" x14ac:dyDescent="0.2">
      <c r="E2696" s="3">
        <f t="shared" si="41"/>
        <v>33</v>
      </c>
    </row>
    <row r="2697" spans="1:5" x14ac:dyDescent="0.2">
      <c r="B2697" s="2"/>
      <c r="C2697" s="2"/>
      <c r="D2697" s="2"/>
      <c r="E2697" s="3">
        <f t="shared" si="41"/>
        <v>33</v>
      </c>
    </row>
    <row r="2698" spans="1:5" x14ac:dyDescent="0.2">
      <c r="B2698" s="2"/>
      <c r="C2698" s="2"/>
      <c r="D2698" s="2"/>
      <c r="E2698" s="3">
        <f t="shared" si="41"/>
        <v>33</v>
      </c>
    </row>
    <row r="2699" spans="1:5" x14ac:dyDescent="0.2">
      <c r="B2699" s="2"/>
      <c r="C2699" s="2"/>
      <c r="D2699" s="2"/>
      <c r="E2699" s="3">
        <f t="shared" si="41"/>
        <v>33</v>
      </c>
    </row>
    <row r="2700" spans="1:5" x14ac:dyDescent="0.2">
      <c r="A2700" s="1"/>
      <c r="E2700" s="3">
        <f t="shared" si="41"/>
        <v>33</v>
      </c>
    </row>
    <row r="2701" spans="1:5" x14ac:dyDescent="0.2">
      <c r="A2701" s="1"/>
      <c r="B2701" s="1"/>
      <c r="C2701" s="1"/>
      <c r="D2701" s="1"/>
      <c r="E2701" s="3">
        <f t="shared" si="41"/>
        <v>33</v>
      </c>
    </row>
    <row r="2702" spans="1:5" x14ac:dyDescent="0.2">
      <c r="E2702" s="3">
        <f t="shared" si="41"/>
        <v>33</v>
      </c>
    </row>
    <row r="2703" spans="1:5" x14ac:dyDescent="0.2">
      <c r="E2703" s="3">
        <f t="shared" si="41"/>
        <v>33</v>
      </c>
    </row>
    <row r="2704" spans="1:5" x14ac:dyDescent="0.2">
      <c r="E2704" s="3">
        <f t="shared" si="41"/>
        <v>33</v>
      </c>
    </row>
    <row r="2705" spans="1:5" x14ac:dyDescent="0.2">
      <c r="E2705" s="3">
        <f t="shared" si="41"/>
        <v>33</v>
      </c>
    </row>
    <row r="2706" spans="1:5" x14ac:dyDescent="0.2">
      <c r="E2706" s="3">
        <f t="shared" si="41"/>
        <v>33</v>
      </c>
    </row>
    <row r="2707" spans="1:5" x14ac:dyDescent="0.2">
      <c r="B2707" s="2"/>
      <c r="C2707" s="2"/>
      <c r="D2707" s="2"/>
      <c r="E2707" s="3">
        <f t="shared" si="41"/>
        <v>33</v>
      </c>
    </row>
    <row r="2708" spans="1:5" x14ac:dyDescent="0.2">
      <c r="B2708" s="2"/>
      <c r="C2708" s="2"/>
      <c r="D2708" s="2"/>
      <c r="E2708" s="3">
        <f t="shared" si="41"/>
        <v>33</v>
      </c>
    </row>
    <row r="2709" spans="1:5" x14ac:dyDescent="0.2">
      <c r="B2709" s="2"/>
      <c r="C2709" s="2"/>
      <c r="D2709" s="2"/>
      <c r="E2709" s="3">
        <f t="shared" si="41"/>
        <v>33</v>
      </c>
    </row>
    <row r="2710" spans="1:5" x14ac:dyDescent="0.2">
      <c r="A2710" s="1"/>
      <c r="E2710" s="3">
        <f t="shared" si="41"/>
        <v>33</v>
      </c>
    </row>
    <row r="2711" spans="1:5" x14ac:dyDescent="0.2">
      <c r="A2711" s="1"/>
      <c r="B2711" s="1"/>
      <c r="C2711" s="1"/>
      <c r="D2711" s="1"/>
      <c r="E2711" s="3">
        <f t="shared" si="41"/>
        <v>33</v>
      </c>
    </row>
    <row r="2712" spans="1:5" x14ac:dyDescent="0.2">
      <c r="E2712" s="3">
        <f t="shared" si="41"/>
        <v>33</v>
      </c>
    </row>
    <row r="2713" spans="1:5" x14ac:dyDescent="0.2">
      <c r="E2713" s="3">
        <f t="shared" si="41"/>
        <v>33</v>
      </c>
    </row>
    <row r="2714" spans="1:5" x14ac:dyDescent="0.2">
      <c r="E2714" s="3">
        <f t="shared" si="41"/>
        <v>33</v>
      </c>
    </row>
    <row r="2715" spans="1:5" x14ac:dyDescent="0.2">
      <c r="E2715" s="3">
        <f t="shared" si="41"/>
        <v>33</v>
      </c>
    </row>
    <row r="2716" spans="1:5" x14ac:dyDescent="0.2">
      <c r="E2716" s="3">
        <f t="shared" si="41"/>
        <v>33</v>
      </c>
    </row>
    <row r="2717" spans="1:5" x14ac:dyDescent="0.2">
      <c r="A2717" s="1"/>
      <c r="E2717" s="3">
        <f t="shared" si="41"/>
        <v>33</v>
      </c>
    </row>
    <row r="2718" spans="1:5" x14ac:dyDescent="0.2">
      <c r="A2718" s="1"/>
      <c r="B2718" s="1"/>
      <c r="C2718" s="1"/>
      <c r="D2718" s="1"/>
      <c r="E2718" s="3">
        <f t="shared" si="41"/>
        <v>33</v>
      </c>
    </row>
    <row r="2719" spans="1:5" x14ac:dyDescent="0.2">
      <c r="E2719" s="3">
        <f t="shared" si="41"/>
        <v>33</v>
      </c>
    </row>
    <row r="2720" spans="1:5" x14ac:dyDescent="0.2">
      <c r="E2720" s="3">
        <f t="shared" si="41"/>
        <v>33</v>
      </c>
    </row>
    <row r="2721" spans="1:5" x14ac:dyDescent="0.2">
      <c r="E2721" s="3">
        <f t="shared" si="41"/>
        <v>33</v>
      </c>
    </row>
    <row r="2722" spans="1:5" x14ac:dyDescent="0.2">
      <c r="E2722" s="3">
        <f t="shared" si="41"/>
        <v>33</v>
      </c>
    </row>
    <row r="2723" spans="1:5" x14ac:dyDescent="0.2">
      <c r="E2723" s="3">
        <f t="shared" ref="E2723:E2786" si="42">IF(A2723=$A$1,E2722+1,E2722)</f>
        <v>33</v>
      </c>
    </row>
    <row r="2724" spans="1:5" x14ac:dyDescent="0.2">
      <c r="E2724" s="3">
        <f t="shared" si="42"/>
        <v>33</v>
      </c>
    </row>
    <row r="2725" spans="1:5" x14ac:dyDescent="0.2">
      <c r="B2725" s="2"/>
      <c r="C2725" s="2"/>
      <c r="D2725" s="2"/>
      <c r="E2725" s="3">
        <f t="shared" si="42"/>
        <v>33</v>
      </c>
    </row>
    <row r="2726" spans="1:5" x14ac:dyDescent="0.2">
      <c r="B2726" s="2"/>
      <c r="C2726" s="2"/>
      <c r="D2726" s="2"/>
      <c r="E2726" s="3">
        <f t="shared" si="42"/>
        <v>33</v>
      </c>
    </row>
    <row r="2727" spans="1:5" x14ac:dyDescent="0.2">
      <c r="A2727" s="1"/>
      <c r="E2727" s="3">
        <f t="shared" si="42"/>
        <v>33</v>
      </c>
    </row>
    <row r="2728" spans="1:5" x14ac:dyDescent="0.2">
      <c r="A2728" s="1"/>
      <c r="B2728" s="1"/>
      <c r="C2728" s="1"/>
      <c r="D2728" s="1"/>
      <c r="E2728" s="3">
        <f t="shared" si="42"/>
        <v>33</v>
      </c>
    </row>
    <row r="2729" spans="1:5" x14ac:dyDescent="0.2">
      <c r="E2729" s="3">
        <f t="shared" si="42"/>
        <v>33</v>
      </c>
    </row>
    <row r="2730" spans="1:5" x14ac:dyDescent="0.2">
      <c r="E2730" s="3">
        <f t="shared" si="42"/>
        <v>33</v>
      </c>
    </row>
    <row r="2731" spans="1:5" x14ac:dyDescent="0.2">
      <c r="E2731" s="3">
        <f t="shared" si="42"/>
        <v>33</v>
      </c>
    </row>
    <row r="2732" spans="1:5" x14ac:dyDescent="0.2">
      <c r="E2732" s="3">
        <f t="shared" si="42"/>
        <v>33</v>
      </c>
    </row>
    <row r="2733" spans="1:5" x14ac:dyDescent="0.2">
      <c r="E2733" s="3">
        <f t="shared" si="42"/>
        <v>33</v>
      </c>
    </row>
    <row r="2734" spans="1:5" x14ac:dyDescent="0.2">
      <c r="E2734" s="3">
        <f t="shared" si="42"/>
        <v>33</v>
      </c>
    </row>
    <row r="2735" spans="1:5" x14ac:dyDescent="0.2">
      <c r="B2735" s="2"/>
      <c r="C2735" s="2"/>
      <c r="D2735" s="2"/>
      <c r="E2735" s="3">
        <f t="shared" si="42"/>
        <v>33</v>
      </c>
    </row>
    <row r="2736" spans="1:5" x14ac:dyDescent="0.2">
      <c r="B2736" s="2"/>
      <c r="C2736" s="2"/>
      <c r="D2736" s="2"/>
      <c r="E2736" s="3">
        <f t="shared" si="42"/>
        <v>33</v>
      </c>
    </row>
    <row r="2737" spans="1:5" x14ac:dyDescent="0.2">
      <c r="A2737" s="1"/>
      <c r="E2737" s="3">
        <f t="shared" si="42"/>
        <v>33</v>
      </c>
    </row>
    <row r="2738" spans="1:5" x14ac:dyDescent="0.2">
      <c r="A2738" s="1"/>
      <c r="B2738" s="1"/>
      <c r="C2738" s="1"/>
      <c r="D2738" s="1"/>
      <c r="E2738" s="3">
        <f t="shared" si="42"/>
        <v>33</v>
      </c>
    </row>
    <row r="2739" spans="1:5" x14ac:dyDescent="0.2">
      <c r="E2739" s="3">
        <f t="shared" si="42"/>
        <v>33</v>
      </c>
    </row>
    <row r="2740" spans="1:5" x14ac:dyDescent="0.2">
      <c r="E2740" s="3">
        <f t="shared" si="42"/>
        <v>33</v>
      </c>
    </row>
    <row r="2741" spans="1:5" x14ac:dyDescent="0.2">
      <c r="E2741" s="3">
        <f t="shared" si="42"/>
        <v>33</v>
      </c>
    </row>
    <row r="2742" spans="1:5" x14ac:dyDescent="0.2">
      <c r="E2742" s="3">
        <f t="shared" si="42"/>
        <v>33</v>
      </c>
    </row>
    <row r="2743" spans="1:5" x14ac:dyDescent="0.2">
      <c r="E2743" s="3">
        <f t="shared" si="42"/>
        <v>33</v>
      </c>
    </row>
    <row r="2744" spans="1:5" x14ac:dyDescent="0.2">
      <c r="E2744" s="3">
        <f t="shared" si="42"/>
        <v>33</v>
      </c>
    </row>
    <row r="2745" spans="1:5" x14ac:dyDescent="0.2">
      <c r="E2745" s="3">
        <f t="shared" si="42"/>
        <v>33</v>
      </c>
    </row>
    <row r="2746" spans="1:5" x14ac:dyDescent="0.2">
      <c r="B2746" s="2"/>
      <c r="C2746" s="2"/>
      <c r="D2746" s="2"/>
      <c r="E2746" s="3">
        <f t="shared" si="42"/>
        <v>33</v>
      </c>
    </row>
    <row r="2747" spans="1:5" x14ac:dyDescent="0.2">
      <c r="A2747" s="1"/>
      <c r="E2747" s="3">
        <f t="shared" si="42"/>
        <v>33</v>
      </c>
    </row>
    <row r="2748" spans="1:5" x14ac:dyDescent="0.2">
      <c r="A2748" s="1"/>
      <c r="B2748" s="1"/>
      <c r="C2748" s="1"/>
      <c r="D2748" s="1"/>
      <c r="E2748" s="3">
        <f t="shared" si="42"/>
        <v>33</v>
      </c>
    </row>
    <row r="2749" spans="1:5" x14ac:dyDescent="0.2">
      <c r="E2749" s="3">
        <f t="shared" si="42"/>
        <v>33</v>
      </c>
    </row>
    <row r="2750" spans="1:5" x14ac:dyDescent="0.2">
      <c r="E2750" s="3">
        <f t="shared" si="42"/>
        <v>33</v>
      </c>
    </row>
    <row r="2751" spans="1:5" x14ac:dyDescent="0.2">
      <c r="E2751" s="3">
        <f t="shared" si="42"/>
        <v>33</v>
      </c>
    </row>
    <row r="2752" spans="1:5" x14ac:dyDescent="0.2">
      <c r="E2752" s="3">
        <f t="shared" si="42"/>
        <v>33</v>
      </c>
    </row>
    <row r="2753" spans="1:5" x14ac:dyDescent="0.2">
      <c r="E2753" s="3">
        <f t="shared" si="42"/>
        <v>33</v>
      </c>
    </row>
    <row r="2754" spans="1:5" x14ac:dyDescent="0.2">
      <c r="E2754" s="3">
        <f t="shared" si="42"/>
        <v>33</v>
      </c>
    </row>
    <row r="2755" spans="1:5" x14ac:dyDescent="0.2">
      <c r="E2755" s="3">
        <f t="shared" si="42"/>
        <v>33</v>
      </c>
    </row>
    <row r="2756" spans="1:5" x14ac:dyDescent="0.2">
      <c r="B2756" s="2"/>
      <c r="C2756" s="2"/>
      <c r="D2756" s="2"/>
      <c r="E2756" s="3">
        <f t="shared" si="42"/>
        <v>33</v>
      </c>
    </row>
    <row r="2757" spans="1:5" x14ac:dyDescent="0.2">
      <c r="A2757" s="1"/>
      <c r="E2757" s="3">
        <f t="shared" si="42"/>
        <v>33</v>
      </c>
    </row>
    <row r="2758" spans="1:5" x14ac:dyDescent="0.2">
      <c r="A2758" s="1"/>
      <c r="B2758" s="1"/>
      <c r="C2758" s="1"/>
      <c r="D2758" s="1"/>
      <c r="E2758" s="3">
        <f t="shared" si="42"/>
        <v>33</v>
      </c>
    </row>
    <row r="2759" spans="1:5" x14ac:dyDescent="0.2">
      <c r="E2759" s="3">
        <f t="shared" si="42"/>
        <v>33</v>
      </c>
    </row>
    <row r="2760" spans="1:5" x14ac:dyDescent="0.2">
      <c r="E2760" s="3">
        <f t="shared" si="42"/>
        <v>33</v>
      </c>
    </row>
    <row r="2761" spans="1:5" x14ac:dyDescent="0.2">
      <c r="E2761" s="3">
        <f t="shared" si="42"/>
        <v>33</v>
      </c>
    </row>
    <row r="2762" spans="1:5" x14ac:dyDescent="0.2">
      <c r="E2762" s="3">
        <f t="shared" si="42"/>
        <v>33</v>
      </c>
    </row>
    <row r="2763" spans="1:5" x14ac:dyDescent="0.2">
      <c r="E2763" s="3">
        <f t="shared" si="42"/>
        <v>33</v>
      </c>
    </row>
    <row r="2764" spans="1:5" x14ac:dyDescent="0.2">
      <c r="E2764" s="3">
        <f t="shared" si="42"/>
        <v>33</v>
      </c>
    </row>
    <row r="2765" spans="1:5" x14ac:dyDescent="0.2">
      <c r="E2765" s="3">
        <f t="shared" si="42"/>
        <v>33</v>
      </c>
    </row>
    <row r="2766" spans="1:5" x14ac:dyDescent="0.2">
      <c r="A2766" s="1"/>
      <c r="E2766" s="3">
        <f t="shared" si="42"/>
        <v>33</v>
      </c>
    </row>
    <row r="2767" spans="1:5" x14ac:dyDescent="0.2">
      <c r="A2767" s="1"/>
      <c r="B2767" s="1"/>
      <c r="C2767" s="1"/>
      <c r="D2767" s="1"/>
      <c r="E2767" s="3">
        <f t="shared" si="42"/>
        <v>33</v>
      </c>
    </row>
    <row r="2768" spans="1:5" x14ac:dyDescent="0.2">
      <c r="E2768" s="3">
        <f t="shared" si="42"/>
        <v>33</v>
      </c>
    </row>
    <row r="2769" spans="1:5" x14ac:dyDescent="0.2">
      <c r="E2769" s="3">
        <f t="shared" si="42"/>
        <v>33</v>
      </c>
    </row>
    <row r="2770" spans="1:5" x14ac:dyDescent="0.2">
      <c r="E2770" s="3">
        <f t="shared" si="42"/>
        <v>33</v>
      </c>
    </row>
    <row r="2771" spans="1:5" x14ac:dyDescent="0.2">
      <c r="E2771" s="3">
        <f t="shared" si="42"/>
        <v>33</v>
      </c>
    </row>
    <row r="2772" spans="1:5" x14ac:dyDescent="0.2">
      <c r="E2772" s="3">
        <f t="shared" si="42"/>
        <v>33</v>
      </c>
    </row>
    <row r="2773" spans="1:5" x14ac:dyDescent="0.2">
      <c r="B2773" s="2"/>
      <c r="C2773" s="2"/>
      <c r="D2773" s="2"/>
      <c r="E2773" s="3">
        <f t="shared" si="42"/>
        <v>33</v>
      </c>
    </row>
    <row r="2774" spans="1:5" x14ac:dyDescent="0.2">
      <c r="B2774" s="2"/>
      <c r="C2774" s="2"/>
      <c r="D2774" s="2"/>
      <c r="E2774" s="3">
        <f t="shared" si="42"/>
        <v>33</v>
      </c>
    </row>
    <row r="2775" spans="1:5" x14ac:dyDescent="0.2">
      <c r="B2775" s="2"/>
      <c r="C2775" s="2"/>
      <c r="D2775" s="2"/>
      <c r="E2775" s="3">
        <f t="shared" si="42"/>
        <v>33</v>
      </c>
    </row>
    <row r="2776" spans="1:5" x14ac:dyDescent="0.2">
      <c r="A2776" s="1"/>
      <c r="E2776" s="3">
        <f t="shared" si="42"/>
        <v>33</v>
      </c>
    </row>
    <row r="2777" spans="1:5" x14ac:dyDescent="0.2">
      <c r="A2777" s="1"/>
      <c r="B2777" s="1"/>
      <c r="C2777" s="1"/>
      <c r="D2777" s="1"/>
      <c r="E2777" s="3">
        <f t="shared" si="42"/>
        <v>33</v>
      </c>
    </row>
    <row r="2778" spans="1:5" x14ac:dyDescent="0.2">
      <c r="E2778" s="3">
        <f t="shared" si="42"/>
        <v>33</v>
      </c>
    </row>
    <row r="2779" spans="1:5" x14ac:dyDescent="0.2">
      <c r="E2779" s="3">
        <f t="shared" si="42"/>
        <v>33</v>
      </c>
    </row>
    <row r="2780" spans="1:5" x14ac:dyDescent="0.2">
      <c r="E2780" s="3">
        <f t="shared" si="42"/>
        <v>33</v>
      </c>
    </row>
    <row r="2781" spans="1:5" x14ac:dyDescent="0.2">
      <c r="E2781" s="3">
        <f t="shared" si="42"/>
        <v>33</v>
      </c>
    </row>
    <row r="2782" spans="1:5" x14ac:dyDescent="0.2">
      <c r="E2782" s="3">
        <f t="shared" si="42"/>
        <v>33</v>
      </c>
    </row>
    <row r="2783" spans="1:5" x14ac:dyDescent="0.2">
      <c r="E2783" s="3">
        <f t="shared" si="42"/>
        <v>33</v>
      </c>
    </row>
    <row r="2784" spans="1:5" x14ac:dyDescent="0.2">
      <c r="B2784" s="2"/>
      <c r="C2784" s="2"/>
      <c r="D2784" s="2"/>
      <c r="E2784" s="3">
        <f t="shared" si="42"/>
        <v>33</v>
      </c>
    </row>
    <row r="2785" spans="1:5" x14ac:dyDescent="0.2">
      <c r="B2785" s="2"/>
      <c r="C2785" s="2"/>
      <c r="D2785" s="2"/>
      <c r="E2785" s="3">
        <f t="shared" si="42"/>
        <v>33</v>
      </c>
    </row>
    <row r="2786" spans="1:5" x14ac:dyDescent="0.2">
      <c r="A2786" s="1"/>
      <c r="E2786" s="3">
        <f t="shared" si="42"/>
        <v>33</v>
      </c>
    </row>
    <row r="2787" spans="1:5" x14ac:dyDescent="0.2">
      <c r="A2787" s="1"/>
      <c r="B2787" s="1"/>
      <c r="C2787" s="1"/>
      <c r="D2787" s="1"/>
      <c r="E2787" s="3">
        <f t="shared" ref="E2787:E2850" si="43">IF(A2787=$A$1,E2786+1,E2786)</f>
        <v>33</v>
      </c>
    </row>
    <row r="2788" spans="1:5" x14ac:dyDescent="0.2">
      <c r="E2788" s="3">
        <f t="shared" si="43"/>
        <v>33</v>
      </c>
    </row>
    <row r="2789" spans="1:5" x14ac:dyDescent="0.2">
      <c r="E2789" s="3">
        <f t="shared" si="43"/>
        <v>33</v>
      </c>
    </row>
    <row r="2790" spans="1:5" x14ac:dyDescent="0.2">
      <c r="E2790" s="3">
        <f t="shared" si="43"/>
        <v>33</v>
      </c>
    </row>
    <row r="2791" spans="1:5" x14ac:dyDescent="0.2">
      <c r="E2791" s="3">
        <f t="shared" si="43"/>
        <v>33</v>
      </c>
    </row>
    <row r="2792" spans="1:5" x14ac:dyDescent="0.2">
      <c r="E2792" s="3">
        <f t="shared" si="43"/>
        <v>33</v>
      </c>
    </row>
    <row r="2793" spans="1:5" x14ac:dyDescent="0.2">
      <c r="B2793" s="2"/>
      <c r="C2793" s="2"/>
      <c r="D2793" s="2"/>
      <c r="E2793" s="3">
        <f t="shared" si="43"/>
        <v>33</v>
      </c>
    </row>
    <row r="2794" spans="1:5" x14ac:dyDescent="0.2">
      <c r="B2794" s="2"/>
      <c r="C2794" s="2"/>
      <c r="D2794" s="2"/>
      <c r="E2794" s="3">
        <f t="shared" si="43"/>
        <v>33</v>
      </c>
    </row>
    <row r="2795" spans="1:5" x14ac:dyDescent="0.2">
      <c r="B2795" s="2"/>
      <c r="C2795" s="2"/>
      <c r="D2795" s="2"/>
      <c r="E2795" s="3">
        <f t="shared" si="43"/>
        <v>33</v>
      </c>
    </row>
    <row r="2796" spans="1:5" x14ac:dyDescent="0.2">
      <c r="A2796" s="1"/>
      <c r="E2796" s="3">
        <f t="shared" si="43"/>
        <v>33</v>
      </c>
    </row>
    <row r="2797" spans="1:5" x14ac:dyDescent="0.2">
      <c r="A2797" s="1"/>
      <c r="B2797" s="1"/>
      <c r="C2797" s="1"/>
      <c r="D2797" s="1"/>
      <c r="E2797" s="3">
        <f t="shared" si="43"/>
        <v>33</v>
      </c>
    </row>
    <row r="2798" spans="1:5" x14ac:dyDescent="0.2">
      <c r="E2798" s="3">
        <f t="shared" si="43"/>
        <v>33</v>
      </c>
    </row>
    <row r="2799" spans="1:5" x14ac:dyDescent="0.2">
      <c r="E2799" s="3">
        <f t="shared" si="43"/>
        <v>33</v>
      </c>
    </row>
    <row r="2800" spans="1:5" x14ac:dyDescent="0.2">
      <c r="E2800" s="3">
        <f t="shared" si="43"/>
        <v>33</v>
      </c>
    </row>
    <row r="2801" spans="1:5" x14ac:dyDescent="0.2">
      <c r="E2801" s="3">
        <f t="shared" si="43"/>
        <v>33</v>
      </c>
    </row>
    <row r="2802" spans="1:5" x14ac:dyDescent="0.2">
      <c r="E2802" s="3">
        <f t="shared" si="43"/>
        <v>33</v>
      </c>
    </row>
    <row r="2803" spans="1:5" x14ac:dyDescent="0.2">
      <c r="E2803" s="3">
        <f t="shared" si="43"/>
        <v>33</v>
      </c>
    </row>
    <row r="2804" spans="1:5" x14ac:dyDescent="0.2">
      <c r="B2804" s="2"/>
      <c r="C2804" s="2"/>
      <c r="D2804" s="2"/>
      <c r="E2804" s="3">
        <f t="shared" si="43"/>
        <v>33</v>
      </c>
    </row>
    <row r="2805" spans="1:5" x14ac:dyDescent="0.2">
      <c r="B2805" s="2"/>
      <c r="C2805" s="2"/>
      <c r="D2805" s="2"/>
      <c r="E2805" s="3">
        <f t="shared" si="43"/>
        <v>33</v>
      </c>
    </row>
    <row r="2806" spans="1:5" x14ac:dyDescent="0.2">
      <c r="A2806" s="1"/>
      <c r="E2806" s="3">
        <f t="shared" si="43"/>
        <v>33</v>
      </c>
    </row>
    <row r="2807" spans="1:5" x14ac:dyDescent="0.2">
      <c r="A2807" s="1"/>
      <c r="B2807" s="1"/>
      <c r="C2807" s="1"/>
      <c r="D2807" s="1"/>
      <c r="E2807" s="3">
        <f t="shared" si="43"/>
        <v>33</v>
      </c>
    </row>
    <row r="2808" spans="1:5" x14ac:dyDescent="0.2">
      <c r="E2808" s="3">
        <f t="shared" si="43"/>
        <v>33</v>
      </c>
    </row>
    <row r="2809" spans="1:5" x14ac:dyDescent="0.2">
      <c r="E2809" s="3">
        <f t="shared" si="43"/>
        <v>33</v>
      </c>
    </row>
    <row r="2810" spans="1:5" x14ac:dyDescent="0.2">
      <c r="E2810" s="3">
        <f t="shared" si="43"/>
        <v>33</v>
      </c>
    </row>
    <row r="2811" spans="1:5" x14ac:dyDescent="0.2">
      <c r="E2811" s="3">
        <f t="shared" si="43"/>
        <v>33</v>
      </c>
    </row>
    <row r="2812" spans="1:5" x14ac:dyDescent="0.2">
      <c r="E2812" s="3">
        <f t="shared" si="43"/>
        <v>33</v>
      </c>
    </row>
    <row r="2813" spans="1:5" x14ac:dyDescent="0.2">
      <c r="E2813" s="3">
        <f t="shared" si="43"/>
        <v>33</v>
      </c>
    </row>
    <row r="2814" spans="1:5" x14ac:dyDescent="0.2">
      <c r="B2814" s="2"/>
      <c r="C2814" s="2"/>
      <c r="D2814" s="2"/>
      <c r="E2814" s="3">
        <f t="shared" si="43"/>
        <v>33</v>
      </c>
    </row>
    <row r="2815" spans="1:5" x14ac:dyDescent="0.2">
      <c r="B2815" s="2"/>
      <c r="C2815" s="2"/>
      <c r="D2815" s="2"/>
      <c r="E2815" s="3">
        <f t="shared" si="43"/>
        <v>33</v>
      </c>
    </row>
    <row r="2816" spans="1:5" x14ac:dyDescent="0.2">
      <c r="A2816" s="1"/>
      <c r="E2816" s="3">
        <f t="shared" si="43"/>
        <v>33</v>
      </c>
    </row>
    <row r="2817" spans="1:5" x14ac:dyDescent="0.2">
      <c r="A2817" s="1"/>
      <c r="B2817" s="1"/>
      <c r="C2817" s="1"/>
      <c r="D2817" s="1"/>
      <c r="E2817" s="3">
        <f t="shared" si="43"/>
        <v>33</v>
      </c>
    </row>
    <row r="2818" spans="1:5" x14ac:dyDescent="0.2">
      <c r="E2818" s="3">
        <f t="shared" si="43"/>
        <v>33</v>
      </c>
    </row>
    <row r="2819" spans="1:5" x14ac:dyDescent="0.2">
      <c r="E2819" s="3">
        <f t="shared" si="43"/>
        <v>33</v>
      </c>
    </row>
    <row r="2820" spans="1:5" x14ac:dyDescent="0.2">
      <c r="E2820" s="3">
        <f t="shared" si="43"/>
        <v>33</v>
      </c>
    </row>
    <row r="2821" spans="1:5" x14ac:dyDescent="0.2">
      <c r="E2821" s="3">
        <f t="shared" si="43"/>
        <v>33</v>
      </c>
    </row>
    <row r="2822" spans="1:5" x14ac:dyDescent="0.2">
      <c r="E2822" s="3">
        <f t="shared" si="43"/>
        <v>33</v>
      </c>
    </row>
    <row r="2823" spans="1:5" x14ac:dyDescent="0.2">
      <c r="E2823" s="3">
        <f t="shared" si="43"/>
        <v>33</v>
      </c>
    </row>
    <row r="2824" spans="1:5" x14ac:dyDescent="0.2">
      <c r="B2824" s="2"/>
      <c r="C2824" s="2"/>
      <c r="D2824" s="2"/>
      <c r="E2824" s="3">
        <f t="shared" si="43"/>
        <v>33</v>
      </c>
    </row>
    <row r="2825" spans="1:5" x14ac:dyDescent="0.2">
      <c r="B2825" s="2"/>
      <c r="C2825" s="2"/>
      <c r="D2825" s="2"/>
      <c r="E2825" s="3">
        <f t="shared" si="43"/>
        <v>33</v>
      </c>
    </row>
    <row r="2826" spans="1:5" x14ac:dyDescent="0.2">
      <c r="E2826" s="3">
        <f t="shared" si="43"/>
        <v>33</v>
      </c>
    </row>
    <row r="2827" spans="1:5" x14ac:dyDescent="0.2">
      <c r="E2827" s="3">
        <f t="shared" si="43"/>
        <v>33</v>
      </c>
    </row>
    <row r="2828" spans="1:5" x14ac:dyDescent="0.2">
      <c r="E2828" s="3">
        <f t="shared" si="43"/>
        <v>33</v>
      </c>
    </row>
    <row r="2829" spans="1:5" x14ac:dyDescent="0.2">
      <c r="E2829" s="3">
        <f t="shared" si="43"/>
        <v>33</v>
      </c>
    </row>
    <row r="2830" spans="1:5" x14ac:dyDescent="0.2">
      <c r="E2830" s="3">
        <f t="shared" si="43"/>
        <v>33</v>
      </c>
    </row>
    <row r="2831" spans="1:5" x14ac:dyDescent="0.2">
      <c r="E2831" s="3">
        <f t="shared" si="43"/>
        <v>33</v>
      </c>
    </row>
    <row r="2832" spans="1:5" x14ac:dyDescent="0.2">
      <c r="E2832" s="3">
        <f t="shared" si="43"/>
        <v>33</v>
      </c>
    </row>
    <row r="2833" spans="5:5" x14ac:dyDescent="0.2">
      <c r="E2833" s="3">
        <f t="shared" si="43"/>
        <v>33</v>
      </c>
    </row>
    <row r="2834" spans="5:5" x14ac:dyDescent="0.2">
      <c r="E2834" s="3">
        <f t="shared" si="43"/>
        <v>33</v>
      </c>
    </row>
    <row r="2835" spans="5:5" x14ac:dyDescent="0.2">
      <c r="E2835" s="3">
        <f t="shared" si="43"/>
        <v>33</v>
      </c>
    </row>
    <row r="2836" spans="5:5" x14ac:dyDescent="0.2">
      <c r="E2836" s="3">
        <f t="shared" si="43"/>
        <v>33</v>
      </c>
    </row>
    <row r="2837" spans="5:5" x14ac:dyDescent="0.2">
      <c r="E2837" s="3">
        <f t="shared" si="43"/>
        <v>33</v>
      </c>
    </row>
    <row r="2838" spans="5:5" x14ac:dyDescent="0.2">
      <c r="E2838" s="3">
        <f t="shared" si="43"/>
        <v>33</v>
      </c>
    </row>
    <row r="2839" spans="5:5" x14ac:dyDescent="0.2">
      <c r="E2839" s="3">
        <f t="shared" si="43"/>
        <v>33</v>
      </c>
    </row>
    <row r="2840" spans="5:5" x14ac:dyDescent="0.2">
      <c r="E2840" s="3">
        <f t="shared" si="43"/>
        <v>33</v>
      </c>
    </row>
    <row r="2841" spans="5:5" x14ac:dyDescent="0.2">
      <c r="E2841" s="3">
        <f t="shared" si="43"/>
        <v>33</v>
      </c>
    </row>
    <row r="2842" spans="5:5" x14ac:dyDescent="0.2">
      <c r="E2842" s="3">
        <f t="shared" si="43"/>
        <v>33</v>
      </c>
    </row>
    <row r="2843" spans="5:5" x14ac:dyDescent="0.2">
      <c r="E2843" s="3">
        <f t="shared" si="43"/>
        <v>33</v>
      </c>
    </row>
    <row r="2844" spans="5:5" x14ac:dyDescent="0.2">
      <c r="E2844" s="3">
        <f t="shared" si="43"/>
        <v>33</v>
      </c>
    </row>
    <row r="2845" spans="5:5" x14ac:dyDescent="0.2">
      <c r="E2845" s="3">
        <f t="shared" si="43"/>
        <v>33</v>
      </c>
    </row>
    <row r="2846" spans="5:5" x14ac:dyDescent="0.2">
      <c r="E2846" s="3">
        <f t="shared" si="43"/>
        <v>33</v>
      </c>
    </row>
    <row r="2847" spans="5:5" x14ac:dyDescent="0.2">
      <c r="E2847" s="3">
        <f t="shared" si="43"/>
        <v>33</v>
      </c>
    </row>
    <row r="2848" spans="5:5" x14ac:dyDescent="0.2">
      <c r="E2848" s="3">
        <f t="shared" si="43"/>
        <v>33</v>
      </c>
    </row>
    <row r="2849" spans="5:5" x14ac:dyDescent="0.2">
      <c r="E2849" s="3">
        <f t="shared" si="43"/>
        <v>33</v>
      </c>
    </row>
    <row r="2850" spans="5:5" x14ac:dyDescent="0.2">
      <c r="E2850" s="3">
        <f t="shared" si="43"/>
        <v>33</v>
      </c>
    </row>
    <row r="2851" spans="5:5" x14ac:dyDescent="0.2">
      <c r="E2851" s="3">
        <f t="shared" ref="E2851:E2914" si="44">IF(A2851=$A$1,E2850+1,E2850)</f>
        <v>33</v>
      </c>
    </row>
    <row r="2852" spans="5:5" x14ac:dyDescent="0.2">
      <c r="E2852" s="3">
        <f t="shared" si="44"/>
        <v>33</v>
      </c>
    </row>
    <row r="2853" spans="5:5" x14ac:dyDescent="0.2">
      <c r="E2853" s="3">
        <f t="shared" si="44"/>
        <v>33</v>
      </c>
    </row>
    <row r="2854" spans="5:5" x14ac:dyDescent="0.2">
      <c r="E2854" s="3">
        <f t="shared" si="44"/>
        <v>33</v>
      </c>
    </row>
    <row r="2855" spans="5:5" x14ac:dyDescent="0.2">
      <c r="E2855" s="3">
        <f t="shared" si="44"/>
        <v>33</v>
      </c>
    </row>
    <row r="2856" spans="5:5" x14ac:dyDescent="0.2">
      <c r="E2856" s="3">
        <f t="shared" si="44"/>
        <v>33</v>
      </c>
    </row>
    <row r="2857" spans="5:5" x14ac:dyDescent="0.2">
      <c r="E2857" s="3">
        <f t="shared" si="44"/>
        <v>33</v>
      </c>
    </row>
    <row r="2858" spans="5:5" x14ac:dyDescent="0.2">
      <c r="E2858" s="3">
        <f t="shared" si="44"/>
        <v>33</v>
      </c>
    </row>
    <row r="2859" spans="5:5" x14ac:dyDescent="0.2">
      <c r="E2859" s="3">
        <f t="shared" si="44"/>
        <v>33</v>
      </c>
    </row>
    <row r="2860" spans="5:5" x14ac:dyDescent="0.2">
      <c r="E2860" s="3">
        <f t="shared" si="44"/>
        <v>33</v>
      </c>
    </row>
    <row r="2861" spans="5:5" x14ac:dyDescent="0.2">
      <c r="E2861" s="3">
        <f t="shared" si="44"/>
        <v>33</v>
      </c>
    </row>
    <row r="2862" spans="5:5" x14ac:dyDescent="0.2">
      <c r="E2862" s="3">
        <f t="shared" si="44"/>
        <v>33</v>
      </c>
    </row>
    <row r="2863" spans="5:5" x14ac:dyDescent="0.2">
      <c r="E2863" s="3">
        <f t="shared" si="44"/>
        <v>33</v>
      </c>
    </row>
    <row r="2864" spans="5:5" x14ac:dyDescent="0.2">
      <c r="E2864" s="3">
        <f t="shared" si="44"/>
        <v>33</v>
      </c>
    </row>
    <row r="2865" spans="5:5" x14ac:dyDescent="0.2">
      <c r="E2865" s="3">
        <f t="shared" si="44"/>
        <v>33</v>
      </c>
    </row>
    <row r="2866" spans="5:5" x14ac:dyDescent="0.2">
      <c r="E2866" s="3">
        <f t="shared" si="44"/>
        <v>33</v>
      </c>
    </row>
    <row r="2867" spans="5:5" x14ac:dyDescent="0.2">
      <c r="E2867" s="3">
        <f t="shared" si="44"/>
        <v>33</v>
      </c>
    </row>
    <row r="2868" spans="5:5" x14ac:dyDescent="0.2">
      <c r="E2868" s="3">
        <f t="shared" si="44"/>
        <v>33</v>
      </c>
    </row>
    <row r="2869" spans="5:5" x14ac:dyDescent="0.2">
      <c r="E2869" s="3">
        <f t="shared" si="44"/>
        <v>33</v>
      </c>
    </row>
    <row r="2870" spans="5:5" x14ac:dyDescent="0.2">
      <c r="E2870" s="3">
        <f t="shared" si="44"/>
        <v>33</v>
      </c>
    </row>
    <row r="2871" spans="5:5" x14ac:dyDescent="0.2">
      <c r="E2871" s="3">
        <f t="shared" si="44"/>
        <v>33</v>
      </c>
    </row>
    <row r="2872" spans="5:5" x14ac:dyDescent="0.2">
      <c r="E2872" s="3">
        <f t="shared" si="44"/>
        <v>33</v>
      </c>
    </row>
    <row r="2873" spans="5:5" x14ac:dyDescent="0.2">
      <c r="E2873" s="3">
        <f t="shared" si="44"/>
        <v>33</v>
      </c>
    </row>
    <row r="2874" spans="5:5" x14ac:dyDescent="0.2">
      <c r="E2874" s="3">
        <f t="shared" si="44"/>
        <v>33</v>
      </c>
    </row>
    <row r="2875" spans="5:5" x14ac:dyDescent="0.2">
      <c r="E2875" s="3">
        <f t="shared" si="44"/>
        <v>33</v>
      </c>
    </row>
    <row r="2876" spans="5:5" x14ac:dyDescent="0.2">
      <c r="E2876" s="3">
        <f t="shared" si="44"/>
        <v>33</v>
      </c>
    </row>
    <row r="2877" spans="5:5" x14ac:dyDescent="0.2">
      <c r="E2877" s="3">
        <f t="shared" si="44"/>
        <v>33</v>
      </c>
    </row>
    <row r="2878" spans="5:5" x14ac:dyDescent="0.2">
      <c r="E2878" s="3">
        <f t="shared" si="44"/>
        <v>33</v>
      </c>
    </row>
    <row r="2879" spans="5:5" x14ac:dyDescent="0.2">
      <c r="E2879" s="3">
        <f t="shared" si="44"/>
        <v>33</v>
      </c>
    </row>
    <row r="2880" spans="5:5" x14ac:dyDescent="0.2">
      <c r="E2880" s="3">
        <f t="shared" si="44"/>
        <v>33</v>
      </c>
    </row>
    <row r="2881" spans="5:5" x14ac:dyDescent="0.2">
      <c r="E2881" s="3">
        <f t="shared" si="44"/>
        <v>33</v>
      </c>
    </row>
    <row r="2882" spans="5:5" x14ac:dyDescent="0.2">
      <c r="E2882" s="3">
        <f t="shared" si="44"/>
        <v>33</v>
      </c>
    </row>
    <row r="2883" spans="5:5" x14ac:dyDescent="0.2">
      <c r="E2883" s="3">
        <f t="shared" si="44"/>
        <v>33</v>
      </c>
    </row>
    <row r="2884" spans="5:5" x14ac:dyDescent="0.2">
      <c r="E2884" s="3">
        <f t="shared" si="44"/>
        <v>33</v>
      </c>
    </row>
    <row r="2885" spans="5:5" x14ac:dyDescent="0.2">
      <c r="E2885" s="3">
        <f t="shared" si="44"/>
        <v>33</v>
      </c>
    </row>
    <row r="2886" spans="5:5" x14ac:dyDescent="0.2">
      <c r="E2886" s="3">
        <f t="shared" si="44"/>
        <v>33</v>
      </c>
    </row>
    <row r="2887" spans="5:5" x14ac:dyDescent="0.2">
      <c r="E2887" s="3">
        <f t="shared" si="44"/>
        <v>33</v>
      </c>
    </row>
    <row r="2888" spans="5:5" x14ac:dyDescent="0.2">
      <c r="E2888" s="3">
        <f t="shared" si="44"/>
        <v>33</v>
      </c>
    </row>
    <row r="2889" spans="5:5" x14ac:dyDescent="0.2">
      <c r="E2889" s="3">
        <f t="shared" si="44"/>
        <v>33</v>
      </c>
    </row>
    <row r="2890" spans="5:5" x14ac:dyDescent="0.2">
      <c r="E2890" s="3">
        <f t="shared" si="44"/>
        <v>33</v>
      </c>
    </row>
    <row r="2891" spans="5:5" x14ac:dyDescent="0.2">
      <c r="E2891" s="3">
        <f t="shared" si="44"/>
        <v>33</v>
      </c>
    </row>
    <row r="2892" spans="5:5" x14ac:dyDescent="0.2">
      <c r="E2892" s="3">
        <f t="shared" si="44"/>
        <v>33</v>
      </c>
    </row>
    <row r="2893" spans="5:5" x14ac:dyDescent="0.2">
      <c r="E2893" s="3">
        <f t="shared" si="44"/>
        <v>33</v>
      </c>
    </row>
    <row r="2894" spans="5:5" x14ac:dyDescent="0.2">
      <c r="E2894" s="3">
        <f t="shared" si="44"/>
        <v>33</v>
      </c>
    </row>
    <row r="2895" spans="5:5" x14ac:dyDescent="0.2">
      <c r="E2895" s="3">
        <f t="shared" si="44"/>
        <v>33</v>
      </c>
    </row>
    <row r="2896" spans="5:5" x14ac:dyDescent="0.2">
      <c r="E2896" s="3">
        <f t="shared" si="44"/>
        <v>33</v>
      </c>
    </row>
    <row r="2897" spans="5:5" x14ac:dyDescent="0.2">
      <c r="E2897" s="3">
        <f t="shared" si="44"/>
        <v>33</v>
      </c>
    </row>
    <row r="2898" spans="5:5" x14ac:dyDescent="0.2">
      <c r="E2898" s="3">
        <f t="shared" si="44"/>
        <v>33</v>
      </c>
    </row>
    <row r="2899" spans="5:5" x14ac:dyDescent="0.2">
      <c r="E2899" s="3">
        <f t="shared" si="44"/>
        <v>33</v>
      </c>
    </row>
    <row r="2900" spans="5:5" x14ac:dyDescent="0.2">
      <c r="E2900" s="3">
        <f t="shared" si="44"/>
        <v>33</v>
      </c>
    </row>
    <row r="2901" spans="5:5" x14ac:dyDescent="0.2">
      <c r="E2901" s="3">
        <f t="shared" si="44"/>
        <v>33</v>
      </c>
    </row>
    <row r="2902" spans="5:5" x14ac:dyDescent="0.2">
      <c r="E2902" s="3">
        <f t="shared" si="44"/>
        <v>33</v>
      </c>
    </row>
    <row r="2903" spans="5:5" x14ac:dyDescent="0.2">
      <c r="E2903" s="3">
        <f t="shared" si="44"/>
        <v>33</v>
      </c>
    </row>
    <row r="2904" spans="5:5" x14ac:dyDescent="0.2">
      <c r="E2904" s="3">
        <f t="shared" si="44"/>
        <v>33</v>
      </c>
    </row>
    <row r="2905" spans="5:5" x14ac:dyDescent="0.2">
      <c r="E2905" s="3">
        <f t="shared" si="44"/>
        <v>33</v>
      </c>
    </row>
    <row r="2906" spans="5:5" x14ac:dyDescent="0.2">
      <c r="E2906" s="3">
        <f t="shared" si="44"/>
        <v>33</v>
      </c>
    </row>
    <row r="2907" spans="5:5" x14ac:dyDescent="0.2">
      <c r="E2907" s="3">
        <f t="shared" si="44"/>
        <v>33</v>
      </c>
    </row>
    <row r="2908" spans="5:5" x14ac:dyDescent="0.2">
      <c r="E2908" s="3">
        <f t="shared" si="44"/>
        <v>33</v>
      </c>
    </row>
    <row r="2909" spans="5:5" x14ac:dyDescent="0.2">
      <c r="E2909" s="3">
        <f t="shared" si="44"/>
        <v>33</v>
      </c>
    </row>
    <row r="2910" spans="5:5" x14ac:dyDescent="0.2">
      <c r="E2910" s="3">
        <f t="shared" si="44"/>
        <v>33</v>
      </c>
    </row>
    <row r="2911" spans="5:5" x14ac:dyDescent="0.2">
      <c r="E2911" s="3">
        <f t="shared" si="44"/>
        <v>33</v>
      </c>
    </row>
    <row r="2912" spans="5:5" x14ac:dyDescent="0.2">
      <c r="E2912" s="3">
        <f t="shared" si="44"/>
        <v>33</v>
      </c>
    </row>
    <row r="2913" spans="5:5" x14ac:dyDescent="0.2">
      <c r="E2913" s="3">
        <f t="shared" si="44"/>
        <v>33</v>
      </c>
    </row>
    <row r="2914" spans="5:5" x14ac:dyDescent="0.2">
      <c r="E2914" s="3">
        <f t="shared" si="44"/>
        <v>33</v>
      </c>
    </row>
    <row r="2915" spans="5:5" x14ac:dyDescent="0.2">
      <c r="E2915" s="3">
        <f t="shared" ref="E2915:E2978" si="45">IF(A2915=$A$1,E2914+1,E2914)</f>
        <v>33</v>
      </c>
    </row>
    <row r="2916" spans="5:5" x14ac:dyDescent="0.2">
      <c r="E2916" s="3">
        <f t="shared" si="45"/>
        <v>33</v>
      </c>
    </row>
    <row r="2917" spans="5:5" x14ac:dyDescent="0.2">
      <c r="E2917" s="3">
        <f t="shared" si="45"/>
        <v>33</v>
      </c>
    </row>
    <row r="2918" spans="5:5" x14ac:dyDescent="0.2">
      <c r="E2918" s="3">
        <f t="shared" si="45"/>
        <v>33</v>
      </c>
    </row>
    <row r="2919" spans="5:5" x14ac:dyDescent="0.2">
      <c r="E2919" s="3">
        <f t="shared" si="45"/>
        <v>33</v>
      </c>
    </row>
    <row r="2920" spans="5:5" x14ac:dyDescent="0.2">
      <c r="E2920" s="3">
        <f t="shared" si="45"/>
        <v>33</v>
      </c>
    </row>
    <row r="2921" spans="5:5" x14ac:dyDescent="0.2">
      <c r="E2921" s="3">
        <f t="shared" si="45"/>
        <v>33</v>
      </c>
    </row>
    <row r="2922" spans="5:5" x14ac:dyDescent="0.2">
      <c r="E2922" s="3">
        <f t="shared" si="45"/>
        <v>33</v>
      </c>
    </row>
    <row r="2923" spans="5:5" x14ac:dyDescent="0.2">
      <c r="E2923" s="3">
        <f t="shared" si="45"/>
        <v>33</v>
      </c>
    </row>
    <row r="2924" spans="5:5" x14ac:dyDescent="0.2">
      <c r="E2924" s="3">
        <f t="shared" si="45"/>
        <v>33</v>
      </c>
    </row>
    <row r="2925" spans="5:5" x14ac:dyDescent="0.2">
      <c r="E2925" s="3">
        <f t="shared" si="45"/>
        <v>33</v>
      </c>
    </row>
    <row r="2926" spans="5:5" x14ac:dyDescent="0.2">
      <c r="E2926" s="3">
        <f t="shared" si="45"/>
        <v>33</v>
      </c>
    </row>
    <row r="2927" spans="5:5" x14ac:dyDescent="0.2">
      <c r="E2927" s="3">
        <f t="shared" si="45"/>
        <v>33</v>
      </c>
    </row>
    <row r="2928" spans="5:5" x14ac:dyDescent="0.2">
      <c r="E2928" s="3">
        <f t="shared" si="45"/>
        <v>33</v>
      </c>
    </row>
    <row r="2929" spans="5:5" x14ac:dyDescent="0.2">
      <c r="E2929" s="3">
        <f t="shared" si="45"/>
        <v>33</v>
      </c>
    </row>
    <row r="2930" spans="5:5" x14ac:dyDescent="0.2">
      <c r="E2930" s="3">
        <f t="shared" si="45"/>
        <v>33</v>
      </c>
    </row>
    <row r="2931" spans="5:5" x14ac:dyDescent="0.2">
      <c r="E2931" s="3">
        <f t="shared" si="45"/>
        <v>33</v>
      </c>
    </row>
    <row r="2932" spans="5:5" x14ac:dyDescent="0.2">
      <c r="E2932" s="3">
        <f t="shared" si="45"/>
        <v>33</v>
      </c>
    </row>
    <row r="2933" spans="5:5" x14ac:dyDescent="0.2">
      <c r="E2933" s="3">
        <f t="shared" si="45"/>
        <v>33</v>
      </c>
    </row>
    <row r="2934" spans="5:5" x14ac:dyDescent="0.2">
      <c r="E2934" s="3">
        <f t="shared" si="45"/>
        <v>33</v>
      </c>
    </row>
    <row r="2935" spans="5:5" x14ac:dyDescent="0.2">
      <c r="E2935" s="3">
        <f t="shared" si="45"/>
        <v>33</v>
      </c>
    </row>
    <row r="2936" spans="5:5" x14ac:dyDescent="0.2">
      <c r="E2936" s="3">
        <f t="shared" si="45"/>
        <v>33</v>
      </c>
    </row>
    <row r="2937" spans="5:5" x14ac:dyDescent="0.2">
      <c r="E2937" s="3">
        <f t="shared" si="45"/>
        <v>33</v>
      </c>
    </row>
    <row r="2938" spans="5:5" x14ac:dyDescent="0.2">
      <c r="E2938" s="3">
        <f t="shared" si="45"/>
        <v>33</v>
      </c>
    </row>
    <row r="2939" spans="5:5" x14ac:dyDescent="0.2">
      <c r="E2939" s="3">
        <f t="shared" si="45"/>
        <v>33</v>
      </c>
    </row>
    <row r="2940" spans="5:5" x14ac:dyDescent="0.2">
      <c r="E2940" s="3">
        <f t="shared" si="45"/>
        <v>33</v>
      </c>
    </row>
    <row r="2941" spans="5:5" x14ac:dyDescent="0.2">
      <c r="E2941" s="3">
        <f t="shared" si="45"/>
        <v>33</v>
      </c>
    </row>
    <row r="2942" spans="5:5" x14ac:dyDescent="0.2">
      <c r="E2942" s="3">
        <f t="shared" si="45"/>
        <v>33</v>
      </c>
    </row>
    <row r="2943" spans="5:5" x14ac:dyDescent="0.2">
      <c r="E2943" s="3">
        <f t="shared" si="45"/>
        <v>33</v>
      </c>
    </row>
    <row r="2944" spans="5:5" x14ac:dyDescent="0.2">
      <c r="E2944" s="3">
        <f t="shared" si="45"/>
        <v>33</v>
      </c>
    </row>
    <row r="2945" spans="5:5" x14ac:dyDescent="0.2">
      <c r="E2945" s="3">
        <f t="shared" si="45"/>
        <v>33</v>
      </c>
    </row>
    <row r="2946" spans="5:5" x14ac:dyDescent="0.2">
      <c r="E2946" s="3">
        <f t="shared" si="45"/>
        <v>33</v>
      </c>
    </row>
    <row r="2947" spans="5:5" x14ac:dyDescent="0.2">
      <c r="E2947" s="3">
        <f t="shared" si="45"/>
        <v>33</v>
      </c>
    </row>
    <row r="2948" spans="5:5" x14ac:dyDescent="0.2">
      <c r="E2948" s="3">
        <f t="shared" si="45"/>
        <v>33</v>
      </c>
    </row>
    <row r="2949" spans="5:5" x14ac:dyDescent="0.2">
      <c r="E2949" s="3">
        <f t="shared" si="45"/>
        <v>33</v>
      </c>
    </row>
    <row r="2950" spans="5:5" x14ac:dyDescent="0.2">
      <c r="E2950" s="3">
        <f t="shared" si="45"/>
        <v>33</v>
      </c>
    </row>
    <row r="2951" spans="5:5" x14ac:dyDescent="0.2">
      <c r="E2951" s="3">
        <f t="shared" si="45"/>
        <v>33</v>
      </c>
    </row>
    <row r="2952" spans="5:5" x14ac:dyDescent="0.2">
      <c r="E2952" s="3">
        <f t="shared" si="45"/>
        <v>33</v>
      </c>
    </row>
    <row r="2953" spans="5:5" x14ac:dyDescent="0.2">
      <c r="E2953" s="3">
        <f t="shared" si="45"/>
        <v>33</v>
      </c>
    </row>
    <row r="2954" spans="5:5" x14ac:dyDescent="0.2">
      <c r="E2954" s="3">
        <f t="shared" si="45"/>
        <v>33</v>
      </c>
    </row>
    <row r="2955" spans="5:5" x14ac:dyDescent="0.2">
      <c r="E2955" s="3">
        <f t="shared" si="45"/>
        <v>33</v>
      </c>
    </row>
    <row r="2956" spans="5:5" x14ac:dyDescent="0.2">
      <c r="E2956" s="3">
        <f t="shared" si="45"/>
        <v>33</v>
      </c>
    </row>
    <row r="2957" spans="5:5" x14ac:dyDescent="0.2">
      <c r="E2957" s="3">
        <f t="shared" si="45"/>
        <v>33</v>
      </c>
    </row>
    <row r="2958" spans="5:5" x14ac:dyDescent="0.2">
      <c r="E2958" s="3">
        <f t="shared" si="45"/>
        <v>33</v>
      </c>
    </row>
    <row r="2959" spans="5:5" x14ac:dyDescent="0.2">
      <c r="E2959" s="3">
        <f t="shared" si="45"/>
        <v>33</v>
      </c>
    </row>
    <row r="2960" spans="5:5" x14ac:dyDescent="0.2">
      <c r="E2960" s="3">
        <f t="shared" si="45"/>
        <v>33</v>
      </c>
    </row>
    <row r="2961" spans="5:5" x14ac:dyDescent="0.2">
      <c r="E2961" s="3">
        <f t="shared" si="45"/>
        <v>33</v>
      </c>
    </row>
    <row r="2962" spans="5:5" x14ac:dyDescent="0.2">
      <c r="E2962" s="3">
        <f t="shared" si="45"/>
        <v>33</v>
      </c>
    </row>
    <row r="2963" spans="5:5" x14ac:dyDescent="0.2">
      <c r="E2963" s="3">
        <f t="shared" si="45"/>
        <v>33</v>
      </c>
    </row>
    <row r="2964" spans="5:5" x14ac:dyDescent="0.2">
      <c r="E2964" s="3">
        <f t="shared" si="45"/>
        <v>33</v>
      </c>
    </row>
    <row r="2965" spans="5:5" x14ac:dyDescent="0.2">
      <c r="E2965" s="3">
        <f t="shared" si="45"/>
        <v>33</v>
      </c>
    </row>
    <row r="2966" spans="5:5" x14ac:dyDescent="0.2">
      <c r="E2966" s="3">
        <f t="shared" si="45"/>
        <v>33</v>
      </c>
    </row>
    <row r="2967" spans="5:5" x14ac:dyDescent="0.2">
      <c r="E2967" s="3">
        <f t="shared" si="45"/>
        <v>33</v>
      </c>
    </row>
    <row r="2968" spans="5:5" x14ac:dyDescent="0.2">
      <c r="E2968" s="3">
        <f t="shared" si="45"/>
        <v>33</v>
      </c>
    </row>
    <row r="2969" spans="5:5" x14ac:dyDescent="0.2">
      <c r="E2969" s="3">
        <f t="shared" si="45"/>
        <v>33</v>
      </c>
    </row>
    <row r="2970" spans="5:5" x14ac:dyDescent="0.2">
      <c r="E2970" s="3">
        <f t="shared" si="45"/>
        <v>33</v>
      </c>
    </row>
    <row r="2971" spans="5:5" x14ac:dyDescent="0.2">
      <c r="E2971" s="3">
        <f t="shared" si="45"/>
        <v>33</v>
      </c>
    </row>
    <row r="2972" spans="5:5" x14ac:dyDescent="0.2">
      <c r="E2972" s="3">
        <f t="shared" si="45"/>
        <v>33</v>
      </c>
    </row>
    <row r="2973" spans="5:5" x14ac:dyDescent="0.2">
      <c r="E2973" s="3">
        <f t="shared" si="45"/>
        <v>33</v>
      </c>
    </row>
    <row r="2974" spans="5:5" x14ac:dyDescent="0.2">
      <c r="E2974" s="3">
        <f t="shared" si="45"/>
        <v>33</v>
      </c>
    </row>
    <row r="2975" spans="5:5" x14ac:dyDescent="0.2">
      <c r="E2975" s="3">
        <f t="shared" si="45"/>
        <v>33</v>
      </c>
    </row>
    <row r="2976" spans="5:5" x14ac:dyDescent="0.2">
      <c r="E2976" s="3">
        <f t="shared" si="45"/>
        <v>33</v>
      </c>
    </row>
    <row r="2977" spans="5:5" x14ac:dyDescent="0.2">
      <c r="E2977" s="3">
        <f t="shared" si="45"/>
        <v>33</v>
      </c>
    </row>
    <row r="2978" spans="5:5" x14ac:dyDescent="0.2">
      <c r="E2978" s="3">
        <f t="shared" si="45"/>
        <v>33</v>
      </c>
    </row>
    <row r="2979" spans="5:5" x14ac:dyDescent="0.2">
      <c r="E2979" s="3">
        <f t="shared" ref="E2979:E3042" si="46">IF(A2979=$A$1,E2978+1,E2978)</f>
        <v>33</v>
      </c>
    </row>
    <row r="2980" spans="5:5" x14ac:dyDescent="0.2">
      <c r="E2980" s="3">
        <f t="shared" si="46"/>
        <v>33</v>
      </c>
    </row>
    <row r="2981" spans="5:5" x14ac:dyDescent="0.2">
      <c r="E2981" s="3">
        <f t="shared" si="46"/>
        <v>33</v>
      </c>
    </row>
    <row r="2982" spans="5:5" x14ac:dyDescent="0.2">
      <c r="E2982" s="3">
        <f t="shared" si="46"/>
        <v>33</v>
      </c>
    </row>
    <row r="2983" spans="5:5" x14ac:dyDescent="0.2">
      <c r="E2983" s="3">
        <f t="shared" si="46"/>
        <v>33</v>
      </c>
    </row>
    <row r="2984" spans="5:5" x14ac:dyDescent="0.2">
      <c r="E2984" s="3">
        <f t="shared" si="46"/>
        <v>33</v>
      </c>
    </row>
    <row r="2985" spans="5:5" x14ac:dyDescent="0.2">
      <c r="E2985" s="3">
        <f t="shared" si="46"/>
        <v>33</v>
      </c>
    </row>
    <row r="2986" spans="5:5" x14ac:dyDescent="0.2">
      <c r="E2986" s="3">
        <f t="shared" si="46"/>
        <v>33</v>
      </c>
    </row>
    <row r="2987" spans="5:5" x14ac:dyDescent="0.2">
      <c r="E2987" s="3">
        <f t="shared" si="46"/>
        <v>33</v>
      </c>
    </row>
    <row r="2988" spans="5:5" x14ac:dyDescent="0.2">
      <c r="E2988" s="3">
        <f t="shared" si="46"/>
        <v>33</v>
      </c>
    </row>
    <row r="2989" spans="5:5" x14ac:dyDescent="0.2">
      <c r="E2989" s="3">
        <f t="shared" si="46"/>
        <v>33</v>
      </c>
    </row>
    <row r="2990" spans="5:5" x14ac:dyDescent="0.2">
      <c r="E2990" s="3">
        <f t="shared" si="46"/>
        <v>33</v>
      </c>
    </row>
    <row r="2991" spans="5:5" x14ac:dyDescent="0.2">
      <c r="E2991" s="3">
        <f t="shared" si="46"/>
        <v>33</v>
      </c>
    </row>
    <row r="2992" spans="5:5" x14ac:dyDescent="0.2">
      <c r="E2992" s="3">
        <f t="shared" si="46"/>
        <v>33</v>
      </c>
    </row>
    <row r="2993" spans="5:5" x14ac:dyDescent="0.2">
      <c r="E2993" s="3">
        <f t="shared" si="46"/>
        <v>33</v>
      </c>
    </row>
    <row r="2994" spans="5:5" x14ac:dyDescent="0.2">
      <c r="E2994" s="3">
        <f t="shared" si="46"/>
        <v>33</v>
      </c>
    </row>
    <row r="2995" spans="5:5" x14ac:dyDescent="0.2">
      <c r="E2995" s="3">
        <f t="shared" si="46"/>
        <v>33</v>
      </c>
    </row>
    <row r="2996" spans="5:5" x14ac:dyDescent="0.2">
      <c r="E2996" s="3">
        <f t="shared" si="46"/>
        <v>33</v>
      </c>
    </row>
    <row r="2997" spans="5:5" x14ac:dyDescent="0.2">
      <c r="E2997" s="3">
        <f t="shared" si="46"/>
        <v>33</v>
      </c>
    </row>
    <row r="2998" spans="5:5" x14ac:dyDescent="0.2">
      <c r="E2998" s="3">
        <f t="shared" si="46"/>
        <v>33</v>
      </c>
    </row>
    <row r="2999" spans="5:5" x14ac:dyDescent="0.2">
      <c r="E2999" s="3">
        <f t="shared" si="46"/>
        <v>33</v>
      </c>
    </row>
    <row r="3000" spans="5:5" x14ac:dyDescent="0.2">
      <c r="E3000" s="3">
        <f t="shared" si="46"/>
        <v>33</v>
      </c>
    </row>
    <row r="3001" spans="5:5" x14ac:dyDescent="0.2">
      <c r="E3001" s="3">
        <f t="shared" si="46"/>
        <v>33</v>
      </c>
    </row>
    <row r="3002" spans="5:5" x14ac:dyDescent="0.2">
      <c r="E3002" s="3">
        <f t="shared" si="46"/>
        <v>33</v>
      </c>
    </row>
    <row r="3003" spans="5:5" x14ac:dyDescent="0.2">
      <c r="E3003" s="3">
        <f t="shared" si="46"/>
        <v>33</v>
      </c>
    </row>
    <row r="3004" spans="5:5" x14ac:dyDescent="0.2">
      <c r="E3004" s="3">
        <f t="shared" si="46"/>
        <v>33</v>
      </c>
    </row>
    <row r="3005" spans="5:5" x14ac:dyDescent="0.2">
      <c r="E3005" s="3">
        <f t="shared" si="46"/>
        <v>33</v>
      </c>
    </row>
    <row r="3006" spans="5:5" x14ac:dyDescent="0.2">
      <c r="E3006" s="3">
        <f t="shared" si="46"/>
        <v>33</v>
      </c>
    </row>
    <row r="3007" spans="5:5" x14ac:dyDescent="0.2">
      <c r="E3007" s="3">
        <f t="shared" si="46"/>
        <v>33</v>
      </c>
    </row>
    <row r="3008" spans="5:5" x14ac:dyDescent="0.2">
      <c r="E3008" s="3">
        <f t="shared" si="46"/>
        <v>33</v>
      </c>
    </row>
    <row r="3009" spans="5:5" x14ac:dyDescent="0.2">
      <c r="E3009" s="3">
        <f t="shared" si="46"/>
        <v>33</v>
      </c>
    </row>
    <row r="3010" spans="5:5" x14ac:dyDescent="0.2">
      <c r="E3010" s="3">
        <f t="shared" si="46"/>
        <v>33</v>
      </c>
    </row>
    <row r="3011" spans="5:5" x14ac:dyDescent="0.2">
      <c r="E3011" s="3">
        <f t="shared" si="46"/>
        <v>33</v>
      </c>
    </row>
    <row r="3012" spans="5:5" x14ac:dyDescent="0.2">
      <c r="E3012" s="3">
        <f t="shared" si="46"/>
        <v>33</v>
      </c>
    </row>
    <row r="3013" spans="5:5" x14ac:dyDescent="0.2">
      <c r="E3013" s="3">
        <f t="shared" si="46"/>
        <v>33</v>
      </c>
    </row>
    <row r="3014" spans="5:5" x14ac:dyDescent="0.2">
      <c r="E3014" s="3">
        <f t="shared" si="46"/>
        <v>33</v>
      </c>
    </row>
    <row r="3015" spans="5:5" x14ac:dyDescent="0.2">
      <c r="E3015" s="3">
        <f t="shared" si="46"/>
        <v>33</v>
      </c>
    </row>
    <row r="3016" spans="5:5" x14ac:dyDescent="0.2">
      <c r="E3016" s="3">
        <f t="shared" si="46"/>
        <v>33</v>
      </c>
    </row>
    <row r="3017" spans="5:5" x14ac:dyDescent="0.2">
      <c r="E3017" s="3">
        <f t="shared" si="46"/>
        <v>33</v>
      </c>
    </row>
    <row r="3018" spans="5:5" x14ac:dyDescent="0.2">
      <c r="E3018" s="3">
        <f t="shared" si="46"/>
        <v>33</v>
      </c>
    </row>
    <row r="3019" spans="5:5" x14ac:dyDescent="0.2">
      <c r="E3019" s="3">
        <f t="shared" si="46"/>
        <v>33</v>
      </c>
    </row>
    <row r="3020" spans="5:5" x14ac:dyDescent="0.2">
      <c r="E3020" s="3">
        <f t="shared" si="46"/>
        <v>33</v>
      </c>
    </row>
    <row r="3021" spans="5:5" x14ac:dyDescent="0.2">
      <c r="E3021" s="3">
        <f t="shared" si="46"/>
        <v>33</v>
      </c>
    </row>
    <row r="3022" spans="5:5" x14ac:dyDescent="0.2">
      <c r="E3022" s="3">
        <f t="shared" si="46"/>
        <v>33</v>
      </c>
    </row>
    <row r="3023" spans="5:5" x14ac:dyDescent="0.2">
      <c r="E3023" s="3">
        <f t="shared" si="46"/>
        <v>33</v>
      </c>
    </row>
    <row r="3024" spans="5:5" x14ac:dyDescent="0.2">
      <c r="E3024" s="3">
        <f t="shared" si="46"/>
        <v>33</v>
      </c>
    </row>
    <row r="3025" spans="5:5" x14ac:dyDescent="0.2">
      <c r="E3025" s="3">
        <f t="shared" si="46"/>
        <v>33</v>
      </c>
    </row>
    <row r="3026" spans="5:5" x14ac:dyDescent="0.2">
      <c r="E3026" s="3">
        <f t="shared" si="46"/>
        <v>33</v>
      </c>
    </row>
    <row r="3027" spans="5:5" x14ac:dyDescent="0.2">
      <c r="E3027" s="3">
        <f t="shared" si="46"/>
        <v>33</v>
      </c>
    </row>
    <row r="3028" spans="5:5" x14ac:dyDescent="0.2">
      <c r="E3028" s="3">
        <f t="shared" si="46"/>
        <v>33</v>
      </c>
    </row>
    <row r="3029" spans="5:5" x14ac:dyDescent="0.2">
      <c r="E3029" s="3">
        <f t="shared" si="46"/>
        <v>33</v>
      </c>
    </row>
    <row r="3030" spans="5:5" x14ac:dyDescent="0.2">
      <c r="E3030" s="3">
        <f t="shared" si="46"/>
        <v>33</v>
      </c>
    </row>
    <row r="3031" spans="5:5" x14ac:dyDescent="0.2">
      <c r="E3031" s="3">
        <f t="shared" si="46"/>
        <v>33</v>
      </c>
    </row>
    <row r="3032" spans="5:5" x14ac:dyDescent="0.2">
      <c r="E3032" s="3">
        <f t="shared" si="46"/>
        <v>33</v>
      </c>
    </row>
    <row r="3033" spans="5:5" x14ac:dyDescent="0.2">
      <c r="E3033" s="3">
        <f t="shared" si="46"/>
        <v>33</v>
      </c>
    </row>
    <row r="3034" spans="5:5" x14ac:dyDescent="0.2">
      <c r="E3034" s="3">
        <f t="shared" si="46"/>
        <v>33</v>
      </c>
    </row>
    <row r="3035" spans="5:5" x14ac:dyDescent="0.2">
      <c r="E3035" s="3">
        <f t="shared" si="46"/>
        <v>33</v>
      </c>
    </row>
    <row r="3036" spans="5:5" x14ac:dyDescent="0.2">
      <c r="E3036" s="3">
        <f t="shared" si="46"/>
        <v>33</v>
      </c>
    </row>
    <row r="3037" spans="5:5" x14ac:dyDescent="0.2">
      <c r="E3037" s="3">
        <f t="shared" si="46"/>
        <v>33</v>
      </c>
    </row>
    <row r="3038" spans="5:5" x14ac:dyDescent="0.2">
      <c r="E3038" s="3">
        <f t="shared" si="46"/>
        <v>33</v>
      </c>
    </row>
    <row r="3039" spans="5:5" x14ac:dyDescent="0.2">
      <c r="E3039" s="3">
        <f t="shared" si="46"/>
        <v>33</v>
      </c>
    </row>
    <row r="3040" spans="5:5" x14ac:dyDescent="0.2">
      <c r="E3040" s="3">
        <f t="shared" si="46"/>
        <v>33</v>
      </c>
    </row>
    <row r="3041" spans="5:5" x14ac:dyDescent="0.2">
      <c r="E3041" s="3">
        <f t="shared" si="46"/>
        <v>33</v>
      </c>
    </row>
    <row r="3042" spans="5:5" x14ac:dyDescent="0.2">
      <c r="E3042" s="3">
        <f t="shared" si="46"/>
        <v>33</v>
      </c>
    </row>
    <row r="3043" spans="5:5" x14ac:dyDescent="0.2">
      <c r="E3043" s="3">
        <f t="shared" ref="E3043:E3061" si="47">IF(A3043=$A$1,E3042+1,E3042)</f>
        <v>33</v>
      </c>
    </row>
    <row r="3044" spans="5:5" x14ac:dyDescent="0.2">
      <c r="E3044" s="3">
        <f t="shared" si="47"/>
        <v>33</v>
      </c>
    </row>
    <row r="3045" spans="5:5" x14ac:dyDescent="0.2">
      <c r="E3045" s="3">
        <f t="shared" si="47"/>
        <v>33</v>
      </c>
    </row>
    <row r="3046" spans="5:5" x14ac:dyDescent="0.2">
      <c r="E3046" s="3">
        <f t="shared" si="47"/>
        <v>33</v>
      </c>
    </row>
    <row r="3047" spans="5:5" x14ac:dyDescent="0.2">
      <c r="E3047" s="3">
        <f t="shared" si="47"/>
        <v>33</v>
      </c>
    </row>
    <row r="3048" spans="5:5" x14ac:dyDescent="0.2">
      <c r="E3048" s="3">
        <f t="shared" si="47"/>
        <v>33</v>
      </c>
    </row>
    <row r="3049" spans="5:5" x14ac:dyDescent="0.2">
      <c r="E3049" s="3">
        <f t="shared" si="47"/>
        <v>33</v>
      </c>
    </row>
    <row r="3050" spans="5:5" x14ac:dyDescent="0.2">
      <c r="E3050" s="3">
        <f t="shared" si="47"/>
        <v>33</v>
      </c>
    </row>
    <row r="3051" spans="5:5" x14ac:dyDescent="0.2">
      <c r="E3051" s="3">
        <f t="shared" si="47"/>
        <v>33</v>
      </c>
    </row>
    <row r="3052" spans="5:5" x14ac:dyDescent="0.2">
      <c r="E3052" s="3">
        <f t="shared" si="47"/>
        <v>33</v>
      </c>
    </row>
    <row r="3053" spans="5:5" x14ac:dyDescent="0.2">
      <c r="E3053" s="3">
        <f t="shared" si="47"/>
        <v>33</v>
      </c>
    </row>
    <row r="3054" spans="5:5" x14ac:dyDescent="0.2">
      <c r="E3054" s="3">
        <f t="shared" si="47"/>
        <v>33</v>
      </c>
    </row>
    <row r="3055" spans="5:5" x14ac:dyDescent="0.2">
      <c r="E3055" s="3">
        <f t="shared" si="47"/>
        <v>33</v>
      </c>
    </row>
    <row r="3056" spans="5:5" x14ac:dyDescent="0.2">
      <c r="E3056" s="3">
        <f t="shared" si="47"/>
        <v>33</v>
      </c>
    </row>
    <row r="3057" spans="5:5" x14ac:dyDescent="0.2">
      <c r="E3057" s="3">
        <f t="shared" si="47"/>
        <v>33</v>
      </c>
    </row>
    <row r="3058" spans="5:5" x14ac:dyDescent="0.2">
      <c r="E3058" s="3">
        <f t="shared" si="47"/>
        <v>33</v>
      </c>
    </row>
    <row r="3059" spans="5:5" x14ac:dyDescent="0.2">
      <c r="E3059" s="3">
        <f t="shared" si="47"/>
        <v>33</v>
      </c>
    </row>
    <row r="3060" spans="5:5" x14ac:dyDescent="0.2">
      <c r="E3060" s="3">
        <f t="shared" si="47"/>
        <v>33</v>
      </c>
    </row>
    <row r="3061" spans="5:5" x14ac:dyDescent="0.2">
      <c r="E3061" s="3">
        <f t="shared" si="47"/>
        <v>33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EEF22-F4B1-1A4A-ABCD-E0D5A4120DC3}">
  <sheetPr codeName="Sheet6"/>
  <dimension ref="A1:G3061"/>
  <sheetViews>
    <sheetView topLeftCell="A2664" zoomScaleNormal="100" workbookViewId="0">
      <selection activeCell="E2682" sqref="E1:E2682"/>
    </sheetView>
  </sheetViews>
  <sheetFormatPr baseColWidth="10" defaultRowHeight="16" x14ac:dyDescent="0.2"/>
  <cols>
    <col min="5" max="5" width="10.83203125" style="3"/>
  </cols>
  <sheetData>
    <row r="1" spans="1:5" x14ac:dyDescent="0.2">
      <c r="A1" s="1" t="s">
        <v>0</v>
      </c>
      <c r="E1" s="5" t="s">
        <v>306</v>
      </c>
    </row>
    <row r="2" spans="1:5" x14ac:dyDescent="0.2">
      <c r="A2" s="1" t="s">
        <v>1</v>
      </c>
      <c r="B2" s="1" t="s">
        <v>2</v>
      </c>
      <c r="C2" s="1" t="s">
        <v>3</v>
      </c>
      <c r="D2" s="1" t="s">
        <v>4</v>
      </c>
      <c r="E2" s="4">
        <v>1</v>
      </c>
    </row>
    <row r="3" spans="1:5" x14ac:dyDescent="0.2">
      <c r="A3">
        <v>0</v>
      </c>
      <c r="C3">
        <v>0</v>
      </c>
      <c r="D3">
        <v>0</v>
      </c>
      <c r="E3" s="3">
        <f>IF(A3=$A$1,E2+1,E2)</f>
        <v>1</v>
      </c>
    </row>
    <row r="4" spans="1:5" x14ac:dyDescent="0.2">
      <c r="A4">
        <v>1</v>
      </c>
      <c r="B4" t="s">
        <v>503</v>
      </c>
      <c r="C4">
        <v>5</v>
      </c>
      <c r="D4">
        <v>17</v>
      </c>
      <c r="E4" s="3">
        <f t="shared" ref="E4:E67" si="0">IF(A4=$A$1,E3+1,E3)</f>
        <v>1</v>
      </c>
    </row>
    <row r="5" spans="1:5" x14ac:dyDescent="0.2">
      <c r="A5">
        <v>2</v>
      </c>
      <c r="B5" t="s">
        <v>6</v>
      </c>
      <c r="C5">
        <v>1</v>
      </c>
      <c r="D5">
        <v>13</v>
      </c>
      <c r="E5" s="3">
        <f t="shared" si="0"/>
        <v>1</v>
      </c>
    </row>
    <row r="6" spans="1:5" x14ac:dyDescent="0.2">
      <c r="A6">
        <v>3</v>
      </c>
      <c r="B6" t="s">
        <v>5</v>
      </c>
      <c r="C6">
        <v>0</v>
      </c>
      <c r="D6">
        <v>9</v>
      </c>
      <c r="E6" s="3">
        <f t="shared" si="0"/>
        <v>1</v>
      </c>
    </row>
    <row r="7" spans="1:5" x14ac:dyDescent="0.2">
      <c r="A7">
        <v>4</v>
      </c>
      <c r="B7" t="s">
        <v>510</v>
      </c>
      <c r="C7">
        <v>0</v>
      </c>
      <c r="D7">
        <v>5</v>
      </c>
      <c r="E7" s="3">
        <f t="shared" si="0"/>
        <v>1</v>
      </c>
    </row>
    <row r="8" spans="1:5" x14ac:dyDescent="0.2">
      <c r="A8">
        <v>5</v>
      </c>
      <c r="B8" t="s">
        <v>511</v>
      </c>
      <c r="C8">
        <v>0</v>
      </c>
      <c r="D8">
        <v>3</v>
      </c>
      <c r="E8" s="3">
        <f t="shared" si="0"/>
        <v>1</v>
      </c>
    </row>
    <row r="9" spans="1:5" x14ac:dyDescent="0.2">
      <c r="A9">
        <v>6</v>
      </c>
      <c r="B9" t="s">
        <v>33</v>
      </c>
      <c r="C9">
        <v>0</v>
      </c>
      <c r="D9">
        <v>2</v>
      </c>
      <c r="E9" s="3">
        <f t="shared" si="0"/>
        <v>1</v>
      </c>
    </row>
    <row r="10" spans="1:5" x14ac:dyDescent="0.2">
      <c r="A10">
        <v>7</v>
      </c>
      <c r="B10" t="s">
        <v>493</v>
      </c>
      <c r="C10">
        <v>0</v>
      </c>
      <c r="D10">
        <v>1</v>
      </c>
      <c r="E10" s="3">
        <f t="shared" si="0"/>
        <v>1</v>
      </c>
    </row>
    <row r="11" spans="1:5" x14ac:dyDescent="0.2">
      <c r="A11">
        <v>9</v>
      </c>
      <c r="B11" s="2" t="s">
        <v>10</v>
      </c>
      <c r="C11" s="2" t="s">
        <v>10</v>
      </c>
      <c r="D11" s="2" t="s">
        <v>10</v>
      </c>
      <c r="E11" s="3">
        <f t="shared" si="0"/>
        <v>1</v>
      </c>
    </row>
    <row r="12" spans="1:5" x14ac:dyDescent="0.2">
      <c r="A12" s="1" t="s">
        <v>11</v>
      </c>
      <c r="E12" s="3">
        <f t="shared" si="0"/>
        <v>1</v>
      </c>
    </row>
    <row r="13" spans="1:5" x14ac:dyDescent="0.2">
      <c r="A13" s="1" t="s">
        <v>1</v>
      </c>
      <c r="B13" s="1" t="s">
        <v>2</v>
      </c>
      <c r="C13" s="1" t="s">
        <v>3</v>
      </c>
      <c r="D13" s="1" t="s">
        <v>4</v>
      </c>
      <c r="E13" s="3">
        <f t="shared" si="0"/>
        <v>1</v>
      </c>
    </row>
    <row r="14" spans="1:5" x14ac:dyDescent="0.2">
      <c r="A14">
        <v>1</v>
      </c>
      <c r="B14" t="s">
        <v>75</v>
      </c>
      <c r="C14">
        <v>1</v>
      </c>
      <c r="D14">
        <v>16</v>
      </c>
      <c r="E14" s="3">
        <f t="shared" si="0"/>
        <v>1</v>
      </c>
    </row>
    <row r="15" spans="1:5" x14ac:dyDescent="0.2">
      <c r="A15">
        <v>2</v>
      </c>
      <c r="B15" t="s">
        <v>451</v>
      </c>
      <c r="C15">
        <v>4</v>
      </c>
      <c r="D15">
        <v>12</v>
      </c>
      <c r="E15" s="3">
        <f t="shared" si="0"/>
        <v>1</v>
      </c>
    </row>
    <row r="16" spans="1:5" x14ac:dyDescent="0.2">
      <c r="A16">
        <v>3</v>
      </c>
      <c r="B16" t="s">
        <v>512</v>
      </c>
      <c r="C16">
        <v>0</v>
      </c>
      <c r="D16">
        <v>8</v>
      </c>
      <c r="E16" s="3">
        <f t="shared" si="0"/>
        <v>1</v>
      </c>
    </row>
    <row r="17" spans="1:5" x14ac:dyDescent="0.2">
      <c r="A17">
        <v>4</v>
      </c>
      <c r="B17" t="s">
        <v>25</v>
      </c>
      <c r="C17">
        <v>0</v>
      </c>
      <c r="D17">
        <v>4</v>
      </c>
      <c r="E17" s="3">
        <f t="shared" si="0"/>
        <v>1</v>
      </c>
    </row>
    <row r="18" spans="1:5" x14ac:dyDescent="0.2">
      <c r="A18">
        <v>5</v>
      </c>
      <c r="B18" t="s">
        <v>345</v>
      </c>
      <c r="C18">
        <v>0</v>
      </c>
      <c r="D18">
        <v>2</v>
      </c>
      <c r="E18" s="3">
        <f t="shared" si="0"/>
        <v>1</v>
      </c>
    </row>
    <row r="19" spans="1:5" x14ac:dyDescent="0.2">
      <c r="A19">
        <v>6</v>
      </c>
      <c r="B19" t="s">
        <v>513</v>
      </c>
      <c r="C19">
        <v>0</v>
      </c>
      <c r="D19">
        <v>1</v>
      </c>
      <c r="E19" s="3">
        <f t="shared" si="0"/>
        <v>1</v>
      </c>
    </row>
    <row r="20" spans="1:5" x14ac:dyDescent="0.2">
      <c r="A20">
        <v>7</v>
      </c>
      <c r="B20" s="2" t="s">
        <v>10</v>
      </c>
      <c r="C20" s="2" t="s">
        <v>10</v>
      </c>
      <c r="D20" s="2" t="s">
        <v>10</v>
      </c>
      <c r="E20" s="3">
        <f t="shared" si="0"/>
        <v>1</v>
      </c>
    </row>
    <row r="21" spans="1:5" x14ac:dyDescent="0.2">
      <c r="A21">
        <v>8</v>
      </c>
      <c r="B21" s="2" t="s">
        <v>10</v>
      </c>
      <c r="C21" s="2" t="s">
        <v>10</v>
      </c>
      <c r="D21" s="2" t="s">
        <v>10</v>
      </c>
      <c r="E21" s="3">
        <f t="shared" si="0"/>
        <v>1</v>
      </c>
    </row>
    <row r="22" spans="1:5" x14ac:dyDescent="0.2">
      <c r="A22" s="1" t="s">
        <v>17</v>
      </c>
      <c r="E22" s="3">
        <f t="shared" si="0"/>
        <v>1</v>
      </c>
    </row>
    <row r="23" spans="1:5" x14ac:dyDescent="0.2">
      <c r="A23" s="1" t="s">
        <v>1</v>
      </c>
      <c r="B23" s="1" t="s">
        <v>2</v>
      </c>
      <c r="C23" s="1" t="s">
        <v>3</v>
      </c>
      <c r="D23" s="1" t="s">
        <v>4</v>
      </c>
      <c r="E23" s="3">
        <f t="shared" si="0"/>
        <v>1</v>
      </c>
    </row>
    <row r="24" spans="1:5" x14ac:dyDescent="0.2">
      <c r="A24">
        <v>1</v>
      </c>
      <c r="B24" t="s">
        <v>65</v>
      </c>
      <c r="C24">
        <v>1</v>
      </c>
      <c r="D24">
        <v>16</v>
      </c>
      <c r="E24" s="3">
        <f t="shared" si="0"/>
        <v>1</v>
      </c>
    </row>
    <row r="25" spans="1:5" x14ac:dyDescent="0.2">
      <c r="A25">
        <v>2</v>
      </c>
      <c r="B25" t="s">
        <v>490</v>
      </c>
      <c r="C25">
        <v>2</v>
      </c>
      <c r="D25">
        <v>12</v>
      </c>
      <c r="E25" s="3">
        <f t="shared" si="0"/>
        <v>1</v>
      </c>
    </row>
    <row r="26" spans="1:5" x14ac:dyDescent="0.2">
      <c r="A26">
        <v>3</v>
      </c>
      <c r="B26" t="s">
        <v>9</v>
      </c>
      <c r="C26">
        <v>2</v>
      </c>
      <c r="D26">
        <v>8</v>
      </c>
      <c r="E26" s="3">
        <f t="shared" si="0"/>
        <v>1</v>
      </c>
    </row>
    <row r="27" spans="1:5" x14ac:dyDescent="0.2">
      <c r="A27">
        <v>4</v>
      </c>
      <c r="B27" t="s">
        <v>21</v>
      </c>
      <c r="C27">
        <v>0</v>
      </c>
      <c r="D27">
        <v>4</v>
      </c>
      <c r="E27" s="3">
        <f t="shared" si="0"/>
        <v>1</v>
      </c>
    </row>
    <row r="28" spans="1:5" x14ac:dyDescent="0.2">
      <c r="A28">
        <v>5</v>
      </c>
      <c r="B28" t="s">
        <v>514</v>
      </c>
      <c r="C28">
        <v>0</v>
      </c>
      <c r="D28">
        <v>2</v>
      </c>
      <c r="E28" s="3">
        <f t="shared" si="0"/>
        <v>1</v>
      </c>
    </row>
    <row r="29" spans="1:5" x14ac:dyDescent="0.2">
      <c r="A29">
        <v>6</v>
      </c>
      <c r="B29" t="s">
        <v>87</v>
      </c>
      <c r="C29">
        <v>0</v>
      </c>
      <c r="D29">
        <v>1</v>
      </c>
      <c r="E29" s="3">
        <f t="shared" si="0"/>
        <v>1</v>
      </c>
    </row>
    <row r="30" spans="1:5" x14ac:dyDescent="0.2">
      <c r="A30">
        <v>7</v>
      </c>
      <c r="B30" s="2" t="s">
        <v>10</v>
      </c>
      <c r="C30" s="2" t="s">
        <v>10</v>
      </c>
      <c r="D30" s="2" t="s">
        <v>10</v>
      </c>
      <c r="E30" s="3">
        <f t="shared" si="0"/>
        <v>1</v>
      </c>
    </row>
    <row r="31" spans="1:5" x14ac:dyDescent="0.2">
      <c r="A31">
        <v>8</v>
      </c>
      <c r="B31" s="2" t="s">
        <v>10</v>
      </c>
      <c r="C31" s="2" t="s">
        <v>10</v>
      </c>
      <c r="D31" s="2" t="s">
        <v>10</v>
      </c>
      <c r="E31" s="3">
        <f t="shared" si="0"/>
        <v>1</v>
      </c>
    </row>
    <row r="32" spans="1:5" x14ac:dyDescent="0.2">
      <c r="A32" s="1" t="s">
        <v>30</v>
      </c>
      <c r="E32" s="3">
        <f t="shared" si="0"/>
        <v>1</v>
      </c>
    </row>
    <row r="33" spans="1:5" x14ac:dyDescent="0.2">
      <c r="A33" s="1" t="s">
        <v>1</v>
      </c>
      <c r="B33" s="1" t="s">
        <v>2</v>
      </c>
      <c r="C33" s="1" t="s">
        <v>3</v>
      </c>
      <c r="D33" s="1" t="s">
        <v>4</v>
      </c>
      <c r="E33" s="3">
        <f t="shared" si="0"/>
        <v>1</v>
      </c>
    </row>
    <row r="34" spans="1:5" x14ac:dyDescent="0.2">
      <c r="A34">
        <v>1</v>
      </c>
      <c r="B34" t="s">
        <v>34</v>
      </c>
      <c r="C34">
        <v>1</v>
      </c>
      <c r="D34">
        <v>17</v>
      </c>
      <c r="E34" s="3">
        <f t="shared" si="0"/>
        <v>1</v>
      </c>
    </row>
    <row r="35" spans="1:5" x14ac:dyDescent="0.2">
      <c r="A35">
        <v>2</v>
      </c>
      <c r="B35" t="s">
        <v>506</v>
      </c>
      <c r="C35">
        <v>2</v>
      </c>
      <c r="D35">
        <v>13</v>
      </c>
      <c r="E35" s="3">
        <f t="shared" si="0"/>
        <v>1</v>
      </c>
    </row>
    <row r="36" spans="1:5" x14ac:dyDescent="0.2">
      <c r="A36">
        <v>3</v>
      </c>
      <c r="B36" t="s">
        <v>101</v>
      </c>
      <c r="C36">
        <v>2</v>
      </c>
      <c r="D36">
        <v>9</v>
      </c>
      <c r="E36" s="3">
        <f t="shared" si="0"/>
        <v>1</v>
      </c>
    </row>
    <row r="37" spans="1:5" x14ac:dyDescent="0.2">
      <c r="A37">
        <v>4</v>
      </c>
      <c r="B37" t="s">
        <v>48</v>
      </c>
      <c r="C37">
        <v>0</v>
      </c>
      <c r="D37">
        <v>5</v>
      </c>
      <c r="E37" s="3">
        <f t="shared" si="0"/>
        <v>1</v>
      </c>
    </row>
    <row r="38" spans="1:5" x14ac:dyDescent="0.2">
      <c r="A38">
        <v>5</v>
      </c>
      <c r="B38" t="s">
        <v>515</v>
      </c>
      <c r="C38">
        <v>1</v>
      </c>
      <c r="D38">
        <v>3</v>
      </c>
      <c r="E38" s="3">
        <f t="shared" si="0"/>
        <v>1</v>
      </c>
    </row>
    <row r="39" spans="1:5" x14ac:dyDescent="0.2">
      <c r="A39">
        <v>6</v>
      </c>
      <c r="B39" t="s">
        <v>516</v>
      </c>
      <c r="C39">
        <v>0</v>
      </c>
      <c r="D39">
        <v>2</v>
      </c>
      <c r="E39" s="3">
        <f t="shared" si="0"/>
        <v>1</v>
      </c>
    </row>
    <row r="40" spans="1:5" x14ac:dyDescent="0.2">
      <c r="A40">
        <v>7</v>
      </c>
      <c r="B40" t="s">
        <v>29</v>
      </c>
      <c r="C40">
        <v>0</v>
      </c>
      <c r="D40">
        <v>1</v>
      </c>
      <c r="E40" s="3">
        <f t="shared" si="0"/>
        <v>1</v>
      </c>
    </row>
    <row r="41" spans="1:5" x14ac:dyDescent="0.2">
      <c r="A41">
        <v>8</v>
      </c>
      <c r="B41" s="2" t="s">
        <v>10</v>
      </c>
      <c r="C41" s="2" t="s">
        <v>10</v>
      </c>
      <c r="D41" s="2" t="s">
        <v>10</v>
      </c>
      <c r="E41" s="3">
        <f t="shared" si="0"/>
        <v>1</v>
      </c>
    </row>
    <row r="42" spans="1:5" x14ac:dyDescent="0.2">
      <c r="A42" s="1" t="s">
        <v>24</v>
      </c>
      <c r="E42" s="3">
        <f t="shared" si="0"/>
        <v>1</v>
      </c>
    </row>
    <row r="43" spans="1:5" x14ac:dyDescent="0.2">
      <c r="A43" s="1" t="s">
        <v>1</v>
      </c>
      <c r="B43" s="1" t="s">
        <v>2</v>
      </c>
      <c r="C43" s="1" t="s">
        <v>3</v>
      </c>
      <c r="D43" s="1" t="s">
        <v>4</v>
      </c>
      <c r="E43" s="3">
        <f t="shared" si="0"/>
        <v>1</v>
      </c>
    </row>
    <row r="44" spans="1:5" x14ac:dyDescent="0.2">
      <c r="A44">
        <v>1</v>
      </c>
      <c r="B44" t="s">
        <v>517</v>
      </c>
      <c r="C44">
        <v>3</v>
      </c>
      <c r="D44">
        <v>16</v>
      </c>
      <c r="E44" s="3">
        <f t="shared" si="0"/>
        <v>1</v>
      </c>
    </row>
    <row r="45" spans="1:5" x14ac:dyDescent="0.2">
      <c r="A45">
        <v>2</v>
      </c>
      <c r="B45" t="s">
        <v>55</v>
      </c>
      <c r="C45">
        <v>1</v>
      </c>
      <c r="D45">
        <v>12</v>
      </c>
      <c r="E45" s="3">
        <f t="shared" si="0"/>
        <v>1</v>
      </c>
    </row>
    <row r="46" spans="1:5" x14ac:dyDescent="0.2">
      <c r="A46">
        <v>3</v>
      </c>
      <c r="B46" t="s">
        <v>518</v>
      </c>
      <c r="C46">
        <v>0</v>
      </c>
      <c r="D46">
        <v>8</v>
      </c>
      <c r="E46" s="3">
        <f t="shared" si="0"/>
        <v>1</v>
      </c>
    </row>
    <row r="47" spans="1:5" x14ac:dyDescent="0.2">
      <c r="A47">
        <v>4</v>
      </c>
      <c r="B47" t="s">
        <v>191</v>
      </c>
      <c r="C47">
        <v>1</v>
      </c>
      <c r="D47">
        <v>4</v>
      </c>
      <c r="E47" s="3">
        <f t="shared" si="0"/>
        <v>1</v>
      </c>
    </row>
    <row r="48" spans="1:5" x14ac:dyDescent="0.2">
      <c r="A48">
        <v>5</v>
      </c>
      <c r="B48" t="s">
        <v>179</v>
      </c>
      <c r="C48">
        <v>0</v>
      </c>
      <c r="D48">
        <v>2</v>
      </c>
      <c r="E48" s="3">
        <f t="shared" si="0"/>
        <v>1</v>
      </c>
    </row>
    <row r="49" spans="1:5" x14ac:dyDescent="0.2">
      <c r="A49">
        <v>6</v>
      </c>
      <c r="B49" t="s">
        <v>19</v>
      </c>
      <c r="C49">
        <v>0</v>
      </c>
      <c r="D49">
        <v>1</v>
      </c>
      <c r="E49" s="3">
        <f t="shared" si="0"/>
        <v>1</v>
      </c>
    </row>
    <row r="50" spans="1:5" x14ac:dyDescent="0.2">
      <c r="A50">
        <v>7</v>
      </c>
      <c r="B50" s="2" t="s">
        <v>10</v>
      </c>
      <c r="C50" s="2" t="s">
        <v>10</v>
      </c>
      <c r="D50" s="2" t="s">
        <v>10</v>
      </c>
      <c r="E50" s="3">
        <f t="shared" si="0"/>
        <v>1</v>
      </c>
    </row>
    <row r="51" spans="1:5" x14ac:dyDescent="0.2">
      <c r="A51">
        <v>8</v>
      </c>
      <c r="B51" s="2" t="s">
        <v>10</v>
      </c>
      <c r="C51" s="2" t="s">
        <v>10</v>
      </c>
      <c r="D51" s="2" t="s">
        <v>10</v>
      </c>
      <c r="E51" s="3">
        <f t="shared" si="0"/>
        <v>1</v>
      </c>
    </row>
    <row r="52" spans="1:5" x14ac:dyDescent="0.2">
      <c r="A52" s="1" t="s">
        <v>37</v>
      </c>
      <c r="E52" s="3">
        <f t="shared" si="0"/>
        <v>1</v>
      </c>
    </row>
    <row r="53" spans="1:5" x14ac:dyDescent="0.2">
      <c r="A53" s="1" t="s">
        <v>1</v>
      </c>
      <c r="B53" s="1" t="s">
        <v>2</v>
      </c>
      <c r="C53" s="1" t="s">
        <v>3</v>
      </c>
      <c r="D53" s="1" t="s">
        <v>4</v>
      </c>
      <c r="E53" s="3">
        <f t="shared" si="0"/>
        <v>1</v>
      </c>
    </row>
    <row r="54" spans="1:5" x14ac:dyDescent="0.2">
      <c r="A54">
        <v>0</v>
      </c>
      <c r="C54">
        <v>0</v>
      </c>
      <c r="D54">
        <v>0</v>
      </c>
      <c r="E54" s="3">
        <f t="shared" si="0"/>
        <v>1</v>
      </c>
    </row>
    <row r="55" spans="1:5" x14ac:dyDescent="0.2">
      <c r="A55">
        <v>0</v>
      </c>
      <c r="C55">
        <v>0</v>
      </c>
      <c r="D55">
        <v>0</v>
      </c>
      <c r="E55" s="3">
        <f t="shared" si="0"/>
        <v>1</v>
      </c>
    </row>
    <row r="56" spans="1:5" x14ac:dyDescent="0.2">
      <c r="A56">
        <v>1</v>
      </c>
      <c r="B56" t="s">
        <v>501</v>
      </c>
      <c r="C56">
        <v>2</v>
      </c>
      <c r="D56">
        <v>16</v>
      </c>
      <c r="E56" s="3">
        <f t="shared" si="0"/>
        <v>1</v>
      </c>
    </row>
    <row r="57" spans="1:5" x14ac:dyDescent="0.2">
      <c r="A57">
        <v>2</v>
      </c>
      <c r="B57" t="s">
        <v>519</v>
      </c>
      <c r="C57">
        <v>2</v>
      </c>
      <c r="D57">
        <v>12</v>
      </c>
      <c r="E57" s="3">
        <f t="shared" si="0"/>
        <v>1</v>
      </c>
    </row>
    <row r="58" spans="1:5" x14ac:dyDescent="0.2">
      <c r="A58">
        <v>3</v>
      </c>
      <c r="B58" t="s">
        <v>504</v>
      </c>
      <c r="C58">
        <v>1</v>
      </c>
      <c r="D58">
        <v>8</v>
      </c>
      <c r="E58" s="3">
        <f t="shared" si="0"/>
        <v>1</v>
      </c>
    </row>
    <row r="59" spans="1:5" x14ac:dyDescent="0.2">
      <c r="A59">
        <v>4</v>
      </c>
      <c r="B59" t="s">
        <v>15</v>
      </c>
      <c r="C59">
        <v>0</v>
      </c>
      <c r="D59">
        <v>4</v>
      </c>
      <c r="E59" s="3">
        <f t="shared" si="0"/>
        <v>1</v>
      </c>
    </row>
    <row r="60" spans="1:5" x14ac:dyDescent="0.2">
      <c r="A60">
        <v>5</v>
      </c>
      <c r="B60" t="s">
        <v>507</v>
      </c>
      <c r="C60">
        <v>0</v>
      </c>
      <c r="D60">
        <v>2</v>
      </c>
      <c r="E60" s="3">
        <f t="shared" si="0"/>
        <v>1</v>
      </c>
    </row>
    <row r="61" spans="1:5" x14ac:dyDescent="0.2">
      <c r="A61">
        <v>6</v>
      </c>
      <c r="B61" t="s">
        <v>69</v>
      </c>
      <c r="C61">
        <v>0</v>
      </c>
      <c r="D61">
        <v>1</v>
      </c>
      <c r="E61" s="3">
        <f t="shared" si="0"/>
        <v>1</v>
      </c>
    </row>
    <row r="62" spans="1:5" x14ac:dyDescent="0.2">
      <c r="A62">
        <v>9</v>
      </c>
      <c r="B62" s="2" t="s">
        <v>10</v>
      </c>
      <c r="C62" s="2" t="s">
        <v>10</v>
      </c>
      <c r="D62" s="2" t="s">
        <v>10</v>
      </c>
      <c r="E62" s="3">
        <f t="shared" si="0"/>
        <v>1</v>
      </c>
    </row>
    <row r="63" spans="1:5" x14ac:dyDescent="0.2">
      <c r="A63">
        <v>10</v>
      </c>
      <c r="B63" s="2" t="s">
        <v>10</v>
      </c>
      <c r="C63" s="2" t="s">
        <v>10</v>
      </c>
      <c r="D63" s="2" t="s">
        <v>10</v>
      </c>
      <c r="E63" s="3">
        <f t="shared" si="0"/>
        <v>1</v>
      </c>
    </row>
    <row r="64" spans="1:5" x14ac:dyDescent="0.2">
      <c r="A64" s="1" t="s">
        <v>44</v>
      </c>
      <c r="E64" s="3">
        <f t="shared" si="0"/>
        <v>1</v>
      </c>
    </row>
    <row r="65" spans="1:5" x14ac:dyDescent="0.2">
      <c r="A65" s="1" t="s">
        <v>1</v>
      </c>
      <c r="B65" s="1" t="s">
        <v>2</v>
      </c>
      <c r="C65" s="1" t="s">
        <v>3</v>
      </c>
      <c r="D65" s="1" t="s">
        <v>4</v>
      </c>
      <c r="E65" s="3">
        <f t="shared" si="0"/>
        <v>1</v>
      </c>
    </row>
    <row r="66" spans="1:5" x14ac:dyDescent="0.2">
      <c r="A66">
        <v>1</v>
      </c>
      <c r="B66" t="s">
        <v>35</v>
      </c>
      <c r="C66">
        <v>4</v>
      </c>
      <c r="D66">
        <v>16</v>
      </c>
      <c r="E66" s="3">
        <f t="shared" si="0"/>
        <v>1</v>
      </c>
    </row>
    <row r="67" spans="1:5" x14ac:dyDescent="0.2">
      <c r="A67">
        <v>2</v>
      </c>
      <c r="B67" t="s">
        <v>74</v>
      </c>
      <c r="C67">
        <v>1</v>
      </c>
      <c r="D67">
        <v>12</v>
      </c>
      <c r="E67" s="3">
        <f t="shared" si="0"/>
        <v>1</v>
      </c>
    </row>
    <row r="68" spans="1:5" x14ac:dyDescent="0.2">
      <c r="A68">
        <v>3</v>
      </c>
      <c r="B68" t="s">
        <v>479</v>
      </c>
      <c r="C68">
        <v>0</v>
      </c>
      <c r="D68">
        <v>8</v>
      </c>
      <c r="E68" s="3">
        <f t="shared" ref="E68:E131" si="1">IF(A68=$A$1,E67+1,E67)</f>
        <v>1</v>
      </c>
    </row>
    <row r="69" spans="1:5" x14ac:dyDescent="0.2">
      <c r="A69">
        <v>4</v>
      </c>
      <c r="B69" t="s">
        <v>46</v>
      </c>
      <c r="C69">
        <v>0</v>
      </c>
      <c r="D69">
        <v>4</v>
      </c>
      <c r="E69" s="3">
        <f t="shared" si="1"/>
        <v>1</v>
      </c>
    </row>
    <row r="70" spans="1:5" x14ac:dyDescent="0.2">
      <c r="A70">
        <v>5</v>
      </c>
      <c r="B70" t="s">
        <v>14</v>
      </c>
      <c r="C70">
        <v>0</v>
      </c>
      <c r="D70">
        <v>2</v>
      </c>
      <c r="E70" s="3">
        <f t="shared" si="1"/>
        <v>1</v>
      </c>
    </row>
    <row r="71" spans="1:5" x14ac:dyDescent="0.2">
      <c r="A71">
        <v>6</v>
      </c>
      <c r="B71" t="s">
        <v>66</v>
      </c>
      <c r="C71">
        <v>0</v>
      </c>
      <c r="D71">
        <v>1</v>
      </c>
      <c r="E71" s="3">
        <f t="shared" si="1"/>
        <v>1</v>
      </c>
    </row>
    <row r="72" spans="1:5" x14ac:dyDescent="0.2">
      <c r="A72">
        <v>7</v>
      </c>
      <c r="B72" s="2" t="s">
        <v>10</v>
      </c>
      <c r="C72" s="2" t="s">
        <v>10</v>
      </c>
      <c r="D72" s="2" t="s">
        <v>10</v>
      </c>
      <c r="E72" s="3">
        <f t="shared" si="1"/>
        <v>1</v>
      </c>
    </row>
    <row r="73" spans="1:5" x14ac:dyDescent="0.2">
      <c r="A73">
        <v>8</v>
      </c>
      <c r="B73" s="2" t="s">
        <v>10</v>
      </c>
      <c r="C73" s="2" t="s">
        <v>10</v>
      </c>
      <c r="D73" s="2" t="s">
        <v>10</v>
      </c>
      <c r="E73" s="3">
        <f t="shared" si="1"/>
        <v>1</v>
      </c>
    </row>
    <row r="74" spans="1:5" x14ac:dyDescent="0.2">
      <c r="A74" s="1" t="s">
        <v>51</v>
      </c>
      <c r="E74" s="3">
        <f t="shared" si="1"/>
        <v>1</v>
      </c>
    </row>
    <row r="75" spans="1:5" x14ac:dyDescent="0.2">
      <c r="A75" s="1" t="s">
        <v>1</v>
      </c>
      <c r="B75" s="1" t="s">
        <v>2</v>
      </c>
      <c r="C75" s="1" t="s">
        <v>3</v>
      </c>
      <c r="D75" s="1" t="s">
        <v>4</v>
      </c>
      <c r="E75" s="3">
        <f t="shared" si="1"/>
        <v>1</v>
      </c>
    </row>
    <row r="76" spans="1:5" x14ac:dyDescent="0.2">
      <c r="A76">
        <v>1</v>
      </c>
      <c r="B76" t="s">
        <v>27</v>
      </c>
      <c r="C76">
        <v>2</v>
      </c>
      <c r="D76">
        <v>16</v>
      </c>
      <c r="E76" s="3">
        <f t="shared" si="1"/>
        <v>1</v>
      </c>
    </row>
    <row r="77" spans="1:5" x14ac:dyDescent="0.2">
      <c r="A77">
        <v>2</v>
      </c>
      <c r="B77" t="s">
        <v>59</v>
      </c>
      <c r="C77">
        <v>2</v>
      </c>
      <c r="D77">
        <v>12</v>
      </c>
      <c r="E77" s="3">
        <f t="shared" si="1"/>
        <v>1</v>
      </c>
    </row>
    <row r="78" spans="1:5" x14ac:dyDescent="0.2">
      <c r="A78">
        <v>3</v>
      </c>
      <c r="B78" t="s">
        <v>520</v>
      </c>
      <c r="C78">
        <v>0</v>
      </c>
      <c r="D78">
        <v>8</v>
      </c>
      <c r="E78" s="3">
        <f t="shared" si="1"/>
        <v>1</v>
      </c>
    </row>
    <row r="79" spans="1:5" x14ac:dyDescent="0.2">
      <c r="A79">
        <v>4</v>
      </c>
      <c r="B79" t="s">
        <v>461</v>
      </c>
      <c r="C79">
        <v>1</v>
      </c>
      <c r="D79">
        <v>4</v>
      </c>
      <c r="E79" s="3">
        <f t="shared" si="1"/>
        <v>1</v>
      </c>
    </row>
    <row r="80" spans="1:5" x14ac:dyDescent="0.2">
      <c r="A80">
        <v>5</v>
      </c>
      <c r="B80" t="s">
        <v>509</v>
      </c>
      <c r="C80">
        <v>0</v>
      </c>
      <c r="D80">
        <v>2</v>
      </c>
      <c r="E80" s="3">
        <f t="shared" si="1"/>
        <v>1</v>
      </c>
    </row>
    <row r="81" spans="1:5" x14ac:dyDescent="0.2">
      <c r="A81">
        <v>6</v>
      </c>
      <c r="B81" t="s">
        <v>521</v>
      </c>
      <c r="C81">
        <v>0</v>
      </c>
      <c r="D81">
        <v>1</v>
      </c>
      <c r="E81" s="3">
        <f t="shared" si="1"/>
        <v>1</v>
      </c>
    </row>
    <row r="82" spans="1:5" x14ac:dyDescent="0.2">
      <c r="A82">
        <v>7</v>
      </c>
      <c r="B82" s="2" t="s">
        <v>10</v>
      </c>
      <c r="C82" s="2" t="s">
        <v>10</v>
      </c>
      <c r="D82" s="2" t="s">
        <v>10</v>
      </c>
      <c r="E82" s="3">
        <f t="shared" si="1"/>
        <v>1</v>
      </c>
    </row>
    <row r="83" spans="1:5" x14ac:dyDescent="0.2">
      <c r="A83">
        <v>8</v>
      </c>
      <c r="B83" s="2" t="s">
        <v>10</v>
      </c>
      <c r="C83" s="2" t="s">
        <v>10</v>
      </c>
      <c r="D83" s="2" t="s">
        <v>10</v>
      </c>
      <c r="E83" s="3">
        <f t="shared" si="1"/>
        <v>1</v>
      </c>
    </row>
    <row r="84" spans="1:5" x14ac:dyDescent="0.2">
      <c r="A84" s="1" t="s">
        <v>58</v>
      </c>
      <c r="E84" s="3">
        <f t="shared" si="1"/>
        <v>1</v>
      </c>
    </row>
    <row r="85" spans="1:5" x14ac:dyDescent="0.2">
      <c r="A85" s="1" t="s">
        <v>1</v>
      </c>
      <c r="B85" s="1" t="s">
        <v>2</v>
      </c>
      <c r="C85" s="1" t="s">
        <v>3</v>
      </c>
      <c r="D85" s="1" t="s">
        <v>4</v>
      </c>
      <c r="E85" s="3">
        <f t="shared" si="1"/>
        <v>1</v>
      </c>
    </row>
    <row r="86" spans="1:5" x14ac:dyDescent="0.2">
      <c r="A86">
        <v>1</v>
      </c>
      <c r="B86" t="s">
        <v>32</v>
      </c>
      <c r="C86">
        <v>4</v>
      </c>
      <c r="D86">
        <v>16</v>
      </c>
      <c r="E86" s="3">
        <f t="shared" si="1"/>
        <v>1</v>
      </c>
    </row>
    <row r="87" spans="1:5" x14ac:dyDescent="0.2">
      <c r="A87">
        <v>2</v>
      </c>
      <c r="B87" t="s">
        <v>502</v>
      </c>
      <c r="C87">
        <v>1</v>
      </c>
      <c r="D87">
        <v>12</v>
      </c>
      <c r="E87" s="3">
        <f t="shared" si="1"/>
        <v>1</v>
      </c>
    </row>
    <row r="88" spans="1:5" x14ac:dyDescent="0.2">
      <c r="A88">
        <v>3</v>
      </c>
      <c r="B88" t="s">
        <v>500</v>
      </c>
      <c r="C88">
        <v>0</v>
      </c>
      <c r="D88">
        <v>8</v>
      </c>
      <c r="E88" s="3">
        <f t="shared" si="1"/>
        <v>1</v>
      </c>
    </row>
    <row r="89" spans="1:5" x14ac:dyDescent="0.2">
      <c r="A89">
        <v>4</v>
      </c>
      <c r="B89" t="s">
        <v>61</v>
      </c>
      <c r="C89">
        <v>0</v>
      </c>
      <c r="D89">
        <v>4</v>
      </c>
      <c r="E89" s="3">
        <f t="shared" si="1"/>
        <v>1</v>
      </c>
    </row>
    <row r="90" spans="1:5" x14ac:dyDescent="0.2">
      <c r="A90">
        <v>5</v>
      </c>
      <c r="B90" t="s">
        <v>522</v>
      </c>
      <c r="C90">
        <v>0</v>
      </c>
      <c r="D90">
        <v>2</v>
      </c>
      <c r="E90" s="3">
        <f t="shared" si="1"/>
        <v>1</v>
      </c>
    </row>
    <row r="91" spans="1:5" x14ac:dyDescent="0.2">
      <c r="A91">
        <v>6</v>
      </c>
      <c r="B91" t="s">
        <v>505</v>
      </c>
      <c r="C91">
        <v>0</v>
      </c>
      <c r="D91">
        <v>1</v>
      </c>
      <c r="E91" s="3">
        <f t="shared" si="1"/>
        <v>1</v>
      </c>
    </row>
    <row r="92" spans="1:5" x14ac:dyDescent="0.2">
      <c r="A92">
        <v>7</v>
      </c>
      <c r="B92" s="2" t="s">
        <v>10</v>
      </c>
      <c r="C92" s="2" t="s">
        <v>10</v>
      </c>
      <c r="D92" s="2" t="s">
        <v>10</v>
      </c>
      <c r="E92" s="3">
        <f t="shared" si="1"/>
        <v>1</v>
      </c>
    </row>
    <row r="93" spans="1:5" x14ac:dyDescent="0.2">
      <c r="A93">
        <v>8</v>
      </c>
      <c r="B93" s="2" t="s">
        <v>10</v>
      </c>
      <c r="C93" s="2" t="s">
        <v>10</v>
      </c>
      <c r="D93" s="2" t="s">
        <v>10</v>
      </c>
      <c r="E93" s="3">
        <f t="shared" si="1"/>
        <v>1</v>
      </c>
    </row>
    <row r="94" spans="1:5" x14ac:dyDescent="0.2">
      <c r="A94" s="1" t="s">
        <v>0</v>
      </c>
      <c r="E94" s="3">
        <f t="shared" si="1"/>
        <v>2</v>
      </c>
    </row>
    <row r="95" spans="1:5" x14ac:dyDescent="0.2">
      <c r="A95" s="1" t="s">
        <v>1</v>
      </c>
      <c r="B95" s="1" t="s">
        <v>2</v>
      </c>
      <c r="C95" s="1" t="s">
        <v>3</v>
      </c>
      <c r="D95" s="1" t="s">
        <v>4</v>
      </c>
      <c r="E95" s="3">
        <f t="shared" si="1"/>
        <v>2</v>
      </c>
    </row>
    <row r="96" spans="1:5" x14ac:dyDescent="0.2">
      <c r="A96">
        <v>0</v>
      </c>
      <c r="C96">
        <v>0</v>
      </c>
      <c r="D96">
        <v>0</v>
      </c>
      <c r="E96" s="3">
        <f t="shared" si="1"/>
        <v>2</v>
      </c>
    </row>
    <row r="97" spans="1:5" x14ac:dyDescent="0.2">
      <c r="A97">
        <v>1</v>
      </c>
      <c r="B97" t="s">
        <v>506</v>
      </c>
      <c r="C97">
        <v>3</v>
      </c>
      <c r="D97">
        <v>17</v>
      </c>
      <c r="E97" s="3">
        <f t="shared" si="1"/>
        <v>2</v>
      </c>
    </row>
    <row r="98" spans="1:5" x14ac:dyDescent="0.2">
      <c r="A98">
        <v>2</v>
      </c>
      <c r="B98" t="s">
        <v>29</v>
      </c>
      <c r="C98">
        <v>1</v>
      </c>
      <c r="D98">
        <v>13</v>
      </c>
      <c r="E98" s="3">
        <f t="shared" si="1"/>
        <v>2</v>
      </c>
    </row>
    <row r="99" spans="1:5" x14ac:dyDescent="0.2">
      <c r="A99">
        <v>3</v>
      </c>
      <c r="B99" t="s">
        <v>523</v>
      </c>
      <c r="C99">
        <v>1</v>
      </c>
      <c r="D99">
        <v>9</v>
      </c>
      <c r="E99" s="3">
        <f t="shared" si="1"/>
        <v>2</v>
      </c>
    </row>
    <row r="100" spans="1:5" x14ac:dyDescent="0.2">
      <c r="A100">
        <v>4</v>
      </c>
      <c r="B100" t="s">
        <v>9</v>
      </c>
      <c r="C100">
        <v>1</v>
      </c>
      <c r="D100">
        <v>5</v>
      </c>
      <c r="E100" s="3">
        <f t="shared" si="1"/>
        <v>2</v>
      </c>
    </row>
    <row r="101" spans="1:5" x14ac:dyDescent="0.2">
      <c r="A101">
        <v>5</v>
      </c>
      <c r="B101" t="s">
        <v>88</v>
      </c>
      <c r="C101">
        <v>0</v>
      </c>
      <c r="D101">
        <v>3</v>
      </c>
      <c r="E101" s="3">
        <f t="shared" si="1"/>
        <v>2</v>
      </c>
    </row>
    <row r="102" spans="1:5" x14ac:dyDescent="0.2">
      <c r="A102">
        <v>6</v>
      </c>
      <c r="B102" t="s">
        <v>61</v>
      </c>
      <c r="C102">
        <v>0</v>
      </c>
      <c r="D102">
        <v>2</v>
      </c>
      <c r="E102" s="3">
        <f t="shared" si="1"/>
        <v>2</v>
      </c>
    </row>
    <row r="103" spans="1:5" x14ac:dyDescent="0.2">
      <c r="A103">
        <v>7</v>
      </c>
      <c r="B103" t="s">
        <v>35</v>
      </c>
      <c r="C103">
        <v>0</v>
      </c>
      <c r="D103">
        <v>1</v>
      </c>
      <c r="E103" s="3">
        <f t="shared" si="1"/>
        <v>2</v>
      </c>
    </row>
    <row r="104" spans="1:5" x14ac:dyDescent="0.2">
      <c r="A104">
        <v>9</v>
      </c>
      <c r="B104" s="2" t="s">
        <v>10</v>
      </c>
      <c r="C104" s="2" t="s">
        <v>10</v>
      </c>
      <c r="D104" s="2" t="s">
        <v>10</v>
      </c>
      <c r="E104" s="3">
        <f t="shared" si="1"/>
        <v>2</v>
      </c>
    </row>
    <row r="105" spans="1:5" x14ac:dyDescent="0.2">
      <c r="A105" s="1" t="s">
        <v>11</v>
      </c>
      <c r="E105" s="3">
        <f t="shared" si="1"/>
        <v>2</v>
      </c>
    </row>
    <row r="106" spans="1:5" x14ac:dyDescent="0.2">
      <c r="A106" s="1" t="s">
        <v>1</v>
      </c>
      <c r="B106" s="1" t="s">
        <v>2</v>
      </c>
      <c r="C106" s="1" t="s">
        <v>3</v>
      </c>
      <c r="D106" s="1" t="s">
        <v>4</v>
      </c>
      <c r="E106" s="3">
        <f t="shared" si="1"/>
        <v>2</v>
      </c>
    </row>
    <row r="107" spans="1:5" x14ac:dyDescent="0.2">
      <c r="A107">
        <v>1</v>
      </c>
      <c r="B107" t="s">
        <v>519</v>
      </c>
      <c r="C107">
        <v>5</v>
      </c>
      <c r="D107">
        <v>17</v>
      </c>
      <c r="E107" s="3">
        <f t="shared" si="1"/>
        <v>2</v>
      </c>
    </row>
    <row r="108" spans="1:5" x14ac:dyDescent="0.2">
      <c r="A108">
        <v>2</v>
      </c>
      <c r="B108" t="s">
        <v>21</v>
      </c>
      <c r="C108">
        <v>0</v>
      </c>
      <c r="D108">
        <v>13</v>
      </c>
      <c r="E108" s="3">
        <f t="shared" si="1"/>
        <v>2</v>
      </c>
    </row>
    <row r="109" spans="1:5" x14ac:dyDescent="0.2">
      <c r="A109">
        <v>3</v>
      </c>
      <c r="B109" t="s">
        <v>5</v>
      </c>
      <c r="C109">
        <v>1</v>
      </c>
      <c r="D109">
        <v>9</v>
      </c>
      <c r="E109" s="3">
        <f t="shared" si="1"/>
        <v>2</v>
      </c>
    </row>
    <row r="110" spans="1:5" x14ac:dyDescent="0.2">
      <c r="A110">
        <v>4</v>
      </c>
      <c r="B110" t="s">
        <v>69</v>
      </c>
      <c r="C110">
        <v>0</v>
      </c>
      <c r="D110">
        <v>5</v>
      </c>
      <c r="E110" s="3">
        <f t="shared" si="1"/>
        <v>2</v>
      </c>
    </row>
    <row r="111" spans="1:5" x14ac:dyDescent="0.2">
      <c r="A111">
        <v>5</v>
      </c>
      <c r="B111" t="s">
        <v>46</v>
      </c>
      <c r="C111">
        <v>0</v>
      </c>
      <c r="D111">
        <v>3</v>
      </c>
      <c r="E111" s="3">
        <f t="shared" si="1"/>
        <v>2</v>
      </c>
    </row>
    <row r="112" spans="1:5" x14ac:dyDescent="0.2">
      <c r="A112">
        <v>6</v>
      </c>
      <c r="B112" t="s">
        <v>509</v>
      </c>
      <c r="C112">
        <v>0</v>
      </c>
      <c r="D112">
        <v>2</v>
      </c>
      <c r="E112" s="3">
        <f t="shared" si="1"/>
        <v>2</v>
      </c>
    </row>
    <row r="113" spans="1:5" x14ac:dyDescent="0.2">
      <c r="A113">
        <v>7</v>
      </c>
      <c r="B113" t="s">
        <v>524</v>
      </c>
      <c r="C113">
        <v>0</v>
      </c>
      <c r="D113">
        <v>1</v>
      </c>
      <c r="E113" s="3">
        <f t="shared" si="1"/>
        <v>2</v>
      </c>
    </row>
    <row r="114" spans="1:5" x14ac:dyDescent="0.2">
      <c r="A114">
        <v>8</v>
      </c>
      <c r="B114" s="2" t="s">
        <v>10</v>
      </c>
      <c r="C114" s="2" t="s">
        <v>10</v>
      </c>
      <c r="D114" s="2" t="s">
        <v>10</v>
      </c>
      <c r="E114" s="3">
        <f t="shared" si="1"/>
        <v>2</v>
      </c>
    </row>
    <row r="115" spans="1:5" x14ac:dyDescent="0.2">
      <c r="A115" s="1" t="s">
        <v>17</v>
      </c>
      <c r="E115" s="3">
        <f t="shared" si="1"/>
        <v>2</v>
      </c>
    </row>
    <row r="116" spans="1:5" x14ac:dyDescent="0.2">
      <c r="A116" s="1" t="s">
        <v>1</v>
      </c>
      <c r="B116" s="1" t="s">
        <v>2</v>
      </c>
      <c r="C116" s="1" t="s">
        <v>3</v>
      </c>
      <c r="D116" s="1" t="s">
        <v>4</v>
      </c>
      <c r="E116" s="3">
        <f t="shared" si="1"/>
        <v>2</v>
      </c>
    </row>
    <row r="117" spans="1:5" x14ac:dyDescent="0.2">
      <c r="A117">
        <v>1</v>
      </c>
      <c r="B117" t="s">
        <v>345</v>
      </c>
      <c r="C117">
        <v>4</v>
      </c>
      <c r="D117">
        <v>17</v>
      </c>
      <c r="E117" s="3">
        <f t="shared" si="1"/>
        <v>2</v>
      </c>
    </row>
    <row r="118" spans="1:5" x14ac:dyDescent="0.2">
      <c r="A118">
        <v>2</v>
      </c>
      <c r="B118" t="s">
        <v>20</v>
      </c>
      <c r="C118">
        <v>2</v>
      </c>
      <c r="D118">
        <v>13</v>
      </c>
      <c r="E118" s="3">
        <f t="shared" si="1"/>
        <v>2</v>
      </c>
    </row>
    <row r="119" spans="1:5" x14ac:dyDescent="0.2">
      <c r="A119">
        <v>3</v>
      </c>
      <c r="B119" t="s">
        <v>76</v>
      </c>
      <c r="C119">
        <v>0</v>
      </c>
      <c r="D119">
        <v>9</v>
      </c>
      <c r="E119" s="3">
        <f t="shared" si="1"/>
        <v>2</v>
      </c>
    </row>
    <row r="120" spans="1:5" x14ac:dyDescent="0.2">
      <c r="A120">
        <v>4</v>
      </c>
      <c r="B120" t="s">
        <v>48</v>
      </c>
      <c r="C120">
        <v>0</v>
      </c>
      <c r="D120">
        <v>5</v>
      </c>
      <c r="E120" s="3">
        <f t="shared" si="1"/>
        <v>2</v>
      </c>
    </row>
    <row r="121" spans="1:5" x14ac:dyDescent="0.2">
      <c r="A121">
        <v>5</v>
      </c>
      <c r="B121" t="s">
        <v>25</v>
      </c>
      <c r="C121">
        <v>0</v>
      </c>
      <c r="D121">
        <v>3</v>
      </c>
      <c r="E121" s="3">
        <f t="shared" si="1"/>
        <v>2</v>
      </c>
    </row>
    <row r="122" spans="1:5" x14ac:dyDescent="0.2">
      <c r="A122">
        <v>6</v>
      </c>
      <c r="B122" t="s">
        <v>525</v>
      </c>
      <c r="C122">
        <v>0</v>
      </c>
      <c r="D122">
        <v>2</v>
      </c>
      <c r="E122" s="3">
        <f t="shared" si="1"/>
        <v>2</v>
      </c>
    </row>
    <row r="123" spans="1:5" x14ac:dyDescent="0.2">
      <c r="A123">
        <v>7</v>
      </c>
      <c r="B123" t="s">
        <v>74</v>
      </c>
      <c r="C123">
        <v>0</v>
      </c>
      <c r="D123">
        <v>1</v>
      </c>
      <c r="E123" s="3">
        <f t="shared" si="1"/>
        <v>2</v>
      </c>
    </row>
    <row r="124" spans="1:5" x14ac:dyDescent="0.2">
      <c r="A124">
        <v>8</v>
      </c>
      <c r="B124" s="2" t="s">
        <v>10</v>
      </c>
      <c r="C124" s="2" t="s">
        <v>10</v>
      </c>
      <c r="D124" s="2" t="s">
        <v>10</v>
      </c>
      <c r="E124" s="3">
        <f t="shared" si="1"/>
        <v>2</v>
      </c>
    </row>
    <row r="125" spans="1:5" x14ac:dyDescent="0.2">
      <c r="A125" s="1" t="s">
        <v>24</v>
      </c>
      <c r="E125" s="3">
        <f t="shared" si="1"/>
        <v>2</v>
      </c>
    </row>
    <row r="126" spans="1:5" x14ac:dyDescent="0.2">
      <c r="A126" s="1" t="s">
        <v>1</v>
      </c>
      <c r="B126" s="1" t="s">
        <v>2</v>
      </c>
      <c r="C126" s="1" t="s">
        <v>3</v>
      </c>
      <c r="D126" s="1" t="s">
        <v>4</v>
      </c>
      <c r="E126" s="3">
        <f t="shared" si="1"/>
        <v>2</v>
      </c>
    </row>
    <row r="127" spans="1:5" x14ac:dyDescent="0.2">
      <c r="A127">
        <v>1</v>
      </c>
      <c r="B127" t="s">
        <v>479</v>
      </c>
      <c r="C127">
        <v>3</v>
      </c>
      <c r="D127">
        <v>17</v>
      </c>
      <c r="E127" s="3">
        <f t="shared" si="1"/>
        <v>2</v>
      </c>
    </row>
    <row r="128" spans="1:5" x14ac:dyDescent="0.2">
      <c r="A128">
        <v>2</v>
      </c>
      <c r="B128" t="s">
        <v>507</v>
      </c>
      <c r="C128">
        <v>1</v>
      </c>
      <c r="D128">
        <v>13</v>
      </c>
      <c r="E128" s="3">
        <f t="shared" si="1"/>
        <v>2</v>
      </c>
    </row>
    <row r="129" spans="1:5" x14ac:dyDescent="0.2">
      <c r="A129">
        <v>3</v>
      </c>
      <c r="B129" t="s">
        <v>526</v>
      </c>
      <c r="C129">
        <v>1</v>
      </c>
      <c r="D129">
        <v>9</v>
      </c>
      <c r="E129" s="3">
        <f t="shared" si="1"/>
        <v>2</v>
      </c>
    </row>
    <row r="130" spans="1:5" x14ac:dyDescent="0.2">
      <c r="A130">
        <v>4</v>
      </c>
      <c r="B130" t="s">
        <v>34</v>
      </c>
      <c r="C130">
        <v>0</v>
      </c>
      <c r="D130">
        <v>5</v>
      </c>
      <c r="E130" s="3">
        <f t="shared" si="1"/>
        <v>2</v>
      </c>
    </row>
    <row r="131" spans="1:5" x14ac:dyDescent="0.2">
      <c r="A131">
        <v>5</v>
      </c>
      <c r="B131" t="s">
        <v>500</v>
      </c>
      <c r="C131">
        <v>1</v>
      </c>
      <c r="D131">
        <v>3</v>
      </c>
      <c r="E131" s="3">
        <f t="shared" si="1"/>
        <v>2</v>
      </c>
    </row>
    <row r="132" spans="1:5" x14ac:dyDescent="0.2">
      <c r="A132">
        <v>6</v>
      </c>
      <c r="B132" t="s">
        <v>75</v>
      </c>
      <c r="C132">
        <v>0</v>
      </c>
      <c r="D132">
        <v>2</v>
      </c>
      <c r="E132" s="3">
        <f t="shared" ref="E132:E195" si="2">IF(A132=$A$1,E131+1,E131)</f>
        <v>2</v>
      </c>
    </row>
    <row r="133" spans="1:5" x14ac:dyDescent="0.2">
      <c r="A133">
        <v>7</v>
      </c>
      <c r="B133" t="s">
        <v>475</v>
      </c>
      <c r="C133">
        <v>0</v>
      </c>
      <c r="D133">
        <v>1</v>
      </c>
      <c r="E133" s="3">
        <f t="shared" si="2"/>
        <v>2</v>
      </c>
    </row>
    <row r="134" spans="1:5" x14ac:dyDescent="0.2">
      <c r="A134">
        <v>8</v>
      </c>
      <c r="B134" s="2" t="s">
        <v>10</v>
      </c>
      <c r="C134" s="2" t="s">
        <v>10</v>
      </c>
      <c r="D134" s="2" t="s">
        <v>10</v>
      </c>
      <c r="E134" s="3">
        <f t="shared" si="2"/>
        <v>2</v>
      </c>
    </row>
    <row r="135" spans="1:5" x14ac:dyDescent="0.2">
      <c r="A135" s="1" t="s">
        <v>30</v>
      </c>
      <c r="E135" s="3">
        <f t="shared" si="2"/>
        <v>2</v>
      </c>
    </row>
    <row r="136" spans="1:5" x14ac:dyDescent="0.2">
      <c r="A136" s="1" t="s">
        <v>1</v>
      </c>
      <c r="B136" s="1" t="s">
        <v>2</v>
      </c>
      <c r="C136" s="1" t="s">
        <v>3</v>
      </c>
      <c r="D136" s="1" t="s">
        <v>4</v>
      </c>
      <c r="E136" s="3">
        <f t="shared" si="2"/>
        <v>2</v>
      </c>
    </row>
    <row r="137" spans="1:5" x14ac:dyDescent="0.2">
      <c r="A137">
        <v>0</v>
      </c>
      <c r="C137">
        <v>0</v>
      </c>
      <c r="D137">
        <v>0</v>
      </c>
      <c r="E137" s="3">
        <f t="shared" si="2"/>
        <v>2</v>
      </c>
    </row>
    <row r="138" spans="1:5" x14ac:dyDescent="0.2">
      <c r="A138">
        <v>0</v>
      </c>
      <c r="C138">
        <v>0</v>
      </c>
      <c r="D138">
        <v>0</v>
      </c>
      <c r="E138" s="3">
        <f t="shared" si="2"/>
        <v>2</v>
      </c>
    </row>
    <row r="139" spans="1:5" x14ac:dyDescent="0.2">
      <c r="A139">
        <v>1</v>
      </c>
      <c r="B139" t="s">
        <v>476</v>
      </c>
      <c r="C139">
        <v>3</v>
      </c>
      <c r="D139">
        <v>16</v>
      </c>
      <c r="E139" s="3">
        <f t="shared" si="2"/>
        <v>2</v>
      </c>
    </row>
    <row r="140" spans="1:5" x14ac:dyDescent="0.2">
      <c r="A140">
        <v>2</v>
      </c>
      <c r="B140" t="s">
        <v>516</v>
      </c>
      <c r="C140">
        <v>2</v>
      </c>
      <c r="D140">
        <v>12</v>
      </c>
      <c r="E140" s="3">
        <f t="shared" si="2"/>
        <v>2</v>
      </c>
    </row>
    <row r="141" spans="1:5" x14ac:dyDescent="0.2">
      <c r="A141">
        <v>3</v>
      </c>
      <c r="B141" t="s">
        <v>527</v>
      </c>
      <c r="C141">
        <v>0</v>
      </c>
      <c r="D141">
        <v>8</v>
      </c>
      <c r="E141" s="3">
        <f t="shared" si="2"/>
        <v>2</v>
      </c>
    </row>
    <row r="142" spans="1:5" x14ac:dyDescent="0.2">
      <c r="A142">
        <v>4</v>
      </c>
      <c r="B142" t="s">
        <v>490</v>
      </c>
      <c r="C142">
        <v>0</v>
      </c>
      <c r="D142">
        <v>4</v>
      </c>
      <c r="E142" s="3">
        <f t="shared" si="2"/>
        <v>2</v>
      </c>
    </row>
    <row r="143" spans="1:5" x14ac:dyDescent="0.2">
      <c r="A143">
        <v>5</v>
      </c>
      <c r="B143" t="s">
        <v>528</v>
      </c>
      <c r="C143">
        <v>0</v>
      </c>
      <c r="D143">
        <v>2</v>
      </c>
      <c r="E143" s="3">
        <f t="shared" si="2"/>
        <v>2</v>
      </c>
    </row>
    <row r="144" spans="1:5" x14ac:dyDescent="0.2">
      <c r="A144">
        <v>6</v>
      </c>
      <c r="B144" t="s">
        <v>529</v>
      </c>
      <c r="C144">
        <v>0</v>
      </c>
      <c r="D144">
        <v>1</v>
      </c>
      <c r="E144" s="3">
        <f t="shared" si="2"/>
        <v>2</v>
      </c>
    </row>
    <row r="145" spans="1:5" x14ac:dyDescent="0.2">
      <c r="A145">
        <v>9</v>
      </c>
      <c r="B145" s="2" t="s">
        <v>10</v>
      </c>
      <c r="C145" s="2" t="s">
        <v>10</v>
      </c>
      <c r="D145" s="2" t="s">
        <v>10</v>
      </c>
      <c r="E145" s="3">
        <f t="shared" si="2"/>
        <v>2</v>
      </c>
    </row>
    <row r="146" spans="1:5" x14ac:dyDescent="0.2">
      <c r="A146">
        <v>10</v>
      </c>
      <c r="B146" s="2" t="s">
        <v>10</v>
      </c>
      <c r="C146" s="2" t="s">
        <v>10</v>
      </c>
      <c r="D146" s="2" t="s">
        <v>10</v>
      </c>
      <c r="E146" s="3">
        <f t="shared" si="2"/>
        <v>2</v>
      </c>
    </row>
    <row r="147" spans="1:5" x14ac:dyDescent="0.2">
      <c r="A147" s="1" t="s">
        <v>44</v>
      </c>
      <c r="E147" s="3">
        <f t="shared" si="2"/>
        <v>2</v>
      </c>
    </row>
    <row r="148" spans="1:5" x14ac:dyDescent="0.2">
      <c r="A148" s="1" t="s">
        <v>1</v>
      </c>
      <c r="B148" s="1" t="s">
        <v>2</v>
      </c>
      <c r="C148" s="1" t="s">
        <v>3</v>
      </c>
      <c r="D148" s="1" t="s">
        <v>4</v>
      </c>
      <c r="E148" s="3">
        <f t="shared" si="2"/>
        <v>2</v>
      </c>
    </row>
    <row r="149" spans="1:5" x14ac:dyDescent="0.2">
      <c r="A149">
        <v>1</v>
      </c>
      <c r="B149" t="s">
        <v>55</v>
      </c>
      <c r="C149">
        <v>4</v>
      </c>
      <c r="D149">
        <v>16</v>
      </c>
      <c r="E149" s="3">
        <f t="shared" si="2"/>
        <v>2</v>
      </c>
    </row>
    <row r="150" spans="1:5" x14ac:dyDescent="0.2">
      <c r="A150">
        <v>2</v>
      </c>
      <c r="B150" t="s">
        <v>15</v>
      </c>
      <c r="C150">
        <v>0</v>
      </c>
      <c r="D150">
        <v>12</v>
      </c>
      <c r="E150" s="3">
        <f t="shared" si="2"/>
        <v>2</v>
      </c>
    </row>
    <row r="151" spans="1:5" x14ac:dyDescent="0.2">
      <c r="A151">
        <v>3</v>
      </c>
      <c r="B151" t="s">
        <v>530</v>
      </c>
      <c r="C151">
        <v>1</v>
      </c>
      <c r="D151">
        <v>8</v>
      </c>
      <c r="E151" s="3">
        <f t="shared" si="2"/>
        <v>2</v>
      </c>
    </row>
    <row r="152" spans="1:5" x14ac:dyDescent="0.2">
      <c r="A152">
        <v>4</v>
      </c>
      <c r="B152" t="s">
        <v>454</v>
      </c>
      <c r="C152">
        <v>0</v>
      </c>
      <c r="D152">
        <v>4</v>
      </c>
      <c r="E152" s="3">
        <f t="shared" si="2"/>
        <v>2</v>
      </c>
    </row>
    <row r="153" spans="1:5" x14ac:dyDescent="0.2">
      <c r="A153">
        <v>5</v>
      </c>
      <c r="B153" t="s">
        <v>87</v>
      </c>
      <c r="C153">
        <v>0</v>
      </c>
      <c r="D153">
        <v>2</v>
      </c>
      <c r="E153" s="3">
        <f t="shared" si="2"/>
        <v>2</v>
      </c>
    </row>
    <row r="154" spans="1:5" x14ac:dyDescent="0.2">
      <c r="A154">
        <v>6</v>
      </c>
      <c r="B154" t="s">
        <v>493</v>
      </c>
      <c r="C154">
        <v>0</v>
      </c>
      <c r="D154">
        <v>1</v>
      </c>
      <c r="E154" s="3">
        <f t="shared" si="2"/>
        <v>2</v>
      </c>
    </row>
    <row r="155" spans="1:5" x14ac:dyDescent="0.2">
      <c r="A155">
        <v>7</v>
      </c>
      <c r="B155" s="2" t="s">
        <v>10</v>
      </c>
      <c r="C155" s="2" t="s">
        <v>10</v>
      </c>
      <c r="D155" s="2" t="s">
        <v>10</v>
      </c>
      <c r="E155" s="3">
        <f t="shared" si="2"/>
        <v>2</v>
      </c>
    </row>
    <row r="156" spans="1:5" x14ac:dyDescent="0.2">
      <c r="A156">
        <v>8</v>
      </c>
      <c r="B156" s="2" t="s">
        <v>10</v>
      </c>
      <c r="C156" s="2" t="s">
        <v>10</v>
      </c>
      <c r="D156" s="2" t="s">
        <v>10</v>
      </c>
      <c r="E156" s="3">
        <f t="shared" si="2"/>
        <v>2</v>
      </c>
    </row>
    <row r="157" spans="1:5" x14ac:dyDescent="0.2">
      <c r="A157" s="1" t="s">
        <v>37</v>
      </c>
      <c r="E157" s="3">
        <f t="shared" si="2"/>
        <v>2</v>
      </c>
    </row>
    <row r="158" spans="1:5" x14ac:dyDescent="0.2">
      <c r="A158" s="1" t="s">
        <v>1</v>
      </c>
      <c r="B158" s="1" t="s">
        <v>2</v>
      </c>
      <c r="C158" s="1" t="s">
        <v>3</v>
      </c>
      <c r="D158" s="1" t="s">
        <v>4</v>
      </c>
      <c r="E158" s="3">
        <f t="shared" si="2"/>
        <v>2</v>
      </c>
    </row>
    <row r="159" spans="1:5" x14ac:dyDescent="0.2">
      <c r="A159">
        <v>1</v>
      </c>
      <c r="B159" t="s">
        <v>6</v>
      </c>
      <c r="C159">
        <v>1</v>
      </c>
      <c r="D159">
        <v>16</v>
      </c>
      <c r="E159" s="3">
        <f t="shared" si="2"/>
        <v>2</v>
      </c>
    </row>
    <row r="160" spans="1:5" x14ac:dyDescent="0.2">
      <c r="A160">
        <v>2</v>
      </c>
      <c r="B160" t="s">
        <v>512</v>
      </c>
      <c r="C160">
        <v>2</v>
      </c>
      <c r="D160">
        <v>12</v>
      </c>
      <c r="E160" s="3">
        <f t="shared" si="2"/>
        <v>2</v>
      </c>
    </row>
    <row r="161" spans="1:5" x14ac:dyDescent="0.2">
      <c r="A161">
        <v>3</v>
      </c>
      <c r="B161" t="s">
        <v>27</v>
      </c>
      <c r="C161">
        <v>1</v>
      </c>
      <c r="D161">
        <v>8</v>
      </c>
      <c r="E161" s="3">
        <f t="shared" si="2"/>
        <v>2</v>
      </c>
    </row>
    <row r="162" spans="1:5" x14ac:dyDescent="0.2">
      <c r="A162">
        <v>4</v>
      </c>
      <c r="B162" t="s">
        <v>65</v>
      </c>
      <c r="C162">
        <v>1</v>
      </c>
      <c r="D162">
        <v>4</v>
      </c>
      <c r="E162" s="3">
        <f t="shared" si="2"/>
        <v>2</v>
      </c>
    </row>
    <row r="163" spans="1:5" x14ac:dyDescent="0.2">
      <c r="A163">
        <v>5</v>
      </c>
      <c r="B163" t="s">
        <v>42</v>
      </c>
      <c r="C163">
        <v>0</v>
      </c>
      <c r="D163">
        <v>2</v>
      </c>
      <c r="E163" s="3">
        <f t="shared" si="2"/>
        <v>2</v>
      </c>
    </row>
    <row r="164" spans="1:5" x14ac:dyDescent="0.2">
      <c r="A164">
        <v>6</v>
      </c>
      <c r="B164" t="s">
        <v>461</v>
      </c>
      <c r="C164">
        <v>0</v>
      </c>
      <c r="D164">
        <v>1</v>
      </c>
      <c r="E164" s="3">
        <f t="shared" si="2"/>
        <v>2</v>
      </c>
    </row>
    <row r="165" spans="1:5" x14ac:dyDescent="0.2">
      <c r="A165">
        <v>7</v>
      </c>
      <c r="B165" s="2" t="s">
        <v>10</v>
      </c>
      <c r="C165" s="2" t="s">
        <v>10</v>
      </c>
      <c r="D165" s="2" t="s">
        <v>10</v>
      </c>
      <c r="E165" s="3">
        <f t="shared" si="2"/>
        <v>2</v>
      </c>
    </row>
    <row r="166" spans="1:5" x14ac:dyDescent="0.2">
      <c r="A166">
        <v>8</v>
      </c>
      <c r="B166" s="2" t="s">
        <v>10</v>
      </c>
      <c r="C166" s="2" t="s">
        <v>10</v>
      </c>
      <c r="D166" s="2" t="s">
        <v>10</v>
      </c>
      <c r="E166" s="3">
        <f t="shared" si="2"/>
        <v>2</v>
      </c>
    </row>
    <row r="167" spans="1:5" x14ac:dyDescent="0.2">
      <c r="A167" s="1" t="s">
        <v>51</v>
      </c>
      <c r="E167" s="3">
        <f t="shared" si="2"/>
        <v>2</v>
      </c>
    </row>
    <row r="168" spans="1:5" x14ac:dyDescent="0.2">
      <c r="A168" s="1" t="s">
        <v>1</v>
      </c>
      <c r="B168" s="1" t="s">
        <v>2</v>
      </c>
      <c r="C168" s="1" t="s">
        <v>3</v>
      </c>
      <c r="D168" s="1" t="s">
        <v>4</v>
      </c>
      <c r="E168" s="3">
        <f t="shared" si="2"/>
        <v>2</v>
      </c>
    </row>
    <row r="169" spans="1:5" x14ac:dyDescent="0.2">
      <c r="A169">
        <v>1</v>
      </c>
      <c r="B169" t="s">
        <v>59</v>
      </c>
      <c r="C169">
        <v>4</v>
      </c>
      <c r="D169">
        <v>17</v>
      </c>
      <c r="E169" s="3">
        <f t="shared" si="2"/>
        <v>2</v>
      </c>
    </row>
    <row r="170" spans="1:5" x14ac:dyDescent="0.2">
      <c r="A170">
        <v>2</v>
      </c>
      <c r="B170" t="s">
        <v>451</v>
      </c>
      <c r="C170">
        <v>1</v>
      </c>
      <c r="D170">
        <v>13</v>
      </c>
      <c r="E170" s="3">
        <f t="shared" si="2"/>
        <v>2</v>
      </c>
    </row>
    <row r="171" spans="1:5" x14ac:dyDescent="0.2">
      <c r="A171">
        <v>3</v>
      </c>
      <c r="B171" t="s">
        <v>501</v>
      </c>
      <c r="C171">
        <v>0</v>
      </c>
      <c r="D171">
        <v>9</v>
      </c>
      <c r="E171" s="3">
        <f t="shared" si="2"/>
        <v>2</v>
      </c>
    </row>
    <row r="172" spans="1:5" x14ac:dyDescent="0.2">
      <c r="A172">
        <v>4</v>
      </c>
      <c r="B172" t="s">
        <v>504</v>
      </c>
      <c r="C172">
        <v>1</v>
      </c>
      <c r="D172">
        <v>5</v>
      </c>
      <c r="E172" s="3">
        <f t="shared" si="2"/>
        <v>2</v>
      </c>
    </row>
    <row r="173" spans="1:5" x14ac:dyDescent="0.2">
      <c r="A173">
        <v>5</v>
      </c>
      <c r="B173" t="s">
        <v>521</v>
      </c>
      <c r="C173">
        <v>0</v>
      </c>
      <c r="D173">
        <v>3</v>
      </c>
      <c r="E173" s="3">
        <f t="shared" si="2"/>
        <v>2</v>
      </c>
    </row>
    <row r="174" spans="1:5" x14ac:dyDescent="0.2">
      <c r="A174">
        <v>6</v>
      </c>
      <c r="B174" t="s">
        <v>503</v>
      </c>
      <c r="C174">
        <v>0</v>
      </c>
      <c r="D174">
        <v>2</v>
      </c>
      <c r="E174" s="3">
        <f t="shared" si="2"/>
        <v>2</v>
      </c>
    </row>
    <row r="175" spans="1:5" x14ac:dyDescent="0.2">
      <c r="A175">
        <v>7</v>
      </c>
      <c r="B175" t="s">
        <v>505</v>
      </c>
      <c r="C175">
        <v>0</v>
      </c>
      <c r="D175">
        <v>1</v>
      </c>
      <c r="E175" s="3">
        <f t="shared" si="2"/>
        <v>2</v>
      </c>
    </row>
    <row r="176" spans="1:5" x14ac:dyDescent="0.2">
      <c r="A176">
        <v>8</v>
      </c>
      <c r="B176" s="2" t="s">
        <v>10</v>
      </c>
      <c r="C176" s="2" t="s">
        <v>10</v>
      </c>
      <c r="D176" s="2" t="s">
        <v>10</v>
      </c>
      <c r="E176" s="3">
        <f t="shared" si="2"/>
        <v>2</v>
      </c>
    </row>
    <row r="177" spans="1:5" x14ac:dyDescent="0.2">
      <c r="A177" s="1" t="s">
        <v>0</v>
      </c>
      <c r="E177" s="3">
        <f t="shared" si="2"/>
        <v>3</v>
      </c>
    </row>
    <row r="178" spans="1:5" x14ac:dyDescent="0.2">
      <c r="A178" s="1" t="s">
        <v>1</v>
      </c>
      <c r="B178" s="1" t="s">
        <v>2</v>
      </c>
      <c r="C178" s="1" t="s">
        <v>3</v>
      </c>
      <c r="D178" s="1" t="s">
        <v>4</v>
      </c>
      <c r="E178" s="3">
        <f t="shared" si="2"/>
        <v>3</v>
      </c>
    </row>
    <row r="179" spans="1:5" x14ac:dyDescent="0.2">
      <c r="A179">
        <v>1</v>
      </c>
      <c r="B179" t="s">
        <v>29</v>
      </c>
      <c r="C179">
        <v>3</v>
      </c>
      <c r="D179">
        <v>16</v>
      </c>
      <c r="E179" s="3">
        <f t="shared" si="2"/>
        <v>3</v>
      </c>
    </row>
    <row r="180" spans="1:5" x14ac:dyDescent="0.2">
      <c r="A180">
        <v>2</v>
      </c>
      <c r="B180" t="s">
        <v>516</v>
      </c>
      <c r="C180">
        <v>2</v>
      </c>
      <c r="D180">
        <v>12</v>
      </c>
      <c r="E180" s="3">
        <f t="shared" si="2"/>
        <v>3</v>
      </c>
    </row>
    <row r="181" spans="1:5" x14ac:dyDescent="0.2">
      <c r="A181">
        <v>3</v>
      </c>
      <c r="B181" t="s">
        <v>476</v>
      </c>
      <c r="C181">
        <v>0</v>
      </c>
      <c r="D181">
        <v>8</v>
      </c>
      <c r="E181" s="3">
        <f t="shared" si="2"/>
        <v>3</v>
      </c>
    </row>
    <row r="182" spans="1:5" x14ac:dyDescent="0.2">
      <c r="A182">
        <v>4</v>
      </c>
      <c r="B182" t="s">
        <v>508</v>
      </c>
      <c r="C182">
        <v>0</v>
      </c>
      <c r="D182">
        <v>4</v>
      </c>
      <c r="E182" s="3">
        <f t="shared" si="2"/>
        <v>3</v>
      </c>
    </row>
    <row r="183" spans="1:5" x14ac:dyDescent="0.2">
      <c r="A183">
        <v>5</v>
      </c>
      <c r="B183" t="s">
        <v>75</v>
      </c>
      <c r="C183">
        <v>0</v>
      </c>
      <c r="D183">
        <v>2</v>
      </c>
      <c r="E183" s="3">
        <f t="shared" si="2"/>
        <v>3</v>
      </c>
    </row>
    <row r="184" spans="1:5" x14ac:dyDescent="0.2">
      <c r="A184">
        <v>6</v>
      </c>
      <c r="B184" t="s">
        <v>530</v>
      </c>
      <c r="C184">
        <v>0</v>
      </c>
      <c r="D184">
        <v>1</v>
      </c>
      <c r="E184" s="3">
        <f t="shared" si="2"/>
        <v>3</v>
      </c>
    </row>
    <row r="185" spans="1:5" x14ac:dyDescent="0.2">
      <c r="A185">
        <v>7</v>
      </c>
      <c r="B185" s="2" t="s">
        <v>10</v>
      </c>
      <c r="C185" s="2" t="s">
        <v>10</v>
      </c>
      <c r="D185" s="2" t="s">
        <v>10</v>
      </c>
      <c r="E185" s="3">
        <f t="shared" si="2"/>
        <v>3</v>
      </c>
    </row>
    <row r="186" spans="1:5" x14ac:dyDescent="0.2">
      <c r="A186">
        <v>8</v>
      </c>
      <c r="B186" s="2" t="s">
        <v>10</v>
      </c>
      <c r="C186" s="2" t="s">
        <v>10</v>
      </c>
      <c r="D186" s="2" t="s">
        <v>10</v>
      </c>
      <c r="E186" s="3">
        <f t="shared" si="2"/>
        <v>3</v>
      </c>
    </row>
    <row r="187" spans="1:5" x14ac:dyDescent="0.2">
      <c r="A187" s="1" t="s">
        <v>11</v>
      </c>
      <c r="E187" s="3">
        <f t="shared" si="2"/>
        <v>3</v>
      </c>
    </row>
    <row r="188" spans="1:5" x14ac:dyDescent="0.2">
      <c r="A188" s="1" t="s">
        <v>1</v>
      </c>
      <c r="B188" s="1" t="s">
        <v>2</v>
      </c>
      <c r="C188" s="1" t="s">
        <v>3</v>
      </c>
      <c r="D188" s="1" t="s">
        <v>4</v>
      </c>
      <c r="E188" s="3">
        <f t="shared" si="2"/>
        <v>3</v>
      </c>
    </row>
    <row r="189" spans="1:5" x14ac:dyDescent="0.2">
      <c r="A189">
        <v>1</v>
      </c>
      <c r="B189" t="s">
        <v>505</v>
      </c>
      <c r="C189">
        <v>1</v>
      </c>
      <c r="D189">
        <v>16</v>
      </c>
      <c r="E189" s="3">
        <f t="shared" si="2"/>
        <v>3</v>
      </c>
    </row>
    <row r="190" spans="1:5" x14ac:dyDescent="0.2">
      <c r="A190">
        <v>2</v>
      </c>
      <c r="B190" t="s">
        <v>48</v>
      </c>
      <c r="C190">
        <v>3</v>
      </c>
      <c r="D190">
        <v>12</v>
      </c>
      <c r="E190" s="3">
        <f t="shared" si="2"/>
        <v>3</v>
      </c>
    </row>
    <row r="191" spans="1:5" x14ac:dyDescent="0.2">
      <c r="A191">
        <v>3</v>
      </c>
      <c r="B191" t="s">
        <v>510</v>
      </c>
      <c r="C191">
        <v>1</v>
      </c>
      <c r="D191">
        <v>8</v>
      </c>
      <c r="E191" s="3">
        <f t="shared" si="2"/>
        <v>3</v>
      </c>
    </row>
    <row r="192" spans="1:5" x14ac:dyDescent="0.2">
      <c r="A192">
        <v>4</v>
      </c>
      <c r="B192" t="s">
        <v>452</v>
      </c>
      <c r="C192">
        <v>0</v>
      </c>
      <c r="D192">
        <v>4</v>
      </c>
      <c r="E192" s="3">
        <f t="shared" si="2"/>
        <v>3</v>
      </c>
    </row>
    <row r="193" spans="1:7" x14ac:dyDescent="0.2">
      <c r="A193">
        <v>5</v>
      </c>
      <c r="B193" t="s">
        <v>69</v>
      </c>
      <c r="C193">
        <v>0</v>
      </c>
      <c r="D193">
        <v>2</v>
      </c>
      <c r="E193" s="3">
        <f t="shared" si="2"/>
        <v>3</v>
      </c>
    </row>
    <row r="194" spans="1:7" x14ac:dyDescent="0.2">
      <c r="A194">
        <v>6</v>
      </c>
      <c r="B194" t="s">
        <v>506</v>
      </c>
      <c r="C194">
        <v>0</v>
      </c>
      <c r="D194">
        <v>1</v>
      </c>
      <c r="E194" s="3">
        <f t="shared" si="2"/>
        <v>3</v>
      </c>
    </row>
    <row r="195" spans="1:7" x14ac:dyDescent="0.2">
      <c r="A195">
        <v>7</v>
      </c>
      <c r="B195" s="2" t="s">
        <v>10</v>
      </c>
      <c r="C195" s="2" t="s">
        <v>10</v>
      </c>
      <c r="D195" s="2" t="s">
        <v>10</v>
      </c>
      <c r="E195" s="3">
        <f t="shared" si="2"/>
        <v>3</v>
      </c>
    </row>
    <row r="196" spans="1:7" x14ac:dyDescent="0.2">
      <c r="A196">
        <v>8</v>
      </c>
      <c r="B196" s="2" t="s">
        <v>10</v>
      </c>
      <c r="C196" s="2" t="s">
        <v>10</v>
      </c>
      <c r="D196" s="2" t="s">
        <v>10</v>
      </c>
      <c r="E196" s="3">
        <f t="shared" ref="E196:E198" si="3">IF(A196=$A$1,E195+1,E195)</f>
        <v>3</v>
      </c>
    </row>
    <row r="197" spans="1:7" x14ac:dyDescent="0.2">
      <c r="A197" s="1" t="s">
        <v>17</v>
      </c>
      <c r="E197" s="3">
        <f t="shared" si="3"/>
        <v>3</v>
      </c>
    </row>
    <row r="198" spans="1:7" x14ac:dyDescent="0.2">
      <c r="A198" s="1" t="s">
        <v>1</v>
      </c>
      <c r="B198" s="1" t="s">
        <v>2</v>
      </c>
      <c r="C198" s="1" t="s">
        <v>3</v>
      </c>
      <c r="D198" s="1" t="s">
        <v>4</v>
      </c>
      <c r="E198" s="3">
        <f t="shared" si="3"/>
        <v>3</v>
      </c>
    </row>
    <row r="199" spans="1:7" x14ac:dyDescent="0.2">
      <c r="A199">
        <v>1</v>
      </c>
      <c r="B199" t="s">
        <v>507</v>
      </c>
      <c r="C199">
        <v>4</v>
      </c>
      <c r="D199">
        <v>16</v>
      </c>
      <c r="E199" s="3">
        <f>IF(A199=$A$1,E198+1,E198)</f>
        <v>3</v>
      </c>
      <c r="G199" s="1"/>
    </row>
    <row r="200" spans="1:7" x14ac:dyDescent="0.2">
      <c r="A200">
        <v>2</v>
      </c>
      <c r="B200" t="s">
        <v>534</v>
      </c>
      <c r="C200">
        <v>1</v>
      </c>
      <c r="D200">
        <v>12</v>
      </c>
      <c r="E200" s="3">
        <f>IF(A200=$A$1,E199+1,E199)</f>
        <v>3</v>
      </c>
      <c r="G200" s="1"/>
    </row>
    <row r="201" spans="1:7" x14ac:dyDescent="0.2">
      <c r="A201">
        <v>3</v>
      </c>
      <c r="B201" t="s">
        <v>526</v>
      </c>
      <c r="C201">
        <v>0</v>
      </c>
      <c r="D201">
        <v>8</v>
      </c>
      <c r="E201" s="3">
        <f>IF(A201=$A$1,E200+1,E200)</f>
        <v>3</v>
      </c>
    </row>
    <row r="202" spans="1:7" x14ac:dyDescent="0.2">
      <c r="A202">
        <v>4</v>
      </c>
      <c r="B202" t="s">
        <v>535</v>
      </c>
      <c r="C202">
        <v>0</v>
      </c>
      <c r="D202">
        <v>4</v>
      </c>
      <c r="E202" s="3">
        <f>IF(A202=$A$1,E201+1,E201)</f>
        <v>3</v>
      </c>
    </row>
    <row r="203" spans="1:7" x14ac:dyDescent="0.2">
      <c r="A203">
        <v>5</v>
      </c>
      <c r="B203" t="s">
        <v>527</v>
      </c>
      <c r="C203">
        <v>0</v>
      </c>
      <c r="D203">
        <v>2</v>
      </c>
      <c r="E203" s="3">
        <f>IF(A203=$A$1,E202+1,E202)</f>
        <v>3</v>
      </c>
    </row>
    <row r="204" spans="1:7" x14ac:dyDescent="0.2">
      <c r="A204">
        <v>6</v>
      </c>
      <c r="B204" t="s">
        <v>345</v>
      </c>
      <c r="C204">
        <v>0</v>
      </c>
      <c r="D204">
        <v>1</v>
      </c>
      <c r="E204" s="3">
        <f>IF(A204=$A$1,E203+1,E203)</f>
        <v>3</v>
      </c>
    </row>
    <row r="205" spans="1:7" x14ac:dyDescent="0.2">
      <c r="A205">
        <v>7</v>
      </c>
      <c r="B205" s="2" t="s">
        <v>10</v>
      </c>
      <c r="C205" s="2" t="s">
        <v>10</v>
      </c>
      <c r="D205" s="2" t="s">
        <v>10</v>
      </c>
      <c r="E205" s="3">
        <f>IF(A205=$A$1,E204+1,E204)</f>
        <v>3</v>
      </c>
    </row>
    <row r="206" spans="1:7" x14ac:dyDescent="0.2">
      <c r="A206">
        <v>8</v>
      </c>
      <c r="B206" s="2" t="s">
        <v>10</v>
      </c>
      <c r="C206" s="2" t="s">
        <v>10</v>
      </c>
      <c r="D206" s="2" t="s">
        <v>10</v>
      </c>
      <c r="E206" s="3">
        <f>IF(A206=$A$1,E205+1,E205)</f>
        <v>3</v>
      </c>
    </row>
    <row r="207" spans="1:7" x14ac:dyDescent="0.2">
      <c r="A207" s="1" t="s">
        <v>30</v>
      </c>
      <c r="E207" s="3">
        <f>IF(A207=$A$1,E206+1,E206)</f>
        <v>3</v>
      </c>
    </row>
    <row r="208" spans="1:7" x14ac:dyDescent="0.2">
      <c r="A208" s="1" t="s">
        <v>1</v>
      </c>
      <c r="B208" s="1" t="s">
        <v>2</v>
      </c>
      <c r="C208" s="1" t="s">
        <v>3</v>
      </c>
      <c r="D208" s="1" t="s">
        <v>4</v>
      </c>
      <c r="E208" s="3">
        <f>IF(A208=$A$1,E207+1,E207)</f>
        <v>3</v>
      </c>
    </row>
    <row r="209" spans="1:7" x14ac:dyDescent="0.2">
      <c r="A209">
        <v>0</v>
      </c>
      <c r="C209">
        <v>0</v>
      </c>
      <c r="D209">
        <v>0</v>
      </c>
      <c r="E209" s="3">
        <f>IF(A209=$A$1,E208+1,E208)</f>
        <v>3</v>
      </c>
      <c r="G209" s="1"/>
    </row>
    <row r="210" spans="1:7" x14ac:dyDescent="0.2">
      <c r="A210">
        <v>1</v>
      </c>
      <c r="B210" t="s">
        <v>87</v>
      </c>
      <c r="C210">
        <v>1</v>
      </c>
      <c r="D210">
        <v>17</v>
      </c>
      <c r="E210" s="3">
        <f>IF(A210=$A$1,E209+1,E209)</f>
        <v>3</v>
      </c>
      <c r="G210" s="1"/>
    </row>
    <row r="211" spans="1:7" x14ac:dyDescent="0.2">
      <c r="A211">
        <v>2</v>
      </c>
      <c r="B211" t="s">
        <v>27</v>
      </c>
      <c r="C211">
        <v>3</v>
      </c>
      <c r="D211">
        <v>13</v>
      </c>
      <c r="E211" s="3">
        <f>IF(A211=$A$1,E210+1,E210)</f>
        <v>3</v>
      </c>
    </row>
    <row r="212" spans="1:7" x14ac:dyDescent="0.2">
      <c r="A212">
        <v>3</v>
      </c>
      <c r="B212" t="s">
        <v>461</v>
      </c>
      <c r="C212">
        <v>1</v>
      </c>
      <c r="D212">
        <v>9</v>
      </c>
      <c r="E212" s="3">
        <f>IF(A212=$A$1,E211+1,E211)</f>
        <v>3</v>
      </c>
    </row>
    <row r="213" spans="1:7" x14ac:dyDescent="0.2">
      <c r="A213">
        <v>4</v>
      </c>
      <c r="B213" t="s">
        <v>21</v>
      </c>
      <c r="C213">
        <v>0</v>
      </c>
      <c r="D213">
        <v>5</v>
      </c>
      <c r="E213" s="3">
        <f>IF(A213=$A$1,E212+1,E212)</f>
        <v>3</v>
      </c>
    </row>
    <row r="214" spans="1:7" x14ac:dyDescent="0.2">
      <c r="A214">
        <v>5</v>
      </c>
      <c r="B214" t="s">
        <v>462</v>
      </c>
      <c r="C214">
        <v>1</v>
      </c>
      <c r="D214">
        <v>3</v>
      </c>
      <c r="E214" s="3">
        <f>IF(A214=$A$1,E213+1,E213)</f>
        <v>3</v>
      </c>
    </row>
    <row r="215" spans="1:7" x14ac:dyDescent="0.2">
      <c r="A215">
        <v>6</v>
      </c>
      <c r="B215" t="s">
        <v>531</v>
      </c>
      <c r="C215">
        <v>0</v>
      </c>
      <c r="D215">
        <v>2</v>
      </c>
      <c r="E215" s="3">
        <f>IF(A215=$A$1,E214+1,E214)</f>
        <v>3</v>
      </c>
    </row>
    <row r="216" spans="1:7" x14ac:dyDescent="0.2">
      <c r="A216">
        <v>7</v>
      </c>
      <c r="B216" t="s">
        <v>532</v>
      </c>
      <c r="C216">
        <v>0</v>
      </c>
      <c r="D216">
        <v>1</v>
      </c>
      <c r="E216" s="3">
        <f>IF(A216=$A$1,E215+1,E215)</f>
        <v>3</v>
      </c>
    </row>
    <row r="217" spans="1:7" x14ac:dyDescent="0.2">
      <c r="A217">
        <v>9</v>
      </c>
      <c r="B217" s="2" t="s">
        <v>10</v>
      </c>
      <c r="C217" s="2" t="s">
        <v>10</v>
      </c>
      <c r="D217" s="2" t="s">
        <v>10</v>
      </c>
      <c r="E217" s="3">
        <f>IF(A217=$A$1,E216+1,E216)</f>
        <v>3</v>
      </c>
    </row>
    <row r="218" spans="1:7" x14ac:dyDescent="0.2">
      <c r="A218" s="1" t="s">
        <v>24</v>
      </c>
      <c r="E218" s="3">
        <f>IF(A218=$A$1,E217+1,E217)</f>
        <v>3</v>
      </c>
    </row>
    <row r="219" spans="1:7" x14ac:dyDescent="0.2">
      <c r="A219" s="1" t="s">
        <v>1</v>
      </c>
      <c r="B219" s="1" t="s">
        <v>2</v>
      </c>
      <c r="C219" s="1" t="s">
        <v>3</v>
      </c>
      <c r="D219" s="1" t="s">
        <v>4</v>
      </c>
      <c r="E219" s="3">
        <f>IF(A219=$A$1,E218+1,E218)</f>
        <v>3</v>
      </c>
      <c r="G219" s="1"/>
    </row>
    <row r="220" spans="1:7" x14ac:dyDescent="0.2">
      <c r="A220">
        <v>0</v>
      </c>
      <c r="C220">
        <v>0</v>
      </c>
      <c r="D220">
        <v>0</v>
      </c>
      <c r="E220" s="3">
        <f>IF(A220=$A$1,E219+1,E219)</f>
        <v>3</v>
      </c>
      <c r="G220" s="1"/>
    </row>
    <row r="221" spans="1:7" x14ac:dyDescent="0.2">
      <c r="A221">
        <v>1</v>
      </c>
      <c r="B221" t="s">
        <v>59</v>
      </c>
      <c r="C221">
        <v>3</v>
      </c>
      <c r="D221">
        <v>17</v>
      </c>
      <c r="E221" s="3">
        <f>IF(A221=$A$1,E220+1,E220)</f>
        <v>3</v>
      </c>
    </row>
    <row r="222" spans="1:7" x14ac:dyDescent="0.2">
      <c r="A222">
        <v>2</v>
      </c>
      <c r="B222" t="s">
        <v>490</v>
      </c>
      <c r="C222">
        <v>3</v>
      </c>
      <c r="D222">
        <v>13</v>
      </c>
      <c r="E222" s="3">
        <f>IF(A222=$A$1,E221+1,E221)</f>
        <v>3</v>
      </c>
    </row>
    <row r="223" spans="1:7" x14ac:dyDescent="0.2">
      <c r="A223">
        <v>3</v>
      </c>
      <c r="B223" t="s">
        <v>479</v>
      </c>
      <c r="C223">
        <v>0</v>
      </c>
      <c r="D223">
        <v>9</v>
      </c>
      <c r="E223" s="3">
        <f>IF(A223=$A$1,E222+1,E222)</f>
        <v>3</v>
      </c>
    </row>
    <row r="224" spans="1:7" x14ac:dyDescent="0.2">
      <c r="A224">
        <v>4</v>
      </c>
      <c r="B224" t="s">
        <v>9</v>
      </c>
      <c r="C224">
        <v>0</v>
      </c>
      <c r="D224">
        <v>5</v>
      </c>
      <c r="E224" s="3">
        <f>IF(A224=$A$1,E223+1,E223)</f>
        <v>3</v>
      </c>
    </row>
    <row r="225" spans="1:7" x14ac:dyDescent="0.2">
      <c r="A225">
        <v>5</v>
      </c>
      <c r="B225" t="s">
        <v>76</v>
      </c>
      <c r="C225">
        <v>0</v>
      </c>
      <c r="D225">
        <v>3</v>
      </c>
      <c r="E225" s="3">
        <f>IF(A225=$A$1,E224+1,E224)</f>
        <v>3</v>
      </c>
    </row>
    <row r="226" spans="1:7" x14ac:dyDescent="0.2">
      <c r="A226">
        <v>6</v>
      </c>
      <c r="B226" t="s">
        <v>533</v>
      </c>
      <c r="C226">
        <v>0</v>
      </c>
      <c r="D226">
        <v>2</v>
      </c>
      <c r="E226" s="3">
        <f>IF(A226=$A$1,E225+1,E225)</f>
        <v>3</v>
      </c>
    </row>
    <row r="227" spans="1:7" x14ac:dyDescent="0.2">
      <c r="A227">
        <v>7</v>
      </c>
      <c r="B227" t="s">
        <v>451</v>
      </c>
      <c r="C227">
        <v>0</v>
      </c>
      <c r="D227">
        <v>1</v>
      </c>
      <c r="E227" s="3">
        <f>IF(A227=$A$1,E226+1,E226)</f>
        <v>3</v>
      </c>
    </row>
    <row r="228" spans="1:7" x14ac:dyDescent="0.2">
      <c r="A228">
        <v>9</v>
      </c>
      <c r="B228" s="2" t="s">
        <v>10</v>
      </c>
      <c r="C228" s="2" t="s">
        <v>10</v>
      </c>
      <c r="D228" s="2" t="s">
        <v>10</v>
      </c>
      <c r="E228" s="3">
        <f>IF(A228=$A$1,E227+1,E227)</f>
        <v>3</v>
      </c>
    </row>
    <row r="229" spans="1:7" x14ac:dyDescent="0.2">
      <c r="A229" s="1" t="s">
        <v>58</v>
      </c>
      <c r="E229" s="3">
        <f>IF(A229=$A$1,E228+1,E228)</f>
        <v>3</v>
      </c>
      <c r="G229" s="1"/>
    </row>
    <row r="230" spans="1:7" x14ac:dyDescent="0.2">
      <c r="A230" s="1" t="s">
        <v>1</v>
      </c>
      <c r="B230" s="1" t="s">
        <v>2</v>
      </c>
      <c r="C230" s="1" t="s">
        <v>3</v>
      </c>
      <c r="D230" s="1" t="s">
        <v>4</v>
      </c>
      <c r="E230" s="3">
        <f>IF(A230=$A$1,E229+1,E229)</f>
        <v>3</v>
      </c>
      <c r="G230" s="1"/>
    </row>
    <row r="231" spans="1:7" x14ac:dyDescent="0.2">
      <c r="A231">
        <v>1</v>
      </c>
      <c r="B231" t="s">
        <v>512</v>
      </c>
      <c r="C231">
        <v>2</v>
      </c>
      <c r="D231">
        <v>16</v>
      </c>
      <c r="E231" s="3">
        <f>IF(A231=$A$1,E230+1,E230)</f>
        <v>3</v>
      </c>
    </row>
    <row r="232" spans="1:7" x14ac:dyDescent="0.2">
      <c r="A232">
        <v>2</v>
      </c>
      <c r="B232" t="s">
        <v>493</v>
      </c>
      <c r="C232">
        <v>2</v>
      </c>
      <c r="D232">
        <v>12</v>
      </c>
      <c r="E232" s="3">
        <f>IF(A232=$A$1,E231+1,E231)</f>
        <v>3</v>
      </c>
    </row>
    <row r="233" spans="1:7" x14ac:dyDescent="0.2">
      <c r="A233">
        <v>3</v>
      </c>
      <c r="B233" t="s">
        <v>501</v>
      </c>
      <c r="C233">
        <v>1</v>
      </c>
      <c r="D233">
        <v>8</v>
      </c>
      <c r="E233" s="3">
        <f>IF(A233=$A$1,E232+1,E232)</f>
        <v>3</v>
      </c>
    </row>
    <row r="234" spans="1:7" x14ac:dyDescent="0.2">
      <c r="A234">
        <v>4</v>
      </c>
      <c r="B234" t="s">
        <v>521</v>
      </c>
      <c r="C234">
        <v>0</v>
      </c>
      <c r="D234">
        <v>4</v>
      </c>
      <c r="E234" s="3">
        <f>IF(A234=$A$1,E233+1,E233)</f>
        <v>3</v>
      </c>
    </row>
    <row r="235" spans="1:7" x14ac:dyDescent="0.2">
      <c r="A235">
        <v>5</v>
      </c>
      <c r="B235" t="s">
        <v>32</v>
      </c>
      <c r="C235">
        <v>0</v>
      </c>
      <c r="D235">
        <v>2</v>
      </c>
      <c r="E235" s="3">
        <f>IF(A235=$A$1,E234+1,E234)</f>
        <v>3</v>
      </c>
    </row>
    <row r="236" spans="1:7" x14ac:dyDescent="0.2">
      <c r="A236">
        <v>6</v>
      </c>
      <c r="B236" t="s">
        <v>504</v>
      </c>
      <c r="C236">
        <v>0</v>
      </c>
      <c r="D236">
        <v>1</v>
      </c>
      <c r="E236" s="3">
        <f>IF(A236=$A$1,E235+1,E235)</f>
        <v>3</v>
      </c>
    </row>
    <row r="237" spans="1:7" x14ac:dyDescent="0.2">
      <c r="A237">
        <v>7</v>
      </c>
      <c r="B237" s="2" t="s">
        <v>10</v>
      </c>
      <c r="C237" s="2" t="s">
        <v>10</v>
      </c>
      <c r="D237" s="2" t="s">
        <v>10</v>
      </c>
      <c r="E237" s="3">
        <f>IF(A237=$A$1,E236+1,E236)</f>
        <v>3</v>
      </c>
    </row>
    <row r="238" spans="1:7" x14ac:dyDescent="0.2">
      <c r="A238">
        <v>8</v>
      </c>
      <c r="B238" s="2" t="s">
        <v>10</v>
      </c>
      <c r="C238" s="2" t="s">
        <v>10</v>
      </c>
      <c r="D238" s="2" t="s">
        <v>10</v>
      </c>
      <c r="E238" s="3">
        <f>IF(A238=$A$1,E237+1,E237)</f>
        <v>3</v>
      </c>
    </row>
    <row r="239" spans="1:7" x14ac:dyDescent="0.2">
      <c r="A239" s="1" t="s">
        <v>51</v>
      </c>
      <c r="E239" s="3">
        <f>IF(A239=$A$1,E238+1,E238)</f>
        <v>3</v>
      </c>
    </row>
    <row r="240" spans="1:7" x14ac:dyDescent="0.2">
      <c r="A240" s="1" t="s">
        <v>1</v>
      </c>
      <c r="B240" s="1" t="s">
        <v>2</v>
      </c>
      <c r="C240" s="1" t="s">
        <v>3</v>
      </c>
      <c r="D240" s="1" t="s">
        <v>4</v>
      </c>
      <c r="E240" s="3">
        <f>IF(A240=$A$1,E239+1,E239)</f>
        <v>3</v>
      </c>
      <c r="G240" s="1"/>
    </row>
    <row r="241" spans="1:7" x14ac:dyDescent="0.2">
      <c r="A241">
        <v>1</v>
      </c>
      <c r="B241" t="s">
        <v>66</v>
      </c>
      <c r="C241">
        <v>3</v>
      </c>
      <c r="D241">
        <v>16</v>
      </c>
      <c r="E241" s="3">
        <f>IF(A241=$A$1,E240+1,E240)</f>
        <v>3</v>
      </c>
      <c r="G241" s="1"/>
    </row>
    <row r="242" spans="1:7" x14ac:dyDescent="0.2">
      <c r="A242">
        <v>2</v>
      </c>
      <c r="B242" t="s">
        <v>519</v>
      </c>
      <c r="C242">
        <v>0</v>
      </c>
      <c r="D242">
        <v>12</v>
      </c>
      <c r="E242" s="3">
        <f>IF(A242=$A$1,E241+1,E241)</f>
        <v>3</v>
      </c>
    </row>
    <row r="243" spans="1:7" x14ac:dyDescent="0.2">
      <c r="A243">
        <v>3</v>
      </c>
      <c r="B243" t="s">
        <v>101</v>
      </c>
      <c r="C243">
        <v>1</v>
      </c>
      <c r="D243">
        <v>8</v>
      </c>
      <c r="E243" s="3">
        <f>IF(A243=$A$1,E242+1,E242)</f>
        <v>3</v>
      </c>
    </row>
    <row r="244" spans="1:7" x14ac:dyDescent="0.2">
      <c r="A244">
        <v>4</v>
      </c>
      <c r="B244" t="s">
        <v>475</v>
      </c>
      <c r="C244">
        <v>1</v>
      </c>
      <c r="D244">
        <v>4</v>
      </c>
      <c r="E244" s="3">
        <f>IF(A244=$A$1,E243+1,E243)</f>
        <v>3</v>
      </c>
    </row>
    <row r="245" spans="1:7" x14ac:dyDescent="0.2">
      <c r="A245">
        <v>5</v>
      </c>
      <c r="B245" t="s">
        <v>6</v>
      </c>
      <c r="C245">
        <v>0</v>
      </c>
      <c r="D245">
        <v>2</v>
      </c>
      <c r="E245" s="3">
        <f>IF(A245=$A$1,E244+1,E244)</f>
        <v>3</v>
      </c>
    </row>
    <row r="246" spans="1:7" x14ac:dyDescent="0.2">
      <c r="A246">
        <v>6</v>
      </c>
      <c r="B246" t="s">
        <v>525</v>
      </c>
      <c r="C246">
        <v>0</v>
      </c>
      <c r="D246">
        <v>1</v>
      </c>
      <c r="E246" s="3">
        <f>IF(A246=$A$1,E245+1,E245)</f>
        <v>3</v>
      </c>
    </row>
    <row r="247" spans="1:7" x14ac:dyDescent="0.2">
      <c r="A247">
        <v>7</v>
      </c>
      <c r="B247" s="2" t="s">
        <v>10</v>
      </c>
      <c r="C247" s="2" t="s">
        <v>10</v>
      </c>
      <c r="D247" s="2" t="s">
        <v>10</v>
      </c>
      <c r="E247" s="3">
        <f>IF(A247=$A$1,E246+1,E246)</f>
        <v>3</v>
      </c>
    </row>
    <row r="248" spans="1:7" x14ac:dyDescent="0.2">
      <c r="A248">
        <v>8</v>
      </c>
      <c r="B248" s="2" t="s">
        <v>10</v>
      </c>
      <c r="C248" s="2" t="s">
        <v>10</v>
      </c>
      <c r="D248" s="2" t="s">
        <v>10</v>
      </c>
      <c r="E248" s="3">
        <f>IF(A248=$A$1,E247+1,E247)</f>
        <v>3</v>
      </c>
    </row>
    <row r="249" spans="1:7" x14ac:dyDescent="0.2">
      <c r="A249" s="1" t="s">
        <v>44</v>
      </c>
      <c r="E249" s="3">
        <f>IF(A249=$A$1,E248+1,E248)</f>
        <v>3</v>
      </c>
    </row>
    <row r="250" spans="1:7" x14ac:dyDescent="0.2">
      <c r="A250" s="1" t="s">
        <v>1</v>
      </c>
      <c r="B250" s="1" t="s">
        <v>2</v>
      </c>
      <c r="C250" s="1" t="s">
        <v>3</v>
      </c>
      <c r="D250" s="1" t="s">
        <v>4</v>
      </c>
      <c r="E250" s="3">
        <f>IF(A250=$A$1,E249+1,E249)</f>
        <v>3</v>
      </c>
    </row>
    <row r="251" spans="1:7" x14ac:dyDescent="0.2">
      <c r="A251">
        <v>1</v>
      </c>
      <c r="B251" t="s">
        <v>14</v>
      </c>
      <c r="C251">
        <v>5</v>
      </c>
      <c r="D251">
        <v>16</v>
      </c>
      <c r="E251" s="3">
        <f>IF(A251=$A$1,E250+1,E250)</f>
        <v>3</v>
      </c>
      <c r="G251" s="1"/>
    </row>
    <row r="252" spans="1:7" x14ac:dyDescent="0.2">
      <c r="A252">
        <v>2</v>
      </c>
      <c r="B252" t="s">
        <v>33</v>
      </c>
      <c r="C252">
        <v>0</v>
      </c>
      <c r="D252">
        <v>12</v>
      </c>
      <c r="E252" s="3">
        <f>IF(A252=$A$1,E251+1,E251)</f>
        <v>3</v>
      </c>
      <c r="G252" s="1"/>
    </row>
    <row r="253" spans="1:7" x14ac:dyDescent="0.2">
      <c r="A253">
        <v>3</v>
      </c>
      <c r="B253" t="s">
        <v>35</v>
      </c>
      <c r="C253">
        <v>1</v>
      </c>
      <c r="D253">
        <v>8</v>
      </c>
      <c r="E253" s="3">
        <f>IF(A253=$A$1,E252+1,E252)</f>
        <v>3</v>
      </c>
    </row>
    <row r="254" spans="1:7" x14ac:dyDescent="0.2">
      <c r="A254">
        <v>4</v>
      </c>
      <c r="B254" t="s">
        <v>74</v>
      </c>
      <c r="C254">
        <v>0</v>
      </c>
      <c r="D254">
        <v>4</v>
      </c>
      <c r="E254" s="3">
        <f>IF(A254=$A$1,E253+1,E253)</f>
        <v>3</v>
      </c>
    </row>
    <row r="255" spans="1:7" x14ac:dyDescent="0.2">
      <c r="A255">
        <v>5</v>
      </c>
      <c r="B255" t="s">
        <v>40</v>
      </c>
      <c r="C255">
        <v>0</v>
      </c>
      <c r="D255">
        <v>2</v>
      </c>
      <c r="E255" s="3">
        <f>IF(A255=$A$1,E254+1,E254)</f>
        <v>3</v>
      </c>
    </row>
    <row r="256" spans="1:7" x14ac:dyDescent="0.2">
      <c r="A256">
        <v>6</v>
      </c>
      <c r="B256" t="s">
        <v>34</v>
      </c>
      <c r="C256">
        <v>0</v>
      </c>
      <c r="D256">
        <v>1</v>
      </c>
      <c r="E256" s="3">
        <f>IF(A256=$A$1,E255+1,E255)</f>
        <v>3</v>
      </c>
    </row>
    <row r="257" spans="1:7" x14ac:dyDescent="0.2">
      <c r="A257">
        <v>7</v>
      </c>
      <c r="B257" s="2" t="s">
        <v>10</v>
      </c>
      <c r="C257" s="2" t="s">
        <v>10</v>
      </c>
      <c r="D257" s="2" t="s">
        <v>10</v>
      </c>
      <c r="E257" s="3">
        <f>IF(A257=$A$1,E256+1,E256)</f>
        <v>3</v>
      </c>
    </row>
    <row r="258" spans="1:7" x14ac:dyDescent="0.2">
      <c r="A258">
        <v>8</v>
      </c>
      <c r="B258" s="2" t="s">
        <v>10</v>
      </c>
      <c r="C258" s="2" t="s">
        <v>10</v>
      </c>
      <c r="D258" s="2" t="s">
        <v>10</v>
      </c>
      <c r="E258" s="3">
        <f>IF(A258=$A$1,E257+1,E257)</f>
        <v>3</v>
      </c>
    </row>
    <row r="259" spans="1:7" x14ac:dyDescent="0.2">
      <c r="A259" s="1" t="s">
        <v>37</v>
      </c>
      <c r="E259" s="3">
        <f>IF(A259=$A$1,E258+1,E258)</f>
        <v>3</v>
      </c>
    </row>
    <row r="260" spans="1:7" x14ac:dyDescent="0.2">
      <c r="A260" s="1" t="s">
        <v>1</v>
      </c>
      <c r="B260" s="1" t="s">
        <v>2</v>
      </c>
      <c r="C260" s="1" t="s">
        <v>3</v>
      </c>
      <c r="D260" s="1" t="s">
        <v>4</v>
      </c>
      <c r="E260" s="3">
        <f>IF(A260=$A$1,E259+1,E259)</f>
        <v>3</v>
      </c>
    </row>
    <row r="261" spans="1:7" x14ac:dyDescent="0.2">
      <c r="A261">
        <v>1</v>
      </c>
      <c r="B261" t="s">
        <v>502</v>
      </c>
      <c r="C261">
        <v>4</v>
      </c>
      <c r="D261">
        <v>16</v>
      </c>
      <c r="E261" s="3">
        <f>IF(A261=$A$1,E260+1,E260)</f>
        <v>3</v>
      </c>
      <c r="G261" s="1"/>
    </row>
    <row r="262" spans="1:7" x14ac:dyDescent="0.2">
      <c r="A262">
        <v>2</v>
      </c>
      <c r="B262" t="s">
        <v>42</v>
      </c>
      <c r="C262">
        <v>1</v>
      </c>
      <c r="D262">
        <v>12</v>
      </c>
      <c r="E262" s="3">
        <f>IF(A262=$A$1,E261+1,E261)</f>
        <v>3</v>
      </c>
      <c r="G262" s="1"/>
    </row>
    <row r="263" spans="1:7" x14ac:dyDescent="0.2">
      <c r="A263">
        <v>3</v>
      </c>
      <c r="B263" t="s">
        <v>46</v>
      </c>
      <c r="C263">
        <v>0</v>
      </c>
      <c r="D263">
        <v>8</v>
      </c>
      <c r="E263" s="3">
        <f>IF(A263=$A$1,E262+1,E262)</f>
        <v>3</v>
      </c>
    </row>
    <row r="264" spans="1:7" x14ac:dyDescent="0.2">
      <c r="A264">
        <v>4</v>
      </c>
      <c r="B264" t="s">
        <v>25</v>
      </c>
      <c r="C264">
        <v>0</v>
      </c>
      <c r="D264">
        <v>4</v>
      </c>
      <c r="E264" s="3">
        <f>IF(A264=$A$1,E263+1,E263)</f>
        <v>3</v>
      </c>
    </row>
    <row r="265" spans="1:7" x14ac:dyDescent="0.2">
      <c r="A265">
        <v>5</v>
      </c>
      <c r="B265" t="s">
        <v>509</v>
      </c>
      <c r="C265">
        <v>0</v>
      </c>
      <c r="D265">
        <v>2</v>
      </c>
      <c r="E265" s="3">
        <f>IF(A265=$A$1,E264+1,E264)</f>
        <v>3</v>
      </c>
    </row>
    <row r="266" spans="1:7" x14ac:dyDescent="0.2">
      <c r="A266">
        <v>6</v>
      </c>
      <c r="B266" t="s">
        <v>61</v>
      </c>
      <c r="C266">
        <v>0</v>
      </c>
      <c r="D266">
        <v>1</v>
      </c>
      <c r="E266" s="3">
        <f>IF(A266=$A$1,E265+1,E265)</f>
        <v>3</v>
      </c>
    </row>
    <row r="267" spans="1:7" x14ac:dyDescent="0.2">
      <c r="A267">
        <v>7</v>
      </c>
      <c r="B267" s="2" t="s">
        <v>10</v>
      </c>
      <c r="C267" s="2" t="s">
        <v>10</v>
      </c>
      <c r="D267" s="2" t="s">
        <v>10</v>
      </c>
      <c r="E267" s="3">
        <f>IF(A267=$A$1,E266+1,E266)</f>
        <v>3</v>
      </c>
    </row>
    <row r="268" spans="1:7" x14ac:dyDescent="0.2">
      <c r="A268">
        <v>8</v>
      </c>
      <c r="B268" s="2" t="s">
        <v>10</v>
      </c>
      <c r="C268" s="2" t="s">
        <v>10</v>
      </c>
      <c r="D268" s="2" t="s">
        <v>10</v>
      </c>
      <c r="E268" s="3">
        <f>IF(A268=$A$1,E267+1,E267)</f>
        <v>3</v>
      </c>
    </row>
    <row r="269" spans="1:7" x14ac:dyDescent="0.2">
      <c r="A269" s="1" t="s">
        <v>0</v>
      </c>
      <c r="E269" s="3">
        <f>IF(A269=$A$1,E268+1,E268)</f>
        <v>4</v>
      </c>
    </row>
    <row r="270" spans="1:7" x14ac:dyDescent="0.2">
      <c r="A270" s="1" t="s">
        <v>1</v>
      </c>
      <c r="B270" s="1" t="s">
        <v>2</v>
      </c>
      <c r="C270" s="1" t="s">
        <v>3</v>
      </c>
      <c r="D270" s="1" t="s">
        <v>4</v>
      </c>
      <c r="E270" s="3">
        <f>IF(A270=$A$1,E269+1,E269)</f>
        <v>4</v>
      </c>
    </row>
    <row r="271" spans="1:7" x14ac:dyDescent="0.2">
      <c r="A271">
        <v>1</v>
      </c>
      <c r="B271" t="s">
        <v>461</v>
      </c>
      <c r="C271">
        <v>4</v>
      </c>
      <c r="D271">
        <v>17</v>
      </c>
      <c r="E271" s="3">
        <f>IF(A271=$A$1,E270+1,E270)</f>
        <v>4</v>
      </c>
      <c r="G271" s="1"/>
    </row>
    <row r="272" spans="1:7" x14ac:dyDescent="0.2">
      <c r="A272">
        <v>2</v>
      </c>
      <c r="B272" t="s">
        <v>479</v>
      </c>
      <c r="C272">
        <v>2</v>
      </c>
      <c r="D272">
        <v>13</v>
      </c>
      <c r="E272" s="3">
        <f>IF(A272=$A$1,E271+1,E271)</f>
        <v>4</v>
      </c>
      <c r="G272" s="1"/>
    </row>
    <row r="273" spans="1:7" x14ac:dyDescent="0.2">
      <c r="A273">
        <v>3</v>
      </c>
      <c r="B273" t="s">
        <v>525</v>
      </c>
      <c r="C273">
        <v>0</v>
      </c>
      <c r="D273">
        <v>9</v>
      </c>
      <c r="E273" s="3">
        <f>IF(A273=$A$1,E272+1,E272)</f>
        <v>4</v>
      </c>
    </row>
    <row r="274" spans="1:7" x14ac:dyDescent="0.2">
      <c r="A274">
        <v>4</v>
      </c>
      <c r="B274" t="s">
        <v>55</v>
      </c>
      <c r="C274">
        <v>0</v>
      </c>
      <c r="D274">
        <v>5</v>
      </c>
      <c r="E274" s="3">
        <f>IF(A274=$A$1,E273+1,E273)</f>
        <v>4</v>
      </c>
    </row>
    <row r="275" spans="1:7" x14ac:dyDescent="0.2">
      <c r="A275">
        <v>5</v>
      </c>
      <c r="B275" t="s">
        <v>261</v>
      </c>
      <c r="C275">
        <v>0</v>
      </c>
      <c r="D275">
        <v>3</v>
      </c>
      <c r="E275" s="3">
        <f>IF(A275=$A$1,E274+1,E274)</f>
        <v>4</v>
      </c>
    </row>
    <row r="276" spans="1:7" x14ac:dyDescent="0.2">
      <c r="A276">
        <v>6</v>
      </c>
      <c r="B276" t="s">
        <v>40</v>
      </c>
      <c r="C276">
        <v>0</v>
      </c>
      <c r="D276">
        <v>2</v>
      </c>
      <c r="E276" s="3">
        <f>IF(A276=$A$1,E275+1,E275)</f>
        <v>4</v>
      </c>
    </row>
    <row r="277" spans="1:7" x14ac:dyDescent="0.2">
      <c r="A277">
        <v>7</v>
      </c>
      <c r="B277" t="s">
        <v>506</v>
      </c>
      <c r="C277">
        <v>0</v>
      </c>
      <c r="D277">
        <v>1</v>
      </c>
      <c r="E277" s="3">
        <f>IF(A277=$A$1,E276+1,E276)</f>
        <v>4</v>
      </c>
    </row>
    <row r="278" spans="1:7" x14ac:dyDescent="0.2">
      <c r="A278">
        <v>8</v>
      </c>
      <c r="B278" s="2" t="s">
        <v>10</v>
      </c>
      <c r="C278" s="2" t="s">
        <v>10</v>
      </c>
      <c r="D278" s="2" t="s">
        <v>10</v>
      </c>
      <c r="E278" s="3">
        <f>IF(A278=$A$1,E277+1,E277)</f>
        <v>4</v>
      </c>
    </row>
    <row r="279" spans="1:7" x14ac:dyDescent="0.2">
      <c r="A279" s="1" t="s">
        <v>11</v>
      </c>
      <c r="E279" s="3">
        <f>IF(A279=$A$1,E278+1,E278)</f>
        <v>4</v>
      </c>
    </row>
    <row r="280" spans="1:7" x14ac:dyDescent="0.2">
      <c r="A280" s="1" t="s">
        <v>1</v>
      </c>
      <c r="B280" s="1" t="s">
        <v>2</v>
      </c>
      <c r="C280" s="1" t="s">
        <v>3</v>
      </c>
      <c r="D280" s="1" t="s">
        <v>4</v>
      </c>
      <c r="E280" s="3">
        <f>IF(A280=$A$1,E279+1,E279)</f>
        <v>4</v>
      </c>
    </row>
    <row r="281" spans="1:7" x14ac:dyDescent="0.2">
      <c r="A281">
        <v>1</v>
      </c>
      <c r="B281" t="s">
        <v>493</v>
      </c>
      <c r="C281">
        <v>2</v>
      </c>
      <c r="D281">
        <v>17</v>
      </c>
      <c r="E281" s="3">
        <f>IF(A281=$A$1,E280+1,E280)</f>
        <v>4</v>
      </c>
      <c r="G281" s="1"/>
    </row>
    <row r="282" spans="1:7" x14ac:dyDescent="0.2">
      <c r="A282">
        <v>2</v>
      </c>
      <c r="B282" t="s">
        <v>29</v>
      </c>
      <c r="C282">
        <v>1</v>
      </c>
      <c r="D282">
        <v>13</v>
      </c>
      <c r="E282" s="3">
        <f>IF(A282=$A$1,E281+1,E281)</f>
        <v>4</v>
      </c>
      <c r="G282" s="1"/>
    </row>
    <row r="283" spans="1:7" x14ac:dyDescent="0.2">
      <c r="A283">
        <v>3</v>
      </c>
      <c r="B283" t="s">
        <v>518</v>
      </c>
      <c r="C283">
        <v>3</v>
      </c>
      <c r="D283">
        <v>9</v>
      </c>
      <c r="E283" s="3">
        <f>IF(A283=$A$1,E282+1,E282)</f>
        <v>4</v>
      </c>
    </row>
    <row r="284" spans="1:7" x14ac:dyDescent="0.2">
      <c r="A284">
        <v>4</v>
      </c>
      <c r="B284" t="s">
        <v>46</v>
      </c>
      <c r="C284">
        <v>0</v>
      </c>
      <c r="D284">
        <v>5</v>
      </c>
      <c r="E284" s="3">
        <f>IF(A284=$A$1,E283+1,E283)</f>
        <v>4</v>
      </c>
    </row>
    <row r="285" spans="1:7" x14ac:dyDescent="0.2">
      <c r="A285">
        <v>5</v>
      </c>
      <c r="B285" t="s">
        <v>20</v>
      </c>
      <c r="C285">
        <v>0</v>
      </c>
      <c r="D285">
        <v>3</v>
      </c>
      <c r="E285" s="3">
        <f>IF(A285=$A$1,E284+1,E284)</f>
        <v>4</v>
      </c>
    </row>
    <row r="286" spans="1:7" x14ac:dyDescent="0.2">
      <c r="A286">
        <v>6</v>
      </c>
      <c r="B286" t="s">
        <v>9</v>
      </c>
      <c r="C286">
        <v>0</v>
      </c>
      <c r="D286">
        <v>2</v>
      </c>
      <c r="E286" s="3">
        <f>IF(A286=$A$1,E285+1,E285)</f>
        <v>4</v>
      </c>
    </row>
    <row r="287" spans="1:7" x14ac:dyDescent="0.2">
      <c r="A287">
        <v>7</v>
      </c>
      <c r="B287" t="s">
        <v>535</v>
      </c>
      <c r="C287">
        <v>0</v>
      </c>
      <c r="D287">
        <v>1</v>
      </c>
      <c r="E287" s="3">
        <f>IF(A287=$A$1,E286+1,E286)</f>
        <v>4</v>
      </c>
    </row>
    <row r="288" spans="1:7" x14ac:dyDescent="0.2">
      <c r="A288">
        <v>8</v>
      </c>
      <c r="B288" s="2" t="s">
        <v>10</v>
      </c>
      <c r="C288" s="2" t="s">
        <v>10</v>
      </c>
      <c r="D288" s="2" t="s">
        <v>10</v>
      </c>
      <c r="E288" s="3">
        <f>IF(A288=$A$1,E287+1,E287)</f>
        <v>4</v>
      </c>
    </row>
    <row r="289" spans="1:5" x14ac:dyDescent="0.2">
      <c r="A289" s="1" t="s">
        <v>17</v>
      </c>
      <c r="E289" s="3">
        <f>IF(A289=$A$1,E288+1,E288)</f>
        <v>4</v>
      </c>
    </row>
    <row r="290" spans="1:5" x14ac:dyDescent="0.2">
      <c r="A290" s="1" t="s">
        <v>1</v>
      </c>
      <c r="B290" s="1" t="s">
        <v>2</v>
      </c>
      <c r="C290" s="1" t="s">
        <v>3</v>
      </c>
      <c r="D290" s="1" t="s">
        <v>4</v>
      </c>
      <c r="E290" s="3">
        <f>IF(A290=$A$1,E289+1,E289)</f>
        <v>4</v>
      </c>
    </row>
    <row r="291" spans="1:5" x14ac:dyDescent="0.2">
      <c r="A291">
        <v>1</v>
      </c>
      <c r="B291" t="s">
        <v>490</v>
      </c>
      <c r="C291">
        <v>3</v>
      </c>
      <c r="D291">
        <v>17</v>
      </c>
      <c r="E291" s="3">
        <f t="shared" ref="E291:E323" si="4">IF(A291=$A$1,E290+1,E290)</f>
        <v>4</v>
      </c>
    </row>
    <row r="292" spans="1:5" x14ac:dyDescent="0.2">
      <c r="A292">
        <v>2</v>
      </c>
      <c r="B292" t="s">
        <v>531</v>
      </c>
      <c r="C292">
        <v>3</v>
      </c>
      <c r="D292">
        <v>13</v>
      </c>
      <c r="E292" s="3">
        <f t="shared" si="4"/>
        <v>4</v>
      </c>
    </row>
    <row r="293" spans="1:5" x14ac:dyDescent="0.2">
      <c r="A293">
        <v>3</v>
      </c>
      <c r="B293" t="s">
        <v>61</v>
      </c>
      <c r="C293">
        <v>0</v>
      </c>
      <c r="D293">
        <v>9</v>
      </c>
      <c r="E293" s="3">
        <f t="shared" si="4"/>
        <v>4</v>
      </c>
    </row>
    <row r="294" spans="1:5" x14ac:dyDescent="0.2">
      <c r="A294">
        <v>4</v>
      </c>
      <c r="B294" t="s">
        <v>42</v>
      </c>
      <c r="C294">
        <v>0</v>
      </c>
      <c r="D294">
        <v>5</v>
      </c>
      <c r="E294" s="3">
        <f t="shared" si="4"/>
        <v>4</v>
      </c>
    </row>
    <row r="295" spans="1:5" x14ac:dyDescent="0.2">
      <c r="A295">
        <v>5</v>
      </c>
      <c r="B295" t="s">
        <v>69</v>
      </c>
      <c r="C295">
        <v>0</v>
      </c>
      <c r="D295">
        <v>3</v>
      </c>
      <c r="E295" s="3">
        <f t="shared" si="4"/>
        <v>4</v>
      </c>
    </row>
    <row r="296" spans="1:5" x14ac:dyDescent="0.2">
      <c r="A296">
        <v>6</v>
      </c>
      <c r="B296" t="s">
        <v>21</v>
      </c>
      <c r="C296">
        <v>0</v>
      </c>
      <c r="D296">
        <v>2</v>
      </c>
      <c r="E296" s="3">
        <f t="shared" si="4"/>
        <v>4</v>
      </c>
    </row>
    <row r="297" spans="1:5" x14ac:dyDescent="0.2">
      <c r="A297">
        <v>7</v>
      </c>
      <c r="B297" t="s">
        <v>35</v>
      </c>
      <c r="C297">
        <v>0</v>
      </c>
      <c r="D297">
        <v>1</v>
      </c>
      <c r="E297" s="3">
        <f t="shared" si="4"/>
        <v>4</v>
      </c>
    </row>
    <row r="298" spans="1:5" x14ac:dyDescent="0.2">
      <c r="A298">
        <v>8</v>
      </c>
      <c r="B298" s="2" t="s">
        <v>10</v>
      </c>
      <c r="C298" s="2" t="s">
        <v>10</v>
      </c>
      <c r="D298" s="2" t="s">
        <v>10</v>
      </c>
      <c r="E298" s="3">
        <f t="shared" si="4"/>
        <v>4</v>
      </c>
    </row>
    <row r="299" spans="1:5" x14ac:dyDescent="0.2">
      <c r="A299" s="1" t="s">
        <v>24</v>
      </c>
      <c r="E299" s="3">
        <f t="shared" si="4"/>
        <v>4</v>
      </c>
    </row>
    <row r="300" spans="1:5" x14ac:dyDescent="0.2">
      <c r="A300" s="1" t="s">
        <v>1</v>
      </c>
      <c r="B300" s="1" t="s">
        <v>2</v>
      </c>
      <c r="C300" s="1" t="s">
        <v>3</v>
      </c>
      <c r="D300" s="1" t="s">
        <v>4</v>
      </c>
      <c r="E300" s="3">
        <f t="shared" si="4"/>
        <v>4</v>
      </c>
    </row>
    <row r="301" spans="1:5" x14ac:dyDescent="0.2">
      <c r="A301">
        <v>1</v>
      </c>
      <c r="B301" t="s">
        <v>515</v>
      </c>
      <c r="C301">
        <v>4</v>
      </c>
      <c r="D301">
        <v>17</v>
      </c>
      <c r="E301" s="3">
        <f t="shared" si="4"/>
        <v>4</v>
      </c>
    </row>
    <row r="302" spans="1:5" x14ac:dyDescent="0.2">
      <c r="A302">
        <v>2</v>
      </c>
      <c r="B302" t="s">
        <v>66</v>
      </c>
      <c r="C302">
        <v>1</v>
      </c>
      <c r="D302">
        <v>13</v>
      </c>
      <c r="E302" s="3">
        <f t="shared" si="4"/>
        <v>4</v>
      </c>
    </row>
    <row r="303" spans="1:5" x14ac:dyDescent="0.2">
      <c r="A303">
        <v>3</v>
      </c>
      <c r="B303" t="s">
        <v>452</v>
      </c>
      <c r="C303">
        <v>1</v>
      </c>
      <c r="D303">
        <v>9</v>
      </c>
      <c r="E303" s="3">
        <f t="shared" si="4"/>
        <v>4</v>
      </c>
    </row>
    <row r="304" spans="1:5" x14ac:dyDescent="0.2">
      <c r="A304">
        <v>4</v>
      </c>
      <c r="B304" t="s">
        <v>73</v>
      </c>
      <c r="C304">
        <v>0</v>
      </c>
      <c r="D304">
        <v>5</v>
      </c>
      <c r="E304" s="3">
        <f t="shared" si="4"/>
        <v>4</v>
      </c>
    </row>
    <row r="305" spans="1:5" x14ac:dyDescent="0.2">
      <c r="A305">
        <v>5</v>
      </c>
      <c r="B305" t="s">
        <v>519</v>
      </c>
      <c r="C305">
        <v>0</v>
      </c>
      <c r="D305">
        <v>3</v>
      </c>
      <c r="E305" s="3">
        <f t="shared" si="4"/>
        <v>4</v>
      </c>
    </row>
    <row r="306" spans="1:5" x14ac:dyDescent="0.2">
      <c r="A306">
        <v>6</v>
      </c>
      <c r="B306" t="s">
        <v>528</v>
      </c>
      <c r="C306">
        <v>0</v>
      </c>
      <c r="D306">
        <v>2</v>
      </c>
      <c r="E306" s="3">
        <f t="shared" si="4"/>
        <v>4</v>
      </c>
    </row>
    <row r="307" spans="1:5" x14ac:dyDescent="0.2">
      <c r="A307">
        <v>7</v>
      </c>
      <c r="B307" t="s">
        <v>345</v>
      </c>
      <c r="C307">
        <v>0</v>
      </c>
      <c r="D307">
        <v>1</v>
      </c>
      <c r="E307" s="3">
        <f t="shared" si="4"/>
        <v>4</v>
      </c>
    </row>
    <row r="308" spans="1:5" x14ac:dyDescent="0.2">
      <c r="A308">
        <v>8</v>
      </c>
      <c r="B308" s="2" t="s">
        <v>10</v>
      </c>
      <c r="C308" s="2" t="s">
        <v>10</v>
      </c>
      <c r="D308" s="2" t="s">
        <v>10</v>
      </c>
      <c r="E308" s="3">
        <f t="shared" si="4"/>
        <v>4</v>
      </c>
    </row>
    <row r="309" spans="1:5" x14ac:dyDescent="0.2">
      <c r="A309" s="1" t="s">
        <v>30</v>
      </c>
      <c r="E309" s="3">
        <f t="shared" si="4"/>
        <v>4</v>
      </c>
    </row>
    <row r="310" spans="1:5" x14ac:dyDescent="0.2">
      <c r="A310" s="1" t="s">
        <v>1</v>
      </c>
      <c r="B310" s="1" t="s">
        <v>2</v>
      </c>
      <c r="C310" s="1" t="s">
        <v>3</v>
      </c>
      <c r="D310" s="1" t="s">
        <v>4</v>
      </c>
      <c r="E310" s="3">
        <f t="shared" si="4"/>
        <v>4</v>
      </c>
    </row>
    <row r="311" spans="1:5" x14ac:dyDescent="0.2">
      <c r="A311">
        <v>1</v>
      </c>
      <c r="B311" t="s">
        <v>503</v>
      </c>
      <c r="C311">
        <v>2</v>
      </c>
      <c r="D311">
        <v>17</v>
      </c>
      <c r="E311" s="3">
        <f t="shared" si="4"/>
        <v>4</v>
      </c>
    </row>
    <row r="312" spans="1:5" x14ac:dyDescent="0.2">
      <c r="A312">
        <v>2</v>
      </c>
      <c r="B312" t="s">
        <v>15</v>
      </c>
      <c r="C312">
        <v>2</v>
      </c>
      <c r="D312">
        <v>13</v>
      </c>
      <c r="E312" s="3">
        <f t="shared" si="4"/>
        <v>4</v>
      </c>
    </row>
    <row r="313" spans="1:5" x14ac:dyDescent="0.2">
      <c r="A313">
        <v>3</v>
      </c>
      <c r="B313" t="s">
        <v>534</v>
      </c>
      <c r="C313">
        <v>1</v>
      </c>
      <c r="D313">
        <v>9</v>
      </c>
      <c r="E313" s="3">
        <f t="shared" si="4"/>
        <v>4</v>
      </c>
    </row>
    <row r="314" spans="1:5" x14ac:dyDescent="0.2">
      <c r="A314">
        <v>4</v>
      </c>
      <c r="B314" t="s">
        <v>516</v>
      </c>
      <c r="C314">
        <v>1</v>
      </c>
      <c r="D314">
        <v>5</v>
      </c>
      <c r="E314" s="3">
        <f t="shared" si="4"/>
        <v>4</v>
      </c>
    </row>
    <row r="315" spans="1:5" x14ac:dyDescent="0.2">
      <c r="A315">
        <v>5</v>
      </c>
      <c r="B315" t="s">
        <v>526</v>
      </c>
      <c r="C315">
        <v>0</v>
      </c>
      <c r="D315">
        <v>3</v>
      </c>
      <c r="E315" s="3">
        <f t="shared" si="4"/>
        <v>4</v>
      </c>
    </row>
    <row r="316" spans="1:5" x14ac:dyDescent="0.2">
      <c r="A316">
        <v>6</v>
      </c>
      <c r="B316" t="s">
        <v>87</v>
      </c>
      <c r="C316">
        <v>0</v>
      </c>
      <c r="D316">
        <v>2</v>
      </c>
      <c r="E316" s="3">
        <f t="shared" si="4"/>
        <v>4</v>
      </c>
    </row>
    <row r="317" spans="1:5" x14ac:dyDescent="0.2">
      <c r="A317">
        <v>7</v>
      </c>
      <c r="B317" t="s">
        <v>502</v>
      </c>
      <c r="C317">
        <v>0</v>
      </c>
      <c r="D317">
        <v>1</v>
      </c>
      <c r="E317" s="3">
        <f t="shared" si="4"/>
        <v>4</v>
      </c>
    </row>
    <row r="318" spans="1:5" x14ac:dyDescent="0.2">
      <c r="A318">
        <v>8</v>
      </c>
      <c r="B318" s="2" t="s">
        <v>10</v>
      </c>
      <c r="C318" s="2" t="s">
        <v>10</v>
      </c>
      <c r="D318" s="2" t="s">
        <v>10</v>
      </c>
      <c r="E318" s="3">
        <f t="shared" si="4"/>
        <v>4</v>
      </c>
    </row>
    <row r="319" spans="1:5" x14ac:dyDescent="0.2">
      <c r="A319" s="1" t="s">
        <v>37</v>
      </c>
      <c r="E319" s="3">
        <f t="shared" si="4"/>
        <v>4</v>
      </c>
    </row>
    <row r="320" spans="1:5" x14ac:dyDescent="0.2">
      <c r="A320" s="1" t="s">
        <v>1</v>
      </c>
      <c r="B320" s="1" t="s">
        <v>2</v>
      </c>
      <c r="C320" s="1" t="s">
        <v>3</v>
      </c>
      <c r="D320" s="1" t="s">
        <v>4</v>
      </c>
      <c r="E320" s="3">
        <f t="shared" si="4"/>
        <v>4</v>
      </c>
    </row>
    <row r="321" spans="1:5" x14ac:dyDescent="0.2">
      <c r="A321">
        <v>1</v>
      </c>
      <c r="B321" t="s">
        <v>505</v>
      </c>
      <c r="C321">
        <v>4</v>
      </c>
      <c r="D321">
        <v>17</v>
      </c>
      <c r="E321" s="3">
        <f t="shared" si="4"/>
        <v>4</v>
      </c>
    </row>
    <row r="322" spans="1:5" x14ac:dyDescent="0.2">
      <c r="A322">
        <v>2</v>
      </c>
      <c r="B322" t="s">
        <v>491</v>
      </c>
      <c r="C322">
        <v>1</v>
      </c>
      <c r="D322">
        <v>13</v>
      </c>
      <c r="E322" s="3">
        <f t="shared" si="4"/>
        <v>4</v>
      </c>
    </row>
    <row r="323" spans="1:5" x14ac:dyDescent="0.2">
      <c r="A323">
        <v>3</v>
      </c>
      <c r="B323" t="s">
        <v>6</v>
      </c>
      <c r="C323">
        <v>0</v>
      </c>
      <c r="D323">
        <v>9</v>
      </c>
      <c r="E323" s="3">
        <f t="shared" si="4"/>
        <v>4</v>
      </c>
    </row>
    <row r="324" spans="1:5" x14ac:dyDescent="0.2">
      <c r="A324">
        <v>4</v>
      </c>
      <c r="B324" t="s">
        <v>484</v>
      </c>
      <c r="C324">
        <v>0</v>
      </c>
      <c r="D324">
        <v>5</v>
      </c>
      <c r="E324" s="3">
        <f t="shared" ref="E324:E387" si="5">IF(A324=$A$1,E323+1,E323)</f>
        <v>4</v>
      </c>
    </row>
    <row r="325" spans="1:5" x14ac:dyDescent="0.2">
      <c r="A325">
        <v>5</v>
      </c>
      <c r="B325" t="s">
        <v>74</v>
      </c>
      <c r="C325">
        <v>0</v>
      </c>
      <c r="D325">
        <v>3</v>
      </c>
      <c r="E325" s="3">
        <f t="shared" si="5"/>
        <v>4</v>
      </c>
    </row>
    <row r="326" spans="1:5" x14ac:dyDescent="0.2">
      <c r="A326">
        <v>6</v>
      </c>
      <c r="B326" t="s">
        <v>507</v>
      </c>
      <c r="C326">
        <v>1</v>
      </c>
      <c r="D326">
        <v>2</v>
      </c>
      <c r="E326" s="3">
        <f t="shared" si="5"/>
        <v>4</v>
      </c>
    </row>
    <row r="327" spans="1:5" x14ac:dyDescent="0.2">
      <c r="A327">
        <v>7</v>
      </c>
      <c r="B327" t="s">
        <v>527</v>
      </c>
      <c r="C327">
        <v>0</v>
      </c>
      <c r="D327">
        <v>1</v>
      </c>
      <c r="E327" s="3">
        <f t="shared" si="5"/>
        <v>4</v>
      </c>
    </row>
    <row r="328" spans="1:5" x14ac:dyDescent="0.2">
      <c r="A328">
        <v>8</v>
      </c>
      <c r="B328" s="2" t="s">
        <v>10</v>
      </c>
      <c r="C328" s="2" t="s">
        <v>10</v>
      </c>
      <c r="D328" s="2" t="s">
        <v>10</v>
      </c>
      <c r="E328" s="3">
        <f t="shared" si="5"/>
        <v>4</v>
      </c>
    </row>
    <row r="329" spans="1:5" x14ac:dyDescent="0.2">
      <c r="A329" s="1" t="s">
        <v>44</v>
      </c>
      <c r="E329" s="3">
        <f t="shared" si="5"/>
        <v>4</v>
      </c>
    </row>
    <row r="330" spans="1:5" x14ac:dyDescent="0.2">
      <c r="A330" s="1" t="s">
        <v>1</v>
      </c>
      <c r="B330" s="1" t="s">
        <v>2</v>
      </c>
      <c r="C330" s="1" t="s">
        <v>3</v>
      </c>
      <c r="D330" s="1" t="s">
        <v>4</v>
      </c>
      <c r="E330" s="3">
        <f t="shared" si="5"/>
        <v>4</v>
      </c>
    </row>
    <row r="331" spans="1:5" x14ac:dyDescent="0.2">
      <c r="A331">
        <v>1</v>
      </c>
      <c r="B331" t="s">
        <v>59</v>
      </c>
      <c r="C331">
        <v>3</v>
      </c>
      <c r="D331">
        <v>17</v>
      </c>
      <c r="E331" s="3">
        <f t="shared" si="5"/>
        <v>4</v>
      </c>
    </row>
    <row r="332" spans="1:5" x14ac:dyDescent="0.2">
      <c r="A332">
        <v>2</v>
      </c>
      <c r="B332" t="s">
        <v>533</v>
      </c>
      <c r="C332">
        <v>1</v>
      </c>
      <c r="D332">
        <v>13</v>
      </c>
      <c r="E332" s="3">
        <f t="shared" si="5"/>
        <v>4</v>
      </c>
    </row>
    <row r="333" spans="1:5" x14ac:dyDescent="0.2">
      <c r="A333">
        <v>3</v>
      </c>
      <c r="B333" t="s">
        <v>523</v>
      </c>
      <c r="C333">
        <v>2</v>
      </c>
      <c r="D333">
        <v>9</v>
      </c>
      <c r="E333" s="3">
        <f t="shared" si="5"/>
        <v>4</v>
      </c>
    </row>
    <row r="334" spans="1:5" x14ac:dyDescent="0.2">
      <c r="A334">
        <v>4</v>
      </c>
      <c r="B334" t="s">
        <v>33</v>
      </c>
      <c r="C334">
        <v>0</v>
      </c>
      <c r="D334">
        <v>5</v>
      </c>
      <c r="E334" s="3">
        <f t="shared" si="5"/>
        <v>4</v>
      </c>
    </row>
    <row r="335" spans="1:5" x14ac:dyDescent="0.2">
      <c r="A335">
        <v>5</v>
      </c>
      <c r="B335" t="s">
        <v>14</v>
      </c>
      <c r="C335">
        <v>0</v>
      </c>
      <c r="D335">
        <v>3</v>
      </c>
      <c r="E335" s="3">
        <f t="shared" si="5"/>
        <v>4</v>
      </c>
    </row>
    <row r="336" spans="1:5" x14ac:dyDescent="0.2">
      <c r="A336">
        <v>6</v>
      </c>
      <c r="B336" t="s">
        <v>75</v>
      </c>
      <c r="C336">
        <v>0</v>
      </c>
      <c r="D336">
        <v>2</v>
      </c>
      <c r="E336" s="3">
        <f t="shared" si="5"/>
        <v>4</v>
      </c>
    </row>
    <row r="337" spans="1:5" x14ac:dyDescent="0.2">
      <c r="A337">
        <v>7</v>
      </c>
      <c r="B337" t="s">
        <v>65</v>
      </c>
      <c r="C337">
        <v>0</v>
      </c>
      <c r="D337">
        <v>1</v>
      </c>
      <c r="E337" s="3">
        <f t="shared" si="5"/>
        <v>4</v>
      </c>
    </row>
    <row r="338" spans="1:5" x14ac:dyDescent="0.2">
      <c r="A338">
        <v>8</v>
      </c>
      <c r="B338" s="2" t="s">
        <v>10</v>
      </c>
      <c r="C338" s="2" t="s">
        <v>10</v>
      </c>
      <c r="D338" s="2" t="s">
        <v>10</v>
      </c>
      <c r="E338" s="3">
        <f t="shared" si="5"/>
        <v>4</v>
      </c>
    </row>
    <row r="339" spans="1:5" x14ac:dyDescent="0.2">
      <c r="A339" s="1" t="s">
        <v>51</v>
      </c>
      <c r="E339" s="3">
        <f t="shared" si="5"/>
        <v>4</v>
      </c>
    </row>
    <row r="340" spans="1:5" x14ac:dyDescent="0.2">
      <c r="A340" s="1" t="s">
        <v>1</v>
      </c>
      <c r="B340" s="1" t="s">
        <v>2</v>
      </c>
      <c r="C340" s="1" t="s">
        <v>3</v>
      </c>
      <c r="D340" s="1" t="s">
        <v>4</v>
      </c>
      <c r="E340" s="3">
        <f t="shared" si="5"/>
        <v>4</v>
      </c>
    </row>
    <row r="341" spans="1:5" x14ac:dyDescent="0.2">
      <c r="A341">
        <v>1</v>
      </c>
      <c r="B341" t="s">
        <v>81</v>
      </c>
      <c r="C341">
        <v>1</v>
      </c>
      <c r="D341">
        <v>17</v>
      </c>
      <c r="E341" s="3">
        <f t="shared" si="5"/>
        <v>4</v>
      </c>
    </row>
    <row r="342" spans="1:5" x14ac:dyDescent="0.2">
      <c r="A342">
        <v>2</v>
      </c>
      <c r="B342" t="s">
        <v>512</v>
      </c>
      <c r="C342">
        <v>3</v>
      </c>
      <c r="D342">
        <v>13</v>
      </c>
      <c r="E342" s="3">
        <f t="shared" si="5"/>
        <v>4</v>
      </c>
    </row>
    <row r="343" spans="1:5" x14ac:dyDescent="0.2">
      <c r="A343">
        <v>3</v>
      </c>
      <c r="B343" t="s">
        <v>25</v>
      </c>
      <c r="C343">
        <v>1</v>
      </c>
      <c r="D343">
        <v>9</v>
      </c>
      <c r="E343" s="3">
        <f t="shared" si="5"/>
        <v>4</v>
      </c>
    </row>
    <row r="344" spans="1:5" x14ac:dyDescent="0.2">
      <c r="A344">
        <v>4</v>
      </c>
      <c r="B344" t="s">
        <v>532</v>
      </c>
      <c r="C344">
        <v>1</v>
      </c>
      <c r="D344">
        <v>5</v>
      </c>
      <c r="E344" s="3">
        <f t="shared" si="5"/>
        <v>4</v>
      </c>
    </row>
    <row r="345" spans="1:5" x14ac:dyDescent="0.2">
      <c r="A345">
        <v>5</v>
      </c>
      <c r="B345" t="s">
        <v>32</v>
      </c>
      <c r="C345">
        <v>0</v>
      </c>
      <c r="D345">
        <v>3</v>
      </c>
      <c r="E345" s="3">
        <f t="shared" si="5"/>
        <v>4</v>
      </c>
    </row>
    <row r="346" spans="1:5" x14ac:dyDescent="0.2">
      <c r="A346">
        <v>6</v>
      </c>
      <c r="B346" t="s">
        <v>48</v>
      </c>
      <c r="C346">
        <v>0</v>
      </c>
      <c r="D346">
        <v>2</v>
      </c>
      <c r="E346" s="3">
        <f t="shared" si="5"/>
        <v>4</v>
      </c>
    </row>
    <row r="347" spans="1:5" x14ac:dyDescent="0.2">
      <c r="A347">
        <v>7</v>
      </c>
      <c r="B347" t="s">
        <v>476</v>
      </c>
      <c r="C347">
        <v>0</v>
      </c>
      <c r="D347">
        <v>1</v>
      </c>
      <c r="E347" s="3">
        <f t="shared" si="5"/>
        <v>4</v>
      </c>
    </row>
    <row r="348" spans="1:5" x14ac:dyDescent="0.2">
      <c r="A348">
        <v>8</v>
      </c>
      <c r="B348" s="2" t="s">
        <v>10</v>
      </c>
      <c r="C348" s="2" t="s">
        <v>10</v>
      </c>
      <c r="D348" s="2" t="s">
        <v>10</v>
      </c>
      <c r="E348" s="3">
        <f t="shared" si="5"/>
        <v>4</v>
      </c>
    </row>
    <row r="349" spans="1:5" x14ac:dyDescent="0.2">
      <c r="A349" s="1" t="s">
        <v>58</v>
      </c>
      <c r="E349" s="3">
        <f t="shared" si="5"/>
        <v>4</v>
      </c>
    </row>
    <row r="350" spans="1:5" x14ac:dyDescent="0.2">
      <c r="A350" s="1" t="s">
        <v>1</v>
      </c>
      <c r="B350" s="1" t="s">
        <v>2</v>
      </c>
      <c r="C350" s="1" t="s">
        <v>3</v>
      </c>
      <c r="D350" s="1" t="s">
        <v>4</v>
      </c>
      <c r="E350" s="3">
        <f t="shared" si="5"/>
        <v>4</v>
      </c>
    </row>
    <row r="351" spans="1:5" x14ac:dyDescent="0.2">
      <c r="A351">
        <v>1</v>
      </c>
      <c r="B351" t="s">
        <v>451</v>
      </c>
      <c r="C351">
        <v>3</v>
      </c>
      <c r="D351">
        <v>17</v>
      </c>
      <c r="E351" s="3">
        <f t="shared" si="5"/>
        <v>4</v>
      </c>
    </row>
    <row r="352" spans="1:5" x14ac:dyDescent="0.2">
      <c r="A352">
        <v>2</v>
      </c>
      <c r="B352" t="s">
        <v>280</v>
      </c>
      <c r="C352">
        <v>1</v>
      </c>
      <c r="D352">
        <v>13</v>
      </c>
      <c r="E352" s="3">
        <f t="shared" si="5"/>
        <v>4</v>
      </c>
    </row>
    <row r="353" spans="1:5" x14ac:dyDescent="0.2">
      <c r="A353">
        <v>3</v>
      </c>
      <c r="B353" t="s">
        <v>179</v>
      </c>
      <c r="C353">
        <v>2</v>
      </c>
      <c r="D353">
        <v>9</v>
      </c>
      <c r="E353" s="3">
        <f t="shared" si="5"/>
        <v>4</v>
      </c>
    </row>
    <row r="354" spans="1:5" x14ac:dyDescent="0.2">
      <c r="A354">
        <v>4</v>
      </c>
      <c r="B354" t="s">
        <v>27</v>
      </c>
      <c r="C354">
        <v>0</v>
      </c>
      <c r="D354">
        <v>5</v>
      </c>
      <c r="E354" s="3">
        <f t="shared" si="5"/>
        <v>4</v>
      </c>
    </row>
    <row r="355" spans="1:5" x14ac:dyDescent="0.2">
      <c r="A355">
        <v>5</v>
      </c>
      <c r="B355" t="s">
        <v>504</v>
      </c>
      <c r="C355">
        <v>0</v>
      </c>
      <c r="D355">
        <v>3</v>
      </c>
      <c r="E355" s="3">
        <f t="shared" si="5"/>
        <v>4</v>
      </c>
    </row>
    <row r="356" spans="1:5" x14ac:dyDescent="0.2">
      <c r="A356">
        <v>6</v>
      </c>
      <c r="B356" t="s">
        <v>508</v>
      </c>
      <c r="C356">
        <v>0</v>
      </c>
      <c r="D356">
        <v>2</v>
      </c>
      <c r="E356" s="3">
        <f t="shared" si="5"/>
        <v>4</v>
      </c>
    </row>
    <row r="357" spans="1:5" x14ac:dyDescent="0.2">
      <c r="A357">
        <v>7</v>
      </c>
      <c r="B357" t="s">
        <v>5</v>
      </c>
      <c r="C357">
        <v>0</v>
      </c>
      <c r="D357">
        <v>1</v>
      </c>
      <c r="E357" s="3">
        <f t="shared" si="5"/>
        <v>4</v>
      </c>
    </row>
    <row r="358" spans="1:5" x14ac:dyDescent="0.2">
      <c r="A358">
        <v>8</v>
      </c>
      <c r="B358" s="2" t="s">
        <v>10</v>
      </c>
      <c r="C358" s="2" t="s">
        <v>10</v>
      </c>
      <c r="D358" s="2" t="s">
        <v>10</v>
      </c>
      <c r="E358" s="3">
        <f t="shared" si="5"/>
        <v>4</v>
      </c>
    </row>
    <row r="359" spans="1:5" x14ac:dyDescent="0.2">
      <c r="A359" s="1" t="s">
        <v>0</v>
      </c>
      <c r="E359" s="3">
        <f t="shared" si="5"/>
        <v>5</v>
      </c>
    </row>
    <row r="360" spans="1:5" x14ac:dyDescent="0.2">
      <c r="A360" s="1" t="s">
        <v>1</v>
      </c>
      <c r="B360" s="1" t="s">
        <v>2</v>
      </c>
      <c r="C360" s="1" t="s">
        <v>3</v>
      </c>
      <c r="D360" s="1" t="s">
        <v>4</v>
      </c>
      <c r="E360" s="3">
        <f t="shared" si="5"/>
        <v>5</v>
      </c>
    </row>
    <row r="361" spans="1:5" x14ac:dyDescent="0.2">
      <c r="A361">
        <v>0</v>
      </c>
      <c r="C361">
        <v>0</v>
      </c>
      <c r="D361">
        <v>0</v>
      </c>
      <c r="E361" s="3">
        <f t="shared" si="5"/>
        <v>5</v>
      </c>
    </row>
    <row r="362" spans="1:5" x14ac:dyDescent="0.2">
      <c r="A362">
        <v>0</v>
      </c>
      <c r="C362">
        <v>0</v>
      </c>
      <c r="D362">
        <v>0</v>
      </c>
      <c r="E362" s="3">
        <f t="shared" si="5"/>
        <v>5</v>
      </c>
    </row>
    <row r="363" spans="1:5" x14ac:dyDescent="0.2">
      <c r="A363">
        <v>1</v>
      </c>
      <c r="B363" t="s">
        <v>530</v>
      </c>
      <c r="C363">
        <v>2</v>
      </c>
      <c r="D363">
        <v>16</v>
      </c>
      <c r="E363" s="3">
        <f t="shared" si="5"/>
        <v>5</v>
      </c>
    </row>
    <row r="364" spans="1:5" x14ac:dyDescent="0.2">
      <c r="A364">
        <v>2</v>
      </c>
      <c r="B364" t="s">
        <v>510</v>
      </c>
      <c r="C364">
        <v>3</v>
      </c>
      <c r="D364">
        <v>12</v>
      </c>
      <c r="E364" s="3">
        <f t="shared" si="5"/>
        <v>5</v>
      </c>
    </row>
    <row r="365" spans="1:5" x14ac:dyDescent="0.2">
      <c r="A365">
        <v>3</v>
      </c>
      <c r="B365" t="s">
        <v>87</v>
      </c>
      <c r="C365">
        <v>0</v>
      </c>
      <c r="D365">
        <v>8</v>
      </c>
      <c r="E365" s="3">
        <f t="shared" si="5"/>
        <v>5</v>
      </c>
    </row>
    <row r="366" spans="1:5" x14ac:dyDescent="0.2">
      <c r="A366">
        <v>4</v>
      </c>
      <c r="B366" t="s">
        <v>493</v>
      </c>
      <c r="C366">
        <v>0</v>
      </c>
      <c r="D366">
        <v>4</v>
      </c>
      <c r="E366" s="3">
        <f t="shared" si="5"/>
        <v>5</v>
      </c>
    </row>
    <row r="367" spans="1:5" x14ac:dyDescent="0.2">
      <c r="A367">
        <v>5</v>
      </c>
      <c r="B367" t="s">
        <v>6</v>
      </c>
      <c r="C367">
        <v>0</v>
      </c>
      <c r="D367">
        <v>2</v>
      </c>
      <c r="E367" s="3">
        <f t="shared" si="5"/>
        <v>5</v>
      </c>
    </row>
    <row r="368" spans="1:5" x14ac:dyDescent="0.2">
      <c r="A368">
        <v>6</v>
      </c>
      <c r="B368" t="s">
        <v>61</v>
      </c>
      <c r="C368">
        <v>0</v>
      </c>
      <c r="D368">
        <v>1</v>
      </c>
      <c r="E368" s="3">
        <f t="shared" si="5"/>
        <v>5</v>
      </c>
    </row>
    <row r="369" spans="1:5" x14ac:dyDescent="0.2">
      <c r="A369">
        <v>9</v>
      </c>
      <c r="B369" s="2" t="s">
        <v>10</v>
      </c>
      <c r="C369" s="2" t="s">
        <v>10</v>
      </c>
      <c r="D369" s="2" t="s">
        <v>10</v>
      </c>
      <c r="E369" s="3">
        <f t="shared" si="5"/>
        <v>5</v>
      </c>
    </row>
    <row r="370" spans="1:5" x14ac:dyDescent="0.2">
      <c r="A370">
        <v>10</v>
      </c>
      <c r="B370" s="2" t="s">
        <v>10</v>
      </c>
      <c r="C370" s="2" t="s">
        <v>10</v>
      </c>
      <c r="D370" s="2" t="s">
        <v>10</v>
      </c>
      <c r="E370" s="3">
        <f t="shared" si="5"/>
        <v>5</v>
      </c>
    </row>
    <row r="371" spans="1:5" x14ac:dyDescent="0.2">
      <c r="A371" s="1" t="s">
        <v>11</v>
      </c>
      <c r="E371" s="3">
        <f t="shared" si="5"/>
        <v>5</v>
      </c>
    </row>
    <row r="372" spans="1:5" x14ac:dyDescent="0.2">
      <c r="A372" s="1" t="s">
        <v>1</v>
      </c>
      <c r="B372" s="1" t="s">
        <v>2</v>
      </c>
      <c r="C372" s="1" t="s">
        <v>3</v>
      </c>
      <c r="D372" s="1" t="s">
        <v>4</v>
      </c>
      <c r="E372" s="3">
        <f t="shared" si="5"/>
        <v>5</v>
      </c>
    </row>
    <row r="373" spans="1:5" x14ac:dyDescent="0.2">
      <c r="A373">
        <v>1</v>
      </c>
      <c r="B373" t="s">
        <v>46</v>
      </c>
      <c r="C373">
        <v>4</v>
      </c>
      <c r="D373">
        <v>17</v>
      </c>
      <c r="E373" s="3">
        <f t="shared" si="5"/>
        <v>5</v>
      </c>
    </row>
    <row r="374" spans="1:5" x14ac:dyDescent="0.2">
      <c r="A374">
        <v>2</v>
      </c>
      <c r="B374" t="s">
        <v>461</v>
      </c>
      <c r="C374">
        <v>1</v>
      </c>
      <c r="D374">
        <v>13</v>
      </c>
      <c r="E374" s="3">
        <f t="shared" si="5"/>
        <v>5</v>
      </c>
    </row>
    <row r="375" spans="1:5" x14ac:dyDescent="0.2">
      <c r="A375">
        <v>3</v>
      </c>
      <c r="B375" t="s">
        <v>35</v>
      </c>
      <c r="C375">
        <v>0</v>
      </c>
      <c r="D375">
        <v>9</v>
      </c>
      <c r="E375" s="3">
        <f t="shared" si="5"/>
        <v>5</v>
      </c>
    </row>
    <row r="376" spans="1:5" x14ac:dyDescent="0.2">
      <c r="A376">
        <v>4</v>
      </c>
      <c r="B376" t="s">
        <v>500</v>
      </c>
      <c r="C376">
        <v>0</v>
      </c>
      <c r="D376">
        <v>5</v>
      </c>
      <c r="E376" s="3">
        <f t="shared" si="5"/>
        <v>5</v>
      </c>
    </row>
    <row r="377" spans="1:5" x14ac:dyDescent="0.2">
      <c r="A377">
        <v>5</v>
      </c>
      <c r="B377" t="s">
        <v>462</v>
      </c>
      <c r="C377">
        <v>1</v>
      </c>
      <c r="D377">
        <v>3</v>
      </c>
      <c r="E377" s="3">
        <f t="shared" si="5"/>
        <v>5</v>
      </c>
    </row>
    <row r="378" spans="1:5" x14ac:dyDescent="0.2">
      <c r="A378">
        <v>6</v>
      </c>
      <c r="B378" t="s">
        <v>503</v>
      </c>
      <c r="C378">
        <v>0</v>
      </c>
      <c r="D378">
        <v>2</v>
      </c>
      <c r="E378" s="3">
        <f t="shared" si="5"/>
        <v>5</v>
      </c>
    </row>
    <row r="379" spans="1:5" x14ac:dyDescent="0.2">
      <c r="A379">
        <v>7</v>
      </c>
      <c r="B379" t="s">
        <v>65</v>
      </c>
      <c r="C379">
        <v>0</v>
      </c>
      <c r="D379">
        <v>1</v>
      </c>
      <c r="E379" s="3">
        <f t="shared" si="5"/>
        <v>5</v>
      </c>
    </row>
    <row r="380" spans="1:5" x14ac:dyDescent="0.2">
      <c r="A380">
        <v>8</v>
      </c>
      <c r="B380" s="2" t="s">
        <v>10</v>
      </c>
      <c r="C380" s="2" t="s">
        <v>10</v>
      </c>
      <c r="D380" s="2" t="s">
        <v>10</v>
      </c>
      <c r="E380" s="3">
        <f t="shared" si="5"/>
        <v>5</v>
      </c>
    </row>
    <row r="381" spans="1:5" x14ac:dyDescent="0.2">
      <c r="A381" s="1" t="s">
        <v>17</v>
      </c>
      <c r="E381" s="3">
        <f t="shared" si="5"/>
        <v>5</v>
      </c>
    </row>
    <row r="382" spans="1:5" x14ac:dyDescent="0.2">
      <c r="A382" s="1" t="s">
        <v>1</v>
      </c>
      <c r="B382" s="1" t="s">
        <v>2</v>
      </c>
      <c r="C382" s="1" t="s">
        <v>3</v>
      </c>
      <c r="D382" s="1" t="s">
        <v>4</v>
      </c>
      <c r="E382" s="3">
        <f t="shared" si="5"/>
        <v>5</v>
      </c>
    </row>
    <row r="383" spans="1:5" x14ac:dyDescent="0.2">
      <c r="A383">
        <v>1</v>
      </c>
      <c r="B383" t="s">
        <v>505</v>
      </c>
      <c r="C383">
        <v>3</v>
      </c>
      <c r="D383">
        <v>17</v>
      </c>
      <c r="E383" s="3">
        <f t="shared" si="5"/>
        <v>5</v>
      </c>
    </row>
    <row r="384" spans="1:5" x14ac:dyDescent="0.2">
      <c r="A384">
        <v>2</v>
      </c>
      <c r="B384" t="s">
        <v>454</v>
      </c>
      <c r="C384">
        <v>2</v>
      </c>
      <c r="D384">
        <v>13</v>
      </c>
      <c r="E384" s="3">
        <f t="shared" si="5"/>
        <v>5</v>
      </c>
    </row>
    <row r="385" spans="1:5" x14ac:dyDescent="0.2">
      <c r="A385">
        <v>3</v>
      </c>
      <c r="B385" t="s">
        <v>534</v>
      </c>
      <c r="C385">
        <v>1</v>
      </c>
      <c r="D385">
        <v>9</v>
      </c>
      <c r="E385" s="3">
        <f t="shared" si="5"/>
        <v>5</v>
      </c>
    </row>
    <row r="386" spans="1:5" x14ac:dyDescent="0.2">
      <c r="A386">
        <v>4</v>
      </c>
      <c r="B386" t="s">
        <v>479</v>
      </c>
      <c r="C386">
        <v>0</v>
      </c>
      <c r="D386">
        <v>5</v>
      </c>
      <c r="E386" s="3">
        <f t="shared" si="5"/>
        <v>5</v>
      </c>
    </row>
    <row r="387" spans="1:5" x14ac:dyDescent="0.2">
      <c r="A387">
        <v>5</v>
      </c>
      <c r="B387" t="s">
        <v>69</v>
      </c>
      <c r="C387">
        <v>0</v>
      </c>
      <c r="D387">
        <v>3</v>
      </c>
      <c r="E387" s="3">
        <f t="shared" si="5"/>
        <v>5</v>
      </c>
    </row>
    <row r="388" spans="1:5" x14ac:dyDescent="0.2">
      <c r="A388">
        <v>6</v>
      </c>
      <c r="B388" t="s">
        <v>9</v>
      </c>
      <c r="C388">
        <v>0</v>
      </c>
      <c r="D388">
        <v>2</v>
      </c>
      <c r="E388" s="3">
        <f t="shared" ref="E388:E451" si="6">IF(A388=$A$1,E387+1,E387)</f>
        <v>5</v>
      </c>
    </row>
    <row r="389" spans="1:5" x14ac:dyDescent="0.2">
      <c r="A389">
        <v>7</v>
      </c>
      <c r="B389" t="s">
        <v>518</v>
      </c>
      <c r="C389">
        <v>0</v>
      </c>
      <c r="D389">
        <v>1</v>
      </c>
      <c r="E389" s="3">
        <f t="shared" si="6"/>
        <v>5</v>
      </c>
    </row>
    <row r="390" spans="1:5" x14ac:dyDescent="0.2">
      <c r="A390">
        <v>8</v>
      </c>
      <c r="B390" s="2" t="s">
        <v>10</v>
      </c>
      <c r="C390" s="2" t="s">
        <v>10</v>
      </c>
      <c r="D390" s="2" t="s">
        <v>10</v>
      </c>
      <c r="E390" s="3">
        <f t="shared" si="6"/>
        <v>5</v>
      </c>
    </row>
    <row r="391" spans="1:5" x14ac:dyDescent="0.2">
      <c r="A391" s="1" t="s">
        <v>24</v>
      </c>
      <c r="E391" s="3">
        <f t="shared" si="6"/>
        <v>5</v>
      </c>
    </row>
    <row r="392" spans="1:5" x14ac:dyDescent="0.2">
      <c r="A392" s="1" t="s">
        <v>1</v>
      </c>
      <c r="B392" s="1" t="s">
        <v>2</v>
      </c>
      <c r="C392" s="1" t="s">
        <v>3</v>
      </c>
      <c r="D392" s="1" t="s">
        <v>4</v>
      </c>
      <c r="E392" s="3">
        <f t="shared" si="6"/>
        <v>5</v>
      </c>
    </row>
    <row r="393" spans="1:5" x14ac:dyDescent="0.2">
      <c r="A393">
        <v>1</v>
      </c>
      <c r="B393" t="s">
        <v>476</v>
      </c>
      <c r="C393">
        <v>4</v>
      </c>
      <c r="D393">
        <v>15</v>
      </c>
      <c r="E393" s="3">
        <f t="shared" si="6"/>
        <v>5</v>
      </c>
    </row>
    <row r="394" spans="1:5" x14ac:dyDescent="0.2">
      <c r="A394">
        <v>2</v>
      </c>
      <c r="B394" t="s">
        <v>512</v>
      </c>
      <c r="C394">
        <v>0</v>
      </c>
      <c r="D394">
        <v>11</v>
      </c>
      <c r="E394" s="3">
        <f t="shared" si="6"/>
        <v>5</v>
      </c>
    </row>
    <row r="395" spans="1:5" x14ac:dyDescent="0.2">
      <c r="A395">
        <v>3</v>
      </c>
      <c r="B395" t="s">
        <v>25</v>
      </c>
      <c r="C395">
        <v>0</v>
      </c>
      <c r="D395">
        <v>7</v>
      </c>
      <c r="E395" s="3">
        <f t="shared" si="6"/>
        <v>5</v>
      </c>
    </row>
    <row r="396" spans="1:5" x14ac:dyDescent="0.2">
      <c r="A396">
        <v>4</v>
      </c>
      <c r="B396" t="s">
        <v>81</v>
      </c>
      <c r="C396">
        <v>0</v>
      </c>
      <c r="D396">
        <v>3</v>
      </c>
      <c r="E396" s="3">
        <f t="shared" si="6"/>
        <v>5</v>
      </c>
    </row>
    <row r="397" spans="1:5" x14ac:dyDescent="0.2">
      <c r="A397">
        <v>5</v>
      </c>
      <c r="B397" t="s">
        <v>345</v>
      </c>
      <c r="C397">
        <v>0</v>
      </c>
      <c r="D397">
        <v>1</v>
      </c>
      <c r="E397" s="3">
        <f t="shared" si="6"/>
        <v>5</v>
      </c>
    </row>
    <row r="398" spans="1:5" x14ac:dyDescent="0.2">
      <c r="A398">
        <v>6</v>
      </c>
      <c r="B398" s="2" t="s">
        <v>10</v>
      </c>
      <c r="C398" s="2" t="s">
        <v>10</v>
      </c>
      <c r="D398" s="2" t="s">
        <v>10</v>
      </c>
      <c r="E398" s="3">
        <f t="shared" si="6"/>
        <v>5</v>
      </c>
    </row>
    <row r="399" spans="1:5" x14ac:dyDescent="0.2">
      <c r="A399">
        <v>7</v>
      </c>
      <c r="B399" s="2" t="s">
        <v>10</v>
      </c>
      <c r="C399" s="2" t="s">
        <v>10</v>
      </c>
      <c r="D399" s="2" t="s">
        <v>10</v>
      </c>
      <c r="E399" s="3">
        <f t="shared" si="6"/>
        <v>5</v>
      </c>
    </row>
    <row r="400" spans="1:5" x14ac:dyDescent="0.2">
      <c r="A400">
        <v>8</v>
      </c>
      <c r="B400" s="2" t="s">
        <v>10</v>
      </c>
      <c r="C400" s="2" t="s">
        <v>10</v>
      </c>
      <c r="D400" s="2" t="s">
        <v>10</v>
      </c>
      <c r="E400" s="3">
        <f t="shared" si="6"/>
        <v>5</v>
      </c>
    </row>
    <row r="401" spans="1:5" x14ac:dyDescent="0.2">
      <c r="A401" s="1" t="s">
        <v>30</v>
      </c>
      <c r="E401" s="3">
        <f t="shared" si="6"/>
        <v>5</v>
      </c>
    </row>
    <row r="402" spans="1:5" x14ac:dyDescent="0.2">
      <c r="A402" s="1" t="s">
        <v>1</v>
      </c>
      <c r="B402" s="1" t="s">
        <v>2</v>
      </c>
      <c r="C402" s="1" t="s">
        <v>3</v>
      </c>
      <c r="D402" s="1" t="s">
        <v>4</v>
      </c>
      <c r="E402" s="3">
        <f t="shared" si="6"/>
        <v>5</v>
      </c>
    </row>
    <row r="403" spans="1:5" x14ac:dyDescent="0.2">
      <c r="A403">
        <v>1</v>
      </c>
      <c r="B403" t="s">
        <v>73</v>
      </c>
      <c r="C403">
        <v>2</v>
      </c>
      <c r="D403">
        <v>16</v>
      </c>
      <c r="E403" s="3">
        <f t="shared" si="6"/>
        <v>5</v>
      </c>
    </row>
    <row r="404" spans="1:5" x14ac:dyDescent="0.2">
      <c r="A404">
        <v>2</v>
      </c>
      <c r="B404" t="s">
        <v>523</v>
      </c>
      <c r="C404">
        <v>1</v>
      </c>
      <c r="D404">
        <v>12</v>
      </c>
      <c r="E404" s="3">
        <f t="shared" si="6"/>
        <v>5</v>
      </c>
    </row>
    <row r="405" spans="1:5" x14ac:dyDescent="0.2">
      <c r="A405">
        <v>3</v>
      </c>
      <c r="B405" t="s">
        <v>507</v>
      </c>
      <c r="C405">
        <v>1</v>
      </c>
      <c r="D405">
        <v>8</v>
      </c>
      <c r="E405" s="3">
        <f t="shared" si="6"/>
        <v>5</v>
      </c>
    </row>
    <row r="406" spans="1:5" x14ac:dyDescent="0.2">
      <c r="A406">
        <v>4</v>
      </c>
      <c r="B406" t="s">
        <v>34</v>
      </c>
      <c r="C406">
        <v>0</v>
      </c>
      <c r="D406">
        <v>4</v>
      </c>
      <c r="E406" s="3">
        <f t="shared" si="6"/>
        <v>5</v>
      </c>
    </row>
    <row r="407" spans="1:5" x14ac:dyDescent="0.2">
      <c r="A407">
        <v>5</v>
      </c>
      <c r="B407" t="s">
        <v>528</v>
      </c>
      <c r="C407">
        <v>1</v>
      </c>
      <c r="D407">
        <v>2</v>
      </c>
      <c r="E407" s="3">
        <f t="shared" si="6"/>
        <v>5</v>
      </c>
    </row>
    <row r="408" spans="1:5" x14ac:dyDescent="0.2">
      <c r="A408">
        <v>6</v>
      </c>
      <c r="B408" t="s">
        <v>66</v>
      </c>
      <c r="C408">
        <v>0</v>
      </c>
      <c r="D408">
        <v>1</v>
      </c>
      <c r="E408" s="3">
        <f t="shared" si="6"/>
        <v>5</v>
      </c>
    </row>
    <row r="409" spans="1:5" x14ac:dyDescent="0.2">
      <c r="A409">
        <v>7</v>
      </c>
      <c r="B409" s="2" t="s">
        <v>10</v>
      </c>
      <c r="C409" s="2" t="s">
        <v>10</v>
      </c>
      <c r="D409" s="2" t="s">
        <v>10</v>
      </c>
      <c r="E409" s="3">
        <f t="shared" si="6"/>
        <v>5</v>
      </c>
    </row>
    <row r="410" spans="1:5" x14ac:dyDescent="0.2">
      <c r="A410">
        <v>8</v>
      </c>
      <c r="B410" s="2" t="s">
        <v>10</v>
      </c>
      <c r="C410" s="2" t="s">
        <v>10</v>
      </c>
      <c r="D410" s="2" t="s">
        <v>10</v>
      </c>
      <c r="E410" s="3">
        <f t="shared" si="6"/>
        <v>5</v>
      </c>
    </row>
    <row r="411" spans="1:5" x14ac:dyDescent="0.2">
      <c r="A411" s="1" t="s">
        <v>37</v>
      </c>
      <c r="E411" s="3">
        <f t="shared" si="6"/>
        <v>5</v>
      </c>
    </row>
    <row r="412" spans="1:5" x14ac:dyDescent="0.2">
      <c r="A412" s="1" t="s">
        <v>1</v>
      </c>
      <c r="B412" s="1" t="s">
        <v>2</v>
      </c>
      <c r="C412" s="1" t="s">
        <v>3</v>
      </c>
      <c r="D412" s="1" t="s">
        <v>4</v>
      </c>
      <c r="E412" s="3">
        <f t="shared" si="6"/>
        <v>5</v>
      </c>
    </row>
    <row r="413" spans="1:5" x14ac:dyDescent="0.2">
      <c r="A413">
        <v>1</v>
      </c>
      <c r="B413" t="s">
        <v>532</v>
      </c>
      <c r="C413">
        <v>3</v>
      </c>
      <c r="D413">
        <v>17</v>
      </c>
      <c r="E413" s="3">
        <f t="shared" si="6"/>
        <v>5</v>
      </c>
    </row>
    <row r="414" spans="1:5" x14ac:dyDescent="0.2">
      <c r="A414">
        <v>2</v>
      </c>
      <c r="B414" t="s">
        <v>516</v>
      </c>
      <c r="C414">
        <v>2</v>
      </c>
      <c r="D414">
        <v>13</v>
      </c>
      <c r="E414" s="3">
        <f t="shared" si="6"/>
        <v>5</v>
      </c>
    </row>
    <row r="415" spans="1:5" x14ac:dyDescent="0.2">
      <c r="A415">
        <v>3</v>
      </c>
      <c r="B415" t="s">
        <v>280</v>
      </c>
      <c r="C415">
        <v>0</v>
      </c>
      <c r="D415">
        <v>9</v>
      </c>
      <c r="E415" s="3">
        <f t="shared" si="6"/>
        <v>5</v>
      </c>
    </row>
    <row r="416" spans="1:5" x14ac:dyDescent="0.2">
      <c r="A416">
        <v>4</v>
      </c>
      <c r="B416" t="s">
        <v>42</v>
      </c>
      <c r="C416">
        <v>1</v>
      </c>
      <c r="D416">
        <v>5</v>
      </c>
      <c r="E416" s="3">
        <f t="shared" si="6"/>
        <v>5</v>
      </c>
    </row>
    <row r="417" spans="1:5" x14ac:dyDescent="0.2">
      <c r="A417">
        <v>5</v>
      </c>
      <c r="B417" t="s">
        <v>55</v>
      </c>
      <c r="C417">
        <v>0</v>
      </c>
      <c r="D417">
        <v>3</v>
      </c>
      <c r="E417" s="3">
        <f t="shared" si="6"/>
        <v>5</v>
      </c>
    </row>
    <row r="418" spans="1:5" x14ac:dyDescent="0.2">
      <c r="A418">
        <v>6</v>
      </c>
      <c r="B418" t="s">
        <v>21</v>
      </c>
      <c r="C418">
        <v>0</v>
      </c>
      <c r="D418">
        <v>2</v>
      </c>
      <c r="E418" s="3">
        <f t="shared" si="6"/>
        <v>5</v>
      </c>
    </row>
    <row r="419" spans="1:5" x14ac:dyDescent="0.2">
      <c r="A419">
        <v>7</v>
      </c>
      <c r="B419" t="s">
        <v>99</v>
      </c>
      <c r="C419">
        <v>0</v>
      </c>
      <c r="D419">
        <v>1</v>
      </c>
      <c r="E419" s="3">
        <f t="shared" si="6"/>
        <v>5</v>
      </c>
    </row>
    <row r="420" spans="1:5" x14ac:dyDescent="0.2">
      <c r="A420">
        <v>8</v>
      </c>
      <c r="B420" s="2" t="s">
        <v>10</v>
      </c>
      <c r="C420" s="2" t="s">
        <v>10</v>
      </c>
      <c r="D420" s="2" t="s">
        <v>10</v>
      </c>
      <c r="E420" s="3">
        <f t="shared" si="6"/>
        <v>5</v>
      </c>
    </row>
    <row r="421" spans="1:5" x14ac:dyDescent="0.2">
      <c r="A421" s="1" t="s">
        <v>44</v>
      </c>
      <c r="E421" s="3">
        <f t="shared" si="6"/>
        <v>5</v>
      </c>
    </row>
    <row r="422" spans="1:5" x14ac:dyDescent="0.2">
      <c r="A422" s="1" t="s">
        <v>1</v>
      </c>
      <c r="B422" s="1" t="s">
        <v>2</v>
      </c>
      <c r="C422" s="1" t="s">
        <v>3</v>
      </c>
      <c r="D422" s="1" t="s">
        <v>4</v>
      </c>
      <c r="E422" s="3">
        <f t="shared" si="6"/>
        <v>5</v>
      </c>
    </row>
    <row r="423" spans="1:5" x14ac:dyDescent="0.2">
      <c r="A423">
        <v>0</v>
      </c>
      <c r="C423">
        <v>0</v>
      </c>
      <c r="D423">
        <v>0</v>
      </c>
      <c r="E423" s="3">
        <f t="shared" si="6"/>
        <v>5</v>
      </c>
    </row>
    <row r="424" spans="1:5" x14ac:dyDescent="0.2">
      <c r="A424">
        <v>0</v>
      </c>
      <c r="C424">
        <v>0</v>
      </c>
      <c r="D424">
        <v>0</v>
      </c>
      <c r="E424" s="3">
        <f t="shared" si="6"/>
        <v>5</v>
      </c>
    </row>
    <row r="425" spans="1:5" x14ac:dyDescent="0.2">
      <c r="A425">
        <v>0</v>
      </c>
      <c r="C425">
        <v>0</v>
      </c>
      <c r="D425">
        <v>0</v>
      </c>
      <c r="E425" s="3">
        <f t="shared" si="6"/>
        <v>5</v>
      </c>
    </row>
    <row r="426" spans="1:5" x14ac:dyDescent="0.2">
      <c r="A426">
        <v>0</v>
      </c>
      <c r="C426">
        <v>0</v>
      </c>
      <c r="D426">
        <v>0</v>
      </c>
      <c r="E426" s="3">
        <f t="shared" si="6"/>
        <v>5</v>
      </c>
    </row>
    <row r="427" spans="1:5" x14ac:dyDescent="0.2">
      <c r="A427">
        <v>1</v>
      </c>
      <c r="B427" t="s">
        <v>75</v>
      </c>
      <c r="C427">
        <v>2</v>
      </c>
      <c r="D427">
        <v>15</v>
      </c>
      <c r="E427" s="3">
        <f t="shared" si="6"/>
        <v>5</v>
      </c>
    </row>
    <row r="428" spans="1:5" x14ac:dyDescent="0.2">
      <c r="A428">
        <v>2</v>
      </c>
      <c r="B428" t="s">
        <v>475</v>
      </c>
      <c r="C428">
        <v>1</v>
      </c>
      <c r="D428">
        <v>11</v>
      </c>
      <c r="E428" s="3">
        <f t="shared" si="6"/>
        <v>5</v>
      </c>
    </row>
    <row r="429" spans="1:5" x14ac:dyDescent="0.2">
      <c r="A429">
        <v>3</v>
      </c>
      <c r="B429" t="s">
        <v>515</v>
      </c>
      <c r="C429">
        <v>0</v>
      </c>
      <c r="D429">
        <v>7</v>
      </c>
      <c r="E429" s="3">
        <f t="shared" si="6"/>
        <v>5</v>
      </c>
    </row>
    <row r="430" spans="1:5" x14ac:dyDescent="0.2">
      <c r="A430">
        <v>4</v>
      </c>
      <c r="B430" t="s">
        <v>76</v>
      </c>
      <c r="C430">
        <v>2</v>
      </c>
      <c r="D430">
        <v>3</v>
      </c>
      <c r="E430" s="3">
        <f t="shared" si="6"/>
        <v>5</v>
      </c>
    </row>
    <row r="431" spans="1:5" x14ac:dyDescent="0.2">
      <c r="A431">
        <v>5</v>
      </c>
      <c r="B431" t="s">
        <v>29</v>
      </c>
      <c r="C431">
        <v>0</v>
      </c>
      <c r="D431">
        <v>1</v>
      </c>
      <c r="E431" s="3">
        <f t="shared" si="6"/>
        <v>5</v>
      </c>
    </row>
    <row r="432" spans="1:5" x14ac:dyDescent="0.2">
      <c r="A432">
        <v>10</v>
      </c>
      <c r="B432" s="2" t="s">
        <v>10</v>
      </c>
      <c r="C432" s="2" t="s">
        <v>10</v>
      </c>
      <c r="D432" s="2" t="s">
        <v>10</v>
      </c>
      <c r="E432" s="3">
        <f t="shared" si="6"/>
        <v>5</v>
      </c>
    </row>
    <row r="433" spans="1:5" x14ac:dyDescent="0.2">
      <c r="A433">
        <v>11</v>
      </c>
      <c r="B433" s="2" t="s">
        <v>10</v>
      </c>
      <c r="C433" s="2" t="s">
        <v>10</v>
      </c>
      <c r="D433" s="2" t="s">
        <v>10</v>
      </c>
      <c r="E433" s="3">
        <f t="shared" si="6"/>
        <v>5</v>
      </c>
    </row>
    <row r="434" spans="1:5" x14ac:dyDescent="0.2">
      <c r="A434">
        <v>12</v>
      </c>
      <c r="B434" s="2" t="s">
        <v>10</v>
      </c>
      <c r="C434" s="2" t="s">
        <v>10</v>
      </c>
      <c r="D434" s="2" t="s">
        <v>10</v>
      </c>
      <c r="E434" s="3">
        <f t="shared" si="6"/>
        <v>5</v>
      </c>
    </row>
    <row r="435" spans="1:5" x14ac:dyDescent="0.2">
      <c r="A435" s="1" t="s">
        <v>51</v>
      </c>
      <c r="E435" s="3">
        <f t="shared" si="6"/>
        <v>5</v>
      </c>
    </row>
    <row r="436" spans="1:5" x14ac:dyDescent="0.2">
      <c r="A436" s="1" t="s">
        <v>1</v>
      </c>
      <c r="B436" s="1" t="s">
        <v>2</v>
      </c>
      <c r="C436" s="1" t="s">
        <v>3</v>
      </c>
      <c r="D436" s="1" t="s">
        <v>4</v>
      </c>
      <c r="E436" s="3">
        <f t="shared" si="6"/>
        <v>5</v>
      </c>
    </row>
    <row r="437" spans="1:5" x14ac:dyDescent="0.2">
      <c r="A437">
        <v>1</v>
      </c>
      <c r="B437" t="s">
        <v>451</v>
      </c>
      <c r="C437">
        <v>5</v>
      </c>
      <c r="D437">
        <v>17</v>
      </c>
      <c r="E437" s="3">
        <f t="shared" si="6"/>
        <v>5</v>
      </c>
    </row>
    <row r="438" spans="1:5" x14ac:dyDescent="0.2">
      <c r="A438">
        <v>2</v>
      </c>
      <c r="B438" t="s">
        <v>452</v>
      </c>
      <c r="C438">
        <v>0</v>
      </c>
      <c r="D438">
        <v>13</v>
      </c>
      <c r="E438" s="3">
        <f t="shared" si="6"/>
        <v>5</v>
      </c>
    </row>
    <row r="439" spans="1:5" x14ac:dyDescent="0.2">
      <c r="A439">
        <v>3</v>
      </c>
      <c r="B439" t="s">
        <v>519</v>
      </c>
      <c r="C439">
        <v>0</v>
      </c>
      <c r="D439">
        <v>9</v>
      </c>
      <c r="E439" s="3">
        <f t="shared" si="6"/>
        <v>5</v>
      </c>
    </row>
    <row r="440" spans="1:5" x14ac:dyDescent="0.2">
      <c r="A440">
        <v>4</v>
      </c>
      <c r="B440" t="s">
        <v>261</v>
      </c>
      <c r="C440">
        <v>1</v>
      </c>
      <c r="D440">
        <v>5</v>
      </c>
      <c r="E440" s="3">
        <f t="shared" si="6"/>
        <v>5</v>
      </c>
    </row>
    <row r="441" spans="1:5" x14ac:dyDescent="0.2">
      <c r="A441">
        <v>5</v>
      </c>
      <c r="B441" t="s">
        <v>527</v>
      </c>
      <c r="C441">
        <v>0</v>
      </c>
      <c r="D441">
        <v>3</v>
      </c>
      <c r="E441" s="3">
        <f t="shared" si="6"/>
        <v>5</v>
      </c>
    </row>
    <row r="442" spans="1:5" x14ac:dyDescent="0.2">
      <c r="A442">
        <v>6</v>
      </c>
      <c r="B442" t="s">
        <v>59</v>
      </c>
      <c r="C442">
        <v>0</v>
      </c>
      <c r="D442">
        <v>2</v>
      </c>
      <c r="E442" s="3">
        <f t="shared" si="6"/>
        <v>5</v>
      </c>
    </row>
    <row r="443" spans="1:5" x14ac:dyDescent="0.2">
      <c r="A443">
        <v>7</v>
      </c>
      <c r="B443" t="s">
        <v>27</v>
      </c>
      <c r="C443">
        <v>0</v>
      </c>
      <c r="D443">
        <v>1</v>
      </c>
      <c r="E443" s="3">
        <f t="shared" si="6"/>
        <v>5</v>
      </c>
    </row>
    <row r="444" spans="1:5" x14ac:dyDescent="0.2">
      <c r="A444">
        <v>8</v>
      </c>
      <c r="B444" s="2" t="s">
        <v>10</v>
      </c>
      <c r="C444" s="2" t="s">
        <v>10</v>
      </c>
      <c r="D444" s="2" t="s">
        <v>10</v>
      </c>
      <c r="E444" s="3">
        <f t="shared" si="6"/>
        <v>5</v>
      </c>
    </row>
    <row r="445" spans="1:5" x14ac:dyDescent="0.2">
      <c r="A445" s="1" t="s">
        <v>0</v>
      </c>
      <c r="E445" s="3">
        <f t="shared" si="6"/>
        <v>6</v>
      </c>
    </row>
    <row r="446" spans="1:5" x14ac:dyDescent="0.2">
      <c r="A446" s="1" t="s">
        <v>1</v>
      </c>
      <c r="B446" s="1" t="s">
        <v>2</v>
      </c>
      <c r="C446" s="1" t="s">
        <v>3</v>
      </c>
      <c r="D446" s="1" t="s">
        <v>4</v>
      </c>
      <c r="E446" s="3">
        <f t="shared" si="6"/>
        <v>6</v>
      </c>
    </row>
    <row r="447" spans="1:5" x14ac:dyDescent="0.2">
      <c r="A447">
        <v>1</v>
      </c>
      <c r="B447" t="s">
        <v>476</v>
      </c>
      <c r="C447">
        <v>4</v>
      </c>
      <c r="D447">
        <v>16</v>
      </c>
      <c r="E447" s="3">
        <f t="shared" si="6"/>
        <v>6</v>
      </c>
    </row>
    <row r="448" spans="1:5" x14ac:dyDescent="0.2">
      <c r="A448">
        <v>2</v>
      </c>
      <c r="B448" t="s">
        <v>69</v>
      </c>
      <c r="C448">
        <v>0</v>
      </c>
      <c r="D448">
        <v>12</v>
      </c>
      <c r="E448" s="3">
        <f t="shared" si="6"/>
        <v>6</v>
      </c>
    </row>
    <row r="449" spans="1:5" x14ac:dyDescent="0.2">
      <c r="A449">
        <v>3</v>
      </c>
      <c r="B449" t="s">
        <v>461</v>
      </c>
      <c r="C449">
        <v>0</v>
      </c>
      <c r="D449">
        <v>8</v>
      </c>
      <c r="E449" s="3">
        <f t="shared" si="6"/>
        <v>6</v>
      </c>
    </row>
    <row r="450" spans="1:5" x14ac:dyDescent="0.2">
      <c r="A450">
        <v>4</v>
      </c>
      <c r="B450" t="s">
        <v>454</v>
      </c>
      <c r="C450">
        <v>0</v>
      </c>
      <c r="D450">
        <v>4</v>
      </c>
      <c r="E450" s="3">
        <f t="shared" si="6"/>
        <v>6</v>
      </c>
    </row>
    <row r="451" spans="1:5" x14ac:dyDescent="0.2">
      <c r="A451">
        <v>5</v>
      </c>
      <c r="B451" t="s">
        <v>46</v>
      </c>
      <c r="C451">
        <v>1</v>
      </c>
      <c r="D451">
        <v>2</v>
      </c>
      <c r="E451" s="3">
        <f t="shared" si="6"/>
        <v>6</v>
      </c>
    </row>
    <row r="452" spans="1:5" x14ac:dyDescent="0.2">
      <c r="A452">
        <v>6</v>
      </c>
      <c r="B452" t="s">
        <v>484</v>
      </c>
      <c r="C452">
        <v>0</v>
      </c>
      <c r="D452">
        <v>1</v>
      </c>
      <c r="E452" s="3">
        <f t="shared" ref="E452:E515" si="7">IF(A452=$A$1,E451+1,E451)</f>
        <v>6</v>
      </c>
    </row>
    <row r="453" spans="1:5" x14ac:dyDescent="0.2">
      <c r="A453">
        <v>7</v>
      </c>
      <c r="B453" s="2" t="s">
        <v>10</v>
      </c>
      <c r="C453" s="2" t="s">
        <v>10</v>
      </c>
      <c r="D453" s="2" t="s">
        <v>10</v>
      </c>
      <c r="E453" s="3">
        <f t="shared" si="7"/>
        <v>6</v>
      </c>
    </row>
    <row r="454" spans="1:5" x14ac:dyDescent="0.2">
      <c r="A454">
        <v>8</v>
      </c>
      <c r="B454" s="2" t="s">
        <v>10</v>
      </c>
      <c r="C454" s="2" t="s">
        <v>10</v>
      </c>
      <c r="D454" s="2" t="s">
        <v>10</v>
      </c>
      <c r="E454" s="3">
        <f t="shared" si="7"/>
        <v>6</v>
      </c>
    </row>
    <row r="455" spans="1:5" x14ac:dyDescent="0.2">
      <c r="A455" s="1" t="s">
        <v>30</v>
      </c>
      <c r="E455" s="3">
        <f t="shared" si="7"/>
        <v>6</v>
      </c>
    </row>
    <row r="456" spans="1:5" x14ac:dyDescent="0.2">
      <c r="A456" s="1" t="s">
        <v>1</v>
      </c>
      <c r="B456" s="1" t="s">
        <v>2</v>
      </c>
      <c r="C456" s="1" t="s">
        <v>3</v>
      </c>
      <c r="D456" s="1" t="s">
        <v>4</v>
      </c>
      <c r="E456" s="3">
        <f t="shared" si="7"/>
        <v>6</v>
      </c>
    </row>
    <row r="457" spans="1:5" x14ac:dyDescent="0.2">
      <c r="A457">
        <v>0</v>
      </c>
      <c r="C457">
        <v>0</v>
      </c>
      <c r="D457">
        <v>0</v>
      </c>
      <c r="E457" s="3">
        <f t="shared" si="7"/>
        <v>6</v>
      </c>
    </row>
    <row r="458" spans="1:5" x14ac:dyDescent="0.2">
      <c r="A458">
        <v>1</v>
      </c>
      <c r="B458" t="s">
        <v>535</v>
      </c>
      <c r="C458">
        <v>3</v>
      </c>
      <c r="D458">
        <v>17</v>
      </c>
      <c r="E458" s="3">
        <f t="shared" si="7"/>
        <v>6</v>
      </c>
    </row>
    <row r="459" spans="1:5" x14ac:dyDescent="0.2">
      <c r="A459">
        <v>2</v>
      </c>
      <c r="B459" t="s">
        <v>504</v>
      </c>
      <c r="C459">
        <v>1</v>
      </c>
      <c r="D459">
        <v>13</v>
      </c>
      <c r="E459" s="3">
        <f t="shared" si="7"/>
        <v>6</v>
      </c>
    </row>
    <row r="460" spans="1:5" x14ac:dyDescent="0.2">
      <c r="A460">
        <v>3</v>
      </c>
      <c r="B460" t="s">
        <v>55</v>
      </c>
      <c r="C460">
        <v>0</v>
      </c>
      <c r="D460">
        <v>9</v>
      </c>
      <c r="E460" s="3">
        <f t="shared" si="7"/>
        <v>6</v>
      </c>
    </row>
    <row r="461" spans="1:5" x14ac:dyDescent="0.2">
      <c r="A461">
        <v>4</v>
      </c>
      <c r="B461" t="s">
        <v>32</v>
      </c>
      <c r="C461">
        <v>0</v>
      </c>
      <c r="D461">
        <v>5</v>
      </c>
      <c r="E461" s="3">
        <f t="shared" si="7"/>
        <v>6</v>
      </c>
    </row>
    <row r="462" spans="1:5" x14ac:dyDescent="0.2">
      <c r="A462">
        <v>5</v>
      </c>
      <c r="B462" t="s">
        <v>505</v>
      </c>
      <c r="C462">
        <v>1</v>
      </c>
      <c r="D462">
        <v>3</v>
      </c>
      <c r="E462" s="3">
        <f t="shared" si="7"/>
        <v>6</v>
      </c>
    </row>
    <row r="463" spans="1:5" x14ac:dyDescent="0.2">
      <c r="A463">
        <v>6</v>
      </c>
      <c r="B463" t="s">
        <v>523</v>
      </c>
      <c r="C463">
        <v>0</v>
      </c>
      <c r="D463">
        <v>2</v>
      </c>
      <c r="E463" s="3">
        <f t="shared" si="7"/>
        <v>6</v>
      </c>
    </row>
    <row r="464" spans="1:5" x14ac:dyDescent="0.2">
      <c r="A464">
        <v>7</v>
      </c>
      <c r="B464" t="s">
        <v>179</v>
      </c>
      <c r="C464">
        <v>0</v>
      </c>
      <c r="D464">
        <v>1</v>
      </c>
      <c r="E464" s="3">
        <f t="shared" si="7"/>
        <v>6</v>
      </c>
    </row>
    <row r="465" spans="1:5" x14ac:dyDescent="0.2">
      <c r="A465">
        <v>9</v>
      </c>
      <c r="B465" s="2" t="s">
        <v>10</v>
      </c>
      <c r="C465" s="2" t="s">
        <v>10</v>
      </c>
      <c r="D465" s="2" t="s">
        <v>10</v>
      </c>
      <c r="E465" s="3">
        <f t="shared" si="7"/>
        <v>6</v>
      </c>
    </row>
    <row r="466" spans="1:5" x14ac:dyDescent="0.2">
      <c r="A466" s="1" t="s">
        <v>17</v>
      </c>
      <c r="E466" s="3">
        <f t="shared" si="7"/>
        <v>6</v>
      </c>
    </row>
    <row r="467" spans="1:5" x14ac:dyDescent="0.2">
      <c r="A467" s="1" t="s">
        <v>1</v>
      </c>
      <c r="B467" s="1" t="s">
        <v>2</v>
      </c>
      <c r="C467" s="1" t="s">
        <v>3</v>
      </c>
      <c r="D467" s="1" t="s">
        <v>4</v>
      </c>
      <c r="E467" s="3">
        <f t="shared" si="7"/>
        <v>6</v>
      </c>
    </row>
    <row r="468" spans="1:5" x14ac:dyDescent="0.2">
      <c r="A468">
        <v>1</v>
      </c>
      <c r="B468" t="s">
        <v>534</v>
      </c>
      <c r="C468">
        <v>2</v>
      </c>
      <c r="D468">
        <v>16</v>
      </c>
      <c r="E468" s="3">
        <f t="shared" si="7"/>
        <v>6</v>
      </c>
    </row>
    <row r="469" spans="1:5" x14ac:dyDescent="0.2">
      <c r="A469">
        <v>2</v>
      </c>
      <c r="B469" t="s">
        <v>76</v>
      </c>
      <c r="C469">
        <v>2</v>
      </c>
      <c r="D469">
        <v>12</v>
      </c>
      <c r="E469" s="3">
        <f t="shared" si="7"/>
        <v>6</v>
      </c>
    </row>
    <row r="470" spans="1:5" x14ac:dyDescent="0.2">
      <c r="A470">
        <v>3</v>
      </c>
      <c r="B470" t="s">
        <v>531</v>
      </c>
      <c r="C470">
        <v>1</v>
      </c>
      <c r="D470">
        <v>8</v>
      </c>
      <c r="E470" s="3">
        <f t="shared" si="7"/>
        <v>6</v>
      </c>
    </row>
    <row r="471" spans="1:5" x14ac:dyDescent="0.2">
      <c r="A471">
        <v>4</v>
      </c>
      <c r="B471" t="s">
        <v>9</v>
      </c>
      <c r="C471">
        <v>0</v>
      </c>
      <c r="D471">
        <v>4</v>
      </c>
      <c r="E471" s="3">
        <f t="shared" si="7"/>
        <v>6</v>
      </c>
    </row>
    <row r="472" spans="1:5" x14ac:dyDescent="0.2">
      <c r="A472">
        <v>5</v>
      </c>
      <c r="B472" t="s">
        <v>15</v>
      </c>
      <c r="C472">
        <v>0</v>
      </c>
      <c r="D472">
        <v>2</v>
      </c>
      <c r="E472" s="3">
        <f t="shared" si="7"/>
        <v>6</v>
      </c>
    </row>
    <row r="473" spans="1:5" x14ac:dyDescent="0.2">
      <c r="A473">
        <v>6</v>
      </c>
      <c r="B473" t="s">
        <v>507</v>
      </c>
      <c r="C473">
        <v>0</v>
      </c>
      <c r="D473">
        <v>1</v>
      </c>
      <c r="E473" s="3">
        <f t="shared" si="7"/>
        <v>6</v>
      </c>
    </row>
    <row r="474" spans="1:5" x14ac:dyDescent="0.2">
      <c r="A474">
        <v>7</v>
      </c>
      <c r="B474" s="2" t="s">
        <v>10</v>
      </c>
      <c r="C474" s="2" t="s">
        <v>10</v>
      </c>
      <c r="D474" s="2" t="s">
        <v>10</v>
      </c>
      <c r="E474" s="3">
        <f t="shared" si="7"/>
        <v>6</v>
      </c>
    </row>
    <row r="475" spans="1:5" x14ac:dyDescent="0.2">
      <c r="A475">
        <v>8</v>
      </c>
      <c r="B475" s="2" t="s">
        <v>10</v>
      </c>
      <c r="C475" s="2" t="s">
        <v>10</v>
      </c>
      <c r="D475" s="2" t="s">
        <v>10</v>
      </c>
      <c r="E475" s="3">
        <f t="shared" si="7"/>
        <v>6</v>
      </c>
    </row>
    <row r="476" spans="1:5" x14ac:dyDescent="0.2">
      <c r="A476" s="1" t="s">
        <v>24</v>
      </c>
      <c r="E476" s="3">
        <f t="shared" si="7"/>
        <v>6</v>
      </c>
    </row>
    <row r="477" spans="1:5" x14ac:dyDescent="0.2">
      <c r="A477" s="1" t="s">
        <v>1</v>
      </c>
      <c r="B477" s="1" t="s">
        <v>2</v>
      </c>
      <c r="C477" s="1" t="s">
        <v>3</v>
      </c>
      <c r="D477" s="1" t="s">
        <v>4</v>
      </c>
      <c r="E477" s="3">
        <f t="shared" si="7"/>
        <v>6</v>
      </c>
    </row>
    <row r="478" spans="1:5" x14ac:dyDescent="0.2">
      <c r="A478">
        <v>1</v>
      </c>
      <c r="B478" t="s">
        <v>40</v>
      </c>
      <c r="C478">
        <v>2</v>
      </c>
      <c r="D478">
        <v>17</v>
      </c>
      <c r="E478" s="3">
        <f t="shared" si="7"/>
        <v>6</v>
      </c>
    </row>
    <row r="479" spans="1:5" x14ac:dyDescent="0.2">
      <c r="A479">
        <v>2</v>
      </c>
      <c r="B479" t="s">
        <v>61</v>
      </c>
      <c r="C479">
        <v>2</v>
      </c>
      <c r="D479">
        <v>13</v>
      </c>
      <c r="E479" s="3">
        <f t="shared" si="7"/>
        <v>6</v>
      </c>
    </row>
    <row r="480" spans="1:5" x14ac:dyDescent="0.2">
      <c r="A480">
        <v>3</v>
      </c>
      <c r="B480" t="s">
        <v>503</v>
      </c>
      <c r="C480">
        <v>0</v>
      </c>
      <c r="D480">
        <v>9</v>
      </c>
      <c r="E480" s="3">
        <f t="shared" si="7"/>
        <v>6</v>
      </c>
    </row>
    <row r="481" spans="1:5" x14ac:dyDescent="0.2">
      <c r="A481">
        <v>4</v>
      </c>
      <c r="B481" t="s">
        <v>451</v>
      </c>
      <c r="C481">
        <v>2</v>
      </c>
      <c r="D481">
        <v>5</v>
      </c>
      <c r="E481" s="3">
        <f t="shared" si="7"/>
        <v>6</v>
      </c>
    </row>
    <row r="482" spans="1:5" x14ac:dyDescent="0.2">
      <c r="A482">
        <v>5</v>
      </c>
      <c r="B482" t="s">
        <v>490</v>
      </c>
      <c r="C482">
        <v>0</v>
      </c>
      <c r="D482">
        <v>3</v>
      </c>
      <c r="E482" s="3">
        <f t="shared" si="7"/>
        <v>6</v>
      </c>
    </row>
    <row r="483" spans="1:5" x14ac:dyDescent="0.2">
      <c r="A483">
        <v>6</v>
      </c>
      <c r="B483" t="s">
        <v>5</v>
      </c>
      <c r="C483">
        <v>0</v>
      </c>
      <c r="D483">
        <v>2</v>
      </c>
      <c r="E483" s="3">
        <f t="shared" si="7"/>
        <v>6</v>
      </c>
    </row>
    <row r="484" spans="1:5" x14ac:dyDescent="0.2">
      <c r="A484">
        <v>7</v>
      </c>
      <c r="B484" t="s">
        <v>475</v>
      </c>
      <c r="C484">
        <v>0</v>
      </c>
      <c r="D484">
        <v>1</v>
      </c>
      <c r="E484" s="3">
        <f t="shared" si="7"/>
        <v>6</v>
      </c>
    </row>
    <row r="485" spans="1:5" x14ac:dyDescent="0.2">
      <c r="A485">
        <v>8</v>
      </c>
      <c r="B485" s="2" t="s">
        <v>10</v>
      </c>
      <c r="C485" s="2" t="s">
        <v>10</v>
      </c>
      <c r="D485" s="2" t="s">
        <v>10</v>
      </c>
      <c r="E485" s="3">
        <f t="shared" si="7"/>
        <v>6</v>
      </c>
    </row>
    <row r="486" spans="1:5" x14ac:dyDescent="0.2">
      <c r="A486" s="1" t="s">
        <v>11</v>
      </c>
      <c r="E486" s="3">
        <f t="shared" si="7"/>
        <v>6</v>
      </c>
    </row>
    <row r="487" spans="1:5" x14ac:dyDescent="0.2">
      <c r="A487" s="1" t="s">
        <v>1</v>
      </c>
      <c r="B487" s="1" t="s">
        <v>2</v>
      </c>
      <c r="C487" s="1" t="s">
        <v>3</v>
      </c>
      <c r="D487" s="1" t="s">
        <v>4</v>
      </c>
      <c r="E487" s="3">
        <f t="shared" si="7"/>
        <v>6</v>
      </c>
    </row>
    <row r="488" spans="1:5" x14ac:dyDescent="0.2">
      <c r="A488">
        <v>1</v>
      </c>
      <c r="B488" t="s">
        <v>6</v>
      </c>
      <c r="C488">
        <v>2</v>
      </c>
      <c r="D488">
        <v>17</v>
      </c>
      <c r="E488" s="3">
        <f t="shared" si="7"/>
        <v>6</v>
      </c>
    </row>
    <row r="489" spans="1:5" x14ac:dyDescent="0.2">
      <c r="A489">
        <v>2</v>
      </c>
      <c r="B489" t="s">
        <v>525</v>
      </c>
      <c r="C489">
        <v>1</v>
      </c>
      <c r="D489">
        <v>13</v>
      </c>
      <c r="E489" s="3">
        <f t="shared" si="7"/>
        <v>6</v>
      </c>
    </row>
    <row r="490" spans="1:5" x14ac:dyDescent="0.2">
      <c r="A490">
        <v>3</v>
      </c>
      <c r="B490" t="s">
        <v>345</v>
      </c>
      <c r="C490">
        <v>1</v>
      </c>
      <c r="D490">
        <v>9</v>
      </c>
      <c r="E490" s="3">
        <f t="shared" si="7"/>
        <v>6</v>
      </c>
    </row>
    <row r="491" spans="1:5" x14ac:dyDescent="0.2">
      <c r="A491">
        <v>4</v>
      </c>
      <c r="B491" t="s">
        <v>509</v>
      </c>
      <c r="C491">
        <v>0</v>
      </c>
      <c r="D491">
        <v>5</v>
      </c>
      <c r="E491" s="3">
        <f t="shared" si="7"/>
        <v>6</v>
      </c>
    </row>
    <row r="492" spans="1:5" x14ac:dyDescent="0.2">
      <c r="A492">
        <v>5</v>
      </c>
      <c r="B492" t="s">
        <v>530</v>
      </c>
      <c r="C492">
        <v>0</v>
      </c>
      <c r="D492">
        <v>3</v>
      </c>
      <c r="E492" s="3">
        <f t="shared" si="7"/>
        <v>6</v>
      </c>
    </row>
    <row r="493" spans="1:5" x14ac:dyDescent="0.2">
      <c r="A493">
        <v>6</v>
      </c>
      <c r="B493" t="s">
        <v>87</v>
      </c>
      <c r="C493">
        <v>0</v>
      </c>
      <c r="D493">
        <v>2</v>
      </c>
      <c r="E493" s="3">
        <f t="shared" si="7"/>
        <v>6</v>
      </c>
    </row>
    <row r="494" spans="1:5" x14ac:dyDescent="0.2">
      <c r="A494">
        <v>7</v>
      </c>
      <c r="B494" t="s">
        <v>501</v>
      </c>
      <c r="C494">
        <v>0</v>
      </c>
      <c r="D494">
        <v>1</v>
      </c>
      <c r="E494" s="3">
        <f t="shared" si="7"/>
        <v>6</v>
      </c>
    </row>
    <row r="495" spans="1:5" x14ac:dyDescent="0.2">
      <c r="A495">
        <v>8</v>
      </c>
      <c r="B495" s="2" t="s">
        <v>10</v>
      </c>
      <c r="C495" s="2" t="s">
        <v>10</v>
      </c>
      <c r="D495" s="2" t="s">
        <v>10</v>
      </c>
      <c r="E495" s="3">
        <f t="shared" si="7"/>
        <v>6</v>
      </c>
    </row>
    <row r="496" spans="1:5" x14ac:dyDescent="0.2">
      <c r="A496" s="1" t="s">
        <v>37</v>
      </c>
      <c r="E496" s="3">
        <f t="shared" si="7"/>
        <v>6</v>
      </c>
    </row>
    <row r="497" spans="1:5" x14ac:dyDescent="0.2">
      <c r="A497" s="1" t="s">
        <v>1</v>
      </c>
      <c r="B497" s="1" t="s">
        <v>2</v>
      </c>
      <c r="C497" s="1" t="s">
        <v>3</v>
      </c>
      <c r="D497" s="1" t="s">
        <v>4</v>
      </c>
      <c r="E497" s="3">
        <f t="shared" si="7"/>
        <v>6</v>
      </c>
    </row>
    <row r="498" spans="1:5" x14ac:dyDescent="0.2">
      <c r="A498">
        <v>1</v>
      </c>
      <c r="B498" t="s">
        <v>66</v>
      </c>
      <c r="C498">
        <v>5</v>
      </c>
      <c r="D498">
        <v>17</v>
      </c>
      <c r="E498" s="3">
        <f t="shared" si="7"/>
        <v>6</v>
      </c>
    </row>
    <row r="499" spans="1:5" x14ac:dyDescent="0.2">
      <c r="A499">
        <v>2</v>
      </c>
      <c r="B499" t="s">
        <v>33</v>
      </c>
      <c r="C499">
        <v>0</v>
      </c>
      <c r="D499">
        <v>13</v>
      </c>
      <c r="E499" s="3">
        <f t="shared" si="7"/>
        <v>6</v>
      </c>
    </row>
    <row r="500" spans="1:5" x14ac:dyDescent="0.2">
      <c r="A500">
        <v>3</v>
      </c>
      <c r="B500" t="s">
        <v>14</v>
      </c>
      <c r="C500">
        <v>0</v>
      </c>
      <c r="D500">
        <v>9</v>
      </c>
      <c r="E500" s="3">
        <f t="shared" si="7"/>
        <v>6</v>
      </c>
    </row>
    <row r="501" spans="1:5" x14ac:dyDescent="0.2">
      <c r="A501">
        <v>4</v>
      </c>
      <c r="B501" t="s">
        <v>27</v>
      </c>
      <c r="C501">
        <v>1</v>
      </c>
      <c r="D501">
        <v>5</v>
      </c>
      <c r="E501" s="3">
        <f t="shared" si="7"/>
        <v>6</v>
      </c>
    </row>
    <row r="502" spans="1:5" x14ac:dyDescent="0.2">
      <c r="A502">
        <v>5</v>
      </c>
      <c r="B502" t="s">
        <v>500</v>
      </c>
      <c r="C502">
        <v>0</v>
      </c>
      <c r="D502">
        <v>3</v>
      </c>
      <c r="E502" s="3">
        <f t="shared" si="7"/>
        <v>6</v>
      </c>
    </row>
    <row r="503" spans="1:5" x14ac:dyDescent="0.2">
      <c r="A503">
        <v>6</v>
      </c>
      <c r="B503" t="s">
        <v>74</v>
      </c>
      <c r="C503">
        <v>0</v>
      </c>
      <c r="D503">
        <v>2</v>
      </c>
      <c r="E503" s="3">
        <f t="shared" si="7"/>
        <v>6</v>
      </c>
    </row>
    <row r="504" spans="1:5" x14ac:dyDescent="0.2">
      <c r="A504">
        <v>7</v>
      </c>
      <c r="B504" t="s">
        <v>491</v>
      </c>
      <c r="C504">
        <v>0</v>
      </c>
      <c r="D504">
        <v>1</v>
      </c>
      <c r="E504" s="3">
        <f t="shared" si="7"/>
        <v>6</v>
      </c>
    </row>
    <row r="505" spans="1:5" x14ac:dyDescent="0.2">
      <c r="A505">
        <v>8</v>
      </c>
      <c r="B505" s="2" t="s">
        <v>10</v>
      </c>
      <c r="C505" s="2" t="s">
        <v>10</v>
      </c>
      <c r="D505" s="2" t="s">
        <v>10</v>
      </c>
      <c r="E505" s="3">
        <f t="shared" si="7"/>
        <v>6</v>
      </c>
    </row>
    <row r="506" spans="1:5" x14ac:dyDescent="0.2">
      <c r="A506" s="1" t="s">
        <v>44</v>
      </c>
      <c r="E506" s="3">
        <f t="shared" si="7"/>
        <v>6</v>
      </c>
    </row>
    <row r="507" spans="1:5" x14ac:dyDescent="0.2">
      <c r="A507" s="1" t="s">
        <v>1</v>
      </c>
      <c r="B507" s="1" t="s">
        <v>2</v>
      </c>
      <c r="C507" s="1" t="s">
        <v>3</v>
      </c>
      <c r="D507" s="1" t="s">
        <v>4</v>
      </c>
      <c r="E507" s="3">
        <f t="shared" si="7"/>
        <v>6</v>
      </c>
    </row>
    <row r="508" spans="1:5" x14ac:dyDescent="0.2">
      <c r="A508">
        <v>0</v>
      </c>
      <c r="C508">
        <v>0</v>
      </c>
      <c r="D508">
        <v>0</v>
      </c>
      <c r="E508" s="3">
        <f t="shared" si="7"/>
        <v>6</v>
      </c>
    </row>
    <row r="509" spans="1:5" x14ac:dyDescent="0.2">
      <c r="A509">
        <v>1</v>
      </c>
      <c r="B509" t="s">
        <v>25</v>
      </c>
      <c r="C509">
        <v>3</v>
      </c>
      <c r="D509">
        <v>17</v>
      </c>
      <c r="E509" s="3">
        <f t="shared" si="7"/>
        <v>6</v>
      </c>
    </row>
    <row r="510" spans="1:5" x14ac:dyDescent="0.2">
      <c r="A510">
        <v>2</v>
      </c>
      <c r="B510" t="s">
        <v>35</v>
      </c>
      <c r="C510">
        <v>0</v>
      </c>
      <c r="D510">
        <v>13</v>
      </c>
      <c r="E510" s="3">
        <f t="shared" si="7"/>
        <v>6</v>
      </c>
    </row>
    <row r="511" spans="1:5" x14ac:dyDescent="0.2">
      <c r="A511">
        <v>3</v>
      </c>
      <c r="B511" t="s">
        <v>479</v>
      </c>
      <c r="C511">
        <v>0</v>
      </c>
      <c r="D511">
        <v>9</v>
      </c>
      <c r="E511" s="3">
        <f t="shared" si="7"/>
        <v>6</v>
      </c>
    </row>
    <row r="512" spans="1:5" x14ac:dyDescent="0.2">
      <c r="A512">
        <v>4</v>
      </c>
      <c r="B512" t="s">
        <v>19</v>
      </c>
      <c r="C512">
        <v>1</v>
      </c>
      <c r="D512">
        <v>5</v>
      </c>
      <c r="E512" s="3">
        <f t="shared" si="7"/>
        <v>6</v>
      </c>
    </row>
    <row r="513" spans="1:5" x14ac:dyDescent="0.2">
      <c r="A513">
        <v>5</v>
      </c>
      <c r="B513" t="s">
        <v>533</v>
      </c>
      <c r="C513">
        <v>1</v>
      </c>
      <c r="D513">
        <v>3</v>
      </c>
      <c r="E513" s="3">
        <f t="shared" si="7"/>
        <v>6</v>
      </c>
    </row>
    <row r="514" spans="1:5" x14ac:dyDescent="0.2">
      <c r="A514">
        <v>6</v>
      </c>
      <c r="B514" t="s">
        <v>512</v>
      </c>
      <c r="C514">
        <v>0</v>
      </c>
      <c r="D514">
        <v>2</v>
      </c>
      <c r="E514" s="3">
        <f t="shared" si="7"/>
        <v>6</v>
      </c>
    </row>
    <row r="515" spans="1:5" x14ac:dyDescent="0.2">
      <c r="A515">
        <v>7</v>
      </c>
      <c r="B515" t="s">
        <v>528</v>
      </c>
      <c r="C515">
        <v>0</v>
      </c>
      <c r="D515">
        <v>1</v>
      </c>
      <c r="E515" s="3">
        <f t="shared" si="7"/>
        <v>6</v>
      </c>
    </row>
    <row r="516" spans="1:5" x14ac:dyDescent="0.2">
      <c r="A516">
        <v>9</v>
      </c>
      <c r="B516" s="2" t="s">
        <v>10</v>
      </c>
      <c r="C516" s="2" t="s">
        <v>10</v>
      </c>
      <c r="D516" s="2" t="s">
        <v>10</v>
      </c>
      <c r="E516" s="3">
        <f t="shared" ref="E516:E579" si="8">IF(A516=$A$1,E515+1,E515)</f>
        <v>6</v>
      </c>
    </row>
    <row r="517" spans="1:5" x14ac:dyDescent="0.2">
      <c r="A517" s="1" t="s">
        <v>51</v>
      </c>
      <c r="E517" s="3">
        <f t="shared" si="8"/>
        <v>6</v>
      </c>
    </row>
    <row r="518" spans="1:5" x14ac:dyDescent="0.2">
      <c r="A518" s="1" t="s">
        <v>1</v>
      </c>
      <c r="B518" s="1" t="s">
        <v>2</v>
      </c>
      <c r="C518" s="1" t="s">
        <v>3</v>
      </c>
      <c r="D518" s="1" t="s">
        <v>4</v>
      </c>
      <c r="E518" s="3">
        <f t="shared" si="8"/>
        <v>6</v>
      </c>
    </row>
    <row r="519" spans="1:5" x14ac:dyDescent="0.2">
      <c r="A519">
        <v>1</v>
      </c>
      <c r="B519" t="s">
        <v>53</v>
      </c>
      <c r="C519">
        <v>4</v>
      </c>
      <c r="D519">
        <v>17</v>
      </c>
      <c r="E519" s="3">
        <f t="shared" si="8"/>
        <v>6</v>
      </c>
    </row>
    <row r="520" spans="1:5" x14ac:dyDescent="0.2">
      <c r="A520">
        <v>2</v>
      </c>
      <c r="B520" t="s">
        <v>81</v>
      </c>
      <c r="C520">
        <v>2</v>
      </c>
      <c r="D520">
        <v>13</v>
      </c>
      <c r="E520" s="3">
        <f t="shared" si="8"/>
        <v>6</v>
      </c>
    </row>
    <row r="521" spans="1:5" x14ac:dyDescent="0.2">
      <c r="A521">
        <v>3</v>
      </c>
      <c r="B521" t="s">
        <v>75</v>
      </c>
      <c r="C521">
        <v>0</v>
      </c>
      <c r="D521">
        <v>9</v>
      </c>
      <c r="E521" s="3">
        <f t="shared" si="8"/>
        <v>6</v>
      </c>
    </row>
    <row r="522" spans="1:5" x14ac:dyDescent="0.2">
      <c r="A522">
        <v>4</v>
      </c>
      <c r="B522" t="s">
        <v>521</v>
      </c>
      <c r="C522">
        <v>0</v>
      </c>
      <c r="D522">
        <v>5</v>
      </c>
      <c r="E522" s="3">
        <f t="shared" si="8"/>
        <v>6</v>
      </c>
    </row>
    <row r="523" spans="1:5" x14ac:dyDescent="0.2">
      <c r="A523">
        <v>5</v>
      </c>
      <c r="B523" t="s">
        <v>21</v>
      </c>
      <c r="C523">
        <v>0</v>
      </c>
      <c r="D523">
        <v>3</v>
      </c>
      <c r="E523" s="3">
        <f t="shared" si="8"/>
        <v>6</v>
      </c>
    </row>
    <row r="524" spans="1:5" x14ac:dyDescent="0.2">
      <c r="A524">
        <v>6</v>
      </c>
      <c r="B524" t="s">
        <v>493</v>
      </c>
      <c r="C524">
        <v>0</v>
      </c>
      <c r="D524">
        <v>2</v>
      </c>
      <c r="E524" s="3">
        <f t="shared" si="8"/>
        <v>6</v>
      </c>
    </row>
    <row r="525" spans="1:5" x14ac:dyDescent="0.2">
      <c r="A525">
        <v>7</v>
      </c>
      <c r="B525" t="s">
        <v>462</v>
      </c>
      <c r="C525">
        <v>0</v>
      </c>
      <c r="D525">
        <v>1</v>
      </c>
      <c r="E525" s="3">
        <f t="shared" si="8"/>
        <v>6</v>
      </c>
    </row>
    <row r="526" spans="1:5" x14ac:dyDescent="0.2">
      <c r="A526">
        <v>8</v>
      </c>
      <c r="B526" s="2" t="s">
        <v>10</v>
      </c>
      <c r="C526" s="2" t="s">
        <v>10</v>
      </c>
      <c r="D526" s="2" t="s">
        <v>10</v>
      </c>
      <c r="E526" s="3">
        <f t="shared" si="8"/>
        <v>6</v>
      </c>
    </row>
    <row r="527" spans="1:5" x14ac:dyDescent="0.2">
      <c r="A527" s="1" t="s">
        <v>58</v>
      </c>
      <c r="E527" s="3">
        <f t="shared" si="8"/>
        <v>6</v>
      </c>
    </row>
    <row r="528" spans="1:5" x14ac:dyDescent="0.2">
      <c r="A528" s="1" t="s">
        <v>1</v>
      </c>
      <c r="B528" s="1" t="s">
        <v>2</v>
      </c>
      <c r="C528" s="1" t="s">
        <v>3</v>
      </c>
      <c r="D528" s="1" t="s">
        <v>4</v>
      </c>
      <c r="E528" s="3">
        <f t="shared" si="8"/>
        <v>6</v>
      </c>
    </row>
    <row r="529" spans="1:5" x14ac:dyDescent="0.2">
      <c r="A529">
        <v>1</v>
      </c>
      <c r="B529" t="s">
        <v>42</v>
      </c>
      <c r="C529">
        <v>4</v>
      </c>
      <c r="D529">
        <v>17</v>
      </c>
      <c r="E529" s="3">
        <f t="shared" si="8"/>
        <v>6</v>
      </c>
    </row>
    <row r="530" spans="1:5" x14ac:dyDescent="0.2">
      <c r="A530">
        <v>2</v>
      </c>
      <c r="B530" t="s">
        <v>452</v>
      </c>
      <c r="C530">
        <v>1</v>
      </c>
      <c r="D530">
        <v>13</v>
      </c>
      <c r="E530" s="3">
        <f t="shared" si="8"/>
        <v>6</v>
      </c>
    </row>
    <row r="531" spans="1:5" x14ac:dyDescent="0.2">
      <c r="A531">
        <v>3</v>
      </c>
      <c r="B531" t="s">
        <v>516</v>
      </c>
      <c r="C531">
        <v>1</v>
      </c>
      <c r="D531">
        <v>9</v>
      </c>
      <c r="E531" s="3">
        <f t="shared" si="8"/>
        <v>6</v>
      </c>
    </row>
    <row r="532" spans="1:5" x14ac:dyDescent="0.2">
      <c r="A532">
        <v>4</v>
      </c>
      <c r="B532" t="s">
        <v>536</v>
      </c>
      <c r="C532">
        <v>0</v>
      </c>
      <c r="D532">
        <v>5</v>
      </c>
      <c r="E532" s="3">
        <f t="shared" si="8"/>
        <v>6</v>
      </c>
    </row>
    <row r="533" spans="1:5" x14ac:dyDescent="0.2">
      <c r="A533">
        <v>5</v>
      </c>
      <c r="B533" t="s">
        <v>59</v>
      </c>
      <c r="C533">
        <v>0</v>
      </c>
      <c r="D533">
        <v>3</v>
      </c>
      <c r="E533" s="3">
        <f t="shared" si="8"/>
        <v>6</v>
      </c>
    </row>
    <row r="534" spans="1:5" x14ac:dyDescent="0.2">
      <c r="A534">
        <v>6</v>
      </c>
      <c r="B534" t="s">
        <v>20</v>
      </c>
      <c r="C534">
        <v>0</v>
      </c>
      <c r="D534">
        <v>2</v>
      </c>
      <c r="E534" s="3">
        <f t="shared" si="8"/>
        <v>6</v>
      </c>
    </row>
    <row r="535" spans="1:5" x14ac:dyDescent="0.2">
      <c r="A535">
        <v>7</v>
      </c>
      <c r="B535" t="s">
        <v>280</v>
      </c>
      <c r="C535">
        <v>0</v>
      </c>
      <c r="D535">
        <v>1</v>
      </c>
      <c r="E535" s="3">
        <f t="shared" si="8"/>
        <v>6</v>
      </c>
    </row>
    <row r="536" spans="1:5" x14ac:dyDescent="0.2">
      <c r="A536">
        <v>8</v>
      </c>
      <c r="B536" s="2" t="s">
        <v>10</v>
      </c>
      <c r="C536" s="2" t="s">
        <v>10</v>
      </c>
      <c r="D536" s="2"/>
      <c r="E536" s="3">
        <f t="shared" si="8"/>
        <v>6</v>
      </c>
    </row>
    <row r="537" spans="1:5" x14ac:dyDescent="0.2">
      <c r="A537" s="1" t="s">
        <v>537</v>
      </c>
      <c r="E537" s="3">
        <f t="shared" si="8"/>
        <v>7</v>
      </c>
    </row>
    <row r="538" spans="1:5" x14ac:dyDescent="0.2">
      <c r="A538" s="1" t="s">
        <v>1</v>
      </c>
      <c r="B538" s="1" t="s">
        <v>2</v>
      </c>
      <c r="C538" s="1" t="s">
        <v>3</v>
      </c>
      <c r="D538" s="1" t="s">
        <v>4</v>
      </c>
      <c r="E538" s="3">
        <f t="shared" si="8"/>
        <v>7</v>
      </c>
    </row>
    <row r="539" spans="1:5" x14ac:dyDescent="0.2">
      <c r="A539">
        <v>1</v>
      </c>
      <c r="B539" t="s">
        <v>27</v>
      </c>
      <c r="C539">
        <v>2</v>
      </c>
      <c r="D539">
        <v>16</v>
      </c>
      <c r="E539" s="3">
        <f t="shared" si="8"/>
        <v>7</v>
      </c>
    </row>
    <row r="540" spans="1:5" x14ac:dyDescent="0.2">
      <c r="A540">
        <v>2</v>
      </c>
      <c r="B540" t="s">
        <v>69</v>
      </c>
      <c r="C540">
        <v>1</v>
      </c>
      <c r="D540">
        <v>12</v>
      </c>
      <c r="E540" s="3">
        <f t="shared" si="8"/>
        <v>7</v>
      </c>
    </row>
    <row r="541" spans="1:5" x14ac:dyDescent="0.2">
      <c r="A541">
        <v>3</v>
      </c>
      <c r="B541" t="s">
        <v>75</v>
      </c>
      <c r="C541">
        <v>1</v>
      </c>
      <c r="D541">
        <v>8</v>
      </c>
      <c r="E541" s="3">
        <f t="shared" si="8"/>
        <v>7</v>
      </c>
    </row>
    <row r="542" spans="1:5" x14ac:dyDescent="0.2">
      <c r="A542">
        <v>4</v>
      </c>
      <c r="B542" t="s">
        <v>33</v>
      </c>
      <c r="C542">
        <v>0</v>
      </c>
      <c r="D542">
        <v>4</v>
      </c>
      <c r="E542" s="3">
        <f t="shared" si="8"/>
        <v>7</v>
      </c>
    </row>
    <row r="543" spans="1:5" x14ac:dyDescent="0.2">
      <c r="A543">
        <v>5</v>
      </c>
      <c r="B543" t="s">
        <v>503</v>
      </c>
      <c r="C543">
        <v>1</v>
      </c>
      <c r="D543">
        <v>2</v>
      </c>
      <c r="E543" s="3">
        <f t="shared" si="8"/>
        <v>7</v>
      </c>
    </row>
    <row r="544" spans="1:5" x14ac:dyDescent="0.2">
      <c r="A544">
        <v>6</v>
      </c>
      <c r="B544" t="s">
        <v>523</v>
      </c>
      <c r="C544">
        <v>0</v>
      </c>
      <c r="D544">
        <v>1</v>
      </c>
      <c r="E544" s="3">
        <f t="shared" si="8"/>
        <v>7</v>
      </c>
    </row>
    <row r="545" spans="1:5" x14ac:dyDescent="0.2">
      <c r="A545">
        <v>7</v>
      </c>
      <c r="B545" s="2" t="s">
        <v>10</v>
      </c>
      <c r="C545" s="2" t="s">
        <v>10</v>
      </c>
      <c r="D545" s="2" t="s">
        <v>10</v>
      </c>
      <c r="E545" s="3">
        <f t="shared" si="8"/>
        <v>7</v>
      </c>
    </row>
    <row r="546" spans="1:5" x14ac:dyDescent="0.2">
      <c r="A546">
        <v>8</v>
      </c>
      <c r="B546" s="2" t="s">
        <v>10</v>
      </c>
      <c r="C546" s="2" t="s">
        <v>10</v>
      </c>
      <c r="D546" s="2" t="s">
        <v>10</v>
      </c>
      <c r="E546" s="3">
        <f t="shared" si="8"/>
        <v>7</v>
      </c>
    </row>
    <row r="547" spans="1:5" x14ac:dyDescent="0.2">
      <c r="A547" s="1" t="s">
        <v>538</v>
      </c>
      <c r="E547" s="3">
        <f t="shared" si="8"/>
        <v>7</v>
      </c>
    </row>
    <row r="548" spans="1:5" x14ac:dyDescent="0.2">
      <c r="A548" s="1" t="s">
        <v>1</v>
      </c>
      <c r="B548" s="1" t="s">
        <v>2</v>
      </c>
      <c r="C548" s="1" t="s">
        <v>3</v>
      </c>
      <c r="D548" s="1" t="s">
        <v>4</v>
      </c>
      <c r="E548" s="3">
        <f t="shared" si="8"/>
        <v>7</v>
      </c>
    </row>
    <row r="549" spans="1:5" x14ac:dyDescent="0.2">
      <c r="A549">
        <v>1</v>
      </c>
      <c r="B549" t="s">
        <v>506</v>
      </c>
      <c r="C549">
        <v>1</v>
      </c>
      <c r="D549">
        <v>16</v>
      </c>
      <c r="E549" s="3">
        <f t="shared" si="8"/>
        <v>7</v>
      </c>
    </row>
    <row r="550" spans="1:5" x14ac:dyDescent="0.2">
      <c r="A550">
        <v>2</v>
      </c>
      <c r="B550" t="s">
        <v>25</v>
      </c>
      <c r="C550">
        <v>1</v>
      </c>
      <c r="D550">
        <v>12</v>
      </c>
      <c r="E550" s="3">
        <f t="shared" si="8"/>
        <v>7</v>
      </c>
    </row>
    <row r="551" spans="1:5" x14ac:dyDescent="0.2">
      <c r="A551">
        <v>3</v>
      </c>
      <c r="B551" t="s">
        <v>528</v>
      </c>
      <c r="C551">
        <v>3</v>
      </c>
      <c r="D551">
        <v>8</v>
      </c>
      <c r="E551" s="3">
        <f t="shared" si="8"/>
        <v>7</v>
      </c>
    </row>
    <row r="552" spans="1:5" x14ac:dyDescent="0.2">
      <c r="A552">
        <v>4</v>
      </c>
      <c r="B552" t="s">
        <v>508</v>
      </c>
      <c r="C552">
        <v>0</v>
      </c>
      <c r="D552">
        <v>4</v>
      </c>
      <c r="E552" s="3">
        <f t="shared" si="8"/>
        <v>7</v>
      </c>
    </row>
    <row r="553" spans="1:5" x14ac:dyDescent="0.2">
      <c r="A553">
        <v>5</v>
      </c>
      <c r="B553" t="s">
        <v>476</v>
      </c>
      <c r="C553">
        <v>0</v>
      </c>
      <c r="D553">
        <v>2</v>
      </c>
      <c r="E553" s="3">
        <f t="shared" si="8"/>
        <v>7</v>
      </c>
    </row>
    <row r="554" spans="1:5" x14ac:dyDescent="0.2">
      <c r="A554">
        <v>6</v>
      </c>
      <c r="B554" t="s">
        <v>19</v>
      </c>
      <c r="C554">
        <v>0</v>
      </c>
      <c r="D554">
        <v>1</v>
      </c>
      <c r="E554" s="3">
        <f t="shared" si="8"/>
        <v>7</v>
      </c>
    </row>
    <row r="555" spans="1:5" x14ac:dyDescent="0.2">
      <c r="A555">
        <v>7</v>
      </c>
      <c r="B555" s="2" t="s">
        <v>10</v>
      </c>
      <c r="C555" s="2" t="s">
        <v>10</v>
      </c>
      <c r="D555" s="2" t="s">
        <v>10</v>
      </c>
      <c r="E555" s="3">
        <f t="shared" si="8"/>
        <v>7</v>
      </c>
    </row>
    <row r="556" spans="1:5" x14ac:dyDescent="0.2">
      <c r="A556">
        <v>8</v>
      </c>
      <c r="B556" s="2" t="s">
        <v>10</v>
      </c>
      <c r="C556" s="2" t="s">
        <v>10</v>
      </c>
      <c r="D556" s="2" t="s">
        <v>10</v>
      </c>
      <c r="E556" s="3">
        <f t="shared" si="8"/>
        <v>7</v>
      </c>
    </row>
    <row r="557" spans="1:5" x14ac:dyDescent="0.2">
      <c r="A557" s="1" t="s">
        <v>539</v>
      </c>
      <c r="E557" s="3">
        <f t="shared" si="8"/>
        <v>7</v>
      </c>
    </row>
    <row r="558" spans="1:5" x14ac:dyDescent="0.2">
      <c r="A558" s="1" t="s">
        <v>1</v>
      </c>
      <c r="B558" s="1" t="s">
        <v>2</v>
      </c>
      <c r="C558" s="1" t="s">
        <v>3</v>
      </c>
      <c r="D558" s="1" t="s">
        <v>4</v>
      </c>
      <c r="E558" s="3">
        <f t="shared" si="8"/>
        <v>7</v>
      </c>
    </row>
    <row r="559" spans="1:5" x14ac:dyDescent="0.2">
      <c r="A559">
        <v>1</v>
      </c>
      <c r="B559" t="s">
        <v>66</v>
      </c>
      <c r="C559">
        <v>3</v>
      </c>
      <c r="D559">
        <v>16</v>
      </c>
      <c r="E559" s="3">
        <f t="shared" si="8"/>
        <v>7</v>
      </c>
    </row>
    <row r="560" spans="1:5" x14ac:dyDescent="0.2">
      <c r="A560">
        <v>2</v>
      </c>
      <c r="B560" t="s">
        <v>485</v>
      </c>
      <c r="C560">
        <v>1</v>
      </c>
      <c r="D560">
        <v>12</v>
      </c>
      <c r="E560" s="3">
        <f t="shared" si="8"/>
        <v>7</v>
      </c>
    </row>
    <row r="561" spans="1:5" x14ac:dyDescent="0.2">
      <c r="A561">
        <v>3</v>
      </c>
      <c r="B561" t="s">
        <v>534</v>
      </c>
      <c r="C561">
        <v>0</v>
      </c>
      <c r="D561">
        <v>8</v>
      </c>
      <c r="E561" s="3">
        <f t="shared" si="8"/>
        <v>7</v>
      </c>
    </row>
    <row r="562" spans="1:5" x14ac:dyDescent="0.2">
      <c r="A562">
        <v>4</v>
      </c>
      <c r="B562" t="s">
        <v>21</v>
      </c>
      <c r="C562">
        <v>1</v>
      </c>
      <c r="D562">
        <v>4</v>
      </c>
      <c r="E562" s="3">
        <f t="shared" si="8"/>
        <v>7</v>
      </c>
    </row>
    <row r="563" spans="1:5" x14ac:dyDescent="0.2">
      <c r="A563">
        <v>5</v>
      </c>
      <c r="B563" t="s">
        <v>81</v>
      </c>
      <c r="C563">
        <v>0</v>
      </c>
      <c r="D563">
        <v>2</v>
      </c>
      <c r="E563" s="3">
        <f t="shared" si="8"/>
        <v>7</v>
      </c>
    </row>
    <row r="564" spans="1:5" x14ac:dyDescent="0.2">
      <c r="A564">
        <v>6</v>
      </c>
      <c r="B564" t="s">
        <v>280</v>
      </c>
      <c r="C564">
        <v>0</v>
      </c>
      <c r="D564">
        <v>1</v>
      </c>
      <c r="E564" s="3">
        <f t="shared" si="8"/>
        <v>7</v>
      </c>
    </row>
    <row r="565" spans="1:5" x14ac:dyDescent="0.2">
      <c r="A565">
        <v>7</v>
      </c>
      <c r="B565" s="2" t="s">
        <v>10</v>
      </c>
      <c r="C565" s="2" t="s">
        <v>10</v>
      </c>
      <c r="D565" s="2" t="s">
        <v>10</v>
      </c>
      <c r="E565" s="3">
        <f t="shared" si="8"/>
        <v>7</v>
      </c>
    </row>
    <row r="566" spans="1:5" x14ac:dyDescent="0.2">
      <c r="A566">
        <v>8</v>
      </c>
      <c r="B566" s="2" t="s">
        <v>10</v>
      </c>
      <c r="C566" s="2" t="s">
        <v>10</v>
      </c>
      <c r="D566" s="2" t="s">
        <v>10</v>
      </c>
      <c r="E566" s="3">
        <f t="shared" si="8"/>
        <v>7</v>
      </c>
    </row>
    <row r="567" spans="1:5" x14ac:dyDescent="0.2">
      <c r="A567" s="1" t="s">
        <v>540</v>
      </c>
      <c r="E567" s="3">
        <f t="shared" si="8"/>
        <v>7</v>
      </c>
    </row>
    <row r="568" spans="1:5" x14ac:dyDescent="0.2">
      <c r="A568" s="1" t="s">
        <v>1</v>
      </c>
      <c r="B568" s="1" t="s">
        <v>2</v>
      </c>
      <c r="C568" s="1" t="s">
        <v>3</v>
      </c>
      <c r="D568" s="1" t="s">
        <v>4</v>
      </c>
      <c r="E568" s="3">
        <f t="shared" si="8"/>
        <v>7</v>
      </c>
    </row>
    <row r="569" spans="1:5" x14ac:dyDescent="0.2">
      <c r="A569">
        <v>1</v>
      </c>
      <c r="B569" t="s">
        <v>493</v>
      </c>
      <c r="C569">
        <v>1</v>
      </c>
      <c r="D569">
        <v>16</v>
      </c>
      <c r="E569" s="3">
        <f t="shared" si="8"/>
        <v>7</v>
      </c>
    </row>
    <row r="570" spans="1:5" x14ac:dyDescent="0.2">
      <c r="A570">
        <v>2</v>
      </c>
      <c r="B570" t="s">
        <v>451</v>
      </c>
      <c r="C570">
        <v>0</v>
      </c>
      <c r="D570">
        <v>12</v>
      </c>
      <c r="E570" s="3">
        <f t="shared" si="8"/>
        <v>7</v>
      </c>
    </row>
    <row r="571" spans="1:5" x14ac:dyDescent="0.2">
      <c r="A571">
        <v>3</v>
      </c>
      <c r="B571" t="s">
        <v>518</v>
      </c>
      <c r="C571">
        <v>1</v>
      </c>
      <c r="D571">
        <v>8</v>
      </c>
      <c r="E571" s="3">
        <f t="shared" si="8"/>
        <v>7</v>
      </c>
    </row>
    <row r="572" spans="1:5" x14ac:dyDescent="0.2">
      <c r="A572">
        <v>4</v>
      </c>
      <c r="B572" t="s">
        <v>479</v>
      </c>
      <c r="C572">
        <v>0</v>
      </c>
      <c r="D572">
        <v>4</v>
      </c>
      <c r="E572" s="3">
        <f t="shared" si="8"/>
        <v>7</v>
      </c>
    </row>
    <row r="573" spans="1:5" x14ac:dyDescent="0.2">
      <c r="A573">
        <v>5</v>
      </c>
      <c r="B573" t="s">
        <v>9</v>
      </c>
      <c r="C573">
        <v>1</v>
      </c>
      <c r="D573">
        <v>2</v>
      </c>
      <c r="E573" s="3">
        <f t="shared" si="8"/>
        <v>7</v>
      </c>
    </row>
    <row r="574" spans="1:5" x14ac:dyDescent="0.2">
      <c r="A574">
        <v>6</v>
      </c>
      <c r="B574" t="s">
        <v>533</v>
      </c>
      <c r="C574">
        <v>0</v>
      </c>
      <c r="D574">
        <v>1</v>
      </c>
      <c r="E574" s="3">
        <f t="shared" si="8"/>
        <v>7</v>
      </c>
    </row>
    <row r="575" spans="1:5" x14ac:dyDescent="0.2">
      <c r="A575">
        <v>7</v>
      </c>
      <c r="B575" s="2" t="s">
        <v>10</v>
      </c>
      <c r="C575" s="2" t="s">
        <v>10</v>
      </c>
      <c r="D575" s="2" t="s">
        <v>10</v>
      </c>
      <c r="E575" s="3">
        <f t="shared" si="8"/>
        <v>7</v>
      </c>
    </row>
    <row r="576" spans="1:5" x14ac:dyDescent="0.2">
      <c r="A576">
        <v>8</v>
      </c>
      <c r="B576" s="2" t="s">
        <v>10</v>
      </c>
      <c r="C576" s="2" t="s">
        <v>10</v>
      </c>
      <c r="D576" s="2" t="s">
        <v>10</v>
      </c>
      <c r="E576" s="3">
        <f t="shared" si="8"/>
        <v>7</v>
      </c>
    </row>
    <row r="577" spans="1:5" x14ac:dyDescent="0.2">
      <c r="A577" s="1" t="s">
        <v>541</v>
      </c>
      <c r="E577" s="3">
        <f t="shared" si="8"/>
        <v>7</v>
      </c>
    </row>
    <row r="578" spans="1:5" x14ac:dyDescent="0.2">
      <c r="A578" s="1" t="s">
        <v>1</v>
      </c>
      <c r="B578" s="1" t="s">
        <v>2</v>
      </c>
      <c r="C578" s="1" t="s">
        <v>3</v>
      </c>
      <c r="D578" s="1" t="s">
        <v>4</v>
      </c>
      <c r="E578" s="3">
        <f t="shared" si="8"/>
        <v>7</v>
      </c>
    </row>
    <row r="579" spans="1:5" x14ac:dyDescent="0.2">
      <c r="A579">
        <v>1</v>
      </c>
      <c r="B579" t="s">
        <v>490</v>
      </c>
      <c r="C579">
        <v>4</v>
      </c>
      <c r="D579">
        <v>16</v>
      </c>
      <c r="E579" s="3">
        <f t="shared" si="8"/>
        <v>7</v>
      </c>
    </row>
    <row r="580" spans="1:5" x14ac:dyDescent="0.2">
      <c r="A580">
        <v>2</v>
      </c>
      <c r="B580" t="s">
        <v>74</v>
      </c>
      <c r="C580">
        <v>1</v>
      </c>
      <c r="D580">
        <v>12</v>
      </c>
      <c r="E580" s="3">
        <f t="shared" ref="E580:E643" si="9">IF(A580=$A$1,E579+1,E579)</f>
        <v>7</v>
      </c>
    </row>
    <row r="581" spans="1:5" x14ac:dyDescent="0.2">
      <c r="A581">
        <v>3</v>
      </c>
      <c r="B581" t="s">
        <v>46</v>
      </c>
      <c r="C581">
        <v>0</v>
      </c>
      <c r="D581">
        <v>8</v>
      </c>
      <c r="E581" s="3">
        <f t="shared" si="9"/>
        <v>7</v>
      </c>
    </row>
    <row r="582" spans="1:5" x14ac:dyDescent="0.2">
      <c r="A582">
        <v>4</v>
      </c>
      <c r="B582" t="s">
        <v>501</v>
      </c>
      <c r="C582">
        <v>0</v>
      </c>
      <c r="D582">
        <v>4</v>
      </c>
      <c r="E582" s="3">
        <f t="shared" si="9"/>
        <v>7</v>
      </c>
    </row>
    <row r="583" spans="1:5" x14ac:dyDescent="0.2">
      <c r="A583">
        <v>5</v>
      </c>
      <c r="B583" t="s">
        <v>32</v>
      </c>
      <c r="C583">
        <v>0</v>
      </c>
      <c r="D583">
        <v>2</v>
      </c>
      <c r="E583" s="3">
        <f t="shared" si="9"/>
        <v>7</v>
      </c>
    </row>
    <row r="584" spans="1:5" x14ac:dyDescent="0.2">
      <c r="A584">
        <v>6</v>
      </c>
      <c r="B584" t="s">
        <v>521</v>
      </c>
      <c r="C584">
        <v>0</v>
      </c>
      <c r="D584">
        <v>1</v>
      </c>
      <c r="E584" s="3">
        <f t="shared" si="9"/>
        <v>7</v>
      </c>
    </row>
    <row r="585" spans="1:5" x14ac:dyDescent="0.2">
      <c r="A585">
        <v>7</v>
      </c>
      <c r="B585" s="2" t="s">
        <v>10</v>
      </c>
      <c r="C585" s="2" t="s">
        <v>10</v>
      </c>
      <c r="D585" s="2" t="s">
        <v>10</v>
      </c>
      <c r="E585" s="3">
        <f t="shared" si="9"/>
        <v>7</v>
      </c>
    </row>
    <row r="586" spans="1:5" x14ac:dyDescent="0.2">
      <c r="A586">
        <v>8</v>
      </c>
      <c r="B586" s="2" t="s">
        <v>10</v>
      </c>
      <c r="C586" s="2" t="s">
        <v>10</v>
      </c>
      <c r="D586" s="2" t="s">
        <v>10</v>
      </c>
      <c r="E586" s="3">
        <f t="shared" si="9"/>
        <v>7</v>
      </c>
    </row>
    <row r="587" spans="1:5" x14ac:dyDescent="0.2">
      <c r="A587" s="1" t="s">
        <v>542</v>
      </c>
      <c r="E587" s="3">
        <f t="shared" si="9"/>
        <v>7</v>
      </c>
    </row>
    <row r="588" spans="1:5" x14ac:dyDescent="0.2">
      <c r="A588" s="1" t="s">
        <v>1</v>
      </c>
      <c r="B588" s="1" t="s">
        <v>2</v>
      </c>
      <c r="C588" s="1" t="s">
        <v>3</v>
      </c>
      <c r="D588" s="1" t="s">
        <v>4</v>
      </c>
      <c r="E588" s="3">
        <f t="shared" si="9"/>
        <v>7</v>
      </c>
    </row>
    <row r="589" spans="1:5" x14ac:dyDescent="0.2">
      <c r="A589">
        <v>1</v>
      </c>
      <c r="B589" t="s">
        <v>535</v>
      </c>
      <c r="C589">
        <v>4</v>
      </c>
      <c r="D589">
        <v>16</v>
      </c>
      <c r="E589" s="3">
        <f t="shared" si="9"/>
        <v>7</v>
      </c>
    </row>
    <row r="590" spans="1:5" x14ac:dyDescent="0.2">
      <c r="A590">
        <v>2</v>
      </c>
      <c r="B590" t="s">
        <v>502</v>
      </c>
      <c r="C590">
        <v>1</v>
      </c>
      <c r="D590">
        <v>12</v>
      </c>
      <c r="E590" s="3">
        <f t="shared" si="9"/>
        <v>7</v>
      </c>
    </row>
    <row r="591" spans="1:5" x14ac:dyDescent="0.2">
      <c r="A591">
        <v>3</v>
      </c>
      <c r="B591" t="s">
        <v>42</v>
      </c>
      <c r="C591">
        <v>0</v>
      </c>
      <c r="D591">
        <v>8</v>
      </c>
      <c r="E591" s="3">
        <f t="shared" si="9"/>
        <v>7</v>
      </c>
    </row>
    <row r="592" spans="1:5" x14ac:dyDescent="0.2">
      <c r="A592">
        <v>4</v>
      </c>
      <c r="B592" t="s">
        <v>454</v>
      </c>
      <c r="C592">
        <v>0</v>
      </c>
      <c r="D592">
        <v>4</v>
      </c>
      <c r="E592" s="3">
        <f t="shared" si="9"/>
        <v>7</v>
      </c>
    </row>
    <row r="593" spans="1:5" x14ac:dyDescent="0.2">
      <c r="A593">
        <v>5</v>
      </c>
      <c r="B593" t="s">
        <v>101</v>
      </c>
      <c r="C593">
        <v>0</v>
      </c>
      <c r="D593">
        <v>2</v>
      </c>
      <c r="E593" s="3">
        <f t="shared" si="9"/>
        <v>7</v>
      </c>
    </row>
    <row r="594" spans="1:5" x14ac:dyDescent="0.2">
      <c r="A594">
        <v>6</v>
      </c>
      <c r="B594" t="s">
        <v>55</v>
      </c>
      <c r="C594">
        <v>0</v>
      </c>
      <c r="D594">
        <v>1</v>
      </c>
      <c r="E594" s="3">
        <f t="shared" si="9"/>
        <v>7</v>
      </c>
    </row>
    <row r="595" spans="1:5" x14ac:dyDescent="0.2">
      <c r="A595">
        <v>7</v>
      </c>
      <c r="B595" s="2" t="s">
        <v>10</v>
      </c>
      <c r="C595" s="2" t="s">
        <v>10</v>
      </c>
      <c r="D595" s="2" t="s">
        <v>10</v>
      </c>
      <c r="E595" s="3">
        <f t="shared" si="9"/>
        <v>7</v>
      </c>
    </row>
    <row r="596" spans="1:5" x14ac:dyDescent="0.2">
      <c r="A596">
        <v>8</v>
      </c>
      <c r="B596" s="2" t="s">
        <v>10</v>
      </c>
      <c r="C596" s="2" t="s">
        <v>10</v>
      </c>
      <c r="D596" s="2" t="s">
        <v>10</v>
      </c>
      <c r="E596" s="3">
        <f t="shared" si="9"/>
        <v>7</v>
      </c>
    </row>
    <row r="597" spans="1:5" x14ac:dyDescent="0.2">
      <c r="A597" s="1" t="s">
        <v>543</v>
      </c>
      <c r="E597" s="3">
        <f t="shared" si="9"/>
        <v>7</v>
      </c>
    </row>
    <row r="598" spans="1:5" x14ac:dyDescent="0.2">
      <c r="A598" s="1" t="s">
        <v>1</v>
      </c>
      <c r="B598" s="1" t="s">
        <v>2</v>
      </c>
      <c r="C598" s="1" t="s">
        <v>3</v>
      </c>
      <c r="D598" s="1" t="s">
        <v>4</v>
      </c>
      <c r="E598" s="3">
        <f t="shared" si="9"/>
        <v>7</v>
      </c>
    </row>
    <row r="599" spans="1:5" x14ac:dyDescent="0.2">
      <c r="A599">
        <v>1</v>
      </c>
      <c r="B599" t="s">
        <v>507</v>
      </c>
      <c r="C599">
        <v>3</v>
      </c>
      <c r="D599">
        <v>16</v>
      </c>
      <c r="E599" s="3">
        <f t="shared" si="9"/>
        <v>7</v>
      </c>
    </row>
    <row r="600" spans="1:5" x14ac:dyDescent="0.2">
      <c r="A600">
        <v>2</v>
      </c>
      <c r="B600" t="s">
        <v>65</v>
      </c>
      <c r="C600">
        <v>0</v>
      </c>
      <c r="D600">
        <v>12</v>
      </c>
      <c r="E600" s="3">
        <f t="shared" si="9"/>
        <v>7</v>
      </c>
    </row>
    <row r="601" spans="1:5" x14ac:dyDescent="0.2">
      <c r="A601">
        <v>3</v>
      </c>
      <c r="B601" t="s">
        <v>536</v>
      </c>
      <c r="C601">
        <v>1</v>
      </c>
      <c r="D601">
        <v>8</v>
      </c>
      <c r="E601" s="3">
        <f t="shared" si="9"/>
        <v>7</v>
      </c>
    </row>
    <row r="602" spans="1:5" x14ac:dyDescent="0.2">
      <c r="A602">
        <v>4</v>
      </c>
      <c r="B602" t="s">
        <v>515</v>
      </c>
      <c r="C602">
        <v>0</v>
      </c>
      <c r="D602">
        <v>4</v>
      </c>
      <c r="E602" s="3">
        <f t="shared" si="9"/>
        <v>7</v>
      </c>
    </row>
    <row r="603" spans="1:5" x14ac:dyDescent="0.2">
      <c r="A603">
        <v>5</v>
      </c>
      <c r="B603" t="s">
        <v>15</v>
      </c>
      <c r="C603">
        <v>1</v>
      </c>
      <c r="D603">
        <v>2</v>
      </c>
      <c r="E603" s="3">
        <f t="shared" si="9"/>
        <v>7</v>
      </c>
    </row>
    <row r="604" spans="1:5" x14ac:dyDescent="0.2">
      <c r="A604">
        <v>6</v>
      </c>
      <c r="B604" t="s">
        <v>527</v>
      </c>
      <c r="C604">
        <v>0</v>
      </c>
      <c r="D604">
        <v>1</v>
      </c>
      <c r="E604" s="3">
        <f t="shared" si="9"/>
        <v>7</v>
      </c>
    </row>
    <row r="605" spans="1:5" x14ac:dyDescent="0.2">
      <c r="A605">
        <v>7</v>
      </c>
      <c r="B605" s="2" t="s">
        <v>10</v>
      </c>
      <c r="C605" s="2" t="s">
        <v>10</v>
      </c>
      <c r="D605" s="2" t="s">
        <v>10</v>
      </c>
      <c r="E605" s="3">
        <f t="shared" si="9"/>
        <v>7</v>
      </c>
    </row>
    <row r="606" spans="1:5" x14ac:dyDescent="0.2">
      <c r="A606">
        <v>8</v>
      </c>
      <c r="B606" s="2" t="s">
        <v>10</v>
      </c>
      <c r="C606" s="2" t="s">
        <v>10</v>
      </c>
      <c r="D606" s="2" t="s">
        <v>10</v>
      </c>
      <c r="E606" s="3">
        <f t="shared" si="9"/>
        <v>7</v>
      </c>
    </row>
    <row r="607" spans="1:5" x14ac:dyDescent="0.2">
      <c r="A607" s="1" t="s">
        <v>544</v>
      </c>
      <c r="E607" s="3">
        <f t="shared" si="9"/>
        <v>7</v>
      </c>
    </row>
    <row r="608" spans="1:5" x14ac:dyDescent="0.2">
      <c r="A608" s="1" t="s">
        <v>1</v>
      </c>
      <c r="B608" s="1" t="s">
        <v>2</v>
      </c>
      <c r="C608" s="1" t="s">
        <v>3</v>
      </c>
      <c r="D608" s="1" t="s">
        <v>4</v>
      </c>
      <c r="E608" s="3">
        <f t="shared" si="9"/>
        <v>7</v>
      </c>
    </row>
    <row r="609" spans="1:5" x14ac:dyDescent="0.2">
      <c r="A609">
        <v>1</v>
      </c>
      <c r="B609" t="s">
        <v>452</v>
      </c>
      <c r="C609">
        <v>4</v>
      </c>
      <c r="D609">
        <v>17</v>
      </c>
      <c r="E609" s="3">
        <f t="shared" si="9"/>
        <v>7</v>
      </c>
    </row>
    <row r="610" spans="1:5" x14ac:dyDescent="0.2">
      <c r="A610">
        <v>2</v>
      </c>
      <c r="B610" t="s">
        <v>6</v>
      </c>
      <c r="C610">
        <v>0</v>
      </c>
      <c r="D610">
        <v>13</v>
      </c>
      <c r="E610" s="3">
        <f t="shared" si="9"/>
        <v>7</v>
      </c>
    </row>
    <row r="611" spans="1:5" x14ac:dyDescent="0.2">
      <c r="A611">
        <v>3</v>
      </c>
      <c r="B611" t="s">
        <v>505</v>
      </c>
      <c r="C611">
        <v>1</v>
      </c>
      <c r="D611">
        <v>9</v>
      </c>
      <c r="E611" s="3">
        <f t="shared" si="9"/>
        <v>7</v>
      </c>
    </row>
    <row r="612" spans="1:5" x14ac:dyDescent="0.2">
      <c r="A612">
        <v>4</v>
      </c>
      <c r="B612" t="s">
        <v>73</v>
      </c>
      <c r="C612">
        <v>1</v>
      </c>
      <c r="D612">
        <v>5</v>
      </c>
      <c r="E612" s="3">
        <f t="shared" si="9"/>
        <v>7</v>
      </c>
    </row>
    <row r="613" spans="1:5" x14ac:dyDescent="0.2">
      <c r="A613">
        <v>5</v>
      </c>
      <c r="B613" t="s">
        <v>59</v>
      </c>
      <c r="C613">
        <v>0</v>
      </c>
      <c r="D613">
        <v>3</v>
      </c>
      <c r="E613" s="3">
        <f t="shared" si="9"/>
        <v>7</v>
      </c>
    </row>
    <row r="614" spans="1:5" x14ac:dyDescent="0.2">
      <c r="A614">
        <v>6</v>
      </c>
      <c r="B614" t="s">
        <v>519</v>
      </c>
      <c r="C614">
        <v>0</v>
      </c>
      <c r="D614">
        <v>2</v>
      </c>
      <c r="E614" s="3">
        <f t="shared" si="9"/>
        <v>7</v>
      </c>
    </row>
    <row r="615" spans="1:5" x14ac:dyDescent="0.2">
      <c r="A615">
        <v>7</v>
      </c>
      <c r="B615" t="s">
        <v>475</v>
      </c>
      <c r="C615">
        <v>0</v>
      </c>
      <c r="D615">
        <v>1</v>
      </c>
      <c r="E615" s="3">
        <f t="shared" si="9"/>
        <v>7</v>
      </c>
    </row>
    <row r="616" spans="1:5" x14ac:dyDescent="0.2">
      <c r="A616">
        <v>8</v>
      </c>
      <c r="B616" s="2" t="s">
        <v>10</v>
      </c>
      <c r="C616" s="2" t="s">
        <v>10</v>
      </c>
      <c r="D616" s="2" t="s">
        <v>10</v>
      </c>
      <c r="E616" s="3">
        <f t="shared" si="9"/>
        <v>7</v>
      </c>
    </row>
    <row r="617" spans="1:5" x14ac:dyDescent="0.2">
      <c r="A617" s="1" t="s">
        <v>0</v>
      </c>
      <c r="E617" s="3">
        <f t="shared" si="9"/>
        <v>8</v>
      </c>
    </row>
    <row r="618" spans="1:5" x14ac:dyDescent="0.2">
      <c r="A618" s="1" t="s">
        <v>1</v>
      </c>
      <c r="B618" s="1" t="s">
        <v>2</v>
      </c>
      <c r="C618" s="1" t="s">
        <v>3</v>
      </c>
      <c r="D618" s="1" t="s">
        <v>4</v>
      </c>
      <c r="E618" s="3">
        <f t="shared" si="9"/>
        <v>8</v>
      </c>
    </row>
    <row r="619" spans="1:5" x14ac:dyDescent="0.2">
      <c r="A619">
        <v>0</v>
      </c>
      <c r="C619">
        <v>0</v>
      </c>
      <c r="D619">
        <v>0</v>
      </c>
      <c r="E619" s="3">
        <f t="shared" si="9"/>
        <v>8</v>
      </c>
    </row>
    <row r="620" spans="1:5" x14ac:dyDescent="0.2">
      <c r="A620">
        <v>0</v>
      </c>
      <c r="C620">
        <v>0</v>
      </c>
      <c r="D620">
        <v>0</v>
      </c>
      <c r="E620" s="3">
        <f t="shared" si="9"/>
        <v>8</v>
      </c>
    </row>
    <row r="621" spans="1:5" x14ac:dyDescent="0.2">
      <c r="A621">
        <v>1</v>
      </c>
      <c r="B621" t="s">
        <v>27</v>
      </c>
      <c r="C621">
        <v>2</v>
      </c>
      <c r="D621">
        <v>16</v>
      </c>
      <c r="E621" s="3">
        <f t="shared" si="9"/>
        <v>8</v>
      </c>
    </row>
    <row r="622" spans="1:5" x14ac:dyDescent="0.2">
      <c r="A622">
        <v>2</v>
      </c>
      <c r="B622" t="s">
        <v>345</v>
      </c>
      <c r="C622">
        <v>2</v>
      </c>
      <c r="D622">
        <v>12</v>
      </c>
      <c r="E622" s="3">
        <f t="shared" si="9"/>
        <v>8</v>
      </c>
    </row>
    <row r="623" spans="1:5" x14ac:dyDescent="0.2">
      <c r="A623">
        <v>3</v>
      </c>
      <c r="B623" t="s">
        <v>532</v>
      </c>
      <c r="C623">
        <v>0</v>
      </c>
      <c r="D623">
        <v>8</v>
      </c>
      <c r="E623" s="3">
        <f t="shared" si="9"/>
        <v>8</v>
      </c>
    </row>
    <row r="624" spans="1:5" x14ac:dyDescent="0.2">
      <c r="A624">
        <v>4</v>
      </c>
      <c r="B624" t="s">
        <v>76</v>
      </c>
      <c r="C624">
        <v>0</v>
      </c>
      <c r="D624">
        <v>4</v>
      </c>
      <c r="E624" s="3">
        <f t="shared" si="9"/>
        <v>8</v>
      </c>
    </row>
    <row r="625" spans="1:5" x14ac:dyDescent="0.2">
      <c r="A625">
        <v>5</v>
      </c>
      <c r="B625" t="s">
        <v>535</v>
      </c>
      <c r="C625">
        <v>1</v>
      </c>
      <c r="D625">
        <v>2</v>
      </c>
      <c r="E625" s="3">
        <f t="shared" si="9"/>
        <v>8</v>
      </c>
    </row>
    <row r="626" spans="1:5" x14ac:dyDescent="0.2">
      <c r="A626">
        <v>6</v>
      </c>
      <c r="B626" t="s">
        <v>61</v>
      </c>
      <c r="C626">
        <v>0</v>
      </c>
      <c r="D626">
        <v>1</v>
      </c>
      <c r="E626" s="3">
        <f t="shared" si="9"/>
        <v>8</v>
      </c>
    </row>
    <row r="627" spans="1:5" x14ac:dyDescent="0.2">
      <c r="A627">
        <v>9</v>
      </c>
      <c r="B627" s="2" t="s">
        <v>10</v>
      </c>
      <c r="C627" s="2" t="s">
        <v>10</v>
      </c>
      <c r="D627" s="2" t="s">
        <v>10</v>
      </c>
      <c r="E627" s="3">
        <f t="shared" si="9"/>
        <v>8</v>
      </c>
    </row>
    <row r="628" spans="1:5" x14ac:dyDescent="0.2">
      <c r="A628">
        <v>10</v>
      </c>
      <c r="B628" s="2" t="s">
        <v>10</v>
      </c>
      <c r="C628" s="2" t="s">
        <v>10</v>
      </c>
      <c r="D628" s="2" t="s">
        <v>10</v>
      </c>
      <c r="E628" s="3">
        <f t="shared" si="9"/>
        <v>8</v>
      </c>
    </row>
    <row r="629" spans="1:5" x14ac:dyDescent="0.2">
      <c r="A629" s="1" t="s">
        <v>11</v>
      </c>
      <c r="E629" s="3">
        <f t="shared" si="9"/>
        <v>8</v>
      </c>
    </row>
    <row r="630" spans="1:5" x14ac:dyDescent="0.2">
      <c r="A630" s="1" t="s">
        <v>1</v>
      </c>
      <c r="B630" s="1" t="s">
        <v>2</v>
      </c>
      <c r="C630" s="1" t="s">
        <v>3</v>
      </c>
      <c r="D630" s="1" t="s">
        <v>4</v>
      </c>
      <c r="E630" s="3">
        <f t="shared" si="9"/>
        <v>8</v>
      </c>
    </row>
    <row r="631" spans="1:5" x14ac:dyDescent="0.2">
      <c r="A631">
        <v>0</v>
      </c>
      <c r="C631">
        <v>0</v>
      </c>
      <c r="D631">
        <v>0</v>
      </c>
      <c r="E631" s="3">
        <f t="shared" si="9"/>
        <v>8</v>
      </c>
    </row>
    <row r="632" spans="1:5" x14ac:dyDescent="0.2">
      <c r="A632">
        <v>1</v>
      </c>
      <c r="B632" t="s">
        <v>476</v>
      </c>
      <c r="C632">
        <v>3</v>
      </c>
      <c r="D632">
        <v>17</v>
      </c>
      <c r="E632" s="3">
        <f t="shared" si="9"/>
        <v>8</v>
      </c>
    </row>
    <row r="633" spans="1:5" x14ac:dyDescent="0.2">
      <c r="A633">
        <v>2</v>
      </c>
      <c r="B633" t="s">
        <v>518</v>
      </c>
      <c r="C633">
        <v>0</v>
      </c>
      <c r="D633">
        <v>13</v>
      </c>
      <c r="E633" s="3">
        <f t="shared" si="9"/>
        <v>8</v>
      </c>
    </row>
    <row r="634" spans="1:5" x14ac:dyDescent="0.2">
      <c r="A634">
        <v>3</v>
      </c>
      <c r="B634" t="s">
        <v>530</v>
      </c>
      <c r="C634">
        <v>1</v>
      </c>
      <c r="D634">
        <v>9</v>
      </c>
      <c r="E634" s="3">
        <f t="shared" si="9"/>
        <v>8</v>
      </c>
    </row>
    <row r="635" spans="1:5" x14ac:dyDescent="0.2">
      <c r="A635">
        <v>4</v>
      </c>
      <c r="B635" t="s">
        <v>500</v>
      </c>
      <c r="C635">
        <v>2</v>
      </c>
      <c r="D635">
        <v>5</v>
      </c>
      <c r="E635" s="3">
        <f t="shared" si="9"/>
        <v>8</v>
      </c>
    </row>
    <row r="636" spans="1:5" x14ac:dyDescent="0.2">
      <c r="A636">
        <v>5</v>
      </c>
      <c r="B636" t="s">
        <v>502</v>
      </c>
      <c r="C636">
        <v>0</v>
      </c>
      <c r="D636">
        <v>3</v>
      </c>
      <c r="E636" s="3">
        <f t="shared" si="9"/>
        <v>8</v>
      </c>
    </row>
    <row r="637" spans="1:5" x14ac:dyDescent="0.2">
      <c r="A637">
        <v>6</v>
      </c>
      <c r="B637" t="s">
        <v>519</v>
      </c>
      <c r="C637">
        <v>0</v>
      </c>
      <c r="D637">
        <v>2</v>
      </c>
      <c r="E637" s="3">
        <f t="shared" si="9"/>
        <v>8</v>
      </c>
    </row>
    <row r="638" spans="1:5" x14ac:dyDescent="0.2">
      <c r="A638">
        <v>7</v>
      </c>
      <c r="B638" t="s">
        <v>485</v>
      </c>
      <c r="C638">
        <v>0</v>
      </c>
      <c r="D638">
        <v>1</v>
      </c>
      <c r="E638" s="3">
        <f t="shared" si="9"/>
        <v>8</v>
      </c>
    </row>
    <row r="639" spans="1:5" x14ac:dyDescent="0.2">
      <c r="A639">
        <v>9</v>
      </c>
      <c r="B639" s="2" t="s">
        <v>10</v>
      </c>
      <c r="C639" s="2" t="s">
        <v>10</v>
      </c>
      <c r="D639" s="2" t="s">
        <v>10</v>
      </c>
      <c r="E639" s="3">
        <f t="shared" si="9"/>
        <v>8</v>
      </c>
    </row>
    <row r="640" spans="1:5" x14ac:dyDescent="0.2">
      <c r="A640" s="1" t="s">
        <v>17</v>
      </c>
      <c r="E640" s="3">
        <f t="shared" si="9"/>
        <v>8</v>
      </c>
    </row>
    <row r="641" spans="1:5" x14ac:dyDescent="0.2">
      <c r="A641" s="1" t="s">
        <v>1</v>
      </c>
      <c r="B641" s="1" t="s">
        <v>2</v>
      </c>
      <c r="C641" s="1" t="s">
        <v>3</v>
      </c>
      <c r="D641" s="1" t="s">
        <v>4</v>
      </c>
      <c r="E641" s="3">
        <f t="shared" si="9"/>
        <v>8</v>
      </c>
    </row>
    <row r="642" spans="1:5" x14ac:dyDescent="0.2">
      <c r="A642">
        <v>1</v>
      </c>
      <c r="B642" t="s">
        <v>493</v>
      </c>
      <c r="C642">
        <v>2</v>
      </c>
      <c r="D642">
        <v>17</v>
      </c>
      <c r="E642" s="3">
        <f t="shared" si="9"/>
        <v>8</v>
      </c>
    </row>
    <row r="643" spans="1:5" x14ac:dyDescent="0.2">
      <c r="A643">
        <v>2</v>
      </c>
      <c r="B643" t="s">
        <v>526</v>
      </c>
      <c r="C643">
        <v>1</v>
      </c>
      <c r="D643">
        <v>13</v>
      </c>
      <c r="E643" s="3">
        <f t="shared" si="9"/>
        <v>8</v>
      </c>
    </row>
    <row r="644" spans="1:5" x14ac:dyDescent="0.2">
      <c r="A644">
        <v>3</v>
      </c>
      <c r="B644" t="s">
        <v>534</v>
      </c>
      <c r="C644">
        <v>0</v>
      </c>
      <c r="D644">
        <v>9</v>
      </c>
      <c r="E644" s="3">
        <f t="shared" ref="E644:E707" si="10">IF(A644=$A$1,E643+1,E643)</f>
        <v>8</v>
      </c>
    </row>
    <row r="645" spans="1:5" x14ac:dyDescent="0.2">
      <c r="A645">
        <v>3</v>
      </c>
      <c r="B645" t="s">
        <v>101</v>
      </c>
      <c r="C645">
        <v>0</v>
      </c>
      <c r="D645">
        <v>9</v>
      </c>
      <c r="E645" s="3">
        <f t="shared" si="10"/>
        <v>8</v>
      </c>
    </row>
    <row r="646" spans="1:5" x14ac:dyDescent="0.2">
      <c r="A646">
        <v>4</v>
      </c>
      <c r="B646" t="s">
        <v>454</v>
      </c>
      <c r="C646">
        <v>3</v>
      </c>
      <c r="D646">
        <v>5</v>
      </c>
      <c r="E646" s="3">
        <f t="shared" si="10"/>
        <v>8</v>
      </c>
    </row>
    <row r="647" spans="1:5" x14ac:dyDescent="0.2">
      <c r="A647">
        <v>5</v>
      </c>
      <c r="B647" t="s">
        <v>509</v>
      </c>
      <c r="C647">
        <v>0</v>
      </c>
      <c r="D647">
        <v>3</v>
      </c>
      <c r="E647" s="3">
        <f t="shared" si="10"/>
        <v>8</v>
      </c>
    </row>
    <row r="648" spans="1:5" x14ac:dyDescent="0.2">
      <c r="A648">
        <v>7</v>
      </c>
      <c r="B648" t="s">
        <v>55</v>
      </c>
      <c r="C648">
        <v>0</v>
      </c>
      <c r="D648">
        <v>1</v>
      </c>
      <c r="E648" s="3">
        <f t="shared" si="10"/>
        <v>8</v>
      </c>
    </row>
    <row r="649" spans="1:5" x14ac:dyDescent="0.2">
      <c r="A649">
        <v>8</v>
      </c>
      <c r="B649" s="2" t="s">
        <v>10</v>
      </c>
      <c r="C649" s="2" t="s">
        <v>10</v>
      </c>
      <c r="D649" s="2" t="s">
        <v>10</v>
      </c>
      <c r="E649" s="3">
        <f t="shared" si="10"/>
        <v>8</v>
      </c>
    </row>
    <row r="650" spans="1:5" x14ac:dyDescent="0.2">
      <c r="A650" s="1" t="s">
        <v>24</v>
      </c>
      <c r="E650" s="3">
        <f t="shared" si="10"/>
        <v>8</v>
      </c>
    </row>
    <row r="651" spans="1:5" x14ac:dyDescent="0.2">
      <c r="A651" s="1" t="s">
        <v>1</v>
      </c>
      <c r="B651" s="1" t="s">
        <v>2</v>
      </c>
      <c r="C651" s="1" t="s">
        <v>3</v>
      </c>
      <c r="D651" s="1" t="s">
        <v>4</v>
      </c>
      <c r="E651" s="3">
        <f t="shared" si="10"/>
        <v>8</v>
      </c>
    </row>
    <row r="652" spans="1:5" x14ac:dyDescent="0.2">
      <c r="A652">
        <v>1</v>
      </c>
      <c r="B652" t="s">
        <v>25</v>
      </c>
      <c r="C652">
        <v>1</v>
      </c>
      <c r="D652">
        <v>17</v>
      </c>
      <c r="E652" s="3">
        <f t="shared" si="10"/>
        <v>8</v>
      </c>
    </row>
    <row r="653" spans="1:5" x14ac:dyDescent="0.2">
      <c r="A653">
        <v>2</v>
      </c>
      <c r="B653" t="s">
        <v>510</v>
      </c>
      <c r="C653">
        <v>5</v>
      </c>
      <c r="D653">
        <v>13</v>
      </c>
      <c r="E653" s="3">
        <f t="shared" si="10"/>
        <v>8</v>
      </c>
    </row>
    <row r="654" spans="1:5" x14ac:dyDescent="0.2">
      <c r="A654">
        <v>3</v>
      </c>
      <c r="B654" t="s">
        <v>505</v>
      </c>
      <c r="C654">
        <v>0</v>
      </c>
      <c r="D654">
        <v>9</v>
      </c>
      <c r="E654" s="3">
        <f t="shared" si="10"/>
        <v>8</v>
      </c>
    </row>
    <row r="655" spans="1:5" x14ac:dyDescent="0.2">
      <c r="A655">
        <v>4</v>
      </c>
      <c r="B655" t="s">
        <v>32</v>
      </c>
      <c r="C655">
        <v>0</v>
      </c>
      <c r="D655">
        <v>5</v>
      </c>
      <c r="E655" s="3">
        <f t="shared" si="10"/>
        <v>8</v>
      </c>
    </row>
    <row r="656" spans="1:5" x14ac:dyDescent="0.2">
      <c r="A656">
        <v>5</v>
      </c>
      <c r="B656" t="s">
        <v>490</v>
      </c>
      <c r="C656">
        <v>0</v>
      </c>
      <c r="D656">
        <v>3</v>
      </c>
      <c r="E656" s="3">
        <f t="shared" si="10"/>
        <v>8</v>
      </c>
    </row>
    <row r="657" spans="1:5" x14ac:dyDescent="0.2">
      <c r="A657">
        <v>6</v>
      </c>
      <c r="B657" t="s">
        <v>536</v>
      </c>
      <c r="C657">
        <v>0</v>
      </c>
      <c r="D657">
        <v>2</v>
      </c>
      <c r="E657" s="3">
        <f t="shared" si="10"/>
        <v>8</v>
      </c>
    </row>
    <row r="658" spans="1:5" x14ac:dyDescent="0.2">
      <c r="A658">
        <v>7</v>
      </c>
      <c r="B658" t="s">
        <v>69</v>
      </c>
      <c r="C658">
        <v>0</v>
      </c>
      <c r="D658">
        <v>1</v>
      </c>
      <c r="E658" s="3">
        <f t="shared" si="10"/>
        <v>8</v>
      </c>
    </row>
    <row r="659" spans="1:5" x14ac:dyDescent="0.2">
      <c r="A659">
        <v>8</v>
      </c>
      <c r="B659" s="2" t="s">
        <v>10</v>
      </c>
      <c r="C659" s="2" t="s">
        <v>10</v>
      </c>
      <c r="D659" s="2" t="s">
        <v>10</v>
      </c>
      <c r="E659" s="3">
        <f t="shared" si="10"/>
        <v>8</v>
      </c>
    </row>
    <row r="660" spans="1:5" x14ac:dyDescent="0.2">
      <c r="A660" s="1" t="s">
        <v>30</v>
      </c>
      <c r="E660" s="3">
        <f t="shared" si="10"/>
        <v>8</v>
      </c>
    </row>
    <row r="661" spans="1:5" x14ac:dyDescent="0.2">
      <c r="A661" s="1" t="s">
        <v>1</v>
      </c>
      <c r="B661" s="1" t="s">
        <v>2</v>
      </c>
      <c r="C661" s="1" t="s">
        <v>3</v>
      </c>
      <c r="D661" s="1" t="s">
        <v>4</v>
      </c>
      <c r="E661" s="3">
        <f t="shared" si="10"/>
        <v>8</v>
      </c>
    </row>
    <row r="662" spans="1:5" x14ac:dyDescent="0.2">
      <c r="A662">
        <v>1</v>
      </c>
      <c r="B662" t="s">
        <v>35</v>
      </c>
      <c r="C662">
        <v>1</v>
      </c>
      <c r="D662">
        <v>16</v>
      </c>
      <c r="E662" s="3">
        <f t="shared" si="10"/>
        <v>8</v>
      </c>
    </row>
    <row r="663" spans="1:5" x14ac:dyDescent="0.2">
      <c r="A663">
        <v>2</v>
      </c>
      <c r="B663" t="s">
        <v>503</v>
      </c>
      <c r="C663">
        <v>4</v>
      </c>
      <c r="D663">
        <v>12</v>
      </c>
      <c r="E663" s="3">
        <f t="shared" si="10"/>
        <v>8</v>
      </c>
    </row>
    <row r="664" spans="1:5" x14ac:dyDescent="0.2">
      <c r="A664">
        <v>3</v>
      </c>
      <c r="B664" t="s">
        <v>34</v>
      </c>
      <c r="C664">
        <v>0</v>
      </c>
      <c r="D664">
        <v>8</v>
      </c>
      <c r="E664" s="3">
        <f t="shared" si="10"/>
        <v>8</v>
      </c>
    </row>
    <row r="665" spans="1:5" x14ac:dyDescent="0.2">
      <c r="A665">
        <v>4</v>
      </c>
      <c r="B665" t="s">
        <v>46</v>
      </c>
      <c r="C665">
        <v>0</v>
      </c>
      <c r="D665">
        <v>4</v>
      </c>
      <c r="E665" s="3">
        <f t="shared" si="10"/>
        <v>8</v>
      </c>
    </row>
    <row r="666" spans="1:5" x14ac:dyDescent="0.2">
      <c r="A666">
        <v>5</v>
      </c>
      <c r="B666" t="s">
        <v>479</v>
      </c>
      <c r="C666">
        <v>0</v>
      </c>
      <c r="D666">
        <v>2</v>
      </c>
      <c r="E666" s="3">
        <f t="shared" si="10"/>
        <v>8</v>
      </c>
    </row>
    <row r="667" spans="1:5" x14ac:dyDescent="0.2">
      <c r="A667">
        <v>6</v>
      </c>
      <c r="B667" t="s">
        <v>33</v>
      </c>
      <c r="C667">
        <v>0</v>
      </c>
      <c r="D667">
        <v>1</v>
      </c>
      <c r="E667" s="3">
        <f t="shared" si="10"/>
        <v>8</v>
      </c>
    </row>
    <row r="668" spans="1:5" x14ac:dyDescent="0.2">
      <c r="A668">
        <v>7</v>
      </c>
      <c r="B668" s="2" t="s">
        <v>10</v>
      </c>
      <c r="C668" s="2" t="s">
        <v>10</v>
      </c>
      <c r="D668" s="2" t="s">
        <v>10</v>
      </c>
      <c r="E668" s="3">
        <f t="shared" si="10"/>
        <v>8</v>
      </c>
    </row>
    <row r="669" spans="1:5" x14ac:dyDescent="0.2">
      <c r="A669">
        <v>8</v>
      </c>
      <c r="B669" s="2" t="s">
        <v>10</v>
      </c>
      <c r="C669" s="2" t="s">
        <v>10</v>
      </c>
      <c r="D669" s="2" t="s">
        <v>10</v>
      </c>
      <c r="E669" s="3">
        <f t="shared" si="10"/>
        <v>8</v>
      </c>
    </row>
    <row r="670" spans="1:5" x14ac:dyDescent="0.2">
      <c r="A670" s="1" t="s">
        <v>37</v>
      </c>
      <c r="E670" s="3">
        <f t="shared" si="10"/>
        <v>8</v>
      </c>
    </row>
    <row r="671" spans="1:5" x14ac:dyDescent="0.2">
      <c r="A671" s="1" t="s">
        <v>1</v>
      </c>
      <c r="B671" s="1" t="s">
        <v>2</v>
      </c>
      <c r="C671" s="1" t="s">
        <v>3</v>
      </c>
      <c r="D671" s="1" t="s">
        <v>4</v>
      </c>
      <c r="E671" s="3">
        <f t="shared" si="10"/>
        <v>8</v>
      </c>
    </row>
    <row r="672" spans="1:5" x14ac:dyDescent="0.2">
      <c r="A672">
        <v>1</v>
      </c>
      <c r="B672" t="s">
        <v>87</v>
      </c>
      <c r="C672">
        <v>1</v>
      </c>
      <c r="D672">
        <v>16</v>
      </c>
      <c r="E672" s="3">
        <f t="shared" si="10"/>
        <v>8</v>
      </c>
    </row>
    <row r="673" spans="1:5" x14ac:dyDescent="0.2">
      <c r="A673">
        <v>2</v>
      </c>
      <c r="B673" t="s">
        <v>9</v>
      </c>
      <c r="C673">
        <v>3</v>
      </c>
      <c r="D673">
        <v>12</v>
      </c>
      <c r="E673" s="3">
        <f t="shared" si="10"/>
        <v>8</v>
      </c>
    </row>
    <row r="674" spans="1:5" x14ac:dyDescent="0.2">
      <c r="A674">
        <v>3</v>
      </c>
      <c r="B674" t="s">
        <v>280</v>
      </c>
      <c r="C674">
        <v>0</v>
      </c>
      <c r="D674">
        <v>8</v>
      </c>
      <c r="E674" s="3">
        <f t="shared" si="10"/>
        <v>8</v>
      </c>
    </row>
    <row r="675" spans="1:5" x14ac:dyDescent="0.2">
      <c r="A675">
        <v>4</v>
      </c>
      <c r="B675" t="s">
        <v>451</v>
      </c>
      <c r="C675">
        <v>0</v>
      </c>
      <c r="D675">
        <v>4</v>
      </c>
      <c r="E675" s="3">
        <f t="shared" si="10"/>
        <v>8</v>
      </c>
    </row>
    <row r="676" spans="1:5" x14ac:dyDescent="0.2">
      <c r="A676">
        <v>5</v>
      </c>
      <c r="B676" t="s">
        <v>21</v>
      </c>
      <c r="C676">
        <v>0</v>
      </c>
      <c r="D676">
        <v>2</v>
      </c>
      <c r="E676" s="3">
        <f t="shared" si="10"/>
        <v>8</v>
      </c>
    </row>
    <row r="677" spans="1:5" x14ac:dyDescent="0.2">
      <c r="A677">
        <v>6</v>
      </c>
      <c r="B677" t="s">
        <v>75</v>
      </c>
      <c r="C677">
        <v>0</v>
      </c>
      <c r="D677">
        <v>1</v>
      </c>
      <c r="E677" s="3">
        <f t="shared" si="10"/>
        <v>8</v>
      </c>
    </row>
    <row r="678" spans="1:5" x14ac:dyDescent="0.2">
      <c r="A678">
        <v>7</v>
      </c>
      <c r="B678" s="2" t="s">
        <v>10</v>
      </c>
      <c r="C678" s="2" t="s">
        <v>10</v>
      </c>
      <c r="D678" s="2" t="s">
        <v>10</v>
      </c>
      <c r="E678" s="3">
        <f t="shared" si="10"/>
        <v>8</v>
      </c>
    </row>
    <row r="679" spans="1:5" x14ac:dyDescent="0.2">
      <c r="A679">
        <v>8</v>
      </c>
      <c r="B679" s="2" t="s">
        <v>10</v>
      </c>
      <c r="C679" s="2" t="s">
        <v>10</v>
      </c>
      <c r="D679" s="2" t="s">
        <v>10</v>
      </c>
      <c r="E679" s="3">
        <f t="shared" si="10"/>
        <v>8</v>
      </c>
    </row>
    <row r="680" spans="1:5" x14ac:dyDescent="0.2">
      <c r="A680" s="1" t="s">
        <v>44</v>
      </c>
      <c r="E680" s="3">
        <f t="shared" si="10"/>
        <v>8</v>
      </c>
    </row>
    <row r="681" spans="1:5" x14ac:dyDescent="0.2">
      <c r="A681" s="1" t="s">
        <v>1</v>
      </c>
      <c r="B681" s="1" t="s">
        <v>2</v>
      </c>
      <c r="C681" s="1" t="s">
        <v>3</v>
      </c>
      <c r="D681" s="1" t="s">
        <v>4</v>
      </c>
      <c r="E681" s="3">
        <f t="shared" si="10"/>
        <v>8</v>
      </c>
    </row>
    <row r="682" spans="1:5" x14ac:dyDescent="0.2">
      <c r="A682">
        <v>1</v>
      </c>
      <c r="B682" t="s">
        <v>506</v>
      </c>
      <c r="C682">
        <v>4</v>
      </c>
      <c r="D682">
        <v>17</v>
      </c>
      <c r="E682" s="3">
        <f t="shared" si="10"/>
        <v>8</v>
      </c>
    </row>
    <row r="683" spans="1:5" x14ac:dyDescent="0.2">
      <c r="A683">
        <v>2</v>
      </c>
      <c r="B683" t="s">
        <v>74</v>
      </c>
      <c r="C683">
        <v>2</v>
      </c>
      <c r="D683">
        <v>13</v>
      </c>
      <c r="E683" s="3">
        <f t="shared" si="10"/>
        <v>8</v>
      </c>
    </row>
    <row r="684" spans="1:5" x14ac:dyDescent="0.2">
      <c r="A684">
        <v>3</v>
      </c>
      <c r="B684" t="s">
        <v>19</v>
      </c>
      <c r="C684">
        <v>0</v>
      </c>
      <c r="D684">
        <v>9</v>
      </c>
      <c r="E684" s="3">
        <f t="shared" si="10"/>
        <v>8</v>
      </c>
    </row>
    <row r="685" spans="1:5" x14ac:dyDescent="0.2">
      <c r="A685">
        <v>4</v>
      </c>
      <c r="B685" t="s">
        <v>507</v>
      </c>
      <c r="C685">
        <v>0</v>
      </c>
      <c r="D685">
        <v>5</v>
      </c>
      <c r="E685" s="3">
        <f t="shared" si="10"/>
        <v>8</v>
      </c>
    </row>
    <row r="686" spans="1:5" x14ac:dyDescent="0.2">
      <c r="A686">
        <v>5</v>
      </c>
      <c r="B686" t="s">
        <v>491</v>
      </c>
      <c r="C686">
        <v>0</v>
      </c>
      <c r="D686">
        <v>3</v>
      </c>
      <c r="E686" s="3">
        <f t="shared" si="10"/>
        <v>8</v>
      </c>
    </row>
    <row r="687" spans="1:5" x14ac:dyDescent="0.2">
      <c r="A687">
        <v>6</v>
      </c>
      <c r="B687" t="s">
        <v>66</v>
      </c>
      <c r="C687">
        <v>0</v>
      </c>
      <c r="D687">
        <v>2</v>
      </c>
      <c r="E687" s="3">
        <f t="shared" si="10"/>
        <v>8</v>
      </c>
    </row>
    <row r="688" spans="1:5" x14ac:dyDescent="0.2">
      <c r="A688">
        <v>7</v>
      </c>
      <c r="B688" t="s">
        <v>504</v>
      </c>
      <c r="C688">
        <v>0</v>
      </c>
      <c r="D688">
        <v>1</v>
      </c>
      <c r="E688" s="3">
        <f t="shared" si="10"/>
        <v>8</v>
      </c>
    </row>
    <row r="689" spans="1:5" x14ac:dyDescent="0.2">
      <c r="A689">
        <v>8</v>
      </c>
      <c r="B689" s="2" t="s">
        <v>10</v>
      </c>
      <c r="C689" s="2" t="s">
        <v>10</v>
      </c>
      <c r="D689" s="2" t="s">
        <v>10</v>
      </c>
      <c r="E689" s="3">
        <f t="shared" si="10"/>
        <v>8</v>
      </c>
    </row>
    <row r="690" spans="1:5" x14ac:dyDescent="0.2">
      <c r="A690" s="1" t="s">
        <v>51</v>
      </c>
      <c r="E690" s="3">
        <f t="shared" si="10"/>
        <v>8</v>
      </c>
    </row>
    <row r="691" spans="1:5" x14ac:dyDescent="0.2">
      <c r="A691" s="1" t="s">
        <v>1</v>
      </c>
      <c r="B691" s="1" t="s">
        <v>2</v>
      </c>
      <c r="C691" s="1" t="s">
        <v>3</v>
      </c>
      <c r="D691" s="1" t="s">
        <v>4</v>
      </c>
      <c r="E691" s="3">
        <f t="shared" si="10"/>
        <v>8</v>
      </c>
    </row>
    <row r="692" spans="1:5" x14ac:dyDescent="0.2">
      <c r="A692">
        <v>1</v>
      </c>
      <c r="B692" t="s">
        <v>6</v>
      </c>
      <c r="C692">
        <v>4</v>
      </c>
      <c r="D692">
        <v>16</v>
      </c>
      <c r="E692" s="3">
        <f t="shared" si="10"/>
        <v>8</v>
      </c>
    </row>
    <row r="693" spans="1:5" x14ac:dyDescent="0.2">
      <c r="A693">
        <v>2</v>
      </c>
      <c r="B693" t="s">
        <v>73</v>
      </c>
      <c r="C693">
        <v>0</v>
      </c>
      <c r="D693">
        <v>12</v>
      </c>
      <c r="E693" s="3">
        <f t="shared" si="10"/>
        <v>8</v>
      </c>
    </row>
    <row r="694" spans="1:5" x14ac:dyDescent="0.2">
      <c r="A694">
        <v>3</v>
      </c>
      <c r="B694" t="s">
        <v>484</v>
      </c>
      <c r="C694">
        <v>1</v>
      </c>
      <c r="D694">
        <v>8</v>
      </c>
      <c r="E694" s="3">
        <f t="shared" si="10"/>
        <v>8</v>
      </c>
    </row>
    <row r="695" spans="1:5" x14ac:dyDescent="0.2">
      <c r="A695">
        <v>4</v>
      </c>
      <c r="B695" t="s">
        <v>512</v>
      </c>
      <c r="C695">
        <v>0</v>
      </c>
      <c r="D695">
        <v>4</v>
      </c>
      <c r="E695" s="3">
        <f t="shared" si="10"/>
        <v>8</v>
      </c>
    </row>
    <row r="696" spans="1:5" x14ac:dyDescent="0.2">
      <c r="A696">
        <v>5</v>
      </c>
      <c r="B696" t="s">
        <v>501</v>
      </c>
      <c r="C696">
        <v>0</v>
      </c>
      <c r="D696">
        <v>2</v>
      </c>
      <c r="E696" s="3">
        <f t="shared" si="10"/>
        <v>8</v>
      </c>
    </row>
    <row r="697" spans="1:5" x14ac:dyDescent="0.2">
      <c r="A697">
        <v>6</v>
      </c>
      <c r="B697" t="s">
        <v>527</v>
      </c>
      <c r="C697">
        <v>0</v>
      </c>
      <c r="D697">
        <v>1</v>
      </c>
      <c r="E697" s="3">
        <f t="shared" si="10"/>
        <v>8</v>
      </c>
    </row>
    <row r="698" spans="1:5" x14ac:dyDescent="0.2">
      <c r="A698">
        <v>7</v>
      </c>
      <c r="B698" s="2" t="s">
        <v>10</v>
      </c>
      <c r="C698" s="2" t="s">
        <v>10</v>
      </c>
      <c r="D698" s="2" t="s">
        <v>10</v>
      </c>
      <c r="E698" s="3">
        <f t="shared" si="10"/>
        <v>8</v>
      </c>
    </row>
    <row r="699" spans="1:5" x14ac:dyDescent="0.2">
      <c r="A699">
        <v>8</v>
      </c>
      <c r="B699" s="2" t="s">
        <v>10</v>
      </c>
      <c r="C699" s="2" t="s">
        <v>10</v>
      </c>
      <c r="D699" s="2" t="s">
        <v>10</v>
      </c>
      <c r="E699" s="3">
        <f t="shared" si="10"/>
        <v>8</v>
      </c>
    </row>
    <row r="700" spans="1:5" x14ac:dyDescent="0.2">
      <c r="A700" s="1" t="s">
        <v>58</v>
      </c>
      <c r="E700" s="3">
        <f t="shared" si="10"/>
        <v>8</v>
      </c>
    </row>
    <row r="701" spans="1:5" x14ac:dyDescent="0.2">
      <c r="A701" s="1" t="s">
        <v>1</v>
      </c>
      <c r="B701" s="1" t="s">
        <v>2</v>
      </c>
      <c r="C701" s="1" t="s">
        <v>3</v>
      </c>
      <c r="D701" s="1" t="s">
        <v>4</v>
      </c>
      <c r="E701" s="3">
        <f t="shared" si="10"/>
        <v>8</v>
      </c>
    </row>
    <row r="702" spans="1:5" x14ac:dyDescent="0.2">
      <c r="A702">
        <v>1</v>
      </c>
      <c r="B702" t="s">
        <v>15</v>
      </c>
      <c r="C702">
        <v>3</v>
      </c>
      <c r="D702">
        <v>17</v>
      </c>
      <c r="E702" s="3">
        <f t="shared" si="10"/>
        <v>8</v>
      </c>
    </row>
    <row r="703" spans="1:5" x14ac:dyDescent="0.2">
      <c r="A703">
        <v>2</v>
      </c>
      <c r="B703" t="s">
        <v>42</v>
      </c>
      <c r="C703">
        <v>3</v>
      </c>
      <c r="D703">
        <v>13</v>
      </c>
      <c r="E703" s="3">
        <f t="shared" si="10"/>
        <v>8</v>
      </c>
    </row>
    <row r="704" spans="1:5" x14ac:dyDescent="0.2">
      <c r="A704">
        <v>3</v>
      </c>
      <c r="B704" t="s">
        <v>452</v>
      </c>
      <c r="C704">
        <v>0</v>
      </c>
      <c r="D704">
        <v>9</v>
      </c>
      <c r="E704" s="3">
        <f t="shared" si="10"/>
        <v>8</v>
      </c>
    </row>
    <row r="705" spans="1:5" x14ac:dyDescent="0.2">
      <c r="A705">
        <v>4</v>
      </c>
      <c r="B705" t="s">
        <v>508</v>
      </c>
      <c r="C705">
        <v>0</v>
      </c>
      <c r="D705">
        <v>5</v>
      </c>
      <c r="E705" s="3">
        <f t="shared" si="10"/>
        <v>8</v>
      </c>
    </row>
    <row r="706" spans="1:5" x14ac:dyDescent="0.2">
      <c r="A706">
        <v>5</v>
      </c>
      <c r="B706" t="s">
        <v>525</v>
      </c>
      <c r="C706">
        <v>0</v>
      </c>
      <c r="D706">
        <v>3</v>
      </c>
      <c r="E706" s="3">
        <f t="shared" si="10"/>
        <v>8</v>
      </c>
    </row>
    <row r="707" spans="1:5" x14ac:dyDescent="0.2">
      <c r="A707">
        <v>6</v>
      </c>
      <c r="B707" t="s">
        <v>59</v>
      </c>
      <c r="C707">
        <v>0</v>
      </c>
      <c r="D707">
        <v>2</v>
      </c>
      <c r="E707" s="3">
        <f t="shared" si="10"/>
        <v>8</v>
      </c>
    </row>
    <row r="708" spans="1:5" x14ac:dyDescent="0.2">
      <c r="A708">
        <v>7</v>
      </c>
      <c r="B708" t="s">
        <v>533</v>
      </c>
      <c r="C708">
        <v>0</v>
      </c>
      <c r="D708">
        <v>1</v>
      </c>
      <c r="E708" s="3">
        <f t="shared" ref="E708:E771" si="11">IF(A708=$A$1,E707+1,E707)</f>
        <v>8</v>
      </c>
    </row>
    <row r="709" spans="1:5" x14ac:dyDescent="0.2">
      <c r="A709">
        <v>8</v>
      </c>
      <c r="B709" s="2" t="s">
        <v>10</v>
      </c>
      <c r="C709" s="2" t="s">
        <v>10</v>
      </c>
      <c r="D709" s="2" t="s">
        <v>10</v>
      </c>
      <c r="E709" s="3">
        <f t="shared" si="11"/>
        <v>8</v>
      </c>
    </row>
    <row r="710" spans="1:5" x14ac:dyDescent="0.2">
      <c r="A710" s="1" t="s">
        <v>0</v>
      </c>
      <c r="E710" s="3">
        <f t="shared" si="11"/>
        <v>9</v>
      </c>
    </row>
    <row r="711" spans="1:5" x14ac:dyDescent="0.2">
      <c r="A711" s="1" t="s">
        <v>1</v>
      </c>
      <c r="B711" s="1" t="s">
        <v>2</v>
      </c>
      <c r="C711" s="1" t="s">
        <v>3</v>
      </c>
      <c r="D711" s="1" t="s">
        <v>4</v>
      </c>
      <c r="E711" s="3">
        <f t="shared" si="11"/>
        <v>9</v>
      </c>
    </row>
    <row r="712" spans="1:5" x14ac:dyDescent="0.2">
      <c r="A712">
        <v>1</v>
      </c>
      <c r="B712" t="s">
        <v>46</v>
      </c>
      <c r="C712">
        <v>3</v>
      </c>
      <c r="D712">
        <v>17</v>
      </c>
      <c r="E712" s="3">
        <f t="shared" si="11"/>
        <v>9</v>
      </c>
    </row>
    <row r="713" spans="1:5" x14ac:dyDescent="0.2">
      <c r="A713">
        <v>2</v>
      </c>
      <c r="B713" t="s">
        <v>521</v>
      </c>
      <c r="C713">
        <v>3</v>
      </c>
      <c r="D713">
        <v>13</v>
      </c>
      <c r="E713" s="3">
        <f t="shared" si="11"/>
        <v>9</v>
      </c>
    </row>
    <row r="714" spans="1:5" x14ac:dyDescent="0.2">
      <c r="A714">
        <v>3</v>
      </c>
      <c r="B714" t="s">
        <v>491</v>
      </c>
      <c r="C714">
        <v>0</v>
      </c>
      <c r="D714">
        <v>9</v>
      </c>
      <c r="E714" s="3">
        <f t="shared" si="11"/>
        <v>9</v>
      </c>
    </row>
    <row r="715" spans="1:5" x14ac:dyDescent="0.2">
      <c r="A715">
        <v>4</v>
      </c>
      <c r="B715" t="s">
        <v>479</v>
      </c>
      <c r="C715">
        <v>0</v>
      </c>
      <c r="D715">
        <v>5</v>
      </c>
      <c r="E715" s="3">
        <f t="shared" si="11"/>
        <v>9</v>
      </c>
    </row>
    <row r="716" spans="1:5" x14ac:dyDescent="0.2">
      <c r="A716">
        <v>5</v>
      </c>
      <c r="B716" t="s">
        <v>59</v>
      </c>
      <c r="C716">
        <v>0</v>
      </c>
      <c r="D716">
        <v>3</v>
      </c>
      <c r="E716" s="3">
        <f t="shared" si="11"/>
        <v>9</v>
      </c>
    </row>
    <row r="717" spans="1:5" x14ac:dyDescent="0.2">
      <c r="A717">
        <v>6</v>
      </c>
      <c r="B717" t="s">
        <v>65</v>
      </c>
      <c r="C717">
        <v>0</v>
      </c>
      <c r="D717">
        <v>2</v>
      </c>
      <c r="E717" s="3">
        <f t="shared" si="11"/>
        <v>9</v>
      </c>
    </row>
    <row r="718" spans="1:5" x14ac:dyDescent="0.2">
      <c r="A718">
        <v>7</v>
      </c>
      <c r="B718" t="s">
        <v>516</v>
      </c>
      <c r="C718">
        <v>0</v>
      </c>
      <c r="D718">
        <v>1</v>
      </c>
      <c r="E718" s="3">
        <f t="shared" si="11"/>
        <v>9</v>
      </c>
    </row>
    <row r="719" spans="1:5" x14ac:dyDescent="0.2">
      <c r="A719">
        <v>8</v>
      </c>
      <c r="B719" s="2" t="s">
        <v>10</v>
      </c>
      <c r="C719" s="2" t="s">
        <v>10</v>
      </c>
      <c r="D719" s="2" t="s">
        <v>10</v>
      </c>
      <c r="E719" s="3">
        <f t="shared" si="11"/>
        <v>9</v>
      </c>
    </row>
    <row r="720" spans="1:5" x14ac:dyDescent="0.2">
      <c r="A720" s="1" t="s">
        <v>11</v>
      </c>
      <c r="E720" s="3">
        <f t="shared" si="11"/>
        <v>9</v>
      </c>
    </row>
    <row r="721" spans="1:5" x14ac:dyDescent="0.2">
      <c r="A721" s="1" t="s">
        <v>1</v>
      </c>
      <c r="B721" s="1" t="s">
        <v>2</v>
      </c>
      <c r="C721" s="1" t="s">
        <v>3</v>
      </c>
      <c r="D721" s="1" t="s">
        <v>4</v>
      </c>
      <c r="E721" s="3">
        <f t="shared" si="11"/>
        <v>9</v>
      </c>
    </row>
    <row r="722" spans="1:5" x14ac:dyDescent="0.2">
      <c r="A722">
        <v>1</v>
      </c>
      <c r="B722" t="s">
        <v>74</v>
      </c>
      <c r="C722">
        <v>2</v>
      </c>
      <c r="D722">
        <v>16</v>
      </c>
      <c r="E722" s="3">
        <f t="shared" si="11"/>
        <v>9</v>
      </c>
    </row>
    <row r="723" spans="1:5" x14ac:dyDescent="0.2">
      <c r="A723">
        <v>2</v>
      </c>
      <c r="B723" t="s">
        <v>518</v>
      </c>
      <c r="C723">
        <v>0</v>
      </c>
      <c r="D723">
        <v>12</v>
      </c>
      <c r="E723" s="3">
        <f t="shared" si="11"/>
        <v>9</v>
      </c>
    </row>
    <row r="724" spans="1:5" x14ac:dyDescent="0.2">
      <c r="A724">
        <v>3</v>
      </c>
      <c r="B724" t="s">
        <v>519</v>
      </c>
      <c r="C724">
        <v>2</v>
      </c>
      <c r="D724">
        <v>8</v>
      </c>
      <c r="E724" s="3">
        <f t="shared" si="11"/>
        <v>9</v>
      </c>
    </row>
    <row r="725" spans="1:5" x14ac:dyDescent="0.2">
      <c r="A725">
        <v>4</v>
      </c>
      <c r="B725" t="s">
        <v>87</v>
      </c>
      <c r="C725">
        <v>1</v>
      </c>
      <c r="D725">
        <v>4</v>
      </c>
      <c r="E725" s="3">
        <f t="shared" si="11"/>
        <v>9</v>
      </c>
    </row>
    <row r="726" spans="1:5" x14ac:dyDescent="0.2">
      <c r="A726">
        <v>5</v>
      </c>
      <c r="B726" t="s">
        <v>530</v>
      </c>
      <c r="C726">
        <v>0</v>
      </c>
      <c r="D726">
        <v>2</v>
      </c>
      <c r="E726" s="3">
        <f t="shared" si="11"/>
        <v>9</v>
      </c>
    </row>
    <row r="727" spans="1:5" x14ac:dyDescent="0.2">
      <c r="A727">
        <v>6</v>
      </c>
      <c r="B727" t="s">
        <v>475</v>
      </c>
      <c r="C727">
        <v>0</v>
      </c>
      <c r="D727">
        <v>1</v>
      </c>
      <c r="E727" s="3">
        <f t="shared" si="11"/>
        <v>9</v>
      </c>
    </row>
    <row r="728" spans="1:5" x14ac:dyDescent="0.2">
      <c r="A728">
        <v>7</v>
      </c>
      <c r="B728" s="2" t="s">
        <v>10</v>
      </c>
      <c r="C728" s="2" t="s">
        <v>10</v>
      </c>
      <c r="D728" s="2" t="s">
        <v>10</v>
      </c>
      <c r="E728" s="3">
        <f t="shared" si="11"/>
        <v>9</v>
      </c>
    </row>
    <row r="729" spans="1:5" x14ac:dyDescent="0.2">
      <c r="A729">
        <v>8</v>
      </c>
      <c r="B729" s="2" t="s">
        <v>10</v>
      </c>
      <c r="C729" s="2" t="s">
        <v>10</v>
      </c>
      <c r="D729" s="2" t="s">
        <v>10</v>
      </c>
      <c r="E729" s="3">
        <f t="shared" si="11"/>
        <v>9</v>
      </c>
    </row>
    <row r="730" spans="1:5" x14ac:dyDescent="0.2">
      <c r="A730" s="1" t="s">
        <v>24</v>
      </c>
      <c r="E730" s="3">
        <f t="shared" si="11"/>
        <v>9</v>
      </c>
    </row>
    <row r="731" spans="1:5" x14ac:dyDescent="0.2">
      <c r="A731" s="1" t="s">
        <v>1</v>
      </c>
      <c r="B731" s="1" t="s">
        <v>2</v>
      </c>
      <c r="C731" s="1" t="s">
        <v>3</v>
      </c>
      <c r="D731" s="1" t="s">
        <v>4</v>
      </c>
      <c r="E731" s="3">
        <f t="shared" si="11"/>
        <v>9</v>
      </c>
    </row>
    <row r="732" spans="1:5" x14ac:dyDescent="0.2">
      <c r="A732">
        <v>0</v>
      </c>
      <c r="C732">
        <v>0</v>
      </c>
      <c r="D732">
        <v>0</v>
      </c>
      <c r="E732" s="3">
        <f t="shared" si="11"/>
        <v>9</v>
      </c>
    </row>
    <row r="733" spans="1:5" x14ac:dyDescent="0.2">
      <c r="A733">
        <v>0</v>
      </c>
      <c r="C733">
        <v>0</v>
      </c>
      <c r="D733">
        <v>0</v>
      </c>
      <c r="E733" s="3">
        <f t="shared" si="11"/>
        <v>9</v>
      </c>
    </row>
    <row r="734" spans="1:5" x14ac:dyDescent="0.2">
      <c r="A734">
        <v>1</v>
      </c>
      <c r="B734" t="s">
        <v>532</v>
      </c>
      <c r="C734">
        <v>2</v>
      </c>
      <c r="D734">
        <v>16</v>
      </c>
      <c r="E734" s="3">
        <f t="shared" si="11"/>
        <v>9</v>
      </c>
    </row>
    <row r="735" spans="1:5" x14ac:dyDescent="0.2">
      <c r="A735">
        <v>2</v>
      </c>
      <c r="B735" t="s">
        <v>501</v>
      </c>
      <c r="C735">
        <v>3</v>
      </c>
      <c r="D735">
        <v>12</v>
      </c>
      <c r="E735" s="3">
        <f t="shared" si="11"/>
        <v>9</v>
      </c>
    </row>
    <row r="736" spans="1:5" x14ac:dyDescent="0.2">
      <c r="A736">
        <v>3</v>
      </c>
      <c r="B736" t="s">
        <v>25</v>
      </c>
      <c r="C736">
        <v>0</v>
      </c>
      <c r="D736">
        <v>8</v>
      </c>
      <c r="E736" s="3">
        <f t="shared" si="11"/>
        <v>9</v>
      </c>
    </row>
    <row r="737" spans="1:5" x14ac:dyDescent="0.2">
      <c r="A737">
        <v>4</v>
      </c>
      <c r="B737" t="s">
        <v>53</v>
      </c>
      <c r="C737">
        <v>0</v>
      </c>
      <c r="D737">
        <v>4</v>
      </c>
      <c r="E737" s="3">
        <f t="shared" si="11"/>
        <v>9</v>
      </c>
    </row>
    <row r="738" spans="1:5" x14ac:dyDescent="0.2">
      <c r="A738">
        <v>5</v>
      </c>
      <c r="B738" t="s">
        <v>525</v>
      </c>
      <c r="C738">
        <v>0</v>
      </c>
      <c r="D738">
        <v>2</v>
      </c>
      <c r="E738" s="3">
        <f t="shared" si="11"/>
        <v>9</v>
      </c>
    </row>
    <row r="739" spans="1:5" x14ac:dyDescent="0.2">
      <c r="A739">
        <v>6</v>
      </c>
      <c r="B739" t="s">
        <v>545</v>
      </c>
      <c r="C739">
        <v>0</v>
      </c>
      <c r="D739">
        <v>1</v>
      </c>
      <c r="E739" s="3">
        <f t="shared" si="11"/>
        <v>9</v>
      </c>
    </row>
    <row r="740" spans="1:5" x14ac:dyDescent="0.2">
      <c r="A740">
        <v>9</v>
      </c>
      <c r="B740" s="2" t="s">
        <v>10</v>
      </c>
      <c r="C740" s="2" t="s">
        <v>10</v>
      </c>
      <c r="D740" s="2" t="s">
        <v>10</v>
      </c>
      <c r="E740" s="3">
        <f t="shared" si="11"/>
        <v>9</v>
      </c>
    </row>
    <row r="741" spans="1:5" x14ac:dyDescent="0.2">
      <c r="A741">
        <v>10</v>
      </c>
      <c r="B741" s="2" t="s">
        <v>10</v>
      </c>
      <c r="C741" s="2" t="s">
        <v>10</v>
      </c>
      <c r="D741" s="2" t="s">
        <v>10</v>
      </c>
      <c r="E741" s="3">
        <f t="shared" si="11"/>
        <v>9</v>
      </c>
    </row>
    <row r="742" spans="1:5" x14ac:dyDescent="0.2">
      <c r="A742" s="1" t="s">
        <v>17</v>
      </c>
      <c r="E742" s="3">
        <f t="shared" si="11"/>
        <v>9</v>
      </c>
    </row>
    <row r="743" spans="1:5" x14ac:dyDescent="0.2">
      <c r="A743" s="1" t="s">
        <v>1</v>
      </c>
      <c r="B743" s="1" t="s">
        <v>2</v>
      </c>
      <c r="C743" s="1" t="s">
        <v>3</v>
      </c>
      <c r="D743" s="1" t="s">
        <v>4</v>
      </c>
      <c r="E743" s="3">
        <f t="shared" si="11"/>
        <v>9</v>
      </c>
    </row>
    <row r="744" spans="1:5" x14ac:dyDescent="0.2">
      <c r="A744">
        <v>1</v>
      </c>
      <c r="B744" t="s">
        <v>29</v>
      </c>
      <c r="C744">
        <v>1</v>
      </c>
      <c r="D744">
        <v>16</v>
      </c>
      <c r="E744" s="3">
        <f t="shared" si="11"/>
        <v>9</v>
      </c>
    </row>
    <row r="745" spans="1:5" x14ac:dyDescent="0.2">
      <c r="A745">
        <v>2</v>
      </c>
      <c r="B745" t="s">
        <v>490</v>
      </c>
      <c r="C745">
        <v>3</v>
      </c>
      <c r="D745">
        <v>12</v>
      </c>
      <c r="E745" s="3">
        <f t="shared" si="11"/>
        <v>9</v>
      </c>
    </row>
    <row r="746" spans="1:5" x14ac:dyDescent="0.2">
      <c r="A746">
        <v>3</v>
      </c>
      <c r="B746" t="s">
        <v>69</v>
      </c>
      <c r="C746">
        <v>1</v>
      </c>
      <c r="D746">
        <v>8</v>
      </c>
      <c r="E746" s="3">
        <f t="shared" si="11"/>
        <v>9</v>
      </c>
    </row>
    <row r="747" spans="1:5" x14ac:dyDescent="0.2">
      <c r="A747">
        <v>4</v>
      </c>
      <c r="B747" t="s">
        <v>508</v>
      </c>
      <c r="C747">
        <v>0</v>
      </c>
      <c r="D747">
        <v>4</v>
      </c>
      <c r="E747" s="3">
        <f t="shared" si="11"/>
        <v>9</v>
      </c>
    </row>
    <row r="748" spans="1:5" x14ac:dyDescent="0.2">
      <c r="A748">
        <v>5</v>
      </c>
      <c r="B748" t="s">
        <v>75</v>
      </c>
      <c r="C748">
        <v>0</v>
      </c>
      <c r="D748">
        <v>2</v>
      </c>
      <c r="E748" s="3">
        <f t="shared" si="11"/>
        <v>9</v>
      </c>
    </row>
    <row r="749" spans="1:5" x14ac:dyDescent="0.2">
      <c r="A749">
        <v>6</v>
      </c>
      <c r="B749" t="s">
        <v>21</v>
      </c>
      <c r="C749">
        <v>0</v>
      </c>
      <c r="D749">
        <v>1</v>
      </c>
      <c r="E749" s="3">
        <f t="shared" si="11"/>
        <v>9</v>
      </c>
    </row>
    <row r="750" spans="1:5" x14ac:dyDescent="0.2">
      <c r="A750">
        <v>7</v>
      </c>
      <c r="B750" s="2" t="s">
        <v>10</v>
      </c>
      <c r="C750" s="2" t="s">
        <v>10</v>
      </c>
      <c r="D750" s="2" t="s">
        <v>10</v>
      </c>
      <c r="E750" s="3">
        <f t="shared" si="11"/>
        <v>9</v>
      </c>
    </row>
    <row r="751" spans="1:5" x14ac:dyDescent="0.2">
      <c r="A751">
        <v>8</v>
      </c>
      <c r="B751" s="2" t="s">
        <v>10</v>
      </c>
      <c r="C751" s="2" t="s">
        <v>10</v>
      </c>
      <c r="D751" s="2" t="s">
        <v>10</v>
      </c>
      <c r="E751" s="3">
        <f t="shared" si="11"/>
        <v>9</v>
      </c>
    </row>
    <row r="752" spans="1:5" x14ac:dyDescent="0.2">
      <c r="A752" s="1" t="s">
        <v>37</v>
      </c>
      <c r="E752" s="3">
        <f t="shared" si="11"/>
        <v>9</v>
      </c>
    </row>
    <row r="753" spans="1:5" x14ac:dyDescent="0.2">
      <c r="A753" s="1" t="s">
        <v>1</v>
      </c>
      <c r="B753" s="1" t="s">
        <v>2</v>
      </c>
      <c r="C753" s="1" t="s">
        <v>3</v>
      </c>
      <c r="D753" s="1" t="s">
        <v>4</v>
      </c>
      <c r="E753" s="3">
        <f t="shared" si="11"/>
        <v>9</v>
      </c>
    </row>
    <row r="754" spans="1:5" x14ac:dyDescent="0.2">
      <c r="A754">
        <v>1</v>
      </c>
      <c r="B754" t="s">
        <v>81</v>
      </c>
      <c r="C754">
        <v>5</v>
      </c>
      <c r="D754">
        <v>17</v>
      </c>
      <c r="E754" s="3">
        <f t="shared" si="11"/>
        <v>9</v>
      </c>
    </row>
    <row r="755" spans="1:5" x14ac:dyDescent="0.2">
      <c r="A755">
        <v>2</v>
      </c>
      <c r="B755" t="s">
        <v>452</v>
      </c>
      <c r="C755">
        <v>0</v>
      </c>
      <c r="D755">
        <v>13</v>
      </c>
      <c r="E755" s="3">
        <f t="shared" si="11"/>
        <v>9</v>
      </c>
    </row>
    <row r="756" spans="1:5" x14ac:dyDescent="0.2">
      <c r="A756">
        <v>3</v>
      </c>
      <c r="B756" t="s">
        <v>27</v>
      </c>
      <c r="C756">
        <v>0</v>
      </c>
      <c r="D756">
        <v>9</v>
      </c>
      <c r="E756" s="3">
        <f t="shared" si="11"/>
        <v>9</v>
      </c>
    </row>
    <row r="757" spans="1:5" x14ac:dyDescent="0.2">
      <c r="A757">
        <v>4</v>
      </c>
      <c r="B757" t="s">
        <v>502</v>
      </c>
      <c r="C757">
        <v>0</v>
      </c>
      <c r="D757">
        <v>5</v>
      </c>
      <c r="E757" s="3">
        <f t="shared" si="11"/>
        <v>9</v>
      </c>
    </row>
    <row r="758" spans="1:5" x14ac:dyDescent="0.2">
      <c r="A758">
        <v>5</v>
      </c>
      <c r="B758" t="s">
        <v>73</v>
      </c>
      <c r="C758">
        <v>1</v>
      </c>
      <c r="D758">
        <v>3</v>
      </c>
      <c r="E758" s="3">
        <f t="shared" si="11"/>
        <v>9</v>
      </c>
    </row>
    <row r="759" spans="1:5" x14ac:dyDescent="0.2">
      <c r="A759">
        <v>6</v>
      </c>
      <c r="B759" t="s">
        <v>505</v>
      </c>
      <c r="C759">
        <v>0</v>
      </c>
      <c r="D759">
        <v>2</v>
      </c>
      <c r="E759" s="3">
        <f t="shared" si="11"/>
        <v>9</v>
      </c>
    </row>
    <row r="760" spans="1:5" x14ac:dyDescent="0.2">
      <c r="A760">
        <v>7</v>
      </c>
      <c r="B760" t="s">
        <v>493</v>
      </c>
      <c r="C760">
        <v>0</v>
      </c>
      <c r="D760">
        <v>1</v>
      </c>
      <c r="E760" s="3">
        <f t="shared" si="11"/>
        <v>9</v>
      </c>
    </row>
    <row r="761" spans="1:5" x14ac:dyDescent="0.2">
      <c r="A761">
        <v>8</v>
      </c>
      <c r="B761" s="2" t="s">
        <v>10</v>
      </c>
      <c r="C761" s="2" t="s">
        <v>10</v>
      </c>
      <c r="D761" s="2" t="s">
        <v>10</v>
      </c>
      <c r="E761" s="3">
        <f t="shared" si="11"/>
        <v>9</v>
      </c>
    </row>
    <row r="762" spans="1:5" x14ac:dyDescent="0.2">
      <c r="A762" s="1" t="s">
        <v>30</v>
      </c>
      <c r="E762" s="3">
        <f t="shared" si="11"/>
        <v>9</v>
      </c>
    </row>
    <row r="763" spans="1:5" x14ac:dyDescent="0.2">
      <c r="A763" s="1" t="s">
        <v>1</v>
      </c>
      <c r="B763" s="1" t="s">
        <v>2</v>
      </c>
      <c r="C763" s="1" t="s">
        <v>3</v>
      </c>
      <c r="D763" s="1" t="s">
        <v>4</v>
      </c>
      <c r="E763" s="3">
        <f t="shared" si="11"/>
        <v>9</v>
      </c>
    </row>
    <row r="764" spans="1:5" x14ac:dyDescent="0.2">
      <c r="A764">
        <v>1</v>
      </c>
      <c r="B764" t="s">
        <v>500</v>
      </c>
      <c r="C764">
        <v>5</v>
      </c>
      <c r="D764">
        <v>17</v>
      </c>
      <c r="E764" s="3">
        <f t="shared" si="11"/>
        <v>9</v>
      </c>
    </row>
    <row r="765" spans="1:5" x14ac:dyDescent="0.2">
      <c r="A765">
        <v>2</v>
      </c>
      <c r="B765" t="s">
        <v>534</v>
      </c>
      <c r="C765">
        <v>1</v>
      </c>
      <c r="D765">
        <v>13</v>
      </c>
      <c r="E765" s="3">
        <f t="shared" si="11"/>
        <v>9</v>
      </c>
    </row>
    <row r="766" spans="1:5" x14ac:dyDescent="0.2">
      <c r="A766">
        <v>3</v>
      </c>
      <c r="B766" t="s">
        <v>88</v>
      </c>
      <c r="C766">
        <v>0</v>
      </c>
      <c r="D766">
        <v>9</v>
      </c>
      <c r="E766" s="3">
        <f t="shared" si="11"/>
        <v>9</v>
      </c>
    </row>
    <row r="767" spans="1:5" x14ac:dyDescent="0.2">
      <c r="A767">
        <v>4</v>
      </c>
      <c r="B767" t="s">
        <v>55</v>
      </c>
      <c r="C767">
        <v>0</v>
      </c>
      <c r="D767">
        <v>5</v>
      </c>
      <c r="E767" s="3">
        <f t="shared" si="11"/>
        <v>9</v>
      </c>
    </row>
    <row r="768" spans="1:5" x14ac:dyDescent="0.2">
      <c r="A768">
        <v>5</v>
      </c>
      <c r="B768" t="s">
        <v>9</v>
      </c>
      <c r="C768">
        <v>0</v>
      </c>
      <c r="D768">
        <v>3</v>
      </c>
      <c r="E768" s="3">
        <f t="shared" si="11"/>
        <v>9</v>
      </c>
    </row>
    <row r="769" spans="1:5" x14ac:dyDescent="0.2">
      <c r="A769">
        <v>6</v>
      </c>
      <c r="B769" t="s">
        <v>506</v>
      </c>
      <c r="C769">
        <v>0</v>
      </c>
      <c r="D769">
        <v>2</v>
      </c>
      <c r="E769" s="3">
        <f t="shared" si="11"/>
        <v>9</v>
      </c>
    </row>
    <row r="770" spans="1:5" x14ac:dyDescent="0.2">
      <c r="A770">
        <v>7</v>
      </c>
      <c r="B770" t="s">
        <v>345</v>
      </c>
      <c r="C770">
        <v>0</v>
      </c>
      <c r="D770">
        <v>1</v>
      </c>
      <c r="E770" s="3">
        <f t="shared" si="11"/>
        <v>9</v>
      </c>
    </row>
    <row r="771" spans="1:5" x14ac:dyDescent="0.2">
      <c r="A771">
        <v>8</v>
      </c>
      <c r="B771" s="2" t="s">
        <v>10</v>
      </c>
      <c r="C771" s="2" t="s">
        <v>10</v>
      </c>
      <c r="D771" s="2" t="s">
        <v>10</v>
      </c>
      <c r="E771" s="3">
        <f t="shared" si="11"/>
        <v>9</v>
      </c>
    </row>
    <row r="772" spans="1:5" x14ac:dyDescent="0.2">
      <c r="A772" s="1" t="s">
        <v>44</v>
      </c>
      <c r="E772" s="3">
        <f t="shared" ref="E772:E835" si="12">IF(A772=$A$1,E771+1,E771)</f>
        <v>9</v>
      </c>
    </row>
    <row r="773" spans="1:5" x14ac:dyDescent="0.2">
      <c r="A773" s="1" t="s">
        <v>1</v>
      </c>
      <c r="B773" s="1" t="s">
        <v>2</v>
      </c>
      <c r="C773" s="1" t="s">
        <v>3</v>
      </c>
      <c r="D773" s="1" t="s">
        <v>4</v>
      </c>
      <c r="E773" s="3">
        <f t="shared" si="12"/>
        <v>9</v>
      </c>
    </row>
    <row r="774" spans="1:5" x14ac:dyDescent="0.2">
      <c r="A774">
        <v>1</v>
      </c>
      <c r="B774" t="s">
        <v>507</v>
      </c>
      <c r="C774">
        <v>3</v>
      </c>
      <c r="D774">
        <v>16</v>
      </c>
      <c r="E774" s="3">
        <f t="shared" si="12"/>
        <v>9</v>
      </c>
    </row>
    <row r="775" spans="1:5" x14ac:dyDescent="0.2">
      <c r="A775">
        <v>2</v>
      </c>
      <c r="B775" t="s">
        <v>531</v>
      </c>
      <c r="C775">
        <v>2</v>
      </c>
      <c r="D775">
        <v>12</v>
      </c>
      <c r="E775" s="3">
        <f t="shared" si="12"/>
        <v>9</v>
      </c>
    </row>
    <row r="776" spans="1:5" x14ac:dyDescent="0.2">
      <c r="A776">
        <v>3</v>
      </c>
      <c r="B776" t="s">
        <v>546</v>
      </c>
      <c r="C776">
        <v>0</v>
      </c>
      <c r="D776">
        <v>8</v>
      </c>
      <c r="E776" s="3">
        <f t="shared" si="12"/>
        <v>9</v>
      </c>
    </row>
    <row r="777" spans="1:5" x14ac:dyDescent="0.2">
      <c r="A777">
        <v>4</v>
      </c>
      <c r="B777" t="s">
        <v>504</v>
      </c>
      <c r="C777">
        <v>0</v>
      </c>
      <c r="D777">
        <v>4</v>
      </c>
      <c r="E777" s="3">
        <f t="shared" si="12"/>
        <v>9</v>
      </c>
    </row>
    <row r="778" spans="1:5" x14ac:dyDescent="0.2">
      <c r="A778">
        <v>5</v>
      </c>
      <c r="B778" t="s">
        <v>6</v>
      </c>
      <c r="C778">
        <v>0</v>
      </c>
      <c r="D778">
        <v>2</v>
      </c>
      <c r="E778" s="3">
        <f t="shared" si="12"/>
        <v>9</v>
      </c>
    </row>
    <row r="779" spans="1:5" x14ac:dyDescent="0.2">
      <c r="A779">
        <v>6</v>
      </c>
      <c r="B779" t="s">
        <v>526</v>
      </c>
      <c r="C779">
        <v>0</v>
      </c>
      <c r="D779">
        <v>1</v>
      </c>
      <c r="E779" s="3">
        <f t="shared" si="12"/>
        <v>9</v>
      </c>
    </row>
    <row r="780" spans="1:5" x14ac:dyDescent="0.2">
      <c r="A780">
        <v>7</v>
      </c>
      <c r="B780" s="2" t="s">
        <v>10</v>
      </c>
      <c r="C780" s="2" t="s">
        <v>10</v>
      </c>
      <c r="D780" s="2" t="s">
        <v>10</v>
      </c>
      <c r="E780" s="3">
        <f t="shared" si="12"/>
        <v>9</v>
      </c>
    </row>
    <row r="781" spans="1:5" x14ac:dyDescent="0.2">
      <c r="A781">
        <v>8</v>
      </c>
      <c r="B781" s="2" t="s">
        <v>10</v>
      </c>
      <c r="C781" s="2" t="s">
        <v>10</v>
      </c>
      <c r="D781" s="2" t="s">
        <v>10</v>
      </c>
      <c r="E781" s="3">
        <f t="shared" si="12"/>
        <v>9</v>
      </c>
    </row>
    <row r="782" spans="1:5" x14ac:dyDescent="0.2">
      <c r="A782" s="1" t="s">
        <v>51</v>
      </c>
      <c r="E782" s="3">
        <f t="shared" si="12"/>
        <v>9</v>
      </c>
    </row>
    <row r="783" spans="1:5" x14ac:dyDescent="0.2">
      <c r="A783" s="1" t="s">
        <v>1</v>
      </c>
      <c r="B783" s="1" t="s">
        <v>2</v>
      </c>
      <c r="C783" s="1" t="s">
        <v>3</v>
      </c>
      <c r="D783" s="1" t="s">
        <v>4</v>
      </c>
      <c r="E783" s="3">
        <f t="shared" si="12"/>
        <v>9</v>
      </c>
    </row>
    <row r="784" spans="1:5" x14ac:dyDescent="0.2">
      <c r="A784">
        <v>1</v>
      </c>
      <c r="B784" t="s">
        <v>48</v>
      </c>
      <c r="C784">
        <v>4</v>
      </c>
      <c r="D784">
        <v>16</v>
      </c>
      <c r="E784" s="3">
        <f t="shared" si="12"/>
        <v>9</v>
      </c>
    </row>
    <row r="785" spans="1:5" x14ac:dyDescent="0.2">
      <c r="A785">
        <v>2</v>
      </c>
      <c r="B785" t="s">
        <v>35</v>
      </c>
      <c r="C785">
        <v>1</v>
      </c>
      <c r="D785">
        <v>12</v>
      </c>
      <c r="E785" s="3">
        <f t="shared" si="12"/>
        <v>9</v>
      </c>
    </row>
    <row r="786" spans="1:5" x14ac:dyDescent="0.2">
      <c r="A786">
        <v>3</v>
      </c>
      <c r="B786" t="s">
        <v>484</v>
      </c>
      <c r="C786">
        <v>0</v>
      </c>
      <c r="D786">
        <v>8</v>
      </c>
      <c r="E786" s="3">
        <f t="shared" si="12"/>
        <v>9</v>
      </c>
    </row>
    <row r="787" spans="1:5" x14ac:dyDescent="0.2">
      <c r="A787">
        <v>4</v>
      </c>
      <c r="B787" t="s">
        <v>461</v>
      </c>
      <c r="C787">
        <v>0</v>
      </c>
      <c r="D787">
        <v>4</v>
      </c>
      <c r="E787" s="3">
        <f t="shared" si="12"/>
        <v>9</v>
      </c>
    </row>
    <row r="788" spans="1:5" x14ac:dyDescent="0.2">
      <c r="A788">
        <v>5</v>
      </c>
      <c r="B788" t="s">
        <v>535</v>
      </c>
      <c r="C788">
        <v>0</v>
      </c>
      <c r="D788">
        <v>2</v>
      </c>
      <c r="E788" s="3">
        <f t="shared" si="12"/>
        <v>9</v>
      </c>
    </row>
    <row r="789" spans="1:5" x14ac:dyDescent="0.2">
      <c r="A789">
        <v>6</v>
      </c>
      <c r="B789" t="s">
        <v>66</v>
      </c>
      <c r="C789">
        <v>0</v>
      </c>
      <c r="D789">
        <v>1</v>
      </c>
      <c r="E789" s="3">
        <f t="shared" si="12"/>
        <v>9</v>
      </c>
    </row>
    <row r="790" spans="1:5" x14ac:dyDescent="0.2">
      <c r="A790">
        <v>7</v>
      </c>
      <c r="B790" s="2" t="s">
        <v>10</v>
      </c>
      <c r="C790" s="2" t="s">
        <v>10</v>
      </c>
      <c r="D790" s="2" t="s">
        <v>10</v>
      </c>
      <c r="E790" s="3">
        <f t="shared" si="12"/>
        <v>9</v>
      </c>
    </row>
    <row r="791" spans="1:5" x14ac:dyDescent="0.2">
      <c r="A791">
        <v>8</v>
      </c>
      <c r="B791" s="2" t="s">
        <v>10</v>
      </c>
      <c r="C791" s="2" t="s">
        <v>10</v>
      </c>
      <c r="D791" s="2" t="s">
        <v>10</v>
      </c>
      <c r="E791" s="3">
        <f t="shared" si="12"/>
        <v>9</v>
      </c>
    </row>
    <row r="792" spans="1:5" x14ac:dyDescent="0.2">
      <c r="A792" s="1" t="s">
        <v>58</v>
      </c>
      <c r="E792" s="3">
        <f t="shared" si="12"/>
        <v>9</v>
      </c>
    </row>
    <row r="793" spans="1:5" x14ac:dyDescent="0.2">
      <c r="A793" s="1" t="s">
        <v>1</v>
      </c>
      <c r="B793" s="1" t="s">
        <v>2</v>
      </c>
      <c r="C793" s="1" t="s">
        <v>3</v>
      </c>
      <c r="D793" s="1" t="s">
        <v>4</v>
      </c>
      <c r="E793" s="3">
        <f t="shared" si="12"/>
        <v>9</v>
      </c>
    </row>
    <row r="794" spans="1:5" x14ac:dyDescent="0.2">
      <c r="A794">
        <v>1</v>
      </c>
      <c r="B794" t="s">
        <v>14</v>
      </c>
      <c r="C794">
        <v>1</v>
      </c>
      <c r="D794">
        <v>16</v>
      </c>
      <c r="E794" s="3">
        <f t="shared" si="12"/>
        <v>9</v>
      </c>
    </row>
    <row r="795" spans="1:5" x14ac:dyDescent="0.2">
      <c r="A795">
        <v>2</v>
      </c>
      <c r="B795" t="s">
        <v>42</v>
      </c>
      <c r="C795">
        <v>1</v>
      </c>
      <c r="D795">
        <v>12</v>
      </c>
      <c r="E795" s="3">
        <f t="shared" si="12"/>
        <v>9</v>
      </c>
    </row>
    <row r="796" spans="1:5" x14ac:dyDescent="0.2">
      <c r="A796">
        <v>3</v>
      </c>
      <c r="B796" t="s">
        <v>485</v>
      </c>
      <c r="C796">
        <v>3</v>
      </c>
      <c r="D796">
        <v>8</v>
      </c>
      <c r="E796" s="3">
        <f t="shared" si="12"/>
        <v>9</v>
      </c>
    </row>
    <row r="797" spans="1:5" x14ac:dyDescent="0.2">
      <c r="A797">
        <v>4</v>
      </c>
      <c r="B797" t="s">
        <v>280</v>
      </c>
      <c r="C797">
        <v>0</v>
      </c>
      <c r="D797">
        <v>4</v>
      </c>
      <c r="E797" s="3">
        <f t="shared" si="12"/>
        <v>9</v>
      </c>
    </row>
    <row r="798" spans="1:5" x14ac:dyDescent="0.2">
      <c r="A798">
        <v>5</v>
      </c>
      <c r="B798" t="s">
        <v>503</v>
      </c>
      <c r="C798">
        <v>0</v>
      </c>
      <c r="D798">
        <v>2</v>
      </c>
      <c r="E798" s="3">
        <f t="shared" si="12"/>
        <v>9</v>
      </c>
    </row>
    <row r="799" spans="1:5" x14ac:dyDescent="0.2">
      <c r="A799">
        <v>6</v>
      </c>
      <c r="B799" t="s">
        <v>512</v>
      </c>
      <c r="C799">
        <v>0</v>
      </c>
      <c r="D799">
        <v>1</v>
      </c>
      <c r="E799" s="3">
        <f t="shared" si="12"/>
        <v>9</v>
      </c>
    </row>
    <row r="800" spans="1:5" x14ac:dyDescent="0.2">
      <c r="A800">
        <v>7</v>
      </c>
      <c r="B800" s="2" t="s">
        <v>10</v>
      </c>
      <c r="C800" s="2" t="s">
        <v>10</v>
      </c>
      <c r="D800" s="2" t="s">
        <v>10</v>
      </c>
      <c r="E800" s="3">
        <f t="shared" si="12"/>
        <v>9</v>
      </c>
    </row>
    <row r="801" spans="1:5" x14ac:dyDescent="0.2">
      <c r="A801">
        <v>8</v>
      </c>
      <c r="B801" s="2" t="s">
        <v>10</v>
      </c>
      <c r="C801" s="2" t="s">
        <v>10</v>
      </c>
      <c r="D801" s="2" t="s">
        <v>10</v>
      </c>
      <c r="E801" s="3">
        <f t="shared" si="12"/>
        <v>9</v>
      </c>
    </row>
    <row r="802" spans="1:5" x14ac:dyDescent="0.2">
      <c r="A802" s="1" t="s">
        <v>0</v>
      </c>
      <c r="E802" s="3">
        <f t="shared" si="12"/>
        <v>10</v>
      </c>
    </row>
    <row r="803" spans="1:5" x14ac:dyDescent="0.2">
      <c r="A803" s="1" t="s">
        <v>1</v>
      </c>
      <c r="B803" s="1" t="s">
        <v>2</v>
      </c>
      <c r="C803" s="1" t="s">
        <v>3</v>
      </c>
      <c r="D803" s="1" t="s">
        <v>4</v>
      </c>
      <c r="E803" s="3">
        <f t="shared" si="12"/>
        <v>10</v>
      </c>
    </row>
    <row r="804" spans="1:5" x14ac:dyDescent="0.2">
      <c r="A804">
        <v>1</v>
      </c>
      <c r="B804" t="s">
        <v>452</v>
      </c>
      <c r="C804">
        <v>3</v>
      </c>
      <c r="D804">
        <v>16</v>
      </c>
      <c r="E804" s="3">
        <f t="shared" si="12"/>
        <v>10</v>
      </c>
    </row>
    <row r="805" spans="1:5" x14ac:dyDescent="0.2">
      <c r="A805">
        <v>2</v>
      </c>
      <c r="B805" t="s">
        <v>101</v>
      </c>
      <c r="C805">
        <v>1</v>
      </c>
      <c r="D805">
        <v>12</v>
      </c>
      <c r="E805" s="3">
        <f t="shared" si="12"/>
        <v>10</v>
      </c>
    </row>
    <row r="806" spans="1:5" x14ac:dyDescent="0.2">
      <c r="A806">
        <v>3</v>
      </c>
      <c r="B806" t="s">
        <v>518</v>
      </c>
      <c r="C806">
        <v>1</v>
      </c>
      <c r="D806">
        <v>8</v>
      </c>
      <c r="E806" s="3">
        <f t="shared" si="12"/>
        <v>10</v>
      </c>
    </row>
    <row r="807" spans="1:5" x14ac:dyDescent="0.2">
      <c r="A807">
        <v>4</v>
      </c>
      <c r="B807" t="s">
        <v>505</v>
      </c>
      <c r="C807">
        <v>0</v>
      </c>
      <c r="D807">
        <v>4</v>
      </c>
      <c r="E807" s="3">
        <f t="shared" si="12"/>
        <v>10</v>
      </c>
    </row>
    <row r="808" spans="1:5" x14ac:dyDescent="0.2">
      <c r="A808">
        <v>5</v>
      </c>
      <c r="B808" t="s">
        <v>479</v>
      </c>
      <c r="C808">
        <v>0</v>
      </c>
      <c r="D808">
        <v>2</v>
      </c>
      <c r="E808" s="3">
        <f t="shared" si="12"/>
        <v>10</v>
      </c>
    </row>
    <row r="809" spans="1:5" x14ac:dyDescent="0.2">
      <c r="A809">
        <v>6</v>
      </c>
      <c r="B809" t="s">
        <v>532</v>
      </c>
      <c r="C809">
        <v>0</v>
      </c>
      <c r="D809">
        <v>1</v>
      </c>
      <c r="E809" s="3">
        <f t="shared" si="12"/>
        <v>10</v>
      </c>
    </row>
    <row r="810" spans="1:5" x14ac:dyDescent="0.2">
      <c r="A810">
        <v>7</v>
      </c>
      <c r="B810" s="2" t="s">
        <v>10</v>
      </c>
      <c r="C810" s="2" t="s">
        <v>10</v>
      </c>
      <c r="D810" s="2" t="s">
        <v>10</v>
      </c>
      <c r="E810" s="3">
        <f t="shared" si="12"/>
        <v>10</v>
      </c>
    </row>
    <row r="811" spans="1:5" x14ac:dyDescent="0.2">
      <c r="A811">
        <v>8</v>
      </c>
      <c r="B811" s="2" t="s">
        <v>10</v>
      </c>
      <c r="C811" s="2" t="s">
        <v>10</v>
      </c>
      <c r="D811" s="2" t="s">
        <v>10</v>
      </c>
      <c r="E811" s="3">
        <f t="shared" si="12"/>
        <v>10</v>
      </c>
    </row>
    <row r="812" spans="1:5" x14ac:dyDescent="0.2">
      <c r="A812" s="1" t="s">
        <v>17</v>
      </c>
      <c r="E812" s="3">
        <f t="shared" si="12"/>
        <v>10</v>
      </c>
    </row>
    <row r="813" spans="1:5" x14ac:dyDescent="0.2">
      <c r="A813" s="1" t="s">
        <v>1</v>
      </c>
      <c r="B813" s="1" t="s">
        <v>2</v>
      </c>
      <c r="C813" s="1" t="s">
        <v>3</v>
      </c>
      <c r="D813" s="1" t="s">
        <v>4</v>
      </c>
      <c r="E813" s="3">
        <f t="shared" si="12"/>
        <v>10</v>
      </c>
    </row>
    <row r="814" spans="1:5" x14ac:dyDescent="0.2">
      <c r="A814">
        <v>1</v>
      </c>
      <c r="B814" t="s">
        <v>485</v>
      </c>
      <c r="C814">
        <v>4</v>
      </c>
      <c r="D814">
        <v>16</v>
      </c>
      <c r="E814" s="3">
        <f t="shared" si="12"/>
        <v>10</v>
      </c>
    </row>
    <row r="815" spans="1:5" x14ac:dyDescent="0.2">
      <c r="A815">
        <v>2</v>
      </c>
      <c r="B815" t="s">
        <v>534</v>
      </c>
      <c r="C815">
        <v>0</v>
      </c>
      <c r="D815">
        <v>12</v>
      </c>
      <c r="E815" s="3">
        <f t="shared" si="12"/>
        <v>10</v>
      </c>
    </row>
    <row r="816" spans="1:5" x14ac:dyDescent="0.2">
      <c r="A816">
        <v>3</v>
      </c>
      <c r="B816" t="s">
        <v>21</v>
      </c>
      <c r="C816">
        <v>1</v>
      </c>
      <c r="D816">
        <v>8</v>
      </c>
      <c r="E816" s="3">
        <f t="shared" si="12"/>
        <v>10</v>
      </c>
    </row>
    <row r="817" spans="1:5" x14ac:dyDescent="0.2">
      <c r="A817">
        <v>4</v>
      </c>
      <c r="B817" t="s">
        <v>42</v>
      </c>
      <c r="C817">
        <v>0</v>
      </c>
      <c r="D817">
        <v>4</v>
      </c>
      <c r="E817" s="3">
        <f t="shared" si="12"/>
        <v>10</v>
      </c>
    </row>
    <row r="818" spans="1:5" x14ac:dyDescent="0.2">
      <c r="A818">
        <v>5</v>
      </c>
      <c r="B818" t="s">
        <v>454</v>
      </c>
      <c r="C818">
        <v>0</v>
      </c>
      <c r="D818">
        <v>2</v>
      </c>
      <c r="E818" s="3">
        <f t="shared" si="12"/>
        <v>10</v>
      </c>
    </row>
    <row r="819" spans="1:5" x14ac:dyDescent="0.2">
      <c r="A819">
        <v>6</v>
      </c>
      <c r="B819" t="s">
        <v>526</v>
      </c>
      <c r="C819">
        <v>0</v>
      </c>
      <c r="D819">
        <v>1</v>
      </c>
      <c r="E819" s="3">
        <f t="shared" si="12"/>
        <v>10</v>
      </c>
    </row>
    <row r="820" spans="1:5" x14ac:dyDescent="0.2">
      <c r="A820">
        <v>7</v>
      </c>
      <c r="B820" s="2" t="s">
        <v>10</v>
      </c>
      <c r="C820" s="2" t="s">
        <v>10</v>
      </c>
      <c r="D820" s="2" t="s">
        <v>10</v>
      </c>
      <c r="E820" s="3">
        <f t="shared" si="12"/>
        <v>10</v>
      </c>
    </row>
    <row r="821" spans="1:5" x14ac:dyDescent="0.2">
      <c r="A821">
        <v>8</v>
      </c>
      <c r="B821" s="2" t="s">
        <v>10</v>
      </c>
      <c r="C821" s="2" t="s">
        <v>10</v>
      </c>
      <c r="D821" s="2" t="s">
        <v>10</v>
      </c>
      <c r="E821" s="3">
        <f t="shared" si="12"/>
        <v>10</v>
      </c>
    </row>
    <row r="822" spans="1:5" x14ac:dyDescent="0.2">
      <c r="A822" s="1" t="s">
        <v>24</v>
      </c>
      <c r="E822" s="3">
        <f t="shared" si="12"/>
        <v>10</v>
      </c>
    </row>
    <row r="823" spans="1:5" x14ac:dyDescent="0.2">
      <c r="A823" s="1" t="s">
        <v>1</v>
      </c>
      <c r="B823" s="1" t="s">
        <v>2</v>
      </c>
      <c r="C823" s="1" t="s">
        <v>3</v>
      </c>
      <c r="D823" s="1" t="s">
        <v>4</v>
      </c>
      <c r="E823" s="3">
        <f t="shared" si="12"/>
        <v>10</v>
      </c>
    </row>
    <row r="824" spans="1:5" x14ac:dyDescent="0.2">
      <c r="A824">
        <v>1</v>
      </c>
      <c r="B824" t="s">
        <v>46</v>
      </c>
      <c r="C824">
        <v>3</v>
      </c>
      <c r="D824">
        <v>16</v>
      </c>
      <c r="E824" s="3">
        <f t="shared" si="12"/>
        <v>10</v>
      </c>
    </row>
    <row r="825" spans="1:5" x14ac:dyDescent="0.2">
      <c r="A825">
        <v>2</v>
      </c>
      <c r="B825" t="s">
        <v>9</v>
      </c>
      <c r="C825">
        <v>1</v>
      </c>
      <c r="D825">
        <v>12</v>
      </c>
      <c r="E825" s="3">
        <f t="shared" si="12"/>
        <v>10</v>
      </c>
    </row>
    <row r="826" spans="1:5" x14ac:dyDescent="0.2">
      <c r="A826">
        <v>3</v>
      </c>
      <c r="B826" t="s">
        <v>280</v>
      </c>
      <c r="C826">
        <v>1</v>
      </c>
      <c r="D826">
        <v>8</v>
      </c>
      <c r="E826" s="3">
        <f t="shared" si="12"/>
        <v>10</v>
      </c>
    </row>
    <row r="827" spans="1:5" x14ac:dyDescent="0.2">
      <c r="A827">
        <v>4</v>
      </c>
      <c r="B827" t="s">
        <v>508</v>
      </c>
      <c r="C827">
        <v>0</v>
      </c>
      <c r="D827">
        <v>4</v>
      </c>
      <c r="E827" s="3">
        <f t="shared" si="12"/>
        <v>10</v>
      </c>
    </row>
    <row r="828" spans="1:5" x14ac:dyDescent="0.2">
      <c r="A828">
        <v>5</v>
      </c>
      <c r="B828" t="s">
        <v>516</v>
      </c>
      <c r="C828">
        <v>0</v>
      </c>
      <c r="D828">
        <v>2</v>
      </c>
      <c r="E828" s="3">
        <f t="shared" si="12"/>
        <v>10</v>
      </c>
    </row>
    <row r="829" spans="1:5" x14ac:dyDescent="0.2">
      <c r="A829">
        <v>6</v>
      </c>
      <c r="B829" t="s">
        <v>345</v>
      </c>
      <c r="C829">
        <v>0</v>
      </c>
      <c r="D829">
        <v>1</v>
      </c>
      <c r="E829" s="3">
        <f t="shared" si="12"/>
        <v>10</v>
      </c>
    </row>
    <row r="830" spans="1:5" x14ac:dyDescent="0.2">
      <c r="A830">
        <v>7</v>
      </c>
      <c r="B830" s="2" t="s">
        <v>10</v>
      </c>
      <c r="C830" s="2" t="s">
        <v>10</v>
      </c>
      <c r="D830" s="2" t="s">
        <v>10</v>
      </c>
      <c r="E830" s="3">
        <f t="shared" si="12"/>
        <v>10</v>
      </c>
    </row>
    <row r="831" spans="1:5" x14ac:dyDescent="0.2">
      <c r="A831">
        <v>8</v>
      </c>
      <c r="B831" s="2" t="s">
        <v>10</v>
      </c>
      <c r="C831" s="2" t="s">
        <v>10</v>
      </c>
      <c r="D831" s="2" t="s">
        <v>10</v>
      </c>
      <c r="E831" s="3">
        <f t="shared" si="12"/>
        <v>10</v>
      </c>
    </row>
    <row r="832" spans="1:5" x14ac:dyDescent="0.2">
      <c r="A832" s="1" t="s">
        <v>30</v>
      </c>
      <c r="E832" s="3">
        <f t="shared" si="12"/>
        <v>10</v>
      </c>
    </row>
    <row r="833" spans="1:5" x14ac:dyDescent="0.2">
      <c r="A833" s="1" t="s">
        <v>1</v>
      </c>
      <c r="B833" s="1" t="s">
        <v>2</v>
      </c>
      <c r="C833" s="1" t="s">
        <v>3</v>
      </c>
      <c r="D833" s="1" t="s">
        <v>4</v>
      </c>
      <c r="E833" s="3">
        <f t="shared" si="12"/>
        <v>10</v>
      </c>
    </row>
    <row r="834" spans="1:5" x14ac:dyDescent="0.2">
      <c r="A834">
        <v>1</v>
      </c>
      <c r="B834" t="s">
        <v>500</v>
      </c>
      <c r="C834">
        <v>3</v>
      </c>
      <c r="D834">
        <v>16</v>
      </c>
      <c r="E834" s="3">
        <f t="shared" si="12"/>
        <v>10</v>
      </c>
    </row>
    <row r="835" spans="1:5" x14ac:dyDescent="0.2">
      <c r="A835">
        <v>2</v>
      </c>
      <c r="B835" t="s">
        <v>25</v>
      </c>
      <c r="C835">
        <v>2</v>
      </c>
      <c r="D835">
        <v>12</v>
      </c>
      <c r="E835" s="3">
        <f t="shared" si="12"/>
        <v>10</v>
      </c>
    </row>
    <row r="836" spans="1:5" x14ac:dyDescent="0.2">
      <c r="A836">
        <v>3</v>
      </c>
      <c r="B836" t="s">
        <v>69</v>
      </c>
      <c r="C836">
        <v>0</v>
      </c>
      <c r="D836">
        <v>8</v>
      </c>
      <c r="E836" s="3">
        <f t="shared" ref="E836:E899" si="13">IF(A836=$A$1,E835+1,E835)</f>
        <v>10</v>
      </c>
    </row>
    <row r="837" spans="1:5" x14ac:dyDescent="0.2">
      <c r="A837">
        <v>4</v>
      </c>
      <c r="B837" t="s">
        <v>61</v>
      </c>
      <c r="C837">
        <v>0</v>
      </c>
      <c r="D837">
        <v>4</v>
      </c>
      <c r="E837" s="3">
        <f t="shared" si="13"/>
        <v>10</v>
      </c>
    </row>
    <row r="838" spans="1:5" x14ac:dyDescent="0.2">
      <c r="A838">
        <v>5</v>
      </c>
      <c r="B838" t="s">
        <v>512</v>
      </c>
      <c r="C838">
        <v>0</v>
      </c>
      <c r="D838">
        <v>2</v>
      </c>
      <c r="E838" s="3">
        <f t="shared" si="13"/>
        <v>10</v>
      </c>
    </row>
    <row r="839" spans="1:5" x14ac:dyDescent="0.2">
      <c r="A839">
        <v>6</v>
      </c>
      <c r="B839" t="s">
        <v>525</v>
      </c>
      <c r="C839">
        <v>0</v>
      </c>
      <c r="D839">
        <v>1</v>
      </c>
      <c r="E839" s="3">
        <f t="shared" si="13"/>
        <v>10</v>
      </c>
    </row>
    <row r="840" spans="1:5" x14ac:dyDescent="0.2">
      <c r="A840">
        <v>7</v>
      </c>
      <c r="B840" s="2" t="s">
        <v>10</v>
      </c>
      <c r="C840" s="2" t="s">
        <v>10</v>
      </c>
      <c r="D840" s="2" t="s">
        <v>10</v>
      </c>
      <c r="E840" s="3">
        <f t="shared" si="13"/>
        <v>10</v>
      </c>
    </row>
    <row r="841" spans="1:5" x14ac:dyDescent="0.2">
      <c r="A841">
        <v>8</v>
      </c>
      <c r="B841" s="2" t="s">
        <v>10</v>
      </c>
      <c r="C841" s="2" t="s">
        <v>10</v>
      </c>
      <c r="D841" s="2" t="s">
        <v>10</v>
      </c>
      <c r="E841" s="3">
        <f t="shared" si="13"/>
        <v>10</v>
      </c>
    </row>
    <row r="842" spans="1:5" x14ac:dyDescent="0.2">
      <c r="A842" s="1" t="s">
        <v>37</v>
      </c>
      <c r="E842" s="3">
        <f t="shared" si="13"/>
        <v>10</v>
      </c>
    </row>
    <row r="843" spans="1:5" x14ac:dyDescent="0.2">
      <c r="A843" s="1" t="s">
        <v>1</v>
      </c>
      <c r="B843" s="1" t="s">
        <v>2</v>
      </c>
      <c r="C843" s="1" t="s">
        <v>3</v>
      </c>
      <c r="D843" s="1" t="s">
        <v>4</v>
      </c>
      <c r="E843" s="3">
        <f t="shared" si="13"/>
        <v>10</v>
      </c>
    </row>
    <row r="844" spans="1:5" x14ac:dyDescent="0.2">
      <c r="A844">
        <v>0</v>
      </c>
      <c r="C844">
        <v>0</v>
      </c>
      <c r="D844">
        <v>0</v>
      </c>
      <c r="E844" s="3">
        <f t="shared" si="13"/>
        <v>10</v>
      </c>
    </row>
    <row r="845" spans="1:5" x14ac:dyDescent="0.2">
      <c r="A845">
        <v>0</v>
      </c>
      <c r="C845">
        <v>0</v>
      </c>
      <c r="D845">
        <v>0</v>
      </c>
      <c r="E845" s="3">
        <f t="shared" si="13"/>
        <v>10</v>
      </c>
    </row>
    <row r="846" spans="1:5" x14ac:dyDescent="0.2">
      <c r="A846">
        <v>0</v>
      </c>
      <c r="C846">
        <v>0</v>
      </c>
      <c r="D846">
        <v>0</v>
      </c>
      <c r="E846" s="3">
        <f t="shared" si="13"/>
        <v>10</v>
      </c>
    </row>
    <row r="847" spans="1:5" x14ac:dyDescent="0.2">
      <c r="A847">
        <v>1</v>
      </c>
      <c r="B847" t="s">
        <v>535</v>
      </c>
      <c r="C847">
        <v>3</v>
      </c>
      <c r="D847">
        <v>15</v>
      </c>
      <c r="E847" s="3">
        <f t="shared" si="13"/>
        <v>10</v>
      </c>
    </row>
    <row r="848" spans="1:5" x14ac:dyDescent="0.2">
      <c r="A848">
        <v>2</v>
      </c>
      <c r="B848" t="s">
        <v>491</v>
      </c>
      <c r="C848">
        <v>1</v>
      </c>
      <c r="D848">
        <v>11</v>
      </c>
      <c r="E848" s="3">
        <f t="shared" si="13"/>
        <v>10</v>
      </c>
    </row>
    <row r="849" spans="1:5" x14ac:dyDescent="0.2">
      <c r="A849">
        <v>3</v>
      </c>
      <c r="B849" t="s">
        <v>73</v>
      </c>
      <c r="C849">
        <v>0</v>
      </c>
      <c r="D849">
        <v>7</v>
      </c>
      <c r="E849" s="3">
        <f t="shared" si="13"/>
        <v>10</v>
      </c>
    </row>
    <row r="850" spans="1:5" x14ac:dyDescent="0.2">
      <c r="A850">
        <v>4</v>
      </c>
      <c r="B850" t="s">
        <v>27</v>
      </c>
      <c r="C850">
        <v>0</v>
      </c>
      <c r="D850">
        <v>3</v>
      </c>
      <c r="E850" s="3">
        <f t="shared" si="13"/>
        <v>10</v>
      </c>
    </row>
    <row r="851" spans="1:5" x14ac:dyDescent="0.2">
      <c r="A851">
        <v>5</v>
      </c>
      <c r="B851" t="s">
        <v>475</v>
      </c>
      <c r="C851">
        <v>0</v>
      </c>
      <c r="D851">
        <v>1</v>
      </c>
      <c r="E851" s="3">
        <f t="shared" si="13"/>
        <v>10</v>
      </c>
    </row>
    <row r="852" spans="1:5" x14ac:dyDescent="0.2">
      <c r="A852">
        <v>9</v>
      </c>
      <c r="B852" s="2" t="s">
        <v>10</v>
      </c>
      <c r="C852" s="2" t="s">
        <v>10</v>
      </c>
      <c r="D852" s="2" t="s">
        <v>10</v>
      </c>
      <c r="E852" s="3">
        <f t="shared" si="13"/>
        <v>10</v>
      </c>
    </row>
    <row r="853" spans="1:5" x14ac:dyDescent="0.2">
      <c r="A853">
        <v>10</v>
      </c>
      <c r="B853" s="2" t="s">
        <v>10</v>
      </c>
      <c r="C853" s="2" t="s">
        <v>10</v>
      </c>
      <c r="D853" s="2" t="s">
        <v>10</v>
      </c>
      <c r="E853" s="3">
        <f t="shared" si="13"/>
        <v>10</v>
      </c>
    </row>
    <row r="854" spans="1:5" x14ac:dyDescent="0.2">
      <c r="A854">
        <v>11</v>
      </c>
      <c r="B854" s="2" t="s">
        <v>10</v>
      </c>
      <c r="C854" s="2" t="s">
        <v>10</v>
      </c>
      <c r="D854" s="2" t="s">
        <v>10</v>
      </c>
      <c r="E854" s="3">
        <f t="shared" si="13"/>
        <v>10</v>
      </c>
    </row>
    <row r="855" spans="1:5" x14ac:dyDescent="0.2">
      <c r="A855" s="1" t="s">
        <v>44</v>
      </c>
      <c r="E855" s="3">
        <f t="shared" si="13"/>
        <v>10</v>
      </c>
    </row>
    <row r="856" spans="1:5" x14ac:dyDescent="0.2">
      <c r="A856" s="1" t="s">
        <v>1</v>
      </c>
      <c r="B856" s="1" t="s">
        <v>2</v>
      </c>
      <c r="C856" s="1" t="s">
        <v>3</v>
      </c>
      <c r="D856" s="1" t="s">
        <v>4</v>
      </c>
      <c r="E856" s="3">
        <f t="shared" si="13"/>
        <v>10</v>
      </c>
    </row>
    <row r="857" spans="1:5" x14ac:dyDescent="0.2">
      <c r="A857">
        <v>1</v>
      </c>
      <c r="B857" t="s">
        <v>504</v>
      </c>
      <c r="C857">
        <v>4</v>
      </c>
      <c r="D857">
        <v>16</v>
      </c>
      <c r="E857" s="3">
        <f t="shared" si="13"/>
        <v>10</v>
      </c>
    </row>
    <row r="858" spans="1:5" x14ac:dyDescent="0.2">
      <c r="A858">
        <v>2</v>
      </c>
      <c r="B858" t="s">
        <v>81</v>
      </c>
      <c r="C858">
        <v>0</v>
      </c>
      <c r="D858">
        <v>12</v>
      </c>
      <c r="E858" s="3">
        <f t="shared" si="13"/>
        <v>10</v>
      </c>
    </row>
    <row r="859" spans="1:5" x14ac:dyDescent="0.2">
      <c r="A859">
        <v>3</v>
      </c>
      <c r="B859" t="s">
        <v>533</v>
      </c>
      <c r="C859">
        <v>0</v>
      </c>
      <c r="D859">
        <v>8</v>
      </c>
      <c r="E859" s="3">
        <f t="shared" si="13"/>
        <v>10</v>
      </c>
    </row>
    <row r="860" spans="1:5" x14ac:dyDescent="0.2">
      <c r="A860">
        <v>4</v>
      </c>
      <c r="B860" t="s">
        <v>501</v>
      </c>
      <c r="C860">
        <v>1</v>
      </c>
      <c r="D860">
        <v>4</v>
      </c>
      <c r="E860" s="3">
        <f t="shared" si="13"/>
        <v>10</v>
      </c>
    </row>
    <row r="861" spans="1:5" x14ac:dyDescent="0.2">
      <c r="A861">
        <v>5</v>
      </c>
      <c r="B861" t="s">
        <v>493</v>
      </c>
      <c r="C861">
        <v>0</v>
      </c>
      <c r="D861">
        <v>2</v>
      </c>
      <c r="E861" s="3">
        <f t="shared" si="13"/>
        <v>10</v>
      </c>
    </row>
    <row r="862" spans="1:5" x14ac:dyDescent="0.2">
      <c r="A862">
        <v>6</v>
      </c>
      <c r="B862" t="s">
        <v>75</v>
      </c>
      <c r="C862">
        <v>0</v>
      </c>
      <c r="D862">
        <v>1</v>
      </c>
      <c r="E862" s="3">
        <f t="shared" si="13"/>
        <v>10</v>
      </c>
    </row>
    <row r="863" spans="1:5" x14ac:dyDescent="0.2">
      <c r="A863">
        <v>7</v>
      </c>
      <c r="B863" s="2" t="s">
        <v>10</v>
      </c>
      <c r="C863" s="2" t="s">
        <v>10</v>
      </c>
      <c r="D863" s="2" t="s">
        <v>10</v>
      </c>
      <c r="E863" s="3">
        <f t="shared" si="13"/>
        <v>10</v>
      </c>
    </row>
    <row r="864" spans="1:5" x14ac:dyDescent="0.2">
      <c r="A864">
        <v>8</v>
      </c>
      <c r="B864" s="2" t="s">
        <v>10</v>
      </c>
      <c r="C864" s="2" t="s">
        <v>10</v>
      </c>
      <c r="D864" s="2" t="s">
        <v>10</v>
      </c>
      <c r="E864" s="3">
        <f t="shared" si="13"/>
        <v>10</v>
      </c>
    </row>
    <row r="865" spans="1:5" x14ac:dyDescent="0.2">
      <c r="A865" s="1" t="s">
        <v>51</v>
      </c>
      <c r="E865" s="3">
        <f t="shared" si="13"/>
        <v>10</v>
      </c>
    </row>
    <row r="866" spans="1:5" x14ac:dyDescent="0.2">
      <c r="A866" s="1" t="s">
        <v>1</v>
      </c>
      <c r="B866" s="1" t="s">
        <v>2</v>
      </c>
      <c r="C866" s="1" t="s">
        <v>3</v>
      </c>
      <c r="D866" s="1" t="s">
        <v>4</v>
      </c>
      <c r="E866" s="3">
        <f t="shared" si="13"/>
        <v>10</v>
      </c>
    </row>
    <row r="867" spans="1:5" x14ac:dyDescent="0.2">
      <c r="A867">
        <v>1</v>
      </c>
      <c r="B867" t="s">
        <v>502</v>
      </c>
      <c r="C867">
        <v>3</v>
      </c>
      <c r="D867">
        <v>15</v>
      </c>
      <c r="E867" s="3">
        <f t="shared" si="13"/>
        <v>10</v>
      </c>
    </row>
    <row r="868" spans="1:5" x14ac:dyDescent="0.2">
      <c r="A868">
        <v>2</v>
      </c>
      <c r="B868" t="s">
        <v>74</v>
      </c>
      <c r="C868">
        <v>0</v>
      </c>
      <c r="D868">
        <v>11</v>
      </c>
      <c r="E868" s="3">
        <f t="shared" si="13"/>
        <v>10</v>
      </c>
    </row>
    <row r="869" spans="1:5" x14ac:dyDescent="0.2">
      <c r="A869">
        <v>3</v>
      </c>
      <c r="B869" t="s">
        <v>66</v>
      </c>
      <c r="C869">
        <v>1</v>
      </c>
      <c r="D869">
        <v>7</v>
      </c>
      <c r="E869" s="3">
        <f t="shared" si="13"/>
        <v>10</v>
      </c>
    </row>
    <row r="870" spans="1:5" x14ac:dyDescent="0.2">
      <c r="A870">
        <v>4</v>
      </c>
      <c r="B870" t="s">
        <v>530</v>
      </c>
      <c r="C870">
        <v>0</v>
      </c>
      <c r="D870">
        <v>3</v>
      </c>
      <c r="E870" s="3">
        <f t="shared" si="13"/>
        <v>10</v>
      </c>
    </row>
    <row r="871" spans="1:5" x14ac:dyDescent="0.2">
      <c r="A871">
        <v>5</v>
      </c>
      <c r="B871" t="s">
        <v>76</v>
      </c>
      <c r="C871">
        <v>0</v>
      </c>
      <c r="D871">
        <v>1</v>
      </c>
      <c r="E871" s="3">
        <f t="shared" si="13"/>
        <v>10</v>
      </c>
    </row>
    <row r="872" spans="1:5" x14ac:dyDescent="0.2">
      <c r="A872">
        <v>6</v>
      </c>
      <c r="B872" s="2" t="s">
        <v>10</v>
      </c>
      <c r="C872" s="2" t="s">
        <v>10</v>
      </c>
      <c r="D872" s="2" t="s">
        <v>10</v>
      </c>
      <c r="E872" s="3">
        <f t="shared" si="13"/>
        <v>10</v>
      </c>
    </row>
    <row r="873" spans="1:5" x14ac:dyDescent="0.2">
      <c r="A873">
        <v>7</v>
      </c>
      <c r="B873" s="2" t="s">
        <v>10</v>
      </c>
      <c r="C873" s="2" t="s">
        <v>10</v>
      </c>
      <c r="D873" s="2" t="s">
        <v>10</v>
      </c>
      <c r="E873" s="3">
        <f t="shared" si="13"/>
        <v>10</v>
      </c>
    </row>
    <row r="874" spans="1:5" x14ac:dyDescent="0.2">
      <c r="A874">
        <v>8</v>
      </c>
      <c r="B874" s="2" t="s">
        <v>10</v>
      </c>
      <c r="C874" s="2" t="s">
        <v>10</v>
      </c>
      <c r="D874" s="2" t="s">
        <v>10</v>
      </c>
      <c r="E874" s="3">
        <f t="shared" si="13"/>
        <v>10</v>
      </c>
    </row>
    <row r="875" spans="1:5" x14ac:dyDescent="0.2">
      <c r="A875" s="1" t="s">
        <v>58</v>
      </c>
      <c r="E875" s="3">
        <f t="shared" si="13"/>
        <v>10</v>
      </c>
    </row>
    <row r="876" spans="1:5" x14ac:dyDescent="0.2">
      <c r="A876" s="1" t="s">
        <v>1</v>
      </c>
      <c r="B876" s="1" t="s">
        <v>2</v>
      </c>
      <c r="C876" s="1" t="s">
        <v>3</v>
      </c>
      <c r="D876" s="1" t="s">
        <v>4</v>
      </c>
      <c r="E876" s="3">
        <f t="shared" si="13"/>
        <v>10</v>
      </c>
    </row>
    <row r="877" spans="1:5" x14ac:dyDescent="0.2">
      <c r="A877">
        <v>1</v>
      </c>
      <c r="B877" t="s">
        <v>509</v>
      </c>
      <c r="C877">
        <v>4</v>
      </c>
      <c r="D877">
        <v>15</v>
      </c>
      <c r="E877" s="3">
        <f t="shared" si="13"/>
        <v>10</v>
      </c>
    </row>
    <row r="878" spans="1:5" x14ac:dyDescent="0.2">
      <c r="A878">
        <v>2</v>
      </c>
      <c r="B878" t="s">
        <v>6</v>
      </c>
      <c r="C878">
        <v>0</v>
      </c>
      <c r="D878">
        <v>11</v>
      </c>
      <c r="E878" s="3">
        <f t="shared" si="13"/>
        <v>10</v>
      </c>
    </row>
    <row r="879" spans="1:5" x14ac:dyDescent="0.2">
      <c r="A879">
        <v>3</v>
      </c>
      <c r="B879" t="s">
        <v>461</v>
      </c>
      <c r="C879">
        <v>0</v>
      </c>
      <c r="D879">
        <v>7</v>
      </c>
      <c r="E879" s="3">
        <f t="shared" si="13"/>
        <v>10</v>
      </c>
    </row>
    <row r="880" spans="1:5" x14ac:dyDescent="0.2">
      <c r="A880">
        <v>4</v>
      </c>
      <c r="B880" t="s">
        <v>490</v>
      </c>
      <c r="C880">
        <v>0</v>
      </c>
      <c r="D880">
        <v>3</v>
      </c>
      <c r="E880" s="3">
        <f t="shared" si="13"/>
        <v>10</v>
      </c>
    </row>
    <row r="881" spans="1:5" x14ac:dyDescent="0.2">
      <c r="A881">
        <v>5</v>
      </c>
      <c r="B881" t="s">
        <v>519</v>
      </c>
      <c r="C881">
        <v>0</v>
      </c>
      <c r="D881">
        <v>1</v>
      </c>
      <c r="E881" s="3">
        <f t="shared" si="13"/>
        <v>10</v>
      </c>
    </row>
    <row r="882" spans="1:5" x14ac:dyDescent="0.2">
      <c r="A882">
        <v>6</v>
      </c>
      <c r="B882" s="2" t="s">
        <v>10</v>
      </c>
      <c r="C882" s="2" t="s">
        <v>10</v>
      </c>
      <c r="D882" s="2" t="s">
        <v>10</v>
      </c>
      <c r="E882" s="3">
        <f t="shared" si="13"/>
        <v>10</v>
      </c>
    </row>
    <row r="883" spans="1:5" x14ac:dyDescent="0.2">
      <c r="A883">
        <v>7</v>
      </c>
      <c r="B883" s="2" t="s">
        <v>10</v>
      </c>
      <c r="C883" s="2" t="s">
        <v>10</v>
      </c>
      <c r="D883" s="2" t="s">
        <v>10</v>
      </c>
      <c r="E883" s="3">
        <f t="shared" si="13"/>
        <v>10</v>
      </c>
    </row>
    <row r="884" spans="1:5" x14ac:dyDescent="0.2">
      <c r="A884">
        <v>8</v>
      </c>
      <c r="B884" s="2" t="s">
        <v>10</v>
      </c>
      <c r="C884" s="2" t="s">
        <v>10</v>
      </c>
      <c r="D884" s="2" t="s">
        <v>10</v>
      </c>
      <c r="E884" s="3">
        <f t="shared" si="13"/>
        <v>10</v>
      </c>
    </row>
    <row r="885" spans="1:5" x14ac:dyDescent="0.2">
      <c r="A885" s="1" t="s">
        <v>11</v>
      </c>
      <c r="E885" s="3">
        <f t="shared" si="13"/>
        <v>10</v>
      </c>
    </row>
    <row r="886" spans="1:5" x14ac:dyDescent="0.2">
      <c r="A886" s="1" t="s">
        <v>1</v>
      </c>
      <c r="B886" s="1" t="s">
        <v>2</v>
      </c>
      <c r="C886" s="1" t="s">
        <v>3</v>
      </c>
      <c r="D886" s="1" t="s">
        <v>4</v>
      </c>
      <c r="E886" s="3">
        <f t="shared" si="13"/>
        <v>10</v>
      </c>
    </row>
    <row r="887" spans="1:5" x14ac:dyDescent="0.2">
      <c r="A887">
        <v>1</v>
      </c>
      <c r="B887" t="s">
        <v>55</v>
      </c>
      <c r="C887">
        <v>2</v>
      </c>
      <c r="D887">
        <v>16</v>
      </c>
      <c r="E887" s="3">
        <f t="shared" si="13"/>
        <v>10</v>
      </c>
    </row>
    <row r="888" spans="1:5" x14ac:dyDescent="0.2">
      <c r="A888">
        <v>2</v>
      </c>
      <c r="B888" t="s">
        <v>451</v>
      </c>
      <c r="C888">
        <v>2</v>
      </c>
      <c r="D888">
        <v>12</v>
      </c>
      <c r="E888" s="3">
        <f t="shared" si="13"/>
        <v>10</v>
      </c>
    </row>
    <row r="889" spans="1:5" x14ac:dyDescent="0.2">
      <c r="A889">
        <v>3</v>
      </c>
      <c r="B889" t="s">
        <v>476</v>
      </c>
      <c r="C889">
        <v>0</v>
      </c>
      <c r="D889">
        <v>8</v>
      </c>
      <c r="E889" s="3">
        <f t="shared" si="13"/>
        <v>10</v>
      </c>
    </row>
    <row r="890" spans="1:5" x14ac:dyDescent="0.2">
      <c r="A890">
        <v>4</v>
      </c>
      <c r="B890" t="s">
        <v>88</v>
      </c>
      <c r="C890">
        <v>1</v>
      </c>
      <c r="D890">
        <v>4</v>
      </c>
      <c r="E890" s="3">
        <f t="shared" si="13"/>
        <v>10</v>
      </c>
    </row>
    <row r="891" spans="1:5" x14ac:dyDescent="0.2">
      <c r="A891">
        <v>5</v>
      </c>
      <c r="B891" t="s">
        <v>507</v>
      </c>
      <c r="C891">
        <v>0</v>
      </c>
      <c r="D891">
        <v>2</v>
      </c>
      <c r="E891" s="3">
        <f t="shared" si="13"/>
        <v>10</v>
      </c>
    </row>
    <row r="892" spans="1:5" x14ac:dyDescent="0.2">
      <c r="A892">
        <v>6</v>
      </c>
      <c r="B892" t="s">
        <v>35</v>
      </c>
      <c r="C892">
        <v>0</v>
      </c>
      <c r="D892">
        <v>1</v>
      </c>
      <c r="E892" s="3">
        <f t="shared" si="13"/>
        <v>10</v>
      </c>
    </row>
    <row r="893" spans="1:5" x14ac:dyDescent="0.2">
      <c r="A893">
        <v>7</v>
      </c>
      <c r="B893" s="2" t="s">
        <v>10</v>
      </c>
      <c r="C893" s="2" t="s">
        <v>10</v>
      </c>
      <c r="D893" s="2" t="s">
        <v>10</v>
      </c>
      <c r="E893" s="3">
        <f t="shared" si="13"/>
        <v>10</v>
      </c>
    </row>
    <row r="894" spans="1:5" x14ac:dyDescent="0.2">
      <c r="A894">
        <v>8</v>
      </c>
      <c r="B894" s="2" t="s">
        <v>10</v>
      </c>
      <c r="C894" s="2" t="s">
        <v>10</v>
      </c>
      <c r="D894" s="2" t="s">
        <v>10</v>
      </c>
      <c r="E894" s="3">
        <f t="shared" si="13"/>
        <v>10</v>
      </c>
    </row>
    <row r="895" spans="1:5" x14ac:dyDescent="0.2">
      <c r="A895" s="1" t="s">
        <v>537</v>
      </c>
      <c r="E895" s="3">
        <f t="shared" si="13"/>
        <v>11</v>
      </c>
    </row>
    <row r="896" spans="1:5" x14ac:dyDescent="0.2">
      <c r="A896" s="1" t="s">
        <v>1</v>
      </c>
      <c r="B896" s="1" t="s">
        <v>2</v>
      </c>
      <c r="C896" s="1" t="s">
        <v>3</v>
      </c>
      <c r="D896" s="1" t="s">
        <v>4</v>
      </c>
      <c r="E896" s="3">
        <f t="shared" si="13"/>
        <v>11</v>
      </c>
    </row>
    <row r="897" spans="1:5" x14ac:dyDescent="0.2">
      <c r="A897">
        <v>1</v>
      </c>
      <c r="B897" t="s">
        <v>25</v>
      </c>
      <c r="C897">
        <v>1</v>
      </c>
      <c r="D897">
        <v>16</v>
      </c>
      <c r="E897" s="3">
        <f t="shared" si="13"/>
        <v>11</v>
      </c>
    </row>
    <row r="898" spans="1:5" x14ac:dyDescent="0.2">
      <c r="A898">
        <v>2</v>
      </c>
      <c r="B898" t="s">
        <v>61</v>
      </c>
      <c r="C898">
        <v>3</v>
      </c>
      <c r="D898">
        <v>12</v>
      </c>
      <c r="E898" s="3">
        <f t="shared" si="13"/>
        <v>11</v>
      </c>
    </row>
    <row r="899" spans="1:5" x14ac:dyDescent="0.2">
      <c r="A899">
        <v>3</v>
      </c>
      <c r="B899" t="s">
        <v>490</v>
      </c>
      <c r="C899">
        <v>0</v>
      </c>
      <c r="D899">
        <v>8</v>
      </c>
      <c r="E899" s="3">
        <f t="shared" si="13"/>
        <v>11</v>
      </c>
    </row>
    <row r="900" spans="1:5" x14ac:dyDescent="0.2">
      <c r="A900">
        <v>4</v>
      </c>
      <c r="B900" t="s">
        <v>500</v>
      </c>
      <c r="C900">
        <v>1</v>
      </c>
      <c r="D900">
        <v>4</v>
      </c>
      <c r="E900" s="3">
        <f t="shared" ref="E900:E963" si="14">IF(A900=$A$1,E899+1,E899)</f>
        <v>11</v>
      </c>
    </row>
    <row r="901" spans="1:5" x14ac:dyDescent="0.2">
      <c r="A901">
        <v>5</v>
      </c>
      <c r="B901" t="s">
        <v>452</v>
      </c>
      <c r="C901">
        <v>0</v>
      </c>
      <c r="D901">
        <v>2</v>
      </c>
      <c r="E901" s="3">
        <f t="shared" si="14"/>
        <v>11</v>
      </c>
    </row>
    <row r="902" spans="1:5" x14ac:dyDescent="0.2">
      <c r="A902">
        <v>6</v>
      </c>
      <c r="B902" t="s">
        <v>345</v>
      </c>
      <c r="C902">
        <v>0</v>
      </c>
      <c r="D902">
        <v>1</v>
      </c>
      <c r="E902" s="3">
        <f t="shared" si="14"/>
        <v>11</v>
      </c>
    </row>
    <row r="903" spans="1:5" x14ac:dyDescent="0.2">
      <c r="A903">
        <v>7</v>
      </c>
      <c r="B903" s="2" t="s">
        <v>10</v>
      </c>
      <c r="C903" s="2" t="s">
        <v>10</v>
      </c>
      <c r="D903" s="2" t="s">
        <v>10</v>
      </c>
      <c r="E903" s="3">
        <f t="shared" si="14"/>
        <v>11</v>
      </c>
    </row>
    <row r="904" spans="1:5" x14ac:dyDescent="0.2">
      <c r="A904">
        <v>8</v>
      </c>
      <c r="B904" s="2" t="s">
        <v>10</v>
      </c>
      <c r="C904" s="2" t="s">
        <v>10</v>
      </c>
      <c r="D904" s="2" t="s">
        <v>10</v>
      </c>
      <c r="E904" s="3">
        <f t="shared" si="14"/>
        <v>11</v>
      </c>
    </row>
    <row r="905" spans="1:5" x14ac:dyDescent="0.2">
      <c r="A905" s="1" t="s">
        <v>538</v>
      </c>
      <c r="E905" s="3">
        <f t="shared" si="14"/>
        <v>11</v>
      </c>
    </row>
    <row r="906" spans="1:5" x14ac:dyDescent="0.2">
      <c r="A906" s="1" t="s">
        <v>1</v>
      </c>
      <c r="B906" s="1" t="s">
        <v>2</v>
      </c>
      <c r="C906" s="1" t="s">
        <v>3</v>
      </c>
      <c r="D906" s="1" t="s">
        <v>4</v>
      </c>
      <c r="E906" s="3">
        <f t="shared" si="14"/>
        <v>11</v>
      </c>
    </row>
    <row r="907" spans="1:5" x14ac:dyDescent="0.2">
      <c r="A907">
        <v>1</v>
      </c>
      <c r="B907" t="s">
        <v>476</v>
      </c>
      <c r="C907">
        <v>3</v>
      </c>
      <c r="D907">
        <v>16</v>
      </c>
      <c r="E907" s="3">
        <f t="shared" si="14"/>
        <v>11</v>
      </c>
    </row>
    <row r="908" spans="1:5" x14ac:dyDescent="0.2">
      <c r="A908">
        <v>2</v>
      </c>
      <c r="B908" t="s">
        <v>535</v>
      </c>
      <c r="C908">
        <v>1</v>
      </c>
      <c r="D908">
        <v>12</v>
      </c>
      <c r="E908" s="3">
        <f t="shared" si="14"/>
        <v>11</v>
      </c>
    </row>
    <row r="909" spans="1:5" x14ac:dyDescent="0.2">
      <c r="A909">
        <v>3</v>
      </c>
      <c r="B909" t="s">
        <v>547</v>
      </c>
      <c r="C909">
        <v>1</v>
      </c>
      <c r="D909">
        <v>8</v>
      </c>
      <c r="E909" s="3">
        <f t="shared" si="14"/>
        <v>11</v>
      </c>
    </row>
    <row r="910" spans="1:5" x14ac:dyDescent="0.2">
      <c r="A910">
        <v>4</v>
      </c>
      <c r="B910" t="s">
        <v>454</v>
      </c>
      <c r="C910">
        <v>0</v>
      </c>
      <c r="D910">
        <v>4</v>
      </c>
      <c r="E910" s="3">
        <f t="shared" si="14"/>
        <v>11</v>
      </c>
    </row>
    <row r="911" spans="1:5" x14ac:dyDescent="0.2">
      <c r="A911">
        <v>5</v>
      </c>
      <c r="B911" t="s">
        <v>55</v>
      </c>
      <c r="C911">
        <v>0</v>
      </c>
      <c r="D911">
        <v>2</v>
      </c>
      <c r="E911" s="3">
        <f t="shared" si="14"/>
        <v>11</v>
      </c>
    </row>
    <row r="912" spans="1:5" x14ac:dyDescent="0.2">
      <c r="A912">
        <v>6</v>
      </c>
      <c r="B912" t="s">
        <v>73</v>
      </c>
      <c r="C912">
        <v>0</v>
      </c>
      <c r="D912">
        <v>1</v>
      </c>
      <c r="E912" s="3">
        <f t="shared" si="14"/>
        <v>11</v>
      </c>
    </row>
    <row r="913" spans="1:5" x14ac:dyDescent="0.2">
      <c r="A913">
        <v>7</v>
      </c>
      <c r="B913" s="2" t="s">
        <v>10</v>
      </c>
      <c r="C913" s="2" t="s">
        <v>10</v>
      </c>
      <c r="D913" s="2" t="s">
        <v>10</v>
      </c>
      <c r="E913" s="3">
        <f t="shared" si="14"/>
        <v>11</v>
      </c>
    </row>
    <row r="914" spans="1:5" x14ac:dyDescent="0.2">
      <c r="A914">
        <v>8</v>
      </c>
      <c r="B914" s="2" t="s">
        <v>10</v>
      </c>
      <c r="C914" s="2" t="s">
        <v>10</v>
      </c>
      <c r="D914" s="2" t="s">
        <v>10</v>
      </c>
      <c r="E914" s="3">
        <f t="shared" si="14"/>
        <v>11</v>
      </c>
    </row>
    <row r="915" spans="1:5" x14ac:dyDescent="0.2">
      <c r="A915" s="1" t="s">
        <v>539</v>
      </c>
      <c r="E915" s="3">
        <f t="shared" si="14"/>
        <v>11</v>
      </c>
    </row>
    <row r="916" spans="1:5" x14ac:dyDescent="0.2">
      <c r="A916" s="1" t="s">
        <v>1</v>
      </c>
      <c r="B916" s="1" t="s">
        <v>2</v>
      </c>
      <c r="C916" s="1" t="s">
        <v>3</v>
      </c>
      <c r="D916" s="1" t="s">
        <v>4</v>
      </c>
      <c r="E916" s="3">
        <f t="shared" si="14"/>
        <v>11</v>
      </c>
    </row>
    <row r="917" spans="1:5" x14ac:dyDescent="0.2">
      <c r="A917">
        <v>1</v>
      </c>
      <c r="B917" t="s">
        <v>534</v>
      </c>
      <c r="C917">
        <v>3</v>
      </c>
      <c r="D917">
        <v>15</v>
      </c>
      <c r="E917" s="3">
        <f t="shared" si="14"/>
        <v>11</v>
      </c>
    </row>
    <row r="918" spans="1:5" x14ac:dyDescent="0.2">
      <c r="A918">
        <v>2</v>
      </c>
      <c r="B918" t="s">
        <v>501</v>
      </c>
      <c r="C918">
        <v>1</v>
      </c>
      <c r="D918">
        <v>11</v>
      </c>
      <c r="E918" s="3">
        <f t="shared" si="14"/>
        <v>11</v>
      </c>
    </row>
    <row r="919" spans="1:5" x14ac:dyDescent="0.2">
      <c r="A919">
        <v>3</v>
      </c>
      <c r="B919" t="s">
        <v>66</v>
      </c>
      <c r="C919">
        <v>0</v>
      </c>
      <c r="D919">
        <v>7</v>
      </c>
      <c r="E919" s="3">
        <f t="shared" si="14"/>
        <v>11</v>
      </c>
    </row>
    <row r="920" spans="1:5" x14ac:dyDescent="0.2">
      <c r="A920">
        <v>4</v>
      </c>
      <c r="B920" t="s">
        <v>27</v>
      </c>
      <c r="C920">
        <v>0</v>
      </c>
      <c r="D920">
        <v>3</v>
      </c>
      <c r="E920" s="3">
        <f t="shared" si="14"/>
        <v>11</v>
      </c>
    </row>
    <row r="921" spans="1:5" x14ac:dyDescent="0.2">
      <c r="A921">
        <v>5</v>
      </c>
      <c r="B921" t="s">
        <v>9</v>
      </c>
      <c r="C921">
        <v>0</v>
      </c>
      <c r="D921">
        <v>1</v>
      </c>
      <c r="E921" s="3">
        <f t="shared" si="14"/>
        <v>11</v>
      </c>
    </row>
    <row r="922" spans="1:5" x14ac:dyDescent="0.2">
      <c r="A922">
        <v>6</v>
      </c>
      <c r="B922" s="2" t="s">
        <v>10</v>
      </c>
      <c r="C922" s="2" t="s">
        <v>10</v>
      </c>
      <c r="D922" s="2" t="s">
        <v>10</v>
      </c>
      <c r="E922" s="3">
        <f t="shared" si="14"/>
        <v>11</v>
      </c>
    </row>
    <row r="923" spans="1:5" x14ac:dyDescent="0.2">
      <c r="A923">
        <v>7</v>
      </c>
      <c r="B923" s="2" t="s">
        <v>10</v>
      </c>
      <c r="C923" s="2" t="s">
        <v>10</v>
      </c>
      <c r="D923" s="2" t="s">
        <v>10</v>
      </c>
      <c r="E923" s="3">
        <f t="shared" si="14"/>
        <v>11</v>
      </c>
    </row>
    <row r="924" spans="1:5" x14ac:dyDescent="0.2">
      <c r="A924">
        <v>8</v>
      </c>
      <c r="B924" s="2" t="s">
        <v>10</v>
      </c>
      <c r="C924" s="2" t="s">
        <v>10</v>
      </c>
      <c r="D924" s="2" t="s">
        <v>10</v>
      </c>
      <c r="E924" s="3">
        <f t="shared" si="14"/>
        <v>11</v>
      </c>
    </row>
    <row r="925" spans="1:5" x14ac:dyDescent="0.2">
      <c r="A925" s="1" t="s">
        <v>540</v>
      </c>
      <c r="E925" s="3">
        <f t="shared" si="14"/>
        <v>11</v>
      </c>
    </row>
    <row r="926" spans="1:5" x14ac:dyDescent="0.2">
      <c r="A926" s="1" t="s">
        <v>1</v>
      </c>
      <c r="B926" s="1" t="s">
        <v>2</v>
      </c>
      <c r="C926" s="1" t="s">
        <v>3</v>
      </c>
      <c r="D926" s="1" t="s">
        <v>4</v>
      </c>
      <c r="E926" s="3">
        <f t="shared" si="14"/>
        <v>11</v>
      </c>
    </row>
    <row r="927" spans="1:5" x14ac:dyDescent="0.2">
      <c r="A927">
        <v>1</v>
      </c>
      <c r="B927" t="s">
        <v>506</v>
      </c>
      <c r="C927">
        <v>3</v>
      </c>
      <c r="D927">
        <v>15</v>
      </c>
      <c r="E927" s="3">
        <f t="shared" si="14"/>
        <v>11</v>
      </c>
    </row>
    <row r="928" spans="1:5" x14ac:dyDescent="0.2">
      <c r="A928">
        <v>2</v>
      </c>
      <c r="B928" t="s">
        <v>46</v>
      </c>
      <c r="C928">
        <v>1</v>
      </c>
      <c r="D928">
        <v>11</v>
      </c>
      <c r="E928" s="3">
        <f t="shared" si="14"/>
        <v>11</v>
      </c>
    </row>
    <row r="929" spans="1:5" x14ac:dyDescent="0.2">
      <c r="A929">
        <v>3</v>
      </c>
      <c r="B929" t="s">
        <v>74</v>
      </c>
      <c r="C929">
        <v>0</v>
      </c>
      <c r="D929">
        <v>7</v>
      </c>
      <c r="E929" s="3">
        <f t="shared" si="14"/>
        <v>11</v>
      </c>
    </row>
    <row r="930" spans="1:5" x14ac:dyDescent="0.2">
      <c r="A930">
        <v>4</v>
      </c>
      <c r="B930" t="s">
        <v>6</v>
      </c>
      <c r="C930">
        <v>0</v>
      </c>
      <c r="D930">
        <v>3</v>
      </c>
      <c r="E930" s="3">
        <f t="shared" si="14"/>
        <v>11</v>
      </c>
    </row>
    <row r="931" spans="1:5" x14ac:dyDescent="0.2">
      <c r="A931">
        <v>5</v>
      </c>
      <c r="B931" t="s">
        <v>507</v>
      </c>
      <c r="C931">
        <v>0</v>
      </c>
      <c r="D931">
        <v>1</v>
      </c>
      <c r="E931" s="3">
        <f t="shared" si="14"/>
        <v>11</v>
      </c>
    </row>
    <row r="932" spans="1:5" x14ac:dyDescent="0.2">
      <c r="A932">
        <v>6</v>
      </c>
      <c r="B932" s="2" t="s">
        <v>10</v>
      </c>
      <c r="C932" s="2" t="s">
        <v>10</v>
      </c>
      <c r="D932" s="2" t="s">
        <v>10</v>
      </c>
      <c r="E932" s="3">
        <f t="shared" si="14"/>
        <v>11</v>
      </c>
    </row>
    <row r="933" spans="1:5" x14ac:dyDescent="0.2">
      <c r="A933">
        <v>7</v>
      </c>
      <c r="B933" s="2" t="s">
        <v>10</v>
      </c>
      <c r="C933" s="2" t="s">
        <v>10</v>
      </c>
      <c r="D933" s="2" t="s">
        <v>10</v>
      </c>
      <c r="E933" s="3">
        <f t="shared" si="14"/>
        <v>11</v>
      </c>
    </row>
    <row r="934" spans="1:5" x14ac:dyDescent="0.2">
      <c r="A934">
        <v>8</v>
      </c>
      <c r="B934" s="2" t="s">
        <v>10</v>
      </c>
      <c r="C934" s="2" t="s">
        <v>10</v>
      </c>
      <c r="D934" s="2" t="s">
        <v>10</v>
      </c>
      <c r="E934" s="3">
        <f t="shared" si="14"/>
        <v>11</v>
      </c>
    </row>
    <row r="935" spans="1:5" x14ac:dyDescent="0.2">
      <c r="A935" s="1" t="s">
        <v>541</v>
      </c>
      <c r="E935" s="3">
        <f t="shared" si="14"/>
        <v>11</v>
      </c>
    </row>
    <row r="936" spans="1:5" x14ac:dyDescent="0.2">
      <c r="A936" s="1" t="s">
        <v>1</v>
      </c>
      <c r="B936" s="1" t="s">
        <v>2</v>
      </c>
      <c r="C936" s="1" t="s">
        <v>3</v>
      </c>
      <c r="D936" s="1" t="s">
        <v>4</v>
      </c>
      <c r="E936" s="3">
        <f t="shared" si="14"/>
        <v>11</v>
      </c>
    </row>
    <row r="937" spans="1:5" x14ac:dyDescent="0.2">
      <c r="A937">
        <v>0</v>
      </c>
      <c r="C937">
        <v>0</v>
      </c>
      <c r="D937">
        <v>0</v>
      </c>
      <c r="E937" s="3">
        <f t="shared" si="14"/>
        <v>11</v>
      </c>
    </row>
    <row r="938" spans="1:5" x14ac:dyDescent="0.2">
      <c r="A938">
        <v>0</v>
      </c>
      <c r="C938">
        <v>0</v>
      </c>
      <c r="D938">
        <v>0</v>
      </c>
      <c r="E938" s="3">
        <f t="shared" si="14"/>
        <v>11</v>
      </c>
    </row>
    <row r="939" spans="1:5" x14ac:dyDescent="0.2">
      <c r="A939">
        <v>0</v>
      </c>
      <c r="C939">
        <v>0</v>
      </c>
      <c r="D939">
        <v>0</v>
      </c>
      <c r="E939" s="3">
        <f t="shared" si="14"/>
        <v>11</v>
      </c>
    </row>
    <row r="940" spans="1:5" x14ac:dyDescent="0.2">
      <c r="A940">
        <v>1</v>
      </c>
      <c r="B940" t="s">
        <v>493</v>
      </c>
      <c r="C940">
        <v>2</v>
      </c>
      <c r="D940">
        <v>15</v>
      </c>
      <c r="E940" s="3">
        <f t="shared" si="14"/>
        <v>11</v>
      </c>
    </row>
    <row r="941" spans="1:5" x14ac:dyDescent="0.2">
      <c r="A941">
        <v>2</v>
      </c>
      <c r="B941" t="s">
        <v>526</v>
      </c>
      <c r="C941">
        <v>1</v>
      </c>
      <c r="D941">
        <v>11</v>
      </c>
      <c r="E941" s="3">
        <f t="shared" si="14"/>
        <v>11</v>
      </c>
    </row>
    <row r="942" spans="1:5" x14ac:dyDescent="0.2">
      <c r="A942">
        <v>3</v>
      </c>
      <c r="B942" t="s">
        <v>516</v>
      </c>
      <c r="C942">
        <v>1</v>
      </c>
      <c r="D942">
        <v>7</v>
      </c>
      <c r="E942" s="3">
        <f t="shared" si="14"/>
        <v>11</v>
      </c>
    </row>
    <row r="943" spans="1:5" x14ac:dyDescent="0.2">
      <c r="A943">
        <v>4</v>
      </c>
      <c r="B943" t="s">
        <v>525</v>
      </c>
      <c r="C943">
        <v>0</v>
      </c>
      <c r="D943">
        <v>3</v>
      </c>
      <c r="E943" s="3">
        <f t="shared" si="14"/>
        <v>11</v>
      </c>
    </row>
    <row r="944" spans="1:5" x14ac:dyDescent="0.2">
      <c r="A944">
        <v>5</v>
      </c>
      <c r="B944" t="s">
        <v>87</v>
      </c>
      <c r="C944">
        <v>0</v>
      </c>
      <c r="D944">
        <v>1</v>
      </c>
      <c r="E944" s="3">
        <f t="shared" si="14"/>
        <v>11</v>
      </c>
    </row>
    <row r="945" spans="1:5" x14ac:dyDescent="0.2">
      <c r="A945">
        <v>9</v>
      </c>
      <c r="B945" s="2" t="s">
        <v>10</v>
      </c>
      <c r="C945" s="2" t="s">
        <v>10</v>
      </c>
      <c r="D945" s="2" t="s">
        <v>10</v>
      </c>
      <c r="E945" s="3">
        <f t="shared" si="14"/>
        <v>11</v>
      </c>
    </row>
    <row r="946" spans="1:5" x14ac:dyDescent="0.2">
      <c r="A946">
        <v>10</v>
      </c>
      <c r="B946" s="2" t="s">
        <v>10</v>
      </c>
      <c r="C946" s="2" t="s">
        <v>10</v>
      </c>
      <c r="D946" s="2" t="s">
        <v>10</v>
      </c>
      <c r="E946" s="3">
        <f t="shared" si="14"/>
        <v>11</v>
      </c>
    </row>
    <row r="947" spans="1:5" x14ac:dyDescent="0.2">
      <c r="A947">
        <v>11</v>
      </c>
      <c r="B947" s="2" t="s">
        <v>10</v>
      </c>
      <c r="C947" s="2" t="s">
        <v>10</v>
      </c>
      <c r="D947" s="2" t="s">
        <v>10</v>
      </c>
      <c r="E947" s="3">
        <f t="shared" si="14"/>
        <v>11</v>
      </c>
    </row>
    <row r="948" spans="1:5" x14ac:dyDescent="0.2">
      <c r="A948" s="1" t="s">
        <v>542</v>
      </c>
      <c r="E948" s="3">
        <f t="shared" si="14"/>
        <v>11</v>
      </c>
    </row>
    <row r="949" spans="1:5" x14ac:dyDescent="0.2">
      <c r="A949" s="1" t="s">
        <v>1</v>
      </c>
      <c r="B949" s="1" t="s">
        <v>2</v>
      </c>
      <c r="C949" s="1" t="s">
        <v>3</v>
      </c>
      <c r="D949" s="1" t="s">
        <v>4</v>
      </c>
      <c r="E949" s="3">
        <f t="shared" si="14"/>
        <v>11</v>
      </c>
    </row>
    <row r="950" spans="1:5" x14ac:dyDescent="0.2">
      <c r="A950">
        <v>1</v>
      </c>
      <c r="B950" t="s">
        <v>21</v>
      </c>
      <c r="C950">
        <v>3</v>
      </c>
      <c r="D950">
        <v>15</v>
      </c>
      <c r="E950" s="3">
        <f t="shared" si="14"/>
        <v>11</v>
      </c>
    </row>
    <row r="951" spans="1:5" x14ac:dyDescent="0.2">
      <c r="A951">
        <v>2</v>
      </c>
      <c r="B951" t="s">
        <v>65</v>
      </c>
      <c r="C951">
        <v>1</v>
      </c>
      <c r="D951">
        <v>11</v>
      </c>
      <c r="E951" s="3">
        <f t="shared" si="14"/>
        <v>11</v>
      </c>
    </row>
    <row r="952" spans="1:5" x14ac:dyDescent="0.2">
      <c r="A952">
        <v>3</v>
      </c>
      <c r="B952" t="s">
        <v>75</v>
      </c>
      <c r="C952">
        <v>0</v>
      </c>
      <c r="D952">
        <v>7</v>
      </c>
      <c r="E952" s="3">
        <f t="shared" si="14"/>
        <v>11</v>
      </c>
    </row>
    <row r="953" spans="1:5" x14ac:dyDescent="0.2">
      <c r="A953">
        <v>4</v>
      </c>
      <c r="B953" t="s">
        <v>461</v>
      </c>
      <c r="C953">
        <v>0</v>
      </c>
      <c r="D953">
        <v>3</v>
      </c>
      <c r="E953" s="3">
        <f t="shared" si="14"/>
        <v>11</v>
      </c>
    </row>
    <row r="954" spans="1:5" x14ac:dyDescent="0.2">
      <c r="A954">
        <v>5</v>
      </c>
      <c r="B954" t="s">
        <v>531</v>
      </c>
      <c r="C954">
        <v>0</v>
      </c>
      <c r="D954">
        <v>1</v>
      </c>
      <c r="E954" s="3">
        <f t="shared" si="14"/>
        <v>11</v>
      </c>
    </row>
    <row r="955" spans="1:5" x14ac:dyDescent="0.2">
      <c r="A955">
        <v>6</v>
      </c>
      <c r="B955" s="2" t="s">
        <v>10</v>
      </c>
      <c r="C955" s="2" t="s">
        <v>10</v>
      </c>
      <c r="D955" s="2" t="s">
        <v>10</v>
      </c>
      <c r="E955" s="3">
        <f t="shared" si="14"/>
        <v>11</v>
      </c>
    </row>
    <row r="956" spans="1:5" x14ac:dyDescent="0.2">
      <c r="A956">
        <v>7</v>
      </c>
      <c r="B956" s="2" t="s">
        <v>10</v>
      </c>
      <c r="C956" s="2" t="s">
        <v>10</v>
      </c>
      <c r="D956" s="2" t="s">
        <v>10</v>
      </c>
      <c r="E956" s="3">
        <f t="shared" si="14"/>
        <v>11</v>
      </c>
    </row>
    <row r="957" spans="1:5" x14ac:dyDescent="0.2">
      <c r="A957">
        <v>8</v>
      </c>
      <c r="B957" s="2" t="s">
        <v>10</v>
      </c>
      <c r="C957" s="2" t="s">
        <v>10</v>
      </c>
      <c r="D957" s="2" t="s">
        <v>10</v>
      </c>
      <c r="E957" s="3">
        <f t="shared" si="14"/>
        <v>11</v>
      </c>
    </row>
    <row r="958" spans="1:5" x14ac:dyDescent="0.2">
      <c r="A958" s="1" t="s">
        <v>543</v>
      </c>
      <c r="E958" s="3">
        <f t="shared" si="14"/>
        <v>11</v>
      </c>
    </row>
    <row r="959" spans="1:5" x14ac:dyDescent="0.2">
      <c r="A959" s="1" t="s">
        <v>1</v>
      </c>
      <c r="B959" s="1" t="s">
        <v>2</v>
      </c>
      <c r="C959" s="1" t="s">
        <v>3</v>
      </c>
      <c r="D959" s="1" t="s">
        <v>4</v>
      </c>
      <c r="E959" s="3">
        <f t="shared" si="14"/>
        <v>11</v>
      </c>
    </row>
    <row r="960" spans="1:5" x14ac:dyDescent="0.2">
      <c r="A960">
        <v>1</v>
      </c>
      <c r="B960" t="s">
        <v>35</v>
      </c>
      <c r="C960">
        <v>4</v>
      </c>
      <c r="D960">
        <v>16</v>
      </c>
      <c r="E960" s="3">
        <f t="shared" si="14"/>
        <v>11</v>
      </c>
    </row>
    <row r="961" spans="1:5" x14ac:dyDescent="0.2">
      <c r="A961">
        <v>2</v>
      </c>
      <c r="B961" t="s">
        <v>15</v>
      </c>
      <c r="C961">
        <v>0</v>
      </c>
      <c r="D961">
        <v>12</v>
      </c>
      <c r="E961" s="3">
        <f t="shared" si="14"/>
        <v>11</v>
      </c>
    </row>
    <row r="962" spans="1:5" x14ac:dyDescent="0.2">
      <c r="A962">
        <v>3</v>
      </c>
      <c r="B962" t="s">
        <v>81</v>
      </c>
      <c r="C962">
        <v>1</v>
      </c>
      <c r="D962">
        <v>8</v>
      </c>
      <c r="E962" s="3">
        <f t="shared" si="14"/>
        <v>11</v>
      </c>
    </row>
    <row r="963" spans="1:5" x14ac:dyDescent="0.2">
      <c r="A963">
        <v>4</v>
      </c>
      <c r="B963" t="s">
        <v>69</v>
      </c>
      <c r="C963">
        <v>0</v>
      </c>
      <c r="D963">
        <v>4</v>
      </c>
      <c r="E963" s="3">
        <f t="shared" si="14"/>
        <v>11</v>
      </c>
    </row>
    <row r="964" spans="1:5" x14ac:dyDescent="0.2">
      <c r="A964">
        <v>5</v>
      </c>
      <c r="B964" t="s">
        <v>519</v>
      </c>
      <c r="C964">
        <v>0</v>
      </c>
      <c r="D964">
        <v>2</v>
      </c>
      <c r="E964" s="3">
        <f t="shared" ref="E964:E1027" si="15">IF(A964=$A$1,E963+1,E963)</f>
        <v>11</v>
      </c>
    </row>
    <row r="965" spans="1:5" x14ac:dyDescent="0.2">
      <c r="A965">
        <v>6</v>
      </c>
      <c r="B965" t="s">
        <v>509</v>
      </c>
      <c r="C965">
        <v>0</v>
      </c>
      <c r="D965">
        <v>1</v>
      </c>
      <c r="E965" s="3">
        <f t="shared" si="15"/>
        <v>11</v>
      </c>
    </row>
    <row r="966" spans="1:5" x14ac:dyDescent="0.2">
      <c r="A966">
        <v>7</v>
      </c>
      <c r="B966" s="2" t="s">
        <v>10</v>
      </c>
      <c r="C966" s="2" t="s">
        <v>10</v>
      </c>
      <c r="D966" s="2" t="s">
        <v>10</v>
      </c>
      <c r="E966" s="3">
        <f t="shared" si="15"/>
        <v>11</v>
      </c>
    </row>
    <row r="967" spans="1:5" x14ac:dyDescent="0.2">
      <c r="A967">
        <v>8</v>
      </c>
      <c r="B967" s="2" t="s">
        <v>10</v>
      </c>
      <c r="C967" s="2" t="s">
        <v>10</v>
      </c>
      <c r="D967" s="2" t="s">
        <v>10</v>
      </c>
      <c r="E967" s="3">
        <f t="shared" si="15"/>
        <v>11</v>
      </c>
    </row>
    <row r="968" spans="1:5" x14ac:dyDescent="0.2">
      <c r="A968" s="1" t="s">
        <v>544</v>
      </c>
      <c r="E968" s="3">
        <f t="shared" si="15"/>
        <v>11</v>
      </c>
    </row>
    <row r="969" spans="1:5" x14ac:dyDescent="0.2">
      <c r="A969" s="1" t="s">
        <v>1</v>
      </c>
      <c r="B969" s="1" t="s">
        <v>2</v>
      </c>
      <c r="C969" s="1" t="s">
        <v>3</v>
      </c>
      <c r="D969" s="1" t="s">
        <v>4</v>
      </c>
      <c r="E969" s="3">
        <f t="shared" si="15"/>
        <v>11</v>
      </c>
    </row>
    <row r="970" spans="1:5" x14ac:dyDescent="0.2">
      <c r="A970">
        <v>1</v>
      </c>
      <c r="B970" t="s">
        <v>280</v>
      </c>
      <c r="C970">
        <v>3</v>
      </c>
      <c r="D970">
        <v>16</v>
      </c>
      <c r="E970" s="3">
        <f t="shared" si="15"/>
        <v>11</v>
      </c>
    </row>
    <row r="971" spans="1:5" x14ac:dyDescent="0.2">
      <c r="A971">
        <v>2</v>
      </c>
      <c r="B971" t="s">
        <v>530</v>
      </c>
      <c r="C971">
        <v>0</v>
      </c>
      <c r="D971">
        <v>12</v>
      </c>
      <c r="E971" s="3">
        <f t="shared" si="15"/>
        <v>11</v>
      </c>
    </row>
    <row r="972" spans="1:5" x14ac:dyDescent="0.2">
      <c r="A972">
        <v>3</v>
      </c>
      <c r="B972" t="s">
        <v>485</v>
      </c>
      <c r="C972">
        <v>2</v>
      </c>
      <c r="D972">
        <v>8</v>
      </c>
      <c r="E972" s="3">
        <f t="shared" si="15"/>
        <v>11</v>
      </c>
    </row>
    <row r="973" spans="1:5" x14ac:dyDescent="0.2">
      <c r="A973">
        <v>4</v>
      </c>
      <c r="B973" t="s">
        <v>505</v>
      </c>
      <c r="C973">
        <v>0</v>
      </c>
      <c r="D973">
        <v>4</v>
      </c>
      <c r="E973" s="3">
        <f t="shared" si="15"/>
        <v>11</v>
      </c>
    </row>
    <row r="974" spans="1:5" x14ac:dyDescent="0.2">
      <c r="A974">
        <v>5</v>
      </c>
      <c r="B974" t="s">
        <v>512</v>
      </c>
      <c r="C974">
        <v>0</v>
      </c>
      <c r="D974">
        <v>2</v>
      </c>
      <c r="E974" s="3">
        <f t="shared" si="15"/>
        <v>11</v>
      </c>
    </row>
    <row r="975" spans="1:5" x14ac:dyDescent="0.2">
      <c r="A975">
        <v>6</v>
      </c>
      <c r="B975" t="s">
        <v>502</v>
      </c>
      <c r="C975">
        <v>0</v>
      </c>
      <c r="D975">
        <v>1</v>
      </c>
      <c r="E975" s="3">
        <f t="shared" si="15"/>
        <v>11</v>
      </c>
    </row>
    <row r="976" spans="1:5" x14ac:dyDescent="0.2">
      <c r="A976">
        <v>7</v>
      </c>
      <c r="B976" s="2" t="s">
        <v>10</v>
      </c>
      <c r="C976" s="2" t="s">
        <v>10</v>
      </c>
      <c r="D976" s="2" t="s">
        <v>10</v>
      </c>
      <c r="E976" s="3">
        <f t="shared" si="15"/>
        <v>11</v>
      </c>
    </row>
    <row r="977" spans="1:5" x14ac:dyDescent="0.2">
      <c r="A977">
        <v>8</v>
      </c>
      <c r="B977" s="2" t="s">
        <v>10</v>
      </c>
      <c r="C977" s="2" t="s">
        <v>10</v>
      </c>
      <c r="D977" s="2" t="s">
        <v>10</v>
      </c>
      <c r="E977" s="3">
        <f t="shared" si="15"/>
        <v>11</v>
      </c>
    </row>
    <row r="978" spans="1:5" x14ac:dyDescent="0.2">
      <c r="A978" s="1" t="s">
        <v>548</v>
      </c>
      <c r="E978" s="3">
        <f t="shared" si="15"/>
        <v>11</v>
      </c>
    </row>
    <row r="979" spans="1:5" x14ac:dyDescent="0.2">
      <c r="A979" s="1" t="s">
        <v>1</v>
      </c>
      <c r="B979" s="1" t="s">
        <v>2</v>
      </c>
      <c r="C979" s="1" t="s">
        <v>3</v>
      </c>
      <c r="D979" s="1" t="s">
        <v>4</v>
      </c>
      <c r="E979" s="3">
        <f t="shared" si="15"/>
        <v>11</v>
      </c>
    </row>
    <row r="980" spans="1:5" x14ac:dyDescent="0.2">
      <c r="A980">
        <v>1</v>
      </c>
      <c r="B980" t="s">
        <v>42</v>
      </c>
      <c r="C980">
        <v>3</v>
      </c>
      <c r="D980">
        <v>16</v>
      </c>
      <c r="E980" s="3">
        <f t="shared" si="15"/>
        <v>11</v>
      </c>
    </row>
    <row r="981" spans="1:5" x14ac:dyDescent="0.2">
      <c r="A981">
        <v>2</v>
      </c>
      <c r="B981" t="s">
        <v>518</v>
      </c>
      <c r="C981">
        <v>1</v>
      </c>
      <c r="D981">
        <v>12</v>
      </c>
      <c r="E981" s="3">
        <f t="shared" si="15"/>
        <v>11</v>
      </c>
    </row>
    <row r="982" spans="1:5" x14ac:dyDescent="0.2">
      <c r="A982">
        <v>3</v>
      </c>
      <c r="B982" t="s">
        <v>14</v>
      </c>
      <c r="C982">
        <v>0</v>
      </c>
      <c r="D982">
        <v>8</v>
      </c>
      <c r="E982" s="3">
        <f t="shared" si="15"/>
        <v>11</v>
      </c>
    </row>
    <row r="983" spans="1:5" x14ac:dyDescent="0.2">
      <c r="A983">
        <v>4</v>
      </c>
      <c r="B983" t="s">
        <v>19</v>
      </c>
      <c r="C983">
        <v>1</v>
      </c>
      <c r="D983">
        <v>4</v>
      </c>
      <c r="E983" s="3">
        <f t="shared" si="15"/>
        <v>11</v>
      </c>
    </row>
    <row r="984" spans="1:5" x14ac:dyDescent="0.2">
      <c r="A984">
        <v>5</v>
      </c>
      <c r="B984" t="s">
        <v>59</v>
      </c>
      <c r="C984">
        <v>0</v>
      </c>
      <c r="D984">
        <v>2</v>
      </c>
      <c r="E984" s="3">
        <f t="shared" si="15"/>
        <v>11</v>
      </c>
    </row>
    <row r="985" spans="1:5" x14ac:dyDescent="0.2">
      <c r="A985">
        <v>6</v>
      </c>
      <c r="B985" t="s">
        <v>451</v>
      </c>
      <c r="C985">
        <v>0</v>
      </c>
      <c r="D985">
        <v>1</v>
      </c>
      <c r="E985" s="3">
        <f t="shared" si="15"/>
        <v>11</v>
      </c>
    </row>
    <row r="986" spans="1:5" x14ac:dyDescent="0.2">
      <c r="A986">
        <v>7</v>
      </c>
      <c r="B986" s="2" t="s">
        <v>10</v>
      </c>
      <c r="C986" s="2" t="s">
        <v>10</v>
      </c>
      <c r="D986" s="2" t="s">
        <v>10</v>
      </c>
      <c r="E986" s="3">
        <f t="shared" si="15"/>
        <v>11</v>
      </c>
    </row>
    <row r="987" spans="1:5" x14ac:dyDescent="0.2">
      <c r="A987">
        <v>8</v>
      </c>
      <c r="B987" s="2" t="s">
        <v>10</v>
      </c>
      <c r="C987" s="2" t="s">
        <v>10</v>
      </c>
      <c r="D987" s="2" t="s">
        <v>10</v>
      </c>
      <c r="E987" s="3">
        <f t="shared" si="15"/>
        <v>11</v>
      </c>
    </row>
    <row r="988" spans="1:5" x14ac:dyDescent="0.2">
      <c r="A988" s="1" t="s">
        <v>537</v>
      </c>
      <c r="E988" s="3">
        <f t="shared" si="15"/>
        <v>12</v>
      </c>
    </row>
    <row r="989" spans="1:5" x14ac:dyDescent="0.2">
      <c r="A989" s="1" t="s">
        <v>1</v>
      </c>
      <c r="B989" s="1" t="s">
        <v>2</v>
      </c>
      <c r="C989" s="1" t="s">
        <v>3</v>
      </c>
      <c r="D989" s="1" t="s">
        <v>4</v>
      </c>
      <c r="E989" s="3">
        <f t="shared" si="15"/>
        <v>12</v>
      </c>
    </row>
    <row r="990" spans="1:5" x14ac:dyDescent="0.2">
      <c r="A990">
        <v>1</v>
      </c>
      <c r="B990" t="s">
        <v>501</v>
      </c>
      <c r="C990">
        <v>4</v>
      </c>
      <c r="D990">
        <v>16</v>
      </c>
      <c r="E990" s="3">
        <f t="shared" si="15"/>
        <v>12</v>
      </c>
    </row>
    <row r="991" spans="1:5" x14ac:dyDescent="0.2">
      <c r="A991">
        <v>2</v>
      </c>
      <c r="B991" t="s">
        <v>25</v>
      </c>
      <c r="C991">
        <v>1</v>
      </c>
      <c r="D991">
        <v>12</v>
      </c>
      <c r="E991" s="3">
        <f t="shared" si="15"/>
        <v>12</v>
      </c>
    </row>
    <row r="992" spans="1:5" x14ac:dyDescent="0.2">
      <c r="A992">
        <v>3</v>
      </c>
      <c r="B992" t="s">
        <v>88</v>
      </c>
      <c r="C992">
        <v>0</v>
      </c>
      <c r="D992">
        <v>8</v>
      </c>
      <c r="E992" s="3">
        <f t="shared" si="15"/>
        <v>12</v>
      </c>
    </row>
    <row r="993" spans="1:5" x14ac:dyDescent="0.2">
      <c r="A993">
        <v>4</v>
      </c>
      <c r="B993" t="s">
        <v>506</v>
      </c>
      <c r="C993">
        <v>0</v>
      </c>
      <c r="D993">
        <v>4</v>
      </c>
      <c r="E993" s="3">
        <f t="shared" si="15"/>
        <v>12</v>
      </c>
    </row>
    <row r="994" spans="1:5" x14ac:dyDescent="0.2">
      <c r="A994">
        <v>5</v>
      </c>
      <c r="B994" t="s">
        <v>345</v>
      </c>
      <c r="C994">
        <v>0</v>
      </c>
      <c r="D994">
        <v>2</v>
      </c>
      <c r="E994" s="3">
        <f t="shared" si="15"/>
        <v>12</v>
      </c>
    </row>
    <row r="995" spans="1:5" x14ac:dyDescent="0.2">
      <c r="A995">
        <v>6</v>
      </c>
      <c r="B995" t="s">
        <v>508</v>
      </c>
      <c r="C995">
        <v>0</v>
      </c>
      <c r="D995">
        <v>1</v>
      </c>
      <c r="E995" s="3">
        <f t="shared" si="15"/>
        <v>12</v>
      </c>
    </row>
    <row r="996" spans="1:5" x14ac:dyDescent="0.2">
      <c r="A996">
        <v>7</v>
      </c>
      <c r="B996" s="2" t="s">
        <v>10</v>
      </c>
      <c r="C996" s="2" t="s">
        <v>10</v>
      </c>
      <c r="D996" s="2" t="s">
        <v>10</v>
      </c>
      <c r="E996" s="3">
        <f t="shared" si="15"/>
        <v>12</v>
      </c>
    </row>
    <row r="997" spans="1:5" x14ac:dyDescent="0.2">
      <c r="A997">
        <v>8</v>
      </c>
      <c r="B997" s="2" t="s">
        <v>10</v>
      </c>
      <c r="C997" s="2" t="s">
        <v>10</v>
      </c>
      <c r="D997" s="2" t="s">
        <v>10</v>
      </c>
      <c r="E997" s="3">
        <f t="shared" si="15"/>
        <v>12</v>
      </c>
    </row>
    <row r="998" spans="1:5" x14ac:dyDescent="0.2">
      <c r="A998" s="1" t="s">
        <v>538</v>
      </c>
      <c r="E998" s="3">
        <f t="shared" si="15"/>
        <v>12</v>
      </c>
    </row>
    <row r="999" spans="1:5" x14ac:dyDescent="0.2">
      <c r="A999" s="1" t="s">
        <v>1</v>
      </c>
      <c r="B999" s="1" t="s">
        <v>2</v>
      </c>
      <c r="C999" s="1" t="s">
        <v>3</v>
      </c>
      <c r="D999" s="1" t="s">
        <v>4</v>
      </c>
      <c r="E999" s="3">
        <f t="shared" si="15"/>
        <v>12</v>
      </c>
    </row>
    <row r="1000" spans="1:5" x14ac:dyDescent="0.2">
      <c r="A1000">
        <v>1</v>
      </c>
      <c r="B1000" t="s">
        <v>530</v>
      </c>
      <c r="C1000">
        <v>4</v>
      </c>
      <c r="D1000">
        <v>16</v>
      </c>
      <c r="E1000" s="3">
        <f t="shared" si="15"/>
        <v>12</v>
      </c>
    </row>
    <row r="1001" spans="1:5" x14ac:dyDescent="0.2">
      <c r="A1001">
        <v>2</v>
      </c>
      <c r="B1001" t="s">
        <v>74</v>
      </c>
      <c r="C1001">
        <v>1</v>
      </c>
      <c r="D1001">
        <v>12</v>
      </c>
      <c r="E1001" s="3">
        <f t="shared" si="15"/>
        <v>12</v>
      </c>
    </row>
    <row r="1002" spans="1:5" x14ac:dyDescent="0.2">
      <c r="A1002">
        <v>3</v>
      </c>
      <c r="B1002" t="s">
        <v>512</v>
      </c>
      <c r="C1002">
        <v>0</v>
      </c>
      <c r="D1002">
        <v>8</v>
      </c>
      <c r="E1002" s="3">
        <f t="shared" si="15"/>
        <v>12</v>
      </c>
    </row>
    <row r="1003" spans="1:5" x14ac:dyDescent="0.2">
      <c r="A1003">
        <v>4</v>
      </c>
      <c r="B1003" t="s">
        <v>493</v>
      </c>
      <c r="C1003">
        <v>0</v>
      </c>
      <c r="D1003">
        <v>4</v>
      </c>
      <c r="E1003" s="3">
        <f t="shared" si="15"/>
        <v>12</v>
      </c>
    </row>
    <row r="1004" spans="1:5" x14ac:dyDescent="0.2">
      <c r="A1004">
        <v>5</v>
      </c>
      <c r="B1004" t="s">
        <v>258</v>
      </c>
      <c r="C1004">
        <v>0</v>
      </c>
      <c r="D1004">
        <v>2</v>
      </c>
      <c r="E1004" s="3">
        <f t="shared" si="15"/>
        <v>12</v>
      </c>
    </row>
    <row r="1005" spans="1:5" x14ac:dyDescent="0.2">
      <c r="A1005">
        <v>6</v>
      </c>
      <c r="B1005" t="s">
        <v>534</v>
      </c>
      <c r="C1005">
        <v>0</v>
      </c>
      <c r="D1005">
        <v>1</v>
      </c>
      <c r="E1005" s="3">
        <f t="shared" si="15"/>
        <v>12</v>
      </c>
    </row>
    <row r="1006" spans="1:5" x14ac:dyDescent="0.2">
      <c r="A1006">
        <v>7</v>
      </c>
      <c r="B1006" s="2" t="s">
        <v>10</v>
      </c>
      <c r="C1006" s="2" t="s">
        <v>10</v>
      </c>
      <c r="D1006" s="2" t="s">
        <v>10</v>
      </c>
      <c r="E1006" s="3">
        <f t="shared" si="15"/>
        <v>12</v>
      </c>
    </row>
    <row r="1007" spans="1:5" x14ac:dyDescent="0.2">
      <c r="A1007">
        <v>8</v>
      </c>
      <c r="B1007" s="2" t="s">
        <v>10</v>
      </c>
      <c r="C1007" s="2" t="s">
        <v>10</v>
      </c>
      <c r="D1007" s="2" t="s">
        <v>10</v>
      </c>
      <c r="E1007" s="3">
        <f t="shared" si="15"/>
        <v>12</v>
      </c>
    </row>
    <row r="1008" spans="1:5" x14ac:dyDescent="0.2">
      <c r="A1008" s="1" t="s">
        <v>539</v>
      </c>
      <c r="E1008" s="3">
        <f t="shared" si="15"/>
        <v>12</v>
      </c>
    </row>
    <row r="1009" spans="1:5" x14ac:dyDescent="0.2">
      <c r="A1009" s="1" t="s">
        <v>1</v>
      </c>
      <c r="B1009" s="1" t="s">
        <v>2</v>
      </c>
      <c r="C1009" s="1" t="s">
        <v>3</v>
      </c>
      <c r="D1009" s="1" t="s">
        <v>4</v>
      </c>
      <c r="E1009" s="3">
        <f t="shared" si="15"/>
        <v>12</v>
      </c>
    </row>
    <row r="1010" spans="1:5" x14ac:dyDescent="0.2">
      <c r="A1010">
        <v>1</v>
      </c>
      <c r="B1010" t="s">
        <v>505</v>
      </c>
      <c r="C1010">
        <v>1</v>
      </c>
      <c r="D1010">
        <v>17</v>
      </c>
      <c r="E1010" s="3">
        <f t="shared" si="15"/>
        <v>12</v>
      </c>
    </row>
    <row r="1011" spans="1:5" x14ac:dyDescent="0.2">
      <c r="A1011">
        <v>2</v>
      </c>
      <c r="B1011" t="s">
        <v>535</v>
      </c>
      <c r="C1011">
        <v>4</v>
      </c>
      <c r="D1011">
        <v>13</v>
      </c>
      <c r="E1011" s="3">
        <f t="shared" si="15"/>
        <v>12</v>
      </c>
    </row>
    <row r="1012" spans="1:5" x14ac:dyDescent="0.2">
      <c r="A1012">
        <v>3</v>
      </c>
      <c r="B1012" t="s">
        <v>15</v>
      </c>
      <c r="C1012">
        <v>1</v>
      </c>
      <c r="D1012">
        <v>9</v>
      </c>
      <c r="E1012" s="3">
        <f t="shared" si="15"/>
        <v>12</v>
      </c>
    </row>
    <row r="1013" spans="1:5" x14ac:dyDescent="0.2">
      <c r="A1013">
        <v>4</v>
      </c>
      <c r="B1013" t="s">
        <v>526</v>
      </c>
      <c r="C1013">
        <v>0</v>
      </c>
      <c r="D1013">
        <v>5</v>
      </c>
      <c r="E1013" s="3">
        <f t="shared" si="15"/>
        <v>12</v>
      </c>
    </row>
    <row r="1014" spans="1:5" x14ac:dyDescent="0.2">
      <c r="A1014">
        <v>5</v>
      </c>
      <c r="B1014" t="s">
        <v>454</v>
      </c>
      <c r="C1014">
        <v>0</v>
      </c>
      <c r="D1014">
        <v>3</v>
      </c>
      <c r="E1014" s="3">
        <f t="shared" si="15"/>
        <v>12</v>
      </c>
    </row>
    <row r="1015" spans="1:5" x14ac:dyDescent="0.2">
      <c r="A1015">
        <v>6</v>
      </c>
      <c r="B1015" t="s">
        <v>75</v>
      </c>
      <c r="C1015">
        <v>0</v>
      </c>
      <c r="D1015">
        <v>2</v>
      </c>
      <c r="E1015" s="3">
        <f t="shared" si="15"/>
        <v>12</v>
      </c>
    </row>
    <row r="1016" spans="1:5" x14ac:dyDescent="0.2">
      <c r="A1016">
        <v>7</v>
      </c>
      <c r="B1016" t="s">
        <v>485</v>
      </c>
      <c r="C1016">
        <v>0</v>
      </c>
      <c r="D1016">
        <v>1</v>
      </c>
      <c r="E1016" s="3">
        <f t="shared" si="15"/>
        <v>12</v>
      </c>
    </row>
    <row r="1017" spans="1:5" x14ac:dyDescent="0.2">
      <c r="A1017">
        <v>8</v>
      </c>
      <c r="B1017" s="2" t="s">
        <v>10</v>
      </c>
      <c r="C1017" s="2" t="s">
        <v>10</v>
      </c>
      <c r="D1017" s="2" t="s">
        <v>10</v>
      </c>
      <c r="E1017" s="3">
        <f t="shared" si="15"/>
        <v>12</v>
      </c>
    </row>
    <row r="1018" spans="1:5" x14ac:dyDescent="0.2">
      <c r="A1018" s="1" t="s">
        <v>540</v>
      </c>
      <c r="E1018" s="3">
        <f t="shared" si="15"/>
        <v>12</v>
      </c>
    </row>
    <row r="1019" spans="1:5" x14ac:dyDescent="0.2">
      <c r="A1019" s="1" t="s">
        <v>1</v>
      </c>
      <c r="B1019" s="1" t="s">
        <v>2</v>
      </c>
      <c r="C1019" s="1" t="s">
        <v>3</v>
      </c>
      <c r="D1019" s="1" t="s">
        <v>4</v>
      </c>
      <c r="E1019" s="3">
        <f t="shared" si="15"/>
        <v>12</v>
      </c>
    </row>
    <row r="1020" spans="1:5" x14ac:dyDescent="0.2">
      <c r="A1020">
        <v>1</v>
      </c>
      <c r="B1020" t="s">
        <v>27</v>
      </c>
      <c r="C1020">
        <v>3</v>
      </c>
      <c r="D1020">
        <v>16</v>
      </c>
      <c r="E1020" s="3">
        <f t="shared" si="15"/>
        <v>12</v>
      </c>
    </row>
    <row r="1021" spans="1:5" x14ac:dyDescent="0.2">
      <c r="A1021">
        <v>2</v>
      </c>
      <c r="B1021" t="s">
        <v>61</v>
      </c>
      <c r="C1021">
        <v>1</v>
      </c>
      <c r="D1021">
        <v>12</v>
      </c>
      <c r="E1021" s="3">
        <f t="shared" si="15"/>
        <v>12</v>
      </c>
    </row>
    <row r="1022" spans="1:5" x14ac:dyDescent="0.2">
      <c r="A1022">
        <v>3</v>
      </c>
      <c r="B1022" t="s">
        <v>59</v>
      </c>
      <c r="C1022">
        <v>0</v>
      </c>
      <c r="D1022">
        <v>8</v>
      </c>
      <c r="E1022" s="3">
        <f t="shared" si="15"/>
        <v>12</v>
      </c>
    </row>
    <row r="1023" spans="1:5" x14ac:dyDescent="0.2">
      <c r="A1023">
        <v>4</v>
      </c>
      <c r="B1023" t="s">
        <v>87</v>
      </c>
      <c r="C1023">
        <v>1</v>
      </c>
      <c r="D1023">
        <v>4</v>
      </c>
      <c r="E1023" s="3">
        <f t="shared" si="15"/>
        <v>12</v>
      </c>
    </row>
    <row r="1024" spans="1:5" x14ac:dyDescent="0.2">
      <c r="A1024">
        <v>5</v>
      </c>
      <c r="B1024" t="s">
        <v>42</v>
      </c>
      <c r="C1024">
        <v>0</v>
      </c>
      <c r="D1024">
        <v>2</v>
      </c>
      <c r="E1024" s="3">
        <f t="shared" si="15"/>
        <v>12</v>
      </c>
    </row>
    <row r="1025" spans="1:5" x14ac:dyDescent="0.2">
      <c r="A1025">
        <v>6</v>
      </c>
      <c r="B1025" t="s">
        <v>46</v>
      </c>
      <c r="C1025">
        <v>0</v>
      </c>
      <c r="D1025">
        <v>1</v>
      </c>
      <c r="E1025" s="3">
        <f t="shared" si="15"/>
        <v>12</v>
      </c>
    </row>
    <row r="1026" spans="1:5" x14ac:dyDescent="0.2">
      <c r="A1026">
        <v>7</v>
      </c>
      <c r="B1026" s="2" t="s">
        <v>10</v>
      </c>
      <c r="C1026" s="2" t="s">
        <v>10</v>
      </c>
      <c r="D1026" s="2" t="s">
        <v>10</v>
      </c>
      <c r="E1026" s="3">
        <f t="shared" si="15"/>
        <v>12</v>
      </c>
    </row>
    <row r="1027" spans="1:5" x14ac:dyDescent="0.2">
      <c r="A1027">
        <v>8</v>
      </c>
      <c r="B1027" s="2" t="s">
        <v>10</v>
      </c>
      <c r="C1027" s="2" t="s">
        <v>10</v>
      </c>
      <c r="D1027" s="2" t="s">
        <v>10</v>
      </c>
      <c r="E1027" s="3">
        <f t="shared" si="15"/>
        <v>12</v>
      </c>
    </row>
    <row r="1028" spans="1:5" x14ac:dyDescent="0.2">
      <c r="A1028" s="1" t="s">
        <v>541</v>
      </c>
      <c r="E1028" s="3">
        <f t="shared" ref="E1028:E1091" si="16">IF(A1028=$A$1,E1027+1,E1027)</f>
        <v>12</v>
      </c>
    </row>
    <row r="1029" spans="1:5" x14ac:dyDescent="0.2">
      <c r="A1029" s="1" t="s">
        <v>1</v>
      </c>
      <c r="B1029" s="1" t="s">
        <v>2</v>
      </c>
      <c r="C1029" s="1" t="s">
        <v>3</v>
      </c>
      <c r="D1029" s="1" t="s">
        <v>4</v>
      </c>
      <c r="E1029" s="3">
        <f t="shared" si="16"/>
        <v>12</v>
      </c>
    </row>
    <row r="1030" spans="1:5" x14ac:dyDescent="0.2">
      <c r="A1030">
        <v>1</v>
      </c>
      <c r="B1030" t="s">
        <v>490</v>
      </c>
      <c r="C1030">
        <v>3</v>
      </c>
      <c r="D1030">
        <v>16</v>
      </c>
      <c r="E1030" s="3">
        <f t="shared" si="16"/>
        <v>12</v>
      </c>
    </row>
    <row r="1031" spans="1:5" x14ac:dyDescent="0.2">
      <c r="A1031">
        <v>2</v>
      </c>
      <c r="B1031" t="s">
        <v>66</v>
      </c>
      <c r="C1031">
        <v>1</v>
      </c>
      <c r="D1031">
        <v>12</v>
      </c>
      <c r="E1031" s="3">
        <f t="shared" si="16"/>
        <v>12</v>
      </c>
    </row>
    <row r="1032" spans="1:5" x14ac:dyDescent="0.2">
      <c r="A1032">
        <v>3</v>
      </c>
      <c r="B1032" t="s">
        <v>32</v>
      </c>
      <c r="C1032">
        <v>1</v>
      </c>
      <c r="D1032">
        <v>8</v>
      </c>
      <c r="E1032" s="3">
        <f t="shared" si="16"/>
        <v>12</v>
      </c>
    </row>
    <row r="1033" spans="1:5" x14ac:dyDescent="0.2">
      <c r="A1033">
        <v>4</v>
      </c>
      <c r="B1033" t="s">
        <v>507</v>
      </c>
      <c r="C1033">
        <v>0</v>
      </c>
      <c r="D1033">
        <v>4</v>
      </c>
      <c r="E1033" s="3">
        <f t="shared" si="16"/>
        <v>12</v>
      </c>
    </row>
    <row r="1034" spans="1:5" x14ac:dyDescent="0.2">
      <c r="A1034">
        <v>5</v>
      </c>
      <c r="B1034" t="s">
        <v>280</v>
      </c>
      <c r="C1034">
        <v>0</v>
      </c>
      <c r="D1034">
        <v>2</v>
      </c>
      <c r="E1034" s="3">
        <f t="shared" si="16"/>
        <v>12</v>
      </c>
    </row>
    <row r="1035" spans="1:5" x14ac:dyDescent="0.2">
      <c r="A1035">
        <v>6</v>
      </c>
      <c r="B1035" t="s">
        <v>476</v>
      </c>
      <c r="C1035">
        <v>0</v>
      </c>
      <c r="D1035">
        <v>1</v>
      </c>
      <c r="E1035" s="3">
        <f t="shared" si="16"/>
        <v>12</v>
      </c>
    </row>
    <row r="1036" spans="1:5" x14ac:dyDescent="0.2">
      <c r="A1036">
        <v>7</v>
      </c>
      <c r="B1036" s="2" t="s">
        <v>10</v>
      </c>
      <c r="C1036" s="2" t="s">
        <v>10</v>
      </c>
      <c r="D1036" s="2" t="s">
        <v>10</v>
      </c>
      <c r="E1036" s="3">
        <f t="shared" si="16"/>
        <v>12</v>
      </c>
    </row>
    <row r="1037" spans="1:5" x14ac:dyDescent="0.2">
      <c r="A1037">
        <v>8</v>
      </c>
      <c r="B1037" s="2" t="s">
        <v>10</v>
      </c>
      <c r="C1037" s="2" t="s">
        <v>10</v>
      </c>
      <c r="D1037" s="2" t="s">
        <v>10</v>
      </c>
      <c r="E1037" s="3">
        <f t="shared" si="16"/>
        <v>12</v>
      </c>
    </row>
    <row r="1038" spans="1:5" x14ac:dyDescent="0.2">
      <c r="A1038" s="1" t="s">
        <v>542</v>
      </c>
      <c r="E1038" s="3">
        <f t="shared" si="16"/>
        <v>12</v>
      </c>
    </row>
    <row r="1039" spans="1:5" x14ac:dyDescent="0.2">
      <c r="A1039" s="1" t="s">
        <v>1</v>
      </c>
      <c r="B1039" s="1" t="s">
        <v>2</v>
      </c>
      <c r="C1039" s="1" t="s">
        <v>3</v>
      </c>
      <c r="D1039" s="1" t="s">
        <v>4</v>
      </c>
      <c r="E1039" s="3">
        <f t="shared" si="16"/>
        <v>12</v>
      </c>
    </row>
    <row r="1040" spans="1:5" x14ac:dyDescent="0.2">
      <c r="A1040">
        <v>1</v>
      </c>
      <c r="B1040" t="s">
        <v>516</v>
      </c>
      <c r="C1040">
        <v>3</v>
      </c>
      <c r="D1040">
        <v>16</v>
      </c>
      <c r="E1040" s="3">
        <f t="shared" si="16"/>
        <v>12</v>
      </c>
    </row>
    <row r="1041" spans="1:5" x14ac:dyDescent="0.2">
      <c r="A1041">
        <v>2</v>
      </c>
      <c r="B1041" t="s">
        <v>521</v>
      </c>
      <c r="C1041">
        <v>1</v>
      </c>
      <c r="D1041">
        <v>12</v>
      </c>
      <c r="E1041" s="3">
        <f t="shared" si="16"/>
        <v>12</v>
      </c>
    </row>
    <row r="1042" spans="1:5" x14ac:dyDescent="0.2">
      <c r="A1042">
        <v>3</v>
      </c>
      <c r="B1042" t="s">
        <v>6</v>
      </c>
      <c r="C1042">
        <v>0</v>
      </c>
      <c r="D1042">
        <v>8</v>
      </c>
      <c r="E1042" s="3">
        <f t="shared" si="16"/>
        <v>12</v>
      </c>
    </row>
    <row r="1043" spans="1:5" x14ac:dyDescent="0.2">
      <c r="A1043">
        <v>4</v>
      </c>
      <c r="B1043" t="s">
        <v>35</v>
      </c>
      <c r="C1043">
        <v>1</v>
      </c>
      <c r="D1043">
        <v>4</v>
      </c>
      <c r="E1043" s="3">
        <f t="shared" si="16"/>
        <v>12</v>
      </c>
    </row>
    <row r="1044" spans="1:5" x14ac:dyDescent="0.2">
      <c r="A1044">
        <v>5</v>
      </c>
      <c r="B1044" t="s">
        <v>73</v>
      </c>
      <c r="C1044">
        <v>0</v>
      </c>
      <c r="D1044">
        <v>2</v>
      </c>
      <c r="E1044" s="3">
        <f t="shared" si="16"/>
        <v>12</v>
      </c>
    </row>
    <row r="1045" spans="1:5" x14ac:dyDescent="0.2">
      <c r="A1045">
        <v>6</v>
      </c>
      <c r="B1045" t="s">
        <v>504</v>
      </c>
      <c r="C1045">
        <v>0</v>
      </c>
      <c r="D1045">
        <v>1</v>
      </c>
      <c r="E1045" s="3">
        <f t="shared" si="16"/>
        <v>12</v>
      </c>
    </row>
    <row r="1046" spans="1:5" x14ac:dyDescent="0.2">
      <c r="A1046">
        <v>7</v>
      </c>
      <c r="B1046" s="2" t="s">
        <v>10</v>
      </c>
      <c r="C1046" s="2" t="s">
        <v>10</v>
      </c>
      <c r="D1046" s="2" t="s">
        <v>10</v>
      </c>
      <c r="E1046" s="3">
        <f t="shared" si="16"/>
        <v>12</v>
      </c>
    </row>
    <row r="1047" spans="1:5" x14ac:dyDescent="0.2">
      <c r="A1047">
        <v>8</v>
      </c>
      <c r="B1047" s="2" t="s">
        <v>10</v>
      </c>
      <c r="C1047" s="2" t="s">
        <v>10</v>
      </c>
      <c r="D1047" s="2" t="s">
        <v>10</v>
      </c>
      <c r="E1047" s="3">
        <f t="shared" si="16"/>
        <v>12</v>
      </c>
    </row>
    <row r="1048" spans="1:5" x14ac:dyDescent="0.2">
      <c r="A1048" s="1" t="s">
        <v>543</v>
      </c>
      <c r="E1048" s="3">
        <f t="shared" si="16"/>
        <v>12</v>
      </c>
    </row>
    <row r="1049" spans="1:5" x14ac:dyDescent="0.2">
      <c r="A1049" s="1" t="s">
        <v>1</v>
      </c>
      <c r="B1049" s="1" t="s">
        <v>2</v>
      </c>
      <c r="C1049" s="1" t="s">
        <v>3</v>
      </c>
      <c r="D1049" s="1" t="s">
        <v>4</v>
      </c>
      <c r="E1049" s="3">
        <f t="shared" si="16"/>
        <v>12</v>
      </c>
    </row>
    <row r="1050" spans="1:5" x14ac:dyDescent="0.2">
      <c r="A1050">
        <v>1</v>
      </c>
      <c r="B1050" t="s">
        <v>503</v>
      </c>
      <c r="C1050">
        <v>5</v>
      </c>
      <c r="D1050">
        <v>16</v>
      </c>
      <c r="E1050" s="3">
        <f t="shared" si="16"/>
        <v>12</v>
      </c>
    </row>
    <row r="1051" spans="1:5" x14ac:dyDescent="0.2">
      <c r="A1051">
        <v>2</v>
      </c>
      <c r="B1051" t="s">
        <v>21</v>
      </c>
      <c r="C1051">
        <v>0</v>
      </c>
      <c r="D1051">
        <v>12</v>
      </c>
      <c r="E1051" s="3">
        <f t="shared" si="16"/>
        <v>12</v>
      </c>
    </row>
    <row r="1052" spans="1:5" x14ac:dyDescent="0.2">
      <c r="A1052">
        <v>3</v>
      </c>
      <c r="B1052" t="s">
        <v>69</v>
      </c>
      <c r="C1052">
        <v>0</v>
      </c>
      <c r="D1052">
        <v>8</v>
      </c>
      <c r="E1052" s="3">
        <f t="shared" si="16"/>
        <v>12</v>
      </c>
    </row>
    <row r="1053" spans="1:5" x14ac:dyDescent="0.2">
      <c r="A1053">
        <v>4</v>
      </c>
      <c r="B1053" t="s">
        <v>509</v>
      </c>
      <c r="C1053">
        <v>0</v>
      </c>
      <c r="D1053">
        <v>4</v>
      </c>
      <c r="E1053" s="3">
        <f t="shared" si="16"/>
        <v>12</v>
      </c>
    </row>
    <row r="1054" spans="1:5" x14ac:dyDescent="0.2">
      <c r="A1054">
        <v>5</v>
      </c>
      <c r="B1054" t="s">
        <v>76</v>
      </c>
      <c r="C1054">
        <v>0</v>
      </c>
      <c r="D1054">
        <v>2</v>
      </c>
      <c r="E1054" s="3">
        <f t="shared" si="16"/>
        <v>12</v>
      </c>
    </row>
    <row r="1055" spans="1:5" x14ac:dyDescent="0.2">
      <c r="A1055">
        <v>6</v>
      </c>
      <c r="B1055" t="s">
        <v>461</v>
      </c>
      <c r="C1055">
        <v>0</v>
      </c>
      <c r="D1055">
        <v>1</v>
      </c>
      <c r="E1055" s="3">
        <f t="shared" si="16"/>
        <v>12</v>
      </c>
    </row>
    <row r="1056" spans="1:5" x14ac:dyDescent="0.2">
      <c r="A1056">
        <v>7</v>
      </c>
      <c r="B1056" s="2" t="s">
        <v>10</v>
      </c>
      <c r="C1056" s="2" t="s">
        <v>10</v>
      </c>
      <c r="D1056" s="2" t="s">
        <v>10</v>
      </c>
      <c r="E1056" s="3">
        <f t="shared" si="16"/>
        <v>12</v>
      </c>
    </row>
    <row r="1057" spans="1:5" x14ac:dyDescent="0.2">
      <c r="A1057">
        <v>8</v>
      </c>
      <c r="B1057" s="2" t="s">
        <v>10</v>
      </c>
      <c r="C1057" s="2" t="s">
        <v>10</v>
      </c>
      <c r="D1057" s="2" t="s">
        <v>10</v>
      </c>
      <c r="E1057" s="3">
        <f t="shared" si="16"/>
        <v>12</v>
      </c>
    </row>
    <row r="1058" spans="1:5" x14ac:dyDescent="0.2">
      <c r="A1058" s="1" t="s">
        <v>549</v>
      </c>
      <c r="E1058" s="3">
        <f t="shared" si="16"/>
        <v>12</v>
      </c>
    </row>
    <row r="1059" spans="1:5" x14ac:dyDescent="0.2">
      <c r="A1059" s="1" t="s">
        <v>1</v>
      </c>
      <c r="B1059" s="1" t="s">
        <v>2</v>
      </c>
      <c r="C1059" s="1" t="s">
        <v>3</v>
      </c>
      <c r="D1059" s="1" t="s">
        <v>4</v>
      </c>
      <c r="E1059" s="3">
        <f t="shared" si="16"/>
        <v>12</v>
      </c>
    </row>
    <row r="1060" spans="1:5" x14ac:dyDescent="0.2">
      <c r="A1060">
        <v>1</v>
      </c>
      <c r="B1060" t="s">
        <v>475</v>
      </c>
      <c r="C1060">
        <v>4</v>
      </c>
      <c r="D1060">
        <v>16</v>
      </c>
      <c r="E1060" s="3">
        <f t="shared" si="16"/>
        <v>12</v>
      </c>
    </row>
    <row r="1061" spans="1:5" x14ac:dyDescent="0.2">
      <c r="A1061">
        <v>2</v>
      </c>
      <c r="B1061" t="s">
        <v>65</v>
      </c>
      <c r="C1061">
        <v>1</v>
      </c>
      <c r="D1061">
        <v>12</v>
      </c>
      <c r="E1061" s="3">
        <f t="shared" si="16"/>
        <v>12</v>
      </c>
    </row>
    <row r="1062" spans="1:5" x14ac:dyDescent="0.2">
      <c r="A1062">
        <v>3</v>
      </c>
      <c r="B1062" t="s">
        <v>525</v>
      </c>
      <c r="C1062">
        <v>0</v>
      </c>
      <c r="D1062">
        <v>8</v>
      </c>
      <c r="E1062" s="3">
        <f t="shared" si="16"/>
        <v>12</v>
      </c>
    </row>
    <row r="1063" spans="1:5" x14ac:dyDescent="0.2">
      <c r="A1063">
        <v>4</v>
      </c>
      <c r="B1063" t="s">
        <v>500</v>
      </c>
      <c r="C1063">
        <v>0</v>
      </c>
      <c r="D1063">
        <v>4</v>
      </c>
      <c r="E1063" s="3">
        <f t="shared" si="16"/>
        <v>12</v>
      </c>
    </row>
    <row r="1064" spans="1:5" x14ac:dyDescent="0.2">
      <c r="A1064">
        <v>5</v>
      </c>
      <c r="B1064" t="s">
        <v>9</v>
      </c>
      <c r="C1064">
        <v>0</v>
      </c>
      <c r="D1064">
        <v>2</v>
      </c>
      <c r="E1064" s="3">
        <f t="shared" si="16"/>
        <v>12</v>
      </c>
    </row>
    <row r="1065" spans="1:5" x14ac:dyDescent="0.2">
      <c r="A1065">
        <v>6</v>
      </c>
      <c r="B1065" t="s">
        <v>452</v>
      </c>
      <c r="C1065">
        <v>0</v>
      </c>
      <c r="D1065">
        <v>1</v>
      </c>
      <c r="E1065" s="3">
        <f t="shared" si="16"/>
        <v>12</v>
      </c>
    </row>
    <row r="1066" spans="1:5" x14ac:dyDescent="0.2">
      <c r="A1066">
        <v>7</v>
      </c>
      <c r="B1066" s="2" t="s">
        <v>10</v>
      </c>
      <c r="C1066" s="2" t="s">
        <v>10</v>
      </c>
      <c r="D1066" s="2" t="s">
        <v>10</v>
      </c>
      <c r="E1066" s="3">
        <f t="shared" si="16"/>
        <v>12</v>
      </c>
    </row>
    <row r="1067" spans="1:5" x14ac:dyDescent="0.2">
      <c r="A1067">
        <v>8</v>
      </c>
      <c r="B1067" s="2" t="s">
        <v>10</v>
      </c>
      <c r="C1067" s="2" t="s">
        <v>10</v>
      </c>
      <c r="D1067" s="2" t="s">
        <v>10</v>
      </c>
      <c r="E1067" s="3">
        <f t="shared" si="16"/>
        <v>12</v>
      </c>
    </row>
    <row r="1068" spans="1:5" x14ac:dyDescent="0.2">
      <c r="A1068" s="1" t="s">
        <v>0</v>
      </c>
      <c r="E1068" s="3">
        <f t="shared" si="16"/>
        <v>13</v>
      </c>
    </row>
    <row r="1069" spans="1:5" x14ac:dyDescent="0.2">
      <c r="A1069" s="1" t="s">
        <v>1</v>
      </c>
      <c r="B1069" s="1" t="s">
        <v>2</v>
      </c>
      <c r="C1069" s="1" t="s">
        <v>3</v>
      </c>
      <c r="D1069" s="1" t="s">
        <v>4</v>
      </c>
      <c r="E1069" s="3">
        <f t="shared" si="16"/>
        <v>13</v>
      </c>
    </row>
    <row r="1070" spans="1:5" x14ac:dyDescent="0.2">
      <c r="A1070">
        <v>1</v>
      </c>
      <c r="B1070" t="s">
        <v>75</v>
      </c>
      <c r="C1070">
        <v>3</v>
      </c>
      <c r="D1070">
        <v>16</v>
      </c>
      <c r="E1070" s="3">
        <f t="shared" si="16"/>
        <v>13</v>
      </c>
    </row>
    <row r="1071" spans="1:5" x14ac:dyDescent="0.2">
      <c r="A1071">
        <v>2</v>
      </c>
      <c r="B1071" t="s">
        <v>345</v>
      </c>
      <c r="C1071">
        <v>1</v>
      </c>
      <c r="D1071">
        <v>12</v>
      </c>
      <c r="E1071" s="3">
        <f t="shared" si="16"/>
        <v>13</v>
      </c>
    </row>
    <row r="1072" spans="1:5" x14ac:dyDescent="0.2">
      <c r="A1072">
        <v>3</v>
      </c>
      <c r="B1072" t="s">
        <v>534</v>
      </c>
      <c r="C1072">
        <v>1</v>
      </c>
      <c r="D1072">
        <v>8</v>
      </c>
      <c r="E1072" s="3">
        <f t="shared" si="16"/>
        <v>13</v>
      </c>
    </row>
    <row r="1073" spans="1:5" x14ac:dyDescent="0.2">
      <c r="A1073">
        <v>4</v>
      </c>
      <c r="B1073" t="s">
        <v>74</v>
      </c>
      <c r="C1073">
        <v>0</v>
      </c>
      <c r="D1073">
        <v>4</v>
      </c>
      <c r="E1073" s="3">
        <f t="shared" si="16"/>
        <v>13</v>
      </c>
    </row>
    <row r="1074" spans="1:5" x14ac:dyDescent="0.2">
      <c r="A1074">
        <v>5</v>
      </c>
      <c r="B1074" t="s">
        <v>516</v>
      </c>
      <c r="C1074">
        <v>0</v>
      </c>
      <c r="D1074">
        <v>2</v>
      </c>
      <c r="E1074" s="3">
        <f t="shared" si="16"/>
        <v>13</v>
      </c>
    </row>
    <row r="1075" spans="1:5" x14ac:dyDescent="0.2">
      <c r="A1075">
        <v>6</v>
      </c>
      <c r="B1075" t="s">
        <v>9</v>
      </c>
      <c r="C1075">
        <v>0</v>
      </c>
      <c r="D1075">
        <v>1</v>
      </c>
      <c r="E1075" s="3">
        <f t="shared" si="16"/>
        <v>13</v>
      </c>
    </row>
    <row r="1076" spans="1:5" x14ac:dyDescent="0.2">
      <c r="A1076">
        <v>7</v>
      </c>
      <c r="B1076" s="2" t="s">
        <v>10</v>
      </c>
      <c r="C1076" s="2" t="s">
        <v>10</v>
      </c>
      <c r="D1076" s="2" t="s">
        <v>10</v>
      </c>
      <c r="E1076" s="3">
        <f t="shared" si="16"/>
        <v>13</v>
      </c>
    </row>
    <row r="1077" spans="1:5" x14ac:dyDescent="0.2">
      <c r="A1077">
        <v>8</v>
      </c>
      <c r="B1077" s="2" t="s">
        <v>10</v>
      </c>
      <c r="C1077" s="2" t="s">
        <v>10</v>
      </c>
      <c r="D1077" s="2" t="s">
        <v>10</v>
      </c>
      <c r="E1077" s="3">
        <f t="shared" si="16"/>
        <v>13</v>
      </c>
    </row>
    <row r="1078" spans="1:5" x14ac:dyDescent="0.2">
      <c r="A1078" s="1" t="s">
        <v>11</v>
      </c>
      <c r="E1078" s="3">
        <f t="shared" si="16"/>
        <v>13</v>
      </c>
    </row>
    <row r="1079" spans="1:5" x14ac:dyDescent="0.2">
      <c r="A1079" s="1" t="s">
        <v>1</v>
      </c>
      <c r="B1079" s="1" t="s">
        <v>2</v>
      </c>
      <c r="C1079" s="1" t="s">
        <v>3</v>
      </c>
      <c r="D1079" s="1" t="s">
        <v>4</v>
      </c>
      <c r="E1079" s="3">
        <f t="shared" si="16"/>
        <v>13</v>
      </c>
    </row>
    <row r="1080" spans="1:5" x14ac:dyDescent="0.2">
      <c r="A1080">
        <v>0</v>
      </c>
      <c r="C1080">
        <v>0</v>
      </c>
      <c r="D1080">
        <v>0</v>
      </c>
      <c r="E1080" s="3">
        <f t="shared" si="16"/>
        <v>13</v>
      </c>
    </row>
    <row r="1081" spans="1:5" x14ac:dyDescent="0.2">
      <c r="A1081">
        <v>0</v>
      </c>
      <c r="C1081">
        <v>0</v>
      </c>
      <c r="D1081">
        <v>0</v>
      </c>
      <c r="E1081" s="3">
        <f t="shared" si="16"/>
        <v>13</v>
      </c>
    </row>
    <row r="1082" spans="1:5" x14ac:dyDescent="0.2">
      <c r="A1082">
        <v>1</v>
      </c>
      <c r="B1082" t="s">
        <v>527</v>
      </c>
      <c r="C1082">
        <v>3</v>
      </c>
      <c r="D1082">
        <v>16</v>
      </c>
      <c r="E1082" s="3">
        <f t="shared" si="16"/>
        <v>13</v>
      </c>
    </row>
    <row r="1083" spans="1:5" x14ac:dyDescent="0.2">
      <c r="A1083">
        <v>2</v>
      </c>
      <c r="B1083" t="s">
        <v>35</v>
      </c>
      <c r="C1083">
        <v>2</v>
      </c>
      <c r="D1083">
        <v>12</v>
      </c>
      <c r="E1083" s="3">
        <f t="shared" si="16"/>
        <v>13</v>
      </c>
    </row>
    <row r="1084" spans="1:5" x14ac:dyDescent="0.2">
      <c r="A1084">
        <v>3</v>
      </c>
      <c r="B1084" t="s">
        <v>479</v>
      </c>
      <c r="C1084">
        <v>0</v>
      </c>
      <c r="D1084">
        <v>8</v>
      </c>
      <c r="E1084" s="3">
        <f t="shared" si="16"/>
        <v>13</v>
      </c>
    </row>
    <row r="1085" spans="1:5" x14ac:dyDescent="0.2">
      <c r="A1085">
        <v>4</v>
      </c>
      <c r="B1085" t="s">
        <v>88</v>
      </c>
      <c r="C1085">
        <v>0</v>
      </c>
      <c r="D1085">
        <v>4</v>
      </c>
      <c r="E1085" s="3">
        <f t="shared" si="16"/>
        <v>13</v>
      </c>
    </row>
    <row r="1086" spans="1:5" x14ac:dyDescent="0.2">
      <c r="A1086">
        <v>5</v>
      </c>
      <c r="B1086" t="s">
        <v>46</v>
      </c>
      <c r="C1086">
        <v>0</v>
      </c>
      <c r="D1086">
        <v>2</v>
      </c>
      <c r="E1086" s="3">
        <f t="shared" si="16"/>
        <v>13</v>
      </c>
    </row>
    <row r="1087" spans="1:5" x14ac:dyDescent="0.2">
      <c r="A1087">
        <v>6</v>
      </c>
      <c r="B1087" t="s">
        <v>507</v>
      </c>
      <c r="C1087">
        <v>0</v>
      </c>
      <c r="D1087">
        <v>1</v>
      </c>
      <c r="E1087" s="3">
        <f t="shared" si="16"/>
        <v>13</v>
      </c>
    </row>
    <row r="1088" spans="1:5" x14ac:dyDescent="0.2">
      <c r="A1088">
        <v>9</v>
      </c>
      <c r="B1088" s="2" t="s">
        <v>10</v>
      </c>
      <c r="C1088" s="2" t="s">
        <v>10</v>
      </c>
      <c r="D1088" s="2" t="s">
        <v>10</v>
      </c>
      <c r="E1088" s="3">
        <f t="shared" si="16"/>
        <v>13</v>
      </c>
    </row>
    <row r="1089" spans="1:5" x14ac:dyDescent="0.2">
      <c r="A1089">
        <v>10</v>
      </c>
      <c r="B1089" s="2" t="s">
        <v>10</v>
      </c>
      <c r="C1089" s="2" t="s">
        <v>10</v>
      </c>
      <c r="D1089" s="2" t="s">
        <v>10</v>
      </c>
      <c r="E1089" s="3">
        <f t="shared" si="16"/>
        <v>13</v>
      </c>
    </row>
    <row r="1090" spans="1:5" x14ac:dyDescent="0.2">
      <c r="A1090" s="1" t="s">
        <v>17</v>
      </c>
      <c r="E1090" s="3">
        <f t="shared" si="16"/>
        <v>13</v>
      </c>
    </row>
    <row r="1091" spans="1:5" x14ac:dyDescent="0.2">
      <c r="A1091" s="1" t="s">
        <v>1</v>
      </c>
      <c r="B1091" s="1" t="s">
        <v>2</v>
      </c>
      <c r="C1091" s="1" t="s">
        <v>3</v>
      </c>
      <c r="D1091" s="1" t="s">
        <v>4</v>
      </c>
      <c r="E1091" s="3">
        <f t="shared" si="16"/>
        <v>13</v>
      </c>
    </row>
    <row r="1092" spans="1:5" x14ac:dyDescent="0.2">
      <c r="A1092">
        <v>1</v>
      </c>
      <c r="B1092" t="s">
        <v>535</v>
      </c>
      <c r="C1092">
        <v>3</v>
      </c>
      <c r="D1092">
        <v>16</v>
      </c>
      <c r="E1092" s="3">
        <f t="shared" ref="E1092:E1155" si="17">IF(A1092=$A$1,E1091+1,E1091)</f>
        <v>13</v>
      </c>
    </row>
    <row r="1093" spans="1:5" x14ac:dyDescent="0.2">
      <c r="A1093">
        <v>2</v>
      </c>
      <c r="B1093" t="s">
        <v>485</v>
      </c>
      <c r="C1093">
        <v>1</v>
      </c>
      <c r="D1093">
        <v>12</v>
      </c>
      <c r="E1093" s="3">
        <f t="shared" si="17"/>
        <v>13</v>
      </c>
    </row>
    <row r="1094" spans="1:5" x14ac:dyDescent="0.2">
      <c r="A1094">
        <v>3</v>
      </c>
      <c r="B1094" t="s">
        <v>550</v>
      </c>
      <c r="C1094">
        <v>0</v>
      </c>
      <c r="D1094">
        <v>8</v>
      </c>
      <c r="E1094" s="3">
        <f t="shared" si="17"/>
        <v>13</v>
      </c>
    </row>
    <row r="1095" spans="1:5" x14ac:dyDescent="0.2">
      <c r="A1095">
        <v>4</v>
      </c>
      <c r="B1095" t="s">
        <v>40</v>
      </c>
      <c r="C1095">
        <v>1</v>
      </c>
      <c r="D1095">
        <v>4</v>
      </c>
      <c r="E1095" s="3">
        <f t="shared" si="17"/>
        <v>13</v>
      </c>
    </row>
    <row r="1096" spans="1:5" x14ac:dyDescent="0.2">
      <c r="A1096">
        <v>5</v>
      </c>
      <c r="B1096" t="s">
        <v>519</v>
      </c>
      <c r="C1096">
        <v>0</v>
      </c>
      <c r="D1096">
        <v>2</v>
      </c>
      <c r="E1096" s="3">
        <f t="shared" si="17"/>
        <v>13</v>
      </c>
    </row>
    <row r="1097" spans="1:5" x14ac:dyDescent="0.2">
      <c r="A1097">
        <v>6</v>
      </c>
      <c r="B1097" t="s">
        <v>506</v>
      </c>
      <c r="C1097">
        <v>0</v>
      </c>
      <c r="D1097">
        <v>1</v>
      </c>
      <c r="E1097" s="3">
        <f t="shared" si="17"/>
        <v>13</v>
      </c>
    </row>
    <row r="1098" spans="1:5" x14ac:dyDescent="0.2">
      <c r="A1098">
        <v>7</v>
      </c>
      <c r="B1098" s="2" t="s">
        <v>10</v>
      </c>
      <c r="C1098" s="2" t="s">
        <v>10</v>
      </c>
      <c r="D1098" s="2" t="s">
        <v>10</v>
      </c>
      <c r="E1098" s="3">
        <f t="shared" si="17"/>
        <v>13</v>
      </c>
    </row>
    <row r="1099" spans="1:5" x14ac:dyDescent="0.2">
      <c r="A1099">
        <v>8</v>
      </c>
      <c r="B1099" s="2" t="s">
        <v>10</v>
      </c>
      <c r="C1099" s="2" t="s">
        <v>10</v>
      </c>
      <c r="D1099" s="2" t="s">
        <v>10</v>
      </c>
      <c r="E1099" s="3">
        <f t="shared" si="17"/>
        <v>13</v>
      </c>
    </row>
    <row r="1100" spans="1:5" x14ac:dyDescent="0.2">
      <c r="A1100" s="1" t="s">
        <v>24</v>
      </c>
      <c r="E1100" s="3">
        <f t="shared" si="17"/>
        <v>13</v>
      </c>
    </row>
    <row r="1101" spans="1:5" x14ac:dyDescent="0.2">
      <c r="A1101" s="1" t="s">
        <v>1</v>
      </c>
      <c r="B1101" s="1" t="s">
        <v>2</v>
      </c>
      <c r="C1101" s="1" t="s">
        <v>3</v>
      </c>
      <c r="D1101" s="1" t="s">
        <v>4</v>
      </c>
      <c r="E1101" s="3">
        <f t="shared" si="17"/>
        <v>13</v>
      </c>
    </row>
    <row r="1102" spans="1:5" x14ac:dyDescent="0.2">
      <c r="A1102">
        <v>1</v>
      </c>
      <c r="B1102" t="s">
        <v>504</v>
      </c>
      <c r="C1102">
        <v>3</v>
      </c>
      <c r="D1102">
        <v>16</v>
      </c>
      <c r="E1102" s="3">
        <f t="shared" si="17"/>
        <v>13</v>
      </c>
    </row>
    <row r="1103" spans="1:5" x14ac:dyDescent="0.2">
      <c r="A1103">
        <v>2</v>
      </c>
      <c r="B1103" t="s">
        <v>25</v>
      </c>
      <c r="C1103">
        <v>1</v>
      </c>
      <c r="D1103">
        <v>12</v>
      </c>
      <c r="E1103" s="3">
        <f t="shared" si="17"/>
        <v>13</v>
      </c>
    </row>
    <row r="1104" spans="1:5" x14ac:dyDescent="0.2">
      <c r="A1104">
        <v>3</v>
      </c>
      <c r="B1104" t="s">
        <v>69</v>
      </c>
      <c r="C1104">
        <v>1</v>
      </c>
      <c r="D1104">
        <v>8</v>
      </c>
      <c r="E1104" s="3">
        <f t="shared" si="17"/>
        <v>13</v>
      </c>
    </row>
    <row r="1105" spans="1:5" x14ac:dyDescent="0.2">
      <c r="A1105">
        <v>4</v>
      </c>
      <c r="B1105" t="s">
        <v>521</v>
      </c>
      <c r="C1105">
        <v>0</v>
      </c>
      <c r="D1105">
        <v>4</v>
      </c>
      <c r="E1105" s="3">
        <f t="shared" si="17"/>
        <v>13</v>
      </c>
    </row>
    <row r="1106" spans="1:5" x14ac:dyDescent="0.2">
      <c r="A1106">
        <v>5</v>
      </c>
      <c r="B1106" t="s">
        <v>27</v>
      </c>
      <c r="C1106">
        <v>0</v>
      </c>
      <c r="D1106">
        <v>2</v>
      </c>
      <c r="E1106" s="3">
        <f t="shared" si="17"/>
        <v>13</v>
      </c>
    </row>
    <row r="1107" spans="1:5" x14ac:dyDescent="0.2">
      <c r="A1107">
        <v>6</v>
      </c>
      <c r="B1107" t="s">
        <v>512</v>
      </c>
      <c r="C1107">
        <v>0</v>
      </c>
      <c r="D1107">
        <v>1</v>
      </c>
      <c r="E1107" s="3">
        <f t="shared" si="17"/>
        <v>13</v>
      </c>
    </row>
    <row r="1108" spans="1:5" x14ac:dyDescent="0.2">
      <c r="A1108">
        <v>7</v>
      </c>
      <c r="B1108" s="2" t="s">
        <v>10</v>
      </c>
      <c r="C1108" s="2" t="s">
        <v>10</v>
      </c>
      <c r="D1108" s="2" t="s">
        <v>10</v>
      </c>
      <c r="E1108" s="3">
        <f t="shared" si="17"/>
        <v>13</v>
      </c>
    </row>
    <row r="1109" spans="1:5" x14ac:dyDescent="0.2">
      <c r="A1109">
        <v>8</v>
      </c>
      <c r="B1109" s="2" t="s">
        <v>10</v>
      </c>
      <c r="C1109" s="2" t="s">
        <v>10</v>
      </c>
      <c r="D1109" s="2" t="s">
        <v>10</v>
      </c>
      <c r="E1109" s="3">
        <f t="shared" si="17"/>
        <v>13</v>
      </c>
    </row>
    <row r="1110" spans="1:5" x14ac:dyDescent="0.2">
      <c r="A1110" s="1" t="s">
        <v>30</v>
      </c>
      <c r="E1110" s="3">
        <f t="shared" si="17"/>
        <v>13</v>
      </c>
    </row>
    <row r="1111" spans="1:5" x14ac:dyDescent="0.2">
      <c r="A1111" s="1" t="s">
        <v>1</v>
      </c>
      <c r="B1111" s="1" t="s">
        <v>2</v>
      </c>
      <c r="C1111" s="1" t="s">
        <v>3</v>
      </c>
      <c r="D1111" s="1" t="s">
        <v>4</v>
      </c>
      <c r="E1111" s="3">
        <f t="shared" si="17"/>
        <v>13</v>
      </c>
    </row>
    <row r="1112" spans="1:5" x14ac:dyDescent="0.2">
      <c r="A1112">
        <v>1</v>
      </c>
      <c r="B1112" t="s">
        <v>42</v>
      </c>
      <c r="C1112">
        <v>3</v>
      </c>
      <c r="D1112">
        <v>17</v>
      </c>
      <c r="E1112" s="3">
        <f t="shared" si="17"/>
        <v>13</v>
      </c>
    </row>
    <row r="1113" spans="1:5" x14ac:dyDescent="0.2">
      <c r="A1113">
        <v>2</v>
      </c>
      <c r="B1113" t="s">
        <v>19</v>
      </c>
      <c r="C1113">
        <v>0</v>
      </c>
      <c r="D1113">
        <v>13</v>
      </c>
      <c r="E1113" s="3">
        <f t="shared" si="17"/>
        <v>13</v>
      </c>
    </row>
    <row r="1114" spans="1:5" x14ac:dyDescent="0.2">
      <c r="A1114">
        <v>3</v>
      </c>
      <c r="B1114" t="s">
        <v>493</v>
      </c>
      <c r="C1114">
        <v>3</v>
      </c>
      <c r="D1114">
        <v>9</v>
      </c>
      <c r="E1114" s="3">
        <f t="shared" si="17"/>
        <v>13</v>
      </c>
    </row>
    <row r="1115" spans="1:5" x14ac:dyDescent="0.2">
      <c r="A1115">
        <v>4</v>
      </c>
      <c r="B1115" t="s">
        <v>21</v>
      </c>
      <c r="C1115">
        <v>0</v>
      </c>
      <c r="D1115">
        <v>5</v>
      </c>
      <c r="E1115" s="3">
        <f t="shared" si="17"/>
        <v>13</v>
      </c>
    </row>
    <row r="1116" spans="1:5" x14ac:dyDescent="0.2">
      <c r="A1116">
        <v>5</v>
      </c>
      <c r="B1116" t="s">
        <v>462</v>
      </c>
      <c r="C1116">
        <v>0</v>
      </c>
      <c r="D1116">
        <v>3</v>
      </c>
      <c r="E1116" s="3">
        <f t="shared" si="17"/>
        <v>13</v>
      </c>
    </row>
    <row r="1117" spans="1:5" x14ac:dyDescent="0.2">
      <c r="A1117">
        <v>6</v>
      </c>
      <c r="B1117" t="s">
        <v>525</v>
      </c>
      <c r="C1117">
        <v>0</v>
      </c>
      <c r="D1117">
        <v>2</v>
      </c>
      <c r="E1117" s="3">
        <f t="shared" si="17"/>
        <v>13</v>
      </c>
    </row>
    <row r="1118" spans="1:5" x14ac:dyDescent="0.2">
      <c r="A1118">
        <v>7</v>
      </c>
      <c r="B1118" t="s">
        <v>59</v>
      </c>
      <c r="C1118">
        <v>0</v>
      </c>
      <c r="D1118">
        <v>1</v>
      </c>
      <c r="E1118" s="3">
        <f t="shared" si="17"/>
        <v>13</v>
      </c>
    </row>
    <row r="1119" spans="1:5" x14ac:dyDescent="0.2">
      <c r="A1119">
        <v>8</v>
      </c>
      <c r="B1119" s="2" t="s">
        <v>10</v>
      </c>
      <c r="C1119" s="2" t="s">
        <v>10</v>
      </c>
      <c r="D1119" s="2" t="s">
        <v>10</v>
      </c>
      <c r="E1119" s="3">
        <f t="shared" si="17"/>
        <v>13</v>
      </c>
    </row>
    <row r="1120" spans="1:5" x14ac:dyDescent="0.2">
      <c r="A1120" s="1" t="s">
        <v>37</v>
      </c>
      <c r="E1120" s="3">
        <f t="shared" si="17"/>
        <v>13</v>
      </c>
    </row>
    <row r="1121" spans="1:5" x14ac:dyDescent="0.2">
      <c r="A1121" s="1" t="s">
        <v>1</v>
      </c>
      <c r="B1121" s="1" t="s">
        <v>2</v>
      </c>
      <c r="C1121" s="1" t="s">
        <v>3</v>
      </c>
      <c r="D1121" s="1" t="s">
        <v>4</v>
      </c>
      <c r="E1121" s="3">
        <f t="shared" si="17"/>
        <v>13</v>
      </c>
    </row>
    <row r="1122" spans="1:5" x14ac:dyDescent="0.2">
      <c r="A1122">
        <v>1</v>
      </c>
      <c r="B1122" t="s">
        <v>531</v>
      </c>
      <c r="C1122">
        <v>5</v>
      </c>
      <c r="D1122">
        <v>16</v>
      </c>
      <c r="E1122" s="3">
        <f t="shared" si="17"/>
        <v>13</v>
      </c>
    </row>
    <row r="1123" spans="1:5" x14ac:dyDescent="0.2">
      <c r="A1123">
        <v>2</v>
      </c>
      <c r="B1123" t="s">
        <v>66</v>
      </c>
      <c r="C1123">
        <v>0</v>
      </c>
      <c r="D1123">
        <v>12</v>
      </c>
      <c r="E1123" s="3">
        <f t="shared" si="17"/>
        <v>13</v>
      </c>
    </row>
    <row r="1124" spans="1:5" x14ac:dyDescent="0.2">
      <c r="A1124">
        <v>3</v>
      </c>
      <c r="B1124" t="s">
        <v>65</v>
      </c>
      <c r="C1124">
        <v>0</v>
      </c>
      <c r="D1124">
        <v>8</v>
      </c>
      <c r="E1124" s="3">
        <f t="shared" si="17"/>
        <v>13</v>
      </c>
    </row>
    <row r="1125" spans="1:5" x14ac:dyDescent="0.2">
      <c r="A1125">
        <v>4</v>
      </c>
      <c r="B1125" t="s">
        <v>14</v>
      </c>
      <c r="C1125">
        <v>0</v>
      </c>
      <c r="D1125">
        <v>4</v>
      </c>
      <c r="E1125" s="3">
        <f t="shared" si="17"/>
        <v>13</v>
      </c>
    </row>
    <row r="1126" spans="1:5" x14ac:dyDescent="0.2">
      <c r="A1126">
        <v>5</v>
      </c>
      <c r="B1126" t="s">
        <v>73</v>
      </c>
      <c r="C1126">
        <v>0</v>
      </c>
      <c r="D1126">
        <v>2</v>
      </c>
      <c r="E1126" s="3">
        <f t="shared" si="17"/>
        <v>13</v>
      </c>
    </row>
    <row r="1127" spans="1:5" x14ac:dyDescent="0.2">
      <c r="A1127">
        <v>6</v>
      </c>
      <c r="B1127" t="s">
        <v>76</v>
      </c>
      <c r="C1127">
        <v>0</v>
      </c>
      <c r="D1127">
        <v>1</v>
      </c>
      <c r="E1127" s="3">
        <f t="shared" si="17"/>
        <v>13</v>
      </c>
    </row>
    <row r="1128" spans="1:5" x14ac:dyDescent="0.2">
      <c r="A1128">
        <v>7</v>
      </c>
      <c r="B1128" s="2" t="s">
        <v>10</v>
      </c>
      <c r="C1128" s="2" t="s">
        <v>10</v>
      </c>
      <c r="D1128" s="2" t="s">
        <v>10</v>
      </c>
      <c r="E1128" s="3">
        <f t="shared" si="17"/>
        <v>13</v>
      </c>
    </row>
    <row r="1129" spans="1:5" x14ac:dyDescent="0.2">
      <c r="A1129">
        <v>8</v>
      </c>
      <c r="B1129" s="2" t="s">
        <v>10</v>
      </c>
      <c r="C1129" s="2" t="s">
        <v>10</v>
      </c>
      <c r="D1129" s="2" t="s">
        <v>10</v>
      </c>
      <c r="E1129" s="3">
        <f t="shared" si="17"/>
        <v>13</v>
      </c>
    </row>
    <row r="1130" spans="1:5" x14ac:dyDescent="0.2">
      <c r="A1130" s="1" t="s">
        <v>44</v>
      </c>
      <c r="E1130" s="3">
        <f t="shared" si="17"/>
        <v>13</v>
      </c>
    </row>
    <row r="1131" spans="1:5" x14ac:dyDescent="0.2">
      <c r="A1131" s="1" t="s">
        <v>1</v>
      </c>
      <c r="B1131" s="1" t="s">
        <v>2</v>
      </c>
      <c r="C1131" s="1" t="s">
        <v>3</v>
      </c>
      <c r="D1131" s="1" t="s">
        <v>4</v>
      </c>
      <c r="E1131" s="3">
        <f t="shared" si="17"/>
        <v>13</v>
      </c>
    </row>
    <row r="1132" spans="1:5" x14ac:dyDescent="0.2">
      <c r="A1132">
        <v>1</v>
      </c>
      <c r="B1132" t="s">
        <v>505</v>
      </c>
      <c r="C1132">
        <v>1</v>
      </c>
      <c r="D1132">
        <v>17</v>
      </c>
      <c r="E1132" s="3">
        <f t="shared" si="17"/>
        <v>13</v>
      </c>
    </row>
    <row r="1133" spans="1:5" x14ac:dyDescent="0.2">
      <c r="A1133">
        <v>2</v>
      </c>
      <c r="B1133" t="s">
        <v>530</v>
      </c>
      <c r="C1133">
        <v>1</v>
      </c>
      <c r="D1133">
        <v>13</v>
      </c>
      <c r="E1133" s="3">
        <f t="shared" si="17"/>
        <v>13</v>
      </c>
    </row>
    <row r="1134" spans="1:5" x14ac:dyDescent="0.2">
      <c r="A1134">
        <v>3</v>
      </c>
      <c r="B1134" t="s">
        <v>280</v>
      </c>
      <c r="C1134">
        <v>3</v>
      </c>
      <c r="D1134">
        <v>9</v>
      </c>
      <c r="E1134" s="3">
        <f t="shared" si="17"/>
        <v>13</v>
      </c>
    </row>
    <row r="1135" spans="1:5" x14ac:dyDescent="0.2">
      <c r="A1135">
        <v>4</v>
      </c>
      <c r="B1135" t="s">
        <v>461</v>
      </c>
      <c r="C1135">
        <v>0</v>
      </c>
      <c r="D1135">
        <v>5</v>
      </c>
      <c r="E1135" s="3">
        <f t="shared" si="17"/>
        <v>13</v>
      </c>
    </row>
    <row r="1136" spans="1:5" x14ac:dyDescent="0.2">
      <c r="A1136">
        <v>5</v>
      </c>
      <c r="B1136" t="s">
        <v>503</v>
      </c>
      <c r="C1136">
        <v>1</v>
      </c>
      <c r="D1136">
        <v>3</v>
      </c>
      <c r="E1136" s="3">
        <f t="shared" si="17"/>
        <v>13</v>
      </c>
    </row>
    <row r="1137" spans="1:5" x14ac:dyDescent="0.2">
      <c r="A1137">
        <v>6</v>
      </c>
      <c r="B1137" t="s">
        <v>6</v>
      </c>
      <c r="C1137">
        <v>0</v>
      </c>
      <c r="D1137">
        <v>2</v>
      </c>
      <c r="E1137" s="3">
        <f t="shared" si="17"/>
        <v>13</v>
      </c>
    </row>
    <row r="1138" spans="1:5" x14ac:dyDescent="0.2">
      <c r="A1138">
        <v>7</v>
      </c>
      <c r="B1138" t="s">
        <v>509</v>
      </c>
      <c r="C1138">
        <v>0</v>
      </c>
      <c r="D1138">
        <v>1</v>
      </c>
      <c r="E1138" s="3">
        <f t="shared" si="17"/>
        <v>13</v>
      </c>
    </row>
    <row r="1139" spans="1:5" x14ac:dyDescent="0.2">
      <c r="A1139">
        <v>8</v>
      </c>
      <c r="B1139" s="2" t="s">
        <v>10</v>
      </c>
      <c r="C1139" s="2" t="s">
        <v>10</v>
      </c>
      <c r="D1139" s="2" t="s">
        <v>10</v>
      </c>
      <c r="E1139" s="3">
        <f t="shared" si="17"/>
        <v>13</v>
      </c>
    </row>
    <row r="1140" spans="1:5" x14ac:dyDescent="0.2">
      <c r="A1140" s="1" t="s">
        <v>0</v>
      </c>
      <c r="E1140" s="3">
        <f t="shared" si="17"/>
        <v>14</v>
      </c>
    </row>
    <row r="1141" spans="1:5" x14ac:dyDescent="0.2">
      <c r="A1141" s="1" t="s">
        <v>1</v>
      </c>
      <c r="B1141" s="1" t="s">
        <v>2</v>
      </c>
      <c r="C1141" s="1" t="s">
        <v>3</v>
      </c>
      <c r="D1141" s="1" t="s">
        <v>4</v>
      </c>
      <c r="E1141" s="3">
        <f t="shared" si="17"/>
        <v>14</v>
      </c>
    </row>
    <row r="1142" spans="1:5" x14ac:dyDescent="0.2">
      <c r="A1142">
        <v>1</v>
      </c>
      <c r="B1142" t="s">
        <v>345</v>
      </c>
      <c r="C1142">
        <v>4</v>
      </c>
      <c r="D1142">
        <v>16</v>
      </c>
      <c r="E1142" s="3">
        <f t="shared" si="17"/>
        <v>14</v>
      </c>
    </row>
    <row r="1143" spans="1:5" x14ac:dyDescent="0.2">
      <c r="A1143">
        <v>2</v>
      </c>
      <c r="B1143" t="s">
        <v>25</v>
      </c>
      <c r="C1143">
        <v>0</v>
      </c>
      <c r="D1143">
        <v>12</v>
      </c>
      <c r="E1143" s="3">
        <f t="shared" si="17"/>
        <v>14</v>
      </c>
    </row>
    <row r="1144" spans="1:5" x14ac:dyDescent="0.2">
      <c r="A1144">
        <v>3</v>
      </c>
      <c r="B1144" t="s">
        <v>81</v>
      </c>
      <c r="C1144">
        <v>1</v>
      </c>
      <c r="D1144">
        <v>8</v>
      </c>
      <c r="E1144" s="3">
        <f t="shared" si="17"/>
        <v>14</v>
      </c>
    </row>
    <row r="1145" spans="1:5" x14ac:dyDescent="0.2">
      <c r="A1145">
        <v>4</v>
      </c>
      <c r="B1145" t="s">
        <v>75</v>
      </c>
      <c r="C1145">
        <v>0</v>
      </c>
      <c r="D1145">
        <v>4</v>
      </c>
      <c r="E1145" s="3">
        <f t="shared" si="17"/>
        <v>14</v>
      </c>
    </row>
    <row r="1146" spans="1:5" x14ac:dyDescent="0.2">
      <c r="A1146">
        <v>5</v>
      </c>
      <c r="B1146" t="s">
        <v>87</v>
      </c>
      <c r="C1146">
        <v>0</v>
      </c>
      <c r="D1146">
        <v>2</v>
      </c>
      <c r="E1146" s="3">
        <f t="shared" si="17"/>
        <v>14</v>
      </c>
    </row>
    <row r="1147" spans="1:5" x14ac:dyDescent="0.2">
      <c r="A1147">
        <v>6</v>
      </c>
      <c r="B1147" t="s">
        <v>40</v>
      </c>
      <c r="C1147">
        <v>0</v>
      </c>
      <c r="D1147">
        <v>1</v>
      </c>
      <c r="E1147" s="3">
        <f t="shared" si="17"/>
        <v>14</v>
      </c>
    </row>
    <row r="1148" spans="1:5" x14ac:dyDescent="0.2">
      <c r="A1148">
        <v>7</v>
      </c>
      <c r="B1148" s="2" t="s">
        <v>10</v>
      </c>
      <c r="C1148" s="2" t="s">
        <v>10</v>
      </c>
      <c r="D1148" s="2" t="s">
        <v>10</v>
      </c>
      <c r="E1148" s="3">
        <f t="shared" si="17"/>
        <v>14</v>
      </c>
    </row>
    <row r="1149" spans="1:5" x14ac:dyDescent="0.2">
      <c r="A1149">
        <v>8</v>
      </c>
      <c r="B1149" s="2" t="s">
        <v>10</v>
      </c>
      <c r="C1149" s="2" t="s">
        <v>10</v>
      </c>
      <c r="D1149" s="2" t="s">
        <v>10</v>
      </c>
      <c r="E1149" s="3">
        <f t="shared" si="17"/>
        <v>14</v>
      </c>
    </row>
    <row r="1150" spans="1:5" x14ac:dyDescent="0.2">
      <c r="A1150" s="1" t="s">
        <v>11</v>
      </c>
      <c r="E1150" s="3">
        <f t="shared" si="17"/>
        <v>14</v>
      </c>
    </row>
    <row r="1151" spans="1:5" x14ac:dyDescent="0.2">
      <c r="A1151" s="1" t="s">
        <v>1</v>
      </c>
      <c r="B1151" s="1" t="s">
        <v>2</v>
      </c>
      <c r="C1151" s="1" t="s">
        <v>3</v>
      </c>
      <c r="D1151" s="1" t="s">
        <v>4</v>
      </c>
      <c r="E1151" s="3">
        <f t="shared" si="17"/>
        <v>14</v>
      </c>
    </row>
    <row r="1152" spans="1:5" x14ac:dyDescent="0.2">
      <c r="A1152">
        <v>1</v>
      </c>
      <c r="B1152" t="s">
        <v>73</v>
      </c>
      <c r="C1152">
        <v>4</v>
      </c>
      <c r="D1152">
        <v>16</v>
      </c>
      <c r="E1152" s="3">
        <f t="shared" si="17"/>
        <v>14</v>
      </c>
    </row>
    <row r="1153" spans="1:5" x14ac:dyDescent="0.2">
      <c r="A1153">
        <v>2</v>
      </c>
      <c r="B1153" t="s">
        <v>509</v>
      </c>
      <c r="C1153">
        <v>1</v>
      </c>
      <c r="D1153">
        <v>12</v>
      </c>
      <c r="E1153" s="3">
        <f t="shared" si="17"/>
        <v>14</v>
      </c>
    </row>
    <row r="1154" spans="1:5" x14ac:dyDescent="0.2">
      <c r="A1154">
        <v>3</v>
      </c>
      <c r="B1154" t="s">
        <v>74</v>
      </c>
      <c r="C1154">
        <v>0</v>
      </c>
      <c r="D1154">
        <v>8</v>
      </c>
      <c r="E1154" s="3">
        <f t="shared" si="17"/>
        <v>14</v>
      </c>
    </row>
    <row r="1155" spans="1:5" x14ac:dyDescent="0.2">
      <c r="A1155">
        <v>4</v>
      </c>
      <c r="B1155" t="s">
        <v>532</v>
      </c>
      <c r="C1155">
        <v>0</v>
      </c>
      <c r="D1155">
        <v>4</v>
      </c>
      <c r="E1155" s="3">
        <f t="shared" si="17"/>
        <v>14</v>
      </c>
    </row>
    <row r="1156" spans="1:5" x14ac:dyDescent="0.2">
      <c r="A1156">
        <v>5</v>
      </c>
      <c r="B1156" t="s">
        <v>536</v>
      </c>
      <c r="C1156">
        <v>0</v>
      </c>
      <c r="D1156">
        <v>2</v>
      </c>
      <c r="E1156" s="3">
        <f t="shared" ref="E1156:E1219" si="18">IF(A1156=$A$1,E1155+1,E1155)</f>
        <v>14</v>
      </c>
    </row>
    <row r="1157" spans="1:5" x14ac:dyDescent="0.2">
      <c r="A1157">
        <v>6</v>
      </c>
      <c r="B1157" t="s">
        <v>507</v>
      </c>
      <c r="C1157">
        <v>0</v>
      </c>
      <c r="D1157">
        <v>1</v>
      </c>
      <c r="E1157" s="3">
        <f t="shared" si="18"/>
        <v>14</v>
      </c>
    </row>
    <row r="1158" spans="1:5" x14ac:dyDescent="0.2">
      <c r="A1158">
        <v>7</v>
      </c>
      <c r="B1158" s="2" t="s">
        <v>10</v>
      </c>
      <c r="C1158" s="2" t="s">
        <v>10</v>
      </c>
      <c r="D1158" s="2" t="s">
        <v>10</v>
      </c>
      <c r="E1158" s="3">
        <f t="shared" si="18"/>
        <v>14</v>
      </c>
    </row>
    <row r="1159" spans="1:5" x14ac:dyDescent="0.2">
      <c r="A1159">
        <v>8</v>
      </c>
      <c r="B1159" s="2" t="s">
        <v>10</v>
      </c>
      <c r="C1159" s="2" t="s">
        <v>10</v>
      </c>
      <c r="D1159" s="2" t="s">
        <v>10</v>
      </c>
      <c r="E1159" s="3">
        <f t="shared" si="18"/>
        <v>14</v>
      </c>
    </row>
    <row r="1160" spans="1:5" x14ac:dyDescent="0.2">
      <c r="A1160" s="1" t="s">
        <v>17</v>
      </c>
      <c r="E1160" s="3">
        <f t="shared" si="18"/>
        <v>14</v>
      </c>
    </row>
    <row r="1161" spans="1:5" x14ac:dyDescent="0.2">
      <c r="A1161" s="1" t="s">
        <v>1</v>
      </c>
      <c r="B1161" s="1" t="s">
        <v>2</v>
      </c>
      <c r="C1161" s="1" t="s">
        <v>3</v>
      </c>
      <c r="D1161" s="1" t="s">
        <v>4</v>
      </c>
      <c r="E1161" s="3">
        <f t="shared" si="18"/>
        <v>14</v>
      </c>
    </row>
    <row r="1162" spans="1:5" x14ac:dyDescent="0.2">
      <c r="A1162">
        <v>1</v>
      </c>
      <c r="B1162" t="s">
        <v>69</v>
      </c>
      <c r="C1162">
        <v>2</v>
      </c>
      <c r="D1162">
        <v>17</v>
      </c>
      <c r="E1162" s="3">
        <f t="shared" si="18"/>
        <v>14</v>
      </c>
    </row>
    <row r="1163" spans="1:5" x14ac:dyDescent="0.2">
      <c r="A1163">
        <v>2</v>
      </c>
      <c r="B1163" t="s">
        <v>46</v>
      </c>
      <c r="C1163">
        <v>2</v>
      </c>
      <c r="D1163">
        <v>13</v>
      </c>
      <c r="E1163" s="3">
        <f t="shared" si="18"/>
        <v>14</v>
      </c>
    </row>
    <row r="1164" spans="1:5" x14ac:dyDescent="0.2">
      <c r="A1164">
        <v>3</v>
      </c>
      <c r="B1164" t="s">
        <v>500</v>
      </c>
      <c r="C1164">
        <v>1</v>
      </c>
      <c r="D1164">
        <v>9</v>
      </c>
      <c r="E1164" s="3">
        <f t="shared" si="18"/>
        <v>14</v>
      </c>
    </row>
    <row r="1165" spans="1:5" x14ac:dyDescent="0.2">
      <c r="A1165">
        <v>4</v>
      </c>
      <c r="B1165" t="s">
        <v>508</v>
      </c>
      <c r="C1165">
        <v>0</v>
      </c>
      <c r="D1165">
        <v>5</v>
      </c>
      <c r="E1165" s="3">
        <f t="shared" si="18"/>
        <v>14</v>
      </c>
    </row>
    <row r="1166" spans="1:5" x14ac:dyDescent="0.2">
      <c r="A1166">
        <v>5</v>
      </c>
      <c r="B1166" t="s">
        <v>476</v>
      </c>
      <c r="C1166">
        <v>1</v>
      </c>
      <c r="D1166">
        <v>3</v>
      </c>
      <c r="E1166" s="3">
        <f t="shared" si="18"/>
        <v>14</v>
      </c>
    </row>
    <row r="1167" spans="1:5" x14ac:dyDescent="0.2">
      <c r="A1167">
        <v>6</v>
      </c>
      <c r="B1167" t="s">
        <v>55</v>
      </c>
      <c r="C1167">
        <v>0</v>
      </c>
      <c r="D1167">
        <v>2</v>
      </c>
      <c r="E1167" s="3">
        <f t="shared" si="18"/>
        <v>14</v>
      </c>
    </row>
    <row r="1168" spans="1:5" x14ac:dyDescent="0.2">
      <c r="A1168">
        <v>7</v>
      </c>
      <c r="B1168" t="s">
        <v>65</v>
      </c>
      <c r="C1168">
        <v>0</v>
      </c>
      <c r="D1168">
        <v>1</v>
      </c>
      <c r="E1168" s="3">
        <f t="shared" si="18"/>
        <v>14</v>
      </c>
    </row>
    <row r="1169" spans="1:5" x14ac:dyDescent="0.2">
      <c r="A1169">
        <v>8</v>
      </c>
      <c r="B1169" s="2" t="s">
        <v>10</v>
      </c>
      <c r="C1169" s="2" t="s">
        <v>10</v>
      </c>
      <c r="D1169" s="2" t="s">
        <v>10</v>
      </c>
      <c r="E1169" s="3">
        <f t="shared" si="18"/>
        <v>14</v>
      </c>
    </row>
    <row r="1170" spans="1:5" x14ac:dyDescent="0.2">
      <c r="A1170" s="1" t="s">
        <v>24</v>
      </c>
      <c r="E1170" s="3">
        <f t="shared" si="18"/>
        <v>14</v>
      </c>
    </row>
    <row r="1171" spans="1:5" x14ac:dyDescent="0.2">
      <c r="A1171" s="1" t="s">
        <v>1</v>
      </c>
      <c r="B1171" s="1" t="s">
        <v>2</v>
      </c>
      <c r="C1171" s="1" t="s">
        <v>3</v>
      </c>
      <c r="D1171" s="1" t="s">
        <v>4</v>
      </c>
      <c r="E1171" s="3">
        <f t="shared" si="18"/>
        <v>14</v>
      </c>
    </row>
    <row r="1172" spans="1:5" x14ac:dyDescent="0.2">
      <c r="A1172">
        <v>1</v>
      </c>
      <c r="B1172" t="s">
        <v>32</v>
      </c>
      <c r="C1172">
        <v>4</v>
      </c>
      <c r="D1172">
        <v>16</v>
      </c>
      <c r="E1172" s="3">
        <f t="shared" si="18"/>
        <v>14</v>
      </c>
    </row>
    <row r="1173" spans="1:5" x14ac:dyDescent="0.2">
      <c r="A1173">
        <v>2</v>
      </c>
      <c r="B1173" t="s">
        <v>534</v>
      </c>
      <c r="C1173">
        <v>1</v>
      </c>
      <c r="D1173">
        <v>12</v>
      </c>
      <c r="E1173" s="3">
        <f t="shared" si="18"/>
        <v>14</v>
      </c>
    </row>
    <row r="1174" spans="1:5" x14ac:dyDescent="0.2">
      <c r="A1174">
        <v>3</v>
      </c>
      <c r="B1174" t="s">
        <v>14</v>
      </c>
      <c r="C1174">
        <v>0</v>
      </c>
      <c r="D1174">
        <v>8</v>
      </c>
      <c r="E1174" s="3">
        <f t="shared" si="18"/>
        <v>14</v>
      </c>
    </row>
    <row r="1175" spans="1:5" x14ac:dyDescent="0.2">
      <c r="A1175">
        <v>4</v>
      </c>
      <c r="B1175" t="s">
        <v>485</v>
      </c>
      <c r="C1175">
        <v>0</v>
      </c>
      <c r="D1175">
        <v>4</v>
      </c>
      <c r="E1175" s="3">
        <f t="shared" si="18"/>
        <v>14</v>
      </c>
    </row>
    <row r="1176" spans="1:5" x14ac:dyDescent="0.2">
      <c r="A1176">
        <v>5</v>
      </c>
      <c r="B1176" t="s">
        <v>521</v>
      </c>
      <c r="C1176">
        <v>0</v>
      </c>
      <c r="D1176">
        <v>2</v>
      </c>
      <c r="E1176" s="3">
        <f t="shared" si="18"/>
        <v>14</v>
      </c>
    </row>
    <row r="1177" spans="1:5" x14ac:dyDescent="0.2">
      <c r="A1177">
        <v>6</v>
      </c>
      <c r="B1177" t="s">
        <v>535</v>
      </c>
      <c r="C1177">
        <v>0</v>
      </c>
      <c r="D1177">
        <v>1</v>
      </c>
      <c r="E1177" s="3">
        <f t="shared" si="18"/>
        <v>14</v>
      </c>
    </row>
    <row r="1178" spans="1:5" x14ac:dyDescent="0.2">
      <c r="A1178">
        <v>7</v>
      </c>
      <c r="B1178" s="2" t="s">
        <v>10</v>
      </c>
      <c r="C1178" s="2" t="s">
        <v>10</v>
      </c>
      <c r="D1178" s="2" t="s">
        <v>10</v>
      </c>
      <c r="E1178" s="3">
        <f t="shared" si="18"/>
        <v>14</v>
      </c>
    </row>
    <row r="1179" spans="1:5" x14ac:dyDescent="0.2">
      <c r="A1179">
        <v>8</v>
      </c>
      <c r="B1179" s="2" t="s">
        <v>10</v>
      </c>
      <c r="C1179" s="2" t="s">
        <v>10</v>
      </c>
      <c r="D1179" s="2" t="s">
        <v>10</v>
      </c>
      <c r="E1179" s="3">
        <f t="shared" si="18"/>
        <v>14</v>
      </c>
    </row>
    <row r="1180" spans="1:5" x14ac:dyDescent="0.2">
      <c r="A1180" s="1" t="s">
        <v>30</v>
      </c>
      <c r="E1180" s="3">
        <f t="shared" si="18"/>
        <v>14</v>
      </c>
    </row>
    <row r="1181" spans="1:5" x14ac:dyDescent="0.2">
      <c r="A1181" s="1" t="s">
        <v>1</v>
      </c>
      <c r="B1181" s="1" t="s">
        <v>2</v>
      </c>
      <c r="C1181" s="1" t="s">
        <v>3</v>
      </c>
      <c r="D1181" s="1" t="s">
        <v>4</v>
      </c>
      <c r="E1181" s="3">
        <f t="shared" si="18"/>
        <v>14</v>
      </c>
    </row>
    <row r="1182" spans="1:5" x14ac:dyDescent="0.2">
      <c r="A1182">
        <v>1</v>
      </c>
      <c r="B1182" t="s">
        <v>9</v>
      </c>
      <c r="C1182">
        <v>4</v>
      </c>
      <c r="D1182">
        <v>17</v>
      </c>
      <c r="E1182" s="3">
        <f t="shared" si="18"/>
        <v>14</v>
      </c>
    </row>
    <row r="1183" spans="1:5" x14ac:dyDescent="0.2">
      <c r="A1183">
        <v>2</v>
      </c>
      <c r="B1183" t="s">
        <v>101</v>
      </c>
      <c r="C1183">
        <v>0</v>
      </c>
      <c r="D1183">
        <v>13</v>
      </c>
      <c r="E1183" s="3">
        <f t="shared" si="18"/>
        <v>14</v>
      </c>
    </row>
    <row r="1184" spans="1:5" x14ac:dyDescent="0.2">
      <c r="A1184">
        <v>3</v>
      </c>
      <c r="B1184" t="s">
        <v>493</v>
      </c>
      <c r="C1184">
        <v>2</v>
      </c>
      <c r="D1184">
        <v>9</v>
      </c>
      <c r="E1184" s="3">
        <f t="shared" si="18"/>
        <v>14</v>
      </c>
    </row>
    <row r="1185" spans="1:5" x14ac:dyDescent="0.2">
      <c r="A1185">
        <v>4</v>
      </c>
      <c r="B1185" t="s">
        <v>490</v>
      </c>
      <c r="C1185">
        <v>0</v>
      </c>
      <c r="D1185">
        <v>5</v>
      </c>
      <c r="E1185" s="3">
        <f t="shared" si="18"/>
        <v>14</v>
      </c>
    </row>
    <row r="1186" spans="1:5" x14ac:dyDescent="0.2">
      <c r="A1186">
        <v>5</v>
      </c>
      <c r="B1186" t="s">
        <v>505</v>
      </c>
      <c r="C1186">
        <v>0</v>
      </c>
      <c r="D1186">
        <v>3</v>
      </c>
      <c r="E1186" s="3">
        <f t="shared" si="18"/>
        <v>14</v>
      </c>
    </row>
    <row r="1187" spans="1:5" x14ac:dyDescent="0.2">
      <c r="A1187">
        <v>6</v>
      </c>
      <c r="B1187" t="s">
        <v>530</v>
      </c>
      <c r="C1187">
        <v>0</v>
      </c>
      <c r="D1187">
        <v>2</v>
      </c>
      <c r="E1187" s="3">
        <f t="shared" si="18"/>
        <v>14</v>
      </c>
    </row>
    <row r="1188" spans="1:5" x14ac:dyDescent="0.2">
      <c r="A1188">
        <v>7</v>
      </c>
      <c r="B1188" t="s">
        <v>15</v>
      </c>
      <c r="C1188">
        <v>0</v>
      </c>
      <c r="D1188">
        <v>1</v>
      </c>
      <c r="E1188" s="3">
        <f t="shared" si="18"/>
        <v>14</v>
      </c>
    </row>
    <row r="1189" spans="1:5" x14ac:dyDescent="0.2">
      <c r="A1189">
        <v>8</v>
      </c>
      <c r="B1189" s="2" t="s">
        <v>10</v>
      </c>
      <c r="C1189" s="2" t="s">
        <v>10</v>
      </c>
      <c r="D1189" s="2" t="s">
        <v>10</v>
      </c>
      <c r="E1189" s="3">
        <f t="shared" si="18"/>
        <v>14</v>
      </c>
    </row>
    <row r="1190" spans="1:5" x14ac:dyDescent="0.2">
      <c r="A1190" s="1" t="s">
        <v>37</v>
      </c>
      <c r="E1190" s="3">
        <f t="shared" si="18"/>
        <v>14</v>
      </c>
    </row>
    <row r="1191" spans="1:5" x14ac:dyDescent="0.2">
      <c r="A1191" s="1" t="s">
        <v>1</v>
      </c>
      <c r="B1191" s="1" t="s">
        <v>2</v>
      </c>
      <c r="C1191" s="1" t="s">
        <v>3</v>
      </c>
      <c r="D1191" s="1" t="s">
        <v>4</v>
      </c>
      <c r="E1191" s="3">
        <f t="shared" si="18"/>
        <v>14</v>
      </c>
    </row>
    <row r="1192" spans="1:5" x14ac:dyDescent="0.2">
      <c r="A1192">
        <v>1</v>
      </c>
      <c r="B1192" t="s">
        <v>6</v>
      </c>
      <c r="C1192">
        <v>2</v>
      </c>
      <c r="D1192">
        <v>17</v>
      </c>
      <c r="E1192" s="3">
        <f t="shared" si="18"/>
        <v>14</v>
      </c>
    </row>
    <row r="1193" spans="1:5" x14ac:dyDescent="0.2">
      <c r="A1193">
        <v>2</v>
      </c>
      <c r="B1193" t="s">
        <v>461</v>
      </c>
      <c r="C1193">
        <v>3</v>
      </c>
      <c r="D1193">
        <v>13</v>
      </c>
      <c r="E1193" s="3">
        <f t="shared" si="18"/>
        <v>14</v>
      </c>
    </row>
    <row r="1194" spans="1:5" x14ac:dyDescent="0.2">
      <c r="A1194">
        <v>3</v>
      </c>
      <c r="B1194" t="s">
        <v>42</v>
      </c>
      <c r="C1194">
        <v>0</v>
      </c>
      <c r="D1194">
        <v>9</v>
      </c>
      <c r="E1194" s="3">
        <f t="shared" si="18"/>
        <v>14</v>
      </c>
    </row>
    <row r="1195" spans="1:5" x14ac:dyDescent="0.2">
      <c r="A1195">
        <v>4</v>
      </c>
      <c r="B1195" t="s">
        <v>512</v>
      </c>
      <c r="C1195">
        <v>1</v>
      </c>
      <c r="D1195">
        <v>5</v>
      </c>
      <c r="E1195" s="3">
        <f t="shared" si="18"/>
        <v>14</v>
      </c>
    </row>
    <row r="1196" spans="1:5" x14ac:dyDescent="0.2">
      <c r="A1196">
        <v>5</v>
      </c>
      <c r="B1196" t="s">
        <v>504</v>
      </c>
      <c r="C1196">
        <v>0</v>
      </c>
      <c r="D1196">
        <v>3</v>
      </c>
      <c r="E1196" s="3">
        <f t="shared" si="18"/>
        <v>14</v>
      </c>
    </row>
    <row r="1197" spans="1:5" x14ac:dyDescent="0.2">
      <c r="A1197">
        <v>6</v>
      </c>
      <c r="B1197" t="s">
        <v>503</v>
      </c>
      <c r="C1197">
        <v>0</v>
      </c>
      <c r="D1197">
        <v>2</v>
      </c>
      <c r="E1197" s="3">
        <f t="shared" si="18"/>
        <v>14</v>
      </c>
    </row>
    <row r="1198" spans="1:5" x14ac:dyDescent="0.2">
      <c r="A1198">
        <v>7</v>
      </c>
      <c r="B1198" t="s">
        <v>27</v>
      </c>
      <c r="C1198">
        <v>0</v>
      </c>
      <c r="D1198">
        <v>1</v>
      </c>
      <c r="E1198" s="3">
        <f t="shared" si="18"/>
        <v>14</v>
      </c>
    </row>
    <row r="1199" spans="1:5" x14ac:dyDescent="0.2">
      <c r="A1199">
        <v>8</v>
      </c>
      <c r="B1199" s="2" t="s">
        <v>10</v>
      </c>
      <c r="C1199" s="2" t="s">
        <v>10</v>
      </c>
      <c r="D1199" s="2" t="s">
        <v>10</v>
      </c>
      <c r="E1199" s="3">
        <f t="shared" si="18"/>
        <v>14</v>
      </c>
    </row>
    <row r="1200" spans="1:5" x14ac:dyDescent="0.2">
      <c r="A1200" s="1" t="s">
        <v>44</v>
      </c>
      <c r="E1200" s="3">
        <f t="shared" si="18"/>
        <v>14</v>
      </c>
    </row>
    <row r="1201" spans="1:5" x14ac:dyDescent="0.2">
      <c r="A1201" s="1" t="s">
        <v>1</v>
      </c>
      <c r="B1201" s="1" t="s">
        <v>2</v>
      </c>
      <c r="C1201" s="1" t="s">
        <v>3</v>
      </c>
      <c r="D1201" s="1" t="s">
        <v>4</v>
      </c>
      <c r="E1201" s="3">
        <f t="shared" si="18"/>
        <v>14</v>
      </c>
    </row>
    <row r="1202" spans="1:5" x14ac:dyDescent="0.2">
      <c r="A1202">
        <v>1</v>
      </c>
      <c r="B1202" t="s">
        <v>452</v>
      </c>
      <c r="C1202">
        <v>3</v>
      </c>
      <c r="D1202">
        <v>17</v>
      </c>
      <c r="E1202" s="3">
        <f t="shared" si="18"/>
        <v>14</v>
      </c>
    </row>
    <row r="1203" spans="1:5" x14ac:dyDescent="0.2">
      <c r="A1203">
        <v>2</v>
      </c>
      <c r="B1203" t="s">
        <v>19</v>
      </c>
      <c r="C1203">
        <v>3</v>
      </c>
      <c r="D1203">
        <v>13</v>
      </c>
      <c r="E1203" s="3">
        <f t="shared" si="18"/>
        <v>14</v>
      </c>
    </row>
    <row r="1204" spans="1:5" x14ac:dyDescent="0.2">
      <c r="A1204">
        <v>3</v>
      </c>
      <c r="B1204" t="s">
        <v>35</v>
      </c>
      <c r="C1204">
        <v>0</v>
      </c>
      <c r="D1204">
        <v>9</v>
      </c>
      <c r="E1204" s="3">
        <f t="shared" si="18"/>
        <v>14</v>
      </c>
    </row>
    <row r="1205" spans="1:5" x14ac:dyDescent="0.2">
      <c r="A1205">
        <v>4</v>
      </c>
      <c r="B1205" t="s">
        <v>475</v>
      </c>
      <c r="C1205">
        <v>0</v>
      </c>
      <c r="D1205">
        <v>5</v>
      </c>
      <c r="E1205" s="3">
        <f t="shared" si="18"/>
        <v>14</v>
      </c>
    </row>
    <row r="1206" spans="1:5" x14ac:dyDescent="0.2">
      <c r="A1206">
        <v>5</v>
      </c>
      <c r="B1206" t="s">
        <v>501</v>
      </c>
      <c r="C1206">
        <v>0</v>
      </c>
      <c r="D1206">
        <v>3</v>
      </c>
      <c r="E1206" s="3">
        <f t="shared" si="18"/>
        <v>14</v>
      </c>
    </row>
    <row r="1207" spans="1:5" x14ac:dyDescent="0.2">
      <c r="A1207">
        <v>6</v>
      </c>
      <c r="B1207" t="s">
        <v>76</v>
      </c>
      <c r="C1207">
        <v>0</v>
      </c>
      <c r="D1207">
        <v>2</v>
      </c>
      <c r="E1207" s="3">
        <f t="shared" si="18"/>
        <v>14</v>
      </c>
    </row>
    <row r="1208" spans="1:5" x14ac:dyDescent="0.2">
      <c r="A1208">
        <v>7</v>
      </c>
      <c r="B1208" t="s">
        <v>518</v>
      </c>
      <c r="C1208">
        <v>0</v>
      </c>
      <c r="D1208">
        <v>1</v>
      </c>
      <c r="E1208" s="3">
        <f t="shared" si="18"/>
        <v>14</v>
      </c>
    </row>
    <row r="1209" spans="1:5" x14ac:dyDescent="0.2">
      <c r="A1209">
        <v>8</v>
      </c>
      <c r="B1209" s="2" t="s">
        <v>10</v>
      </c>
      <c r="C1209" s="2" t="s">
        <v>10</v>
      </c>
      <c r="D1209" s="2" t="s">
        <v>10</v>
      </c>
      <c r="E1209" s="3">
        <f t="shared" si="18"/>
        <v>14</v>
      </c>
    </row>
    <row r="1210" spans="1:5" x14ac:dyDescent="0.2">
      <c r="A1210" s="1" t="s">
        <v>0</v>
      </c>
      <c r="E1210" s="3">
        <f t="shared" si="18"/>
        <v>15</v>
      </c>
    </row>
    <row r="1211" spans="1:5" x14ac:dyDescent="0.2">
      <c r="A1211" s="1" t="s">
        <v>1</v>
      </c>
      <c r="B1211" s="1" t="s">
        <v>2</v>
      </c>
      <c r="C1211" s="1" t="s">
        <v>3</v>
      </c>
      <c r="D1211" s="1" t="s">
        <v>4</v>
      </c>
      <c r="E1211" s="3">
        <f t="shared" si="18"/>
        <v>15</v>
      </c>
    </row>
    <row r="1212" spans="1:5" x14ac:dyDescent="0.2">
      <c r="A1212">
        <v>1</v>
      </c>
      <c r="B1212" t="s">
        <v>503</v>
      </c>
      <c r="C1212">
        <v>1</v>
      </c>
      <c r="D1212">
        <v>16</v>
      </c>
      <c r="E1212" s="3">
        <f t="shared" si="18"/>
        <v>15</v>
      </c>
    </row>
    <row r="1213" spans="1:5" x14ac:dyDescent="0.2">
      <c r="A1213">
        <v>2</v>
      </c>
      <c r="B1213" t="s">
        <v>29</v>
      </c>
      <c r="C1213">
        <v>2</v>
      </c>
      <c r="D1213">
        <v>12</v>
      </c>
      <c r="E1213" s="3">
        <f t="shared" si="18"/>
        <v>15</v>
      </c>
    </row>
    <row r="1214" spans="1:5" x14ac:dyDescent="0.2">
      <c r="A1214">
        <v>3</v>
      </c>
      <c r="B1214" t="s">
        <v>32</v>
      </c>
      <c r="C1214">
        <v>1</v>
      </c>
      <c r="D1214">
        <v>8</v>
      </c>
      <c r="E1214" s="3">
        <f t="shared" si="18"/>
        <v>15</v>
      </c>
    </row>
    <row r="1215" spans="1:5" x14ac:dyDescent="0.2">
      <c r="A1215">
        <v>4</v>
      </c>
      <c r="B1215" t="s">
        <v>515</v>
      </c>
      <c r="C1215">
        <v>1</v>
      </c>
      <c r="D1215">
        <v>4</v>
      </c>
      <c r="E1215" s="3">
        <f t="shared" si="18"/>
        <v>15</v>
      </c>
    </row>
    <row r="1216" spans="1:5" x14ac:dyDescent="0.2">
      <c r="A1216">
        <v>5</v>
      </c>
      <c r="B1216" t="s">
        <v>345</v>
      </c>
      <c r="C1216">
        <v>0</v>
      </c>
      <c r="D1216">
        <v>2</v>
      </c>
      <c r="E1216" s="3">
        <f t="shared" si="18"/>
        <v>15</v>
      </c>
    </row>
    <row r="1217" spans="1:5" x14ac:dyDescent="0.2">
      <c r="A1217">
        <v>6</v>
      </c>
      <c r="B1217" t="s">
        <v>33</v>
      </c>
      <c r="C1217">
        <v>0</v>
      </c>
      <c r="D1217">
        <v>1</v>
      </c>
      <c r="E1217" s="3">
        <f t="shared" si="18"/>
        <v>15</v>
      </c>
    </row>
    <row r="1218" spans="1:5" x14ac:dyDescent="0.2">
      <c r="A1218">
        <v>7</v>
      </c>
      <c r="B1218" s="2" t="s">
        <v>10</v>
      </c>
      <c r="C1218" s="2" t="s">
        <v>10</v>
      </c>
      <c r="D1218" s="2" t="s">
        <v>10</v>
      </c>
      <c r="E1218" s="3">
        <f t="shared" si="18"/>
        <v>15</v>
      </c>
    </row>
    <row r="1219" spans="1:5" x14ac:dyDescent="0.2">
      <c r="A1219">
        <v>8</v>
      </c>
      <c r="B1219" s="2" t="s">
        <v>10</v>
      </c>
      <c r="C1219" s="2" t="s">
        <v>10</v>
      </c>
      <c r="D1219" s="2" t="s">
        <v>10</v>
      </c>
      <c r="E1219" s="3">
        <f t="shared" si="18"/>
        <v>15</v>
      </c>
    </row>
    <row r="1220" spans="1:5" x14ac:dyDescent="0.2">
      <c r="A1220" s="1" t="s">
        <v>11</v>
      </c>
      <c r="E1220" s="3">
        <f t="shared" ref="E1220:E1283" si="19">IF(A1220=$A$1,E1219+1,E1219)</f>
        <v>15</v>
      </c>
    </row>
    <row r="1221" spans="1:5" x14ac:dyDescent="0.2">
      <c r="A1221" s="1" t="s">
        <v>1</v>
      </c>
      <c r="B1221" s="1" t="s">
        <v>2</v>
      </c>
      <c r="C1221" s="1" t="s">
        <v>3</v>
      </c>
      <c r="D1221" s="1" t="s">
        <v>4</v>
      </c>
      <c r="E1221" s="3">
        <f t="shared" si="19"/>
        <v>15</v>
      </c>
    </row>
    <row r="1222" spans="1:5" x14ac:dyDescent="0.2">
      <c r="A1222">
        <v>1</v>
      </c>
      <c r="B1222" t="s">
        <v>475</v>
      </c>
      <c r="C1222">
        <v>3</v>
      </c>
      <c r="D1222">
        <v>16</v>
      </c>
      <c r="E1222" s="3">
        <f t="shared" si="19"/>
        <v>15</v>
      </c>
    </row>
    <row r="1223" spans="1:5" x14ac:dyDescent="0.2">
      <c r="A1223">
        <v>2</v>
      </c>
      <c r="B1223" t="s">
        <v>69</v>
      </c>
      <c r="C1223">
        <v>2</v>
      </c>
      <c r="D1223">
        <v>12</v>
      </c>
      <c r="E1223" s="3">
        <f t="shared" si="19"/>
        <v>15</v>
      </c>
    </row>
    <row r="1224" spans="1:5" x14ac:dyDescent="0.2">
      <c r="A1224">
        <v>3</v>
      </c>
      <c r="B1224" t="s">
        <v>508</v>
      </c>
      <c r="C1224">
        <v>0</v>
      </c>
      <c r="D1224">
        <v>8</v>
      </c>
      <c r="E1224" s="3">
        <f t="shared" si="19"/>
        <v>15</v>
      </c>
    </row>
    <row r="1225" spans="1:5" x14ac:dyDescent="0.2">
      <c r="A1225">
        <v>4</v>
      </c>
      <c r="B1225" t="s">
        <v>479</v>
      </c>
      <c r="C1225">
        <v>0</v>
      </c>
      <c r="D1225">
        <v>4</v>
      </c>
      <c r="E1225" s="3">
        <f t="shared" si="19"/>
        <v>15</v>
      </c>
    </row>
    <row r="1226" spans="1:5" x14ac:dyDescent="0.2">
      <c r="A1226">
        <v>5</v>
      </c>
      <c r="B1226" t="s">
        <v>519</v>
      </c>
      <c r="C1226">
        <v>0</v>
      </c>
      <c r="D1226">
        <v>2</v>
      </c>
      <c r="E1226" s="3">
        <f t="shared" si="19"/>
        <v>15</v>
      </c>
    </row>
    <row r="1227" spans="1:5" x14ac:dyDescent="0.2">
      <c r="A1227">
        <v>6</v>
      </c>
      <c r="B1227" t="s">
        <v>485</v>
      </c>
      <c r="C1227">
        <v>0</v>
      </c>
      <c r="D1227">
        <v>1</v>
      </c>
      <c r="E1227" s="3">
        <f t="shared" si="19"/>
        <v>15</v>
      </c>
    </row>
    <row r="1228" spans="1:5" x14ac:dyDescent="0.2">
      <c r="A1228">
        <v>7</v>
      </c>
      <c r="B1228" s="2" t="s">
        <v>10</v>
      </c>
      <c r="C1228" s="2" t="s">
        <v>10</v>
      </c>
      <c r="D1228" s="2" t="s">
        <v>10</v>
      </c>
      <c r="E1228" s="3">
        <f t="shared" si="19"/>
        <v>15</v>
      </c>
    </row>
    <row r="1229" spans="1:5" x14ac:dyDescent="0.2">
      <c r="A1229">
        <v>8</v>
      </c>
      <c r="B1229" s="2" t="s">
        <v>10</v>
      </c>
      <c r="C1229" s="2" t="s">
        <v>10</v>
      </c>
      <c r="D1229" s="2" t="s">
        <v>10</v>
      </c>
      <c r="E1229" s="3">
        <f t="shared" si="19"/>
        <v>15</v>
      </c>
    </row>
    <row r="1230" spans="1:5" x14ac:dyDescent="0.2">
      <c r="A1230" s="1" t="s">
        <v>17</v>
      </c>
      <c r="E1230" s="3">
        <f t="shared" si="19"/>
        <v>15</v>
      </c>
    </row>
    <row r="1231" spans="1:5" x14ac:dyDescent="0.2">
      <c r="A1231" s="1" t="s">
        <v>1</v>
      </c>
      <c r="B1231" s="1" t="s">
        <v>2</v>
      </c>
      <c r="C1231" s="1" t="s">
        <v>3</v>
      </c>
      <c r="D1231" s="1" t="s">
        <v>4</v>
      </c>
      <c r="E1231" s="3">
        <f t="shared" si="19"/>
        <v>15</v>
      </c>
    </row>
    <row r="1232" spans="1:5" x14ac:dyDescent="0.2">
      <c r="A1232">
        <v>1</v>
      </c>
      <c r="B1232" t="s">
        <v>533</v>
      </c>
      <c r="C1232">
        <v>3</v>
      </c>
      <c r="D1232">
        <v>17</v>
      </c>
      <c r="E1232" s="3">
        <f t="shared" si="19"/>
        <v>15</v>
      </c>
    </row>
    <row r="1233" spans="1:5" x14ac:dyDescent="0.2">
      <c r="A1233">
        <v>2</v>
      </c>
      <c r="B1233" t="s">
        <v>55</v>
      </c>
      <c r="C1233">
        <v>0</v>
      </c>
      <c r="D1233">
        <v>13</v>
      </c>
      <c r="E1233" s="3">
        <f t="shared" si="19"/>
        <v>15</v>
      </c>
    </row>
    <row r="1234" spans="1:5" x14ac:dyDescent="0.2">
      <c r="A1234">
        <v>3</v>
      </c>
      <c r="B1234" t="s">
        <v>19</v>
      </c>
      <c r="C1234">
        <v>1</v>
      </c>
      <c r="D1234">
        <v>9</v>
      </c>
      <c r="E1234" s="3">
        <f t="shared" si="19"/>
        <v>15</v>
      </c>
    </row>
    <row r="1235" spans="1:5" x14ac:dyDescent="0.2">
      <c r="A1235">
        <v>4</v>
      </c>
      <c r="B1235" t="s">
        <v>27</v>
      </c>
      <c r="C1235">
        <v>1</v>
      </c>
      <c r="D1235">
        <v>5</v>
      </c>
      <c r="E1235" s="3">
        <f t="shared" si="19"/>
        <v>15</v>
      </c>
    </row>
    <row r="1236" spans="1:5" x14ac:dyDescent="0.2">
      <c r="A1236">
        <v>5</v>
      </c>
      <c r="B1236" t="s">
        <v>452</v>
      </c>
      <c r="C1236">
        <v>1</v>
      </c>
      <c r="D1236">
        <v>3</v>
      </c>
      <c r="E1236" s="3">
        <f t="shared" si="19"/>
        <v>15</v>
      </c>
    </row>
    <row r="1237" spans="1:5" x14ac:dyDescent="0.2">
      <c r="A1237">
        <v>6</v>
      </c>
      <c r="B1237" t="s">
        <v>512</v>
      </c>
      <c r="C1237">
        <v>0</v>
      </c>
      <c r="D1237">
        <v>2</v>
      </c>
      <c r="E1237" s="3">
        <f t="shared" si="19"/>
        <v>15</v>
      </c>
    </row>
    <row r="1238" spans="1:5" x14ac:dyDescent="0.2">
      <c r="A1238">
        <v>7</v>
      </c>
      <c r="B1238" t="s">
        <v>35</v>
      </c>
      <c r="C1238">
        <v>0</v>
      </c>
      <c r="D1238">
        <v>1</v>
      </c>
      <c r="E1238" s="3">
        <f t="shared" si="19"/>
        <v>15</v>
      </c>
    </row>
    <row r="1239" spans="1:5" x14ac:dyDescent="0.2">
      <c r="A1239">
        <v>8</v>
      </c>
      <c r="B1239" s="2" t="s">
        <v>10</v>
      </c>
      <c r="C1239" s="2" t="s">
        <v>10</v>
      </c>
      <c r="D1239" s="2" t="s">
        <v>10</v>
      </c>
      <c r="E1239" s="3">
        <f t="shared" si="19"/>
        <v>15</v>
      </c>
    </row>
    <row r="1240" spans="1:5" x14ac:dyDescent="0.2">
      <c r="A1240" s="1" t="s">
        <v>24</v>
      </c>
      <c r="E1240" s="3">
        <f t="shared" si="19"/>
        <v>15</v>
      </c>
    </row>
    <row r="1241" spans="1:5" x14ac:dyDescent="0.2">
      <c r="A1241" s="1" t="s">
        <v>1</v>
      </c>
      <c r="B1241" s="1" t="s">
        <v>2</v>
      </c>
      <c r="C1241" s="1" t="s">
        <v>3</v>
      </c>
      <c r="D1241" s="1" t="s">
        <v>4</v>
      </c>
      <c r="E1241" s="3">
        <f t="shared" si="19"/>
        <v>15</v>
      </c>
    </row>
    <row r="1242" spans="1:5" x14ac:dyDescent="0.2">
      <c r="A1242">
        <v>1</v>
      </c>
      <c r="B1242" t="s">
        <v>46</v>
      </c>
      <c r="C1242">
        <v>2</v>
      </c>
      <c r="D1242">
        <v>17</v>
      </c>
      <c r="E1242" s="3">
        <f t="shared" si="19"/>
        <v>15</v>
      </c>
    </row>
    <row r="1243" spans="1:5" x14ac:dyDescent="0.2">
      <c r="A1243">
        <v>2</v>
      </c>
      <c r="B1243" t="s">
        <v>500</v>
      </c>
      <c r="C1243">
        <v>1</v>
      </c>
      <c r="D1243">
        <v>13</v>
      </c>
      <c r="E1243" s="3">
        <f t="shared" si="19"/>
        <v>15</v>
      </c>
    </row>
    <row r="1244" spans="1:5" x14ac:dyDescent="0.2">
      <c r="A1244">
        <v>3</v>
      </c>
      <c r="B1244" t="s">
        <v>280</v>
      </c>
      <c r="C1244">
        <v>1</v>
      </c>
      <c r="D1244">
        <v>9</v>
      </c>
      <c r="E1244" s="3">
        <f t="shared" si="19"/>
        <v>15</v>
      </c>
    </row>
    <row r="1245" spans="1:5" x14ac:dyDescent="0.2">
      <c r="A1245">
        <v>4</v>
      </c>
      <c r="B1245" t="s">
        <v>518</v>
      </c>
      <c r="C1245">
        <v>2</v>
      </c>
      <c r="D1245">
        <v>5</v>
      </c>
      <c r="E1245" s="3">
        <f t="shared" si="19"/>
        <v>15</v>
      </c>
    </row>
    <row r="1246" spans="1:5" x14ac:dyDescent="0.2">
      <c r="A1246">
        <v>5</v>
      </c>
      <c r="B1246" t="s">
        <v>73</v>
      </c>
      <c r="C1246">
        <v>0</v>
      </c>
      <c r="D1246">
        <v>3</v>
      </c>
      <c r="E1246" s="3">
        <f t="shared" si="19"/>
        <v>15</v>
      </c>
    </row>
    <row r="1247" spans="1:5" x14ac:dyDescent="0.2">
      <c r="A1247">
        <v>6</v>
      </c>
      <c r="B1247" t="s">
        <v>526</v>
      </c>
      <c r="C1247">
        <v>0</v>
      </c>
      <c r="D1247">
        <v>2</v>
      </c>
      <c r="E1247" s="3">
        <f t="shared" si="19"/>
        <v>15</v>
      </c>
    </row>
    <row r="1248" spans="1:5" x14ac:dyDescent="0.2">
      <c r="A1248">
        <v>7</v>
      </c>
      <c r="B1248" t="s">
        <v>507</v>
      </c>
      <c r="C1248">
        <v>0</v>
      </c>
      <c r="D1248">
        <v>1</v>
      </c>
      <c r="E1248" s="3">
        <f t="shared" si="19"/>
        <v>15</v>
      </c>
    </row>
    <row r="1249" spans="1:5" x14ac:dyDescent="0.2">
      <c r="A1249">
        <v>8</v>
      </c>
      <c r="B1249" s="2" t="s">
        <v>10</v>
      </c>
      <c r="C1249" s="2" t="s">
        <v>10</v>
      </c>
      <c r="D1249" s="2" t="s">
        <v>10</v>
      </c>
      <c r="E1249" s="3">
        <f t="shared" si="19"/>
        <v>15</v>
      </c>
    </row>
    <row r="1250" spans="1:5" x14ac:dyDescent="0.2">
      <c r="A1250" s="1" t="s">
        <v>30</v>
      </c>
      <c r="E1250" s="3">
        <f t="shared" si="19"/>
        <v>15</v>
      </c>
    </row>
    <row r="1251" spans="1:5" x14ac:dyDescent="0.2">
      <c r="A1251" s="1" t="s">
        <v>1</v>
      </c>
      <c r="B1251" s="1" t="s">
        <v>2</v>
      </c>
      <c r="C1251" s="1" t="s">
        <v>3</v>
      </c>
      <c r="D1251" s="1" t="s">
        <v>4</v>
      </c>
      <c r="E1251" s="3">
        <f t="shared" si="19"/>
        <v>15</v>
      </c>
    </row>
    <row r="1252" spans="1:5" x14ac:dyDescent="0.2">
      <c r="A1252">
        <v>1</v>
      </c>
      <c r="B1252" t="s">
        <v>461</v>
      </c>
      <c r="C1252">
        <v>3</v>
      </c>
      <c r="D1252">
        <v>16</v>
      </c>
      <c r="E1252" s="3">
        <f t="shared" si="19"/>
        <v>15</v>
      </c>
    </row>
    <row r="1253" spans="1:5" x14ac:dyDescent="0.2">
      <c r="A1253">
        <v>2</v>
      </c>
      <c r="B1253" t="s">
        <v>493</v>
      </c>
      <c r="C1253">
        <v>2</v>
      </c>
      <c r="D1253">
        <v>12</v>
      </c>
      <c r="E1253" s="3">
        <f t="shared" si="19"/>
        <v>15</v>
      </c>
    </row>
    <row r="1254" spans="1:5" x14ac:dyDescent="0.2">
      <c r="A1254">
        <v>3</v>
      </c>
      <c r="B1254" t="s">
        <v>534</v>
      </c>
      <c r="C1254">
        <v>0</v>
      </c>
      <c r="D1254">
        <v>8</v>
      </c>
      <c r="E1254" s="3">
        <f t="shared" si="19"/>
        <v>15</v>
      </c>
    </row>
    <row r="1255" spans="1:5" x14ac:dyDescent="0.2">
      <c r="A1255">
        <v>4</v>
      </c>
      <c r="B1255" t="s">
        <v>6</v>
      </c>
      <c r="C1255">
        <v>0</v>
      </c>
      <c r="D1255">
        <v>4</v>
      </c>
      <c r="E1255" s="3">
        <f t="shared" si="19"/>
        <v>15</v>
      </c>
    </row>
    <row r="1256" spans="1:5" x14ac:dyDescent="0.2">
      <c r="A1256">
        <v>5</v>
      </c>
      <c r="B1256" t="s">
        <v>504</v>
      </c>
      <c r="C1256">
        <v>0</v>
      </c>
      <c r="D1256">
        <v>2</v>
      </c>
      <c r="E1256" s="3">
        <f t="shared" si="19"/>
        <v>15</v>
      </c>
    </row>
    <row r="1257" spans="1:5" x14ac:dyDescent="0.2">
      <c r="A1257">
        <v>6</v>
      </c>
      <c r="B1257" t="s">
        <v>506</v>
      </c>
      <c r="C1257">
        <v>0</v>
      </c>
      <c r="D1257">
        <v>1</v>
      </c>
      <c r="E1257" s="3">
        <f t="shared" si="19"/>
        <v>15</v>
      </c>
    </row>
    <row r="1258" spans="1:5" x14ac:dyDescent="0.2">
      <c r="A1258">
        <v>7</v>
      </c>
      <c r="B1258" s="2" t="s">
        <v>10</v>
      </c>
      <c r="C1258" s="2" t="s">
        <v>10</v>
      </c>
      <c r="D1258" s="2" t="s">
        <v>10</v>
      </c>
      <c r="E1258" s="3">
        <f t="shared" si="19"/>
        <v>15</v>
      </c>
    </row>
    <row r="1259" spans="1:5" x14ac:dyDescent="0.2">
      <c r="A1259">
        <v>8</v>
      </c>
      <c r="B1259" s="2" t="s">
        <v>10</v>
      </c>
      <c r="C1259" s="2" t="s">
        <v>10</v>
      </c>
      <c r="D1259" s="2" t="s">
        <v>10</v>
      </c>
      <c r="E1259" s="3">
        <f t="shared" si="19"/>
        <v>15</v>
      </c>
    </row>
    <row r="1260" spans="1:5" x14ac:dyDescent="0.2">
      <c r="A1260" s="1" t="s">
        <v>37</v>
      </c>
      <c r="E1260" s="3">
        <f t="shared" si="19"/>
        <v>15</v>
      </c>
    </row>
    <row r="1261" spans="1:5" x14ac:dyDescent="0.2">
      <c r="A1261" s="1" t="s">
        <v>1</v>
      </c>
      <c r="B1261" s="1" t="s">
        <v>2</v>
      </c>
      <c r="C1261" s="1" t="s">
        <v>3</v>
      </c>
      <c r="D1261" s="1" t="s">
        <v>4</v>
      </c>
      <c r="E1261" s="3">
        <f t="shared" si="19"/>
        <v>15</v>
      </c>
    </row>
    <row r="1262" spans="1:5" x14ac:dyDescent="0.2">
      <c r="A1262">
        <v>1</v>
      </c>
      <c r="B1262" t="s">
        <v>87</v>
      </c>
      <c r="C1262">
        <v>4</v>
      </c>
      <c r="D1262">
        <v>16</v>
      </c>
      <c r="E1262" s="3">
        <f t="shared" si="19"/>
        <v>15</v>
      </c>
    </row>
    <row r="1263" spans="1:5" x14ac:dyDescent="0.2">
      <c r="A1263">
        <v>2</v>
      </c>
      <c r="B1263" t="s">
        <v>516</v>
      </c>
      <c r="C1263">
        <v>1</v>
      </c>
      <c r="D1263">
        <v>12</v>
      </c>
      <c r="E1263" s="3">
        <f t="shared" si="19"/>
        <v>15</v>
      </c>
    </row>
    <row r="1264" spans="1:5" x14ac:dyDescent="0.2">
      <c r="A1264">
        <v>3</v>
      </c>
      <c r="B1264" t="s">
        <v>490</v>
      </c>
      <c r="C1264">
        <v>0</v>
      </c>
      <c r="D1264">
        <v>8</v>
      </c>
      <c r="E1264" s="3">
        <f t="shared" si="19"/>
        <v>15</v>
      </c>
    </row>
    <row r="1265" spans="1:5" x14ac:dyDescent="0.2">
      <c r="A1265">
        <v>4</v>
      </c>
      <c r="B1265" t="s">
        <v>74</v>
      </c>
      <c r="C1265">
        <v>0</v>
      </c>
      <c r="D1265">
        <v>4</v>
      </c>
      <c r="E1265" s="3">
        <f t="shared" si="19"/>
        <v>15</v>
      </c>
    </row>
    <row r="1266" spans="1:5" x14ac:dyDescent="0.2">
      <c r="A1266">
        <v>5</v>
      </c>
      <c r="B1266" t="s">
        <v>15</v>
      </c>
      <c r="C1266">
        <v>0</v>
      </c>
      <c r="D1266">
        <v>2</v>
      </c>
      <c r="E1266" s="3">
        <f t="shared" si="19"/>
        <v>15</v>
      </c>
    </row>
    <row r="1267" spans="1:5" x14ac:dyDescent="0.2">
      <c r="A1267">
        <v>6</v>
      </c>
      <c r="B1267" t="s">
        <v>525</v>
      </c>
      <c r="C1267">
        <v>0</v>
      </c>
      <c r="D1267">
        <v>1</v>
      </c>
      <c r="E1267" s="3">
        <f t="shared" si="19"/>
        <v>15</v>
      </c>
    </row>
    <row r="1268" spans="1:5" x14ac:dyDescent="0.2">
      <c r="A1268">
        <v>7</v>
      </c>
      <c r="B1268" s="2" t="s">
        <v>10</v>
      </c>
      <c r="C1268" s="2" t="s">
        <v>10</v>
      </c>
      <c r="D1268" s="2" t="s">
        <v>10</v>
      </c>
      <c r="E1268" s="3">
        <f t="shared" si="19"/>
        <v>15</v>
      </c>
    </row>
    <row r="1269" spans="1:5" x14ac:dyDescent="0.2">
      <c r="A1269">
        <v>8</v>
      </c>
      <c r="B1269" s="2" t="s">
        <v>10</v>
      </c>
      <c r="C1269" s="2" t="s">
        <v>10</v>
      </c>
      <c r="D1269" s="2" t="s">
        <v>10</v>
      </c>
      <c r="E1269" s="3">
        <f t="shared" si="19"/>
        <v>15</v>
      </c>
    </row>
    <row r="1270" spans="1:5" x14ac:dyDescent="0.2">
      <c r="A1270" s="1" t="s">
        <v>44</v>
      </c>
      <c r="E1270" s="3">
        <f t="shared" si="19"/>
        <v>15</v>
      </c>
    </row>
    <row r="1271" spans="1:5" x14ac:dyDescent="0.2">
      <c r="A1271" s="1" t="s">
        <v>1</v>
      </c>
      <c r="B1271" s="1" t="s">
        <v>2</v>
      </c>
      <c r="C1271" s="1" t="s">
        <v>3</v>
      </c>
      <c r="D1271" s="1" t="s">
        <v>4</v>
      </c>
      <c r="E1271" s="3">
        <f t="shared" si="19"/>
        <v>15</v>
      </c>
    </row>
    <row r="1272" spans="1:5" x14ac:dyDescent="0.2">
      <c r="A1272">
        <v>1</v>
      </c>
      <c r="B1272" t="s">
        <v>42</v>
      </c>
      <c r="C1272">
        <v>0</v>
      </c>
      <c r="D1272">
        <v>17</v>
      </c>
      <c r="E1272" s="3">
        <f t="shared" si="19"/>
        <v>15</v>
      </c>
    </row>
    <row r="1273" spans="1:5" x14ac:dyDescent="0.2">
      <c r="A1273">
        <v>2</v>
      </c>
      <c r="B1273" t="s">
        <v>25</v>
      </c>
      <c r="C1273">
        <v>3</v>
      </c>
      <c r="D1273">
        <v>13</v>
      </c>
      <c r="E1273" s="3">
        <f t="shared" si="19"/>
        <v>15</v>
      </c>
    </row>
    <row r="1274" spans="1:5" x14ac:dyDescent="0.2">
      <c r="A1274">
        <v>3</v>
      </c>
      <c r="B1274" t="s">
        <v>505</v>
      </c>
      <c r="C1274">
        <v>2</v>
      </c>
      <c r="D1274">
        <v>9</v>
      </c>
      <c r="E1274" s="3">
        <f t="shared" si="19"/>
        <v>15</v>
      </c>
    </row>
    <row r="1275" spans="1:5" x14ac:dyDescent="0.2">
      <c r="A1275">
        <v>4</v>
      </c>
      <c r="B1275" t="s">
        <v>75</v>
      </c>
      <c r="C1275">
        <v>1</v>
      </c>
      <c r="D1275">
        <v>5</v>
      </c>
      <c r="E1275" s="3">
        <f t="shared" si="19"/>
        <v>15</v>
      </c>
    </row>
    <row r="1276" spans="1:5" x14ac:dyDescent="0.2">
      <c r="A1276">
        <v>5</v>
      </c>
      <c r="B1276" t="s">
        <v>61</v>
      </c>
      <c r="C1276">
        <v>0</v>
      </c>
      <c r="D1276">
        <v>3</v>
      </c>
      <c r="E1276" s="3">
        <f t="shared" si="19"/>
        <v>15</v>
      </c>
    </row>
    <row r="1277" spans="1:5" x14ac:dyDescent="0.2">
      <c r="A1277">
        <v>6</v>
      </c>
      <c r="B1277" t="s">
        <v>454</v>
      </c>
      <c r="C1277">
        <v>0</v>
      </c>
      <c r="D1277">
        <v>2</v>
      </c>
      <c r="E1277" s="3">
        <f t="shared" si="19"/>
        <v>15</v>
      </c>
    </row>
    <row r="1278" spans="1:5" x14ac:dyDescent="0.2">
      <c r="A1278">
        <v>7</v>
      </c>
      <c r="B1278" t="s">
        <v>9</v>
      </c>
      <c r="C1278">
        <v>0</v>
      </c>
      <c r="D1278">
        <v>1</v>
      </c>
      <c r="E1278" s="3">
        <f t="shared" si="19"/>
        <v>15</v>
      </c>
    </row>
    <row r="1279" spans="1:5" x14ac:dyDescent="0.2">
      <c r="A1279">
        <v>8</v>
      </c>
      <c r="B1279" s="2" t="s">
        <v>10</v>
      </c>
      <c r="C1279" s="2" t="s">
        <v>10</v>
      </c>
      <c r="D1279" s="2" t="s">
        <v>10</v>
      </c>
      <c r="E1279" s="3">
        <f t="shared" si="19"/>
        <v>15</v>
      </c>
    </row>
    <row r="1280" spans="1:5" x14ac:dyDescent="0.2">
      <c r="A1280" s="1" t="s">
        <v>51</v>
      </c>
      <c r="E1280" s="3">
        <f t="shared" si="19"/>
        <v>15</v>
      </c>
    </row>
    <row r="1281" spans="1:5" x14ac:dyDescent="0.2">
      <c r="A1281" s="1" t="s">
        <v>1</v>
      </c>
      <c r="B1281" s="1" t="s">
        <v>2</v>
      </c>
      <c r="C1281" s="1" t="s">
        <v>3</v>
      </c>
      <c r="D1281" s="1" t="s">
        <v>4</v>
      </c>
      <c r="E1281" s="3">
        <f t="shared" si="19"/>
        <v>15</v>
      </c>
    </row>
    <row r="1282" spans="1:5" x14ac:dyDescent="0.2">
      <c r="A1282">
        <v>1</v>
      </c>
      <c r="B1282" t="s">
        <v>66</v>
      </c>
      <c r="C1282">
        <v>2</v>
      </c>
      <c r="D1282">
        <v>16</v>
      </c>
      <c r="E1282" s="3">
        <f t="shared" si="19"/>
        <v>15</v>
      </c>
    </row>
    <row r="1283" spans="1:5" x14ac:dyDescent="0.2">
      <c r="A1283">
        <v>2</v>
      </c>
      <c r="B1283" t="s">
        <v>76</v>
      </c>
      <c r="C1283">
        <v>3</v>
      </c>
      <c r="D1283">
        <v>12</v>
      </c>
      <c r="E1283" s="3">
        <f t="shared" si="19"/>
        <v>15</v>
      </c>
    </row>
    <row r="1284" spans="1:5" x14ac:dyDescent="0.2">
      <c r="A1284">
        <v>3</v>
      </c>
      <c r="B1284" t="s">
        <v>21</v>
      </c>
      <c r="C1284">
        <v>0</v>
      </c>
      <c r="D1284">
        <v>8</v>
      </c>
      <c r="E1284" s="3">
        <f t="shared" ref="E1284:E1347" si="20">IF(A1284=$A$1,E1283+1,E1283)</f>
        <v>15</v>
      </c>
    </row>
    <row r="1285" spans="1:5" x14ac:dyDescent="0.2">
      <c r="A1285">
        <v>4</v>
      </c>
      <c r="B1285" t="s">
        <v>509</v>
      </c>
      <c r="C1285">
        <v>0</v>
      </c>
      <c r="D1285">
        <v>4</v>
      </c>
      <c r="E1285" s="3">
        <f t="shared" si="20"/>
        <v>15</v>
      </c>
    </row>
    <row r="1286" spans="1:5" x14ac:dyDescent="0.2">
      <c r="A1286">
        <v>5</v>
      </c>
      <c r="B1286" t="s">
        <v>530</v>
      </c>
      <c r="C1286">
        <v>0</v>
      </c>
      <c r="D1286">
        <v>2</v>
      </c>
      <c r="E1286" s="3">
        <f t="shared" si="20"/>
        <v>15</v>
      </c>
    </row>
    <row r="1287" spans="1:5" x14ac:dyDescent="0.2">
      <c r="A1287">
        <v>6</v>
      </c>
      <c r="B1287" t="s">
        <v>101</v>
      </c>
      <c r="C1287">
        <v>0</v>
      </c>
      <c r="D1287">
        <v>1</v>
      </c>
      <c r="E1287" s="3">
        <f t="shared" si="20"/>
        <v>15</v>
      </c>
    </row>
    <row r="1288" spans="1:5" x14ac:dyDescent="0.2">
      <c r="A1288">
        <v>7</v>
      </c>
      <c r="B1288" s="2" t="s">
        <v>10</v>
      </c>
      <c r="C1288" s="2" t="s">
        <v>10</v>
      </c>
      <c r="D1288" s="2" t="s">
        <v>10</v>
      </c>
      <c r="E1288" s="3">
        <f t="shared" si="20"/>
        <v>15</v>
      </c>
    </row>
    <row r="1289" spans="1:5" x14ac:dyDescent="0.2">
      <c r="A1289">
        <v>8</v>
      </c>
      <c r="B1289" s="2" t="s">
        <v>10</v>
      </c>
      <c r="C1289" s="2" t="s">
        <v>10</v>
      </c>
      <c r="D1289" s="2" t="s">
        <v>10</v>
      </c>
      <c r="E1289" s="3">
        <f t="shared" si="20"/>
        <v>15</v>
      </c>
    </row>
    <row r="1290" spans="1:5" x14ac:dyDescent="0.2">
      <c r="A1290" s="1" t="s">
        <v>0</v>
      </c>
      <c r="E1290" s="3">
        <f t="shared" si="20"/>
        <v>16</v>
      </c>
    </row>
    <row r="1291" spans="1:5" x14ac:dyDescent="0.2">
      <c r="A1291" s="1" t="s">
        <v>1</v>
      </c>
      <c r="B1291" s="1" t="s">
        <v>2</v>
      </c>
      <c r="C1291" s="1" t="s">
        <v>3</v>
      </c>
      <c r="D1291" s="1" t="s">
        <v>4</v>
      </c>
      <c r="E1291" s="3">
        <f t="shared" si="20"/>
        <v>16</v>
      </c>
    </row>
    <row r="1292" spans="1:5" x14ac:dyDescent="0.2">
      <c r="A1292">
        <v>1</v>
      </c>
      <c r="B1292" t="s">
        <v>484</v>
      </c>
      <c r="C1292">
        <v>2</v>
      </c>
      <c r="D1292">
        <v>17</v>
      </c>
      <c r="E1292" s="3">
        <f t="shared" si="20"/>
        <v>16</v>
      </c>
    </row>
    <row r="1293" spans="1:5" x14ac:dyDescent="0.2">
      <c r="A1293">
        <v>2</v>
      </c>
      <c r="B1293" t="s">
        <v>463</v>
      </c>
      <c r="C1293">
        <v>3</v>
      </c>
      <c r="D1293">
        <v>13</v>
      </c>
      <c r="E1293" s="3">
        <f t="shared" si="20"/>
        <v>16</v>
      </c>
    </row>
    <row r="1294" spans="1:5" x14ac:dyDescent="0.2">
      <c r="A1294">
        <v>3</v>
      </c>
      <c r="B1294" t="s">
        <v>490</v>
      </c>
      <c r="C1294">
        <v>0</v>
      </c>
      <c r="D1294">
        <v>9</v>
      </c>
      <c r="E1294" s="3">
        <f t="shared" si="20"/>
        <v>16</v>
      </c>
    </row>
    <row r="1295" spans="1:5" x14ac:dyDescent="0.2">
      <c r="A1295">
        <v>4</v>
      </c>
      <c r="B1295" t="s">
        <v>73</v>
      </c>
      <c r="C1295">
        <v>1</v>
      </c>
      <c r="D1295">
        <v>5</v>
      </c>
      <c r="E1295" s="3">
        <f t="shared" si="20"/>
        <v>16</v>
      </c>
    </row>
    <row r="1296" spans="1:5" x14ac:dyDescent="0.2">
      <c r="A1296">
        <v>5</v>
      </c>
      <c r="B1296" t="s">
        <v>504</v>
      </c>
      <c r="C1296">
        <v>0</v>
      </c>
      <c r="D1296">
        <v>3</v>
      </c>
      <c r="E1296" s="3">
        <f t="shared" si="20"/>
        <v>16</v>
      </c>
    </row>
    <row r="1297" spans="1:5" x14ac:dyDescent="0.2">
      <c r="A1297">
        <v>6</v>
      </c>
      <c r="B1297" t="s">
        <v>9</v>
      </c>
      <c r="C1297">
        <v>0</v>
      </c>
      <c r="D1297">
        <v>2</v>
      </c>
      <c r="E1297" s="3">
        <f t="shared" si="20"/>
        <v>16</v>
      </c>
    </row>
    <row r="1298" spans="1:5" x14ac:dyDescent="0.2">
      <c r="A1298">
        <v>7</v>
      </c>
      <c r="B1298" t="s">
        <v>33</v>
      </c>
      <c r="C1298">
        <v>0</v>
      </c>
      <c r="D1298">
        <v>1</v>
      </c>
      <c r="E1298" s="3">
        <f t="shared" si="20"/>
        <v>16</v>
      </c>
    </row>
    <row r="1299" spans="1:5" x14ac:dyDescent="0.2">
      <c r="A1299">
        <v>8</v>
      </c>
      <c r="B1299" s="2" t="s">
        <v>10</v>
      </c>
      <c r="C1299" s="2" t="s">
        <v>10</v>
      </c>
      <c r="D1299" s="2" t="s">
        <v>10</v>
      </c>
      <c r="E1299" s="3">
        <f t="shared" si="20"/>
        <v>16</v>
      </c>
    </row>
    <row r="1300" spans="1:5" x14ac:dyDescent="0.2">
      <c r="A1300" s="1" t="s">
        <v>11</v>
      </c>
      <c r="E1300" s="3">
        <f t="shared" si="20"/>
        <v>16</v>
      </c>
    </row>
    <row r="1301" spans="1:5" x14ac:dyDescent="0.2">
      <c r="A1301" s="1" t="s">
        <v>1</v>
      </c>
      <c r="B1301" s="1" t="s">
        <v>2</v>
      </c>
      <c r="C1301" s="1" t="s">
        <v>3</v>
      </c>
      <c r="D1301" s="1" t="s">
        <v>4</v>
      </c>
      <c r="E1301" s="3">
        <f t="shared" si="20"/>
        <v>16</v>
      </c>
    </row>
    <row r="1302" spans="1:5" x14ac:dyDescent="0.2">
      <c r="A1302">
        <v>1</v>
      </c>
      <c r="B1302" t="s">
        <v>461</v>
      </c>
      <c r="C1302">
        <v>2</v>
      </c>
      <c r="D1302">
        <v>17</v>
      </c>
      <c r="E1302" s="3">
        <f t="shared" si="20"/>
        <v>16</v>
      </c>
    </row>
    <row r="1303" spans="1:5" x14ac:dyDescent="0.2">
      <c r="A1303">
        <v>2</v>
      </c>
      <c r="B1303" t="s">
        <v>519</v>
      </c>
      <c r="C1303">
        <v>0</v>
      </c>
      <c r="D1303">
        <v>13</v>
      </c>
      <c r="E1303" s="3">
        <f t="shared" si="20"/>
        <v>16</v>
      </c>
    </row>
    <row r="1304" spans="1:5" x14ac:dyDescent="0.2">
      <c r="A1304">
        <v>3</v>
      </c>
      <c r="B1304" t="s">
        <v>493</v>
      </c>
      <c r="C1304">
        <v>4</v>
      </c>
      <c r="D1304">
        <v>9</v>
      </c>
      <c r="E1304" s="3">
        <f t="shared" si="20"/>
        <v>16</v>
      </c>
    </row>
    <row r="1305" spans="1:5" x14ac:dyDescent="0.2">
      <c r="A1305">
        <v>4</v>
      </c>
      <c r="B1305" t="s">
        <v>81</v>
      </c>
      <c r="C1305">
        <v>0</v>
      </c>
      <c r="D1305">
        <v>5</v>
      </c>
      <c r="E1305" s="3">
        <f t="shared" si="20"/>
        <v>16</v>
      </c>
    </row>
    <row r="1306" spans="1:5" x14ac:dyDescent="0.2">
      <c r="A1306">
        <v>5</v>
      </c>
      <c r="B1306" t="s">
        <v>518</v>
      </c>
      <c r="C1306">
        <v>0</v>
      </c>
      <c r="D1306">
        <v>3</v>
      </c>
      <c r="E1306" s="3">
        <f t="shared" si="20"/>
        <v>16</v>
      </c>
    </row>
    <row r="1307" spans="1:5" x14ac:dyDescent="0.2">
      <c r="A1307">
        <v>6</v>
      </c>
      <c r="B1307" t="s">
        <v>69</v>
      </c>
      <c r="C1307">
        <v>0</v>
      </c>
      <c r="D1307">
        <v>2</v>
      </c>
      <c r="E1307" s="3">
        <f t="shared" si="20"/>
        <v>16</v>
      </c>
    </row>
    <row r="1308" spans="1:5" x14ac:dyDescent="0.2">
      <c r="A1308">
        <v>7</v>
      </c>
      <c r="B1308" t="s">
        <v>485</v>
      </c>
      <c r="C1308">
        <v>0</v>
      </c>
      <c r="D1308">
        <v>1</v>
      </c>
      <c r="E1308" s="3">
        <f t="shared" si="20"/>
        <v>16</v>
      </c>
    </row>
    <row r="1309" spans="1:5" x14ac:dyDescent="0.2">
      <c r="A1309">
        <v>8</v>
      </c>
      <c r="B1309" s="2" t="s">
        <v>10</v>
      </c>
      <c r="C1309" s="2" t="s">
        <v>10</v>
      </c>
      <c r="D1309" s="2" t="s">
        <v>10</v>
      </c>
      <c r="E1309" s="3">
        <f t="shared" si="20"/>
        <v>16</v>
      </c>
    </row>
    <row r="1310" spans="1:5" x14ac:dyDescent="0.2">
      <c r="A1310" s="1" t="s">
        <v>17</v>
      </c>
      <c r="E1310" s="3">
        <f t="shared" si="20"/>
        <v>16</v>
      </c>
    </row>
    <row r="1311" spans="1:5" x14ac:dyDescent="0.2">
      <c r="A1311" s="1" t="s">
        <v>1</v>
      </c>
      <c r="B1311" s="1" t="s">
        <v>2</v>
      </c>
      <c r="C1311" s="1" t="s">
        <v>3</v>
      </c>
      <c r="D1311" s="1" t="s">
        <v>4</v>
      </c>
      <c r="E1311" s="3">
        <f t="shared" si="20"/>
        <v>16</v>
      </c>
    </row>
    <row r="1312" spans="1:5" x14ac:dyDescent="0.2">
      <c r="A1312">
        <v>1</v>
      </c>
      <c r="B1312" t="s">
        <v>46</v>
      </c>
      <c r="C1312">
        <v>3</v>
      </c>
      <c r="D1312">
        <v>17</v>
      </c>
      <c r="E1312" s="3">
        <f t="shared" si="20"/>
        <v>16</v>
      </c>
    </row>
    <row r="1313" spans="1:5" x14ac:dyDescent="0.2">
      <c r="A1313">
        <v>2</v>
      </c>
      <c r="B1313" t="s">
        <v>509</v>
      </c>
      <c r="C1313">
        <v>2</v>
      </c>
      <c r="D1313">
        <v>13</v>
      </c>
      <c r="E1313" s="3">
        <f t="shared" si="20"/>
        <v>16</v>
      </c>
    </row>
    <row r="1314" spans="1:5" x14ac:dyDescent="0.2">
      <c r="A1314">
        <v>3</v>
      </c>
      <c r="B1314" t="s">
        <v>526</v>
      </c>
      <c r="C1314">
        <v>1</v>
      </c>
      <c r="D1314">
        <v>9</v>
      </c>
      <c r="E1314" s="3">
        <f t="shared" si="20"/>
        <v>16</v>
      </c>
    </row>
    <row r="1315" spans="1:5" x14ac:dyDescent="0.2">
      <c r="A1315">
        <v>4</v>
      </c>
      <c r="B1315" t="s">
        <v>42</v>
      </c>
      <c r="C1315">
        <v>0</v>
      </c>
      <c r="D1315">
        <v>5</v>
      </c>
      <c r="E1315" s="3">
        <f t="shared" si="20"/>
        <v>16</v>
      </c>
    </row>
    <row r="1316" spans="1:5" x14ac:dyDescent="0.2">
      <c r="A1316">
        <v>5</v>
      </c>
      <c r="B1316" t="s">
        <v>15</v>
      </c>
      <c r="C1316">
        <v>0</v>
      </c>
      <c r="D1316">
        <v>3</v>
      </c>
      <c r="E1316" s="3">
        <f t="shared" si="20"/>
        <v>16</v>
      </c>
    </row>
    <row r="1317" spans="1:5" x14ac:dyDescent="0.2">
      <c r="A1317">
        <v>6</v>
      </c>
      <c r="B1317" t="s">
        <v>534</v>
      </c>
      <c r="C1317">
        <v>0</v>
      </c>
      <c r="D1317">
        <v>2</v>
      </c>
      <c r="E1317" s="3">
        <f t="shared" si="20"/>
        <v>16</v>
      </c>
    </row>
    <row r="1318" spans="1:5" x14ac:dyDescent="0.2">
      <c r="A1318">
        <v>7</v>
      </c>
      <c r="B1318" t="s">
        <v>6</v>
      </c>
      <c r="C1318">
        <v>0</v>
      </c>
      <c r="D1318">
        <v>1</v>
      </c>
      <c r="E1318" s="3">
        <f t="shared" si="20"/>
        <v>16</v>
      </c>
    </row>
    <row r="1319" spans="1:5" x14ac:dyDescent="0.2">
      <c r="A1319">
        <v>8</v>
      </c>
      <c r="B1319" s="2" t="s">
        <v>10</v>
      </c>
      <c r="C1319" s="2" t="s">
        <v>10</v>
      </c>
      <c r="D1319" s="2" t="s">
        <v>10</v>
      </c>
      <c r="E1319" s="3">
        <f t="shared" si="20"/>
        <v>16</v>
      </c>
    </row>
    <row r="1320" spans="1:5" x14ac:dyDescent="0.2">
      <c r="A1320" s="1" t="s">
        <v>24</v>
      </c>
      <c r="E1320" s="3">
        <f t="shared" si="20"/>
        <v>16</v>
      </c>
    </row>
    <row r="1321" spans="1:5" x14ac:dyDescent="0.2">
      <c r="A1321" s="1" t="s">
        <v>1</v>
      </c>
      <c r="B1321" s="1" t="s">
        <v>2</v>
      </c>
      <c r="C1321" s="1" t="s">
        <v>3</v>
      </c>
      <c r="D1321" s="1" t="s">
        <v>4</v>
      </c>
      <c r="E1321" s="3">
        <f t="shared" si="20"/>
        <v>16</v>
      </c>
    </row>
    <row r="1322" spans="1:5" x14ac:dyDescent="0.2">
      <c r="A1322">
        <v>1</v>
      </c>
      <c r="B1322" t="s">
        <v>502</v>
      </c>
      <c r="C1322">
        <v>3</v>
      </c>
      <c r="D1322">
        <v>17</v>
      </c>
      <c r="E1322" s="3">
        <f t="shared" si="20"/>
        <v>16</v>
      </c>
    </row>
    <row r="1323" spans="1:5" x14ac:dyDescent="0.2">
      <c r="A1323">
        <v>2</v>
      </c>
      <c r="B1323" t="s">
        <v>55</v>
      </c>
      <c r="C1323">
        <v>3</v>
      </c>
      <c r="D1323">
        <v>13</v>
      </c>
      <c r="E1323" s="3">
        <f t="shared" si="20"/>
        <v>16</v>
      </c>
    </row>
    <row r="1324" spans="1:5" x14ac:dyDescent="0.2">
      <c r="A1324">
        <v>3</v>
      </c>
      <c r="B1324" t="s">
        <v>14</v>
      </c>
      <c r="C1324">
        <v>0</v>
      </c>
      <c r="D1324">
        <v>9</v>
      </c>
      <c r="E1324" s="3">
        <f t="shared" si="20"/>
        <v>16</v>
      </c>
    </row>
    <row r="1325" spans="1:5" x14ac:dyDescent="0.2">
      <c r="A1325">
        <v>4</v>
      </c>
      <c r="B1325" t="s">
        <v>507</v>
      </c>
      <c r="C1325">
        <v>0</v>
      </c>
      <c r="D1325">
        <v>5</v>
      </c>
      <c r="E1325" s="3">
        <f t="shared" si="20"/>
        <v>16</v>
      </c>
    </row>
    <row r="1326" spans="1:5" x14ac:dyDescent="0.2">
      <c r="A1326">
        <v>5</v>
      </c>
      <c r="B1326" t="s">
        <v>87</v>
      </c>
      <c r="C1326">
        <v>0</v>
      </c>
      <c r="D1326">
        <v>3</v>
      </c>
      <c r="E1326" s="3">
        <f t="shared" si="20"/>
        <v>16</v>
      </c>
    </row>
    <row r="1327" spans="1:5" x14ac:dyDescent="0.2">
      <c r="A1327">
        <v>6</v>
      </c>
      <c r="B1327" t="s">
        <v>74</v>
      </c>
      <c r="C1327">
        <v>0</v>
      </c>
      <c r="D1327">
        <v>2</v>
      </c>
      <c r="E1327" s="3">
        <f t="shared" si="20"/>
        <v>16</v>
      </c>
    </row>
    <row r="1328" spans="1:5" x14ac:dyDescent="0.2">
      <c r="A1328">
        <v>7</v>
      </c>
      <c r="B1328" t="s">
        <v>516</v>
      </c>
      <c r="C1328">
        <v>0</v>
      </c>
      <c r="D1328">
        <v>1</v>
      </c>
      <c r="E1328" s="3">
        <f t="shared" si="20"/>
        <v>16</v>
      </c>
    </row>
    <row r="1329" spans="1:5" x14ac:dyDescent="0.2">
      <c r="A1329">
        <v>8</v>
      </c>
      <c r="B1329" s="2" t="s">
        <v>10</v>
      </c>
      <c r="C1329" s="2" t="s">
        <v>10</v>
      </c>
      <c r="D1329" s="2" t="s">
        <v>10</v>
      </c>
      <c r="E1329" s="3">
        <f t="shared" si="20"/>
        <v>16</v>
      </c>
    </row>
    <row r="1330" spans="1:5" x14ac:dyDescent="0.2">
      <c r="A1330" s="1" t="s">
        <v>30</v>
      </c>
      <c r="E1330" s="3">
        <f t="shared" si="20"/>
        <v>16</v>
      </c>
    </row>
    <row r="1331" spans="1:5" x14ac:dyDescent="0.2">
      <c r="A1331" s="1" t="s">
        <v>1</v>
      </c>
      <c r="B1331" s="1" t="s">
        <v>2</v>
      </c>
      <c r="C1331" s="1" t="s">
        <v>3</v>
      </c>
      <c r="D1331" s="1" t="s">
        <v>4</v>
      </c>
      <c r="E1331" s="3">
        <f t="shared" si="20"/>
        <v>16</v>
      </c>
    </row>
    <row r="1332" spans="1:5" x14ac:dyDescent="0.2">
      <c r="A1332">
        <v>1</v>
      </c>
      <c r="B1332" t="s">
        <v>101</v>
      </c>
      <c r="C1332">
        <v>2</v>
      </c>
      <c r="D1332">
        <v>18</v>
      </c>
      <c r="E1332" s="3">
        <f t="shared" si="20"/>
        <v>16</v>
      </c>
    </row>
    <row r="1333" spans="1:5" x14ac:dyDescent="0.2">
      <c r="A1333">
        <v>2</v>
      </c>
      <c r="B1333" t="s">
        <v>66</v>
      </c>
      <c r="C1333">
        <v>2</v>
      </c>
      <c r="D1333">
        <v>14</v>
      </c>
      <c r="E1333" s="3">
        <f t="shared" si="20"/>
        <v>16</v>
      </c>
    </row>
    <row r="1334" spans="1:5" x14ac:dyDescent="0.2">
      <c r="A1334">
        <v>3</v>
      </c>
      <c r="B1334" t="s">
        <v>19</v>
      </c>
      <c r="C1334">
        <v>1</v>
      </c>
      <c r="D1334">
        <v>10</v>
      </c>
      <c r="E1334" s="3">
        <f t="shared" si="20"/>
        <v>16</v>
      </c>
    </row>
    <row r="1335" spans="1:5" x14ac:dyDescent="0.2">
      <c r="A1335">
        <v>4</v>
      </c>
      <c r="B1335" t="s">
        <v>505</v>
      </c>
      <c r="C1335">
        <v>0</v>
      </c>
      <c r="D1335">
        <v>6</v>
      </c>
      <c r="E1335" s="3">
        <f t="shared" si="20"/>
        <v>16</v>
      </c>
    </row>
    <row r="1336" spans="1:5" x14ac:dyDescent="0.2">
      <c r="A1336">
        <v>5</v>
      </c>
      <c r="B1336" t="s">
        <v>21</v>
      </c>
      <c r="C1336">
        <v>2</v>
      </c>
      <c r="D1336">
        <v>4</v>
      </c>
      <c r="E1336" s="3">
        <f t="shared" si="20"/>
        <v>16</v>
      </c>
    </row>
    <row r="1337" spans="1:5" x14ac:dyDescent="0.2">
      <c r="A1337">
        <v>6</v>
      </c>
      <c r="B1337" t="s">
        <v>501</v>
      </c>
      <c r="C1337">
        <v>0</v>
      </c>
      <c r="D1337">
        <v>3</v>
      </c>
      <c r="E1337" s="3">
        <f t="shared" si="20"/>
        <v>16</v>
      </c>
    </row>
    <row r="1338" spans="1:5" x14ac:dyDescent="0.2">
      <c r="A1338">
        <v>7</v>
      </c>
      <c r="B1338" t="s">
        <v>25</v>
      </c>
      <c r="C1338">
        <v>0</v>
      </c>
      <c r="D1338">
        <v>2</v>
      </c>
      <c r="E1338" s="3">
        <f t="shared" si="20"/>
        <v>16</v>
      </c>
    </row>
    <row r="1339" spans="1:5" x14ac:dyDescent="0.2">
      <c r="A1339">
        <v>8</v>
      </c>
      <c r="B1339" t="s">
        <v>512</v>
      </c>
      <c r="C1339">
        <v>0</v>
      </c>
      <c r="D1339">
        <v>1</v>
      </c>
      <c r="E1339" s="3">
        <f t="shared" si="20"/>
        <v>16</v>
      </c>
    </row>
    <row r="1340" spans="1:5" x14ac:dyDescent="0.2">
      <c r="A1340" s="1" t="s">
        <v>37</v>
      </c>
      <c r="E1340" s="3">
        <f t="shared" si="20"/>
        <v>16</v>
      </c>
    </row>
    <row r="1341" spans="1:5" x14ac:dyDescent="0.2">
      <c r="A1341" s="1" t="s">
        <v>1</v>
      </c>
      <c r="B1341" s="1" t="s">
        <v>2</v>
      </c>
      <c r="C1341" s="1" t="s">
        <v>3</v>
      </c>
      <c r="D1341" s="1" t="s">
        <v>4</v>
      </c>
      <c r="E1341" s="3">
        <f t="shared" si="20"/>
        <v>16</v>
      </c>
    </row>
    <row r="1342" spans="1:5" x14ac:dyDescent="0.2">
      <c r="A1342">
        <v>1</v>
      </c>
      <c r="B1342" t="s">
        <v>75</v>
      </c>
      <c r="C1342">
        <v>3</v>
      </c>
      <c r="D1342">
        <v>17</v>
      </c>
      <c r="E1342" s="3">
        <f t="shared" si="20"/>
        <v>16</v>
      </c>
    </row>
    <row r="1343" spans="1:5" x14ac:dyDescent="0.2">
      <c r="A1343">
        <v>2</v>
      </c>
      <c r="B1343" t="s">
        <v>503</v>
      </c>
      <c r="C1343">
        <v>3</v>
      </c>
      <c r="D1343">
        <v>13</v>
      </c>
      <c r="E1343" s="3">
        <f t="shared" si="20"/>
        <v>16</v>
      </c>
    </row>
    <row r="1344" spans="1:5" x14ac:dyDescent="0.2">
      <c r="A1344">
        <v>3</v>
      </c>
      <c r="B1344" t="s">
        <v>454</v>
      </c>
      <c r="C1344">
        <v>0</v>
      </c>
      <c r="D1344">
        <v>9</v>
      </c>
      <c r="E1344" s="3">
        <f t="shared" si="20"/>
        <v>16</v>
      </c>
    </row>
    <row r="1345" spans="1:5" x14ac:dyDescent="0.2">
      <c r="A1345">
        <v>4</v>
      </c>
      <c r="B1345" t="s">
        <v>510</v>
      </c>
      <c r="C1345">
        <v>0</v>
      </c>
      <c r="D1345">
        <v>5</v>
      </c>
      <c r="E1345" s="3">
        <f t="shared" si="20"/>
        <v>16</v>
      </c>
    </row>
    <row r="1346" spans="1:5" x14ac:dyDescent="0.2">
      <c r="A1346">
        <v>5</v>
      </c>
      <c r="B1346" t="s">
        <v>475</v>
      </c>
      <c r="C1346">
        <v>0</v>
      </c>
      <c r="D1346">
        <v>3</v>
      </c>
      <c r="E1346" s="3">
        <f t="shared" si="20"/>
        <v>16</v>
      </c>
    </row>
    <row r="1347" spans="1:5" x14ac:dyDescent="0.2">
      <c r="A1347">
        <v>6</v>
      </c>
      <c r="B1347" t="s">
        <v>525</v>
      </c>
      <c r="C1347">
        <v>0</v>
      </c>
      <c r="D1347">
        <v>2</v>
      </c>
      <c r="E1347" s="3">
        <f t="shared" si="20"/>
        <v>16</v>
      </c>
    </row>
    <row r="1348" spans="1:5" x14ac:dyDescent="0.2">
      <c r="A1348">
        <v>7</v>
      </c>
      <c r="B1348" t="s">
        <v>32</v>
      </c>
      <c r="C1348">
        <v>0</v>
      </c>
      <c r="D1348">
        <v>1</v>
      </c>
      <c r="E1348" s="3">
        <f t="shared" ref="E1348:E1411" si="21">IF(A1348=$A$1,E1347+1,E1347)</f>
        <v>16</v>
      </c>
    </row>
    <row r="1349" spans="1:5" x14ac:dyDescent="0.2">
      <c r="A1349">
        <v>8</v>
      </c>
      <c r="B1349" s="2" t="s">
        <v>10</v>
      </c>
      <c r="C1349" s="2" t="s">
        <v>10</v>
      </c>
      <c r="D1349" s="2" t="s">
        <v>10</v>
      </c>
      <c r="E1349" s="3">
        <f t="shared" si="21"/>
        <v>16</v>
      </c>
    </row>
    <row r="1350" spans="1:5" x14ac:dyDescent="0.2">
      <c r="A1350" s="1" t="s">
        <v>537</v>
      </c>
      <c r="E1350" s="3">
        <f t="shared" si="21"/>
        <v>17</v>
      </c>
    </row>
    <row r="1351" spans="1:5" x14ac:dyDescent="0.2">
      <c r="A1351" s="1" t="s">
        <v>1</v>
      </c>
      <c r="B1351" s="1" t="s">
        <v>2</v>
      </c>
      <c r="C1351" s="1" t="s">
        <v>3</v>
      </c>
      <c r="D1351" s="1" t="s">
        <v>4</v>
      </c>
      <c r="E1351" s="3">
        <f t="shared" si="21"/>
        <v>17</v>
      </c>
    </row>
    <row r="1352" spans="1:5" x14ac:dyDescent="0.2">
      <c r="A1352">
        <v>1</v>
      </c>
      <c r="B1352" t="s">
        <v>512</v>
      </c>
      <c r="C1352">
        <v>4</v>
      </c>
      <c r="D1352">
        <v>16</v>
      </c>
      <c r="E1352" s="3">
        <f t="shared" si="21"/>
        <v>17</v>
      </c>
    </row>
    <row r="1353" spans="1:5" x14ac:dyDescent="0.2">
      <c r="A1353">
        <v>2</v>
      </c>
      <c r="B1353" t="s">
        <v>475</v>
      </c>
      <c r="C1353">
        <v>1</v>
      </c>
      <c r="D1353">
        <v>12</v>
      </c>
      <c r="E1353" s="3">
        <f t="shared" si="21"/>
        <v>17</v>
      </c>
    </row>
    <row r="1354" spans="1:5" x14ac:dyDescent="0.2">
      <c r="A1354">
        <v>3</v>
      </c>
      <c r="B1354" t="s">
        <v>6</v>
      </c>
      <c r="C1354">
        <v>0</v>
      </c>
      <c r="D1354">
        <v>8</v>
      </c>
      <c r="E1354" s="3">
        <f t="shared" si="21"/>
        <v>17</v>
      </c>
    </row>
    <row r="1355" spans="1:5" x14ac:dyDescent="0.2">
      <c r="A1355">
        <v>4</v>
      </c>
      <c r="B1355" t="s">
        <v>345</v>
      </c>
      <c r="C1355">
        <v>0</v>
      </c>
      <c r="D1355">
        <v>4</v>
      </c>
      <c r="E1355" s="3">
        <f t="shared" si="21"/>
        <v>17</v>
      </c>
    </row>
    <row r="1356" spans="1:5" x14ac:dyDescent="0.2">
      <c r="A1356">
        <v>5</v>
      </c>
      <c r="B1356" t="s">
        <v>42</v>
      </c>
      <c r="C1356">
        <v>0</v>
      </c>
      <c r="D1356">
        <v>2</v>
      </c>
      <c r="E1356" s="3">
        <f t="shared" si="21"/>
        <v>17</v>
      </c>
    </row>
    <row r="1357" spans="1:5" x14ac:dyDescent="0.2">
      <c r="A1357">
        <v>6</v>
      </c>
      <c r="B1357" t="s">
        <v>87</v>
      </c>
      <c r="C1357">
        <v>0</v>
      </c>
      <c r="D1357">
        <v>1</v>
      </c>
      <c r="E1357" s="3">
        <f t="shared" si="21"/>
        <v>17</v>
      </c>
    </row>
    <row r="1358" spans="1:5" x14ac:dyDescent="0.2">
      <c r="A1358">
        <v>7</v>
      </c>
      <c r="B1358" s="2" t="s">
        <v>10</v>
      </c>
      <c r="C1358" s="2" t="s">
        <v>10</v>
      </c>
      <c r="D1358" s="2" t="s">
        <v>10</v>
      </c>
      <c r="E1358" s="3">
        <f t="shared" si="21"/>
        <v>17</v>
      </c>
    </row>
    <row r="1359" spans="1:5" x14ac:dyDescent="0.2">
      <c r="A1359">
        <v>8</v>
      </c>
      <c r="B1359" s="2" t="s">
        <v>10</v>
      </c>
      <c r="C1359" s="2" t="s">
        <v>10</v>
      </c>
      <c r="D1359" s="2" t="s">
        <v>10</v>
      </c>
      <c r="E1359" s="3">
        <f t="shared" si="21"/>
        <v>17</v>
      </c>
    </row>
    <row r="1360" spans="1:5" x14ac:dyDescent="0.2">
      <c r="A1360" s="1" t="s">
        <v>538</v>
      </c>
      <c r="E1360" s="3">
        <f t="shared" si="21"/>
        <v>17</v>
      </c>
    </row>
    <row r="1361" spans="1:5" x14ac:dyDescent="0.2">
      <c r="A1361" s="1" t="s">
        <v>1</v>
      </c>
      <c r="B1361" s="1" t="s">
        <v>2</v>
      </c>
      <c r="C1361" s="1" t="s">
        <v>3</v>
      </c>
      <c r="D1361" s="1" t="s">
        <v>4</v>
      </c>
      <c r="E1361" s="3">
        <f t="shared" si="21"/>
        <v>17</v>
      </c>
    </row>
    <row r="1362" spans="1:5" x14ac:dyDescent="0.2">
      <c r="A1362">
        <v>1</v>
      </c>
      <c r="B1362" t="s">
        <v>506</v>
      </c>
      <c r="C1362">
        <v>2</v>
      </c>
      <c r="D1362">
        <v>17</v>
      </c>
      <c r="E1362" s="3">
        <f t="shared" si="21"/>
        <v>17</v>
      </c>
    </row>
    <row r="1363" spans="1:5" x14ac:dyDescent="0.2">
      <c r="A1363">
        <v>2</v>
      </c>
      <c r="B1363" t="s">
        <v>503</v>
      </c>
      <c r="C1363">
        <v>3</v>
      </c>
      <c r="D1363">
        <v>13</v>
      </c>
      <c r="E1363" s="3">
        <f t="shared" si="21"/>
        <v>17</v>
      </c>
    </row>
    <row r="1364" spans="1:5" x14ac:dyDescent="0.2">
      <c r="A1364">
        <v>3</v>
      </c>
      <c r="B1364" t="s">
        <v>515</v>
      </c>
      <c r="C1364">
        <v>0</v>
      </c>
      <c r="D1364">
        <v>9</v>
      </c>
      <c r="E1364" s="3">
        <f t="shared" si="21"/>
        <v>17</v>
      </c>
    </row>
    <row r="1365" spans="1:5" x14ac:dyDescent="0.2">
      <c r="A1365">
        <v>4</v>
      </c>
      <c r="B1365" t="s">
        <v>74</v>
      </c>
      <c r="C1365">
        <v>1</v>
      </c>
      <c r="D1365">
        <v>5</v>
      </c>
      <c r="E1365" s="3">
        <f t="shared" si="21"/>
        <v>17</v>
      </c>
    </row>
    <row r="1366" spans="1:5" x14ac:dyDescent="0.2">
      <c r="A1366">
        <v>5</v>
      </c>
      <c r="B1366" t="s">
        <v>507</v>
      </c>
      <c r="C1366">
        <v>0</v>
      </c>
      <c r="D1366">
        <v>3</v>
      </c>
      <c r="E1366" s="3">
        <f t="shared" si="21"/>
        <v>17</v>
      </c>
    </row>
    <row r="1367" spans="1:5" x14ac:dyDescent="0.2">
      <c r="A1367">
        <v>6</v>
      </c>
      <c r="B1367" t="s">
        <v>516</v>
      </c>
      <c r="C1367">
        <v>0</v>
      </c>
      <c r="D1367">
        <v>2</v>
      </c>
      <c r="E1367" s="3">
        <f t="shared" si="21"/>
        <v>17</v>
      </c>
    </row>
    <row r="1368" spans="1:5" x14ac:dyDescent="0.2">
      <c r="A1368">
        <v>7</v>
      </c>
      <c r="B1368" t="s">
        <v>500</v>
      </c>
      <c r="C1368">
        <v>0</v>
      </c>
      <c r="D1368">
        <v>1</v>
      </c>
      <c r="E1368" s="3">
        <f t="shared" si="21"/>
        <v>17</v>
      </c>
    </row>
    <row r="1369" spans="1:5" x14ac:dyDescent="0.2">
      <c r="A1369">
        <v>8</v>
      </c>
      <c r="B1369" s="2" t="s">
        <v>10</v>
      </c>
      <c r="C1369" s="2" t="s">
        <v>10</v>
      </c>
      <c r="D1369" s="2" t="s">
        <v>10</v>
      </c>
      <c r="E1369" s="3">
        <f t="shared" si="21"/>
        <v>17</v>
      </c>
    </row>
    <row r="1370" spans="1:5" x14ac:dyDescent="0.2">
      <c r="A1370" s="1" t="s">
        <v>539</v>
      </c>
      <c r="E1370" s="3">
        <f t="shared" si="21"/>
        <v>17</v>
      </c>
    </row>
    <row r="1371" spans="1:5" x14ac:dyDescent="0.2">
      <c r="A1371" s="1" t="s">
        <v>1</v>
      </c>
      <c r="B1371" s="1" t="s">
        <v>2</v>
      </c>
      <c r="C1371" s="1" t="s">
        <v>3</v>
      </c>
      <c r="D1371" s="1" t="s">
        <v>4</v>
      </c>
      <c r="E1371" s="3">
        <f t="shared" si="21"/>
        <v>17</v>
      </c>
    </row>
    <row r="1372" spans="1:5" x14ac:dyDescent="0.2">
      <c r="A1372">
        <v>1</v>
      </c>
      <c r="B1372" t="s">
        <v>476</v>
      </c>
      <c r="C1372">
        <v>4</v>
      </c>
      <c r="D1372">
        <v>17</v>
      </c>
      <c r="E1372" s="3">
        <f t="shared" si="21"/>
        <v>17</v>
      </c>
    </row>
    <row r="1373" spans="1:5" x14ac:dyDescent="0.2">
      <c r="A1373">
        <v>2</v>
      </c>
      <c r="B1373" t="s">
        <v>66</v>
      </c>
      <c r="C1373">
        <v>0</v>
      </c>
      <c r="D1373">
        <v>13</v>
      </c>
      <c r="E1373" s="3">
        <f t="shared" si="21"/>
        <v>17</v>
      </c>
    </row>
    <row r="1374" spans="1:5" x14ac:dyDescent="0.2">
      <c r="A1374">
        <v>3</v>
      </c>
      <c r="B1374" t="s">
        <v>75</v>
      </c>
      <c r="C1374">
        <v>1</v>
      </c>
      <c r="D1374">
        <v>9</v>
      </c>
      <c r="E1374" s="3">
        <f t="shared" si="21"/>
        <v>17</v>
      </c>
    </row>
    <row r="1375" spans="1:5" x14ac:dyDescent="0.2">
      <c r="A1375">
        <v>4</v>
      </c>
      <c r="B1375" t="s">
        <v>534</v>
      </c>
      <c r="C1375">
        <v>1</v>
      </c>
      <c r="D1375">
        <v>5</v>
      </c>
      <c r="E1375" s="3">
        <f t="shared" si="21"/>
        <v>17</v>
      </c>
    </row>
    <row r="1376" spans="1:5" x14ac:dyDescent="0.2">
      <c r="A1376">
        <v>5</v>
      </c>
      <c r="B1376" t="s">
        <v>69</v>
      </c>
      <c r="C1376">
        <v>0</v>
      </c>
      <c r="D1376">
        <v>3</v>
      </c>
      <c r="E1376" s="3">
        <f t="shared" si="21"/>
        <v>17</v>
      </c>
    </row>
    <row r="1377" spans="1:5" x14ac:dyDescent="0.2">
      <c r="A1377">
        <v>6</v>
      </c>
      <c r="B1377" t="s">
        <v>504</v>
      </c>
      <c r="C1377">
        <v>0</v>
      </c>
      <c r="D1377">
        <v>2</v>
      </c>
      <c r="E1377" s="3">
        <f t="shared" si="21"/>
        <v>17</v>
      </c>
    </row>
    <row r="1378" spans="1:5" x14ac:dyDescent="0.2">
      <c r="A1378">
        <v>7</v>
      </c>
      <c r="B1378" t="s">
        <v>15</v>
      </c>
      <c r="C1378">
        <v>0</v>
      </c>
      <c r="D1378">
        <v>1</v>
      </c>
      <c r="E1378" s="3">
        <f t="shared" si="21"/>
        <v>17</v>
      </c>
    </row>
    <row r="1379" spans="1:5" x14ac:dyDescent="0.2">
      <c r="A1379">
        <v>8</v>
      </c>
      <c r="B1379" s="2" t="s">
        <v>10</v>
      </c>
      <c r="C1379" s="2" t="s">
        <v>10</v>
      </c>
      <c r="D1379" s="2" t="s">
        <v>10</v>
      </c>
      <c r="E1379" s="3">
        <f t="shared" si="21"/>
        <v>17</v>
      </c>
    </row>
    <row r="1380" spans="1:5" x14ac:dyDescent="0.2">
      <c r="A1380" s="1" t="s">
        <v>540</v>
      </c>
      <c r="E1380" s="3">
        <f t="shared" si="21"/>
        <v>17</v>
      </c>
    </row>
    <row r="1381" spans="1:5" x14ac:dyDescent="0.2">
      <c r="A1381" s="1" t="s">
        <v>1</v>
      </c>
      <c r="B1381" s="1" t="s">
        <v>2</v>
      </c>
      <c r="C1381" s="1" t="s">
        <v>3</v>
      </c>
      <c r="D1381" s="1" t="s">
        <v>4</v>
      </c>
      <c r="E1381" s="3">
        <f t="shared" si="21"/>
        <v>17</v>
      </c>
    </row>
    <row r="1382" spans="1:5" x14ac:dyDescent="0.2">
      <c r="A1382">
        <v>1</v>
      </c>
      <c r="B1382" t="s">
        <v>29</v>
      </c>
      <c r="C1382">
        <v>5</v>
      </c>
      <c r="D1382">
        <v>17</v>
      </c>
      <c r="E1382" s="3">
        <f t="shared" si="21"/>
        <v>17</v>
      </c>
    </row>
    <row r="1383" spans="1:5" x14ac:dyDescent="0.2">
      <c r="A1383">
        <v>2</v>
      </c>
      <c r="B1383" t="s">
        <v>55</v>
      </c>
      <c r="C1383">
        <v>0</v>
      </c>
      <c r="D1383">
        <v>13</v>
      </c>
      <c r="E1383" s="3">
        <f t="shared" si="21"/>
        <v>17</v>
      </c>
    </row>
    <row r="1384" spans="1:5" x14ac:dyDescent="0.2">
      <c r="A1384">
        <v>3</v>
      </c>
      <c r="B1384" t="s">
        <v>485</v>
      </c>
      <c r="C1384">
        <v>1</v>
      </c>
      <c r="D1384">
        <v>9</v>
      </c>
      <c r="E1384" s="3">
        <f t="shared" si="21"/>
        <v>17</v>
      </c>
    </row>
    <row r="1385" spans="1:5" x14ac:dyDescent="0.2">
      <c r="A1385">
        <v>4</v>
      </c>
      <c r="B1385" t="s">
        <v>518</v>
      </c>
      <c r="C1385">
        <v>0</v>
      </c>
      <c r="D1385">
        <v>5</v>
      </c>
      <c r="E1385" s="3">
        <f t="shared" si="21"/>
        <v>17</v>
      </c>
    </row>
    <row r="1386" spans="1:5" x14ac:dyDescent="0.2">
      <c r="A1386">
        <v>5</v>
      </c>
      <c r="B1386" t="s">
        <v>73</v>
      </c>
      <c r="C1386">
        <v>0</v>
      </c>
      <c r="D1386">
        <v>3</v>
      </c>
      <c r="E1386" s="3">
        <f t="shared" si="21"/>
        <v>17</v>
      </c>
    </row>
    <row r="1387" spans="1:5" x14ac:dyDescent="0.2">
      <c r="A1387">
        <v>6</v>
      </c>
      <c r="B1387" t="s">
        <v>493</v>
      </c>
      <c r="C1387">
        <v>0</v>
      </c>
      <c r="D1387">
        <v>2</v>
      </c>
      <c r="E1387" s="3">
        <f t="shared" si="21"/>
        <v>17</v>
      </c>
    </row>
    <row r="1388" spans="1:5" x14ac:dyDescent="0.2">
      <c r="A1388">
        <v>7</v>
      </c>
      <c r="B1388" t="s">
        <v>65</v>
      </c>
      <c r="C1388">
        <v>0</v>
      </c>
      <c r="D1388">
        <v>1</v>
      </c>
      <c r="E1388" s="3">
        <f t="shared" si="21"/>
        <v>17</v>
      </c>
    </row>
    <row r="1389" spans="1:5" x14ac:dyDescent="0.2">
      <c r="A1389">
        <v>8</v>
      </c>
      <c r="B1389" s="2" t="s">
        <v>10</v>
      </c>
      <c r="C1389" s="2" t="s">
        <v>10</v>
      </c>
      <c r="D1389" s="2" t="s">
        <v>10</v>
      </c>
      <c r="E1389" s="3">
        <f t="shared" si="21"/>
        <v>17</v>
      </c>
    </row>
    <row r="1390" spans="1:5" x14ac:dyDescent="0.2">
      <c r="A1390" s="1" t="s">
        <v>541</v>
      </c>
      <c r="E1390" s="3">
        <f t="shared" si="21"/>
        <v>17</v>
      </c>
    </row>
    <row r="1391" spans="1:5" x14ac:dyDescent="0.2">
      <c r="A1391" s="1" t="s">
        <v>1</v>
      </c>
      <c r="B1391" s="1" t="s">
        <v>2</v>
      </c>
      <c r="C1391" s="1" t="s">
        <v>3</v>
      </c>
      <c r="D1391" s="1" t="s">
        <v>4</v>
      </c>
      <c r="E1391" s="3">
        <f t="shared" si="21"/>
        <v>17</v>
      </c>
    </row>
    <row r="1392" spans="1:5" x14ac:dyDescent="0.2">
      <c r="A1392">
        <v>1</v>
      </c>
      <c r="B1392" t="s">
        <v>14</v>
      </c>
      <c r="C1392">
        <v>2</v>
      </c>
      <c r="D1392">
        <v>17</v>
      </c>
      <c r="E1392" s="3">
        <f t="shared" si="21"/>
        <v>17</v>
      </c>
    </row>
    <row r="1393" spans="1:5" x14ac:dyDescent="0.2">
      <c r="A1393">
        <v>2</v>
      </c>
      <c r="B1393" t="s">
        <v>35</v>
      </c>
      <c r="C1393">
        <v>3</v>
      </c>
      <c r="D1393">
        <v>13</v>
      </c>
      <c r="E1393" s="3">
        <f t="shared" si="21"/>
        <v>17</v>
      </c>
    </row>
    <row r="1394" spans="1:5" x14ac:dyDescent="0.2">
      <c r="A1394">
        <v>3</v>
      </c>
      <c r="B1394" t="s">
        <v>46</v>
      </c>
      <c r="C1394">
        <v>1</v>
      </c>
      <c r="D1394">
        <v>9</v>
      </c>
      <c r="E1394" s="3">
        <f t="shared" si="21"/>
        <v>17</v>
      </c>
    </row>
    <row r="1395" spans="1:5" x14ac:dyDescent="0.2">
      <c r="A1395">
        <v>4</v>
      </c>
      <c r="B1395" t="s">
        <v>532</v>
      </c>
      <c r="C1395">
        <v>0</v>
      </c>
      <c r="D1395">
        <v>5</v>
      </c>
      <c r="E1395" s="3">
        <f t="shared" si="21"/>
        <v>17</v>
      </c>
    </row>
    <row r="1396" spans="1:5" x14ac:dyDescent="0.2">
      <c r="A1396">
        <v>5</v>
      </c>
      <c r="B1396" t="s">
        <v>25</v>
      </c>
      <c r="C1396">
        <v>0</v>
      </c>
      <c r="D1396">
        <v>3</v>
      </c>
      <c r="E1396" s="3">
        <f t="shared" si="21"/>
        <v>17</v>
      </c>
    </row>
    <row r="1397" spans="1:5" x14ac:dyDescent="0.2">
      <c r="A1397">
        <v>6</v>
      </c>
      <c r="B1397" t="s">
        <v>501</v>
      </c>
      <c r="C1397">
        <v>0</v>
      </c>
      <c r="D1397">
        <v>2</v>
      </c>
      <c r="E1397" s="3">
        <f t="shared" si="21"/>
        <v>17</v>
      </c>
    </row>
    <row r="1398" spans="1:5" x14ac:dyDescent="0.2">
      <c r="A1398">
        <v>7</v>
      </c>
      <c r="B1398" t="s">
        <v>505</v>
      </c>
      <c r="C1398">
        <v>0</v>
      </c>
      <c r="D1398">
        <v>1</v>
      </c>
      <c r="E1398" s="3">
        <f t="shared" si="21"/>
        <v>17</v>
      </c>
    </row>
    <row r="1399" spans="1:5" x14ac:dyDescent="0.2">
      <c r="A1399">
        <v>8</v>
      </c>
      <c r="B1399" s="2" t="s">
        <v>10</v>
      </c>
      <c r="C1399" s="2" t="s">
        <v>10</v>
      </c>
      <c r="D1399" s="2" t="s">
        <v>10</v>
      </c>
      <c r="E1399" s="3">
        <f t="shared" si="21"/>
        <v>17</v>
      </c>
    </row>
    <row r="1400" spans="1:5" x14ac:dyDescent="0.2">
      <c r="A1400" s="1" t="s">
        <v>542</v>
      </c>
      <c r="E1400" s="3">
        <f t="shared" si="21"/>
        <v>17</v>
      </c>
    </row>
    <row r="1401" spans="1:5" x14ac:dyDescent="0.2">
      <c r="A1401" s="1" t="s">
        <v>1</v>
      </c>
      <c r="B1401" s="1" t="s">
        <v>2</v>
      </c>
      <c r="C1401" s="1" t="s">
        <v>3</v>
      </c>
      <c r="D1401" s="1" t="s">
        <v>4</v>
      </c>
      <c r="E1401" s="3">
        <f t="shared" si="21"/>
        <v>17</v>
      </c>
    </row>
    <row r="1402" spans="1:5" x14ac:dyDescent="0.2">
      <c r="A1402">
        <v>1</v>
      </c>
      <c r="B1402" t="s">
        <v>19</v>
      </c>
      <c r="C1402">
        <v>2</v>
      </c>
      <c r="D1402">
        <v>17</v>
      </c>
      <c r="E1402" s="3">
        <f t="shared" si="21"/>
        <v>17</v>
      </c>
    </row>
    <row r="1403" spans="1:5" x14ac:dyDescent="0.2">
      <c r="A1403">
        <v>2</v>
      </c>
      <c r="B1403" t="s">
        <v>76</v>
      </c>
      <c r="C1403">
        <v>0</v>
      </c>
      <c r="D1403">
        <v>13</v>
      </c>
      <c r="E1403" s="3">
        <f t="shared" si="21"/>
        <v>17</v>
      </c>
    </row>
    <row r="1404" spans="1:5" x14ac:dyDescent="0.2">
      <c r="A1404">
        <v>3</v>
      </c>
      <c r="B1404" t="s">
        <v>9</v>
      </c>
      <c r="C1404">
        <v>2</v>
      </c>
      <c r="D1404">
        <v>9</v>
      </c>
      <c r="E1404" s="3">
        <f t="shared" si="21"/>
        <v>17</v>
      </c>
    </row>
    <row r="1405" spans="1:5" x14ac:dyDescent="0.2">
      <c r="A1405">
        <v>4</v>
      </c>
      <c r="B1405" t="s">
        <v>27</v>
      </c>
      <c r="C1405">
        <v>1</v>
      </c>
      <c r="D1405">
        <v>5</v>
      </c>
      <c r="E1405" s="3">
        <f t="shared" si="21"/>
        <v>17</v>
      </c>
    </row>
    <row r="1406" spans="1:5" x14ac:dyDescent="0.2">
      <c r="A1406">
        <v>5</v>
      </c>
      <c r="B1406" t="s">
        <v>525</v>
      </c>
      <c r="C1406">
        <v>0</v>
      </c>
      <c r="D1406">
        <v>3</v>
      </c>
      <c r="E1406" s="3">
        <f t="shared" si="21"/>
        <v>17</v>
      </c>
    </row>
    <row r="1407" spans="1:5" x14ac:dyDescent="0.2">
      <c r="A1407">
        <v>6</v>
      </c>
      <c r="B1407" t="s">
        <v>21</v>
      </c>
      <c r="C1407">
        <v>0</v>
      </c>
      <c r="D1407">
        <v>2</v>
      </c>
      <c r="E1407" s="3">
        <f t="shared" si="21"/>
        <v>17</v>
      </c>
    </row>
    <row r="1408" spans="1:5" x14ac:dyDescent="0.2">
      <c r="A1408">
        <v>7</v>
      </c>
      <c r="B1408" t="s">
        <v>484</v>
      </c>
      <c r="C1408">
        <v>0</v>
      </c>
      <c r="D1408">
        <v>1</v>
      </c>
      <c r="E1408" s="3">
        <f t="shared" si="21"/>
        <v>17</v>
      </c>
    </row>
    <row r="1409" spans="1:5" x14ac:dyDescent="0.2">
      <c r="A1409">
        <v>8</v>
      </c>
      <c r="B1409" s="2" t="s">
        <v>10</v>
      </c>
      <c r="C1409" s="2" t="s">
        <v>10</v>
      </c>
      <c r="D1409" s="2" t="s">
        <v>10</v>
      </c>
      <c r="E1409" s="3">
        <f t="shared" si="21"/>
        <v>17</v>
      </c>
    </row>
    <row r="1410" spans="1:5" x14ac:dyDescent="0.2">
      <c r="A1410" s="1" t="s">
        <v>543</v>
      </c>
      <c r="E1410" s="3">
        <f t="shared" si="21"/>
        <v>17</v>
      </c>
    </row>
    <row r="1411" spans="1:5" x14ac:dyDescent="0.2">
      <c r="A1411" s="1" t="s">
        <v>1</v>
      </c>
      <c r="B1411" s="1" t="s">
        <v>2</v>
      </c>
      <c r="C1411" s="1" t="s">
        <v>3</v>
      </c>
      <c r="D1411" s="1" t="s">
        <v>4</v>
      </c>
      <c r="E1411" s="3">
        <f t="shared" si="21"/>
        <v>17</v>
      </c>
    </row>
    <row r="1412" spans="1:5" x14ac:dyDescent="0.2">
      <c r="A1412">
        <v>0</v>
      </c>
      <c r="C1412">
        <v>0</v>
      </c>
      <c r="D1412">
        <v>0</v>
      </c>
      <c r="E1412" s="3">
        <f t="shared" ref="E1412:E1475" si="22">IF(A1412=$A$1,E1411+1,E1411)</f>
        <v>17</v>
      </c>
    </row>
    <row r="1413" spans="1:5" x14ac:dyDescent="0.2">
      <c r="A1413">
        <v>1</v>
      </c>
      <c r="B1413" t="s">
        <v>81</v>
      </c>
      <c r="C1413">
        <v>4</v>
      </c>
      <c r="D1413">
        <v>17</v>
      </c>
      <c r="E1413" s="3">
        <f t="shared" si="22"/>
        <v>17</v>
      </c>
    </row>
    <row r="1414" spans="1:5" x14ac:dyDescent="0.2">
      <c r="A1414">
        <v>2</v>
      </c>
      <c r="B1414" t="s">
        <v>490</v>
      </c>
      <c r="C1414">
        <v>0</v>
      </c>
      <c r="D1414">
        <v>13</v>
      </c>
      <c r="E1414" s="3">
        <f t="shared" si="22"/>
        <v>17</v>
      </c>
    </row>
    <row r="1415" spans="1:5" x14ac:dyDescent="0.2">
      <c r="A1415">
        <v>3</v>
      </c>
      <c r="B1415" t="s">
        <v>461</v>
      </c>
      <c r="C1415">
        <v>1</v>
      </c>
      <c r="D1415">
        <v>9</v>
      </c>
      <c r="E1415" s="3">
        <f t="shared" si="22"/>
        <v>17</v>
      </c>
    </row>
    <row r="1416" spans="1:5" x14ac:dyDescent="0.2">
      <c r="A1416">
        <v>3</v>
      </c>
      <c r="B1416" t="s">
        <v>280</v>
      </c>
      <c r="C1416">
        <v>0</v>
      </c>
      <c r="D1416">
        <v>9</v>
      </c>
      <c r="E1416" s="3">
        <f t="shared" si="22"/>
        <v>17</v>
      </c>
    </row>
    <row r="1417" spans="1:5" x14ac:dyDescent="0.2">
      <c r="A1417">
        <v>5</v>
      </c>
      <c r="B1417" t="s">
        <v>509</v>
      </c>
      <c r="C1417">
        <v>1</v>
      </c>
      <c r="D1417">
        <v>3</v>
      </c>
      <c r="E1417" s="3">
        <f t="shared" si="22"/>
        <v>17</v>
      </c>
    </row>
    <row r="1418" spans="1:5" x14ac:dyDescent="0.2">
      <c r="A1418">
        <v>6</v>
      </c>
      <c r="B1418" t="s">
        <v>535</v>
      </c>
      <c r="C1418">
        <v>0</v>
      </c>
      <c r="D1418">
        <v>2</v>
      </c>
      <c r="E1418" s="3">
        <f t="shared" si="22"/>
        <v>17</v>
      </c>
    </row>
    <row r="1419" spans="1:5" x14ac:dyDescent="0.2">
      <c r="A1419">
        <v>7</v>
      </c>
      <c r="B1419" t="s">
        <v>519</v>
      </c>
      <c r="C1419">
        <v>0</v>
      </c>
      <c r="D1419">
        <v>1</v>
      </c>
      <c r="E1419" s="3">
        <f t="shared" si="22"/>
        <v>17</v>
      </c>
    </row>
    <row r="1420" spans="1:5" x14ac:dyDescent="0.2">
      <c r="A1420">
        <v>9</v>
      </c>
      <c r="B1420" s="2" t="s">
        <v>10</v>
      </c>
      <c r="C1420" s="2" t="s">
        <v>10</v>
      </c>
      <c r="D1420" s="2" t="s">
        <v>10</v>
      </c>
      <c r="E1420" s="3">
        <f t="shared" si="22"/>
        <v>17</v>
      </c>
    </row>
    <row r="1421" spans="1:5" x14ac:dyDescent="0.2">
      <c r="A1421" s="1" t="s">
        <v>0</v>
      </c>
      <c r="E1421" s="3">
        <f t="shared" si="22"/>
        <v>18</v>
      </c>
    </row>
    <row r="1422" spans="1:5" x14ac:dyDescent="0.2">
      <c r="A1422" s="1" t="s">
        <v>1</v>
      </c>
      <c r="B1422" s="1" t="s">
        <v>2</v>
      </c>
      <c r="C1422" s="1" t="s">
        <v>3</v>
      </c>
      <c r="D1422" s="1" t="s">
        <v>4</v>
      </c>
      <c r="E1422" s="3">
        <f t="shared" si="22"/>
        <v>18</v>
      </c>
    </row>
    <row r="1423" spans="1:5" x14ac:dyDescent="0.2">
      <c r="A1423">
        <v>1</v>
      </c>
      <c r="B1423" t="s">
        <v>25</v>
      </c>
      <c r="C1423">
        <v>2</v>
      </c>
      <c r="D1423">
        <v>17</v>
      </c>
      <c r="E1423" s="3">
        <f t="shared" si="22"/>
        <v>18</v>
      </c>
    </row>
    <row r="1424" spans="1:5" x14ac:dyDescent="0.2">
      <c r="A1424">
        <v>2</v>
      </c>
      <c r="B1424" t="s">
        <v>73</v>
      </c>
      <c r="C1424">
        <v>3</v>
      </c>
      <c r="D1424">
        <v>13</v>
      </c>
      <c r="E1424" s="3">
        <f t="shared" si="22"/>
        <v>18</v>
      </c>
    </row>
    <row r="1425" spans="1:5" x14ac:dyDescent="0.2">
      <c r="A1425">
        <v>3</v>
      </c>
      <c r="B1425" t="s">
        <v>75</v>
      </c>
      <c r="C1425">
        <v>0</v>
      </c>
      <c r="D1425">
        <v>9</v>
      </c>
      <c r="E1425" s="3">
        <f t="shared" si="22"/>
        <v>18</v>
      </c>
    </row>
    <row r="1426" spans="1:5" x14ac:dyDescent="0.2">
      <c r="A1426">
        <v>4</v>
      </c>
      <c r="B1426" t="s">
        <v>502</v>
      </c>
      <c r="C1426">
        <v>1</v>
      </c>
      <c r="D1426">
        <v>5</v>
      </c>
      <c r="E1426" s="3">
        <f t="shared" si="22"/>
        <v>18</v>
      </c>
    </row>
    <row r="1427" spans="1:5" x14ac:dyDescent="0.2">
      <c r="A1427">
        <v>5</v>
      </c>
      <c r="B1427" t="s">
        <v>530</v>
      </c>
      <c r="C1427">
        <v>0</v>
      </c>
      <c r="D1427">
        <v>3</v>
      </c>
      <c r="E1427" s="3">
        <f t="shared" si="22"/>
        <v>18</v>
      </c>
    </row>
    <row r="1428" spans="1:5" x14ac:dyDescent="0.2">
      <c r="A1428">
        <v>6</v>
      </c>
      <c r="B1428" t="s">
        <v>485</v>
      </c>
      <c r="C1428">
        <v>0</v>
      </c>
      <c r="D1428">
        <v>2</v>
      </c>
      <c r="E1428" s="3">
        <f t="shared" si="22"/>
        <v>18</v>
      </c>
    </row>
    <row r="1429" spans="1:5" x14ac:dyDescent="0.2">
      <c r="A1429">
        <v>7</v>
      </c>
      <c r="B1429" t="s">
        <v>526</v>
      </c>
      <c r="C1429">
        <v>0</v>
      </c>
      <c r="D1429">
        <v>1</v>
      </c>
      <c r="E1429" s="3">
        <f t="shared" si="22"/>
        <v>18</v>
      </c>
    </row>
    <row r="1430" spans="1:5" x14ac:dyDescent="0.2">
      <c r="A1430">
        <v>8</v>
      </c>
      <c r="B1430" s="2" t="s">
        <v>10</v>
      </c>
      <c r="C1430" s="2" t="s">
        <v>10</v>
      </c>
      <c r="D1430" s="2" t="s">
        <v>10</v>
      </c>
      <c r="E1430" s="3">
        <f t="shared" si="22"/>
        <v>18</v>
      </c>
    </row>
    <row r="1431" spans="1:5" x14ac:dyDescent="0.2">
      <c r="A1431" s="1" t="s">
        <v>11</v>
      </c>
      <c r="E1431" s="3">
        <f t="shared" si="22"/>
        <v>18</v>
      </c>
    </row>
    <row r="1432" spans="1:5" x14ac:dyDescent="0.2">
      <c r="A1432" s="1" t="s">
        <v>1</v>
      </c>
      <c r="B1432" s="1" t="s">
        <v>2</v>
      </c>
      <c r="C1432" s="1" t="s">
        <v>3</v>
      </c>
      <c r="D1432" s="1" t="s">
        <v>4</v>
      </c>
      <c r="E1432" s="3">
        <f t="shared" si="22"/>
        <v>18</v>
      </c>
    </row>
    <row r="1433" spans="1:5" x14ac:dyDescent="0.2">
      <c r="A1433">
        <v>1</v>
      </c>
      <c r="B1433" t="s">
        <v>534</v>
      </c>
      <c r="C1433">
        <v>1</v>
      </c>
      <c r="D1433">
        <v>17</v>
      </c>
      <c r="E1433" s="3">
        <f t="shared" si="22"/>
        <v>18</v>
      </c>
    </row>
    <row r="1434" spans="1:5" x14ac:dyDescent="0.2">
      <c r="A1434">
        <v>2</v>
      </c>
      <c r="B1434" t="s">
        <v>501</v>
      </c>
      <c r="C1434">
        <v>3</v>
      </c>
      <c r="D1434">
        <v>13</v>
      </c>
      <c r="E1434" s="3">
        <f t="shared" si="22"/>
        <v>18</v>
      </c>
    </row>
    <row r="1435" spans="1:5" x14ac:dyDescent="0.2">
      <c r="A1435">
        <v>3</v>
      </c>
      <c r="B1435" t="s">
        <v>493</v>
      </c>
      <c r="C1435">
        <v>2</v>
      </c>
      <c r="D1435">
        <v>9</v>
      </c>
      <c r="E1435" s="3">
        <f t="shared" si="22"/>
        <v>18</v>
      </c>
    </row>
    <row r="1436" spans="1:5" x14ac:dyDescent="0.2">
      <c r="A1436">
        <v>4</v>
      </c>
      <c r="B1436" t="s">
        <v>69</v>
      </c>
      <c r="C1436">
        <v>0</v>
      </c>
      <c r="D1436">
        <v>5</v>
      </c>
      <c r="E1436" s="3">
        <f t="shared" si="22"/>
        <v>18</v>
      </c>
    </row>
    <row r="1437" spans="1:5" x14ac:dyDescent="0.2">
      <c r="A1437">
        <v>5</v>
      </c>
      <c r="B1437" t="s">
        <v>14</v>
      </c>
      <c r="C1437">
        <v>0</v>
      </c>
      <c r="D1437">
        <v>3</v>
      </c>
      <c r="E1437" s="3">
        <f t="shared" si="22"/>
        <v>18</v>
      </c>
    </row>
    <row r="1438" spans="1:5" x14ac:dyDescent="0.2">
      <c r="A1438">
        <v>6</v>
      </c>
      <c r="B1438" t="s">
        <v>500</v>
      </c>
      <c r="C1438">
        <v>0</v>
      </c>
      <c r="D1438">
        <v>2</v>
      </c>
      <c r="E1438" s="3">
        <f t="shared" si="22"/>
        <v>18</v>
      </c>
    </row>
    <row r="1439" spans="1:5" x14ac:dyDescent="0.2">
      <c r="A1439">
        <v>7</v>
      </c>
      <c r="B1439" t="s">
        <v>519</v>
      </c>
      <c r="C1439">
        <v>0</v>
      </c>
      <c r="D1439">
        <v>1</v>
      </c>
      <c r="E1439" s="3">
        <f t="shared" si="22"/>
        <v>18</v>
      </c>
    </row>
    <row r="1440" spans="1:5" x14ac:dyDescent="0.2">
      <c r="A1440">
        <v>8</v>
      </c>
      <c r="B1440" s="2" t="s">
        <v>10</v>
      </c>
      <c r="C1440" s="2" t="s">
        <v>10</v>
      </c>
      <c r="D1440" s="2" t="s">
        <v>10</v>
      </c>
      <c r="E1440" s="3">
        <f t="shared" si="22"/>
        <v>18</v>
      </c>
    </row>
    <row r="1441" spans="1:5" x14ac:dyDescent="0.2">
      <c r="A1441" s="1" t="s">
        <v>17</v>
      </c>
      <c r="E1441" s="3">
        <f t="shared" si="22"/>
        <v>18</v>
      </c>
    </row>
    <row r="1442" spans="1:5" x14ac:dyDescent="0.2">
      <c r="A1442" s="1" t="s">
        <v>1</v>
      </c>
      <c r="B1442" s="1" t="s">
        <v>2</v>
      </c>
      <c r="C1442" s="1" t="s">
        <v>3</v>
      </c>
      <c r="D1442" s="1" t="s">
        <v>4</v>
      </c>
      <c r="E1442" s="3">
        <f t="shared" si="22"/>
        <v>18</v>
      </c>
    </row>
    <row r="1443" spans="1:5" x14ac:dyDescent="0.2">
      <c r="A1443">
        <v>1</v>
      </c>
      <c r="B1443" t="s">
        <v>55</v>
      </c>
      <c r="C1443">
        <v>4</v>
      </c>
      <c r="D1443">
        <v>17</v>
      </c>
      <c r="E1443" s="3">
        <f t="shared" si="22"/>
        <v>18</v>
      </c>
    </row>
    <row r="1444" spans="1:5" x14ac:dyDescent="0.2">
      <c r="A1444">
        <v>2</v>
      </c>
      <c r="B1444" t="s">
        <v>479</v>
      </c>
      <c r="C1444">
        <v>1</v>
      </c>
      <c r="D1444">
        <v>13</v>
      </c>
      <c r="E1444" s="3">
        <f t="shared" si="22"/>
        <v>18</v>
      </c>
    </row>
    <row r="1445" spans="1:5" x14ac:dyDescent="0.2">
      <c r="A1445">
        <v>3</v>
      </c>
      <c r="B1445" t="s">
        <v>504</v>
      </c>
      <c r="C1445">
        <v>0</v>
      </c>
      <c r="D1445">
        <v>9</v>
      </c>
      <c r="E1445" s="3">
        <f t="shared" si="22"/>
        <v>18</v>
      </c>
    </row>
    <row r="1446" spans="1:5" x14ac:dyDescent="0.2">
      <c r="A1446">
        <v>4</v>
      </c>
      <c r="B1446" t="s">
        <v>490</v>
      </c>
      <c r="C1446">
        <v>1</v>
      </c>
      <c r="D1446">
        <v>5</v>
      </c>
      <c r="E1446" s="3">
        <f t="shared" si="22"/>
        <v>18</v>
      </c>
    </row>
    <row r="1447" spans="1:5" x14ac:dyDescent="0.2">
      <c r="A1447">
        <v>5</v>
      </c>
      <c r="B1447" t="s">
        <v>35</v>
      </c>
      <c r="C1447">
        <v>0</v>
      </c>
      <c r="D1447">
        <v>3</v>
      </c>
      <c r="E1447" s="3">
        <f t="shared" si="22"/>
        <v>18</v>
      </c>
    </row>
    <row r="1448" spans="1:5" x14ac:dyDescent="0.2">
      <c r="A1448">
        <v>6</v>
      </c>
      <c r="B1448" t="s">
        <v>46</v>
      </c>
      <c r="C1448">
        <v>0</v>
      </c>
      <c r="D1448">
        <v>2</v>
      </c>
      <c r="E1448" s="3">
        <f t="shared" si="22"/>
        <v>18</v>
      </c>
    </row>
    <row r="1449" spans="1:5" x14ac:dyDescent="0.2">
      <c r="A1449">
        <v>7</v>
      </c>
      <c r="B1449" t="s">
        <v>516</v>
      </c>
      <c r="C1449">
        <v>0</v>
      </c>
      <c r="D1449">
        <v>1</v>
      </c>
      <c r="E1449" s="3">
        <f t="shared" si="22"/>
        <v>18</v>
      </c>
    </row>
    <row r="1450" spans="1:5" x14ac:dyDescent="0.2">
      <c r="A1450">
        <v>8</v>
      </c>
      <c r="B1450" s="2" t="s">
        <v>10</v>
      </c>
      <c r="C1450" s="2" t="s">
        <v>10</v>
      </c>
      <c r="D1450" s="2" t="s">
        <v>10</v>
      </c>
      <c r="E1450" s="3">
        <f t="shared" si="22"/>
        <v>18</v>
      </c>
    </row>
    <row r="1451" spans="1:5" x14ac:dyDescent="0.2">
      <c r="A1451" s="1" t="s">
        <v>24</v>
      </c>
      <c r="E1451" s="3">
        <f t="shared" si="22"/>
        <v>18</v>
      </c>
    </row>
    <row r="1452" spans="1:5" x14ac:dyDescent="0.2">
      <c r="A1452" s="1" t="s">
        <v>1</v>
      </c>
      <c r="B1452" s="1" t="s">
        <v>2</v>
      </c>
      <c r="C1452" s="1" t="s">
        <v>3</v>
      </c>
      <c r="D1452" s="1" t="s">
        <v>4</v>
      </c>
      <c r="E1452" s="3">
        <f t="shared" si="22"/>
        <v>18</v>
      </c>
    </row>
    <row r="1453" spans="1:5" x14ac:dyDescent="0.2">
      <c r="A1453">
        <v>1</v>
      </c>
      <c r="B1453" t="s">
        <v>506</v>
      </c>
      <c r="C1453">
        <v>4</v>
      </c>
      <c r="D1453">
        <v>17</v>
      </c>
      <c r="E1453" s="3">
        <f t="shared" si="22"/>
        <v>18</v>
      </c>
    </row>
    <row r="1454" spans="1:5" x14ac:dyDescent="0.2">
      <c r="A1454">
        <v>2</v>
      </c>
      <c r="B1454" t="s">
        <v>6</v>
      </c>
      <c r="C1454">
        <v>0</v>
      </c>
      <c r="D1454">
        <v>13</v>
      </c>
      <c r="E1454" s="3">
        <f t="shared" si="22"/>
        <v>18</v>
      </c>
    </row>
    <row r="1455" spans="1:5" x14ac:dyDescent="0.2">
      <c r="A1455">
        <v>3</v>
      </c>
      <c r="B1455" t="s">
        <v>21</v>
      </c>
      <c r="C1455">
        <v>2</v>
      </c>
      <c r="D1455">
        <v>9</v>
      </c>
      <c r="E1455" s="3">
        <f t="shared" si="22"/>
        <v>18</v>
      </c>
    </row>
    <row r="1456" spans="1:5" x14ac:dyDescent="0.2">
      <c r="A1456">
        <v>4</v>
      </c>
      <c r="B1456" t="s">
        <v>461</v>
      </c>
      <c r="C1456">
        <v>0</v>
      </c>
      <c r="D1456">
        <v>5</v>
      </c>
      <c r="E1456" s="3">
        <f t="shared" si="22"/>
        <v>18</v>
      </c>
    </row>
    <row r="1457" spans="1:5" x14ac:dyDescent="0.2">
      <c r="A1457">
        <v>5</v>
      </c>
      <c r="B1457" t="s">
        <v>535</v>
      </c>
      <c r="C1457">
        <v>0</v>
      </c>
      <c r="D1457">
        <v>3</v>
      </c>
      <c r="E1457" s="3">
        <f t="shared" si="22"/>
        <v>18</v>
      </c>
    </row>
    <row r="1458" spans="1:5" x14ac:dyDescent="0.2">
      <c r="A1458">
        <v>6</v>
      </c>
      <c r="B1458" t="s">
        <v>505</v>
      </c>
      <c r="C1458">
        <v>0</v>
      </c>
      <c r="D1458">
        <v>2</v>
      </c>
      <c r="E1458" s="3">
        <f t="shared" si="22"/>
        <v>18</v>
      </c>
    </row>
    <row r="1459" spans="1:5" x14ac:dyDescent="0.2">
      <c r="A1459">
        <v>7</v>
      </c>
      <c r="B1459" t="s">
        <v>33</v>
      </c>
      <c r="C1459">
        <v>0</v>
      </c>
      <c r="D1459">
        <v>1</v>
      </c>
      <c r="E1459" s="3">
        <f t="shared" si="22"/>
        <v>18</v>
      </c>
    </row>
    <row r="1460" spans="1:5" x14ac:dyDescent="0.2">
      <c r="A1460">
        <v>8</v>
      </c>
      <c r="B1460" s="2" t="s">
        <v>10</v>
      </c>
      <c r="C1460" s="2" t="s">
        <v>10</v>
      </c>
      <c r="D1460" s="2" t="s">
        <v>10</v>
      </c>
      <c r="E1460" s="3">
        <f t="shared" si="22"/>
        <v>18</v>
      </c>
    </row>
    <row r="1461" spans="1:5" x14ac:dyDescent="0.2">
      <c r="A1461" s="1" t="s">
        <v>30</v>
      </c>
      <c r="E1461" s="3">
        <f t="shared" si="22"/>
        <v>18</v>
      </c>
    </row>
    <row r="1462" spans="1:5" x14ac:dyDescent="0.2">
      <c r="A1462" s="1" t="s">
        <v>1</v>
      </c>
      <c r="B1462" s="1" t="s">
        <v>2</v>
      </c>
      <c r="C1462" s="1" t="s">
        <v>3</v>
      </c>
      <c r="D1462" s="1" t="s">
        <v>4</v>
      </c>
      <c r="E1462" s="3">
        <f t="shared" si="22"/>
        <v>18</v>
      </c>
    </row>
    <row r="1463" spans="1:5" x14ac:dyDescent="0.2">
      <c r="A1463">
        <v>1</v>
      </c>
      <c r="B1463" t="s">
        <v>454</v>
      </c>
      <c r="C1463">
        <v>3</v>
      </c>
      <c r="D1463">
        <v>17</v>
      </c>
      <c r="E1463" s="3">
        <f t="shared" si="22"/>
        <v>18</v>
      </c>
    </row>
    <row r="1464" spans="1:5" x14ac:dyDescent="0.2">
      <c r="A1464">
        <v>2</v>
      </c>
      <c r="B1464" t="s">
        <v>19</v>
      </c>
      <c r="C1464">
        <v>1</v>
      </c>
      <c r="D1464">
        <v>13</v>
      </c>
      <c r="E1464" s="3">
        <f t="shared" si="22"/>
        <v>18</v>
      </c>
    </row>
    <row r="1465" spans="1:5" x14ac:dyDescent="0.2">
      <c r="A1465">
        <v>3</v>
      </c>
      <c r="B1465" t="s">
        <v>66</v>
      </c>
      <c r="C1465">
        <v>1</v>
      </c>
      <c r="D1465">
        <v>9</v>
      </c>
      <c r="E1465" s="3">
        <f t="shared" si="22"/>
        <v>18</v>
      </c>
    </row>
    <row r="1466" spans="1:5" x14ac:dyDescent="0.2">
      <c r="A1466">
        <v>4</v>
      </c>
      <c r="B1466" t="s">
        <v>533</v>
      </c>
      <c r="C1466">
        <v>1</v>
      </c>
      <c r="D1466">
        <v>5</v>
      </c>
      <c r="E1466" s="3">
        <f t="shared" si="22"/>
        <v>18</v>
      </c>
    </row>
    <row r="1467" spans="1:5" x14ac:dyDescent="0.2">
      <c r="A1467">
        <v>5</v>
      </c>
      <c r="B1467" t="s">
        <v>76</v>
      </c>
      <c r="C1467">
        <v>0</v>
      </c>
      <c r="D1467">
        <v>3</v>
      </c>
      <c r="E1467" s="3">
        <f t="shared" si="22"/>
        <v>18</v>
      </c>
    </row>
    <row r="1468" spans="1:5" x14ac:dyDescent="0.2">
      <c r="A1468">
        <v>6</v>
      </c>
      <c r="B1468" t="s">
        <v>503</v>
      </c>
      <c r="C1468">
        <v>0</v>
      </c>
      <c r="D1468">
        <v>2</v>
      </c>
      <c r="E1468" s="3">
        <f t="shared" si="22"/>
        <v>18</v>
      </c>
    </row>
    <row r="1469" spans="1:5" x14ac:dyDescent="0.2">
      <c r="A1469">
        <v>7</v>
      </c>
      <c r="B1469" t="s">
        <v>101</v>
      </c>
      <c r="C1469">
        <v>0</v>
      </c>
      <c r="D1469">
        <v>1</v>
      </c>
      <c r="E1469" s="3">
        <f t="shared" si="22"/>
        <v>18</v>
      </c>
    </row>
    <row r="1470" spans="1:5" x14ac:dyDescent="0.2">
      <c r="A1470">
        <v>8</v>
      </c>
      <c r="B1470" s="2" t="s">
        <v>10</v>
      </c>
      <c r="C1470" s="2" t="s">
        <v>10</v>
      </c>
      <c r="D1470" s="2" t="s">
        <v>10</v>
      </c>
      <c r="E1470" s="3">
        <f t="shared" si="22"/>
        <v>18</v>
      </c>
    </row>
    <row r="1471" spans="1:5" x14ac:dyDescent="0.2">
      <c r="A1471" s="1" t="s">
        <v>37</v>
      </c>
      <c r="E1471" s="3">
        <f t="shared" si="22"/>
        <v>18</v>
      </c>
    </row>
    <row r="1472" spans="1:5" x14ac:dyDescent="0.2">
      <c r="A1472" s="1" t="s">
        <v>1</v>
      </c>
      <c r="B1472" s="1" t="s">
        <v>2</v>
      </c>
      <c r="C1472" s="1" t="s">
        <v>3</v>
      </c>
      <c r="D1472" s="1" t="s">
        <v>4</v>
      </c>
      <c r="E1472" s="3">
        <f t="shared" si="22"/>
        <v>18</v>
      </c>
    </row>
    <row r="1473" spans="1:5" x14ac:dyDescent="0.2">
      <c r="A1473">
        <v>1</v>
      </c>
      <c r="B1473" t="s">
        <v>27</v>
      </c>
      <c r="C1473">
        <v>5</v>
      </c>
      <c r="D1473">
        <v>17</v>
      </c>
      <c r="E1473" s="3">
        <f t="shared" si="22"/>
        <v>18</v>
      </c>
    </row>
    <row r="1474" spans="1:5" x14ac:dyDescent="0.2">
      <c r="A1474">
        <v>2</v>
      </c>
      <c r="B1474" t="s">
        <v>475</v>
      </c>
      <c r="C1474">
        <v>1</v>
      </c>
      <c r="D1474">
        <v>13</v>
      </c>
      <c r="E1474" s="3">
        <f t="shared" si="22"/>
        <v>18</v>
      </c>
    </row>
    <row r="1475" spans="1:5" x14ac:dyDescent="0.2">
      <c r="A1475">
        <v>3</v>
      </c>
      <c r="B1475" t="s">
        <v>74</v>
      </c>
      <c r="C1475">
        <v>0</v>
      </c>
      <c r="D1475">
        <v>9</v>
      </c>
      <c r="E1475" s="3">
        <f t="shared" si="22"/>
        <v>18</v>
      </c>
    </row>
    <row r="1476" spans="1:5" x14ac:dyDescent="0.2">
      <c r="A1476">
        <v>4</v>
      </c>
      <c r="B1476" t="s">
        <v>509</v>
      </c>
      <c r="C1476">
        <v>0</v>
      </c>
      <c r="D1476">
        <v>5</v>
      </c>
      <c r="E1476" s="3">
        <f t="shared" ref="E1476:E1539" si="23">IF(A1476=$A$1,E1475+1,E1475)</f>
        <v>18</v>
      </c>
    </row>
    <row r="1477" spans="1:5" x14ac:dyDescent="0.2">
      <c r="A1477">
        <v>5</v>
      </c>
      <c r="B1477" t="s">
        <v>81</v>
      </c>
      <c r="C1477">
        <v>0</v>
      </c>
      <c r="D1477">
        <v>3</v>
      </c>
      <c r="E1477" s="3">
        <f t="shared" si="23"/>
        <v>18</v>
      </c>
    </row>
    <row r="1478" spans="1:5" x14ac:dyDescent="0.2">
      <c r="A1478">
        <v>6</v>
      </c>
      <c r="B1478" t="s">
        <v>515</v>
      </c>
      <c r="C1478">
        <v>0</v>
      </c>
      <c r="D1478">
        <v>2</v>
      </c>
      <c r="E1478" s="3">
        <f t="shared" si="23"/>
        <v>18</v>
      </c>
    </row>
    <row r="1479" spans="1:5" x14ac:dyDescent="0.2">
      <c r="A1479">
        <v>7</v>
      </c>
      <c r="B1479" t="s">
        <v>507</v>
      </c>
      <c r="C1479">
        <v>0</v>
      </c>
      <c r="D1479">
        <v>1</v>
      </c>
      <c r="E1479" s="3">
        <f t="shared" si="23"/>
        <v>18</v>
      </c>
    </row>
    <row r="1480" spans="1:5" x14ac:dyDescent="0.2">
      <c r="A1480">
        <v>8</v>
      </c>
      <c r="B1480" s="2" t="s">
        <v>10</v>
      </c>
      <c r="C1480" s="2" t="s">
        <v>10</v>
      </c>
      <c r="D1480" s="2" t="s">
        <v>10</v>
      </c>
      <c r="E1480" s="3">
        <f t="shared" si="23"/>
        <v>18</v>
      </c>
    </row>
    <row r="1481" spans="1:5" x14ac:dyDescent="0.2">
      <c r="A1481" s="1" t="s">
        <v>44</v>
      </c>
      <c r="E1481" s="3">
        <f t="shared" si="23"/>
        <v>18</v>
      </c>
    </row>
    <row r="1482" spans="1:5" x14ac:dyDescent="0.2">
      <c r="A1482" s="1" t="s">
        <v>1</v>
      </c>
      <c r="B1482" s="1" t="s">
        <v>2</v>
      </c>
      <c r="C1482" s="1" t="s">
        <v>3</v>
      </c>
      <c r="D1482" s="1" t="s">
        <v>4</v>
      </c>
      <c r="E1482" s="3">
        <f t="shared" si="23"/>
        <v>18</v>
      </c>
    </row>
    <row r="1483" spans="1:5" x14ac:dyDescent="0.2">
      <c r="A1483">
        <v>1</v>
      </c>
      <c r="B1483" t="s">
        <v>88</v>
      </c>
      <c r="C1483">
        <v>2</v>
      </c>
      <c r="D1483">
        <v>17</v>
      </c>
      <c r="E1483" s="3">
        <f t="shared" si="23"/>
        <v>18</v>
      </c>
    </row>
    <row r="1484" spans="1:5" x14ac:dyDescent="0.2">
      <c r="A1484">
        <v>2</v>
      </c>
      <c r="B1484" t="s">
        <v>532</v>
      </c>
      <c r="C1484">
        <v>0</v>
      </c>
      <c r="D1484">
        <v>13</v>
      </c>
      <c r="E1484" s="3">
        <f t="shared" si="23"/>
        <v>18</v>
      </c>
    </row>
    <row r="1485" spans="1:5" x14ac:dyDescent="0.2">
      <c r="A1485">
        <v>3</v>
      </c>
      <c r="B1485" t="s">
        <v>531</v>
      </c>
      <c r="C1485">
        <v>4</v>
      </c>
      <c r="D1485">
        <v>9</v>
      </c>
      <c r="E1485" s="3">
        <f t="shared" si="23"/>
        <v>18</v>
      </c>
    </row>
    <row r="1486" spans="1:5" x14ac:dyDescent="0.2">
      <c r="A1486">
        <v>4</v>
      </c>
      <c r="B1486" t="s">
        <v>59</v>
      </c>
      <c r="C1486">
        <v>0</v>
      </c>
      <c r="D1486">
        <v>5</v>
      </c>
      <c r="E1486" s="3">
        <f t="shared" si="23"/>
        <v>18</v>
      </c>
    </row>
    <row r="1487" spans="1:5" x14ac:dyDescent="0.2">
      <c r="A1487">
        <v>5</v>
      </c>
      <c r="B1487" t="s">
        <v>280</v>
      </c>
      <c r="C1487">
        <v>0</v>
      </c>
      <c r="D1487">
        <v>3</v>
      </c>
      <c r="E1487" s="3">
        <f t="shared" si="23"/>
        <v>18</v>
      </c>
    </row>
    <row r="1488" spans="1:5" x14ac:dyDescent="0.2">
      <c r="A1488">
        <v>6</v>
      </c>
      <c r="B1488" t="s">
        <v>9</v>
      </c>
      <c r="C1488">
        <v>0</v>
      </c>
      <c r="D1488">
        <v>2</v>
      </c>
      <c r="E1488" s="3">
        <f t="shared" si="23"/>
        <v>18</v>
      </c>
    </row>
    <row r="1489" spans="1:5" x14ac:dyDescent="0.2">
      <c r="A1489">
        <v>7</v>
      </c>
      <c r="B1489" t="s">
        <v>525</v>
      </c>
      <c r="C1489">
        <v>0</v>
      </c>
      <c r="D1489">
        <v>1</v>
      </c>
      <c r="E1489" s="3">
        <f t="shared" si="23"/>
        <v>18</v>
      </c>
    </row>
    <row r="1490" spans="1:5" x14ac:dyDescent="0.2">
      <c r="A1490">
        <v>8</v>
      </c>
      <c r="B1490" s="2" t="s">
        <v>10</v>
      </c>
      <c r="C1490" s="2" t="s">
        <v>10</v>
      </c>
      <c r="D1490" s="2" t="s">
        <v>10</v>
      </c>
      <c r="E1490" s="3">
        <f t="shared" si="23"/>
        <v>18</v>
      </c>
    </row>
    <row r="1491" spans="1:5" x14ac:dyDescent="0.2">
      <c r="A1491" s="1" t="s">
        <v>0</v>
      </c>
      <c r="E1491" s="3">
        <f t="shared" si="23"/>
        <v>19</v>
      </c>
    </row>
    <row r="1492" spans="1:5" x14ac:dyDescent="0.2">
      <c r="A1492" s="1" t="s">
        <v>1</v>
      </c>
      <c r="B1492" s="1" t="s">
        <v>2</v>
      </c>
      <c r="C1492" s="1" t="s">
        <v>3</v>
      </c>
      <c r="D1492" s="1" t="s">
        <v>4</v>
      </c>
      <c r="E1492" s="3">
        <f t="shared" si="23"/>
        <v>19</v>
      </c>
    </row>
    <row r="1493" spans="1:5" x14ac:dyDescent="0.2">
      <c r="A1493">
        <v>1</v>
      </c>
      <c r="B1493" t="s">
        <v>505</v>
      </c>
      <c r="C1493">
        <v>1</v>
      </c>
      <c r="D1493">
        <v>16</v>
      </c>
      <c r="E1493" s="3">
        <f t="shared" si="23"/>
        <v>19</v>
      </c>
    </row>
    <row r="1494" spans="1:5" x14ac:dyDescent="0.2">
      <c r="A1494">
        <v>2</v>
      </c>
      <c r="B1494" t="s">
        <v>475</v>
      </c>
      <c r="C1494">
        <v>3</v>
      </c>
      <c r="D1494">
        <v>12</v>
      </c>
      <c r="E1494" s="3">
        <f t="shared" si="23"/>
        <v>19</v>
      </c>
    </row>
    <row r="1495" spans="1:5" x14ac:dyDescent="0.2">
      <c r="A1495">
        <v>3</v>
      </c>
      <c r="B1495" t="s">
        <v>345</v>
      </c>
      <c r="C1495">
        <v>1</v>
      </c>
      <c r="D1495">
        <v>8</v>
      </c>
      <c r="E1495" s="3">
        <f t="shared" si="23"/>
        <v>19</v>
      </c>
    </row>
    <row r="1496" spans="1:5" x14ac:dyDescent="0.2">
      <c r="A1496">
        <v>4</v>
      </c>
      <c r="B1496" t="s">
        <v>46</v>
      </c>
      <c r="C1496">
        <v>0</v>
      </c>
      <c r="D1496">
        <v>4</v>
      </c>
      <c r="E1496" s="3">
        <f t="shared" si="23"/>
        <v>19</v>
      </c>
    </row>
    <row r="1497" spans="1:5" x14ac:dyDescent="0.2">
      <c r="A1497">
        <v>5</v>
      </c>
      <c r="B1497" t="s">
        <v>485</v>
      </c>
      <c r="C1497">
        <v>0</v>
      </c>
      <c r="D1497">
        <v>2</v>
      </c>
      <c r="E1497" s="3">
        <f t="shared" si="23"/>
        <v>19</v>
      </c>
    </row>
    <row r="1498" spans="1:5" x14ac:dyDescent="0.2">
      <c r="A1498">
        <v>6</v>
      </c>
      <c r="B1498" t="s">
        <v>512</v>
      </c>
      <c r="C1498">
        <v>0</v>
      </c>
      <c r="D1498">
        <v>1</v>
      </c>
      <c r="E1498" s="3">
        <f t="shared" si="23"/>
        <v>19</v>
      </c>
    </row>
    <row r="1499" spans="1:5" x14ac:dyDescent="0.2">
      <c r="A1499">
        <v>7</v>
      </c>
      <c r="B1499" s="2" t="s">
        <v>10</v>
      </c>
      <c r="C1499" s="2" t="s">
        <v>10</v>
      </c>
      <c r="D1499" s="2" t="s">
        <v>10</v>
      </c>
      <c r="E1499" s="3">
        <f t="shared" si="23"/>
        <v>19</v>
      </c>
    </row>
    <row r="1500" spans="1:5" x14ac:dyDescent="0.2">
      <c r="A1500">
        <v>8</v>
      </c>
      <c r="B1500" s="2" t="s">
        <v>10</v>
      </c>
      <c r="C1500" s="2" t="s">
        <v>10</v>
      </c>
      <c r="D1500" s="2" t="s">
        <v>10</v>
      </c>
      <c r="E1500" s="3">
        <f t="shared" si="23"/>
        <v>19</v>
      </c>
    </row>
    <row r="1501" spans="1:5" x14ac:dyDescent="0.2">
      <c r="A1501" s="1" t="s">
        <v>11</v>
      </c>
      <c r="E1501" s="3">
        <f t="shared" si="23"/>
        <v>19</v>
      </c>
    </row>
    <row r="1502" spans="1:5" x14ac:dyDescent="0.2">
      <c r="A1502" s="1" t="s">
        <v>1</v>
      </c>
      <c r="B1502" s="1" t="s">
        <v>2</v>
      </c>
      <c r="C1502" s="1" t="s">
        <v>3</v>
      </c>
      <c r="D1502" s="1" t="s">
        <v>4</v>
      </c>
      <c r="E1502" s="3">
        <f t="shared" si="23"/>
        <v>19</v>
      </c>
    </row>
    <row r="1503" spans="1:5" x14ac:dyDescent="0.2">
      <c r="A1503">
        <v>1</v>
      </c>
      <c r="B1503" t="s">
        <v>532</v>
      </c>
      <c r="C1503">
        <v>4</v>
      </c>
      <c r="D1503">
        <v>16</v>
      </c>
      <c r="E1503" s="3">
        <f t="shared" si="23"/>
        <v>19</v>
      </c>
    </row>
    <row r="1504" spans="1:5" x14ac:dyDescent="0.2">
      <c r="A1504">
        <v>2</v>
      </c>
      <c r="B1504" t="s">
        <v>25</v>
      </c>
      <c r="C1504">
        <v>0</v>
      </c>
      <c r="D1504">
        <v>12</v>
      </c>
      <c r="E1504" s="3">
        <f t="shared" si="23"/>
        <v>19</v>
      </c>
    </row>
    <row r="1505" spans="1:5" x14ac:dyDescent="0.2">
      <c r="A1505">
        <v>3</v>
      </c>
      <c r="B1505" t="s">
        <v>33</v>
      </c>
      <c r="C1505">
        <v>1</v>
      </c>
      <c r="D1505">
        <v>8</v>
      </c>
      <c r="E1505" s="3">
        <f t="shared" si="23"/>
        <v>19</v>
      </c>
    </row>
    <row r="1506" spans="1:5" x14ac:dyDescent="0.2">
      <c r="A1506">
        <v>4</v>
      </c>
      <c r="B1506" t="s">
        <v>509</v>
      </c>
      <c r="C1506">
        <v>0</v>
      </c>
      <c r="D1506">
        <v>4</v>
      </c>
      <c r="E1506" s="3">
        <f t="shared" si="23"/>
        <v>19</v>
      </c>
    </row>
    <row r="1507" spans="1:5" x14ac:dyDescent="0.2">
      <c r="A1507">
        <v>5</v>
      </c>
      <c r="B1507" t="s">
        <v>534</v>
      </c>
      <c r="C1507">
        <v>0</v>
      </c>
      <c r="D1507">
        <v>2</v>
      </c>
      <c r="E1507" s="3">
        <f t="shared" si="23"/>
        <v>19</v>
      </c>
    </row>
    <row r="1508" spans="1:5" x14ac:dyDescent="0.2">
      <c r="A1508">
        <v>6</v>
      </c>
      <c r="B1508" t="s">
        <v>27</v>
      </c>
      <c r="C1508">
        <v>0</v>
      </c>
      <c r="D1508">
        <v>1</v>
      </c>
      <c r="E1508" s="3">
        <f t="shared" si="23"/>
        <v>19</v>
      </c>
    </row>
    <row r="1509" spans="1:5" x14ac:dyDescent="0.2">
      <c r="A1509">
        <v>7</v>
      </c>
      <c r="B1509" s="2" t="s">
        <v>10</v>
      </c>
      <c r="C1509" s="2" t="s">
        <v>10</v>
      </c>
      <c r="D1509" s="2" t="s">
        <v>10</v>
      </c>
      <c r="E1509" s="3">
        <f t="shared" si="23"/>
        <v>19</v>
      </c>
    </row>
    <row r="1510" spans="1:5" x14ac:dyDescent="0.2">
      <c r="A1510">
        <v>8</v>
      </c>
      <c r="B1510" s="2" t="s">
        <v>10</v>
      </c>
      <c r="C1510" s="2" t="s">
        <v>10</v>
      </c>
      <c r="D1510" s="2" t="s">
        <v>10</v>
      </c>
      <c r="E1510" s="3">
        <f t="shared" si="23"/>
        <v>19</v>
      </c>
    </row>
    <row r="1511" spans="1:5" x14ac:dyDescent="0.2">
      <c r="A1511" s="1" t="s">
        <v>17</v>
      </c>
      <c r="E1511" s="3">
        <f t="shared" si="23"/>
        <v>19</v>
      </c>
    </row>
    <row r="1512" spans="1:5" x14ac:dyDescent="0.2">
      <c r="A1512" s="1" t="s">
        <v>1</v>
      </c>
      <c r="B1512" s="1" t="s">
        <v>2</v>
      </c>
      <c r="C1512" s="1" t="s">
        <v>3</v>
      </c>
      <c r="D1512" s="1" t="s">
        <v>4</v>
      </c>
      <c r="E1512" s="3">
        <f t="shared" si="23"/>
        <v>19</v>
      </c>
    </row>
    <row r="1513" spans="1:5" x14ac:dyDescent="0.2">
      <c r="A1513">
        <v>1</v>
      </c>
      <c r="B1513" t="s">
        <v>65</v>
      </c>
      <c r="C1513">
        <v>4</v>
      </c>
      <c r="D1513">
        <v>16</v>
      </c>
      <c r="E1513" s="3">
        <f t="shared" si="23"/>
        <v>19</v>
      </c>
    </row>
    <row r="1514" spans="1:5" x14ac:dyDescent="0.2">
      <c r="A1514">
        <v>2</v>
      </c>
      <c r="B1514" t="s">
        <v>29</v>
      </c>
      <c r="C1514">
        <v>1</v>
      </c>
      <c r="D1514">
        <v>12</v>
      </c>
      <c r="E1514" s="3">
        <f t="shared" si="23"/>
        <v>19</v>
      </c>
    </row>
    <row r="1515" spans="1:5" x14ac:dyDescent="0.2">
      <c r="A1515">
        <v>3</v>
      </c>
      <c r="B1515" t="s">
        <v>74</v>
      </c>
      <c r="C1515">
        <v>0</v>
      </c>
      <c r="D1515">
        <v>8</v>
      </c>
      <c r="E1515" s="3">
        <f t="shared" si="23"/>
        <v>19</v>
      </c>
    </row>
    <row r="1516" spans="1:5" x14ac:dyDescent="0.2">
      <c r="A1516">
        <v>4</v>
      </c>
      <c r="B1516" t="s">
        <v>479</v>
      </c>
      <c r="C1516">
        <v>0</v>
      </c>
      <c r="D1516">
        <v>4</v>
      </c>
      <c r="E1516" s="3">
        <f t="shared" si="23"/>
        <v>19</v>
      </c>
    </row>
    <row r="1517" spans="1:5" x14ac:dyDescent="0.2">
      <c r="A1517">
        <v>5</v>
      </c>
      <c r="B1517" t="s">
        <v>19</v>
      </c>
      <c r="C1517">
        <v>0</v>
      </c>
      <c r="D1517">
        <v>2</v>
      </c>
      <c r="E1517" s="3">
        <f t="shared" si="23"/>
        <v>19</v>
      </c>
    </row>
    <row r="1518" spans="1:5" x14ac:dyDescent="0.2">
      <c r="A1518">
        <v>6</v>
      </c>
      <c r="B1518" t="s">
        <v>507</v>
      </c>
      <c r="C1518">
        <v>0</v>
      </c>
      <c r="D1518">
        <v>1</v>
      </c>
      <c r="E1518" s="3">
        <f t="shared" si="23"/>
        <v>19</v>
      </c>
    </row>
    <row r="1519" spans="1:5" x14ac:dyDescent="0.2">
      <c r="A1519">
        <v>7</v>
      </c>
      <c r="B1519" s="2" t="s">
        <v>10</v>
      </c>
      <c r="C1519" s="2" t="s">
        <v>10</v>
      </c>
      <c r="D1519" s="2" t="s">
        <v>10</v>
      </c>
      <c r="E1519" s="3">
        <f t="shared" si="23"/>
        <v>19</v>
      </c>
    </row>
    <row r="1520" spans="1:5" x14ac:dyDescent="0.2">
      <c r="A1520">
        <v>8</v>
      </c>
      <c r="B1520" s="2" t="s">
        <v>10</v>
      </c>
      <c r="C1520" s="2" t="s">
        <v>10</v>
      </c>
      <c r="D1520" s="2" t="s">
        <v>10</v>
      </c>
      <c r="E1520" s="3">
        <f t="shared" si="23"/>
        <v>19</v>
      </c>
    </row>
    <row r="1521" spans="1:5" x14ac:dyDescent="0.2">
      <c r="A1521" s="1" t="s">
        <v>24</v>
      </c>
      <c r="E1521" s="3">
        <f t="shared" si="23"/>
        <v>19</v>
      </c>
    </row>
    <row r="1522" spans="1:5" x14ac:dyDescent="0.2">
      <c r="A1522" s="1" t="s">
        <v>1</v>
      </c>
      <c r="B1522" s="1" t="s">
        <v>2</v>
      </c>
      <c r="C1522" s="1" t="s">
        <v>3</v>
      </c>
      <c r="D1522" s="1" t="s">
        <v>4</v>
      </c>
      <c r="E1522" s="3">
        <f t="shared" si="23"/>
        <v>19</v>
      </c>
    </row>
    <row r="1523" spans="1:5" x14ac:dyDescent="0.2">
      <c r="A1523">
        <v>1</v>
      </c>
      <c r="B1523" t="s">
        <v>506</v>
      </c>
      <c r="C1523">
        <v>3</v>
      </c>
      <c r="D1523">
        <v>16</v>
      </c>
      <c r="E1523" s="3">
        <f t="shared" si="23"/>
        <v>19</v>
      </c>
    </row>
    <row r="1524" spans="1:5" x14ac:dyDescent="0.2">
      <c r="A1524">
        <v>2</v>
      </c>
      <c r="B1524" t="s">
        <v>35</v>
      </c>
      <c r="C1524">
        <v>2</v>
      </c>
      <c r="D1524">
        <v>12</v>
      </c>
      <c r="E1524" s="3">
        <f t="shared" si="23"/>
        <v>19</v>
      </c>
    </row>
    <row r="1525" spans="1:5" x14ac:dyDescent="0.2">
      <c r="A1525">
        <v>3</v>
      </c>
      <c r="B1525" t="s">
        <v>69</v>
      </c>
      <c r="C1525">
        <v>0</v>
      </c>
      <c r="D1525">
        <v>8</v>
      </c>
      <c r="E1525" s="3">
        <f t="shared" si="23"/>
        <v>19</v>
      </c>
    </row>
    <row r="1526" spans="1:5" x14ac:dyDescent="0.2">
      <c r="A1526">
        <v>4</v>
      </c>
      <c r="B1526" t="s">
        <v>501</v>
      </c>
      <c r="C1526">
        <v>0</v>
      </c>
      <c r="D1526">
        <v>4</v>
      </c>
      <c r="E1526" s="3">
        <f t="shared" si="23"/>
        <v>19</v>
      </c>
    </row>
    <row r="1527" spans="1:5" x14ac:dyDescent="0.2">
      <c r="A1527">
        <v>5</v>
      </c>
      <c r="B1527" t="s">
        <v>526</v>
      </c>
      <c r="C1527">
        <v>0</v>
      </c>
      <c r="D1527">
        <v>2</v>
      </c>
      <c r="E1527" s="3">
        <f t="shared" si="23"/>
        <v>19</v>
      </c>
    </row>
    <row r="1528" spans="1:5" x14ac:dyDescent="0.2">
      <c r="A1528">
        <v>6</v>
      </c>
      <c r="B1528" t="s">
        <v>55</v>
      </c>
      <c r="C1528">
        <v>0</v>
      </c>
      <c r="D1528">
        <v>1</v>
      </c>
      <c r="E1528" s="3">
        <f t="shared" si="23"/>
        <v>19</v>
      </c>
    </row>
    <row r="1529" spans="1:5" x14ac:dyDescent="0.2">
      <c r="A1529">
        <v>7</v>
      </c>
      <c r="B1529" s="2" t="s">
        <v>10</v>
      </c>
      <c r="C1529" s="2" t="s">
        <v>10</v>
      </c>
      <c r="D1529" s="2" t="s">
        <v>10</v>
      </c>
      <c r="E1529" s="3">
        <f t="shared" si="23"/>
        <v>19</v>
      </c>
    </row>
    <row r="1530" spans="1:5" x14ac:dyDescent="0.2">
      <c r="A1530">
        <v>8</v>
      </c>
      <c r="B1530" s="2" t="s">
        <v>10</v>
      </c>
      <c r="C1530" s="2" t="s">
        <v>10</v>
      </c>
      <c r="D1530" s="2" t="s">
        <v>10</v>
      </c>
      <c r="E1530" s="3">
        <f t="shared" si="23"/>
        <v>19</v>
      </c>
    </row>
    <row r="1531" spans="1:5" x14ac:dyDescent="0.2">
      <c r="A1531" s="1" t="s">
        <v>30</v>
      </c>
      <c r="E1531" s="3">
        <f t="shared" si="23"/>
        <v>19</v>
      </c>
    </row>
    <row r="1532" spans="1:5" x14ac:dyDescent="0.2">
      <c r="A1532" s="1" t="s">
        <v>1</v>
      </c>
      <c r="B1532" s="1" t="s">
        <v>2</v>
      </c>
      <c r="C1532" s="1" t="s">
        <v>3</v>
      </c>
      <c r="D1532" s="1" t="s">
        <v>4</v>
      </c>
      <c r="E1532" s="3">
        <f t="shared" si="23"/>
        <v>19</v>
      </c>
    </row>
    <row r="1533" spans="1:5" x14ac:dyDescent="0.2">
      <c r="A1533">
        <v>1</v>
      </c>
      <c r="B1533" t="s">
        <v>66</v>
      </c>
      <c r="C1533">
        <v>4</v>
      </c>
      <c r="D1533">
        <v>16</v>
      </c>
      <c r="E1533" s="3">
        <f t="shared" si="23"/>
        <v>19</v>
      </c>
    </row>
    <row r="1534" spans="1:5" x14ac:dyDescent="0.2">
      <c r="A1534">
        <v>2</v>
      </c>
      <c r="B1534" t="s">
        <v>101</v>
      </c>
      <c r="C1534">
        <v>0</v>
      </c>
      <c r="D1534">
        <v>12</v>
      </c>
      <c r="E1534" s="3">
        <f t="shared" si="23"/>
        <v>19</v>
      </c>
    </row>
    <row r="1535" spans="1:5" x14ac:dyDescent="0.2">
      <c r="A1535">
        <v>3</v>
      </c>
      <c r="B1535" t="s">
        <v>21</v>
      </c>
      <c r="C1535">
        <v>1</v>
      </c>
      <c r="D1535">
        <v>8</v>
      </c>
      <c r="E1535" s="3">
        <f t="shared" si="23"/>
        <v>19</v>
      </c>
    </row>
    <row r="1536" spans="1:5" x14ac:dyDescent="0.2">
      <c r="A1536">
        <v>4</v>
      </c>
      <c r="B1536" t="s">
        <v>73</v>
      </c>
      <c r="C1536">
        <v>0</v>
      </c>
      <c r="D1536">
        <v>4</v>
      </c>
      <c r="E1536" s="3">
        <f t="shared" si="23"/>
        <v>19</v>
      </c>
    </row>
    <row r="1537" spans="1:5" x14ac:dyDescent="0.2">
      <c r="A1537">
        <v>5</v>
      </c>
      <c r="B1537" t="s">
        <v>490</v>
      </c>
      <c r="C1537">
        <v>0</v>
      </c>
      <c r="D1537">
        <v>2</v>
      </c>
      <c r="E1537" s="3">
        <f t="shared" si="23"/>
        <v>19</v>
      </c>
    </row>
    <row r="1538" spans="1:5" x14ac:dyDescent="0.2">
      <c r="A1538">
        <v>6</v>
      </c>
      <c r="B1538" t="s">
        <v>525</v>
      </c>
      <c r="C1538">
        <v>0</v>
      </c>
      <c r="D1538">
        <v>1</v>
      </c>
      <c r="E1538" s="3">
        <f t="shared" si="23"/>
        <v>19</v>
      </c>
    </row>
    <row r="1539" spans="1:5" x14ac:dyDescent="0.2">
      <c r="A1539">
        <v>7</v>
      </c>
      <c r="B1539" s="2" t="s">
        <v>10</v>
      </c>
      <c r="C1539" s="2" t="s">
        <v>10</v>
      </c>
      <c r="D1539" s="2" t="s">
        <v>10</v>
      </c>
      <c r="E1539" s="3">
        <f t="shared" si="23"/>
        <v>19</v>
      </c>
    </row>
    <row r="1540" spans="1:5" x14ac:dyDescent="0.2">
      <c r="A1540">
        <v>8</v>
      </c>
      <c r="B1540" s="2" t="s">
        <v>10</v>
      </c>
      <c r="C1540" s="2" t="s">
        <v>10</v>
      </c>
      <c r="D1540" s="2" t="s">
        <v>10</v>
      </c>
      <c r="E1540" s="3">
        <f t="shared" ref="E1540:E1603" si="24">IF(A1540=$A$1,E1539+1,E1539)</f>
        <v>19</v>
      </c>
    </row>
    <row r="1541" spans="1:5" x14ac:dyDescent="0.2">
      <c r="A1541" s="1" t="s">
        <v>37</v>
      </c>
      <c r="E1541" s="3">
        <f t="shared" si="24"/>
        <v>19</v>
      </c>
    </row>
    <row r="1542" spans="1:5" x14ac:dyDescent="0.2">
      <c r="A1542" s="1" t="s">
        <v>1</v>
      </c>
      <c r="B1542" s="1" t="s">
        <v>2</v>
      </c>
      <c r="C1542" s="1" t="s">
        <v>3</v>
      </c>
      <c r="D1542" s="1" t="s">
        <v>4</v>
      </c>
      <c r="E1542" s="3">
        <f t="shared" si="24"/>
        <v>19</v>
      </c>
    </row>
    <row r="1543" spans="1:5" x14ac:dyDescent="0.2">
      <c r="A1543">
        <v>1</v>
      </c>
      <c r="B1543" t="s">
        <v>504</v>
      </c>
      <c r="C1543">
        <v>3</v>
      </c>
      <c r="D1543">
        <v>16</v>
      </c>
      <c r="E1543" s="3">
        <f t="shared" si="24"/>
        <v>19</v>
      </c>
    </row>
    <row r="1544" spans="1:5" x14ac:dyDescent="0.2">
      <c r="A1544">
        <v>2</v>
      </c>
      <c r="B1544" t="s">
        <v>461</v>
      </c>
      <c r="C1544">
        <v>2</v>
      </c>
      <c r="D1544">
        <v>12</v>
      </c>
      <c r="E1544" s="3">
        <f t="shared" si="24"/>
        <v>19</v>
      </c>
    </row>
    <row r="1545" spans="1:5" x14ac:dyDescent="0.2">
      <c r="A1545">
        <v>3</v>
      </c>
      <c r="B1545" t="s">
        <v>81</v>
      </c>
      <c r="C1545">
        <v>0</v>
      </c>
      <c r="D1545">
        <v>8</v>
      </c>
      <c r="E1545" s="3">
        <f t="shared" si="24"/>
        <v>19</v>
      </c>
    </row>
    <row r="1546" spans="1:5" x14ac:dyDescent="0.2">
      <c r="A1546">
        <v>4</v>
      </c>
      <c r="B1546" t="s">
        <v>519</v>
      </c>
      <c r="C1546">
        <v>0</v>
      </c>
      <c r="D1546">
        <v>4</v>
      </c>
      <c r="E1546" s="3">
        <f t="shared" si="24"/>
        <v>19</v>
      </c>
    </row>
    <row r="1547" spans="1:5" x14ac:dyDescent="0.2">
      <c r="A1547">
        <v>5</v>
      </c>
      <c r="B1547" t="s">
        <v>493</v>
      </c>
      <c r="C1547">
        <v>0</v>
      </c>
      <c r="D1547">
        <v>2</v>
      </c>
      <c r="E1547" s="3">
        <f t="shared" si="24"/>
        <v>19</v>
      </c>
    </row>
    <row r="1548" spans="1:5" x14ac:dyDescent="0.2">
      <c r="A1548">
        <v>6</v>
      </c>
      <c r="B1548" t="s">
        <v>280</v>
      </c>
      <c r="C1548">
        <v>0</v>
      </c>
      <c r="D1548">
        <v>1</v>
      </c>
      <c r="E1548" s="3">
        <f t="shared" si="24"/>
        <v>19</v>
      </c>
    </row>
    <row r="1549" spans="1:5" x14ac:dyDescent="0.2">
      <c r="A1549">
        <v>7</v>
      </c>
      <c r="B1549" s="2" t="s">
        <v>10</v>
      </c>
      <c r="C1549" s="2" t="s">
        <v>10</v>
      </c>
      <c r="D1549" s="2" t="s">
        <v>10</v>
      </c>
      <c r="E1549" s="3">
        <f t="shared" si="24"/>
        <v>19</v>
      </c>
    </row>
    <row r="1550" spans="1:5" x14ac:dyDescent="0.2">
      <c r="A1550">
        <v>8</v>
      </c>
      <c r="B1550" s="2" t="s">
        <v>10</v>
      </c>
      <c r="C1550" s="2" t="s">
        <v>10</v>
      </c>
      <c r="D1550" s="2" t="s">
        <v>10</v>
      </c>
      <c r="E1550" s="3">
        <f t="shared" si="24"/>
        <v>19</v>
      </c>
    </row>
    <row r="1551" spans="1:5" x14ac:dyDescent="0.2">
      <c r="A1551" s="1" t="s">
        <v>44</v>
      </c>
      <c r="E1551" s="3">
        <f t="shared" si="24"/>
        <v>19</v>
      </c>
    </row>
    <row r="1552" spans="1:5" x14ac:dyDescent="0.2">
      <c r="A1552" s="1" t="s">
        <v>1</v>
      </c>
      <c r="B1552" s="1" t="s">
        <v>2</v>
      </c>
      <c r="C1552" s="1" t="s">
        <v>3</v>
      </c>
      <c r="D1552" s="1" t="s">
        <v>4</v>
      </c>
      <c r="E1552" s="3">
        <f t="shared" si="24"/>
        <v>19</v>
      </c>
    </row>
    <row r="1553" spans="1:5" x14ac:dyDescent="0.2">
      <c r="A1553">
        <v>1</v>
      </c>
      <c r="B1553" t="s">
        <v>452</v>
      </c>
      <c r="C1553">
        <v>3</v>
      </c>
      <c r="D1553">
        <v>16</v>
      </c>
      <c r="E1553" s="3">
        <f t="shared" si="24"/>
        <v>19</v>
      </c>
    </row>
    <row r="1554" spans="1:5" x14ac:dyDescent="0.2">
      <c r="A1554">
        <v>2</v>
      </c>
      <c r="B1554" t="s">
        <v>503</v>
      </c>
      <c r="C1554">
        <v>1</v>
      </c>
      <c r="D1554">
        <v>12</v>
      </c>
      <c r="E1554" s="3">
        <f t="shared" si="24"/>
        <v>19</v>
      </c>
    </row>
    <row r="1555" spans="1:5" x14ac:dyDescent="0.2">
      <c r="A1555">
        <v>3</v>
      </c>
      <c r="B1555" t="s">
        <v>516</v>
      </c>
      <c r="C1555">
        <v>0</v>
      </c>
      <c r="D1555">
        <v>8</v>
      </c>
      <c r="E1555" s="3">
        <f t="shared" si="24"/>
        <v>19</v>
      </c>
    </row>
    <row r="1556" spans="1:5" x14ac:dyDescent="0.2">
      <c r="A1556">
        <v>4</v>
      </c>
      <c r="B1556" t="s">
        <v>75</v>
      </c>
      <c r="C1556">
        <v>0</v>
      </c>
      <c r="D1556">
        <v>4</v>
      </c>
      <c r="E1556" s="3">
        <f t="shared" si="24"/>
        <v>19</v>
      </c>
    </row>
    <row r="1557" spans="1:5" x14ac:dyDescent="0.2">
      <c r="A1557">
        <v>5</v>
      </c>
      <c r="B1557" t="s">
        <v>454</v>
      </c>
      <c r="C1557">
        <v>1</v>
      </c>
      <c r="D1557">
        <v>2</v>
      </c>
      <c r="E1557" s="3">
        <f t="shared" si="24"/>
        <v>19</v>
      </c>
    </row>
    <row r="1558" spans="1:5" x14ac:dyDescent="0.2">
      <c r="A1558">
        <v>6</v>
      </c>
      <c r="B1558" t="s">
        <v>48</v>
      </c>
      <c r="C1558">
        <v>0</v>
      </c>
      <c r="D1558">
        <v>1</v>
      </c>
      <c r="E1558" s="3">
        <f t="shared" si="24"/>
        <v>19</v>
      </c>
    </row>
    <row r="1559" spans="1:5" x14ac:dyDescent="0.2">
      <c r="A1559">
        <v>7</v>
      </c>
      <c r="B1559" s="2" t="s">
        <v>10</v>
      </c>
      <c r="C1559" s="2" t="s">
        <v>10</v>
      </c>
      <c r="D1559" s="2" t="s">
        <v>10</v>
      </c>
      <c r="E1559" s="3">
        <f t="shared" si="24"/>
        <v>19</v>
      </c>
    </row>
    <row r="1560" spans="1:5" x14ac:dyDescent="0.2">
      <c r="A1560">
        <v>8</v>
      </c>
      <c r="B1560" s="2" t="s">
        <v>10</v>
      </c>
      <c r="C1560" s="2" t="s">
        <v>10</v>
      </c>
      <c r="D1560" s="2" t="s">
        <v>10</v>
      </c>
      <c r="E1560" s="3">
        <f t="shared" si="24"/>
        <v>19</v>
      </c>
    </row>
    <row r="1561" spans="1:5" x14ac:dyDescent="0.2">
      <c r="A1561" s="1" t="s">
        <v>0</v>
      </c>
      <c r="E1561" s="3">
        <f t="shared" si="24"/>
        <v>20</v>
      </c>
    </row>
    <row r="1562" spans="1:5" x14ac:dyDescent="0.2">
      <c r="A1562" s="1" t="s">
        <v>1</v>
      </c>
      <c r="B1562" s="1" t="s">
        <v>2</v>
      </c>
      <c r="C1562" s="1" t="s">
        <v>3</v>
      </c>
      <c r="D1562" s="1" t="s">
        <v>4</v>
      </c>
      <c r="E1562" s="3">
        <f t="shared" si="24"/>
        <v>20</v>
      </c>
    </row>
    <row r="1563" spans="1:5" x14ac:dyDescent="0.2">
      <c r="A1563">
        <v>0</v>
      </c>
      <c r="C1563">
        <v>0</v>
      </c>
      <c r="D1563">
        <v>0</v>
      </c>
      <c r="E1563" s="3">
        <f t="shared" si="24"/>
        <v>20</v>
      </c>
    </row>
    <row r="1564" spans="1:5" x14ac:dyDescent="0.2">
      <c r="A1564">
        <v>0</v>
      </c>
      <c r="C1564">
        <v>0</v>
      </c>
      <c r="D1564">
        <v>0</v>
      </c>
      <c r="E1564" s="3">
        <f t="shared" si="24"/>
        <v>20</v>
      </c>
    </row>
    <row r="1565" spans="1:5" x14ac:dyDescent="0.2">
      <c r="A1565">
        <v>1</v>
      </c>
      <c r="B1565" t="s">
        <v>345</v>
      </c>
      <c r="C1565">
        <v>4</v>
      </c>
      <c r="D1565">
        <v>16</v>
      </c>
      <c r="E1565" s="3">
        <f t="shared" si="24"/>
        <v>20</v>
      </c>
    </row>
    <row r="1566" spans="1:5" x14ac:dyDescent="0.2">
      <c r="A1566">
        <v>2</v>
      </c>
      <c r="B1566" t="s">
        <v>280</v>
      </c>
      <c r="C1566">
        <v>0</v>
      </c>
      <c r="D1566">
        <v>12</v>
      </c>
      <c r="E1566" s="3">
        <f t="shared" si="24"/>
        <v>20</v>
      </c>
    </row>
    <row r="1567" spans="1:5" x14ac:dyDescent="0.2">
      <c r="A1567">
        <v>3</v>
      </c>
      <c r="B1567" t="s">
        <v>534</v>
      </c>
      <c r="C1567">
        <v>0</v>
      </c>
      <c r="D1567">
        <v>8</v>
      </c>
      <c r="E1567" s="3">
        <f t="shared" si="24"/>
        <v>20</v>
      </c>
    </row>
    <row r="1568" spans="1:5" x14ac:dyDescent="0.2">
      <c r="A1568">
        <v>4</v>
      </c>
      <c r="B1568" t="s">
        <v>516</v>
      </c>
      <c r="C1568">
        <v>0</v>
      </c>
      <c r="D1568">
        <v>4</v>
      </c>
      <c r="E1568" s="3">
        <f t="shared" si="24"/>
        <v>20</v>
      </c>
    </row>
    <row r="1569" spans="1:5" x14ac:dyDescent="0.2">
      <c r="A1569">
        <v>5</v>
      </c>
      <c r="B1569" t="s">
        <v>19</v>
      </c>
      <c r="C1569">
        <v>1</v>
      </c>
      <c r="D1569">
        <v>2</v>
      </c>
      <c r="E1569" s="3">
        <f t="shared" si="24"/>
        <v>20</v>
      </c>
    </row>
    <row r="1570" spans="1:5" x14ac:dyDescent="0.2">
      <c r="A1570">
        <v>6</v>
      </c>
      <c r="B1570" t="s">
        <v>535</v>
      </c>
      <c r="C1570">
        <v>0</v>
      </c>
      <c r="D1570">
        <v>1</v>
      </c>
      <c r="E1570" s="3">
        <f t="shared" si="24"/>
        <v>20</v>
      </c>
    </row>
    <row r="1571" spans="1:5" x14ac:dyDescent="0.2">
      <c r="A1571">
        <v>9</v>
      </c>
      <c r="B1571" s="2" t="s">
        <v>10</v>
      </c>
      <c r="C1571" s="2" t="s">
        <v>10</v>
      </c>
      <c r="D1571" s="2" t="s">
        <v>10</v>
      </c>
      <c r="E1571" s="3">
        <f t="shared" si="24"/>
        <v>20</v>
      </c>
    </row>
    <row r="1572" spans="1:5" x14ac:dyDescent="0.2">
      <c r="A1572">
        <v>10</v>
      </c>
      <c r="B1572" s="2" t="s">
        <v>10</v>
      </c>
      <c r="C1572" s="2" t="s">
        <v>10</v>
      </c>
      <c r="D1572" s="2" t="s">
        <v>10</v>
      </c>
      <c r="E1572" s="3">
        <f t="shared" si="24"/>
        <v>20</v>
      </c>
    </row>
    <row r="1573" spans="1:5" x14ac:dyDescent="0.2">
      <c r="A1573" s="1" t="s">
        <v>11</v>
      </c>
      <c r="E1573" s="3">
        <f t="shared" si="24"/>
        <v>20</v>
      </c>
    </row>
    <row r="1574" spans="1:5" x14ac:dyDescent="0.2">
      <c r="A1574" s="1" t="s">
        <v>1</v>
      </c>
      <c r="B1574" s="1" t="s">
        <v>2</v>
      </c>
      <c r="C1574" s="1" t="s">
        <v>3</v>
      </c>
      <c r="D1574" s="1" t="s">
        <v>4</v>
      </c>
      <c r="E1574" s="3">
        <f t="shared" si="24"/>
        <v>20</v>
      </c>
    </row>
    <row r="1575" spans="1:5" x14ac:dyDescent="0.2">
      <c r="A1575">
        <v>1</v>
      </c>
      <c r="B1575" t="s">
        <v>46</v>
      </c>
      <c r="C1575">
        <v>1</v>
      </c>
      <c r="D1575">
        <v>15</v>
      </c>
      <c r="E1575" s="3">
        <f t="shared" si="24"/>
        <v>20</v>
      </c>
    </row>
    <row r="1576" spans="1:5" x14ac:dyDescent="0.2">
      <c r="A1576">
        <v>2</v>
      </c>
      <c r="B1576" t="s">
        <v>485</v>
      </c>
      <c r="C1576">
        <v>3</v>
      </c>
      <c r="D1576">
        <v>11</v>
      </c>
      <c r="E1576" s="3">
        <f t="shared" si="24"/>
        <v>20</v>
      </c>
    </row>
    <row r="1577" spans="1:5" x14ac:dyDescent="0.2">
      <c r="A1577">
        <v>3</v>
      </c>
      <c r="B1577" t="s">
        <v>81</v>
      </c>
      <c r="C1577">
        <v>0</v>
      </c>
      <c r="D1577">
        <v>7</v>
      </c>
      <c r="E1577" s="3">
        <f t="shared" si="24"/>
        <v>20</v>
      </c>
    </row>
    <row r="1578" spans="1:5" x14ac:dyDescent="0.2">
      <c r="A1578">
        <v>4</v>
      </c>
      <c r="B1578" t="s">
        <v>454</v>
      </c>
      <c r="C1578">
        <v>0</v>
      </c>
      <c r="D1578">
        <v>3</v>
      </c>
      <c r="E1578" s="3">
        <f t="shared" si="24"/>
        <v>20</v>
      </c>
    </row>
    <row r="1579" spans="1:5" x14ac:dyDescent="0.2">
      <c r="A1579">
        <v>5</v>
      </c>
      <c r="B1579" t="s">
        <v>493</v>
      </c>
      <c r="C1579">
        <v>0</v>
      </c>
      <c r="D1579">
        <v>1</v>
      </c>
      <c r="E1579" s="3">
        <f t="shared" si="24"/>
        <v>20</v>
      </c>
    </row>
    <row r="1580" spans="1:5" x14ac:dyDescent="0.2">
      <c r="A1580">
        <v>6</v>
      </c>
      <c r="B1580" s="2" t="s">
        <v>10</v>
      </c>
      <c r="C1580" s="2" t="s">
        <v>10</v>
      </c>
      <c r="D1580" s="2" t="s">
        <v>10</v>
      </c>
      <c r="E1580" s="3">
        <f t="shared" si="24"/>
        <v>20</v>
      </c>
    </row>
    <row r="1581" spans="1:5" x14ac:dyDescent="0.2">
      <c r="A1581">
        <v>7</v>
      </c>
      <c r="B1581" s="2" t="s">
        <v>10</v>
      </c>
      <c r="C1581" s="2" t="s">
        <v>10</v>
      </c>
      <c r="D1581" s="2" t="s">
        <v>10</v>
      </c>
      <c r="E1581" s="3">
        <f t="shared" si="24"/>
        <v>20</v>
      </c>
    </row>
    <row r="1582" spans="1:5" x14ac:dyDescent="0.2">
      <c r="A1582">
        <v>8</v>
      </c>
      <c r="B1582" s="2" t="s">
        <v>10</v>
      </c>
      <c r="C1582" s="2" t="s">
        <v>10</v>
      </c>
      <c r="D1582" s="2" t="s">
        <v>10</v>
      </c>
      <c r="E1582" s="3">
        <f t="shared" si="24"/>
        <v>20</v>
      </c>
    </row>
    <row r="1583" spans="1:5" x14ac:dyDescent="0.2">
      <c r="A1583" s="1" t="s">
        <v>17</v>
      </c>
      <c r="E1583" s="3">
        <f t="shared" si="24"/>
        <v>20</v>
      </c>
    </row>
    <row r="1584" spans="1:5" x14ac:dyDescent="0.2">
      <c r="A1584" s="1" t="s">
        <v>1</v>
      </c>
      <c r="B1584" s="1" t="s">
        <v>2</v>
      </c>
      <c r="C1584" s="1" t="s">
        <v>3</v>
      </c>
      <c r="D1584" s="1" t="s">
        <v>4</v>
      </c>
      <c r="E1584" s="3">
        <f t="shared" si="24"/>
        <v>20</v>
      </c>
    </row>
    <row r="1585" spans="1:5" x14ac:dyDescent="0.2">
      <c r="A1585">
        <v>1</v>
      </c>
      <c r="B1585" t="s">
        <v>74</v>
      </c>
      <c r="C1585">
        <v>3</v>
      </c>
      <c r="D1585">
        <v>16</v>
      </c>
      <c r="E1585" s="3">
        <f t="shared" si="24"/>
        <v>20</v>
      </c>
    </row>
    <row r="1586" spans="1:5" x14ac:dyDescent="0.2">
      <c r="A1586">
        <v>2</v>
      </c>
      <c r="B1586" t="s">
        <v>479</v>
      </c>
      <c r="C1586">
        <v>0</v>
      </c>
      <c r="D1586">
        <v>12</v>
      </c>
      <c r="E1586" s="3">
        <f t="shared" si="24"/>
        <v>20</v>
      </c>
    </row>
    <row r="1587" spans="1:5" x14ac:dyDescent="0.2">
      <c r="A1587">
        <v>3</v>
      </c>
      <c r="B1587" t="s">
        <v>505</v>
      </c>
      <c r="C1587">
        <v>2</v>
      </c>
      <c r="D1587">
        <v>8</v>
      </c>
      <c r="E1587" s="3">
        <f t="shared" si="24"/>
        <v>20</v>
      </c>
    </row>
    <row r="1588" spans="1:5" x14ac:dyDescent="0.2">
      <c r="A1588">
        <v>4</v>
      </c>
      <c r="B1588" t="s">
        <v>33</v>
      </c>
      <c r="C1588">
        <v>0</v>
      </c>
      <c r="D1588">
        <v>4</v>
      </c>
      <c r="E1588" s="3">
        <f t="shared" si="24"/>
        <v>20</v>
      </c>
    </row>
    <row r="1589" spans="1:5" x14ac:dyDescent="0.2">
      <c r="A1589">
        <v>5</v>
      </c>
      <c r="B1589" t="s">
        <v>507</v>
      </c>
      <c r="C1589">
        <v>0</v>
      </c>
      <c r="D1589">
        <v>2</v>
      </c>
      <c r="E1589" s="3">
        <f t="shared" si="24"/>
        <v>20</v>
      </c>
    </row>
    <row r="1590" spans="1:5" x14ac:dyDescent="0.2">
      <c r="A1590">
        <v>6</v>
      </c>
      <c r="B1590" t="s">
        <v>9</v>
      </c>
      <c r="C1590">
        <v>0</v>
      </c>
      <c r="D1590">
        <v>1</v>
      </c>
      <c r="E1590" s="3">
        <f t="shared" si="24"/>
        <v>20</v>
      </c>
    </row>
    <row r="1591" spans="1:5" x14ac:dyDescent="0.2">
      <c r="A1591">
        <v>7</v>
      </c>
      <c r="B1591" s="2" t="s">
        <v>10</v>
      </c>
      <c r="C1591" s="2" t="s">
        <v>10</v>
      </c>
      <c r="D1591" s="2" t="s">
        <v>10</v>
      </c>
      <c r="E1591" s="3">
        <f t="shared" si="24"/>
        <v>20</v>
      </c>
    </row>
    <row r="1592" spans="1:5" x14ac:dyDescent="0.2">
      <c r="A1592">
        <v>8</v>
      </c>
      <c r="B1592" s="2" t="s">
        <v>10</v>
      </c>
      <c r="C1592" s="2" t="s">
        <v>10</v>
      </c>
      <c r="D1592" s="2" t="s">
        <v>10</v>
      </c>
      <c r="E1592" s="3">
        <f t="shared" si="24"/>
        <v>20</v>
      </c>
    </row>
    <row r="1593" spans="1:5" x14ac:dyDescent="0.2">
      <c r="A1593" s="1" t="s">
        <v>24</v>
      </c>
      <c r="E1593" s="3">
        <f t="shared" si="24"/>
        <v>20</v>
      </c>
    </row>
    <row r="1594" spans="1:5" x14ac:dyDescent="0.2">
      <c r="A1594" s="1" t="s">
        <v>1</v>
      </c>
      <c r="B1594" s="1" t="s">
        <v>2</v>
      </c>
      <c r="C1594" s="1" t="s">
        <v>3</v>
      </c>
      <c r="D1594" s="1" t="s">
        <v>4</v>
      </c>
      <c r="E1594" s="3">
        <f t="shared" si="24"/>
        <v>20</v>
      </c>
    </row>
    <row r="1595" spans="1:5" x14ac:dyDescent="0.2">
      <c r="A1595">
        <v>1</v>
      </c>
      <c r="B1595" t="s">
        <v>73</v>
      </c>
      <c r="C1595">
        <v>3</v>
      </c>
      <c r="D1595">
        <v>15</v>
      </c>
      <c r="E1595" s="3">
        <f t="shared" si="24"/>
        <v>20</v>
      </c>
    </row>
    <row r="1596" spans="1:5" x14ac:dyDescent="0.2">
      <c r="A1596">
        <v>2</v>
      </c>
      <c r="B1596" t="s">
        <v>69</v>
      </c>
      <c r="C1596">
        <v>0</v>
      </c>
      <c r="D1596">
        <v>11</v>
      </c>
      <c r="E1596" s="3">
        <f t="shared" si="24"/>
        <v>20</v>
      </c>
    </row>
    <row r="1597" spans="1:5" x14ac:dyDescent="0.2">
      <c r="A1597">
        <v>3</v>
      </c>
      <c r="B1597" t="s">
        <v>21</v>
      </c>
      <c r="C1597">
        <v>1</v>
      </c>
      <c r="D1597">
        <v>7</v>
      </c>
      <c r="E1597" s="3">
        <f t="shared" si="24"/>
        <v>20</v>
      </c>
    </row>
    <row r="1598" spans="1:5" x14ac:dyDescent="0.2">
      <c r="A1598">
        <v>4</v>
      </c>
      <c r="B1598" t="s">
        <v>6</v>
      </c>
      <c r="C1598">
        <v>0</v>
      </c>
      <c r="D1598">
        <v>3</v>
      </c>
      <c r="E1598" s="3">
        <f t="shared" si="24"/>
        <v>20</v>
      </c>
    </row>
    <row r="1599" spans="1:5" x14ac:dyDescent="0.2">
      <c r="A1599">
        <v>5</v>
      </c>
      <c r="B1599" t="s">
        <v>25</v>
      </c>
      <c r="C1599">
        <v>0</v>
      </c>
      <c r="D1599">
        <v>1</v>
      </c>
      <c r="E1599" s="3">
        <f t="shared" si="24"/>
        <v>20</v>
      </c>
    </row>
    <row r="1600" spans="1:5" x14ac:dyDescent="0.2">
      <c r="A1600">
        <v>6</v>
      </c>
      <c r="B1600" s="2" t="s">
        <v>10</v>
      </c>
      <c r="C1600" s="2" t="s">
        <v>10</v>
      </c>
      <c r="D1600" s="2" t="s">
        <v>10</v>
      </c>
      <c r="E1600" s="3">
        <f t="shared" si="24"/>
        <v>20</v>
      </c>
    </row>
    <row r="1601" spans="1:5" x14ac:dyDescent="0.2">
      <c r="A1601">
        <v>7</v>
      </c>
      <c r="B1601" s="2" t="s">
        <v>10</v>
      </c>
      <c r="C1601" s="2" t="s">
        <v>10</v>
      </c>
      <c r="D1601" s="2" t="s">
        <v>10</v>
      </c>
      <c r="E1601" s="3">
        <f t="shared" si="24"/>
        <v>20</v>
      </c>
    </row>
    <row r="1602" spans="1:5" x14ac:dyDescent="0.2">
      <c r="A1602">
        <v>8</v>
      </c>
      <c r="B1602" s="2" t="s">
        <v>10</v>
      </c>
      <c r="C1602" s="2" t="s">
        <v>10</v>
      </c>
      <c r="D1602" s="2" t="s">
        <v>10</v>
      </c>
      <c r="E1602" s="3">
        <f t="shared" si="24"/>
        <v>20</v>
      </c>
    </row>
    <row r="1603" spans="1:5" x14ac:dyDescent="0.2">
      <c r="A1603" s="1" t="s">
        <v>30</v>
      </c>
      <c r="E1603" s="3">
        <f t="shared" si="24"/>
        <v>20</v>
      </c>
    </row>
    <row r="1604" spans="1:5" x14ac:dyDescent="0.2">
      <c r="A1604" s="1" t="s">
        <v>1</v>
      </c>
      <c r="B1604" s="1" t="s">
        <v>2</v>
      </c>
      <c r="C1604" s="1" t="s">
        <v>3</v>
      </c>
      <c r="D1604" s="1" t="s">
        <v>4</v>
      </c>
      <c r="E1604" s="3">
        <f t="shared" ref="E1604:E1667" si="25">IF(A1604=$A$1,E1603+1,E1603)</f>
        <v>20</v>
      </c>
    </row>
    <row r="1605" spans="1:5" x14ac:dyDescent="0.2">
      <c r="A1605">
        <v>1</v>
      </c>
      <c r="B1605" t="s">
        <v>66</v>
      </c>
      <c r="C1605">
        <v>3</v>
      </c>
      <c r="D1605">
        <v>15</v>
      </c>
      <c r="E1605" s="3">
        <f t="shared" si="25"/>
        <v>20</v>
      </c>
    </row>
    <row r="1606" spans="1:5" x14ac:dyDescent="0.2">
      <c r="A1606">
        <v>2</v>
      </c>
      <c r="B1606" t="s">
        <v>533</v>
      </c>
      <c r="C1606">
        <v>0</v>
      </c>
      <c r="D1606">
        <v>11</v>
      </c>
      <c r="E1606" s="3">
        <f t="shared" si="25"/>
        <v>20</v>
      </c>
    </row>
    <row r="1607" spans="1:5" x14ac:dyDescent="0.2">
      <c r="A1607">
        <v>3</v>
      </c>
      <c r="B1607" t="s">
        <v>35</v>
      </c>
      <c r="C1607">
        <v>1</v>
      </c>
      <c r="D1607">
        <v>7</v>
      </c>
      <c r="E1607" s="3">
        <f t="shared" si="25"/>
        <v>20</v>
      </c>
    </row>
    <row r="1608" spans="1:5" x14ac:dyDescent="0.2">
      <c r="A1608">
        <v>4</v>
      </c>
      <c r="B1608" t="s">
        <v>65</v>
      </c>
      <c r="C1608">
        <v>0</v>
      </c>
      <c r="D1608">
        <v>3</v>
      </c>
      <c r="E1608" s="3">
        <f t="shared" si="25"/>
        <v>20</v>
      </c>
    </row>
    <row r="1609" spans="1:5" x14ac:dyDescent="0.2">
      <c r="A1609">
        <v>5</v>
      </c>
      <c r="B1609" t="s">
        <v>475</v>
      </c>
      <c r="C1609">
        <v>0</v>
      </c>
      <c r="D1609">
        <v>1</v>
      </c>
      <c r="E1609" s="3">
        <f t="shared" si="25"/>
        <v>20</v>
      </c>
    </row>
    <row r="1610" spans="1:5" x14ac:dyDescent="0.2">
      <c r="A1610">
        <v>6</v>
      </c>
      <c r="B1610" s="2" t="s">
        <v>10</v>
      </c>
      <c r="C1610" s="2" t="s">
        <v>10</v>
      </c>
      <c r="D1610" s="2" t="s">
        <v>10</v>
      </c>
      <c r="E1610" s="3">
        <f t="shared" si="25"/>
        <v>20</v>
      </c>
    </row>
    <row r="1611" spans="1:5" x14ac:dyDescent="0.2">
      <c r="A1611">
        <v>7</v>
      </c>
      <c r="B1611" s="2" t="s">
        <v>10</v>
      </c>
      <c r="C1611" s="2" t="s">
        <v>10</v>
      </c>
      <c r="D1611" s="2" t="s">
        <v>10</v>
      </c>
      <c r="E1611" s="3">
        <f t="shared" si="25"/>
        <v>20</v>
      </c>
    </row>
    <row r="1612" spans="1:5" x14ac:dyDescent="0.2">
      <c r="A1612">
        <v>8</v>
      </c>
      <c r="B1612" s="2" t="s">
        <v>10</v>
      </c>
      <c r="C1612" s="2" t="s">
        <v>10</v>
      </c>
      <c r="D1612" s="2" t="s">
        <v>10</v>
      </c>
      <c r="E1612" s="3">
        <f t="shared" si="25"/>
        <v>20</v>
      </c>
    </row>
    <row r="1613" spans="1:5" x14ac:dyDescent="0.2">
      <c r="A1613" s="1" t="s">
        <v>37</v>
      </c>
      <c r="E1613" s="3">
        <f t="shared" si="25"/>
        <v>20</v>
      </c>
    </row>
    <row r="1614" spans="1:5" x14ac:dyDescent="0.2">
      <c r="A1614" s="1" t="s">
        <v>1</v>
      </c>
      <c r="B1614" s="1" t="s">
        <v>2</v>
      </c>
      <c r="C1614" s="1" t="s">
        <v>3</v>
      </c>
      <c r="D1614" s="1" t="s">
        <v>4</v>
      </c>
      <c r="E1614" s="3">
        <f t="shared" si="25"/>
        <v>20</v>
      </c>
    </row>
    <row r="1615" spans="1:5" x14ac:dyDescent="0.2">
      <c r="A1615">
        <v>1</v>
      </c>
      <c r="B1615" t="s">
        <v>27</v>
      </c>
      <c r="C1615">
        <v>4</v>
      </c>
      <c r="D1615">
        <v>16</v>
      </c>
      <c r="E1615" s="3">
        <f t="shared" si="25"/>
        <v>20</v>
      </c>
    </row>
    <row r="1616" spans="1:5" x14ac:dyDescent="0.2">
      <c r="A1616">
        <v>2</v>
      </c>
      <c r="B1616" t="s">
        <v>525</v>
      </c>
      <c r="C1616">
        <v>0</v>
      </c>
      <c r="D1616">
        <v>12</v>
      </c>
      <c r="E1616" s="3">
        <f t="shared" si="25"/>
        <v>20</v>
      </c>
    </row>
    <row r="1617" spans="1:5" x14ac:dyDescent="0.2">
      <c r="A1617">
        <v>3</v>
      </c>
      <c r="B1617" t="s">
        <v>518</v>
      </c>
      <c r="C1617">
        <v>1</v>
      </c>
      <c r="D1617">
        <v>8</v>
      </c>
      <c r="E1617" s="3">
        <f t="shared" si="25"/>
        <v>20</v>
      </c>
    </row>
    <row r="1618" spans="1:5" x14ac:dyDescent="0.2">
      <c r="A1618">
        <v>4</v>
      </c>
      <c r="B1618" t="s">
        <v>512</v>
      </c>
      <c r="C1618">
        <v>0</v>
      </c>
      <c r="D1618">
        <v>4</v>
      </c>
      <c r="E1618" s="3">
        <f t="shared" si="25"/>
        <v>20</v>
      </c>
    </row>
    <row r="1619" spans="1:5" x14ac:dyDescent="0.2">
      <c r="A1619">
        <v>5</v>
      </c>
      <c r="B1619" t="s">
        <v>55</v>
      </c>
      <c r="C1619">
        <v>0</v>
      </c>
      <c r="D1619">
        <v>2</v>
      </c>
      <c r="E1619" s="3">
        <f t="shared" si="25"/>
        <v>20</v>
      </c>
    </row>
    <row r="1620" spans="1:5" x14ac:dyDescent="0.2">
      <c r="A1620">
        <v>6</v>
      </c>
      <c r="B1620" t="s">
        <v>42</v>
      </c>
      <c r="C1620">
        <v>0</v>
      </c>
      <c r="D1620">
        <v>1</v>
      </c>
      <c r="E1620" s="3">
        <f t="shared" si="25"/>
        <v>20</v>
      </c>
    </row>
    <row r="1621" spans="1:5" x14ac:dyDescent="0.2">
      <c r="A1621">
        <v>7</v>
      </c>
      <c r="B1621" s="2" t="s">
        <v>10</v>
      </c>
      <c r="C1621" s="2" t="s">
        <v>10</v>
      </c>
      <c r="D1621" s="2" t="s">
        <v>10</v>
      </c>
      <c r="E1621" s="3">
        <f t="shared" si="25"/>
        <v>20</v>
      </c>
    </row>
    <row r="1622" spans="1:5" x14ac:dyDescent="0.2">
      <c r="A1622">
        <v>8</v>
      </c>
      <c r="B1622" s="2" t="s">
        <v>10</v>
      </c>
      <c r="C1622" s="2" t="s">
        <v>10</v>
      </c>
      <c r="D1622" s="2" t="s">
        <v>10</v>
      </c>
      <c r="E1622" s="3">
        <f t="shared" si="25"/>
        <v>20</v>
      </c>
    </row>
    <row r="1623" spans="1:5" x14ac:dyDescent="0.2">
      <c r="A1623" s="1" t="s">
        <v>51</v>
      </c>
      <c r="E1623" s="3">
        <f t="shared" si="25"/>
        <v>20</v>
      </c>
    </row>
    <row r="1624" spans="1:5" x14ac:dyDescent="0.2">
      <c r="A1624" s="1" t="s">
        <v>1</v>
      </c>
      <c r="B1624" s="1" t="s">
        <v>2</v>
      </c>
      <c r="C1624" s="1" t="s">
        <v>3</v>
      </c>
      <c r="D1624" s="1" t="s">
        <v>4</v>
      </c>
      <c r="E1624" s="3">
        <f t="shared" si="25"/>
        <v>20</v>
      </c>
    </row>
    <row r="1625" spans="1:5" x14ac:dyDescent="0.2">
      <c r="A1625">
        <v>1</v>
      </c>
      <c r="B1625" t="s">
        <v>502</v>
      </c>
      <c r="C1625">
        <v>3</v>
      </c>
      <c r="D1625">
        <v>16</v>
      </c>
      <c r="E1625" s="3">
        <f t="shared" si="25"/>
        <v>20</v>
      </c>
    </row>
    <row r="1626" spans="1:5" x14ac:dyDescent="0.2">
      <c r="A1626">
        <v>2</v>
      </c>
      <c r="B1626" t="s">
        <v>32</v>
      </c>
      <c r="C1626">
        <v>0</v>
      </c>
      <c r="D1626">
        <v>12</v>
      </c>
      <c r="E1626" s="3">
        <f t="shared" si="25"/>
        <v>20</v>
      </c>
    </row>
    <row r="1627" spans="1:5" x14ac:dyDescent="0.2">
      <c r="A1627">
        <v>3</v>
      </c>
      <c r="B1627" t="s">
        <v>87</v>
      </c>
      <c r="C1627">
        <v>2</v>
      </c>
      <c r="D1627">
        <v>8</v>
      </c>
      <c r="E1627" s="3">
        <f t="shared" si="25"/>
        <v>20</v>
      </c>
    </row>
    <row r="1628" spans="1:5" x14ac:dyDescent="0.2">
      <c r="A1628">
        <v>4</v>
      </c>
      <c r="B1628" t="s">
        <v>504</v>
      </c>
      <c r="C1628">
        <v>0</v>
      </c>
      <c r="D1628">
        <v>4</v>
      </c>
      <c r="E1628" s="3">
        <f t="shared" si="25"/>
        <v>20</v>
      </c>
    </row>
    <row r="1629" spans="1:5" x14ac:dyDescent="0.2">
      <c r="A1629">
        <v>5</v>
      </c>
      <c r="B1629" t="s">
        <v>503</v>
      </c>
      <c r="C1629">
        <v>0</v>
      </c>
      <c r="D1629">
        <v>2</v>
      </c>
      <c r="E1629" s="3">
        <f t="shared" si="25"/>
        <v>20</v>
      </c>
    </row>
    <row r="1630" spans="1:5" x14ac:dyDescent="0.2">
      <c r="A1630">
        <v>6</v>
      </c>
      <c r="B1630" t="s">
        <v>75</v>
      </c>
      <c r="C1630">
        <v>0</v>
      </c>
      <c r="D1630">
        <v>1</v>
      </c>
      <c r="E1630" s="3">
        <f t="shared" si="25"/>
        <v>20</v>
      </c>
    </row>
    <row r="1631" spans="1:5" x14ac:dyDescent="0.2">
      <c r="A1631">
        <v>7</v>
      </c>
      <c r="B1631" s="2" t="s">
        <v>10</v>
      </c>
      <c r="C1631" s="2" t="s">
        <v>10</v>
      </c>
      <c r="D1631" s="2" t="s">
        <v>10</v>
      </c>
      <c r="E1631" s="3">
        <f t="shared" si="25"/>
        <v>20</v>
      </c>
    </row>
    <row r="1632" spans="1:5" x14ac:dyDescent="0.2">
      <c r="A1632">
        <v>8</v>
      </c>
      <c r="B1632" s="2" t="s">
        <v>10</v>
      </c>
      <c r="C1632" s="2" t="s">
        <v>10</v>
      </c>
      <c r="D1632" s="2" t="s">
        <v>10</v>
      </c>
      <c r="E1632" s="3">
        <f t="shared" si="25"/>
        <v>20</v>
      </c>
    </row>
    <row r="1633" spans="1:5" x14ac:dyDescent="0.2">
      <c r="A1633" s="1" t="s">
        <v>0</v>
      </c>
      <c r="E1633" s="3">
        <f t="shared" si="25"/>
        <v>21</v>
      </c>
    </row>
    <row r="1634" spans="1:5" x14ac:dyDescent="0.2">
      <c r="A1634" s="1" t="s">
        <v>1</v>
      </c>
      <c r="B1634" s="1" t="s">
        <v>2</v>
      </c>
      <c r="C1634" s="1" t="s">
        <v>3</v>
      </c>
      <c r="D1634" s="1" t="s">
        <v>4</v>
      </c>
      <c r="E1634" s="3">
        <f t="shared" si="25"/>
        <v>21</v>
      </c>
    </row>
    <row r="1635" spans="1:5" x14ac:dyDescent="0.2">
      <c r="A1635">
        <v>1</v>
      </c>
      <c r="B1635" t="s">
        <v>534</v>
      </c>
      <c r="C1635">
        <v>2</v>
      </c>
      <c r="D1635">
        <v>16</v>
      </c>
      <c r="E1635" s="3">
        <f t="shared" si="25"/>
        <v>21</v>
      </c>
    </row>
    <row r="1636" spans="1:5" x14ac:dyDescent="0.2">
      <c r="A1636">
        <v>2</v>
      </c>
      <c r="B1636" t="s">
        <v>27</v>
      </c>
      <c r="C1636">
        <v>1</v>
      </c>
      <c r="D1636">
        <v>12</v>
      </c>
      <c r="E1636" s="3">
        <f t="shared" si="25"/>
        <v>21</v>
      </c>
    </row>
    <row r="1637" spans="1:5" x14ac:dyDescent="0.2">
      <c r="A1637">
        <v>3</v>
      </c>
      <c r="B1637" t="s">
        <v>509</v>
      </c>
      <c r="C1637">
        <v>1</v>
      </c>
      <c r="D1637">
        <v>8</v>
      </c>
      <c r="E1637" s="3">
        <f t="shared" si="25"/>
        <v>21</v>
      </c>
    </row>
    <row r="1638" spans="1:5" x14ac:dyDescent="0.2">
      <c r="A1638">
        <v>4</v>
      </c>
      <c r="B1638" t="s">
        <v>46</v>
      </c>
      <c r="C1638">
        <v>1</v>
      </c>
      <c r="D1638">
        <v>4</v>
      </c>
      <c r="E1638" s="3">
        <f t="shared" si="25"/>
        <v>21</v>
      </c>
    </row>
    <row r="1639" spans="1:5" x14ac:dyDescent="0.2">
      <c r="A1639">
        <v>5</v>
      </c>
      <c r="B1639" t="s">
        <v>65</v>
      </c>
      <c r="C1639">
        <v>0</v>
      </c>
      <c r="D1639">
        <v>2</v>
      </c>
      <c r="E1639" s="3">
        <f t="shared" si="25"/>
        <v>21</v>
      </c>
    </row>
    <row r="1640" spans="1:5" x14ac:dyDescent="0.2">
      <c r="A1640">
        <v>6</v>
      </c>
      <c r="B1640" t="s">
        <v>345</v>
      </c>
      <c r="C1640">
        <v>0</v>
      </c>
      <c r="D1640">
        <v>1</v>
      </c>
      <c r="E1640" s="3">
        <f t="shared" si="25"/>
        <v>21</v>
      </c>
    </row>
    <row r="1641" spans="1:5" x14ac:dyDescent="0.2">
      <c r="A1641">
        <v>7</v>
      </c>
      <c r="B1641" s="2" t="s">
        <v>10</v>
      </c>
      <c r="C1641" s="2" t="s">
        <v>10</v>
      </c>
      <c r="D1641" s="2" t="s">
        <v>10</v>
      </c>
      <c r="E1641" s="3">
        <f t="shared" si="25"/>
        <v>21</v>
      </c>
    </row>
    <row r="1642" spans="1:5" x14ac:dyDescent="0.2">
      <c r="A1642">
        <v>8</v>
      </c>
      <c r="B1642" s="2" t="s">
        <v>10</v>
      </c>
      <c r="C1642" s="2" t="s">
        <v>10</v>
      </c>
      <c r="D1642" s="2" t="s">
        <v>10</v>
      </c>
      <c r="E1642" s="3">
        <f t="shared" si="25"/>
        <v>21</v>
      </c>
    </row>
    <row r="1643" spans="1:5" x14ac:dyDescent="0.2">
      <c r="A1643" s="1" t="s">
        <v>11</v>
      </c>
      <c r="E1643" s="3">
        <f t="shared" si="25"/>
        <v>21</v>
      </c>
    </row>
    <row r="1644" spans="1:5" x14ac:dyDescent="0.2">
      <c r="A1644" s="1" t="s">
        <v>1</v>
      </c>
      <c r="B1644" s="1" t="s">
        <v>2</v>
      </c>
      <c r="C1644" s="1" t="s">
        <v>3</v>
      </c>
      <c r="D1644" s="1" t="s">
        <v>4</v>
      </c>
      <c r="E1644" s="3">
        <f t="shared" si="25"/>
        <v>21</v>
      </c>
    </row>
    <row r="1645" spans="1:5" x14ac:dyDescent="0.2">
      <c r="A1645">
        <v>1</v>
      </c>
      <c r="B1645" t="s">
        <v>461</v>
      </c>
      <c r="C1645">
        <v>3</v>
      </c>
      <c r="D1645">
        <v>17</v>
      </c>
      <c r="E1645" s="3">
        <f t="shared" si="25"/>
        <v>21</v>
      </c>
    </row>
    <row r="1646" spans="1:5" x14ac:dyDescent="0.2">
      <c r="A1646">
        <v>2</v>
      </c>
      <c r="B1646" t="s">
        <v>519</v>
      </c>
      <c r="C1646">
        <v>2</v>
      </c>
      <c r="D1646">
        <v>13</v>
      </c>
      <c r="E1646" s="3">
        <f t="shared" si="25"/>
        <v>21</v>
      </c>
    </row>
    <row r="1647" spans="1:5" x14ac:dyDescent="0.2">
      <c r="A1647">
        <v>3</v>
      </c>
      <c r="B1647" t="s">
        <v>14</v>
      </c>
      <c r="C1647">
        <v>0</v>
      </c>
      <c r="D1647">
        <v>9</v>
      </c>
      <c r="E1647" s="3">
        <f t="shared" si="25"/>
        <v>21</v>
      </c>
    </row>
    <row r="1648" spans="1:5" x14ac:dyDescent="0.2">
      <c r="A1648">
        <v>4</v>
      </c>
      <c r="B1648" t="s">
        <v>21</v>
      </c>
      <c r="C1648">
        <v>0</v>
      </c>
      <c r="D1648">
        <v>5</v>
      </c>
      <c r="E1648" s="3">
        <f t="shared" si="25"/>
        <v>21</v>
      </c>
    </row>
    <row r="1649" spans="1:5" x14ac:dyDescent="0.2">
      <c r="A1649">
        <v>5</v>
      </c>
      <c r="B1649" t="s">
        <v>9</v>
      </c>
      <c r="C1649">
        <v>1</v>
      </c>
      <c r="D1649">
        <v>3</v>
      </c>
      <c r="E1649" s="3">
        <f t="shared" si="25"/>
        <v>21</v>
      </c>
    </row>
    <row r="1650" spans="1:5" x14ac:dyDescent="0.2">
      <c r="A1650">
        <v>6</v>
      </c>
      <c r="B1650" t="s">
        <v>512</v>
      </c>
      <c r="C1650">
        <v>0</v>
      </c>
      <c r="D1650">
        <v>2</v>
      </c>
      <c r="E1650" s="3">
        <f t="shared" si="25"/>
        <v>21</v>
      </c>
    </row>
    <row r="1651" spans="1:5" x14ac:dyDescent="0.2">
      <c r="A1651">
        <v>7</v>
      </c>
      <c r="B1651" t="s">
        <v>61</v>
      </c>
      <c r="C1651">
        <v>0</v>
      </c>
      <c r="D1651">
        <v>1</v>
      </c>
      <c r="E1651" s="3">
        <f t="shared" si="25"/>
        <v>21</v>
      </c>
    </row>
    <row r="1652" spans="1:5" x14ac:dyDescent="0.2">
      <c r="A1652">
        <v>8</v>
      </c>
      <c r="B1652" s="2" t="s">
        <v>10</v>
      </c>
      <c r="C1652" s="2" t="s">
        <v>10</v>
      </c>
      <c r="D1652" s="2" t="s">
        <v>10</v>
      </c>
      <c r="E1652" s="3">
        <f t="shared" si="25"/>
        <v>21</v>
      </c>
    </row>
    <row r="1653" spans="1:5" x14ac:dyDescent="0.2">
      <c r="A1653" s="1" t="s">
        <v>17</v>
      </c>
      <c r="E1653" s="3">
        <f t="shared" si="25"/>
        <v>21</v>
      </c>
    </row>
    <row r="1654" spans="1:5" x14ac:dyDescent="0.2">
      <c r="A1654" s="1" t="s">
        <v>1</v>
      </c>
      <c r="B1654" s="1" t="s">
        <v>2</v>
      </c>
      <c r="C1654" s="1" t="s">
        <v>3</v>
      </c>
      <c r="D1654" s="1" t="s">
        <v>4</v>
      </c>
      <c r="E1654" s="3">
        <f t="shared" si="25"/>
        <v>21</v>
      </c>
    </row>
    <row r="1655" spans="1:5" x14ac:dyDescent="0.2">
      <c r="A1655">
        <v>1</v>
      </c>
      <c r="B1655" t="s">
        <v>33</v>
      </c>
      <c r="C1655">
        <v>1</v>
      </c>
      <c r="D1655">
        <v>16</v>
      </c>
      <c r="E1655" s="3">
        <f t="shared" si="25"/>
        <v>21</v>
      </c>
    </row>
    <row r="1656" spans="1:5" x14ac:dyDescent="0.2">
      <c r="A1656">
        <v>2</v>
      </c>
      <c r="B1656" t="s">
        <v>506</v>
      </c>
      <c r="C1656">
        <v>3</v>
      </c>
      <c r="D1656">
        <v>12</v>
      </c>
      <c r="E1656" s="3">
        <f t="shared" si="25"/>
        <v>21</v>
      </c>
    </row>
    <row r="1657" spans="1:5" x14ac:dyDescent="0.2">
      <c r="A1657">
        <v>3</v>
      </c>
      <c r="B1657" t="s">
        <v>6</v>
      </c>
      <c r="C1657">
        <v>1</v>
      </c>
      <c r="D1657">
        <v>8</v>
      </c>
      <c r="E1657" s="3">
        <f t="shared" si="25"/>
        <v>21</v>
      </c>
    </row>
    <row r="1658" spans="1:5" x14ac:dyDescent="0.2">
      <c r="A1658">
        <v>4</v>
      </c>
      <c r="B1658" t="s">
        <v>479</v>
      </c>
      <c r="C1658">
        <v>0</v>
      </c>
      <c r="D1658">
        <v>4</v>
      </c>
      <c r="E1658" s="3">
        <f t="shared" si="25"/>
        <v>21</v>
      </c>
    </row>
    <row r="1659" spans="1:5" x14ac:dyDescent="0.2">
      <c r="A1659">
        <v>5</v>
      </c>
      <c r="B1659" t="s">
        <v>55</v>
      </c>
      <c r="C1659">
        <v>0</v>
      </c>
      <c r="D1659">
        <v>2</v>
      </c>
      <c r="E1659" s="3">
        <f t="shared" si="25"/>
        <v>21</v>
      </c>
    </row>
    <row r="1660" spans="1:5" x14ac:dyDescent="0.2">
      <c r="A1660">
        <v>6</v>
      </c>
      <c r="B1660" t="s">
        <v>69</v>
      </c>
      <c r="C1660">
        <v>0</v>
      </c>
      <c r="D1660">
        <v>1</v>
      </c>
      <c r="E1660" s="3">
        <f t="shared" si="25"/>
        <v>21</v>
      </c>
    </row>
    <row r="1661" spans="1:5" x14ac:dyDescent="0.2">
      <c r="A1661">
        <v>7</v>
      </c>
      <c r="B1661" s="2" t="s">
        <v>10</v>
      </c>
      <c r="C1661" s="2" t="s">
        <v>10</v>
      </c>
      <c r="D1661" s="2" t="s">
        <v>10</v>
      </c>
      <c r="E1661" s="3">
        <f t="shared" si="25"/>
        <v>21</v>
      </c>
    </row>
    <row r="1662" spans="1:5" x14ac:dyDescent="0.2">
      <c r="A1662">
        <v>8</v>
      </c>
      <c r="B1662" s="2" t="s">
        <v>10</v>
      </c>
      <c r="C1662" s="2" t="s">
        <v>10</v>
      </c>
      <c r="D1662" s="2" t="s">
        <v>10</v>
      </c>
      <c r="E1662" s="3">
        <f t="shared" si="25"/>
        <v>21</v>
      </c>
    </row>
    <row r="1663" spans="1:5" x14ac:dyDescent="0.2">
      <c r="A1663" s="1" t="s">
        <v>24</v>
      </c>
      <c r="E1663" s="3">
        <f t="shared" si="25"/>
        <v>21</v>
      </c>
    </row>
    <row r="1664" spans="1:5" x14ac:dyDescent="0.2">
      <c r="A1664" s="1" t="s">
        <v>1</v>
      </c>
      <c r="B1664" s="1" t="s">
        <v>2</v>
      </c>
      <c r="C1664" s="1" t="s">
        <v>3</v>
      </c>
      <c r="D1664" s="1" t="s">
        <v>4</v>
      </c>
      <c r="E1664" s="3">
        <f t="shared" si="25"/>
        <v>21</v>
      </c>
    </row>
    <row r="1665" spans="1:5" x14ac:dyDescent="0.2">
      <c r="A1665">
        <v>1</v>
      </c>
      <c r="B1665" t="s">
        <v>35</v>
      </c>
      <c r="C1665">
        <v>4</v>
      </c>
      <c r="D1665">
        <v>16</v>
      </c>
      <c r="E1665" s="3">
        <f t="shared" si="25"/>
        <v>21</v>
      </c>
    </row>
    <row r="1666" spans="1:5" x14ac:dyDescent="0.2">
      <c r="A1666">
        <v>2</v>
      </c>
      <c r="B1666" t="s">
        <v>74</v>
      </c>
      <c r="C1666">
        <v>1</v>
      </c>
      <c r="D1666">
        <v>12</v>
      </c>
      <c r="E1666" s="3">
        <f t="shared" si="25"/>
        <v>21</v>
      </c>
    </row>
    <row r="1667" spans="1:5" x14ac:dyDescent="0.2">
      <c r="A1667">
        <v>3</v>
      </c>
      <c r="B1667" t="s">
        <v>485</v>
      </c>
      <c r="C1667">
        <v>0</v>
      </c>
      <c r="D1667">
        <v>8</v>
      </c>
      <c r="E1667" s="3">
        <f t="shared" si="25"/>
        <v>21</v>
      </c>
    </row>
    <row r="1668" spans="1:5" x14ac:dyDescent="0.2">
      <c r="A1668">
        <v>4</v>
      </c>
      <c r="B1668" t="s">
        <v>525</v>
      </c>
      <c r="C1668">
        <v>0</v>
      </c>
      <c r="D1668">
        <v>4</v>
      </c>
      <c r="E1668" s="3">
        <f t="shared" ref="E1668:E1731" si="26">IF(A1668=$A$1,E1667+1,E1667)</f>
        <v>21</v>
      </c>
    </row>
    <row r="1669" spans="1:5" x14ac:dyDescent="0.2">
      <c r="A1669">
        <v>5</v>
      </c>
      <c r="B1669" t="s">
        <v>493</v>
      </c>
      <c r="C1669">
        <v>0</v>
      </c>
      <c r="D1669">
        <v>2</v>
      </c>
      <c r="E1669" s="3">
        <f t="shared" si="26"/>
        <v>21</v>
      </c>
    </row>
    <row r="1670" spans="1:5" x14ac:dyDescent="0.2">
      <c r="A1670">
        <v>6</v>
      </c>
      <c r="B1670" t="s">
        <v>40</v>
      </c>
      <c r="C1670">
        <v>0</v>
      </c>
      <c r="D1670">
        <v>1</v>
      </c>
      <c r="E1670" s="3">
        <f t="shared" si="26"/>
        <v>21</v>
      </c>
    </row>
    <row r="1671" spans="1:5" x14ac:dyDescent="0.2">
      <c r="A1671">
        <v>7</v>
      </c>
      <c r="B1671" s="2" t="s">
        <v>10</v>
      </c>
      <c r="C1671" s="2" t="s">
        <v>10</v>
      </c>
      <c r="D1671" s="2" t="s">
        <v>10</v>
      </c>
      <c r="E1671" s="3">
        <f t="shared" si="26"/>
        <v>21</v>
      </c>
    </row>
    <row r="1672" spans="1:5" x14ac:dyDescent="0.2">
      <c r="A1672">
        <v>8</v>
      </c>
      <c r="B1672" s="2" t="s">
        <v>10</v>
      </c>
      <c r="C1672" s="2" t="s">
        <v>10</v>
      </c>
      <c r="D1672" s="2" t="s">
        <v>10</v>
      </c>
      <c r="E1672" s="3">
        <f t="shared" si="26"/>
        <v>21</v>
      </c>
    </row>
    <row r="1673" spans="1:5" x14ac:dyDescent="0.2">
      <c r="A1673" s="1" t="s">
        <v>30</v>
      </c>
      <c r="E1673" s="3">
        <f t="shared" si="26"/>
        <v>21</v>
      </c>
    </row>
    <row r="1674" spans="1:5" x14ac:dyDescent="0.2">
      <c r="A1674" s="1" t="s">
        <v>1</v>
      </c>
      <c r="B1674" s="1" t="s">
        <v>2</v>
      </c>
      <c r="C1674" s="1" t="s">
        <v>3</v>
      </c>
      <c r="D1674" s="1" t="s">
        <v>4</v>
      </c>
      <c r="E1674" s="3">
        <f t="shared" si="26"/>
        <v>21</v>
      </c>
    </row>
    <row r="1675" spans="1:5" x14ac:dyDescent="0.2">
      <c r="A1675">
        <v>0</v>
      </c>
      <c r="C1675">
        <v>0</v>
      </c>
      <c r="D1675">
        <v>0</v>
      </c>
      <c r="E1675" s="3">
        <f t="shared" si="26"/>
        <v>21</v>
      </c>
    </row>
    <row r="1676" spans="1:5" x14ac:dyDescent="0.2">
      <c r="A1676">
        <v>1</v>
      </c>
      <c r="B1676" t="s">
        <v>66</v>
      </c>
      <c r="C1676">
        <v>2</v>
      </c>
      <c r="D1676">
        <v>17</v>
      </c>
      <c r="E1676" s="3">
        <f t="shared" si="26"/>
        <v>21</v>
      </c>
    </row>
    <row r="1677" spans="1:5" x14ac:dyDescent="0.2">
      <c r="A1677">
        <v>2</v>
      </c>
      <c r="B1677" t="s">
        <v>25</v>
      </c>
      <c r="C1677">
        <v>3</v>
      </c>
      <c r="D1677">
        <v>13</v>
      </c>
      <c r="E1677" s="3">
        <f t="shared" si="26"/>
        <v>21</v>
      </c>
    </row>
    <row r="1678" spans="1:5" x14ac:dyDescent="0.2">
      <c r="A1678">
        <v>3</v>
      </c>
      <c r="B1678" t="s">
        <v>81</v>
      </c>
      <c r="C1678">
        <v>0</v>
      </c>
      <c r="D1678">
        <v>9</v>
      </c>
      <c r="E1678" s="3">
        <f t="shared" si="26"/>
        <v>21</v>
      </c>
    </row>
    <row r="1679" spans="1:5" x14ac:dyDescent="0.2">
      <c r="A1679">
        <v>4</v>
      </c>
      <c r="B1679" t="s">
        <v>59</v>
      </c>
      <c r="C1679">
        <v>0</v>
      </c>
      <c r="D1679">
        <v>5</v>
      </c>
      <c r="E1679" s="3">
        <f t="shared" si="26"/>
        <v>21</v>
      </c>
    </row>
    <row r="1680" spans="1:5" x14ac:dyDescent="0.2">
      <c r="A1680">
        <v>5</v>
      </c>
      <c r="B1680" t="s">
        <v>73</v>
      </c>
      <c r="C1680">
        <v>0</v>
      </c>
      <c r="D1680">
        <v>3</v>
      </c>
      <c r="E1680" s="3">
        <f t="shared" si="26"/>
        <v>21</v>
      </c>
    </row>
    <row r="1681" spans="1:5" x14ac:dyDescent="0.2">
      <c r="A1681">
        <v>6</v>
      </c>
      <c r="B1681" t="s">
        <v>535</v>
      </c>
      <c r="C1681">
        <v>1</v>
      </c>
      <c r="D1681">
        <v>2</v>
      </c>
      <c r="E1681" s="3">
        <f t="shared" si="26"/>
        <v>21</v>
      </c>
    </row>
    <row r="1682" spans="1:5" x14ac:dyDescent="0.2">
      <c r="A1682">
        <v>7</v>
      </c>
      <c r="B1682" t="s">
        <v>32</v>
      </c>
      <c r="C1682">
        <v>0</v>
      </c>
      <c r="D1682">
        <v>1</v>
      </c>
      <c r="E1682" s="3">
        <f t="shared" si="26"/>
        <v>21</v>
      </c>
    </row>
    <row r="1683" spans="1:5" x14ac:dyDescent="0.2">
      <c r="A1683">
        <v>9</v>
      </c>
      <c r="B1683" s="2" t="s">
        <v>10</v>
      </c>
      <c r="C1683" s="2" t="s">
        <v>10</v>
      </c>
      <c r="D1683" s="2" t="s">
        <v>10</v>
      </c>
      <c r="E1683" s="3">
        <f t="shared" si="26"/>
        <v>21</v>
      </c>
    </row>
    <row r="1684" spans="1:5" x14ac:dyDescent="0.2">
      <c r="A1684" s="1" t="s">
        <v>37</v>
      </c>
      <c r="E1684" s="3">
        <f t="shared" si="26"/>
        <v>21</v>
      </c>
    </row>
    <row r="1685" spans="1:5" x14ac:dyDescent="0.2">
      <c r="A1685" s="1" t="s">
        <v>1</v>
      </c>
      <c r="B1685" s="1" t="s">
        <v>2</v>
      </c>
      <c r="C1685" s="1" t="s">
        <v>3</v>
      </c>
      <c r="D1685" s="1" t="s">
        <v>4</v>
      </c>
      <c r="E1685" s="3">
        <f t="shared" si="26"/>
        <v>21</v>
      </c>
    </row>
    <row r="1686" spans="1:5" x14ac:dyDescent="0.2">
      <c r="A1686">
        <v>0</v>
      </c>
      <c r="C1686">
        <v>0</v>
      </c>
      <c r="D1686">
        <v>0</v>
      </c>
      <c r="E1686" s="3">
        <f t="shared" si="26"/>
        <v>21</v>
      </c>
    </row>
    <row r="1687" spans="1:5" x14ac:dyDescent="0.2">
      <c r="A1687">
        <v>0</v>
      </c>
      <c r="C1687">
        <v>0</v>
      </c>
      <c r="D1687">
        <v>0</v>
      </c>
      <c r="E1687" s="3">
        <f t="shared" si="26"/>
        <v>21</v>
      </c>
    </row>
    <row r="1688" spans="1:5" x14ac:dyDescent="0.2">
      <c r="A1688">
        <v>1</v>
      </c>
      <c r="B1688" t="s">
        <v>475</v>
      </c>
      <c r="C1688">
        <v>3</v>
      </c>
      <c r="D1688">
        <v>16</v>
      </c>
      <c r="E1688" s="3">
        <f t="shared" si="26"/>
        <v>21</v>
      </c>
    </row>
    <row r="1689" spans="1:5" x14ac:dyDescent="0.2">
      <c r="A1689">
        <v>2</v>
      </c>
      <c r="B1689" t="s">
        <v>87</v>
      </c>
      <c r="C1689">
        <v>2</v>
      </c>
      <c r="D1689">
        <v>12</v>
      </c>
      <c r="E1689" s="3">
        <f t="shared" si="26"/>
        <v>21</v>
      </c>
    </row>
    <row r="1690" spans="1:5" x14ac:dyDescent="0.2">
      <c r="A1690">
        <v>3</v>
      </c>
      <c r="B1690" t="s">
        <v>76</v>
      </c>
      <c r="C1690">
        <v>0</v>
      </c>
      <c r="D1690">
        <v>8</v>
      </c>
      <c r="E1690" s="3">
        <f t="shared" si="26"/>
        <v>21</v>
      </c>
    </row>
    <row r="1691" spans="1:5" x14ac:dyDescent="0.2">
      <c r="A1691">
        <v>4</v>
      </c>
      <c r="B1691" t="s">
        <v>88</v>
      </c>
      <c r="C1691">
        <v>0</v>
      </c>
      <c r="D1691">
        <v>4</v>
      </c>
      <c r="E1691" s="3">
        <f t="shared" si="26"/>
        <v>21</v>
      </c>
    </row>
    <row r="1692" spans="1:5" x14ac:dyDescent="0.2">
      <c r="A1692">
        <v>5</v>
      </c>
      <c r="B1692" t="s">
        <v>516</v>
      </c>
      <c r="C1692">
        <v>0</v>
      </c>
      <c r="D1692">
        <v>2</v>
      </c>
      <c r="E1692" s="3">
        <f t="shared" si="26"/>
        <v>21</v>
      </c>
    </row>
    <row r="1693" spans="1:5" x14ac:dyDescent="0.2">
      <c r="A1693">
        <v>6</v>
      </c>
      <c r="B1693" t="s">
        <v>507</v>
      </c>
      <c r="C1693">
        <v>0</v>
      </c>
      <c r="D1693">
        <v>1</v>
      </c>
      <c r="E1693" s="3">
        <f t="shared" si="26"/>
        <v>21</v>
      </c>
    </row>
    <row r="1694" spans="1:5" x14ac:dyDescent="0.2">
      <c r="A1694">
        <v>9</v>
      </c>
      <c r="B1694" s="2" t="s">
        <v>10</v>
      </c>
      <c r="C1694" s="2" t="s">
        <v>10</v>
      </c>
      <c r="D1694" s="2" t="s">
        <v>10</v>
      </c>
      <c r="E1694" s="3">
        <f t="shared" si="26"/>
        <v>21</v>
      </c>
    </row>
    <row r="1695" spans="1:5" x14ac:dyDescent="0.2">
      <c r="A1695">
        <v>10</v>
      </c>
      <c r="B1695" s="2" t="s">
        <v>10</v>
      </c>
      <c r="C1695" s="2" t="s">
        <v>10</v>
      </c>
      <c r="D1695" s="2" t="s">
        <v>10</v>
      </c>
      <c r="E1695" s="3">
        <f t="shared" si="26"/>
        <v>21</v>
      </c>
    </row>
    <row r="1696" spans="1:5" x14ac:dyDescent="0.2">
      <c r="A1696" s="1" t="s">
        <v>44</v>
      </c>
      <c r="E1696" s="3">
        <f t="shared" si="26"/>
        <v>21</v>
      </c>
    </row>
    <row r="1697" spans="1:5" x14ac:dyDescent="0.2">
      <c r="A1697" s="1" t="s">
        <v>1</v>
      </c>
      <c r="B1697" s="1" t="s">
        <v>2</v>
      </c>
      <c r="C1697" s="1" t="s">
        <v>3</v>
      </c>
      <c r="D1697" s="1" t="s">
        <v>4</v>
      </c>
      <c r="E1697" s="3">
        <f t="shared" si="26"/>
        <v>21</v>
      </c>
    </row>
    <row r="1698" spans="1:5" x14ac:dyDescent="0.2">
      <c r="A1698">
        <v>0</v>
      </c>
      <c r="C1698">
        <v>0</v>
      </c>
      <c r="D1698">
        <v>0</v>
      </c>
      <c r="E1698" s="3">
        <f t="shared" si="26"/>
        <v>21</v>
      </c>
    </row>
    <row r="1699" spans="1:5" x14ac:dyDescent="0.2">
      <c r="A1699">
        <v>0</v>
      </c>
      <c r="C1699">
        <v>0</v>
      </c>
      <c r="D1699">
        <v>0</v>
      </c>
      <c r="E1699" s="3">
        <f t="shared" si="26"/>
        <v>21</v>
      </c>
    </row>
    <row r="1700" spans="1:5" x14ac:dyDescent="0.2">
      <c r="A1700">
        <v>1</v>
      </c>
      <c r="B1700" t="s">
        <v>15</v>
      </c>
      <c r="C1700">
        <v>1</v>
      </c>
      <c r="D1700">
        <v>16</v>
      </c>
      <c r="E1700" s="3">
        <f t="shared" si="26"/>
        <v>21</v>
      </c>
    </row>
    <row r="1701" spans="1:5" x14ac:dyDescent="0.2">
      <c r="A1701">
        <v>2</v>
      </c>
      <c r="B1701" t="s">
        <v>501</v>
      </c>
      <c r="C1701">
        <v>1</v>
      </c>
      <c r="D1701">
        <v>12</v>
      </c>
      <c r="E1701" s="3">
        <f t="shared" si="26"/>
        <v>21</v>
      </c>
    </row>
    <row r="1702" spans="1:5" x14ac:dyDescent="0.2">
      <c r="A1702">
        <v>3</v>
      </c>
      <c r="B1702" t="s">
        <v>75</v>
      </c>
      <c r="C1702">
        <v>3</v>
      </c>
      <c r="D1702">
        <v>8</v>
      </c>
      <c r="E1702" s="3">
        <f t="shared" si="26"/>
        <v>21</v>
      </c>
    </row>
    <row r="1703" spans="1:5" x14ac:dyDescent="0.2">
      <c r="A1703">
        <v>4</v>
      </c>
      <c r="B1703" t="s">
        <v>280</v>
      </c>
      <c r="C1703">
        <v>0</v>
      </c>
      <c r="D1703">
        <v>4</v>
      </c>
      <c r="E1703" s="3">
        <f t="shared" si="26"/>
        <v>21</v>
      </c>
    </row>
    <row r="1704" spans="1:5" x14ac:dyDescent="0.2">
      <c r="A1704">
        <v>5</v>
      </c>
      <c r="B1704" t="s">
        <v>484</v>
      </c>
      <c r="C1704">
        <v>0</v>
      </c>
      <c r="D1704">
        <v>2</v>
      </c>
      <c r="E1704" s="3">
        <f t="shared" si="26"/>
        <v>21</v>
      </c>
    </row>
    <row r="1705" spans="1:5" x14ac:dyDescent="0.2">
      <c r="A1705">
        <v>6</v>
      </c>
      <c r="B1705" t="s">
        <v>510</v>
      </c>
      <c r="C1705">
        <v>0</v>
      </c>
      <c r="D1705">
        <v>1</v>
      </c>
      <c r="E1705" s="3">
        <f t="shared" si="26"/>
        <v>21</v>
      </c>
    </row>
    <row r="1706" spans="1:5" x14ac:dyDescent="0.2">
      <c r="A1706">
        <v>9</v>
      </c>
      <c r="B1706" s="2" t="s">
        <v>10</v>
      </c>
      <c r="C1706" s="2" t="s">
        <v>10</v>
      </c>
      <c r="D1706" s="2" t="s">
        <v>10</v>
      </c>
      <c r="E1706" s="3">
        <f t="shared" si="26"/>
        <v>21</v>
      </c>
    </row>
    <row r="1707" spans="1:5" x14ac:dyDescent="0.2">
      <c r="A1707">
        <v>10</v>
      </c>
      <c r="B1707" s="2" t="s">
        <v>10</v>
      </c>
      <c r="C1707" s="2" t="s">
        <v>10</v>
      </c>
      <c r="D1707" s="2" t="s">
        <v>10</v>
      </c>
      <c r="E1707" s="3">
        <f t="shared" si="26"/>
        <v>21</v>
      </c>
    </row>
    <row r="1708" spans="1:5" x14ac:dyDescent="0.2">
      <c r="A1708" s="1" t="s">
        <v>51</v>
      </c>
      <c r="E1708" s="3">
        <f t="shared" si="26"/>
        <v>21</v>
      </c>
    </row>
    <row r="1709" spans="1:5" x14ac:dyDescent="0.2">
      <c r="A1709" s="1" t="s">
        <v>1</v>
      </c>
      <c r="B1709" s="1" t="s">
        <v>2</v>
      </c>
      <c r="C1709" s="1" t="s">
        <v>3</v>
      </c>
      <c r="D1709" s="1" t="s">
        <v>4</v>
      </c>
      <c r="E1709" s="3">
        <f t="shared" si="26"/>
        <v>21</v>
      </c>
    </row>
    <row r="1710" spans="1:5" x14ac:dyDescent="0.2">
      <c r="A1710">
        <v>0</v>
      </c>
      <c r="C1710">
        <v>0</v>
      </c>
      <c r="D1710">
        <v>0</v>
      </c>
      <c r="E1710" s="3">
        <f t="shared" si="26"/>
        <v>21</v>
      </c>
    </row>
    <row r="1711" spans="1:5" x14ac:dyDescent="0.2">
      <c r="A1711">
        <v>1</v>
      </c>
      <c r="B1711" t="s">
        <v>502</v>
      </c>
      <c r="C1711">
        <v>3</v>
      </c>
      <c r="D1711">
        <v>17</v>
      </c>
      <c r="E1711" s="3">
        <f t="shared" si="26"/>
        <v>21</v>
      </c>
    </row>
    <row r="1712" spans="1:5" x14ac:dyDescent="0.2">
      <c r="A1712">
        <v>2</v>
      </c>
      <c r="B1712" t="s">
        <v>505</v>
      </c>
      <c r="C1712">
        <v>2</v>
      </c>
      <c r="D1712">
        <v>13</v>
      </c>
      <c r="E1712" s="3">
        <f t="shared" si="26"/>
        <v>21</v>
      </c>
    </row>
    <row r="1713" spans="1:5" x14ac:dyDescent="0.2">
      <c r="A1713">
        <v>3</v>
      </c>
      <c r="B1713" t="s">
        <v>454</v>
      </c>
      <c r="C1713">
        <v>0</v>
      </c>
      <c r="D1713">
        <v>9</v>
      </c>
      <c r="E1713" s="3">
        <f t="shared" si="26"/>
        <v>21</v>
      </c>
    </row>
    <row r="1714" spans="1:5" x14ac:dyDescent="0.2">
      <c r="A1714">
        <v>4</v>
      </c>
      <c r="B1714" t="s">
        <v>503</v>
      </c>
      <c r="C1714">
        <v>1</v>
      </c>
      <c r="D1714">
        <v>5</v>
      </c>
      <c r="E1714" s="3">
        <f t="shared" si="26"/>
        <v>21</v>
      </c>
    </row>
    <row r="1715" spans="1:5" x14ac:dyDescent="0.2">
      <c r="A1715">
        <v>5</v>
      </c>
      <c r="B1715" t="s">
        <v>500</v>
      </c>
      <c r="C1715">
        <v>0</v>
      </c>
      <c r="D1715">
        <v>3</v>
      </c>
      <c r="E1715" s="3">
        <f t="shared" si="26"/>
        <v>21</v>
      </c>
    </row>
    <row r="1716" spans="1:5" x14ac:dyDescent="0.2">
      <c r="A1716">
        <v>6</v>
      </c>
      <c r="B1716" t="s">
        <v>42</v>
      </c>
      <c r="C1716">
        <v>0</v>
      </c>
      <c r="D1716">
        <v>2</v>
      </c>
      <c r="E1716" s="3">
        <f t="shared" si="26"/>
        <v>21</v>
      </c>
    </row>
    <row r="1717" spans="1:5" x14ac:dyDescent="0.2">
      <c r="A1717">
        <v>7</v>
      </c>
      <c r="B1717" t="s">
        <v>504</v>
      </c>
      <c r="C1717">
        <v>0</v>
      </c>
      <c r="D1717">
        <v>1</v>
      </c>
      <c r="E1717" s="3">
        <f t="shared" si="26"/>
        <v>21</v>
      </c>
    </row>
    <row r="1718" spans="1:5" x14ac:dyDescent="0.2">
      <c r="A1718">
        <v>9</v>
      </c>
      <c r="B1718" s="2" t="s">
        <v>10</v>
      </c>
      <c r="C1718" s="2" t="s">
        <v>10</v>
      </c>
      <c r="D1718" s="2" t="s">
        <v>10</v>
      </c>
      <c r="E1718" s="3">
        <f t="shared" si="26"/>
        <v>21</v>
      </c>
    </row>
    <row r="1719" spans="1:5" x14ac:dyDescent="0.2">
      <c r="A1719" s="1" t="s">
        <v>0</v>
      </c>
      <c r="E1719" s="3">
        <f t="shared" si="26"/>
        <v>22</v>
      </c>
    </row>
    <row r="1720" spans="1:5" x14ac:dyDescent="0.2">
      <c r="A1720" s="1" t="s">
        <v>1</v>
      </c>
      <c r="B1720" s="1" t="s">
        <v>2</v>
      </c>
      <c r="C1720" s="1" t="s">
        <v>3</v>
      </c>
      <c r="D1720" s="1" t="s">
        <v>4</v>
      </c>
      <c r="E1720" s="3">
        <f t="shared" si="26"/>
        <v>22</v>
      </c>
    </row>
    <row r="1721" spans="1:5" x14ac:dyDescent="0.2">
      <c r="A1721">
        <v>1</v>
      </c>
      <c r="B1721" t="s">
        <v>74</v>
      </c>
      <c r="C1721">
        <v>3</v>
      </c>
      <c r="D1721">
        <v>17</v>
      </c>
      <c r="E1721" s="3">
        <f t="shared" si="26"/>
        <v>22</v>
      </c>
    </row>
    <row r="1722" spans="1:5" x14ac:dyDescent="0.2">
      <c r="A1722">
        <v>2</v>
      </c>
      <c r="B1722" t="s">
        <v>502</v>
      </c>
      <c r="C1722">
        <v>2</v>
      </c>
      <c r="D1722">
        <v>13</v>
      </c>
      <c r="E1722" s="3">
        <f t="shared" si="26"/>
        <v>22</v>
      </c>
    </row>
    <row r="1723" spans="1:5" x14ac:dyDescent="0.2">
      <c r="A1723">
        <v>3</v>
      </c>
      <c r="B1723" t="s">
        <v>509</v>
      </c>
      <c r="C1723">
        <v>0</v>
      </c>
      <c r="D1723">
        <v>9</v>
      </c>
      <c r="E1723" s="3">
        <f t="shared" si="26"/>
        <v>22</v>
      </c>
    </row>
    <row r="1724" spans="1:5" x14ac:dyDescent="0.2">
      <c r="A1724">
        <v>4</v>
      </c>
      <c r="B1724" t="s">
        <v>533</v>
      </c>
      <c r="C1724">
        <v>0</v>
      </c>
      <c r="D1724">
        <v>5</v>
      </c>
      <c r="E1724" s="3">
        <f t="shared" si="26"/>
        <v>22</v>
      </c>
    </row>
    <row r="1725" spans="1:5" x14ac:dyDescent="0.2">
      <c r="A1725">
        <v>5</v>
      </c>
      <c r="B1725" t="s">
        <v>508</v>
      </c>
      <c r="C1725">
        <v>0</v>
      </c>
      <c r="D1725">
        <v>3</v>
      </c>
      <c r="E1725" s="3">
        <f t="shared" si="26"/>
        <v>22</v>
      </c>
    </row>
    <row r="1726" spans="1:5" x14ac:dyDescent="0.2">
      <c r="A1726">
        <v>6</v>
      </c>
      <c r="B1726" t="s">
        <v>479</v>
      </c>
      <c r="C1726">
        <v>1</v>
      </c>
      <c r="D1726">
        <v>2</v>
      </c>
      <c r="E1726" s="3">
        <f t="shared" si="26"/>
        <v>22</v>
      </c>
    </row>
    <row r="1727" spans="1:5" x14ac:dyDescent="0.2">
      <c r="A1727">
        <v>7</v>
      </c>
      <c r="B1727" t="s">
        <v>505</v>
      </c>
      <c r="C1727">
        <v>0</v>
      </c>
      <c r="D1727">
        <v>1</v>
      </c>
      <c r="E1727" s="3">
        <f t="shared" si="26"/>
        <v>22</v>
      </c>
    </row>
    <row r="1728" spans="1:5" x14ac:dyDescent="0.2">
      <c r="A1728">
        <v>8</v>
      </c>
      <c r="B1728" s="2" t="s">
        <v>10</v>
      </c>
      <c r="C1728" s="2" t="s">
        <v>10</v>
      </c>
      <c r="D1728" s="2" t="s">
        <v>10</v>
      </c>
      <c r="E1728" s="3">
        <f t="shared" si="26"/>
        <v>22</v>
      </c>
    </row>
    <row r="1729" spans="1:5" x14ac:dyDescent="0.2">
      <c r="A1729" s="1" t="s">
        <v>11</v>
      </c>
      <c r="E1729" s="3">
        <f t="shared" si="26"/>
        <v>22</v>
      </c>
    </row>
    <row r="1730" spans="1:5" x14ac:dyDescent="0.2">
      <c r="A1730" s="1" t="s">
        <v>1</v>
      </c>
      <c r="B1730" s="1" t="s">
        <v>2</v>
      </c>
      <c r="C1730" s="1" t="s">
        <v>3</v>
      </c>
      <c r="D1730" s="1" t="s">
        <v>4</v>
      </c>
      <c r="E1730" s="3">
        <f t="shared" si="26"/>
        <v>22</v>
      </c>
    </row>
    <row r="1731" spans="1:5" x14ac:dyDescent="0.2">
      <c r="A1731">
        <v>1</v>
      </c>
      <c r="B1731" t="s">
        <v>535</v>
      </c>
      <c r="C1731">
        <v>2</v>
      </c>
      <c r="D1731">
        <v>16</v>
      </c>
      <c r="E1731" s="3">
        <f t="shared" si="26"/>
        <v>22</v>
      </c>
    </row>
    <row r="1732" spans="1:5" x14ac:dyDescent="0.2">
      <c r="A1732">
        <v>2</v>
      </c>
      <c r="B1732" t="s">
        <v>35</v>
      </c>
      <c r="C1732">
        <v>2</v>
      </c>
      <c r="D1732">
        <v>12</v>
      </c>
      <c r="E1732" s="3">
        <f t="shared" ref="E1732:E1795" si="27">IF(A1732=$A$1,E1731+1,E1731)</f>
        <v>22</v>
      </c>
    </row>
    <row r="1733" spans="1:5" x14ac:dyDescent="0.2">
      <c r="A1733">
        <v>3</v>
      </c>
      <c r="B1733" t="s">
        <v>33</v>
      </c>
      <c r="C1733">
        <v>0</v>
      </c>
      <c r="D1733">
        <v>8</v>
      </c>
      <c r="E1733" s="3">
        <f t="shared" si="27"/>
        <v>22</v>
      </c>
    </row>
    <row r="1734" spans="1:5" x14ac:dyDescent="0.2">
      <c r="A1734">
        <v>4</v>
      </c>
      <c r="B1734" t="s">
        <v>501</v>
      </c>
      <c r="C1734">
        <v>0</v>
      </c>
      <c r="D1734">
        <v>4</v>
      </c>
      <c r="E1734" s="3">
        <f t="shared" si="27"/>
        <v>22</v>
      </c>
    </row>
    <row r="1735" spans="1:5" x14ac:dyDescent="0.2">
      <c r="A1735">
        <v>5</v>
      </c>
      <c r="B1735" t="s">
        <v>40</v>
      </c>
      <c r="C1735">
        <v>1</v>
      </c>
      <c r="D1735">
        <v>2</v>
      </c>
      <c r="E1735" s="3">
        <f t="shared" si="27"/>
        <v>22</v>
      </c>
    </row>
    <row r="1736" spans="1:5" x14ac:dyDescent="0.2">
      <c r="A1736">
        <v>6</v>
      </c>
      <c r="B1736" t="s">
        <v>46</v>
      </c>
      <c r="C1736">
        <v>0</v>
      </c>
      <c r="D1736">
        <v>1</v>
      </c>
      <c r="E1736" s="3">
        <f t="shared" si="27"/>
        <v>22</v>
      </c>
    </row>
    <row r="1737" spans="1:5" x14ac:dyDescent="0.2">
      <c r="A1737">
        <v>7</v>
      </c>
      <c r="B1737" s="2" t="s">
        <v>10</v>
      </c>
      <c r="C1737" s="2" t="s">
        <v>10</v>
      </c>
      <c r="D1737" s="2" t="s">
        <v>10</v>
      </c>
      <c r="E1737" s="3">
        <f t="shared" si="27"/>
        <v>22</v>
      </c>
    </row>
    <row r="1738" spans="1:5" x14ac:dyDescent="0.2">
      <c r="A1738">
        <v>8</v>
      </c>
      <c r="B1738" s="2" t="s">
        <v>10</v>
      </c>
      <c r="C1738" s="2" t="s">
        <v>10</v>
      </c>
      <c r="D1738" s="2" t="s">
        <v>10</v>
      </c>
      <c r="E1738" s="3">
        <f t="shared" si="27"/>
        <v>22</v>
      </c>
    </row>
    <row r="1739" spans="1:5" x14ac:dyDescent="0.2">
      <c r="A1739" s="1" t="s">
        <v>17</v>
      </c>
      <c r="E1739" s="3">
        <f t="shared" si="27"/>
        <v>22</v>
      </c>
    </row>
    <row r="1740" spans="1:5" x14ac:dyDescent="0.2">
      <c r="A1740" s="1" t="s">
        <v>1</v>
      </c>
      <c r="B1740" s="1" t="s">
        <v>2</v>
      </c>
      <c r="C1740" s="1" t="s">
        <v>3</v>
      </c>
      <c r="D1740" s="1" t="s">
        <v>4</v>
      </c>
      <c r="E1740" s="3">
        <f t="shared" si="27"/>
        <v>22</v>
      </c>
    </row>
    <row r="1741" spans="1:5" x14ac:dyDescent="0.2">
      <c r="A1741">
        <v>1</v>
      </c>
      <c r="B1741" t="s">
        <v>490</v>
      </c>
      <c r="C1741">
        <v>3</v>
      </c>
      <c r="D1741">
        <v>17</v>
      </c>
      <c r="E1741" s="3">
        <f t="shared" si="27"/>
        <v>22</v>
      </c>
    </row>
    <row r="1742" spans="1:5" x14ac:dyDescent="0.2">
      <c r="A1742">
        <v>2</v>
      </c>
      <c r="B1742" t="s">
        <v>15</v>
      </c>
      <c r="C1742">
        <v>1</v>
      </c>
      <c r="D1742">
        <v>13</v>
      </c>
      <c r="E1742" s="3">
        <f t="shared" si="27"/>
        <v>22</v>
      </c>
    </row>
    <row r="1743" spans="1:5" x14ac:dyDescent="0.2">
      <c r="A1743">
        <v>3</v>
      </c>
      <c r="B1743" t="s">
        <v>25</v>
      </c>
      <c r="C1743">
        <v>1</v>
      </c>
      <c r="D1743">
        <v>9</v>
      </c>
      <c r="E1743" s="3">
        <f t="shared" si="27"/>
        <v>22</v>
      </c>
    </row>
    <row r="1744" spans="1:5" x14ac:dyDescent="0.2">
      <c r="A1744">
        <v>4</v>
      </c>
      <c r="B1744" t="s">
        <v>534</v>
      </c>
      <c r="C1744">
        <v>0</v>
      </c>
      <c r="D1744">
        <v>5</v>
      </c>
      <c r="E1744" s="3">
        <f t="shared" si="27"/>
        <v>22</v>
      </c>
    </row>
    <row r="1745" spans="1:5" x14ac:dyDescent="0.2">
      <c r="A1745">
        <v>5</v>
      </c>
      <c r="B1745" t="s">
        <v>6</v>
      </c>
      <c r="C1745">
        <v>0</v>
      </c>
      <c r="D1745">
        <v>3</v>
      </c>
      <c r="E1745" s="3">
        <f t="shared" si="27"/>
        <v>22</v>
      </c>
    </row>
    <row r="1746" spans="1:5" x14ac:dyDescent="0.2">
      <c r="A1746">
        <v>6</v>
      </c>
      <c r="B1746" t="s">
        <v>9</v>
      </c>
      <c r="C1746">
        <v>1</v>
      </c>
      <c r="D1746">
        <v>2</v>
      </c>
      <c r="E1746" s="3">
        <f t="shared" si="27"/>
        <v>22</v>
      </c>
    </row>
    <row r="1747" spans="1:5" x14ac:dyDescent="0.2">
      <c r="A1747">
        <v>7</v>
      </c>
      <c r="B1747" t="s">
        <v>518</v>
      </c>
      <c r="C1747">
        <v>0</v>
      </c>
      <c r="D1747">
        <v>1</v>
      </c>
      <c r="E1747" s="3">
        <f t="shared" si="27"/>
        <v>22</v>
      </c>
    </row>
    <row r="1748" spans="1:5" x14ac:dyDescent="0.2">
      <c r="A1748">
        <v>8</v>
      </c>
      <c r="B1748" s="2" t="s">
        <v>10</v>
      </c>
      <c r="C1748" s="2" t="s">
        <v>10</v>
      </c>
      <c r="D1748" s="2" t="s">
        <v>10</v>
      </c>
      <c r="E1748" s="3">
        <f t="shared" si="27"/>
        <v>22</v>
      </c>
    </row>
    <row r="1749" spans="1:5" x14ac:dyDescent="0.2">
      <c r="A1749" s="1" t="s">
        <v>24</v>
      </c>
      <c r="E1749" s="3">
        <f t="shared" si="27"/>
        <v>22</v>
      </c>
    </row>
    <row r="1750" spans="1:5" x14ac:dyDescent="0.2">
      <c r="A1750" s="1" t="s">
        <v>1</v>
      </c>
      <c r="B1750" s="1" t="s">
        <v>2</v>
      </c>
      <c r="C1750" s="1" t="s">
        <v>3</v>
      </c>
      <c r="D1750" s="1" t="s">
        <v>4</v>
      </c>
      <c r="E1750" s="3">
        <f t="shared" si="27"/>
        <v>22</v>
      </c>
    </row>
    <row r="1751" spans="1:5" x14ac:dyDescent="0.2">
      <c r="A1751">
        <v>1</v>
      </c>
      <c r="B1751" t="s">
        <v>32</v>
      </c>
      <c r="C1751">
        <v>2</v>
      </c>
      <c r="D1751">
        <v>17</v>
      </c>
      <c r="E1751" s="3">
        <f t="shared" si="27"/>
        <v>22</v>
      </c>
    </row>
    <row r="1752" spans="1:5" x14ac:dyDescent="0.2">
      <c r="A1752">
        <v>2</v>
      </c>
      <c r="B1752" t="s">
        <v>500</v>
      </c>
      <c r="C1752">
        <v>2</v>
      </c>
      <c r="D1752">
        <v>13</v>
      </c>
      <c r="E1752" s="3">
        <f t="shared" si="27"/>
        <v>22</v>
      </c>
    </row>
    <row r="1753" spans="1:5" x14ac:dyDescent="0.2">
      <c r="A1753">
        <v>3</v>
      </c>
      <c r="B1753" t="s">
        <v>87</v>
      </c>
      <c r="C1753">
        <v>2</v>
      </c>
      <c r="D1753">
        <v>9</v>
      </c>
      <c r="E1753" s="3">
        <f t="shared" si="27"/>
        <v>22</v>
      </c>
    </row>
    <row r="1754" spans="1:5" x14ac:dyDescent="0.2">
      <c r="A1754">
        <v>4</v>
      </c>
      <c r="B1754" t="s">
        <v>55</v>
      </c>
      <c r="C1754">
        <v>0</v>
      </c>
      <c r="D1754">
        <v>5</v>
      </c>
      <c r="E1754" s="3">
        <f t="shared" si="27"/>
        <v>22</v>
      </c>
    </row>
    <row r="1755" spans="1:5" x14ac:dyDescent="0.2">
      <c r="A1755">
        <v>5</v>
      </c>
      <c r="B1755" t="s">
        <v>519</v>
      </c>
      <c r="C1755">
        <v>0</v>
      </c>
      <c r="D1755">
        <v>3</v>
      </c>
      <c r="E1755" s="3">
        <f t="shared" si="27"/>
        <v>22</v>
      </c>
    </row>
    <row r="1756" spans="1:5" x14ac:dyDescent="0.2">
      <c r="A1756">
        <v>6</v>
      </c>
      <c r="B1756" t="s">
        <v>507</v>
      </c>
      <c r="C1756">
        <v>0</v>
      </c>
      <c r="D1756">
        <v>2</v>
      </c>
      <c r="E1756" s="3">
        <f t="shared" si="27"/>
        <v>22</v>
      </c>
    </row>
    <row r="1757" spans="1:5" x14ac:dyDescent="0.2">
      <c r="A1757">
        <v>7</v>
      </c>
      <c r="B1757" t="s">
        <v>485</v>
      </c>
      <c r="C1757">
        <v>0</v>
      </c>
      <c r="D1757">
        <v>1</v>
      </c>
      <c r="E1757" s="3">
        <f t="shared" si="27"/>
        <v>22</v>
      </c>
    </row>
    <row r="1758" spans="1:5" x14ac:dyDescent="0.2">
      <c r="A1758">
        <v>8</v>
      </c>
      <c r="B1758" s="2" t="s">
        <v>10</v>
      </c>
      <c r="C1758" s="2" t="s">
        <v>10</v>
      </c>
      <c r="D1758" s="2" t="s">
        <v>10</v>
      </c>
      <c r="E1758" s="3">
        <f t="shared" si="27"/>
        <v>22</v>
      </c>
    </row>
    <row r="1759" spans="1:5" x14ac:dyDescent="0.2">
      <c r="A1759" s="1" t="s">
        <v>30</v>
      </c>
      <c r="E1759" s="3">
        <f t="shared" si="27"/>
        <v>22</v>
      </c>
    </row>
    <row r="1760" spans="1:5" x14ac:dyDescent="0.2">
      <c r="A1760" s="1" t="s">
        <v>1</v>
      </c>
      <c r="B1760" s="1" t="s">
        <v>2</v>
      </c>
      <c r="C1760" s="1" t="s">
        <v>3</v>
      </c>
      <c r="D1760" s="1" t="s">
        <v>4</v>
      </c>
      <c r="E1760" s="3">
        <f t="shared" si="27"/>
        <v>22</v>
      </c>
    </row>
    <row r="1761" spans="1:5" x14ac:dyDescent="0.2">
      <c r="A1761">
        <v>1</v>
      </c>
      <c r="B1761" t="s">
        <v>532</v>
      </c>
      <c r="C1761">
        <v>1</v>
      </c>
      <c r="D1761">
        <v>16</v>
      </c>
      <c r="E1761" s="3">
        <f t="shared" si="27"/>
        <v>22</v>
      </c>
    </row>
    <row r="1762" spans="1:5" x14ac:dyDescent="0.2">
      <c r="A1762">
        <v>1</v>
      </c>
      <c r="B1762" t="s">
        <v>19</v>
      </c>
      <c r="C1762">
        <v>2</v>
      </c>
      <c r="D1762">
        <v>16</v>
      </c>
      <c r="E1762" s="3">
        <f t="shared" si="27"/>
        <v>22</v>
      </c>
    </row>
    <row r="1763" spans="1:5" x14ac:dyDescent="0.2">
      <c r="A1763">
        <v>3</v>
      </c>
      <c r="B1763" t="s">
        <v>69</v>
      </c>
      <c r="C1763">
        <v>1</v>
      </c>
      <c r="D1763">
        <v>8</v>
      </c>
      <c r="E1763" s="3">
        <f t="shared" si="27"/>
        <v>22</v>
      </c>
    </row>
    <row r="1764" spans="1:5" x14ac:dyDescent="0.2">
      <c r="A1764">
        <v>4</v>
      </c>
      <c r="B1764" t="s">
        <v>526</v>
      </c>
      <c r="C1764">
        <v>1</v>
      </c>
      <c r="D1764">
        <v>4</v>
      </c>
      <c r="E1764" s="3">
        <f t="shared" si="27"/>
        <v>22</v>
      </c>
    </row>
    <row r="1765" spans="1:5" x14ac:dyDescent="0.2">
      <c r="A1765">
        <v>5</v>
      </c>
      <c r="B1765" t="s">
        <v>21</v>
      </c>
      <c r="C1765">
        <v>0</v>
      </c>
      <c r="D1765">
        <v>2</v>
      </c>
      <c r="E1765" s="3">
        <f t="shared" si="27"/>
        <v>22</v>
      </c>
    </row>
    <row r="1766" spans="1:5" x14ac:dyDescent="0.2">
      <c r="A1766">
        <v>6</v>
      </c>
      <c r="B1766" t="s">
        <v>493</v>
      </c>
      <c r="C1766">
        <v>0</v>
      </c>
      <c r="D1766">
        <v>1</v>
      </c>
      <c r="E1766" s="3">
        <f t="shared" si="27"/>
        <v>22</v>
      </c>
    </row>
    <row r="1767" spans="1:5" x14ac:dyDescent="0.2">
      <c r="A1767">
        <v>7</v>
      </c>
      <c r="B1767" s="2" t="s">
        <v>10</v>
      </c>
      <c r="C1767" s="2" t="s">
        <v>10</v>
      </c>
      <c r="D1767" s="2" t="s">
        <v>10</v>
      </c>
      <c r="E1767" s="3">
        <f t="shared" si="27"/>
        <v>22</v>
      </c>
    </row>
    <row r="1768" spans="1:5" x14ac:dyDescent="0.2">
      <c r="A1768">
        <v>8</v>
      </c>
      <c r="B1768" s="2" t="s">
        <v>10</v>
      </c>
      <c r="C1768" s="2" t="s">
        <v>10</v>
      </c>
      <c r="D1768" s="2" t="s">
        <v>10</v>
      </c>
      <c r="E1768" s="3">
        <f t="shared" si="27"/>
        <v>22</v>
      </c>
    </row>
    <row r="1769" spans="1:5" x14ac:dyDescent="0.2">
      <c r="A1769" s="1" t="s">
        <v>37</v>
      </c>
      <c r="E1769" s="3">
        <f t="shared" si="27"/>
        <v>22</v>
      </c>
    </row>
    <row r="1770" spans="1:5" x14ac:dyDescent="0.2">
      <c r="A1770" s="1" t="s">
        <v>1</v>
      </c>
      <c r="B1770" s="1" t="s">
        <v>2</v>
      </c>
      <c r="C1770" s="1" t="s">
        <v>3</v>
      </c>
      <c r="D1770" s="1" t="s">
        <v>4</v>
      </c>
      <c r="E1770" s="3">
        <f t="shared" si="27"/>
        <v>22</v>
      </c>
    </row>
    <row r="1771" spans="1:5" x14ac:dyDescent="0.2">
      <c r="A1771">
        <v>1</v>
      </c>
      <c r="B1771" t="s">
        <v>475</v>
      </c>
      <c r="C1771">
        <v>5</v>
      </c>
      <c r="D1771">
        <v>16</v>
      </c>
      <c r="E1771" s="3">
        <f t="shared" si="27"/>
        <v>22</v>
      </c>
    </row>
    <row r="1772" spans="1:5" x14ac:dyDescent="0.2">
      <c r="A1772">
        <v>2</v>
      </c>
      <c r="B1772" t="s">
        <v>512</v>
      </c>
      <c r="C1772">
        <v>0</v>
      </c>
      <c r="D1772">
        <v>12</v>
      </c>
      <c r="E1772" s="3">
        <f t="shared" si="27"/>
        <v>22</v>
      </c>
    </row>
    <row r="1773" spans="1:5" x14ac:dyDescent="0.2">
      <c r="A1773">
        <v>3</v>
      </c>
      <c r="B1773" t="s">
        <v>476</v>
      </c>
      <c r="C1773">
        <v>0</v>
      </c>
      <c r="D1773">
        <v>8</v>
      </c>
      <c r="E1773" s="3">
        <f t="shared" si="27"/>
        <v>22</v>
      </c>
    </row>
    <row r="1774" spans="1:5" x14ac:dyDescent="0.2">
      <c r="A1774">
        <v>4</v>
      </c>
      <c r="B1774" t="s">
        <v>525</v>
      </c>
      <c r="C1774">
        <v>0</v>
      </c>
      <c r="D1774">
        <v>4</v>
      </c>
      <c r="E1774" s="3">
        <f t="shared" si="27"/>
        <v>22</v>
      </c>
    </row>
    <row r="1775" spans="1:5" x14ac:dyDescent="0.2">
      <c r="A1775">
        <v>5</v>
      </c>
      <c r="B1775" t="s">
        <v>81</v>
      </c>
      <c r="C1775">
        <v>0</v>
      </c>
      <c r="D1775">
        <v>2</v>
      </c>
      <c r="E1775" s="3">
        <f t="shared" si="27"/>
        <v>22</v>
      </c>
    </row>
    <row r="1776" spans="1:5" x14ac:dyDescent="0.2">
      <c r="A1776">
        <v>6</v>
      </c>
      <c r="B1776" t="s">
        <v>75</v>
      </c>
      <c r="C1776">
        <v>0</v>
      </c>
      <c r="D1776">
        <v>1</v>
      </c>
      <c r="E1776" s="3">
        <f t="shared" si="27"/>
        <v>22</v>
      </c>
    </row>
    <row r="1777" spans="1:5" x14ac:dyDescent="0.2">
      <c r="A1777">
        <v>7</v>
      </c>
      <c r="B1777" s="2" t="s">
        <v>10</v>
      </c>
      <c r="C1777" s="2" t="s">
        <v>10</v>
      </c>
      <c r="D1777" s="2" t="s">
        <v>10</v>
      </c>
      <c r="E1777" s="3">
        <f t="shared" si="27"/>
        <v>22</v>
      </c>
    </row>
    <row r="1778" spans="1:5" x14ac:dyDescent="0.2">
      <c r="A1778">
        <v>8</v>
      </c>
      <c r="B1778" s="2" t="s">
        <v>10</v>
      </c>
      <c r="C1778" s="2" t="s">
        <v>10</v>
      </c>
      <c r="D1778" s="2" t="s">
        <v>10</v>
      </c>
      <c r="E1778" s="3">
        <f t="shared" si="27"/>
        <v>22</v>
      </c>
    </row>
    <row r="1779" spans="1:5" x14ac:dyDescent="0.2">
      <c r="A1779" s="1" t="s">
        <v>44</v>
      </c>
      <c r="E1779" s="3">
        <f t="shared" si="27"/>
        <v>22</v>
      </c>
    </row>
    <row r="1780" spans="1:5" x14ac:dyDescent="0.2">
      <c r="A1780" s="1" t="s">
        <v>1</v>
      </c>
      <c r="B1780" s="1" t="s">
        <v>2</v>
      </c>
      <c r="C1780" s="1" t="s">
        <v>3</v>
      </c>
      <c r="D1780" s="1" t="s">
        <v>4</v>
      </c>
      <c r="E1780" s="3">
        <f t="shared" si="27"/>
        <v>22</v>
      </c>
    </row>
    <row r="1781" spans="1:5" x14ac:dyDescent="0.2">
      <c r="A1781">
        <v>1</v>
      </c>
      <c r="B1781" t="s">
        <v>515</v>
      </c>
      <c r="C1781">
        <v>2</v>
      </c>
      <c r="D1781">
        <v>17</v>
      </c>
      <c r="E1781" s="3">
        <f t="shared" si="27"/>
        <v>22</v>
      </c>
    </row>
    <row r="1782" spans="1:5" x14ac:dyDescent="0.2">
      <c r="A1782">
        <v>2</v>
      </c>
      <c r="B1782" t="s">
        <v>27</v>
      </c>
      <c r="C1782">
        <v>3</v>
      </c>
      <c r="D1782">
        <v>13</v>
      </c>
      <c r="E1782" s="3">
        <f t="shared" si="27"/>
        <v>22</v>
      </c>
    </row>
    <row r="1783" spans="1:5" x14ac:dyDescent="0.2">
      <c r="A1783">
        <v>3</v>
      </c>
      <c r="B1783" t="s">
        <v>504</v>
      </c>
      <c r="C1783">
        <v>1</v>
      </c>
      <c r="D1783">
        <v>9</v>
      </c>
      <c r="E1783" s="3">
        <f t="shared" si="27"/>
        <v>22</v>
      </c>
    </row>
    <row r="1784" spans="1:5" x14ac:dyDescent="0.2">
      <c r="A1784">
        <v>4</v>
      </c>
      <c r="B1784" t="s">
        <v>461</v>
      </c>
      <c r="C1784">
        <v>0</v>
      </c>
      <c r="D1784">
        <v>5</v>
      </c>
      <c r="E1784" s="3">
        <f t="shared" si="27"/>
        <v>22</v>
      </c>
    </row>
    <row r="1785" spans="1:5" x14ac:dyDescent="0.2">
      <c r="A1785">
        <v>5</v>
      </c>
      <c r="B1785" t="s">
        <v>531</v>
      </c>
      <c r="C1785">
        <v>0</v>
      </c>
      <c r="D1785">
        <v>3</v>
      </c>
      <c r="E1785" s="3">
        <f t="shared" si="27"/>
        <v>22</v>
      </c>
    </row>
    <row r="1786" spans="1:5" x14ac:dyDescent="0.2">
      <c r="A1786">
        <v>6</v>
      </c>
      <c r="B1786" t="s">
        <v>73</v>
      </c>
      <c r="C1786">
        <v>0</v>
      </c>
      <c r="D1786">
        <v>2</v>
      </c>
      <c r="E1786" s="3">
        <f t="shared" si="27"/>
        <v>22</v>
      </c>
    </row>
    <row r="1787" spans="1:5" x14ac:dyDescent="0.2">
      <c r="A1787">
        <v>7</v>
      </c>
      <c r="B1787" t="s">
        <v>66</v>
      </c>
      <c r="C1787">
        <v>0</v>
      </c>
      <c r="D1787">
        <v>1</v>
      </c>
      <c r="E1787" s="3">
        <f t="shared" si="27"/>
        <v>22</v>
      </c>
    </row>
    <row r="1788" spans="1:5" x14ac:dyDescent="0.2">
      <c r="A1788">
        <v>8</v>
      </c>
      <c r="B1788" s="2" t="s">
        <v>10</v>
      </c>
      <c r="C1788" s="2" t="s">
        <v>10</v>
      </c>
      <c r="D1788" s="2" t="s">
        <v>10</v>
      </c>
      <c r="E1788" s="3">
        <f t="shared" si="27"/>
        <v>22</v>
      </c>
    </row>
    <row r="1789" spans="1:5" x14ac:dyDescent="0.2">
      <c r="A1789" s="1" t="s">
        <v>0</v>
      </c>
      <c r="E1789" s="3">
        <f t="shared" si="27"/>
        <v>23</v>
      </c>
    </row>
    <row r="1790" spans="1:5" x14ac:dyDescent="0.2">
      <c r="A1790" s="1" t="s">
        <v>1</v>
      </c>
      <c r="B1790" s="1" t="s">
        <v>2</v>
      </c>
      <c r="C1790" s="1" t="s">
        <v>3</v>
      </c>
      <c r="D1790" s="1" t="s">
        <v>4</v>
      </c>
      <c r="E1790" s="3">
        <f t="shared" si="27"/>
        <v>23</v>
      </c>
    </row>
    <row r="1791" spans="1:5" x14ac:dyDescent="0.2">
      <c r="A1791">
        <v>0</v>
      </c>
      <c r="C1791">
        <v>0</v>
      </c>
      <c r="D1791">
        <v>0</v>
      </c>
      <c r="E1791" s="3">
        <f t="shared" si="27"/>
        <v>23</v>
      </c>
    </row>
    <row r="1792" spans="1:5" x14ac:dyDescent="0.2">
      <c r="A1792">
        <v>1</v>
      </c>
      <c r="B1792" t="s">
        <v>485</v>
      </c>
      <c r="C1792">
        <v>3</v>
      </c>
      <c r="D1792">
        <v>17</v>
      </c>
      <c r="E1792" s="3">
        <f t="shared" si="27"/>
        <v>23</v>
      </c>
    </row>
    <row r="1793" spans="1:5" x14ac:dyDescent="0.2">
      <c r="A1793">
        <v>2</v>
      </c>
      <c r="B1793" t="s">
        <v>55</v>
      </c>
      <c r="C1793">
        <v>1</v>
      </c>
      <c r="D1793">
        <v>13</v>
      </c>
      <c r="E1793" s="3">
        <f t="shared" si="27"/>
        <v>23</v>
      </c>
    </row>
    <row r="1794" spans="1:5" x14ac:dyDescent="0.2">
      <c r="A1794">
        <v>3</v>
      </c>
      <c r="B1794" t="s">
        <v>533</v>
      </c>
      <c r="C1794">
        <v>1</v>
      </c>
      <c r="D1794">
        <v>9</v>
      </c>
      <c r="E1794" s="3">
        <f t="shared" si="27"/>
        <v>23</v>
      </c>
    </row>
    <row r="1795" spans="1:5" x14ac:dyDescent="0.2">
      <c r="A1795">
        <v>4</v>
      </c>
      <c r="B1795" t="s">
        <v>551</v>
      </c>
      <c r="C1795">
        <v>1</v>
      </c>
      <c r="D1795">
        <v>5</v>
      </c>
      <c r="E1795" s="3">
        <f t="shared" si="27"/>
        <v>23</v>
      </c>
    </row>
    <row r="1796" spans="1:5" x14ac:dyDescent="0.2">
      <c r="A1796">
        <v>5</v>
      </c>
      <c r="B1796" t="s">
        <v>42</v>
      </c>
      <c r="C1796">
        <v>0</v>
      </c>
      <c r="D1796">
        <v>3</v>
      </c>
      <c r="E1796" s="3">
        <f t="shared" ref="E1796:E1859" si="28">IF(A1796=$A$1,E1795+1,E1795)</f>
        <v>23</v>
      </c>
    </row>
    <row r="1797" spans="1:5" x14ac:dyDescent="0.2">
      <c r="A1797">
        <v>6</v>
      </c>
      <c r="B1797" t="s">
        <v>508</v>
      </c>
      <c r="C1797">
        <v>0</v>
      </c>
      <c r="D1797">
        <v>2</v>
      </c>
      <c r="E1797" s="3">
        <f t="shared" si="28"/>
        <v>23</v>
      </c>
    </row>
    <row r="1798" spans="1:5" x14ac:dyDescent="0.2">
      <c r="A1798">
        <v>6</v>
      </c>
      <c r="B1798" t="s">
        <v>505</v>
      </c>
      <c r="C1798">
        <v>0</v>
      </c>
      <c r="D1798">
        <v>2</v>
      </c>
      <c r="E1798" s="3">
        <f t="shared" si="28"/>
        <v>23</v>
      </c>
    </row>
    <row r="1799" spans="1:5" x14ac:dyDescent="0.2">
      <c r="A1799">
        <v>9</v>
      </c>
      <c r="B1799" s="2" t="s">
        <v>10</v>
      </c>
      <c r="C1799" s="2" t="s">
        <v>10</v>
      </c>
      <c r="D1799" s="2" t="s">
        <v>10</v>
      </c>
      <c r="E1799" s="3">
        <f t="shared" si="28"/>
        <v>23</v>
      </c>
    </row>
    <row r="1800" spans="1:5" x14ac:dyDescent="0.2">
      <c r="A1800" s="1" t="s">
        <v>11</v>
      </c>
      <c r="E1800" s="3">
        <f t="shared" si="28"/>
        <v>23</v>
      </c>
    </row>
    <row r="1801" spans="1:5" x14ac:dyDescent="0.2">
      <c r="A1801" s="1" t="s">
        <v>1</v>
      </c>
      <c r="B1801" s="1" t="s">
        <v>2</v>
      </c>
      <c r="C1801" s="1" t="s">
        <v>3</v>
      </c>
      <c r="D1801" s="1" t="s">
        <v>4</v>
      </c>
      <c r="E1801" s="3">
        <f t="shared" si="28"/>
        <v>23</v>
      </c>
    </row>
    <row r="1802" spans="1:5" x14ac:dyDescent="0.2">
      <c r="A1802">
        <v>1</v>
      </c>
      <c r="B1802" t="s">
        <v>35</v>
      </c>
      <c r="C1802">
        <v>3</v>
      </c>
      <c r="D1802">
        <v>17</v>
      </c>
      <c r="E1802" s="3">
        <f t="shared" si="28"/>
        <v>23</v>
      </c>
    </row>
    <row r="1803" spans="1:5" x14ac:dyDescent="0.2">
      <c r="A1803">
        <v>2</v>
      </c>
      <c r="B1803" t="s">
        <v>535</v>
      </c>
      <c r="C1803">
        <v>1</v>
      </c>
      <c r="D1803">
        <v>13</v>
      </c>
      <c r="E1803" s="3">
        <f t="shared" si="28"/>
        <v>23</v>
      </c>
    </row>
    <row r="1804" spans="1:5" x14ac:dyDescent="0.2">
      <c r="A1804">
        <v>3</v>
      </c>
      <c r="B1804" t="s">
        <v>519</v>
      </c>
      <c r="C1804">
        <v>1</v>
      </c>
      <c r="D1804">
        <v>9</v>
      </c>
      <c r="E1804" s="3">
        <f t="shared" si="28"/>
        <v>23</v>
      </c>
    </row>
    <row r="1805" spans="1:5" x14ac:dyDescent="0.2">
      <c r="A1805">
        <v>4</v>
      </c>
      <c r="B1805" t="s">
        <v>534</v>
      </c>
      <c r="C1805">
        <v>1</v>
      </c>
      <c r="D1805">
        <v>5</v>
      </c>
      <c r="E1805" s="3">
        <f t="shared" si="28"/>
        <v>23</v>
      </c>
    </row>
    <row r="1806" spans="1:5" x14ac:dyDescent="0.2">
      <c r="A1806">
        <v>5</v>
      </c>
      <c r="B1806" t="s">
        <v>516</v>
      </c>
      <c r="C1806">
        <v>0</v>
      </c>
      <c r="D1806">
        <v>3</v>
      </c>
      <c r="E1806" s="3">
        <f t="shared" si="28"/>
        <v>23</v>
      </c>
    </row>
    <row r="1807" spans="1:5" x14ac:dyDescent="0.2">
      <c r="A1807">
        <v>6</v>
      </c>
      <c r="B1807" t="s">
        <v>280</v>
      </c>
      <c r="C1807">
        <v>0</v>
      </c>
      <c r="D1807">
        <v>2</v>
      </c>
      <c r="E1807" s="3">
        <f t="shared" si="28"/>
        <v>23</v>
      </c>
    </row>
    <row r="1808" spans="1:5" x14ac:dyDescent="0.2">
      <c r="A1808">
        <v>7</v>
      </c>
      <c r="B1808" t="s">
        <v>345</v>
      </c>
      <c r="C1808">
        <v>0</v>
      </c>
      <c r="D1808">
        <v>1</v>
      </c>
      <c r="E1808" s="3">
        <f t="shared" si="28"/>
        <v>23</v>
      </c>
    </row>
    <row r="1809" spans="1:5" x14ac:dyDescent="0.2">
      <c r="A1809">
        <v>8</v>
      </c>
      <c r="B1809" s="2" t="s">
        <v>10</v>
      </c>
      <c r="C1809" s="2" t="s">
        <v>10</v>
      </c>
      <c r="D1809" s="2" t="s">
        <v>10</v>
      </c>
      <c r="E1809" s="3">
        <f t="shared" si="28"/>
        <v>23</v>
      </c>
    </row>
    <row r="1810" spans="1:5" x14ac:dyDescent="0.2">
      <c r="A1810" s="1" t="s">
        <v>17</v>
      </c>
      <c r="E1810" s="3">
        <f t="shared" si="28"/>
        <v>23</v>
      </c>
    </row>
    <row r="1811" spans="1:5" x14ac:dyDescent="0.2">
      <c r="A1811" s="1" t="s">
        <v>1</v>
      </c>
      <c r="B1811" s="1" t="s">
        <v>2</v>
      </c>
      <c r="C1811" s="1" t="s">
        <v>3</v>
      </c>
      <c r="D1811" s="1" t="s">
        <v>4</v>
      </c>
      <c r="E1811" s="3">
        <f t="shared" si="28"/>
        <v>23</v>
      </c>
    </row>
    <row r="1812" spans="1:5" x14ac:dyDescent="0.2">
      <c r="A1812">
        <v>1</v>
      </c>
      <c r="B1812" t="s">
        <v>506</v>
      </c>
      <c r="C1812">
        <v>4</v>
      </c>
      <c r="D1812">
        <v>16</v>
      </c>
      <c r="E1812" s="3">
        <f t="shared" si="28"/>
        <v>23</v>
      </c>
    </row>
    <row r="1813" spans="1:5" x14ac:dyDescent="0.2">
      <c r="A1813">
        <v>2</v>
      </c>
      <c r="B1813" t="s">
        <v>475</v>
      </c>
      <c r="C1813">
        <v>1</v>
      </c>
      <c r="D1813">
        <v>12</v>
      </c>
      <c r="E1813" s="3">
        <f t="shared" si="28"/>
        <v>23</v>
      </c>
    </row>
    <row r="1814" spans="1:5" x14ac:dyDescent="0.2">
      <c r="A1814">
        <v>3</v>
      </c>
      <c r="B1814" t="s">
        <v>59</v>
      </c>
      <c r="C1814">
        <v>0</v>
      </c>
      <c r="D1814">
        <v>8</v>
      </c>
      <c r="E1814" s="3">
        <f t="shared" si="28"/>
        <v>23</v>
      </c>
    </row>
    <row r="1815" spans="1:5" x14ac:dyDescent="0.2">
      <c r="A1815">
        <v>4</v>
      </c>
      <c r="B1815" t="s">
        <v>25</v>
      </c>
      <c r="C1815">
        <v>0</v>
      </c>
      <c r="D1815">
        <v>4</v>
      </c>
      <c r="E1815" s="3">
        <f t="shared" si="28"/>
        <v>23</v>
      </c>
    </row>
    <row r="1816" spans="1:5" x14ac:dyDescent="0.2">
      <c r="A1816">
        <v>5</v>
      </c>
      <c r="B1816" t="s">
        <v>46</v>
      </c>
      <c r="C1816">
        <v>0</v>
      </c>
      <c r="D1816">
        <v>2</v>
      </c>
      <c r="E1816" s="3">
        <f t="shared" si="28"/>
        <v>23</v>
      </c>
    </row>
    <row r="1817" spans="1:5" x14ac:dyDescent="0.2">
      <c r="A1817">
        <v>6</v>
      </c>
      <c r="B1817" t="s">
        <v>9</v>
      </c>
      <c r="C1817">
        <v>0</v>
      </c>
      <c r="D1817">
        <v>1</v>
      </c>
      <c r="E1817" s="3">
        <f t="shared" si="28"/>
        <v>23</v>
      </c>
    </row>
    <row r="1818" spans="1:5" x14ac:dyDescent="0.2">
      <c r="A1818">
        <v>7</v>
      </c>
      <c r="B1818" s="2" t="s">
        <v>10</v>
      </c>
      <c r="C1818" s="2" t="s">
        <v>10</v>
      </c>
      <c r="D1818" s="2" t="s">
        <v>10</v>
      </c>
      <c r="E1818" s="3">
        <f t="shared" si="28"/>
        <v>23</v>
      </c>
    </row>
    <row r="1819" spans="1:5" x14ac:dyDescent="0.2">
      <c r="A1819">
        <v>8</v>
      </c>
      <c r="B1819" s="2" t="s">
        <v>10</v>
      </c>
      <c r="C1819" s="2" t="s">
        <v>10</v>
      </c>
      <c r="D1819" s="2" t="s">
        <v>10</v>
      </c>
      <c r="E1819" s="3">
        <f t="shared" si="28"/>
        <v>23</v>
      </c>
    </row>
    <row r="1820" spans="1:5" x14ac:dyDescent="0.2">
      <c r="A1820" s="1" t="s">
        <v>24</v>
      </c>
      <c r="E1820" s="3">
        <f t="shared" si="28"/>
        <v>23</v>
      </c>
    </row>
    <row r="1821" spans="1:5" x14ac:dyDescent="0.2">
      <c r="A1821" s="1" t="s">
        <v>1</v>
      </c>
      <c r="B1821" s="1" t="s">
        <v>2</v>
      </c>
      <c r="C1821" s="1" t="s">
        <v>3</v>
      </c>
      <c r="D1821" s="1" t="s">
        <v>4</v>
      </c>
      <c r="E1821" s="3">
        <f t="shared" si="28"/>
        <v>23</v>
      </c>
    </row>
    <row r="1822" spans="1:5" x14ac:dyDescent="0.2">
      <c r="A1822">
        <v>1</v>
      </c>
      <c r="B1822" t="s">
        <v>74</v>
      </c>
      <c r="C1822">
        <v>4</v>
      </c>
      <c r="D1822">
        <v>16</v>
      </c>
      <c r="E1822" s="3">
        <f t="shared" si="28"/>
        <v>23</v>
      </c>
    </row>
    <row r="1823" spans="1:5" x14ac:dyDescent="0.2">
      <c r="A1823">
        <v>2</v>
      </c>
      <c r="B1823" t="s">
        <v>15</v>
      </c>
      <c r="C1823">
        <v>1</v>
      </c>
      <c r="D1823">
        <v>12</v>
      </c>
      <c r="E1823" s="3">
        <f t="shared" si="28"/>
        <v>23</v>
      </c>
    </row>
    <row r="1824" spans="1:5" x14ac:dyDescent="0.2">
      <c r="A1824">
        <v>3</v>
      </c>
      <c r="B1824" t="s">
        <v>479</v>
      </c>
      <c r="C1824">
        <v>0</v>
      </c>
      <c r="D1824">
        <v>8</v>
      </c>
      <c r="E1824" s="3">
        <f t="shared" si="28"/>
        <v>23</v>
      </c>
    </row>
    <row r="1825" spans="1:5" x14ac:dyDescent="0.2">
      <c r="A1825">
        <v>4</v>
      </c>
      <c r="B1825" t="s">
        <v>69</v>
      </c>
      <c r="C1825">
        <v>0</v>
      </c>
      <c r="D1825">
        <v>4</v>
      </c>
      <c r="E1825" s="3">
        <f t="shared" si="28"/>
        <v>23</v>
      </c>
    </row>
    <row r="1826" spans="1:5" x14ac:dyDescent="0.2">
      <c r="A1826">
        <v>5</v>
      </c>
      <c r="B1826" t="s">
        <v>33</v>
      </c>
      <c r="C1826">
        <v>0</v>
      </c>
      <c r="D1826">
        <v>2</v>
      </c>
      <c r="E1826" s="3">
        <f t="shared" si="28"/>
        <v>23</v>
      </c>
    </row>
    <row r="1827" spans="1:5" x14ac:dyDescent="0.2">
      <c r="A1827">
        <v>6</v>
      </c>
      <c r="B1827" t="s">
        <v>501</v>
      </c>
      <c r="C1827">
        <v>0</v>
      </c>
      <c r="D1827">
        <v>1</v>
      </c>
      <c r="E1827" s="3">
        <f t="shared" si="28"/>
        <v>23</v>
      </c>
    </row>
    <row r="1828" spans="1:5" x14ac:dyDescent="0.2">
      <c r="A1828">
        <v>7</v>
      </c>
      <c r="B1828" s="2" t="s">
        <v>10</v>
      </c>
      <c r="C1828" s="2" t="s">
        <v>10</v>
      </c>
      <c r="D1828" s="2" t="s">
        <v>10</v>
      </c>
      <c r="E1828" s="3">
        <f t="shared" si="28"/>
        <v>23</v>
      </c>
    </row>
    <row r="1829" spans="1:5" x14ac:dyDescent="0.2">
      <c r="A1829">
        <v>8</v>
      </c>
      <c r="B1829" s="2" t="s">
        <v>10</v>
      </c>
      <c r="C1829" s="2" t="s">
        <v>10</v>
      </c>
      <c r="D1829" s="2" t="s">
        <v>10</v>
      </c>
      <c r="E1829" s="3">
        <f t="shared" si="28"/>
        <v>23</v>
      </c>
    </row>
    <row r="1830" spans="1:5" x14ac:dyDescent="0.2">
      <c r="A1830" s="1" t="s">
        <v>30</v>
      </c>
      <c r="E1830" s="3">
        <f t="shared" si="28"/>
        <v>23</v>
      </c>
    </row>
    <row r="1831" spans="1:5" x14ac:dyDescent="0.2">
      <c r="A1831" s="1" t="s">
        <v>1</v>
      </c>
      <c r="B1831" s="1" t="s">
        <v>2</v>
      </c>
      <c r="C1831" s="1" t="s">
        <v>3</v>
      </c>
      <c r="D1831" s="1" t="s">
        <v>4</v>
      </c>
      <c r="E1831" s="3">
        <f t="shared" si="28"/>
        <v>23</v>
      </c>
    </row>
    <row r="1832" spans="1:5" x14ac:dyDescent="0.2">
      <c r="A1832">
        <v>1</v>
      </c>
      <c r="B1832" t="s">
        <v>66</v>
      </c>
      <c r="C1832">
        <v>2</v>
      </c>
      <c r="D1832">
        <v>16</v>
      </c>
      <c r="E1832" s="3">
        <f t="shared" si="28"/>
        <v>23</v>
      </c>
    </row>
    <row r="1833" spans="1:5" x14ac:dyDescent="0.2">
      <c r="A1833">
        <v>2</v>
      </c>
      <c r="B1833" t="s">
        <v>21</v>
      </c>
      <c r="C1833">
        <v>2</v>
      </c>
      <c r="D1833">
        <v>12</v>
      </c>
      <c r="E1833" s="3">
        <f t="shared" si="28"/>
        <v>23</v>
      </c>
    </row>
    <row r="1834" spans="1:5" x14ac:dyDescent="0.2">
      <c r="A1834">
        <v>3</v>
      </c>
      <c r="B1834" t="s">
        <v>525</v>
      </c>
      <c r="C1834">
        <v>1</v>
      </c>
      <c r="D1834">
        <v>8</v>
      </c>
      <c r="E1834" s="3">
        <f t="shared" si="28"/>
        <v>23</v>
      </c>
    </row>
    <row r="1835" spans="1:5" x14ac:dyDescent="0.2">
      <c r="A1835">
        <v>4</v>
      </c>
      <c r="B1835" t="s">
        <v>493</v>
      </c>
      <c r="C1835">
        <v>0</v>
      </c>
      <c r="D1835">
        <v>4</v>
      </c>
      <c r="E1835" s="3">
        <f t="shared" si="28"/>
        <v>23</v>
      </c>
    </row>
    <row r="1836" spans="1:5" x14ac:dyDescent="0.2">
      <c r="A1836">
        <v>5</v>
      </c>
      <c r="B1836" t="s">
        <v>512</v>
      </c>
      <c r="C1836">
        <v>0</v>
      </c>
      <c r="D1836">
        <v>2</v>
      </c>
      <c r="E1836" s="3">
        <f t="shared" si="28"/>
        <v>23</v>
      </c>
    </row>
    <row r="1837" spans="1:5" x14ac:dyDescent="0.2">
      <c r="A1837">
        <v>6</v>
      </c>
      <c r="B1837" t="s">
        <v>507</v>
      </c>
      <c r="C1837">
        <v>0</v>
      </c>
      <c r="D1837">
        <v>1</v>
      </c>
      <c r="E1837" s="3">
        <f t="shared" si="28"/>
        <v>23</v>
      </c>
    </row>
    <row r="1838" spans="1:5" x14ac:dyDescent="0.2">
      <c r="A1838">
        <v>7</v>
      </c>
      <c r="B1838" s="2" t="s">
        <v>10</v>
      </c>
      <c r="C1838" s="2" t="s">
        <v>10</v>
      </c>
      <c r="D1838" s="2" t="s">
        <v>10</v>
      </c>
      <c r="E1838" s="3">
        <f t="shared" si="28"/>
        <v>23</v>
      </c>
    </row>
    <row r="1839" spans="1:5" x14ac:dyDescent="0.2">
      <c r="A1839">
        <v>8</v>
      </c>
      <c r="B1839" s="2" t="s">
        <v>10</v>
      </c>
      <c r="C1839" s="2" t="s">
        <v>10</v>
      </c>
      <c r="D1839" s="2" t="s">
        <v>10</v>
      </c>
      <c r="E1839" s="3">
        <f t="shared" si="28"/>
        <v>23</v>
      </c>
    </row>
    <row r="1840" spans="1:5" x14ac:dyDescent="0.2">
      <c r="A1840" s="1" t="s">
        <v>37</v>
      </c>
      <c r="E1840" s="3">
        <f t="shared" si="28"/>
        <v>23</v>
      </c>
    </row>
    <row r="1841" spans="1:5" x14ac:dyDescent="0.2">
      <c r="A1841" s="1" t="s">
        <v>1</v>
      </c>
      <c r="B1841" s="1" t="s">
        <v>2</v>
      </c>
      <c r="C1841" s="1" t="s">
        <v>3</v>
      </c>
      <c r="D1841" s="1" t="s">
        <v>4</v>
      </c>
      <c r="E1841" s="3">
        <f t="shared" si="28"/>
        <v>23</v>
      </c>
    </row>
    <row r="1842" spans="1:5" x14ac:dyDescent="0.2">
      <c r="A1842">
        <v>1</v>
      </c>
      <c r="B1842" t="s">
        <v>75</v>
      </c>
      <c r="C1842">
        <v>3</v>
      </c>
      <c r="D1842">
        <v>17</v>
      </c>
      <c r="E1842" s="3">
        <f t="shared" si="28"/>
        <v>23</v>
      </c>
    </row>
    <row r="1843" spans="1:5" x14ac:dyDescent="0.2">
      <c r="A1843">
        <v>2</v>
      </c>
      <c r="B1843" t="s">
        <v>504</v>
      </c>
      <c r="C1843">
        <v>2</v>
      </c>
      <c r="D1843">
        <v>13</v>
      </c>
      <c r="E1843" s="3">
        <f t="shared" si="28"/>
        <v>23</v>
      </c>
    </row>
    <row r="1844" spans="1:5" x14ac:dyDescent="0.2">
      <c r="A1844">
        <v>3</v>
      </c>
      <c r="B1844" t="s">
        <v>461</v>
      </c>
      <c r="C1844">
        <v>0</v>
      </c>
      <c r="D1844">
        <v>9</v>
      </c>
      <c r="E1844" s="3">
        <f t="shared" si="28"/>
        <v>23</v>
      </c>
    </row>
    <row r="1845" spans="1:5" x14ac:dyDescent="0.2">
      <c r="A1845">
        <v>4</v>
      </c>
      <c r="B1845" t="s">
        <v>27</v>
      </c>
      <c r="C1845">
        <v>0</v>
      </c>
      <c r="D1845">
        <v>5</v>
      </c>
      <c r="E1845" s="3">
        <f t="shared" si="28"/>
        <v>23</v>
      </c>
    </row>
    <row r="1846" spans="1:5" x14ac:dyDescent="0.2">
      <c r="A1846">
        <v>5</v>
      </c>
      <c r="B1846" t="s">
        <v>19</v>
      </c>
      <c r="C1846">
        <v>1</v>
      </c>
      <c r="D1846">
        <v>3</v>
      </c>
      <c r="E1846" s="3">
        <f t="shared" si="28"/>
        <v>23</v>
      </c>
    </row>
    <row r="1847" spans="1:5" x14ac:dyDescent="0.2">
      <c r="A1847">
        <v>6</v>
      </c>
      <c r="B1847" t="s">
        <v>73</v>
      </c>
      <c r="C1847">
        <v>0</v>
      </c>
      <c r="D1847">
        <v>2</v>
      </c>
      <c r="E1847" s="3">
        <f t="shared" si="28"/>
        <v>23</v>
      </c>
    </row>
    <row r="1848" spans="1:5" x14ac:dyDescent="0.2">
      <c r="A1848">
        <v>7</v>
      </c>
      <c r="B1848" t="s">
        <v>76</v>
      </c>
      <c r="C1848">
        <v>0</v>
      </c>
      <c r="D1848">
        <v>1</v>
      </c>
      <c r="E1848" s="3">
        <f t="shared" si="28"/>
        <v>23</v>
      </c>
    </row>
    <row r="1849" spans="1:5" x14ac:dyDescent="0.2">
      <c r="A1849">
        <v>8</v>
      </c>
      <c r="B1849" s="2" t="s">
        <v>10</v>
      </c>
      <c r="C1849" s="2" t="s">
        <v>10</v>
      </c>
      <c r="D1849" s="2" t="s">
        <v>10</v>
      </c>
      <c r="E1849" s="3">
        <f t="shared" si="28"/>
        <v>23</v>
      </c>
    </row>
    <row r="1850" spans="1:5" x14ac:dyDescent="0.2">
      <c r="A1850" s="1" t="s">
        <v>44</v>
      </c>
      <c r="E1850" s="3">
        <f t="shared" si="28"/>
        <v>23</v>
      </c>
    </row>
    <row r="1851" spans="1:5" x14ac:dyDescent="0.2">
      <c r="A1851" s="1" t="s">
        <v>1</v>
      </c>
      <c r="B1851" s="1" t="s">
        <v>2</v>
      </c>
      <c r="C1851" s="1" t="s">
        <v>3</v>
      </c>
      <c r="D1851" s="1" t="s">
        <v>4</v>
      </c>
      <c r="E1851" s="3">
        <f t="shared" si="28"/>
        <v>23</v>
      </c>
    </row>
    <row r="1852" spans="1:5" x14ac:dyDescent="0.2">
      <c r="A1852">
        <v>1</v>
      </c>
      <c r="B1852" t="s">
        <v>6</v>
      </c>
      <c r="C1852">
        <v>1</v>
      </c>
      <c r="D1852">
        <v>17</v>
      </c>
      <c r="E1852" s="3">
        <f t="shared" si="28"/>
        <v>23</v>
      </c>
    </row>
    <row r="1853" spans="1:5" x14ac:dyDescent="0.2">
      <c r="A1853">
        <v>1</v>
      </c>
      <c r="B1853" t="s">
        <v>490</v>
      </c>
      <c r="C1853">
        <v>3</v>
      </c>
      <c r="D1853">
        <v>17</v>
      </c>
      <c r="E1853" s="3">
        <f t="shared" si="28"/>
        <v>23</v>
      </c>
    </row>
    <row r="1854" spans="1:5" x14ac:dyDescent="0.2">
      <c r="A1854">
        <v>3</v>
      </c>
      <c r="B1854" t="s">
        <v>515</v>
      </c>
      <c r="C1854">
        <v>1</v>
      </c>
      <c r="D1854">
        <v>9</v>
      </c>
      <c r="E1854" s="3">
        <f t="shared" si="28"/>
        <v>23</v>
      </c>
    </row>
    <row r="1855" spans="1:5" x14ac:dyDescent="0.2">
      <c r="A1855">
        <v>4</v>
      </c>
      <c r="B1855" t="s">
        <v>88</v>
      </c>
      <c r="C1855">
        <v>0</v>
      </c>
      <c r="D1855">
        <v>5</v>
      </c>
      <c r="E1855" s="3">
        <f t="shared" si="28"/>
        <v>23</v>
      </c>
    </row>
    <row r="1856" spans="1:5" x14ac:dyDescent="0.2">
      <c r="A1856">
        <v>5</v>
      </c>
      <c r="B1856" t="s">
        <v>32</v>
      </c>
      <c r="C1856">
        <v>0</v>
      </c>
      <c r="D1856">
        <v>3</v>
      </c>
      <c r="E1856" s="3">
        <f t="shared" si="28"/>
        <v>23</v>
      </c>
    </row>
    <row r="1857" spans="1:5" x14ac:dyDescent="0.2">
      <c r="A1857">
        <v>6</v>
      </c>
      <c r="B1857" t="s">
        <v>509</v>
      </c>
      <c r="C1857">
        <v>1</v>
      </c>
      <c r="D1857">
        <v>2</v>
      </c>
      <c r="E1857" s="3">
        <f t="shared" si="28"/>
        <v>23</v>
      </c>
    </row>
    <row r="1858" spans="1:5" x14ac:dyDescent="0.2">
      <c r="A1858">
        <v>7</v>
      </c>
      <c r="B1858" t="s">
        <v>81</v>
      </c>
      <c r="C1858">
        <v>0</v>
      </c>
      <c r="D1858">
        <v>1</v>
      </c>
      <c r="E1858" s="3">
        <f t="shared" si="28"/>
        <v>23</v>
      </c>
    </row>
    <row r="1859" spans="1:5" x14ac:dyDescent="0.2">
      <c r="A1859">
        <v>8</v>
      </c>
      <c r="B1859" s="2" t="s">
        <v>10</v>
      </c>
      <c r="C1859" s="2" t="s">
        <v>10</v>
      </c>
      <c r="D1859" s="2" t="s">
        <v>10</v>
      </c>
      <c r="E1859" s="3">
        <f t="shared" si="28"/>
        <v>23</v>
      </c>
    </row>
    <row r="1860" spans="1:5" x14ac:dyDescent="0.2">
      <c r="A1860" s="1" t="s">
        <v>537</v>
      </c>
      <c r="E1860" s="3">
        <f t="shared" ref="E1860:E1923" si="29">IF(A1860=$A$1,E1859+1,E1859)</f>
        <v>24</v>
      </c>
    </row>
    <row r="1861" spans="1:5" x14ac:dyDescent="0.2">
      <c r="A1861" s="1" t="s">
        <v>1</v>
      </c>
      <c r="B1861" s="1" t="s">
        <v>2</v>
      </c>
      <c r="C1861" s="1" t="s">
        <v>3</v>
      </c>
      <c r="D1861" s="1" t="s">
        <v>4</v>
      </c>
      <c r="E1861" s="3">
        <f t="shared" si="29"/>
        <v>24</v>
      </c>
    </row>
    <row r="1862" spans="1:5" x14ac:dyDescent="0.2">
      <c r="A1862">
        <v>1</v>
      </c>
      <c r="B1862" t="s">
        <v>476</v>
      </c>
      <c r="C1862">
        <v>6</v>
      </c>
      <c r="D1862">
        <v>17</v>
      </c>
      <c r="E1862" s="3">
        <f t="shared" si="29"/>
        <v>24</v>
      </c>
    </row>
    <row r="1863" spans="1:5" x14ac:dyDescent="0.2">
      <c r="A1863">
        <v>2</v>
      </c>
      <c r="B1863" t="s">
        <v>534</v>
      </c>
      <c r="C1863">
        <v>0</v>
      </c>
      <c r="D1863">
        <v>13</v>
      </c>
      <c r="E1863" s="3">
        <f t="shared" si="29"/>
        <v>24</v>
      </c>
    </row>
    <row r="1864" spans="1:5" x14ac:dyDescent="0.2">
      <c r="A1864">
        <v>3</v>
      </c>
      <c r="B1864" t="s">
        <v>33</v>
      </c>
      <c r="C1864">
        <v>0</v>
      </c>
      <c r="D1864">
        <v>9</v>
      </c>
      <c r="E1864" s="3">
        <f t="shared" si="29"/>
        <v>24</v>
      </c>
    </row>
    <row r="1865" spans="1:5" x14ac:dyDescent="0.2">
      <c r="A1865">
        <v>4</v>
      </c>
      <c r="B1865" t="s">
        <v>515</v>
      </c>
      <c r="C1865">
        <v>0</v>
      </c>
      <c r="D1865">
        <v>5</v>
      </c>
      <c r="E1865" s="3">
        <f t="shared" si="29"/>
        <v>24</v>
      </c>
    </row>
    <row r="1866" spans="1:5" x14ac:dyDescent="0.2">
      <c r="A1866">
        <v>5</v>
      </c>
      <c r="B1866" t="s">
        <v>19</v>
      </c>
      <c r="C1866">
        <v>0</v>
      </c>
      <c r="D1866">
        <v>3</v>
      </c>
      <c r="E1866" s="3">
        <f t="shared" si="29"/>
        <v>24</v>
      </c>
    </row>
    <row r="1867" spans="1:5" x14ac:dyDescent="0.2">
      <c r="A1867">
        <v>6</v>
      </c>
      <c r="B1867" t="s">
        <v>74</v>
      </c>
      <c r="C1867">
        <v>0</v>
      </c>
      <c r="D1867">
        <v>2</v>
      </c>
      <c r="E1867" s="3">
        <f t="shared" si="29"/>
        <v>24</v>
      </c>
    </row>
    <row r="1868" spans="1:5" x14ac:dyDescent="0.2">
      <c r="A1868">
        <v>7</v>
      </c>
      <c r="B1868" t="s">
        <v>66</v>
      </c>
      <c r="C1868">
        <v>0</v>
      </c>
      <c r="D1868">
        <v>1</v>
      </c>
      <c r="E1868" s="3">
        <f t="shared" si="29"/>
        <v>24</v>
      </c>
    </row>
    <row r="1869" spans="1:5" x14ac:dyDescent="0.2">
      <c r="A1869">
        <v>8</v>
      </c>
      <c r="B1869" s="2" t="s">
        <v>10</v>
      </c>
      <c r="C1869" s="2" t="s">
        <v>10</v>
      </c>
      <c r="D1869" s="2" t="s">
        <v>10</v>
      </c>
      <c r="E1869" s="3">
        <f t="shared" si="29"/>
        <v>24</v>
      </c>
    </row>
    <row r="1870" spans="1:5" x14ac:dyDescent="0.2">
      <c r="A1870" s="1" t="s">
        <v>538</v>
      </c>
      <c r="E1870" s="3">
        <f t="shared" si="29"/>
        <v>24</v>
      </c>
    </row>
    <row r="1871" spans="1:5" x14ac:dyDescent="0.2">
      <c r="A1871" s="1" t="s">
        <v>1</v>
      </c>
      <c r="B1871" s="1" t="s">
        <v>2</v>
      </c>
      <c r="C1871" s="1" t="s">
        <v>3</v>
      </c>
      <c r="D1871" s="1" t="s">
        <v>4</v>
      </c>
      <c r="E1871" s="3">
        <f t="shared" si="29"/>
        <v>24</v>
      </c>
    </row>
    <row r="1872" spans="1:5" x14ac:dyDescent="0.2">
      <c r="A1872">
        <v>0</v>
      </c>
      <c r="C1872">
        <v>0</v>
      </c>
      <c r="D1872">
        <v>0</v>
      </c>
      <c r="E1872" s="3">
        <f t="shared" si="29"/>
        <v>24</v>
      </c>
    </row>
    <row r="1873" spans="1:5" x14ac:dyDescent="0.2">
      <c r="A1873">
        <v>1</v>
      </c>
      <c r="B1873" t="s">
        <v>87</v>
      </c>
      <c r="C1873">
        <v>4</v>
      </c>
      <c r="D1873">
        <v>17</v>
      </c>
      <c r="E1873" s="3">
        <f t="shared" si="29"/>
        <v>24</v>
      </c>
    </row>
    <row r="1874" spans="1:5" x14ac:dyDescent="0.2">
      <c r="A1874">
        <v>2</v>
      </c>
      <c r="B1874" t="s">
        <v>32</v>
      </c>
      <c r="C1874">
        <v>1</v>
      </c>
      <c r="D1874">
        <v>13</v>
      </c>
      <c r="E1874" s="3">
        <f t="shared" si="29"/>
        <v>24</v>
      </c>
    </row>
    <row r="1875" spans="1:5" x14ac:dyDescent="0.2">
      <c r="A1875">
        <v>3</v>
      </c>
      <c r="B1875" t="s">
        <v>59</v>
      </c>
      <c r="C1875">
        <v>0</v>
      </c>
      <c r="D1875">
        <v>9</v>
      </c>
      <c r="E1875" s="3">
        <f t="shared" si="29"/>
        <v>24</v>
      </c>
    </row>
    <row r="1876" spans="1:5" x14ac:dyDescent="0.2">
      <c r="A1876">
        <v>4</v>
      </c>
      <c r="B1876" t="s">
        <v>518</v>
      </c>
      <c r="C1876">
        <v>1</v>
      </c>
      <c r="D1876">
        <v>5</v>
      </c>
      <c r="E1876" s="3">
        <f t="shared" si="29"/>
        <v>24</v>
      </c>
    </row>
    <row r="1877" spans="1:5" x14ac:dyDescent="0.2">
      <c r="A1877">
        <v>5</v>
      </c>
      <c r="B1877" t="s">
        <v>516</v>
      </c>
      <c r="C1877">
        <v>0</v>
      </c>
      <c r="D1877">
        <v>3</v>
      </c>
      <c r="E1877" s="3">
        <f t="shared" si="29"/>
        <v>24</v>
      </c>
    </row>
    <row r="1878" spans="1:5" x14ac:dyDescent="0.2">
      <c r="A1878">
        <v>6</v>
      </c>
      <c r="B1878" t="s">
        <v>479</v>
      </c>
      <c r="C1878">
        <v>0</v>
      </c>
      <c r="D1878">
        <v>2</v>
      </c>
      <c r="E1878" s="3">
        <f t="shared" si="29"/>
        <v>24</v>
      </c>
    </row>
    <row r="1879" spans="1:5" x14ac:dyDescent="0.2">
      <c r="A1879">
        <v>7</v>
      </c>
      <c r="B1879" t="s">
        <v>25</v>
      </c>
      <c r="C1879">
        <v>0</v>
      </c>
      <c r="D1879">
        <v>1</v>
      </c>
      <c r="E1879" s="3">
        <f t="shared" si="29"/>
        <v>24</v>
      </c>
    </row>
    <row r="1880" spans="1:5" x14ac:dyDescent="0.2">
      <c r="A1880">
        <v>9</v>
      </c>
      <c r="B1880" s="2" t="s">
        <v>10</v>
      </c>
      <c r="C1880" s="2" t="s">
        <v>10</v>
      </c>
      <c r="D1880" s="2" t="s">
        <v>10</v>
      </c>
      <c r="E1880" s="3">
        <f t="shared" si="29"/>
        <v>24</v>
      </c>
    </row>
    <row r="1881" spans="1:5" x14ac:dyDescent="0.2">
      <c r="A1881" s="1" t="s">
        <v>539</v>
      </c>
      <c r="E1881" s="3">
        <f t="shared" si="29"/>
        <v>24</v>
      </c>
    </row>
    <row r="1882" spans="1:5" x14ac:dyDescent="0.2">
      <c r="A1882" s="1" t="s">
        <v>1</v>
      </c>
      <c r="B1882" s="1" t="s">
        <v>2</v>
      </c>
      <c r="C1882" s="1" t="s">
        <v>3</v>
      </c>
      <c r="D1882" s="1" t="s">
        <v>4</v>
      </c>
      <c r="E1882" s="3">
        <f t="shared" si="29"/>
        <v>24</v>
      </c>
    </row>
    <row r="1883" spans="1:5" x14ac:dyDescent="0.2">
      <c r="A1883">
        <v>1</v>
      </c>
      <c r="B1883" t="s">
        <v>75</v>
      </c>
      <c r="C1883">
        <v>4</v>
      </c>
      <c r="D1883">
        <v>17</v>
      </c>
      <c r="E1883" s="3">
        <f t="shared" si="29"/>
        <v>24</v>
      </c>
    </row>
    <row r="1884" spans="1:5" x14ac:dyDescent="0.2">
      <c r="A1884">
        <v>2</v>
      </c>
      <c r="B1884" t="s">
        <v>9</v>
      </c>
      <c r="C1884">
        <v>1</v>
      </c>
      <c r="D1884">
        <v>13</v>
      </c>
      <c r="E1884" s="3">
        <f t="shared" si="29"/>
        <v>24</v>
      </c>
    </row>
    <row r="1885" spans="1:5" x14ac:dyDescent="0.2">
      <c r="A1885">
        <v>3</v>
      </c>
      <c r="B1885" t="s">
        <v>475</v>
      </c>
      <c r="C1885">
        <v>0</v>
      </c>
      <c r="D1885">
        <v>9</v>
      </c>
      <c r="E1885" s="3">
        <f t="shared" si="29"/>
        <v>24</v>
      </c>
    </row>
    <row r="1886" spans="1:5" x14ac:dyDescent="0.2">
      <c r="A1886">
        <v>4</v>
      </c>
      <c r="B1886" t="s">
        <v>485</v>
      </c>
      <c r="C1886">
        <v>1</v>
      </c>
      <c r="D1886">
        <v>5</v>
      </c>
      <c r="E1886" s="3">
        <f t="shared" si="29"/>
        <v>24</v>
      </c>
    </row>
    <row r="1887" spans="1:5" x14ac:dyDescent="0.2">
      <c r="A1887">
        <v>5</v>
      </c>
      <c r="B1887" t="s">
        <v>526</v>
      </c>
      <c r="C1887">
        <v>0</v>
      </c>
      <c r="D1887">
        <v>3</v>
      </c>
      <c r="E1887" s="3">
        <f t="shared" si="29"/>
        <v>24</v>
      </c>
    </row>
    <row r="1888" spans="1:5" x14ac:dyDescent="0.2">
      <c r="A1888">
        <v>6</v>
      </c>
      <c r="B1888" t="s">
        <v>504</v>
      </c>
      <c r="C1888">
        <v>0</v>
      </c>
      <c r="D1888">
        <v>2</v>
      </c>
      <c r="E1888" s="3">
        <f t="shared" si="29"/>
        <v>24</v>
      </c>
    </row>
    <row r="1889" spans="1:5" x14ac:dyDescent="0.2">
      <c r="A1889">
        <v>7</v>
      </c>
      <c r="B1889" t="s">
        <v>35</v>
      </c>
      <c r="C1889">
        <v>0</v>
      </c>
      <c r="D1889">
        <v>1</v>
      </c>
      <c r="E1889" s="3">
        <f t="shared" si="29"/>
        <v>24</v>
      </c>
    </row>
    <row r="1890" spans="1:5" x14ac:dyDescent="0.2">
      <c r="A1890">
        <v>8</v>
      </c>
      <c r="B1890" s="2" t="s">
        <v>10</v>
      </c>
      <c r="C1890" s="2" t="s">
        <v>10</v>
      </c>
      <c r="D1890" s="2" t="s">
        <v>10</v>
      </c>
      <c r="E1890" s="3">
        <f t="shared" si="29"/>
        <v>24</v>
      </c>
    </row>
    <row r="1891" spans="1:5" x14ac:dyDescent="0.2">
      <c r="A1891" s="1" t="s">
        <v>540</v>
      </c>
      <c r="E1891" s="3">
        <f t="shared" si="29"/>
        <v>24</v>
      </c>
    </row>
    <row r="1892" spans="1:5" x14ac:dyDescent="0.2">
      <c r="A1892" s="1" t="s">
        <v>1</v>
      </c>
      <c r="B1892" s="1" t="s">
        <v>2</v>
      </c>
      <c r="C1892" s="1" t="s">
        <v>3</v>
      </c>
      <c r="D1892" s="1" t="s">
        <v>4</v>
      </c>
      <c r="E1892" s="3">
        <f t="shared" si="29"/>
        <v>24</v>
      </c>
    </row>
    <row r="1893" spans="1:5" x14ac:dyDescent="0.2">
      <c r="A1893">
        <v>0</v>
      </c>
      <c r="C1893">
        <v>0</v>
      </c>
      <c r="D1893">
        <v>0</v>
      </c>
      <c r="E1893" s="3">
        <f t="shared" si="29"/>
        <v>24</v>
      </c>
    </row>
    <row r="1894" spans="1:5" x14ac:dyDescent="0.2">
      <c r="A1894">
        <v>1</v>
      </c>
      <c r="B1894" t="s">
        <v>73</v>
      </c>
      <c r="C1894">
        <v>4</v>
      </c>
      <c r="D1894">
        <v>17</v>
      </c>
      <c r="E1894" s="3">
        <f t="shared" si="29"/>
        <v>24</v>
      </c>
    </row>
    <row r="1895" spans="1:5" x14ac:dyDescent="0.2">
      <c r="A1895">
        <v>2</v>
      </c>
      <c r="B1895" t="s">
        <v>69</v>
      </c>
      <c r="C1895">
        <v>2</v>
      </c>
      <c r="D1895">
        <v>13</v>
      </c>
      <c r="E1895" s="3">
        <f t="shared" si="29"/>
        <v>24</v>
      </c>
    </row>
    <row r="1896" spans="1:5" x14ac:dyDescent="0.2">
      <c r="A1896">
        <v>3</v>
      </c>
      <c r="B1896" t="s">
        <v>490</v>
      </c>
      <c r="C1896">
        <v>0</v>
      </c>
      <c r="D1896">
        <v>9</v>
      </c>
      <c r="E1896" s="3">
        <f t="shared" si="29"/>
        <v>24</v>
      </c>
    </row>
    <row r="1897" spans="1:5" x14ac:dyDescent="0.2">
      <c r="A1897">
        <v>4</v>
      </c>
      <c r="B1897" t="s">
        <v>552</v>
      </c>
      <c r="C1897">
        <v>0</v>
      </c>
      <c r="D1897">
        <v>5</v>
      </c>
      <c r="E1897" s="3">
        <f t="shared" si="29"/>
        <v>24</v>
      </c>
    </row>
    <row r="1898" spans="1:5" x14ac:dyDescent="0.2">
      <c r="A1898">
        <v>5</v>
      </c>
      <c r="B1898" t="s">
        <v>462</v>
      </c>
      <c r="C1898">
        <v>0</v>
      </c>
      <c r="D1898">
        <v>3</v>
      </c>
      <c r="E1898" s="3">
        <f t="shared" si="29"/>
        <v>24</v>
      </c>
    </row>
    <row r="1899" spans="1:5" x14ac:dyDescent="0.2">
      <c r="A1899">
        <v>6</v>
      </c>
      <c r="B1899" t="s">
        <v>15</v>
      </c>
      <c r="C1899">
        <v>0</v>
      </c>
      <c r="D1899">
        <v>2</v>
      </c>
      <c r="E1899" s="3">
        <f t="shared" si="29"/>
        <v>24</v>
      </c>
    </row>
    <row r="1900" spans="1:5" x14ac:dyDescent="0.2">
      <c r="A1900">
        <v>7</v>
      </c>
      <c r="B1900" t="s">
        <v>506</v>
      </c>
      <c r="C1900">
        <v>0</v>
      </c>
      <c r="D1900">
        <v>1</v>
      </c>
      <c r="E1900" s="3">
        <f t="shared" si="29"/>
        <v>24</v>
      </c>
    </row>
    <row r="1901" spans="1:5" x14ac:dyDescent="0.2">
      <c r="A1901">
        <v>9</v>
      </c>
      <c r="B1901" s="2" t="s">
        <v>10</v>
      </c>
      <c r="C1901" s="2" t="s">
        <v>10</v>
      </c>
      <c r="D1901" s="2" t="s">
        <v>10</v>
      </c>
      <c r="E1901" s="3">
        <f t="shared" si="29"/>
        <v>24</v>
      </c>
    </row>
    <row r="1902" spans="1:5" x14ac:dyDescent="0.2">
      <c r="A1902" s="1" t="s">
        <v>541</v>
      </c>
      <c r="E1902" s="3">
        <f t="shared" si="29"/>
        <v>24</v>
      </c>
    </row>
    <row r="1903" spans="1:5" x14ac:dyDescent="0.2">
      <c r="A1903" s="1" t="s">
        <v>1</v>
      </c>
      <c r="B1903" s="1" t="s">
        <v>2</v>
      </c>
      <c r="C1903" s="1" t="s">
        <v>3</v>
      </c>
      <c r="D1903" s="1" t="s">
        <v>4</v>
      </c>
      <c r="E1903" s="3">
        <f t="shared" si="29"/>
        <v>24</v>
      </c>
    </row>
    <row r="1904" spans="1:5" x14ac:dyDescent="0.2">
      <c r="A1904">
        <v>0</v>
      </c>
      <c r="C1904">
        <v>0</v>
      </c>
      <c r="D1904">
        <v>0</v>
      </c>
      <c r="E1904" s="3">
        <f t="shared" si="29"/>
        <v>24</v>
      </c>
    </row>
    <row r="1905" spans="1:5" x14ac:dyDescent="0.2">
      <c r="A1905">
        <v>1</v>
      </c>
      <c r="B1905" t="s">
        <v>61</v>
      </c>
      <c r="C1905">
        <v>2</v>
      </c>
      <c r="D1905">
        <v>17</v>
      </c>
      <c r="E1905" s="3">
        <f t="shared" si="29"/>
        <v>24</v>
      </c>
    </row>
    <row r="1906" spans="1:5" x14ac:dyDescent="0.2">
      <c r="A1906">
        <v>2</v>
      </c>
      <c r="B1906" t="s">
        <v>345</v>
      </c>
      <c r="C1906">
        <v>3</v>
      </c>
      <c r="D1906">
        <v>13</v>
      </c>
      <c r="E1906" s="3">
        <f t="shared" si="29"/>
        <v>24</v>
      </c>
    </row>
    <row r="1907" spans="1:5" x14ac:dyDescent="0.2">
      <c r="A1907">
        <v>3</v>
      </c>
      <c r="B1907" t="s">
        <v>553</v>
      </c>
      <c r="C1907">
        <v>1</v>
      </c>
      <c r="D1907">
        <v>9</v>
      </c>
      <c r="E1907" s="3">
        <f t="shared" si="29"/>
        <v>24</v>
      </c>
    </row>
    <row r="1908" spans="1:5" x14ac:dyDescent="0.2">
      <c r="A1908">
        <v>4</v>
      </c>
      <c r="B1908" t="s">
        <v>535</v>
      </c>
      <c r="C1908">
        <v>0</v>
      </c>
      <c r="D1908">
        <v>5</v>
      </c>
      <c r="E1908" s="3">
        <f t="shared" si="29"/>
        <v>24</v>
      </c>
    </row>
    <row r="1909" spans="1:5" x14ac:dyDescent="0.2">
      <c r="A1909">
        <v>5</v>
      </c>
      <c r="B1909" t="s">
        <v>40</v>
      </c>
      <c r="C1909">
        <v>0</v>
      </c>
      <c r="D1909">
        <v>3</v>
      </c>
      <c r="E1909" s="3">
        <f t="shared" si="29"/>
        <v>24</v>
      </c>
    </row>
    <row r="1910" spans="1:5" x14ac:dyDescent="0.2">
      <c r="A1910">
        <v>6</v>
      </c>
      <c r="B1910" t="s">
        <v>42</v>
      </c>
      <c r="C1910">
        <v>0</v>
      </c>
      <c r="D1910">
        <v>2</v>
      </c>
      <c r="E1910" s="3">
        <f t="shared" si="29"/>
        <v>24</v>
      </c>
    </row>
    <row r="1911" spans="1:5" x14ac:dyDescent="0.2">
      <c r="A1911">
        <v>7</v>
      </c>
      <c r="B1911" t="s">
        <v>507</v>
      </c>
      <c r="C1911">
        <v>0</v>
      </c>
      <c r="D1911">
        <v>1</v>
      </c>
      <c r="E1911" s="3">
        <f t="shared" si="29"/>
        <v>24</v>
      </c>
    </row>
    <row r="1912" spans="1:5" x14ac:dyDescent="0.2">
      <c r="A1912">
        <v>9</v>
      </c>
      <c r="B1912" s="2" t="s">
        <v>10</v>
      </c>
      <c r="C1912" s="2" t="s">
        <v>10</v>
      </c>
      <c r="D1912" s="2" t="s">
        <v>10</v>
      </c>
      <c r="E1912" s="3">
        <f t="shared" si="29"/>
        <v>24</v>
      </c>
    </row>
    <row r="1913" spans="1:5" x14ac:dyDescent="0.2">
      <c r="A1913" s="1" t="s">
        <v>542</v>
      </c>
      <c r="E1913" s="3">
        <f t="shared" si="29"/>
        <v>24</v>
      </c>
    </row>
    <row r="1914" spans="1:5" x14ac:dyDescent="0.2">
      <c r="A1914" s="1" t="s">
        <v>1</v>
      </c>
      <c r="B1914" s="1" t="s">
        <v>2</v>
      </c>
      <c r="C1914" s="1" t="s">
        <v>3</v>
      </c>
      <c r="D1914" s="1" t="s">
        <v>4</v>
      </c>
      <c r="E1914" s="3">
        <f t="shared" si="29"/>
        <v>24</v>
      </c>
    </row>
    <row r="1915" spans="1:5" x14ac:dyDescent="0.2">
      <c r="A1915">
        <v>0</v>
      </c>
      <c r="C1915">
        <v>0</v>
      </c>
      <c r="D1915">
        <v>0</v>
      </c>
      <c r="E1915" s="3">
        <f t="shared" si="29"/>
        <v>24</v>
      </c>
    </row>
    <row r="1916" spans="1:5" x14ac:dyDescent="0.2">
      <c r="A1916">
        <v>1</v>
      </c>
      <c r="B1916" t="s">
        <v>27</v>
      </c>
      <c r="C1916">
        <v>5</v>
      </c>
      <c r="D1916">
        <v>17</v>
      </c>
      <c r="E1916" s="3">
        <f t="shared" si="29"/>
        <v>24</v>
      </c>
    </row>
    <row r="1917" spans="1:5" x14ac:dyDescent="0.2">
      <c r="A1917">
        <v>2</v>
      </c>
      <c r="B1917" t="s">
        <v>493</v>
      </c>
      <c r="C1917">
        <v>0</v>
      </c>
      <c r="D1917">
        <v>13</v>
      </c>
      <c r="E1917" s="3">
        <f t="shared" si="29"/>
        <v>24</v>
      </c>
    </row>
    <row r="1918" spans="1:5" x14ac:dyDescent="0.2">
      <c r="A1918">
        <v>3</v>
      </c>
      <c r="B1918" t="s">
        <v>554</v>
      </c>
      <c r="C1918">
        <v>0</v>
      </c>
      <c r="D1918">
        <v>9</v>
      </c>
      <c r="E1918" s="3">
        <f t="shared" si="29"/>
        <v>24</v>
      </c>
    </row>
    <row r="1919" spans="1:5" x14ac:dyDescent="0.2">
      <c r="A1919">
        <v>4</v>
      </c>
      <c r="B1919" t="s">
        <v>491</v>
      </c>
      <c r="C1919">
        <v>0</v>
      </c>
      <c r="D1919">
        <v>5</v>
      </c>
      <c r="E1919" s="3">
        <f t="shared" si="29"/>
        <v>24</v>
      </c>
    </row>
    <row r="1920" spans="1:5" x14ac:dyDescent="0.2">
      <c r="A1920">
        <v>5</v>
      </c>
      <c r="B1920" t="s">
        <v>512</v>
      </c>
      <c r="C1920">
        <v>1</v>
      </c>
      <c r="D1920">
        <v>3</v>
      </c>
      <c r="E1920" s="3">
        <f t="shared" si="29"/>
        <v>24</v>
      </c>
    </row>
    <row r="1921" spans="1:5" x14ac:dyDescent="0.2">
      <c r="A1921">
        <v>6</v>
      </c>
      <c r="B1921" t="s">
        <v>65</v>
      </c>
      <c r="C1921">
        <v>0</v>
      </c>
      <c r="D1921">
        <v>2</v>
      </c>
      <c r="E1921" s="3">
        <f t="shared" si="29"/>
        <v>24</v>
      </c>
    </row>
    <row r="1922" spans="1:5" x14ac:dyDescent="0.2">
      <c r="A1922">
        <v>7</v>
      </c>
      <c r="B1922" t="s">
        <v>532</v>
      </c>
      <c r="C1922">
        <v>0</v>
      </c>
      <c r="D1922">
        <v>1</v>
      </c>
      <c r="E1922" s="3">
        <f t="shared" si="29"/>
        <v>24</v>
      </c>
    </row>
    <row r="1923" spans="1:5" x14ac:dyDescent="0.2">
      <c r="A1923">
        <v>9</v>
      </c>
      <c r="B1923" s="2" t="s">
        <v>10</v>
      </c>
      <c r="C1923" s="2" t="s">
        <v>10</v>
      </c>
      <c r="D1923" s="2" t="s">
        <v>10</v>
      </c>
      <c r="E1923" s="3">
        <f t="shared" si="29"/>
        <v>24</v>
      </c>
    </row>
    <row r="1924" spans="1:5" x14ac:dyDescent="0.2">
      <c r="A1924" s="1" t="s">
        <v>543</v>
      </c>
      <c r="E1924" s="3">
        <f t="shared" ref="E1924:E1987" si="30">IF(A1924=$A$1,E1923+1,E1923)</f>
        <v>24</v>
      </c>
    </row>
    <row r="1925" spans="1:5" x14ac:dyDescent="0.2">
      <c r="A1925" s="1" t="s">
        <v>1</v>
      </c>
      <c r="B1925" s="1" t="s">
        <v>2</v>
      </c>
      <c r="C1925" s="1" t="s">
        <v>3</v>
      </c>
      <c r="D1925" s="1" t="s">
        <v>4</v>
      </c>
      <c r="E1925" s="3">
        <f t="shared" si="30"/>
        <v>24</v>
      </c>
    </row>
    <row r="1926" spans="1:5" x14ac:dyDescent="0.2">
      <c r="A1926">
        <v>1</v>
      </c>
      <c r="B1926" t="s">
        <v>46</v>
      </c>
      <c r="C1926">
        <v>3</v>
      </c>
      <c r="D1926">
        <v>17</v>
      </c>
      <c r="E1926" s="3">
        <f t="shared" si="30"/>
        <v>24</v>
      </c>
    </row>
    <row r="1927" spans="1:5" x14ac:dyDescent="0.2">
      <c r="A1927">
        <v>2</v>
      </c>
      <c r="B1927" t="s">
        <v>21</v>
      </c>
      <c r="C1927">
        <v>2</v>
      </c>
      <c r="D1927">
        <v>13</v>
      </c>
      <c r="E1927" s="3">
        <f t="shared" si="30"/>
        <v>24</v>
      </c>
    </row>
    <row r="1928" spans="1:5" x14ac:dyDescent="0.2">
      <c r="A1928">
        <v>3</v>
      </c>
      <c r="B1928" t="s">
        <v>508</v>
      </c>
      <c r="C1928">
        <v>0</v>
      </c>
      <c r="D1928">
        <v>9</v>
      </c>
      <c r="E1928" s="3">
        <f t="shared" si="30"/>
        <v>24</v>
      </c>
    </row>
    <row r="1929" spans="1:5" x14ac:dyDescent="0.2">
      <c r="A1929">
        <v>4</v>
      </c>
      <c r="B1929" t="s">
        <v>6</v>
      </c>
      <c r="C1929">
        <v>1</v>
      </c>
      <c r="D1929">
        <v>5</v>
      </c>
      <c r="E1929" s="3">
        <f t="shared" si="30"/>
        <v>24</v>
      </c>
    </row>
    <row r="1930" spans="1:5" x14ac:dyDescent="0.2">
      <c r="A1930">
        <v>5</v>
      </c>
      <c r="B1930" t="s">
        <v>525</v>
      </c>
      <c r="C1930">
        <v>0</v>
      </c>
      <c r="D1930">
        <v>3</v>
      </c>
      <c r="E1930" s="3">
        <f t="shared" si="30"/>
        <v>24</v>
      </c>
    </row>
    <row r="1931" spans="1:5" x14ac:dyDescent="0.2">
      <c r="A1931">
        <v>6</v>
      </c>
      <c r="B1931" t="s">
        <v>280</v>
      </c>
      <c r="C1931">
        <v>0</v>
      </c>
      <c r="D1931">
        <v>2</v>
      </c>
      <c r="E1931" s="3">
        <f t="shared" si="30"/>
        <v>24</v>
      </c>
    </row>
    <row r="1932" spans="1:5" x14ac:dyDescent="0.2">
      <c r="A1932">
        <v>7</v>
      </c>
      <c r="B1932" t="s">
        <v>76</v>
      </c>
      <c r="C1932">
        <v>0</v>
      </c>
      <c r="D1932">
        <v>1</v>
      </c>
      <c r="E1932" s="3">
        <f t="shared" si="30"/>
        <v>24</v>
      </c>
    </row>
    <row r="1933" spans="1:5" x14ac:dyDescent="0.2">
      <c r="A1933">
        <v>8</v>
      </c>
      <c r="B1933" s="2" t="s">
        <v>10</v>
      </c>
      <c r="C1933" s="2" t="s">
        <v>10</v>
      </c>
      <c r="D1933" s="2" t="s">
        <v>10</v>
      </c>
      <c r="E1933" s="3">
        <f t="shared" si="30"/>
        <v>24</v>
      </c>
    </row>
    <row r="1934" spans="1:5" x14ac:dyDescent="0.2">
      <c r="A1934" s="1" t="s">
        <v>544</v>
      </c>
      <c r="E1934" s="3">
        <f t="shared" si="30"/>
        <v>24</v>
      </c>
    </row>
    <row r="1935" spans="1:5" x14ac:dyDescent="0.2">
      <c r="A1935" s="1" t="s">
        <v>1</v>
      </c>
      <c r="B1935" s="1" t="s">
        <v>2</v>
      </c>
      <c r="C1935" s="1" t="s">
        <v>3</v>
      </c>
      <c r="D1935" s="1" t="s">
        <v>4</v>
      </c>
      <c r="E1935" s="3">
        <f t="shared" si="30"/>
        <v>24</v>
      </c>
    </row>
    <row r="1936" spans="1:5" x14ac:dyDescent="0.2">
      <c r="A1936">
        <v>1</v>
      </c>
      <c r="B1936" t="s">
        <v>500</v>
      </c>
      <c r="C1936">
        <v>3</v>
      </c>
      <c r="D1936">
        <v>17</v>
      </c>
      <c r="E1936" s="3">
        <f t="shared" si="30"/>
        <v>24</v>
      </c>
    </row>
    <row r="1937" spans="1:5" x14ac:dyDescent="0.2">
      <c r="A1937">
        <v>2</v>
      </c>
      <c r="B1937" t="s">
        <v>454</v>
      </c>
      <c r="C1937">
        <v>1</v>
      </c>
      <c r="D1937">
        <v>13</v>
      </c>
      <c r="E1937" s="3">
        <f t="shared" si="30"/>
        <v>24</v>
      </c>
    </row>
    <row r="1938" spans="1:5" x14ac:dyDescent="0.2">
      <c r="A1938">
        <v>3</v>
      </c>
      <c r="B1938" t="s">
        <v>502</v>
      </c>
      <c r="C1938">
        <v>1</v>
      </c>
      <c r="D1938">
        <v>9</v>
      </c>
      <c r="E1938" s="3">
        <f t="shared" si="30"/>
        <v>24</v>
      </c>
    </row>
    <row r="1939" spans="1:5" x14ac:dyDescent="0.2">
      <c r="A1939">
        <v>4</v>
      </c>
      <c r="B1939" t="s">
        <v>55</v>
      </c>
      <c r="C1939">
        <v>0</v>
      </c>
      <c r="D1939">
        <v>5</v>
      </c>
      <c r="E1939" s="3">
        <f t="shared" si="30"/>
        <v>24</v>
      </c>
    </row>
    <row r="1940" spans="1:5" x14ac:dyDescent="0.2">
      <c r="A1940">
        <v>5</v>
      </c>
      <c r="B1940" t="s">
        <v>505</v>
      </c>
      <c r="C1940">
        <v>0</v>
      </c>
      <c r="D1940">
        <v>3</v>
      </c>
      <c r="E1940" s="3">
        <f t="shared" si="30"/>
        <v>24</v>
      </c>
    </row>
    <row r="1941" spans="1:5" x14ac:dyDescent="0.2">
      <c r="A1941">
        <v>6</v>
      </c>
      <c r="B1941" t="s">
        <v>509</v>
      </c>
      <c r="C1941">
        <v>1</v>
      </c>
      <c r="D1941">
        <v>2</v>
      </c>
      <c r="E1941" s="3">
        <f t="shared" si="30"/>
        <v>24</v>
      </c>
    </row>
    <row r="1942" spans="1:5" x14ac:dyDescent="0.2">
      <c r="A1942">
        <v>7</v>
      </c>
      <c r="B1942" t="s">
        <v>503</v>
      </c>
      <c r="C1942">
        <v>0</v>
      </c>
      <c r="D1942">
        <v>1</v>
      </c>
      <c r="E1942" s="3">
        <f t="shared" si="30"/>
        <v>24</v>
      </c>
    </row>
    <row r="1943" spans="1:5" x14ac:dyDescent="0.2">
      <c r="A1943">
        <v>8</v>
      </c>
      <c r="B1943" s="2" t="s">
        <v>10</v>
      </c>
      <c r="C1943" s="2" t="s">
        <v>10</v>
      </c>
      <c r="D1943" s="2" t="s">
        <v>10</v>
      </c>
      <c r="E1943" s="3">
        <f t="shared" si="30"/>
        <v>24</v>
      </c>
    </row>
    <row r="1944" spans="1:5" x14ac:dyDescent="0.2">
      <c r="A1944" s="1" t="s">
        <v>537</v>
      </c>
      <c r="E1944" s="3">
        <f t="shared" si="30"/>
        <v>25</v>
      </c>
    </row>
    <row r="1945" spans="1:5" x14ac:dyDescent="0.2">
      <c r="A1945" s="1" t="s">
        <v>1</v>
      </c>
      <c r="B1945" s="1" t="s">
        <v>2</v>
      </c>
      <c r="C1945" s="1" t="s">
        <v>3</v>
      </c>
      <c r="D1945" s="1" t="s">
        <v>4</v>
      </c>
      <c r="E1945" s="3">
        <f t="shared" si="30"/>
        <v>25</v>
      </c>
    </row>
    <row r="1946" spans="1:5" x14ac:dyDescent="0.2">
      <c r="A1946">
        <v>1</v>
      </c>
      <c r="B1946" t="s">
        <v>475</v>
      </c>
      <c r="C1946">
        <v>4</v>
      </c>
      <c r="D1946">
        <v>16</v>
      </c>
      <c r="E1946" s="3">
        <f t="shared" si="30"/>
        <v>25</v>
      </c>
    </row>
    <row r="1947" spans="1:5" x14ac:dyDescent="0.2">
      <c r="A1947">
        <v>2</v>
      </c>
      <c r="B1947" t="s">
        <v>461</v>
      </c>
      <c r="C1947">
        <v>0</v>
      </c>
      <c r="D1947">
        <v>12</v>
      </c>
      <c r="E1947" s="3">
        <f t="shared" si="30"/>
        <v>25</v>
      </c>
    </row>
    <row r="1948" spans="1:5" x14ac:dyDescent="0.2">
      <c r="A1948">
        <v>3</v>
      </c>
      <c r="B1948" t="s">
        <v>506</v>
      </c>
      <c r="C1948">
        <v>0</v>
      </c>
      <c r="D1948">
        <v>8</v>
      </c>
      <c r="E1948" s="3">
        <f t="shared" si="30"/>
        <v>25</v>
      </c>
    </row>
    <row r="1949" spans="1:5" x14ac:dyDescent="0.2">
      <c r="A1949">
        <v>4</v>
      </c>
      <c r="B1949" t="s">
        <v>25</v>
      </c>
      <c r="C1949">
        <v>0</v>
      </c>
      <c r="D1949">
        <v>4</v>
      </c>
      <c r="E1949" s="3">
        <f t="shared" si="30"/>
        <v>25</v>
      </c>
    </row>
    <row r="1950" spans="1:5" x14ac:dyDescent="0.2">
      <c r="A1950">
        <v>5</v>
      </c>
      <c r="B1950" t="s">
        <v>507</v>
      </c>
      <c r="C1950">
        <v>1</v>
      </c>
      <c r="D1950">
        <v>2</v>
      </c>
      <c r="E1950" s="3">
        <f t="shared" si="30"/>
        <v>25</v>
      </c>
    </row>
    <row r="1951" spans="1:5" x14ac:dyDescent="0.2">
      <c r="A1951">
        <v>6</v>
      </c>
      <c r="B1951" t="s">
        <v>345</v>
      </c>
      <c r="C1951">
        <v>0</v>
      </c>
      <c r="D1951">
        <v>1</v>
      </c>
      <c r="E1951" s="3">
        <f t="shared" si="30"/>
        <v>25</v>
      </c>
    </row>
    <row r="1952" spans="1:5" x14ac:dyDescent="0.2">
      <c r="A1952">
        <v>7</v>
      </c>
      <c r="B1952" s="2" t="s">
        <v>10</v>
      </c>
      <c r="C1952" s="2" t="s">
        <v>10</v>
      </c>
      <c r="D1952" s="2" t="s">
        <v>10</v>
      </c>
      <c r="E1952" s="3">
        <f t="shared" si="30"/>
        <v>25</v>
      </c>
    </row>
    <row r="1953" spans="1:5" x14ac:dyDescent="0.2">
      <c r="A1953">
        <v>8</v>
      </c>
      <c r="B1953" s="2" t="s">
        <v>10</v>
      </c>
      <c r="C1953" s="2" t="s">
        <v>10</v>
      </c>
      <c r="D1953" s="2" t="s">
        <v>10</v>
      </c>
      <c r="E1953" s="3">
        <f t="shared" si="30"/>
        <v>25</v>
      </c>
    </row>
    <row r="1954" spans="1:5" x14ac:dyDescent="0.2">
      <c r="A1954" s="1" t="s">
        <v>538</v>
      </c>
      <c r="E1954" s="3">
        <f t="shared" si="30"/>
        <v>25</v>
      </c>
    </row>
    <row r="1955" spans="1:5" x14ac:dyDescent="0.2">
      <c r="A1955" s="1" t="s">
        <v>1</v>
      </c>
      <c r="B1955" s="1" t="s">
        <v>2</v>
      </c>
      <c r="C1955" s="1" t="s">
        <v>3</v>
      </c>
      <c r="D1955" s="1" t="s">
        <v>4</v>
      </c>
      <c r="E1955" s="3">
        <f t="shared" si="30"/>
        <v>25</v>
      </c>
    </row>
    <row r="1956" spans="1:5" x14ac:dyDescent="0.2">
      <c r="A1956">
        <v>0</v>
      </c>
      <c r="C1956">
        <v>0</v>
      </c>
      <c r="D1956">
        <v>0</v>
      </c>
      <c r="E1956" s="3">
        <f t="shared" si="30"/>
        <v>25</v>
      </c>
    </row>
    <row r="1957" spans="1:5" x14ac:dyDescent="0.2">
      <c r="A1957">
        <v>1</v>
      </c>
      <c r="B1957" t="s">
        <v>535</v>
      </c>
      <c r="C1957">
        <v>4</v>
      </c>
      <c r="D1957">
        <v>17</v>
      </c>
      <c r="E1957" s="3">
        <f t="shared" si="30"/>
        <v>25</v>
      </c>
    </row>
    <row r="1958" spans="1:5" x14ac:dyDescent="0.2">
      <c r="A1958">
        <v>2</v>
      </c>
      <c r="B1958" t="s">
        <v>66</v>
      </c>
      <c r="C1958">
        <v>0</v>
      </c>
      <c r="D1958">
        <v>13</v>
      </c>
      <c r="E1958" s="3">
        <f t="shared" si="30"/>
        <v>25</v>
      </c>
    </row>
    <row r="1959" spans="1:5" x14ac:dyDescent="0.2">
      <c r="A1959">
        <v>3</v>
      </c>
      <c r="B1959" t="s">
        <v>476</v>
      </c>
      <c r="C1959">
        <v>1</v>
      </c>
      <c r="D1959">
        <v>9</v>
      </c>
      <c r="E1959" s="3">
        <f t="shared" si="30"/>
        <v>25</v>
      </c>
    </row>
    <row r="1960" spans="1:5" x14ac:dyDescent="0.2">
      <c r="A1960">
        <v>4</v>
      </c>
      <c r="B1960" t="s">
        <v>491</v>
      </c>
      <c r="C1960">
        <v>1</v>
      </c>
      <c r="D1960">
        <v>5</v>
      </c>
      <c r="E1960" s="3">
        <f t="shared" si="30"/>
        <v>25</v>
      </c>
    </row>
    <row r="1961" spans="1:5" x14ac:dyDescent="0.2">
      <c r="A1961">
        <v>5</v>
      </c>
      <c r="B1961" t="s">
        <v>462</v>
      </c>
      <c r="C1961">
        <v>0</v>
      </c>
      <c r="D1961">
        <v>3</v>
      </c>
      <c r="E1961" s="3">
        <f t="shared" si="30"/>
        <v>25</v>
      </c>
    </row>
    <row r="1962" spans="1:5" x14ac:dyDescent="0.2">
      <c r="A1962">
        <v>6</v>
      </c>
      <c r="B1962" t="s">
        <v>555</v>
      </c>
      <c r="C1962">
        <v>0</v>
      </c>
      <c r="D1962">
        <v>2</v>
      </c>
      <c r="E1962" s="3">
        <f t="shared" si="30"/>
        <v>25</v>
      </c>
    </row>
    <row r="1963" spans="1:5" x14ac:dyDescent="0.2">
      <c r="A1963">
        <v>7</v>
      </c>
      <c r="B1963" t="s">
        <v>505</v>
      </c>
      <c r="C1963">
        <v>0</v>
      </c>
      <c r="D1963">
        <v>1</v>
      </c>
      <c r="E1963" s="3">
        <f t="shared" si="30"/>
        <v>25</v>
      </c>
    </row>
    <row r="1964" spans="1:5" x14ac:dyDescent="0.2">
      <c r="A1964">
        <v>9</v>
      </c>
      <c r="B1964" s="2" t="s">
        <v>10</v>
      </c>
      <c r="C1964" s="2" t="s">
        <v>10</v>
      </c>
      <c r="D1964" s="2" t="s">
        <v>10</v>
      </c>
      <c r="E1964" s="3">
        <f t="shared" si="30"/>
        <v>25</v>
      </c>
    </row>
    <row r="1965" spans="1:5" x14ac:dyDescent="0.2">
      <c r="A1965" s="1" t="s">
        <v>539</v>
      </c>
      <c r="E1965" s="3">
        <f t="shared" si="30"/>
        <v>25</v>
      </c>
    </row>
    <row r="1966" spans="1:5" x14ac:dyDescent="0.2">
      <c r="A1966" s="1" t="s">
        <v>1</v>
      </c>
      <c r="B1966" s="1" t="s">
        <v>2</v>
      </c>
      <c r="C1966" s="1" t="s">
        <v>3</v>
      </c>
      <c r="D1966" s="1" t="s">
        <v>4</v>
      </c>
      <c r="E1966" s="3">
        <f t="shared" si="30"/>
        <v>25</v>
      </c>
    </row>
    <row r="1967" spans="1:5" x14ac:dyDescent="0.2">
      <c r="A1967">
        <v>1</v>
      </c>
      <c r="B1967" t="s">
        <v>509</v>
      </c>
      <c r="C1967">
        <v>4</v>
      </c>
      <c r="D1967">
        <v>16</v>
      </c>
      <c r="E1967" s="3">
        <f t="shared" si="30"/>
        <v>25</v>
      </c>
    </row>
    <row r="1968" spans="1:5" x14ac:dyDescent="0.2">
      <c r="A1968">
        <v>2</v>
      </c>
      <c r="B1968" t="s">
        <v>61</v>
      </c>
      <c r="C1968">
        <v>1</v>
      </c>
      <c r="D1968">
        <v>12</v>
      </c>
      <c r="E1968" s="3">
        <f t="shared" si="30"/>
        <v>25</v>
      </c>
    </row>
    <row r="1969" spans="1:5" x14ac:dyDescent="0.2">
      <c r="A1969">
        <v>3</v>
      </c>
      <c r="B1969" t="s">
        <v>532</v>
      </c>
      <c r="C1969">
        <v>0</v>
      </c>
      <c r="D1969">
        <v>8</v>
      </c>
      <c r="E1969" s="3">
        <f t="shared" si="30"/>
        <v>25</v>
      </c>
    </row>
    <row r="1970" spans="1:5" x14ac:dyDescent="0.2">
      <c r="A1970">
        <v>4</v>
      </c>
      <c r="B1970" t="s">
        <v>101</v>
      </c>
      <c r="C1970">
        <v>0</v>
      </c>
      <c r="D1970">
        <v>4</v>
      </c>
      <c r="E1970" s="3">
        <f t="shared" si="30"/>
        <v>25</v>
      </c>
    </row>
    <row r="1971" spans="1:5" x14ac:dyDescent="0.2">
      <c r="A1971">
        <v>5</v>
      </c>
      <c r="B1971" t="s">
        <v>493</v>
      </c>
      <c r="C1971">
        <v>0</v>
      </c>
      <c r="D1971">
        <v>2</v>
      </c>
      <c r="E1971" s="3">
        <f t="shared" si="30"/>
        <v>25</v>
      </c>
    </row>
    <row r="1972" spans="1:5" x14ac:dyDescent="0.2">
      <c r="A1972">
        <v>6</v>
      </c>
      <c r="B1972" t="s">
        <v>69</v>
      </c>
      <c r="C1972">
        <v>0</v>
      </c>
      <c r="D1972">
        <v>1</v>
      </c>
      <c r="E1972" s="3">
        <f t="shared" si="30"/>
        <v>25</v>
      </c>
    </row>
    <row r="1973" spans="1:5" x14ac:dyDescent="0.2">
      <c r="A1973">
        <v>7</v>
      </c>
      <c r="B1973" s="2" t="s">
        <v>10</v>
      </c>
      <c r="C1973" s="2" t="s">
        <v>10</v>
      </c>
      <c r="D1973" s="2" t="s">
        <v>10</v>
      </c>
      <c r="E1973" s="3">
        <f t="shared" si="30"/>
        <v>25</v>
      </c>
    </row>
    <row r="1974" spans="1:5" x14ac:dyDescent="0.2">
      <c r="A1974">
        <v>8</v>
      </c>
      <c r="B1974" s="2" t="s">
        <v>10</v>
      </c>
      <c r="C1974" s="2" t="s">
        <v>10</v>
      </c>
      <c r="D1974" s="2" t="s">
        <v>10</v>
      </c>
      <c r="E1974" s="3">
        <f t="shared" si="30"/>
        <v>25</v>
      </c>
    </row>
    <row r="1975" spans="1:5" x14ac:dyDescent="0.2">
      <c r="A1975" s="1" t="s">
        <v>540</v>
      </c>
      <c r="E1975" s="3">
        <f t="shared" si="30"/>
        <v>25</v>
      </c>
    </row>
    <row r="1976" spans="1:5" x14ac:dyDescent="0.2">
      <c r="A1976" s="1" t="s">
        <v>1</v>
      </c>
      <c r="B1976" s="1" t="s">
        <v>2</v>
      </c>
      <c r="C1976" s="1" t="s">
        <v>3</v>
      </c>
      <c r="D1976" s="1" t="s">
        <v>4</v>
      </c>
      <c r="E1976" s="3">
        <f t="shared" si="30"/>
        <v>25</v>
      </c>
    </row>
    <row r="1977" spans="1:5" x14ac:dyDescent="0.2">
      <c r="A1977">
        <v>1</v>
      </c>
      <c r="B1977" t="s">
        <v>75</v>
      </c>
      <c r="C1977">
        <v>4</v>
      </c>
      <c r="D1977">
        <v>17</v>
      </c>
      <c r="E1977" s="3">
        <f t="shared" si="30"/>
        <v>25</v>
      </c>
    </row>
    <row r="1978" spans="1:5" x14ac:dyDescent="0.2">
      <c r="A1978">
        <v>2</v>
      </c>
      <c r="B1978" t="s">
        <v>554</v>
      </c>
      <c r="C1978">
        <v>2</v>
      </c>
      <c r="D1978">
        <v>13</v>
      </c>
      <c r="E1978" s="3">
        <f t="shared" si="30"/>
        <v>25</v>
      </c>
    </row>
    <row r="1979" spans="1:5" x14ac:dyDescent="0.2">
      <c r="A1979">
        <v>3</v>
      </c>
      <c r="B1979" t="s">
        <v>534</v>
      </c>
      <c r="C1979">
        <v>0</v>
      </c>
      <c r="D1979">
        <v>9</v>
      </c>
      <c r="E1979" s="3">
        <f t="shared" si="30"/>
        <v>25</v>
      </c>
    </row>
    <row r="1980" spans="1:5" x14ac:dyDescent="0.2">
      <c r="A1980">
        <v>4</v>
      </c>
      <c r="B1980" t="s">
        <v>490</v>
      </c>
      <c r="C1980">
        <v>0</v>
      </c>
      <c r="D1980">
        <v>5</v>
      </c>
      <c r="E1980" s="3">
        <f t="shared" si="30"/>
        <v>25</v>
      </c>
    </row>
    <row r="1981" spans="1:5" x14ac:dyDescent="0.2">
      <c r="A1981">
        <v>5</v>
      </c>
      <c r="B1981" t="s">
        <v>87</v>
      </c>
      <c r="C1981">
        <v>0</v>
      </c>
      <c r="D1981">
        <v>3</v>
      </c>
      <c r="E1981" s="3">
        <f t="shared" si="30"/>
        <v>25</v>
      </c>
    </row>
    <row r="1982" spans="1:5" x14ac:dyDescent="0.2">
      <c r="A1982">
        <v>6</v>
      </c>
      <c r="B1982" t="s">
        <v>485</v>
      </c>
      <c r="C1982">
        <v>0</v>
      </c>
      <c r="D1982">
        <v>2</v>
      </c>
      <c r="E1982" s="3">
        <f t="shared" si="30"/>
        <v>25</v>
      </c>
    </row>
    <row r="1983" spans="1:5" x14ac:dyDescent="0.2">
      <c r="A1983">
        <v>7</v>
      </c>
      <c r="B1983" t="s">
        <v>479</v>
      </c>
      <c r="C1983">
        <v>0</v>
      </c>
      <c r="D1983">
        <v>1</v>
      </c>
      <c r="E1983" s="3">
        <f t="shared" si="30"/>
        <v>25</v>
      </c>
    </row>
    <row r="1984" spans="1:5" x14ac:dyDescent="0.2">
      <c r="A1984">
        <v>8</v>
      </c>
      <c r="B1984" s="2" t="s">
        <v>10</v>
      </c>
      <c r="C1984" s="2" t="s">
        <v>10</v>
      </c>
      <c r="D1984" s="2" t="s">
        <v>10</v>
      </c>
      <c r="E1984" s="3">
        <f t="shared" si="30"/>
        <v>25</v>
      </c>
    </row>
    <row r="1985" spans="1:5" x14ac:dyDescent="0.2">
      <c r="A1985" s="1" t="s">
        <v>549</v>
      </c>
      <c r="E1985" s="3">
        <f t="shared" si="30"/>
        <v>25</v>
      </c>
    </row>
    <row r="1986" spans="1:5" x14ac:dyDescent="0.2">
      <c r="A1986" s="1" t="s">
        <v>1</v>
      </c>
      <c r="B1986" s="1" t="s">
        <v>2</v>
      </c>
      <c r="C1986" s="1" t="s">
        <v>3</v>
      </c>
      <c r="D1986" s="1" t="s">
        <v>4</v>
      </c>
      <c r="E1986" s="3">
        <f t="shared" si="30"/>
        <v>25</v>
      </c>
    </row>
    <row r="1987" spans="1:5" x14ac:dyDescent="0.2">
      <c r="A1987">
        <v>1</v>
      </c>
      <c r="B1987" t="s">
        <v>503</v>
      </c>
      <c r="C1987">
        <v>3</v>
      </c>
      <c r="D1987">
        <v>16</v>
      </c>
      <c r="E1987" s="3">
        <f t="shared" si="30"/>
        <v>25</v>
      </c>
    </row>
    <row r="1988" spans="1:5" x14ac:dyDescent="0.2">
      <c r="A1988">
        <v>2</v>
      </c>
      <c r="B1988" t="s">
        <v>76</v>
      </c>
      <c r="C1988">
        <v>1</v>
      </c>
      <c r="D1988">
        <v>12</v>
      </c>
      <c r="E1988" s="3">
        <f t="shared" ref="E1988:E2051" si="31">IF(A1988=$A$1,E1987+1,E1987)</f>
        <v>25</v>
      </c>
    </row>
    <row r="1989" spans="1:5" x14ac:dyDescent="0.2">
      <c r="A1989">
        <v>3</v>
      </c>
      <c r="B1989" t="s">
        <v>533</v>
      </c>
      <c r="C1989">
        <v>1</v>
      </c>
      <c r="D1989">
        <v>8</v>
      </c>
      <c r="E1989" s="3">
        <f t="shared" si="31"/>
        <v>25</v>
      </c>
    </row>
    <row r="1990" spans="1:5" x14ac:dyDescent="0.2">
      <c r="A1990">
        <v>4</v>
      </c>
      <c r="B1990" t="s">
        <v>552</v>
      </c>
      <c r="C1990">
        <v>0</v>
      </c>
      <c r="D1990">
        <v>4</v>
      </c>
      <c r="E1990" s="3">
        <f t="shared" si="31"/>
        <v>25</v>
      </c>
    </row>
    <row r="1991" spans="1:5" x14ac:dyDescent="0.2">
      <c r="A1991">
        <v>5</v>
      </c>
      <c r="B1991" t="s">
        <v>35</v>
      </c>
      <c r="C1991">
        <v>0</v>
      </c>
      <c r="D1991">
        <v>2</v>
      </c>
      <c r="E1991" s="3">
        <f t="shared" si="31"/>
        <v>25</v>
      </c>
    </row>
    <row r="1992" spans="1:5" x14ac:dyDescent="0.2">
      <c r="A1992">
        <v>6</v>
      </c>
      <c r="B1992" t="s">
        <v>74</v>
      </c>
      <c r="C1992">
        <v>0</v>
      </c>
      <c r="D1992">
        <v>1</v>
      </c>
      <c r="E1992" s="3">
        <f t="shared" si="31"/>
        <v>25</v>
      </c>
    </row>
    <row r="1993" spans="1:5" x14ac:dyDescent="0.2">
      <c r="A1993">
        <v>7</v>
      </c>
      <c r="B1993" s="2" t="s">
        <v>10</v>
      </c>
      <c r="C1993" s="2" t="s">
        <v>10</v>
      </c>
      <c r="D1993" s="2" t="s">
        <v>10</v>
      </c>
      <c r="E1993" s="3">
        <f t="shared" si="31"/>
        <v>25</v>
      </c>
    </row>
    <row r="1994" spans="1:5" x14ac:dyDescent="0.2">
      <c r="A1994">
        <v>8</v>
      </c>
      <c r="B1994" s="2" t="s">
        <v>10</v>
      </c>
      <c r="C1994" s="2" t="s">
        <v>10</v>
      </c>
      <c r="D1994" s="2" t="s">
        <v>10</v>
      </c>
      <c r="E1994" s="3">
        <f t="shared" si="31"/>
        <v>25</v>
      </c>
    </row>
    <row r="1995" spans="1:5" x14ac:dyDescent="0.2">
      <c r="A1995" s="1" t="s">
        <v>542</v>
      </c>
      <c r="E1995" s="3">
        <f t="shared" si="31"/>
        <v>25</v>
      </c>
    </row>
    <row r="1996" spans="1:5" x14ac:dyDescent="0.2">
      <c r="A1996" s="1" t="s">
        <v>1</v>
      </c>
      <c r="B1996" s="1" t="s">
        <v>2</v>
      </c>
      <c r="C1996" s="1" t="s">
        <v>3</v>
      </c>
      <c r="D1996" s="1" t="s">
        <v>4</v>
      </c>
      <c r="E1996" s="3">
        <f t="shared" si="31"/>
        <v>25</v>
      </c>
    </row>
    <row r="1997" spans="1:5" x14ac:dyDescent="0.2">
      <c r="A1997">
        <v>1</v>
      </c>
      <c r="B1997" t="s">
        <v>27</v>
      </c>
      <c r="C1997">
        <v>2</v>
      </c>
      <c r="D1997">
        <v>16</v>
      </c>
      <c r="E1997" s="3">
        <f t="shared" si="31"/>
        <v>25</v>
      </c>
    </row>
    <row r="1998" spans="1:5" x14ac:dyDescent="0.2">
      <c r="A1998">
        <v>2</v>
      </c>
      <c r="B1998" t="s">
        <v>15</v>
      </c>
      <c r="C1998">
        <v>1</v>
      </c>
      <c r="D1998">
        <v>12</v>
      </c>
      <c r="E1998" s="3">
        <f t="shared" si="31"/>
        <v>25</v>
      </c>
    </row>
    <row r="1999" spans="1:5" x14ac:dyDescent="0.2">
      <c r="A1999">
        <v>3</v>
      </c>
      <c r="B1999" t="s">
        <v>516</v>
      </c>
      <c r="C1999">
        <v>2</v>
      </c>
      <c r="D1999">
        <v>8</v>
      </c>
      <c r="E1999" s="3">
        <f t="shared" si="31"/>
        <v>25</v>
      </c>
    </row>
    <row r="2000" spans="1:5" x14ac:dyDescent="0.2">
      <c r="A2000">
        <v>4</v>
      </c>
      <c r="B2000" t="s">
        <v>42</v>
      </c>
      <c r="C2000">
        <v>0</v>
      </c>
      <c r="D2000">
        <v>4</v>
      </c>
      <c r="E2000" s="3">
        <f t="shared" si="31"/>
        <v>25</v>
      </c>
    </row>
    <row r="2001" spans="1:5" x14ac:dyDescent="0.2">
      <c r="A2001">
        <v>5</v>
      </c>
      <c r="B2001" t="s">
        <v>21</v>
      </c>
      <c r="C2001">
        <v>0</v>
      </c>
      <c r="D2001">
        <v>2</v>
      </c>
      <c r="E2001" s="3">
        <f t="shared" si="31"/>
        <v>25</v>
      </c>
    </row>
    <row r="2002" spans="1:5" x14ac:dyDescent="0.2">
      <c r="A2002">
        <v>6</v>
      </c>
      <c r="B2002" t="s">
        <v>65</v>
      </c>
      <c r="C2002">
        <v>0</v>
      </c>
      <c r="D2002">
        <v>1</v>
      </c>
      <c r="E2002" s="3">
        <f t="shared" si="31"/>
        <v>25</v>
      </c>
    </row>
    <row r="2003" spans="1:5" x14ac:dyDescent="0.2">
      <c r="A2003">
        <v>7</v>
      </c>
      <c r="B2003" s="2" t="s">
        <v>10</v>
      </c>
      <c r="C2003" s="2" t="s">
        <v>10</v>
      </c>
      <c r="D2003" s="2" t="s">
        <v>10</v>
      </c>
      <c r="E2003" s="3">
        <f t="shared" si="31"/>
        <v>25</v>
      </c>
    </row>
    <row r="2004" spans="1:5" x14ac:dyDescent="0.2">
      <c r="A2004">
        <v>8</v>
      </c>
      <c r="B2004" s="2" t="s">
        <v>10</v>
      </c>
      <c r="C2004" s="2" t="s">
        <v>10</v>
      </c>
      <c r="D2004" s="2" t="s">
        <v>10</v>
      </c>
      <c r="E2004" s="3">
        <f t="shared" si="31"/>
        <v>25</v>
      </c>
    </row>
    <row r="2005" spans="1:5" x14ac:dyDescent="0.2">
      <c r="A2005" s="1" t="s">
        <v>543</v>
      </c>
      <c r="E2005" s="3">
        <f t="shared" si="31"/>
        <v>25</v>
      </c>
    </row>
    <row r="2006" spans="1:5" x14ac:dyDescent="0.2">
      <c r="A2006" s="1" t="s">
        <v>1</v>
      </c>
      <c r="B2006" s="1" t="s">
        <v>2</v>
      </c>
      <c r="C2006" s="1" t="s">
        <v>3</v>
      </c>
      <c r="D2006" s="1" t="s">
        <v>4</v>
      </c>
      <c r="E2006" s="3">
        <f t="shared" si="31"/>
        <v>25</v>
      </c>
    </row>
    <row r="2007" spans="1:5" x14ac:dyDescent="0.2">
      <c r="A2007">
        <v>1</v>
      </c>
      <c r="B2007" t="s">
        <v>73</v>
      </c>
      <c r="C2007">
        <v>3</v>
      </c>
      <c r="D2007">
        <v>16</v>
      </c>
      <c r="E2007" s="3">
        <f t="shared" si="31"/>
        <v>25</v>
      </c>
    </row>
    <row r="2008" spans="1:5" x14ac:dyDescent="0.2">
      <c r="A2008">
        <v>2</v>
      </c>
      <c r="B2008" t="s">
        <v>519</v>
      </c>
      <c r="C2008">
        <v>0</v>
      </c>
      <c r="D2008">
        <v>12</v>
      </c>
      <c r="E2008" s="3">
        <f t="shared" si="31"/>
        <v>25</v>
      </c>
    </row>
    <row r="2009" spans="1:5" x14ac:dyDescent="0.2">
      <c r="A2009">
        <v>3</v>
      </c>
      <c r="B2009" t="s">
        <v>46</v>
      </c>
      <c r="C2009">
        <v>0</v>
      </c>
      <c r="D2009">
        <v>8</v>
      </c>
      <c r="E2009" s="3">
        <f t="shared" si="31"/>
        <v>25</v>
      </c>
    </row>
    <row r="2010" spans="1:5" x14ac:dyDescent="0.2">
      <c r="A2010">
        <v>4</v>
      </c>
      <c r="B2010" t="s">
        <v>81</v>
      </c>
      <c r="C2010">
        <v>2</v>
      </c>
      <c r="D2010">
        <v>4</v>
      </c>
      <c r="E2010" s="3">
        <f t="shared" si="31"/>
        <v>25</v>
      </c>
    </row>
    <row r="2011" spans="1:5" x14ac:dyDescent="0.2">
      <c r="A2011">
        <v>5</v>
      </c>
      <c r="B2011" t="s">
        <v>454</v>
      </c>
      <c r="C2011">
        <v>0</v>
      </c>
      <c r="D2011">
        <v>2</v>
      </c>
      <c r="E2011" s="3">
        <f t="shared" si="31"/>
        <v>25</v>
      </c>
    </row>
    <row r="2012" spans="1:5" x14ac:dyDescent="0.2">
      <c r="A2012">
        <v>6</v>
      </c>
      <c r="B2012" t="s">
        <v>6</v>
      </c>
      <c r="C2012">
        <v>0</v>
      </c>
      <c r="D2012">
        <v>1</v>
      </c>
      <c r="E2012" s="3">
        <f t="shared" si="31"/>
        <v>25</v>
      </c>
    </row>
    <row r="2013" spans="1:5" x14ac:dyDescent="0.2">
      <c r="A2013">
        <v>7</v>
      </c>
      <c r="B2013" s="2" t="s">
        <v>10</v>
      </c>
      <c r="C2013" s="2" t="s">
        <v>10</v>
      </c>
      <c r="D2013" s="2" t="s">
        <v>10</v>
      </c>
      <c r="E2013" s="3">
        <f t="shared" si="31"/>
        <v>25</v>
      </c>
    </row>
    <row r="2014" spans="1:5" x14ac:dyDescent="0.2">
      <c r="A2014">
        <v>8</v>
      </c>
      <c r="B2014" s="2" t="s">
        <v>10</v>
      </c>
      <c r="C2014" s="2" t="s">
        <v>10</v>
      </c>
      <c r="D2014" s="2" t="s">
        <v>10</v>
      </c>
      <c r="E2014" s="3">
        <f t="shared" si="31"/>
        <v>25</v>
      </c>
    </row>
    <row r="2015" spans="1:5" x14ac:dyDescent="0.2">
      <c r="A2015" s="1" t="s">
        <v>544</v>
      </c>
      <c r="E2015" s="3">
        <f t="shared" si="31"/>
        <v>25</v>
      </c>
    </row>
    <row r="2016" spans="1:5" x14ac:dyDescent="0.2">
      <c r="A2016" s="1" t="s">
        <v>1</v>
      </c>
      <c r="B2016" s="1" t="s">
        <v>2</v>
      </c>
      <c r="C2016" s="1" t="s">
        <v>3</v>
      </c>
      <c r="D2016" s="1" t="s">
        <v>4</v>
      </c>
      <c r="E2016" s="3">
        <f t="shared" si="31"/>
        <v>25</v>
      </c>
    </row>
    <row r="2017" spans="1:5" x14ac:dyDescent="0.2">
      <c r="A2017">
        <v>0</v>
      </c>
      <c r="C2017">
        <v>0</v>
      </c>
      <c r="D2017">
        <v>0</v>
      </c>
      <c r="E2017" s="3">
        <f t="shared" si="31"/>
        <v>25</v>
      </c>
    </row>
    <row r="2018" spans="1:5" x14ac:dyDescent="0.2">
      <c r="A2018">
        <v>1</v>
      </c>
      <c r="B2018" t="s">
        <v>518</v>
      </c>
      <c r="C2018">
        <v>4</v>
      </c>
      <c r="D2018">
        <v>17</v>
      </c>
      <c r="E2018" s="3">
        <f t="shared" si="31"/>
        <v>25</v>
      </c>
    </row>
    <row r="2019" spans="1:5" x14ac:dyDescent="0.2">
      <c r="A2019">
        <v>2</v>
      </c>
      <c r="B2019" t="s">
        <v>521</v>
      </c>
      <c r="C2019">
        <v>0</v>
      </c>
      <c r="D2019">
        <v>13</v>
      </c>
      <c r="E2019" s="3">
        <f t="shared" si="31"/>
        <v>25</v>
      </c>
    </row>
    <row r="2020" spans="1:5" x14ac:dyDescent="0.2">
      <c r="A2020">
        <v>3</v>
      </c>
      <c r="B2020" t="s">
        <v>504</v>
      </c>
      <c r="C2020">
        <v>0</v>
      </c>
      <c r="D2020">
        <v>9</v>
      </c>
      <c r="E2020" s="3">
        <f t="shared" si="31"/>
        <v>25</v>
      </c>
    </row>
    <row r="2021" spans="1:5" x14ac:dyDescent="0.2">
      <c r="A2021">
        <v>4</v>
      </c>
      <c r="B2021" t="s">
        <v>55</v>
      </c>
      <c r="C2021">
        <v>1</v>
      </c>
      <c r="D2021">
        <v>5</v>
      </c>
      <c r="E2021" s="3">
        <f t="shared" si="31"/>
        <v>25</v>
      </c>
    </row>
    <row r="2022" spans="1:5" x14ac:dyDescent="0.2">
      <c r="A2022">
        <v>5</v>
      </c>
      <c r="B2022" t="s">
        <v>280</v>
      </c>
      <c r="C2022">
        <v>1</v>
      </c>
      <c r="D2022">
        <v>3</v>
      </c>
      <c r="E2022" s="3">
        <f t="shared" si="31"/>
        <v>25</v>
      </c>
    </row>
    <row r="2023" spans="1:5" x14ac:dyDescent="0.2">
      <c r="A2023">
        <v>6</v>
      </c>
      <c r="B2023" t="s">
        <v>501</v>
      </c>
      <c r="C2023">
        <v>0</v>
      </c>
      <c r="D2023">
        <v>2</v>
      </c>
      <c r="E2023" s="3">
        <f t="shared" si="31"/>
        <v>25</v>
      </c>
    </row>
    <row r="2024" spans="1:5" x14ac:dyDescent="0.2">
      <c r="A2024">
        <v>7</v>
      </c>
      <c r="B2024" t="s">
        <v>510</v>
      </c>
      <c r="C2024">
        <v>0</v>
      </c>
      <c r="D2024">
        <v>1</v>
      </c>
      <c r="E2024" s="3">
        <f t="shared" si="31"/>
        <v>25</v>
      </c>
    </row>
    <row r="2025" spans="1:5" x14ac:dyDescent="0.2">
      <c r="A2025">
        <v>9</v>
      </c>
      <c r="B2025" s="2" t="s">
        <v>10</v>
      </c>
      <c r="C2025" s="2" t="s">
        <v>10</v>
      </c>
      <c r="D2025" s="2" t="s">
        <v>10</v>
      </c>
      <c r="E2025" s="3">
        <f t="shared" si="31"/>
        <v>25</v>
      </c>
    </row>
    <row r="2026" spans="1:5" x14ac:dyDescent="0.2">
      <c r="A2026" s="1" t="s">
        <v>0</v>
      </c>
      <c r="E2026" s="3">
        <f t="shared" si="31"/>
        <v>26</v>
      </c>
    </row>
    <row r="2027" spans="1:5" x14ac:dyDescent="0.2">
      <c r="A2027" s="1" t="s">
        <v>1</v>
      </c>
      <c r="B2027" s="1" t="s">
        <v>2</v>
      </c>
      <c r="C2027" s="1" t="s">
        <v>3</v>
      </c>
      <c r="D2027" s="1" t="s">
        <v>4</v>
      </c>
      <c r="E2027" s="3">
        <f t="shared" si="31"/>
        <v>26</v>
      </c>
    </row>
    <row r="2028" spans="1:5" x14ac:dyDescent="0.2">
      <c r="A2028">
        <v>1</v>
      </c>
      <c r="B2028" t="s">
        <v>55</v>
      </c>
      <c r="C2028">
        <v>2</v>
      </c>
      <c r="D2028">
        <v>16</v>
      </c>
      <c r="E2028" s="3">
        <f t="shared" si="31"/>
        <v>26</v>
      </c>
    </row>
    <row r="2029" spans="1:5" x14ac:dyDescent="0.2">
      <c r="A2029">
        <v>2</v>
      </c>
      <c r="B2029" t="s">
        <v>87</v>
      </c>
      <c r="C2029">
        <v>1</v>
      </c>
      <c r="D2029">
        <v>12</v>
      </c>
      <c r="E2029" s="3">
        <f t="shared" si="31"/>
        <v>26</v>
      </c>
    </row>
    <row r="2030" spans="1:5" x14ac:dyDescent="0.2">
      <c r="A2030">
        <v>3</v>
      </c>
      <c r="B2030" t="s">
        <v>505</v>
      </c>
      <c r="C2030">
        <v>1</v>
      </c>
      <c r="D2030">
        <v>8</v>
      </c>
      <c r="E2030" s="3">
        <f t="shared" si="31"/>
        <v>26</v>
      </c>
    </row>
    <row r="2031" spans="1:5" x14ac:dyDescent="0.2">
      <c r="A2031">
        <v>4</v>
      </c>
      <c r="B2031" t="s">
        <v>507</v>
      </c>
      <c r="C2031">
        <v>1</v>
      </c>
      <c r="D2031">
        <v>4</v>
      </c>
      <c r="E2031" s="3">
        <f t="shared" si="31"/>
        <v>26</v>
      </c>
    </row>
    <row r="2032" spans="1:5" x14ac:dyDescent="0.2">
      <c r="A2032">
        <v>5</v>
      </c>
      <c r="B2032" t="s">
        <v>69</v>
      </c>
      <c r="C2032">
        <v>0</v>
      </c>
      <c r="D2032">
        <v>2</v>
      </c>
      <c r="E2032" s="3">
        <f t="shared" si="31"/>
        <v>26</v>
      </c>
    </row>
    <row r="2033" spans="1:5" x14ac:dyDescent="0.2">
      <c r="A2033">
        <v>6</v>
      </c>
      <c r="B2033" t="s">
        <v>454</v>
      </c>
      <c r="C2033">
        <v>0</v>
      </c>
      <c r="D2033">
        <v>1</v>
      </c>
      <c r="E2033" s="3">
        <f t="shared" si="31"/>
        <v>26</v>
      </c>
    </row>
    <row r="2034" spans="1:5" x14ac:dyDescent="0.2">
      <c r="A2034">
        <v>7</v>
      </c>
      <c r="B2034" s="2" t="s">
        <v>10</v>
      </c>
      <c r="C2034" s="2" t="s">
        <v>10</v>
      </c>
      <c r="D2034" s="2" t="s">
        <v>10</v>
      </c>
      <c r="E2034" s="3">
        <f t="shared" si="31"/>
        <v>26</v>
      </c>
    </row>
    <row r="2035" spans="1:5" x14ac:dyDescent="0.2">
      <c r="A2035">
        <v>8</v>
      </c>
      <c r="B2035" s="2" t="s">
        <v>10</v>
      </c>
      <c r="C2035" s="2" t="s">
        <v>10</v>
      </c>
      <c r="D2035" s="2" t="s">
        <v>10</v>
      </c>
      <c r="E2035" s="3">
        <f t="shared" si="31"/>
        <v>26</v>
      </c>
    </row>
    <row r="2036" spans="1:5" x14ac:dyDescent="0.2">
      <c r="A2036" s="1" t="s">
        <v>11</v>
      </c>
      <c r="E2036" s="3">
        <f t="shared" si="31"/>
        <v>26</v>
      </c>
    </row>
    <row r="2037" spans="1:5" x14ac:dyDescent="0.2">
      <c r="A2037" s="1" t="s">
        <v>1</v>
      </c>
      <c r="B2037" s="1" t="s">
        <v>2</v>
      </c>
      <c r="C2037" s="1" t="s">
        <v>3</v>
      </c>
      <c r="D2037" s="1" t="s">
        <v>4</v>
      </c>
      <c r="E2037" s="3">
        <f t="shared" si="31"/>
        <v>26</v>
      </c>
    </row>
    <row r="2038" spans="1:5" x14ac:dyDescent="0.2">
      <c r="A2038">
        <v>1</v>
      </c>
      <c r="B2038" t="s">
        <v>42</v>
      </c>
      <c r="C2038">
        <v>4</v>
      </c>
      <c r="D2038">
        <v>16</v>
      </c>
      <c r="E2038" s="3">
        <f t="shared" si="31"/>
        <v>26</v>
      </c>
    </row>
    <row r="2039" spans="1:5" x14ac:dyDescent="0.2">
      <c r="A2039">
        <v>2</v>
      </c>
      <c r="B2039" t="s">
        <v>479</v>
      </c>
      <c r="C2039">
        <v>0</v>
      </c>
      <c r="D2039">
        <v>12</v>
      </c>
      <c r="E2039" s="3">
        <f t="shared" si="31"/>
        <v>26</v>
      </c>
    </row>
    <row r="2040" spans="1:5" x14ac:dyDescent="0.2">
      <c r="A2040">
        <v>3</v>
      </c>
      <c r="B2040" t="s">
        <v>461</v>
      </c>
      <c r="C2040">
        <v>1</v>
      </c>
      <c r="D2040">
        <v>8</v>
      </c>
      <c r="E2040" s="3">
        <f t="shared" si="31"/>
        <v>26</v>
      </c>
    </row>
    <row r="2041" spans="1:5" x14ac:dyDescent="0.2">
      <c r="A2041">
        <v>4</v>
      </c>
      <c r="B2041" t="s">
        <v>25</v>
      </c>
      <c r="C2041">
        <v>0</v>
      </c>
      <c r="D2041">
        <v>4</v>
      </c>
      <c r="E2041" s="3">
        <f t="shared" si="31"/>
        <v>26</v>
      </c>
    </row>
    <row r="2042" spans="1:5" x14ac:dyDescent="0.2">
      <c r="A2042">
        <v>5</v>
      </c>
      <c r="B2042" t="s">
        <v>48</v>
      </c>
      <c r="C2042">
        <v>0</v>
      </c>
      <c r="D2042">
        <v>2</v>
      </c>
      <c r="E2042" s="3">
        <f t="shared" si="31"/>
        <v>26</v>
      </c>
    </row>
    <row r="2043" spans="1:5" x14ac:dyDescent="0.2">
      <c r="A2043">
        <v>6</v>
      </c>
      <c r="B2043" t="s">
        <v>9</v>
      </c>
      <c r="C2043">
        <v>0</v>
      </c>
      <c r="D2043">
        <v>1</v>
      </c>
      <c r="E2043" s="3">
        <f t="shared" si="31"/>
        <v>26</v>
      </c>
    </row>
    <row r="2044" spans="1:5" x14ac:dyDescent="0.2">
      <c r="A2044">
        <v>7</v>
      </c>
      <c r="B2044" s="2" t="s">
        <v>10</v>
      </c>
      <c r="C2044" s="2" t="s">
        <v>10</v>
      </c>
      <c r="D2044" s="2" t="s">
        <v>10</v>
      </c>
      <c r="E2044" s="3">
        <f t="shared" si="31"/>
        <v>26</v>
      </c>
    </row>
    <row r="2045" spans="1:5" x14ac:dyDescent="0.2">
      <c r="A2045">
        <v>8</v>
      </c>
      <c r="B2045" s="2" t="s">
        <v>10</v>
      </c>
      <c r="C2045" s="2" t="s">
        <v>10</v>
      </c>
      <c r="D2045" s="2" t="s">
        <v>10</v>
      </c>
      <c r="E2045" s="3">
        <f t="shared" si="31"/>
        <v>26</v>
      </c>
    </row>
    <row r="2046" spans="1:5" x14ac:dyDescent="0.2">
      <c r="A2046" s="1" t="s">
        <v>17</v>
      </c>
      <c r="E2046" s="3">
        <f t="shared" si="31"/>
        <v>26</v>
      </c>
    </row>
    <row r="2047" spans="1:5" x14ac:dyDescent="0.2">
      <c r="A2047" s="1" t="s">
        <v>1</v>
      </c>
      <c r="B2047" s="1" t="s">
        <v>2</v>
      </c>
      <c r="C2047" s="1" t="s">
        <v>3</v>
      </c>
      <c r="D2047" s="1" t="s">
        <v>4</v>
      </c>
      <c r="E2047" s="3">
        <f t="shared" si="31"/>
        <v>26</v>
      </c>
    </row>
    <row r="2048" spans="1:5" x14ac:dyDescent="0.2">
      <c r="A2048">
        <v>0</v>
      </c>
      <c r="C2048">
        <v>0</v>
      </c>
      <c r="D2048">
        <v>0</v>
      </c>
      <c r="E2048" s="3">
        <f t="shared" si="31"/>
        <v>26</v>
      </c>
    </row>
    <row r="2049" spans="1:5" x14ac:dyDescent="0.2">
      <c r="A2049">
        <v>0</v>
      </c>
      <c r="C2049">
        <v>0</v>
      </c>
      <c r="D2049">
        <v>0</v>
      </c>
      <c r="E2049" s="3">
        <f t="shared" si="31"/>
        <v>26</v>
      </c>
    </row>
    <row r="2050" spans="1:5" x14ac:dyDescent="0.2">
      <c r="A2050">
        <v>1</v>
      </c>
      <c r="B2050" t="s">
        <v>19</v>
      </c>
      <c r="C2050">
        <v>2</v>
      </c>
      <c r="D2050">
        <v>16</v>
      </c>
      <c r="E2050" s="3">
        <f t="shared" si="31"/>
        <v>26</v>
      </c>
    </row>
    <row r="2051" spans="1:5" x14ac:dyDescent="0.2">
      <c r="A2051">
        <v>2</v>
      </c>
      <c r="B2051" t="s">
        <v>261</v>
      </c>
      <c r="C2051">
        <v>1</v>
      </c>
      <c r="D2051">
        <v>12</v>
      </c>
      <c r="E2051" s="3">
        <f t="shared" si="31"/>
        <v>26</v>
      </c>
    </row>
    <row r="2052" spans="1:5" x14ac:dyDescent="0.2">
      <c r="A2052">
        <v>3</v>
      </c>
      <c r="B2052" t="s">
        <v>345</v>
      </c>
      <c r="C2052">
        <v>2</v>
      </c>
      <c r="D2052">
        <v>8</v>
      </c>
      <c r="E2052" s="3">
        <f t="shared" ref="E2052:E2115" si="32">IF(A2052=$A$1,E2051+1,E2051)</f>
        <v>26</v>
      </c>
    </row>
    <row r="2053" spans="1:5" x14ac:dyDescent="0.2">
      <c r="A2053">
        <v>4</v>
      </c>
      <c r="B2053" t="s">
        <v>535</v>
      </c>
      <c r="C2053">
        <v>0</v>
      </c>
      <c r="D2053">
        <v>4</v>
      </c>
      <c r="E2053" s="3">
        <f t="shared" si="32"/>
        <v>26</v>
      </c>
    </row>
    <row r="2054" spans="1:5" x14ac:dyDescent="0.2">
      <c r="A2054">
        <v>4</v>
      </c>
      <c r="B2054" t="s">
        <v>518</v>
      </c>
      <c r="C2054">
        <v>0</v>
      </c>
      <c r="D2054">
        <v>4</v>
      </c>
      <c r="E2054" s="3">
        <f t="shared" si="32"/>
        <v>26</v>
      </c>
    </row>
    <row r="2055" spans="1:5" x14ac:dyDescent="0.2">
      <c r="A2055">
        <v>6</v>
      </c>
      <c r="B2055" t="s">
        <v>556</v>
      </c>
      <c r="C2055">
        <v>0</v>
      </c>
      <c r="D2055">
        <v>1</v>
      </c>
      <c r="E2055" s="3">
        <f t="shared" si="32"/>
        <v>26</v>
      </c>
    </row>
    <row r="2056" spans="1:5" x14ac:dyDescent="0.2">
      <c r="A2056">
        <v>9</v>
      </c>
      <c r="B2056" s="2" t="s">
        <v>10</v>
      </c>
      <c r="C2056" s="2" t="s">
        <v>10</v>
      </c>
      <c r="D2056" s="2" t="s">
        <v>10</v>
      </c>
      <c r="E2056" s="3">
        <f t="shared" si="32"/>
        <v>26</v>
      </c>
    </row>
    <row r="2057" spans="1:5" x14ac:dyDescent="0.2">
      <c r="A2057">
        <v>10</v>
      </c>
      <c r="B2057" s="2" t="s">
        <v>10</v>
      </c>
      <c r="C2057" s="2" t="s">
        <v>10</v>
      </c>
      <c r="D2057" s="2" t="s">
        <v>10</v>
      </c>
      <c r="E2057" s="3">
        <f t="shared" si="32"/>
        <v>26</v>
      </c>
    </row>
    <row r="2058" spans="1:5" x14ac:dyDescent="0.2">
      <c r="A2058" s="1" t="s">
        <v>24</v>
      </c>
      <c r="E2058" s="3">
        <f t="shared" si="32"/>
        <v>26</v>
      </c>
    </row>
    <row r="2059" spans="1:5" x14ac:dyDescent="0.2">
      <c r="A2059" s="1" t="s">
        <v>1</v>
      </c>
      <c r="B2059" s="1" t="s">
        <v>2</v>
      </c>
      <c r="C2059" s="1" t="s">
        <v>3</v>
      </c>
      <c r="D2059" s="1" t="s">
        <v>4</v>
      </c>
      <c r="E2059" s="3">
        <f t="shared" si="32"/>
        <v>26</v>
      </c>
    </row>
    <row r="2060" spans="1:5" x14ac:dyDescent="0.2">
      <c r="A2060">
        <v>1</v>
      </c>
      <c r="B2060" t="s">
        <v>506</v>
      </c>
      <c r="C2060">
        <v>3</v>
      </c>
      <c r="D2060">
        <v>16</v>
      </c>
      <c r="E2060" s="3">
        <f t="shared" si="32"/>
        <v>26</v>
      </c>
    </row>
    <row r="2061" spans="1:5" x14ac:dyDescent="0.2">
      <c r="A2061">
        <v>2</v>
      </c>
      <c r="B2061" t="s">
        <v>490</v>
      </c>
      <c r="C2061">
        <v>0</v>
      </c>
      <c r="D2061">
        <v>12</v>
      </c>
      <c r="E2061" s="3">
        <f t="shared" si="32"/>
        <v>26</v>
      </c>
    </row>
    <row r="2062" spans="1:5" x14ac:dyDescent="0.2">
      <c r="A2062">
        <v>3</v>
      </c>
      <c r="B2062" t="s">
        <v>76</v>
      </c>
      <c r="C2062">
        <v>1</v>
      </c>
      <c r="D2062">
        <v>8</v>
      </c>
      <c r="E2062" s="3">
        <f t="shared" si="32"/>
        <v>26</v>
      </c>
    </row>
    <row r="2063" spans="1:5" x14ac:dyDescent="0.2">
      <c r="A2063">
        <v>4</v>
      </c>
      <c r="B2063" t="s">
        <v>555</v>
      </c>
      <c r="C2063">
        <v>0</v>
      </c>
      <c r="D2063">
        <v>4</v>
      </c>
      <c r="E2063" s="3">
        <f t="shared" si="32"/>
        <v>26</v>
      </c>
    </row>
    <row r="2064" spans="1:5" x14ac:dyDescent="0.2">
      <c r="A2064">
        <v>5</v>
      </c>
      <c r="B2064" t="s">
        <v>66</v>
      </c>
      <c r="C2064">
        <v>0</v>
      </c>
      <c r="D2064">
        <v>2</v>
      </c>
      <c r="E2064" s="3">
        <f t="shared" si="32"/>
        <v>26</v>
      </c>
    </row>
    <row r="2065" spans="1:5" x14ac:dyDescent="0.2">
      <c r="A2065">
        <v>6</v>
      </c>
      <c r="B2065" t="s">
        <v>534</v>
      </c>
      <c r="C2065">
        <v>0</v>
      </c>
      <c r="D2065">
        <v>1</v>
      </c>
      <c r="E2065" s="3">
        <f t="shared" si="32"/>
        <v>26</v>
      </c>
    </row>
    <row r="2066" spans="1:5" x14ac:dyDescent="0.2">
      <c r="A2066">
        <v>7</v>
      </c>
      <c r="B2066" s="2" t="s">
        <v>10</v>
      </c>
      <c r="C2066" s="2" t="s">
        <v>10</v>
      </c>
      <c r="D2066" s="2" t="s">
        <v>10</v>
      </c>
      <c r="E2066" s="3">
        <f t="shared" si="32"/>
        <v>26</v>
      </c>
    </row>
    <row r="2067" spans="1:5" x14ac:dyDescent="0.2">
      <c r="A2067">
        <v>8</v>
      </c>
      <c r="B2067" s="2" t="s">
        <v>10</v>
      </c>
      <c r="C2067" s="2" t="s">
        <v>10</v>
      </c>
      <c r="D2067" s="2" t="s">
        <v>10</v>
      </c>
      <c r="E2067" s="3">
        <f t="shared" si="32"/>
        <v>26</v>
      </c>
    </row>
    <row r="2068" spans="1:5" x14ac:dyDescent="0.2">
      <c r="A2068" s="1" t="s">
        <v>30</v>
      </c>
      <c r="E2068" s="3">
        <f t="shared" si="32"/>
        <v>26</v>
      </c>
    </row>
    <row r="2069" spans="1:5" x14ac:dyDescent="0.2">
      <c r="A2069" s="1" t="s">
        <v>1</v>
      </c>
      <c r="B2069" s="1" t="s">
        <v>2</v>
      </c>
      <c r="C2069" s="1" t="s">
        <v>3</v>
      </c>
      <c r="D2069" s="1" t="s">
        <v>4</v>
      </c>
      <c r="E2069" s="3">
        <f t="shared" si="32"/>
        <v>26</v>
      </c>
    </row>
    <row r="2070" spans="1:5" x14ac:dyDescent="0.2">
      <c r="A2070">
        <v>0</v>
      </c>
      <c r="C2070">
        <v>0</v>
      </c>
      <c r="D2070">
        <v>0</v>
      </c>
      <c r="E2070" s="3">
        <f t="shared" si="32"/>
        <v>26</v>
      </c>
    </row>
    <row r="2071" spans="1:5" x14ac:dyDescent="0.2">
      <c r="A2071">
        <v>0</v>
      </c>
      <c r="C2071">
        <v>0</v>
      </c>
      <c r="D2071">
        <v>0</v>
      </c>
      <c r="E2071" s="3">
        <f t="shared" si="32"/>
        <v>26</v>
      </c>
    </row>
    <row r="2072" spans="1:5" x14ac:dyDescent="0.2">
      <c r="A2072">
        <v>1</v>
      </c>
      <c r="B2072" t="s">
        <v>485</v>
      </c>
      <c r="C2072">
        <v>1</v>
      </c>
      <c r="D2072">
        <v>16</v>
      </c>
      <c r="E2072" s="3">
        <f t="shared" si="32"/>
        <v>26</v>
      </c>
    </row>
    <row r="2073" spans="1:5" x14ac:dyDescent="0.2">
      <c r="A2073">
        <v>2</v>
      </c>
      <c r="B2073" t="s">
        <v>88</v>
      </c>
      <c r="C2073">
        <v>3</v>
      </c>
      <c r="D2073">
        <v>12</v>
      </c>
      <c r="E2073" s="3">
        <f t="shared" si="32"/>
        <v>26</v>
      </c>
    </row>
    <row r="2074" spans="1:5" x14ac:dyDescent="0.2">
      <c r="A2074">
        <v>3</v>
      </c>
      <c r="B2074" t="s">
        <v>500</v>
      </c>
      <c r="C2074">
        <v>0</v>
      </c>
      <c r="D2074">
        <v>8</v>
      </c>
      <c r="E2074" s="3">
        <f t="shared" si="32"/>
        <v>26</v>
      </c>
    </row>
    <row r="2075" spans="1:5" x14ac:dyDescent="0.2">
      <c r="A2075">
        <v>4</v>
      </c>
      <c r="B2075" t="s">
        <v>503</v>
      </c>
      <c r="C2075">
        <v>1</v>
      </c>
      <c r="D2075">
        <v>4</v>
      </c>
      <c r="E2075" s="3">
        <f t="shared" si="32"/>
        <v>26</v>
      </c>
    </row>
    <row r="2076" spans="1:5" x14ac:dyDescent="0.2">
      <c r="A2076">
        <v>5</v>
      </c>
      <c r="B2076" t="s">
        <v>475</v>
      </c>
      <c r="C2076">
        <v>0</v>
      </c>
      <c r="D2076">
        <v>2</v>
      </c>
      <c r="E2076" s="3">
        <f t="shared" si="32"/>
        <v>26</v>
      </c>
    </row>
    <row r="2077" spans="1:5" x14ac:dyDescent="0.2">
      <c r="A2077">
        <v>6</v>
      </c>
      <c r="B2077" t="s">
        <v>74</v>
      </c>
      <c r="C2077">
        <v>0</v>
      </c>
      <c r="D2077">
        <v>1</v>
      </c>
      <c r="E2077" s="3">
        <f t="shared" si="32"/>
        <v>26</v>
      </c>
    </row>
    <row r="2078" spans="1:5" x14ac:dyDescent="0.2">
      <c r="A2078">
        <v>9</v>
      </c>
      <c r="B2078" s="2" t="s">
        <v>10</v>
      </c>
      <c r="C2078" s="2" t="s">
        <v>10</v>
      </c>
      <c r="D2078" s="2" t="s">
        <v>10</v>
      </c>
      <c r="E2078" s="3">
        <f t="shared" si="32"/>
        <v>26</v>
      </c>
    </row>
    <row r="2079" spans="1:5" x14ac:dyDescent="0.2">
      <c r="A2079">
        <v>10</v>
      </c>
      <c r="B2079" s="2" t="s">
        <v>10</v>
      </c>
      <c r="C2079" s="2" t="s">
        <v>10</v>
      </c>
      <c r="D2079" s="2" t="s">
        <v>10</v>
      </c>
      <c r="E2079" s="3">
        <f t="shared" si="32"/>
        <v>26</v>
      </c>
    </row>
    <row r="2080" spans="1:5" x14ac:dyDescent="0.2">
      <c r="A2080" s="1" t="s">
        <v>37</v>
      </c>
      <c r="E2080" s="3">
        <f t="shared" si="32"/>
        <v>26</v>
      </c>
    </row>
    <row r="2081" spans="1:5" x14ac:dyDescent="0.2">
      <c r="A2081" s="1" t="s">
        <v>1</v>
      </c>
      <c r="B2081" s="1" t="s">
        <v>2</v>
      </c>
      <c r="C2081" s="1" t="s">
        <v>3</v>
      </c>
      <c r="D2081" s="1" t="s">
        <v>4</v>
      </c>
      <c r="E2081" s="3">
        <f t="shared" si="32"/>
        <v>26</v>
      </c>
    </row>
    <row r="2082" spans="1:5" x14ac:dyDescent="0.2">
      <c r="A2082">
        <v>1</v>
      </c>
      <c r="B2082" t="s">
        <v>101</v>
      </c>
      <c r="C2082">
        <v>4</v>
      </c>
      <c r="D2082">
        <v>16</v>
      </c>
      <c r="E2082" s="3">
        <f t="shared" si="32"/>
        <v>26</v>
      </c>
    </row>
    <row r="2083" spans="1:5" x14ac:dyDescent="0.2">
      <c r="A2083">
        <v>2</v>
      </c>
      <c r="B2083" t="s">
        <v>35</v>
      </c>
      <c r="C2083">
        <v>1</v>
      </c>
      <c r="D2083">
        <v>12</v>
      </c>
      <c r="E2083" s="3">
        <f t="shared" si="32"/>
        <v>26</v>
      </c>
    </row>
    <row r="2084" spans="1:5" x14ac:dyDescent="0.2">
      <c r="A2084">
        <v>3</v>
      </c>
      <c r="B2084" t="s">
        <v>15</v>
      </c>
      <c r="C2084">
        <v>0</v>
      </c>
      <c r="D2084">
        <v>8</v>
      </c>
      <c r="E2084" s="3">
        <f t="shared" si="32"/>
        <v>26</v>
      </c>
    </row>
    <row r="2085" spans="1:5" x14ac:dyDescent="0.2">
      <c r="A2085">
        <v>4</v>
      </c>
      <c r="B2085" t="s">
        <v>81</v>
      </c>
      <c r="C2085">
        <v>0</v>
      </c>
      <c r="D2085">
        <v>4</v>
      </c>
      <c r="E2085" s="3">
        <f t="shared" si="32"/>
        <v>26</v>
      </c>
    </row>
    <row r="2086" spans="1:5" x14ac:dyDescent="0.2">
      <c r="A2086">
        <v>5</v>
      </c>
      <c r="B2086" t="s">
        <v>46</v>
      </c>
      <c r="C2086">
        <v>0</v>
      </c>
      <c r="D2086">
        <v>2</v>
      </c>
      <c r="E2086" s="3">
        <f t="shared" si="32"/>
        <v>26</v>
      </c>
    </row>
    <row r="2087" spans="1:5" x14ac:dyDescent="0.2">
      <c r="A2087">
        <v>6</v>
      </c>
      <c r="B2087" t="s">
        <v>21</v>
      </c>
      <c r="C2087">
        <v>0</v>
      </c>
      <c r="D2087">
        <v>1</v>
      </c>
      <c r="E2087" s="3">
        <f t="shared" si="32"/>
        <v>26</v>
      </c>
    </row>
    <row r="2088" spans="1:5" x14ac:dyDescent="0.2">
      <c r="A2088">
        <v>7</v>
      </c>
      <c r="B2088" s="2" t="s">
        <v>10</v>
      </c>
      <c r="C2088" s="2" t="s">
        <v>10</v>
      </c>
      <c r="D2088" s="2" t="s">
        <v>10</v>
      </c>
      <c r="E2088" s="3">
        <f t="shared" si="32"/>
        <v>26</v>
      </c>
    </row>
    <row r="2089" spans="1:5" x14ac:dyDescent="0.2">
      <c r="A2089">
        <v>8</v>
      </c>
      <c r="B2089" s="2" t="s">
        <v>10</v>
      </c>
      <c r="C2089" s="2" t="s">
        <v>10</v>
      </c>
      <c r="D2089" s="2" t="s">
        <v>10</v>
      </c>
      <c r="E2089" s="3">
        <f t="shared" si="32"/>
        <v>26</v>
      </c>
    </row>
    <row r="2090" spans="1:5" x14ac:dyDescent="0.2">
      <c r="A2090" s="1" t="s">
        <v>44</v>
      </c>
      <c r="E2090" s="3">
        <f t="shared" si="32"/>
        <v>26</v>
      </c>
    </row>
    <row r="2091" spans="1:5" x14ac:dyDescent="0.2">
      <c r="A2091" s="1" t="s">
        <v>1</v>
      </c>
      <c r="B2091" s="1" t="s">
        <v>2</v>
      </c>
      <c r="C2091" s="1" t="s">
        <v>3</v>
      </c>
      <c r="D2091" s="1" t="s">
        <v>4</v>
      </c>
      <c r="E2091" s="3">
        <f t="shared" si="32"/>
        <v>26</v>
      </c>
    </row>
    <row r="2092" spans="1:5" x14ac:dyDescent="0.2">
      <c r="A2092">
        <v>1</v>
      </c>
      <c r="B2092" t="s">
        <v>14</v>
      </c>
      <c r="C2092">
        <v>2</v>
      </c>
      <c r="D2092">
        <v>16</v>
      </c>
      <c r="E2092" s="3">
        <f t="shared" si="32"/>
        <v>26</v>
      </c>
    </row>
    <row r="2093" spans="1:5" x14ac:dyDescent="0.2">
      <c r="A2093">
        <v>2</v>
      </c>
      <c r="B2093" t="s">
        <v>509</v>
      </c>
      <c r="C2093">
        <v>2</v>
      </c>
      <c r="D2093">
        <v>12</v>
      </c>
      <c r="E2093" s="3">
        <f t="shared" si="32"/>
        <v>26</v>
      </c>
    </row>
    <row r="2094" spans="1:5" x14ac:dyDescent="0.2">
      <c r="A2094">
        <v>3</v>
      </c>
      <c r="B2094" t="s">
        <v>75</v>
      </c>
      <c r="C2094">
        <v>0</v>
      </c>
      <c r="D2094">
        <v>8</v>
      </c>
      <c r="E2094" s="3">
        <f t="shared" si="32"/>
        <v>26</v>
      </c>
    </row>
    <row r="2095" spans="1:5" x14ac:dyDescent="0.2">
      <c r="A2095">
        <v>4</v>
      </c>
      <c r="B2095" t="s">
        <v>554</v>
      </c>
      <c r="C2095">
        <v>0</v>
      </c>
      <c r="D2095">
        <v>4</v>
      </c>
      <c r="E2095" s="3">
        <f t="shared" si="32"/>
        <v>26</v>
      </c>
    </row>
    <row r="2096" spans="1:5" x14ac:dyDescent="0.2">
      <c r="A2096">
        <v>5</v>
      </c>
      <c r="B2096" t="s">
        <v>6</v>
      </c>
      <c r="C2096">
        <v>1</v>
      </c>
      <c r="D2096">
        <v>2</v>
      </c>
      <c r="E2096" s="3">
        <f t="shared" si="32"/>
        <v>26</v>
      </c>
    </row>
    <row r="2097" spans="1:5" x14ac:dyDescent="0.2">
      <c r="A2097">
        <v>6</v>
      </c>
      <c r="B2097" t="s">
        <v>501</v>
      </c>
      <c r="C2097">
        <v>0</v>
      </c>
      <c r="D2097">
        <v>1</v>
      </c>
      <c r="E2097" s="3">
        <f t="shared" si="32"/>
        <v>26</v>
      </c>
    </row>
    <row r="2098" spans="1:5" x14ac:dyDescent="0.2">
      <c r="A2098">
        <v>7</v>
      </c>
      <c r="B2098" s="2" t="s">
        <v>10</v>
      </c>
      <c r="C2098" s="2" t="s">
        <v>10</v>
      </c>
      <c r="D2098" s="2" t="s">
        <v>10</v>
      </c>
      <c r="E2098" s="3">
        <f t="shared" si="32"/>
        <v>26</v>
      </c>
    </row>
    <row r="2099" spans="1:5" x14ac:dyDescent="0.2">
      <c r="A2099">
        <v>8</v>
      </c>
      <c r="B2099" s="2" t="s">
        <v>10</v>
      </c>
      <c r="C2099" s="2" t="s">
        <v>10</v>
      </c>
      <c r="D2099" s="2" t="s">
        <v>10</v>
      </c>
      <c r="E2099" s="3">
        <f t="shared" si="32"/>
        <v>26</v>
      </c>
    </row>
    <row r="2100" spans="1:5" x14ac:dyDescent="0.2">
      <c r="A2100" s="1" t="s">
        <v>51</v>
      </c>
      <c r="E2100" s="3">
        <f t="shared" si="32"/>
        <v>26</v>
      </c>
    </row>
    <row r="2101" spans="1:5" x14ac:dyDescent="0.2">
      <c r="A2101" s="1" t="s">
        <v>1</v>
      </c>
      <c r="B2101" s="1" t="s">
        <v>2</v>
      </c>
      <c r="C2101" s="1" t="s">
        <v>3</v>
      </c>
      <c r="D2101" s="1" t="s">
        <v>4</v>
      </c>
      <c r="E2101" s="3">
        <f t="shared" si="32"/>
        <v>26</v>
      </c>
    </row>
    <row r="2102" spans="1:5" x14ac:dyDescent="0.2">
      <c r="A2102">
        <v>1</v>
      </c>
      <c r="B2102" t="s">
        <v>521</v>
      </c>
      <c r="C2102">
        <v>2</v>
      </c>
      <c r="D2102">
        <v>16</v>
      </c>
      <c r="E2102" s="3">
        <f t="shared" si="32"/>
        <v>26</v>
      </c>
    </row>
    <row r="2103" spans="1:5" x14ac:dyDescent="0.2">
      <c r="A2103">
        <v>2</v>
      </c>
      <c r="B2103" t="s">
        <v>493</v>
      </c>
      <c r="C2103">
        <v>1</v>
      </c>
      <c r="D2103">
        <v>12</v>
      </c>
      <c r="E2103" s="3">
        <f t="shared" si="32"/>
        <v>26</v>
      </c>
    </row>
    <row r="2104" spans="1:5" x14ac:dyDescent="0.2">
      <c r="A2104">
        <v>3</v>
      </c>
      <c r="B2104" t="s">
        <v>27</v>
      </c>
      <c r="C2104">
        <v>2</v>
      </c>
      <c r="D2104">
        <v>8</v>
      </c>
      <c r="E2104" s="3">
        <f t="shared" si="32"/>
        <v>26</v>
      </c>
    </row>
    <row r="2105" spans="1:5" x14ac:dyDescent="0.2">
      <c r="A2105">
        <v>4</v>
      </c>
      <c r="B2105" t="s">
        <v>525</v>
      </c>
      <c r="C2105">
        <v>0</v>
      </c>
      <c r="D2105">
        <v>4</v>
      </c>
      <c r="E2105" s="3">
        <f t="shared" si="32"/>
        <v>26</v>
      </c>
    </row>
    <row r="2106" spans="1:5" x14ac:dyDescent="0.2">
      <c r="A2106">
        <v>5</v>
      </c>
      <c r="B2106" t="s">
        <v>512</v>
      </c>
      <c r="C2106">
        <v>0</v>
      </c>
      <c r="D2106">
        <v>2</v>
      </c>
      <c r="E2106" s="3">
        <f t="shared" si="32"/>
        <v>26</v>
      </c>
    </row>
    <row r="2107" spans="1:5" x14ac:dyDescent="0.2">
      <c r="A2107">
        <v>6</v>
      </c>
      <c r="B2107" t="s">
        <v>280</v>
      </c>
      <c r="C2107">
        <v>0</v>
      </c>
      <c r="D2107">
        <v>1</v>
      </c>
      <c r="E2107" s="3">
        <f t="shared" si="32"/>
        <v>26</v>
      </c>
    </row>
    <row r="2108" spans="1:5" x14ac:dyDescent="0.2">
      <c r="A2108">
        <v>7</v>
      </c>
      <c r="B2108" s="2" t="s">
        <v>10</v>
      </c>
      <c r="C2108" s="2" t="s">
        <v>10</v>
      </c>
      <c r="D2108" s="2" t="s">
        <v>10</v>
      </c>
      <c r="E2108" s="3">
        <f t="shared" si="32"/>
        <v>26</v>
      </c>
    </row>
    <row r="2109" spans="1:5" x14ac:dyDescent="0.2">
      <c r="A2109">
        <v>8</v>
      </c>
      <c r="B2109" s="2" t="s">
        <v>10</v>
      </c>
      <c r="C2109" s="2" t="s">
        <v>10</v>
      </c>
      <c r="D2109" s="2" t="s">
        <v>10</v>
      </c>
      <c r="E2109" s="3">
        <f t="shared" si="32"/>
        <v>26</v>
      </c>
    </row>
    <row r="2110" spans="1:5" x14ac:dyDescent="0.2">
      <c r="A2110" s="1" t="s">
        <v>0</v>
      </c>
      <c r="E2110" s="3">
        <f t="shared" si="32"/>
        <v>27</v>
      </c>
    </row>
    <row r="2111" spans="1:5" x14ac:dyDescent="0.2">
      <c r="A2111" s="1" t="s">
        <v>1</v>
      </c>
      <c r="B2111" s="1" t="s">
        <v>2</v>
      </c>
      <c r="C2111" s="1" t="s">
        <v>3</v>
      </c>
      <c r="D2111" s="1" t="s">
        <v>4</v>
      </c>
      <c r="E2111" s="3">
        <f t="shared" si="32"/>
        <v>27</v>
      </c>
    </row>
    <row r="2112" spans="1:5" x14ac:dyDescent="0.2">
      <c r="A2112">
        <v>0</v>
      </c>
      <c r="C2112">
        <v>0</v>
      </c>
      <c r="D2112">
        <v>0</v>
      </c>
      <c r="E2112" s="3">
        <f t="shared" si="32"/>
        <v>27</v>
      </c>
    </row>
    <row r="2113" spans="1:5" x14ac:dyDescent="0.2">
      <c r="A2113">
        <v>0</v>
      </c>
      <c r="C2113">
        <v>0</v>
      </c>
      <c r="D2113">
        <v>0</v>
      </c>
      <c r="E2113" s="3">
        <f t="shared" si="32"/>
        <v>27</v>
      </c>
    </row>
    <row r="2114" spans="1:5" x14ac:dyDescent="0.2">
      <c r="A2114">
        <v>0</v>
      </c>
      <c r="C2114">
        <v>0</v>
      </c>
      <c r="D2114">
        <v>0</v>
      </c>
      <c r="E2114" s="3">
        <f t="shared" si="32"/>
        <v>27</v>
      </c>
    </row>
    <row r="2115" spans="1:5" x14ac:dyDescent="0.2">
      <c r="A2115">
        <v>1</v>
      </c>
      <c r="B2115" t="s">
        <v>557</v>
      </c>
      <c r="C2115">
        <v>4</v>
      </c>
      <c r="D2115">
        <v>15</v>
      </c>
      <c r="E2115" s="3">
        <f t="shared" si="32"/>
        <v>27</v>
      </c>
    </row>
    <row r="2116" spans="1:5" x14ac:dyDescent="0.2">
      <c r="A2116">
        <v>2</v>
      </c>
      <c r="B2116" t="s">
        <v>9</v>
      </c>
      <c r="C2116">
        <v>0</v>
      </c>
      <c r="D2116">
        <v>11</v>
      </c>
      <c r="E2116" s="3">
        <f t="shared" ref="E2116:E2179" si="33">IF(A2116=$A$1,E2115+1,E2115)</f>
        <v>27</v>
      </c>
    </row>
    <row r="2117" spans="1:5" x14ac:dyDescent="0.2">
      <c r="A2117">
        <v>3</v>
      </c>
      <c r="B2117" t="s">
        <v>15</v>
      </c>
      <c r="C2117">
        <v>0</v>
      </c>
      <c r="D2117">
        <v>7</v>
      </c>
      <c r="E2117" s="3">
        <f t="shared" si="33"/>
        <v>27</v>
      </c>
    </row>
    <row r="2118" spans="1:5" x14ac:dyDescent="0.2">
      <c r="A2118">
        <v>4</v>
      </c>
      <c r="B2118" t="s">
        <v>81</v>
      </c>
      <c r="C2118">
        <v>0</v>
      </c>
      <c r="D2118">
        <v>3</v>
      </c>
      <c r="E2118" s="3">
        <f t="shared" si="33"/>
        <v>27</v>
      </c>
    </row>
    <row r="2119" spans="1:5" x14ac:dyDescent="0.2">
      <c r="A2119">
        <v>5</v>
      </c>
      <c r="B2119" t="s">
        <v>73</v>
      </c>
      <c r="C2119">
        <v>0</v>
      </c>
      <c r="D2119">
        <v>1</v>
      </c>
      <c r="E2119" s="3">
        <f t="shared" si="33"/>
        <v>27</v>
      </c>
    </row>
    <row r="2120" spans="1:5" x14ac:dyDescent="0.2">
      <c r="A2120">
        <v>9</v>
      </c>
      <c r="B2120" s="2" t="s">
        <v>10</v>
      </c>
      <c r="C2120" s="2" t="s">
        <v>10</v>
      </c>
      <c r="D2120" s="2" t="s">
        <v>10</v>
      </c>
      <c r="E2120" s="3">
        <f t="shared" si="33"/>
        <v>27</v>
      </c>
    </row>
    <row r="2121" spans="1:5" x14ac:dyDescent="0.2">
      <c r="A2121">
        <v>10</v>
      </c>
      <c r="B2121" s="2" t="s">
        <v>10</v>
      </c>
      <c r="C2121" s="2" t="s">
        <v>10</v>
      </c>
      <c r="D2121" s="2" t="s">
        <v>10</v>
      </c>
      <c r="E2121" s="3">
        <f t="shared" si="33"/>
        <v>27</v>
      </c>
    </row>
    <row r="2122" spans="1:5" x14ac:dyDescent="0.2">
      <c r="A2122">
        <v>11</v>
      </c>
      <c r="B2122" s="2" t="s">
        <v>10</v>
      </c>
      <c r="C2122" s="2" t="s">
        <v>10</v>
      </c>
      <c r="D2122" s="2" t="s">
        <v>10</v>
      </c>
      <c r="E2122" s="3">
        <f t="shared" si="33"/>
        <v>27</v>
      </c>
    </row>
    <row r="2123" spans="1:5" x14ac:dyDescent="0.2">
      <c r="A2123" s="1" t="s">
        <v>11</v>
      </c>
      <c r="E2123" s="3">
        <f t="shared" si="33"/>
        <v>27</v>
      </c>
    </row>
    <row r="2124" spans="1:5" x14ac:dyDescent="0.2">
      <c r="A2124" s="1" t="s">
        <v>1</v>
      </c>
      <c r="B2124" s="1" t="s">
        <v>2</v>
      </c>
      <c r="C2124" s="1" t="s">
        <v>3</v>
      </c>
      <c r="D2124" s="1" t="s">
        <v>4</v>
      </c>
      <c r="E2124" s="3">
        <f t="shared" si="33"/>
        <v>27</v>
      </c>
    </row>
    <row r="2125" spans="1:5" x14ac:dyDescent="0.2">
      <c r="A2125">
        <v>1</v>
      </c>
      <c r="B2125" t="s">
        <v>74</v>
      </c>
      <c r="C2125">
        <v>2</v>
      </c>
      <c r="D2125">
        <v>16</v>
      </c>
      <c r="E2125" s="3">
        <f t="shared" si="33"/>
        <v>27</v>
      </c>
    </row>
    <row r="2126" spans="1:5" x14ac:dyDescent="0.2">
      <c r="A2126">
        <v>2</v>
      </c>
      <c r="B2126" t="s">
        <v>66</v>
      </c>
      <c r="C2126">
        <v>1</v>
      </c>
      <c r="D2126">
        <v>12</v>
      </c>
      <c r="E2126" s="3">
        <f t="shared" si="33"/>
        <v>27</v>
      </c>
    </row>
    <row r="2127" spans="1:5" x14ac:dyDescent="0.2">
      <c r="A2127">
        <v>3</v>
      </c>
      <c r="B2127" t="s">
        <v>500</v>
      </c>
      <c r="C2127">
        <v>1</v>
      </c>
      <c r="D2127">
        <v>8</v>
      </c>
      <c r="E2127" s="3">
        <f t="shared" si="33"/>
        <v>27</v>
      </c>
    </row>
    <row r="2128" spans="1:5" x14ac:dyDescent="0.2">
      <c r="A2128">
        <v>4</v>
      </c>
      <c r="B2128" t="s">
        <v>534</v>
      </c>
      <c r="C2128">
        <v>0</v>
      </c>
      <c r="D2128">
        <v>4</v>
      </c>
      <c r="E2128" s="3">
        <f t="shared" si="33"/>
        <v>27</v>
      </c>
    </row>
    <row r="2129" spans="1:5" x14ac:dyDescent="0.2">
      <c r="A2129">
        <v>5</v>
      </c>
      <c r="B2129" t="s">
        <v>479</v>
      </c>
      <c r="C2129">
        <v>1</v>
      </c>
      <c r="D2129">
        <v>2</v>
      </c>
      <c r="E2129" s="3">
        <f t="shared" si="33"/>
        <v>27</v>
      </c>
    </row>
    <row r="2130" spans="1:5" x14ac:dyDescent="0.2">
      <c r="A2130">
        <v>6</v>
      </c>
      <c r="B2130" t="s">
        <v>101</v>
      </c>
      <c r="C2130">
        <v>0</v>
      </c>
      <c r="D2130">
        <v>1</v>
      </c>
      <c r="E2130" s="3">
        <f t="shared" si="33"/>
        <v>27</v>
      </c>
    </row>
    <row r="2131" spans="1:5" x14ac:dyDescent="0.2">
      <c r="A2131">
        <v>7</v>
      </c>
      <c r="B2131" s="2" t="s">
        <v>10</v>
      </c>
      <c r="C2131" s="2" t="s">
        <v>10</v>
      </c>
      <c r="D2131" s="2" t="s">
        <v>10</v>
      </c>
      <c r="E2131" s="3">
        <f t="shared" si="33"/>
        <v>27</v>
      </c>
    </row>
    <row r="2132" spans="1:5" x14ac:dyDescent="0.2">
      <c r="A2132">
        <v>8</v>
      </c>
      <c r="B2132" s="2" t="s">
        <v>10</v>
      </c>
      <c r="C2132" s="2" t="s">
        <v>10</v>
      </c>
      <c r="D2132" s="2" t="s">
        <v>10</v>
      </c>
      <c r="E2132" s="3">
        <f t="shared" si="33"/>
        <v>27</v>
      </c>
    </row>
    <row r="2133" spans="1:5" x14ac:dyDescent="0.2">
      <c r="A2133" s="1" t="s">
        <v>17</v>
      </c>
      <c r="E2133" s="3">
        <f t="shared" si="33"/>
        <v>27</v>
      </c>
    </row>
    <row r="2134" spans="1:5" x14ac:dyDescent="0.2">
      <c r="A2134" s="1" t="s">
        <v>1</v>
      </c>
      <c r="B2134" s="1" t="s">
        <v>2</v>
      </c>
      <c r="C2134" s="1" t="s">
        <v>3</v>
      </c>
      <c r="D2134" s="1" t="s">
        <v>4</v>
      </c>
      <c r="E2134" s="3">
        <f t="shared" si="33"/>
        <v>27</v>
      </c>
    </row>
    <row r="2135" spans="1:5" x14ac:dyDescent="0.2">
      <c r="A2135">
        <v>0</v>
      </c>
      <c r="C2135">
        <v>0</v>
      </c>
      <c r="D2135">
        <v>0</v>
      </c>
      <c r="E2135" s="3">
        <f t="shared" si="33"/>
        <v>27</v>
      </c>
    </row>
    <row r="2136" spans="1:5" x14ac:dyDescent="0.2">
      <c r="A2136">
        <v>0</v>
      </c>
      <c r="C2136">
        <v>0</v>
      </c>
      <c r="D2136">
        <v>0</v>
      </c>
      <c r="E2136" s="3">
        <f t="shared" si="33"/>
        <v>27</v>
      </c>
    </row>
    <row r="2137" spans="1:5" x14ac:dyDescent="0.2">
      <c r="A2137">
        <v>0</v>
      </c>
      <c r="C2137">
        <v>0</v>
      </c>
      <c r="D2137">
        <v>0</v>
      </c>
      <c r="E2137" s="3">
        <f t="shared" si="33"/>
        <v>27</v>
      </c>
    </row>
    <row r="2138" spans="1:5" x14ac:dyDescent="0.2">
      <c r="A2138">
        <v>1</v>
      </c>
      <c r="B2138" t="s">
        <v>87</v>
      </c>
      <c r="C2138">
        <v>4</v>
      </c>
      <c r="D2138">
        <v>15</v>
      </c>
      <c r="E2138" s="3">
        <f t="shared" si="33"/>
        <v>27</v>
      </c>
    </row>
    <row r="2139" spans="1:5" x14ac:dyDescent="0.2">
      <c r="A2139">
        <v>2</v>
      </c>
      <c r="B2139" t="s">
        <v>558</v>
      </c>
      <c r="C2139">
        <v>0</v>
      </c>
      <c r="D2139">
        <v>11</v>
      </c>
      <c r="E2139" s="3">
        <f t="shared" si="33"/>
        <v>27</v>
      </c>
    </row>
    <row r="2140" spans="1:5" x14ac:dyDescent="0.2">
      <c r="A2140">
        <v>3</v>
      </c>
      <c r="B2140" t="s">
        <v>521</v>
      </c>
      <c r="C2140">
        <v>0</v>
      </c>
      <c r="D2140">
        <v>7</v>
      </c>
      <c r="E2140" s="3">
        <f t="shared" si="33"/>
        <v>27</v>
      </c>
    </row>
    <row r="2141" spans="1:5" x14ac:dyDescent="0.2">
      <c r="A2141">
        <v>4</v>
      </c>
      <c r="B2141" t="s">
        <v>535</v>
      </c>
      <c r="C2141">
        <v>0</v>
      </c>
      <c r="D2141">
        <v>3</v>
      </c>
      <c r="E2141" s="3">
        <f t="shared" si="33"/>
        <v>27</v>
      </c>
    </row>
    <row r="2142" spans="1:5" x14ac:dyDescent="0.2">
      <c r="A2142">
        <v>5</v>
      </c>
      <c r="B2142" t="s">
        <v>485</v>
      </c>
      <c r="C2142">
        <v>0</v>
      </c>
      <c r="D2142">
        <v>1</v>
      </c>
      <c r="E2142" s="3">
        <f t="shared" si="33"/>
        <v>27</v>
      </c>
    </row>
    <row r="2143" spans="1:5" x14ac:dyDescent="0.2">
      <c r="A2143">
        <v>9</v>
      </c>
      <c r="B2143" s="2" t="s">
        <v>10</v>
      </c>
      <c r="C2143" s="2" t="s">
        <v>10</v>
      </c>
      <c r="D2143" s="2" t="s">
        <v>10</v>
      </c>
      <c r="E2143" s="3">
        <f t="shared" si="33"/>
        <v>27</v>
      </c>
    </row>
    <row r="2144" spans="1:5" x14ac:dyDescent="0.2">
      <c r="A2144">
        <v>10</v>
      </c>
      <c r="B2144" s="2" t="s">
        <v>10</v>
      </c>
      <c r="C2144" s="2" t="s">
        <v>10</v>
      </c>
      <c r="D2144" s="2" t="s">
        <v>10</v>
      </c>
      <c r="E2144" s="3">
        <f t="shared" si="33"/>
        <v>27</v>
      </c>
    </row>
    <row r="2145" spans="1:5" x14ac:dyDescent="0.2">
      <c r="A2145">
        <v>11</v>
      </c>
      <c r="B2145" s="2" t="s">
        <v>10</v>
      </c>
      <c r="C2145" s="2" t="s">
        <v>10</v>
      </c>
      <c r="D2145" s="2" t="s">
        <v>10</v>
      </c>
      <c r="E2145" s="3">
        <f t="shared" si="33"/>
        <v>27</v>
      </c>
    </row>
    <row r="2146" spans="1:5" x14ac:dyDescent="0.2">
      <c r="A2146" s="1" t="s">
        <v>24</v>
      </c>
      <c r="E2146" s="3">
        <f t="shared" si="33"/>
        <v>27</v>
      </c>
    </row>
    <row r="2147" spans="1:5" x14ac:dyDescent="0.2">
      <c r="A2147" s="1" t="s">
        <v>1</v>
      </c>
      <c r="B2147" s="1" t="s">
        <v>2</v>
      </c>
      <c r="C2147" s="1" t="s">
        <v>3</v>
      </c>
      <c r="D2147" s="1" t="s">
        <v>4</v>
      </c>
      <c r="E2147" s="3">
        <f t="shared" si="33"/>
        <v>27</v>
      </c>
    </row>
    <row r="2148" spans="1:5" x14ac:dyDescent="0.2">
      <c r="A2148">
        <v>1</v>
      </c>
      <c r="B2148" t="s">
        <v>515</v>
      </c>
      <c r="C2148">
        <v>1</v>
      </c>
      <c r="D2148">
        <v>16</v>
      </c>
      <c r="E2148" s="3">
        <f t="shared" si="33"/>
        <v>27</v>
      </c>
    </row>
    <row r="2149" spans="1:5" x14ac:dyDescent="0.2">
      <c r="A2149">
        <v>2</v>
      </c>
      <c r="B2149" t="s">
        <v>526</v>
      </c>
      <c r="C2149">
        <v>3</v>
      </c>
      <c r="D2149">
        <v>12</v>
      </c>
      <c r="E2149" s="3">
        <f t="shared" si="33"/>
        <v>27</v>
      </c>
    </row>
    <row r="2150" spans="1:5" x14ac:dyDescent="0.2">
      <c r="A2150">
        <v>3</v>
      </c>
      <c r="B2150" t="s">
        <v>6</v>
      </c>
      <c r="C2150">
        <v>0</v>
      </c>
      <c r="D2150">
        <v>8</v>
      </c>
      <c r="E2150" s="3">
        <f t="shared" si="33"/>
        <v>27</v>
      </c>
    </row>
    <row r="2151" spans="1:5" x14ac:dyDescent="0.2">
      <c r="A2151">
        <v>4</v>
      </c>
      <c r="B2151" t="s">
        <v>25</v>
      </c>
      <c r="C2151">
        <v>1</v>
      </c>
      <c r="D2151">
        <v>4</v>
      </c>
      <c r="E2151" s="3">
        <f t="shared" si="33"/>
        <v>27</v>
      </c>
    </row>
    <row r="2152" spans="1:5" x14ac:dyDescent="0.2">
      <c r="A2152">
        <v>5</v>
      </c>
      <c r="B2152" t="s">
        <v>65</v>
      </c>
      <c r="C2152">
        <v>0</v>
      </c>
      <c r="D2152">
        <v>2</v>
      </c>
      <c r="E2152" s="3">
        <f t="shared" si="33"/>
        <v>27</v>
      </c>
    </row>
    <row r="2153" spans="1:5" x14ac:dyDescent="0.2">
      <c r="A2153">
        <v>6</v>
      </c>
      <c r="B2153" t="s">
        <v>454</v>
      </c>
      <c r="C2153">
        <v>0</v>
      </c>
      <c r="D2153">
        <v>1</v>
      </c>
      <c r="E2153" s="3">
        <f t="shared" si="33"/>
        <v>27</v>
      </c>
    </row>
    <row r="2154" spans="1:5" x14ac:dyDescent="0.2">
      <c r="A2154">
        <v>7</v>
      </c>
      <c r="B2154" s="2" t="s">
        <v>10</v>
      </c>
      <c r="C2154" s="2" t="s">
        <v>10</v>
      </c>
      <c r="D2154" s="2" t="s">
        <v>10</v>
      </c>
      <c r="E2154" s="3">
        <f t="shared" si="33"/>
        <v>27</v>
      </c>
    </row>
    <row r="2155" spans="1:5" x14ac:dyDescent="0.2">
      <c r="A2155">
        <v>8</v>
      </c>
      <c r="B2155" s="2" t="s">
        <v>10</v>
      </c>
      <c r="C2155" s="2" t="s">
        <v>10</v>
      </c>
      <c r="D2155" s="2" t="s">
        <v>10</v>
      </c>
      <c r="E2155" s="3">
        <f t="shared" si="33"/>
        <v>27</v>
      </c>
    </row>
    <row r="2156" spans="1:5" x14ac:dyDescent="0.2">
      <c r="A2156" s="1" t="s">
        <v>30</v>
      </c>
      <c r="E2156" s="3">
        <f t="shared" si="33"/>
        <v>27</v>
      </c>
    </row>
    <row r="2157" spans="1:5" x14ac:dyDescent="0.2">
      <c r="A2157" s="1" t="s">
        <v>1</v>
      </c>
      <c r="B2157" s="1" t="s">
        <v>2</v>
      </c>
      <c r="C2157" s="1" t="s">
        <v>3</v>
      </c>
      <c r="D2157" s="1" t="s">
        <v>4</v>
      </c>
      <c r="E2157" s="3">
        <f t="shared" si="33"/>
        <v>27</v>
      </c>
    </row>
    <row r="2158" spans="1:5" x14ac:dyDescent="0.2">
      <c r="A2158">
        <v>1</v>
      </c>
      <c r="B2158" t="s">
        <v>506</v>
      </c>
      <c r="C2158">
        <v>3</v>
      </c>
      <c r="D2158">
        <v>16</v>
      </c>
      <c r="E2158" s="3">
        <f t="shared" si="33"/>
        <v>27</v>
      </c>
    </row>
    <row r="2159" spans="1:5" x14ac:dyDescent="0.2">
      <c r="A2159">
        <v>2</v>
      </c>
      <c r="B2159" t="s">
        <v>552</v>
      </c>
      <c r="C2159">
        <v>1</v>
      </c>
      <c r="D2159">
        <v>12</v>
      </c>
      <c r="E2159" s="3">
        <f t="shared" si="33"/>
        <v>27</v>
      </c>
    </row>
    <row r="2160" spans="1:5" x14ac:dyDescent="0.2">
      <c r="A2160">
        <v>3</v>
      </c>
      <c r="B2160" t="s">
        <v>504</v>
      </c>
      <c r="C2160">
        <v>0</v>
      </c>
      <c r="D2160">
        <v>8</v>
      </c>
      <c r="E2160" s="3">
        <f t="shared" si="33"/>
        <v>27</v>
      </c>
    </row>
    <row r="2161" spans="1:5" x14ac:dyDescent="0.2">
      <c r="A2161">
        <v>4</v>
      </c>
      <c r="B2161" t="s">
        <v>507</v>
      </c>
      <c r="C2161">
        <v>1</v>
      </c>
      <c r="D2161">
        <v>4</v>
      </c>
      <c r="E2161" s="3">
        <f t="shared" si="33"/>
        <v>27</v>
      </c>
    </row>
    <row r="2162" spans="1:5" x14ac:dyDescent="0.2">
      <c r="A2162">
        <v>5</v>
      </c>
      <c r="B2162" t="s">
        <v>533</v>
      </c>
      <c r="C2162">
        <v>0</v>
      </c>
      <c r="D2162">
        <v>2</v>
      </c>
      <c r="E2162" s="3">
        <f t="shared" si="33"/>
        <v>27</v>
      </c>
    </row>
    <row r="2163" spans="1:5" x14ac:dyDescent="0.2">
      <c r="A2163">
        <v>6</v>
      </c>
      <c r="B2163" t="s">
        <v>76</v>
      </c>
      <c r="C2163">
        <v>0</v>
      </c>
      <c r="D2163">
        <v>1</v>
      </c>
      <c r="E2163" s="3">
        <f t="shared" si="33"/>
        <v>27</v>
      </c>
    </row>
    <row r="2164" spans="1:5" x14ac:dyDescent="0.2">
      <c r="A2164">
        <v>7</v>
      </c>
      <c r="B2164" s="2" t="s">
        <v>10</v>
      </c>
      <c r="C2164" s="2" t="s">
        <v>10</v>
      </c>
      <c r="D2164" s="2" t="s">
        <v>10</v>
      </c>
      <c r="E2164" s="3">
        <f t="shared" si="33"/>
        <v>27</v>
      </c>
    </row>
    <row r="2165" spans="1:5" x14ac:dyDescent="0.2">
      <c r="A2165">
        <v>8</v>
      </c>
      <c r="B2165" s="2" t="s">
        <v>10</v>
      </c>
      <c r="C2165" s="2" t="s">
        <v>10</v>
      </c>
      <c r="D2165" s="2" t="s">
        <v>10</v>
      </c>
      <c r="E2165" s="3">
        <f t="shared" si="33"/>
        <v>27</v>
      </c>
    </row>
    <row r="2166" spans="1:5" x14ac:dyDescent="0.2">
      <c r="A2166" s="1" t="s">
        <v>37</v>
      </c>
      <c r="E2166" s="3">
        <f t="shared" si="33"/>
        <v>27</v>
      </c>
    </row>
    <row r="2167" spans="1:5" x14ac:dyDescent="0.2">
      <c r="A2167" s="1" t="s">
        <v>1</v>
      </c>
      <c r="B2167" s="1" t="s">
        <v>2</v>
      </c>
      <c r="C2167" s="1" t="s">
        <v>3</v>
      </c>
      <c r="D2167" s="1" t="s">
        <v>4</v>
      </c>
      <c r="E2167" s="3">
        <f t="shared" si="33"/>
        <v>27</v>
      </c>
    </row>
    <row r="2168" spans="1:5" x14ac:dyDescent="0.2">
      <c r="A2168">
        <v>1</v>
      </c>
      <c r="B2168" t="s">
        <v>48</v>
      </c>
      <c r="C2168">
        <v>3</v>
      </c>
      <c r="D2168">
        <v>16</v>
      </c>
      <c r="E2168" s="3">
        <f t="shared" si="33"/>
        <v>27</v>
      </c>
    </row>
    <row r="2169" spans="1:5" x14ac:dyDescent="0.2">
      <c r="A2169">
        <v>2</v>
      </c>
      <c r="B2169" t="s">
        <v>35</v>
      </c>
      <c r="C2169">
        <v>1</v>
      </c>
      <c r="D2169">
        <v>12</v>
      </c>
      <c r="E2169" s="3">
        <f t="shared" si="33"/>
        <v>27</v>
      </c>
    </row>
    <row r="2170" spans="1:5" x14ac:dyDescent="0.2">
      <c r="A2170">
        <v>3</v>
      </c>
      <c r="B2170" t="s">
        <v>46</v>
      </c>
      <c r="C2170">
        <v>0</v>
      </c>
      <c r="D2170">
        <v>8</v>
      </c>
      <c r="E2170" s="3">
        <f t="shared" si="33"/>
        <v>27</v>
      </c>
    </row>
    <row r="2171" spans="1:5" x14ac:dyDescent="0.2">
      <c r="A2171">
        <v>4</v>
      </c>
      <c r="B2171" t="s">
        <v>32</v>
      </c>
      <c r="C2171">
        <v>0</v>
      </c>
      <c r="D2171">
        <v>4</v>
      </c>
      <c r="E2171" s="3">
        <f t="shared" si="33"/>
        <v>27</v>
      </c>
    </row>
    <row r="2172" spans="1:5" x14ac:dyDescent="0.2">
      <c r="A2172">
        <v>5</v>
      </c>
      <c r="B2172" t="s">
        <v>42</v>
      </c>
      <c r="C2172">
        <v>1</v>
      </c>
      <c r="D2172">
        <v>2</v>
      </c>
      <c r="E2172" s="3">
        <f t="shared" si="33"/>
        <v>27</v>
      </c>
    </row>
    <row r="2173" spans="1:5" x14ac:dyDescent="0.2">
      <c r="A2173">
        <v>6</v>
      </c>
      <c r="B2173" t="s">
        <v>516</v>
      </c>
      <c r="C2173">
        <v>0</v>
      </c>
      <c r="D2173">
        <v>1</v>
      </c>
      <c r="E2173" s="3">
        <f t="shared" si="33"/>
        <v>27</v>
      </c>
    </row>
    <row r="2174" spans="1:5" x14ac:dyDescent="0.2">
      <c r="A2174">
        <v>7</v>
      </c>
      <c r="B2174" s="2" t="s">
        <v>10</v>
      </c>
      <c r="C2174" s="2" t="s">
        <v>10</v>
      </c>
      <c r="D2174" s="2" t="s">
        <v>10</v>
      </c>
      <c r="E2174" s="3">
        <f t="shared" si="33"/>
        <v>27</v>
      </c>
    </row>
    <row r="2175" spans="1:5" x14ac:dyDescent="0.2">
      <c r="A2175">
        <v>8</v>
      </c>
      <c r="B2175" s="2" t="s">
        <v>10</v>
      </c>
      <c r="C2175" s="2" t="s">
        <v>10</v>
      </c>
      <c r="D2175" s="2" t="s">
        <v>10</v>
      </c>
      <c r="E2175" s="3">
        <f t="shared" si="33"/>
        <v>27</v>
      </c>
    </row>
    <row r="2176" spans="1:5" x14ac:dyDescent="0.2">
      <c r="A2176" s="1" t="s">
        <v>44</v>
      </c>
      <c r="E2176" s="3">
        <f t="shared" si="33"/>
        <v>27</v>
      </c>
    </row>
    <row r="2177" spans="1:5" x14ac:dyDescent="0.2">
      <c r="A2177" s="1" t="s">
        <v>1</v>
      </c>
      <c r="B2177" s="1" t="s">
        <v>2</v>
      </c>
      <c r="C2177" s="1" t="s">
        <v>3</v>
      </c>
      <c r="D2177" s="1" t="s">
        <v>4</v>
      </c>
      <c r="E2177" s="3">
        <f t="shared" si="33"/>
        <v>27</v>
      </c>
    </row>
    <row r="2178" spans="1:5" x14ac:dyDescent="0.2">
      <c r="A2178">
        <v>1</v>
      </c>
      <c r="B2178" t="s">
        <v>505</v>
      </c>
      <c r="C2178">
        <v>2</v>
      </c>
      <c r="D2178">
        <v>16</v>
      </c>
      <c r="E2178" s="3">
        <f t="shared" si="33"/>
        <v>27</v>
      </c>
    </row>
    <row r="2179" spans="1:5" x14ac:dyDescent="0.2">
      <c r="A2179">
        <v>2</v>
      </c>
      <c r="B2179" t="s">
        <v>461</v>
      </c>
      <c r="C2179">
        <v>1</v>
      </c>
      <c r="D2179">
        <v>12</v>
      </c>
      <c r="E2179" s="3">
        <f t="shared" si="33"/>
        <v>27</v>
      </c>
    </row>
    <row r="2180" spans="1:5" x14ac:dyDescent="0.2">
      <c r="A2180">
        <v>3</v>
      </c>
      <c r="B2180" t="s">
        <v>493</v>
      </c>
      <c r="C2180">
        <v>1</v>
      </c>
      <c r="D2180">
        <v>8</v>
      </c>
      <c r="E2180" s="3">
        <f t="shared" ref="E2180:E2243" si="34">IF(A2180=$A$1,E2179+1,E2179)</f>
        <v>27</v>
      </c>
    </row>
    <row r="2181" spans="1:5" x14ac:dyDescent="0.2">
      <c r="A2181">
        <v>4</v>
      </c>
      <c r="B2181" t="s">
        <v>21</v>
      </c>
      <c r="C2181">
        <v>0</v>
      </c>
      <c r="D2181">
        <v>4</v>
      </c>
      <c r="E2181" s="3">
        <f t="shared" si="34"/>
        <v>27</v>
      </c>
    </row>
    <row r="2182" spans="1:5" x14ac:dyDescent="0.2">
      <c r="A2182">
        <v>5</v>
      </c>
      <c r="B2182" t="s">
        <v>75</v>
      </c>
      <c r="C2182">
        <v>1</v>
      </c>
      <c r="D2182">
        <v>2</v>
      </c>
      <c r="E2182" s="3">
        <f t="shared" si="34"/>
        <v>27</v>
      </c>
    </row>
    <row r="2183" spans="1:5" x14ac:dyDescent="0.2">
      <c r="A2183">
        <v>6</v>
      </c>
      <c r="B2183" t="s">
        <v>280</v>
      </c>
      <c r="C2183">
        <v>0</v>
      </c>
      <c r="D2183">
        <v>1</v>
      </c>
      <c r="E2183" s="3">
        <f t="shared" si="34"/>
        <v>27</v>
      </c>
    </row>
    <row r="2184" spans="1:5" x14ac:dyDescent="0.2">
      <c r="A2184">
        <v>7</v>
      </c>
      <c r="B2184" s="2" t="s">
        <v>10</v>
      </c>
      <c r="C2184" s="2" t="s">
        <v>10</v>
      </c>
      <c r="D2184" s="2" t="s">
        <v>10</v>
      </c>
      <c r="E2184" s="3">
        <f t="shared" si="34"/>
        <v>27</v>
      </c>
    </row>
    <row r="2185" spans="1:5" x14ac:dyDescent="0.2">
      <c r="A2185">
        <v>8</v>
      </c>
      <c r="B2185" s="2" t="s">
        <v>10</v>
      </c>
      <c r="C2185" s="2" t="s">
        <v>10</v>
      </c>
      <c r="D2185" s="2" t="s">
        <v>10</v>
      </c>
      <c r="E2185" s="3">
        <f t="shared" si="34"/>
        <v>27</v>
      </c>
    </row>
    <row r="2186" spans="1:5" x14ac:dyDescent="0.2">
      <c r="A2186" s="1" t="s">
        <v>51</v>
      </c>
      <c r="E2186" s="3">
        <f t="shared" si="34"/>
        <v>27</v>
      </c>
    </row>
    <row r="2187" spans="1:5" x14ac:dyDescent="0.2">
      <c r="A2187" s="1" t="s">
        <v>1</v>
      </c>
      <c r="B2187" s="1" t="s">
        <v>2</v>
      </c>
      <c r="C2187" s="1" t="s">
        <v>3</v>
      </c>
      <c r="D2187" s="1" t="s">
        <v>4</v>
      </c>
      <c r="E2187" s="3">
        <f t="shared" si="34"/>
        <v>27</v>
      </c>
    </row>
    <row r="2188" spans="1:5" x14ac:dyDescent="0.2">
      <c r="A2188">
        <v>1</v>
      </c>
      <c r="B2188" t="s">
        <v>55</v>
      </c>
      <c r="C2188">
        <v>2</v>
      </c>
      <c r="D2188">
        <v>16</v>
      </c>
      <c r="E2188" s="3">
        <f t="shared" si="34"/>
        <v>27</v>
      </c>
    </row>
    <row r="2189" spans="1:5" x14ac:dyDescent="0.2">
      <c r="A2189">
        <v>2</v>
      </c>
      <c r="B2189" t="s">
        <v>14</v>
      </c>
      <c r="C2189">
        <v>2</v>
      </c>
      <c r="D2189">
        <v>12</v>
      </c>
      <c r="E2189" s="3">
        <f t="shared" si="34"/>
        <v>27</v>
      </c>
    </row>
    <row r="2190" spans="1:5" x14ac:dyDescent="0.2">
      <c r="A2190">
        <v>3</v>
      </c>
      <c r="B2190" t="s">
        <v>19</v>
      </c>
      <c r="C2190">
        <v>0</v>
      </c>
      <c r="D2190">
        <v>8</v>
      </c>
      <c r="E2190" s="3">
        <f t="shared" si="34"/>
        <v>27</v>
      </c>
    </row>
    <row r="2191" spans="1:5" x14ac:dyDescent="0.2">
      <c r="A2191">
        <v>4</v>
      </c>
      <c r="B2191" t="s">
        <v>501</v>
      </c>
      <c r="C2191">
        <v>1</v>
      </c>
      <c r="D2191">
        <v>4</v>
      </c>
      <c r="E2191" s="3">
        <f t="shared" si="34"/>
        <v>27</v>
      </c>
    </row>
    <row r="2192" spans="1:5" x14ac:dyDescent="0.2">
      <c r="A2192">
        <v>5</v>
      </c>
      <c r="B2192" t="s">
        <v>40</v>
      </c>
      <c r="C2192">
        <v>0</v>
      </c>
      <c r="D2192">
        <v>2</v>
      </c>
      <c r="E2192" s="3">
        <f t="shared" si="34"/>
        <v>27</v>
      </c>
    </row>
    <row r="2193" spans="1:5" x14ac:dyDescent="0.2">
      <c r="A2193">
        <v>6</v>
      </c>
      <c r="B2193" t="s">
        <v>518</v>
      </c>
      <c r="C2193">
        <v>0</v>
      </c>
      <c r="D2193">
        <v>1</v>
      </c>
      <c r="E2193" s="3">
        <f t="shared" si="34"/>
        <v>27</v>
      </c>
    </row>
    <row r="2194" spans="1:5" x14ac:dyDescent="0.2">
      <c r="A2194">
        <v>7</v>
      </c>
      <c r="B2194" s="2" t="s">
        <v>10</v>
      </c>
      <c r="C2194" s="2" t="s">
        <v>10</v>
      </c>
      <c r="D2194" s="2" t="s">
        <v>10</v>
      </c>
      <c r="E2194" s="3">
        <f t="shared" si="34"/>
        <v>27</v>
      </c>
    </row>
    <row r="2195" spans="1:5" x14ac:dyDescent="0.2">
      <c r="A2195">
        <v>8</v>
      </c>
      <c r="B2195" s="2" t="s">
        <v>10</v>
      </c>
      <c r="C2195" s="2" t="s">
        <v>10</v>
      </c>
      <c r="D2195" s="2" t="s">
        <v>10</v>
      </c>
      <c r="E2195" s="3">
        <f t="shared" si="34"/>
        <v>27</v>
      </c>
    </row>
    <row r="2196" spans="1:5" x14ac:dyDescent="0.2">
      <c r="A2196" s="1" t="s">
        <v>537</v>
      </c>
      <c r="E2196" s="3">
        <f t="shared" si="34"/>
        <v>28</v>
      </c>
    </row>
    <row r="2197" spans="1:5" x14ac:dyDescent="0.2">
      <c r="A2197" s="1" t="s">
        <v>1</v>
      </c>
      <c r="B2197" s="1" t="s">
        <v>2</v>
      </c>
      <c r="C2197" s="1" t="s">
        <v>3</v>
      </c>
      <c r="D2197" s="1" t="s">
        <v>4</v>
      </c>
      <c r="E2197" s="3">
        <f t="shared" si="34"/>
        <v>28</v>
      </c>
    </row>
    <row r="2198" spans="1:5" x14ac:dyDescent="0.2">
      <c r="A2198">
        <v>1</v>
      </c>
      <c r="B2198" t="s">
        <v>516</v>
      </c>
      <c r="C2198">
        <v>5</v>
      </c>
      <c r="D2198">
        <v>16</v>
      </c>
      <c r="E2198" s="3">
        <f t="shared" si="34"/>
        <v>28</v>
      </c>
    </row>
    <row r="2199" spans="1:5" x14ac:dyDescent="0.2">
      <c r="A2199">
        <v>2</v>
      </c>
      <c r="B2199" t="s">
        <v>552</v>
      </c>
      <c r="C2199">
        <v>0</v>
      </c>
      <c r="D2199">
        <v>12</v>
      </c>
      <c r="E2199" s="3">
        <f t="shared" si="34"/>
        <v>28</v>
      </c>
    </row>
    <row r="2200" spans="1:5" x14ac:dyDescent="0.2">
      <c r="A2200">
        <v>3</v>
      </c>
      <c r="B2200" t="s">
        <v>559</v>
      </c>
      <c r="C2200">
        <v>0</v>
      </c>
      <c r="D2200">
        <v>8</v>
      </c>
      <c r="E2200" s="3">
        <f t="shared" si="34"/>
        <v>28</v>
      </c>
    </row>
    <row r="2201" spans="1:5" x14ac:dyDescent="0.2">
      <c r="A2201">
        <v>4</v>
      </c>
      <c r="B2201" t="s">
        <v>46</v>
      </c>
      <c r="C2201">
        <v>0</v>
      </c>
      <c r="D2201">
        <v>4</v>
      </c>
      <c r="E2201" s="3">
        <f t="shared" si="34"/>
        <v>28</v>
      </c>
    </row>
    <row r="2202" spans="1:5" x14ac:dyDescent="0.2">
      <c r="A2202">
        <v>5</v>
      </c>
      <c r="B2202" t="s">
        <v>40</v>
      </c>
      <c r="C2202">
        <v>0</v>
      </c>
      <c r="D2202">
        <v>2</v>
      </c>
      <c r="E2202" s="3">
        <f t="shared" si="34"/>
        <v>28</v>
      </c>
    </row>
    <row r="2203" spans="1:5" x14ac:dyDescent="0.2">
      <c r="A2203">
        <v>6</v>
      </c>
      <c r="B2203" t="s">
        <v>87</v>
      </c>
      <c r="C2203">
        <v>0</v>
      </c>
      <c r="D2203">
        <v>1</v>
      </c>
      <c r="E2203" s="3">
        <f t="shared" si="34"/>
        <v>28</v>
      </c>
    </row>
    <row r="2204" spans="1:5" x14ac:dyDescent="0.2">
      <c r="A2204">
        <v>7</v>
      </c>
      <c r="B2204" s="2" t="s">
        <v>10</v>
      </c>
      <c r="C2204" s="2" t="s">
        <v>10</v>
      </c>
      <c r="D2204" s="2" t="s">
        <v>10</v>
      </c>
      <c r="E2204" s="3">
        <f t="shared" si="34"/>
        <v>28</v>
      </c>
    </row>
    <row r="2205" spans="1:5" x14ac:dyDescent="0.2">
      <c r="A2205">
        <v>8</v>
      </c>
      <c r="B2205" s="2" t="s">
        <v>10</v>
      </c>
      <c r="C2205" s="2" t="s">
        <v>10</v>
      </c>
      <c r="D2205" s="2" t="s">
        <v>10</v>
      </c>
      <c r="E2205" s="3">
        <f t="shared" si="34"/>
        <v>28</v>
      </c>
    </row>
    <row r="2206" spans="1:5" x14ac:dyDescent="0.2">
      <c r="A2206" s="1" t="s">
        <v>538</v>
      </c>
      <c r="E2206" s="3">
        <f t="shared" si="34"/>
        <v>28</v>
      </c>
    </row>
    <row r="2207" spans="1:5" x14ac:dyDescent="0.2">
      <c r="A2207" s="1" t="s">
        <v>1</v>
      </c>
      <c r="B2207" s="1" t="s">
        <v>2</v>
      </c>
      <c r="C2207" s="1" t="s">
        <v>3</v>
      </c>
      <c r="D2207" s="1" t="s">
        <v>4</v>
      </c>
      <c r="E2207" s="3">
        <f t="shared" si="34"/>
        <v>28</v>
      </c>
    </row>
    <row r="2208" spans="1:5" x14ac:dyDescent="0.2">
      <c r="A2208">
        <v>0</v>
      </c>
      <c r="C2208">
        <v>0</v>
      </c>
      <c r="D2208">
        <v>0</v>
      </c>
      <c r="E2208" s="3">
        <f t="shared" si="34"/>
        <v>28</v>
      </c>
    </row>
    <row r="2209" spans="1:5" x14ac:dyDescent="0.2">
      <c r="A2209">
        <v>0</v>
      </c>
      <c r="C2209">
        <v>0</v>
      </c>
      <c r="D2209">
        <v>0</v>
      </c>
      <c r="E2209" s="3">
        <f t="shared" si="34"/>
        <v>28</v>
      </c>
    </row>
    <row r="2210" spans="1:5" x14ac:dyDescent="0.2">
      <c r="A2210">
        <v>1</v>
      </c>
      <c r="B2210" t="s">
        <v>557</v>
      </c>
      <c r="C2210">
        <v>2</v>
      </c>
      <c r="D2210">
        <v>16</v>
      </c>
      <c r="E2210" s="3">
        <f t="shared" si="34"/>
        <v>28</v>
      </c>
    </row>
    <row r="2211" spans="1:5" x14ac:dyDescent="0.2">
      <c r="A2211">
        <v>2</v>
      </c>
      <c r="B2211" t="s">
        <v>534</v>
      </c>
      <c r="C2211">
        <v>2</v>
      </c>
      <c r="D2211">
        <v>12</v>
      </c>
      <c r="E2211" s="3">
        <f t="shared" si="34"/>
        <v>28</v>
      </c>
    </row>
    <row r="2212" spans="1:5" x14ac:dyDescent="0.2">
      <c r="A2212">
        <v>3</v>
      </c>
      <c r="B2212" t="s">
        <v>532</v>
      </c>
      <c r="C2212">
        <v>0</v>
      </c>
      <c r="D2212">
        <v>8</v>
      </c>
      <c r="E2212" s="3">
        <f t="shared" si="34"/>
        <v>28</v>
      </c>
    </row>
    <row r="2213" spans="1:5" x14ac:dyDescent="0.2">
      <c r="A2213">
        <v>4</v>
      </c>
      <c r="B2213" t="s">
        <v>558</v>
      </c>
      <c r="C2213">
        <v>1</v>
      </c>
      <c r="D2213">
        <v>4</v>
      </c>
      <c r="E2213" s="3">
        <f t="shared" si="34"/>
        <v>28</v>
      </c>
    </row>
    <row r="2214" spans="1:5" x14ac:dyDescent="0.2">
      <c r="A2214">
        <v>5</v>
      </c>
      <c r="B2214" t="s">
        <v>55</v>
      </c>
      <c r="C2214">
        <v>0</v>
      </c>
      <c r="D2214">
        <v>2</v>
      </c>
      <c r="E2214" s="3">
        <f t="shared" si="34"/>
        <v>28</v>
      </c>
    </row>
    <row r="2215" spans="1:5" x14ac:dyDescent="0.2">
      <c r="A2215">
        <v>6</v>
      </c>
      <c r="B2215" t="s">
        <v>65</v>
      </c>
      <c r="C2215">
        <v>0</v>
      </c>
      <c r="D2215">
        <v>1</v>
      </c>
      <c r="E2215" s="3">
        <f t="shared" si="34"/>
        <v>28</v>
      </c>
    </row>
    <row r="2216" spans="1:5" x14ac:dyDescent="0.2">
      <c r="A2216">
        <v>9</v>
      </c>
      <c r="B2216" s="2" t="s">
        <v>10</v>
      </c>
      <c r="C2216" s="2" t="s">
        <v>10</v>
      </c>
      <c r="D2216" s="2" t="s">
        <v>10</v>
      </c>
      <c r="E2216" s="3">
        <f t="shared" si="34"/>
        <v>28</v>
      </c>
    </row>
    <row r="2217" spans="1:5" x14ac:dyDescent="0.2">
      <c r="A2217">
        <v>10</v>
      </c>
      <c r="B2217" s="2" t="s">
        <v>10</v>
      </c>
      <c r="C2217" s="2" t="s">
        <v>10</v>
      </c>
      <c r="D2217" s="2" t="s">
        <v>10</v>
      </c>
      <c r="E2217" s="3">
        <f t="shared" si="34"/>
        <v>28</v>
      </c>
    </row>
    <row r="2218" spans="1:5" x14ac:dyDescent="0.2">
      <c r="A2218" s="1" t="s">
        <v>539</v>
      </c>
      <c r="E2218" s="3">
        <f t="shared" si="34"/>
        <v>28</v>
      </c>
    </row>
    <row r="2219" spans="1:5" x14ac:dyDescent="0.2">
      <c r="A2219" s="1" t="s">
        <v>1</v>
      </c>
      <c r="B2219" s="1" t="s">
        <v>2</v>
      </c>
      <c r="C2219" s="1" t="s">
        <v>3</v>
      </c>
      <c r="D2219" s="1" t="s">
        <v>4</v>
      </c>
      <c r="E2219" s="3">
        <f t="shared" si="34"/>
        <v>28</v>
      </c>
    </row>
    <row r="2220" spans="1:5" x14ac:dyDescent="0.2">
      <c r="A2220">
        <v>1</v>
      </c>
      <c r="B2220" t="s">
        <v>485</v>
      </c>
      <c r="C2220">
        <v>2</v>
      </c>
      <c r="D2220">
        <v>16</v>
      </c>
      <c r="E2220" s="3">
        <f t="shared" si="34"/>
        <v>28</v>
      </c>
    </row>
    <row r="2221" spans="1:5" x14ac:dyDescent="0.2">
      <c r="A2221">
        <v>2</v>
      </c>
      <c r="B2221" t="s">
        <v>14</v>
      </c>
      <c r="C2221">
        <v>3</v>
      </c>
      <c r="D2221">
        <v>12</v>
      </c>
      <c r="E2221" s="3">
        <f t="shared" si="34"/>
        <v>28</v>
      </c>
    </row>
    <row r="2222" spans="1:5" x14ac:dyDescent="0.2">
      <c r="A2222">
        <v>3</v>
      </c>
      <c r="B2222" t="s">
        <v>9</v>
      </c>
      <c r="C2222">
        <v>0</v>
      </c>
      <c r="D2222">
        <v>8</v>
      </c>
      <c r="E2222" s="3">
        <f t="shared" si="34"/>
        <v>28</v>
      </c>
    </row>
    <row r="2223" spans="1:5" x14ac:dyDescent="0.2">
      <c r="A2223">
        <v>4</v>
      </c>
      <c r="B2223" t="s">
        <v>479</v>
      </c>
      <c r="C2223">
        <v>0</v>
      </c>
      <c r="D2223">
        <v>4</v>
      </c>
      <c r="E2223" s="3">
        <f t="shared" si="34"/>
        <v>28</v>
      </c>
    </row>
    <row r="2224" spans="1:5" x14ac:dyDescent="0.2">
      <c r="A2224">
        <v>5</v>
      </c>
      <c r="B2224" t="s">
        <v>345</v>
      </c>
      <c r="C2224">
        <v>0</v>
      </c>
      <c r="D2224">
        <v>2</v>
      </c>
      <c r="E2224" s="3">
        <f t="shared" si="34"/>
        <v>28</v>
      </c>
    </row>
    <row r="2225" spans="1:5" x14ac:dyDescent="0.2">
      <c r="A2225">
        <v>6</v>
      </c>
      <c r="B2225" t="s">
        <v>76</v>
      </c>
      <c r="C2225">
        <v>0</v>
      </c>
      <c r="D2225">
        <v>1</v>
      </c>
      <c r="E2225" s="3">
        <f t="shared" si="34"/>
        <v>28</v>
      </c>
    </row>
    <row r="2226" spans="1:5" x14ac:dyDescent="0.2">
      <c r="A2226">
        <v>7</v>
      </c>
      <c r="B2226" s="2" t="s">
        <v>10</v>
      </c>
      <c r="C2226" s="2" t="s">
        <v>10</v>
      </c>
      <c r="D2226" s="2" t="s">
        <v>10</v>
      </c>
      <c r="E2226" s="3">
        <f t="shared" si="34"/>
        <v>28</v>
      </c>
    </row>
    <row r="2227" spans="1:5" x14ac:dyDescent="0.2">
      <c r="A2227">
        <v>8</v>
      </c>
      <c r="B2227" s="2" t="s">
        <v>10</v>
      </c>
      <c r="C2227" s="2" t="s">
        <v>10</v>
      </c>
      <c r="D2227" s="2" t="s">
        <v>10</v>
      </c>
      <c r="E2227" s="3">
        <f t="shared" si="34"/>
        <v>28</v>
      </c>
    </row>
    <row r="2228" spans="1:5" x14ac:dyDescent="0.2">
      <c r="A2228" s="1" t="s">
        <v>540</v>
      </c>
      <c r="E2228" s="3">
        <f t="shared" si="34"/>
        <v>28</v>
      </c>
    </row>
    <row r="2229" spans="1:5" x14ac:dyDescent="0.2">
      <c r="A2229" s="1" t="s">
        <v>1</v>
      </c>
      <c r="B2229" s="1" t="s">
        <v>2</v>
      </c>
      <c r="C2229" s="1" t="s">
        <v>3</v>
      </c>
      <c r="D2229" s="1" t="s">
        <v>4</v>
      </c>
      <c r="E2229" s="3">
        <f t="shared" si="34"/>
        <v>28</v>
      </c>
    </row>
    <row r="2230" spans="1:5" x14ac:dyDescent="0.2">
      <c r="A2230">
        <v>1</v>
      </c>
      <c r="B2230" t="s">
        <v>19</v>
      </c>
      <c r="C2230">
        <v>2</v>
      </c>
      <c r="D2230">
        <v>17</v>
      </c>
      <c r="E2230" s="3">
        <f t="shared" si="34"/>
        <v>28</v>
      </c>
    </row>
    <row r="2231" spans="1:5" x14ac:dyDescent="0.2">
      <c r="A2231">
        <v>2</v>
      </c>
      <c r="B2231" t="s">
        <v>66</v>
      </c>
      <c r="C2231">
        <v>2</v>
      </c>
      <c r="D2231">
        <v>13</v>
      </c>
      <c r="E2231" s="3">
        <f t="shared" si="34"/>
        <v>28</v>
      </c>
    </row>
    <row r="2232" spans="1:5" x14ac:dyDescent="0.2">
      <c r="A2232">
        <v>3</v>
      </c>
      <c r="B2232" t="s">
        <v>510</v>
      </c>
      <c r="C2232">
        <v>0</v>
      </c>
      <c r="D2232">
        <v>9</v>
      </c>
      <c r="E2232" s="3">
        <f t="shared" si="34"/>
        <v>28</v>
      </c>
    </row>
    <row r="2233" spans="1:5" x14ac:dyDescent="0.2">
      <c r="A2233">
        <v>4</v>
      </c>
      <c r="B2233" t="s">
        <v>74</v>
      </c>
      <c r="C2233">
        <v>0</v>
      </c>
      <c r="D2233">
        <v>5</v>
      </c>
      <c r="E2233" s="3">
        <f t="shared" si="34"/>
        <v>28</v>
      </c>
    </row>
    <row r="2234" spans="1:5" x14ac:dyDescent="0.2">
      <c r="A2234">
        <v>5</v>
      </c>
      <c r="B2234" t="s">
        <v>535</v>
      </c>
      <c r="C2234">
        <v>2</v>
      </c>
      <c r="D2234">
        <v>3</v>
      </c>
      <c r="E2234" s="3">
        <f t="shared" si="34"/>
        <v>28</v>
      </c>
    </row>
    <row r="2235" spans="1:5" x14ac:dyDescent="0.2">
      <c r="A2235">
        <v>6</v>
      </c>
      <c r="B2235" t="s">
        <v>490</v>
      </c>
      <c r="C2235">
        <v>0</v>
      </c>
      <c r="D2235">
        <v>2</v>
      </c>
      <c r="E2235" s="3">
        <f t="shared" si="34"/>
        <v>28</v>
      </c>
    </row>
    <row r="2236" spans="1:5" x14ac:dyDescent="0.2">
      <c r="A2236">
        <v>7</v>
      </c>
      <c r="B2236" t="s">
        <v>25</v>
      </c>
      <c r="C2236">
        <v>0</v>
      </c>
      <c r="D2236">
        <v>1</v>
      </c>
      <c r="E2236" s="3">
        <f t="shared" si="34"/>
        <v>28</v>
      </c>
    </row>
    <row r="2237" spans="1:5" x14ac:dyDescent="0.2">
      <c r="A2237">
        <v>8</v>
      </c>
      <c r="B2237" s="2" t="s">
        <v>10</v>
      </c>
      <c r="C2237" s="2" t="s">
        <v>10</v>
      </c>
      <c r="D2237" s="2" t="s">
        <v>10</v>
      </c>
      <c r="E2237" s="3">
        <f t="shared" si="34"/>
        <v>28</v>
      </c>
    </row>
    <row r="2238" spans="1:5" x14ac:dyDescent="0.2">
      <c r="A2238" s="1" t="s">
        <v>541</v>
      </c>
      <c r="E2238" s="3">
        <f t="shared" si="34"/>
        <v>28</v>
      </c>
    </row>
    <row r="2239" spans="1:5" x14ac:dyDescent="0.2">
      <c r="A2239" s="1" t="s">
        <v>1</v>
      </c>
      <c r="B2239" s="1" t="s">
        <v>2</v>
      </c>
      <c r="C2239" s="1" t="s">
        <v>3</v>
      </c>
      <c r="D2239" s="1" t="s">
        <v>4</v>
      </c>
      <c r="E2239" s="3">
        <f t="shared" si="34"/>
        <v>28</v>
      </c>
    </row>
    <row r="2240" spans="1:5" x14ac:dyDescent="0.2">
      <c r="A2240">
        <v>1</v>
      </c>
      <c r="B2240" t="s">
        <v>461</v>
      </c>
      <c r="C2240">
        <v>2</v>
      </c>
      <c r="D2240">
        <v>16</v>
      </c>
      <c r="E2240" s="3">
        <f t="shared" si="34"/>
        <v>28</v>
      </c>
    </row>
    <row r="2241" spans="1:5" x14ac:dyDescent="0.2">
      <c r="A2241">
        <v>2</v>
      </c>
      <c r="B2241" t="s">
        <v>509</v>
      </c>
      <c r="C2241">
        <v>2</v>
      </c>
      <c r="D2241">
        <v>12</v>
      </c>
      <c r="E2241" s="3">
        <f t="shared" si="34"/>
        <v>28</v>
      </c>
    </row>
    <row r="2242" spans="1:5" x14ac:dyDescent="0.2">
      <c r="A2242">
        <v>3</v>
      </c>
      <c r="B2242" t="s">
        <v>502</v>
      </c>
      <c r="C2242">
        <v>1</v>
      </c>
      <c r="D2242">
        <v>8</v>
      </c>
      <c r="E2242" s="3">
        <f t="shared" si="34"/>
        <v>28</v>
      </c>
    </row>
    <row r="2243" spans="1:5" x14ac:dyDescent="0.2">
      <c r="A2243">
        <v>4</v>
      </c>
      <c r="B2243" t="s">
        <v>475</v>
      </c>
      <c r="C2243">
        <v>0</v>
      </c>
      <c r="D2243">
        <v>4</v>
      </c>
      <c r="E2243" s="3">
        <f t="shared" si="34"/>
        <v>28</v>
      </c>
    </row>
    <row r="2244" spans="1:5" x14ac:dyDescent="0.2">
      <c r="A2244">
        <v>5</v>
      </c>
      <c r="B2244" t="s">
        <v>69</v>
      </c>
      <c r="C2244">
        <v>0</v>
      </c>
      <c r="D2244">
        <v>2</v>
      </c>
      <c r="E2244" s="3">
        <f t="shared" ref="E2244:E2307" si="35">IF(A2244=$A$1,E2243+1,E2243)</f>
        <v>28</v>
      </c>
    </row>
    <row r="2245" spans="1:5" x14ac:dyDescent="0.2">
      <c r="A2245">
        <v>6</v>
      </c>
      <c r="B2245" t="s">
        <v>21</v>
      </c>
      <c r="C2245">
        <v>0</v>
      </c>
      <c r="D2245">
        <v>1</v>
      </c>
      <c r="E2245" s="3">
        <f t="shared" si="35"/>
        <v>28</v>
      </c>
    </row>
    <row r="2246" spans="1:5" x14ac:dyDescent="0.2">
      <c r="A2246">
        <v>7</v>
      </c>
      <c r="B2246" s="2" t="s">
        <v>10</v>
      </c>
      <c r="C2246" s="2" t="s">
        <v>10</v>
      </c>
      <c r="D2246" s="2" t="s">
        <v>10</v>
      </c>
      <c r="E2246" s="3">
        <f t="shared" si="35"/>
        <v>28</v>
      </c>
    </row>
    <row r="2247" spans="1:5" x14ac:dyDescent="0.2">
      <c r="A2247">
        <v>8</v>
      </c>
      <c r="B2247" s="2" t="s">
        <v>10</v>
      </c>
      <c r="C2247" s="2" t="s">
        <v>10</v>
      </c>
      <c r="D2247" s="2" t="s">
        <v>10</v>
      </c>
      <c r="E2247" s="3">
        <f t="shared" si="35"/>
        <v>28</v>
      </c>
    </row>
    <row r="2248" spans="1:5" x14ac:dyDescent="0.2">
      <c r="A2248" s="1" t="s">
        <v>542</v>
      </c>
      <c r="E2248" s="3">
        <f t="shared" si="35"/>
        <v>28</v>
      </c>
    </row>
    <row r="2249" spans="1:5" x14ac:dyDescent="0.2">
      <c r="A2249" s="1" t="s">
        <v>1</v>
      </c>
      <c r="B2249" s="1" t="s">
        <v>2</v>
      </c>
      <c r="C2249" s="1" t="s">
        <v>3</v>
      </c>
      <c r="D2249" s="1" t="s">
        <v>4</v>
      </c>
      <c r="E2249" s="3">
        <f t="shared" si="35"/>
        <v>28</v>
      </c>
    </row>
    <row r="2250" spans="1:5" x14ac:dyDescent="0.2">
      <c r="A2250">
        <v>1</v>
      </c>
      <c r="B2250" t="s">
        <v>59</v>
      </c>
      <c r="C2250">
        <v>2</v>
      </c>
      <c r="D2250">
        <v>16</v>
      </c>
      <c r="E2250" s="3">
        <f t="shared" si="35"/>
        <v>28</v>
      </c>
    </row>
    <row r="2251" spans="1:5" x14ac:dyDescent="0.2">
      <c r="A2251">
        <v>2</v>
      </c>
      <c r="B2251" t="s">
        <v>560</v>
      </c>
      <c r="C2251">
        <v>2</v>
      </c>
      <c r="D2251">
        <v>12</v>
      </c>
      <c r="E2251" s="3">
        <f t="shared" si="35"/>
        <v>28</v>
      </c>
    </row>
    <row r="2252" spans="1:5" x14ac:dyDescent="0.2">
      <c r="A2252">
        <v>3</v>
      </c>
      <c r="B2252" t="s">
        <v>280</v>
      </c>
      <c r="C2252">
        <v>0</v>
      </c>
      <c r="D2252">
        <v>8</v>
      </c>
      <c r="E2252" s="3">
        <f t="shared" si="35"/>
        <v>28</v>
      </c>
    </row>
    <row r="2253" spans="1:5" x14ac:dyDescent="0.2">
      <c r="A2253">
        <v>4</v>
      </c>
      <c r="B2253" t="s">
        <v>452</v>
      </c>
      <c r="C2253">
        <v>0</v>
      </c>
      <c r="D2253">
        <v>4</v>
      </c>
      <c r="E2253" s="3">
        <f t="shared" si="35"/>
        <v>28</v>
      </c>
    </row>
    <row r="2254" spans="1:5" x14ac:dyDescent="0.2">
      <c r="A2254">
        <v>5</v>
      </c>
      <c r="B2254" t="s">
        <v>32</v>
      </c>
      <c r="C2254">
        <v>1</v>
      </c>
      <c r="D2254">
        <v>2</v>
      </c>
      <c r="E2254" s="3">
        <f t="shared" si="35"/>
        <v>28</v>
      </c>
    </row>
    <row r="2255" spans="1:5" x14ac:dyDescent="0.2">
      <c r="A2255">
        <v>6</v>
      </c>
      <c r="B2255" t="s">
        <v>506</v>
      </c>
      <c r="C2255">
        <v>0</v>
      </c>
      <c r="D2255">
        <v>1</v>
      </c>
      <c r="E2255" s="3">
        <f t="shared" si="35"/>
        <v>28</v>
      </c>
    </row>
    <row r="2256" spans="1:5" x14ac:dyDescent="0.2">
      <c r="A2256">
        <v>7</v>
      </c>
      <c r="B2256" s="2" t="s">
        <v>10</v>
      </c>
      <c r="C2256" s="2" t="s">
        <v>10</v>
      </c>
      <c r="D2256" s="2" t="s">
        <v>10</v>
      </c>
      <c r="E2256" s="3">
        <f t="shared" si="35"/>
        <v>28</v>
      </c>
    </row>
    <row r="2257" spans="1:5" x14ac:dyDescent="0.2">
      <c r="A2257">
        <v>8</v>
      </c>
      <c r="B2257" s="2" t="s">
        <v>10</v>
      </c>
      <c r="C2257" s="2" t="s">
        <v>10</v>
      </c>
      <c r="D2257" s="2" t="s">
        <v>10</v>
      </c>
      <c r="E2257" s="3">
        <f t="shared" si="35"/>
        <v>28</v>
      </c>
    </row>
    <row r="2258" spans="1:5" x14ac:dyDescent="0.2">
      <c r="A2258" s="1" t="s">
        <v>543</v>
      </c>
      <c r="E2258" s="3">
        <f t="shared" si="35"/>
        <v>28</v>
      </c>
    </row>
    <row r="2259" spans="1:5" x14ac:dyDescent="0.2">
      <c r="A2259" s="1" t="s">
        <v>1</v>
      </c>
      <c r="B2259" s="1" t="s">
        <v>2</v>
      </c>
      <c r="C2259" s="1" t="s">
        <v>3</v>
      </c>
      <c r="D2259" s="1" t="s">
        <v>4</v>
      </c>
      <c r="E2259" s="3">
        <f t="shared" si="35"/>
        <v>28</v>
      </c>
    </row>
    <row r="2260" spans="1:5" x14ac:dyDescent="0.2">
      <c r="A2260">
        <v>1</v>
      </c>
      <c r="B2260" t="s">
        <v>88</v>
      </c>
      <c r="C2260">
        <v>3</v>
      </c>
      <c r="D2260">
        <v>16</v>
      </c>
      <c r="E2260" s="3">
        <f t="shared" si="35"/>
        <v>28</v>
      </c>
    </row>
    <row r="2261" spans="1:5" x14ac:dyDescent="0.2">
      <c r="A2261">
        <v>2</v>
      </c>
      <c r="B2261" t="s">
        <v>6</v>
      </c>
      <c r="C2261">
        <v>0</v>
      </c>
      <c r="D2261">
        <v>12</v>
      </c>
      <c r="E2261" s="3">
        <f t="shared" si="35"/>
        <v>28</v>
      </c>
    </row>
    <row r="2262" spans="1:5" x14ac:dyDescent="0.2">
      <c r="A2262">
        <v>3</v>
      </c>
      <c r="B2262" t="s">
        <v>500</v>
      </c>
      <c r="C2262">
        <v>1</v>
      </c>
      <c r="D2262">
        <v>8</v>
      </c>
      <c r="E2262" s="3">
        <f t="shared" si="35"/>
        <v>28</v>
      </c>
    </row>
    <row r="2263" spans="1:5" x14ac:dyDescent="0.2">
      <c r="A2263">
        <v>4</v>
      </c>
      <c r="B2263" t="s">
        <v>73</v>
      </c>
      <c r="C2263">
        <v>1</v>
      </c>
      <c r="D2263">
        <v>4</v>
      </c>
      <c r="E2263" s="3">
        <f t="shared" si="35"/>
        <v>28</v>
      </c>
    </row>
    <row r="2264" spans="1:5" x14ac:dyDescent="0.2">
      <c r="A2264">
        <v>5</v>
      </c>
      <c r="B2264" t="s">
        <v>35</v>
      </c>
      <c r="C2264">
        <v>0</v>
      </c>
      <c r="D2264">
        <v>2</v>
      </c>
      <c r="E2264" s="3">
        <f t="shared" si="35"/>
        <v>28</v>
      </c>
    </row>
    <row r="2265" spans="1:5" x14ac:dyDescent="0.2">
      <c r="A2265">
        <v>6</v>
      </c>
      <c r="B2265" t="s">
        <v>27</v>
      </c>
      <c r="C2265">
        <v>0</v>
      </c>
      <c r="D2265">
        <v>1</v>
      </c>
      <c r="E2265" s="3">
        <f t="shared" si="35"/>
        <v>28</v>
      </c>
    </row>
    <row r="2266" spans="1:5" x14ac:dyDescent="0.2">
      <c r="A2266">
        <v>7</v>
      </c>
      <c r="B2266" s="2" t="s">
        <v>10</v>
      </c>
      <c r="C2266" s="2" t="s">
        <v>10</v>
      </c>
      <c r="D2266" s="2" t="s">
        <v>10</v>
      </c>
      <c r="E2266" s="3">
        <f t="shared" si="35"/>
        <v>28</v>
      </c>
    </row>
    <row r="2267" spans="1:5" x14ac:dyDescent="0.2">
      <c r="A2267">
        <v>8</v>
      </c>
      <c r="B2267" s="2" t="s">
        <v>10</v>
      </c>
      <c r="C2267" s="2" t="s">
        <v>10</v>
      </c>
      <c r="D2267" s="2" t="s">
        <v>10</v>
      </c>
      <c r="E2267" s="3">
        <f t="shared" si="35"/>
        <v>28</v>
      </c>
    </row>
    <row r="2268" spans="1:5" x14ac:dyDescent="0.2">
      <c r="A2268" s="1" t="s">
        <v>544</v>
      </c>
      <c r="E2268" s="3">
        <f t="shared" si="35"/>
        <v>28</v>
      </c>
    </row>
    <row r="2269" spans="1:5" x14ac:dyDescent="0.2">
      <c r="A2269" s="1" t="s">
        <v>1</v>
      </c>
      <c r="B2269" s="1" t="s">
        <v>2</v>
      </c>
      <c r="C2269" s="1" t="s">
        <v>3</v>
      </c>
      <c r="D2269" s="1" t="s">
        <v>4</v>
      </c>
      <c r="E2269" s="3">
        <f t="shared" si="35"/>
        <v>28</v>
      </c>
    </row>
    <row r="2270" spans="1:5" x14ac:dyDescent="0.2">
      <c r="A2270">
        <v>1</v>
      </c>
      <c r="B2270" t="s">
        <v>505</v>
      </c>
      <c r="C2270">
        <v>3</v>
      </c>
      <c r="D2270">
        <v>17</v>
      </c>
      <c r="E2270" s="3">
        <f t="shared" si="35"/>
        <v>28</v>
      </c>
    </row>
    <row r="2271" spans="1:5" x14ac:dyDescent="0.2">
      <c r="A2271">
        <v>2</v>
      </c>
      <c r="B2271" t="s">
        <v>504</v>
      </c>
      <c r="C2271">
        <v>2</v>
      </c>
      <c r="D2271">
        <v>13</v>
      </c>
      <c r="E2271" s="3">
        <f t="shared" si="35"/>
        <v>28</v>
      </c>
    </row>
    <row r="2272" spans="1:5" x14ac:dyDescent="0.2">
      <c r="A2272">
        <v>3</v>
      </c>
      <c r="B2272" t="s">
        <v>454</v>
      </c>
      <c r="C2272">
        <v>0</v>
      </c>
      <c r="D2272">
        <v>9</v>
      </c>
      <c r="E2272" s="3">
        <f t="shared" si="35"/>
        <v>28</v>
      </c>
    </row>
    <row r="2273" spans="1:5" x14ac:dyDescent="0.2">
      <c r="A2273">
        <v>4</v>
      </c>
      <c r="B2273" t="s">
        <v>75</v>
      </c>
      <c r="C2273">
        <v>0</v>
      </c>
      <c r="D2273">
        <v>5</v>
      </c>
      <c r="E2273" s="3">
        <f t="shared" si="35"/>
        <v>28</v>
      </c>
    </row>
    <row r="2274" spans="1:5" x14ac:dyDescent="0.2">
      <c r="A2274">
        <v>5</v>
      </c>
      <c r="B2274" t="s">
        <v>503</v>
      </c>
      <c r="C2274">
        <v>0</v>
      </c>
      <c r="D2274">
        <v>3</v>
      </c>
      <c r="E2274" s="3">
        <f t="shared" si="35"/>
        <v>28</v>
      </c>
    </row>
    <row r="2275" spans="1:5" x14ac:dyDescent="0.2">
      <c r="A2275">
        <v>6</v>
      </c>
      <c r="B2275" t="s">
        <v>518</v>
      </c>
      <c r="C2275">
        <v>1</v>
      </c>
      <c r="D2275">
        <v>2</v>
      </c>
      <c r="E2275" s="3">
        <f t="shared" si="35"/>
        <v>28</v>
      </c>
    </row>
    <row r="2276" spans="1:5" x14ac:dyDescent="0.2">
      <c r="A2276">
        <v>7</v>
      </c>
      <c r="B2276" t="s">
        <v>554</v>
      </c>
      <c r="C2276">
        <v>0</v>
      </c>
      <c r="D2276">
        <v>1</v>
      </c>
      <c r="E2276" s="3">
        <f t="shared" si="35"/>
        <v>28</v>
      </c>
    </row>
    <row r="2277" spans="1:5" x14ac:dyDescent="0.2">
      <c r="A2277">
        <v>8</v>
      </c>
      <c r="B2277" s="2" t="s">
        <v>10</v>
      </c>
      <c r="C2277" s="2" t="s">
        <v>10</v>
      </c>
      <c r="D2277" s="2" t="s">
        <v>10</v>
      </c>
      <c r="E2277" s="3">
        <f t="shared" si="35"/>
        <v>28</v>
      </c>
    </row>
    <row r="2278" spans="1:5" x14ac:dyDescent="0.2">
      <c r="A2278" s="1" t="s">
        <v>0</v>
      </c>
      <c r="E2278" s="3">
        <f t="shared" si="35"/>
        <v>29</v>
      </c>
    </row>
    <row r="2279" spans="1:5" x14ac:dyDescent="0.2">
      <c r="A2279" s="1" t="s">
        <v>1</v>
      </c>
      <c r="B2279" s="1" t="s">
        <v>2</v>
      </c>
      <c r="C2279" s="1" t="s">
        <v>3</v>
      </c>
      <c r="D2279" s="1" t="s">
        <v>4</v>
      </c>
      <c r="E2279" s="3">
        <f t="shared" si="35"/>
        <v>29</v>
      </c>
    </row>
    <row r="2280" spans="1:5" x14ac:dyDescent="0.2">
      <c r="A2280">
        <v>1</v>
      </c>
      <c r="B2280" t="s">
        <v>490</v>
      </c>
      <c r="C2280">
        <v>4</v>
      </c>
      <c r="D2280">
        <v>16</v>
      </c>
      <c r="E2280" s="3">
        <f t="shared" si="35"/>
        <v>29</v>
      </c>
    </row>
    <row r="2281" spans="1:5" x14ac:dyDescent="0.2">
      <c r="A2281">
        <v>2</v>
      </c>
      <c r="B2281" t="s">
        <v>506</v>
      </c>
      <c r="C2281">
        <v>1</v>
      </c>
      <c r="D2281">
        <v>12</v>
      </c>
      <c r="E2281" s="3">
        <f t="shared" si="35"/>
        <v>29</v>
      </c>
    </row>
    <row r="2282" spans="1:5" x14ac:dyDescent="0.2">
      <c r="A2282">
        <v>3</v>
      </c>
      <c r="B2282" t="s">
        <v>74</v>
      </c>
      <c r="C2282">
        <v>0</v>
      </c>
      <c r="D2282">
        <v>8</v>
      </c>
      <c r="E2282" s="3">
        <f t="shared" si="35"/>
        <v>29</v>
      </c>
    </row>
    <row r="2283" spans="1:5" x14ac:dyDescent="0.2">
      <c r="A2283">
        <v>4</v>
      </c>
      <c r="B2283" t="s">
        <v>507</v>
      </c>
      <c r="C2283">
        <v>0</v>
      </c>
      <c r="D2283">
        <v>4</v>
      </c>
      <c r="E2283" s="3">
        <f t="shared" si="35"/>
        <v>29</v>
      </c>
    </row>
    <row r="2284" spans="1:5" x14ac:dyDescent="0.2">
      <c r="A2284">
        <v>5</v>
      </c>
      <c r="B2284" t="s">
        <v>19</v>
      </c>
      <c r="C2284">
        <v>0</v>
      </c>
      <c r="D2284">
        <v>2</v>
      </c>
      <c r="E2284" s="3">
        <f t="shared" si="35"/>
        <v>29</v>
      </c>
    </row>
    <row r="2285" spans="1:5" x14ac:dyDescent="0.2">
      <c r="A2285">
        <v>6</v>
      </c>
      <c r="B2285" t="s">
        <v>9</v>
      </c>
      <c r="C2285">
        <v>0</v>
      </c>
      <c r="D2285">
        <v>1</v>
      </c>
      <c r="E2285" s="3">
        <f t="shared" si="35"/>
        <v>29</v>
      </c>
    </row>
    <row r="2286" spans="1:5" x14ac:dyDescent="0.2">
      <c r="A2286">
        <v>7</v>
      </c>
      <c r="B2286" s="2" t="s">
        <v>10</v>
      </c>
      <c r="C2286" s="2" t="s">
        <v>10</v>
      </c>
      <c r="D2286" s="2" t="s">
        <v>10</v>
      </c>
      <c r="E2286" s="3">
        <f t="shared" si="35"/>
        <v>29</v>
      </c>
    </row>
    <row r="2287" spans="1:5" x14ac:dyDescent="0.2">
      <c r="A2287">
        <v>8</v>
      </c>
      <c r="B2287" s="2" t="s">
        <v>10</v>
      </c>
      <c r="C2287" s="2" t="s">
        <v>10</v>
      </c>
      <c r="D2287" s="2" t="s">
        <v>10</v>
      </c>
      <c r="E2287" s="3">
        <f t="shared" si="35"/>
        <v>29</v>
      </c>
    </row>
    <row r="2288" spans="1:5" x14ac:dyDescent="0.2">
      <c r="A2288" s="1" t="s">
        <v>11</v>
      </c>
      <c r="E2288" s="3">
        <f t="shared" si="35"/>
        <v>29</v>
      </c>
    </row>
    <row r="2289" spans="1:5" x14ac:dyDescent="0.2">
      <c r="A2289" s="1" t="s">
        <v>1</v>
      </c>
      <c r="B2289" s="1" t="s">
        <v>2</v>
      </c>
      <c r="C2289" s="1" t="s">
        <v>3</v>
      </c>
      <c r="D2289" s="1" t="s">
        <v>4</v>
      </c>
      <c r="E2289" s="3">
        <f t="shared" si="35"/>
        <v>29</v>
      </c>
    </row>
    <row r="2290" spans="1:5" x14ac:dyDescent="0.2">
      <c r="A2290">
        <v>1</v>
      </c>
      <c r="B2290" t="s">
        <v>521</v>
      </c>
      <c r="C2290">
        <v>2</v>
      </c>
      <c r="D2290">
        <v>16</v>
      </c>
      <c r="E2290" s="3">
        <f t="shared" si="35"/>
        <v>29</v>
      </c>
    </row>
    <row r="2291" spans="1:5" x14ac:dyDescent="0.2">
      <c r="A2291">
        <v>2</v>
      </c>
      <c r="B2291" t="s">
        <v>75</v>
      </c>
      <c r="C2291">
        <v>2</v>
      </c>
      <c r="D2291">
        <v>12</v>
      </c>
      <c r="E2291" s="3">
        <f t="shared" si="35"/>
        <v>29</v>
      </c>
    </row>
    <row r="2292" spans="1:5" x14ac:dyDescent="0.2">
      <c r="A2292">
        <v>3</v>
      </c>
      <c r="B2292" t="s">
        <v>476</v>
      </c>
      <c r="C2292">
        <v>1</v>
      </c>
      <c r="D2292">
        <v>8</v>
      </c>
      <c r="E2292" s="3">
        <f t="shared" si="35"/>
        <v>29</v>
      </c>
    </row>
    <row r="2293" spans="1:5" x14ac:dyDescent="0.2">
      <c r="A2293">
        <v>4</v>
      </c>
      <c r="B2293" t="s">
        <v>55</v>
      </c>
      <c r="C2293">
        <v>0</v>
      </c>
      <c r="D2293">
        <v>4</v>
      </c>
      <c r="E2293" s="3">
        <f t="shared" si="35"/>
        <v>29</v>
      </c>
    </row>
    <row r="2294" spans="1:5" x14ac:dyDescent="0.2">
      <c r="A2294">
        <v>5</v>
      </c>
      <c r="B2294" t="s">
        <v>46</v>
      </c>
      <c r="C2294">
        <v>0</v>
      </c>
      <c r="D2294">
        <v>2</v>
      </c>
      <c r="E2294" s="3">
        <f t="shared" si="35"/>
        <v>29</v>
      </c>
    </row>
    <row r="2295" spans="1:5" x14ac:dyDescent="0.2">
      <c r="A2295">
        <v>6</v>
      </c>
      <c r="B2295" t="s">
        <v>485</v>
      </c>
      <c r="C2295">
        <v>0</v>
      </c>
      <c r="D2295">
        <v>1</v>
      </c>
      <c r="E2295" s="3">
        <f t="shared" si="35"/>
        <v>29</v>
      </c>
    </row>
    <row r="2296" spans="1:5" x14ac:dyDescent="0.2">
      <c r="A2296">
        <v>7</v>
      </c>
      <c r="B2296" s="2" t="s">
        <v>10</v>
      </c>
      <c r="C2296" s="2" t="s">
        <v>10</v>
      </c>
      <c r="D2296" s="2" t="s">
        <v>10</v>
      </c>
      <c r="E2296" s="3">
        <f t="shared" si="35"/>
        <v>29</v>
      </c>
    </row>
    <row r="2297" spans="1:5" x14ac:dyDescent="0.2">
      <c r="A2297">
        <v>8</v>
      </c>
      <c r="B2297" s="2" t="s">
        <v>10</v>
      </c>
      <c r="C2297" s="2" t="s">
        <v>10</v>
      </c>
      <c r="D2297" s="2" t="s">
        <v>10</v>
      </c>
      <c r="E2297" s="3">
        <f t="shared" si="35"/>
        <v>29</v>
      </c>
    </row>
    <row r="2298" spans="1:5" x14ac:dyDescent="0.2">
      <c r="A2298" s="1" t="s">
        <v>17</v>
      </c>
      <c r="E2298" s="3">
        <f t="shared" si="35"/>
        <v>29</v>
      </c>
    </row>
    <row r="2299" spans="1:5" x14ac:dyDescent="0.2">
      <c r="A2299" s="1" t="s">
        <v>1</v>
      </c>
      <c r="B2299" s="1" t="s">
        <v>2</v>
      </c>
      <c r="C2299" s="1" t="s">
        <v>3</v>
      </c>
      <c r="D2299" s="1" t="s">
        <v>4</v>
      </c>
      <c r="E2299" s="3">
        <f t="shared" si="35"/>
        <v>29</v>
      </c>
    </row>
    <row r="2300" spans="1:5" x14ac:dyDescent="0.2">
      <c r="A2300">
        <v>1</v>
      </c>
      <c r="B2300" t="s">
        <v>518</v>
      </c>
      <c r="C2300">
        <v>2</v>
      </c>
      <c r="D2300">
        <v>16</v>
      </c>
      <c r="E2300" s="3">
        <f t="shared" si="35"/>
        <v>29</v>
      </c>
    </row>
    <row r="2301" spans="1:5" x14ac:dyDescent="0.2">
      <c r="A2301">
        <v>2</v>
      </c>
      <c r="B2301" t="s">
        <v>66</v>
      </c>
      <c r="C2301">
        <v>3</v>
      </c>
      <c r="D2301">
        <v>12</v>
      </c>
      <c r="E2301" s="3">
        <f t="shared" si="35"/>
        <v>29</v>
      </c>
    </row>
    <row r="2302" spans="1:5" x14ac:dyDescent="0.2">
      <c r="A2302">
        <v>3</v>
      </c>
      <c r="B2302" t="s">
        <v>535</v>
      </c>
      <c r="C2302">
        <v>0</v>
      </c>
      <c r="D2302">
        <v>8</v>
      </c>
      <c r="E2302" s="3">
        <f t="shared" si="35"/>
        <v>29</v>
      </c>
    </row>
    <row r="2303" spans="1:5" x14ac:dyDescent="0.2">
      <c r="A2303">
        <v>4</v>
      </c>
      <c r="B2303" t="s">
        <v>484</v>
      </c>
      <c r="C2303">
        <v>0</v>
      </c>
      <c r="D2303">
        <v>4</v>
      </c>
      <c r="E2303" s="3">
        <f t="shared" si="35"/>
        <v>29</v>
      </c>
    </row>
    <row r="2304" spans="1:5" x14ac:dyDescent="0.2">
      <c r="A2304">
        <v>5</v>
      </c>
      <c r="B2304" t="s">
        <v>555</v>
      </c>
      <c r="C2304">
        <v>0</v>
      </c>
      <c r="D2304">
        <v>2</v>
      </c>
      <c r="E2304" s="3">
        <f t="shared" si="35"/>
        <v>29</v>
      </c>
    </row>
    <row r="2305" spans="1:5" x14ac:dyDescent="0.2">
      <c r="A2305">
        <v>6</v>
      </c>
      <c r="B2305" t="s">
        <v>59</v>
      </c>
      <c r="C2305">
        <v>0</v>
      </c>
      <c r="D2305">
        <v>1</v>
      </c>
      <c r="E2305" s="3">
        <f t="shared" si="35"/>
        <v>29</v>
      </c>
    </row>
    <row r="2306" spans="1:5" x14ac:dyDescent="0.2">
      <c r="A2306">
        <v>7</v>
      </c>
      <c r="B2306" s="2" t="s">
        <v>10</v>
      </c>
      <c r="C2306" s="2" t="s">
        <v>10</v>
      </c>
      <c r="D2306" s="2" t="s">
        <v>10</v>
      </c>
      <c r="E2306" s="3">
        <f t="shared" si="35"/>
        <v>29</v>
      </c>
    </row>
    <row r="2307" spans="1:5" x14ac:dyDescent="0.2">
      <c r="A2307">
        <v>8</v>
      </c>
      <c r="B2307" s="2" t="s">
        <v>10</v>
      </c>
      <c r="C2307" s="2" t="s">
        <v>10</v>
      </c>
      <c r="D2307" s="2" t="s">
        <v>10</v>
      </c>
      <c r="E2307" s="3">
        <f t="shared" si="35"/>
        <v>29</v>
      </c>
    </row>
    <row r="2308" spans="1:5" x14ac:dyDescent="0.2">
      <c r="A2308" s="1" t="s">
        <v>24</v>
      </c>
      <c r="E2308" s="3">
        <f t="shared" ref="E2308:E2371" si="36">IF(A2308=$A$1,E2307+1,E2307)</f>
        <v>29</v>
      </c>
    </row>
    <row r="2309" spans="1:5" x14ac:dyDescent="0.2">
      <c r="A2309" s="1" t="s">
        <v>1</v>
      </c>
      <c r="B2309" s="1" t="s">
        <v>2</v>
      </c>
      <c r="C2309" s="1" t="s">
        <v>3</v>
      </c>
      <c r="D2309" s="1" t="s">
        <v>4</v>
      </c>
      <c r="E2309" s="3">
        <f t="shared" si="36"/>
        <v>29</v>
      </c>
    </row>
    <row r="2310" spans="1:5" x14ac:dyDescent="0.2">
      <c r="A2310">
        <v>1</v>
      </c>
      <c r="B2310" t="s">
        <v>512</v>
      </c>
      <c r="C2310">
        <v>3</v>
      </c>
      <c r="D2310">
        <v>16</v>
      </c>
      <c r="E2310" s="3">
        <f t="shared" si="36"/>
        <v>29</v>
      </c>
    </row>
    <row r="2311" spans="1:5" x14ac:dyDescent="0.2">
      <c r="A2311">
        <v>2</v>
      </c>
      <c r="B2311" t="s">
        <v>42</v>
      </c>
      <c r="C2311">
        <v>2</v>
      </c>
      <c r="D2311">
        <v>12</v>
      </c>
      <c r="E2311" s="3">
        <f t="shared" si="36"/>
        <v>29</v>
      </c>
    </row>
    <row r="2312" spans="1:5" x14ac:dyDescent="0.2">
      <c r="A2312">
        <v>3</v>
      </c>
      <c r="B2312" t="s">
        <v>35</v>
      </c>
      <c r="C2312">
        <v>0</v>
      </c>
      <c r="D2312">
        <v>8</v>
      </c>
      <c r="E2312" s="3">
        <f t="shared" si="36"/>
        <v>29</v>
      </c>
    </row>
    <row r="2313" spans="1:5" x14ac:dyDescent="0.2">
      <c r="A2313">
        <v>4</v>
      </c>
      <c r="B2313" t="s">
        <v>516</v>
      </c>
      <c r="C2313">
        <v>0</v>
      </c>
      <c r="D2313">
        <v>4</v>
      </c>
      <c r="E2313" s="3">
        <f t="shared" si="36"/>
        <v>29</v>
      </c>
    </row>
    <row r="2314" spans="1:5" x14ac:dyDescent="0.2">
      <c r="A2314">
        <v>5</v>
      </c>
      <c r="B2314" t="s">
        <v>508</v>
      </c>
      <c r="C2314">
        <v>0</v>
      </c>
      <c r="D2314">
        <v>2</v>
      </c>
      <c r="E2314" s="3">
        <f t="shared" si="36"/>
        <v>29</v>
      </c>
    </row>
    <row r="2315" spans="1:5" x14ac:dyDescent="0.2">
      <c r="A2315">
        <v>6</v>
      </c>
      <c r="B2315" t="s">
        <v>69</v>
      </c>
      <c r="C2315">
        <v>0</v>
      </c>
      <c r="D2315">
        <v>1</v>
      </c>
      <c r="E2315" s="3">
        <f t="shared" si="36"/>
        <v>29</v>
      </c>
    </row>
    <row r="2316" spans="1:5" x14ac:dyDescent="0.2">
      <c r="A2316">
        <v>7</v>
      </c>
      <c r="B2316" s="2" t="s">
        <v>10</v>
      </c>
      <c r="C2316" s="2" t="s">
        <v>10</v>
      </c>
      <c r="D2316" s="2" t="s">
        <v>10</v>
      </c>
      <c r="E2316" s="3">
        <f t="shared" si="36"/>
        <v>29</v>
      </c>
    </row>
    <row r="2317" spans="1:5" x14ac:dyDescent="0.2">
      <c r="A2317">
        <v>8</v>
      </c>
      <c r="B2317" s="2" t="s">
        <v>10</v>
      </c>
      <c r="C2317" s="2" t="s">
        <v>10</v>
      </c>
      <c r="D2317" s="2" t="s">
        <v>10</v>
      </c>
      <c r="E2317" s="3">
        <f t="shared" si="36"/>
        <v>29</v>
      </c>
    </row>
    <row r="2318" spans="1:5" x14ac:dyDescent="0.2">
      <c r="A2318" s="1" t="s">
        <v>30</v>
      </c>
      <c r="E2318" s="3">
        <f t="shared" si="36"/>
        <v>29</v>
      </c>
    </row>
    <row r="2319" spans="1:5" x14ac:dyDescent="0.2">
      <c r="A2319" s="1" t="s">
        <v>1</v>
      </c>
      <c r="B2319" s="1" t="s">
        <v>2</v>
      </c>
      <c r="C2319" s="1" t="s">
        <v>3</v>
      </c>
      <c r="D2319" s="1" t="s">
        <v>4</v>
      </c>
      <c r="E2319" s="3">
        <f t="shared" si="36"/>
        <v>29</v>
      </c>
    </row>
    <row r="2320" spans="1:5" x14ac:dyDescent="0.2">
      <c r="A2320">
        <v>1</v>
      </c>
      <c r="B2320" t="s">
        <v>558</v>
      </c>
      <c r="C2320">
        <v>3</v>
      </c>
      <c r="D2320">
        <v>16</v>
      </c>
      <c r="E2320" s="3">
        <f t="shared" si="36"/>
        <v>29</v>
      </c>
    </row>
    <row r="2321" spans="1:5" x14ac:dyDescent="0.2">
      <c r="A2321">
        <v>2</v>
      </c>
      <c r="B2321" t="s">
        <v>479</v>
      </c>
      <c r="C2321">
        <v>2</v>
      </c>
      <c r="D2321">
        <v>12</v>
      </c>
      <c r="E2321" s="3">
        <f t="shared" si="36"/>
        <v>29</v>
      </c>
    </row>
    <row r="2322" spans="1:5" x14ac:dyDescent="0.2">
      <c r="A2322">
        <v>3</v>
      </c>
      <c r="B2322" t="s">
        <v>532</v>
      </c>
      <c r="C2322">
        <v>0</v>
      </c>
      <c r="D2322">
        <v>8</v>
      </c>
      <c r="E2322" s="3">
        <f t="shared" si="36"/>
        <v>29</v>
      </c>
    </row>
    <row r="2323" spans="1:5" x14ac:dyDescent="0.2">
      <c r="A2323">
        <v>4</v>
      </c>
      <c r="B2323" t="s">
        <v>534</v>
      </c>
      <c r="C2323">
        <v>0</v>
      </c>
      <c r="D2323">
        <v>4</v>
      </c>
      <c r="E2323" s="3">
        <f t="shared" si="36"/>
        <v>29</v>
      </c>
    </row>
    <row r="2324" spans="1:5" x14ac:dyDescent="0.2">
      <c r="A2324">
        <v>5</v>
      </c>
      <c r="B2324" t="s">
        <v>552</v>
      </c>
      <c r="C2324">
        <v>0</v>
      </c>
      <c r="D2324">
        <v>2</v>
      </c>
      <c r="E2324" s="3">
        <f t="shared" si="36"/>
        <v>29</v>
      </c>
    </row>
    <row r="2325" spans="1:5" x14ac:dyDescent="0.2">
      <c r="A2325">
        <v>6</v>
      </c>
      <c r="B2325" t="s">
        <v>554</v>
      </c>
      <c r="C2325">
        <v>0</v>
      </c>
      <c r="D2325">
        <v>1</v>
      </c>
      <c r="E2325" s="3">
        <f t="shared" si="36"/>
        <v>29</v>
      </c>
    </row>
    <row r="2326" spans="1:5" x14ac:dyDescent="0.2">
      <c r="A2326">
        <v>7</v>
      </c>
      <c r="B2326" s="2" t="s">
        <v>10</v>
      </c>
      <c r="C2326" s="2" t="s">
        <v>10</v>
      </c>
      <c r="D2326" s="2" t="s">
        <v>10</v>
      </c>
      <c r="E2326" s="3">
        <f t="shared" si="36"/>
        <v>29</v>
      </c>
    </row>
    <row r="2327" spans="1:5" x14ac:dyDescent="0.2">
      <c r="A2327">
        <v>8</v>
      </c>
      <c r="B2327" s="2" t="s">
        <v>10</v>
      </c>
      <c r="C2327" s="2" t="s">
        <v>10</v>
      </c>
      <c r="D2327" s="2" t="s">
        <v>10</v>
      </c>
      <c r="E2327" s="3">
        <f t="shared" si="36"/>
        <v>29</v>
      </c>
    </row>
    <row r="2328" spans="1:5" x14ac:dyDescent="0.2">
      <c r="A2328" s="1" t="s">
        <v>37</v>
      </c>
      <c r="E2328" s="3">
        <f t="shared" si="36"/>
        <v>29</v>
      </c>
    </row>
    <row r="2329" spans="1:5" x14ac:dyDescent="0.2">
      <c r="A2329" s="1" t="s">
        <v>1</v>
      </c>
      <c r="B2329" s="1" t="s">
        <v>2</v>
      </c>
      <c r="C2329" s="1" t="s">
        <v>3</v>
      </c>
      <c r="D2329" s="1" t="s">
        <v>4</v>
      </c>
      <c r="E2329" s="3">
        <f t="shared" si="36"/>
        <v>29</v>
      </c>
    </row>
    <row r="2330" spans="1:5" x14ac:dyDescent="0.2">
      <c r="A2330">
        <v>1</v>
      </c>
      <c r="B2330" t="s">
        <v>505</v>
      </c>
      <c r="C2330">
        <v>4</v>
      </c>
      <c r="D2330">
        <v>17</v>
      </c>
      <c r="E2330" s="3">
        <f t="shared" si="36"/>
        <v>29</v>
      </c>
    </row>
    <row r="2331" spans="1:5" x14ac:dyDescent="0.2">
      <c r="A2331">
        <v>2</v>
      </c>
      <c r="B2331" t="s">
        <v>504</v>
      </c>
      <c r="C2331">
        <v>1</v>
      </c>
      <c r="D2331">
        <v>13</v>
      </c>
      <c r="E2331" s="3">
        <f t="shared" si="36"/>
        <v>29</v>
      </c>
    </row>
    <row r="2332" spans="1:5" x14ac:dyDescent="0.2">
      <c r="A2332">
        <v>3</v>
      </c>
      <c r="B2332" t="s">
        <v>25</v>
      </c>
      <c r="C2332">
        <v>0</v>
      </c>
      <c r="D2332">
        <v>9</v>
      </c>
      <c r="E2332" s="3">
        <f t="shared" si="36"/>
        <v>29</v>
      </c>
    </row>
    <row r="2333" spans="1:5" x14ac:dyDescent="0.2">
      <c r="A2333">
        <v>4</v>
      </c>
      <c r="B2333" t="s">
        <v>526</v>
      </c>
      <c r="C2333">
        <v>0</v>
      </c>
      <c r="D2333">
        <v>5</v>
      </c>
      <c r="E2333" s="3">
        <f t="shared" si="36"/>
        <v>29</v>
      </c>
    </row>
    <row r="2334" spans="1:5" x14ac:dyDescent="0.2">
      <c r="A2334">
        <v>5</v>
      </c>
      <c r="B2334" t="s">
        <v>73</v>
      </c>
      <c r="C2334">
        <v>1</v>
      </c>
      <c r="D2334">
        <v>3</v>
      </c>
      <c r="E2334" s="3">
        <f t="shared" si="36"/>
        <v>29</v>
      </c>
    </row>
    <row r="2335" spans="1:5" x14ac:dyDescent="0.2">
      <c r="A2335">
        <v>6</v>
      </c>
      <c r="B2335" t="s">
        <v>502</v>
      </c>
      <c r="C2335">
        <v>0</v>
      </c>
      <c r="D2335">
        <v>2</v>
      </c>
      <c r="E2335" s="3">
        <f t="shared" si="36"/>
        <v>29</v>
      </c>
    </row>
    <row r="2336" spans="1:5" x14ac:dyDescent="0.2">
      <c r="A2336">
        <v>7</v>
      </c>
      <c r="B2336" t="s">
        <v>81</v>
      </c>
      <c r="C2336">
        <v>0</v>
      </c>
      <c r="D2336">
        <v>1</v>
      </c>
      <c r="E2336" s="3">
        <f t="shared" si="36"/>
        <v>29</v>
      </c>
    </row>
    <row r="2337" spans="1:5" x14ac:dyDescent="0.2">
      <c r="A2337">
        <v>8</v>
      </c>
      <c r="B2337" s="2" t="s">
        <v>10</v>
      </c>
      <c r="C2337" s="2" t="s">
        <v>10</v>
      </c>
      <c r="D2337" s="2" t="s">
        <v>10</v>
      </c>
      <c r="E2337" s="3">
        <f t="shared" si="36"/>
        <v>29</v>
      </c>
    </row>
    <row r="2338" spans="1:5" x14ac:dyDescent="0.2">
      <c r="A2338" s="1" t="s">
        <v>44</v>
      </c>
      <c r="E2338" s="3">
        <f t="shared" si="36"/>
        <v>29</v>
      </c>
    </row>
    <row r="2339" spans="1:5" x14ac:dyDescent="0.2">
      <c r="A2339" s="1" t="s">
        <v>1</v>
      </c>
      <c r="B2339" s="1" t="s">
        <v>2</v>
      </c>
      <c r="C2339" s="1" t="s">
        <v>3</v>
      </c>
      <c r="D2339" s="1" t="s">
        <v>4</v>
      </c>
      <c r="E2339" s="3">
        <f t="shared" si="36"/>
        <v>29</v>
      </c>
    </row>
    <row r="2340" spans="1:5" x14ac:dyDescent="0.2">
      <c r="A2340">
        <v>1</v>
      </c>
      <c r="B2340" t="s">
        <v>14</v>
      </c>
      <c r="C2340">
        <v>1</v>
      </c>
      <c r="D2340">
        <v>16</v>
      </c>
      <c r="E2340" s="3">
        <f t="shared" si="36"/>
        <v>29</v>
      </c>
    </row>
    <row r="2341" spans="1:5" x14ac:dyDescent="0.2">
      <c r="A2341">
        <v>2</v>
      </c>
      <c r="B2341" t="s">
        <v>88</v>
      </c>
      <c r="C2341">
        <v>4</v>
      </c>
      <c r="D2341">
        <v>12</v>
      </c>
      <c r="E2341" s="3">
        <f t="shared" si="36"/>
        <v>29</v>
      </c>
    </row>
    <row r="2342" spans="1:5" x14ac:dyDescent="0.2">
      <c r="A2342">
        <v>3</v>
      </c>
      <c r="B2342" t="s">
        <v>6</v>
      </c>
      <c r="C2342">
        <v>0</v>
      </c>
      <c r="D2342">
        <v>8</v>
      </c>
      <c r="E2342" s="3">
        <f t="shared" si="36"/>
        <v>29</v>
      </c>
    </row>
    <row r="2343" spans="1:5" x14ac:dyDescent="0.2">
      <c r="A2343">
        <v>4</v>
      </c>
      <c r="B2343" t="s">
        <v>65</v>
      </c>
      <c r="C2343">
        <v>0</v>
      </c>
      <c r="D2343">
        <v>4</v>
      </c>
      <c r="E2343" s="3">
        <f t="shared" si="36"/>
        <v>29</v>
      </c>
    </row>
    <row r="2344" spans="1:5" x14ac:dyDescent="0.2">
      <c r="A2344">
        <v>5</v>
      </c>
      <c r="B2344" t="s">
        <v>454</v>
      </c>
      <c r="C2344">
        <v>0</v>
      </c>
      <c r="D2344">
        <v>2</v>
      </c>
      <c r="E2344" s="3">
        <f t="shared" si="36"/>
        <v>29</v>
      </c>
    </row>
    <row r="2345" spans="1:5" x14ac:dyDescent="0.2">
      <c r="A2345">
        <v>6</v>
      </c>
      <c r="B2345" t="s">
        <v>21</v>
      </c>
      <c r="C2345">
        <v>0</v>
      </c>
      <c r="D2345">
        <v>1</v>
      </c>
      <c r="E2345" s="3">
        <f t="shared" si="36"/>
        <v>29</v>
      </c>
    </row>
    <row r="2346" spans="1:5" x14ac:dyDescent="0.2">
      <c r="A2346">
        <v>7</v>
      </c>
      <c r="B2346" s="2" t="s">
        <v>10</v>
      </c>
      <c r="C2346" s="2" t="s">
        <v>10</v>
      </c>
      <c r="D2346" s="2" t="s">
        <v>10</v>
      </c>
      <c r="E2346" s="3">
        <f t="shared" si="36"/>
        <v>29</v>
      </c>
    </row>
    <row r="2347" spans="1:5" x14ac:dyDescent="0.2">
      <c r="A2347">
        <v>8</v>
      </c>
      <c r="B2347" s="2" t="s">
        <v>10</v>
      </c>
      <c r="C2347" s="2" t="s">
        <v>10</v>
      </c>
      <c r="D2347" s="2" t="s">
        <v>10</v>
      </c>
      <c r="E2347" s="3">
        <f t="shared" si="36"/>
        <v>29</v>
      </c>
    </row>
    <row r="2348" spans="1:5" x14ac:dyDescent="0.2">
      <c r="A2348" s="1" t="s">
        <v>51</v>
      </c>
      <c r="E2348" s="3">
        <f t="shared" si="36"/>
        <v>29</v>
      </c>
    </row>
    <row r="2349" spans="1:5" x14ac:dyDescent="0.2">
      <c r="A2349" s="1" t="s">
        <v>1</v>
      </c>
      <c r="B2349" s="1" t="s">
        <v>2</v>
      </c>
      <c r="C2349" s="1" t="s">
        <v>3</v>
      </c>
      <c r="D2349" s="1" t="s">
        <v>4</v>
      </c>
      <c r="E2349" s="3">
        <f t="shared" si="36"/>
        <v>29</v>
      </c>
    </row>
    <row r="2350" spans="1:5" x14ac:dyDescent="0.2">
      <c r="A2350">
        <v>1</v>
      </c>
      <c r="B2350" t="s">
        <v>27</v>
      </c>
      <c r="C2350">
        <v>4</v>
      </c>
      <c r="D2350">
        <v>16</v>
      </c>
      <c r="E2350" s="3">
        <f t="shared" si="36"/>
        <v>29</v>
      </c>
    </row>
    <row r="2351" spans="1:5" x14ac:dyDescent="0.2">
      <c r="A2351">
        <v>2</v>
      </c>
      <c r="B2351" t="s">
        <v>452</v>
      </c>
      <c r="C2351">
        <v>1</v>
      </c>
      <c r="D2351">
        <v>12</v>
      </c>
      <c r="E2351" s="3">
        <f t="shared" si="36"/>
        <v>29</v>
      </c>
    </row>
    <row r="2352" spans="1:5" x14ac:dyDescent="0.2">
      <c r="A2352">
        <v>3</v>
      </c>
      <c r="B2352" t="s">
        <v>501</v>
      </c>
      <c r="C2352">
        <v>0</v>
      </c>
      <c r="D2352">
        <v>8</v>
      </c>
      <c r="E2352" s="3">
        <f t="shared" si="36"/>
        <v>29</v>
      </c>
    </row>
    <row r="2353" spans="1:5" x14ac:dyDescent="0.2">
      <c r="A2353">
        <v>4</v>
      </c>
      <c r="B2353" t="s">
        <v>15</v>
      </c>
      <c r="C2353">
        <v>0</v>
      </c>
      <c r="D2353">
        <v>4</v>
      </c>
      <c r="E2353" s="3">
        <f t="shared" si="36"/>
        <v>29</v>
      </c>
    </row>
    <row r="2354" spans="1:5" x14ac:dyDescent="0.2">
      <c r="A2354">
        <v>5</v>
      </c>
      <c r="B2354" t="s">
        <v>500</v>
      </c>
      <c r="C2354">
        <v>0</v>
      </c>
      <c r="D2354">
        <v>2</v>
      </c>
      <c r="E2354" s="3">
        <f t="shared" si="36"/>
        <v>29</v>
      </c>
    </row>
    <row r="2355" spans="1:5" x14ac:dyDescent="0.2">
      <c r="A2355">
        <v>6</v>
      </c>
      <c r="B2355" t="s">
        <v>493</v>
      </c>
      <c r="C2355">
        <v>0</v>
      </c>
      <c r="D2355">
        <v>1</v>
      </c>
      <c r="E2355" s="3">
        <f t="shared" si="36"/>
        <v>29</v>
      </c>
    </row>
    <row r="2356" spans="1:5" x14ac:dyDescent="0.2">
      <c r="A2356">
        <v>7</v>
      </c>
      <c r="B2356" s="2" t="s">
        <v>10</v>
      </c>
      <c r="C2356" s="2" t="s">
        <v>10</v>
      </c>
      <c r="D2356" s="2" t="s">
        <v>10</v>
      </c>
      <c r="E2356" s="3">
        <f t="shared" si="36"/>
        <v>29</v>
      </c>
    </row>
    <row r="2357" spans="1:5" x14ac:dyDescent="0.2">
      <c r="A2357">
        <v>8</v>
      </c>
      <c r="B2357" s="2" t="s">
        <v>10</v>
      </c>
      <c r="C2357" s="2" t="s">
        <v>10</v>
      </c>
      <c r="D2357" s="2" t="s">
        <v>10</v>
      </c>
      <c r="E2357" s="3">
        <f t="shared" si="36"/>
        <v>29</v>
      </c>
    </row>
    <row r="2358" spans="1:5" x14ac:dyDescent="0.2">
      <c r="A2358" s="1" t="s">
        <v>537</v>
      </c>
      <c r="E2358" s="3">
        <f t="shared" si="36"/>
        <v>30</v>
      </c>
    </row>
    <row r="2359" spans="1:5" x14ac:dyDescent="0.2">
      <c r="A2359" s="1" t="s">
        <v>1</v>
      </c>
      <c r="B2359" s="1" t="s">
        <v>2</v>
      </c>
      <c r="C2359" s="1" t="s">
        <v>3</v>
      </c>
      <c r="D2359" s="1" t="s">
        <v>4</v>
      </c>
      <c r="E2359" s="3">
        <f t="shared" si="36"/>
        <v>30</v>
      </c>
    </row>
    <row r="2360" spans="1:5" x14ac:dyDescent="0.2">
      <c r="A2360">
        <v>1</v>
      </c>
      <c r="B2360" t="s">
        <v>48</v>
      </c>
      <c r="C2360">
        <v>5</v>
      </c>
      <c r="D2360">
        <v>17</v>
      </c>
      <c r="E2360" s="3">
        <f t="shared" si="36"/>
        <v>30</v>
      </c>
    </row>
    <row r="2361" spans="1:5" x14ac:dyDescent="0.2">
      <c r="A2361">
        <v>2</v>
      </c>
      <c r="B2361" t="s">
        <v>558</v>
      </c>
      <c r="C2361">
        <v>1</v>
      </c>
      <c r="D2361">
        <v>13</v>
      </c>
      <c r="E2361" s="3">
        <f t="shared" si="36"/>
        <v>30</v>
      </c>
    </row>
    <row r="2362" spans="1:5" x14ac:dyDescent="0.2">
      <c r="A2362">
        <v>3</v>
      </c>
      <c r="B2362" t="s">
        <v>509</v>
      </c>
      <c r="C2362">
        <v>0</v>
      </c>
      <c r="D2362">
        <v>9</v>
      </c>
      <c r="E2362" s="3">
        <f t="shared" si="36"/>
        <v>30</v>
      </c>
    </row>
    <row r="2363" spans="1:5" x14ac:dyDescent="0.2">
      <c r="A2363">
        <v>4</v>
      </c>
      <c r="B2363" t="s">
        <v>506</v>
      </c>
      <c r="C2363">
        <v>0</v>
      </c>
      <c r="D2363">
        <v>5</v>
      </c>
      <c r="E2363" s="3">
        <f t="shared" si="36"/>
        <v>30</v>
      </c>
    </row>
    <row r="2364" spans="1:5" x14ac:dyDescent="0.2">
      <c r="A2364">
        <v>5</v>
      </c>
      <c r="B2364" t="s">
        <v>35</v>
      </c>
      <c r="C2364">
        <v>0</v>
      </c>
      <c r="D2364">
        <v>3</v>
      </c>
      <c r="E2364" s="3">
        <f t="shared" si="36"/>
        <v>30</v>
      </c>
    </row>
    <row r="2365" spans="1:5" x14ac:dyDescent="0.2">
      <c r="A2365">
        <v>6</v>
      </c>
      <c r="B2365" t="s">
        <v>507</v>
      </c>
      <c r="C2365">
        <v>0</v>
      </c>
      <c r="D2365">
        <v>2</v>
      </c>
      <c r="E2365" s="3">
        <f t="shared" si="36"/>
        <v>30</v>
      </c>
    </row>
    <row r="2366" spans="1:5" x14ac:dyDescent="0.2">
      <c r="A2366">
        <v>7</v>
      </c>
      <c r="B2366" t="s">
        <v>25</v>
      </c>
      <c r="C2366">
        <v>0</v>
      </c>
      <c r="D2366">
        <v>1</v>
      </c>
      <c r="E2366" s="3">
        <f t="shared" si="36"/>
        <v>30</v>
      </c>
    </row>
    <row r="2367" spans="1:5" x14ac:dyDescent="0.2">
      <c r="A2367">
        <v>8</v>
      </c>
      <c r="B2367" s="2" t="s">
        <v>10</v>
      </c>
      <c r="C2367" s="2" t="s">
        <v>10</v>
      </c>
      <c r="D2367" s="2" t="s">
        <v>10</v>
      </c>
      <c r="E2367" s="3">
        <f t="shared" si="36"/>
        <v>30</v>
      </c>
    </row>
    <row r="2368" spans="1:5" x14ac:dyDescent="0.2">
      <c r="A2368" s="1" t="s">
        <v>538</v>
      </c>
      <c r="E2368" s="3">
        <f t="shared" si="36"/>
        <v>30</v>
      </c>
    </row>
    <row r="2369" spans="1:5" x14ac:dyDescent="0.2">
      <c r="A2369" s="1" t="s">
        <v>1</v>
      </c>
      <c r="B2369" s="1" t="s">
        <v>2</v>
      </c>
      <c r="C2369" s="1" t="s">
        <v>3</v>
      </c>
      <c r="D2369" s="1" t="s">
        <v>4</v>
      </c>
      <c r="E2369" s="3">
        <f t="shared" si="36"/>
        <v>30</v>
      </c>
    </row>
    <row r="2370" spans="1:5" x14ac:dyDescent="0.2">
      <c r="A2370">
        <v>1</v>
      </c>
      <c r="B2370" t="s">
        <v>15</v>
      </c>
      <c r="C2370">
        <v>3</v>
      </c>
      <c r="D2370">
        <v>16</v>
      </c>
      <c r="E2370" s="3">
        <f t="shared" si="36"/>
        <v>30</v>
      </c>
    </row>
    <row r="2371" spans="1:5" x14ac:dyDescent="0.2">
      <c r="A2371">
        <v>2</v>
      </c>
      <c r="B2371" t="s">
        <v>69</v>
      </c>
      <c r="C2371">
        <v>2</v>
      </c>
      <c r="D2371">
        <v>12</v>
      </c>
      <c r="E2371" s="3">
        <f t="shared" si="36"/>
        <v>30</v>
      </c>
    </row>
    <row r="2372" spans="1:5" x14ac:dyDescent="0.2">
      <c r="A2372">
        <v>3</v>
      </c>
      <c r="B2372" t="s">
        <v>452</v>
      </c>
      <c r="C2372">
        <v>0</v>
      </c>
      <c r="D2372">
        <v>8</v>
      </c>
      <c r="E2372" s="3">
        <f t="shared" ref="E2372:E2435" si="37">IF(A2372=$A$1,E2371+1,E2371)</f>
        <v>30</v>
      </c>
    </row>
    <row r="2373" spans="1:5" x14ac:dyDescent="0.2">
      <c r="A2373">
        <v>4</v>
      </c>
      <c r="B2373" t="s">
        <v>14</v>
      </c>
      <c r="C2373">
        <v>0</v>
      </c>
      <c r="D2373">
        <v>4</v>
      </c>
      <c r="E2373" s="3">
        <f t="shared" si="37"/>
        <v>30</v>
      </c>
    </row>
    <row r="2374" spans="1:5" x14ac:dyDescent="0.2">
      <c r="A2374">
        <v>5</v>
      </c>
      <c r="B2374" t="s">
        <v>502</v>
      </c>
      <c r="C2374">
        <v>0</v>
      </c>
      <c r="D2374">
        <v>2</v>
      </c>
      <c r="E2374" s="3">
        <f t="shared" si="37"/>
        <v>30</v>
      </c>
    </row>
    <row r="2375" spans="1:5" x14ac:dyDescent="0.2">
      <c r="A2375">
        <v>6</v>
      </c>
      <c r="B2375" t="s">
        <v>557</v>
      </c>
      <c r="C2375">
        <v>0</v>
      </c>
      <c r="D2375">
        <v>1</v>
      </c>
      <c r="E2375" s="3">
        <f t="shared" si="37"/>
        <v>30</v>
      </c>
    </row>
    <row r="2376" spans="1:5" x14ac:dyDescent="0.2">
      <c r="A2376">
        <v>7</v>
      </c>
      <c r="B2376" s="2" t="s">
        <v>10</v>
      </c>
      <c r="C2376" s="2" t="s">
        <v>10</v>
      </c>
      <c r="D2376" s="2" t="s">
        <v>10</v>
      </c>
      <c r="E2376" s="3">
        <f t="shared" si="37"/>
        <v>30</v>
      </c>
    </row>
    <row r="2377" spans="1:5" x14ac:dyDescent="0.2">
      <c r="A2377">
        <v>8</v>
      </c>
      <c r="B2377" s="2" t="s">
        <v>10</v>
      </c>
      <c r="C2377" s="2" t="s">
        <v>10</v>
      </c>
      <c r="D2377" s="2" t="s">
        <v>10</v>
      </c>
      <c r="E2377" s="3">
        <f t="shared" si="37"/>
        <v>30</v>
      </c>
    </row>
    <row r="2378" spans="1:5" x14ac:dyDescent="0.2">
      <c r="A2378" s="1" t="s">
        <v>539</v>
      </c>
      <c r="E2378" s="3">
        <f t="shared" si="37"/>
        <v>30</v>
      </c>
    </row>
    <row r="2379" spans="1:5" x14ac:dyDescent="0.2">
      <c r="A2379" s="1" t="s">
        <v>1</v>
      </c>
      <c r="B2379" s="1" t="s">
        <v>2</v>
      </c>
      <c r="C2379" s="1" t="s">
        <v>3</v>
      </c>
      <c r="D2379" s="1" t="s">
        <v>4</v>
      </c>
      <c r="E2379" s="3">
        <f t="shared" si="37"/>
        <v>30</v>
      </c>
    </row>
    <row r="2380" spans="1:5" x14ac:dyDescent="0.2">
      <c r="A2380">
        <v>1</v>
      </c>
      <c r="B2380" t="s">
        <v>27</v>
      </c>
      <c r="C2380">
        <v>3</v>
      </c>
      <c r="D2380">
        <v>16</v>
      </c>
      <c r="E2380" s="3">
        <f t="shared" si="37"/>
        <v>30</v>
      </c>
    </row>
    <row r="2381" spans="1:5" x14ac:dyDescent="0.2">
      <c r="A2381">
        <v>2</v>
      </c>
      <c r="B2381" t="s">
        <v>280</v>
      </c>
      <c r="C2381">
        <v>2</v>
      </c>
      <c r="D2381">
        <v>12</v>
      </c>
      <c r="E2381" s="3">
        <f t="shared" si="37"/>
        <v>30</v>
      </c>
    </row>
    <row r="2382" spans="1:5" x14ac:dyDescent="0.2">
      <c r="A2382">
        <v>3</v>
      </c>
      <c r="B2382" t="s">
        <v>74</v>
      </c>
      <c r="C2382">
        <v>0</v>
      </c>
      <c r="D2382">
        <v>8</v>
      </c>
      <c r="E2382" s="3">
        <f t="shared" si="37"/>
        <v>30</v>
      </c>
    </row>
    <row r="2383" spans="1:5" x14ac:dyDescent="0.2">
      <c r="A2383">
        <v>4</v>
      </c>
      <c r="B2383" t="s">
        <v>46</v>
      </c>
      <c r="C2383">
        <v>0</v>
      </c>
      <c r="D2383">
        <v>4</v>
      </c>
      <c r="E2383" s="3">
        <f t="shared" si="37"/>
        <v>30</v>
      </c>
    </row>
    <row r="2384" spans="1:5" x14ac:dyDescent="0.2">
      <c r="A2384">
        <v>5</v>
      </c>
      <c r="B2384" t="s">
        <v>19</v>
      </c>
      <c r="C2384">
        <v>0</v>
      </c>
      <c r="D2384">
        <v>2</v>
      </c>
      <c r="E2384" s="3">
        <f t="shared" si="37"/>
        <v>30</v>
      </c>
    </row>
    <row r="2385" spans="1:5" x14ac:dyDescent="0.2">
      <c r="A2385">
        <v>6</v>
      </c>
      <c r="B2385" t="s">
        <v>485</v>
      </c>
      <c r="C2385">
        <v>0</v>
      </c>
      <c r="D2385">
        <v>1</v>
      </c>
      <c r="E2385" s="3">
        <f t="shared" si="37"/>
        <v>30</v>
      </c>
    </row>
    <row r="2386" spans="1:5" x14ac:dyDescent="0.2">
      <c r="A2386">
        <v>7</v>
      </c>
      <c r="B2386" s="2" t="s">
        <v>10</v>
      </c>
      <c r="C2386" s="2" t="s">
        <v>10</v>
      </c>
      <c r="D2386" s="2" t="s">
        <v>10</v>
      </c>
      <c r="E2386" s="3">
        <f t="shared" si="37"/>
        <v>30</v>
      </c>
    </row>
    <row r="2387" spans="1:5" x14ac:dyDescent="0.2">
      <c r="A2387">
        <v>8</v>
      </c>
      <c r="B2387" s="2" t="s">
        <v>10</v>
      </c>
      <c r="C2387" s="2" t="s">
        <v>10</v>
      </c>
      <c r="D2387" s="2" t="s">
        <v>10</v>
      </c>
      <c r="E2387" s="3">
        <f t="shared" si="37"/>
        <v>30</v>
      </c>
    </row>
    <row r="2388" spans="1:5" x14ac:dyDescent="0.2">
      <c r="A2388" s="1" t="s">
        <v>540</v>
      </c>
      <c r="E2388" s="3">
        <f t="shared" si="37"/>
        <v>30</v>
      </c>
    </row>
    <row r="2389" spans="1:5" x14ac:dyDescent="0.2">
      <c r="A2389" s="1" t="s">
        <v>1</v>
      </c>
      <c r="B2389" s="1" t="s">
        <v>2</v>
      </c>
      <c r="C2389" s="1" t="s">
        <v>3</v>
      </c>
      <c r="D2389" s="1" t="s">
        <v>4</v>
      </c>
      <c r="E2389" s="3">
        <f t="shared" si="37"/>
        <v>30</v>
      </c>
    </row>
    <row r="2390" spans="1:5" x14ac:dyDescent="0.2">
      <c r="A2390">
        <v>1</v>
      </c>
      <c r="B2390" t="s">
        <v>9</v>
      </c>
      <c r="C2390">
        <v>2</v>
      </c>
      <c r="D2390">
        <v>17</v>
      </c>
      <c r="E2390" s="3">
        <f t="shared" si="37"/>
        <v>30</v>
      </c>
    </row>
    <row r="2391" spans="1:5" x14ac:dyDescent="0.2">
      <c r="A2391">
        <v>2</v>
      </c>
      <c r="B2391" t="s">
        <v>504</v>
      </c>
      <c r="C2391">
        <v>3</v>
      </c>
      <c r="D2391">
        <v>13</v>
      </c>
      <c r="E2391" s="3">
        <f t="shared" si="37"/>
        <v>30</v>
      </c>
    </row>
    <row r="2392" spans="1:5" x14ac:dyDescent="0.2">
      <c r="A2392">
        <v>3</v>
      </c>
      <c r="B2392" t="s">
        <v>81</v>
      </c>
      <c r="C2392">
        <v>1</v>
      </c>
      <c r="D2392">
        <v>9</v>
      </c>
      <c r="E2392" s="3">
        <f t="shared" si="37"/>
        <v>30</v>
      </c>
    </row>
    <row r="2393" spans="1:5" x14ac:dyDescent="0.2">
      <c r="A2393">
        <v>4</v>
      </c>
      <c r="B2393" t="s">
        <v>88</v>
      </c>
      <c r="C2393">
        <v>0</v>
      </c>
      <c r="D2393">
        <v>5</v>
      </c>
      <c r="E2393" s="3">
        <f t="shared" si="37"/>
        <v>30</v>
      </c>
    </row>
    <row r="2394" spans="1:5" x14ac:dyDescent="0.2">
      <c r="A2394">
        <v>5</v>
      </c>
      <c r="B2394" t="s">
        <v>505</v>
      </c>
      <c r="C2394">
        <v>0</v>
      </c>
      <c r="D2394">
        <v>3</v>
      </c>
      <c r="E2394" s="3">
        <f t="shared" si="37"/>
        <v>30</v>
      </c>
    </row>
    <row r="2395" spans="1:5" x14ac:dyDescent="0.2">
      <c r="A2395">
        <v>6</v>
      </c>
      <c r="B2395" t="s">
        <v>534</v>
      </c>
      <c r="C2395">
        <v>0</v>
      </c>
      <c r="D2395">
        <v>2</v>
      </c>
      <c r="E2395" s="3">
        <f t="shared" si="37"/>
        <v>30</v>
      </c>
    </row>
    <row r="2396" spans="1:5" x14ac:dyDescent="0.2">
      <c r="A2396">
        <v>7</v>
      </c>
      <c r="B2396" t="s">
        <v>42</v>
      </c>
      <c r="C2396">
        <v>0</v>
      </c>
      <c r="D2396">
        <v>1</v>
      </c>
      <c r="E2396" s="3">
        <f t="shared" si="37"/>
        <v>30</v>
      </c>
    </row>
    <row r="2397" spans="1:5" x14ac:dyDescent="0.2">
      <c r="A2397">
        <v>8</v>
      </c>
      <c r="B2397" s="2" t="s">
        <v>10</v>
      </c>
      <c r="C2397" s="2" t="s">
        <v>10</v>
      </c>
      <c r="D2397" s="2" t="s">
        <v>10</v>
      </c>
      <c r="E2397" s="3">
        <f t="shared" si="37"/>
        <v>30</v>
      </c>
    </row>
    <row r="2398" spans="1:5" x14ac:dyDescent="0.2">
      <c r="A2398" s="1" t="s">
        <v>541</v>
      </c>
      <c r="E2398" s="3">
        <f t="shared" si="37"/>
        <v>30</v>
      </c>
    </row>
    <row r="2399" spans="1:5" x14ac:dyDescent="0.2">
      <c r="A2399" s="1" t="s">
        <v>1</v>
      </c>
      <c r="B2399" s="1" t="s">
        <v>2</v>
      </c>
      <c r="C2399" s="1" t="s">
        <v>3</v>
      </c>
      <c r="D2399" s="1" t="s">
        <v>4</v>
      </c>
      <c r="E2399" s="3">
        <f t="shared" si="37"/>
        <v>30</v>
      </c>
    </row>
    <row r="2400" spans="1:5" x14ac:dyDescent="0.2">
      <c r="A2400">
        <v>1</v>
      </c>
      <c r="B2400" t="s">
        <v>516</v>
      </c>
      <c r="C2400">
        <v>4</v>
      </c>
      <c r="D2400">
        <v>17</v>
      </c>
      <c r="E2400" s="3">
        <f t="shared" si="37"/>
        <v>30</v>
      </c>
    </row>
    <row r="2401" spans="1:5" x14ac:dyDescent="0.2">
      <c r="A2401">
        <v>2</v>
      </c>
      <c r="B2401" t="s">
        <v>521</v>
      </c>
      <c r="C2401">
        <v>2</v>
      </c>
      <c r="D2401">
        <v>13</v>
      </c>
      <c r="E2401" s="3">
        <f t="shared" si="37"/>
        <v>30</v>
      </c>
    </row>
    <row r="2402" spans="1:5" x14ac:dyDescent="0.2">
      <c r="A2402">
        <v>3</v>
      </c>
      <c r="B2402" t="s">
        <v>32</v>
      </c>
      <c r="C2402">
        <v>0</v>
      </c>
      <c r="D2402">
        <v>9</v>
      </c>
      <c r="E2402" s="3">
        <f t="shared" si="37"/>
        <v>30</v>
      </c>
    </row>
    <row r="2403" spans="1:5" x14ac:dyDescent="0.2">
      <c r="A2403">
        <v>4</v>
      </c>
      <c r="B2403" t="s">
        <v>66</v>
      </c>
      <c r="C2403">
        <v>0</v>
      </c>
      <c r="D2403">
        <v>5</v>
      </c>
      <c r="E2403" s="3">
        <f t="shared" si="37"/>
        <v>30</v>
      </c>
    </row>
    <row r="2404" spans="1:5" x14ac:dyDescent="0.2">
      <c r="A2404">
        <v>5</v>
      </c>
      <c r="B2404" t="s">
        <v>500</v>
      </c>
      <c r="C2404">
        <v>0</v>
      </c>
      <c r="D2404">
        <v>3</v>
      </c>
      <c r="E2404" s="3">
        <f t="shared" si="37"/>
        <v>30</v>
      </c>
    </row>
    <row r="2405" spans="1:5" x14ac:dyDescent="0.2">
      <c r="A2405">
        <v>6</v>
      </c>
      <c r="B2405" t="s">
        <v>535</v>
      </c>
      <c r="C2405">
        <v>0</v>
      </c>
      <c r="D2405">
        <v>2</v>
      </c>
      <c r="E2405" s="3">
        <f t="shared" si="37"/>
        <v>30</v>
      </c>
    </row>
    <row r="2406" spans="1:5" x14ac:dyDescent="0.2">
      <c r="A2406">
        <v>7</v>
      </c>
      <c r="B2406" t="s">
        <v>479</v>
      </c>
      <c r="C2406">
        <v>0</v>
      </c>
      <c r="D2406">
        <v>1</v>
      </c>
      <c r="E2406" s="3">
        <f t="shared" si="37"/>
        <v>30</v>
      </c>
    </row>
    <row r="2407" spans="1:5" x14ac:dyDescent="0.2">
      <c r="A2407">
        <v>8</v>
      </c>
      <c r="B2407" s="2" t="s">
        <v>10</v>
      </c>
      <c r="C2407" s="2" t="s">
        <v>10</v>
      </c>
      <c r="D2407" s="2" t="s">
        <v>10</v>
      </c>
      <c r="E2407" s="3">
        <f t="shared" si="37"/>
        <v>30</v>
      </c>
    </row>
    <row r="2408" spans="1:5" x14ac:dyDescent="0.2">
      <c r="A2408" s="1" t="s">
        <v>542</v>
      </c>
      <c r="E2408" s="3">
        <f t="shared" si="37"/>
        <v>30</v>
      </c>
    </row>
    <row r="2409" spans="1:5" x14ac:dyDescent="0.2">
      <c r="A2409" s="1" t="s">
        <v>1</v>
      </c>
      <c r="B2409" s="1" t="s">
        <v>2</v>
      </c>
      <c r="C2409" s="1" t="s">
        <v>3</v>
      </c>
      <c r="D2409" s="1" t="s">
        <v>4</v>
      </c>
      <c r="E2409" s="3">
        <f t="shared" si="37"/>
        <v>30</v>
      </c>
    </row>
    <row r="2410" spans="1:5" x14ac:dyDescent="0.2">
      <c r="A2410">
        <v>1</v>
      </c>
      <c r="B2410" t="s">
        <v>501</v>
      </c>
      <c r="C2410">
        <v>3</v>
      </c>
      <c r="D2410">
        <v>17</v>
      </c>
      <c r="E2410" s="3">
        <f t="shared" si="37"/>
        <v>30</v>
      </c>
    </row>
    <row r="2411" spans="1:5" x14ac:dyDescent="0.2">
      <c r="A2411">
        <v>2</v>
      </c>
      <c r="B2411" t="s">
        <v>493</v>
      </c>
      <c r="C2411">
        <v>1</v>
      </c>
      <c r="D2411">
        <v>13</v>
      </c>
      <c r="E2411" s="3">
        <f t="shared" si="37"/>
        <v>30</v>
      </c>
    </row>
    <row r="2412" spans="1:5" x14ac:dyDescent="0.2">
      <c r="A2412">
        <v>3</v>
      </c>
      <c r="B2412" t="s">
        <v>490</v>
      </c>
      <c r="C2412">
        <v>1</v>
      </c>
      <c r="D2412">
        <v>9</v>
      </c>
      <c r="E2412" s="3">
        <f t="shared" si="37"/>
        <v>30</v>
      </c>
    </row>
    <row r="2413" spans="1:5" x14ac:dyDescent="0.2">
      <c r="A2413">
        <v>4</v>
      </c>
      <c r="B2413" t="s">
        <v>6</v>
      </c>
      <c r="C2413">
        <v>0</v>
      </c>
      <c r="D2413">
        <v>5</v>
      </c>
      <c r="E2413" s="3">
        <f t="shared" si="37"/>
        <v>30</v>
      </c>
    </row>
    <row r="2414" spans="1:5" x14ac:dyDescent="0.2">
      <c r="A2414">
        <v>5</v>
      </c>
      <c r="B2414" t="s">
        <v>40</v>
      </c>
      <c r="C2414">
        <v>1</v>
      </c>
      <c r="D2414">
        <v>3</v>
      </c>
      <c r="E2414" s="3">
        <f t="shared" si="37"/>
        <v>30</v>
      </c>
    </row>
    <row r="2415" spans="1:5" x14ac:dyDescent="0.2">
      <c r="A2415">
        <v>6</v>
      </c>
      <c r="B2415" t="s">
        <v>55</v>
      </c>
      <c r="C2415">
        <v>0</v>
      </c>
      <c r="D2415">
        <v>2</v>
      </c>
      <c r="E2415" s="3">
        <f t="shared" si="37"/>
        <v>30</v>
      </c>
    </row>
    <row r="2416" spans="1:5" x14ac:dyDescent="0.2">
      <c r="A2416">
        <v>7</v>
      </c>
      <c r="B2416" t="s">
        <v>345</v>
      </c>
      <c r="C2416">
        <v>0</v>
      </c>
      <c r="D2416">
        <v>1</v>
      </c>
      <c r="E2416" s="3">
        <f t="shared" si="37"/>
        <v>30</v>
      </c>
    </row>
    <row r="2417" spans="1:5" x14ac:dyDescent="0.2">
      <c r="A2417">
        <v>8</v>
      </c>
      <c r="B2417" s="2" t="s">
        <v>10</v>
      </c>
      <c r="C2417" s="2" t="s">
        <v>10</v>
      </c>
      <c r="D2417" s="2" t="s">
        <v>10</v>
      </c>
      <c r="E2417" s="3">
        <f t="shared" si="37"/>
        <v>30</v>
      </c>
    </row>
    <row r="2418" spans="1:5" x14ac:dyDescent="0.2">
      <c r="A2418" s="1" t="s">
        <v>543</v>
      </c>
      <c r="E2418" s="3">
        <f t="shared" si="37"/>
        <v>30</v>
      </c>
    </row>
    <row r="2419" spans="1:5" x14ac:dyDescent="0.2">
      <c r="A2419" s="1" t="s">
        <v>1</v>
      </c>
      <c r="B2419" s="1" t="s">
        <v>2</v>
      </c>
      <c r="C2419" s="1" t="s">
        <v>3</v>
      </c>
      <c r="D2419" s="1" t="s">
        <v>4</v>
      </c>
      <c r="E2419" s="3">
        <f t="shared" si="37"/>
        <v>30</v>
      </c>
    </row>
    <row r="2420" spans="1:5" x14ac:dyDescent="0.2">
      <c r="A2420">
        <v>1</v>
      </c>
      <c r="B2420" t="s">
        <v>512</v>
      </c>
      <c r="C2420">
        <v>4</v>
      </c>
      <c r="D2420">
        <v>16</v>
      </c>
      <c r="E2420" s="3">
        <f t="shared" si="37"/>
        <v>30</v>
      </c>
    </row>
    <row r="2421" spans="1:5" x14ac:dyDescent="0.2">
      <c r="A2421">
        <v>2</v>
      </c>
      <c r="B2421" t="s">
        <v>552</v>
      </c>
      <c r="C2421">
        <v>0</v>
      </c>
      <c r="D2421">
        <v>12</v>
      </c>
      <c r="E2421" s="3">
        <f t="shared" si="37"/>
        <v>30</v>
      </c>
    </row>
    <row r="2422" spans="1:5" x14ac:dyDescent="0.2">
      <c r="A2422">
        <v>3</v>
      </c>
      <c r="B2422" t="s">
        <v>503</v>
      </c>
      <c r="C2422">
        <v>1</v>
      </c>
      <c r="D2422">
        <v>8</v>
      </c>
      <c r="E2422" s="3">
        <f t="shared" si="37"/>
        <v>30</v>
      </c>
    </row>
    <row r="2423" spans="1:5" x14ac:dyDescent="0.2">
      <c r="A2423">
        <v>4</v>
      </c>
      <c r="B2423" t="s">
        <v>73</v>
      </c>
      <c r="C2423">
        <v>0</v>
      </c>
      <c r="D2423">
        <v>4</v>
      </c>
      <c r="E2423" s="3">
        <f t="shared" si="37"/>
        <v>30</v>
      </c>
    </row>
    <row r="2424" spans="1:5" x14ac:dyDescent="0.2">
      <c r="A2424">
        <v>5</v>
      </c>
      <c r="B2424" t="s">
        <v>556</v>
      </c>
      <c r="C2424">
        <v>0</v>
      </c>
      <c r="D2424">
        <v>2</v>
      </c>
      <c r="E2424" s="3">
        <f t="shared" si="37"/>
        <v>30</v>
      </c>
    </row>
    <row r="2425" spans="1:5" x14ac:dyDescent="0.2">
      <c r="A2425">
        <v>6</v>
      </c>
      <c r="B2425" t="s">
        <v>87</v>
      </c>
      <c r="C2425">
        <v>0</v>
      </c>
      <c r="D2425">
        <v>1</v>
      </c>
      <c r="E2425" s="3">
        <f t="shared" si="37"/>
        <v>30</v>
      </c>
    </row>
    <row r="2426" spans="1:5" x14ac:dyDescent="0.2">
      <c r="A2426">
        <v>7</v>
      </c>
      <c r="B2426" s="2" t="s">
        <v>10</v>
      </c>
      <c r="C2426" s="2" t="s">
        <v>10</v>
      </c>
      <c r="D2426" s="2" t="s">
        <v>10</v>
      </c>
      <c r="E2426" s="3">
        <f t="shared" si="37"/>
        <v>30</v>
      </c>
    </row>
    <row r="2427" spans="1:5" x14ac:dyDescent="0.2">
      <c r="A2427">
        <v>8</v>
      </c>
      <c r="B2427" s="2" t="s">
        <v>10</v>
      </c>
      <c r="C2427" s="2" t="s">
        <v>10</v>
      </c>
      <c r="D2427" s="2" t="s">
        <v>10</v>
      </c>
      <c r="E2427" s="3">
        <f t="shared" si="37"/>
        <v>30</v>
      </c>
    </row>
    <row r="2428" spans="1:5" x14ac:dyDescent="0.2">
      <c r="A2428" s="1" t="s">
        <v>544</v>
      </c>
      <c r="E2428" s="3">
        <f t="shared" si="37"/>
        <v>30</v>
      </c>
    </row>
    <row r="2429" spans="1:5" x14ac:dyDescent="0.2">
      <c r="A2429" s="1" t="s">
        <v>1</v>
      </c>
      <c r="B2429" s="1" t="s">
        <v>2</v>
      </c>
      <c r="C2429" s="1" t="s">
        <v>3</v>
      </c>
      <c r="D2429" s="1" t="s">
        <v>4</v>
      </c>
      <c r="E2429" s="3">
        <f t="shared" si="37"/>
        <v>30</v>
      </c>
    </row>
    <row r="2430" spans="1:5" x14ac:dyDescent="0.2">
      <c r="A2430">
        <v>1</v>
      </c>
      <c r="B2430" t="s">
        <v>554</v>
      </c>
      <c r="C2430">
        <v>4</v>
      </c>
      <c r="D2430">
        <v>16</v>
      </c>
      <c r="E2430" s="3">
        <f t="shared" si="37"/>
        <v>30</v>
      </c>
    </row>
    <row r="2431" spans="1:5" x14ac:dyDescent="0.2">
      <c r="A2431">
        <v>2</v>
      </c>
      <c r="B2431" t="s">
        <v>75</v>
      </c>
      <c r="C2431">
        <v>1</v>
      </c>
      <c r="D2431">
        <v>12</v>
      </c>
      <c r="E2431" s="3">
        <f t="shared" si="37"/>
        <v>30</v>
      </c>
    </row>
    <row r="2432" spans="1:5" x14ac:dyDescent="0.2">
      <c r="A2432">
        <v>3</v>
      </c>
      <c r="B2432" t="s">
        <v>475</v>
      </c>
      <c r="C2432">
        <v>0</v>
      </c>
      <c r="D2432">
        <v>8</v>
      </c>
      <c r="E2432" s="3">
        <f t="shared" si="37"/>
        <v>30</v>
      </c>
    </row>
    <row r="2433" spans="1:5" x14ac:dyDescent="0.2">
      <c r="A2433">
        <v>4</v>
      </c>
      <c r="B2433" t="s">
        <v>21</v>
      </c>
      <c r="C2433">
        <v>0</v>
      </c>
      <c r="D2433">
        <v>4</v>
      </c>
      <c r="E2433" s="3">
        <f t="shared" si="37"/>
        <v>30</v>
      </c>
    </row>
    <row r="2434" spans="1:5" x14ac:dyDescent="0.2">
      <c r="A2434">
        <v>5</v>
      </c>
      <c r="B2434" t="s">
        <v>65</v>
      </c>
      <c r="C2434">
        <v>0</v>
      </c>
      <c r="D2434">
        <v>2</v>
      </c>
      <c r="E2434" s="3">
        <f t="shared" si="37"/>
        <v>30</v>
      </c>
    </row>
    <row r="2435" spans="1:5" x14ac:dyDescent="0.2">
      <c r="A2435">
        <v>6</v>
      </c>
      <c r="B2435" t="s">
        <v>476</v>
      </c>
      <c r="C2435">
        <v>0</v>
      </c>
      <c r="D2435">
        <v>1</v>
      </c>
      <c r="E2435" s="3">
        <f t="shared" si="37"/>
        <v>30</v>
      </c>
    </row>
    <row r="2436" spans="1:5" x14ac:dyDescent="0.2">
      <c r="A2436">
        <v>7</v>
      </c>
      <c r="B2436" s="2" t="s">
        <v>10</v>
      </c>
      <c r="C2436" s="2" t="s">
        <v>10</v>
      </c>
      <c r="D2436" s="2" t="s">
        <v>10</v>
      </c>
      <c r="E2436" s="3">
        <f t="shared" ref="E2436:E2499" si="38">IF(A2436=$A$1,E2435+1,E2435)</f>
        <v>30</v>
      </c>
    </row>
    <row r="2437" spans="1:5" x14ac:dyDescent="0.2">
      <c r="A2437">
        <v>8</v>
      </c>
      <c r="B2437" s="2" t="s">
        <v>10</v>
      </c>
      <c r="C2437" s="2" t="s">
        <v>10</v>
      </c>
      <c r="D2437" s="2" t="s">
        <v>10</v>
      </c>
      <c r="E2437" s="3">
        <f t="shared" si="38"/>
        <v>30</v>
      </c>
    </row>
    <row r="2438" spans="1:5" x14ac:dyDescent="0.2">
      <c r="A2438" s="1" t="s">
        <v>0</v>
      </c>
      <c r="E2438" s="3">
        <f t="shared" si="38"/>
        <v>31</v>
      </c>
    </row>
    <row r="2439" spans="1:5" x14ac:dyDescent="0.2">
      <c r="A2439" s="1" t="s">
        <v>1</v>
      </c>
      <c r="B2439" s="1" t="s">
        <v>2</v>
      </c>
      <c r="C2439" s="1" t="s">
        <v>3</v>
      </c>
      <c r="D2439" s="1" t="s">
        <v>4</v>
      </c>
      <c r="E2439" s="3">
        <f t="shared" si="38"/>
        <v>31</v>
      </c>
    </row>
    <row r="2440" spans="1:5" x14ac:dyDescent="0.2">
      <c r="A2440">
        <v>0</v>
      </c>
      <c r="C2440">
        <v>0</v>
      </c>
      <c r="D2440">
        <v>0</v>
      </c>
      <c r="E2440" s="3">
        <f t="shared" si="38"/>
        <v>31</v>
      </c>
    </row>
    <row r="2441" spans="1:5" x14ac:dyDescent="0.2">
      <c r="A2441">
        <v>0</v>
      </c>
      <c r="C2441">
        <v>0</v>
      </c>
      <c r="D2441">
        <v>0</v>
      </c>
      <c r="E2441" s="3">
        <f t="shared" si="38"/>
        <v>31</v>
      </c>
    </row>
    <row r="2442" spans="1:5" x14ac:dyDescent="0.2">
      <c r="A2442">
        <v>1</v>
      </c>
      <c r="B2442" t="s">
        <v>512</v>
      </c>
      <c r="C2442">
        <v>4</v>
      </c>
      <c r="D2442">
        <v>16</v>
      </c>
      <c r="E2442" s="3">
        <f t="shared" si="38"/>
        <v>31</v>
      </c>
    </row>
    <row r="2443" spans="1:5" x14ac:dyDescent="0.2">
      <c r="A2443">
        <v>2</v>
      </c>
      <c r="B2443" t="s">
        <v>345</v>
      </c>
      <c r="C2443">
        <v>0</v>
      </c>
      <c r="D2443">
        <v>12</v>
      </c>
      <c r="E2443" s="3">
        <f t="shared" si="38"/>
        <v>31</v>
      </c>
    </row>
    <row r="2444" spans="1:5" x14ac:dyDescent="0.2">
      <c r="A2444">
        <v>3</v>
      </c>
      <c r="B2444" t="s">
        <v>46</v>
      </c>
      <c r="C2444">
        <v>1</v>
      </c>
      <c r="D2444">
        <v>8</v>
      </c>
      <c r="E2444" s="3">
        <f t="shared" si="38"/>
        <v>31</v>
      </c>
    </row>
    <row r="2445" spans="1:5" x14ac:dyDescent="0.2">
      <c r="A2445">
        <v>4</v>
      </c>
      <c r="B2445" t="s">
        <v>525</v>
      </c>
      <c r="C2445">
        <v>0</v>
      </c>
      <c r="D2445">
        <v>4</v>
      </c>
      <c r="E2445" s="3">
        <f t="shared" si="38"/>
        <v>31</v>
      </c>
    </row>
    <row r="2446" spans="1:5" x14ac:dyDescent="0.2">
      <c r="A2446">
        <v>5</v>
      </c>
      <c r="B2446" t="s">
        <v>485</v>
      </c>
      <c r="C2446">
        <v>0</v>
      </c>
      <c r="D2446">
        <v>2</v>
      </c>
      <c r="E2446" s="3">
        <f t="shared" si="38"/>
        <v>31</v>
      </c>
    </row>
    <row r="2447" spans="1:5" x14ac:dyDescent="0.2">
      <c r="A2447">
        <v>6</v>
      </c>
      <c r="B2447" t="s">
        <v>535</v>
      </c>
      <c r="C2447">
        <v>0</v>
      </c>
      <c r="D2447">
        <v>1</v>
      </c>
      <c r="E2447" s="3">
        <f t="shared" si="38"/>
        <v>31</v>
      </c>
    </row>
    <row r="2448" spans="1:5" x14ac:dyDescent="0.2">
      <c r="A2448">
        <v>9</v>
      </c>
      <c r="B2448" s="2" t="s">
        <v>10</v>
      </c>
      <c r="C2448" s="2" t="s">
        <v>10</v>
      </c>
      <c r="D2448" s="2" t="s">
        <v>10</v>
      </c>
      <c r="E2448" s="3">
        <f t="shared" si="38"/>
        <v>31</v>
      </c>
    </row>
    <row r="2449" spans="1:5" x14ac:dyDescent="0.2">
      <c r="A2449">
        <v>10</v>
      </c>
      <c r="B2449" s="2" t="s">
        <v>10</v>
      </c>
      <c r="C2449" s="2" t="s">
        <v>10</v>
      </c>
      <c r="D2449" s="2" t="s">
        <v>10</v>
      </c>
      <c r="E2449" s="3">
        <f t="shared" si="38"/>
        <v>31</v>
      </c>
    </row>
    <row r="2450" spans="1:5" x14ac:dyDescent="0.2">
      <c r="A2450" s="1" t="s">
        <v>11</v>
      </c>
      <c r="E2450" s="3">
        <f t="shared" si="38"/>
        <v>31</v>
      </c>
    </row>
    <row r="2451" spans="1:5" x14ac:dyDescent="0.2">
      <c r="A2451" s="1" t="s">
        <v>1</v>
      </c>
      <c r="B2451" s="1" t="s">
        <v>2</v>
      </c>
      <c r="C2451" s="1" t="s">
        <v>3</v>
      </c>
      <c r="D2451" s="1" t="s">
        <v>4</v>
      </c>
      <c r="E2451" s="3">
        <f t="shared" si="38"/>
        <v>31</v>
      </c>
    </row>
    <row r="2452" spans="1:5" x14ac:dyDescent="0.2">
      <c r="A2452">
        <v>1</v>
      </c>
      <c r="B2452" t="s">
        <v>554</v>
      </c>
      <c r="C2452">
        <v>2</v>
      </c>
      <c r="D2452">
        <v>16</v>
      </c>
      <c r="E2452" s="3">
        <f t="shared" si="38"/>
        <v>31</v>
      </c>
    </row>
    <row r="2453" spans="1:5" x14ac:dyDescent="0.2">
      <c r="A2453">
        <v>2</v>
      </c>
      <c r="B2453" t="s">
        <v>9</v>
      </c>
      <c r="C2453">
        <v>2</v>
      </c>
      <c r="D2453">
        <v>12</v>
      </c>
      <c r="E2453" s="3">
        <f t="shared" si="38"/>
        <v>31</v>
      </c>
    </row>
    <row r="2454" spans="1:5" x14ac:dyDescent="0.2">
      <c r="A2454">
        <v>3</v>
      </c>
      <c r="B2454" t="s">
        <v>35</v>
      </c>
      <c r="C2454">
        <v>1</v>
      </c>
      <c r="D2454">
        <v>8</v>
      </c>
      <c r="E2454" s="3">
        <f t="shared" si="38"/>
        <v>31</v>
      </c>
    </row>
    <row r="2455" spans="1:5" x14ac:dyDescent="0.2">
      <c r="A2455">
        <v>4</v>
      </c>
      <c r="B2455" t="s">
        <v>493</v>
      </c>
      <c r="C2455">
        <v>0</v>
      </c>
      <c r="D2455">
        <v>4</v>
      </c>
      <c r="E2455" s="3">
        <f t="shared" si="38"/>
        <v>31</v>
      </c>
    </row>
    <row r="2456" spans="1:5" x14ac:dyDescent="0.2">
      <c r="A2456">
        <v>5</v>
      </c>
      <c r="B2456" t="s">
        <v>42</v>
      </c>
      <c r="C2456">
        <v>0</v>
      </c>
      <c r="D2456">
        <v>2</v>
      </c>
      <c r="E2456" s="3">
        <f t="shared" si="38"/>
        <v>31</v>
      </c>
    </row>
    <row r="2457" spans="1:5" x14ac:dyDescent="0.2">
      <c r="A2457">
        <v>6</v>
      </c>
      <c r="B2457" t="s">
        <v>516</v>
      </c>
      <c r="C2457">
        <v>0</v>
      </c>
      <c r="D2457">
        <v>1</v>
      </c>
      <c r="E2457" s="3">
        <f t="shared" si="38"/>
        <v>31</v>
      </c>
    </row>
    <row r="2458" spans="1:5" x14ac:dyDescent="0.2">
      <c r="A2458">
        <v>7</v>
      </c>
      <c r="B2458" s="2" t="s">
        <v>10</v>
      </c>
      <c r="C2458" s="2" t="s">
        <v>10</v>
      </c>
      <c r="D2458" s="2" t="s">
        <v>10</v>
      </c>
      <c r="E2458" s="3">
        <f t="shared" si="38"/>
        <v>31</v>
      </c>
    </row>
    <row r="2459" spans="1:5" x14ac:dyDescent="0.2">
      <c r="A2459">
        <v>8</v>
      </c>
      <c r="B2459" s="2" t="s">
        <v>10</v>
      </c>
      <c r="C2459" s="2" t="s">
        <v>10</v>
      </c>
      <c r="D2459" s="2" t="s">
        <v>10</v>
      </c>
      <c r="E2459" s="3">
        <f t="shared" si="38"/>
        <v>31</v>
      </c>
    </row>
    <row r="2460" spans="1:5" x14ac:dyDescent="0.2">
      <c r="A2460" s="1" t="s">
        <v>17</v>
      </c>
      <c r="E2460" s="3">
        <f t="shared" si="38"/>
        <v>31</v>
      </c>
    </row>
    <row r="2461" spans="1:5" x14ac:dyDescent="0.2">
      <c r="A2461" s="1" t="s">
        <v>1</v>
      </c>
      <c r="B2461" s="1" t="s">
        <v>2</v>
      </c>
      <c r="C2461" s="1" t="s">
        <v>3</v>
      </c>
      <c r="D2461" s="1" t="s">
        <v>4</v>
      </c>
      <c r="E2461" s="3">
        <f t="shared" si="38"/>
        <v>31</v>
      </c>
    </row>
    <row r="2462" spans="1:5" x14ac:dyDescent="0.2">
      <c r="A2462">
        <v>1</v>
      </c>
      <c r="B2462" t="s">
        <v>61</v>
      </c>
      <c r="C2462">
        <v>2</v>
      </c>
      <c r="D2462">
        <v>16</v>
      </c>
      <c r="E2462" s="3">
        <f t="shared" si="38"/>
        <v>31</v>
      </c>
    </row>
    <row r="2463" spans="1:5" x14ac:dyDescent="0.2">
      <c r="A2463">
        <v>2</v>
      </c>
      <c r="B2463" t="s">
        <v>14</v>
      </c>
      <c r="C2463">
        <v>1</v>
      </c>
      <c r="D2463">
        <v>12</v>
      </c>
      <c r="E2463" s="3">
        <f t="shared" si="38"/>
        <v>31</v>
      </c>
    </row>
    <row r="2464" spans="1:5" x14ac:dyDescent="0.2">
      <c r="A2464">
        <v>3</v>
      </c>
      <c r="B2464" t="s">
        <v>55</v>
      </c>
      <c r="C2464">
        <v>2</v>
      </c>
      <c r="D2464">
        <v>8</v>
      </c>
      <c r="E2464" s="3">
        <f t="shared" si="38"/>
        <v>31</v>
      </c>
    </row>
    <row r="2465" spans="1:5" x14ac:dyDescent="0.2">
      <c r="A2465">
        <v>4</v>
      </c>
      <c r="B2465" t="s">
        <v>69</v>
      </c>
      <c r="C2465">
        <v>0</v>
      </c>
      <c r="D2465">
        <v>4</v>
      </c>
      <c r="E2465" s="3">
        <f t="shared" si="38"/>
        <v>31</v>
      </c>
    </row>
    <row r="2466" spans="1:5" x14ac:dyDescent="0.2">
      <c r="A2466">
        <v>5</v>
      </c>
      <c r="B2466" t="s">
        <v>479</v>
      </c>
      <c r="C2466">
        <v>0</v>
      </c>
      <c r="D2466">
        <v>2</v>
      </c>
      <c r="E2466" s="3">
        <f t="shared" si="38"/>
        <v>31</v>
      </c>
    </row>
    <row r="2467" spans="1:5" x14ac:dyDescent="0.2">
      <c r="A2467">
        <v>6</v>
      </c>
      <c r="B2467" t="s">
        <v>75</v>
      </c>
      <c r="C2467">
        <v>0</v>
      </c>
      <c r="D2467">
        <v>1</v>
      </c>
      <c r="E2467" s="3">
        <f t="shared" si="38"/>
        <v>31</v>
      </c>
    </row>
    <row r="2468" spans="1:5" x14ac:dyDescent="0.2">
      <c r="A2468">
        <v>7</v>
      </c>
      <c r="B2468" s="2" t="s">
        <v>10</v>
      </c>
      <c r="C2468" s="2" t="s">
        <v>10</v>
      </c>
      <c r="D2468" s="2" t="s">
        <v>10</v>
      </c>
      <c r="E2468" s="3">
        <f t="shared" si="38"/>
        <v>31</v>
      </c>
    </row>
    <row r="2469" spans="1:5" x14ac:dyDescent="0.2">
      <c r="A2469">
        <v>8</v>
      </c>
      <c r="B2469" s="2" t="s">
        <v>10</v>
      </c>
      <c r="C2469" s="2" t="s">
        <v>10</v>
      </c>
      <c r="D2469" s="2" t="s">
        <v>10</v>
      </c>
      <c r="E2469" s="3">
        <f t="shared" si="38"/>
        <v>31</v>
      </c>
    </row>
    <row r="2470" spans="1:5" x14ac:dyDescent="0.2">
      <c r="A2470" s="1" t="s">
        <v>24</v>
      </c>
      <c r="E2470" s="3">
        <f t="shared" si="38"/>
        <v>31</v>
      </c>
    </row>
    <row r="2471" spans="1:5" x14ac:dyDescent="0.2">
      <c r="A2471" s="1" t="s">
        <v>1</v>
      </c>
      <c r="B2471" s="1" t="s">
        <v>2</v>
      </c>
      <c r="C2471" s="1" t="s">
        <v>3</v>
      </c>
      <c r="D2471" s="1" t="s">
        <v>4</v>
      </c>
      <c r="E2471" s="3">
        <f t="shared" si="38"/>
        <v>31</v>
      </c>
    </row>
    <row r="2472" spans="1:5" x14ac:dyDescent="0.2">
      <c r="A2472">
        <v>1</v>
      </c>
      <c r="B2472" t="s">
        <v>558</v>
      </c>
      <c r="C2472">
        <v>4</v>
      </c>
      <c r="D2472">
        <v>16</v>
      </c>
      <c r="E2472" s="3">
        <f t="shared" si="38"/>
        <v>31</v>
      </c>
    </row>
    <row r="2473" spans="1:5" x14ac:dyDescent="0.2">
      <c r="A2473">
        <v>2</v>
      </c>
      <c r="B2473" t="s">
        <v>534</v>
      </c>
      <c r="C2473">
        <v>1</v>
      </c>
      <c r="D2473">
        <v>12</v>
      </c>
      <c r="E2473" s="3">
        <f t="shared" si="38"/>
        <v>31</v>
      </c>
    </row>
    <row r="2474" spans="1:5" x14ac:dyDescent="0.2">
      <c r="A2474">
        <v>3</v>
      </c>
      <c r="B2474" t="s">
        <v>508</v>
      </c>
      <c r="C2474">
        <v>0</v>
      </c>
      <c r="D2474">
        <v>8</v>
      </c>
      <c r="E2474" s="3">
        <f t="shared" si="38"/>
        <v>31</v>
      </c>
    </row>
    <row r="2475" spans="1:5" x14ac:dyDescent="0.2">
      <c r="A2475">
        <v>4</v>
      </c>
      <c r="B2475" t="s">
        <v>504</v>
      </c>
      <c r="C2475">
        <v>0</v>
      </c>
      <c r="D2475">
        <v>4</v>
      </c>
      <c r="E2475" s="3">
        <f t="shared" si="38"/>
        <v>31</v>
      </c>
    </row>
    <row r="2476" spans="1:5" x14ac:dyDescent="0.2">
      <c r="A2476">
        <v>5</v>
      </c>
      <c r="B2476" t="s">
        <v>32</v>
      </c>
      <c r="C2476">
        <v>0</v>
      </c>
      <c r="D2476">
        <v>2</v>
      </c>
      <c r="E2476" s="3">
        <f t="shared" si="38"/>
        <v>31</v>
      </c>
    </row>
    <row r="2477" spans="1:5" x14ac:dyDescent="0.2">
      <c r="A2477">
        <v>6</v>
      </c>
      <c r="B2477" t="s">
        <v>27</v>
      </c>
      <c r="C2477">
        <v>0</v>
      </c>
      <c r="D2477">
        <v>1</v>
      </c>
      <c r="E2477" s="3">
        <f t="shared" si="38"/>
        <v>31</v>
      </c>
    </row>
    <row r="2478" spans="1:5" x14ac:dyDescent="0.2">
      <c r="A2478">
        <v>7</v>
      </c>
      <c r="B2478" s="2" t="s">
        <v>10</v>
      </c>
      <c r="C2478" s="2" t="s">
        <v>10</v>
      </c>
      <c r="D2478" s="2" t="s">
        <v>10</v>
      </c>
      <c r="E2478" s="3">
        <f t="shared" si="38"/>
        <v>31</v>
      </c>
    </row>
    <row r="2479" spans="1:5" x14ac:dyDescent="0.2">
      <c r="A2479">
        <v>8</v>
      </c>
      <c r="B2479" s="2" t="s">
        <v>10</v>
      </c>
      <c r="C2479" s="2" t="s">
        <v>10</v>
      </c>
      <c r="D2479" s="2" t="s">
        <v>10</v>
      </c>
      <c r="E2479" s="3">
        <f t="shared" si="38"/>
        <v>31</v>
      </c>
    </row>
    <row r="2480" spans="1:5" x14ac:dyDescent="0.2">
      <c r="A2480" s="1" t="s">
        <v>30</v>
      </c>
      <c r="E2480" s="3">
        <f t="shared" si="38"/>
        <v>31</v>
      </c>
    </row>
    <row r="2481" spans="1:5" x14ac:dyDescent="0.2">
      <c r="A2481" s="1" t="s">
        <v>1</v>
      </c>
      <c r="B2481" s="1" t="s">
        <v>2</v>
      </c>
      <c r="C2481" s="1" t="s">
        <v>3</v>
      </c>
      <c r="D2481" s="1" t="s">
        <v>4</v>
      </c>
      <c r="E2481" s="3">
        <f t="shared" si="38"/>
        <v>31</v>
      </c>
    </row>
    <row r="2482" spans="1:5" x14ac:dyDescent="0.2">
      <c r="A2482">
        <v>1</v>
      </c>
      <c r="B2482" t="s">
        <v>73</v>
      </c>
      <c r="C2482">
        <v>4</v>
      </c>
      <c r="D2482">
        <v>17</v>
      </c>
      <c r="E2482" s="3">
        <f t="shared" si="38"/>
        <v>31</v>
      </c>
    </row>
    <row r="2483" spans="1:5" x14ac:dyDescent="0.2">
      <c r="A2483">
        <v>2</v>
      </c>
      <c r="B2483" t="s">
        <v>454</v>
      </c>
      <c r="C2483">
        <v>1</v>
      </c>
      <c r="D2483">
        <v>13</v>
      </c>
      <c r="E2483" s="3">
        <f t="shared" si="38"/>
        <v>31</v>
      </c>
    </row>
    <row r="2484" spans="1:5" x14ac:dyDescent="0.2">
      <c r="A2484">
        <v>3</v>
      </c>
      <c r="B2484" t="s">
        <v>505</v>
      </c>
      <c r="C2484">
        <v>1</v>
      </c>
      <c r="D2484">
        <v>9</v>
      </c>
      <c r="E2484" s="3">
        <f t="shared" si="38"/>
        <v>31</v>
      </c>
    </row>
    <row r="2485" spans="1:5" x14ac:dyDescent="0.2">
      <c r="A2485">
        <v>4</v>
      </c>
      <c r="B2485" t="s">
        <v>552</v>
      </c>
      <c r="C2485">
        <v>0</v>
      </c>
      <c r="D2485">
        <v>5</v>
      </c>
      <c r="E2485" s="3">
        <f t="shared" si="38"/>
        <v>31</v>
      </c>
    </row>
    <row r="2486" spans="1:5" x14ac:dyDescent="0.2">
      <c r="A2486">
        <v>5</v>
      </c>
      <c r="B2486" t="s">
        <v>66</v>
      </c>
      <c r="C2486">
        <v>0</v>
      </c>
      <c r="D2486">
        <v>3</v>
      </c>
      <c r="E2486" s="3">
        <f t="shared" si="38"/>
        <v>31</v>
      </c>
    </row>
    <row r="2487" spans="1:5" x14ac:dyDescent="0.2">
      <c r="A2487">
        <v>6</v>
      </c>
      <c r="B2487" t="s">
        <v>21</v>
      </c>
      <c r="C2487">
        <v>0</v>
      </c>
      <c r="D2487">
        <v>2</v>
      </c>
      <c r="E2487" s="3">
        <f t="shared" si="38"/>
        <v>31</v>
      </c>
    </row>
    <row r="2488" spans="1:5" x14ac:dyDescent="0.2">
      <c r="A2488">
        <v>7</v>
      </c>
      <c r="B2488" t="s">
        <v>475</v>
      </c>
      <c r="C2488">
        <v>0</v>
      </c>
      <c r="D2488">
        <v>1</v>
      </c>
      <c r="E2488" s="3">
        <f t="shared" si="38"/>
        <v>31</v>
      </c>
    </row>
    <row r="2489" spans="1:5" x14ac:dyDescent="0.2">
      <c r="A2489">
        <v>8</v>
      </c>
      <c r="B2489" s="2" t="s">
        <v>10</v>
      </c>
      <c r="C2489" s="2" t="s">
        <v>10</v>
      </c>
      <c r="D2489" s="2" t="s">
        <v>10</v>
      </c>
      <c r="E2489" s="3">
        <f t="shared" si="38"/>
        <v>31</v>
      </c>
    </row>
    <row r="2490" spans="1:5" x14ac:dyDescent="0.2">
      <c r="A2490" s="1" t="s">
        <v>37</v>
      </c>
      <c r="E2490" s="3">
        <f t="shared" si="38"/>
        <v>31</v>
      </c>
    </row>
    <row r="2491" spans="1:5" x14ac:dyDescent="0.2">
      <c r="A2491" s="1" t="s">
        <v>1</v>
      </c>
      <c r="B2491" s="1" t="s">
        <v>2</v>
      </c>
      <c r="C2491" s="1" t="s">
        <v>3</v>
      </c>
      <c r="D2491" s="1" t="s">
        <v>4</v>
      </c>
      <c r="E2491" s="3">
        <f t="shared" si="38"/>
        <v>31</v>
      </c>
    </row>
    <row r="2492" spans="1:5" x14ac:dyDescent="0.2">
      <c r="A2492">
        <v>1</v>
      </c>
      <c r="B2492" t="s">
        <v>506</v>
      </c>
      <c r="C2492">
        <v>4</v>
      </c>
      <c r="D2492">
        <v>17</v>
      </c>
      <c r="E2492" s="3">
        <f t="shared" si="38"/>
        <v>31</v>
      </c>
    </row>
    <row r="2493" spans="1:5" x14ac:dyDescent="0.2">
      <c r="A2493">
        <v>2</v>
      </c>
      <c r="B2493" t="s">
        <v>74</v>
      </c>
      <c r="C2493">
        <v>1</v>
      </c>
      <c r="D2493">
        <v>13</v>
      </c>
      <c r="E2493" s="3">
        <f t="shared" si="38"/>
        <v>31</v>
      </c>
    </row>
    <row r="2494" spans="1:5" x14ac:dyDescent="0.2">
      <c r="A2494">
        <v>3</v>
      </c>
      <c r="B2494" t="s">
        <v>461</v>
      </c>
      <c r="C2494">
        <v>0</v>
      </c>
      <c r="D2494">
        <v>9</v>
      </c>
      <c r="E2494" s="3">
        <f t="shared" si="38"/>
        <v>31</v>
      </c>
    </row>
    <row r="2495" spans="1:5" x14ac:dyDescent="0.2">
      <c r="A2495">
        <v>4</v>
      </c>
      <c r="B2495" t="s">
        <v>507</v>
      </c>
      <c r="C2495">
        <v>0</v>
      </c>
      <c r="D2495">
        <v>5</v>
      </c>
      <c r="E2495" s="3">
        <f t="shared" si="38"/>
        <v>31</v>
      </c>
    </row>
    <row r="2496" spans="1:5" x14ac:dyDescent="0.2">
      <c r="A2496">
        <v>5</v>
      </c>
      <c r="B2496" t="s">
        <v>65</v>
      </c>
      <c r="C2496">
        <v>1</v>
      </c>
      <c r="D2496">
        <v>3</v>
      </c>
      <c r="E2496" s="3">
        <f t="shared" si="38"/>
        <v>31</v>
      </c>
    </row>
    <row r="2497" spans="1:5" x14ac:dyDescent="0.2">
      <c r="A2497">
        <v>6</v>
      </c>
      <c r="B2497" t="s">
        <v>48</v>
      </c>
      <c r="C2497">
        <v>0</v>
      </c>
      <c r="D2497">
        <v>2</v>
      </c>
      <c r="E2497" s="3">
        <f t="shared" si="38"/>
        <v>31</v>
      </c>
    </row>
    <row r="2498" spans="1:5" x14ac:dyDescent="0.2">
      <c r="A2498">
        <v>7</v>
      </c>
      <c r="B2498" t="s">
        <v>280</v>
      </c>
      <c r="C2498">
        <v>0</v>
      </c>
      <c r="D2498">
        <v>1</v>
      </c>
      <c r="E2498" s="3">
        <f t="shared" si="38"/>
        <v>31</v>
      </c>
    </row>
    <row r="2499" spans="1:5" x14ac:dyDescent="0.2">
      <c r="A2499">
        <v>8</v>
      </c>
      <c r="B2499" s="2" t="s">
        <v>10</v>
      </c>
      <c r="C2499" s="2" t="s">
        <v>10</v>
      </c>
      <c r="D2499" s="2" t="s">
        <v>10</v>
      </c>
      <c r="E2499" s="3">
        <f t="shared" si="38"/>
        <v>31</v>
      </c>
    </row>
    <row r="2500" spans="1:5" x14ac:dyDescent="0.2">
      <c r="A2500" s="1" t="s">
        <v>44</v>
      </c>
      <c r="E2500" s="3">
        <f t="shared" ref="E2500:E2563" si="39">IF(A2500=$A$1,E2499+1,E2499)</f>
        <v>31</v>
      </c>
    </row>
    <row r="2501" spans="1:5" x14ac:dyDescent="0.2">
      <c r="A2501" s="1" t="s">
        <v>1</v>
      </c>
      <c r="B2501" s="1" t="s">
        <v>2</v>
      </c>
      <c r="C2501" s="1" t="s">
        <v>3</v>
      </c>
      <c r="D2501" s="1" t="s">
        <v>4</v>
      </c>
      <c r="E2501" s="3">
        <f t="shared" si="39"/>
        <v>31</v>
      </c>
    </row>
    <row r="2502" spans="1:5" x14ac:dyDescent="0.2">
      <c r="A2502">
        <v>1</v>
      </c>
      <c r="B2502" t="s">
        <v>6</v>
      </c>
      <c r="C2502">
        <v>4</v>
      </c>
      <c r="D2502">
        <v>16</v>
      </c>
      <c r="E2502" s="3">
        <f t="shared" si="39"/>
        <v>31</v>
      </c>
    </row>
    <row r="2503" spans="1:5" x14ac:dyDescent="0.2">
      <c r="A2503">
        <v>2</v>
      </c>
      <c r="B2503" t="s">
        <v>557</v>
      </c>
      <c r="C2503">
        <v>1</v>
      </c>
      <c r="D2503">
        <v>12</v>
      </c>
      <c r="E2503" s="3">
        <f t="shared" si="39"/>
        <v>31</v>
      </c>
    </row>
    <row r="2504" spans="1:5" x14ac:dyDescent="0.2">
      <c r="A2504">
        <v>3</v>
      </c>
      <c r="B2504" t="s">
        <v>88</v>
      </c>
      <c r="C2504">
        <v>0</v>
      </c>
      <c r="D2504">
        <v>8</v>
      </c>
      <c r="E2504" s="3">
        <f t="shared" si="39"/>
        <v>31</v>
      </c>
    </row>
    <row r="2505" spans="1:5" x14ac:dyDescent="0.2">
      <c r="A2505">
        <v>4</v>
      </c>
      <c r="B2505" t="s">
        <v>25</v>
      </c>
      <c r="C2505">
        <v>0</v>
      </c>
      <c r="D2505">
        <v>4</v>
      </c>
      <c r="E2505" s="3">
        <f t="shared" si="39"/>
        <v>31</v>
      </c>
    </row>
    <row r="2506" spans="1:5" x14ac:dyDescent="0.2">
      <c r="A2506">
        <v>5</v>
      </c>
      <c r="B2506" t="s">
        <v>76</v>
      </c>
      <c r="C2506">
        <v>0</v>
      </c>
      <c r="D2506">
        <v>2</v>
      </c>
      <c r="E2506" s="3">
        <f t="shared" si="39"/>
        <v>31</v>
      </c>
    </row>
    <row r="2507" spans="1:5" x14ac:dyDescent="0.2">
      <c r="A2507">
        <v>6</v>
      </c>
      <c r="B2507" t="s">
        <v>503</v>
      </c>
      <c r="C2507">
        <v>0</v>
      </c>
      <c r="D2507">
        <v>1</v>
      </c>
      <c r="E2507" s="3">
        <f t="shared" si="39"/>
        <v>31</v>
      </c>
    </row>
    <row r="2508" spans="1:5" x14ac:dyDescent="0.2">
      <c r="A2508">
        <v>7</v>
      </c>
      <c r="B2508" s="2" t="s">
        <v>10</v>
      </c>
      <c r="C2508" s="2" t="s">
        <v>10</v>
      </c>
      <c r="D2508" s="2" t="s">
        <v>10</v>
      </c>
      <c r="E2508" s="3">
        <f t="shared" si="39"/>
        <v>31</v>
      </c>
    </row>
    <row r="2509" spans="1:5" x14ac:dyDescent="0.2">
      <c r="A2509">
        <v>8</v>
      </c>
      <c r="B2509" s="2" t="s">
        <v>10</v>
      </c>
      <c r="C2509" s="2" t="s">
        <v>10</v>
      </c>
      <c r="D2509" s="2" t="s">
        <v>10</v>
      </c>
      <c r="E2509" s="3">
        <f t="shared" si="39"/>
        <v>31</v>
      </c>
    </row>
    <row r="2510" spans="1:5" x14ac:dyDescent="0.2">
      <c r="A2510" s="1" t="s">
        <v>51</v>
      </c>
      <c r="E2510" s="3">
        <f t="shared" si="39"/>
        <v>31</v>
      </c>
    </row>
    <row r="2511" spans="1:5" x14ac:dyDescent="0.2">
      <c r="A2511" s="1" t="s">
        <v>1</v>
      </c>
      <c r="B2511" s="1" t="s">
        <v>2</v>
      </c>
      <c r="C2511" s="1" t="s">
        <v>3</v>
      </c>
      <c r="D2511" s="1" t="s">
        <v>4</v>
      </c>
      <c r="E2511" s="3">
        <f t="shared" si="39"/>
        <v>31</v>
      </c>
    </row>
    <row r="2512" spans="1:5" x14ac:dyDescent="0.2">
      <c r="A2512">
        <v>1</v>
      </c>
      <c r="B2512" t="s">
        <v>501</v>
      </c>
      <c r="C2512">
        <v>4</v>
      </c>
      <c r="D2512">
        <v>16</v>
      </c>
      <c r="E2512" s="3">
        <f t="shared" si="39"/>
        <v>31</v>
      </c>
    </row>
    <row r="2513" spans="1:5" x14ac:dyDescent="0.2">
      <c r="A2513">
        <v>2</v>
      </c>
      <c r="B2513" t="s">
        <v>490</v>
      </c>
      <c r="C2513">
        <v>0</v>
      </c>
      <c r="D2513">
        <v>12</v>
      </c>
      <c r="E2513" s="3">
        <f t="shared" si="39"/>
        <v>31</v>
      </c>
    </row>
    <row r="2514" spans="1:5" x14ac:dyDescent="0.2">
      <c r="A2514">
        <v>3</v>
      </c>
      <c r="B2514" t="s">
        <v>19</v>
      </c>
      <c r="C2514">
        <v>0</v>
      </c>
      <c r="D2514">
        <v>8</v>
      </c>
      <c r="E2514" s="3">
        <f t="shared" si="39"/>
        <v>31</v>
      </c>
    </row>
    <row r="2515" spans="1:5" x14ac:dyDescent="0.2">
      <c r="A2515">
        <v>4</v>
      </c>
      <c r="B2515" t="s">
        <v>510</v>
      </c>
      <c r="C2515">
        <v>1</v>
      </c>
      <c r="D2515">
        <v>4</v>
      </c>
      <c r="E2515" s="3">
        <f t="shared" si="39"/>
        <v>31</v>
      </c>
    </row>
    <row r="2516" spans="1:5" x14ac:dyDescent="0.2">
      <c r="A2516">
        <v>5</v>
      </c>
      <c r="B2516" t="s">
        <v>559</v>
      </c>
      <c r="C2516">
        <v>0</v>
      </c>
      <c r="D2516">
        <v>2</v>
      </c>
      <c r="E2516" s="3">
        <f t="shared" si="39"/>
        <v>31</v>
      </c>
    </row>
    <row r="2517" spans="1:5" x14ac:dyDescent="0.2">
      <c r="A2517">
        <v>6</v>
      </c>
      <c r="B2517" t="s">
        <v>521</v>
      </c>
      <c r="C2517">
        <v>0</v>
      </c>
      <c r="D2517">
        <v>1</v>
      </c>
      <c r="E2517" s="3">
        <f t="shared" si="39"/>
        <v>31</v>
      </c>
    </row>
    <row r="2518" spans="1:5" x14ac:dyDescent="0.2">
      <c r="A2518">
        <v>7</v>
      </c>
      <c r="B2518" s="2" t="s">
        <v>10</v>
      </c>
      <c r="C2518" s="2" t="s">
        <v>10</v>
      </c>
      <c r="D2518" s="2" t="s">
        <v>10</v>
      </c>
      <c r="E2518" s="3">
        <f t="shared" si="39"/>
        <v>31</v>
      </c>
    </row>
    <row r="2519" spans="1:5" x14ac:dyDescent="0.2">
      <c r="A2519">
        <v>8</v>
      </c>
      <c r="B2519" s="2" t="s">
        <v>10</v>
      </c>
      <c r="C2519" s="2" t="s">
        <v>10</v>
      </c>
      <c r="D2519" s="2" t="s">
        <v>10</v>
      </c>
      <c r="E2519" s="3">
        <f t="shared" si="39"/>
        <v>31</v>
      </c>
    </row>
    <row r="2520" spans="1:5" x14ac:dyDescent="0.2">
      <c r="A2520" s="1" t="s">
        <v>0</v>
      </c>
      <c r="E2520" s="3">
        <f t="shared" si="39"/>
        <v>32</v>
      </c>
    </row>
    <row r="2521" spans="1:5" x14ac:dyDescent="0.2">
      <c r="A2521" s="1" t="s">
        <v>1</v>
      </c>
      <c r="B2521" s="1" t="s">
        <v>2</v>
      </c>
      <c r="C2521" s="1" t="s">
        <v>3</v>
      </c>
      <c r="D2521" s="1" t="s">
        <v>4</v>
      </c>
      <c r="E2521" s="3">
        <f t="shared" si="39"/>
        <v>32</v>
      </c>
    </row>
    <row r="2522" spans="1:5" x14ac:dyDescent="0.2">
      <c r="A2522">
        <v>1</v>
      </c>
      <c r="B2522" t="s">
        <v>502</v>
      </c>
      <c r="C2522">
        <v>2</v>
      </c>
      <c r="D2522">
        <v>16</v>
      </c>
      <c r="E2522" s="3">
        <f t="shared" si="39"/>
        <v>32</v>
      </c>
    </row>
    <row r="2523" spans="1:5" x14ac:dyDescent="0.2">
      <c r="A2523">
        <v>2</v>
      </c>
      <c r="B2523" t="s">
        <v>87</v>
      </c>
      <c r="C2523">
        <v>2</v>
      </c>
      <c r="D2523">
        <v>12</v>
      </c>
      <c r="E2523" s="3">
        <f t="shared" si="39"/>
        <v>32</v>
      </c>
    </row>
    <row r="2524" spans="1:5" x14ac:dyDescent="0.2">
      <c r="A2524">
        <v>3</v>
      </c>
      <c r="B2524" t="s">
        <v>479</v>
      </c>
      <c r="C2524">
        <v>1</v>
      </c>
      <c r="D2524">
        <v>8</v>
      </c>
      <c r="E2524" s="3">
        <f t="shared" si="39"/>
        <v>32</v>
      </c>
    </row>
    <row r="2525" spans="1:5" x14ac:dyDescent="0.2">
      <c r="A2525">
        <v>4</v>
      </c>
      <c r="B2525" t="s">
        <v>507</v>
      </c>
      <c r="C2525">
        <v>0</v>
      </c>
      <c r="D2525">
        <v>4</v>
      </c>
      <c r="E2525" s="3">
        <f t="shared" si="39"/>
        <v>32</v>
      </c>
    </row>
    <row r="2526" spans="1:5" x14ac:dyDescent="0.2">
      <c r="A2526">
        <v>5</v>
      </c>
      <c r="B2526" t="s">
        <v>493</v>
      </c>
      <c r="C2526">
        <v>0</v>
      </c>
      <c r="D2526">
        <v>2</v>
      </c>
      <c r="E2526" s="3">
        <f t="shared" si="39"/>
        <v>32</v>
      </c>
    </row>
    <row r="2527" spans="1:5" x14ac:dyDescent="0.2">
      <c r="A2527">
        <v>6</v>
      </c>
      <c r="B2527" t="s">
        <v>35</v>
      </c>
      <c r="C2527">
        <v>0</v>
      </c>
      <c r="D2527">
        <v>1</v>
      </c>
      <c r="E2527" s="3">
        <f t="shared" si="39"/>
        <v>32</v>
      </c>
    </row>
    <row r="2528" spans="1:5" x14ac:dyDescent="0.2">
      <c r="A2528">
        <v>7</v>
      </c>
      <c r="B2528" s="2" t="s">
        <v>10</v>
      </c>
      <c r="C2528" s="2" t="s">
        <v>10</v>
      </c>
      <c r="D2528" s="2" t="s">
        <v>10</v>
      </c>
      <c r="E2528" s="3">
        <f t="shared" si="39"/>
        <v>32</v>
      </c>
    </row>
    <row r="2529" spans="1:5" x14ac:dyDescent="0.2">
      <c r="A2529">
        <v>8</v>
      </c>
      <c r="B2529" s="2" t="s">
        <v>10</v>
      </c>
      <c r="C2529" s="2" t="s">
        <v>10</v>
      </c>
      <c r="D2529" s="2" t="s">
        <v>10</v>
      </c>
      <c r="E2529" s="3">
        <f t="shared" si="39"/>
        <v>32</v>
      </c>
    </row>
    <row r="2530" spans="1:5" x14ac:dyDescent="0.2">
      <c r="A2530" s="1" t="s">
        <v>11</v>
      </c>
      <c r="E2530" s="3">
        <f t="shared" si="39"/>
        <v>32</v>
      </c>
    </row>
    <row r="2531" spans="1:5" x14ac:dyDescent="0.2">
      <c r="A2531" s="1" t="s">
        <v>1</v>
      </c>
      <c r="B2531" s="1" t="s">
        <v>2</v>
      </c>
      <c r="C2531" s="1" t="s">
        <v>3</v>
      </c>
      <c r="D2531" s="1" t="s">
        <v>4</v>
      </c>
      <c r="E2531" s="3">
        <f t="shared" si="39"/>
        <v>32</v>
      </c>
    </row>
    <row r="2532" spans="1:5" x14ac:dyDescent="0.2">
      <c r="A2532">
        <v>1</v>
      </c>
      <c r="B2532" t="s">
        <v>558</v>
      </c>
      <c r="C2532">
        <v>2</v>
      </c>
      <c r="D2532">
        <v>16</v>
      </c>
      <c r="E2532" s="3">
        <f t="shared" si="39"/>
        <v>32</v>
      </c>
    </row>
    <row r="2533" spans="1:5" x14ac:dyDescent="0.2">
      <c r="A2533">
        <v>2</v>
      </c>
      <c r="B2533" t="s">
        <v>74</v>
      </c>
      <c r="C2533">
        <v>2</v>
      </c>
      <c r="D2533">
        <v>12</v>
      </c>
      <c r="E2533" s="3">
        <f t="shared" si="39"/>
        <v>32</v>
      </c>
    </row>
    <row r="2534" spans="1:5" x14ac:dyDescent="0.2">
      <c r="A2534">
        <v>3</v>
      </c>
      <c r="B2534" t="s">
        <v>515</v>
      </c>
      <c r="C2534">
        <v>0</v>
      </c>
      <c r="D2534">
        <v>8</v>
      </c>
      <c r="E2534" s="3">
        <f t="shared" si="39"/>
        <v>32</v>
      </c>
    </row>
    <row r="2535" spans="1:5" x14ac:dyDescent="0.2">
      <c r="A2535">
        <v>4</v>
      </c>
      <c r="B2535" t="s">
        <v>75</v>
      </c>
      <c r="C2535">
        <v>1</v>
      </c>
      <c r="D2535">
        <v>4</v>
      </c>
      <c r="E2535" s="3">
        <f t="shared" si="39"/>
        <v>32</v>
      </c>
    </row>
    <row r="2536" spans="1:5" x14ac:dyDescent="0.2">
      <c r="A2536">
        <v>5</v>
      </c>
      <c r="B2536" t="s">
        <v>65</v>
      </c>
      <c r="C2536">
        <v>0</v>
      </c>
      <c r="D2536">
        <v>2</v>
      </c>
      <c r="E2536" s="3">
        <f t="shared" si="39"/>
        <v>32</v>
      </c>
    </row>
    <row r="2537" spans="1:5" x14ac:dyDescent="0.2">
      <c r="A2537">
        <v>6</v>
      </c>
      <c r="B2537" t="s">
        <v>533</v>
      </c>
      <c r="C2537">
        <v>0</v>
      </c>
      <c r="D2537">
        <v>1</v>
      </c>
      <c r="E2537" s="3">
        <f t="shared" si="39"/>
        <v>32</v>
      </c>
    </row>
    <row r="2538" spans="1:5" x14ac:dyDescent="0.2">
      <c r="A2538">
        <v>7</v>
      </c>
      <c r="B2538" s="2" t="s">
        <v>10</v>
      </c>
      <c r="C2538" s="2" t="s">
        <v>10</v>
      </c>
      <c r="D2538" s="2" t="s">
        <v>10</v>
      </c>
      <c r="E2538" s="3">
        <f t="shared" si="39"/>
        <v>32</v>
      </c>
    </row>
    <row r="2539" spans="1:5" x14ac:dyDescent="0.2">
      <c r="A2539">
        <v>8</v>
      </c>
      <c r="B2539" s="2" t="s">
        <v>10</v>
      </c>
      <c r="C2539" s="2" t="s">
        <v>10</v>
      </c>
      <c r="D2539" s="2" t="s">
        <v>10</v>
      </c>
      <c r="E2539" s="3">
        <f t="shared" si="39"/>
        <v>32</v>
      </c>
    </row>
    <row r="2540" spans="1:5" x14ac:dyDescent="0.2">
      <c r="A2540" s="1" t="s">
        <v>17</v>
      </c>
      <c r="E2540" s="3">
        <f t="shared" si="39"/>
        <v>32</v>
      </c>
    </row>
    <row r="2541" spans="1:5" x14ac:dyDescent="0.2">
      <c r="A2541" s="1" t="s">
        <v>1</v>
      </c>
      <c r="B2541" s="1" t="s">
        <v>2</v>
      </c>
      <c r="C2541" s="1" t="s">
        <v>3</v>
      </c>
      <c r="D2541" s="1" t="s">
        <v>4</v>
      </c>
      <c r="E2541" s="3">
        <f t="shared" si="39"/>
        <v>32</v>
      </c>
    </row>
    <row r="2542" spans="1:5" x14ac:dyDescent="0.2">
      <c r="A2542">
        <v>1</v>
      </c>
      <c r="B2542" t="s">
        <v>516</v>
      </c>
      <c r="C2542">
        <v>5</v>
      </c>
      <c r="D2542">
        <v>16</v>
      </c>
      <c r="E2542" s="3">
        <f t="shared" si="39"/>
        <v>32</v>
      </c>
    </row>
    <row r="2543" spans="1:5" x14ac:dyDescent="0.2">
      <c r="A2543">
        <v>2</v>
      </c>
      <c r="B2543" t="s">
        <v>534</v>
      </c>
      <c r="C2543">
        <v>0</v>
      </c>
      <c r="D2543">
        <v>12</v>
      </c>
      <c r="E2543" s="3">
        <f t="shared" si="39"/>
        <v>32</v>
      </c>
    </row>
    <row r="2544" spans="1:5" x14ac:dyDescent="0.2">
      <c r="A2544">
        <v>3</v>
      </c>
      <c r="B2544" t="s">
        <v>61</v>
      </c>
      <c r="C2544">
        <v>0</v>
      </c>
      <c r="D2544">
        <v>8</v>
      </c>
      <c r="E2544" s="3">
        <f t="shared" si="39"/>
        <v>32</v>
      </c>
    </row>
    <row r="2545" spans="1:5" x14ac:dyDescent="0.2">
      <c r="A2545">
        <v>4</v>
      </c>
      <c r="B2545" t="s">
        <v>69</v>
      </c>
      <c r="C2545">
        <v>0</v>
      </c>
      <c r="D2545">
        <v>4</v>
      </c>
      <c r="E2545" s="3">
        <f t="shared" si="39"/>
        <v>32</v>
      </c>
    </row>
    <row r="2546" spans="1:5" x14ac:dyDescent="0.2">
      <c r="A2546">
        <v>5</v>
      </c>
      <c r="B2546" t="s">
        <v>27</v>
      </c>
      <c r="C2546">
        <v>0</v>
      </c>
      <c r="D2546">
        <v>2</v>
      </c>
      <c r="E2546" s="3">
        <f t="shared" si="39"/>
        <v>32</v>
      </c>
    </row>
    <row r="2547" spans="1:5" x14ac:dyDescent="0.2">
      <c r="A2547">
        <v>6</v>
      </c>
      <c r="B2547" t="s">
        <v>40</v>
      </c>
      <c r="C2547">
        <v>0</v>
      </c>
      <c r="D2547">
        <v>1</v>
      </c>
      <c r="E2547" s="3">
        <f t="shared" si="39"/>
        <v>32</v>
      </c>
    </row>
    <row r="2548" spans="1:5" x14ac:dyDescent="0.2">
      <c r="A2548">
        <v>7</v>
      </c>
      <c r="B2548" s="2" t="s">
        <v>10</v>
      </c>
      <c r="C2548" s="2" t="s">
        <v>10</v>
      </c>
      <c r="D2548" s="2" t="s">
        <v>10</v>
      </c>
      <c r="E2548" s="3">
        <f t="shared" si="39"/>
        <v>32</v>
      </c>
    </row>
    <row r="2549" spans="1:5" x14ac:dyDescent="0.2">
      <c r="A2549">
        <v>8</v>
      </c>
      <c r="B2549" s="2" t="s">
        <v>10</v>
      </c>
      <c r="C2549" s="2" t="s">
        <v>10</v>
      </c>
      <c r="D2549" s="2" t="s">
        <v>10</v>
      </c>
      <c r="E2549" s="3">
        <f t="shared" si="39"/>
        <v>32</v>
      </c>
    </row>
    <row r="2550" spans="1:5" x14ac:dyDescent="0.2">
      <c r="A2550" s="1" t="s">
        <v>24</v>
      </c>
      <c r="E2550" s="3">
        <f t="shared" si="39"/>
        <v>32</v>
      </c>
    </row>
    <row r="2551" spans="1:5" x14ac:dyDescent="0.2">
      <c r="A2551" s="1" t="s">
        <v>1</v>
      </c>
      <c r="B2551" s="1" t="s">
        <v>2</v>
      </c>
      <c r="C2551" s="1" t="s">
        <v>3</v>
      </c>
      <c r="D2551" s="1" t="s">
        <v>4</v>
      </c>
      <c r="E2551" s="3">
        <f t="shared" si="39"/>
        <v>32</v>
      </c>
    </row>
    <row r="2552" spans="1:5" x14ac:dyDescent="0.2">
      <c r="A2552">
        <v>1</v>
      </c>
      <c r="B2552" t="s">
        <v>73</v>
      </c>
      <c r="C2552">
        <v>3</v>
      </c>
      <c r="D2552">
        <v>16</v>
      </c>
      <c r="E2552" s="3">
        <f t="shared" si="39"/>
        <v>32</v>
      </c>
    </row>
    <row r="2553" spans="1:5" x14ac:dyDescent="0.2">
      <c r="A2553">
        <v>2</v>
      </c>
      <c r="B2553" t="s">
        <v>25</v>
      </c>
      <c r="C2553">
        <v>2</v>
      </c>
      <c r="D2553">
        <v>12</v>
      </c>
      <c r="E2553" s="3">
        <f t="shared" si="39"/>
        <v>32</v>
      </c>
    </row>
    <row r="2554" spans="1:5" x14ac:dyDescent="0.2">
      <c r="A2554">
        <v>3</v>
      </c>
      <c r="B2554" t="s">
        <v>280</v>
      </c>
      <c r="C2554">
        <v>0</v>
      </c>
      <c r="D2554">
        <v>8</v>
      </c>
      <c r="E2554" s="3">
        <f t="shared" si="39"/>
        <v>32</v>
      </c>
    </row>
    <row r="2555" spans="1:5" x14ac:dyDescent="0.2">
      <c r="A2555">
        <v>4</v>
      </c>
      <c r="B2555" t="s">
        <v>535</v>
      </c>
      <c r="C2555">
        <v>0</v>
      </c>
      <c r="D2555">
        <v>4</v>
      </c>
      <c r="E2555" s="3">
        <f t="shared" si="39"/>
        <v>32</v>
      </c>
    </row>
    <row r="2556" spans="1:5" x14ac:dyDescent="0.2">
      <c r="A2556">
        <v>5</v>
      </c>
      <c r="B2556" t="s">
        <v>48</v>
      </c>
      <c r="C2556">
        <v>0</v>
      </c>
      <c r="D2556">
        <v>2</v>
      </c>
      <c r="E2556" s="3">
        <f t="shared" si="39"/>
        <v>32</v>
      </c>
    </row>
    <row r="2557" spans="1:5" x14ac:dyDescent="0.2">
      <c r="A2557">
        <v>6</v>
      </c>
      <c r="B2557" t="s">
        <v>345</v>
      </c>
      <c r="C2557">
        <v>0</v>
      </c>
      <c r="D2557">
        <v>1</v>
      </c>
      <c r="E2557" s="3">
        <f t="shared" si="39"/>
        <v>32</v>
      </c>
    </row>
    <row r="2558" spans="1:5" x14ac:dyDescent="0.2">
      <c r="A2558">
        <v>7</v>
      </c>
      <c r="B2558" s="2" t="s">
        <v>10</v>
      </c>
      <c r="C2558" s="2" t="s">
        <v>10</v>
      </c>
      <c r="D2558" s="2" t="s">
        <v>10</v>
      </c>
      <c r="E2558" s="3">
        <f t="shared" si="39"/>
        <v>32</v>
      </c>
    </row>
    <row r="2559" spans="1:5" x14ac:dyDescent="0.2">
      <c r="A2559">
        <v>8</v>
      </c>
      <c r="B2559" s="2" t="s">
        <v>10</v>
      </c>
      <c r="C2559" s="2" t="s">
        <v>10</v>
      </c>
      <c r="D2559" s="2" t="s">
        <v>10</v>
      </c>
      <c r="E2559" s="3">
        <f t="shared" si="39"/>
        <v>32</v>
      </c>
    </row>
    <row r="2560" spans="1:5" x14ac:dyDescent="0.2">
      <c r="A2560" s="1" t="s">
        <v>30</v>
      </c>
      <c r="E2560" s="3">
        <f t="shared" si="39"/>
        <v>32</v>
      </c>
    </row>
    <row r="2561" spans="1:5" x14ac:dyDescent="0.2">
      <c r="A2561" s="1" t="s">
        <v>1</v>
      </c>
      <c r="B2561" s="1" t="s">
        <v>2</v>
      </c>
      <c r="C2561" s="1" t="s">
        <v>3</v>
      </c>
      <c r="D2561" s="1" t="s">
        <v>4</v>
      </c>
      <c r="E2561" s="3">
        <f t="shared" si="39"/>
        <v>32</v>
      </c>
    </row>
    <row r="2562" spans="1:5" x14ac:dyDescent="0.2">
      <c r="A2562">
        <v>1</v>
      </c>
      <c r="B2562" t="s">
        <v>452</v>
      </c>
      <c r="C2562">
        <v>2</v>
      </c>
      <c r="D2562">
        <v>16</v>
      </c>
      <c r="E2562" s="3">
        <f t="shared" si="39"/>
        <v>32</v>
      </c>
    </row>
    <row r="2563" spans="1:5" x14ac:dyDescent="0.2">
      <c r="A2563">
        <v>2</v>
      </c>
      <c r="B2563" t="s">
        <v>505</v>
      </c>
      <c r="C2563">
        <v>1</v>
      </c>
      <c r="D2563">
        <v>12</v>
      </c>
      <c r="E2563" s="3">
        <f t="shared" si="39"/>
        <v>32</v>
      </c>
    </row>
    <row r="2564" spans="1:5" x14ac:dyDescent="0.2">
      <c r="A2564">
        <v>3</v>
      </c>
      <c r="B2564" t="s">
        <v>484</v>
      </c>
      <c r="C2564">
        <v>1</v>
      </c>
      <c r="D2564">
        <v>8</v>
      </c>
      <c r="E2564" s="3">
        <f t="shared" ref="E2564:E2627" si="40">IF(A2564=$A$1,E2563+1,E2563)</f>
        <v>32</v>
      </c>
    </row>
    <row r="2565" spans="1:5" x14ac:dyDescent="0.2">
      <c r="A2565">
        <v>4</v>
      </c>
      <c r="B2565" t="s">
        <v>490</v>
      </c>
      <c r="C2565">
        <v>1</v>
      </c>
      <c r="D2565">
        <v>4</v>
      </c>
      <c r="E2565" s="3">
        <f t="shared" si="40"/>
        <v>32</v>
      </c>
    </row>
    <row r="2566" spans="1:5" x14ac:dyDescent="0.2">
      <c r="A2566">
        <v>5</v>
      </c>
      <c r="B2566" t="s">
        <v>525</v>
      </c>
      <c r="C2566">
        <v>0</v>
      </c>
      <c r="D2566">
        <v>2</v>
      </c>
      <c r="E2566" s="3">
        <f t="shared" si="40"/>
        <v>32</v>
      </c>
    </row>
    <row r="2567" spans="1:5" x14ac:dyDescent="0.2">
      <c r="A2567">
        <v>6</v>
      </c>
      <c r="B2567" t="s">
        <v>504</v>
      </c>
      <c r="C2567">
        <v>0</v>
      </c>
      <c r="D2567">
        <v>1</v>
      </c>
      <c r="E2567" s="3">
        <f t="shared" si="40"/>
        <v>32</v>
      </c>
    </row>
    <row r="2568" spans="1:5" x14ac:dyDescent="0.2">
      <c r="A2568">
        <v>7</v>
      </c>
      <c r="B2568" s="2" t="s">
        <v>10</v>
      </c>
      <c r="C2568" s="2" t="s">
        <v>10</v>
      </c>
      <c r="D2568" s="2" t="s">
        <v>10</v>
      </c>
      <c r="E2568" s="3">
        <f t="shared" si="40"/>
        <v>32</v>
      </c>
    </row>
    <row r="2569" spans="1:5" x14ac:dyDescent="0.2">
      <c r="A2569">
        <v>8</v>
      </c>
      <c r="B2569" s="2" t="s">
        <v>10</v>
      </c>
      <c r="C2569" s="2" t="s">
        <v>10</v>
      </c>
      <c r="D2569" s="2" t="s">
        <v>10</v>
      </c>
      <c r="E2569" s="3">
        <f t="shared" si="40"/>
        <v>32</v>
      </c>
    </row>
    <row r="2570" spans="1:5" x14ac:dyDescent="0.2">
      <c r="A2570" s="1" t="s">
        <v>44</v>
      </c>
      <c r="E2570" s="3">
        <f t="shared" si="40"/>
        <v>32</v>
      </c>
    </row>
    <row r="2571" spans="1:5" x14ac:dyDescent="0.2">
      <c r="A2571" s="1" t="s">
        <v>1</v>
      </c>
      <c r="B2571" s="1" t="s">
        <v>2</v>
      </c>
      <c r="C2571" s="1" t="s">
        <v>3</v>
      </c>
      <c r="D2571" s="1" t="s">
        <v>4</v>
      </c>
      <c r="E2571" s="3">
        <f t="shared" si="40"/>
        <v>32</v>
      </c>
    </row>
    <row r="2572" spans="1:5" x14ac:dyDescent="0.2">
      <c r="A2572">
        <v>1</v>
      </c>
      <c r="B2572" t="s">
        <v>510</v>
      </c>
      <c r="C2572">
        <v>3</v>
      </c>
      <c r="D2572">
        <v>16</v>
      </c>
      <c r="E2572" s="3">
        <f t="shared" si="40"/>
        <v>32</v>
      </c>
    </row>
    <row r="2573" spans="1:5" x14ac:dyDescent="0.2">
      <c r="A2573">
        <v>2</v>
      </c>
      <c r="B2573" t="s">
        <v>76</v>
      </c>
      <c r="C2573">
        <v>2</v>
      </c>
      <c r="D2573">
        <v>12</v>
      </c>
      <c r="E2573" s="3">
        <f t="shared" si="40"/>
        <v>32</v>
      </c>
    </row>
    <row r="2574" spans="1:5" x14ac:dyDescent="0.2">
      <c r="A2574">
        <v>3</v>
      </c>
      <c r="B2574" t="s">
        <v>6</v>
      </c>
      <c r="C2574">
        <v>0</v>
      </c>
      <c r="D2574">
        <v>8</v>
      </c>
      <c r="E2574" s="3">
        <f t="shared" si="40"/>
        <v>32</v>
      </c>
    </row>
    <row r="2575" spans="1:5" x14ac:dyDescent="0.2">
      <c r="A2575">
        <v>4</v>
      </c>
      <c r="B2575" t="s">
        <v>46</v>
      </c>
      <c r="C2575">
        <v>0</v>
      </c>
      <c r="D2575">
        <v>4</v>
      </c>
      <c r="E2575" s="3">
        <f t="shared" si="40"/>
        <v>32</v>
      </c>
    </row>
    <row r="2576" spans="1:5" x14ac:dyDescent="0.2">
      <c r="A2576">
        <v>5</v>
      </c>
      <c r="B2576" t="s">
        <v>66</v>
      </c>
      <c r="C2576">
        <v>0</v>
      </c>
      <c r="D2576">
        <v>2</v>
      </c>
      <c r="E2576" s="3">
        <f t="shared" si="40"/>
        <v>32</v>
      </c>
    </row>
    <row r="2577" spans="1:5" x14ac:dyDescent="0.2">
      <c r="A2577">
        <v>6</v>
      </c>
      <c r="B2577" t="s">
        <v>506</v>
      </c>
      <c r="C2577">
        <v>0</v>
      </c>
      <c r="D2577">
        <v>1</v>
      </c>
      <c r="E2577" s="3">
        <f t="shared" si="40"/>
        <v>32</v>
      </c>
    </row>
    <row r="2578" spans="1:5" x14ac:dyDescent="0.2">
      <c r="A2578">
        <v>7</v>
      </c>
      <c r="B2578" s="2" t="s">
        <v>10</v>
      </c>
      <c r="C2578" s="2" t="s">
        <v>10</v>
      </c>
      <c r="D2578" s="2" t="s">
        <v>10</v>
      </c>
      <c r="E2578" s="3">
        <f t="shared" si="40"/>
        <v>32</v>
      </c>
    </row>
    <row r="2579" spans="1:5" x14ac:dyDescent="0.2">
      <c r="A2579">
        <v>8</v>
      </c>
      <c r="B2579" s="2" t="s">
        <v>10</v>
      </c>
      <c r="C2579" s="2" t="s">
        <v>10</v>
      </c>
      <c r="D2579" s="2" t="s">
        <v>10</v>
      </c>
      <c r="E2579" s="3">
        <f t="shared" si="40"/>
        <v>32</v>
      </c>
    </row>
    <row r="2580" spans="1:5" x14ac:dyDescent="0.2">
      <c r="A2580" s="1" t="s">
        <v>51</v>
      </c>
      <c r="E2580" s="3">
        <f t="shared" si="40"/>
        <v>32</v>
      </c>
    </row>
    <row r="2581" spans="1:5" x14ac:dyDescent="0.2">
      <c r="A2581" s="1" t="s">
        <v>1</v>
      </c>
      <c r="B2581" s="1" t="s">
        <v>2</v>
      </c>
      <c r="C2581" s="1" t="s">
        <v>3</v>
      </c>
      <c r="D2581" s="1" t="s">
        <v>4</v>
      </c>
      <c r="E2581" s="3">
        <f t="shared" si="40"/>
        <v>32</v>
      </c>
    </row>
    <row r="2582" spans="1:5" x14ac:dyDescent="0.2">
      <c r="A2582">
        <v>0</v>
      </c>
      <c r="C2582">
        <v>0</v>
      </c>
      <c r="D2582">
        <v>0</v>
      </c>
      <c r="E2582" s="3">
        <f t="shared" si="40"/>
        <v>32</v>
      </c>
    </row>
    <row r="2583" spans="1:5" x14ac:dyDescent="0.2">
      <c r="A2583">
        <v>0</v>
      </c>
      <c r="C2583">
        <v>0</v>
      </c>
      <c r="D2583">
        <v>0</v>
      </c>
      <c r="E2583" s="3">
        <f t="shared" si="40"/>
        <v>32</v>
      </c>
    </row>
    <row r="2584" spans="1:5" x14ac:dyDescent="0.2">
      <c r="A2584">
        <v>0</v>
      </c>
      <c r="C2584">
        <v>0</v>
      </c>
      <c r="D2584">
        <v>0</v>
      </c>
      <c r="E2584" s="3">
        <f t="shared" si="40"/>
        <v>32</v>
      </c>
    </row>
    <row r="2585" spans="1:5" x14ac:dyDescent="0.2">
      <c r="A2585">
        <v>1</v>
      </c>
      <c r="B2585" t="s">
        <v>500</v>
      </c>
      <c r="C2585">
        <v>3</v>
      </c>
      <c r="D2585">
        <v>15</v>
      </c>
      <c r="E2585" s="3">
        <f t="shared" si="40"/>
        <v>32</v>
      </c>
    </row>
    <row r="2586" spans="1:5" x14ac:dyDescent="0.2">
      <c r="A2586">
        <v>2</v>
      </c>
      <c r="B2586" t="s">
        <v>32</v>
      </c>
      <c r="C2586">
        <v>1</v>
      </c>
      <c r="D2586">
        <v>11</v>
      </c>
      <c r="E2586" s="3">
        <f t="shared" si="40"/>
        <v>32</v>
      </c>
    </row>
    <row r="2587" spans="1:5" x14ac:dyDescent="0.2">
      <c r="A2587">
        <v>3</v>
      </c>
      <c r="B2587" t="s">
        <v>554</v>
      </c>
      <c r="C2587">
        <v>0</v>
      </c>
      <c r="D2587">
        <v>7</v>
      </c>
      <c r="E2587" s="3">
        <f t="shared" si="40"/>
        <v>32</v>
      </c>
    </row>
    <row r="2588" spans="1:5" x14ac:dyDescent="0.2">
      <c r="A2588">
        <v>4</v>
      </c>
      <c r="B2588" t="s">
        <v>14</v>
      </c>
      <c r="C2588">
        <v>0</v>
      </c>
      <c r="D2588">
        <v>3</v>
      </c>
      <c r="E2588" s="3">
        <f t="shared" si="40"/>
        <v>32</v>
      </c>
    </row>
    <row r="2589" spans="1:5" x14ac:dyDescent="0.2">
      <c r="A2589">
        <v>5</v>
      </c>
      <c r="B2589" t="s">
        <v>475</v>
      </c>
      <c r="C2589">
        <v>0</v>
      </c>
      <c r="D2589">
        <v>1</v>
      </c>
      <c r="E2589" s="3">
        <f t="shared" si="40"/>
        <v>32</v>
      </c>
    </row>
    <row r="2590" spans="1:5" x14ac:dyDescent="0.2">
      <c r="A2590">
        <v>9</v>
      </c>
      <c r="B2590" s="2" t="s">
        <v>10</v>
      </c>
      <c r="C2590" s="2" t="s">
        <v>10</v>
      </c>
      <c r="D2590" s="2" t="s">
        <v>10</v>
      </c>
      <c r="E2590" s="3">
        <f t="shared" si="40"/>
        <v>32</v>
      </c>
    </row>
    <row r="2591" spans="1:5" x14ac:dyDescent="0.2">
      <c r="A2591">
        <v>10</v>
      </c>
      <c r="B2591" s="2" t="s">
        <v>10</v>
      </c>
      <c r="C2591" s="2" t="s">
        <v>10</v>
      </c>
      <c r="D2591" s="2" t="s">
        <v>10</v>
      </c>
      <c r="E2591" s="3">
        <f t="shared" si="40"/>
        <v>32</v>
      </c>
    </row>
    <row r="2592" spans="1:5" x14ac:dyDescent="0.2">
      <c r="A2592">
        <v>11</v>
      </c>
      <c r="B2592" s="2" t="s">
        <v>10</v>
      </c>
      <c r="C2592" s="2" t="s">
        <v>10</v>
      </c>
      <c r="D2592" s="2" t="s">
        <v>10</v>
      </c>
      <c r="E2592" s="3">
        <f t="shared" si="40"/>
        <v>32</v>
      </c>
    </row>
    <row r="2593" spans="1:5" x14ac:dyDescent="0.2">
      <c r="A2593" s="1" t="s">
        <v>37</v>
      </c>
      <c r="E2593" s="3">
        <f t="shared" si="40"/>
        <v>32</v>
      </c>
    </row>
    <row r="2594" spans="1:5" x14ac:dyDescent="0.2">
      <c r="A2594" s="1" t="s">
        <v>1</v>
      </c>
      <c r="B2594" s="1" t="s">
        <v>2</v>
      </c>
      <c r="C2594" s="1" t="s">
        <v>3</v>
      </c>
      <c r="D2594" s="1" t="s">
        <v>4</v>
      </c>
      <c r="E2594" s="3">
        <f t="shared" si="40"/>
        <v>32</v>
      </c>
    </row>
    <row r="2595" spans="1:5" x14ac:dyDescent="0.2">
      <c r="A2595">
        <v>1</v>
      </c>
      <c r="B2595" t="s">
        <v>9</v>
      </c>
      <c r="C2595">
        <v>5</v>
      </c>
      <c r="D2595">
        <v>16</v>
      </c>
      <c r="E2595" s="3">
        <f t="shared" si="40"/>
        <v>32</v>
      </c>
    </row>
    <row r="2596" spans="1:5" x14ac:dyDescent="0.2">
      <c r="A2596">
        <v>2</v>
      </c>
      <c r="B2596" t="s">
        <v>552</v>
      </c>
      <c r="C2596">
        <v>0</v>
      </c>
      <c r="D2596">
        <v>12</v>
      </c>
      <c r="E2596" s="3">
        <f t="shared" si="40"/>
        <v>32</v>
      </c>
    </row>
    <row r="2597" spans="1:5" x14ac:dyDescent="0.2">
      <c r="A2597">
        <v>3</v>
      </c>
      <c r="B2597" t="s">
        <v>55</v>
      </c>
      <c r="C2597">
        <v>0</v>
      </c>
      <c r="D2597">
        <v>8</v>
      </c>
      <c r="E2597" s="3">
        <f t="shared" si="40"/>
        <v>32</v>
      </c>
    </row>
    <row r="2598" spans="1:5" x14ac:dyDescent="0.2">
      <c r="A2598">
        <v>4</v>
      </c>
      <c r="B2598" t="s">
        <v>21</v>
      </c>
      <c r="C2598">
        <v>0</v>
      </c>
      <c r="D2598">
        <v>4</v>
      </c>
      <c r="E2598" s="3">
        <f t="shared" si="40"/>
        <v>32</v>
      </c>
    </row>
    <row r="2599" spans="1:5" x14ac:dyDescent="0.2">
      <c r="A2599">
        <v>5</v>
      </c>
      <c r="B2599" t="s">
        <v>556</v>
      </c>
      <c r="C2599">
        <v>0</v>
      </c>
      <c r="D2599">
        <v>2</v>
      </c>
      <c r="E2599" s="3">
        <f t="shared" si="40"/>
        <v>32</v>
      </c>
    </row>
    <row r="2600" spans="1:5" x14ac:dyDescent="0.2">
      <c r="A2600">
        <v>6</v>
      </c>
      <c r="B2600" t="s">
        <v>503</v>
      </c>
      <c r="C2600">
        <v>0</v>
      </c>
      <c r="D2600">
        <v>1</v>
      </c>
      <c r="E2600" s="3">
        <f t="shared" si="40"/>
        <v>32</v>
      </c>
    </row>
    <row r="2601" spans="1:5" x14ac:dyDescent="0.2">
      <c r="A2601">
        <v>7</v>
      </c>
      <c r="B2601" s="2" t="s">
        <v>10</v>
      </c>
      <c r="C2601" s="2" t="s">
        <v>10</v>
      </c>
      <c r="D2601" s="2" t="s">
        <v>10</v>
      </c>
      <c r="E2601" s="3">
        <f t="shared" si="40"/>
        <v>32</v>
      </c>
    </row>
    <row r="2602" spans="1:5" x14ac:dyDescent="0.2">
      <c r="A2602">
        <v>8</v>
      </c>
      <c r="B2602" s="2" t="s">
        <v>10</v>
      </c>
      <c r="C2602" s="2" t="s">
        <v>10</v>
      </c>
      <c r="D2602" s="2" t="s">
        <v>10</v>
      </c>
      <c r="E2602" s="3">
        <f t="shared" si="40"/>
        <v>32</v>
      </c>
    </row>
    <row r="2603" spans="1:5" x14ac:dyDescent="0.2">
      <c r="A2603" s="1" t="s">
        <v>0</v>
      </c>
      <c r="E2603" s="3">
        <f t="shared" si="40"/>
        <v>33</v>
      </c>
    </row>
    <row r="2604" spans="1:5" x14ac:dyDescent="0.2">
      <c r="A2604" s="1" t="s">
        <v>1</v>
      </c>
      <c r="B2604" s="1" t="s">
        <v>2</v>
      </c>
      <c r="C2604" s="1" t="s">
        <v>3</v>
      </c>
      <c r="D2604" s="1" t="s">
        <v>4</v>
      </c>
      <c r="E2604" s="3">
        <f t="shared" si="40"/>
        <v>33</v>
      </c>
    </row>
    <row r="2605" spans="1:5" x14ac:dyDescent="0.2">
      <c r="A2605">
        <v>1</v>
      </c>
      <c r="B2605" t="s">
        <v>61</v>
      </c>
      <c r="C2605">
        <v>2</v>
      </c>
      <c r="D2605">
        <v>16</v>
      </c>
      <c r="E2605" s="3">
        <f t="shared" si="40"/>
        <v>33</v>
      </c>
    </row>
    <row r="2606" spans="1:5" x14ac:dyDescent="0.2">
      <c r="A2606">
        <v>2</v>
      </c>
      <c r="B2606" t="s">
        <v>76</v>
      </c>
      <c r="C2606">
        <v>3</v>
      </c>
      <c r="D2606">
        <v>12</v>
      </c>
      <c r="E2606" s="3">
        <f t="shared" si="40"/>
        <v>33</v>
      </c>
    </row>
    <row r="2607" spans="1:5" x14ac:dyDescent="0.2">
      <c r="A2607">
        <v>3</v>
      </c>
      <c r="B2607" t="s">
        <v>554</v>
      </c>
      <c r="C2607">
        <v>0</v>
      </c>
      <c r="D2607">
        <v>8</v>
      </c>
      <c r="E2607" s="3">
        <f t="shared" si="40"/>
        <v>33</v>
      </c>
    </row>
    <row r="2608" spans="1:5" x14ac:dyDescent="0.2">
      <c r="A2608">
        <v>4</v>
      </c>
      <c r="B2608" t="s">
        <v>35</v>
      </c>
      <c r="C2608">
        <v>0</v>
      </c>
      <c r="D2608">
        <v>4</v>
      </c>
      <c r="E2608" s="3">
        <f t="shared" si="40"/>
        <v>33</v>
      </c>
    </row>
    <row r="2609" spans="1:5" x14ac:dyDescent="0.2">
      <c r="A2609">
        <v>5</v>
      </c>
      <c r="B2609" t="s">
        <v>25</v>
      </c>
      <c r="C2609">
        <v>0</v>
      </c>
      <c r="D2609">
        <v>2</v>
      </c>
      <c r="E2609" s="3">
        <f t="shared" si="40"/>
        <v>33</v>
      </c>
    </row>
    <row r="2610" spans="1:5" x14ac:dyDescent="0.2">
      <c r="A2610">
        <v>6</v>
      </c>
      <c r="B2610" t="s">
        <v>559</v>
      </c>
      <c r="C2610">
        <v>0</v>
      </c>
      <c r="D2610">
        <v>1</v>
      </c>
      <c r="E2610" s="3">
        <f t="shared" si="40"/>
        <v>33</v>
      </c>
    </row>
    <row r="2611" spans="1:5" x14ac:dyDescent="0.2">
      <c r="A2611">
        <v>7</v>
      </c>
      <c r="B2611" s="2" t="s">
        <v>10</v>
      </c>
      <c r="C2611" s="2" t="s">
        <v>10</v>
      </c>
      <c r="D2611" s="2" t="s">
        <v>10</v>
      </c>
      <c r="E2611" s="3">
        <f t="shared" si="40"/>
        <v>33</v>
      </c>
    </row>
    <row r="2612" spans="1:5" x14ac:dyDescent="0.2">
      <c r="A2612">
        <v>8</v>
      </c>
      <c r="B2612" s="2" t="s">
        <v>10</v>
      </c>
      <c r="C2612" s="2" t="s">
        <v>10</v>
      </c>
      <c r="D2612" s="2" t="s">
        <v>10</v>
      </c>
      <c r="E2612" s="3">
        <f t="shared" si="40"/>
        <v>33</v>
      </c>
    </row>
    <row r="2613" spans="1:5" x14ac:dyDescent="0.2">
      <c r="A2613" s="1" t="s">
        <v>11</v>
      </c>
      <c r="E2613" s="3">
        <f t="shared" si="40"/>
        <v>33</v>
      </c>
    </row>
    <row r="2614" spans="1:5" x14ac:dyDescent="0.2">
      <c r="A2614" s="1" t="s">
        <v>1</v>
      </c>
      <c r="B2614" s="1" t="s">
        <v>2</v>
      </c>
      <c r="C2614" s="1" t="s">
        <v>3</v>
      </c>
      <c r="D2614" s="1" t="s">
        <v>4</v>
      </c>
      <c r="E2614" s="3">
        <f t="shared" si="40"/>
        <v>33</v>
      </c>
    </row>
    <row r="2615" spans="1:5" x14ac:dyDescent="0.2">
      <c r="A2615">
        <v>1</v>
      </c>
      <c r="B2615" t="s">
        <v>535</v>
      </c>
      <c r="C2615">
        <v>3</v>
      </c>
      <c r="D2615">
        <v>16</v>
      </c>
      <c r="E2615" s="3">
        <f t="shared" si="40"/>
        <v>33</v>
      </c>
    </row>
    <row r="2616" spans="1:5" x14ac:dyDescent="0.2">
      <c r="A2616">
        <v>2</v>
      </c>
      <c r="B2616" t="s">
        <v>46</v>
      </c>
      <c r="C2616">
        <v>2</v>
      </c>
      <c r="D2616">
        <v>12</v>
      </c>
      <c r="E2616" s="3">
        <f t="shared" si="40"/>
        <v>33</v>
      </c>
    </row>
    <row r="2617" spans="1:5" x14ac:dyDescent="0.2">
      <c r="A2617">
        <v>3</v>
      </c>
      <c r="B2617" t="s">
        <v>14</v>
      </c>
      <c r="C2617">
        <v>0</v>
      </c>
      <c r="D2617">
        <v>8</v>
      </c>
      <c r="E2617" s="3">
        <f t="shared" si="40"/>
        <v>33</v>
      </c>
    </row>
    <row r="2618" spans="1:5" x14ac:dyDescent="0.2">
      <c r="A2618">
        <v>4</v>
      </c>
      <c r="B2618" t="s">
        <v>74</v>
      </c>
      <c r="C2618">
        <v>0</v>
      </c>
      <c r="D2618">
        <v>4</v>
      </c>
      <c r="E2618" s="3">
        <f t="shared" si="40"/>
        <v>33</v>
      </c>
    </row>
    <row r="2619" spans="1:5" x14ac:dyDescent="0.2">
      <c r="A2619">
        <v>5</v>
      </c>
      <c r="B2619" t="s">
        <v>19</v>
      </c>
      <c r="C2619">
        <v>0</v>
      </c>
      <c r="D2619">
        <v>2</v>
      </c>
      <c r="E2619" s="3">
        <f t="shared" si="40"/>
        <v>33</v>
      </c>
    </row>
    <row r="2620" spans="1:5" x14ac:dyDescent="0.2">
      <c r="A2620">
        <v>6</v>
      </c>
      <c r="B2620" t="s">
        <v>485</v>
      </c>
      <c r="C2620">
        <v>0</v>
      </c>
      <c r="D2620">
        <v>1</v>
      </c>
      <c r="E2620" s="3">
        <f t="shared" si="40"/>
        <v>33</v>
      </c>
    </row>
    <row r="2621" spans="1:5" x14ac:dyDescent="0.2">
      <c r="A2621">
        <v>7</v>
      </c>
      <c r="B2621" s="2" t="s">
        <v>10</v>
      </c>
      <c r="C2621" s="2" t="s">
        <v>10</v>
      </c>
      <c r="D2621" s="2" t="s">
        <v>10</v>
      </c>
      <c r="E2621" s="3">
        <f t="shared" si="40"/>
        <v>33</v>
      </c>
    </row>
    <row r="2622" spans="1:5" x14ac:dyDescent="0.2">
      <c r="A2622">
        <v>8</v>
      </c>
      <c r="B2622" s="2" t="s">
        <v>10</v>
      </c>
      <c r="C2622" s="2" t="s">
        <v>10</v>
      </c>
      <c r="D2622" s="2" t="s">
        <v>10</v>
      </c>
      <c r="E2622" s="3">
        <f t="shared" si="40"/>
        <v>33</v>
      </c>
    </row>
    <row r="2623" spans="1:5" x14ac:dyDescent="0.2">
      <c r="A2623" s="1" t="s">
        <v>17</v>
      </c>
      <c r="E2623" s="3">
        <f t="shared" si="40"/>
        <v>33</v>
      </c>
    </row>
    <row r="2624" spans="1:5" x14ac:dyDescent="0.2">
      <c r="A2624" s="1" t="s">
        <v>1</v>
      </c>
      <c r="B2624" s="1" t="s">
        <v>2</v>
      </c>
      <c r="C2624" s="1" t="s">
        <v>3</v>
      </c>
      <c r="D2624" s="1" t="s">
        <v>4</v>
      </c>
      <c r="E2624" s="3">
        <f t="shared" si="40"/>
        <v>33</v>
      </c>
    </row>
    <row r="2625" spans="1:5" x14ac:dyDescent="0.2">
      <c r="A2625">
        <v>1</v>
      </c>
      <c r="B2625" t="s">
        <v>507</v>
      </c>
      <c r="C2625">
        <v>3</v>
      </c>
      <c r="D2625">
        <v>16</v>
      </c>
      <c r="E2625" s="3">
        <f t="shared" si="40"/>
        <v>33</v>
      </c>
    </row>
    <row r="2626" spans="1:5" x14ac:dyDescent="0.2">
      <c r="A2626">
        <v>2</v>
      </c>
      <c r="B2626" t="s">
        <v>280</v>
      </c>
      <c r="C2626">
        <v>0</v>
      </c>
      <c r="D2626">
        <v>12</v>
      </c>
      <c r="E2626" s="3">
        <f t="shared" si="40"/>
        <v>33</v>
      </c>
    </row>
    <row r="2627" spans="1:5" x14ac:dyDescent="0.2">
      <c r="A2627">
        <v>3</v>
      </c>
      <c r="B2627" t="s">
        <v>534</v>
      </c>
      <c r="C2627">
        <v>0</v>
      </c>
      <c r="D2627">
        <v>8</v>
      </c>
      <c r="E2627" s="3">
        <f t="shared" si="40"/>
        <v>33</v>
      </c>
    </row>
    <row r="2628" spans="1:5" x14ac:dyDescent="0.2">
      <c r="A2628">
        <v>4</v>
      </c>
      <c r="B2628" t="s">
        <v>533</v>
      </c>
      <c r="C2628">
        <v>2</v>
      </c>
      <c r="D2628">
        <v>4</v>
      </c>
      <c r="E2628" s="3">
        <f t="shared" ref="E2628:E2691" si="41">IF(A2628=$A$1,E2627+1,E2627)</f>
        <v>33</v>
      </c>
    </row>
    <row r="2629" spans="1:5" x14ac:dyDescent="0.2">
      <c r="A2629">
        <v>5</v>
      </c>
      <c r="B2629" t="s">
        <v>475</v>
      </c>
      <c r="C2629">
        <v>0</v>
      </c>
      <c r="D2629">
        <v>2</v>
      </c>
      <c r="E2629" s="3">
        <f t="shared" si="41"/>
        <v>33</v>
      </c>
    </row>
    <row r="2630" spans="1:5" x14ac:dyDescent="0.2">
      <c r="A2630">
        <v>6</v>
      </c>
      <c r="B2630" t="s">
        <v>493</v>
      </c>
      <c r="C2630">
        <v>0</v>
      </c>
      <c r="D2630">
        <v>1</v>
      </c>
      <c r="E2630" s="3">
        <f t="shared" si="41"/>
        <v>33</v>
      </c>
    </row>
    <row r="2631" spans="1:5" x14ac:dyDescent="0.2">
      <c r="A2631">
        <v>7</v>
      </c>
      <c r="B2631" s="2" t="s">
        <v>10</v>
      </c>
      <c r="C2631" s="2" t="s">
        <v>10</v>
      </c>
      <c r="D2631" s="2" t="s">
        <v>10</v>
      </c>
      <c r="E2631" s="3">
        <f t="shared" si="41"/>
        <v>33</v>
      </c>
    </row>
    <row r="2632" spans="1:5" x14ac:dyDescent="0.2">
      <c r="A2632">
        <v>8</v>
      </c>
      <c r="B2632" s="2" t="s">
        <v>10</v>
      </c>
      <c r="C2632" s="2" t="s">
        <v>10</v>
      </c>
      <c r="D2632" s="2" t="s">
        <v>10</v>
      </c>
      <c r="E2632" s="3">
        <f t="shared" si="41"/>
        <v>33</v>
      </c>
    </row>
    <row r="2633" spans="1:5" x14ac:dyDescent="0.2">
      <c r="A2633" s="1" t="s">
        <v>24</v>
      </c>
      <c r="E2633" s="3">
        <f t="shared" si="41"/>
        <v>33</v>
      </c>
    </row>
    <row r="2634" spans="1:5" x14ac:dyDescent="0.2">
      <c r="A2634" s="1" t="s">
        <v>1</v>
      </c>
      <c r="B2634" s="1" t="s">
        <v>2</v>
      </c>
      <c r="C2634" s="1" t="s">
        <v>3</v>
      </c>
      <c r="D2634" s="1" t="s">
        <v>4</v>
      </c>
      <c r="E2634" s="3">
        <f t="shared" si="41"/>
        <v>33</v>
      </c>
    </row>
    <row r="2635" spans="1:5" x14ac:dyDescent="0.2">
      <c r="A2635">
        <v>1</v>
      </c>
      <c r="B2635" t="s">
        <v>9</v>
      </c>
      <c r="C2635">
        <v>3</v>
      </c>
      <c r="D2635">
        <v>16</v>
      </c>
      <c r="E2635" s="3">
        <f t="shared" si="41"/>
        <v>33</v>
      </c>
    </row>
    <row r="2636" spans="1:5" x14ac:dyDescent="0.2">
      <c r="A2636">
        <v>2</v>
      </c>
      <c r="B2636" t="s">
        <v>32</v>
      </c>
      <c r="C2636">
        <v>1</v>
      </c>
      <c r="D2636">
        <v>12</v>
      </c>
      <c r="E2636" s="3">
        <f t="shared" si="41"/>
        <v>33</v>
      </c>
    </row>
    <row r="2637" spans="1:5" x14ac:dyDescent="0.2">
      <c r="A2637">
        <v>3</v>
      </c>
      <c r="B2637" t="s">
        <v>21</v>
      </c>
      <c r="C2637">
        <v>1</v>
      </c>
      <c r="D2637">
        <v>8</v>
      </c>
      <c r="E2637" s="3">
        <f t="shared" si="41"/>
        <v>33</v>
      </c>
    </row>
    <row r="2638" spans="1:5" x14ac:dyDescent="0.2">
      <c r="A2638">
        <v>4</v>
      </c>
      <c r="B2638" t="s">
        <v>461</v>
      </c>
      <c r="C2638">
        <v>0</v>
      </c>
      <c r="D2638">
        <v>4</v>
      </c>
      <c r="E2638" s="3">
        <f t="shared" si="41"/>
        <v>33</v>
      </c>
    </row>
    <row r="2639" spans="1:5" x14ac:dyDescent="0.2">
      <c r="A2639">
        <v>5</v>
      </c>
      <c r="B2639" t="s">
        <v>69</v>
      </c>
      <c r="C2639">
        <v>0</v>
      </c>
      <c r="D2639">
        <v>2</v>
      </c>
      <c r="E2639" s="3">
        <f t="shared" si="41"/>
        <v>33</v>
      </c>
    </row>
    <row r="2640" spans="1:5" x14ac:dyDescent="0.2">
      <c r="A2640">
        <v>6</v>
      </c>
      <c r="B2640" t="s">
        <v>476</v>
      </c>
      <c r="C2640">
        <v>0</v>
      </c>
      <c r="D2640">
        <v>1</v>
      </c>
      <c r="E2640" s="3">
        <f t="shared" si="41"/>
        <v>33</v>
      </c>
    </row>
    <row r="2641" spans="1:5" x14ac:dyDescent="0.2">
      <c r="A2641">
        <v>7</v>
      </c>
      <c r="B2641" s="2" t="s">
        <v>10</v>
      </c>
      <c r="C2641" s="2" t="s">
        <v>10</v>
      </c>
      <c r="D2641" s="2" t="s">
        <v>10</v>
      </c>
      <c r="E2641" s="3">
        <f t="shared" si="41"/>
        <v>33</v>
      </c>
    </row>
    <row r="2642" spans="1:5" x14ac:dyDescent="0.2">
      <c r="A2642">
        <v>8</v>
      </c>
      <c r="B2642" s="2" t="s">
        <v>10</v>
      </c>
      <c r="C2642" s="2" t="s">
        <v>10</v>
      </c>
      <c r="D2642" s="2" t="s">
        <v>10</v>
      </c>
      <c r="E2642" s="3">
        <f t="shared" si="41"/>
        <v>33</v>
      </c>
    </row>
    <row r="2643" spans="1:5" x14ac:dyDescent="0.2">
      <c r="A2643" s="1" t="s">
        <v>30</v>
      </c>
      <c r="E2643" s="3">
        <f t="shared" si="41"/>
        <v>33</v>
      </c>
    </row>
    <row r="2644" spans="1:5" x14ac:dyDescent="0.2">
      <c r="A2644" s="1" t="s">
        <v>1</v>
      </c>
      <c r="B2644" s="1" t="s">
        <v>2</v>
      </c>
      <c r="C2644" s="1" t="s">
        <v>3</v>
      </c>
      <c r="D2644" s="1" t="s">
        <v>4</v>
      </c>
      <c r="E2644" s="3">
        <f t="shared" si="41"/>
        <v>33</v>
      </c>
    </row>
    <row r="2645" spans="1:5" x14ac:dyDescent="0.2">
      <c r="A2645">
        <v>1</v>
      </c>
      <c r="B2645" t="s">
        <v>509</v>
      </c>
      <c r="C2645">
        <v>4</v>
      </c>
      <c r="D2645">
        <v>16</v>
      </c>
      <c r="E2645" s="3">
        <f t="shared" si="41"/>
        <v>33</v>
      </c>
    </row>
    <row r="2646" spans="1:5" x14ac:dyDescent="0.2">
      <c r="A2646">
        <v>2</v>
      </c>
      <c r="B2646" t="s">
        <v>55</v>
      </c>
      <c r="C2646">
        <v>1</v>
      </c>
      <c r="D2646">
        <v>12</v>
      </c>
      <c r="E2646" s="3">
        <f t="shared" si="41"/>
        <v>33</v>
      </c>
    </row>
    <row r="2647" spans="1:5" x14ac:dyDescent="0.2">
      <c r="A2647">
        <v>3</v>
      </c>
      <c r="B2647" t="s">
        <v>558</v>
      </c>
      <c r="C2647">
        <v>0</v>
      </c>
      <c r="D2647">
        <v>8</v>
      </c>
      <c r="E2647" s="3">
        <f t="shared" si="41"/>
        <v>33</v>
      </c>
    </row>
    <row r="2648" spans="1:5" x14ac:dyDescent="0.2">
      <c r="A2648">
        <v>4</v>
      </c>
      <c r="B2648" t="s">
        <v>75</v>
      </c>
      <c r="C2648">
        <v>0</v>
      </c>
      <c r="D2648">
        <v>4</v>
      </c>
      <c r="E2648" s="3">
        <f t="shared" si="41"/>
        <v>33</v>
      </c>
    </row>
    <row r="2649" spans="1:5" x14ac:dyDescent="0.2">
      <c r="A2649">
        <v>5</v>
      </c>
      <c r="B2649" t="s">
        <v>479</v>
      </c>
      <c r="C2649">
        <v>0</v>
      </c>
      <c r="D2649">
        <v>2</v>
      </c>
      <c r="E2649" s="3">
        <f t="shared" si="41"/>
        <v>33</v>
      </c>
    </row>
    <row r="2650" spans="1:5" x14ac:dyDescent="0.2">
      <c r="A2650">
        <v>6</v>
      </c>
      <c r="B2650" t="s">
        <v>512</v>
      </c>
      <c r="C2650">
        <v>0</v>
      </c>
      <c r="D2650">
        <v>1</v>
      </c>
      <c r="E2650" s="3">
        <f t="shared" si="41"/>
        <v>33</v>
      </c>
    </row>
    <row r="2651" spans="1:5" x14ac:dyDescent="0.2">
      <c r="A2651">
        <v>7</v>
      </c>
      <c r="B2651" s="2" t="s">
        <v>10</v>
      </c>
      <c r="C2651" s="2" t="s">
        <v>10</v>
      </c>
      <c r="D2651" s="2" t="s">
        <v>10</v>
      </c>
      <c r="E2651" s="3">
        <f t="shared" si="41"/>
        <v>33</v>
      </c>
    </row>
    <row r="2652" spans="1:5" x14ac:dyDescent="0.2">
      <c r="A2652">
        <v>8</v>
      </c>
      <c r="B2652" s="2" t="s">
        <v>10</v>
      </c>
      <c r="C2652" s="2" t="s">
        <v>10</v>
      </c>
      <c r="D2652" s="2" t="s">
        <v>10</v>
      </c>
      <c r="E2652" s="3">
        <f t="shared" si="41"/>
        <v>33</v>
      </c>
    </row>
    <row r="2653" spans="1:5" x14ac:dyDescent="0.2">
      <c r="A2653" s="1" t="s">
        <v>37</v>
      </c>
      <c r="E2653" s="3">
        <f t="shared" si="41"/>
        <v>33</v>
      </c>
    </row>
    <row r="2654" spans="1:5" x14ac:dyDescent="0.2">
      <c r="A2654" s="1" t="s">
        <v>1</v>
      </c>
      <c r="B2654" s="1" t="s">
        <v>2</v>
      </c>
      <c r="C2654" s="1" t="s">
        <v>3</v>
      </c>
      <c r="D2654" s="1" t="s">
        <v>4</v>
      </c>
      <c r="E2654" s="3">
        <f t="shared" si="41"/>
        <v>33</v>
      </c>
    </row>
    <row r="2655" spans="1:5" x14ac:dyDescent="0.2">
      <c r="A2655">
        <v>1</v>
      </c>
      <c r="B2655" t="s">
        <v>65</v>
      </c>
      <c r="C2655">
        <v>3</v>
      </c>
      <c r="D2655">
        <v>16</v>
      </c>
      <c r="E2655" s="3">
        <f t="shared" si="41"/>
        <v>33</v>
      </c>
    </row>
    <row r="2656" spans="1:5" x14ac:dyDescent="0.2">
      <c r="A2656">
        <v>2</v>
      </c>
      <c r="B2656" t="s">
        <v>66</v>
      </c>
      <c r="C2656">
        <v>0</v>
      </c>
      <c r="D2656">
        <v>12</v>
      </c>
      <c r="E2656" s="3">
        <f t="shared" si="41"/>
        <v>33</v>
      </c>
    </row>
    <row r="2657" spans="1:5" x14ac:dyDescent="0.2">
      <c r="A2657">
        <v>3</v>
      </c>
      <c r="B2657" t="s">
        <v>557</v>
      </c>
      <c r="C2657">
        <v>2</v>
      </c>
      <c r="D2657">
        <v>8</v>
      </c>
      <c r="E2657" s="3">
        <f t="shared" si="41"/>
        <v>33</v>
      </c>
    </row>
    <row r="2658" spans="1:5" x14ac:dyDescent="0.2">
      <c r="A2658">
        <v>4</v>
      </c>
      <c r="B2658" t="s">
        <v>505</v>
      </c>
      <c r="C2658">
        <v>0</v>
      </c>
      <c r="D2658">
        <v>4</v>
      </c>
      <c r="E2658" s="3">
        <f t="shared" si="41"/>
        <v>33</v>
      </c>
    </row>
    <row r="2659" spans="1:5" x14ac:dyDescent="0.2">
      <c r="A2659">
        <v>5</v>
      </c>
      <c r="B2659" t="s">
        <v>345</v>
      </c>
      <c r="C2659">
        <v>0</v>
      </c>
      <c r="D2659">
        <v>2</v>
      </c>
      <c r="E2659" s="3">
        <f t="shared" si="41"/>
        <v>33</v>
      </c>
    </row>
    <row r="2660" spans="1:5" x14ac:dyDescent="0.2">
      <c r="A2660">
        <v>6</v>
      </c>
      <c r="B2660" t="s">
        <v>526</v>
      </c>
      <c r="C2660">
        <v>0</v>
      </c>
      <c r="D2660">
        <v>1</v>
      </c>
      <c r="E2660" s="3">
        <f t="shared" si="41"/>
        <v>33</v>
      </c>
    </row>
    <row r="2661" spans="1:5" x14ac:dyDescent="0.2">
      <c r="A2661">
        <v>7</v>
      </c>
      <c r="B2661" s="2" t="s">
        <v>10</v>
      </c>
      <c r="C2661" s="2" t="s">
        <v>10</v>
      </c>
      <c r="D2661" s="2" t="s">
        <v>10</v>
      </c>
      <c r="E2661" s="3">
        <f t="shared" si="41"/>
        <v>33</v>
      </c>
    </row>
    <row r="2662" spans="1:5" x14ac:dyDescent="0.2">
      <c r="A2662">
        <v>8</v>
      </c>
      <c r="B2662" s="2" t="s">
        <v>10</v>
      </c>
      <c r="C2662" s="2" t="s">
        <v>10</v>
      </c>
      <c r="D2662" s="2" t="s">
        <v>10</v>
      </c>
      <c r="E2662" s="3">
        <f t="shared" si="41"/>
        <v>33</v>
      </c>
    </row>
    <row r="2663" spans="1:5" x14ac:dyDescent="0.2">
      <c r="A2663" s="1" t="s">
        <v>44</v>
      </c>
      <c r="E2663" s="3">
        <f t="shared" si="41"/>
        <v>33</v>
      </c>
    </row>
    <row r="2664" spans="1:5" x14ac:dyDescent="0.2">
      <c r="A2664" s="1" t="s">
        <v>1</v>
      </c>
      <c r="B2664" s="1" t="s">
        <v>2</v>
      </c>
      <c r="C2664" s="1" t="s">
        <v>3</v>
      </c>
      <c r="D2664" s="1" t="s">
        <v>4</v>
      </c>
      <c r="E2664" s="3">
        <f t="shared" si="41"/>
        <v>33</v>
      </c>
    </row>
    <row r="2665" spans="1:5" x14ac:dyDescent="0.2">
      <c r="A2665">
        <v>1</v>
      </c>
      <c r="B2665" t="s">
        <v>516</v>
      </c>
      <c r="C2665">
        <v>5</v>
      </c>
      <c r="D2665">
        <v>16</v>
      </c>
      <c r="E2665" s="3">
        <f t="shared" si="41"/>
        <v>33</v>
      </c>
    </row>
    <row r="2666" spans="1:5" x14ac:dyDescent="0.2">
      <c r="A2666">
        <v>2</v>
      </c>
      <c r="B2666" t="s">
        <v>500</v>
      </c>
      <c r="C2666">
        <v>0</v>
      </c>
      <c r="D2666">
        <v>12</v>
      </c>
      <c r="E2666" s="3">
        <f t="shared" si="41"/>
        <v>33</v>
      </c>
    </row>
    <row r="2667" spans="1:5" x14ac:dyDescent="0.2">
      <c r="A2667">
        <v>3</v>
      </c>
      <c r="B2667" t="s">
        <v>506</v>
      </c>
      <c r="C2667">
        <v>0</v>
      </c>
      <c r="D2667">
        <v>8</v>
      </c>
      <c r="E2667" s="3">
        <f t="shared" si="41"/>
        <v>33</v>
      </c>
    </row>
    <row r="2668" spans="1:5" x14ac:dyDescent="0.2">
      <c r="A2668">
        <v>4</v>
      </c>
      <c r="B2668" t="s">
        <v>552</v>
      </c>
      <c r="C2668">
        <v>0</v>
      </c>
      <c r="D2668">
        <v>4</v>
      </c>
      <c r="E2668" s="3">
        <f t="shared" si="41"/>
        <v>33</v>
      </c>
    </row>
    <row r="2669" spans="1:5" x14ac:dyDescent="0.2">
      <c r="A2669">
        <v>5</v>
      </c>
      <c r="B2669" t="s">
        <v>42</v>
      </c>
      <c r="C2669">
        <v>0</v>
      </c>
      <c r="D2669">
        <v>2</v>
      </c>
      <c r="E2669" s="3">
        <f t="shared" si="41"/>
        <v>33</v>
      </c>
    </row>
    <row r="2670" spans="1:5" x14ac:dyDescent="0.2">
      <c r="A2670">
        <v>6</v>
      </c>
      <c r="B2670" t="s">
        <v>73</v>
      </c>
      <c r="C2670">
        <v>0</v>
      </c>
      <c r="D2670">
        <v>1</v>
      </c>
      <c r="E2670" s="3">
        <f t="shared" si="41"/>
        <v>33</v>
      </c>
    </row>
    <row r="2671" spans="1:5" x14ac:dyDescent="0.2">
      <c r="A2671">
        <v>7</v>
      </c>
      <c r="B2671" s="2" t="s">
        <v>10</v>
      </c>
      <c r="C2671" s="2" t="s">
        <v>10</v>
      </c>
      <c r="D2671" s="2" t="s">
        <v>10</v>
      </c>
      <c r="E2671" s="3">
        <f t="shared" si="41"/>
        <v>33</v>
      </c>
    </row>
    <row r="2672" spans="1:5" x14ac:dyDescent="0.2">
      <c r="A2672">
        <v>8</v>
      </c>
      <c r="B2672" s="2" t="s">
        <v>10</v>
      </c>
      <c r="C2672" s="2" t="s">
        <v>10</v>
      </c>
      <c r="D2672" s="2" t="s">
        <v>10</v>
      </c>
      <c r="E2672" s="3">
        <f t="shared" si="41"/>
        <v>33</v>
      </c>
    </row>
    <row r="2673" spans="1:5" x14ac:dyDescent="0.2">
      <c r="A2673" s="1" t="s">
        <v>51</v>
      </c>
      <c r="E2673" s="3">
        <f t="shared" si="41"/>
        <v>33</v>
      </c>
    </row>
    <row r="2674" spans="1:5" x14ac:dyDescent="0.2">
      <c r="A2674" s="1" t="s">
        <v>1</v>
      </c>
      <c r="B2674" s="1" t="s">
        <v>2</v>
      </c>
      <c r="C2674" s="1" t="s">
        <v>3</v>
      </c>
      <c r="D2674" s="1" t="s">
        <v>4</v>
      </c>
      <c r="E2674" s="3">
        <f t="shared" si="41"/>
        <v>33</v>
      </c>
    </row>
    <row r="2675" spans="1:5" x14ac:dyDescent="0.2">
      <c r="A2675">
        <v>1</v>
      </c>
      <c r="B2675" t="s">
        <v>27</v>
      </c>
      <c r="C2675">
        <v>3</v>
      </c>
      <c r="D2675">
        <v>16</v>
      </c>
      <c r="E2675" s="3">
        <f t="shared" si="41"/>
        <v>33</v>
      </c>
    </row>
    <row r="2676" spans="1:5" x14ac:dyDescent="0.2">
      <c r="A2676">
        <v>2</v>
      </c>
      <c r="B2676" t="s">
        <v>521</v>
      </c>
      <c r="C2676">
        <v>2</v>
      </c>
      <c r="D2676">
        <v>12</v>
      </c>
      <c r="E2676" s="3">
        <f t="shared" si="41"/>
        <v>33</v>
      </c>
    </row>
    <row r="2677" spans="1:5" x14ac:dyDescent="0.2">
      <c r="A2677">
        <v>3</v>
      </c>
      <c r="B2677" t="s">
        <v>490</v>
      </c>
      <c r="C2677">
        <v>0</v>
      </c>
      <c r="D2677">
        <v>8</v>
      </c>
      <c r="E2677" s="3">
        <f t="shared" si="41"/>
        <v>33</v>
      </c>
    </row>
    <row r="2678" spans="1:5" x14ac:dyDescent="0.2">
      <c r="A2678">
        <v>4</v>
      </c>
      <c r="B2678" t="s">
        <v>501</v>
      </c>
      <c r="C2678">
        <v>0</v>
      </c>
      <c r="D2678">
        <v>4</v>
      </c>
      <c r="E2678" s="3">
        <f t="shared" si="41"/>
        <v>33</v>
      </c>
    </row>
    <row r="2679" spans="1:5" x14ac:dyDescent="0.2">
      <c r="A2679">
        <v>5</v>
      </c>
      <c r="B2679" t="s">
        <v>6</v>
      </c>
      <c r="C2679">
        <v>0</v>
      </c>
      <c r="D2679">
        <v>2</v>
      </c>
      <c r="E2679" s="3">
        <f t="shared" si="41"/>
        <v>33</v>
      </c>
    </row>
    <row r="2680" spans="1:5" x14ac:dyDescent="0.2">
      <c r="A2680">
        <v>6</v>
      </c>
      <c r="B2680" t="s">
        <v>504</v>
      </c>
      <c r="C2680">
        <v>0</v>
      </c>
      <c r="D2680">
        <v>1</v>
      </c>
      <c r="E2680" s="3">
        <f t="shared" si="41"/>
        <v>33</v>
      </c>
    </row>
    <row r="2681" spans="1:5" x14ac:dyDescent="0.2">
      <c r="A2681">
        <v>7</v>
      </c>
      <c r="B2681" s="2" t="s">
        <v>10</v>
      </c>
      <c r="C2681" s="2" t="s">
        <v>10</v>
      </c>
      <c r="D2681" s="2" t="s">
        <v>10</v>
      </c>
      <c r="E2681" s="3">
        <f t="shared" si="41"/>
        <v>33</v>
      </c>
    </row>
    <row r="2682" spans="1:5" x14ac:dyDescent="0.2">
      <c r="A2682">
        <v>8</v>
      </c>
      <c r="B2682" s="2" t="s">
        <v>10</v>
      </c>
      <c r="C2682" s="2" t="s">
        <v>10</v>
      </c>
      <c r="D2682" s="2" t="s">
        <v>10</v>
      </c>
      <c r="E2682" s="3">
        <f t="shared" si="41"/>
        <v>33</v>
      </c>
    </row>
    <row r="2683" spans="1:5" x14ac:dyDescent="0.2">
      <c r="E2683" s="3">
        <f t="shared" si="41"/>
        <v>33</v>
      </c>
    </row>
    <row r="2684" spans="1:5" x14ac:dyDescent="0.2">
      <c r="E2684" s="3">
        <f t="shared" si="41"/>
        <v>33</v>
      </c>
    </row>
    <row r="2685" spans="1:5" x14ac:dyDescent="0.2">
      <c r="E2685" s="3">
        <f t="shared" si="41"/>
        <v>33</v>
      </c>
    </row>
    <row r="2686" spans="1:5" x14ac:dyDescent="0.2">
      <c r="E2686" s="3">
        <f t="shared" si="41"/>
        <v>33</v>
      </c>
    </row>
    <row r="2687" spans="1:5" x14ac:dyDescent="0.2">
      <c r="E2687" s="3">
        <f t="shared" si="41"/>
        <v>33</v>
      </c>
    </row>
    <row r="2688" spans="1:5" x14ac:dyDescent="0.2">
      <c r="B2688" s="2"/>
      <c r="C2688" s="2"/>
      <c r="D2688" s="2"/>
      <c r="E2688" s="3">
        <f t="shared" si="41"/>
        <v>33</v>
      </c>
    </row>
    <row r="2689" spans="1:5" x14ac:dyDescent="0.2">
      <c r="B2689" s="2"/>
      <c r="C2689" s="2"/>
      <c r="D2689" s="2"/>
      <c r="E2689" s="3">
        <f t="shared" si="41"/>
        <v>33</v>
      </c>
    </row>
    <row r="2690" spans="1:5" x14ac:dyDescent="0.2">
      <c r="A2690" s="1"/>
      <c r="E2690" s="3">
        <f t="shared" si="41"/>
        <v>33</v>
      </c>
    </row>
    <row r="2691" spans="1:5" x14ac:dyDescent="0.2">
      <c r="A2691" s="1"/>
      <c r="B2691" s="1"/>
      <c r="C2691" s="1"/>
      <c r="D2691" s="1"/>
      <c r="E2691" s="3">
        <f t="shared" si="41"/>
        <v>33</v>
      </c>
    </row>
    <row r="2692" spans="1:5" x14ac:dyDescent="0.2">
      <c r="E2692" s="3">
        <f t="shared" ref="E2692:E2755" si="42">IF(A2692=$A$1,E2691+1,E2691)</f>
        <v>33</v>
      </c>
    </row>
    <row r="2693" spans="1:5" x14ac:dyDescent="0.2">
      <c r="E2693" s="3">
        <f t="shared" si="42"/>
        <v>33</v>
      </c>
    </row>
    <row r="2694" spans="1:5" x14ac:dyDescent="0.2">
      <c r="E2694" s="3">
        <f t="shared" si="42"/>
        <v>33</v>
      </c>
    </row>
    <row r="2695" spans="1:5" x14ac:dyDescent="0.2">
      <c r="E2695" s="3">
        <f t="shared" si="42"/>
        <v>33</v>
      </c>
    </row>
    <row r="2696" spans="1:5" x14ac:dyDescent="0.2">
      <c r="E2696" s="3">
        <f t="shared" si="42"/>
        <v>33</v>
      </c>
    </row>
    <row r="2697" spans="1:5" x14ac:dyDescent="0.2">
      <c r="B2697" s="2"/>
      <c r="C2697" s="2"/>
      <c r="D2697" s="2"/>
      <c r="E2697" s="3">
        <f t="shared" si="42"/>
        <v>33</v>
      </c>
    </row>
    <row r="2698" spans="1:5" x14ac:dyDescent="0.2">
      <c r="B2698" s="2"/>
      <c r="C2698" s="2"/>
      <c r="D2698" s="2"/>
      <c r="E2698" s="3">
        <f t="shared" si="42"/>
        <v>33</v>
      </c>
    </row>
    <row r="2699" spans="1:5" x14ac:dyDescent="0.2">
      <c r="B2699" s="2"/>
      <c r="C2699" s="2"/>
      <c r="D2699" s="2"/>
      <c r="E2699" s="3">
        <f t="shared" si="42"/>
        <v>33</v>
      </c>
    </row>
    <row r="2700" spans="1:5" x14ac:dyDescent="0.2">
      <c r="A2700" s="1"/>
      <c r="E2700" s="3">
        <f t="shared" si="42"/>
        <v>33</v>
      </c>
    </row>
    <row r="2701" spans="1:5" x14ac:dyDescent="0.2">
      <c r="A2701" s="1"/>
      <c r="B2701" s="1"/>
      <c r="C2701" s="1"/>
      <c r="D2701" s="1"/>
      <c r="E2701" s="3">
        <f t="shared" si="42"/>
        <v>33</v>
      </c>
    </row>
    <row r="2702" spans="1:5" x14ac:dyDescent="0.2">
      <c r="E2702" s="3">
        <f t="shared" si="42"/>
        <v>33</v>
      </c>
    </row>
    <row r="2703" spans="1:5" x14ac:dyDescent="0.2">
      <c r="E2703" s="3">
        <f t="shared" si="42"/>
        <v>33</v>
      </c>
    </row>
    <row r="2704" spans="1:5" x14ac:dyDescent="0.2">
      <c r="E2704" s="3">
        <f t="shared" si="42"/>
        <v>33</v>
      </c>
    </row>
    <row r="2705" spans="1:5" x14ac:dyDescent="0.2">
      <c r="E2705" s="3">
        <f t="shared" si="42"/>
        <v>33</v>
      </c>
    </row>
    <row r="2706" spans="1:5" x14ac:dyDescent="0.2">
      <c r="E2706" s="3">
        <f t="shared" si="42"/>
        <v>33</v>
      </c>
    </row>
    <row r="2707" spans="1:5" x14ac:dyDescent="0.2">
      <c r="B2707" s="2"/>
      <c r="C2707" s="2"/>
      <c r="D2707" s="2"/>
      <c r="E2707" s="3">
        <f t="shared" si="42"/>
        <v>33</v>
      </c>
    </row>
    <row r="2708" spans="1:5" x14ac:dyDescent="0.2">
      <c r="B2708" s="2"/>
      <c r="C2708" s="2"/>
      <c r="D2708" s="2"/>
      <c r="E2708" s="3">
        <f t="shared" si="42"/>
        <v>33</v>
      </c>
    </row>
    <row r="2709" spans="1:5" x14ac:dyDescent="0.2">
      <c r="B2709" s="2"/>
      <c r="C2709" s="2"/>
      <c r="D2709" s="2"/>
      <c r="E2709" s="3">
        <f t="shared" si="42"/>
        <v>33</v>
      </c>
    </row>
    <row r="2710" spans="1:5" x14ac:dyDescent="0.2">
      <c r="A2710" s="1"/>
      <c r="E2710" s="3">
        <f t="shared" si="42"/>
        <v>33</v>
      </c>
    </row>
    <row r="2711" spans="1:5" x14ac:dyDescent="0.2">
      <c r="A2711" s="1"/>
      <c r="B2711" s="1"/>
      <c r="C2711" s="1"/>
      <c r="D2711" s="1"/>
      <c r="E2711" s="3">
        <f t="shared" si="42"/>
        <v>33</v>
      </c>
    </row>
    <row r="2712" spans="1:5" x14ac:dyDescent="0.2">
      <c r="E2712" s="3">
        <f t="shared" si="42"/>
        <v>33</v>
      </c>
    </row>
    <row r="2713" spans="1:5" x14ac:dyDescent="0.2">
      <c r="E2713" s="3">
        <f t="shared" si="42"/>
        <v>33</v>
      </c>
    </row>
    <row r="2714" spans="1:5" x14ac:dyDescent="0.2">
      <c r="E2714" s="3">
        <f t="shared" si="42"/>
        <v>33</v>
      </c>
    </row>
    <row r="2715" spans="1:5" x14ac:dyDescent="0.2">
      <c r="E2715" s="3">
        <f t="shared" si="42"/>
        <v>33</v>
      </c>
    </row>
    <row r="2716" spans="1:5" x14ac:dyDescent="0.2">
      <c r="E2716" s="3">
        <f t="shared" si="42"/>
        <v>33</v>
      </c>
    </row>
    <row r="2717" spans="1:5" x14ac:dyDescent="0.2">
      <c r="A2717" s="1"/>
      <c r="E2717" s="3">
        <f t="shared" si="42"/>
        <v>33</v>
      </c>
    </row>
    <row r="2718" spans="1:5" x14ac:dyDescent="0.2">
      <c r="A2718" s="1"/>
      <c r="B2718" s="1"/>
      <c r="C2718" s="1"/>
      <c r="D2718" s="1"/>
      <c r="E2718" s="3">
        <f t="shared" si="42"/>
        <v>33</v>
      </c>
    </row>
    <row r="2719" spans="1:5" x14ac:dyDescent="0.2">
      <c r="E2719" s="3">
        <f t="shared" si="42"/>
        <v>33</v>
      </c>
    </row>
    <row r="2720" spans="1:5" x14ac:dyDescent="0.2">
      <c r="E2720" s="3">
        <f t="shared" si="42"/>
        <v>33</v>
      </c>
    </row>
    <row r="2721" spans="1:5" x14ac:dyDescent="0.2">
      <c r="E2721" s="3">
        <f t="shared" si="42"/>
        <v>33</v>
      </c>
    </row>
    <row r="2722" spans="1:5" x14ac:dyDescent="0.2">
      <c r="E2722" s="3">
        <f t="shared" si="42"/>
        <v>33</v>
      </c>
    </row>
    <row r="2723" spans="1:5" x14ac:dyDescent="0.2">
      <c r="E2723" s="3">
        <f t="shared" si="42"/>
        <v>33</v>
      </c>
    </row>
    <row r="2724" spans="1:5" x14ac:dyDescent="0.2">
      <c r="E2724" s="3">
        <f t="shared" si="42"/>
        <v>33</v>
      </c>
    </row>
    <row r="2725" spans="1:5" x14ac:dyDescent="0.2">
      <c r="B2725" s="2"/>
      <c r="C2725" s="2"/>
      <c r="D2725" s="2"/>
      <c r="E2725" s="3">
        <f t="shared" si="42"/>
        <v>33</v>
      </c>
    </row>
    <row r="2726" spans="1:5" x14ac:dyDescent="0.2">
      <c r="B2726" s="2"/>
      <c r="C2726" s="2"/>
      <c r="D2726" s="2"/>
      <c r="E2726" s="3">
        <f t="shared" si="42"/>
        <v>33</v>
      </c>
    </row>
    <row r="2727" spans="1:5" x14ac:dyDescent="0.2">
      <c r="A2727" s="1"/>
      <c r="E2727" s="3">
        <f t="shared" si="42"/>
        <v>33</v>
      </c>
    </row>
    <row r="2728" spans="1:5" x14ac:dyDescent="0.2">
      <c r="A2728" s="1"/>
      <c r="B2728" s="1"/>
      <c r="C2728" s="1"/>
      <c r="D2728" s="1"/>
      <c r="E2728" s="3">
        <f t="shared" si="42"/>
        <v>33</v>
      </c>
    </row>
    <row r="2729" spans="1:5" x14ac:dyDescent="0.2">
      <c r="E2729" s="3">
        <f t="shared" si="42"/>
        <v>33</v>
      </c>
    </row>
    <row r="2730" spans="1:5" x14ac:dyDescent="0.2">
      <c r="E2730" s="3">
        <f t="shared" si="42"/>
        <v>33</v>
      </c>
    </row>
    <row r="2731" spans="1:5" x14ac:dyDescent="0.2">
      <c r="E2731" s="3">
        <f t="shared" si="42"/>
        <v>33</v>
      </c>
    </row>
    <row r="2732" spans="1:5" x14ac:dyDescent="0.2">
      <c r="E2732" s="3">
        <f t="shared" si="42"/>
        <v>33</v>
      </c>
    </row>
    <row r="2733" spans="1:5" x14ac:dyDescent="0.2">
      <c r="E2733" s="3">
        <f t="shared" si="42"/>
        <v>33</v>
      </c>
    </row>
    <row r="2734" spans="1:5" x14ac:dyDescent="0.2">
      <c r="E2734" s="3">
        <f t="shared" si="42"/>
        <v>33</v>
      </c>
    </row>
    <row r="2735" spans="1:5" x14ac:dyDescent="0.2">
      <c r="B2735" s="2"/>
      <c r="C2735" s="2"/>
      <c r="D2735" s="2"/>
      <c r="E2735" s="3">
        <f t="shared" si="42"/>
        <v>33</v>
      </c>
    </row>
    <row r="2736" spans="1:5" x14ac:dyDescent="0.2">
      <c r="B2736" s="2"/>
      <c r="C2736" s="2"/>
      <c r="D2736" s="2"/>
      <c r="E2736" s="3">
        <f t="shared" si="42"/>
        <v>33</v>
      </c>
    </row>
    <row r="2737" spans="1:5" x14ac:dyDescent="0.2">
      <c r="A2737" s="1"/>
      <c r="E2737" s="3">
        <f t="shared" si="42"/>
        <v>33</v>
      </c>
    </row>
    <row r="2738" spans="1:5" x14ac:dyDescent="0.2">
      <c r="A2738" s="1"/>
      <c r="B2738" s="1"/>
      <c r="C2738" s="1"/>
      <c r="D2738" s="1"/>
      <c r="E2738" s="3">
        <f t="shared" si="42"/>
        <v>33</v>
      </c>
    </row>
    <row r="2739" spans="1:5" x14ac:dyDescent="0.2">
      <c r="E2739" s="3">
        <f t="shared" si="42"/>
        <v>33</v>
      </c>
    </row>
    <row r="2740" spans="1:5" x14ac:dyDescent="0.2">
      <c r="E2740" s="3">
        <f t="shared" si="42"/>
        <v>33</v>
      </c>
    </row>
    <row r="2741" spans="1:5" x14ac:dyDescent="0.2">
      <c r="E2741" s="3">
        <f t="shared" si="42"/>
        <v>33</v>
      </c>
    </row>
    <row r="2742" spans="1:5" x14ac:dyDescent="0.2">
      <c r="E2742" s="3">
        <f t="shared" si="42"/>
        <v>33</v>
      </c>
    </row>
    <row r="2743" spans="1:5" x14ac:dyDescent="0.2">
      <c r="E2743" s="3">
        <f t="shared" si="42"/>
        <v>33</v>
      </c>
    </row>
    <row r="2744" spans="1:5" x14ac:dyDescent="0.2">
      <c r="E2744" s="3">
        <f t="shared" si="42"/>
        <v>33</v>
      </c>
    </row>
    <row r="2745" spans="1:5" x14ac:dyDescent="0.2">
      <c r="E2745" s="3">
        <f t="shared" si="42"/>
        <v>33</v>
      </c>
    </row>
    <row r="2746" spans="1:5" x14ac:dyDescent="0.2">
      <c r="B2746" s="2"/>
      <c r="C2746" s="2"/>
      <c r="D2746" s="2"/>
      <c r="E2746" s="3">
        <f t="shared" si="42"/>
        <v>33</v>
      </c>
    </row>
    <row r="2747" spans="1:5" x14ac:dyDescent="0.2">
      <c r="A2747" s="1"/>
      <c r="E2747" s="3">
        <f t="shared" si="42"/>
        <v>33</v>
      </c>
    </row>
    <row r="2748" spans="1:5" x14ac:dyDescent="0.2">
      <c r="A2748" s="1"/>
      <c r="B2748" s="1"/>
      <c r="C2748" s="1"/>
      <c r="D2748" s="1"/>
      <c r="E2748" s="3">
        <f t="shared" si="42"/>
        <v>33</v>
      </c>
    </row>
    <row r="2749" spans="1:5" x14ac:dyDescent="0.2">
      <c r="E2749" s="3">
        <f t="shared" si="42"/>
        <v>33</v>
      </c>
    </row>
    <row r="2750" spans="1:5" x14ac:dyDescent="0.2">
      <c r="E2750" s="3">
        <f t="shared" si="42"/>
        <v>33</v>
      </c>
    </row>
    <row r="2751" spans="1:5" x14ac:dyDescent="0.2">
      <c r="E2751" s="3">
        <f t="shared" si="42"/>
        <v>33</v>
      </c>
    </row>
    <row r="2752" spans="1:5" x14ac:dyDescent="0.2">
      <c r="E2752" s="3">
        <f t="shared" si="42"/>
        <v>33</v>
      </c>
    </row>
    <row r="2753" spans="1:5" x14ac:dyDescent="0.2">
      <c r="E2753" s="3">
        <f t="shared" si="42"/>
        <v>33</v>
      </c>
    </row>
    <row r="2754" spans="1:5" x14ac:dyDescent="0.2">
      <c r="E2754" s="3">
        <f t="shared" si="42"/>
        <v>33</v>
      </c>
    </row>
    <row r="2755" spans="1:5" x14ac:dyDescent="0.2">
      <c r="E2755" s="3">
        <f t="shared" si="42"/>
        <v>33</v>
      </c>
    </row>
    <row r="2756" spans="1:5" x14ac:dyDescent="0.2">
      <c r="B2756" s="2"/>
      <c r="C2756" s="2"/>
      <c r="D2756" s="2"/>
      <c r="E2756" s="3">
        <f t="shared" ref="E2756:E2819" si="43">IF(A2756=$A$1,E2755+1,E2755)</f>
        <v>33</v>
      </c>
    </row>
    <row r="2757" spans="1:5" x14ac:dyDescent="0.2">
      <c r="A2757" s="1"/>
      <c r="E2757" s="3">
        <f t="shared" si="43"/>
        <v>33</v>
      </c>
    </row>
    <row r="2758" spans="1:5" x14ac:dyDescent="0.2">
      <c r="A2758" s="1"/>
      <c r="B2758" s="1"/>
      <c r="C2758" s="1"/>
      <c r="D2758" s="1"/>
      <c r="E2758" s="3">
        <f t="shared" si="43"/>
        <v>33</v>
      </c>
    </row>
    <row r="2759" spans="1:5" x14ac:dyDescent="0.2">
      <c r="E2759" s="3">
        <f t="shared" si="43"/>
        <v>33</v>
      </c>
    </row>
    <row r="2760" spans="1:5" x14ac:dyDescent="0.2">
      <c r="E2760" s="3">
        <f t="shared" si="43"/>
        <v>33</v>
      </c>
    </row>
    <row r="2761" spans="1:5" x14ac:dyDescent="0.2">
      <c r="E2761" s="3">
        <f t="shared" si="43"/>
        <v>33</v>
      </c>
    </row>
    <row r="2762" spans="1:5" x14ac:dyDescent="0.2">
      <c r="E2762" s="3">
        <f t="shared" si="43"/>
        <v>33</v>
      </c>
    </row>
    <row r="2763" spans="1:5" x14ac:dyDescent="0.2">
      <c r="E2763" s="3">
        <f t="shared" si="43"/>
        <v>33</v>
      </c>
    </row>
    <row r="2764" spans="1:5" x14ac:dyDescent="0.2">
      <c r="E2764" s="3">
        <f t="shared" si="43"/>
        <v>33</v>
      </c>
    </row>
    <row r="2765" spans="1:5" x14ac:dyDescent="0.2">
      <c r="E2765" s="3">
        <f t="shared" si="43"/>
        <v>33</v>
      </c>
    </row>
    <row r="2766" spans="1:5" x14ac:dyDescent="0.2">
      <c r="A2766" s="1"/>
      <c r="E2766" s="3">
        <f t="shared" si="43"/>
        <v>33</v>
      </c>
    </row>
    <row r="2767" spans="1:5" x14ac:dyDescent="0.2">
      <c r="A2767" s="1"/>
      <c r="B2767" s="1"/>
      <c r="C2767" s="1"/>
      <c r="D2767" s="1"/>
      <c r="E2767" s="3">
        <f t="shared" si="43"/>
        <v>33</v>
      </c>
    </row>
    <row r="2768" spans="1:5" x14ac:dyDescent="0.2">
      <c r="E2768" s="3">
        <f t="shared" si="43"/>
        <v>33</v>
      </c>
    </row>
    <row r="2769" spans="1:5" x14ac:dyDescent="0.2">
      <c r="E2769" s="3">
        <f t="shared" si="43"/>
        <v>33</v>
      </c>
    </row>
    <row r="2770" spans="1:5" x14ac:dyDescent="0.2">
      <c r="E2770" s="3">
        <f t="shared" si="43"/>
        <v>33</v>
      </c>
    </row>
    <row r="2771" spans="1:5" x14ac:dyDescent="0.2">
      <c r="E2771" s="3">
        <f t="shared" si="43"/>
        <v>33</v>
      </c>
    </row>
    <row r="2772" spans="1:5" x14ac:dyDescent="0.2">
      <c r="E2772" s="3">
        <f t="shared" si="43"/>
        <v>33</v>
      </c>
    </row>
    <row r="2773" spans="1:5" x14ac:dyDescent="0.2">
      <c r="B2773" s="2"/>
      <c r="C2773" s="2"/>
      <c r="D2773" s="2"/>
      <c r="E2773" s="3">
        <f t="shared" si="43"/>
        <v>33</v>
      </c>
    </row>
    <row r="2774" spans="1:5" x14ac:dyDescent="0.2">
      <c r="B2774" s="2"/>
      <c r="C2774" s="2"/>
      <c r="D2774" s="2"/>
      <c r="E2774" s="3">
        <f t="shared" si="43"/>
        <v>33</v>
      </c>
    </row>
    <row r="2775" spans="1:5" x14ac:dyDescent="0.2">
      <c r="B2775" s="2"/>
      <c r="C2775" s="2"/>
      <c r="D2775" s="2"/>
      <c r="E2775" s="3">
        <f t="shared" si="43"/>
        <v>33</v>
      </c>
    </row>
    <row r="2776" spans="1:5" x14ac:dyDescent="0.2">
      <c r="A2776" s="1"/>
      <c r="E2776" s="3">
        <f t="shared" si="43"/>
        <v>33</v>
      </c>
    </row>
    <row r="2777" spans="1:5" x14ac:dyDescent="0.2">
      <c r="A2777" s="1"/>
      <c r="B2777" s="1"/>
      <c r="C2777" s="1"/>
      <c r="D2777" s="1"/>
      <c r="E2777" s="3">
        <f t="shared" si="43"/>
        <v>33</v>
      </c>
    </row>
    <row r="2778" spans="1:5" x14ac:dyDescent="0.2">
      <c r="E2778" s="3">
        <f t="shared" si="43"/>
        <v>33</v>
      </c>
    </row>
    <row r="2779" spans="1:5" x14ac:dyDescent="0.2">
      <c r="E2779" s="3">
        <f t="shared" si="43"/>
        <v>33</v>
      </c>
    </row>
    <row r="2780" spans="1:5" x14ac:dyDescent="0.2">
      <c r="E2780" s="3">
        <f t="shared" si="43"/>
        <v>33</v>
      </c>
    </row>
    <row r="2781" spans="1:5" x14ac:dyDescent="0.2">
      <c r="E2781" s="3">
        <f t="shared" si="43"/>
        <v>33</v>
      </c>
    </row>
    <row r="2782" spans="1:5" x14ac:dyDescent="0.2">
      <c r="E2782" s="3">
        <f t="shared" si="43"/>
        <v>33</v>
      </c>
    </row>
    <row r="2783" spans="1:5" x14ac:dyDescent="0.2">
      <c r="E2783" s="3">
        <f t="shared" si="43"/>
        <v>33</v>
      </c>
    </row>
    <row r="2784" spans="1:5" x14ac:dyDescent="0.2">
      <c r="B2784" s="2"/>
      <c r="C2784" s="2"/>
      <c r="D2784" s="2"/>
      <c r="E2784" s="3">
        <f t="shared" si="43"/>
        <v>33</v>
      </c>
    </row>
    <row r="2785" spans="1:5" x14ac:dyDescent="0.2">
      <c r="B2785" s="2"/>
      <c r="C2785" s="2"/>
      <c r="D2785" s="2"/>
      <c r="E2785" s="3">
        <f t="shared" si="43"/>
        <v>33</v>
      </c>
    </row>
    <row r="2786" spans="1:5" x14ac:dyDescent="0.2">
      <c r="A2786" s="1"/>
      <c r="E2786" s="3">
        <f t="shared" si="43"/>
        <v>33</v>
      </c>
    </row>
    <row r="2787" spans="1:5" x14ac:dyDescent="0.2">
      <c r="A2787" s="1"/>
      <c r="B2787" s="1"/>
      <c r="C2787" s="1"/>
      <c r="D2787" s="1"/>
      <c r="E2787" s="3">
        <f t="shared" si="43"/>
        <v>33</v>
      </c>
    </row>
    <row r="2788" spans="1:5" x14ac:dyDescent="0.2">
      <c r="E2788" s="3">
        <f t="shared" si="43"/>
        <v>33</v>
      </c>
    </row>
    <row r="2789" spans="1:5" x14ac:dyDescent="0.2">
      <c r="E2789" s="3">
        <f t="shared" si="43"/>
        <v>33</v>
      </c>
    </row>
    <row r="2790" spans="1:5" x14ac:dyDescent="0.2">
      <c r="E2790" s="3">
        <f t="shared" si="43"/>
        <v>33</v>
      </c>
    </row>
    <row r="2791" spans="1:5" x14ac:dyDescent="0.2">
      <c r="E2791" s="3">
        <f t="shared" si="43"/>
        <v>33</v>
      </c>
    </row>
    <row r="2792" spans="1:5" x14ac:dyDescent="0.2">
      <c r="E2792" s="3">
        <f t="shared" si="43"/>
        <v>33</v>
      </c>
    </row>
    <row r="2793" spans="1:5" x14ac:dyDescent="0.2">
      <c r="B2793" s="2"/>
      <c r="C2793" s="2"/>
      <c r="D2793" s="2"/>
      <c r="E2793" s="3">
        <f t="shared" si="43"/>
        <v>33</v>
      </c>
    </row>
    <row r="2794" spans="1:5" x14ac:dyDescent="0.2">
      <c r="B2794" s="2"/>
      <c r="C2794" s="2"/>
      <c r="D2794" s="2"/>
      <c r="E2794" s="3">
        <f t="shared" si="43"/>
        <v>33</v>
      </c>
    </row>
    <row r="2795" spans="1:5" x14ac:dyDescent="0.2">
      <c r="B2795" s="2"/>
      <c r="C2795" s="2"/>
      <c r="D2795" s="2"/>
      <c r="E2795" s="3">
        <f t="shared" si="43"/>
        <v>33</v>
      </c>
    </row>
    <row r="2796" spans="1:5" x14ac:dyDescent="0.2">
      <c r="A2796" s="1"/>
      <c r="E2796" s="3">
        <f t="shared" si="43"/>
        <v>33</v>
      </c>
    </row>
    <row r="2797" spans="1:5" x14ac:dyDescent="0.2">
      <c r="A2797" s="1"/>
      <c r="B2797" s="1"/>
      <c r="C2797" s="1"/>
      <c r="D2797" s="1"/>
      <c r="E2797" s="3">
        <f t="shared" si="43"/>
        <v>33</v>
      </c>
    </row>
    <row r="2798" spans="1:5" x14ac:dyDescent="0.2">
      <c r="E2798" s="3">
        <f t="shared" si="43"/>
        <v>33</v>
      </c>
    </row>
    <row r="2799" spans="1:5" x14ac:dyDescent="0.2">
      <c r="E2799" s="3">
        <f t="shared" si="43"/>
        <v>33</v>
      </c>
    </row>
    <row r="2800" spans="1:5" x14ac:dyDescent="0.2">
      <c r="E2800" s="3">
        <f t="shared" si="43"/>
        <v>33</v>
      </c>
    </row>
    <row r="2801" spans="1:5" x14ac:dyDescent="0.2">
      <c r="E2801" s="3">
        <f t="shared" si="43"/>
        <v>33</v>
      </c>
    </row>
    <row r="2802" spans="1:5" x14ac:dyDescent="0.2">
      <c r="E2802" s="3">
        <f t="shared" si="43"/>
        <v>33</v>
      </c>
    </row>
    <row r="2803" spans="1:5" x14ac:dyDescent="0.2">
      <c r="E2803" s="3">
        <f t="shared" si="43"/>
        <v>33</v>
      </c>
    </row>
    <row r="2804" spans="1:5" x14ac:dyDescent="0.2">
      <c r="B2804" s="2"/>
      <c r="C2804" s="2"/>
      <c r="D2804" s="2"/>
      <c r="E2804" s="3">
        <f t="shared" si="43"/>
        <v>33</v>
      </c>
    </row>
    <row r="2805" spans="1:5" x14ac:dyDescent="0.2">
      <c r="B2805" s="2"/>
      <c r="C2805" s="2"/>
      <c r="D2805" s="2"/>
      <c r="E2805" s="3">
        <f t="shared" si="43"/>
        <v>33</v>
      </c>
    </row>
    <row r="2806" spans="1:5" x14ac:dyDescent="0.2">
      <c r="A2806" s="1"/>
      <c r="E2806" s="3">
        <f t="shared" si="43"/>
        <v>33</v>
      </c>
    </row>
    <row r="2807" spans="1:5" x14ac:dyDescent="0.2">
      <c r="A2807" s="1"/>
      <c r="B2807" s="1"/>
      <c r="C2807" s="1"/>
      <c r="D2807" s="1"/>
      <c r="E2807" s="3">
        <f t="shared" si="43"/>
        <v>33</v>
      </c>
    </row>
    <row r="2808" spans="1:5" x14ac:dyDescent="0.2">
      <c r="E2808" s="3">
        <f t="shared" si="43"/>
        <v>33</v>
      </c>
    </row>
    <row r="2809" spans="1:5" x14ac:dyDescent="0.2">
      <c r="E2809" s="3">
        <f t="shared" si="43"/>
        <v>33</v>
      </c>
    </row>
    <row r="2810" spans="1:5" x14ac:dyDescent="0.2">
      <c r="E2810" s="3">
        <f t="shared" si="43"/>
        <v>33</v>
      </c>
    </row>
    <row r="2811" spans="1:5" x14ac:dyDescent="0.2">
      <c r="E2811" s="3">
        <f t="shared" si="43"/>
        <v>33</v>
      </c>
    </row>
    <row r="2812" spans="1:5" x14ac:dyDescent="0.2">
      <c r="E2812" s="3">
        <f t="shared" si="43"/>
        <v>33</v>
      </c>
    </row>
    <row r="2813" spans="1:5" x14ac:dyDescent="0.2">
      <c r="E2813" s="3">
        <f t="shared" si="43"/>
        <v>33</v>
      </c>
    </row>
    <row r="2814" spans="1:5" x14ac:dyDescent="0.2">
      <c r="B2814" s="2"/>
      <c r="C2814" s="2"/>
      <c r="D2814" s="2"/>
      <c r="E2814" s="3">
        <f t="shared" si="43"/>
        <v>33</v>
      </c>
    </row>
    <row r="2815" spans="1:5" x14ac:dyDescent="0.2">
      <c r="B2815" s="2"/>
      <c r="C2815" s="2"/>
      <c r="D2815" s="2"/>
      <c r="E2815" s="3">
        <f t="shared" si="43"/>
        <v>33</v>
      </c>
    </row>
    <row r="2816" spans="1:5" x14ac:dyDescent="0.2">
      <c r="A2816" s="1"/>
      <c r="E2816" s="3">
        <f t="shared" si="43"/>
        <v>33</v>
      </c>
    </row>
    <row r="2817" spans="1:5" x14ac:dyDescent="0.2">
      <c r="A2817" s="1"/>
      <c r="B2817" s="1"/>
      <c r="C2817" s="1"/>
      <c r="D2817" s="1"/>
      <c r="E2817" s="3">
        <f t="shared" si="43"/>
        <v>33</v>
      </c>
    </row>
    <row r="2818" spans="1:5" x14ac:dyDescent="0.2">
      <c r="E2818" s="3">
        <f t="shared" si="43"/>
        <v>33</v>
      </c>
    </row>
    <row r="2819" spans="1:5" x14ac:dyDescent="0.2">
      <c r="E2819" s="3">
        <f t="shared" si="43"/>
        <v>33</v>
      </c>
    </row>
    <row r="2820" spans="1:5" x14ac:dyDescent="0.2">
      <c r="E2820" s="3">
        <f t="shared" ref="E2820:E2883" si="44">IF(A2820=$A$1,E2819+1,E2819)</f>
        <v>33</v>
      </c>
    </row>
    <row r="2821" spans="1:5" x14ac:dyDescent="0.2">
      <c r="E2821" s="3">
        <f t="shared" si="44"/>
        <v>33</v>
      </c>
    </row>
    <row r="2822" spans="1:5" x14ac:dyDescent="0.2">
      <c r="E2822" s="3">
        <f t="shared" si="44"/>
        <v>33</v>
      </c>
    </row>
    <row r="2823" spans="1:5" x14ac:dyDescent="0.2">
      <c r="E2823" s="3">
        <f t="shared" si="44"/>
        <v>33</v>
      </c>
    </row>
    <row r="2824" spans="1:5" x14ac:dyDescent="0.2">
      <c r="B2824" s="2"/>
      <c r="C2824" s="2"/>
      <c r="D2824" s="2"/>
      <c r="E2824" s="3">
        <f t="shared" si="44"/>
        <v>33</v>
      </c>
    </row>
    <row r="2825" spans="1:5" x14ac:dyDescent="0.2">
      <c r="B2825" s="2"/>
      <c r="C2825" s="2"/>
      <c r="D2825" s="2"/>
      <c r="E2825" s="3">
        <f t="shared" si="44"/>
        <v>33</v>
      </c>
    </row>
    <row r="2826" spans="1:5" x14ac:dyDescent="0.2">
      <c r="E2826" s="3">
        <f t="shared" si="44"/>
        <v>33</v>
      </c>
    </row>
    <row r="2827" spans="1:5" x14ac:dyDescent="0.2">
      <c r="E2827" s="3">
        <f t="shared" si="44"/>
        <v>33</v>
      </c>
    </row>
    <row r="2828" spans="1:5" x14ac:dyDescent="0.2">
      <c r="E2828" s="3">
        <f t="shared" si="44"/>
        <v>33</v>
      </c>
    </row>
    <row r="2829" spans="1:5" x14ac:dyDescent="0.2">
      <c r="E2829" s="3">
        <f t="shared" si="44"/>
        <v>33</v>
      </c>
    </row>
    <row r="2830" spans="1:5" x14ac:dyDescent="0.2">
      <c r="E2830" s="3">
        <f t="shared" si="44"/>
        <v>33</v>
      </c>
    </row>
    <row r="2831" spans="1:5" x14ac:dyDescent="0.2">
      <c r="E2831" s="3">
        <f t="shared" si="44"/>
        <v>33</v>
      </c>
    </row>
    <row r="2832" spans="1:5" x14ac:dyDescent="0.2">
      <c r="E2832" s="3">
        <f t="shared" si="44"/>
        <v>33</v>
      </c>
    </row>
    <row r="2833" spans="5:5" x14ac:dyDescent="0.2">
      <c r="E2833" s="3">
        <f t="shared" si="44"/>
        <v>33</v>
      </c>
    </row>
    <row r="2834" spans="5:5" x14ac:dyDescent="0.2">
      <c r="E2834" s="3">
        <f t="shared" si="44"/>
        <v>33</v>
      </c>
    </row>
    <row r="2835" spans="5:5" x14ac:dyDescent="0.2">
      <c r="E2835" s="3">
        <f t="shared" si="44"/>
        <v>33</v>
      </c>
    </row>
    <row r="2836" spans="5:5" x14ac:dyDescent="0.2">
      <c r="E2836" s="3">
        <f t="shared" si="44"/>
        <v>33</v>
      </c>
    </row>
    <row r="2837" spans="5:5" x14ac:dyDescent="0.2">
      <c r="E2837" s="3">
        <f t="shared" si="44"/>
        <v>33</v>
      </c>
    </row>
    <row r="2838" spans="5:5" x14ac:dyDescent="0.2">
      <c r="E2838" s="3">
        <f t="shared" si="44"/>
        <v>33</v>
      </c>
    </row>
    <row r="2839" spans="5:5" x14ac:dyDescent="0.2">
      <c r="E2839" s="3">
        <f t="shared" si="44"/>
        <v>33</v>
      </c>
    </row>
    <row r="2840" spans="5:5" x14ac:dyDescent="0.2">
      <c r="E2840" s="3">
        <f t="shared" si="44"/>
        <v>33</v>
      </c>
    </row>
    <row r="2841" spans="5:5" x14ac:dyDescent="0.2">
      <c r="E2841" s="3">
        <f t="shared" si="44"/>
        <v>33</v>
      </c>
    </row>
    <row r="2842" spans="5:5" x14ac:dyDescent="0.2">
      <c r="E2842" s="3">
        <f t="shared" si="44"/>
        <v>33</v>
      </c>
    </row>
    <row r="2843" spans="5:5" x14ac:dyDescent="0.2">
      <c r="E2843" s="3">
        <f t="shared" si="44"/>
        <v>33</v>
      </c>
    </row>
    <row r="2844" spans="5:5" x14ac:dyDescent="0.2">
      <c r="E2844" s="3">
        <f t="shared" si="44"/>
        <v>33</v>
      </c>
    </row>
    <row r="2845" spans="5:5" x14ac:dyDescent="0.2">
      <c r="E2845" s="3">
        <f t="shared" si="44"/>
        <v>33</v>
      </c>
    </row>
    <row r="2846" spans="5:5" x14ac:dyDescent="0.2">
      <c r="E2846" s="3">
        <f t="shared" si="44"/>
        <v>33</v>
      </c>
    </row>
    <row r="2847" spans="5:5" x14ac:dyDescent="0.2">
      <c r="E2847" s="3">
        <f t="shared" si="44"/>
        <v>33</v>
      </c>
    </row>
    <row r="2848" spans="5:5" x14ac:dyDescent="0.2">
      <c r="E2848" s="3">
        <f t="shared" si="44"/>
        <v>33</v>
      </c>
    </row>
    <row r="2849" spans="5:5" x14ac:dyDescent="0.2">
      <c r="E2849" s="3">
        <f t="shared" si="44"/>
        <v>33</v>
      </c>
    </row>
    <row r="2850" spans="5:5" x14ac:dyDescent="0.2">
      <c r="E2850" s="3">
        <f t="shared" si="44"/>
        <v>33</v>
      </c>
    </row>
    <row r="2851" spans="5:5" x14ac:dyDescent="0.2">
      <c r="E2851" s="3">
        <f t="shared" si="44"/>
        <v>33</v>
      </c>
    </row>
    <row r="2852" spans="5:5" x14ac:dyDescent="0.2">
      <c r="E2852" s="3">
        <f t="shared" si="44"/>
        <v>33</v>
      </c>
    </row>
    <row r="2853" spans="5:5" x14ac:dyDescent="0.2">
      <c r="E2853" s="3">
        <f t="shared" si="44"/>
        <v>33</v>
      </c>
    </row>
    <row r="2854" spans="5:5" x14ac:dyDescent="0.2">
      <c r="E2854" s="3">
        <f t="shared" si="44"/>
        <v>33</v>
      </c>
    </row>
    <row r="2855" spans="5:5" x14ac:dyDescent="0.2">
      <c r="E2855" s="3">
        <f t="shared" si="44"/>
        <v>33</v>
      </c>
    </row>
    <row r="2856" spans="5:5" x14ac:dyDescent="0.2">
      <c r="E2856" s="3">
        <f t="shared" si="44"/>
        <v>33</v>
      </c>
    </row>
    <row r="2857" spans="5:5" x14ac:dyDescent="0.2">
      <c r="E2857" s="3">
        <f t="shared" si="44"/>
        <v>33</v>
      </c>
    </row>
    <row r="2858" spans="5:5" x14ac:dyDescent="0.2">
      <c r="E2858" s="3">
        <f t="shared" si="44"/>
        <v>33</v>
      </c>
    </row>
    <row r="2859" spans="5:5" x14ac:dyDescent="0.2">
      <c r="E2859" s="3">
        <f t="shared" si="44"/>
        <v>33</v>
      </c>
    </row>
    <row r="2860" spans="5:5" x14ac:dyDescent="0.2">
      <c r="E2860" s="3">
        <f t="shared" si="44"/>
        <v>33</v>
      </c>
    </row>
    <row r="2861" spans="5:5" x14ac:dyDescent="0.2">
      <c r="E2861" s="3">
        <f t="shared" si="44"/>
        <v>33</v>
      </c>
    </row>
    <row r="2862" spans="5:5" x14ac:dyDescent="0.2">
      <c r="E2862" s="3">
        <f t="shared" si="44"/>
        <v>33</v>
      </c>
    </row>
    <row r="2863" spans="5:5" x14ac:dyDescent="0.2">
      <c r="E2863" s="3">
        <f t="shared" si="44"/>
        <v>33</v>
      </c>
    </row>
    <row r="2864" spans="5:5" x14ac:dyDescent="0.2">
      <c r="E2864" s="3">
        <f t="shared" si="44"/>
        <v>33</v>
      </c>
    </row>
    <row r="2865" spans="5:5" x14ac:dyDescent="0.2">
      <c r="E2865" s="3">
        <f t="shared" si="44"/>
        <v>33</v>
      </c>
    </row>
    <row r="2866" spans="5:5" x14ac:dyDescent="0.2">
      <c r="E2866" s="3">
        <f t="shared" si="44"/>
        <v>33</v>
      </c>
    </row>
    <row r="2867" spans="5:5" x14ac:dyDescent="0.2">
      <c r="E2867" s="3">
        <f t="shared" si="44"/>
        <v>33</v>
      </c>
    </row>
    <row r="2868" spans="5:5" x14ac:dyDescent="0.2">
      <c r="E2868" s="3">
        <f t="shared" si="44"/>
        <v>33</v>
      </c>
    </row>
    <row r="2869" spans="5:5" x14ac:dyDescent="0.2">
      <c r="E2869" s="3">
        <f t="shared" si="44"/>
        <v>33</v>
      </c>
    </row>
    <row r="2870" spans="5:5" x14ac:dyDescent="0.2">
      <c r="E2870" s="3">
        <f t="shared" si="44"/>
        <v>33</v>
      </c>
    </row>
    <row r="2871" spans="5:5" x14ac:dyDescent="0.2">
      <c r="E2871" s="3">
        <f t="shared" si="44"/>
        <v>33</v>
      </c>
    </row>
    <row r="2872" spans="5:5" x14ac:dyDescent="0.2">
      <c r="E2872" s="3">
        <f t="shared" si="44"/>
        <v>33</v>
      </c>
    </row>
    <row r="2873" spans="5:5" x14ac:dyDescent="0.2">
      <c r="E2873" s="3">
        <f t="shared" si="44"/>
        <v>33</v>
      </c>
    </row>
    <row r="2874" spans="5:5" x14ac:dyDescent="0.2">
      <c r="E2874" s="3">
        <f t="shared" si="44"/>
        <v>33</v>
      </c>
    </row>
    <row r="2875" spans="5:5" x14ac:dyDescent="0.2">
      <c r="E2875" s="3">
        <f t="shared" si="44"/>
        <v>33</v>
      </c>
    </row>
    <row r="2876" spans="5:5" x14ac:dyDescent="0.2">
      <c r="E2876" s="3">
        <f t="shared" si="44"/>
        <v>33</v>
      </c>
    </row>
    <row r="2877" spans="5:5" x14ac:dyDescent="0.2">
      <c r="E2877" s="3">
        <f t="shared" si="44"/>
        <v>33</v>
      </c>
    </row>
    <row r="2878" spans="5:5" x14ac:dyDescent="0.2">
      <c r="E2878" s="3">
        <f t="shared" si="44"/>
        <v>33</v>
      </c>
    </row>
    <row r="2879" spans="5:5" x14ac:dyDescent="0.2">
      <c r="E2879" s="3">
        <f t="shared" si="44"/>
        <v>33</v>
      </c>
    </row>
    <row r="2880" spans="5:5" x14ac:dyDescent="0.2">
      <c r="E2880" s="3">
        <f t="shared" si="44"/>
        <v>33</v>
      </c>
    </row>
    <row r="2881" spans="5:5" x14ac:dyDescent="0.2">
      <c r="E2881" s="3">
        <f t="shared" si="44"/>
        <v>33</v>
      </c>
    </row>
    <row r="2882" spans="5:5" x14ac:dyDescent="0.2">
      <c r="E2882" s="3">
        <f t="shared" si="44"/>
        <v>33</v>
      </c>
    </row>
    <row r="2883" spans="5:5" x14ac:dyDescent="0.2">
      <c r="E2883" s="3">
        <f t="shared" si="44"/>
        <v>33</v>
      </c>
    </row>
    <row r="2884" spans="5:5" x14ac:dyDescent="0.2">
      <c r="E2884" s="3">
        <f t="shared" ref="E2884:E2947" si="45">IF(A2884=$A$1,E2883+1,E2883)</f>
        <v>33</v>
      </c>
    </row>
    <row r="2885" spans="5:5" x14ac:dyDescent="0.2">
      <c r="E2885" s="3">
        <f t="shared" si="45"/>
        <v>33</v>
      </c>
    </row>
    <row r="2886" spans="5:5" x14ac:dyDescent="0.2">
      <c r="E2886" s="3">
        <f t="shared" si="45"/>
        <v>33</v>
      </c>
    </row>
    <row r="2887" spans="5:5" x14ac:dyDescent="0.2">
      <c r="E2887" s="3">
        <f t="shared" si="45"/>
        <v>33</v>
      </c>
    </row>
    <row r="2888" spans="5:5" x14ac:dyDescent="0.2">
      <c r="E2888" s="3">
        <f t="shared" si="45"/>
        <v>33</v>
      </c>
    </row>
    <row r="2889" spans="5:5" x14ac:dyDescent="0.2">
      <c r="E2889" s="3">
        <f t="shared" si="45"/>
        <v>33</v>
      </c>
    </row>
    <row r="2890" spans="5:5" x14ac:dyDescent="0.2">
      <c r="E2890" s="3">
        <f t="shared" si="45"/>
        <v>33</v>
      </c>
    </row>
    <row r="2891" spans="5:5" x14ac:dyDescent="0.2">
      <c r="E2891" s="3">
        <f t="shared" si="45"/>
        <v>33</v>
      </c>
    </row>
    <row r="2892" spans="5:5" x14ac:dyDescent="0.2">
      <c r="E2892" s="3">
        <f t="shared" si="45"/>
        <v>33</v>
      </c>
    </row>
    <row r="2893" spans="5:5" x14ac:dyDescent="0.2">
      <c r="E2893" s="3">
        <f t="shared" si="45"/>
        <v>33</v>
      </c>
    </row>
    <row r="2894" spans="5:5" x14ac:dyDescent="0.2">
      <c r="E2894" s="3">
        <f t="shared" si="45"/>
        <v>33</v>
      </c>
    </row>
    <row r="2895" spans="5:5" x14ac:dyDescent="0.2">
      <c r="E2895" s="3">
        <f t="shared" si="45"/>
        <v>33</v>
      </c>
    </row>
    <row r="2896" spans="5:5" x14ac:dyDescent="0.2">
      <c r="E2896" s="3">
        <f t="shared" si="45"/>
        <v>33</v>
      </c>
    </row>
    <row r="2897" spans="5:5" x14ac:dyDescent="0.2">
      <c r="E2897" s="3">
        <f t="shared" si="45"/>
        <v>33</v>
      </c>
    </row>
    <row r="2898" spans="5:5" x14ac:dyDescent="0.2">
      <c r="E2898" s="3">
        <f t="shared" si="45"/>
        <v>33</v>
      </c>
    </row>
    <row r="2899" spans="5:5" x14ac:dyDescent="0.2">
      <c r="E2899" s="3">
        <f t="shared" si="45"/>
        <v>33</v>
      </c>
    </row>
    <row r="2900" spans="5:5" x14ac:dyDescent="0.2">
      <c r="E2900" s="3">
        <f t="shared" si="45"/>
        <v>33</v>
      </c>
    </row>
    <row r="2901" spans="5:5" x14ac:dyDescent="0.2">
      <c r="E2901" s="3">
        <f t="shared" si="45"/>
        <v>33</v>
      </c>
    </row>
    <row r="2902" spans="5:5" x14ac:dyDescent="0.2">
      <c r="E2902" s="3">
        <f t="shared" si="45"/>
        <v>33</v>
      </c>
    </row>
    <row r="2903" spans="5:5" x14ac:dyDescent="0.2">
      <c r="E2903" s="3">
        <f t="shared" si="45"/>
        <v>33</v>
      </c>
    </row>
    <row r="2904" spans="5:5" x14ac:dyDescent="0.2">
      <c r="E2904" s="3">
        <f t="shared" si="45"/>
        <v>33</v>
      </c>
    </row>
    <row r="2905" spans="5:5" x14ac:dyDescent="0.2">
      <c r="E2905" s="3">
        <f t="shared" si="45"/>
        <v>33</v>
      </c>
    </row>
    <row r="2906" spans="5:5" x14ac:dyDescent="0.2">
      <c r="E2906" s="3">
        <f t="shared" si="45"/>
        <v>33</v>
      </c>
    </row>
    <row r="2907" spans="5:5" x14ac:dyDescent="0.2">
      <c r="E2907" s="3">
        <f t="shared" si="45"/>
        <v>33</v>
      </c>
    </row>
    <row r="2908" spans="5:5" x14ac:dyDescent="0.2">
      <c r="E2908" s="3">
        <f t="shared" si="45"/>
        <v>33</v>
      </c>
    </row>
    <row r="2909" spans="5:5" x14ac:dyDescent="0.2">
      <c r="E2909" s="3">
        <f t="shared" si="45"/>
        <v>33</v>
      </c>
    </row>
    <row r="2910" spans="5:5" x14ac:dyDescent="0.2">
      <c r="E2910" s="3">
        <f t="shared" si="45"/>
        <v>33</v>
      </c>
    </row>
    <row r="2911" spans="5:5" x14ac:dyDescent="0.2">
      <c r="E2911" s="3">
        <f t="shared" si="45"/>
        <v>33</v>
      </c>
    </row>
    <row r="2912" spans="5:5" x14ac:dyDescent="0.2">
      <c r="E2912" s="3">
        <f t="shared" si="45"/>
        <v>33</v>
      </c>
    </row>
    <row r="2913" spans="5:5" x14ac:dyDescent="0.2">
      <c r="E2913" s="3">
        <f t="shared" si="45"/>
        <v>33</v>
      </c>
    </row>
    <row r="2914" spans="5:5" x14ac:dyDescent="0.2">
      <c r="E2914" s="3">
        <f t="shared" si="45"/>
        <v>33</v>
      </c>
    </row>
    <row r="2915" spans="5:5" x14ac:dyDescent="0.2">
      <c r="E2915" s="3">
        <f t="shared" si="45"/>
        <v>33</v>
      </c>
    </row>
    <row r="2916" spans="5:5" x14ac:dyDescent="0.2">
      <c r="E2916" s="3">
        <f t="shared" si="45"/>
        <v>33</v>
      </c>
    </row>
    <row r="2917" spans="5:5" x14ac:dyDescent="0.2">
      <c r="E2917" s="3">
        <f t="shared" si="45"/>
        <v>33</v>
      </c>
    </row>
    <row r="2918" spans="5:5" x14ac:dyDescent="0.2">
      <c r="E2918" s="3">
        <f t="shared" si="45"/>
        <v>33</v>
      </c>
    </row>
    <row r="2919" spans="5:5" x14ac:dyDescent="0.2">
      <c r="E2919" s="3">
        <f t="shared" si="45"/>
        <v>33</v>
      </c>
    </row>
    <row r="2920" spans="5:5" x14ac:dyDescent="0.2">
      <c r="E2920" s="3">
        <f t="shared" si="45"/>
        <v>33</v>
      </c>
    </row>
    <row r="2921" spans="5:5" x14ac:dyDescent="0.2">
      <c r="E2921" s="3">
        <f t="shared" si="45"/>
        <v>33</v>
      </c>
    </row>
    <row r="2922" spans="5:5" x14ac:dyDescent="0.2">
      <c r="E2922" s="3">
        <f t="shared" si="45"/>
        <v>33</v>
      </c>
    </row>
    <row r="2923" spans="5:5" x14ac:dyDescent="0.2">
      <c r="E2923" s="3">
        <f t="shared" si="45"/>
        <v>33</v>
      </c>
    </row>
    <row r="2924" spans="5:5" x14ac:dyDescent="0.2">
      <c r="E2924" s="3">
        <f t="shared" si="45"/>
        <v>33</v>
      </c>
    </row>
    <row r="2925" spans="5:5" x14ac:dyDescent="0.2">
      <c r="E2925" s="3">
        <f t="shared" si="45"/>
        <v>33</v>
      </c>
    </row>
    <row r="2926" spans="5:5" x14ac:dyDescent="0.2">
      <c r="E2926" s="3">
        <f t="shared" si="45"/>
        <v>33</v>
      </c>
    </row>
    <row r="2927" spans="5:5" x14ac:dyDescent="0.2">
      <c r="E2927" s="3">
        <f t="shared" si="45"/>
        <v>33</v>
      </c>
    </row>
    <row r="2928" spans="5:5" x14ac:dyDescent="0.2">
      <c r="E2928" s="3">
        <f t="shared" si="45"/>
        <v>33</v>
      </c>
    </row>
    <row r="2929" spans="5:5" x14ac:dyDescent="0.2">
      <c r="E2929" s="3">
        <f t="shared" si="45"/>
        <v>33</v>
      </c>
    </row>
    <row r="2930" spans="5:5" x14ac:dyDescent="0.2">
      <c r="E2930" s="3">
        <f t="shared" si="45"/>
        <v>33</v>
      </c>
    </row>
    <row r="2931" spans="5:5" x14ac:dyDescent="0.2">
      <c r="E2931" s="3">
        <f t="shared" si="45"/>
        <v>33</v>
      </c>
    </row>
    <row r="2932" spans="5:5" x14ac:dyDescent="0.2">
      <c r="E2932" s="3">
        <f t="shared" si="45"/>
        <v>33</v>
      </c>
    </row>
    <row r="2933" spans="5:5" x14ac:dyDescent="0.2">
      <c r="E2933" s="3">
        <f t="shared" si="45"/>
        <v>33</v>
      </c>
    </row>
    <row r="2934" spans="5:5" x14ac:dyDescent="0.2">
      <c r="E2934" s="3">
        <f t="shared" si="45"/>
        <v>33</v>
      </c>
    </row>
    <row r="2935" spans="5:5" x14ac:dyDescent="0.2">
      <c r="E2935" s="3">
        <f t="shared" si="45"/>
        <v>33</v>
      </c>
    </row>
    <row r="2936" spans="5:5" x14ac:dyDescent="0.2">
      <c r="E2936" s="3">
        <f t="shared" si="45"/>
        <v>33</v>
      </c>
    </row>
    <row r="2937" spans="5:5" x14ac:dyDescent="0.2">
      <c r="E2937" s="3">
        <f t="shared" si="45"/>
        <v>33</v>
      </c>
    </row>
    <row r="2938" spans="5:5" x14ac:dyDescent="0.2">
      <c r="E2938" s="3">
        <f t="shared" si="45"/>
        <v>33</v>
      </c>
    </row>
    <row r="2939" spans="5:5" x14ac:dyDescent="0.2">
      <c r="E2939" s="3">
        <f t="shared" si="45"/>
        <v>33</v>
      </c>
    </row>
    <row r="2940" spans="5:5" x14ac:dyDescent="0.2">
      <c r="E2940" s="3">
        <f t="shared" si="45"/>
        <v>33</v>
      </c>
    </row>
    <row r="2941" spans="5:5" x14ac:dyDescent="0.2">
      <c r="E2941" s="3">
        <f t="shared" si="45"/>
        <v>33</v>
      </c>
    </row>
    <row r="2942" spans="5:5" x14ac:dyDescent="0.2">
      <c r="E2942" s="3">
        <f t="shared" si="45"/>
        <v>33</v>
      </c>
    </row>
    <row r="2943" spans="5:5" x14ac:dyDescent="0.2">
      <c r="E2943" s="3">
        <f t="shared" si="45"/>
        <v>33</v>
      </c>
    </row>
    <row r="2944" spans="5:5" x14ac:dyDescent="0.2">
      <c r="E2944" s="3">
        <f t="shared" si="45"/>
        <v>33</v>
      </c>
    </row>
    <row r="2945" spans="5:5" x14ac:dyDescent="0.2">
      <c r="E2945" s="3">
        <f t="shared" si="45"/>
        <v>33</v>
      </c>
    </row>
    <row r="2946" spans="5:5" x14ac:dyDescent="0.2">
      <c r="E2946" s="3">
        <f t="shared" si="45"/>
        <v>33</v>
      </c>
    </row>
    <row r="2947" spans="5:5" x14ac:dyDescent="0.2">
      <c r="E2947" s="3">
        <f t="shared" si="45"/>
        <v>33</v>
      </c>
    </row>
    <row r="2948" spans="5:5" x14ac:dyDescent="0.2">
      <c r="E2948" s="3">
        <f t="shared" ref="E2948:E3011" si="46">IF(A2948=$A$1,E2947+1,E2947)</f>
        <v>33</v>
      </c>
    </row>
    <row r="2949" spans="5:5" x14ac:dyDescent="0.2">
      <c r="E2949" s="3">
        <f t="shared" si="46"/>
        <v>33</v>
      </c>
    </row>
    <row r="2950" spans="5:5" x14ac:dyDescent="0.2">
      <c r="E2950" s="3">
        <f t="shared" si="46"/>
        <v>33</v>
      </c>
    </row>
    <row r="2951" spans="5:5" x14ac:dyDescent="0.2">
      <c r="E2951" s="3">
        <f t="shared" si="46"/>
        <v>33</v>
      </c>
    </row>
    <row r="2952" spans="5:5" x14ac:dyDescent="0.2">
      <c r="E2952" s="3">
        <f t="shared" si="46"/>
        <v>33</v>
      </c>
    </row>
    <row r="2953" spans="5:5" x14ac:dyDescent="0.2">
      <c r="E2953" s="3">
        <f t="shared" si="46"/>
        <v>33</v>
      </c>
    </row>
    <row r="2954" spans="5:5" x14ac:dyDescent="0.2">
      <c r="E2954" s="3">
        <f t="shared" si="46"/>
        <v>33</v>
      </c>
    </row>
    <row r="2955" spans="5:5" x14ac:dyDescent="0.2">
      <c r="E2955" s="3">
        <f t="shared" si="46"/>
        <v>33</v>
      </c>
    </row>
    <row r="2956" spans="5:5" x14ac:dyDescent="0.2">
      <c r="E2956" s="3">
        <f t="shared" si="46"/>
        <v>33</v>
      </c>
    </row>
    <row r="2957" spans="5:5" x14ac:dyDescent="0.2">
      <c r="E2957" s="3">
        <f t="shared" si="46"/>
        <v>33</v>
      </c>
    </row>
    <row r="2958" spans="5:5" x14ac:dyDescent="0.2">
      <c r="E2958" s="3">
        <f t="shared" si="46"/>
        <v>33</v>
      </c>
    </row>
    <row r="2959" spans="5:5" x14ac:dyDescent="0.2">
      <c r="E2959" s="3">
        <f t="shared" si="46"/>
        <v>33</v>
      </c>
    </row>
    <row r="2960" spans="5:5" x14ac:dyDescent="0.2">
      <c r="E2960" s="3">
        <f t="shared" si="46"/>
        <v>33</v>
      </c>
    </row>
    <row r="2961" spans="5:5" x14ac:dyDescent="0.2">
      <c r="E2961" s="3">
        <f t="shared" si="46"/>
        <v>33</v>
      </c>
    </row>
    <row r="2962" spans="5:5" x14ac:dyDescent="0.2">
      <c r="E2962" s="3">
        <f t="shared" si="46"/>
        <v>33</v>
      </c>
    </row>
    <row r="2963" spans="5:5" x14ac:dyDescent="0.2">
      <c r="E2963" s="3">
        <f t="shared" si="46"/>
        <v>33</v>
      </c>
    </row>
    <row r="2964" spans="5:5" x14ac:dyDescent="0.2">
      <c r="E2964" s="3">
        <f t="shared" si="46"/>
        <v>33</v>
      </c>
    </row>
    <row r="2965" spans="5:5" x14ac:dyDescent="0.2">
      <c r="E2965" s="3">
        <f t="shared" si="46"/>
        <v>33</v>
      </c>
    </row>
    <row r="2966" spans="5:5" x14ac:dyDescent="0.2">
      <c r="E2966" s="3">
        <f t="shared" si="46"/>
        <v>33</v>
      </c>
    </row>
    <row r="2967" spans="5:5" x14ac:dyDescent="0.2">
      <c r="E2967" s="3">
        <f t="shared" si="46"/>
        <v>33</v>
      </c>
    </row>
    <row r="2968" spans="5:5" x14ac:dyDescent="0.2">
      <c r="E2968" s="3">
        <f t="shared" si="46"/>
        <v>33</v>
      </c>
    </row>
    <row r="2969" spans="5:5" x14ac:dyDescent="0.2">
      <c r="E2969" s="3">
        <f t="shared" si="46"/>
        <v>33</v>
      </c>
    </row>
    <row r="2970" spans="5:5" x14ac:dyDescent="0.2">
      <c r="E2970" s="3">
        <f t="shared" si="46"/>
        <v>33</v>
      </c>
    </row>
    <row r="2971" spans="5:5" x14ac:dyDescent="0.2">
      <c r="E2971" s="3">
        <f t="shared" si="46"/>
        <v>33</v>
      </c>
    </row>
    <row r="2972" spans="5:5" x14ac:dyDescent="0.2">
      <c r="E2972" s="3">
        <f t="shared" si="46"/>
        <v>33</v>
      </c>
    </row>
    <row r="2973" spans="5:5" x14ac:dyDescent="0.2">
      <c r="E2973" s="3">
        <f t="shared" si="46"/>
        <v>33</v>
      </c>
    </row>
    <row r="2974" spans="5:5" x14ac:dyDescent="0.2">
      <c r="E2974" s="3">
        <f t="shared" si="46"/>
        <v>33</v>
      </c>
    </row>
    <row r="2975" spans="5:5" x14ac:dyDescent="0.2">
      <c r="E2975" s="3">
        <f t="shared" si="46"/>
        <v>33</v>
      </c>
    </row>
    <row r="2976" spans="5:5" x14ac:dyDescent="0.2">
      <c r="E2976" s="3">
        <f t="shared" si="46"/>
        <v>33</v>
      </c>
    </row>
    <row r="2977" spans="5:5" x14ac:dyDescent="0.2">
      <c r="E2977" s="3">
        <f t="shared" si="46"/>
        <v>33</v>
      </c>
    </row>
    <row r="2978" spans="5:5" x14ac:dyDescent="0.2">
      <c r="E2978" s="3">
        <f t="shared" si="46"/>
        <v>33</v>
      </c>
    </row>
    <row r="2979" spans="5:5" x14ac:dyDescent="0.2">
      <c r="E2979" s="3">
        <f t="shared" si="46"/>
        <v>33</v>
      </c>
    </row>
    <row r="2980" spans="5:5" x14ac:dyDescent="0.2">
      <c r="E2980" s="3">
        <f t="shared" si="46"/>
        <v>33</v>
      </c>
    </row>
    <row r="2981" spans="5:5" x14ac:dyDescent="0.2">
      <c r="E2981" s="3">
        <f t="shared" si="46"/>
        <v>33</v>
      </c>
    </row>
    <row r="2982" spans="5:5" x14ac:dyDescent="0.2">
      <c r="E2982" s="3">
        <f t="shared" si="46"/>
        <v>33</v>
      </c>
    </row>
    <row r="2983" spans="5:5" x14ac:dyDescent="0.2">
      <c r="E2983" s="3">
        <f t="shared" si="46"/>
        <v>33</v>
      </c>
    </row>
    <row r="2984" spans="5:5" x14ac:dyDescent="0.2">
      <c r="E2984" s="3">
        <f t="shared" si="46"/>
        <v>33</v>
      </c>
    </row>
    <row r="2985" spans="5:5" x14ac:dyDescent="0.2">
      <c r="E2985" s="3">
        <f t="shared" si="46"/>
        <v>33</v>
      </c>
    </row>
    <row r="2986" spans="5:5" x14ac:dyDescent="0.2">
      <c r="E2986" s="3">
        <f t="shared" si="46"/>
        <v>33</v>
      </c>
    </row>
    <row r="2987" spans="5:5" x14ac:dyDescent="0.2">
      <c r="E2987" s="3">
        <f t="shared" si="46"/>
        <v>33</v>
      </c>
    </row>
    <row r="2988" spans="5:5" x14ac:dyDescent="0.2">
      <c r="E2988" s="3">
        <f t="shared" si="46"/>
        <v>33</v>
      </c>
    </row>
    <row r="2989" spans="5:5" x14ac:dyDescent="0.2">
      <c r="E2989" s="3">
        <f t="shared" si="46"/>
        <v>33</v>
      </c>
    </row>
    <row r="2990" spans="5:5" x14ac:dyDescent="0.2">
      <c r="E2990" s="3">
        <f t="shared" si="46"/>
        <v>33</v>
      </c>
    </row>
    <row r="2991" spans="5:5" x14ac:dyDescent="0.2">
      <c r="E2991" s="3">
        <f t="shared" si="46"/>
        <v>33</v>
      </c>
    </row>
    <row r="2992" spans="5:5" x14ac:dyDescent="0.2">
      <c r="E2992" s="3">
        <f t="shared" si="46"/>
        <v>33</v>
      </c>
    </row>
    <row r="2993" spans="5:5" x14ac:dyDescent="0.2">
      <c r="E2993" s="3">
        <f t="shared" si="46"/>
        <v>33</v>
      </c>
    </row>
    <row r="2994" spans="5:5" x14ac:dyDescent="0.2">
      <c r="E2994" s="3">
        <f t="shared" si="46"/>
        <v>33</v>
      </c>
    </row>
    <row r="2995" spans="5:5" x14ac:dyDescent="0.2">
      <c r="E2995" s="3">
        <f t="shared" si="46"/>
        <v>33</v>
      </c>
    </row>
    <row r="2996" spans="5:5" x14ac:dyDescent="0.2">
      <c r="E2996" s="3">
        <f t="shared" si="46"/>
        <v>33</v>
      </c>
    </row>
    <row r="2997" spans="5:5" x14ac:dyDescent="0.2">
      <c r="E2997" s="3">
        <f t="shared" si="46"/>
        <v>33</v>
      </c>
    </row>
    <row r="2998" spans="5:5" x14ac:dyDescent="0.2">
      <c r="E2998" s="3">
        <f t="shared" si="46"/>
        <v>33</v>
      </c>
    </row>
    <row r="2999" spans="5:5" x14ac:dyDescent="0.2">
      <c r="E2999" s="3">
        <f t="shared" si="46"/>
        <v>33</v>
      </c>
    </row>
    <row r="3000" spans="5:5" x14ac:dyDescent="0.2">
      <c r="E3000" s="3">
        <f t="shared" si="46"/>
        <v>33</v>
      </c>
    </row>
    <row r="3001" spans="5:5" x14ac:dyDescent="0.2">
      <c r="E3001" s="3">
        <f t="shared" si="46"/>
        <v>33</v>
      </c>
    </row>
    <row r="3002" spans="5:5" x14ac:dyDescent="0.2">
      <c r="E3002" s="3">
        <f t="shared" si="46"/>
        <v>33</v>
      </c>
    </row>
    <row r="3003" spans="5:5" x14ac:dyDescent="0.2">
      <c r="E3003" s="3">
        <f t="shared" si="46"/>
        <v>33</v>
      </c>
    </row>
    <row r="3004" spans="5:5" x14ac:dyDescent="0.2">
      <c r="E3004" s="3">
        <f t="shared" si="46"/>
        <v>33</v>
      </c>
    </row>
    <row r="3005" spans="5:5" x14ac:dyDescent="0.2">
      <c r="E3005" s="3">
        <f t="shared" si="46"/>
        <v>33</v>
      </c>
    </row>
    <row r="3006" spans="5:5" x14ac:dyDescent="0.2">
      <c r="E3006" s="3">
        <f t="shared" si="46"/>
        <v>33</v>
      </c>
    </row>
    <row r="3007" spans="5:5" x14ac:dyDescent="0.2">
      <c r="E3007" s="3">
        <f t="shared" si="46"/>
        <v>33</v>
      </c>
    </row>
    <row r="3008" spans="5:5" x14ac:dyDescent="0.2">
      <c r="E3008" s="3">
        <f t="shared" si="46"/>
        <v>33</v>
      </c>
    </row>
    <row r="3009" spans="5:5" x14ac:dyDescent="0.2">
      <c r="E3009" s="3">
        <f t="shared" si="46"/>
        <v>33</v>
      </c>
    </row>
    <row r="3010" spans="5:5" x14ac:dyDescent="0.2">
      <c r="E3010" s="3">
        <f t="shared" si="46"/>
        <v>33</v>
      </c>
    </row>
    <row r="3011" spans="5:5" x14ac:dyDescent="0.2">
      <c r="E3011" s="3">
        <f t="shared" si="46"/>
        <v>33</v>
      </c>
    </row>
    <row r="3012" spans="5:5" x14ac:dyDescent="0.2">
      <c r="E3012" s="3">
        <f t="shared" ref="E3012:E3061" si="47">IF(A3012=$A$1,E3011+1,E3011)</f>
        <v>33</v>
      </c>
    </row>
    <row r="3013" spans="5:5" x14ac:dyDescent="0.2">
      <c r="E3013" s="3">
        <f t="shared" si="47"/>
        <v>33</v>
      </c>
    </row>
    <row r="3014" spans="5:5" x14ac:dyDescent="0.2">
      <c r="E3014" s="3">
        <f t="shared" si="47"/>
        <v>33</v>
      </c>
    </row>
    <row r="3015" spans="5:5" x14ac:dyDescent="0.2">
      <c r="E3015" s="3">
        <f t="shared" si="47"/>
        <v>33</v>
      </c>
    </row>
    <row r="3016" spans="5:5" x14ac:dyDescent="0.2">
      <c r="E3016" s="3">
        <f t="shared" si="47"/>
        <v>33</v>
      </c>
    </row>
    <row r="3017" spans="5:5" x14ac:dyDescent="0.2">
      <c r="E3017" s="3">
        <f t="shared" si="47"/>
        <v>33</v>
      </c>
    </row>
    <row r="3018" spans="5:5" x14ac:dyDescent="0.2">
      <c r="E3018" s="3">
        <f t="shared" si="47"/>
        <v>33</v>
      </c>
    </row>
    <row r="3019" spans="5:5" x14ac:dyDescent="0.2">
      <c r="E3019" s="3">
        <f t="shared" si="47"/>
        <v>33</v>
      </c>
    </row>
    <row r="3020" spans="5:5" x14ac:dyDescent="0.2">
      <c r="E3020" s="3">
        <f t="shared" si="47"/>
        <v>33</v>
      </c>
    </row>
    <row r="3021" spans="5:5" x14ac:dyDescent="0.2">
      <c r="E3021" s="3">
        <f t="shared" si="47"/>
        <v>33</v>
      </c>
    </row>
    <row r="3022" spans="5:5" x14ac:dyDescent="0.2">
      <c r="E3022" s="3">
        <f t="shared" si="47"/>
        <v>33</v>
      </c>
    </row>
    <row r="3023" spans="5:5" x14ac:dyDescent="0.2">
      <c r="E3023" s="3">
        <f t="shared" si="47"/>
        <v>33</v>
      </c>
    </row>
    <row r="3024" spans="5:5" x14ac:dyDescent="0.2">
      <c r="E3024" s="3">
        <f t="shared" si="47"/>
        <v>33</v>
      </c>
    </row>
    <row r="3025" spans="5:5" x14ac:dyDescent="0.2">
      <c r="E3025" s="3">
        <f t="shared" si="47"/>
        <v>33</v>
      </c>
    </row>
    <row r="3026" spans="5:5" x14ac:dyDescent="0.2">
      <c r="E3026" s="3">
        <f t="shared" si="47"/>
        <v>33</v>
      </c>
    </row>
    <row r="3027" spans="5:5" x14ac:dyDescent="0.2">
      <c r="E3027" s="3">
        <f t="shared" si="47"/>
        <v>33</v>
      </c>
    </row>
    <row r="3028" spans="5:5" x14ac:dyDescent="0.2">
      <c r="E3028" s="3">
        <f t="shared" si="47"/>
        <v>33</v>
      </c>
    </row>
    <row r="3029" spans="5:5" x14ac:dyDescent="0.2">
      <c r="E3029" s="3">
        <f t="shared" si="47"/>
        <v>33</v>
      </c>
    </row>
    <row r="3030" spans="5:5" x14ac:dyDescent="0.2">
      <c r="E3030" s="3">
        <f t="shared" si="47"/>
        <v>33</v>
      </c>
    </row>
    <row r="3031" spans="5:5" x14ac:dyDescent="0.2">
      <c r="E3031" s="3">
        <f t="shared" si="47"/>
        <v>33</v>
      </c>
    </row>
    <row r="3032" spans="5:5" x14ac:dyDescent="0.2">
      <c r="E3032" s="3">
        <f t="shared" si="47"/>
        <v>33</v>
      </c>
    </row>
    <row r="3033" spans="5:5" x14ac:dyDescent="0.2">
      <c r="E3033" s="3">
        <f t="shared" si="47"/>
        <v>33</v>
      </c>
    </row>
    <row r="3034" spans="5:5" x14ac:dyDescent="0.2">
      <c r="E3034" s="3">
        <f t="shared" si="47"/>
        <v>33</v>
      </c>
    </row>
    <row r="3035" spans="5:5" x14ac:dyDescent="0.2">
      <c r="E3035" s="3">
        <f t="shared" si="47"/>
        <v>33</v>
      </c>
    </row>
    <row r="3036" spans="5:5" x14ac:dyDescent="0.2">
      <c r="E3036" s="3">
        <f t="shared" si="47"/>
        <v>33</v>
      </c>
    </row>
    <row r="3037" spans="5:5" x14ac:dyDescent="0.2">
      <c r="E3037" s="3">
        <f t="shared" si="47"/>
        <v>33</v>
      </c>
    </row>
    <row r="3038" spans="5:5" x14ac:dyDescent="0.2">
      <c r="E3038" s="3">
        <f t="shared" si="47"/>
        <v>33</v>
      </c>
    </row>
    <row r="3039" spans="5:5" x14ac:dyDescent="0.2">
      <c r="E3039" s="3">
        <f t="shared" si="47"/>
        <v>33</v>
      </c>
    </row>
    <row r="3040" spans="5:5" x14ac:dyDescent="0.2">
      <c r="E3040" s="3">
        <f t="shared" si="47"/>
        <v>33</v>
      </c>
    </row>
    <row r="3041" spans="5:5" x14ac:dyDescent="0.2">
      <c r="E3041" s="3">
        <f t="shared" si="47"/>
        <v>33</v>
      </c>
    </row>
    <row r="3042" spans="5:5" x14ac:dyDescent="0.2">
      <c r="E3042" s="3">
        <f t="shared" si="47"/>
        <v>33</v>
      </c>
    </row>
    <row r="3043" spans="5:5" x14ac:dyDescent="0.2">
      <c r="E3043" s="3">
        <f t="shared" si="47"/>
        <v>33</v>
      </c>
    </row>
    <row r="3044" spans="5:5" x14ac:dyDescent="0.2">
      <c r="E3044" s="3">
        <f t="shared" si="47"/>
        <v>33</v>
      </c>
    </row>
    <row r="3045" spans="5:5" x14ac:dyDescent="0.2">
      <c r="E3045" s="3">
        <f t="shared" si="47"/>
        <v>33</v>
      </c>
    </row>
    <row r="3046" spans="5:5" x14ac:dyDescent="0.2">
      <c r="E3046" s="3">
        <f t="shared" si="47"/>
        <v>33</v>
      </c>
    </row>
    <row r="3047" spans="5:5" x14ac:dyDescent="0.2">
      <c r="E3047" s="3">
        <f t="shared" si="47"/>
        <v>33</v>
      </c>
    </row>
    <row r="3048" spans="5:5" x14ac:dyDescent="0.2">
      <c r="E3048" s="3">
        <f t="shared" si="47"/>
        <v>33</v>
      </c>
    </row>
    <row r="3049" spans="5:5" x14ac:dyDescent="0.2">
      <c r="E3049" s="3">
        <f t="shared" si="47"/>
        <v>33</v>
      </c>
    </row>
    <row r="3050" spans="5:5" x14ac:dyDescent="0.2">
      <c r="E3050" s="3">
        <f t="shared" si="47"/>
        <v>33</v>
      </c>
    </row>
    <row r="3051" spans="5:5" x14ac:dyDescent="0.2">
      <c r="E3051" s="3">
        <f t="shared" si="47"/>
        <v>33</v>
      </c>
    </row>
    <row r="3052" spans="5:5" x14ac:dyDescent="0.2">
      <c r="E3052" s="3">
        <f t="shared" si="47"/>
        <v>33</v>
      </c>
    </row>
    <row r="3053" spans="5:5" x14ac:dyDescent="0.2">
      <c r="E3053" s="3">
        <f t="shared" si="47"/>
        <v>33</v>
      </c>
    </row>
    <row r="3054" spans="5:5" x14ac:dyDescent="0.2">
      <c r="E3054" s="3">
        <f t="shared" si="47"/>
        <v>33</v>
      </c>
    </row>
    <row r="3055" spans="5:5" x14ac:dyDescent="0.2">
      <c r="E3055" s="3">
        <f t="shared" si="47"/>
        <v>33</v>
      </c>
    </row>
    <row r="3056" spans="5:5" x14ac:dyDescent="0.2">
      <c r="E3056" s="3">
        <f t="shared" si="47"/>
        <v>33</v>
      </c>
    </row>
    <row r="3057" spans="5:5" x14ac:dyDescent="0.2">
      <c r="E3057" s="3">
        <f t="shared" si="47"/>
        <v>33</v>
      </c>
    </row>
    <row r="3058" spans="5:5" x14ac:dyDescent="0.2">
      <c r="E3058" s="3">
        <f t="shared" si="47"/>
        <v>33</v>
      </c>
    </row>
    <row r="3059" spans="5:5" x14ac:dyDescent="0.2">
      <c r="E3059" s="3">
        <f t="shared" si="47"/>
        <v>33</v>
      </c>
    </row>
    <row r="3060" spans="5:5" x14ac:dyDescent="0.2">
      <c r="E3060" s="3">
        <f t="shared" si="47"/>
        <v>33</v>
      </c>
    </row>
    <row r="3061" spans="5:5" x14ac:dyDescent="0.2">
      <c r="E3061" s="3">
        <f t="shared" si="47"/>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CAE75-6931-3345-90E3-FE5D2134ECC6}">
  <sheetPr codeName="Sheet19"/>
  <dimension ref="A1:E1708"/>
  <sheetViews>
    <sheetView topLeftCell="A1673" workbookViewId="0">
      <selection activeCell="E1708" sqref="E1708"/>
    </sheetView>
  </sheetViews>
  <sheetFormatPr baseColWidth="10" defaultRowHeight="16" x14ac:dyDescent="0.2"/>
  <sheetData>
    <row r="1" spans="1:5" x14ac:dyDescent="0.2">
      <c r="A1">
        <v>1</v>
      </c>
      <c r="B1" t="s">
        <v>5</v>
      </c>
      <c r="C1">
        <v>2</v>
      </c>
      <c r="D1">
        <v>15</v>
      </c>
      <c r="E1" t="str">
        <f t="shared" ref="E1:E64" si="0">B1&amp;"/"&amp;D1&amp;"/"&amp;A1&amp;"/"&amp;C1</f>
        <v>Sabwill/15/1/2</v>
      </c>
    </row>
    <row r="2" spans="1:5" x14ac:dyDescent="0.2">
      <c r="A2">
        <v>2</v>
      </c>
      <c r="B2" t="s">
        <v>6</v>
      </c>
      <c r="C2">
        <v>0</v>
      </c>
      <c r="D2">
        <v>11</v>
      </c>
      <c r="E2" t="str">
        <f t="shared" si="0"/>
        <v>Pyja/11/2/0</v>
      </c>
    </row>
    <row r="3" spans="1:5" x14ac:dyDescent="0.2">
      <c r="A3">
        <v>3</v>
      </c>
      <c r="B3" t="s">
        <v>7</v>
      </c>
      <c r="C3">
        <v>2</v>
      </c>
      <c r="D3">
        <v>7</v>
      </c>
      <c r="E3" t="str">
        <f t="shared" si="0"/>
        <v>Geo/7/3/2</v>
      </c>
    </row>
    <row r="4" spans="1:5" x14ac:dyDescent="0.2">
      <c r="A4">
        <v>4</v>
      </c>
      <c r="B4" t="s">
        <v>8</v>
      </c>
      <c r="C4">
        <v>0</v>
      </c>
      <c r="D4">
        <v>3</v>
      </c>
      <c r="E4" t="str">
        <f t="shared" si="0"/>
        <v>Maxime/3/4/0</v>
      </c>
    </row>
    <row r="5" spans="1:5" x14ac:dyDescent="0.2">
      <c r="A5">
        <v>5</v>
      </c>
      <c r="B5" t="s">
        <v>9</v>
      </c>
      <c r="C5">
        <v>0</v>
      </c>
      <c r="D5">
        <v>1</v>
      </c>
      <c r="E5" t="str">
        <f t="shared" si="0"/>
        <v>K1/1/5/0</v>
      </c>
    </row>
    <row r="6" spans="1:5" x14ac:dyDescent="0.2">
      <c r="A6">
        <v>1</v>
      </c>
      <c r="B6" t="s">
        <v>12</v>
      </c>
      <c r="C6">
        <v>2</v>
      </c>
      <c r="D6">
        <v>15</v>
      </c>
      <c r="E6" t="str">
        <f t="shared" si="0"/>
        <v>Gnak/15/1/2</v>
      </c>
    </row>
    <row r="7" spans="1:5" x14ac:dyDescent="0.2">
      <c r="A7">
        <v>2</v>
      </c>
      <c r="B7" t="s">
        <v>13</v>
      </c>
      <c r="C7">
        <v>0</v>
      </c>
      <c r="D7">
        <v>11</v>
      </c>
      <c r="E7" t="str">
        <f t="shared" si="0"/>
        <v>Ladyleti/11/2/0</v>
      </c>
    </row>
    <row r="8" spans="1:5" x14ac:dyDescent="0.2">
      <c r="A8">
        <v>3</v>
      </c>
      <c r="B8" t="s">
        <v>14</v>
      </c>
      <c r="C8">
        <v>1</v>
      </c>
      <c r="D8">
        <v>7</v>
      </c>
      <c r="E8" t="str">
        <f t="shared" si="0"/>
        <v>Ramm/7/3/1</v>
      </c>
    </row>
    <row r="9" spans="1:5" x14ac:dyDescent="0.2">
      <c r="A9">
        <v>4</v>
      </c>
      <c r="B9" t="s">
        <v>15</v>
      </c>
      <c r="C9">
        <v>1</v>
      </c>
      <c r="D9">
        <v>3</v>
      </c>
      <c r="E9" t="str">
        <f t="shared" si="0"/>
        <v>LAAtof/3/4/1</v>
      </c>
    </row>
    <row r="10" spans="1:5" x14ac:dyDescent="0.2">
      <c r="A10">
        <v>5</v>
      </c>
      <c r="B10" t="s">
        <v>16</v>
      </c>
      <c r="C10">
        <v>0</v>
      </c>
      <c r="D10">
        <v>1</v>
      </c>
      <c r="E10" t="str">
        <f t="shared" si="0"/>
        <v>Stan/1/5/0</v>
      </c>
    </row>
    <row r="11" spans="1:5" x14ac:dyDescent="0.2">
      <c r="A11">
        <v>1</v>
      </c>
      <c r="B11" t="s">
        <v>18</v>
      </c>
      <c r="C11">
        <v>4</v>
      </c>
      <c r="D11">
        <v>16</v>
      </c>
      <c r="E11" t="str">
        <f t="shared" si="0"/>
        <v>MAMS/16/1/4</v>
      </c>
    </row>
    <row r="12" spans="1:5" x14ac:dyDescent="0.2">
      <c r="A12">
        <v>2</v>
      </c>
      <c r="B12" t="s">
        <v>19</v>
      </c>
      <c r="C12">
        <v>1</v>
      </c>
      <c r="D12">
        <v>12</v>
      </c>
      <c r="E12" t="str">
        <f t="shared" si="0"/>
        <v>Giobeck/12/2/1</v>
      </c>
    </row>
    <row r="13" spans="1:5" x14ac:dyDescent="0.2">
      <c r="A13">
        <v>3</v>
      </c>
      <c r="B13" t="s">
        <v>20</v>
      </c>
      <c r="C13">
        <v>0</v>
      </c>
      <c r="D13">
        <v>8</v>
      </c>
      <c r="E13" t="str">
        <f t="shared" si="0"/>
        <v>saymsonite/8/3/0</v>
      </c>
    </row>
    <row r="14" spans="1:5" x14ac:dyDescent="0.2">
      <c r="A14">
        <v>4</v>
      </c>
      <c r="B14" t="s">
        <v>21</v>
      </c>
      <c r="C14">
        <v>0</v>
      </c>
      <c r="D14">
        <v>4</v>
      </c>
      <c r="E14" t="str">
        <f t="shared" si="0"/>
        <v>Carmin/4/4/0</v>
      </c>
    </row>
    <row r="15" spans="1:5" x14ac:dyDescent="0.2">
      <c r="A15">
        <v>5</v>
      </c>
      <c r="B15" t="s">
        <v>22</v>
      </c>
      <c r="C15">
        <v>0</v>
      </c>
      <c r="D15">
        <v>2</v>
      </c>
      <c r="E15" t="str">
        <f t="shared" si="0"/>
        <v>Dart 45/2/5/0</v>
      </c>
    </row>
    <row r="16" spans="1:5" x14ac:dyDescent="0.2">
      <c r="A16">
        <v>6</v>
      </c>
      <c r="B16" t="s">
        <v>23</v>
      </c>
      <c r="C16">
        <v>0</v>
      </c>
      <c r="D16">
        <v>1</v>
      </c>
      <c r="E16" t="str">
        <f t="shared" si="0"/>
        <v>Lylith75/1/6/0</v>
      </c>
    </row>
    <row r="17" spans="1:5" x14ac:dyDescent="0.2">
      <c r="A17">
        <v>1</v>
      </c>
      <c r="B17" t="s">
        <v>25</v>
      </c>
      <c r="C17">
        <v>3</v>
      </c>
      <c r="D17">
        <v>15</v>
      </c>
      <c r="E17" t="str">
        <f t="shared" si="0"/>
        <v>Claudius/15/1/3</v>
      </c>
    </row>
    <row r="18" spans="1:5" x14ac:dyDescent="0.2">
      <c r="A18">
        <v>2</v>
      </c>
      <c r="B18" t="s">
        <v>26</v>
      </c>
      <c r="C18">
        <v>1</v>
      </c>
      <c r="D18">
        <v>11</v>
      </c>
      <c r="E18" t="str">
        <f t="shared" si="0"/>
        <v>LOSOGRE/11/2/1</v>
      </c>
    </row>
    <row r="19" spans="1:5" x14ac:dyDescent="0.2">
      <c r="A19">
        <v>3</v>
      </c>
      <c r="B19" t="s">
        <v>27</v>
      </c>
      <c r="C19">
        <v>0</v>
      </c>
      <c r="D19">
        <v>7</v>
      </c>
      <c r="E19" t="str">
        <f t="shared" si="0"/>
        <v>Mandrake/7/3/0</v>
      </c>
    </row>
    <row r="20" spans="1:5" x14ac:dyDescent="0.2">
      <c r="A20">
        <v>4</v>
      </c>
      <c r="B20" t="s">
        <v>28</v>
      </c>
      <c r="C20">
        <v>0</v>
      </c>
      <c r="D20">
        <v>3</v>
      </c>
      <c r="E20" t="str">
        <f t="shared" si="0"/>
        <v>sobab/3/4/0</v>
      </c>
    </row>
    <row r="21" spans="1:5" x14ac:dyDescent="0.2">
      <c r="A21">
        <v>5</v>
      </c>
      <c r="B21" t="s">
        <v>29</v>
      </c>
      <c r="C21">
        <v>0</v>
      </c>
      <c r="D21">
        <v>1</v>
      </c>
      <c r="E21" t="str">
        <f t="shared" si="0"/>
        <v>NoDoubt/1/5/0</v>
      </c>
    </row>
    <row r="22" spans="1:5" x14ac:dyDescent="0.2">
      <c r="A22">
        <v>1</v>
      </c>
      <c r="B22" t="s">
        <v>31</v>
      </c>
      <c r="C22">
        <v>4</v>
      </c>
      <c r="D22">
        <v>16</v>
      </c>
      <c r="E22" t="str">
        <f t="shared" si="0"/>
        <v>CHRIS92340/16/1/4</v>
      </c>
    </row>
    <row r="23" spans="1:5" x14ac:dyDescent="0.2">
      <c r="A23">
        <v>2</v>
      </c>
      <c r="B23" t="s">
        <v>32</v>
      </c>
      <c r="C23">
        <v>1</v>
      </c>
      <c r="D23">
        <v>12</v>
      </c>
      <c r="E23" t="str">
        <f t="shared" si="0"/>
        <v>OlivierN92/12/2/1</v>
      </c>
    </row>
    <row r="24" spans="1:5" x14ac:dyDescent="0.2">
      <c r="A24">
        <v>3</v>
      </c>
      <c r="B24" t="s">
        <v>33</v>
      </c>
      <c r="C24">
        <v>0</v>
      </c>
      <c r="D24">
        <v>8</v>
      </c>
      <c r="E24" t="str">
        <f t="shared" si="0"/>
        <v>Ptit Savoyard/8/3/0</v>
      </c>
    </row>
    <row r="25" spans="1:5" x14ac:dyDescent="0.2">
      <c r="A25">
        <v>4</v>
      </c>
      <c r="B25" t="s">
        <v>34</v>
      </c>
      <c r="C25">
        <v>0</v>
      </c>
      <c r="D25">
        <v>4</v>
      </c>
      <c r="E25" t="str">
        <f t="shared" si="0"/>
        <v>Solex/4/4/0</v>
      </c>
    </row>
    <row r="26" spans="1:5" x14ac:dyDescent="0.2">
      <c r="A26">
        <v>5</v>
      </c>
      <c r="B26" t="s">
        <v>35</v>
      </c>
      <c r="C26">
        <v>0</v>
      </c>
      <c r="D26">
        <v>2</v>
      </c>
      <c r="E26" t="str">
        <f t="shared" si="0"/>
        <v>JeanMichelTiming/2/5/0</v>
      </c>
    </row>
    <row r="27" spans="1:5" x14ac:dyDescent="0.2">
      <c r="A27">
        <v>6</v>
      </c>
      <c r="B27" t="s">
        <v>36</v>
      </c>
      <c r="C27">
        <v>0</v>
      </c>
      <c r="D27">
        <v>1</v>
      </c>
      <c r="E27" t="str">
        <f t="shared" si="0"/>
        <v>arnomel/1/6/0</v>
      </c>
    </row>
    <row r="28" spans="1:5" x14ac:dyDescent="0.2">
      <c r="A28">
        <v>1</v>
      </c>
      <c r="B28" t="s">
        <v>38</v>
      </c>
      <c r="C28">
        <v>3</v>
      </c>
      <c r="D28">
        <v>16</v>
      </c>
      <c r="E28" t="str">
        <f t="shared" si="0"/>
        <v>cTTprmoa/16/1/3</v>
      </c>
    </row>
    <row r="29" spans="1:5" x14ac:dyDescent="0.2">
      <c r="A29">
        <v>2</v>
      </c>
      <c r="B29" t="s">
        <v>39</v>
      </c>
      <c r="C29">
        <v>2</v>
      </c>
      <c r="D29">
        <v>12</v>
      </c>
      <c r="E29" t="str">
        <f t="shared" si="0"/>
        <v>kheops/12/2/2</v>
      </c>
    </row>
    <row r="30" spans="1:5" x14ac:dyDescent="0.2">
      <c r="A30">
        <v>3</v>
      </c>
      <c r="B30" t="s">
        <v>40</v>
      </c>
      <c r="C30">
        <v>0</v>
      </c>
      <c r="D30">
        <v>8</v>
      </c>
      <c r="E30" t="str">
        <f t="shared" si="0"/>
        <v>Lén@/8/3/0</v>
      </c>
    </row>
    <row r="31" spans="1:5" x14ac:dyDescent="0.2">
      <c r="A31">
        <v>4</v>
      </c>
      <c r="B31" t="s">
        <v>41</v>
      </c>
      <c r="C31">
        <v>0</v>
      </c>
      <c r="D31">
        <v>4</v>
      </c>
      <c r="E31" t="str">
        <f t="shared" si="0"/>
        <v>gibouille/4/4/0</v>
      </c>
    </row>
    <row r="32" spans="1:5" x14ac:dyDescent="0.2">
      <c r="A32">
        <v>5</v>
      </c>
      <c r="B32" t="s">
        <v>42</v>
      </c>
      <c r="C32">
        <v>0</v>
      </c>
      <c r="D32">
        <v>2</v>
      </c>
      <c r="E32" t="str">
        <f t="shared" si="0"/>
        <v>Claptou/2/5/0</v>
      </c>
    </row>
    <row r="33" spans="1:5" x14ac:dyDescent="0.2">
      <c r="A33">
        <v>6</v>
      </c>
      <c r="B33" t="s">
        <v>43</v>
      </c>
      <c r="C33">
        <v>0</v>
      </c>
      <c r="D33">
        <v>1</v>
      </c>
      <c r="E33" t="str">
        <f t="shared" si="0"/>
        <v>KassTwo/1/6/0</v>
      </c>
    </row>
    <row r="34" spans="1:5" x14ac:dyDescent="0.2">
      <c r="A34">
        <v>1</v>
      </c>
      <c r="B34" t="s">
        <v>45</v>
      </c>
      <c r="C34">
        <v>1</v>
      </c>
      <c r="D34">
        <v>16</v>
      </c>
      <c r="E34" t="str">
        <f t="shared" si="0"/>
        <v>yaltar/16/1/1</v>
      </c>
    </row>
    <row r="35" spans="1:5" x14ac:dyDescent="0.2">
      <c r="A35">
        <v>2</v>
      </c>
      <c r="B35" t="s">
        <v>46</v>
      </c>
      <c r="C35">
        <v>2</v>
      </c>
      <c r="D35">
        <v>12</v>
      </c>
      <c r="E35" t="str">
        <f t="shared" si="0"/>
        <v>Jérôme/12/2/2</v>
      </c>
    </row>
    <row r="36" spans="1:5" x14ac:dyDescent="0.2">
      <c r="A36">
        <v>3</v>
      </c>
      <c r="B36" t="s">
        <v>47</v>
      </c>
      <c r="C36">
        <v>1</v>
      </c>
      <c r="D36">
        <v>8</v>
      </c>
      <c r="E36" t="str">
        <f t="shared" si="0"/>
        <v>Logan/8/3/1</v>
      </c>
    </row>
    <row r="37" spans="1:5" x14ac:dyDescent="0.2">
      <c r="A37">
        <v>4</v>
      </c>
      <c r="B37" t="s">
        <v>48</v>
      </c>
      <c r="C37">
        <v>1</v>
      </c>
      <c r="D37">
        <v>4</v>
      </c>
      <c r="E37" t="str">
        <f t="shared" si="0"/>
        <v>Pintu/4/4/1</v>
      </c>
    </row>
    <row r="38" spans="1:5" x14ac:dyDescent="0.2">
      <c r="A38">
        <v>5</v>
      </c>
      <c r="B38" t="s">
        <v>49</v>
      </c>
      <c r="C38">
        <v>0</v>
      </c>
      <c r="D38">
        <v>2</v>
      </c>
      <c r="E38" t="str">
        <f t="shared" si="0"/>
        <v>ABSIS/2/5/0</v>
      </c>
    </row>
    <row r="39" spans="1:5" x14ac:dyDescent="0.2">
      <c r="A39">
        <v>6</v>
      </c>
      <c r="B39" t="s">
        <v>50</v>
      </c>
      <c r="C39">
        <v>0</v>
      </c>
      <c r="D39">
        <v>1</v>
      </c>
      <c r="E39" t="str">
        <f t="shared" si="0"/>
        <v>MLADENGO/1/6/0</v>
      </c>
    </row>
    <row r="40" spans="1:5" x14ac:dyDescent="0.2">
      <c r="A40">
        <v>1</v>
      </c>
      <c r="B40" t="s">
        <v>52</v>
      </c>
      <c r="C40">
        <v>3</v>
      </c>
      <c r="D40">
        <v>16</v>
      </c>
      <c r="E40" t="str">
        <f t="shared" si="0"/>
        <v>Coach Pepito/16/1/3</v>
      </c>
    </row>
    <row r="41" spans="1:5" x14ac:dyDescent="0.2">
      <c r="A41">
        <v>2</v>
      </c>
      <c r="B41" t="s">
        <v>53</v>
      </c>
      <c r="C41">
        <v>1</v>
      </c>
      <c r="D41">
        <v>12</v>
      </c>
      <c r="E41" t="str">
        <f t="shared" si="0"/>
        <v>Makoche/12/2/1</v>
      </c>
    </row>
    <row r="42" spans="1:5" x14ac:dyDescent="0.2">
      <c r="A42">
        <v>3</v>
      </c>
      <c r="B42" t="s">
        <v>54</v>
      </c>
      <c r="C42">
        <v>1</v>
      </c>
      <c r="D42">
        <v>8</v>
      </c>
      <c r="E42" t="str">
        <f t="shared" si="0"/>
        <v>Salsamanu/8/3/1</v>
      </c>
    </row>
    <row r="43" spans="1:5" x14ac:dyDescent="0.2">
      <c r="A43">
        <v>4</v>
      </c>
      <c r="B43" t="s">
        <v>55</v>
      </c>
      <c r="C43">
        <v>0</v>
      </c>
      <c r="D43">
        <v>4</v>
      </c>
      <c r="E43" t="str">
        <f t="shared" si="0"/>
        <v>Bounette/4/4/0</v>
      </c>
    </row>
    <row r="44" spans="1:5" x14ac:dyDescent="0.2">
      <c r="A44">
        <v>5</v>
      </c>
      <c r="B44" t="s">
        <v>56</v>
      </c>
      <c r="C44">
        <v>0</v>
      </c>
      <c r="D44">
        <v>2</v>
      </c>
      <c r="E44" t="str">
        <f t="shared" si="0"/>
        <v>Painauchoc87/2/5/0</v>
      </c>
    </row>
    <row r="45" spans="1:5" x14ac:dyDescent="0.2">
      <c r="A45">
        <v>6</v>
      </c>
      <c r="B45" t="s">
        <v>57</v>
      </c>
      <c r="C45">
        <v>0</v>
      </c>
      <c r="D45">
        <v>1</v>
      </c>
      <c r="E45" t="str">
        <f t="shared" si="0"/>
        <v>ImAAlcalliKK/1/6/0</v>
      </c>
    </row>
    <row r="46" spans="1:5" x14ac:dyDescent="0.2">
      <c r="A46">
        <v>1</v>
      </c>
      <c r="B46" t="s">
        <v>59</v>
      </c>
      <c r="C46">
        <v>2</v>
      </c>
      <c r="D46">
        <v>15</v>
      </c>
      <c r="E46" t="str">
        <f t="shared" si="0"/>
        <v>YooooDA/15/1/2</v>
      </c>
    </row>
    <row r="47" spans="1:5" x14ac:dyDescent="0.2">
      <c r="A47">
        <v>2</v>
      </c>
      <c r="B47" t="s">
        <v>60</v>
      </c>
      <c r="C47">
        <v>2</v>
      </c>
      <c r="D47">
        <v>11</v>
      </c>
      <c r="E47" t="str">
        <f t="shared" si="0"/>
        <v>zizou/11/2/2</v>
      </c>
    </row>
    <row r="48" spans="1:5" x14ac:dyDescent="0.2">
      <c r="A48">
        <v>3</v>
      </c>
      <c r="B48" t="s">
        <v>61</v>
      </c>
      <c r="C48">
        <v>0</v>
      </c>
      <c r="D48">
        <v>7</v>
      </c>
      <c r="E48" t="str">
        <f t="shared" si="0"/>
        <v>Kri-lin/7/3/0</v>
      </c>
    </row>
    <row r="49" spans="1:5" x14ac:dyDescent="0.2">
      <c r="A49">
        <v>4</v>
      </c>
      <c r="B49" t="s">
        <v>62</v>
      </c>
      <c r="C49">
        <v>0</v>
      </c>
      <c r="D49">
        <v>3</v>
      </c>
      <c r="E49" t="str">
        <f t="shared" si="0"/>
        <v>Bulma/3/4/0</v>
      </c>
    </row>
    <row r="50" spans="1:5" x14ac:dyDescent="0.2">
      <c r="A50">
        <v>5</v>
      </c>
      <c r="B50" t="s">
        <v>63</v>
      </c>
      <c r="C50">
        <v>0</v>
      </c>
      <c r="D50">
        <v>1</v>
      </c>
      <c r="E50" t="str">
        <f t="shared" si="0"/>
        <v>Brice/1/5/0</v>
      </c>
    </row>
    <row r="51" spans="1:5" x14ac:dyDescent="0.2">
      <c r="A51">
        <v>1</v>
      </c>
      <c r="B51" t="s">
        <v>65</v>
      </c>
      <c r="C51">
        <v>1</v>
      </c>
      <c r="D51">
        <v>15</v>
      </c>
      <c r="E51" t="str">
        <f t="shared" si="0"/>
        <v>Ripolin/15/1/1</v>
      </c>
    </row>
    <row r="52" spans="1:5" x14ac:dyDescent="0.2">
      <c r="A52">
        <v>2</v>
      </c>
      <c r="B52" t="s">
        <v>66</v>
      </c>
      <c r="C52">
        <v>2</v>
      </c>
      <c r="D52">
        <v>11</v>
      </c>
      <c r="E52" t="str">
        <f t="shared" si="0"/>
        <v>Ad Vitam/11/2/2</v>
      </c>
    </row>
    <row r="53" spans="1:5" x14ac:dyDescent="0.2">
      <c r="A53">
        <v>3</v>
      </c>
      <c r="B53" t="s">
        <v>67</v>
      </c>
      <c r="C53">
        <v>1</v>
      </c>
      <c r="D53">
        <v>7</v>
      </c>
      <c r="E53" t="str">
        <f t="shared" si="0"/>
        <v>Jackiechoune/7/3/1</v>
      </c>
    </row>
    <row r="54" spans="1:5" x14ac:dyDescent="0.2">
      <c r="A54">
        <v>4</v>
      </c>
      <c r="B54" t="s">
        <v>68</v>
      </c>
      <c r="C54">
        <v>0</v>
      </c>
      <c r="D54">
        <v>3</v>
      </c>
      <c r="E54" t="str">
        <f t="shared" si="0"/>
        <v>zubbaz/3/4/0</v>
      </c>
    </row>
    <row r="55" spans="1:5" x14ac:dyDescent="0.2">
      <c r="A55">
        <v>5</v>
      </c>
      <c r="B55" t="s">
        <v>69</v>
      </c>
      <c r="C55">
        <v>0</v>
      </c>
      <c r="D55">
        <v>1</v>
      </c>
      <c r="E55" t="str">
        <f t="shared" si="0"/>
        <v>Catherine/1/5/0</v>
      </c>
    </row>
    <row r="56" spans="1:5" x14ac:dyDescent="0.2">
      <c r="A56">
        <v>1</v>
      </c>
      <c r="B56" t="s">
        <v>71</v>
      </c>
      <c r="C56">
        <v>2</v>
      </c>
      <c r="D56">
        <v>16</v>
      </c>
      <c r="E56" t="str">
        <f t="shared" si="0"/>
        <v>Ghislaine/16/1/2</v>
      </c>
    </row>
    <row r="57" spans="1:5" x14ac:dyDescent="0.2">
      <c r="A57">
        <v>2</v>
      </c>
      <c r="B57" t="s">
        <v>72</v>
      </c>
      <c r="C57">
        <v>2</v>
      </c>
      <c r="D57">
        <v>12</v>
      </c>
      <c r="E57" t="str">
        <f t="shared" si="0"/>
        <v>Le Boss/12/2/2</v>
      </c>
    </row>
    <row r="58" spans="1:5" x14ac:dyDescent="0.2">
      <c r="A58">
        <v>3</v>
      </c>
      <c r="B58" t="s">
        <v>73</v>
      </c>
      <c r="C58">
        <v>0</v>
      </c>
      <c r="D58">
        <v>8</v>
      </c>
      <c r="E58" t="str">
        <f t="shared" si="0"/>
        <v>Flem/8/3/0</v>
      </c>
    </row>
    <row r="59" spans="1:5" x14ac:dyDescent="0.2">
      <c r="A59">
        <v>4</v>
      </c>
      <c r="B59" t="s">
        <v>74</v>
      </c>
      <c r="C59">
        <v>0</v>
      </c>
      <c r="D59">
        <v>4</v>
      </c>
      <c r="E59" t="str">
        <f t="shared" si="0"/>
        <v>PatB/4/4/0</v>
      </c>
    </row>
    <row r="60" spans="1:5" x14ac:dyDescent="0.2">
      <c r="A60">
        <v>5</v>
      </c>
      <c r="B60" t="s">
        <v>75</v>
      </c>
      <c r="C60">
        <v>1</v>
      </c>
      <c r="D60">
        <v>2</v>
      </c>
      <c r="E60" t="str">
        <f t="shared" si="0"/>
        <v>Michelbey/2/5/1</v>
      </c>
    </row>
    <row r="61" spans="1:5" x14ac:dyDescent="0.2">
      <c r="A61">
        <v>6</v>
      </c>
      <c r="B61" t="s">
        <v>76</v>
      </c>
      <c r="C61">
        <v>0</v>
      </c>
      <c r="D61">
        <v>1</v>
      </c>
      <c r="E61" t="str">
        <f t="shared" si="0"/>
        <v>Comment2/1/6/0</v>
      </c>
    </row>
    <row r="62" spans="1:5" x14ac:dyDescent="0.2">
      <c r="A62">
        <v>1</v>
      </c>
      <c r="B62" t="s">
        <v>77</v>
      </c>
      <c r="C62">
        <v>2</v>
      </c>
      <c r="D62">
        <v>15</v>
      </c>
      <c r="E62" t="str">
        <f t="shared" si="0"/>
        <v>Récréatif/15/1/2</v>
      </c>
    </row>
    <row r="63" spans="1:5" x14ac:dyDescent="0.2">
      <c r="A63">
        <v>2</v>
      </c>
      <c r="B63" t="s">
        <v>38</v>
      </c>
      <c r="C63">
        <v>2</v>
      </c>
      <c r="D63">
        <v>11</v>
      </c>
      <c r="E63" t="str">
        <f t="shared" si="0"/>
        <v>cTTprmoa/11/2/2</v>
      </c>
    </row>
    <row r="64" spans="1:5" x14ac:dyDescent="0.2">
      <c r="A64">
        <v>3</v>
      </c>
      <c r="B64" t="s">
        <v>29</v>
      </c>
      <c r="C64">
        <v>0</v>
      </c>
      <c r="D64">
        <v>7</v>
      </c>
      <c r="E64" t="str">
        <f t="shared" si="0"/>
        <v>NoDoubt/7/3/0</v>
      </c>
    </row>
    <row r="65" spans="1:5" x14ac:dyDescent="0.2">
      <c r="A65">
        <v>4</v>
      </c>
      <c r="B65" t="s">
        <v>72</v>
      </c>
      <c r="C65">
        <v>0</v>
      </c>
      <c r="D65">
        <v>3</v>
      </c>
      <c r="E65" t="str">
        <f t="shared" ref="E65:E128" si="1">B65&amp;"/"&amp;D65&amp;"/"&amp;A65&amp;"/"&amp;C65</f>
        <v>Le Boss/3/4/0</v>
      </c>
    </row>
    <row r="66" spans="1:5" x14ac:dyDescent="0.2">
      <c r="A66">
        <v>5</v>
      </c>
      <c r="B66" t="s">
        <v>9</v>
      </c>
      <c r="C66">
        <v>0</v>
      </c>
      <c r="D66">
        <v>1</v>
      </c>
      <c r="E66" t="str">
        <f t="shared" si="1"/>
        <v>K1/1/5/0</v>
      </c>
    </row>
    <row r="67" spans="1:5" x14ac:dyDescent="0.2">
      <c r="A67">
        <v>1</v>
      </c>
      <c r="B67" t="s">
        <v>25</v>
      </c>
      <c r="C67">
        <v>2</v>
      </c>
      <c r="D67">
        <v>15</v>
      </c>
      <c r="E67" t="str">
        <f t="shared" si="1"/>
        <v>Claudius/15/1/2</v>
      </c>
    </row>
    <row r="68" spans="1:5" x14ac:dyDescent="0.2">
      <c r="A68">
        <v>2</v>
      </c>
      <c r="B68" t="s">
        <v>78</v>
      </c>
      <c r="C68">
        <v>2</v>
      </c>
      <c r="D68">
        <v>11</v>
      </c>
      <c r="E68" t="str">
        <f t="shared" si="1"/>
        <v>Cygna/11/2/2</v>
      </c>
    </row>
    <row r="69" spans="1:5" x14ac:dyDescent="0.2">
      <c r="A69">
        <v>3</v>
      </c>
      <c r="B69" t="s">
        <v>79</v>
      </c>
      <c r="C69">
        <v>0</v>
      </c>
      <c r="D69">
        <v>7</v>
      </c>
      <c r="E69" t="str">
        <f t="shared" si="1"/>
        <v>Willyboy/7/3/0</v>
      </c>
    </row>
    <row r="70" spans="1:5" x14ac:dyDescent="0.2">
      <c r="A70">
        <v>4</v>
      </c>
      <c r="B70" t="s">
        <v>59</v>
      </c>
      <c r="C70">
        <v>0</v>
      </c>
      <c r="D70">
        <v>3</v>
      </c>
      <c r="E70" t="str">
        <f t="shared" si="1"/>
        <v>YooooDA/3/4/0</v>
      </c>
    </row>
    <row r="71" spans="1:5" x14ac:dyDescent="0.2">
      <c r="A71">
        <v>5</v>
      </c>
      <c r="B71" t="s">
        <v>74</v>
      </c>
      <c r="C71">
        <v>0</v>
      </c>
      <c r="D71">
        <v>1</v>
      </c>
      <c r="E71" t="str">
        <f t="shared" si="1"/>
        <v>PatB/1/5/0</v>
      </c>
    </row>
    <row r="72" spans="1:5" x14ac:dyDescent="0.2">
      <c r="A72">
        <v>1</v>
      </c>
      <c r="B72" t="s">
        <v>80</v>
      </c>
      <c r="C72">
        <v>3</v>
      </c>
      <c r="D72">
        <v>15</v>
      </c>
      <c r="E72" t="str">
        <f t="shared" si="1"/>
        <v>Fiffou/15/1/3</v>
      </c>
    </row>
    <row r="73" spans="1:5" x14ac:dyDescent="0.2">
      <c r="A73">
        <v>2</v>
      </c>
      <c r="B73" t="s">
        <v>31</v>
      </c>
      <c r="C73">
        <v>1</v>
      </c>
      <c r="D73">
        <v>11</v>
      </c>
      <c r="E73" t="str">
        <f t="shared" si="1"/>
        <v>CHRIS92340/11/2/1</v>
      </c>
    </row>
    <row r="74" spans="1:5" x14ac:dyDescent="0.2">
      <c r="A74">
        <v>3</v>
      </c>
      <c r="B74" t="s">
        <v>35</v>
      </c>
      <c r="C74">
        <v>0</v>
      </c>
      <c r="D74">
        <v>7</v>
      </c>
      <c r="E74" t="str">
        <f t="shared" si="1"/>
        <v>JeanMichelTiming/7/3/0</v>
      </c>
    </row>
    <row r="75" spans="1:5" x14ac:dyDescent="0.2">
      <c r="A75">
        <v>4</v>
      </c>
      <c r="B75" t="s">
        <v>46</v>
      </c>
      <c r="C75">
        <v>0</v>
      </c>
      <c r="D75">
        <v>3</v>
      </c>
      <c r="E75" t="str">
        <f t="shared" si="1"/>
        <v>Jérôme/3/4/0</v>
      </c>
    </row>
    <row r="76" spans="1:5" x14ac:dyDescent="0.2">
      <c r="A76">
        <v>5</v>
      </c>
      <c r="B76" t="s">
        <v>61</v>
      </c>
      <c r="C76">
        <v>0</v>
      </c>
      <c r="D76">
        <v>1</v>
      </c>
      <c r="E76" t="str">
        <f t="shared" si="1"/>
        <v>Kri-lin/1/5/0</v>
      </c>
    </row>
    <row r="77" spans="1:5" x14ac:dyDescent="0.2">
      <c r="A77">
        <v>1</v>
      </c>
      <c r="B77" t="s">
        <v>48</v>
      </c>
      <c r="C77">
        <v>4</v>
      </c>
      <c r="D77">
        <v>16</v>
      </c>
      <c r="E77" t="str">
        <f t="shared" si="1"/>
        <v>Pintu/16/1/4</v>
      </c>
    </row>
    <row r="78" spans="1:5" x14ac:dyDescent="0.2">
      <c r="A78">
        <v>2</v>
      </c>
      <c r="B78" t="s">
        <v>81</v>
      </c>
      <c r="C78">
        <v>1</v>
      </c>
      <c r="D78">
        <v>12</v>
      </c>
      <c r="E78" t="str">
        <f t="shared" si="1"/>
        <v>Empedocle/12/2/1</v>
      </c>
    </row>
    <row r="79" spans="1:5" x14ac:dyDescent="0.2">
      <c r="A79">
        <v>3</v>
      </c>
      <c r="B79" t="s">
        <v>33</v>
      </c>
      <c r="C79">
        <v>0</v>
      </c>
      <c r="D79">
        <v>8</v>
      </c>
      <c r="E79" t="str">
        <f t="shared" si="1"/>
        <v>Ptit Savoyard/8/3/0</v>
      </c>
    </row>
    <row r="80" spans="1:5" x14ac:dyDescent="0.2">
      <c r="A80">
        <v>4</v>
      </c>
      <c r="B80" t="s">
        <v>12</v>
      </c>
      <c r="C80">
        <v>0</v>
      </c>
      <c r="D80">
        <v>4</v>
      </c>
      <c r="E80" t="str">
        <f t="shared" si="1"/>
        <v>Gnak/4/4/0</v>
      </c>
    </row>
    <row r="81" spans="1:5" x14ac:dyDescent="0.2">
      <c r="A81">
        <v>5</v>
      </c>
      <c r="B81" t="s">
        <v>82</v>
      </c>
      <c r="C81">
        <v>0</v>
      </c>
      <c r="D81">
        <v>2</v>
      </c>
      <c r="E81" t="str">
        <f t="shared" si="1"/>
        <v>Shove4value/2/5/0</v>
      </c>
    </row>
    <row r="82" spans="1:5" x14ac:dyDescent="0.2">
      <c r="A82">
        <v>6</v>
      </c>
      <c r="B82" t="s">
        <v>28</v>
      </c>
      <c r="C82">
        <v>0</v>
      </c>
      <c r="D82">
        <v>1</v>
      </c>
      <c r="E82" t="str">
        <f t="shared" si="1"/>
        <v>sobab/1/6/0</v>
      </c>
    </row>
    <row r="83" spans="1:5" x14ac:dyDescent="0.2">
      <c r="A83">
        <v>1</v>
      </c>
      <c r="B83" t="s">
        <v>50</v>
      </c>
      <c r="C83">
        <v>3</v>
      </c>
      <c r="D83">
        <v>15</v>
      </c>
      <c r="E83" t="str">
        <f t="shared" si="1"/>
        <v>MLADENGO/15/1/3</v>
      </c>
    </row>
    <row r="84" spans="1:5" x14ac:dyDescent="0.2">
      <c r="A84">
        <v>2</v>
      </c>
      <c r="B84" t="s">
        <v>69</v>
      </c>
      <c r="C84">
        <v>1</v>
      </c>
      <c r="D84">
        <v>11</v>
      </c>
      <c r="E84" t="str">
        <f t="shared" si="1"/>
        <v>Catherine/11/2/1</v>
      </c>
    </row>
    <row r="85" spans="1:5" x14ac:dyDescent="0.2">
      <c r="A85">
        <v>3</v>
      </c>
      <c r="B85" t="s">
        <v>43</v>
      </c>
      <c r="C85">
        <v>0</v>
      </c>
      <c r="D85">
        <v>7</v>
      </c>
      <c r="E85" t="str">
        <f t="shared" si="1"/>
        <v>KassTwo/7/3/0</v>
      </c>
    </row>
    <row r="86" spans="1:5" x14ac:dyDescent="0.2">
      <c r="A86">
        <v>4</v>
      </c>
      <c r="B86" t="s">
        <v>40</v>
      </c>
      <c r="C86">
        <v>0</v>
      </c>
      <c r="D86">
        <v>3</v>
      </c>
      <c r="E86" t="str">
        <f t="shared" si="1"/>
        <v>Lén@/3/4/0</v>
      </c>
    </row>
    <row r="87" spans="1:5" x14ac:dyDescent="0.2">
      <c r="A87">
        <v>5</v>
      </c>
      <c r="B87" t="s">
        <v>6</v>
      </c>
      <c r="C87">
        <v>0</v>
      </c>
      <c r="D87">
        <v>1</v>
      </c>
      <c r="E87" t="str">
        <f t="shared" si="1"/>
        <v>Pyja/1/5/0</v>
      </c>
    </row>
    <row r="88" spans="1:5" x14ac:dyDescent="0.2">
      <c r="A88">
        <v>1</v>
      </c>
      <c r="B88" t="s">
        <v>55</v>
      </c>
      <c r="C88">
        <v>4</v>
      </c>
      <c r="D88">
        <v>16</v>
      </c>
      <c r="E88" t="str">
        <f t="shared" si="1"/>
        <v>Bounette/16/1/4</v>
      </c>
    </row>
    <row r="89" spans="1:5" x14ac:dyDescent="0.2">
      <c r="A89">
        <v>2</v>
      </c>
      <c r="B89" t="s">
        <v>45</v>
      </c>
      <c r="C89">
        <v>1</v>
      </c>
      <c r="D89">
        <v>12</v>
      </c>
      <c r="E89" t="str">
        <f t="shared" si="1"/>
        <v>yaltar/12/2/1</v>
      </c>
    </row>
    <row r="90" spans="1:5" x14ac:dyDescent="0.2">
      <c r="A90">
        <v>3</v>
      </c>
      <c r="B90" t="s">
        <v>22</v>
      </c>
      <c r="C90">
        <v>0</v>
      </c>
      <c r="D90">
        <v>8</v>
      </c>
      <c r="E90" t="str">
        <f t="shared" si="1"/>
        <v>Dart 45/8/3/0</v>
      </c>
    </row>
    <row r="91" spans="1:5" x14ac:dyDescent="0.2">
      <c r="A91">
        <v>4</v>
      </c>
      <c r="B91" t="s">
        <v>68</v>
      </c>
      <c r="C91">
        <v>0</v>
      </c>
      <c r="D91">
        <v>4</v>
      </c>
      <c r="E91" t="str">
        <f t="shared" si="1"/>
        <v>zubbaz/4/4/0</v>
      </c>
    </row>
    <row r="92" spans="1:5" x14ac:dyDescent="0.2">
      <c r="A92">
        <v>5</v>
      </c>
      <c r="B92" t="s">
        <v>52</v>
      </c>
      <c r="C92">
        <v>0</v>
      </c>
      <c r="D92">
        <v>2</v>
      </c>
      <c r="E92" t="str">
        <f t="shared" si="1"/>
        <v>Coach Pepito/2/5/0</v>
      </c>
    </row>
    <row r="93" spans="1:5" x14ac:dyDescent="0.2">
      <c r="A93">
        <v>6</v>
      </c>
      <c r="B93" t="s">
        <v>71</v>
      </c>
      <c r="C93">
        <v>0</v>
      </c>
      <c r="D93">
        <v>1</v>
      </c>
      <c r="E93" t="str">
        <f t="shared" si="1"/>
        <v>Ghislaine/1/6/0</v>
      </c>
    </row>
    <row r="94" spans="1:5" x14ac:dyDescent="0.2">
      <c r="A94">
        <v>1</v>
      </c>
      <c r="B94" t="s">
        <v>66</v>
      </c>
      <c r="C94">
        <v>4</v>
      </c>
      <c r="D94">
        <v>16</v>
      </c>
      <c r="E94" t="str">
        <f t="shared" si="1"/>
        <v>Ad Vitam/16/1/4</v>
      </c>
    </row>
    <row r="95" spans="1:5" x14ac:dyDescent="0.2">
      <c r="A95">
        <v>2</v>
      </c>
      <c r="B95" t="s">
        <v>54</v>
      </c>
      <c r="C95">
        <v>0</v>
      </c>
      <c r="D95">
        <v>12</v>
      </c>
      <c r="E95" t="str">
        <f t="shared" si="1"/>
        <v>Salsamanu/12/2/0</v>
      </c>
    </row>
    <row r="96" spans="1:5" x14ac:dyDescent="0.2">
      <c r="A96">
        <v>3</v>
      </c>
      <c r="B96" t="s">
        <v>13</v>
      </c>
      <c r="C96">
        <v>0</v>
      </c>
      <c r="D96">
        <v>8</v>
      </c>
      <c r="E96" t="str">
        <f t="shared" si="1"/>
        <v>Ladyleti/8/3/0</v>
      </c>
    </row>
    <row r="97" spans="1:5" x14ac:dyDescent="0.2">
      <c r="A97">
        <v>4</v>
      </c>
      <c r="B97" t="s">
        <v>7</v>
      </c>
      <c r="C97">
        <v>1</v>
      </c>
      <c r="D97">
        <v>4</v>
      </c>
      <c r="E97" t="str">
        <f t="shared" si="1"/>
        <v>Geo/4/4/1</v>
      </c>
    </row>
    <row r="98" spans="1:5" x14ac:dyDescent="0.2">
      <c r="A98">
        <v>5</v>
      </c>
      <c r="B98" t="s">
        <v>19</v>
      </c>
      <c r="C98">
        <v>0</v>
      </c>
      <c r="D98">
        <v>2</v>
      </c>
      <c r="E98" t="str">
        <f t="shared" si="1"/>
        <v>Giobeck/2/5/0</v>
      </c>
    </row>
    <row r="99" spans="1:5" x14ac:dyDescent="0.2">
      <c r="A99">
        <v>6</v>
      </c>
      <c r="B99" t="s">
        <v>63</v>
      </c>
      <c r="C99">
        <v>0</v>
      </c>
      <c r="D99">
        <v>1</v>
      </c>
      <c r="E99" t="str">
        <f t="shared" si="1"/>
        <v>Brice/1/6/0</v>
      </c>
    </row>
    <row r="100" spans="1:5" x14ac:dyDescent="0.2">
      <c r="A100">
        <v>1</v>
      </c>
      <c r="B100" t="s">
        <v>14</v>
      </c>
      <c r="C100">
        <v>2</v>
      </c>
      <c r="D100">
        <v>15</v>
      </c>
      <c r="E100" t="str">
        <f t="shared" si="1"/>
        <v>Ramm/15/1/2</v>
      </c>
    </row>
    <row r="101" spans="1:5" x14ac:dyDescent="0.2">
      <c r="A101">
        <v>2</v>
      </c>
      <c r="B101" t="s">
        <v>67</v>
      </c>
      <c r="C101">
        <v>1</v>
      </c>
      <c r="D101">
        <v>11</v>
      </c>
      <c r="E101" t="str">
        <f t="shared" si="1"/>
        <v>Jackiechoune/11/2/1</v>
      </c>
    </row>
    <row r="102" spans="1:5" x14ac:dyDescent="0.2">
      <c r="A102">
        <v>3</v>
      </c>
      <c r="B102" t="s">
        <v>41</v>
      </c>
      <c r="C102">
        <v>0</v>
      </c>
      <c r="D102">
        <v>7</v>
      </c>
      <c r="E102" t="str">
        <f t="shared" si="1"/>
        <v>gibouille/7/3/0</v>
      </c>
    </row>
    <row r="103" spans="1:5" x14ac:dyDescent="0.2">
      <c r="A103">
        <v>4</v>
      </c>
      <c r="B103" t="s">
        <v>83</v>
      </c>
      <c r="C103">
        <v>1</v>
      </c>
      <c r="D103">
        <v>3</v>
      </c>
      <c r="E103" t="str">
        <f t="shared" si="1"/>
        <v>ChickenSoup/3/4/1</v>
      </c>
    </row>
    <row r="104" spans="1:5" x14ac:dyDescent="0.2">
      <c r="A104">
        <v>5</v>
      </c>
      <c r="B104" t="s">
        <v>27</v>
      </c>
      <c r="C104">
        <v>0</v>
      </c>
      <c r="D104">
        <v>1</v>
      </c>
      <c r="E104" t="str">
        <f t="shared" si="1"/>
        <v>Mandrake/1/5/0</v>
      </c>
    </row>
    <row r="105" spans="1:5" x14ac:dyDescent="0.2">
      <c r="A105">
        <v>1</v>
      </c>
      <c r="B105" t="s">
        <v>76</v>
      </c>
      <c r="C105">
        <v>3</v>
      </c>
      <c r="D105">
        <v>16</v>
      </c>
      <c r="E105" t="str">
        <f t="shared" si="1"/>
        <v>Comment2/16/1/3</v>
      </c>
    </row>
    <row r="106" spans="1:5" x14ac:dyDescent="0.2">
      <c r="A106">
        <v>2</v>
      </c>
      <c r="B106" t="s">
        <v>26</v>
      </c>
      <c r="C106">
        <v>0</v>
      </c>
      <c r="D106">
        <v>12</v>
      </c>
      <c r="E106" t="str">
        <f t="shared" si="1"/>
        <v>LOSOGRE/12/2/0</v>
      </c>
    </row>
    <row r="107" spans="1:5" x14ac:dyDescent="0.2">
      <c r="A107">
        <v>3</v>
      </c>
      <c r="B107" t="s">
        <v>84</v>
      </c>
      <c r="C107">
        <v>2</v>
      </c>
      <c r="D107">
        <v>8</v>
      </c>
      <c r="E107" t="str">
        <f t="shared" si="1"/>
        <v>Verte/8/3/2</v>
      </c>
    </row>
    <row r="108" spans="1:5" x14ac:dyDescent="0.2">
      <c r="A108">
        <v>4</v>
      </c>
      <c r="B108" t="s">
        <v>42</v>
      </c>
      <c r="C108">
        <v>0</v>
      </c>
      <c r="D108">
        <v>4</v>
      </c>
      <c r="E108" t="str">
        <f t="shared" si="1"/>
        <v>Claptou/4/4/0</v>
      </c>
    </row>
    <row r="109" spans="1:5" x14ac:dyDescent="0.2">
      <c r="A109">
        <v>5</v>
      </c>
      <c r="B109" t="s">
        <v>73</v>
      </c>
      <c r="C109">
        <v>0</v>
      </c>
      <c r="D109">
        <v>2</v>
      </c>
      <c r="E109" t="str">
        <f t="shared" si="1"/>
        <v>Flem/2/5/0</v>
      </c>
    </row>
    <row r="110" spans="1:5" x14ac:dyDescent="0.2">
      <c r="A110">
        <v>6</v>
      </c>
      <c r="B110" t="s">
        <v>39</v>
      </c>
      <c r="C110">
        <v>0</v>
      </c>
      <c r="D110">
        <v>1</v>
      </c>
      <c r="E110" t="str">
        <f t="shared" si="1"/>
        <v>kheops/1/6/0</v>
      </c>
    </row>
    <row r="111" spans="1:5" x14ac:dyDescent="0.2">
      <c r="A111">
        <v>1</v>
      </c>
      <c r="B111" t="s">
        <v>23</v>
      </c>
      <c r="C111">
        <v>2</v>
      </c>
      <c r="D111">
        <v>15</v>
      </c>
      <c r="E111" t="str">
        <f t="shared" si="1"/>
        <v>Lylith75/15/1/2</v>
      </c>
    </row>
    <row r="112" spans="1:5" x14ac:dyDescent="0.2">
      <c r="A112">
        <v>2</v>
      </c>
      <c r="B112" t="s">
        <v>85</v>
      </c>
      <c r="C112">
        <v>1</v>
      </c>
      <c r="D112">
        <v>11</v>
      </c>
      <c r="E112" t="str">
        <f t="shared" si="1"/>
        <v>HellNO/11/2/1</v>
      </c>
    </row>
    <row r="113" spans="1:5" x14ac:dyDescent="0.2">
      <c r="A113">
        <v>3</v>
      </c>
      <c r="B113" t="s">
        <v>86</v>
      </c>
      <c r="C113">
        <v>0</v>
      </c>
      <c r="D113">
        <v>7</v>
      </c>
      <c r="E113" t="str">
        <f t="shared" si="1"/>
        <v>TaHiTiSun/7/3/0</v>
      </c>
    </row>
    <row r="114" spans="1:5" x14ac:dyDescent="0.2">
      <c r="A114">
        <v>4</v>
      </c>
      <c r="B114" t="s">
        <v>87</v>
      </c>
      <c r="C114">
        <v>1</v>
      </c>
      <c r="D114">
        <v>3</v>
      </c>
      <c r="E114" t="str">
        <f t="shared" si="1"/>
        <v>Proph@ne/3/4/1</v>
      </c>
    </row>
    <row r="115" spans="1:5" x14ac:dyDescent="0.2">
      <c r="A115">
        <v>5</v>
      </c>
      <c r="B115" t="s">
        <v>75</v>
      </c>
      <c r="C115">
        <v>0</v>
      </c>
      <c r="D115">
        <v>1</v>
      </c>
      <c r="E115" t="str">
        <f t="shared" si="1"/>
        <v>Michelbey/1/5/0</v>
      </c>
    </row>
    <row r="116" spans="1:5" x14ac:dyDescent="0.2">
      <c r="A116">
        <v>1</v>
      </c>
      <c r="B116" t="s">
        <v>47</v>
      </c>
      <c r="C116">
        <v>4</v>
      </c>
      <c r="D116">
        <v>15</v>
      </c>
      <c r="E116" t="str">
        <f t="shared" si="1"/>
        <v>Logan/15/1/4</v>
      </c>
    </row>
    <row r="117" spans="1:5" x14ac:dyDescent="0.2">
      <c r="A117">
        <v>2</v>
      </c>
      <c r="B117" t="s">
        <v>15</v>
      </c>
      <c r="C117">
        <v>0</v>
      </c>
      <c r="D117">
        <v>11</v>
      </c>
      <c r="E117" t="str">
        <f t="shared" si="1"/>
        <v>LAAtof/11/2/0</v>
      </c>
    </row>
    <row r="118" spans="1:5" x14ac:dyDescent="0.2">
      <c r="A118">
        <v>3</v>
      </c>
      <c r="B118" t="s">
        <v>88</v>
      </c>
      <c r="C118">
        <v>0</v>
      </c>
      <c r="D118">
        <v>7</v>
      </c>
      <c r="E118" t="str">
        <f t="shared" si="1"/>
        <v>Yarael/7/3/0</v>
      </c>
    </row>
    <row r="119" spans="1:5" x14ac:dyDescent="0.2">
      <c r="A119">
        <v>4</v>
      </c>
      <c r="B119" t="s">
        <v>89</v>
      </c>
      <c r="C119">
        <v>0</v>
      </c>
      <c r="D119">
        <v>3</v>
      </c>
      <c r="E119" t="str">
        <f t="shared" si="1"/>
        <v>Little Miss Sunshine/3/4/0</v>
      </c>
    </row>
    <row r="120" spans="1:5" x14ac:dyDescent="0.2">
      <c r="A120">
        <v>5</v>
      </c>
      <c r="B120" t="s">
        <v>21</v>
      </c>
      <c r="C120">
        <v>0</v>
      </c>
      <c r="D120">
        <v>1</v>
      </c>
      <c r="E120" t="str">
        <f t="shared" si="1"/>
        <v>Carmin/1/5/0</v>
      </c>
    </row>
    <row r="121" spans="1:5" x14ac:dyDescent="0.2">
      <c r="A121">
        <v>1</v>
      </c>
      <c r="B121" t="s">
        <v>35</v>
      </c>
      <c r="C121">
        <v>1</v>
      </c>
      <c r="D121">
        <v>15</v>
      </c>
      <c r="E121" t="str">
        <f t="shared" si="1"/>
        <v>JeanMichelTiming/15/1/1</v>
      </c>
    </row>
    <row r="122" spans="1:5" x14ac:dyDescent="0.2">
      <c r="A122">
        <v>2</v>
      </c>
      <c r="B122" t="s">
        <v>85</v>
      </c>
      <c r="C122">
        <v>2</v>
      </c>
      <c r="D122">
        <v>11</v>
      </c>
      <c r="E122" t="str">
        <f t="shared" si="1"/>
        <v>HellNO/11/2/2</v>
      </c>
    </row>
    <row r="123" spans="1:5" x14ac:dyDescent="0.2">
      <c r="A123">
        <v>3</v>
      </c>
      <c r="B123" t="s">
        <v>28</v>
      </c>
      <c r="C123">
        <v>1</v>
      </c>
      <c r="D123">
        <v>7</v>
      </c>
      <c r="E123" t="str">
        <f t="shared" si="1"/>
        <v>sobab/7/3/1</v>
      </c>
    </row>
    <row r="124" spans="1:5" x14ac:dyDescent="0.2">
      <c r="A124">
        <v>4</v>
      </c>
      <c r="B124" t="s">
        <v>31</v>
      </c>
      <c r="C124">
        <v>0</v>
      </c>
      <c r="D124">
        <v>3</v>
      </c>
      <c r="E124" t="str">
        <f t="shared" si="1"/>
        <v>CHRIS92340/3/4/0</v>
      </c>
    </row>
    <row r="125" spans="1:5" x14ac:dyDescent="0.2">
      <c r="A125">
        <v>5</v>
      </c>
      <c r="B125" t="s">
        <v>76</v>
      </c>
      <c r="C125">
        <v>0</v>
      </c>
      <c r="D125">
        <v>1</v>
      </c>
      <c r="E125" t="str">
        <f t="shared" si="1"/>
        <v>Comment2/1/5/0</v>
      </c>
    </row>
    <row r="126" spans="1:5" x14ac:dyDescent="0.2">
      <c r="A126">
        <v>1</v>
      </c>
      <c r="B126" t="s">
        <v>34</v>
      </c>
      <c r="C126">
        <v>2</v>
      </c>
      <c r="D126">
        <v>16</v>
      </c>
      <c r="E126" t="str">
        <f t="shared" si="1"/>
        <v>Solex/16/1/2</v>
      </c>
    </row>
    <row r="127" spans="1:5" x14ac:dyDescent="0.2">
      <c r="A127">
        <v>2</v>
      </c>
      <c r="B127" t="s">
        <v>59</v>
      </c>
      <c r="C127">
        <v>3</v>
      </c>
      <c r="D127">
        <v>12</v>
      </c>
      <c r="E127" t="str">
        <f t="shared" si="1"/>
        <v>YooooDA/12/2/3</v>
      </c>
    </row>
    <row r="128" spans="1:5" x14ac:dyDescent="0.2">
      <c r="A128">
        <v>3</v>
      </c>
      <c r="B128" t="s">
        <v>18</v>
      </c>
      <c r="C128">
        <v>0</v>
      </c>
      <c r="D128">
        <v>8</v>
      </c>
      <c r="E128" t="str">
        <f t="shared" si="1"/>
        <v>MAMS/8/3/0</v>
      </c>
    </row>
    <row r="129" spans="1:5" x14ac:dyDescent="0.2">
      <c r="A129">
        <v>4</v>
      </c>
      <c r="B129" t="s">
        <v>29</v>
      </c>
      <c r="C129">
        <v>0</v>
      </c>
      <c r="D129">
        <v>4</v>
      </c>
      <c r="E129" t="str">
        <f t="shared" ref="E129:E192" si="2">B129&amp;"/"&amp;D129&amp;"/"&amp;A129&amp;"/"&amp;C129</f>
        <v>NoDoubt/4/4/0</v>
      </c>
    </row>
    <row r="130" spans="1:5" x14ac:dyDescent="0.2">
      <c r="A130">
        <v>5</v>
      </c>
      <c r="B130" t="s">
        <v>50</v>
      </c>
      <c r="C130">
        <v>0</v>
      </c>
      <c r="D130">
        <v>2</v>
      </c>
      <c r="E130" t="str">
        <f t="shared" si="2"/>
        <v>MLADENGO/2/5/0</v>
      </c>
    </row>
    <row r="131" spans="1:5" x14ac:dyDescent="0.2">
      <c r="A131">
        <v>6</v>
      </c>
      <c r="B131" t="s">
        <v>90</v>
      </c>
      <c r="C131">
        <v>0</v>
      </c>
      <c r="D131">
        <v>1</v>
      </c>
      <c r="E131" t="str">
        <f t="shared" si="2"/>
        <v>Asowk/1/6/0</v>
      </c>
    </row>
    <row r="132" spans="1:5" x14ac:dyDescent="0.2">
      <c r="A132">
        <v>1</v>
      </c>
      <c r="B132" t="s">
        <v>14</v>
      </c>
      <c r="C132">
        <v>1</v>
      </c>
      <c r="D132">
        <v>15</v>
      </c>
      <c r="E132" t="str">
        <f t="shared" si="2"/>
        <v>Ramm/15/1/1</v>
      </c>
    </row>
    <row r="133" spans="1:5" x14ac:dyDescent="0.2">
      <c r="A133">
        <v>2</v>
      </c>
      <c r="B133" t="s">
        <v>43</v>
      </c>
      <c r="C133">
        <v>2</v>
      </c>
      <c r="D133">
        <v>11</v>
      </c>
      <c r="E133" t="str">
        <f t="shared" si="2"/>
        <v>KassTwo/11/2/2</v>
      </c>
    </row>
    <row r="134" spans="1:5" x14ac:dyDescent="0.2">
      <c r="A134">
        <v>3</v>
      </c>
      <c r="B134" t="s">
        <v>61</v>
      </c>
      <c r="C134">
        <v>1</v>
      </c>
      <c r="D134">
        <v>7</v>
      </c>
      <c r="E134" t="str">
        <f t="shared" si="2"/>
        <v>Kri-lin/7/3/1</v>
      </c>
    </row>
    <row r="135" spans="1:5" x14ac:dyDescent="0.2">
      <c r="A135">
        <v>4</v>
      </c>
      <c r="B135" t="s">
        <v>69</v>
      </c>
      <c r="C135">
        <v>0</v>
      </c>
      <c r="D135">
        <v>3</v>
      </c>
      <c r="E135" t="str">
        <f t="shared" si="2"/>
        <v>Catherine/3/4/0</v>
      </c>
    </row>
    <row r="136" spans="1:5" x14ac:dyDescent="0.2">
      <c r="A136">
        <v>5</v>
      </c>
      <c r="B136" t="s">
        <v>40</v>
      </c>
      <c r="C136">
        <v>0</v>
      </c>
      <c r="D136">
        <v>1</v>
      </c>
      <c r="E136" t="str">
        <f t="shared" si="2"/>
        <v>Lén@/1/5/0</v>
      </c>
    </row>
    <row r="137" spans="1:5" x14ac:dyDescent="0.2">
      <c r="A137">
        <v>1</v>
      </c>
      <c r="B137" t="s">
        <v>68</v>
      </c>
      <c r="C137">
        <v>3</v>
      </c>
      <c r="D137">
        <v>16</v>
      </c>
      <c r="E137" t="str">
        <f t="shared" si="2"/>
        <v>zubbaz/16/1/3</v>
      </c>
    </row>
    <row r="138" spans="1:5" x14ac:dyDescent="0.2">
      <c r="A138">
        <v>2</v>
      </c>
      <c r="B138" t="s">
        <v>54</v>
      </c>
      <c r="C138">
        <v>0</v>
      </c>
      <c r="D138">
        <v>12</v>
      </c>
      <c r="E138" t="str">
        <f t="shared" si="2"/>
        <v>Salsamanu/12/2/0</v>
      </c>
    </row>
    <row r="139" spans="1:5" x14ac:dyDescent="0.2">
      <c r="A139">
        <v>3</v>
      </c>
      <c r="B139" t="s">
        <v>15</v>
      </c>
      <c r="C139">
        <v>1</v>
      </c>
      <c r="D139">
        <v>8</v>
      </c>
      <c r="E139" t="str">
        <f t="shared" si="2"/>
        <v>LAAtof/8/3/1</v>
      </c>
    </row>
    <row r="140" spans="1:5" x14ac:dyDescent="0.2">
      <c r="A140">
        <v>4</v>
      </c>
      <c r="B140" t="s">
        <v>26</v>
      </c>
      <c r="C140">
        <v>1</v>
      </c>
      <c r="D140">
        <v>4</v>
      </c>
      <c r="E140" t="str">
        <f t="shared" si="2"/>
        <v>LOSOGRE/4/4/1</v>
      </c>
    </row>
    <row r="141" spans="1:5" x14ac:dyDescent="0.2">
      <c r="A141">
        <v>5</v>
      </c>
      <c r="B141" t="s">
        <v>32</v>
      </c>
      <c r="C141">
        <v>0</v>
      </c>
      <c r="D141">
        <v>2</v>
      </c>
      <c r="E141" t="str">
        <f t="shared" si="2"/>
        <v>OlivierN92/2/5/0</v>
      </c>
    </row>
    <row r="142" spans="1:5" x14ac:dyDescent="0.2">
      <c r="A142">
        <v>6</v>
      </c>
      <c r="B142" t="s">
        <v>74</v>
      </c>
      <c r="C142">
        <v>0</v>
      </c>
      <c r="D142">
        <v>1</v>
      </c>
      <c r="E142" t="str">
        <f t="shared" si="2"/>
        <v>PatB/1/6/0</v>
      </c>
    </row>
    <row r="143" spans="1:5" x14ac:dyDescent="0.2">
      <c r="A143">
        <v>1</v>
      </c>
      <c r="B143" t="s">
        <v>38</v>
      </c>
      <c r="C143">
        <v>4</v>
      </c>
      <c r="D143">
        <v>16</v>
      </c>
      <c r="E143" t="str">
        <f t="shared" si="2"/>
        <v>cTTprmoa/16/1/4</v>
      </c>
    </row>
    <row r="144" spans="1:5" x14ac:dyDescent="0.2">
      <c r="A144">
        <v>2</v>
      </c>
      <c r="B144" t="s">
        <v>46</v>
      </c>
      <c r="C144">
        <v>1</v>
      </c>
      <c r="D144">
        <v>12</v>
      </c>
      <c r="E144" t="str">
        <f t="shared" si="2"/>
        <v>Jérôme/12/2/1</v>
      </c>
    </row>
    <row r="145" spans="1:5" x14ac:dyDescent="0.2">
      <c r="A145">
        <v>3</v>
      </c>
      <c r="B145" t="s">
        <v>8</v>
      </c>
      <c r="C145">
        <v>0</v>
      </c>
      <c r="D145">
        <v>8</v>
      </c>
      <c r="E145" t="str">
        <f t="shared" si="2"/>
        <v>Maxime/8/3/0</v>
      </c>
    </row>
    <row r="146" spans="1:5" x14ac:dyDescent="0.2">
      <c r="A146">
        <v>4</v>
      </c>
      <c r="B146" t="s">
        <v>73</v>
      </c>
      <c r="C146">
        <v>0</v>
      </c>
      <c r="D146">
        <v>4</v>
      </c>
      <c r="E146" t="str">
        <f t="shared" si="2"/>
        <v>Flem/4/4/0</v>
      </c>
    </row>
    <row r="147" spans="1:5" x14ac:dyDescent="0.2">
      <c r="A147">
        <v>5</v>
      </c>
      <c r="B147" t="s">
        <v>65</v>
      </c>
      <c r="C147">
        <v>0</v>
      </c>
      <c r="D147">
        <v>2</v>
      </c>
      <c r="E147" t="str">
        <f t="shared" si="2"/>
        <v>Ripolin/2/5/0</v>
      </c>
    </row>
    <row r="148" spans="1:5" x14ac:dyDescent="0.2">
      <c r="A148">
        <v>6</v>
      </c>
      <c r="B148" t="s">
        <v>9</v>
      </c>
      <c r="C148">
        <v>0</v>
      </c>
      <c r="D148">
        <v>1</v>
      </c>
      <c r="E148" t="str">
        <f t="shared" si="2"/>
        <v>K1/1/6/0</v>
      </c>
    </row>
    <row r="149" spans="1:5" x14ac:dyDescent="0.2">
      <c r="A149">
        <v>1</v>
      </c>
      <c r="B149" t="s">
        <v>42</v>
      </c>
      <c r="C149">
        <v>4</v>
      </c>
      <c r="D149">
        <v>15</v>
      </c>
      <c r="E149" t="str">
        <f t="shared" si="2"/>
        <v>Claptou/15/1/4</v>
      </c>
    </row>
    <row r="150" spans="1:5" x14ac:dyDescent="0.2">
      <c r="A150">
        <v>2</v>
      </c>
      <c r="B150" t="s">
        <v>6</v>
      </c>
      <c r="C150">
        <v>0</v>
      </c>
      <c r="D150">
        <v>11</v>
      </c>
      <c r="E150" t="str">
        <f t="shared" si="2"/>
        <v>Pyja/11/2/0</v>
      </c>
    </row>
    <row r="151" spans="1:5" x14ac:dyDescent="0.2">
      <c r="A151">
        <v>3</v>
      </c>
      <c r="B151" t="s">
        <v>21</v>
      </c>
      <c r="C151">
        <v>0</v>
      </c>
      <c r="D151">
        <v>7</v>
      </c>
      <c r="E151" t="str">
        <f t="shared" si="2"/>
        <v>Carmin/7/3/0</v>
      </c>
    </row>
    <row r="152" spans="1:5" x14ac:dyDescent="0.2">
      <c r="A152">
        <v>4</v>
      </c>
      <c r="B152" t="s">
        <v>36</v>
      </c>
      <c r="C152">
        <v>0</v>
      </c>
      <c r="D152">
        <v>3</v>
      </c>
      <c r="E152" t="str">
        <f t="shared" si="2"/>
        <v>arnomel/3/4/0</v>
      </c>
    </row>
    <row r="153" spans="1:5" x14ac:dyDescent="0.2">
      <c r="A153">
        <v>5</v>
      </c>
      <c r="B153" t="s">
        <v>33</v>
      </c>
      <c r="C153">
        <v>0</v>
      </c>
      <c r="D153">
        <v>1</v>
      </c>
      <c r="E153" t="str">
        <f t="shared" si="2"/>
        <v>Ptit Savoyard/1/5/0</v>
      </c>
    </row>
    <row r="154" spans="1:5" x14ac:dyDescent="0.2">
      <c r="A154">
        <v>1</v>
      </c>
      <c r="B154" t="s">
        <v>23</v>
      </c>
      <c r="C154">
        <v>1</v>
      </c>
      <c r="D154">
        <v>16</v>
      </c>
      <c r="E154" t="str">
        <f t="shared" si="2"/>
        <v>Lylith75/16/1/1</v>
      </c>
    </row>
    <row r="155" spans="1:5" x14ac:dyDescent="0.2">
      <c r="A155">
        <v>2</v>
      </c>
      <c r="B155" t="s">
        <v>48</v>
      </c>
      <c r="C155">
        <v>2</v>
      </c>
      <c r="D155">
        <v>12</v>
      </c>
      <c r="E155" t="str">
        <f t="shared" si="2"/>
        <v>Pintu/12/2/2</v>
      </c>
    </row>
    <row r="156" spans="1:5" x14ac:dyDescent="0.2">
      <c r="A156">
        <v>3</v>
      </c>
      <c r="B156" t="s">
        <v>81</v>
      </c>
      <c r="C156">
        <v>2</v>
      </c>
      <c r="D156">
        <v>8</v>
      </c>
      <c r="E156" t="str">
        <f t="shared" si="2"/>
        <v>Empedocle/8/3/2</v>
      </c>
    </row>
    <row r="157" spans="1:5" x14ac:dyDescent="0.2">
      <c r="A157">
        <v>4</v>
      </c>
      <c r="B157" t="s">
        <v>25</v>
      </c>
      <c r="C157">
        <v>0</v>
      </c>
      <c r="D157">
        <v>4</v>
      </c>
      <c r="E157" t="str">
        <f t="shared" si="2"/>
        <v>Claudius/4/4/0</v>
      </c>
    </row>
    <row r="158" spans="1:5" x14ac:dyDescent="0.2">
      <c r="A158">
        <v>5</v>
      </c>
      <c r="B158" t="s">
        <v>5</v>
      </c>
      <c r="C158">
        <v>0</v>
      </c>
      <c r="D158">
        <v>2</v>
      </c>
      <c r="E158" t="str">
        <f t="shared" si="2"/>
        <v>Sabwill/2/5/0</v>
      </c>
    </row>
    <row r="159" spans="1:5" x14ac:dyDescent="0.2">
      <c r="A159">
        <v>6</v>
      </c>
      <c r="B159" t="s">
        <v>7</v>
      </c>
      <c r="C159">
        <v>0</v>
      </c>
      <c r="D159">
        <v>1</v>
      </c>
      <c r="E159" t="str">
        <f t="shared" si="2"/>
        <v>Geo/1/6/0</v>
      </c>
    </row>
    <row r="160" spans="1:5" x14ac:dyDescent="0.2">
      <c r="A160">
        <v>1</v>
      </c>
      <c r="B160" t="s">
        <v>60</v>
      </c>
      <c r="C160">
        <v>4</v>
      </c>
      <c r="D160">
        <v>15</v>
      </c>
      <c r="E160" t="str">
        <f t="shared" si="2"/>
        <v>zizou/15/1/4</v>
      </c>
    </row>
    <row r="161" spans="1:5" x14ac:dyDescent="0.2">
      <c r="A161">
        <v>2</v>
      </c>
      <c r="B161" t="s">
        <v>75</v>
      </c>
      <c r="C161">
        <v>0</v>
      </c>
      <c r="D161">
        <v>11</v>
      </c>
      <c r="E161" t="str">
        <f t="shared" si="2"/>
        <v>Michelbey/11/2/0</v>
      </c>
    </row>
    <row r="162" spans="1:5" x14ac:dyDescent="0.2">
      <c r="A162">
        <v>3</v>
      </c>
      <c r="B162" t="s">
        <v>20</v>
      </c>
      <c r="C162">
        <v>0</v>
      </c>
      <c r="D162">
        <v>7</v>
      </c>
      <c r="E162" t="str">
        <f t="shared" si="2"/>
        <v>saymsonite/7/3/0</v>
      </c>
    </row>
    <row r="163" spans="1:5" x14ac:dyDescent="0.2">
      <c r="A163">
        <v>4</v>
      </c>
      <c r="B163" t="s">
        <v>91</v>
      </c>
      <c r="C163">
        <v>0</v>
      </c>
      <c r="D163">
        <v>3</v>
      </c>
      <c r="E163" t="str">
        <f t="shared" si="2"/>
        <v>Crevette/3/4/0</v>
      </c>
    </row>
    <row r="164" spans="1:5" x14ac:dyDescent="0.2">
      <c r="A164">
        <v>5</v>
      </c>
      <c r="B164" t="s">
        <v>41</v>
      </c>
      <c r="C164">
        <v>0</v>
      </c>
      <c r="D164">
        <v>1</v>
      </c>
      <c r="E164" t="str">
        <f t="shared" si="2"/>
        <v>gibouille/1/5/0</v>
      </c>
    </row>
    <row r="165" spans="1:5" x14ac:dyDescent="0.2">
      <c r="A165">
        <v>1</v>
      </c>
      <c r="B165" t="s">
        <v>55</v>
      </c>
      <c r="C165">
        <v>2</v>
      </c>
      <c r="D165">
        <v>16</v>
      </c>
      <c r="E165" t="str">
        <f t="shared" si="2"/>
        <v>Bounette/16/1/2</v>
      </c>
    </row>
    <row r="166" spans="1:5" x14ac:dyDescent="0.2">
      <c r="A166">
        <v>2</v>
      </c>
      <c r="B166" t="s">
        <v>72</v>
      </c>
      <c r="C166">
        <v>2</v>
      </c>
      <c r="D166">
        <v>12</v>
      </c>
      <c r="E166" t="str">
        <f t="shared" si="2"/>
        <v>Le Boss/12/2/2</v>
      </c>
    </row>
    <row r="167" spans="1:5" x14ac:dyDescent="0.2">
      <c r="A167">
        <v>3</v>
      </c>
      <c r="B167" t="s">
        <v>27</v>
      </c>
      <c r="C167">
        <v>0</v>
      </c>
      <c r="D167">
        <v>8</v>
      </c>
      <c r="E167" t="str">
        <f t="shared" si="2"/>
        <v>Mandrake/8/3/0</v>
      </c>
    </row>
    <row r="168" spans="1:5" x14ac:dyDescent="0.2">
      <c r="A168">
        <v>4</v>
      </c>
      <c r="B168" t="s">
        <v>52</v>
      </c>
      <c r="C168">
        <v>1</v>
      </c>
      <c r="D168">
        <v>4</v>
      </c>
      <c r="E168" t="str">
        <f t="shared" si="2"/>
        <v>Coach Pepito/4/4/1</v>
      </c>
    </row>
    <row r="169" spans="1:5" x14ac:dyDescent="0.2">
      <c r="A169">
        <v>5</v>
      </c>
      <c r="B169" t="s">
        <v>45</v>
      </c>
      <c r="C169">
        <v>0</v>
      </c>
      <c r="D169">
        <v>2</v>
      </c>
      <c r="E169" t="str">
        <f t="shared" si="2"/>
        <v>yaltar/2/5/0</v>
      </c>
    </row>
    <row r="170" spans="1:5" x14ac:dyDescent="0.2">
      <c r="A170">
        <v>6</v>
      </c>
      <c r="B170" t="s">
        <v>22</v>
      </c>
      <c r="C170">
        <v>0</v>
      </c>
      <c r="D170">
        <v>1</v>
      </c>
      <c r="E170" t="str">
        <f t="shared" si="2"/>
        <v>Dart 45/1/6/0</v>
      </c>
    </row>
    <row r="171" spans="1:5" x14ac:dyDescent="0.2">
      <c r="A171">
        <v>1</v>
      </c>
      <c r="B171" t="s">
        <v>47</v>
      </c>
      <c r="C171">
        <v>3</v>
      </c>
      <c r="D171">
        <v>16</v>
      </c>
      <c r="E171" t="str">
        <f t="shared" si="2"/>
        <v>Logan/16/1/3</v>
      </c>
    </row>
    <row r="172" spans="1:5" x14ac:dyDescent="0.2">
      <c r="A172">
        <v>2</v>
      </c>
      <c r="B172" t="s">
        <v>92</v>
      </c>
      <c r="C172">
        <v>1</v>
      </c>
      <c r="D172">
        <v>12</v>
      </c>
      <c r="E172" t="str">
        <f t="shared" si="2"/>
        <v>Jacks&amp;Five/12/2/1</v>
      </c>
    </row>
    <row r="173" spans="1:5" x14ac:dyDescent="0.2">
      <c r="A173">
        <v>3</v>
      </c>
      <c r="B173" t="s">
        <v>39</v>
      </c>
      <c r="C173">
        <v>0</v>
      </c>
      <c r="D173">
        <v>8</v>
      </c>
      <c r="E173" t="str">
        <f t="shared" si="2"/>
        <v>kheops/8/3/0</v>
      </c>
    </row>
    <row r="174" spans="1:5" x14ac:dyDescent="0.2">
      <c r="A174">
        <v>4</v>
      </c>
      <c r="B174" t="s">
        <v>78</v>
      </c>
      <c r="C174">
        <v>1</v>
      </c>
      <c r="D174">
        <v>4</v>
      </c>
      <c r="E174" t="str">
        <f t="shared" si="2"/>
        <v>Cygna/4/4/1</v>
      </c>
    </row>
    <row r="175" spans="1:5" x14ac:dyDescent="0.2">
      <c r="A175">
        <v>5</v>
      </c>
      <c r="B175" t="s">
        <v>66</v>
      </c>
      <c r="C175">
        <v>0</v>
      </c>
      <c r="D175">
        <v>2</v>
      </c>
      <c r="E175" t="str">
        <f t="shared" si="2"/>
        <v>Ad Vitam/2/5/0</v>
      </c>
    </row>
    <row r="176" spans="1:5" x14ac:dyDescent="0.2">
      <c r="A176">
        <v>6</v>
      </c>
      <c r="B176" t="s">
        <v>87</v>
      </c>
      <c r="C176">
        <v>0</v>
      </c>
      <c r="D176">
        <v>1</v>
      </c>
      <c r="E176" t="str">
        <f t="shared" si="2"/>
        <v>Proph@ne/1/6/0</v>
      </c>
    </row>
    <row r="177" spans="1:5" x14ac:dyDescent="0.2">
      <c r="A177">
        <v>1</v>
      </c>
      <c r="B177" t="s">
        <v>50</v>
      </c>
      <c r="C177">
        <v>4</v>
      </c>
      <c r="D177">
        <v>16</v>
      </c>
      <c r="E177" t="str">
        <f t="shared" si="2"/>
        <v>MLADENGO/16/1/4</v>
      </c>
    </row>
    <row r="178" spans="1:5" x14ac:dyDescent="0.2">
      <c r="A178">
        <v>2</v>
      </c>
      <c r="B178" t="s">
        <v>88</v>
      </c>
      <c r="C178">
        <v>0</v>
      </c>
      <c r="D178">
        <v>12</v>
      </c>
      <c r="E178" t="str">
        <f t="shared" si="2"/>
        <v>Yarael/12/2/0</v>
      </c>
    </row>
    <row r="179" spans="1:5" x14ac:dyDescent="0.2">
      <c r="A179">
        <v>3</v>
      </c>
      <c r="B179" t="s">
        <v>73</v>
      </c>
      <c r="C179">
        <v>1</v>
      </c>
      <c r="D179">
        <v>8</v>
      </c>
      <c r="E179" t="str">
        <f t="shared" si="2"/>
        <v>Flem/8/3/1</v>
      </c>
    </row>
    <row r="180" spans="1:5" x14ac:dyDescent="0.2">
      <c r="A180">
        <v>4</v>
      </c>
      <c r="B180" t="s">
        <v>69</v>
      </c>
      <c r="C180">
        <v>0</v>
      </c>
      <c r="D180">
        <v>4</v>
      </c>
      <c r="E180" t="str">
        <f t="shared" si="2"/>
        <v>Catherine/4/4/0</v>
      </c>
    </row>
    <row r="181" spans="1:5" x14ac:dyDescent="0.2">
      <c r="A181">
        <v>5</v>
      </c>
      <c r="B181" t="s">
        <v>26</v>
      </c>
      <c r="C181">
        <v>0</v>
      </c>
      <c r="D181">
        <v>2</v>
      </c>
      <c r="E181" t="str">
        <f t="shared" si="2"/>
        <v>LOSOGRE/2/5/0</v>
      </c>
    </row>
    <row r="182" spans="1:5" x14ac:dyDescent="0.2">
      <c r="A182">
        <v>6</v>
      </c>
      <c r="B182" t="s">
        <v>52</v>
      </c>
      <c r="C182">
        <v>0</v>
      </c>
      <c r="D182">
        <v>1</v>
      </c>
      <c r="E182" t="str">
        <f t="shared" si="2"/>
        <v>Coach Pepito/1/6/0</v>
      </c>
    </row>
    <row r="183" spans="1:5" x14ac:dyDescent="0.2">
      <c r="A183">
        <v>1</v>
      </c>
      <c r="B183" t="s">
        <v>32</v>
      </c>
      <c r="C183">
        <v>2</v>
      </c>
      <c r="D183">
        <v>16</v>
      </c>
      <c r="E183" t="str">
        <f t="shared" si="2"/>
        <v>OlivierN92/16/1/2</v>
      </c>
    </row>
    <row r="184" spans="1:5" x14ac:dyDescent="0.2">
      <c r="A184">
        <v>2</v>
      </c>
      <c r="B184" t="s">
        <v>35</v>
      </c>
      <c r="C184">
        <v>1</v>
      </c>
      <c r="D184">
        <v>12</v>
      </c>
      <c r="E184" t="str">
        <f t="shared" si="2"/>
        <v>JeanMichelTiming/12/2/1</v>
      </c>
    </row>
    <row r="185" spans="1:5" x14ac:dyDescent="0.2">
      <c r="A185">
        <v>3</v>
      </c>
      <c r="B185" t="s">
        <v>66</v>
      </c>
      <c r="C185">
        <v>0</v>
      </c>
      <c r="D185">
        <v>8</v>
      </c>
      <c r="E185" t="str">
        <f t="shared" si="2"/>
        <v>Ad Vitam/8/3/0</v>
      </c>
    </row>
    <row r="186" spans="1:5" x14ac:dyDescent="0.2">
      <c r="A186">
        <v>4</v>
      </c>
      <c r="B186" t="s">
        <v>12</v>
      </c>
      <c r="C186">
        <v>2</v>
      </c>
      <c r="D186">
        <v>4</v>
      </c>
      <c r="E186" t="str">
        <f t="shared" si="2"/>
        <v>Gnak/4/4/2</v>
      </c>
    </row>
    <row r="187" spans="1:5" x14ac:dyDescent="0.2">
      <c r="A187">
        <v>5</v>
      </c>
      <c r="B187" t="s">
        <v>39</v>
      </c>
      <c r="C187">
        <v>0</v>
      </c>
      <c r="D187">
        <v>2</v>
      </c>
      <c r="E187" t="str">
        <f t="shared" si="2"/>
        <v>kheops/2/5/0</v>
      </c>
    </row>
    <row r="188" spans="1:5" x14ac:dyDescent="0.2">
      <c r="A188">
        <v>6</v>
      </c>
      <c r="B188" t="s">
        <v>55</v>
      </c>
      <c r="C188">
        <v>0</v>
      </c>
      <c r="D188">
        <v>1</v>
      </c>
      <c r="E188" t="str">
        <f t="shared" si="2"/>
        <v>Bounette/1/6/0</v>
      </c>
    </row>
    <row r="189" spans="1:5" x14ac:dyDescent="0.2">
      <c r="A189">
        <v>1</v>
      </c>
      <c r="B189" t="s">
        <v>16</v>
      </c>
      <c r="C189">
        <v>3</v>
      </c>
      <c r="D189">
        <v>16</v>
      </c>
      <c r="E189" t="str">
        <f t="shared" si="2"/>
        <v>Stan/16/1/3</v>
      </c>
    </row>
    <row r="190" spans="1:5" x14ac:dyDescent="0.2">
      <c r="A190">
        <v>2</v>
      </c>
      <c r="B190" t="s">
        <v>23</v>
      </c>
      <c r="C190">
        <v>1</v>
      </c>
      <c r="D190">
        <v>12</v>
      </c>
      <c r="E190" t="str">
        <f t="shared" si="2"/>
        <v>Lylith75/12/2/1</v>
      </c>
    </row>
    <row r="191" spans="1:5" x14ac:dyDescent="0.2">
      <c r="A191">
        <v>3</v>
      </c>
      <c r="B191" t="s">
        <v>5</v>
      </c>
      <c r="C191">
        <v>1</v>
      </c>
      <c r="D191">
        <v>8</v>
      </c>
      <c r="E191" t="str">
        <f t="shared" si="2"/>
        <v>Sabwill/8/3/1</v>
      </c>
    </row>
    <row r="192" spans="1:5" x14ac:dyDescent="0.2">
      <c r="A192">
        <v>4</v>
      </c>
      <c r="B192" t="s">
        <v>19</v>
      </c>
      <c r="C192">
        <v>0</v>
      </c>
      <c r="D192">
        <v>4</v>
      </c>
      <c r="E192" t="str">
        <f t="shared" si="2"/>
        <v>Giobeck/4/4/0</v>
      </c>
    </row>
    <row r="193" spans="1:5" x14ac:dyDescent="0.2">
      <c r="A193">
        <v>5</v>
      </c>
      <c r="B193" t="s">
        <v>40</v>
      </c>
      <c r="C193">
        <v>0</v>
      </c>
      <c r="D193">
        <v>2</v>
      </c>
      <c r="E193" t="str">
        <f t="shared" ref="E193:E256" si="3">B193&amp;"/"&amp;D193&amp;"/"&amp;A193&amp;"/"&amp;C193</f>
        <v>Lén@/2/5/0</v>
      </c>
    </row>
    <row r="194" spans="1:5" x14ac:dyDescent="0.2">
      <c r="A194">
        <v>6</v>
      </c>
      <c r="B194" t="s">
        <v>78</v>
      </c>
      <c r="C194">
        <v>0</v>
      </c>
      <c r="D194">
        <v>1</v>
      </c>
      <c r="E194" t="str">
        <f t="shared" si="3"/>
        <v>Cygna/1/6/0</v>
      </c>
    </row>
    <row r="195" spans="1:5" x14ac:dyDescent="0.2">
      <c r="A195">
        <v>1</v>
      </c>
      <c r="B195" t="s">
        <v>75</v>
      </c>
      <c r="C195">
        <v>2</v>
      </c>
      <c r="D195">
        <v>16</v>
      </c>
      <c r="E195" t="str">
        <f t="shared" si="3"/>
        <v>Michelbey/16/1/2</v>
      </c>
    </row>
    <row r="196" spans="1:5" x14ac:dyDescent="0.2">
      <c r="A196">
        <v>2</v>
      </c>
      <c r="B196" t="s">
        <v>15</v>
      </c>
      <c r="C196">
        <v>0</v>
      </c>
      <c r="D196">
        <v>12</v>
      </c>
      <c r="E196" t="str">
        <f t="shared" si="3"/>
        <v>LAAtof/12/2/0</v>
      </c>
    </row>
    <row r="197" spans="1:5" x14ac:dyDescent="0.2">
      <c r="A197">
        <v>3</v>
      </c>
      <c r="B197" t="s">
        <v>92</v>
      </c>
      <c r="C197">
        <v>3</v>
      </c>
      <c r="D197">
        <v>8</v>
      </c>
      <c r="E197" t="str">
        <f t="shared" si="3"/>
        <v>Jacks&amp;Five/8/3/3</v>
      </c>
    </row>
    <row r="198" spans="1:5" x14ac:dyDescent="0.2">
      <c r="A198">
        <v>4</v>
      </c>
      <c r="B198" t="s">
        <v>93</v>
      </c>
      <c r="C198">
        <v>0</v>
      </c>
      <c r="D198">
        <v>4</v>
      </c>
      <c r="E198" t="str">
        <f t="shared" si="3"/>
        <v>Joakim_NoAA/4/4/0</v>
      </c>
    </row>
    <row r="199" spans="1:5" x14ac:dyDescent="0.2">
      <c r="A199">
        <v>5</v>
      </c>
      <c r="B199" t="s">
        <v>85</v>
      </c>
      <c r="C199">
        <v>0</v>
      </c>
      <c r="D199">
        <v>2</v>
      </c>
      <c r="E199" t="str">
        <f t="shared" si="3"/>
        <v>HellNO/2/5/0</v>
      </c>
    </row>
    <row r="200" spans="1:5" x14ac:dyDescent="0.2">
      <c r="A200">
        <v>6</v>
      </c>
      <c r="B200" t="s">
        <v>60</v>
      </c>
      <c r="C200">
        <v>0</v>
      </c>
      <c r="D200">
        <v>1</v>
      </c>
      <c r="E200" t="str">
        <f t="shared" si="3"/>
        <v>zizou/1/6/0</v>
      </c>
    </row>
    <row r="201" spans="1:5" x14ac:dyDescent="0.2">
      <c r="A201">
        <v>1</v>
      </c>
      <c r="B201" t="s">
        <v>38</v>
      </c>
      <c r="C201">
        <v>1</v>
      </c>
      <c r="D201">
        <v>16</v>
      </c>
      <c r="E201" t="str">
        <f t="shared" si="3"/>
        <v>cTTprmoa/16/1/1</v>
      </c>
    </row>
    <row r="202" spans="1:5" x14ac:dyDescent="0.2">
      <c r="A202">
        <v>2</v>
      </c>
      <c r="B202" t="s">
        <v>94</v>
      </c>
      <c r="C202">
        <v>3</v>
      </c>
      <c r="D202">
        <v>12</v>
      </c>
      <c r="E202" t="str">
        <f t="shared" si="3"/>
        <v>Jaden le désosseur/12/2/3</v>
      </c>
    </row>
    <row r="203" spans="1:5" x14ac:dyDescent="0.2">
      <c r="A203">
        <v>3</v>
      </c>
      <c r="B203" t="s">
        <v>48</v>
      </c>
      <c r="C203">
        <v>1</v>
      </c>
      <c r="D203">
        <v>8</v>
      </c>
      <c r="E203" t="str">
        <f t="shared" si="3"/>
        <v>Pintu/8/3/1</v>
      </c>
    </row>
    <row r="204" spans="1:5" x14ac:dyDescent="0.2">
      <c r="A204">
        <v>4</v>
      </c>
      <c r="B204" t="s">
        <v>61</v>
      </c>
      <c r="C204">
        <v>0</v>
      </c>
      <c r="D204">
        <v>4</v>
      </c>
      <c r="E204" t="str">
        <f t="shared" si="3"/>
        <v>Kri-lin/4/4/0</v>
      </c>
    </row>
    <row r="205" spans="1:5" x14ac:dyDescent="0.2">
      <c r="A205">
        <v>5</v>
      </c>
      <c r="B205" t="s">
        <v>87</v>
      </c>
      <c r="C205">
        <v>0</v>
      </c>
      <c r="D205">
        <v>2</v>
      </c>
      <c r="E205" t="str">
        <f t="shared" si="3"/>
        <v>Proph@ne/2/5/0</v>
      </c>
    </row>
    <row r="206" spans="1:5" x14ac:dyDescent="0.2">
      <c r="A206">
        <v>6</v>
      </c>
      <c r="B206" t="s">
        <v>21</v>
      </c>
      <c r="C206">
        <v>0</v>
      </c>
      <c r="D206">
        <v>1</v>
      </c>
      <c r="E206" t="str">
        <f t="shared" si="3"/>
        <v>Carmin/1/6/0</v>
      </c>
    </row>
    <row r="207" spans="1:5" x14ac:dyDescent="0.2">
      <c r="A207">
        <v>1</v>
      </c>
      <c r="B207" t="s">
        <v>33</v>
      </c>
      <c r="C207">
        <v>2</v>
      </c>
      <c r="D207">
        <v>15</v>
      </c>
      <c r="E207" t="str">
        <f t="shared" si="3"/>
        <v>Ptit Savoyard/15/1/2</v>
      </c>
    </row>
    <row r="208" spans="1:5" x14ac:dyDescent="0.2">
      <c r="A208">
        <v>2</v>
      </c>
      <c r="B208" t="s">
        <v>53</v>
      </c>
      <c r="C208">
        <v>1</v>
      </c>
      <c r="D208">
        <v>11</v>
      </c>
      <c r="E208" t="str">
        <f t="shared" si="3"/>
        <v>Makoche/11/2/1</v>
      </c>
    </row>
    <row r="209" spans="1:5" x14ac:dyDescent="0.2">
      <c r="A209">
        <v>3</v>
      </c>
      <c r="B209" t="s">
        <v>63</v>
      </c>
      <c r="C209">
        <v>1</v>
      </c>
      <c r="D209">
        <v>7</v>
      </c>
      <c r="E209" t="str">
        <f t="shared" si="3"/>
        <v>Brice/7/3/1</v>
      </c>
    </row>
    <row r="210" spans="1:5" x14ac:dyDescent="0.2">
      <c r="A210">
        <v>4</v>
      </c>
      <c r="B210" t="s">
        <v>18</v>
      </c>
      <c r="C210">
        <v>0</v>
      </c>
      <c r="D210">
        <v>3</v>
      </c>
      <c r="E210" t="str">
        <f t="shared" si="3"/>
        <v>MAMS/3/4/0</v>
      </c>
    </row>
    <row r="211" spans="1:5" x14ac:dyDescent="0.2">
      <c r="A211">
        <v>5</v>
      </c>
      <c r="B211" t="s">
        <v>65</v>
      </c>
      <c r="C211">
        <v>0</v>
      </c>
      <c r="D211">
        <v>1</v>
      </c>
      <c r="E211" t="str">
        <f t="shared" si="3"/>
        <v>Ripolin/1/5/0</v>
      </c>
    </row>
    <row r="212" spans="1:5" x14ac:dyDescent="0.2">
      <c r="A212">
        <v>1</v>
      </c>
      <c r="B212" t="s">
        <v>43</v>
      </c>
      <c r="C212">
        <v>2</v>
      </c>
      <c r="D212">
        <v>15</v>
      </c>
      <c r="E212" t="str">
        <f t="shared" si="3"/>
        <v>KassTwo/15/1/2</v>
      </c>
    </row>
    <row r="213" spans="1:5" x14ac:dyDescent="0.2">
      <c r="A213">
        <v>2</v>
      </c>
      <c r="B213" t="s">
        <v>25</v>
      </c>
      <c r="C213">
        <v>1</v>
      </c>
      <c r="D213">
        <v>11</v>
      </c>
      <c r="E213" t="str">
        <f t="shared" si="3"/>
        <v>Claudius/11/2/1</v>
      </c>
    </row>
    <row r="214" spans="1:5" x14ac:dyDescent="0.2">
      <c r="A214">
        <v>3</v>
      </c>
      <c r="B214" t="s">
        <v>57</v>
      </c>
      <c r="C214">
        <v>1</v>
      </c>
      <c r="D214">
        <v>7</v>
      </c>
      <c r="E214" t="str">
        <f t="shared" si="3"/>
        <v>ImAAlcalliKK/7/3/1</v>
      </c>
    </row>
    <row r="215" spans="1:5" x14ac:dyDescent="0.2">
      <c r="A215">
        <v>4</v>
      </c>
      <c r="B215" t="s">
        <v>42</v>
      </c>
      <c r="C215">
        <v>0</v>
      </c>
      <c r="D215">
        <v>3</v>
      </c>
      <c r="E215" t="str">
        <f t="shared" si="3"/>
        <v>Claptou/3/4/0</v>
      </c>
    </row>
    <row r="216" spans="1:5" x14ac:dyDescent="0.2">
      <c r="A216">
        <v>5</v>
      </c>
      <c r="B216" t="s">
        <v>41</v>
      </c>
      <c r="C216">
        <v>0</v>
      </c>
      <c r="D216">
        <v>1</v>
      </c>
      <c r="E216" t="str">
        <f t="shared" si="3"/>
        <v>gibouille/1/5/0</v>
      </c>
    </row>
    <row r="217" spans="1:5" x14ac:dyDescent="0.2">
      <c r="A217">
        <v>1</v>
      </c>
      <c r="B217" t="s">
        <v>28</v>
      </c>
      <c r="C217">
        <v>3</v>
      </c>
      <c r="D217">
        <v>15</v>
      </c>
      <c r="E217" t="str">
        <f t="shared" si="3"/>
        <v>sobab/15/1/3</v>
      </c>
    </row>
    <row r="218" spans="1:5" x14ac:dyDescent="0.2">
      <c r="A218">
        <v>2</v>
      </c>
      <c r="B218" t="s">
        <v>8</v>
      </c>
      <c r="C218">
        <v>0</v>
      </c>
      <c r="D218">
        <v>11</v>
      </c>
      <c r="E218" t="str">
        <f t="shared" si="3"/>
        <v>Maxime/11/2/0</v>
      </c>
    </row>
    <row r="219" spans="1:5" x14ac:dyDescent="0.2">
      <c r="A219">
        <v>3</v>
      </c>
      <c r="B219" t="s">
        <v>45</v>
      </c>
      <c r="C219">
        <v>1</v>
      </c>
      <c r="D219">
        <v>7</v>
      </c>
      <c r="E219" t="str">
        <f t="shared" si="3"/>
        <v>yaltar/7/3/1</v>
      </c>
    </row>
    <row r="220" spans="1:5" x14ac:dyDescent="0.2">
      <c r="A220">
        <v>4</v>
      </c>
      <c r="B220" t="s">
        <v>22</v>
      </c>
      <c r="C220">
        <v>0</v>
      </c>
      <c r="D220">
        <v>3</v>
      </c>
      <c r="E220" t="str">
        <f t="shared" si="3"/>
        <v>Dart 45/3/4/0</v>
      </c>
    </row>
    <row r="221" spans="1:5" x14ac:dyDescent="0.2">
      <c r="A221">
        <v>5</v>
      </c>
      <c r="B221" t="s">
        <v>91</v>
      </c>
      <c r="C221">
        <v>0</v>
      </c>
      <c r="D221">
        <v>1</v>
      </c>
      <c r="E221" t="str">
        <f t="shared" si="3"/>
        <v>Crevette/1/5/0</v>
      </c>
    </row>
    <row r="222" spans="1:5" x14ac:dyDescent="0.2">
      <c r="A222">
        <v>1</v>
      </c>
      <c r="B222" t="s">
        <v>76</v>
      </c>
      <c r="C222">
        <v>3</v>
      </c>
      <c r="D222">
        <v>15</v>
      </c>
      <c r="E222" t="str">
        <f t="shared" si="3"/>
        <v>Comment2/15/1/3</v>
      </c>
    </row>
    <row r="223" spans="1:5" x14ac:dyDescent="0.2">
      <c r="A223">
        <v>2</v>
      </c>
      <c r="B223" t="s">
        <v>29</v>
      </c>
      <c r="C223">
        <v>1</v>
      </c>
      <c r="D223">
        <v>11</v>
      </c>
      <c r="E223" t="str">
        <f t="shared" si="3"/>
        <v>NoDoubt/11/2/1</v>
      </c>
    </row>
    <row r="224" spans="1:5" x14ac:dyDescent="0.2">
      <c r="A224">
        <v>3</v>
      </c>
      <c r="B224" t="s">
        <v>14</v>
      </c>
      <c r="C224">
        <v>0</v>
      </c>
      <c r="D224">
        <v>7</v>
      </c>
      <c r="E224" t="str">
        <f t="shared" si="3"/>
        <v>Ramm/7/3/0</v>
      </c>
    </row>
    <row r="225" spans="1:5" x14ac:dyDescent="0.2">
      <c r="A225">
        <v>4</v>
      </c>
      <c r="B225" t="s">
        <v>31</v>
      </c>
      <c r="C225">
        <v>0</v>
      </c>
      <c r="D225">
        <v>3</v>
      </c>
      <c r="E225" t="str">
        <f t="shared" si="3"/>
        <v>CHRIS92340/3/4/0</v>
      </c>
    </row>
    <row r="226" spans="1:5" x14ac:dyDescent="0.2">
      <c r="A226">
        <v>5</v>
      </c>
      <c r="B226" t="s">
        <v>6</v>
      </c>
      <c r="C226">
        <v>0</v>
      </c>
      <c r="D226">
        <v>1</v>
      </c>
      <c r="E226" t="str">
        <f t="shared" si="3"/>
        <v>Pyja/1/5/0</v>
      </c>
    </row>
    <row r="227" spans="1:5" x14ac:dyDescent="0.2">
      <c r="A227">
        <v>1</v>
      </c>
      <c r="B227" t="s">
        <v>77</v>
      </c>
      <c r="C227">
        <v>2</v>
      </c>
      <c r="D227">
        <v>16</v>
      </c>
      <c r="E227" t="str">
        <f t="shared" si="3"/>
        <v>Récréatif/16/1/2</v>
      </c>
    </row>
    <row r="228" spans="1:5" x14ac:dyDescent="0.2">
      <c r="A228">
        <v>2</v>
      </c>
      <c r="B228" t="s">
        <v>59</v>
      </c>
      <c r="C228">
        <v>0</v>
      </c>
      <c r="D228">
        <v>12</v>
      </c>
      <c r="E228" t="str">
        <f t="shared" si="3"/>
        <v>YooooDA/12/2/0</v>
      </c>
    </row>
    <row r="229" spans="1:5" x14ac:dyDescent="0.2">
      <c r="A229">
        <v>3</v>
      </c>
      <c r="B229" t="s">
        <v>54</v>
      </c>
      <c r="C229">
        <v>3</v>
      </c>
      <c r="D229">
        <v>8</v>
      </c>
      <c r="E229" t="str">
        <f t="shared" si="3"/>
        <v>Salsamanu/8/3/3</v>
      </c>
    </row>
    <row r="230" spans="1:5" x14ac:dyDescent="0.2">
      <c r="A230">
        <v>4</v>
      </c>
      <c r="B230" t="s">
        <v>46</v>
      </c>
      <c r="C230">
        <v>0</v>
      </c>
      <c r="D230">
        <v>4</v>
      </c>
      <c r="E230" t="str">
        <f t="shared" si="3"/>
        <v>Jérôme/4/4/0</v>
      </c>
    </row>
    <row r="231" spans="1:5" x14ac:dyDescent="0.2">
      <c r="A231">
        <v>5</v>
      </c>
      <c r="B231" t="s">
        <v>47</v>
      </c>
      <c r="C231">
        <v>0</v>
      </c>
      <c r="D231">
        <v>2</v>
      </c>
      <c r="E231" t="str">
        <f t="shared" si="3"/>
        <v>Logan/2/5/0</v>
      </c>
    </row>
    <row r="232" spans="1:5" x14ac:dyDescent="0.2">
      <c r="A232">
        <v>6</v>
      </c>
      <c r="B232" t="s">
        <v>74</v>
      </c>
      <c r="C232">
        <v>0</v>
      </c>
      <c r="D232">
        <v>1</v>
      </c>
      <c r="E232" t="str">
        <f t="shared" si="3"/>
        <v>PatB/1/6/0</v>
      </c>
    </row>
    <row r="233" spans="1:5" x14ac:dyDescent="0.2">
      <c r="A233">
        <v>1</v>
      </c>
      <c r="B233" t="s">
        <v>92</v>
      </c>
      <c r="C233">
        <v>3</v>
      </c>
      <c r="D233">
        <v>16</v>
      </c>
      <c r="E233" t="str">
        <f t="shared" si="3"/>
        <v>Jacks&amp;Five/16/1/3</v>
      </c>
    </row>
    <row r="234" spans="1:5" x14ac:dyDescent="0.2">
      <c r="A234">
        <v>2</v>
      </c>
      <c r="B234" t="s">
        <v>74</v>
      </c>
      <c r="C234">
        <v>2</v>
      </c>
      <c r="D234">
        <v>12</v>
      </c>
      <c r="E234" t="str">
        <f t="shared" si="3"/>
        <v>PatB/12/2/2</v>
      </c>
    </row>
    <row r="235" spans="1:5" x14ac:dyDescent="0.2">
      <c r="A235">
        <v>3</v>
      </c>
      <c r="B235" t="s">
        <v>52</v>
      </c>
      <c r="C235">
        <v>0</v>
      </c>
      <c r="D235">
        <v>8</v>
      </c>
      <c r="E235" t="str">
        <f t="shared" si="3"/>
        <v>Coach Pepito/8/3/0</v>
      </c>
    </row>
    <row r="236" spans="1:5" x14ac:dyDescent="0.2">
      <c r="A236">
        <v>4</v>
      </c>
      <c r="B236" t="s">
        <v>21</v>
      </c>
      <c r="C236">
        <v>0</v>
      </c>
      <c r="D236">
        <v>4</v>
      </c>
      <c r="E236" t="str">
        <f t="shared" si="3"/>
        <v>Carmin/4/4/0</v>
      </c>
    </row>
    <row r="237" spans="1:5" x14ac:dyDescent="0.2">
      <c r="A237">
        <v>5</v>
      </c>
      <c r="B237" t="s">
        <v>29</v>
      </c>
      <c r="C237">
        <v>0</v>
      </c>
      <c r="D237">
        <v>2</v>
      </c>
      <c r="E237" t="str">
        <f t="shared" si="3"/>
        <v>NoDoubt/2/5/0</v>
      </c>
    </row>
    <row r="238" spans="1:5" x14ac:dyDescent="0.2">
      <c r="A238">
        <v>6</v>
      </c>
      <c r="B238" t="s">
        <v>80</v>
      </c>
      <c r="C238">
        <v>0</v>
      </c>
      <c r="D238">
        <v>1</v>
      </c>
      <c r="E238" t="str">
        <f t="shared" si="3"/>
        <v>Fiffou/1/6/0</v>
      </c>
    </row>
    <row r="239" spans="1:5" x14ac:dyDescent="0.2">
      <c r="A239">
        <v>1</v>
      </c>
      <c r="B239" t="s">
        <v>68</v>
      </c>
      <c r="C239">
        <v>3</v>
      </c>
      <c r="D239">
        <v>16</v>
      </c>
      <c r="E239" t="str">
        <f t="shared" si="3"/>
        <v>zubbaz/16/1/3</v>
      </c>
    </row>
    <row r="240" spans="1:5" x14ac:dyDescent="0.2">
      <c r="A240">
        <v>2</v>
      </c>
      <c r="B240" t="s">
        <v>60</v>
      </c>
      <c r="C240">
        <v>1</v>
      </c>
      <c r="D240">
        <v>12</v>
      </c>
      <c r="E240" t="str">
        <f t="shared" si="3"/>
        <v>zizou/12/2/1</v>
      </c>
    </row>
    <row r="241" spans="1:5" x14ac:dyDescent="0.2">
      <c r="A241">
        <v>3</v>
      </c>
      <c r="B241" t="s">
        <v>73</v>
      </c>
      <c r="C241">
        <v>0</v>
      </c>
      <c r="D241">
        <v>8</v>
      </c>
      <c r="E241" t="str">
        <f t="shared" si="3"/>
        <v>Flem/8/3/0</v>
      </c>
    </row>
    <row r="242" spans="1:5" x14ac:dyDescent="0.2">
      <c r="A242">
        <v>4</v>
      </c>
      <c r="B242" t="s">
        <v>40</v>
      </c>
      <c r="C242">
        <v>0</v>
      </c>
      <c r="D242">
        <v>4</v>
      </c>
      <c r="E242" t="str">
        <f t="shared" si="3"/>
        <v>Lén@/4/4/0</v>
      </c>
    </row>
    <row r="243" spans="1:5" x14ac:dyDescent="0.2">
      <c r="A243">
        <v>5</v>
      </c>
      <c r="B243" t="s">
        <v>48</v>
      </c>
      <c r="C243">
        <v>1</v>
      </c>
      <c r="D243">
        <v>2</v>
      </c>
      <c r="E243" t="str">
        <f t="shared" si="3"/>
        <v>Pintu/2/5/1</v>
      </c>
    </row>
    <row r="244" spans="1:5" x14ac:dyDescent="0.2">
      <c r="A244">
        <v>6</v>
      </c>
      <c r="B244" t="s">
        <v>69</v>
      </c>
      <c r="C244">
        <v>0</v>
      </c>
      <c r="D244">
        <v>1</v>
      </c>
      <c r="E244" t="str">
        <f t="shared" si="3"/>
        <v>Catherine/1/6/0</v>
      </c>
    </row>
    <row r="245" spans="1:5" x14ac:dyDescent="0.2">
      <c r="A245">
        <v>1</v>
      </c>
      <c r="B245" t="s">
        <v>14</v>
      </c>
      <c r="C245">
        <v>3</v>
      </c>
      <c r="D245">
        <v>16</v>
      </c>
      <c r="E245" t="str">
        <f t="shared" si="3"/>
        <v>Ramm/16/1/3</v>
      </c>
    </row>
    <row r="246" spans="1:5" x14ac:dyDescent="0.2">
      <c r="A246">
        <v>2</v>
      </c>
      <c r="B246" t="s">
        <v>15</v>
      </c>
      <c r="C246">
        <v>1</v>
      </c>
      <c r="D246">
        <v>12</v>
      </c>
      <c r="E246" t="str">
        <f t="shared" si="3"/>
        <v>LAAtof/12/2/1</v>
      </c>
    </row>
    <row r="247" spans="1:5" x14ac:dyDescent="0.2">
      <c r="A247">
        <v>3</v>
      </c>
      <c r="B247" t="s">
        <v>55</v>
      </c>
      <c r="C247">
        <v>0</v>
      </c>
      <c r="D247">
        <v>8</v>
      </c>
      <c r="E247" t="str">
        <f t="shared" si="3"/>
        <v>Bounette/8/3/0</v>
      </c>
    </row>
    <row r="248" spans="1:5" x14ac:dyDescent="0.2">
      <c r="A248">
        <v>4</v>
      </c>
      <c r="B248" t="s">
        <v>75</v>
      </c>
      <c r="C248">
        <v>1</v>
      </c>
      <c r="D248">
        <v>4</v>
      </c>
      <c r="E248" t="str">
        <f t="shared" si="3"/>
        <v>Michelbey/4/4/1</v>
      </c>
    </row>
    <row r="249" spans="1:5" x14ac:dyDescent="0.2">
      <c r="A249">
        <v>5</v>
      </c>
      <c r="B249" t="s">
        <v>42</v>
      </c>
      <c r="C249">
        <v>0</v>
      </c>
      <c r="D249">
        <v>2</v>
      </c>
      <c r="E249" t="str">
        <f t="shared" si="3"/>
        <v>Claptou/2/5/0</v>
      </c>
    </row>
    <row r="250" spans="1:5" x14ac:dyDescent="0.2">
      <c r="A250">
        <v>6</v>
      </c>
      <c r="B250" t="s">
        <v>5</v>
      </c>
      <c r="C250">
        <v>0</v>
      </c>
      <c r="D250">
        <v>1</v>
      </c>
      <c r="E250" t="str">
        <f t="shared" si="3"/>
        <v>Sabwill/1/6/0</v>
      </c>
    </row>
    <row r="251" spans="1:5" x14ac:dyDescent="0.2">
      <c r="A251">
        <v>1</v>
      </c>
      <c r="B251" t="s">
        <v>95</v>
      </c>
      <c r="C251">
        <v>1</v>
      </c>
      <c r="D251">
        <v>16</v>
      </c>
      <c r="E251" t="str">
        <f t="shared" si="3"/>
        <v>Val-Miller/16/1/1</v>
      </c>
    </row>
    <row r="252" spans="1:5" x14ac:dyDescent="0.2">
      <c r="A252">
        <v>2</v>
      </c>
      <c r="B252" t="s">
        <v>18</v>
      </c>
      <c r="C252">
        <v>3</v>
      </c>
      <c r="D252">
        <v>12</v>
      </c>
      <c r="E252" t="str">
        <f t="shared" si="3"/>
        <v>MAMS/12/2/3</v>
      </c>
    </row>
    <row r="253" spans="1:5" x14ac:dyDescent="0.2">
      <c r="A253">
        <v>3</v>
      </c>
      <c r="B253" t="s">
        <v>96</v>
      </c>
      <c r="C253">
        <v>1</v>
      </c>
      <c r="D253">
        <v>8</v>
      </c>
      <c r="E253" t="str">
        <f t="shared" si="3"/>
        <v>Gui/8/3/1</v>
      </c>
    </row>
    <row r="254" spans="1:5" x14ac:dyDescent="0.2">
      <c r="A254">
        <v>4</v>
      </c>
      <c r="B254" t="s">
        <v>43</v>
      </c>
      <c r="C254">
        <v>0</v>
      </c>
      <c r="D254">
        <v>4</v>
      </c>
      <c r="E254" t="str">
        <f t="shared" si="3"/>
        <v>KassTwo/4/4/0</v>
      </c>
    </row>
    <row r="255" spans="1:5" x14ac:dyDescent="0.2">
      <c r="A255">
        <v>5</v>
      </c>
      <c r="B255" t="s">
        <v>46</v>
      </c>
      <c r="C255">
        <v>0</v>
      </c>
      <c r="D255">
        <v>2</v>
      </c>
      <c r="E255" t="str">
        <f t="shared" si="3"/>
        <v>Jérôme/2/5/0</v>
      </c>
    </row>
    <row r="256" spans="1:5" x14ac:dyDescent="0.2">
      <c r="A256">
        <v>6</v>
      </c>
      <c r="B256" t="s">
        <v>28</v>
      </c>
      <c r="C256">
        <v>0</v>
      </c>
      <c r="D256">
        <v>1</v>
      </c>
      <c r="E256" t="str">
        <f t="shared" si="3"/>
        <v>sobab/1/6/0</v>
      </c>
    </row>
    <row r="257" spans="1:5" x14ac:dyDescent="0.2">
      <c r="A257">
        <v>1</v>
      </c>
      <c r="B257" t="s">
        <v>6</v>
      </c>
      <c r="C257">
        <v>2</v>
      </c>
      <c r="D257">
        <v>16</v>
      </c>
      <c r="E257" t="str">
        <f t="shared" ref="E257:E320" si="4">B257&amp;"/"&amp;D257&amp;"/"&amp;A257&amp;"/"&amp;C257</f>
        <v>Pyja/16/1/2</v>
      </c>
    </row>
    <row r="258" spans="1:5" x14ac:dyDescent="0.2">
      <c r="A258">
        <v>2</v>
      </c>
      <c r="B258" t="s">
        <v>22</v>
      </c>
      <c r="C258">
        <v>3</v>
      </c>
      <c r="D258">
        <v>12</v>
      </c>
      <c r="E258" t="str">
        <f t="shared" si="4"/>
        <v>Dart 45/12/2/3</v>
      </c>
    </row>
    <row r="259" spans="1:5" x14ac:dyDescent="0.2">
      <c r="A259">
        <v>3</v>
      </c>
      <c r="B259" t="s">
        <v>54</v>
      </c>
      <c r="C259">
        <v>0</v>
      </c>
      <c r="D259">
        <v>8</v>
      </c>
      <c r="E259" t="str">
        <f t="shared" si="4"/>
        <v>Salsamanu/8/3/0</v>
      </c>
    </row>
    <row r="260" spans="1:5" x14ac:dyDescent="0.2">
      <c r="A260">
        <v>4</v>
      </c>
      <c r="B260" t="s">
        <v>57</v>
      </c>
      <c r="C260">
        <v>0</v>
      </c>
      <c r="D260">
        <v>4</v>
      </c>
      <c r="E260" t="str">
        <f t="shared" si="4"/>
        <v>ImAAlcalliKK/4/4/0</v>
      </c>
    </row>
    <row r="261" spans="1:5" x14ac:dyDescent="0.2">
      <c r="A261">
        <v>5</v>
      </c>
      <c r="B261" t="s">
        <v>83</v>
      </c>
      <c r="C261">
        <v>0</v>
      </c>
      <c r="D261">
        <v>2</v>
      </c>
      <c r="E261" t="str">
        <f t="shared" si="4"/>
        <v>ChickenSoup/2/5/0</v>
      </c>
    </row>
    <row r="262" spans="1:5" x14ac:dyDescent="0.2">
      <c r="A262">
        <v>6</v>
      </c>
      <c r="B262" t="s">
        <v>23</v>
      </c>
      <c r="C262">
        <v>0</v>
      </c>
      <c r="D262">
        <v>1</v>
      </c>
      <c r="E262" t="str">
        <f t="shared" si="4"/>
        <v>Lylith75/1/6/0</v>
      </c>
    </row>
    <row r="263" spans="1:5" x14ac:dyDescent="0.2">
      <c r="A263">
        <v>1</v>
      </c>
      <c r="B263" t="s">
        <v>45</v>
      </c>
      <c r="C263">
        <v>4</v>
      </c>
      <c r="D263">
        <v>16</v>
      </c>
      <c r="E263" t="str">
        <f t="shared" si="4"/>
        <v>yaltar/16/1/4</v>
      </c>
    </row>
    <row r="264" spans="1:5" x14ac:dyDescent="0.2">
      <c r="A264">
        <v>2</v>
      </c>
      <c r="B264" t="s">
        <v>19</v>
      </c>
      <c r="C264">
        <v>1</v>
      </c>
      <c r="D264">
        <v>12</v>
      </c>
      <c r="E264" t="str">
        <f t="shared" si="4"/>
        <v>Giobeck/12/2/1</v>
      </c>
    </row>
    <row r="265" spans="1:5" x14ac:dyDescent="0.2">
      <c r="A265">
        <v>3</v>
      </c>
      <c r="B265" t="s">
        <v>26</v>
      </c>
      <c r="C265">
        <v>0</v>
      </c>
      <c r="D265">
        <v>8</v>
      </c>
      <c r="E265" t="str">
        <f t="shared" si="4"/>
        <v>LOSOGRE/8/3/0</v>
      </c>
    </row>
    <row r="266" spans="1:5" x14ac:dyDescent="0.2">
      <c r="A266">
        <v>4</v>
      </c>
      <c r="B266" t="s">
        <v>12</v>
      </c>
      <c r="C266">
        <v>0</v>
      </c>
      <c r="D266">
        <v>4</v>
      </c>
      <c r="E266" t="str">
        <f t="shared" si="4"/>
        <v>Gnak/4/4/0</v>
      </c>
    </row>
    <row r="267" spans="1:5" x14ac:dyDescent="0.2">
      <c r="A267">
        <v>5</v>
      </c>
      <c r="B267" t="s">
        <v>61</v>
      </c>
      <c r="C267">
        <v>0</v>
      </c>
      <c r="D267">
        <v>2</v>
      </c>
      <c r="E267" t="str">
        <f t="shared" si="4"/>
        <v>Kri-lin/2/5/0</v>
      </c>
    </row>
    <row r="268" spans="1:5" x14ac:dyDescent="0.2">
      <c r="A268">
        <v>6</v>
      </c>
      <c r="B268" t="s">
        <v>16</v>
      </c>
      <c r="C268">
        <v>0</v>
      </c>
      <c r="D268">
        <v>1</v>
      </c>
      <c r="E268" t="str">
        <f t="shared" si="4"/>
        <v>Stan/1/6/0</v>
      </c>
    </row>
    <row r="269" spans="1:5" x14ac:dyDescent="0.2">
      <c r="A269">
        <v>1</v>
      </c>
      <c r="B269" t="s">
        <v>9</v>
      </c>
      <c r="C269">
        <v>3</v>
      </c>
      <c r="D269">
        <v>16</v>
      </c>
      <c r="E269" t="str">
        <f t="shared" si="4"/>
        <v>K1/16/1/3</v>
      </c>
    </row>
    <row r="270" spans="1:5" x14ac:dyDescent="0.2">
      <c r="A270">
        <v>2</v>
      </c>
      <c r="B270" t="s">
        <v>87</v>
      </c>
      <c r="C270">
        <v>2</v>
      </c>
      <c r="D270">
        <v>12</v>
      </c>
      <c r="E270" t="str">
        <f t="shared" si="4"/>
        <v>Proph@ne/12/2/2</v>
      </c>
    </row>
    <row r="271" spans="1:5" x14ac:dyDescent="0.2">
      <c r="A271">
        <v>3</v>
      </c>
      <c r="B271" t="s">
        <v>50</v>
      </c>
      <c r="C271">
        <v>0</v>
      </c>
      <c r="D271">
        <v>8</v>
      </c>
      <c r="E271" t="str">
        <f t="shared" si="4"/>
        <v>MLADENGO/8/3/0</v>
      </c>
    </row>
    <row r="272" spans="1:5" x14ac:dyDescent="0.2">
      <c r="A272">
        <v>4</v>
      </c>
      <c r="B272" t="s">
        <v>63</v>
      </c>
      <c r="C272">
        <v>0</v>
      </c>
      <c r="D272">
        <v>4</v>
      </c>
      <c r="E272" t="str">
        <f t="shared" si="4"/>
        <v>Brice/4/4/0</v>
      </c>
    </row>
    <row r="273" spans="1:5" x14ac:dyDescent="0.2">
      <c r="A273">
        <v>5</v>
      </c>
      <c r="B273" t="s">
        <v>66</v>
      </c>
      <c r="C273">
        <v>0</v>
      </c>
      <c r="D273">
        <v>2</v>
      </c>
      <c r="E273" t="str">
        <f t="shared" si="4"/>
        <v>Ad Vitam/2/5/0</v>
      </c>
    </row>
    <row r="274" spans="1:5" x14ac:dyDescent="0.2">
      <c r="A274">
        <v>6</v>
      </c>
      <c r="B274" t="s">
        <v>38</v>
      </c>
      <c r="C274">
        <v>0</v>
      </c>
      <c r="D274">
        <v>1</v>
      </c>
      <c r="E274" t="str">
        <f t="shared" si="4"/>
        <v>cTTprmoa/1/6/0</v>
      </c>
    </row>
    <row r="275" spans="1:5" x14ac:dyDescent="0.2">
      <c r="A275">
        <v>1</v>
      </c>
      <c r="B275" t="s">
        <v>31</v>
      </c>
      <c r="C275">
        <v>2</v>
      </c>
      <c r="D275">
        <v>17</v>
      </c>
      <c r="E275" t="str">
        <f t="shared" si="4"/>
        <v>CHRIS92340/17/1/2</v>
      </c>
    </row>
    <row r="276" spans="1:5" x14ac:dyDescent="0.2">
      <c r="A276">
        <v>2</v>
      </c>
      <c r="B276" t="s">
        <v>27</v>
      </c>
      <c r="C276">
        <v>3</v>
      </c>
      <c r="D276">
        <v>13</v>
      </c>
      <c r="E276" t="str">
        <f t="shared" si="4"/>
        <v>Mandrake/13/2/3</v>
      </c>
    </row>
    <row r="277" spans="1:5" x14ac:dyDescent="0.2">
      <c r="A277">
        <v>3</v>
      </c>
      <c r="B277" t="s">
        <v>76</v>
      </c>
      <c r="C277">
        <v>1</v>
      </c>
      <c r="D277">
        <v>9</v>
      </c>
      <c r="E277" t="str">
        <f t="shared" si="4"/>
        <v>Comment2/9/3/1</v>
      </c>
    </row>
    <row r="278" spans="1:5" x14ac:dyDescent="0.2">
      <c r="A278">
        <v>4</v>
      </c>
      <c r="B278" t="s">
        <v>33</v>
      </c>
      <c r="C278">
        <v>0</v>
      </c>
      <c r="D278">
        <v>5</v>
      </c>
      <c r="E278" t="str">
        <f t="shared" si="4"/>
        <v>Ptit Savoyard/5/4/0</v>
      </c>
    </row>
    <row r="279" spans="1:5" x14ac:dyDescent="0.2">
      <c r="A279">
        <v>5</v>
      </c>
      <c r="B279" t="s">
        <v>20</v>
      </c>
      <c r="C279">
        <v>0</v>
      </c>
      <c r="D279">
        <v>3</v>
      </c>
      <c r="E279" t="str">
        <f t="shared" si="4"/>
        <v>saymsonite/3/5/0</v>
      </c>
    </row>
    <row r="280" spans="1:5" x14ac:dyDescent="0.2">
      <c r="A280">
        <v>6</v>
      </c>
      <c r="B280" t="s">
        <v>35</v>
      </c>
      <c r="C280">
        <v>0</v>
      </c>
      <c r="D280">
        <v>2</v>
      </c>
      <c r="E280" t="str">
        <f t="shared" si="4"/>
        <v>JeanMichelTiming/2/6/0</v>
      </c>
    </row>
    <row r="281" spans="1:5" x14ac:dyDescent="0.2">
      <c r="A281">
        <v>7</v>
      </c>
      <c r="B281" t="s">
        <v>39</v>
      </c>
      <c r="C281">
        <v>0</v>
      </c>
      <c r="D281">
        <v>1</v>
      </c>
      <c r="E281" t="str">
        <f t="shared" si="4"/>
        <v>kheops/1/7/0</v>
      </c>
    </row>
    <row r="282" spans="1:5" x14ac:dyDescent="0.2">
      <c r="A282">
        <v>1</v>
      </c>
      <c r="B282" t="s">
        <v>59</v>
      </c>
      <c r="C282">
        <v>2</v>
      </c>
      <c r="D282">
        <v>16</v>
      </c>
      <c r="E282" t="str">
        <f t="shared" si="4"/>
        <v>YooooDA/16/1/2</v>
      </c>
    </row>
    <row r="283" spans="1:5" x14ac:dyDescent="0.2">
      <c r="A283">
        <v>2</v>
      </c>
      <c r="B283" t="s">
        <v>67</v>
      </c>
      <c r="C283">
        <v>1</v>
      </c>
      <c r="D283">
        <v>12</v>
      </c>
      <c r="E283" t="str">
        <f t="shared" si="4"/>
        <v>Jackiechoune/12/2/1</v>
      </c>
    </row>
    <row r="284" spans="1:5" x14ac:dyDescent="0.2">
      <c r="A284">
        <v>3</v>
      </c>
      <c r="B284" t="s">
        <v>41</v>
      </c>
      <c r="C284">
        <v>2</v>
      </c>
      <c r="D284">
        <v>8</v>
      </c>
      <c r="E284" t="str">
        <f t="shared" si="4"/>
        <v>gibouille/8/3/2</v>
      </c>
    </row>
    <row r="285" spans="1:5" x14ac:dyDescent="0.2">
      <c r="A285">
        <v>4</v>
      </c>
      <c r="B285" t="s">
        <v>53</v>
      </c>
      <c r="C285">
        <v>0</v>
      </c>
      <c r="D285">
        <v>4</v>
      </c>
      <c r="E285" t="str">
        <f t="shared" si="4"/>
        <v>Makoche/4/4/0</v>
      </c>
    </row>
    <row r="286" spans="1:5" x14ac:dyDescent="0.2">
      <c r="A286">
        <v>5</v>
      </c>
      <c r="B286" t="s">
        <v>25</v>
      </c>
      <c r="C286">
        <v>0</v>
      </c>
      <c r="D286">
        <v>2</v>
      </c>
      <c r="E286" t="str">
        <f t="shared" si="4"/>
        <v>Claudius/2/5/0</v>
      </c>
    </row>
    <row r="287" spans="1:5" x14ac:dyDescent="0.2">
      <c r="A287">
        <v>6</v>
      </c>
      <c r="B287" t="s">
        <v>47</v>
      </c>
      <c r="C287">
        <v>0</v>
      </c>
      <c r="D287">
        <v>1</v>
      </c>
      <c r="E287" t="str">
        <f t="shared" si="4"/>
        <v>Logan/1/6/0</v>
      </c>
    </row>
    <row r="288" spans="1:5" x14ac:dyDescent="0.2">
      <c r="A288">
        <v>1</v>
      </c>
      <c r="B288" t="s">
        <v>26</v>
      </c>
      <c r="C288">
        <v>2</v>
      </c>
      <c r="D288">
        <v>16</v>
      </c>
      <c r="E288" t="str">
        <f t="shared" si="4"/>
        <v>LOSOGRE/16/1/2</v>
      </c>
    </row>
    <row r="289" spans="1:5" x14ac:dyDescent="0.2">
      <c r="A289">
        <v>2</v>
      </c>
      <c r="B289" t="s">
        <v>28</v>
      </c>
      <c r="C289">
        <v>3</v>
      </c>
      <c r="D289">
        <v>12</v>
      </c>
      <c r="E289" t="str">
        <f t="shared" si="4"/>
        <v>sobab/12/2/3</v>
      </c>
    </row>
    <row r="290" spans="1:5" x14ac:dyDescent="0.2">
      <c r="A290">
        <v>3</v>
      </c>
      <c r="B290" t="s">
        <v>69</v>
      </c>
      <c r="C290">
        <v>0</v>
      </c>
      <c r="D290">
        <v>8</v>
      </c>
      <c r="E290" t="str">
        <f t="shared" si="4"/>
        <v>Catherine/8/3/0</v>
      </c>
    </row>
    <row r="291" spans="1:5" x14ac:dyDescent="0.2">
      <c r="A291">
        <v>4</v>
      </c>
      <c r="B291" t="s">
        <v>31</v>
      </c>
      <c r="C291">
        <v>0</v>
      </c>
      <c r="D291">
        <v>4</v>
      </c>
      <c r="E291" t="str">
        <f t="shared" si="4"/>
        <v>CHRIS92340/4/4/0</v>
      </c>
    </row>
    <row r="292" spans="1:5" x14ac:dyDescent="0.2">
      <c r="A292">
        <v>5</v>
      </c>
      <c r="B292" t="s">
        <v>92</v>
      </c>
      <c r="C292">
        <v>0</v>
      </c>
      <c r="D292">
        <v>2</v>
      </c>
      <c r="E292" t="str">
        <f t="shared" si="4"/>
        <v>Jacks&amp;Five/2/5/0</v>
      </c>
    </row>
    <row r="293" spans="1:5" x14ac:dyDescent="0.2">
      <c r="A293">
        <v>6</v>
      </c>
      <c r="B293" t="s">
        <v>48</v>
      </c>
      <c r="C293">
        <v>0</v>
      </c>
      <c r="D293">
        <v>1</v>
      </c>
      <c r="E293" t="str">
        <f t="shared" si="4"/>
        <v>Pintu/1/6/0</v>
      </c>
    </row>
    <row r="294" spans="1:5" x14ac:dyDescent="0.2">
      <c r="A294">
        <v>1</v>
      </c>
      <c r="B294" t="s">
        <v>45</v>
      </c>
      <c r="C294">
        <v>1</v>
      </c>
      <c r="D294">
        <v>16</v>
      </c>
      <c r="E294" t="str">
        <f t="shared" si="4"/>
        <v>yaltar/16/1/1</v>
      </c>
    </row>
    <row r="295" spans="1:5" x14ac:dyDescent="0.2">
      <c r="A295">
        <v>2</v>
      </c>
      <c r="B295" t="s">
        <v>66</v>
      </c>
      <c r="C295">
        <v>2</v>
      </c>
      <c r="D295">
        <v>12</v>
      </c>
      <c r="E295" t="str">
        <f t="shared" si="4"/>
        <v>Ad Vitam/12/2/2</v>
      </c>
    </row>
    <row r="296" spans="1:5" x14ac:dyDescent="0.2">
      <c r="A296">
        <v>3</v>
      </c>
      <c r="B296" t="s">
        <v>97</v>
      </c>
      <c r="C296">
        <v>1</v>
      </c>
      <c r="D296">
        <v>8</v>
      </c>
      <c r="E296" t="str">
        <f t="shared" si="4"/>
        <v>Quartz/8/3/1</v>
      </c>
    </row>
    <row r="297" spans="1:5" x14ac:dyDescent="0.2">
      <c r="A297">
        <v>4</v>
      </c>
      <c r="B297" t="s">
        <v>41</v>
      </c>
      <c r="C297">
        <v>1</v>
      </c>
      <c r="D297">
        <v>4</v>
      </c>
      <c r="E297" t="str">
        <f t="shared" si="4"/>
        <v>gibouille/4/4/1</v>
      </c>
    </row>
    <row r="298" spans="1:5" x14ac:dyDescent="0.2">
      <c r="A298">
        <v>5</v>
      </c>
      <c r="B298" t="s">
        <v>68</v>
      </c>
      <c r="C298">
        <v>0</v>
      </c>
      <c r="D298">
        <v>2</v>
      </c>
      <c r="E298" t="str">
        <f t="shared" si="4"/>
        <v>zubbaz/2/5/0</v>
      </c>
    </row>
    <row r="299" spans="1:5" x14ac:dyDescent="0.2">
      <c r="A299">
        <v>6</v>
      </c>
      <c r="B299" t="s">
        <v>81</v>
      </c>
      <c r="C299">
        <v>0</v>
      </c>
      <c r="D299">
        <v>1</v>
      </c>
      <c r="E299" t="str">
        <f t="shared" si="4"/>
        <v>Empedocle/1/6/0</v>
      </c>
    </row>
    <row r="300" spans="1:5" x14ac:dyDescent="0.2">
      <c r="A300">
        <v>1</v>
      </c>
      <c r="B300" t="s">
        <v>6</v>
      </c>
      <c r="C300">
        <v>2</v>
      </c>
      <c r="D300">
        <v>15</v>
      </c>
      <c r="E300" t="str">
        <f t="shared" si="4"/>
        <v>Pyja/15/1/2</v>
      </c>
    </row>
    <row r="301" spans="1:5" x14ac:dyDescent="0.2">
      <c r="A301">
        <v>2</v>
      </c>
      <c r="B301" t="s">
        <v>22</v>
      </c>
      <c r="C301">
        <v>2</v>
      </c>
      <c r="D301">
        <v>11</v>
      </c>
      <c r="E301" t="str">
        <f t="shared" si="4"/>
        <v>Dart 45/11/2/2</v>
      </c>
    </row>
    <row r="302" spans="1:5" x14ac:dyDescent="0.2">
      <c r="A302">
        <v>3</v>
      </c>
      <c r="B302" t="s">
        <v>38</v>
      </c>
      <c r="C302">
        <v>0</v>
      </c>
      <c r="D302">
        <v>7</v>
      </c>
      <c r="E302" t="str">
        <f t="shared" si="4"/>
        <v>cTTprmoa/7/3/0</v>
      </c>
    </row>
    <row r="303" spans="1:5" x14ac:dyDescent="0.2">
      <c r="A303">
        <v>4</v>
      </c>
      <c r="B303" t="s">
        <v>32</v>
      </c>
      <c r="C303">
        <v>0</v>
      </c>
      <c r="D303">
        <v>3</v>
      </c>
      <c r="E303" t="str">
        <f t="shared" si="4"/>
        <v>OlivierN92/3/4/0</v>
      </c>
    </row>
    <row r="304" spans="1:5" x14ac:dyDescent="0.2">
      <c r="A304">
        <v>5</v>
      </c>
      <c r="B304" t="s">
        <v>14</v>
      </c>
      <c r="C304">
        <v>0</v>
      </c>
      <c r="D304">
        <v>1</v>
      </c>
      <c r="E304" t="str">
        <f t="shared" si="4"/>
        <v>Ramm/1/5/0</v>
      </c>
    </row>
    <row r="305" spans="1:5" x14ac:dyDescent="0.2">
      <c r="A305">
        <v>1</v>
      </c>
      <c r="B305" t="s">
        <v>74</v>
      </c>
      <c r="C305">
        <v>2</v>
      </c>
      <c r="D305">
        <v>15</v>
      </c>
      <c r="E305" t="str">
        <f t="shared" si="4"/>
        <v>PatB/15/1/2</v>
      </c>
    </row>
    <row r="306" spans="1:5" x14ac:dyDescent="0.2">
      <c r="A306">
        <v>2</v>
      </c>
      <c r="B306" t="s">
        <v>50</v>
      </c>
      <c r="C306">
        <v>1</v>
      </c>
      <c r="D306">
        <v>11</v>
      </c>
      <c r="E306" t="str">
        <f t="shared" si="4"/>
        <v>MLADENGO/11/2/1</v>
      </c>
    </row>
    <row r="307" spans="1:5" x14ac:dyDescent="0.2">
      <c r="A307">
        <v>3</v>
      </c>
      <c r="B307" t="s">
        <v>54</v>
      </c>
      <c r="C307">
        <v>1</v>
      </c>
      <c r="D307">
        <v>7</v>
      </c>
      <c r="E307" t="str">
        <f t="shared" si="4"/>
        <v>Salsamanu/7/3/1</v>
      </c>
    </row>
    <row r="308" spans="1:5" x14ac:dyDescent="0.2">
      <c r="A308">
        <v>4</v>
      </c>
      <c r="B308" t="s">
        <v>47</v>
      </c>
      <c r="C308">
        <v>0</v>
      </c>
      <c r="D308">
        <v>3</v>
      </c>
      <c r="E308" t="str">
        <f t="shared" si="4"/>
        <v>Logan/3/4/0</v>
      </c>
    </row>
    <row r="309" spans="1:5" x14ac:dyDescent="0.2">
      <c r="A309">
        <v>5</v>
      </c>
      <c r="B309" t="s">
        <v>15</v>
      </c>
      <c r="C309">
        <v>0</v>
      </c>
      <c r="D309">
        <v>1</v>
      </c>
      <c r="E309" t="str">
        <f t="shared" si="4"/>
        <v>LAAtof/1/5/0</v>
      </c>
    </row>
    <row r="310" spans="1:5" x14ac:dyDescent="0.2">
      <c r="A310">
        <v>1</v>
      </c>
      <c r="B310" t="s">
        <v>7</v>
      </c>
      <c r="C310">
        <v>2</v>
      </c>
      <c r="D310">
        <v>16</v>
      </c>
      <c r="E310" t="str">
        <f t="shared" si="4"/>
        <v>Geo/16/1/2</v>
      </c>
    </row>
    <row r="311" spans="1:5" x14ac:dyDescent="0.2">
      <c r="A311">
        <v>2</v>
      </c>
      <c r="B311" t="s">
        <v>18</v>
      </c>
      <c r="C311">
        <v>0</v>
      </c>
      <c r="D311">
        <v>12</v>
      </c>
      <c r="E311" t="str">
        <f t="shared" si="4"/>
        <v>MAMS/12/2/0</v>
      </c>
    </row>
    <row r="312" spans="1:5" x14ac:dyDescent="0.2">
      <c r="A312">
        <v>3</v>
      </c>
      <c r="B312" t="s">
        <v>9</v>
      </c>
      <c r="C312">
        <v>3</v>
      </c>
      <c r="D312">
        <v>8</v>
      </c>
      <c r="E312" t="str">
        <f t="shared" si="4"/>
        <v>K1/8/3/3</v>
      </c>
    </row>
    <row r="313" spans="1:5" x14ac:dyDescent="0.2">
      <c r="A313">
        <v>4</v>
      </c>
      <c r="B313" t="s">
        <v>63</v>
      </c>
      <c r="C313">
        <v>0</v>
      </c>
      <c r="D313">
        <v>4</v>
      </c>
      <c r="E313" t="str">
        <f t="shared" si="4"/>
        <v>Brice/4/4/0</v>
      </c>
    </row>
    <row r="314" spans="1:5" x14ac:dyDescent="0.2">
      <c r="A314">
        <v>5</v>
      </c>
      <c r="B314" t="s">
        <v>33</v>
      </c>
      <c r="C314">
        <v>0</v>
      </c>
      <c r="D314">
        <v>2</v>
      </c>
      <c r="E314" t="str">
        <f t="shared" si="4"/>
        <v>Ptit Savoyard/2/5/0</v>
      </c>
    </row>
    <row r="315" spans="1:5" x14ac:dyDescent="0.2">
      <c r="A315">
        <v>6</v>
      </c>
      <c r="B315" t="s">
        <v>19</v>
      </c>
      <c r="C315">
        <v>0</v>
      </c>
      <c r="D315">
        <v>1</v>
      </c>
      <c r="E315" t="str">
        <f t="shared" si="4"/>
        <v>Giobeck/1/6/0</v>
      </c>
    </row>
    <row r="316" spans="1:5" x14ac:dyDescent="0.2">
      <c r="A316">
        <v>1</v>
      </c>
      <c r="B316" t="s">
        <v>61</v>
      </c>
      <c r="C316">
        <v>3</v>
      </c>
      <c r="D316">
        <v>15</v>
      </c>
      <c r="E316" t="str">
        <f t="shared" si="4"/>
        <v>Kri-lin/15/1/3</v>
      </c>
    </row>
    <row r="317" spans="1:5" x14ac:dyDescent="0.2">
      <c r="A317">
        <v>2</v>
      </c>
      <c r="B317" t="s">
        <v>12</v>
      </c>
      <c r="C317">
        <v>1</v>
      </c>
      <c r="D317">
        <v>11</v>
      </c>
      <c r="E317" t="str">
        <f t="shared" si="4"/>
        <v>Gnak/11/2/1</v>
      </c>
    </row>
    <row r="318" spans="1:5" x14ac:dyDescent="0.2">
      <c r="A318">
        <v>3</v>
      </c>
      <c r="B318" t="s">
        <v>25</v>
      </c>
      <c r="C318">
        <v>0</v>
      </c>
      <c r="D318">
        <v>7</v>
      </c>
      <c r="E318" t="str">
        <f t="shared" si="4"/>
        <v>Claudius/7/3/0</v>
      </c>
    </row>
    <row r="319" spans="1:5" x14ac:dyDescent="0.2">
      <c r="A319">
        <v>4</v>
      </c>
      <c r="B319" t="s">
        <v>76</v>
      </c>
      <c r="C319">
        <v>0</v>
      </c>
      <c r="D319">
        <v>3</v>
      </c>
      <c r="E319" t="str">
        <f t="shared" si="4"/>
        <v>Comment2/3/4/0</v>
      </c>
    </row>
    <row r="320" spans="1:5" x14ac:dyDescent="0.2">
      <c r="A320">
        <v>5</v>
      </c>
      <c r="B320" t="s">
        <v>88</v>
      </c>
      <c r="C320">
        <v>0</v>
      </c>
      <c r="D320">
        <v>1</v>
      </c>
      <c r="E320" t="str">
        <f t="shared" si="4"/>
        <v>Yarael/1/5/0</v>
      </c>
    </row>
    <row r="321" spans="1:5" x14ac:dyDescent="0.2">
      <c r="A321">
        <v>1</v>
      </c>
      <c r="B321" t="s">
        <v>77</v>
      </c>
      <c r="C321">
        <v>3</v>
      </c>
      <c r="D321">
        <v>15</v>
      </c>
      <c r="E321" t="str">
        <f t="shared" ref="E321:E384" si="5">B321&amp;"/"&amp;D321&amp;"/"&amp;A321&amp;"/"&amp;C321</f>
        <v>Récréatif/15/1/3</v>
      </c>
    </row>
    <row r="322" spans="1:5" x14ac:dyDescent="0.2">
      <c r="A322">
        <v>2</v>
      </c>
      <c r="B322" t="s">
        <v>55</v>
      </c>
      <c r="C322">
        <v>0</v>
      </c>
      <c r="D322">
        <v>11</v>
      </c>
      <c r="E322" t="str">
        <f t="shared" si="5"/>
        <v>Bounette/11/2/0</v>
      </c>
    </row>
    <row r="323" spans="1:5" x14ac:dyDescent="0.2">
      <c r="A323">
        <v>3</v>
      </c>
      <c r="B323" t="s">
        <v>27</v>
      </c>
      <c r="C323">
        <v>1</v>
      </c>
      <c r="D323">
        <v>7</v>
      </c>
      <c r="E323" t="str">
        <f t="shared" si="5"/>
        <v>Mandrake/7/3/1</v>
      </c>
    </row>
    <row r="324" spans="1:5" x14ac:dyDescent="0.2">
      <c r="A324">
        <v>4</v>
      </c>
      <c r="B324" t="s">
        <v>21</v>
      </c>
      <c r="C324">
        <v>0</v>
      </c>
      <c r="D324">
        <v>3</v>
      </c>
      <c r="E324" t="str">
        <f t="shared" si="5"/>
        <v>Carmin/3/4/0</v>
      </c>
    </row>
    <row r="325" spans="1:5" x14ac:dyDescent="0.2">
      <c r="A325">
        <v>5</v>
      </c>
      <c r="B325" t="s">
        <v>72</v>
      </c>
      <c r="C325">
        <v>0</v>
      </c>
      <c r="D325">
        <v>1</v>
      </c>
      <c r="E325" t="str">
        <f t="shared" si="5"/>
        <v>Le Boss/1/5/0</v>
      </c>
    </row>
    <row r="326" spans="1:5" x14ac:dyDescent="0.2">
      <c r="A326">
        <v>1</v>
      </c>
      <c r="B326" t="s">
        <v>52</v>
      </c>
      <c r="C326">
        <v>2</v>
      </c>
      <c r="D326">
        <v>15</v>
      </c>
      <c r="E326" t="str">
        <f t="shared" si="5"/>
        <v>Coach Pepito/15/1/2</v>
      </c>
    </row>
    <row r="327" spans="1:5" x14ac:dyDescent="0.2">
      <c r="A327">
        <v>2</v>
      </c>
      <c r="B327" t="s">
        <v>73</v>
      </c>
      <c r="C327">
        <v>0</v>
      </c>
      <c r="D327">
        <v>11</v>
      </c>
      <c r="E327" t="str">
        <f t="shared" si="5"/>
        <v>Flem/11/2/0</v>
      </c>
    </row>
    <row r="328" spans="1:5" x14ac:dyDescent="0.2">
      <c r="A328">
        <v>3</v>
      </c>
      <c r="B328" t="s">
        <v>42</v>
      </c>
      <c r="C328">
        <v>2</v>
      </c>
      <c r="D328">
        <v>7</v>
      </c>
      <c r="E328" t="str">
        <f t="shared" si="5"/>
        <v>Claptou/7/3/2</v>
      </c>
    </row>
    <row r="329" spans="1:5" x14ac:dyDescent="0.2">
      <c r="A329">
        <v>4</v>
      </c>
      <c r="B329" t="s">
        <v>8</v>
      </c>
      <c r="C329">
        <v>0</v>
      </c>
      <c r="D329">
        <v>3</v>
      </c>
      <c r="E329" t="str">
        <f t="shared" si="5"/>
        <v>Maxime/3/4/0</v>
      </c>
    </row>
    <row r="330" spans="1:5" x14ac:dyDescent="0.2">
      <c r="A330">
        <v>5</v>
      </c>
      <c r="B330" t="s">
        <v>94</v>
      </c>
      <c r="C330">
        <v>0</v>
      </c>
      <c r="D330">
        <v>1</v>
      </c>
      <c r="E330" t="str">
        <f t="shared" si="5"/>
        <v>Jaden le désosseur/1/5/0</v>
      </c>
    </row>
    <row r="331" spans="1:5" x14ac:dyDescent="0.2">
      <c r="A331">
        <v>1</v>
      </c>
      <c r="B331" t="s">
        <v>75</v>
      </c>
      <c r="C331">
        <v>3</v>
      </c>
      <c r="D331">
        <v>15</v>
      </c>
      <c r="E331" t="str">
        <f t="shared" si="5"/>
        <v>Michelbey/15/1/3</v>
      </c>
    </row>
    <row r="332" spans="1:5" x14ac:dyDescent="0.2">
      <c r="A332">
        <v>2</v>
      </c>
      <c r="B332" t="s">
        <v>60</v>
      </c>
      <c r="C332">
        <v>1</v>
      </c>
      <c r="D332">
        <v>11</v>
      </c>
      <c r="E332" t="str">
        <f t="shared" si="5"/>
        <v>zizou/11/2/1</v>
      </c>
    </row>
    <row r="333" spans="1:5" x14ac:dyDescent="0.2">
      <c r="A333">
        <v>3</v>
      </c>
      <c r="B333" t="s">
        <v>35</v>
      </c>
      <c r="C333">
        <v>0</v>
      </c>
      <c r="D333">
        <v>7</v>
      </c>
      <c r="E333" t="str">
        <f t="shared" si="5"/>
        <v>JeanMichelTiming/7/3/0</v>
      </c>
    </row>
    <row r="334" spans="1:5" x14ac:dyDescent="0.2">
      <c r="A334">
        <v>4</v>
      </c>
      <c r="B334" t="s">
        <v>46</v>
      </c>
      <c r="C334">
        <v>0</v>
      </c>
      <c r="D334">
        <v>3</v>
      </c>
      <c r="E334" t="str">
        <f t="shared" si="5"/>
        <v>Jérôme/3/4/0</v>
      </c>
    </row>
    <row r="335" spans="1:5" x14ac:dyDescent="0.2">
      <c r="A335">
        <v>5</v>
      </c>
      <c r="B335" t="s">
        <v>39</v>
      </c>
      <c r="C335">
        <v>0</v>
      </c>
      <c r="D335">
        <v>1</v>
      </c>
      <c r="E335" t="str">
        <f t="shared" si="5"/>
        <v>kheops/1/5/0</v>
      </c>
    </row>
    <row r="336" spans="1:5" x14ac:dyDescent="0.2">
      <c r="A336">
        <v>1</v>
      </c>
      <c r="B336" t="s">
        <v>41</v>
      </c>
      <c r="C336">
        <v>1</v>
      </c>
      <c r="D336">
        <v>16</v>
      </c>
      <c r="E336" t="str">
        <f t="shared" si="5"/>
        <v>gibouille/16/1/1</v>
      </c>
    </row>
    <row r="337" spans="1:5" x14ac:dyDescent="0.2">
      <c r="A337">
        <v>2</v>
      </c>
      <c r="B337" t="s">
        <v>63</v>
      </c>
      <c r="C337">
        <v>2</v>
      </c>
      <c r="D337">
        <v>12</v>
      </c>
      <c r="E337" t="str">
        <f t="shared" si="5"/>
        <v>Brice/12/2/2</v>
      </c>
    </row>
    <row r="338" spans="1:5" x14ac:dyDescent="0.2">
      <c r="A338">
        <v>3</v>
      </c>
      <c r="B338" t="s">
        <v>18</v>
      </c>
      <c r="C338">
        <v>2</v>
      </c>
      <c r="D338">
        <v>8</v>
      </c>
      <c r="E338" t="str">
        <f t="shared" si="5"/>
        <v>MAMS/8/3/2</v>
      </c>
    </row>
    <row r="339" spans="1:5" x14ac:dyDescent="0.2">
      <c r="A339">
        <v>4</v>
      </c>
      <c r="B339" t="s">
        <v>46</v>
      </c>
      <c r="C339">
        <v>0</v>
      </c>
      <c r="D339">
        <v>4</v>
      </c>
      <c r="E339" t="str">
        <f t="shared" si="5"/>
        <v>Jérôme/4/4/0</v>
      </c>
    </row>
    <row r="340" spans="1:5" x14ac:dyDescent="0.2">
      <c r="A340">
        <v>5</v>
      </c>
      <c r="B340" t="s">
        <v>66</v>
      </c>
      <c r="C340">
        <v>0</v>
      </c>
      <c r="D340">
        <v>2</v>
      </c>
      <c r="E340" t="str">
        <f t="shared" si="5"/>
        <v>Ad Vitam/2/5/0</v>
      </c>
    </row>
    <row r="341" spans="1:5" x14ac:dyDescent="0.2">
      <c r="A341">
        <v>6</v>
      </c>
      <c r="B341" t="s">
        <v>57</v>
      </c>
      <c r="C341">
        <v>0</v>
      </c>
      <c r="D341">
        <v>1</v>
      </c>
      <c r="E341" t="str">
        <f t="shared" si="5"/>
        <v>ImAAlcalliKK/1/6/0</v>
      </c>
    </row>
    <row r="342" spans="1:5" x14ac:dyDescent="0.2">
      <c r="A342">
        <v>1</v>
      </c>
      <c r="B342" t="s">
        <v>32</v>
      </c>
      <c r="C342">
        <v>4</v>
      </c>
      <c r="D342">
        <v>16</v>
      </c>
      <c r="E342" t="str">
        <f t="shared" si="5"/>
        <v>OlivierN92/16/1/4</v>
      </c>
    </row>
    <row r="343" spans="1:5" x14ac:dyDescent="0.2">
      <c r="A343">
        <v>2</v>
      </c>
      <c r="B343" t="s">
        <v>91</v>
      </c>
      <c r="C343">
        <v>1</v>
      </c>
      <c r="D343">
        <v>12</v>
      </c>
      <c r="E343" t="str">
        <f t="shared" si="5"/>
        <v>Crevette/12/2/1</v>
      </c>
    </row>
    <row r="344" spans="1:5" x14ac:dyDescent="0.2">
      <c r="A344">
        <v>3</v>
      </c>
      <c r="B344" t="s">
        <v>74</v>
      </c>
      <c r="C344">
        <v>0</v>
      </c>
      <c r="D344">
        <v>8</v>
      </c>
      <c r="E344" t="str">
        <f t="shared" si="5"/>
        <v>PatB/8/3/0</v>
      </c>
    </row>
    <row r="345" spans="1:5" x14ac:dyDescent="0.2">
      <c r="A345">
        <v>4</v>
      </c>
      <c r="B345" t="s">
        <v>35</v>
      </c>
      <c r="C345">
        <v>0</v>
      </c>
      <c r="D345">
        <v>4</v>
      </c>
      <c r="E345" t="str">
        <f t="shared" si="5"/>
        <v>JeanMichelTiming/4/4/0</v>
      </c>
    </row>
    <row r="346" spans="1:5" x14ac:dyDescent="0.2">
      <c r="A346">
        <v>5</v>
      </c>
      <c r="B346" t="s">
        <v>69</v>
      </c>
      <c r="C346">
        <v>0</v>
      </c>
      <c r="D346">
        <v>2</v>
      </c>
      <c r="E346" t="str">
        <f t="shared" si="5"/>
        <v>Catherine/2/5/0</v>
      </c>
    </row>
    <row r="347" spans="1:5" x14ac:dyDescent="0.2">
      <c r="A347">
        <v>6</v>
      </c>
      <c r="B347" t="s">
        <v>65</v>
      </c>
      <c r="C347">
        <v>0</v>
      </c>
      <c r="D347">
        <v>1</v>
      </c>
      <c r="E347" t="str">
        <f t="shared" si="5"/>
        <v>Ripolin/1/6/0</v>
      </c>
    </row>
    <row r="348" spans="1:5" x14ac:dyDescent="0.2">
      <c r="A348">
        <v>1</v>
      </c>
      <c r="B348" t="s">
        <v>87</v>
      </c>
      <c r="C348">
        <v>1</v>
      </c>
      <c r="D348">
        <v>16</v>
      </c>
      <c r="E348" t="str">
        <f t="shared" si="5"/>
        <v>Proph@ne/16/1/1</v>
      </c>
    </row>
    <row r="349" spans="1:5" x14ac:dyDescent="0.2">
      <c r="A349">
        <v>2</v>
      </c>
      <c r="B349" t="s">
        <v>98</v>
      </c>
      <c r="C349">
        <v>3</v>
      </c>
      <c r="D349">
        <v>12</v>
      </c>
      <c r="E349" t="str">
        <f t="shared" si="5"/>
        <v>Blocknote/12/2/3</v>
      </c>
    </row>
    <row r="350" spans="1:5" x14ac:dyDescent="0.2">
      <c r="A350">
        <v>3</v>
      </c>
      <c r="B350" t="s">
        <v>25</v>
      </c>
      <c r="C350">
        <v>1</v>
      </c>
      <c r="D350">
        <v>8</v>
      </c>
      <c r="E350" t="str">
        <f t="shared" si="5"/>
        <v>Claudius/8/3/1</v>
      </c>
    </row>
    <row r="351" spans="1:5" x14ac:dyDescent="0.2">
      <c r="A351">
        <v>4</v>
      </c>
      <c r="B351" t="s">
        <v>42</v>
      </c>
      <c r="C351">
        <v>0</v>
      </c>
      <c r="D351">
        <v>4</v>
      </c>
      <c r="E351" t="str">
        <f t="shared" si="5"/>
        <v>Claptou/4/4/0</v>
      </c>
    </row>
    <row r="352" spans="1:5" x14ac:dyDescent="0.2">
      <c r="A352">
        <v>5</v>
      </c>
      <c r="B352" t="s">
        <v>99</v>
      </c>
      <c r="C352">
        <v>0</v>
      </c>
      <c r="D352">
        <v>2</v>
      </c>
      <c r="E352" t="str">
        <f t="shared" si="5"/>
        <v>CoachNasser/2/5/0</v>
      </c>
    </row>
    <row r="353" spans="1:5" x14ac:dyDescent="0.2">
      <c r="A353">
        <v>6</v>
      </c>
      <c r="B353" t="s">
        <v>53</v>
      </c>
      <c r="C353">
        <v>0</v>
      </c>
      <c r="D353">
        <v>1</v>
      </c>
      <c r="E353" t="str">
        <f t="shared" si="5"/>
        <v>Makoche/1/6/0</v>
      </c>
    </row>
    <row r="354" spans="1:5" x14ac:dyDescent="0.2">
      <c r="A354">
        <v>1</v>
      </c>
      <c r="B354" t="s">
        <v>26</v>
      </c>
      <c r="C354">
        <v>1</v>
      </c>
      <c r="D354">
        <v>16</v>
      </c>
      <c r="E354" t="str">
        <f t="shared" si="5"/>
        <v>LOSOGRE/16/1/1</v>
      </c>
    </row>
    <row r="355" spans="1:5" x14ac:dyDescent="0.2">
      <c r="A355">
        <v>2</v>
      </c>
      <c r="B355" t="s">
        <v>47</v>
      </c>
      <c r="C355">
        <v>1</v>
      </c>
      <c r="D355">
        <v>12</v>
      </c>
      <c r="E355" t="str">
        <f t="shared" si="5"/>
        <v>Logan/12/2/1</v>
      </c>
    </row>
    <row r="356" spans="1:5" x14ac:dyDescent="0.2">
      <c r="A356">
        <v>3</v>
      </c>
      <c r="B356" t="s">
        <v>16</v>
      </c>
      <c r="C356">
        <v>2</v>
      </c>
      <c r="D356">
        <v>8</v>
      </c>
      <c r="E356" t="str">
        <f t="shared" si="5"/>
        <v>Stan/8/3/2</v>
      </c>
    </row>
    <row r="357" spans="1:5" x14ac:dyDescent="0.2">
      <c r="A357">
        <v>4</v>
      </c>
      <c r="B357" t="s">
        <v>50</v>
      </c>
      <c r="C357">
        <v>1</v>
      </c>
      <c r="D357">
        <v>4</v>
      </c>
      <c r="E357" t="str">
        <f t="shared" si="5"/>
        <v>MLADENGO/4/4/1</v>
      </c>
    </row>
    <row r="358" spans="1:5" x14ac:dyDescent="0.2">
      <c r="A358">
        <v>5</v>
      </c>
      <c r="B358" t="s">
        <v>14</v>
      </c>
      <c r="C358">
        <v>0</v>
      </c>
      <c r="D358">
        <v>2</v>
      </c>
      <c r="E358" t="str">
        <f t="shared" si="5"/>
        <v>Ramm/2/5/0</v>
      </c>
    </row>
    <row r="359" spans="1:5" x14ac:dyDescent="0.2">
      <c r="A359">
        <v>6</v>
      </c>
      <c r="B359" t="s">
        <v>73</v>
      </c>
      <c r="C359">
        <v>0</v>
      </c>
      <c r="D359">
        <v>1</v>
      </c>
      <c r="E359" t="str">
        <f t="shared" si="5"/>
        <v>Flem/1/6/0</v>
      </c>
    </row>
    <row r="360" spans="1:5" x14ac:dyDescent="0.2">
      <c r="A360">
        <v>1</v>
      </c>
      <c r="B360" t="s">
        <v>39</v>
      </c>
      <c r="C360">
        <v>3</v>
      </c>
      <c r="D360">
        <v>17</v>
      </c>
      <c r="E360" t="str">
        <f t="shared" si="5"/>
        <v>kheops/17/1/3</v>
      </c>
    </row>
    <row r="361" spans="1:5" x14ac:dyDescent="0.2">
      <c r="A361">
        <v>2</v>
      </c>
      <c r="B361" t="s">
        <v>96</v>
      </c>
      <c r="C361">
        <v>1</v>
      </c>
      <c r="D361">
        <v>13</v>
      </c>
      <c r="E361" t="str">
        <f t="shared" si="5"/>
        <v>Gui/13/2/1</v>
      </c>
    </row>
    <row r="362" spans="1:5" x14ac:dyDescent="0.2">
      <c r="A362">
        <v>3</v>
      </c>
      <c r="B362" t="s">
        <v>31</v>
      </c>
      <c r="C362">
        <v>1</v>
      </c>
      <c r="D362">
        <v>9</v>
      </c>
      <c r="E362" t="str">
        <f t="shared" si="5"/>
        <v>CHRIS92340/9/3/1</v>
      </c>
    </row>
    <row r="363" spans="1:5" x14ac:dyDescent="0.2">
      <c r="A363">
        <v>4</v>
      </c>
      <c r="B363" t="s">
        <v>94</v>
      </c>
      <c r="C363">
        <v>1</v>
      </c>
      <c r="D363">
        <v>5</v>
      </c>
      <c r="E363" t="str">
        <f t="shared" si="5"/>
        <v>Jaden le désosseur/5/4/1</v>
      </c>
    </row>
    <row r="364" spans="1:5" x14ac:dyDescent="0.2">
      <c r="A364">
        <v>5</v>
      </c>
      <c r="B364" t="s">
        <v>9</v>
      </c>
      <c r="C364">
        <v>0</v>
      </c>
      <c r="D364">
        <v>3</v>
      </c>
      <c r="E364" t="str">
        <f t="shared" si="5"/>
        <v>K1/3/5/0</v>
      </c>
    </row>
    <row r="365" spans="1:5" x14ac:dyDescent="0.2">
      <c r="A365">
        <v>6</v>
      </c>
      <c r="B365" t="s">
        <v>23</v>
      </c>
      <c r="C365">
        <v>0</v>
      </c>
      <c r="D365">
        <v>2</v>
      </c>
      <c r="E365" t="str">
        <f t="shared" si="5"/>
        <v>Lylith75/2/6/0</v>
      </c>
    </row>
    <row r="366" spans="1:5" x14ac:dyDescent="0.2">
      <c r="A366">
        <v>7</v>
      </c>
      <c r="B366" t="s">
        <v>92</v>
      </c>
      <c r="C366">
        <v>0</v>
      </c>
      <c r="D366">
        <v>1</v>
      </c>
      <c r="E366" t="str">
        <f t="shared" si="5"/>
        <v>Jacks&amp;Five/1/7/0</v>
      </c>
    </row>
    <row r="367" spans="1:5" x14ac:dyDescent="0.2">
      <c r="A367">
        <v>1</v>
      </c>
      <c r="B367" t="s">
        <v>7</v>
      </c>
      <c r="C367">
        <v>3</v>
      </c>
      <c r="D367">
        <v>16</v>
      </c>
      <c r="E367" t="str">
        <f t="shared" si="5"/>
        <v>Geo/16/1/3</v>
      </c>
    </row>
    <row r="368" spans="1:5" x14ac:dyDescent="0.2">
      <c r="A368">
        <v>2</v>
      </c>
      <c r="B368" t="s">
        <v>12</v>
      </c>
      <c r="C368">
        <v>2</v>
      </c>
      <c r="D368">
        <v>12</v>
      </c>
      <c r="E368" t="str">
        <f t="shared" si="5"/>
        <v>Gnak/12/2/2</v>
      </c>
    </row>
    <row r="369" spans="1:5" x14ac:dyDescent="0.2">
      <c r="A369">
        <v>3</v>
      </c>
      <c r="B369" t="s">
        <v>27</v>
      </c>
      <c r="C369">
        <v>0</v>
      </c>
      <c r="D369">
        <v>8</v>
      </c>
      <c r="E369" t="str">
        <f t="shared" si="5"/>
        <v>Mandrake/8/3/0</v>
      </c>
    </row>
    <row r="370" spans="1:5" x14ac:dyDescent="0.2">
      <c r="A370">
        <v>4</v>
      </c>
      <c r="B370" t="s">
        <v>28</v>
      </c>
      <c r="C370">
        <v>0</v>
      </c>
      <c r="D370">
        <v>4</v>
      </c>
      <c r="E370" t="str">
        <f t="shared" si="5"/>
        <v>sobab/4/4/0</v>
      </c>
    </row>
    <row r="371" spans="1:5" x14ac:dyDescent="0.2">
      <c r="A371">
        <v>5</v>
      </c>
      <c r="B371" t="s">
        <v>15</v>
      </c>
      <c r="C371">
        <v>0</v>
      </c>
      <c r="D371">
        <v>2</v>
      </c>
      <c r="E371" t="str">
        <f t="shared" si="5"/>
        <v>LAAtof/2/5/0</v>
      </c>
    </row>
    <row r="372" spans="1:5" x14ac:dyDescent="0.2">
      <c r="A372">
        <v>6</v>
      </c>
      <c r="B372" t="s">
        <v>19</v>
      </c>
      <c r="C372">
        <v>0</v>
      </c>
      <c r="D372">
        <v>1</v>
      </c>
      <c r="E372" t="str">
        <f t="shared" si="5"/>
        <v>Giobeck/1/6/0</v>
      </c>
    </row>
    <row r="373" spans="1:5" x14ac:dyDescent="0.2">
      <c r="A373">
        <v>1</v>
      </c>
      <c r="B373" t="s">
        <v>54</v>
      </c>
      <c r="C373">
        <v>3</v>
      </c>
      <c r="D373">
        <v>17</v>
      </c>
      <c r="E373" t="str">
        <f t="shared" si="5"/>
        <v>Salsamanu/17/1/3</v>
      </c>
    </row>
    <row r="374" spans="1:5" x14ac:dyDescent="0.2">
      <c r="A374">
        <v>2</v>
      </c>
      <c r="B374" t="s">
        <v>45</v>
      </c>
      <c r="C374">
        <v>1</v>
      </c>
      <c r="D374">
        <v>13</v>
      </c>
      <c r="E374" t="str">
        <f t="shared" si="5"/>
        <v>yaltar/13/2/1</v>
      </c>
    </row>
    <row r="375" spans="1:5" x14ac:dyDescent="0.2">
      <c r="A375">
        <v>3</v>
      </c>
      <c r="B375" t="s">
        <v>21</v>
      </c>
      <c r="C375">
        <v>1</v>
      </c>
      <c r="D375">
        <v>9</v>
      </c>
      <c r="E375" t="str">
        <f t="shared" si="5"/>
        <v>Carmin/9/3/1</v>
      </c>
    </row>
    <row r="376" spans="1:5" x14ac:dyDescent="0.2">
      <c r="A376">
        <v>4</v>
      </c>
      <c r="B376" t="s">
        <v>61</v>
      </c>
      <c r="C376">
        <v>1</v>
      </c>
      <c r="D376">
        <v>5</v>
      </c>
      <c r="E376" t="str">
        <f t="shared" si="5"/>
        <v>Kri-lin/5/4/1</v>
      </c>
    </row>
    <row r="377" spans="1:5" x14ac:dyDescent="0.2">
      <c r="A377">
        <v>5</v>
      </c>
      <c r="B377" t="s">
        <v>75</v>
      </c>
      <c r="C377">
        <v>0</v>
      </c>
      <c r="D377">
        <v>3</v>
      </c>
      <c r="E377" t="str">
        <f t="shared" si="5"/>
        <v>Michelbey/3/5/0</v>
      </c>
    </row>
    <row r="378" spans="1:5" x14ac:dyDescent="0.2">
      <c r="A378">
        <v>6</v>
      </c>
      <c r="B378" t="s">
        <v>6</v>
      </c>
      <c r="C378">
        <v>0</v>
      </c>
      <c r="D378">
        <v>2</v>
      </c>
      <c r="E378" t="str">
        <f t="shared" si="5"/>
        <v>Pyja/2/6/0</v>
      </c>
    </row>
    <row r="379" spans="1:5" x14ac:dyDescent="0.2">
      <c r="A379">
        <v>7</v>
      </c>
      <c r="B379" t="s">
        <v>8</v>
      </c>
      <c r="C379">
        <v>0</v>
      </c>
      <c r="D379">
        <v>1</v>
      </c>
      <c r="E379" t="str">
        <f t="shared" si="5"/>
        <v>Maxime/1/7/0</v>
      </c>
    </row>
    <row r="380" spans="1:5" x14ac:dyDescent="0.2">
      <c r="A380">
        <v>1</v>
      </c>
      <c r="B380" t="s">
        <v>76</v>
      </c>
      <c r="C380">
        <v>1</v>
      </c>
      <c r="D380">
        <v>17</v>
      </c>
      <c r="E380" t="str">
        <f t="shared" si="5"/>
        <v>Comment2/17/1/1</v>
      </c>
    </row>
    <row r="381" spans="1:5" x14ac:dyDescent="0.2">
      <c r="A381">
        <v>2</v>
      </c>
      <c r="B381" t="s">
        <v>55</v>
      </c>
      <c r="C381">
        <v>1</v>
      </c>
      <c r="D381">
        <v>13</v>
      </c>
      <c r="E381" t="str">
        <f t="shared" si="5"/>
        <v>Bounette/13/2/1</v>
      </c>
    </row>
    <row r="382" spans="1:5" x14ac:dyDescent="0.2">
      <c r="A382">
        <v>3</v>
      </c>
      <c r="B382" t="s">
        <v>59</v>
      </c>
      <c r="C382">
        <v>1</v>
      </c>
      <c r="D382">
        <v>9</v>
      </c>
      <c r="E382" t="str">
        <f t="shared" si="5"/>
        <v>YooooDA/9/3/1</v>
      </c>
    </row>
    <row r="383" spans="1:5" x14ac:dyDescent="0.2">
      <c r="A383">
        <v>4</v>
      </c>
      <c r="B383" t="s">
        <v>48</v>
      </c>
      <c r="C383">
        <v>2</v>
      </c>
      <c r="D383">
        <v>5</v>
      </c>
      <c r="E383" t="str">
        <f t="shared" si="5"/>
        <v>Pintu/5/4/2</v>
      </c>
    </row>
    <row r="384" spans="1:5" x14ac:dyDescent="0.2">
      <c r="A384">
        <v>5</v>
      </c>
      <c r="B384" t="s">
        <v>88</v>
      </c>
      <c r="C384">
        <v>0</v>
      </c>
      <c r="D384">
        <v>3</v>
      </c>
      <c r="E384" t="str">
        <f t="shared" si="5"/>
        <v>Yarael/3/5/0</v>
      </c>
    </row>
    <row r="385" spans="1:5" x14ac:dyDescent="0.2">
      <c r="A385">
        <v>6</v>
      </c>
      <c r="B385" t="s">
        <v>52</v>
      </c>
      <c r="C385">
        <v>0</v>
      </c>
      <c r="D385">
        <v>2</v>
      </c>
      <c r="E385" t="str">
        <f t="shared" ref="E385:E448" si="6">B385&amp;"/"&amp;D385&amp;"/"&amp;A385&amp;"/"&amp;C385</f>
        <v>Coach Pepito/2/6/0</v>
      </c>
    </row>
    <row r="386" spans="1:5" x14ac:dyDescent="0.2">
      <c r="A386">
        <v>7</v>
      </c>
      <c r="B386" t="s">
        <v>77</v>
      </c>
      <c r="C386">
        <v>0</v>
      </c>
      <c r="D386">
        <v>1</v>
      </c>
      <c r="E386" t="str">
        <f t="shared" si="6"/>
        <v>Récréatif/1/7/0</v>
      </c>
    </row>
    <row r="387" spans="1:5" x14ac:dyDescent="0.2">
      <c r="A387">
        <v>1</v>
      </c>
      <c r="B387" t="s">
        <v>5</v>
      </c>
      <c r="C387">
        <v>5</v>
      </c>
      <c r="D387">
        <v>16</v>
      </c>
      <c r="E387" t="str">
        <f t="shared" si="6"/>
        <v>Sabwill/16/1/5</v>
      </c>
    </row>
    <row r="388" spans="1:5" x14ac:dyDescent="0.2">
      <c r="A388">
        <v>2</v>
      </c>
      <c r="B388" t="s">
        <v>81</v>
      </c>
      <c r="C388">
        <v>0</v>
      </c>
      <c r="D388">
        <v>12</v>
      </c>
      <c r="E388" t="str">
        <f t="shared" si="6"/>
        <v>Empedocle/12/2/0</v>
      </c>
    </row>
    <row r="389" spans="1:5" x14ac:dyDescent="0.2">
      <c r="A389">
        <v>3</v>
      </c>
      <c r="B389" t="s">
        <v>87</v>
      </c>
      <c r="C389">
        <v>0</v>
      </c>
      <c r="D389">
        <v>8</v>
      </c>
      <c r="E389" t="str">
        <f t="shared" si="6"/>
        <v>Proph@ne/8/3/0</v>
      </c>
    </row>
    <row r="390" spans="1:5" x14ac:dyDescent="0.2">
      <c r="A390">
        <v>4</v>
      </c>
      <c r="B390" t="s">
        <v>6</v>
      </c>
      <c r="C390">
        <v>0</v>
      </c>
      <c r="D390">
        <v>4</v>
      </c>
      <c r="E390" t="str">
        <f t="shared" si="6"/>
        <v>Pyja/4/4/0</v>
      </c>
    </row>
    <row r="391" spans="1:5" x14ac:dyDescent="0.2">
      <c r="A391">
        <v>5</v>
      </c>
      <c r="B391" t="s">
        <v>65</v>
      </c>
      <c r="C391">
        <v>0</v>
      </c>
      <c r="D391">
        <v>2</v>
      </c>
      <c r="E391" t="str">
        <f t="shared" si="6"/>
        <v>Ripolin/2/5/0</v>
      </c>
    </row>
    <row r="392" spans="1:5" x14ac:dyDescent="0.2">
      <c r="A392">
        <v>6</v>
      </c>
      <c r="B392" t="s">
        <v>26</v>
      </c>
      <c r="C392">
        <v>0</v>
      </c>
      <c r="D392">
        <v>1</v>
      </c>
      <c r="E392" t="str">
        <f t="shared" si="6"/>
        <v>LOSOGRE/1/6/0</v>
      </c>
    </row>
    <row r="393" spans="1:5" x14ac:dyDescent="0.2">
      <c r="A393">
        <v>1</v>
      </c>
      <c r="B393" t="s">
        <v>77</v>
      </c>
      <c r="C393">
        <v>5</v>
      </c>
      <c r="D393">
        <v>16</v>
      </c>
      <c r="E393" t="str">
        <f t="shared" si="6"/>
        <v>Récréatif/16/1/5</v>
      </c>
    </row>
    <row r="394" spans="1:5" x14ac:dyDescent="0.2">
      <c r="A394">
        <v>2</v>
      </c>
      <c r="B394" t="s">
        <v>57</v>
      </c>
      <c r="C394">
        <v>0</v>
      </c>
      <c r="D394">
        <v>12</v>
      </c>
      <c r="E394" t="str">
        <f t="shared" si="6"/>
        <v>ImAAlcalliKK/12/2/0</v>
      </c>
    </row>
    <row r="395" spans="1:5" x14ac:dyDescent="0.2">
      <c r="A395">
        <v>3</v>
      </c>
      <c r="B395" t="s">
        <v>66</v>
      </c>
      <c r="C395">
        <v>0</v>
      </c>
      <c r="D395">
        <v>8</v>
      </c>
      <c r="E395" t="str">
        <f t="shared" si="6"/>
        <v>Ad Vitam/8/3/0</v>
      </c>
    </row>
    <row r="396" spans="1:5" x14ac:dyDescent="0.2">
      <c r="A396">
        <v>4</v>
      </c>
      <c r="B396" t="s">
        <v>19</v>
      </c>
      <c r="C396">
        <v>0</v>
      </c>
      <c r="D396">
        <v>4</v>
      </c>
      <c r="E396" t="str">
        <f t="shared" si="6"/>
        <v>Giobeck/4/4/0</v>
      </c>
    </row>
    <row r="397" spans="1:5" x14ac:dyDescent="0.2">
      <c r="A397">
        <v>5</v>
      </c>
      <c r="B397" t="s">
        <v>25</v>
      </c>
      <c r="C397">
        <v>0</v>
      </c>
      <c r="D397">
        <v>2</v>
      </c>
      <c r="E397" t="str">
        <f t="shared" si="6"/>
        <v>Claudius/2/5/0</v>
      </c>
    </row>
    <row r="398" spans="1:5" x14ac:dyDescent="0.2">
      <c r="A398">
        <v>6</v>
      </c>
      <c r="B398" t="s">
        <v>21</v>
      </c>
      <c r="C398">
        <v>0</v>
      </c>
      <c r="D398">
        <v>1</v>
      </c>
      <c r="E398" t="str">
        <f t="shared" si="6"/>
        <v>Carmin/1/6/0</v>
      </c>
    </row>
    <row r="399" spans="1:5" x14ac:dyDescent="0.2">
      <c r="A399">
        <v>1</v>
      </c>
      <c r="B399" t="s">
        <v>94</v>
      </c>
      <c r="C399">
        <v>2</v>
      </c>
      <c r="D399">
        <v>16</v>
      </c>
      <c r="E399" t="str">
        <f t="shared" si="6"/>
        <v>Jaden le désosseur/16/1/2</v>
      </c>
    </row>
    <row r="400" spans="1:5" x14ac:dyDescent="0.2">
      <c r="A400">
        <v>2</v>
      </c>
      <c r="B400" t="s">
        <v>75</v>
      </c>
      <c r="C400">
        <v>1</v>
      </c>
      <c r="D400">
        <v>12</v>
      </c>
      <c r="E400" t="str">
        <f t="shared" si="6"/>
        <v>Michelbey/12/2/1</v>
      </c>
    </row>
    <row r="401" spans="1:5" x14ac:dyDescent="0.2">
      <c r="A401">
        <v>3</v>
      </c>
      <c r="B401" t="s">
        <v>28</v>
      </c>
      <c r="C401">
        <v>1</v>
      </c>
      <c r="D401">
        <v>8</v>
      </c>
      <c r="E401" t="str">
        <f t="shared" si="6"/>
        <v>sobab/8/3/1</v>
      </c>
    </row>
    <row r="402" spans="1:5" x14ac:dyDescent="0.2">
      <c r="A402">
        <v>4</v>
      </c>
      <c r="B402" t="s">
        <v>73</v>
      </c>
      <c r="C402">
        <v>1</v>
      </c>
      <c r="D402">
        <v>4</v>
      </c>
      <c r="E402" t="str">
        <f t="shared" si="6"/>
        <v>Flem/4/4/1</v>
      </c>
    </row>
    <row r="403" spans="1:5" x14ac:dyDescent="0.2">
      <c r="A403">
        <v>5</v>
      </c>
      <c r="B403" t="s">
        <v>29</v>
      </c>
      <c r="C403">
        <v>0</v>
      </c>
      <c r="D403">
        <v>2</v>
      </c>
      <c r="E403" t="str">
        <f t="shared" si="6"/>
        <v>NoDoubt/2/5/0</v>
      </c>
    </row>
    <row r="404" spans="1:5" x14ac:dyDescent="0.2">
      <c r="A404">
        <v>6</v>
      </c>
      <c r="B404" t="s">
        <v>100</v>
      </c>
      <c r="C404">
        <v>0</v>
      </c>
      <c r="D404">
        <v>1</v>
      </c>
      <c r="E404" t="str">
        <f t="shared" si="6"/>
        <v>Valentinia/1/6/0</v>
      </c>
    </row>
    <row r="405" spans="1:5" x14ac:dyDescent="0.2">
      <c r="A405">
        <v>1</v>
      </c>
      <c r="B405" t="s">
        <v>60</v>
      </c>
      <c r="C405">
        <v>2</v>
      </c>
      <c r="D405">
        <v>16</v>
      </c>
      <c r="E405" t="str">
        <f t="shared" si="6"/>
        <v>zizou/16/1/2</v>
      </c>
    </row>
    <row r="406" spans="1:5" x14ac:dyDescent="0.2">
      <c r="A406">
        <v>2</v>
      </c>
      <c r="B406" t="s">
        <v>55</v>
      </c>
      <c r="C406">
        <v>3</v>
      </c>
      <c r="D406">
        <v>12</v>
      </c>
      <c r="E406" t="str">
        <f t="shared" si="6"/>
        <v>Bounette/12/2/3</v>
      </c>
    </row>
    <row r="407" spans="1:5" x14ac:dyDescent="0.2">
      <c r="A407">
        <v>3</v>
      </c>
      <c r="B407" t="s">
        <v>32</v>
      </c>
      <c r="C407">
        <v>0</v>
      </c>
      <c r="D407">
        <v>8</v>
      </c>
      <c r="E407" t="str">
        <f t="shared" si="6"/>
        <v>OlivierN92/8/3/0</v>
      </c>
    </row>
    <row r="408" spans="1:5" x14ac:dyDescent="0.2">
      <c r="A408">
        <v>4</v>
      </c>
      <c r="B408" t="s">
        <v>14</v>
      </c>
      <c r="C408">
        <v>0</v>
      </c>
      <c r="D408">
        <v>4</v>
      </c>
      <c r="E408" t="str">
        <f t="shared" si="6"/>
        <v>Ramm/4/4/0</v>
      </c>
    </row>
    <row r="409" spans="1:5" x14ac:dyDescent="0.2">
      <c r="A409">
        <v>5</v>
      </c>
      <c r="B409" t="s">
        <v>69</v>
      </c>
      <c r="C409">
        <v>0</v>
      </c>
      <c r="D409">
        <v>2</v>
      </c>
      <c r="E409" t="str">
        <f t="shared" si="6"/>
        <v>Catherine/2/5/0</v>
      </c>
    </row>
    <row r="410" spans="1:5" x14ac:dyDescent="0.2">
      <c r="A410">
        <v>6</v>
      </c>
      <c r="B410" t="s">
        <v>47</v>
      </c>
      <c r="C410">
        <v>0</v>
      </c>
      <c r="D410">
        <v>1</v>
      </c>
      <c r="E410" t="str">
        <f t="shared" si="6"/>
        <v>Logan/1/6/0</v>
      </c>
    </row>
    <row r="411" spans="1:5" x14ac:dyDescent="0.2">
      <c r="A411">
        <v>1</v>
      </c>
      <c r="B411" t="s">
        <v>23</v>
      </c>
      <c r="C411">
        <v>2</v>
      </c>
      <c r="D411">
        <v>16</v>
      </c>
      <c r="E411" t="str">
        <f t="shared" si="6"/>
        <v>Lylith75/16/1/2</v>
      </c>
    </row>
    <row r="412" spans="1:5" x14ac:dyDescent="0.2">
      <c r="A412">
        <v>2</v>
      </c>
      <c r="B412" t="s">
        <v>9</v>
      </c>
      <c r="C412">
        <v>1</v>
      </c>
      <c r="D412">
        <v>12</v>
      </c>
      <c r="E412" t="str">
        <f t="shared" si="6"/>
        <v>K1/12/2/1</v>
      </c>
    </row>
    <row r="413" spans="1:5" x14ac:dyDescent="0.2">
      <c r="A413">
        <v>3</v>
      </c>
      <c r="B413" t="s">
        <v>48</v>
      </c>
      <c r="C413">
        <v>0</v>
      </c>
      <c r="D413">
        <v>8</v>
      </c>
      <c r="E413" t="str">
        <f t="shared" si="6"/>
        <v>Pintu/8/3/0</v>
      </c>
    </row>
    <row r="414" spans="1:5" x14ac:dyDescent="0.2">
      <c r="A414">
        <v>4</v>
      </c>
      <c r="B414" t="s">
        <v>27</v>
      </c>
      <c r="C414">
        <v>2</v>
      </c>
      <c r="D414">
        <v>4</v>
      </c>
      <c r="E414" t="str">
        <f t="shared" si="6"/>
        <v>Mandrake/4/4/2</v>
      </c>
    </row>
    <row r="415" spans="1:5" x14ac:dyDescent="0.2">
      <c r="A415">
        <v>5</v>
      </c>
      <c r="B415" t="s">
        <v>53</v>
      </c>
      <c r="C415">
        <v>0</v>
      </c>
      <c r="D415">
        <v>2</v>
      </c>
      <c r="E415" t="str">
        <f t="shared" si="6"/>
        <v>Makoche/2/5/0</v>
      </c>
    </row>
    <row r="416" spans="1:5" x14ac:dyDescent="0.2">
      <c r="A416">
        <v>6</v>
      </c>
      <c r="B416" t="s">
        <v>31</v>
      </c>
      <c r="C416">
        <v>0</v>
      </c>
      <c r="D416">
        <v>1</v>
      </c>
      <c r="E416" t="str">
        <f t="shared" si="6"/>
        <v>CHRIS92340/1/6/0</v>
      </c>
    </row>
    <row r="417" spans="1:5" x14ac:dyDescent="0.2">
      <c r="A417">
        <v>1</v>
      </c>
      <c r="B417" t="s">
        <v>52</v>
      </c>
      <c r="C417">
        <v>4</v>
      </c>
      <c r="D417">
        <v>16</v>
      </c>
      <c r="E417" t="str">
        <f t="shared" si="6"/>
        <v>Coach Pepito/16/1/4</v>
      </c>
    </row>
    <row r="418" spans="1:5" x14ac:dyDescent="0.2">
      <c r="A418">
        <v>2</v>
      </c>
      <c r="B418" t="s">
        <v>63</v>
      </c>
      <c r="C418">
        <v>1</v>
      </c>
      <c r="D418">
        <v>12</v>
      </c>
      <c r="E418" t="str">
        <f t="shared" si="6"/>
        <v>Brice/12/2/1</v>
      </c>
    </row>
    <row r="419" spans="1:5" x14ac:dyDescent="0.2">
      <c r="A419">
        <v>3</v>
      </c>
      <c r="B419" t="s">
        <v>15</v>
      </c>
      <c r="C419">
        <v>0</v>
      </c>
      <c r="D419">
        <v>8</v>
      </c>
      <c r="E419" t="str">
        <f t="shared" si="6"/>
        <v>LAAtof/8/3/0</v>
      </c>
    </row>
    <row r="420" spans="1:5" x14ac:dyDescent="0.2">
      <c r="A420">
        <v>4</v>
      </c>
      <c r="B420" t="s">
        <v>18</v>
      </c>
      <c r="C420">
        <v>0</v>
      </c>
      <c r="D420">
        <v>4</v>
      </c>
      <c r="E420" t="str">
        <f t="shared" si="6"/>
        <v>MAMS/4/4/0</v>
      </c>
    </row>
    <row r="421" spans="1:5" x14ac:dyDescent="0.2">
      <c r="A421">
        <v>5</v>
      </c>
      <c r="B421" t="s">
        <v>76</v>
      </c>
      <c r="C421">
        <v>0</v>
      </c>
      <c r="D421">
        <v>2</v>
      </c>
      <c r="E421" t="str">
        <f t="shared" si="6"/>
        <v>Comment2/2/5/0</v>
      </c>
    </row>
    <row r="422" spans="1:5" x14ac:dyDescent="0.2">
      <c r="A422">
        <v>6</v>
      </c>
      <c r="B422" t="s">
        <v>40</v>
      </c>
      <c r="C422">
        <v>0</v>
      </c>
      <c r="D422">
        <v>1</v>
      </c>
      <c r="E422" t="str">
        <f t="shared" si="6"/>
        <v>Lén@/1/6/0</v>
      </c>
    </row>
    <row r="423" spans="1:5" x14ac:dyDescent="0.2">
      <c r="A423">
        <v>1</v>
      </c>
      <c r="B423" t="s">
        <v>39</v>
      </c>
      <c r="C423">
        <v>2</v>
      </c>
      <c r="D423">
        <v>15</v>
      </c>
      <c r="E423" t="str">
        <f t="shared" si="6"/>
        <v>kheops/15/1/2</v>
      </c>
    </row>
    <row r="424" spans="1:5" x14ac:dyDescent="0.2">
      <c r="A424">
        <v>2</v>
      </c>
      <c r="B424" t="s">
        <v>54</v>
      </c>
      <c r="C424">
        <v>1</v>
      </c>
      <c r="D424">
        <v>11</v>
      </c>
      <c r="E424" t="str">
        <f t="shared" si="6"/>
        <v>Salsamanu/11/2/1</v>
      </c>
    </row>
    <row r="425" spans="1:5" x14ac:dyDescent="0.2">
      <c r="A425">
        <v>3</v>
      </c>
      <c r="B425" t="s">
        <v>61</v>
      </c>
      <c r="C425">
        <v>1</v>
      </c>
      <c r="D425">
        <v>7</v>
      </c>
      <c r="E425" t="str">
        <f t="shared" si="6"/>
        <v>Kri-lin/7/3/1</v>
      </c>
    </row>
    <row r="426" spans="1:5" x14ac:dyDescent="0.2">
      <c r="A426">
        <v>4</v>
      </c>
      <c r="B426" t="s">
        <v>35</v>
      </c>
      <c r="C426">
        <v>0</v>
      </c>
      <c r="D426">
        <v>3</v>
      </c>
      <c r="E426" t="str">
        <f t="shared" si="6"/>
        <v>JeanMichelTiming/3/4/0</v>
      </c>
    </row>
    <row r="427" spans="1:5" x14ac:dyDescent="0.2">
      <c r="A427">
        <v>5</v>
      </c>
      <c r="B427" t="s">
        <v>74</v>
      </c>
      <c r="C427">
        <v>0</v>
      </c>
      <c r="D427">
        <v>1</v>
      </c>
      <c r="E427" t="str">
        <f t="shared" si="6"/>
        <v>PatB/1/5/0</v>
      </c>
    </row>
    <row r="428" spans="1:5" x14ac:dyDescent="0.2">
      <c r="A428">
        <v>1</v>
      </c>
      <c r="B428" t="s">
        <v>42</v>
      </c>
      <c r="C428">
        <v>4</v>
      </c>
      <c r="D428">
        <v>16</v>
      </c>
      <c r="E428" t="str">
        <f t="shared" si="6"/>
        <v>Claptou/16/1/4</v>
      </c>
    </row>
    <row r="429" spans="1:5" x14ac:dyDescent="0.2">
      <c r="A429">
        <v>2</v>
      </c>
      <c r="B429" t="s">
        <v>68</v>
      </c>
      <c r="C429">
        <v>1</v>
      </c>
      <c r="D429">
        <v>12</v>
      </c>
      <c r="E429" t="str">
        <f t="shared" si="6"/>
        <v>zubbaz/12/2/1</v>
      </c>
    </row>
    <row r="430" spans="1:5" x14ac:dyDescent="0.2">
      <c r="A430">
        <v>3</v>
      </c>
      <c r="B430" t="s">
        <v>50</v>
      </c>
      <c r="C430">
        <v>0</v>
      </c>
      <c r="D430">
        <v>8</v>
      </c>
      <c r="E430" t="str">
        <f t="shared" si="6"/>
        <v>MLADENGO/8/3/0</v>
      </c>
    </row>
    <row r="431" spans="1:5" x14ac:dyDescent="0.2">
      <c r="A431">
        <v>4</v>
      </c>
      <c r="B431" t="s">
        <v>46</v>
      </c>
      <c r="C431">
        <v>0</v>
      </c>
      <c r="D431">
        <v>4</v>
      </c>
      <c r="E431" t="str">
        <f t="shared" si="6"/>
        <v>Jérôme/4/4/0</v>
      </c>
    </row>
    <row r="432" spans="1:5" x14ac:dyDescent="0.2">
      <c r="A432">
        <v>5</v>
      </c>
      <c r="B432" t="s">
        <v>45</v>
      </c>
      <c r="C432">
        <v>0</v>
      </c>
      <c r="D432">
        <v>2</v>
      </c>
      <c r="E432" t="str">
        <f t="shared" si="6"/>
        <v>yaltar/2/5/0</v>
      </c>
    </row>
    <row r="433" spans="1:5" x14ac:dyDescent="0.2">
      <c r="A433">
        <v>6</v>
      </c>
      <c r="B433" t="s">
        <v>67</v>
      </c>
      <c r="C433">
        <v>0</v>
      </c>
      <c r="D433">
        <v>1</v>
      </c>
      <c r="E433" t="str">
        <f t="shared" si="6"/>
        <v>Jackiechoune/1/6/0</v>
      </c>
    </row>
    <row r="434" spans="1:5" x14ac:dyDescent="0.2">
      <c r="A434">
        <v>1</v>
      </c>
      <c r="B434" t="s">
        <v>54</v>
      </c>
      <c r="C434">
        <v>2</v>
      </c>
      <c r="D434">
        <v>16</v>
      </c>
      <c r="E434" t="str">
        <f t="shared" si="6"/>
        <v>Salsamanu/16/1/2</v>
      </c>
    </row>
    <row r="435" spans="1:5" x14ac:dyDescent="0.2">
      <c r="A435">
        <v>2</v>
      </c>
      <c r="B435" t="s">
        <v>46</v>
      </c>
      <c r="C435">
        <v>2</v>
      </c>
      <c r="D435">
        <v>12</v>
      </c>
      <c r="E435" t="str">
        <f t="shared" si="6"/>
        <v>Jérôme/12/2/2</v>
      </c>
    </row>
    <row r="436" spans="1:5" x14ac:dyDescent="0.2">
      <c r="A436">
        <v>3</v>
      </c>
      <c r="B436" t="s">
        <v>42</v>
      </c>
      <c r="C436">
        <v>1</v>
      </c>
      <c r="D436">
        <v>8</v>
      </c>
      <c r="E436" t="str">
        <f t="shared" si="6"/>
        <v>Claptou/8/3/1</v>
      </c>
    </row>
    <row r="437" spans="1:5" x14ac:dyDescent="0.2">
      <c r="A437">
        <v>4</v>
      </c>
      <c r="B437" t="s">
        <v>41</v>
      </c>
      <c r="C437">
        <v>0</v>
      </c>
      <c r="D437">
        <v>4</v>
      </c>
      <c r="E437" t="str">
        <f t="shared" si="6"/>
        <v>gibouille/4/4/0</v>
      </c>
    </row>
    <row r="438" spans="1:5" x14ac:dyDescent="0.2">
      <c r="A438">
        <v>5</v>
      </c>
      <c r="B438" t="s">
        <v>23</v>
      </c>
      <c r="C438">
        <v>0</v>
      </c>
      <c r="D438">
        <v>2</v>
      </c>
      <c r="E438" t="str">
        <f t="shared" si="6"/>
        <v>Lylith75/2/5/0</v>
      </c>
    </row>
    <row r="439" spans="1:5" x14ac:dyDescent="0.2">
      <c r="A439">
        <v>6</v>
      </c>
      <c r="B439" t="s">
        <v>97</v>
      </c>
      <c r="C439">
        <v>0</v>
      </c>
      <c r="D439">
        <v>1</v>
      </c>
      <c r="E439" t="str">
        <f t="shared" si="6"/>
        <v>Quartz/1/6/0</v>
      </c>
    </row>
    <row r="440" spans="1:5" x14ac:dyDescent="0.2">
      <c r="A440">
        <v>1</v>
      </c>
      <c r="B440" t="s">
        <v>27</v>
      </c>
      <c r="C440">
        <v>3</v>
      </c>
      <c r="D440">
        <v>15</v>
      </c>
      <c r="E440" t="str">
        <f t="shared" si="6"/>
        <v>Mandrake/15/1/3</v>
      </c>
    </row>
    <row r="441" spans="1:5" x14ac:dyDescent="0.2">
      <c r="A441">
        <v>2</v>
      </c>
      <c r="B441" t="s">
        <v>68</v>
      </c>
      <c r="C441">
        <v>1</v>
      </c>
      <c r="D441">
        <v>11</v>
      </c>
      <c r="E441" t="str">
        <f t="shared" si="6"/>
        <v>zubbaz/11/2/1</v>
      </c>
    </row>
    <row r="442" spans="1:5" x14ac:dyDescent="0.2">
      <c r="A442">
        <v>3</v>
      </c>
      <c r="B442" t="s">
        <v>50</v>
      </c>
      <c r="C442">
        <v>0</v>
      </c>
      <c r="D442">
        <v>7</v>
      </c>
      <c r="E442" t="str">
        <f t="shared" si="6"/>
        <v>MLADENGO/7/3/0</v>
      </c>
    </row>
    <row r="443" spans="1:5" x14ac:dyDescent="0.2">
      <c r="A443">
        <v>4</v>
      </c>
      <c r="B443" t="s">
        <v>75</v>
      </c>
      <c r="C443">
        <v>0</v>
      </c>
      <c r="D443">
        <v>3</v>
      </c>
      <c r="E443" t="str">
        <f t="shared" si="6"/>
        <v>Michelbey/3/4/0</v>
      </c>
    </row>
    <row r="444" spans="1:5" x14ac:dyDescent="0.2">
      <c r="A444">
        <v>5</v>
      </c>
      <c r="B444" t="s">
        <v>55</v>
      </c>
      <c r="C444">
        <v>0</v>
      </c>
      <c r="D444">
        <v>1</v>
      </c>
      <c r="E444" t="str">
        <f t="shared" si="6"/>
        <v>Bounette/1/5/0</v>
      </c>
    </row>
    <row r="445" spans="1:5" x14ac:dyDescent="0.2">
      <c r="A445">
        <v>1</v>
      </c>
      <c r="B445" t="s">
        <v>8</v>
      </c>
      <c r="C445">
        <v>3</v>
      </c>
      <c r="D445">
        <v>15</v>
      </c>
      <c r="E445" t="str">
        <f t="shared" si="6"/>
        <v>Maxime/15/1/3</v>
      </c>
    </row>
    <row r="446" spans="1:5" x14ac:dyDescent="0.2">
      <c r="A446">
        <v>2</v>
      </c>
      <c r="B446" t="s">
        <v>14</v>
      </c>
      <c r="C446">
        <v>0</v>
      </c>
      <c r="D446">
        <v>11</v>
      </c>
      <c r="E446" t="str">
        <f t="shared" si="6"/>
        <v>Ramm/11/2/0</v>
      </c>
    </row>
    <row r="447" spans="1:5" x14ac:dyDescent="0.2">
      <c r="A447">
        <v>3</v>
      </c>
      <c r="B447" t="s">
        <v>28</v>
      </c>
      <c r="C447">
        <v>0</v>
      </c>
      <c r="D447">
        <v>7</v>
      </c>
      <c r="E447" t="str">
        <f t="shared" si="6"/>
        <v>sobab/7/3/0</v>
      </c>
    </row>
    <row r="448" spans="1:5" x14ac:dyDescent="0.2">
      <c r="A448">
        <v>4</v>
      </c>
      <c r="B448" t="s">
        <v>69</v>
      </c>
      <c r="C448">
        <v>1</v>
      </c>
      <c r="D448">
        <v>3</v>
      </c>
      <c r="E448" t="str">
        <f t="shared" si="6"/>
        <v>Catherine/3/4/1</v>
      </c>
    </row>
    <row r="449" spans="1:5" x14ac:dyDescent="0.2">
      <c r="A449">
        <v>5</v>
      </c>
      <c r="B449" t="s">
        <v>26</v>
      </c>
      <c r="C449">
        <v>0</v>
      </c>
      <c r="D449">
        <v>1</v>
      </c>
      <c r="E449" t="str">
        <f t="shared" ref="E449:E512" si="7">B449&amp;"/"&amp;D449&amp;"/"&amp;A449&amp;"/"&amp;C449</f>
        <v>LOSOGRE/1/5/0</v>
      </c>
    </row>
    <row r="450" spans="1:5" x14ac:dyDescent="0.2">
      <c r="A450">
        <v>1</v>
      </c>
      <c r="B450" t="s">
        <v>52</v>
      </c>
      <c r="C450">
        <v>2</v>
      </c>
      <c r="D450">
        <v>15</v>
      </c>
      <c r="E450" t="str">
        <f t="shared" si="7"/>
        <v>Coach Pepito/15/1/2</v>
      </c>
    </row>
    <row r="451" spans="1:5" x14ac:dyDescent="0.2">
      <c r="A451">
        <v>2</v>
      </c>
      <c r="B451" t="s">
        <v>22</v>
      </c>
      <c r="C451">
        <v>2</v>
      </c>
      <c r="D451">
        <v>11</v>
      </c>
      <c r="E451" t="str">
        <f t="shared" si="7"/>
        <v>Dart 45/11/2/2</v>
      </c>
    </row>
    <row r="452" spans="1:5" x14ac:dyDescent="0.2">
      <c r="A452">
        <v>3</v>
      </c>
      <c r="B452" t="s">
        <v>32</v>
      </c>
      <c r="C452">
        <v>0</v>
      </c>
      <c r="D452">
        <v>7</v>
      </c>
      <c r="E452" t="str">
        <f t="shared" si="7"/>
        <v>OlivierN92/7/3/0</v>
      </c>
    </row>
    <row r="453" spans="1:5" x14ac:dyDescent="0.2">
      <c r="A453">
        <v>4</v>
      </c>
      <c r="B453" t="s">
        <v>35</v>
      </c>
      <c r="C453">
        <v>0</v>
      </c>
      <c r="D453">
        <v>3</v>
      </c>
      <c r="E453" t="str">
        <f t="shared" si="7"/>
        <v>JeanMichelTiming/3/4/0</v>
      </c>
    </row>
    <row r="454" spans="1:5" x14ac:dyDescent="0.2">
      <c r="A454">
        <v>5</v>
      </c>
      <c r="B454" t="s">
        <v>65</v>
      </c>
      <c r="C454">
        <v>0</v>
      </c>
      <c r="D454">
        <v>1</v>
      </c>
      <c r="E454" t="str">
        <f t="shared" si="7"/>
        <v>Ripolin/1/5/0</v>
      </c>
    </row>
    <row r="455" spans="1:5" x14ac:dyDescent="0.2">
      <c r="A455">
        <v>1</v>
      </c>
      <c r="B455" t="s">
        <v>6</v>
      </c>
      <c r="C455">
        <v>2</v>
      </c>
      <c r="D455">
        <v>16</v>
      </c>
      <c r="E455" t="str">
        <f t="shared" si="7"/>
        <v>Pyja/16/1/2</v>
      </c>
    </row>
    <row r="456" spans="1:5" x14ac:dyDescent="0.2">
      <c r="A456">
        <v>2</v>
      </c>
      <c r="B456" t="s">
        <v>74</v>
      </c>
      <c r="C456">
        <v>2</v>
      </c>
      <c r="D456">
        <v>12</v>
      </c>
      <c r="E456" t="str">
        <f t="shared" si="7"/>
        <v>PatB/12/2/2</v>
      </c>
    </row>
    <row r="457" spans="1:5" x14ac:dyDescent="0.2">
      <c r="A457">
        <v>3</v>
      </c>
      <c r="B457" t="s">
        <v>88</v>
      </c>
      <c r="C457">
        <v>1</v>
      </c>
      <c r="D457">
        <v>8</v>
      </c>
      <c r="E457" t="str">
        <f t="shared" si="7"/>
        <v>Yarael/8/3/1</v>
      </c>
    </row>
    <row r="458" spans="1:5" x14ac:dyDescent="0.2">
      <c r="A458">
        <v>4</v>
      </c>
      <c r="B458" t="s">
        <v>61</v>
      </c>
      <c r="C458">
        <v>0</v>
      </c>
      <c r="D458">
        <v>4</v>
      </c>
      <c r="E458" t="str">
        <f t="shared" si="7"/>
        <v>Kri-lin/4/4/0</v>
      </c>
    </row>
    <row r="459" spans="1:5" x14ac:dyDescent="0.2">
      <c r="A459">
        <v>5</v>
      </c>
      <c r="B459" t="s">
        <v>39</v>
      </c>
      <c r="C459">
        <v>0</v>
      </c>
      <c r="D459">
        <v>2</v>
      </c>
      <c r="E459" t="str">
        <f t="shared" si="7"/>
        <v>kheops/2/5/0</v>
      </c>
    </row>
    <row r="460" spans="1:5" x14ac:dyDescent="0.2">
      <c r="A460">
        <v>6</v>
      </c>
      <c r="B460" t="s">
        <v>33</v>
      </c>
      <c r="C460">
        <v>0</v>
      </c>
      <c r="D460">
        <v>1</v>
      </c>
      <c r="E460" t="str">
        <f t="shared" si="7"/>
        <v>Ptit Savoyard/1/6/0</v>
      </c>
    </row>
    <row r="461" spans="1:5" x14ac:dyDescent="0.2">
      <c r="A461">
        <v>1</v>
      </c>
      <c r="B461" t="s">
        <v>53</v>
      </c>
      <c r="C461">
        <v>4</v>
      </c>
      <c r="D461">
        <v>16</v>
      </c>
      <c r="E461" t="str">
        <f t="shared" si="7"/>
        <v>Makoche/16/1/4</v>
      </c>
    </row>
    <row r="462" spans="1:5" x14ac:dyDescent="0.2">
      <c r="A462">
        <v>2</v>
      </c>
      <c r="B462" t="s">
        <v>25</v>
      </c>
      <c r="C462">
        <v>1</v>
      </c>
      <c r="D462">
        <v>12</v>
      </c>
      <c r="E462" t="str">
        <f t="shared" si="7"/>
        <v>Claudius/12/2/1</v>
      </c>
    </row>
    <row r="463" spans="1:5" x14ac:dyDescent="0.2">
      <c r="A463">
        <v>3</v>
      </c>
      <c r="B463" t="s">
        <v>63</v>
      </c>
      <c r="C463">
        <v>0</v>
      </c>
      <c r="D463">
        <v>8</v>
      </c>
      <c r="E463" t="str">
        <f t="shared" si="7"/>
        <v>Brice/8/3/0</v>
      </c>
    </row>
    <row r="464" spans="1:5" x14ac:dyDescent="0.2">
      <c r="A464">
        <v>4</v>
      </c>
      <c r="B464" t="s">
        <v>18</v>
      </c>
      <c r="C464">
        <v>0</v>
      </c>
      <c r="D464">
        <v>4</v>
      </c>
      <c r="E464" t="str">
        <f t="shared" si="7"/>
        <v>MAMS/4/4/0</v>
      </c>
    </row>
    <row r="465" spans="1:5" x14ac:dyDescent="0.2">
      <c r="A465">
        <v>5</v>
      </c>
      <c r="B465" t="s">
        <v>31</v>
      </c>
      <c r="C465">
        <v>0</v>
      </c>
      <c r="D465">
        <v>2</v>
      </c>
      <c r="E465" t="str">
        <f t="shared" si="7"/>
        <v>CHRIS92340/2/5/0</v>
      </c>
    </row>
    <row r="466" spans="1:5" x14ac:dyDescent="0.2">
      <c r="A466">
        <v>6</v>
      </c>
      <c r="B466" t="s">
        <v>45</v>
      </c>
      <c r="C466">
        <v>0</v>
      </c>
      <c r="D466">
        <v>1</v>
      </c>
      <c r="E466" t="str">
        <f t="shared" si="7"/>
        <v>yaltar/1/6/0</v>
      </c>
    </row>
    <row r="467" spans="1:5" x14ac:dyDescent="0.2">
      <c r="A467">
        <v>1</v>
      </c>
      <c r="B467" t="s">
        <v>15</v>
      </c>
      <c r="C467">
        <v>5</v>
      </c>
      <c r="D467">
        <v>16</v>
      </c>
      <c r="E467" t="str">
        <f t="shared" si="7"/>
        <v>LAAtof/16/1/5</v>
      </c>
    </row>
    <row r="468" spans="1:5" x14ac:dyDescent="0.2">
      <c r="A468">
        <v>2</v>
      </c>
      <c r="B468" t="s">
        <v>101</v>
      </c>
      <c r="C468">
        <v>0</v>
      </c>
      <c r="D468">
        <v>12</v>
      </c>
      <c r="E468" t="str">
        <f t="shared" si="7"/>
        <v>ChrisFrankfurt/12/2/0</v>
      </c>
    </row>
    <row r="469" spans="1:5" x14ac:dyDescent="0.2">
      <c r="A469">
        <v>3</v>
      </c>
      <c r="B469" t="s">
        <v>40</v>
      </c>
      <c r="C469">
        <v>0</v>
      </c>
      <c r="D469">
        <v>8</v>
      </c>
      <c r="E469" t="str">
        <f t="shared" si="7"/>
        <v>Lén@/8/3/0</v>
      </c>
    </row>
    <row r="470" spans="1:5" x14ac:dyDescent="0.2">
      <c r="A470">
        <v>4</v>
      </c>
      <c r="B470" t="s">
        <v>77</v>
      </c>
      <c r="C470">
        <v>0</v>
      </c>
      <c r="D470">
        <v>4</v>
      </c>
      <c r="E470" t="str">
        <f t="shared" si="7"/>
        <v>Récréatif/4/4/0</v>
      </c>
    </row>
    <row r="471" spans="1:5" x14ac:dyDescent="0.2">
      <c r="A471">
        <v>5</v>
      </c>
      <c r="B471" t="s">
        <v>87</v>
      </c>
      <c r="C471">
        <v>0</v>
      </c>
      <c r="D471">
        <v>2</v>
      </c>
      <c r="E471" t="str">
        <f t="shared" si="7"/>
        <v>Proph@ne/2/5/0</v>
      </c>
    </row>
    <row r="472" spans="1:5" x14ac:dyDescent="0.2">
      <c r="A472">
        <v>6</v>
      </c>
      <c r="B472" t="s">
        <v>9</v>
      </c>
      <c r="C472">
        <v>0</v>
      </c>
      <c r="D472">
        <v>1</v>
      </c>
      <c r="E472" t="str">
        <f t="shared" si="7"/>
        <v>K1/1/6/0</v>
      </c>
    </row>
    <row r="473" spans="1:5" x14ac:dyDescent="0.2">
      <c r="A473">
        <v>1</v>
      </c>
      <c r="B473" t="s">
        <v>19</v>
      </c>
      <c r="C473">
        <v>3</v>
      </c>
      <c r="D473">
        <v>16</v>
      </c>
      <c r="E473" t="str">
        <f t="shared" si="7"/>
        <v>Giobeck/16/1/3</v>
      </c>
    </row>
    <row r="474" spans="1:5" x14ac:dyDescent="0.2">
      <c r="A474">
        <v>2</v>
      </c>
      <c r="B474" t="s">
        <v>73</v>
      </c>
      <c r="C474">
        <v>2</v>
      </c>
      <c r="D474">
        <v>12</v>
      </c>
      <c r="E474" t="str">
        <f t="shared" si="7"/>
        <v>Flem/12/2/2</v>
      </c>
    </row>
    <row r="475" spans="1:5" x14ac:dyDescent="0.2">
      <c r="A475">
        <v>3</v>
      </c>
      <c r="B475" t="s">
        <v>59</v>
      </c>
      <c r="C475">
        <v>0</v>
      </c>
      <c r="D475">
        <v>8</v>
      </c>
      <c r="E475" t="str">
        <f t="shared" si="7"/>
        <v>YooooDA/8/3/0</v>
      </c>
    </row>
    <row r="476" spans="1:5" x14ac:dyDescent="0.2">
      <c r="A476">
        <v>4</v>
      </c>
      <c r="B476" t="s">
        <v>66</v>
      </c>
      <c r="C476">
        <v>0</v>
      </c>
      <c r="D476">
        <v>4</v>
      </c>
      <c r="E476" t="str">
        <f t="shared" si="7"/>
        <v>Ad Vitam/4/4/0</v>
      </c>
    </row>
    <row r="477" spans="1:5" x14ac:dyDescent="0.2">
      <c r="A477">
        <v>5</v>
      </c>
      <c r="B477" t="s">
        <v>5</v>
      </c>
      <c r="C477">
        <v>0</v>
      </c>
      <c r="D477">
        <v>2</v>
      </c>
      <c r="E477" t="str">
        <f t="shared" si="7"/>
        <v>Sabwill/2/5/0</v>
      </c>
    </row>
    <row r="478" spans="1:5" x14ac:dyDescent="0.2">
      <c r="A478">
        <v>6</v>
      </c>
      <c r="B478" t="s">
        <v>21</v>
      </c>
      <c r="C478">
        <v>0</v>
      </c>
      <c r="D478">
        <v>1</v>
      </c>
      <c r="E478" t="str">
        <f t="shared" si="7"/>
        <v>Carmin/1/6/0</v>
      </c>
    </row>
    <row r="479" spans="1:5" x14ac:dyDescent="0.2">
      <c r="A479">
        <v>1</v>
      </c>
      <c r="B479" t="s">
        <v>77</v>
      </c>
      <c r="C479">
        <v>2</v>
      </c>
      <c r="D479">
        <v>16</v>
      </c>
      <c r="E479" t="str">
        <f t="shared" si="7"/>
        <v>Récréatif/16/1/2</v>
      </c>
    </row>
    <row r="480" spans="1:5" x14ac:dyDescent="0.2">
      <c r="A480">
        <v>2</v>
      </c>
      <c r="B480" t="s">
        <v>50</v>
      </c>
      <c r="C480">
        <v>2</v>
      </c>
      <c r="D480">
        <v>12</v>
      </c>
      <c r="E480" t="str">
        <f t="shared" si="7"/>
        <v>MLADENGO/12/2/2</v>
      </c>
    </row>
    <row r="481" spans="1:5" x14ac:dyDescent="0.2">
      <c r="A481">
        <v>3</v>
      </c>
      <c r="B481" t="s">
        <v>55</v>
      </c>
      <c r="C481">
        <v>1</v>
      </c>
      <c r="D481">
        <v>8</v>
      </c>
      <c r="E481" t="str">
        <f t="shared" si="7"/>
        <v>Bounette/8/3/1</v>
      </c>
    </row>
    <row r="482" spans="1:5" x14ac:dyDescent="0.2">
      <c r="A482">
        <v>4</v>
      </c>
      <c r="B482" t="s">
        <v>75</v>
      </c>
      <c r="C482">
        <v>0</v>
      </c>
      <c r="D482">
        <v>4</v>
      </c>
      <c r="E482" t="str">
        <f t="shared" si="7"/>
        <v>Michelbey/4/4/0</v>
      </c>
    </row>
    <row r="483" spans="1:5" x14ac:dyDescent="0.2">
      <c r="A483">
        <v>5</v>
      </c>
      <c r="B483" t="s">
        <v>47</v>
      </c>
      <c r="C483">
        <v>0</v>
      </c>
      <c r="D483">
        <v>2</v>
      </c>
      <c r="E483" t="str">
        <f t="shared" si="7"/>
        <v>Logan/2/5/0</v>
      </c>
    </row>
    <row r="484" spans="1:5" x14ac:dyDescent="0.2">
      <c r="A484">
        <v>6</v>
      </c>
      <c r="B484" t="s">
        <v>92</v>
      </c>
      <c r="C484">
        <v>0</v>
      </c>
      <c r="D484">
        <v>1</v>
      </c>
      <c r="E484" t="str">
        <f t="shared" si="7"/>
        <v>Jacks&amp;Five/1/6/0</v>
      </c>
    </row>
    <row r="485" spans="1:5" x14ac:dyDescent="0.2">
      <c r="A485">
        <v>1</v>
      </c>
      <c r="B485" t="s">
        <v>52</v>
      </c>
      <c r="C485">
        <v>6</v>
      </c>
      <c r="D485">
        <v>17</v>
      </c>
      <c r="E485" t="str">
        <f t="shared" si="7"/>
        <v>Coach Pepito/17/1/6</v>
      </c>
    </row>
    <row r="486" spans="1:5" x14ac:dyDescent="0.2">
      <c r="A486">
        <v>2</v>
      </c>
      <c r="B486" t="s">
        <v>45</v>
      </c>
      <c r="C486">
        <v>0</v>
      </c>
      <c r="D486">
        <v>13</v>
      </c>
      <c r="E486" t="str">
        <f t="shared" si="7"/>
        <v>yaltar/13/2/0</v>
      </c>
    </row>
    <row r="487" spans="1:5" x14ac:dyDescent="0.2">
      <c r="A487">
        <v>3</v>
      </c>
      <c r="B487" t="s">
        <v>33</v>
      </c>
      <c r="C487">
        <v>0</v>
      </c>
      <c r="D487">
        <v>9</v>
      </c>
      <c r="E487" t="str">
        <f t="shared" si="7"/>
        <v>Ptit Savoyard/9/3/0</v>
      </c>
    </row>
    <row r="488" spans="1:5" x14ac:dyDescent="0.2">
      <c r="A488">
        <v>4</v>
      </c>
      <c r="B488" t="s">
        <v>15</v>
      </c>
      <c r="C488">
        <v>0</v>
      </c>
      <c r="D488">
        <v>5</v>
      </c>
      <c r="E488" t="str">
        <f t="shared" si="7"/>
        <v>LAAtof/5/4/0</v>
      </c>
    </row>
    <row r="489" spans="1:5" x14ac:dyDescent="0.2">
      <c r="A489">
        <v>5</v>
      </c>
      <c r="B489" t="s">
        <v>26</v>
      </c>
      <c r="C489">
        <v>0</v>
      </c>
      <c r="D489">
        <v>3</v>
      </c>
      <c r="E489" t="str">
        <f t="shared" si="7"/>
        <v>LOSOGRE/3/5/0</v>
      </c>
    </row>
    <row r="490" spans="1:5" x14ac:dyDescent="0.2">
      <c r="A490">
        <v>6</v>
      </c>
      <c r="B490" t="s">
        <v>21</v>
      </c>
      <c r="C490">
        <v>0</v>
      </c>
      <c r="D490">
        <v>2</v>
      </c>
      <c r="E490" t="str">
        <f t="shared" si="7"/>
        <v>Carmin/2/6/0</v>
      </c>
    </row>
    <row r="491" spans="1:5" x14ac:dyDescent="0.2">
      <c r="A491">
        <v>7</v>
      </c>
      <c r="B491" t="s">
        <v>104</v>
      </c>
      <c r="C491">
        <v>0</v>
      </c>
      <c r="D491">
        <v>1</v>
      </c>
      <c r="E491" t="str">
        <f t="shared" si="7"/>
        <v>Pottemain/1/7/0</v>
      </c>
    </row>
    <row r="492" spans="1:5" x14ac:dyDescent="0.2">
      <c r="A492">
        <v>1</v>
      </c>
      <c r="B492" t="s">
        <v>9</v>
      </c>
      <c r="C492">
        <v>3</v>
      </c>
      <c r="D492">
        <v>16</v>
      </c>
      <c r="E492" t="str">
        <f t="shared" si="7"/>
        <v>K1/16/1/3</v>
      </c>
    </row>
    <row r="493" spans="1:5" x14ac:dyDescent="0.2">
      <c r="A493">
        <v>2</v>
      </c>
      <c r="B493" t="s">
        <v>94</v>
      </c>
      <c r="C493">
        <v>2</v>
      </c>
      <c r="D493">
        <v>12</v>
      </c>
      <c r="E493" t="str">
        <f t="shared" si="7"/>
        <v>Jaden le désosseur/12/2/2</v>
      </c>
    </row>
    <row r="494" spans="1:5" x14ac:dyDescent="0.2">
      <c r="A494">
        <v>3</v>
      </c>
      <c r="B494" t="s">
        <v>31</v>
      </c>
      <c r="C494">
        <v>0</v>
      </c>
      <c r="D494">
        <v>8</v>
      </c>
      <c r="E494" t="str">
        <f t="shared" si="7"/>
        <v>CHRIS92340/8/3/0</v>
      </c>
    </row>
    <row r="495" spans="1:5" x14ac:dyDescent="0.2">
      <c r="A495">
        <v>4</v>
      </c>
      <c r="B495" t="s">
        <v>28</v>
      </c>
      <c r="C495">
        <v>0</v>
      </c>
      <c r="D495">
        <v>4</v>
      </c>
      <c r="E495" t="str">
        <f t="shared" si="7"/>
        <v>sobab/4/4/0</v>
      </c>
    </row>
    <row r="496" spans="1:5" x14ac:dyDescent="0.2">
      <c r="A496">
        <v>5</v>
      </c>
      <c r="B496" t="s">
        <v>25</v>
      </c>
      <c r="C496">
        <v>0</v>
      </c>
      <c r="D496">
        <v>2</v>
      </c>
      <c r="E496" t="str">
        <f t="shared" si="7"/>
        <v>Claudius/2/5/0</v>
      </c>
    </row>
    <row r="497" spans="1:5" x14ac:dyDescent="0.2">
      <c r="A497">
        <v>6</v>
      </c>
      <c r="B497" t="s">
        <v>73</v>
      </c>
      <c r="C497">
        <v>0</v>
      </c>
      <c r="D497">
        <v>1</v>
      </c>
      <c r="E497" t="str">
        <f t="shared" si="7"/>
        <v>Flem/1/6/0</v>
      </c>
    </row>
    <row r="498" spans="1:5" x14ac:dyDescent="0.2">
      <c r="A498">
        <v>1</v>
      </c>
      <c r="B498" t="s">
        <v>65</v>
      </c>
      <c r="C498">
        <v>4</v>
      </c>
      <c r="D498">
        <v>16</v>
      </c>
      <c r="E498" t="str">
        <f t="shared" si="7"/>
        <v>Ripolin/16/1/4</v>
      </c>
    </row>
    <row r="499" spans="1:5" x14ac:dyDescent="0.2">
      <c r="A499">
        <v>2</v>
      </c>
      <c r="B499" t="s">
        <v>46</v>
      </c>
      <c r="C499">
        <v>0</v>
      </c>
      <c r="D499">
        <v>12</v>
      </c>
      <c r="E499" t="str">
        <f t="shared" si="7"/>
        <v>Jérôme/12/2/0</v>
      </c>
    </row>
    <row r="500" spans="1:5" x14ac:dyDescent="0.2">
      <c r="A500">
        <v>3</v>
      </c>
      <c r="B500" t="s">
        <v>18</v>
      </c>
      <c r="C500">
        <v>0</v>
      </c>
      <c r="D500">
        <v>8</v>
      </c>
      <c r="E500" t="str">
        <f t="shared" si="7"/>
        <v>MAMS/8/3/0</v>
      </c>
    </row>
    <row r="501" spans="1:5" x14ac:dyDescent="0.2">
      <c r="A501">
        <v>4</v>
      </c>
      <c r="B501" t="s">
        <v>54</v>
      </c>
      <c r="C501">
        <v>0</v>
      </c>
      <c r="D501">
        <v>4</v>
      </c>
      <c r="E501" t="str">
        <f t="shared" si="7"/>
        <v>Salsamanu/4/4/0</v>
      </c>
    </row>
    <row r="502" spans="1:5" x14ac:dyDescent="0.2">
      <c r="A502">
        <v>5</v>
      </c>
      <c r="B502" t="s">
        <v>14</v>
      </c>
      <c r="C502">
        <v>1</v>
      </c>
      <c r="D502">
        <v>2</v>
      </c>
      <c r="E502" t="str">
        <f t="shared" si="7"/>
        <v>Ramm/2/5/1</v>
      </c>
    </row>
    <row r="503" spans="1:5" x14ac:dyDescent="0.2">
      <c r="A503">
        <v>6</v>
      </c>
      <c r="B503" t="s">
        <v>40</v>
      </c>
      <c r="C503">
        <v>0</v>
      </c>
      <c r="D503">
        <v>1</v>
      </c>
      <c r="E503" t="str">
        <f t="shared" si="7"/>
        <v>Lén@/1/6/0</v>
      </c>
    </row>
    <row r="504" spans="1:5" x14ac:dyDescent="0.2">
      <c r="A504">
        <v>1</v>
      </c>
      <c r="B504" t="s">
        <v>8</v>
      </c>
      <c r="C504">
        <v>2</v>
      </c>
      <c r="D504">
        <v>16</v>
      </c>
      <c r="E504" t="str">
        <f t="shared" si="7"/>
        <v>Maxime/16/1/2</v>
      </c>
    </row>
    <row r="505" spans="1:5" x14ac:dyDescent="0.2">
      <c r="A505">
        <v>2</v>
      </c>
      <c r="B505" t="s">
        <v>6</v>
      </c>
      <c r="C505">
        <v>0</v>
      </c>
      <c r="D505">
        <v>12</v>
      </c>
      <c r="E505" t="str">
        <f t="shared" si="7"/>
        <v>Pyja/12/2/0</v>
      </c>
    </row>
    <row r="506" spans="1:5" x14ac:dyDescent="0.2">
      <c r="A506">
        <v>3</v>
      </c>
      <c r="B506" t="s">
        <v>12</v>
      </c>
      <c r="C506">
        <v>1</v>
      </c>
      <c r="D506">
        <v>8</v>
      </c>
      <c r="E506" t="str">
        <f t="shared" si="7"/>
        <v>Gnak/8/3/1</v>
      </c>
    </row>
    <row r="507" spans="1:5" x14ac:dyDescent="0.2">
      <c r="A507">
        <v>4</v>
      </c>
      <c r="B507" t="s">
        <v>60</v>
      </c>
      <c r="C507">
        <v>2</v>
      </c>
      <c r="D507">
        <v>4</v>
      </c>
      <c r="E507" t="str">
        <f t="shared" si="7"/>
        <v>zizou/4/4/2</v>
      </c>
    </row>
    <row r="508" spans="1:5" x14ac:dyDescent="0.2">
      <c r="A508">
        <v>5</v>
      </c>
      <c r="B508" t="s">
        <v>68</v>
      </c>
      <c r="C508">
        <v>0</v>
      </c>
      <c r="D508">
        <v>2</v>
      </c>
      <c r="E508" t="str">
        <f t="shared" si="7"/>
        <v>zubbaz/2/5/0</v>
      </c>
    </row>
    <row r="509" spans="1:5" x14ac:dyDescent="0.2">
      <c r="A509">
        <v>6</v>
      </c>
      <c r="B509" t="s">
        <v>32</v>
      </c>
      <c r="C509">
        <v>0</v>
      </c>
      <c r="D509">
        <v>1</v>
      </c>
      <c r="E509" t="str">
        <f t="shared" si="7"/>
        <v>OlivierN92/1/6/0</v>
      </c>
    </row>
    <row r="510" spans="1:5" x14ac:dyDescent="0.2">
      <c r="A510">
        <v>1</v>
      </c>
      <c r="B510" t="s">
        <v>42</v>
      </c>
      <c r="C510">
        <v>3</v>
      </c>
      <c r="D510">
        <v>17</v>
      </c>
      <c r="E510" t="str">
        <f t="shared" si="7"/>
        <v>Claptou/17/1/3</v>
      </c>
    </row>
    <row r="511" spans="1:5" x14ac:dyDescent="0.2">
      <c r="A511">
        <v>2</v>
      </c>
      <c r="B511" t="s">
        <v>101</v>
      </c>
      <c r="C511">
        <v>2</v>
      </c>
      <c r="D511">
        <v>13</v>
      </c>
      <c r="E511" t="str">
        <f t="shared" si="7"/>
        <v>ChrisFrankfurt/13/2/2</v>
      </c>
    </row>
    <row r="512" spans="1:5" x14ac:dyDescent="0.2">
      <c r="A512">
        <v>3</v>
      </c>
      <c r="B512" t="s">
        <v>5</v>
      </c>
      <c r="C512">
        <v>1</v>
      </c>
      <c r="D512">
        <v>9</v>
      </c>
      <c r="E512" t="str">
        <f t="shared" si="7"/>
        <v>Sabwill/9/3/1</v>
      </c>
    </row>
    <row r="513" spans="1:5" x14ac:dyDescent="0.2">
      <c r="A513">
        <v>4</v>
      </c>
      <c r="B513" t="s">
        <v>41</v>
      </c>
      <c r="C513">
        <v>0</v>
      </c>
      <c r="D513">
        <v>5</v>
      </c>
      <c r="E513" t="str">
        <f t="shared" ref="E513:E576" si="8">B513&amp;"/"&amp;D513&amp;"/"&amp;A513&amp;"/"&amp;C513</f>
        <v>gibouille/5/4/0</v>
      </c>
    </row>
    <row r="514" spans="1:5" x14ac:dyDescent="0.2">
      <c r="A514">
        <v>5</v>
      </c>
      <c r="B514" t="s">
        <v>35</v>
      </c>
      <c r="C514">
        <v>0</v>
      </c>
      <c r="D514">
        <v>3</v>
      </c>
      <c r="E514" t="str">
        <f t="shared" si="8"/>
        <v>JeanMichelTiming/3/5/0</v>
      </c>
    </row>
    <row r="515" spans="1:5" x14ac:dyDescent="0.2">
      <c r="A515">
        <v>6</v>
      </c>
      <c r="B515" t="s">
        <v>72</v>
      </c>
      <c r="C515">
        <v>0</v>
      </c>
      <c r="D515">
        <v>2</v>
      </c>
      <c r="E515" t="str">
        <f t="shared" si="8"/>
        <v>Le Boss/2/6/0</v>
      </c>
    </row>
    <row r="516" spans="1:5" x14ac:dyDescent="0.2">
      <c r="A516">
        <v>7</v>
      </c>
      <c r="B516" t="s">
        <v>7</v>
      </c>
      <c r="C516">
        <v>0</v>
      </c>
      <c r="D516">
        <v>1</v>
      </c>
      <c r="E516" t="str">
        <f t="shared" si="8"/>
        <v>Geo/1/7/0</v>
      </c>
    </row>
    <row r="517" spans="1:5" x14ac:dyDescent="0.2">
      <c r="A517">
        <v>1</v>
      </c>
      <c r="B517" t="s">
        <v>81</v>
      </c>
      <c r="C517">
        <v>3</v>
      </c>
      <c r="D517">
        <v>17</v>
      </c>
      <c r="E517" t="str">
        <f t="shared" si="8"/>
        <v>Empedocle/17/1/3</v>
      </c>
    </row>
    <row r="518" spans="1:5" x14ac:dyDescent="0.2">
      <c r="A518">
        <v>2</v>
      </c>
      <c r="B518" t="s">
        <v>22</v>
      </c>
      <c r="C518">
        <v>3</v>
      </c>
      <c r="D518">
        <v>13</v>
      </c>
      <c r="E518" t="str">
        <f t="shared" si="8"/>
        <v>Dart 45/13/2/3</v>
      </c>
    </row>
    <row r="519" spans="1:5" x14ac:dyDescent="0.2">
      <c r="A519">
        <v>3</v>
      </c>
      <c r="B519" t="s">
        <v>39</v>
      </c>
      <c r="C519">
        <v>0</v>
      </c>
      <c r="D519">
        <v>9</v>
      </c>
      <c r="E519" t="str">
        <f t="shared" si="8"/>
        <v>kheops/9/3/0</v>
      </c>
    </row>
    <row r="520" spans="1:5" x14ac:dyDescent="0.2">
      <c r="A520">
        <v>4</v>
      </c>
      <c r="B520" t="s">
        <v>87</v>
      </c>
      <c r="C520">
        <v>0</v>
      </c>
      <c r="D520">
        <v>5</v>
      </c>
      <c r="E520" t="str">
        <f t="shared" si="8"/>
        <v>Proph@ne/5/4/0</v>
      </c>
    </row>
    <row r="521" spans="1:5" x14ac:dyDescent="0.2">
      <c r="A521">
        <v>5</v>
      </c>
      <c r="B521" t="s">
        <v>59</v>
      </c>
      <c r="C521">
        <v>0</v>
      </c>
      <c r="D521">
        <v>3</v>
      </c>
      <c r="E521" t="str">
        <f t="shared" si="8"/>
        <v>YooooDA/3/5/0</v>
      </c>
    </row>
    <row r="522" spans="1:5" x14ac:dyDescent="0.2">
      <c r="A522">
        <v>6</v>
      </c>
      <c r="B522" t="s">
        <v>69</v>
      </c>
      <c r="C522">
        <v>0</v>
      </c>
      <c r="D522">
        <v>2</v>
      </c>
      <c r="E522" t="str">
        <f t="shared" si="8"/>
        <v>Catherine/2/6/0</v>
      </c>
    </row>
    <row r="523" spans="1:5" x14ac:dyDescent="0.2">
      <c r="A523">
        <v>7</v>
      </c>
      <c r="B523" t="s">
        <v>74</v>
      </c>
      <c r="C523">
        <v>0</v>
      </c>
      <c r="D523">
        <v>1</v>
      </c>
      <c r="E523" t="str">
        <f t="shared" si="8"/>
        <v>PatB/1/7/0</v>
      </c>
    </row>
    <row r="524" spans="1:5" x14ac:dyDescent="0.2">
      <c r="A524">
        <v>1</v>
      </c>
      <c r="B524" t="s">
        <v>94</v>
      </c>
      <c r="C524">
        <v>5</v>
      </c>
      <c r="D524">
        <v>17</v>
      </c>
      <c r="E524" t="str">
        <f t="shared" si="8"/>
        <v>Jaden le désosseur/17/1/5</v>
      </c>
    </row>
    <row r="525" spans="1:5" x14ac:dyDescent="0.2">
      <c r="A525">
        <v>2</v>
      </c>
      <c r="B525" t="s">
        <v>25</v>
      </c>
      <c r="C525">
        <v>1</v>
      </c>
      <c r="D525">
        <v>13</v>
      </c>
      <c r="E525" t="str">
        <f t="shared" si="8"/>
        <v>Claudius/13/2/1</v>
      </c>
    </row>
    <row r="526" spans="1:5" x14ac:dyDescent="0.2">
      <c r="A526">
        <v>3</v>
      </c>
      <c r="B526" t="s">
        <v>72</v>
      </c>
      <c r="C526">
        <v>0</v>
      </c>
      <c r="D526">
        <v>9</v>
      </c>
      <c r="E526" t="str">
        <f t="shared" si="8"/>
        <v>Le Boss/9/3/0</v>
      </c>
    </row>
    <row r="527" spans="1:5" x14ac:dyDescent="0.2">
      <c r="A527">
        <v>4</v>
      </c>
      <c r="B527" t="s">
        <v>50</v>
      </c>
      <c r="C527">
        <v>0</v>
      </c>
      <c r="D527">
        <v>5</v>
      </c>
      <c r="E527" t="str">
        <f t="shared" si="8"/>
        <v>MLADENGO/5/4/0</v>
      </c>
    </row>
    <row r="528" spans="1:5" x14ac:dyDescent="0.2">
      <c r="A528">
        <v>5</v>
      </c>
      <c r="B528" t="s">
        <v>15</v>
      </c>
      <c r="C528">
        <v>0</v>
      </c>
      <c r="D528">
        <v>3</v>
      </c>
      <c r="E528" t="str">
        <f t="shared" si="8"/>
        <v>LAAtof/3/5/0</v>
      </c>
    </row>
    <row r="529" spans="1:5" x14ac:dyDescent="0.2">
      <c r="A529">
        <v>6</v>
      </c>
      <c r="B529" t="s">
        <v>74</v>
      </c>
      <c r="C529">
        <v>0</v>
      </c>
      <c r="D529">
        <v>2</v>
      </c>
      <c r="E529" t="str">
        <f t="shared" si="8"/>
        <v>PatB/2/6/0</v>
      </c>
    </row>
    <row r="530" spans="1:5" x14ac:dyDescent="0.2">
      <c r="A530">
        <v>7</v>
      </c>
      <c r="B530" t="s">
        <v>68</v>
      </c>
      <c r="C530">
        <v>0</v>
      </c>
      <c r="D530">
        <v>1</v>
      </c>
      <c r="E530" t="str">
        <f t="shared" si="8"/>
        <v>zubbaz/1/7/0</v>
      </c>
    </row>
    <row r="531" spans="1:5" x14ac:dyDescent="0.2">
      <c r="A531">
        <v>1</v>
      </c>
      <c r="B531" t="s">
        <v>60</v>
      </c>
      <c r="C531">
        <v>3</v>
      </c>
      <c r="D531">
        <v>17</v>
      </c>
      <c r="E531" t="str">
        <f t="shared" si="8"/>
        <v>zizou/17/1/3</v>
      </c>
    </row>
    <row r="532" spans="1:5" x14ac:dyDescent="0.2">
      <c r="A532">
        <v>2</v>
      </c>
      <c r="B532" t="s">
        <v>83</v>
      </c>
      <c r="C532">
        <v>2</v>
      </c>
      <c r="D532">
        <v>13</v>
      </c>
      <c r="E532" t="str">
        <f t="shared" si="8"/>
        <v>ChickenSoup/13/2/2</v>
      </c>
    </row>
    <row r="533" spans="1:5" x14ac:dyDescent="0.2">
      <c r="A533">
        <v>3</v>
      </c>
      <c r="B533" t="s">
        <v>8</v>
      </c>
      <c r="C533">
        <v>0</v>
      </c>
      <c r="D533">
        <v>9</v>
      </c>
      <c r="E533" t="str">
        <f t="shared" si="8"/>
        <v>Maxime/9/3/0</v>
      </c>
    </row>
    <row r="534" spans="1:5" x14ac:dyDescent="0.2">
      <c r="A534">
        <v>4</v>
      </c>
      <c r="B534" t="s">
        <v>31</v>
      </c>
      <c r="C534">
        <v>1</v>
      </c>
      <c r="D534">
        <v>5</v>
      </c>
      <c r="E534" t="str">
        <f t="shared" si="8"/>
        <v>CHRIS92340/5/4/1</v>
      </c>
    </row>
    <row r="535" spans="1:5" x14ac:dyDescent="0.2">
      <c r="A535">
        <v>5</v>
      </c>
      <c r="B535" t="s">
        <v>101</v>
      </c>
      <c r="C535">
        <v>0</v>
      </c>
      <c r="D535">
        <v>3</v>
      </c>
      <c r="E535" t="str">
        <f t="shared" si="8"/>
        <v>ChrisFrankfurt/3/5/0</v>
      </c>
    </row>
    <row r="536" spans="1:5" x14ac:dyDescent="0.2">
      <c r="A536">
        <v>6</v>
      </c>
      <c r="B536" t="s">
        <v>18</v>
      </c>
      <c r="C536">
        <v>0</v>
      </c>
      <c r="D536">
        <v>2</v>
      </c>
      <c r="E536" t="str">
        <f t="shared" si="8"/>
        <v>MAMS/2/6/0</v>
      </c>
    </row>
    <row r="537" spans="1:5" x14ac:dyDescent="0.2">
      <c r="A537">
        <v>7</v>
      </c>
      <c r="B537" t="s">
        <v>22</v>
      </c>
      <c r="C537">
        <v>0</v>
      </c>
      <c r="D537">
        <v>1</v>
      </c>
      <c r="E537" t="str">
        <f t="shared" si="8"/>
        <v>Dart 45/1/7/0</v>
      </c>
    </row>
    <row r="538" spans="1:5" x14ac:dyDescent="0.2">
      <c r="A538">
        <v>1</v>
      </c>
      <c r="B538" t="s">
        <v>12</v>
      </c>
      <c r="C538">
        <v>4</v>
      </c>
      <c r="D538">
        <v>17</v>
      </c>
      <c r="E538" t="str">
        <f t="shared" si="8"/>
        <v>Gnak/17/1/4</v>
      </c>
    </row>
    <row r="539" spans="1:5" x14ac:dyDescent="0.2">
      <c r="A539">
        <v>2</v>
      </c>
      <c r="B539" t="s">
        <v>23</v>
      </c>
      <c r="C539">
        <v>1</v>
      </c>
      <c r="D539">
        <v>13</v>
      </c>
      <c r="E539" t="str">
        <f t="shared" si="8"/>
        <v>Lylith75/13/2/1</v>
      </c>
    </row>
    <row r="540" spans="1:5" x14ac:dyDescent="0.2">
      <c r="A540">
        <v>3</v>
      </c>
      <c r="B540" t="s">
        <v>59</v>
      </c>
      <c r="C540">
        <v>1</v>
      </c>
      <c r="D540">
        <v>9</v>
      </c>
      <c r="E540" t="str">
        <f t="shared" si="8"/>
        <v>YooooDA/9/3/1</v>
      </c>
    </row>
    <row r="541" spans="1:5" x14ac:dyDescent="0.2">
      <c r="A541">
        <v>4</v>
      </c>
      <c r="B541" t="s">
        <v>69</v>
      </c>
      <c r="C541">
        <v>0</v>
      </c>
      <c r="D541">
        <v>5</v>
      </c>
      <c r="E541" t="str">
        <f t="shared" si="8"/>
        <v>Catherine/5/4/0</v>
      </c>
    </row>
    <row r="542" spans="1:5" x14ac:dyDescent="0.2">
      <c r="A542">
        <v>5</v>
      </c>
      <c r="B542" t="s">
        <v>54</v>
      </c>
      <c r="C542">
        <v>0</v>
      </c>
      <c r="D542">
        <v>3</v>
      </c>
      <c r="E542" t="str">
        <f t="shared" si="8"/>
        <v>Salsamanu/3/5/0</v>
      </c>
    </row>
    <row r="543" spans="1:5" x14ac:dyDescent="0.2">
      <c r="A543">
        <v>6</v>
      </c>
      <c r="B543" t="s">
        <v>32</v>
      </c>
      <c r="C543">
        <v>0</v>
      </c>
      <c r="D543">
        <v>2</v>
      </c>
      <c r="E543" t="str">
        <f t="shared" si="8"/>
        <v>OlivierN92/2/6/0</v>
      </c>
    </row>
    <row r="544" spans="1:5" x14ac:dyDescent="0.2">
      <c r="A544">
        <v>7</v>
      </c>
      <c r="B544" t="s">
        <v>88</v>
      </c>
      <c r="C544">
        <v>0</v>
      </c>
      <c r="D544">
        <v>1</v>
      </c>
      <c r="E544" t="str">
        <f t="shared" si="8"/>
        <v>Yarael/1/7/0</v>
      </c>
    </row>
    <row r="545" spans="1:5" x14ac:dyDescent="0.2">
      <c r="A545">
        <v>1</v>
      </c>
      <c r="B545" t="s">
        <v>42</v>
      </c>
      <c r="C545">
        <v>3</v>
      </c>
      <c r="D545">
        <v>17</v>
      </c>
      <c r="E545" t="str">
        <f t="shared" si="8"/>
        <v>Claptou/17/1/3</v>
      </c>
    </row>
    <row r="546" spans="1:5" x14ac:dyDescent="0.2">
      <c r="A546">
        <v>2</v>
      </c>
      <c r="B546" t="s">
        <v>75</v>
      </c>
      <c r="C546">
        <v>2</v>
      </c>
      <c r="D546">
        <v>13</v>
      </c>
      <c r="E546" t="str">
        <f t="shared" si="8"/>
        <v>Michelbey/13/2/2</v>
      </c>
    </row>
    <row r="547" spans="1:5" x14ac:dyDescent="0.2">
      <c r="A547">
        <v>3</v>
      </c>
      <c r="B547" t="s">
        <v>63</v>
      </c>
      <c r="C547">
        <v>0</v>
      </c>
      <c r="D547">
        <v>9</v>
      </c>
      <c r="E547" t="str">
        <f t="shared" si="8"/>
        <v>Brice/9/3/0</v>
      </c>
    </row>
    <row r="548" spans="1:5" x14ac:dyDescent="0.2">
      <c r="A548">
        <v>4</v>
      </c>
      <c r="B548" t="s">
        <v>33</v>
      </c>
      <c r="C548">
        <v>1</v>
      </c>
      <c r="D548">
        <v>5</v>
      </c>
      <c r="E548" t="str">
        <f t="shared" si="8"/>
        <v>Ptit Savoyard/5/4/1</v>
      </c>
    </row>
    <row r="549" spans="1:5" x14ac:dyDescent="0.2">
      <c r="A549">
        <v>5</v>
      </c>
      <c r="B549" t="s">
        <v>26</v>
      </c>
      <c r="C549">
        <v>0</v>
      </c>
      <c r="D549">
        <v>3</v>
      </c>
      <c r="E549" t="str">
        <f t="shared" si="8"/>
        <v>LOSOGRE/3/5/0</v>
      </c>
    </row>
    <row r="550" spans="1:5" x14ac:dyDescent="0.2">
      <c r="A550">
        <v>6</v>
      </c>
      <c r="B550" t="s">
        <v>5</v>
      </c>
      <c r="C550">
        <v>0</v>
      </c>
      <c r="D550">
        <v>2</v>
      </c>
      <c r="E550" t="str">
        <f t="shared" si="8"/>
        <v>Sabwill/2/6/0</v>
      </c>
    </row>
    <row r="551" spans="1:5" x14ac:dyDescent="0.2">
      <c r="A551">
        <v>7</v>
      </c>
      <c r="B551" t="s">
        <v>27</v>
      </c>
      <c r="C551">
        <v>0</v>
      </c>
      <c r="D551">
        <v>1</v>
      </c>
      <c r="E551" t="str">
        <f t="shared" si="8"/>
        <v>Mandrake/1/7/0</v>
      </c>
    </row>
    <row r="552" spans="1:5" x14ac:dyDescent="0.2">
      <c r="A552">
        <v>1</v>
      </c>
      <c r="B552" t="s">
        <v>45</v>
      </c>
      <c r="C552">
        <v>3</v>
      </c>
      <c r="D552">
        <v>16</v>
      </c>
      <c r="E552" t="str">
        <f t="shared" si="8"/>
        <v>yaltar/16/1/3</v>
      </c>
    </row>
    <row r="553" spans="1:5" x14ac:dyDescent="0.2">
      <c r="A553">
        <v>2</v>
      </c>
      <c r="B553" t="s">
        <v>40</v>
      </c>
      <c r="C553">
        <v>2</v>
      </c>
      <c r="D553">
        <v>12</v>
      </c>
      <c r="E553" t="str">
        <f t="shared" si="8"/>
        <v>Lén@/12/2/2</v>
      </c>
    </row>
    <row r="554" spans="1:5" x14ac:dyDescent="0.2">
      <c r="A554">
        <v>3</v>
      </c>
      <c r="B554" t="s">
        <v>105</v>
      </c>
      <c r="C554">
        <v>0</v>
      </c>
      <c r="D554">
        <v>8</v>
      </c>
      <c r="E554" t="str">
        <f t="shared" si="8"/>
        <v>Snake/8/3/0</v>
      </c>
    </row>
    <row r="555" spans="1:5" x14ac:dyDescent="0.2">
      <c r="A555">
        <v>4</v>
      </c>
      <c r="B555" t="s">
        <v>81</v>
      </c>
      <c r="C555">
        <v>0</v>
      </c>
      <c r="D555">
        <v>4</v>
      </c>
      <c r="E555" t="str">
        <f t="shared" si="8"/>
        <v>Empedocle/4/4/0</v>
      </c>
    </row>
    <row r="556" spans="1:5" x14ac:dyDescent="0.2">
      <c r="A556">
        <v>5</v>
      </c>
      <c r="B556" t="s">
        <v>6</v>
      </c>
      <c r="C556">
        <v>0</v>
      </c>
      <c r="D556">
        <v>2</v>
      </c>
      <c r="E556" t="str">
        <f t="shared" si="8"/>
        <v>Pyja/2/5/0</v>
      </c>
    </row>
    <row r="557" spans="1:5" x14ac:dyDescent="0.2">
      <c r="A557">
        <v>6</v>
      </c>
      <c r="B557" t="s">
        <v>9</v>
      </c>
      <c r="C557">
        <v>0</v>
      </c>
      <c r="D557">
        <v>1</v>
      </c>
      <c r="E557" t="str">
        <f t="shared" si="8"/>
        <v>K1/1/6/0</v>
      </c>
    </row>
    <row r="558" spans="1:5" x14ac:dyDescent="0.2">
      <c r="A558">
        <v>1</v>
      </c>
      <c r="B558" t="s">
        <v>14</v>
      </c>
      <c r="C558">
        <v>2</v>
      </c>
      <c r="D558">
        <v>16</v>
      </c>
      <c r="E558" t="str">
        <f t="shared" si="8"/>
        <v>Ramm/16/1/2</v>
      </c>
    </row>
    <row r="559" spans="1:5" x14ac:dyDescent="0.2">
      <c r="A559">
        <v>2</v>
      </c>
      <c r="B559" t="s">
        <v>80</v>
      </c>
      <c r="C559">
        <v>2</v>
      </c>
      <c r="D559">
        <v>12</v>
      </c>
      <c r="E559" t="str">
        <f t="shared" si="8"/>
        <v>Fiffou/12/2/2</v>
      </c>
    </row>
    <row r="560" spans="1:5" x14ac:dyDescent="0.2">
      <c r="A560">
        <v>3</v>
      </c>
      <c r="B560" t="s">
        <v>46</v>
      </c>
      <c r="C560">
        <v>1</v>
      </c>
      <c r="D560">
        <v>8</v>
      </c>
      <c r="E560" t="str">
        <f t="shared" si="8"/>
        <v>Jérôme/8/3/1</v>
      </c>
    </row>
    <row r="561" spans="1:5" x14ac:dyDescent="0.2">
      <c r="A561">
        <v>4</v>
      </c>
      <c r="B561" t="s">
        <v>41</v>
      </c>
      <c r="C561">
        <v>0</v>
      </c>
      <c r="D561">
        <v>4</v>
      </c>
      <c r="E561" t="str">
        <f t="shared" si="8"/>
        <v>gibouille/4/4/0</v>
      </c>
    </row>
    <row r="562" spans="1:5" x14ac:dyDescent="0.2">
      <c r="A562">
        <v>5</v>
      </c>
      <c r="B562" t="s">
        <v>21</v>
      </c>
      <c r="C562">
        <v>0</v>
      </c>
      <c r="D562">
        <v>2</v>
      </c>
      <c r="E562" t="str">
        <f t="shared" si="8"/>
        <v>Carmin/2/5/0</v>
      </c>
    </row>
    <row r="563" spans="1:5" x14ac:dyDescent="0.2">
      <c r="A563">
        <v>6</v>
      </c>
      <c r="B563" t="s">
        <v>47</v>
      </c>
      <c r="C563">
        <v>0</v>
      </c>
      <c r="D563">
        <v>1</v>
      </c>
      <c r="E563" t="str">
        <f t="shared" si="8"/>
        <v>Logan/1/6/0</v>
      </c>
    </row>
    <row r="564" spans="1:5" x14ac:dyDescent="0.2">
      <c r="A564">
        <v>1</v>
      </c>
      <c r="B564" t="s">
        <v>73</v>
      </c>
      <c r="C564">
        <v>4</v>
      </c>
      <c r="D564">
        <v>16</v>
      </c>
      <c r="E564" t="str">
        <f t="shared" si="8"/>
        <v>Flem/16/1/4</v>
      </c>
    </row>
    <row r="565" spans="1:5" x14ac:dyDescent="0.2">
      <c r="A565">
        <v>2</v>
      </c>
      <c r="B565" t="s">
        <v>65</v>
      </c>
      <c r="C565">
        <v>1</v>
      </c>
      <c r="D565">
        <v>12</v>
      </c>
      <c r="E565" t="str">
        <f t="shared" si="8"/>
        <v>Ripolin/12/2/1</v>
      </c>
    </row>
    <row r="566" spans="1:5" x14ac:dyDescent="0.2">
      <c r="A566">
        <v>3</v>
      </c>
      <c r="B566" t="s">
        <v>77</v>
      </c>
      <c r="C566">
        <v>0</v>
      </c>
      <c r="D566">
        <v>8</v>
      </c>
      <c r="E566" t="str">
        <f t="shared" si="8"/>
        <v>Récréatif/8/3/0</v>
      </c>
    </row>
    <row r="567" spans="1:5" x14ac:dyDescent="0.2">
      <c r="A567">
        <v>4</v>
      </c>
      <c r="B567" t="s">
        <v>35</v>
      </c>
      <c r="C567">
        <v>0</v>
      </c>
      <c r="D567">
        <v>4</v>
      </c>
      <c r="E567" t="str">
        <f t="shared" si="8"/>
        <v>JeanMichelTiming/4/4/0</v>
      </c>
    </row>
    <row r="568" spans="1:5" x14ac:dyDescent="0.2">
      <c r="A568">
        <v>5</v>
      </c>
      <c r="B568" t="s">
        <v>39</v>
      </c>
      <c r="C568">
        <v>0</v>
      </c>
      <c r="D568">
        <v>2</v>
      </c>
      <c r="E568" t="str">
        <f t="shared" si="8"/>
        <v>kheops/2/5/0</v>
      </c>
    </row>
    <row r="569" spans="1:5" x14ac:dyDescent="0.2">
      <c r="A569">
        <v>6</v>
      </c>
      <c r="B569" t="s">
        <v>55</v>
      </c>
      <c r="C569">
        <v>0</v>
      </c>
      <c r="D569">
        <v>1</v>
      </c>
      <c r="E569" t="str">
        <f t="shared" si="8"/>
        <v>Bounette/1/6/0</v>
      </c>
    </row>
    <row r="570" spans="1:5" x14ac:dyDescent="0.2">
      <c r="A570">
        <v>1</v>
      </c>
      <c r="B570" t="s">
        <v>8</v>
      </c>
      <c r="C570">
        <v>4</v>
      </c>
      <c r="D570">
        <v>16</v>
      </c>
      <c r="E570" t="str">
        <f t="shared" si="8"/>
        <v>Maxime/16/1/4</v>
      </c>
    </row>
    <row r="571" spans="1:5" x14ac:dyDescent="0.2">
      <c r="A571">
        <v>2</v>
      </c>
      <c r="B571" t="s">
        <v>33</v>
      </c>
      <c r="C571">
        <v>0</v>
      </c>
      <c r="D571">
        <v>12</v>
      </c>
      <c r="E571" t="str">
        <f t="shared" si="8"/>
        <v>Ptit Savoyard/12/2/0</v>
      </c>
    </row>
    <row r="572" spans="1:5" x14ac:dyDescent="0.2">
      <c r="A572">
        <v>3</v>
      </c>
      <c r="B572" t="s">
        <v>74</v>
      </c>
      <c r="C572">
        <v>1</v>
      </c>
      <c r="D572">
        <v>8</v>
      </c>
      <c r="E572" t="str">
        <f t="shared" si="8"/>
        <v>PatB/8/3/1</v>
      </c>
    </row>
    <row r="573" spans="1:5" x14ac:dyDescent="0.2">
      <c r="A573">
        <v>4</v>
      </c>
      <c r="B573" t="s">
        <v>19</v>
      </c>
      <c r="C573">
        <v>0</v>
      </c>
      <c r="D573">
        <v>4</v>
      </c>
      <c r="E573" t="str">
        <f t="shared" si="8"/>
        <v>Giobeck/4/4/0</v>
      </c>
    </row>
    <row r="574" spans="1:5" x14ac:dyDescent="0.2">
      <c r="A574">
        <v>5</v>
      </c>
      <c r="B574" t="s">
        <v>31</v>
      </c>
      <c r="C574">
        <v>0</v>
      </c>
      <c r="D574">
        <v>2</v>
      </c>
      <c r="E574" t="str">
        <f t="shared" si="8"/>
        <v>CHRIS92340/2/5/0</v>
      </c>
    </row>
    <row r="575" spans="1:5" x14ac:dyDescent="0.2">
      <c r="A575">
        <v>6</v>
      </c>
      <c r="B575" t="s">
        <v>92</v>
      </c>
      <c r="C575">
        <v>0</v>
      </c>
      <c r="D575">
        <v>1</v>
      </c>
      <c r="E575" t="str">
        <f t="shared" si="8"/>
        <v>Jacks&amp;Five/1/6/0</v>
      </c>
    </row>
    <row r="576" spans="1:5" x14ac:dyDescent="0.2">
      <c r="A576">
        <v>1</v>
      </c>
      <c r="B576" t="s">
        <v>12</v>
      </c>
      <c r="C576">
        <v>4</v>
      </c>
      <c r="D576">
        <v>16</v>
      </c>
      <c r="E576" t="str">
        <f t="shared" si="8"/>
        <v>Gnak/16/1/4</v>
      </c>
    </row>
    <row r="577" spans="1:5" x14ac:dyDescent="0.2">
      <c r="A577">
        <v>2</v>
      </c>
      <c r="B577" t="s">
        <v>101</v>
      </c>
      <c r="C577">
        <v>0</v>
      </c>
      <c r="D577">
        <v>12</v>
      </c>
      <c r="E577" t="str">
        <f t="shared" ref="E577:E640" si="9">B577&amp;"/"&amp;D577&amp;"/"&amp;A577&amp;"/"&amp;C577</f>
        <v>ChrisFrankfurt/12/2/0</v>
      </c>
    </row>
    <row r="578" spans="1:5" x14ac:dyDescent="0.2">
      <c r="A578">
        <v>3</v>
      </c>
      <c r="B578" t="s">
        <v>91</v>
      </c>
      <c r="C578">
        <v>1</v>
      </c>
      <c r="D578">
        <v>8</v>
      </c>
      <c r="E578" t="str">
        <f t="shared" si="9"/>
        <v>Crevette/8/3/1</v>
      </c>
    </row>
    <row r="579" spans="1:5" x14ac:dyDescent="0.2">
      <c r="A579">
        <v>4</v>
      </c>
      <c r="B579" t="s">
        <v>55</v>
      </c>
      <c r="C579">
        <v>0</v>
      </c>
      <c r="D579">
        <v>4</v>
      </c>
      <c r="E579" t="str">
        <f t="shared" si="9"/>
        <v>Bounette/4/4/0</v>
      </c>
    </row>
    <row r="580" spans="1:5" x14ac:dyDescent="0.2">
      <c r="A580">
        <v>5</v>
      </c>
      <c r="B580" t="s">
        <v>21</v>
      </c>
      <c r="C580">
        <v>0</v>
      </c>
      <c r="D580">
        <v>2</v>
      </c>
      <c r="E580" t="str">
        <f t="shared" si="9"/>
        <v>Carmin/2/5/0</v>
      </c>
    </row>
    <row r="581" spans="1:5" x14ac:dyDescent="0.2">
      <c r="A581">
        <v>6</v>
      </c>
      <c r="B581" t="s">
        <v>68</v>
      </c>
      <c r="C581">
        <v>0</v>
      </c>
      <c r="D581">
        <v>1</v>
      </c>
      <c r="E581" t="str">
        <f t="shared" si="9"/>
        <v>zubbaz/1/6/0</v>
      </c>
    </row>
    <row r="582" spans="1:5" x14ac:dyDescent="0.2">
      <c r="A582">
        <v>1</v>
      </c>
      <c r="B582" t="s">
        <v>50</v>
      </c>
      <c r="C582">
        <v>1</v>
      </c>
      <c r="D582">
        <v>17</v>
      </c>
      <c r="E582" t="str">
        <f t="shared" si="9"/>
        <v>MLADENGO/17/1/1</v>
      </c>
    </row>
    <row r="583" spans="1:5" x14ac:dyDescent="0.2">
      <c r="A583">
        <v>2</v>
      </c>
      <c r="B583" t="s">
        <v>46</v>
      </c>
      <c r="C583">
        <v>1</v>
      </c>
      <c r="D583">
        <v>13</v>
      </c>
      <c r="E583" t="str">
        <f t="shared" si="9"/>
        <v>Jérôme/13/2/1</v>
      </c>
    </row>
    <row r="584" spans="1:5" x14ac:dyDescent="0.2">
      <c r="A584">
        <v>3</v>
      </c>
      <c r="B584" t="s">
        <v>26</v>
      </c>
      <c r="C584">
        <v>3</v>
      </c>
      <c r="D584">
        <v>9</v>
      </c>
      <c r="E584" t="str">
        <f t="shared" si="9"/>
        <v>LOSOGRE/9/3/3</v>
      </c>
    </row>
    <row r="585" spans="1:5" x14ac:dyDescent="0.2">
      <c r="A585">
        <v>4</v>
      </c>
      <c r="B585" t="s">
        <v>28</v>
      </c>
      <c r="C585">
        <v>1</v>
      </c>
      <c r="D585">
        <v>5</v>
      </c>
      <c r="E585" t="str">
        <f t="shared" si="9"/>
        <v>sobab/5/4/1</v>
      </c>
    </row>
    <row r="586" spans="1:5" x14ac:dyDescent="0.2">
      <c r="A586">
        <v>5</v>
      </c>
      <c r="B586" t="s">
        <v>15</v>
      </c>
      <c r="C586">
        <v>0</v>
      </c>
      <c r="D586">
        <v>3</v>
      </c>
      <c r="E586" t="str">
        <f t="shared" si="9"/>
        <v>LAAtof/3/5/0</v>
      </c>
    </row>
    <row r="587" spans="1:5" x14ac:dyDescent="0.2">
      <c r="A587">
        <v>6</v>
      </c>
      <c r="B587" t="s">
        <v>88</v>
      </c>
      <c r="C587">
        <v>0</v>
      </c>
      <c r="D587">
        <v>2</v>
      </c>
      <c r="E587" t="str">
        <f t="shared" si="9"/>
        <v>Yarael/2/6/0</v>
      </c>
    </row>
    <row r="588" spans="1:5" x14ac:dyDescent="0.2">
      <c r="A588">
        <v>7</v>
      </c>
      <c r="B588" t="s">
        <v>9</v>
      </c>
      <c r="C588">
        <v>0</v>
      </c>
      <c r="D588">
        <v>1</v>
      </c>
      <c r="E588" t="str">
        <f t="shared" si="9"/>
        <v>K1/1/7/0</v>
      </c>
    </row>
    <row r="589" spans="1:5" x14ac:dyDescent="0.2">
      <c r="A589">
        <v>1</v>
      </c>
      <c r="B589" t="s">
        <v>35</v>
      </c>
      <c r="C589">
        <v>5</v>
      </c>
      <c r="D589">
        <v>16</v>
      </c>
      <c r="E589" t="str">
        <f t="shared" si="9"/>
        <v>JeanMichelTiming/16/1/5</v>
      </c>
    </row>
    <row r="590" spans="1:5" x14ac:dyDescent="0.2">
      <c r="A590">
        <v>2</v>
      </c>
      <c r="B590" t="s">
        <v>69</v>
      </c>
      <c r="C590">
        <v>0</v>
      </c>
      <c r="D590">
        <v>12</v>
      </c>
      <c r="E590" t="str">
        <f t="shared" si="9"/>
        <v>Catherine/12/2/0</v>
      </c>
    </row>
    <row r="591" spans="1:5" x14ac:dyDescent="0.2">
      <c r="A591">
        <v>3</v>
      </c>
      <c r="B591" t="s">
        <v>47</v>
      </c>
      <c r="C591">
        <v>0</v>
      </c>
      <c r="D591">
        <v>8</v>
      </c>
      <c r="E591" t="str">
        <f t="shared" si="9"/>
        <v>Logan/8/3/0</v>
      </c>
    </row>
    <row r="592" spans="1:5" x14ac:dyDescent="0.2">
      <c r="A592">
        <v>4</v>
      </c>
      <c r="B592" t="s">
        <v>66</v>
      </c>
      <c r="C592">
        <v>0</v>
      </c>
      <c r="D592">
        <v>4</v>
      </c>
      <c r="E592" t="str">
        <f t="shared" si="9"/>
        <v>Ad Vitam/4/4/0</v>
      </c>
    </row>
    <row r="593" spans="1:5" x14ac:dyDescent="0.2">
      <c r="A593">
        <v>5</v>
      </c>
      <c r="B593" t="s">
        <v>14</v>
      </c>
      <c r="C593">
        <v>0</v>
      </c>
      <c r="D593">
        <v>2</v>
      </c>
      <c r="E593" t="str">
        <f t="shared" si="9"/>
        <v>Ramm/2/5/0</v>
      </c>
    </row>
    <row r="594" spans="1:5" x14ac:dyDescent="0.2">
      <c r="A594">
        <v>6</v>
      </c>
      <c r="B594" t="s">
        <v>103</v>
      </c>
      <c r="C594">
        <v>0</v>
      </c>
      <c r="D594">
        <v>1</v>
      </c>
      <c r="E594" t="str">
        <f t="shared" si="9"/>
        <v>zzav/1/6/0</v>
      </c>
    </row>
    <row r="595" spans="1:5" x14ac:dyDescent="0.2">
      <c r="A595">
        <v>1</v>
      </c>
      <c r="B595" t="s">
        <v>6</v>
      </c>
      <c r="C595">
        <v>1</v>
      </c>
      <c r="D595">
        <v>17</v>
      </c>
      <c r="E595" t="str">
        <f t="shared" si="9"/>
        <v>Pyja/17/1/1</v>
      </c>
    </row>
    <row r="596" spans="1:5" x14ac:dyDescent="0.2">
      <c r="A596">
        <v>2</v>
      </c>
      <c r="B596" t="s">
        <v>40</v>
      </c>
      <c r="C596">
        <v>3</v>
      </c>
      <c r="D596">
        <v>13</v>
      </c>
      <c r="E596" t="str">
        <f t="shared" si="9"/>
        <v>Lén@/13/2/3</v>
      </c>
    </row>
    <row r="597" spans="1:5" x14ac:dyDescent="0.2">
      <c r="A597">
        <v>3</v>
      </c>
      <c r="B597" t="s">
        <v>39</v>
      </c>
      <c r="C597">
        <v>2</v>
      </c>
      <c r="D597">
        <v>9</v>
      </c>
      <c r="E597" t="str">
        <f t="shared" si="9"/>
        <v>kheops/9/3/2</v>
      </c>
    </row>
    <row r="598" spans="1:5" x14ac:dyDescent="0.2">
      <c r="A598">
        <v>4</v>
      </c>
      <c r="B598" t="s">
        <v>42</v>
      </c>
      <c r="C598">
        <v>0</v>
      </c>
      <c r="D598">
        <v>5</v>
      </c>
      <c r="E598" t="str">
        <f t="shared" si="9"/>
        <v>Claptou/5/4/0</v>
      </c>
    </row>
    <row r="599" spans="1:5" x14ac:dyDescent="0.2">
      <c r="A599">
        <v>5</v>
      </c>
      <c r="B599" t="s">
        <v>63</v>
      </c>
      <c r="C599">
        <v>0</v>
      </c>
      <c r="D599">
        <v>3</v>
      </c>
      <c r="E599" t="str">
        <f t="shared" si="9"/>
        <v>Brice/3/5/0</v>
      </c>
    </row>
    <row r="600" spans="1:5" x14ac:dyDescent="0.2">
      <c r="A600">
        <v>6</v>
      </c>
      <c r="B600" t="s">
        <v>81</v>
      </c>
      <c r="C600">
        <v>0</v>
      </c>
      <c r="D600">
        <v>2</v>
      </c>
      <c r="E600" t="str">
        <f t="shared" si="9"/>
        <v>Empedocle/2/6/0</v>
      </c>
    </row>
    <row r="601" spans="1:5" x14ac:dyDescent="0.2">
      <c r="A601">
        <v>7</v>
      </c>
      <c r="B601" t="s">
        <v>23</v>
      </c>
      <c r="C601">
        <v>0</v>
      </c>
      <c r="D601">
        <v>1</v>
      </c>
      <c r="E601" t="str">
        <f t="shared" si="9"/>
        <v>Lylith75/1/7/0</v>
      </c>
    </row>
    <row r="602" spans="1:5" x14ac:dyDescent="0.2">
      <c r="A602">
        <v>1</v>
      </c>
      <c r="B602" t="s">
        <v>59</v>
      </c>
      <c r="C602">
        <v>2</v>
      </c>
      <c r="D602">
        <v>16</v>
      </c>
      <c r="E602" t="str">
        <f t="shared" si="9"/>
        <v>YooooDA/16/1/2</v>
      </c>
    </row>
    <row r="603" spans="1:5" x14ac:dyDescent="0.2">
      <c r="A603">
        <v>2</v>
      </c>
      <c r="B603" t="s">
        <v>41</v>
      </c>
      <c r="C603">
        <v>1</v>
      </c>
      <c r="D603">
        <v>12</v>
      </c>
      <c r="E603" t="str">
        <f t="shared" si="9"/>
        <v>gibouille/12/2/1</v>
      </c>
    </row>
    <row r="604" spans="1:5" x14ac:dyDescent="0.2">
      <c r="A604">
        <v>3</v>
      </c>
      <c r="B604" t="s">
        <v>87</v>
      </c>
      <c r="C604">
        <v>0</v>
      </c>
      <c r="D604">
        <v>8</v>
      </c>
      <c r="E604" t="str">
        <f t="shared" si="9"/>
        <v>Proph@ne/8/3/0</v>
      </c>
    </row>
    <row r="605" spans="1:5" x14ac:dyDescent="0.2">
      <c r="A605">
        <v>4</v>
      </c>
      <c r="B605" t="s">
        <v>53</v>
      </c>
      <c r="C605">
        <v>2</v>
      </c>
      <c r="D605">
        <v>4</v>
      </c>
      <c r="E605" t="str">
        <f t="shared" si="9"/>
        <v>Makoche/4/4/2</v>
      </c>
    </row>
    <row r="606" spans="1:5" x14ac:dyDescent="0.2">
      <c r="A606">
        <v>5</v>
      </c>
      <c r="B606" t="s">
        <v>75</v>
      </c>
      <c r="C606">
        <v>0</v>
      </c>
      <c r="D606">
        <v>2</v>
      </c>
      <c r="E606" t="str">
        <f t="shared" si="9"/>
        <v>Michelbey/2/5/0</v>
      </c>
    </row>
    <row r="607" spans="1:5" x14ac:dyDescent="0.2">
      <c r="A607">
        <v>6</v>
      </c>
      <c r="B607" t="s">
        <v>22</v>
      </c>
      <c r="C607">
        <v>0</v>
      </c>
      <c r="D607">
        <v>1</v>
      </c>
      <c r="E607" t="str">
        <f t="shared" si="9"/>
        <v>Dart 45/1/6/0</v>
      </c>
    </row>
    <row r="608" spans="1:5" x14ac:dyDescent="0.2">
      <c r="A608">
        <v>1</v>
      </c>
      <c r="B608" t="s">
        <v>45</v>
      </c>
      <c r="C608">
        <v>2</v>
      </c>
      <c r="D608">
        <v>17</v>
      </c>
      <c r="E608" t="str">
        <f t="shared" si="9"/>
        <v>yaltar/17/1/2</v>
      </c>
    </row>
    <row r="609" spans="1:5" x14ac:dyDescent="0.2">
      <c r="A609">
        <v>2</v>
      </c>
      <c r="B609" t="s">
        <v>27</v>
      </c>
      <c r="C609">
        <v>2</v>
      </c>
      <c r="D609">
        <v>13</v>
      </c>
      <c r="E609" t="str">
        <f t="shared" si="9"/>
        <v>Mandrake/13/2/2</v>
      </c>
    </row>
    <row r="610" spans="1:5" x14ac:dyDescent="0.2">
      <c r="A610">
        <v>3</v>
      </c>
      <c r="B610" t="s">
        <v>54</v>
      </c>
      <c r="C610">
        <v>0</v>
      </c>
      <c r="D610">
        <v>9</v>
      </c>
      <c r="E610" t="str">
        <f t="shared" si="9"/>
        <v>Salsamanu/9/3/0</v>
      </c>
    </row>
    <row r="611" spans="1:5" x14ac:dyDescent="0.2">
      <c r="A611">
        <v>4</v>
      </c>
      <c r="B611" t="s">
        <v>32</v>
      </c>
      <c r="C611">
        <v>1</v>
      </c>
      <c r="D611">
        <v>5</v>
      </c>
      <c r="E611" t="str">
        <f t="shared" si="9"/>
        <v>OlivierN92/5/4/1</v>
      </c>
    </row>
    <row r="612" spans="1:5" x14ac:dyDescent="0.2">
      <c r="A612">
        <v>5</v>
      </c>
      <c r="B612" t="s">
        <v>25</v>
      </c>
      <c r="C612">
        <v>0</v>
      </c>
      <c r="D612">
        <v>3</v>
      </c>
      <c r="E612" t="str">
        <f t="shared" si="9"/>
        <v>Claudius/3/5/0</v>
      </c>
    </row>
    <row r="613" spans="1:5" x14ac:dyDescent="0.2">
      <c r="A613">
        <v>6</v>
      </c>
      <c r="B613" t="s">
        <v>77</v>
      </c>
      <c r="C613">
        <v>0</v>
      </c>
      <c r="D613">
        <v>2</v>
      </c>
      <c r="E613" t="str">
        <f t="shared" si="9"/>
        <v>Récréatif/2/6/0</v>
      </c>
    </row>
    <row r="614" spans="1:5" x14ac:dyDescent="0.2">
      <c r="A614">
        <v>7</v>
      </c>
      <c r="B614" t="s">
        <v>52</v>
      </c>
      <c r="C614">
        <v>0</v>
      </c>
      <c r="D614">
        <v>1</v>
      </c>
      <c r="E614" t="str">
        <f t="shared" si="9"/>
        <v>Coach Pepito/1/7/0</v>
      </c>
    </row>
    <row r="615" spans="1:5" x14ac:dyDescent="0.2">
      <c r="A615">
        <v>1</v>
      </c>
      <c r="B615" t="s">
        <v>48</v>
      </c>
      <c r="C615">
        <v>3</v>
      </c>
      <c r="D615">
        <v>16</v>
      </c>
      <c r="E615" t="str">
        <f t="shared" si="9"/>
        <v>Pintu/16/1/3</v>
      </c>
    </row>
    <row r="616" spans="1:5" x14ac:dyDescent="0.2">
      <c r="A616">
        <v>2</v>
      </c>
      <c r="B616" t="s">
        <v>21</v>
      </c>
      <c r="C616">
        <v>1</v>
      </c>
      <c r="D616">
        <v>12</v>
      </c>
      <c r="E616" t="str">
        <f t="shared" si="9"/>
        <v>Carmin/12/2/1</v>
      </c>
    </row>
    <row r="617" spans="1:5" x14ac:dyDescent="0.2">
      <c r="A617">
        <v>3</v>
      </c>
      <c r="B617" t="s">
        <v>106</v>
      </c>
      <c r="C617">
        <v>0</v>
      </c>
      <c r="D617">
        <v>8</v>
      </c>
      <c r="E617" t="str">
        <f t="shared" si="9"/>
        <v>Semperfi/8/3/0</v>
      </c>
    </row>
    <row r="618" spans="1:5" x14ac:dyDescent="0.2">
      <c r="A618">
        <v>4</v>
      </c>
      <c r="B618" t="s">
        <v>23</v>
      </c>
      <c r="C618">
        <v>0</v>
      </c>
      <c r="D618">
        <v>4</v>
      </c>
      <c r="E618" t="str">
        <f t="shared" si="9"/>
        <v>Lylith75/4/4/0</v>
      </c>
    </row>
    <row r="619" spans="1:5" x14ac:dyDescent="0.2">
      <c r="A619">
        <v>5</v>
      </c>
      <c r="B619" t="s">
        <v>9</v>
      </c>
      <c r="C619">
        <v>1</v>
      </c>
      <c r="D619">
        <v>2</v>
      </c>
      <c r="E619" t="str">
        <f t="shared" si="9"/>
        <v>K1/2/5/1</v>
      </c>
    </row>
    <row r="620" spans="1:5" x14ac:dyDescent="0.2">
      <c r="A620">
        <v>6</v>
      </c>
      <c r="B620" t="s">
        <v>103</v>
      </c>
      <c r="C620">
        <v>0</v>
      </c>
      <c r="D620">
        <v>1</v>
      </c>
      <c r="E620" t="str">
        <f t="shared" si="9"/>
        <v>zzav/1/6/0</v>
      </c>
    </row>
    <row r="621" spans="1:5" x14ac:dyDescent="0.2">
      <c r="A621">
        <v>1</v>
      </c>
      <c r="B621" t="s">
        <v>8</v>
      </c>
      <c r="C621">
        <v>2</v>
      </c>
      <c r="D621">
        <v>17</v>
      </c>
      <c r="E621" t="str">
        <f t="shared" si="9"/>
        <v>Maxime/17/1/2</v>
      </c>
    </row>
    <row r="622" spans="1:5" x14ac:dyDescent="0.2">
      <c r="A622">
        <v>2</v>
      </c>
      <c r="B622" t="s">
        <v>107</v>
      </c>
      <c r="C622">
        <v>1</v>
      </c>
      <c r="D622">
        <v>13</v>
      </c>
      <c r="E622" t="str">
        <f t="shared" si="9"/>
        <v>Young-Pok/13/2/1</v>
      </c>
    </row>
    <row r="623" spans="1:5" x14ac:dyDescent="0.2">
      <c r="A623">
        <v>3</v>
      </c>
      <c r="B623" t="s">
        <v>54</v>
      </c>
      <c r="C623">
        <v>1</v>
      </c>
      <c r="D623">
        <v>9</v>
      </c>
      <c r="E623" t="str">
        <f t="shared" si="9"/>
        <v>Salsamanu/9/3/1</v>
      </c>
    </row>
    <row r="624" spans="1:5" x14ac:dyDescent="0.2">
      <c r="A624">
        <v>4</v>
      </c>
      <c r="B624" t="s">
        <v>74</v>
      </c>
      <c r="C624">
        <v>1</v>
      </c>
      <c r="D624">
        <v>5</v>
      </c>
      <c r="E624" t="str">
        <f t="shared" si="9"/>
        <v>PatB/5/4/1</v>
      </c>
    </row>
    <row r="625" spans="1:5" x14ac:dyDescent="0.2">
      <c r="A625">
        <v>5</v>
      </c>
      <c r="B625" t="s">
        <v>19</v>
      </c>
      <c r="C625">
        <v>1</v>
      </c>
      <c r="D625">
        <v>3</v>
      </c>
      <c r="E625" t="str">
        <f t="shared" si="9"/>
        <v>Giobeck/3/5/1</v>
      </c>
    </row>
    <row r="626" spans="1:5" x14ac:dyDescent="0.2">
      <c r="A626">
        <v>6</v>
      </c>
      <c r="B626" t="s">
        <v>42</v>
      </c>
      <c r="C626">
        <v>0</v>
      </c>
      <c r="D626">
        <v>2</v>
      </c>
      <c r="E626" t="str">
        <f t="shared" si="9"/>
        <v>Claptou/2/6/0</v>
      </c>
    </row>
    <row r="627" spans="1:5" x14ac:dyDescent="0.2">
      <c r="A627">
        <v>7</v>
      </c>
      <c r="B627" t="s">
        <v>52</v>
      </c>
      <c r="C627">
        <v>0</v>
      </c>
      <c r="D627">
        <v>1</v>
      </c>
      <c r="E627" t="str">
        <f t="shared" si="9"/>
        <v>Coach Pepito/1/7/0</v>
      </c>
    </row>
    <row r="628" spans="1:5" x14ac:dyDescent="0.2">
      <c r="A628">
        <v>1</v>
      </c>
      <c r="B628" t="s">
        <v>101</v>
      </c>
      <c r="C628">
        <v>3</v>
      </c>
      <c r="D628">
        <v>17</v>
      </c>
      <c r="E628" t="str">
        <f t="shared" si="9"/>
        <v>ChrisFrankfurt/17/1/3</v>
      </c>
    </row>
    <row r="629" spans="1:5" x14ac:dyDescent="0.2">
      <c r="A629">
        <v>2</v>
      </c>
      <c r="B629" t="s">
        <v>77</v>
      </c>
      <c r="C629">
        <v>1</v>
      </c>
      <c r="D629">
        <v>13</v>
      </c>
      <c r="E629" t="str">
        <f t="shared" si="9"/>
        <v>Récréatif/13/2/1</v>
      </c>
    </row>
    <row r="630" spans="1:5" x14ac:dyDescent="0.2">
      <c r="A630">
        <v>3</v>
      </c>
      <c r="B630" t="s">
        <v>41</v>
      </c>
      <c r="C630">
        <v>0</v>
      </c>
      <c r="D630">
        <v>9</v>
      </c>
      <c r="E630" t="str">
        <f t="shared" si="9"/>
        <v>gibouille/9/3/0</v>
      </c>
    </row>
    <row r="631" spans="1:5" x14ac:dyDescent="0.2">
      <c r="A631">
        <v>4</v>
      </c>
      <c r="B631" t="s">
        <v>14</v>
      </c>
      <c r="C631">
        <v>1</v>
      </c>
      <c r="D631">
        <v>5</v>
      </c>
      <c r="E631" t="str">
        <f t="shared" si="9"/>
        <v>Ramm/5/4/1</v>
      </c>
    </row>
    <row r="632" spans="1:5" x14ac:dyDescent="0.2">
      <c r="A632">
        <v>5</v>
      </c>
      <c r="B632" t="s">
        <v>91</v>
      </c>
      <c r="C632">
        <v>1</v>
      </c>
      <c r="D632">
        <v>3</v>
      </c>
      <c r="E632" t="str">
        <f t="shared" si="9"/>
        <v>Crevette/3/5/1</v>
      </c>
    </row>
    <row r="633" spans="1:5" x14ac:dyDescent="0.2">
      <c r="A633">
        <v>6</v>
      </c>
      <c r="B633" t="s">
        <v>73</v>
      </c>
      <c r="C633">
        <v>0</v>
      </c>
      <c r="D633">
        <v>2</v>
      </c>
      <c r="E633" t="str">
        <f t="shared" si="9"/>
        <v>Flem/2/6/0</v>
      </c>
    </row>
    <row r="634" spans="1:5" x14ac:dyDescent="0.2">
      <c r="A634">
        <v>7</v>
      </c>
      <c r="B634" t="s">
        <v>63</v>
      </c>
      <c r="C634">
        <v>0</v>
      </c>
      <c r="D634">
        <v>1</v>
      </c>
      <c r="E634" t="str">
        <f t="shared" si="9"/>
        <v>Brice/1/7/0</v>
      </c>
    </row>
    <row r="635" spans="1:5" x14ac:dyDescent="0.2">
      <c r="A635">
        <v>1</v>
      </c>
      <c r="B635" t="s">
        <v>28</v>
      </c>
      <c r="C635">
        <v>2</v>
      </c>
      <c r="D635">
        <v>17</v>
      </c>
      <c r="E635" t="str">
        <f t="shared" si="9"/>
        <v>sobab/17/1/2</v>
      </c>
    </row>
    <row r="636" spans="1:5" x14ac:dyDescent="0.2">
      <c r="A636">
        <v>2</v>
      </c>
      <c r="B636" t="s">
        <v>18</v>
      </c>
      <c r="C636">
        <v>2</v>
      </c>
      <c r="D636">
        <v>13</v>
      </c>
      <c r="E636" t="str">
        <f t="shared" si="9"/>
        <v>MAMS/13/2/2</v>
      </c>
    </row>
    <row r="637" spans="1:5" x14ac:dyDescent="0.2">
      <c r="A637">
        <v>3</v>
      </c>
      <c r="B637" t="s">
        <v>40</v>
      </c>
      <c r="C637">
        <v>2</v>
      </c>
      <c r="D637">
        <v>9</v>
      </c>
      <c r="E637" t="str">
        <f t="shared" si="9"/>
        <v>Lén@/9/3/2</v>
      </c>
    </row>
    <row r="638" spans="1:5" x14ac:dyDescent="0.2">
      <c r="A638">
        <v>4</v>
      </c>
      <c r="B638" t="s">
        <v>32</v>
      </c>
      <c r="C638">
        <v>0</v>
      </c>
      <c r="D638">
        <v>5</v>
      </c>
      <c r="E638" t="str">
        <f t="shared" si="9"/>
        <v>OlivierN92/5/4/0</v>
      </c>
    </row>
    <row r="639" spans="1:5" x14ac:dyDescent="0.2">
      <c r="A639">
        <v>5</v>
      </c>
      <c r="B639" t="s">
        <v>15</v>
      </c>
      <c r="C639">
        <v>0</v>
      </c>
      <c r="D639">
        <v>3</v>
      </c>
      <c r="E639" t="str">
        <f t="shared" si="9"/>
        <v>LAAtof/3/5/0</v>
      </c>
    </row>
    <row r="640" spans="1:5" x14ac:dyDescent="0.2">
      <c r="A640">
        <v>6</v>
      </c>
      <c r="B640" t="s">
        <v>76</v>
      </c>
      <c r="C640">
        <v>0</v>
      </c>
      <c r="D640">
        <v>2</v>
      </c>
      <c r="E640" t="str">
        <f t="shared" si="9"/>
        <v>Comment2/2/6/0</v>
      </c>
    </row>
    <row r="641" spans="1:5" x14ac:dyDescent="0.2">
      <c r="A641">
        <v>7</v>
      </c>
      <c r="B641" t="s">
        <v>27</v>
      </c>
      <c r="C641">
        <v>0</v>
      </c>
      <c r="D641">
        <v>1</v>
      </c>
      <c r="E641" t="str">
        <f t="shared" ref="E641:E704" si="10">B641&amp;"/"&amp;D641&amp;"/"&amp;A641&amp;"/"&amp;C641</f>
        <v>Mandrake/1/7/0</v>
      </c>
    </row>
    <row r="642" spans="1:5" x14ac:dyDescent="0.2">
      <c r="A642">
        <v>1</v>
      </c>
      <c r="B642" t="s">
        <v>65</v>
      </c>
      <c r="C642">
        <v>3</v>
      </c>
      <c r="D642">
        <v>17</v>
      </c>
      <c r="E642" t="str">
        <f t="shared" si="10"/>
        <v>Ripolin/17/1/3</v>
      </c>
    </row>
    <row r="643" spans="1:5" x14ac:dyDescent="0.2">
      <c r="A643">
        <v>2</v>
      </c>
      <c r="B643" t="s">
        <v>50</v>
      </c>
      <c r="C643">
        <v>2</v>
      </c>
      <c r="D643">
        <v>13</v>
      </c>
      <c r="E643" t="str">
        <f t="shared" si="10"/>
        <v>MLADENGO/13/2/2</v>
      </c>
    </row>
    <row r="644" spans="1:5" x14ac:dyDescent="0.2">
      <c r="A644">
        <v>3</v>
      </c>
      <c r="B644" t="s">
        <v>12</v>
      </c>
      <c r="C644">
        <v>0</v>
      </c>
      <c r="D644">
        <v>9</v>
      </c>
      <c r="E644" t="str">
        <f t="shared" si="10"/>
        <v>Gnak/9/3/0</v>
      </c>
    </row>
    <row r="645" spans="1:5" x14ac:dyDescent="0.2">
      <c r="A645">
        <v>4</v>
      </c>
      <c r="B645" t="s">
        <v>26</v>
      </c>
      <c r="C645">
        <v>1</v>
      </c>
      <c r="D645">
        <v>5</v>
      </c>
      <c r="E645" t="str">
        <f t="shared" si="10"/>
        <v>LOSOGRE/5/4/1</v>
      </c>
    </row>
    <row r="646" spans="1:5" x14ac:dyDescent="0.2">
      <c r="A646">
        <v>5</v>
      </c>
      <c r="B646" t="s">
        <v>47</v>
      </c>
      <c r="C646">
        <v>0</v>
      </c>
      <c r="D646">
        <v>3</v>
      </c>
      <c r="E646" t="str">
        <f t="shared" si="10"/>
        <v>Logan/3/5/0</v>
      </c>
    </row>
    <row r="647" spans="1:5" x14ac:dyDescent="0.2">
      <c r="A647">
        <v>6</v>
      </c>
      <c r="B647" t="s">
        <v>75</v>
      </c>
      <c r="C647">
        <v>0</v>
      </c>
      <c r="D647">
        <v>2</v>
      </c>
      <c r="E647" t="str">
        <f t="shared" si="10"/>
        <v>Michelbey/2/6/0</v>
      </c>
    </row>
    <row r="648" spans="1:5" x14ac:dyDescent="0.2">
      <c r="A648">
        <v>7</v>
      </c>
      <c r="B648" t="s">
        <v>59</v>
      </c>
      <c r="C648">
        <v>0</v>
      </c>
      <c r="D648">
        <v>1</v>
      </c>
      <c r="E648" t="str">
        <f t="shared" si="10"/>
        <v>YooooDA/1/7/0</v>
      </c>
    </row>
    <row r="649" spans="1:5" x14ac:dyDescent="0.2">
      <c r="A649">
        <v>1</v>
      </c>
      <c r="B649" t="s">
        <v>6</v>
      </c>
      <c r="C649">
        <v>2</v>
      </c>
      <c r="D649">
        <v>17</v>
      </c>
      <c r="E649" t="str">
        <f t="shared" si="10"/>
        <v>Pyja/17/1/2</v>
      </c>
    </row>
    <row r="650" spans="1:5" x14ac:dyDescent="0.2">
      <c r="A650">
        <v>2</v>
      </c>
      <c r="B650" t="s">
        <v>25</v>
      </c>
      <c r="C650">
        <v>2</v>
      </c>
      <c r="D650">
        <v>13</v>
      </c>
      <c r="E650" t="str">
        <f t="shared" si="10"/>
        <v>Claudius/13/2/2</v>
      </c>
    </row>
    <row r="651" spans="1:5" x14ac:dyDescent="0.2">
      <c r="A651">
        <v>3</v>
      </c>
      <c r="B651" t="s">
        <v>88</v>
      </c>
      <c r="C651">
        <v>2</v>
      </c>
      <c r="D651">
        <v>9</v>
      </c>
      <c r="E651" t="str">
        <f t="shared" si="10"/>
        <v>Yarael/9/3/2</v>
      </c>
    </row>
    <row r="652" spans="1:5" x14ac:dyDescent="0.2">
      <c r="A652">
        <v>4</v>
      </c>
      <c r="B652" t="s">
        <v>46</v>
      </c>
      <c r="C652">
        <v>0</v>
      </c>
      <c r="D652">
        <v>5</v>
      </c>
      <c r="E652" t="str">
        <f t="shared" si="10"/>
        <v>Jérôme/5/4/0</v>
      </c>
    </row>
    <row r="653" spans="1:5" x14ac:dyDescent="0.2">
      <c r="A653">
        <v>5</v>
      </c>
      <c r="B653" t="s">
        <v>69</v>
      </c>
      <c r="C653">
        <v>0</v>
      </c>
      <c r="D653">
        <v>3</v>
      </c>
      <c r="E653" t="str">
        <f t="shared" si="10"/>
        <v>Catherine/3/5/0</v>
      </c>
    </row>
    <row r="654" spans="1:5" x14ac:dyDescent="0.2">
      <c r="A654">
        <v>6</v>
      </c>
      <c r="B654" t="s">
        <v>53</v>
      </c>
      <c r="C654">
        <v>0</v>
      </c>
      <c r="D654">
        <v>2</v>
      </c>
      <c r="E654" t="str">
        <f t="shared" si="10"/>
        <v>Makoche/2/6/0</v>
      </c>
    </row>
    <row r="655" spans="1:5" x14ac:dyDescent="0.2">
      <c r="A655">
        <v>7</v>
      </c>
      <c r="B655" t="s">
        <v>22</v>
      </c>
      <c r="C655">
        <v>0</v>
      </c>
      <c r="D655">
        <v>1</v>
      </c>
      <c r="E655" t="str">
        <f t="shared" si="10"/>
        <v>Dart 45/1/7/0</v>
      </c>
    </row>
    <row r="656" spans="1:5" x14ac:dyDescent="0.2">
      <c r="A656">
        <v>1</v>
      </c>
      <c r="B656" t="s">
        <v>87</v>
      </c>
      <c r="C656">
        <v>2</v>
      </c>
      <c r="D656">
        <v>17</v>
      </c>
      <c r="E656" t="str">
        <f t="shared" si="10"/>
        <v>Proph@ne/17/1/2</v>
      </c>
    </row>
    <row r="657" spans="1:5" x14ac:dyDescent="0.2">
      <c r="A657">
        <v>2</v>
      </c>
      <c r="B657" t="s">
        <v>68</v>
      </c>
      <c r="C657">
        <v>3</v>
      </c>
      <c r="D657">
        <v>13</v>
      </c>
      <c r="E657" t="str">
        <f t="shared" si="10"/>
        <v>zubbaz/13/2/3</v>
      </c>
    </row>
    <row r="658" spans="1:5" x14ac:dyDescent="0.2">
      <c r="A658">
        <v>3</v>
      </c>
      <c r="B658" t="s">
        <v>55</v>
      </c>
      <c r="C658">
        <v>1</v>
      </c>
      <c r="D658">
        <v>9</v>
      </c>
      <c r="E658" t="str">
        <f t="shared" si="10"/>
        <v>Bounette/9/3/1</v>
      </c>
    </row>
    <row r="659" spans="1:5" x14ac:dyDescent="0.2">
      <c r="A659">
        <v>4</v>
      </c>
      <c r="B659" t="s">
        <v>66</v>
      </c>
      <c r="C659">
        <v>0</v>
      </c>
      <c r="D659">
        <v>5</v>
      </c>
      <c r="E659" t="str">
        <f t="shared" si="10"/>
        <v>Ad Vitam/5/4/0</v>
      </c>
    </row>
    <row r="660" spans="1:5" x14ac:dyDescent="0.2">
      <c r="A660">
        <v>5</v>
      </c>
      <c r="B660" t="s">
        <v>31</v>
      </c>
      <c r="C660">
        <v>0</v>
      </c>
      <c r="D660">
        <v>3</v>
      </c>
      <c r="E660" t="str">
        <f t="shared" si="10"/>
        <v>CHRIS92340/3/5/0</v>
      </c>
    </row>
    <row r="661" spans="1:5" x14ac:dyDescent="0.2">
      <c r="A661">
        <v>6</v>
      </c>
      <c r="B661" t="s">
        <v>39</v>
      </c>
      <c r="C661">
        <v>0</v>
      </c>
      <c r="D661">
        <v>2</v>
      </c>
      <c r="E661" t="str">
        <f t="shared" si="10"/>
        <v>kheops/2/6/0</v>
      </c>
    </row>
    <row r="662" spans="1:5" x14ac:dyDescent="0.2">
      <c r="A662">
        <v>7</v>
      </c>
      <c r="B662" t="s">
        <v>45</v>
      </c>
      <c r="C662">
        <v>0</v>
      </c>
      <c r="D662">
        <v>1</v>
      </c>
      <c r="E662" t="str">
        <f t="shared" si="10"/>
        <v>yaltar/1/7/0</v>
      </c>
    </row>
    <row r="663" spans="1:5" x14ac:dyDescent="0.2">
      <c r="A663">
        <v>1</v>
      </c>
      <c r="B663" t="s">
        <v>45</v>
      </c>
      <c r="C663">
        <v>5</v>
      </c>
      <c r="D663">
        <v>16</v>
      </c>
      <c r="E663" t="str">
        <f t="shared" si="10"/>
        <v>yaltar/16/1/5</v>
      </c>
    </row>
    <row r="664" spans="1:5" x14ac:dyDescent="0.2">
      <c r="A664">
        <v>2</v>
      </c>
      <c r="B664" t="s">
        <v>25</v>
      </c>
      <c r="C664">
        <v>0</v>
      </c>
      <c r="D664">
        <v>12</v>
      </c>
      <c r="E664" t="str">
        <f t="shared" si="10"/>
        <v>Claudius/12/2/0</v>
      </c>
    </row>
    <row r="665" spans="1:5" x14ac:dyDescent="0.2">
      <c r="A665">
        <v>3</v>
      </c>
      <c r="B665" t="s">
        <v>74</v>
      </c>
      <c r="C665">
        <v>0</v>
      </c>
      <c r="D665">
        <v>8</v>
      </c>
      <c r="E665" t="str">
        <f t="shared" si="10"/>
        <v>PatB/8/3/0</v>
      </c>
    </row>
    <row r="666" spans="1:5" x14ac:dyDescent="0.2">
      <c r="A666">
        <v>4</v>
      </c>
      <c r="B666" t="s">
        <v>31</v>
      </c>
      <c r="C666">
        <v>0</v>
      </c>
      <c r="D666">
        <v>4</v>
      </c>
      <c r="E666" t="str">
        <f t="shared" si="10"/>
        <v>CHRIS92340/4/4/0</v>
      </c>
    </row>
    <row r="667" spans="1:5" x14ac:dyDescent="0.2">
      <c r="A667">
        <v>5</v>
      </c>
      <c r="B667" t="s">
        <v>96</v>
      </c>
      <c r="C667">
        <v>0</v>
      </c>
      <c r="D667">
        <v>2</v>
      </c>
      <c r="E667" t="str">
        <f t="shared" si="10"/>
        <v>Gui/2/5/0</v>
      </c>
    </row>
    <row r="668" spans="1:5" x14ac:dyDescent="0.2">
      <c r="A668">
        <v>6</v>
      </c>
      <c r="B668" t="s">
        <v>28</v>
      </c>
      <c r="C668">
        <v>0</v>
      </c>
      <c r="D668">
        <v>1</v>
      </c>
      <c r="E668" t="str">
        <f t="shared" si="10"/>
        <v>sobab/1/6/0</v>
      </c>
    </row>
    <row r="669" spans="1:5" x14ac:dyDescent="0.2">
      <c r="A669">
        <v>1</v>
      </c>
      <c r="B669" t="s">
        <v>41</v>
      </c>
      <c r="C669">
        <v>2</v>
      </c>
      <c r="D669">
        <v>16</v>
      </c>
      <c r="E669" t="str">
        <f t="shared" si="10"/>
        <v>gibouille/16/1/2</v>
      </c>
    </row>
    <row r="670" spans="1:5" x14ac:dyDescent="0.2">
      <c r="A670">
        <v>2</v>
      </c>
      <c r="B670" t="s">
        <v>101</v>
      </c>
      <c r="C670">
        <v>1</v>
      </c>
      <c r="D670">
        <v>12</v>
      </c>
      <c r="E670" t="str">
        <f t="shared" si="10"/>
        <v>ChrisFrankfurt/12/2/1</v>
      </c>
    </row>
    <row r="671" spans="1:5" x14ac:dyDescent="0.2">
      <c r="A671">
        <v>3</v>
      </c>
      <c r="B671" t="s">
        <v>102</v>
      </c>
      <c r="C671">
        <v>1</v>
      </c>
      <c r="D671">
        <v>8</v>
      </c>
      <c r="E671" t="str">
        <f t="shared" si="10"/>
        <v>Doudoululu/8/3/1</v>
      </c>
    </row>
    <row r="672" spans="1:5" x14ac:dyDescent="0.2">
      <c r="A672">
        <v>4</v>
      </c>
      <c r="B672" t="s">
        <v>9</v>
      </c>
      <c r="C672">
        <v>1</v>
      </c>
      <c r="D672">
        <v>4</v>
      </c>
      <c r="E672" t="str">
        <f t="shared" si="10"/>
        <v>K1/4/4/1</v>
      </c>
    </row>
    <row r="673" spans="1:5" x14ac:dyDescent="0.2">
      <c r="A673">
        <v>5</v>
      </c>
      <c r="B673" t="s">
        <v>40</v>
      </c>
      <c r="C673">
        <v>0</v>
      </c>
      <c r="D673">
        <v>2</v>
      </c>
      <c r="E673" t="str">
        <f t="shared" si="10"/>
        <v>Lén@/2/5/0</v>
      </c>
    </row>
    <row r="674" spans="1:5" x14ac:dyDescent="0.2">
      <c r="A674">
        <v>6</v>
      </c>
      <c r="B674" t="s">
        <v>26</v>
      </c>
      <c r="C674">
        <v>0</v>
      </c>
      <c r="D674">
        <v>1</v>
      </c>
      <c r="E674" t="str">
        <f t="shared" si="10"/>
        <v>LOSOGRE/1/6/0</v>
      </c>
    </row>
    <row r="675" spans="1:5" x14ac:dyDescent="0.2">
      <c r="A675">
        <v>1</v>
      </c>
      <c r="B675" t="s">
        <v>87</v>
      </c>
      <c r="C675">
        <v>2</v>
      </c>
      <c r="D675">
        <v>15</v>
      </c>
      <c r="E675" t="str">
        <f t="shared" si="10"/>
        <v>Proph@ne/15/1/2</v>
      </c>
    </row>
    <row r="676" spans="1:5" x14ac:dyDescent="0.2">
      <c r="A676">
        <v>2</v>
      </c>
      <c r="B676" t="s">
        <v>8</v>
      </c>
      <c r="C676">
        <v>1</v>
      </c>
      <c r="D676">
        <v>11</v>
      </c>
      <c r="E676" t="str">
        <f t="shared" si="10"/>
        <v>Maxime/11/2/1</v>
      </c>
    </row>
    <row r="677" spans="1:5" x14ac:dyDescent="0.2">
      <c r="A677">
        <v>3</v>
      </c>
      <c r="B677" t="s">
        <v>33</v>
      </c>
      <c r="C677">
        <v>1</v>
      </c>
      <c r="D677">
        <v>7</v>
      </c>
      <c r="E677" t="str">
        <f t="shared" si="10"/>
        <v>Ptit Savoyard/7/3/1</v>
      </c>
    </row>
    <row r="678" spans="1:5" x14ac:dyDescent="0.2">
      <c r="A678">
        <v>4</v>
      </c>
      <c r="B678" t="s">
        <v>47</v>
      </c>
      <c r="C678">
        <v>0</v>
      </c>
      <c r="D678">
        <v>3</v>
      </c>
      <c r="E678" t="str">
        <f t="shared" si="10"/>
        <v>Logan/3/4/0</v>
      </c>
    </row>
    <row r="679" spans="1:5" x14ac:dyDescent="0.2">
      <c r="A679">
        <v>5</v>
      </c>
      <c r="B679" t="s">
        <v>23</v>
      </c>
      <c r="C679">
        <v>0</v>
      </c>
      <c r="D679">
        <v>1</v>
      </c>
      <c r="E679" t="str">
        <f t="shared" si="10"/>
        <v>Lylith75/1/5/0</v>
      </c>
    </row>
    <row r="680" spans="1:5" x14ac:dyDescent="0.2">
      <c r="A680">
        <v>1</v>
      </c>
      <c r="B680" t="s">
        <v>22</v>
      </c>
      <c r="C680">
        <v>2</v>
      </c>
      <c r="D680">
        <v>16</v>
      </c>
      <c r="E680" t="str">
        <f t="shared" si="10"/>
        <v>Dart 45/16/1/2</v>
      </c>
    </row>
    <row r="681" spans="1:5" x14ac:dyDescent="0.2">
      <c r="A681">
        <v>2</v>
      </c>
      <c r="B681" t="s">
        <v>103</v>
      </c>
      <c r="C681">
        <v>1</v>
      </c>
      <c r="D681">
        <v>12</v>
      </c>
      <c r="E681" t="str">
        <f t="shared" si="10"/>
        <v>zzav/12/2/1</v>
      </c>
    </row>
    <row r="682" spans="1:5" x14ac:dyDescent="0.2">
      <c r="A682">
        <v>3</v>
      </c>
      <c r="B682" t="s">
        <v>18</v>
      </c>
      <c r="C682">
        <v>1</v>
      </c>
      <c r="D682">
        <v>8</v>
      </c>
      <c r="E682" t="str">
        <f t="shared" si="10"/>
        <v>MAMS/8/3/1</v>
      </c>
    </row>
    <row r="683" spans="1:5" x14ac:dyDescent="0.2">
      <c r="A683">
        <v>4</v>
      </c>
      <c r="B683" t="s">
        <v>32</v>
      </c>
      <c r="C683">
        <v>1</v>
      </c>
      <c r="D683">
        <v>4</v>
      </c>
      <c r="E683" t="str">
        <f t="shared" si="10"/>
        <v>OlivierN92/4/4/1</v>
      </c>
    </row>
    <row r="684" spans="1:5" x14ac:dyDescent="0.2">
      <c r="A684">
        <v>5</v>
      </c>
      <c r="B684" t="s">
        <v>19</v>
      </c>
      <c r="C684">
        <v>0</v>
      </c>
      <c r="D684">
        <v>2</v>
      </c>
      <c r="E684" t="str">
        <f t="shared" si="10"/>
        <v>Giobeck/2/5/0</v>
      </c>
    </row>
    <row r="685" spans="1:5" x14ac:dyDescent="0.2">
      <c r="A685">
        <v>6</v>
      </c>
      <c r="B685" t="s">
        <v>75</v>
      </c>
      <c r="C685">
        <v>0</v>
      </c>
      <c r="D685">
        <v>1</v>
      </c>
      <c r="E685" t="str">
        <f t="shared" si="10"/>
        <v>Michelbey/1/6/0</v>
      </c>
    </row>
    <row r="686" spans="1:5" x14ac:dyDescent="0.2">
      <c r="A686">
        <v>1</v>
      </c>
      <c r="B686" t="s">
        <v>46</v>
      </c>
      <c r="C686">
        <v>3</v>
      </c>
      <c r="D686">
        <v>15</v>
      </c>
      <c r="E686" t="str">
        <f t="shared" si="10"/>
        <v>Jérôme/15/1/3</v>
      </c>
    </row>
    <row r="687" spans="1:5" x14ac:dyDescent="0.2">
      <c r="A687">
        <v>2</v>
      </c>
      <c r="B687" t="s">
        <v>35</v>
      </c>
      <c r="C687">
        <v>1</v>
      </c>
      <c r="D687">
        <v>11</v>
      </c>
      <c r="E687" t="str">
        <f t="shared" si="10"/>
        <v>JeanMichelTiming/11/2/1</v>
      </c>
    </row>
    <row r="688" spans="1:5" x14ac:dyDescent="0.2">
      <c r="A688">
        <v>3</v>
      </c>
      <c r="B688" t="s">
        <v>6</v>
      </c>
      <c r="C688">
        <v>0</v>
      </c>
      <c r="D688">
        <v>7</v>
      </c>
      <c r="E688" t="str">
        <f t="shared" si="10"/>
        <v>Pyja/7/3/0</v>
      </c>
    </row>
    <row r="689" spans="1:5" x14ac:dyDescent="0.2">
      <c r="A689">
        <v>4</v>
      </c>
      <c r="B689" t="s">
        <v>69</v>
      </c>
      <c r="C689">
        <v>0</v>
      </c>
      <c r="D689">
        <v>3</v>
      </c>
      <c r="E689" t="str">
        <f t="shared" si="10"/>
        <v>Catherine/3/4/0</v>
      </c>
    </row>
    <row r="690" spans="1:5" x14ac:dyDescent="0.2">
      <c r="A690">
        <v>5</v>
      </c>
      <c r="B690" t="s">
        <v>15</v>
      </c>
      <c r="C690">
        <v>0</v>
      </c>
      <c r="D690">
        <v>1</v>
      </c>
      <c r="E690" t="str">
        <f t="shared" si="10"/>
        <v>LAAtof/1/5/0</v>
      </c>
    </row>
    <row r="691" spans="1:5" x14ac:dyDescent="0.2">
      <c r="A691">
        <v>1</v>
      </c>
      <c r="B691" t="s">
        <v>55</v>
      </c>
      <c r="C691">
        <v>4</v>
      </c>
      <c r="D691">
        <v>16</v>
      </c>
      <c r="E691" t="str">
        <f t="shared" si="10"/>
        <v>Bounette/16/1/4</v>
      </c>
    </row>
    <row r="692" spans="1:5" x14ac:dyDescent="0.2">
      <c r="A692">
        <v>2</v>
      </c>
      <c r="B692" t="s">
        <v>60</v>
      </c>
      <c r="C692">
        <v>1</v>
      </c>
      <c r="D692">
        <v>12</v>
      </c>
      <c r="E692" t="str">
        <f t="shared" si="10"/>
        <v>zizou/12/2/1</v>
      </c>
    </row>
    <row r="693" spans="1:5" x14ac:dyDescent="0.2">
      <c r="A693">
        <v>3</v>
      </c>
      <c r="B693" t="s">
        <v>14</v>
      </c>
      <c r="C693">
        <v>0</v>
      </c>
      <c r="D693">
        <v>8</v>
      </c>
      <c r="E693" t="str">
        <f t="shared" si="10"/>
        <v>Ramm/8/3/0</v>
      </c>
    </row>
    <row r="694" spans="1:5" x14ac:dyDescent="0.2">
      <c r="A694">
        <v>4</v>
      </c>
      <c r="B694" t="s">
        <v>97</v>
      </c>
      <c r="C694">
        <v>0</v>
      </c>
      <c r="D694">
        <v>4</v>
      </c>
      <c r="E694" t="str">
        <f t="shared" si="10"/>
        <v>Quartz/4/4/0</v>
      </c>
    </row>
    <row r="695" spans="1:5" x14ac:dyDescent="0.2">
      <c r="A695">
        <v>5</v>
      </c>
      <c r="B695" t="s">
        <v>59</v>
      </c>
      <c r="C695">
        <v>0</v>
      </c>
      <c r="D695">
        <v>2</v>
      </c>
      <c r="E695" t="str">
        <f t="shared" si="10"/>
        <v>YooooDA/2/5/0</v>
      </c>
    </row>
    <row r="696" spans="1:5" x14ac:dyDescent="0.2">
      <c r="A696">
        <v>6</v>
      </c>
      <c r="B696" t="s">
        <v>39</v>
      </c>
      <c r="C696">
        <v>0</v>
      </c>
      <c r="D696">
        <v>1</v>
      </c>
      <c r="E696" t="str">
        <f t="shared" si="10"/>
        <v>kheops/1/6/0</v>
      </c>
    </row>
    <row r="697" spans="1:5" x14ac:dyDescent="0.2">
      <c r="A697">
        <v>1</v>
      </c>
      <c r="B697" t="s">
        <v>12</v>
      </c>
      <c r="C697">
        <v>4</v>
      </c>
      <c r="D697">
        <v>16</v>
      </c>
      <c r="E697" t="str">
        <f t="shared" si="10"/>
        <v>Gnak/16/1/4</v>
      </c>
    </row>
    <row r="698" spans="1:5" x14ac:dyDescent="0.2">
      <c r="A698">
        <v>2</v>
      </c>
      <c r="B698" t="s">
        <v>46</v>
      </c>
      <c r="C698">
        <v>1</v>
      </c>
      <c r="D698">
        <v>12</v>
      </c>
      <c r="E698" t="str">
        <f t="shared" si="10"/>
        <v>Jérôme/12/2/1</v>
      </c>
    </row>
    <row r="699" spans="1:5" x14ac:dyDescent="0.2">
      <c r="A699">
        <v>3</v>
      </c>
      <c r="B699" t="s">
        <v>102</v>
      </c>
      <c r="C699">
        <v>0</v>
      </c>
      <c r="D699">
        <v>8</v>
      </c>
      <c r="E699" t="str">
        <f t="shared" si="10"/>
        <v>Doudoululu/8/3/0</v>
      </c>
    </row>
    <row r="700" spans="1:5" x14ac:dyDescent="0.2">
      <c r="A700">
        <v>4</v>
      </c>
      <c r="B700" t="s">
        <v>45</v>
      </c>
      <c r="C700">
        <v>0</v>
      </c>
      <c r="D700">
        <v>4</v>
      </c>
      <c r="E700" t="str">
        <f t="shared" si="10"/>
        <v>yaltar/4/4/0</v>
      </c>
    </row>
    <row r="701" spans="1:5" x14ac:dyDescent="0.2">
      <c r="A701">
        <v>5</v>
      </c>
      <c r="B701" t="s">
        <v>32</v>
      </c>
      <c r="C701">
        <v>0</v>
      </c>
      <c r="D701">
        <v>2</v>
      </c>
      <c r="E701" t="str">
        <f t="shared" si="10"/>
        <v>OlivierN92/2/5/0</v>
      </c>
    </row>
    <row r="702" spans="1:5" x14ac:dyDescent="0.2">
      <c r="A702">
        <v>6</v>
      </c>
      <c r="B702" t="s">
        <v>69</v>
      </c>
      <c r="C702">
        <v>0</v>
      </c>
      <c r="D702">
        <v>1</v>
      </c>
      <c r="E702" t="str">
        <f t="shared" si="10"/>
        <v>Catherine/1/6/0</v>
      </c>
    </row>
    <row r="703" spans="1:5" x14ac:dyDescent="0.2">
      <c r="A703">
        <v>1</v>
      </c>
      <c r="B703" t="s">
        <v>8</v>
      </c>
      <c r="C703">
        <v>1</v>
      </c>
      <c r="D703">
        <v>16</v>
      </c>
      <c r="E703" t="str">
        <f t="shared" si="10"/>
        <v>Maxime/16/1/1</v>
      </c>
    </row>
    <row r="704" spans="1:5" x14ac:dyDescent="0.2">
      <c r="A704">
        <v>2</v>
      </c>
      <c r="B704" t="s">
        <v>42</v>
      </c>
      <c r="C704">
        <v>3</v>
      </c>
      <c r="D704">
        <v>12</v>
      </c>
      <c r="E704" t="str">
        <f t="shared" si="10"/>
        <v>Claptou/12/2/3</v>
      </c>
    </row>
    <row r="705" spans="1:5" x14ac:dyDescent="0.2">
      <c r="A705">
        <v>3</v>
      </c>
      <c r="B705" t="s">
        <v>40</v>
      </c>
      <c r="C705">
        <v>1</v>
      </c>
      <c r="D705">
        <v>8</v>
      </c>
      <c r="E705" t="str">
        <f t="shared" ref="E705:E768" si="11">B705&amp;"/"&amp;D705&amp;"/"&amp;A705&amp;"/"&amp;C705</f>
        <v>Lén@/8/3/1</v>
      </c>
    </row>
    <row r="706" spans="1:5" x14ac:dyDescent="0.2">
      <c r="A706">
        <v>4</v>
      </c>
      <c r="B706" t="s">
        <v>65</v>
      </c>
      <c r="C706">
        <v>0</v>
      </c>
      <c r="D706">
        <v>4</v>
      </c>
      <c r="E706" t="str">
        <f t="shared" si="11"/>
        <v>Ripolin/4/4/0</v>
      </c>
    </row>
    <row r="707" spans="1:5" x14ac:dyDescent="0.2">
      <c r="A707">
        <v>5</v>
      </c>
      <c r="B707" t="s">
        <v>101</v>
      </c>
      <c r="C707">
        <v>0</v>
      </c>
      <c r="D707">
        <v>2</v>
      </c>
      <c r="E707" t="str">
        <f t="shared" si="11"/>
        <v>ChrisFrankfurt/2/5/0</v>
      </c>
    </row>
    <row r="708" spans="1:5" x14ac:dyDescent="0.2">
      <c r="A708">
        <v>6</v>
      </c>
      <c r="B708" t="s">
        <v>28</v>
      </c>
      <c r="C708">
        <v>0</v>
      </c>
      <c r="D708">
        <v>1</v>
      </c>
      <c r="E708" t="str">
        <f t="shared" si="11"/>
        <v>sobab/1/6/0</v>
      </c>
    </row>
    <row r="709" spans="1:5" x14ac:dyDescent="0.2">
      <c r="A709">
        <v>1</v>
      </c>
      <c r="B709" t="s">
        <v>14</v>
      </c>
      <c r="C709">
        <v>2</v>
      </c>
      <c r="D709">
        <v>16</v>
      </c>
      <c r="E709" t="str">
        <f t="shared" si="11"/>
        <v>Ramm/16/1/2</v>
      </c>
    </row>
    <row r="710" spans="1:5" x14ac:dyDescent="0.2">
      <c r="A710">
        <v>2</v>
      </c>
      <c r="B710" t="s">
        <v>74</v>
      </c>
      <c r="C710">
        <v>2</v>
      </c>
      <c r="D710">
        <v>12</v>
      </c>
      <c r="E710" t="str">
        <f t="shared" si="11"/>
        <v>PatB/12/2/2</v>
      </c>
    </row>
    <row r="711" spans="1:5" x14ac:dyDescent="0.2">
      <c r="A711">
        <v>3</v>
      </c>
      <c r="B711" t="s">
        <v>9</v>
      </c>
      <c r="C711">
        <v>0</v>
      </c>
      <c r="D711">
        <v>8</v>
      </c>
      <c r="E711" t="str">
        <f t="shared" si="11"/>
        <v>K1/8/3/0</v>
      </c>
    </row>
    <row r="712" spans="1:5" x14ac:dyDescent="0.2">
      <c r="A712">
        <v>4</v>
      </c>
      <c r="B712" t="s">
        <v>41</v>
      </c>
      <c r="C712">
        <v>1</v>
      </c>
      <c r="D712">
        <v>4</v>
      </c>
      <c r="E712" t="str">
        <f t="shared" si="11"/>
        <v>gibouille/4/4/1</v>
      </c>
    </row>
    <row r="713" spans="1:5" x14ac:dyDescent="0.2">
      <c r="A713">
        <v>5</v>
      </c>
      <c r="B713" t="s">
        <v>33</v>
      </c>
      <c r="C713">
        <v>0</v>
      </c>
      <c r="D713">
        <v>2</v>
      </c>
      <c r="E713" t="str">
        <f t="shared" si="11"/>
        <v>Ptit Savoyard/2/5/0</v>
      </c>
    </row>
    <row r="714" spans="1:5" x14ac:dyDescent="0.2">
      <c r="A714">
        <v>6</v>
      </c>
      <c r="B714" t="s">
        <v>31</v>
      </c>
      <c r="C714">
        <v>0</v>
      </c>
      <c r="D714">
        <v>1</v>
      </c>
      <c r="E714" t="str">
        <f t="shared" si="11"/>
        <v>CHRIS92340/1/6/0</v>
      </c>
    </row>
    <row r="715" spans="1:5" x14ac:dyDescent="0.2">
      <c r="A715">
        <v>1</v>
      </c>
      <c r="B715" t="s">
        <v>22</v>
      </c>
      <c r="C715">
        <v>1</v>
      </c>
      <c r="D715">
        <v>16</v>
      </c>
      <c r="E715" t="str">
        <f t="shared" si="11"/>
        <v>Dart 45/16/1/1</v>
      </c>
    </row>
    <row r="716" spans="1:5" x14ac:dyDescent="0.2">
      <c r="A716">
        <v>2</v>
      </c>
      <c r="B716" t="s">
        <v>39</v>
      </c>
      <c r="C716">
        <v>4</v>
      </c>
      <c r="D716">
        <v>12</v>
      </c>
      <c r="E716" t="str">
        <f t="shared" si="11"/>
        <v>kheops/12/2/4</v>
      </c>
    </row>
    <row r="717" spans="1:5" x14ac:dyDescent="0.2">
      <c r="A717">
        <v>3</v>
      </c>
      <c r="B717" t="s">
        <v>75</v>
      </c>
      <c r="C717">
        <v>0</v>
      </c>
      <c r="D717">
        <v>8</v>
      </c>
      <c r="E717" t="str">
        <f t="shared" si="11"/>
        <v>Michelbey/8/3/0</v>
      </c>
    </row>
    <row r="718" spans="1:5" x14ac:dyDescent="0.2">
      <c r="A718">
        <v>4</v>
      </c>
      <c r="B718" t="s">
        <v>6</v>
      </c>
      <c r="C718">
        <v>0</v>
      </c>
      <c r="D718">
        <v>4</v>
      </c>
      <c r="E718" t="str">
        <f t="shared" si="11"/>
        <v>Pyja/4/4/0</v>
      </c>
    </row>
    <row r="719" spans="1:5" x14ac:dyDescent="0.2">
      <c r="A719">
        <v>5</v>
      </c>
      <c r="B719" t="s">
        <v>68</v>
      </c>
      <c r="C719">
        <v>0</v>
      </c>
      <c r="D719">
        <v>2</v>
      </c>
      <c r="E719" t="str">
        <f t="shared" si="11"/>
        <v>zubbaz/2/5/0</v>
      </c>
    </row>
    <row r="720" spans="1:5" x14ac:dyDescent="0.2">
      <c r="A720">
        <v>6</v>
      </c>
      <c r="B720" t="s">
        <v>76</v>
      </c>
      <c r="C720">
        <v>0</v>
      </c>
      <c r="D720">
        <v>1</v>
      </c>
      <c r="E720" t="str">
        <f t="shared" si="11"/>
        <v>Comment2/1/6/0</v>
      </c>
    </row>
    <row r="721" spans="1:5" x14ac:dyDescent="0.2">
      <c r="A721">
        <v>1</v>
      </c>
      <c r="B721" t="s">
        <v>87</v>
      </c>
      <c r="C721">
        <v>2</v>
      </c>
      <c r="D721">
        <v>16</v>
      </c>
      <c r="E721" t="str">
        <f t="shared" si="11"/>
        <v>Proph@ne/16/1/2</v>
      </c>
    </row>
    <row r="722" spans="1:5" x14ac:dyDescent="0.2">
      <c r="A722">
        <v>2</v>
      </c>
      <c r="B722" t="s">
        <v>92</v>
      </c>
      <c r="C722">
        <v>1</v>
      </c>
      <c r="D722">
        <v>12</v>
      </c>
      <c r="E722" t="str">
        <f t="shared" si="11"/>
        <v>Jacks&amp;Five/12/2/1</v>
      </c>
    </row>
    <row r="723" spans="1:5" x14ac:dyDescent="0.2">
      <c r="A723">
        <v>3</v>
      </c>
      <c r="B723" t="s">
        <v>25</v>
      </c>
      <c r="C723">
        <v>2</v>
      </c>
      <c r="D723">
        <v>8</v>
      </c>
      <c r="E723" t="str">
        <f t="shared" si="11"/>
        <v>Claudius/8/3/2</v>
      </c>
    </row>
    <row r="724" spans="1:5" x14ac:dyDescent="0.2">
      <c r="A724">
        <v>4</v>
      </c>
      <c r="B724" t="s">
        <v>55</v>
      </c>
      <c r="C724">
        <v>0</v>
      </c>
      <c r="D724">
        <v>4</v>
      </c>
      <c r="E724" t="str">
        <f t="shared" si="11"/>
        <v>Bounette/4/4/0</v>
      </c>
    </row>
    <row r="725" spans="1:5" x14ac:dyDescent="0.2">
      <c r="A725">
        <v>5</v>
      </c>
      <c r="B725" t="s">
        <v>21</v>
      </c>
      <c r="C725">
        <v>0</v>
      </c>
      <c r="D725">
        <v>2</v>
      </c>
      <c r="E725" t="str">
        <f t="shared" si="11"/>
        <v>Carmin/2/5/0</v>
      </c>
    </row>
    <row r="726" spans="1:5" x14ac:dyDescent="0.2">
      <c r="A726">
        <v>6</v>
      </c>
      <c r="B726" t="s">
        <v>15</v>
      </c>
      <c r="C726">
        <v>0</v>
      </c>
      <c r="D726">
        <v>1</v>
      </c>
      <c r="E726" t="str">
        <f t="shared" si="11"/>
        <v>LAAtof/1/6/0</v>
      </c>
    </row>
    <row r="727" spans="1:5" x14ac:dyDescent="0.2">
      <c r="A727">
        <v>1</v>
      </c>
      <c r="B727" t="s">
        <v>54</v>
      </c>
      <c r="C727">
        <v>2</v>
      </c>
      <c r="D727">
        <v>16</v>
      </c>
      <c r="E727" t="str">
        <f t="shared" si="11"/>
        <v>Salsamanu/16/1/2</v>
      </c>
    </row>
    <row r="728" spans="1:5" x14ac:dyDescent="0.2">
      <c r="A728">
        <v>2</v>
      </c>
      <c r="B728" t="s">
        <v>16</v>
      </c>
      <c r="C728">
        <v>3</v>
      </c>
      <c r="D728">
        <v>12</v>
      </c>
      <c r="E728" t="str">
        <f t="shared" si="11"/>
        <v>Stan/12/2/3</v>
      </c>
    </row>
    <row r="729" spans="1:5" x14ac:dyDescent="0.2">
      <c r="A729">
        <v>3</v>
      </c>
      <c r="B729" t="s">
        <v>26</v>
      </c>
      <c r="C729">
        <v>0</v>
      </c>
      <c r="D729">
        <v>8</v>
      </c>
      <c r="E729" t="str">
        <f t="shared" si="11"/>
        <v>LOSOGRE/8/3/0</v>
      </c>
    </row>
    <row r="730" spans="1:5" x14ac:dyDescent="0.2">
      <c r="A730">
        <v>4</v>
      </c>
      <c r="B730" t="s">
        <v>19</v>
      </c>
      <c r="C730">
        <v>0</v>
      </c>
      <c r="D730">
        <v>4</v>
      </c>
      <c r="E730" t="str">
        <f t="shared" si="11"/>
        <v>Giobeck/4/4/0</v>
      </c>
    </row>
    <row r="731" spans="1:5" x14ac:dyDescent="0.2">
      <c r="A731">
        <v>5</v>
      </c>
      <c r="B731" t="s">
        <v>73</v>
      </c>
      <c r="C731">
        <v>0</v>
      </c>
      <c r="D731">
        <v>2</v>
      </c>
      <c r="E731" t="str">
        <f t="shared" si="11"/>
        <v>Flem/2/5/0</v>
      </c>
    </row>
    <row r="732" spans="1:5" x14ac:dyDescent="0.2">
      <c r="A732">
        <v>6</v>
      </c>
      <c r="B732" t="s">
        <v>52</v>
      </c>
      <c r="C732">
        <v>0</v>
      </c>
      <c r="D732">
        <v>1</v>
      </c>
      <c r="E732" t="str">
        <f t="shared" si="11"/>
        <v>Coach Pepito/1/6/0</v>
      </c>
    </row>
    <row r="733" spans="1:5" x14ac:dyDescent="0.2">
      <c r="A733">
        <v>1</v>
      </c>
      <c r="B733" t="s">
        <v>35</v>
      </c>
      <c r="C733">
        <v>3</v>
      </c>
      <c r="D733">
        <v>16</v>
      </c>
      <c r="E733" t="str">
        <f t="shared" si="11"/>
        <v>JeanMichelTiming/16/1/3</v>
      </c>
    </row>
    <row r="734" spans="1:5" x14ac:dyDescent="0.2">
      <c r="A734">
        <v>2</v>
      </c>
      <c r="B734" t="s">
        <v>27</v>
      </c>
      <c r="C734">
        <v>1</v>
      </c>
      <c r="D734">
        <v>12</v>
      </c>
      <c r="E734" t="str">
        <f t="shared" si="11"/>
        <v>Mandrake/12/2/1</v>
      </c>
    </row>
    <row r="735" spans="1:5" x14ac:dyDescent="0.2">
      <c r="A735">
        <v>3</v>
      </c>
      <c r="B735" t="s">
        <v>18</v>
      </c>
      <c r="C735">
        <v>0</v>
      </c>
      <c r="D735">
        <v>8</v>
      </c>
      <c r="E735" t="str">
        <f t="shared" si="11"/>
        <v>MAMS/8/3/0</v>
      </c>
    </row>
    <row r="736" spans="1:5" x14ac:dyDescent="0.2">
      <c r="A736">
        <v>4</v>
      </c>
      <c r="B736" t="s">
        <v>59</v>
      </c>
      <c r="C736">
        <v>0</v>
      </c>
      <c r="D736">
        <v>4</v>
      </c>
      <c r="E736" t="str">
        <f t="shared" si="11"/>
        <v>YooooDA/4/4/0</v>
      </c>
    </row>
    <row r="737" spans="1:5" x14ac:dyDescent="0.2">
      <c r="A737">
        <v>5</v>
      </c>
      <c r="B737" t="s">
        <v>77</v>
      </c>
      <c r="C737">
        <v>1</v>
      </c>
      <c r="D737">
        <v>2</v>
      </c>
      <c r="E737" t="str">
        <f t="shared" si="11"/>
        <v>Récréatif/2/5/1</v>
      </c>
    </row>
    <row r="738" spans="1:5" x14ac:dyDescent="0.2">
      <c r="A738">
        <v>6</v>
      </c>
      <c r="B738" t="s">
        <v>47</v>
      </c>
      <c r="C738">
        <v>0</v>
      </c>
      <c r="D738">
        <v>1</v>
      </c>
      <c r="E738" t="str">
        <f t="shared" si="11"/>
        <v>Logan/1/6/0</v>
      </c>
    </row>
    <row r="739" spans="1:5" x14ac:dyDescent="0.2">
      <c r="A739">
        <v>1</v>
      </c>
      <c r="B739" t="s">
        <v>34</v>
      </c>
      <c r="C739">
        <v>3</v>
      </c>
      <c r="D739">
        <v>16</v>
      </c>
      <c r="E739" t="str">
        <f t="shared" si="11"/>
        <v>Solex/16/1/3</v>
      </c>
    </row>
    <row r="740" spans="1:5" x14ac:dyDescent="0.2">
      <c r="A740">
        <v>2</v>
      </c>
      <c r="B740" t="s">
        <v>75</v>
      </c>
      <c r="C740">
        <v>1</v>
      </c>
      <c r="D740">
        <v>12</v>
      </c>
      <c r="E740" t="str">
        <f t="shared" si="11"/>
        <v>Michelbey/12/2/1</v>
      </c>
    </row>
    <row r="741" spans="1:5" x14ac:dyDescent="0.2">
      <c r="A741">
        <v>3</v>
      </c>
      <c r="B741" t="s">
        <v>54</v>
      </c>
      <c r="C741">
        <v>0</v>
      </c>
      <c r="D741">
        <v>8</v>
      </c>
      <c r="E741" t="str">
        <f t="shared" si="11"/>
        <v>Salsamanu/8/3/0</v>
      </c>
    </row>
    <row r="742" spans="1:5" x14ac:dyDescent="0.2">
      <c r="A742">
        <v>4</v>
      </c>
      <c r="B742" t="s">
        <v>23</v>
      </c>
      <c r="C742">
        <v>1</v>
      </c>
      <c r="D742">
        <v>4</v>
      </c>
      <c r="E742" t="str">
        <f t="shared" si="11"/>
        <v>Lylith75/4/4/1</v>
      </c>
    </row>
    <row r="743" spans="1:5" x14ac:dyDescent="0.2">
      <c r="A743">
        <v>5</v>
      </c>
      <c r="B743" t="s">
        <v>41</v>
      </c>
      <c r="C743">
        <v>0</v>
      </c>
      <c r="D743">
        <v>2</v>
      </c>
      <c r="E743" t="str">
        <f t="shared" si="11"/>
        <v>gibouille/2/5/0</v>
      </c>
    </row>
    <row r="744" spans="1:5" x14ac:dyDescent="0.2">
      <c r="A744">
        <v>6</v>
      </c>
      <c r="B744" t="s">
        <v>87</v>
      </c>
      <c r="C744">
        <v>0</v>
      </c>
      <c r="D744">
        <v>1</v>
      </c>
      <c r="E744" t="str">
        <f t="shared" si="11"/>
        <v>Proph@ne/1/6/0</v>
      </c>
    </row>
    <row r="745" spans="1:5" x14ac:dyDescent="0.2">
      <c r="A745">
        <v>1</v>
      </c>
      <c r="B745" t="s">
        <v>92</v>
      </c>
      <c r="C745">
        <v>5</v>
      </c>
      <c r="D745">
        <v>17</v>
      </c>
      <c r="E745" t="str">
        <f t="shared" si="11"/>
        <v>Jacks&amp;Five/17/1/5</v>
      </c>
    </row>
    <row r="746" spans="1:5" x14ac:dyDescent="0.2">
      <c r="A746">
        <v>2</v>
      </c>
      <c r="B746" t="s">
        <v>6</v>
      </c>
      <c r="C746">
        <v>1</v>
      </c>
      <c r="D746">
        <v>13</v>
      </c>
      <c r="E746" t="str">
        <f t="shared" si="11"/>
        <v>Pyja/13/2/1</v>
      </c>
    </row>
    <row r="747" spans="1:5" x14ac:dyDescent="0.2">
      <c r="A747">
        <v>3</v>
      </c>
      <c r="B747" t="s">
        <v>98</v>
      </c>
      <c r="C747">
        <v>0</v>
      </c>
      <c r="D747">
        <v>9</v>
      </c>
      <c r="E747" t="str">
        <f t="shared" si="11"/>
        <v>Blocknote/9/3/0</v>
      </c>
    </row>
    <row r="748" spans="1:5" x14ac:dyDescent="0.2">
      <c r="A748">
        <v>4</v>
      </c>
      <c r="B748" t="s">
        <v>42</v>
      </c>
      <c r="C748">
        <v>0</v>
      </c>
      <c r="D748">
        <v>5</v>
      </c>
      <c r="E748" t="str">
        <f t="shared" si="11"/>
        <v>Claptou/5/4/0</v>
      </c>
    </row>
    <row r="749" spans="1:5" x14ac:dyDescent="0.2">
      <c r="A749">
        <v>5</v>
      </c>
      <c r="B749" t="s">
        <v>35</v>
      </c>
      <c r="C749">
        <v>0</v>
      </c>
      <c r="D749">
        <v>3</v>
      </c>
      <c r="E749" t="str">
        <f t="shared" si="11"/>
        <v>JeanMichelTiming/3/5/0</v>
      </c>
    </row>
    <row r="750" spans="1:5" x14ac:dyDescent="0.2">
      <c r="A750">
        <v>6</v>
      </c>
      <c r="B750" t="s">
        <v>59</v>
      </c>
      <c r="C750">
        <v>0</v>
      </c>
      <c r="D750">
        <v>2</v>
      </c>
      <c r="E750" t="str">
        <f t="shared" si="11"/>
        <v>YooooDA/2/6/0</v>
      </c>
    </row>
    <row r="751" spans="1:5" x14ac:dyDescent="0.2">
      <c r="A751">
        <v>7</v>
      </c>
      <c r="B751" t="s">
        <v>65</v>
      </c>
      <c r="C751">
        <v>0</v>
      </c>
      <c r="D751">
        <v>1</v>
      </c>
      <c r="E751" t="str">
        <f t="shared" si="11"/>
        <v>Ripolin/1/7/0</v>
      </c>
    </row>
    <row r="752" spans="1:5" x14ac:dyDescent="0.2">
      <c r="A752">
        <v>1</v>
      </c>
      <c r="B752" t="s">
        <v>52</v>
      </c>
      <c r="C752">
        <v>2</v>
      </c>
      <c r="D752">
        <v>17</v>
      </c>
      <c r="E752" t="str">
        <f t="shared" si="11"/>
        <v>Coach Pepito/17/1/2</v>
      </c>
    </row>
    <row r="753" spans="1:5" x14ac:dyDescent="0.2">
      <c r="A753">
        <v>2</v>
      </c>
      <c r="B753" t="s">
        <v>16</v>
      </c>
      <c r="C753">
        <v>1</v>
      </c>
      <c r="D753">
        <v>13</v>
      </c>
      <c r="E753" t="str">
        <f t="shared" si="11"/>
        <v>Stan/13/2/1</v>
      </c>
    </row>
    <row r="754" spans="1:5" x14ac:dyDescent="0.2">
      <c r="A754">
        <v>3</v>
      </c>
      <c r="B754" t="s">
        <v>50</v>
      </c>
      <c r="C754">
        <v>2</v>
      </c>
      <c r="D754">
        <v>9</v>
      </c>
      <c r="E754" t="str">
        <f t="shared" si="11"/>
        <v>MLADENGO/9/3/2</v>
      </c>
    </row>
    <row r="755" spans="1:5" x14ac:dyDescent="0.2">
      <c r="A755">
        <v>4</v>
      </c>
      <c r="B755" t="s">
        <v>88</v>
      </c>
      <c r="C755">
        <v>1</v>
      </c>
      <c r="D755">
        <v>5</v>
      </c>
      <c r="E755" t="str">
        <f t="shared" si="11"/>
        <v>Yarael/5/4/1</v>
      </c>
    </row>
    <row r="756" spans="1:5" x14ac:dyDescent="0.2">
      <c r="A756">
        <v>5</v>
      </c>
      <c r="B756" t="s">
        <v>46</v>
      </c>
      <c r="C756">
        <v>0</v>
      </c>
      <c r="D756">
        <v>3</v>
      </c>
      <c r="E756" t="str">
        <f t="shared" si="11"/>
        <v>Jérôme/3/5/0</v>
      </c>
    </row>
    <row r="757" spans="1:5" x14ac:dyDescent="0.2">
      <c r="A757">
        <v>6</v>
      </c>
      <c r="B757" t="s">
        <v>14</v>
      </c>
      <c r="C757">
        <v>0</v>
      </c>
      <c r="D757">
        <v>2</v>
      </c>
      <c r="E757" t="str">
        <f t="shared" si="11"/>
        <v>Ramm/2/6/0</v>
      </c>
    </row>
    <row r="758" spans="1:5" x14ac:dyDescent="0.2">
      <c r="A758">
        <v>7</v>
      </c>
      <c r="B758" t="s">
        <v>76</v>
      </c>
      <c r="C758">
        <v>0</v>
      </c>
      <c r="D758">
        <v>1</v>
      </c>
      <c r="E758" t="str">
        <f t="shared" si="11"/>
        <v>Comment2/1/7/0</v>
      </c>
    </row>
    <row r="759" spans="1:5" x14ac:dyDescent="0.2">
      <c r="A759">
        <v>1</v>
      </c>
      <c r="B759" t="s">
        <v>73</v>
      </c>
      <c r="C759">
        <v>4</v>
      </c>
      <c r="D759">
        <v>17</v>
      </c>
      <c r="E759" t="str">
        <f t="shared" si="11"/>
        <v>Flem/17/1/4</v>
      </c>
    </row>
    <row r="760" spans="1:5" x14ac:dyDescent="0.2">
      <c r="A760">
        <v>2</v>
      </c>
      <c r="B760" t="s">
        <v>68</v>
      </c>
      <c r="C760">
        <v>1</v>
      </c>
      <c r="D760">
        <v>13</v>
      </c>
      <c r="E760" t="str">
        <f t="shared" si="11"/>
        <v>zubbaz/13/2/1</v>
      </c>
    </row>
    <row r="761" spans="1:5" x14ac:dyDescent="0.2">
      <c r="A761">
        <v>3</v>
      </c>
      <c r="B761" t="s">
        <v>39</v>
      </c>
      <c r="C761">
        <v>1</v>
      </c>
      <c r="D761">
        <v>9</v>
      </c>
      <c r="E761" t="str">
        <f t="shared" si="11"/>
        <v>kheops/9/3/1</v>
      </c>
    </row>
    <row r="762" spans="1:5" x14ac:dyDescent="0.2">
      <c r="A762">
        <v>4</v>
      </c>
      <c r="B762" t="s">
        <v>60</v>
      </c>
      <c r="C762">
        <v>0</v>
      </c>
      <c r="D762">
        <v>5</v>
      </c>
      <c r="E762" t="str">
        <f t="shared" si="11"/>
        <v>zizou/5/4/0</v>
      </c>
    </row>
    <row r="763" spans="1:5" x14ac:dyDescent="0.2">
      <c r="A763">
        <v>5</v>
      </c>
      <c r="B763" t="s">
        <v>47</v>
      </c>
      <c r="C763">
        <v>0</v>
      </c>
      <c r="D763">
        <v>3</v>
      </c>
      <c r="E763" t="str">
        <f t="shared" si="11"/>
        <v>Logan/3/5/0</v>
      </c>
    </row>
    <row r="764" spans="1:5" x14ac:dyDescent="0.2">
      <c r="A764">
        <v>6</v>
      </c>
      <c r="B764" t="s">
        <v>29</v>
      </c>
      <c r="C764">
        <v>0</v>
      </c>
      <c r="D764">
        <v>2</v>
      </c>
      <c r="E764" t="str">
        <f t="shared" si="11"/>
        <v>NoDoubt/2/6/0</v>
      </c>
    </row>
    <row r="765" spans="1:5" x14ac:dyDescent="0.2">
      <c r="A765">
        <v>7</v>
      </c>
      <c r="B765" t="s">
        <v>32</v>
      </c>
      <c r="C765">
        <v>0</v>
      </c>
      <c r="D765">
        <v>1</v>
      </c>
      <c r="E765" t="str">
        <f t="shared" si="11"/>
        <v>OlivierN92/1/7/0</v>
      </c>
    </row>
    <row r="766" spans="1:5" x14ac:dyDescent="0.2">
      <c r="A766">
        <v>1</v>
      </c>
      <c r="B766" t="s">
        <v>40</v>
      </c>
      <c r="C766">
        <v>3</v>
      </c>
      <c r="D766">
        <v>16</v>
      </c>
      <c r="E766" t="str">
        <f t="shared" si="11"/>
        <v>Lén@/16/1/3</v>
      </c>
    </row>
    <row r="767" spans="1:5" x14ac:dyDescent="0.2">
      <c r="A767">
        <v>2</v>
      </c>
      <c r="B767" t="s">
        <v>69</v>
      </c>
      <c r="C767">
        <v>0</v>
      </c>
      <c r="D767">
        <v>12</v>
      </c>
      <c r="E767" t="str">
        <f t="shared" si="11"/>
        <v>Catherine/12/2/0</v>
      </c>
    </row>
    <row r="768" spans="1:5" x14ac:dyDescent="0.2">
      <c r="A768">
        <v>3</v>
      </c>
      <c r="B768" t="s">
        <v>74</v>
      </c>
      <c r="C768">
        <v>2</v>
      </c>
      <c r="D768">
        <v>8</v>
      </c>
      <c r="E768" t="str">
        <f t="shared" si="11"/>
        <v>PatB/8/3/2</v>
      </c>
    </row>
    <row r="769" spans="1:5" x14ac:dyDescent="0.2">
      <c r="A769">
        <v>4</v>
      </c>
      <c r="B769" t="s">
        <v>101</v>
      </c>
      <c r="C769">
        <v>0</v>
      </c>
      <c r="D769">
        <v>4</v>
      </c>
      <c r="E769" t="str">
        <f t="shared" ref="E769:E832" si="12">B769&amp;"/"&amp;D769&amp;"/"&amp;A769&amp;"/"&amp;C769</f>
        <v>ChrisFrankfurt/4/4/0</v>
      </c>
    </row>
    <row r="770" spans="1:5" x14ac:dyDescent="0.2">
      <c r="A770">
        <v>5</v>
      </c>
      <c r="B770" t="s">
        <v>28</v>
      </c>
      <c r="C770">
        <v>0</v>
      </c>
      <c r="D770">
        <v>2</v>
      </c>
      <c r="E770" t="str">
        <f t="shared" si="12"/>
        <v>sobab/2/5/0</v>
      </c>
    </row>
    <row r="771" spans="1:5" x14ac:dyDescent="0.2">
      <c r="A771">
        <v>6</v>
      </c>
      <c r="B771" t="s">
        <v>22</v>
      </c>
      <c r="C771">
        <v>0</v>
      </c>
      <c r="D771">
        <v>1</v>
      </c>
      <c r="E771" t="str">
        <f t="shared" si="12"/>
        <v>Dart 45/1/6/0</v>
      </c>
    </row>
    <row r="772" spans="1:5" x14ac:dyDescent="0.2">
      <c r="A772">
        <v>1</v>
      </c>
      <c r="B772" t="s">
        <v>103</v>
      </c>
      <c r="C772">
        <v>3</v>
      </c>
      <c r="D772">
        <v>17</v>
      </c>
      <c r="E772" t="str">
        <f t="shared" si="12"/>
        <v>zzav/17/1/3</v>
      </c>
    </row>
    <row r="773" spans="1:5" x14ac:dyDescent="0.2">
      <c r="A773">
        <v>2</v>
      </c>
      <c r="B773" t="s">
        <v>25</v>
      </c>
      <c r="C773">
        <v>0</v>
      </c>
      <c r="D773">
        <v>13</v>
      </c>
      <c r="E773" t="str">
        <f t="shared" si="12"/>
        <v>Claudius/13/2/0</v>
      </c>
    </row>
    <row r="774" spans="1:5" x14ac:dyDescent="0.2">
      <c r="A774">
        <v>3</v>
      </c>
      <c r="B774" t="s">
        <v>55</v>
      </c>
      <c r="C774">
        <v>1</v>
      </c>
      <c r="D774">
        <v>9</v>
      </c>
      <c r="E774" t="str">
        <f t="shared" si="12"/>
        <v>Bounette/9/3/1</v>
      </c>
    </row>
    <row r="775" spans="1:5" x14ac:dyDescent="0.2">
      <c r="A775">
        <v>4</v>
      </c>
      <c r="B775" t="s">
        <v>45</v>
      </c>
      <c r="C775">
        <v>2</v>
      </c>
      <c r="D775">
        <v>5</v>
      </c>
      <c r="E775" t="str">
        <f t="shared" si="12"/>
        <v>yaltar/5/4/2</v>
      </c>
    </row>
    <row r="776" spans="1:5" x14ac:dyDescent="0.2">
      <c r="A776">
        <v>5</v>
      </c>
      <c r="B776" t="s">
        <v>21</v>
      </c>
      <c r="C776">
        <v>0</v>
      </c>
      <c r="D776">
        <v>3</v>
      </c>
      <c r="E776" t="str">
        <f t="shared" si="12"/>
        <v>Carmin/3/5/0</v>
      </c>
    </row>
    <row r="777" spans="1:5" x14ac:dyDescent="0.2">
      <c r="A777">
        <v>6</v>
      </c>
      <c r="B777" t="s">
        <v>26</v>
      </c>
      <c r="C777">
        <v>0</v>
      </c>
      <c r="D777">
        <v>2</v>
      </c>
      <c r="E777" t="str">
        <f t="shared" si="12"/>
        <v>LOSOGRE/2/6/0</v>
      </c>
    </row>
    <row r="778" spans="1:5" x14ac:dyDescent="0.2">
      <c r="A778">
        <v>7</v>
      </c>
      <c r="B778" t="s">
        <v>33</v>
      </c>
      <c r="C778">
        <v>0</v>
      </c>
      <c r="D778">
        <v>1</v>
      </c>
      <c r="E778" t="str">
        <f t="shared" si="12"/>
        <v>Ptit Savoyard/1/7/0</v>
      </c>
    </row>
    <row r="779" spans="1:5" x14ac:dyDescent="0.2">
      <c r="A779">
        <v>1</v>
      </c>
      <c r="B779" t="s">
        <v>9</v>
      </c>
      <c r="C779">
        <v>2</v>
      </c>
      <c r="D779">
        <v>16</v>
      </c>
      <c r="E779" t="str">
        <f t="shared" si="12"/>
        <v>K1/16/1/2</v>
      </c>
    </row>
    <row r="780" spans="1:5" x14ac:dyDescent="0.2">
      <c r="A780">
        <v>2</v>
      </c>
      <c r="B780" t="s">
        <v>12</v>
      </c>
      <c r="C780">
        <v>1</v>
      </c>
      <c r="D780">
        <v>12</v>
      </c>
      <c r="E780" t="str">
        <f t="shared" si="12"/>
        <v>Gnak/12/2/1</v>
      </c>
    </row>
    <row r="781" spans="1:5" x14ac:dyDescent="0.2">
      <c r="A781">
        <v>3</v>
      </c>
      <c r="B781" t="s">
        <v>15</v>
      </c>
      <c r="C781">
        <v>2</v>
      </c>
      <c r="D781">
        <v>8</v>
      </c>
      <c r="E781" t="str">
        <f t="shared" si="12"/>
        <v>LAAtof/8/3/2</v>
      </c>
    </row>
    <row r="782" spans="1:5" x14ac:dyDescent="0.2">
      <c r="A782">
        <v>4</v>
      </c>
      <c r="B782" t="s">
        <v>31</v>
      </c>
      <c r="C782">
        <v>0</v>
      </c>
      <c r="D782">
        <v>4</v>
      </c>
      <c r="E782" t="str">
        <f t="shared" si="12"/>
        <v>CHRIS92340/4/4/0</v>
      </c>
    </row>
    <row r="783" spans="1:5" x14ac:dyDescent="0.2">
      <c r="A783">
        <v>5</v>
      </c>
      <c r="B783" t="s">
        <v>102</v>
      </c>
      <c r="C783">
        <v>0</v>
      </c>
      <c r="D783">
        <v>2</v>
      </c>
      <c r="E783" t="str">
        <f t="shared" si="12"/>
        <v>Doudoululu/2/5/0</v>
      </c>
    </row>
    <row r="784" spans="1:5" x14ac:dyDescent="0.2">
      <c r="A784">
        <v>6</v>
      </c>
      <c r="B784" t="s">
        <v>27</v>
      </c>
      <c r="C784">
        <v>0</v>
      </c>
      <c r="D784">
        <v>1</v>
      </c>
      <c r="E784" t="str">
        <f t="shared" si="12"/>
        <v>Mandrake/1/6/0</v>
      </c>
    </row>
    <row r="785" spans="1:5" x14ac:dyDescent="0.2">
      <c r="A785">
        <v>1</v>
      </c>
      <c r="B785" t="s">
        <v>26</v>
      </c>
      <c r="C785">
        <v>4</v>
      </c>
      <c r="D785">
        <v>16</v>
      </c>
      <c r="E785" t="str">
        <f t="shared" si="12"/>
        <v>LOSOGRE/16/1/4</v>
      </c>
    </row>
    <row r="786" spans="1:5" x14ac:dyDescent="0.2">
      <c r="A786">
        <v>2</v>
      </c>
      <c r="B786" t="s">
        <v>31</v>
      </c>
      <c r="C786">
        <v>1</v>
      </c>
      <c r="D786">
        <v>12</v>
      </c>
      <c r="E786" t="str">
        <f t="shared" si="12"/>
        <v>CHRIS92340/12/2/1</v>
      </c>
    </row>
    <row r="787" spans="1:5" x14ac:dyDescent="0.2">
      <c r="A787">
        <v>3</v>
      </c>
      <c r="B787" t="s">
        <v>25</v>
      </c>
      <c r="C787">
        <v>0</v>
      </c>
      <c r="D787">
        <v>8</v>
      </c>
      <c r="E787" t="str">
        <f t="shared" si="12"/>
        <v>Claudius/8/3/0</v>
      </c>
    </row>
    <row r="788" spans="1:5" x14ac:dyDescent="0.2">
      <c r="A788">
        <v>4</v>
      </c>
      <c r="B788" t="s">
        <v>98</v>
      </c>
      <c r="C788">
        <v>0</v>
      </c>
      <c r="D788">
        <v>4</v>
      </c>
      <c r="E788" t="str">
        <f t="shared" si="12"/>
        <v>Blocknote/4/4/0</v>
      </c>
    </row>
    <row r="789" spans="1:5" x14ac:dyDescent="0.2">
      <c r="A789">
        <v>5</v>
      </c>
      <c r="B789" t="s">
        <v>12</v>
      </c>
      <c r="C789">
        <v>0</v>
      </c>
      <c r="D789">
        <v>2</v>
      </c>
      <c r="E789" t="str">
        <f t="shared" si="12"/>
        <v>Gnak/2/5/0</v>
      </c>
    </row>
    <row r="790" spans="1:5" x14ac:dyDescent="0.2">
      <c r="A790">
        <v>6</v>
      </c>
      <c r="B790" t="s">
        <v>8</v>
      </c>
      <c r="C790">
        <v>0</v>
      </c>
      <c r="D790">
        <v>1</v>
      </c>
      <c r="E790" t="str">
        <f t="shared" si="12"/>
        <v>Maxime/1/6/0</v>
      </c>
    </row>
    <row r="791" spans="1:5" x14ac:dyDescent="0.2">
      <c r="A791">
        <v>1</v>
      </c>
      <c r="B791" t="s">
        <v>52</v>
      </c>
      <c r="C791">
        <v>5</v>
      </c>
      <c r="D791">
        <v>16</v>
      </c>
      <c r="E791" t="str">
        <f t="shared" si="12"/>
        <v>Coach Pepito/16/1/5</v>
      </c>
    </row>
    <row r="792" spans="1:5" x14ac:dyDescent="0.2">
      <c r="A792">
        <v>2</v>
      </c>
      <c r="B792" t="s">
        <v>61</v>
      </c>
      <c r="C792">
        <v>0</v>
      </c>
      <c r="D792">
        <v>12</v>
      </c>
      <c r="E792" t="str">
        <f t="shared" si="12"/>
        <v>Kri-lin/12/2/0</v>
      </c>
    </row>
    <row r="793" spans="1:5" x14ac:dyDescent="0.2">
      <c r="A793">
        <v>3</v>
      </c>
      <c r="B793" t="s">
        <v>55</v>
      </c>
      <c r="C793">
        <v>0</v>
      </c>
      <c r="D793">
        <v>8</v>
      </c>
      <c r="E793" t="str">
        <f t="shared" si="12"/>
        <v>Bounette/8/3/0</v>
      </c>
    </row>
    <row r="794" spans="1:5" x14ac:dyDescent="0.2">
      <c r="A794">
        <v>4</v>
      </c>
      <c r="B794" t="s">
        <v>9</v>
      </c>
      <c r="C794">
        <v>0</v>
      </c>
      <c r="D794">
        <v>4</v>
      </c>
      <c r="E794" t="str">
        <f t="shared" si="12"/>
        <v>K1/4/4/0</v>
      </c>
    </row>
    <row r="795" spans="1:5" x14ac:dyDescent="0.2">
      <c r="A795">
        <v>5</v>
      </c>
      <c r="B795" t="s">
        <v>41</v>
      </c>
      <c r="C795">
        <v>0</v>
      </c>
      <c r="D795">
        <v>2</v>
      </c>
      <c r="E795" t="str">
        <f t="shared" si="12"/>
        <v>gibouille/2/5/0</v>
      </c>
    </row>
    <row r="796" spans="1:5" x14ac:dyDescent="0.2">
      <c r="A796">
        <v>6</v>
      </c>
      <c r="B796" t="s">
        <v>29</v>
      </c>
      <c r="C796">
        <v>0</v>
      </c>
      <c r="D796">
        <v>1</v>
      </c>
      <c r="E796" t="str">
        <f t="shared" si="12"/>
        <v>NoDoubt/1/6/0</v>
      </c>
    </row>
    <row r="797" spans="1:5" x14ac:dyDescent="0.2">
      <c r="A797">
        <v>1</v>
      </c>
      <c r="B797" t="s">
        <v>76</v>
      </c>
      <c r="C797">
        <v>1</v>
      </c>
      <c r="D797">
        <v>17</v>
      </c>
      <c r="E797" t="str">
        <f t="shared" si="12"/>
        <v>Comment2/17/1/1</v>
      </c>
    </row>
    <row r="798" spans="1:5" x14ac:dyDescent="0.2">
      <c r="A798">
        <v>2</v>
      </c>
      <c r="B798" t="s">
        <v>60</v>
      </c>
      <c r="C798">
        <v>3</v>
      </c>
      <c r="D798">
        <v>13</v>
      </c>
      <c r="E798" t="str">
        <f t="shared" si="12"/>
        <v>zizou/13/2/3</v>
      </c>
    </row>
    <row r="799" spans="1:5" x14ac:dyDescent="0.2">
      <c r="A799">
        <v>3</v>
      </c>
      <c r="B799" t="s">
        <v>87</v>
      </c>
      <c r="C799">
        <v>1</v>
      </c>
      <c r="D799">
        <v>9</v>
      </c>
      <c r="E799" t="str">
        <f t="shared" si="12"/>
        <v>Proph@ne/9/3/1</v>
      </c>
    </row>
    <row r="800" spans="1:5" x14ac:dyDescent="0.2">
      <c r="A800">
        <v>4</v>
      </c>
      <c r="B800" t="s">
        <v>102</v>
      </c>
      <c r="C800">
        <v>0</v>
      </c>
      <c r="D800">
        <v>5</v>
      </c>
      <c r="E800" t="str">
        <f t="shared" si="12"/>
        <v>Doudoululu/5/4/0</v>
      </c>
    </row>
    <row r="801" spans="1:5" x14ac:dyDescent="0.2">
      <c r="A801">
        <v>5</v>
      </c>
      <c r="B801" t="s">
        <v>19</v>
      </c>
      <c r="C801">
        <v>1</v>
      </c>
      <c r="D801">
        <v>3</v>
      </c>
      <c r="E801" t="str">
        <f t="shared" si="12"/>
        <v>Giobeck/3/5/1</v>
      </c>
    </row>
    <row r="802" spans="1:5" x14ac:dyDescent="0.2">
      <c r="A802">
        <v>6</v>
      </c>
      <c r="B802" t="s">
        <v>53</v>
      </c>
      <c r="C802">
        <v>0</v>
      </c>
      <c r="D802">
        <v>2</v>
      </c>
      <c r="E802" t="str">
        <f t="shared" si="12"/>
        <v>Makoche/2/6/0</v>
      </c>
    </row>
    <row r="803" spans="1:5" x14ac:dyDescent="0.2">
      <c r="A803">
        <v>7</v>
      </c>
      <c r="B803" t="s">
        <v>73</v>
      </c>
      <c r="C803">
        <v>0</v>
      </c>
      <c r="D803">
        <v>1</v>
      </c>
      <c r="E803" t="str">
        <f t="shared" si="12"/>
        <v>Flem/1/7/0</v>
      </c>
    </row>
    <row r="804" spans="1:5" x14ac:dyDescent="0.2">
      <c r="A804">
        <v>1</v>
      </c>
      <c r="B804" t="s">
        <v>23</v>
      </c>
      <c r="C804">
        <v>3</v>
      </c>
      <c r="D804">
        <v>16</v>
      </c>
      <c r="E804" t="str">
        <f t="shared" si="12"/>
        <v>Lylith75/16/1/3</v>
      </c>
    </row>
    <row r="805" spans="1:5" x14ac:dyDescent="0.2">
      <c r="A805">
        <v>2</v>
      </c>
      <c r="B805" t="s">
        <v>69</v>
      </c>
      <c r="C805">
        <v>1</v>
      </c>
      <c r="D805">
        <v>12</v>
      </c>
      <c r="E805" t="str">
        <f t="shared" si="12"/>
        <v>Catherine/12/2/1</v>
      </c>
    </row>
    <row r="806" spans="1:5" x14ac:dyDescent="0.2">
      <c r="A806">
        <v>3</v>
      </c>
      <c r="B806" t="s">
        <v>65</v>
      </c>
      <c r="C806">
        <v>1</v>
      </c>
      <c r="D806">
        <v>8</v>
      </c>
      <c r="E806" t="str">
        <f t="shared" si="12"/>
        <v>Ripolin/8/3/1</v>
      </c>
    </row>
    <row r="807" spans="1:5" x14ac:dyDescent="0.2">
      <c r="A807">
        <v>4</v>
      </c>
      <c r="B807" t="s">
        <v>14</v>
      </c>
      <c r="C807">
        <v>0</v>
      </c>
      <c r="D807">
        <v>4</v>
      </c>
      <c r="E807" t="str">
        <f t="shared" si="12"/>
        <v>Ramm/4/4/0</v>
      </c>
    </row>
    <row r="808" spans="1:5" x14ac:dyDescent="0.2">
      <c r="A808">
        <v>5</v>
      </c>
      <c r="B808" t="s">
        <v>15</v>
      </c>
      <c r="C808">
        <v>0</v>
      </c>
      <c r="D808">
        <v>2</v>
      </c>
      <c r="E808" t="str">
        <f t="shared" si="12"/>
        <v>LAAtof/2/5/0</v>
      </c>
    </row>
    <row r="809" spans="1:5" x14ac:dyDescent="0.2">
      <c r="A809">
        <v>6</v>
      </c>
      <c r="B809" t="s">
        <v>40</v>
      </c>
      <c r="C809">
        <v>0</v>
      </c>
      <c r="D809">
        <v>1</v>
      </c>
      <c r="E809" t="str">
        <f t="shared" si="12"/>
        <v>Lén@/1/6/0</v>
      </c>
    </row>
    <row r="810" spans="1:5" x14ac:dyDescent="0.2">
      <c r="A810">
        <v>1</v>
      </c>
      <c r="B810" t="s">
        <v>22</v>
      </c>
      <c r="C810">
        <v>5</v>
      </c>
      <c r="D810">
        <v>17</v>
      </c>
      <c r="E810" t="str">
        <f t="shared" si="12"/>
        <v>Dart 45/17/1/5</v>
      </c>
    </row>
    <row r="811" spans="1:5" x14ac:dyDescent="0.2">
      <c r="A811">
        <v>2</v>
      </c>
      <c r="B811" t="s">
        <v>75</v>
      </c>
      <c r="C811">
        <v>0</v>
      </c>
      <c r="D811">
        <v>13</v>
      </c>
      <c r="E811" t="str">
        <f t="shared" si="12"/>
        <v>Michelbey/13/2/0</v>
      </c>
    </row>
    <row r="812" spans="1:5" x14ac:dyDescent="0.2">
      <c r="A812">
        <v>3</v>
      </c>
      <c r="B812" t="s">
        <v>6</v>
      </c>
      <c r="C812">
        <v>0</v>
      </c>
      <c r="D812">
        <v>9</v>
      </c>
      <c r="E812" t="str">
        <f t="shared" si="12"/>
        <v>Pyja/9/3/0</v>
      </c>
    </row>
    <row r="813" spans="1:5" x14ac:dyDescent="0.2">
      <c r="A813">
        <v>4</v>
      </c>
      <c r="B813" t="s">
        <v>39</v>
      </c>
      <c r="C813">
        <v>1</v>
      </c>
      <c r="D813">
        <v>5</v>
      </c>
      <c r="E813" t="str">
        <f t="shared" si="12"/>
        <v>kheops/5/4/1</v>
      </c>
    </row>
    <row r="814" spans="1:5" x14ac:dyDescent="0.2">
      <c r="A814">
        <v>5</v>
      </c>
      <c r="B814" t="s">
        <v>68</v>
      </c>
      <c r="C814">
        <v>0</v>
      </c>
      <c r="D814">
        <v>3</v>
      </c>
      <c r="E814" t="str">
        <f t="shared" si="12"/>
        <v>zubbaz/3/5/0</v>
      </c>
    </row>
    <row r="815" spans="1:5" x14ac:dyDescent="0.2">
      <c r="A815">
        <v>6</v>
      </c>
      <c r="B815" t="s">
        <v>42</v>
      </c>
      <c r="C815">
        <v>0</v>
      </c>
      <c r="D815">
        <v>2</v>
      </c>
      <c r="E815" t="str">
        <f t="shared" si="12"/>
        <v>Claptou/2/6/0</v>
      </c>
    </row>
    <row r="816" spans="1:5" x14ac:dyDescent="0.2">
      <c r="A816">
        <v>7</v>
      </c>
      <c r="B816" t="s">
        <v>46</v>
      </c>
      <c r="C816">
        <v>0</v>
      </c>
      <c r="D816">
        <v>1</v>
      </c>
      <c r="E816" t="str">
        <f t="shared" si="12"/>
        <v>Jérôme/1/7/0</v>
      </c>
    </row>
    <row r="817" spans="1:5" x14ac:dyDescent="0.2">
      <c r="A817">
        <v>1</v>
      </c>
      <c r="B817" t="s">
        <v>47</v>
      </c>
      <c r="C817">
        <v>2</v>
      </c>
      <c r="D817">
        <v>17</v>
      </c>
      <c r="E817" t="str">
        <f t="shared" si="12"/>
        <v>Logan/17/1/2</v>
      </c>
    </row>
    <row r="818" spans="1:5" x14ac:dyDescent="0.2">
      <c r="A818">
        <v>2</v>
      </c>
      <c r="B818" t="s">
        <v>50</v>
      </c>
      <c r="C818">
        <v>3</v>
      </c>
      <c r="D818">
        <v>13</v>
      </c>
      <c r="E818" t="str">
        <f t="shared" si="12"/>
        <v>MLADENGO/13/2/3</v>
      </c>
    </row>
    <row r="819" spans="1:5" x14ac:dyDescent="0.2">
      <c r="A819">
        <v>3</v>
      </c>
      <c r="B819" t="s">
        <v>18</v>
      </c>
      <c r="C819">
        <v>1</v>
      </c>
      <c r="D819">
        <v>9</v>
      </c>
      <c r="E819" t="str">
        <f t="shared" si="12"/>
        <v>MAMS/9/3/1</v>
      </c>
    </row>
    <row r="820" spans="1:5" x14ac:dyDescent="0.2">
      <c r="A820">
        <v>4</v>
      </c>
      <c r="B820" t="s">
        <v>74</v>
      </c>
      <c r="C820">
        <v>0</v>
      </c>
      <c r="D820">
        <v>5</v>
      </c>
      <c r="E820" t="str">
        <f t="shared" si="12"/>
        <v>PatB/5/4/0</v>
      </c>
    </row>
    <row r="821" spans="1:5" x14ac:dyDescent="0.2">
      <c r="A821">
        <v>5</v>
      </c>
      <c r="B821" t="s">
        <v>33</v>
      </c>
      <c r="C821">
        <v>0</v>
      </c>
      <c r="D821">
        <v>3</v>
      </c>
      <c r="E821" t="str">
        <f t="shared" si="12"/>
        <v>Ptit Savoyard/3/5/0</v>
      </c>
    </row>
    <row r="822" spans="1:5" x14ac:dyDescent="0.2">
      <c r="A822">
        <v>6</v>
      </c>
      <c r="B822" t="s">
        <v>35</v>
      </c>
      <c r="C822">
        <v>0</v>
      </c>
      <c r="D822">
        <v>2</v>
      </c>
      <c r="E822" t="str">
        <f t="shared" si="12"/>
        <v>JeanMichelTiming/2/6/0</v>
      </c>
    </row>
    <row r="823" spans="1:5" x14ac:dyDescent="0.2">
      <c r="A823">
        <v>7</v>
      </c>
      <c r="B823" t="s">
        <v>32</v>
      </c>
      <c r="C823">
        <v>0</v>
      </c>
      <c r="D823">
        <v>1</v>
      </c>
      <c r="E823" t="str">
        <f t="shared" si="12"/>
        <v>OlivierN92/1/7/0</v>
      </c>
    </row>
    <row r="824" spans="1:5" x14ac:dyDescent="0.2">
      <c r="A824">
        <v>1</v>
      </c>
      <c r="B824" t="s">
        <v>103</v>
      </c>
      <c r="C824">
        <v>1</v>
      </c>
      <c r="D824">
        <v>16</v>
      </c>
      <c r="E824" t="str">
        <f t="shared" si="12"/>
        <v>zzav/16/1/1</v>
      </c>
    </row>
    <row r="825" spans="1:5" x14ac:dyDescent="0.2">
      <c r="A825">
        <v>2</v>
      </c>
      <c r="B825" t="s">
        <v>101</v>
      </c>
      <c r="C825">
        <v>2</v>
      </c>
      <c r="D825">
        <v>12</v>
      </c>
      <c r="E825" t="str">
        <f t="shared" si="12"/>
        <v>ChrisFrankfurt/12/2/2</v>
      </c>
    </row>
    <row r="826" spans="1:5" x14ac:dyDescent="0.2">
      <c r="A826">
        <v>3</v>
      </c>
      <c r="B826" t="s">
        <v>27</v>
      </c>
      <c r="C826">
        <v>0</v>
      </c>
      <c r="D826">
        <v>8</v>
      </c>
      <c r="E826" t="str">
        <f t="shared" si="12"/>
        <v>Mandrake/8/3/0</v>
      </c>
    </row>
    <row r="827" spans="1:5" x14ac:dyDescent="0.2">
      <c r="A827">
        <v>4</v>
      </c>
      <c r="B827" t="s">
        <v>92</v>
      </c>
      <c r="C827">
        <v>2</v>
      </c>
      <c r="D827">
        <v>4</v>
      </c>
      <c r="E827" t="str">
        <f t="shared" si="12"/>
        <v>Jacks&amp;Five/4/4/2</v>
      </c>
    </row>
    <row r="828" spans="1:5" x14ac:dyDescent="0.2">
      <c r="A828">
        <v>5</v>
      </c>
      <c r="B828" t="s">
        <v>59</v>
      </c>
      <c r="C828">
        <v>0</v>
      </c>
      <c r="D828">
        <v>2</v>
      </c>
      <c r="E828" t="str">
        <f t="shared" si="12"/>
        <v>YooooDA/2/5/0</v>
      </c>
    </row>
    <row r="829" spans="1:5" x14ac:dyDescent="0.2">
      <c r="A829">
        <v>6</v>
      </c>
      <c r="B829" t="s">
        <v>21</v>
      </c>
      <c r="C829">
        <v>0</v>
      </c>
      <c r="D829">
        <v>1</v>
      </c>
      <c r="E829" t="str">
        <f t="shared" si="12"/>
        <v>Carmin/1/6/0</v>
      </c>
    </row>
    <row r="830" spans="1:5" x14ac:dyDescent="0.2">
      <c r="A830">
        <v>1</v>
      </c>
      <c r="B830" t="s">
        <v>53</v>
      </c>
      <c r="C830">
        <v>2</v>
      </c>
      <c r="D830">
        <v>17</v>
      </c>
      <c r="E830" t="str">
        <f t="shared" si="12"/>
        <v>Makoche/17/1/2</v>
      </c>
    </row>
    <row r="831" spans="1:5" x14ac:dyDescent="0.2">
      <c r="A831">
        <v>2</v>
      </c>
      <c r="B831" t="s">
        <v>19</v>
      </c>
      <c r="C831">
        <v>4</v>
      </c>
      <c r="D831">
        <v>13</v>
      </c>
      <c r="E831" t="str">
        <f t="shared" si="12"/>
        <v>Giobeck/13/2/4</v>
      </c>
    </row>
    <row r="832" spans="1:5" x14ac:dyDescent="0.2">
      <c r="A832">
        <v>3</v>
      </c>
      <c r="B832" t="s">
        <v>61</v>
      </c>
      <c r="C832">
        <v>0</v>
      </c>
      <c r="D832">
        <v>9</v>
      </c>
      <c r="E832" t="str">
        <f t="shared" si="12"/>
        <v>Kri-lin/9/3/0</v>
      </c>
    </row>
    <row r="833" spans="1:5" x14ac:dyDescent="0.2">
      <c r="A833">
        <v>4</v>
      </c>
      <c r="B833" t="s">
        <v>33</v>
      </c>
      <c r="C833">
        <v>0</v>
      </c>
      <c r="D833">
        <v>5</v>
      </c>
      <c r="E833" t="str">
        <f t="shared" ref="E833:E896" si="13">B833&amp;"/"&amp;D833&amp;"/"&amp;A833&amp;"/"&amp;C833</f>
        <v>Ptit Savoyard/5/4/0</v>
      </c>
    </row>
    <row r="834" spans="1:5" x14ac:dyDescent="0.2">
      <c r="A834">
        <v>5</v>
      </c>
      <c r="B834" t="s">
        <v>28</v>
      </c>
      <c r="C834">
        <v>0</v>
      </c>
      <c r="D834">
        <v>3</v>
      </c>
      <c r="E834" t="str">
        <f t="shared" si="13"/>
        <v>sobab/3/5/0</v>
      </c>
    </row>
    <row r="835" spans="1:5" x14ac:dyDescent="0.2">
      <c r="A835">
        <v>6</v>
      </c>
      <c r="B835" t="s">
        <v>55</v>
      </c>
      <c r="C835">
        <v>0</v>
      </c>
      <c r="D835">
        <v>2</v>
      </c>
      <c r="E835" t="str">
        <f t="shared" si="13"/>
        <v>Bounette/2/6/0</v>
      </c>
    </row>
    <row r="836" spans="1:5" x14ac:dyDescent="0.2">
      <c r="A836">
        <v>7</v>
      </c>
      <c r="B836" t="s">
        <v>101</v>
      </c>
      <c r="C836">
        <v>0</v>
      </c>
      <c r="D836">
        <v>1</v>
      </c>
      <c r="E836" t="str">
        <f t="shared" si="13"/>
        <v>ChrisFrankfurt/1/7/0</v>
      </c>
    </row>
    <row r="837" spans="1:5" x14ac:dyDescent="0.2">
      <c r="A837">
        <v>1</v>
      </c>
      <c r="B837" t="s">
        <v>68</v>
      </c>
      <c r="C837">
        <v>3</v>
      </c>
      <c r="D837">
        <v>17</v>
      </c>
      <c r="E837" t="str">
        <f t="shared" si="13"/>
        <v>zubbaz/17/1/3</v>
      </c>
    </row>
    <row r="838" spans="1:5" x14ac:dyDescent="0.2">
      <c r="A838">
        <v>2</v>
      </c>
      <c r="B838" t="s">
        <v>8</v>
      </c>
      <c r="C838">
        <v>3</v>
      </c>
      <c r="D838">
        <v>13</v>
      </c>
      <c r="E838" t="str">
        <f t="shared" si="13"/>
        <v>Maxime/13/2/3</v>
      </c>
    </row>
    <row r="839" spans="1:5" x14ac:dyDescent="0.2">
      <c r="A839">
        <v>3</v>
      </c>
      <c r="B839" t="s">
        <v>31</v>
      </c>
      <c r="C839">
        <v>0</v>
      </c>
      <c r="D839">
        <v>9</v>
      </c>
      <c r="E839" t="str">
        <f t="shared" si="13"/>
        <v>CHRIS92340/9/3/0</v>
      </c>
    </row>
    <row r="840" spans="1:5" x14ac:dyDescent="0.2">
      <c r="A840">
        <v>4</v>
      </c>
      <c r="B840" t="s">
        <v>103</v>
      </c>
      <c r="C840">
        <v>0</v>
      </c>
      <c r="D840">
        <v>5</v>
      </c>
      <c r="E840" t="str">
        <f t="shared" si="13"/>
        <v>zzav/5/4/0</v>
      </c>
    </row>
    <row r="841" spans="1:5" x14ac:dyDescent="0.2">
      <c r="A841">
        <v>5</v>
      </c>
      <c r="B841" t="s">
        <v>54</v>
      </c>
      <c r="C841">
        <v>0</v>
      </c>
      <c r="D841">
        <v>3</v>
      </c>
      <c r="E841" t="str">
        <f t="shared" si="13"/>
        <v>Salsamanu/3/5/0</v>
      </c>
    </row>
    <row r="842" spans="1:5" x14ac:dyDescent="0.2">
      <c r="A842">
        <v>6</v>
      </c>
      <c r="B842" t="s">
        <v>41</v>
      </c>
      <c r="C842">
        <v>0</v>
      </c>
      <c r="D842">
        <v>2</v>
      </c>
      <c r="E842" t="str">
        <f t="shared" si="13"/>
        <v>gibouille/2/6/0</v>
      </c>
    </row>
    <row r="843" spans="1:5" x14ac:dyDescent="0.2">
      <c r="A843">
        <v>7</v>
      </c>
      <c r="B843" t="s">
        <v>69</v>
      </c>
      <c r="C843">
        <v>0</v>
      </c>
      <c r="D843">
        <v>1</v>
      </c>
      <c r="E843" t="str">
        <f t="shared" si="13"/>
        <v>Catherine/1/7/0</v>
      </c>
    </row>
    <row r="844" spans="1:5" x14ac:dyDescent="0.2">
      <c r="A844">
        <v>1</v>
      </c>
      <c r="B844" t="s">
        <v>59</v>
      </c>
      <c r="C844">
        <v>2</v>
      </c>
      <c r="D844">
        <v>17</v>
      </c>
      <c r="E844" t="str">
        <f t="shared" si="13"/>
        <v>YooooDA/17/1/2</v>
      </c>
    </row>
    <row r="845" spans="1:5" x14ac:dyDescent="0.2">
      <c r="A845">
        <v>2</v>
      </c>
      <c r="B845" t="s">
        <v>21</v>
      </c>
      <c r="C845">
        <v>1</v>
      </c>
      <c r="D845">
        <v>13</v>
      </c>
      <c r="E845" t="str">
        <f t="shared" si="13"/>
        <v>Carmin/13/2/1</v>
      </c>
    </row>
    <row r="846" spans="1:5" x14ac:dyDescent="0.2">
      <c r="A846">
        <v>3</v>
      </c>
      <c r="B846" t="s">
        <v>50</v>
      </c>
      <c r="C846">
        <v>0</v>
      </c>
      <c r="D846">
        <v>9</v>
      </c>
      <c r="E846" t="str">
        <f t="shared" si="13"/>
        <v>MLADENGO/9/3/0</v>
      </c>
    </row>
    <row r="847" spans="1:5" x14ac:dyDescent="0.2">
      <c r="A847">
        <v>4</v>
      </c>
      <c r="B847" t="s">
        <v>88</v>
      </c>
      <c r="C847">
        <v>1</v>
      </c>
      <c r="D847">
        <v>5</v>
      </c>
      <c r="E847" t="str">
        <f t="shared" si="13"/>
        <v>Yarael/5/4/1</v>
      </c>
    </row>
    <row r="848" spans="1:5" x14ac:dyDescent="0.2">
      <c r="A848">
        <v>5</v>
      </c>
      <c r="B848" t="s">
        <v>46</v>
      </c>
      <c r="C848">
        <v>1</v>
      </c>
      <c r="D848">
        <v>3</v>
      </c>
      <c r="E848" t="str">
        <f t="shared" si="13"/>
        <v>Jérôme/3/5/1</v>
      </c>
    </row>
    <row r="849" spans="1:5" x14ac:dyDescent="0.2">
      <c r="A849">
        <v>6</v>
      </c>
      <c r="B849" t="s">
        <v>76</v>
      </c>
      <c r="C849">
        <v>1</v>
      </c>
      <c r="D849">
        <v>2</v>
      </c>
      <c r="E849" t="str">
        <f t="shared" si="13"/>
        <v>Comment2/2/6/1</v>
      </c>
    </row>
    <row r="850" spans="1:5" x14ac:dyDescent="0.2">
      <c r="A850">
        <v>7</v>
      </c>
      <c r="B850" t="s">
        <v>29</v>
      </c>
      <c r="C850">
        <v>0</v>
      </c>
      <c r="D850">
        <v>1</v>
      </c>
      <c r="E850" t="str">
        <f t="shared" si="13"/>
        <v>NoDoubt/1/7/0</v>
      </c>
    </row>
    <row r="851" spans="1:5" x14ac:dyDescent="0.2">
      <c r="A851">
        <v>1</v>
      </c>
      <c r="B851" t="s">
        <v>18</v>
      </c>
      <c r="C851">
        <v>4</v>
      </c>
      <c r="D851">
        <v>17</v>
      </c>
      <c r="E851" t="str">
        <f t="shared" si="13"/>
        <v>MAMS/17/1/4</v>
      </c>
    </row>
    <row r="852" spans="1:5" x14ac:dyDescent="0.2">
      <c r="A852">
        <v>2</v>
      </c>
      <c r="B852" t="s">
        <v>22</v>
      </c>
      <c r="C852">
        <v>0</v>
      </c>
      <c r="D852">
        <v>13</v>
      </c>
      <c r="E852" t="str">
        <f t="shared" si="13"/>
        <v>Dart 45/13/2/0</v>
      </c>
    </row>
    <row r="853" spans="1:5" x14ac:dyDescent="0.2">
      <c r="A853">
        <v>3</v>
      </c>
      <c r="B853" t="s">
        <v>38</v>
      </c>
      <c r="C853">
        <v>2</v>
      </c>
      <c r="D853">
        <v>9</v>
      </c>
      <c r="E853" t="str">
        <f t="shared" si="13"/>
        <v>cTTprmoa/9/3/2</v>
      </c>
    </row>
    <row r="854" spans="1:5" x14ac:dyDescent="0.2">
      <c r="A854">
        <v>4</v>
      </c>
      <c r="B854" t="s">
        <v>65</v>
      </c>
      <c r="C854">
        <v>0</v>
      </c>
      <c r="D854">
        <v>5</v>
      </c>
      <c r="E854" t="str">
        <f t="shared" si="13"/>
        <v>Ripolin/5/4/0</v>
      </c>
    </row>
    <row r="855" spans="1:5" x14ac:dyDescent="0.2">
      <c r="A855">
        <v>5</v>
      </c>
      <c r="B855" t="s">
        <v>45</v>
      </c>
      <c r="C855">
        <v>0</v>
      </c>
      <c r="D855">
        <v>3</v>
      </c>
      <c r="E855" t="str">
        <f t="shared" si="13"/>
        <v>yaltar/3/5/0</v>
      </c>
    </row>
    <row r="856" spans="1:5" x14ac:dyDescent="0.2">
      <c r="A856">
        <v>6</v>
      </c>
      <c r="B856" t="s">
        <v>98</v>
      </c>
      <c r="C856">
        <v>0</v>
      </c>
      <c r="D856">
        <v>2</v>
      </c>
      <c r="E856" t="str">
        <f t="shared" si="13"/>
        <v>Blocknote/2/6/0</v>
      </c>
    </row>
    <row r="857" spans="1:5" x14ac:dyDescent="0.2">
      <c r="A857">
        <v>7</v>
      </c>
      <c r="B857" t="s">
        <v>40</v>
      </c>
      <c r="C857">
        <v>0</v>
      </c>
      <c r="D857">
        <v>1</v>
      </c>
      <c r="E857" t="str">
        <f t="shared" si="13"/>
        <v>Lén@/1/7/0</v>
      </c>
    </row>
    <row r="858" spans="1:5" x14ac:dyDescent="0.2">
      <c r="A858">
        <v>1</v>
      </c>
      <c r="B858" t="s">
        <v>23</v>
      </c>
      <c r="C858">
        <v>2</v>
      </c>
      <c r="D858">
        <v>16</v>
      </c>
      <c r="E858" t="str">
        <f t="shared" si="13"/>
        <v>Lylith75/16/1/2</v>
      </c>
    </row>
    <row r="859" spans="1:5" x14ac:dyDescent="0.2">
      <c r="A859">
        <v>2</v>
      </c>
      <c r="B859" t="s">
        <v>12</v>
      </c>
      <c r="C859">
        <v>1</v>
      </c>
      <c r="D859">
        <v>12</v>
      </c>
      <c r="E859" t="str">
        <f t="shared" si="13"/>
        <v>Gnak/12/2/1</v>
      </c>
    </row>
    <row r="860" spans="1:5" x14ac:dyDescent="0.2">
      <c r="A860">
        <v>3</v>
      </c>
      <c r="B860" t="s">
        <v>305</v>
      </c>
      <c r="C860">
        <v>2</v>
      </c>
      <c r="D860">
        <v>8</v>
      </c>
      <c r="E860" t="str">
        <f t="shared" si="13"/>
        <v>flowww/8/3/2</v>
      </c>
    </row>
    <row r="861" spans="1:5" x14ac:dyDescent="0.2">
      <c r="A861">
        <v>4</v>
      </c>
      <c r="B861" t="s">
        <v>25</v>
      </c>
      <c r="C861">
        <v>0</v>
      </c>
      <c r="D861">
        <v>4</v>
      </c>
      <c r="E861" t="str">
        <f t="shared" si="13"/>
        <v>Claudius/4/4/0</v>
      </c>
    </row>
    <row r="862" spans="1:5" x14ac:dyDescent="0.2">
      <c r="A862">
        <v>5</v>
      </c>
      <c r="B862" t="s">
        <v>26</v>
      </c>
      <c r="C862">
        <v>0</v>
      </c>
      <c r="D862">
        <v>2</v>
      </c>
      <c r="E862" t="str">
        <f t="shared" si="13"/>
        <v>LOSOGRE/2/5/0</v>
      </c>
    </row>
    <row r="863" spans="1:5" x14ac:dyDescent="0.2">
      <c r="A863">
        <v>6</v>
      </c>
      <c r="B863" t="s">
        <v>52</v>
      </c>
      <c r="C863">
        <v>0</v>
      </c>
      <c r="D863">
        <v>1</v>
      </c>
      <c r="E863" t="str">
        <f t="shared" si="13"/>
        <v>Coach Pepito/1/6/0</v>
      </c>
    </row>
    <row r="864" spans="1:5" x14ac:dyDescent="0.2">
      <c r="A864">
        <v>1</v>
      </c>
      <c r="B864" t="s">
        <v>6</v>
      </c>
      <c r="C864">
        <v>2</v>
      </c>
      <c r="D864">
        <v>17</v>
      </c>
      <c r="E864" t="str">
        <f t="shared" si="13"/>
        <v>Pyja/17/1/2</v>
      </c>
    </row>
    <row r="865" spans="1:5" x14ac:dyDescent="0.2">
      <c r="A865">
        <v>2</v>
      </c>
      <c r="B865" t="s">
        <v>60</v>
      </c>
      <c r="C865">
        <v>1</v>
      </c>
      <c r="D865">
        <v>13</v>
      </c>
      <c r="E865" t="str">
        <f t="shared" si="13"/>
        <v>zizou/13/2/1</v>
      </c>
    </row>
    <row r="866" spans="1:5" x14ac:dyDescent="0.2">
      <c r="A866">
        <v>3</v>
      </c>
      <c r="B866" t="s">
        <v>77</v>
      </c>
      <c r="C866">
        <v>1</v>
      </c>
      <c r="D866">
        <v>9</v>
      </c>
      <c r="E866" t="str">
        <f t="shared" si="13"/>
        <v>Récréatif/9/3/1</v>
      </c>
    </row>
    <row r="867" spans="1:5" x14ac:dyDescent="0.2">
      <c r="A867">
        <v>4</v>
      </c>
      <c r="B867" t="s">
        <v>75</v>
      </c>
      <c r="C867">
        <v>0</v>
      </c>
      <c r="D867">
        <v>5</v>
      </c>
      <c r="E867" t="str">
        <f t="shared" si="13"/>
        <v>Michelbey/5/4/0</v>
      </c>
    </row>
    <row r="868" spans="1:5" x14ac:dyDescent="0.2">
      <c r="A868">
        <v>5</v>
      </c>
      <c r="B868" t="s">
        <v>39</v>
      </c>
      <c r="C868">
        <v>2</v>
      </c>
      <c r="D868">
        <v>3</v>
      </c>
      <c r="E868" t="str">
        <f t="shared" si="13"/>
        <v>kheops/3/5/2</v>
      </c>
    </row>
    <row r="869" spans="1:5" x14ac:dyDescent="0.2">
      <c r="A869">
        <v>6</v>
      </c>
      <c r="B869" t="s">
        <v>35</v>
      </c>
      <c r="C869">
        <v>0</v>
      </c>
      <c r="D869">
        <v>2</v>
      </c>
      <c r="E869" t="str">
        <f t="shared" si="13"/>
        <v>JeanMichelTiming/2/6/0</v>
      </c>
    </row>
    <row r="870" spans="1:5" x14ac:dyDescent="0.2">
      <c r="A870">
        <v>7</v>
      </c>
      <c r="B870" t="s">
        <v>81</v>
      </c>
      <c r="C870">
        <v>0</v>
      </c>
      <c r="D870">
        <v>1</v>
      </c>
      <c r="E870" t="str">
        <f t="shared" si="13"/>
        <v>Empedocle/1/7/0</v>
      </c>
    </row>
    <row r="871" spans="1:5" x14ac:dyDescent="0.2">
      <c r="A871">
        <v>1</v>
      </c>
      <c r="B871" t="s">
        <v>9</v>
      </c>
      <c r="C871">
        <v>4</v>
      </c>
      <c r="D871">
        <v>17</v>
      </c>
      <c r="E871" t="str">
        <f t="shared" si="13"/>
        <v>K1/17/1/4</v>
      </c>
    </row>
    <row r="872" spans="1:5" x14ac:dyDescent="0.2">
      <c r="A872">
        <v>2</v>
      </c>
      <c r="B872" t="s">
        <v>74</v>
      </c>
      <c r="C872">
        <v>1</v>
      </c>
      <c r="D872">
        <v>13</v>
      </c>
      <c r="E872" t="str">
        <f t="shared" si="13"/>
        <v>PatB/13/2/1</v>
      </c>
    </row>
    <row r="873" spans="1:5" x14ac:dyDescent="0.2">
      <c r="A873">
        <v>3</v>
      </c>
      <c r="B873" t="s">
        <v>73</v>
      </c>
      <c r="C873">
        <v>0</v>
      </c>
      <c r="D873">
        <v>9</v>
      </c>
      <c r="E873" t="str">
        <f t="shared" si="13"/>
        <v>Flem/9/3/0</v>
      </c>
    </row>
    <row r="874" spans="1:5" x14ac:dyDescent="0.2">
      <c r="A874">
        <v>4</v>
      </c>
      <c r="B874" t="s">
        <v>47</v>
      </c>
      <c r="C874">
        <v>1</v>
      </c>
      <c r="D874">
        <v>5</v>
      </c>
      <c r="E874" t="str">
        <f t="shared" si="13"/>
        <v>Logan/5/4/1</v>
      </c>
    </row>
    <row r="875" spans="1:5" x14ac:dyDescent="0.2">
      <c r="A875">
        <v>5</v>
      </c>
      <c r="B875" t="s">
        <v>42</v>
      </c>
      <c r="C875">
        <v>0</v>
      </c>
      <c r="D875">
        <v>3</v>
      </c>
      <c r="E875" t="str">
        <f t="shared" si="13"/>
        <v>Claptou/3/5/0</v>
      </c>
    </row>
    <row r="876" spans="1:5" x14ac:dyDescent="0.2">
      <c r="A876">
        <v>6</v>
      </c>
      <c r="B876" t="s">
        <v>27</v>
      </c>
      <c r="C876">
        <v>0</v>
      </c>
      <c r="D876">
        <v>2</v>
      </c>
      <c r="E876" t="str">
        <f t="shared" si="13"/>
        <v>Mandrake/2/6/0</v>
      </c>
    </row>
    <row r="877" spans="1:5" x14ac:dyDescent="0.2">
      <c r="A877">
        <v>7</v>
      </c>
      <c r="B877" t="s">
        <v>92</v>
      </c>
      <c r="C877">
        <v>0</v>
      </c>
      <c r="D877">
        <v>1</v>
      </c>
      <c r="E877" t="str">
        <f t="shared" si="13"/>
        <v>Jacks&amp;Five/1/7/0</v>
      </c>
    </row>
    <row r="878" spans="1:5" x14ac:dyDescent="0.2">
      <c r="A878">
        <v>1</v>
      </c>
      <c r="B878" t="s">
        <v>59</v>
      </c>
      <c r="C878">
        <v>4</v>
      </c>
      <c r="D878">
        <v>16</v>
      </c>
      <c r="E878" t="str">
        <f t="shared" si="13"/>
        <v>YooooDA/16/1/4</v>
      </c>
    </row>
    <row r="879" spans="1:5" x14ac:dyDescent="0.2">
      <c r="A879">
        <v>2</v>
      </c>
      <c r="B879" t="s">
        <v>31</v>
      </c>
      <c r="C879">
        <v>0</v>
      </c>
      <c r="D879">
        <v>12</v>
      </c>
      <c r="E879" t="str">
        <f t="shared" si="13"/>
        <v>CHRIS92340/12/2/0</v>
      </c>
    </row>
    <row r="880" spans="1:5" x14ac:dyDescent="0.2">
      <c r="A880">
        <v>3</v>
      </c>
      <c r="B880" t="s">
        <v>54</v>
      </c>
      <c r="C880">
        <v>0</v>
      </c>
      <c r="D880">
        <v>8</v>
      </c>
      <c r="E880" t="str">
        <f t="shared" si="13"/>
        <v>Salsamanu/8/3/0</v>
      </c>
    </row>
    <row r="881" spans="1:5" x14ac:dyDescent="0.2">
      <c r="A881">
        <v>4</v>
      </c>
      <c r="B881" t="s">
        <v>38</v>
      </c>
      <c r="C881">
        <v>0</v>
      </c>
      <c r="D881">
        <v>4</v>
      </c>
      <c r="E881" t="str">
        <f t="shared" si="13"/>
        <v>cTTprmoa/4/4/0</v>
      </c>
    </row>
    <row r="882" spans="1:5" x14ac:dyDescent="0.2">
      <c r="A882">
        <v>5</v>
      </c>
      <c r="B882" t="s">
        <v>76</v>
      </c>
      <c r="C882">
        <v>1</v>
      </c>
      <c r="D882">
        <v>2</v>
      </c>
      <c r="E882" t="str">
        <f t="shared" si="13"/>
        <v>Comment2/2/5/1</v>
      </c>
    </row>
    <row r="883" spans="1:5" x14ac:dyDescent="0.2">
      <c r="A883">
        <v>6</v>
      </c>
      <c r="B883" t="s">
        <v>103</v>
      </c>
      <c r="C883">
        <v>0</v>
      </c>
      <c r="D883">
        <v>1</v>
      </c>
      <c r="E883" t="str">
        <f t="shared" si="13"/>
        <v>zzav/1/6/0</v>
      </c>
    </row>
    <row r="884" spans="1:5" x14ac:dyDescent="0.2">
      <c r="A884">
        <v>1</v>
      </c>
      <c r="B884" t="s">
        <v>50</v>
      </c>
      <c r="C884">
        <v>1</v>
      </c>
      <c r="D884">
        <v>16</v>
      </c>
      <c r="E884" t="str">
        <f t="shared" si="13"/>
        <v>MLADENGO/16/1/1</v>
      </c>
    </row>
    <row r="885" spans="1:5" x14ac:dyDescent="0.2">
      <c r="A885">
        <v>2</v>
      </c>
      <c r="B885" t="s">
        <v>102</v>
      </c>
      <c r="C885">
        <v>2</v>
      </c>
      <c r="D885">
        <v>12</v>
      </c>
      <c r="E885" t="str">
        <f t="shared" si="13"/>
        <v>Doudoululu/12/2/2</v>
      </c>
    </row>
    <row r="886" spans="1:5" x14ac:dyDescent="0.2">
      <c r="A886">
        <v>3</v>
      </c>
      <c r="B886" t="s">
        <v>40</v>
      </c>
      <c r="C886">
        <v>2</v>
      </c>
      <c r="D886">
        <v>8</v>
      </c>
      <c r="E886" t="str">
        <f t="shared" si="13"/>
        <v>Lén@/8/3/2</v>
      </c>
    </row>
    <row r="887" spans="1:5" x14ac:dyDescent="0.2">
      <c r="A887">
        <v>4</v>
      </c>
      <c r="B887" t="s">
        <v>33</v>
      </c>
      <c r="C887">
        <v>0</v>
      </c>
      <c r="D887">
        <v>4</v>
      </c>
      <c r="E887" t="str">
        <f t="shared" si="13"/>
        <v>Ptit Savoyard/4/4/0</v>
      </c>
    </row>
    <row r="888" spans="1:5" x14ac:dyDescent="0.2">
      <c r="A888">
        <v>5</v>
      </c>
      <c r="B888" t="s">
        <v>47</v>
      </c>
      <c r="C888">
        <v>0</v>
      </c>
      <c r="D888">
        <v>2</v>
      </c>
      <c r="E888" t="str">
        <f t="shared" si="13"/>
        <v>Logan/2/5/0</v>
      </c>
    </row>
    <row r="889" spans="1:5" x14ac:dyDescent="0.2">
      <c r="A889">
        <v>6</v>
      </c>
      <c r="B889" t="s">
        <v>66</v>
      </c>
      <c r="C889">
        <v>0</v>
      </c>
      <c r="D889">
        <v>1</v>
      </c>
      <c r="E889" t="str">
        <f t="shared" si="13"/>
        <v>Ad Vitam/1/6/0</v>
      </c>
    </row>
    <row r="890" spans="1:5" x14ac:dyDescent="0.2">
      <c r="A890">
        <v>1</v>
      </c>
      <c r="B890" t="s">
        <v>65</v>
      </c>
      <c r="C890">
        <v>4</v>
      </c>
      <c r="D890">
        <v>16</v>
      </c>
      <c r="E890" t="str">
        <f t="shared" si="13"/>
        <v>Ripolin/16/1/4</v>
      </c>
    </row>
    <row r="891" spans="1:5" x14ac:dyDescent="0.2">
      <c r="A891">
        <v>2</v>
      </c>
      <c r="B891" t="s">
        <v>41</v>
      </c>
      <c r="C891">
        <v>1</v>
      </c>
      <c r="D891">
        <v>12</v>
      </c>
      <c r="E891" t="str">
        <f t="shared" si="13"/>
        <v>gibouille/12/2/1</v>
      </c>
    </row>
    <row r="892" spans="1:5" x14ac:dyDescent="0.2">
      <c r="A892">
        <v>3</v>
      </c>
      <c r="B892" t="s">
        <v>55</v>
      </c>
      <c r="C892">
        <v>0</v>
      </c>
      <c r="D892">
        <v>8</v>
      </c>
      <c r="E892" t="str">
        <f t="shared" si="13"/>
        <v>Bounette/8/3/0</v>
      </c>
    </row>
    <row r="893" spans="1:5" x14ac:dyDescent="0.2">
      <c r="A893">
        <v>4</v>
      </c>
      <c r="B893" t="s">
        <v>14</v>
      </c>
      <c r="C893">
        <v>0</v>
      </c>
      <c r="D893">
        <v>4</v>
      </c>
      <c r="E893" t="str">
        <f t="shared" si="13"/>
        <v>Ramm/4/4/0</v>
      </c>
    </row>
    <row r="894" spans="1:5" x14ac:dyDescent="0.2">
      <c r="A894">
        <v>5</v>
      </c>
      <c r="B894" t="s">
        <v>29</v>
      </c>
      <c r="C894">
        <v>0</v>
      </c>
      <c r="D894">
        <v>2</v>
      </c>
      <c r="E894" t="str">
        <f t="shared" si="13"/>
        <v>NoDoubt/2/5/0</v>
      </c>
    </row>
    <row r="895" spans="1:5" x14ac:dyDescent="0.2">
      <c r="A895">
        <v>6</v>
      </c>
      <c r="B895" t="s">
        <v>53</v>
      </c>
      <c r="C895">
        <v>0</v>
      </c>
      <c r="D895">
        <v>1</v>
      </c>
      <c r="E895" t="str">
        <f t="shared" si="13"/>
        <v>Makoche/1/6/0</v>
      </c>
    </row>
    <row r="896" spans="1:5" x14ac:dyDescent="0.2">
      <c r="A896">
        <v>1</v>
      </c>
      <c r="B896" t="s">
        <v>46</v>
      </c>
      <c r="C896">
        <v>1</v>
      </c>
      <c r="D896">
        <v>16</v>
      </c>
      <c r="E896" t="str">
        <f t="shared" si="13"/>
        <v>Jérôme/16/1/1</v>
      </c>
    </row>
    <row r="897" spans="1:5" x14ac:dyDescent="0.2">
      <c r="A897">
        <v>2</v>
      </c>
      <c r="B897" t="s">
        <v>25</v>
      </c>
      <c r="C897">
        <v>1</v>
      </c>
      <c r="D897">
        <v>12</v>
      </c>
      <c r="E897" t="str">
        <f t="shared" ref="E897:E960" si="14">B897&amp;"/"&amp;D897&amp;"/"&amp;A897&amp;"/"&amp;C897</f>
        <v>Claudius/12/2/1</v>
      </c>
    </row>
    <row r="898" spans="1:5" x14ac:dyDescent="0.2">
      <c r="A898">
        <v>3</v>
      </c>
      <c r="B898" t="s">
        <v>8</v>
      </c>
      <c r="C898">
        <v>2</v>
      </c>
      <c r="D898">
        <v>8</v>
      </c>
      <c r="E898" t="str">
        <f t="shared" si="14"/>
        <v>Maxime/8/3/2</v>
      </c>
    </row>
    <row r="899" spans="1:5" x14ac:dyDescent="0.2">
      <c r="A899">
        <v>4</v>
      </c>
      <c r="B899" t="s">
        <v>22</v>
      </c>
      <c r="C899">
        <v>1</v>
      </c>
      <c r="D899">
        <v>4</v>
      </c>
      <c r="E899" t="str">
        <f t="shared" si="14"/>
        <v>Dart 45/4/4/1</v>
      </c>
    </row>
    <row r="900" spans="1:5" x14ac:dyDescent="0.2">
      <c r="A900">
        <v>5</v>
      </c>
      <c r="B900" t="s">
        <v>52</v>
      </c>
      <c r="C900">
        <v>0</v>
      </c>
      <c r="D900">
        <v>2</v>
      </c>
      <c r="E900" t="str">
        <f t="shared" si="14"/>
        <v>Coach Pepito/2/5/0</v>
      </c>
    </row>
    <row r="901" spans="1:5" x14ac:dyDescent="0.2">
      <c r="A901">
        <v>6</v>
      </c>
      <c r="B901" t="s">
        <v>21</v>
      </c>
      <c r="C901">
        <v>0</v>
      </c>
      <c r="D901">
        <v>1</v>
      </c>
      <c r="E901" t="str">
        <f t="shared" si="14"/>
        <v>Carmin/1/6/0</v>
      </c>
    </row>
    <row r="902" spans="1:5" x14ac:dyDescent="0.2">
      <c r="A902">
        <v>1</v>
      </c>
      <c r="B902" t="s">
        <v>45</v>
      </c>
      <c r="C902">
        <v>2</v>
      </c>
      <c r="D902">
        <v>16</v>
      </c>
      <c r="E902" t="str">
        <f t="shared" si="14"/>
        <v>yaltar/16/1/2</v>
      </c>
    </row>
    <row r="903" spans="1:5" x14ac:dyDescent="0.2">
      <c r="A903">
        <v>2</v>
      </c>
      <c r="B903" t="s">
        <v>61</v>
      </c>
      <c r="C903">
        <v>1</v>
      </c>
      <c r="D903">
        <v>12</v>
      </c>
      <c r="E903" t="str">
        <f t="shared" si="14"/>
        <v>Kri-lin/12/2/1</v>
      </c>
    </row>
    <row r="904" spans="1:5" x14ac:dyDescent="0.2">
      <c r="A904">
        <v>3</v>
      </c>
      <c r="B904" t="s">
        <v>101</v>
      </c>
      <c r="C904">
        <v>1</v>
      </c>
      <c r="D904">
        <v>8</v>
      </c>
      <c r="E904" t="str">
        <f t="shared" si="14"/>
        <v>ChrisFrankfurt/8/3/1</v>
      </c>
    </row>
    <row r="905" spans="1:5" x14ac:dyDescent="0.2">
      <c r="A905">
        <v>4</v>
      </c>
      <c r="B905" t="s">
        <v>12</v>
      </c>
      <c r="C905">
        <v>1</v>
      </c>
      <c r="D905">
        <v>4</v>
      </c>
      <c r="E905" t="str">
        <f t="shared" si="14"/>
        <v>Gnak/4/4/1</v>
      </c>
    </row>
    <row r="906" spans="1:5" x14ac:dyDescent="0.2">
      <c r="A906">
        <v>5</v>
      </c>
      <c r="B906" t="s">
        <v>81</v>
      </c>
      <c r="C906">
        <v>0</v>
      </c>
      <c r="D906">
        <v>2</v>
      </c>
      <c r="E906" t="str">
        <f t="shared" si="14"/>
        <v>Empedocle/2/5/0</v>
      </c>
    </row>
    <row r="907" spans="1:5" x14ac:dyDescent="0.2">
      <c r="A907">
        <v>6</v>
      </c>
      <c r="B907" t="s">
        <v>18</v>
      </c>
      <c r="C907">
        <v>0</v>
      </c>
      <c r="D907">
        <v>1</v>
      </c>
      <c r="E907" t="str">
        <f t="shared" si="14"/>
        <v>MAMS/1/6/0</v>
      </c>
    </row>
    <row r="908" spans="1:5" x14ac:dyDescent="0.2">
      <c r="A908">
        <v>1</v>
      </c>
      <c r="B908" t="s">
        <v>94</v>
      </c>
      <c r="C908">
        <v>4</v>
      </c>
      <c r="D908">
        <v>16</v>
      </c>
      <c r="E908" t="str">
        <f t="shared" si="14"/>
        <v>Jaden le désosseur/16/1/4</v>
      </c>
    </row>
    <row r="909" spans="1:5" x14ac:dyDescent="0.2">
      <c r="A909">
        <v>2</v>
      </c>
      <c r="B909" t="s">
        <v>68</v>
      </c>
      <c r="C909">
        <v>1</v>
      </c>
      <c r="D909">
        <v>12</v>
      </c>
      <c r="E909" t="str">
        <f t="shared" si="14"/>
        <v>zubbaz/12/2/1</v>
      </c>
    </row>
    <row r="910" spans="1:5" x14ac:dyDescent="0.2">
      <c r="A910">
        <v>3</v>
      </c>
      <c r="B910" t="s">
        <v>26</v>
      </c>
      <c r="C910">
        <v>0</v>
      </c>
      <c r="D910">
        <v>8</v>
      </c>
      <c r="E910" t="str">
        <f t="shared" si="14"/>
        <v>LOSOGRE/8/3/0</v>
      </c>
    </row>
    <row r="911" spans="1:5" x14ac:dyDescent="0.2">
      <c r="A911">
        <v>4</v>
      </c>
      <c r="B911" t="s">
        <v>43</v>
      </c>
      <c r="C911">
        <v>0</v>
      </c>
      <c r="D911">
        <v>4</v>
      </c>
      <c r="E911" t="str">
        <f t="shared" si="14"/>
        <v>KassTwo/4/4/0</v>
      </c>
    </row>
    <row r="912" spans="1:5" x14ac:dyDescent="0.2">
      <c r="A912">
        <v>5</v>
      </c>
      <c r="B912" t="s">
        <v>75</v>
      </c>
      <c r="C912">
        <v>0</v>
      </c>
      <c r="D912">
        <v>2</v>
      </c>
      <c r="E912" t="str">
        <f t="shared" si="14"/>
        <v>Michelbey/2/5/0</v>
      </c>
    </row>
    <row r="913" spans="1:5" x14ac:dyDescent="0.2">
      <c r="A913">
        <v>6</v>
      </c>
      <c r="B913" t="s">
        <v>92</v>
      </c>
      <c r="C913">
        <v>0</v>
      </c>
      <c r="D913">
        <v>1</v>
      </c>
      <c r="E913" t="str">
        <f t="shared" si="14"/>
        <v>Jacks&amp;Five/1/6/0</v>
      </c>
    </row>
    <row r="914" spans="1:5" x14ac:dyDescent="0.2">
      <c r="A914">
        <v>1</v>
      </c>
      <c r="B914" t="s">
        <v>19</v>
      </c>
      <c r="C914">
        <v>3</v>
      </c>
      <c r="D914">
        <v>17</v>
      </c>
      <c r="E914" t="str">
        <f t="shared" si="14"/>
        <v>Giobeck/17/1/3</v>
      </c>
    </row>
    <row r="915" spans="1:5" x14ac:dyDescent="0.2">
      <c r="A915">
        <v>2</v>
      </c>
      <c r="B915" t="s">
        <v>28</v>
      </c>
      <c r="C915">
        <v>3</v>
      </c>
      <c r="D915">
        <v>13</v>
      </c>
      <c r="E915" t="str">
        <f t="shared" si="14"/>
        <v>sobab/13/2/3</v>
      </c>
    </row>
    <row r="916" spans="1:5" x14ac:dyDescent="0.2">
      <c r="A916">
        <v>3</v>
      </c>
      <c r="B916" t="s">
        <v>35</v>
      </c>
      <c r="C916">
        <v>0</v>
      </c>
      <c r="D916">
        <v>9</v>
      </c>
      <c r="E916" t="str">
        <f t="shared" si="14"/>
        <v>JeanMichelTiming/9/3/0</v>
      </c>
    </row>
    <row r="917" spans="1:5" x14ac:dyDescent="0.2">
      <c r="A917">
        <v>4</v>
      </c>
      <c r="B917" t="s">
        <v>60</v>
      </c>
      <c r="C917">
        <v>0</v>
      </c>
      <c r="D917">
        <v>5</v>
      </c>
      <c r="E917" t="str">
        <f t="shared" si="14"/>
        <v>zizou/5/4/0</v>
      </c>
    </row>
    <row r="918" spans="1:5" x14ac:dyDescent="0.2">
      <c r="A918">
        <v>5</v>
      </c>
      <c r="B918" t="s">
        <v>9</v>
      </c>
      <c r="C918">
        <v>0</v>
      </c>
      <c r="D918">
        <v>3</v>
      </c>
      <c r="E918" t="str">
        <f t="shared" si="14"/>
        <v>K1/3/5/0</v>
      </c>
    </row>
    <row r="919" spans="1:5" x14ac:dyDescent="0.2">
      <c r="A919">
        <v>6</v>
      </c>
      <c r="B919" t="s">
        <v>87</v>
      </c>
      <c r="C919">
        <v>0</v>
      </c>
      <c r="D919">
        <v>2</v>
      </c>
      <c r="E919" t="str">
        <f t="shared" si="14"/>
        <v>Proph@ne/2/6/0</v>
      </c>
    </row>
    <row r="920" spans="1:5" x14ac:dyDescent="0.2">
      <c r="A920">
        <v>7</v>
      </c>
      <c r="B920" t="s">
        <v>23</v>
      </c>
      <c r="C920">
        <v>0</v>
      </c>
      <c r="D920">
        <v>1</v>
      </c>
      <c r="E920" t="str">
        <f t="shared" si="14"/>
        <v>Lylith75/1/7/0</v>
      </c>
    </row>
    <row r="921" spans="1:5" x14ac:dyDescent="0.2">
      <c r="A921">
        <v>1</v>
      </c>
      <c r="B921" t="s">
        <v>73</v>
      </c>
      <c r="C921">
        <v>2</v>
      </c>
      <c r="D921">
        <v>16</v>
      </c>
      <c r="E921" t="str">
        <f t="shared" si="14"/>
        <v>Flem/16/1/2</v>
      </c>
    </row>
    <row r="922" spans="1:5" x14ac:dyDescent="0.2">
      <c r="A922">
        <v>2</v>
      </c>
      <c r="B922" t="s">
        <v>69</v>
      </c>
      <c r="C922">
        <v>3</v>
      </c>
      <c r="D922">
        <v>12</v>
      </c>
      <c r="E922" t="str">
        <f t="shared" si="14"/>
        <v>Catherine/12/2/3</v>
      </c>
    </row>
    <row r="923" spans="1:5" x14ac:dyDescent="0.2">
      <c r="A923">
        <v>3</v>
      </c>
      <c r="B923" t="s">
        <v>6</v>
      </c>
      <c r="C923">
        <v>0</v>
      </c>
      <c r="D923">
        <v>8</v>
      </c>
      <c r="E923" t="str">
        <f t="shared" si="14"/>
        <v>Pyja/8/3/0</v>
      </c>
    </row>
    <row r="924" spans="1:5" x14ac:dyDescent="0.2">
      <c r="A924">
        <v>4</v>
      </c>
      <c r="B924" t="s">
        <v>42</v>
      </c>
      <c r="C924">
        <v>0</v>
      </c>
      <c r="D924">
        <v>4</v>
      </c>
      <c r="E924" t="str">
        <f t="shared" si="14"/>
        <v>Claptou/4/4/0</v>
      </c>
    </row>
    <row r="925" spans="1:5" x14ac:dyDescent="0.2">
      <c r="A925">
        <v>5</v>
      </c>
      <c r="B925" t="s">
        <v>39</v>
      </c>
      <c r="C925">
        <v>0</v>
      </c>
      <c r="D925">
        <v>2</v>
      </c>
      <c r="E925" t="str">
        <f t="shared" si="14"/>
        <v>kheops/2/5/0</v>
      </c>
    </row>
    <row r="926" spans="1:5" x14ac:dyDescent="0.2">
      <c r="A926">
        <v>6</v>
      </c>
      <c r="B926" t="s">
        <v>74</v>
      </c>
      <c r="C926">
        <v>0</v>
      </c>
      <c r="D926">
        <v>1</v>
      </c>
      <c r="E926" t="str">
        <f t="shared" si="14"/>
        <v>PatB/1/6/0</v>
      </c>
    </row>
    <row r="927" spans="1:5" x14ac:dyDescent="0.2">
      <c r="A927">
        <v>1</v>
      </c>
      <c r="B927" t="s">
        <v>103</v>
      </c>
      <c r="C927">
        <v>2</v>
      </c>
      <c r="D927">
        <v>16</v>
      </c>
      <c r="E927" t="str">
        <f t="shared" si="14"/>
        <v>zzav/16/1/2</v>
      </c>
    </row>
    <row r="928" spans="1:5" x14ac:dyDescent="0.2">
      <c r="A928">
        <v>2</v>
      </c>
      <c r="B928" t="s">
        <v>41</v>
      </c>
      <c r="C928">
        <v>1</v>
      </c>
      <c r="D928">
        <v>12</v>
      </c>
      <c r="E928" t="str">
        <f t="shared" si="14"/>
        <v>gibouille/12/2/1</v>
      </c>
    </row>
    <row r="929" spans="1:5" x14ac:dyDescent="0.2">
      <c r="A929">
        <v>3</v>
      </c>
      <c r="B929" t="s">
        <v>9</v>
      </c>
      <c r="C929">
        <v>2</v>
      </c>
      <c r="D929">
        <v>8</v>
      </c>
      <c r="E929" t="str">
        <f t="shared" si="14"/>
        <v>K1/8/3/2</v>
      </c>
    </row>
    <row r="930" spans="1:5" x14ac:dyDescent="0.2">
      <c r="A930">
        <v>4</v>
      </c>
      <c r="B930" t="s">
        <v>88</v>
      </c>
      <c r="C930">
        <v>0</v>
      </c>
      <c r="D930">
        <v>4</v>
      </c>
      <c r="E930" t="str">
        <f t="shared" si="14"/>
        <v>Yarael/4/4/0</v>
      </c>
    </row>
    <row r="931" spans="1:5" x14ac:dyDescent="0.2">
      <c r="A931">
        <v>5</v>
      </c>
      <c r="B931" t="s">
        <v>31</v>
      </c>
      <c r="C931">
        <v>0</v>
      </c>
      <c r="D931">
        <v>2</v>
      </c>
      <c r="E931" t="str">
        <f t="shared" si="14"/>
        <v>CHRIS92340/2/5/0</v>
      </c>
    </row>
    <row r="932" spans="1:5" x14ac:dyDescent="0.2">
      <c r="A932">
        <v>6</v>
      </c>
      <c r="B932" t="s">
        <v>54</v>
      </c>
      <c r="C932">
        <v>0</v>
      </c>
      <c r="D932">
        <v>1</v>
      </c>
      <c r="E932" t="str">
        <f t="shared" si="14"/>
        <v>Salsamanu/1/6/0</v>
      </c>
    </row>
    <row r="933" spans="1:5" x14ac:dyDescent="0.2">
      <c r="A933">
        <v>1</v>
      </c>
      <c r="B933" t="s">
        <v>305</v>
      </c>
      <c r="C933">
        <v>2</v>
      </c>
      <c r="D933">
        <v>16</v>
      </c>
      <c r="E933" t="str">
        <f t="shared" si="14"/>
        <v>flowww/16/1/2</v>
      </c>
    </row>
    <row r="934" spans="1:5" x14ac:dyDescent="0.2">
      <c r="A934">
        <v>2</v>
      </c>
      <c r="B934" t="s">
        <v>102</v>
      </c>
      <c r="C934">
        <v>3</v>
      </c>
      <c r="D934">
        <v>12</v>
      </c>
      <c r="E934" t="str">
        <f t="shared" si="14"/>
        <v>Doudoululu/12/2/3</v>
      </c>
    </row>
    <row r="935" spans="1:5" x14ac:dyDescent="0.2">
      <c r="A935">
        <v>3</v>
      </c>
      <c r="B935" t="s">
        <v>25</v>
      </c>
      <c r="C935">
        <v>0</v>
      </c>
      <c r="D935">
        <v>8</v>
      </c>
      <c r="E935" t="str">
        <f t="shared" si="14"/>
        <v>Claudius/8/3/0</v>
      </c>
    </row>
    <row r="936" spans="1:5" x14ac:dyDescent="0.2">
      <c r="A936">
        <v>4</v>
      </c>
      <c r="B936" t="s">
        <v>6</v>
      </c>
      <c r="C936">
        <v>0</v>
      </c>
      <c r="D936">
        <v>4</v>
      </c>
      <c r="E936" t="str">
        <f t="shared" si="14"/>
        <v>Pyja/4/4/0</v>
      </c>
    </row>
    <row r="937" spans="1:5" x14ac:dyDescent="0.2">
      <c r="A937">
        <v>5</v>
      </c>
      <c r="B937" t="s">
        <v>26</v>
      </c>
      <c r="C937">
        <v>0</v>
      </c>
      <c r="D937">
        <v>2</v>
      </c>
      <c r="E937" t="str">
        <f t="shared" si="14"/>
        <v>LOSOGRE/2/5/0</v>
      </c>
    </row>
    <row r="938" spans="1:5" x14ac:dyDescent="0.2">
      <c r="A938">
        <v>6</v>
      </c>
      <c r="B938" t="s">
        <v>55</v>
      </c>
      <c r="C938">
        <v>0</v>
      </c>
      <c r="D938">
        <v>1</v>
      </c>
      <c r="E938" t="str">
        <f t="shared" si="14"/>
        <v>Bounette/1/6/0</v>
      </c>
    </row>
    <row r="939" spans="1:5" x14ac:dyDescent="0.2">
      <c r="A939">
        <v>1</v>
      </c>
      <c r="B939" t="s">
        <v>12</v>
      </c>
      <c r="C939">
        <v>2</v>
      </c>
      <c r="D939">
        <v>16</v>
      </c>
      <c r="E939" t="str">
        <f t="shared" si="14"/>
        <v>Gnak/16/1/2</v>
      </c>
    </row>
    <row r="940" spans="1:5" x14ac:dyDescent="0.2">
      <c r="A940">
        <v>2</v>
      </c>
      <c r="B940" t="s">
        <v>33</v>
      </c>
      <c r="C940">
        <v>2</v>
      </c>
      <c r="D940">
        <v>12</v>
      </c>
      <c r="E940" t="str">
        <f t="shared" si="14"/>
        <v>Ptit Savoyard/12/2/2</v>
      </c>
    </row>
    <row r="941" spans="1:5" x14ac:dyDescent="0.2">
      <c r="A941">
        <v>3</v>
      </c>
      <c r="B941" t="s">
        <v>65</v>
      </c>
      <c r="C941">
        <v>0</v>
      </c>
      <c r="D941">
        <v>8</v>
      </c>
      <c r="E941" t="str">
        <f t="shared" si="14"/>
        <v>Ripolin/8/3/0</v>
      </c>
    </row>
    <row r="942" spans="1:5" x14ac:dyDescent="0.2">
      <c r="A942">
        <v>4</v>
      </c>
      <c r="B942" t="s">
        <v>21</v>
      </c>
      <c r="C942">
        <v>1</v>
      </c>
      <c r="D942">
        <v>4</v>
      </c>
      <c r="E942" t="str">
        <f t="shared" si="14"/>
        <v>Carmin/4/4/1</v>
      </c>
    </row>
    <row r="943" spans="1:5" x14ac:dyDescent="0.2">
      <c r="A943">
        <v>5</v>
      </c>
      <c r="B943" t="s">
        <v>14</v>
      </c>
      <c r="C943">
        <v>0</v>
      </c>
      <c r="D943">
        <v>2</v>
      </c>
      <c r="E943" t="str">
        <f t="shared" si="14"/>
        <v>Ramm/2/5/0</v>
      </c>
    </row>
    <row r="944" spans="1:5" x14ac:dyDescent="0.2">
      <c r="A944">
        <v>6</v>
      </c>
      <c r="B944" t="s">
        <v>15</v>
      </c>
      <c r="C944">
        <v>0</v>
      </c>
      <c r="D944">
        <v>1</v>
      </c>
      <c r="E944" t="str">
        <f t="shared" si="14"/>
        <v>LAAtof/1/6/0</v>
      </c>
    </row>
    <row r="945" spans="1:5" x14ac:dyDescent="0.2">
      <c r="A945">
        <v>1</v>
      </c>
      <c r="B945" t="s">
        <v>73</v>
      </c>
      <c r="C945">
        <v>4</v>
      </c>
      <c r="D945">
        <v>16</v>
      </c>
      <c r="E945" t="str">
        <f t="shared" si="14"/>
        <v>Flem/16/1/4</v>
      </c>
    </row>
    <row r="946" spans="1:5" x14ac:dyDescent="0.2">
      <c r="A946">
        <v>2</v>
      </c>
      <c r="B946" t="s">
        <v>76</v>
      </c>
      <c r="C946">
        <v>1</v>
      </c>
      <c r="D946">
        <v>12</v>
      </c>
      <c r="E946" t="str">
        <f t="shared" si="14"/>
        <v>Comment2/12/2/1</v>
      </c>
    </row>
    <row r="947" spans="1:5" x14ac:dyDescent="0.2">
      <c r="A947">
        <v>3</v>
      </c>
      <c r="B947" t="s">
        <v>32</v>
      </c>
      <c r="C947">
        <v>0</v>
      </c>
      <c r="D947">
        <v>8</v>
      </c>
      <c r="E947" t="str">
        <f t="shared" si="14"/>
        <v>OlivierN92/8/3/0</v>
      </c>
    </row>
    <row r="948" spans="1:5" x14ac:dyDescent="0.2">
      <c r="A948">
        <v>4</v>
      </c>
      <c r="B948" t="s">
        <v>23</v>
      </c>
      <c r="C948">
        <v>0</v>
      </c>
      <c r="D948">
        <v>4</v>
      </c>
      <c r="E948" t="str">
        <f t="shared" si="14"/>
        <v>Lylith75/4/4/0</v>
      </c>
    </row>
    <row r="949" spans="1:5" x14ac:dyDescent="0.2">
      <c r="A949">
        <v>5</v>
      </c>
      <c r="B949" t="s">
        <v>87</v>
      </c>
      <c r="C949">
        <v>0</v>
      </c>
      <c r="D949">
        <v>2</v>
      </c>
      <c r="E949" t="str">
        <f t="shared" si="14"/>
        <v>Proph@ne/2/5/0</v>
      </c>
    </row>
    <row r="950" spans="1:5" x14ac:dyDescent="0.2">
      <c r="A950">
        <v>6</v>
      </c>
      <c r="B950" t="s">
        <v>50</v>
      </c>
      <c r="C950">
        <v>0</v>
      </c>
      <c r="D950">
        <v>1</v>
      </c>
      <c r="E950" t="str">
        <f t="shared" si="14"/>
        <v>MLADENGO/1/6/0</v>
      </c>
    </row>
    <row r="951" spans="1:5" x14ac:dyDescent="0.2">
      <c r="A951">
        <v>1</v>
      </c>
      <c r="B951" t="s">
        <v>18</v>
      </c>
      <c r="C951">
        <v>1</v>
      </c>
      <c r="D951">
        <v>16</v>
      </c>
      <c r="E951" t="str">
        <f t="shared" si="14"/>
        <v>MAMS/16/1/1</v>
      </c>
    </row>
    <row r="952" spans="1:5" x14ac:dyDescent="0.2">
      <c r="A952">
        <v>2</v>
      </c>
      <c r="B952" t="s">
        <v>53</v>
      </c>
      <c r="C952">
        <v>3</v>
      </c>
      <c r="D952">
        <v>12</v>
      </c>
      <c r="E952" t="str">
        <f t="shared" si="14"/>
        <v>Makoche/12/2/3</v>
      </c>
    </row>
    <row r="953" spans="1:5" x14ac:dyDescent="0.2">
      <c r="A953">
        <v>3</v>
      </c>
      <c r="B953" t="s">
        <v>61</v>
      </c>
      <c r="C953">
        <v>1</v>
      </c>
      <c r="D953">
        <v>8</v>
      </c>
      <c r="E953" t="str">
        <f t="shared" si="14"/>
        <v>Kri-lin/8/3/1</v>
      </c>
    </row>
    <row r="954" spans="1:5" x14ac:dyDescent="0.2">
      <c r="A954">
        <v>4</v>
      </c>
      <c r="B954" t="s">
        <v>22</v>
      </c>
      <c r="C954">
        <v>0</v>
      </c>
      <c r="D954">
        <v>4</v>
      </c>
      <c r="E954" t="str">
        <f t="shared" si="14"/>
        <v>Dart 45/4/4/0</v>
      </c>
    </row>
    <row r="955" spans="1:5" x14ac:dyDescent="0.2">
      <c r="A955">
        <v>5</v>
      </c>
      <c r="B955" t="s">
        <v>38</v>
      </c>
      <c r="C955">
        <v>0</v>
      </c>
      <c r="D955">
        <v>2</v>
      </c>
      <c r="E955" t="str">
        <f t="shared" si="14"/>
        <v>cTTprmoa/2/5/0</v>
      </c>
    </row>
    <row r="956" spans="1:5" x14ac:dyDescent="0.2">
      <c r="A956">
        <v>6</v>
      </c>
      <c r="B956" t="s">
        <v>101</v>
      </c>
      <c r="C956">
        <v>0</v>
      </c>
      <c r="D956">
        <v>1</v>
      </c>
      <c r="E956" t="str">
        <f t="shared" si="14"/>
        <v>ChrisFrankfurt/1/6/0</v>
      </c>
    </row>
    <row r="957" spans="1:5" x14ac:dyDescent="0.2">
      <c r="A957">
        <v>1</v>
      </c>
      <c r="B957" t="s">
        <v>8</v>
      </c>
      <c r="C957">
        <v>3</v>
      </c>
      <c r="D957">
        <v>17</v>
      </c>
      <c r="E957" t="str">
        <f t="shared" si="14"/>
        <v>Maxime/17/1/3</v>
      </c>
    </row>
    <row r="958" spans="1:5" x14ac:dyDescent="0.2">
      <c r="A958">
        <v>2</v>
      </c>
      <c r="B958" t="s">
        <v>43</v>
      </c>
      <c r="C958">
        <v>2</v>
      </c>
      <c r="D958">
        <v>13</v>
      </c>
      <c r="E958" t="str">
        <f t="shared" si="14"/>
        <v>KassTwo/13/2/2</v>
      </c>
    </row>
    <row r="959" spans="1:5" x14ac:dyDescent="0.2">
      <c r="A959">
        <v>3</v>
      </c>
      <c r="B959" t="s">
        <v>98</v>
      </c>
      <c r="C959">
        <v>0</v>
      </c>
      <c r="D959">
        <v>9</v>
      </c>
      <c r="E959" t="str">
        <f t="shared" si="14"/>
        <v>Blocknote/9/3/0</v>
      </c>
    </row>
    <row r="960" spans="1:5" x14ac:dyDescent="0.2">
      <c r="A960">
        <v>4</v>
      </c>
      <c r="B960" t="s">
        <v>60</v>
      </c>
      <c r="C960">
        <v>0</v>
      </c>
      <c r="D960">
        <v>5</v>
      </c>
      <c r="E960" t="str">
        <f t="shared" si="14"/>
        <v>zizou/5/4/0</v>
      </c>
    </row>
    <row r="961" spans="1:5" x14ac:dyDescent="0.2">
      <c r="A961">
        <v>5</v>
      </c>
      <c r="B961" t="s">
        <v>46</v>
      </c>
      <c r="C961">
        <v>1</v>
      </c>
      <c r="D961">
        <v>3</v>
      </c>
      <c r="E961" t="str">
        <f t="shared" ref="E961:E1024" si="15">B961&amp;"/"&amp;D961&amp;"/"&amp;A961&amp;"/"&amp;C961</f>
        <v>Jérôme/3/5/1</v>
      </c>
    </row>
    <row r="962" spans="1:5" x14ac:dyDescent="0.2">
      <c r="A962">
        <v>6</v>
      </c>
      <c r="B962" t="s">
        <v>48</v>
      </c>
      <c r="C962">
        <v>0</v>
      </c>
      <c r="D962">
        <v>2</v>
      </c>
      <c r="E962" t="str">
        <f t="shared" si="15"/>
        <v>Pintu/2/6/0</v>
      </c>
    </row>
    <row r="963" spans="1:5" x14ac:dyDescent="0.2">
      <c r="A963">
        <v>7</v>
      </c>
      <c r="B963" t="s">
        <v>42</v>
      </c>
      <c r="C963">
        <v>0</v>
      </c>
      <c r="D963">
        <v>1</v>
      </c>
      <c r="E963" t="str">
        <f t="shared" si="15"/>
        <v>Claptou/1/7/0</v>
      </c>
    </row>
    <row r="964" spans="1:5" x14ac:dyDescent="0.2">
      <c r="A964">
        <v>1</v>
      </c>
      <c r="B964" t="s">
        <v>19</v>
      </c>
      <c r="C964">
        <v>3</v>
      </c>
      <c r="D964">
        <v>17</v>
      </c>
      <c r="E964" t="str">
        <f t="shared" si="15"/>
        <v>Giobeck/17/1/3</v>
      </c>
    </row>
    <row r="965" spans="1:5" x14ac:dyDescent="0.2">
      <c r="A965">
        <v>2</v>
      </c>
      <c r="B965" t="s">
        <v>29</v>
      </c>
      <c r="C965">
        <v>2</v>
      </c>
      <c r="D965">
        <v>13</v>
      </c>
      <c r="E965" t="str">
        <f t="shared" si="15"/>
        <v>NoDoubt/13/2/2</v>
      </c>
    </row>
    <row r="966" spans="1:5" x14ac:dyDescent="0.2">
      <c r="A966">
        <v>3</v>
      </c>
      <c r="B966" t="s">
        <v>69</v>
      </c>
      <c r="C966">
        <v>0</v>
      </c>
      <c r="D966">
        <v>9</v>
      </c>
      <c r="E966" t="str">
        <f t="shared" si="15"/>
        <v>Catherine/9/3/0</v>
      </c>
    </row>
    <row r="967" spans="1:5" x14ac:dyDescent="0.2">
      <c r="A967">
        <v>4</v>
      </c>
      <c r="B967" t="s">
        <v>47</v>
      </c>
      <c r="C967">
        <v>0</v>
      </c>
      <c r="D967">
        <v>5</v>
      </c>
      <c r="E967" t="str">
        <f t="shared" si="15"/>
        <v>Logan/5/4/0</v>
      </c>
    </row>
    <row r="968" spans="1:5" x14ac:dyDescent="0.2">
      <c r="A968">
        <v>5</v>
      </c>
      <c r="B968" t="s">
        <v>92</v>
      </c>
      <c r="C968">
        <v>1</v>
      </c>
      <c r="D968">
        <v>3</v>
      </c>
      <c r="E968" t="str">
        <f t="shared" si="15"/>
        <v>Jacks&amp;Five/3/5/1</v>
      </c>
    </row>
    <row r="969" spans="1:5" x14ac:dyDescent="0.2">
      <c r="A969">
        <v>6</v>
      </c>
      <c r="B969" t="s">
        <v>35</v>
      </c>
      <c r="C969">
        <v>0</v>
      </c>
      <c r="D969">
        <v>2</v>
      </c>
      <c r="E969" t="str">
        <f t="shared" si="15"/>
        <v>JeanMichelTiming/2/6/0</v>
      </c>
    </row>
    <row r="970" spans="1:5" x14ac:dyDescent="0.2">
      <c r="A970">
        <v>7</v>
      </c>
      <c r="B970" t="s">
        <v>68</v>
      </c>
      <c r="C970">
        <v>0</v>
      </c>
      <c r="D970">
        <v>1</v>
      </c>
      <c r="E970" t="str">
        <f t="shared" si="15"/>
        <v>zubbaz/1/7/0</v>
      </c>
    </row>
    <row r="971" spans="1:5" x14ac:dyDescent="0.2">
      <c r="A971">
        <v>1</v>
      </c>
      <c r="B971" t="s">
        <v>52</v>
      </c>
      <c r="C971">
        <v>3</v>
      </c>
      <c r="D971">
        <v>17</v>
      </c>
      <c r="E971" t="str">
        <f t="shared" si="15"/>
        <v>Coach Pepito/17/1/3</v>
      </c>
    </row>
    <row r="972" spans="1:5" x14ac:dyDescent="0.2">
      <c r="A972">
        <v>2</v>
      </c>
      <c r="B972" t="s">
        <v>75</v>
      </c>
      <c r="C972">
        <v>2</v>
      </c>
      <c r="D972">
        <v>13</v>
      </c>
      <c r="E972" t="str">
        <f t="shared" si="15"/>
        <v>Michelbey/13/2/2</v>
      </c>
    </row>
    <row r="973" spans="1:5" x14ac:dyDescent="0.2">
      <c r="A973">
        <v>3</v>
      </c>
      <c r="B973" t="s">
        <v>94</v>
      </c>
      <c r="C973">
        <v>1</v>
      </c>
      <c r="D973">
        <v>9</v>
      </c>
      <c r="E973" t="str">
        <f t="shared" si="15"/>
        <v>Jaden le désosseur/9/3/1</v>
      </c>
    </row>
    <row r="974" spans="1:5" x14ac:dyDescent="0.2">
      <c r="A974">
        <v>4</v>
      </c>
      <c r="B974" t="s">
        <v>74</v>
      </c>
      <c r="C974">
        <v>0</v>
      </c>
      <c r="D974">
        <v>5</v>
      </c>
      <c r="E974" t="str">
        <f t="shared" si="15"/>
        <v>PatB/5/4/0</v>
      </c>
    </row>
    <row r="975" spans="1:5" x14ac:dyDescent="0.2">
      <c r="A975">
        <v>5</v>
      </c>
      <c r="B975" t="s">
        <v>39</v>
      </c>
      <c r="C975">
        <v>0</v>
      </c>
      <c r="D975">
        <v>3</v>
      </c>
      <c r="E975" t="str">
        <f t="shared" si="15"/>
        <v>kheops/3/5/0</v>
      </c>
    </row>
    <row r="976" spans="1:5" x14ac:dyDescent="0.2">
      <c r="A976">
        <v>6</v>
      </c>
      <c r="B976" t="s">
        <v>66</v>
      </c>
      <c r="C976">
        <v>0</v>
      </c>
      <c r="D976">
        <v>2</v>
      </c>
      <c r="E976" t="str">
        <f t="shared" si="15"/>
        <v>Ad Vitam/2/6/0</v>
      </c>
    </row>
    <row r="977" spans="1:5" x14ac:dyDescent="0.2">
      <c r="A977">
        <v>7</v>
      </c>
      <c r="B977" t="s">
        <v>28</v>
      </c>
      <c r="C977">
        <v>0</v>
      </c>
      <c r="D977">
        <v>1</v>
      </c>
      <c r="E977" t="str">
        <f t="shared" si="15"/>
        <v>sobab/1/7/0</v>
      </c>
    </row>
    <row r="978" spans="1:5" x14ac:dyDescent="0.2">
      <c r="A978">
        <v>1</v>
      </c>
      <c r="B978" t="s">
        <v>60</v>
      </c>
      <c r="C978">
        <v>4</v>
      </c>
      <c r="D978">
        <v>16</v>
      </c>
      <c r="E978" t="str">
        <f t="shared" si="15"/>
        <v>zizou/16/1/4</v>
      </c>
    </row>
    <row r="979" spans="1:5" x14ac:dyDescent="0.2">
      <c r="A979">
        <v>2</v>
      </c>
      <c r="B979" t="s">
        <v>14</v>
      </c>
      <c r="C979">
        <v>0</v>
      </c>
      <c r="D979">
        <v>12</v>
      </c>
      <c r="E979" t="str">
        <f t="shared" si="15"/>
        <v>Ramm/12/2/0</v>
      </c>
    </row>
    <row r="980" spans="1:5" x14ac:dyDescent="0.2">
      <c r="A980">
        <v>3</v>
      </c>
      <c r="B980" t="s">
        <v>38</v>
      </c>
      <c r="C980">
        <v>1</v>
      </c>
      <c r="D980">
        <v>8</v>
      </c>
      <c r="E980" t="str">
        <f t="shared" si="15"/>
        <v>cTTprmoa/8/3/1</v>
      </c>
    </row>
    <row r="981" spans="1:5" x14ac:dyDescent="0.2">
      <c r="A981">
        <v>4</v>
      </c>
      <c r="B981" t="s">
        <v>25</v>
      </c>
      <c r="C981">
        <v>0</v>
      </c>
      <c r="D981">
        <v>4</v>
      </c>
      <c r="E981" t="str">
        <f t="shared" si="15"/>
        <v>Claudius/4/4/0</v>
      </c>
    </row>
    <row r="982" spans="1:5" x14ac:dyDescent="0.2">
      <c r="A982">
        <v>5</v>
      </c>
      <c r="B982" t="s">
        <v>68</v>
      </c>
      <c r="C982">
        <v>0</v>
      </c>
      <c r="D982">
        <v>2</v>
      </c>
      <c r="E982" t="str">
        <f t="shared" si="15"/>
        <v>zubbaz/2/5/0</v>
      </c>
    </row>
    <row r="983" spans="1:5" x14ac:dyDescent="0.2">
      <c r="A983">
        <v>6</v>
      </c>
      <c r="B983" t="s">
        <v>66</v>
      </c>
      <c r="C983">
        <v>0</v>
      </c>
      <c r="D983">
        <v>1</v>
      </c>
      <c r="E983" t="str">
        <f t="shared" si="15"/>
        <v>Ad Vitam/1/6/0</v>
      </c>
    </row>
    <row r="984" spans="1:5" x14ac:dyDescent="0.2">
      <c r="A984">
        <v>1</v>
      </c>
      <c r="B984" t="s">
        <v>87</v>
      </c>
      <c r="C984">
        <v>3</v>
      </c>
      <c r="D984">
        <v>16</v>
      </c>
      <c r="E984" t="str">
        <f t="shared" si="15"/>
        <v>Proph@ne/16/1/3</v>
      </c>
    </row>
    <row r="985" spans="1:5" x14ac:dyDescent="0.2">
      <c r="A985">
        <v>2</v>
      </c>
      <c r="B985" t="s">
        <v>46</v>
      </c>
      <c r="C985">
        <v>1</v>
      </c>
      <c r="D985">
        <v>12</v>
      </c>
      <c r="E985" t="str">
        <f t="shared" si="15"/>
        <v>Jérôme/12/2/1</v>
      </c>
    </row>
    <row r="986" spans="1:5" x14ac:dyDescent="0.2">
      <c r="A986">
        <v>3</v>
      </c>
      <c r="B986" t="s">
        <v>12</v>
      </c>
      <c r="C986">
        <v>1</v>
      </c>
      <c r="D986">
        <v>8</v>
      </c>
      <c r="E986" t="str">
        <f t="shared" si="15"/>
        <v>Gnak/8/3/1</v>
      </c>
    </row>
    <row r="987" spans="1:5" x14ac:dyDescent="0.2">
      <c r="A987">
        <v>4</v>
      </c>
      <c r="B987" t="s">
        <v>39</v>
      </c>
      <c r="C987">
        <v>0</v>
      </c>
      <c r="D987">
        <v>4</v>
      </c>
      <c r="E987" t="str">
        <f t="shared" si="15"/>
        <v>kheops/4/4/0</v>
      </c>
    </row>
    <row r="988" spans="1:5" x14ac:dyDescent="0.2">
      <c r="A988">
        <v>5</v>
      </c>
      <c r="B988" t="s">
        <v>52</v>
      </c>
      <c r="C988">
        <v>0</v>
      </c>
      <c r="D988">
        <v>2</v>
      </c>
      <c r="E988" t="str">
        <f t="shared" si="15"/>
        <v>Coach Pepito/2/5/0</v>
      </c>
    </row>
    <row r="989" spans="1:5" x14ac:dyDescent="0.2">
      <c r="A989">
        <v>6</v>
      </c>
      <c r="B989" t="s">
        <v>15</v>
      </c>
      <c r="C989">
        <v>0</v>
      </c>
      <c r="D989">
        <v>1</v>
      </c>
      <c r="E989" t="str">
        <f t="shared" si="15"/>
        <v>LAAtof/1/6/0</v>
      </c>
    </row>
    <row r="990" spans="1:5" x14ac:dyDescent="0.2">
      <c r="A990">
        <v>1</v>
      </c>
      <c r="B990" t="s">
        <v>74</v>
      </c>
      <c r="C990">
        <v>2</v>
      </c>
      <c r="D990">
        <v>15</v>
      </c>
      <c r="E990" t="str">
        <f t="shared" si="15"/>
        <v>PatB/15/1/2</v>
      </c>
    </row>
    <row r="991" spans="1:5" x14ac:dyDescent="0.2">
      <c r="A991">
        <v>2</v>
      </c>
      <c r="B991" t="s">
        <v>59</v>
      </c>
      <c r="C991">
        <v>1</v>
      </c>
      <c r="D991">
        <v>11</v>
      </c>
      <c r="E991" t="str">
        <f t="shared" si="15"/>
        <v>YooooDA/11/2/1</v>
      </c>
    </row>
    <row r="992" spans="1:5" x14ac:dyDescent="0.2">
      <c r="A992">
        <v>3</v>
      </c>
      <c r="B992" t="s">
        <v>75</v>
      </c>
      <c r="C992">
        <v>1</v>
      </c>
      <c r="D992">
        <v>7</v>
      </c>
      <c r="E992" t="str">
        <f t="shared" si="15"/>
        <v>Michelbey/7/3/1</v>
      </c>
    </row>
    <row r="993" spans="1:5" x14ac:dyDescent="0.2">
      <c r="A993">
        <v>4</v>
      </c>
      <c r="B993" t="s">
        <v>21</v>
      </c>
      <c r="C993">
        <v>0</v>
      </c>
      <c r="D993">
        <v>3</v>
      </c>
      <c r="E993" t="str">
        <f t="shared" si="15"/>
        <v>Carmin/3/4/0</v>
      </c>
    </row>
    <row r="994" spans="1:5" x14ac:dyDescent="0.2">
      <c r="A994">
        <v>5</v>
      </c>
      <c r="B994" t="s">
        <v>23</v>
      </c>
      <c r="C994">
        <v>0</v>
      </c>
      <c r="D994">
        <v>1</v>
      </c>
      <c r="E994" t="str">
        <f t="shared" si="15"/>
        <v>Lylith75/1/5/0</v>
      </c>
    </row>
    <row r="995" spans="1:5" x14ac:dyDescent="0.2">
      <c r="A995">
        <v>1</v>
      </c>
      <c r="B995" t="s">
        <v>98</v>
      </c>
      <c r="C995">
        <v>4</v>
      </c>
      <c r="D995">
        <v>15</v>
      </c>
      <c r="E995" t="str">
        <f t="shared" si="15"/>
        <v>Blocknote/15/1/4</v>
      </c>
    </row>
    <row r="996" spans="1:5" x14ac:dyDescent="0.2">
      <c r="A996">
        <v>2</v>
      </c>
      <c r="B996" t="s">
        <v>101</v>
      </c>
      <c r="C996">
        <v>0</v>
      </c>
      <c r="D996">
        <v>11</v>
      </c>
      <c r="E996" t="str">
        <f t="shared" si="15"/>
        <v>ChrisFrankfurt/11/2/0</v>
      </c>
    </row>
    <row r="997" spans="1:5" x14ac:dyDescent="0.2">
      <c r="A997">
        <v>3</v>
      </c>
      <c r="B997" t="s">
        <v>33</v>
      </c>
      <c r="C997">
        <v>0</v>
      </c>
      <c r="D997">
        <v>7</v>
      </c>
      <c r="E997" t="str">
        <f t="shared" si="15"/>
        <v>Ptit Savoyard/7/3/0</v>
      </c>
    </row>
    <row r="998" spans="1:5" x14ac:dyDescent="0.2">
      <c r="A998">
        <v>4</v>
      </c>
      <c r="B998" t="s">
        <v>42</v>
      </c>
      <c r="C998">
        <v>0</v>
      </c>
      <c r="D998">
        <v>3</v>
      </c>
      <c r="E998" t="str">
        <f t="shared" si="15"/>
        <v>Claptou/3/4/0</v>
      </c>
    </row>
    <row r="999" spans="1:5" x14ac:dyDescent="0.2">
      <c r="A999">
        <v>5</v>
      </c>
      <c r="B999" t="s">
        <v>55</v>
      </c>
      <c r="C999">
        <v>0</v>
      </c>
      <c r="D999">
        <v>1</v>
      </c>
      <c r="E999" t="str">
        <f t="shared" si="15"/>
        <v>Bounette/1/5/0</v>
      </c>
    </row>
    <row r="1000" spans="1:5" x14ac:dyDescent="0.2">
      <c r="A1000">
        <v>1</v>
      </c>
      <c r="B1000" t="s">
        <v>50</v>
      </c>
      <c r="C1000">
        <v>3</v>
      </c>
      <c r="D1000">
        <v>15</v>
      </c>
      <c r="E1000" t="str">
        <f t="shared" si="15"/>
        <v>MLADENGO/15/1/3</v>
      </c>
    </row>
    <row r="1001" spans="1:5" x14ac:dyDescent="0.2">
      <c r="A1001">
        <v>2</v>
      </c>
      <c r="B1001" t="s">
        <v>35</v>
      </c>
      <c r="C1001">
        <v>0</v>
      </c>
      <c r="D1001">
        <v>11</v>
      </c>
      <c r="E1001" t="str">
        <f t="shared" si="15"/>
        <v>JeanMichelTiming/11/2/0</v>
      </c>
    </row>
    <row r="1002" spans="1:5" x14ac:dyDescent="0.2">
      <c r="A1002">
        <v>3</v>
      </c>
      <c r="B1002" t="s">
        <v>61</v>
      </c>
      <c r="C1002">
        <v>1</v>
      </c>
      <c r="D1002">
        <v>7</v>
      </c>
      <c r="E1002" t="str">
        <f t="shared" si="15"/>
        <v>Kri-lin/7/3/1</v>
      </c>
    </row>
    <row r="1003" spans="1:5" x14ac:dyDescent="0.2">
      <c r="A1003">
        <v>4</v>
      </c>
      <c r="B1003" t="s">
        <v>76</v>
      </c>
      <c r="C1003">
        <v>0</v>
      </c>
      <c r="D1003">
        <v>3</v>
      </c>
      <c r="E1003" t="str">
        <f t="shared" si="15"/>
        <v>Comment2/3/4/0</v>
      </c>
    </row>
    <row r="1004" spans="1:5" x14ac:dyDescent="0.2">
      <c r="A1004">
        <v>5</v>
      </c>
      <c r="B1004" t="s">
        <v>8</v>
      </c>
      <c r="C1004">
        <v>0</v>
      </c>
      <c r="D1004">
        <v>1</v>
      </c>
      <c r="E1004" t="str">
        <f t="shared" si="15"/>
        <v>Maxime/1/5/0</v>
      </c>
    </row>
    <row r="1005" spans="1:5" x14ac:dyDescent="0.2">
      <c r="A1005">
        <v>1</v>
      </c>
      <c r="B1005" t="s">
        <v>18</v>
      </c>
      <c r="C1005">
        <v>2</v>
      </c>
      <c r="D1005">
        <v>15</v>
      </c>
      <c r="E1005" t="str">
        <f t="shared" si="15"/>
        <v>MAMS/15/1/2</v>
      </c>
    </row>
    <row r="1006" spans="1:5" x14ac:dyDescent="0.2">
      <c r="A1006">
        <v>2</v>
      </c>
      <c r="B1006" t="s">
        <v>26</v>
      </c>
      <c r="C1006">
        <v>1</v>
      </c>
      <c r="D1006">
        <v>11</v>
      </c>
      <c r="E1006" t="str">
        <f t="shared" si="15"/>
        <v>LOSOGRE/11/2/1</v>
      </c>
    </row>
    <row r="1007" spans="1:5" x14ac:dyDescent="0.2">
      <c r="A1007">
        <v>3</v>
      </c>
      <c r="B1007" t="s">
        <v>20</v>
      </c>
      <c r="C1007">
        <v>1</v>
      </c>
      <c r="D1007">
        <v>7</v>
      </c>
      <c r="E1007" t="str">
        <f t="shared" si="15"/>
        <v>saymsonite/7/3/1</v>
      </c>
    </row>
    <row r="1008" spans="1:5" x14ac:dyDescent="0.2">
      <c r="A1008">
        <v>4</v>
      </c>
      <c r="B1008" t="s">
        <v>69</v>
      </c>
      <c r="C1008">
        <v>0</v>
      </c>
      <c r="D1008">
        <v>3</v>
      </c>
      <c r="E1008" t="str">
        <f t="shared" si="15"/>
        <v>Catherine/3/4/0</v>
      </c>
    </row>
    <row r="1009" spans="1:5" x14ac:dyDescent="0.2">
      <c r="A1009">
        <v>5</v>
      </c>
      <c r="B1009" t="s">
        <v>103</v>
      </c>
      <c r="C1009">
        <v>0</v>
      </c>
      <c r="D1009">
        <v>1</v>
      </c>
      <c r="E1009" t="str">
        <f t="shared" si="15"/>
        <v>zzav/1/5/0</v>
      </c>
    </row>
    <row r="1010" spans="1:5" x14ac:dyDescent="0.2">
      <c r="A1010">
        <v>1</v>
      </c>
      <c r="B1010" t="s">
        <v>65</v>
      </c>
      <c r="C1010">
        <v>2</v>
      </c>
      <c r="D1010">
        <v>15</v>
      </c>
      <c r="E1010" t="str">
        <f t="shared" si="15"/>
        <v>Ripolin/15/1/2</v>
      </c>
    </row>
    <row r="1011" spans="1:5" x14ac:dyDescent="0.2">
      <c r="A1011">
        <v>2</v>
      </c>
      <c r="B1011" t="s">
        <v>43</v>
      </c>
      <c r="C1011">
        <v>1</v>
      </c>
      <c r="D1011">
        <v>11</v>
      </c>
      <c r="E1011" t="str">
        <f t="shared" si="15"/>
        <v>KassTwo/11/2/1</v>
      </c>
    </row>
    <row r="1012" spans="1:5" x14ac:dyDescent="0.2">
      <c r="A1012">
        <v>3</v>
      </c>
      <c r="B1012" t="s">
        <v>41</v>
      </c>
      <c r="C1012">
        <v>1</v>
      </c>
      <c r="D1012">
        <v>7</v>
      </c>
      <c r="E1012" t="str">
        <f t="shared" si="15"/>
        <v>gibouille/7/3/1</v>
      </c>
    </row>
    <row r="1013" spans="1:5" x14ac:dyDescent="0.2">
      <c r="A1013">
        <v>4</v>
      </c>
      <c r="B1013" t="s">
        <v>29</v>
      </c>
      <c r="C1013">
        <v>0</v>
      </c>
      <c r="D1013">
        <v>3</v>
      </c>
      <c r="E1013" t="str">
        <f t="shared" si="15"/>
        <v>NoDoubt/3/4/0</v>
      </c>
    </row>
    <row r="1014" spans="1:5" x14ac:dyDescent="0.2">
      <c r="A1014">
        <v>5</v>
      </c>
      <c r="B1014" t="s">
        <v>28</v>
      </c>
      <c r="C1014">
        <v>0</v>
      </c>
      <c r="D1014">
        <v>1</v>
      </c>
      <c r="E1014" t="str">
        <f t="shared" si="15"/>
        <v>sobab/1/5/0</v>
      </c>
    </row>
    <row r="1015" spans="1:5" x14ac:dyDescent="0.2">
      <c r="A1015">
        <v>1</v>
      </c>
      <c r="B1015" t="s">
        <v>92</v>
      </c>
      <c r="C1015">
        <v>5</v>
      </c>
      <c r="D1015">
        <v>16</v>
      </c>
      <c r="E1015" t="str">
        <f t="shared" si="15"/>
        <v>Jacks&amp;Five/16/1/5</v>
      </c>
    </row>
    <row r="1016" spans="1:5" x14ac:dyDescent="0.2">
      <c r="A1016">
        <v>2</v>
      </c>
      <c r="B1016" t="s">
        <v>40</v>
      </c>
      <c r="C1016">
        <v>0</v>
      </c>
      <c r="D1016">
        <v>12</v>
      </c>
      <c r="E1016" t="str">
        <f t="shared" si="15"/>
        <v>Lén@/12/2/0</v>
      </c>
    </row>
    <row r="1017" spans="1:5" x14ac:dyDescent="0.2">
      <c r="A1017">
        <v>3</v>
      </c>
      <c r="B1017" t="s">
        <v>73</v>
      </c>
      <c r="C1017">
        <v>0</v>
      </c>
      <c r="D1017">
        <v>8</v>
      </c>
      <c r="E1017" t="str">
        <f t="shared" si="15"/>
        <v>Flem/8/3/0</v>
      </c>
    </row>
    <row r="1018" spans="1:5" x14ac:dyDescent="0.2">
      <c r="A1018">
        <v>4</v>
      </c>
      <c r="B1018" t="s">
        <v>27</v>
      </c>
      <c r="C1018">
        <v>0</v>
      </c>
      <c r="D1018">
        <v>4</v>
      </c>
      <c r="E1018" t="str">
        <f t="shared" si="15"/>
        <v>Mandrake/4/4/0</v>
      </c>
    </row>
    <row r="1019" spans="1:5" x14ac:dyDescent="0.2">
      <c r="A1019">
        <v>5</v>
      </c>
      <c r="B1019" t="s">
        <v>9</v>
      </c>
      <c r="C1019">
        <v>0</v>
      </c>
      <c r="D1019">
        <v>2</v>
      </c>
      <c r="E1019" t="str">
        <f t="shared" si="15"/>
        <v>K1/2/5/0</v>
      </c>
    </row>
    <row r="1020" spans="1:5" x14ac:dyDescent="0.2">
      <c r="A1020">
        <v>6</v>
      </c>
      <c r="B1020" t="s">
        <v>31</v>
      </c>
      <c r="C1020">
        <v>0</v>
      </c>
      <c r="D1020">
        <v>1</v>
      </c>
      <c r="E1020" t="str">
        <f t="shared" si="15"/>
        <v>CHRIS92340/1/6/0</v>
      </c>
    </row>
    <row r="1021" spans="1:5" x14ac:dyDescent="0.2">
      <c r="A1021">
        <v>1</v>
      </c>
      <c r="B1021" t="s">
        <v>76</v>
      </c>
      <c r="C1021">
        <v>4</v>
      </c>
      <c r="D1021">
        <v>16</v>
      </c>
      <c r="E1021" t="str">
        <f t="shared" si="15"/>
        <v>Comment2/16/1/4</v>
      </c>
    </row>
    <row r="1022" spans="1:5" x14ac:dyDescent="0.2">
      <c r="A1022">
        <v>2</v>
      </c>
      <c r="B1022" t="s">
        <v>66</v>
      </c>
      <c r="C1022">
        <v>0</v>
      </c>
      <c r="D1022">
        <v>12</v>
      </c>
      <c r="E1022" t="str">
        <f t="shared" si="15"/>
        <v>Ad Vitam/12/2/0</v>
      </c>
    </row>
    <row r="1023" spans="1:5" x14ac:dyDescent="0.2">
      <c r="A1023">
        <v>3</v>
      </c>
      <c r="B1023" t="s">
        <v>101</v>
      </c>
      <c r="C1023">
        <v>1</v>
      </c>
      <c r="D1023">
        <v>8</v>
      </c>
      <c r="E1023" t="str">
        <f t="shared" si="15"/>
        <v>ChrisFrankfurt/8/3/1</v>
      </c>
    </row>
    <row r="1024" spans="1:5" x14ac:dyDescent="0.2">
      <c r="A1024">
        <v>4</v>
      </c>
      <c r="B1024" t="s">
        <v>18</v>
      </c>
      <c r="C1024">
        <v>0</v>
      </c>
      <c r="D1024">
        <v>4</v>
      </c>
      <c r="E1024" t="str">
        <f t="shared" si="15"/>
        <v>MAMS/4/4/0</v>
      </c>
    </row>
    <row r="1025" spans="1:5" x14ac:dyDescent="0.2">
      <c r="A1025">
        <v>5</v>
      </c>
      <c r="B1025" t="s">
        <v>41</v>
      </c>
      <c r="C1025">
        <v>0</v>
      </c>
      <c r="D1025">
        <v>2</v>
      </c>
      <c r="E1025" t="str">
        <f t="shared" ref="E1025:E1088" si="16">B1025&amp;"/"&amp;D1025&amp;"/"&amp;A1025&amp;"/"&amp;C1025</f>
        <v>gibouille/2/5/0</v>
      </c>
    </row>
    <row r="1026" spans="1:5" x14ac:dyDescent="0.2">
      <c r="A1026">
        <v>6</v>
      </c>
      <c r="B1026" t="s">
        <v>52</v>
      </c>
      <c r="C1026">
        <v>0</v>
      </c>
      <c r="D1026">
        <v>1</v>
      </c>
      <c r="E1026" t="str">
        <f t="shared" si="16"/>
        <v>Coach Pepito/1/6/0</v>
      </c>
    </row>
    <row r="1027" spans="1:5" x14ac:dyDescent="0.2">
      <c r="A1027">
        <v>1</v>
      </c>
      <c r="B1027" t="s">
        <v>45</v>
      </c>
      <c r="C1027">
        <v>5</v>
      </c>
      <c r="D1027">
        <v>16</v>
      </c>
      <c r="E1027" t="str">
        <f t="shared" si="16"/>
        <v>yaltar/16/1/5</v>
      </c>
    </row>
    <row r="1028" spans="1:5" x14ac:dyDescent="0.2">
      <c r="A1028">
        <v>2</v>
      </c>
      <c r="B1028" t="s">
        <v>69</v>
      </c>
      <c r="C1028">
        <v>0</v>
      </c>
      <c r="D1028">
        <v>12</v>
      </c>
      <c r="E1028" t="str">
        <f t="shared" si="16"/>
        <v>Catherine/12/2/0</v>
      </c>
    </row>
    <row r="1029" spans="1:5" x14ac:dyDescent="0.2">
      <c r="A1029">
        <v>3</v>
      </c>
      <c r="B1029" t="s">
        <v>38</v>
      </c>
      <c r="C1029">
        <v>0</v>
      </c>
      <c r="D1029">
        <v>8</v>
      </c>
      <c r="E1029" t="str">
        <f t="shared" si="16"/>
        <v>cTTprmoa/8/3/0</v>
      </c>
    </row>
    <row r="1030" spans="1:5" x14ac:dyDescent="0.2">
      <c r="A1030">
        <v>4</v>
      </c>
      <c r="B1030" t="s">
        <v>75</v>
      </c>
      <c r="C1030">
        <v>0</v>
      </c>
      <c r="D1030">
        <v>4</v>
      </c>
      <c r="E1030" t="str">
        <f t="shared" si="16"/>
        <v>Michelbey/4/4/0</v>
      </c>
    </row>
    <row r="1031" spans="1:5" x14ac:dyDescent="0.2">
      <c r="A1031">
        <v>5</v>
      </c>
      <c r="B1031" t="s">
        <v>9</v>
      </c>
      <c r="C1031">
        <v>0</v>
      </c>
      <c r="D1031">
        <v>2</v>
      </c>
      <c r="E1031" t="str">
        <f t="shared" si="16"/>
        <v>K1/2/5/0</v>
      </c>
    </row>
    <row r="1032" spans="1:5" x14ac:dyDescent="0.2">
      <c r="A1032">
        <v>6</v>
      </c>
      <c r="B1032" t="s">
        <v>26</v>
      </c>
      <c r="C1032">
        <v>0</v>
      </c>
      <c r="D1032">
        <v>1</v>
      </c>
      <c r="E1032" t="str">
        <f t="shared" si="16"/>
        <v>LOSOGRE/1/6/0</v>
      </c>
    </row>
    <row r="1033" spans="1:5" x14ac:dyDescent="0.2">
      <c r="A1033">
        <v>1</v>
      </c>
      <c r="B1033" t="s">
        <v>305</v>
      </c>
      <c r="C1033">
        <v>2</v>
      </c>
      <c r="D1033">
        <v>16</v>
      </c>
      <c r="E1033" t="str">
        <f t="shared" si="16"/>
        <v>flowww/16/1/2</v>
      </c>
    </row>
    <row r="1034" spans="1:5" x14ac:dyDescent="0.2">
      <c r="A1034">
        <v>2</v>
      </c>
      <c r="B1034" t="s">
        <v>29</v>
      </c>
      <c r="C1034">
        <v>1</v>
      </c>
      <c r="D1034">
        <v>12</v>
      </c>
      <c r="E1034" t="str">
        <f t="shared" si="16"/>
        <v>NoDoubt/12/2/1</v>
      </c>
    </row>
    <row r="1035" spans="1:5" x14ac:dyDescent="0.2">
      <c r="A1035">
        <v>3</v>
      </c>
      <c r="B1035" t="s">
        <v>43</v>
      </c>
      <c r="C1035">
        <v>2</v>
      </c>
      <c r="D1035">
        <v>8</v>
      </c>
      <c r="E1035" t="str">
        <f t="shared" si="16"/>
        <v>KassTwo/8/3/2</v>
      </c>
    </row>
    <row r="1036" spans="1:5" x14ac:dyDescent="0.2">
      <c r="A1036">
        <v>4</v>
      </c>
      <c r="B1036" t="s">
        <v>31</v>
      </c>
      <c r="C1036">
        <v>0</v>
      </c>
      <c r="D1036">
        <v>4</v>
      </c>
      <c r="E1036" t="str">
        <f t="shared" si="16"/>
        <v>CHRIS92340/4/4/0</v>
      </c>
    </row>
    <row r="1037" spans="1:5" x14ac:dyDescent="0.2">
      <c r="A1037">
        <v>5</v>
      </c>
      <c r="B1037" t="s">
        <v>21</v>
      </c>
      <c r="C1037">
        <v>0</v>
      </c>
      <c r="D1037">
        <v>2</v>
      </c>
      <c r="E1037" t="str">
        <f t="shared" si="16"/>
        <v>Carmin/2/5/0</v>
      </c>
    </row>
    <row r="1038" spans="1:5" x14ac:dyDescent="0.2">
      <c r="A1038">
        <v>6</v>
      </c>
      <c r="B1038" t="s">
        <v>50</v>
      </c>
      <c r="C1038">
        <v>0</v>
      </c>
      <c r="D1038">
        <v>1</v>
      </c>
      <c r="E1038" t="str">
        <f t="shared" si="16"/>
        <v>MLADENGO/1/6/0</v>
      </c>
    </row>
    <row r="1039" spans="1:5" x14ac:dyDescent="0.2">
      <c r="A1039">
        <v>1</v>
      </c>
      <c r="B1039" t="s">
        <v>46</v>
      </c>
      <c r="C1039">
        <v>1</v>
      </c>
      <c r="D1039">
        <v>16</v>
      </c>
      <c r="E1039" t="str">
        <f t="shared" si="16"/>
        <v>Jérôme/16/1/1</v>
      </c>
    </row>
    <row r="1040" spans="1:5" x14ac:dyDescent="0.2">
      <c r="A1040">
        <v>2</v>
      </c>
      <c r="B1040" t="s">
        <v>20</v>
      </c>
      <c r="C1040">
        <v>2</v>
      </c>
      <c r="D1040">
        <v>12</v>
      </c>
      <c r="E1040" t="str">
        <f t="shared" si="16"/>
        <v>saymsonite/12/2/2</v>
      </c>
    </row>
    <row r="1041" spans="1:5" x14ac:dyDescent="0.2">
      <c r="A1041">
        <v>3</v>
      </c>
      <c r="B1041" t="s">
        <v>54</v>
      </c>
      <c r="C1041">
        <v>2</v>
      </c>
      <c r="D1041">
        <v>8</v>
      </c>
      <c r="E1041" t="str">
        <f t="shared" si="16"/>
        <v>Salsamanu/8/3/2</v>
      </c>
    </row>
    <row r="1042" spans="1:5" x14ac:dyDescent="0.2">
      <c r="A1042">
        <v>4</v>
      </c>
      <c r="B1042" t="s">
        <v>23</v>
      </c>
      <c r="C1042">
        <v>0</v>
      </c>
      <c r="D1042">
        <v>4</v>
      </c>
      <c r="E1042" t="str">
        <f t="shared" si="16"/>
        <v>Lylith75/4/4/0</v>
      </c>
    </row>
    <row r="1043" spans="1:5" x14ac:dyDescent="0.2">
      <c r="A1043">
        <v>5</v>
      </c>
      <c r="B1043" t="s">
        <v>15</v>
      </c>
      <c r="C1043">
        <v>0</v>
      </c>
      <c r="D1043">
        <v>2</v>
      </c>
      <c r="E1043" t="str">
        <f t="shared" si="16"/>
        <v>LAAtof/2/5/0</v>
      </c>
    </row>
    <row r="1044" spans="1:5" x14ac:dyDescent="0.2">
      <c r="A1044">
        <v>6</v>
      </c>
      <c r="B1044" t="s">
        <v>47</v>
      </c>
      <c r="C1044">
        <v>0</v>
      </c>
      <c r="D1044">
        <v>1</v>
      </c>
      <c r="E1044" t="str">
        <f t="shared" si="16"/>
        <v>Logan/1/6/0</v>
      </c>
    </row>
    <row r="1045" spans="1:5" x14ac:dyDescent="0.2">
      <c r="A1045">
        <v>1</v>
      </c>
      <c r="B1045" t="s">
        <v>40</v>
      </c>
      <c r="C1045">
        <v>3</v>
      </c>
      <c r="D1045">
        <v>16</v>
      </c>
      <c r="E1045" t="str">
        <f t="shared" si="16"/>
        <v>Lén@/16/1/3</v>
      </c>
    </row>
    <row r="1046" spans="1:5" x14ac:dyDescent="0.2">
      <c r="A1046">
        <v>2</v>
      </c>
      <c r="B1046" t="s">
        <v>68</v>
      </c>
      <c r="C1046">
        <v>2</v>
      </c>
      <c r="D1046">
        <v>12</v>
      </c>
      <c r="E1046" t="str">
        <f t="shared" si="16"/>
        <v>zubbaz/12/2/2</v>
      </c>
    </row>
    <row r="1047" spans="1:5" x14ac:dyDescent="0.2">
      <c r="A1047">
        <v>3</v>
      </c>
      <c r="B1047" t="s">
        <v>92</v>
      </c>
      <c r="C1047">
        <v>0</v>
      </c>
      <c r="D1047">
        <v>8</v>
      </c>
      <c r="E1047" t="str">
        <f t="shared" si="16"/>
        <v>Jacks&amp;Five/8/3/0</v>
      </c>
    </row>
    <row r="1048" spans="1:5" x14ac:dyDescent="0.2">
      <c r="A1048">
        <v>4</v>
      </c>
      <c r="B1048" t="s">
        <v>74</v>
      </c>
      <c r="C1048">
        <v>0</v>
      </c>
      <c r="D1048">
        <v>4</v>
      </c>
      <c r="E1048" t="str">
        <f t="shared" si="16"/>
        <v>PatB/4/4/0</v>
      </c>
    </row>
    <row r="1049" spans="1:5" x14ac:dyDescent="0.2">
      <c r="A1049">
        <v>5</v>
      </c>
      <c r="B1049" t="s">
        <v>6</v>
      </c>
      <c r="C1049">
        <v>0</v>
      </c>
      <c r="D1049">
        <v>2</v>
      </c>
      <c r="E1049" t="str">
        <f t="shared" si="16"/>
        <v>Pyja/2/5/0</v>
      </c>
    </row>
    <row r="1050" spans="1:5" x14ac:dyDescent="0.2">
      <c r="A1050">
        <v>6</v>
      </c>
      <c r="B1050" t="s">
        <v>28</v>
      </c>
      <c r="C1050">
        <v>0</v>
      </c>
      <c r="D1050">
        <v>1</v>
      </c>
      <c r="E1050" t="str">
        <f t="shared" si="16"/>
        <v>sobab/1/6/0</v>
      </c>
    </row>
    <row r="1051" spans="1:5" x14ac:dyDescent="0.2">
      <c r="A1051">
        <v>1</v>
      </c>
      <c r="B1051" t="s">
        <v>8</v>
      </c>
      <c r="C1051">
        <v>2</v>
      </c>
      <c r="D1051">
        <v>16</v>
      </c>
      <c r="E1051" t="str">
        <f t="shared" si="16"/>
        <v>Maxime/16/1/2</v>
      </c>
    </row>
    <row r="1052" spans="1:5" x14ac:dyDescent="0.2">
      <c r="A1052">
        <v>2</v>
      </c>
      <c r="B1052" t="s">
        <v>65</v>
      </c>
      <c r="C1052">
        <v>2</v>
      </c>
      <c r="D1052">
        <v>12</v>
      </c>
      <c r="E1052" t="str">
        <f t="shared" si="16"/>
        <v>Ripolin/12/2/2</v>
      </c>
    </row>
    <row r="1053" spans="1:5" x14ac:dyDescent="0.2">
      <c r="A1053">
        <v>3</v>
      </c>
      <c r="B1053" t="s">
        <v>25</v>
      </c>
      <c r="C1053">
        <v>1</v>
      </c>
      <c r="D1053">
        <v>8</v>
      </c>
      <c r="E1053" t="str">
        <f t="shared" si="16"/>
        <v>Claudius/8/3/1</v>
      </c>
    </row>
    <row r="1054" spans="1:5" x14ac:dyDescent="0.2">
      <c r="A1054">
        <v>4</v>
      </c>
      <c r="B1054" t="s">
        <v>35</v>
      </c>
      <c r="C1054">
        <v>0</v>
      </c>
      <c r="D1054">
        <v>4</v>
      </c>
      <c r="E1054" t="str">
        <f t="shared" si="16"/>
        <v>JeanMichelTiming/4/4/0</v>
      </c>
    </row>
    <row r="1055" spans="1:5" x14ac:dyDescent="0.2">
      <c r="A1055">
        <v>5</v>
      </c>
      <c r="B1055" t="s">
        <v>102</v>
      </c>
      <c r="C1055">
        <v>0</v>
      </c>
      <c r="D1055">
        <v>2</v>
      </c>
      <c r="E1055" t="str">
        <f t="shared" si="16"/>
        <v>Doudoululu/2/5/0</v>
      </c>
    </row>
    <row r="1056" spans="1:5" x14ac:dyDescent="0.2">
      <c r="A1056">
        <v>6</v>
      </c>
      <c r="B1056" t="s">
        <v>14</v>
      </c>
      <c r="C1056">
        <v>0</v>
      </c>
      <c r="D1056">
        <v>1</v>
      </c>
      <c r="E1056" t="str">
        <f t="shared" si="16"/>
        <v>Ramm/1/6/0</v>
      </c>
    </row>
    <row r="1057" spans="1:5" x14ac:dyDescent="0.2">
      <c r="A1057">
        <v>1</v>
      </c>
      <c r="B1057" t="s">
        <v>59</v>
      </c>
      <c r="C1057">
        <v>3</v>
      </c>
      <c r="D1057">
        <v>15</v>
      </c>
      <c r="E1057" t="str">
        <f t="shared" si="16"/>
        <v>YooooDA/15/1/3</v>
      </c>
    </row>
    <row r="1058" spans="1:5" x14ac:dyDescent="0.2">
      <c r="A1058">
        <v>2</v>
      </c>
      <c r="B1058" t="s">
        <v>19</v>
      </c>
      <c r="C1058">
        <v>1</v>
      </c>
      <c r="D1058">
        <v>11</v>
      </c>
      <c r="E1058" t="str">
        <f t="shared" si="16"/>
        <v>Giobeck/11/2/1</v>
      </c>
    </row>
    <row r="1059" spans="1:5" x14ac:dyDescent="0.2">
      <c r="A1059">
        <v>3</v>
      </c>
      <c r="B1059" t="s">
        <v>32</v>
      </c>
      <c r="C1059">
        <v>0</v>
      </c>
      <c r="D1059">
        <v>7</v>
      </c>
      <c r="E1059" t="str">
        <f t="shared" si="16"/>
        <v>OlivierN92/7/3/0</v>
      </c>
    </row>
    <row r="1060" spans="1:5" x14ac:dyDescent="0.2">
      <c r="A1060">
        <v>4</v>
      </c>
      <c r="B1060" t="s">
        <v>88</v>
      </c>
      <c r="C1060">
        <v>0</v>
      </c>
      <c r="D1060">
        <v>3</v>
      </c>
      <c r="E1060" t="str">
        <f t="shared" si="16"/>
        <v>Yarael/3/4/0</v>
      </c>
    </row>
    <row r="1061" spans="1:5" x14ac:dyDescent="0.2">
      <c r="A1061">
        <v>5</v>
      </c>
      <c r="B1061" t="s">
        <v>60</v>
      </c>
      <c r="C1061">
        <v>0</v>
      </c>
      <c r="D1061">
        <v>1</v>
      </c>
      <c r="E1061" t="str">
        <f t="shared" si="16"/>
        <v>zizou/1/5/0</v>
      </c>
    </row>
    <row r="1062" spans="1:5" x14ac:dyDescent="0.2">
      <c r="A1062">
        <v>1</v>
      </c>
      <c r="B1062" t="s">
        <v>29</v>
      </c>
      <c r="C1062">
        <v>3</v>
      </c>
      <c r="D1062">
        <v>17</v>
      </c>
      <c r="E1062" t="str">
        <f t="shared" si="16"/>
        <v>NoDoubt/17/1/3</v>
      </c>
    </row>
    <row r="1063" spans="1:5" x14ac:dyDescent="0.2">
      <c r="A1063">
        <v>2</v>
      </c>
      <c r="B1063" t="s">
        <v>101</v>
      </c>
      <c r="C1063">
        <v>1</v>
      </c>
      <c r="D1063">
        <v>13</v>
      </c>
      <c r="E1063" t="str">
        <f t="shared" si="16"/>
        <v>ChrisFrankfurt/13/2/1</v>
      </c>
    </row>
    <row r="1064" spans="1:5" x14ac:dyDescent="0.2">
      <c r="A1064">
        <v>3</v>
      </c>
      <c r="B1064" t="s">
        <v>26</v>
      </c>
      <c r="C1064">
        <v>0</v>
      </c>
      <c r="D1064">
        <v>9</v>
      </c>
      <c r="E1064" t="str">
        <f t="shared" si="16"/>
        <v>LOSOGRE/9/3/0</v>
      </c>
    </row>
    <row r="1065" spans="1:5" x14ac:dyDescent="0.2">
      <c r="A1065">
        <v>4</v>
      </c>
      <c r="B1065" t="s">
        <v>75</v>
      </c>
      <c r="C1065">
        <v>1</v>
      </c>
      <c r="D1065">
        <v>5</v>
      </c>
      <c r="E1065" t="str">
        <f t="shared" si="16"/>
        <v>Michelbey/5/4/1</v>
      </c>
    </row>
    <row r="1066" spans="1:5" x14ac:dyDescent="0.2">
      <c r="A1066">
        <v>5</v>
      </c>
      <c r="B1066" t="s">
        <v>47</v>
      </c>
      <c r="C1066">
        <v>1</v>
      </c>
      <c r="D1066">
        <v>3</v>
      </c>
      <c r="E1066" t="str">
        <f t="shared" si="16"/>
        <v>Logan/3/5/1</v>
      </c>
    </row>
    <row r="1067" spans="1:5" x14ac:dyDescent="0.2">
      <c r="A1067">
        <v>6</v>
      </c>
      <c r="B1067" t="s">
        <v>55</v>
      </c>
      <c r="C1067">
        <v>0</v>
      </c>
      <c r="D1067">
        <v>2</v>
      </c>
      <c r="E1067" t="str">
        <f t="shared" si="16"/>
        <v>Bounette/2/6/0</v>
      </c>
    </row>
    <row r="1068" spans="1:5" x14ac:dyDescent="0.2">
      <c r="A1068">
        <v>7</v>
      </c>
      <c r="B1068" t="s">
        <v>76</v>
      </c>
      <c r="C1068">
        <v>0</v>
      </c>
      <c r="D1068">
        <v>1</v>
      </c>
      <c r="E1068" t="str">
        <f t="shared" si="16"/>
        <v>Comment2/1/7/0</v>
      </c>
    </row>
    <row r="1069" spans="1:5" x14ac:dyDescent="0.2">
      <c r="A1069">
        <v>1</v>
      </c>
      <c r="B1069" t="s">
        <v>12</v>
      </c>
      <c r="C1069">
        <v>4</v>
      </c>
      <c r="D1069">
        <v>16</v>
      </c>
      <c r="E1069" t="str">
        <f t="shared" si="16"/>
        <v>Gnak/16/1/4</v>
      </c>
    </row>
    <row r="1070" spans="1:5" x14ac:dyDescent="0.2">
      <c r="A1070">
        <v>2</v>
      </c>
      <c r="B1070" t="s">
        <v>92</v>
      </c>
      <c r="C1070">
        <v>0</v>
      </c>
      <c r="D1070">
        <v>12</v>
      </c>
      <c r="E1070" t="str">
        <f t="shared" si="16"/>
        <v>Jacks&amp;Five/12/2/0</v>
      </c>
    </row>
    <row r="1071" spans="1:5" x14ac:dyDescent="0.2">
      <c r="A1071">
        <v>3</v>
      </c>
      <c r="B1071" t="s">
        <v>59</v>
      </c>
      <c r="C1071">
        <v>0</v>
      </c>
      <c r="D1071">
        <v>8</v>
      </c>
      <c r="E1071" t="str">
        <f t="shared" si="16"/>
        <v>YooooDA/8/3/0</v>
      </c>
    </row>
    <row r="1072" spans="1:5" x14ac:dyDescent="0.2">
      <c r="A1072">
        <v>4</v>
      </c>
      <c r="B1072" t="s">
        <v>46</v>
      </c>
      <c r="C1072">
        <v>0</v>
      </c>
      <c r="D1072">
        <v>4</v>
      </c>
      <c r="E1072" t="str">
        <f t="shared" si="16"/>
        <v>Jérôme/4/4/0</v>
      </c>
    </row>
    <row r="1073" spans="1:5" x14ac:dyDescent="0.2">
      <c r="A1073">
        <v>5</v>
      </c>
      <c r="B1073" t="s">
        <v>31</v>
      </c>
      <c r="C1073">
        <v>1</v>
      </c>
      <c r="D1073">
        <v>2</v>
      </c>
      <c r="E1073" t="str">
        <f t="shared" si="16"/>
        <v>CHRIS92340/2/5/1</v>
      </c>
    </row>
    <row r="1074" spans="1:5" x14ac:dyDescent="0.2">
      <c r="A1074">
        <v>6</v>
      </c>
      <c r="B1074" t="s">
        <v>23</v>
      </c>
      <c r="C1074">
        <v>0</v>
      </c>
      <c r="D1074">
        <v>1</v>
      </c>
      <c r="E1074" t="str">
        <f t="shared" si="16"/>
        <v>Lylith75/1/6/0</v>
      </c>
    </row>
    <row r="1075" spans="1:5" x14ac:dyDescent="0.2">
      <c r="A1075">
        <v>1</v>
      </c>
      <c r="B1075" t="s">
        <v>68</v>
      </c>
      <c r="C1075">
        <v>5</v>
      </c>
      <c r="D1075">
        <v>17</v>
      </c>
      <c r="E1075" t="str">
        <f t="shared" si="16"/>
        <v>zubbaz/17/1/5</v>
      </c>
    </row>
    <row r="1076" spans="1:5" x14ac:dyDescent="0.2">
      <c r="A1076">
        <v>2</v>
      </c>
      <c r="B1076" t="s">
        <v>69</v>
      </c>
      <c r="C1076">
        <v>0</v>
      </c>
      <c r="D1076">
        <v>13</v>
      </c>
      <c r="E1076" t="str">
        <f t="shared" si="16"/>
        <v>Catherine/13/2/0</v>
      </c>
    </row>
    <row r="1077" spans="1:5" x14ac:dyDescent="0.2">
      <c r="A1077">
        <v>3</v>
      </c>
      <c r="B1077" t="s">
        <v>32</v>
      </c>
      <c r="C1077">
        <v>0</v>
      </c>
      <c r="D1077">
        <v>9</v>
      </c>
      <c r="E1077" t="str">
        <f t="shared" si="16"/>
        <v>OlivierN92/9/3/0</v>
      </c>
    </row>
    <row r="1078" spans="1:5" x14ac:dyDescent="0.2">
      <c r="A1078">
        <v>4</v>
      </c>
      <c r="B1078" t="s">
        <v>18</v>
      </c>
      <c r="C1078">
        <v>0</v>
      </c>
      <c r="D1078">
        <v>5</v>
      </c>
      <c r="E1078" t="str">
        <f t="shared" si="16"/>
        <v>MAMS/5/4/0</v>
      </c>
    </row>
    <row r="1079" spans="1:5" x14ac:dyDescent="0.2">
      <c r="A1079">
        <v>5</v>
      </c>
      <c r="B1079" t="s">
        <v>74</v>
      </c>
      <c r="C1079">
        <v>1</v>
      </c>
      <c r="D1079">
        <v>3</v>
      </c>
      <c r="E1079" t="str">
        <f t="shared" si="16"/>
        <v>PatB/3/5/1</v>
      </c>
    </row>
    <row r="1080" spans="1:5" x14ac:dyDescent="0.2">
      <c r="A1080">
        <v>6</v>
      </c>
      <c r="B1080" t="s">
        <v>87</v>
      </c>
      <c r="C1080">
        <v>0</v>
      </c>
      <c r="D1080">
        <v>2</v>
      </c>
      <c r="E1080" t="str">
        <f t="shared" si="16"/>
        <v>Proph@ne/2/6/0</v>
      </c>
    </row>
    <row r="1081" spans="1:5" x14ac:dyDescent="0.2">
      <c r="A1081">
        <v>7</v>
      </c>
      <c r="B1081" t="s">
        <v>305</v>
      </c>
      <c r="C1081">
        <v>0</v>
      </c>
      <c r="D1081">
        <v>1</v>
      </c>
      <c r="E1081" t="str">
        <f t="shared" si="16"/>
        <v>flowww/1/7/0</v>
      </c>
    </row>
    <row r="1082" spans="1:5" x14ac:dyDescent="0.2">
      <c r="A1082">
        <v>1</v>
      </c>
      <c r="B1082" t="s">
        <v>102</v>
      </c>
      <c r="C1082">
        <v>2</v>
      </c>
      <c r="D1082">
        <v>16</v>
      </c>
      <c r="E1082" t="str">
        <f t="shared" si="16"/>
        <v>Doudoululu/16/1/2</v>
      </c>
    </row>
    <row r="1083" spans="1:5" x14ac:dyDescent="0.2">
      <c r="A1083">
        <v>2</v>
      </c>
      <c r="B1083" t="s">
        <v>35</v>
      </c>
      <c r="C1083">
        <v>1</v>
      </c>
      <c r="D1083">
        <v>12</v>
      </c>
      <c r="E1083" t="str">
        <f t="shared" si="16"/>
        <v>JeanMichelTiming/12/2/1</v>
      </c>
    </row>
    <row r="1084" spans="1:5" x14ac:dyDescent="0.2">
      <c r="A1084">
        <v>3</v>
      </c>
      <c r="B1084" t="s">
        <v>9</v>
      </c>
      <c r="C1084">
        <v>2</v>
      </c>
      <c r="D1084">
        <v>8</v>
      </c>
      <c r="E1084" t="str">
        <f t="shared" si="16"/>
        <v>K1/8/3/2</v>
      </c>
    </row>
    <row r="1085" spans="1:5" x14ac:dyDescent="0.2">
      <c r="A1085">
        <v>4</v>
      </c>
      <c r="B1085" t="s">
        <v>15</v>
      </c>
      <c r="C1085">
        <v>0</v>
      </c>
      <c r="D1085">
        <v>4</v>
      </c>
      <c r="E1085" t="str">
        <f t="shared" si="16"/>
        <v>LAAtof/4/4/0</v>
      </c>
    </row>
    <row r="1086" spans="1:5" x14ac:dyDescent="0.2">
      <c r="A1086">
        <v>5</v>
      </c>
      <c r="B1086" t="s">
        <v>40</v>
      </c>
      <c r="C1086">
        <v>0</v>
      </c>
      <c r="D1086">
        <v>2</v>
      </c>
      <c r="E1086" t="str">
        <f t="shared" si="16"/>
        <v>Lén@/2/5/0</v>
      </c>
    </row>
    <row r="1087" spans="1:5" x14ac:dyDescent="0.2">
      <c r="A1087">
        <v>6</v>
      </c>
      <c r="B1087" t="s">
        <v>60</v>
      </c>
      <c r="C1087">
        <v>0</v>
      </c>
      <c r="D1087">
        <v>1</v>
      </c>
      <c r="E1087" t="str">
        <f t="shared" si="16"/>
        <v>zizou/1/6/0</v>
      </c>
    </row>
    <row r="1088" spans="1:5" x14ac:dyDescent="0.2">
      <c r="A1088">
        <v>1</v>
      </c>
      <c r="B1088" t="s">
        <v>33</v>
      </c>
      <c r="C1088">
        <v>1</v>
      </c>
      <c r="D1088">
        <v>16</v>
      </c>
      <c r="E1088" t="str">
        <f t="shared" si="16"/>
        <v>Ptit Savoyard/16/1/1</v>
      </c>
    </row>
    <row r="1089" spans="1:5" x14ac:dyDescent="0.2">
      <c r="A1089">
        <v>2</v>
      </c>
      <c r="B1089" t="s">
        <v>50</v>
      </c>
      <c r="C1089">
        <v>2</v>
      </c>
      <c r="D1089">
        <v>12</v>
      </c>
      <c r="E1089" t="str">
        <f t="shared" ref="E1089:E1152" si="17">B1089&amp;"/"&amp;D1089&amp;"/"&amp;A1089&amp;"/"&amp;C1089</f>
        <v>MLADENGO/12/2/2</v>
      </c>
    </row>
    <row r="1090" spans="1:5" x14ac:dyDescent="0.2">
      <c r="A1090">
        <v>3</v>
      </c>
      <c r="B1090" t="s">
        <v>22</v>
      </c>
      <c r="C1090">
        <v>0</v>
      </c>
      <c r="D1090">
        <v>8</v>
      </c>
      <c r="E1090" t="str">
        <f t="shared" si="17"/>
        <v>Dart 45/8/3/0</v>
      </c>
    </row>
    <row r="1091" spans="1:5" x14ac:dyDescent="0.2">
      <c r="A1091">
        <v>4</v>
      </c>
      <c r="B1091" t="s">
        <v>8</v>
      </c>
      <c r="C1091">
        <v>1</v>
      </c>
      <c r="D1091">
        <v>4</v>
      </c>
      <c r="E1091" t="str">
        <f t="shared" si="17"/>
        <v>Maxime/4/4/1</v>
      </c>
    </row>
    <row r="1092" spans="1:5" x14ac:dyDescent="0.2">
      <c r="A1092">
        <v>5</v>
      </c>
      <c r="B1092" t="s">
        <v>21</v>
      </c>
      <c r="C1092">
        <v>1</v>
      </c>
      <c r="D1092">
        <v>2</v>
      </c>
      <c r="E1092" t="str">
        <f t="shared" si="17"/>
        <v>Carmin/2/5/1</v>
      </c>
    </row>
    <row r="1093" spans="1:5" x14ac:dyDescent="0.2">
      <c r="A1093">
        <v>6</v>
      </c>
      <c r="B1093" t="s">
        <v>14</v>
      </c>
      <c r="C1093">
        <v>0</v>
      </c>
      <c r="D1093">
        <v>1</v>
      </c>
      <c r="E1093" t="str">
        <f t="shared" si="17"/>
        <v>Ramm/1/6/0</v>
      </c>
    </row>
    <row r="1094" spans="1:5" x14ac:dyDescent="0.2">
      <c r="A1094">
        <v>1</v>
      </c>
      <c r="B1094" t="s">
        <v>73</v>
      </c>
      <c r="C1094">
        <v>2</v>
      </c>
      <c r="D1094">
        <v>17</v>
      </c>
      <c r="E1094" t="str">
        <f t="shared" si="17"/>
        <v>Flem/17/1/2</v>
      </c>
    </row>
    <row r="1095" spans="1:5" x14ac:dyDescent="0.2">
      <c r="A1095">
        <v>2</v>
      </c>
      <c r="B1095" t="s">
        <v>28</v>
      </c>
      <c r="C1095">
        <v>2</v>
      </c>
      <c r="D1095">
        <v>13</v>
      </c>
      <c r="E1095" t="str">
        <f t="shared" si="17"/>
        <v>sobab/13/2/2</v>
      </c>
    </row>
    <row r="1096" spans="1:5" x14ac:dyDescent="0.2">
      <c r="A1096">
        <v>3</v>
      </c>
      <c r="B1096" t="s">
        <v>66</v>
      </c>
      <c r="C1096">
        <v>2</v>
      </c>
      <c r="D1096">
        <v>9</v>
      </c>
      <c r="E1096" t="str">
        <f t="shared" si="17"/>
        <v>Ad Vitam/9/3/2</v>
      </c>
    </row>
    <row r="1097" spans="1:5" x14ac:dyDescent="0.2">
      <c r="A1097">
        <v>4</v>
      </c>
      <c r="B1097" t="s">
        <v>39</v>
      </c>
      <c r="C1097">
        <v>0</v>
      </c>
      <c r="D1097">
        <v>5</v>
      </c>
      <c r="E1097" t="str">
        <f t="shared" si="17"/>
        <v>kheops/5/4/0</v>
      </c>
    </row>
    <row r="1098" spans="1:5" x14ac:dyDescent="0.2">
      <c r="A1098">
        <v>5</v>
      </c>
      <c r="B1098" t="s">
        <v>25</v>
      </c>
      <c r="C1098">
        <v>0</v>
      </c>
      <c r="D1098">
        <v>3</v>
      </c>
      <c r="E1098" t="str">
        <f t="shared" si="17"/>
        <v>Claudius/3/5/0</v>
      </c>
    </row>
    <row r="1099" spans="1:5" x14ac:dyDescent="0.2">
      <c r="A1099">
        <v>6</v>
      </c>
      <c r="B1099" t="s">
        <v>61</v>
      </c>
      <c r="C1099">
        <v>0</v>
      </c>
      <c r="D1099">
        <v>2</v>
      </c>
      <c r="E1099" t="str">
        <f t="shared" si="17"/>
        <v>Kri-lin/2/6/0</v>
      </c>
    </row>
    <row r="1100" spans="1:5" x14ac:dyDescent="0.2">
      <c r="A1100">
        <v>7</v>
      </c>
      <c r="B1100" t="s">
        <v>172</v>
      </c>
      <c r="C1100">
        <v>0</v>
      </c>
      <c r="D1100">
        <v>1</v>
      </c>
      <c r="E1100" t="str">
        <f t="shared" si="17"/>
        <v>Le_Poulpe/1/7/0</v>
      </c>
    </row>
    <row r="1101" spans="1:5" x14ac:dyDescent="0.2">
      <c r="A1101">
        <v>1</v>
      </c>
      <c r="B1101" t="s">
        <v>54</v>
      </c>
      <c r="C1101">
        <v>3</v>
      </c>
      <c r="D1101">
        <v>16</v>
      </c>
      <c r="E1101" t="str">
        <f t="shared" si="17"/>
        <v>Salsamanu/16/1/3</v>
      </c>
    </row>
    <row r="1102" spans="1:5" x14ac:dyDescent="0.2">
      <c r="A1102">
        <v>2</v>
      </c>
      <c r="B1102" t="s">
        <v>41</v>
      </c>
      <c r="C1102">
        <v>0</v>
      </c>
      <c r="D1102">
        <v>12</v>
      </c>
      <c r="E1102" t="str">
        <f t="shared" si="17"/>
        <v>gibouille/12/2/0</v>
      </c>
    </row>
    <row r="1103" spans="1:5" x14ac:dyDescent="0.2">
      <c r="A1103">
        <v>3</v>
      </c>
      <c r="B1103" t="s">
        <v>43</v>
      </c>
      <c r="C1103">
        <v>1</v>
      </c>
      <c r="D1103">
        <v>8</v>
      </c>
      <c r="E1103" t="str">
        <f t="shared" si="17"/>
        <v>KassTwo/8/3/1</v>
      </c>
    </row>
    <row r="1104" spans="1:5" x14ac:dyDescent="0.2">
      <c r="A1104">
        <v>4</v>
      </c>
      <c r="B1104" t="s">
        <v>67</v>
      </c>
      <c r="C1104">
        <v>1</v>
      </c>
      <c r="D1104">
        <v>4</v>
      </c>
      <c r="E1104" t="str">
        <f t="shared" si="17"/>
        <v>Jackiechoune/4/4/1</v>
      </c>
    </row>
    <row r="1105" spans="1:5" x14ac:dyDescent="0.2">
      <c r="A1105">
        <v>5</v>
      </c>
      <c r="B1105" t="s">
        <v>45</v>
      </c>
      <c r="C1105">
        <v>0</v>
      </c>
      <c r="D1105">
        <v>2</v>
      </c>
      <c r="E1105" t="str">
        <f t="shared" si="17"/>
        <v>yaltar/2/5/0</v>
      </c>
    </row>
    <row r="1106" spans="1:5" x14ac:dyDescent="0.2">
      <c r="A1106">
        <v>6</v>
      </c>
      <c r="B1106" t="s">
        <v>42</v>
      </c>
      <c r="C1106">
        <v>0</v>
      </c>
      <c r="D1106">
        <v>1</v>
      </c>
      <c r="E1106" t="str">
        <f t="shared" si="17"/>
        <v>Claptou/1/6/0</v>
      </c>
    </row>
    <row r="1107" spans="1:5" x14ac:dyDescent="0.2">
      <c r="A1107">
        <v>1</v>
      </c>
      <c r="B1107" t="s">
        <v>68</v>
      </c>
      <c r="C1107">
        <v>3</v>
      </c>
      <c r="D1107">
        <v>16</v>
      </c>
      <c r="E1107" t="str">
        <f t="shared" si="17"/>
        <v>zubbaz/16/1/3</v>
      </c>
    </row>
    <row r="1108" spans="1:5" x14ac:dyDescent="0.2">
      <c r="A1108">
        <v>2</v>
      </c>
      <c r="B1108" t="s">
        <v>75</v>
      </c>
      <c r="C1108">
        <v>1</v>
      </c>
      <c r="D1108">
        <v>12</v>
      </c>
      <c r="E1108" t="str">
        <f t="shared" si="17"/>
        <v>Michelbey/12/2/1</v>
      </c>
    </row>
    <row r="1109" spans="1:5" x14ac:dyDescent="0.2">
      <c r="A1109">
        <v>3</v>
      </c>
      <c r="B1109" t="s">
        <v>50</v>
      </c>
      <c r="C1109">
        <v>0</v>
      </c>
      <c r="D1109">
        <v>8</v>
      </c>
      <c r="E1109" t="str">
        <f t="shared" si="17"/>
        <v>MLADENGO/8/3/0</v>
      </c>
    </row>
    <row r="1110" spans="1:5" x14ac:dyDescent="0.2">
      <c r="A1110">
        <v>4</v>
      </c>
      <c r="B1110" t="s">
        <v>69</v>
      </c>
      <c r="C1110">
        <v>1</v>
      </c>
      <c r="D1110">
        <v>4</v>
      </c>
      <c r="E1110" t="str">
        <f t="shared" si="17"/>
        <v>Catherine/4/4/1</v>
      </c>
    </row>
    <row r="1111" spans="1:5" x14ac:dyDescent="0.2">
      <c r="A1111">
        <v>5</v>
      </c>
      <c r="B1111" t="s">
        <v>25</v>
      </c>
      <c r="C1111">
        <v>0</v>
      </c>
      <c r="D1111">
        <v>2</v>
      </c>
      <c r="E1111" t="str">
        <f t="shared" si="17"/>
        <v>Claudius/2/5/0</v>
      </c>
    </row>
    <row r="1112" spans="1:5" x14ac:dyDescent="0.2">
      <c r="A1112">
        <v>6</v>
      </c>
      <c r="B1112" t="s">
        <v>305</v>
      </c>
      <c r="C1112">
        <v>0</v>
      </c>
      <c r="D1112">
        <v>1</v>
      </c>
      <c r="E1112" t="str">
        <f t="shared" si="17"/>
        <v>flowww/1/6/0</v>
      </c>
    </row>
    <row r="1113" spans="1:5" x14ac:dyDescent="0.2">
      <c r="A1113">
        <v>1</v>
      </c>
      <c r="B1113" t="s">
        <v>61</v>
      </c>
      <c r="C1113">
        <v>2</v>
      </c>
      <c r="D1113">
        <v>16</v>
      </c>
      <c r="E1113" t="str">
        <f t="shared" si="17"/>
        <v>Kri-lin/16/1/2</v>
      </c>
    </row>
    <row r="1114" spans="1:5" x14ac:dyDescent="0.2">
      <c r="A1114">
        <v>2</v>
      </c>
      <c r="B1114" t="s">
        <v>8</v>
      </c>
      <c r="C1114">
        <v>2</v>
      </c>
      <c r="D1114">
        <v>12</v>
      </c>
      <c r="E1114" t="str">
        <f t="shared" si="17"/>
        <v>Maxime/12/2/2</v>
      </c>
    </row>
    <row r="1115" spans="1:5" x14ac:dyDescent="0.2">
      <c r="A1115">
        <v>3</v>
      </c>
      <c r="B1115" t="s">
        <v>28</v>
      </c>
      <c r="C1115">
        <v>1</v>
      </c>
      <c r="D1115">
        <v>8</v>
      </c>
      <c r="E1115" t="str">
        <f t="shared" si="17"/>
        <v>sobab/8/3/1</v>
      </c>
    </row>
    <row r="1116" spans="1:5" x14ac:dyDescent="0.2">
      <c r="A1116">
        <v>4</v>
      </c>
      <c r="B1116" t="s">
        <v>45</v>
      </c>
      <c r="C1116">
        <v>0</v>
      </c>
      <c r="D1116">
        <v>4</v>
      </c>
      <c r="E1116" t="str">
        <f t="shared" si="17"/>
        <v>yaltar/4/4/0</v>
      </c>
    </row>
    <row r="1117" spans="1:5" x14ac:dyDescent="0.2">
      <c r="A1117">
        <v>5</v>
      </c>
      <c r="B1117" t="s">
        <v>46</v>
      </c>
      <c r="C1117">
        <v>0</v>
      </c>
      <c r="D1117">
        <v>2</v>
      </c>
      <c r="E1117" t="str">
        <f t="shared" si="17"/>
        <v>Jérôme/2/5/0</v>
      </c>
    </row>
    <row r="1118" spans="1:5" x14ac:dyDescent="0.2">
      <c r="A1118">
        <v>6</v>
      </c>
      <c r="B1118" t="s">
        <v>92</v>
      </c>
      <c r="C1118">
        <v>0</v>
      </c>
      <c r="D1118">
        <v>1</v>
      </c>
      <c r="E1118" t="str">
        <f t="shared" si="17"/>
        <v>Jacks&amp;Five/1/6/0</v>
      </c>
    </row>
    <row r="1119" spans="1:5" x14ac:dyDescent="0.2">
      <c r="A1119">
        <v>1</v>
      </c>
      <c r="B1119" t="s">
        <v>9</v>
      </c>
      <c r="C1119">
        <v>4</v>
      </c>
      <c r="D1119">
        <v>16</v>
      </c>
      <c r="E1119" t="str">
        <f t="shared" si="17"/>
        <v>K1/16/1/4</v>
      </c>
    </row>
    <row r="1120" spans="1:5" x14ac:dyDescent="0.2">
      <c r="A1120">
        <v>2</v>
      </c>
      <c r="B1120" t="s">
        <v>21</v>
      </c>
      <c r="C1120">
        <v>1</v>
      </c>
      <c r="D1120">
        <v>12</v>
      </c>
      <c r="E1120" t="str">
        <f t="shared" si="17"/>
        <v>Carmin/12/2/1</v>
      </c>
    </row>
    <row r="1121" spans="1:5" x14ac:dyDescent="0.2">
      <c r="A1121">
        <v>3</v>
      </c>
      <c r="B1121" t="s">
        <v>14</v>
      </c>
      <c r="C1121">
        <v>0</v>
      </c>
      <c r="D1121">
        <v>8</v>
      </c>
      <c r="E1121" t="str">
        <f t="shared" si="17"/>
        <v>Ramm/8/3/0</v>
      </c>
    </row>
    <row r="1122" spans="1:5" x14ac:dyDescent="0.2">
      <c r="A1122">
        <v>4</v>
      </c>
      <c r="B1122" t="s">
        <v>26</v>
      </c>
      <c r="C1122">
        <v>0</v>
      </c>
      <c r="D1122">
        <v>4</v>
      </c>
      <c r="E1122" t="str">
        <f t="shared" si="17"/>
        <v>LOSOGRE/4/4/0</v>
      </c>
    </row>
    <row r="1123" spans="1:5" x14ac:dyDescent="0.2">
      <c r="A1123">
        <v>5</v>
      </c>
      <c r="B1123" t="s">
        <v>33</v>
      </c>
      <c r="C1123">
        <v>0</v>
      </c>
      <c r="D1123">
        <v>2</v>
      </c>
      <c r="E1123" t="str">
        <f t="shared" si="17"/>
        <v>Ptit Savoyard/2/5/0</v>
      </c>
    </row>
    <row r="1124" spans="1:5" x14ac:dyDescent="0.2">
      <c r="A1124">
        <v>6</v>
      </c>
      <c r="B1124" t="s">
        <v>102</v>
      </c>
      <c r="C1124">
        <v>0</v>
      </c>
      <c r="D1124">
        <v>1</v>
      </c>
      <c r="E1124" t="str">
        <f t="shared" si="17"/>
        <v>Doudoululu/1/6/0</v>
      </c>
    </row>
    <row r="1125" spans="1:5" x14ac:dyDescent="0.2">
      <c r="A1125">
        <v>1</v>
      </c>
      <c r="B1125" t="s">
        <v>55</v>
      </c>
      <c r="C1125">
        <v>4</v>
      </c>
      <c r="D1125">
        <v>16</v>
      </c>
      <c r="E1125" t="str">
        <f t="shared" si="17"/>
        <v>Bounette/16/1/4</v>
      </c>
    </row>
    <row r="1126" spans="1:5" x14ac:dyDescent="0.2">
      <c r="A1126">
        <v>2</v>
      </c>
      <c r="B1126" t="s">
        <v>19</v>
      </c>
      <c r="C1126">
        <v>0</v>
      </c>
      <c r="D1126">
        <v>12</v>
      </c>
      <c r="E1126" t="str">
        <f t="shared" si="17"/>
        <v>Giobeck/12/2/0</v>
      </c>
    </row>
    <row r="1127" spans="1:5" x14ac:dyDescent="0.2">
      <c r="A1127">
        <v>3</v>
      </c>
      <c r="B1127" t="s">
        <v>35</v>
      </c>
      <c r="C1127">
        <v>1</v>
      </c>
      <c r="D1127">
        <v>8</v>
      </c>
      <c r="E1127" t="str">
        <f t="shared" si="17"/>
        <v>JeanMichelTiming/8/3/1</v>
      </c>
    </row>
    <row r="1128" spans="1:5" x14ac:dyDescent="0.2">
      <c r="A1128">
        <v>4</v>
      </c>
      <c r="B1128" t="s">
        <v>31</v>
      </c>
      <c r="C1128">
        <v>0</v>
      </c>
      <c r="D1128">
        <v>4</v>
      </c>
      <c r="E1128" t="str">
        <f t="shared" si="17"/>
        <v>CHRIS92340/4/4/0</v>
      </c>
    </row>
    <row r="1129" spans="1:5" x14ac:dyDescent="0.2">
      <c r="A1129">
        <v>5</v>
      </c>
      <c r="B1129" t="s">
        <v>88</v>
      </c>
      <c r="C1129">
        <v>0</v>
      </c>
      <c r="D1129">
        <v>2</v>
      </c>
      <c r="E1129" t="str">
        <f t="shared" si="17"/>
        <v>Yarael/2/5/0</v>
      </c>
    </row>
    <row r="1130" spans="1:5" x14ac:dyDescent="0.2">
      <c r="A1130">
        <v>6</v>
      </c>
      <c r="B1130" t="s">
        <v>74</v>
      </c>
      <c r="C1130">
        <v>0</v>
      </c>
      <c r="D1130">
        <v>1</v>
      </c>
      <c r="E1130" t="str">
        <f t="shared" si="17"/>
        <v>PatB/1/6/0</v>
      </c>
    </row>
    <row r="1131" spans="1:5" x14ac:dyDescent="0.2">
      <c r="A1131">
        <v>1</v>
      </c>
      <c r="B1131" t="s">
        <v>52</v>
      </c>
      <c r="C1131">
        <v>2</v>
      </c>
      <c r="D1131">
        <v>16</v>
      </c>
      <c r="E1131" t="str">
        <f t="shared" si="17"/>
        <v>Coach Pepito/16/1/2</v>
      </c>
    </row>
    <row r="1132" spans="1:5" x14ac:dyDescent="0.2">
      <c r="A1132">
        <v>2</v>
      </c>
      <c r="B1132" t="s">
        <v>41</v>
      </c>
      <c r="C1132">
        <v>1</v>
      </c>
      <c r="D1132">
        <v>12</v>
      </c>
      <c r="E1132" t="str">
        <f t="shared" si="17"/>
        <v>gibouille/12/2/1</v>
      </c>
    </row>
    <row r="1133" spans="1:5" x14ac:dyDescent="0.2">
      <c r="A1133">
        <v>3</v>
      </c>
      <c r="B1133" t="s">
        <v>12</v>
      </c>
      <c r="C1133">
        <v>2</v>
      </c>
      <c r="D1133">
        <v>8</v>
      </c>
      <c r="E1133" t="str">
        <f t="shared" si="17"/>
        <v>Gnak/8/3/2</v>
      </c>
    </row>
    <row r="1134" spans="1:5" x14ac:dyDescent="0.2">
      <c r="A1134">
        <v>4</v>
      </c>
      <c r="B1134" t="s">
        <v>39</v>
      </c>
      <c r="C1134">
        <v>0</v>
      </c>
      <c r="D1134">
        <v>4</v>
      </c>
      <c r="E1134" t="str">
        <f t="shared" si="17"/>
        <v>kheops/4/4/0</v>
      </c>
    </row>
    <row r="1135" spans="1:5" x14ac:dyDescent="0.2">
      <c r="A1135">
        <v>5</v>
      </c>
      <c r="B1135" t="s">
        <v>18</v>
      </c>
      <c r="C1135">
        <v>0</v>
      </c>
      <c r="D1135">
        <v>2</v>
      </c>
      <c r="E1135" t="str">
        <f t="shared" si="17"/>
        <v>MAMS/2/5/0</v>
      </c>
    </row>
    <row r="1136" spans="1:5" x14ac:dyDescent="0.2">
      <c r="A1136">
        <v>6</v>
      </c>
      <c r="B1136" t="s">
        <v>47</v>
      </c>
      <c r="C1136">
        <v>0</v>
      </c>
      <c r="D1136">
        <v>1</v>
      </c>
      <c r="E1136" t="str">
        <f t="shared" si="17"/>
        <v>Logan/1/6/0</v>
      </c>
    </row>
    <row r="1137" spans="1:5" x14ac:dyDescent="0.2">
      <c r="A1137">
        <v>1</v>
      </c>
      <c r="B1137" t="s">
        <v>344</v>
      </c>
      <c r="C1137">
        <v>3</v>
      </c>
      <c r="D1137">
        <v>16</v>
      </c>
      <c r="E1137" t="str">
        <f t="shared" si="17"/>
        <v>Zil/16/1/3</v>
      </c>
    </row>
    <row r="1138" spans="1:5" x14ac:dyDescent="0.2">
      <c r="A1138">
        <v>2</v>
      </c>
      <c r="B1138" t="s">
        <v>76</v>
      </c>
      <c r="C1138">
        <v>0</v>
      </c>
      <c r="D1138">
        <v>12</v>
      </c>
      <c r="E1138" t="str">
        <f t="shared" si="17"/>
        <v>Comment2/12/2/0</v>
      </c>
    </row>
    <row r="1139" spans="1:5" x14ac:dyDescent="0.2">
      <c r="A1139">
        <v>3</v>
      </c>
      <c r="B1139" t="s">
        <v>65</v>
      </c>
      <c r="C1139">
        <v>2</v>
      </c>
      <c r="D1139">
        <v>8</v>
      </c>
      <c r="E1139" t="str">
        <f t="shared" si="17"/>
        <v>Ripolin/8/3/2</v>
      </c>
    </row>
    <row r="1140" spans="1:5" x14ac:dyDescent="0.2">
      <c r="A1140">
        <v>4</v>
      </c>
      <c r="B1140" t="s">
        <v>6</v>
      </c>
      <c r="C1140">
        <v>0</v>
      </c>
      <c r="D1140">
        <v>4</v>
      </c>
      <c r="E1140" t="str">
        <f t="shared" si="17"/>
        <v>Pyja/4/4/0</v>
      </c>
    </row>
    <row r="1141" spans="1:5" x14ac:dyDescent="0.2">
      <c r="A1141">
        <v>5</v>
      </c>
      <c r="B1141" t="s">
        <v>32</v>
      </c>
      <c r="C1141">
        <v>0</v>
      </c>
      <c r="D1141">
        <v>2</v>
      </c>
      <c r="E1141" t="str">
        <f t="shared" si="17"/>
        <v>OlivierN92/2/5/0</v>
      </c>
    </row>
    <row r="1142" spans="1:5" x14ac:dyDescent="0.2">
      <c r="A1142">
        <v>6</v>
      </c>
      <c r="B1142" t="s">
        <v>87</v>
      </c>
      <c r="C1142">
        <v>0</v>
      </c>
      <c r="D1142">
        <v>1</v>
      </c>
      <c r="E1142" t="str">
        <f t="shared" si="17"/>
        <v>Proph@ne/1/6/0</v>
      </c>
    </row>
    <row r="1143" spans="1:5" x14ac:dyDescent="0.2">
      <c r="A1143">
        <v>1</v>
      </c>
      <c r="B1143" t="s">
        <v>73</v>
      </c>
      <c r="C1143">
        <v>4</v>
      </c>
      <c r="D1143">
        <v>16</v>
      </c>
      <c r="E1143" t="str">
        <f t="shared" si="17"/>
        <v>Flem/16/1/4</v>
      </c>
    </row>
    <row r="1144" spans="1:5" x14ac:dyDescent="0.2">
      <c r="A1144">
        <v>2</v>
      </c>
      <c r="B1144" t="s">
        <v>54</v>
      </c>
      <c r="C1144">
        <v>0</v>
      </c>
      <c r="D1144">
        <v>12</v>
      </c>
      <c r="E1144" t="str">
        <f t="shared" si="17"/>
        <v>Salsamanu/12/2/0</v>
      </c>
    </row>
    <row r="1145" spans="1:5" x14ac:dyDescent="0.2">
      <c r="A1145">
        <v>3</v>
      </c>
      <c r="B1145" t="s">
        <v>66</v>
      </c>
      <c r="C1145">
        <v>1</v>
      </c>
      <c r="D1145">
        <v>8</v>
      </c>
      <c r="E1145" t="str">
        <f t="shared" si="17"/>
        <v>Ad Vitam/8/3/1</v>
      </c>
    </row>
    <row r="1146" spans="1:5" x14ac:dyDescent="0.2">
      <c r="A1146">
        <v>4</v>
      </c>
      <c r="B1146" t="s">
        <v>60</v>
      </c>
      <c r="C1146">
        <v>0</v>
      </c>
      <c r="D1146">
        <v>4</v>
      </c>
      <c r="E1146" t="str">
        <f t="shared" si="17"/>
        <v>zizou/4/4/0</v>
      </c>
    </row>
    <row r="1147" spans="1:5" x14ac:dyDescent="0.2">
      <c r="A1147">
        <v>5</v>
      </c>
      <c r="B1147" t="s">
        <v>81</v>
      </c>
      <c r="C1147">
        <v>0</v>
      </c>
      <c r="D1147">
        <v>2</v>
      </c>
      <c r="E1147" t="str">
        <f t="shared" si="17"/>
        <v>Empedocle/2/5/0</v>
      </c>
    </row>
    <row r="1148" spans="1:5" x14ac:dyDescent="0.2">
      <c r="A1148">
        <v>6</v>
      </c>
      <c r="B1148" t="s">
        <v>42</v>
      </c>
      <c r="C1148">
        <v>0</v>
      </c>
      <c r="D1148">
        <v>1</v>
      </c>
      <c r="E1148" t="str">
        <f t="shared" si="17"/>
        <v>Claptou/1/6/0</v>
      </c>
    </row>
    <row r="1149" spans="1:5" x14ac:dyDescent="0.2">
      <c r="A1149">
        <v>1</v>
      </c>
      <c r="B1149" t="s">
        <v>15</v>
      </c>
      <c r="C1149">
        <v>2</v>
      </c>
      <c r="D1149">
        <v>16</v>
      </c>
      <c r="E1149" t="str">
        <f t="shared" si="17"/>
        <v>LAAtof/16/1/2</v>
      </c>
    </row>
    <row r="1150" spans="1:5" x14ac:dyDescent="0.2">
      <c r="A1150">
        <v>2</v>
      </c>
      <c r="B1150" t="s">
        <v>35</v>
      </c>
      <c r="C1150">
        <v>1</v>
      </c>
      <c r="D1150">
        <v>12</v>
      </c>
      <c r="E1150" t="str">
        <f t="shared" si="17"/>
        <v>JeanMichelTiming/12/2/1</v>
      </c>
    </row>
    <row r="1151" spans="1:5" x14ac:dyDescent="0.2">
      <c r="A1151">
        <v>3</v>
      </c>
      <c r="B1151" t="s">
        <v>40</v>
      </c>
      <c r="C1151">
        <v>2</v>
      </c>
      <c r="D1151">
        <v>8</v>
      </c>
      <c r="E1151" t="str">
        <f t="shared" si="17"/>
        <v>Lén@/8/3/2</v>
      </c>
    </row>
    <row r="1152" spans="1:5" x14ac:dyDescent="0.2">
      <c r="A1152">
        <v>4</v>
      </c>
      <c r="B1152" t="s">
        <v>101</v>
      </c>
      <c r="C1152">
        <v>0</v>
      </c>
      <c r="D1152">
        <v>4</v>
      </c>
      <c r="E1152" t="str">
        <f t="shared" si="17"/>
        <v>ChrisFrankfurt/4/4/0</v>
      </c>
    </row>
    <row r="1153" spans="1:5" x14ac:dyDescent="0.2">
      <c r="A1153">
        <v>5</v>
      </c>
      <c r="B1153" t="s">
        <v>345</v>
      </c>
      <c r="C1153">
        <v>0</v>
      </c>
      <c r="D1153">
        <v>2</v>
      </c>
      <c r="E1153" t="str">
        <f t="shared" ref="E1153:E1216" si="18">B1153&amp;"/"&amp;D1153&amp;"/"&amp;A1153&amp;"/"&amp;C1153</f>
        <v>Thibaultp75/2/5/0</v>
      </c>
    </row>
    <row r="1154" spans="1:5" x14ac:dyDescent="0.2">
      <c r="A1154">
        <v>6</v>
      </c>
      <c r="B1154" t="s">
        <v>33</v>
      </c>
      <c r="C1154">
        <v>0</v>
      </c>
      <c r="D1154">
        <v>1</v>
      </c>
      <c r="E1154" t="str">
        <f t="shared" si="18"/>
        <v>Ptit Savoyard/1/6/0</v>
      </c>
    </row>
    <row r="1155" spans="1:5" x14ac:dyDescent="0.2">
      <c r="A1155">
        <v>1</v>
      </c>
      <c r="B1155" t="s">
        <v>69</v>
      </c>
      <c r="C1155">
        <v>2</v>
      </c>
      <c r="D1155">
        <v>16</v>
      </c>
      <c r="E1155" t="str">
        <f t="shared" si="18"/>
        <v>Catherine/16/1/2</v>
      </c>
    </row>
    <row r="1156" spans="1:5" x14ac:dyDescent="0.2">
      <c r="A1156">
        <v>2</v>
      </c>
      <c r="B1156" t="s">
        <v>9</v>
      </c>
      <c r="C1156">
        <v>2</v>
      </c>
      <c r="D1156">
        <v>12</v>
      </c>
      <c r="E1156" t="str">
        <f t="shared" si="18"/>
        <v>K1/12/2/2</v>
      </c>
    </row>
    <row r="1157" spans="1:5" x14ac:dyDescent="0.2">
      <c r="A1157">
        <v>3</v>
      </c>
      <c r="B1157" t="s">
        <v>25</v>
      </c>
      <c r="C1157">
        <v>0</v>
      </c>
      <c r="D1157">
        <v>8</v>
      </c>
      <c r="E1157" t="str">
        <f t="shared" si="18"/>
        <v>Claudius/8/3/0</v>
      </c>
    </row>
    <row r="1158" spans="1:5" x14ac:dyDescent="0.2">
      <c r="A1158">
        <v>4</v>
      </c>
      <c r="B1158" t="s">
        <v>74</v>
      </c>
      <c r="C1158">
        <v>0</v>
      </c>
      <c r="D1158">
        <v>4</v>
      </c>
      <c r="E1158" t="str">
        <f t="shared" si="18"/>
        <v>PatB/4/4/0</v>
      </c>
    </row>
    <row r="1159" spans="1:5" x14ac:dyDescent="0.2">
      <c r="A1159">
        <v>5</v>
      </c>
      <c r="B1159" t="s">
        <v>92</v>
      </c>
      <c r="C1159">
        <v>1</v>
      </c>
      <c r="D1159">
        <v>2</v>
      </c>
      <c r="E1159" t="str">
        <f t="shared" si="18"/>
        <v>Jacks&amp;Five/2/5/1</v>
      </c>
    </row>
    <row r="1160" spans="1:5" x14ac:dyDescent="0.2">
      <c r="A1160">
        <v>6</v>
      </c>
      <c r="B1160" t="s">
        <v>60</v>
      </c>
      <c r="C1160">
        <v>0</v>
      </c>
      <c r="D1160">
        <v>1</v>
      </c>
      <c r="E1160" t="str">
        <f t="shared" si="18"/>
        <v>zizou/1/6/0</v>
      </c>
    </row>
    <row r="1161" spans="1:5" x14ac:dyDescent="0.2">
      <c r="A1161">
        <v>1</v>
      </c>
      <c r="B1161" t="s">
        <v>43</v>
      </c>
      <c r="C1161">
        <v>3</v>
      </c>
      <c r="D1161">
        <v>16</v>
      </c>
      <c r="E1161" t="str">
        <f t="shared" si="18"/>
        <v>KassTwo/16/1/3</v>
      </c>
    </row>
    <row r="1162" spans="1:5" x14ac:dyDescent="0.2">
      <c r="A1162">
        <v>2</v>
      </c>
      <c r="B1162" t="s">
        <v>47</v>
      </c>
      <c r="C1162">
        <v>2</v>
      </c>
      <c r="D1162">
        <v>12</v>
      </c>
      <c r="E1162" t="str">
        <f t="shared" si="18"/>
        <v>Logan/12/2/2</v>
      </c>
    </row>
    <row r="1163" spans="1:5" x14ac:dyDescent="0.2">
      <c r="A1163">
        <v>3</v>
      </c>
      <c r="B1163" t="s">
        <v>41</v>
      </c>
      <c r="C1163">
        <v>0</v>
      </c>
      <c r="D1163">
        <v>8</v>
      </c>
      <c r="E1163" t="str">
        <f t="shared" si="18"/>
        <v>gibouille/8/3/0</v>
      </c>
    </row>
    <row r="1164" spans="1:5" x14ac:dyDescent="0.2">
      <c r="A1164">
        <v>4</v>
      </c>
      <c r="B1164" t="s">
        <v>32</v>
      </c>
      <c r="C1164">
        <v>0</v>
      </c>
      <c r="D1164">
        <v>4</v>
      </c>
      <c r="E1164" t="str">
        <f t="shared" si="18"/>
        <v>OlivierN92/4/4/0</v>
      </c>
    </row>
    <row r="1165" spans="1:5" x14ac:dyDescent="0.2">
      <c r="A1165">
        <v>5</v>
      </c>
      <c r="B1165" t="s">
        <v>6</v>
      </c>
      <c r="C1165">
        <v>0</v>
      </c>
      <c r="D1165">
        <v>2</v>
      </c>
      <c r="E1165" t="str">
        <f t="shared" si="18"/>
        <v>Pyja/2/5/0</v>
      </c>
    </row>
    <row r="1166" spans="1:5" x14ac:dyDescent="0.2">
      <c r="A1166">
        <v>6</v>
      </c>
      <c r="B1166" t="s">
        <v>21</v>
      </c>
      <c r="C1166">
        <v>0</v>
      </c>
      <c r="D1166">
        <v>1</v>
      </c>
      <c r="E1166" t="str">
        <f t="shared" si="18"/>
        <v>Carmin/1/6/0</v>
      </c>
    </row>
    <row r="1167" spans="1:5" x14ac:dyDescent="0.2">
      <c r="A1167">
        <v>1</v>
      </c>
      <c r="B1167" t="s">
        <v>26</v>
      </c>
      <c r="C1167">
        <v>2</v>
      </c>
      <c r="D1167">
        <v>16</v>
      </c>
      <c r="E1167" t="str">
        <f t="shared" si="18"/>
        <v>LOSOGRE/16/1/2</v>
      </c>
    </row>
    <row r="1168" spans="1:5" x14ac:dyDescent="0.2">
      <c r="A1168">
        <v>2</v>
      </c>
      <c r="B1168" t="s">
        <v>55</v>
      </c>
      <c r="C1168">
        <v>1</v>
      </c>
      <c r="D1168">
        <v>12</v>
      </c>
      <c r="E1168" t="str">
        <f t="shared" si="18"/>
        <v>Bounette/12/2/1</v>
      </c>
    </row>
    <row r="1169" spans="1:5" x14ac:dyDescent="0.2">
      <c r="A1169">
        <v>3</v>
      </c>
      <c r="B1169" t="s">
        <v>67</v>
      </c>
      <c r="C1169">
        <v>0</v>
      </c>
      <c r="D1169">
        <v>8</v>
      </c>
      <c r="E1169" t="str">
        <f t="shared" si="18"/>
        <v>Jackiechoune/8/3/0</v>
      </c>
    </row>
    <row r="1170" spans="1:5" x14ac:dyDescent="0.2">
      <c r="A1170">
        <v>4</v>
      </c>
      <c r="B1170" t="s">
        <v>50</v>
      </c>
      <c r="C1170">
        <v>1</v>
      </c>
      <c r="D1170">
        <v>4</v>
      </c>
      <c r="E1170" t="str">
        <f t="shared" si="18"/>
        <v>MLADENGO/4/4/1</v>
      </c>
    </row>
    <row r="1171" spans="1:5" x14ac:dyDescent="0.2">
      <c r="A1171">
        <v>5</v>
      </c>
      <c r="B1171" t="s">
        <v>76</v>
      </c>
      <c r="C1171">
        <v>1</v>
      </c>
      <c r="D1171">
        <v>2</v>
      </c>
      <c r="E1171" t="str">
        <f t="shared" si="18"/>
        <v>Comment2/2/5/1</v>
      </c>
    </row>
    <row r="1172" spans="1:5" x14ac:dyDescent="0.2">
      <c r="A1172">
        <v>6</v>
      </c>
      <c r="B1172" t="s">
        <v>8</v>
      </c>
      <c r="C1172">
        <v>0</v>
      </c>
      <c r="D1172">
        <v>1</v>
      </c>
      <c r="E1172" t="str">
        <f t="shared" si="18"/>
        <v>Maxime/1/6/0</v>
      </c>
    </row>
    <row r="1173" spans="1:5" x14ac:dyDescent="0.2">
      <c r="A1173">
        <v>1</v>
      </c>
      <c r="B1173" t="s">
        <v>45</v>
      </c>
      <c r="C1173">
        <v>5</v>
      </c>
      <c r="D1173">
        <v>16</v>
      </c>
      <c r="E1173" t="str">
        <f t="shared" si="18"/>
        <v>yaltar/16/1/5</v>
      </c>
    </row>
    <row r="1174" spans="1:5" x14ac:dyDescent="0.2">
      <c r="A1174">
        <v>2</v>
      </c>
      <c r="B1174" t="s">
        <v>31</v>
      </c>
      <c r="C1174">
        <v>0</v>
      </c>
      <c r="D1174">
        <v>12</v>
      </c>
      <c r="E1174" t="str">
        <f t="shared" si="18"/>
        <v>CHRIS92340/12/2/0</v>
      </c>
    </row>
    <row r="1175" spans="1:5" x14ac:dyDescent="0.2">
      <c r="A1175">
        <v>3</v>
      </c>
      <c r="B1175" t="s">
        <v>102</v>
      </c>
      <c r="C1175">
        <v>0</v>
      </c>
      <c r="D1175">
        <v>8</v>
      </c>
      <c r="E1175" t="str">
        <f t="shared" si="18"/>
        <v>Doudoululu/8/3/0</v>
      </c>
    </row>
    <row r="1176" spans="1:5" x14ac:dyDescent="0.2">
      <c r="A1176">
        <v>4</v>
      </c>
      <c r="B1176" t="s">
        <v>52</v>
      </c>
      <c r="C1176">
        <v>0</v>
      </c>
      <c r="D1176">
        <v>4</v>
      </c>
      <c r="E1176" t="str">
        <f t="shared" si="18"/>
        <v>Coach Pepito/4/4/0</v>
      </c>
    </row>
    <row r="1177" spans="1:5" x14ac:dyDescent="0.2">
      <c r="A1177">
        <v>5</v>
      </c>
      <c r="B1177" t="s">
        <v>12</v>
      </c>
      <c r="C1177">
        <v>0</v>
      </c>
      <c r="D1177">
        <v>2</v>
      </c>
      <c r="E1177" t="str">
        <f t="shared" si="18"/>
        <v>Gnak/2/5/0</v>
      </c>
    </row>
    <row r="1178" spans="1:5" x14ac:dyDescent="0.2">
      <c r="A1178">
        <v>6</v>
      </c>
      <c r="B1178" t="s">
        <v>42</v>
      </c>
      <c r="C1178">
        <v>0</v>
      </c>
      <c r="D1178">
        <v>1</v>
      </c>
      <c r="E1178" t="str">
        <f t="shared" si="18"/>
        <v>Claptou/1/6/0</v>
      </c>
    </row>
    <row r="1179" spans="1:5" x14ac:dyDescent="0.2">
      <c r="A1179">
        <v>1</v>
      </c>
      <c r="B1179" t="s">
        <v>73</v>
      </c>
      <c r="C1179">
        <v>4</v>
      </c>
      <c r="D1179">
        <v>15</v>
      </c>
      <c r="E1179" t="str">
        <f t="shared" si="18"/>
        <v>Flem/15/1/4</v>
      </c>
    </row>
    <row r="1180" spans="1:5" x14ac:dyDescent="0.2">
      <c r="A1180">
        <v>2</v>
      </c>
      <c r="B1180" t="s">
        <v>46</v>
      </c>
      <c r="C1180">
        <v>0</v>
      </c>
      <c r="D1180">
        <v>11</v>
      </c>
      <c r="E1180" t="str">
        <f t="shared" si="18"/>
        <v>Jérôme/11/2/0</v>
      </c>
    </row>
    <row r="1181" spans="1:5" x14ac:dyDescent="0.2">
      <c r="A1181">
        <v>3</v>
      </c>
      <c r="B1181" t="s">
        <v>65</v>
      </c>
      <c r="C1181">
        <v>0</v>
      </c>
      <c r="D1181">
        <v>7</v>
      </c>
      <c r="E1181" t="str">
        <f t="shared" si="18"/>
        <v>Ripolin/7/3/0</v>
      </c>
    </row>
    <row r="1182" spans="1:5" x14ac:dyDescent="0.2">
      <c r="A1182">
        <v>4</v>
      </c>
      <c r="B1182" t="s">
        <v>18</v>
      </c>
      <c r="C1182">
        <v>0</v>
      </c>
      <c r="D1182">
        <v>3</v>
      </c>
      <c r="E1182" t="str">
        <f t="shared" si="18"/>
        <v>MAMS/3/4/0</v>
      </c>
    </row>
    <row r="1183" spans="1:5" x14ac:dyDescent="0.2">
      <c r="A1183">
        <v>5</v>
      </c>
      <c r="B1183" t="s">
        <v>103</v>
      </c>
      <c r="C1183">
        <v>0</v>
      </c>
      <c r="D1183">
        <v>1</v>
      </c>
      <c r="E1183" t="str">
        <f t="shared" si="18"/>
        <v>zzav/1/5/0</v>
      </c>
    </row>
    <row r="1184" spans="1:5" x14ac:dyDescent="0.2">
      <c r="A1184">
        <v>1</v>
      </c>
      <c r="B1184" t="s">
        <v>68</v>
      </c>
      <c r="C1184">
        <v>2</v>
      </c>
      <c r="D1184">
        <v>16</v>
      </c>
      <c r="E1184" t="str">
        <f t="shared" si="18"/>
        <v>zubbaz/16/1/2</v>
      </c>
    </row>
    <row r="1185" spans="1:5" x14ac:dyDescent="0.2">
      <c r="A1185">
        <v>2</v>
      </c>
      <c r="B1185" t="s">
        <v>14</v>
      </c>
      <c r="C1185">
        <v>2</v>
      </c>
      <c r="D1185">
        <v>12</v>
      </c>
      <c r="E1185" t="str">
        <f t="shared" si="18"/>
        <v>Ramm/12/2/2</v>
      </c>
    </row>
    <row r="1186" spans="1:5" x14ac:dyDescent="0.2">
      <c r="A1186">
        <v>3</v>
      </c>
      <c r="B1186" t="s">
        <v>61</v>
      </c>
      <c r="C1186">
        <v>1</v>
      </c>
      <c r="D1186">
        <v>8</v>
      </c>
      <c r="E1186" t="str">
        <f t="shared" si="18"/>
        <v>Kri-lin/8/3/1</v>
      </c>
    </row>
    <row r="1187" spans="1:5" x14ac:dyDescent="0.2">
      <c r="A1187">
        <v>4</v>
      </c>
      <c r="B1187" t="s">
        <v>75</v>
      </c>
      <c r="C1187">
        <v>0</v>
      </c>
      <c r="D1187">
        <v>4</v>
      </c>
      <c r="E1187" t="str">
        <f t="shared" si="18"/>
        <v>Michelbey/4/4/0</v>
      </c>
    </row>
    <row r="1188" spans="1:5" x14ac:dyDescent="0.2">
      <c r="A1188">
        <v>5</v>
      </c>
      <c r="B1188" t="s">
        <v>54</v>
      </c>
      <c r="C1188">
        <v>0</v>
      </c>
      <c r="D1188">
        <v>2</v>
      </c>
      <c r="E1188" t="str">
        <f t="shared" si="18"/>
        <v>Salsamanu/2/5/0</v>
      </c>
    </row>
    <row r="1189" spans="1:5" x14ac:dyDescent="0.2">
      <c r="A1189">
        <v>6</v>
      </c>
      <c r="B1189" t="s">
        <v>66</v>
      </c>
      <c r="C1189">
        <v>0</v>
      </c>
      <c r="D1189">
        <v>1</v>
      </c>
      <c r="E1189" t="str">
        <f t="shared" si="18"/>
        <v>Ad Vitam/1/6/0</v>
      </c>
    </row>
    <row r="1190" spans="1:5" x14ac:dyDescent="0.2">
      <c r="A1190">
        <v>1</v>
      </c>
      <c r="B1190" t="s">
        <v>59</v>
      </c>
      <c r="C1190">
        <v>3</v>
      </c>
      <c r="D1190">
        <v>16</v>
      </c>
      <c r="E1190" t="str">
        <f t="shared" si="18"/>
        <v>YooooDA/16/1/3</v>
      </c>
    </row>
    <row r="1191" spans="1:5" x14ac:dyDescent="0.2">
      <c r="A1191">
        <v>2</v>
      </c>
      <c r="B1191" t="s">
        <v>26</v>
      </c>
      <c r="C1191">
        <v>0</v>
      </c>
      <c r="D1191">
        <v>12</v>
      </c>
      <c r="E1191" t="str">
        <f t="shared" si="18"/>
        <v>LOSOGRE/12/2/0</v>
      </c>
    </row>
    <row r="1192" spans="1:5" x14ac:dyDescent="0.2">
      <c r="A1192">
        <v>3</v>
      </c>
      <c r="B1192" t="s">
        <v>66</v>
      </c>
      <c r="C1192">
        <v>2</v>
      </c>
      <c r="D1192">
        <v>8</v>
      </c>
      <c r="E1192" t="str">
        <f t="shared" si="18"/>
        <v>Ad Vitam/8/3/2</v>
      </c>
    </row>
    <row r="1193" spans="1:5" x14ac:dyDescent="0.2">
      <c r="A1193">
        <v>4</v>
      </c>
      <c r="B1193" t="s">
        <v>52</v>
      </c>
      <c r="C1193">
        <v>0</v>
      </c>
      <c r="D1193">
        <v>4</v>
      </c>
      <c r="E1193" t="str">
        <f t="shared" si="18"/>
        <v>Coach Pepito/4/4/0</v>
      </c>
    </row>
    <row r="1194" spans="1:5" x14ac:dyDescent="0.2">
      <c r="A1194">
        <v>5</v>
      </c>
      <c r="B1194" t="s">
        <v>12</v>
      </c>
      <c r="C1194">
        <v>0</v>
      </c>
      <c r="D1194">
        <v>2</v>
      </c>
      <c r="E1194" t="str">
        <f t="shared" si="18"/>
        <v>Gnak/2/5/0</v>
      </c>
    </row>
    <row r="1195" spans="1:5" x14ac:dyDescent="0.2">
      <c r="A1195">
        <v>6</v>
      </c>
      <c r="B1195" t="s">
        <v>65</v>
      </c>
      <c r="C1195">
        <v>0</v>
      </c>
      <c r="D1195">
        <v>1</v>
      </c>
      <c r="E1195" t="str">
        <f t="shared" si="18"/>
        <v>Ripolin/1/6/0</v>
      </c>
    </row>
    <row r="1196" spans="1:5" x14ac:dyDescent="0.2">
      <c r="A1196">
        <v>1</v>
      </c>
      <c r="B1196" t="s">
        <v>39</v>
      </c>
      <c r="C1196">
        <v>2</v>
      </c>
      <c r="D1196">
        <v>16</v>
      </c>
      <c r="E1196" t="str">
        <f t="shared" si="18"/>
        <v>kheops/16/1/2</v>
      </c>
    </row>
    <row r="1197" spans="1:5" x14ac:dyDescent="0.2">
      <c r="A1197">
        <v>2</v>
      </c>
      <c r="B1197" t="s">
        <v>43</v>
      </c>
      <c r="C1197">
        <v>3</v>
      </c>
      <c r="D1197">
        <v>12</v>
      </c>
      <c r="E1197" t="str">
        <f t="shared" si="18"/>
        <v>KassTwo/12/2/3</v>
      </c>
    </row>
    <row r="1198" spans="1:5" x14ac:dyDescent="0.2">
      <c r="A1198">
        <v>3</v>
      </c>
      <c r="B1198" t="s">
        <v>25</v>
      </c>
      <c r="C1198">
        <v>0</v>
      </c>
      <c r="D1198">
        <v>8</v>
      </c>
      <c r="E1198" t="str">
        <f t="shared" si="18"/>
        <v>Claudius/8/3/0</v>
      </c>
    </row>
    <row r="1199" spans="1:5" x14ac:dyDescent="0.2">
      <c r="A1199">
        <v>4</v>
      </c>
      <c r="B1199" t="s">
        <v>35</v>
      </c>
      <c r="C1199">
        <v>0</v>
      </c>
      <c r="D1199">
        <v>4</v>
      </c>
      <c r="E1199" t="str">
        <f t="shared" si="18"/>
        <v>JeanMichelTiming/4/4/0</v>
      </c>
    </row>
    <row r="1200" spans="1:5" x14ac:dyDescent="0.2">
      <c r="A1200">
        <v>5</v>
      </c>
      <c r="B1200" t="s">
        <v>6</v>
      </c>
      <c r="C1200">
        <v>0</v>
      </c>
      <c r="D1200">
        <v>2</v>
      </c>
      <c r="E1200" t="str">
        <f t="shared" si="18"/>
        <v>Pyja/2/5/0</v>
      </c>
    </row>
    <row r="1201" spans="1:5" x14ac:dyDescent="0.2">
      <c r="A1201">
        <v>6</v>
      </c>
      <c r="B1201" t="s">
        <v>29</v>
      </c>
      <c r="C1201">
        <v>0</v>
      </c>
      <c r="D1201">
        <v>1</v>
      </c>
      <c r="E1201" t="str">
        <f t="shared" si="18"/>
        <v>NoDoubt/1/6/0</v>
      </c>
    </row>
    <row r="1202" spans="1:5" x14ac:dyDescent="0.2">
      <c r="A1202">
        <v>1</v>
      </c>
      <c r="B1202" t="s">
        <v>73</v>
      </c>
      <c r="C1202">
        <v>3</v>
      </c>
      <c r="D1202">
        <v>16</v>
      </c>
      <c r="E1202" t="str">
        <f t="shared" si="18"/>
        <v>Flem/16/1/3</v>
      </c>
    </row>
    <row r="1203" spans="1:5" x14ac:dyDescent="0.2">
      <c r="A1203">
        <v>2</v>
      </c>
      <c r="B1203" t="s">
        <v>32</v>
      </c>
      <c r="C1203">
        <v>1</v>
      </c>
      <c r="D1203">
        <v>12</v>
      </c>
      <c r="E1203" t="str">
        <f t="shared" si="18"/>
        <v>OlivierN92/12/2/1</v>
      </c>
    </row>
    <row r="1204" spans="1:5" x14ac:dyDescent="0.2">
      <c r="A1204">
        <v>3</v>
      </c>
      <c r="B1204" t="s">
        <v>75</v>
      </c>
      <c r="C1204">
        <v>0</v>
      </c>
      <c r="D1204">
        <v>8</v>
      </c>
      <c r="E1204" t="str">
        <f t="shared" si="18"/>
        <v>Michelbey/8/3/0</v>
      </c>
    </row>
    <row r="1205" spans="1:5" x14ac:dyDescent="0.2">
      <c r="A1205">
        <v>4</v>
      </c>
      <c r="B1205" t="s">
        <v>15</v>
      </c>
      <c r="C1205">
        <v>1</v>
      </c>
      <c r="D1205">
        <v>4</v>
      </c>
      <c r="E1205" t="str">
        <f t="shared" si="18"/>
        <v>LAAtof/4/4/1</v>
      </c>
    </row>
    <row r="1206" spans="1:5" x14ac:dyDescent="0.2">
      <c r="A1206">
        <v>5</v>
      </c>
      <c r="B1206" t="s">
        <v>74</v>
      </c>
      <c r="C1206">
        <v>0</v>
      </c>
      <c r="D1206">
        <v>2</v>
      </c>
      <c r="E1206" t="str">
        <f t="shared" si="18"/>
        <v>PatB/2/5/0</v>
      </c>
    </row>
    <row r="1207" spans="1:5" x14ac:dyDescent="0.2">
      <c r="A1207">
        <v>6</v>
      </c>
      <c r="B1207" t="s">
        <v>61</v>
      </c>
      <c r="C1207">
        <v>0</v>
      </c>
      <c r="D1207">
        <v>1</v>
      </c>
      <c r="E1207" t="str">
        <f t="shared" si="18"/>
        <v>Kri-lin/1/6/0</v>
      </c>
    </row>
    <row r="1208" spans="1:5" x14ac:dyDescent="0.2">
      <c r="A1208">
        <v>1</v>
      </c>
      <c r="B1208" t="s">
        <v>14</v>
      </c>
      <c r="C1208">
        <v>2</v>
      </c>
      <c r="D1208">
        <v>16</v>
      </c>
      <c r="E1208" t="str">
        <f t="shared" si="18"/>
        <v>Ramm/16/1/2</v>
      </c>
    </row>
    <row r="1209" spans="1:5" x14ac:dyDescent="0.2">
      <c r="A1209">
        <v>2</v>
      </c>
      <c r="B1209" t="s">
        <v>68</v>
      </c>
      <c r="C1209">
        <v>1</v>
      </c>
      <c r="D1209">
        <v>12</v>
      </c>
      <c r="E1209" t="str">
        <f t="shared" si="18"/>
        <v>zubbaz/12/2/1</v>
      </c>
    </row>
    <row r="1210" spans="1:5" x14ac:dyDescent="0.2">
      <c r="A1210">
        <v>3</v>
      </c>
      <c r="B1210" t="s">
        <v>40</v>
      </c>
      <c r="C1210">
        <v>2</v>
      </c>
      <c r="D1210">
        <v>8</v>
      </c>
      <c r="E1210" t="str">
        <f t="shared" si="18"/>
        <v>Lén@/8/3/2</v>
      </c>
    </row>
    <row r="1211" spans="1:5" x14ac:dyDescent="0.2">
      <c r="A1211">
        <v>4</v>
      </c>
      <c r="B1211" t="s">
        <v>21</v>
      </c>
      <c r="C1211">
        <v>0</v>
      </c>
      <c r="D1211">
        <v>4</v>
      </c>
      <c r="E1211" t="str">
        <f t="shared" si="18"/>
        <v>Carmin/4/4/0</v>
      </c>
    </row>
    <row r="1212" spans="1:5" x14ac:dyDescent="0.2">
      <c r="A1212">
        <v>5</v>
      </c>
      <c r="B1212" t="s">
        <v>31</v>
      </c>
      <c r="C1212">
        <v>0</v>
      </c>
      <c r="D1212">
        <v>2</v>
      </c>
      <c r="E1212" t="str">
        <f t="shared" si="18"/>
        <v>CHRIS92340/2/5/0</v>
      </c>
    </row>
    <row r="1213" spans="1:5" x14ac:dyDescent="0.2">
      <c r="A1213">
        <v>6</v>
      </c>
      <c r="B1213" t="s">
        <v>87</v>
      </c>
      <c r="C1213">
        <v>0</v>
      </c>
      <c r="D1213">
        <v>1</v>
      </c>
      <c r="E1213" t="str">
        <f t="shared" si="18"/>
        <v>Proph@ne/1/6/0</v>
      </c>
    </row>
    <row r="1214" spans="1:5" x14ac:dyDescent="0.2">
      <c r="A1214">
        <v>1</v>
      </c>
      <c r="B1214" t="s">
        <v>9</v>
      </c>
      <c r="C1214">
        <v>4</v>
      </c>
      <c r="D1214">
        <v>16</v>
      </c>
      <c r="E1214" t="str">
        <f t="shared" si="18"/>
        <v>K1/16/1/4</v>
      </c>
    </row>
    <row r="1215" spans="1:5" x14ac:dyDescent="0.2">
      <c r="A1215">
        <v>2</v>
      </c>
      <c r="B1215" t="s">
        <v>18</v>
      </c>
      <c r="C1215">
        <v>0</v>
      </c>
      <c r="D1215">
        <v>12</v>
      </c>
      <c r="E1215" t="str">
        <f t="shared" si="18"/>
        <v>MAMS/12/2/0</v>
      </c>
    </row>
    <row r="1216" spans="1:5" x14ac:dyDescent="0.2">
      <c r="A1216">
        <v>3</v>
      </c>
      <c r="B1216" t="s">
        <v>345</v>
      </c>
      <c r="C1216">
        <v>0</v>
      </c>
      <c r="D1216">
        <v>8</v>
      </c>
      <c r="E1216" t="str">
        <f t="shared" si="18"/>
        <v>Thibaultp75/8/3/0</v>
      </c>
    </row>
    <row r="1217" spans="1:5" x14ac:dyDescent="0.2">
      <c r="A1217">
        <v>4</v>
      </c>
      <c r="B1217" t="s">
        <v>55</v>
      </c>
      <c r="C1217">
        <v>1</v>
      </c>
      <c r="D1217">
        <v>4</v>
      </c>
      <c r="E1217" t="str">
        <f t="shared" ref="E1217:E1280" si="19">B1217&amp;"/"&amp;D1217&amp;"/"&amp;A1217&amp;"/"&amp;C1217</f>
        <v>Bounette/4/4/1</v>
      </c>
    </row>
    <row r="1218" spans="1:5" x14ac:dyDescent="0.2">
      <c r="A1218">
        <v>5</v>
      </c>
      <c r="B1218" t="s">
        <v>60</v>
      </c>
      <c r="C1218">
        <v>0</v>
      </c>
      <c r="D1218">
        <v>2</v>
      </c>
      <c r="E1218" t="str">
        <f t="shared" si="19"/>
        <v>zizou/2/5/0</v>
      </c>
    </row>
    <row r="1219" spans="1:5" x14ac:dyDescent="0.2">
      <c r="A1219">
        <v>6</v>
      </c>
      <c r="B1219" t="s">
        <v>42</v>
      </c>
      <c r="C1219">
        <v>0</v>
      </c>
      <c r="D1219">
        <v>1</v>
      </c>
      <c r="E1219" t="str">
        <f t="shared" si="19"/>
        <v>Claptou/1/6/0</v>
      </c>
    </row>
    <row r="1220" spans="1:5" x14ac:dyDescent="0.2">
      <c r="A1220">
        <v>1</v>
      </c>
      <c r="B1220" t="s">
        <v>54</v>
      </c>
      <c r="C1220">
        <v>1</v>
      </c>
      <c r="D1220">
        <v>17</v>
      </c>
      <c r="E1220" t="str">
        <f t="shared" si="19"/>
        <v>Salsamanu/17/1/1</v>
      </c>
    </row>
    <row r="1221" spans="1:5" x14ac:dyDescent="0.2">
      <c r="A1221">
        <v>2</v>
      </c>
      <c r="B1221" t="s">
        <v>41</v>
      </c>
      <c r="C1221">
        <v>3</v>
      </c>
      <c r="D1221">
        <v>13</v>
      </c>
      <c r="E1221" t="str">
        <f t="shared" si="19"/>
        <v>gibouille/13/2/3</v>
      </c>
    </row>
    <row r="1222" spans="1:5" x14ac:dyDescent="0.2">
      <c r="A1222">
        <v>3</v>
      </c>
      <c r="B1222" t="s">
        <v>47</v>
      </c>
      <c r="C1222">
        <v>2</v>
      </c>
      <c r="D1222">
        <v>9</v>
      </c>
      <c r="E1222" t="str">
        <f t="shared" si="19"/>
        <v>Logan/9/3/2</v>
      </c>
    </row>
    <row r="1223" spans="1:5" x14ac:dyDescent="0.2">
      <c r="A1223">
        <v>4</v>
      </c>
      <c r="B1223" t="s">
        <v>33</v>
      </c>
      <c r="C1223">
        <v>0</v>
      </c>
      <c r="D1223">
        <v>5</v>
      </c>
      <c r="E1223" t="str">
        <f t="shared" si="19"/>
        <v>Ptit Savoyard/5/4/0</v>
      </c>
    </row>
    <row r="1224" spans="1:5" x14ac:dyDescent="0.2">
      <c r="A1224">
        <v>5</v>
      </c>
      <c r="B1224" t="s">
        <v>92</v>
      </c>
      <c r="C1224">
        <v>0</v>
      </c>
      <c r="D1224">
        <v>3</v>
      </c>
      <c r="E1224" t="str">
        <f t="shared" si="19"/>
        <v>Jacks&amp;Five/3/5/0</v>
      </c>
    </row>
    <row r="1225" spans="1:5" x14ac:dyDescent="0.2">
      <c r="A1225">
        <v>6</v>
      </c>
      <c r="B1225" t="s">
        <v>45</v>
      </c>
      <c r="C1225">
        <v>0</v>
      </c>
      <c r="D1225">
        <v>2</v>
      </c>
      <c r="E1225" t="str">
        <f t="shared" si="19"/>
        <v>yaltar/2/6/0</v>
      </c>
    </row>
    <row r="1226" spans="1:5" x14ac:dyDescent="0.2">
      <c r="A1226">
        <v>7</v>
      </c>
      <c r="B1226" t="s">
        <v>22</v>
      </c>
      <c r="C1226">
        <v>0</v>
      </c>
      <c r="D1226">
        <v>1</v>
      </c>
      <c r="E1226" t="str">
        <f t="shared" si="19"/>
        <v>Dart 45/1/7/0</v>
      </c>
    </row>
    <row r="1227" spans="1:5" x14ac:dyDescent="0.2">
      <c r="A1227">
        <v>1</v>
      </c>
      <c r="B1227" t="s">
        <v>305</v>
      </c>
      <c r="C1227">
        <v>3</v>
      </c>
      <c r="D1227">
        <v>16</v>
      </c>
      <c r="E1227" t="str">
        <f t="shared" si="19"/>
        <v>flowww/16/1/3</v>
      </c>
    </row>
    <row r="1228" spans="1:5" x14ac:dyDescent="0.2">
      <c r="A1228">
        <v>2</v>
      </c>
      <c r="B1228" t="s">
        <v>76</v>
      </c>
      <c r="C1228">
        <v>1</v>
      </c>
      <c r="D1228">
        <v>12</v>
      </c>
      <c r="E1228" t="str">
        <f t="shared" si="19"/>
        <v>Comment2/12/2/1</v>
      </c>
    </row>
    <row r="1229" spans="1:5" x14ac:dyDescent="0.2">
      <c r="A1229">
        <v>3</v>
      </c>
      <c r="B1229" t="s">
        <v>101</v>
      </c>
      <c r="C1229">
        <v>1</v>
      </c>
      <c r="D1229">
        <v>8</v>
      </c>
      <c r="E1229" t="str">
        <f t="shared" si="19"/>
        <v>ChrisFrankfurt/8/3/1</v>
      </c>
    </row>
    <row r="1230" spans="1:5" x14ac:dyDescent="0.2">
      <c r="A1230">
        <v>4</v>
      </c>
      <c r="B1230" t="s">
        <v>19</v>
      </c>
      <c r="C1230">
        <v>0</v>
      </c>
      <c r="D1230">
        <v>4</v>
      </c>
      <c r="E1230" t="str">
        <f t="shared" si="19"/>
        <v>Giobeck/4/4/0</v>
      </c>
    </row>
    <row r="1231" spans="1:5" x14ac:dyDescent="0.2">
      <c r="A1231">
        <v>5</v>
      </c>
      <c r="B1231" t="s">
        <v>50</v>
      </c>
      <c r="C1231">
        <v>0</v>
      </c>
      <c r="D1231">
        <v>2</v>
      </c>
      <c r="E1231" t="str">
        <f t="shared" si="19"/>
        <v>MLADENGO/2/5/0</v>
      </c>
    </row>
    <row r="1232" spans="1:5" x14ac:dyDescent="0.2">
      <c r="A1232">
        <v>6</v>
      </c>
      <c r="B1232" t="s">
        <v>69</v>
      </c>
      <c r="C1232">
        <v>0</v>
      </c>
      <c r="D1232">
        <v>1</v>
      </c>
      <c r="E1232" t="str">
        <f t="shared" si="19"/>
        <v>Catherine/1/6/0</v>
      </c>
    </row>
    <row r="1233" spans="1:5" x14ac:dyDescent="0.2">
      <c r="A1233">
        <v>1</v>
      </c>
      <c r="B1233" t="s">
        <v>32</v>
      </c>
      <c r="C1233">
        <v>3</v>
      </c>
      <c r="D1233">
        <v>16</v>
      </c>
      <c r="E1233" t="str">
        <f t="shared" si="19"/>
        <v>OlivierN92/16/1/3</v>
      </c>
    </row>
    <row r="1234" spans="1:5" x14ac:dyDescent="0.2">
      <c r="A1234">
        <v>2</v>
      </c>
      <c r="B1234" t="s">
        <v>18</v>
      </c>
      <c r="C1234">
        <v>1</v>
      </c>
      <c r="D1234">
        <v>12</v>
      </c>
      <c r="E1234" t="str">
        <f t="shared" si="19"/>
        <v>MAMS/12/2/1</v>
      </c>
    </row>
    <row r="1235" spans="1:5" x14ac:dyDescent="0.2">
      <c r="A1235">
        <v>3</v>
      </c>
      <c r="B1235" t="s">
        <v>69</v>
      </c>
      <c r="C1235">
        <v>1</v>
      </c>
      <c r="D1235">
        <v>8</v>
      </c>
      <c r="E1235" t="str">
        <f t="shared" si="19"/>
        <v>Catherine/8/3/1</v>
      </c>
    </row>
    <row r="1236" spans="1:5" x14ac:dyDescent="0.2">
      <c r="A1236">
        <v>4</v>
      </c>
      <c r="B1236" t="s">
        <v>47</v>
      </c>
      <c r="C1236">
        <v>0</v>
      </c>
      <c r="D1236">
        <v>4</v>
      </c>
      <c r="E1236" t="str">
        <f t="shared" si="19"/>
        <v>Logan/4/4/0</v>
      </c>
    </row>
    <row r="1237" spans="1:5" x14ac:dyDescent="0.2">
      <c r="A1237">
        <v>5</v>
      </c>
      <c r="B1237" t="s">
        <v>12</v>
      </c>
      <c r="C1237">
        <v>0</v>
      </c>
      <c r="D1237">
        <v>2</v>
      </c>
      <c r="E1237" t="str">
        <f t="shared" si="19"/>
        <v>Gnak/2/5/0</v>
      </c>
    </row>
    <row r="1238" spans="1:5" x14ac:dyDescent="0.2">
      <c r="A1238">
        <v>6</v>
      </c>
      <c r="B1238" t="s">
        <v>40</v>
      </c>
      <c r="C1238">
        <v>0</v>
      </c>
      <c r="D1238">
        <v>1</v>
      </c>
      <c r="E1238" t="str">
        <f t="shared" si="19"/>
        <v>Lén@/1/6/0</v>
      </c>
    </row>
    <row r="1239" spans="1:5" x14ac:dyDescent="0.2">
      <c r="A1239">
        <v>1</v>
      </c>
      <c r="B1239" t="s">
        <v>31</v>
      </c>
      <c r="C1239">
        <v>2</v>
      </c>
      <c r="D1239">
        <v>16</v>
      </c>
      <c r="E1239" t="str">
        <f t="shared" si="19"/>
        <v>CHRIS92340/16/1/2</v>
      </c>
    </row>
    <row r="1240" spans="1:5" x14ac:dyDescent="0.2">
      <c r="A1240">
        <v>2</v>
      </c>
      <c r="B1240" t="s">
        <v>59</v>
      </c>
      <c r="C1240">
        <v>2</v>
      </c>
      <c r="D1240">
        <v>12</v>
      </c>
      <c r="E1240" t="str">
        <f t="shared" si="19"/>
        <v>YooooDA/12/2/2</v>
      </c>
    </row>
    <row r="1241" spans="1:5" x14ac:dyDescent="0.2">
      <c r="A1241">
        <v>3</v>
      </c>
      <c r="B1241" t="s">
        <v>76</v>
      </c>
      <c r="C1241">
        <v>1</v>
      </c>
      <c r="D1241">
        <v>8</v>
      </c>
      <c r="E1241" t="str">
        <f t="shared" si="19"/>
        <v>Comment2/8/3/1</v>
      </c>
    </row>
    <row r="1242" spans="1:5" x14ac:dyDescent="0.2">
      <c r="A1242">
        <v>4</v>
      </c>
      <c r="B1242" t="s">
        <v>15</v>
      </c>
      <c r="C1242">
        <v>0</v>
      </c>
      <c r="D1242">
        <v>4</v>
      </c>
      <c r="E1242" t="str">
        <f t="shared" si="19"/>
        <v>LAAtof/4/4/0</v>
      </c>
    </row>
    <row r="1243" spans="1:5" x14ac:dyDescent="0.2">
      <c r="A1243">
        <v>5</v>
      </c>
      <c r="B1243" t="s">
        <v>60</v>
      </c>
      <c r="C1243">
        <v>0</v>
      </c>
      <c r="D1243">
        <v>2</v>
      </c>
      <c r="E1243" t="str">
        <f t="shared" si="19"/>
        <v>zizou/2/5/0</v>
      </c>
    </row>
    <row r="1244" spans="1:5" x14ac:dyDescent="0.2">
      <c r="A1244">
        <v>6</v>
      </c>
      <c r="B1244" t="s">
        <v>73</v>
      </c>
      <c r="C1244">
        <v>0</v>
      </c>
      <c r="D1244">
        <v>1</v>
      </c>
      <c r="E1244" t="str">
        <f t="shared" si="19"/>
        <v>Flem/1/6/0</v>
      </c>
    </row>
    <row r="1245" spans="1:5" x14ac:dyDescent="0.2">
      <c r="A1245">
        <v>1</v>
      </c>
      <c r="B1245" t="s">
        <v>68</v>
      </c>
      <c r="C1245">
        <v>2</v>
      </c>
      <c r="D1245">
        <v>15</v>
      </c>
      <c r="E1245" t="str">
        <f t="shared" si="19"/>
        <v>zubbaz/15/1/2</v>
      </c>
    </row>
    <row r="1246" spans="1:5" x14ac:dyDescent="0.2">
      <c r="A1246">
        <v>2</v>
      </c>
      <c r="B1246" t="s">
        <v>65</v>
      </c>
      <c r="C1246">
        <v>1</v>
      </c>
      <c r="D1246">
        <v>11</v>
      </c>
      <c r="E1246" t="str">
        <f t="shared" si="19"/>
        <v>Ripolin/11/2/1</v>
      </c>
    </row>
    <row r="1247" spans="1:5" x14ac:dyDescent="0.2">
      <c r="A1247">
        <v>3</v>
      </c>
      <c r="B1247" t="s">
        <v>26</v>
      </c>
      <c r="C1247">
        <v>0</v>
      </c>
      <c r="D1247">
        <v>7</v>
      </c>
      <c r="E1247" t="str">
        <f t="shared" si="19"/>
        <v>LOSOGRE/7/3/0</v>
      </c>
    </row>
    <row r="1248" spans="1:5" x14ac:dyDescent="0.2">
      <c r="A1248">
        <v>4</v>
      </c>
      <c r="B1248" t="s">
        <v>101</v>
      </c>
      <c r="C1248">
        <v>1</v>
      </c>
      <c r="D1248">
        <v>3</v>
      </c>
      <c r="E1248" t="str">
        <f t="shared" si="19"/>
        <v>ChrisFrankfurt/3/4/1</v>
      </c>
    </row>
    <row r="1249" spans="1:5" x14ac:dyDescent="0.2">
      <c r="A1249">
        <v>5</v>
      </c>
      <c r="B1249" t="s">
        <v>14</v>
      </c>
      <c r="C1249">
        <v>0</v>
      </c>
      <c r="D1249">
        <v>1</v>
      </c>
      <c r="E1249" t="str">
        <f t="shared" si="19"/>
        <v>Ramm/1/5/0</v>
      </c>
    </row>
    <row r="1250" spans="1:5" x14ac:dyDescent="0.2">
      <c r="A1250">
        <v>1</v>
      </c>
      <c r="B1250" t="s">
        <v>75</v>
      </c>
      <c r="C1250">
        <v>3</v>
      </c>
      <c r="D1250">
        <v>16</v>
      </c>
      <c r="E1250" t="str">
        <f t="shared" si="19"/>
        <v>Michelbey/16/1/3</v>
      </c>
    </row>
    <row r="1251" spans="1:5" x14ac:dyDescent="0.2">
      <c r="A1251">
        <v>2</v>
      </c>
      <c r="B1251" t="s">
        <v>55</v>
      </c>
      <c r="C1251">
        <v>0</v>
      </c>
      <c r="D1251">
        <v>12</v>
      </c>
      <c r="E1251" t="str">
        <f t="shared" si="19"/>
        <v>Bounette/12/2/0</v>
      </c>
    </row>
    <row r="1252" spans="1:5" x14ac:dyDescent="0.2">
      <c r="A1252">
        <v>3</v>
      </c>
      <c r="B1252" t="s">
        <v>45</v>
      </c>
      <c r="C1252">
        <v>1</v>
      </c>
      <c r="D1252">
        <v>8</v>
      </c>
      <c r="E1252" t="str">
        <f t="shared" si="19"/>
        <v>yaltar/8/3/1</v>
      </c>
    </row>
    <row r="1253" spans="1:5" x14ac:dyDescent="0.2">
      <c r="A1253">
        <v>4</v>
      </c>
      <c r="B1253" t="s">
        <v>8</v>
      </c>
      <c r="C1253">
        <v>1</v>
      </c>
      <c r="D1253">
        <v>4</v>
      </c>
      <c r="E1253" t="str">
        <f t="shared" si="19"/>
        <v>Maxime/4/4/1</v>
      </c>
    </row>
    <row r="1254" spans="1:5" x14ac:dyDescent="0.2">
      <c r="A1254">
        <v>5</v>
      </c>
      <c r="B1254" t="s">
        <v>9</v>
      </c>
      <c r="C1254">
        <v>0</v>
      </c>
      <c r="D1254">
        <v>2</v>
      </c>
      <c r="E1254" t="str">
        <f t="shared" si="19"/>
        <v>K1/2/5/0</v>
      </c>
    </row>
    <row r="1255" spans="1:5" x14ac:dyDescent="0.2">
      <c r="A1255">
        <v>6</v>
      </c>
      <c r="B1255" t="s">
        <v>92</v>
      </c>
      <c r="C1255">
        <v>0</v>
      </c>
      <c r="D1255">
        <v>1</v>
      </c>
      <c r="E1255" t="str">
        <f t="shared" si="19"/>
        <v>Jacks&amp;Five/1/6/0</v>
      </c>
    </row>
    <row r="1256" spans="1:5" x14ac:dyDescent="0.2">
      <c r="A1256">
        <v>1</v>
      </c>
      <c r="B1256" t="s">
        <v>43</v>
      </c>
      <c r="C1256">
        <v>3</v>
      </c>
      <c r="D1256">
        <v>15</v>
      </c>
      <c r="E1256" t="str">
        <f t="shared" si="19"/>
        <v>KassTwo/15/1/3</v>
      </c>
    </row>
    <row r="1257" spans="1:5" x14ac:dyDescent="0.2">
      <c r="A1257">
        <v>2</v>
      </c>
      <c r="B1257" t="s">
        <v>25</v>
      </c>
      <c r="C1257">
        <v>0</v>
      </c>
      <c r="D1257">
        <v>11</v>
      </c>
      <c r="E1257" t="str">
        <f t="shared" si="19"/>
        <v>Claudius/11/2/0</v>
      </c>
    </row>
    <row r="1258" spans="1:5" x14ac:dyDescent="0.2">
      <c r="A1258">
        <v>3</v>
      </c>
      <c r="B1258" t="s">
        <v>345</v>
      </c>
      <c r="C1258">
        <v>1</v>
      </c>
      <c r="D1258">
        <v>7</v>
      </c>
      <c r="E1258" t="str">
        <f t="shared" si="19"/>
        <v>Thibaultp75/7/3/1</v>
      </c>
    </row>
    <row r="1259" spans="1:5" x14ac:dyDescent="0.2">
      <c r="A1259">
        <v>4</v>
      </c>
      <c r="B1259" t="s">
        <v>21</v>
      </c>
      <c r="C1259">
        <v>0</v>
      </c>
      <c r="D1259">
        <v>3</v>
      </c>
      <c r="E1259" t="str">
        <f t="shared" si="19"/>
        <v>Carmin/3/4/0</v>
      </c>
    </row>
    <row r="1260" spans="1:5" x14ac:dyDescent="0.2">
      <c r="A1260">
        <v>5</v>
      </c>
      <c r="B1260" t="s">
        <v>305</v>
      </c>
      <c r="C1260">
        <v>0</v>
      </c>
      <c r="D1260">
        <v>1</v>
      </c>
      <c r="E1260" t="str">
        <f t="shared" si="19"/>
        <v>flowww/1/5/0</v>
      </c>
    </row>
    <row r="1261" spans="1:5" x14ac:dyDescent="0.2">
      <c r="A1261">
        <v>1</v>
      </c>
      <c r="B1261" t="s">
        <v>54</v>
      </c>
      <c r="C1261">
        <v>2</v>
      </c>
      <c r="D1261">
        <v>15</v>
      </c>
      <c r="E1261" t="str">
        <f t="shared" si="19"/>
        <v>Salsamanu/15/1/2</v>
      </c>
    </row>
    <row r="1262" spans="1:5" x14ac:dyDescent="0.2">
      <c r="A1262">
        <v>2</v>
      </c>
      <c r="B1262" t="s">
        <v>6</v>
      </c>
      <c r="C1262">
        <v>2</v>
      </c>
      <c r="D1262">
        <v>11</v>
      </c>
      <c r="E1262" t="str">
        <f t="shared" si="19"/>
        <v>Pyja/11/2/2</v>
      </c>
    </row>
    <row r="1263" spans="1:5" x14ac:dyDescent="0.2">
      <c r="A1263">
        <v>3</v>
      </c>
      <c r="B1263" t="s">
        <v>46</v>
      </c>
      <c r="C1263">
        <v>0</v>
      </c>
      <c r="D1263">
        <v>7</v>
      </c>
      <c r="E1263" t="str">
        <f t="shared" si="19"/>
        <v>Jérôme/7/3/0</v>
      </c>
    </row>
    <row r="1264" spans="1:5" x14ac:dyDescent="0.2">
      <c r="A1264">
        <v>4</v>
      </c>
      <c r="B1264" t="s">
        <v>87</v>
      </c>
      <c r="C1264">
        <v>0</v>
      </c>
      <c r="D1264">
        <v>3</v>
      </c>
      <c r="E1264" t="str">
        <f t="shared" si="19"/>
        <v>Proph@ne/3/4/0</v>
      </c>
    </row>
    <row r="1265" spans="1:5" x14ac:dyDescent="0.2">
      <c r="A1265">
        <v>5</v>
      </c>
      <c r="B1265" t="s">
        <v>74</v>
      </c>
      <c r="C1265">
        <v>0</v>
      </c>
      <c r="D1265">
        <v>1</v>
      </c>
      <c r="E1265" t="str">
        <f t="shared" si="19"/>
        <v>PatB/1/5/0</v>
      </c>
    </row>
    <row r="1266" spans="1:5" x14ac:dyDescent="0.2">
      <c r="A1266">
        <v>1</v>
      </c>
      <c r="B1266" t="s">
        <v>39</v>
      </c>
      <c r="C1266">
        <v>2</v>
      </c>
      <c r="D1266">
        <v>16</v>
      </c>
      <c r="E1266" t="str">
        <f t="shared" si="19"/>
        <v>kheops/16/1/2</v>
      </c>
    </row>
    <row r="1267" spans="1:5" x14ac:dyDescent="0.2">
      <c r="A1267">
        <v>2</v>
      </c>
      <c r="B1267" t="s">
        <v>42</v>
      </c>
      <c r="C1267">
        <v>2</v>
      </c>
      <c r="D1267">
        <v>12</v>
      </c>
      <c r="E1267" t="str">
        <f t="shared" si="19"/>
        <v>Claptou/12/2/2</v>
      </c>
    </row>
    <row r="1268" spans="1:5" x14ac:dyDescent="0.2">
      <c r="A1268">
        <v>3</v>
      </c>
      <c r="B1268" t="s">
        <v>41</v>
      </c>
      <c r="C1268">
        <v>1</v>
      </c>
      <c r="D1268">
        <v>8</v>
      </c>
      <c r="E1268" t="str">
        <f t="shared" si="19"/>
        <v>gibouille/8/3/1</v>
      </c>
    </row>
    <row r="1269" spans="1:5" x14ac:dyDescent="0.2">
      <c r="A1269">
        <v>4</v>
      </c>
      <c r="B1269" t="s">
        <v>50</v>
      </c>
      <c r="C1269">
        <v>0</v>
      </c>
      <c r="D1269">
        <v>4</v>
      </c>
      <c r="E1269" t="str">
        <f t="shared" si="19"/>
        <v>MLADENGO/4/4/0</v>
      </c>
    </row>
    <row r="1270" spans="1:5" x14ac:dyDescent="0.2">
      <c r="A1270">
        <v>5</v>
      </c>
      <c r="B1270" t="s">
        <v>35</v>
      </c>
      <c r="C1270">
        <v>0</v>
      </c>
      <c r="D1270">
        <v>2</v>
      </c>
      <c r="E1270" t="str">
        <f t="shared" si="19"/>
        <v>JeanMichelTiming/2/5/0</v>
      </c>
    </row>
    <row r="1271" spans="1:5" x14ac:dyDescent="0.2">
      <c r="A1271">
        <v>6</v>
      </c>
      <c r="B1271" t="s">
        <v>28</v>
      </c>
      <c r="C1271">
        <v>0</v>
      </c>
      <c r="D1271">
        <v>1</v>
      </c>
      <c r="E1271" t="str">
        <f t="shared" si="19"/>
        <v>sobab/1/6/0</v>
      </c>
    </row>
    <row r="1272" spans="1:5" x14ac:dyDescent="0.2">
      <c r="A1272">
        <v>1</v>
      </c>
      <c r="B1272" t="s">
        <v>68</v>
      </c>
      <c r="C1272">
        <v>5</v>
      </c>
      <c r="D1272">
        <v>17</v>
      </c>
      <c r="E1272" t="str">
        <f t="shared" si="19"/>
        <v>zubbaz/17/1/5</v>
      </c>
    </row>
    <row r="1273" spans="1:5" x14ac:dyDescent="0.2">
      <c r="A1273">
        <v>2</v>
      </c>
      <c r="B1273" t="s">
        <v>50</v>
      </c>
      <c r="C1273">
        <v>0</v>
      </c>
      <c r="D1273">
        <v>13</v>
      </c>
      <c r="E1273" t="str">
        <f t="shared" si="19"/>
        <v>MLADENGO/13/2/0</v>
      </c>
    </row>
    <row r="1274" spans="1:5" x14ac:dyDescent="0.2">
      <c r="A1274">
        <v>3</v>
      </c>
      <c r="B1274" t="s">
        <v>47</v>
      </c>
      <c r="C1274">
        <v>1</v>
      </c>
      <c r="D1274">
        <v>9</v>
      </c>
      <c r="E1274" t="str">
        <f t="shared" si="19"/>
        <v>Logan/9/3/1</v>
      </c>
    </row>
    <row r="1275" spans="1:5" x14ac:dyDescent="0.2">
      <c r="A1275">
        <v>4</v>
      </c>
      <c r="B1275" t="s">
        <v>8</v>
      </c>
      <c r="C1275">
        <v>0</v>
      </c>
      <c r="D1275">
        <v>5</v>
      </c>
      <c r="E1275" t="str">
        <f t="shared" si="19"/>
        <v>Maxime/5/4/0</v>
      </c>
    </row>
    <row r="1276" spans="1:5" x14ac:dyDescent="0.2">
      <c r="A1276">
        <v>5</v>
      </c>
      <c r="B1276" t="s">
        <v>45</v>
      </c>
      <c r="C1276">
        <v>0</v>
      </c>
      <c r="D1276">
        <v>3</v>
      </c>
      <c r="E1276" t="str">
        <f t="shared" si="19"/>
        <v>yaltar/3/5/0</v>
      </c>
    </row>
    <row r="1277" spans="1:5" x14ac:dyDescent="0.2">
      <c r="A1277">
        <v>6</v>
      </c>
      <c r="B1277" t="s">
        <v>92</v>
      </c>
      <c r="C1277">
        <v>0</v>
      </c>
      <c r="D1277">
        <v>2</v>
      </c>
      <c r="E1277" t="str">
        <f t="shared" si="19"/>
        <v>Jacks&amp;Five/2/6/0</v>
      </c>
    </row>
    <row r="1278" spans="1:5" x14ac:dyDescent="0.2">
      <c r="A1278">
        <v>7</v>
      </c>
      <c r="B1278" t="s">
        <v>43</v>
      </c>
      <c r="C1278">
        <v>0</v>
      </c>
      <c r="D1278">
        <v>1</v>
      </c>
      <c r="E1278" t="str">
        <f t="shared" si="19"/>
        <v>KassTwo/1/7/0</v>
      </c>
    </row>
    <row r="1279" spans="1:5" x14ac:dyDescent="0.2">
      <c r="A1279">
        <v>1</v>
      </c>
      <c r="B1279" t="s">
        <v>14</v>
      </c>
      <c r="C1279">
        <v>2</v>
      </c>
      <c r="D1279">
        <v>16</v>
      </c>
      <c r="E1279" t="str">
        <f t="shared" si="19"/>
        <v>Ramm/16/1/2</v>
      </c>
    </row>
    <row r="1280" spans="1:5" x14ac:dyDescent="0.2">
      <c r="A1280">
        <v>2</v>
      </c>
      <c r="B1280" t="s">
        <v>35</v>
      </c>
      <c r="C1280">
        <v>2</v>
      </c>
      <c r="D1280">
        <v>12</v>
      </c>
      <c r="E1280" t="str">
        <f t="shared" si="19"/>
        <v>JeanMichelTiming/12/2/2</v>
      </c>
    </row>
    <row r="1281" spans="1:5" x14ac:dyDescent="0.2">
      <c r="A1281">
        <v>3</v>
      </c>
      <c r="B1281" t="s">
        <v>101</v>
      </c>
      <c r="C1281">
        <v>0</v>
      </c>
      <c r="D1281">
        <v>8</v>
      </c>
      <c r="E1281" t="str">
        <f t="shared" ref="E1281:E1344" si="20">B1281&amp;"/"&amp;D1281&amp;"/"&amp;A1281&amp;"/"&amp;C1281</f>
        <v>ChrisFrankfurt/8/3/0</v>
      </c>
    </row>
    <row r="1282" spans="1:5" x14ac:dyDescent="0.2">
      <c r="A1282">
        <v>4</v>
      </c>
      <c r="B1282" t="s">
        <v>40</v>
      </c>
      <c r="C1282">
        <v>1</v>
      </c>
      <c r="D1282">
        <v>4</v>
      </c>
      <c r="E1282" t="str">
        <f t="shared" si="20"/>
        <v>Lén@/4/4/1</v>
      </c>
    </row>
    <row r="1283" spans="1:5" x14ac:dyDescent="0.2">
      <c r="A1283">
        <v>5</v>
      </c>
      <c r="B1283" t="s">
        <v>61</v>
      </c>
      <c r="C1283">
        <v>0</v>
      </c>
      <c r="D1283">
        <v>2</v>
      </c>
      <c r="E1283" t="str">
        <f t="shared" si="20"/>
        <v>Kri-lin/2/5/0</v>
      </c>
    </row>
    <row r="1284" spans="1:5" x14ac:dyDescent="0.2">
      <c r="A1284">
        <v>6</v>
      </c>
      <c r="B1284" t="s">
        <v>69</v>
      </c>
      <c r="C1284">
        <v>0</v>
      </c>
      <c r="D1284">
        <v>1</v>
      </c>
      <c r="E1284" t="str">
        <f t="shared" si="20"/>
        <v>Catherine/1/6/0</v>
      </c>
    </row>
    <row r="1285" spans="1:5" x14ac:dyDescent="0.2">
      <c r="A1285">
        <v>1</v>
      </c>
      <c r="B1285" t="s">
        <v>46</v>
      </c>
      <c r="C1285">
        <v>2</v>
      </c>
      <c r="D1285">
        <v>16</v>
      </c>
      <c r="E1285" t="str">
        <f t="shared" si="20"/>
        <v>Jérôme/16/1/2</v>
      </c>
    </row>
    <row r="1286" spans="1:5" x14ac:dyDescent="0.2">
      <c r="A1286">
        <v>2</v>
      </c>
      <c r="B1286" t="s">
        <v>18</v>
      </c>
      <c r="C1286">
        <v>3</v>
      </c>
      <c r="D1286">
        <v>12</v>
      </c>
      <c r="E1286" t="str">
        <f t="shared" si="20"/>
        <v>MAMS/12/2/3</v>
      </c>
    </row>
    <row r="1287" spans="1:5" x14ac:dyDescent="0.2">
      <c r="A1287">
        <v>3</v>
      </c>
      <c r="B1287" t="s">
        <v>25</v>
      </c>
      <c r="C1287">
        <v>0</v>
      </c>
      <c r="D1287">
        <v>8</v>
      </c>
      <c r="E1287" t="str">
        <f t="shared" si="20"/>
        <v>Claudius/8/3/0</v>
      </c>
    </row>
    <row r="1288" spans="1:5" x14ac:dyDescent="0.2">
      <c r="A1288">
        <v>4</v>
      </c>
      <c r="B1288" t="s">
        <v>102</v>
      </c>
      <c r="C1288">
        <v>0</v>
      </c>
      <c r="D1288">
        <v>4</v>
      </c>
      <c r="E1288" t="str">
        <f t="shared" si="20"/>
        <v>Doudoululu/4/4/0</v>
      </c>
    </row>
    <row r="1289" spans="1:5" x14ac:dyDescent="0.2">
      <c r="A1289">
        <v>5</v>
      </c>
      <c r="B1289" t="s">
        <v>88</v>
      </c>
      <c r="C1289">
        <v>0</v>
      </c>
      <c r="D1289">
        <v>2</v>
      </c>
      <c r="E1289" t="str">
        <f t="shared" si="20"/>
        <v>Yarael/2/5/0</v>
      </c>
    </row>
    <row r="1290" spans="1:5" x14ac:dyDescent="0.2">
      <c r="A1290">
        <v>6</v>
      </c>
      <c r="B1290" t="s">
        <v>38</v>
      </c>
      <c r="C1290">
        <v>0</v>
      </c>
      <c r="D1290">
        <v>1</v>
      </c>
      <c r="E1290" t="str">
        <f t="shared" si="20"/>
        <v>cTTprmoa/1/6/0</v>
      </c>
    </row>
    <row r="1291" spans="1:5" x14ac:dyDescent="0.2">
      <c r="A1291">
        <v>1</v>
      </c>
      <c r="B1291" t="s">
        <v>6</v>
      </c>
      <c r="C1291">
        <v>2</v>
      </c>
      <c r="D1291">
        <v>16</v>
      </c>
      <c r="E1291" t="str">
        <f t="shared" si="20"/>
        <v>Pyja/16/1/2</v>
      </c>
    </row>
    <row r="1292" spans="1:5" x14ac:dyDescent="0.2">
      <c r="A1292">
        <v>2</v>
      </c>
      <c r="B1292" t="s">
        <v>29</v>
      </c>
      <c r="C1292">
        <v>2</v>
      </c>
      <c r="D1292">
        <v>12</v>
      </c>
      <c r="E1292" t="str">
        <f t="shared" si="20"/>
        <v>NoDoubt/12/2/2</v>
      </c>
    </row>
    <row r="1293" spans="1:5" x14ac:dyDescent="0.2">
      <c r="A1293">
        <v>3</v>
      </c>
      <c r="B1293" t="s">
        <v>9</v>
      </c>
      <c r="C1293">
        <v>1</v>
      </c>
      <c r="D1293">
        <v>8</v>
      </c>
      <c r="E1293" t="str">
        <f t="shared" si="20"/>
        <v>K1/8/3/1</v>
      </c>
    </row>
    <row r="1294" spans="1:5" x14ac:dyDescent="0.2">
      <c r="A1294">
        <v>4</v>
      </c>
      <c r="B1294" t="s">
        <v>76</v>
      </c>
      <c r="C1294">
        <v>0</v>
      </c>
      <c r="D1294">
        <v>4</v>
      </c>
      <c r="E1294" t="str">
        <f t="shared" si="20"/>
        <v>Comment2/4/4/0</v>
      </c>
    </row>
    <row r="1295" spans="1:5" x14ac:dyDescent="0.2">
      <c r="A1295">
        <v>5</v>
      </c>
      <c r="B1295" t="s">
        <v>28</v>
      </c>
      <c r="C1295">
        <v>0</v>
      </c>
      <c r="D1295">
        <v>2</v>
      </c>
      <c r="E1295" t="str">
        <f t="shared" si="20"/>
        <v>sobab/2/5/0</v>
      </c>
    </row>
    <row r="1296" spans="1:5" x14ac:dyDescent="0.2">
      <c r="A1296">
        <v>6</v>
      </c>
      <c r="B1296" t="s">
        <v>87</v>
      </c>
      <c r="C1296">
        <v>0</v>
      </c>
      <c r="D1296">
        <v>1</v>
      </c>
      <c r="E1296" t="str">
        <f t="shared" si="20"/>
        <v>Proph@ne/1/6/0</v>
      </c>
    </row>
    <row r="1297" spans="1:5" x14ac:dyDescent="0.2">
      <c r="A1297">
        <v>1</v>
      </c>
      <c r="B1297" t="s">
        <v>66</v>
      </c>
      <c r="C1297">
        <v>3</v>
      </c>
      <c r="D1297">
        <v>16</v>
      </c>
      <c r="E1297" t="str">
        <f t="shared" si="20"/>
        <v>Ad Vitam/16/1/3</v>
      </c>
    </row>
    <row r="1298" spans="1:5" x14ac:dyDescent="0.2">
      <c r="A1298">
        <v>2</v>
      </c>
      <c r="B1298" t="s">
        <v>23</v>
      </c>
      <c r="C1298">
        <v>0</v>
      </c>
      <c r="D1298">
        <v>12</v>
      </c>
      <c r="E1298" t="str">
        <f t="shared" si="20"/>
        <v>Lylith75/12/2/0</v>
      </c>
    </row>
    <row r="1299" spans="1:5" x14ac:dyDescent="0.2">
      <c r="A1299">
        <v>3</v>
      </c>
      <c r="B1299" t="s">
        <v>65</v>
      </c>
      <c r="C1299">
        <v>1</v>
      </c>
      <c r="D1299">
        <v>8</v>
      </c>
      <c r="E1299" t="str">
        <f t="shared" si="20"/>
        <v>Ripolin/8/3/1</v>
      </c>
    </row>
    <row r="1300" spans="1:5" x14ac:dyDescent="0.2">
      <c r="A1300">
        <v>4</v>
      </c>
      <c r="B1300" t="s">
        <v>74</v>
      </c>
      <c r="C1300">
        <v>1</v>
      </c>
      <c r="D1300">
        <v>4</v>
      </c>
      <c r="E1300" t="str">
        <f t="shared" si="20"/>
        <v>PatB/4/4/1</v>
      </c>
    </row>
    <row r="1301" spans="1:5" x14ac:dyDescent="0.2">
      <c r="A1301">
        <v>5</v>
      </c>
      <c r="B1301" t="s">
        <v>15</v>
      </c>
      <c r="C1301">
        <v>0</v>
      </c>
      <c r="D1301">
        <v>2</v>
      </c>
      <c r="E1301" t="str">
        <f t="shared" si="20"/>
        <v>LAAtof/2/5/0</v>
      </c>
    </row>
    <row r="1302" spans="1:5" x14ac:dyDescent="0.2">
      <c r="A1302">
        <v>6</v>
      </c>
      <c r="B1302" t="s">
        <v>345</v>
      </c>
      <c r="C1302">
        <v>0</v>
      </c>
      <c r="D1302">
        <v>1</v>
      </c>
      <c r="E1302" t="str">
        <f t="shared" si="20"/>
        <v>Thibaultp75/1/6/0</v>
      </c>
    </row>
    <row r="1303" spans="1:5" x14ac:dyDescent="0.2">
      <c r="A1303">
        <v>1</v>
      </c>
      <c r="B1303" t="s">
        <v>12</v>
      </c>
      <c r="C1303">
        <v>4</v>
      </c>
      <c r="D1303">
        <v>17</v>
      </c>
      <c r="E1303" t="str">
        <f t="shared" si="20"/>
        <v>Gnak/17/1/4</v>
      </c>
    </row>
    <row r="1304" spans="1:5" x14ac:dyDescent="0.2">
      <c r="A1304">
        <v>2</v>
      </c>
      <c r="B1304" t="s">
        <v>21</v>
      </c>
      <c r="C1304">
        <v>0</v>
      </c>
      <c r="D1304">
        <v>13</v>
      </c>
      <c r="E1304" t="str">
        <f t="shared" si="20"/>
        <v>Carmin/13/2/0</v>
      </c>
    </row>
    <row r="1305" spans="1:5" x14ac:dyDescent="0.2">
      <c r="A1305">
        <v>3</v>
      </c>
      <c r="B1305" t="s">
        <v>75</v>
      </c>
      <c r="C1305">
        <v>1</v>
      </c>
      <c r="D1305">
        <v>9</v>
      </c>
      <c r="E1305" t="str">
        <f t="shared" si="20"/>
        <v>Michelbey/9/3/1</v>
      </c>
    </row>
    <row r="1306" spans="1:5" x14ac:dyDescent="0.2">
      <c r="A1306">
        <v>4</v>
      </c>
      <c r="B1306" t="s">
        <v>42</v>
      </c>
      <c r="C1306">
        <v>0</v>
      </c>
      <c r="D1306">
        <v>5</v>
      </c>
      <c r="E1306" t="str">
        <f t="shared" si="20"/>
        <v>Claptou/5/4/0</v>
      </c>
    </row>
    <row r="1307" spans="1:5" x14ac:dyDescent="0.2">
      <c r="A1307">
        <v>5</v>
      </c>
      <c r="B1307" t="s">
        <v>31</v>
      </c>
      <c r="C1307">
        <v>1</v>
      </c>
      <c r="D1307">
        <v>3</v>
      </c>
      <c r="E1307" t="str">
        <f t="shared" si="20"/>
        <v>CHRIS92340/3/5/1</v>
      </c>
    </row>
    <row r="1308" spans="1:5" x14ac:dyDescent="0.2">
      <c r="A1308">
        <v>6</v>
      </c>
      <c r="B1308" t="s">
        <v>41</v>
      </c>
      <c r="C1308">
        <v>0</v>
      </c>
      <c r="D1308">
        <v>2</v>
      </c>
      <c r="E1308" t="str">
        <f t="shared" si="20"/>
        <v>gibouille/2/6/0</v>
      </c>
    </row>
    <row r="1309" spans="1:5" x14ac:dyDescent="0.2">
      <c r="A1309">
        <v>7</v>
      </c>
      <c r="B1309" t="s">
        <v>33</v>
      </c>
      <c r="C1309">
        <v>0</v>
      </c>
      <c r="D1309">
        <v>1</v>
      </c>
      <c r="E1309" t="str">
        <f t="shared" si="20"/>
        <v>Ptit Savoyard/1/7/0</v>
      </c>
    </row>
    <row r="1310" spans="1:5" x14ac:dyDescent="0.2">
      <c r="A1310">
        <v>1</v>
      </c>
      <c r="B1310" t="s">
        <v>52</v>
      </c>
      <c r="C1310">
        <v>2</v>
      </c>
      <c r="D1310">
        <v>16</v>
      </c>
      <c r="E1310" t="str">
        <f t="shared" si="20"/>
        <v>Coach Pepito/16/1/2</v>
      </c>
    </row>
    <row r="1311" spans="1:5" x14ac:dyDescent="0.2">
      <c r="A1311">
        <v>2</v>
      </c>
      <c r="B1311" t="s">
        <v>59</v>
      </c>
      <c r="C1311">
        <v>3</v>
      </c>
      <c r="D1311">
        <v>12</v>
      </c>
      <c r="E1311" t="str">
        <f t="shared" si="20"/>
        <v>YooooDA/12/2/3</v>
      </c>
    </row>
    <row r="1312" spans="1:5" x14ac:dyDescent="0.2">
      <c r="A1312">
        <v>3</v>
      </c>
      <c r="B1312" t="s">
        <v>19</v>
      </c>
      <c r="C1312">
        <v>0</v>
      </c>
      <c r="D1312">
        <v>8</v>
      </c>
      <c r="E1312" t="str">
        <f t="shared" si="20"/>
        <v>Giobeck/8/3/0</v>
      </c>
    </row>
    <row r="1313" spans="1:5" x14ac:dyDescent="0.2">
      <c r="A1313">
        <v>4</v>
      </c>
      <c r="B1313" t="s">
        <v>54</v>
      </c>
      <c r="C1313">
        <v>0</v>
      </c>
      <c r="D1313">
        <v>4</v>
      </c>
      <c r="E1313" t="str">
        <f t="shared" si="20"/>
        <v>Salsamanu/4/4/0</v>
      </c>
    </row>
    <row r="1314" spans="1:5" x14ac:dyDescent="0.2">
      <c r="A1314">
        <v>5</v>
      </c>
      <c r="B1314" t="s">
        <v>32</v>
      </c>
      <c r="C1314">
        <v>0</v>
      </c>
      <c r="D1314">
        <v>2</v>
      </c>
      <c r="E1314" t="str">
        <f t="shared" si="20"/>
        <v>OlivierN92/2/5/0</v>
      </c>
    </row>
    <row r="1315" spans="1:5" x14ac:dyDescent="0.2">
      <c r="A1315">
        <v>6</v>
      </c>
      <c r="B1315" t="s">
        <v>26</v>
      </c>
      <c r="C1315">
        <v>0</v>
      </c>
      <c r="D1315">
        <v>1</v>
      </c>
      <c r="E1315" t="str">
        <f t="shared" si="20"/>
        <v>LOSOGRE/1/6/0</v>
      </c>
    </row>
    <row r="1316" spans="1:5" x14ac:dyDescent="0.2">
      <c r="A1316">
        <v>1</v>
      </c>
      <c r="B1316" t="s">
        <v>61</v>
      </c>
      <c r="C1316">
        <v>2</v>
      </c>
      <c r="D1316">
        <v>16</v>
      </c>
      <c r="E1316" t="str">
        <f t="shared" si="20"/>
        <v>Kri-lin/16/1/2</v>
      </c>
    </row>
    <row r="1317" spans="1:5" x14ac:dyDescent="0.2">
      <c r="A1317">
        <v>2</v>
      </c>
      <c r="B1317" t="s">
        <v>12</v>
      </c>
      <c r="C1317">
        <v>2</v>
      </c>
      <c r="D1317">
        <v>12</v>
      </c>
      <c r="E1317" t="str">
        <f t="shared" si="20"/>
        <v>Gnak/12/2/2</v>
      </c>
    </row>
    <row r="1318" spans="1:5" x14ac:dyDescent="0.2">
      <c r="A1318">
        <v>3</v>
      </c>
      <c r="B1318" t="s">
        <v>14</v>
      </c>
      <c r="C1318">
        <v>1</v>
      </c>
      <c r="D1318">
        <v>8</v>
      </c>
      <c r="E1318" t="str">
        <f t="shared" si="20"/>
        <v>Ramm/8/3/1</v>
      </c>
    </row>
    <row r="1319" spans="1:5" x14ac:dyDescent="0.2">
      <c r="A1319">
        <v>4</v>
      </c>
      <c r="B1319" t="s">
        <v>81</v>
      </c>
      <c r="C1319">
        <v>0</v>
      </c>
      <c r="D1319">
        <v>4</v>
      </c>
      <c r="E1319" t="str">
        <f t="shared" si="20"/>
        <v>Empedocle/4/4/0</v>
      </c>
    </row>
    <row r="1320" spans="1:5" x14ac:dyDescent="0.2">
      <c r="A1320">
        <v>5</v>
      </c>
      <c r="B1320" t="s">
        <v>18</v>
      </c>
      <c r="C1320">
        <v>0</v>
      </c>
      <c r="D1320">
        <v>2</v>
      </c>
      <c r="E1320" t="str">
        <f t="shared" si="20"/>
        <v>MAMS/2/5/0</v>
      </c>
    </row>
    <row r="1321" spans="1:5" x14ac:dyDescent="0.2">
      <c r="A1321">
        <v>6</v>
      </c>
      <c r="B1321" t="s">
        <v>92</v>
      </c>
      <c r="C1321">
        <v>0</v>
      </c>
      <c r="D1321">
        <v>1</v>
      </c>
      <c r="E1321" t="str">
        <f t="shared" si="20"/>
        <v>Jacks&amp;Five/1/6/0</v>
      </c>
    </row>
    <row r="1322" spans="1:5" x14ac:dyDescent="0.2">
      <c r="A1322">
        <v>1</v>
      </c>
      <c r="B1322" t="s">
        <v>98</v>
      </c>
      <c r="C1322">
        <v>2</v>
      </c>
      <c r="D1322">
        <v>17</v>
      </c>
      <c r="E1322" t="str">
        <f t="shared" si="20"/>
        <v>Blocknote/17/1/2</v>
      </c>
    </row>
    <row r="1323" spans="1:5" x14ac:dyDescent="0.2">
      <c r="A1323">
        <v>2</v>
      </c>
      <c r="B1323" t="s">
        <v>39</v>
      </c>
      <c r="C1323">
        <v>4</v>
      </c>
      <c r="D1323">
        <v>13</v>
      </c>
      <c r="E1323" t="str">
        <f t="shared" si="20"/>
        <v>kheops/13/2/4</v>
      </c>
    </row>
    <row r="1324" spans="1:5" x14ac:dyDescent="0.2">
      <c r="A1324">
        <v>3</v>
      </c>
      <c r="B1324" t="s">
        <v>8</v>
      </c>
      <c r="C1324">
        <v>0</v>
      </c>
      <c r="D1324">
        <v>9</v>
      </c>
      <c r="E1324" t="str">
        <f t="shared" si="20"/>
        <v>Maxime/9/3/0</v>
      </c>
    </row>
    <row r="1325" spans="1:5" x14ac:dyDescent="0.2">
      <c r="A1325">
        <v>4</v>
      </c>
      <c r="B1325" t="s">
        <v>19</v>
      </c>
      <c r="C1325">
        <v>0</v>
      </c>
      <c r="D1325">
        <v>5</v>
      </c>
      <c r="E1325" t="str">
        <f t="shared" si="20"/>
        <v>Giobeck/5/4/0</v>
      </c>
    </row>
    <row r="1326" spans="1:5" x14ac:dyDescent="0.2">
      <c r="A1326">
        <v>5</v>
      </c>
      <c r="B1326" t="s">
        <v>33</v>
      </c>
      <c r="C1326">
        <v>0</v>
      </c>
      <c r="D1326">
        <v>3</v>
      </c>
      <c r="E1326" t="str">
        <f t="shared" si="20"/>
        <v>Ptit Savoyard/3/5/0</v>
      </c>
    </row>
    <row r="1327" spans="1:5" x14ac:dyDescent="0.2">
      <c r="A1327">
        <v>6</v>
      </c>
      <c r="B1327" t="s">
        <v>368</v>
      </c>
      <c r="C1327">
        <v>0</v>
      </c>
      <c r="D1327">
        <v>2</v>
      </c>
      <c r="E1327" t="str">
        <f t="shared" si="20"/>
        <v>Wasp/2/6/0</v>
      </c>
    </row>
    <row r="1328" spans="1:5" x14ac:dyDescent="0.2">
      <c r="A1328">
        <v>7</v>
      </c>
      <c r="B1328" t="s">
        <v>76</v>
      </c>
      <c r="C1328">
        <v>0</v>
      </c>
      <c r="D1328">
        <v>1</v>
      </c>
      <c r="E1328" t="str">
        <f t="shared" si="20"/>
        <v>Comment2/1/7/0</v>
      </c>
    </row>
    <row r="1329" spans="1:5" x14ac:dyDescent="0.2">
      <c r="A1329">
        <v>1</v>
      </c>
      <c r="B1329" t="s">
        <v>40</v>
      </c>
      <c r="C1329">
        <v>4</v>
      </c>
      <c r="D1329">
        <v>17</v>
      </c>
      <c r="E1329" t="str">
        <f t="shared" si="20"/>
        <v>Lén@/17/1/4</v>
      </c>
    </row>
    <row r="1330" spans="1:5" x14ac:dyDescent="0.2">
      <c r="A1330">
        <v>2</v>
      </c>
      <c r="B1330" t="s">
        <v>305</v>
      </c>
      <c r="C1330">
        <v>2</v>
      </c>
      <c r="D1330">
        <v>13</v>
      </c>
      <c r="E1330" t="str">
        <f t="shared" si="20"/>
        <v>flowww/13/2/2</v>
      </c>
    </row>
    <row r="1331" spans="1:5" x14ac:dyDescent="0.2">
      <c r="A1331">
        <v>3</v>
      </c>
      <c r="B1331" t="s">
        <v>55</v>
      </c>
      <c r="C1331">
        <v>0</v>
      </c>
      <c r="D1331">
        <v>9</v>
      </c>
      <c r="E1331" t="str">
        <f t="shared" si="20"/>
        <v>Bounette/9/3/0</v>
      </c>
    </row>
    <row r="1332" spans="1:5" x14ac:dyDescent="0.2">
      <c r="A1332">
        <v>4</v>
      </c>
      <c r="B1332" t="s">
        <v>47</v>
      </c>
      <c r="C1332">
        <v>0</v>
      </c>
      <c r="D1332">
        <v>5</v>
      </c>
      <c r="E1332" t="str">
        <f t="shared" si="20"/>
        <v>Logan/5/4/0</v>
      </c>
    </row>
    <row r="1333" spans="1:5" x14ac:dyDescent="0.2">
      <c r="A1333">
        <v>5</v>
      </c>
      <c r="B1333" t="s">
        <v>69</v>
      </c>
      <c r="C1333">
        <v>0</v>
      </c>
      <c r="D1333">
        <v>3</v>
      </c>
      <c r="E1333" t="str">
        <f t="shared" si="20"/>
        <v>Catherine/3/5/0</v>
      </c>
    </row>
    <row r="1334" spans="1:5" x14ac:dyDescent="0.2">
      <c r="A1334">
        <v>6</v>
      </c>
      <c r="B1334" t="s">
        <v>43</v>
      </c>
      <c r="C1334">
        <v>0</v>
      </c>
      <c r="D1334">
        <v>2</v>
      </c>
      <c r="E1334" t="str">
        <f t="shared" si="20"/>
        <v>KassTwo/2/6/0</v>
      </c>
    </row>
    <row r="1335" spans="1:5" x14ac:dyDescent="0.2">
      <c r="A1335">
        <v>7</v>
      </c>
      <c r="B1335" t="s">
        <v>42</v>
      </c>
      <c r="C1335">
        <v>0</v>
      </c>
      <c r="D1335">
        <v>1</v>
      </c>
      <c r="E1335" t="str">
        <f t="shared" si="20"/>
        <v>Claptou/1/7/0</v>
      </c>
    </row>
    <row r="1336" spans="1:5" x14ac:dyDescent="0.2">
      <c r="A1336">
        <v>1</v>
      </c>
      <c r="B1336" t="s">
        <v>23</v>
      </c>
      <c r="C1336">
        <v>1</v>
      </c>
      <c r="D1336">
        <v>17</v>
      </c>
      <c r="E1336" t="str">
        <f t="shared" si="20"/>
        <v>Lylith75/17/1/1</v>
      </c>
    </row>
    <row r="1337" spans="1:5" x14ac:dyDescent="0.2">
      <c r="A1337">
        <v>2</v>
      </c>
      <c r="B1337" t="s">
        <v>41</v>
      </c>
      <c r="C1337">
        <v>1</v>
      </c>
      <c r="D1337">
        <v>13</v>
      </c>
      <c r="E1337" t="str">
        <f t="shared" si="20"/>
        <v>gibouille/13/2/1</v>
      </c>
    </row>
    <row r="1338" spans="1:5" x14ac:dyDescent="0.2">
      <c r="A1338">
        <v>3</v>
      </c>
      <c r="B1338" t="s">
        <v>59</v>
      </c>
      <c r="C1338">
        <v>1</v>
      </c>
      <c r="D1338">
        <v>9</v>
      </c>
      <c r="E1338" t="str">
        <f t="shared" si="20"/>
        <v>YooooDA/9/3/1</v>
      </c>
    </row>
    <row r="1339" spans="1:5" x14ac:dyDescent="0.2">
      <c r="A1339">
        <v>4</v>
      </c>
      <c r="B1339" t="s">
        <v>32</v>
      </c>
      <c r="C1339">
        <v>0</v>
      </c>
      <c r="D1339">
        <v>5</v>
      </c>
      <c r="E1339" t="str">
        <f t="shared" si="20"/>
        <v>OlivierN92/5/4/0</v>
      </c>
    </row>
    <row r="1340" spans="1:5" x14ac:dyDescent="0.2">
      <c r="A1340">
        <v>5</v>
      </c>
      <c r="B1340" t="s">
        <v>25</v>
      </c>
      <c r="C1340">
        <v>1</v>
      </c>
      <c r="D1340">
        <v>3</v>
      </c>
      <c r="E1340" t="str">
        <f t="shared" si="20"/>
        <v>Claudius/3/5/1</v>
      </c>
    </row>
    <row r="1341" spans="1:5" x14ac:dyDescent="0.2">
      <c r="A1341">
        <v>6</v>
      </c>
      <c r="B1341" t="s">
        <v>87</v>
      </c>
      <c r="C1341">
        <v>1</v>
      </c>
      <c r="D1341">
        <v>2</v>
      </c>
      <c r="E1341" t="str">
        <f t="shared" si="20"/>
        <v>Proph@ne/2/6/1</v>
      </c>
    </row>
    <row r="1342" spans="1:5" x14ac:dyDescent="0.2">
      <c r="A1342">
        <v>7</v>
      </c>
      <c r="B1342" t="s">
        <v>103</v>
      </c>
      <c r="C1342">
        <v>0</v>
      </c>
      <c r="D1342">
        <v>1</v>
      </c>
      <c r="E1342" t="str">
        <f t="shared" si="20"/>
        <v>zzav/1/7/0</v>
      </c>
    </row>
    <row r="1343" spans="1:5" x14ac:dyDescent="0.2">
      <c r="A1343">
        <v>1</v>
      </c>
      <c r="B1343" t="s">
        <v>6</v>
      </c>
      <c r="C1343">
        <v>1</v>
      </c>
      <c r="D1343">
        <v>16</v>
      </c>
      <c r="E1343" t="str">
        <f t="shared" si="20"/>
        <v>Pyja/16/1/1</v>
      </c>
    </row>
    <row r="1344" spans="1:5" x14ac:dyDescent="0.2">
      <c r="A1344">
        <v>2</v>
      </c>
      <c r="B1344" t="s">
        <v>102</v>
      </c>
      <c r="C1344">
        <v>3</v>
      </c>
      <c r="D1344">
        <v>12</v>
      </c>
      <c r="E1344" t="str">
        <f t="shared" si="20"/>
        <v>Doudoululu/12/2/3</v>
      </c>
    </row>
    <row r="1345" spans="1:5" x14ac:dyDescent="0.2">
      <c r="A1345">
        <v>3</v>
      </c>
      <c r="B1345" t="s">
        <v>75</v>
      </c>
      <c r="C1345">
        <v>1</v>
      </c>
      <c r="D1345">
        <v>8</v>
      </c>
      <c r="E1345" t="str">
        <f t="shared" ref="E1345:E1408" si="21">B1345&amp;"/"&amp;D1345&amp;"/"&amp;A1345&amp;"/"&amp;C1345</f>
        <v>Michelbey/8/3/1</v>
      </c>
    </row>
    <row r="1346" spans="1:5" x14ac:dyDescent="0.2">
      <c r="A1346">
        <v>4</v>
      </c>
      <c r="B1346" t="s">
        <v>50</v>
      </c>
      <c r="C1346">
        <v>0</v>
      </c>
      <c r="D1346">
        <v>4</v>
      </c>
      <c r="E1346" t="str">
        <f t="shared" si="21"/>
        <v>MLADENGO/4/4/0</v>
      </c>
    </row>
    <row r="1347" spans="1:5" x14ac:dyDescent="0.2">
      <c r="A1347">
        <v>5</v>
      </c>
      <c r="B1347" t="s">
        <v>60</v>
      </c>
      <c r="C1347">
        <v>0</v>
      </c>
      <c r="D1347">
        <v>2</v>
      </c>
      <c r="E1347" t="str">
        <f t="shared" si="21"/>
        <v>zizou/2/5/0</v>
      </c>
    </row>
    <row r="1348" spans="1:5" x14ac:dyDescent="0.2">
      <c r="A1348">
        <v>6</v>
      </c>
      <c r="B1348" t="s">
        <v>9</v>
      </c>
      <c r="C1348">
        <v>0</v>
      </c>
      <c r="D1348">
        <v>1</v>
      </c>
      <c r="E1348" t="str">
        <f t="shared" si="21"/>
        <v>K1/1/6/0</v>
      </c>
    </row>
    <row r="1349" spans="1:5" x14ac:dyDescent="0.2">
      <c r="A1349">
        <v>1</v>
      </c>
      <c r="B1349" t="s">
        <v>46</v>
      </c>
      <c r="C1349">
        <v>1</v>
      </c>
      <c r="D1349">
        <v>16</v>
      </c>
      <c r="E1349" t="str">
        <f t="shared" si="21"/>
        <v>Jérôme/16/1/1</v>
      </c>
    </row>
    <row r="1350" spans="1:5" x14ac:dyDescent="0.2">
      <c r="A1350">
        <v>2</v>
      </c>
      <c r="B1350" t="s">
        <v>345</v>
      </c>
      <c r="C1350">
        <v>1</v>
      </c>
      <c r="D1350">
        <v>12</v>
      </c>
      <c r="E1350" t="str">
        <f t="shared" si="21"/>
        <v>Thibaultp75/12/2/1</v>
      </c>
    </row>
    <row r="1351" spans="1:5" x14ac:dyDescent="0.2">
      <c r="A1351">
        <v>3</v>
      </c>
      <c r="B1351" t="s">
        <v>21</v>
      </c>
      <c r="C1351">
        <v>3</v>
      </c>
      <c r="D1351">
        <v>8</v>
      </c>
      <c r="E1351" t="str">
        <f t="shared" si="21"/>
        <v>Carmin/8/3/3</v>
      </c>
    </row>
    <row r="1352" spans="1:5" x14ac:dyDescent="0.2">
      <c r="A1352">
        <v>4</v>
      </c>
      <c r="B1352" t="s">
        <v>66</v>
      </c>
      <c r="C1352">
        <v>0</v>
      </c>
      <c r="D1352">
        <v>4</v>
      </c>
      <c r="E1352" t="str">
        <f t="shared" si="21"/>
        <v>Ad Vitam/4/4/0</v>
      </c>
    </row>
    <row r="1353" spans="1:5" x14ac:dyDescent="0.2">
      <c r="A1353">
        <v>5</v>
      </c>
      <c r="B1353" t="s">
        <v>54</v>
      </c>
      <c r="C1353">
        <v>0</v>
      </c>
      <c r="D1353">
        <v>2</v>
      </c>
      <c r="E1353" t="str">
        <f t="shared" si="21"/>
        <v>Salsamanu/2/5/0</v>
      </c>
    </row>
    <row r="1354" spans="1:5" x14ac:dyDescent="0.2">
      <c r="A1354">
        <v>6</v>
      </c>
      <c r="B1354" t="s">
        <v>73</v>
      </c>
      <c r="C1354">
        <v>0</v>
      </c>
      <c r="D1354">
        <v>1</v>
      </c>
      <c r="E1354" t="str">
        <f t="shared" si="21"/>
        <v>Flem/1/6/0</v>
      </c>
    </row>
    <row r="1355" spans="1:5" x14ac:dyDescent="0.2">
      <c r="A1355">
        <v>1</v>
      </c>
      <c r="B1355" t="s">
        <v>74</v>
      </c>
      <c r="C1355">
        <v>2</v>
      </c>
      <c r="D1355">
        <v>16</v>
      </c>
      <c r="E1355" t="str">
        <f t="shared" si="21"/>
        <v>PatB/16/1/2</v>
      </c>
    </row>
    <row r="1356" spans="1:5" x14ac:dyDescent="0.2">
      <c r="A1356">
        <v>2</v>
      </c>
      <c r="B1356" t="s">
        <v>101</v>
      </c>
      <c r="C1356">
        <v>2</v>
      </c>
      <c r="D1356">
        <v>12</v>
      </c>
      <c r="E1356" t="str">
        <f t="shared" si="21"/>
        <v>ChrisFrankfurt/12/2/2</v>
      </c>
    </row>
    <row r="1357" spans="1:5" x14ac:dyDescent="0.2">
      <c r="A1357">
        <v>3</v>
      </c>
      <c r="B1357" t="s">
        <v>28</v>
      </c>
      <c r="C1357">
        <v>1</v>
      </c>
      <c r="D1357">
        <v>8</v>
      </c>
      <c r="E1357" t="str">
        <f t="shared" si="21"/>
        <v>sobab/8/3/1</v>
      </c>
    </row>
    <row r="1358" spans="1:5" x14ac:dyDescent="0.2">
      <c r="A1358">
        <v>4</v>
      </c>
      <c r="B1358" t="s">
        <v>35</v>
      </c>
      <c r="C1358">
        <v>0</v>
      </c>
      <c r="D1358">
        <v>4</v>
      </c>
      <c r="E1358" t="str">
        <f t="shared" si="21"/>
        <v>JeanMichelTiming/4/4/0</v>
      </c>
    </row>
    <row r="1359" spans="1:5" x14ac:dyDescent="0.2">
      <c r="A1359">
        <v>5</v>
      </c>
      <c r="B1359" t="s">
        <v>26</v>
      </c>
      <c r="C1359">
        <v>0</v>
      </c>
      <c r="D1359">
        <v>2</v>
      </c>
      <c r="E1359" t="str">
        <f t="shared" si="21"/>
        <v>LOSOGRE/2/5/0</v>
      </c>
    </row>
    <row r="1360" spans="1:5" x14ac:dyDescent="0.2">
      <c r="A1360">
        <v>6</v>
      </c>
      <c r="B1360" t="s">
        <v>45</v>
      </c>
      <c r="C1360">
        <v>0</v>
      </c>
      <c r="D1360">
        <v>1</v>
      </c>
      <c r="E1360" t="str">
        <f t="shared" si="21"/>
        <v>yaltar/1/6/0</v>
      </c>
    </row>
    <row r="1361" spans="1:5" x14ac:dyDescent="0.2">
      <c r="A1361">
        <v>1</v>
      </c>
      <c r="B1361" t="s">
        <v>43</v>
      </c>
      <c r="C1361">
        <v>3</v>
      </c>
      <c r="D1361">
        <v>16</v>
      </c>
      <c r="E1361" t="str">
        <f t="shared" si="21"/>
        <v>KassTwo/16/1/3</v>
      </c>
    </row>
    <row r="1362" spans="1:5" x14ac:dyDescent="0.2">
      <c r="A1362">
        <v>2</v>
      </c>
      <c r="B1362" t="s">
        <v>15</v>
      </c>
      <c r="C1362">
        <v>1</v>
      </c>
      <c r="D1362">
        <v>12</v>
      </c>
      <c r="E1362" t="str">
        <f t="shared" si="21"/>
        <v>LAAtof/12/2/1</v>
      </c>
    </row>
    <row r="1363" spans="1:5" x14ac:dyDescent="0.2">
      <c r="A1363">
        <v>3</v>
      </c>
      <c r="B1363" t="s">
        <v>103</v>
      </c>
      <c r="C1363">
        <v>1</v>
      </c>
      <c r="D1363">
        <v>8</v>
      </c>
      <c r="E1363" t="str">
        <f t="shared" si="21"/>
        <v>zzav/8/3/1</v>
      </c>
    </row>
    <row r="1364" spans="1:5" x14ac:dyDescent="0.2">
      <c r="A1364">
        <v>4</v>
      </c>
      <c r="B1364" t="s">
        <v>21</v>
      </c>
      <c r="C1364">
        <v>0</v>
      </c>
      <c r="D1364">
        <v>4</v>
      </c>
      <c r="E1364" t="str">
        <f t="shared" si="21"/>
        <v>Carmin/4/4/0</v>
      </c>
    </row>
    <row r="1365" spans="1:5" x14ac:dyDescent="0.2">
      <c r="A1365">
        <v>5</v>
      </c>
      <c r="B1365" t="s">
        <v>46</v>
      </c>
      <c r="C1365">
        <v>0</v>
      </c>
      <c r="D1365">
        <v>2</v>
      </c>
      <c r="E1365" t="str">
        <f t="shared" si="21"/>
        <v>Jérôme/2/5/0</v>
      </c>
    </row>
    <row r="1366" spans="1:5" x14ac:dyDescent="0.2">
      <c r="A1366">
        <v>6</v>
      </c>
      <c r="B1366" t="s">
        <v>33</v>
      </c>
      <c r="C1366">
        <v>0</v>
      </c>
      <c r="D1366">
        <v>1</v>
      </c>
      <c r="E1366" t="str">
        <f t="shared" si="21"/>
        <v>Ptit Savoyard/1/6/0</v>
      </c>
    </row>
    <row r="1367" spans="1:5" x14ac:dyDescent="0.2">
      <c r="A1367">
        <v>1</v>
      </c>
      <c r="B1367" t="s">
        <v>345</v>
      </c>
      <c r="C1367">
        <v>1</v>
      </c>
      <c r="D1367">
        <v>16</v>
      </c>
      <c r="E1367" t="str">
        <f t="shared" si="21"/>
        <v>Thibaultp75/16/1/1</v>
      </c>
    </row>
    <row r="1368" spans="1:5" x14ac:dyDescent="0.2">
      <c r="A1368">
        <v>2</v>
      </c>
      <c r="B1368" t="s">
        <v>47</v>
      </c>
      <c r="C1368">
        <v>2</v>
      </c>
      <c r="D1368">
        <v>12</v>
      </c>
      <c r="E1368" t="str">
        <f t="shared" si="21"/>
        <v>Logan/12/2/2</v>
      </c>
    </row>
    <row r="1369" spans="1:5" x14ac:dyDescent="0.2">
      <c r="A1369">
        <v>3</v>
      </c>
      <c r="B1369" t="s">
        <v>14</v>
      </c>
      <c r="C1369">
        <v>1</v>
      </c>
      <c r="D1369">
        <v>8</v>
      </c>
      <c r="E1369" t="str">
        <f t="shared" si="21"/>
        <v>Ramm/8/3/1</v>
      </c>
    </row>
    <row r="1370" spans="1:5" x14ac:dyDescent="0.2">
      <c r="A1370">
        <v>4</v>
      </c>
      <c r="B1370" t="s">
        <v>61</v>
      </c>
      <c r="C1370">
        <v>1</v>
      </c>
      <c r="D1370">
        <v>4</v>
      </c>
      <c r="E1370" t="str">
        <f t="shared" si="21"/>
        <v>Kri-lin/4/4/1</v>
      </c>
    </row>
    <row r="1371" spans="1:5" x14ac:dyDescent="0.2">
      <c r="A1371">
        <v>5</v>
      </c>
      <c r="B1371" t="s">
        <v>19</v>
      </c>
      <c r="C1371">
        <v>0</v>
      </c>
      <c r="D1371">
        <v>2</v>
      </c>
      <c r="E1371" t="str">
        <f t="shared" si="21"/>
        <v>Giobeck/2/5/0</v>
      </c>
    </row>
    <row r="1372" spans="1:5" x14ac:dyDescent="0.2">
      <c r="A1372">
        <v>6</v>
      </c>
      <c r="B1372" t="s">
        <v>6</v>
      </c>
      <c r="C1372">
        <v>0</v>
      </c>
      <c r="D1372">
        <v>1</v>
      </c>
      <c r="E1372" t="str">
        <f t="shared" si="21"/>
        <v>Pyja/1/6/0</v>
      </c>
    </row>
    <row r="1373" spans="1:5" x14ac:dyDescent="0.2">
      <c r="A1373">
        <v>1</v>
      </c>
      <c r="B1373" t="s">
        <v>68</v>
      </c>
      <c r="C1373">
        <v>2</v>
      </c>
      <c r="D1373">
        <v>16</v>
      </c>
      <c r="E1373" t="str">
        <f t="shared" si="21"/>
        <v>zubbaz/16/1/2</v>
      </c>
    </row>
    <row r="1374" spans="1:5" x14ac:dyDescent="0.2">
      <c r="A1374">
        <v>2</v>
      </c>
      <c r="B1374" t="s">
        <v>32</v>
      </c>
      <c r="C1374">
        <v>2</v>
      </c>
      <c r="D1374">
        <v>12</v>
      </c>
      <c r="E1374" t="str">
        <f t="shared" si="21"/>
        <v>OlivierN92/12/2/2</v>
      </c>
    </row>
    <row r="1375" spans="1:5" x14ac:dyDescent="0.2">
      <c r="A1375">
        <v>3</v>
      </c>
      <c r="B1375" t="s">
        <v>12</v>
      </c>
      <c r="C1375">
        <v>0</v>
      </c>
      <c r="D1375">
        <v>8</v>
      </c>
      <c r="E1375" t="str">
        <f t="shared" si="21"/>
        <v>Gnak/8/3/0</v>
      </c>
    </row>
    <row r="1376" spans="1:5" x14ac:dyDescent="0.2">
      <c r="A1376">
        <v>4</v>
      </c>
      <c r="B1376" t="s">
        <v>102</v>
      </c>
      <c r="C1376">
        <v>0</v>
      </c>
      <c r="D1376">
        <v>4</v>
      </c>
      <c r="E1376" t="str">
        <f t="shared" si="21"/>
        <v>Doudoululu/4/4/0</v>
      </c>
    </row>
    <row r="1377" spans="1:5" x14ac:dyDescent="0.2">
      <c r="A1377">
        <v>5</v>
      </c>
      <c r="B1377" t="s">
        <v>26</v>
      </c>
      <c r="C1377">
        <v>1</v>
      </c>
      <c r="D1377">
        <v>2</v>
      </c>
      <c r="E1377" t="str">
        <f t="shared" si="21"/>
        <v>LOSOGRE/2/5/1</v>
      </c>
    </row>
    <row r="1378" spans="1:5" x14ac:dyDescent="0.2">
      <c r="A1378">
        <v>6</v>
      </c>
      <c r="B1378" t="s">
        <v>54</v>
      </c>
      <c r="C1378">
        <v>0</v>
      </c>
      <c r="D1378">
        <v>1</v>
      </c>
      <c r="E1378" t="str">
        <f t="shared" si="21"/>
        <v>Salsamanu/1/6/0</v>
      </c>
    </row>
    <row r="1379" spans="1:5" x14ac:dyDescent="0.2">
      <c r="A1379">
        <v>1</v>
      </c>
      <c r="B1379" t="s">
        <v>98</v>
      </c>
      <c r="C1379">
        <v>4</v>
      </c>
      <c r="D1379">
        <v>16</v>
      </c>
      <c r="E1379" t="str">
        <f t="shared" si="21"/>
        <v>Blocknote/16/1/4</v>
      </c>
    </row>
    <row r="1380" spans="1:5" x14ac:dyDescent="0.2">
      <c r="A1380">
        <v>2</v>
      </c>
      <c r="B1380" t="s">
        <v>25</v>
      </c>
      <c r="C1380">
        <v>1</v>
      </c>
      <c r="D1380">
        <v>12</v>
      </c>
      <c r="E1380" t="str">
        <f t="shared" si="21"/>
        <v>Claudius/12/2/1</v>
      </c>
    </row>
    <row r="1381" spans="1:5" x14ac:dyDescent="0.2">
      <c r="A1381">
        <v>3</v>
      </c>
      <c r="B1381" t="s">
        <v>18</v>
      </c>
      <c r="C1381">
        <v>0</v>
      </c>
      <c r="D1381">
        <v>8</v>
      </c>
      <c r="E1381" t="str">
        <f t="shared" si="21"/>
        <v>MAMS/8/3/0</v>
      </c>
    </row>
    <row r="1382" spans="1:5" x14ac:dyDescent="0.2">
      <c r="A1382">
        <v>4</v>
      </c>
      <c r="B1382" t="s">
        <v>59</v>
      </c>
      <c r="C1382">
        <v>0</v>
      </c>
      <c r="D1382">
        <v>4</v>
      </c>
      <c r="E1382" t="str">
        <f t="shared" si="21"/>
        <v>YooooDA/4/4/0</v>
      </c>
    </row>
    <row r="1383" spans="1:5" x14ac:dyDescent="0.2">
      <c r="A1383">
        <v>5</v>
      </c>
      <c r="B1383" t="s">
        <v>8</v>
      </c>
      <c r="C1383">
        <v>0</v>
      </c>
      <c r="D1383">
        <v>2</v>
      </c>
      <c r="E1383" t="str">
        <f t="shared" si="21"/>
        <v>Maxime/2/5/0</v>
      </c>
    </row>
    <row r="1384" spans="1:5" x14ac:dyDescent="0.2">
      <c r="A1384">
        <v>6</v>
      </c>
      <c r="B1384" t="s">
        <v>92</v>
      </c>
      <c r="C1384">
        <v>0</v>
      </c>
      <c r="D1384">
        <v>1</v>
      </c>
      <c r="E1384" t="str">
        <f t="shared" si="21"/>
        <v>Jacks&amp;Five/1/6/0</v>
      </c>
    </row>
    <row r="1385" spans="1:5" x14ac:dyDescent="0.2">
      <c r="A1385">
        <v>1</v>
      </c>
      <c r="B1385" t="s">
        <v>50</v>
      </c>
      <c r="C1385">
        <v>1</v>
      </c>
      <c r="D1385">
        <v>16</v>
      </c>
      <c r="E1385" t="str">
        <f t="shared" si="21"/>
        <v>MLADENGO/16/1/1</v>
      </c>
    </row>
    <row r="1386" spans="1:5" x14ac:dyDescent="0.2">
      <c r="A1386">
        <v>2</v>
      </c>
      <c r="B1386" t="s">
        <v>45</v>
      </c>
      <c r="C1386">
        <v>4</v>
      </c>
      <c r="D1386">
        <v>12</v>
      </c>
      <c r="E1386" t="str">
        <f t="shared" si="21"/>
        <v>yaltar/12/2/4</v>
      </c>
    </row>
    <row r="1387" spans="1:5" x14ac:dyDescent="0.2">
      <c r="A1387">
        <v>3</v>
      </c>
      <c r="B1387" t="s">
        <v>9</v>
      </c>
      <c r="C1387">
        <v>0</v>
      </c>
      <c r="D1387">
        <v>8</v>
      </c>
      <c r="E1387" t="str">
        <f t="shared" si="21"/>
        <v>K1/8/3/0</v>
      </c>
    </row>
    <row r="1388" spans="1:5" x14ac:dyDescent="0.2">
      <c r="A1388">
        <v>4</v>
      </c>
      <c r="B1388" t="s">
        <v>65</v>
      </c>
      <c r="C1388">
        <v>0</v>
      </c>
      <c r="D1388">
        <v>4</v>
      </c>
      <c r="E1388" t="str">
        <f t="shared" si="21"/>
        <v>Ripolin/4/4/0</v>
      </c>
    </row>
    <row r="1389" spans="1:5" x14ac:dyDescent="0.2">
      <c r="A1389">
        <v>5</v>
      </c>
      <c r="B1389" t="s">
        <v>52</v>
      </c>
      <c r="C1389">
        <v>0</v>
      </c>
      <c r="D1389">
        <v>2</v>
      </c>
      <c r="E1389" t="str">
        <f t="shared" si="21"/>
        <v>Coach Pepito/2/5/0</v>
      </c>
    </row>
    <row r="1390" spans="1:5" x14ac:dyDescent="0.2">
      <c r="A1390">
        <v>6</v>
      </c>
      <c r="B1390" t="s">
        <v>28</v>
      </c>
      <c r="C1390">
        <v>0</v>
      </c>
      <c r="D1390">
        <v>1</v>
      </c>
      <c r="E1390" t="str">
        <f t="shared" si="21"/>
        <v>sobab/1/6/0</v>
      </c>
    </row>
    <row r="1391" spans="1:5" x14ac:dyDescent="0.2">
      <c r="A1391">
        <v>1</v>
      </c>
      <c r="B1391" t="s">
        <v>87</v>
      </c>
      <c r="C1391">
        <v>2</v>
      </c>
      <c r="D1391">
        <v>16</v>
      </c>
      <c r="E1391" t="str">
        <f t="shared" si="21"/>
        <v>Proph@ne/16/1/2</v>
      </c>
    </row>
    <row r="1392" spans="1:5" x14ac:dyDescent="0.2">
      <c r="A1392">
        <v>2</v>
      </c>
      <c r="B1392" t="s">
        <v>39</v>
      </c>
      <c r="C1392">
        <v>3</v>
      </c>
      <c r="D1392">
        <v>12</v>
      </c>
      <c r="E1392" t="str">
        <f t="shared" si="21"/>
        <v>kheops/12/2/3</v>
      </c>
    </row>
    <row r="1393" spans="1:5" x14ac:dyDescent="0.2">
      <c r="A1393">
        <v>3</v>
      </c>
      <c r="B1393" t="s">
        <v>75</v>
      </c>
      <c r="C1393">
        <v>0</v>
      </c>
      <c r="D1393">
        <v>8</v>
      </c>
      <c r="E1393" t="str">
        <f t="shared" si="21"/>
        <v>Michelbey/8/3/0</v>
      </c>
    </row>
    <row r="1394" spans="1:5" x14ac:dyDescent="0.2">
      <c r="A1394">
        <v>4</v>
      </c>
      <c r="B1394" t="s">
        <v>53</v>
      </c>
      <c r="C1394">
        <v>0</v>
      </c>
      <c r="D1394">
        <v>4</v>
      </c>
      <c r="E1394" t="str">
        <f t="shared" si="21"/>
        <v>Makoche/4/4/0</v>
      </c>
    </row>
    <row r="1395" spans="1:5" x14ac:dyDescent="0.2">
      <c r="A1395">
        <v>5</v>
      </c>
      <c r="B1395" t="s">
        <v>66</v>
      </c>
      <c r="C1395">
        <v>0</v>
      </c>
      <c r="D1395">
        <v>2</v>
      </c>
      <c r="E1395" t="str">
        <f t="shared" si="21"/>
        <v>Ad Vitam/2/5/0</v>
      </c>
    </row>
    <row r="1396" spans="1:5" x14ac:dyDescent="0.2">
      <c r="A1396">
        <v>6</v>
      </c>
      <c r="B1396" t="s">
        <v>73</v>
      </c>
      <c r="C1396">
        <v>0</v>
      </c>
      <c r="D1396">
        <v>1</v>
      </c>
      <c r="E1396" t="str">
        <f t="shared" si="21"/>
        <v>Flem/1/6/0</v>
      </c>
    </row>
    <row r="1397" spans="1:5" x14ac:dyDescent="0.2">
      <c r="A1397">
        <v>1</v>
      </c>
      <c r="B1397" t="s">
        <v>40</v>
      </c>
      <c r="C1397">
        <v>4</v>
      </c>
      <c r="D1397">
        <v>15</v>
      </c>
      <c r="E1397" t="str">
        <f t="shared" si="21"/>
        <v>Lén@/15/1/4</v>
      </c>
    </row>
    <row r="1398" spans="1:5" x14ac:dyDescent="0.2">
      <c r="A1398">
        <v>2</v>
      </c>
      <c r="B1398" t="s">
        <v>69</v>
      </c>
      <c r="C1398">
        <v>0</v>
      </c>
      <c r="D1398">
        <v>11</v>
      </c>
      <c r="E1398" t="str">
        <f t="shared" si="21"/>
        <v>Catherine/11/2/0</v>
      </c>
    </row>
    <row r="1399" spans="1:5" x14ac:dyDescent="0.2">
      <c r="A1399">
        <v>3</v>
      </c>
      <c r="B1399" t="s">
        <v>76</v>
      </c>
      <c r="C1399">
        <v>0</v>
      </c>
      <c r="D1399">
        <v>7</v>
      </c>
      <c r="E1399" t="str">
        <f t="shared" si="21"/>
        <v>Comment2/7/3/0</v>
      </c>
    </row>
    <row r="1400" spans="1:5" x14ac:dyDescent="0.2">
      <c r="A1400">
        <v>4</v>
      </c>
      <c r="B1400" t="s">
        <v>42</v>
      </c>
      <c r="C1400">
        <v>0</v>
      </c>
      <c r="D1400">
        <v>3</v>
      </c>
      <c r="E1400" t="str">
        <f t="shared" si="21"/>
        <v>Claptou/3/4/0</v>
      </c>
    </row>
    <row r="1401" spans="1:5" x14ac:dyDescent="0.2">
      <c r="A1401">
        <v>5</v>
      </c>
      <c r="B1401" t="s">
        <v>74</v>
      </c>
      <c r="C1401">
        <v>0</v>
      </c>
      <c r="D1401">
        <v>1</v>
      </c>
      <c r="E1401" t="str">
        <f t="shared" si="21"/>
        <v>PatB/1/5/0</v>
      </c>
    </row>
    <row r="1402" spans="1:5" x14ac:dyDescent="0.2">
      <c r="A1402">
        <v>1</v>
      </c>
      <c r="B1402" t="s">
        <v>9</v>
      </c>
      <c r="C1402">
        <v>3</v>
      </c>
      <c r="D1402">
        <v>16</v>
      </c>
      <c r="E1402" t="str">
        <f t="shared" si="21"/>
        <v>K1/16/1/3</v>
      </c>
    </row>
    <row r="1403" spans="1:5" x14ac:dyDescent="0.2">
      <c r="A1403">
        <v>2</v>
      </c>
      <c r="B1403" t="s">
        <v>32</v>
      </c>
      <c r="C1403">
        <v>1</v>
      </c>
      <c r="D1403">
        <v>12</v>
      </c>
      <c r="E1403" t="str">
        <f t="shared" si="21"/>
        <v>OlivierN92/12/2/1</v>
      </c>
    </row>
    <row r="1404" spans="1:5" x14ac:dyDescent="0.2">
      <c r="A1404">
        <v>3</v>
      </c>
      <c r="B1404" t="s">
        <v>76</v>
      </c>
      <c r="C1404">
        <v>0</v>
      </c>
      <c r="D1404">
        <v>8</v>
      </c>
      <c r="E1404" t="str">
        <f t="shared" si="21"/>
        <v>Comment2/8/3/0</v>
      </c>
    </row>
    <row r="1405" spans="1:5" x14ac:dyDescent="0.2">
      <c r="A1405">
        <v>4</v>
      </c>
      <c r="B1405" t="s">
        <v>12</v>
      </c>
      <c r="C1405">
        <v>1</v>
      </c>
      <c r="D1405">
        <v>4</v>
      </c>
      <c r="E1405" t="str">
        <f t="shared" si="21"/>
        <v>Gnak/4/4/1</v>
      </c>
    </row>
    <row r="1406" spans="1:5" x14ac:dyDescent="0.2">
      <c r="A1406">
        <v>5</v>
      </c>
      <c r="B1406" t="s">
        <v>101</v>
      </c>
      <c r="C1406">
        <v>0</v>
      </c>
      <c r="D1406">
        <v>2</v>
      </c>
      <c r="E1406" t="str">
        <f t="shared" si="21"/>
        <v>ChrisFrankfurt/2/5/0</v>
      </c>
    </row>
    <row r="1407" spans="1:5" x14ac:dyDescent="0.2">
      <c r="A1407">
        <v>6</v>
      </c>
      <c r="B1407" t="s">
        <v>50</v>
      </c>
      <c r="C1407">
        <v>0</v>
      </c>
      <c r="D1407">
        <v>1</v>
      </c>
      <c r="E1407" t="str">
        <f t="shared" si="21"/>
        <v>MLADENGO/1/6/0</v>
      </c>
    </row>
    <row r="1408" spans="1:5" x14ac:dyDescent="0.2">
      <c r="A1408">
        <v>1</v>
      </c>
      <c r="B1408" t="s">
        <v>39</v>
      </c>
      <c r="C1408">
        <v>2</v>
      </c>
      <c r="D1408">
        <v>16</v>
      </c>
      <c r="E1408" t="str">
        <f t="shared" si="21"/>
        <v>kheops/16/1/2</v>
      </c>
    </row>
    <row r="1409" spans="1:5" x14ac:dyDescent="0.2">
      <c r="A1409">
        <v>2</v>
      </c>
      <c r="B1409" t="s">
        <v>45</v>
      </c>
      <c r="C1409">
        <v>2</v>
      </c>
      <c r="D1409">
        <v>12</v>
      </c>
      <c r="E1409" t="str">
        <f t="shared" ref="E1409:E1472" si="22">B1409&amp;"/"&amp;D1409&amp;"/"&amp;A1409&amp;"/"&amp;C1409</f>
        <v>yaltar/12/2/2</v>
      </c>
    </row>
    <row r="1410" spans="1:5" x14ac:dyDescent="0.2">
      <c r="A1410">
        <v>3</v>
      </c>
      <c r="B1410" t="s">
        <v>103</v>
      </c>
      <c r="C1410">
        <v>0</v>
      </c>
      <c r="D1410">
        <v>8</v>
      </c>
      <c r="E1410" t="str">
        <f t="shared" si="22"/>
        <v>zzav/8/3/0</v>
      </c>
    </row>
    <row r="1411" spans="1:5" x14ac:dyDescent="0.2">
      <c r="A1411">
        <v>4</v>
      </c>
      <c r="B1411" t="s">
        <v>345</v>
      </c>
      <c r="C1411">
        <v>1</v>
      </c>
      <c r="D1411">
        <v>4</v>
      </c>
      <c r="E1411" t="str">
        <f t="shared" si="22"/>
        <v>Thibaultp75/4/4/1</v>
      </c>
    </row>
    <row r="1412" spans="1:5" x14ac:dyDescent="0.2">
      <c r="A1412">
        <v>5</v>
      </c>
      <c r="B1412" t="s">
        <v>74</v>
      </c>
      <c r="C1412">
        <v>0</v>
      </c>
      <c r="D1412">
        <v>2</v>
      </c>
      <c r="E1412" t="str">
        <f t="shared" si="22"/>
        <v>PatB/2/5/0</v>
      </c>
    </row>
    <row r="1413" spans="1:5" x14ac:dyDescent="0.2">
      <c r="A1413">
        <v>6</v>
      </c>
      <c r="B1413" t="s">
        <v>55</v>
      </c>
      <c r="C1413">
        <v>0</v>
      </c>
      <c r="D1413">
        <v>1</v>
      </c>
      <c r="E1413" t="str">
        <f t="shared" si="22"/>
        <v>Bounette/1/6/0</v>
      </c>
    </row>
    <row r="1414" spans="1:5" x14ac:dyDescent="0.2">
      <c r="A1414">
        <v>1</v>
      </c>
      <c r="B1414" t="s">
        <v>23</v>
      </c>
      <c r="C1414">
        <v>2</v>
      </c>
      <c r="D1414">
        <v>16</v>
      </c>
      <c r="E1414" t="str">
        <f t="shared" si="22"/>
        <v>Lylith75/16/1/2</v>
      </c>
    </row>
    <row r="1415" spans="1:5" x14ac:dyDescent="0.2">
      <c r="A1415">
        <v>2</v>
      </c>
      <c r="B1415" t="s">
        <v>75</v>
      </c>
      <c r="C1415">
        <v>2</v>
      </c>
      <c r="D1415">
        <v>12</v>
      </c>
      <c r="E1415" t="str">
        <f t="shared" si="22"/>
        <v>Michelbey/12/2/2</v>
      </c>
    </row>
    <row r="1416" spans="1:5" x14ac:dyDescent="0.2">
      <c r="A1416">
        <v>3</v>
      </c>
      <c r="B1416" t="s">
        <v>47</v>
      </c>
      <c r="C1416">
        <v>0</v>
      </c>
      <c r="D1416">
        <v>8</v>
      </c>
      <c r="E1416" t="str">
        <f t="shared" si="22"/>
        <v>Logan/8/3/0</v>
      </c>
    </row>
    <row r="1417" spans="1:5" x14ac:dyDescent="0.2">
      <c r="A1417">
        <v>4</v>
      </c>
      <c r="B1417" t="s">
        <v>53</v>
      </c>
      <c r="C1417">
        <v>1</v>
      </c>
      <c r="D1417">
        <v>4</v>
      </c>
      <c r="E1417" t="str">
        <f t="shared" si="22"/>
        <v>Makoche/4/4/1</v>
      </c>
    </row>
    <row r="1418" spans="1:5" x14ac:dyDescent="0.2">
      <c r="A1418">
        <v>5</v>
      </c>
      <c r="B1418" t="s">
        <v>88</v>
      </c>
      <c r="C1418">
        <v>0</v>
      </c>
      <c r="D1418">
        <v>2</v>
      </c>
      <c r="E1418" t="str">
        <f t="shared" si="22"/>
        <v>Yarael/2/5/0</v>
      </c>
    </row>
    <row r="1419" spans="1:5" x14ac:dyDescent="0.2">
      <c r="A1419">
        <v>6</v>
      </c>
      <c r="B1419" t="s">
        <v>18</v>
      </c>
      <c r="C1419">
        <v>0</v>
      </c>
      <c r="D1419">
        <v>1</v>
      </c>
      <c r="E1419" t="str">
        <f t="shared" si="22"/>
        <v>MAMS/1/6/0</v>
      </c>
    </row>
    <row r="1420" spans="1:5" x14ac:dyDescent="0.2">
      <c r="A1420">
        <v>1</v>
      </c>
      <c r="B1420" t="s">
        <v>68</v>
      </c>
      <c r="C1420">
        <v>3</v>
      </c>
      <c r="D1420">
        <v>15</v>
      </c>
      <c r="E1420" t="str">
        <f t="shared" si="22"/>
        <v>zubbaz/15/1/3</v>
      </c>
    </row>
    <row r="1421" spans="1:5" x14ac:dyDescent="0.2">
      <c r="A1421">
        <v>2</v>
      </c>
      <c r="B1421" t="s">
        <v>41</v>
      </c>
      <c r="C1421">
        <v>1</v>
      </c>
      <c r="D1421">
        <v>11</v>
      </c>
      <c r="E1421" t="str">
        <f t="shared" si="22"/>
        <v>gibouille/11/2/1</v>
      </c>
    </row>
    <row r="1422" spans="1:5" x14ac:dyDescent="0.2">
      <c r="A1422">
        <v>3</v>
      </c>
      <c r="B1422" t="s">
        <v>46</v>
      </c>
      <c r="C1422">
        <v>0</v>
      </c>
      <c r="D1422">
        <v>7</v>
      </c>
      <c r="E1422" t="str">
        <f t="shared" si="22"/>
        <v>Jérôme/7/3/0</v>
      </c>
    </row>
    <row r="1423" spans="1:5" x14ac:dyDescent="0.2">
      <c r="A1423">
        <v>4</v>
      </c>
      <c r="B1423" t="s">
        <v>61</v>
      </c>
      <c r="C1423">
        <v>0</v>
      </c>
      <c r="D1423">
        <v>3</v>
      </c>
      <c r="E1423" t="str">
        <f t="shared" si="22"/>
        <v>Kri-lin/3/4/0</v>
      </c>
    </row>
    <row r="1424" spans="1:5" x14ac:dyDescent="0.2">
      <c r="A1424">
        <v>5</v>
      </c>
      <c r="B1424" t="s">
        <v>54</v>
      </c>
      <c r="C1424">
        <v>0</v>
      </c>
      <c r="D1424">
        <v>1</v>
      </c>
      <c r="E1424" t="str">
        <f t="shared" si="22"/>
        <v>Salsamanu/1/5/0</v>
      </c>
    </row>
    <row r="1425" spans="1:5" x14ac:dyDescent="0.2">
      <c r="A1425">
        <v>1</v>
      </c>
      <c r="B1425" t="s">
        <v>19</v>
      </c>
      <c r="C1425">
        <v>2</v>
      </c>
      <c r="D1425">
        <v>16</v>
      </c>
      <c r="E1425" t="str">
        <f t="shared" si="22"/>
        <v>Giobeck/16/1/2</v>
      </c>
    </row>
    <row r="1426" spans="1:5" x14ac:dyDescent="0.2">
      <c r="A1426">
        <v>2</v>
      </c>
      <c r="B1426" t="s">
        <v>25</v>
      </c>
      <c r="C1426">
        <v>0</v>
      </c>
      <c r="D1426">
        <v>12</v>
      </c>
      <c r="E1426" t="str">
        <f t="shared" si="22"/>
        <v>Claudius/12/2/0</v>
      </c>
    </row>
    <row r="1427" spans="1:5" x14ac:dyDescent="0.2">
      <c r="A1427">
        <v>3</v>
      </c>
      <c r="B1427" t="s">
        <v>40</v>
      </c>
      <c r="C1427">
        <v>3</v>
      </c>
      <c r="D1427">
        <v>8</v>
      </c>
      <c r="E1427" t="str">
        <f t="shared" si="22"/>
        <v>Lén@/8/3/3</v>
      </c>
    </row>
    <row r="1428" spans="1:5" x14ac:dyDescent="0.2">
      <c r="A1428">
        <v>4</v>
      </c>
      <c r="B1428" t="s">
        <v>35</v>
      </c>
      <c r="C1428">
        <v>0</v>
      </c>
      <c r="D1428">
        <v>4</v>
      </c>
      <c r="E1428" t="str">
        <f t="shared" si="22"/>
        <v>JeanMichelTiming/4/4/0</v>
      </c>
    </row>
    <row r="1429" spans="1:5" x14ac:dyDescent="0.2">
      <c r="A1429">
        <v>5</v>
      </c>
      <c r="B1429" t="s">
        <v>6</v>
      </c>
      <c r="C1429">
        <v>0</v>
      </c>
      <c r="D1429">
        <v>2</v>
      </c>
      <c r="E1429" t="str">
        <f t="shared" si="22"/>
        <v>Pyja/2/5/0</v>
      </c>
    </row>
    <row r="1430" spans="1:5" x14ac:dyDescent="0.2">
      <c r="A1430">
        <v>6</v>
      </c>
      <c r="B1430" t="s">
        <v>15</v>
      </c>
      <c r="C1430">
        <v>0</v>
      </c>
      <c r="D1430">
        <v>1</v>
      </c>
      <c r="E1430" t="str">
        <f t="shared" si="22"/>
        <v>LAAtof/1/6/0</v>
      </c>
    </row>
    <row r="1431" spans="1:5" x14ac:dyDescent="0.2">
      <c r="A1431">
        <v>1</v>
      </c>
      <c r="B1431" t="s">
        <v>28</v>
      </c>
      <c r="C1431">
        <v>1</v>
      </c>
      <c r="D1431">
        <v>15</v>
      </c>
      <c r="E1431" t="str">
        <f t="shared" si="22"/>
        <v>sobab/15/1/1</v>
      </c>
    </row>
    <row r="1432" spans="1:5" x14ac:dyDescent="0.2">
      <c r="A1432">
        <v>2</v>
      </c>
      <c r="B1432" t="s">
        <v>21</v>
      </c>
      <c r="C1432">
        <v>1</v>
      </c>
      <c r="D1432">
        <v>11</v>
      </c>
      <c r="E1432" t="str">
        <f t="shared" si="22"/>
        <v>Carmin/11/2/1</v>
      </c>
    </row>
    <row r="1433" spans="1:5" x14ac:dyDescent="0.2">
      <c r="A1433">
        <v>3</v>
      </c>
      <c r="B1433" t="s">
        <v>65</v>
      </c>
      <c r="C1433">
        <v>1</v>
      </c>
      <c r="D1433">
        <v>7</v>
      </c>
      <c r="E1433" t="str">
        <f t="shared" si="22"/>
        <v>Ripolin/7/3/1</v>
      </c>
    </row>
    <row r="1434" spans="1:5" x14ac:dyDescent="0.2">
      <c r="A1434">
        <v>4</v>
      </c>
      <c r="B1434" t="s">
        <v>87</v>
      </c>
      <c r="C1434">
        <v>1</v>
      </c>
      <c r="D1434">
        <v>3</v>
      </c>
      <c r="E1434" t="str">
        <f t="shared" si="22"/>
        <v>Proph@ne/3/4/1</v>
      </c>
    </row>
    <row r="1435" spans="1:5" x14ac:dyDescent="0.2">
      <c r="A1435">
        <v>5</v>
      </c>
      <c r="B1435" t="s">
        <v>66</v>
      </c>
      <c r="C1435">
        <v>0</v>
      </c>
      <c r="D1435">
        <v>1</v>
      </c>
      <c r="E1435" t="str">
        <f t="shared" si="22"/>
        <v>Ad Vitam/1/5/0</v>
      </c>
    </row>
    <row r="1436" spans="1:5" x14ac:dyDescent="0.2">
      <c r="A1436">
        <v>1</v>
      </c>
      <c r="B1436" t="s">
        <v>46</v>
      </c>
      <c r="C1436">
        <v>2</v>
      </c>
      <c r="D1436">
        <v>17</v>
      </c>
      <c r="E1436" t="str">
        <f t="shared" si="22"/>
        <v>Jérôme/17/1/2</v>
      </c>
    </row>
    <row r="1437" spans="1:5" x14ac:dyDescent="0.2">
      <c r="A1437">
        <v>2</v>
      </c>
      <c r="B1437" t="s">
        <v>68</v>
      </c>
      <c r="C1437">
        <v>2</v>
      </c>
      <c r="D1437">
        <v>13</v>
      </c>
      <c r="E1437" t="str">
        <f t="shared" si="22"/>
        <v>zubbaz/13/2/2</v>
      </c>
    </row>
    <row r="1438" spans="1:5" x14ac:dyDescent="0.2">
      <c r="A1438">
        <v>3</v>
      </c>
      <c r="B1438" t="s">
        <v>55</v>
      </c>
      <c r="C1438">
        <v>2</v>
      </c>
      <c r="D1438">
        <v>9</v>
      </c>
      <c r="E1438" t="str">
        <f t="shared" si="22"/>
        <v>Bounette/9/3/2</v>
      </c>
    </row>
    <row r="1439" spans="1:5" x14ac:dyDescent="0.2">
      <c r="A1439">
        <v>4</v>
      </c>
      <c r="B1439" t="s">
        <v>39</v>
      </c>
      <c r="C1439">
        <v>0</v>
      </c>
      <c r="D1439">
        <v>5</v>
      </c>
      <c r="E1439" t="str">
        <f t="shared" si="22"/>
        <v>kheops/5/4/0</v>
      </c>
    </row>
    <row r="1440" spans="1:5" x14ac:dyDescent="0.2">
      <c r="A1440">
        <v>5</v>
      </c>
      <c r="B1440" t="s">
        <v>21</v>
      </c>
      <c r="C1440">
        <v>0</v>
      </c>
      <c r="D1440">
        <v>3</v>
      </c>
      <c r="E1440" t="str">
        <f t="shared" si="22"/>
        <v>Carmin/3/5/0</v>
      </c>
    </row>
    <row r="1441" spans="1:5" x14ac:dyDescent="0.2">
      <c r="A1441">
        <v>6</v>
      </c>
      <c r="B1441" t="s">
        <v>33</v>
      </c>
      <c r="C1441">
        <v>0</v>
      </c>
      <c r="D1441">
        <v>2</v>
      </c>
      <c r="E1441" t="str">
        <f t="shared" si="22"/>
        <v>Ptit Savoyard/2/6/0</v>
      </c>
    </row>
    <row r="1442" spans="1:5" x14ac:dyDescent="0.2">
      <c r="A1442">
        <v>7</v>
      </c>
      <c r="B1442" t="s">
        <v>102</v>
      </c>
      <c r="C1442">
        <v>0</v>
      </c>
      <c r="D1442">
        <v>1</v>
      </c>
      <c r="E1442" t="str">
        <f t="shared" si="22"/>
        <v>Doudoululu/1/7/0</v>
      </c>
    </row>
    <row r="1443" spans="1:5" x14ac:dyDescent="0.2">
      <c r="A1443">
        <v>1</v>
      </c>
      <c r="B1443" t="s">
        <v>19</v>
      </c>
      <c r="C1443">
        <v>3</v>
      </c>
      <c r="D1443">
        <v>16</v>
      </c>
      <c r="E1443" t="str">
        <f t="shared" si="22"/>
        <v>Giobeck/16/1/3</v>
      </c>
    </row>
    <row r="1444" spans="1:5" x14ac:dyDescent="0.2">
      <c r="A1444">
        <v>2</v>
      </c>
      <c r="B1444" t="s">
        <v>345</v>
      </c>
      <c r="C1444">
        <v>0</v>
      </c>
      <c r="D1444">
        <v>12</v>
      </c>
      <c r="E1444" t="str">
        <f t="shared" si="22"/>
        <v>Thibaultp75/12/2/0</v>
      </c>
    </row>
    <row r="1445" spans="1:5" x14ac:dyDescent="0.2">
      <c r="A1445">
        <v>3</v>
      </c>
      <c r="B1445" t="s">
        <v>61</v>
      </c>
      <c r="C1445">
        <v>0</v>
      </c>
      <c r="D1445">
        <v>8</v>
      </c>
      <c r="E1445" t="str">
        <f t="shared" si="22"/>
        <v>Kri-lin/8/3/0</v>
      </c>
    </row>
    <row r="1446" spans="1:5" x14ac:dyDescent="0.2">
      <c r="A1446">
        <v>4</v>
      </c>
      <c r="B1446" t="s">
        <v>65</v>
      </c>
      <c r="C1446">
        <v>2</v>
      </c>
      <c r="D1446">
        <v>4</v>
      </c>
      <c r="E1446" t="str">
        <f t="shared" si="22"/>
        <v>Ripolin/4/4/2</v>
      </c>
    </row>
    <row r="1447" spans="1:5" x14ac:dyDescent="0.2">
      <c r="A1447">
        <v>5</v>
      </c>
      <c r="B1447" t="s">
        <v>69</v>
      </c>
      <c r="C1447">
        <v>0</v>
      </c>
      <c r="D1447">
        <v>2</v>
      </c>
      <c r="E1447" t="str">
        <f t="shared" si="22"/>
        <v>Catherine/2/5/0</v>
      </c>
    </row>
    <row r="1448" spans="1:5" x14ac:dyDescent="0.2">
      <c r="A1448">
        <v>6</v>
      </c>
      <c r="B1448" t="s">
        <v>74</v>
      </c>
      <c r="C1448">
        <v>0</v>
      </c>
      <c r="D1448">
        <v>1</v>
      </c>
      <c r="E1448" t="str">
        <f t="shared" si="22"/>
        <v>PatB/1/6/0</v>
      </c>
    </row>
    <row r="1449" spans="1:5" x14ac:dyDescent="0.2">
      <c r="A1449">
        <v>1</v>
      </c>
      <c r="B1449" t="s">
        <v>53</v>
      </c>
      <c r="C1449">
        <v>2</v>
      </c>
      <c r="D1449">
        <v>17</v>
      </c>
      <c r="E1449" t="str">
        <f t="shared" si="22"/>
        <v>Makoche/17/1/2</v>
      </c>
    </row>
    <row r="1450" spans="1:5" x14ac:dyDescent="0.2">
      <c r="A1450">
        <v>2</v>
      </c>
      <c r="B1450" t="s">
        <v>101</v>
      </c>
      <c r="C1450">
        <v>3</v>
      </c>
      <c r="D1450">
        <v>13</v>
      </c>
      <c r="E1450" t="str">
        <f t="shared" si="22"/>
        <v>ChrisFrankfurt/13/2/3</v>
      </c>
    </row>
    <row r="1451" spans="1:5" x14ac:dyDescent="0.2">
      <c r="A1451">
        <v>3</v>
      </c>
      <c r="B1451" t="s">
        <v>35</v>
      </c>
      <c r="C1451">
        <v>1</v>
      </c>
      <c r="D1451">
        <v>9</v>
      </c>
      <c r="E1451" t="str">
        <f t="shared" si="22"/>
        <v>JeanMichelTiming/9/3/1</v>
      </c>
    </row>
    <row r="1452" spans="1:5" x14ac:dyDescent="0.2">
      <c r="A1452">
        <v>4</v>
      </c>
      <c r="B1452" t="s">
        <v>41</v>
      </c>
      <c r="C1452">
        <v>0</v>
      </c>
      <c r="D1452">
        <v>5</v>
      </c>
      <c r="E1452" t="str">
        <f t="shared" si="22"/>
        <v>gibouille/5/4/0</v>
      </c>
    </row>
    <row r="1453" spans="1:5" x14ac:dyDescent="0.2">
      <c r="A1453">
        <v>5</v>
      </c>
      <c r="B1453" t="s">
        <v>305</v>
      </c>
      <c r="C1453">
        <v>0</v>
      </c>
      <c r="D1453">
        <v>3</v>
      </c>
      <c r="E1453" t="str">
        <f t="shared" si="22"/>
        <v>flowww/3/5/0</v>
      </c>
    </row>
    <row r="1454" spans="1:5" x14ac:dyDescent="0.2">
      <c r="A1454">
        <v>6</v>
      </c>
      <c r="B1454" t="s">
        <v>47</v>
      </c>
      <c r="C1454">
        <v>0</v>
      </c>
      <c r="D1454">
        <v>2</v>
      </c>
      <c r="E1454" t="str">
        <f t="shared" si="22"/>
        <v>Logan/2/6/0</v>
      </c>
    </row>
    <row r="1455" spans="1:5" x14ac:dyDescent="0.2">
      <c r="A1455">
        <v>7</v>
      </c>
      <c r="B1455" t="s">
        <v>59</v>
      </c>
      <c r="C1455">
        <v>0</v>
      </c>
      <c r="D1455">
        <v>1</v>
      </c>
      <c r="E1455" t="str">
        <f t="shared" si="22"/>
        <v>YooooDA/1/7/0</v>
      </c>
    </row>
    <row r="1456" spans="1:5" x14ac:dyDescent="0.2">
      <c r="A1456">
        <v>1</v>
      </c>
      <c r="B1456" t="s">
        <v>369</v>
      </c>
      <c r="C1456">
        <v>5</v>
      </c>
      <c r="D1456">
        <v>16</v>
      </c>
      <c r="E1456" t="str">
        <f t="shared" si="22"/>
        <v>Thibault/16/1/5</v>
      </c>
    </row>
    <row r="1457" spans="1:5" x14ac:dyDescent="0.2">
      <c r="A1457">
        <v>2</v>
      </c>
      <c r="B1457" t="s">
        <v>98</v>
      </c>
      <c r="C1457">
        <v>0</v>
      </c>
      <c r="D1457">
        <v>12</v>
      </c>
      <c r="E1457" t="str">
        <f t="shared" si="22"/>
        <v>Blocknote/12/2/0</v>
      </c>
    </row>
    <row r="1458" spans="1:5" x14ac:dyDescent="0.2">
      <c r="A1458">
        <v>3</v>
      </c>
      <c r="B1458" t="s">
        <v>60</v>
      </c>
      <c r="C1458">
        <v>0</v>
      </c>
      <c r="D1458">
        <v>8</v>
      </c>
      <c r="E1458" t="str">
        <f t="shared" si="22"/>
        <v>zizou/8/3/0</v>
      </c>
    </row>
    <row r="1459" spans="1:5" x14ac:dyDescent="0.2">
      <c r="A1459">
        <v>4</v>
      </c>
      <c r="B1459" t="s">
        <v>54</v>
      </c>
      <c r="C1459">
        <v>0</v>
      </c>
      <c r="D1459">
        <v>4</v>
      </c>
      <c r="E1459" t="str">
        <f t="shared" si="22"/>
        <v>Salsamanu/4/4/0</v>
      </c>
    </row>
    <row r="1460" spans="1:5" x14ac:dyDescent="0.2">
      <c r="A1460">
        <v>5</v>
      </c>
      <c r="B1460" t="s">
        <v>12</v>
      </c>
      <c r="C1460">
        <v>0</v>
      </c>
      <c r="D1460">
        <v>2</v>
      </c>
      <c r="E1460" t="str">
        <f t="shared" si="22"/>
        <v>Gnak/2/5/0</v>
      </c>
    </row>
    <row r="1461" spans="1:5" x14ac:dyDescent="0.2">
      <c r="A1461">
        <v>6</v>
      </c>
      <c r="B1461" t="s">
        <v>87</v>
      </c>
      <c r="C1461">
        <v>0</v>
      </c>
      <c r="D1461">
        <v>1</v>
      </c>
      <c r="E1461" t="str">
        <f t="shared" si="22"/>
        <v>Proph@ne/1/6/0</v>
      </c>
    </row>
    <row r="1462" spans="1:5" x14ac:dyDescent="0.2">
      <c r="A1462">
        <v>1</v>
      </c>
      <c r="B1462" t="s">
        <v>6</v>
      </c>
      <c r="C1462">
        <v>1</v>
      </c>
      <c r="D1462">
        <v>17</v>
      </c>
      <c r="E1462" t="str">
        <f t="shared" si="22"/>
        <v>Pyja/17/1/1</v>
      </c>
    </row>
    <row r="1463" spans="1:5" x14ac:dyDescent="0.2">
      <c r="A1463">
        <v>2</v>
      </c>
      <c r="B1463" t="s">
        <v>26</v>
      </c>
      <c r="C1463">
        <v>3</v>
      </c>
      <c r="D1463">
        <v>13</v>
      </c>
      <c r="E1463" t="str">
        <f t="shared" si="22"/>
        <v>LOSOGRE/13/2/3</v>
      </c>
    </row>
    <row r="1464" spans="1:5" x14ac:dyDescent="0.2">
      <c r="A1464">
        <v>3</v>
      </c>
      <c r="B1464" t="s">
        <v>76</v>
      </c>
      <c r="C1464">
        <v>1</v>
      </c>
      <c r="D1464">
        <v>9</v>
      </c>
      <c r="E1464" t="str">
        <f t="shared" si="22"/>
        <v>Comment2/9/3/1</v>
      </c>
    </row>
    <row r="1465" spans="1:5" x14ac:dyDescent="0.2">
      <c r="A1465">
        <v>4</v>
      </c>
      <c r="B1465" t="s">
        <v>28</v>
      </c>
      <c r="C1465">
        <v>1</v>
      </c>
      <c r="D1465">
        <v>5</v>
      </c>
      <c r="E1465" t="str">
        <f t="shared" si="22"/>
        <v>sobab/5/4/1</v>
      </c>
    </row>
    <row r="1466" spans="1:5" x14ac:dyDescent="0.2">
      <c r="A1466">
        <v>5</v>
      </c>
      <c r="B1466" t="s">
        <v>42</v>
      </c>
      <c r="C1466">
        <v>0</v>
      </c>
      <c r="D1466">
        <v>3</v>
      </c>
      <c r="E1466" t="str">
        <f t="shared" si="22"/>
        <v>Claptou/3/5/0</v>
      </c>
    </row>
    <row r="1467" spans="1:5" x14ac:dyDescent="0.2">
      <c r="A1467">
        <v>6</v>
      </c>
      <c r="B1467" t="s">
        <v>15</v>
      </c>
      <c r="C1467">
        <v>0</v>
      </c>
      <c r="D1467">
        <v>2</v>
      </c>
      <c r="E1467" t="str">
        <f t="shared" si="22"/>
        <v>LAAtof/2/6/0</v>
      </c>
    </row>
    <row r="1468" spans="1:5" x14ac:dyDescent="0.2">
      <c r="A1468">
        <v>7</v>
      </c>
      <c r="B1468" t="s">
        <v>32</v>
      </c>
      <c r="C1468">
        <v>0</v>
      </c>
      <c r="D1468">
        <v>1</v>
      </c>
      <c r="E1468" t="str">
        <f t="shared" si="22"/>
        <v>OlivierN92/1/7/0</v>
      </c>
    </row>
    <row r="1469" spans="1:5" x14ac:dyDescent="0.2">
      <c r="A1469">
        <v>1</v>
      </c>
      <c r="B1469" t="s">
        <v>73</v>
      </c>
      <c r="C1469">
        <v>3</v>
      </c>
      <c r="D1469">
        <v>17</v>
      </c>
      <c r="E1469" t="str">
        <f t="shared" si="22"/>
        <v>Flem/17/1/3</v>
      </c>
    </row>
    <row r="1470" spans="1:5" x14ac:dyDescent="0.2">
      <c r="A1470">
        <v>2</v>
      </c>
      <c r="B1470" t="s">
        <v>75</v>
      </c>
      <c r="C1470">
        <v>3</v>
      </c>
      <c r="D1470">
        <v>13</v>
      </c>
      <c r="E1470" t="str">
        <f t="shared" si="22"/>
        <v>Michelbey/13/2/3</v>
      </c>
    </row>
    <row r="1471" spans="1:5" x14ac:dyDescent="0.2">
      <c r="A1471">
        <v>3</v>
      </c>
      <c r="B1471" t="s">
        <v>368</v>
      </c>
      <c r="C1471">
        <v>0</v>
      </c>
      <c r="D1471">
        <v>9</v>
      </c>
      <c r="E1471" t="str">
        <f t="shared" si="22"/>
        <v>Wasp/9/3/0</v>
      </c>
    </row>
    <row r="1472" spans="1:5" x14ac:dyDescent="0.2">
      <c r="A1472">
        <v>4</v>
      </c>
      <c r="B1472" t="s">
        <v>14</v>
      </c>
      <c r="C1472">
        <v>0</v>
      </c>
      <c r="D1472">
        <v>5</v>
      </c>
      <c r="E1472" t="str">
        <f t="shared" si="22"/>
        <v>Ramm/5/4/0</v>
      </c>
    </row>
    <row r="1473" spans="1:5" x14ac:dyDescent="0.2">
      <c r="A1473">
        <v>5</v>
      </c>
      <c r="B1473" t="s">
        <v>25</v>
      </c>
      <c r="C1473">
        <v>0</v>
      </c>
      <c r="D1473">
        <v>3</v>
      </c>
      <c r="E1473" t="str">
        <f t="shared" ref="E1473:E1536" si="23">B1473&amp;"/"&amp;D1473&amp;"/"&amp;A1473&amp;"/"&amp;C1473</f>
        <v>Claudius/3/5/0</v>
      </c>
    </row>
    <row r="1474" spans="1:5" x14ac:dyDescent="0.2">
      <c r="A1474">
        <v>6</v>
      </c>
      <c r="B1474" t="s">
        <v>8</v>
      </c>
      <c r="C1474">
        <v>0</v>
      </c>
      <c r="D1474">
        <v>2</v>
      </c>
      <c r="E1474" t="str">
        <f t="shared" si="23"/>
        <v>Maxime/2/6/0</v>
      </c>
    </row>
    <row r="1475" spans="1:5" x14ac:dyDescent="0.2">
      <c r="A1475">
        <v>7</v>
      </c>
      <c r="B1475" t="s">
        <v>9</v>
      </c>
      <c r="C1475">
        <v>0</v>
      </c>
      <c r="D1475">
        <v>1</v>
      </c>
      <c r="E1475" t="str">
        <f t="shared" si="23"/>
        <v>K1/1/7/0</v>
      </c>
    </row>
    <row r="1476" spans="1:5" x14ac:dyDescent="0.2">
      <c r="A1476">
        <v>1</v>
      </c>
      <c r="B1476" t="s">
        <v>12</v>
      </c>
      <c r="C1476">
        <v>4</v>
      </c>
      <c r="D1476">
        <v>16</v>
      </c>
      <c r="E1476" t="str">
        <f t="shared" si="23"/>
        <v>Gnak/16/1/4</v>
      </c>
    </row>
    <row r="1477" spans="1:5" x14ac:dyDescent="0.2">
      <c r="A1477">
        <v>2</v>
      </c>
      <c r="B1477" t="s">
        <v>75</v>
      </c>
      <c r="C1477">
        <v>0</v>
      </c>
      <c r="D1477">
        <v>12</v>
      </c>
      <c r="E1477" t="str">
        <f t="shared" si="23"/>
        <v>Michelbey/12/2/0</v>
      </c>
    </row>
    <row r="1478" spans="1:5" x14ac:dyDescent="0.2">
      <c r="A1478">
        <v>3</v>
      </c>
      <c r="B1478" t="s">
        <v>29</v>
      </c>
      <c r="C1478">
        <v>1</v>
      </c>
      <c r="D1478">
        <v>8</v>
      </c>
      <c r="E1478" t="str">
        <f t="shared" si="23"/>
        <v>NoDoubt/8/3/1</v>
      </c>
    </row>
    <row r="1479" spans="1:5" x14ac:dyDescent="0.2">
      <c r="A1479">
        <v>4</v>
      </c>
      <c r="B1479" t="s">
        <v>60</v>
      </c>
      <c r="C1479">
        <v>0</v>
      </c>
      <c r="D1479">
        <v>4</v>
      </c>
      <c r="E1479" t="str">
        <f t="shared" si="23"/>
        <v>zizou/4/4/0</v>
      </c>
    </row>
    <row r="1480" spans="1:5" x14ac:dyDescent="0.2">
      <c r="A1480">
        <v>5</v>
      </c>
      <c r="B1480" t="s">
        <v>65</v>
      </c>
      <c r="C1480">
        <v>0</v>
      </c>
      <c r="D1480">
        <v>2</v>
      </c>
      <c r="E1480" t="str">
        <f t="shared" si="23"/>
        <v>Ripolin/2/5/0</v>
      </c>
    </row>
    <row r="1481" spans="1:5" x14ac:dyDescent="0.2">
      <c r="A1481">
        <v>6</v>
      </c>
      <c r="B1481" t="s">
        <v>42</v>
      </c>
      <c r="C1481">
        <v>0</v>
      </c>
      <c r="D1481">
        <v>1</v>
      </c>
      <c r="E1481" t="str">
        <f t="shared" si="23"/>
        <v>Claptou/1/6/0</v>
      </c>
    </row>
    <row r="1482" spans="1:5" x14ac:dyDescent="0.2">
      <c r="A1482">
        <v>1</v>
      </c>
      <c r="B1482" t="s">
        <v>66</v>
      </c>
      <c r="C1482">
        <v>4</v>
      </c>
      <c r="D1482">
        <v>16</v>
      </c>
      <c r="E1482" t="str">
        <f t="shared" si="23"/>
        <v>Ad Vitam/16/1/4</v>
      </c>
    </row>
    <row r="1483" spans="1:5" x14ac:dyDescent="0.2">
      <c r="A1483">
        <v>2</v>
      </c>
      <c r="B1483" t="s">
        <v>9</v>
      </c>
      <c r="C1483">
        <v>0</v>
      </c>
      <c r="D1483">
        <v>12</v>
      </c>
      <c r="E1483" t="str">
        <f t="shared" si="23"/>
        <v>K1/12/2/0</v>
      </c>
    </row>
    <row r="1484" spans="1:5" x14ac:dyDescent="0.2">
      <c r="A1484">
        <v>3</v>
      </c>
      <c r="B1484" t="s">
        <v>46</v>
      </c>
      <c r="C1484">
        <v>0</v>
      </c>
      <c r="D1484">
        <v>8</v>
      </c>
      <c r="E1484" t="str">
        <f t="shared" si="23"/>
        <v>Jérôme/8/3/0</v>
      </c>
    </row>
    <row r="1485" spans="1:5" x14ac:dyDescent="0.2">
      <c r="A1485">
        <v>4</v>
      </c>
      <c r="B1485" t="s">
        <v>101</v>
      </c>
      <c r="C1485">
        <v>1</v>
      </c>
      <c r="D1485">
        <v>4</v>
      </c>
      <c r="E1485" t="str">
        <f t="shared" si="23"/>
        <v>ChrisFrankfurt/4/4/1</v>
      </c>
    </row>
    <row r="1486" spans="1:5" x14ac:dyDescent="0.2">
      <c r="A1486">
        <v>5</v>
      </c>
      <c r="B1486" t="s">
        <v>39</v>
      </c>
      <c r="C1486">
        <v>0</v>
      </c>
      <c r="D1486">
        <v>2</v>
      </c>
      <c r="E1486" t="str">
        <f t="shared" si="23"/>
        <v>kheops/2/5/0</v>
      </c>
    </row>
    <row r="1487" spans="1:5" x14ac:dyDescent="0.2">
      <c r="A1487">
        <v>6</v>
      </c>
      <c r="B1487" t="s">
        <v>22</v>
      </c>
      <c r="C1487">
        <v>0</v>
      </c>
      <c r="D1487">
        <v>1</v>
      </c>
      <c r="E1487" t="str">
        <f t="shared" si="23"/>
        <v>Dart 45/1/6/0</v>
      </c>
    </row>
    <row r="1488" spans="1:5" x14ac:dyDescent="0.2">
      <c r="A1488">
        <v>1</v>
      </c>
      <c r="B1488" t="s">
        <v>98</v>
      </c>
      <c r="C1488">
        <v>3</v>
      </c>
      <c r="D1488">
        <v>16</v>
      </c>
      <c r="E1488" t="str">
        <f t="shared" si="23"/>
        <v>Blocknote/16/1/3</v>
      </c>
    </row>
    <row r="1489" spans="1:5" x14ac:dyDescent="0.2">
      <c r="A1489">
        <v>2</v>
      </c>
      <c r="B1489" t="s">
        <v>45</v>
      </c>
      <c r="C1489">
        <v>2</v>
      </c>
      <c r="D1489">
        <v>12</v>
      </c>
      <c r="E1489" t="str">
        <f t="shared" si="23"/>
        <v>yaltar/12/2/2</v>
      </c>
    </row>
    <row r="1490" spans="1:5" x14ac:dyDescent="0.2">
      <c r="A1490">
        <v>3</v>
      </c>
      <c r="B1490" t="s">
        <v>61</v>
      </c>
      <c r="C1490">
        <v>0</v>
      </c>
      <c r="D1490">
        <v>8</v>
      </c>
      <c r="E1490" t="str">
        <f t="shared" si="23"/>
        <v>Kri-lin/8/3/0</v>
      </c>
    </row>
    <row r="1491" spans="1:5" x14ac:dyDescent="0.2">
      <c r="A1491">
        <v>4</v>
      </c>
      <c r="B1491" t="s">
        <v>52</v>
      </c>
      <c r="C1491">
        <v>0</v>
      </c>
      <c r="D1491">
        <v>4</v>
      </c>
      <c r="E1491" t="str">
        <f t="shared" si="23"/>
        <v>Coach Pepito/4/4/0</v>
      </c>
    </row>
    <row r="1492" spans="1:5" x14ac:dyDescent="0.2">
      <c r="A1492">
        <v>5</v>
      </c>
      <c r="B1492" t="s">
        <v>35</v>
      </c>
      <c r="C1492">
        <v>0</v>
      </c>
      <c r="D1492">
        <v>2</v>
      </c>
      <c r="E1492" t="str">
        <f t="shared" si="23"/>
        <v>JeanMichelTiming/2/5/0</v>
      </c>
    </row>
    <row r="1493" spans="1:5" x14ac:dyDescent="0.2">
      <c r="A1493">
        <v>6</v>
      </c>
      <c r="B1493" t="s">
        <v>8</v>
      </c>
      <c r="C1493">
        <v>0</v>
      </c>
      <c r="D1493">
        <v>1</v>
      </c>
      <c r="E1493" t="str">
        <f t="shared" si="23"/>
        <v>Maxime/1/6/0</v>
      </c>
    </row>
    <row r="1494" spans="1:5" x14ac:dyDescent="0.2">
      <c r="A1494">
        <v>1</v>
      </c>
      <c r="B1494" t="s">
        <v>41</v>
      </c>
      <c r="C1494">
        <v>2</v>
      </c>
      <c r="D1494">
        <v>16</v>
      </c>
      <c r="E1494" t="str">
        <f t="shared" si="23"/>
        <v>gibouille/16/1/2</v>
      </c>
    </row>
    <row r="1495" spans="1:5" x14ac:dyDescent="0.2">
      <c r="A1495">
        <v>2</v>
      </c>
      <c r="B1495" t="s">
        <v>76</v>
      </c>
      <c r="C1495">
        <v>2</v>
      </c>
      <c r="D1495">
        <v>12</v>
      </c>
      <c r="E1495" t="str">
        <f t="shared" si="23"/>
        <v>Comment2/12/2/2</v>
      </c>
    </row>
    <row r="1496" spans="1:5" x14ac:dyDescent="0.2">
      <c r="A1496">
        <v>3</v>
      </c>
      <c r="B1496" t="s">
        <v>55</v>
      </c>
      <c r="C1496">
        <v>0</v>
      </c>
      <c r="D1496">
        <v>8</v>
      </c>
      <c r="E1496" t="str">
        <f t="shared" si="23"/>
        <v>Bounette/8/3/0</v>
      </c>
    </row>
    <row r="1497" spans="1:5" x14ac:dyDescent="0.2">
      <c r="A1497">
        <v>4</v>
      </c>
      <c r="B1497" t="s">
        <v>54</v>
      </c>
      <c r="C1497">
        <v>0</v>
      </c>
      <c r="D1497">
        <v>4</v>
      </c>
      <c r="E1497" t="str">
        <f t="shared" si="23"/>
        <v>Salsamanu/4/4/0</v>
      </c>
    </row>
    <row r="1498" spans="1:5" x14ac:dyDescent="0.2">
      <c r="A1498">
        <v>5</v>
      </c>
      <c r="B1498" t="s">
        <v>28</v>
      </c>
      <c r="C1498">
        <v>1</v>
      </c>
      <c r="D1498">
        <v>2</v>
      </c>
      <c r="E1498" t="str">
        <f t="shared" si="23"/>
        <v>sobab/2/5/1</v>
      </c>
    </row>
    <row r="1499" spans="1:5" x14ac:dyDescent="0.2">
      <c r="A1499">
        <v>6</v>
      </c>
      <c r="B1499" t="s">
        <v>68</v>
      </c>
      <c r="C1499">
        <v>0</v>
      </c>
      <c r="D1499">
        <v>1</v>
      </c>
      <c r="E1499" t="str">
        <f t="shared" si="23"/>
        <v>zubbaz/1/6/0</v>
      </c>
    </row>
    <row r="1500" spans="1:5" x14ac:dyDescent="0.2">
      <c r="A1500">
        <v>1</v>
      </c>
      <c r="B1500" t="s">
        <v>69</v>
      </c>
      <c r="C1500">
        <v>1</v>
      </c>
      <c r="D1500">
        <v>16</v>
      </c>
      <c r="E1500" t="str">
        <f t="shared" si="23"/>
        <v>Catherine/16/1/1</v>
      </c>
    </row>
    <row r="1501" spans="1:5" x14ac:dyDescent="0.2">
      <c r="A1501">
        <v>2</v>
      </c>
      <c r="B1501" t="s">
        <v>26</v>
      </c>
      <c r="C1501">
        <v>3</v>
      </c>
      <c r="D1501">
        <v>12</v>
      </c>
      <c r="E1501" t="str">
        <f t="shared" si="23"/>
        <v>LOSOGRE/12/2/3</v>
      </c>
    </row>
    <row r="1502" spans="1:5" x14ac:dyDescent="0.2">
      <c r="A1502">
        <v>3</v>
      </c>
      <c r="B1502" t="s">
        <v>59</v>
      </c>
      <c r="C1502">
        <v>1</v>
      </c>
      <c r="D1502">
        <v>8</v>
      </c>
      <c r="E1502" t="str">
        <f t="shared" si="23"/>
        <v>YooooDA/8/3/1</v>
      </c>
    </row>
    <row r="1503" spans="1:5" x14ac:dyDescent="0.2">
      <c r="A1503">
        <v>4</v>
      </c>
      <c r="B1503" t="s">
        <v>92</v>
      </c>
      <c r="C1503">
        <v>0</v>
      </c>
      <c r="D1503">
        <v>4</v>
      </c>
      <c r="E1503" t="str">
        <f t="shared" si="23"/>
        <v>Jacks&amp;Five/4/4/0</v>
      </c>
    </row>
    <row r="1504" spans="1:5" x14ac:dyDescent="0.2">
      <c r="A1504">
        <v>5</v>
      </c>
      <c r="B1504" t="s">
        <v>74</v>
      </c>
      <c r="C1504">
        <v>0</v>
      </c>
      <c r="D1504">
        <v>2</v>
      </c>
      <c r="E1504" t="str">
        <f t="shared" si="23"/>
        <v>PatB/2/5/0</v>
      </c>
    </row>
    <row r="1505" spans="1:5" x14ac:dyDescent="0.2">
      <c r="A1505">
        <v>6</v>
      </c>
      <c r="B1505" t="s">
        <v>25</v>
      </c>
      <c r="C1505">
        <v>0</v>
      </c>
      <c r="D1505">
        <v>1</v>
      </c>
      <c r="E1505" t="str">
        <f t="shared" si="23"/>
        <v>Claudius/1/6/0</v>
      </c>
    </row>
    <row r="1506" spans="1:5" x14ac:dyDescent="0.2">
      <c r="A1506">
        <v>1</v>
      </c>
      <c r="B1506" t="s">
        <v>19</v>
      </c>
      <c r="C1506">
        <v>2</v>
      </c>
      <c r="D1506">
        <v>16</v>
      </c>
      <c r="E1506" t="str">
        <f t="shared" si="23"/>
        <v>Giobeck/16/1/2</v>
      </c>
    </row>
    <row r="1507" spans="1:5" x14ac:dyDescent="0.2">
      <c r="A1507">
        <v>2</v>
      </c>
      <c r="B1507" t="s">
        <v>6</v>
      </c>
      <c r="C1507">
        <v>2</v>
      </c>
      <c r="D1507">
        <v>12</v>
      </c>
      <c r="E1507" t="str">
        <f t="shared" si="23"/>
        <v>Pyja/12/2/2</v>
      </c>
    </row>
    <row r="1508" spans="1:5" x14ac:dyDescent="0.2">
      <c r="A1508">
        <v>3</v>
      </c>
      <c r="B1508" t="s">
        <v>73</v>
      </c>
      <c r="C1508">
        <v>0</v>
      </c>
      <c r="D1508">
        <v>8</v>
      </c>
      <c r="E1508" t="str">
        <f t="shared" si="23"/>
        <v>Flem/8/3/0</v>
      </c>
    </row>
    <row r="1509" spans="1:5" x14ac:dyDescent="0.2">
      <c r="A1509">
        <v>4</v>
      </c>
      <c r="B1509" t="s">
        <v>21</v>
      </c>
      <c r="C1509">
        <v>0</v>
      </c>
      <c r="D1509">
        <v>4</v>
      </c>
      <c r="E1509" t="str">
        <f t="shared" si="23"/>
        <v>Carmin/4/4/0</v>
      </c>
    </row>
    <row r="1510" spans="1:5" x14ac:dyDescent="0.2">
      <c r="A1510">
        <v>5</v>
      </c>
      <c r="B1510" t="s">
        <v>368</v>
      </c>
      <c r="C1510">
        <v>1</v>
      </c>
      <c r="D1510">
        <v>2</v>
      </c>
      <c r="E1510" t="str">
        <f t="shared" si="23"/>
        <v>Wasp/2/5/1</v>
      </c>
    </row>
    <row r="1511" spans="1:5" x14ac:dyDescent="0.2">
      <c r="A1511">
        <v>6</v>
      </c>
      <c r="B1511" t="s">
        <v>14</v>
      </c>
      <c r="C1511">
        <v>0</v>
      </c>
      <c r="D1511">
        <v>1</v>
      </c>
      <c r="E1511" t="str">
        <f t="shared" si="23"/>
        <v>Ramm/1/6/0</v>
      </c>
    </row>
    <row r="1512" spans="1:5" x14ac:dyDescent="0.2">
      <c r="A1512">
        <v>1</v>
      </c>
      <c r="B1512" t="s">
        <v>46</v>
      </c>
      <c r="C1512">
        <v>1</v>
      </c>
      <c r="D1512">
        <v>16</v>
      </c>
      <c r="E1512" t="str">
        <f t="shared" si="23"/>
        <v>Jérôme/16/1/1</v>
      </c>
    </row>
    <row r="1513" spans="1:5" x14ac:dyDescent="0.2">
      <c r="A1513">
        <v>2</v>
      </c>
      <c r="B1513" t="s">
        <v>52</v>
      </c>
      <c r="C1513">
        <v>4</v>
      </c>
      <c r="D1513">
        <v>12</v>
      </c>
      <c r="E1513" t="str">
        <f t="shared" si="23"/>
        <v>Coach Pepito/12/2/4</v>
      </c>
    </row>
    <row r="1514" spans="1:5" x14ac:dyDescent="0.2">
      <c r="A1514">
        <v>3</v>
      </c>
      <c r="B1514" t="s">
        <v>69</v>
      </c>
      <c r="C1514">
        <v>0</v>
      </c>
      <c r="D1514">
        <v>8</v>
      </c>
      <c r="E1514" t="str">
        <f t="shared" si="23"/>
        <v>Catherine/8/3/0</v>
      </c>
    </row>
    <row r="1515" spans="1:5" x14ac:dyDescent="0.2">
      <c r="A1515">
        <v>4</v>
      </c>
      <c r="B1515" t="s">
        <v>25</v>
      </c>
      <c r="C1515">
        <v>0</v>
      </c>
      <c r="D1515">
        <v>4</v>
      </c>
      <c r="E1515" t="str">
        <f t="shared" si="23"/>
        <v>Claudius/4/4/0</v>
      </c>
    </row>
    <row r="1516" spans="1:5" x14ac:dyDescent="0.2">
      <c r="A1516">
        <v>5</v>
      </c>
      <c r="B1516" t="s">
        <v>6</v>
      </c>
      <c r="C1516">
        <v>0</v>
      </c>
      <c r="D1516">
        <v>2</v>
      </c>
      <c r="E1516" t="str">
        <f t="shared" si="23"/>
        <v>Pyja/2/5/0</v>
      </c>
    </row>
    <row r="1517" spans="1:5" x14ac:dyDescent="0.2">
      <c r="A1517">
        <v>6</v>
      </c>
      <c r="B1517" t="s">
        <v>54</v>
      </c>
      <c r="C1517">
        <v>0</v>
      </c>
      <c r="D1517">
        <v>1</v>
      </c>
      <c r="E1517" t="str">
        <f t="shared" si="23"/>
        <v>Salsamanu/1/6/0</v>
      </c>
    </row>
    <row r="1518" spans="1:5" x14ac:dyDescent="0.2">
      <c r="A1518">
        <v>1</v>
      </c>
      <c r="B1518" t="s">
        <v>40</v>
      </c>
      <c r="C1518">
        <v>3</v>
      </c>
      <c r="D1518">
        <v>16</v>
      </c>
      <c r="E1518" t="str">
        <f t="shared" si="23"/>
        <v>Lén@/16/1/3</v>
      </c>
    </row>
    <row r="1519" spans="1:5" x14ac:dyDescent="0.2">
      <c r="A1519">
        <v>2</v>
      </c>
      <c r="B1519" t="s">
        <v>88</v>
      </c>
      <c r="C1519">
        <v>1</v>
      </c>
      <c r="D1519">
        <v>12</v>
      </c>
      <c r="E1519" t="str">
        <f t="shared" si="23"/>
        <v>Yarael/12/2/1</v>
      </c>
    </row>
    <row r="1520" spans="1:5" x14ac:dyDescent="0.2">
      <c r="A1520">
        <v>3</v>
      </c>
      <c r="B1520" t="s">
        <v>98</v>
      </c>
      <c r="C1520">
        <v>1</v>
      </c>
      <c r="D1520">
        <v>8</v>
      </c>
      <c r="E1520" t="str">
        <f t="shared" si="23"/>
        <v>Blocknote/8/3/1</v>
      </c>
    </row>
    <row r="1521" spans="1:5" x14ac:dyDescent="0.2">
      <c r="A1521">
        <v>4</v>
      </c>
      <c r="B1521" t="s">
        <v>45</v>
      </c>
      <c r="C1521">
        <v>0</v>
      </c>
      <c r="D1521">
        <v>4</v>
      </c>
      <c r="E1521" t="str">
        <f t="shared" si="23"/>
        <v>yaltar/4/4/0</v>
      </c>
    </row>
    <row r="1522" spans="1:5" x14ac:dyDescent="0.2">
      <c r="A1522">
        <v>5</v>
      </c>
      <c r="B1522" t="s">
        <v>21</v>
      </c>
      <c r="C1522">
        <v>0</v>
      </c>
      <c r="D1522">
        <v>2</v>
      </c>
      <c r="E1522" t="str">
        <f t="shared" si="23"/>
        <v>Carmin/2/5/0</v>
      </c>
    </row>
    <row r="1523" spans="1:5" x14ac:dyDescent="0.2">
      <c r="A1523">
        <v>6</v>
      </c>
      <c r="B1523" t="s">
        <v>74</v>
      </c>
      <c r="C1523">
        <v>0</v>
      </c>
      <c r="D1523">
        <v>1</v>
      </c>
      <c r="E1523" t="str">
        <f t="shared" si="23"/>
        <v>PatB/1/6/0</v>
      </c>
    </row>
    <row r="1524" spans="1:5" x14ac:dyDescent="0.2">
      <c r="A1524">
        <v>1</v>
      </c>
      <c r="B1524" t="s">
        <v>41</v>
      </c>
      <c r="C1524">
        <v>4</v>
      </c>
      <c r="D1524">
        <v>16</v>
      </c>
      <c r="E1524" t="str">
        <f t="shared" si="23"/>
        <v>gibouille/16/1/4</v>
      </c>
    </row>
    <row r="1525" spans="1:5" x14ac:dyDescent="0.2">
      <c r="A1525">
        <v>2</v>
      </c>
      <c r="B1525" t="s">
        <v>26</v>
      </c>
      <c r="C1525">
        <v>1</v>
      </c>
      <c r="D1525">
        <v>12</v>
      </c>
      <c r="E1525" t="str">
        <f t="shared" si="23"/>
        <v>LOSOGRE/12/2/1</v>
      </c>
    </row>
    <row r="1526" spans="1:5" x14ac:dyDescent="0.2">
      <c r="A1526">
        <v>3</v>
      </c>
      <c r="B1526" t="s">
        <v>23</v>
      </c>
      <c r="C1526">
        <v>0</v>
      </c>
      <c r="D1526">
        <v>8</v>
      </c>
      <c r="E1526" t="str">
        <f t="shared" si="23"/>
        <v>Lylith75/8/3/0</v>
      </c>
    </row>
    <row r="1527" spans="1:5" x14ac:dyDescent="0.2">
      <c r="A1527">
        <v>4</v>
      </c>
      <c r="B1527" t="s">
        <v>101</v>
      </c>
      <c r="C1527">
        <v>0</v>
      </c>
      <c r="D1527">
        <v>4</v>
      </c>
      <c r="E1527" t="str">
        <f t="shared" si="23"/>
        <v>ChrisFrankfurt/4/4/0</v>
      </c>
    </row>
    <row r="1528" spans="1:5" x14ac:dyDescent="0.2">
      <c r="A1528">
        <v>5</v>
      </c>
      <c r="B1528" t="s">
        <v>29</v>
      </c>
      <c r="C1528">
        <v>0</v>
      </c>
      <c r="D1528">
        <v>2</v>
      </c>
      <c r="E1528" t="str">
        <f t="shared" si="23"/>
        <v>NoDoubt/2/5/0</v>
      </c>
    </row>
    <row r="1529" spans="1:5" x14ac:dyDescent="0.2">
      <c r="A1529">
        <v>6</v>
      </c>
      <c r="B1529" t="s">
        <v>22</v>
      </c>
      <c r="C1529">
        <v>0</v>
      </c>
      <c r="D1529">
        <v>1</v>
      </c>
      <c r="E1529" t="str">
        <f t="shared" si="23"/>
        <v>Dart 45/1/6/0</v>
      </c>
    </row>
    <row r="1530" spans="1:5" x14ac:dyDescent="0.2">
      <c r="A1530">
        <v>1</v>
      </c>
      <c r="B1530" t="s">
        <v>61</v>
      </c>
      <c r="C1530">
        <v>2</v>
      </c>
      <c r="D1530">
        <v>16</v>
      </c>
      <c r="E1530" t="str">
        <f t="shared" si="23"/>
        <v>Kri-lin/16/1/2</v>
      </c>
    </row>
    <row r="1531" spans="1:5" x14ac:dyDescent="0.2">
      <c r="A1531">
        <v>2</v>
      </c>
      <c r="B1531" t="s">
        <v>68</v>
      </c>
      <c r="C1531">
        <v>1</v>
      </c>
      <c r="D1531">
        <v>12</v>
      </c>
      <c r="E1531" t="str">
        <f t="shared" si="23"/>
        <v>zubbaz/12/2/1</v>
      </c>
    </row>
    <row r="1532" spans="1:5" x14ac:dyDescent="0.2">
      <c r="A1532">
        <v>3</v>
      </c>
      <c r="B1532" t="s">
        <v>92</v>
      </c>
      <c r="C1532">
        <v>2</v>
      </c>
      <c r="D1532">
        <v>8</v>
      </c>
      <c r="E1532" t="str">
        <f t="shared" si="23"/>
        <v>Jacks&amp;Five/8/3/2</v>
      </c>
    </row>
    <row r="1533" spans="1:5" x14ac:dyDescent="0.2">
      <c r="A1533">
        <v>4</v>
      </c>
      <c r="B1533" t="s">
        <v>42</v>
      </c>
      <c r="C1533">
        <v>0</v>
      </c>
      <c r="D1533">
        <v>4</v>
      </c>
      <c r="E1533" t="str">
        <f t="shared" si="23"/>
        <v>Claptou/4/4/0</v>
      </c>
    </row>
    <row r="1534" spans="1:5" x14ac:dyDescent="0.2">
      <c r="A1534">
        <v>5</v>
      </c>
      <c r="B1534" t="s">
        <v>12</v>
      </c>
      <c r="C1534">
        <v>0</v>
      </c>
      <c r="D1534">
        <v>2</v>
      </c>
      <c r="E1534" t="str">
        <f t="shared" si="23"/>
        <v>Gnak/2/5/0</v>
      </c>
    </row>
    <row r="1535" spans="1:5" x14ac:dyDescent="0.2">
      <c r="A1535">
        <v>6</v>
      </c>
      <c r="B1535" t="s">
        <v>370</v>
      </c>
      <c r="C1535">
        <v>0</v>
      </c>
      <c r="D1535">
        <v>1</v>
      </c>
      <c r="E1535" t="str">
        <f t="shared" si="23"/>
        <v>Gautier/1/6/0</v>
      </c>
    </row>
    <row r="1536" spans="1:5" x14ac:dyDescent="0.2">
      <c r="A1536">
        <v>1</v>
      </c>
      <c r="B1536" t="s">
        <v>9</v>
      </c>
      <c r="C1536">
        <v>4</v>
      </c>
      <c r="D1536">
        <v>16</v>
      </c>
      <c r="E1536" t="str">
        <f t="shared" si="23"/>
        <v>K1/16/1/4</v>
      </c>
    </row>
    <row r="1537" spans="1:5" x14ac:dyDescent="0.2">
      <c r="A1537">
        <v>2</v>
      </c>
      <c r="B1537" t="s">
        <v>75</v>
      </c>
      <c r="C1537">
        <v>1</v>
      </c>
      <c r="D1537">
        <v>12</v>
      </c>
      <c r="E1537" t="str">
        <f t="shared" ref="E1537:E1600" si="24">B1537&amp;"/"&amp;D1537&amp;"/"&amp;A1537&amp;"/"&amp;C1537</f>
        <v>Michelbey/12/2/1</v>
      </c>
    </row>
    <row r="1538" spans="1:5" x14ac:dyDescent="0.2">
      <c r="A1538">
        <v>3</v>
      </c>
      <c r="B1538" t="s">
        <v>28</v>
      </c>
      <c r="C1538">
        <v>0</v>
      </c>
      <c r="D1538">
        <v>8</v>
      </c>
      <c r="E1538" t="str">
        <f t="shared" si="24"/>
        <v>sobab/8/3/0</v>
      </c>
    </row>
    <row r="1539" spans="1:5" x14ac:dyDescent="0.2">
      <c r="A1539">
        <v>4</v>
      </c>
      <c r="B1539" t="s">
        <v>33</v>
      </c>
      <c r="C1539">
        <v>0</v>
      </c>
      <c r="D1539">
        <v>4</v>
      </c>
      <c r="E1539" t="str">
        <f t="shared" si="24"/>
        <v>Ptit Savoyard/4/4/0</v>
      </c>
    </row>
    <row r="1540" spans="1:5" x14ac:dyDescent="0.2">
      <c r="A1540">
        <v>5</v>
      </c>
      <c r="B1540" t="s">
        <v>15</v>
      </c>
      <c r="C1540">
        <v>0</v>
      </c>
      <c r="D1540">
        <v>2</v>
      </c>
      <c r="E1540" t="str">
        <f t="shared" si="24"/>
        <v>LAAtof/2/5/0</v>
      </c>
    </row>
    <row r="1541" spans="1:5" x14ac:dyDescent="0.2">
      <c r="A1541">
        <v>6</v>
      </c>
      <c r="B1541" t="s">
        <v>87</v>
      </c>
      <c r="C1541">
        <v>0</v>
      </c>
      <c r="D1541">
        <v>1</v>
      </c>
      <c r="E1541" t="str">
        <f t="shared" si="24"/>
        <v>Proph@ne/1/6/0</v>
      </c>
    </row>
    <row r="1542" spans="1:5" x14ac:dyDescent="0.2">
      <c r="A1542">
        <v>1</v>
      </c>
      <c r="B1542" t="s">
        <v>43</v>
      </c>
      <c r="C1542">
        <v>3</v>
      </c>
      <c r="D1542">
        <v>16</v>
      </c>
      <c r="E1542" t="str">
        <f t="shared" si="24"/>
        <v>KassTwo/16/1/3</v>
      </c>
    </row>
    <row r="1543" spans="1:5" x14ac:dyDescent="0.2">
      <c r="A1543">
        <v>2</v>
      </c>
      <c r="B1543" t="s">
        <v>66</v>
      </c>
      <c r="C1543">
        <v>0</v>
      </c>
      <c r="D1543">
        <v>12</v>
      </c>
      <c r="E1543" t="str">
        <f t="shared" si="24"/>
        <v>Ad Vitam/12/2/0</v>
      </c>
    </row>
    <row r="1544" spans="1:5" x14ac:dyDescent="0.2">
      <c r="A1544">
        <v>3</v>
      </c>
      <c r="B1544" t="s">
        <v>73</v>
      </c>
      <c r="C1544">
        <v>1</v>
      </c>
      <c r="D1544">
        <v>8</v>
      </c>
      <c r="E1544" t="str">
        <f t="shared" si="24"/>
        <v>Flem/8/3/1</v>
      </c>
    </row>
    <row r="1545" spans="1:5" x14ac:dyDescent="0.2">
      <c r="A1545">
        <v>4</v>
      </c>
      <c r="B1545" t="s">
        <v>19</v>
      </c>
      <c r="C1545">
        <v>1</v>
      </c>
      <c r="D1545">
        <v>4</v>
      </c>
      <c r="E1545" t="str">
        <f t="shared" si="24"/>
        <v>Giobeck/4/4/1</v>
      </c>
    </row>
    <row r="1546" spans="1:5" x14ac:dyDescent="0.2">
      <c r="A1546">
        <v>5</v>
      </c>
      <c r="B1546" t="s">
        <v>35</v>
      </c>
      <c r="C1546">
        <v>0</v>
      </c>
      <c r="D1546">
        <v>2</v>
      </c>
      <c r="E1546" t="str">
        <f t="shared" si="24"/>
        <v>JeanMichelTiming/2/5/0</v>
      </c>
    </row>
    <row r="1547" spans="1:5" x14ac:dyDescent="0.2">
      <c r="A1547">
        <v>6</v>
      </c>
      <c r="B1547" t="s">
        <v>50</v>
      </c>
      <c r="C1547">
        <v>0</v>
      </c>
      <c r="D1547">
        <v>1</v>
      </c>
      <c r="E1547" t="str">
        <f t="shared" si="24"/>
        <v>MLADENGO/1/6/0</v>
      </c>
    </row>
    <row r="1548" spans="1:5" x14ac:dyDescent="0.2">
      <c r="A1548">
        <v>1</v>
      </c>
      <c r="B1548" t="s">
        <v>42</v>
      </c>
      <c r="C1548">
        <v>3</v>
      </c>
      <c r="D1548">
        <v>16</v>
      </c>
      <c r="E1548" t="str">
        <f t="shared" si="24"/>
        <v>Claptou/16/1/3</v>
      </c>
    </row>
    <row r="1549" spans="1:5" x14ac:dyDescent="0.2">
      <c r="A1549">
        <v>2</v>
      </c>
      <c r="B1549" t="s">
        <v>27</v>
      </c>
      <c r="C1549">
        <v>1</v>
      </c>
      <c r="D1549">
        <v>12</v>
      </c>
      <c r="E1549" t="str">
        <f t="shared" si="24"/>
        <v>Mandrake/12/2/1</v>
      </c>
    </row>
    <row r="1550" spans="1:5" x14ac:dyDescent="0.2">
      <c r="A1550">
        <v>3</v>
      </c>
      <c r="B1550" t="s">
        <v>371</v>
      </c>
      <c r="C1550">
        <v>1</v>
      </c>
      <c r="D1550">
        <v>8</v>
      </c>
      <c r="E1550" t="str">
        <f t="shared" si="24"/>
        <v>Labataxe/8/3/1</v>
      </c>
    </row>
    <row r="1551" spans="1:5" x14ac:dyDescent="0.2">
      <c r="A1551">
        <v>4</v>
      </c>
      <c r="B1551" t="s">
        <v>35</v>
      </c>
      <c r="C1551">
        <v>0</v>
      </c>
      <c r="D1551">
        <v>4</v>
      </c>
      <c r="E1551" t="str">
        <f t="shared" si="24"/>
        <v>JeanMichelTiming/4/4/0</v>
      </c>
    </row>
    <row r="1552" spans="1:5" x14ac:dyDescent="0.2">
      <c r="A1552">
        <v>5</v>
      </c>
      <c r="B1552" t="s">
        <v>41</v>
      </c>
      <c r="C1552">
        <v>0</v>
      </c>
      <c r="D1552">
        <v>2</v>
      </c>
      <c r="E1552" t="str">
        <f t="shared" si="24"/>
        <v>gibouille/2/5/0</v>
      </c>
    </row>
    <row r="1553" spans="1:5" x14ac:dyDescent="0.2">
      <c r="A1553">
        <v>6</v>
      </c>
      <c r="B1553" t="s">
        <v>65</v>
      </c>
      <c r="C1553">
        <v>0</v>
      </c>
      <c r="D1553">
        <v>1</v>
      </c>
      <c r="E1553" t="str">
        <f t="shared" si="24"/>
        <v>Ripolin/1/6/0</v>
      </c>
    </row>
    <row r="1554" spans="1:5" x14ac:dyDescent="0.2">
      <c r="A1554">
        <v>1</v>
      </c>
      <c r="B1554" t="s">
        <v>68</v>
      </c>
      <c r="C1554">
        <v>2</v>
      </c>
      <c r="D1554">
        <v>16</v>
      </c>
      <c r="E1554" t="str">
        <f t="shared" si="24"/>
        <v>zubbaz/16/1/2</v>
      </c>
    </row>
    <row r="1555" spans="1:5" x14ac:dyDescent="0.2">
      <c r="A1555">
        <v>2</v>
      </c>
      <c r="B1555" t="s">
        <v>45</v>
      </c>
      <c r="C1555">
        <v>2</v>
      </c>
      <c r="D1555">
        <v>12</v>
      </c>
      <c r="E1555" t="str">
        <f t="shared" si="24"/>
        <v>yaltar/12/2/2</v>
      </c>
    </row>
    <row r="1556" spans="1:5" x14ac:dyDescent="0.2">
      <c r="A1556">
        <v>3</v>
      </c>
      <c r="B1556" t="s">
        <v>15</v>
      </c>
      <c r="C1556">
        <v>1</v>
      </c>
      <c r="D1556">
        <v>8</v>
      </c>
      <c r="E1556" t="str">
        <f t="shared" si="24"/>
        <v>LAAtof/8/3/1</v>
      </c>
    </row>
    <row r="1557" spans="1:5" x14ac:dyDescent="0.2">
      <c r="A1557">
        <v>4</v>
      </c>
      <c r="B1557" t="s">
        <v>74</v>
      </c>
      <c r="C1557">
        <v>0</v>
      </c>
      <c r="D1557">
        <v>4</v>
      </c>
      <c r="E1557" t="str">
        <f t="shared" si="24"/>
        <v>PatB/4/4/0</v>
      </c>
    </row>
    <row r="1558" spans="1:5" x14ac:dyDescent="0.2">
      <c r="A1558">
        <v>5</v>
      </c>
      <c r="B1558" t="s">
        <v>31</v>
      </c>
      <c r="C1558">
        <v>0</v>
      </c>
      <c r="D1558">
        <v>2</v>
      </c>
      <c r="E1558" t="str">
        <f t="shared" si="24"/>
        <v>CHRIS92340/2/5/0</v>
      </c>
    </row>
    <row r="1559" spans="1:5" x14ac:dyDescent="0.2">
      <c r="A1559">
        <v>6</v>
      </c>
      <c r="B1559" t="s">
        <v>25</v>
      </c>
      <c r="C1559">
        <v>0</v>
      </c>
      <c r="D1559">
        <v>1</v>
      </c>
      <c r="E1559" t="str">
        <f t="shared" si="24"/>
        <v>Claudius/1/6/0</v>
      </c>
    </row>
    <row r="1560" spans="1:5" x14ac:dyDescent="0.2">
      <c r="A1560">
        <v>1</v>
      </c>
      <c r="B1560" t="s">
        <v>40</v>
      </c>
      <c r="C1560">
        <v>3</v>
      </c>
      <c r="D1560">
        <v>15</v>
      </c>
      <c r="E1560" t="str">
        <f t="shared" si="24"/>
        <v>Lén@/15/1/3</v>
      </c>
    </row>
    <row r="1561" spans="1:5" x14ac:dyDescent="0.2">
      <c r="A1561">
        <v>2</v>
      </c>
      <c r="B1561" t="s">
        <v>69</v>
      </c>
      <c r="C1561">
        <v>1</v>
      </c>
      <c r="D1561">
        <v>11</v>
      </c>
      <c r="E1561" t="str">
        <f t="shared" si="24"/>
        <v>Catherine/11/2/1</v>
      </c>
    </row>
    <row r="1562" spans="1:5" x14ac:dyDescent="0.2">
      <c r="A1562">
        <v>3</v>
      </c>
      <c r="B1562" t="s">
        <v>305</v>
      </c>
      <c r="C1562">
        <v>0</v>
      </c>
      <c r="D1562">
        <v>7</v>
      </c>
      <c r="E1562" t="str">
        <f t="shared" si="24"/>
        <v>flowww/7/3/0</v>
      </c>
    </row>
    <row r="1563" spans="1:5" x14ac:dyDescent="0.2">
      <c r="A1563">
        <v>4</v>
      </c>
      <c r="B1563" t="s">
        <v>46</v>
      </c>
      <c r="C1563">
        <v>0</v>
      </c>
      <c r="D1563">
        <v>3</v>
      </c>
      <c r="E1563" t="str">
        <f t="shared" si="24"/>
        <v>Jérôme/3/4/0</v>
      </c>
    </row>
    <row r="1564" spans="1:5" x14ac:dyDescent="0.2">
      <c r="A1564">
        <v>5</v>
      </c>
      <c r="B1564" t="s">
        <v>12</v>
      </c>
      <c r="C1564">
        <v>0</v>
      </c>
      <c r="D1564">
        <v>1</v>
      </c>
      <c r="E1564" t="str">
        <f t="shared" si="24"/>
        <v>Gnak/1/5/0</v>
      </c>
    </row>
    <row r="1565" spans="1:5" x14ac:dyDescent="0.2">
      <c r="A1565">
        <v>1</v>
      </c>
      <c r="B1565" t="s">
        <v>66</v>
      </c>
      <c r="C1565">
        <v>1</v>
      </c>
      <c r="D1565">
        <v>16</v>
      </c>
      <c r="E1565" t="str">
        <f t="shared" si="24"/>
        <v>Ad Vitam/16/1/1</v>
      </c>
    </row>
    <row r="1566" spans="1:5" x14ac:dyDescent="0.2">
      <c r="A1566">
        <v>2</v>
      </c>
      <c r="B1566" t="s">
        <v>345</v>
      </c>
      <c r="C1566">
        <v>2</v>
      </c>
      <c r="D1566">
        <v>12</v>
      </c>
      <c r="E1566" t="str">
        <f t="shared" si="24"/>
        <v>Thibaultp75/12/2/2</v>
      </c>
    </row>
    <row r="1567" spans="1:5" x14ac:dyDescent="0.2">
      <c r="A1567">
        <v>3</v>
      </c>
      <c r="B1567" t="s">
        <v>61</v>
      </c>
      <c r="C1567">
        <v>1</v>
      </c>
      <c r="D1567">
        <v>8</v>
      </c>
      <c r="E1567" t="str">
        <f t="shared" si="24"/>
        <v>Kri-lin/8/3/1</v>
      </c>
    </row>
    <row r="1568" spans="1:5" x14ac:dyDescent="0.2">
      <c r="A1568">
        <v>4</v>
      </c>
      <c r="B1568" t="s">
        <v>43</v>
      </c>
      <c r="C1568">
        <v>1</v>
      </c>
      <c r="D1568">
        <v>4</v>
      </c>
      <c r="E1568" t="str">
        <f t="shared" si="24"/>
        <v>KassTwo/4/4/1</v>
      </c>
    </row>
    <row r="1569" spans="1:5" x14ac:dyDescent="0.2">
      <c r="A1569">
        <v>5</v>
      </c>
      <c r="B1569" t="s">
        <v>98</v>
      </c>
      <c r="C1569">
        <v>0</v>
      </c>
      <c r="D1569">
        <v>2</v>
      </c>
      <c r="E1569" t="str">
        <f t="shared" si="24"/>
        <v>Blocknote/2/5/0</v>
      </c>
    </row>
    <row r="1570" spans="1:5" x14ac:dyDescent="0.2">
      <c r="A1570">
        <v>6</v>
      </c>
      <c r="B1570" t="s">
        <v>102</v>
      </c>
      <c r="C1570">
        <v>0</v>
      </c>
      <c r="D1570">
        <v>1</v>
      </c>
      <c r="E1570" t="str">
        <f t="shared" si="24"/>
        <v>Doudoululu/1/6/0</v>
      </c>
    </row>
    <row r="1571" spans="1:5" x14ac:dyDescent="0.2">
      <c r="A1571">
        <v>1</v>
      </c>
      <c r="B1571" t="s">
        <v>75</v>
      </c>
      <c r="C1571">
        <v>2</v>
      </c>
      <c r="D1571">
        <v>16</v>
      </c>
      <c r="E1571" t="str">
        <f t="shared" si="24"/>
        <v>Michelbey/16/1/2</v>
      </c>
    </row>
    <row r="1572" spans="1:5" x14ac:dyDescent="0.2">
      <c r="A1572">
        <v>2</v>
      </c>
      <c r="B1572" t="s">
        <v>19</v>
      </c>
      <c r="C1572">
        <v>1</v>
      </c>
      <c r="D1572">
        <v>12</v>
      </c>
      <c r="E1572" t="str">
        <f t="shared" si="24"/>
        <v>Giobeck/12/2/1</v>
      </c>
    </row>
    <row r="1573" spans="1:5" x14ac:dyDescent="0.2">
      <c r="A1573">
        <v>3</v>
      </c>
      <c r="B1573" t="s">
        <v>73</v>
      </c>
      <c r="C1573">
        <v>1</v>
      </c>
      <c r="D1573">
        <v>8</v>
      </c>
      <c r="E1573" t="str">
        <f t="shared" si="24"/>
        <v>Flem/8/3/1</v>
      </c>
    </row>
    <row r="1574" spans="1:5" x14ac:dyDescent="0.2">
      <c r="A1574">
        <v>4</v>
      </c>
      <c r="B1574" t="s">
        <v>87</v>
      </c>
      <c r="C1574">
        <v>1</v>
      </c>
      <c r="D1574">
        <v>4</v>
      </c>
      <c r="E1574" t="str">
        <f t="shared" si="24"/>
        <v>Proph@ne/4/4/1</v>
      </c>
    </row>
    <row r="1575" spans="1:5" x14ac:dyDescent="0.2">
      <c r="A1575">
        <v>5</v>
      </c>
      <c r="B1575" t="s">
        <v>39</v>
      </c>
      <c r="C1575">
        <v>0</v>
      </c>
      <c r="D1575">
        <v>2</v>
      </c>
      <c r="E1575" t="str">
        <f t="shared" si="24"/>
        <v>kheops/2/5/0</v>
      </c>
    </row>
    <row r="1576" spans="1:5" x14ac:dyDescent="0.2">
      <c r="A1576">
        <v>6</v>
      </c>
      <c r="B1576" t="s">
        <v>21</v>
      </c>
      <c r="C1576">
        <v>0</v>
      </c>
      <c r="D1576">
        <v>1</v>
      </c>
      <c r="E1576" t="str">
        <f t="shared" si="24"/>
        <v>Carmin/1/6/0</v>
      </c>
    </row>
    <row r="1577" spans="1:5" x14ac:dyDescent="0.2">
      <c r="A1577">
        <v>1</v>
      </c>
      <c r="B1577" t="s">
        <v>94</v>
      </c>
      <c r="C1577">
        <v>4</v>
      </c>
      <c r="D1577">
        <v>17</v>
      </c>
      <c r="E1577" t="str">
        <f t="shared" si="24"/>
        <v>Jaden le désosseur/17/1/4</v>
      </c>
    </row>
    <row r="1578" spans="1:5" x14ac:dyDescent="0.2">
      <c r="A1578">
        <v>2</v>
      </c>
      <c r="B1578" t="s">
        <v>32</v>
      </c>
      <c r="C1578">
        <v>0</v>
      </c>
      <c r="D1578">
        <v>13</v>
      </c>
      <c r="E1578" t="str">
        <f t="shared" si="24"/>
        <v>OlivierN92/13/2/0</v>
      </c>
    </row>
    <row r="1579" spans="1:5" x14ac:dyDescent="0.2">
      <c r="A1579">
        <v>3</v>
      </c>
      <c r="B1579" t="s">
        <v>102</v>
      </c>
      <c r="C1579">
        <v>2</v>
      </c>
      <c r="D1579">
        <v>9</v>
      </c>
      <c r="E1579" t="str">
        <f t="shared" si="24"/>
        <v>Doudoululu/9/3/2</v>
      </c>
    </row>
    <row r="1580" spans="1:5" x14ac:dyDescent="0.2">
      <c r="A1580">
        <v>4</v>
      </c>
      <c r="B1580" t="s">
        <v>73</v>
      </c>
      <c r="C1580">
        <v>0</v>
      </c>
      <c r="D1580">
        <v>5</v>
      </c>
      <c r="E1580" t="str">
        <f t="shared" si="24"/>
        <v>Flem/5/4/0</v>
      </c>
    </row>
    <row r="1581" spans="1:5" x14ac:dyDescent="0.2">
      <c r="A1581">
        <v>5</v>
      </c>
      <c r="B1581" t="s">
        <v>66</v>
      </c>
      <c r="C1581">
        <v>0</v>
      </c>
      <c r="D1581">
        <v>3</v>
      </c>
      <c r="E1581" t="str">
        <f t="shared" si="24"/>
        <v>Ad Vitam/3/5/0</v>
      </c>
    </row>
    <row r="1582" spans="1:5" x14ac:dyDescent="0.2">
      <c r="A1582">
        <v>6</v>
      </c>
      <c r="B1582" t="s">
        <v>345</v>
      </c>
      <c r="C1582">
        <v>0</v>
      </c>
      <c r="D1582">
        <v>2</v>
      </c>
      <c r="E1582" t="str">
        <f t="shared" si="24"/>
        <v>Thibaultp75/2/6/0</v>
      </c>
    </row>
    <row r="1583" spans="1:5" x14ac:dyDescent="0.2">
      <c r="A1583">
        <v>7</v>
      </c>
      <c r="B1583" t="s">
        <v>74</v>
      </c>
      <c r="C1583">
        <v>0</v>
      </c>
      <c r="D1583">
        <v>1</v>
      </c>
      <c r="E1583" t="str">
        <f t="shared" si="24"/>
        <v>PatB/1/7/0</v>
      </c>
    </row>
    <row r="1584" spans="1:5" x14ac:dyDescent="0.2">
      <c r="A1584">
        <v>1</v>
      </c>
      <c r="B1584" t="s">
        <v>76</v>
      </c>
      <c r="C1584">
        <v>3</v>
      </c>
      <c r="D1584">
        <v>16</v>
      </c>
      <c r="E1584" t="str">
        <f t="shared" si="24"/>
        <v>Comment2/16/1/3</v>
      </c>
    </row>
    <row r="1585" spans="1:5" x14ac:dyDescent="0.2">
      <c r="A1585">
        <v>2</v>
      </c>
      <c r="B1585" t="s">
        <v>15</v>
      </c>
      <c r="C1585">
        <v>2</v>
      </c>
      <c r="D1585">
        <v>12</v>
      </c>
      <c r="E1585" t="str">
        <f t="shared" si="24"/>
        <v>LAAtof/12/2/2</v>
      </c>
    </row>
    <row r="1586" spans="1:5" x14ac:dyDescent="0.2">
      <c r="A1586">
        <v>3</v>
      </c>
      <c r="B1586" t="s">
        <v>46</v>
      </c>
      <c r="C1586">
        <v>0</v>
      </c>
      <c r="D1586">
        <v>8</v>
      </c>
      <c r="E1586" t="str">
        <f t="shared" si="24"/>
        <v>Jérôme/8/3/0</v>
      </c>
    </row>
    <row r="1587" spans="1:5" x14ac:dyDescent="0.2">
      <c r="A1587">
        <v>4</v>
      </c>
      <c r="B1587" t="s">
        <v>42</v>
      </c>
      <c r="C1587">
        <v>0</v>
      </c>
      <c r="D1587">
        <v>4</v>
      </c>
      <c r="E1587" t="str">
        <f t="shared" si="24"/>
        <v>Claptou/4/4/0</v>
      </c>
    </row>
    <row r="1588" spans="1:5" x14ac:dyDescent="0.2">
      <c r="A1588">
        <v>5</v>
      </c>
      <c r="B1588" t="s">
        <v>21</v>
      </c>
      <c r="C1588">
        <v>0</v>
      </c>
      <c r="D1588">
        <v>2</v>
      </c>
      <c r="E1588" t="str">
        <f t="shared" si="24"/>
        <v>Carmin/2/5/0</v>
      </c>
    </row>
    <row r="1589" spans="1:5" x14ac:dyDescent="0.2">
      <c r="A1589">
        <v>6</v>
      </c>
      <c r="B1589" t="s">
        <v>23</v>
      </c>
      <c r="C1589">
        <v>0</v>
      </c>
      <c r="D1589">
        <v>1</v>
      </c>
      <c r="E1589" t="str">
        <f t="shared" si="24"/>
        <v>Lylith75/1/6/0</v>
      </c>
    </row>
    <row r="1590" spans="1:5" x14ac:dyDescent="0.2">
      <c r="A1590">
        <v>1</v>
      </c>
      <c r="B1590" t="s">
        <v>12</v>
      </c>
      <c r="C1590">
        <v>4</v>
      </c>
      <c r="D1590">
        <v>17</v>
      </c>
      <c r="E1590" t="str">
        <f t="shared" si="24"/>
        <v>Gnak/17/1/4</v>
      </c>
    </row>
    <row r="1591" spans="1:5" x14ac:dyDescent="0.2">
      <c r="A1591">
        <v>2</v>
      </c>
      <c r="B1591" t="s">
        <v>19</v>
      </c>
      <c r="C1591">
        <v>1</v>
      </c>
      <c r="D1591">
        <v>13</v>
      </c>
      <c r="E1591" t="str">
        <f t="shared" si="24"/>
        <v>Giobeck/13/2/1</v>
      </c>
    </row>
    <row r="1592" spans="1:5" x14ac:dyDescent="0.2">
      <c r="A1592">
        <v>3</v>
      </c>
      <c r="B1592" t="s">
        <v>50</v>
      </c>
      <c r="C1592">
        <v>0</v>
      </c>
      <c r="D1592">
        <v>9</v>
      </c>
      <c r="E1592" t="str">
        <f t="shared" si="24"/>
        <v>MLADENGO/9/3/0</v>
      </c>
    </row>
    <row r="1593" spans="1:5" x14ac:dyDescent="0.2">
      <c r="A1593">
        <v>4</v>
      </c>
      <c r="B1593" t="s">
        <v>40</v>
      </c>
      <c r="C1593">
        <v>1</v>
      </c>
      <c r="D1593">
        <v>5</v>
      </c>
      <c r="E1593" t="str">
        <f t="shared" si="24"/>
        <v>Lén@/5/4/1</v>
      </c>
    </row>
    <row r="1594" spans="1:5" x14ac:dyDescent="0.2">
      <c r="A1594">
        <v>5</v>
      </c>
      <c r="B1594" t="s">
        <v>75</v>
      </c>
      <c r="C1594">
        <v>0</v>
      </c>
      <c r="D1594">
        <v>3</v>
      </c>
      <c r="E1594" t="str">
        <f t="shared" si="24"/>
        <v>Michelbey/3/5/0</v>
      </c>
    </row>
    <row r="1595" spans="1:5" x14ac:dyDescent="0.2">
      <c r="A1595">
        <v>6</v>
      </c>
      <c r="B1595" t="s">
        <v>69</v>
      </c>
      <c r="C1595">
        <v>0</v>
      </c>
      <c r="D1595">
        <v>2</v>
      </c>
      <c r="E1595" t="str">
        <f t="shared" si="24"/>
        <v>Catherine/2/6/0</v>
      </c>
    </row>
    <row r="1596" spans="1:5" x14ac:dyDescent="0.2">
      <c r="A1596">
        <v>7</v>
      </c>
      <c r="B1596" t="s">
        <v>33</v>
      </c>
      <c r="C1596">
        <v>0</v>
      </c>
      <c r="D1596">
        <v>1</v>
      </c>
      <c r="E1596" t="str">
        <f t="shared" si="24"/>
        <v>Ptit Savoyard/1/7/0</v>
      </c>
    </row>
    <row r="1597" spans="1:5" x14ac:dyDescent="0.2">
      <c r="A1597">
        <v>1</v>
      </c>
      <c r="B1597" t="s">
        <v>54</v>
      </c>
      <c r="C1597">
        <v>4</v>
      </c>
      <c r="D1597">
        <v>16</v>
      </c>
      <c r="E1597" t="str">
        <f t="shared" si="24"/>
        <v>Salsamanu/16/1/4</v>
      </c>
    </row>
    <row r="1598" spans="1:5" x14ac:dyDescent="0.2">
      <c r="A1598">
        <v>2</v>
      </c>
      <c r="B1598" t="s">
        <v>25</v>
      </c>
      <c r="C1598">
        <v>0</v>
      </c>
      <c r="D1598">
        <v>12</v>
      </c>
      <c r="E1598" t="str">
        <f t="shared" si="24"/>
        <v>Claudius/12/2/0</v>
      </c>
    </row>
    <row r="1599" spans="1:5" x14ac:dyDescent="0.2">
      <c r="A1599">
        <v>3</v>
      </c>
      <c r="B1599" t="s">
        <v>98</v>
      </c>
      <c r="C1599">
        <v>0</v>
      </c>
      <c r="D1599">
        <v>8</v>
      </c>
      <c r="E1599" t="str">
        <f t="shared" si="24"/>
        <v>Blocknote/8/3/0</v>
      </c>
    </row>
    <row r="1600" spans="1:5" x14ac:dyDescent="0.2">
      <c r="A1600">
        <v>4</v>
      </c>
      <c r="B1600" t="s">
        <v>377</v>
      </c>
      <c r="C1600">
        <v>1</v>
      </c>
      <c r="D1600">
        <v>4</v>
      </c>
      <c r="E1600" t="str">
        <f t="shared" si="24"/>
        <v>Marco58/4/4/1</v>
      </c>
    </row>
    <row r="1601" spans="1:5" x14ac:dyDescent="0.2">
      <c r="A1601">
        <v>5</v>
      </c>
      <c r="B1601" t="s">
        <v>9</v>
      </c>
      <c r="C1601">
        <v>0</v>
      </c>
      <c r="D1601">
        <v>2</v>
      </c>
      <c r="E1601" t="str">
        <f t="shared" ref="E1601:E1664" si="25">B1601&amp;"/"&amp;D1601&amp;"/"&amp;A1601&amp;"/"&amp;C1601</f>
        <v>K1/2/5/0</v>
      </c>
    </row>
    <row r="1602" spans="1:5" x14ac:dyDescent="0.2">
      <c r="A1602">
        <v>6</v>
      </c>
      <c r="B1602" t="s">
        <v>52</v>
      </c>
      <c r="C1602">
        <v>0</v>
      </c>
      <c r="D1602">
        <v>1</v>
      </c>
      <c r="E1602" t="str">
        <f t="shared" si="25"/>
        <v>Coach Pepito/1/6/0</v>
      </c>
    </row>
    <row r="1603" spans="1:5" x14ac:dyDescent="0.2">
      <c r="A1603">
        <v>1</v>
      </c>
      <c r="B1603" t="s">
        <v>65</v>
      </c>
      <c r="C1603">
        <v>4</v>
      </c>
      <c r="D1603">
        <v>17</v>
      </c>
      <c r="E1603" t="str">
        <f t="shared" si="25"/>
        <v>Ripolin/17/1/4</v>
      </c>
    </row>
    <row r="1604" spans="1:5" x14ac:dyDescent="0.2">
      <c r="A1604">
        <v>2</v>
      </c>
      <c r="B1604" t="s">
        <v>68</v>
      </c>
      <c r="C1604">
        <v>1</v>
      </c>
      <c r="D1604">
        <v>13</v>
      </c>
      <c r="E1604" t="str">
        <f t="shared" si="25"/>
        <v>zubbaz/13/2/1</v>
      </c>
    </row>
    <row r="1605" spans="1:5" x14ac:dyDescent="0.2">
      <c r="A1605">
        <v>3</v>
      </c>
      <c r="B1605" t="s">
        <v>45</v>
      </c>
      <c r="C1605">
        <v>1</v>
      </c>
      <c r="D1605">
        <v>9</v>
      </c>
      <c r="E1605" t="str">
        <f t="shared" si="25"/>
        <v>yaltar/9/3/1</v>
      </c>
    </row>
    <row r="1606" spans="1:5" x14ac:dyDescent="0.2">
      <c r="A1606">
        <v>4</v>
      </c>
      <c r="B1606" t="s">
        <v>6</v>
      </c>
      <c r="C1606">
        <v>0</v>
      </c>
      <c r="D1606">
        <v>5</v>
      </c>
      <c r="E1606" t="str">
        <f t="shared" si="25"/>
        <v>Pyja/5/4/0</v>
      </c>
    </row>
    <row r="1607" spans="1:5" x14ac:dyDescent="0.2">
      <c r="A1607">
        <v>5</v>
      </c>
      <c r="B1607" t="s">
        <v>41</v>
      </c>
      <c r="C1607">
        <v>0</v>
      </c>
      <c r="D1607">
        <v>3</v>
      </c>
      <c r="E1607" t="str">
        <f t="shared" si="25"/>
        <v>gibouille/3/5/0</v>
      </c>
    </row>
    <row r="1608" spans="1:5" x14ac:dyDescent="0.2">
      <c r="A1608">
        <v>6</v>
      </c>
      <c r="B1608" t="s">
        <v>35</v>
      </c>
      <c r="C1608">
        <v>0</v>
      </c>
      <c r="D1608">
        <v>2</v>
      </c>
      <c r="E1608" t="str">
        <f t="shared" si="25"/>
        <v>JeanMichelTiming/2/6/0</v>
      </c>
    </row>
    <row r="1609" spans="1:5" x14ac:dyDescent="0.2">
      <c r="A1609">
        <v>7</v>
      </c>
      <c r="B1609" t="s">
        <v>14</v>
      </c>
      <c r="C1609">
        <v>0</v>
      </c>
      <c r="D1609">
        <v>1</v>
      </c>
      <c r="E1609" t="str">
        <f t="shared" si="25"/>
        <v>Ramm/1/7/0</v>
      </c>
    </row>
    <row r="1610" spans="1:5" x14ac:dyDescent="0.2">
      <c r="A1610">
        <v>1</v>
      </c>
      <c r="B1610" t="s">
        <v>75</v>
      </c>
      <c r="C1610">
        <v>0</v>
      </c>
      <c r="D1610">
        <v>15</v>
      </c>
      <c r="E1610" t="str">
        <f t="shared" si="25"/>
        <v>Michelbey/15/1/0</v>
      </c>
    </row>
    <row r="1611" spans="1:5" x14ac:dyDescent="0.2">
      <c r="A1611">
        <v>2</v>
      </c>
      <c r="B1611" t="s">
        <v>21</v>
      </c>
      <c r="C1611">
        <v>1</v>
      </c>
      <c r="D1611">
        <v>11</v>
      </c>
      <c r="E1611" t="str">
        <f t="shared" si="25"/>
        <v>Carmin/11/2/1</v>
      </c>
    </row>
    <row r="1612" spans="1:5" x14ac:dyDescent="0.2">
      <c r="A1612">
        <v>3</v>
      </c>
      <c r="B1612" t="s">
        <v>68</v>
      </c>
      <c r="C1612">
        <v>2</v>
      </c>
      <c r="D1612">
        <v>7</v>
      </c>
      <c r="E1612" t="str">
        <f t="shared" si="25"/>
        <v>zubbaz/7/3/2</v>
      </c>
    </row>
    <row r="1613" spans="1:5" x14ac:dyDescent="0.2">
      <c r="A1613">
        <v>4</v>
      </c>
      <c r="B1613" t="s">
        <v>46</v>
      </c>
      <c r="C1613">
        <v>0</v>
      </c>
      <c r="D1613">
        <v>3</v>
      </c>
      <c r="E1613" t="str">
        <f t="shared" si="25"/>
        <v>Jérôme/3/4/0</v>
      </c>
    </row>
    <row r="1614" spans="1:5" x14ac:dyDescent="0.2">
      <c r="A1614">
        <v>5</v>
      </c>
      <c r="B1614" t="s">
        <v>61</v>
      </c>
      <c r="C1614">
        <v>0</v>
      </c>
      <c r="D1614">
        <v>1</v>
      </c>
      <c r="E1614" t="str">
        <f t="shared" si="25"/>
        <v>Kri-lin/1/5/0</v>
      </c>
    </row>
    <row r="1615" spans="1:5" x14ac:dyDescent="0.2">
      <c r="A1615">
        <v>1</v>
      </c>
      <c r="B1615" t="s">
        <v>9</v>
      </c>
      <c r="C1615">
        <v>3</v>
      </c>
      <c r="D1615">
        <v>16</v>
      </c>
      <c r="E1615" t="str">
        <f t="shared" si="25"/>
        <v>K1/16/1/3</v>
      </c>
    </row>
    <row r="1616" spans="1:5" x14ac:dyDescent="0.2">
      <c r="A1616">
        <v>2</v>
      </c>
      <c r="B1616" t="s">
        <v>69</v>
      </c>
      <c r="C1616">
        <v>1</v>
      </c>
      <c r="D1616">
        <v>12</v>
      </c>
      <c r="E1616" t="str">
        <f t="shared" si="25"/>
        <v>Catherine/12/2/1</v>
      </c>
    </row>
    <row r="1617" spans="1:5" x14ac:dyDescent="0.2">
      <c r="A1617">
        <v>3</v>
      </c>
      <c r="B1617" t="s">
        <v>65</v>
      </c>
      <c r="C1617">
        <v>0</v>
      </c>
      <c r="D1617">
        <v>8</v>
      </c>
      <c r="E1617" t="str">
        <f t="shared" si="25"/>
        <v>Ripolin/8/3/0</v>
      </c>
    </row>
    <row r="1618" spans="1:5" x14ac:dyDescent="0.2">
      <c r="A1618">
        <v>4</v>
      </c>
      <c r="B1618" t="s">
        <v>39</v>
      </c>
      <c r="C1618">
        <v>0</v>
      </c>
      <c r="D1618">
        <v>4</v>
      </c>
      <c r="E1618" t="str">
        <f t="shared" si="25"/>
        <v>kheops/4/4/0</v>
      </c>
    </row>
    <row r="1619" spans="1:5" x14ac:dyDescent="0.2">
      <c r="A1619">
        <v>5</v>
      </c>
      <c r="B1619" t="s">
        <v>33</v>
      </c>
      <c r="C1619">
        <v>1</v>
      </c>
      <c r="D1619">
        <v>2</v>
      </c>
      <c r="E1619" t="str">
        <f t="shared" si="25"/>
        <v>Ptit Savoyard/2/5/1</v>
      </c>
    </row>
    <row r="1620" spans="1:5" x14ac:dyDescent="0.2">
      <c r="A1620">
        <v>6</v>
      </c>
      <c r="B1620" t="s">
        <v>40</v>
      </c>
      <c r="C1620">
        <v>0</v>
      </c>
      <c r="D1620">
        <v>1</v>
      </c>
      <c r="E1620" t="str">
        <f t="shared" si="25"/>
        <v>Lén@/1/6/0</v>
      </c>
    </row>
    <row r="1621" spans="1:5" x14ac:dyDescent="0.2">
      <c r="A1621">
        <v>1</v>
      </c>
      <c r="B1621" t="s">
        <v>377</v>
      </c>
      <c r="C1621">
        <v>2</v>
      </c>
      <c r="D1621">
        <v>16</v>
      </c>
      <c r="E1621" t="str">
        <f t="shared" si="25"/>
        <v>Marco58/16/1/2</v>
      </c>
    </row>
    <row r="1622" spans="1:5" x14ac:dyDescent="0.2">
      <c r="A1622">
        <v>2</v>
      </c>
      <c r="B1622" t="s">
        <v>76</v>
      </c>
      <c r="C1622">
        <v>3</v>
      </c>
      <c r="D1622">
        <v>12</v>
      </c>
      <c r="E1622" t="str">
        <f t="shared" si="25"/>
        <v>Comment2/12/2/3</v>
      </c>
    </row>
    <row r="1623" spans="1:5" x14ac:dyDescent="0.2">
      <c r="A1623">
        <v>3</v>
      </c>
      <c r="B1623" t="s">
        <v>59</v>
      </c>
      <c r="C1623">
        <v>0</v>
      </c>
      <c r="D1623">
        <v>8</v>
      </c>
      <c r="E1623" t="str">
        <f t="shared" si="25"/>
        <v>YooooDA/8/3/0</v>
      </c>
    </row>
    <row r="1624" spans="1:5" x14ac:dyDescent="0.2">
      <c r="A1624">
        <v>4</v>
      </c>
      <c r="B1624" t="s">
        <v>35</v>
      </c>
      <c r="C1624">
        <v>0</v>
      </c>
      <c r="D1624">
        <v>4</v>
      </c>
      <c r="E1624" t="str">
        <f t="shared" si="25"/>
        <v>JeanMichelTiming/4/4/0</v>
      </c>
    </row>
    <row r="1625" spans="1:5" x14ac:dyDescent="0.2">
      <c r="A1625">
        <v>5</v>
      </c>
      <c r="B1625" t="s">
        <v>8</v>
      </c>
      <c r="C1625">
        <v>0</v>
      </c>
      <c r="D1625">
        <v>2</v>
      </c>
      <c r="E1625" t="str">
        <f t="shared" si="25"/>
        <v>Maxime/2/5/0</v>
      </c>
    </row>
    <row r="1626" spans="1:5" x14ac:dyDescent="0.2">
      <c r="A1626">
        <v>6</v>
      </c>
      <c r="B1626" t="s">
        <v>19</v>
      </c>
      <c r="C1626">
        <v>0</v>
      </c>
      <c r="D1626">
        <v>1</v>
      </c>
      <c r="E1626" t="str">
        <f t="shared" si="25"/>
        <v>Giobeck/1/6/0</v>
      </c>
    </row>
    <row r="1627" spans="1:5" x14ac:dyDescent="0.2">
      <c r="A1627">
        <v>1</v>
      </c>
      <c r="B1627" t="s">
        <v>12</v>
      </c>
      <c r="C1627">
        <v>3</v>
      </c>
      <c r="D1627">
        <v>15</v>
      </c>
      <c r="E1627" t="str">
        <f t="shared" si="25"/>
        <v>Gnak/15/1/3</v>
      </c>
    </row>
    <row r="1628" spans="1:5" x14ac:dyDescent="0.2">
      <c r="A1628">
        <v>2</v>
      </c>
      <c r="B1628" t="s">
        <v>32</v>
      </c>
      <c r="C1628">
        <v>0</v>
      </c>
      <c r="D1628">
        <v>11</v>
      </c>
      <c r="E1628" t="str">
        <f t="shared" si="25"/>
        <v>OlivierN92/11/2/0</v>
      </c>
    </row>
    <row r="1629" spans="1:5" x14ac:dyDescent="0.2">
      <c r="A1629">
        <v>3</v>
      </c>
      <c r="B1629" t="s">
        <v>345</v>
      </c>
      <c r="C1629">
        <v>1</v>
      </c>
      <c r="D1629">
        <v>7</v>
      </c>
      <c r="E1629" t="str">
        <f t="shared" si="25"/>
        <v>Thibaultp75/7/3/1</v>
      </c>
    </row>
    <row r="1630" spans="1:5" x14ac:dyDescent="0.2">
      <c r="A1630">
        <v>4</v>
      </c>
      <c r="B1630" t="s">
        <v>54</v>
      </c>
      <c r="C1630">
        <v>0</v>
      </c>
      <c r="D1630">
        <v>3</v>
      </c>
      <c r="E1630" t="str">
        <f t="shared" si="25"/>
        <v>Salsamanu/3/4/0</v>
      </c>
    </row>
    <row r="1631" spans="1:5" x14ac:dyDescent="0.2">
      <c r="A1631">
        <v>5</v>
      </c>
      <c r="B1631" t="s">
        <v>25</v>
      </c>
      <c r="C1631">
        <v>0</v>
      </c>
      <c r="D1631">
        <v>1</v>
      </c>
      <c r="E1631" t="str">
        <f t="shared" si="25"/>
        <v>Claudius/1/5/0</v>
      </c>
    </row>
    <row r="1632" spans="1:5" x14ac:dyDescent="0.2">
      <c r="A1632">
        <v>1</v>
      </c>
      <c r="B1632" t="s">
        <v>23</v>
      </c>
      <c r="C1632">
        <v>3</v>
      </c>
      <c r="D1632">
        <v>15</v>
      </c>
      <c r="E1632" t="str">
        <f t="shared" si="25"/>
        <v>Lylith75/15/1/3</v>
      </c>
    </row>
    <row r="1633" spans="1:5" x14ac:dyDescent="0.2">
      <c r="A1633">
        <v>2</v>
      </c>
      <c r="B1633" t="s">
        <v>53</v>
      </c>
      <c r="C1633">
        <v>0</v>
      </c>
      <c r="D1633">
        <v>11</v>
      </c>
      <c r="E1633" t="str">
        <f t="shared" si="25"/>
        <v>Makoche/11/2/0</v>
      </c>
    </row>
    <row r="1634" spans="1:5" x14ac:dyDescent="0.2">
      <c r="A1634">
        <v>3</v>
      </c>
      <c r="B1634" t="s">
        <v>41</v>
      </c>
      <c r="C1634">
        <v>1</v>
      </c>
      <c r="D1634">
        <v>7</v>
      </c>
      <c r="E1634" t="str">
        <f t="shared" si="25"/>
        <v>gibouille/7/3/1</v>
      </c>
    </row>
    <row r="1635" spans="1:5" x14ac:dyDescent="0.2">
      <c r="A1635">
        <v>4</v>
      </c>
      <c r="B1635" t="s">
        <v>102</v>
      </c>
      <c r="C1635">
        <v>0</v>
      </c>
      <c r="D1635">
        <v>3</v>
      </c>
      <c r="E1635" t="str">
        <f t="shared" si="25"/>
        <v>Doudoululu/3/4/0</v>
      </c>
    </row>
    <row r="1636" spans="1:5" x14ac:dyDescent="0.2">
      <c r="A1636">
        <v>5</v>
      </c>
      <c r="B1636" t="s">
        <v>6</v>
      </c>
      <c r="C1636">
        <v>0</v>
      </c>
      <c r="D1636">
        <v>1</v>
      </c>
      <c r="E1636" t="str">
        <f t="shared" si="25"/>
        <v>Pyja/1/5/0</v>
      </c>
    </row>
    <row r="1637" spans="1:5" x14ac:dyDescent="0.2">
      <c r="A1637">
        <v>1</v>
      </c>
      <c r="B1637" t="s">
        <v>15</v>
      </c>
      <c r="C1637">
        <v>1</v>
      </c>
      <c r="D1637">
        <v>15</v>
      </c>
      <c r="E1637" t="str">
        <f t="shared" si="25"/>
        <v>LAAtof/15/1/1</v>
      </c>
    </row>
    <row r="1638" spans="1:5" x14ac:dyDescent="0.2">
      <c r="A1638">
        <v>2</v>
      </c>
      <c r="B1638" t="s">
        <v>43</v>
      </c>
      <c r="C1638">
        <v>3</v>
      </c>
      <c r="D1638">
        <v>11</v>
      </c>
      <c r="E1638" t="str">
        <f t="shared" si="25"/>
        <v>KassTwo/11/2/3</v>
      </c>
    </row>
    <row r="1639" spans="1:5" x14ac:dyDescent="0.2">
      <c r="A1639">
        <v>3</v>
      </c>
      <c r="B1639" t="s">
        <v>96</v>
      </c>
      <c r="C1639">
        <v>0</v>
      </c>
      <c r="D1639">
        <v>7</v>
      </c>
      <c r="E1639" t="str">
        <f t="shared" si="25"/>
        <v>Gui/7/3/0</v>
      </c>
    </row>
    <row r="1640" spans="1:5" x14ac:dyDescent="0.2">
      <c r="A1640">
        <v>4</v>
      </c>
      <c r="B1640" t="s">
        <v>73</v>
      </c>
      <c r="C1640">
        <v>0</v>
      </c>
      <c r="D1640">
        <v>3</v>
      </c>
      <c r="E1640" t="str">
        <f t="shared" si="25"/>
        <v>Flem/3/4/0</v>
      </c>
    </row>
    <row r="1641" spans="1:5" x14ac:dyDescent="0.2">
      <c r="A1641">
        <v>5</v>
      </c>
      <c r="B1641" t="s">
        <v>45</v>
      </c>
      <c r="C1641">
        <v>0</v>
      </c>
      <c r="D1641">
        <v>1</v>
      </c>
      <c r="E1641" t="str">
        <f t="shared" si="25"/>
        <v>yaltar/1/5/0</v>
      </c>
    </row>
    <row r="1642" spans="1:5" x14ac:dyDescent="0.2">
      <c r="A1642">
        <v>1</v>
      </c>
      <c r="B1642" t="s">
        <v>15</v>
      </c>
      <c r="C1642">
        <v>3</v>
      </c>
      <c r="D1642">
        <v>16</v>
      </c>
      <c r="E1642" t="str">
        <f t="shared" si="25"/>
        <v>LAAtof/16/1/3</v>
      </c>
    </row>
    <row r="1643" spans="1:5" x14ac:dyDescent="0.2">
      <c r="A1643">
        <v>2</v>
      </c>
      <c r="B1643" t="s">
        <v>377</v>
      </c>
      <c r="C1643">
        <v>0</v>
      </c>
      <c r="D1643">
        <v>12</v>
      </c>
      <c r="E1643" t="str">
        <f t="shared" si="25"/>
        <v>Marco58/12/2/0</v>
      </c>
    </row>
    <row r="1644" spans="1:5" x14ac:dyDescent="0.2">
      <c r="A1644">
        <v>3</v>
      </c>
      <c r="B1644" t="s">
        <v>6</v>
      </c>
      <c r="C1644">
        <v>1</v>
      </c>
      <c r="D1644">
        <v>8</v>
      </c>
      <c r="E1644" t="str">
        <f t="shared" si="25"/>
        <v>Pyja/8/3/1</v>
      </c>
    </row>
    <row r="1645" spans="1:5" x14ac:dyDescent="0.2">
      <c r="A1645">
        <v>4</v>
      </c>
      <c r="B1645" t="s">
        <v>14</v>
      </c>
      <c r="C1645">
        <v>1</v>
      </c>
      <c r="D1645">
        <v>4</v>
      </c>
      <c r="E1645" t="str">
        <f t="shared" si="25"/>
        <v>Ramm/4/4/1</v>
      </c>
    </row>
    <row r="1646" spans="1:5" x14ac:dyDescent="0.2">
      <c r="A1646">
        <v>5</v>
      </c>
      <c r="B1646" t="s">
        <v>12</v>
      </c>
      <c r="C1646">
        <v>0</v>
      </c>
      <c r="D1646">
        <v>2</v>
      </c>
      <c r="E1646" t="str">
        <f t="shared" si="25"/>
        <v>Gnak/2/5/0</v>
      </c>
    </row>
    <row r="1647" spans="1:5" x14ac:dyDescent="0.2">
      <c r="A1647">
        <v>6</v>
      </c>
      <c r="B1647" t="s">
        <v>68</v>
      </c>
      <c r="C1647">
        <v>0</v>
      </c>
      <c r="D1647">
        <v>1</v>
      </c>
      <c r="E1647" t="str">
        <f t="shared" si="25"/>
        <v>zubbaz/1/6/0</v>
      </c>
    </row>
    <row r="1648" spans="1:5" x14ac:dyDescent="0.2">
      <c r="A1648">
        <v>1</v>
      </c>
      <c r="B1648" t="s">
        <v>23</v>
      </c>
      <c r="C1648">
        <v>2</v>
      </c>
      <c r="D1648">
        <v>16</v>
      </c>
      <c r="E1648" t="str">
        <f t="shared" si="25"/>
        <v>Lylith75/16/1/2</v>
      </c>
    </row>
    <row r="1649" spans="1:5" x14ac:dyDescent="0.2">
      <c r="A1649">
        <v>2</v>
      </c>
      <c r="B1649" t="s">
        <v>39</v>
      </c>
      <c r="C1649">
        <v>1</v>
      </c>
      <c r="D1649">
        <v>12</v>
      </c>
      <c r="E1649" t="str">
        <f t="shared" si="25"/>
        <v>kheops/12/2/1</v>
      </c>
    </row>
    <row r="1650" spans="1:5" x14ac:dyDescent="0.2">
      <c r="A1650">
        <v>3</v>
      </c>
      <c r="B1650" t="s">
        <v>66</v>
      </c>
      <c r="C1650">
        <v>2</v>
      </c>
      <c r="D1650">
        <v>8</v>
      </c>
      <c r="E1650" t="str">
        <f t="shared" si="25"/>
        <v>Ad Vitam/8/3/2</v>
      </c>
    </row>
    <row r="1651" spans="1:5" x14ac:dyDescent="0.2">
      <c r="A1651">
        <v>4</v>
      </c>
      <c r="B1651" t="s">
        <v>75</v>
      </c>
      <c r="C1651">
        <v>0</v>
      </c>
      <c r="D1651">
        <v>4</v>
      </c>
      <c r="E1651" t="str">
        <f t="shared" si="25"/>
        <v>Michelbey/4/4/0</v>
      </c>
    </row>
    <row r="1652" spans="1:5" x14ac:dyDescent="0.2">
      <c r="A1652">
        <v>5</v>
      </c>
      <c r="B1652" t="s">
        <v>33</v>
      </c>
      <c r="C1652">
        <v>0</v>
      </c>
      <c r="D1652">
        <v>2</v>
      </c>
      <c r="E1652" t="str">
        <f t="shared" si="25"/>
        <v>Ptit Savoyard/2/5/0</v>
      </c>
    </row>
    <row r="1653" spans="1:5" x14ac:dyDescent="0.2">
      <c r="A1653">
        <v>6</v>
      </c>
      <c r="B1653" t="s">
        <v>305</v>
      </c>
      <c r="C1653">
        <v>0</v>
      </c>
      <c r="D1653">
        <v>1</v>
      </c>
      <c r="E1653" t="str">
        <f t="shared" si="25"/>
        <v>flowww/1/6/0</v>
      </c>
    </row>
    <row r="1654" spans="1:5" x14ac:dyDescent="0.2">
      <c r="A1654">
        <v>1</v>
      </c>
      <c r="B1654" t="s">
        <v>54</v>
      </c>
      <c r="C1654">
        <v>1</v>
      </c>
      <c r="D1654">
        <v>17</v>
      </c>
      <c r="E1654" t="str">
        <f t="shared" si="25"/>
        <v>Salsamanu/17/1/1</v>
      </c>
    </row>
    <row r="1655" spans="1:5" x14ac:dyDescent="0.2">
      <c r="A1655">
        <v>2</v>
      </c>
      <c r="B1655" t="s">
        <v>48</v>
      </c>
      <c r="C1655">
        <v>5</v>
      </c>
      <c r="D1655">
        <v>13</v>
      </c>
      <c r="E1655" t="str">
        <f t="shared" si="25"/>
        <v>Pintu/13/2/5</v>
      </c>
    </row>
    <row r="1656" spans="1:5" x14ac:dyDescent="0.2">
      <c r="A1656">
        <v>3</v>
      </c>
      <c r="B1656" t="s">
        <v>60</v>
      </c>
      <c r="C1656">
        <v>0</v>
      </c>
      <c r="D1656">
        <v>9</v>
      </c>
      <c r="E1656" t="str">
        <f t="shared" si="25"/>
        <v>zizou/9/3/0</v>
      </c>
    </row>
    <row r="1657" spans="1:5" x14ac:dyDescent="0.2">
      <c r="A1657">
        <v>4</v>
      </c>
      <c r="B1657" t="s">
        <v>35</v>
      </c>
      <c r="C1657">
        <v>0</v>
      </c>
      <c r="D1657">
        <v>5</v>
      </c>
      <c r="E1657" t="str">
        <f t="shared" si="25"/>
        <v>JeanMichelTiming/5/4/0</v>
      </c>
    </row>
    <row r="1658" spans="1:5" x14ac:dyDescent="0.2">
      <c r="A1658">
        <v>5</v>
      </c>
      <c r="B1658" t="s">
        <v>61</v>
      </c>
      <c r="C1658">
        <v>0</v>
      </c>
      <c r="D1658">
        <v>3</v>
      </c>
      <c r="E1658" t="str">
        <f t="shared" si="25"/>
        <v>Kri-lin/3/5/0</v>
      </c>
    </row>
    <row r="1659" spans="1:5" x14ac:dyDescent="0.2">
      <c r="A1659">
        <v>6</v>
      </c>
      <c r="B1659" t="s">
        <v>76</v>
      </c>
      <c r="C1659">
        <v>0</v>
      </c>
      <c r="D1659">
        <v>2</v>
      </c>
      <c r="E1659" t="str">
        <f t="shared" si="25"/>
        <v>Comment2/2/6/0</v>
      </c>
    </row>
    <row r="1660" spans="1:5" x14ac:dyDescent="0.2">
      <c r="A1660">
        <v>7</v>
      </c>
      <c r="B1660" t="s">
        <v>25</v>
      </c>
      <c r="C1660">
        <v>0</v>
      </c>
      <c r="D1660">
        <v>1</v>
      </c>
      <c r="E1660" t="str">
        <f t="shared" si="25"/>
        <v>Claudius/1/7/0</v>
      </c>
    </row>
    <row r="1661" spans="1:5" x14ac:dyDescent="0.2">
      <c r="A1661">
        <v>1</v>
      </c>
      <c r="B1661" t="s">
        <v>102</v>
      </c>
      <c r="C1661">
        <v>3</v>
      </c>
      <c r="D1661">
        <v>17</v>
      </c>
      <c r="E1661" t="str">
        <f t="shared" si="25"/>
        <v>Doudoululu/17/1/3</v>
      </c>
    </row>
    <row r="1662" spans="1:5" x14ac:dyDescent="0.2">
      <c r="A1662">
        <v>2</v>
      </c>
      <c r="B1662" t="s">
        <v>69</v>
      </c>
      <c r="C1662">
        <v>1</v>
      </c>
      <c r="D1662">
        <v>13</v>
      </c>
      <c r="E1662" t="str">
        <f t="shared" si="25"/>
        <v>Catherine/13/2/1</v>
      </c>
    </row>
    <row r="1663" spans="1:5" x14ac:dyDescent="0.2">
      <c r="A1663">
        <v>3</v>
      </c>
      <c r="B1663" t="s">
        <v>46</v>
      </c>
      <c r="C1663">
        <v>1</v>
      </c>
      <c r="D1663">
        <v>9</v>
      </c>
      <c r="E1663" t="str">
        <f t="shared" si="25"/>
        <v>Jérôme/9/3/1</v>
      </c>
    </row>
    <row r="1664" spans="1:5" x14ac:dyDescent="0.2">
      <c r="A1664">
        <v>4</v>
      </c>
      <c r="B1664" t="s">
        <v>45</v>
      </c>
      <c r="C1664">
        <v>0</v>
      </c>
      <c r="D1664">
        <v>5</v>
      </c>
      <c r="E1664" t="str">
        <f t="shared" si="25"/>
        <v>yaltar/5/4/0</v>
      </c>
    </row>
    <row r="1665" spans="1:5" x14ac:dyDescent="0.2">
      <c r="A1665">
        <v>5</v>
      </c>
      <c r="B1665" t="s">
        <v>73</v>
      </c>
      <c r="C1665">
        <v>1</v>
      </c>
      <c r="D1665">
        <v>3</v>
      </c>
      <c r="E1665" t="str">
        <f t="shared" ref="E1665:E1728" si="26">B1665&amp;"/"&amp;D1665&amp;"/"&amp;A1665&amp;"/"&amp;C1665</f>
        <v>Flem/3/5/1</v>
      </c>
    </row>
    <row r="1666" spans="1:5" x14ac:dyDescent="0.2">
      <c r="A1666">
        <v>6</v>
      </c>
      <c r="B1666" t="s">
        <v>59</v>
      </c>
      <c r="C1666">
        <v>0</v>
      </c>
      <c r="D1666">
        <v>2</v>
      </c>
      <c r="E1666" t="str">
        <f t="shared" si="26"/>
        <v>YooooDA/2/6/0</v>
      </c>
    </row>
    <row r="1667" spans="1:5" x14ac:dyDescent="0.2">
      <c r="A1667">
        <v>7</v>
      </c>
      <c r="B1667" t="s">
        <v>40</v>
      </c>
      <c r="C1667">
        <v>0</v>
      </c>
      <c r="D1667">
        <v>1</v>
      </c>
      <c r="E1667" t="str">
        <f t="shared" si="26"/>
        <v>Lén@/1/7/0</v>
      </c>
    </row>
    <row r="1668" spans="1:5" x14ac:dyDescent="0.2">
      <c r="A1668">
        <v>1</v>
      </c>
      <c r="B1668" t="s">
        <v>19</v>
      </c>
      <c r="C1668">
        <v>2</v>
      </c>
      <c r="D1668">
        <v>17</v>
      </c>
      <c r="E1668" t="str">
        <f t="shared" si="26"/>
        <v>Giobeck/17/1/2</v>
      </c>
    </row>
    <row r="1669" spans="1:5" x14ac:dyDescent="0.2">
      <c r="A1669">
        <v>2</v>
      </c>
      <c r="B1669" t="s">
        <v>42</v>
      </c>
      <c r="C1669">
        <v>2</v>
      </c>
      <c r="D1669">
        <v>13</v>
      </c>
      <c r="E1669" t="str">
        <f t="shared" si="26"/>
        <v>Claptou/13/2/2</v>
      </c>
    </row>
    <row r="1670" spans="1:5" x14ac:dyDescent="0.2">
      <c r="A1670">
        <v>3</v>
      </c>
      <c r="B1670" t="s">
        <v>21</v>
      </c>
      <c r="C1670">
        <v>1</v>
      </c>
      <c r="D1670">
        <v>9</v>
      </c>
      <c r="E1670" t="str">
        <f t="shared" si="26"/>
        <v>Carmin/9/3/1</v>
      </c>
    </row>
    <row r="1671" spans="1:5" x14ac:dyDescent="0.2">
      <c r="A1671">
        <v>4</v>
      </c>
      <c r="B1671" t="s">
        <v>32</v>
      </c>
      <c r="C1671">
        <v>1</v>
      </c>
      <c r="D1671">
        <v>5</v>
      </c>
      <c r="E1671" t="str">
        <f t="shared" si="26"/>
        <v>OlivierN92/5/4/1</v>
      </c>
    </row>
    <row r="1672" spans="1:5" x14ac:dyDescent="0.2">
      <c r="A1672">
        <v>5</v>
      </c>
      <c r="B1672" t="s">
        <v>92</v>
      </c>
      <c r="C1672">
        <v>0</v>
      </c>
      <c r="D1672">
        <v>3</v>
      </c>
      <c r="E1672" t="str">
        <f t="shared" si="26"/>
        <v>Jacks&amp;Five/3/5/0</v>
      </c>
    </row>
    <row r="1673" spans="1:5" x14ac:dyDescent="0.2">
      <c r="A1673">
        <v>6</v>
      </c>
      <c r="B1673" t="s">
        <v>55</v>
      </c>
      <c r="C1673">
        <v>0</v>
      </c>
      <c r="D1673">
        <v>2</v>
      </c>
      <c r="E1673" t="str">
        <f t="shared" si="26"/>
        <v>Bounette/2/6/0</v>
      </c>
    </row>
    <row r="1674" spans="1:5" x14ac:dyDescent="0.2">
      <c r="A1674">
        <v>7</v>
      </c>
      <c r="B1674" t="s">
        <v>26</v>
      </c>
      <c r="C1674">
        <v>0</v>
      </c>
      <c r="D1674">
        <v>1</v>
      </c>
      <c r="E1674" t="str">
        <f t="shared" si="26"/>
        <v>LOSOGRE/1/7/0</v>
      </c>
    </row>
    <row r="1675" spans="1:5" x14ac:dyDescent="0.2">
      <c r="A1675">
        <v>1</v>
      </c>
      <c r="B1675" t="s">
        <v>345</v>
      </c>
      <c r="C1675">
        <v>1</v>
      </c>
      <c r="D1675">
        <v>15</v>
      </c>
      <c r="E1675" t="str">
        <f t="shared" si="26"/>
        <v>Thibaultp75/15/1/1</v>
      </c>
    </row>
    <row r="1676" spans="1:5" x14ac:dyDescent="0.2">
      <c r="A1676">
        <v>2</v>
      </c>
      <c r="B1676" t="s">
        <v>35</v>
      </c>
      <c r="C1676">
        <v>1</v>
      </c>
      <c r="D1676">
        <v>11</v>
      </c>
      <c r="E1676" t="str">
        <f t="shared" si="26"/>
        <v>JeanMichelTiming/11/2/1</v>
      </c>
    </row>
    <row r="1677" spans="1:5" x14ac:dyDescent="0.2">
      <c r="A1677">
        <v>3</v>
      </c>
      <c r="B1677" t="s">
        <v>25</v>
      </c>
      <c r="C1677">
        <v>1</v>
      </c>
      <c r="D1677">
        <v>7</v>
      </c>
      <c r="E1677" t="str">
        <f t="shared" si="26"/>
        <v>Claudius/7/3/1</v>
      </c>
    </row>
    <row r="1678" spans="1:5" x14ac:dyDescent="0.2">
      <c r="A1678">
        <v>4</v>
      </c>
      <c r="B1678" t="s">
        <v>66</v>
      </c>
      <c r="C1678">
        <v>1</v>
      </c>
      <c r="D1678">
        <v>3</v>
      </c>
      <c r="E1678" t="str">
        <f t="shared" si="26"/>
        <v>Ad Vitam/3/4/1</v>
      </c>
    </row>
    <row r="1679" spans="1:5" x14ac:dyDescent="0.2">
      <c r="A1679">
        <v>5</v>
      </c>
      <c r="B1679" t="s">
        <v>102</v>
      </c>
      <c r="C1679">
        <v>0</v>
      </c>
      <c r="D1679">
        <v>1</v>
      </c>
      <c r="E1679" t="str">
        <f t="shared" si="26"/>
        <v>Doudoululu/1/5/0</v>
      </c>
    </row>
    <row r="1680" spans="1:5" x14ac:dyDescent="0.2">
      <c r="A1680">
        <v>1</v>
      </c>
      <c r="B1680" t="s">
        <v>73</v>
      </c>
      <c r="C1680">
        <v>3</v>
      </c>
      <c r="D1680">
        <v>16</v>
      </c>
      <c r="E1680" t="str">
        <f t="shared" si="26"/>
        <v>Flem/16/1/3</v>
      </c>
    </row>
    <row r="1681" spans="1:5" x14ac:dyDescent="0.2">
      <c r="A1681">
        <v>2</v>
      </c>
      <c r="B1681" t="s">
        <v>377</v>
      </c>
      <c r="C1681">
        <v>0</v>
      </c>
      <c r="D1681">
        <v>12</v>
      </c>
      <c r="E1681" t="str">
        <f t="shared" si="26"/>
        <v>Marco58/12/2/0</v>
      </c>
    </row>
    <row r="1682" spans="1:5" x14ac:dyDescent="0.2">
      <c r="A1682">
        <v>3</v>
      </c>
      <c r="B1682" t="s">
        <v>32</v>
      </c>
      <c r="C1682">
        <v>0</v>
      </c>
      <c r="D1682">
        <v>8</v>
      </c>
      <c r="E1682" t="str">
        <f t="shared" si="26"/>
        <v>OlivierN92/8/3/0</v>
      </c>
    </row>
    <row r="1683" spans="1:5" x14ac:dyDescent="0.2">
      <c r="A1683">
        <v>4</v>
      </c>
      <c r="B1683" t="s">
        <v>40</v>
      </c>
      <c r="C1683">
        <v>2</v>
      </c>
      <c r="D1683">
        <v>4</v>
      </c>
      <c r="E1683" t="str">
        <f t="shared" si="26"/>
        <v>Lén@/4/4/2</v>
      </c>
    </row>
    <row r="1684" spans="1:5" x14ac:dyDescent="0.2">
      <c r="A1684">
        <v>5</v>
      </c>
      <c r="B1684" t="s">
        <v>23</v>
      </c>
      <c r="C1684">
        <v>0</v>
      </c>
      <c r="D1684">
        <v>2</v>
      </c>
      <c r="E1684" t="str">
        <f t="shared" si="26"/>
        <v>Lylith75/2/5/0</v>
      </c>
    </row>
    <row r="1685" spans="1:5" x14ac:dyDescent="0.2">
      <c r="A1685">
        <v>6</v>
      </c>
      <c r="B1685" t="s">
        <v>81</v>
      </c>
      <c r="C1685">
        <v>0</v>
      </c>
      <c r="D1685">
        <v>1</v>
      </c>
      <c r="E1685" t="str">
        <f t="shared" si="26"/>
        <v>Empedocle/1/6/0</v>
      </c>
    </row>
    <row r="1686" spans="1:5" x14ac:dyDescent="0.2">
      <c r="A1686">
        <v>1</v>
      </c>
      <c r="B1686" t="s">
        <v>61</v>
      </c>
      <c r="C1686">
        <v>3</v>
      </c>
      <c r="D1686">
        <v>15</v>
      </c>
      <c r="E1686" t="str">
        <f t="shared" si="26"/>
        <v>Kri-lin/15/1/3</v>
      </c>
    </row>
    <row r="1687" spans="1:5" x14ac:dyDescent="0.2">
      <c r="A1687">
        <v>2</v>
      </c>
      <c r="B1687" t="s">
        <v>33</v>
      </c>
      <c r="C1687">
        <v>0</v>
      </c>
      <c r="D1687">
        <v>11</v>
      </c>
      <c r="E1687" t="str">
        <f t="shared" si="26"/>
        <v>Ptit Savoyard/11/2/0</v>
      </c>
    </row>
    <row r="1688" spans="1:5" x14ac:dyDescent="0.2">
      <c r="A1688">
        <v>3</v>
      </c>
      <c r="B1688" t="s">
        <v>6</v>
      </c>
      <c r="C1688">
        <v>1</v>
      </c>
      <c r="D1688">
        <v>7</v>
      </c>
      <c r="E1688" t="str">
        <f t="shared" si="26"/>
        <v>Pyja/7/3/1</v>
      </c>
    </row>
    <row r="1689" spans="1:5" x14ac:dyDescent="0.2">
      <c r="A1689">
        <v>4</v>
      </c>
      <c r="B1689" t="s">
        <v>69</v>
      </c>
      <c r="C1689">
        <v>0</v>
      </c>
      <c r="D1689">
        <v>3</v>
      </c>
      <c r="E1689" t="str">
        <f t="shared" si="26"/>
        <v>Catherine/3/4/0</v>
      </c>
    </row>
    <row r="1690" spans="1:5" x14ac:dyDescent="0.2">
      <c r="A1690">
        <v>5</v>
      </c>
      <c r="B1690" t="s">
        <v>12</v>
      </c>
      <c r="C1690">
        <v>0</v>
      </c>
      <c r="D1690">
        <v>1</v>
      </c>
      <c r="E1690" t="str">
        <f t="shared" si="26"/>
        <v>Gnak/1/5/0</v>
      </c>
    </row>
    <row r="1691" spans="1:5" x14ac:dyDescent="0.2">
      <c r="A1691">
        <v>1</v>
      </c>
      <c r="B1691" t="s">
        <v>98</v>
      </c>
      <c r="C1691">
        <v>3</v>
      </c>
      <c r="D1691">
        <v>16</v>
      </c>
      <c r="E1691" t="str">
        <f t="shared" si="26"/>
        <v>Blocknote/16/1/3</v>
      </c>
    </row>
    <row r="1692" spans="1:5" x14ac:dyDescent="0.2">
      <c r="A1692">
        <v>2</v>
      </c>
      <c r="B1692" t="s">
        <v>55</v>
      </c>
      <c r="C1692">
        <v>1</v>
      </c>
      <c r="D1692">
        <v>12</v>
      </c>
      <c r="E1692" t="str">
        <f t="shared" si="26"/>
        <v>Bounette/12/2/1</v>
      </c>
    </row>
    <row r="1693" spans="1:5" x14ac:dyDescent="0.2">
      <c r="A1693">
        <v>3</v>
      </c>
      <c r="B1693" t="s">
        <v>46</v>
      </c>
      <c r="C1693">
        <v>1</v>
      </c>
      <c r="D1693">
        <v>8</v>
      </c>
      <c r="E1693" t="str">
        <f t="shared" si="26"/>
        <v>Jérôme/8/3/1</v>
      </c>
    </row>
    <row r="1694" spans="1:5" x14ac:dyDescent="0.2">
      <c r="A1694">
        <v>4</v>
      </c>
      <c r="B1694" t="s">
        <v>52</v>
      </c>
      <c r="C1694">
        <v>0</v>
      </c>
      <c r="D1694">
        <v>4</v>
      </c>
      <c r="E1694" t="str">
        <f t="shared" si="26"/>
        <v>Coach Pepito/4/4/0</v>
      </c>
    </row>
    <row r="1695" spans="1:5" x14ac:dyDescent="0.2">
      <c r="A1695">
        <v>5</v>
      </c>
      <c r="B1695" t="s">
        <v>60</v>
      </c>
      <c r="C1695">
        <v>0</v>
      </c>
      <c r="D1695">
        <v>2</v>
      </c>
      <c r="E1695" t="str">
        <f t="shared" si="26"/>
        <v>zizou/2/5/0</v>
      </c>
    </row>
    <row r="1696" spans="1:5" x14ac:dyDescent="0.2">
      <c r="A1696">
        <v>6</v>
      </c>
      <c r="B1696" t="s">
        <v>28</v>
      </c>
      <c r="C1696">
        <v>0</v>
      </c>
      <c r="D1696">
        <v>1</v>
      </c>
      <c r="E1696" t="str">
        <f t="shared" si="26"/>
        <v>sobab/1/6/0</v>
      </c>
    </row>
    <row r="1697" spans="1:5" x14ac:dyDescent="0.2">
      <c r="A1697">
        <v>1</v>
      </c>
      <c r="B1697" t="s">
        <v>92</v>
      </c>
      <c r="C1697">
        <v>4</v>
      </c>
      <c r="D1697">
        <v>16</v>
      </c>
      <c r="E1697" t="str">
        <f t="shared" si="26"/>
        <v>Jacks&amp;Five/16/1/4</v>
      </c>
    </row>
    <row r="1698" spans="1:5" x14ac:dyDescent="0.2">
      <c r="A1698">
        <v>2</v>
      </c>
      <c r="B1698" t="s">
        <v>101</v>
      </c>
      <c r="C1698">
        <v>0</v>
      </c>
      <c r="D1698">
        <v>12</v>
      </c>
      <c r="E1698" t="str">
        <f t="shared" si="26"/>
        <v>ChrisFrankfurt/12/2/0</v>
      </c>
    </row>
    <row r="1699" spans="1:5" x14ac:dyDescent="0.2">
      <c r="A1699">
        <v>3</v>
      </c>
      <c r="B1699" t="s">
        <v>26</v>
      </c>
      <c r="C1699">
        <v>0</v>
      </c>
      <c r="D1699">
        <v>8</v>
      </c>
      <c r="E1699" t="str">
        <f t="shared" si="26"/>
        <v>LOSOGRE/8/3/0</v>
      </c>
    </row>
    <row r="1700" spans="1:5" x14ac:dyDescent="0.2">
      <c r="A1700">
        <v>4</v>
      </c>
      <c r="B1700" t="s">
        <v>21</v>
      </c>
      <c r="C1700">
        <v>0</v>
      </c>
      <c r="D1700">
        <v>4</v>
      </c>
      <c r="E1700" t="str">
        <f t="shared" si="26"/>
        <v>Carmin/4/4/0</v>
      </c>
    </row>
    <row r="1701" spans="1:5" x14ac:dyDescent="0.2">
      <c r="A1701">
        <v>5</v>
      </c>
      <c r="B1701" t="s">
        <v>76</v>
      </c>
      <c r="C1701">
        <v>0</v>
      </c>
      <c r="D1701">
        <v>2</v>
      </c>
      <c r="E1701" t="str">
        <f t="shared" si="26"/>
        <v>Comment2/2/5/0</v>
      </c>
    </row>
    <row r="1702" spans="1:5" x14ac:dyDescent="0.2">
      <c r="A1702">
        <v>6</v>
      </c>
      <c r="B1702" t="s">
        <v>42</v>
      </c>
      <c r="C1702">
        <v>0</v>
      </c>
      <c r="D1702">
        <v>1</v>
      </c>
      <c r="E1702" t="str">
        <f t="shared" si="26"/>
        <v>Claptou/1/6/0</v>
      </c>
    </row>
    <row r="1703" spans="1:5" x14ac:dyDescent="0.2">
      <c r="A1703">
        <v>1</v>
      </c>
      <c r="B1703" t="s">
        <v>45</v>
      </c>
      <c r="C1703">
        <v>1</v>
      </c>
      <c r="D1703">
        <v>16</v>
      </c>
      <c r="E1703" t="str">
        <f t="shared" si="26"/>
        <v>yaltar/16/1/1</v>
      </c>
    </row>
    <row r="1704" spans="1:5" x14ac:dyDescent="0.2">
      <c r="A1704">
        <v>2</v>
      </c>
      <c r="B1704" t="s">
        <v>48</v>
      </c>
      <c r="C1704">
        <v>4</v>
      </c>
      <c r="D1704">
        <v>12</v>
      </c>
      <c r="E1704" t="str">
        <f t="shared" si="26"/>
        <v>Pintu/12/2/4</v>
      </c>
    </row>
    <row r="1705" spans="1:5" x14ac:dyDescent="0.2">
      <c r="A1705">
        <v>3</v>
      </c>
      <c r="B1705" t="s">
        <v>75</v>
      </c>
      <c r="C1705">
        <v>0</v>
      </c>
      <c r="D1705">
        <v>8</v>
      </c>
      <c r="E1705" t="str">
        <f t="shared" si="26"/>
        <v>Michelbey/8/3/0</v>
      </c>
    </row>
    <row r="1706" spans="1:5" x14ac:dyDescent="0.2">
      <c r="A1706">
        <v>4</v>
      </c>
      <c r="B1706" t="s">
        <v>59</v>
      </c>
      <c r="C1706">
        <v>0</v>
      </c>
      <c r="D1706">
        <v>4</v>
      </c>
      <c r="E1706" t="str">
        <f t="shared" si="26"/>
        <v>YooooDA/4/4/0</v>
      </c>
    </row>
    <row r="1707" spans="1:5" x14ac:dyDescent="0.2">
      <c r="A1707">
        <v>5</v>
      </c>
      <c r="B1707" t="s">
        <v>19</v>
      </c>
      <c r="C1707">
        <v>0</v>
      </c>
      <c r="D1707">
        <v>2</v>
      </c>
      <c r="E1707" t="str">
        <f>B1707&amp;"/"&amp;D1707&amp;"/"&amp;A1707&amp;"/"&amp;C1707</f>
        <v>Giobeck/2/5/0</v>
      </c>
    </row>
    <row r="1708" spans="1:5" x14ac:dyDescent="0.2">
      <c r="A1708">
        <v>6</v>
      </c>
      <c r="B1708" t="s">
        <v>14</v>
      </c>
      <c r="C1708">
        <v>0</v>
      </c>
      <c r="D1708">
        <v>1</v>
      </c>
      <c r="E1708" t="str">
        <f>B1708&amp;"/"&amp;D1708&amp;"/"&amp;A1708&amp;"/"&amp;C1708</f>
        <v>Ramm/1/6/0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7D7AFD-4845-C440-808D-00E42842A131}">
  <sheetPr codeName="Sheet10"/>
  <dimension ref="A1:F1799"/>
  <sheetViews>
    <sheetView workbookViewId="0">
      <selection activeCell="F1" sqref="F1:F1048576"/>
    </sheetView>
  </sheetViews>
  <sheetFormatPr baseColWidth="10" defaultRowHeight="16" x14ac:dyDescent="0.2"/>
  <sheetData>
    <row r="1" spans="1:6" x14ac:dyDescent="0.2">
      <c r="A1">
        <v>1</v>
      </c>
      <c r="B1" t="s">
        <v>503</v>
      </c>
      <c r="C1">
        <v>5</v>
      </c>
      <c r="D1">
        <v>17</v>
      </c>
      <c r="E1" t="str">
        <f t="shared" ref="E1:E22" si="0">B1&amp;"/"&amp;D1&amp;"/"&amp;A1&amp;"/"&amp;C1</f>
        <v>Yaltar/17/1/5</v>
      </c>
      <c r="F1">
        <v>1</v>
      </c>
    </row>
    <row r="2" spans="1:6" x14ac:dyDescent="0.2">
      <c r="A2">
        <v>2</v>
      </c>
      <c r="B2" t="s">
        <v>6</v>
      </c>
      <c r="C2">
        <v>1</v>
      </c>
      <c r="D2">
        <v>13</v>
      </c>
      <c r="E2" t="str">
        <f t="shared" si="0"/>
        <v>Pyja/13/2/1</v>
      </c>
      <c r="F2">
        <v>1</v>
      </c>
    </row>
    <row r="3" spans="1:6" x14ac:dyDescent="0.2">
      <c r="A3">
        <v>3</v>
      </c>
      <c r="B3" t="s">
        <v>5</v>
      </c>
      <c r="C3">
        <v>0</v>
      </c>
      <c r="D3">
        <v>9</v>
      </c>
      <c r="E3" t="str">
        <f t="shared" si="0"/>
        <v>Sabwill/9/3/0</v>
      </c>
      <c r="F3">
        <v>1</v>
      </c>
    </row>
    <row r="4" spans="1:6" x14ac:dyDescent="0.2">
      <c r="A4">
        <v>4</v>
      </c>
      <c r="B4" t="s">
        <v>510</v>
      </c>
      <c r="C4">
        <v>0</v>
      </c>
      <c r="D4">
        <v>5</v>
      </c>
      <c r="E4" t="str">
        <f t="shared" si="0"/>
        <v>Magic Mykiss/5/4/0</v>
      </c>
      <c r="F4">
        <v>1</v>
      </c>
    </row>
    <row r="5" spans="1:6" x14ac:dyDescent="0.2">
      <c r="A5">
        <v>5</v>
      </c>
      <c r="B5" t="s">
        <v>511</v>
      </c>
      <c r="C5">
        <v>0</v>
      </c>
      <c r="D5">
        <v>3</v>
      </c>
      <c r="E5" t="str">
        <f t="shared" si="0"/>
        <v>Fréderique/3/5/0</v>
      </c>
      <c r="F5">
        <v>1</v>
      </c>
    </row>
    <row r="6" spans="1:6" x14ac:dyDescent="0.2">
      <c r="A6">
        <v>6</v>
      </c>
      <c r="B6" t="s">
        <v>33</v>
      </c>
      <c r="C6">
        <v>0</v>
      </c>
      <c r="D6">
        <v>2</v>
      </c>
      <c r="E6" t="str">
        <f t="shared" si="0"/>
        <v>Ptit Savoyard/2/6/0</v>
      </c>
      <c r="F6">
        <v>1</v>
      </c>
    </row>
    <row r="7" spans="1:6" x14ac:dyDescent="0.2">
      <c r="A7">
        <v>7</v>
      </c>
      <c r="B7" t="s">
        <v>493</v>
      </c>
      <c r="C7">
        <v>0</v>
      </c>
      <c r="D7">
        <v>1</v>
      </c>
      <c r="E7" t="str">
        <f t="shared" si="0"/>
        <v>Rockatou/1/7/0</v>
      </c>
      <c r="F7">
        <v>1</v>
      </c>
    </row>
    <row r="8" spans="1:6" x14ac:dyDescent="0.2">
      <c r="A8">
        <v>1</v>
      </c>
      <c r="B8" t="s">
        <v>75</v>
      </c>
      <c r="C8">
        <v>1</v>
      </c>
      <c r="D8">
        <v>16</v>
      </c>
      <c r="E8" t="str">
        <f t="shared" si="0"/>
        <v>Michelbey/16/1/1</v>
      </c>
      <c r="F8">
        <v>1</v>
      </c>
    </row>
    <row r="9" spans="1:6" x14ac:dyDescent="0.2">
      <c r="A9">
        <v>2</v>
      </c>
      <c r="B9" t="s">
        <v>451</v>
      </c>
      <c r="C9">
        <v>4</v>
      </c>
      <c r="D9">
        <v>12</v>
      </c>
      <c r="E9" t="str">
        <f t="shared" si="0"/>
        <v>Jacaille/12/2/4</v>
      </c>
      <c r="F9">
        <v>1</v>
      </c>
    </row>
    <row r="10" spans="1:6" x14ac:dyDescent="0.2">
      <c r="A10">
        <v>3</v>
      </c>
      <c r="B10" t="s">
        <v>512</v>
      </c>
      <c r="C10">
        <v>0</v>
      </c>
      <c r="D10">
        <v>8</v>
      </c>
      <c r="E10" t="str">
        <f t="shared" si="0"/>
        <v>Fishtro/8/3/0</v>
      </c>
      <c r="F10">
        <v>1</v>
      </c>
    </row>
    <row r="11" spans="1:6" x14ac:dyDescent="0.2">
      <c r="A11">
        <v>4</v>
      </c>
      <c r="B11" t="s">
        <v>25</v>
      </c>
      <c r="C11">
        <v>0</v>
      </c>
      <c r="D11">
        <v>4</v>
      </c>
      <c r="E11" t="str">
        <f t="shared" si="0"/>
        <v>Claudius/4/4/0</v>
      </c>
      <c r="F11">
        <v>1</v>
      </c>
    </row>
    <row r="12" spans="1:6" x14ac:dyDescent="0.2">
      <c r="A12">
        <v>5</v>
      </c>
      <c r="B12" t="s">
        <v>345</v>
      </c>
      <c r="C12">
        <v>0</v>
      </c>
      <c r="D12">
        <v>2</v>
      </c>
      <c r="E12" t="str">
        <f t="shared" si="0"/>
        <v>Thibaultp75/2/5/0</v>
      </c>
      <c r="F12">
        <v>1</v>
      </c>
    </row>
    <row r="13" spans="1:6" x14ac:dyDescent="0.2">
      <c r="A13">
        <v>6</v>
      </c>
      <c r="B13" t="s">
        <v>513</v>
      </c>
      <c r="C13">
        <v>0</v>
      </c>
      <c r="D13">
        <v>1</v>
      </c>
      <c r="E13" t="str">
        <f t="shared" si="0"/>
        <v>Golgoo13/1/6/0</v>
      </c>
      <c r="F13">
        <v>1</v>
      </c>
    </row>
    <row r="14" spans="1:6" x14ac:dyDescent="0.2">
      <c r="A14">
        <v>1</v>
      </c>
      <c r="B14" t="s">
        <v>65</v>
      </c>
      <c r="C14">
        <v>1</v>
      </c>
      <c r="D14">
        <v>16</v>
      </c>
      <c r="E14" t="str">
        <f t="shared" si="0"/>
        <v>Ripolin/16/1/1</v>
      </c>
      <c r="F14">
        <v>1</v>
      </c>
    </row>
    <row r="15" spans="1:6" x14ac:dyDescent="0.2">
      <c r="A15">
        <v>2</v>
      </c>
      <c r="B15" t="s">
        <v>490</v>
      </c>
      <c r="C15">
        <v>2</v>
      </c>
      <c r="D15">
        <v>12</v>
      </c>
      <c r="E15" t="str">
        <f t="shared" si="0"/>
        <v>DernierPli/12/2/2</v>
      </c>
      <c r="F15">
        <v>1</v>
      </c>
    </row>
    <row r="16" spans="1:6" x14ac:dyDescent="0.2">
      <c r="A16">
        <v>3</v>
      </c>
      <c r="B16" t="s">
        <v>9</v>
      </c>
      <c r="C16">
        <v>2</v>
      </c>
      <c r="D16">
        <v>8</v>
      </c>
      <c r="E16" t="str">
        <f t="shared" si="0"/>
        <v>K1/8/3/2</v>
      </c>
      <c r="F16">
        <v>1</v>
      </c>
    </row>
    <row r="17" spans="1:6" x14ac:dyDescent="0.2">
      <c r="A17">
        <v>4</v>
      </c>
      <c r="B17" t="s">
        <v>21</v>
      </c>
      <c r="C17">
        <v>0</v>
      </c>
      <c r="D17">
        <v>4</v>
      </c>
      <c r="E17" t="str">
        <f t="shared" si="0"/>
        <v>Carmin/4/4/0</v>
      </c>
      <c r="F17">
        <v>1</v>
      </c>
    </row>
    <row r="18" spans="1:6" x14ac:dyDescent="0.2">
      <c r="A18">
        <v>5</v>
      </c>
      <c r="B18" t="s">
        <v>514</v>
      </c>
      <c r="C18">
        <v>0</v>
      </c>
      <c r="D18">
        <v>2</v>
      </c>
      <c r="E18" t="str">
        <f t="shared" si="0"/>
        <v>Joic/2/5/0</v>
      </c>
      <c r="F18">
        <v>1</v>
      </c>
    </row>
    <row r="19" spans="1:6" x14ac:dyDescent="0.2">
      <c r="A19">
        <v>6</v>
      </c>
      <c r="B19" t="s">
        <v>87</v>
      </c>
      <c r="C19">
        <v>0</v>
      </c>
      <c r="D19">
        <v>1</v>
      </c>
      <c r="E19" t="str">
        <f t="shared" si="0"/>
        <v>Proph@ne/1/6/0</v>
      </c>
      <c r="F19">
        <v>1</v>
      </c>
    </row>
    <row r="20" spans="1:6" x14ac:dyDescent="0.2">
      <c r="A20">
        <v>1</v>
      </c>
      <c r="B20" t="s">
        <v>34</v>
      </c>
      <c r="C20">
        <v>1</v>
      </c>
      <c r="D20">
        <v>17</v>
      </c>
      <c r="E20" t="str">
        <f t="shared" si="0"/>
        <v>Solex/17/1/1</v>
      </c>
      <c r="F20">
        <v>1</v>
      </c>
    </row>
    <row r="21" spans="1:6" x14ac:dyDescent="0.2">
      <c r="A21">
        <v>2</v>
      </c>
      <c r="B21" t="s">
        <v>506</v>
      </c>
      <c r="C21">
        <v>2</v>
      </c>
      <c r="D21">
        <v>13</v>
      </c>
      <c r="E21" t="str">
        <f t="shared" si="0"/>
        <v>Zubbaz/13/2/2</v>
      </c>
      <c r="F21">
        <v>1</v>
      </c>
    </row>
    <row r="22" spans="1:6" x14ac:dyDescent="0.2">
      <c r="A22">
        <v>3</v>
      </c>
      <c r="B22" t="s">
        <v>101</v>
      </c>
      <c r="C22">
        <v>2</v>
      </c>
      <c r="D22">
        <v>9</v>
      </c>
      <c r="E22" t="str">
        <f t="shared" si="0"/>
        <v>ChrisFrankfurt/9/3/2</v>
      </c>
      <c r="F22">
        <v>1</v>
      </c>
    </row>
    <row r="23" spans="1:6" x14ac:dyDescent="0.2">
      <c r="A23">
        <v>4</v>
      </c>
      <c r="B23" t="s">
        <v>48</v>
      </c>
      <c r="C23">
        <v>0</v>
      </c>
      <c r="D23">
        <v>5</v>
      </c>
      <c r="E23" t="str">
        <f t="shared" ref="E23:E44" si="1">B23&amp;"/"&amp;D23&amp;"/"&amp;A23&amp;"/"&amp;C23</f>
        <v>Pintu/5/4/0</v>
      </c>
      <c r="F23">
        <v>1</v>
      </c>
    </row>
    <row r="24" spans="1:6" x14ac:dyDescent="0.2">
      <c r="A24">
        <v>5</v>
      </c>
      <c r="B24" t="s">
        <v>515</v>
      </c>
      <c r="C24">
        <v>1</v>
      </c>
      <c r="D24">
        <v>3</v>
      </c>
      <c r="E24" t="str">
        <f t="shared" si="1"/>
        <v>Chico/3/5/1</v>
      </c>
      <c r="F24">
        <v>1</v>
      </c>
    </row>
    <row r="25" spans="1:6" x14ac:dyDescent="0.2">
      <c r="A25">
        <v>6</v>
      </c>
      <c r="B25" t="s">
        <v>516</v>
      </c>
      <c r="C25">
        <v>0</v>
      </c>
      <c r="D25">
        <v>2</v>
      </c>
      <c r="E25" t="str">
        <f t="shared" si="1"/>
        <v>Tenko/2/6/0</v>
      </c>
      <c r="F25">
        <v>1</v>
      </c>
    </row>
    <row r="26" spans="1:6" x14ac:dyDescent="0.2">
      <c r="A26">
        <v>7</v>
      </c>
      <c r="B26" t="s">
        <v>29</v>
      </c>
      <c r="C26">
        <v>0</v>
      </c>
      <c r="D26">
        <v>1</v>
      </c>
      <c r="E26" t="str">
        <f t="shared" si="1"/>
        <v>NoDoubt/1/7/0</v>
      </c>
      <c r="F26">
        <v>1</v>
      </c>
    </row>
    <row r="27" spans="1:6" x14ac:dyDescent="0.2">
      <c r="A27">
        <v>1</v>
      </c>
      <c r="B27" t="s">
        <v>517</v>
      </c>
      <c r="C27">
        <v>3</v>
      </c>
      <c r="D27">
        <v>16</v>
      </c>
      <c r="E27" t="str">
        <f t="shared" si="1"/>
        <v>Franz/16/1/3</v>
      </c>
      <c r="F27">
        <v>1</v>
      </c>
    </row>
    <row r="28" spans="1:6" x14ac:dyDescent="0.2">
      <c r="A28">
        <v>2</v>
      </c>
      <c r="B28" t="s">
        <v>55</v>
      </c>
      <c r="C28">
        <v>1</v>
      </c>
      <c r="D28">
        <v>12</v>
      </c>
      <c r="E28" t="str">
        <f t="shared" si="1"/>
        <v>Bounette/12/2/1</v>
      </c>
      <c r="F28">
        <v>1</v>
      </c>
    </row>
    <row r="29" spans="1:6" x14ac:dyDescent="0.2">
      <c r="A29">
        <v>3</v>
      </c>
      <c r="B29" t="s">
        <v>518</v>
      </c>
      <c r="C29">
        <v>0</v>
      </c>
      <c r="D29">
        <v>8</v>
      </c>
      <c r="E29" t="str">
        <f t="shared" si="1"/>
        <v>Soupaman/8/3/0</v>
      </c>
      <c r="F29">
        <v>1</v>
      </c>
    </row>
    <row r="30" spans="1:6" x14ac:dyDescent="0.2">
      <c r="A30">
        <v>4</v>
      </c>
      <c r="B30" t="s">
        <v>191</v>
      </c>
      <c r="C30">
        <v>1</v>
      </c>
      <c r="D30">
        <v>4</v>
      </c>
      <c r="E30" t="str">
        <f t="shared" si="1"/>
        <v>djip92/4/4/1</v>
      </c>
      <c r="F30">
        <v>1</v>
      </c>
    </row>
    <row r="31" spans="1:6" x14ac:dyDescent="0.2">
      <c r="A31">
        <v>5</v>
      </c>
      <c r="B31" t="s">
        <v>179</v>
      </c>
      <c r="C31">
        <v>0</v>
      </c>
      <c r="D31">
        <v>2</v>
      </c>
      <c r="E31" t="str">
        <f t="shared" si="1"/>
        <v>NastyLucker/2/5/0</v>
      </c>
      <c r="F31">
        <v>1</v>
      </c>
    </row>
    <row r="32" spans="1:6" x14ac:dyDescent="0.2">
      <c r="A32">
        <v>6</v>
      </c>
      <c r="B32" t="s">
        <v>19</v>
      </c>
      <c r="C32">
        <v>0</v>
      </c>
      <c r="D32">
        <v>1</v>
      </c>
      <c r="E32" t="str">
        <f t="shared" si="1"/>
        <v>Giobeck/1/6/0</v>
      </c>
      <c r="F32">
        <v>1</v>
      </c>
    </row>
    <row r="33" spans="1:6" x14ac:dyDescent="0.2">
      <c r="A33">
        <v>1</v>
      </c>
      <c r="B33" t="s">
        <v>501</v>
      </c>
      <c r="C33">
        <v>2</v>
      </c>
      <c r="D33">
        <v>16</v>
      </c>
      <c r="E33" t="str">
        <f t="shared" si="1"/>
        <v>Poisson Pilote/16/1/2</v>
      </c>
      <c r="F33">
        <v>1</v>
      </c>
    </row>
    <row r="34" spans="1:6" x14ac:dyDescent="0.2">
      <c r="A34">
        <v>2</v>
      </c>
      <c r="B34" t="s">
        <v>519</v>
      </c>
      <c r="C34">
        <v>2</v>
      </c>
      <c r="D34">
        <v>12</v>
      </c>
      <c r="E34" t="str">
        <f t="shared" si="1"/>
        <v>Xhar92/12/2/2</v>
      </c>
      <c r="F34">
        <v>1</v>
      </c>
    </row>
    <row r="35" spans="1:6" x14ac:dyDescent="0.2">
      <c r="A35">
        <v>3</v>
      </c>
      <c r="B35" t="s">
        <v>504</v>
      </c>
      <c r="C35">
        <v>1</v>
      </c>
      <c r="D35">
        <v>8</v>
      </c>
      <c r="E35" t="str">
        <f t="shared" si="1"/>
        <v>Zizou/8/3/1</v>
      </c>
      <c r="F35">
        <v>1</v>
      </c>
    </row>
    <row r="36" spans="1:6" x14ac:dyDescent="0.2">
      <c r="A36">
        <v>4</v>
      </c>
      <c r="B36" t="s">
        <v>15</v>
      </c>
      <c r="C36">
        <v>0</v>
      </c>
      <c r="D36">
        <v>4</v>
      </c>
      <c r="E36" t="str">
        <f t="shared" si="1"/>
        <v>LAAtof/4/4/0</v>
      </c>
      <c r="F36">
        <v>1</v>
      </c>
    </row>
    <row r="37" spans="1:6" x14ac:dyDescent="0.2">
      <c r="A37">
        <v>5</v>
      </c>
      <c r="B37" t="s">
        <v>507</v>
      </c>
      <c r="C37">
        <v>0</v>
      </c>
      <c r="D37">
        <v>2</v>
      </c>
      <c r="E37" t="str">
        <f t="shared" si="1"/>
        <v>Losogre/2/5/0</v>
      </c>
      <c r="F37">
        <v>1</v>
      </c>
    </row>
    <row r="38" spans="1:6" x14ac:dyDescent="0.2">
      <c r="A38">
        <v>6</v>
      </c>
      <c r="B38" t="s">
        <v>69</v>
      </c>
      <c r="C38">
        <v>0</v>
      </c>
      <c r="D38">
        <v>1</v>
      </c>
      <c r="E38" t="str">
        <f t="shared" si="1"/>
        <v>Catherine/1/6/0</v>
      </c>
      <c r="F38">
        <v>1</v>
      </c>
    </row>
    <row r="39" spans="1:6" x14ac:dyDescent="0.2">
      <c r="A39">
        <v>1</v>
      </c>
      <c r="B39" t="s">
        <v>35</v>
      </c>
      <c r="C39">
        <v>4</v>
      </c>
      <c r="D39">
        <v>16</v>
      </c>
      <c r="E39" t="str">
        <f t="shared" si="1"/>
        <v>JeanMichelTiming/16/1/4</v>
      </c>
      <c r="F39">
        <v>1</v>
      </c>
    </row>
    <row r="40" spans="1:6" x14ac:dyDescent="0.2">
      <c r="A40">
        <v>2</v>
      </c>
      <c r="B40" t="s">
        <v>74</v>
      </c>
      <c r="C40">
        <v>1</v>
      </c>
      <c r="D40">
        <v>12</v>
      </c>
      <c r="E40" t="str">
        <f t="shared" si="1"/>
        <v>PatB/12/2/1</v>
      </c>
      <c r="F40">
        <v>1</v>
      </c>
    </row>
    <row r="41" spans="1:6" x14ac:dyDescent="0.2">
      <c r="A41">
        <v>3</v>
      </c>
      <c r="B41" t="s">
        <v>479</v>
      </c>
      <c r="C41">
        <v>0</v>
      </c>
      <c r="D41">
        <v>8</v>
      </c>
      <c r="E41" t="str">
        <f t="shared" si="1"/>
        <v>Salender/8/3/0</v>
      </c>
      <c r="F41">
        <v>1</v>
      </c>
    </row>
    <row r="42" spans="1:6" x14ac:dyDescent="0.2">
      <c r="A42">
        <v>4</v>
      </c>
      <c r="B42" t="s">
        <v>46</v>
      </c>
      <c r="C42">
        <v>0</v>
      </c>
      <c r="D42">
        <v>4</v>
      </c>
      <c r="E42" t="str">
        <f t="shared" si="1"/>
        <v>Jérôme/4/4/0</v>
      </c>
      <c r="F42">
        <v>1</v>
      </c>
    </row>
    <row r="43" spans="1:6" x14ac:dyDescent="0.2">
      <c r="A43">
        <v>5</v>
      </c>
      <c r="B43" t="s">
        <v>14</v>
      </c>
      <c r="C43">
        <v>0</v>
      </c>
      <c r="D43">
        <v>2</v>
      </c>
      <c r="E43" t="str">
        <f t="shared" si="1"/>
        <v>Ramm/2/5/0</v>
      </c>
      <c r="F43">
        <v>1</v>
      </c>
    </row>
    <row r="44" spans="1:6" x14ac:dyDescent="0.2">
      <c r="A44">
        <v>6</v>
      </c>
      <c r="B44" t="s">
        <v>66</v>
      </c>
      <c r="C44">
        <v>0</v>
      </c>
      <c r="D44">
        <v>1</v>
      </c>
      <c r="E44" t="str">
        <f t="shared" si="1"/>
        <v>Ad Vitam/1/6/0</v>
      </c>
      <c r="F44">
        <v>1</v>
      </c>
    </row>
    <row r="45" spans="1:6" x14ac:dyDescent="0.2">
      <c r="A45">
        <v>1</v>
      </c>
      <c r="B45" t="s">
        <v>27</v>
      </c>
      <c r="C45">
        <v>2</v>
      </c>
      <c r="D45">
        <v>16</v>
      </c>
      <c r="E45" t="str">
        <f t="shared" ref="E45:E63" si="2">B45&amp;"/"&amp;D45&amp;"/"&amp;A45&amp;"/"&amp;C45</f>
        <v>Mandrake/16/1/2</v>
      </c>
      <c r="F45">
        <v>1</v>
      </c>
    </row>
    <row r="46" spans="1:6" x14ac:dyDescent="0.2">
      <c r="A46">
        <v>2</v>
      </c>
      <c r="B46" t="s">
        <v>59</v>
      </c>
      <c r="C46">
        <v>2</v>
      </c>
      <c r="D46">
        <v>12</v>
      </c>
      <c r="E46" t="str">
        <f t="shared" si="2"/>
        <v>YooooDA/12/2/2</v>
      </c>
      <c r="F46">
        <v>1</v>
      </c>
    </row>
    <row r="47" spans="1:6" x14ac:dyDescent="0.2">
      <c r="A47">
        <v>3</v>
      </c>
      <c r="B47" t="s">
        <v>520</v>
      </c>
      <c r="C47">
        <v>0</v>
      </c>
      <c r="D47">
        <v>8</v>
      </c>
      <c r="E47" t="str">
        <f t="shared" si="2"/>
        <v>Tridama/8/3/0</v>
      </c>
      <c r="F47">
        <v>1</v>
      </c>
    </row>
    <row r="48" spans="1:6" x14ac:dyDescent="0.2">
      <c r="A48">
        <v>4</v>
      </c>
      <c r="B48" t="s">
        <v>461</v>
      </c>
      <c r="C48">
        <v>1</v>
      </c>
      <c r="D48">
        <v>4</v>
      </c>
      <c r="E48" t="str">
        <f t="shared" si="2"/>
        <v>Djecus/4/4/1</v>
      </c>
      <c r="F48">
        <v>1</v>
      </c>
    </row>
    <row r="49" spans="1:6" x14ac:dyDescent="0.2">
      <c r="A49">
        <v>5</v>
      </c>
      <c r="B49" t="s">
        <v>509</v>
      </c>
      <c r="C49">
        <v>0</v>
      </c>
      <c r="D49">
        <v>2</v>
      </c>
      <c r="E49" t="str">
        <f t="shared" si="2"/>
        <v>Gibouille/2/5/0</v>
      </c>
      <c r="F49">
        <v>1</v>
      </c>
    </row>
    <row r="50" spans="1:6" x14ac:dyDescent="0.2">
      <c r="A50">
        <v>6</v>
      </c>
      <c r="B50" t="s">
        <v>521</v>
      </c>
      <c r="C50">
        <v>0</v>
      </c>
      <c r="D50">
        <v>1</v>
      </c>
      <c r="E50" t="str">
        <f t="shared" si="2"/>
        <v>Jaden/1/6/0</v>
      </c>
      <c r="F50">
        <v>1</v>
      </c>
    </row>
    <row r="51" spans="1:6" x14ac:dyDescent="0.2">
      <c r="A51">
        <v>1</v>
      </c>
      <c r="B51" t="s">
        <v>32</v>
      </c>
      <c r="C51">
        <v>4</v>
      </c>
      <c r="D51">
        <v>16</v>
      </c>
      <c r="E51" t="str">
        <f t="shared" si="2"/>
        <v>OlivierN92/16/1/4</v>
      </c>
      <c r="F51">
        <v>1</v>
      </c>
    </row>
    <row r="52" spans="1:6" x14ac:dyDescent="0.2">
      <c r="A52">
        <v>2</v>
      </c>
      <c r="B52" t="s">
        <v>502</v>
      </c>
      <c r="C52">
        <v>1</v>
      </c>
      <c r="D52">
        <v>12</v>
      </c>
      <c r="E52" t="str">
        <f t="shared" si="2"/>
        <v>Sobab/12/2/1</v>
      </c>
      <c r="F52">
        <v>1</v>
      </c>
    </row>
    <row r="53" spans="1:6" x14ac:dyDescent="0.2">
      <c r="A53">
        <v>3</v>
      </c>
      <c r="B53" t="s">
        <v>500</v>
      </c>
      <c r="C53">
        <v>0</v>
      </c>
      <c r="D53">
        <v>8</v>
      </c>
      <c r="E53" t="str">
        <f t="shared" si="2"/>
        <v>Kheops/8/3/0</v>
      </c>
      <c r="F53">
        <v>1</v>
      </c>
    </row>
    <row r="54" spans="1:6" x14ac:dyDescent="0.2">
      <c r="A54">
        <v>4</v>
      </c>
      <c r="B54" t="s">
        <v>61</v>
      </c>
      <c r="C54">
        <v>0</v>
      </c>
      <c r="D54">
        <v>4</v>
      </c>
      <c r="E54" t="str">
        <f t="shared" si="2"/>
        <v>Kri-lin/4/4/0</v>
      </c>
      <c r="F54">
        <v>1</v>
      </c>
    </row>
    <row r="55" spans="1:6" x14ac:dyDescent="0.2">
      <c r="A55">
        <v>5</v>
      </c>
      <c r="B55" t="s">
        <v>522</v>
      </c>
      <c r="C55">
        <v>0</v>
      </c>
      <c r="D55">
        <v>2</v>
      </c>
      <c r="E55" t="str">
        <f t="shared" si="2"/>
        <v>Flora/2/5/0</v>
      </c>
      <c r="F55">
        <v>1</v>
      </c>
    </row>
    <row r="56" spans="1:6" x14ac:dyDescent="0.2">
      <c r="A56">
        <v>6</v>
      </c>
      <c r="B56" t="s">
        <v>505</v>
      </c>
      <c r="C56">
        <v>0</v>
      </c>
      <c r="D56">
        <v>1</v>
      </c>
      <c r="E56" t="str">
        <f t="shared" si="2"/>
        <v>Mams/1/6/0</v>
      </c>
      <c r="F56">
        <v>1</v>
      </c>
    </row>
    <row r="57" spans="1:6" x14ac:dyDescent="0.2">
      <c r="A57">
        <v>1</v>
      </c>
      <c r="B57" t="s">
        <v>506</v>
      </c>
      <c r="C57">
        <v>3</v>
      </c>
      <c r="D57">
        <v>17</v>
      </c>
      <c r="E57" t="str">
        <f t="shared" si="2"/>
        <v>Zubbaz/17/1/3</v>
      </c>
      <c r="F57">
        <v>2</v>
      </c>
    </row>
    <row r="58" spans="1:6" x14ac:dyDescent="0.2">
      <c r="A58">
        <v>2</v>
      </c>
      <c r="B58" t="s">
        <v>29</v>
      </c>
      <c r="C58">
        <v>1</v>
      </c>
      <c r="D58">
        <v>13</v>
      </c>
      <c r="E58" t="str">
        <f t="shared" si="2"/>
        <v>NoDoubt/13/2/1</v>
      </c>
      <c r="F58">
        <v>2</v>
      </c>
    </row>
    <row r="59" spans="1:6" x14ac:dyDescent="0.2">
      <c r="A59">
        <v>3</v>
      </c>
      <c r="B59" t="s">
        <v>523</v>
      </c>
      <c r="C59">
        <v>1</v>
      </c>
      <c r="D59">
        <v>9</v>
      </c>
      <c r="E59" t="str">
        <f t="shared" si="2"/>
        <v>Mokarran/9/3/1</v>
      </c>
      <c r="F59">
        <v>2</v>
      </c>
    </row>
    <row r="60" spans="1:6" x14ac:dyDescent="0.2">
      <c r="A60">
        <v>4</v>
      </c>
      <c r="B60" t="s">
        <v>9</v>
      </c>
      <c r="C60">
        <v>1</v>
      </c>
      <c r="D60">
        <v>5</v>
      </c>
      <c r="E60" t="str">
        <f t="shared" si="2"/>
        <v>K1/5/4/1</v>
      </c>
      <c r="F60">
        <v>2</v>
      </c>
    </row>
    <row r="61" spans="1:6" x14ac:dyDescent="0.2">
      <c r="A61">
        <v>5</v>
      </c>
      <c r="B61" t="s">
        <v>88</v>
      </c>
      <c r="C61">
        <v>0</v>
      </c>
      <c r="D61">
        <v>3</v>
      </c>
      <c r="E61" t="str">
        <f t="shared" si="2"/>
        <v>Yarael/3/5/0</v>
      </c>
      <c r="F61">
        <v>2</v>
      </c>
    </row>
    <row r="62" spans="1:6" x14ac:dyDescent="0.2">
      <c r="A62">
        <v>6</v>
      </c>
      <c r="B62" t="s">
        <v>61</v>
      </c>
      <c r="C62">
        <v>0</v>
      </c>
      <c r="D62">
        <v>2</v>
      </c>
      <c r="E62" t="str">
        <f t="shared" si="2"/>
        <v>Kri-lin/2/6/0</v>
      </c>
      <c r="F62">
        <v>2</v>
      </c>
    </row>
    <row r="63" spans="1:6" x14ac:dyDescent="0.2">
      <c r="A63">
        <v>7</v>
      </c>
      <c r="B63" t="s">
        <v>35</v>
      </c>
      <c r="C63">
        <v>0</v>
      </c>
      <c r="D63">
        <v>1</v>
      </c>
      <c r="E63" t="str">
        <f t="shared" si="2"/>
        <v>JeanMichelTiming/1/7/0</v>
      </c>
      <c r="F63">
        <v>2</v>
      </c>
    </row>
    <row r="64" spans="1:6" x14ac:dyDescent="0.2">
      <c r="A64">
        <v>1</v>
      </c>
      <c r="B64" t="s">
        <v>519</v>
      </c>
      <c r="C64">
        <v>5</v>
      </c>
      <c r="D64">
        <v>17</v>
      </c>
      <c r="E64" t="str">
        <f t="shared" ref="E64:E88" si="3">B64&amp;"/"&amp;D64&amp;"/"&amp;A64&amp;"/"&amp;C64</f>
        <v>Xhar92/17/1/5</v>
      </c>
      <c r="F64">
        <v>2</v>
      </c>
    </row>
    <row r="65" spans="1:6" x14ac:dyDescent="0.2">
      <c r="A65">
        <v>2</v>
      </c>
      <c r="B65" t="s">
        <v>21</v>
      </c>
      <c r="C65">
        <v>0</v>
      </c>
      <c r="D65">
        <v>13</v>
      </c>
      <c r="E65" t="str">
        <f t="shared" si="3"/>
        <v>Carmin/13/2/0</v>
      </c>
      <c r="F65">
        <v>2</v>
      </c>
    </row>
    <row r="66" spans="1:6" x14ac:dyDescent="0.2">
      <c r="A66">
        <v>3</v>
      </c>
      <c r="B66" t="s">
        <v>5</v>
      </c>
      <c r="C66">
        <v>1</v>
      </c>
      <c r="D66">
        <v>9</v>
      </c>
      <c r="E66" t="str">
        <f t="shared" si="3"/>
        <v>Sabwill/9/3/1</v>
      </c>
      <c r="F66">
        <v>2</v>
      </c>
    </row>
    <row r="67" spans="1:6" x14ac:dyDescent="0.2">
      <c r="A67">
        <v>4</v>
      </c>
      <c r="B67" t="s">
        <v>69</v>
      </c>
      <c r="C67">
        <v>0</v>
      </c>
      <c r="D67">
        <v>5</v>
      </c>
      <c r="E67" t="str">
        <f t="shared" si="3"/>
        <v>Catherine/5/4/0</v>
      </c>
      <c r="F67">
        <v>2</v>
      </c>
    </row>
    <row r="68" spans="1:6" x14ac:dyDescent="0.2">
      <c r="A68">
        <v>5</v>
      </c>
      <c r="B68" t="s">
        <v>46</v>
      </c>
      <c r="C68">
        <v>0</v>
      </c>
      <c r="D68">
        <v>3</v>
      </c>
      <c r="E68" t="str">
        <f t="shared" si="3"/>
        <v>Jérôme/3/5/0</v>
      </c>
      <c r="F68">
        <v>2</v>
      </c>
    </row>
    <row r="69" spans="1:6" x14ac:dyDescent="0.2">
      <c r="A69">
        <v>6</v>
      </c>
      <c r="B69" t="s">
        <v>509</v>
      </c>
      <c r="C69">
        <v>0</v>
      </c>
      <c r="D69">
        <v>2</v>
      </c>
      <c r="E69" t="str">
        <f t="shared" si="3"/>
        <v>Gibouille/2/6/0</v>
      </c>
      <c r="F69">
        <v>2</v>
      </c>
    </row>
    <row r="70" spans="1:6" x14ac:dyDescent="0.2">
      <c r="A70">
        <v>7</v>
      </c>
      <c r="B70" t="s">
        <v>524</v>
      </c>
      <c r="C70">
        <v>0</v>
      </c>
      <c r="D70">
        <v>1</v>
      </c>
      <c r="E70" t="str">
        <f t="shared" si="3"/>
        <v>Antoine/1/7/0</v>
      </c>
      <c r="F70">
        <v>2</v>
      </c>
    </row>
    <row r="71" spans="1:6" x14ac:dyDescent="0.2">
      <c r="A71">
        <v>1</v>
      </c>
      <c r="B71" t="s">
        <v>345</v>
      </c>
      <c r="C71">
        <v>4</v>
      </c>
      <c r="D71">
        <v>17</v>
      </c>
      <c r="E71" t="str">
        <f t="shared" si="3"/>
        <v>Thibaultp75/17/1/4</v>
      </c>
      <c r="F71">
        <v>2</v>
      </c>
    </row>
    <row r="72" spans="1:6" x14ac:dyDescent="0.2">
      <c r="A72">
        <v>2</v>
      </c>
      <c r="B72" t="s">
        <v>20</v>
      </c>
      <c r="C72">
        <v>2</v>
      </c>
      <c r="D72">
        <v>13</v>
      </c>
      <c r="E72" t="str">
        <f t="shared" si="3"/>
        <v>saymsonite/13/2/2</v>
      </c>
      <c r="F72">
        <v>2</v>
      </c>
    </row>
    <row r="73" spans="1:6" x14ac:dyDescent="0.2">
      <c r="A73">
        <v>3</v>
      </c>
      <c r="B73" t="s">
        <v>76</v>
      </c>
      <c r="C73">
        <v>0</v>
      </c>
      <c r="D73">
        <v>9</v>
      </c>
      <c r="E73" t="str">
        <f t="shared" si="3"/>
        <v>Comment2/9/3/0</v>
      </c>
      <c r="F73">
        <v>2</v>
      </c>
    </row>
    <row r="74" spans="1:6" x14ac:dyDescent="0.2">
      <c r="A74">
        <v>4</v>
      </c>
      <c r="B74" t="s">
        <v>48</v>
      </c>
      <c r="C74">
        <v>0</v>
      </c>
      <c r="D74">
        <v>5</v>
      </c>
      <c r="E74" t="str">
        <f t="shared" si="3"/>
        <v>Pintu/5/4/0</v>
      </c>
      <c r="F74">
        <v>2</v>
      </c>
    </row>
    <row r="75" spans="1:6" x14ac:dyDescent="0.2">
      <c r="A75">
        <v>5</v>
      </c>
      <c r="B75" t="s">
        <v>25</v>
      </c>
      <c r="C75">
        <v>0</v>
      </c>
      <c r="D75">
        <v>3</v>
      </c>
      <c r="E75" t="str">
        <f t="shared" si="3"/>
        <v>Claudius/3/5/0</v>
      </c>
      <c r="F75">
        <v>2</v>
      </c>
    </row>
    <row r="76" spans="1:6" x14ac:dyDescent="0.2">
      <c r="A76">
        <v>6</v>
      </c>
      <c r="B76" t="s">
        <v>525</v>
      </c>
      <c r="C76">
        <v>0</v>
      </c>
      <c r="D76">
        <v>2</v>
      </c>
      <c r="E76" t="str">
        <f t="shared" si="3"/>
        <v>Freddie/2/6/0</v>
      </c>
      <c r="F76">
        <v>2</v>
      </c>
    </row>
    <row r="77" spans="1:6" x14ac:dyDescent="0.2">
      <c r="A77">
        <v>7</v>
      </c>
      <c r="B77" t="s">
        <v>74</v>
      </c>
      <c r="C77">
        <v>0</v>
      </c>
      <c r="D77">
        <v>1</v>
      </c>
      <c r="E77" t="str">
        <f t="shared" si="3"/>
        <v>PatB/1/7/0</v>
      </c>
      <c r="F77">
        <v>2</v>
      </c>
    </row>
    <row r="78" spans="1:6" x14ac:dyDescent="0.2">
      <c r="A78">
        <v>1</v>
      </c>
      <c r="B78" t="s">
        <v>479</v>
      </c>
      <c r="C78">
        <v>3</v>
      </c>
      <c r="D78">
        <v>17</v>
      </c>
      <c r="E78" t="str">
        <f t="shared" si="3"/>
        <v>Salender/17/1/3</v>
      </c>
      <c r="F78">
        <v>2</v>
      </c>
    </row>
    <row r="79" spans="1:6" x14ac:dyDescent="0.2">
      <c r="A79">
        <v>2</v>
      </c>
      <c r="B79" t="s">
        <v>507</v>
      </c>
      <c r="C79">
        <v>1</v>
      </c>
      <c r="D79">
        <v>13</v>
      </c>
      <c r="E79" t="str">
        <f t="shared" si="3"/>
        <v>Losogre/13/2/1</v>
      </c>
      <c r="F79">
        <v>2</v>
      </c>
    </row>
    <row r="80" spans="1:6" x14ac:dyDescent="0.2">
      <c r="A80">
        <v>3</v>
      </c>
      <c r="B80" t="s">
        <v>526</v>
      </c>
      <c r="C80">
        <v>1</v>
      </c>
      <c r="D80">
        <v>9</v>
      </c>
      <c r="E80" t="str">
        <f t="shared" si="3"/>
        <v>Yroz/9/3/1</v>
      </c>
      <c r="F80">
        <v>2</v>
      </c>
    </row>
    <row r="81" spans="1:6" x14ac:dyDescent="0.2">
      <c r="A81">
        <v>4</v>
      </c>
      <c r="B81" t="s">
        <v>34</v>
      </c>
      <c r="C81">
        <v>0</v>
      </c>
      <c r="D81">
        <v>5</v>
      </c>
      <c r="E81" t="str">
        <f t="shared" si="3"/>
        <v>Solex/5/4/0</v>
      </c>
      <c r="F81">
        <v>2</v>
      </c>
    </row>
    <row r="82" spans="1:6" x14ac:dyDescent="0.2">
      <c r="A82">
        <v>5</v>
      </c>
      <c r="B82" t="s">
        <v>500</v>
      </c>
      <c r="C82">
        <v>1</v>
      </c>
      <c r="D82">
        <v>3</v>
      </c>
      <c r="E82" t="str">
        <f t="shared" si="3"/>
        <v>Kheops/3/5/1</v>
      </c>
      <c r="F82">
        <v>2</v>
      </c>
    </row>
    <row r="83" spans="1:6" x14ac:dyDescent="0.2">
      <c r="A83">
        <v>6</v>
      </c>
      <c r="B83" t="s">
        <v>75</v>
      </c>
      <c r="C83">
        <v>0</v>
      </c>
      <c r="D83">
        <v>2</v>
      </c>
      <c r="E83" t="str">
        <f t="shared" si="3"/>
        <v>Michelbey/2/6/0</v>
      </c>
      <c r="F83">
        <v>2</v>
      </c>
    </row>
    <row r="84" spans="1:6" x14ac:dyDescent="0.2">
      <c r="A84">
        <v>7</v>
      </c>
      <c r="B84" t="s">
        <v>475</v>
      </c>
      <c r="C84">
        <v>0</v>
      </c>
      <c r="D84">
        <v>1</v>
      </c>
      <c r="E84" t="str">
        <f t="shared" si="3"/>
        <v>La Bavure/1/7/0</v>
      </c>
      <c r="F84">
        <v>2</v>
      </c>
    </row>
    <row r="85" spans="1:6" x14ac:dyDescent="0.2">
      <c r="A85">
        <v>1</v>
      </c>
      <c r="B85" t="s">
        <v>476</v>
      </c>
      <c r="C85">
        <v>3</v>
      </c>
      <c r="D85">
        <v>16</v>
      </c>
      <c r="E85" t="str">
        <f t="shared" si="3"/>
        <v>MegaSouche/16/1/3</v>
      </c>
      <c r="F85">
        <v>2</v>
      </c>
    </row>
    <row r="86" spans="1:6" x14ac:dyDescent="0.2">
      <c r="A86">
        <v>2</v>
      </c>
      <c r="B86" t="s">
        <v>516</v>
      </c>
      <c r="C86">
        <v>2</v>
      </c>
      <c r="D86">
        <v>12</v>
      </c>
      <c r="E86" t="str">
        <f t="shared" si="3"/>
        <v>Tenko/12/2/2</v>
      </c>
      <c r="F86">
        <v>2</v>
      </c>
    </row>
    <row r="87" spans="1:6" x14ac:dyDescent="0.2">
      <c r="A87">
        <v>3</v>
      </c>
      <c r="B87" t="s">
        <v>527</v>
      </c>
      <c r="C87">
        <v>0</v>
      </c>
      <c r="D87">
        <v>8</v>
      </c>
      <c r="E87" t="str">
        <f t="shared" si="3"/>
        <v>Just4fun/8/3/0</v>
      </c>
      <c r="F87">
        <v>2</v>
      </c>
    </row>
    <row r="88" spans="1:6" x14ac:dyDescent="0.2">
      <c r="A88">
        <v>4</v>
      </c>
      <c r="B88" t="s">
        <v>490</v>
      </c>
      <c r="C88">
        <v>0</v>
      </c>
      <c r="D88">
        <v>4</v>
      </c>
      <c r="E88" t="str">
        <f t="shared" si="3"/>
        <v>DernierPli/4/4/0</v>
      </c>
      <c r="F88">
        <v>2</v>
      </c>
    </row>
    <row r="89" spans="1:6" x14ac:dyDescent="0.2">
      <c r="A89">
        <v>5</v>
      </c>
      <c r="B89" t="s">
        <v>528</v>
      </c>
      <c r="C89">
        <v>0</v>
      </c>
      <c r="D89">
        <v>2</v>
      </c>
      <c r="E89" t="str">
        <f t="shared" ref="E89:E109" si="4">B89&amp;"/"&amp;D89&amp;"/"&amp;A89&amp;"/"&amp;C89</f>
        <v>Papillon/2/5/0</v>
      </c>
      <c r="F89">
        <v>2</v>
      </c>
    </row>
    <row r="90" spans="1:6" x14ac:dyDescent="0.2">
      <c r="A90">
        <v>6</v>
      </c>
      <c r="B90" t="s">
        <v>529</v>
      </c>
      <c r="C90">
        <v>0</v>
      </c>
      <c r="D90">
        <v>1</v>
      </c>
      <c r="E90" t="str">
        <f t="shared" si="4"/>
        <v>Bibus/1/6/0</v>
      </c>
      <c r="F90">
        <v>2</v>
      </c>
    </row>
    <row r="91" spans="1:6" x14ac:dyDescent="0.2">
      <c r="A91">
        <v>1</v>
      </c>
      <c r="B91" t="s">
        <v>55</v>
      </c>
      <c r="C91">
        <v>4</v>
      </c>
      <c r="D91">
        <v>16</v>
      </c>
      <c r="E91" t="str">
        <f t="shared" si="4"/>
        <v>Bounette/16/1/4</v>
      </c>
      <c r="F91">
        <v>2</v>
      </c>
    </row>
    <row r="92" spans="1:6" x14ac:dyDescent="0.2">
      <c r="A92">
        <v>2</v>
      </c>
      <c r="B92" t="s">
        <v>15</v>
      </c>
      <c r="C92">
        <v>0</v>
      </c>
      <c r="D92">
        <v>12</v>
      </c>
      <c r="E92" t="str">
        <f t="shared" si="4"/>
        <v>LAAtof/12/2/0</v>
      </c>
      <c r="F92">
        <v>2</v>
      </c>
    </row>
    <row r="93" spans="1:6" x14ac:dyDescent="0.2">
      <c r="A93">
        <v>3</v>
      </c>
      <c r="B93" t="s">
        <v>530</v>
      </c>
      <c r="C93">
        <v>1</v>
      </c>
      <c r="D93">
        <v>8</v>
      </c>
      <c r="E93" t="str">
        <f t="shared" si="4"/>
        <v>Flopynou/8/3/1</v>
      </c>
      <c r="F93">
        <v>2</v>
      </c>
    </row>
    <row r="94" spans="1:6" x14ac:dyDescent="0.2">
      <c r="A94">
        <v>4</v>
      </c>
      <c r="B94" t="s">
        <v>454</v>
      </c>
      <c r="C94">
        <v>0</v>
      </c>
      <c r="D94">
        <v>4</v>
      </c>
      <c r="E94" t="str">
        <f t="shared" si="4"/>
        <v>Gibbonfury/4/4/0</v>
      </c>
      <c r="F94">
        <v>2</v>
      </c>
    </row>
    <row r="95" spans="1:6" x14ac:dyDescent="0.2">
      <c r="A95">
        <v>5</v>
      </c>
      <c r="B95" t="s">
        <v>87</v>
      </c>
      <c r="C95">
        <v>0</v>
      </c>
      <c r="D95">
        <v>2</v>
      </c>
      <c r="E95" t="str">
        <f t="shared" si="4"/>
        <v>Proph@ne/2/5/0</v>
      </c>
      <c r="F95">
        <v>2</v>
      </c>
    </row>
    <row r="96" spans="1:6" x14ac:dyDescent="0.2">
      <c r="A96">
        <v>6</v>
      </c>
      <c r="B96" t="s">
        <v>493</v>
      </c>
      <c r="C96">
        <v>0</v>
      </c>
      <c r="D96">
        <v>1</v>
      </c>
      <c r="E96" t="str">
        <f t="shared" si="4"/>
        <v>Rockatou/1/6/0</v>
      </c>
      <c r="F96">
        <v>2</v>
      </c>
    </row>
    <row r="97" spans="1:6" x14ac:dyDescent="0.2">
      <c r="A97">
        <v>1</v>
      </c>
      <c r="B97" t="s">
        <v>6</v>
      </c>
      <c r="C97">
        <v>1</v>
      </c>
      <c r="D97">
        <v>16</v>
      </c>
      <c r="E97" t="str">
        <f t="shared" si="4"/>
        <v>Pyja/16/1/1</v>
      </c>
      <c r="F97">
        <v>2</v>
      </c>
    </row>
    <row r="98" spans="1:6" x14ac:dyDescent="0.2">
      <c r="A98">
        <v>2</v>
      </c>
      <c r="B98" t="s">
        <v>512</v>
      </c>
      <c r="C98">
        <v>2</v>
      </c>
      <c r="D98">
        <v>12</v>
      </c>
      <c r="E98" t="str">
        <f t="shared" si="4"/>
        <v>Fishtro/12/2/2</v>
      </c>
      <c r="F98">
        <v>2</v>
      </c>
    </row>
    <row r="99" spans="1:6" x14ac:dyDescent="0.2">
      <c r="A99">
        <v>3</v>
      </c>
      <c r="B99" t="s">
        <v>27</v>
      </c>
      <c r="C99">
        <v>1</v>
      </c>
      <c r="D99">
        <v>8</v>
      </c>
      <c r="E99" t="str">
        <f t="shared" si="4"/>
        <v>Mandrake/8/3/1</v>
      </c>
      <c r="F99">
        <v>2</v>
      </c>
    </row>
    <row r="100" spans="1:6" x14ac:dyDescent="0.2">
      <c r="A100">
        <v>4</v>
      </c>
      <c r="B100" t="s">
        <v>65</v>
      </c>
      <c r="C100">
        <v>1</v>
      </c>
      <c r="D100">
        <v>4</v>
      </c>
      <c r="E100" t="str">
        <f t="shared" si="4"/>
        <v>Ripolin/4/4/1</v>
      </c>
      <c r="F100">
        <v>2</v>
      </c>
    </row>
    <row r="101" spans="1:6" x14ac:dyDescent="0.2">
      <c r="A101">
        <v>5</v>
      </c>
      <c r="B101" t="s">
        <v>42</v>
      </c>
      <c r="C101">
        <v>0</v>
      </c>
      <c r="D101">
        <v>2</v>
      </c>
      <c r="E101" t="str">
        <f t="shared" si="4"/>
        <v>Claptou/2/5/0</v>
      </c>
      <c r="F101">
        <v>2</v>
      </c>
    </row>
    <row r="102" spans="1:6" x14ac:dyDescent="0.2">
      <c r="A102">
        <v>6</v>
      </c>
      <c r="B102" t="s">
        <v>461</v>
      </c>
      <c r="C102">
        <v>0</v>
      </c>
      <c r="D102">
        <v>1</v>
      </c>
      <c r="E102" t="str">
        <f t="shared" si="4"/>
        <v>Djecus/1/6/0</v>
      </c>
      <c r="F102">
        <v>2</v>
      </c>
    </row>
    <row r="103" spans="1:6" x14ac:dyDescent="0.2">
      <c r="A103">
        <v>1</v>
      </c>
      <c r="B103" t="s">
        <v>59</v>
      </c>
      <c r="C103">
        <v>4</v>
      </c>
      <c r="D103">
        <v>17</v>
      </c>
      <c r="E103" t="str">
        <f t="shared" si="4"/>
        <v>YooooDA/17/1/4</v>
      </c>
      <c r="F103">
        <v>2</v>
      </c>
    </row>
    <row r="104" spans="1:6" x14ac:dyDescent="0.2">
      <c r="A104">
        <v>2</v>
      </c>
      <c r="B104" t="s">
        <v>451</v>
      </c>
      <c r="C104">
        <v>1</v>
      </c>
      <c r="D104">
        <v>13</v>
      </c>
      <c r="E104" t="str">
        <f t="shared" si="4"/>
        <v>Jacaille/13/2/1</v>
      </c>
      <c r="F104">
        <v>2</v>
      </c>
    </row>
    <row r="105" spans="1:6" x14ac:dyDescent="0.2">
      <c r="A105">
        <v>3</v>
      </c>
      <c r="B105" t="s">
        <v>501</v>
      </c>
      <c r="C105">
        <v>0</v>
      </c>
      <c r="D105">
        <v>9</v>
      </c>
      <c r="E105" t="str">
        <f t="shared" si="4"/>
        <v>Poisson Pilote/9/3/0</v>
      </c>
      <c r="F105">
        <v>2</v>
      </c>
    </row>
    <row r="106" spans="1:6" x14ac:dyDescent="0.2">
      <c r="A106">
        <v>4</v>
      </c>
      <c r="B106" t="s">
        <v>504</v>
      </c>
      <c r="C106">
        <v>1</v>
      </c>
      <c r="D106">
        <v>5</v>
      </c>
      <c r="E106" t="str">
        <f t="shared" si="4"/>
        <v>Zizou/5/4/1</v>
      </c>
      <c r="F106">
        <v>2</v>
      </c>
    </row>
    <row r="107" spans="1:6" x14ac:dyDescent="0.2">
      <c r="A107">
        <v>5</v>
      </c>
      <c r="B107" t="s">
        <v>521</v>
      </c>
      <c r="C107">
        <v>0</v>
      </c>
      <c r="D107">
        <v>3</v>
      </c>
      <c r="E107" t="str">
        <f t="shared" si="4"/>
        <v>Jaden/3/5/0</v>
      </c>
      <c r="F107">
        <v>2</v>
      </c>
    </row>
    <row r="108" spans="1:6" x14ac:dyDescent="0.2">
      <c r="A108">
        <v>6</v>
      </c>
      <c r="B108" t="s">
        <v>503</v>
      </c>
      <c r="C108">
        <v>0</v>
      </c>
      <c r="D108">
        <v>2</v>
      </c>
      <c r="E108" t="str">
        <f t="shared" si="4"/>
        <v>Yaltar/2/6/0</v>
      </c>
      <c r="F108">
        <v>2</v>
      </c>
    </row>
    <row r="109" spans="1:6" x14ac:dyDescent="0.2">
      <c r="A109">
        <v>7</v>
      </c>
      <c r="B109" t="s">
        <v>505</v>
      </c>
      <c r="C109">
        <v>0</v>
      </c>
      <c r="D109">
        <v>1</v>
      </c>
      <c r="E109" t="str">
        <f t="shared" si="4"/>
        <v>Mams/1/7/0</v>
      </c>
      <c r="F109">
        <v>2</v>
      </c>
    </row>
    <row r="110" spans="1:6" x14ac:dyDescent="0.2">
      <c r="A110">
        <v>1</v>
      </c>
      <c r="B110" t="s">
        <v>29</v>
      </c>
      <c r="C110">
        <v>3</v>
      </c>
      <c r="D110">
        <v>16</v>
      </c>
      <c r="E110" t="str">
        <f t="shared" ref="E110:E132" si="5">B110&amp;"/"&amp;D110&amp;"/"&amp;A110&amp;"/"&amp;C110</f>
        <v>NoDoubt/16/1/3</v>
      </c>
      <c r="F110">
        <v>3</v>
      </c>
    </row>
    <row r="111" spans="1:6" x14ac:dyDescent="0.2">
      <c r="A111">
        <v>2</v>
      </c>
      <c r="B111" t="s">
        <v>516</v>
      </c>
      <c r="C111">
        <v>2</v>
      </c>
      <c r="D111">
        <v>12</v>
      </c>
      <c r="E111" t="str">
        <f t="shared" si="5"/>
        <v>Tenko/12/2/2</v>
      </c>
      <c r="F111">
        <v>3</v>
      </c>
    </row>
    <row r="112" spans="1:6" x14ac:dyDescent="0.2">
      <c r="A112">
        <v>3</v>
      </c>
      <c r="B112" t="s">
        <v>476</v>
      </c>
      <c r="C112">
        <v>0</v>
      </c>
      <c r="D112">
        <v>8</v>
      </c>
      <c r="E112" t="str">
        <f t="shared" si="5"/>
        <v>MegaSouche/8/3/0</v>
      </c>
      <c r="F112">
        <v>3</v>
      </c>
    </row>
    <row r="113" spans="1:6" x14ac:dyDescent="0.2">
      <c r="A113">
        <v>4</v>
      </c>
      <c r="B113" t="s">
        <v>508</v>
      </c>
      <c r="C113">
        <v>0</v>
      </c>
      <c r="D113">
        <v>4</v>
      </c>
      <c r="E113" t="str">
        <f t="shared" si="5"/>
        <v>Rmarc/4/4/0</v>
      </c>
      <c r="F113">
        <v>3</v>
      </c>
    </row>
    <row r="114" spans="1:6" x14ac:dyDescent="0.2">
      <c r="A114">
        <v>5</v>
      </c>
      <c r="B114" t="s">
        <v>75</v>
      </c>
      <c r="C114">
        <v>0</v>
      </c>
      <c r="D114">
        <v>2</v>
      </c>
      <c r="E114" t="str">
        <f t="shared" si="5"/>
        <v>Michelbey/2/5/0</v>
      </c>
      <c r="F114">
        <v>3</v>
      </c>
    </row>
    <row r="115" spans="1:6" x14ac:dyDescent="0.2">
      <c r="A115">
        <v>6</v>
      </c>
      <c r="B115" t="s">
        <v>530</v>
      </c>
      <c r="C115">
        <v>0</v>
      </c>
      <c r="D115">
        <v>1</v>
      </c>
      <c r="E115" t="str">
        <f t="shared" si="5"/>
        <v>Flopynou/1/6/0</v>
      </c>
      <c r="F115">
        <v>3</v>
      </c>
    </row>
    <row r="116" spans="1:6" x14ac:dyDescent="0.2">
      <c r="A116">
        <v>1</v>
      </c>
      <c r="B116" t="s">
        <v>505</v>
      </c>
      <c r="C116">
        <v>1</v>
      </c>
      <c r="D116">
        <v>16</v>
      </c>
      <c r="E116" t="str">
        <f t="shared" si="5"/>
        <v>Mams/16/1/1</v>
      </c>
      <c r="F116">
        <v>3</v>
      </c>
    </row>
    <row r="117" spans="1:6" x14ac:dyDescent="0.2">
      <c r="A117">
        <v>2</v>
      </c>
      <c r="B117" t="s">
        <v>48</v>
      </c>
      <c r="C117">
        <v>3</v>
      </c>
      <c r="D117">
        <v>12</v>
      </c>
      <c r="E117" t="str">
        <f t="shared" si="5"/>
        <v>Pintu/12/2/3</v>
      </c>
      <c r="F117">
        <v>3</v>
      </c>
    </row>
    <row r="118" spans="1:6" x14ac:dyDescent="0.2">
      <c r="A118">
        <v>3</v>
      </c>
      <c r="B118" t="s">
        <v>510</v>
      </c>
      <c r="C118">
        <v>1</v>
      </c>
      <c r="D118">
        <v>8</v>
      </c>
      <c r="E118" t="str">
        <f t="shared" si="5"/>
        <v>Magic Mykiss/8/3/1</v>
      </c>
      <c r="F118">
        <v>3</v>
      </c>
    </row>
    <row r="119" spans="1:6" x14ac:dyDescent="0.2">
      <c r="A119">
        <v>4</v>
      </c>
      <c r="B119" t="s">
        <v>452</v>
      </c>
      <c r="C119">
        <v>0</v>
      </c>
      <c r="D119">
        <v>4</v>
      </c>
      <c r="E119" t="str">
        <f t="shared" si="5"/>
        <v>The Hengover/4/4/0</v>
      </c>
      <c r="F119">
        <v>3</v>
      </c>
    </row>
    <row r="120" spans="1:6" x14ac:dyDescent="0.2">
      <c r="A120">
        <v>5</v>
      </c>
      <c r="B120" t="s">
        <v>69</v>
      </c>
      <c r="C120">
        <v>0</v>
      </c>
      <c r="D120">
        <v>2</v>
      </c>
      <c r="E120" t="str">
        <f t="shared" si="5"/>
        <v>Catherine/2/5/0</v>
      </c>
      <c r="F120">
        <v>3</v>
      </c>
    </row>
    <row r="121" spans="1:6" x14ac:dyDescent="0.2">
      <c r="A121">
        <v>6</v>
      </c>
      <c r="B121" t="s">
        <v>506</v>
      </c>
      <c r="C121">
        <v>0</v>
      </c>
      <c r="D121">
        <v>1</v>
      </c>
      <c r="E121" t="str">
        <f t="shared" si="5"/>
        <v>Zubbaz/1/6/0</v>
      </c>
      <c r="F121">
        <v>3</v>
      </c>
    </row>
    <row r="122" spans="1:6" x14ac:dyDescent="0.2">
      <c r="A122">
        <v>1</v>
      </c>
      <c r="B122" t="s">
        <v>507</v>
      </c>
      <c r="C122">
        <v>4</v>
      </c>
      <c r="D122">
        <v>16</v>
      </c>
      <c r="E122" t="str">
        <f t="shared" si="5"/>
        <v>Losogre/16/1/4</v>
      </c>
      <c r="F122">
        <v>3</v>
      </c>
    </row>
    <row r="123" spans="1:6" x14ac:dyDescent="0.2">
      <c r="A123">
        <v>2</v>
      </c>
      <c r="B123" t="s">
        <v>534</v>
      </c>
      <c r="C123">
        <v>1</v>
      </c>
      <c r="D123">
        <v>12</v>
      </c>
      <c r="E123" t="str">
        <f t="shared" si="5"/>
        <v>JC/12/2/1</v>
      </c>
      <c r="F123">
        <v>3</v>
      </c>
    </row>
    <row r="124" spans="1:6" x14ac:dyDescent="0.2">
      <c r="A124">
        <v>3</v>
      </c>
      <c r="B124" t="s">
        <v>526</v>
      </c>
      <c r="C124">
        <v>0</v>
      </c>
      <c r="D124">
        <v>8</v>
      </c>
      <c r="E124" t="str">
        <f t="shared" si="5"/>
        <v>Yroz/8/3/0</v>
      </c>
      <c r="F124">
        <v>3</v>
      </c>
    </row>
    <row r="125" spans="1:6" x14ac:dyDescent="0.2">
      <c r="A125">
        <v>4</v>
      </c>
      <c r="B125" t="s">
        <v>535</v>
      </c>
      <c r="C125">
        <v>0</v>
      </c>
      <c r="D125">
        <v>4</v>
      </c>
      <c r="E125" t="str">
        <f t="shared" si="5"/>
        <v>TheRealWill/4/4/0</v>
      </c>
      <c r="F125">
        <v>3</v>
      </c>
    </row>
    <row r="126" spans="1:6" x14ac:dyDescent="0.2">
      <c r="A126">
        <v>5</v>
      </c>
      <c r="B126" t="s">
        <v>527</v>
      </c>
      <c r="C126">
        <v>0</v>
      </c>
      <c r="D126">
        <v>2</v>
      </c>
      <c r="E126" t="str">
        <f t="shared" si="5"/>
        <v>Just4fun/2/5/0</v>
      </c>
      <c r="F126">
        <v>3</v>
      </c>
    </row>
    <row r="127" spans="1:6" x14ac:dyDescent="0.2">
      <c r="A127">
        <v>6</v>
      </c>
      <c r="B127" t="s">
        <v>345</v>
      </c>
      <c r="C127">
        <v>0</v>
      </c>
      <c r="D127">
        <v>1</v>
      </c>
      <c r="E127" t="str">
        <f t="shared" si="5"/>
        <v>Thibaultp75/1/6/0</v>
      </c>
      <c r="F127">
        <v>3</v>
      </c>
    </row>
    <row r="128" spans="1:6" x14ac:dyDescent="0.2">
      <c r="A128">
        <v>1</v>
      </c>
      <c r="B128" t="s">
        <v>87</v>
      </c>
      <c r="C128">
        <v>1</v>
      </c>
      <c r="D128">
        <v>17</v>
      </c>
      <c r="E128" t="str">
        <f t="shared" si="5"/>
        <v>Proph@ne/17/1/1</v>
      </c>
      <c r="F128">
        <v>3</v>
      </c>
    </row>
    <row r="129" spans="1:6" x14ac:dyDescent="0.2">
      <c r="A129">
        <v>2</v>
      </c>
      <c r="B129" t="s">
        <v>27</v>
      </c>
      <c r="C129">
        <v>3</v>
      </c>
      <c r="D129">
        <v>13</v>
      </c>
      <c r="E129" t="str">
        <f t="shared" si="5"/>
        <v>Mandrake/13/2/3</v>
      </c>
      <c r="F129">
        <v>3</v>
      </c>
    </row>
    <row r="130" spans="1:6" x14ac:dyDescent="0.2">
      <c r="A130">
        <v>3</v>
      </c>
      <c r="B130" t="s">
        <v>461</v>
      </c>
      <c r="C130">
        <v>1</v>
      </c>
      <c r="D130">
        <v>9</v>
      </c>
      <c r="E130" t="str">
        <f t="shared" si="5"/>
        <v>Djecus/9/3/1</v>
      </c>
      <c r="F130">
        <v>3</v>
      </c>
    </row>
    <row r="131" spans="1:6" x14ac:dyDescent="0.2">
      <c r="A131">
        <v>4</v>
      </c>
      <c r="B131" t="s">
        <v>21</v>
      </c>
      <c r="C131">
        <v>0</v>
      </c>
      <c r="D131">
        <v>5</v>
      </c>
      <c r="E131" t="str">
        <f t="shared" si="5"/>
        <v>Carmin/5/4/0</v>
      </c>
      <c r="F131">
        <v>3</v>
      </c>
    </row>
    <row r="132" spans="1:6" x14ac:dyDescent="0.2">
      <c r="A132">
        <v>5</v>
      </c>
      <c r="B132" t="s">
        <v>462</v>
      </c>
      <c r="C132">
        <v>1</v>
      </c>
      <c r="D132">
        <v>3</v>
      </c>
      <c r="E132" t="str">
        <f t="shared" si="5"/>
        <v>Lizzie/3/5/1</v>
      </c>
      <c r="F132">
        <v>3</v>
      </c>
    </row>
    <row r="133" spans="1:6" x14ac:dyDescent="0.2">
      <c r="A133">
        <v>6</v>
      </c>
      <c r="B133" t="s">
        <v>531</v>
      </c>
      <c r="C133">
        <v>0</v>
      </c>
      <c r="D133">
        <v>2</v>
      </c>
      <c r="E133" t="str">
        <f t="shared" ref="E133:E153" si="6">B133&amp;"/"&amp;D133&amp;"/"&amp;A133&amp;"/"&amp;C133</f>
        <v>Toinou/2/6/0</v>
      </c>
      <c r="F133">
        <v>3</v>
      </c>
    </row>
    <row r="134" spans="1:6" x14ac:dyDescent="0.2">
      <c r="A134">
        <v>7</v>
      </c>
      <c r="B134" t="s">
        <v>532</v>
      </c>
      <c r="C134">
        <v>0</v>
      </c>
      <c r="D134">
        <v>1</v>
      </c>
      <c r="E134" t="str">
        <f t="shared" si="6"/>
        <v>Boosilletoo/1/7/0</v>
      </c>
      <c r="F134">
        <v>3</v>
      </c>
    </row>
    <row r="135" spans="1:6" x14ac:dyDescent="0.2">
      <c r="A135">
        <v>1</v>
      </c>
      <c r="B135" t="s">
        <v>59</v>
      </c>
      <c r="C135">
        <v>3</v>
      </c>
      <c r="D135">
        <v>17</v>
      </c>
      <c r="E135" t="str">
        <f t="shared" si="6"/>
        <v>YooooDA/17/1/3</v>
      </c>
      <c r="F135">
        <v>3</v>
      </c>
    </row>
    <row r="136" spans="1:6" x14ac:dyDescent="0.2">
      <c r="A136">
        <v>2</v>
      </c>
      <c r="B136" t="s">
        <v>490</v>
      </c>
      <c r="C136">
        <v>3</v>
      </c>
      <c r="D136">
        <v>13</v>
      </c>
      <c r="E136" t="str">
        <f t="shared" si="6"/>
        <v>DernierPli/13/2/3</v>
      </c>
      <c r="F136">
        <v>3</v>
      </c>
    </row>
    <row r="137" spans="1:6" x14ac:dyDescent="0.2">
      <c r="A137">
        <v>3</v>
      </c>
      <c r="B137" t="s">
        <v>479</v>
      </c>
      <c r="C137">
        <v>0</v>
      </c>
      <c r="D137">
        <v>9</v>
      </c>
      <c r="E137" t="str">
        <f t="shared" si="6"/>
        <v>Salender/9/3/0</v>
      </c>
      <c r="F137">
        <v>3</v>
      </c>
    </row>
    <row r="138" spans="1:6" x14ac:dyDescent="0.2">
      <c r="A138">
        <v>4</v>
      </c>
      <c r="B138" t="s">
        <v>9</v>
      </c>
      <c r="C138">
        <v>0</v>
      </c>
      <c r="D138">
        <v>5</v>
      </c>
      <c r="E138" t="str">
        <f t="shared" si="6"/>
        <v>K1/5/4/0</v>
      </c>
      <c r="F138">
        <v>3</v>
      </c>
    </row>
    <row r="139" spans="1:6" x14ac:dyDescent="0.2">
      <c r="A139">
        <v>5</v>
      </c>
      <c r="B139" t="s">
        <v>76</v>
      </c>
      <c r="C139">
        <v>0</v>
      </c>
      <c r="D139">
        <v>3</v>
      </c>
      <c r="E139" t="str">
        <f t="shared" si="6"/>
        <v>Comment2/3/5/0</v>
      </c>
      <c r="F139">
        <v>3</v>
      </c>
    </row>
    <row r="140" spans="1:6" x14ac:dyDescent="0.2">
      <c r="A140">
        <v>6</v>
      </c>
      <c r="B140" t="s">
        <v>533</v>
      </c>
      <c r="C140">
        <v>0</v>
      </c>
      <c r="D140">
        <v>2</v>
      </c>
      <c r="E140" t="str">
        <f t="shared" si="6"/>
        <v>Ouais ouais/2/6/0</v>
      </c>
      <c r="F140">
        <v>3</v>
      </c>
    </row>
    <row r="141" spans="1:6" x14ac:dyDescent="0.2">
      <c r="A141">
        <v>7</v>
      </c>
      <c r="B141" t="s">
        <v>451</v>
      </c>
      <c r="C141">
        <v>0</v>
      </c>
      <c r="D141">
        <v>1</v>
      </c>
      <c r="E141" t="str">
        <f t="shared" si="6"/>
        <v>Jacaille/1/7/0</v>
      </c>
      <c r="F141">
        <v>3</v>
      </c>
    </row>
    <row r="142" spans="1:6" x14ac:dyDescent="0.2">
      <c r="A142">
        <v>1</v>
      </c>
      <c r="B142" t="s">
        <v>512</v>
      </c>
      <c r="C142">
        <v>2</v>
      </c>
      <c r="D142">
        <v>16</v>
      </c>
      <c r="E142" t="str">
        <f t="shared" si="6"/>
        <v>Fishtro/16/1/2</v>
      </c>
      <c r="F142">
        <v>3</v>
      </c>
    </row>
    <row r="143" spans="1:6" x14ac:dyDescent="0.2">
      <c r="A143">
        <v>2</v>
      </c>
      <c r="B143" t="s">
        <v>493</v>
      </c>
      <c r="C143">
        <v>2</v>
      </c>
      <c r="D143">
        <v>12</v>
      </c>
      <c r="E143" t="str">
        <f t="shared" si="6"/>
        <v>Rockatou/12/2/2</v>
      </c>
      <c r="F143">
        <v>3</v>
      </c>
    </row>
    <row r="144" spans="1:6" x14ac:dyDescent="0.2">
      <c r="A144">
        <v>3</v>
      </c>
      <c r="B144" t="s">
        <v>501</v>
      </c>
      <c r="C144">
        <v>1</v>
      </c>
      <c r="D144">
        <v>8</v>
      </c>
      <c r="E144" t="str">
        <f t="shared" si="6"/>
        <v>Poisson Pilote/8/3/1</v>
      </c>
      <c r="F144">
        <v>3</v>
      </c>
    </row>
    <row r="145" spans="1:6" x14ac:dyDescent="0.2">
      <c r="A145">
        <v>4</v>
      </c>
      <c r="B145" t="s">
        <v>521</v>
      </c>
      <c r="C145">
        <v>0</v>
      </c>
      <c r="D145">
        <v>4</v>
      </c>
      <c r="E145" t="str">
        <f t="shared" si="6"/>
        <v>Jaden/4/4/0</v>
      </c>
      <c r="F145">
        <v>3</v>
      </c>
    </row>
    <row r="146" spans="1:6" x14ac:dyDescent="0.2">
      <c r="A146">
        <v>5</v>
      </c>
      <c r="B146" t="s">
        <v>32</v>
      </c>
      <c r="C146">
        <v>0</v>
      </c>
      <c r="D146">
        <v>2</v>
      </c>
      <c r="E146" t="str">
        <f t="shared" si="6"/>
        <v>OlivierN92/2/5/0</v>
      </c>
      <c r="F146">
        <v>3</v>
      </c>
    </row>
    <row r="147" spans="1:6" x14ac:dyDescent="0.2">
      <c r="A147">
        <v>6</v>
      </c>
      <c r="B147" t="s">
        <v>504</v>
      </c>
      <c r="C147">
        <v>0</v>
      </c>
      <c r="D147">
        <v>1</v>
      </c>
      <c r="E147" t="str">
        <f t="shared" si="6"/>
        <v>Zizou/1/6/0</v>
      </c>
      <c r="F147">
        <v>3</v>
      </c>
    </row>
    <row r="148" spans="1:6" x14ac:dyDescent="0.2">
      <c r="A148">
        <v>1</v>
      </c>
      <c r="B148" t="s">
        <v>66</v>
      </c>
      <c r="C148">
        <v>3</v>
      </c>
      <c r="D148">
        <v>16</v>
      </c>
      <c r="E148" t="str">
        <f t="shared" si="6"/>
        <v>Ad Vitam/16/1/3</v>
      </c>
      <c r="F148">
        <v>3</v>
      </c>
    </row>
    <row r="149" spans="1:6" x14ac:dyDescent="0.2">
      <c r="A149">
        <v>2</v>
      </c>
      <c r="B149" t="s">
        <v>519</v>
      </c>
      <c r="C149">
        <v>0</v>
      </c>
      <c r="D149">
        <v>12</v>
      </c>
      <c r="E149" t="str">
        <f t="shared" si="6"/>
        <v>Xhar92/12/2/0</v>
      </c>
      <c r="F149">
        <v>3</v>
      </c>
    </row>
    <row r="150" spans="1:6" x14ac:dyDescent="0.2">
      <c r="A150">
        <v>3</v>
      </c>
      <c r="B150" t="s">
        <v>101</v>
      </c>
      <c r="C150">
        <v>1</v>
      </c>
      <c r="D150">
        <v>8</v>
      </c>
      <c r="E150" t="str">
        <f t="shared" si="6"/>
        <v>ChrisFrankfurt/8/3/1</v>
      </c>
      <c r="F150">
        <v>3</v>
      </c>
    </row>
    <row r="151" spans="1:6" x14ac:dyDescent="0.2">
      <c r="A151">
        <v>4</v>
      </c>
      <c r="B151" t="s">
        <v>475</v>
      </c>
      <c r="C151">
        <v>1</v>
      </c>
      <c r="D151">
        <v>4</v>
      </c>
      <c r="E151" t="str">
        <f t="shared" si="6"/>
        <v>La Bavure/4/4/1</v>
      </c>
      <c r="F151">
        <v>3</v>
      </c>
    </row>
    <row r="152" spans="1:6" x14ac:dyDescent="0.2">
      <c r="A152">
        <v>5</v>
      </c>
      <c r="B152" t="s">
        <v>6</v>
      </c>
      <c r="C152">
        <v>0</v>
      </c>
      <c r="D152">
        <v>2</v>
      </c>
      <c r="E152" t="str">
        <f t="shared" si="6"/>
        <v>Pyja/2/5/0</v>
      </c>
      <c r="F152">
        <v>3</v>
      </c>
    </row>
    <row r="153" spans="1:6" x14ac:dyDescent="0.2">
      <c r="A153">
        <v>6</v>
      </c>
      <c r="B153" t="s">
        <v>525</v>
      </c>
      <c r="C153">
        <v>0</v>
      </c>
      <c r="D153">
        <v>1</v>
      </c>
      <c r="E153" t="str">
        <f t="shared" si="6"/>
        <v>Freddie/1/6/0</v>
      </c>
      <c r="F153">
        <v>3</v>
      </c>
    </row>
    <row r="154" spans="1:6" x14ac:dyDescent="0.2">
      <c r="A154">
        <v>1</v>
      </c>
      <c r="B154" t="s">
        <v>14</v>
      </c>
      <c r="C154">
        <v>5</v>
      </c>
      <c r="D154">
        <v>16</v>
      </c>
      <c r="E154" t="str">
        <f t="shared" ref="E154:E179" si="7">B154&amp;"/"&amp;D154&amp;"/"&amp;A154&amp;"/"&amp;C154</f>
        <v>Ramm/16/1/5</v>
      </c>
      <c r="F154">
        <v>3</v>
      </c>
    </row>
    <row r="155" spans="1:6" x14ac:dyDescent="0.2">
      <c r="A155">
        <v>2</v>
      </c>
      <c r="B155" t="s">
        <v>33</v>
      </c>
      <c r="C155">
        <v>0</v>
      </c>
      <c r="D155">
        <v>12</v>
      </c>
      <c r="E155" t="str">
        <f t="shared" si="7"/>
        <v>Ptit Savoyard/12/2/0</v>
      </c>
      <c r="F155">
        <v>3</v>
      </c>
    </row>
    <row r="156" spans="1:6" x14ac:dyDescent="0.2">
      <c r="A156">
        <v>3</v>
      </c>
      <c r="B156" t="s">
        <v>35</v>
      </c>
      <c r="C156">
        <v>1</v>
      </c>
      <c r="D156">
        <v>8</v>
      </c>
      <c r="E156" t="str">
        <f t="shared" si="7"/>
        <v>JeanMichelTiming/8/3/1</v>
      </c>
      <c r="F156">
        <v>3</v>
      </c>
    </row>
    <row r="157" spans="1:6" x14ac:dyDescent="0.2">
      <c r="A157">
        <v>4</v>
      </c>
      <c r="B157" t="s">
        <v>74</v>
      </c>
      <c r="C157">
        <v>0</v>
      </c>
      <c r="D157">
        <v>4</v>
      </c>
      <c r="E157" t="str">
        <f t="shared" si="7"/>
        <v>PatB/4/4/0</v>
      </c>
      <c r="F157">
        <v>3</v>
      </c>
    </row>
    <row r="158" spans="1:6" x14ac:dyDescent="0.2">
      <c r="A158">
        <v>5</v>
      </c>
      <c r="B158" t="s">
        <v>40</v>
      </c>
      <c r="C158">
        <v>0</v>
      </c>
      <c r="D158">
        <v>2</v>
      </c>
      <c r="E158" t="str">
        <f t="shared" si="7"/>
        <v>Lén@/2/5/0</v>
      </c>
      <c r="F158">
        <v>3</v>
      </c>
    </row>
    <row r="159" spans="1:6" x14ac:dyDescent="0.2">
      <c r="A159">
        <v>6</v>
      </c>
      <c r="B159" t="s">
        <v>34</v>
      </c>
      <c r="C159">
        <v>0</v>
      </c>
      <c r="D159">
        <v>1</v>
      </c>
      <c r="E159" t="str">
        <f t="shared" si="7"/>
        <v>Solex/1/6/0</v>
      </c>
      <c r="F159">
        <v>3</v>
      </c>
    </row>
    <row r="160" spans="1:6" x14ac:dyDescent="0.2">
      <c r="A160">
        <v>1</v>
      </c>
      <c r="B160" t="s">
        <v>502</v>
      </c>
      <c r="C160">
        <v>4</v>
      </c>
      <c r="D160">
        <v>16</v>
      </c>
      <c r="E160" t="str">
        <f t="shared" si="7"/>
        <v>Sobab/16/1/4</v>
      </c>
      <c r="F160">
        <v>3</v>
      </c>
    </row>
    <row r="161" spans="1:6" x14ac:dyDescent="0.2">
      <c r="A161">
        <v>2</v>
      </c>
      <c r="B161" t="s">
        <v>42</v>
      </c>
      <c r="C161">
        <v>1</v>
      </c>
      <c r="D161">
        <v>12</v>
      </c>
      <c r="E161" t="str">
        <f t="shared" si="7"/>
        <v>Claptou/12/2/1</v>
      </c>
      <c r="F161">
        <v>3</v>
      </c>
    </row>
    <row r="162" spans="1:6" x14ac:dyDescent="0.2">
      <c r="A162">
        <v>3</v>
      </c>
      <c r="B162" t="s">
        <v>46</v>
      </c>
      <c r="C162">
        <v>0</v>
      </c>
      <c r="D162">
        <v>8</v>
      </c>
      <c r="E162" t="str">
        <f t="shared" si="7"/>
        <v>Jérôme/8/3/0</v>
      </c>
      <c r="F162">
        <v>3</v>
      </c>
    </row>
    <row r="163" spans="1:6" x14ac:dyDescent="0.2">
      <c r="A163">
        <v>4</v>
      </c>
      <c r="B163" t="s">
        <v>25</v>
      </c>
      <c r="C163">
        <v>0</v>
      </c>
      <c r="D163">
        <v>4</v>
      </c>
      <c r="E163" t="str">
        <f t="shared" si="7"/>
        <v>Claudius/4/4/0</v>
      </c>
      <c r="F163">
        <v>3</v>
      </c>
    </row>
    <row r="164" spans="1:6" x14ac:dyDescent="0.2">
      <c r="A164">
        <v>5</v>
      </c>
      <c r="B164" t="s">
        <v>509</v>
      </c>
      <c r="C164">
        <v>0</v>
      </c>
      <c r="D164">
        <v>2</v>
      </c>
      <c r="E164" t="str">
        <f t="shared" si="7"/>
        <v>Gibouille/2/5/0</v>
      </c>
      <c r="F164">
        <v>3</v>
      </c>
    </row>
    <row r="165" spans="1:6" x14ac:dyDescent="0.2">
      <c r="A165">
        <v>6</v>
      </c>
      <c r="B165" t="s">
        <v>61</v>
      </c>
      <c r="C165">
        <v>0</v>
      </c>
      <c r="D165">
        <v>1</v>
      </c>
      <c r="E165" t="str">
        <f t="shared" si="7"/>
        <v>Kri-lin/1/6/0</v>
      </c>
      <c r="F165">
        <v>3</v>
      </c>
    </row>
    <row r="166" spans="1:6" x14ac:dyDescent="0.2">
      <c r="A166">
        <v>1</v>
      </c>
      <c r="B166" t="s">
        <v>461</v>
      </c>
      <c r="C166">
        <v>4</v>
      </c>
      <c r="D166">
        <v>17</v>
      </c>
      <c r="E166" t="str">
        <f t="shared" si="7"/>
        <v>Djecus/17/1/4</v>
      </c>
      <c r="F166">
        <v>4</v>
      </c>
    </row>
    <row r="167" spans="1:6" x14ac:dyDescent="0.2">
      <c r="A167">
        <v>2</v>
      </c>
      <c r="B167" t="s">
        <v>479</v>
      </c>
      <c r="C167">
        <v>2</v>
      </c>
      <c r="D167">
        <v>13</v>
      </c>
      <c r="E167" t="str">
        <f t="shared" si="7"/>
        <v>Salender/13/2/2</v>
      </c>
      <c r="F167">
        <v>4</v>
      </c>
    </row>
    <row r="168" spans="1:6" x14ac:dyDescent="0.2">
      <c r="A168">
        <v>3</v>
      </c>
      <c r="B168" t="s">
        <v>525</v>
      </c>
      <c r="C168">
        <v>0</v>
      </c>
      <c r="D168">
        <v>9</v>
      </c>
      <c r="E168" t="str">
        <f t="shared" si="7"/>
        <v>Freddie/9/3/0</v>
      </c>
      <c r="F168">
        <v>4</v>
      </c>
    </row>
    <row r="169" spans="1:6" x14ac:dyDescent="0.2">
      <c r="A169">
        <v>4</v>
      </c>
      <c r="B169" t="s">
        <v>55</v>
      </c>
      <c r="C169">
        <v>0</v>
      </c>
      <c r="D169">
        <v>5</v>
      </c>
      <c r="E169" t="str">
        <f t="shared" si="7"/>
        <v>Bounette/5/4/0</v>
      </c>
      <c r="F169">
        <v>4</v>
      </c>
    </row>
    <row r="170" spans="1:6" x14ac:dyDescent="0.2">
      <c r="A170">
        <v>5</v>
      </c>
      <c r="B170" t="s">
        <v>261</v>
      </c>
      <c r="C170">
        <v>0</v>
      </c>
      <c r="D170">
        <v>3</v>
      </c>
      <c r="E170" t="str">
        <f t="shared" si="7"/>
        <v>Riviera/3/5/0</v>
      </c>
      <c r="F170">
        <v>4</v>
      </c>
    </row>
    <row r="171" spans="1:6" x14ac:dyDescent="0.2">
      <c r="A171">
        <v>6</v>
      </c>
      <c r="B171" t="s">
        <v>40</v>
      </c>
      <c r="C171">
        <v>0</v>
      </c>
      <c r="D171">
        <v>2</v>
      </c>
      <c r="E171" t="str">
        <f t="shared" si="7"/>
        <v>Lén@/2/6/0</v>
      </c>
      <c r="F171">
        <v>4</v>
      </c>
    </row>
    <row r="172" spans="1:6" x14ac:dyDescent="0.2">
      <c r="A172">
        <v>7</v>
      </c>
      <c r="B172" t="s">
        <v>506</v>
      </c>
      <c r="C172">
        <v>0</v>
      </c>
      <c r="D172">
        <v>1</v>
      </c>
      <c r="E172" t="str">
        <f t="shared" si="7"/>
        <v>Zubbaz/1/7/0</v>
      </c>
      <c r="F172">
        <v>4</v>
      </c>
    </row>
    <row r="173" spans="1:6" x14ac:dyDescent="0.2">
      <c r="A173">
        <v>1</v>
      </c>
      <c r="B173" t="s">
        <v>493</v>
      </c>
      <c r="C173">
        <v>2</v>
      </c>
      <c r="D173">
        <v>17</v>
      </c>
      <c r="E173" t="str">
        <f t="shared" si="7"/>
        <v>Rockatou/17/1/2</v>
      </c>
      <c r="F173">
        <v>4</v>
      </c>
    </row>
    <row r="174" spans="1:6" x14ac:dyDescent="0.2">
      <c r="A174">
        <v>2</v>
      </c>
      <c r="B174" t="s">
        <v>29</v>
      </c>
      <c r="C174">
        <v>1</v>
      </c>
      <c r="D174">
        <v>13</v>
      </c>
      <c r="E174" t="str">
        <f t="shared" si="7"/>
        <v>NoDoubt/13/2/1</v>
      </c>
      <c r="F174">
        <v>4</v>
      </c>
    </row>
    <row r="175" spans="1:6" x14ac:dyDescent="0.2">
      <c r="A175">
        <v>3</v>
      </c>
      <c r="B175" t="s">
        <v>518</v>
      </c>
      <c r="C175">
        <v>3</v>
      </c>
      <c r="D175">
        <v>9</v>
      </c>
      <c r="E175" t="str">
        <f t="shared" si="7"/>
        <v>Soupaman/9/3/3</v>
      </c>
      <c r="F175">
        <v>4</v>
      </c>
    </row>
    <row r="176" spans="1:6" x14ac:dyDescent="0.2">
      <c r="A176">
        <v>4</v>
      </c>
      <c r="B176" t="s">
        <v>46</v>
      </c>
      <c r="C176">
        <v>0</v>
      </c>
      <c r="D176">
        <v>5</v>
      </c>
      <c r="E176" t="str">
        <f t="shared" si="7"/>
        <v>Jérôme/5/4/0</v>
      </c>
      <c r="F176">
        <v>4</v>
      </c>
    </row>
    <row r="177" spans="1:6" x14ac:dyDescent="0.2">
      <c r="A177">
        <v>5</v>
      </c>
      <c r="B177" t="s">
        <v>20</v>
      </c>
      <c r="C177">
        <v>0</v>
      </c>
      <c r="D177">
        <v>3</v>
      </c>
      <c r="E177" t="str">
        <f t="shared" si="7"/>
        <v>saymsonite/3/5/0</v>
      </c>
      <c r="F177">
        <v>4</v>
      </c>
    </row>
    <row r="178" spans="1:6" x14ac:dyDescent="0.2">
      <c r="A178">
        <v>6</v>
      </c>
      <c r="B178" t="s">
        <v>9</v>
      </c>
      <c r="C178">
        <v>0</v>
      </c>
      <c r="D178">
        <v>2</v>
      </c>
      <c r="E178" t="str">
        <f t="shared" si="7"/>
        <v>K1/2/6/0</v>
      </c>
      <c r="F178">
        <v>4</v>
      </c>
    </row>
    <row r="179" spans="1:6" x14ac:dyDescent="0.2">
      <c r="A179">
        <v>7</v>
      </c>
      <c r="B179" t="s">
        <v>535</v>
      </c>
      <c r="C179">
        <v>0</v>
      </c>
      <c r="D179">
        <v>1</v>
      </c>
      <c r="E179" t="str">
        <f t="shared" si="7"/>
        <v>TheRealWill/1/7/0</v>
      </c>
      <c r="F179">
        <v>4</v>
      </c>
    </row>
    <row r="180" spans="1:6" x14ac:dyDescent="0.2">
      <c r="A180">
        <v>1</v>
      </c>
      <c r="B180" t="s">
        <v>490</v>
      </c>
      <c r="C180">
        <v>3</v>
      </c>
      <c r="D180">
        <v>17</v>
      </c>
      <c r="E180" t="str">
        <f t="shared" ref="E180:E205" si="8">B180&amp;"/"&amp;D180&amp;"/"&amp;A180&amp;"/"&amp;C180</f>
        <v>DernierPli/17/1/3</v>
      </c>
      <c r="F180">
        <v>4</v>
      </c>
    </row>
    <row r="181" spans="1:6" x14ac:dyDescent="0.2">
      <c r="A181">
        <v>2</v>
      </c>
      <c r="B181" t="s">
        <v>531</v>
      </c>
      <c r="C181">
        <v>3</v>
      </c>
      <c r="D181">
        <v>13</v>
      </c>
      <c r="E181" t="str">
        <f t="shared" si="8"/>
        <v>Toinou/13/2/3</v>
      </c>
      <c r="F181">
        <v>4</v>
      </c>
    </row>
    <row r="182" spans="1:6" x14ac:dyDescent="0.2">
      <c r="A182">
        <v>3</v>
      </c>
      <c r="B182" t="s">
        <v>61</v>
      </c>
      <c r="C182">
        <v>0</v>
      </c>
      <c r="D182">
        <v>9</v>
      </c>
      <c r="E182" t="str">
        <f t="shared" si="8"/>
        <v>Kri-lin/9/3/0</v>
      </c>
      <c r="F182">
        <v>4</v>
      </c>
    </row>
    <row r="183" spans="1:6" x14ac:dyDescent="0.2">
      <c r="A183">
        <v>4</v>
      </c>
      <c r="B183" t="s">
        <v>42</v>
      </c>
      <c r="C183">
        <v>0</v>
      </c>
      <c r="D183">
        <v>5</v>
      </c>
      <c r="E183" t="str">
        <f t="shared" si="8"/>
        <v>Claptou/5/4/0</v>
      </c>
      <c r="F183">
        <v>4</v>
      </c>
    </row>
    <row r="184" spans="1:6" x14ac:dyDescent="0.2">
      <c r="A184">
        <v>5</v>
      </c>
      <c r="B184" t="s">
        <v>69</v>
      </c>
      <c r="C184">
        <v>0</v>
      </c>
      <c r="D184">
        <v>3</v>
      </c>
      <c r="E184" t="str">
        <f t="shared" si="8"/>
        <v>Catherine/3/5/0</v>
      </c>
      <c r="F184">
        <v>4</v>
      </c>
    </row>
    <row r="185" spans="1:6" x14ac:dyDescent="0.2">
      <c r="A185">
        <v>6</v>
      </c>
      <c r="B185" t="s">
        <v>21</v>
      </c>
      <c r="C185">
        <v>0</v>
      </c>
      <c r="D185">
        <v>2</v>
      </c>
      <c r="E185" t="str">
        <f t="shared" si="8"/>
        <v>Carmin/2/6/0</v>
      </c>
      <c r="F185">
        <v>4</v>
      </c>
    </row>
    <row r="186" spans="1:6" x14ac:dyDescent="0.2">
      <c r="A186">
        <v>7</v>
      </c>
      <c r="B186" t="s">
        <v>35</v>
      </c>
      <c r="C186">
        <v>0</v>
      </c>
      <c r="D186">
        <v>1</v>
      </c>
      <c r="E186" t="str">
        <f t="shared" si="8"/>
        <v>JeanMichelTiming/1/7/0</v>
      </c>
      <c r="F186">
        <v>4</v>
      </c>
    </row>
    <row r="187" spans="1:6" x14ac:dyDescent="0.2">
      <c r="A187">
        <v>1</v>
      </c>
      <c r="B187" t="s">
        <v>515</v>
      </c>
      <c r="C187">
        <v>4</v>
      </c>
      <c r="D187">
        <v>17</v>
      </c>
      <c r="E187" t="str">
        <f t="shared" si="8"/>
        <v>Chico/17/1/4</v>
      </c>
      <c r="F187">
        <v>4</v>
      </c>
    </row>
    <row r="188" spans="1:6" x14ac:dyDescent="0.2">
      <c r="A188">
        <v>2</v>
      </c>
      <c r="B188" t="s">
        <v>66</v>
      </c>
      <c r="C188">
        <v>1</v>
      </c>
      <c r="D188">
        <v>13</v>
      </c>
      <c r="E188" t="str">
        <f t="shared" si="8"/>
        <v>Ad Vitam/13/2/1</v>
      </c>
      <c r="F188">
        <v>4</v>
      </c>
    </row>
    <row r="189" spans="1:6" x14ac:dyDescent="0.2">
      <c r="A189">
        <v>3</v>
      </c>
      <c r="B189" t="s">
        <v>452</v>
      </c>
      <c r="C189">
        <v>1</v>
      </c>
      <c r="D189">
        <v>9</v>
      </c>
      <c r="E189" t="str">
        <f t="shared" si="8"/>
        <v>The Hengover/9/3/1</v>
      </c>
      <c r="F189">
        <v>4</v>
      </c>
    </row>
    <row r="190" spans="1:6" x14ac:dyDescent="0.2">
      <c r="A190">
        <v>4</v>
      </c>
      <c r="B190" t="s">
        <v>73</v>
      </c>
      <c r="C190">
        <v>0</v>
      </c>
      <c r="D190">
        <v>5</v>
      </c>
      <c r="E190" t="str">
        <f t="shared" si="8"/>
        <v>Flem/5/4/0</v>
      </c>
      <c r="F190">
        <v>4</v>
      </c>
    </row>
    <row r="191" spans="1:6" x14ac:dyDescent="0.2">
      <c r="A191">
        <v>5</v>
      </c>
      <c r="B191" t="s">
        <v>519</v>
      </c>
      <c r="C191">
        <v>0</v>
      </c>
      <c r="D191">
        <v>3</v>
      </c>
      <c r="E191" t="str">
        <f t="shared" si="8"/>
        <v>Xhar92/3/5/0</v>
      </c>
      <c r="F191">
        <v>4</v>
      </c>
    </row>
    <row r="192" spans="1:6" x14ac:dyDescent="0.2">
      <c r="A192">
        <v>6</v>
      </c>
      <c r="B192" t="s">
        <v>528</v>
      </c>
      <c r="C192">
        <v>0</v>
      </c>
      <c r="D192">
        <v>2</v>
      </c>
      <c r="E192" t="str">
        <f t="shared" si="8"/>
        <v>Papillon/2/6/0</v>
      </c>
      <c r="F192">
        <v>4</v>
      </c>
    </row>
    <row r="193" spans="1:6" x14ac:dyDescent="0.2">
      <c r="A193">
        <v>7</v>
      </c>
      <c r="B193" t="s">
        <v>345</v>
      </c>
      <c r="C193">
        <v>0</v>
      </c>
      <c r="D193">
        <v>1</v>
      </c>
      <c r="E193" t="str">
        <f t="shared" si="8"/>
        <v>Thibaultp75/1/7/0</v>
      </c>
      <c r="F193">
        <v>4</v>
      </c>
    </row>
    <row r="194" spans="1:6" x14ac:dyDescent="0.2">
      <c r="A194">
        <v>1</v>
      </c>
      <c r="B194" t="s">
        <v>503</v>
      </c>
      <c r="C194">
        <v>2</v>
      </c>
      <c r="D194">
        <v>17</v>
      </c>
      <c r="E194" t="str">
        <f t="shared" si="8"/>
        <v>Yaltar/17/1/2</v>
      </c>
      <c r="F194">
        <v>4</v>
      </c>
    </row>
    <row r="195" spans="1:6" x14ac:dyDescent="0.2">
      <c r="A195">
        <v>2</v>
      </c>
      <c r="B195" t="s">
        <v>15</v>
      </c>
      <c r="C195">
        <v>2</v>
      </c>
      <c r="D195">
        <v>13</v>
      </c>
      <c r="E195" t="str">
        <f t="shared" si="8"/>
        <v>LAAtof/13/2/2</v>
      </c>
      <c r="F195">
        <v>4</v>
      </c>
    </row>
    <row r="196" spans="1:6" x14ac:dyDescent="0.2">
      <c r="A196">
        <v>3</v>
      </c>
      <c r="B196" t="s">
        <v>534</v>
      </c>
      <c r="C196">
        <v>1</v>
      </c>
      <c r="D196">
        <v>9</v>
      </c>
      <c r="E196" t="str">
        <f t="shared" si="8"/>
        <v>JC/9/3/1</v>
      </c>
      <c r="F196">
        <v>4</v>
      </c>
    </row>
    <row r="197" spans="1:6" x14ac:dyDescent="0.2">
      <c r="A197">
        <v>4</v>
      </c>
      <c r="B197" t="s">
        <v>516</v>
      </c>
      <c r="C197">
        <v>1</v>
      </c>
      <c r="D197">
        <v>5</v>
      </c>
      <c r="E197" t="str">
        <f t="shared" si="8"/>
        <v>Tenko/5/4/1</v>
      </c>
      <c r="F197">
        <v>4</v>
      </c>
    </row>
    <row r="198" spans="1:6" x14ac:dyDescent="0.2">
      <c r="A198">
        <v>5</v>
      </c>
      <c r="B198" t="s">
        <v>526</v>
      </c>
      <c r="C198">
        <v>0</v>
      </c>
      <c r="D198">
        <v>3</v>
      </c>
      <c r="E198" t="str">
        <f t="shared" si="8"/>
        <v>Yroz/3/5/0</v>
      </c>
      <c r="F198">
        <v>4</v>
      </c>
    </row>
    <row r="199" spans="1:6" x14ac:dyDescent="0.2">
      <c r="A199">
        <v>6</v>
      </c>
      <c r="B199" t="s">
        <v>87</v>
      </c>
      <c r="C199">
        <v>0</v>
      </c>
      <c r="D199">
        <v>2</v>
      </c>
      <c r="E199" t="str">
        <f t="shared" si="8"/>
        <v>Proph@ne/2/6/0</v>
      </c>
      <c r="F199">
        <v>4</v>
      </c>
    </row>
    <row r="200" spans="1:6" x14ac:dyDescent="0.2">
      <c r="A200">
        <v>7</v>
      </c>
      <c r="B200" t="s">
        <v>502</v>
      </c>
      <c r="C200">
        <v>0</v>
      </c>
      <c r="D200">
        <v>1</v>
      </c>
      <c r="E200" t="str">
        <f t="shared" si="8"/>
        <v>Sobab/1/7/0</v>
      </c>
      <c r="F200">
        <v>4</v>
      </c>
    </row>
    <row r="201" spans="1:6" x14ac:dyDescent="0.2">
      <c r="A201">
        <v>1</v>
      </c>
      <c r="B201" t="s">
        <v>505</v>
      </c>
      <c r="C201">
        <v>4</v>
      </c>
      <c r="D201">
        <v>17</v>
      </c>
      <c r="E201" t="str">
        <f t="shared" si="8"/>
        <v>Mams/17/1/4</v>
      </c>
      <c r="F201">
        <v>4</v>
      </c>
    </row>
    <row r="202" spans="1:6" x14ac:dyDescent="0.2">
      <c r="A202">
        <v>2</v>
      </c>
      <c r="B202" t="s">
        <v>491</v>
      </c>
      <c r="C202">
        <v>1</v>
      </c>
      <c r="D202">
        <v>13</v>
      </c>
      <c r="E202" t="str">
        <f t="shared" si="8"/>
        <v>Flabech/13/2/1</v>
      </c>
      <c r="F202">
        <v>4</v>
      </c>
    </row>
    <row r="203" spans="1:6" x14ac:dyDescent="0.2">
      <c r="A203">
        <v>3</v>
      </c>
      <c r="B203" t="s">
        <v>6</v>
      </c>
      <c r="C203">
        <v>0</v>
      </c>
      <c r="D203">
        <v>9</v>
      </c>
      <c r="E203" t="str">
        <f t="shared" si="8"/>
        <v>Pyja/9/3/0</v>
      </c>
      <c r="F203">
        <v>4</v>
      </c>
    </row>
    <row r="204" spans="1:6" x14ac:dyDescent="0.2">
      <c r="A204">
        <v>4</v>
      </c>
      <c r="B204" t="s">
        <v>484</v>
      </c>
      <c r="C204">
        <v>0</v>
      </c>
      <c r="D204">
        <v>5</v>
      </c>
      <c r="E204" t="str">
        <f t="shared" si="8"/>
        <v>Guerno/5/4/0</v>
      </c>
      <c r="F204">
        <v>4</v>
      </c>
    </row>
    <row r="205" spans="1:6" x14ac:dyDescent="0.2">
      <c r="A205">
        <v>5</v>
      </c>
      <c r="B205" t="s">
        <v>74</v>
      </c>
      <c r="C205">
        <v>0</v>
      </c>
      <c r="D205">
        <v>3</v>
      </c>
      <c r="E205" t="str">
        <f t="shared" si="8"/>
        <v>PatB/3/5/0</v>
      </c>
      <c r="F205">
        <v>4</v>
      </c>
    </row>
    <row r="206" spans="1:6" x14ac:dyDescent="0.2">
      <c r="A206">
        <v>6</v>
      </c>
      <c r="B206" t="s">
        <v>507</v>
      </c>
      <c r="C206">
        <v>1</v>
      </c>
      <c r="D206">
        <v>2</v>
      </c>
      <c r="E206" t="str">
        <f t="shared" ref="E206:E228" si="9">B206&amp;"/"&amp;D206&amp;"/"&amp;A206&amp;"/"&amp;C206</f>
        <v>Losogre/2/6/1</v>
      </c>
      <c r="F206">
        <v>4</v>
      </c>
    </row>
    <row r="207" spans="1:6" x14ac:dyDescent="0.2">
      <c r="A207">
        <v>7</v>
      </c>
      <c r="B207" t="s">
        <v>527</v>
      </c>
      <c r="C207">
        <v>0</v>
      </c>
      <c r="D207">
        <v>1</v>
      </c>
      <c r="E207" t="str">
        <f t="shared" si="9"/>
        <v>Just4fun/1/7/0</v>
      </c>
      <c r="F207">
        <v>4</v>
      </c>
    </row>
    <row r="208" spans="1:6" x14ac:dyDescent="0.2">
      <c r="A208">
        <v>1</v>
      </c>
      <c r="B208" t="s">
        <v>59</v>
      </c>
      <c r="C208">
        <v>3</v>
      </c>
      <c r="D208">
        <v>17</v>
      </c>
      <c r="E208" t="str">
        <f t="shared" si="9"/>
        <v>YooooDA/17/1/3</v>
      </c>
      <c r="F208">
        <v>4</v>
      </c>
    </row>
    <row r="209" spans="1:6" x14ac:dyDescent="0.2">
      <c r="A209">
        <v>2</v>
      </c>
      <c r="B209" t="s">
        <v>533</v>
      </c>
      <c r="C209">
        <v>1</v>
      </c>
      <c r="D209">
        <v>13</v>
      </c>
      <c r="E209" t="str">
        <f t="shared" si="9"/>
        <v>Ouais ouais/13/2/1</v>
      </c>
      <c r="F209">
        <v>4</v>
      </c>
    </row>
    <row r="210" spans="1:6" x14ac:dyDescent="0.2">
      <c r="A210">
        <v>3</v>
      </c>
      <c r="B210" t="s">
        <v>523</v>
      </c>
      <c r="C210">
        <v>2</v>
      </c>
      <c r="D210">
        <v>9</v>
      </c>
      <c r="E210" t="str">
        <f t="shared" si="9"/>
        <v>Mokarran/9/3/2</v>
      </c>
      <c r="F210">
        <v>4</v>
      </c>
    </row>
    <row r="211" spans="1:6" x14ac:dyDescent="0.2">
      <c r="A211">
        <v>4</v>
      </c>
      <c r="B211" t="s">
        <v>33</v>
      </c>
      <c r="C211">
        <v>0</v>
      </c>
      <c r="D211">
        <v>5</v>
      </c>
      <c r="E211" t="str">
        <f t="shared" si="9"/>
        <v>Ptit Savoyard/5/4/0</v>
      </c>
      <c r="F211">
        <v>4</v>
      </c>
    </row>
    <row r="212" spans="1:6" x14ac:dyDescent="0.2">
      <c r="A212">
        <v>5</v>
      </c>
      <c r="B212" t="s">
        <v>14</v>
      </c>
      <c r="C212">
        <v>0</v>
      </c>
      <c r="D212">
        <v>3</v>
      </c>
      <c r="E212" t="str">
        <f t="shared" si="9"/>
        <v>Ramm/3/5/0</v>
      </c>
      <c r="F212">
        <v>4</v>
      </c>
    </row>
    <row r="213" spans="1:6" x14ac:dyDescent="0.2">
      <c r="A213">
        <v>6</v>
      </c>
      <c r="B213" t="s">
        <v>75</v>
      </c>
      <c r="C213">
        <v>0</v>
      </c>
      <c r="D213">
        <v>2</v>
      </c>
      <c r="E213" t="str">
        <f t="shared" si="9"/>
        <v>Michelbey/2/6/0</v>
      </c>
      <c r="F213">
        <v>4</v>
      </c>
    </row>
    <row r="214" spans="1:6" x14ac:dyDescent="0.2">
      <c r="A214">
        <v>7</v>
      </c>
      <c r="B214" t="s">
        <v>65</v>
      </c>
      <c r="C214">
        <v>0</v>
      </c>
      <c r="D214">
        <v>1</v>
      </c>
      <c r="E214" t="str">
        <f t="shared" si="9"/>
        <v>Ripolin/1/7/0</v>
      </c>
      <c r="F214">
        <v>4</v>
      </c>
    </row>
    <row r="215" spans="1:6" x14ac:dyDescent="0.2">
      <c r="A215">
        <v>1</v>
      </c>
      <c r="B215" t="s">
        <v>81</v>
      </c>
      <c r="C215">
        <v>1</v>
      </c>
      <c r="D215">
        <v>17</v>
      </c>
      <c r="E215" t="str">
        <f t="shared" si="9"/>
        <v>Empedocle/17/1/1</v>
      </c>
      <c r="F215">
        <v>4</v>
      </c>
    </row>
    <row r="216" spans="1:6" x14ac:dyDescent="0.2">
      <c r="A216">
        <v>2</v>
      </c>
      <c r="B216" t="s">
        <v>512</v>
      </c>
      <c r="C216">
        <v>3</v>
      </c>
      <c r="D216">
        <v>13</v>
      </c>
      <c r="E216" t="str">
        <f t="shared" si="9"/>
        <v>Fishtro/13/2/3</v>
      </c>
      <c r="F216">
        <v>4</v>
      </c>
    </row>
    <row r="217" spans="1:6" x14ac:dyDescent="0.2">
      <c r="A217">
        <v>3</v>
      </c>
      <c r="B217" t="s">
        <v>25</v>
      </c>
      <c r="C217">
        <v>1</v>
      </c>
      <c r="D217">
        <v>9</v>
      </c>
      <c r="E217" t="str">
        <f t="shared" si="9"/>
        <v>Claudius/9/3/1</v>
      </c>
      <c r="F217">
        <v>4</v>
      </c>
    </row>
    <row r="218" spans="1:6" x14ac:dyDescent="0.2">
      <c r="A218">
        <v>4</v>
      </c>
      <c r="B218" t="s">
        <v>532</v>
      </c>
      <c r="C218">
        <v>1</v>
      </c>
      <c r="D218">
        <v>5</v>
      </c>
      <c r="E218" t="str">
        <f t="shared" si="9"/>
        <v>Boosilletoo/5/4/1</v>
      </c>
      <c r="F218">
        <v>4</v>
      </c>
    </row>
    <row r="219" spans="1:6" x14ac:dyDescent="0.2">
      <c r="A219">
        <v>5</v>
      </c>
      <c r="B219" t="s">
        <v>32</v>
      </c>
      <c r="C219">
        <v>0</v>
      </c>
      <c r="D219">
        <v>3</v>
      </c>
      <c r="E219" t="str">
        <f t="shared" si="9"/>
        <v>OlivierN92/3/5/0</v>
      </c>
      <c r="F219">
        <v>4</v>
      </c>
    </row>
    <row r="220" spans="1:6" x14ac:dyDescent="0.2">
      <c r="A220">
        <v>6</v>
      </c>
      <c r="B220" t="s">
        <v>48</v>
      </c>
      <c r="C220">
        <v>0</v>
      </c>
      <c r="D220">
        <v>2</v>
      </c>
      <c r="E220" t="str">
        <f t="shared" si="9"/>
        <v>Pintu/2/6/0</v>
      </c>
      <c r="F220">
        <v>4</v>
      </c>
    </row>
    <row r="221" spans="1:6" x14ac:dyDescent="0.2">
      <c r="A221">
        <v>7</v>
      </c>
      <c r="B221" t="s">
        <v>476</v>
      </c>
      <c r="C221">
        <v>0</v>
      </c>
      <c r="D221">
        <v>1</v>
      </c>
      <c r="E221" t="str">
        <f t="shared" si="9"/>
        <v>MegaSouche/1/7/0</v>
      </c>
      <c r="F221">
        <v>4</v>
      </c>
    </row>
    <row r="222" spans="1:6" x14ac:dyDescent="0.2">
      <c r="A222">
        <v>1</v>
      </c>
      <c r="B222" t="s">
        <v>451</v>
      </c>
      <c r="C222">
        <v>3</v>
      </c>
      <c r="D222">
        <v>17</v>
      </c>
      <c r="E222" t="str">
        <f t="shared" si="9"/>
        <v>Jacaille/17/1/3</v>
      </c>
      <c r="F222">
        <v>4</v>
      </c>
    </row>
    <row r="223" spans="1:6" x14ac:dyDescent="0.2">
      <c r="A223">
        <v>2</v>
      </c>
      <c r="B223" t="s">
        <v>280</v>
      </c>
      <c r="C223">
        <v>1</v>
      </c>
      <c r="D223">
        <v>13</v>
      </c>
      <c r="E223" t="str">
        <f t="shared" si="9"/>
        <v>Delgres/13/2/1</v>
      </c>
      <c r="F223">
        <v>4</v>
      </c>
    </row>
    <row r="224" spans="1:6" x14ac:dyDescent="0.2">
      <c r="A224">
        <v>3</v>
      </c>
      <c r="B224" t="s">
        <v>179</v>
      </c>
      <c r="C224">
        <v>2</v>
      </c>
      <c r="D224">
        <v>9</v>
      </c>
      <c r="E224" t="str">
        <f t="shared" si="9"/>
        <v>NastyLucker/9/3/2</v>
      </c>
      <c r="F224">
        <v>4</v>
      </c>
    </row>
    <row r="225" spans="1:6" x14ac:dyDescent="0.2">
      <c r="A225">
        <v>4</v>
      </c>
      <c r="B225" t="s">
        <v>27</v>
      </c>
      <c r="C225">
        <v>0</v>
      </c>
      <c r="D225">
        <v>5</v>
      </c>
      <c r="E225" t="str">
        <f t="shared" si="9"/>
        <v>Mandrake/5/4/0</v>
      </c>
      <c r="F225">
        <v>4</v>
      </c>
    </row>
    <row r="226" spans="1:6" x14ac:dyDescent="0.2">
      <c r="A226">
        <v>5</v>
      </c>
      <c r="B226" t="s">
        <v>504</v>
      </c>
      <c r="C226">
        <v>0</v>
      </c>
      <c r="D226">
        <v>3</v>
      </c>
      <c r="E226" t="str">
        <f t="shared" si="9"/>
        <v>Zizou/3/5/0</v>
      </c>
      <c r="F226">
        <v>4</v>
      </c>
    </row>
    <row r="227" spans="1:6" x14ac:dyDescent="0.2">
      <c r="A227">
        <v>6</v>
      </c>
      <c r="B227" t="s">
        <v>508</v>
      </c>
      <c r="C227">
        <v>0</v>
      </c>
      <c r="D227">
        <v>2</v>
      </c>
      <c r="E227" t="str">
        <f t="shared" si="9"/>
        <v>Rmarc/2/6/0</v>
      </c>
      <c r="F227">
        <v>4</v>
      </c>
    </row>
    <row r="228" spans="1:6" x14ac:dyDescent="0.2">
      <c r="A228">
        <v>7</v>
      </c>
      <c r="B228" t="s">
        <v>5</v>
      </c>
      <c r="C228">
        <v>0</v>
      </c>
      <c r="D228">
        <v>1</v>
      </c>
      <c r="E228" t="str">
        <f t="shared" si="9"/>
        <v>Sabwill/1/7/0</v>
      </c>
      <c r="F228">
        <v>4</v>
      </c>
    </row>
    <row r="229" spans="1:6" x14ac:dyDescent="0.2">
      <c r="A229">
        <v>1</v>
      </c>
      <c r="B229" t="s">
        <v>530</v>
      </c>
      <c r="C229">
        <v>2</v>
      </c>
      <c r="D229">
        <v>16</v>
      </c>
      <c r="E229" t="str">
        <f t="shared" ref="E229:E253" si="10">B229&amp;"/"&amp;D229&amp;"/"&amp;A229&amp;"/"&amp;C229</f>
        <v>Flopynou/16/1/2</v>
      </c>
      <c r="F229">
        <v>5</v>
      </c>
    </row>
    <row r="230" spans="1:6" x14ac:dyDescent="0.2">
      <c r="A230">
        <v>2</v>
      </c>
      <c r="B230" t="s">
        <v>510</v>
      </c>
      <c r="C230">
        <v>3</v>
      </c>
      <c r="D230">
        <v>12</v>
      </c>
      <c r="E230" t="str">
        <f t="shared" si="10"/>
        <v>Magic Mykiss/12/2/3</v>
      </c>
      <c r="F230">
        <v>5</v>
      </c>
    </row>
    <row r="231" spans="1:6" x14ac:dyDescent="0.2">
      <c r="A231">
        <v>3</v>
      </c>
      <c r="B231" t="s">
        <v>87</v>
      </c>
      <c r="C231">
        <v>0</v>
      </c>
      <c r="D231">
        <v>8</v>
      </c>
      <c r="E231" t="str">
        <f t="shared" si="10"/>
        <v>Proph@ne/8/3/0</v>
      </c>
      <c r="F231">
        <v>5</v>
      </c>
    </row>
    <row r="232" spans="1:6" x14ac:dyDescent="0.2">
      <c r="A232">
        <v>4</v>
      </c>
      <c r="B232" t="s">
        <v>493</v>
      </c>
      <c r="C232">
        <v>0</v>
      </c>
      <c r="D232">
        <v>4</v>
      </c>
      <c r="E232" t="str">
        <f t="shared" si="10"/>
        <v>Rockatou/4/4/0</v>
      </c>
      <c r="F232">
        <v>5</v>
      </c>
    </row>
    <row r="233" spans="1:6" x14ac:dyDescent="0.2">
      <c r="A233">
        <v>5</v>
      </c>
      <c r="B233" t="s">
        <v>6</v>
      </c>
      <c r="C233">
        <v>0</v>
      </c>
      <c r="D233">
        <v>2</v>
      </c>
      <c r="E233" t="str">
        <f t="shared" si="10"/>
        <v>Pyja/2/5/0</v>
      </c>
      <c r="F233">
        <v>5</v>
      </c>
    </row>
    <row r="234" spans="1:6" x14ac:dyDescent="0.2">
      <c r="A234">
        <v>6</v>
      </c>
      <c r="B234" t="s">
        <v>61</v>
      </c>
      <c r="C234">
        <v>0</v>
      </c>
      <c r="D234">
        <v>1</v>
      </c>
      <c r="E234" t="str">
        <f t="shared" si="10"/>
        <v>Kri-lin/1/6/0</v>
      </c>
      <c r="F234">
        <v>5</v>
      </c>
    </row>
    <row r="235" spans="1:6" x14ac:dyDescent="0.2">
      <c r="A235">
        <v>1</v>
      </c>
      <c r="B235" t="s">
        <v>46</v>
      </c>
      <c r="C235">
        <v>4</v>
      </c>
      <c r="D235">
        <v>17</v>
      </c>
      <c r="E235" t="str">
        <f t="shared" si="10"/>
        <v>Jérôme/17/1/4</v>
      </c>
      <c r="F235">
        <v>5</v>
      </c>
    </row>
    <row r="236" spans="1:6" x14ac:dyDescent="0.2">
      <c r="A236">
        <v>2</v>
      </c>
      <c r="B236" t="s">
        <v>461</v>
      </c>
      <c r="C236">
        <v>1</v>
      </c>
      <c r="D236">
        <v>13</v>
      </c>
      <c r="E236" t="str">
        <f t="shared" si="10"/>
        <v>Djecus/13/2/1</v>
      </c>
      <c r="F236">
        <v>5</v>
      </c>
    </row>
    <row r="237" spans="1:6" x14ac:dyDescent="0.2">
      <c r="A237">
        <v>3</v>
      </c>
      <c r="B237" t="s">
        <v>35</v>
      </c>
      <c r="C237">
        <v>0</v>
      </c>
      <c r="D237">
        <v>9</v>
      </c>
      <c r="E237" t="str">
        <f t="shared" si="10"/>
        <v>JeanMichelTiming/9/3/0</v>
      </c>
      <c r="F237">
        <v>5</v>
      </c>
    </row>
    <row r="238" spans="1:6" x14ac:dyDescent="0.2">
      <c r="A238">
        <v>4</v>
      </c>
      <c r="B238" t="s">
        <v>500</v>
      </c>
      <c r="C238">
        <v>0</v>
      </c>
      <c r="D238">
        <v>5</v>
      </c>
      <c r="E238" t="str">
        <f t="shared" si="10"/>
        <v>Kheops/5/4/0</v>
      </c>
      <c r="F238">
        <v>5</v>
      </c>
    </row>
    <row r="239" spans="1:6" x14ac:dyDescent="0.2">
      <c r="A239">
        <v>5</v>
      </c>
      <c r="B239" t="s">
        <v>462</v>
      </c>
      <c r="C239">
        <v>1</v>
      </c>
      <c r="D239">
        <v>3</v>
      </c>
      <c r="E239" t="str">
        <f t="shared" si="10"/>
        <v>Lizzie/3/5/1</v>
      </c>
      <c r="F239">
        <v>5</v>
      </c>
    </row>
    <row r="240" spans="1:6" x14ac:dyDescent="0.2">
      <c r="A240">
        <v>6</v>
      </c>
      <c r="B240" t="s">
        <v>503</v>
      </c>
      <c r="C240">
        <v>0</v>
      </c>
      <c r="D240">
        <v>2</v>
      </c>
      <c r="E240" t="str">
        <f t="shared" si="10"/>
        <v>Yaltar/2/6/0</v>
      </c>
      <c r="F240">
        <v>5</v>
      </c>
    </row>
    <row r="241" spans="1:6" x14ac:dyDescent="0.2">
      <c r="A241">
        <v>7</v>
      </c>
      <c r="B241" t="s">
        <v>65</v>
      </c>
      <c r="C241">
        <v>0</v>
      </c>
      <c r="D241">
        <v>1</v>
      </c>
      <c r="E241" t="str">
        <f t="shared" si="10"/>
        <v>Ripolin/1/7/0</v>
      </c>
      <c r="F241">
        <v>5</v>
      </c>
    </row>
    <row r="242" spans="1:6" x14ac:dyDescent="0.2">
      <c r="A242">
        <v>1</v>
      </c>
      <c r="B242" t="s">
        <v>505</v>
      </c>
      <c r="C242">
        <v>3</v>
      </c>
      <c r="D242">
        <v>17</v>
      </c>
      <c r="E242" t="str">
        <f t="shared" si="10"/>
        <v>Mams/17/1/3</v>
      </c>
      <c r="F242">
        <v>5</v>
      </c>
    </row>
    <row r="243" spans="1:6" x14ac:dyDescent="0.2">
      <c r="A243">
        <v>2</v>
      </c>
      <c r="B243" t="s">
        <v>454</v>
      </c>
      <c r="C243">
        <v>2</v>
      </c>
      <c r="D243">
        <v>13</v>
      </c>
      <c r="E243" t="str">
        <f t="shared" si="10"/>
        <v>Gibbonfury/13/2/2</v>
      </c>
      <c r="F243">
        <v>5</v>
      </c>
    </row>
    <row r="244" spans="1:6" x14ac:dyDescent="0.2">
      <c r="A244">
        <v>3</v>
      </c>
      <c r="B244" t="s">
        <v>534</v>
      </c>
      <c r="C244">
        <v>1</v>
      </c>
      <c r="D244">
        <v>9</v>
      </c>
      <c r="E244" t="str">
        <f t="shared" si="10"/>
        <v>JC/9/3/1</v>
      </c>
      <c r="F244">
        <v>5</v>
      </c>
    </row>
    <row r="245" spans="1:6" x14ac:dyDescent="0.2">
      <c r="A245">
        <v>4</v>
      </c>
      <c r="B245" t="s">
        <v>479</v>
      </c>
      <c r="C245">
        <v>0</v>
      </c>
      <c r="D245">
        <v>5</v>
      </c>
      <c r="E245" t="str">
        <f t="shared" si="10"/>
        <v>Salender/5/4/0</v>
      </c>
      <c r="F245">
        <v>5</v>
      </c>
    </row>
    <row r="246" spans="1:6" x14ac:dyDescent="0.2">
      <c r="A246">
        <v>5</v>
      </c>
      <c r="B246" t="s">
        <v>69</v>
      </c>
      <c r="C246">
        <v>0</v>
      </c>
      <c r="D246">
        <v>3</v>
      </c>
      <c r="E246" t="str">
        <f t="shared" si="10"/>
        <v>Catherine/3/5/0</v>
      </c>
      <c r="F246">
        <v>5</v>
      </c>
    </row>
    <row r="247" spans="1:6" x14ac:dyDescent="0.2">
      <c r="A247">
        <v>6</v>
      </c>
      <c r="B247" t="s">
        <v>9</v>
      </c>
      <c r="C247">
        <v>0</v>
      </c>
      <c r="D247">
        <v>2</v>
      </c>
      <c r="E247" t="str">
        <f t="shared" si="10"/>
        <v>K1/2/6/0</v>
      </c>
      <c r="F247">
        <v>5</v>
      </c>
    </row>
    <row r="248" spans="1:6" x14ac:dyDescent="0.2">
      <c r="A248">
        <v>7</v>
      </c>
      <c r="B248" t="s">
        <v>518</v>
      </c>
      <c r="C248">
        <v>0</v>
      </c>
      <c r="D248">
        <v>1</v>
      </c>
      <c r="E248" t="str">
        <f t="shared" si="10"/>
        <v>Soupaman/1/7/0</v>
      </c>
      <c r="F248">
        <v>5</v>
      </c>
    </row>
    <row r="249" spans="1:6" x14ac:dyDescent="0.2">
      <c r="A249">
        <v>1</v>
      </c>
      <c r="B249" t="s">
        <v>476</v>
      </c>
      <c r="C249">
        <v>4</v>
      </c>
      <c r="D249">
        <v>15</v>
      </c>
      <c r="E249" t="str">
        <f t="shared" si="10"/>
        <v>MegaSouche/15/1/4</v>
      </c>
      <c r="F249">
        <v>5</v>
      </c>
    </row>
    <row r="250" spans="1:6" x14ac:dyDescent="0.2">
      <c r="A250">
        <v>2</v>
      </c>
      <c r="B250" t="s">
        <v>512</v>
      </c>
      <c r="C250">
        <v>0</v>
      </c>
      <c r="D250">
        <v>11</v>
      </c>
      <c r="E250" t="str">
        <f t="shared" si="10"/>
        <v>Fishtro/11/2/0</v>
      </c>
      <c r="F250">
        <v>5</v>
      </c>
    </row>
    <row r="251" spans="1:6" x14ac:dyDescent="0.2">
      <c r="A251">
        <v>3</v>
      </c>
      <c r="B251" t="s">
        <v>25</v>
      </c>
      <c r="C251">
        <v>0</v>
      </c>
      <c r="D251">
        <v>7</v>
      </c>
      <c r="E251" t="str">
        <f t="shared" si="10"/>
        <v>Claudius/7/3/0</v>
      </c>
      <c r="F251">
        <v>5</v>
      </c>
    </row>
    <row r="252" spans="1:6" x14ac:dyDescent="0.2">
      <c r="A252">
        <v>4</v>
      </c>
      <c r="B252" t="s">
        <v>81</v>
      </c>
      <c r="C252">
        <v>0</v>
      </c>
      <c r="D252">
        <v>3</v>
      </c>
      <c r="E252" t="str">
        <f t="shared" si="10"/>
        <v>Empedocle/3/4/0</v>
      </c>
      <c r="F252">
        <v>5</v>
      </c>
    </row>
    <row r="253" spans="1:6" x14ac:dyDescent="0.2">
      <c r="A253">
        <v>5</v>
      </c>
      <c r="B253" t="s">
        <v>345</v>
      </c>
      <c r="C253">
        <v>0</v>
      </c>
      <c r="D253">
        <v>1</v>
      </c>
      <c r="E253" t="str">
        <f t="shared" si="10"/>
        <v>Thibaultp75/1/5/0</v>
      </c>
      <c r="F253">
        <v>5</v>
      </c>
    </row>
    <row r="254" spans="1:6" x14ac:dyDescent="0.2">
      <c r="A254">
        <v>1</v>
      </c>
      <c r="B254" t="s">
        <v>73</v>
      </c>
      <c r="C254">
        <v>2</v>
      </c>
      <c r="D254">
        <v>16</v>
      </c>
      <c r="E254" t="str">
        <f t="shared" ref="E254:E274" si="11">B254&amp;"/"&amp;D254&amp;"/"&amp;A254&amp;"/"&amp;C254</f>
        <v>Flem/16/1/2</v>
      </c>
      <c r="F254">
        <v>5</v>
      </c>
    </row>
    <row r="255" spans="1:6" x14ac:dyDescent="0.2">
      <c r="A255">
        <v>2</v>
      </c>
      <c r="B255" t="s">
        <v>523</v>
      </c>
      <c r="C255">
        <v>1</v>
      </c>
      <c r="D255">
        <v>12</v>
      </c>
      <c r="E255" t="str">
        <f t="shared" si="11"/>
        <v>Mokarran/12/2/1</v>
      </c>
      <c r="F255">
        <v>5</v>
      </c>
    </row>
    <row r="256" spans="1:6" x14ac:dyDescent="0.2">
      <c r="A256">
        <v>3</v>
      </c>
      <c r="B256" t="s">
        <v>507</v>
      </c>
      <c r="C256">
        <v>1</v>
      </c>
      <c r="D256">
        <v>8</v>
      </c>
      <c r="E256" t="str">
        <f t="shared" si="11"/>
        <v>Losogre/8/3/1</v>
      </c>
      <c r="F256">
        <v>5</v>
      </c>
    </row>
    <row r="257" spans="1:6" x14ac:dyDescent="0.2">
      <c r="A257">
        <v>4</v>
      </c>
      <c r="B257" t="s">
        <v>34</v>
      </c>
      <c r="C257">
        <v>0</v>
      </c>
      <c r="D257">
        <v>4</v>
      </c>
      <c r="E257" t="str">
        <f t="shared" si="11"/>
        <v>Solex/4/4/0</v>
      </c>
      <c r="F257">
        <v>5</v>
      </c>
    </row>
    <row r="258" spans="1:6" x14ac:dyDescent="0.2">
      <c r="A258">
        <v>5</v>
      </c>
      <c r="B258" t="s">
        <v>528</v>
      </c>
      <c r="C258">
        <v>1</v>
      </c>
      <c r="D258">
        <v>2</v>
      </c>
      <c r="E258" t="str">
        <f t="shared" si="11"/>
        <v>Papillon/2/5/1</v>
      </c>
      <c r="F258">
        <v>5</v>
      </c>
    </row>
    <row r="259" spans="1:6" x14ac:dyDescent="0.2">
      <c r="A259">
        <v>6</v>
      </c>
      <c r="B259" t="s">
        <v>66</v>
      </c>
      <c r="C259">
        <v>0</v>
      </c>
      <c r="D259">
        <v>1</v>
      </c>
      <c r="E259" t="str">
        <f t="shared" si="11"/>
        <v>Ad Vitam/1/6/0</v>
      </c>
      <c r="F259">
        <v>5</v>
      </c>
    </row>
    <row r="260" spans="1:6" x14ac:dyDescent="0.2">
      <c r="A260">
        <v>1</v>
      </c>
      <c r="B260" t="s">
        <v>532</v>
      </c>
      <c r="C260">
        <v>3</v>
      </c>
      <c r="D260">
        <v>17</v>
      </c>
      <c r="E260" t="str">
        <f t="shared" si="11"/>
        <v>Boosilletoo/17/1/3</v>
      </c>
      <c r="F260">
        <v>5</v>
      </c>
    </row>
    <row r="261" spans="1:6" x14ac:dyDescent="0.2">
      <c r="A261">
        <v>2</v>
      </c>
      <c r="B261" t="s">
        <v>516</v>
      </c>
      <c r="C261">
        <v>2</v>
      </c>
      <c r="D261">
        <v>13</v>
      </c>
      <c r="E261" t="str">
        <f t="shared" si="11"/>
        <v>Tenko/13/2/2</v>
      </c>
      <c r="F261">
        <v>5</v>
      </c>
    </row>
    <row r="262" spans="1:6" x14ac:dyDescent="0.2">
      <c r="A262">
        <v>3</v>
      </c>
      <c r="B262" t="s">
        <v>280</v>
      </c>
      <c r="C262">
        <v>0</v>
      </c>
      <c r="D262">
        <v>9</v>
      </c>
      <c r="E262" t="str">
        <f t="shared" si="11"/>
        <v>Delgres/9/3/0</v>
      </c>
      <c r="F262">
        <v>5</v>
      </c>
    </row>
    <row r="263" spans="1:6" x14ac:dyDescent="0.2">
      <c r="A263">
        <v>4</v>
      </c>
      <c r="B263" t="s">
        <v>42</v>
      </c>
      <c r="C263">
        <v>1</v>
      </c>
      <c r="D263">
        <v>5</v>
      </c>
      <c r="E263" t="str">
        <f t="shared" si="11"/>
        <v>Claptou/5/4/1</v>
      </c>
      <c r="F263">
        <v>5</v>
      </c>
    </row>
    <row r="264" spans="1:6" x14ac:dyDescent="0.2">
      <c r="A264">
        <v>5</v>
      </c>
      <c r="B264" t="s">
        <v>55</v>
      </c>
      <c r="C264">
        <v>0</v>
      </c>
      <c r="D264">
        <v>3</v>
      </c>
      <c r="E264" t="str">
        <f t="shared" si="11"/>
        <v>Bounette/3/5/0</v>
      </c>
      <c r="F264">
        <v>5</v>
      </c>
    </row>
    <row r="265" spans="1:6" x14ac:dyDescent="0.2">
      <c r="A265">
        <v>6</v>
      </c>
      <c r="B265" t="s">
        <v>21</v>
      </c>
      <c r="C265">
        <v>0</v>
      </c>
      <c r="D265">
        <v>2</v>
      </c>
      <c r="E265" t="str">
        <f t="shared" si="11"/>
        <v>Carmin/2/6/0</v>
      </c>
      <c r="F265">
        <v>5</v>
      </c>
    </row>
    <row r="266" spans="1:6" x14ac:dyDescent="0.2">
      <c r="A266">
        <v>7</v>
      </c>
      <c r="B266" t="s">
        <v>99</v>
      </c>
      <c r="C266">
        <v>0</v>
      </c>
      <c r="D266">
        <v>1</v>
      </c>
      <c r="E266" t="str">
        <f t="shared" si="11"/>
        <v>CoachNasser/1/7/0</v>
      </c>
      <c r="F266">
        <v>5</v>
      </c>
    </row>
    <row r="267" spans="1:6" x14ac:dyDescent="0.2">
      <c r="A267">
        <v>1</v>
      </c>
      <c r="B267" t="s">
        <v>75</v>
      </c>
      <c r="C267">
        <v>2</v>
      </c>
      <c r="D267">
        <v>15</v>
      </c>
      <c r="E267" t="str">
        <f t="shared" si="11"/>
        <v>Michelbey/15/1/2</v>
      </c>
      <c r="F267">
        <v>5</v>
      </c>
    </row>
    <row r="268" spans="1:6" x14ac:dyDescent="0.2">
      <c r="A268">
        <v>2</v>
      </c>
      <c r="B268" t="s">
        <v>475</v>
      </c>
      <c r="C268">
        <v>1</v>
      </c>
      <c r="D268">
        <v>11</v>
      </c>
      <c r="E268" t="str">
        <f t="shared" si="11"/>
        <v>La Bavure/11/2/1</v>
      </c>
      <c r="F268">
        <v>5</v>
      </c>
    </row>
    <row r="269" spans="1:6" x14ac:dyDescent="0.2">
      <c r="A269">
        <v>3</v>
      </c>
      <c r="B269" t="s">
        <v>515</v>
      </c>
      <c r="C269">
        <v>0</v>
      </c>
      <c r="D269">
        <v>7</v>
      </c>
      <c r="E269" t="str">
        <f t="shared" si="11"/>
        <v>Chico/7/3/0</v>
      </c>
      <c r="F269">
        <v>5</v>
      </c>
    </row>
    <row r="270" spans="1:6" x14ac:dyDescent="0.2">
      <c r="A270">
        <v>4</v>
      </c>
      <c r="B270" t="s">
        <v>76</v>
      </c>
      <c r="C270">
        <v>2</v>
      </c>
      <c r="D270">
        <v>3</v>
      </c>
      <c r="E270" t="str">
        <f t="shared" si="11"/>
        <v>Comment2/3/4/2</v>
      </c>
      <c r="F270">
        <v>5</v>
      </c>
    </row>
    <row r="271" spans="1:6" x14ac:dyDescent="0.2">
      <c r="A271">
        <v>5</v>
      </c>
      <c r="B271" t="s">
        <v>29</v>
      </c>
      <c r="C271">
        <v>0</v>
      </c>
      <c r="D271">
        <v>1</v>
      </c>
      <c r="E271" t="str">
        <f t="shared" si="11"/>
        <v>NoDoubt/1/5/0</v>
      </c>
      <c r="F271">
        <v>5</v>
      </c>
    </row>
    <row r="272" spans="1:6" x14ac:dyDescent="0.2">
      <c r="A272">
        <v>1</v>
      </c>
      <c r="B272" t="s">
        <v>451</v>
      </c>
      <c r="C272">
        <v>5</v>
      </c>
      <c r="D272">
        <v>17</v>
      </c>
      <c r="E272" t="str">
        <f t="shared" si="11"/>
        <v>Jacaille/17/1/5</v>
      </c>
      <c r="F272">
        <v>5</v>
      </c>
    </row>
    <row r="273" spans="1:6" x14ac:dyDescent="0.2">
      <c r="A273">
        <v>2</v>
      </c>
      <c r="B273" t="s">
        <v>452</v>
      </c>
      <c r="C273">
        <v>0</v>
      </c>
      <c r="D273">
        <v>13</v>
      </c>
      <c r="E273" t="str">
        <f t="shared" si="11"/>
        <v>The Hengover/13/2/0</v>
      </c>
      <c r="F273">
        <v>5</v>
      </c>
    </row>
    <row r="274" spans="1:6" x14ac:dyDescent="0.2">
      <c r="A274">
        <v>3</v>
      </c>
      <c r="B274" t="s">
        <v>519</v>
      </c>
      <c r="C274">
        <v>0</v>
      </c>
      <c r="D274">
        <v>9</v>
      </c>
      <c r="E274" t="str">
        <f t="shared" si="11"/>
        <v>Xhar92/9/3/0</v>
      </c>
      <c r="F274">
        <v>5</v>
      </c>
    </row>
    <row r="275" spans="1:6" x14ac:dyDescent="0.2">
      <c r="A275">
        <v>4</v>
      </c>
      <c r="B275" t="s">
        <v>261</v>
      </c>
      <c r="C275">
        <v>1</v>
      </c>
      <c r="D275">
        <v>5</v>
      </c>
      <c r="E275" t="str">
        <f t="shared" ref="E275:E297" si="12">B275&amp;"/"&amp;D275&amp;"/"&amp;A275&amp;"/"&amp;C275</f>
        <v>Riviera/5/4/1</v>
      </c>
      <c r="F275">
        <v>5</v>
      </c>
    </row>
    <row r="276" spans="1:6" x14ac:dyDescent="0.2">
      <c r="A276">
        <v>5</v>
      </c>
      <c r="B276" t="s">
        <v>527</v>
      </c>
      <c r="C276">
        <v>0</v>
      </c>
      <c r="D276">
        <v>3</v>
      </c>
      <c r="E276" t="str">
        <f t="shared" si="12"/>
        <v>Just4fun/3/5/0</v>
      </c>
      <c r="F276">
        <v>5</v>
      </c>
    </row>
    <row r="277" spans="1:6" x14ac:dyDescent="0.2">
      <c r="A277">
        <v>6</v>
      </c>
      <c r="B277" t="s">
        <v>59</v>
      </c>
      <c r="C277">
        <v>0</v>
      </c>
      <c r="D277">
        <v>2</v>
      </c>
      <c r="E277" t="str">
        <f t="shared" si="12"/>
        <v>YooooDA/2/6/0</v>
      </c>
      <c r="F277">
        <v>5</v>
      </c>
    </row>
    <row r="278" spans="1:6" x14ac:dyDescent="0.2">
      <c r="A278">
        <v>7</v>
      </c>
      <c r="B278" t="s">
        <v>27</v>
      </c>
      <c r="C278">
        <v>0</v>
      </c>
      <c r="D278">
        <v>1</v>
      </c>
      <c r="E278" t="str">
        <f t="shared" si="12"/>
        <v>Mandrake/1/7/0</v>
      </c>
      <c r="F278">
        <v>5</v>
      </c>
    </row>
    <row r="279" spans="1:6" x14ac:dyDescent="0.2">
      <c r="A279">
        <v>1</v>
      </c>
      <c r="B279" t="s">
        <v>476</v>
      </c>
      <c r="C279">
        <v>4</v>
      </c>
      <c r="D279">
        <v>16</v>
      </c>
      <c r="E279" t="str">
        <f t="shared" si="12"/>
        <v>MegaSouche/16/1/4</v>
      </c>
      <c r="F279">
        <v>6</v>
      </c>
    </row>
    <row r="280" spans="1:6" x14ac:dyDescent="0.2">
      <c r="A280">
        <v>2</v>
      </c>
      <c r="B280" t="s">
        <v>69</v>
      </c>
      <c r="C280">
        <v>0</v>
      </c>
      <c r="D280">
        <v>12</v>
      </c>
      <c r="E280" t="str">
        <f t="shared" si="12"/>
        <v>Catherine/12/2/0</v>
      </c>
      <c r="F280">
        <v>6</v>
      </c>
    </row>
    <row r="281" spans="1:6" x14ac:dyDescent="0.2">
      <c r="A281">
        <v>3</v>
      </c>
      <c r="B281" t="s">
        <v>461</v>
      </c>
      <c r="C281">
        <v>0</v>
      </c>
      <c r="D281">
        <v>8</v>
      </c>
      <c r="E281" t="str">
        <f t="shared" si="12"/>
        <v>Djecus/8/3/0</v>
      </c>
      <c r="F281">
        <v>6</v>
      </c>
    </row>
    <row r="282" spans="1:6" x14ac:dyDescent="0.2">
      <c r="A282">
        <v>4</v>
      </c>
      <c r="B282" t="s">
        <v>454</v>
      </c>
      <c r="C282">
        <v>0</v>
      </c>
      <c r="D282">
        <v>4</v>
      </c>
      <c r="E282" t="str">
        <f t="shared" si="12"/>
        <v>Gibbonfury/4/4/0</v>
      </c>
      <c r="F282">
        <v>6</v>
      </c>
    </row>
    <row r="283" spans="1:6" x14ac:dyDescent="0.2">
      <c r="A283">
        <v>5</v>
      </c>
      <c r="B283" t="s">
        <v>46</v>
      </c>
      <c r="C283">
        <v>1</v>
      </c>
      <c r="D283">
        <v>2</v>
      </c>
      <c r="E283" t="str">
        <f t="shared" si="12"/>
        <v>Jérôme/2/5/1</v>
      </c>
      <c r="F283">
        <v>6</v>
      </c>
    </row>
    <row r="284" spans="1:6" x14ac:dyDescent="0.2">
      <c r="A284">
        <v>6</v>
      </c>
      <c r="B284" t="s">
        <v>484</v>
      </c>
      <c r="C284">
        <v>0</v>
      </c>
      <c r="D284">
        <v>1</v>
      </c>
      <c r="E284" t="str">
        <f t="shared" si="12"/>
        <v>Guerno/1/6/0</v>
      </c>
      <c r="F284">
        <v>6</v>
      </c>
    </row>
    <row r="285" spans="1:6" x14ac:dyDescent="0.2">
      <c r="A285">
        <v>1</v>
      </c>
      <c r="B285" t="s">
        <v>535</v>
      </c>
      <c r="C285">
        <v>3</v>
      </c>
      <c r="D285">
        <v>17</v>
      </c>
      <c r="E285" t="str">
        <f t="shared" si="12"/>
        <v>TheRealWill/17/1/3</v>
      </c>
      <c r="F285">
        <v>6</v>
      </c>
    </row>
    <row r="286" spans="1:6" x14ac:dyDescent="0.2">
      <c r="A286">
        <v>2</v>
      </c>
      <c r="B286" t="s">
        <v>504</v>
      </c>
      <c r="C286">
        <v>1</v>
      </c>
      <c r="D286">
        <v>13</v>
      </c>
      <c r="E286" t="str">
        <f t="shared" si="12"/>
        <v>Zizou/13/2/1</v>
      </c>
      <c r="F286">
        <v>6</v>
      </c>
    </row>
    <row r="287" spans="1:6" x14ac:dyDescent="0.2">
      <c r="A287">
        <v>3</v>
      </c>
      <c r="B287" t="s">
        <v>55</v>
      </c>
      <c r="C287">
        <v>0</v>
      </c>
      <c r="D287">
        <v>9</v>
      </c>
      <c r="E287" t="str">
        <f t="shared" si="12"/>
        <v>Bounette/9/3/0</v>
      </c>
      <c r="F287">
        <v>6</v>
      </c>
    </row>
    <row r="288" spans="1:6" x14ac:dyDescent="0.2">
      <c r="A288">
        <v>4</v>
      </c>
      <c r="B288" t="s">
        <v>32</v>
      </c>
      <c r="C288">
        <v>0</v>
      </c>
      <c r="D288">
        <v>5</v>
      </c>
      <c r="E288" t="str">
        <f t="shared" si="12"/>
        <v>OlivierN92/5/4/0</v>
      </c>
      <c r="F288">
        <v>6</v>
      </c>
    </row>
    <row r="289" spans="1:6" x14ac:dyDescent="0.2">
      <c r="A289">
        <v>5</v>
      </c>
      <c r="B289" t="s">
        <v>505</v>
      </c>
      <c r="C289">
        <v>1</v>
      </c>
      <c r="D289">
        <v>3</v>
      </c>
      <c r="E289" t="str">
        <f t="shared" si="12"/>
        <v>Mams/3/5/1</v>
      </c>
      <c r="F289">
        <v>6</v>
      </c>
    </row>
    <row r="290" spans="1:6" x14ac:dyDescent="0.2">
      <c r="A290">
        <v>6</v>
      </c>
      <c r="B290" t="s">
        <v>523</v>
      </c>
      <c r="C290">
        <v>0</v>
      </c>
      <c r="D290">
        <v>2</v>
      </c>
      <c r="E290" t="str">
        <f t="shared" si="12"/>
        <v>Mokarran/2/6/0</v>
      </c>
      <c r="F290">
        <v>6</v>
      </c>
    </row>
    <row r="291" spans="1:6" x14ac:dyDescent="0.2">
      <c r="A291">
        <v>7</v>
      </c>
      <c r="B291" t="s">
        <v>179</v>
      </c>
      <c r="C291">
        <v>0</v>
      </c>
      <c r="D291">
        <v>1</v>
      </c>
      <c r="E291" t="str">
        <f t="shared" si="12"/>
        <v>NastyLucker/1/7/0</v>
      </c>
      <c r="F291">
        <v>6</v>
      </c>
    </row>
    <row r="292" spans="1:6" x14ac:dyDescent="0.2">
      <c r="A292">
        <v>1</v>
      </c>
      <c r="B292" t="s">
        <v>534</v>
      </c>
      <c r="C292">
        <v>2</v>
      </c>
      <c r="D292">
        <v>16</v>
      </c>
      <c r="E292" t="str">
        <f t="shared" si="12"/>
        <v>JC/16/1/2</v>
      </c>
      <c r="F292">
        <v>6</v>
      </c>
    </row>
    <row r="293" spans="1:6" x14ac:dyDescent="0.2">
      <c r="A293">
        <v>2</v>
      </c>
      <c r="B293" t="s">
        <v>76</v>
      </c>
      <c r="C293">
        <v>2</v>
      </c>
      <c r="D293">
        <v>12</v>
      </c>
      <c r="E293" t="str">
        <f t="shared" si="12"/>
        <v>Comment2/12/2/2</v>
      </c>
      <c r="F293">
        <v>6</v>
      </c>
    </row>
    <row r="294" spans="1:6" x14ac:dyDescent="0.2">
      <c r="A294">
        <v>3</v>
      </c>
      <c r="B294" t="s">
        <v>531</v>
      </c>
      <c r="C294">
        <v>1</v>
      </c>
      <c r="D294">
        <v>8</v>
      </c>
      <c r="E294" t="str">
        <f t="shared" si="12"/>
        <v>Toinou/8/3/1</v>
      </c>
      <c r="F294">
        <v>6</v>
      </c>
    </row>
    <row r="295" spans="1:6" x14ac:dyDescent="0.2">
      <c r="A295">
        <v>4</v>
      </c>
      <c r="B295" t="s">
        <v>9</v>
      </c>
      <c r="C295">
        <v>0</v>
      </c>
      <c r="D295">
        <v>4</v>
      </c>
      <c r="E295" t="str">
        <f t="shared" si="12"/>
        <v>K1/4/4/0</v>
      </c>
      <c r="F295">
        <v>6</v>
      </c>
    </row>
    <row r="296" spans="1:6" x14ac:dyDescent="0.2">
      <c r="A296">
        <v>5</v>
      </c>
      <c r="B296" t="s">
        <v>15</v>
      </c>
      <c r="C296">
        <v>0</v>
      </c>
      <c r="D296">
        <v>2</v>
      </c>
      <c r="E296" t="str">
        <f t="shared" si="12"/>
        <v>LAAtof/2/5/0</v>
      </c>
      <c r="F296">
        <v>6</v>
      </c>
    </row>
    <row r="297" spans="1:6" x14ac:dyDescent="0.2">
      <c r="A297">
        <v>6</v>
      </c>
      <c r="B297" t="s">
        <v>507</v>
      </c>
      <c r="C297">
        <v>0</v>
      </c>
      <c r="D297">
        <v>1</v>
      </c>
      <c r="E297" t="str">
        <f t="shared" si="12"/>
        <v>Losogre/1/6/0</v>
      </c>
      <c r="F297">
        <v>6</v>
      </c>
    </row>
    <row r="298" spans="1:6" x14ac:dyDescent="0.2">
      <c r="A298">
        <v>1</v>
      </c>
      <c r="B298" t="s">
        <v>40</v>
      </c>
      <c r="C298">
        <v>2</v>
      </c>
      <c r="D298">
        <v>17</v>
      </c>
      <c r="E298" t="str">
        <f t="shared" ref="E298:E324" si="13">B298&amp;"/"&amp;D298&amp;"/"&amp;A298&amp;"/"&amp;C298</f>
        <v>Lén@/17/1/2</v>
      </c>
      <c r="F298">
        <v>6</v>
      </c>
    </row>
    <row r="299" spans="1:6" x14ac:dyDescent="0.2">
      <c r="A299">
        <v>2</v>
      </c>
      <c r="B299" t="s">
        <v>61</v>
      </c>
      <c r="C299">
        <v>2</v>
      </c>
      <c r="D299">
        <v>13</v>
      </c>
      <c r="E299" t="str">
        <f t="shared" si="13"/>
        <v>Kri-lin/13/2/2</v>
      </c>
      <c r="F299">
        <v>6</v>
      </c>
    </row>
    <row r="300" spans="1:6" x14ac:dyDescent="0.2">
      <c r="A300">
        <v>3</v>
      </c>
      <c r="B300" t="s">
        <v>503</v>
      </c>
      <c r="C300">
        <v>0</v>
      </c>
      <c r="D300">
        <v>9</v>
      </c>
      <c r="E300" t="str">
        <f t="shared" si="13"/>
        <v>Yaltar/9/3/0</v>
      </c>
      <c r="F300">
        <v>6</v>
      </c>
    </row>
    <row r="301" spans="1:6" x14ac:dyDescent="0.2">
      <c r="A301">
        <v>4</v>
      </c>
      <c r="B301" t="s">
        <v>451</v>
      </c>
      <c r="C301">
        <v>2</v>
      </c>
      <c r="D301">
        <v>5</v>
      </c>
      <c r="E301" t="str">
        <f t="shared" si="13"/>
        <v>Jacaille/5/4/2</v>
      </c>
      <c r="F301">
        <v>6</v>
      </c>
    </row>
    <row r="302" spans="1:6" x14ac:dyDescent="0.2">
      <c r="A302">
        <v>5</v>
      </c>
      <c r="B302" t="s">
        <v>490</v>
      </c>
      <c r="C302">
        <v>0</v>
      </c>
      <c r="D302">
        <v>3</v>
      </c>
      <c r="E302" t="str">
        <f t="shared" si="13"/>
        <v>DernierPli/3/5/0</v>
      </c>
      <c r="F302">
        <v>6</v>
      </c>
    </row>
    <row r="303" spans="1:6" x14ac:dyDescent="0.2">
      <c r="A303">
        <v>6</v>
      </c>
      <c r="B303" t="s">
        <v>5</v>
      </c>
      <c r="C303">
        <v>0</v>
      </c>
      <c r="D303">
        <v>2</v>
      </c>
      <c r="E303" t="str">
        <f t="shared" si="13"/>
        <v>Sabwill/2/6/0</v>
      </c>
      <c r="F303">
        <v>6</v>
      </c>
    </row>
    <row r="304" spans="1:6" x14ac:dyDescent="0.2">
      <c r="A304">
        <v>7</v>
      </c>
      <c r="B304" t="s">
        <v>475</v>
      </c>
      <c r="C304">
        <v>0</v>
      </c>
      <c r="D304">
        <v>1</v>
      </c>
      <c r="E304" t="str">
        <f t="shared" si="13"/>
        <v>La Bavure/1/7/0</v>
      </c>
      <c r="F304">
        <v>6</v>
      </c>
    </row>
    <row r="305" spans="1:6" x14ac:dyDescent="0.2">
      <c r="A305">
        <v>1</v>
      </c>
      <c r="B305" t="s">
        <v>6</v>
      </c>
      <c r="C305">
        <v>2</v>
      </c>
      <c r="D305">
        <v>17</v>
      </c>
      <c r="E305" t="str">
        <f t="shared" si="13"/>
        <v>Pyja/17/1/2</v>
      </c>
      <c r="F305">
        <v>6</v>
      </c>
    </row>
    <row r="306" spans="1:6" x14ac:dyDescent="0.2">
      <c r="A306">
        <v>2</v>
      </c>
      <c r="B306" t="s">
        <v>525</v>
      </c>
      <c r="C306">
        <v>1</v>
      </c>
      <c r="D306">
        <v>13</v>
      </c>
      <c r="E306" t="str">
        <f t="shared" si="13"/>
        <v>Freddie/13/2/1</v>
      </c>
      <c r="F306">
        <v>6</v>
      </c>
    </row>
    <row r="307" spans="1:6" x14ac:dyDescent="0.2">
      <c r="A307">
        <v>3</v>
      </c>
      <c r="B307" t="s">
        <v>345</v>
      </c>
      <c r="C307">
        <v>1</v>
      </c>
      <c r="D307">
        <v>9</v>
      </c>
      <c r="E307" t="str">
        <f t="shared" si="13"/>
        <v>Thibaultp75/9/3/1</v>
      </c>
      <c r="F307">
        <v>6</v>
      </c>
    </row>
    <row r="308" spans="1:6" x14ac:dyDescent="0.2">
      <c r="A308">
        <v>4</v>
      </c>
      <c r="B308" t="s">
        <v>509</v>
      </c>
      <c r="C308">
        <v>0</v>
      </c>
      <c r="D308">
        <v>5</v>
      </c>
      <c r="E308" t="str">
        <f t="shared" si="13"/>
        <v>Gibouille/5/4/0</v>
      </c>
      <c r="F308">
        <v>6</v>
      </c>
    </row>
    <row r="309" spans="1:6" x14ac:dyDescent="0.2">
      <c r="A309">
        <v>5</v>
      </c>
      <c r="B309" t="s">
        <v>530</v>
      </c>
      <c r="C309">
        <v>0</v>
      </c>
      <c r="D309">
        <v>3</v>
      </c>
      <c r="E309" t="str">
        <f t="shared" si="13"/>
        <v>Flopynou/3/5/0</v>
      </c>
      <c r="F309">
        <v>6</v>
      </c>
    </row>
    <row r="310" spans="1:6" x14ac:dyDescent="0.2">
      <c r="A310">
        <v>6</v>
      </c>
      <c r="B310" t="s">
        <v>87</v>
      </c>
      <c r="C310">
        <v>0</v>
      </c>
      <c r="D310">
        <v>2</v>
      </c>
      <c r="E310" t="str">
        <f t="shared" si="13"/>
        <v>Proph@ne/2/6/0</v>
      </c>
      <c r="F310">
        <v>6</v>
      </c>
    </row>
    <row r="311" spans="1:6" x14ac:dyDescent="0.2">
      <c r="A311">
        <v>7</v>
      </c>
      <c r="B311" t="s">
        <v>501</v>
      </c>
      <c r="C311">
        <v>0</v>
      </c>
      <c r="D311">
        <v>1</v>
      </c>
      <c r="E311" t="str">
        <f t="shared" si="13"/>
        <v>Poisson Pilote/1/7/0</v>
      </c>
      <c r="F311">
        <v>6</v>
      </c>
    </row>
    <row r="312" spans="1:6" x14ac:dyDescent="0.2">
      <c r="A312">
        <v>1</v>
      </c>
      <c r="B312" t="s">
        <v>66</v>
      </c>
      <c r="C312">
        <v>5</v>
      </c>
      <c r="D312">
        <v>17</v>
      </c>
      <c r="E312" t="str">
        <f t="shared" si="13"/>
        <v>Ad Vitam/17/1/5</v>
      </c>
      <c r="F312">
        <v>6</v>
      </c>
    </row>
    <row r="313" spans="1:6" x14ac:dyDescent="0.2">
      <c r="A313">
        <v>2</v>
      </c>
      <c r="B313" t="s">
        <v>33</v>
      </c>
      <c r="C313">
        <v>0</v>
      </c>
      <c r="D313">
        <v>13</v>
      </c>
      <c r="E313" t="str">
        <f t="shared" si="13"/>
        <v>Ptit Savoyard/13/2/0</v>
      </c>
      <c r="F313">
        <v>6</v>
      </c>
    </row>
    <row r="314" spans="1:6" x14ac:dyDescent="0.2">
      <c r="A314">
        <v>3</v>
      </c>
      <c r="B314" t="s">
        <v>14</v>
      </c>
      <c r="C314">
        <v>0</v>
      </c>
      <c r="D314">
        <v>9</v>
      </c>
      <c r="E314" t="str">
        <f t="shared" si="13"/>
        <v>Ramm/9/3/0</v>
      </c>
      <c r="F314">
        <v>6</v>
      </c>
    </row>
    <row r="315" spans="1:6" x14ac:dyDescent="0.2">
      <c r="A315">
        <v>4</v>
      </c>
      <c r="B315" t="s">
        <v>27</v>
      </c>
      <c r="C315">
        <v>1</v>
      </c>
      <c r="D315">
        <v>5</v>
      </c>
      <c r="E315" t="str">
        <f t="shared" si="13"/>
        <v>Mandrake/5/4/1</v>
      </c>
      <c r="F315">
        <v>6</v>
      </c>
    </row>
    <row r="316" spans="1:6" x14ac:dyDescent="0.2">
      <c r="A316">
        <v>5</v>
      </c>
      <c r="B316" t="s">
        <v>500</v>
      </c>
      <c r="C316">
        <v>0</v>
      </c>
      <c r="D316">
        <v>3</v>
      </c>
      <c r="E316" t="str">
        <f t="shared" si="13"/>
        <v>Kheops/3/5/0</v>
      </c>
      <c r="F316">
        <v>6</v>
      </c>
    </row>
    <row r="317" spans="1:6" x14ac:dyDescent="0.2">
      <c r="A317">
        <v>6</v>
      </c>
      <c r="B317" t="s">
        <v>74</v>
      </c>
      <c r="C317">
        <v>0</v>
      </c>
      <c r="D317">
        <v>2</v>
      </c>
      <c r="E317" t="str">
        <f t="shared" si="13"/>
        <v>PatB/2/6/0</v>
      </c>
      <c r="F317">
        <v>6</v>
      </c>
    </row>
    <row r="318" spans="1:6" x14ac:dyDescent="0.2">
      <c r="A318">
        <v>7</v>
      </c>
      <c r="B318" t="s">
        <v>491</v>
      </c>
      <c r="C318">
        <v>0</v>
      </c>
      <c r="D318">
        <v>1</v>
      </c>
      <c r="E318" t="str">
        <f t="shared" si="13"/>
        <v>Flabech/1/7/0</v>
      </c>
      <c r="F318">
        <v>6</v>
      </c>
    </row>
    <row r="319" spans="1:6" x14ac:dyDescent="0.2">
      <c r="A319">
        <v>1</v>
      </c>
      <c r="B319" t="s">
        <v>25</v>
      </c>
      <c r="C319">
        <v>3</v>
      </c>
      <c r="D319">
        <v>17</v>
      </c>
      <c r="E319" t="str">
        <f t="shared" si="13"/>
        <v>Claudius/17/1/3</v>
      </c>
      <c r="F319">
        <v>6</v>
      </c>
    </row>
    <row r="320" spans="1:6" x14ac:dyDescent="0.2">
      <c r="A320">
        <v>2</v>
      </c>
      <c r="B320" t="s">
        <v>35</v>
      </c>
      <c r="C320">
        <v>0</v>
      </c>
      <c r="D320">
        <v>13</v>
      </c>
      <c r="E320" t="str">
        <f t="shared" si="13"/>
        <v>JeanMichelTiming/13/2/0</v>
      </c>
      <c r="F320">
        <v>6</v>
      </c>
    </row>
    <row r="321" spans="1:6" x14ac:dyDescent="0.2">
      <c r="A321">
        <v>3</v>
      </c>
      <c r="B321" t="s">
        <v>479</v>
      </c>
      <c r="C321">
        <v>0</v>
      </c>
      <c r="D321">
        <v>9</v>
      </c>
      <c r="E321" t="str">
        <f t="shared" si="13"/>
        <v>Salender/9/3/0</v>
      </c>
      <c r="F321">
        <v>6</v>
      </c>
    </row>
    <row r="322" spans="1:6" x14ac:dyDescent="0.2">
      <c r="A322">
        <v>4</v>
      </c>
      <c r="B322" t="s">
        <v>19</v>
      </c>
      <c r="C322">
        <v>1</v>
      </c>
      <c r="D322">
        <v>5</v>
      </c>
      <c r="E322" t="str">
        <f t="shared" si="13"/>
        <v>Giobeck/5/4/1</v>
      </c>
      <c r="F322">
        <v>6</v>
      </c>
    </row>
    <row r="323" spans="1:6" x14ac:dyDescent="0.2">
      <c r="A323">
        <v>5</v>
      </c>
      <c r="B323" t="s">
        <v>533</v>
      </c>
      <c r="C323">
        <v>1</v>
      </c>
      <c r="D323">
        <v>3</v>
      </c>
      <c r="E323" t="str">
        <f t="shared" si="13"/>
        <v>Ouais ouais/3/5/1</v>
      </c>
      <c r="F323">
        <v>6</v>
      </c>
    </row>
    <row r="324" spans="1:6" x14ac:dyDescent="0.2">
      <c r="A324">
        <v>6</v>
      </c>
      <c r="B324" t="s">
        <v>512</v>
      </c>
      <c r="C324">
        <v>0</v>
      </c>
      <c r="D324">
        <v>2</v>
      </c>
      <c r="E324" t="str">
        <f t="shared" si="13"/>
        <v>Fishtro/2/6/0</v>
      </c>
      <c r="F324">
        <v>6</v>
      </c>
    </row>
    <row r="325" spans="1:6" x14ac:dyDescent="0.2">
      <c r="A325">
        <v>7</v>
      </c>
      <c r="B325" t="s">
        <v>528</v>
      </c>
      <c r="C325">
        <v>0</v>
      </c>
      <c r="D325">
        <v>1</v>
      </c>
      <c r="E325" t="str">
        <f t="shared" ref="E325:E351" si="14">B325&amp;"/"&amp;D325&amp;"/"&amp;A325&amp;"/"&amp;C325</f>
        <v>Papillon/1/7/0</v>
      </c>
      <c r="F325">
        <v>6</v>
      </c>
    </row>
    <row r="326" spans="1:6" x14ac:dyDescent="0.2">
      <c r="A326">
        <v>1</v>
      </c>
      <c r="B326" t="s">
        <v>53</v>
      </c>
      <c r="C326">
        <v>4</v>
      </c>
      <c r="D326">
        <v>17</v>
      </c>
      <c r="E326" t="str">
        <f t="shared" si="14"/>
        <v>Makoche/17/1/4</v>
      </c>
      <c r="F326">
        <v>6</v>
      </c>
    </row>
    <row r="327" spans="1:6" x14ac:dyDescent="0.2">
      <c r="A327">
        <v>2</v>
      </c>
      <c r="B327" t="s">
        <v>81</v>
      </c>
      <c r="C327">
        <v>2</v>
      </c>
      <c r="D327">
        <v>13</v>
      </c>
      <c r="E327" t="str">
        <f t="shared" si="14"/>
        <v>Empedocle/13/2/2</v>
      </c>
      <c r="F327">
        <v>6</v>
      </c>
    </row>
    <row r="328" spans="1:6" x14ac:dyDescent="0.2">
      <c r="A328">
        <v>3</v>
      </c>
      <c r="B328" t="s">
        <v>75</v>
      </c>
      <c r="C328">
        <v>0</v>
      </c>
      <c r="D328">
        <v>9</v>
      </c>
      <c r="E328" t="str">
        <f t="shared" si="14"/>
        <v>Michelbey/9/3/0</v>
      </c>
      <c r="F328">
        <v>6</v>
      </c>
    </row>
    <row r="329" spans="1:6" x14ac:dyDescent="0.2">
      <c r="A329">
        <v>4</v>
      </c>
      <c r="B329" t="s">
        <v>521</v>
      </c>
      <c r="C329">
        <v>0</v>
      </c>
      <c r="D329">
        <v>5</v>
      </c>
      <c r="E329" t="str">
        <f t="shared" si="14"/>
        <v>Jaden/5/4/0</v>
      </c>
      <c r="F329">
        <v>6</v>
      </c>
    </row>
    <row r="330" spans="1:6" x14ac:dyDescent="0.2">
      <c r="A330">
        <v>5</v>
      </c>
      <c r="B330" t="s">
        <v>21</v>
      </c>
      <c r="C330">
        <v>0</v>
      </c>
      <c r="D330">
        <v>3</v>
      </c>
      <c r="E330" t="str">
        <f t="shared" si="14"/>
        <v>Carmin/3/5/0</v>
      </c>
      <c r="F330">
        <v>6</v>
      </c>
    </row>
    <row r="331" spans="1:6" x14ac:dyDescent="0.2">
      <c r="A331">
        <v>6</v>
      </c>
      <c r="B331" t="s">
        <v>493</v>
      </c>
      <c r="C331">
        <v>0</v>
      </c>
      <c r="D331">
        <v>2</v>
      </c>
      <c r="E331" t="str">
        <f t="shared" si="14"/>
        <v>Rockatou/2/6/0</v>
      </c>
      <c r="F331">
        <v>6</v>
      </c>
    </row>
    <row r="332" spans="1:6" x14ac:dyDescent="0.2">
      <c r="A332">
        <v>7</v>
      </c>
      <c r="B332" t="s">
        <v>462</v>
      </c>
      <c r="C332">
        <v>0</v>
      </c>
      <c r="D332">
        <v>1</v>
      </c>
      <c r="E332" t="str">
        <f t="shared" si="14"/>
        <v>Lizzie/1/7/0</v>
      </c>
      <c r="F332">
        <v>6</v>
      </c>
    </row>
    <row r="333" spans="1:6" x14ac:dyDescent="0.2">
      <c r="A333">
        <v>1</v>
      </c>
      <c r="B333" t="s">
        <v>42</v>
      </c>
      <c r="C333">
        <v>4</v>
      </c>
      <c r="D333">
        <v>17</v>
      </c>
      <c r="E333" t="str">
        <f t="shared" si="14"/>
        <v>Claptou/17/1/4</v>
      </c>
      <c r="F333">
        <v>6</v>
      </c>
    </row>
    <row r="334" spans="1:6" x14ac:dyDescent="0.2">
      <c r="A334">
        <v>2</v>
      </c>
      <c r="B334" t="s">
        <v>452</v>
      </c>
      <c r="C334">
        <v>1</v>
      </c>
      <c r="D334">
        <v>13</v>
      </c>
      <c r="E334" t="str">
        <f t="shared" si="14"/>
        <v>The Hengover/13/2/1</v>
      </c>
      <c r="F334">
        <v>6</v>
      </c>
    </row>
    <row r="335" spans="1:6" x14ac:dyDescent="0.2">
      <c r="A335">
        <v>3</v>
      </c>
      <c r="B335" t="s">
        <v>516</v>
      </c>
      <c r="C335">
        <v>1</v>
      </c>
      <c r="D335">
        <v>9</v>
      </c>
      <c r="E335" t="str">
        <f t="shared" si="14"/>
        <v>Tenko/9/3/1</v>
      </c>
      <c r="F335">
        <v>6</v>
      </c>
    </row>
    <row r="336" spans="1:6" x14ac:dyDescent="0.2">
      <c r="A336">
        <v>4</v>
      </c>
      <c r="B336" t="s">
        <v>536</v>
      </c>
      <c r="C336">
        <v>0</v>
      </c>
      <c r="D336">
        <v>5</v>
      </c>
      <c r="E336" t="str">
        <f t="shared" si="14"/>
        <v>Algolf75/5/4/0</v>
      </c>
      <c r="F336">
        <v>6</v>
      </c>
    </row>
    <row r="337" spans="1:6" x14ac:dyDescent="0.2">
      <c r="A337">
        <v>5</v>
      </c>
      <c r="B337" t="s">
        <v>59</v>
      </c>
      <c r="C337">
        <v>0</v>
      </c>
      <c r="D337">
        <v>3</v>
      </c>
      <c r="E337" t="str">
        <f t="shared" si="14"/>
        <v>YooooDA/3/5/0</v>
      </c>
      <c r="F337">
        <v>6</v>
      </c>
    </row>
    <row r="338" spans="1:6" x14ac:dyDescent="0.2">
      <c r="A338">
        <v>6</v>
      </c>
      <c r="B338" t="s">
        <v>20</v>
      </c>
      <c r="C338">
        <v>0</v>
      </c>
      <c r="D338">
        <v>2</v>
      </c>
      <c r="E338" t="str">
        <f t="shared" si="14"/>
        <v>saymsonite/2/6/0</v>
      </c>
      <c r="F338">
        <v>6</v>
      </c>
    </row>
    <row r="339" spans="1:6" x14ac:dyDescent="0.2">
      <c r="A339">
        <v>7</v>
      </c>
      <c r="B339" t="s">
        <v>280</v>
      </c>
      <c r="C339">
        <v>0</v>
      </c>
      <c r="D339">
        <v>1</v>
      </c>
      <c r="E339" t="str">
        <f t="shared" si="14"/>
        <v>Delgres/1/7/0</v>
      </c>
      <c r="F339">
        <v>6</v>
      </c>
    </row>
    <row r="340" spans="1:6" x14ac:dyDescent="0.2">
      <c r="A340">
        <v>1</v>
      </c>
      <c r="B340" t="s">
        <v>27</v>
      </c>
      <c r="C340">
        <v>2</v>
      </c>
      <c r="D340">
        <v>16</v>
      </c>
      <c r="E340" t="str">
        <f t="shared" si="14"/>
        <v>Mandrake/16/1/2</v>
      </c>
      <c r="F340">
        <v>7</v>
      </c>
    </row>
    <row r="341" spans="1:6" x14ac:dyDescent="0.2">
      <c r="A341">
        <v>2</v>
      </c>
      <c r="B341" t="s">
        <v>69</v>
      </c>
      <c r="C341">
        <v>1</v>
      </c>
      <c r="D341">
        <v>12</v>
      </c>
      <c r="E341" t="str">
        <f t="shared" si="14"/>
        <v>Catherine/12/2/1</v>
      </c>
      <c r="F341">
        <v>7</v>
      </c>
    </row>
    <row r="342" spans="1:6" x14ac:dyDescent="0.2">
      <c r="A342">
        <v>3</v>
      </c>
      <c r="B342" t="s">
        <v>75</v>
      </c>
      <c r="C342">
        <v>1</v>
      </c>
      <c r="D342">
        <v>8</v>
      </c>
      <c r="E342" t="str">
        <f t="shared" si="14"/>
        <v>Michelbey/8/3/1</v>
      </c>
      <c r="F342">
        <v>7</v>
      </c>
    </row>
    <row r="343" spans="1:6" x14ac:dyDescent="0.2">
      <c r="A343">
        <v>4</v>
      </c>
      <c r="B343" t="s">
        <v>33</v>
      </c>
      <c r="C343">
        <v>0</v>
      </c>
      <c r="D343">
        <v>4</v>
      </c>
      <c r="E343" t="str">
        <f t="shared" si="14"/>
        <v>Ptit Savoyard/4/4/0</v>
      </c>
      <c r="F343">
        <v>7</v>
      </c>
    </row>
    <row r="344" spans="1:6" x14ac:dyDescent="0.2">
      <c r="A344">
        <v>5</v>
      </c>
      <c r="B344" t="s">
        <v>503</v>
      </c>
      <c r="C344">
        <v>1</v>
      </c>
      <c r="D344">
        <v>2</v>
      </c>
      <c r="E344" t="str">
        <f t="shared" si="14"/>
        <v>Yaltar/2/5/1</v>
      </c>
      <c r="F344">
        <v>7</v>
      </c>
    </row>
    <row r="345" spans="1:6" x14ac:dyDescent="0.2">
      <c r="A345">
        <v>6</v>
      </c>
      <c r="B345" t="s">
        <v>523</v>
      </c>
      <c r="C345">
        <v>0</v>
      </c>
      <c r="D345">
        <v>1</v>
      </c>
      <c r="E345" t="str">
        <f t="shared" si="14"/>
        <v>Mokarran/1/6/0</v>
      </c>
      <c r="F345">
        <v>7</v>
      </c>
    </row>
    <row r="346" spans="1:6" x14ac:dyDescent="0.2">
      <c r="A346">
        <v>1</v>
      </c>
      <c r="B346" t="s">
        <v>506</v>
      </c>
      <c r="C346">
        <v>1</v>
      </c>
      <c r="D346">
        <v>16</v>
      </c>
      <c r="E346" t="str">
        <f t="shared" si="14"/>
        <v>Zubbaz/16/1/1</v>
      </c>
      <c r="F346">
        <v>7</v>
      </c>
    </row>
    <row r="347" spans="1:6" x14ac:dyDescent="0.2">
      <c r="A347">
        <v>2</v>
      </c>
      <c r="B347" t="s">
        <v>25</v>
      </c>
      <c r="C347">
        <v>1</v>
      </c>
      <c r="D347">
        <v>12</v>
      </c>
      <c r="E347" t="str">
        <f t="shared" si="14"/>
        <v>Claudius/12/2/1</v>
      </c>
      <c r="F347">
        <v>7</v>
      </c>
    </row>
    <row r="348" spans="1:6" x14ac:dyDescent="0.2">
      <c r="A348">
        <v>3</v>
      </c>
      <c r="B348" t="s">
        <v>528</v>
      </c>
      <c r="C348">
        <v>3</v>
      </c>
      <c r="D348">
        <v>8</v>
      </c>
      <c r="E348" t="str">
        <f t="shared" si="14"/>
        <v>Papillon/8/3/3</v>
      </c>
      <c r="F348">
        <v>7</v>
      </c>
    </row>
    <row r="349" spans="1:6" x14ac:dyDescent="0.2">
      <c r="A349">
        <v>4</v>
      </c>
      <c r="B349" t="s">
        <v>508</v>
      </c>
      <c r="C349">
        <v>0</v>
      </c>
      <c r="D349">
        <v>4</v>
      </c>
      <c r="E349" t="str">
        <f t="shared" si="14"/>
        <v>Rmarc/4/4/0</v>
      </c>
      <c r="F349">
        <v>7</v>
      </c>
    </row>
    <row r="350" spans="1:6" x14ac:dyDescent="0.2">
      <c r="A350">
        <v>5</v>
      </c>
      <c r="B350" t="s">
        <v>476</v>
      </c>
      <c r="C350">
        <v>0</v>
      </c>
      <c r="D350">
        <v>2</v>
      </c>
      <c r="E350" t="str">
        <f t="shared" si="14"/>
        <v>MegaSouche/2/5/0</v>
      </c>
      <c r="F350">
        <v>7</v>
      </c>
    </row>
    <row r="351" spans="1:6" x14ac:dyDescent="0.2">
      <c r="A351">
        <v>6</v>
      </c>
      <c r="B351" t="s">
        <v>19</v>
      </c>
      <c r="C351">
        <v>0</v>
      </c>
      <c r="D351">
        <v>1</v>
      </c>
      <c r="E351" t="str">
        <f t="shared" si="14"/>
        <v>Giobeck/1/6/0</v>
      </c>
      <c r="F351">
        <v>7</v>
      </c>
    </row>
    <row r="352" spans="1:6" x14ac:dyDescent="0.2">
      <c r="A352">
        <v>1</v>
      </c>
      <c r="B352" t="s">
        <v>66</v>
      </c>
      <c r="C352">
        <v>3</v>
      </c>
      <c r="D352">
        <v>16</v>
      </c>
      <c r="E352" t="str">
        <f t="shared" ref="E352:E375" si="15">B352&amp;"/"&amp;D352&amp;"/"&amp;A352&amp;"/"&amp;C352</f>
        <v>Ad Vitam/16/1/3</v>
      </c>
      <c r="F352">
        <v>7</v>
      </c>
    </row>
    <row r="353" spans="1:6" x14ac:dyDescent="0.2">
      <c r="A353">
        <v>2</v>
      </c>
      <c r="B353" t="s">
        <v>485</v>
      </c>
      <c r="C353">
        <v>1</v>
      </c>
      <c r="D353">
        <v>12</v>
      </c>
      <c r="E353" t="str">
        <f t="shared" si="15"/>
        <v>Solucky/12/2/1</v>
      </c>
      <c r="F353">
        <v>7</v>
      </c>
    </row>
    <row r="354" spans="1:6" x14ac:dyDescent="0.2">
      <c r="A354">
        <v>3</v>
      </c>
      <c r="B354" t="s">
        <v>534</v>
      </c>
      <c r="C354">
        <v>0</v>
      </c>
      <c r="D354">
        <v>8</v>
      </c>
      <c r="E354" t="str">
        <f t="shared" si="15"/>
        <v>JC/8/3/0</v>
      </c>
      <c r="F354">
        <v>7</v>
      </c>
    </row>
    <row r="355" spans="1:6" x14ac:dyDescent="0.2">
      <c r="A355">
        <v>4</v>
      </c>
      <c r="B355" t="s">
        <v>21</v>
      </c>
      <c r="C355">
        <v>1</v>
      </c>
      <c r="D355">
        <v>4</v>
      </c>
      <c r="E355" t="str">
        <f t="shared" si="15"/>
        <v>Carmin/4/4/1</v>
      </c>
      <c r="F355">
        <v>7</v>
      </c>
    </row>
    <row r="356" spans="1:6" x14ac:dyDescent="0.2">
      <c r="A356">
        <v>5</v>
      </c>
      <c r="B356" t="s">
        <v>81</v>
      </c>
      <c r="C356">
        <v>0</v>
      </c>
      <c r="D356">
        <v>2</v>
      </c>
      <c r="E356" t="str">
        <f t="shared" si="15"/>
        <v>Empedocle/2/5/0</v>
      </c>
      <c r="F356">
        <v>7</v>
      </c>
    </row>
    <row r="357" spans="1:6" x14ac:dyDescent="0.2">
      <c r="A357">
        <v>6</v>
      </c>
      <c r="B357" t="s">
        <v>280</v>
      </c>
      <c r="C357">
        <v>0</v>
      </c>
      <c r="D357">
        <v>1</v>
      </c>
      <c r="E357" t="str">
        <f t="shared" si="15"/>
        <v>Delgres/1/6/0</v>
      </c>
      <c r="F357">
        <v>7</v>
      </c>
    </row>
    <row r="358" spans="1:6" x14ac:dyDescent="0.2">
      <c r="A358">
        <v>1</v>
      </c>
      <c r="B358" t="s">
        <v>493</v>
      </c>
      <c r="C358">
        <v>1</v>
      </c>
      <c r="D358">
        <v>16</v>
      </c>
      <c r="E358" t="str">
        <f t="shared" si="15"/>
        <v>Rockatou/16/1/1</v>
      </c>
      <c r="F358">
        <v>7</v>
      </c>
    </row>
    <row r="359" spans="1:6" x14ac:dyDescent="0.2">
      <c r="A359">
        <v>2</v>
      </c>
      <c r="B359" t="s">
        <v>451</v>
      </c>
      <c r="C359">
        <v>0</v>
      </c>
      <c r="D359">
        <v>12</v>
      </c>
      <c r="E359" t="str">
        <f t="shared" si="15"/>
        <v>Jacaille/12/2/0</v>
      </c>
      <c r="F359">
        <v>7</v>
      </c>
    </row>
    <row r="360" spans="1:6" x14ac:dyDescent="0.2">
      <c r="A360">
        <v>3</v>
      </c>
      <c r="B360" t="s">
        <v>518</v>
      </c>
      <c r="C360">
        <v>1</v>
      </c>
      <c r="D360">
        <v>8</v>
      </c>
      <c r="E360" t="str">
        <f t="shared" si="15"/>
        <v>Soupaman/8/3/1</v>
      </c>
      <c r="F360">
        <v>7</v>
      </c>
    </row>
    <row r="361" spans="1:6" x14ac:dyDescent="0.2">
      <c r="A361">
        <v>4</v>
      </c>
      <c r="B361" t="s">
        <v>479</v>
      </c>
      <c r="C361">
        <v>0</v>
      </c>
      <c r="D361">
        <v>4</v>
      </c>
      <c r="E361" t="str">
        <f t="shared" si="15"/>
        <v>Salender/4/4/0</v>
      </c>
      <c r="F361">
        <v>7</v>
      </c>
    </row>
    <row r="362" spans="1:6" x14ac:dyDescent="0.2">
      <c r="A362">
        <v>5</v>
      </c>
      <c r="B362" t="s">
        <v>9</v>
      </c>
      <c r="C362">
        <v>1</v>
      </c>
      <c r="D362">
        <v>2</v>
      </c>
      <c r="E362" t="str">
        <f t="shared" si="15"/>
        <v>K1/2/5/1</v>
      </c>
      <c r="F362">
        <v>7</v>
      </c>
    </row>
    <row r="363" spans="1:6" x14ac:dyDescent="0.2">
      <c r="A363">
        <v>6</v>
      </c>
      <c r="B363" t="s">
        <v>533</v>
      </c>
      <c r="C363">
        <v>0</v>
      </c>
      <c r="D363">
        <v>1</v>
      </c>
      <c r="E363" t="str">
        <f t="shared" si="15"/>
        <v>Ouais ouais/1/6/0</v>
      </c>
      <c r="F363">
        <v>7</v>
      </c>
    </row>
    <row r="364" spans="1:6" x14ac:dyDescent="0.2">
      <c r="A364">
        <v>1</v>
      </c>
      <c r="B364" t="s">
        <v>490</v>
      </c>
      <c r="C364">
        <v>4</v>
      </c>
      <c r="D364">
        <v>16</v>
      </c>
      <c r="E364" t="str">
        <f t="shared" si="15"/>
        <v>DernierPli/16/1/4</v>
      </c>
      <c r="F364">
        <v>7</v>
      </c>
    </row>
    <row r="365" spans="1:6" x14ac:dyDescent="0.2">
      <c r="A365">
        <v>2</v>
      </c>
      <c r="B365" t="s">
        <v>74</v>
      </c>
      <c r="C365">
        <v>1</v>
      </c>
      <c r="D365">
        <v>12</v>
      </c>
      <c r="E365" t="str">
        <f t="shared" si="15"/>
        <v>PatB/12/2/1</v>
      </c>
      <c r="F365">
        <v>7</v>
      </c>
    </row>
    <row r="366" spans="1:6" x14ac:dyDescent="0.2">
      <c r="A366">
        <v>3</v>
      </c>
      <c r="B366" t="s">
        <v>46</v>
      </c>
      <c r="C366">
        <v>0</v>
      </c>
      <c r="D366">
        <v>8</v>
      </c>
      <c r="E366" t="str">
        <f t="shared" si="15"/>
        <v>Jérôme/8/3/0</v>
      </c>
      <c r="F366">
        <v>7</v>
      </c>
    </row>
    <row r="367" spans="1:6" x14ac:dyDescent="0.2">
      <c r="A367">
        <v>4</v>
      </c>
      <c r="B367" t="s">
        <v>501</v>
      </c>
      <c r="C367">
        <v>0</v>
      </c>
      <c r="D367">
        <v>4</v>
      </c>
      <c r="E367" t="str">
        <f t="shared" si="15"/>
        <v>Poisson Pilote/4/4/0</v>
      </c>
      <c r="F367">
        <v>7</v>
      </c>
    </row>
    <row r="368" spans="1:6" x14ac:dyDescent="0.2">
      <c r="A368">
        <v>5</v>
      </c>
      <c r="B368" t="s">
        <v>32</v>
      </c>
      <c r="C368">
        <v>0</v>
      </c>
      <c r="D368">
        <v>2</v>
      </c>
      <c r="E368" t="str">
        <f t="shared" si="15"/>
        <v>OlivierN92/2/5/0</v>
      </c>
      <c r="F368">
        <v>7</v>
      </c>
    </row>
    <row r="369" spans="1:6" x14ac:dyDescent="0.2">
      <c r="A369">
        <v>6</v>
      </c>
      <c r="B369" t="s">
        <v>521</v>
      </c>
      <c r="C369">
        <v>0</v>
      </c>
      <c r="D369">
        <v>1</v>
      </c>
      <c r="E369" t="str">
        <f t="shared" si="15"/>
        <v>Jaden/1/6/0</v>
      </c>
      <c r="F369">
        <v>7</v>
      </c>
    </row>
    <row r="370" spans="1:6" x14ac:dyDescent="0.2">
      <c r="A370">
        <v>1</v>
      </c>
      <c r="B370" t="s">
        <v>535</v>
      </c>
      <c r="C370">
        <v>4</v>
      </c>
      <c r="D370">
        <v>16</v>
      </c>
      <c r="E370" t="str">
        <f t="shared" si="15"/>
        <v>TheRealWill/16/1/4</v>
      </c>
      <c r="F370">
        <v>7</v>
      </c>
    </row>
    <row r="371" spans="1:6" x14ac:dyDescent="0.2">
      <c r="A371">
        <v>2</v>
      </c>
      <c r="B371" t="s">
        <v>502</v>
      </c>
      <c r="C371">
        <v>1</v>
      </c>
      <c r="D371">
        <v>12</v>
      </c>
      <c r="E371" t="str">
        <f t="shared" si="15"/>
        <v>Sobab/12/2/1</v>
      </c>
      <c r="F371">
        <v>7</v>
      </c>
    </row>
    <row r="372" spans="1:6" x14ac:dyDescent="0.2">
      <c r="A372">
        <v>3</v>
      </c>
      <c r="B372" t="s">
        <v>42</v>
      </c>
      <c r="C372">
        <v>0</v>
      </c>
      <c r="D372">
        <v>8</v>
      </c>
      <c r="E372" t="str">
        <f t="shared" si="15"/>
        <v>Claptou/8/3/0</v>
      </c>
      <c r="F372">
        <v>7</v>
      </c>
    </row>
    <row r="373" spans="1:6" x14ac:dyDescent="0.2">
      <c r="A373">
        <v>4</v>
      </c>
      <c r="B373" t="s">
        <v>454</v>
      </c>
      <c r="C373">
        <v>0</v>
      </c>
      <c r="D373">
        <v>4</v>
      </c>
      <c r="E373" t="str">
        <f t="shared" si="15"/>
        <v>Gibbonfury/4/4/0</v>
      </c>
      <c r="F373">
        <v>7</v>
      </c>
    </row>
    <row r="374" spans="1:6" x14ac:dyDescent="0.2">
      <c r="A374">
        <v>5</v>
      </c>
      <c r="B374" t="s">
        <v>101</v>
      </c>
      <c r="C374">
        <v>0</v>
      </c>
      <c r="D374">
        <v>2</v>
      </c>
      <c r="E374" t="str">
        <f t="shared" si="15"/>
        <v>ChrisFrankfurt/2/5/0</v>
      </c>
      <c r="F374">
        <v>7</v>
      </c>
    </row>
    <row r="375" spans="1:6" x14ac:dyDescent="0.2">
      <c r="A375">
        <v>6</v>
      </c>
      <c r="B375" t="s">
        <v>55</v>
      </c>
      <c r="C375">
        <v>0</v>
      </c>
      <c r="D375">
        <v>1</v>
      </c>
      <c r="E375" t="str">
        <f t="shared" si="15"/>
        <v>Bounette/1/6/0</v>
      </c>
      <c r="F375">
        <v>7</v>
      </c>
    </row>
    <row r="376" spans="1:6" x14ac:dyDescent="0.2">
      <c r="A376">
        <v>1</v>
      </c>
      <c r="B376" t="s">
        <v>507</v>
      </c>
      <c r="C376">
        <v>3</v>
      </c>
      <c r="D376">
        <v>16</v>
      </c>
      <c r="E376" t="str">
        <f t="shared" ref="E376:E401" si="16">B376&amp;"/"&amp;D376&amp;"/"&amp;A376&amp;"/"&amp;C376</f>
        <v>Losogre/16/1/3</v>
      </c>
      <c r="F376">
        <v>7</v>
      </c>
    </row>
    <row r="377" spans="1:6" x14ac:dyDescent="0.2">
      <c r="A377">
        <v>2</v>
      </c>
      <c r="B377" t="s">
        <v>65</v>
      </c>
      <c r="C377">
        <v>0</v>
      </c>
      <c r="D377">
        <v>12</v>
      </c>
      <c r="E377" t="str">
        <f t="shared" si="16"/>
        <v>Ripolin/12/2/0</v>
      </c>
      <c r="F377">
        <v>7</v>
      </c>
    </row>
    <row r="378" spans="1:6" x14ac:dyDescent="0.2">
      <c r="A378">
        <v>3</v>
      </c>
      <c r="B378" t="s">
        <v>536</v>
      </c>
      <c r="C378">
        <v>1</v>
      </c>
      <c r="D378">
        <v>8</v>
      </c>
      <c r="E378" t="str">
        <f t="shared" si="16"/>
        <v>Algolf75/8/3/1</v>
      </c>
      <c r="F378">
        <v>7</v>
      </c>
    </row>
    <row r="379" spans="1:6" x14ac:dyDescent="0.2">
      <c r="A379">
        <v>4</v>
      </c>
      <c r="B379" t="s">
        <v>515</v>
      </c>
      <c r="C379">
        <v>0</v>
      </c>
      <c r="D379">
        <v>4</v>
      </c>
      <c r="E379" t="str">
        <f t="shared" si="16"/>
        <v>Chico/4/4/0</v>
      </c>
      <c r="F379">
        <v>7</v>
      </c>
    </row>
    <row r="380" spans="1:6" x14ac:dyDescent="0.2">
      <c r="A380">
        <v>5</v>
      </c>
      <c r="B380" t="s">
        <v>15</v>
      </c>
      <c r="C380">
        <v>1</v>
      </c>
      <c r="D380">
        <v>2</v>
      </c>
      <c r="E380" t="str">
        <f t="shared" si="16"/>
        <v>LAAtof/2/5/1</v>
      </c>
      <c r="F380">
        <v>7</v>
      </c>
    </row>
    <row r="381" spans="1:6" x14ac:dyDescent="0.2">
      <c r="A381">
        <v>6</v>
      </c>
      <c r="B381" t="s">
        <v>527</v>
      </c>
      <c r="C381">
        <v>0</v>
      </c>
      <c r="D381">
        <v>1</v>
      </c>
      <c r="E381" t="str">
        <f t="shared" si="16"/>
        <v>Just4fun/1/6/0</v>
      </c>
      <c r="F381">
        <v>7</v>
      </c>
    </row>
    <row r="382" spans="1:6" x14ac:dyDescent="0.2">
      <c r="A382">
        <v>1</v>
      </c>
      <c r="B382" t="s">
        <v>452</v>
      </c>
      <c r="C382">
        <v>4</v>
      </c>
      <c r="D382">
        <v>17</v>
      </c>
      <c r="E382" t="str">
        <f t="shared" si="16"/>
        <v>The Hengover/17/1/4</v>
      </c>
      <c r="F382">
        <v>7</v>
      </c>
    </row>
    <row r="383" spans="1:6" x14ac:dyDescent="0.2">
      <c r="A383">
        <v>2</v>
      </c>
      <c r="B383" t="s">
        <v>6</v>
      </c>
      <c r="C383">
        <v>0</v>
      </c>
      <c r="D383">
        <v>13</v>
      </c>
      <c r="E383" t="str">
        <f t="shared" si="16"/>
        <v>Pyja/13/2/0</v>
      </c>
      <c r="F383">
        <v>7</v>
      </c>
    </row>
    <row r="384" spans="1:6" x14ac:dyDescent="0.2">
      <c r="A384">
        <v>3</v>
      </c>
      <c r="B384" t="s">
        <v>505</v>
      </c>
      <c r="C384">
        <v>1</v>
      </c>
      <c r="D384">
        <v>9</v>
      </c>
      <c r="E384" t="str">
        <f t="shared" si="16"/>
        <v>Mams/9/3/1</v>
      </c>
      <c r="F384">
        <v>7</v>
      </c>
    </row>
    <row r="385" spans="1:6" x14ac:dyDescent="0.2">
      <c r="A385">
        <v>4</v>
      </c>
      <c r="B385" t="s">
        <v>73</v>
      </c>
      <c r="C385">
        <v>1</v>
      </c>
      <c r="D385">
        <v>5</v>
      </c>
      <c r="E385" t="str">
        <f t="shared" si="16"/>
        <v>Flem/5/4/1</v>
      </c>
      <c r="F385">
        <v>7</v>
      </c>
    </row>
    <row r="386" spans="1:6" x14ac:dyDescent="0.2">
      <c r="A386">
        <v>5</v>
      </c>
      <c r="B386" t="s">
        <v>59</v>
      </c>
      <c r="C386">
        <v>0</v>
      </c>
      <c r="D386">
        <v>3</v>
      </c>
      <c r="E386" t="str">
        <f t="shared" si="16"/>
        <v>YooooDA/3/5/0</v>
      </c>
      <c r="F386">
        <v>7</v>
      </c>
    </row>
    <row r="387" spans="1:6" x14ac:dyDescent="0.2">
      <c r="A387">
        <v>6</v>
      </c>
      <c r="B387" t="s">
        <v>519</v>
      </c>
      <c r="C387">
        <v>0</v>
      </c>
      <c r="D387">
        <v>2</v>
      </c>
      <c r="E387" t="str">
        <f t="shared" si="16"/>
        <v>Xhar92/2/6/0</v>
      </c>
      <c r="F387">
        <v>7</v>
      </c>
    </row>
    <row r="388" spans="1:6" x14ac:dyDescent="0.2">
      <c r="A388">
        <v>7</v>
      </c>
      <c r="B388" t="s">
        <v>475</v>
      </c>
      <c r="C388">
        <v>0</v>
      </c>
      <c r="D388">
        <v>1</v>
      </c>
      <c r="E388" t="str">
        <f t="shared" si="16"/>
        <v>La Bavure/1/7/0</v>
      </c>
      <c r="F388">
        <v>7</v>
      </c>
    </row>
    <row r="389" spans="1:6" x14ac:dyDescent="0.2">
      <c r="A389">
        <v>1</v>
      </c>
      <c r="B389" t="s">
        <v>27</v>
      </c>
      <c r="C389">
        <v>2</v>
      </c>
      <c r="D389">
        <v>16</v>
      </c>
      <c r="E389" t="str">
        <f t="shared" si="16"/>
        <v>Mandrake/16/1/2</v>
      </c>
      <c r="F389">
        <v>8</v>
      </c>
    </row>
    <row r="390" spans="1:6" x14ac:dyDescent="0.2">
      <c r="A390">
        <v>2</v>
      </c>
      <c r="B390" t="s">
        <v>345</v>
      </c>
      <c r="C390">
        <v>2</v>
      </c>
      <c r="D390">
        <v>12</v>
      </c>
      <c r="E390" t="str">
        <f t="shared" si="16"/>
        <v>Thibaultp75/12/2/2</v>
      </c>
      <c r="F390">
        <v>8</v>
      </c>
    </row>
    <row r="391" spans="1:6" x14ac:dyDescent="0.2">
      <c r="A391">
        <v>3</v>
      </c>
      <c r="B391" t="s">
        <v>532</v>
      </c>
      <c r="C391">
        <v>0</v>
      </c>
      <c r="D391">
        <v>8</v>
      </c>
      <c r="E391" t="str">
        <f t="shared" si="16"/>
        <v>Boosilletoo/8/3/0</v>
      </c>
      <c r="F391">
        <v>8</v>
      </c>
    </row>
    <row r="392" spans="1:6" x14ac:dyDescent="0.2">
      <c r="A392">
        <v>4</v>
      </c>
      <c r="B392" t="s">
        <v>76</v>
      </c>
      <c r="C392">
        <v>0</v>
      </c>
      <c r="D392">
        <v>4</v>
      </c>
      <c r="E392" t="str">
        <f t="shared" si="16"/>
        <v>Comment2/4/4/0</v>
      </c>
      <c r="F392">
        <v>8</v>
      </c>
    </row>
    <row r="393" spans="1:6" x14ac:dyDescent="0.2">
      <c r="A393">
        <v>5</v>
      </c>
      <c r="B393" t="s">
        <v>535</v>
      </c>
      <c r="C393">
        <v>1</v>
      </c>
      <c r="D393">
        <v>2</v>
      </c>
      <c r="E393" t="str">
        <f t="shared" si="16"/>
        <v>TheRealWill/2/5/1</v>
      </c>
      <c r="F393">
        <v>8</v>
      </c>
    </row>
    <row r="394" spans="1:6" x14ac:dyDescent="0.2">
      <c r="A394">
        <v>6</v>
      </c>
      <c r="B394" t="s">
        <v>61</v>
      </c>
      <c r="C394">
        <v>0</v>
      </c>
      <c r="D394">
        <v>1</v>
      </c>
      <c r="E394" t="str">
        <f t="shared" si="16"/>
        <v>Kri-lin/1/6/0</v>
      </c>
      <c r="F394">
        <v>8</v>
      </c>
    </row>
    <row r="395" spans="1:6" x14ac:dyDescent="0.2">
      <c r="A395">
        <v>1</v>
      </c>
      <c r="B395" t="s">
        <v>476</v>
      </c>
      <c r="C395">
        <v>3</v>
      </c>
      <c r="D395">
        <v>17</v>
      </c>
      <c r="E395" t="str">
        <f t="shared" si="16"/>
        <v>MegaSouche/17/1/3</v>
      </c>
      <c r="F395">
        <v>8</v>
      </c>
    </row>
    <row r="396" spans="1:6" x14ac:dyDescent="0.2">
      <c r="A396">
        <v>2</v>
      </c>
      <c r="B396" t="s">
        <v>518</v>
      </c>
      <c r="C396">
        <v>0</v>
      </c>
      <c r="D396">
        <v>13</v>
      </c>
      <c r="E396" t="str">
        <f t="shared" si="16"/>
        <v>Soupaman/13/2/0</v>
      </c>
      <c r="F396">
        <v>8</v>
      </c>
    </row>
    <row r="397" spans="1:6" x14ac:dyDescent="0.2">
      <c r="A397">
        <v>3</v>
      </c>
      <c r="B397" t="s">
        <v>530</v>
      </c>
      <c r="C397">
        <v>1</v>
      </c>
      <c r="D397">
        <v>9</v>
      </c>
      <c r="E397" t="str">
        <f t="shared" si="16"/>
        <v>Flopynou/9/3/1</v>
      </c>
      <c r="F397">
        <v>8</v>
      </c>
    </row>
    <row r="398" spans="1:6" x14ac:dyDescent="0.2">
      <c r="A398">
        <v>4</v>
      </c>
      <c r="B398" t="s">
        <v>500</v>
      </c>
      <c r="C398">
        <v>2</v>
      </c>
      <c r="D398">
        <v>5</v>
      </c>
      <c r="E398" t="str">
        <f t="shared" si="16"/>
        <v>Kheops/5/4/2</v>
      </c>
      <c r="F398">
        <v>8</v>
      </c>
    </row>
    <row r="399" spans="1:6" x14ac:dyDescent="0.2">
      <c r="A399">
        <v>5</v>
      </c>
      <c r="B399" t="s">
        <v>502</v>
      </c>
      <c r="C399">
        <v>0</v>
      </c>
      <c r="D399">
        <v>3</v>
      </c>
      <c r="E399" t="str">
        <f t="shared" si="16"/>
        <v>Sobab/3/5/0</v>
      </c>
      <c r="F399">
        <v>8</v>
      </c>
    </row>
    <row r="400" spans="1:6" x14ac:dyDescent="0.2">
      <c r="A400">
        <v>6</v>
      </c>
      <c r="B400" t="s">
        <v>519</v>
      </c>
      <c r="C400">
        <v>0</v>
      </c>
      <c r="D400">
        <v>2</v>
      </c>
      <c r="E400" t="str">
        <f t="shared" si="16"/>
        <v>Xhar92/2/6/0</v>
      </c>
      <c r="F400">
        <v>8</v>
      </c>
    </row>
    <row r="401" spans="1:6" x14ac:dyDescent="0.2">
      <c r="A401">
        <v>7</v>
      </c>
      <c r="B401" t="s">
        <v>485</v>
      </c>
      <c r="C401">
        <v>0</v>
      </c>
      <c r="D401">
        <v>1</v>
      </c>
      <c r="E401" t="str">
        <f t="shared" si="16"/>
        <v>Solucky/1/7/0</v>
      </c>
      <c r="F401">
        <v>8</v>
      </c>
    </row>
    <row r="402" spans="1:6" x14ac:dyDescent="0.2">
      <c r="A402">
        <v>1</v>
      </c>
      <c r="B402" t="s">
        <v>493</v>
      </c>
      <c r="C402">
        <v>2</v>
      </c>
      <c r="D402">
        <v>17</v>
      </c>
      <c r="E402" t="str">
        <f t="shared" ref="E402:E427" si="17">B402&amp;"/"&amp;D402&amp;"/"&amp;A402&amp;"/"&amp;C402</f>
        <v>Rockatou/17/1/2</v>
      </c>
      <c r="F402">
        <v>8</v>
      </c>
    </row>
    <row r="403" spans="1:6" x14ac:dyDescent="0.2">
      <c r="A403">
        <v>2</v>
      </c>
      <c r="B403" t="s">
        <v>526</v>
      </c>
      <c r="C403">
        <v>1</v>
      </c>
      <c r="D403">
        <v>13</v>
      </c>
      <c r="E403" t="str">
        <f t="shared" si="17"/>
        <v>Yroz/13/2/1</v>
      </c>
      <c r="F403">
        <v>8</v>
      </c>
    </row>
    <row r="404" spans="1:6" x14ac:dyDescent="0.2">
      <c r="A404">
        <v>3</v>
      </c>
      <c r="B404" t="s">
        <v>534</v>
      </c>
      <c r="C404">
        <v>0</v>
      </c>
      <c r="D404">
        <v>9</v>
      </c>
      <c r="E404" t="str">
        <f t="shared" si="17"/>
        <v>JC/9/3/0</v>
      </c>
      <c r="F404">
        <v>8</v>
      </c>
    </row>
    <row r="405" spans="1:6" x14ac:dyDescent="0.2">
      <c r="A405">
        <v>3</v>
      </c>
      <c r="B405" t="s">
        <v>101</v>
      </c>
      <c r="C405">
        <v>0</v>
      </c>
      <c r="D405">
        <v>9</v>
      </c>
      <c r="E405" t="str">
        <f t="shared" si="17"/>
        <v>ChrisFrankfurt/9/3/0</v>
      </c>
      <c r="F405">
        <v>8</v>
      </c>
    </row>
    <row r="406" spans="1:6" x14ac:dyDescent="0.2">
      <c r="A406">
        <v>4</v>
      </c>
      <c r="B406" t="s">
        <v>454</v>
      </c>
      <c r="C406">
        <v>3</v>
      </c>
      <c r="D406">
        <v>5</v>
      </c>
      <c r="E406" t="str">
        <f t="shared" si="17"/>
        <v>Gibbonfury/5/4/3</v>
      </c>
      <c r="F406">
        <v>8</v>
      </c>
    </row>
    <row r="407" spans="1:6" x14ac:dyDescent="0.2">
      <c r="A407">
        <v>5</v>
      </c>
      <c r="B407" t="s">
        <v>509</v>
      </c>
      <c r="C407">
        <v>0</v>
      </c>
      <c r="D407">
        <v>3</v>
      </c>
      <c r="E407" t="str">
        <f t="shared" si="17"/>
        <v>Gibouille/3/5/0</v>
      </c>
      <c r="F407">
        <v>8</v>
      </c>
    </row>
    <row r="408" spans="1:6" x14ac:dyDescent="0.2">
      <c r="A408">
        <v>7</v>
      </c>
      <c r="B408" t="s">
        <v>55</v>
      </c>
      <c r="C408">
        <v>0</v>
      </c>
      <c r="D408">
        <v>1</v>
      </c>
      <c r="E408" t="str">
        <f t="shared" si="17"/>
        <v>Bounette/1/7/0</v>
      </c>
      <c r="F408">
        <v>8</v>
      </c>
    </row>
    <row r="409" spans="1:6" x14ac:dyDescent="0.2">
      <c r="A409">
        <v>1</v>
      </c>
      <c r="B409" t="s">
        <v>25</v>
      </c>
      <c r="C409">
        <v>1</v>
      </c>
      <c r="D409">
        <v>17</v>
      </c>
      <c r="E409" t="str">
        <f t="shared" si="17"/>
        <v>Claudius/17/1/1</v>
      </c>
      <c r="F409">
        <v>8</v>
      </c>
    </row>
    <row r="410" spans="1:6" x14ac:dyDescent="0.2">
      <c r="A410">
        <v>2</v>
      </c>
      <c r="B410" t="s">
        <v>510</v>
      </c>
      <c r="C410">
        <v>5</v>
      </c>
      <c r="D410">
        <v>13</v>
      </c>
      <c r="E410" t="str">
        <f t="shared" si="17"/>
        <v>Magic Mykiss/13/2/5</v>
      </c>
      <c r="F410">
        <v>8</v>
      </c>
    </row>
    <row r="411" spans="1:6" x14ac:dyDescent="0.2">
      <c r="A411">
        <v>3</v>
      </c>
      <c r="B411" t="s">
        <v>505</v>
      </c>
      <c r="C411">
        <v>0</v>
      </c>
      <c r="D411">
        <v>9</v>
      </c>
      <c r="E411" t="str">
        <f t="shared" si="17"/>
        <v>Mams/9/3/0</v>
      </c>
      <c r="F411">
        <v>8</v>
      </c>
    </row>
    <row r="412" spans="1:6" x14ac:dyDescent="0.2">
      <c r="A412">
        <v>4</v>
      </c>
      <c r="B412" t="s">
        <v>32</v>
      </c>
      <c r="C412">
        <v>0</v>
      </c>
      <c r="D412">
        <v>5</v>
      </c>
      <c r="E412" t="str">
        <f t="shared" si="17"/>
        <v>OlivierN92/5/4/0</v>
      </c>
      <c r="F412">
        <v>8</v>
      </c>
    </row>
    <row r="413" spans="1:6" x14ac:dyDescent="0.2">
      <c r="A413">
        <v>5</v>
      </c>
      <c r="B413" t="s">
        <v>490</v>
      </c>
      <c r="C413">
        <v>0</v>
      </c>
      <c r="D413">
        <v>3</v>
      </c>
      <c r="E413" t="str">
        <f t="shared" si="17"/>
        <v>DernierPli/3/5/0</v>
      </c>
      <c r="F413">
        <v>8</v>
      </c>
    </row>
    <row r="414" spans="1:6" x14ac:dyDescent="0.2">
      <c r="A414">
        <v>6</v>
      </c>
      <c r="B414" t="s">
        <v>536</v>
      </c>
      <c r="C414">
        <v>0</v>
      </c>
      <c r="D414">
        <v>2</v>
      </c>
      <c r="E414" t="str">
        <f t="shared" si="17"/>
        <v>Algolf75/2/6/0</v>
      </c>
      <c r="F414">
        <v>8</v>
      </c>
    </row>
    <row r="415" spans="1:6" x14ac:dyDescent="0.2">
      <c r="A415">
        <v>7</v>
      </c>
      <c r="B415" t="s">
        <v>69</v>
      </c>
      <c r="C415">
        <v>0</v>
      </c>
      <c r="D415">
        <v>1</v>
      </c>
      <c r="E415" t="str">
        <f t="shared" si="17"/>
        <v>Catherine/1/7/0</v>
      </c>
      <c r="F415">
        <v>8</v>
      </c>
    </row>
    <row r="416" spans="1:6" x14ac:dyDescent="0.2">
      <c r="A416">
        <v>1</v>
      </c>
      <c r="B416" t="s">
        <v>35</v>
      </c>
      <c r="C416">
        <v>1</v>
      </c>
      <c r="D416">
        <v>16</v>
      </c>
      <c r="E416" t="str">
        <f t="shared" si="17"/>
        <v>JeanMichelTiming/16/1/1</v>
      </c>
      <c r="F416">
        <v>8</v>
      </c>
    </row>
    <row r="417" spans="1:6" x14ac:dyDescent="0.2">
      <c r="A417">
        <v>2</v>
      </c>
      <c r="B417" t="s">
        <v>503</v>
      </c>
      <c r="C417">
        <v>4</v>
      </c>
      <c r="D417">
        <v>12</v>
      </c>
      <c r="E417" t="str">
        <f t="shared" si="17"/>
        <v>Yaltar/12/2/4</v>
      </c>
      <c r="F417">
        <v>8</v>
      </c>
    </row>
    <row r="418" spans="1:6" x14ac:dyDescent="0.2">
      <c r="A418">
        <v>3</v>
      </c>
      <c r="B418" t="s">
        <v>34</v>
      </c>
      <c r="C418">
        <v>0</v>
      </c>
      <c r="D418">
        <v>8</v>
      </c>
      <c r="E418" t="str">
        <f t="shared" si="17"/>
        <v>Solex/8/3/0</v>
      </c>
      <c r="F418">
        <v>8</v>
      </c>
    </row>
    <row r="419" spans="1:6" x14ac:dyDescent="0.2">
      <c r="A419">
        <v>4</v>
      </c>
      <c r="B419" t="s">
        <v>46</v>
      </c>
      <c r="C419">
        <v>0</v>
      </c>
      <c r="D419">
        <v>4</v>
      </c>
      <c r="E419" t="str">
        <f t="shared" si="17"/>
        <v>Jérôme/4/4/0</v>
      </c>
      <c r="F419">
        <v>8</v>
      </c>
    </row>
    <row r="420" spans="1:6" x14ac:dyDescent="0.2">
      <c r="A420">
        <v>5</v>
      </c>
      <c r="B420" t="s">
        <v>479</v>
      </c>
      <c r="C420">
        <v>0</v>
      </c>
      <c r="D420">
        <v>2</v>
      </c>
      <c r="E420" t="str">
        <f t="shared" si="17"/>
        <v>Salender/2/5/0</v>
      </c>
      <c r="F420">
        <v>8</v>
      </c>
    </row>
    <row r="421" spans="1:6" x14ac:dyDescent="0.2">
      <c r="A421">
        <v>6</v>
      </c>
      <c r="B421" t="s">
        <v>33</v>
      </c>
      <c r="C421">
        <v>0</v>
      </c>
      <c r="D421">
        <v>1</v>
      </c>
      <c r="E421" t="str">
        <f t="shared" si="17"/>
        <v>Ptit Savoyard/1/6/0</v>
      </c>
      <c r="F421">
        <v>8</v>
      </c>
    </row>
    <row r="422" spans="1:6" x14ac:dyDescent="0.2">
      <c r="A422">
        <v>1</v>
      </c>
      <c r="B422" t="s">
        <v>87</v>
      </c>
      <c r="C422">
        <v>1</v>
      </c>
      <c r="D422">
        <v>16</v>
      </c>
      <c r="E422" t="str">
        <f t="shared" si="17"/>
        <v>Proph@ne/16/1/1</v>
      </c>
      <c r="F422">
        <v>8</v>
      </c>
    </row>
    <row r="423" spans="1:6" x14ac:dyDescent="0.2">
      <c r="A423">
        <v>2</v>
      </c>
      <c r="B423" t="s">
        <v>9</v>
      </c>
      <c r="C423">
        <v>3</v>
      </c>
      <c r="D423">
        <v>12</v>
      </c>
      <c r="E423" t="str">
        <f t="shared" si="17"/>
        <v>K1/12/2/3</v>
      </c>
      <c r="F423">
        <v>8</v>
      </c>
    </row>
    <row r="424" spans="1:6" x14ac:dyDescent="0.2">
      <c r="A424">
        <v>3</v>
      </c>
      <c r="B424" t="s">
        <v>280</v>
      </c>
      <c r="C424">
        <v>0</v>
      </c>
      <c r="D424">
        <v>8</v>
      </c>
      <c r="E424" t="str">
        <f t="shared" si="17"/>
        <v>Delgres/8/3/0</v>
      </c>
      <c r="F424">
        <v>8</v>
      </c>
    </row>
    <row r="425" spans="1:6" x14ac:dyDescent="0.2">
      <c r="A425">
        <v>4</v>
      </c>
      <c r="B425" t="s">
        <v>451</v>
      </c>
      <c r="C425">
        <v>0</v>
      </c>
      <c r="D425">
        <v>4</v>
      </c>
      <c r="E425" t="str">
        <f t="shared" si="17"/>
        <v>Jacaille/4/4/0</v>
      </c>
      <c r="F425">
        <v>8</v>
      </c>
    </row>
    <row r="426" spans="1:6" x14ac:dyDescent="0.2">
      <c r="A426">
        <v>5</v>
      </c>
      <c r="B426" t="s">
        <v>21</v>
      </c>
      <c r="C426">
        <v>0</v>
      </c>
      <c r="D426">
        <v>2</v>
      </c>
      <c r="E426" t="str">
        <f t="shared" si="17"/>
        <v>Carmin/2/5/0</v>
      </c>
      <c r="F426">
        <v>8</v>
      </c>
    </row>
    <row r="427" spans="1:6" x14ac:dyDescent="0.2">
      <c r="A427">
        <v>6</v>
      </c>
      <c r="B427" t="s">
        <v>75</v>
      </c>
      <c r="C427">
        <v>0</v>
      </c>
      <c r="D427">
        <v>1</v>
      </c>
      <c r="E427" t="str">
        <f t="shared" si="17"/>
        <v>Michelbey/1/6/0</v>
      </c>
      <c r="F427">
        <v>8</v>
      </c>
    </row>
    <row r="428" spans="1:6" x14ac:dyDescent="0.2">
      <c r="A428">
        <v>1</v>
      </c>
      <c r="B428" t="s">
        <v>506</v>
      </c>
      <c r="C428">
        <v>4</v>
      </c>
      <c r="D428">
        <v>17</v>
      </c>
      <c r="E428" t="str">
        <f t="shared" ref="E428:E454" si="18">B428&amp;"/"&amp;D428&amp;"/"&amp;A428&amp;"/"&amp;C428</f>
        <v>Zubbaz/17/1/4</v>
      </c>
      <c r="F428">
        <v>8</v>
      </c>
    </row>
    <row r="429" spans="1:6" x14ac:dyDescent="0.2">
      <c r="A429">
        <v>2</v>
      </c>
      <c r="B429" t="s">
        <v>74</v>
      </c>
      <c r="C429">
        <v>2</v>
      </c>
      <c r="D429">
        <v>13</v>
      </c>
      <c r="E429" t="str">
        <f t="shared" si="18"/>
        <v>PatB/13/2/2</v>
      </c>
      <c r="F429">
        <v>8</v>
      </c>
    </row>
    <row r="430" spans="1:6" x14ac:dyDescent="0.2">
      <c r="A430">
        <v>3</v>
      </c>
      <c r="B430" t="s">
        <v>19</v>
      </c>
      <c r="C430">
        <v>0</v>
      </c>
      <c r="D430">
        <v>9</v>
      </c>
      <c r="E430" t="str">
        <f t="shared" si="18"/>
        <v>Giobeck/9/3/0</v>
      </c>
      <c r="F430">
        <v>8</v>
      </c>
    </row>
    <row r="431" spans="1:6" x14ac:dyDescent="0.2">
      <c r="A431">
        <v>4</v>
      </c>
      <c r="B431" t="s">
        <v>507</v>
      </c>
      <c r="C431">
        <v>0</v>
      </c>
      <c r="D431">
        <v>5</v>
      </c>
      <c r="E431" t="str">
        <f t="shared" si="18"/>
        <v>Losogre/5/4/0</v>
      </c>
      <c r="F431">
        <v>8</v>
      </c>
    </row>
    <row r="432" spans="1:6" x14ac:dyDescent="0.2">
      <c r="A432">
        <v>5</v>
      </c>
      <c r="B432" t="s">
        <v>491</v>
      </c>
      <c r="C432">
        <v>0</v>
      </c>
      <c r="D432">
        <v>3</v>
      </c>
      <c r="E432" t="str">
        <f t="shared" si="18"/>
        <v>Flabech/3/5/0</v>
      </c>
      <c r="F432">
        <v>8</v>
      </c>
    </row>
    <row r="433" spans="1:6" x14ac:dyDescent="0.2">
      <c r="A433">
        <v>6</v>
      </c>
      <c r="B433" t="s">
        <v>66</v>
      </c>
      <c r="C433">
        <v>0</v>
      </c>
      <c r="D433">
        <v>2</v>
      </c>
      <c r="E433" t="str">
        <f t="shared" si="18"/>
        <v>Ad Vitam/2/6/0</v>
      </c>
      <c r="F433">
        <v>8</v>
      </c>
    </row>
    <row r="434" spans="1:6" x14ac:dyDescent="0.2">
      <c r="A434">
        <v>7</v>
      </c>
      <c r="B434" t="s">
        <v>504</v>
      </c>
      <c r="C434">
        <v>0</v>
      </c>
      <c r="D434">
        <v>1</v>
      </c>
      <c r="E434" t="str">
        <f t="shared" si="18"/>
        <v>Zizou/1/7/0</v>
      </c>
      <c r="F434">
        <v>8</v>
      </c>
    </row>
    <row r="435" spans="1:6" x14ac:dyDescent="0.2">
      <c r="A435">
        <v>1</v>
      </c>
      <c r="B435" t="s">
        <v>6</v>
      </c>
      <c r="C435">
        <v>4</v>
      </c>
      <c r="D435">
        <v>16</v>
      </c>
      <c r="E435" t="str">
        <f t="shared" si="18"/>
        <v>Pyja/16/1/4</v>
      </c>
      <c r="F435">
        <v>8</v>
      </c>
    </row>
    <row r="436" spans="1:6" x14ac:dyDescent="0.2">
      <c r="A436">
        <v>2</v>
      </c>
      <c r="B436" t="s">
        <v>73</v>
      </c>
      <c r="C436">
        <v>0</v>
      </c>
      <c r="D436">
        <v>12</v>
      </c>
      <c r="E436" t="str">
        <f t="shared" si="18"/>
        <v>Flem/12/2/0</v>
      </c>
      <c r="F436">
        <v>8</v>
      </c>
    </row>
    <row r="437" spans="1:6" x14ac:dyDescent="0.2">
      <c r="A437">
        <v>3</v>
      </c>
      <c r="B437" t="s">
        <v>484</v>
      </c>
      <c r="C437">
        <v>1</v>
      </c>
      <c r="D437">
        <v>8</v>
      </c>
      <c r="E437" t="str">
        <f t="shared" si="18"/>
        <v>Guerno/8/3/1</v>
      </c>
      <c r="F437">
        <v>8</v>
      </c>
    </row>
    <row r="438" spans="1:6" x14ac:dyDescent="0.2">
      <c r="A438">
        <v>4</v>
      </c>
      <c r="B438" t="s">
        <v>512</v>
      </c>
      <c r="C438">
        <v>0</v>
      </c>
      <c r="D438">
        <v>4</v>
      </c>
      <c r="E438" t="str">
        <f t="shared" si="18"/>
        <v>Fishtro/4/4/0</v>
      </c>
      <c r="F438">
        <v>8</v>
      </c>
    </row>
    <row r="439" spans="1:6" x14ac:dyDescent="0.2">
      <c r="A439">
        <v>5</v>
      </c>
      <c r="B439" t="s">
        <v>501</v>
      </c>
      <c r="C439">
        <v>0</v>
      </c>
      <c r="D439">
        <v>2</v>
      </c>
      <c r="E439" t="str">
        <f t="shared" si="18"/>
        <v>Poisson Pilote/2/5/0</v>
      </c>
      <c r="F439">
        <v>8</v>
      </c>
    </row>
    <row r="440" spans="1:6" x14ac:dyDescent="0.2">
      <c r="A440">
        <v>6</v>
      </c>
      <c r="B440" t="s">
        <v>527</v>
      </c>
      <c r="C440">
        <v>0</v>
      </c>
      <c r="D440">
        <v>1</v>
      </c>
      <c r="E440" t="str">
        <f t="shared" si="18"/>
        <v>Just4fun/1/6/0</v>
      </c>
      <c r="F440">
        <v>8</v>
      </c>
    </row>
    <row r="441" spans="1:6" x14ac:dyDescent="0.2">
      <c r="A441">
        <v>1</v>
      </c>
      <c r="B441" t="s">
        <v>15</v>
      </c>
      <c r="C441">
        <v>3</v>
      </c>
      <c r="D441">
        <v>17</v>
      </c>
      <c r="E441" t="str">
        <f t="shared" si="18"/>
        <v>LAAtof/17/1/3</v>
      </c>
      <c r="F441">
        <v>8</v>
      </c>
    </row>
    <row r="442" spans="1:6" x14ac:dyDescent="0.2">
      <c r="A442">
        <v>2</v>
      </c>
      <c r="B442" t="s">
        <v>42</v>
      </c>
      <c r="C442">
        <v>3</v>
      </c>
      <c r="D442">
        <v>13</v>
      </c>
      <c r="E442" t="str">
        <f t="shared" si="18"/>
        <v>Claptou/13/2/3</v>
      </c>
      <c r="F442">
        <v>8</v>
      </c>
    </row>
    <row r="443" spans="1:6" x14ac:dyDescent="0.2">
      <c r="A443">
        <v>3</v>
      </c>
      <c r="B443" t="s">
        <v>452</v>
      </c>
      <c r="C443">
        <v>0</v>
      </c>
      <c r="D443">
        <v>9</v>
      </c>
      <c r="E443" t="str">
        <f t="shared" si="18"/>
        <v>The Hengover/9/3/0</v>
      </c>
      <c r="F443">
        <v>8</v>
      </c>
    </row>
    <row r="444" spans="1:6" x14ac:dyDescent="0.2">
      <c r="A444">
        <v>4</v>
      </c>
      <c r="B444" t="s">
        <v>508</v>
      </c>
      <c r="C444">
        <v>0</v>
      </c>
      <c r="D444">
        <v>5</v>
      </c>
      <c r="E444" t="str">
        <f t="shared" si="18"/>
        <v>Rmarc/5/4/0</v>
      </c>
      <c r="F444">
        <v>8</v>
      </c>
    </row>
    <row r="445" spans="1:6" x14ac:dyDescent="0.2">
      <c r="A445">
        <v>5</v>
      </c>
      <c r="B445" t="s">
        <v>525</v>
      </c>
      <c r="C445">
        <v>0</v>
      </c>
      <c r="D445">
        <v>3</v>
      </c>
      <c r="E445" t="str">
        <f t="shared" si="18"/>
        <v>Freddie/3/5/0</v>
      </c>
      <c r="F445">
        <v>8</v>
      </c>
    </row>
    <row r="446" spans="1:6" x14ac:dyDescent="0.2">
      <c r="A446">
        <v>6</v>
      </c>
      <c r="B446" t="s">
        <v>59</v>
      </c>
      <c r="C446">
        <v>0</v>
      </c>
      <c r="D446">
        <v>2</v>
      </c>
      <c r="E446" t="str">
        <f t="shared" si="18"/>
        <v>YooooDA/2/6/0</v>
      </c>
      <c r="F446">
        <v>8</v>
      </c>
    </row>
    <row r="447" spans="1:6" x14ac:dyDescent="0.2">
      <c r="A447">
        <v>7</v>
      </c>
      <c r="B447" t="s">
        <v>533</v>
      </c>
      <c r="C447">
        <v>0</v>
      </c>
      <c r="D447">
        <v>1</v>
      </c>
      <c r="E447" t="str">
        <f t="shared" si="18"/>
        <v>Ouais ouais/1/7/0</v>
      </c>
      <c r="F447">
        <v>8</v>
      </c>
    </row>
    <row r="448" spans="1:6" x14ac:dyDescent="0.2">
      <c r="A448">
        <v>1</v>
      </c>
      <c r="B448" t="s">
        <v>46</v>
      </c>
      <c r="C448">
        <v>3</v>
      </c>
      <c r="D448">
        <v>17</v>
      </c>
      <c r="E448" t="str">
        <f t="shared" si="18"/>
        <v>Jérôme/17/1/3</v>
      </c>
      <c r="F448">
        <v>9</v>
      </c>
    </row>
    <row r="449" spans="1:6" x14ac:dyDescent="0.2">
      <c r="A449">
        <v>2</v>
      </c>
      <c r="B449" t="s">
        <v>521</v>
      </c>
      <c r="C449">
        <v>3</v>
      </c>
      <c r="D449">
        <v>13</v>
      </c>
      <c r="E449" t="str">
        <f t="shared" si="18"/>
        <v>Jaden/13/2/3</v>
      </c>
      <c r="F449">
        <v>9</v>
      </c>
    </row>
    <row r="450" spans="1:6" x14ac:dyDescent="0.2">
      <c r="A450">
        <v>3</v>
      </c>
      <c r="B450" t="s">
        <v>491</v>
      </c>
      <c r="C450">
        <v>0</v>
      </c>
      <c r="D450">
        <v>9</v>
      </c>
      <c r="E450" t="str">
        <f t="shared" si="18"/>
        <v>Flabech/9/3/0</v>
      </c>
      <c r="F450">
        <v>9</v>
      </c>
    </row>
    <row r="451" spans="1:6" x14ac:dyDescent="0.2">
      <c r="A451">
        <v>4</v>
      </c>
      <c r="B451" t="s">
        <v>479</v>
      </c>
      <c r="C451">
        <v>0</v>
      </c>
      <c r="D451">
        <v>5</v>
      </c>
      <c r="E451" t="str">
        <f t="shared" si="18"/>
        <v>Salender/5/4/0</v>
      </c>
      <c r="F451">
        <v>9</v>
      </c>
    </row>
    <row r="452" spans="1:6" x14ac:dyDescent="0.2">
      <c r="A452">
        <v>5</v>
      </c>
      <c r="B452" t="s">
        <v>59</v>
      </c>
      <c r="C452">
        <v>0</v>
      </c>
      <c r="D452">
        <v>3</v>
      </c>
      <c r="E452" t="str">
        <f t="shared" si="18"/>
        <v>YooooDA/3/5/0</v>
      </c>
      <c r="F452">
        <v>9</v>
      </c>
    </row>
    <row r="453" spans="1:6" x14ac:dyDescent="0.2">
      <c r="A453">
        <v>6</v>
      </c>
      <c r="B453" t="s">
        <v>65</v>
      </c>
      <c r="C453">
        <v>0</v>
      </c>
      <c r="D453">
        <v>2</v>
      </c>
      <c r="E453" t="str">
        <f t="shared" si="18"/>
        <v>Ripolin/2/6/0</v>
      </c>
      <c r="F453">
        <v>9</v>
      </c>
    </row>
    <row r="454" spans="1:6" x14ac:dyDescent="0.2">
      <c r="A454">
        <v>7</v>
      </c>
      <c r="B454" t="s">
        <v>516</v>
      </c>
      <c r="C454">
        <v>0</v>
      </c>
      <c r="D454">
        <v>1</v>
      </c>
      <c r="E454" t="str">
        <f t="shared" si="18"/>
        <v>Tenko/1/7/0</v>
      </c>
      <c r="F454">
        <v>9</v>
      </c>
    </row>
    <row r="455" spans="1:6" x14ac:dyDescent="0.2">
      <c r="A455">
        <v>1</v>
      </c>
      <c r="B455" t="s">
        <v>74</v>
      </c>
      <c r="C455">
        <v>2</v>
      </c>
      <c r="D455">
        <v>16</v>
      </c>
      <c r="E455" t="str">
        <f t="shared" ref="E455:E477" si="19">B455&amp;"/"&amp;D455&amp;"/"&amp;A455&amp;"/"&amp;C455</f>
        <v>PatB/16/1/2</v>
      </c>
      <c r="F455">
        <v>9</v>
      </c>
    </row>
    <row r="456" spans="1:6" x14ac:dyDescent="0.2">
      <c r="A456">
        <v>2</v>
      </c>
      <c r="B456" t="s">
        <v>518</v>
      </c>
      <c r="C456">
        <v>0</v>
      </c>
      <c r="D456">
        <v>12</v>
      </c>
      <c r="E456" t="str">
        <f t="shared" si="19"/>
        <v>Soupaman/12/2/0</v>
      </c>
      <c r="F456">
        <v>9</v>
      </c>
    </row>
    <row r="457" spans="1:6" x14ac:dyDescent="0.2">
      <c r="A457">
        <v>3</v>
      </c>
      <c r="B457" t="s">
        <v>519</v>
      </c>
      <c r="C457">
        <v>2</v>
      </c>
      <c r="D457">
        <v>8</v>
      </c>
      <c r="E457" t="str">
        <f t="shared" si="19"/>
        <v>Xhar92/8/3/2</v>
      </c>
      <c r="F457">
        <v>9</v>
      </c>
    </row>
    <row r="458" spans="1:6" x14ac:dyDescent="0.2">
      <c r="A458">
        <v>4</v>
      </c>
      <c r="B458" t="s">
        <v>87</v>
      </c>
      <c r="C458">
        <v>1</v>
      </c>
      <c r="D458">
        <v>4</v>
      </c>
      <c r="E458" t="str">
        <f t="shared" si="19"/>
        <v>Proph@ne/4/4/1</v>
      </c>
      <c r="F458">
        <v>9</v>
      </c>
    </row>
    <row r="459" spans="1:6" x14ac:dyDescent="0.2">
      <c r="A459">
        <v>5</v>
      </c>
      <c r="B459" t="s">
        <v>530</v>
      </c>
      <c r="C459">
        <v>0</v>
      </c>
      <c r="D459">
        <v>2</v>
      </c>
      <c r="E459" t="str">
        <f t="shared" si="19"/>
        <v>Flopynou/2/5/0</v>
      </c>
      <c r="F459">
        <v>9</v>
      </c>
    </row>
    <row r="460" spans="1:6" x14ac:dyDescent="0.2">
      <c r="A460">
        <v>6</v>
      </c>
      <c r="B460" t="s">
        <v>475</v>
      </c>
      <c r="C460">
        <v>0</v>
      </c>
      <c r="D460">
        <v>1</v>
      </c>
      <c r="E460" t="str">
        <f t="shared" si="19"/>
        <v>La Bavure/1/6/0</v>
      </c>
      <c r="F460">
        <v>9</v>
      </c>
    </row>
    <row r="461" spans="1:6" x14ac:dyDescent="0.2">
      <c r="A461">
        <v>1</v>
      </c>
      <c r="B461" t="s">
        <v>532</v>
      </c>
      <c r="C461">
        <v>2</v>
      </c>
      <c r="D461">
        <v>16</v>
      </c>
      <c r="E461" t="str">
        <f t="shared" si="19"/>
        <v>Boosilletoo/16/1/2</v>
      </c>
      <c r="F461">
        <v>9</v>
      </c>
    </row>
    <row r="462" spans="1:6" x14ac:dyDescent="0.2">
      <c r="A462">
        <v>2</v>
      </c>
      <c r="B462" t="s">
        <v>501</v>
      </c>
      <c r="C462">
        <v>3</v>
      </c>
      <c r="D462">
        <v>12</v>
      </c>
      <c r="E462" t="str">
        <f t="shared" si="19"/>
        <v>Poisson Pilote/12/2/3</v>
      </c>
      <c r="F462">
        <v>9</v>
      </c>
    </row>
    <row r="463" spans="1:6" x14ac:dyDescent="0.2">
      <c r="A463">
        <v>3</v>
      </c>
      <c r="B463" t="s">
        <v>25</v>
      </c>
      <c r="C463">
        <v>0</v>
      </c>
      <c r="D463">
        <v>8</v>
      </c>
      <c r="E463" t="str">
        <f t="shared" si="19"/>
        <v>Claudius/8/3/0</v>
      </c>
      <c r="F463">
        <v>9</v>
      </c>
    </row>
    <row r="464" spans="1:6" x14ac:dyDescent="0.2">
      <c r="A464">
        <v>4</v>
      </c>
      <c r="B464" t="s">
        <v>53</v>
      </c>
      <c r="C464">
        <v>0</v>
      </c>
      <c r="D464">
        <v>4</v>
      </c>
      <c r="E464" t="str">
        <f t="shared" si="19"/>
        <v>Makoche/4/4/0</v>
      </c>
      <c r="F464">
        <v>9</v>
      </c>
    </row>
    <row r="465" spans="1:6" x14ac:dyDescent="0.2">
      <c r="A465">
        <v>5</v>
      </c>
      <c r="B465" t="s">
        <v>525</v>
      </c>
      <c r="C465">
        <v>0</v>
      </c>
      <c r="D465">
        <v>2</v>
      </c>
      <c r="E465" t="str">
        <f t="shared" si="19"/>
        <v>Freddie/2/5/0</v>
      </c>
      <c r="F465">
        <v>9</v>
      </c>
    </row>
    <row r="466" spans="1:6" x14ac:dyDescent="0.2">
      <c r="A466">
        <v>6</v>
      </c>
      <c r="B466" t="s">
        <v>545</v>
      </c>
      <c r="C466">
        <v>0</v>
      </c>
      <c r="D466">
        <v>1</v>
      </c>
      <c r="E466" t="str">
        <f t="shared" si="19"/>
        <v>Panot/1/6/0</v>
      </c>
      <c r="F466">
        <v>9</v>
      </c>
    </row>
    <row r="467" spans="1:6" x14ac:dyDescent="0.2">
      <c r="A467">
        <v>1</v>
      </c>
      <c r="B467" t="s">
        <v>29</v>
      </c>
      <c r="C467">
        <v>1</v>
      </c>
      <c r="D467">
        <v>16</v>
      </c>
      <c r="E467" t="str">
        <f t="shared" si="19"/>
        <v>NoDoubt/16/1/1</v>
      </c>
      <c r="F467">
        <v>9</v>
      </c>
    </row>
    <row r="468" spans="1:6" x14ac:dyDescent="0.2">
      <c r="A468">
        <v>2</v>
      </c>
      <c r="B468" t="s">
        <v>490</v>
      </c>
      <c r="C468">
        <v>3</v>
      </c>
      <c r="D468">
        <v>12</v>
      </c>
      <c r="E468" t="str">
        <f t="shared" si="19"/>
        <v>DernierPli/12/2/3</v>
      </c>
      <c r="F468">
        <v>9</v>
      </c>
    </row>
    <row r="469" spans="1:6" x14ac:dyDescent="0.2">
      <c r="A469">
        <v>3</v>
      </c>
      <c r="B469" t="s">
        <v>69</v>
      </c>
      <c r="C469">
        <v>1</v>
      </c>
      <c r="D469">
        <v>8</v>
      </c>
      <c r="E469" t="str">
        <f t="shared" si="19"/>
        <v>Catherine/8/3/1</v>
      </c>
      <c r="F469">
        <v>9</v>
      </c>
    </row>
    <row r="470" spans="1:6" x14ac:dyDescent="0.2">
      <c r="A470">
        <v>4</v>
      </c>
      <c r="B470" t="s">
        <v>508</v>
      </c>
      <c r="C470">
        <v>0</v>
      </c>
      <c r="D470">
        <v>4</v>
      </c>
      <c r="E470" t="str">
        <f t="shared" si="19"/>
        <v>Rmarc/4/4/0</v>
      </c>
      <c r="F470">
        <v>9</v>
      </c>
    </row>
    <row r="471" spans="1:6" x14ac:dyDescent="0.2">
      <c r="A471">
        <v>5</v>
      </c>
      <c r="B471" t="s">
        <v>75</v>
      </c>
      <c r="C471">
        <v>0</v>
      </c>
      <c r="D471">
        <v>2</v>
      </c>
      <c r="E471" t="str">
        <f t="shared" si="19"/>
        <v>Michelbey/2/5/0</v>
      </c>
      <c r="F471">
        <v>9</v>
      </c>
    </row>
    <row r="472" spans="1:6" x14ac:dyDescent="0.2">
      <c r="A472">
        <v>6</v>
      </c>
      <c r="B472" t="s">
        <v>21</v>
      </c>
      <c r="C472">
        <v>0</v>
      </c>
      <c r="D472">
        <v>1</v>
      </c>
      <c r="E472" t="str">
        <f t="shared" si="19"/>
        <v>Carmin/1/6/0</v>
      </c>
      <c r="F472">
        <v>9</v>
      </c>
    </row>
    <row r="473" spans="1:6" x14ac:dyDescent="0.2">
      <c r="A473">
        <v>1</v>
      </c>
      <c r="B473" t="s">
        <v>81</v>
      </c>
      <c r="C473">
        <v>5</v>
      </c>
      <c r="D473">
        <v>17</v>
      </c>
      <c r="E473" t="str">
        <f t="shared" si="19"/>
        <v>Empedocle/17/1/5</v>
      </c>
      <c r="F473">
        <v>9</v>
      </c>
    </row>
    <row r="474" spans="1:6" x14ac:dyDescent="0.2">
      <c r="A474">
        <v>2</v>
      </c>
      <c r="B474" t="s">
        <v>452</v>
      </c>
      <c r="C474">
        <v>0</v>
      </c>
      <c r="D474">
        <v>13</v>
      </c>
      <c r="E474" t="str">
        <f t="shared" si="19"/>
        <v>The Hengover/13/2/0</v>
      </c>
      <c r="F474">
        <v>9</v>
      </c>
    </row>
    <row r="475" spans="1:6" x14ac:dyDescent="0.2">
      <c r="A475">
        <v>3</v>
      </c>
      <c r="B475" t="s">
        <v>27</v>
      </c>
      <c r="C475">
        <v>0</v>
      </c>
      <c r="D475">
        <v>9</v>
      </c>
      <c r="E475" t="str">
        <f t="shared" si="19"/>
        <v>Mandrake/9/3/0</v>
      </c>
      <c r="F475">
        <v>9</v>
      </c>
    </row>
    <row r="476" spans="1:6" x14ac:dyDescent="0.2">
      <c r="A476">
        <v>4</v>
      </c>
      <c r="B476" t="s">
        <v>502</v>
      </c>
      <c r="C476">
        <v>0</v>
      </c>
      <c r="D476">
        <v>5</v>
      </c>
      <c r="E476" t="str">
        <f t="shared" si="19"/>
        <v>Sobab/5/4/0</v>
      </c>
      <c r="F476">
        <v>9</v>
      </c>
    </row>
    <row r="477" spans="1:6" x14ac:dyDescent="0.2">
      <c r="A477">
        <v>5</v>
      </c>
      <c r="B477" t="s">
        <v>73</v>
      </c>
      <c r="C477">
        <v>1</v>
      </c>
      <c r="D477">
        <v>3</v>
      </c>
      <c r="E477" t="str">
        <f t="shared" si="19"/>
        <v>Flem/3/5/1</v>
      </c>
      <c r="F477">
        <v>9</v>
      </c>
    </row>
    <row r="478" spans="1:6" x14ac:dyDescent="0.2">
      <c r="A478">
        <v>6</v>
      </c>
      <c r="B478" t="s">
        <v>505</v>
      </c>
      <c r="C478">
        <v>0</v>
      </c>
      <c r="D478">
        <v>2</v>
      </c>
      <c r="E478" t="str">
        <f t="shared" ref="E478:E504" si="20">B478&amp;"/"&amp;D478&amp;"/"&amp;A478&amp;"/"&amp;C478</f>
        <v>Mams/2/6/0</v>
      </c>
      <c r="F478">
        <v>9</v>
      </c>
    </row>
    <row r="479" spans="1:6" x14ac:dyDescent="0.2">
      <c r="A479">
        <v>7</v>
      </c>
      <c r="B479" t="s">
        <v>493</v>
      </c>
      <c r="C479">
        <v>0</v>
      </c>
      <c r="D479">
        <v>1</v>
      </c>
      <c r="E479" t="str">
        <f t="shared" si="20"/>
        <v>Rockatou/1/7/0</v>
      </c>
      <c r="F479">
        <v>9</v>
      </c>
    </row>
    <row r="480" spans="1:6" x14ac:dyDescent="0.2">
      <c r="A480">
        <v>1</v>
      </c>
      <c r="B480" t="s">
        <v>500</v>
      </c>
      <c r="C480">
        <v>5</v>
      </c>
      <c r="D480">
        <v>17</v>
      </c>
      <c r="E480" t="str">
        <f t="shared" si="20"/>
        <v>Kheops/17/1/5</v>
      </c>
      <c r="F480">
        <v>9</v>
      </c>
    </row>
    <row r="481" spans="1:6" x14ac:dyDescent="0.2">
      <c r="A481">
        <v>2</v>
      </c>
      <c r="B481" t="s">
        <v>534</v>
      </c>
      <c r="C481">
        <v>1</v>
      </c>
      <c r="D481">
        <v>13</v>
      </c>
      <c r="E481" t="str">
        <f t="shared" si="20"/>
        <v>JC/13/2/1</v>
      </c>
      <c r="F481">
        <v>9</v>
      </c>
    </row>
    <row r="482" spans="1:6" x14ac:dyDescent="0.2">
      <c r="A482">
        <v>3</v>
      </c>
      <c r="B482" t="s">
        <v>88</v>
      </c>
      <c r="C482">
        <v>0</v>
      </c>
      <c r="D482">
        <v>9</v>
      </c>
      <c r="E482" t="str">
        <f t="shared" si="20"/>
        <v>Yarael/9/3/0</v>
      </c>
      <c r="F482">
        <v>9</v>
      </c>
    </row>
    <row r="483" spans="1:6" x14ac:dyDescent="0.2">
      <c r="A483">
        <v>4</v>
      </c>
      <c r="B483" t="s">
        <v>55</v>
      </c>
      <c r="C483">
        <v>0</v>
      </c>
      <c r="D483">
        <v>5</v>
      </c>
      <c r="E483" t="str">
        <f t="shared" si="20"/>
        <v>Bounette/5/4/0</v>
      </c>
      <c r="F483">
        <v>9</v>
      </c>
    </row>
    <row r="484" spans="1:6" x14ac:dyDescent="0.2">
      <c r="A484">
        <v>5</v>
      </c>
      <c r="B484" t="s">
        <v>9</v>
      </c>
      <c r="C484">
        <v>0</v>
      </c>
      <c r="D484">
        <v>3</v>
      </c>
      <c r="E484" t="str">
        <f t="shared" si="20"/>
        <v>K1/3/5/0</v>
      </c>
      <c r="F484">
        <v>9</v>
      </c>
    </row>
    <row r="485" spans="1:6" x14ac:dyDescent="0.2">
      <c r="A485">
        <v>6</v>
      </c>
      <c r="B485" t="s">
        <v>506</v>
      </c>
      <c r="C485">
        <v>0</v>
      </c>
      <c r="D485">
        <v>2</v>
      </c>
      <c r="E485" t="str">
        <f t="shared" si="20"/>
        <v>Zubbaz/2/6/0</v>
      </c>
      <c r="F485">
        <v>9</v>
      </c>
    </row>
    <row r="486" spans="1:6" x14ac:dyDescent="0.2">
      <c r="A486">
        <v>7</v>
      </c>
      <c r="B486" t="s">
        <v>345</v>
      </c>
      <c r="C486">
        <v>0</v>
      </c>
      <c r="D486">
        <v>1</v>
      </c>
      <c r="E486" t="str">
        <f t="shared" si="20"/>
        <v>Thibaultp75/1/7/0</v>
      </c>
      <c r="F486">
        <v>9</v>
      </c>
    </row>
    <row r="487" spans="1:6" x14ac:dyDescent="0.2">
      <c r="A487">
        <v>1</v>
      </c>
      <c r="B487" t="s">
        <v>507</v>
      </c>
      <c r="C487">
        <v>3</v>
      </c>
      <c r="D487">
        <v>16</v>
      </c>
      <c r="E487" t="str">
        <f t="shared" si="20"/>
        <v>Losogre/16/1/3</v>
      </c>
      <c r="F487">
        <v>9</v>
      </c>
    </row>
    <row r="488" spans="1:6" x14ac:dyDescent="0.2">
      <c r="A488">
        <v>2</v>
      </c>
      <c r="B488" t="s">
        <v>531</v>
      </c>
      <c r="C488">
        <v>2</v>
      </c>
      <c r="D488">
        <v>12</v>
      </c>
      <c r="E488" t="str">
        <f t="shared" si="20"/>
        <v>Toinou/12/2/2</v>
      </c>
      <c r="F488">
        <v>9</v>
      </c>
    </row>
    <row r="489" spans="1:6" x14ac:dyDescent="0.2">
      <c r="A489">
        <v>3</v>
      </c>
      <c r="B489" t="s">
        <v>546</v>
      </c>
      <c r="C489">
        <v>0</v>
      </c>
      <c r="D489">
        <v>8</v>
      </c>
      <c r="E489" t="str">
        <f t="shared" si="20"/>
        <v>Claire/8/3/0</v>
      </c>
      <c r="F489">
        <v>9</v>
      </c>
    </row>
    <row r="490" spans="1:6" x14ac:dyDescent="0.2">
      <c r="A490">
        <v>4</v>
      </c>
      <c r="B490" t="s">
        <v>504</v>
      </c>
      <c r="C490">
        <v>0</v>
      </c>
      <c r="D490">
        <v>4</v>
      </c>
      <c r="E490" t="str">
        <f t="shared" si="20"/>
        <v>Zizou/4/4/0</v>
      </c>
      <c r="F490">
        <v>9</v>
      </c>
    </row>
    <row r="491" spans="1:6" x14ac:dyDescent="0.2">
      <c r="A491">
        <v>5</v>
      </c>
      <c r="B491" t="s">
        <v>6</v>
      </c>
      <c r="C491">
        <v>0</v>
      </c>
      <c r="D491">
        <v>2</v>
      </c>
      <c r="E491" t="str">
        <f t="shared" si="20"/>
        <v>Pyja/2/5/0</v>
      </c>
      <c r="F491">
        <v>9</v>
      </c>
    </row>
    <row r="492" spans="1:6" x14ac:dyDescent="0.2">
      <c r="A492">
        <v>6</v>
      </c>
      <c r="B492" t="s">
        <v>526</v>
      </c>
      <c r="C492">
        <v>0</v>
      </c>
      <c r="D492">
        <v>1</v>
      </c>
      <c r="E492" t="str">
        <f t="shared" si="20"/>
        <v>Yroz/1/6/0</v>
      </c>
      <c r="F492">
        <v>9</v>
      </c>
    </row>
    <row r="493" spans="1:6" x14ac:dyDescent="0.2">
      <c r="A493">
        <v>1</v>
      </c>
      <c r="B493" t="s">
        <v>48</v>
      </c>
      <c r="C493">
        <v>4</v>
      </c>
      <c r="D493">
        <v>16</v>
      </c>
      <c r="E493" t="str">
        <f t="shared" si="20"/>
        <v>Pintu/16/1/4</v>
      </c>
      <c r="F493">
        <v>9</v>
      </c>
    </row>
    <row r="494" spans="1:6" x14ac:dyDescent="0.2">
      <c r="A494">
        <v>2</v>
      </c>
      <c r="B494" t="s">
        <v>35</v>
      </c>
      <c r="C494">
        <v>1</v>
      </c>
      <c r="D494">
        <v>12</v>
      </c>
      <c r="E494" t="str">
        <f t="shared" si="20"/>
        <v>JeanMichelTiming/12/2/1</v>
      </c>
      <c r="F494">
        <v>9</v>
      </c>
    </row>
    <row r="495" spans="1:6" x14ac:dyDescent="0.2">
      <c r="A495">
        <v>3</v>
      </c>
      <c r="B495" t="s">
        <v>484</v>
      </c>
      <c r="C495">
        <v>0</v>
      </c>
      <c r="D495">
        <v>8</v>
      </c>
      <c r="E495" t="str">
        <f t="shared" si="20"/>
        <v>Guerno/8/3/0</v>
      </c>
      <c r="F495">
        <v>9</v>
      </c>
    </row>
    <row r="496" spans="1:6" x14ac:dyDescent="0.2">
      <c r="A496">
        <v>4</v>
      </c>
      <c r="B496" t="s">
        <v>461</v>
      </c>
      <c r="C496">
        <v>0</v>
      </c>
      <c r="D496">
        <v>4</v>
      </c>
      <c r="E496" t="str">
        <f t="shared" si="20"/>
        <v>Djecus/4/4/0</v>
      </c>
      <c r="F496">
        <v>9</v>
      </c>
    </row>
    <row r="497" spans="1:6" x14ac:dyDescent="0.2">
      <c r="A497">
        <v>5</v>
      </c>
      <c r="B497" t="s">
        <v>535</v>
      </c>
      <c r="C497">
        <v>0</v>
      </c>
      <c r="D497">
        <v>2</v>
      </c>
      <c r="E497" t="str">
        <f t="shared" si="20"/>
        <v>TheRealWill/2/5/0</v>
      </c>
      <c r="F497">
        <v>9</v>
      </c>
    </row>
    <row r="498" spans="1:6" x14ac:dyDescent="0.2">
      <c r="A498">
        <v>6</v>
      </c>
      <c r="B498" t="s">
        <v>66</v>
      </c>
      <c r="C498">
        <v>0</v>
      </c>
      <c r="D498">
        <v>1</v>
      </c>
      <c r="E498" t="str">
        <f t="shared" si="20"/>
        <v>Ad Vitam/1/6/0</v>
      </c>
      <c r="F498">
        <v>9</v>
      </c>
    </row>
    <row r="499" spans="1:6" x14ac:dyDescent="0.2">
      <c r="A499">
        <v>1</v>
      </c>
      <c r="B499" t="s">
        <v>14</v>
      </c>
      <c r="C499">
        <v>1</v>
      </c>
      <c r="D499">
        <v>16</v>
      </c>
      <c r="E499" t="str">
        <f t="shared" si="20"/>
        <v>Ramm/16/1/1</v>
      </c>
      <c r="F499">
        <v>9</v>
      </c>
    </row>
    <row r="500" spans="1:6" x14ac:dyDescent="0.2">
      <c r="A500">
        <v>2</v>
      </c>
      <c r="B500" t="s">
        <v>42</v>
      </c>
      <c r="C500">
        <v>1</v>
      </c>
      <c r="D500">
        <v>12</v>
      </c>
      <c r="E500" t="str">
        <f t="shared" si="20"/>
        <v>Claptou/12/2/1</v>
      </c>
      <c r="F500">
        <v>9</v>
      </c>
    </row>
    <row r="501" spans="1:6" x14ac:dyDescent="0.2">
      <c r="A501">
        <v>3</v>
      </c>
      <c r="B501" t="s">
        <v>485</v>
      </c>
      <c r="C501">
        <v>3</v>
      </c>
      <c r="D501">
        <v>8</v>
      </c>
      <c r="E501" t="str">
        <f t="shared" si="20"/>
        <v>Solucky/8/3/3</v>
      </c>
      <c r="F501">
        <v>9</v>
      </c>
    </row>
    <row r="502" spans="1:6" x14ac:dyDescent="0.2">
      <c r="A502">
        <v>4</v>
      </c>
      <c r="B502" t="s">
        <v>280</v>
      </c>
      <c r="C502">
        <v>0</v>
      </c>
      <c r="D502">
        <v>4</v>
      </c>
      <c r="E502" t="str">
        <f t="shared" si="20"/>
        <v>Delgres/4/4/0</v>
      </c>
      <c r="F502">
        <v>9</v>
      </c>
    </row>
    <row r="503" spans="1:6" x14ac:dyDescent="0.2">
      <c r="A503">
        <v>5</v>
      </c>
      <c r="B503" t="s">
        <v>503</v>
      </c>
      <c r="C503">
        <v>0</v>
      </c>
      <c r="D503">
        <v>2</v>
      </c>
      <c r="E503" t="str">
        <f t="shared" si="20"/>
        <v>Yaltar/2/5/0</v>
      </c>
      <c r="F503">
        <v>9</v>
      </c>
    </row>
    <row r="504" spans="1:6" x14ac:dyDescent="0.2">
      <c r="A504">
        <v>6</v>
      </c>
      <c r="B504" t="s">
        <v>512</v>
      </c>
      <c r="C504">
        <v>0</v>
      </c>
      <c r="D504">
        <v>1</v>
      </c>
      <c r="E504" t="str">
        <f t="shared" si="20"/>
        <v>Fishtro/1/6/0</v>
      </c>
      <c r="F504">
        <v>9</v>
      </c>
    </row>
    <row r="505" spans="1:6" x14ac:dyDescent="0.2">
      <c r="A505">
        <v>1</v>
      </c>
      <c r="B505" t="s">
        <v>452</v>
      </c>
      <c r="C505">
        <v>3</v>
      </c>
      <c r="D505">
        <v>16</v>
      </c>
      <c r="E505" t="str">
        <f t="shared" ref="E505:E528" si="21">B505&amp;"/"&amp;D505&amp;"/"&amp;A505&amp;"/"&amp;C505</f>
        <v>The Hengover/16/1/3</v>
      </c>
      <c r="F505">
        <v>10</v>
      </c>
    </row>
    <row r="506" spans="1:6" x14ac:dyDescent="0.2">
      <c r="A506">
        <v>2</v>
      </c>
      <c r="B506" t="s">
        <v>101</v>
      </c>
      <c r="C506">
        <v>1</v>
      </c>
      <c r="D506">
        <v>12</v>
      </c>
      <c r="E506" t="str">
        <f t="shared" si="21"/>
        <v>ChrisFrankfurt/12/2/1</v>
      </c>
      <c r="F506">
        <v>10</v>
      </c>
    </row>
    <row r="507" spans="1:6" x14ac:dyDescent="0.2">
      <c r="A507">
        <v>3</v>
      </c>
      <c r="B507" t="s">
        <v>518</v>
      </c>
      <c r="C507">
        <v>1</v>
      </c>
      <c r="D507">
        <v>8</v>
      </c>
      <c r="E507" t="str">
        <f t="shared" si="21"/>
        <v>Soupaman/8/3/1</v>
      </c>
      <c r="F507">
        <v>10</v>
      </c>
    </row>
    <row r="508" spans="1:6" x14ac:dyDescent="0.2">
      <c r="A508">
        <v>4</v>
      </c>
      <c r="B508" t="s">
        <v>505</v>
      </c>
      <c r="C508">
        <v>0</v>
      </c>
      <c r="D508">
        <v>4</v>
      </c>
      <c r="E508" t="str">
        <f t="shared" si="21"/>
        <v>Mams/4/4/0</v>
      </c>
      <c r="F508">
        <v>10</v>
      </c>
    </row>
    <row r="509" spans="1:6" x14ac:dyDescent="0.2">
      <c r="A509">
        <v>5</v>
      </c>
      <c r="B509" t="s">
        <v>479</v>
      </c>
      <c r="C509">
        <v>0</v>
      </c>
      <c r="D509">
        <v>2</v>
      </c>
      <c r="E509" t="str">
        <f t="shared" si="21"/>
        <v>Salender/2/5/0</v>
      </c>
      <c r="F509">
        <v>10</v>
      </c>
    </row>
    <row r="510" spans="1:6" x14ac:dyDescent="0.2">
      <c r="A510">
        <v>6</v>
      </c>
      <c r="B510" t="s">
        <v>532</v>
      </c>
      <c r="C510">
        <v>0</v>
      </c>
      <c r="D510">
        <v>1</v>
      </c>
      <c r="E510" t="str">
        <f t="shared" si="21"/>
        <v>Boosilletoo/1/6/0</v>
      </c>
      <c r="F510">
        <v>10</v>
      </c>
    </row>
    <row r="511" spans="1:6" x14ac:dyDescent="0.2">
      <c r="A511">
        <v>1</v>
      </c>
      <c r="B511" t="s">
        <v>485</v>
      </c>
      <c r="C511">
        <v>4</v>
      </c>
      <c r="D511">
        <v>16</v>
      </c>
      <c r="E511" t="str">
        <f t="shared" si="21"/>
        <v>Solucky/16/1/4</v>
      </c>
      <c r="F511">
        <v>10</v>
      </c>
    </row>
    <row r="512" spans="1:6" x14ac:dyDescent="0.2">
      <c r="A512">
        <v>2</v>
      </c>
      <c r="B512" t="s">
        <v>534</v>
      </c>
      <c r="C512">
        <v>0</v>
      </c>
      <c r="D512">
        <v>12</v>
      </c>
      <c r="E512" t="str">
        <f t="shared" si="21"/>
        <v>JC/12/2/0</v>
      </c>
      <c r="F512">
        <v>10</v>
      </c>
    </row>
    <row r="513" spans="1:6" x14ac:dyDescent="0.2">
      <c r="A513">
        <v>3</v>
      </c>
      <c r="B513" t="s">
        <v>21</v>
      </c>
      <c r="C513">
        <v>1</v>
      </c>
      <c r="D513">
        <v>8</v>
      </c>
      <c r="E513" t="str">
        <f t="shared" si="21"/>
        <v>Carmin/8/3/1</v>
      </c>
      <c r="F513">
        <v>10</v>
      </c>
    </row>
    <row r="514" spans="1:6" x14ac:dyDescent="0.2">
      <c r="A514">
        <v>4</v>
      </c>
      <c r="B514" t="s">
        <v>42</v>
      </c>
      <c r="C514">
        <v>0</v>
      </c>
      <c r="D514">
        <v>4</v>
      </c>
      <c r="E514" t="str">
        <f t="shared" si="21"/>
        <v>Claptou/4/4/0</v>
      </c>
      <c r="F514">
        <v>10</v>
      </c>
    </row>
    <row r="515" spans="1:6" x14ac:dyDescent="0.2">
      <c r="A515">
        <v>5</v>
      </c>
      <c r="B515" t="s">
        <v>454</v>
      </c>
      <c r="C515">
        <v>0</v>
      </c>
      <c r="D515">
        <v>2</v>
      </c>
      <c r="E515" t="str">
        <f t="shared" si="21"/>
        <v>Gibbonfury/2/5/0</v>
      </c>
      <c r="F515">
        <v>10</v>
      </c>
    </row>
    <row r="516" spans="1:6" x14ac:dyDescent="0.2">
      <c r="A516">
        <v>6</v>
      </c>
      <c r="B516" t="s">
        <v>526</v>
      </c>
      <c r="C516">
        <v>0</v>
      </c>
      <c r="D516">
        <v>1</v>
      </c>
      <c r="E516" t="str">
        <f t="shared" si="21"/>
        <v>Yroz/1/6/0</v>
      </c>
      <c r="F516">
        <v>10</v>
      </c>
    </row>
    <row r="517" spans="1:6" x14ac:dyDescent="0.2">
      <c r="A517">
        <v>1</v>
      </c>
      <c r="B517" t="s">
        <v>46</v>
      </c>
      <c r="C517">
        <v>3</v>
      </c>
      <c r="D517">
        <v>16</v>
      </c>
      <c r="E517" t="str">
        <f t="shared" si="21"/>
        <v>Jérôme/16/1/3</v>
      </c>
      <c r="F517">
        <v>10</v>
      </c>
    </row>
    <row r="518" spans="1:6" x14ac:dyDescent="0.2">
      <c r="A518">
        <v>2</v>
      </c>
      <c r="B518" t="s">
        <v>9</v>
      </c>
      <c r="C518">
        <v>1</v>
      </c>
      <c r="D518">
        <v>12</v>
      </c>
      <c r="E518" t="str">
        <f t="shared" si="21"/>
        <v>K1/12/2/1</v>
      </c>
      <c r="F518">
        <v>10</v>
      </c>
    </row>
    <row r="519" spans="1:6" x14ac:dyDescent="0.2">
      <c r="A519">
        <v>3</v>
      </c>
      <c r="B519" t="s">
        <v>280</v>
      </c>
      <c r="C519">
        <v>1</v>
      </c>
      <c r="D519">
        <v>8</v>
      </c>
      <c r="E519" t="str">
        <f t="shared" si="21"/>
        <v>Delgres/8/3/1</v>
      </c>
      <c r="F519">
        <v>10</v>
      </c>
    </row>
    <row r="520" spans="1:6" x14ac:dyDescent="0.2">
      <c r="A520">
        <v>4</v>
      </c>
      <c r="B520" t="s">
        <v>508</v>
      </c>
      <c r="C520">
        <v>0</v>
      </c>
      <c r="D520">
        <v>4</v>
      </c>
      <c r="E520" t="str">
        <f t="shared" si="21"/>
        <v>Rmarc/4/4/0</v>
      </c>
      <c r="F520">
        <v>10</v>
      </c>
    </row>
    <row r="521" spans="1:6" x14ac:dyDescent="0.2">
      <c r="A521">
        <v>5</v>
      </c>
      <c r="B521" t="s">
        <v>516</v>
      </c>
      <c r="C521">
        <v>0</v>
      </c>
      <c r="D521">
        <v>2</v>
      </c>
      <c r="E521" t="str">
        <f t="shared" si="21"/>
        <v>Tenko/2/5/0</v>
      </c>
      <c r="F521">
        <v>10</v>
      </c>
    </row>
    <row r="522" spans="1:6" x14ac:dyDescent="0.2">
      <c r="A522">
        <v>6</v>
      </c>
      <c r="B522" t="s">
        <v>345</v>
      </c>
      <c r="C522">
        <v>0</v>
      </c>
      <c r="D522">
        <v>1</v>
      </c>
      <c r="E522" t="str">
        <f t="shared" si="21"/>
        <v>Thibaultp75/1/6/0</v>
      </c>
      <c r="F522">
        <v>10</v>
      </c>
    </row>
    <row r="523" spans="1:6" x14ac:dyDescent="0.2">
      <c r="A523">
        <v>1</v>
      </c>
      <c r="B523" t="s">
        <v>500</v>
      </c>
      <c r="C523">
        <v>3</v>
      </c>
      <c r="D523">
        <v>16</v>
      </c>
      <c r="E523" t="str">
        <f t="shared" si="21"/>
        <v>Kheops/16/1/3</v>
      </c>
      <c r="F523">
        <v>10</v>
      </c>
    </row>
    <row r="524" spans="1:6" x14ac:dyDescent="0.2">
      <c r="A524">
        <v>2</v>
      </c>
      <c r="B524" t="s">
        <v>25</v>
      </c>
      <c r="C524">
        <v>2</v>
      </c>
      <c r="D524">
        <v>12</v>
      </c>
      <c r="E524" t="str">
        <f t="shared" si="21"/>
        <v>Claudius/12/2/2</v>
      </c>
      <c r="F524">
        <v>10</v>
      </c>
    </row>
    <row r="525" spans="1:6" x14ac:dyDescent="0.2">
      <c r="A525">
        <v>3</v>
      </c>
      <c r="B525" t="s">
        <v>69</v>
      </c>
      <c r="C525">
        <v>0</v>
      </c>
      <c r="D525">
        <v>8</v>
      </c>
      <c r="E525" t="str">
        <f t="shared" si="21"/>
        <v>Catherine/8/3/0</v>
      </c>
      <c r="F525">
        <v>10</v>
      </c>
    </row>
    <row r="526" spans="1:6" x14ac:dyDescent="0.2">
      <c r="A526">
        <v>4</v>
      </c>
      <c r="B526" t="s">
        <v>61</v>
      </c>
      <c r="C526">
        <v>0</v>
      </c>
      <c r="D526">
        <v>4</v>
      </c>
      <c r="E526" t="str">
        <f t="shared" si="21"/>
        <v>Kri-lin/4/4/0</v>
      </c>
      <c r="F526">
        <v>10</v>
      </c>
    </row>
    <row r="527" spans="1:6" x14ac:dyDescent="0.2">
      <c r="A527">
        <v>5</v>
      </c>
      <c r="B527" t="s">
        <v>512</v>
      </c>
      <c r="C527">
        <v>0</v>
      </c>
      <c r="D527">
        <v>2</v>
      </c>
      <c r="E527" t="str">
        <f t="shared" si="21"/>
        <v>Fishtro/2/5/0</v>
      </c>
      <c r="F527">
        <v>10</v>
      </c>
    </row>
    <row r="528" spans="1:6" x14ac:dyDescent="0.2">
      <c r="A528">
        <v>6</v>
      </c>
      <c r="B528" t="s">
        <v>525</v>
      </c>
      <c r="C528">
        <v>0</v>
      </c>
      <c r="D528">
        <v>1</v>
      </c>
      <c r="E528" t="str">
        <f t="shared" si="21"/>
        <v>Freddie/1/6/0</v>
      </c>
      <c r="F528">
        <v>10</v>
      </c>
    </row>
    <row r="529" spans="1:6" x14ac:dyDescent="0.2">
      <c r="A529">
        <v>1</v>
      </c>
      <c r="B529" t="s">
        <v>535</v>
      </c>
      <c r="C529">
        <v>3</v>
      </c>
      <c r="D529">
        <v>15</v>
      </c>
      <c r="E529" t="str">
        <f t="shared" ref="E529:E549" si="22">B529&amp;"/"&amp;D529&amp;"/"&amp;A529&amp;"/"&amp;C529</f>
        <v>TheRealWill/15/1/3</v>
      </c>
      <c r="F529">
        <v>10</v>
      </c>
    </row>
    <row r="530" spans="1:6" x14ac:dyDescent="0.2">
      <c r="A530">
        <v>2</v>
      </c>
      <c r="B530" t="s">
        <v>491</v>
      </c>
      <c r="C530">
        <v>1</v>
      </c>
      <c r="D530">
        <v>11</v>
      </c>
      <c r="E530" t="str">
        <f t="shared" si="22"/>
        <v>Flabech/11/2/1</v>
      </c>
      <c r="F530">
        <v>10</v>
      </c>
    </row>
    <row r="531" spans="1:6" x14ac:dyDescent="0.2">
      <c r="A531">
        <v>3</v>
      </c>
      <c r="B531" t="s">
        <v>73</v>
      </c>
      <c r="C531">
        <v>0</v>
      </c>
      <c r="D531">
        <v>7</v>
      </c>
      <c r="E531" t="str">
        <f t="shared" si="22"/>
        <v>Flem/7/3/0</v>
      </c>
      <c r="F531">
        <v>10</v>
      </c>
    </row>
    <row r="532" spans="1:6" x14ac:dyDescent="0.2">
      <c r="A532">
        <v>4</v>
      </c>
      <c r="B532" t="s">
        <v>27</v>
      </c>
      <c r="C532">
        <v>0</v>
      </c>
      <c r="D532">
        <v>3</v>
      </c>
      <c r="E532" t="str">
        <f t="shared" si="22"/>
        <v>Mandrake/3/4/0</v>
      </c>
      <c r="F532">
        <v>10</v>
      </c>
    </row>
    <row r="533" spans="1:6" x14ac:dyDescent="0.2">
      <c r="A533">
        <v>5</v>
      </c>
      <c r="B533" t="s">
        <v>475</v>
      </c>
      <c r="C533">
        <v>0</v>
      </c>
      <c r="D533">
        <v>1</v>
      </c>
      <c r="E533" t="str">
        <f t="shared" si="22"/>
        <v>La Bavure/1/5/0</v>
      </c>
      <c r="F533">
        <v>10</v>
      </c>
    </row>
    <row r="534" spans="1:6" x14ac:dyDescent="0.2">
      <c r="A534">
        <v>1</v>
      </c>
      <c r="B534" t="s">
        <v>504</v>
      </c>
      <c r="C534">
        <v>4</v>
      </c>
      <c r="D534">
        <v>16</v>
      </c>
      <c r="E534" t="str">
        <f t="shared" si="22"/>
        <v>Zizou/16/1/4</v>
      </c>
      <c r="F534">
        <v>10</v>
      </c>
    </row>
    <row r="535" spans="1:6" x14ac:dyDescent="0.2">
      <c r="A535">
        <v>2</v>
      </c>
      <c r="B535" t="s">
        <v>81</v>
      </c>
      <c r="C535">
        <v>0</v>
      </c>
      <c r="D535">
        <v>12</v>
      </c>
      <c r="E535" t="str">
        <f t="shared" si="22"/>
        <v>Empedocle/12/2/0</v>
      </c>
      <c r="F535">
        <v>10</v>
      </c>
    </row>
    <row r="536" spans="1:6" x14ac:dyDescent="0.2">
      <c r="A536">
        <v>3</v>
      </c>
      <c r="B536" t="s">
        <v>533</v>
      </c>
      <c r="C536">
        <v>0</v>
      </c>
      <c r="D536">
        <v>8</v>
      </c>
      <c r="E536" t="str">
        <f t="shared" si="22"/>
        <v>Ouais ouais/8/3/0</v>
      </c>
      <c r="F536">
        <v>10</v>
      </c>
    </row>
    <row r="537" spans="1:6" x14ac:dyDescent="0.2">
      <c r="A537">
        <v>4</v>
      </c>
      <c r="B537" t="s">
        <v>501</v>
      </c>
      <c r="C537">
        <v>1</v>
      </c>
      <c r="D537">
        <v>4</v>
      </c>
      <c r="E537" t="str">
        <f t="shared" si="22"/>
        <v>Poisson Pilote/4/4/1</v>
      </c>
      <c r="F537">
        <v>10</v>
      </c>
    </row>
    <row r="538" spans="1:6" x14ac:dyDescent="0.2">
      <c r="A538">
        <v>5</v>
      </c>
      <c r="B538" t="s">
        <v>493</v>
      </c>
      <c r="C538">
        <v>0</v>
      </c>
      <c r="D538">
        <v>2</v>
      </c>
      <c r="E538" t="str">
        <f t="shared" si="22"/>
        <v>Rockatou/2/5/0</v>
      </c>
      <c r="F538">
        <v>10</v>
      </c>
    </row>
    <row r="539" spans="1:6" x14ac:dyDescent="0.2">
      <c r="A539">
        <v>6</v>
      </c>
      <c r="B539" t="s">
        <v>75</v>
      </c>
      <c r="C539">
        <v>0</v>
      </c>
      <c r="D539">
        <v>1</v>
      </c>
      <c r="E539" t="str">
        <f t="shared" si="22"/>
        <v>Michelbey/1/6/0</v>
      </c>
      <c r="F539">
        <v>10</v>
      </c>
    </row>
    <row r="540" spans="1:6" x14ac:dyDescent="0.2">
      <c r="A540">
        <v>1</v>
      </c>
      <c r="B540" t="s">
        <v>502</v>
      </c>
      <c r="C540">
        <v>3</v>
      </c>
      <c r="D540">
        <v>15</v>
      </c>
      <c r="E540" t="str">
        <f t="shared" si="22"/>
        <v>Sobab/15/1/3</v>
      </c>
      <c r="F540">
        <v>10</v>
      </c>
    </row>
    <row r="541" spans="1:6" x14ac:dyDescent="0.2">
      <c r="A541">
        <v>2</v>
      </c>
      <c r="B541" t="s">
        <v>74</v>
      </c>
      <c r="C541">
        <v>0</v>
      </c>
      <c r="D541">
        <v>11</v>
      </c>
      <c r="E541" t="str">
        <f t="shared" si="22"/>
        <v>PatB/11/2/0</v>
      </c>
      <c r="F541">
        <v>10</v>
      </c>
    </row>
    <row r="542" spans="1:6" x14ac:dyDescent="0.2">
      <c r="A542">
        <v>3</v>
      </c>
      <c r="B542" t="s">
        <v>66</v>
      </c>
      <c r="C542">
        <v>1</v>
      </c>
      <c r="D542">
        <v>7</v>
      </c>
      <c r="E542" t="str">
        <f t="shared" si="22"/>
        <v>Ad Vitam/7/3/1</v>
      </c>
      <c r="F542">
        <v>10</v>
      </c>
    </row>
    <row r="543" spans="1:6" x14ac:dyDescent="0.2">
      <c r="A543">
        <v>4</v>
      </c>
      <c r="B543" t="s">
        <v>530</v>
      </c>
      <c r="C543">
        <v>0</v>
      </c>
      <c r="D543">
        <v>3</v>
      </c>
      <c r="E543" t="str">
        <f t="shared" si="22"/>
        <v>Flopynou/3/4/0</v>
      </c>
      <c r="F543">
        <v>10</v>
      </c>
    </row>
    <row r="544" spans="1:6" x14ac:dyDescent="0.2">
      <c r="A544">
        <v>5</v>
      </c>
      <c r="B544" t="s">
        <v>76</v>
      </c>
      <c r="C544">
        <v>0</v>
      </c>
      <c r="D544">
        <v>1</v>
      </c>
      <c r="E544" t="str">
        <f t="shared" si="22"/>
        <v>Comment2/1/5/0</v>
      </c>
      <c r="F544">
        <v>10</v>
      </c>
    </row>
    <row r="545" spans="1:6" x14ac:dyDescent="0.2">
      <c r="A545">
        <v>1</v>
      </c>
      <c r="B545" t="s">
        <v>509</v>
      </c>
      <c r="C545">
        <v>4</v>
      </c>
      <c r="D545">
        <v>15</v>
      </c>
      <c r="E545" t="str">
        <f t="shared" si="22"/>
        <v>Gibouille/15/1/4</v>
      </c>
      <c r="F545">
        <v>10</v>
      </c>
    </row>
    <row r="546" spans="1:6" x14ac:dyDescent="0.2">
      <c r="A546">
        <v>2</v>
      </c>
      <c r="B546" t="s">
        <v>6</v>
      </c>
      <c r="C546">
        <v>0</v>
      </c>
      <c r="D546">
        <v>11</v>
      </c>
      <c r="E546" t="str">
        <f t="shared" si="22"/>
        <v>Pyja/11/2/0</v>
      </c>
      <c r="F546">
        <v>10</v>
      </c>
    </row>
    <row r="547" spans="1:6" x14ac:dyDescent="0.2">
      <c r="A547">
        <v>3</v>
      </c>
      <c r="B547" t="s">
        <v>461</v>
      </c>
      <c r="C547">
        <v>0</v>
      </c>
      <c r="D547">
        <v>7</v>
      </c>
      <c r="E547" t="str">
        <f t="shared" si="22"/>
        <v>Djecus/7/3/0</v>
      </c>
      <c r="F547">
        <v>10</v>
      </c>
    </row>
    <row r="548" spans="1:6" x14ac:dyDescent="0.2">
      <c r="A548">
        <v>4</v>
      </c>
      <c r="B548" t="s">
        <v>490</v>
      </c>
      <c r="C548">
        <v>0</v>
      </c>
      <c r="D548">
        <v>3</v>
      </c>
      <c r="E548" t="str">
        <f t="shared" si="22"/>
        <v>DernierPli/3/4/0</v>
      </c>
      <c r="F548">
        <v>10</v>
      </c>
    </row>
    <row r="549" spans="1:6" x14ac:dyDescent="0.2">
      <c r="A549">
        <v>5</v>
      </c>
      <c r="B549" t="s">
        <v>519</v>
      </c>
      <c r="C549">
        <v>0</v>
      </c>
      <c r="D549">
        <v>1</v>
      </c>
      <c r="E549" t="str">
        <f t="shared" si="22"/>
        <v>Xhar92/1/5/0</v>
      </c>
      <c r="F549">
        <v>10</v>
      </c>
    </row>
    <row r="550" spans="1:6" x14ac:dyDescent="0.2">
      <c r="A550">
        <v>1</v>
      </c>
      <c r="B550" t="s">
        <v>55</v>
      </c>
      <c r="C550">
        <v>2</v>
      </c>
      <c r="D550">
        <v>16</v>
      </c>
      <c r="E550" t="str">
        <f t="shared" ref="E550:E572" si="23">B550&amp;"/"&amp;D550&amp;"/"&amp;A550&amp;"/"&amp;C550</f>
        <v>Bounette/16/1/2</v>
      </c>
      <c r="F550">
        <v>10</v>
      </c>
    </row>
    <row r="551" spans="1:6" x14ac:dyDescent="0.2">
      <c r="A551">
        <v>2</v>
      </c>
      <c r="B551" t="s">
        <v>451</v>
      </c>
      <c r="C551">
        <v>2</v>
      </c>
      <c r="D551">
        <v>12</v>
      </c>
      <c r="E551" t="str">
        <f t="shared" si="23"/>
        <v>Jacaille/12/2/2</v>
      </c>
      <c r="F551">
        <v>10</v>
      </c>
    </row>
    <row r="552" spans="1:6" x14ac:dyDescent="0.2">
      <c r="A552">
        <v>3</v>
      </c>
      <c r="B552" t="s">
        <v>476</v>
      </c>
      <c r="C552">
        <v>0</v>
      </c>
      <c r="D552">
        <v>8</v>
      </c>
      <c r="E552" t="str">
        <f t="shared" si="23"/>
        <v>MegaSouche/8/3/0</v>
      </c>
      <c r="F552">
        <v>10</v>
      </c>
    </row>
    <row r="553" spans="1:6" x14ac:dyDescent="0.2">
      <c r="A553">
        <v>4</v>
      </c>
      <c r="B553" t="s">
        <v>88</v>
      </c>
      <c r="C553">
        <v>1</v>
      </c>
      <c r="D553">
        <v>4</v>
      </c>
      <c r="E553" t="str">
        <f t="shared" si="23"/>
        <v>Yarael/4/4/1</v>
      </c>
      <c r="F553">
        <v>10</v>
      </c>
    </row>
    <row r="554" spans="1:6" x14ac:dyDescent="0.2">
      <c r="A554">
        <v>5</v>
      </c>
      <c r="B554" t="s">
        <v>507</v>
      </c>
      <c r="C554">
        <v>0</v>
      </c>
      <c r="D554">
        <v>2</v>
      </c>
      <c r="E554" t="str">
        <f t="shared" si="23"/>
        <v>Losogre/2/5/0</v>
      </c>
      <c r="F554">
        <v>10</v>
      </c>
    </row>
    <row r="555" spans="1:6" x14ac:dyDescent="0.2">
      <c r="A555">
        <v>6</v>
      </c>
      <c r="B555" t="s">
        <v>35</v>
      </c>
      <c r="C555">
        <v>0</v>
      </c>
      <c r="D555">
        <v>1</v>
      </c>
      <c r="E555" t="str">
        <f t="shared" si="23"/>
        <v>JeanMichelTiming/1/6/0</v>
      </c>
      <c r="F555">
        <v>10</v>
      </c>
    </row>
    <row r="556" spans="1:6" x14ac:dyDescent="0.2">
      <c r="A556">
        <v>1</v>
      </c>
      <c r="B556" t="s">
        <v>25</v>
      </c>
      <c r="C556">
        <v>1</v>
      </c>
      <c r="D556">
        <v>16</v>
      </c>
      <c r="E556" t="str">
        <f t="shared" si="23"/>
        <v>Claudius/16/1/1</v>
      </c>
      <c r="F556">
        <v>11</v>
      </c>
    </row>
    <row r="557" spans="1:6" x14ac:dyDescent="0.2">
      <c r="A557">
        <v>2</v>
      </c>
      <c r="B557" t="s">
        <v>61</v>
      </c>
      <c r="C557">
        <v>3</v>
      </c>
      <c r="D557">
        <v>12</v>
      </c>
      <c r="E557" t="str">
        <f t="shared" si="23"/>
        <v>Kri-lin/12/2/3</v>
      </c>
      <c r="F557">
        <v>11</v>
      </c>
    </row>
    <row r="558" spans="1:6" x14ac:dyDescent="0.2">
      <c r="A558">
        <v>3</v>
      </c>
      <c r="B558" t="s">
        <v>490</v>
      </c>
      <c r="C558">
        <v>0</v>
      </c>
      <c r="D558">
        <v>8</v>
      </c>
      <c r="E558" t="str">
        <f t="shared" si="23"/>
        <v>DernierPli/8/3/0</v>
      </c>
      <c r="F558">
        <v>11</v>
      </c>
    </row>
    <row r="559" spans="1:6" x14ac:dyDescent="0.2">
      <c r="A559">
        <v>4</v>
      </c>
      <c r="B559" t="s">
        <v>500</v>
      </c>
      <c r="C559">
        <v>1</v>
      </c>
      <c r="D559">
        <v>4</v>
      </c>
      <c r="E559" t="str">
        <f t="shared" si="23"/>
        <v>Kheops/4/4/1</v>
      </c>
      <c r="F559">
        <v>11</v>
      </c>
    </row>
    <row r="560" spans="1:6" x14ac:dyDescent="0.2">
      <c r="A560">
        <v>5</v>
      </c>
      <c r="B560" t="s">
        <v>452</v>
      </c>
      <c r="C560">
        <v>0</v>
      </c>
      <c r="D560">
        <v>2</v>
      </c>
      <c r="E560" t="str">
        <f t="shared" si="23"/>
        <v>The Hengover/2/5/0</v>
      </c>
      <c r="F560">
        <v>11</v>
      </c>
    </row>
    <row r="561" spans="1:6" x14ac:dyDescent="0.2">
      <c r="A561">
        <v>6</v>
      </c>
      <c r="B561" t="s">
        <v>345</v>
      </c>
      <c r="C561">
        <v>0</v>
      </c>
      <c r="D561">
        <v>1</v>
      </c>
      <c r="E561" t="str">
        <f t="shared" si="23"/>
        <v>Thibaultp75/1/6/0</v>
      </c>
      <c r="F561">
        <v>11</v>
      </c>
    </row>
    <row r="562" spans="1:6" x14ac:dyDescent="0.2">
      <c r="A562">
        <v>1</v>
      </c>
      <c r="B562" t="s">
        <v>476</v>
      </c>
      <c r="C562">
        <v>3</v>
      </c>
      <c r="D562">
        <v>16</v>
      </c>
      <c r="E562" t="str">
        <f t="shared" si="23"/>
        <v>MegaSouche/16/1/3</v>
      </c>
      <c r="F562">
        <v>11</v>
      </c>
    </row>
    <row r="563" spans="1:6" x14ac:dyDescent="0.2">
      <c r="A563">
        <v>2</v>
      </c>
      <c r="B563" t="s">
        <v>535</v>
      </c>
      <c r="C563">
        <v>1</v>
      </c>
      <c r="D563">
        <v>12</v>
      </c>
      <c r="E563" t="str">
        <f t="shared" si="23"/>
        <v>TheRealWill/12/2/1</v>
      </c>
      <c r="F563">
        <v>11</v>
      </c>
    </row>
    <row r="564" spans="1:6" x14ac:dyDescent="0.2">
      <c r="A564">
        <v>3</v>
      </c>
      <c r="B564" t="s">
        <v>547</v>
      </c>
      <c r="C564">
        <v>1</v>
      </c>
      <c r="D564">
        <v>8</v>
      </c>
      <c r="E564" t="str">
        <f t="shared" si="23"/>
        <v>AllinDeuces/8/3/1</v>
      </c>
      <c r="F564">
        <v>11</v>
      </c>
    </row>
    <row r="565" spans="1:6" x14ac:dyDescent="0.2">
      <c r="A565">
        <v>4</v>
      </c>
      <c r="B565" t="s">
        <v>454</v>
      </c>
      <c r="C565">
        <v>0</v>
      </c>
      <c r="D565">
        <v>4</v>
      </c>
      <c r="E565" t="str">
        <f t="shared" si="23"/>
        <v>Gibbonfury/4/4/0</v>
      </c>
      <c r="F565">
        <v>11</v>
      </c>
    </row>
    <row r="566" spans="1:6" x14ac:dyDescent="0.2">
      <c r="A566">
        <v>5</v>
      </c>
      <c r="B566" t="s">
        <v>55</v>
      </c>
      <c r="C566">
        <v>0</v>
      </c>
      <c r="D566">
        <v>2</v>
      </c>
      <c r="E566" t="str">
        <f t="shared" si="23"/>
        <v>Bounette/2/5/0</v>
      </c>
      <c r="F566">
        <v>11</v>
      </c>
    </row>
    <row r="567" spans="1:6" x14ac:dyDescent="0.2">
      <c r="A567">
        <v>6</v>
      </c>
      <c r="B567" t="s">
        <v>73</v>
      </c>
      <c r="C567">
        <v>0</v>
      </c>
      <c r="D567">
        <v>1</v>
      </c>
      <c r="E567" t="str">
        <f t="shared" si="23"/>
        <v>Flem/1/6/0</v>
      </c>
      <c r="F567">
        <v>11</v>
      </c>
    </row>
    <row r="568" spans="1:6" x14ac:dyDescent="0.2">
      <c r="A568">
        <v>1</v>
      </c>
      <c r="B568" t="s">
        <v>534</v>
      </c>
      <c r="C568">
        <v>3</v>
      </c>
      <c r="D568">
        <v>15</v>
      </c>
      <c r="E568" t="str">
        <f t="shared" si="23"/>
        <v>JC/15/1/3</v>
      </c>
      <c r="F568">
        <v>11</v>
      </c>
    </row>
    <row r="569" spans="1:6" x14ac:dyDescent="0.2">
      <c r="A569">
        <v>2</v>
      </c>
      <c r="B569" t="s">
        <v>501</v>
      </c>
      <c r="C569">
        <v>1</v>
      </c>
      <c r="D569">
        <v>11</v>
      </c>
      <c r="E569" t="str">
        <f t="shared" si="23"/>
        <v>Poisson Pilote/11/2/1</v>
      </c>
      <c r="F569">
        <v>11</v>
      </c>
    </row>
    <row r="570" spans="1:6" x14ac:dyDescent="0.2">
      <c r="A570">
        <v>3</v>
      </c>
      <c r="B570" t="s">
        <v>66</v>
      </c>
      <c r="C570">
        <v>0</v>
      </c>
      <c r="D570">
        <v>7</v>
      </c>
      <c r="E570" t="str">
        <f t="shared" si="23"/>
        <v>Ad Vitam/7/3/0</v>
      </c>
      <c r="F570">
        <v>11</v>
      </c>
    </row>
    <row r="571" spans="1:6" x14ac:dyDescent="0.2">
      <c r="A571">
        <v>4</v>
      </c>
      <c r="B571" t="s">
        <v>27</v>
      </c>
      <c r="C571">
        <v>0</v>
      </c>
      <c r="D571">
        <v>3</v>
      </c>
      <c r="E571" t="str">
        <f t="shared" si="23"/>
        <v>Mandrake/3/4/0</v>
      </c>
      <c r="F571">
        <v>11</v>
      </c>
    </row>
    <row r="572" spans="1:6" x14ac:dyDescent="0.2">
      <c r="A572">
        <v>5</v>
      </c>
      <c r="B572" t="s">
        <v>9</v>
      </c>
      <c r="C572">
        <v>0</v>
      </c>
      <c r="D572">
        <v>1</v>
      </c>
      <c r="E572" t="str">
        <f t="shared" si="23"/>
        <v>K1/1/5/0</v>
      </c>
      <c r="F572">
        <v>11</v>
      </c>
    </row>
    <row r="573" spans="1:6" x14ac:dyDescent="0.2">
      <c r="A573">
        <v>1</v>
      </c>
      <c r="B573" t="s">
        <v>506</v>
      </c>
      <c r="C573">
        <v>3</v>
      </c>
      <c r="D573">
        <v>15</v>
      </c>
      <c r="E573" t="str">
        <f t="shared" ref="E573:E591" si="24">B573&amp;"/"&amp;D573&amp;"/"&amp;A573&amp;"/"&amp;C573</f>
        <v>Zubbaz/15/1/3</v>
      </c>
      <c r="F573">
        <v>11</v>
      </c>
    </row>
    <row r="574" spans="1:6" x14ac:dyDescent="0.2">
      <c r="A574">
        <v>2</v>
      </c>
      <c r="B574" t="s">
        <v>46</v>
      </c>
      <c r="C574">
        <v>1</v>
      </c>
      <c r="D574">
        <v>11</v>
      </c>
      <c r="E574" t="str">
        <f t="shared" si="24"/>
        <v>Jérôme/11/2/1</v>
      </c>
      <c r="F574">
        <v>11</v>
      </c>
    </row>
    <row r="575" spans="1:6" x14ac:dyDescent="0.2">
      <c r="A575">
        <v>3</v>
      </c>
      <c r="B575" t="s">
        <v>74</v>
      </c>
      <c r="C575">
        <v>0</v>
      </c>
      <c r="D575">
        <v>7</v>
      </c>
      <c r="E575" t="str">
        <f t="shared" si="24"/>
        <v>PatB/7/3/0</v>
      </c>
      <c r="F575">
        <v>11</v>
      </c>
    </row>
    <row r="576" spans="1:6" x14ac:dyDescent="0.2">
      <c r="A576">
        <v>4</v>
      </c>
      <c r="B576" t="s">
        <v>6</v>
      </c>
      <c r="C576">
        <v>0</v>
      </c>
      <c r="D576">
        <v>3</v>
      </c>
      <c r="E576" t="str">
        <f t="shared" si="24"/>
        <v>Pyja/3/4/0</v>
      </c>
      <c r="F576">
        <v>11</v>
      </c>
    </row>
    <row r="577" spans="1:6" x14ac:dyDescent="0.2">
      <c r="A577">
        <v>5</v>
      </c>
      <c r="B577" t="s">
        <v>507</v>
      </c>
      <c r="C577">
        <v>0</v>
      </c>
      <c r="D577">
        <v>1</v>
      </c>
      <c r="E577" t="str">
        <f t="shared" si="24"/>
        <v>Losogre/1/5/0</v>
      </c>
      <c r="F577">
        <v>11</v>
      </c>
    </row>
    <row r="578" spans="1:6" x14ac:dyDescent="0.2">
      <c r="A578">
        <v>1</v>
      </c>
      <c r="B578" t="s">
        <v>493</v>
      </c>
      <c r="C578">
        <v>2</v>
      </c>
      <c r="D578">
        <v>15</v>
      </c>
      <c r="E578" t="str">
        <f t="shared" si="24"/>
        <v>Rockatou/15/1/2</v>
      </c>
      <c r="F578">
        <v>11</v>
      </c>
    </row>
    <row r="579" spans="1:6" x14ac:dyDescent="0.2">
      <c r="A579">
        <v>2</v>
      </c>
      <c r="B579" t="s">
        <v>526</v>
      </c>
      <c r="C579">
        <v>1</v>
      </c>
      <c r="D579">
        <v>11</v>
      </c>
      <c r="E579" t="str">
        <f t="shared" si="24"/>
        <v>Yroz/11/2/1</v>
      </c>
      <c r="F579">
        <v>11</v>
      </c>
    </row>
    <row r="580" spans="1:6" x14ac:dyDescent="0.2">
      <c r="A580">
        <v>3</v>
      </c>
      <c r="B580" t="s">
        <v>516</v>
      </c>
      <c r="C580">
        <v>1</v>
      </c>
      <c r="D580">
        <v>7</v>
      </c>
      <c r="E580" t="str">
        <f t="shared" si="24"/>
        <v>Tenko/7/3/1</v>
      </c>
      <c r="F580">
        <v>11</v>
      </c>
    </row>
    <row r="581" spans="1:6" x14ac:dyDescent="0.2">
      <c r="A581">
        <v>4</v>
      </c>
      <c r="B581" t="s">
        <v>525</v>
      </c>
      <c r="C581">
        <v>0</v>
      </c>
      <c r="D581">
        <v>3</v>
      </c>
      <c r="E581" t="str">
        <f t="shared" si="24"/>
        <v>Freddie/3/4/0</v>
      </c>
      <c r="F581">
        <v>11</v>
      </c>
    </row>
    <row r="582" spans="1:6" x14ac:dyDescent="0.2">
      <c r="A582">
        <v>5</v>
      </c>
      <c r="B582" t="s">
        <v>87</v>
      </c>
      <c r="C582">
        <v>0</v>
      </c>
      <c r="D582">
        <v>1</v>
      </c>
      <c r="E582" t="str">
        <f t="shared" si="24"/>
        <v>Proph@ne/1/5/0</v>
      </c>
      <c r="F582">
        <v>11</v>
      </c>
    </row>
    <row r="583" spans="1:6" x14ac:dyDescent="0.2">
      <c r="A583">
        <v>1</v>
      </c>
      <c r="B583" t="s">
        <v>21</v>
      </c>
      <c r="C583">
        <v>3</v>
      </c>
      <c r="D583">
        <v>15</v>
      </c>
      <c r="E583" t="str">
        <f t="shared" si="24"/>
        <v>Carmin/15/1/3</v>
      </c>
      <c r="F583">
        <v>11</v>
      </c>
    </row>
    <row r="584" spans="1:6" x14ac:dyDescent="0.2">
      <c r="A584">
        <v>2</v>
      </c>
      <c r="B584" t="s">
        <v>65</v>
      </c>
      <c r="C584">
        <v>1</v>
      </c>
      <c r="D584">
        <v>11</v>
      </c>
      <c r="E584" t="str">
        <f t="shared" si="24"/>
        <v>Ripolin/11/2/1</v>
      </c>
      <c r="F584">
        <v>11</v>
      </c>
    </row>
    <row r="585" spans="1:6" x14ac:dyDescent="0.2">
      <c r="A585">
        <v>3</v>
      </c>
      <c r="B585" t="s">
        <v>75</v>
      </c>
      <c r="C585">
        <v>0</v>
      </c>
      <c r="D585">
        <v>7</v>
      </c>
      <c r="E585" t="str">
        <f t="shared" si="24"/>
        <v>Michelbey/7/3/0</v>
      </c>
      <c r="F585">
        <v>11</v>
      </c>
    </row>
    <row r="586" spans="1:6" x14ac:dyDescent="0.2">
      <c r="A586">
        <v>4</v>
      </c>
      <c r="B586" t="s">
        <v>461</v>
      </c>
      <c r="C586">
        <v>0</v>
      </c>
      <c r="D586">
        <v>3</v>
      </c>
      <c r="E586" t="str">
        <f t="shared" si="24"/>
        <v>Djecus/3/4/0</v>
      </c>
      <c r="F586">
        <v>11</v>
      </c>
    </row>
    <row r="587" spans="1:6" x14ac:dyDescent="0.2">
      <c r="A587">
        <v>5</v>
      </c>
      <c r="B587" t="s">
        <v>531</v>
      </c>
      <c r="C587">
        <v>0</v>
      </c>
      <c r="D587">
        <v>1</v>
      </c>
      <c r="E587" t="str">
        <f t="shared" si="24"/>
        <v>Toinou/1/5/0</v>
      </c>
      <c r="F587">
        <v>11</v>
      </c>
    </row>
    <row r="588" spans="1:6" x14ac:dyDescent="0.2">
      <c r="A588">
        <v>1</v>
      </c>
      <c r="B588" t="s">
        <v>35</v>
      </c>
      <c r="C588">
        <v>4</v>
      </c>
      <c r="D588">
        <v>16</v>
      </c>
      <c r="E588" t="str">
        <f t="shared" si="24"/>
        <v>JeanMichelTiming/16/1/4</v>
      </c>
      <c r="F588">
        <v>11</v>
      </c>
    </row>
    <row r="589" spans="1:6" x14ac:dyDescent="0.2">
      <c r="A589">
        <v>2</v>
      </c>
      <c r="B589" t="s">
        <v>15</v>
      </c>
      <c r="C589">
        <v>0</v>
      </c>
      <c r="D589">
        <v>12</v>
      </c>
      <c r="E589" t="str">
        <f t="shared" si="24"/>
        <v>LAAtof/12/2/0</v>
      </c>
      <c r="F589">
        <v>11</v>
      </c>
    </row>
    <row r="590" spans="1:6" x14ac:dyDescent="0.2">
      <c r="A590">
        <v>3</v>
      </c>
      <c r="B590" t="s">
        <v>81</v>
      </c>
      <c r="C590">
        <v>1</v>
      </c>
      <c r="D590">
        <v>8</v>
      </c>
      <c r="E590" t="str">
        <f t="shared" si="24"/>
        <v>Empedocle/8/3/1</v>
      </c>
      <c r="F590">
        <v>11</v>
      </c>
    </row>
    <row r="591" spans="1:6" x14ac:dyDescent="0.2">
      <c r="A591">
        <v>4</v>
      </c>
      <c r="B591" t="s">
        <v>69</v>
      </c>
      <c r="C591">
        <v>0</v>
      </c>
      <c r="D591">
        <v>4</v>
      </c>
      <c r="E591" t="str">
        <f t="shared" si="24"/>
        <v>Catherine/4/4/0</v>
      </c>
      <c r="F591">
        <v>11</v>
      </c>
    </row>
    <row r="592" spans="1:6" x14ac:dyDescent="0.2">
      <c r="A592">
        <v>5</v>
      </c>
      <c r="B592" t="s">
        <v>519</v>
      </c>
      <c r="C592">
        <v>0</v>
      </c>
      <c r="D592">
        <v>2</v>
      </c>
      <c r="E592" t="str">
        <f t="shared" ref="E592:E614" si="25">B592&amp;"/"&amp;D592&amp;"/"&amp;A592&amp;"/"&amp;C592</f>
        <v>Xhar92/2/5/0</v>
      </c>
      <c r="F592">
        <v>11</v>
      </c>
    </row>
    <row r="593" spans="1:6" x14ac:dyDescent="0.2">
      <c r="A593">
        <v>6</v>
      </c>
      <c r="B593" t="s">
        <v>509</v>
      </c>
      <c r="C593">
        <v>0</v>
      </c>
      <c r="D593">
        <v>1</v>
      </c>
      <c r="E593" t="str">
        <f t="shared" si="25"/>
        <v>Gibouille/1/6/0</v>
      </c>
      <c r="F593">
        <v>11</v>
      </c>
    </row>
    <row r="594" spans="1:6" x14ac:dyDescent="0.2">
      <c r="A594">
        <v>1</v>
      </c>
      <c r="B594" t="s">
        <v>280</v>
      </c>
      <c r="C594">
        <v>3</v>
      </c>
      <c r="D594">
        <v>16</v>
      </c>
      <c r="E594" t="str">
        <f t="shared" si="25"/>
        <v>Delgres/16/1/3</v>
      </c>
      <c r="F594">
        <v>11</v>
      </c>
    </row>
    <row r="595" spans="1:6" x14ac:dyDescent="0.2">
      <c r="A595">
        <v>2</v>
      </c>
      <c r="B595" t="s">
        <v>530</v>
      </c>
      <c r="C595">
        <v>0</v>
      </c>
      <c r="D595">
        <v>12</v>
      </c>
      <c r="E595" t="str">
        <f t="shared" si="25"/>
        <v>Flopynou/12/2/0</v>
      </c>
      <c r="F595">
        <v>11</v>
      </c>
    </row>
    <row r="596" spans="1:6" x14ac:dyDescent="0.2">
      <c r="A596">
        <v>3</v>
      </c>
      <c r="B596" t="s">
        <v>485</v>
      </c>
      <c r="C596">
        <v>2</v>
      </c>
      <c r="D596">
        <v>8</v>
      </c>
      <c r="E596" t="str">
        <f t="shared" si="25"/>
        <v>Solucky/8/3/2</v>
      </c>
      <c r="F596">
        <v>11</v>
      </c>
    </row>
    <row r="597" spans="1:6" x14ac:dyDescent="0.2">
      <c r="A597">
        <v>4</v>
      </c>
      <c r="B597" t="s">
        <v>505</v>
      </c>
      <c r="C597">
        <v>0</v>
      </c>
      <c r="D597">
        <v>4</v>
      </c>
      <c r="E597" t="str">
        <f t="shared" si="25"/>
        <v>Mams/4/4/0</v>
      </c>
      <c r="F597">
        <v>11</v>
      </c>
    </row>
    <row r="598" spans="1:6" x14ac:dyDescent="0.2">
      <c r="A598">
        <v>5</v>
      </c>
      <c r="B598" t="s">
        <v>512</v>
      </c>
      <c r="C598">
        <v>0</v>
      </c>
      <c r="D598">
        <v>2</v>
      </c>
      <c r="E598" t="str">
        <f t="shared" si="25"/>
        <v>Fishtro/2/5/0</v>
      </c>
      <c r="F598">
        <v>11</v>
      </c>
    </row>
    <row r="599" spans="1:6" x14ac:dyDescent="0.2">
      <c r="A599">
        <v>6</v>
      </c>
      <c r="B599" t="s">
        <v>502</v>
      </c>
      <c r="C599">
        <v>0</v>
      </c>
      <c r="D599">
        <v>1</v>
      </c>
      <c r="E599" t="str">
        <f t="shared" si="25"/>
        <v>Sobab/1/6/0</v>
      </c>
      <c r="F599">
        <v>11</v>
      </c>
    </row>
    <row r="600" spans="1:6" x14ac:dyDescent="0.2">
      <c r="A600">
        <v>1</v>
      </c>
      <c r="B600" t="s">
        <v>42</v>
      </c>
      <c r="C600">
        <v>3</v>
      </c>
      <c r="D600">
        <v>16</v>
      </c>
      <c r="E600" t="str">
        <f t="shared" si="25"/>
        <v>Claptou/16/1/3</v>
      </c>
      <c r="F600">
        <v>11</v>
      </c>
    </row>
    <row r="601" spans="1:6" x14ac:dyDescent="0.2">
      <c r="A601">
        <v>2</v>
      </c>
      <c r="B601" t="s">
        <v>518</v>
      </c>
      <c r="C601">
        <v>1</v>
      </c>
      <c r="D601">
        <v>12</v>
      </c>
      <c r="E601" t="str">
        <f t="shared" si="25"/>
        <v>Soupaman/12/2/1</v>
      </c>
      <c r="F601">
        <v>11</v>
      </c>
    </row>
    <row r="602" spans="1:6" x14ac:dyDescent="0.2">
      <c r="A602">
        <v>3</v>
      </c>
      <c r="B602" t="s">
        <v>14</v>
      </c>
      <c r="C602">
        <v>0</v>
      </c>
      <c r="D602">
        <v>8</v>
      </c>
      <c r="E602" t="str">
        <f t="shared" si="25"/>
        <v>Ramm/8/3/0</v>
      </c>
      <c r="F602">
        <v>11</v>
      </c>
    </row>
    <row r="603" spans="1:6" x14ac:dyDescent="0.2">
      <c r="A603">
        <v>4</v>
      </c>
      <c r="B603" t="s">
        <v>19</v>
      </c>
      <c r="C603">
        <v>1</v>
      </c>
      <c r="D603">
        <v>4</v>
      </c>
      <c r="E603" t="str">
        <f t="shared" si="25"/>
        <v>Giobeck/4/4/1</v>
      </c>
      <c r="F603">
        <v>11</v>
      </c>
    </row>
    <row r="604" spans="1:6" x14ac:dyDescent="0.2">
      <c r="A604">
        <v>5</v>
      </c>
      <c r="B604" t="s">
        <v>59</v>
      </c>
      <c r="C604">
        <v>0</v>
      </c>
      <c r="D604">
        <v>2</v>
      </c>
      <c r="E604" t="str">
        <f t="shared" si="25"/>
        <v>YooooDA/2/5/0</v>
      </c>
      <c r="F604">
        <v>11</v>
      </c>
    </row>
    <row r="605" spans="1:6" x14ac:dyDescent="0.2">
      <c r="A605">
        <v>6</v>
      </c>
      <c r="B605" t="s">
        <v>451</v>
      </c>
      <c r="C605">
        <v>0</v>
      </c>
      <c r="D605">
        <v>1</v>
      </c>
      <c r="E605" t="str">
        <f t="shared" si="25"/>
        <v>Jacaille/1/6/0</v>
      </c>
      <c r="F605">
        <v>11</v>
      </c>
    </row>
    <row r="606" spans="1:6" x14ac:dyDescent="0.2">
      <c r="A606">
        <v>1</v>
      </c>
      <c r="B606" t="s">
        <v>501</v>
      </c>
      <c r="C606">
        <v>4</v>
      </c>
      <c r="D606">
        <v>16</v>
      </c>
      <c r="E606" t="str">
        <f t="shared" si="25"/>
        <v>Poisson Pilote/16/1/4</v>
      </c>
      <c r="F606">
        <v>12</v>
      </c>
    </row>
    <row r="607" spans="1:6" x14ac:dyDescent="0.2">
      <c r="A607">
        <v>2</v>
      </c>
      <c r="B607" t="s">
        <v>25</v>
      </c>
      <c r="C607">
        <v>1</v>
      </c>
      <c r="D607">
        <v>12</v>
      </c>
      <c r="E607" t="str">
        <f t="shared" si="25"/>
        <v>Claudius/12/2/1</v>
      </c>
      <c r="F607">
        <v>12</v>
      </c>
    </row>
    <row r="608" spans="1:6" x14ac:dyDescent="0.2">
      <c r="A608">
        <v>3</v>
      </c>
      <c r="B608" t="s">
        <v>88</v>
      </c>
      <c r="C608">
        <v>0</v>
      </c>
      <c r="D608">
        <v>8</v>
      </c>
      <c r="E608" t="str">
        <f t="shared" si="25"/>
        <v>Yarael/8/3/0</v>
      </c>
      <c r="F608">
        <v>12</v>
      </c>
    </row>
    <row r="609" spans="1:6" x14ac:dyDescent="0.2">
      <c r="A609">
        <v>4</v>
      </c>
      <c r="B609" t="s">
        <v>506</v>
      </c>
      <c r="C609">
        <v>0</v>
      </c>
      <c r="D609">
        <v>4</v>
      </c>
      <c r="E609" t="str">
        <f t="shared" si="25"/>
        <v>Zubbaz/4/4/0</v>
      </c>
      <c r="F609">
        <v>12</v>
      </c>
    </row>
    <row r="610" spans="1:6" x14ac:dyDescent="0.2">
      <c r="A610">
        <v>5</v>
      </c>
      <c r="B610" t="s">
        <v>345</v>
      </c>
      <c r="C610">
        <v>0</v>
      </c>
      <c r="D610">
        <v>2</v>
      </c>
      <c r="E610" t="str">
        <f t="shared" si="25"/>
        <v>Thibaultp75/2/5/0</v>
      </c>
      <c r="F610">
        <v>12</v>
      </c>
    </row>
    <row r="611" spans="1:6" x14ac:dyDescent="0.2">
      <c r="A611">
        <v>6</v>
      </c>
      <c r="B611" t="s">
        <v>508</v>
      </c>
      <c r="C611">
        <v>0</v>
      </c>
      <c r="D611">
        <v>1</v>
      </c>
      <c r="E611" t="str">
        <f t="shared" si="25"/>
        <v>Rmarc/1/6/0</v>
      </c>
      <c r="F611">
        <v>12</v>
      </c>
    </row>
    <row r="612" spans="1:6" x14ac:dyDescent="0.2">
      <c r="A612">
        <v>1</v>
      </c>
      <c r="B612" t="s">
        <v>530</v>
      </c>
      <c r="C612">
        <v>4</v>
      </c>
      <c r="D612">
        <v>16</v>
      </c>
      <c r="E612" t="str">
        <f t="shared" si="25"/>
        <v>Flopynou/16/1/4</v>
      </c>
      <c r="F612">
        <v>12</v>
      </c>
    </row>
    <row r="613" spans="1:6" x14ac:dyDescent="0.2">
      <c r="A613">
        <v>2</v>
      </c>
      <c r="B613" t="s">
        <v>74</v>
      </c>
      <c r="C613">
        <v>1</v>
      </c>
      <c r="D613">
        <v>12</v>
      </c>
      <c r="E613" t="str">
        <f t="shared" si="25"/>
        <v>PatB/12/2/1</v>
      </c>
      <c r="F613">
        <v>12</v>
      </c>
    </row>
    <row r="614" spans="1:6" x14ac:dyDescent="0.2">
      <c r="A614">
        <v>3</v>
      </c>
      <c r="B614" t="s">
        <v>512</v>
      </c>
      <c r="C614">
        <v>0</v>
      </c>
      <c r="D614">
        <v>8</v>
      </c>
      <c r="E614" t="str">
        <f t="shared" si="25"/>
        <v>Fishtro/8/3/0</v>
      </c>
      <c r="F614">
        <v>12</v>
      </c>
    </row>
    <row r="615" spans="1:6" x14ac:dyDescent="0.2">
      <c r="A615">
        <v>4</v>
      </c>
      <c r="B615" t="s">
        <v>493</v>
      </c>
      <c r="C615">
        <v>0</v>
      </c>
      <c r="D615">
        <v>4</v>
      </c>
      <c r="E615" t="str">
        <f t="shared" ref="E615:E654" si="26">B615&amp;"/"&amp;D615&amp;"/"&amp;A615&amp;"/"&amp;C615</f>
        <v>Rockatou/4/4/0</v>
      </c>
      <c r="F615">
        <v>12</v>
      </c>
    </row>
    <row r="616" spans="1:6" x14ac:dyDescent="0.2">
      <c r="A616">
        <v>5</v>
      </c>
      <c r="B616" t="s">
        <v>258</v>
      </c>
      <c r="C616">
        <v>0</v>
      </c>
      <c r="D616">
        <v>2</v>
      </c>
      <c r="E616" t="str">
        <f t="shared" si="26"/>
        <v>Jeremy/2/5/0</v>
      </c>
      <c r="F616">
        <v>12</v>
      </c>
    </row>
    <row r="617" spans="1:6" x14ac:dyDescent="0.2">
      <c r="A617">
        <v>6</v>
      </c>
      <c r="B617" t="s">
        <v>534</v>
      </c>
      <c r="C617">
        <v>0</v>
      </c>
      <c r="D617">
        <v>1</v>
      </c>
      <c r="E617" t="str">
        <f t="shared" si="26"/>
        <v>JC/1/6/0</v>
      </c>
      <c r="F617">
        <v>12</v>
      </c>
    </row>
    <row r="618" spans="1:6" x14ac:dyDescent="0.2">
      <c r="A618">
        <v>1</v>
      </c>
      <c r="B618" t="s">
        <v>505</v>
      </c>
      <c r="C618">
        <v>1</v>
      </c>
      <c r="D618">
        <v>17</v>
      </c>
      <c r="E618" t="str">
        <f t="shared" si="26"/>
        <v>Mams/17/1/1</v>
      </c>
      <c r="F618">
        <v>12</v>
      </c>
    </row>
    <row r="619" spans="1:6" x14ac:dyDescent="0.2">
      <c r="A619">
        <v>2</v>
      </c>
      <c r="B619" t="s">
        <v>535</v>
      </c>
      <c r="C619">
        <v>4</v>
      </c>
      <c r="D619">
        <v>13</v>
      </c>
      <c r="E619" t="str">
        <f t="shared" si="26"/>
        <v>TheRealWill/13/2/4</v>
      </c>
      <c r="F619">
        <v>12</v>
      </c>
    </row>
    <row r="620" spans="1:6" x14ac:dyDescent="0.2">
      <c r="A620">
        <v>3</v>
      </c>
      <c r="B620" t="s">
        <v>15</v>
      </c>
      <c r="C620">
        <v>1</v>
      </c>
      <c r="D620">
        <v>9</v>
      </c>
      <c r="E620" t="str">
        <f t="shared" si="26"/>
        <v>LAAtof/9/3/1</v>
      </c>
      <c r="F620">
        <v>12</v>
      </c>
    </row>
    <row r="621" spans="1:6" x14ac:dyDescent="0.2">
      <c r="A621">
        <v>4</v>
      </c>
      <c r="B621" t="s">
        <v>526</v>
      </c>
      <c r="C621">
        <v>0</v>
      </c>
      <c r="D621">
        <v>5</v>
      </c>
      <c r="E621" t="str">
        <f t="shared" si="26"/>
        <v>Yroz/5/4/0</v>
      </c>
      <c r="F621">
        <v>12</v>
      </c>
    </row>
    <row r="622" spans="1:6" x14ac:dyDescent="0.2">
      <c r="A622">
        <v>5</v>
      </c>
      <c r="B622" t="s">
        <v>454</v>
      </c>
      <c r="C622">
        <v>0</v>
      </c>
      <c r="D622">
        <v>3</v>
      </c>
      <c r="E622" t="str">
        <f t="shared" si="26"/>
        <v>Gibbonfury/3/5/0</v>
      </c>
      <c r="F622">
        <v>12</v>
      </c>
    </row>
    <row r="623" spans="1:6" x14ac:dyDescent="0.2">
      <c r="A623">
        <v>6</v>
      </c>
      <c r="B623" t="s">
        <v>75</v>
      </c>
      <c r="C623">
        <v>0</v>
      </c>
      <c r="D623">
        <v>2</v>
      </c>
      <c r="E623" t="str">
        <f t="shared" si="26"/>
        <v>Michelbey/2/6/0</v>
      </c>
      <c r="F623">
        <v>12</v>
      </c>
    </row>
    <row r="624" spans="1:6" x14ac:dyDescent="0.2">
      <c r="A624">
        <v>7</v>
      </c>
      <c r="B624" t="s">
        <v>485</v>
      </c>
      <c r="C624">
        <v>0</v>
      </c>
      <c r="D624">
        <v>1</v>
      </c>
      <c r="E624" t="str">
        <f t="shared" si="26"/>
        <v>Solucky/1/7/0</v>
      </c>
      <c r="F624">
        <v>12</v>
      </c>
    </row>
    <row r="625" spans="1:6" x14ac:dyDescent="0.2">
      <c r="A625">
        <v>1</v>
      </c>
      <c r="B625" t="s">
        <v>27</v>
      </c>
      <c r="C625">
        <v>3</v>
      </c>
      <c r="D625">
        <v>16</v>
      </c>
      <c r="E625" t="str">
        <f t="shared" si="26"/>
        <v>Mandrake/16/1/3</v>
      </c>
      <c r="F625">
        <v>12</v>
      </c>
    </row>
    <row r="626" spans="1:6" x14ac:dyDescent="0.2">
      <c r="A626">
        <v>2</v>
      </c>
      <c r="B626" t="s">
        <v>61</v>
      </c>
      <c r="C626">
        <v>1</v>
      </c>
      <c r="D626">
        <v>12</v>
      </c>
      <c r="E626" t="str">
        <f t="shared" si="26"/>
        <v>Kri-lin/12/2/1</v>
      </c>
      <c r="F626">
        <v>12</v>
      </c>
    </row>
    <row r="627" spans="1:6" x14ac:dyDescent="0.2">
      <c r="A627">
        <v>3</v>
      </c>
      <c r="B627" t="s">
        <v>59</v>
      </c>
      <c r="C627">
        <v>0</v>
      </c>
      <c r="D627">
        <v>8</v>
      </c>
      <c r="E627" t="str">
        <f t="shared" si="26"/>
        <v>YooooDA/8/3/0</v>
      </c>
      <c r="F627">
        <v>12</v>
      </c>
    </row>
    <row r="628" spans="1:6" x14ac:dyDescent="0.2">
      <c r="A628">
        <v>4</v>
      </c>
      <c r="B628" t="s">
        <v>87</v>
      </c>
      <c r="C628">
        <v>1</v>
      </c>
      <c r="D628">
        <v>4</v>
      </c>
      <c r="E628" t="str">
        <f t="shared" si="26"/>
        <v>Proph@ne/4/4/1</v>
      </c>
      <c r="F628">
        <v>12</v>
      </c>
    </row>
    <row r="629" spans="1:6" x14ac:dyDescent="0.2">
      <c r="A629">
        <v>5</v>
      </c>
      <c r="B629" t="s">
        <v>42</v>
      </c>
      <c r="C629">
        <v>0</v>
      </c>
      <c r="D629">
        <v>2</v>
      </c>
      <c r="E629" t="str">
        <f t="shared" si="26"/>
        <v>Claptou/2/5/0</v>
      </c>
      <c r="F629">
        <v>12</v>
      </c>
    </row>
    <row r="630" spans="1:6" x14ac:dyDescent="0.2">
      <c r="A630">
        <v>6</v>
      </c>
      <c r="B630" t="s">
        <v>46</v>
      </c>
      <c r="C630">
        <v>0</v>
      </c>
      <c r="D630">
        <v>1</v>
      </c>
      <c r="E630" t="str">
        <f t="shared" si="26"/>
        <v>Jérôme/1/6/0</v>
      </c>
      <c r="F630">
        <v>12</v>
      </c>
    </row>
    <row r="631" spans="1:6" x14ac:dyDescent="0.2">
      <c r="A631">
        <v>1</v>
      </c>
      <c r="B631" t="s">
        <v>490</v>
      </c>
      <c r="C631">
        <v>3</v>
      </c>
      <c r="D631">
        <v>16</v>
      </c>
      <c r="E631" t="str">
        <f t="shared" si="26"/>
        <v>DernierPli/16/1/3</v>
      </c>
      <c r="F631">
        <v>12</v>
      </c>
    </row>
    <row r="632" spans="1:6" x14ac:dyDescent="0.2">
      <c r="A632">
        <v>2</v>
      </c>
      <c r="B632" t="s">
        <v>66</v>
      </c>
      <c r="C632">
        <v>1</v>
      </c>
      <c r="D632">
        <v>12</v>
      </c>
      <c r="E632" t="str">
        <f t="shared" si="26"/>
        <v>Ad Vitam/12/2/1</v>
      </c>
      <c r="F632">
        <v>12</v>
      </c>
    </row>
    <row r="633" spans="1:6" x14ac:dyDescent="0.2">
      <c r="A633">
        <v>3</v>
      </c>
      <c r="B633" t="s">
        <v>32</v>
      </c>
      <c r="C633">
        <v>1</v>
      </c>
      <c r="D633">
        <v>8</v>
      </c>
      <c r="E633" t="str">
        <f t="shared" si="26"/>
        <v>OlivierN92/8/3/1</v>
      </c>
      <c r="F633">
        <v>12</v>
      </c>
    </row>
    <row r="634" spans="1:6" x14ac:dyDescent="0.2">
      <c r="A634">
        <v>4</v>
      </c>
      <c r="B634" t="s">
        <v>507</v>
      </c>
      <c r="C634">
        <v>0</v>
      </c>
      <c r="D634">
        <v>4</v>
      </c>
      <c r="E634" t="str">
        <f t="shared" si="26"/>
        <v>Losogre/4/4/0</v>
      </c>
      <c r="F634">
        <v>12</v>
      </c>
    </row>
    <row r="635" spans="1:6" x14ac:dyDescent="0.2">
      <c r="A635">
        <v>5</v>
      </c>
      <c r="B635" t="s">
        <v>280</v>
      </c>
      <c r="C635">
        <v>0</v>
      </c>
      <c r="D635">
        <v>2</v>
      </c>
      <c r="E635" t="str">
        <f t="shared" si="26"/>
        <v>Delgres/2/5/0</v>
      </c>
      <c r="F635">
        <v>12</v>
      </c>
    </row>
    <row r="636" spans="1:6" x14ac:dyDescent="0.2">
      <c r="A636">
        <v>6</v>
      </c>
      <c r="B636" t="s">
        <v>476</v>
      </c>
      <c r="C636">
        <v>0</v>
      </c>
      <c r="D636">
        <v>1</v>
      </c>
      <c r="E636" t="str">
        <f t="shared" si="26"/>
        <v>MegaSouche/1/6/0</v>
      </c>
      <c r="F636">
        <v>12</v>
      </c>
    </row>
    <row r="637" spans="1:6" x14ac:dyDescent="0.2">
      <c r="A637">
        <v>1</v>
      </c>
      <c r="B637" t="s">
        <v>516</v>
      </c>
      <c r="C637">
        <v>3</v>
      </c>
      <c r="D637">
        <v>16</v>
      </c>
      <c r="E637" t="str">
        <f t="shared" si="26"/>
        <v>Tenko/16/1/3</v>
      </c>
      <c r="F637">
        <v>12</v>
      </c>
    </row>
    <row r="638" spans="1:6" x14ac:dyDescent="0.2">
      <c r="A638">
        <v>2</v>
      </c>
      <c r="B638" t="s">
        <v>521</v>
      </c>
      <c r="C638">
        <v>1</v>
      </c>
      <c r="D638">
        <v>12</v>
      </c>
      <c r="E638" t="str">
        <f t="shared" si="26"/>
        <v>Jaden/12/2/1</v>
      </c>
      <c r="F638">
        <v>12</v>
      </c>
    </row>
    <row r="639" spans="1:6" x14ac:dyDescent="0.2">
      <c r="A639">
        <v>3</v>
      </c>
      <c r="B639" t="s">
        <v>6</v>
      </c>
      <c r="C639">
        <v>0</v>
      </c>
      <c r="D639">
        <v>8</v>
      </c>
      <c r="E639" t="str">
        <f t="shared" si="26"/>
        <v>Pyja/8/3/0</v>
      </c>
      <c r="F639">
        <v>12</v>
      </c>
    </row>
    <row r="640" spans="1:6" x14ac:dyDescent="0.2">
      <c r="A640">
        <v>4</v>
      </c>
      <c r="B640" t="s">
        <v>35</v>
      </c>
      <c r="C640">
        <v>1</v>
      </c>
      <c r="D640">
        <v>4</v>
      </c>
      <c r="E640" t="str">
        <f t="shared" si="26"/>
        <v>JeanMichelTiming/4/4/1</v>
      </c>
      <c r="F640">
        <v>12</v>
      </c>
    </row>
    <row r="641" spans="1:6" x14ac:dyDescent="0.2">
      <c r="A641">
        <v>5</v>
      </c>
      <c r="B641" t="s">
        <v>73</v>
      </c>
      <c r="C641">
        <v>0</v>
      </c>
      <c r="D641">
        <v>2</v>
      </c>
      <c r="E641" t="str">
        <f t="shared" si="26"/>
        <v>Flem/2/5/0</v>
      </c>
      <c r="F641">
        <v>12</v>
      </c>
    </row>
    <row r="642" spans="1:6" x14ac:dyDescent="0.2">
      <c r="A642">
        <v>6</v>
      </c>
      <c r="B642" t="s">
        <v>504</v>
      </c>
      <c r="C642">
        <v>0</v>
      </c>
      <c r="D642">
        <v>1</v>
      </c>
      <c r="E642" t="str">
        <f t="shared" si="26"/>
        <v>Zizou/1/6/0</v>
      </c>
      <c r="F642">
        <v>12</v>
      </c>
    </row>
    <row r="643" spans="1:6" x14ac:dyDescent="0.2">
      <c r="A643">
        <v>1</v>
      </c>
      <c r="B643" t="s">
        <v>503</v>
      </c>
      <c r="C643">
        <v>5</v>
      </c>
      <c r="D643">
        <v>16</v>
      </c>
      <c r="E643" t="str">
        <f t="shared" si="26"/>
        <v>Yaltar/16/1/5</v>
      </c>
      <c r="F643">
        <v>12</v>
      </c>
    </row>
    <row r="644" spans="1:6" x14ac:dyDescent="0.2">
      <c r="A644">
        <v>2</v>
      </c>
      <c r="B644" t="s">
        <v>21</v>
      </c>
      <c r="C644">
        <v>0</v>
      </c>
      <c r="D644">
        <v>12</v>
      </c>
      <c r="E644" t="str">
        <f t="shared" si="26"/>
        <v>Carmin/12/2/0</v>
      </c>
      <c r="F644">
        <v>12</v>
      </c>
    </row>
    <row r="645" spans="1:6" x14ac:dyDescent="0.2">
      <c r="A645">
        <v>3</v>
      </c>
      <c r="B645" t="s">
        <v>69</v>
      </c>
      <c r="C645">
        <v>0</v>
      </c>
      <c r="D645">
        <v>8</v>
      </c>
      <c r="E645" t="str">
        <f t="shared" si="26"/>
        <v>Catherine/8/3/0</v>
      </c>
      <c r="F645">
        <v>12</v>
      </c>
    </row>
    <row r="646" spans="1:6" x14ac:dyDescent="0.2">
      <c r="A646">
        <v>4</v>
      </c>
      <c r="B646" t="s">
        <v>509</v>
      </c>
      <c r="C646">
        <v>0</v>
      </c>
      <c r="D646">
        <v>4</v>
      </c>
      <c r="E646" t="str">
        <f t="shared" si="26"/>
        <v>Gibouille/4/4/0</v>
      </c>
      <c r="F646">
        <v>12</v>
      </c>
    </row>
    <row r="647" spans="1:6" x14ac:dyDescent="0.2">
      <c r="A647">
        <v>5</v>
      </c>
      <c r="B647" t="s">
        <v>76</v>
      </c>
      <c r="C647">
        <v>0</v>
      </c>
      <c r="D647">
        <v>2</v>
      </c>
      <c r="E647" t="str">
        <f t="shared" si="26"/>
        <v>Comment2/2/5/0</v>
      </c>
      <c r="F647">
        <v>12</v>
      </c>
    </row>
    <row r="648" spans="1:6" x14ac:dyDescent="0.2">
      <c r="A648">
        <v>6</v>
      </c>
      <c r="B648" t="s">
        <v>461</v>
      </c>
      <c r="C648">
        <v>0</v>
      </c>
      <c r="D648">
        <v>1</v>
      </c>
      <c r="E648" t="str">
        <f t="shared" si="26"/>
        <v>Djecus/1/6/0</v>
      </c>
      <c r="F648">
        <v>12</v>
      </c>
    </row>
    <row r="649" spans="1:6" x14ac:dyDescent="0.2">
      <c r="A649">
        <v>1</v>
      </c>
      <c r="B649" t="s">
        <v>475</v>
      </c>
      <c r="C649">
        <v>4</v>
      </c>
      <c r="D649">
        <v>16</v>
      </c>
      <c r="E649" t="str">
        <f t="shared" si="26"/>
        <v>La Bavure/16/1/4</v>
      </c>
      <c r="F649">
        <v>12</v>
      </c>
    </row>
    <row r="650" spans="1:6" x14ac:dyDescent="0.2">
      <c r="A650">
        <v>2</v>
      </c>
      <c r="B650" t="s">
        <v>65</v>
      </c>
      <c r="C650">
        <v>1</v>
      </c>
      <c r="D650">
        <v>12</v>
      </c>
      <c r="E650" t="str">
        <f t="shared" si="26"/>
        <v>Ripolin/12/2/1</v>
      </c>
      <c r="F650">
        <v>12</v>
      </c>
    </row>
    <row r="651" spans="1:6" x14ac:dyDescent="0.2">
      <c r="A651">
        <v>3</v>
      </c>
      <c r="B651" t="s">
        <v>525</v>
      </c>
      <c r="C651">
        <v>0</v>
      </c>
      <c r="D651">
        <v>8</v>
      </c>
      <c r="E651" t="str">
        <f t="shared" si="26"/>
        <v>Freddie/8/3/0</v>
      </c>
      <c r="F651">
        <v>12</v>
      </c>
    </row>
    <row r="652" spans="1:6" x14ac:dyDescent="0.2">
      <c r="A652">
        <v>4</v>
      </c>
      <c r="B652" t="s">
        <v>500</v>
      </c>
      <c r="C652">
        <v>0</v>
      </c>
      <c r="D652">
        <v>4</v>
      </c>
      <c r="E652" t="str">
        <f t="shared" si="26"/>
        <v>Kheops/4/4/0</v>
      </c>
      <c r="F652">
        <v>12</v>
      </c>
    </row>
    <row r="653" spans="1:6" x14ac:dyDescent="0.2">
      <c r="A653">
        <v>5</v>
      </c>
      <c r="B653" t="s">
        <v>9</v>
      </c>
      <c r="C653">
        <v>0</v>
      </c>
      <c r="D653">
        <v>2</v>
      </c>
      <c r="E653" t="str">
        <f t="shared" si="26"/>
        <v>K1/2/5/0</v>
      </c>
      <c r="F653">
        <v>12</v>
      </c>
    </row>
    <row r="654" spans="1:6" x14ac:dyDescent="0.2">
      <c r="A654">
        <v>6</v>
      </c>
      <c r="B654" t="s">
        <v>452</v>
      </c>
      <c r="C654">
        <v>0</v>
      </c>
      <c r="D654">
        <v>1</v>
      </c>
      <c r="E654" t="str">
        <f t="shared" si="26"/>
        <v>The Hengover/1/6/0</v>
      </c>
      <c r="F654">
        <v>12</v>
      </c>
    </row>
    <row r="655" spans="1:6" x14ac:dyDescent="0.2">
      <c r="A655">
        <v>1</v>
      </c>
      <c r="B655" t="s">
        <v>75</v>
      </c>
      <c r="C655">
        <v>3</v>
      </c>
      <c r="D655">
        <v>16</v>
      </c>
      <c r="E655" t="str">
        <f t="shared" ref="E655:E691" si="27">B655&amp;"/"&amp;D655&amp;"/"&amp;A655&amp;"/"&amp;C655</f>
        <v>Michelbey/16/1/3</v>
      </c>
      <c r="F655">
        <v>13</v>
      </c>
    </row>
    <row r="656" spans="1:6" x14ac:dyDescent="0.2">
      <c r="A656">
        <v>2</v>
      </c>
      <c r="B656" t="s">
        <v>345</v>
      </c>
      <c r="C656">
        <v>1</v>
      </c>
      <c r="D656">
        <v>12</v>
      </c>
      <c r="E656" t="str">
        <f t="shared" si="27"/>
        <v>Thibaultp75/12/2/1</v>
      </c>
      <c r="F656">
        <v>13</v>
      </c>
    </row>
    <row r="657" spans="1:6" x14ac:dyDescent="0.2">
      <c r="A657">
        <v>3</v>
      </c>
      <c r="B657" t="s">
        <v>534</v>
      </c>
      <c r="C657">
        <v>1</v>
      </c>
      <c r="D657">
        <v>8</v>
      </c>
      <c r="E657" t="str">
        <f t="shared" si="27"/>
        <v>JC/8/3/1</v>
      </c>
      <c r="F657">
        <v>13</v>
      </c>
    </row>
    <row r="658" spans="1:6" x14ac:dyDescent="0.2">
      <c r="A658">
        <v>4</v>
      </c>
      <c r="B658" t="s">
        <v>74</v>
      </c>
      <c r="C658">
        <v>0</v>
      </c>
      <c r="D658">
        <v>4</v>
      </c>
      <c r="E658" t="str">
        <f t="shared" si="27"/>
        <v>PatB/4/4/0</v>
      </c>
      <c r="F658">
        <v>13</v>
      </c>
    </row>
    <row r="659" spans="1:6" x14ac:dyDescent="0.2">
      <c r="A659">
        <v>5</v>
      </c>
      <c r="B659" t="s">
        <v>516</v>
      </c>
      <c r="C659">
        <v>0</v>
      </c>
      <c r="D659">
        <v>2</v>
      </c>
      <c r="E659" t="str">
        <f t="shared" si="27"/>
        <v>Tenko/2/5/0</v>
      </c>
      <c r="F659">
        <v>13</v>
      </c>
    </row>
    <row r="660" spans="1:6" x14ac:dyDescent="0.2">
      <c r="A660">
        <v>6</v>
      </c>
      <c r="B660" t="s">
        <v>9</v>
      </c>
      <c r="C660">
        <v>0</v>
      </c>
      <c r="D660">
        <v>1</v>
      </c>
      <c r="E660" t="str">
        <f t="shared" si="27"/>
        <v>K1/1/6/0</v>
      </c>
      <c r="F660">
        <v>13</v>
      </c>
    </row>
    <row r="661" spans="1:6" x14ac:dyDescent="0.2">
      <c r="A661">
        <v>1</v>
      </c>
      <c r="B661" t="s">
        <v>527</v>
      </c>
      <c r="C661">
        <v>3</v>
      </c>
      <c r="D661">
        <v>16</v>
      </c>
      <c r="E661" t="str">
        <f t="shared" si="27"/>
        <v>Just4fun/16/1/3</v>
      </c>
      <c r="F661">
        <v>13</v>
      </c>
    </row>
    <row r="662" spans="1:6" x14ac:dyDescent="0.2">
      <c r="A662">
        <v>2</v>
      </c>
      <c r="B662" t="s">
        <v>35</v>
      </c>
      <c r="C662">
        <v>2</v>
      </c>
      <c r="D662">
        <v>12</v>
      </c>
      <c r="E662" t="str">
        <f t="shared" si="27"/>
        <v>JeanMichelTiming/12/2/2</v>
      </c>
      <c r="F662">
        <v>13</v>
      </c>
    </row>
    <row r="663" spans="1:6" x14ac:dyDescent="0.2">
      <c r="A663">
        <v>3</v>
      </c>
      <c r="B663" t="s">
        <v>479</v>
      </c>
      <c r="C663">
        <v>0</v>
      </c>
      <c r="D663">
        <v>8</v>
      </c>
      <c r="E663" t="str">
        <f t="shared" si="27"/>
        <v>Salender/8/3/0</v>
      </c>
      <c r="F663">
        <v>13</v>
      </c>
    </row>
    <row r="664" spans="1:6" x14ac:dyDescent="0.2">
      <c r="A664">
        <v>4</v>
      </c>
      <c r="B664" t="s">
        <v>88</v>
      </c>
      <c r="C664">
        <v>0</v>
      </c>
      <c r="D664">
        <v>4</v>
      </c>
      <c r="E664" t="str">
        <f t="shared" si="27"/>
        <v>Yarael/4/4/0</v>
      </c>
      <c r="F664">
        <v>13</v>
      </c>
    </row>
    <row r="665" spans="1:6" x14ac:dyDescent="0.2">
      <c r="A665">
        <v>5</v>
      </c>
      <c r="B665" t="s">
        <v>46</v>
      </c>
      <c r="C665">
        <v>0</v>
      </c>
      <c r="D665">
        <v>2</v>
      </c>
      <c r="E665" t="str">
        <f t="shared" si="27"/>
        <v>Jérôme/2/5/0</v>
      </c>
      <c r="F665">
        <v>13</v>
      </c>
    </row>
    <row r="666" spans="1:6" x14ac:dyDescent="0.2">
      <c r="A666">
        <v>6</v>
      </c>
      <c r="B666" t="s">
        <v>507</v>
      </c>
      <c r="C666">
        <v>0</v>
      </c>
      <c r="D666">
        <v>1</v>
      </c>
      <c r="E666" t="str">
        <f t="shared" si="27"/>
        <v>Losogre/1/6/0</v>
      </c>
      <c r="F666">
        <v>13</v>
      </c>
    </row>
    <row r="667" spans="1:6" x14ac:dyDescent="0.2">
      <c r="A667">
        <v>1</v>
      </c>
      <c r="B667" t="s">
        <v>535</v>
      </c>
      <c r="C667">
        <v>3</v>
      </c>
      <c r="D667">
        <v>16</v>
      </c>
      <c r="E667" t="str">
        <f t="shared" si="27"/>
        <v>TheRealWill/16/1/3</v>
      </c>
      <c r="F667">
        <v>13</v>
      </c>
    </row>
    <row r="668" spans="1:6" x14ac:dyDescent="0.2">
      <c r="A668">
        <v>2</v>
      </c>
      <c r="B668" t="s">
        <v>485</v>
      </c>
      <c r="C668">
        <v>1</v>
      </c>
      <c r="D668">
        <v>12</v>
      </c>
      <c r="E668" t="str">
        <f t="shared" si="27"/>
        <v>Solucky/12/2/1</v>
      </c>
      <c r="F668">
        <v>13</v>
      </c>
    </row>
    <row r="669" spans="1:6" x14ac:dyDescent="0.2">
      <c r="A669">
        <v>3</v>
      </c>
      <c r="B669" t="s">
        <v>550</v>
      </c>
      <c r="C669">
        <v>0</v>
      </c>
      <c r="D669">
        <v>8</v>
      </c>
      <c r="E669" t="str">
        <f t="shared" si="27"/>
        <v>Maxime K/8/3/0</v>
      </c>
      <c r="F669">
        <v>13</v>
      </c>
    </row>
    <row r="670" spans="1:6" x14ac:dyDescent="0.2">
      <c r="A670">
        <v>4</v>
      </c>
      <c r="B670" t="s">
        <v>40</v>
      </c>
      <c r="C670">
        <v>1</v>
      </c>
      <c r="D670">
        <v>4</v>
      </c>
      <c r="E670" t="str">
        <f t="shared" si="27"/>
        <v>Lén@/4/4/1</v>
      </c>
      <c r="F670">
        <v>13</v>
      </c>
    </row>
    <row r="671" spans="1:6" x14ac:dyDescent="0.2">
      <c r="A671">
        <v>5</v>
      </c>
      <c r="B671" t="s">
        <v>519</v>
      </c>
      <c r="C671">
        <v>0</v>
      </c>
      <c r="D671">
        <v>2</v>
      </c>
      <c r="E671" t="str">
        <f t="shared" si="27"/>
        <v>Xhar92/2/5/0</v>
      </c>
      <c r="F671">
        <v>13</v>
      </c>
    </row>
    <row r="672" spans="1:6" x14ac:dyDescent="0.2">
      <c r="A672">
        <v>6</v>
      </c>
      <c r="B672" t="s">
        <v>506</v>
      </c>
      <c r="C672">
        <v>0</v>
      </c>
      <c r="D672">
        <v>1</v>
      </c>
      <c r="E672" t="str">
        <f t="shared" si="27"/>
        <v>Zubbaz/1/6/0</v>
      </c>
      <c r="F672">
        <v>13</v>
      </c>
    </row>
    <row r="673" spans="1:6" x14ac:dyDescent="0.2">
      <c r="A673">
        <v>1</v>
      </c>
      <c r="B673" t="s">
        <v>504</v>
      </c>
      <c r="C673">
        <v>3</v>
      </c>
      <c r="D673">
        <v>16</v>
      </c>
      <c r="E673" t="str">
        <f t="shared" si="27"/>
        <v>Zizou/16/1/3</v>
      </c>
      <c r="F673">
        <v>13</v>
      </c>
    </row>
    <row r="674" spans="1:6" x14ac:dyDescent="0.2">
      <c r="A674">
        <v>2</v>
      </c>
      <c r="B674" t="s">
        <v>25</v>
      </c>
      <c r="C674">
        <v>1</v>
      </c>
      <c r="D674">
        <v>12</v>
      </c>
      <c r="E674" t="str">
        <f t="shared" si="27"/>
        <v>Claudius/12/2/1</v>
      </c>
      <c r="F674">
        <v>13</v>
      </c>
    </row>
    <row r="675" spans="1:6" x14ac:dyDescent="0.2">
      <c r="A675">
        <v>3</v>
      </c>
      <c r="B675" t="s">
        <v>69</v>
      </c>
      <c r="C675">
        <v>1</v>
      </c>
      <c r="D675">
        <v>8</v>
      </c>
      <c r="E675" t="str">
        <f t="shared" si="27"/>
        <v>Catherine/8/3/1</v>
      </c>
      <c r="F675">
        <v>13</v>
      </c>
    </row>
    <row r="676" spans="1:6" x14ac:dyDescent="0.2">
      <c r="A676">
        <v>4</v>
      </c>
      <c r="B676" t="s">
        <v>521</v>
      </c>
      <c r="C676">
        <v>0</v>
      </c>
      <c r="D676">
        <v>4</v>
      </c>
      <c r="E676" t="str">
        <f t="shared" si="27"/>
        <v>Jaden/4/4/0</v>
      </c>
      <c r="F676">
        <v>13</v>
      </c>
    </row>
    <row r="677" spans="1:6" x14ac:dyDescent="0.2">
      <c r="A677">
        <v>5</v>
      </c>
      <c r="B677" t="s">
        <v>27</v>
      </c>
      <c r="C677">
        <v>0</v>
      </c>
      <c r="D677">
        <v>2</v>
      </c>
      <c r="E677" t="str">
        <f t="shared" si="27"/>
        <v>Mandrake/2/5/0</v>
      </c>
      <c r="F677">
        <v>13</v>
      </c>
    </row>
    <row r="678" spans="1:6" x14ac:dyDescent="0.2">
      <c r="A678">
        <v>6</v>
      </c>
      <c r="B678" t="s">
        <v>512</v>
      </c>
      <c r="C678">
        <v>0</v>
      </c>
      <c r="D678">
        <v>1</v>
      </c>
      <c r="E678" t="str">
        <f t="shared" si="27"/>
        <v>Fishtro/1/6/0</v>
      </c>
      <c r="F678">
        <v>13</v>
      </c>
    </row>
    <row r="679" spans="1:6" x14ac:dyDescent="0.2">
      <c r="A679">
        <v>1</v>
      </c>
      <c r="B679" t="s">
        <v>42</v>
      </c>
      <c r="C679">
        <v>3</v>
      </c>
      <c r="D679">
        <v>17</v>
      </c>
      <c r="E679" t="str">
        <f t="shared" si="27"/>
        <v>Claptou/17/1/3</v>
      </c>
      <c r="F679">
        <v>13</v>
      </c>
    </row>
    <row r="680" spans="1:6" x14ac:dyDescent="0.2">
      <c r="A680">
        <v>2</v>
      </c>
      <c r="B680" t="s">
        <v>19</v>
      </c>
      <c r="C680">
        <v>0</v>
      </c>
      <c r="D680">
        <v>13</v>
      </c>
      <c r="E680" t="str">
        <f t="shared" si="27"/>
        <v>Giobeck/13/2/0</v>
      </c>
      <c r="F680">
        <v>13</v>
      </c>
    </row>
    <row r="681" spans="1:6" x14ac:dyDescent="0.2">
      <c r="A681">
        <v>3</v>
      </c>
      <c r="B681" t="s">
        <v>493</v>
      </c>
      <c r="C681">
        <v>3</v>
      </c>
      <c r="D681">
        <v>9</v>
      </c>
      <c r="E681" t="str">
        <f t="shared" si="27"/>
        <v>Rockatou/9/3/3</v>
      </c>
      <c r="F681">
        <v>13</v>
      </c>
    </row>
    <row r="682" spans="1:6" x14ac:dyDescent="0.2">
      <c r="A682">
        <v>4</v>
      </c>
      <c r="B682" t="s">
        <v>21</v>
      </c>
      <c r="C682">
        <v>0</v>
      </c>
      <c r="D682">
        <v>5</v>
      </c>
      <c r="E682" t="str">
        <f t="shared" si="27"/>
        <v>Carmin/5/4/0</v>
      </c>
      <c r="F682">
        <v>13</v>
      </c>
    </row>
    <row r="683" spans="1:6" x14ac:dyDescent="0.2">
      <c r="A683">
        <v>5</v>
      </c>
      <c r="B683" t="s">
        <v>462</v>
      </c>
      <c r="C683">
        <v>0</v>
      </c>
      <c r="D683">
        <v>3</v>
      </c>
      <c r="E683" t="str">
        <f t="shared" si="27"/>
        <v>Lizzie/3/5/0</v>
      </c>
      <c r="F683">
        <v>13</v>
      </c>
    </row>
    <row r="684" spans="1:6" x14ac:dyDescent="0.2">
      <c r="A684">
        <v>6</v>
      </c>
      <c r="B684" t="s">
        <v>525</v>
      </c>
      <c r="C684">
        <v>0</v>
      </c>
      <c r="D684">
        <v>2</v>
      </c>
      <c r="E684" t="str">
        <f t="shared" si="27"/>
        <v>Freddie/2/6/0</v>
      </c>
      <c r="F684">
        <v>13</v>
      </c>
    </row>
    <row r="685" spans="1:6" x14ac:dyDescent="0.2">
      <c r="A685">
        <v>7</v>
      </c>
      <c r="B685" t="s">
        <v>59</v>
      </c>
      <c r="C685">
        <v>0</v>
      </c>
      <c r="D685">
        <v>1</v>
      </c>
      <c r="E685" t="str">
        <f t="shared" si="27"/>
        <v>YooooDA/1/7/0</v>
      </c>
      <c r="F685">
        <v>13</v>
      </c>
    </row>
    <row r="686" spans="1:6" x14ac:dyDescent="0.2">
      <c r="A686">
        <v>1</v>
      </c>
      <c r="B686" t="s">
        <v>531</v>
      </c>
      <c r="C686">
        <v>5</v>
      </c>
      <c r="D686">
        <v>16</v>
      </c>
      <c r="E686" t="str">
        <f t="shared" si="27"/>
        <v>Toinou/16/1/5</v>
      </c>
      <c r="F686">
        <v>13</v>
      </c>
    </row>
    <row r="687" spans="1:6" x14ac:dyDescent="0.2">
      <c r="A687">
        <v>2</v>
      </c>
      <c r="B687" t="s">
        <v>66</v>
      </c>
      <c r="C687">
        <v>0</v>
      </c>
      <c r="D687">
        <v>12</v>
      </c>
      <c r="E687" t="str">
        <f t="shared" si="27"/>
        <v>Ad Vitam/12/2/0</v>
      </c>
      <c r="F687">
        <v>13</v>
      </c>
    </row>
    <row r="688" spans="1:6" x14ac:dyDescent="0.2">
      <c r="A688">
        <v>3</v>
      </c>
      <c r="B688" t="s">
        <v>65</v>
      </c>
      <c r="C688">
        <v>0</v>
      </c>
      <c r="D688">
        <v>8</v>
      </c>
      <c r="E688" t="str">
        <f t="shared" si="27"/>
        <v>Ripolin/8/3/0</v>
      </c>
      <c r="F688">
        <v>13</v>
      </c>
    </row>
    <row r="689" spans="1:6" x14ac:dyDescent="0.2">
      <c r="A689">
        <v>4</v>
      </c>
      <c r="B689" t="s">
        <v>14</v>
      </c>
      <c r="C689">
        <v>0</v>
      </c>
      <c r="D689">
        <v>4</v>
      </c>
      <c r="E689" t="str">
        <f t="shared" si="27"/>
        <v>Ramm/4/4/0</v>
      </c>
      <c r="F689">
        <v>13</v>
      </c>
    </row>
    <row r="690" spans="1:6" x14ac:dyDescent="0.2">
      <c r="A690">
        <v>5</v>
      </c>
      <c r="B690" t="s">
        <v>73</v>
      </c>
      <c r="C690">
        <v>0</v>
      </c>
      <c r="D690">
        <v>2</v>
      </c>
      <c r="E690" t="str">
        <f t="shared" si="27"/>
        <v>Flem/2/5/0</v>
      </c>
      <c r="F690">
        <v>13</v>
      </c>
    </row>
    <row r="691" spans="1:6" x14ac:dyDescent="0.2">
      <c r="A691">
        <v>6</v>
      </c>
      <c r="B691" t="s">
        <v>76</v>
      </c>
      <c r="C691">
        <v>0</v>
      </c>
      <c r="D691">
        <v>1</v>
      </c>
      <c r="E691" t="str">
        <f t="shared" si="27"/>
        <v>Comment2/1/6/0</v>
      </c>
      <c r="F691">
        <v>13</v>
      </c>
    </row>
    <row r="692" spans="1:6" x14ac:dyDescent="0.2">
      <c r="A692">
        <v>1</v>
      </c>
      <c r="B692" t="s">
        <v>505</v>
      </c>
      <c r="C692">
        <v>1</v>
      </c>
      <c r="D692">
        <v>17</v>
      </c>
      <c r="E692" t="str">
        <f t="shared" ref="E692:E733" si="28">B692&amp;"/"&amp;D692&amp;"/"&amp;A692&amp;"/"&amp;C692</f>
        <v>Mams/17/1/1</v>
      </c>
      <c r="F692">
        <v>13</v>
      </c>
    </row>
    <row r="693" spans="1:6" x14ac:dyDescent="0.2">
      <c r="A693">
        <v>2</v>
      </c>
      <c r="B693" t="s">
        <v>530</v>
      </c>
      <c r="C693">
        <v>1</v>
      </c>
      <c r="D693">
        <v>13</v>
      </c>
      <c r="E693" t="str">
        <f t="shared" si="28"/>
        <v>Flopynou/13/2/1</v>
      </c>
      <c r="F693">
        <v>13</v>
      </c>
    </row>
    <row r="694" spans="1:6" x14ac:dyDescent="0.2">
      <c r="A694">
        <v>3</v>
      </c>
      <c r="B694" t="s">
        <v>280</v>
      </c>
      <c r="C694">
        <v>3</v>
      </c>
      <c r="D694">
        <v>9</v>
      </c>
      <c r="E694" t="str">
        <f t="shared" si="28"/>
        <v>Delgres/9/3/3</v>
      </c>
      <c r="F694">
        <v>13</v>
      </c>
    </row>
    <row r="695" spans="1:6" x14ac:dyDescent="0.2">
      <c r="A695">
        <v>4</v>
      </c>
      <c r="B695" t="s">
        <v>461</v>
      </c>
      <c r="C695">
        <v>0</v>
      </c>
      <c r="D695">
        <v>5</v>
      </c>
      <c r="E695" t="str">
        <f t="shared" si="28"/>
        <v>Djecus/5/4/0</v>
      </c>
      <c r="F695">
        <v>13</v>
      </c>
    </row>
    <row r="696" spans="1:6" x14ac:dyDescent="0.2">
      <c r="A696">
        <v>5</v>
      </c>
      <c r="B696" t="s">
        <v>503</v>
      </c>
      <c r="C696">
        <v>1</v>
      </c>
      <c r="D696">
        <v>3</v>
      </c>
      <c r="E696" t="str">
        <f t="shared" si="28"/>
        <v>Yaltar/3/5/1</v>
      </c>
      <c r="F696">
        <v>13</v>
      </c>
    </row>
    <row r="697" spans="1:6" x14ac:dyDescent="0.2">
      <c r="A697">
        <v>6</v>
      </c>
      <c r="B697" t="s">
        <v>6</v>
      </c>
      <c r="C697">
        <v>0</v>
      </c>
      <c r="D697">
        <v>2</v>
      </c>
      <c r="E697" t="str">
        <f t="shared" si="28"/>
        <v>Pyja/2/6/0</v>
      </c>
      <c r="F697">
        <v>13</v>
      </c>
    </row>
    <row r="698" spans="1:6" x14ac:dyDescent="0.2">
      <c r="A698">
        <v>7</v>
      </c>
      <c r="B698" t="s">
        <v>509</v>
      </c>
      <c r="C698">
        <v>0</v>
      </c>
      <c r="D698">
        <v>1</v>
      </c>
      <c r="E698" t="str">
        <f t="shared" si="28"/>
        <v>Gibouille/1/7/0</v>
      </c>
      <c r="F698">
        <v>13</v>
      </c>
    </row>
    <row r="699" spans="1:6" x14ac:dyDescent="0.2">
      <c r="A699">
        <v>1</v>
      </c>
      <c r="B699" t="s">
        <v>345</v>
      </c>
      <c r="C699">
        <v>4</v>
      </c>
      <c r="D699">
        <v>16</v>
      </c>
      <c r="E699" t="str">
        <f t="shared" si="28"/>
        <v>Thibaultp75/16/1/4</v>
      </c>
      <c r="F699">
        <v>14</v>
      </c>
    </row>
    <row r="700" spans="1:6" x14ac:dyDescent="0.2">
      <c r="A700">
        <v>2</v>
      </c>
      <c r="B700" t="s">
        <v>25</v>
      </c>
      <c r="C700">
        <v>0</v>
      </c>
      <c r="D700">
        <v>12</v>
      </c>
      <c r="E700" t="str">
        <f t="shared" si="28"/>
        <v>Claudius/12/2/0</v>
      </c>
      <c r="F700">
        <v>14</v>
      </c>
    </row>
    <row r="701" spans="1:6" x14ac:dyDescent="0.2">
      <c r="A701">
        <v>3</v>
      </c>
      <c r="B701" t="s">
        <v>81</v>
      </c>
      <c r="C701">
        <v>1</v>
      </c>
      <c r="D701">
        <v>8</v>
      </c>
      <c r="E701" t="str">
        <f t="shared" si="28"/>
        <v>Empedocle/8/3/1</v>
      </c>
      <c r="F701">
        <v>14</v>
      </c>
    </row>
    <row r="702" spans="1:6" x14ac:dyDescent="0.2">
      <c r="A702">
        <v>4</v>
      </c>
      <c r="B702" t="s">
        <v>75</v>
      </c>
      <c r="C702">
        <v>0</v>
      </c>
      <c r="D702">
        <v>4</v>
      </c>
      <c r="E702" t="str">
        <f t="shared" si="28"/>
        <v>Michelbey/4/4/0</v>
      </c>
      <c r="F702">
        <v>14</v>
      </c>
    </row>
    <row r="703" spans="1:6" x14ac:dyDescent="0.2">
      <c r="A703">
        <v>5</v>
      </c>
      <c r="B703" t="s">
        <v>87</v>
      </c>
      <c r="C703">
        <v>0</v>
      </c>
      <c r="D703">
        <v>2</v>
      </c>
      <c r="E703" t="str">
        <f t="shared" si="28"/>
        <v>Proph@ne/2/5/0</v>
      </c>
      <c r="F703">
        <v>14</v>
      </c>
    </row>
    <row r="704" spans="1:6" x14ac:dyDescent="0.2">
      <c r="A704">
        <v>6</v>
      </c>
      <c r="B704" t="s">
        <v>40</v>
      </c>
      <c r="C704">
        <v>0</v>
      </c>
      <c r="D704">
        <v>1</v>
      </c>
      <c r="E704" t="str">
        <f t="shared" si="28"/>
        <v>Lén@/1/6/0</v>
      </c>
      <c r="F704">
        <v>14</v>
      </c>
    </row>
    <row r="705" spans="1:6" x14ac:dyDescent="0.2">
      <c r="A705">
        <v>1</v>
      </c>
      <c r="B705" t="s">
        <v>73</v>
      </c>
      <c r="C705">
        <v>4</v>
      </c>
      <c r="D705">
        <v>16</v>
      </c>
      <c r="E705" t="str">
        <f t="shared" si="28"/>
        <v>Flem/16/1/4</v>
      </c>
      <c r="F705">
        <v>14</v>
      </c>
    </row>
    <row r="706" spans="1:6" x14ac:dyDescent="0.2">
      <c r="A706">
        <v>2</v>
      </c>
      <c r="B706" t="s">
        <v>509</v>
      </c>
      <c r="C706">
        <v>1</v>
      </c>
      <c r="D706">
        <v>12</v>
      </c>
      <c r="E706" t="str">
        <f t="shared" si="28"/>
        <v>Gibouille/12/2/1</v>
      </c>
      <c r="F706">
        <v>14</v>
      </c>
    </row>
    <row r="707" spans="1:6" x14ac:dyDescent="0.2">
      <c r="A707">
        <v>3</v>
      </c>
      <c r="B707" t="s">
        <v>74</v>
      </c>
      <c r="C707">
        <v>0</v>
      </c>
      <c r="D707">
        <v>8</v>
      </c>
      <c r="E707" t="str">
        <f t="shared" si="28"/>
        <v>PatB/8/3/0</v>
      </c>
      <c r="F707">
        <v>14</v>
      </c>
    </row>
    <row r="708" spans="1:6" x14ac:dyDescent="0.2">
      <c r="A708">
        <v>4</v>
      </c>
      <c r="B708" t="s">
        <v>532</v>
      </c>
      <c r="C708">
        <v>0</v>
      </c>
      <c r="D708">
        <v>4</v>
      </c>
      <c r="E708" t="str">
        <f t="shared" si="28"/>
        <v>Boosilletoo/4/4/0</v>
      </c>
      <c r="F708">
        <v>14</v>
      </c>
    </row>
    <row r="709" spans="1:6" x14ac:dyDescent="0.2">
      <c r="A709">
        <v>5</v>
      </c>
      <c r="B709" t="s">
        <v>536</v>
      </c>
      <c r="C709">
        <v>0</v>
      </c>
      <c r="D709">
        <v>2</v>
      </c>
      <c r="E709" t="str">
        <f t="shared" si="28"/>
        <v>Algolf75/2/5/0</v>
      </c>
      <c r="F709">
        <v>14</v>
      </c>
    </row>
    <row r="710" spans="1:6" x14ac:dyDescent="0.2">
      <c r="A710">
        <v>6</v>
      </c>
      <c r="B710" t="s">
        <v>507</v>
      </c>
      <c r="C710">
        <v>0</v>
      </c>
      <c r="D710">
        <v>1</v>
      </c>
      <c r="E710" t="str">
        <f t="shared" si="28"/>
        <v>Losogre/1/6/0</v>
      </c>
      <c r="F710">
        <v>14</v>
      </c>
    </row>
    <row r="711" spans="1:6" x14ac:dyDescent="0.2">
      <c r="A711">
        <v>1</v>
      </c>
      <c r="B711" t="s">
        <v>69</v>
      </c>
      <c r="C711">
        <v>2</v>
      </c>
      <c r="D711">
        <v>17</v>
      </c>
      <c r="E711" t="str">
        <f t="shared" si="28"/>
        <v>Catherine/17/1/2</v>
      </c>
      <c r="F711">
        <v>14</v>
      </c>
    </row>
    <row r="712" spans="1:6" x14ac:dyDescent="0.2">
      <c r="A712">
        <v>2</v>
      </c>
      <c r="B712" t="s">
        <v>46</v>
      </c>
      <c r="C712">
        <v>2</v>
      </c>
      <c r="D712">
        <v>13</v>
      </c>
      <c r="E712" t="str">
        <f t="shared" si="28"/>
        <v>Jérôme/13/2/2</v>
      </c>
      <c r="F712">
        <v>14</v>
      </c>
    </row>
    <row r="713" spans="1:6" x14ac:dyDescent="0.2">
      <c r="A713">
        <v>3</v>
      </c>
      <c r="B713" t="s">
        <v>500</v>
      </c>
      <c r="C713">
        <v>1</v>
      </c>
      <c r="D713">
        <v>9</v>
      </c>
      <c r="E713" t="str">
        <f t="shared" si="28"/>
        <v>Kheops/9/3/1</v>
      </c>
      <c r="F713">
        <v>14</v>
      </c>
    </row>
    <row r="714" spans="1:6" x14ac:dyDescent="0.2">
      <c r="A714">
        <v>4</v>
      </c>
      <c r="B714" t="s">
        <v>508</v>
      </c>
      <c r="C714">
        <v>0</v>
      </c>
      <c r="D714">
        <v>5</v>
      </c>
      <c r="E714" t="str">
        <f t="shared" si="28"/>
        <v>Rmarc/5/4/0</v>
      </c>
      <c r="F714">
        <v>14</v>
      </c>
    </row>
    <row r="715" spans="1:6" x14ac:dyDescent="0.2">
      <c r="A715">
        <v>5</v>
      </c>
      <c r="B715" t="s">
        <v>476</v>
      </c>
      <c r="C715">
        <v>1</v>
      </c>
      <c r="D715">
        <v>3</v>
      </c>
      <c r="E715" t="str">
        <f t="shared" si="28"/>
        <v>MegaSouche/3/5/1</v>
      </c>
      <c r="F715">
        <v>14</v>
      </c>
    </row>
    <row r="716" spans="1:6" x14ac:dyDescent="0.2">
      <c r="A716">
        <v>6</v>
      </c>
      <c r="B716" t="s">
        <v>55</v>
      </c>
      <c r="C716">
        <v>0</v>
      </c>
      <c r="D716">
        <v>2</v>
      </c>
      <c r="E716" t="str">
        <f t="shared" si="28"/>
        <v>Bounette/2/6/0</v>
      </c>
      <c r="F716">
        <v>14</v>
      </c>
    </row>
    <row r="717" spans="1:6" x14ac:dyDescent="0.2">
      <c r="A717">
        <v>7</v>
      </c>
      <c r="B717" t="s">
        <v>65</v>
      </c>
      <c r="C717">
        <v>0</v>
      </c>
      <c r="D717">
        <v>1</v>
      </c>
      <c r="E717" t="str">
        <f t="shared" si="28"/>
        <v>Ripolin/1/7/0</v>
      </c>
      <c r="F717">
        <v>14</v>
      </c>
    </row>
    <row r="718" spans="1:6" x14ac:dyDescent="0.2">
      <c r="A718">
        <v>1</v>
      </c>
      <c r="B718" t="s">
        <v>32</v>
      </c>
      <c r="C718">
        <v>4</v>
      </c>
      <c r="D718">
        <v>16</v>
      </c>
      <c r="E718" t="str">
        <f t="shared" si="28"/>
        <v>OlivierN92/16/1/4</v>
      </c>
      <c r="F718">
        <v>14</v>
      </c>
    </row>
    <row r="719" spans="1:6" x14ac:dyDescent="0.2">
      <c r="A719">
        <v>2</v>
      </c>
      <c r="B719" t="s">
        <v>534</v>
      </c>
      <c r="C719">
        <v>1</v>
      </c>
      <c r="D719">
        <v>12</v>
      </c>
      <c r="E719" t="str">
        <f t="shared" si="28"/>
        <v>JC/12/2/1</v>
      </c>
      <c r="F719">
        <v>14</v>
      </c>
    </row>
    <row r="720" spans="1:6" x14ac:dyDescent="0.2">
      <c r="A720">
        <v>3</v>
      </c>
      <c r="B720" t="s">
        <v>14</v>
      </c>
      <c r="C720">
        <v>0</v>
      </c>
      <c r="D720">
        <v>8</v>
      </c>
      <c r="E720" t="str">
        <f t="shared" si="28"/>
        <v>Ramm/8/3/0</v>
      </c>
      <c r="F720">
        <v>14</v>
      </c>
    </row>
    <row r="721" spans="1:6" x14ac:dyDescent="0.2">
      <c r="A721">
        <v>4</v>
      </c>
      <c r="B721" t="s">
        <v>485</v>
      </c>
      <c r="C721">
        <v>0</v>
      </c>
      <c r="D721">
        <v>4</v>
      </c>
      <c r="E721" t="str">
        <f t="shared" si="28"/>
        <v>Solucky/4/4/0</v>
      </c>
      <c r="F721">
        <v>14</v>
      </c>
    </row>
    <row r="722" spans="1:6" x14ac:dyDescent="0.2">
      <c r="A722">
        <v>5</v>
      </c>
      <c r="B722" t="s">
        <v>521</v>
      </c>
      <c r="C722">
        <v>0</v>
      </c>
      <c r="D722">
        <v>2</v>
      </c>
      <c r="E722" t="str">
        <f t="shared" si="28"/>
        <v>Jaden/2/5/0</v>
      </c>
      <c r="F722">
        <v>14</v>
      </c>
    </row>
    <row r="723" spans="1:6" x14ac:dyDescent="0.2">
      <c r="A723">
        <v>6</v>
      </c>
      <c r="B723" t="s">
        <v>535</v>
      </c>
      <c r="C723">
        <v>0</v>
      </c>
      <c r="D723">
        <v>1</v>
      </c>
      <c r="E723" t="str">
        <f t="shared" si="28"/>
        <v>TheRealWill/1/6/0</v>
      </c>
      <c r="F723">
        <v>14</v>
      </c>
    </row>
    <row r="724" spans="1:6" x14ac:dyDescent="0.2">
      <c r="A724">
        <v>1</v>
      </c>
      <c r="B724" t="s">
        <v>9</v>
      </c>
      <c r="C724">
        <v>4</v>
      </c>
      <c r="D724">
        <v>17</v>
      </c>
      <c r="E724" t="str">
        <f t="shared" si="28"/>
        <v>K1/17/1/4</v>
      </c>
      <c r="F724">
        <v>14</v>
      </c>
    </row>
    <row r="725" spans="1:6" x14ac:dyDescent="0.2">
      <c r="A725">
        <v>2</v>
      </c>
      <c r="B725" t="s">
        <v>101</v>
      </c>
      <c r="C725">
        <v>0</v>
      </c>
      <c r="D725">
        <v>13</v>
      </c>
      <c r="E725" t="str">
        <f t="shared" si="28"/>
        <v>ChrisFrankfurt/13/2/0</v>
      </c>
      <c r="F725">
        <v>14</v>
      </c>
    </row>
    <row r="726" spans="1:6" x14ac:dyDescent="0.2">
      <c r="A726">
        <v>3</v>
      </c>
      <c r="B726" t="s">
        <v>493</v>
      </c>
      <c r="C726">
        <v>2</v>
      </c>
      <c r="D726">
        <v>9</v>
      </c>
      <c r="E726" t="str">
        <f t="shared" si="28"/>
        <v>Rockatou/9/3/2</v>
      </c>
      <c r="F726">
        <v>14</v>
      </c>
    </row>
    <row r="727" spans="1:6" x14ac:dyDescent="0.2">
      <c r="A727">
        <v>4</v>
      </c>
      <c r="B727" t="s">
        <v>490</v>
      </c>
      <c r="C727">
        <v>0</v>
      </c>
      <c r="D727">
        <v>5</v>
      </c>
      <c r="E727" t="str">
        <f t="shared" si="28"/>
        <v>DernierPli/5/4/0</v>
      </c>
      <c r="F727">
        <v>14</v>
      </c>
    </row>
    <row r="728" spans="1:6" x14ac:dyDescent="0.2">
      <c r="A728">
        <v>5</v>
      </c>
      <c r="B728" t="s">
        <v>505</v>
      </c>
      <c r="C728">
        <v>0</v>
      </c>
      <c r="D728">
        <v>3</v>
      </c>
      <c r="E728" t="str">
        <f t="shared" si="28"/>
        <v>Mams/3/5/0</v>
      </c>
      <c r="F728">
        <v>14</v>
      </c>
    </row>
    <row r="729" spans="1:6" x14ac:dyDescent="0.2">
      <c r="A729">
        <v>6</v>
      </c>
      <c r="B729" t="s">
        <v>530</v>
      </c>
      <c r="C729">
        <v>0</v>
      </c>
      <c r="D729">
        <v>2</v>
      </c>
      <c r="E729" t="str">
        <f t="shared" si="28"/>
        <v>Flopynou/2/6/0</v>
      </c>
      <c r="F729">
        <v>14</v>
      </c>
    </row>
    <row r="730" spans="1:6" x14ac:dyDescent="0.2">
      <c r="A730">
        <v>7</v>
      </c>
      <c r="B730" t="s">
        <v>15</v>
      </c>
      <c r="C730">
        <v>0</v>
      </c>
      <c r="D730">
        <v>1</v>
      </c>
      <c r="E730" t="str">
        <f t="shared" si="28"/>
        <v>LAAtof/1/7/0</v>
      </c>
      <c r="F730">
        <v>14</v>
      </c>
    </row>
    <row r="731" spans="1:6" x14ac:dyDescent="0.2">
      <c r="A731">
        <v>1</v>
      </c>
      <c r="B731" t="s">
        <v>6</v>
      </c>
      <c r="C731">
        <v>2</v>
      </c>
      <c r="D731">
        <v>17</v>
      </c>
      <c r="E731" t="str">
        <f t="shared" si="28"/>
        <v>Pyja/17/1/2</v>
      </c>
      <c r="F731">
        <v>14</v>
      </c>
    </row>
    <row r="732" spans="1:6" x14ac:dyDescent="0.2">
      <c r="A732">
        <v>2</v>
      </c>
      <c r="B732" t="s">
        <v>461</v>
      </c>
      <c r="C732">
        <v>3</v>
      </c>
      <c r="D732">
        <v>13</v>
      </c>
      <c r="E732" t="str">
        <f t="shared" si="28"/>
        <v>Djecus/13/2/3</v>
      </c>
      <c r="F732">
        <v>14</v>
      </c>
    </row>
    <row r="733" spans="1:6" x14ac:dyDescent="0.2">
      <c r="A733">
        <v>3</v>
      </c>
      <c r="B733" t="s">
        <v>42</v>
      </c>
      <c r="C733">
        <v>0</v>
      </c>
      <c r="D733">
        <v>9</v>
      </c>
      <c r="E733" t="str">
        <f t="shared" si="28"/>
        <v>Claptou/9/3/0</v>
      </c>
      <c r="F733">
        <v>14</v>
      </c>
    </row>
    <row r="734" spans="1:6" x14ac:dyDescent="0.2">
      <c r="A734">
        <v>4</v>
      </c>
      <c r="B734" t="s">
        <v>512</v>
      </c>
      <c r="C734">
        <v>1</v>
      </c>
      <c r="D734">
        <v>5</v>
      </c>
      <c r="E734" t="str">
        <f t="shared" ref="E734:E776" si="29">B734&amp;"/"&amp;D734&amp;"/"&amp;A734&amp;"/"&amp;C734</f>
        <v>Fishtro/5/4/1</v>
      </c>
      <c r="F734">
        <v>14</v>
      </c>
    </row>
    <row r="735" spans="1:6" x14ac:dyDescent="0.2">
      <c r="A735">
        <v>5</v>
      </c>
      <c r="B735" t="s">
        <v>504</v>
      </c>
      <c r="C735">
        <v>0</v>
      </c>
      <c r="D735">
        <v>3</v>
      </c>
      <c r="E735" t="str">
        <f t="shared" si="29"/>
        <v>Zizou/3/5/0</v>
      </c>
      <c r="F735">
        <v>14</v>
      </c>
    </row>
    <row r="736" spans="1:6" x14ac:dyDescent="0.2">
      <c r="A736">
        <v>6</v>
      </c>
      <c r="B736" t="s">
        <v>503</v>
      </c>
      <c r="C736">
        <v>0</v>
      </c>
      <c r="D736">
        <v>2</v>
      </c>
      <c r="E736" t="str">
        <f t="shared" si="29"/>
        <v>Yaltar/2/6/0</v>
      </c>
      <c r="F736">
        <v>14</v>
      </c>
    </row>
    <row r="737" spans="1:6" x14ac:dyDescent="0.2">
      <c r="A737">
        <v>7</v>
      </c>
      <c r="B737" t="s">
        <v>27</v>
      </c>
      <c r="C737">
        <v>0</v>
      </c>
      <c r="D737">
        <v>1</v>
      </c>
      <c r="E737" t="str">
        <f t="shared" si="29"/>
        <v>Mandrake/1/7/0</v>
      </c>
      <c r="F737">
        <v>14</v>
      </c>
    </row>
    <row r="738" spans="1:6" x14ac:dyDescent="0.2">
      <c r="A738">
        <v>1</v>
      </c>
      <c r="B738" t="s">
        <v>452</v>
      </c>
      <c r="C738">
        <v>3</v>
      </c>
      <c r="D738">
        <v>17</v>
      </c>
      <c r="E738" t="str">
        <f t="shared" si="29"/>
        <v>The Hengover/17/1/3</v>
      </c>
      <c r="F738">
        <v>14</v>
      </c>
    </row>
    <row r="739" spans="1:6" x14ac:dyDescent="0.2">
      <c r="A739">
        <v>2</v>
      </c>
      <c r="B739" t="s">
        <v>19</v>
      </c>
      <c r="C739">
        <v>3</v>
      </c>
      <c r="D739">
        <v>13</v>
      </c>
      <c r="E739" t="str">
        <f t="shared" si="29"/>
        <v>Giobeck/13/2/3</v>
      </c>
      <c r="F739">
        <v>14</v>
      </c>
    </row>
    <row r="740" spans="1:6" x14ac:dyDescent="0.2">
      <c r="A740">
        <v>3</v>
      </c>
      <c r="B740" t="s">
        <v>35</v>
      </c>
      <c r="C740">
        <v>0</v>
      </c>
      <c r="D740">
        <v>9</v>
      </c>
      <c r="E740" t="str">
        <f t="shared" si="29"/>
        <v>JeanMichelTiming/9/3/0</v>
      </c>
      <c r="F740">
        <v>14</v>
      </c>
    </row>
    <row r="741" spans="1:6" x14ac:dyDescent="0.2">
      <c r="A741">
        <v>4</v>
      </c>
      <c r="B741" t="s">
        <v>475</v>
      </c>
      <c r="C741">
        <v>0</v>
      </c>
      <c r="D741">
        <v>5</v>
      </c>
      <c r="E741" t="str">
        <f t="shared" si="29"/>
        <v>La Bavure/5/4/0</v>
      </c>
      <c r="F741">
        <v>14</v>
      </c>
    </row>
    <row r="742" spans="1:6" x14ac:dyDescent="0.2">
      <c r="A742">
        <v>5</v>
      </c>
      <c r="B742" t="s">
        <v>501</v>
      </c>
      <c r="C742">
        <v>0</v>
      </c>
      <c r="D742">
        <v>3</v>
      </c>
      <c r="E742" t="str">
        <f t="shared" si="29"/>
        <v>Poisson Pilote/3/5/0</v>
      </c>
      <c r="F742">
        <v>14</v>
      </c>
    </row>
    <row r="743" spans="1:6" x14ac:dyDescent="0.2">
      <c r="A743">
        <v>6</v>
      </c>
      <c r="B743" t="s">
        <v>76</v>
      </c>
      <c r="C743">
        <v>0</v>
      </c>
      <c r="D743">
        <v>2</v>
      </c>
      <c r="E743" t="str">
        <f t="shared" si="29"/>
        <v>Comment2/2/6/0</v>
      </c>
      <c r="F743">
        <v>14</v>
      </c>
    </row>
    <row r="744" spans="1:6" x14ac:dyDescent="0.2">
      <c r="A744">
        <v>7</v>
      </c>
      <c r="B744" t="s">
        <v>518</v>
      </c>
      <c r="C744">
        <v>0</v>
      </c>
      <c r="D744">
        <v>1</v>
      </c>
      <c r="E744" t="str">
        <f t="shared" si="29"/>
        <v>Soupaman/1/7/0</v>
      </c>
      <c r="F744">
        <v>14</v>
      </c>
    </row>
    <row r="745" spans="1:6" x14ac:dyDescent="0.2">
      <c r="A745">
        <v>1</v>
      </c>
      <c r="B745" t="s">
        <v>503</v>
      </c>
      <c r="C745">
        <v>1</v>
      </c>
      <c r="D745">
        <v>16</v>
      </c>
      <c r="E745" t="str">
        <f t="shared" si="29"/>
        <v>Yaltar/16/1/1</v>
      </c>
      <c r="F745">
        <v>15</v>
      </c>
    </row>
    <row r="746" spans="1:6" x14ac:dyDescent="0.2">
      <c r="A746">
        <v>2</v>
      </c>
      <c r="B746" t="s">
        <v>29</v>
      </c>
      <c r="C746">
        <v>2</v>
      </c>
      <c r="D746">
        <v>12</v>
      </c>
      <c r="E746" t="str">
        <f t="shared" si="29"/>
        <v>NoDoubt/12/2/2</v>
      </c>
      <c r="F746">
        <v>15</v>
      </c>
    </row>
    <row r="747" spans="1:6" x14ac:dyDescent="0.2">
      <c r="A747">
        <v>3</v>
      </c>
      <c r="B747" t="s">
        <v>32</v>
      </c>
      <c r="C747">
        <v>1</v>
      </c>
      <c r="D747">
        <v>8</v>
      </c>
      <c r="E747" t="str">
        <f t="shared" si="29"/>
        <v>OlivierN92/8/3/1</v>
      </c>
      <c r="F747">
        <v>15</v>
      </c>
    </row>
    <row r="748" spans="1:6" x14ac:dyDescent="0.2">
      <c r="A748">
        <v>4</v>
      </c>
      <c r="B748" t="s">
        <v>515</v>
      </c>
      <c r="C748">
        <v>1</v>
      </c>
      <c r="D748">
        <v>4</v>
      </c>
      <c r="E748" t="str">
        <f t="shared" si="29"/>
        <v>Chico/4/4/1</v>
      </c>
      <c r="F748">
        <v>15</v>
      </c>
    </row>
    <row r="749" spans="1:6" x14ac:dyDescent="0.2">
      <c r="A749">
        <v>5</v>
      </c>
      <c r="B749" t="s">
        <v>345</v>
      </c>
      <c r="C749">
        <v>0</v>
      </c>
      <c r="D749">
        <v>2</v>
      </c>
      <c r="E749" t="str">
        <f t="shared" si="29"/>
        <v>Thibaultp75/2/5/0</v>
      </c>
      <c r="F749">
        <v>15</v>
      </c>
    </row>
    <row r="750" spans="1:6" x14ac:dyDescent="0.2">
      <c r="A750">
        <v>6</v>
      </c>
      <c r="B750" t="s">
        <v>33</v>
      </c>
      <c r="C750">
        <v>0</v>
      </c>
      <c r="D750">
        <v>1</v>
      </c>
      <c r="E750" t="str">
        <f t="shared" si="29"/>
        <v>Ptit Savoyard/1/6/0</v>
      </c>
      <c r="F750">
        <v>15</v>
      </c>
    </row>
    <row r="751" spans="1:6" x14ac:dyDescent="0.2">
      <c r="A751">
        <v>1</v>
      </c>
      <c r="B751" t="s">
        <v>475</v>
      </c>
      <c r="C751">
        <v>3</v>
      </c>
      <c r="D751">
        <v>16</v>
      </c>
      <c r="E751" t="str">
        <f t="shared" si="29"/>
        <v>La Bavure/16/1/3</v>
      </c>
      <c r="F751">
        <v>15</v>
      </c>
    </row>
    <row r="752" spans="1:6" x14ac:dyDescent="0.2">
      <c r="A752">
        <v>2</v>
      </c>
      <c r="B752" t="s">
        <v>69</v>
      </c>
      <c r="C752">
        <v>2</v>
      </c>
      <c r="D752">
        <v>12</v>
      </c>
      <c r="E752" t="str">
        <f t="shared" si="29"/>
        <v>Catherine/12/2/2</v>
      </c>
      <c r="F752">
        <v>15</v>
      </c>
    </row>
    <row r="753" spans="1:6" x14ac:dyDescent="0.2">
      <c r="A753">
        <v>3</v>
      </c>
      <c r="B753" t="s">
        <v>508</v>
      </c>
      <c r="C753">
        <v>0</v>
      </c>
      <c r="D753">
        <v>8</v>
      </c>
      <c r="E753" t="str">
        <f t="shared" si="29"/>
        <v>Rmarc/8/3/0</v>
      </c>
      <c r="F753">
        <v>15</v>
      </c>
    </row>
    <row r="754" spans="1:6" x14ac:dyDescent="0.2">
      <c r="A754">
        <v>4</v>
      </c>
      <c r="B754" t="s">
        <v>479</v>
      </c>
      <c r="C754">
        <v>0</v>
      </c>
      <c r="D754">
        <v>4</v>
      </c>
      <c r="E754" t="str">
        <f t="shared" si="29"/>
        <v>Salender/4/4/0</v>
      </c>
      <c r="F754">
        <v>15</v>
      </c>
    </row>
    <row r="755" spans="1:6" x14ac:dyDescent="0.2">
      <c r="A755">
        <v>5</v>
      </c>
      <c r="B755" t="s">
        <v>519</v>
      </c>
      <c r="C755">
        <v>0</v>
      </c>
      <c r="D755">
        <v>2</v>
      </c>
      <c r="E755" t="str">
        <f t="shared" si="29"/>
        <v>Xhar92/2/5/0</v>
      </c>
      <c r="F755">
        <v>15</v>
      </c>
    </row>
    <row r="756" spans="1:6" x14ac:dyDescent="0.2">
      <c r="A756">
        <v>6</v>
      </c>
      <c r="B756" t="s">
        <v>485</v>
      </c>
      <c r="C756">
        <v>0</v>
      </c>
      <c r="D756">
        <v>1</v>
      </c>
      <c r="E756" t="str">
        <f t="shared" si="29"/>
        <v>Solucky/1/6/0</v>
      </c>
      <c r="F756">
        <v>15</v>
      </c>
    </row>
    <row r="757" spans="1:6" x14ac:dyDescent="0.2">
      <c r="A757">
        <v>1</v>
      </c>
      <c r="B757" t="s">
        <v>533</v>
      </c>
      <c r="C757">
        <v>3</v>
      </c>
      <c r="D757">
        <v>17</v>
      </c>
      <c r="E757" t="str">
        <f t="shared" si="29"/>
        <v>Ouais ouais/17/1/3</v>
      </c>
      <c r="F757">
        <v>15</v>
      </c>
    </row>
    <row r="758" spans="1:6" x14ac:dyDescent="0.2">
      <c r="A758">
        <v>2</v>
      </c>
      <c r="B758" t="s">
        <v>55</v>
      </c>
      <c r="C758">
        <v>0</v>
      </c>
      <c r="D758">
        <v>13</v>
      </c>
      <c r="E758" t="str">
        <f t="shared" si="29"/>
        <v>Bounette/13/2/0</v>
      </c>
      <c r="F758">
        <v>15</v>
      </c>
    </row>
    <row r="759" spans="1:6" x14ac:dyDescent="0.2">
      <c r="A759">
        <v>3</v>
      </c>
      <c r="B759" t="s">
        <v>19</v>
      </c>
      <c r="C759">
        <v>1</v>
      </c>
      <c r="D759">
        <v>9</v>
      </c>
      <c r="E759" t="str">
        <f t="shared" si="29"/>
        <v>Giobeck/9/3/1</v>
      </c>
      <c r="F759">
        <v>15</v>
      </c>
    </row>
    <row r="760" spans="1:6" x14ac:dyDescent="0.2">
      <c r="A760">
        <v>4</v>
      </c>
      <c r="B760" t="s">
        <v>27</v>
      </c>
      <c r="C760">
        <v>1</v>
      </c>
      <c r="D760">
        <v>5</v>
      </c>
      <c r="E760" t="str">
        <f t="shared" si="29"/>
        <v>Mandrake/5/4/1</v>
      </c>
      <c r="F760">
        <v>15</v>
      </c>
    </row>
    <row r="761" spans="1:6" x14ac:dyDescent="0.2">
      <c r="A761">
        <v>5</v>
      </c>
      <c r="B761" t="s">
        <v>452</v>
      </c>
      <c r="C761">
        <v>1</v>
      </c>
      <c r="D761">
        <v>3</v>
      </c>
      <c r="E761" t="str">
        <f t="shared" si="29"/>
        <v>The Hengover/3/5/1</v>
      </c>
      <c r="F761">
        <v>15</v>
      </c>
    </row>
    <row r="762" spans="1:6" x14ac:dyDescent="0.2">
      <c r="A762">
        <v>6</v>
      </c>
      <c r="B762" t="s">
        <v>512</v>
      </c>
      <c r="C762">
        <v>0</v>
      </c>
      <c r="D762">
        <v>2</v>
      </c>
      <c r="E762" t="str">
        <f t="shared" si="29"/>
        <v>Fishtro/2/6/0</v>
      </c>
      <c r="F762">
        <v>15</v>
      </c>
    </row>
    <row r="763" spans="1:6" x14ac:dyDescent="0.2">
      <c r="A763">
        <v>7</v>
      </c>
      <c r="B763" t="s">
        <v>35</v>
      </c>
      <c r="C763">
        <v>0</v>
      </c>
      <c r="D763">
        <v>1</v>
      </c>
      <c r="E763" t="str">
        <f t="shared" si="29"/>
        <v>JeanMichelTiming/1/7/0</v>
      </c>
      <c r="F763">
        <v>15</v>
      </c>
    </row>
    <row r="764" spans="1:6" x14ac:dyDescent="0.2">
      <c r="A764">
        <v>1</v>
      </c>
      <c r="B764" t="s">
        <v>46</v>
      </c>
      <c r="C764">
        <v>2</v>
      </c>
      <c r="D764">
        <v>17</v>
      </c>
      <c r="E764" t="str">
        <f t="shared" si="29"/>
        <v>Jérôme/17/1/2</v>
      </c>
      <c r="F764">
        <v>15</v>
      </c>
    </row>
    <row r="765" spans="1:6" x14ac:dyDescent="0.2">
      <c r="A765">
        <v>2</v>
      </c>
      <c r="B765" t="s">
        <v>500</v>
      </c>
      <c r="C765">
        <v>1</v>
      </c>
      <c r="D765">
        <v>13</v>
      </c>
      <c r="E765" t="str">
        <f t="shared" si="29"/>
        <v>Kheops/13/2/1</v>
      </c>
      <c r="F765">
        <v>15</v>
      </c>
    </row>
    <row r="766" spans="1:6" x14ac:dyDescent="0.2">
      <c r="A766">
        <v>3</v>
      </c>
      <c r="B766" t="s">
        <v>280</v>
      </c>
      <c r="C766">
        <v>1</v>
      </c>
      <c r="D766">
        <v>9</v>
      </c>
      <c r="E766" t="str">
        <f t="shared" si="29"/>
        <v>Delgres/9/3/1</v>
      </c>
      <c r="F766">
        <v>15</v>
      </c>
    </row>
    <row r="767" spans="1:6" x14ac:dyDescent="0.2">
      <c r="A767">
        <v>4</v>
      </c>
      <c r="B767" t="s">
        <v>518</v>
      </c>
      <c r="C767">
        <v>2</v>
      </c>
      <c r="D767">
        <v>5</v>
      </c>
      <c r="E767" t="str">
        <f t="shared" si="29"/>
        <v>Soupaman/5/4/2</v>
      </c>
      <c r="F767">
        <v>15</v>
      </c>
    </row>
    <row r="768" spans="1:6" x14ac:dyDescent="0.2">
      <c r="A768">
        <v>5</v>
      </c>
      <c r="B768" t="s">
        <v>73</v>
      </c>
      <c r="C768">
        <v>0</v>
      </c>
      <c r="D768">
        <v>3</v>
      </c>
      <c r="E768" t="str">
        <f t="shared" si="29"/>
        <v>Flem/3/5/0</v>
      </c>
      <c r="F768">
        <v>15</v>
      </c>
    </row>
    <row r="769" spans="1:6" x14ac:dyDescent="0.2">
      <c r="A769">
        <v>6</v>
      </c>
      <c r="B769" t="s">
        <v>526</v>
      </c>
      <c r="C769">
        <v>0</v>
      </c>
      <c r="D769">
        <v>2</v>
      </c>
      <c r="E769" t="str">
        <f t="shared" si="29"/>
        <v>Yroz/2/6/0</v>
      </c>
      <c r="F769">
        <v>15</v>
      </c>
    </row>
    <row r="770" spans="1:6" x14ac:dyDescent="0.2">
      <c r="A770">
        <v>7</v>
      </c>
      <c r="B770" t="s">
        <v>507</v>
      </c>
      <c r="C770">
        <v>0</v>
      </c>
      <c r="D770">
        <v>1</v>
      </c>
      <c r="E770" t="str">
        <f t="shared" si="29"/>
        <v>Losogre/1/7/0</v>
      </c>
      <c r="F770">
        <v>15</v>
      </c>
    </row>
    <row r="771" spans="1:6" x14ac:dyDescent="0.2">
      <c r="A771">
        <v>1</v>
      </c>
      <c r="B771" t="s">
        <v>461</v>
      </c>
      <c r="C771">
        <v>3</v>
      </c>
      <c r="D771">
        <v>16</v>
      </c>
      <c r="E771" t="str">
        <f t="shared" si="29"/>
        <v>Djecus/16/1/3</v>
      </c>
      <c r="F771">
        <v>15</v>
      </c>
    </row>
    <row r="772" spans="1:6" x14ac:dyDescent="0.2">
      <c r="A772">
        <v>2</v>
      </c>
      <c r="B772" t="s">
        <v>493</v>
      </c>
      <c r="C772">
        <v>2</v>
      </c>
      <c r="D772">
        <v>12</v>
      </c>
      <c r="E772" t="str">
        <f t="shared" si="29"/>
        <v>Rockatou/12/2/2</v>
      </c>
      <c r="F772">
        <v>15</v>
      </c>
    </row>
    <row r="773" spans="1:6" x14ac:dyDescent="0.2">
      <c r="A773">
        <v>3</v>
      </c>
      <c r="B773" t="s">
        <v>534</v>
      </c>
      <c r="C773">
        <v>0</v>
      </c>
      <c r="D773">
        <v>8</v>
      </c>
      <c r="E773" t="str">
        <f t="shared" si="29"/>
        <v>JC/8/3/0</v>
      </c>
      <c r="F773">
        <v>15</v>
      </c>
    </row>
    <row r="774" spans="1:6" x14ac:dyDescent="0.2">
      <c r="A774">
        <v>4</v>
      </c>
      <c r="B774" t="s">
        <v>6</v>
      </c>
      <c r="C774">
        <v>0</v>
      </c>
      <c r="D774">
        <v>4</v>
      </c>
      <c r="E774" t="str">
        <f t="shared" si="29"/>
        <v>Pyja/4/4/0</v>
      </c>
      <c r="F774">
        <v>15</v>
      </c>
    </row>
    <row r="775" spans="1:6" x14ac:dyDescent="0.2">
      <c r="A775">
        <v>5</v>
      </c>
      <c r="B775" t="s">
        <v>504</v>
      </c>
      <c r="C775">
        <v>0</v>
      </c>
      <c r="D775">
        <v>2</v>
      </c>
      <c r="E775" t="str">
        <f t="shared" si="29"/>
        <v>Zizou/2/5/0</v>
      </c>
      <c r="F775">
        <v>15</v>
      </c>
    </row>
    <row r="776" spans="1:6" x14ac:dyDescent="0.2">
      <c r="A776">
        <v>6</v>
      </c>
      <c r="B776" t="s">
        <v>506</v>
      </c>
      <c r="C776">
        <v>0</v>
      </c>
      <c r="D776">
        <v>1</v>
      </c>
      <c r="E776" t="str">
        <f t="shared" si="29"/>
        <v>Zubbaz/1/6/0</v>
      </c>
      <c r="F776">
        <v>15</v>
      </c>
    </row>
    <row r="777" spans="1:6" x14ac:dyDescent="0.2">
      <c r="A777">
        <v>1</v>
      </c>
      <c r="B777" t="s">
        <v>87</v>
      </c>
      <c r="C777">
        <v>4</v>
      </c>
      <c r="D777">
        <v>16</v>
      </c>
      <c r="E777" t="str">
        <f t="shared" ref="E777:E817" si="30">B777&amp;"/"&amp;D777&amp;"/"&amp;A777&amp;"/"&amp;C777</f>
        <v>Proph@ne/16/1/4</v>
      </c>
      <c r="F777">
        <v>15</v>
      </c>
    </row>
    <row r="778" spans="1:6" x14ac:dyDescent="0.2">
      <c r="A778">
        <v>2</v>
      </c>
      <c r="B778" t="s">
        <v>516</v>
      </c>
      <c r="C778">
        <v>1</v>
      </c>
      <c r="D778">
        <v>12</v>
      </c>
      <c r="E778" t="str">
        <f t="shared" si="30"/>
        <v>Tenko/12/2/1</v>
      </c>
      <c r="F778">
        <v>15</v>
      </c>
    </row>
    <row r="779" spans="1:6" x14ac:dyDescent="0.2">
      <c r="A779">
        <v>3</v>
      </c>
      <c r="B779" t="s">
        <v>490</v>
      </c>
      <c r="C779">
        <v>0</v>
      </c>
      <c r="D779">
        <v>8</v>
      </c>
      <c r="E779" t="str">
        <f t="shared" si="30"/>
        <v>DernierPli/8/3/0</v>
      </c>
      <c r="F779">
        <v>15</v>
      </c>
    </row>
    <row r="780" spans="1:6" x14ac:dyDescent="0.2">
      <c r="A780">
        <v>4</v>
      </c>
      <c r="B780" t="s">
        <v>74</v>
      </c>
      <c r="C780">
        <v>0</v>
      </c>
      <c r="D780">
        <v>4</v>
      </c>
      <c r="E780" t="str">
        <f t="shared" si="30"/>
        <v>PatB/4/4/0</v>
      </c>
      <c r="F780">
        <v>15</v>
      </c>
    </row>
    <row r="781" spans="1:6" x14ac:dyDescent="0.2">
      <c r="A781">
        <v>5</v>
      </c>
      <c r="B781" t="s">
        <v>15</v>
      </c>
      <c r="C781">
        <v>0</v>
      </c>
      <c r="D781">
        <v>2</v>
      </c>
      <c r="E781" t="str">
        <f t="shared" si="30"/>
        <v>LAAtof/2/5/0</v>
      </c>
      <c r="F781">
        <v>15</v>
      </c>
    </row>
    <row r="782" spans="1:6" x14ac:dyDescent="0.2">
      <c r="A782">
        <v>6</v>
      </c>
      <c r="B782" t="s">
        <v>525</v>
      </c>
      <c r="C782">
        <v>0</v>
      </c>
      <c r="D782">
        <v>1</v>
      </c>
      <c r="E782" t="str">
        <f t="shared" si="30"/>
        <v>Freddie/1/6/0</v>
      </c>
      <c r="F782">
        <v>15</v>
      </c>
    </row>
    <row r="783" spans="1:6" x14ac:dyDescent="0.2">
      <c r="A783">
        <v>1</v>
      </c>
      <c r="B783" t="s">
        <v>42</v>
      </c>
      <c r="C783">
        <v>0</v>
      </c>
      <c r="D783">
        <v>17</v>
      </c>
      <c r="E783" t="str">
        <f t="shared" si="30"/>
        <v>Claptou/17/1/0</v>
      </c>
      <c r="F783">
        <v>15</v>
      </c>
    </row>
    <row r="784" spans="1:6" x14ac:dyDescent="0.2">
      <c r="A784">
        <v>2</v>
      </c>
      <c r="B784" t="s">
        <v>25</v>
      </c>
      <c r="C784">
        <v>3</v>
      </c>
      <c r="D784">
        <v>13</v>
      </c>
      <c r="E784" t="str">
        <f t="shared" si="30"/>
        <v>Claudius/13/2/3</v>
      </c>
      <c r="F784">
        <v>15</v>
      </c>
    </row>
    <row r="785" spans="1:6" x14ac:dyDescent="0.2">
      <c r="A785">
        <v>3</v>
      </c>
      <c r="B785" t="s">
        <v>505</v>
      </c>
      <c r="C785">
        <v>2</v>
      </c>
      <c r="D785">
        <v>9</v>
      </c>
      <c r="E785" t="str">
        <f t="shared" si="30"/>
        <v>Mams/9/3/2</v>
      </c>
      <c r="F785">
        <v>15</v>
      </c>
    </row>
    <row r="786" spans="1:6" x14ac:dyDescent="0.2">
      <c r="A786">
        <v>4</v>
      </c>
      <c r="B786" t="s">
        <v>75</v>
      </c>
      <c r="C786">
        <v>1</v>
      </c>
      <c r="D786">
        <v>5</v>
      </c>
      <c r="E786" t="str">
        <f t="shared" si="30"/>
        <v>Michelbey/5/4/1</v>
      </c>
      <c r="F786">
        <v>15</v>
      </c>
    </row>
    <row r="787" spans="1:6" x14ac:dyDescent="0.2">
      <c r="A787">
        <v>5</v>
      </c>
      <c r="B787" t="s">
        <v>61</v>
      </c>
      <c r="C787">
        <v>0</v>
      </c>
      <c r="D787">
        <v>3</v>
      </c>
      <c r="E787" t="str">
        <f t="shared" si="30"/>
        <v>Kri-lin/3/5/0</v>
      </c>
      <c r="F787">
        <v>15</v>
      </c>
    </row>
    <row r="788" spans="1:6" x14ac:dyDescent="0.2">
      <c r="A788">
        <v>6</v>
      </c>
      <c r="B788" t="s">
        <v>454</v>
      </c>
      <c r="C788">
        <v>0</v>
      </c>
      <c r="D788">
        <v>2</v>
      </c>
      <c r="E788" t="str">
        <f t="shared" si="30"/>
        <v>Gibbonfury/2/6/0</v>
      </c>
      <c r="F788">
        <v>15</v>
      </c>
    </row>
    <row r="789" spans="1:6" x14ac:dyDescent="0.2">
      <c r="A789">
        <v>7</v>
      </c>
      <c r="B789" t="s">
        <v>9</v>
      </c>
      <c r="C789">
        <v>0</v>
      </c>
      <c r="D789">
        <v>1</v>
      </c>
      <c r="E789" t="str">
        <f t="shared" si="30"/>
        <v>K1/1/7/0</v>
      </c>
      <c r="F789">
        <v>15</v>
      </c>
    </row>
    <row r="790" spans="1:6" x14ac:dyDescent="0.2">
      <c r="A790">
        <v>1</v>
      </c>
      <c r="B790" t="s">
        <v>66</v>
      </c>
      <c r="C790">
        <v>2</v>
      </c>
      <c r="D790">
        <v>16</v>
      </c>
      <c r="E790" t="str">
        <f t="shared" si="30"/>
        <v>Ad Vitam/16/1/2</v>
      </c>
      <c r="F790">
        <v>15</v>
      </c>
    </row>
    <row r="791" spans="1:6" x14ac:dyDescent="0.2">
      <c r="A791">
        <v>2</v>
      </c>
      <c r="B791" t="s">
        <v>76</v>
      </c>
      <c r="C791">
        <v>3</v>
      </c>
      <c r="D791">
        <v>12</v>
      </c>
      <c r="E791" t="str">
        <f t="shared" si="30"/>
        <v>Comment2/12/2/3</v>
      </c>
      <c r="F791">
        <v>15</v>
      </c>
    </row>
    <row r="792" spans="1:6" x14ac:dyDescent="0.2">
      <c r="A792">
        <v>3</v>
      </c>
      <c r="B792" t="s">
        <v>21</v>
      </c>
      <c r="C792">
        <v>0</v>
      </c>
      <c r="D792">
        <v>8</v>
      </c>
      <c r="E792" t="str">
        <f t="shared" si="30"/>
        <v>Carmin/8/3/0</v>
      </c>
      <c r="F792">
        <v>15</v>
      </c>
    </row>
    <row r="793" spans="1:6" x14ac:dyDescent="0.2">
      <c r="A793">
        <v>4</v>
      </c>
      <c r="B793" t="s">
        <v>509</v>
      </c>
      <c r="C793">
        <v>0</v>
      </c>
      <c r="D793">
        <v>4</v>
      </c>
      <c r="E793" t="str">
        <f t="shared" si="30"/>
        <v>Gibouille/4/4/0</v>
      </c>
      <c r="F793">
        <v>15</v>
      </c>
    </row>
    <row r="794" spans="1:6" x14ac:dyDescent="0.2">
      <c r="A794">
        <v>5</v>
      </c>
      <c r="B794" t="s">
        <v>530</v>
      </c>
      <c r="C794">
        <v>0</v>
      </c>
      <c r="D794">
        <v>2</v>
      </c>
      <c r="E794" t="str">
        <f t="shared" si="30"/>
        <v>Flopynou/2/5/0</v>
      </c>
      <c r="F794">
        <v>15</v>
      </c>
    </row>
    <row r="795" spans="1:6" x14ac:dyDescent="0.2">
      <c r="A795">
        <v>6</v>
      </c>
      <c r="B795" t="s">
        <v>101</v>
      </c>
      <c r="C795">
        <v>0</v>
      </c>
      <c r="D795">
        <v>1</v>
      </c>
      <c r="E795" t="str">
        <f t="shared" si="30"/>
        <v>ChrisFrankfurt/1/6/0</v>
      </c>
      <c r="F795">
        <v>15</v>
      </c>
    </row>
    <row r="796" spans="1:6" x14ac:dyDescent="0.2">
      <c r="A796">
        <v>1</v>
      </c>
      <c r="B796" t="s">
        <v>484</v>
      </c>
      <c r="C796">
        <v>2</v>
      </c>
      <c r="D796">
        <v>17</v>
      </c>
      <c r="E796" t="str">
        <f t="shared" si="30"/>
        <v>Guerno/17/1/2</v>
      </c>
      <c r="F796">
        <v>16</v>
      </c>
    </row>
    <row r="797" spans="1:6" x14ac:dyDescent="0.2">
      <c r="A797">
        <v>2</v>
      </c>
      <c r="B797" t="s">
        <v>463</v>
      </c>
      <c r="C797">
        <v>3</v>
      </c>
      <c r="D797">
        <v>13</v>
      </c>
      <c r="E797" t="str">
        <f t="shared" si="30"/>
        <v>Oldex/13/2/3</v>
      </c>
      <c r="F797">
        <v>16</v>
      </c>
    </row>
    <row r="798" spans="1:6" x14ac:dyDescent="0.2">
      <c r="A798">
        <v>3</v>
      </c>
      <c r="B798" t="s">
        <v>490</v>
      </c>
      <c r="C798">
        <v>0</v>
      </c>
      <c r="D798">
        <v>9</v>
      </c>
      <c r="E798" t="str">
        <f t="shared" si="30"/>
        <v>DernierPli/9/3/0</v>
      </c>
      <c r="F798">
        <v>16</v>
      </c>
    </row>
    <row r="799" spans="1:6" x14ac:dyDescent="0.2">
      <c r="A799">
        <v>4</v>
      </c>
      <c r="B799" t="s">
        <v>73</v>
      </c>
      <c r="C799">
        <v>1</v>
      </c>
      <c r="D799">
        <v>5</v>
      </c>
      <c r="E799" t="str">
        <f t="shared" si="30"/>
        <v>Flem/5/4/1</v>
      </c>
      <c r="F799">
        <v>16</v>
      </c>
    </row>
    <row r="800" spans="1:6" x14ac:dyDescent="0.2">
      <c r="A800">
        <v>5</v>
      </c>
      <c r="B800" t="s">
        <v>504</v>
      </c>
      <c r="C800">
        <v>0</v>
      </c>
      <c r="D800">
        <v>3</v>
      </c>
      <c r="E800" t="str">
        <f t="shared" si="30"/>
        <v>Zizou/3/5/0</v>
      </c>
      <c r="F800">
        <v>16</v>
      </c>
    </row>
    <row r="801" spans="1:6" x14ac:dyDescent="0.2">
      <c r="A801">
        <v>6</v>
      </c>
      <c r="B801" t="s">
        <v>9</v>
      </c>
      <c r="C801">
        <v>0</v>
      </c>
      <c r="D801">
        <v>2</v>
      </c>
      <c r="E801" t="str">
        <f t="shared" si="30"/>
        <v>K1/2/6/0</v>
      </c>
      <c r="F801">
        <v>16</v>
      </c>
    </row>
    <row r="802" spans="1:6" x14ac:dyDescent="0.2">
      <c r="A802">
        <v>7</v>
      </c>
      <c r="B802" t="s">
        <v>33</v>
      </c>
      <c r="C802">
        <v>0</v>
      </c>
      <c r="D802">
        <v>1</v>
      </c>
      <c r="E802" t="str">
        <f t="shared" si="30"/>
        <v>Ptit Savoyard/1/7/0</v>
      </c>
      <c r="F802">
        <v>16</v>
      </c>
    </row>
    <row r="803" spans="1:6" x14ac:dyDescent="0.2">
      <c r="A803">
        <v>1</v>
      </c>
      <c r="B803" t="s">
        <v>461</v>
      </c>
      <c r="C803">
        <v>2</v>
      </c>
      <c r="D803">
        <v>17</v>
      </c>
      <c r="E803" t="str">
        <f t="shared" si="30"/>
        <v>Djecus/17/1/2</v>
      </c>
      <c r="F803">
        <v>16</v>
      </c>
    </row>
    <row r="804" spans="1:6" x14ac:dyDescent="0.2">
      <c r="A804">
        <v>2</v>
      </c>
      <c r="B804" t="s">
        <v>519</v>
      </c>
      <c r="C804">
        <v>0</v>
      </c>
      <c r="D804">
        <v>13</v>
      </c>
      <c r="E804" t="str">
        <f t="shared" si="30"/>
        <v>Xhar92/13/2/0</v>
      </c>
      <c r="F804">
        <v>16</v>
      </c>
    </row>
    <row r="805" spans="1:6" x14ac:dyDescent="0.2">
      <c r="A805">
        <v>3</v>
      </c>
      <c r="B805" t="s">
        <v>493</v>
      </c>
      <c r="C805">
        <v>4</v>
      </c>
      <c r="D805">
        <v>9</v>
      </c>
      <c r="E805" t="str">
        <f t="shared" si="30"/>
        <v>Rockatou/9/3/4</v>
      </c>
      <c r="F805">
        <v>16</v>
      </c>
    </row>
    <row r="806" spans="1:6" x14ac:dyDescent="0.2">
      <c r="A806">
        <v>4</v>
      </c>
      <c r="B806" t="s">
        <v>81</v>
      </c>
      <c r="C806">
        <v>0</v>
      </c>
      <c r="D806">
        <v>5</v>
      </c>
      <c r="E806" t="str">
        <f t="shared" si="30"/>
        <v>Empedocle/5/4/0</v>
      </c>
      <c r="F806">
        <v>16</v>
      </c>
    </row>
    <row r="807" spans="1:6" x14ac:dyDescent="0.2">
      <c r="A807">
        <v>5</v>
      </c>
      <c r="B807" t="s">
        <v>518</v>
      </c>
      <c r="C807">
        <v>0</v>
      </c>
      <c r="D807">
        <v>3</v>
      </c>
      <c r="E807" t="str">
        <f t="shared" si="30"/>
        <v>Soupaman/3/5/0</v>
      </c>
      <c r="F807">
        <v>16</v>
      </c>
    </row>
    <row r="808" spans="1:6" x14ac:dyDescent="0.2">
      <c r="A808">
        <v>6</v>
      </c>
      <c r="B808" t="s">
        <v>69</v>
      </c>
      <c r="C808">
        <v>0</v>
      </c>
      <c r="D808">
        <v>2</v>
      </c>
      <c r="E808" t="str">
        <f t="shared" si="30"/>
        <v>Catherine/2/6/0</v>
      </c>
      <c r="F808">
        <v>16</v>
      </c>
    </row>
    <row r="809" spans="1:6" x14ac:dyDescent="0.2">
      <c r="A809">
        <v>7</v>
      </c>
      <c r="B809" t="s">
        <v>485</v>
      </c>
      <c r="C809">
        <v>0</v>
      </c>
      <c r="D809">
        <v>1</v>
      </c>
      <c r="E809" t="str">
        <f t="shared" si="30"/>
        <v>Solucky/1/7/0</v>
      </c>
      <c r="F809">
        <v>16</v>
      </c>
    </row>
    <row r="810" spans="1:6" x14ac:dyDescent="0.2">
      <c r="A810">
        <v>1</v>
      </c>
      <c r="B810" t="s">
        <v>46</v>
      </c>
      <c r="C810">
        <v>3</v>
      </c>
      <c r="D810">
        <v>17</v>
      </c>
      <c r="E810" t="str">
        <f t="shared" si="30"/>
        <v>Jérôme/17/1/3</v>
      </c>
      <c r="F810">
        <v>16</v>
      </c>
    </row>
    <row r="811" spans="1:6" x14ac:dyDescent="0.2">
      <c r="A811">
        <v>2</v>
      </c>
      <c r="B811" t="s">
        <v>509</v>
      </c>
      <c r="C811">
        <v>2</v>
      </c>
      <c r="D811">
        <v>13</v>
      </c>
      <c r="E811" t="str">
        <f t="shared" si="30"/>
        <v>Gibouille/13/2/2</v>
      </c>
      <c r="F811">
        <v>16</v>
      </c>
    </row>
    <row r="812" spans="1:6" x14ac:dyDescent="0.2">
      <c r="A812">
        <v>3</v>
      </c>
      <c r="B812" t="s">
        <v>526</v>
      </c>
      <c r="C812">
        <v>1</v>
      </c>
      <c r="D812">
        <v>9</v>
      </c>
      <c r="E812" t="str">
        <f t="shared" si="30"/>
        <v>Yroz/9/3/1</v>
      </c>
      <c r="F812">
        <v>16</v>
      </c>
    </row>
    <row r="813" spans="1:6" x14ac:dyDescent="0.2">
      <c r="A813">
        <v>4</v>
      </c>
      <c r="B813" t="s">
        <v>42</v>
      </c>
      <c r="C813">
        <v>0</v>
      </c>
      <c r="D813">
        <v>5</v>
      </c>
      <c r="E813" t="str">
        <f t="shared" si="30"/>
        <v>Claptou/5/4/0</v>
      </c>
      <c r="F813">
        <v>16</v>
      </c>
    </row>
    <row r="814" spans="1:6" x14ac:dyDescent="0.2">
      <c r="A814">
        <v>5</v>
      </c>
      <c r="B814" t="s">
        <v>15</v>
      </c>
      <c r="C814">
        <v>0</v>
      </c>
      <c r="D814">
        <v>3</v>
      </c>
      <c r="E814" t="str">
        <f t="shared" si="30"/>
        <v>LAAtof/3/5/0</v>
      </c>
      <c r="F814">
        <v>16</v>
      </c>
    </row>
    <row r="815" spans="1:6" x14ac:dyDescent="0.2">
      <c r="A815">
        <v>6</v>
      </c>
      <c r="B815" t="s">
        <v>534</v>
      </c>
      <c r="C815">
        <v>0</v>
      </c>
      <c r="D815">
        <v>2</v>
      </c>
      <c r="E815" t="str">
        <f t="shared" si="30"/>
        <v>JC/2/6/0</v>
      </c>
      <c r="F815">
        <v>16</v>
      </c>
    </row>
    <row r="816" spans="1:6" x14ac:dyDescent="0.2">
      <c r="A816">
        <v>7</v>
      </c>
      <c r="B816" t="s">
        <v>6</v>
      </c>
      <c r="C816">
        <v>0</v>
      </c>
      <c r="D816">
        <v>1</v>
      </c>
      <c r="E816" t="str">
        <f t="shared" si="30"/>
        <v>Pyja/1/7/0</v>
      </c>
      <c r="F816">
        <v>16</v>
      </c>
    </row>
    <row r="817" spans="1:6" x14ac:dyDescent="0.2">
      <c r="A817">
        <v>1</v>
      </c>
      <c r="B817" t="s">
        <v>502</v>
      </c>
      <c r="C817">
        <v>3</v>
      </c>
      <c r="D817">
        <v>17</v>
      </c>
      <c r="E817" t="str">
        <f t="shared" si="30"/>
        <v>Sobab/17/1/3</v>
      </c>
      <c r="F817">
        <v>16</v>
      </c>
    </row>
    <row r="818" spans="1:6" x14ac:dyDescent="0.2">
      <c r="A818">
        <v>2</v>
      </c>
      <c r="B818" t="s">
        <v>55</v>
      </c>
      <c r="C818">
        <v>3</v>
      </c>
      <c r="D818">
        <v>13</v>
      </c>
      <c r="E818" t="str">
        <f t="shared" ref="E818:E863" si="31">B818&amp;"/"&amp;D818&amp;"/"&amp;A818&amp;"/"&amp;C818</f>
        <v>Bounette/13/2/3</v>
      </c>
      <c r="F818">
        <v>16</v>
      </c>
    </row>
    <row r="819" spans="1:6" x14ac:dyDescent="0.2">
      <c r="A819">
        <v>3</v>
      </c>
      <c r="B819" t="s">
        <v>14</v>
      </c>
      <c r="C819">
        <v>0</v>
      </c>
      <c r="D819">
        <v>9</v>
      </c>
      <c r="E819" t="str">
        <f t="shared" si="31"/>
        <v>Ramm/9/3/0</v>
      </c>
      <c r="F819">
        <v>16</v>
      </c>
    </row>
    <row r="820" spans="1:6" x14ac:dyDescent="0.2">
      <c r="A820">
        <v>4</v>
      </c>
      <c r="B820" t="s">
        <v>507</v>
      </c>
      <c r="C820">
        <v>0</v>
      </c>
      <c r="D820">
        <v>5</v>
      </c>
      <c r="E820" t="str">
        <f t="shared" si="31"/>
        <v>Losogre/5/4/0</v>
      </c>
      <c r="F820">
        <v>16</v>
      </c>
    </row>
    <row r="821" spans="1:6" x14ac:dyDescent="0.2">
      <c r="A821">
        <v>5</v>
      </c>
      <c r="B821" t="s">
        <v>87</v>
      </c>
      <c r="C821">
        <v>0</v>
      </c>
      <c r="D821">
        <v>3</v>
      </c>
      <c r="E821" t="str">
        <f t="shared" si="31"/>
        <v>Proph@ne/3/5/0</v>
      </c>
      <c r="F821">
        <v>16</v>
      </c>
    </row>
    <row r="822" spans="1:6" x14ac:dyDescent="0.2">
      <c r="A822">
        <v>6</v>
      </c>
      <c r="B822" t="s">
        <v>74</v>
      </c>
      <c r="C822">
        <v>0</v>
      </c>
      <c r="D822">
        <v>2</v>
      </c>
      <c r="E822" t="str">
        <f t="shared" si="31"/>
        <v>PatB/2/6/0</v>
      </c>
      <c r="F822">
        <v>16</v>
      </c>
    </row>
    <row r="823" spans="1:6" x14ac:dyDescent="0.2">
      <c r="A823">
        <v>7</v>
      </c>
      <c r="B823" t="s">
        <v>516</v>
      </c>
      <c r="C823">
        <v>0</v>
      </c>
      <c r="D823">
        <v>1</v>
      </c>
      <c r="E823" t="str">
        <f t="shared" si="31"/>
        <v>Tenko/1/7/0</v>
      </c>
      <c r="F823">
        <v>16</v>
      </c>
    </row>
    <row r="824" spans="1:6" x14ac:dyDescent="0.2">
      <c r="A824">
        <v>1</v>
      </c>
      <c r="B824" t="s">
        <v>101</v>
      </c>
      <c r="C824">
        <v>2</v>
      </c>
      <c r="D824">
        <v>18</v>
      </c>
      <c r="E824" t="str">
        <f t="shared" si="31"/>
        <v>ChrisFrankfurt/18/1/2</v>
      </c>
      <c r="F824">
        <v>16</v>
      </c>
    </row>
    <row r="825" spans="1:6" x14ac:dyDescent="0.2">
      <c r="A825">
        <v>2</v>
      </c>
      <c r="B825" t="s">
        <v>66</v>
      </c>
      <c r="C825">
        <v>2</v>
      </c>
      <c r="D825">
        <v>14</v>
      </c>
      <c r="E825" t="str">
        <f t="shared" si="31"/>
        <v>Ad Vitam/14/2/2</v>
      </c>
      <c r="F825">
        <v>16</v>
      </c>
    </row>
    <row r="826" spans="1:6" x14ac:dyDescent="0.2">
      <c r="A826">
        <v>3</v>
      </c>
      <c r="B826" t="s">
        <v>19</v>
      </c>
      <c r="C826">
        <v>1</v>
      </c>
      <c r="D826">
        <v>10</v>
      </c>
      <c r="E826" t="str">
        <f t="shared" si="31"/>
        <v>Giobeck/10/3/1</v>
      </c>
      <c r="F826">
        <v>16</v>
      </c>
    </row>
    <row r="827" spans="1:6" x14ac:dyDescent="0.2">
      <c r="A827">
        <v>4</v>
      </c>
      <c r="B827" t="s">
        <v>505</v>
      </c>
      <c r="C827">
        <v>0</v>
      </c>
      <c r="D827">
        <v>6</v>
      </c>
      <c r="E827" t="str">
        <f t="shared" si="31"/>
        <v>Mams/6/4/0</v>
      </c>
      <c r="F827">
        <v>16</v>
      </c>
    </row>
    <row r="828" spans="1:6" x14ac:dyDescent="0.2">
      <c r="A828">
        <v>5</v>
      </c>
      <c r="B828" t="s">
        <v>21</v>
      </c>
      <c r="C828">
        <v>2</v>
      </c>
      <c r="D828">
        <v>4</v>
      </c>
      <c r="E828" t="str">
        <f t="shared" si="31"/>
        <v>Carmin/4/5/2</v>
      </c>
      <c r="F828">
        <v>16</v>
      </c>
    </row>
    <row r="829" spans="1:6" x14ac:dyDescent="0.2">
      <c r="A829">
        <v>6</v>
      </c>
      <c r="B829" t="s">
        <v>501</v>
      </c>
      <c r="C829">
        <v>0</v>
      </c>
      <c r="D829">
        <v>3</v>
      </c>
      <c r="E829" t="str">
        <f t="shared" si="31"/>
        <v>Poisson Pilote/3/6/0</v>
      </c>
      <c r="F829">
        <v>16</v>
      </c>
    </row>
    <row r="830" spans="1:6" x14ac:dyDescent="0.2">
      <c r="A830">
        <v>7</v>
      </c>
      <c r="B830" t="s">
        <v>25</v>
      </c>
      <c r="C830">
        <v>0</v>
      </c>
      <c r="D830">
        <v>2</v>
      </c>
      <c r="E830" t="str">
        <f t="shared" si="31"/>
        <v>Claudius/2/7/0</v>
      </c>
      <c r="F830">
        <v>16</v>
      </c>
    </row>
    <row r="831" spans="1:6" x14ac:dyDescent="0.2">
      <c r="A831">
        <v>8</v>
      </c>
      <c r="B831" t="s">
        <v>512</v>
      </c>
      <c r="C831">
        <v>0</v>
      </c>
      <c r="D831">
        <v>1</v>
      </c>
      <c r="E831" t="str">
        <f t="shared" si="31"/>
        <v>Fishtro/1/8/0</v>
      </c>
      <c r="F831">
        <v>16</v>
      </c>
    </row>
    <row r="832" spans="1:6" x14ac:dyDescent="0.2">
      <c r="A832">
        <v>1</v>
      </c>
      <c r="B832" t="s">
        <v>75</v>
      </c>
      <c r="C832">
        <v>3</v>
      </c>
      <c r="D832">
        <v>17</v>
      </c>
      <c r="E832" t="str">
        <f t="shared" si="31"/>
        <v>Michelbey/17/1/3</v>
      </c>
      <c r="F832">
        <v>16</v>
      </c>
    </row>
    <row r="833" spans="1:6" x14ac:dyDescent="0.2">
      <c r="A833">
        <v>2</v>
      </c>
      <c r="B833" t="s">
        <v>503</v>
      </c>
      <c r="C833">
        <v>3</v>
      </c>
      <c r="D833">
        <v>13</v>
      </c>
      <c r="E833" t="str">
        <f t="shared" si="31"/>
        <v>Yaltar/13/2/3</v>
      </c>
      <c r="F833">
        <v>16</v>
      </c>
    </row>
    <row r="834" spans="1:6" x14ac:dyDescent="0.2">
      <c r="A834">
        <v>3</v>
      </c>
      <c r="B834" t="s">
        <v>454</v>
      </c>
      <c r="C834">
        <v>0</v>
      </c>
      <c r="D834">
        <v>9</v>
      </c>
      <c r="E834" t="str">
        <f t="shared" si="31"/>
        <v>Gibbonfury/9/3/0</v>
      </c>
      <c r="F834">
        <v>16</v>
      </c>
    </row>
    <row r="835" spans="1:6" x14ac:dyDescent="0.2">
      <c r="A835">
        <v>4</v>
      </c>
      <c r="B835" t="s">
        <v>510</v>
      </c>
      <c r="C835">
        <v>0</v>
      </c>
      <c r="D835">
        <v>5</v>
      </c>
      <c r="E835" t="str">
        <f t="shared" si="31"/>
        <v>Magic Mykiss/5/4/0</v>
      </c>
      <c r="F835">
        <v>16</v>
      </c>
    </row>
    <row r="836" spans="1:6" x14ac:dyDescent="0.2">
      <c r="A836">
        <v>5</v>
      </c>
      <c r="B836" t="s">
        <v>475</v>
      </c>
      <c r="C836">
        <v>0</v>
      </c>
      <c r="D836">
        <v>3</v>
      </c>
      <c r="E836" t="str">
        <f t="shared" si="31"/>
        <v>La Bavure/3/5/0</v>
      </c>
      <c r="F836">
        <v>16</v>
      </c>
    </row>
    <row r="837" spans="1:6" x14ac:dyDescent="0.2">
      <c r="A837">
        <v>6</v>
      </c>
      <c r="B837" t="s">
        <v>525</v>
      </c>
      <c r="C837">
        <v>0</v>
      </c>
      <c r="D837">
        <v>2</v>
      </c>
      <c r="E837" t="str">
        <f t="shared" si="31"/>
        <v>Freddie/2/6/0</v>
      </c>
      <c r="F837">
        <v>16</v>
      </c>
    </row>
    <row r="838" spans="1:6" x14ac:dyDescent="0.2">
      <c r="A838">
        <v>7</v>
      </c>
      <c r="B838" t="s">
        <v>32</v>
      </c>
      <c r="C838">
        <v>0</v>
      </c>
      <c r="D838">
        <v>1</v>
      </c>
      <c r="E838" t="str">
        <f t="shared" si="31"/>
        <v>OlivierN92/1/7/0</v>
      </c>
      <c r="F838">
        <v>16</v>
      </c>
    </row>
    <row r="839" spans="1:6" x14ac:dyDescent="0.2">
      <c r="A839">
        <v>1</v>
      </c>
      <c r="B839" t="s">
        <v>512</v>
      </c>
      <c r="C839">
        <v>4</v>
      </c>
      <c r="D839">
        <v>16</v>
      </c>
      <c r="E839" t="str">
        <f t="shared" si="31"/>
        <v>Fishtro/16/1/4</v>
      </c>
      <c r="F839">
        <v>17</v>
      </c>
    </row>
    <row r="840" spans="1:6" x14ac:dyDescent="0.2">
      <c r="A840">
        <v>2</v>
      </c>
      <c r="B840" t="s">
        <v>475</v>
      </c>
      <c r="C840">
        <v>1</v>
      </c>
      <c r="D840">
        <v>12</v>
      </c>
      <c r="E840" t="str">
        <f t="shared" si="31"/>
        <v>La Bavure/12/2/1</v>
      </c>
      <c r="F840">
        <v>17</v>
      </c>
    </row>
    <row r="841" spans="1:6" x14ac:dyDescent="0.2">
      <c r="A841">
        <v>3</v>
      </c>
      <c r="B841" t="s">
        <v>6</v>
      </c>
      <c r="C841">
        <v>0</v>
      </c>
      <c r="D841">
        <v>8</v>
      </c>
      <c r="E841" t="str">
        <f t="shared" si="31"/>
        <v>Pyja/8/3/0</v>
      </c>
      <c r="F841">
        <v>17</v>
      </c>
    </row>
    <row r="842" spans="1:6" x14ac:dyDescent="0.2">
      <c r="A842">
        <v>4</v>
      </c>
      <c r="B842" t="s">
        <v>345</v>
      </c>
      <c r="C842">
        <v>0</v>
      </c>
      <c r="D842">
        <v>4</v>
      </c>
      <c r="E842" t="str">
        <f t="shared" si="31"/>
        <v>Thibaultp75/4/4/0</v>
      </c>
      <c r="F842">
        <v>17</v>
      </c>
    </row>
    <row r="843" spans="1:6" x14ac:dyDescent="0.2">
      <c r="A843">
        <v>5</v>
      </c>
      <c r="B843" t="s">
        <v>42</v>
      </c>
      <c r="C843">
        <v>0</v>
      </c>
      <c r="D843">
        <v>2</v>
      </c>
      <c r="E843" t="str">
        <f t="shared" si="31"/>
        <v>Claptou/2/5/0</v>
      </c>
      <c r="F843">
        <v>17</v>
      </c>
    </row>
    <row r="844" spans="1:6" x14ac:dyDescent="0.2">
      <c r="A844">
        <v>6</v>
      </c>
      <c r="B844" t="s">
        <v>87</v>
      </c>
      <c r="C844">
        <v>0</v>
      </c>
      <c r="D844">
        <v>1</v>
      </c>
      <c r="E844" t="str">
        <f t="shared" si="31"/>
        <v>Proph@ne/1/6/0</v>
      </c>
      <c r="F844">
        <v>17</v>
      </c>
    </row>
    <row r="845" spans="1:6" x14ac:dyDescent="0.2">
      <c r="A845">
        <v>1</v>
      </c>
      <c r="B845" t="s">
        <v>506</v>
      </c>
      <c r="C845">
        <v>2</v>
      </c>
      <c r="D845">
        <v>17</v>
      </c>
      <c r="E845" t="str">
        <f t="shared" si="31"/>
        <v>Zubbaz/17/1/2</v>
      </c>
      <c r="F845">
        <v>17</v>
      </c>
    </row>
    <row r="846" spans="1:6" x14ac:dyDescent="0.2">
      <c r="A846">
        <v>2</v>
      </c>
      <c r="B846" t="s">
        <v>503</v>
      </c>
      <c r="C846">
        <v>3</v>
      </c>
      <c r="D846">
        <v>13</v>
      </c>
      <c r="E846" t="str">
        <f t="shared" si="31"/>
        <v>Yaltar/13/2/3</v>
      </c>
      <c r="F846">
        <v>17</v>
      </c>
    </row>
    <row r="847" spans="1:6" x14ac:dyDescent="0.2">
      <c r="A847">
        <v>3</v>
      </c>
      <c r="B847" t="s">
        <v>515</v>
      </c>
      <c r="C847">
        <v>0</v>
      </c>
      <c r="D847">
        <v>9</v>
      </c>
      <c r="E847" t="str">
        <f t="shared" si="31"/>
        <v>Chico/9/3/0</v>
      </c>
      <c r="F847">
        <v>17</v>
      </c>
    </row>
    <row r="848" spans="1:6" x14ac:dyDescent="0.2">
      <c r="A848">
        <v>4</v>
      </c>
      <c r="B848" t="s">
        <v>74</v>
      </c>
      <c r="C848">
        <v>1</v>
      </c>
      <c r="D848">
        <v>5</v>
      </c>
      <c r="E848" t="str">
        <f t="shared" si="31"/>
        <v>PatB/5/4/1</v>
      </c>
      <c r="F848">
        <v>17</v>
      </c>
    </row>
    <row r="849" spans="1:6" x14ac:dyDescent="0.2">
      <c r="A849">
        <v>5</v>
      </c>
      <c r="B849" t="s">
        <v>507</v>
      </c>
      <c r="C849">
        <v>0</v>
      </c>
      <c r="D849">
        <v>3</v>
      </c>
      <c r="E849" t="str">
        <f t="shared" si="31"/>
        <v>Losogre/3/5/0</v>
      </c>
      <c r="F849">
        <v>17</v>
      </c>
    </row>
    <row r="850" spans="1:6" x14ac:dyDescent="0.2">
      <c r="A850">
        <v>6</v>
      </c>
      <c r="B850" t="s">
        <v>516</v>
      </c>
      <c r="C850">
        <v>0</v>
      </c>
      <c r="D850">
        <v>2</v>
      </c>
      <c r="E850" t="str">
        <f t="shared" si="31"/>
        <v>Tenko/2/6/0</v>
      </c>
      <c r="F850">
        <v>17</v>
      </c>
    </row>
    <row r="851" spans="1:6" x14ac:dyDescent="0.2">
      <c r="A851">
        <v>7</v>
      </c>
      <c r="B851" t="s">
        <v>500</v>
      </c>
      <c r="C851">
        <v>0</v>
      </c>
      <c r="D851">
        <v>1</v>
      </c>
      <c r="E851" t="str">
        <f t="shared" si="31"/>
        <v>Kheops/1/7/0</v>
      </c>
      <c r="F851">
        <v>17</v>
      </c>
    </row>
    <row r="852" spans="1:6" x14ac:dyDescent="0.2">
      <c r="A852">
        <v>1</v>
      </c>
      <c r="B852" t="s">
        <v>476</v>
      </c>
      <c r="C852">
        <v>4</v>
      </c>
      <c r="D852">
        <v>17</v>
      </c>
      <c r="E852" t="str">
        <f t="shared" si="31"/>
        <v>MegaSouche/17/1/4</v>
      </c>
      <c r="F852">
        <v>17</v>
      </c>
    </row>
    <row r="853" spans="1:6" x14ac:dyDescent="0.2">
      <c r="A853">
        <v>2</v>
      </c>
      <c r="B853" t="s">
        <v>66</v>
      </c>
      <c r="C853">
        <v>0</v>
      </c>
      <c r="D853">
        <v>13</v>
      </c>
      <c r="E853" t="str">
        <f t="shared" si="31"/>
        <v>Ad Vitam/13/2/0</v>
      </c>
      <c r="F853">
        <v>17</v>
      </c>
    </row>
    <row r="854" spans="1:6" x14ac:dyDescent="0.2">
      <c r="A854">
        <v>3</v>
      </c>
      <c r="B854" t="s">
        <v>75</v>
      </c>
      <c r="C854">
        <v>1</v>
      </c>
      <c r="D854">
        <v>9</v>
      </c>
      <c r="E854" t="str">
        <f t="shared" si="31"/>
        <v>Michelbey/9/3/1</v>
      </c>
      <c r="F854">
        <v>17</v>
      </c>
    </row>
    <row r="855" spans="1:6" x14ac:dyDescent="0.2">
      <c r="A855">
        <v>4</v>
      </c>
      <c r="B855" t="s">
        <v>534</v>
      </c>
      <c r="C855">
        <v>1</v>
      </c>
      <c r="D855">
        <v>5</v>
      </c>
      <c r="E855" t="str">
        <f t="shared" si="31"/>
        <v>JC/5/4/1</v>
      </c>
      <c r="F855">
        <v>17</v>
      </c>
    </row>
    <row r="856" spans="1:6" x14ac:dyDescent="0.2">
      <c r="A856">
        <v>5</v>
      </c>
      <c r="B856" t="s">
        <v>69</v>
      </c>
      <c r="C856">
        <v>0</v>
      </c>
      <c r="D856">
        <v>3</v>
      </c>
      <c r="E856" t="str">
        <f t="shared" si="31"/>
        <v>Catherine/3/5/0</v>
      </c>
      <c r="F856">
        <v>17</v>
      </c>
    </row>
    <row r="857" spans="1:6" x14ac:dyDescent="0.2">
      <c r="A857">
        <v>6</v>
      </c>
      <c r="B857" t="s">
        <v>504</v>
      </c>
      <c r="C857">
        <v>0</v>
      </c>
      <c r="D857">
        <v>2</v>
      </c>
      <c r="E857" t="str">
        <f t="shared" si="31"/>
        <v>Zizou/2/6/0</v>
      </c>
      <c r="F857">
        <v>17</v>
      </c>
    </row>
    <row r="858" spans="1:6" x14ac:dyDescent="0.2">
      <c r="A858">
        <v>7</v>
      </c>
      <c r="B858" t="s">
        <v>15</v>
      </c>
      <c r="C858">
        <v>0</v>
      </c>
      <c r="D858">
        <v>1</v>
      </c>
      <c r="E858" t="str">
        <f t="shared" si="31"/>
        <v>LAAtof/1/7/0</v>
      </c>
      <c r="F858">
        <v>17</v>
      </c>
    </row>
    <row r="859" spans="1:6" x14ac:dyDescent="0.2">
      <c r="A859">
        <v>1</v>
      </c>
      <c r="B859" t="s">
        <v>29</v>
      </c>
      <c r="C859">
        <v>5</v>
      </c>
      <c r="D859">
        <v>17</v>
      </c>
      <c r="E859" t="str">
        <f t="shared" si="31"/>
        <v>NoDoubt/17/1/5</v>
      </c>
      <c r="F859">
        <v>17</v>
      </c>
    </row>
    <row r="860" spans="1:6" x14ac:dyDescent="0.2">
      <c r="A860">
        <v>2</v>
      </c>
      <c r="B860" t="s">
        <v>55</v>
      </c>
      <c r="C860">
        <v>0</v>
      </c>
      <c r="D860">
        <v>13</v>
      </c>
      <c r="E860" t="str">
        <f t="shared" si="31"/>
        <v>Bounette/13/2/0</v>
      </c>
      <c r="F860">
        <v>17</v>
      </c>
    </row>
    <row r="861" spans="1:6" x14ac:dyDescent="0.2">
      <c r="A861">
        <v>3</v>
      </c>
      <c r="B861" t="s">
        <v>485</v>
      </c>
      <c r="C861">
        <v>1</v>
      </c>
      <c r="D861">
        <v>9</v>
      </c>
      <c r="E861" t="str">
        <f t="shared" si="31"/>
        <v>Solucky/9/3/1</v>
      </c>
      <c r="F861">
        <v>17</v>
      </c>
    </row>
    <row r="862" spans="1:6" x14ac:dyDescent="0.2">
      <c r="A862">
        <v>4</v>
      </c>
      <c r="B862" t="s">
        <v>518</v>
      </c>
      <c r="C862">
        <v>0</v>
      </c>
      <c r="D862">
        <v>5</v>
      </c>
      <c r="E862" t="str">
        <f t="shared" si="31"/>
        <v>Soupaman/5/4/0</v>
      </c>
      <c r="F862">
        <v>17</v>
      </c>
    </row>
    <row r="863" spans="1:6" x14ac:dyDescent="0.2">
      <c r="A863">
        <v>5</v>
      </c>
      <c r="B863" t="s">
        <v>73</v>
      </c>
      <c r="C863">
        <v>0</v>
      </c>
      <c r="D863">
        <v>3</v>
      </c>
      <c r="E863" t="str">
        <f t="shared" si="31"/>
        <v>Flem/3/5/0</v>
      </c>
      <c r="F863">
        <v>17</v>
      </c>
    </row>
    <row r="864" spans="1:6" x14ac:dyDescent="0.2">
      <c r="A864">
        <v>6</v>
      </c>
      <c r="B864" t="s">
        <v>493</v>
      </c>
      <c r="C864">
        <v>0</v>
      </c>
      <c r="D864">
        <v>2</v>
      </c>
      <c r="E864" t="str">
        <f t="shared" ref="E864:E907" si="32">B864&amp;"/"&amp;D864&amp;"/"&amp;A864&amp;"/"&amp;C864</f>
        <v>Rockatou/2/6/0</v>
      </c>
      <c r="F864">
        <v>17</v>
      </c>
    </row>
    <row r="865" spans="1:6" x14ac:dyDescent="0.2">
      <c r="A865">
        <v>7</v>
      </c>
      <c r="B865" t="s">
        <v>65</v>
      </c>
      <c r="C865">
        <v>0</v>
      </c>
      <c r="D865">
        <v>1</v>
      </c>
      <c r="E865" t="str">
        <f t="shared" si="32"/>
        <v>Ripolin/1/7/0</v>
      </c>
      <c r="F865">
        <v>17</v>
      </c>
    </row>
    <row r="866" spans="1:6" x14ac:dyDescent="0.2">
      <c r="A866">
        <v>1</v>
      </c>
      <c r="B866" t="s">
        <v>14</v>
      </c>
      <c r="C866">
        <v>2</v>
      </c>
      <c r="D866">
        <v>17</v>
      </c>
      <c r="E866" t="str">
        <f t="shared" si="32"/>
        <v>Ramm/17/1/2</v>
      </c>
      <c r="F866">
        <v>17</v>
      </c>
    </row>
    <row r="867" spans="1:6" x14ac:dyDescent="0.2">
      <c r="A867">
        <v>2</v>
      </c>
      <c r="B867" t="s">
        <v>35</v>
      </c>
      <c r="C867">
        <v>3</v>
      </c>
      <c r="D867">
        <v>13</v>
      </c>
      <c r="E867" t="str">
        <f t="shared" si="32"/>
        <v>JeanMichelTiming/13/2/3</v>
      </c>
      <c r="F867">
        <v>17</v>
      </c>
    </row>
    <row r="868" spans="1:6" x14ac:dyDescent="0.2">
      <c r="A868">
        <v>3</v>
      </c>
      <c r="B868" t="s">
        <v>46</v>
      </c>
      <c r="C868">
        <v>1</v>
      </c>
      <c r="D868">
        <v>9</v>
      </c>
      <c r="E868" t="str">
        <f t="shared" si="32"/>
        <v>Jérôme/9/3/1</v>
      </c>
      <c r="F868">
        <v>17</v>
      </c>
    </row>
    <row r="869" spans="1:6" x14ac:dyDescent="0.2">
      <c r="A869">
        <v>4</v>
      </c>
      <c r="B869" t="s">
        <v>532</v>
      </c>
      <c r="C869">
        <v>0</v>
      </c>
      <c r="D869">
        <v>5</v>
      </c>
      <c r="E869" t="str">
        <f t="shared" si="32"/>
        <v>Boosilletoo/5/4/0</v>
      </c>
      <c r="F869">
        <v>17</v>
      </c>
    </row>
    <row r="870" spans="1:6" x14ac:dyDescent="0.2">
      <c r="A870">
        <v>5</v>
      </c>
      <c r="B870" t="s">
        <v>25</v>
      </c>
      <c r="C870">
        <v>0</v>
      </c>
      <c r="D870">
        <v>3</v>
      </c>
      <c r="E870" t="str">
        <f t="shared" si="32"/>
        <v>Claudius/3/5/0</v>
      </c>
      <c r="F870">
        <v>17</v>
      </c>
    </row>
    <row r="871" spans="1:6" x14ac:dyDescent="0.2">
      <c r="A871">
        <v>6</v>
      </c>
      <c r="B871" t="s">
        <v>501</v>
      </c>
      <c r="C871">
        <v>0</v>
      </c>
      <c r="D871">
        <v>2</v>
      </c>
      <c r="E871" t="str">
        <f t="shared" si="32"/>
        <v>Poisson Pilote/2/6/0</v>
      </c>
      <c r="F871">
        <v>17</v>
      </c>
    </row>
    <row r="872" spans="1:6" x14ac:dyDescent="0.2">
      <c r="A872">
        <v>7</v>
      </c>
      <c r="B872" t="s">
        <v>505</v>
      </c>
      <c r="C872">
        <v>0</v>
      </c>
      <c r="D872">
        <v>1</v>
      </c>
      <c r="E872" t="str">
        <f t="shared" si="32"/>
        <v>Mams/1/7/0</v>
      </c>
      <c r="F872">
        <v>17</v>
      </c>
    </row>
    <row r="873" spans="1:6" x14ac:dyDescent="0.2">
      <c r="A873">
        <v>1</v>
      </c>
      <c r="B873" t="s">
        <v>19</v>
      </c>
      <c r="C873">
        <v>2</v>
      </c>
      <c r="D873">
        <v>17</v>
      </c>
      <c r="E873" t="str">
        <f t="shared" si="32"/>
        <v>Giobeck/17/1/2</v>
      </c>
      <c r="F873">
        <v>17</v>
      </c>
    </row>
    <row r="874" spans="1:6" x14ac:dyDescent="0.2">
      <c r="A874">
        <v>2</v>
      </c>
      <c r="B874" t="s">
        <v>76</v>
      </c>
      <c r="C874">
        <v>0</v>
      </c>
      <c r="D874">
        <v>13</v>
      </c>
      <c r="E874" t="str">
        <f t="shared" si="32"/>
        <v>Comment2/13/2/0</v>
      </c>
      <c r="F874">
        <v>17</v>
      </c>
    </row>
    <row r="875" spans="1:6" x14ac:dyDescent="0.2">
      <c r="A875">
        <v>3</v>
      </c>
      <c r="B875" t="s">
        <v>9</v>
      </c>
      <c r="C875">
        <v>2</v>
      </c>
      <c r="D875">
        <v>9</v>
      </c>
      <c r="E875" t="str">
        <f t="shared" si="32"/>
        <v>K1/9/3/2</v>
      </c>
      <c r="F875">
        <v>17</v>
      </c>
    </row>
    <row r="876" spans="1:6" x14ac:dyDescent="0.2">
      <c r="A876">
        <v>4</v>
      </c>
      <c r="B876" t="s">
        <v>27</v>
      </c>
      <c r="C876">
        <v>1</v>
      </c>
      <c r="D876">
        <v>5</v>
      </c>
      <c r="E876" t="str">
        <f t="shared" si="32"/>
        <v>Mandrake/5/4/1</v>
      </c>
      <c r="F876">
        <v>17</v>
      </c>
    </row>
    <row r="877" spans="1:6" x14ac:dyDescent="0.2">
      <c r="A877">
        <v>5</v>
      </c>
      <c r="B877" t="s">
        <v>525</v>
      </c>
      <c r="C877">
        <v>0</v>
      </c>
      <c r="D877">
        <v>3</v>
      </c>
      <c r="E877" t="str">
        <f t="shared" si="32"/>
        <v>Freddie/3/5/0</v>
      </c>
      <c r="F877">
        <v>17</v>
      </c>
    </row>
    <row r="878" spans="1:6" x14ac:dyDescent="0.2">
      <c r="A878">
        <v>6</v>
      </c>
      <c r="B878" t="s">
        <v>21</v>
      </c>
      <c r="C878">
        <v>0</v>
      </c>
      <c r="D878">
        <v>2</v>
      </c>
      <c r="E878" t="str">
        <f t="shared" si="32"/>
        <v>Carmin/2/6/0</v>
      </c>
      <c r="F878">
        <v>17</v>
      </c>
    </row>
    <row r="879" spans="1:6" x14ac:dyDescent="0.2">
      <c r="A879">
        <v>7</v>
      </c>
      <c r="B879" t="s">
        <v>484</v>
      </c>
      <c r="C879">
        <v>0</v>
      </c>
      <c r="D879">
        <v>1</v>
      </c>
      <c r="E879" t="str">
        <f t="shared" si="32"/>
        <v>Guerno/1/7/0</v>
      </c>
      <c r="F879">
        <v>17</v>
      </c>
    </row>
    <row r="880" spans="1:6" x14ac:dyDescent="0.2">
      <c r="A880">
        <v>1</v>
      </c>
      <c r="B880" t="s">
        <v>81</v>
      </c>
      <c r="C880">
        <v>4</v>
      </c>
      <c r="D880">
        <v>17</v>
      </c>
      <c r="E880" t="str">
        <f t="shared" si="32"/>
        <v>Empedocle/17/1/4</v>
      </c>
      <c r="F880">
        <v>17</v>
      </c>
    </row>
    <row r="881" spans="1:6" x14ac:dyDescent="0.2">
      <c r="A881">
        <v>2</v>
      </c>
      <c r="B881" t="s">
        <v>490</v>
      </c>
      <c r="C881">
        <v>0</v>
      </c>
      <c r="D881">
        <v>13</v>
      </c>
      <c r="E881" t="str">
        <f t="shared" si="32"/>
        <v>DernierPli/13/2/0</v>
      </c>
      <c r="F881">
        <v>17</v>
      </c>
    </row>
    <row r="882" spans="1:6" x14ac:dyDescent="0.2">
      <c r="A882">
        <v>3</v>
      </c>
      <c r="B882" t="s">
        <v>461</v>
      </c>
      <c r="C882">
        <v>1</v>
      </c>
      <c r="D882">
        <v>9</v>
      </c>
      <c r="E882" t="str">
        <f t="shared" si="32"/>
        <v>Djecus/9/3/1</v>
      </c>
      <c r="F882">
        <v>17</v>
      </c>
    </row>
    <row r="883" spans="1:6" x14ac:dyDescent="0.2">
      <c r="A883">
        <v>3</v>
      </c>
      <c r="B883" t="s">
        <v>280</v>
      </c>
      <c r="C883">
        <v>0</v>
      </c>
      <c r="D883">
        <v>9</v>
      </c>
      <c r="E883" t="str">
        <f t="shared" si="32"/>
        <v>Delgres/9/3/0</v>
      </c>
      <c r="F883">
        <v>17</v>
      </c>
    </row>
    <row r="884" spans="1:6" x14ac:dyDescent="0.2">
      <c r="A884">
        <v>5</v>
      </c>
      <c r="B884" t="s">
        <v>509</v>
      </c>
      <c r="C884">
        <v>1</v>
      </c>
      <c r="D884">
        <v>3</v>
      </c>
      <c r="E884" t="str">
        <f t="shared" si="32"/>
        <v>Gibouille/3/5/1</v>
      </c>
      <c r="F884">
        <v>17</v>
      </c>
    </row>
    <row r="885" spans="1:6" x14ac:dyDescent="0.2">
      <c r="A885">
        <v>6</v>
      </c>
      <c r="B885" t="s">
        <v>535</v>
      </c>
      <c r="C885">
        <v>0</v>
      </c>
      <c r="D885">
        <v>2</v>
      </c>
      <c r="E885" t="str">
        <f t="shared" si="32"/>
        <v>TheRealWill/2/6/0</v>
      </c>
      <c r="F885">
        <v>17</v>
      </c>
    </row>
    <row r="886" spans="1:6" x14ac:dyDescent="0.2">
      <c r="A886">
        <v>7</v>
      </c>
      <c r="B886" t="s">
        <v>519</v>
      </c>
      <c r="C886">
        <v>0</v>
      </c>
      <c r="D886">
        <v>1</v>
      </c>
      <c r="E886" t="str">
        <f t="shared" si="32"/>
        <v>Xhar92/1/7/0</v>
      </c>
      <c r="F886">
        <v>17</v>
      </c>
    </row>
    <row r="887" spans="1:6" x14ac:dyDescent="0.2">
      <c r="A887">
        <v>1</v>
      </c>
      <c r="B887" t="s">
        <v>25</v>
      </c>
      <c r="C887">
        <v>2</v>
      </c>
      <c r="D887">
        <v>17</v>
      </c>
      <c r="E887" t="str">
        <f t="shared" si="32"/>
        <v>Claudius/17/1/2</v>
      </c>
      <c r="F887">
        <v>18</v>
      </c>
    </row>
    <row r="888" spans="1:6" x14ac:dyDescent="0.2">
      <c r="A888">
        <v>2</v>
      </c>
      <c r="B888" t="s">
        <v>73</v>
      </c>
      <c r="C888">
        <v>3</v>
      </c>
      <c r="D888">
        <v>13</v>
      </c>
      <c r="E888" t="str">
        <f t="shared" si="32"/>
        <v>Flem/13/2/3</v>
      </c>
      <c r="F888">
        <v>18</v>
      </c>
    </row>
    <row r="889" spans="1:6" x14ac:dyDescent="0.2">
      <c r="A889">
        <v>3</v>
      </c>
      <c r="B889" t="s">
        <v>75</v>
      </c>
      <c r="C889">
        <v>0</v>
      </c>
      <c r="D889">
        <v>9</v>
      </c>
      <c r="E889" t="str">
        <f t="shared" si="32"/>
        <v>Michelbey/9/3/0</v>
      </c>
      <c r="F889">
        <v>18</v>
      </c>
    </row>
    <row r="890" spans="1:6" x14ac:dyDescent="0.2">
      <c r="A890">
        <v>4</v>
      </c>
      <c r="B890" t="s">
        <v>502</v>
      </c>
      <c r="C890">
        <v>1</v>
      </c>
      <c r="D890">
        <v>5</v>
      </c>
      <c r="E890" t="str">
        <f t="shared" si="32"/>
        <v>Sobab/5/4/1</v>
      </c>
      <c r="F890">
        <v>18</v>
      </c>
    </row>
    <row r="891" spans="1:6" x14ac:dyDescent="0.2">
      <c r="A891">
        <v>5</v>
      </c>
      <c r="B891" t="s">
        <v>530</v>
      </c>
      <c r="C891">
        <v>0</v>
      </c>
      <c r="D891">
        <v>3</v>
      </c>
      <c r="E891" t="str">
        <f t="shared" si="32"/>
        <v>Flopynou/3/5/0</v>
      </c>
      <c r="F891">
        <v>18</v>
      </c>
    </row>
    <row r="892" spans="1:6" x14ac:dyDescent="0.2">
      <c r="A892">
        <v>6</v>
      </c>
      <c r="B892" t="s">
        <v>485</v>
      </c>
      <c r="C892">
        <v>0</v>
      </c>
      <c r="D892">
        <v>2</v>
      </c>
      <c r="E892" t="str">
        <f t="shared" si="32"/>
        <v>Solucky/2/6/0</v>
      </c>
      <c r="F892">
        <v>18</v>
      </c>
    </row>
    <row r="893" spans="1:6" x14ac:dyDescent="0.2">
      <c r="A893">
        <v>7</v>
      </c>
      <c r="B893" t="s">
        <v>526</v>
      </c>
      <c r="C893">
        <v>0</v>
      </c>
      <c r="D893">
        <v>1</v>
      </c>
      <c r="E893" t="str">
        <f t="shared" si="32"/>
        <v>Yroz/1/7/0</v>
      </c>
      <c r="F893">
        <v>18</v>
      </c>
    </row>
    <row r="894" spans="1:6" x14ac:dyDescent="0.2">
      <c r="A894">
        <v>1</v>
      </c>
      <c r="B894" t="s">
        <v>534</v>
      </c>
      <c r="C894">
        <v>1</v>
      </c>
      <c r="D894">
        <v>17</v>
      </c>
      <c r="E894" t="str">
        <f t="shared" si="32"/>
        <v>JC/17/1/1</v>
      </c>
      <c r="F894">
        <v>18</v>
      </c>
    </row>
    <row r="895" spans="1:6" x14ac:dyDescent="0.2">
      <c r="A895">
        <v>2</v>
      </c>
      <c r="B895" t="s">
        <v>501</v>
      </c>
      <c r="C895">
        <v>3</v>
      </c>
      <c r="D895">
        <v>13</v>
      </c>
      <c r="E895" t="str">
        <f t="shared" si="32"/>
        <v>Poisson Pilote/13/2/3</v>
      </c>
      <c r="F895">
        <v>18</v>
      </c>
    </row>
    <row r="896" spans="1:6" x14ac:dyDescent="0.2">
      <c r="A896">
        <v>3</v>
      </c>
      <c r="B896" t="s">
        <v>493</v>
      </c>
      <c r="C896">
        <v>2</v>
      </c>
      <c r="D896">
        <v>9</v>
      </c>
      <c r="E896" t="str">
        <f t="shared" si="32"/>
        <v>Rockatou/9/3/2</v>
      </c>
      <c r="F896">
        <v>18</v>
      </c>
    </row>
    <row r="897" spans="1:6" x14ac:dyDescent="0.2">
      <c r="A897">
        <v>4</v>
      </c>
      <c r="B897" t="s">
        <v>69</v>
      </c>
      <c r="C897">
        <v>0</v>
      </c>
      <c r="D897">
        <v>5</v>
      </c>
      <c r="E897" t="str">
        <f t="shared" si="32"/>
        <v>Catherine/5/4/0</v>
      </c>
      <c r="F897">
        <v>18</v>
      </c>
    </row>
    <row r="898" spans="1:6" x14ac:dyDescent="0.2">
      <c r="A898">
        <v>5</v>
      </c>
      <c r="B898" t="s">
        <v>14</v>
      </c>
      <c r="C898">
        <v>0</v>
      </c>
      <c r="D898">
        <v>3</v>
      </c>
      <c r="E898" t="str">
        <f t="shared" si="32"/>
        <v>Ramm/3/5/0</v>
      </c>
      <c r="F898">
        <v>18</v>
      </c>
    </row>
    <row r="899" spans="1:6" x14ac:dyDescent="0.2">
      <c r="A899">
        <v>6</v>
      </c>
      <c r="B899" t="s">
        <v>500</v>
      </c>
      <c r="C899">
        <v>0</v>
      </c>
      <c r="D899">
        <v>2</v>
      </c>
      <c r="E899" t="str">
        <f t="shared" si="32"/>
        <v>Kheops/2/6/0</v>
      </c>
      <c r="F899">
        <v>18</v>
      </c>
    </row>
    <row r="900" spans="1:6" x14ac:dyDescent="0.2">
      <c r="A900">
        <v>7</v>
      </c>
      <c r="B900" t="s">
        <v>519</v>
      </c>
      <c r="C900">
        <v>0</v>
      </c>
      <c r="D900">
        <v>1</v>
      </c>
      <c r="E900" t="str">
        <f t="shared" si="32"/>
        <v>Xhar92/1/7/0</v>
      </c>
      <c r="F900">
        <v>18</v>
      </c>
    </row>
    <row r="901" spans="1:6" x14ac:dyDescent="0.2">
      <c r="A901">
        <v>1</v>
      </c>
      <c r="B901" t="s">
        <v>55</v>
      </c>
      <c r="C901">
        <v>4</v>
      </c>
      <c r="D901">
        <v>17</v>
      </c>
      <c r="E901" t="str">
        <f t="shared" si="32"/>
        <v>Bounette/17/1/4</v>
      </c>
      <c r="F901">
        <v>18</v>
      </c>
    </row>
    <row r="902" spans="1:6" x14ac:dyDescent="0.2">
      <c r="A902">
        <v>2</v>
      </c>
      <c r="B902" t="s">
        <v>479</v>
      </c>
      <c r="C902">
        <v>1</v>
      </c>
      <c r="D902">
        <v>13</v>
      </c>
      <c r="E902" t="str">
        <f t="shared" si="32"/>
        <v>Salender/13/2/1</v>
      </c>
      <c r="F902">
        <v>18</v>
      </c>
    </row>
    <row r="903" spans="1:6" x14ac:dyDescent="0.2">
      <c r="A903">
        <v>3</v>
      </c>
      <c r="B903" t="s">
        <v>504</v>
      </c>
      <c r="C903">
        <v>0</v>
      </c>
      <c r="D903">
        <v>9</v>
      </c>
      <c r="E903" t="str">
        <f t="shared" si="32"/>
        <v>Zizou/9/3/0</v>
      </c>
      <c r="F903">
        <v>18</v>
      </c>
    </row>
    <row r="904" spans="1:6" x14ac:dyDescent="0.2">
      <c r="A904">
        <v>4</v>
      </c>
      <c r="B904" t="s">
        <v>490</v>
      </c>
      <c r="C904">
        <v>1</v>
      </c>
      <c r="D904">
        <v>5</v>
      </c>
      <c r="E904" t="str">
        <f t="shared" si="32"/>
        <v>DernierPli/5/4/1</v>
      </c>
      <c r="F904">
        <v>18</v>
      </c>
    </row>
    <row r="905" spans="1:6" x14ac:dyDescent="0.2">
      <c r="A905">
        <v>5</v>
      </c>
      <c r="B905" t="s">
        <v>35</v>
      </c>
      <c r="C905">
        <v>0</v>
      </c>
      <c r="D905">
        <v>3</v>
      </c>
      <c r="E905" t="str">
        <f t="shared" si="32"/>
        <v>JeanMichelTiming/3/5/0</v>
      </c>
      <c r="F905">
        <v>18</v>
      </c>
    </row>
    <row r="906" spans="1:6" x14ac:dyDescent="0.2">
      <c r="A906">
        <v>6</v>
      </c>
      <c r="B906" t="s">
        <v>46</v>
      </c>
      <c r="C906">
        <v>0</v>
      </c>
      <c r="D906">
        <v>2</v>
      </c>
      <c r="E906" t="str">
        <f t="shared" si="32"/>
        <v>Jérôme/2/6/0</v>
      </c>
      <c r="F906">
        <v>18</v>
      </c>
    </row>
    <row r="907" spans="1:6" x14ac:dyDescent="0.2">
      <c r="A907">
        <v>7</v>
      </c>
      <c r="B907" t="s">
        <v>516</v>
      </c>
      <c r="C907">
        <v>0</v>
      </c>
      <c r="D907">
        <v>1</v>
      </c>
      <c r="E907" t="str">
        <f t="shared" si="32"/>
        <v>Tenko/1/7/0</v>
      </c>
      <c r="F907">
        <v>18</v>
      </c>
    </row>
    <row r="908" spans="1:6" x14ac:dyDescent="0.2">
      <c r="A908">
        <v>1</v>
      </c>
      <c r="B908" t="s">
        <v>506</v>
      </c>
      <c r="C908">
        <v>4</v>
      </c>
      <c r="D908">
        <v>17</v>
      </c>
      <c r="E908" t="str">
        <f t="shared" ref="E908:E949" si="33">B908&amp;"/"&amp;D908&amp;"/"&amp;A908&amp;"/"&amp;C908</f>
        <v>Zubbaz/17/1/4</v>
      </c>
      <c r="F908">
        <v>18</v>
      </c>
    </row>
    <row r="909" spans="1:6" x14ac:dyDescent="0.2">
      <c r="A909">
        <v>2</v>
      </c>
      <c r="B909" t="s">
        <v>6</v>
      </c>
      <c r="C909">
        <v>0</v>
      </c>
      <c r="D909">
        <v>13</v>
      </c>
      <c r="E909" t="str">
        <f t="shared" si="33"/>
        <v>Pyja/13/2/0</v>
      </c>
      <c r="F909">
        <v>18</v>
      </c>
    </row>
    <row r="910" spans="1:6" x14ac:dyDescent="0.2">
      <c r="A910">
        <v>3</v>
      </c>
      <c r="B910" t="s">
        <v>21</v>
      </c>
      <c r="C910">
        <v>2</v>
      </c>
      <c r="D910">
        <v>9</v>
      </c>
      <c r="E910" t="str">
        <f t="shared" si="33"/>
        <v>Carmin/9/3/2</v>
      </c>
      <c r="F910">
        <v>18</v>
      </c>
    </row>
    <row r="911" spans="1:6" x14ac:dyDescent="0.2">
      <c r="A911">
        <v>4</v>
      </c>
      <c r="B911" t="s">
        <v>461</v>
      </c>
      <c r="C911">
        <v>0</v>
      </c>
      <c r="D911">
        <v>5</v>
      </c>
      <c r="E911" t="str">
        <f t="shared" si="33"/>
        <v>Djecus/5/4/0</v>
      </c>
      <c r="F911">
        <v>18</v>
      </c>
    </row>
    <row r="912" spans="1:6" x14ac:dyDescent="0.2">
      <c r="A912">
        <v>5</v>
      </c>
      <c r="B912" t="s">
        <v>535</v>
      </c>
      <c r="C912">
        <v>0</v>
      </c>
      <c r="D912">
        <v>3</v>
      </c>
      <c r="E912" t="str">
        <f t="shared" si="33"/>
        <v>TheRealWill/3/5/0</v>
      </c>
      <c r="F912">
        <v>18</v>
      </c>
    </row>
    <row r="913" spans="1:6" x14ac:dyDescent="0.2">
      <c r="A913">
        <v>6</v>
      </c>
      <c r="B913" t="s">
        <v>505</v>
      </c>
      <c r="C913">
        <v>0</v>
      </c>
      <c r="D913">
        <v>2</v>
      </c>
      <c r="E913" t="str">
        <f t="shared" si="33"/>
        <v>Mams/2/6/0</v>
      </c>
      <c r="F913">
        <v>18</v>
      </c>
    </row>
    <row r="914" spans="1:6" x14ac:dyDescent="0.2">
      <c r="A914">
        <v>7</v>
      </c>
      <c r="B914" t="s">
        <v>33</v>
      </c>
      <c r="C914">
        <v>0</v>
      </c>
      <c r="D914">
        <v>1</v>
      </c>
      <c r="E914" t="str">
        <f t="shared" si="33"/>
        <v>Ptit Savoyard/1/7/0</v>
      </c>
      <c r="F914">
        <v>18</v>
      </c>
    </row>
    <row r="915" spans="1:6" x14ac:dyDescent="0.2">
      <c r="A915">
        <v>1</v>
      </c>
      <c r="B915" t="s">
        <v>454</v>
      </c>
      <c r="C915">
        <v>3</v>
      </c>
      <c r="D915">
        <v>17</v>
      </c>
      <c r="E915" t="str">
        <f t="shared" si="33"/>
        <v>Gibbonfury/17/1/3</v>
      </c>
      <c r="F915">
        <v>18</v>
      </c>
    </row>
    <row r="916" spans="1:6" x14ac:dyDescent="0.2">
      <c r="A916">
        <v>2</v>
      </c>
      <c r="B916" t="s">
        <v>19</v>
      </c>
      <c r="C916">
        <v>1</v>
      </c>
      <c r="D916">
        <v>13</v>
      </c>
      <c r="E916" t="str">
        <f t="shared" si="33"/>
        <v>Giobeck/13/2/1</v>
      </c>
      <c r="F916">
        <v>18</v>
      </c>
    </row>
    <row r="917" spans="1:6" x14ac:dyDescent="0.2">
      <c r="A917">
        <v>3</v>
      </c>
      <c r="B917" t="s">
        <v>66</v>
      </c>
      <c r="C917">
        <v>1</v>
      </c>
      <c r="D917">
        <v>9</v>
      </c>
      <c r="E917" t="str">
        <f t="shared" si="33"/>
        <v>Ad Vitam/9/3/1</v>
      </c>
      <c r="F917">
        <v>18</v>
      </c>
    </row>
    <row r="918" spans="1:6" x14ac:dyDescent="0.2">
      <c r="A918">
        <v>4</v>
      </c>
      <c r="B918" t="s">
        <v>533</v>
      </c>
      <c r="C918">
        <v>1</v>
      </c>
      <c r="D918">
        <v>5</v>
      </c>
      <c r="E918" t="str">
        <f t="shared" si="33"/>
        <v>Ouais ouais/5/4/1</v>
      </c>
      <c r="F918">
        <v>18</v>
      </c>
    </row>
    <row r="919" spans="1:6" x14ac:dyDescent="0.2">
      <c r="A919">
        <v>5</v>
      </c>
      <c r="B919" t="s">
        <v>76</v>
      </c>
      <c r="C919">
        <v>0</v>
      </c>
      <c r="D919">
        <v>3</v>
      </c>
      <c r="E919" t="str">
        <f t="shared" si="33"/>
        <v>Comment2/3/5/0</v>
      </c>
      <c r="F919">
        <v>18</v>
      </c>
    </row>
    <row r="920" spans="1:6" x14ac:dyDescent="0.2">
      <c r="A920">
        <v>6</v>
      </c>
      <c r="B920" t="s">
        <v>503</v>
      </c>
      <c r="C920">
        <v>0</v>
      </c>
      <c r="D920">
        <v>2</v>
      </c>
      <c r="E920" t="str">
        <f t="shared" si="33"/>
        <v>Yaltar/2/6/0</v>
      </c>
      <c r="F920">
        <v>18</v>
      </c>
    </row>
    <row r="921" spans="1:6" x14ac:dyDescent="0.2">
      <c r="A921">
        <v>7</v>
      </c>
      <c r="B921" t="s">
        <v>101</v>
      </c>
      <c r="C921">
        <v>0</v>
      </c>
      <c r="D921">
        <v>1</v>
      </c>
      <c r="E921" t="str">
        <f t="shared" si="33"/>
        <v>ChrisFrankfurt/1/7/0</v>
      </c>
      <c r="F921">
        <v>18</v>
      </c>
    </row>
    <row r="922" spans="1:6" x14ac:dyDescent="0.2">
      <c r="A922">
        <v>1</v>
      </c>
      <c r="B922" t="s">
        <v>27</v>
      </c>
      <c r="C922">
        <v>5</v>
      </c>
      <c r="D922">
        <v>17</v>
      </c>
      <c r="E922" t="str">
        <f t="shared" si="33"/>
        <v>Mandrake/17/1/5</v>
      </c>
      <c r="F922">
        <v>18</v>
      </c>
    </row>
    <row r="923" spans="1:6" x14ac:dyDescent="0.2">
      <c r="A923">
        <v>2</v>
      </c>
      <c r="B923" t="s">
        <v>475</v>
      </c>
      <c r="C923">
        <v>1</v>
      </c>
      <c r="D923">
        <v>13</v>
      </c>
      <c r="E923" t="str">
        <f t="shared" si="33"/>
        <v>La Bavure/13/2/1</v>
      </c>
      <c r="F923">
        <v>18</v>
      </c>
    </row>
    <row r="924" spans="1:6" x14ac:dyDescent="0.2">
      <c r="A924">
        <v>3</v>
      </c>
      <c r="B924" t="s">
        <v>74</v>
      </c>
      <c r="C924">
        <v>0</v>
      </c>
      <c r="D924">
        <v>9</v>
      </c>
      <c r="E924" t="str">
        <f t="shared" si="33"/>
        <v>PatB/9/3/0</v>
      </c>
      <c r="F924">
        <v>18</v>
      </c>
    </row>
    <row r="925" spans="1:6" x14ac:dyDescent="0.2">
      <c r="A925">
        <v>4</v>
      </c>
      <c r="B925" t="s">
        <v>509</v>
      </c>
      <c r="C925">
        <v>0</v>
      </c>
      <c r="D925">
        <v>5</v>
      </c>
      <c r="E925" t="str">
        <f t="shared" si="33"/>
        <v>Gibouille/5/4/0</v>
      </c>
      <c r="F925">
        <v>18</v>
      </c>
    </row>
    <row r="926" spans="1:6" x14ac:dyDescent="0.2">
      <c r="A926">
        <v>5</v>
      </c>
      <c r="B926" t="s">
        <v>81</v>
      </c>
      <c r="C926">
        <v>0</v>
      </c>
      <c r="D926">
        <v>3</v>
      </c>
      <c r="E926" t="str">
        <f t="shared" si="33"/>
        <v>Empedocle/3/5/0</v>
      </c>
      <c r="F926">
        <v>18</v>
      </c>
    </row>
    <row r="927" spans="1:6" x14ac:dyDescent="0.2">
      <c r="A927">
        <v>6</v>
      </c>
      <c r="B927" t="s">
        <v>515</v>
      </c>
      <c r="C927">
        <v>0</v>
      </c>
      <c r="D927">
        <v>2</v>
      </c>
      <c r="E927" t="str">
        <f t="shared" si="33"/>
        <v>Chico/2/6/0</v>
      </c>
      <c r="F927">
        <v>18</v>
      </c>
    </row>
    <row r="928" spans="1:6" x14ac:dyDescent="0.2">
      <c r="A928">
        <v>7</v>
      </c>
      <c r="B928" t="s">
        <v>507</v>
      </c>
      <c r="C928">
        <v>0</v>
      </c>
      <c r="D928">
        <v>1</v>
      </c>
      <c r="E928" t="str">
        <f t="shared" si="33"/>
        <v>Losogre/1/7/0</v>
      </c>
      <c r="F928">
        <v>18</v>
      </c>
    </row>
    <row r="929" spans="1:6" x14ac:dyDescent="0.2">
      <c r="A929">
        <v>1</v>
      </c>
      <c r="B929" t="s">
        <v>88</v>
      </c>
      <c r="C929">
        <v>2</v>
      </c>
      <c r="D929">
        <v>17</v>
      </c>
      <c r="E929" t="str">
        <f t="shared" si="33"/>
        <v>Yarael/17/1/2</v>
      </c>
      <c r="F929">
        <v>18</v>
      </c>
    </row>
    <row r="930" spans="1:6" x14ac:dyDescent="0.2">
      <c r="A930">
        <v>2</v>
      </c>
      <c r="B930" t="s">
        <v>532</v>
      </c>
      <c r="C930">
        <v>0</v>
      </c>
      <c r="D930">
        <v>13</v>
      </c>
      <c r="E930" t="str">
        <f t="shared" si="33"/>
        <v>Boosilletoo/13/2/0</v>
      </c>
      <c r="F930">
        <v>18</v>
      </c>
    </row>
    <row r="931" spans="1:6" x14ac:dyDescent="0.2">
      <c r="A931">
        <v>3</v>
      </c>
      <c r="B931" t="s">
        <v>531</v>
      </c>
      <c r="C931">
        <v>4</v>
      </c>
      <c r="D931">
        <v>9</v>
      </c>
      <c r="E931" t="str">
        <f t="shared" si="33"/>
        <v>Toinou/9/3/4</v>
      </c>
      <c r="F931">
        <v>18</v>
      </c>
    </row>
    <row r="932" spans="1:6" x14ac:dyDescent="0.2">
      <c r="A932">
        <v>4</v>
      </c>
      <c r="B932" t="s">
        <v>59</v>
      </c>
      <c r="C932">
        <v>0</v>
      </c>
      <c r="D932">
        <v>5</v>
      </c>
      <c r="E932" t="str">
        <f t="shared" si="33"/>
        <v>YooooDA/5/4/0</v>
      </c>
      <c r="F932">
        <v>18</v>
      </c>
    </row>
    <row r="933" spans="1:6" x14ac:dyDescent="0.2">
      <c r="A933">
        <v>5</v>
      </c>
      <c r="B933" t="s">
        <v>280</v>
      </c>
      <c r="C933">
        <v>0</v>
      </c>
      <c r="D933">
        <v>3</v>
      </c>
      <c r="E933" t="str">
        <f t="shared" si="33"/>
        <v>Delgres/3/5/0</v>
      </c>
      <c r="F933">
        <v>18</v>
      </c>
    </row>
    <row r="934" spans="1:6" x14ac:dyDescent="0.2">
      <c r="A934">
        <v>6</v>
      </c>
      <c r="B934" t="s">
        <v>9</v>
      </c>
      <c r="C934">
        <v>0</v>
      </c>
      <c r="D934">
        <v>2</v>
      </c>
      <c r="E934" t="str">
        <f t="shared" si="33"/>
        <v>K1/2/6/0</v>
      </c>
      <c r="F934">
        <v>18</v>
      </c>
    </row>
    <row r="935" spans="1:6" x14ac:dyDescent="0.2">
      <c r="A935">
        <v>7</v>
      </c>
      <c r="B935" t="s">
        <v>525</v>
      </c>
      <c r="C935">
        <v>0</v>
      </c>
      <c r="D935">
        <v>1</v>
      </c>
      <c r="E935" t="str">
        <f t="shared" si="33"/>
        <v>Freddie/1/7/0</v>
      </c>
      <c r="F935">
        <v>18</v>
      </c>
    </row>
    <row r="936" spans="1:6" x14ac:dyDescent="0.2">
      <c r="A936">
        <v>1</v>
      </c>
      <c r="B936" t="s">
        <v>505</v>
      </c>
      <c r="C936">
        <v>1</v>
      </c>
      <c r="D936">
        <v>16</v>
      </c>
      <c r="E936" t="str">
        <f t="shared" si="33"/>
        <v>Mams/16/1/1</v>
      </c>
      <c r="F936">
        <v>19</v>
      </c>
    </row>
    <row r="937" spans="1:6" x14ac:dyDescent="0.2">
      <c r="A937">
        <v>2</v>
      </c>
      <c r="B937" t="s">
        <v>475</v>
      </c>
      <c r="C937">
        <v>3</v>
      </c>
      <c r="D937">
        <v>12</v>
      </c>
      <c r="E937" t="str">
        <f t="shared" si="33"/>
        <v>La Bavure/12/2/3</v>
      </c>
      <c r="F937">
        <v>19</v>
      </c>
    </row>
    <row r="938" spans="1:6" x14ac:dyDescent="0.2">
      <c r="A938">
        <v>3</v>
      </c>
      <c r="B938" t="s">
        <v>345</v>
      </c>
      <c r="C938">
        <v>1</v>
      </c>
      <c r="D938">
        <v>8</v>
      </c>
      <c r="E938" t="str">
        <f t="shared" si="33"/>
        <v>Thibaultp75/8/3/1</v>
      </c>
      <c r="F938">
        <v>19</v>
      </c>
    </row>
    <row r="939" spans="1:6" x14ac:dyDescent="0.2">
      <c r="A939">
        <v>4</v>
      </c>
      <c r="B939" t="s">
        <v>46</v>
      </c>
      <c r="C939">
        <v>0</v>
      </c>
      <c r="D939">
        <v>4</v>
      </c>
      <c r="E939" t="str">
        <f t="shared" si="33"/>
        <v>Jérôme/4/4/0</v>
      </c>
      <c r="F939">
        <v>19</v>
      </c>
    </row>
    <row r="940" spans="1:6" x14ac:dyDescent="0.2">
      <c r="A940">
        <v>5</v>
      </c>
      <c r="B940" t="s">
        <v>485</v>
      </c>
      <c r="C940">
        <v>0</v>
      </c>
      <c r="D940">
        <v>2</v>
      </c>
      <c r="E940" t="str">
        <f t="shared" si="33"/>
        <v>Solucky/2/5/0</v>
      </c>
      <c r="F940">
        <v>19</v>
      </c>
    </row>
    <row r="941" spans="1:6" x14ac:dyDescent="0.2">
      <c r="A941">
        <v>6</v>
      </c>
      <c r="B941" t="s">
        <v>512</v>
      </c>
      <c r="C941">
        <v>0</v>
      </c>
      <c r="D941">
        <v>1</v>
      </c>
      <c r="E941" t="str">
        <f t="shared" si="33"/>
        <v>Fishtro/1/6/0</v>
      </c>
      <c r="F941">
        <v>19</v>
      </c>
    </row>
    <row r="942" spans="1:6" x14ac:dyDescent="0.2">
      <c r="A942">
        <v>1</v>
      </c>
      <c r="B942" t="s">
        <v>532</v>
      </c>
      <c r="C942">
        <v>4</v>
      </c>
      <c r="D942">
        <v>16</v>
      </c>
      <c r="E942" t="str">
        <f t="shared" si="33"/>
        <v>Boosilletoo/16/1/4</v>
      </c>
      <c r="F942">
        <v>19</v>
      </c>
    </row>
    <row r="943" spans="1:6" x14ac:dyDescent="0.2">
      <c r="A943">
        <v>2</v>
      </c>
      <c r="B943" t="s">
        <v>25</v>
      </c>
      <c r="C943">
        <v>0</v>
      </c>
      <c r="D943">
        <v>12</v>
      </c>
      <c r="E943" t="str">
        <f t="shared" si="33"/>
        <v>Claudius/12/2/0</v>
      </c>
      <c r="F943">
        <v>19</v>
      </c>
    </row>
    <row r="944" spans="1:6" x14ac:dyDescent="0.2">
      <c r="A944">
        <v>3</v>
      </c>
      <c r="B944" t="s">
        <v>33</v>
      </c>
      <c r="C944">
        <v>1</v>
      </c>
      <c r="D944">
        <v>8</v>
      </c>
      <c r="E944" t="str">
        <f t="shared" si="33"/>
        <v>Ptit Savoyard/8/3/1</v>
      </c>
      <c r="F944">
        <v>19</v>
      </c>
    </row>
    <row r="945" spans="1:6" x14ac:dyDescent="0.2">
      <c r="A945">
        <v>4</v>
      </c>
      <c r="B945" t="s">
        <v>509</v>
      </c>
      <c r="C945">
        <v>0</v>
      </c>
      <c r="D945">
        <v>4</v>
      </c>
      <c r="E945" t="str">
        <f t="shared" si="33"/>
        <v>Gibouille/4/4/0</v>
      </c>
      <c r="F945">
        <v>19</v>
      </c>
    </row>
    <row r="946" spans="1:6" x14ac:dyDescent="0.2">
      <c r="A946">
        <v>5</v>
      </c>
      <c r="B946" t="s">
        <v>534</v>
      </c>
      <c r="C946">
        <v>0</v>
      </c>
      <c r="D946">
        <v>2</v>
      </c>
      <c r="E946" t="str">
        <f t="shared" si="33"/>
        <v>JC/2/5/0</v>
      </c>
      <c r="F946">
        <v>19</v>
      </c>
    </row>
    <row r="947" spans="1:6" x14ac:dyDescent="0.2">
      <c r="A947">
        <v>6</v>
      </c>
      <c r="B947" t="s">
        <v>27</v>
      </c>
      <c r="C947">
        <v>0</v>
      </c>
      <c r="D947">
        <v>1</v>
      </c>
      <c r="E947" t="str">
        <f t="shared" si="33"/>
        <v>Mandrake/1/6/0</v>
      </c>
      <c r="F947">
        <v>19</v>
      </c>
    </row>
    <row r="948" spans="1:6" x14ac:dyDescent="0.2">
      <c r="A948">
        <v>1</v>
      </c>
      <c r="B948" t="s">
        <v>65</v>
      </c>
      <c r="C948">
        <v>4</v>
      </c>
      <c r="D948">
        <v>16</v>
      </c>
      <c r="E948" t="str">
        <f t="shared" si="33"/>
        <v>Ripolin/16/1/4</v>
      </c>
      <c r="F948">
        <v>19</v>
      </c>
    </row>
    <row r="949" spans="1:6" x14ac:dyDescent="0.2">
      <c r="A949">
        <v>2</v>
      </c>
      <c r="B949" t="s">
        <v>29</v>
      </c>
      <c r="C949">
        <v>1</v>
      </c>
      <c r="D949">
        <v>12</v>
      </c>
      <c r="E949" t="str">
        <f t="shared" si="33"/>
        <v>NoDoubt/12/2/1</v>
      </c>
      <c r="F949">
        <v>19</v>
      </c>
    </row>
    <row r="950" spans="1:6" x14ac:dyDescent="0.2">
      <c r="A950">
        <v>3</v>
      </c>
      <c r="B950" t="s">
        <v>74</v>
      </c>
      <c r="C950">
        <v>0</v>
      </c>
      <c r="D950">
        <v>8</v>
      </c>
      <c r="E950" t="str">
        <f t="shared" ref="E950:E987" si="34">B950&amp;"/"&amp;D950&amp;"/"&amp;A950&amp;"/"&amp;C950</f>
        <v>PatB/8/3/0</v>
      </c>
      <c r="F950">
        <v>19</v>
      </c>
    </row>
    <row r="951" spans="1:6" x14ac:dyDescent="0.2">
      <c r="A951">
        <v>4</v>
      </c>
      <c r="B951" t="s">
        <v>479</v>
      </c>
      <c r="C951">
        <v>0</v>
      </c>
      <c r="D951">
        <v>4</v>
      </c>
      <c r="E951" t="str">
        <f t="shared" si="34"/>
        <v>Salender/4/4/0</v>
      </c>
      <c r="F951">
        <v>19</v>
      </c>
    </row>
    <row r="952" spans="1:6" x14ac:dyDescent="0.2">
      <c r="A952">
        <v>5</v>
      </c>
      <c r="B952" t="s">
        <v>19</v>
      </c>
      <c r="C952">
        <v>0</v>
      </c>
      <c r="D952">
        <v>2</v>
      </c>
      <c r="E952" t="str">
        <f t="shared" si="34"/>
        <v>Giobeck/2/5/0</v>
      </c>
      <c r="F952">
        <v>19</v>
      </c>
    </row>
    <row r="953" spans="1:6" x14ac:dyDescent="0.2">
      <c r="A953">
        <v>6</v>
      </c>
      <c r="B953" t="s">
        <v>507</v>
      </c>
      <c r="C953">
        <v>0</v>
      </c>
      <c r="D953">
        <v>1</v>
      </c>
      <c r="E953" t="str">
        <f t="shared" si="34"/>
        <v>Losogre/1/6/0</v>
      </c>
      <c r="F953">
        <v>19</v>
      </c>
    </row>
    <row r="954" spans="1:6" x14ac:dyDescent="0.2">
      <c r="A954">
        <v>1</v>
      </c>
      <c r="B954" t="s">
        <v>506</v>
      </c>
      <c r="C954">
        <v>3</v>
      </c>
      <c r="D954">
        <v>16</v>
      </c>
      <c r="E954" t="str">
        <f t="shared" si="34"/>
        <v>Zubbaz/16/1/3</v>
      </c>
      <c r="F954">
        <v>19</v>
      </c>
    </row>
    <row r="955" spans="1:6" x14ac:dyDescent="0.2">
      <c r="A955">
        <v>2</v>
      </c>
      <c r="B955" t="s">
        <v>35</v>
      </c>
      <c r="C955">
        <v>2</v>
      </c>
      <c r="D955">
        <v>12</v>
      </c>
      <c r="E955" t="str">
        <f t="shared" si="34"/>
        <v>JeanMichelTiming/12/2/2</v>
      </c>
      <c r="F955">
        <v>19</v>
      </c>
    </row>
    <row r="956" spans="1:6" x14ac:dyDescent="0.2">
      <c r="A956">
        <v>3</v>
      </c>
      <c r="B956" t="s">
        <v>69</v>
      </c>
      <c r="C956">
        <v>0</v>
      </c>
      <c r="D956">
        <v>8</v>
      </c>
      <c r="E956" t="str">
        <f t="shared" si="34"/>
        <v>Catherine/8/3/0</v>
      </c>
      <c r="F956">
        <v>19</v>
      </c>
    </row>
    <row r="957" spans="1:6" x14ac:dyDescent="0.2">
      <c r="A957">
        <v>4</v>
      </c>
      <c r="B957" t="s">
        <v>501</v>
      </c>
      <c r="C957">
        <v>0</v>
      </c>
      <c r="D957">
        <v>4</v>
      </c>
      <c r="E957" t="str">
        <f t="shared" si="34"/>
        <v>Poisson Pilote/4/4/0</v>
      </c>
      <c r="F957">
        <v>19</v>
      </c>
    </row>
    <row r="958" spans="1:6" x14ac:dyDescent="0.2">
      <c r="A958">
        <v>5</v>
      </c>
      <c r="B958" t="s">
        <v>526</v>
      </c>
      <c r="C958">
        <v>0</v>
      </c>
      <c r="D958">
        <v>2</v>
      </c>
      <c r="E958" t="str">
        <f t="shared" si="34"/>
        <v>Yroz/2/5/0</v>
      </c>
      <c r="F958">
        <v>19</v>
      </c>
    </row>
    <row r="959" spans="1:6" x14ac:dyDescent="0.2">
      <c r="A959">
        <v>6</v>
      </c>
      <c r="B959" t="s">
        <v>55</v>
      </c>
      <c r="C959">
        <v>0</v>
      </c>
      <c r="D959">
        <v>1</v>
      </c>
      <c r="E959" t="str">
        <f t="shared" si="34"/>
        <v>Bounette/1/6/0</v>
      </c>
      <c r="F959">
        <v>19</v>
      </c>
    </row>
    <row r="960" spans="1:6" x14ac:dyDescent="0.2">
      <c r="A960">
        <v>1</v>
      </c>
      <c r="B960" t="s">
        <v>66</v>
      </c>
      <c r="C960">
        <v>4</v>
      </c>
      <c r="D960">
        <v>16</v>
      </c>
      <c r="E960" t="str">
        <f t="shared" si="34"/>
        <v>Ad Vitam/16/1/4</v>
      </c>
      <c r="F960">
        <v>19</v>
      </c>
    </row>
    <row r="961" spans="1:6" x14ac:dyDescent="0.2">
      <c r="A961">
        <v>2</v>
      </c>
      <c r="B961" t="s">
        <v>101</v>
      </c>
      <c r="C961">
        <v>0</v>
      </c>
      <c r="D961">
        <v>12</v>
      </c>
      <c r="E961" t="str">
        <f t="shared" si="34"/>
        <v>ChrisFrankfurt/12/2/0</v>
      </c>
      <c r="F961">
        <v>19</v>
      </c>
    </row>
    <row r="962" spans="1:6" x14ac:dyDescent="0.2">
      <c r="A962">
        <v>3</v>
      </c>
      <c r="B962" t="s">
        <v>21</v>
      </c>
      <c r="C962">
        <v>1</v>
      </c>
      <c r="D962">
        <v>8</v>
      </c>
      <c r="E962" t="str">
        <f t="shared" si="34"/>
        <v>Carmin/8/3/1</v>
      </c>
      <c r="F962">
        <v>19</v>
      </c>
    </row>
    <row r="963" spans="1:6" x14ac:dyDescent="0.2">
      <c r="A963">
        <v>4</v>
      </c>
      <c r="B963" t="s">
        <v>73</v>
      </c>
      <c r="C963">
        <v>0</v>
      </c>
      <c r="D963">
        <v>4</v>
      </c>
      <c r="E963" t="str">
        <f t="shared" si="34"/>
        <v>Flem/4/4/0</v>
      </c>
      <c r="F963">
        <v>19</v>
      </c>
    </row>
    <row r="964" spans="1:6" x14ac:dyDescent="0.2">
      <c r="A964">
        <v>5</v>
      </c>
      <c r="B964" t="s">
        <v>490</v>
      </c>
      <c r="C964">
        <v>0</v>
      </c>
      <c r="D964">
        <v>2</v>
      </c>
      <c r="E964" t="str">
        <f t="shared" si="34"/>
        <v>DernierPli/2/5/0</v>
      </c>
      <c r="F964">
        <v>19</v>
      </c>
    </row>
    <row r="965" spans="1:6" x14ac:dyDescent="0.2">
      <c r="A965">
        <v>6</v>
      </c>
      <c r="B965" t="s">
        <v>525</v>
      </c>
      <c r="C965">
        <v>0</v>
      </c>
      <c r="D965">
        <v>1</v>
      </c>
      <c r="E965" t="str">
        <f t="shared" si="34"/>
        <v>Freddie/1/6/0</v>
      </c>
      <c r="F965">
        <v>19</v>
      </c>
    </row>
    <row r="966" spans="1:6" x14ac:dyDescent="0.2">
      <c r="A966">
        <v>1</v>
      </c>
      <c r="B966" t="s">
        <v>504</v>
      </c>
      <c r="C966">
        <v>3</v>
      </c>
      <c r="D966">
        <v>16</v>
      </c>
      <c r="E966" t="str">
        <f t="shared" si="34"/>
        <v>Zizou/16/1/3</v>
      </c>
      <c r="F966">
        <v>19</v>
      </c>
    </row>
    <row r="967" spans="1:6" x14ac:dyDescent="0.2">
      <c r="A967">
        <v>2</v>
      </c>
      <c r="B967" t="s">
        <v>461</v>
      </c>
      <c r="C967">
        <v>2</v>
      </c>
      <c r="D967">
        <v>12</v>
      </c>
      <c r="E967" t="str">
        <f t="shared" si="34"/>
        <v>Djecus/12/2/2</v>
      </c>
      <c r="F967">
        <v>19</v>
      </c>
    </row>
    <row r="968" spans="1:6" x14ac:dyDescent="0.2">
      <c r="A968">
        <v>3</v>
      </c>
      <c r="B968" t="s">
        <v>81</v>
      </c>
      <c r="C968">
        <v>0</v>
      </c>
      <c r="D968">
        <v>8</v>
      </c>
      <c r="E968" t="str">
        <f t="shared" si="34"/>
        <v>Empedocle/8/3/0</v>
      </c>
      <c r="F968">
        <v>19</v>
      </c>
    </row>
    <row r="969" spans="1:6" x14ac:dyDescent="0.2">
      <c r="A969">
        <v>4</v>
      </c>
      <c r="B969" t="s">
        <v>519</v>
      </c>
      <c r="C969">
        <v>0</v>
      </c>
      <c r="D969">
        <v>4</v>
      </c>
      <c r="E969" t="str">
        <f t="shared" si="34"/>
        <v>Xhar92/4/4/0</v>
      </c>
      <c r="F969">
        <v>19</v>
      </c>
    </row>
    <row r="970" spans="1:6" x14ac:dyDescent="0.2">
      <c r="A970">
        <v>5</v>
      </c>
      <c r="B970" t="s">
        <v>493</v>
      </c>
      <c r="C970">
        <v>0</v>
      </c>
      <c r="D970">
        <v>2</v>
      </c>
      <c r="E970" t="str">
        <f t="shared" si="34"/>
        <v>Rockatou/2/5/0</v>
      </c>
      <c r="F970">
        <v>19</v>
      </c>
    </row>
    <row r="971" spans="1:6" x14ac:dyDescent="0.2">
      <c r="A971">
        <v>6</v>
      </c>
      <c r="B971" t="s">
        <v>280</v>
      </c>
      <c r="C971">
        <v>0</v>
      </c>
      <c r="D971">
        <v>1</v>
      </c>
      <c r="E971" t="str">
        <f t="shared" si="34"/>
        <v>Delgres/1/6/0</v>
      </c>
      <c r="F971">
        <v>19</v>
      </c>
    </row>
    <row r="972" spans="1:6" x14ac:dyDescent="0.2">
      <c r="A972">
        <v>1</v>
      </c>
      <c r="B972" t="s">
        <v>452</v>
      </c>
      <c r="C972">
        <v>3</v>
      </c>
      <c r="D972">
        <v>16</v>
      </c>
      <c r="E972" t="str">
        <f t="shared" si="34"/>
        <v>The Hengover/16/1/3</v>
      </c>
      <c r="F972">
        <v>19</v>
      </c>
    </row>
    <row r="973" spans="1:6" x14ac:dyDescent="0.2">
      <c r="A973">
        <v>2</v>
      </c>
      <c r="B973" t="s">
        <v>503</v>
      </c>
      <c r="C973">
        <v>1</v>
      </c>
      <c r="D973">
        <v>12</v>
      </c>
      <c r="E973" t="str">
        <f t="shared" si="34"/>
        <v>Yaltar/12/2/1</v>
      </c>
      <c r="F973">
        <v>19</v>
      </c>
    </row>
    <row r="974" spans="1:6" x14ac:dyDescent="0.2">
      <c r="A974">
        <v>3</v>
      </c>
      <c r="B974" t="s">
        <v>516</v>
      </c>
      <c r="C974">
        <v>0</v>
      </c>
      <c r="D974">
        <v>8</v>
      </c>
      <c r="E974" t="str">
        <f t="shared" si="34"/>
        <v>Tenko/8/3/0</v>
      </c>
      <c r="F974">
        <v>19</v>
      </c>
    </row>
    <row r="975" spans="1:6" x14ac:dyDescent="0.2">
      <c r="A975">
        <v>4</v>
      </c>
      <c r="B975" t="s">
        <v>75</v>
      </c>
      <c r="C975">
        <v>0</v>
      </c>
      <c r="D975">
        <v>4</v>
      </c>
      <c r="E975" t="str">
        <f t="shared" si="34"/>
        <v>Michelbey/4/4/0</v>
      </c>
      <c r="F975">
        <v>19</v>
      </c>
    </row>
    <row r="976" spans="1:6" x14ac:dyDescent="0.2">
      <c r="A976">
        <v>5</v>
      </c>
      <c r="B976" t="s">
        <v>454</v>
      </c>
      <c r="C976">
        <v>1</v>
      </c>
      <c r="D976">
        <v>2</v>
      </c>
      <c r="E976" t="str">
        <f t="shared" si="34"/>
        <v>Gibbonfury/2/5/1</v>
      </c>
      <c r="F976">
        <v>19</v>
      </c>
    </row>
    <row r="977" spans="1:6" x14ac:dyDescent="0.2">
      <c r="A977">
        <v>6</v>
      </c>
      <c r="B977" t="s">
        <v>48</v>
      </c>
      <c r="C977">
        <v>0</v>
      </c>
      <c r="D977">
        <v>1</v>
      </c>
      <c r="E977" t="str">
        <f t="shared" si="34"/>
        <v>Pintu/1/6/0</v>
      </c>
      <c r="F977">
        <v>19</v>
      </c>
    </row>
    <row r="978" spans="1:6" x14ac:dyDescent="0.2">
      <c r="A978">
        <v>1</v>
      </c>
      <c r="B978" t="s">
        <v>345</v>
      </c>
      <c r="C978">
        <v>4</v>
      </c>
      <c r="D978">
        <v>16</v>
      </c>
      <c r="E978" t="str">
        <f t="shared" si="34"/>
        <v>Thibaultp75/16/1/4</v>
      </c>
      <c r="F978">
        <v>20</v>
      </c>
    </row>
    <row r="979" spans="1:6" x14ac:dyDescent="0.2">
      <c r="A979">
        <v>2</v>
      </c>
      <c r="B979" t="s">
        <v>280</v>
      </c>
      <c r="C979">
        <v>0</v>
      </c>
      <c r="D979">
        <v>12</v>
      </c>
      <c r="E979" t="str">
        <f t="shared" si="34"/>
        <v>Delgres/12/2/0</v>
      </c>
      <c r="F979">
        <v>20</v>
      </c>
    </row>
    <row r="980" spans="1:6" x14ac:dyDescent="0.2">
      <c r="A980">
        <v>3</v>
      </c>
      <c r="B980" t="s">
        <v>534</v>
      </c>
      <c r="C980">
        <v>0</v>
      </c>
      <c r="D980">
        <v>8</v>
      </c>
      <c r="E980" t="str">
        <f t="shared" si="34"/>
        <v>JC/8/3/0</v>
      </c>
      <c r="F980">
        <v>20</v>
      </c>
    </row>
    <row r="981" spans="1:6" x14ac:dyDescent="0.2">
      <c r="A981">
        <v>4</v>
      </c>
      <c r="B981" t="s">
        <v>516</v>
      </c>
      <c r="C981">
        <v>0</v>
      </c>
      <c r="D981">
        <v>4</v>
      </c>
      <c r="E981" t="str">
        <f t="shared" si="34"/>
        <v>Tenko/4/4/0</v>
      </c>
      <c r="F981">
        <v>20</v>
      </c>
    </row>
    <row r="982" spans="1:6" x14ac:dyDescent="0.2">
      <c r="A982">
        <v>5</v>
      </c>
      <c r="B982" t="s">
        <v>19</v>
      </c>
      <c r="C982">
        <v>1</v>
      </c>
      <c r="D982">
        <v>2</v>
      </c>
      <c r="E982" t="str">
        <f t="shared" si="34"/>
        <v>Giobeck/2/5/1</v>
      </c>
      <c r="F982">
        <v>20</v>
      </c>
    </row>
    <row r="983" spans="1:6" x14ac:dyDescent="0.2">
      <c r="A983">
        <v>6</v>
      </c>
      <c r="B983" t="s">
        <v>535</v>
      </c>
      <c r="C983">
        <v>0</v>
      </c>
      <c r="D983">
        <v>1</v>
      </c>
      <c r="E983" t="str">
        <f t="shared" si="34"/>
        <v>TheRealWill/1/6/0</v>
      </c>
      <c r="F983">
        <v>20</v>
      </c>
    </row>
    <row r="984" spans="1:6" x14ac:dyDescent="0.2">
      <c r="A984">
        <v>1</v>
      </c>
      <c r="B984" t="s">
        <v>46</v>
      </c>
      <c r="C984">
        <v>1</v>
      </c>
      <c r="D984">
        <v>15</v>
      </c>
      <c r="E984" t="str">
        <f t="shared" si="34"/>
        <v>Jérôme/15/1/1</v>
      </c>
      <c r="F984">
        <v>20</v>
      </c>
    </row>
    <row r="985" spans="1:6" x14ac:dyDescent="0.2">
      <c r="A985">
        <v>2</v>
      </c>
      <c r="B985" t="s">
        <v>485</v>
      </c>
      <c r="C985">
        <v>3</v>
      </c>
      <c r="D985">
        <v>11</v>
      </c>
      <c r="E985" t="str">
        <f t="shared" si="34"/>
        <v>Solucky/11/2/3</v>
      </c>
      <c r="F985">
        <v>20</v>
      </c>
    </row>
    <row r="986" spans="1:6" x14ac:dyDescent="0.2">
      <c r="A986">
        <v>3</v>
      </c>
      <c r="B986" t="s">
        <v>81</v>
      </c>
      <c r="C986">
        <v>0</v>
      </c>
      <c r="D986">
        <v>7</v>
      </c>
      <c r="E986" t="str">
        <f t="shared" si="34"/>
        <v>Empedocle/7/3/0</v>
      </c>
      <c r="F986">
        <v>20</v>
      </c>
    </row>
    <row r="987" spans="1:6" x14ac:dyDescent="0.2">
      <c r="A987">
        <v>4</v>
      </c>
      <c r="B987" t="s">
        <v>454</v>
      </c>
      <c r="C987">
        <v>0</v>
      </c>
      <c r="D987">
        <v>3</v>
      </c>
      <c r="E987" t="str">
        <f t="shared" si="34"/>
        <v>Gibbonfury/3/4/0</v>
      </c>
      <c r="F987">
        <v>20</v>
      </c>
    </row>
    <row r="988" spans="1:6" x14ac:dyDescent="0.2">
      <c r="A988">
        <v>5</v>
      </c>
      <c r="B988" t="s">
        <v>493</v>
      </c>
      <c r="C988">
        <v>0</v>
      </c>
      <c r="D988">
        <v>1</v>
      </c>
      <c r="E988" t="str">
        <f t="shared" ref="E988:E1022" si="35">B988&amp;"/"&amp;D988&amp;"/"&amp;A988&amp;"/"&amp;C988</f>
        <v>Rockatou/1/5/0</v>
      </c>
      <c r="F988">
        <v>20</v>
      </c>
    </row>
    <row r="989" spans="1:6" x14ac:dyDescent="0.2">
      <c r="A989">
        <v>1</v>
      </c>
      <c r="B989" t="s">
        <v>74</v>
      </c>
      <c r="C989">
        <v>3</v>
      </c>
      <c r="D989">
        <v>16</v>
      </c>
      <c r="E989" t="str">
        <f t="shared" si="35"/>
        <v>PatB/16/1/3</v>
      </c>
      <c r="F989">
        <v>20</v>
      </c>
    </row>
    <row r="990" spans="1:6" x14ac:dyDescent="0.2">
      <c r="A990">
        <v>2</v>
      </c>
      <c r="B990" t="s">
        <v>479</v>
      </c>
      <c r="C990">
        <v>0</v>
      </c>
      <c r="D990">
        <v>12</v>
      </c>
      <c r="E990" t="str">
        <f t="shared" si="35"/>
        <v>Salender/12/2/0</v>
      </c>
      <c r="F990">
        <v>20</v>
      </c>
    </row>
    <row r="991" spans="1:6" x14ac:dyDescent="0.2">
      <c r="A991">
        <v>3</v>
      </c>
      <c r="B991" t="s">
        <v>505</v>
      </c>
      <c r="C991">
        <v>2</v>
      </c>
      <c r="D991">
        <v>8</v>
      </c>
      <c r="E991" t="str">
        <f t="shared" si="35"/>
        <v>Mams/8/3/2</v>
      </c>
      <c r="F991">
        <v>20</v>
      </c>
    </row>
    <row r="992" spans="1:6" x14ac:dyDescent="0.2">
      <c r="A992">
        <v>4</v>
      </c>
      <c r="B992" t="s">
        <v>33</v>
      </c>
      <c r="C992">
        <v>0</v>
      </c>
      <c r="D992">
        <v>4</v>
      </c>
      <c r="E992" t="str">
        <f t="shared" si="35"/>
        <v>Ptit Savoyard/4/4/0</v>
      </c>
      <c r="F992">
        <v>20</v>
      </c>
    </row>
    <row r="993" spans="1:6" x14ac:dyDescent="0.2">
      <c r="A993">
        <v>5</v>
      </c>
      <c r="B993" t="s">
        <v>507</v>
      </c>
      <c r="C993">
        <v>0</v>
      </c>
      <c r="D993">
        <v>2</v>
      </c>
      <c r="E993" t="str">
        <f t="shared" si="35"/>
        <v>Losogre/2/5/0</v>
      </c>
      <c r="F993">
        <v>20</v>
      </c>
    </row>
    <row r="994" spans="1:6" x14ac:dyDescent="0.2">
      <c r="A994">
        <v>6</v>
      </c>
      <c r="B994" t="s">
        <v>9</v>
      </c>
      <c r="C994">
        <v>0</v>
      </c>
      <c r="D994">
        <v>1</v>
      </c>
      <c r="E994" t="str">
        <f t="shared" si="35"/>
        <v>K1/1/6/0</v>
      </c>
      <c r="F994">
        <v>20</v>
      </c>
    </row>
    <row r="995" spans="1:6" x14ac:dyDescent="0.2">
      <c r="A995">
        <v>1</v>
      </c>
      <c r="B995" t="s">
        <v>73</v>
      </c>
      <c r="C995">
        <v>3</v>
      </c>
      <c r="D995">
        <v>15</v>
      </c>
      <c r="E995" t="str">
        <f t="shared" si="35"/>
        <v>Flem/15/1/3</v>
      </c>
      <c r="F995">
        <v>20</v>
      </c>
    </row>
    <row r="996" spans="1:6" x14ac:dyDescent="0.2">
      <c r="A996">
        <v>2</v>
      </c>
      <c r="B996" t="s">
        <v>69</v>
      </c>
      <c r="C996">
        <v>0</v>
      </c>
      <c r="D996">
        <v>11</v>
      </c>
      <c r="E996" t="str">
        <f t="shared" si="35"/>
        <v>Catherine/11/2/0</v>
      </c>
      <c r="F996">
        <v>20</v>
      </c>
    </row>
    <row r="997" spans="1:6" x14ac:dyDescent="0.2">
      <c r="A997">
        <v>3</v>
      </c>
      <c r="B997" t="s">
        <v>21</v>
      </c>
      <c r="C997">
        <v>1</v>
      </c>
      <c r="D997">
        <v>7</v>
      </c>
      <c r="E997" t="str">
        <f t="shared" si="35"/>
        <v>Carmin/7/3/1</v>
      </c>
      <c r="F997">
        <v>20</v>
      </c>
    </row>
    <row r="998" spans="1:6" x14ac:dyDescent="0.2">
      <c r="A998">
        <v>4</v>
      </c>
      <c r="B998" t="s">
        <v>6</v>
      </c>
      <c r="C998">
        <v>0</v>
      </c>
      <c r="D998">
        <v>3</v>
      </c>
      <c r="E998" t="str">
        <f t="shared" si="35"/>
        <v>Pyja/3/4/0</v>
      </c>
      <c r="F998">
        <v>20</v>
      </c>
    </row>
    <row r="999" spans="1:6" x14ac:dyDescent="0.2">
      <c r="A999">
        <v>5</v>
      </c>
      <c r="B999" t="s">
        <v>25</v>
      </c>
      <c r="C999">
        <v>0</v>
      </c>
      <c r="D999">
        <v>1</v>
      </c>
      <c r="E999" t="str">
        <f t="shared" si="35"/>
        <v>Claudius/1/5/0</v>
      </c>
      <c r="F999">
        <v>20</v>
      </c>
    </row>
    <row r="1000" spans="1:6" x14ac:dyDescent="0.2">
      <c r="A1000">
        <v>1</v>
      </c>
      <c r="B1000" t="s">
        <v>66</v>
      </c>
      <c r="C1000">
        <v>3</v>
      </c>
      <c r="D1000">
        <v>15</v>
      </c>
      <c r="E1000" t="str">
        <f t="shared" si="35"/>
        <v>Ad Vitam/15/1/3</v>
      </c>
      <c r="F1000">
        <v>20</v>
      </c>
    </row>
    <row r="1001" spans="1:6" x14ac:dyDescent="0.2">
      <c r="A1001">
        <v>2</v>
      </c>
      <c r="B1001" t="s">
        <v>533</v>
      </c>
      <c r="C1001">
        <v>0</v>
      </c>
      <c r="D1001">
        <v>11</v>
      </c>
      <c r="E1001" t="str">
        <f t="shared" si="35"/>
        <v>Ouais ouais/11/2/0</v>
      </c>
      <c r="F1001">
        <v>20</v>
      </c>
    </row>
    <row r="1002" spans="1:6" x14ac:dyDescent="0.2">
      <c r="A1002">
        <v>3</v>
      </c>
      <c r="B1002" t="s">
        <v>35</v>
      </c>
      <c r="C1002">
        <v>1</v>
      </c>
      <c r="D1002">
        <v>7</v>
      </c>
      <c r="E1002" t="str">
        <f t="shared" si="35"/>
        <v>JeanMichelTiming/7/3/1</v>
      </c>
      <c r="F1002">
        <v>20</v>
      </c>
    </row>
    <row r="1003" spans="1:6" x14ac:dyDescent="0.2">
      <c r="A1003">
        <v>4</v>
      </c>
      <c r="B1003" t="s">
        <v>65</v>
      </c>
      <c r="C1003">
        <v>0</v>
      </c>
      <c r="D1003">
        <v>3</v>
      </c>
      <c r="E1003" t="str">
        <f t="shared" si="35"/>
        <v>Ripolin/3/4/0</v>
      </c>
      <c r="F1003">
        <v>20</v>
      </c>
    </row>
    <row r="1004" spans="1:6" x14ac:dyDescent="0.2">
      <c r="A1004">
        <v>5</v>
      </c>
      <c r="B1004" t="s">
        <v>475</v>
      </c>
      <c r="C1004">
        <v>0</v>
      </c>
      <c r="D1004">
        <v>1</v>
      </c>
      <c r="E1004" t="str">
        <f t="shared" si="35"/>
        <v>La Bavure/1/5/0</v>
      </c>
      <c r="F1004">
        <v>20</v>
      </c>
    </row>
    <row r="1005" spans="1:6" x14ac:dyDescent="0.2">
      <c r="A1005">
        <v>1</v>
      </c>
      <c r="B1005" t="s">
        <v>27</v>
      </c>
      <c r="C1005">
        <v>4</v>
      </c>
      <c r="D1005">
        <v>16</v>
      </c>
      <c r="E1005" t="str">
        <f t="shared" si="35"/>
        <v>Mandrake/16/1/4</v>
      </c>
      <c r="F1005">
        <v>20</v>
      </c>
    </row>
    <row r="1006" spans="1:6" x14ac:dyDescent="0.2">
      <c r="A1006">
        <v>2</v>
      </c>
      <c r="B1006" t="s">
        <v>525</v>
      </c>
      <c r="C1006">
        <v>0</v>
      </c>
      <c r="D1006">
        <v>12</v>
      </c>
      <c r="E1006" t="str">
        <f t="shared" si="35"/>
        <v>Freddie/12/2/0</v>
      </c>
      <c r="F1006">
        <v>20</v>
      </c>
    </row>
    <row r="1007" spans="1:6" x14ac:dyDescent="0.2">
      <c r="A1007">
        <v>3</v>
      </c>
      <c r="B1007" t="s">
        <v>518</v>
      </c>
      <c r="C1007">
        <v>1</v>
      </c>
      <c r="D1007">
        <v>8</v>
      </c>
      <c r="E1007" t="str">
        <f t="shared" si="35"/>
        <v>Soupaman/8/3/1</v>
      </c>
      <c r="F1007">
        <v>20</v>
      </c>
    </row>
    <row r="1008" spans="1:6" x14ac:dyDescent="0.2">
      <c r="A1008">
        <v>4</v>
      </c>
      <c r="B1008" t="s">
        <v>512</v>
      </c>
      <c r="C1008">
        <v>0</v>
      </c>
      <c r="D1008">
        <v>4</v>
      </c>
      <c r="E1008" t="str">
        <f t="shared" si="35"/>
        <v>Fishtro/4/4/0</v>
      </c>
      <c r="F1008">
        <v>20</v>
      </c>
    </row>
    <row r="1009" spans="1:6" x14ac:dyDescent="0.2">
      <c r="A1009">
        <v>5</v>
      </c>
      <c r="B1009" t="s">
        <v>55</v>
      </c>
      <c r="C1009">
        <v>0</v>
      </c>
      <c r="D1009">
        <v>2</v>
      </c>
      <c r="E1009" t="str">
        <f t="shared" si="35"/>
        <v>Bounette/2/5/0</v>
      </c>
      <c r="F1009">
        <v>20</v>
      </c>
    </row>
    <row r="1010" spans="1:6" x14ac:dyDescent="0.2">
      <c r="A1010">
        <v>6</v>
      </c>
      <c r="B1010" t="s">
        <v>42</v>
      </c>
      <c r="C1010">
        <v>0</v>
      </c>
      <c r="D1010">
        <v>1</v>
      </c>
      <c r="E1010" t="str">
        <f t="shared" si="35"/>
        <v>Claptou/1/6/0</v>
      </c>
      <c r="F1010">
        <v>20</v>
      </c>
    </row>
    <row r="1011" spans="1:6" x14ac:dyDescent="0.2">
      <c r="A1011">
        <v>1</v>
      </c>
      <c r="B1011" t="s">
        <v>502</v>
      </c>
      <c r="C1011">
        <v>3</v>
      </c>
      <c r="D1011">
        <v>16</v>
      </c>
      <c r="E1011" t="str">
        <f t="shared" si="35"/>
        <v>Sobab/16/1/3</v>
      </c>
      <c r="F1011">
        <v>20</v>
      </c>
    </row>
    <row r="1012" spans="1:6" x14ac:dyDescent="0.2">
      <c r="A1012">
        <v>2</v>
      </c>
      <c r="B1012" t="s">
        <v>32</v>
      </c>
      <c r="C1012">
        <v>0</v>
      </c>
      <c r="D1012">
        <v>12</v>
      </c>
      <c r="E1012" t="str">
        <f t="shared" si="35"/>
        <v>OlivierN92/12/2/0</v>
      </c>
      <c r="F1012">
        <v>20</v>
      </c>
    </row>
    <row r="1013" spans="1:6" x14ac:dyDescent="0.2">
      <c r="A1013">
        <v>3</v>
      </c>
      <c r="B1013" t="s">
        <v>87</v>
      </c>
      <c r="C1013">
        <v>2</v>
      </c>
      <c r="D1013">
        <v>8</v>
      </c>
      <c r="E1013" t="str">
        <f t="shared" si="35"/>
        <v>Proph@ne/8/3/2</v>
      </c>
      <c r="F1013">
        <v>20</v>
      </c>
    </row>
    <row r="1014" spans="1:6" x14ac:dyDescent="0.2">
      <c r="A1014">
        <v>4</v>
      </c>
      <c r="B1014" t="s">
        <v>504</v>
      </c>
      <c r="C1014">
        <v>0</v>
      </c>
      <c r="D1014">
        <v>4</v>
      </c>
      <c r="E1014" t="str">
        <f t="shared" si="35"/>
        <v>Zizou/4/4/0</v>
      </c>
      <c r="F1014">
        <v>20</v>
      </c>
    </row>
    <row r="1015" spans="1:6" x14ac:dyDescent="0.2">
      <c r="A1015">
        <v>5</v>
      </c>
      <c r="B1015" t="s">
        <v>503</v>
      </c>
      <c r="C1015">
        <v>0</v>
      </c>
      <c r="D1015">
        <v>2</v>
      </c>
      <c r="E1015" t="str">
        <f t="shared" si="35"/>
        <v>Yaltar/2/5/0</v>
      </c>
      <c r="F1015">
        <v>20</v>
      </c>
    </row>
    <row r="1016" spans="1:6" x14ac:dyDescent="0.2">
      <c r="A1016">
        <v>6</v>
      </c>
      <c r="B1016" t="s">
        <v>75</v>
      </c>
      <c r="C1016">
        <v>0</v>
      </c>
      <c r="D1016">
        <v>1</v>
      </c>
      <c r="E1016" t="str">
        <f t="shared" si="35"/>
        <v>Michelbey/1/6/0</v>
      </c>
      <c r="F1016">
        <v>20</v>
      </c>
    </row>
    <row r="1017" spans="1:6" x14ac:dyDescent="0.2">
      <c r="A1017">
        <v>1</v>
      </c>
      <c r="B1017" t="s">
        <v>534</v>
      </c>
      <c r="C1017">
        <v>2</v>
      </c>
      <c r="D1017">
        <v>16</v>
      </c>
      <c r="E1017" t="str">
        <f t="shared" si="35"/>
        <v>JC/16/1/2</v>
      </c>
      <c r="F1017">
        <v>21</v>
      </c>
    </row>
    <row r="1018" spans="1:6" x14ac:dyDescent="0.2">
      <c r="A1018">
        <v>2</v>
      </c>
      <c r="B1018" t="s">
        <v>27</v>
      </c>
      <c r="C1018">
        <v>1</v>
      </c>
      <c r="D1018">
        <v>12</v>
      </c>
      <c r="E1018" t="str">
        <f t="shared" si="35"/>
        <v>Mandrake/12/2/1</v>
      </c>
      <c r="F1018">
        <v>21</v>
      </c>
    </row>
    <row r="1019" spans="1:6" x14ac:dyDescent="0.2">
      <c r="A1019">
        <v>3</v>
      </c>
      <c r="B1019" t="s">
        <v>509</v>
      </c>
      <c r="C1019">
        <v>1</v>
      </c>
      <c r="D1019">
        <v>8</v>
      </c>
      <c r="E1019" t="str">
        <f t="shared" si="35"/>
        <v>Gibouille/8/3/1</v>
      </c>
      <c r="F1019">
        <v>21</v>
      </c>
    </row>
    <row r="1020" spans="1:6" x14ac:dyDescent="0.2">
      <c r="A1020">
        <v>4</v>
      </c>
      <c r="B1020" t="s">
        <v>46</v>
      </c>
      <c r="C1020">
        <v>1</v>
      </c>
      <c r="D1020">
        <v>4</v>
      </c>
      <c r="E1020" t="str">
        <f t="shared" si="35"/>
        <v>Jérôme/4/4/1</v>
      </c>
      <c r="F1020">
        <v>21</v>
      </c>
    </row>
    <row r="1021" spans="1:6" x14ac:dyDescent="0.2">
      <c r="A1021">
        <v>5</v>
      </c>
      <c r="B1021" t="s">
        <v>65</v>
      </c>
      <c r="C1021">
        <v>0</v>
      </c>
      <c r="D1021">
        <v>2</v>
      </c>
      <c r="E1021" t="str">
        <f t="shared" si="35"/>
        <v>Ripolin/2/5/0</v>
      </c>
      <c r="F1021">
        <v>21</v>
      </c>
    </row>
    <row r="1022" spans="1:6" x14ac:dyDescent="0.2">
      <c r="A1022">
        <v>6</v>
      </c>
      <c r="B1022" t="s">
        <v>345</v>
      </c>
      <c r="C1022">
        <v>0</v>
      </c>
      <c r="D1022">
        <v>1</v>
      </c>
      <c r="E1022" t="str">
        <f t="shared" si="35"/>
        <v>Thibaultp75/1/6/0</v>
      </c>
      <c r="F1022">
        <v>21</v>
      </c>
    </row>
    <row r="1023" spans="1:6" x14ac:dyDescent="0.2">
      <c r="A1023">
        <v>1</v>
      </c>
      <c r="B1023" t="s">
        <v>461</v>
      </c>
      <c r="C1023">
        <v>3</v>
      </c>
      <c r="D1023">
        <v>17</v>
      </c>
      <c r="E1023" t="str">
        <f t="shared" ref="E1023:E1086" si="36">B1023&amp;"/"&amp;D1023&amp;"/"&amp;A1023&amp;"/"&amp;C1023</f>
        <v>Djecus/17/1/3</v>
      </c>
      <c r="F1023">
        <v>21</v>
      </c>
    </row>
    <row r="1024" spans="1:6" x14ac:dyDescent="0.2">
      <c r="A1024">
        <v>2</v>
      </c>
      <c r="B1024" t="s">
        <v>519</v>
      </c>
      <c r="C1024">
        <v>2</v>
      </c>
      <c r="D1024">
        <v>13</v>
      </c>
      <c r="E1024" t="str">
        <f t="shared" si="36"/>
        <v>Xhar92/13/2/2</v>
      </c>
      <c r="F1024">
        <v>21</v>
      </c>
    </row>
    <row r="1025" spans="1:6" x14ac:dyDescent="0.2">
      <c r="A1025">
        <v>3</v>
      </c>
      <c r="B1025" t="s">
        <v>14</v>
      </c>
      <c r="C1025">
        <v>0</v>
      </c>
      <c r="D1025">
        <v>9</v>
      </c>
      <c r="E1025" t="str">
        <f t="shared" si="36"/>
        <v>Ramm/9/3/0</v>
      </c>
      <c r="F1025">
        <v>21</v>
      </c>
    </row>
    <row r="1026" spans="1:6" x14ac:dyDescent="0.2">
      <c r="A1026">
        <v>4</v>
      </c>
      <c r="B1026" t="s">
        <v>21</v>
      </c>
      <c r="C1026">
        <v>0</v>
      </c>
      <c r="D1026">
        <v>5</v>
      </c>
      <c r="E1026" t="str">
        <f t="shared" si="36"/>
        <v>Carmin/5/4/0</v>
      </c>
      <c r="F1026">
        <v>21</v>
      </c>
    </row>
    <row r="1027" spans="1:6" x14ac:dyDescent="0.2">
      <c r="A1027">
        <v>5</v>
      </c>
      <c r="B1027" t="s">
        <v>9</v>
      </c>
      <c r="C1027">
        <v>1</v>
      </c>
      <c r="D1027">
        <v>3</v>
      </c>
      <c r="E1027" t="str">
        <f t="shared" si="36"/>
        <v>K1/3/5/1</v>
      </c>
      <c r="F1027">
        <v>21</v>
      </c>
    </row>
    <row r="1028" spans="1:6" x14ac:dyDescent="0.2">
      <c r="A1028">
        <v>6</v>
      </c>
      <c r="B1028" t="s">
        <v>512</v>
      </c>
      <c r="C1028">
        <v>0</v>
      </c>
      <c r="D1028">
        <v>2</v>
      </c>
      <c r="E1028" t="str">
        <f t="shared" si="36"/>
        <v>Fishtro/2/6/0</v>
      </c>
      <c r="F1028">
        <v>21</v>
      </c>
    </row>
    <row r="1029" spans="1:6" x14ac:dyDescent="0.2">
      <c r="A1029">
        <v>7</v>
      </c>
      <c r="B1029" t="s">
        <v>61</v>
      </c>
      <c r="C1029">
        <v>0</v>
      </c>
      <c r="D1029">
        <v>1</v>
      </c>
      <c r="E1029" t="str">
        <f t="shared" si="36"/>
        <v>Kri-lin/1/7/0</v>
      </c>
      <c r="F1029">
        <v>21</v>
      </c>
    </row>
    <row r="1030" spans="1:6" x14ac:dyDescent="0.2">
      <c r="A1030">
        <v>1</v>
      </c>
      <c r="B1030" t="s">
        <v>33</v>
      </c>
      <c r="C1030">
        <v>1</v>
      </c>
      <c r="D1030">
        <v>16</v>
      </c>
      <c r="E1030" t="str">
        <f t="shared" si="36"/>
        <v>Ptit Savoyard/16/1/1</v>
      </c>
      <c r="F1030">
        <v>21</v>
      </c>
    </row>
    <row r="1031" spans="1:6" x14ac:dyDescent="0.2">
      <c r="A1031">
        <v>2</v>
      </c>
      <c r="B1031" t="s">
        <v>506</v>
      </c>
      <c r="C1031">
        <v>3</v>
      </c>
      <c r="D1031">
        <v>12</v>
      </c>
      <c r="E1031" t="str">
        <f t="shared" si="36"/>
        <v>Zubbaz/12/2/3</v>
      </c>
      <c r="F1031">
        <v>21</v>
      </c>
    </row>
    <row r="1032" spans="1:6" x14ac:dyDescent="0.2">
      <c r="A1032">
        <v>3</v>
      </c>
      <c r="B1032" t="s">
        <v>6</v>
      </c>
      <c r="C1032">
        <v>1</v>
      </c>
      <c r="D1032">
        <v>8</v>
      </c>
      <c r="E1032" t="str">
        <f t="shared" si="36"/>
        <v>Pyja/8/3/1</v>
      </c>
      <c r="F1032">
        <v>21</v>
      </c>
    </row>
    <row r="1033" spans="1:6" x14ac:dyDescent="0.2">
      <c r="A1033">
        <v>4</v>
      </c>
      <c r="B1033" t="s">
        <v>479</v>
      </c>
      <c r="C1033">
        <v>0</v>
      </c>
      <c r="D1033">
        <v>4</v>
      </c>
      <c r="E1033" t="str">
        <f t="shared" si="36"/>
        <v>Salender/4/4/0</v>
      </c>
      <c r="F1033">
        <v>21</v>
      </c>
    </row>
    <row r="1034" spans="1:6" x14ac:dyDescent="0.2">
      <c r="A1034">
        <v>5</v>
      </c>
      <c r="B1034" t="s">
        <v>55</v>
      </c>
      <c r="C1034">
        <v>0</v>
      </c>
      <c r="D1034">
        <v>2</v>
      </c>
      <c r="E1034" t="str">
        <f t="shared" si="36"/>
        <v>Bounette/2/5/0</v>
      </c>
      <c r="F1034">
        <v>21</v>
      </c>
    </row>
    <row r="1035" spans="1:6" x14ac:dyDescent="0.2">
      <c r="A1035">
        <v>6</v>
      </c>
      <c r="B1035" t="s">
        <v>69</v>
      </c>
      <c r="C1035">
        <v>0</v>
      </c>
      <c r="D1035">
        <v>1</v>
      </c>
      <c r="E1035" t="str">
        <f t="shared" si="36"/>
        <v>Catherine/1/6/0</v>
      </c>
      <c r="F1035">
        <v>21</v>
      </c>
    </row>
    <row r="1036" spans="1:6" x14ac:dyDescent="0.2">
      <c r="A1036">
        <v>1</v>
      </c>
      <c r="B1036" t="s">
        <v>35</v>
      </c>
      <c r="C1036">
        <v>4</v>
      </c>
      <c r="D1036">
        <v>16</v>
      </c>
      <c r="E1036" t="str">
        <f t="shared" si="36"/>
        <v>JeanMichelTiming/16/1/4</v>
      </c>
      <c r="F1036">
        <v>21</v>
      </c>
    </row>
    <row r="1037" spans="1:6" x14ac:dyDescent="0.2">
      <c r="A1037">
        <v>2</v>
      </c>
      <c r="B1037" t="s">
        <v>74</v>
      </c>
      <c r="C1037">
        <v>1</v>
      </c>
      <c r="D1037">
        <v>12</v>
      </c>
      <c r="E1037" t="str">
        <f t="shared" si="36"/>
        <v>PatB/12/2/1</v>
      </c>
      <c r="F1037">
        <v>21</v>
      </c>
    </row>
    <row r="1038" spans="1:6" x14ac:dyDescent="0.2">
      <c r="A1038">
        <v>3</v>
      </c>
      <c r="B1038" t="s">
        <v>485</v>
      </c>
      <c r="C1038">
        <v>0</v>
      </c>
      <c r="D1038">
        <v>8</v>
      </c>
      <c r="E1038" t="str">
        <f t="shared" si="36"/>
        <v>Solucky/8/3/0</v>
      </c>
      <c r="F1038">
        <v>21</v>
      </c>
    </row>
    <row r="1039" spans="1:6" x14ac:dyDescent="0.2">
      <c r="A1039">
        <v>4</v>
      </c>
      <c r="B1039" t="s">
        <v>525</v>
      </c>
      <c r="C1039">
        <v>0</v>
      </c>
      <c r="D1039">
        <v>4</v>
      </c>
      <c r="E1039" t="str">
        <f t="shared" si="36"/>
        <v>Freddie/4/4/0</v>
      </c>
      <c r="F1039">
        <v>21</v>
      </c>
    </row>
    <row r="1040" spans="1:6" x14ac:dyDescent="0.2">
      <c r="A1040">
        <v>5</v>
      </c>
      <c r="B1040" t="s">
        <v>493</v>
      </c>
      <c r="C1040">
        <v>0</v>
      </c>
      <c r="D1040">
        <v>2</v>
      </c>
      <c r="E1040" t="str">
        <f t="shared" si="36"/>
        <v>Rockatou/2/5/0</v>
      </c>
      <c r="F1040">
        <v>21</v>
      </c>
    </row>
    <row r="1041" spans="1:6" x14ac:dyDescent="0.2">
      <c r="A1041">
        <v>6</v>
      </c>
      <c r="B1041" t="s">
        <v>40</v>
      </c>
      <c r="C1041">
        <v>0</v>
      </c>
      <c r="D1041">
        <v>1</v>
      </c>
      <c r="E1041" t="str">
        <f t="shared" si="36"/>
        <v>Lén@/1/6/0</v>
      </c>
      <c r="F1041">
        <v>21</v>
      </c>
    </row>
    <row r="1042" spans="1:6" x14ac:dyDescent="0.2">
      <c r="A1042">
        <v>1</v>
      </c>
      <c r="B1042" t="s">
        <v>66</v>
      </c>
      <c r="C1042">
        <v>2</v>
      </c>
      <c r="D1042">
        <v>17</v>
      </c>
      <c r="E1042" t="str">
        <f t="shared" si="36"/>
        <v>Ad Vitam/17/1/2</v>
      </c>
      <c r="F1042">
        <v>21</v>
      </c>
    </row>
    <row r="1043" spans="1:6" x14ac:dyDescent="0.2">
      <c r="A1043">
        <v>2</v>
      </c>
      <c r="B1043" t="s">
        <v>25</v>
      </c>
      <c r="C1043">
        <v>3</v>
      </c>
      <c r="D1043">
        <v>13</v>
      </c>
      <c r="E1043" t="str">
        <f t="shared" si="36"/>
        <v>Claudius/13/2/3</v>
      </c>
      <c r="F1043">
        <v>21</v>
      </c>
    </row>
    <row r="1044" spans="1:6" x14ac:dyDescent="0.2">
      <c r="A1044">
        <v>3</v>
      </c>
      <c r="B1044" t="s">
        <v>81</v>
      </c>
      <c r="C1044">
        <v>0</v>
      </c>
      <c r="D1044">
        <v>9</v>
      </c>
      <c r="E1044" t="str">
        <f t="shared" si="36"/>
        <v>Empedocle/9/3/0</v>
      </c>
      <c r="F1044">
        <v>21</v>
      </c>
    </row>
    <row r="1045" spans="1:6" x14ac:dyDescent="0.2">
      <c r="A1045">
        <v>4</v>
      </c>
      <c r="B1045" t="s">
        <v>59</v>
      </c>
      <c r="C1045">
        <v>0</v>
      </c>
      <c r="D1045">
        <v>5</v>
      </c>
      <c r="E1045" t="str">
        <f t="shared" si="36"/>
        <v>YooooDA/5/4/0</v>
      </c>
      <c r="F1045">
        <v>21</v>
      </c>
    </row>
    <row r="1046" spans="1:6" x14ac:dyDescent="0.2">
      <c r="A1046">
        <v>5</v>
      </c>
      <c r="B1046" t="s">
        <v>73</v>
      </c>
      <c r="C1046">
        <v>0</v>
      </c>
      <c r="D1046">
        <v>3</v>
      </c>
      <c r="E1046" t="str">
        <f t="shared" si="36"/>
        <v>Flem/3/5/0</v>
      </c>
      <c r="F1046">
        <v>21</v>
      </c>
    </row>
    <row r="1047" spans="1:6" x14ac:dyDescent="0.2">
      <c r="A1047">
        <v>6</v>
      </c>
      <c r="B1047" t="s">
        <v>535</v>
      </c>
      <c r="C1047">
        <v>1</v>
      </c>
      <c r="D1047">
        <v>2</v>
      </c>
      <c r="E1047" t="str">
        <f t="shared" si="36"/>
        <v>TheRealWill/2/6/1</v>
      </c>
      <c r="F1047">
        <v>21</v>
      </c>
    </row>
    <row r="1048" spans="1:6" x14ac:dyDescent="0.2">
      <c r="A1048">
        <v>7</v>
      </c>
      <c r="B1048" t="s">
        <v>32</v>
      </c>
      <c r="C1048">
        <v>0</v>
      </c>
      <c r="D1048">
        <v>1</v>
      </c>
      <c r="E1048" t="str">
        <f t="shared" si="36"/>
        <v>OlivierN92/1/7/0</v>
      </c>
      <c r="F1048">
        <v>21</v>
      </c>
    </row>
    <row r="1049" spans="1:6" x14ac:dyDescent="0.2">
      <c r="A1049">
        <v>1</v>
      </c>
      <c r="B1049" t="s">
        <v>475</v>
      </c>
      <c r="C1049">
        <v>3</v>
      </c>
      <c r="D1049">
        <v>16</v>
      </c>
      <c r="E1049" t="str">
        <f t="shared" si="36"/>
        <v>La Bavure/16/1/3</v>
      </c>
      <c r="F1049">
        <v>21</v>
      </c>
    </row>
    <row r="1050" spans="1:6" x14ac:dyDescent="0.2">
      <c r="A1050">
        <v>2</v>
      </c>
      <c r="B1050" t="s">
        <v>87</v>
      </c>
      <c r="C1050">
        <v>2</v>
      </c>
      <c r="D1050">
        <v>12</v>
      </c>
      <c r="E1050" t="str">
        <f t="shared" si="36"/>
        <v>Proph@ne/12/2/2</v>
      </c>
      <c r="F1050">
        <v>21</v>
      </c>
    </row>
    <row r="1051" spans="1:6" x14ac:dyDescent="0.2">
      <c r="A1051">
        <v>3</v>
      </c>
      <c r="B1051" t="s">
        <v>76</v>
      </c>
      <c r="C1051">
        <v>0</v>
      </c>
      <c r="D1051">
        <v>8</v>
      </c>
      <c r="E1051" t="str">
        <f t="shared" si="36"/>
        <v>Comment2/8/3/0</v>
      </c>
      <c r="F1051">
        <v>21</v>
      </c>
    </row>
    <row r="1052" spans="1:6" x14ac:dyDescent="0.2">
      <c r="A1052">
        <v>4</v>
      </c>
      <c r="B1052" t="s">
        <v>88</v>
      </c>
      <c r="C1052">
        <v>0</v>
      </c>
      <c r="D1052">
        <v>4</v>
      </c>
      <c r="E1052" t="str">
        <f t="shared" si="36"/>
        <v>Yarael/4/4/0</v>
      </c>
      <c r="F1052">
        <v>21</v>
      </c>
    </row>
    <row r="1053" spans="1:6" x14ac:dyDescent="0.2">
      <c r="A1053">
        <v>5</v>
      </c>
      <c r="B1053" t="s">
        <v>516</v>
      </c>
      <c r="C1053">
        <v>0</v>
      </c>
      <c r="D1053">
        <v>2</v>
      </c>
      <c r="E1053" t="str">
        <f t="shared" si="36"/>
        <v>Tenko/2/5/0</v>
      </c>
      <c r="F1053">
        <v>21</v>
      </c>
    </row>
    <row r="1054" spans="1:6" x14ac:dyDescent="0.2">
      <c r="A1054">
        <v>6</v>
      </c>
      <c r="B1054" t="s">
        <v>507</v>
      </c>
      <c r="C1054">
        <v>0</v>
      </c>
      <c r="D1054">
        <v>1</v>
      </c>
      <c r="E1054" t="str">
        <f t="shared" si="36"/>
        <v>Losogre/1/6/0</v>
      </c>
      <c r="F1054">
        <v>21</v>
      </c>
    </row>
    <row r="1055" spans="1:6" x14ac:dyDescent="0.2">
      <c r="A1055">
        <v>1</v>
      </c>
      <c r="B1055" t="s">
        <v>15</v>
      </c>
      <c r="C1055">
        <v>1</v>
      </c>
      <c r="D1055">
        <v>16</v>
      </c>
      <c r="E1055" t="str">
        <f t="shared" si="36"/>
        <v>LAAtof/16/1/1</v>
      </c>
      <c r="F1055">
        <v>21</v>
      </c>
    </row>
    <row r="1056" spans="1:6" x14ac:dyDescent="0.2">
      <c r="A1056">
        <v>2</v>
      </c>
      <c r="B1056" t="s">
        <v>501</v>
      </c>
      <c r="C1056">
        <v>1</v>
      </c>
      <c r="D1056">
        <v>12</v>
      </c>
      <c r="E1056" t="str">
        <f t="shared" si="36"/>
        <v>Poisson Pilote/12/2/1</v>
      </c>
      <c r="F1056">
        <v>21</v>
      </c>
    </row>
    <row r="1057" spans="1:6" x14ac:dyDescent="0.2">
      <c r="A1057">
        <v>3</v>
      </c>
      <c r="B1057" t="s">
        <v>75</v>
      </c>
      <c r="C1057">
        <v>3</v>
      </c>
      <c r="D1057">
        <v>8</v>
      </c>
      <c r="E1057" t="str">
        <f t="shared" si="36"/>
        <v>Michelbey/8/3/3</v>
      </c>
      <c r="F1057">
        <v>21</v>
      </c>
    </row>
    <row r="1058" spans="1:6" x14ac:dyDescent="0.2">
      <c r="A1058">
        <v>4</v>
      </c>
      <c r="B1058" t="s">
        <v>280</v>
      </c>
      <c r="C1058">
        <v>0</v>
      </c>
      <c r="D1058">
        <v>4</v>
      </c>
      <c r="E1058" t="str">
        <f t="shared" si="36"/>
        <v>Delgres/4/4/0</v>
      </c>
      <c r="F1058">
        <v>21</v>
      </c>
    </row>
    <row r="1059" spans="1:6" x14ac:dyDescent="0.2">
      <c r="A1059">
        <v>5</v>
      </c>
      <c r="B1059" t="s">
        <v>484</v>
      </c>
      <c r="C1059">
        <v>0</v>
      </c>
      <c r="D1059">
        <v>2</v>
      </c>
      <c r="E1059" t="str">
        <f t="shared" si="36"/>
        <v>Guerno/2/5/0</v>
      </c>
      <c r="F1059">
        <v>21</v>
      </c>
    </row>
    <row r="1060" spans="1:6" x14ac:dyDescent="0.2">
      <c r="A1060">
        <v>6</v>
      </c>
      <c r="B1060" t="s">
        <v>510</v>
      </c>
      <c r="C1060">
        <v>0</v>
      </c>
      <c r="D1060">
        <v>1</v>
      </c>
      <c r="E1060" t="str">
        <f t="shared" si="36"/>
        <v>Magic Mykiss/1/6/0</v>
      </c>
      <c r="F1060">
        <v>21</v>
      </c>
    </row>
    <row r="1061" spans="1:6" x14ac:dyDescent="0.2">
      <c r="A1061">
        <v>1</v>
      </c>
      <c r="B1061" t="s">
        <v>502</v>
      </c>
      <c r="C1061">
        <v>3</v>
      </c>
      <c r="D1061">
        <v>17</v>
      </c>
      <c r="E1061" t="str">
        <f t="shared" si="36"/>
        <v>Sobab/17/1/3</v>
      </c>
      <c r="F1061">
        <v>21</v>
      </c>
    </row>
    <row r="1062" spans="1:6" x14ac:dyDescent="0.2">
      <c r="A1062">
        <v>2</v>
      </c>
      <c r="B1062" t="s">
        <v>505</v>
      </c>
      <c r="C1062">
        <v>2</v>
      </c>
      <c r="D1062">
        <v>13</v>
      </c>
      <c r="E1062" t="str">
        <f t="shared" si="36"/>
        <v>Mams/13/2/2</v>
      </c>
      <c r="F1062">
        <v>21</v>
      </c>
    </row>
    <row r="1063" spans="1:6" x14ac:dyDescent="0.2">
      <c r="A1063">
        <v>3</v>
      </c>
      <c r="B1063" t="s">
        <v>454</v>
      </c>
      <c r="C1063">
        <v>0</v>
      </c>
      <c r="D1063">
        <v>9</v>
      </c>
      <c r="E1063" t="str">
        <f t="shared" si="36"/>
        <v>Gibbonfury/9/3/0</v>
      </c>
      <c r="F1063">
        <v>21</v>
      </c>
    </row>
    <row r="1064" spans="1:6" x14ac:dyDescent="0.2">
      <c r="A1064">
        <v>4</v>
      </c>
      <c r="B1064" t="s">
        <v>503</v>
      </c>
      <c r="C1064">
        <v>1</v>
      </c>
      <c r="D1064">
        <v>5</v>
      </c>
      <c r="E1064" t="str">
        <f t="shared" si="36"/>
        <v>Yaltar/5/4/1</v>
      </c>
      <c r="F1064">
        <v>21</v>
      </c>
    </row>
    <row r="1065" spans="1:6" x14ac:dyDescent="0.2">
      <c r="A1065">
        <v>5</v>
      </c>
      <c r="B1065" t="s">
        <v>500</v>
      </c>
      <c r="C1065">
        <v>0</v>
      </c>
      <c r="D1065">
        <v>3</v>
      </c>
      <c r="E1065" t="str">
        <f t="shared" si="36"/>
        <v>Kheops/3/5/0</v>
      </c>
      <c r="F1065">
        <v>21</v>
      </c>
    </row>
    <row r="1066" spans="1:6" x14ac:dyDescent="0.2">
      <c r="A1066">
        <v>6</v>
      </c>
      <c r="B1066" t="s">
        <v>42</v>
      </c>
      <c r="C1066">
        <v>0</v>
      </c>
      <c r="D1066">
        <v>2</v>
      </c>
      <c r="E1066" t="str">
        <f t="shared" si="36"/>
        <v>Claptou/2/6/0</v>
      </c>
      <c r="F1066">
        <v>21</v>
      </c>
    </row>
    <row r="1067" spans="1:6" x14ac:dyDescent="0.2">
      <c r="A1067">
        <v>7</v>
      </c>
      <c r="B1067" t="s">
        <v>504</v>
      </c>
      <c r="C1067">
        <v>0</v>
      </c>
      <c r="D1067">
        <v>1</v>
      </c>
      <c r="E1067" t="str">
        <f t="shared" si="36"/>
        <v>Zizou/1/7/0</v>
      </c>
      <c r="F1067">
        <v>21</v>
      </c>
    </row>
    <row r="1068" spans="1:6" x14ac:dyDescent="0.2">
      <c r="A1068">
        <v>1</v>
      </c>
      <c r="B1068" t="s">
        <v>74</v>
      </c>
      <c r="C1068">
        <v>3</v>
      </c>
      <c r="D1068">
        <v>17</v>
      </c>
      <c r="E1068" t="str">
        <f t="shared" si="36"/>
        <v>PatB/17/1/3</v>
      </c>
      <c r="F1068">
        <v>22</v>
      </c>
    </row>
    <row r="1069" spans="1:6" x14ac:dyDescent="0.2">
      <c r="A1069">
        <v>2</v>
      </c>
      <c r="B1069" t="s">
        <v>502</v>
      </c>
      <c r="C1069">
        <v>2</v>
      </c>
      <c r="D1069">
        <v>13</v>
      </c>
      <c r="E1069" t="str">
        <f t="shared" si="36"/>
        <v>Sobab/13/2/2</v>
      </c>
      <c r="F1069">
        <v>22</v>
      </c>
    </row>
    <row r="1070" spans="1:6" x14ac:dyDescent="0.2">
      <c r="A1070">
        <v>3</v>
      </c>
      <c r="B1070" t="s">
        <v>509</v>
      </c>
      <c r="C1070">
        <v>0</v>
      </c>
      <c r="D1070">
        <v>9</v>
      </c>
      <c r="E1070" t="str">
        <f t="shared" si="36"/>
        <v>Gibouille/9/3/0</v>
      </c>
      <c r="F1070">
        <v>22</v>
      </c>
    </row>
    <row r="1071" spans="1:6" x14ac:dyDescent="0.2">
      <c r="A1071">
        <v>4</v>
      </c>
      <c r="B1071" t="s">
        <v>533</v>
      </c>
      <c r="C1071">
        <v>0</v>
      </c>
      <c r="D1071">
        <v>5</v>
      </c>
      <c r="E1071" t="str">
        <f t="shared" si="36"/>
        <v>Ouais ouais/5/4/0</v>
      </c>
      <c r="F1071">
        <v>22</v>
      </c>
    </row>
    <row r="1072" spans="1:6" x14ac:dyDescent="0.2">
      <c r="A1072">
        <v>5</v>
      </c>
      <c r="B1072" t="s">
        <v>508</v>
      </c>
      <c r="C1072">
        <v>0</v>
      </c>
      <c r="D1072">
        <v>3</v>
      </c>
      <c r="E1072" t="str">
        <f t="shared" si="36"/>
        <v>Rmarc/3/5/0</v>
      </c>
      <c r="F1072">
        <v>22</v>
      </c>
    </row>
    <row r="1073" spans="1:6" x14ac:dyDescent="0.2">
      <c r="A1073">
        <v>6</v>
      </c>
      <c r="B1073" t="s">
        <v>479</v>
      </c>
      <c r="C1073">
        <v>1</v>
      </c>
      <c r="D1073">
        <v>2</v>
      </c>
      <c r="E1073" t="str">
        <f t="shared" si="36"/>
        <v>Salender/2/6/1</v>
      </c>
      <c r="F1073">
        <v>22</v>
      </c>
    </row>
    <row r="1074" spans="1:6" x14ac:dyDescent="0.2">
      <c r="A1074">
        <v>7</v>
      </c>
      <c r="B1074" t="s">
        <v>505</v>
      </c>
      <c r="C1074">
        <v>0</v>
      </c>
      <c r="D1074">
        <v>1</v>
      </c>
      <c r="E1074" t="str">
        <f t="shared" si="36"/>
        <v>Mams/1/7/0</v>
      </c>
      <c r="F1074">
        <v>22</v>
      </c>
    </row>
    <row r="1075" spans="1:6" x14ac:dyDescent="0.2">
      <c r="A1075">
        <v>1</v>
      </c>
      <c r="B1075" t="s">
        <v>535</v>
      </c>
      <c r="C1075">
        <v>2</v>
      </c>
      <c r="D1075">
        <v>16</v>
      </c>
      <c r="E1075" t="str">
        <f t="shared" si="36"/>
        <v>TheRealWill/16/1/2</v>
      </c>
      <c r="F1075">
        <v>22</v>
      </c>
    </row>
    <row r="1076" spans="1:6" x14ac:dyDescent="0.2">
      <c r="A1076">
        <v>2</v>
      </c>
      <c r="B1076" t="s">
        <v>35</v>
      </c>
      <c r="C1076">
        <v>2</v>
      </c>
      <c r="D1076">
        <v>12</v>
      </c>
      <c r="E1076" t="str">
        <f t="shared" si="36"/>
        <v>JeanMichelTiming/12/2/2</v>
      </c>
      <c r="F1076">
        <v>22</v>
      </c>
    </row>
    <row r="1077" spans="1:6" x14ac:dyDescent="0.2">
      <c r="A1077">
        <v>3</v>
      </c>
      <c r="B1077" t="s">
        <v>33</v>
      </c>
      <c r="C1077">
        <v>0</v>
      </c>
      <c r="D1077">
        <v>8</v>
      </c>
      <c r="E1077" t="str">
        <f t="shared" si="36"/>
        <v>Ptit Savoyard/8/3/0</v>
      </c>
      <c r="F1077">
        <v>22</v>
      </c>
    </row>
    <row r="1078" spans="1:6" x14ac:dyDescent="0.2">
      <c r="A1078">
        <v>4</v>
      </c>
      <c r="B1078" t="s">
        <v>501</v>
      </c>
      <c r="C1078">
        <v>0</v>
      </c>
      <c r="D1078">
        <v>4</v>
      </c>
      <c r="E1078" t="str">
        <f t="shared" si="36"/>
        <v>Poisson Pilote/4/4/0</v>
      </c>
      <c r="F1078">
        <v>22</v>
      </c>
    </row>
    <row r="1079" spans="1:6" x14ac:dyDescent="0.2">
      <c r="A1079">
        <v>5</v>
      </c>
      <c r="B1079" t="s">
        <v>40</v>
      </c>
      <c r="C1079">
        <v>1</v>
      </c>
      <c r="D1079">
        <v>2</v>
      </c>
      <c r="E1079" t="str">
        <f t="shared" si="36"/>
        <v>Lén@/2/5/1</v>
      </c>
      <c r="F1079">
        <v>22</v>
      </c>
    </row>
    <row r="1080" spans="1:6" x14ac:dyDescent="0.2">
      <c r="A1080">
        <v>6</v>
      </c>
      <c r="B1080" t="s">
        <v>46</v>
      </c>
      <c r="C1080">
        <v>0</v>
      </c>
      <c r="D1080">
        <v>1</v>
      </c>
      <c r="E1080" t="str">
        <f t="shared" si="36"/>
        <v>Jérôme/1/6/0</v>
      </c>
      <c r="F1080">
        <v>22</v>
      </c>
    </row>
    <row r="1081" spans="1:6" x14ac:dyDescent="0.2">
      <c r="A1081">
        <v>1</v>
      </c>
      <c r="B1081" t="s">
        <v>490</v>
      </c>
      <c r="C1081">
        <v>3</v>
      </c>
      <c r="D1081">
        <v>17</v>
      </c>
      <c r="E1081" t="str">
        <f t="shared" si="36"/>
        <v>DernierPli/17/1/3</v>
      </c>
      <c r="F1081">
        <v>22</v>
      </c>
    </row>
    <row r="1082" spans="1:6" x14ac:dyDescent="0.2">
      <c r="A1082">
        <v>2</v>
      </c>
      <c r="B1082" t="s">
        <v>15</v>
      </c>
      <c r="C1082">
        <v>1</v>
      </c>
      <c r="D1082">
        <v>13</v>
      </c>
      <c r="E1082" t="str">
        <f t="shared" si="36"/>
        <v>LAAtof/13/2/1</v>
      </c>
      <c r="F1082">
        <v>22</v>
      </c>
    </row>
    <row r="1083" spans="1:6" x14ac:dyDescent="0.2">
      <c r="A1083">
        <v>3</v>
      </c>
      <c r="B1083" t="s">
        <v>25</v>
      </c>
      <c r="C1083">
        <v>1</v>
      </c>
      <c r="D1083">
        <v>9</v>
      </c>
      <c r="E1083" t="str">
        <f t="shared" si="36"/>
        <v>Claudius/9/3/1</v>
      </c>
      <c r="F1083">
        <v>22</v>
      </c>
    </row>
    <row r="1084" spans="1:6" x14ac:dyDescent="0.2">
      <c r="A1084">
        <v>4</v>
      </c>
      <c r="B1084" t="s">
        <v>534</v>
      </c>
      <c r="C1084">
        <v>0</v>
      </c>
      <c r="D1084">
        <v>5</v>
      </c>
      <c r="E1084" t="str">
        <f t="shared" si="36"/>
        <v>JC/5/4/0</v>
      </c>
      <c r="F1084">
        <v>22</v>
      </c>
    </row>
    <row r="1085" spans="1:6" x14ac:dyDescent="0.2">
      <c r="A1085">
        <v>5</v>
      </c>
      <c r="B1085" t="s">
        <v>6</v>
      </c>
      <c r="C1085">
        <v>0</v>
      </c>
      <c r="D1085">
        <v>3</v>
      </c>
      <c r="E1085" t="str">
        <f t="shared" si="36"/>
        <v>Pyja/3/5/0</v>
      </c>
      <c r="F1085">
        <v>22</v>
      </c>
    </row>
    <row r="1086" spans="1:6" x14ac:dyDescent="0.2">
      <c r="A1086">
        <v>6</v>
      </c>
      <c r="B1086" t="s">
        <v>9</v>
      </c>
      <c r="C1086">
        <v>1</v>
      </c>
      <c r="D1086">
        <v>2</v>
      </c>
      <c r="E1086" t="str">
        <f t="shared" si="36"/>
        <v>K1/2/6/1</v>
      </c>
      <c r="F1086">
        <v>22</v>
      </c>
    </row>
    <row r="1087" spans="1:6" x14ac:dyDescent="0.2">
      <c r="A1087">
        <v>7</v>
      </c>
      <c r="B1087" t="s">
        <v>518</v>
      </c>
      <c r="C1087">
        <v>0</v>
      </c>
      <c r="D1087">
        <v>1</v>
      </c>
      <c r="E1087" t="str">
        <f t="shared" ref="E1087:E1150" si="37">B1087&amp;"/"&amp;D1087&amp;"/"&amp;A1087&amp;"/"&amp;C1087</f>
        <v>Soupaman/1/7/0</v>
      </c>
      <c r="F1087">
        <v>22</v>
      </c>
    </row>
    <row r="1088" spans="1:6" x14ac:dyDescent="0.2">
      <c r="A1088">
        <v>1</v>
      </c>
      <c r="B1088" t="s">
        <v>32</v>
      </c>
      <c r="C1088">
        <v>2</v>
      </c>
      <c r="D1088">
        <v>17</v>
      </c>
      <c r="E1088" t="str">
        <f t="shared" si="37"/>
        <v>OlivierN92/17/1/2</v>
      </c>
      <c r="F1088">
        <v>22</v>
      </c>
    </row>
    <row r="1089" spans="1:6" x14ac:dyDescent="0.2">
      <c r="A1089">
        <v>2</v>
      </c>
      <c r="B1089" t="s">
        <v>500</v>
      </c>
      <c r="C1089">
        <v>2</v>
      </c>
      <c r="D1089">
        <v>13</v>
      </c>
      <c r="E1089" t="str">
        <f t="shared" si="37"/>
        <v>Kheops/13/2/2</v>
      </c>
      <c r="F1089">
        <v>22</v>
      </c>
    </row>
    <row r="1090" spans="1:6" x14ac:dyDescent="0.2">
      <c r="A1090">
        <v>3</v>
      </c>
      <c r="B1090" t="s">
        <v>87</v>
      </c>
      <c r="C1090">
        <v>2</v>
      </c>
      <c r="D1090">
        <v>9</v>
      </c>
      <c r="E1090" t="str">
        <f t="shared" si="37"/>
        <v>Proph@ne/9/3/2</v>
      </c>
      <c r="F1090">
        <v>22</v>
      </c>
    </row>
    <row r="1091" spans="1:6" x14ac:dyDescent="0.2">
      <c r="A1091">
        <v>4</v>
      </c>
      <c r="B1091" t="s">
        <v>55</v>
      </c>
      <c r="C1091">
        <v>0</v>
      </c>
      <c r="D1091">
        <v>5</v>
      </c>
      <c r="E1091" t="str">
        <f t="shared" si="37"/>
        <v>Bounette/5/4/0</v>
      </c>
      <c r="F1091">
        <v>22</v>
      </c>
    </row>
    <row r="1092" spans="1:6" x14ac:dyDescent="0.2">
      <c r="A1092">
        <v>5</v>
      </c>
      <c r="B1092" t="s">
        <v>519</v>
      </c>
      <c r="C1092">
        <v>0</v>
      </c>
      <c r="D1092">
        <v>3</v>
      </c>
      <c r="E1092" t="str">
        <f t="shared" si="37"/>
        <v>Xhar92/3/5/0</v>
      </c>
      <c r="F1092">
        <v>22</v>
      </c>
    </row>
    <row r="1093" spans="1:6" x14ac:dyDescent="0.2">
      <c r="A1093">
        <v>6</v>
      </c>
      <c r="B1093" t="s">
        <v>507</v>
      </c>
      <c r="C1093">
        <v>0</v>
      </c>
      <c r="D1093">
        <v>2</v>
      </c>
      <c r="E1093" t="str">
        <f t="shared" si="37"/>
        <v>Losogre/2/6/0</v>
      </c>
      <c r="F1093">
        <v>22</v>
      </c>
    </row>
    <row r="1094" spans="1:6" x14ac:dyDescent="0.2">
      <c r="A1094">
        <v>7</v>
      </c>
      <c r="B1094" t="s">
        <v>485</v>
      </c>
      <c r="C1094">
        <v>0</v>
      </c>
      <c r="D1094">
        <v>1</v>
      </c>
      <c r="E1094" t="str">
        <f t="shared" si="37"/>
        <v>Solucky/1/7/0</v>
      </c>
      <c r="F1094">
        <v>22</v>
      </c>
    </row>
    <row r="1095" spans="1:6" x14ac:dyDescent="0.2">
      <c r="A1095">
        <v>1</v>
      </c>
      <c r="B1095" t="s">
        <v>532</v>
      </c>
      <c r="C1095">
        <v>1</v>
      </c>
      <c r="D1095">
        <v>16</v>
      </c>
      <c r="E1095" t="str">
        <f t="shared" si="37"/>
        <v>Boosilletoo/16/1/1</v>
      </c>
      <c r="F1095">
        <v>22</v>
      </c>
    </row>
    <row r="1096" spans="1:6" x14ac:dyDescent="0.2">
      <c r="A1096">
        <v>1</v>
      </c>
      <c r="B1096" t="s">
        <v>19</v>
      </c>
      <c r="C1096">
        <v>2</v>
      </c>
      <c r="D1096">
        <v>16</v>
      </c>
      <c r="E1096" t="str">
        <f t="shared" si="37"/>
        <v>Giobeck/16/1/2</v>
      </c>
      <c r="F1096">
        <v>22</v>
      </c>
    </row>
    <row r="1097" spans="1:6" x14ac:dyDescent="0.2">
      <c r="A1097">
        <v>3</v>
      </c>
      <c r="B1097" t="s">
        <v>69</v>
      </c>
      <c r="C1097">
        <v>1</v>
      </c>
      <c r="D1097">
        <v>8</v>
      </c>
      <c r="E1097" t="str">
        <f t="shared" si="37"/>
        <v>Catherine/8/3/1</v>
      </c>
      <c r="F1097">
        <v>22</v>
      </c>
    </row>
    <row r="1098" spans="1:6" x14ac:dyDescent="0.2">
      <c r="A1098">
        <v>4</v>
      </c>
      <c r="B1098" t="s">
        <v>526</v>
      </c>
      <c r="C1098">
        <v>1</v>
      </c>
      <c r="D1098">
        <v>4</v>
      </c>
      <c r="E1098" t="str">
        <f t="shared" si="37"/>
        <v>Yroz/4/4/1</v>
      </c>
      <c r="F1098">
        <v>22</v>
      </c>
    </row>
    <row r="1099" spans="1:6" x14ac:dyDescent="0.2">
      <c r="A1099">
        <v>5</v>
      </c>
      <c r="B1099" t="s">
        <v>21</v>
      </c>
      <c r="C1099">
        <v>0</v>
      </c>
      <c r="D1099">
        <v>2</v>
      </c>
      <c r="E1099" t="str">
        <f t="shared" si="37"/>
        <v>Carmin/2/5/0</v>
      </c>
      <c r="F1099">
        <v>22</v>
      </c>
    </row>
    <row r="1100" spans="1:6" x14ac:dyDescent="0.2">
      <c r="A1100">
        <v>6</v>
      </c>
      <c r="B1100" t="s">
        <v>493</v>
      </c>
      <c r="C1100">
        <v>0</v>
      </c>
      <c r="D1100">
        <v>1</v>
      </c>
      <c r="E1100" t="str">
        <f t="shared" si="37"/>
        <v>Rockatou/1/6/0</v>
      </c>
      <c r="F1100">
        <v>22</v>
      </c>
    </row>
    <row r="1101" spans="1:6" x14ac:dyDescent="0.2">
      <c r="A1101">
        <v>1</v>
      </c>
      <c r="B1101" t="s">
        <v>475</v>
      </c>
      <c r="C1101">
        <v>5</v>
      </c>
      <c r="D1101">
        <v>16</v>
      </c>
      <c r="E1101" t="str">
        <f t="shared" si="37"/>
        <v>La Bavure/16/1/5</v>
      </c>
      <c r="F1101">
        <v>22</v>
      </c>
    </row>
    <row r="1102" spans="1:6" x14ac:dyDescent="0.2">
      <c r="A1102">
        <v>2</v>
      </c>
      <c r="B1102" t="s">
        <v>512</v>
      </c>
      <c r="C1102">
        <v>0</v>
      </c>
      <c r="D1102">
        <v>12</v>
      </c>
      <c r="E1102" t="str">
        <f t="shared" si="37"/>
        <v>Fishtro/12/2/0</v>
      </c>
      <c r="F1102">
        <v>22</v>
      </c>
    </row>
    <row r="1103" spans="1:6" x14ac:dyDescent="0.2">
      <c r="A1103">
        <v>3</v>
      </c>
      <c r="B1103" t="s">
        <v>476</v>
      </c>
      <c r="C1103">
        <v>0</v>
      </c>
      <c r="D1103">
        <v>8</v>
      </c>
      <c r="E1103" t="str">
        <f t="shared" si="37"/>
        <v>MegaSouche/8/3/0</v>
      </c>
      <c r="F1103">
        <v>22</v>
      </c>
    </row>
    <row r="1104" spans="1:6" x14ac:dyDescent="0.2">
      <c r="A1104">
        <v>4</v>
      </c>
      <c r="B1104" t="s">
        <v>525</v>
      </c>
      <c r="C1104">
        <v>0</v>
      </c>
      <c r="D1104">
        <v>4</v>
      </c>
      <c r="E1104" t="str">
        <f t="shared" si="37"/>
        <v>Freddie/4/4/0</v>
      </c>
      <c r="F1104">
        <v>22</v>
      </c>
    </row>
    <row r="1105" spans="1:6" x14ac:dyDescent="0.2">
      <c r="A1105">
        <v>5</v>
      </c>
      <c r="B1105" t="s">
        <v>81</v>
      </c>
      <c r="C1105">
        <v>0</v>
      </c>
      <c r="D1105">
        <v>2</v>
      </c>
      <c r="E1105" t="str">
        <f t="shared" si="37"/>
        <v>Empedocle/2/5/0</v>
      </c>
      <c r="F1105">
        <v>22</v>
      </c>
    </row>
    <row r="1106" spans="1:6" x14ac:dyDescent="0.2">
      <c r="A1106">
        <v>6</v>
      </c>
      <c r="B1106" t="s">
        <v>75</v>
      </c>
      <c r="C1106">
        <v>0</v>
      </c>
      <c r="D1106">
        <v>1</v>
      </c>
      <c r="E1106" t="str">
        <f t="shared" si="37"/>
        <v>Michelbey/1/6/0</v>
      </c>
      <c r="F1106">
        <v>22</v>
      </c>
    </row>
    <row r="1107" spans="1:6" x14ac:dyDescent="0.2">
      <c r="A1107">
        <v>1</v>
      </c>
      <c r="B1107" t="s">
        <v>515</v>
      </c>
      <c r="C1107">
        <v>2</v>
      </c>
      <c r="D1107">
        <v>17</v>
      </c>
      <c r="E1107" t="str">
        <f t="shared" si="37"/>
        <v>Chico/17/1/2</v>
      </c>
      <c r="F1107">
        <v>22</v>
      </c>
    </row>
    <row r="1108" spans="1:6" x14ac:dyDescent="0.2">
      <c r="A1108">
        <v>2</v>
      </c>
      <c r="B1108" t="s">
        <v>27</v>
      </c>
      <c r="C1108">
        <v>3</v>
      </c>
      <c r="D1108">
        <v>13</v>
      </c>
      <c r="E1108" t="str">
        <f t="shared" si="37"/>
        <v>Mandrake/13/2/3</v>
      </c>
      <c r="F1108">
        <v>22</v>
      </c>
    </row>
    <row r="1109" spans="1:6" x14ac:dyDescent="0.2">
      <c r="A1109">
        <v>3</v>
      </c>
      <c r="B1109" t="s">
        <v>504</v>
      </c>
      <c r="C1109">
        <v>1</v>
      </c>
      <c r="D1109">
        <v>9</v>
      </c>
      <c r="E1109" t="str">
        <f t="shared" si="37"/>
        <v>Zizou/9/3/1</v>
      </c>
      <c r="F1109">
        <v>22</v>
      </c>
    </row>
    <row r="1110" spans="1:6" x14ac:dyDescent="0.2">
      <c r="A1110">
        <v>4</v>
      </c>
      <c r="B1110" t="s">
        <v>461</v>
      </c>
      <c r="C1110">
        <v>0</v>
      </c>
      <c r="D1110">
        <v>5</v>
      </c>
      <c r="E1110" t="str">
        <f t="shared" si="37"/>
        <v>Djecus/5/4/0</v>
      </c>
      <c r="F1110">
        <v>22</v>
      </c>
    </row>
    <row r="1111" spans="1:6" x14ac:dyDescent="0.2">
      <c r="A1111">
        <v>5</v>
      </c>
      <c r="B1111" t="s">
        <v>531</v>
      </c>
      <c r="C1111">
        <v>0</v>
      </c>
      <c r="D1111">
        <v>3</v>
      </c>
      <c r="E1111" t="str">
        <f t="shared" si="37"/>
        <v>Toinou/3/5/0</v>
      </c>
      <c r="F1111">
        <v>22</v>
      </c>
    </row>
    <row r="1112" spans="1:6" x14ac:dyDescent="0.2">
      <c r="A1112">
        <v>6</v>
      </c>
      <c r="B1112" t="s">
        <v>73</v>
      </c>
      <c r="C1112">
        <v>0</v>
      </c>
      <c r="D1112">
        <v>2</v>
      </c>
      <c r="E1112" t="str">
        <f t="shared" si="37"/>
        <v>Flem/2/6/0</v>
      </c>
      <c r="F1112">
        <v>22</v>
      </c>
    </row>
    <row r="1113" spans="1:6" x14ac:dyDescent="0.2">
      <c r="A1113">
        <v>7</v>
      </c>
      <c r="B1113" t="s">
        <v>66</v>
      </c>
      <c r="C1113">
        <v>0</v>
      </c>
      <c r="D1113">
        <v>1</v>
      </c>
      <c r="E1113" t="str">
        <f t="shared" si="37"/>
        <v>Ad Vitam/1/7/0</v>
      </c>
      <c r="F1113">
        <v>22</v>
      </c>
    </row>
    <row r="1114" spans="1:6" x14ac:dyDescent="0.2">
      <c r="A1114">
        <v>1</v>
      </c>
      <c r="B1114" t="s">
        <v>485</v>
      </c>
      <c r="C1114">
        <v>3</v>
      </c>
      <c r="D1114">
        <v>17</v>
      </c>
      <c r="E1114" t="str">
        <f t="shared" si="37"/>
        <v>Solucky/17/1/3</v>
      </c>
      <c r="F1114">
        <v>23</v>
      </c>
    </row>
    <row r="1115" spans="1:6" x14ac:dyDescent="0.2">
      <c r="A1115">
        <v>2</v>
      </c>
      <c r="B1115" t="s">
        <v>55</v>
      </c>
      <c r="C1115">
        <v>1</v>
      </c>
      <c r="D1115">
        <v>13</v>
      </c>
      <c r="E1115" t="str">
        <f t="shared" si="37"/>
        <v>Bounette/13/2/1</v>
      </c>
      <c r="F1115">
        <v>23</v>
      </c>
    </row>
    <row r="1116" spans="1:6" x14ac:dyDescent="0.2">
      <c r="A1116">
        <v>3</v>
      </c>
      <c r="B1116" t="s">
        <v>533</v>
      </c>
      <c r="C1116">
        <v>1</v>
      </c>
      <c r="D1116">
        <v>9</v>
      </c>
      <c r="E1116" t="str">
        <f t="shared" si="37"/>
        <v>Ouais ouais/9/3/1</v>
      </c>
      <c r="F1116">
        <v>23</v>
      </c>
    </row>
    <row r="1117" spans="1:6" x14ac:dyDescent="0.2">
      <c r="A1117">
        <v>4</v>
      </c>
      <c r="B1117" t="s">
        <v>551</v>
      </c>
      <c r="C1117">
        <v>1</v>
      </c>
      <c r="D1117">
        <v>5</v>
      </c>
      <c r="E1117" t="str">
        <f t="shared" si="37"/>
        <v>Matteo/5/4/1</v>
      </c>
      <c r="F1117">
        <v>23</v>
      </c>
    </row>
    <row r="1118" spans="1:6" x14ac:dyDescent="0.2">
      <c r="A1118">
        <v>5</v>
      </c>
      <c r="B1118" t="s">
        <v>42</v>
      </c>
      <c r="C1118">
        <v>0</v>
      </c>
      <c r="D1118">
        <v>3</v>
      </c>
      <c r="E1118" t="str">
        <f t="shared" si="37"/>
        <v>Claptou/3/5/0</v>
      </c>
      <c r="F1118">
        <v>23</v>
      </c>
    </row>
    <row r="1119" spans="1:6" x14ac:dyDescent="0.2">
      <c r="A1119">
        <v>6</v>
      </c>
      <c r="B1119" t="s">
        <v>508</v>
      </c>
      <c r="C1119">
        <v>0</v>
      </c>
      <c r="D1119">
        <v>2</v>
      </c>
      <c r="E1119" t="str">
        <f t="shared" si="37"/>
        <v>Rmarc/2/6/0</v>
      </c>
      <c r="F1119">
        <v>23</v>
      </c>
    </row>
    <row r="1120" spans="1:6" x14ac:dyDescent="0.2">
      <c r="A1120">
        <v>6</v>
      </c>
      <c r="B1120" t="s">
        <v>505</v>
      </c>
      <c r="C1120">
        <v>0</v>
      </c>
      <c r="D1120">
        <v>2</v>
      </c>
      <c r="E1120" t="str">
        <f t="shared" si="37"/>
        <v>Mams/2/6/0</v>
      </c>
      <c r="F1120">
        <v>23</v>
      </c>
    </row>
    <row r="1121" spans="1:6" x14ac:dyDescent="0.2">
      <c r="A1121">
        <v>1</v>
      </c>
      <c r="B1121" t="s">
        <v>35</v>
      </c>
      <c r="C1121">
        <v>3</v>
      </c>
      <c r="D1121">
        <v>17</v>
      </c>
      <c r="E1121" t="str">
        <f t="shared" si="37"/>
        <v>JeanMichelTiming/17/1/3</v>
      </c>
      <c r="F1121">
        <v>23</v>
      </c>
    </row>
    <row r="1122" spans="1:6" x14ac:dyDescent="0.2">
      <c r="A1122">
        <v>2</v>
      </c>
      <c r="B1122" t="s">
        <v>535</v>
      </c>
      <c r="C1122">
        <v>1</v>
      </c>
      <c r="D1122">
        <v>13</v>
      </c>
      <c r="E1122" t="str">
        <f t="shared" si="37"/>
        <v>TheRealWill/13/2/1</v>
      </c>
      <c r="F1122">
        <v>23</v>
      </c>
    </row>
    <row r="1123" spans="1:6" x14ac:dyDescent="0.2">
      <c r="A1123">
        <v>3</v>
      </c>
      <c r="B1123" t="s">
        <v>519</v>
      </c>
      <c r="C1123">
        <v>1</v>
      </c>
      <c r="D1123">
        <v>9</v>
      </c>
      <c r="E1123" t="str">
        <f t="shared" si="37"/>
        <v>Xhar92/9/3/1</v>
      </c>
      <c r="F1123">
        <v>23</v>
      </c>
    </row>
    <row r="1124" spans="1:6" x14ac:dyDescent="0.2">
      <c r="A1124">
        <v>4</v>
      </c>
      <c r="B1124" t="s">
        <v>534</v>
      </c>
      <c r="C1124">
        <v>1</v>
      </c>
      <c r="D1124">
        <v>5</v>
      </c>
      <c r="E1124" t="str">
        <f t="shared" si="37"/>
        <v>JC/5/4/1</v>
      </c>
      <c r="F1124">
        <v>23</v>
      </c>
    </row>
    <row r="1125" spans="1:6" x14ac:dyDescent="0.2">
      <c r="A1125">
        <v>5</v>
      </c>
      <c r="B1125" t="s">
        <v>516</v>
      </c>
      <c r="C1125">
        <v>0</v>
      </c>
      <c r="D1125">
        <v>3</v>
      </c>
      <c r="E1125" t="str">
        <f t="shared" si="37"/>
        <v>Tenko/3/5/0</v>
      </c>
      <c r="F1125">
        <v>23</v>
      </c>
    </row>
    <row r="1126" spans="1:6" x14ac:dyDescent="0.2">
      <c r="A1126">
        <v>6</v>
      </c>
      <c r="B1126" t="s">
        <v>280</v>
      </c>
      <c r="C1126">
        <v>0</v>
      </c>
      <c r="D1126">
        <v>2</v>
      </c>
      <c r="E1126" t="str">
        <f t="shared" si="37"/>
        <v>Delgres/2/6/0</v>
      </c>
      <c r="F1126">
        <v>23</v>
      </c>
    </row>
    <row r="1127" spans="1:6" x14ac:dyDescent="0.2">
      <c r="A1127">
        <v>7</v>
      </c>
      <c r="B1127" t="s">
        <v>345</v>
      </c>
      <c r="C1127">
        <v>0</v>
      </c>
      <c r="D1127">
        <v>1</v>
      </c>
      <c r="E1127" t="str">
        <f t="shared" si="37"/>
        <v>Thibaultp75/1/7/0</v>
      </c>
      <c r="F1127">
        <v>23</v>
      </c>
    </row>
    <row r="1128" spans="1:6" x14ac:dyDescent="0.2">
      <c r="A1128">
        <v>1</v>
      </c>
      <c r="B1128" t="s">
        <v>506</v>
      </c>
      <c r="C1128">
        <v>4</v>
      </c>
      <c r="D1128">
        <v>16</v>
      </c>
      <c r="E1128" t="str">
        <f t="shared" si="37"/>
        <v>Zubbaz/16/1/4</v>
      </c>
      <c r="F1128">
        <v>23</v>
      </c>
    </row>
    <row r="1129" spans="1:6" x14ac:dyDescent="0.2">
      <c r="A1129">
        <v>2</v>
      </c>
      <c r="B1129" t="s">
        <v>475</v>
      </c>
      <c r="C1129">
        <v>1</v>
      </c>
      <c r="D1129">
        <v>12</v>
      </c>
      <c r="E1129" t="str">
        <f t="shared" si="37"/>
        <v>La Bavure/12/2/1</v>
      </c>
      <c r="F1129">
        <v>23</v>
      </c>
    </row>
    <row r="1130" spans="1:6" x14ac:dyDescent="0.2">
      <c r="A1130">
        <v>3</v>
      </c>
      <c r="B1130" t="s">
        <v>59</v>
      </c>
      <c r="C1130">
        <v>0</v>
      </c>
      <c r="D1130">
        <v>8</v>
      </c>
      <c r="E1130" t="str">
        <f t="shared" si="37"/>
        <v>YooooDA/8/3/0</v>
      </c>
      <c r="F1130">
        <v>23</v>
      </c>
    </row>
    <row r="1131" spans="1:6" x14ac:dyDescent="0.2">
      <c r="A1131">
        <v>4</v>
      </c>
      <c r="B1131" t="s">
        <v>25</v>
      </c>
      <c r="C1131">
        <v>0</v>
      </c>
      <c r="D1131">
        <v>4</v>
      </c>
      <c r="E1131" t="str">
        <f t="shared" si="37"/>
        <v>Claudius/4/4/0</v>
      </c>
      <c r="F1131">
        <v>23</v>
      </c>
    </row>
    <row r="1132" spans="1:6" x14ac:dyDescent="0.2">
      <c r="A1132">
        <v>5</v>
      </c>
      <c r="B1132" t="s">
        <v>46</v>
      </c>
      <c r="C1132">
        <v>0</v>
      </c>
      <c r="D1132">
        <v>2</v>
      </c>
      <c r="E1132" t="str">
        <f t="shared" si="37"/>
        <v>Jérôme/2/5/0</v>
      </c>
      <c r="F1132">
        <v>23</v>
      </c>
    </row>
    <row r="1133" spans="1:6" x14ac:dyDescent="0.2">
      <c r="A1133">
        <v>6</v>
      </c>
      <c r="B1133" t="s">
        <v>9</v>
      </c>
      <c r="C1133">
        <v>0</v>
      </c>
      <c r="D1133">
        <v>1</v>
      </c>
      <c r="E1133" t="str">
        <f t="shared" si="37"/>
        <v>K1/1/6/0</v>
      </c>
      <c r="F1133">
        <v>23</v>
      </c>
    </row>
    <row r="1134" spans="1:6" x14ac:dyDescent="0.2">
      <c r="A1134">
        <v>1</v>
      </c>
      <c r="B1134" t="s">
        <v>74</v>
      </c>
      <c r="C1134">
        <v>4</v>
      </c>
      <c r="D1134">
        <v>16</v>
      </c>
      <c r="E1134" t="str">
        <f t="shared" si="37"/>
        <v>PatB/16/1/4</v>
      </c>
      <c r="F1134">
        <v>23</v>
      </c>
    </row>
    <row r="1135" spans="1:6" x14ac:dyDescent="0.2">
      <c r="A1135">
        <v>2</v>
      </c>
      <c r="B1135" t="s">
        <v>15</v>
      </c>
      <c r="C1135">
        <v>1</v>
      </c>
      <c r="D1135">
        <v>12</v>
      </c>
      <c r="E1135" t="str">
        <f t="shared" si="37"/>
        <v>LAAtof/12/2/1</v>
      </c>
      <c r="F1135">
        <v>23</v>
      </c>
    </row>
    <row r="1136" spans="1:6" x14ac:dyDescent="0.2">
      <c r="A1136">
        <v>3</v>
      </c>
      <c r="B1136" t="s">
        <v>479</v>
      </c>
      <c r="C1136">
        <v>0</v>
      </c>
      <c r="D1136">
        <v>8</v>
      </c>
      <c r="E1136" t="str">
        <f t="shared" si="37"/>
        <v>Salender/8/3/0</v>
      </c>
      <c r="F1136">
        <v>23</v>
      </c>
    </row>
    <row r="1137" spans="1:6" x14ac:dyDescent="0.2">
      <c r="A1137">
        <v>4</v>
      </c>
      <c r="B1137" t="s">
        <v>69</v>
      </c>
      <c r="C1137">
        <v>0</v>
      </c>
      <c r="D1137">
        <v>4</v>
      </c>
      <c r="E1137" t="str">
        <f t="shared" si="37"/>
        <v>Catherine/4/4/0</v>
      </c>
      <c r="F1137">
        <v>23</v>
      </c>
    </row>
    <row r="1138" spans="1:6" x14ac:dyDescent="0.2">
      <c r="A1138">
        <v>5</v>
      </c>
      <c r="B1138" t="s">
        <v>33</v>
      </c>
      <c r="C1138">
        <v>0</v>
      </c>
      <c r="D1138">
        <v>2</v>
      </c>
      <c r="E1138" t="str">
        <f t="shared" si="37"/>
        <v>Ptit Savoyard/2/5/0</v>
      </c>
      <c r="F1138">
        <v>23</v>
      </c>
    </row>
    <row r="1139" spans="1:6" x14ac:dyDescent="0.2">
      <c r="A1139">
        <v>6</v>
      </c>
      <c r="B1139" t="s">
        <v>501</v>
      </c>
      <c r="C1139">
        <v>0</v>
      </c>
      <c r="D1139">
        <v>1</v>
      </c>
      <c r="E1139" t="str">
        <f t="shared" si="37"/>
        <v>Poisson Pilote/1/6/0</v>
      </c>
      <c r="F1139">
        <v>23</v>
      </c>
    </row>
    <row r="1140" spans="1:6" x14ac:dyDescent="0.2">
      <c r="A1140">
        <v>1</v>
      </c>
      <c r="B1140" t="s">
        <v>66</v>
      </c>
      <c r="C1140">
        <v>2</v>
      </c>
      <c r="D1140">
        <v>16</v>
      </c>
      <c r="E1140" t="str">
        <f t="shared" si="37"/>
        <v>Ad Vitam/16/1/2</v>
      </c>
      <c r="F1140">
        <v>23</v>
      </c>
    </row>
    <row r="1141" spans="1:6" x14ac:dyDescent="0.2">
      <c r="A1141">
        <v>2</v>
      </c>
      <c r="B1141" t="s">
        <v>21</v>
      </c>
      <c r="C1141">
        <v>2</v>
      </c>
      <c r="D1141">
        <v>12</v>
      </c>
      <c r="E1141" t="str">
        <f t="shared" si="37"/>
        <v>Carmin/12/2/2</v>
      </c>
      <c r="F1141">
        <v>23</v>
      </c>
    </row>
    <row r="1142" spans="1:6" x14ac:dyDescent="0.2">
      <c r="A1142">
        <v>3</v>
      </c>
      <c r="B1142" t="s">
        <v>525</v>
      </c>
      <c r="C1142">
        <v>1</v>
      </c>
      <c r="D1142">
        <v>8</v>
      </c>
      <c r="E1142" t="str">
        <f t="shared" si="37"/>
        <v>Freddie/8/3/1</v>
      </c>
      <c r="F1142">
        <v>23</v>
      </c>
    </row>
    <row r="1143" spans="1:6" x14ac:dyDescent="0.2">
      <c r="A1143">
        <v>4</v>
      </c>
      <c r="B1143" t="s">
        <v>493</v>
      </c>
      <c r="C1143">
        <v>0</v>
      </c>
      <c r="D1143">
        <v>4</v>
      </c>
      <c r="E1143" t="str">
        <f t="shared" si="37"/>
        <v>Rockatou/4/4/0</v>
      </c>
      <c r="F1143">
        <v>23</v>
      </c>
    </row>
    <row r="1144" spans="1:6" x14ac:dyDescent="0.2">
      <c r="A1144">
        <v>5</v>
      </c>
      <c r="B1144" t="s">
        <v>512</v>
      </c>
      <c r="C1144">
        <v>0</v>
      </c>
      <c r="D1144">
        <v>2</v>
      </c>
      <c r="E1144" t="str">
        <f t="shared" si="37"/>
        <v>Fishtro/2/5/0</v>
      </c>
      <c r="F1144">
        <v>23</v>
      </c>
    </row>
    <row r="1145" spans="1:6" x14ac:dyDescent="0.2">
      <c r="A1145">
        <v>6</v>
      </c>
      <c r="B1145" t="s">
        <v>507</v>
      </c>
      <c r="C1145">
        <v>0</v>
      </c>
      <c r="D1145">
        <v>1</v>
      </c>
      <c r="E1145" t="str">
        <f t="shared" si="37"/>
        <v>Losogre/1/6/0</v>
      </c>
      <c r="F1145">
        <v>23</v>
      </c>
    </row>
    <row r="1146" spans="1:6" x14ac:dyDescent="0.2">
      <c r="A1146">
        <v>1</v>
      </c>
      <c r="B1146" t="s">
        <v>75</v>
      </c>
      <c r="C1146">
        <v>3</v>
      </c>
      <c r="D1146">
        <v>17</v>
      </c>
      <c r="E1146" t="str">
        <f t="shared" si="37"/>
        <v>Michelbey/17/1/3</v>
      </c>
      <c r="F1146">
        <v>23</v>
      </c>
    </row>
    <row r="1147" spans="1:6" x14ac:dyDescent="0.2">
      <c r="A1147">
        <v>2</v>
      </c>
      <c r="B1147" t="s">
        <v>504</v>
      </c>
      <c r="C1147">
        <v>2</v>
      </c>
      <c r="D1147">
        <v>13</v>
      </c>
      <c r="E1147" t="str">
        <f t="shared" si="37"/>
        <v>Zizou/13/2/2</v>
      </c>
      <c r="F1147">
        <v>23</v>
      </c>
    </row>
    <row r="1148" spans="1:6" x14ac:dyDescent="0.2">
      <c r="A1148">
        <v>3</v>
      </c>
      <c r="B1148" t="s">
        <v>461</v>
      </c>
      <c r="C1148">
        <v>0</v>
      </c>
      <c r="D1148">
        <v>9</v>
      </c>
      <c r="E1148" t="str">
        <f t="shared" si="37"/>
        <v>Djecus/9/3/0</v>
      </c>
      <c r="F1148">
        <v>23</v>
      </c>
    </row>
    <row r="1149" spans="1:6" x14ac:dyDescent="0.2">
      <c r="A1149">
        <v>4</v>
      </c>
      <c r="B1149" t="s">
        <v>27</v>
      </c>
      <c r="C1149">
        <v>0</v>
      </c>
      <c r="D1149">
        <v>5</v>
      </c>
      <c r="E1149" t="str">
        <f t="shared" si="37"/>
        <v>Mandrake/5/4/0</v>
      </c>
      <c r="F1149">
        <v>23</v>
      </c>
    </row>
    <row r="1150" spans="1:6" x14ac:dyDescent="0.2">
      <c r="A1150">
        <v>5</v>
      </c>
      <c r="B1150" t="s">
        <v>19</v>
      </c>
      <c r="C1150">
        <v>1</v>
      </c>
      <c r="D1150">
        <v>3</v>
      </c>
      <c r="E1150" t="str">
        <f t="shared" si="37"/>
        <v>Giobeck/3/5/1</v>
      </c>
      <c r="F1150">
        <v>23</v>
      </c>
    </row>
    <row r="1151" spans="1:6" x14ac:dyDescent="0.2">
      <c r="A1151">
        <v>6</v>
      </c>
      <c r="B1151" t="s">
        <v>73</v>
      </c>
      <c r="C1151">
        <v>0</v>
      </c>
      <c r="D1151">
        <v>2</v>
      </c>
      <c r="E1151" t="str">
        <f t="shared" ref="E1151:E1214" si="38">B1151&amp;"/"&amp;D1151&amp;"/"&amp;A1151&amp;"/"&amp;C1151</f>
        <v>Flem/2/6/0</v>
      </c>
      <c r="F1151">
        <v>23</v>
      </c>
    </row>
    <row r="1152" spans="1:6" x14ac:dyDescent="0.2">
      <c r="A1152">
        <v>7</v>
      </c>
      <c r="B1152" t="s">
        <v>76</v>
      </c>
      <c r="C1152">
        <v>0</v>
      </c>
      <c r="D1152">
        <v>1</v>
      </c>
      <c r="E1152" t="str">
        <f t="shared" si="38"/>
        <v>Comment2/1/7/0</v>
      </c>
      <c r="F1152">
        <v>23</v>
      </c>
    </row>
    <row r="1153" spans="1:6" x14ac:dyDescent="0.2">
      <c r="A1153">
        <v>1</v>
      </c>
      <c r="B1153" t="s">
        <v>6</v>
      </c>
      <c r="C1153">
        <v>1</v>
      </c>
      <c r="D1153">
        <v>17</v>
      </c>
      <c r="E1153" t="str">
        <f t="shared" si="38"/>
        <v>Pyja/17/1/1</v>
      </c>
      <c r="F1153">
        <v>23</v>
      </c>
    </row>
    <row r="1154" spans="1:6" x14ac:dyDescent="0.2">
      <c r="A1154">
        <v>1</v>
      </c>
      <c r="B1154" t="s">
        <v>490</v>
      </c>
      <c r="C1154">
        <v>3</v>
      </c>
      <c r="D1154">
        <v>17</v>
      </c>
      <c r="E1154" t="str">
        <f t="shared" si="38"/>
        <v>DernierPli/17/1/3</v>
      </c>
      <c r="F1154">
        <v>23</v>
      </c>
    </row>
    <row r="1155" spans="1:6" x14ac:dyDescent="0.2">
      <c r="A1155">
        <v>3</v>
      </c>
      <c r="B1155" t="s">
        <v>515</v>
      </c>
      <c r="C1155">
        <v>1</v>
      </c>
      <c r="D1155">
        <v>9</v>
      </c>
      <c r="E1155" t="str">
        <f t="shared" si="38"/>
        <v>Chico/9/3/1</v>
      </c>
      <c r="F1155">
        <v>23</v>
      </c>
    </row>
    <row r="1156" spans="1:6" x14ac:dyDescent="0.2">
      <c r="A1156">
        <v>4</v>
      </c>
      <c r="B1156" t="s">
        <v>88</v>
      </c>
      <c r="C1156">
        <v>0</v>
      </c>
      <c r="D1156">
        <v>5</v>
      </c>
      <c r="E1156" t="str">
        <f t="shared" si="38"/>
        <v>Yarael/5/4/0</v>
      </c>
      <c r="F1156">
        <v>23</v>
      </c>
    </row>
    <row r="1157" spans="1:6" x14ac:dyDescent="0.2">
      <c r="A1157">
        <v>5</v>
      </c>
      <c r="B1157" t="s">
        <v>32</v>
      </c>
      <c r="C1157">
        <v>0</v>
      </c>
      <c r="D1157">
        <v>3</v>
      </c>
      <c r="E1157" t="str">
        <f t="shared" si="38"/>
        <v>OlivierN92/3/5/0</v>
      </c>
      <c r="F1157">
        <v>23</v>
      </c>
    </row>
    <row r="1158" spans="1:6" x14ac:dyDescent="0.2">
      <c r="A1158">
        <v>6</v>
      </c>
      <c r="B1158" t="s">
        <v>509</v>
      </c>
      <c r="C1158">
        <v>1</v>
      </c>
      <c r="D1158">
        <v>2</v>
      </c>
      <c r="E1158" t="str">
        <f t="shared" si="38"/>
        <v>Gibouille/2/6/1</v>
      </c>
      <c r="F1158">
        <v>23</v>
      </c>
    </row>
    <row r="1159" spans="1:6" x14ac:dyDescent="0.2">
      <c r="A1159">
        <v>7</v>
      </c>
      <c r="B1159" t="s">
        <v>81</v>
      </c>
      <c r="C1159">
        <v>0</v>
      </c>
      <c r="D1159">
        <v>1</v>
      </c>
      <c r="E1159" t="str">
        <f t="shared" si="38"/>
        <v>Empedocle/1/7/0</v>
      </c>
      <c r="F1159">
        <v>23</v>
      </c>
    </row>
    <row r="1160" spans="1:6" x14ac:dyDescent="0.2">
      <c r="A1160">
        <v>1</v>
      </c>
      <c r="B1160" t="s">
        <v>476</v>
      </c>
      <c r="C1160">
        <v>6</v>
      </c>
      <c r="D1160">
        <v>17</v>
      </c>
      <c r="E1160" t="str">
        <f t="shared" si="38"/>
        <v>MegaSouche/17/1/6</v>
      </c>
      <c r="F1160">
        <v>24</v>
      </c>
    </row>
    <row r="1161" spans="1:6" x14ac:dyDescent="0.2">
      <c r="A1161">
        <v>2</v>
      </c>
      <c r="B1161" t="s">
        <v>534</v>
      </c>
      <c r="C1161">
        <v>0</v>
      </c>
      <c r="D1161">
        <v>13</v>
      </c>
      <c r="E1161" t="str">
        <f t="shared" si="38"/>
        <v>JC/13/2/0</v>
      </c>
      <c r="F1161">
        <v>24</v>
      </c>
    </row>
    <row r="1162" spans="1:6" x14ac:dyDescent="0.2">
      <c r="A1162">
        <v>3</v>
      </c>
      <c r="B1162" t="s">
        <v>33</v>
      </c>
      <c r="C1162">
        <v>0</v>
      </c>
      <c r="D1162">
        <v>9</v>
      </c>
      <c r="E1162" t="str">
        <f t="shared" si="38"/>
        <v>Ptit Savoyard/9/3/0</v>
      </c>
      <c r="F1162">
        <v>24</v>
      </c>
    </row>
    <row r="1163" spans="1:6" x14ac:dyDescent="0.2">
      <c r="A1163">
        <v>4</v>
      </c>
      <c r="B1163" t="s">
        <v>515</v>
      </c>
      <c r="C1163">
        <v>0</v>
      </c>
      <c r="D1163">
        <v>5</v>
      </c>
      <c r="E1163" t="str">
        <f t="shared" si="38"/>
        <v>Chico/5/4/0</v>
      </c>
      <c r="F1163">
        <v>24</v>
      </c>
    </row>
    <row r="1164" spans="1:6" x14ac:dyDescent="0.2">
      <c r="A1164">
        <v>5</v>
      </c>
      <c r="B1164" t="s">
        <v>19</v>
      </c>
      <c r="C1164">
        <v>0</v>
      </c>
      <c r="D1164">
        <v>3</v>
      </c>
      <c r="E1164" t="str">
        <f t="shared" si="38"/>
        <v>Giobeck/3/5/0</v>
      </c>
      <c r="F1164">
        <v>24</v>
      </c>
    </row>
    <row r="1165" spans="1:6" x14ac:dyDescent="0.2">
      <c r="A1165">
        <v>6</v>
      </c>
      <c r="B1165" t="s">
        <v>74</v>
      </c>
      <c r="C1165">
        <v>0</v>
      </c>
      <c r="D1165">
        <v>2</v>
      </c>
      <c r="E1165" t="str">
        <f t="shared" si="38"/>
        <v>PatB/2/6/0</v>
      </c>
      <c r="F1165">
        <v>24</v>
      </c>
    </row>
    <row r="1166" spans="1:6" x14ac:dyDescent="0.2">
      <c r="A1166">
        <v>7</v>
      </c>
      <c r="B1166" t="s">
        <v>66</v>
      </c>
      <c r="C1166">
        <v>0</v>
      </c>
      <c r="D1166">
        <v>1</v>
      </c>
      <c r="E1166" t="str">
        <f t="shared" si="38"/>
        <v>Ad Vitam/1/7/0</v>
      </c>
      <c r="F1166">
        <v>24</v>
      </c>
    </row>
    <row r="1167" spans="1:6" x14ac:dyDescent="0.2">
      <c r="A1167">
        <v>1</v>
      </c>
      <c r="B1167" t="s">
        <v>87</v>
      </c>
      <c r="C1167">
        <v>4</v>
      </c>
      <c r="D1167">
        <v>17</v>
      </c>
      <c r="E1167" t="str">
        <f t="shared" si="38"/>
        <v>Proph@ne/17/1/4</v>
      </c>
      <c r="F1167">
        <v>24</v>
      </c>
    </row>
    <row r="1168" spans="1:6" x14ac:dyDescent="0.2">
      <c r="A1168">
        <v>2</v>
      </c>
      <c r="B1168" t="s">
        <v>32</v>
      </c>
      <c r="C1168">
        <v>1</v>
      </c>
      <c r="D1168">
        <v>13</v>
      </c>
      <c r="E1168" t="str">
        <f t="shared" si="38"/>
        <v>OlivierN92/13/2/1</v>
      </c>
      <c r="F1168">
        <v>24</v>
      </c>
    </row>
    <row r="1169" spans="1:6" x14ac:dyDescent="0.2">
      <c r="A1169">
        <v>3</v>
      </c>
      <c r="B1169" t="s">
        <v>59</v>
      </c>
      <c r="C1169">
        <v>0</v>
      </c>
      <c r="D1169">
        <v>9</v>
      </c>
      <c r="E1169" t="str">
        <f t="shared" si="38"/>
        <v>YooooDA/9/3/0</v>
      </c>
      <c r="F1169">
        <v>24</v>
      </c>
    </row>
    <row r="1170" spans="1:6" x14ac:dyDescent="0.2">
      <c r="A1170">
        <v>4</v>
      </c>
      <c r="B1170" t="s">
        <v>518</v>
      </c>
      <c r="C1170">
        <v>1</v>
      </c>
      <c r="D1170">
        <v>5</v>
      </c>
      <c r="E1170" t="str">
        <f t="shared" si="38"/>
        <v>Soupaman/5/4/1</v>
      </c>
      <c r="F1170">
        <v>24</v>
      </c>
    </row>
    <row r="1171" spans="1:6" x14ac:dyDescent="0.2">
      <c r="A1171">
        <v>5</v>
      </c>
      <c r="B1171" t="s">
        <v>516</v>
      </c>
      <c r="C1171">
        <v>0</v>
      </c>
      <c r="D1171">
        <v>3</v>
      </c>
      <c r="E1171" t="str">
        <f t="shared" si="38"/>
        <v>Tenko/3/5/0</v>
      </c>
      <c r="F1171">
        <v>24</v>
      </c>
    </row>
    <row r="1172" spans="1:6" x14ac:dyDescent="0.2">
      <c r="A1172">
        <v>6</v>
      </c>
      <c r="B1172" t="s">
        <v>479</v>
      </c>
      <c r="C1172">
        <v>0</v>
      </c>
      <c r="D1172">
        <v>2</v>
      </c>
      <c r="E1172" t="str">
        <f t="shared" si="38"/>
        <v>Salender/2/6/0</v>
      </c>
      <c r="F1172">
        <v>24</v>
      </c>
    </row>
    <row r="1173" spans="1:6" x14ac:dyDescent="0.2">
      <c r="A1173">
        <v>7</v>
      </c>
      <c r="B1173" t="s">
        <v>25</v>
      </c>
      <c r="C1173">
        <v>0</v>
      </c>
      <c r="D1173">
        <v>1</v>
      </c>
      <c r="E1173" t="str">
        <f t="shared" si="38"/>
        <v>Claudius/1/7/0</v>
      </c>
      <c r="F1173">
        <v>24</v>
      </c>
    </row>
    <row r="1174" spans="1:6" x14ac:dyDescent="0.2">
      <c r="A1174">
        <v>1</v>
      </c>
      <c r="B1174" t="s">
        <v>75</v>
      </c>
      <c r="C1174">
        <v>4</v>
      </c>
      <c r="D1174">
        <v>17</v>
      </c>
      <c r="E1174" t="str">
        <f t="shared" si="38"/>
        <v>Michelbey/17/1/4</v>
      </c>
      <c r="F1174">
        <v>24</v>
      </c>
    </row>
    <row r="1175" spans="1:6" x14ac:dyDescent="0.2">
      <c r="A1175">
        <v>2</v>
      </c>
      <c r="B1175" t="s">
        <v>9</v>
      </c>
      <c r="C1175">
        <v>1</v>
      </c>
      <c r="D1175">
        <v>13</v>
      </c>
      <c r="E1175" t="str">
        <f t="shared" si="38"/>
        <v>K1/13/2/1</v>
      </c>
      <c r="F1175">
        <v>24</v>
      </c>
    </row>
    <row r="1176" spans="1:6" x14ac:dyDescent="0.2">
      <c r="A1176">
        <v>3</v>
      </c>
      <c r="B1176" t="s">
        <v>475</v>
      </c>
      <c r="C1176">
        <v>0</v>
      </c>
      <c r="D1176">
        <v>9</v>
      </c>
      <c r="E1176" t="str">
        <f t="shared" si="38"/>
        <v>La Bavure/9/3/0</v>
      </c>
      <c r="F1176">
        <v>24</v>
      </c>
    </row>
    <row r="1177" spans="1:6" x14ac:dyDescent="0.2">
      <c r="A1177">
        <v>4</v>
      </c>
      <c r="B1177" t="s">
        <v>485</v>
      </c>
      <c r="C1177">
        <v>1</v>
      </c>
      <c r="D1177">
        <v>5</v>
      </c>
      <c r="E1177" t="str">
        <f t="shared" si="38"/>
        <v>Solucky/5/4/1</v>
      </c>
      <c r="F1177">
        <v>24</v>
      </c>
    </row>
    <row r="1178" spans="1:6" x14ac:dyDescent="0.2">
      <c r="A1178">
        <v>5</v>
      </c>
      <c r="B1178" t="s">
        <v>526</v>
      </c>
      <c r="C1178">
        <v>0</v>
      </c>
      <c r="D1178">
        <v>3</v>
      </c>
      <c r="E1178" t="str">
        <f t="shared" si="38"/>
        <v>Yroz/3/5/0</v>
      </c>
      <c r="F1178">
        <v>24</v>
      </c>
    </row>
    <row r="1179" spans="1:6" x14ac:dyDescent="0.2">
      <c r="A1179">
        <v>6</v>
      </c>
      <c r="B1179" t="s">
        <v>504</v>
      </c>
      <c r="C1179">
        <v>0</v>
      </c>
      <c r="D1179">
        <v>2</v>
      </c>
      <c r="E1179" t="str">
        <f t="shared" si="38"/>
        <v>Zizou/2/6/0</v>
      </c>
      <c r="F1179">
        <v>24</v>
      </c>
    </row>
    <row r="1180" spans="1:6" x14ac:dyDescent="0.2">
      <c r="A1180">
        <v>7</v>
      </c>
      <c r="B1180" t="s">
        <v>35</v>
      </c>
      <c r="C1180">
        <v>0</v>
      </c>
      <c r="D1180">
        <v>1</v>
      </c>
      <c r="E1180" t="str">
        <f t="shared" si="38"/>
        <v>JeanMichelTiming/1/7/0</v>
      </c>
      <c r="F1180">
        <v>24</v>
      </c>
    </row>
    <row r="1181" spans="1:6" x14ac:dyDescent="0.2">
      <c r="A1181">
        <v>1</v>
      </c>
      <c r="B1181" t="s">
        <v>73</v>
      </c>
      <c r="C1181">
        <v>4</v>
      </c>
      <c r="D1181">
        <v>17</v>
      </c>
      <c r="E1181" t="str">
        <f t="shared" si="38"/>
        <v>Flem/17/1/4</v>
      </c>
      <c r="F1181">
        <v>24</v>
      </c>
    </row>
    <row r="1182" spans="1:6" x14ac:dyDescent="0.2">
      <c r="A1182">
        <v>2</v>
      </c>
      <c r="B1182" t="s">
        <v>69</v>
      </c>
      <c r="C1182">
        <v>2</v>
      </c>
      <c r="D1182">
        <v>13</v>
      </c>
      <c r="E1182" t="str">
        <f t="shared" si="38"/>
        <v>Catherine/13/2/2</v>
      </c>
      <c r="F1182">
        <v>24</v>
      </c>
    </row>
    <row r="1183" spans="1:6" x14ac:dyDescent="0.2">
      <c r="A1183">
        <v>3</v>
      </c>
      <c r="B1183" t="s">
        <v>490</v>
      </c>
      <c r="C1183">
        <v>0</v>
      </c>
      <c r="D1183">
        <v>9</v>
      </c>
      <c r="E1183" t="str">
        <f t="shared" si="38"/>
        <v>DernierPli/9/3/0</v>
      </c>
      <c r="F1183">
        <v>24</v>
      </c>
    </row>
    <row r="1184" spans="1:6" x14ac:dyDescent="0.2">
      <c r="A1184">
        <v>4</v>
      </c>
      <c r="B1184" t="s">
        <v>552</v>
      </c>
      <c r="C1184">
        <v>0</v>
      </c>
      <c r="D1184">
        <v>5</v>
      </c>
      <c r="E1184" t="str">
        <f t="shared" si="38"/>
        <v>Snake1702/5/4/0</v>
      </c>
      <c r="F1184">
        <v>24</v>
      </c>
    </row>
    <row r="1185" spans="1:6" x14ac:dyDescent="0.2">
      <c r="A1185">
        <v>5</v>
      </c>
      <c r="B1185" t="s">
        <v>462</v>
      </c>
      <c r="C1185">
        <v>0</v>
      </c>
      <c r="D1185">
        <v>3</v>
      </c>
      <c r="E1185" t="str">
        <f t="shared" si="38"/>
        <v>Lizzie/3/5/0</v>
      </c>
      <c r="F1185">
        <v>24</v>
      </c>
    </row>
    <row r="1186" spans="1:6" x14ac:dyDescent="0.2">
      <c r="A1186">
        <v>6</v>
      </c>
      <c r="B1186" t="s">
        <v>15</v>
      </c>
      <c r="C1186">
        <v>0</v>
      </c>
      <c r="D1186">
        <v>2</v>
      </c>
      <c r="E1186" t="str">
        <f t="shared" si="38"/>
        <v>LAAtof/2/6/0</v>
      </c>
      <c r="F1186">
        <v>24</v>
      </c>
    </row>
    <row r="1187" spans="1:6" x14ac:dyDescent="0.2">
      <c r="A1187">
        <v>7</v>
      </c>
      <c r="B1187" t="s">
        <v>506</v>
      </c>
      <c r="C1187">
        <v>0</v>
      </c>
      <c r="D1187">
        <v>1</v>
      </c>
      <c r="E1187" t="str">
        <f t="shared" si="38"/>
        <v>Zubbaz/1/7/0</v>
      </c>
      <c r="F1187">
        <v>24</v>
      </c>
    </row>
    <row r="1188" spans="1:6" x14ac:dyDescent="0.2">
      <c r="A1188">
        <v>1</v>
      </c>
      <c r="B1188" t="s">
        <v>61</v>
      </c>
      <c r="C1188">
        <v>2</v>
      </c>
      <c r="D1188">
        <v>17</v>
      </c>
      <c r="E1188" t="str">
        <f t="shared" si="38"/>
        <v>Kri-lin/17/1/2</v>
      </c>
      <c r="F1188">
        <v>24</v>
      </c>
    </row>
    <row r="1189" spans="1:6" x14ac:dyDescent="0.2">
      <c r="A1189">
        <v>2</v>
      </c>
      <c r="B1189" t="s">
        <v>345</v>
      </c>
      <c r="C1189">
        <v>3</v>
      </c>
      <c r="D1189">
        <v>13</v>
      </c>
      <c r="E1189" t="str">
        <f t="shared" si="38"/>
        <v>Thibaultp75/13/2/3</v>
      </c>
      <c r="F1189">
        <v>24</v>
      </c>
    </row>
    <row r="1190" spans="1:6" x14ac:dyDescent="0.2">
      <c r="A1190">
        <v>3</v>
      </c>
      <c r="B1190" t="s">
        <v>553</v>
      </c>
      <c r="C1190">
        <v>1</v>
      </c>
      <c r="D1190">
        <v>9</v>
      </c>
      <c r="E1190" t="str">
        <f t="shared" si="38"/>
        <v>Ilyes./9/3/1</v>
      </c>
      <c r="F1190">
        <v>24</v>
      </c>
    </row>
    <row r="1191" spans="1:6" x14ac:dyDescent="0.2">
      <c r="A1191">
        <v>4</v>
      </c>
      <c r="B1191" t="s">
        <v>535</v>
      </c>
      <c r="C1191">
        <v>0</v>
      </c>
      <c r="D1191">
        <v>5</v>
      </c>
      <c r="E1191" t="str">
        <f t="shared" si="38"/>
        <v>TheRealWill/5/4/0</v>
      </c>
      <c r="F1191">
        <v>24</v>
      </c>
    </row>
    <row r="1192" spans="1:6" x14ac:dyDescent="0.2">
      <c r="A1192">
        <v>5</v>
      </c>
      <c r="B1192" t="s">
        <v>40</v>
      </c>
      <c r="C1192">
        <v>0</v>
      </c>
      <c r="D1192">
        <v>3</v>
      </c>
      <c r="E1192" t="str">
        <f t="shared" si="38"/>
        <v>Lén@/3/5/0</v>
      </c>
      <c r="F1192">
        <v>24</v>
      </c>
    </row>
    <row r="1193" spans="1:6" x14ac:dyDescent="0.2">
      <c r="A1193">
        <v>6</v>
      </c>
      <c r="B1193" t="s">
        <v>42</v>
      </c>
      <c r="C1193">
        <v>0</v>
      </c>
      <c r="D1193">
        <v>2</v>
      </c>
      <c r="E1193" t="str">
        <f t="shared" si="38"/>
        <v>Claptou/2/6/0</v>
      </c>
      <c r="F1193">
        <v>24</v>
      </c>
    </row>
    <row r="1194" spans="1:6" x14ac:dyDescent="0.2">
      <c r="A1194">
        <v>7</v>
      </c>
      <c r="B1194" t="s">
        <v>507</v>
      </c>
      <c r="C1194">
        <v>0</v>
      </c>
      <c r="D1194">
        <v>1</v>
      </c>
      <c r="E1194" t="str">
        <f t="shared" si="38"/>
        <v>Losogre/1/7/0</v>
      </c>
      <c r="F1194">
        <v>24</v>
      </c>
    </row>
    <row r="1195" spans="1:6" x14ac:dyDescent="0.2">
      <c r="A1195">
        <v>1</v>
      </c>
      <c r="B1195" t="s">
        <v>27</v>
      </c>
      <c r="C1195">
        <v>5</v>
      </c>
      <c r="D1195">
        <v>17</v>
      </c>
      <c r="E1195" t="str">
        <f t="shared" si="38"/>
        <v>Mandrake/17/1/5</v>
      </c>
      <c r="F1195">
        <v>24</v>
      </c>
    </row>
    <row r="1196" spans="1:6" x14ac:dyDescent="0.2">
      <c r="A1196">
        <v>2</v>
      </c>
      <c r="B1196" t="s">
        <v>493</v>
      </c>
      <c r="C1196">
        <v>0</v>
      </c>
      <c r="D1196">
        <v>13</v>
      </c>
      <c r="E1196" t="str">
        <f t="shared" si="38"/>
        <v>Rockatou/13/2/0</v>
      </c>
      <c r="F1196">
        <v>24</v>
      </c>
    </row>
    <row r="1197" spans="1:6" x14ac:dyDescent="0.2">
      <c r="A1197">
        <v>3</v>
      </c>
      <c r="B1197" t="s">
        <v>554</v>
      </c>
      <c r="C1197">
        <v>0</v>
      </c>
      <c r="D1197">
        <v>9</v>
      </c>
      <c r="E1197" t="str">
        <f t="shared" si="38"/>
        <v>ScoNix/9/3/0</v>
      </c>
      <c r="F1197">
        <v>24</v>
      </c>
    </row>
    <row r="1198" spans="1:6" x14ac:dyDescent="0.2">
      <c r="A1198">
        <v>4</v>
      </c>
      <c r="B1198" t="s">
        <v>491</v>
      </c>
      <c r="C1198">
        <v>0</v>
      </c>
      <c r="D1198">
        <v>5</v>
      </c>
      <c r="E1198" t="str">
        <f t="shared" si="38"/>
        <v>Flabech/5/4/0</v>
      </c>
      <c r="F1198">
        <v>24</v>
      </c>
    </row>
    <row r="1199" spans="1:6" x14ac:dyDescent="0.2">
      <c r="A1199">
        <v>5</v>
      </c>
      <c r="B1199" t="s">
        <v>512</v>
      </c>
      <c r="C1199">
        <v>1</v>
      </c>
      <c r="D1199">
        <v>3</v>
      </c>
      <c r="E1199" t="str">
        <f t="shared" si="38"/>
        <v>Fishtro/3/5/1</v>
      </c>
      <c r="F1199">
        <v>24</v>
      </c>
    </row>
    <row r="1200" spans="1:6" x14ac:dyDescent="0.2">
      <c r="A1200">
        <v>6</v>
      </c>
      <c r="B1200" t="s">
        <v>65</v>
      </c>
      <c r="C1200">
        <v>0</v>
      </c>
      <c r="D1200">
        <v>2</v>
      </c>
      <c r="E1200" t="str">
        <f t="shared" si="38"/>
        <v>Ripolin/2/6/0</v>
      </c>
      <c r="F1200">
        <v>24</v>
      </c>
    </row>
    <row r="1201" spans="1:6" x14ac:dyDescent="0.2">
      <c r="A1201">
        <v>7</v>
      </c>
      <c r="B1201" t="s">
        <v>532</v>
      </c>
      <c r="C1201">
        <v>0</v>
      </c>
      <c r="D1201">
        <v>1</v>
      </c>
      <c r="E1201" t="str">
        <f t="shared" si="38"/>
        <v>Boosilletoo/1/7/0</v>
      </c>
      <c r="F1201">
        <v>24</v>
      </c>
    </row>
    <row r="1202" spans="1:6" x14ac:dyDescent="0.2">
      <c r="A1202">
        <v>1</v>
      </c>
      <c r="B1202" t="s">
        <v>46</v>
      </c>
      <c r="C1202">
        <v>3</v>
      </c>
      <c r="D1202">
        <v>17</v>
      </c>
      <c r="E1202" t="str">
        <f t="shared" si="38"/>
        <v>Jérôme/17/1/3</v>
      </c>
      <c r="F1202">
        <v>24</v>
      </c>
    </row>
    <row r="1203" spans="1:6" x14ac:dyDescent="0.2">
      <c r="A1203">
        <v>2</v>
      </c>
      <c r="B1203" t="s">
        <v>21</v>
      </c>
      <c r="C1203">
        <v>2</v>
      </c>
      <c r="D1203">
        <v>13</v>
      </c>
      <c r="E1203" t="str">
        <f t="shared" si="38"/>
        <v>Carmin/13/2/2</v>
      </c>
      <c r="F1203">
        <v>24</v>
      </c>
    </row>
    <row r="1204" spans="1:6" x14ac:dyDescent="0.2">
      <c r="A1204">
        <v>3</v>
      </c>
      <c r="B1204" t="s">
        <v>508</v>
      </c>
      <c r="C1204">
        <v>0</v>
      </c>
      <c r="D1204">
        <v>9</v>
      </c>
      <c r="E1204" t="str">
        <f t="shared" si="38"/>
        <v>Rmarc/9/3/0</v>
      </c>
      <c r="F1204">
        <v>24</v>
      </c>
    </row>
    <row r="1205" spans="1:6" x14ac:dyDescent="0.2">
      <c r="A1205">
        <v>4</v>
      </c>
      <c r="B1205" t="s">
        <v>6</v>
      </c>
      <c r="C1205">
        <v>1</v>
      </c>
      <c r="D1205">
        <v>5</v>
      </c>
      <c r="E1205" t="str">
        <f t="shared" si="38"/>
        <v>Pyja/5/4/1</v>
      </c>
      <c r="F1205">
        <v>24</v>
      </c>
    </row>
    <row r="1206" spans="1:6" x14ac:dyDescent="0.2">
      <c r="A1206">
        <v>5</v>
      </c>
      <c r="B1206" t="s">
        <v>525</v>
      </c>
      <c r="C1206">
        <v>0</v>
      </c>
      <c r="D1206">
        <v>3</v>
      </c>
      <c r="E1206" t="str">
        <f t="shared" si="38"/>
        <v>Freddie/3/5/0</v>
      </c>
      <c r="F1206">
        <v>24</v>
      </c>
    </row>
    <row r="1207" spans="1:6" x14ac:dyDescent="0.2">
      <c r="A1207">
        <v>6</v>
      </c>
      <c r="B1207" t="s">
        <v>280</v>
      </c>
      <c r="C1207">
        <v>0</v>
      </c>
      <c r="D1207">
        <v>2</v>
      </c>
      <c r="E1207" t="str">
        <f t="shared" si="38"/>
        <v>Delgres/2/6/0</v>
      </c>
      <c r="F1207">
        <v>24</v>
      </c>
    </row>
    <row r="1208" spans="1:6" x14ac:dyDescent="0.2">
      <c r="A1208">
        <v>7</v>
      </c>
      <c r="B1208" t="s">
        <v>76</v>
      </c>
      <c r="C1208">
        <v>0</v>
      </c>
      <c r="D1208">
        <v>1</v>
      </c>
      <c r="E1208" t="str">
        <f t="shared" si="38"/>
        <v>Comment2/1/7/0</v>
      </c>
      <c r="F1208">
        <v>24</v>
      </c>
    </row>
    <row r="1209" spans="1:6" x14ac:dyDescent="0.2">
      <c r="A1209">
        <v>1</v>
      </c>
      <c r="B1209" t="s">
        <v>500</v>
      </c>
      <c r="C1209">
        <v>3</v>
      </c>
      <c r="D1209">
        <v>17</v>
      </c>
      <c r="E1209" t="str">
        <f t="shared" si="38"/>
        <v>Kheops/17/1/3</v>
      </c>
      <c r="F1209">
        <v>24</v>
      </c>
    </row>
    <row r="1210" spans="1:6" x14ac:dyDescent="0.2">
      <c r="A1210">
        <v>2</v>
      </c>
      <c r="B1210" t="s">
        <v>454</v>
      </c>
      <c r="C1210">
        <v>1</v>
      </c>
      <c r="D1210">
        <v>13</v>
      </c>
      <c r="E1210" t="str">
        <f t="shared" si="38"/>
        <v>Gibbonfury/13/2/1</v>
      </c>
      <c r="F1210">
        <v>24</v>
      </c>
    </row>
    <row r="1211" spans="1:6" x14ac:dyDescent="0.2">
      <c r="A1211">
        <v>3</v>
      </c>
      <c r="B1211" t="s">
        <v>502</v>
      </c>
      <c r="C1211">
        <v>1</v>
      </c>
      <c r="D1211">
        <v>9</v>
      </c>
      <c r="E1211" t="str">
        <f t="shared" si="38"/>
        <v>Sobab/9/3/1</v>
      </c>
      <c r="F1211">
        <v>24</v>
      </c>
    </row>
    <row r="1212" spans="1:6" x14ac:dyDescent="0.2">
      <c r="A1212">
        <v>4</v>
      </c>
      <c r="B1212" t="s">
        <v>55</v>
      </c>
      <c r="C1212">
        <v>0</v>
      </c>
      <c r="D1212">
        <v>5</v>
      </c>
      <c r="E1212" t="str">
        <f t="shared" si="38"/>
        <v>Bounette/5/4/0</v>
      </c>
      <c r="F1212">
        <v>24</v>
      </c>
    </row>
    <row r="1213" spans="1:6" x14ac:dyDescent="0.2">
      <c r="A1213">
        <v>5</v>
      </c>
      <c r="B1213" t="s">
        <v>505</v>
      </c>
      <c r="C1213">
        <v>0</v>
      </c>
      <c r="D1213">
        <v>3</v>
      </c>
      <c r="E1213" t="str">
        <f t="shared" si="38"/>
        <v>Mams/3/5/0</v>
      </c>
      <c r="F1213">
        <v>24</v>
      </c>
    </row>
    <row r="1214" spans="1:6" x14ac:dyDescent="0.2">
      <c r="A1214">
        <v>6</v>
      </c>
      <c r="B1214" t="s">
        <v>509</v>
      </c>
      <c r="C1214">
        <v>1</v>
      </c>
      <c r="D1214">
        <v>2</v>
      </c>
      <c r="E1214" t="str">
        <f t="shared" si="38"/>
        <v>Gibouille/2/6/1</v>
      </c>
      <c r="F1214">
        <v>24</v>
      </c>
    </row>
    <row r="1215" spans="1:6" x14ac:dyDescent="0.2">
      <c r="A1215">
        <v>7</v>
      </c>
      <c r="B1215" t="s">
        <v>503</v>
      </c>
      <c r="C1215">
        <v>0</v>
      </c>
      <c r="D1215">
        <v>1</v>
      </c>
      <c r="E1215" t="str">
        <f t="shared" ref="E1215:E1278" si="39">B1215&amp;"/"&amp;D1215&amp;"/"&amp;A1215&amp;"/"&amp;C1215</f>
        <v>Yaltar/1/7/0</v>
      </c>
      <c r="F1215">
        <v>24</v>
      </c>
    </row>
    <row r="1216" spans="1:6" x14ac:dyDescent="0.2">
      <c r="A1216">
        <v>1</v>
      </c>
      <c r="B1216" t="s">
        <v>475</v>
      </c>
      <c r="C1216">
        <v>4</v>
      </c>
      <c r="D1216">
        <v>16</v>
      </c>
      <c r="E1216" t="str">
        <f t="shared" si="39"/>
        <v>La Bavure/16/1/4</v>
      </c>
      <c r="F1216">
        <v>25</v>
      </c>
    </row>
    <row r="1217" spans="1:6" x14ac:dyDescent="0.2">
      <c r="A1217">
        <v>2</v>
      </c>
      <c r="B1217" t="s">
        <v>461</v>
      </c>
      <c r="C1217">
        <v>0</v>
      </c>
      <c r="D1217">
        <v>12</v>
      </c>
      <c r="E1217" t="str">
        <f t="shared" si="39"/>
        <v>Djecus/12/2/0</v>
      </c>
      <c r="F1217">
        <v>25</v>
      </c>
    </row>
    <row r="1218" spans="1:6" x14ac:dyDescent="0.2">
      <c r="A1218">
        <v>3</v>
      </c>
      <c r="B1218" t="s">
        <v>506</v>
      </c>
      <c r="C1218">
        <v>0</v>
      </c>
      <c r="D1218">
        <v>8</v>
      </c>
      <c r="E1218" t="str">
        <f t="shared" si="39"/>
        <v>Zubbaz/8/3/0</v>
      </c>
      <c r="F1218">
        <v>25</v>
      </c>
    </row>
    <row r="1219" spans="1:6" x14ac:dyDescent="0.2">
      <c r="A1219">
        <v>4</v>
      </c>
      <c r="B1219" t="s">
        <v>25</v>
      </c>
      <c r="C1219">
        <v>0</v>
      </c>
      <c r="D1219">
        <v>4</v>
      </c>
      <c r="E1219" t="str">
        <f t="shared" si="39"/>
        <v>Claudius/4/4/0</v>
      </c>
      <c r="F1219">
        <v>25</v>
      </c>
    </row>
    <row r="1220" spans="1:6" x14ac:dyDescent="0.2">
      <c r="A1220">
        <v>5</v>
      </c>
      <c r="B1220" t="s">
        <v>507</v>
      </c>
      <c r="C1220">
        <v>1</v>
      </c>
      <c r="D1220">
        <v>2</v>
      </c>
      <c r="E1220" t="str">
        <f t="shared" si="39"/>
        <v>Losogre/2/5/1</v>
      </c>
      <c r="F1220">
        <v>25</v>
      </c>
    </row>
    <row r="1221" spans="1:6" x14ac:dyDescent="0.2">
      <c r="A1221">
        <v>6</v>
      </c>
      <c r="B1221" t="s">
        <v>345</v>
      </c>
      <c r="C1221">
        <v>0</v>
      </c>
      <c r="D1221">
        <v>1</v>
      </c>
      <c r="E1221" t="str">
        <f t="shared" si="39"/>
        <v>Thibaultp75/1/6/0</v>
      </c>
      <c r="F1221">
        <v>25</v>
      </c>
    </row>
    <row r="1222" spans="1:6" x14ac:dyDescent="0.2">
      <c r="A1222">
        <v>1</v>
      </c>
      <c r="B1222" t="s">
        <v>535</v>
      </c>
      <c r="C1222">
        <v>4</v>
      </c>
      <c r="D1222">
        <v>17</v>
      </c>
      <c r="E1222" t="str">
        <f t="shared" si="39"/>
        <v>TheRealWill/17/1/4</v>
      </c>
      <c r="F1222">
        <v>25</v>
      </c>
    </row>
    <row r="1223" spans="1:6" x14ac:dyDescent="0.2">
      <c r="A1223">
        <v>2</v>
      </c>
      <c r="B1223" t="s">
        <v>66</v>
      </c>
      <c r="C1223">
        <v>0</v>
      </c>
      <c r="D1223">
        <v>13</v>
      </c>
      <c r="E1223" t="str">
        <f t="shared" si="39"/>
        <v>Ad Vitam/13/2/0</v>
      </c>
      <c r="F1223">
        <v>25</v>
      </c>
    </row>
    <row r="1224" spans="1:6" x14ac:dyDescent="0.2">
      <c r="A1224">
        <v>3</v>
      </c>
      <c r="B1224" t="s">
        <v>476</v>
      </c>
      <c r="C1224">
        <v>1</v>
      </c>
      <c r="D1224">
        <v>9</v>
      </c>
      <c r="E1224" t="str">
        <f t="shared" si="39"/>
        <v>MegaSouche/9/3/1</v>
      </c>
      <c r="F1224">
        <v>25</v>
      </c>
    </row>
    <row r="1225" spans="1:6" x14ac:dyDescent="0.2">
      <c r="A1225">
        <v>4</v>
      </c>
      <c r="B1225" t="s">
        <v>491</v>
      </c>
      <c r="C1225">
        <v>1</v>
      </c>
      <c r="D1225">
        <v>5</v>
      </c>
      <c r="E1225" t="str">
        <f t="shared" si="39"/>
        <v>Flabech/5/4/1</v>
      </c>
      <c r="F1225">
        <v>25</v>
      </c>
    </row>
    <row r="1226" spans="1:6" x14ac:dyDescent="0.2">
      <c r="A1226">
        <v>5</v>
      </c>
      <c r="B1226" t="s">
        <v>462</v>
      </c>
      <c r="C1226">
        <v>0</v>
      </c>
      <c r="D1226">
        <v>3</v>
      </c>
      <c r="E1226" t="str">
        <f t="shared" si="39"/>
        <v>Lizzie/3/5/0</v>
      </c>
      <c r="F1226">
        <v>25</v>
      </c>
    </row>
    <row r="1227" spans="1:6" x14ac:dyDescent="0.2">
      <c r="A1227">
        <v>6</v>
      </c>
      <c r="B1227" t="s">
        <v>555</v>
      </c>
      <c r="C1227">
        <v>0</v>
      </c>
      <c r="D1227">
        <v>2</v>
      </c>
      <c r="E1227" t="str">
        <f t="shared" si="39"/>
        <v>Gabs/2/6/0</v>
      </c>
      <c r="F1227">
        <v>25</v>
      </c>
    </row>
    <row r="1228" spans="1:6" x14ac:dyDescent="0.2">
      <c r="A1228">
        <v>7</v>
      </c>
      <c r="B1228" t="s">
        <v>505</v>
      </c>
      <c r="C1228">
        <v>0</v>
      </c>
      <c r="D1228">
        <v>1</v>
      </c>
      <c r="E1228" t="str">
        <f t="shared" si="39"/>
        <v>Mams/1/7/0</v>
      </c>
      <c r="F1228">
        <v>25</v>
      </c>
    </row>
    <row r="1229" spans="1:6" x14ac:dyDescent="0.2">
      <c r="A1229">
        <v>1</v>
      </c>
      <c r="B1229" t="s">
        <v>509</v>
      </c>
      <c r="C1229">
        <v>4</v>
      </c>
      <c r="D1229">
        <v>16</v>
      </c>
      <c r="E1229" t="str">
        <f t="shared" si="39"/>
        <v>Gibouille/16/1/4</v>
      </c>
      <c r="F1229">
        <v>25</v>
      </c>
    </row>
    <row r="1230" spans="1:6" x14ac:dyDescent="0.2">
      <c r="A1230">
        <v>2</v>
      </c>
      <c r="B1230" t="s">
        <v>61</v>
      </c>
      <c r="C1230">
        <v>1</v>
      </c>
      <c r="D1230">
        <v>12</v>
      </c>
      <c r="E1230" t="str">
        <f t="shared" si="39"/>
        <v>Kri-lin/12/2/1</v>
      </c>
      <c r="F1230">
        <v>25</v>
      </c>
    </row>
    <row r="1231" spans="1:6" x14ac:dyDescent="0.2">
      <c r="A1231">
        <v>3</v>
      </c>
      <c r="B1231" t="s">
        <v>532</v>
      </c>
      <c r="C1231">
        <v>0</v>
      </c>
      <c r="D1231">
        <v>8</v>
      </c>
      <c r="E1231" t="str">
        <f t="shared" si="39"/>
        <v>Boosilletoo/8/3/0</v>
      </c>
      <c r="F1231">
        <v>25</v>
      </c>
    </row>
    <row r="1232" spans="1:6" x14ac:dyDescent="0.2">
      <c r="A1232">
        <v>4</v>
      </c>
      <c r="B1232" t="s">
        <v>101</v>
      </c>
      <c r="C1232">
        <v>0</v>
      </c>
      <c r="D1232">
        <v>4</v>
      </c>
      <c r="E1232" t="str">
        <f t="shared" si="39"/>
        <v>ChrisFrankfurt/4/4/0</v>
      </c>
      <c r="F1232">
        <v>25</v>
      </c>
    </row>
    <row r="1233" spans="1:6" x14ac:dyDescent="0.2">
      <c r="A1233">
        <v>5</v>
      </c>
      <c r="B1233" t="s">
        <v>493</v>
      </c>
      <c r="C1233">
        <v>0</v>
      </c>
      <c r="D1233">
        <v>2</v>
      </c>
      <c r="E1233" t="str">
        <f t="shared" si="39"/>
        <v>Rockatou/2/5/0</v>
      </c>
      <c r="F1233">
        <v>25</v>
      </c>
    </row>
    <row r="1234" spans="1:6" x14ac:dyDescent="0.2">
      <c r="A1234">
        <v>6</v>
      </c>
      <c r="B1234" t="s">
        <v>69</v>
      </c>
      <c r="C1234">
        <v>0</v>
      </c>
      <c r="D1234">
        <v>1</v>
      </c>
      <c r="E1234" t="str">
        <f t="shared" si="39"/>
        <v>Catherine/1/6/0</v>
      </c>
      <c r="F1234">
        <v>25</v>
      </c>
    </row>
    <row r="1235" spans="1:6" x14ac:dyDescent="0.2">
      <c r="A1235">
        <v>1</v>
      </c>
      <c r="B1235" t="s">
        <v>75</v>
      </c>
      <c r="C1235">
        <v>4</v>
      </c>
      <c r="D1235">
        <v>17</v>
      </c>
      <c r="E1235" t="str">
        <f t="shared" si="39"/>
        <v>Michelbey/17/1/4</v>
      </c>
      <c r="F1235">
        <v>25</v>
      </c>
    </row>
    <row r="1236" spans="1:6" x14ac:dyDescent="0.2">
      <c r="A1236">
        <v>2</v>
      </c>
      <c r="B1236" t="s">
        <v>554</v>
      </c>
      <c r="C1236">
        <v>2</v>
      </c>
      <c r="D1236">
        <v>13</v>
      </c>
      <c r="E1236" t="str">
        <f t="shared" si="39"/>
        <v>ScoNix/13/2/2</v>
      </c>
      <c r="F1236">
        <v>25</v>
      </c>
    </row>
    <row r="1237" spans="1:6" x14ac:dyDescent="0.2">
      <c r="A1237">
        <v>3</v>
      </c>
      <c r="B1237" t="s">
        <v>534</v>
      </c>
      <c r="C1237">
        <v>0</v>
      </c>
      <c r="D1237">
        <v>9</v>
      </c>
      <c r="E1237" t="str">
        <f t="shared" si="39"/>
        <v>JC/9/3/0</v>
      </c>
      <c r="F1237">
        <v>25</v>
      </c>
    </row>
    <row r="1238" spans="1:6" x14ac:dyDescent="0.2">
      <c r="A1238">
        <v>4</v>
      </c>
      <c r="B1238" t="s">
        <v>490</v>
      </c>
      <c r="C1238">
        <v>0</v>
      </c>
      <c r="D1238">
        <v>5</v>
      </c>
      <c r="E1238" t="str">
        <f t="shared" si="39"/>
        <v>DernierPli/5/4/0</v>
      </c>
      <c r="F1238">
        <v>25</v>
      </c>
    </row>
    <row r="1239" spans="1:6" x14ac:dyDescent="0.2">
      <c r="A1239">
        <v>5</v>
      </c>
      <c r="B1239" t="s">
        <v>87</v>
      </c>
      <c r="C1239">
        <v>0</v>
      </c>
      <c r="D1239">
        <v>3</v>
      </c>
      <c r="E1239" t="str">
        <f t="shared" si="39"/>
        <v>Proph@ne/3/5/0</v>
      </c>
      <c r="F1239">
        <v>25</v>
      </c>
    </row>
    <row r="1240" spans="1:6" x14ac:dyDescent="0.2">
      <c r="A1240">
        <v>6</v>
      </c>
      <c r="B1240" t="s">
        <v>485</v>
      </c>
      <c r="C1240">
        <v>0</v>
      </c>
      <c r="D1240">
        <v>2</v>
      </c>
      <c r="E1240" t="str">
        <f t="shared" si="39"/>
        <v>Solucky/2/6/0</v>
      </c>
      <c r="F1240">
        <v>25</v>
      </c>
    </row>
    <row r="1241" spans="1:6" x14ac:dyDescent="0.2">
      <c r="A1241">
        <v>7</v>
      </c>
      <c r="B1241" t="s">
        <v>479</v>
      </c>
      <c r="C1241">
        <v>0</v>
      </c>
      <c r="D1241">
        <v>1</v>
      </c>
      <c r="E1241" t="str">
        <f t="shared" si="39"/>
        <v>Salender/1/7/0</v>
      </c>
      <c r="F1241">
        <v>25</v>
      </c>
    </row>
    <row r="1242" spans="1:6" x14ac:dyDescent="0.2">
      <c r="A1242">
        <v>1</v>
      </c>
      <c r="B1242" t="s">
        <v>503</v>
      </c>
      <c r="C1242">
        <v>3</v>
      </c>
      <c r="D1242">
        <v>16</v>
      </c>
      <c r="E1242" t="str">
        <f t="shared" si="39"/>
        <v>Yaltar/16/1/3</v>
      </c>
      <c r="F1242">
        <v>25</v>
      </c>
    </row>
    <row r="1243" spans="1:6" x14ac:dyDescent="0.2">
      <c r="A1243">
        <v>2</v>
      </c>
      <c r="B1243" t="s">
        <v>76</v>
      </c>
      <c r="C1243">
        <v>1</v>
      </c>
      <c r="D1243">
        <v>12</v>
      </c>
      <c r="E1243" t="str">
        <f t="shared" si="39"/>
        <v>Comment2/12/2/1</v>
      </c>
      <c r="F1243">
        <v>25</v>
      </c>
    </row>
    <row r="1244" spans="1:6" x14ac:dyDescent="0.2">
      <c r="A1244">
        <v>3</v>
      </c>
      <c r="B1244" t="s">
        <v>533</v>
      </c>
      <c r="C1244">
        <v>1</v>
      </c>
      <c r="D1244">
        <v>8</v>
      </c>
      <c r="E1244" t="str">
        <f t="shared" si="39"/>
        <v>Ouais ouais/8/3/1</v>
      </c>
      <c r="F1244">
        <v>25</v>
      </c>
    </row>
    <row r="1245" spans="1:6" x14ac:dyDescent="0.2">
      <c r="A1245">
        <v>4</v>
      </c>
      <c r="B1245" t="s">
        <v>552</v>
      </c>
      <c r="C1245">
        <v>0</v>
      </c>
      <c r="D1245">
        <v>4</v>
      </c>
      <c r="E1245" t="str">
        <f t="shared" si="39"/>
        <v>Snake1702/4/4/0</v>
      </c>
      <c r="F1245">
        <v>25</v>
      </c>
    </row>
    <row r="1246" spans="1:6" x14ac:dyDescent="0.2">
      <c r="A1246">
        <v>5</v>
      </c>
      <c r="B1246" t="s">
        <v>35</v>
      </c>
      <c r="C1246">
        <v>0</v>
      </c>
      <c r="D1246">
        <v>2</v>
      </c>
      <c r="E1246" t="str">
        <f t="shared" si="39"/>
        <v>JeanMichelTiming/2/5/0</v>
      </c>
      <c r="F1246">
        <v>25</v>
      </c>
    </row>
    <row r="1247" spans="1:6" x14ac:dyDescent="0.2">
      <c r="A1247">
        <v>6</v>
      </c>
      <c r="B1247" t="s">
        <v>74</v>
      </c>
      <c r="C1247">
        <v>0</v>
      </c>
      <c r="D1247">
        <v>1</v>
      </c>
      <c r="E1247" t="str">
        <f t="shared" si="39"/>
        <v>PatB/1/6/0</v>
      </c>
      <c r="F1247">
        <v>25</v>
      </c>
    </row>
    <row r="1248" spans="1:6" x14ac:dyDescent="0.2">
      <c r="A1248">
        <v>1</v>
      </c>
      <c r="B1248" t="s">
        <v>27</v>
      </c>
      <c r="C1248">
        <v>2</v>
      </c>
      <c r="D1248">
        <v>16</v>
      </c>
      <c r="E1248" t="str">
        <f t="shared" si="39"/>
        <v>Mandrake/16/1/2</v>
      </c>
      <c r="F1248">
        <v>25</v>
      </c>
    </row>
    <row r="1249" spans="1:6" x14ac:dyDescent="0.2">
      <c r="A1249">
        <v>2</v>
      </c>
      <c r="B1249" t="s">
        <v>15</v>
      </c>
      <c r="C1249">
        <v>1</v>
      </c>
      <c r="D1249">
        <v>12</v>
      </c>
      <c r="E1249" t="str">
        <f t="shared" si="39"/>
        <v>LAAtof/12/2/1</v>
      </c>
      <c r="F1249">
        <v>25</v>
      </c>
    </row>
    <row r="1250" spans="1:6" x14ac:dyDescent="0.2">
      <c r="A1250">
        <v>3</v>
      </c>
      <c r="B1250" t="s">
        <v>516</v>
      </c>
      <c r="C1250">
        <v>2</v>
      </c>
      <c r="D1250">
        <v>8</v>
      </c>
      <c r="E1250" t="str">
        <f t="shared" si="39"/>
        <v>Tenko/8/3/2</v>
      </c>
      <c r="F1250">
        <v>25</v>
      </c>
    </row>
    <row r="1251" spans="1:6" x14ac:dyDescent="0.2">
      <c r="A1251">
        <v>4</v>
      </c>
      <c r="B1251" t="s">
        <v>42</v>
      </c>
      <c r="C1251">
        <v>0</v>
      </c>
      <c r="D1251">
        <v>4</v>
      </c>
      <c r="E1251" t="str">
        <f t="shared" si="39"/>
        <v>Claptou/4/4/0</v>
      </c>
      <c r="F1251">
        <v>25</v>
      </c>
    </row>
    <row r="1252" spans="1:6" x14ac:dyDescent="0.2">
      <c r="A1252">
        <v>5</v>
      </c>
      <c r="B1252" t="s">
        <v>21</v>
      </c>
      <c r="C1252">
        <v>0</v>
      </c>
      <c r="D1252">
        <v>2</v>
      </c>
      <c r="E1252" t="str">
        <f t="shared" si="39"/>
        <v>Carmin/2/5/0</v>
      </c>
      <c r="F1252">
        <v>25</v>
      </c>
    </row>
    <row r="1253" spans="1:6" x14ac:dyDescent="0.2">
      <c r="A1253">
        <v>6</v>
      </c>
      <c r="B1253" t="s">
        <v>65</v>
      </c>
      <c r="C1253">
        <v>0</v>
      </c>
      <c r="D1253">
        <v>1</v>
      </c>
      <c r="E1253" t="str">
        <f t="shared" si="39"/>
        <v>Ripolin/1/6/0</v>
      </c>
      <c r="F1253">
        <v>25</v>
      </c>
    </row>
    <row r="1254" spans="1:6" x14ac:dyDescent="0.2">
      <c r="A1254">
        <v>1</v>
      </c>
      <c r="B1254" t="s">
        <v>73</v>
      </c>
      <c r="C1254">
        <v>3</v>
      </c>
      <c r="D1254">
        <v>16</v>
      </c>
      <c r="E1254" t="str">
        <f t="shared" si="39"/>
        <v>Flem/16/1/3</v>
      </c>
      <c r="F1254">
        <v>25</v>
      </c>
    </row>
    <row r="1255" spans="1:6" x14ac:dyDescent="0.2">
      <c r="A1255">
        <v>2</v>
      </c>
      <c r="B1255" t="s">
        <v>519</v>
      </c>
      <c r="C1255">
        <v>0</v>
      </c>
      <c r="D1255">
        <v>12</v>
      </c>
      <c r="E1255" t="str">
        <f t="shared" si="39"/>
        <v>Xhar92/12/2/0</v>
      </c>
      <c r="F1255">
        <v>25</v>
      </c>
    </row>
    <row r="1256" spans="1:6" x14ac:dyDescent="0.2">
      <c r="A1256">
        <v>3</v>
      </c>
      <c r="B1256" t="s">
        <v>46</v>
      </c>
      <c r="C1256">
        <v>0</v>
      </c>
      <c r="D1256">
        <v>8</v>
      </c>
      <c r="E1256" t="str">
        <f t="shared" si="39"/>
        <v>Jérôme/8/3/0</v>
      </c>
      <c r="F1256">
        <v>25</v>
      </c>
    </row>
    <row r="1257" spans="1:6" x14ac:dyDescent="0.2">
      <c r="A1257">
        <v>4</v>
      </c>
      <c r="B1257" t="s">
        <v>81</v>
      </c>
      <c r="C1257">
        <v>2</v>
      </c>
      <c r="D1257">
        <v>4</v>
      </c>
      <c r="E1257" t="str">
        <f t="shared" si="39"/>
        <v>Empedocle/4/4/2</v>
      </c>
      <c r="F1257">
        <v>25</v>
      </c>
    </row>
    <row r="1258" spans="1:6" x14ac:dyDescent="0.2">
      <c r="A1258">
        <v>5</v>
      </c>
      <c r="B1258" t="s">
        <v>454</v>
      </c>
      <c r="C1258">
        <v>0</v>
      </c>
      <c r="D1258">
        <v>2</v>
      </c>
      <c r="E1258" t="str">
        <f t="shared" si="39"/>
        <v>Gibbonfury/2/5/0</v>
      </c>
      <c r="F1258">
        <v>25</v>
      </c>
    </row>
    <row r="1259" spans="1:6" x14ac:dyDescent="0.2">
      <c r="A1259">
        <v>6</v>
      </c>
      <c r="B1259" t="s">
        <v>6</v>
      </c>
      <c r="C1259">
        <v>0</v>
      </c>
      <c r="D1259">
        <v>1</v>
      </c>
      <c r="E1259" t="str">
        <f t="shared" si="39"/>
        <v>Pyja/1/6/0</v>
      </c>
      <c r="F1259">
        <v>25</v>
      </c>
    </row>
    <row r="1260" spans="1:6" x14ac:dyDescent="0.2">
      <c r="A1260">
        <v>1</v>
      </c>
      <c r="B1260" t="s">
        <v>518</v>
      </c>
      <c r="C1260">
        <v>4</v>
      </c>
      <c r="D1260">
        <v>17</v>
      </c>
      <c r="E1260" t="str">
        <f t="shared" si="39"/>
        <v>Soupaman/17/1/4</v>
      </c>
      <c r="F1260">
        <v>25</v>
      </c>
    </row>
    <row r="1261" spans="1:6" x14ac:dyDescent="0.2">
      <c r="A1261">
        <v>2</v>
      </c>
      <c r="B1261" t="s">
        <v>521</v>
      </c>
      <c r="C1261">
        <v>0</v>
      </c>
      <c r="D1261">
        <v>13</v>
      </c>
      <c r="E1261" t="str">
        <f t="shared" si="39"/>
        <v>Jaden/13/2/0</v>
      </c>
      <c r="F1261">
        <v>25</v>
      </c>
    </row>
    <row r="1262" spans="1:6" x14ac:dyDescent="0.2">
      <c r="A1262">
        <v>3</v>
      </c>
      <c r="B1262" t="s">
        <v>504</v>
      </c>
      <c r="C1262">
        <v>0</v>
      </c>
      <c r="D1262">
        <v>9</v>
      </c>
      <c r="E1262" t="str">
        <f t="shared" si="39"/>
        <v>Zizou/9/3/0</v>
      </c>
      <c r="F1262">
        <v>25</v>
      </c>
    </row>
    <row r="1263" spans="1:6" x14ac:dyDescent="0.2">
      <c r="A1263">
        <v>4</v>
      </c>
      <c r="B1263" t="s">
        <v>55</v>
      </c>
      <c r="C1263">
        <v>1</v>
      </c>
      <c r="D1263">
        <v>5</v>
      </c>
      <c r="E1263" t="str">
        <f t="shared" si="39"/>
        <v>Bounette/5/4/1</v>
      </c>
      <c r="F1263">
        <v>25</v>
      </c>
    </row>
    <row r="1264" spans="1:6" x14ac:dyDescent="0.2">
      <c r="A1264">
        <v>5</v>
      </c>
      <c r="B1264" t="s">
        <v>280</v>
      </c>
      <c r="C1264">
        <v>1</v>
      </c>
      <c r="D1264">
        <v>3</v>
      </c>
      <c r="E1264" t="str">
        <f t="shared" si="39"/>
        <v>Delgres/3/5/1</v>
      </c>
      <c r="F1264">
        <v>25</v>
      </c>
    </row>
    <row r="1265" spans="1:6" x14ac:dyDescent="0.2">
      <c r="A1265">
        <v>6</v>
      </c>
      <c r="B1265" t="s">
        <v>501</v>
      </c>
      <c r="C1265">
        <v>0</v>
      </c>
      <c r="D1265">
        <v>2</v>
      </c>
      <c r="E1265" t="str">
        <f t="shared" si="39"/>
        <v>Poisson Pilote/2/6/0</v>
      </c>
      <c r="F1265">
        <v>25</v>
      </c>
    </row>
    <row r="1266" spans="1:6" x14ac:dyDescent="0.2">
      <c r="A1266">
        <v>7</v>
      </c>
      <c r="B1266" t="s">
        <v>510</v>
      </c>
      <c r="C1266">
        <v>0</v>
      </c>
      <c r="D1266">
        <v>1</v>
      </c>
      <c r="E1266" t="str">
        <f t="shared" si="39"/>
        <v>Magic Mykiss/1/7/0</v>
      </c>
      <c r="F1266">
        <v>25</v>
      </c>
    </row>
    <row r="1267" spans="1:6" x14ac:dyDescent="0.2">
      <c r="A1267">
        <v>1</v>
      </c>
      <c r="B1267" t="s">
        <v>55</v>
      </c>
      <c r="C1267">
        <v>2</v>
      </c>
      <c r="D1267">
        <v>16</v>
      </c>
      <c r="E1267" t="str">
        <f t="shared" si="39"/>
        <v>Bounette/16/1/2</v>
      </c>
      <c r="F1267">
        <v>26</v>
      </c>
    </row>
    <row r="1268" spans="1:6" x14ac:dyDescent="0.2">
      <c r="A1268">
        <v>2</v>
      </c>
      <c r="B1268" t="s">
        <v>87</v>
      </c>
      <c r="C1268">
        <v>1</v>
      </c>
      <c r="D1268">
        <v>12</v>
      </c>
      <c r="E1268" t="str">
        <f t="shared" si="39"/>
        <v>Proph@ne/12/2/1</v>
      </c>
      <c r="F1268">
        <v>26</v>
      </c>
    </row>
    <row r="1269" spans="1:6" x14ac:dyDescent="0.2">
      <c r="A1269">
        <v>3</v>
      </c>
      <c r="B1269" t="s">
        <v>505</v>
      </c>
      <c r="C1269">
        <v>1</v>
      </c>
      <c r="D1269">
        <v>8</v>
      </c>
      <c r="E1269" t="str">
        <f t="shared" si="39"/>
        <v>Mams/8/3/1</v>
      </c>
      <c r="F1269">
        <v>26</v>
      </c>
    </row>
    <row r="1270" spans="1:6" x14ac:dyDescent="0.2">
      <c r="A1270">
        <v>4</v>
      </c>
      <c r="B1270" t="s">
        <v>507</v>
      </c>
      <c r="C1270">
        <v>1</v>
      </c>
      <c r="D1270">
        <v>4</v>
      </c>
      <c r="E1270" t="str">
        <f t="shared" si="39"/>
        <v>Losogre/4/4/1</v>
      </c>
      <c r="F1270">
        <v>26</v>
      </c>
    </row>
    <row r="1271" spans="1:6" x14ac:dyDescent="0.2">
      <c r="A1271">
        <v>5</v>
      </c>
      <c r="B1271" t="s">
        <v>69</v>
      </c>
      <c r="C1271">
        <v>0</v>
      </c>
      <c r="D1271">
        <v>2</v>
      </c>
      <c r="E1271" t="str">
        <f t="shared" si="39"/>
        <v>Catherine/2/5/0</v>
      </c>
      <c r="F1271">
        <v>26</v>
      </c>
    </row>
    <row r="1272" spans="1:6" x14ac:dyDescent="0.2">
      <c r="A1272">
        <v>6</v>
      </c>
      <c r="B1272" t="s">
        <v>454</v>
      </c>
      <c r="C1272">
        <v>0</v>
      </c>
      <c r="D1272">
        <v>1</v>
      </c>
      <c r="E1272" t="str">
        <f t="shared" si="39"/>
        <v>Gibbonfury/1/6/0</v>
      </c>
      <c r="F1272">
        <v>26</v>
      </c>
    </row>
    <row r="1273" spans="1:6" x14ac:dyDescent="0.2">
      <c r="A1273">
        <v>1</v>
      </c>
      <c r="B1273" t="s">
        <v>42</v>
      </c>
      <c r="C1273">
        <v>4</v>
      </c>
      <c r="D1273">
        <v>16</v>
      </c>
      <c r="E1273" t="str">
        <f t="shared" si="39"/>
        <v>Claptou/16/1/4</v>
      </c>
      <c r="F1273">
        <v>26</v>
      </c>
    </row>
    <row r="1274" spans="1:6" x14ac:dyDescent="0.2">
      <c r="A1274">
        <v>2</v>
      </c>
      <c r="B1274" t="s">
        <v>479</v>
      </c>
      <c r="C1274">
        <v>0</v>
      </c>
      <c r="D1274">
        <v>12</v>
      </c>
      <c r="E1274" t="str">
        <f t="shared" si="39"/>
        <v>Salender/12/2/0</v>
      </c>
      <c r="F1274">
        <v>26</v>
      </c>
    </row>
    <row r="1275" spans="1:6" x14ac:dyDescent="0.2">
      <c r="A1275">
        <v>3</v>
      </c>
      <c r="B1275" t="s">
        <v>461</v>
      </c>
      <c r="C1275">
        <v>1</v>
      </c>
      <c r="D1275">
        <v>8</v>
      </c>
      <c r="E1275" t="str">
        <f t="shared" si="39"/>
        <v>Djecus/8/3/1</v>
      </c>
      <c r="F1275">
        <v>26</v>
      </c>
    </row>
    <row r="1276" spans="1:6" x14ac:dyDescent="0.2">
      <c r="A1276">
        <v>4</v>
      </c>
      <c r="B1276" t="s">
        <v>25</v>
      </c>
      <c r="C1276">
        <v>0</v>
      </c>
      <c r="D1276">
        <v>4</v>
      </c>
      <c r="E1276" t="str">
        <f t="shared" si="39"/>
        <v>Claudius/4/4/0</v>
      </c>
      <c r="F1276">
        <v>26</v>
      </c>
    </row>
    <row r="1277" spans="1:6" x14ac:dyDescent="0.2">
      <c r="A1277">
        <v>5</v>
      </c>
      <c r="B1277" t="s">
        <v>48</v>
      </c>
      <c r="C1277">
        <v>0</v>
      </c>
      <c r="D1277">
        <v>2</v>
      </c>
      <c r="E1277" t="str">
        <f t="shared" si="39"/>
        <v>Pintu/2/5/0</v>
      </c>
      <c r="F1277">
        <v>26</v>
      </c>
    </row>
    <row r="1278" spans="1:6" x14ac:dyDescent="0.2">
      <c r="A1278">
        <v>6</v>
      </c>
      <c r="B1278" t="s">
        <v>9</v>
      </c>
      <c r="C1278">
        <v>0</v>
      </c>
      <c r="D1278">
        <v>1</v>
      </c>
      <c r="E1278" t="str">
        <f t="shared" si="39"/>
        <v>K1/1/6/0</v>
      </c>
      <c r="F1278">
        <v>26</v>
      </c>
    </row>
    <row r="1279" spans="1:6" x14ac:dyDescent="0.2">
      <c r="A1279">
        <v>1</v>
      </c>
      <c r="B1279" t="s">
        <v>19</v>
      </c>
      <c r="C1279">
        <v>2</v>
      </c>
      <c r="D1279">
        <v>16</v>
      </c>
      <c r="E1279" t="str">
        <f t="shared" ref="E1279:E1342" si="40">B1279&amp;"/"&amp;D1279&amp;"/"&amp;A1279&amp;"/"&amp;C1279</f>
        <v>Giobeck/16/1/2</v>
      </c>
      <c r="F1279">
        <v>26</v>
      </c>
    </row>
    <row r="1280" spans="1:6" x14ac:dyDescent="0.2">
      <c r="A1280">
        <v>2</v>
      </c>
      <c r="B1280" t="s">
        <v>261</v>
      </c>
      <c r="C1280">
        <v>1</v>
      </c>
      <c r="D1280">
        <v>12</v>
      </c>
      <c r="E1280" t="str">
        <f t="shared" si="40"/>
        <v>Riviera/12/2/1</v>
      </c>
      <c r="F1280">
        <v>26</v>
      </c>
    </row>
    <row r="1281" spans="1:6" x14ac:dyDescent="0.2">
      <c r="A1281">
        <v>3</v>
      </c>
      <c r="B1281" t="s">
        <v>345</v>
      </c>
      <c r="C1281">
        <v>2</v>
      </c>
      <c r="D1281">
        <v>8</v>
      </c>
      <c r="E1281" t="str">
        <f t="shared" si="40"/>
        <v>Thibaultp75/8/3/2</v>
      </c>
      <c r="F1281">
        <v>26</v>
      </c>
    </row>
    <row r="1282" spans="1:6" x14ac:dyDescent="0.2">
      <c r="A1282">
        <v>4</v>
      </c>
      <c r="B1282" t="s">
        <v>535</v>
      </c>
      <c r="C1282">
        <v>0</v>
      </c>
      <c r="D1282">
        <v>4</v>
      </c>
      <c r="E1282" t="str">
        <f t="shared" si="40"/>
        <v>TheRealWill/4/4/0</v>
      </c>
      <c r="F1282">
        <v>26</v>
      </c>
    </row>
    <row r="1283" spans="1:6" x14ac:dyDescent="0.2">
      <c r="A1283">
        <v>4</v>
      </c>
      <c r="B1283" t="s">
        <v>518</v>
      </c>
      <c r="C1283">
        <v>0</v>
      </c>
      <c r="D1283">
        <v>4</v>
      </c>
      <c r="E1283" t="str">
        <f t="shared" si="40"/>
        <v>Soupaman/4/4/0</v>
      </c>
      <c r="F1283">
        <v>26</v>
      </c>
    </row>
    <row r="1284" spans="1:6" x14ac:dyDescent="0.2">
      <c r="A1284">
        <v>6</v>
      </c>
      <c r="B1284" t="s">
        <v>556</v>
      </c>
      <c r="C1284">
        <v>0</v>
      </c>
      <c r="D1284">
        <v>1</v>
      </c>
      <c r="E1284" t="str">
        <f t="shared" si="40"/>
        <v>Ankolos/1/6/0</v>
      </c>
      <c r="F1284">
        <v>26</v>
      </c>
    </row>
    <row r="1285" spans="1:6" x14ac:dyDescent="0.2">
      <c r="A1285">
        <v>1</v>
      </c>
      <c r="B1285" t="s">
        <v>506</v>
      </c>
      <c r="C1285">
        <v>3</v>
      </c>
      <c r="D1285">
        <v>16</v>
      </c>
      <c r="E1285" t="str">
        <f t="shared" si="40"/>
        <v>Zubbaz/16/1/3</v>
      </c>
      <c r="F1285">
        <v>26</v>
      </c>
    </row>
    <row r="1286" spans="1:6" x14ac:dyDescent="0.2">
      <c r="A1286">
        <v>2</v>
      </c>
      <c r="B1286" t="s">
        <v>490</v>
      </c>
      <c r="C1286">
        <v>0</v>
      </c>
      <c r="D1286">
        <v>12</v>
      </c>
      <c r="E1286" t="str">
        <f t="shared" si="40"/>
        <v>DernierPli/12/2/0</v>
      </c>
      <c r="F1286">
        <v>26</v>
      </c>
    </row>
    <row r="1287" spans="1:6" x14ac:dyDescent="0.2">
      <c r="A1287">
        <v>3</v>
      </c>
      <c r="B1287" t="s">
        <v>76</v>
      </c>
      <c r="C1287">
        <v>1</v>
      </c>
      <c r="D1287">
        <v>8</v>
      </c>
      <c r="E1287" t="str">
        <f t="shared" si="40"/>
        <v>Comment2/8/3/1</v>
      </c>
      <c r="F1287">
        <v>26</v>
      </c>
    </row>
    <row r="1288" spans="1:6" x14ac:dyDescent="0.2">
      <c r="A1288">
        <v>4</v>
      </c>
      <c r="B1288" t="s">
        <v>555</v>
      </c>
      <c r="C1288">
        <v>0</v>
      </c>
      <c r="D1288">
        <v>4</v>
      </c>
      <c r="E1288" t="str">
        <f t="shared" si="40"/>
        <v>Gabs/4/4/0</v>
      </c>
      <c r="F1288">
        <v>26</v>
      </c>
    </row>
    <row r="1289" spans="1:6" x14ac:dyDescent="0.2">
      <c r="A1289">
        <v>5</v>
      </c>
      <c r="B1289" t="s">
        <v>66</v>
      </c>
      <c r="C1289">
        <v>0</v>
      </c>
      <c r="D1289">
        <v>2</v>
      </c>
      <c r="E1289" t="str">
        <f t="shared" si="40"/>
        <v>Ad Vitam/2/5/0</v>
      </c>
      <c r="F1289">
        <v>26</v>
      </c>
    </row>
    <row r="1290" spans="1:6" x14ac:dyDescent="0.2">
      <c r="A1290">
        <v>6</v>
      </c>
      <c r="B1290" t="s">
        <v>534</v>
      </c>
      <c r="C1290">
        <v>0</v>
      </c>
      <c r="D1290">
        <v>1</v>
      </c>
      <c r="E1290" t="str">
        <f t="shared" si="40"/>
        <v>JC/1/6/0</v>
      </c>
      <c r="F1290">
        <v>26</v>
      </c>
    </row>
    <row r="1291" spans="1:6" x14ac:dyDescent="0.2">
      <c r="A1291">
        <v>1</v>
      </c>
      <c r="B1291" t="s">
        <v>485</v>
      </c>
      <c r="C1291">
        <v>1</v>
      </c>
      <c r="D1291">
        <v>16</v>
      </c>
      <c r="E1291" t="str">
        <f t="shared" si="40"/>
        <v>Solucky/16/1/1</v>
      </c>
      <c r="F1291">
        <v>26</v>
      </c>
    </row>
    <row r="1292" spans="1:6" x14ac:dyDescent="0.2">
      <c r="A1292">
        <v>2</v>
      </c>
      <c r="B1292" t="s">
        <v>88</v>
      </c>
      <c r="C1292">
        <v>3</v>
      </c>
      <c r="D1292">
        <v>12</v>
      </c>
      <c r="E1292" t="str">
        <f t="shared" si="40"/>
        <v>Yarael/12/2/3</v>
      </c>
      <c r="F1292">
        <v>26</v>
      </c>
    </row>
    <row r="1293" spans="1:6" x14ac:dyDescent="0.2">
      <c r="A1293">
        <v>3</v>
      </c>
      <c r="B1293" t="s">
        <v>500</v>
      </c>
      <c r="C1293">
        <v>0</v>
      </c>
      <c r="D1293">
        <v>8</v>
      </c>
      <c r="E1293" t="str">
        <f t="shared" si="40"/>
        <v>Kheops/8/3/0</v>
      </c>
      <c r="F1293">
        <v>26</v>
      </c>
    </row>
    <row r="1294" spans="1:6" x14ac:dyDescent="0.2">
      <c r="A1294">
        <v>4</v>
      </c>
      <c r="B1294" t="s">
        <v>503</v>
      </c>
      <c r="C1294">
        <v>1</v>
      </c>
      <c r="D1294">
        <v>4</v>
      </c>
      <c r="E1294" t="str">
        <f t="shared" si="40"/>
        <v>Yaltar/4/4/1</v>
      </c>
      <c r="F1294">
        <v>26</v>
      </c>
    </row>
    <row r="1295" spans="1:6" x14ac:dyDescent="0.2">
      <c r="A1295">
        <v>5</v>
      </c>
      <c r="B1295" t="s">
        <v>475</v>
      </c>
      <c r="C1295">
        <v>0</v>
      </c>
      <c r="D1295">
        <v>2</v>
      </c>
      <c r="E1295" t="str">
        <f t="shared" si="40"/>
        <v>La Bavure/2/5/0</v>
      </c>
      <c r="F1295">
        <v>26</v>
      </c>
    </row>
    <row r="1296" spans="1:6" x14ac:dyDescent="0.2">
      <c r="A1296">
        <v>6</v>
      </c>
      <c r="B1296" t="s">
        <v>74</v>
      </c>
      <c r="C1296">
        <v>0</v>
      </c>
      <c r="D1296">
        <v>1</v>
      </c>
      <c r="E1296" t="str">
        <f t="shared" si="40"/>
        <v>PatB/1/6/0</v>
      </c>
      <c r="F1296">
        <v>26</v>
      </c>
    </row>
    <row r="1297" spans="1:6" x14ac:dyDescent="0.2">
      <c r="A1297">
        <v>1</v>
      </c>
      <c r="B1297" t="s">
        <v>101</v>
      </c>
      <c r="C1297">
        <v>4</v>
      </c>
      <c r="D1297">
        <v>16</v>
      </c>
      <c r="E1297" t="str">
        <f t="shared" si="40"/>
        <v>ChrisFrankfurt/16/1/4</v>
      </c>
      <c r="F1297">
        <v>26</v>
      </c>
    </row>
    <row r="1298" spans="1:6" x14ac:dyDescent="0.2">
      <c r="A1298">
        <v>2</v>
      </c>
      <c r="B1298" t="s">
        <v>35</v>
      </c>
      <c r="C1298">
        <v>1</v>
      </c>
      <c r="D1298">
        <v>12</v>
      </c>
      <c r="E1298" t="str">
        <f t="shared" si="40"/>
        <v>JeanMichelTiming/12/2/1</v>
      </c>
      <c r="F1298">
        <v>26</v>
      </c>
    </row>
    <row r="1299" spans="1:6" x14ac:dyDescent="0.2">
      <c r="A1299">
        <v>3</v>
      </c>
      <c r="B1299" t="s">
        <v>15</v>
      </c>
      <c r="C1299">
        <v>0</v>
      </c>
      <c r="D1299">
        <v>8</v>
      </c>
      <c r="E1299" t="str">
        <f t="shared" si="40"/>
        <v>LAAtof/8/3/0</v>
      </c>
      <c r="F1299">
        <v>26</v>
      </c>
    </row>
    <row r="1300" spans="1:6" x14ac:dyDescent="0.2">
      <c r="A1300">
        <v>4</v>
      </c>
      <c r="B1300" t="s">
        <v>81</v>
      </c>
      <c r="C1300">
        <v>0</v>
      </c>
      <c r="D1300">
        <v>4</v>
      </c>
      <c r="E1300" t="str">
        <f t="shared" si="40"/>
        <v>Empedocle/4/4/0</v>
      </c>
      <c r="F1300">
        <v>26</v>
      </c>
    </row>
    <row r="1301" spans="1:6" x14ac:dyDescent="0.2">
      <c r="A1301">
        <v>5</v>
      </c>
      <c r="B1301" t="s">
        <v>46</v>
      </c>
      <c r="C1301">
        <v>0</v>
      </c>
      <c r="D1301">
        <v>2</v>
      </c>
      <c r="E1301" t="str">
        <f t="shared" si="40"/>
        <v>Jérôme/2/5/0</v>
      </c>
      <c r="F1301">
        <v>26</v>
      </c>
    </row>
    <row r="1302" spans="1:6" x14ac:dyDescent="0.2">
      <c r="A1302">
        <v>6</v>
      </c>
      <c r="B1302" t="s">
        <v>21</v>
      </c>
      <c r="C1302">
        <v>0</v>
      </c>
      <c r="D1302">
        <v>1</v>
      </c>
      <c r="E1302" t="str">
        <f t="shared" si="40"/>
        <v>Carmin/1/6/0</v>
      </c>
      <c r="F1302">
        <v>26</v>
      </c>
    </row>
    <row r="1303" spans="1:6" x14ac:dyDescent="0.2">
      <c r="A1303">
        <v>1</v>
      </c>
      <c r="B1303" t="s">
        <v>14</v>
      </c>
      <c r="C1303">
        <v>2</v>
      </c>
      <c r="D1303">
        <v>16</v>
      </c>
      <c r="E1303" t="str">
        <f t="shared" si="40"/>
        <v>Ramm/16/1/2</v>
      </c>
      <c r="F1303">
        <v>26</v>
      </c>
    </row>
    <row r="1304" spans="1:6" x14ac:dyDescent="0.2">
      <c r="A1304">
        <v>2</v>
      </c>
      <c r="B1304" t="s">
        <v>509</v>
      </c>
      <c r="C1304">
        <v>2</v>
      </c>
      <c r="D1304">
        <v>12</v>
      </c>
      <c r="E1304" t="str">
        <f t="shared" si="40"/>
        <v>Gibouille/12/2/2</v>
      </c>
      <c r="F1304">
        <v>26</v>
      </c>
    </row>
    <row r="1305" spans="1:6" x14ac:dyDescent="0.2">
      <c r="A1305">
        <v>3</v>
      </c>
      <c r="B1305" t="s">
        <v>75</v>
      </c>
      <c r="C1305">
        <v>0</v>
      </c>
      <c r="D1305">
        <v>8</v>
      </c>
      <c r="E1305" t="str">
        <f t="shared" si="40"/>
        <v>Michelbey/8/3/0</v>
      </c>
      <c r="F1305">
        <v>26</v>
      </c>
    </row>
    <row r="1306" spans="1:6" x14ac:dyDescent="0.2">
      <c r="A1306">
        <v>4</v>
      </c>
      <c r="B1306" t="s">
        <v>554</v>
      </c>
      <c r="C1306">
        <v>0</v>
      </c>
      <c r="D1306">
        <v>4</v>
      </c>
      <c r="E1306" t="str">
        <f t="shared" si="40"/>
        <v>ScoNix/4/4/0</v>
      </c>
      <c r="F1306">
        <v>26</v>
      </c>
    </row>
    <row r="1307" spans="1:6" x14ac:dyDescent="0.2">
      <c r="A1307">
        <v>5</v>
      </c>
      <c r="B1307" t="s">
        <v>6</v>
      </c>
      <c r="C1307">
        <v>1</v>
      </c>
      <c r="D1307">
        <v>2</v>
      </c>
      <c r="E1307" t="str">
        <f t="shared" si="40"/>
        <v>Pyja/2/5/1</v>
      </c>
      <c r="F1307">
        <v>26</v>
      </c>
    </row>
    <row r="1308" spans="1:6" x14ac:dyDescent="0.2">
      <c r="A1308">
        <v>6</v>
      </c>
      <c r="B1308" t="s">
        <v>501</v>
      </c>
      <c r="C1308">
        <v>0</v>
      </c>
      <c r="D1308">
        <v>1</v>
      </c>
      <c r="E1308" t="str">
        <f t="shared" si="40"/>
        <v>Poisson Pilote/1/6/0</v>
      </c>
      <c r="F1308">
        <v>26</v>
      </c>
    </row>
    <row r="1309" spans="1:6" x14ac:dyDescent="0.2">
      <c r="A1309">
        <v>1</v>
      </c>
      <c r="B1309" t="s">
        <v>521</v>
      </c>
      <c r="C1309">
        <v>2</v>
      </c>
      <c r="D1309">
        <v>16</v>
      </c>
      <c r="E1309" t="str">
        <f t="shared" si="40"/>
        <v>Jaden/16/1/2</v>
      </c>
      <c r="F1309">
        <v>26</v>
      </c>
    </row>
    <row r="1310" spans="1:6" x14ac:dyDescent="0.2">
      <c r="A1310">
        <v>2</v>
      </c>
      <c r="B1310" t="s">
        <v>493</v>
      </c>
      <c r="C1310">
        <v>1</v>
      </c>
      <c r="D1310">
        <v>12</v>
      </c>
      <c r="E1310" t="str">
        <f t="shared" si="40"/>
        <v>Rockatou/12/2/1</v>
      </c>
      <c r="F1310">
        <v>26</v>
      </c>
    </row>
    <row r="1311" spans="1:6" x14ac:dyDescent="0.2">
      <c r="A1311">
        <v>3</v>
      </c>
      <c r="B1311" t="s">
        <v>27</v>
      </c>
      <c r="C1311">
        <v>2</v>
      </c>
      <c r="D1311">
        <v>8</v>
      </c>
      <c r="E1311" t="str">
        <f t="shared" si="40"/>
        <v>Mandrake/8/3/2</v>
      </c>
      <c r="F1311">
        <v>26</v>
      </c>
    </row>
    <row r="1312" spans="1:6" x14ac:dyDescent="0.2">
      <c r="A1312">
        <v>4</v>
      </c>
      <c r="B1312" t="s">
        <v>525</v>
      </c>
      <c r="C1312">
        <v>0</v>
      </c>
      <c r="D1312">
        <v>4</v>
      </c>
      <c r="E1312" t="str">
        <f t="shared" si="40"/>
        <v>Freddie/4/4/0</v>
      </c>
      <c r="F1312">
        <v>26</v>
      </c>
    </row>
    <row r="1313" spans="1:6" x14ac:dyDescent="0.2">
      <c r="A1313">
        <v>5</v>
      </c>
      <c r="B1313" t="s">
        <v>512</v>
      </c>
      <c r="C1313">
        <v>0</v>
      </c>
      <c r="D1313">
        <v>2</v>
      </c>
      <c r="E1313" t="str">
        <f t="shared" si="40"/>
        <v>Fishtro/2/5/0</v>
      </c>
      <c r="F1313">
        <v>26</v>
      </c>
    </row>
    <row r="1314" spans="1:6" x14ac:dyDescent="0.2">
      <c r="A1314">
        <v>6</v>
      </c>
      <c r="B1314" t="s">
        <v>280</v>
      </c>
      <c r="C1314">
        <v>0</v>
      </c>
      <c r="D1314">
        <v>1</v>
      </c>
      <c r="E1314" t="str">
        <f t="shared" si="40"/>
        <v>Delgres/1/6/0</v>
      </c>
      <c r="F1314">
        <v>26</v>
      </c>
    </row>
    <row r="1315" spans="1:6" x14ac:dyDescent="0.2">
      <c r="A1315">
        <v>1</v>
      </c>
      <c r="B1315" t="s">
        <v>557</v>
      </c>
      <c r="C1315">
        <v>4</v>
      </c>
      <c r="D1315">
        <v>15</v>
      </c>
      <c r="E1315" t="str">
        <f t="shared" si="40"/>
        <v>Madridal/15/1/4</v>
      </c>
      <c r="F1315">
        <v>27</v>
      </c>
    </row>
    <row r="1316" spans="1:6" x14ac:dyDescent="0.2">
      <c r="A1316">
        <v>2</v>
      </c>
      <c r="B1316" t="s">
        <v>9</v>
      </c>
      <c r="C1316">
        <v>0</v>
      </c>
      <c r="D1316">
        <v>11</v>
      </c>
      <c r="E1316" t="str">
        <f t="shared" si="40"/>
        <v>K1/11/2/0</v>
      </c>
      <c r="F1316">
        <v>27</v>
      </c>
    </row>
    <row r="1317" spans="1:6" x14ac:dyDescent="0.2">
      <c r="A1317">
        <v>3</v>
      </c>
      <c r="B1317" t="s">
        <v>15</v>
      </c>
      <c r="C1317">
        <v>0</v>
      </c>
      <c r="D1317">
        <v>7</v>
      </c>
      <c r="E1317" t="str">
        <f t="shared" si="40"/>
        <v>LAAtof/7/3/0</v>
      </c>
      <c r="F1317">
        <v>27</v>
      </c>
    </row>
    <row r="1318" spans="1:6" x14ac:dyDescent="0.2">
      <c r="A1318">
        <v>4</v>
      </c>
      <c r="B1318" t="s">
        <v>81</v>
      </c>
      <c r="C1318">
        <v>0</v>
      </c>
      <c r="D1318">
        <v>3</v>
      </c>
      <c r="E1318" t="str">
        <f t="shared" si="40"/>
        <v>Empedocle/3/4/0</v>
      </c>
      <c r="F1318">
        <v>27</v>
      </c>
    </row>
    <row r="1319" spans="1:6" x14ac:dyDescent="0.2">
      <c r="A1319">
        <v>5</v>
      </c>
      <c r="B1319" t="s">
        <v>73</v>
      </c>
      <c r="C1319">
        <v>0</v>
      </c>
      <c r="D1319">
        <v>1</v>
      </c>
      <c r="E1319" t="str">
        <f t="shared" si="40"/>
        <v>Flem/1/5/0</v>
      </c>
      <c r="F1319">
        <v>27</v>
      </c>
    </row>
    <row r="1320" spans="1:6" x14ac:dyDescent="0.2">
      <c r="A1320">
        <v>1</v>
      </c>
      <c r="B1320" t="s">
        <v>74</v>
      </c>
      <c r="C1320">
        <v>2</v>
      </c>
      <c r="D1320">
        <v>16</v>
      </c>
      <c r="E1320" t="str">
        <f t="shared" si="40"/>
        <v>PatB/16/1/2</v>
      </c>
      <c r="F1320">
        <v>27</v>
      </c>
    </row>
    <row r="1321" spans="1:6" x14ac:dyDescent="0.2">
      <c r="A1321">
        <v>2</v>
      </c>
      <c r="B1321" t="s">
        <v>66</v>
      </c>
      <c r="C1321">
        <v>1</v>
      </c>
      <c r="D1321">
        <v>12</v>
      </c>
      <c r="E1321" t="str">
        <f t="shared" si="40"/>
        <v>Ad Vitam/12/2/1</v>
      </c>
      <c r="F1321">
        <v>27</v>
      </c>
    </row>
    <row r="1322" spans="1:6" x14ac:dyDescent="0.2">
      <c r="A1322">
        <v>3</v>
      </c>
      <c r="B1322" t="s">
        <v>500</v>
      </c>
      <c r="C1322">
        <v>1</v>
      </c>
      <c r="D1322">
        <v>8</v>
      </c>
      <c r="E1322" t="str">
        <f t="shared" si="40"/>
        <v>Kheops/8/3/1</v>
      </c>
      <c r="F1322">
        <v>27</v>
      </c>
    </row>
    <row r="1323" spans="1:6" x14ac:dyDescent="0.2">
      <c r="A1323">
        <v>4</v>
      </c>
      <c r="B1323" t="s">
        <v>534</v>
      </c>
      <c r="C1323">
        <v>0</v>
      </c>
      <c r="D1323">
        <v>4</v>
      </c>
      <c r="E1323" t="str">
        <f t="shared" si="40"/>
        <v>JC/4/4/0</v>
      </c>
      <c r="F1323">
        <v>27</v>
      </c>
    </row>
    <row r="1324" spans="1:6" x14ac:dyDescent="0.2">
      <c r="A1324">
        <v>5</v>
      </c>
      <c r="B1324" t="s">
        <v>479</v>
      </c>
      <c r="C1324">
        <v>1</v>
      </c>
      <c r="D1324">
        <v>2</v>
      </c>
      <c r="E1324" t="str">
        <f t="shared" si="40"/>
        <v>Salender/2/5/1</v>
      </c>
      <c r="F1324">
        <v>27</v>
      </c>
    </row>
    <row r="1325" spans="1:6" x14ac:dyDescent="0.2">
      <c r="A1325">
        <v>6</v>
      </c>
      <c r="B1325" t="s">
        <v>101</v>
      </c>
      <c r="C1325">
        <v>0</v>
      </c>
      <c r="D1325">
        <v>1</v>
      </c>
      <c r="E1325" t="str">
        <f t="shared" si="40"/>
        <v>ChrisFrankfurt/1/6/0</v>
      </c>
      <c r="F1325">
        <v>27</v>
      </c>
    </row>
    <row r="1326" spans="1:6" x14ac:dyDescent="0.2">
      <c r="A1326">
        <v>1</v>
      </c>
      <c r="B1326" t="s">
        <v>87</v>
      </c>
      <c r="C1326">
        <v>4</v>
      </c>
      <c r="D1326">
        <v>15</v>
      </c>
      <c r="E1326" t="str">
        <f t="shared" si="40"/>
        <v>Proph@ne/15/1/4</v>
      </c>
      <c r="F1326">
        <v>27</v>
      </c>
    </row>
    <row r="1327" spans="1:6" x14ac:dyDescent="0.2">
      <c r="A1327">
        <v>2</v>
      </c>
      <c r="B1327" t="s">
        <v>558</v>
      </c>
      <c r="C1327">
        <v>0</v>
      </c>
      <c r="D1327">
        <v>11</v>
      </c>
      <c r="E1327" t="str">
        <f t="shared" si="40"/>
        <v>Light/11/2/0</v>
      </c>
      <c r="F1327">
        <v>27</v>
      </c>
    </row>
    <row r="1328" spans="1:6" x14ac:dyDescent="0.2">
      <c r="A1328">
        <v>3</v>
      </c>
      <c r="B1328" t="s">
        <v>521</v>
      </c>
      <c r="C1328">
        <v>0</v>
      </c>
      <c r="D1328">
        <v>7</v>
      </c>
      <c r="E1328" t="str">
        <f t="shared" si="40"/>
        <v>Jaden/7/3/0</v>
      </c>
      <c r="F1328">
        <v>27</v>
      </c>
    </row>
    <row r="1329" spans="1:6" x14ac:dyDescent="0.2">
      <c r="A1329">
        <v>4</v>
      </c>
      <c r="B1329" t="s">
        <v>535</v>
      </c>
      <c r="C1329">
        <v>0</v>
      </c>
      <c r="D1329">
        <v>3</v>
      </c>
      <c r="E1329" t="str">
        <f t="shared" si="40"/>
        <v>TheRealWill/3/4/0</v>
      </c>
      <c r="F1329">
        <v>27</v>
      </c>
    </row>
    <row r="1330" spans="1:6" x14ac:dyDescent="0.2">
      <c r="A1330">
        <v>5</v>
      </c>
      <c r="B1330" t="s">
        <v>485</v>
      </c>
      <c r="C1330">
        <v>0</v>
      </c>
      <c r="D1330">
        <v>1</v>
      </c>
      <c r="E1330" t="str">
        <f t="shared" si="40"/>
        <v>Solucky/1/5/0</v>
      </c>
      <c r="F1330">
        <v>27</v>
      </c>
    </row>
    <row r="1331" spans="1:6" x14ac:dyDescent="0.2">
      <c r="A1331">
        <v>1</v>
      </c>
      <c r="B1331" t="s">
        <v>515</v>
      </c>
      <c r="C1331">
        <v>1</v>
      </c>
      <c r="D1331">
        <v>16</v>
      </c>
      <c r="E1331" t="str">
        <f t="shared" si="40"/>
        <v>Chico/16/1/1</v>
      </c>
      <c r="F1331">
        <v>27</v>
      </c>
    </row>
    <row r="1332" spans="1:6" x14ac:dyDescent="0.2">
      <c r="A1332">
        <v>2</v>
      </c>
      <c r="B1332" t="s">
        <v>526</v>
      </c>
      <c r="C1332">
        <v>3</v>
      </c>
      <c r="D1332">
        <v>12</v>
      </c>
      <c r="E1332" t="str">
        <f t="shared" si="40"/>
        <v>Yroz/12/2/3</v>
      </c>
      <c r="F1332">
        <v>27</v>
      </c>
    </row>
    <row r="1333" spans="1:6" x14ac:dyDescent="0.2">
      <c r="A1333">
        <v>3</v>
      </c>
      <c r="B1333" t="s">
        <v>6</v>
      </c>
      <c r="C1333">
        <v>0</v>
      </c>
      <c r="D1333">
        <v>8</v>
      </c>
      <c r="E1333" t="str">
        <f t="shared" si="40"/>
        <v>Pyja/8/3/0</v>
      </c>
      <c r="F1333">
        <v>27</v>
      </c>
    </row>
    <row r="1334" spans="1:6" x14ac:dyDescent="0.2">
      <c r="A1334">
        <v>4</v>
      </c>
      <c r="B1334" t="s">
        <v>25</v>
      </c>
      <c r="C1334">
        <v>1</v>
      </c>
      <c r="D1334">
        <v>4</v>
      </c>
      <c r="E1334" t="str">
        <f t="shared" si="40"/>
        <v>Claudius/4/4/1</v>
      </c>
      <c r="F1334">
        <v>27</v>
      </c>
    </row>
    <row r="1335" spans="1:6" x14ac:dyDescent="0.2">
      <c r="A1335">
        <v>5</v>
      </c>
      <c r="B1335" t="s">
        <v>65</v>
      </c>
      <c r="C1335">
        <v>0</v>
      </c>
      <c r="D1335">
        <v>2</v>
      </c>
      <c r="E1335" t="str">
        <f t="shared" si="40"/>
        <v>Ripolin/2/5/0</v>
      </c>
      <c r="F1335">
        <v>27</v>
      </c>
    </row>
    <row r="1336" spans="1:6" x14ac:dyDescent="0.2">
      <c r="A1336">
        <v>6</v>
      </c>
      <c r="B1336" t="s">
        <v>454</v>
      </c>
      <c r="C1336">
        <v>0</v>
      </c>
      <c r="D1336">
        <v>1</v>
      </c>
      <c r="E1336" t="str">
        <f t="shared" si="40"/>
        <v>Gibbonfury/1/6/0</v>
      </c>
      <c r="F1336">
        <v>27</v>
      </c>
    </row>
    <row r="1337" spans="1:6" x14ac:dyDescent="0.2">
      <c r="A1337">
        <v>1</v>
      </c>
      <c r="B1337" t="s">
        <v>506</v>
      </c>
      <c r="C1337">
        <v>3</v>
      </c>
      <c r="D1337">
        <v>16</v>
      </c>
      <c r="E1337" t="str">
        <f t="shared" si="40"/>
        <v>Zubbaz/16/1/3</v>
      </c>
      <c r="F1337">
        <v>27</v>
      </c>
    </row>
    <row r="1338" spans="1:6" x14ac:dyDescent="0.2">
      <c r="A1338">
        <v>2</v>
      </c>
      <c r="B1338" t="s">
        <v>552</v>
      </c>
      <c r="C1338">
        <v>1</v>
      </c>
      <c r="D1338">
        <v>12</v>
      </c>
      <c r="E1338" t="str">
        <f t="shared" si="40"/>
        <v>Snake1702/12/2/1</v>
      </c>
      <c r="F1338">
        <v>27</v>
      </c>
    </row>
    <row r="1339" spans="1:6" x14ac:dyDescent="0.2">
      <c r="A1339">
        <v>3</v>
      </c>
      <c r="B1339" t="s">
        <v>504</v>
      </c>
      <c r="C1339">
        <v>0</v>
      </c>
      <c r="D1339">
        <v>8</v>
      </c>
      <c r="E1339" t="str">
        <f t="shared" si="40"/>
        <v>Zizou/8/3/0</v>
      </c>
      <c r="F1339">
        <v>27</v>
      </c>
    </row>
    <row r="1340" spans="1:6" x14ac:dyDescent="0.2">
      <c r="A1340">
        <v>4</v>
      </c>
      <c r="B1340" t="s">
        <v>507</v>
      </c>
      <c r="C1340">
        <v>1</v>
      </c>
      <c r="D1340">
        <v>4</v>
      </c>
      <c r="E1340" t="str">
        <f t="shared" si="40"/>
        <v>Losogre/4/4/1</v>
      </c>
      <c r="F1340">
        <v>27</v>
      </c>
    </row>
    <row r="1341" spans="1:6" x14ac:dyDescent="0.2">
      <c r="A1341">
        <v>5</v>
      </c>
      <c r="B1341" t="s">
        <v>533</v>
      </c>
      <c r="C1341">
        <v>0</v>
      </c>
      <c r="D1341">
        <v>2</v>
      </c>
      <c r="E1341" t="str">
        <f t="shared" si="40"/>
        <v>Ouais ouais/2/5/0</v>
      </c>
      <c r="F1341">
        <v>27</v>
      </c>
    </row>
    <row r="1342" spans="1:6" x14ac:dyDescent="0.2">
      <c r="A1342">
        <v>6</v>
      </c>
      <c r="B1342" t="s">
        <v>76</v>
      </c>
      <c r="C1342">
        <v>0</v>
      </c>
      <c r="D1342">
        <v>1</v>
      </c>
      <c r="E1342" t="str">
        <f t="shared" si="40"/>
        <v>Comment2/1/6/0</v>
      </c>
      <c r="F1342">
        <v>27</v>
      </c>
    </row>
    <row r="1343" spans="1:6" x14ac:dyDescent="0.2">
      <c r="A1343">
        <v>1</v>
      </c>
      <c r="B1343" t="s">
        <v>48</v>
      </c>
      <c r="C1343">
        <v>3</v>
      </c>
      <c r="D1343">
        <v>16</v>
      </c>
      <c r="E1343" t="str">
        <f t="shared" ref="E1343:E1406" si="41">B1343&amp;"/"&amp;D1343&amp;"/"&amp;A1343&amp;"/"&amp;C1343</f>
        <v>Pintu/16/1/3</v>
      </c>
      <c r="F1343">
        <v>27</v>
      </c>
    </row>
    <row r="1344" spans="1:6" x14ac:dyDescent="0.2">
      <c r="A1344">
        <v>2</v>
      </c>
      <c r="B1344" t="s">
        <v>35</v>
      </c>
      <c r="C1344">
        <v>1</v>
      </c>
      <c r="D1344">
        <v>12</v>
      </c>
      <c r="E1344" t="str">
        <f t="shared" si="41"/>
        <v>JeanMichelTiming/12/2/1</v>
      </c>
      <c r="F1344">
        <v>27</v>
      </c>
    </row>
    <row r="1345" spans="1:6" x14ac:dyDescent="0.2">
      <c r="A1345">
        <v>3</v>
      </c>
      <c r="B1345" t="s">
        <v>46</v>
      </c>
      <c r="C1345">
        <v>0</v>
      </c>
      <c r="D1345">
        <v>8</v>
      </c>
      <c r="E1345" t="str">
        <f t="shared" si="41"/>
        <v>Jérôme/8/3/0</v>
      </c>
      <c r="F1345">
        <v>27</v>
      </c>
    </row>
    <row r="1346" spans="1:6" x14ac:dyDescent="0.2">
      <c r="A1346">
        <v>4</v>
      </c>
      <c r="B1346" t="s">
        <v>32</v>
      </c>
      <c r="C1346">
        <v>0</v>
      </c>
      <c r="D1346">
        <v>4</v>
      </c>
      <c r="E1346" t="str">
        <f t="shared" si="41"/>
        <v>OlivierN92/4/4/0</v>
      </c>
      <c r="F1346">
        <v>27</v>
      </c>
    </row>
    <row r="1347" spans="1:6" x14ac:dyDescent="0.2">
      <c r="A1347">
        <v>5</v>
      </c>
      <c r="B1347" t="s">
        <v>42</v>
      </c>
      <c r="C1347">
        <v>1</v>
      </c>
      <c r="D1347">
        <v>2</v>
      </c>
      <c r="E1347" t="str">
        <f t="shared" si="41"/>
        <v>Claptou/2/5/1</v>
      </c>
      <c r="F1347">
        <v>27</v>
      </c>
    </row>
    <row r="1348" spans="1:6" x14ac:dyDescent="0.2">
      <c r="A1348">
        <v>6</v>
      </c>
      <c r="B1348" t="s">
        <v>516</v>
      </c>
      <c r="C1348">
        <v>0</v>
      </c>
      <c r="D1348">
        <v>1</v>
      </c>
      <c r="E1348" t="str">
        <f t="shared" si="41"/>
        <v>Tenko/1/6/0</v>
      </c>
      <c r="F1348">
        <v>27</v>
      </c>
    </row>
    <row r="1349" spans="1:6" x14ac:dyDescent="0.2">
      <c r="A1349">
        <v>1</v>
      </c>
      <c r="B1349" t="s">
        <v>505</v>
      </c>
      <c r="C1349">
        <v>2</v>
      </c>
      <c r="D1349">
        <v>16</v>
      </c>
      <c r="E1349" t="str">
        <f t="shared" si="41"/>
        <v>Mams/16/1/2</v>
      </c>
      <c r="F1349">
        <v>27</v>
      </c>
    </row>
    <row r="1350" spans="1:6" x14ac:dyDescent="0.2">
      <c r="A1350">
        <v>2</v>
      </c>
      <c r="B1350" t="s">
        <v>461</v>
      </c>
      <c r="C1350">
        <v>1</v>
      </c>
      <c r="D1350">
        <v>12</v>
      </c>
      <c r="E1350" t="str">
        <f t="shared" si="41"/>
        <v>Djecus/12/2/1</v>
      </c>
      <c r="F1350">
        <v>27</v>
      </c>
    </row>
    <row r="1351" spans="1:6" x14ac:dyDescent="0.2">
      <c r="A1351">
        <v>3</v>
      </c>
      <c r="B1351" t="s">
        <v>493</v>
      </c>
      <c r="C1351">
        <v>1</v>
      </c>
      <c r="D1351">
        <v>8</v>
      </c>
      <c r="E1351" t="str">
        <f t="shared" si="41"/>
        <v>Rockatou/8/3/1</v>
      </c>
      <c r="F1351">
        <v>27</v>
      </c>
    </row>
    <row r="1352" spans="1:6" x14ac:dyDescent="0.2">
      <c r="A1352">
        <v>4</v>
      </c>
      <c r="B1352" t="s">
        <v>21</v>
      </c>
      <c r="C1352">
        <v>0</v>
      </c>
      <c r="D1352">
        <v>4</v>
      </c>
      <c r="E1352" t="str">
        <f t="shared" si="41"/>
        <v>Carmin/4/4/0</v>
      </c>
      <c r="F1352">
        <v>27</v>
      </c>
    </row>
    <row r="1353" spans="1:6" x14ac:dyDescent="0.2">
      <c r="A1353">
        <v>5</v>
      </c>
      <c r="B1353" t="s">
        <v>75</v>
      </c>
      <c r="C1353">
        <v>1</v>
      </c>
      <c r="D1353">
        <v>2</v>
      </c>
      <c r="E1353" t="str">
        <f t="shared" si="41"/>
        <v>Michelbey/2/5/1</v>
      </c>
      <c r="F1353">
        <v>27</v>
      </c>
    </row>
    <row r="1354" spans="1:6" x14ac:dyDescent="0.2">
      <c r="A1354">
        <v>6</v>
      </c>
      <c r="B1354" t="s">
        <v>280</v>
      </c>
      <c r="C1354">
        <v>0</v>
      </c>
      <c r="D1354">
        <v>1</v>
      </c>
      <c r="E1354" t="str">
        <f t="shared" si="41"/>
        <v>Delgres/1/6/0</v>
      </c>
      <c r="F1354">
        <v>27</v>
      </c>
    </row>
    <row r="1355" spans="1:6" x14ac:dyDescent="0.2">
      <c r="A1355">
        <v>1</v>
      </c>
      <c r="B1355" t="s">
        <v>55</v>
      </c>
      <c r="C1355">
        <v>2</v>
      </c>
      <c r="D1355">
        <v>16</v>
      </c>
      <c r="E1355" t="str">
        <f t="shared" si="41"/>
        <v>Bounette/16/1/2</v>
      </c>
      <c r="F1355">
        <v>27</v>
      </c>
    </row>
    <row r="1356" spans="1:6" x14ac:dyDescent="0.2">
      <c r="A1356">
        <v>2</v>
      </c>
      <c r="B1356" t="s">
        <v>14</v>
      </c>
      <c r="C1356">
        <v>2</v>
      </c>
      <c r="D1356">
        <v>12</v>
      </c>
      <c r="E1356" t="str">
        <f t="shared" si="41"/>
        <v>Ramm/12/2/2</v>
      </c>
      <c r="F1356">
        <v>27</v>
      </c>
    </row>
    <row r="1357" spans="1:6" x14ac:dyDescent="0.2">
      <c r="A1357">
        <v>3</v>
      </c>
      <c r="B1357" t="s">
        <v>19</v>
      </c>
      <c r="C1357">
        <v>0</v>
      </c>
      <c r="D1357">
        <v>8</v>
      </c>
      <c r="E1357" t="str">
        <f t="shared" si="41"/>
        <v>Giobeck/8/3/0</v>
      </c>
      <c r="F1357">
        <v>27</v>
      </c>
    </row>
    <row r="1358" spans="1:6" x14ac:dyDescent="0.2">
      <c r="A1358">
        <v>4</v>
      </c>
      <c r="B1358" t="s">
        <v>501</v>
      </c>
      <c r="C1358">
        <v>1</v>
      </c>
      <c r="D1358">
        <v>4</v>
      </c>
      <c r="E1358" t="str">
        <f t="shared" si="41"/>
        <v>Poisson Pilote/4/4/1</v>
      </c>
      <c r="F1358">
        <v>27</v>
      </c>
    </row>
    <row r="1359" spans="1:6" x14ac:dyDescent="0.2">
      <c r="A1359">
        <v>5</v>
      </c>
      <c r="B1359" t="s">
        <v>40</v>
      </c>
      <c r="C1359">
        <v>0</v>
      </c>
      <c r="D1359">
        <v>2</v>
      </c>
      <c r="E1359" t="str">
        <f t="shared" si="41"/>
        <v>Lén@/2/5/0</v>
      </c>
      <c r="F1359">
        <v>27</v>
      </c>
    </row>
    <row r="1360" spans="1:6" x14ac:dyDescent="0.2">
      <c r="A1360">
        <v>6</v>
      </c>
      <c r="B1360" t="s">
        <v>518</v>
      </c>
      <c r="C1360">
        <v>0</v>
      </c>
      <c r="D1360">
        <v>1</v>
      </c>
      <c r="E1360" t="str">
        <f t="shared" si="41"/>
        <v>Soupaman/1/6/0</v>
      </c>
      <c r="F1360">
        <v>27</v>
      </c>
    </row>
    <row r="1361" spans="1:6" x14ac:dyDescent="0.2">
      <c r="A1361">
        <v>1</v>
      </c>
      <c r="B1361" t="s">
        <v>516</v>
      </c>
      <c r="C1361">
        <v>5</v>
      </c>
      <c r="D1361">
        <v>16</v>
      </c>
      <c r="E1361" t="str">
        <f t="shared" si="41"/>
        <v>Tenko/16/1/5</v>
      </c>
      <c r="F1361">
        <v>28</v>
      </c>
    </row>
    <row r="1362" spans="1:6" x14ac:dyDescent="0.2">
      <c r="A1362">
        <v>2</v>
      </c>
      <c r="B1362" t="s">
        <v>552</v>
      </c>
      <c r="C1362">
        <v>0</v>
      </c>
      <c r="D1362">
        <v>12</v>
      </c>
      <c r="E1362" t="str">
        <f t="shared" si="41"/>
        <v>Snake1702/12/2/0</v>
      </c>
      <c r="F1362">
        <v>28</v>
      </c>
    </row>
    <row r="1363" spans="1:6" x14ac:dyDescent="0.2">
      <c r="A1363">
        <v>3</v>
      </c>
      <c r="B1363" t="s">
        <v>559</v>
      </c>
      <c r="C1363">
        <v>0</v>
      </c>
      <c r="D1363">
        <v>8</v>
      </c>
      <c r="E1363" t="str">
        <f t="shared" si="41"/>
        <v>Kewen/8/3/0</v>
      </c>
      <c r="F1363">
        <v>28</v>
      </c>
    </row>
    <row r="1364" spans="1:6" x14ac:dyDescent="0.2">
      <c r="A1364">
        <v>4</v>
      </c>
      <c r="B1364" t="s">
        <v>46</v>
      </c>
      <c r="C1364">
        <v>0</v>
      </c>
      <c r="D1364">
        <v>4</v>
      </c>
      <c r="E1364" t="str">
        <f t="shared" si="41"/>
        <v>Jérôme/4/4/0</v>
      </c>
      <c r="F1364">
        <v>28</v>
      </c>
    </row>
    <row r="1365" spans="1:6" x14ac:dyDescent="0.2">
      <c r="A1365">
        <v>5</v>
      </c>
      <c r="B1365" t="s">
        <v>40</v>
      </c>
      <c r="C1365">
        <v>0</v>
      </c>
      <c r="D1365">
        <v>2</v>
      </c>
      <c r="E1365" t="str">
        <f t="shared" si="41"/>
        <v>Lén@/2/5/0</v>
      </c>
      <c r="F1365">
        <v>28</v>
      </c>
    </row>
    <row r="1366" spans="1:6" x14ac:dyDescent="0.2">
      <c r="A1366">
        <v>6</v>
      </c>
      <c r="B1366" t="s">
        <v>87</v>
      </c>
      <c r="C1366">
        <v>0</v>
      </c>
      <c r="D1366">
        <v>1</v>
      </c>
      <c r="E1366" t="str">
        <f t="shared" si="41"/>
        <v>Proph@ne/1/6/0</v>
      </c>
      <c r="F1366">
        <v>28</v>
      </c>
    </row>
    <row r="1367" spans="1:6" x14ac:dyDescent="0.2">
      <c r="A1367">
        <v>1</v>
      </c>
      <c r="B1367" t="s">
        <v>557</v>
      </c>
      <c r="C1367">
        <v>2</v>
      </c>
      <c r="D1367">
        <v>16</v>
      </c>
      <c r="E1367" t="str">
        <f t="shared" si="41"/>
        <v>Madridal/16/1/2</v>
      </c>
      <c r="F1367">
        <v>28</v>
      </c>
    </row>
    <row r="1368" spans="1:6" x14ac:dyDescent="0.2">
      <c r="A1368">
        <v>2</v>
      </c>
      <c r="B1368" t="s">
        <v>534</v>
      </c>
      <c r="C1368">
        <v>2</v>
      </c>
      <c r="D1368">
        <v>12</v>
      </c>
      <c r="E1368" t="str">
        <f t="shared" si="41"/>
        <v>JC/12/2/2</v>
      </c>
      <c r="F1368">
        <v>28</v>
      </c>
    </row>
    <row r="1369" spans="1:6" x14ac:dyDescent="0.2">
      <c r="A1369">
        <v>3</v>
      </c>
      <c r="B1369" t="s">
        <v>532</v>
      </c>
      <c r="C1369">
        <v>0</v>
      </c>
      <c r="D1369">
        <v>8</v>
      </c>
      <c r="E1369" t="str">
        <f t="shared" si="41"/>
        <v>Boosilletoo/8/3/0</v>
      </c>
      <c r="F1369">
        <v>28</v>
      </c>
    </row>
    <row r="1370" spans="1:6" x14ac:dyDescent="0.2">
      <c r="A1370">
        <v>4</v>
      </c>
      <c r="B1370" t="s">
        <v>558</v>
      </c>
      <c r="C1370">
        <v>1</v>
      </c>
      <c r="D1370">
        <v>4</v>
      </c>
      <c r="E1370" t="str">
        <f t="shared" si="41"/>
        <v>Light/4/4/1</v>
      </c>
      <c r="F1370">
        <v>28</v>
      </c>
    </row>
    <row r="1371" spans="1:6" x14ac:dyDescent="0.2">
      <c r="A1371">
        <v>5</v>
      </c>
      <c r="B1371" t="s">
        <v>55</v>
      </c>
      <c r="C1371">
        <v>0</v>
      </c>
      <c r="D1371">
        <v>2</v>
      </c>
      <c r="E1371" t="str">
        <f t="shared" si="41"/>
        <v>Bounette/2/5/0</v>
      </c>
      <c r="F1371">
        <v>28</v>
      </c>
    </row>
    <row r="1372" spans="1:6" x14ac:dyDescent="0.2">
      <c r="A1372">
        <v>6</v>
      </c>
      <c r="B1372" t="s">
        <v>65</v>
      </c>
      <c r="C1372">
        <v>0</v>
      </c>
      <c r="D1372">
        <v>1</v>
      </c>
      <c r="E1372" t="str">
        <f t="shared" si="41"/>
        <v>Ripolin/1/6/0</v>
      </c>
      <c r="F1372">
        <v>28</v>
      </c>
    </row>
    <row r="1373" spans="1:6" x14ac:dyDescent="0.2">
      <c r="A1373">
        <v>1</v>
      </c>
      <c r="B1373" t="s">
        <v>485</v>
      </c>
      <c r="C1373">
        <v>2</v>
      </c>
      <c r="D1373">
        <v>16</v>
      </c>
      <c r="E1373" t="str">
        <f t="shared" si="41"/>
        <v>Solucky/16/1/2</v>
      </c>
      <c r="F1373">
        <v>28</v>
      </c>
    </row>
    <row r="1374" spans="1:6" x14ac:dyDescent="0.2">
      <c r="A1374">
        <v>2</v>
      </c>
      <c r="B1374" t="s">
        <v>14</v>
      </c>
      <c r="C1374">
        <v>3</v>
      </c>
      <c r="D1374">
        <v>12</v>
      </c>
      <c r="E1374" t="str">
        <f t="shared" si="41"/>
        <v>Ramm/12/2/3</v>
      </c>
      <c r="F1374">
        <v>28</v>
      </c>
    </row>
    <row r="1375" spans="1:6" x14ac:dyDescent="0.2">
      <c r="A1375">
        <v>3</v>
      </c>
      <c r="B1375" t="s">
        <v>9</v>
      </c>
      <c r="C1375">
        <v>0</v>
      </c>
      <c r="D1375">
        <v>8</v>
      </c>
      <c r="E1375" t="str">
        <f t="shared" si="41"/>
        <v>K1/8/3/0</v>
      </c>
      <c r="F1375">
        <v>28</v>
      </c>
    </row>
    <row r="1376" spans="1:6" x14ac:dyDescent="0.2">
      <c r="A1376">
        <v>4</v>
      </c>
      <c r="B1376" t="s">
        <v>479</v>
      </c>
      <c r="C1376">
        <v>0</v>
      </c>
      <c r="D1376">
        <v>4</v>
      </c>
      <c r="E1376" t="str">
        <f t="shared" si="41"/>
        <v>Salender/4/4/0</v>
      </c>
      <c r="F1376">
        <v>28</v>
      </c>
    </row>
    <row r="1377" spans="1:6" x14ac:dyDescent="0.2">
      <c r="A1377">
        <v>5</v>
      </c>
      <c r="B1377" t="s">
        <v>345</v>
      </c>
      <c r="C1377">
        <v>0</v>
      </c>
      <c r="D1377">
        <v>2</v>
      </c>
      <c r="E1377" t="str">
        <f t="shared" si="41"/>
        <v>Thibaultp75/2/5/0</v>
      </c>
      <c r="F1377">
        <v>28</v>
      </c>
    </row>
    <row r="1378" spans="1:6" x14ac:dyDescent="0.2">
      <c r="A1378">
        <v>6</v>
      </c>
      <c r="B1378" t="s">
        <v>76</v>
      </c>
      <c r="C1378">
        <v>0</v>
      </c>
      <c r="D1378">
        <v>1</v>
      </c>
      <c r="E1378" t="str">
        <f t="shared" si="41"/>
        <v>Comment2/1/6/0</v>
      </c>
      <c r="F1378">
        <v>28</v>
      </c>
    </row>
    <row r="1379" spans="1:6" x14ac:dyDescent="0.2">
      <c r="A1379">
        <v>1</v>
      </c>
      <c r="B1379" t="s">
        <v>19</v>
      </c>
      <c r="C1379">
        <v>2</v>
      </c>
      <c r="D1379">
        <v>17</v>
      </c>
      <c r="E1379" t="str">
        <f t="shared" si="41"/>
        <v>Giobeck/17/1/2</v>
      </c>
      <c r="F1379">
        <v>28</v>
      </c>
    </row>
    <row r="1380" spans="1:6" x14ac:dyDescent="0.2">
      <c r="A1380">
        <v>2</v>
      </c>
      <c r="B1380" t="s">
        <v>66</v>
      </c>
      <c r="C1380">
        <v>2</v>
      </c>
      <c r="D1380">
        <v>13</v>
      </c>
      <c r="E1380" t="str">
        <f t="shared" si="41"/>
        <v>Ad Vitam/13/2/2</v>
      </c>
      <c r="F1380">
        <v>28</v>
      </c>
    </row>
    <row r="1381" spans="1:6" x14ac:dyDescent="0.2">
      <c r="A1381">
        <v>3</v>
      </c>
      <c r="B1381" t="s">
        <v>510</v>
      </c>
      <c r="C1381">
        <v>0</v>
      </c>
      <c r="D1381">
        <v>9</v>
      </c>
      <c r="E1381" t="str">
        <f t="shared" si="41"/>
        <v>Magic Mykiss/9/3/0</v>
      </c>
      <c r="F1381">
        <v>28</v>
      </c>
    </row>
    <row r="1382" spans="1:6" x14ac:dyDescent="0.2">
      <c r="A1382">
        <v>4</v>
      </c>
      <c r="B1382" t="s">
        <v>74</v>
      </c>
      <c r="C1382">
        <v>0</v>
      </c>
      <c r="D1382">
        <v>5</v>
      </c>
      <c r="E1382" t="str">
        <f t="shared" si="41"/>
        <v>PatB/5/4/0</v>
      </c>
      <c r="F1382">
        <v>28</v>
      </c>
    </row>
    <row r="1383" spans="1:6" x14ac:dyDescent="0.2">
      <c r="A1383">
        <v>5</v>
      </c>
      <c r="B1383" t="s">
        <v>535</v>
      </c>
      <c r="C1383">
        <v>2</v>
      </c>
      <c r="D1383">
        <v>3</v>
      </c>
      <c r="E1383" t="str">
        <f t="shared" si="41"/>
        <v>TheRealWill/3/5/2</v>
      </c>
      <c r="F1383">
        <v>28</v>
      </c>
    </row>
    <row r="1384" spans="1:6" x14ac:dyDescent="0.2">
      <c r="A1384">
        <v>6</v>
      </c>
      <c r="B1384" t="s">
        <v>490</v>
      </c>
      <c r="C1384">
        <v>0</v>
      </c>
      <c r="D1384">
        <v>2</v>
      </c>
      <c r="E1384" t="str">
        <f t="shared" si="41"/>
        <v>DernierPli/2/6/0</v>
      </c>
      <c r="F1384">
        <v>28</v>
      </c>
    </row>
    <row r="1385" spans="1:6" x14ac:dyDescent="0.2">
      <c r="A1385">
        <v>7</v>
      </c>
      <c r="B1385" t="s">
        <v>25</v>
      </c>
      <c r="C1385">
        <v>0</v>
      </c>
      <c r="D1385">
        <v>1</v>
      </c>
      <c r="E1385" t="str">
        <f t="shared" si="41"/>
        <v>Claudius/1/7/0</v>
      </c>
      <c r="F1385">
        <v>28</v>
      </c>
    </row>
    <row r="1386" spans="1:6" x14ac:dyDescent="0.2">
      <c r="A1386">
        <v>1</v>
      </c>
      <c r="B1386" t="s">
        <v>461</v>
      </c>
      <c r="C1386">
        <v>2</v>
      </c>
      <c r="D1386">
        <v>16</v>
      </c>
      <c r="E1386" t="str">
        <f t="shared" si="41"/>
        <v>Djecus/16/1/2</v>
      </c>
      <c r="F1386">
        <v>28</v>
      </c>
    </row>
    <row r="1387" spans="1:6" x14ac:dyDescent="0.2">
      <c r="A1387">
        <v>2</v>
      </c>
      <c r="B1387" t="s">
        <v>509</v>
      </c>
      <c r="C1387">
        <v>2</v>
      </c>
      <c r="D1387">
        <v>12</v>
      </c>
      <c r="E1387" t="str">
        <f t="shared" si="41"/>
        <v>Gibouille/12/2/2</v>
      </c>
      <c r="F1387">
        <v>28</v>
      </c>
    </row>
    <row r="1388" spans="1:6" x14ac:dyDescent="0.2">
      <c r="A1388">
        <v>3</v>
      </c>
      <c r="B1388" t="s">
        <v>502</v>
      </c>
      <c r="C1388">
        <v>1</v>
      </c>
      <c r="D1388">
        <v>8</v>
      </c>
      <c r="E1388" t="str">
        <f t="shared" si="41"/>
        <v>Sobab/8/3/1</v>
      </c>
      <c r="F1388">
        <v>28</v>
      </c>
    </row>
    <row r="1389" spans="1:6" x14ac:dyDescent="0.2">
      <c r="A1389">
        <v>4</v>
      </c>
      <c r="B1389" t="s">
        <v>475</v>
      </c>
      <c r="C1389">
        <v>0</v>
      </c>
      <c r="D1389">
        <v>4</v>
      </c>
      <c r="E1389" t="str">
        <f t="shared" si="41"/>
        <v>La Bavure/4/4/0</v>
      </c>
      <c r="F1389">
        <v>28</v>
      </c>
    </row>
    <row r="1390" spans="1:6" x14ac:dyDescent="0.2">
      <c r="A1390">
        <v>5</v>
      </c>
      <c r="B1390" t="s">
        <v>69</v>
      </c>
      <c r="C1390">
        <v>0</v>
      </c>
      <c r="D1390">
        <v>2</v>
      </c>
      <c r="E1390" t="str">
        <f t="shared" si="41"/>
        <v>Catherine/2/5/0</v>
      </c>
      <c r="F1390">
        <v>28</v>
      </c>
    </row>
    <row r="1391" spans="1:6" x14ac:dyDescent="0.2">
      <c r="A1391">
        <v>6</v>
      </c>
      <c r="B1391" t="s">
        <v>21</v>
      </c>
      <c r="C1391">
        <v>0</v>
      </c>
      <c r="D1391">
        <v>1</v>
      </c>
      <c r="E1391" t="str">
        <f t="shared" si="41"/>
        <v>Carmin/1/6/0</v>
      </c>
      <c r="F1391">
        <v>28</v>
      </c>
    </row>
    <row r="1392" spans="1:6" x14ac:dyDescent="0.2">
      <c r="A1392">
        <v>1</v>
      </c>
      <c r="B1392" t="s">
        <v>59</v>
      </c>
      <c r="C1392">
        <v>2</v>
      </c>
      <c r="D1392">
        <v>16</v>
      </c>
      <c r="E1392" t="str">
        <f t="shared" si="41"/>
        <v>YooooDA/16/1/2</v>
      </c>
      <c r="F1392">
        <v>28</v>
      </c>
    </row>
    <row r="1393" spans="1:6" x14ac:dyDescent="0.2">
      <c r="A1393">
        <v>2</v>
      </c>
      <c r="B1393" t="s">
        <v>560</v>
      </c>
      <c r="C1393">
        <v>2</v>
      </c>
      <c r="D1393">
        <v>12</v>
      </c>
      <c r="E1393" t="str">
        <f t="shared" si="41"/>
        <v>Ines/12/2/2</v>
      </c>
      <c r="F1393">
        <v>28</v>
      </c>
    </row>
    <row r="1394" spans="1:6" x14ac:dyDescent="0.2">
      <c r="A1394">
        <v>3</v>
      </c>
      <c r="B1394" t="s">
        <v>280</v>
      </c>
      <c r="C1394">
        <v>0</v>
      </c>
      <c r="D1394">
        <v>8</v>
      </c>
      <c r="E1394" t="str">
        <f t="shared" si="41"/>
        <v>Delgres/8/3/0</v>
      </c>
      <c r="F1394">
        <v>28</v>
      </c>
    </row>
    <row r="1395" spans="1:6" x14ac:dyDescent="0.2">
      <c r="A1395">
        <v>4</v>
      </c>
      <c r="B1395" t="s">
        <v>452</v>
      </c>
      <c r="C1395">
        <v>0</v>
      </c>
      <c r="D1395">
        <v>4</v>
      </c>
      <c r="E1395" t="str">
        <f t="shared" si="41"/>
        <v>The Hengover/4/4/0</v>
      </c>
      <c r="F1395">
        <v>28</v>
      </c>
    </row>
    <row r="1396" spans="1:6" x14ac:dyDescent="0.2">
      <c r="A1396">
        <v>5</v>
      </c>
      <c r="B1396" t="s">
        <v>32</v>
      </c>
      <c r="C1396">
        <v>1</v>
      </c>
      <c r="D1396">
        <v>2</v>
      </c>
      <c r="E1396" t="str">
        <f t="shared" si="41"/>
        <v>OlivierN92/2/5/1</v>
      </c>
      <c r="F1396">
        <v>28</v>
      </c>
    </row>
    <row r="1397" spans="1:6" x14ac:dyDescent="0.2">
      <c r="A1397">
        <v>6</v>
      </c>
      <c r="B1397" t="s">
        <v>506</v>
      </c>
      <c r="C1397">
        <v>0</v>
      </c>
      <c r="D1397">
        <v>1</v>
      </c>
      <c r="E1397" t="str">
        <f t="shared" si="41"/>
        <v>Zubbaz/1/6/0</v>
      </c>
      <c r="F1397">
        <v>28</v>
      </c>
    </row>
    <row r="1398" spans="1:6" x14ac:dyDescent="0.2">
      <c r="A1398">
        <v>1</v>
      </c>
      <c r="B1398" t="s">
        <v>88</v>
      </c>
      <c r="C1398">
        <v>3</v>
      </c>
      <c r="D1398">
        <v>16</v>
      </c>
      <c r="E1398" t="str">
        <f t="shared" si="41"/>
        <v>Yarael/16/1/3</v>
      </c>
      <c r="F1398">
        <v>28</v>
      </c>
    </row>
    <row r="1399" spans="1:6" x14ac:dyDescent="0.2">
      <c r="A1399">
        <v>2</v>
      </c>
      <c r="B1399" t="s">
        <v>6</v>
      </c>
      <c r="C1399">
        <v>0</v>
      </c>
      <c r="D1399">
        <v>12</v>
      </c>
      <c r="E1399" t="str">
        <f t="shared" si="41"/>
        <v>Pyja/12/2/0</v>
      </c>
      <c r="F1399">
        <v>28</v>
      </c>
    </row>
    <row r="1400" spans="1:6" x14ac:dyDescent="0.2">
      <c r="A1400">
        <v>3</v>
      </c>
      <c r="B1400" t="s">
        <v>500</v>
      </c>
      <c r="C1400">
        <v>1</v>
      </c>
      <c r="D1400">
        <v>8</v>
      </c>
      <c r="E1400" t="str">
        <f t="shared" si="41"/>
        <v>Kheops/8/3/1</v>
      </c>
      <c r="F1400">
        <v>28</v>
      </c>
    </row>
    <row r="1401" spans="1:6" x14ac:dyDescent="0.2">
      <c r="A1401">
        <v>4</v>
      </c>
      <c r="B1401" t="s">
        <v>73</v>
      </c>
      <c r="C1401">
        <v>1</v>
      </c>
      <c r="D1401">
        <v>4</v>
      </c>
      <c r="E1401" t="str">
        <f t="shared" si="41"/>
        <v>Flem/4/4/1</v>
      </c>
      <c r="F1401">
        <v>28</v>
      </c>
    </row>
    <row r="1402" spans="1:6" x14ac:dyDescent="0.2">
      <c r="A1402">
        <v>5</v>
      </c>
      <c r="B1402" t="s">
        <v>35</v>
      </c>
      <c r="C1402">
        <v>0</v>
      </c>
      <c r="D1402">
        <v>2</v>
      </c>
      <c r="E1402" t="str">
        <f t="shared" si="41"/>
        <v>JeanMichelTiming/2/5/0</v>
      </c>
      <c r="F1402">
        <v>28</v>
      </c>
    </row>
    <row r="1403" spans="1:6" x14ac:dyDescent="0.2">
      <c r="A1403">
        <v>6</v>
      </c>
      <c r="B1403" t="s">
        <v>27</v>
      </c>
      <c r="C1403">
        <v>0</v>
      </c>
      <c r="D1403">
        <v>1</v>
      </c>
      <c r="E1403" t="str">
        <f t="shared" si="41"/>
        <v>Mandrake/1/6/0</v>
      </c>
      <c r="F1403">
        <v>28</v>
      </c>
    </row>
    <row r="1404" spans="1:6" x14ac:dyDescent="0.2">
      <c r="A1404">
        <v>1</v>
      </c>
      <c r="B1404" t="s">
        <v>505</v>
      </c>
      <c r="C1404">
        <v>3</v>
      </c>
      <c r="D1404">
        <v>17</v>
      </c>
      <c r="E1404" t="str">
        <f t="shared" si="41"/>
        <v>Mams/17/1/3</v>
      </c>
      <c r="F1404">
        <v>28</v>
      </c>
    </row>
    <row r="1405" spans="1:6" x14ac:dyDescent="0.2">
      <c r="A1405">
        <v>2</v>
      </c>
      <c r="B1405" t="s">
        <v>504</v>
      </c>
      <c r="C1405">
        <v>2</v>
      </c>
      <c r="D1405">
        <v>13</v>
      </c>
      <c r="E1405" t="str">
        <f t="shared" si="41"/>
        <v>Zizou/13/2/2</v>
      </c>
      <c r="F1405">
        <v>28</v>
      </c>
    </row>
    <row r="1406" spans="1:6" x14ac:dyDescent="0.2">
      <c r="A1406">
        <v>3</v>
      </c>
      <c r="B1406" t="s">
        <v>454</v>
      </c>
      <c r="C1406">
        <v>0</v>
      </c>
      <c r="D1406">
        <v>9</v>
      </c>
      <c r="E1406" t="str">
        <f t="shared" si="41"/>
        <v>Gibbonfury/9/3/0</v>
      </c>
      <c r="F1406">
        <v>28</v>
      </c>
    </row>
    <row r="1407" spans="1:6" x14ac:dyDescent="0.2">
      <c r="A1407">
        <v>4</v>
      </c>
      <c r="B1407" t="s">
        <v>75</v>
      </c>
      <c r="C1407">
        <v>0</v>
      </c>
      <c r="D1407">
        <v>5</v>
      </c>
      <c r="E1407" t="str">
        <f t="shared" ref="E1407:E1470" si="42">B1407&amp;"/"&amp;D1407&amp;"/"&amp;A1407&amp;"/"&amp;C1407</f>
        <v>Michelbey/5/4/0</v>
      </c>
      <c r="F1407">
        <v>28</v>
      </c>
    </row>
    <row r="1408" spans="1:6" x14ac:dyDescent="0.2">
      <c r="A1408">
        <v>5</v>
      </c>
      <c r="B1408" t="s">
        <v>503</v>
      </c>
      <c r="C1408">
        <v>0</v>
      </c>
      <c r="D1408">
        <v>3</v>
      </c>
      <c r="E1408" t="str">
        <f t="shared" si="42"/>
        <v>Yaltar/3/5/0</v>
      </c>
      <c r="F1408">
        <v>28</v>
      </c>
    </row>
    <row r="1409" spans="1:6" x14ac:dyDescent="0.2">
      <c r="A1409">
        <v>6</v>
      </c>
      <c r="B1409" t="s">
        <v>518</v>
      </c>
      <c r="C1409">
        <v>1</v>
      </c>
      <c r="D1409">
        <v>2</v>
      </c>
      <c r="E1409" t="str">
        <f t="shared" si="42"/>
        <v>Soupaman/2/6/1</v>
      </c>
      <c r="F1409">
        <v>28</v>
      </c>
    </row>
    <row r="1410" spans="1:6" x14ac:dyDescent="0.2">
      <c r="A1410">
        <v>7</v>
      </c>
      <c r="B1410" t="s">
        <v>554</v>
      </c>
      <c r="C1410">
        <v>0</v>
      </c>
      <c r="D1410">
        <v>1</v>
      </c>
      <c r="E1410" t="str">
        <f t="shared" si="42"/>
        <v>ScoNix/1/7/0</v>
      </c>
      <c r="F1410">
        <v>28</v>
      </c>
    </row>
    <row r="1411" spans="1:6" x14ac:dyDescent="0.2">
      <c r="A1411">
        <v>1</v>
      </c>
      <c r="B1411" t="s">
        <v>490</v>
      </c>
      <c r="C1411">
        <v>4</v>
      </c>
      <c r="D1411">
        <v>16</v>
      </c>
      <c r="E1411" t="str">
        <f t="shared" si="42"/>
        <v>DernierPli/16/1/4</v>
      </c>
      <c r="F1411">
        <v>29</v>
      </c>
    </row>
    <row r="1412" spans="1:6" x14ac:dyDescent="0.2">
      <c r="A1412">
        <v>2</v>
      </c>
      <c r="B1412" t="s">
        <v>506</v>
      </c>
      <c r="C1412">
        <v>1</v>
      </c>
      <c r="D1412">
        <v>12</v>
      </c>
      <c r="E1412" t="str">
        <f t="shared" si="42"/>
        <v>Zubbaz/12/2/1</v>
      </c>
      <c r="F1412">
        <v>29</v>
      </c>
    </row>
    <row r="1413" spans="1:6" x14ac:dyDescent="0.2">
      <c r="A1413">
        <v>3</v>
      </c>
      <c r="B1413" t="s">
        <v>74</v>
      </c>
      <c r="C1413">
        <v>0</v>
      </c>
      <c r="D1413">
        <v>8</v>
      </c>
      <c r="E1413" t="str">
        <f t="shared" si="42"/>
        <v>PatB/8/3/0</v>
      </c>
      <c r="F1413">
        <v>29</v>
      </c>
    </row>
    <row r="1414" spans="1:6" x14ac:dyDescent="0.2">
      <c r="A1414">
        <v>4</v>
      </c>
      <c r="B1414" t="s">
        <v>507</v>
      </c>
      <c r="C1414">
        <v>0</v>
      </c>
      <c r="D1414">
        <v>4</v>
      </c>
      <c r="E1414" t="str">
        <f t="shared" si="42"/>
        <v>Losogre/4/4/0</v>
      </c>
      <c r="F1414">
        <v>29</v>
      </c>
    </row>
    <row r="1415" spans="1:6" x14ac:dyDescent="0.2">
      <c r="A1415">
        <v>5</v>
      </c>
      <c r="B1415" t="s">
        <v>19</v>
      </c>
      <c r="C1415">
        <v>0</v>
      </c>
      <c r="D1415">
        <v>2</v>
      </c>
      <c r="E1415" t="str">
        <f t="shared" si="42"/>
        <v>Giobeck/2/5/0</v>
      </c>
      <c r="F1415">
        <v>29</v>
      </c>
    </row>
    <row r="1416" spans="1:6" x14ac:dyDescent="0.2">
      <c r="A1416">
        <v>6</v>
      </c>
      <c r="B1416" t="s">
        <v>9</v>
      </c>
      <c r="C1416">
        <v>0</v>
      </c>
      <c r="D1416">
        <v>1</v>
      </c>
      <c r="E1416" t="str">
        <f t="shared" si="42"/>
        <v>K1/1/6/0</v>
      </c>
      <c r="F1416">
        <v>29</v>
      </c>
    </row>
    <row r="1417" spans="1:6" x14ac:dyDescent="0.2">
      <c r="A1417">
        <v>1</v>
      </c>
      <c r="B1417" t="s">
        <v>521</v>
      </c>
      <c r="C1417">
        <v>2</v>
      </c>
      <c r="D1417">
        <v>16</v>
      </c>
      <c r="E1417" t="str">
        <f t="shared" si="42"/>
        <v>Jaden/16/1/2</v>
      </c>
      <c r="F1417">
        <v>29</v>
      </c>
    </row>
    <row r="1418" spans="1:6" x14ac:dyDescent="0.2">
      <c r="A1418">
        <v>2</v>
      </c>
      <c r="B1418" t="s">
        <v>75</v>
      </c>
      <c r="C1418">
        <v>2</v>
      </c>
      <c r="D1418">
        <v>12</v>
      </c>
      <c r="E1418" t="str">
        <f t="shared" si="42"/>
        <v>Michelbey/12/2/2</v>
      </c>
      <c r="F1418">
        <v>29</v>
      </c>
    </row>
    <row r="1419" spans="1:6" x14ac:dyDescent="0.2">
      <c r="A1419">
        <v>3</v>
      </c>
      <c r="B1419" t="s">
        <v>476</v>
      </c>
      <c r="C1419">
        <v>1</v>
      </c>
      <c r="D1419">
        <v>8</v>
      </c>
      <c r="E1419" t="str">
        <f t="shared" si="42"/>
        <v>MegaSouche/8/3/1</v>
      </c>
      <c r="F1419">
        <v>29</v>
      </c>
    </row>
    <row r="1420" spans="1:6" x14ac:dyDescent="0.2">
      <c r="A1420">
        <v>4</v>
      </c>
      <c r="B1420" t="s">
        <v>55</v>
      </c>
      <c r="C1420">
        <v>0</v>
      </c>
      <c r="D1420">
        <v>4</v>
      </c>
      <c r="E1420" t="str">
        <f t="shared" si="42"/>
        <v>Bounette/4/4/0</v>
      </c>
      <c r="F1420">
        <v>29</v>
      </c>
    </row>
    <row r="1421" spans="1:6" x14ac:dyDescent="0.2">
      <c r="A1421">
        <v>5</v>
      </c>
      <c r="B1421" t="s">
        <v>46</v>
      </c>
      <c r="C1421">
        <v>0</v>
      </c>
      <c r="D1421">
        <v>2</v>
      </c>
      <c r="E1421" t="str">
        <f t="shared" si="42"/>
        <v>Jérôme/2/5/0</v>
      </c>
      <c r="F1421">
        <v>29</v>
      </c>
    </row>
    <row r="1422" spans="1:6" x14ac:dyDescent="0.2">
      <c r="A1422">
        <v>6</v>
      </c>
      <c r="B1422" t="s">
        <v>485</v>
      </c>
      <c r="C1422">
        <v>0</v>
      </c>
      <c r="D1422">
        <v>1</v>
      </c>
      <c r="E1422" t="str">
        <f t="shared" si="42"/>
        <v>Solucky/1/6/0</v>
      </c>
      <c r="F1422">
        <v>29</v>
      </c>
    </row>
    <row r="1423" spans="1:6" x14ac:dyDescent="0.2">
      <c r="A1423">
        <v>1</v>
      </c>
      <c r="B1423" t="s">
        <v>518</v>
      </c>
      <c r="C1423">
        <v>2</v>
      </c>
      <c r="D1423">
        <v>16</v>
      </c>
      <c r="E1423" t="str">
        <f t="shared" si="42"/>
        <v>Soupaman/16/1/2</v>
      </c>
      <c r="F1423">
        <v>29</v>
      </c>
    </row>
    <row r="1424" spans="1:6" x14ac:dyDescent="0.2">
      <c r="A1424">
        <v>2</v>
      </c>
      <c r="B1424" t="s">
        <v>66</v>
      </c>
      <c r="C1424">
        <v>3</v>
      </c>
      <c r="D1424">
        <v>12</v>
      </c>
      <c r="E1424" t="str">
        <f t="shared" si="42"/>
        <v>Ad Vitam/12/2/3</v>
      </c>
      <c r="F1424">
        <v>29</v>
      </c>
    </row>
    <row r="1425" spans="1:6" x14ac:dyDescent="0.2">
      <c r="A1425">
        <v>3</v>
      </c>
      <c r="B1425" t="s">
        <v>535</v>
      </c>
      <c r="C1425">
        <v>0</v>
      </c>
      <c r="D1425">
        <v>8</v>
      </c>
      <c r="E1425" t="str">
        <f t="shared" si="42"/>
        <v>TheRealWill/8/3/0</v>
      </c>
      <c r="F1425">
        <v>29</v>
      </c>
    </row>
    <row r="1426" spans="1:6" x14ac:dyDescent="0.2">
      <c r="A1426">
        <v>4</v>
      </c>
      <c r="B1426" t="s">
        <v>484</v>
      </c>
      <c r="C1426">
        <v>0</v>
      </c>
      <c r="D1426">
        <v>4</v>
      </c>
      <c r="E1426" t="str">
        <f t="shared" si="42"/>
        <v>Guerno/4/4/0</v>
      </c>
      <c r="F1426">
        <v>29</v>
      </c>
    </row>
    <row r="1427" spans="1:6" x14ac:dyDescent="0.2">
      <c r="A1427">
        <v>5</v>
      </c>
      <c r="B1427" t="s">
        <v>555</v>
      </c>
      <c r="C1427">
        <v>0</v>
      </c>
      <c r="D1427">
        <v>2</v>
      </c>
      <c r="E1427" t="str">
        <f t="shared" si="42"/>
        <v>Gabs/2/5/0</v>
      </c>
      <c r="F1427">
        <v>29</v>
      </c>
    </row>
    <row r="1428" spans="1:6" x14ac:dyDescent="0.2">
      <c r="A1428">
        <v>6</v>
      </c>
      <c r="B1428" t="s">
        <v>59</v>
      </c>
      <c r="C1428">
        <v>0</v>
      </c>
      <c r="D1428">
        <v>1</v>
      </c>
      <c r="E1428" t="str">
        <f t="shared" si="42"/>
        <v>YooooDA/1/6/0</v>
      </c>
      <c r="F1428">
        <v>29</v>
      </c>
    </row>
    <row r="1429" spans="1:6" x14ac:dyDescent="0.2">
      <c r="A1429">
        <v>1</v>
      </c>
      <c r="B1429" t="s">
        <v>512</v>
      </c>
      <c r="C1429">
        <v>3</v>
      </c>
      <c r="D1429">
        <v>16</v>
      </c>
      <c r="E1429" t="str">
        <f t="shared" si="42"/>
        <v>Fishtro/16/1/3</v>
      </c>
      <c r="F1429">
        <v>29</v>
      </c>
    </row>
    <row r="1430" spans="1:6" x14ac:dyDescent="0.2">
      <c r="A1430">
        <v>2</v>
      </c>
      <c r="B1430" t="s">
        <v>42</v>
      </c>
      <c r="C1430">
        <v>2</v>
      </c>
      <c r="D1430">
        <v>12</v>
      </c>
      <c r="E1430" t="str">
        <f t="shared" si="42"/>
        <v>Claptou/12/2/2</v>
      </c>
      <c r="F1430">
        <v>29</v>
      </c>
    </row>
    <row r="1431" spans="1:6" x14ac:dyDescent="0.2">
      <c r="A1431">
        <v>3</v>
      </c>
      <c r="B1431" t="s">
        <v>35</v>
      </c>
      <c r="C1431">
        <v>0</v>
      </c>
      <c r="D1431">
        <v>8</v>
      </c>
      <c r="E1431" t="str">
        <f t="shared" si="42"/>
        <v>JeanMichelTiming/8/3/0</v>
      </c>
      <c r="F1431">
        <v>29</v>
      </c>
    </row>
    <row r="1432" spans="1:6" x14ac:dyDescent="0.2">
      <c r="A1432">
        <v>4</v>
      </c>
      <c r="B1432" t="s">
        <v>516</v>
      </c>
      <c r="C1432">
        <v>0</v>
      </c>
      <c r="D1432">
        <v>4</v>
      </c>
      <c r="E1432" t="str">
        <f t="shared" si="42"/>
        <v>Tenko/4/4/0</v>
      </c>
      <c r="F1432">
        <v>29</v>
      </c>
    </row>
    <row r="1433" spans="1:6" x14ac:dyDescent="0.2">
      <c r="A1433">
        <v>5</v>
      </c>
      <c r="B1433" t="s">
        <v>508</v>
      </c>
      <c r="C1433">
        <v>0</v>
      </c>
      <c r="D1433">
        <v>2</v>
      </c>
      <c r="E1433" t="str">
        <f t="shared" si="42"/>
        <v>Rmarc/2/5/0</v>
      </c>
      <c r="F1433">
        <v>29</v>
      </c>
    </row>
    <row r="1434" spans="1:6" x14ac:dyDescent="0.2">
      <c r="A1434">
        <v>6</v>
      </c>
      <c r="B1434" t="s">
        <v>69</v>
      </c>
      <c r="C1434">
        <v>0</v>
      </c>
      <c r="D1434">
        <v>1</v>
      </c>
      <c r="E1434" t="str">
        <f t="shared" si="42"/>
        <v>Catherine/1/6/0</v>
      </c>
      <c r="F1434">
        <v>29</v>
      </c>
    </row>
    <row r="1435" spans="1:6" x14ac:dyDescent="0.2">
      <c r="A1435">
        <v>1</v>
      </c>
      <c r="B1435" t="s">
        <v>558</v>
      </c>
      <c r="C1435">
        <v>3</v>
      </c>
      <c r="D1435">
        <v>16</v>
      </c>
      <c r="E1435" t="str">
        <f t="shared" si="42"/>
        <v>Light/16/1/3</v>
      </c>
      <c r="F1435">
        <v>29</v>
      </c>
    </row>
    <row r="1436" spans="1:6" x14ac:dyDescent="0.2">
      <c r="A1436">
        <v>2</v>
      </c>
      <c r="B1436" t="s">
        <v>479</v>
      </c>
      <c r="C1436">
        <v>2</v>
      </c>
      <c r="D1436">
        <v>12</v>
      </c>
      <c r="E1436" t="str">
        <f t="shared" si="42"/>
        <v>Salender/12/2/2</v>
      </c>
      <c r="F1436">
        <v>29</v>
      </c>
    </row>
    <row r="1437" spans="1:6" x14ac:dyDescent="0.2">
      <c r="A1437">
        <v>3</v>
      </c>
      <c r="B1437" t="s">
        <v>532</v>
      </c>
      <c r="C1437">
        <v>0</v>
      </c>
      <c r="D1437">
        <v>8</v>
      </c>
      <c r="E1437" t="str">
        <f t="shared" si="42"/>
        <v>Boosilletoo/8/3/0</v>
      </c>
      <c r="F1437">
        <v>29</v>
      </c>
    </row>
    <row r="1438" spans="1:6" x14ac:dyDescent="0.2">
      <c r="A1438">
        <v>4</v>
      </c>
      <c r="B1438" t="s">
        <v>534</v>
      </c>
      <c r="C1438">
        <v>0</v>
      </c>
      <c r="D1438">
        <v>4</v>
      </c>
      <c r="E1438" t="str">
        <f t="shared" si="42"/>
        <v>JC/4/4/0</v>
      </c>
      <c r="F1438">
        <v>29</v>
      </c>
    </row>
    <row r="1439" spans="1:6" x14ac:dyDescent="0.2">
      <c r="A1439">
        <v>5</v>
      </c>
      <c r="B1439" t="s">
        <v>552</v>
      </c>
      <c r="C1439">
        <v>0</v>
      </c>
      <c r="D1439">
        <v>2</v>
      </c>
      <c r="E1439" t="str">
        <f t="shared" si="42"/>
        <v>Snake1702/2/5/0</v>
      </c>
      <c r="F1439">
        <v>29</v>
      </c>
    </row>
    <row r="1440" spans="1:6" x14ac:dyDescent="0.2">
      <c r="A1440">
        <v>6</v>
      </c>
      <c r="B1440" t="s">
        <v>554</v>
      </c>
      <c r="C1440">
        <v>0</v>
      </c>
      <c r="D1440">
        <v>1</v>
      </c>
      <c r="E1440" t="str">
        <f t="shared" si="42"/>
        <v>ScoNix/1/6/0</v>
      </c>
      <c r="F1440">
        <v>29</v>
      </c>
    </row>
    <row r="1441" spans="1:6" x14ac:dyDescent="0.2">
      <c r="A1441">
        <v>1</v>
      </c>
      <c r="B1441" t="s">
        <v>505</v>
      </c>
      <c r="C1441">
        <v>4</v>
      </c>
      <c r="D1441">
        <v>17</v>
      </c>
      <c r="E1441" t="str">
        <f t="shared" si="42"/>
        <v>Mams/17/1/4</v>
      </c>
      <c r="F1441">
        <v>29</v>
      </c>
    </row>
    <row r="1442" spans="1:6" x14ac:dyDescent="0.2">
      <c r="A1442">
        <v>2</v>
      </c>
      <c r="B1442" t="s">
        <v>504</v>
      </c>
      <c r="C1442">
        <v>1</v>
      </c>
      <c r="D1442">
        <v>13</v>
      </c>
      <c r="E1442" t="str">
        <f t="shared" si="42"/>
        <v>Zizou/13/2/1</v>
      </c>
      <c r="F1442">
        <v>29</v>
      </c>
    </row>
    <row r="1443" spans="1:6" x14ac:dyDescent="0.2">
      <c r="A1443">
        <v>3</v>
      </c>
      <c r="B1443" t="s">
        <v>25</v>
      </c>
      <c r="C1443">
        <v>0</v>
      </c>
      <c r="D1443">
        <v>9</v>
      </c>
      <c r="E1443" t="str">
        <f t="shared" si="42"/>
        <v>Claudius/9/3/0</v>
      </c>
      <c r="F1443">
        <v>29</v>
      </c>
    </row>
    <row r="1444" spans="1:6" x14ac:dyDescent="0.2">
      <c r="A1444">
        <v>4</v>
      </c>
      <c r="B1444" t="s">
        <v>526</v>
      </c>
      <c r="C1444">
        <v>0</v>
      </c>
      <c r="D1444">
        <v>5</v>
      </c>
      <c r="E1444" t="str">
        <f t="shared" si="42"/>
        <v>Yroz/5/4/0</v>
      </c>
      <c r="F1444">
        <v>29</v>
      </c>
    </row>
    <row r="1445" spans="1:6" x14ac:dyDescent="0.2">
      <c r="A1445">
        <v>5</v>
      </c>
      <c r="B1445" t="s">
        <v>73</v>
      </c>
      <c r="C1445">
        <v>1</v>
      </c>
      <c r="D1445">
        <v>3</v>
      </c>
      <c r="E1445" t="str">
        <f t="shared" si="42"/>
        <v>Flem/3/5/1</v>
      </c>
      <c r="F1445">
        <v>29</v>
      </c>
    </row>
    <row r="1446" spans="1:6" x14ac:dyDescent="0.2">
      <c r="A1446">
        <v>6</v>
      </c>
      <c r="B1446" t="s">
        <v>502</v>
      </c>
      <c r="C1446">
        <v>0</v>
      </c>
      <c r="D1446">
        <v>2</v>
      </c>
      <c r="E1446" t="str">
        <f t="shared" si="42"/>
        <v>Sobab/2/6/0</v>
      </c>
      <c r="F1446">
        <v>29</v>
      </c>
    </row>
    <row r="1447" spans="1:6" x14ac:dyDescent="0.2">
      <c r="A1447">
        <v>7</v>
      </c>
      <c r="B1447" t="s">
        <v>81</v>
      </c>
      <c r="C1447">
        <v>0</v>
      </c>
      <c r="D1447">
        <v>1</v>
      </c>
      <c r="E1447" t="str">
        <f t="shared" si="42"/>
        <v>Empedocle/1/7/0</v>
      </c>
      <c r="F1447">
        <v>29</v>
      </c>
    </row>
    <row r="1448" spans="1:6" x14ac:dyDescent="0.2">
      <c r="A1448">
        <v>1</v>
      </c>
      <c r="B1448" t="s">
        <v>14</v>
      </c>
      <c r="C1448">
        <v>1</v>
      </c>
      <c r="D1448">
        <v>16</v>
      </c>
      <c r="E1448" t="str">
        <f t="shared" si="42"/>
        <v>Ramm/16/1/1</v>
      </c>
      <c r="F1448">
        <v>29</v>
      </c>
    </row>
    <row r="1449" spans="1:6" x14ac:dyDescent="0.2">
      <c r="A1449">
        <v>2</v>
      </c>
      <c r="B1449" t="s">
        <v>88</v>
      </c>
      <c r="C1449">
        <v>4</v>
      </c>
      <c r="D1449">
        <v>12</v>
      </c>
      <c r="E1449" t="str">
        <f t="shared" si="42"/>
        <v>Yarael/12/2/4</v>
      </c>
      <c r="F1449">
        <v>29</v>
      </c>
    </row>
    <row r="1450" spans="1:6" x14ac:dyDescent="0.2">
      <c r="A1450">
        <v>3</v>
      </c>
      <c r="B1450" t="s">
        <v>6</v>
      </c>
      <c r="C1450">
        <v>0</v>
      </c>
      <c r="D1450">
        <v>8</v>
      </c>
      <c r="E1450" t="str">
        <f t="shared" si="42"/>
        <v>Pyja/8/3/0</v>
      </c>
      <c r="F1450">
        <v>29</v>
      </c>
    </row>
    <row r="1451" spans="1:6" x14ac:dyDescent="0.2">
      <c r="A1451">
        <v>4</v>
      </c>
      <c r="B1451" t="s">
        <v>65</v>
      </c>
      <c r="C1451">
        <v>0</v>
      </c>
      <c r="D1451">
        <v>4</v>
      </c>
      <c r="E1451" t="str">
        <f t="shared" si="42"/>
        <v>Ripolin/4/4/0</v>
      </c>
      <c r="F1451">
        <v>29</v>
      </c>
    </row>
    <row r="1452" spans="1:6" x14ac:dyDescent="0.2">
      <c r="A1452">
        <v>5</v>
      </c>
      <c r="B1452" t="s">
        <v>454</v>
      </c>
      <c r="C1452">
        <v>0</v>
      </c>
      <c r="D1452">
        <v>2</v>
      </c>
      <c r="E1452" t="str">
        <f t="shared" si="42"/>
        <v>Gibbonfury/2/5/0</v>
      </c>
      <c r="F1452">
        <v>29</v>
      </c>
    </row>
    <row r="1453" spans="1:6" x14ac:dyDescent="0.2">
      <c r="A1453">
        <v>6</v>
      </c>
      <c r="B1453" t="s">
        <v>21</v>
      </c>
      <c r="C1453">
        <v>0</v>
      </c>
      <c r="D1453">
        <v>1</v>
      </c>
      <c r="E1453" t="str">
        <f t="shared" si="42"/>
        <v>Carmin/1/6/0</v>
      </c>
      <c r="F1453">
        <v>29</v>
      </c>
    </row>
    <row r="1454" spans="1:6" x14ac:dyDescent="0.2">
      <c r="A1454">
        <v>1</v>
      </c>
      <c r="B1454" t="s">
        <v>27</v>
      </c>
      <c r="C1454">
        <v>4</v>
      </c>
      <c r="D1454">
        <v>16</v>
      </c>
      <c r="E1454" t="str">
        <f t="shared" si="42"/>
        <v>Mandrake/16/1/4</v>
      </c>
      <c r="F1454">
        <v>29</v>
      </c>
    </row>
    <row r="1455" spans="1:6" x14ac:dyDescent="0.2">
      <c r="A1455">
        <v>2</v>
      </c>
      <c r="B1455" t="s">
        <v>452</v>
      </c>
      <c r="C1455">
        <v>1</v>
      </c>
      <c r="D1455">
        <v>12</v>
      </c>
      <c r="E1455" t="str">
        <f t="shared" si="42"/>
        <v>The Hengover/12/2/1</v>
      </c>
      <c r="F1455">
        <v>29</v>
      </c>
    </row>
    <row r="1456" spans="1:6" x14ac:dyDescent="0.2">
      <c r="A1456">
        <v>3</v>
      </c>
      <c r="B1456" t="s">
        <v>501</v>
      </c>
      <c r="C1456">
        <v>0</v>
      </c>
      <c r="D1456">
        <v>8</v>
      </c>
      <c r="E1456" t="str">
        <f t="shared" si="42"/>
        <v>Poisson Pilote/8/3/0</v>
      </c>
      <c r="F1456">
        <v>29</v>
      </c>
    </row>
    <row r="1457" spans="1:6" x14ac:dyDescent="0.2">
      <c r="A1457">
        <v>4</v>
      </c>
      <c r="B1457" t="s">
        <v>15</v>
      </c>
      <c r="C1457">
        <v>0</v>
      </c>
      <c r="D1457">
        <v>4</v>
      </c>
      <c r="E1457" t="str">
        <f t="shared" si="42"/>
        <v>LAAtof/4/4/0</v>
      </c>
      <c r="F1457">
        <v>29</v>
      </c>
    </row>
    <row r="1458" spans="1:6" x14ac:dyDescent="0.2">
      <c r="A1458">
        <v>5</v>
      </c>
      <c r="B1458" t="s">
        <v>500</v>
      </c>
      <c r="C1458">
        <v>0</v>
      </c>
      <c r="D1458">
        <v>2</v>
      </c>
      <c r="E1458" t="str">
        <f t="shared" si="42"/>
        <v>Kheops/2/5/0</v>
      </c>
      <c r="F1458">
        <v>29</v>
      </c>
    </row>
    <row r="1459" spans="1:6" x14ac:dyDescent="0.2">
      <c r="A1459">
        <v>6</v>
      </c>
      <c r="B1459" t="s">
        <v>493</v>
      </c>
      <c r="C1459">
        <v>0</v>
      </c>
      <c r="D1459">
        <v>1</v>
      </c>
      <c r="E1459" t="str">
        <f t="shared" si="42"/>
        <v>Rockatou/1/6/0</v>
      </c>
      <c r="F1459">
        <v>29</v>
      </c>
    </row>
    <row r="1460" spans="1:6" x14ac:dyDescent="0.2">
      <c r="A1460">
        <v>1</v>
      </c>
      <c r="B1460" t="s">
        <v>48</v>
      </c>
      <c r="C1460">
        <v>5</v>
      </c>
      <c r="D1460">
        <v>17</v>
      </c>
      <c r="E1460" t="str">
        <f t="shared" si="42"/>
        <v>Pintu/17/1/5</v>
      </c>
      <c r="F1460">
        <v>30</v>
      </c>
    </row>
    <row r="1461" spans="1:6" x14ac:dyDescent="0.2">
      <c r="A1461">
        <v>2</v>
      </c>
      <c r="B1461" t="s">
        <v>558</v>
      </c>
      <c r="C1461">
        <v>1</v>
      </c>
      <c r="D1461">
        <v>13</v>
      </c>
      <c r="E1461" t="str">
        <f t="shared" si="42"/>
        <v>Light/13/2/1</v>
      </c>
      <c r="F1461">
        <v>30</v>
      </c>
    </row>
    <row r="1462" spans="1:6" x14ac:dyDescent="0.2">
      <c r="A1462">
        <v>3</v>
      </c>
      <c r="B1462" t="s">
        <v>509</v>
      </c>
      <c r="C1462">
        <v>0</v>
      </c>
      <c r="D1462">
        <v>9</v>
      </c>
      <c r="E1462" t="str">
        <f t="shared" si="42"/>
        <v>Gibouille/9/3/0</v>
      </c>
      <c r="F1462">
        <v>30</v>
      </c>
    </row>
    <row r="1463" spans="1:6" x14ac:dyDescent="0.2">
      <c r="A1463">
        <v>4</v>
      </c>
      <c r="B1463" t="s">
        <v>506</v>
      </c>
      <c r="C1463">
        <v>0</v>
      </c>
      <c r="D1463">
        <v>5</v>
      </c>
      <c r="E1463" t="str">
        <f t="shared" si="42"/>
        <v>Zubbaz/5/4/0</v>
      </c>
      <c r="F1463">
        <v>30</v>
      </c>
    </row>
    <row r="1464" spans="1:6" x14ac:dyDescent="0.2">
      <c r="A1464">
        <v>5</v>
      </c>
      <c r="B1464" t="s">
        <v>35</v>
      </c>
      <c r="C1464">
        <v>0</v>
      </c>
      <c r="D1464">
        <v>3</v>
      </c>
      <c r="E1464" t="str">
        <f t="shared" si="42"/>
        <v>JeanMichelTiming/3/5/0</v>
      </c>
      <c r="F1464">
        <v>30</v>
      </c>
    </row>
    <row r="1465" spans="1:6" x14ac:dyDescent="0.2">
      <c r="A1465">
        <v>6</v>
      </c>
      <c r="B1465" t="s">
        <v>507</v>
      </c>
      <c r="C1465">
        <v>0</v>
      </c>
      <c r="D1465">
        <v>2</v>
      </c>
      <c r="E1465" t="str">
        <f t="shared" si="42"/>
        <v>Losogre/2/6/0</v>
      </c>
      <c r="F1465">
        <v>30</v>
      </c>
    </row>
    <row r="1466" spans="1:6" x14ac:dyDescent="0.2">
      <c r="A1466">
        <v>7</v>
      </c>
      <c r="B1466" t="s">
        <v>25</v>
      </c>
      <c r="C1466">
        <v>0</v>
      </c>
      <c r="D1466">
        <v>1</v>
      </c>
      <c r="E1466" t="str">
        <f t="shared" si="42"/>
        <v>Claudius/1/7/0</v>
      </c>
      <c r="F1466">
        <v>30</v>
      </c>
    </row>
    <row r="1467" spans="1:6" x14ac:dyDescent="0.2">
      <c r="A1467">
        <v>1</v>
      </c>
      <c r="B1467" t="s">
        <v>15</v>
      </c>
      <c r="C1467">
        <v>3</v>
      </c>
      <c r="D1467">
        <v>16</v>
      </c>
      <c r="E1467" t="str">
        <f t="shared" si="42"/>
        <v>LAAtof/16/1/3</v>
      </c>
      <c r="F1467">
        <v>30</v>
      </c>
    </row>
    <row r="1468" spans="1:6" x14ac:dyDescent="0.2">
      <c r="A1468">
        <v>2</v>
      </c>
      <c r="B1468" t="s">
        <v>69</v>
      </c>
      <c r="C1468">
        <v>2</v>
      </c>
      <c r="D1468">
        <v>12</v>
      </c>
      <c r="E1468" t="str">
        <f t="shared" si="42"/>
        <v>Catherine/12/2/2</v>
      </c>
      <c r="F1468">
        <v>30</v>
      </c>
    </row>
    <row r="1469" spans="1:6" x14ac:dyDescent="0.2">
      <c r="A1469">
        <v>3</v>
      </c>
      <c r="B1469" t="s">
        <v>452</v>
      </c>
      <c r="C1469">
        <v>0</v>
      </c>
      <c r="D1469">
        <v>8</v>
      </c>
      <c r="E1469" t="str">
        <f t="shared" si="42"/>
        <v>The Hengover/8/3/0</v>
      </c>
      <c r="F1469">
        <v>30</v>
      </c>
    </row>
    <row r="1470" spans="1:6" x14ac:dyDescent="0.2">
      <c r="A1470">
        <v>4</v>
      </c>
      <c r="B1470" t="s">
        <v>14</v>
      </c>
      <c r="C1470">
        <v>0</v>
      </c>
      <c r="D1470">
        <v>4</v>
      </c>
      <c r="E1470" t="str">
        <f t="shared" si="42"/>
        <v>Ramm/4/4/0</v>
      </c>
      <c r="F1470">
        <v>30</v>
      </c>
    </row>
    <row r="1471" spans="1:6" x14ac:dyDescent="0.2">
      <c r="A1471">
        <v>5</v>
      </c>
      <c r="B1471" t="s">
        <v>502</v>
      </c>
      <c r="C1471">
        <v>0</v>
      </c>
      <c r="D1471">
        <v>2</v>
      </c>
      <c r="E1471" t="str">
        <f t="shared" ref="E1471:E1534" si="43">B1471&amp;"/"&amp;D1471&amp;"/"&amp;A1471&amp;"/"&amp;C1471</f>
        <v>Sobab/2/5/0</v>
      </c>
      <c r="F1471">
        <v>30</v>
      </c>
    </row>
    <row r="1472" spans="1:6" x14ac:dyDescent="0.2">
      <c r="A1472">
        <v>6</v>
      </c>
      <c r="B1472" t="s">
        <v>557</v>
      </c>
      <c r="C1472">
        <v>0</v>
      </c>
      <c r="D1472">
        <v>1</v>
      </c>
      <c r="E1472" t="str">
        <f t="shared" si="43"/>
        <v>Madridal/1/6/0</v>
      </c>
      <c r="F1472">
        <v>30</v>
      </c>
    </row>
    <row r="1473" spans="1:6" x14ac:dyDescent="0.2">
      <c r="A1473">
        <v>1</v>
      </c>
      <c r="B1473" t="s">
        <v>27</v>
      </c>
      <c r="C1473">
        <v>3</v>
      </c>
      <c r="D1473">
        <v>16</v>
      </c>
      <c r="E1473" t="str">
        <f t="shared" si="43"/>
        <v>Mandrake/16/1/3</v>
      </c>
      <c r="F1473">
        <v>30</v>
      </c>
    </row>
    <row r="1474" spans="1:6" x14ac:dyDescent="0.2">
      <c r="A1474">
        <v>2</v>
      </c>
      <c r="B1474" t="s">
        <v>280</v>
      </c>
      <c r="C1474">
        <v>2</v>
      </c>
      <c r="D1474">
        <v>12</v>
      </c>
      <c r="E1474" t="str">
        <f t="shared" si="43"/>
        <v>Delgres/12/2/2</v>
      </c>
      <c r="F1474">
        <v>30</v>
      </c>
    </row>
    <row r="1475" spans="1:6" x14ac:dyDescent="0.2">
      <c r="A1475">
        <v>3</v>
      </c>
      <c r="B1475" t="s">
        <v>74</v>
      </c>
      <c r="C1475">
        <v>0</v>
      </c>
      <c r="D1475">
        <v>8</v>
      </c>
      <c r="E1475" t="str">
        <f t="shared" si="43"/>
        <v>PatB/8/3/0</v>
      </c>
      <c r="F1475">
        <v>30</v>
      </c>
    </row>
    <row r="1476" spans="1:6" x14ac:dyDescent="0.2">
      <c r="A1476">
        <v>4</v>
      </c>
      <c r="B1476" t="s">
        <v>46</v>
      </c>
      <c r="C1476">
        <v>0</v>
      </c>
      <c r="D1476">
        <v>4</v>
      </c>
      <c r="E1476" t="str">
        <f t="shared" si="43"/>
        <v>Jérôme/4/4/0</v>
      </c>
      <c r="F1476">
        <v>30</v>
      </c>
    </row>
    <row r="1477" spans="1:6" x14ac:dyDescent="0.2">
      <c r="A1477">
        <v>5</v>
      </c>
      <c r="B1477" t="s">
        <v>19</v>
      </c>
      <c r="C1477">
        <v>0</v>
      </c>
      <c r="D1477">
        <v>2</v>
      </c>
      <c r="E1477" t="str">
        <f t="shared" si="43"/>
        <v>Giobeck/2/5/0</v>
      </c>
      <c r="F1477">
        <v>30</v>
      </c>
    </row>
    <row r="1478" spans="1:6" x14ac:dyDescent="0.2">
      <c r="A1478">
        <v>6</v>
      </c>
      <c r="B1478" t="s">
        <v>485</v>
      </c>
      <c r="C1478">
        <v>0</v>
      </c>
      <c r="D1478">
        <v>1</v>
      </c>
      <c r="E1478" t="str">
        <f t="shared" si="43"/>
        <v>Solucky/1/6/0</v>
      </c>
      <c r="F1478">
        <v>30</v>
      </c>
    </row>
    <row r="1479" spans="1:6" x14ac:dyDescent="0.2">
      <c r="A1479">
        <v>1</v>
      </c>
      <c r="B1479" t="s">
        <v>9</v>
      </c>
      <c r="C1479">
        <v>2</v>
      </c>
      <c r="D1479">
        <v>17</v>
      </c>
      <c r="E1479" t="str">
        <f t="shared" si="43"/>
        <v>K1/17/1/2</v>
      </c>
      <c r="F1479">
        <v>30</v>
      </c>
    </row>
    <row r="1480" spans="1:6" x14ac:dyDescent="0.2">
      <c r="A1480">
        <v>2</v>
      </c>
      <c r="B1480" t="s">
        <v>504</v>
      </c>
      <c r="C1480">
        <v>3</v>
      </c>
      <c r="D1480">
        <v>13</v>
      </c>
      <c r="E1480" t="str">
        <f t="shared" si="43"/>
        <v>Zizou/13/2/3</v>
      </c>
      <c r="F1480">
        <v>30</v>
      </c>
    </row>
    <row r="1481" spans="1:6" x14ac:dyDescent="0.2">
      <c r="A1481">
        <v>3</v>
      </c>
      <c r="B1481" t="s">
        <v>81</v>
      </c>
      <c r="C1481">
        <v>1</v>
      </c>
      <c r="D1481">
        <v>9</v>
      </c>
      <c r="E1481" t="str">
        <f t="shared" si="43"/>
        <v>Empedocle/9/3/1</v>
      </c>
      <c r="F1481">
        <v>30</v>
      </c>
    </row>
    <row r="1482" spans="1:6" x14ac:dyDescent="0.2">
      <c r="A1482">
        <v>4</v>
      </c>
      <c r="B1482" t="s">
        <v>88</v>
      </c>
      <c r="C1482">
        <v>0</v>
      </c>
      <c r="D1482">
        <v>5</v>
      </c>
      <c r="E1482" t="str">
        <f t="shared" si="43"/>
        <v>Yarael/5/4/0</v>
      </c>
      <c r="F1482">
        <v>30</v>
      </c>
    </row>
    <row r="1483" spans="1:6" x14ac:dyDescent="0.2">
      <c r="A1483">
        <v>5</v>
      </c>
      <c r="B1483" t="s">
        <v>505</v>
      </c>
      <c r="C1483">
        <v>0</v>
      </c>
      <c r="D1483">
        <v>3</v>
      </c>
      <c r="E1483" t="str">
        <f t="shared" si="43"/>
        <v>Mams/3/5/0</v>
      </c>
      <c r="F1483">
        <v>30</v>
      </c>
    </row>
    <row r="1484" spans="1:6" x14ac:dyDescent="0.2">
      <c r="A1484">
        <v>6</v>
      </c>
      <c r="B1484" t="s">
        <v>534</v>
      </c>
      <c r="C1484">
        <v>0</v>
      </c>
      <c r="D1484">
        <v>2</v>
      </c>
      <c r="E1484" t="str">
        <f t="shared" si="43"/>
        <v>JC/2/6/0</v>
      </c>
      <c r="F1484">
        <v>30</v>
      </c>
    </row>
    <row r="1485" spans="1:6" x14ac:dyDescent="0.2">
      <c r="A1485">
        <v>7</v>
      </c>
      <c r="B1485" t="s">
        <v>42</v>
      </c>
      <c r="C1485">
        <v>0</v>
      </c>
      <c r="D1485">
        <v>1</v>
      </c>
      <c r="E1485" t="str">
        <f t="shared" si="43"/>
        <v>Claptou/1/7/0</v>
      </c>
      <c r="F1485">
        <v>30</v>
      </c>
    </row>
    <row r="1486" spans="1:6" x14ac:dyDescent="0.2">
      <c r="A1486">
        <v>1</v>
      </c>
      <c r="B1486" t="s">
        <v>516</v>
      </c>
      <c r="C1486">
        <v>4</v>
      </c>
      <c r="D1486">
        <v>17</v>
      </c>
      <c r="E1486" t="str">
        <f t="shared" si="43"/>
        <v>Tenko/17/1/4</v>
      </c>
      <c r="F1486">
        <v>30</v>
      </c>
    </row>
    <row r="1487" spans="1:6" x14ac:dyDescent="0.2">
      <c r="A1487">
        <v>2</v>
      </c>
      <c r="B1487" t="s">
        <v>521</v>
      </c>
      <c r="C1487">
        <v>2</v>
      </c>
      <c r="D1487">
        <v>13</v>
      </c>
      <c r="E1487" t="str">
        <f t="shared" si="43"/>
        <v>Jaden/13/2/2</v>
      </c>
      <c r="F1487">
        <v>30</v>
      </c>
    </row>
    <row r="1488" spans="1:6" x14ac:dyDescent="0.2">
      <c r="A1488">
        <v>3</v>
      </c>
      <c r="B1488" t="s">
        <v>32</v>
      </c>
      <c r="C1488">
        <v>0</v>
      </c>
      <c r="D1488">
        <v>9</v>
      </c>
      <c r="E1488" t="str">
        <f t="shared" si="43"/>
        <v>OlivierN92/9/3/0</v>
      </c>
      <c r="F1488">
        <v>30</v>
      </c>
    </row>
    <row r="1489" spans="1:6" x14ac:dyDescent="0.2">
      <c r="A1489">
        <v>4</v>
      </c>
      <c r="B1489" t="s">
        <v>66</v>
      </c>
      <c r="C1489">
        <v>0</v>
      </c>
      <c r="D1489">
        <v>5</v>
      </c>
      <c r="E1489" t="str">
        <f t="shared" si="43"/>
        <v>Ad Vitam/5/4/0</v>
      </c>
      <c r="F1489">
        <v>30</v>
      </c>
    </row>
    <row r="1490" spans="1:6" x14ac:dyDescent="0.2">
      <c r="A1490">
        <v>5</v>
      </c>
      <c r="B1490" t="s">
        <v>500</v>
      </c>
      <c r="C1490">
        <v>0</v>
      </c>
      <c r="D1490">
        <v>3</v>
      </c>
      <c r="E1490" t="str">
        <f t="shared" si="43"/>
        <v>Kheops/3/5/0</v>
      </c>
      <c r="F1490">
        <v>30</v>
      </c>
    </row>
    <row r="1491" spans="1:6" x14ac:dyDescent="0.2">
      <c r="A1491">
        <v>6</v>
      </c>
      <c r="B1491" t="s">
        <v>535</v>
      </c>
      <c r="C1491">
        <v>0</v>
      </c>
      <c r="D1491">
        <v>2</v>
      </c>
      <c r="E1491" t="str">
        <f t="shared" si="43"/>
        <v>TheRealWill/2/6/0</v>
      </c>
      <c r="F1491">
        <v>30</v>
      </c>
    </row>
    <row r="1492" spans="1:6" x14ac:dyDescent="0.2">
      <c r="A1492">
        <v>7</v>
      </c>
      <c r="B1492" t="s">
        <v>479</v>
      </c>
      <c r="C1492">
        <v>0</v>
      </c>
      <c r="D1492">
        <v>1</v>
      </c>
      <c r="E1492" t="str">
        <f t="shared" si="43"/>
        <v>Salender/1/7/0</v>
      </c>
      <c r="F1492">
        <v>30</v>
      </c>
    </row>
    <row r="1493" spans="1:6" x14ac:dyDescent="0.2">
      <c r="A1493">
        <v>1</v>
      </c>
      <c r="B1493" t="s">
        <v>501</v>
      </c>
      <c r="C1493">
        <v>3</v>
      </c>
      <c r="D1493">
        <v>17</v>
      </c>
      <c r="E1493" t="str">
        <f t="shared" si="43"/>
        <v>Poisson Pilote/17/1/3</v>
      </c>
      <c r="F1493">
        <v>30</v>
      </c>
    </row>
    <row r="1494" spans="1:6" x14ac:dyDescent="0.2">
      <c r="A1494">
        <v>2</v>
      </c>
      <c r="B1494" t="s">
        <v>493</v>
      </c>
      <c r="C1494">
        <v>1</v>
      </c>
      <c r="D1494">
        <v>13</v>
      </c>
      <c r="E1494" t="str">
        <f t="shared" si="43"/>
        <v>Rockatou/13/2/1</v>
      </c>
      <c r="F1494">
        <v>30</v>
      </c>
    </row>
    <row r="1495" spans="1:6" x14ac:dyDescent="0.2">
      <c r="A1495">
        <v>3</v>
      </c>
      <c r="B1495" t="s">
        <v>490</v>
      </c>
      <c r="C1495">
        <v>1</v>
      </c>
      <c r="D1495">
        <v>9</v>
      </c>
      <c r="E1495" t="str">
        <f t="shared" si="43"/>
        <v>DernierPli/9/3/1</v>
      </c>
      <c r="F1495">
        <v>30</v>
      </c>
    </row>
    <row r="1496" spans="1:6" x14ac:dyDescent="0.2">
      <c r="A1496">
        <v>4</v>
      </c>
      <c r="B1496" t="s">
        <v>6</v>
      </c>
      <c r="C1496">
        <v>0</v>
      </c>
      <c r="D1496">
        <v>5</v>
      </c>
      <c r="E1496" t="str">
        <f t="shared" si="43"/>
        <v>Pyja/5/4/0</v>
      </c>
      <c r="F1496">
        <v>30</v>
      </c>
    </row>
    <row r="1497" spans="1:6" x14ac:dyDescent="0.2">
      <c r="A1497">
        <v>5</v>
      </c>
      <c r="B1497" t="s">
        <v>40</v>
      </c>
      <c r="C1497">
        <v>1</v>
      </c>
      <c r="D1497">
        <v>3</v>
      </c>
      <c r="E1497" t="str">
        <f t="shared" si="43"/>
        <v>Lén@/3/5/1</v>
      </c>
      <c r="F1497">
        <v>30</v>
      </c>
    </row>
    <row r="1498" spans="1:6" x14ac:dyDescent="0.2">
      <c r="A1498">
        <v>6</v>
      </c>
      <c r="B1498" t="s">
        <v>55</v>
      </c>
      <c r="C1498">
        <v>0</v>
      </c>
      <c r="D1498">
        <v>2</v>
      </c>
      <c r="E1498" t="str">
        <f t="shared" si="43"/>
        <v>Bounette/2/6/0</v>
      </c>
      <c r="F1498">
        <v>30</v>
      </c>
    </row>
    <row r="1499" spans="1:6" x14ac:dyDescent="0.2">
      <c r="A1499">
        <v>7</v>
      </c>
      <c r="B1499" t="s">
        <v>345</v>
      </c>
      <c r="C1499">
        <v>0</v>
      </c>
      <c r="D1499">
        <v>1</v>
      </c>
      <c r="E1499" t="str">
        <f t="shared" si="43"/>
        <v>Thibaultp75/1/7/0</v>
      </c>
      <c r="F1499">
        <v>30</v>
      </c>
    </row>
    <row r="1500" spans="1:6" x14ac:dyDescent="0.2">
      <c r="A1500">
        <v>1</v>
      </c>
      <c r="B1500" t="s">
        <v>512</v>
      </c>
      <c r="C1500">
        <v>4</v>
      </c>
      <c r="D1500">
        <v>16</v>
      </c>
      <c r="E1500" t="str">
        <f t="shared" si="43"/>
        <v>Fishtro/16/1/4</v>
      </c>
      <c r="F1500">
        <v>30</v>
      </c>
    </row>
    <row r="1501" spans="1:6" x14ac:dyDescent="0.2">
      <c r="A1501">
        <v>2</v>
      </c>
      <c r="B1501" t="s">
        <v>552</v>
      </c>
      <c r="C1501">
        <v>0</v>
      </c>
      <c r="D1501">
        <v>12</v>
      </c>
      <c r="E1501" t="str">
        <f t="shared" si="43"/>
        <v>Snake1702/12/2/0</v>
      </c>
      <c r="F1501">
        <v>30</v>
      </c>
    </row>
    <row r="1502" spans="1:6" x14ac:dyDescent="0.2">
      <c r="A1502">
        <v>3</v>
      </c>
      <c r="B1502" t="s">
        <v>503</v>
      </c>
      <c r="C1502">
        <v>1</v>
      </c>
      <c r="D1502">
        <v>8</v>
      </c>
      <c r="E1502" t="str">
        <f t="shared" si="43"/>
        <v>Yaltar/8/3/1</v>
      </c>
      <c r="F1502">
        <v>30</v>
      </c>
    </row>
    <row r="1503" spans="1:6" x14ac:dyDescent="0.2">
      <c r="A1503">
        <v>4</v>
      </c>
      <c r="B1503" t="s">
        <v>73</v>
      </c>
      <c r="C1503">
        <v>0</v>
      </c>
      <c r="D1503">
        <v>4</v>
      </c>
      <c r="E1503" t="str">
        <f t="shared" si="43"/>
        <v>Flem/4/4/0</v>
      </c>
      <c r="F1503">
        <v>30</v>
      </c>
    </row>
    <row r="1504" spans="1:6" x14ac:dyDescent="0.2">
      <c r="A1504">
        <v>5</v>
      </c>
      <c r="B1504" t="s">
        <v>556</v>
      </c>
      <c r="C1504">
        <v>0</v>
      </c>
      <c r="D1504">
        <v>2</v>
      </c>
      <c r="E1504" t="str">
        <f t="shared" si="43"/>
        <v>Ankolos/2/5/0</v>
      </c>
      <c r="F1504">
        <v>30</v>
      </c>
    </row>
    <row r="1505" spans="1:6" x14ac:dyDescent="0.2">
      <c r="A1505">
        <v>6</v>
      </c>
      <c r="B1505" t="s">
        <v>87</v>
      </c>
      <c r="C1505">
        <v>0</v>
      </c>
      <c r="D1505">
        <v>1</v>
      </c>
      <c r="E1505" t="str">
        <f t="shared" si="43"/>
        <v>Proph@ne/1/6/0</v>
      </c>
      <c r="F1505">
        <v>30</v>
      </c>
    </row>
    <row r="1506" spans="1:6" x14ac:dyDescent="0.2">
      <c r="A1506">
        <v>1</v>
      </c>
      <c r="B1506" t="s">
        <v>554</v>
      </c>
      <c r="C1506">
        <v>4</v>
      </c>
      <c r="D1506">
        <v>16</v>
      </c>
      <c r="E1506" t="str">
        <f t="shared" si="43"/>
        <v>ScoNix/16/1/4</v>
      </c>
      <c r="F1506">
        <v>30</v>
      </c>
    </row>
    <row r="1507" spans="1:6" x14ac:dyDescent="0.2">
      <c r="A1507">
        <v>2</v>
      </c>
      <c r="B1507" t="s">
        <v>75</v>
      </c>
      <c r="C1507">
        <v>1</v>
      </c>
      <c r="D1507">
        <v>12</v>
      </c>
      <c r="E1507" t="str">
        <f t="shared" si="43"/>
        <v>Michelbey/12/2/1</v>
      </c>
      <c r="F1507">
        <v>30</v>
      </c>
    </row>
    <row r="1508" spans="1:6" x14ac:dyDescent="0.2">
      <c r="A1508">
        <v>3</v>
      </c>
      <c r="B1508" t="s">
        <v>475</v>
      </c>
      <c r="C1508">
        <v>0</v>
      </c>
      <c r="D1508">
        <v>8</v>
      </c>
      <c r="E1508" t="str">
        <f t="shared" si="43"/>
        <v>La Bavure/8/3/0</v>
      </c>
      <c r="F1508">
        <v>30</v>
      </c>
    </row>
    <row r="1509" spans="1:6" x14ac:dyDescent="0.2">
      <c r="A1509">
        <v>4</v>
      </c>
      <c r="B1509" t="s">
        <v>21</v>
      </c>
      <c r="C1509">
        <v>0</v>
      </c>
      <c r="D1509">
        <v>4</v>
      </c>
      <c r="E1509" t="str">
        <f t="shared" si="43"/>
        <v>Carmin/4/4/0</v>
      </c>
      <c r="F1509">
        <v>30</v>
      </c>
    </row>
    <row r="1510" spans="1:6" x14ac:dyDescent="0.2">
      <c r="A1510">
        <v>5</v>
      </c>
      <c r="B1510" t="s">
        <v>65</v>
      </c>
      <c r="C1510">
        <v>0</v>
      </c>
      <c r="D1510">
        <v>2</v>
      </c>
      <c r="E1510" t="str">
        <f t="shared" si="43"/>
        <v>Ripolin/2/5/0</v>
      </c>
      <c r="F1510">
        <v>30</v>
      </c>
    </row>
    <row r="1511" spans="1:6" x14ac:dyDescent="0.2">
      <c r="A1511">
        <v>6</v>
      </c>
      <c r="B1511" t="s">
        <v>476</v>
      </c>
      <c r="C1511">
        <v>0</v>
      </c>
      <c r="D1511">
        <v>1</v>
      </c>
      <c r="E1511" t="str">
        <f t="shared" si="43"/>
        <v>MegaSouche/1/6/0</v>
      </c>
      <c r="F1511">
        <v>30</v>
      </c>
    </row>
    <row r="1512" spans="1:6" x14ac:dyDescent="0.2">
      <c r="A1512">
        <v>1</v>
      </c>
      <c r="B1512" t="s">
        <v>512</v>
      </c>
      <c r="C1512">
        <v>4</v>
      </c>
      <c r="D1512">
        <v>16</v>
      </c>
      <c r="E1512" t="str">
        <f t="shared" si="43"/>
        <v>Fishtro/16/1/4</v>
      </c>
      <c r="F1512">
        <v>31</v>
      </c>
    </row>
    <row r="1513" spans="1:6" x14ac:dyDescent="0.2">
      <c r="A1513">
        <v>2</v>
      </c>
      <c r="B1513" t="s">
        <v>345</v>
      </c>
      <c r="C1513">
        <v>0</v>
      </c>
      <c r="D1513">
        <v>12</v>
      </c>
      <c r="E1513" t="str">
        <f t="shared" si="43"/>
        <v>Thibaultp75/12/2/0</v>
      </c>
      <c r="F1513">
        <v>31</v>
      </c>
    </row>
    <row r="1514" spans="1:6" x14ac:dyDescent="0.2">
      <c r="A1514">
        <v>3</v>
      </c>
      <c r="B1514" t="s">
        <v>46</v>
      </c>
      <c r="C1514">
        <v>1</v>
      </c>
      <c r="D1514">
        <v>8</v>
      </c>
      <c r="E1514" t="str">
        <f t="shared" si="43"/>
        <v>Jérôme/8/3/1</v>
      </c>
      <c r="F1514">
        <v>31</v>
      </c>
    </row>
    <row r="1515" spans="1:6" x14ac:dyDescent="0.2">
      <c r="A1515">
        <v>4</v>
      </c>
      <c r="B1515" t="s">
        <v>525</v>
      </c>
      <c r="C1515">
        <v>0</v>
      </c>
      <c r="D1515">
        <v>4</v>
      </c>
      <c r="E1515" t="str">
        <f t="shared" si="43"/>
        <v>Freddie/4/4/0</v>
      </c>
      <c r="F1515">
        <v>31</v>
      </c>
    </row>
    <row r="1516" spans="1:6" x14ac:dyDescent="0.2">
      <c r="A1516">
        <v>5</v>
      </c>
      <c r="B1516" t="s">
        <v>485</v>
      </c>
      <c r="C1516">
        <v>0</v>
      </c>
      <c r="D1516">
        <v>2</v>
      </c>
      <c r="E1516" t="str">
        <f t="shared" si="43"/>
        <v>Solucky/2/5/0</v>
      </c>
      <c r="F1516">
        <v>31</v>
      </c>
    </row>
    <row r="1517" spans="1:6" x14ac:dyDescent="0.2">
      <c r="A1517">
        <v>6</v>
      </c>
      <c r="B1517" t="s">
        <v>535</v>
      </c>
      <c r="C1517">
        <v>0</v>
      </c>
      <c r="D1517">
        <v>1</v>
      </c>
      <c r="E1517" t="str">
        <f t="shared" si="43"/>
        <v>TheRealWill/1/6/0</v>
      </c>
      <c r="F1517">
        <v>31</v>
      </c>
    </row>
    <row r="1518" spans="1:6" x14ac:dyDescent="0.2">
      <c r="A1518">
        <v>1</v>
      </c>
      <c r="B1518" t="s">
        <v>554</v>
      </c>
      <c r="C1518">
        <v>2</v>
      </c>
      <c r="D1518">
        <v>16</v>
      </c>
      <c r="E1518" t="str">
        <f t="shared" si="43"/>
        <v>ScoNix/16/1/2</v>
      </c>
      <c r="F1518">
        <v>31</v>
      </c>
    </row>
    <row r="1519" spans="1:6" x14ac:dyDescent="0.2">
      <c r="A1519">
        <v>2</v>
      </c>
      <c r="B1519" t="s">
        <v>9</v>
      </c>
      <c r="C1519">
        <v>2</v>
      </c>
      <c r="D1519">
        <v>12</v>
      </c>
      <c r="E1519" t="str">
        <f t="shared" si="43"/>
        <v>K1/12/2/2</v>
      </c>
      <c r="F1519">
        <v>31</v>
      </c>
    </row>
    <row r="1520" spans="1:6" x14ac:dyDescent="0.2">
      <c r="A1520">
        <v>3</v>
      </c>
      <c r="B1520" t="s">
        <v>35</v>
      </c>
      <c r="C1520">
        <v>1</v>
      </c>
      <c r="D1520">
        <v>8</v>
      </c>
      <c r="E1520" t="str">
        <f t="shared" si="43"/>
        <v>JeanMichelTiming/8/3/1</v>
      </c>
      <c r="F1520">
        <v>31</v>
      </c>
    </row>
    <row r="1521" spans="1:6" x14ac:dyDescent="0.2">
      <c r="A1521">
        <v>4</v>
      </c>
      <c r="B1521" t="s">
        <v>493</v>
      </c>
      <c r="C1521">
        <v>0</v>
      </c>
      <c r="D1521">
        <v>4</v>
      </c>
      <c r="E1521" t="str">
        <f t="shared" si="43"/>
        <v>Rockatou/4/4/0</v>
      </c>
      <c r="F1521">
        <v>31</v>
      </c>
    </row>
    <row r="1522" spans="1:6" x14ac:dyDescent="0.2">
      <c r="A1522">
        <v>5</v>
      </c>
      <c r="B1522" t="s">
        <v>42</v>
      </c>
      <c r="C1522">
        <v>0</v>
      </c>
      <c r="D1522">
        <v>2</v>
      </c>
      <c r="E1522" t="str">
        <f t="shared" si="43"/>
        <v>Claptou/2/5/0</v>
      </c>
      <c r="F1522">
        <v>31</v>
      </c>
    </row>
    <row r="1523" spans="1:6" x14ac:dyDescent="0.2">
      <c r="A1523">
        <v>6</v>
      </c>
      <c r="B1523" t="s">
        <v>516</v>
      </c>
      <c r="C1523">
        <v>0</v>
      </c>
      <c r="D1523">
        <v>1</v>
      </c>
      <c r="E1523" t="str">
        <f t="shared" si="43"/>
        <v>Tenko/1/6/0</v>
      </c>
      <c r="F1523">
        <v>31</v>
      </c>
    </row>
    <row r="1524" spans="1:6" x14ac:dyDescent="0.2">
      <c r="A1524">
        <v>1</v>
      </c>
      <c r="B1524" t="s">
        <v>61</v>
      </c>
      <c r="C1524">
        <v>2</v>
      </c>
      <c r="D1524">
        <v>16</v>
      </c>
      <c r="E1524" t="str">
        <f t="shared" si="43"/>
        <v>Kri-lin/16/1/2</v>
      </c>
      <c r="F1524">
        <v>31</v>
      </c>
    </row>
    <row r="1525" spans="1:6" x14ac:dyDescent="0.2">
      <c r="A1525">
        <v>2</v>
      </c>
      <c r="B1525" t="s">
        <v>14</v>
      </c>
      <c r="C1525">
        <v>1</v>
      </c>
      <c r="D1525">
        <v>12</v>
      </c>
      <c r="E1525" t="str">
        <f t="shared" si="43"/>
        <v>Ramm/12/2/1</v>
      </c>
      <c r="F1525">
        <v>31</v>
      </c>
    </row>
    <row r="1526" spans="1:6" x14ac:dyDescent="0.2">
      <c r="A1526">
        <v>3</v>
      </c>
      <c r="B1526" t="s">
        <v>55</v>
      </c>
      <c r="C1526">
        <v>2</v>
      </c>
      <c r="D1526">
        <v>8</v>
      </c>
      <c r="E1526" t="str">
        <f t="shared" si="43"/>
        <v>Bounette/8/3/2</v>
      </c>
      <c r="F1526">
        <v>31</v>
      </c>
    </row>
    <row r="1527" spans="1:6" x14ac:dyDescent="0.2">
      <c r="A1527">
        <v>4</v>
      </c>
      <c r="B1527" t="s">
        <v>69</v>
      </c>
      <c r="C1527">
        <v>0</v>
      </c>
      <c r="D1527">
        <v>4</v>
      </c>
      <c r="E1527" t="str">
        <f t="shared" si="43"/>
        <v>Catherine/4/4/0</v>
      </c>
      <c r="F1527">
        <v>31</v>
      </c>
    </row>
    <row r="1528" spans="1:6" x14ac:dyDescent="0.2">
      <c r="A1528">
        <v>5</v>
      </c>
      <c r="B1528" t="s">
        <v>479</v>
      </c>
      <c r="C1528">
        <v>0</v>
      </c>
      <c r="D1528">
        <v>2</v>
      </c>
      <c r="E1528" t="str">
        <f t="shared" si="43"/>
        <v>Salender/2/5/0</v>
      </c>
      <c r="F1528">
        <v>31</v>
      </c>
    </row>
    <row r="1529" spans="1:6" x14ac:dyDescent="0.2">
      <c r="A1529">
        <v>6</v>
      </c>
      <c r="B1529" t="s">
        <v>75</v>
      </c>
      <c r="C1529">
        <v>0</v>
      </c>
      <c r="D1529">
        <v>1</v>
      </c>
      <c r="E1529" t="str">
        <f t="shared" si="43"/>
        <v>Michelbey/1/6/0</v>
      </c>
      <c r="F1529">
        <v>31</v>
      </c>
    </row>
    <row r="1530" spans="1:6" x14ac:dyDescent="0.2">
      <c r="A1530">
        <v>1</v>
      </c>
      <c r="B1530" t="s">
        <v>558</v>
      </c>
      <c r="C1530">
        <v>4</v>
      </c>
      <c r="D1530">
        <v>16</v>
      </c>
      <c r="E1530" t="str">
        <f t="shared" si="43"/>
        <v>Light/16/1/4</v>
      </c>
      <c r="F1530">
        <v>31</v>
      </c>
    </row>
    <row r="1531" spans="1:6" x14ac:dyDescent="0.2">
      <c r="A1531">
        <v>2</v>
      </c>
      <c r="B1531" t="s">
        <v>534</v>
      </c>
      <c r="C1531">
        <v>1</v>
      </c>
      <c r="D1531">
        <v>12</v>
      </c>
      <c r="E1531" t="str">
        <f t="shared" si="43"/>
        <v>JC/12/2/1</v>
      </c>
      <c r="F1531">
        <v>31</v>
      </c>
    </row>
    <row r="1532" spans="1:6" x14ac:dyDescent="0.2">
      <c r="A1532">
        <v>3</v>
      </c>
      <c r="B1532" t="s">
        <v>508</v>
      </c>
      <c r="C1532">
        <v>0</v>
      </c>
      <c r="D1532">
        <v>8</v>
      </c>
      <c r="E1532" t="str">
        <f t="shared" si="43"/>
        <v>Rmarc/8/3/0</v>
      </c>
      <c r="F1532">
        <v>31</v>
      </c>
    </row>
    <row r="1533" spans="1:6" x14ac:dyDescent="0.2">
      <c r="A1533">
        <v>4</v>
      </c>
      <c r="B1533" t="s">
        <v>504</v>
      </c>
      <c r="C1533">
        <v>0</v>
      </c>
      <c r="D1533">
        <v>4</v>
      </c>
      <c r="E1533" t="str">
        <f t="shared" si="43"/>
        <v>Zizou/4/4/0</v>
      </c>
      <c r="F1533">
        <v>31</v>
      </c>
    </row>
    <row r="1534" spans="1:6" x14ac:dyDescent="0.2">
      <c r="A1534">
        <v>5</v>
      </c>
      <c r="B1534" t="s">
        <v>32</v>
      </c>
      <c r="C1534">
        <v>0</v>
      </c>
      <c r="D1534">
        <v>2</v>
      </c>
      <c r="E1534" t="str">
        <f t="shared" si="43"/>
        <v>OlivierN92/2/5/0</v>
      </c>
      <c r="F1534">
        <v>31</v>
      </c>
    </row>
    <row r="1535" spans="1:6" x14ac:dyDescent="0.2">
      <c r="A1535">
        <v>6</v>
      </c>
      <c r="B1535" t="s">
        <v>27</v>
      </c>
      <c r="C1535">
        <v>0</v>
      </c>
      <c r="D1535">
        <v>1</v>
      </c>
      <c r="E1535" t="str">
        <f t="shared" ref="E1535:E1598" si="44">B1535&amp;"/"&amp;D1535&amp;"/"&amp;A1535&amp;"/"&amp;C1535</f>
        <v>Mandrake/1/6/0</v>
      </c>
      <c r="F1535">
        <v>31</v>
      </c>
    </row>
    <row r="1536" spans="1:6" x14ac:dyDescent="0.2">
      <c r="A1536">
        <v>1</v>
      </c>
      <c r="B1536" t="s">
        <v>73</v>
      </c>
      <c r="C1536">
        <v>4</v>
      </c>
      <c r="D1536">
        <v>17</v>
      </c>
      <c r="E1536" t="str">
        <f t="shared" si="44"/>
        <v>Flem/17/1/4</v>
      </c>
      <c r="F1536">
        <v>31</v>
      </c>
    </row>
    <row r="1537" spans="1:6" x14ac:dyDescent="0.2">
      <c r="A1537">
        <v>2</v>
      </c>
      <c r="B1537" t="s">
        <v>454</v>
      </c>
      <c r="C1537">
        <v>1</v>
      </c>
      <c r="D1537">
        <v>13</v>
      </c>
      <c r="E1537" t="str">
        <f t="shared" si="44"/>
        <v>Gibbonfury/13/2/1</v>
      </c>
      <c r="F1537">
        <v>31</v>
      </c>
    </row>
    <row r="1538" spans="1:6" x14ac:dyDescent="0.2">
      <c r="A1538">
        <v>3</v>
      </c>
      <c r="B1538" t="s">
        <v>505</v>
      </c>
      <c r="C1538">
        <v>1</v>
      </c>
      <c r="D1538">
        <v>9</v>
      </c>
      <c r="E1538" t="str">
        <f t="shared" si="44"/>
        <v>Mams/9/3/1</v>
      </c>
      <c r="F1538">
        <v>31</v>
      </c>
    </row>
    <row r="1539" spans="1:6" x14ac:dyDescent="0.2">
      <c r="A1539">
        <v>4</v>
      </c>
      <c r="B1539" t="s">
        <v>552</v>
      </c>
      <c r="C1539">
        <v>0</v>
      </c>
      <c r="D1539">
        <v>5</v>
      </c>
      <c r="E1539" t="str">
        <f t="shared" si="44"/>
        <v>Snake1702/5/4/0</v>
      </c>
      <c r="F1539">
        <v>31</v>
      </c>
    </row>
    <row r="1540" spans="1:6" x14ac:dyDescent="0.2">
      <c r="A1540">
        <v>5</v>
      </c>
      <c r="B1540" t="s">
        <v>66</v>
      </c>
      <c r="C1540">
        <v>0</v>
      </c>
      <c r="D1540">
        <v>3</v>
      </c>
      <c r="E1540" t="str">
        <f t="shared" si="44"/>
        <v>Ad Vitam/3/5/0</v>
      </c>
      <c r="F1540">
        <v>31</v>
      </c>
    </row>
    <row r="1541" spans="1:6" x14ac:dyDescent="0.2">
      <c r="A1541">
        <v>6</v>
      </c>
      <c r="B1541" t="s">
        <v>21</v>
      </c>
      <c r="C1541">
        <v>0</v>
      </c>
      <c r="D1541">
        <v>2</v>
      </c>
      <c r="E1541" t="str">
        <f t="shared" si="44"/>
        <v>Carmin/2/6/0</v>
      </c>
      <c r="F1541">
        <v>31</v>
      </c>
    </row>
    <row r="1542" spans="1:6" x14ac:dyDescent="0.2">
      <c r="A1542">
        <v>7</v>
      </c>
      <c r="B1542" t="s">
        <v>475</v>
      </c>
      <c r="C1542">
        <v>0</v>
      </c>
      <c r="D1542">
        <v>1</v>
      </c>
      <c r="E1542" t="str">
        <f t="shared" si="44"/>
        <v>La Bavure/1/7/0</v>
      </c>
      <c r="F1542">
        <v>31</v>
      </c>
    </row>
    <row r="1543" spans="1:6" x14ac:dyDescent="0.2">
      <c r="A1543">
        <v>1</v>
      </c>
      <c r="B1543" t="s">
        <v>506</v>
      </c>
      <c r="C1543">
        <v>4</v>
      </c>
      <c r="D1543">
        <v>17</v>
      </c>
      <c r="E1543" t="str">
        <f t="shared" si="44"/>
        <v>Zubbaz/17/1/4</v>
      </c>
      <c r="F1543">
        <v>31</v>
      </c>
    </row>
    <row r="1544" spans="1:6" x14ac:dyDescent="0.2">
      <c r="A1544">
        <v>2</v>
      </c>
      <c r="B1544" t="s">
        <v>74</v>
      </c>
      <c r="C1544">
        <v>1</v>
      </c>
      <c r="D1544">
        <v>13</v>
      </c>
      <c r="E1544" t="str">
        <f t="shared" si="44"/>
        <v>PatB/13/2/1</v>
      </c>
      <c r="F1544">
        <v>31</v>
      </c>
    </row>
    <row r="1545" spans="1:6" x14ac:dyDescent="0.2">
      <c r="A1545">
        <v>3</v>
      </c>
      <c r="B1545" t="s">
        <v>461</v>
      </c>
      <c r="C1545">
        <v>0</v>
      </c>
      <c r="D1545">
        <v>9</v>
      </c>
      <c r="E1545" t="str">
        <f t="shared" si="44"/>
        <v>Djecus/9/3/0</v>
      </c>
      <c r="F1545">
        <v>31</v>
      </c>
    </row>
    <row r="1546" spans="1:6" x14ac:dyDescent="0.2">
      <c r="A1546">
        <v>4</v>
      </c>
      <c r="B1546" t="s">
        <v>507</v>
      </c>
      <c r="C1546">
        <v>0</v>
      </c>
      <c r="D1546">
        <v>5</v>
      </c>
      <c r="E1546" t="str">
        <f t="shared" si="44"/>
        <v>Losogre/5/4/0</v>
      </c>
      <c r="F1546">
        <v>31</v>
      </c>
    </row>
    <row r="1547" spans="1:6" x14ac:dyDescent="0.2">
      <c r="A1547">
        <v>5</v>
      </c>
      <c r="B1547" t="s">
        <v>65</v>
      </c>
      <c r="C1547">
        <v>1</v>
      </c>
      <c r="D1547">
        <v>3</v>
      </c>
      <c r="E1547" t="str">
        <f t="shared" si="44"/>
        <v>Ripolin/3/5/1</v>
      </c>
      <c r="F1547">
        <v>31</v>
      </c>
    </row>
    <row r="1548" spans="1:6" x14ac:dyDescent="0.2">
      <c r="A1548">
        <v>6</v>
      </c>
      <c r="B1548" t="s">
        <v>48</v>
      </c>
      <c r="C1548">
        <v>0</v>
      </c>
      <c r="D1548">
        <v>2</v>
      </c>
      <c r="E1548" t="str">
        <f t="shared" si="44"/>
        <v>Pintu/2/6/0</v>
      </c>
      <c r="F1548">
        <v>31</v>
      </c>
    </row>
    <row r="1549" spans="1:6" x14ac:dyDescent="0.2">
      <c r="A1549">
        <v>7</v>
      </c>
      <c r="B1549" t="s">
        <v>280</v>
      </c>
      <c r="C1549">
        <v>0</v>
      </c>
      <c r="D1549">
        <v>1</v>
      </c>
      <c r="E1549" t="str">
        <f t="shared" si="44"/>
        <v>Delgres/1/7/0</v>
      </c>
      <c r="F1549">
        <v>31</v>
      </c>
    </row>
    <row r="1550" spans="1:6" x14ac:dyDescent="0.2">
      <c r="A1550">
        <v>1</v>
      </c>
      <c r="B1550" t="s">
        <v>6</v>
      </c>
      <c r="C1550">
        <v>4</v>
      </c>
      <c r="D1550">
        <v>16</v>
      </c>
      <c r="E1550" t="str">
        <f t="shared" si="44"/>
        <v>Pyja/16/1/4</v>
      </c>
      <c r="F1550">
        <v>31</v>
      </c>
    </row>
    <row r="1551" spans="1:6" x14ac:dyDescent="0.2">
      <c r="A1551">
        <v>2</v>
      </c>
      <c r="B1551" t="s">
        <v>557</v>
      </c>
      <c r="C1551">
        <v>1</v>
      </c>
      <c r="D1551">
        <v>12</v>
      </c>
      <c r="E1551" t="str">
        <f t="shared" si="44"/>
        <v>Madridal/12/2/1</v>
      </c>
      <c r="F1551">
        <v>31</v>
      </c>
    </row>
    <row r="1552" spans="1:6" x14ac:dyDescent="0.2">
      <c r="A1552">
        <v>3</v>
      </c>
      <c r="B1552" t="s">
        <v>88</v>
      </c>
      <c r="C1552">
        <v>0</v>
      </c>
      <c r="D1552">
        <v>8</v>
      </c>
      <c r="E1552" t="str">
        <f t="shared" si="44"/>
        <v>Yarael/8/3/0</v>
      </c>
      <c r="F1552">
        <v>31</v>
      </c>
    </row>
    <row r="1553" spans="1:6" x14ac:dyDescent="0.2">
      <c r="A1553">
        <v>4</v>
      </c>
      <c r="B1553" t="s">
        <v>25</v>
      </c>
      <c r="C1553">
        <v>0</v>
      </c>
      <c r="D1553">
        <v>4</v>
      </c>
      <c r="E1553" t="str">
        <f t="shared" si="44"/>
        <v>Claudius/4/4/0</v>
      </c>
      <c r="F1553">
        <v>31</v>
      </c>
    </row>
    <row r="1554" spans="1:6" x14ac:dyDescent="0.2">
      <c r="A1554">
        <v>5</v>
      </c>
      <c r="B1554" t="s">
        <v>76</v>
      </c>
      <c r="C1554">
        <v>0</v>
      </c>
      <c r="D1554">
        <v>2</v>
      </c>
      <c r="E1554" t="str">
        <f t="shared" si="44"/>
        <v>Comment2/2/5/0</v>
      </c>
      <c r="F1554">
        <v>31</v>
      </c>
    </row>
    <row r="1555" spans="1:6" x14ac:dyDescent="0.2">
      <c r="A1555">
        <v>6</v>
      </c>
      <c r="B1555" t="s">
        <v>503</v>
      </c>
      <c r="C1555">
        <v>0</v>
      </c>
      <c r="D1555">
        <v>1</v>
      </c>
      <c r="E1555" t="str">
        <f t="shared" si="44"/>
        <v>Yaltar/1/6/0</v>
      </c>
      <c r="F1555">
        <v>31</v>
      </c>
    </row>
    <row r="1556" spans="1:6" x14ac:dyDescent="0.2">
      <c r="A1556">
        <v>1</v>
      </c>
      <c r="B1556" t="s">
        <v>501</v>
      </c>
      <c r="C1556">
        <v>4</v>
      </c>
      <c r="D1556">
        <v>16</v>
      </c>
      <c r="E1556" t="str">
        <f t="shared" si="44"/>
        <v>Poisson Pilote/16/1/4</v>
      </c>
      <c r="F1556">
        <v>31</v>
      </c>
    </row>
    <row r="1557" spans="1:6" x14ac:dyDescent="0.2">
      <c r="A1557">
        <v>2</v>
      </c>
      <c r="B1557" t="s">
        <v>490</v>
      </c>
      <c r="C1557">
        <v>0</v>
      </c>
      <c r="D1557">
        <v>12</v>
      </c>
      <c r="E1557" t="str">
        <f t="shared" si="44"/>
        <v>DernierPli/12/2/0</v>
      </c>
      <c r="F1557">
        <v>31</v>
      </c>
    </row>
    <row r="1558" spans="1:6" x14ac:dyDescent="0.2">
      <c r="A1558">
        <v>3</v>
      </c>
      <c r="B1558" t="s">
        <v>19</v>
      </c>
      <c r="C1558">
        <v>0</v>
      </c>
      <c r="D1558">
        <v>8</v>
      </c>
      <c r="E1558" t="str">
        <f t="shared" si="44"/>
        <v>Giobeck/8/3/0</v>
      </c>
      <c r="F1558">
        <v>31</v>
      </c>
    </row>
    <row r="1559" spans="1:6" x14ac:dyDescent="0.2">
      <c r="A1559">
        <v>4</v>
      </c>
      <c r="B1559" t="s">
        <v>510</v>
      </c>
      <c r="C1559">
        <v>1</v>
      </c>
      <c r="D1559">
        <v>4</v>
      </c>
      <c r="E1559" t="str">
        <f t="shared" si="44"/>
        <v>Magic Mykiss/4/4/1</v>
      </c>
      <c r="F1559">
        <v>31</v>
      </c>
    </row>
    <row r="1560" spans="1:6" x14ac:dyDescent="0.2">
      <c r="A1560">
        <v>5</v>
      </c>
      <c r="B1560" t="s">
        <v>559</v>
      </c>
      <c r="C1560">
        <v>0</v>
      </c>
      <c r="D1560">
        <v>2</v>
      </c>
      <c r="E1560" t="str">
        <f t="shared" si="44"/>
        <v>Kewen/2/5/0</v>
      </c>
      <c r="F1560">
        <v>31</v>
      </c>
    </row>
    <row r="1561" spans="1:6" x14ac:dyDescent="0.2">
      <c r="A1561">
        <v>6</v>
      </c>
      <c r="B1561" t="s">
        <v>521</v>
      </c>
      <c r="C1561">
        <v>0</v>
      </c>
      <c r="D1561">
        <v>1</v>
      </c>
      <c r="E1561" t="str">
        <f t="shared" si="44"/>
        <v>Jaden/1/6/0</v>
      </c>
      <c r="F1561">
        <v>31</v>
      </c>
    </row>
    <row r="1562" spans="1:6" x14ac:dyDescent="0.2">
      <c r="A1562">
        <v>1</v>
      </c>
      <c r="B1562" t="s">
        <v>502</v>
      </c>
      <c r="C1562">
        <v>2</v>
      </c>
      <c r="D1562">
        <v>16</v>
      </c>
      <c r="E1562" t="str">
        <f t="shared" si="44"/>
        <v>Sobab/16/1/2</v>
      </c>
      <c r="F1562">
        <v>32</v>
      </c>
    </row>
    <row r="1563" spans="1:6" x14ac:dyDescent="0.2">
      <c r="A1563">
        <v>2</v>
      </c>
      <c r="B1563" t="s">
        <v>87</v>
      </c>
      <c r="C1563">
        <v>2</v>
      </c>
      <c r="D1563">
        <v>12</v>
      </c>
      <c r="E1563" t="str">
        <f t="shared" si="44"/>
        <v>Proph@ne/12/2/2</v>
      </c>
      <c r="F1563">
        <v>32</v>
      </c>
    </row>
    <row r="1564" spans="1:6" x14ac:dyDescent="0.2">
      <c r="A1564">
        <v>3</v>
      </c>
      <c r="B1564" t="s">
        <v>479</v>
      </c>
      <c r="C1564">
        <v>1</v>
      </c>
      <c r="D1564">
        <v>8</v>
      </c>
      <c r="E1564" t="str">
        <f t="shared" si="44"/>
        <v>Salender/8/3/1</v>
      </c>
      <c r="F1564">
        <v>32</v>
      </c>
    </row>
    <row r="1565" spans="1:6" x14ac:dyDescent="0.2">
      <c r="A1565">
        <v>4</v>
      </c>
      <c r="B1565" t="s">
        <v>507</v>
      </c>
      <c r="C1565">
        <v>0</v>
      </c>
      <c r="D1565">
        <v>4</v>
      </c>
      <c r="E1565" t="str">
        <f t="shared" si="44"/>
        <v>Losogre/4/4/0</v>
      </c>
      <c r="F1565">
        <v>32</v>
      </c>
    </row>
    <row r="1566" spans="1:6" x14ac:dyDescent="0.2">
      <c r="A1566">
        <v>5</v>
      </c>
      <c r="B1566" t="s">
        <v>493</v>
      </c>
      <c r="C1566">
        <v>0</v>
      </c>
      <c r="D1566">
        <v>2</v>
      </c>
      <c r="E1566" t="str">
        <f t="shared" si="44"/>
        <v>Rockatou/2/5/0</v>
      </c>
      <c r="F1566">
        <v>32</v>
      </c>
    </row>
    <row r="1567" spans="1:6" x14ac:dyDescent="0.2">
      <c r="A1567">
        <v>6</v>
      </c>
      <c r="B1567" t="s">
        <v>35</v>
      </c>
      <c r="C1567">
        <v>0</v>
      </c>
      <c r="D1567">
        <v>1</v>
      </c>
      <c r="E1567" t="str">
        <f t="shared" si="44"/>
        <v>JeanMichelTiming/1/6/0</v>
      </c>
      <c r="F1567">
        <v>32</v>
      </c>
    </row>
    <row r="1568" spans="1:6" x14ac:dyDescent="0.2">
      <c r="A1568">
        <v>1</v>
      </c>
      <c r="B1568" t="s">
        <v>558</v>
      </c>
      <c r="C1568">
        <v>2</v>
      </c>
      <c r="D1568">
        <v>16</v>
      </c>
      <c r="E1568" t="str">
        <f t="shared" si="44"/>
        <v>Light/16/1/2</v>
      </c>
      <c r="F1568">
        <v>32</v>
      </c>
    </row>
    <row r="1569" spans="1:6" x14ac:dyDescent="0.2">
      <c r="A1569">
        <v>2</v>
      </c>
      <c r="B1569" t="s">
        <v>74</v>
      </c>
      <c r="C1569">
        <v>2</v>
      </c>
      <c r="D1569">
        <v>12</v>
      </c>
      <c r="E1569" t="str">
        <f t="shared" si="44"/>
        <v>PatB/12/2/2</v>
      </c>
      <c r="F1569">
        <v>32</v>
      </c>
    </row>
    <row r="1570" spans="1:6" x14ac:dyDescent="0.2">
      <c r="A1570">
        <v>3</v>
      </c>
      <c r="B1570" t="s">
        <v>515</v>
      </c>
      <c r="C1570">
        <v>0</v>
      </c>
      <c r="D1570">
        <v>8</v>
      </c>
      <c r="E1570" t="str">
        <f t="shared" si="44"/>
        <v>Chico/8/3/0</v>
      </c>
      <c r="F1570">
        <v>32</v>
      </c>
    </row>
    <row r="1571" spans="1:6" x14ac:dyDescent="0.2">
      <c r="A1571">
        <v>4</v>
      </c>
      <c r="B1571" t="s">
        <v>75</v>
      </c>
      <c r="C1571">
        <v>1</v>
      </c>
      <c r="D1571">
        <v>4</v>
      </c>
      <c r="E1571" t="str">
        <f t="shared" si="44"/>
        <v>Michelbey/4/4/1</v>
      </c>
      <c r="F1571">
        <v>32</v>
      </c>
    </row>
    <row r="1572" spans="1:6" x14ac:dyDescent="0.2">
      <c r="A1572">
        <v>5</v>
      </c>
      <c r="B1572" t="s">
        <v>65</v>
      </c>
      <c r="C1572">
        <v>0</v>
      </c>
      <c r="D1572">
        <v>2</v>
      </c>
      <c r="E1572" t="str">
        <f t="shared" si="44"/>
        <v>Ripolin/2/5/0</v>
      </c>
      <c r="F1572">
        <v>32</v>
      </c>
    </row>
    <row r="1573" spans="1:6" x14ac:dyDescent="0.2">
      <c r="A1573">
        <v>6</v>
      </c>
      <c r="B1573" t="s">
        <v>533</v>
      </c>
      <c r="C1573">
        <v>0</v>
      </c>
      <c r="D1573">
        <v>1</v>
      </c>
      <c r="E1573" t="str">
        <f t="shared" si="44"/>
        <v>Ouais ouais/1/6/0</v>
      </c>
      <c r="F1573">
        <v>32</v>
      </c>
    </row>
    <row r="1574" spans="1:6" x14ac:dyDescent="0.2">
      <c r="A1574">
        <v>1</v>
      </c>
      <c r="B1574" t="s">
        <v>516</v>
      </c>
      <c r="C1574">
        <v>5</v>
      </c>
      <c r="D1574">
        <v>16</v>
      </c>
      <c r="E1574" t="str">
        <f t="shared" si="44"/>
        <v>Tenko/16/1/5</v>
      </c>
      <c r="F1574">
        <v>32</v>
      </c>
    </row>
    <row r="1575" spans="1:6" x14ac:dyDescent="0.2">
      <c r="A1575">
        <v>2</v>
      </c>
      <c r="B1575" t="s">
        <v>534</v>
      </c>
      <c r="C1575">
        <v>0</v>
      </c>
      <c r="D1575">
        <v>12</v>
      </c>
      <c r="E1575" t="str">
        <f t="shared" si="44"/>
        <v>JC/12/2/0</v>
      </c>
      <c r="F1575">
        <v>32</v>
      </c>
    </row>
    <row r="1576" spans="1:6" x14ac:dyDescent="0.2">
      <c r="A1576">
        <v>3</v>
      </c>
      <c r="B1576" t="s">
        <v>61</v>
      </c>
      <c r="C1576">
        <v>0</v>
      </c>
      <c r="D1576">
        <v>8</v>
      </c>
      <c r="E1576" t="str">
        <f t="shared" si="44"/>
        <v>Kri-lin/8/3/0</v>
      </c>
      <c r="F1576">
        <v>32</v>
      </c>
    </row>
    <row r="1577" spans="1:6" x14ac:dyDescent="0.2">
      <c r="A1577">
        <v>4</v>
      </c>
      <c r="B1577" t="s">
        <v>69</v>
      </c>
      <c r="C1577">
        <v>0</v>
      </c>
      <c r="D1577">
        <v>4</v>
      </c>
      <c r="E1577" t="str">
        <f t="shared" si="44"/>
        <v>Catherine/4/4/0</v>
      </c>
      <c r="F1577">
        <v>32</v>
      </c>
    </row>
    <row r="1578" spans="1:6" x14ac:dyDescent="0.2">
      <c r="A1578">
        <v>5</v>
      </c>
      <c r="B1578" t="s">
        <v>27</v>
      </c>
      <c r="C1578">
        <v>0</v>
      </c>
      <c r="D1578">
        <v>2</v>
      </c>
      <c r="E1578" t="str">
        <f t="shared" si="44"/>
        <v>Mandrake/2/5/0</v>
      </c>
      <c r="F1578">
        <v>32</v>
      </c>
    </row>
    <row r="1579" spans="1:6" x14ac:dyDescent="0.2">
      <c r="A1579">
        <v>6</v>
      </c>
      <c r="B1579" t="s">
        <v>40</v>
      </c>
      <c r="C1579">
        <v>0</v>
      </c>
      <c r="D1579">
        <v>1</v>
      </c>
      <c r="E1579" t="str">
        <f t="shared" si="44"/>
        <v>Lén@/1/6/0</v>
      </c>
      <c r="F1579">
        <v>32</v>
      </c>
    </row>
    <row r="1580" spans="1:6" x14ac:dyDescent="0.2">
      <c r="A1580">
        <v>1</v>
      </c>
      <c r="B1580" t="s">
        <v>73</v>
      </c>
      <c r="C1580">
        <v>3</v>
      </c>
      <c r="D1580">
        <v>16</v>
      </c>
      <c r="E1580" t="str">
        <f t="shared" si="44"/>
        <v>Flem/16/1/3</v>
      </c>
      <c r="F1580">
        <v>32</v>
      </c>
    </row>
    <row r="1581" spans="1:6" x14ac:dyDescent="0.2">
      <c r="A1581">
        <v>2</v>
      </c>
      <c r="B1581" t="s">
        <v>25</v>
      </c>
      <c r="C1581">
        <v>2</v>
      </c>
      <c r="D1581">
        <v>12</v>
      </c>
      <c r="E1581" t="str">
        <f t="shared" si="44"/>
        <v>Claudius/12/2/2</v>
      </c>
      <c r="F1581">
        <v>32</v>
      </c>
    </row>
    <row r="1582" spans="1:6" x14ac:dyDescent="0.2">
      <c r="A1582">
        <v>3</v>
      </c>
      <c r="B1582" t="s">
        <v>280</v>
      </c>
      <c r="C1582">
        <v>0</v>
      </c>
      <c r="D1582">
        <v>8</v>
      </c>
      <c r="E1582" t="str">
        <f t="shared" si="44"/>
        <v>Delgres/8/3/0</v>
      </c>
      <c r="F1582">
        <v>32</v>
      </c>
    </row>
    <row r="1583" spans="1:6" x14ac:dyDescent="0.2">
      <c r="A1583">
        <v>4</v>
      </c>
      <c r="B1583" t="s">
        <v>535</v>
      </c>
      <c r="C1583">
        <v>0</v>
      </c>
      <c r="D1583">
        <v>4</v>
      </c>
      <c r="E1583" t="str">
        <f t="shared" si="44"/>
        <v>TheRealWill/4/4/0</v>
      </c>
      <c r="F1583">
        <v>32</v>
      </c>
    </row>
    <row r="1584" spans="1:6" x14ac:dyDescent="0.2">
      <c r="A1584">
        <v>5</v>
      </c>
      <c r="B1584" t="s">
        <v>48</v>
      </c>
      <c r="C1584">
        <v>0</v>
      </c>
      <c r="D1584">
        <v>2</v>
      </c>
      <c r="E1584" t="str">
        <f t="shared" si="44"/>
        <v>Pintu/2/5/0</v>
      </c>
      <c r="F1584">
        <v>32</v>
      </c>
    </row>
    <row r="1585" spans="1:6" x14ac:dyDescent="0.2">
      <c r="A1585">
        <v>6</v>
      </c>
      <c r="B1585" t="s">
        <v>345</v>
      </c>
      <c r="C1585">
        <v>0</v>
      </c>
      <c r="D1585">
        <v>1</v>
      </c>
      <c r="E1585" t="str">
        <f t="shared" si="44"/>
        <v>Thibaultp75/1/6/0</v>
      </c>
      <c r="F1585">
        <v>32</v>
      </c>
    </row>
    <row r="1586" spans="1:6" x14ac:dyDescent="0.2">
      <c r="A1586">
        <v>1</v>
      </c>
      <c r="B1586" t="s">
        <v>452</v>
      </c>
      <c r="C1586">
        <v>2</v>
      </c>
      <c r="D1586">
        <v>16</v>
      </c>
      <c r="E1586" t="str">
        <f t="shared" si="44"/>
        <v>The Hengover/16/1/2</v>
      </c>
      <c r="F1586">
        <v>32</v>
      </c>
    </row>
    <row r="1587" spans="1:6" x14ac:dyDescent="0.2">
      <c r="A1587">
        <v>2</v>
      </c>
      <c r="B1587" t="s">
        <v>505</v>
      </c>
      <c r="C1587">
        <v>1</v>
      </c>
      <c r="D1587">
        <v>12</v>
      </c>
      <c r="E1587" t="str">
        <f t="shared" si="44"/>
        <v>Mams/12/2/1</v>
      </c>
      <c r="F1587">
        <v>32</v>
      </c>
    </row>
    <row r="1588" spans="1:6" x14ac:dyDescent="0.2">
      <c r="A1588">
        <v>3</v>
      </c>
      <c r="B1588" t="s">
        <v>484</v>
      </c>
      <c r="C1588">
        <v>1</v>
      </c>
      <c r="D1588">
        <v>8</v>
      </c>
      <c r="E1588" t="str">
        <f t="shared" si="44"/>
        <v>Guerno/8/3/1</v>
      </c>
      <c r="F1588">
        <v>32</v>
      </c>
    </row>
    <row r="1589" spans="1:6" x14ac:dyDescent="0.2">
      <c r="A1589">
        <v>4</v>
      </c>
      <c r="B1589" t="s">
        <v>490</v>
      </c>
      <c r="C1589">
        <v>1</v>
      </c>
      <c r="D1589">
        <v>4</v>
      </c>
      <c r="E1589" t="str">
        <f t="shared" si="44"/>
        <v>DernierPli/4/4/1</v>
      </c>
      <c r="F1589">
        <v>32</v>
      </c>
    </row>
    <row r="1590" spans="1:6" x14ac:dyDescent="0.2">
      <c r="A1590">
        <v>5</v>
      </c>
      <c r="B1590" t="s">
        <v>525</v>
      </c>
      <c r="C1590">
        <v>0</v>
      </c>
      <c r="D1590">
        <v>2</v>
      </c>
      <c r="E1590" t="str">
        <f t="shared" si="44"/>
        <v>Freddie/2/5/0</v>
      </c>
      <c r="F1590">
        <v>32</v>
      </c>
    </row>
    <row r="1591" spans="1:6" x14ac:dyDescent="0.2">
      <c r="A1591">
        <v>6</v>
      </c>
      <c r="B1591" t="s">
        <v>504</v>
      </c>
      <c r="C1591">
        <v>0</v>
      </c>
      <c r="D1591">
        <v>1</v>
      </c>
      <c r="E1591" t="str">
        <f t="shared" si="44"/>
        <v>Zizou/1/6/0</v>
      </c>
      <c r="F1591">
        <v>32</v>
      </c>
    </row>
    <row r="1592" spans="1:6" x14ac:dyDescent="0.2">
      <c r="A1592">
        <v>1</v>
      </c>
      <c r="B1592" t="s">
        <v>510</v>
      </c>
      <c r="C1592">
        <v>3</v>
      </c>
      <c r="D1592">
        <v>16</v>
      </c>
      <c r="E1592" t="str">
        <f t="shared" si="44"/>
        <v>Magic Mykiss/16/1/3</v>
      </c>
      <c r="F1592">
        <v>32</v>
      </c>
    </row>
    <row r="1593" spans="1:6" x14ac:dyDescent="0.2">
      <c r="A1593">
        <v>2</v>
      </c>
      <c r="B1593" t="s">
        <v>76</v>
      </c>
      <c r="C1593">
        <v>2</v>
      </c>
      <c r="D1593">
        <v>12</v>
      </c>
      <c r="E1593" t="str">
        <f t="shared" si="44"/>
        <v>Comment2/12/2/2</v>
      </c>
      <c r="F1593">
        <v>32</v>
      </c>
    </row>
    <row r="1594" spans="1:6" x14ac:dyDescent="0.2">
      <c r="A1594">
        <v>3</v>
      </c>
      <c r="B1594" t="s">
        <v>6</v>
      </c>
      <c r="C1594">
        <v>0</v>
      </c>
      <c r="D1594">
        <v>8</v>
      </c>
      <c r="E1594" t="str">
        <f t="shared" si="44"/>
        <v>Pyja/8/3/0</v>
      </c>
      <c r="F1594">
        <v>32</v>
      </c>
    </row>
    <row r="1595" spans="1:6" x14ac:dyDescent="0.2">
      <c r="A1595">
        <v>4</v>
      </c>
      <c r="B1595" t="s">
        <v>46</v>
      </c>
      <c r="C1595">
        <v>0</v>
      </c>
      <c r="D1595">
        <v>4</v>
      </c>
      <c r="E1595" t="str">
        <f t="shared" si="44"/>
        <v>Jérôme/4/4/0</v>
      </c>
      <c r="F1595">
        <v>32</v>
      </c>
    </row>
    <row r="1596" spans="1:6" x14ac:dyDescent="0.2">
      <c r="A1596">
        <v>5</v>
      </c>
      <c r="B1596" t="s">
        <v>66</v>
      </c>
      <c r="C1596">
        <v>0</v>
      </c>
      <c r="D1596">
        <v>2</v>
      </c>
      <c r="E1596" t="str">
        <f t="shared" si="44"/>
        <v>Ad Vitam/2/5/0</v>
      </c>
      <c r="F1596">
        <v>32</v>
      </c>
    </row>
    <row r="1597" spans="1:6" x14ac:dyDescent="0.2">
      <c r="A1597">
        <v>6</v>
      </c>
      <c r="B1597" t="s">
        <v>506</v>
      </c>
      <c r="C1597">
        <v>0</v>
      </c>
      <c r="D1597">
        <v>1</v>
      </c>
      <c r="E1597" t="str">
        <f t="shared" si="44"/>
        <v>Zubbaz/1/6/0</v>
      </c>
      <c r="F1597">
        <v>32</v>
      </c>
    </row>
    <row r="1598" spans="1:6" x14ac:dyDescent="0.2">
      <c r="A1598">
        <v>1</v>
      </c>
      <c r="B1598" t="s">
        <v>500</v>
      </c>
      <c r="C1598">
        <v>3</v>
      </c>
      <c r="D1598">
        <v>15</v>
      </c>
      <c r="E1598" t="str">
        <f t="shared" si="44"/>
        <v>Kheops/15/1/3</v>
      </c>
      <c r="F1598">
        <v>32</v>
      </c>
    </row>
    <row r="1599" spans="1:6" x14ac:dyDescent="0.2">
      <c r="A1599">
        <v>2</v>
      </c>
      <c r="B1599" t="s">
        <v>32</v>
      </c>
      <c r="C1599">
        <v>1</v>
      </c>
      <c r="D1599">
        <v>11</v>
      </c>
      <c r="E1599" t="str">
        <f t="shared" ref="E1599:E1656" si="45">B1599&amp;"/"&amp;D1599&amp;"/"&amp;A1599&amp;"/"&amp;C1599</f>
        <v>OlivierN92/11/2/1</v>
      </c>
      <c r="F1599">
        <v>32</v>
      </c>
    </row>
    <row r="1600" spans="1:6" x14ac:dyDescent="0.2">
      <c r="A1600">
        <v>3</v>
      </c>
      <c r="B1600" t="s">
        <v>554</v>
      </c>
      <c r="C1600">
        <v>0</v>
      </c>
      <c r="D1600">
        <v>7</v>
      </c>
      <c r="E1600" t="str">
        <f t="shared" si="45"/>
        <v>ScoNix/7/3/0</v>
      </c>
      <c r="F1600">
        <v>32</v>
      </c>
    </row>
    <row r="1601" spans="1:6" x14ac:dyDescent="0.2">
      <c r="A1601">
        <v>4</v>
      </c>
      <c r="B1601" t="s">
        <v>14</v>
      </c>
      <c r="C1601">
        <v>0</v>
      </c>
      <c r="D1601">
        <v>3</v>
      </c>
      <c r="E1601" t="str">
        <f t="shared" si="45"/>
        <v>Ramm/3/4/0</v>
      </c>
      <c r="F1601">
        <v>32</v>
      </c>
    </row>
    <row r="1602" spans="1:6" x14ac:dyDescent="0.2">
      <c r="A1602">
        <v>5</v>
      </c>
      <c r="B1602" t="s">
        <v>475</v>
      </c>
      <c r="C1602">
        <v>0</v>
      </c>
      <c r="D1602">
        <v>1</v>
      </c>
      <c r="E1602" t="str">
        <f t="shared" si="45"/>
        <v>La Bavure/1/5/0</v>
      </c>
      <c r="F1602">
        <v>32</v>
      </c>
    </row>
    <row r="1603" spans="1:6" x14ac:dyDescent="0.2">
      <c r="A1603">
        <v>1</v>
      </c>
      <c r="B1603" t="s">
        <v>9</v>
      </c>
      <c r="C1603">
        <v>5</v>
      </c>
      <c r="D1603">
        <v>16</v>
      </c>
      <c r="E1603" t="str">
        <f t="shared" si="45"/>
        <v>K1/16/1/5</v>
      </c>
      <c r="F1603">
        <v>32</v>
      </c>
    </row>
    <row r="1604" spans="1:6" x14ac:dyDescent="0.2">
      <c r="A1604">
        <v>2</v>
      </c>
      <c r="B1604" t="s">
        <v>552</v>
      </c>
      <c r="C1604">
        <v>0</v>
      </c>
      <c r="D1604">
        <v>12</v>
      </c>
      <c r="E1604" t="str">
        <f t="shared" si="45"/>
        <v>Snake1702/12/2/0</v>
      </c>
      <c r="F1604">
        <v>32</v>
      </c>
    </row>
    <row r="1605" spans="1:6" x14ac:dyDescent="0.2">
      <c r="A1605">
        <v>3</v>
      </c>
      <c r="B1605" t="s">
        <v>55</v>
      </c>
      <c r="C1605">
        <v>0</v>
      </c>
      <c r="D1605">
        <v>8</v>
      </c>
      <c r="E1605" t="str">
        <f t="shared" si="45"/>
        <v>Bounette/8/3/0</v>
      </c>
      <c r="F1605">
        <v>32</v>
      </c>
    </row>
    <row r="1606" spans="1:6" x14ac:dyDescent="0.2">
      <c r="A1606">
        <v>4</v>
      </c>
      <c r="B1606" t="s">
        <v>21</v>
      </c>
      <c r="C1606">
        <v>0</v>
      </c>
      <c r="D1606">
        <v>4</v>
      </c>
      <c r="E1606" t="str">
        <f t="shared" si="45"/>
        <v>Carmin/4/4/0</v>
      </c>
      <c r="F1606">
        <v>32</v>
      </c>
    </row>
    <row r="1607" spans="1:6" x14ac:dyDescent="0.2">
      <c r="A1607">
        <v>5</v>
      </c>
      <c r="B1607" t="s">
        <v>556</v>
      </c>
      <c r="C1607">
        <v>0</v>
      </c>
      <c r="D1607">
        <v>2</v>
      </c>
      <c r="E1607" t="str">
        <f t="shared" si="45"/>
        <v>Ankolos/2/5/0</v>
      </c>
      <c r="F1607">
        <v>32</v>
      </c>
    </row>
    <row r="1608" spans="1:6" x14ac:dyDescent="0.2">
      <c r="A1608">
        <v>6</v>
      </c>
      <c r="B1608" t="s">
        <v>503</v>
      </c>
      <c r="C1608">
        <v>0</v>
      </c>
      <c r="D1608">
        <v>1</v>
      </c>
      <c r="E1608" t="str">
        <f t="shared" si="45"/>
        <v>Yaltar/1/6/0</v>
      </c>
      <c r="F1608">
        <v>32</v>
      </c>
    </row>
    <row r="1609" spans="1:6" x14ac:dyDescent="0.2">
      <c r="A1609">
        <v>1</v>
      </c>
      <c r="B1609" t="s">
        <v>61</v>
      </c>
      <c r="C1609">
        <v>2</v>
      </c>
      <c r="D1609">
        <v>16</v>
      </c>
      <c r="E1609" t="str">
        <f t="shared" si="45"/>
        <v>Kri-lin/16/1/2</v>
      </c>
      <c r="F1609">
        <v>33</v>
      </c>
    </row>
    <row r="1610" spans="1:6" x14ac:dyDescent="0.2">
      <c r="A1610">
        <v>2</v>
      </c>
      <c r="B1610" t="s">
        <v>76</v>
      </c>
      <c r="C1610">
        <v>3</v>
      </c>
      <c r="D1610">
        <v>12</v>
      </c>
      <c r="E1610" t="str">
        <f t="shared" si="45"/>
        <v>Comment2/12/2/3</v>
      </c>
      <c r="F1610">
        <v>33</v>
      </c>
    </row>
    <row r="1611" spans="1:6" x14ac:dyDescent="0.2">
      <c r="A1611">
        <v>3</v>
      </c>
      <c r="B1611" t="s">
        <v>554</v>
      </c>
      <c r="C1611">
        <v>0</v>
      </c>
      <c r="D1611">
        <v>8</v>
      </c>
      <c r="E1611" t="str">
        <f t="shared" si="45"/>
        <v>ScoNix/8/3/0</v>
      </c>
      <c r="F1611">
        <v>33</v>
      </c>
    </row>
    <row r="1612" spans="1:6" x14ac:dyDescent="0.2">
      <c r="A1612">
        <v>4</v>
      </c>
      <c r="B1612" t="s">
        <v>35</v>
      </c>
      <c r="C1612">
        <v>0</v>
      </c>
      <c r="D1612">
        <v>4</v>
      </c>
      <c r="E1612" t="str">
        <f t="shared" si="45"/>
        <v>JeanMichelTiming/4/4/0</v>
      </c>
      <c r="F1612">
        <v>33</v>
      </c>
    </row>
    <row r="1613" spans="1:6" x14ac:dyDescent="0.2">
      <c r="A1613">
        <v>5</v>
      </c>
      <c r="B1613" t="s">
        <v>25</v>
      </c>
      <c r="C1613">
        <v>0</v>
      </c>
      <c r="D1613">
        <v>2</v>
      </c>
      <c r="E1613" t="str">
        <f t="shared" si="45"/>
        <v>Claudius/2/5/0</v>
      </c>
      <c r="F1613">
        <v>33</v>
      </c>
    </row>
    <row r="1614" spans="1:6" x14ac:dyDescent="0.2">
      <c r="A1614">
        <v>6</v>
      </c>
      <c r="B1614" t="s">
        <v>559</v>
      </c>
      <c r="C1614">
        <v>0</v>
      </c>
      <c r="D1614">
        <v>1</v>
      </c>
      <c r="E1614" t="str">
        <f t="shared" si="45"/>
        <v>Kewen/1/6/0</v>
      </c>
      <c r="F1614">
        <v>33</v>
      </c>
    </row>
    <row r="1615" spans="1:6" x14ac:dyDescent="0.2">
      <c r="A1615">
        <v>1</v>
      </c>
      <c r="B1615" t="s">
        <v>535</v>
      </c>
      <c r="C1615">
        <v>3</v>
      </c>
      <c r="D1615">
        <v>16</v>
      </c>
      <c r="E1615" t="str">
        <f t="shared" si="45"/>
        <v>TheRealWill/16/1/3</v>
      </c>
      <c r="F1615">
        <v>33</v>
      </c>
    </row>
    <row r="1616" spans="1:6" x14ac:dyDescent="0.2">
      <c r="A1616">
        <v>2</v>
      </c>
      <c r="B1616" t="s">
        <v>46</v>
      </c>
      <c r="C1616">
        <v>2</v>
      </c>
      <c r="D1616">
        <v>12</v>
      </c>
      <c r="E1616" t="str">
        <f t="shared" si="45"/>
        <v>Jérôme/12/2/2</v>
      </c>
      <c r="F1616">
        <v>33</v>
      </c>
    </row>
    <row r="1617" spans="1:6" x14ac:dyDescent="0.2">
      <c r="A1617">
        <v>3</v>
      </c>
      <c r="B1617" t="s">
        <v>14</v>
      </c>
      <c r="C1617">
        <v>0</v>
      </c>
      <c r="D1617">
        <v>8</v>
      </c>
      <c r="E1617" t="str">
        <f t="shared" si="45"/>
        <v>Ramm/8/3/0</v>
      </c>
      <c r="F1617">
        <v>33</v>
      </c>
    </row>
    <row r="1618" spans="1:6" x14ac:dyDescent="0.2">
      <c r="A1618">
        <v>4</v>
      </c>
      <c r="B1618" t="s">
        <v>74</v>
      </c>
      <c r="C1618">
        <v>0</v>
      </c>
      <c r="D1618">
        <v>4</v>
      </c>
      <c r="E1618" t="str">
        <f t="shared" si="45"/>
        <v>PatB/4/4/0</v>
      </c>
      <c r="F1618">
        <v>33</v>
      </c>
    </row>
    <row r="1619" spans="1:6" x14ac:dyDescent="0.2">
      <c r="A1619">
        <v>5</v>
      </c>
      <c r="B1619" t="s">
        <v>19</v>
      </c>
      <c r="C1619">
        <v>0</v>
      </c>
      <c r="D1619">
        <v>2</v>
      </c>
      <c r="E1619" t="str">
        <f t="shared" si="45"/>
        <v>Giobeck/2/5/0</v>
      </c>
      <c r="F1619">
        <v>33</v>
      </c>
    </row>
    <row r="1620" spans="1:6" x14ac:dyDescent="0.2">
      <c r="A1620">
        <v>6</v>
      </c>
      <c r="B1620" t="s">
        <v>485</v>
      </c>
      <c r="C1620">
        <v>0</v>
      </c>
      <c r="D1620">
        <v>1</v>
      </c>
      <c r="E1620" t="str">
        <f t="shared" si="45"/>
        <v>Solucky/1/6/0</v>
      </c>
      <c r="F1620">
        <v>33</v>
      </c>
    </row>
    <row r="1621" spans="1:6" x14ac:dyDescent="0.2">
      <c r="A1621">
        <v>1</v>
      </c>
      <c r="B1621" t="s">
        <v>507</v>
      </c>
      <c r="C1621">
        <v>3</v>
      </c>
      <c r="D1621">
        <v>16</v>
      </c>
      <c r="E1621" t="str">
        <f t="shared" si="45"/>
        <v>Losogre/16/1/3</v>
      </c>
      <c r="F1621">
        <v>33</v>
      </c>
    </row>
    <row r="1622" spans="1:6" x14ac:dyDescent="0.2">
      <c r="A1622">
        <v>2</v>
      </c>
      <c r="B1622" t="s">
        <v>280</v>
      </c>
      <c r="C1622">
        <v>0</v>
      </c>
      <c r="D1622">
        <v>12</v>
      </c>
      <c r="E1622" t="str">
        <f t="shared" si="45"/>
        <v>Delgres/12/2/0</v>
      </c>
      <c r="F1622">
        <v>33</v>
      </c>
    </row>
    <row r="1623" spans="1:6" x14ac:dyDescent="0.2">
      <c r="A1623">
        <v>3</v>
      </c>
      <c r="B1623" t="s">
        <v>534</v>
      </c>
      <c r="C1623">
        <v>0</v>
      </c>
      <c r="D1623">
        <v>8</v>
      </c>
      <c r="E1623" t="str">
        <f t="shared" si="45"/>
        <v>JC/8/3/0</v>
      </c>
      <c r="F1623">
        <v>33</v>
      </c>
    </row>
    <row r="1624" spans="1:6" x14ac:dyDescent="0.2">
      <c r="A1624">
        <v>4</v>
      </c>
      <c r="B1624" t="s">
        <v>533</v>
      </c>
      <c r="C1624">
        <v>2</v>
      </c>
      <c r="D1624">
        <v>4</v>
      </c>
      <c r="E1624" t="str">
        <f t="shared" si="45"/>
        <v>Ouais ouais/4/4/2</v>
      </c>
      <c r="F1624">
        <v>33</v>
      </c>
    </row>
    <row r="1625" spans="1:6" x14ac:dyDescent="0.2">
      <c r="A1625">
        <v>5</v>
      </c>
      <c r="B1625" t="s">
        <v>475</v>
      </c>
      <c r="C1625">
        <v>0</v>
      </c>
      <c r="D1625">
        <v>2</v>
      </c>
      <c r="E1625" t="str">
        <f t="shared" si="45"/>
        <v>La Bavure/2/5/0</v>
      </c>
      <c r="F1625">
        <v>33</v>
      </c>
    </row>
    <row r="1626" spans="1:6" x14ac:dyDescent="0.2">
      <c r="A1626">
        <v>6</v>
      </c>
      <c r="B1626" t="s">
        <v>493</v>
      </c>
      <c r="C1626">
        <v>0</v>
      </c>
      <c r="D1626">
        <v>1</v>
      </c>
      <c r="E1626" t="str">
        <f t="shared" si="45"/>
        <v>Rockatou/1/6/0</v>
      </c>
      <c r="F1626">
        <v>33</v>
      </c>
    </row>
    <row r="1627" spans="1:6" x14ac:dyDescent="0.2">
      <c r="A1627">
        <v>1</v>
      </c>
      <c r="B1627" t="s">
        <v>9</v>
      </c>
      <c r="C1627">
        <v>3</v>
      </c>
      <c r="D1627">
        <v>16</v>
      </c>
      <c r="E1627" t="str">
        <f t="shared" si="45"/>
        <v>K1/16/1/3</v>
      </c>
      <c r="F1627">
        <v>33</v>
      </c>
    </row>
    <row r="1628" spans="1:6" x14ac:dyDescent="0.2">
      <c r="A1628">
        <v>2</v>
      </c>
      <c r="B1628" t="s">
        <v>32</v>
      </c>
      <c r="C1628">
        <v>1</v>
      </c>
      <c r="D1628">
        <v>12</v>
      </c>
      <c r="E1628" t="str">
        <f t="shared" si="45"/>
        <v>OlivierN92/12/2/1</v>
      </c>
      <c r="F1628">
        <v>33</v>
      </c>
    </row>
    <row r="1629" spans="1:6" x14ac:dyDescent="0.2">
      <c r="A1629">
        <v>3</v>
      </c>
      <c r="B1629" t="s">
        <v>21</v>
      </c>
      <c r="C1629">
        <v>1</v>
      </c>
      <c r="D1629">
        <v>8</v>
      </c>
      <c r="E1629" t="str">
        <f t="shared" si="45"/>
        <v>Carmin/8/3/1</v>
      </c>
      <c r="F1629">
        <v>33</v>
      </c>
    </row>
    <row r="1630" spans="1:6" x14ac:dyDescent="0.2">
      <c r="A1630">
        <v>4</v>
      </c>
      <c r="B1630" t="s">
        <v>461</v>
      </c>
      <c r="C1630">
        <v>0</v>
      </c>
      <c r="D1630">
        <v>4</v>
      </c>
      <c r="E1630" t="str">
        <f t="shared" si="45"/>
        <v>Djecus/4/4/0</v>
      </c>
      <c r="F1630">
        <v>33</v>
      </c>
    </row>
    <row r="1631" spans="1:6" x14ac:dyDescent="0.2">
      <c r="A1631">
        <v>5</v>
      </c>
      <c r="B1631" t="s">
        <v>69</v>
      </c>
      <c r="C1631">
        <v>0</v>
      </c>
      <c r="D1631">
        <v>2</v>
      </c>
      <c r="E1631" t="str">
        <f t="shared" si="45"/>
        <v>Catherine/2/5/0</v>
      </c>
      <c r="F1631">
        <v>33</v>
      </c>
    </row>
    <row r="1632" spans="1:6" x14ac:dyDescent="0.2">
      <c r="A1632">
        <v>6</v>
      </c>
      <c r="B1632" t="s">
        <v>476</v>
      </c>
      <c r="C1632">
        <v>0</v>
      </c>
      <c r="D1632">
        <v>1</v>
      </c>
      <c r="E1632" t="str">
        <f t="shared" si="45"/>
        <v>MegaSouche/1/6/0</v>
      </c>
      <c r="F1632">
        <v>33</v>
      </c>
    </row>
    <row r="1633" spans="1:6" x14ac:dyDescent="0.2">
      <c r="A1633">
        <v>1</v>
      </c>
      <c r="B1633" t="s">
        <v>509</v>
      </c>
      <c r="C1633">
        <v>4</v>
      </c>
      <c r="D1633">
        <v>16</v>
      </c>
      <c r="E1633" t="str">
        <f t="shared" si="45"/>
        <v>Gibouille/16/1/4</v>
      </c>
      <c r="F1633">
        <v>33</v>
      </c>
    </row>
    <row r="1634" spans="1:6" x14ac:dyDescent="0.2">
      <c r="A1634">
        <v>2</v>
      </c>
      <c r="B1634" t="s">
        <v>55</v>
      </c>
      <c r="C1634">
        <v>1</v>
      </c>
      <c r="D1634">
        <v>12</v>
      </c>
      <c r="E1634" t="str">
        <f t="shared" si="45"/>
        <v>Bounette/12/2/1</v>
      </c>
      <c r="F1634">
        <v>33</v>
      </c>
    </row>
    <row r="1635" spans="1:6" x14ac:dyDescent="0.2">
      <c r="A1635">
        <v>3</v>
      </c>
      <c r="B1635" t="s">
        <v>558</v>
      </c>
      <c r="C1635">
        <v>0</v>
      </c>
      <c r="D1635">
        <v>8</v>
      </c>
      <c r="E1635" t="str">
        <f t="shared" si="45"/>
        <v>Light/8/3/0</v>
      </c>
      <c r="F1635">
        <v>33</v>
      </c>
    </row>
    <row r="1636" spans="1:6" x14ac:dyDescent="0.2">
      <c r="A1636">
        <v>4</v>
      </c>
      <c r="B1636" t="s">
        <v>75</v>
      </c>
      <c r="C1636">
        <v>0</v>
      </c>
      <c r="D1636">
        <v>4</v>
      </c>
      <c r="E1636" t="str">
        <f t="shared" si="45"/>
        <v>Michelbey/4/4/0</v>
      </c>
      <c r="F1636">
        <v>33</v>
      </c>
    </row>
    <row r="1637" spans="1:6" x14ac:dyDescent="0.2">
      <c r="A1637">
        <v>5</v>
      </c>
      <c r="B1637" t="s">
        <v>479</v>
      </c>
      <c r="C1637">
        <v>0</v>
      </c>
      <c r="D1637">
        <v>2</v>
      </c>
      <c r="E1637" t="str">
        <f t="shared" si="45"/>
        <v>Salender/2/5/0</v>
      </c>
      <c r="F1637">
        <v>33</v>
      </c>
    </row>
    <row r="1638" spans="1:6" x14ac:dyDescent="0.2">
      <c r="A1638">
        <v>6</v>
      </c>
      <c r="B1638" t="s">
        <v>512</v>
      </c>
      <c r="C1638">
        <v>0</v>
      </c>
      <c r="D1638">
        <v>1</v>
      </c>
      <c r="E1638" t="str">
        <f t="shared" si="45"/>
        <v>Fishtro/1/6/0</v>
      </c>
      <c r="F1638">
        <v>33</v>
      </c>
    </row>
    <row r="1639" spans="1:6" x14ac:dyDescent="0.2">
      <c r="A1639">
        <v>1</v>
      </c>
      <c r="B1639" t="s">
        <v>65</v>
      </c>
      <c r="C1639">
        <v>3</v>
      </c>
      <c r="D1639">
        <v>16</v>
      </c>
      <c r="E1639" t="str">
        <f t="shared" si="45"/>
        <v>Ripolin/16/1/3</v>
      </c>
      <c r="F1639">
        <v>33</v>
      </c>
    </row>
    <row r="1640" spans="1:6" x14ac:dyDescent="0.2">
      <c r="A1640">
        <v>2</v>
      </c>
      <c r="B1640" t="s">
        <v>66</v>
      </c>
      <c r="C1640">
        <v>0</v>
      </c>
      <c r="D1640">
        <v>12</v>
      </c>
      <c r="E1640" t="str">
        <f t="shared" si="45"/>
        <v>Ad Vitam/12/2/0</v>
      </c>
      <c r="F1640">
        <v>33</v>
      </c>
    </row>
    <row r="1641" spans="1:6" x14ac:dyDescent="0.2">
      <c r="A1641">
        <v>3</v>
      </c>
      <c r="B1641" t="s">
        <v>557</v>
      </c>
      <c r="C1641">
        <v>2</v>
      </c>
      <c r="D1641">
        <v>8</v>
      </c>
      <c r="E1641" t="str">
        <f t="shared" si="45"/>
        <v>Madridal/8/3/2</v>
      </c>
      <c r="F1641">
        <v>33</v>
      </c>
    </row>
    <row r="1642" spans="1:6" x14ac:dyDescent="0.2">
      <c r="A1642">
        <v>4</v>
      </c>
      <c r="B1642" t="s">
        <v>505</v>
      </c>
      <c r="C1642">
        <v>0</v>
      </c>
      <c r="D1642">
        <v>4</v>
      </c>
      <c r="E1642" t="str">
        <f t="shared" si="45"/>
        <v>Mams/4/4/0</v>
      </c>
      <c r="F1642">
        <v>33</v>
      </c>
    </row>
    <row r="1643" spans="1:6" x14ac:dyDescent="0.2">
      <c r="A1643">
        <v>5</v>
      </c>
      <c r="B1643" t="s">
        <v>345</v>
      </c>
      <c r="C1643">
        <v>0</v>
      </c>
      <c r="D1643">
        <v>2</v>
      </c>
      <c r="E1643" t="str">
        <f t="shared" si="45"/>
        <v>Thibaultp75/2/5/0</v>
      </c>
      <c r="F1643">
        <v>33</v>
      </c>
    </row>
    <row r="1644" spans="1:6" x14ac:dyDescent="0.2">
      <c r="A1644">
        <v>6</v>
      </c>
      <c r="B1644" t="s">
        <v>526</v>
      </c>
      <c r="C1644">
        <v>0</v>
      </c>
      <c r="D1644">
        <v>1</v>
      </c>
      <c r="E1644" t="str">
        <f t="shared" si="45"/>
        <v>Yroz/1/6/0</v>
      </c>
      <c r="F1644">
        <v>33</v>
      </c>
    </row>
    <row r="1645" spans="1:6" x14ac:dyDescent="0.2">
      <c r="A1645">
        <v>1</v>
      </c>
      <c r="B1645" t="s">
        <v>516</v>
      </c>
      <c r="C1645">
        <v>5</v>
      </c>
      <c r="D1645">
        <v>16</v>
      </c>
      <c r="E1645" t="str">
        <f t="shared" si="45"/>
        <v>Tenko/16/1/5</v>
      </c>
      <c r="F1645">
        <v>33</v>
      </c>
    </row>
    <row r="1646" spans="1:6" x14ac:dyDescent="0.2">
      <c r="A1646">
        <v>2</v>
      </c>
      <c r="B1646" t="s">
        <v>500</v>
      </c>
      <c r="C1646">
        <v>0</v>
      </c>
      <c r="D1646">
        <v>12</v>
      </c>
      <c r="E1646" t="str">
        <f t="shared" si="45"/>
        <v>Kheops/12/2/0</v>
      </c>
      <c r="F1646">
        <v>33</v>
      </c>
    </row>
    <row r="1647" spans="1:6" x14ac:dyDescent="0.2">
      <c r="A1647">
        <v>3</v>
      </c>
      <c r="B1647" t="s">
        <v>506</v>
      </c>
      <c r="C1647">
        <v>0</v>
      </c>
      <c r="D1647">
        <v>8</v>
      </c>
      <c r="E1647" t="str">
        <f t="shared" si="45"/>
        <v>Zubbaz/8/3/0</v>
      </c>
      <c r="F1647">
        <v>33</v>
      </c>
    </row>
    <row r="1648" spans="1:6" x14ac:dyDescent="0.2">
      <c r="A1648">
        <v>4</v>
      </c>
      <c r="B1648" t="s">
        <v>552</v>
      </c>
      <c r="C1648">
        <v>0</v>
      </c>
      <c r="D1648">
        <v>4</v>
      </c>
      <c r="E1648" t="str">
        <f t="shared" si="45"/>
        <v>Snake1702/4/4/0</v>
      </c>
      <c r="F1648">
        <v>33</v>
      </c>
    </row>
    <row r="1649" spans="1:6" x14ac:dyDescent="0.2">
      <c r="A1649">
        <v>5</v>
      </c>
      <c r="B1649" t="s">
        <v>42</v>
      </c>
      <c r="C1649">
        <v>0</v>
      </c>
      <c r="D1649">
        <v>2</v>
      </c>
      <c r="E1649" t="str">
        <f t="shared" si="45"/>
        <v>Claptou/2/5/0</v>
      </c>
      <c r="F1649">
        <v>33</v>
      </c>
    </row>
    <row r="1650" spans="1:6" x14ac:dyDescent="0.2">
      <c r="A1650">
        <v>6</v>
      </c>
      <c r="B1650" t="s">
        <v>73</v>
      </c>
      <c r="C1650">
        <v>0</v>
      </c>
      <c r="D1650">
        <v>1</v>
      </c>
      <c r="E1650" t="str">
        <f t="shared" si="45"/>
        <v>Flem/1/6/0</v>
      </c>
      <c r="F1650">
        <v>33</v>
      </c>
    </row>
    <row r="1651" spans="1:6" x14ac:dyDescent="0.2">
      <c r="A1651">
        <v>1</v>
      </c>
      <c r="B1651" t="s">
        <v>27</v>
      </c>
      <c r="C1651">
        <v>3</v>
      </c>
      <c r="D1651">
        <v>16</v>
      </c>
      <c r="E1651" t="str">
        <f t="shared" si="45"/>
        <v>Mandrake/16/1/3</v>
      </c>
      <c r="F1651">
        <v>33</v>
      </c>
    </row>
    <row r="1652" spans="1:6" x14ac:dyDescent="0.2">
      <c r="A1652">
        <v>2</v>
      </c>
      <c r="B1652" t="s">
        <v>521</v>
      </c>
      <c r="C1652">
        <v>2</v>
      </c>
      <c r="D1652">
        <v>12</v>
      </c>
      <c r="E1652" t="str">
        <f t="shared" si="45"/>
        <v>Jaden/12/2/2</v>
      </c>
      <c r="F1652">
        <v>33</v>
      </c>
    </row>
    <row r="1653" spans="1:6" x14ac:dyDescent="0.2">
      <c r="A1653">
        <v>3</v>
      </c>
      <c r="B1653" t="s">
        <v>490</v>
      </c>
      <c r="C1653">
        <v>0</v>
      </c>
      <c r="D1653">
        <v>8</v>
      </c>
      <c r="E1653" t="str">
        <f t="shared" si="45"/>
        <v>DernierPli/8/3/0</v>
      </c>
      <c r="F1653">
        <v>33</v>
      </c>
    </row>
    <row r="1654" spans="1:6" x14ac:dyDescent="0.2">
      <c r="A1654">
        <v>4</v>
      </c>
      <c r="B1654" t="s">
        <v>501</v>
      </c>
      <c r="C1654">
        <v>0</v>
      </c>
      <c r="D1654">
        <v>4</v>
      </c>
      <c r="E1654" t="str">
        <f t="shared" si="45"/>
        <v>Poisson Pilote/4/4/0</v>
      </c>
      <c r="F1654">
        <v>33</v>
      </c>
    </row>
    <row r="1655" spans="1:6" x14ac:dyDescent="0.2">
      <c r="A1655">
        <v>5</v>
      </c>
      <c r="B1655" t="s">
        <v>6</v>
      </c>
      <c r="C1655">
        <v>0</v>
      </c>
      <c r="D1655">
        <v>2</v>
      </c>
      <c r="E1655" t="str">
        <f t="shared" si="45"/>
        <v>Pyja/2/5/0</v>
      </c>
      <c r="F1655">
        <v>33</v>
      </c>
    </row>
    <row r="1656" spans="1:6" x14ac:dyDescent="0.2">
      <c r="A1656">
        <v>6</v>
      </c>
      <c r="B1656" t="s">
        <v>504</v>
      </c>
      <c r="C1656">
        <v>0</v>
      </c>
      <c r="D1656">
        <v>1</v>
      </c>
      <c r="E1656" t="str">
        <f t="shared" si="45"/>
        <v>Zizou/1/6/0</v>
      </c>
      <c r="F1656">
        <v>33</v>
      </c>
    </row>
    <row r="1662" spans="1:6" x14ac:dyDescent="0.2">
      <c r="B1662" s="2"/>
      <c r="C1662" s="2"/>
      <c r="D1662" s="2"/>
    </row>
    <row r="1663" spans="1:6" x14ac:dyDescent="0.2">
      <c r="B1663" s="2"/>
      <c r="C1663" s="2"/>
      <c r="D1663" s="2"/>
    </row>
    <row r="1664" spans="1:6" x14ac:dyDescent="0.2">
      <c r="A1664" s="1"/>
    </row>
    <row r="1665" spans="1:4" x14ac:dyDescent="0.2">
      <c r="A1665" s="1"/>
      <c r="B1665" s="1"/>
      <c r="C1665" s="1"/>
      <c r="D1665" s="1"/>
    </row>
    <row r="1671" spans="1:4" x14ac:dyDescent="0.2">
      <c r="B1671" s="2"/>
      <c r="C1671" s="2"/>
      <c r="D1671" s="2"/>
    </row>
    <row r="1672" spans="1:4" x14ac:dyDescent="0.2">
      <c r="B1672" s="2"/>
      <c r="C1672" s="2"/>
      <c r="D1672" s="2"/>
    </row>
    <row r="1673" spans="1:4" x14ac:dyDescent="0.2">
      <c r="B1673" s="2"/>
      <c r="C1673" s="2"/>
      <c r="D1673" s="2"/>
    </row>
    <row r="1674" spans="1:4" x14ac:dyDescent="0.2">
      <c r="A1674" s="1"/>
    </row>
    <row r="1675" spans="1:4" x14ac:dyDescent="0.2">
      <c r="A1675" s="1"/>
      <c r="B1675" s="1"/>
      <c r="C1675" s="1"/>
      <c r="D1675" s="1"/>
    </row>
    <row r="1681" spans="1:4" x14ac:dyDescent="0.2">
      <c r="B1681" s="2"/>
      <c r="C1681" s="2"/>
      <c r="D1681" s="2"/>
    </row>
    <row r="1682" spans="1:4" x14ac:dyDescent="0.2">
      <c r="B1682" s="2"/>
      <c r="C1682" s="2"/>
      <c r="D1682" s="2"/>
    </row>
    <row r="1683" spans="1:4" x14ac:dyDescent="0.2">
      <c r="B1683" s="2"/>
      <c r="C1683" s="2"/>
      <c r="D1683" s="2"/>
    </row>
    <row r="1684" spans="1:4" x14ac:dyDescent="0.2">
      <c r="A1684" s="1"/>
    </row>
    <row r="1685" spans="1:4" x14ac:dyDescent="0.2">
      <c r="A1685" s="1"/>
      <c r="B1685" s="1"/>
      <c r="C1685" s="1"/>
      <c r="D1685" s="1"/>
    </row>
    <row r="1691" spans="1:4" x14ac:dyDescent="0.2">
      <c r="A1691" s="1"/>
    </row>
    <row r="1692" spans="1:4" x14ac:dyDescent="0.2">
      <c r="A1692" s="1"/>
      <c r="B1692" s="1"/>
      <c r="C1692" s="1"/>
      <c r="D1692" s="1"/>
    </row>
    <row r="1699" spans="1:4" x14ac:dyDescent="0.2">
      <c r="B1699" s="2"/>
      <c r="C1699" s="2"/>
      <c r="D1699" s="2"/>
    </row>
    <row r="1700" spans="1:4" x14ac:dyDescent="0.2">
      <c r="B1700" s="2"/>
      <c r="C1700" s="2"/>
      <c r="D1700" s="2"/>
    </row>
    <row r="1701" spans="1:4" x14ac:dyDescent="0.2">
      <c r="A1701" s="1"/>
    </row>
    <row r="1702" spans="1:4" x14ac:dyDescent="0.2">
      <c r="A1702" s="1"/>
      <c r="B1702" s="1"/>
      <c r="C1702" s="1"/>
      <c r="D1702" s="1"/>
    </row>
    <row r="1709" spans="1:4" x14ac:dyDescent="0.2">
      <c r="B1709" s="2"/>
      <c r="C1709" s="2"/>
      <c r="D1709" s="2"/>
    </row>
    <row r="1710" spans="1:4" x14ac:dyDescent="0.2">
      <c r="B1710" s="2"/>
      <c r="C1710" s="2"/>
      <c r="D1710" s="2"/>
    </row>
    <row r="1711" spans="1:4" x14ac:dyDescent="0.2">
      <c r="A1711" s="1"/>
    </row>
    <row r="1712" spans="1:4" x14ac:dyDescent="0.2">
      <c r="A1712" s="1"/>
      <c r="B1712" s="1"/>
      <c r="C1712" s="1"/>
      <c r="D1712" s="1"/>
    </row>
    <row r="1720" spans="1:4" x14ac:dyDescent="0.2">
      <c r="B1720" s="2"/>
      <c r="C1720" s="2"/>
      <c r="D1720" s="2"/>
    </row>
    <row r="1721" spans="1:4" x14ac:dyDescent="0.2">
      <c r="A1721" s="1"/>
    </row>
    <row r="1722" spans="1:4" x14ac:dyDescent="0.2">
      <c r="A1722" s="1"/>
      <c r="B1722" s="1"/>
      <c r="C1722" s="1"/>
      <c r="D1722" s="1"/>
    </row>
    <row r="1730" spans="1:4" x14ac:dyDescent="0.2">
      <c r="B1730" s="2"/>
      <c r="C1730" s="2"/>
      <c r="D1730" s="2"/>
    </row>
    <row r="1731" spans="1:4" x14ac:dyDescent="0.2">
      <c r="A1731" s="1"/>
    </row>
    <row r="1732" spans="1:4" x14ac:dyDescent="0.2">
      <c r="A1732" s="1"/>
      <c r="B1732" s="1"/>
      <c r="C1732" s="1"/>
      <c r="D1732" s="1"/>
    </row>
    <row r="1740" spans="1:4" x14ac:dyDescent="0.2">
      <c r="A1740" s="1"/>
    </row>
    <row r="1741" spans="1:4" x14ac:dyDescent="0.2">
      <c r="A1741" s="1"/>
      <c r="B1741" s="1"/>
      <c r="C1741" s="1"/>
      <c r="D1741" s="1"/>
    </row>
    <row r="1747" spans="1:4" x14ac:dyDescent="0.2">
      <c r="B1747" s="2"/>
      <c r="C1747" s="2"/>
      <c r="D1747" s="2"/>
    </row>
    <row r="1748" spans="1:4" x14ac:dyDescent="0.2">
      <c r="B1748" s="2"/>
      <c r="C1748" s="2"/>
      <c r="D1748" s="2"/>
    </row>
    <row r="1749" spans="1:4" x14ac:dyDescent="0.2">
      <c r="B1749" s="2"/>
      <c r="C1749" s="2"/>
      <c r="D1749" s="2"/>
    </row>
    <row r="1750" spans="1:4" x14ac:dyDescent="0.2">
      <c r="A1750" s="1"/>
    </row>
    <row r="1751" spans="1:4" x14ac:dyDescent="0.2">
      <c r="A1751" s="1"/>
      <c r="B1751" s="1"/>
      <c r="C1751" s="1"/>
      <c r="D1751" s="1"/>
    </row>
    <row r="1758" spans="1:4" x14ac:dyDescent="0.2">
      <c r="B1758" s="2"/>
      <c r="C1758" s="2"/>
      <c r="D1758" s="2"/>
    </row>
    <row r="1759" spans="1:4" x14ac:dyDescent="0.2">
      <c r="B1759" s="2"/>
      <c r="C1759" s="2"/>
      <c r="D1759" s="2"/>
    </row>
    <row r="1760" spans="1:4" x14ac:dyDescent="0.2">
      <c r="A1760" s="1"/>
    </row>
    <row r="1761" spans="1:4" x14ac:dyDescent="0.2">
      <c r="A1761" s="1"/>
      <c r="B1761" s="1"/>
      <c r="C1761" s="1"/>
      <c r="D1761" s="1"/>
    </row>
    <row r="1767" spans="1:4" x14ac:dyDescent="0.2">
      <c r="B1767" s="2"/>
      <c r="C1767" s="2"/>
      <c r="D1767" s="2"/>
    </row>
    <row r="1768" spans="1:4" x14ac:dyDescent="0.2">
      <c r="B1768" s="2"/>
      <c r="C1768" s="2"/>
      <c r="D1768" s="2"/>
    </row>
    <row r="1769" spans="1:4" x14ac:dyDescent="0.2">
      <c r="B1769" s="2"/>
      <c r="C1769" s="2"/>
      <c r="D1769" s="2"/>
    </row>
    <row r="1770" spans="1:4" x14ac:dyDescent="0.2">
      <c r="A1770" s="1"/>
    </row>
    <row r="1771" spans="1:4" x14ac:dyDescent="0.2">
      <c r="A1771" s="1"/>
      <c r="B1771" s="1"/>
      <c r="C1771" s="1"/>
      <c r="D1771" s="1"/>
    </row>
    <row r="1778" spans="1:4" x14ac:dyDescent="0.2">
      <c r="B1778" s="2"/>
      <c r="C1778" s="2"/>
      <c r="D1778" s="2"/>
    </row>
    <row r="1779" spans="1:4" x14ac:dyDescent="0.2">
      <c r="B1779" s="2"/>
      <c r="C1779" s="2"/>
      <c r="D1779" s="2"/>
    </row>
    <row r="1780" spans="1:4" x14ac:dyDescent="0.2">
      <c r="A1780" s="1"/>
    </row>
    <row r="1781" spans="1:4" x14ac:dyDescent="0.2">
      <c r="A1781" s="1"/>
      <c r="B1781" s="1"/>
      <c r="C1781" s="1"/>
      <c r="D1781" s="1"/>
    </row>
    <row r="1788" spans="1:4" x14ac:dyDescent="0.2">
      <c r="B1788" s="2"/>
      <c r="C1788" s="2"/>
      <c r="D1788" s="2"/>
    </row>
    <row r="1789" spans="1:4" x14ac:dyDescent="0.2">
      <c r="B1789" s="2"/>
      <c r="C1789" s="2"/>
      <c r="D1789" s="2"/>
    </row>
    <row r="1790" spans="1:4" x14ac:dyDescent="0.2">
      <c r="A1790" s="1"/>
    </row>
    <row r="1791" spans="1:4" x14ac:dyDescent="0.2">
      <c r="A1791" s="1"/>
      <c r="B1791" s="1"/>
      <c r="C1791" s="1"/>
      <c r="D1791" s="1"/>
    </row>
    <row r="1798" spans="2:4" x14ac:dyDescent="0.2">
      <c r="B1798" s="2"/>
      <c r="C1798" s="2"/>
      <c r="D1798" s="2"/>
    </row>
    <row r="1799" spans="2:4" x14ac:dyDescent="0.2">
      <c r="B1799" s="2"/>
      <c r="C1799" s="2"/>
      <c r="D1799" s="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683FC-4AE3-AE49-952C-511C7DEDEA40}">
  <sheetPr codeName="Sheet12"/>
  <dimension ref="A1:Q254"/>
  <sheetViews>
    <sheetView zoomScale="90" zoomScaleNormal="90" workbookViewId="0">
      <selection activeCell="B5" sqref="B5"/>
    </sheetView>
  </sheetViews>
  <sheetFormatPr baseColWidth="10" defaultRowHeight="16" x14ac:dyDescent="0.2"/>
  <cols>
    <col min="1" max="1" width="17.6640625" bestFit="1" customWidth="1"/>
    <col min="2" max="2" width="17.6640625" customWidth="1"/>
    <col min="3" max="3" width="5.6640625" customWidth="1"/>
    <col min="4" max="4" width="17.83203125" bestFit="1" customWidth="1"/>
    <col min="9" max="9" width="10.83203125" style="8" customWidth="1"/>
  </cols>
  <sheetData>
    <row r="1" spans="1:17" x14ac:dyDescent="0.2">
      <c r="A1" t="s">
        <v>329</v>
      </c>
      <c r="B1" t="s">
        <v>330</v>
      </c>
      <c r="D1" t="s">
        <v>2</v>
      </c>
      <c r="E1" t="s">
        <v>109</v>
      </c>
      <c r="F1" t="s">
        <v>110</v>
      </c>
      <c r="G1" t="s">
        <v>111</v>
      </c>
      <c r="H1" t="s">
        <v>112</v>
      </c>
      <c r="I1" s="8" t="s">
        <v>113</v>
      </c>
      <c r="K1" s="1" t="s">
        <v>108</v>
      </c>
      <c r="L1" s="1" t="s">
        <v>2</v>
      </c>
      <c r="M1" s="1" t="s">
        <v>109</v>
      </c>
      <c r="N1" s="1" t="s">
        <v>110</v>
      </c>
      <c r="O1" s="1" t="s">
        <v>111</v>
      </c>
      <c r="P1" s="1" t="s">
        <v>112</v>
      </c>
      <c r="Q1" s="1" t="s">
        <v>113</v>
      </c>
    </row>
    <row r="2" spans="1:17" x14ac:dyDescent="0.2">
      <c r="A2">
        <f t="shared" ref="A2:A65" si="0">IF(D2=L2,0,1)</f>
        <v>0</v>
      </c>
      <c r="B2">
        <f>F2-N2</f>
        <v>0</v>
      </c>
      <c r="D2" t="s">
        <v>68</v>
      </c>
      <c r="E2">
        <v>30</v>
      </c>
      <c r="F2">
        <v>326</v>
      </c>
      <c r="G2">
        <v>11</v>
      </c>
      <c r="H2">
        <v>49</v>
      </c>
      <c r="I2" s="8">
        <v>10.8666666666666</v>
      </c>
      <c r="K2">
        <v>1</v>
      </c>
      <c r="L2" t="s">
        <v>68</v>
      </c>
      <c r="M2">
        <v>30</v>
      </c>
      <c r="N2">
        <v>326</v>
      </c>
      <c r="O2">
        <v>11</v>
      </c>
      <c r="P2">
        <v>49</v>
      </c>
      <c r="Q2" t="s">
        <v>386</v>
      </c>
    </row>
    <row r="3" spans="1:17" x14ac:dyDescent="0.2">
      <c r="A3">
        <f t="shared" si="0"/>
        <v>0</v>
      </c>
      <c r="B3">
        <f t="shared" ref="B3:B66" si="1">F3-N3</f>
        <v>0</v>
      </c>
      <c r="D3" t="s">
        <v>45</v>
      </c>
      <c r="E3">
        <v>30</v>
      </c>
      <c r="F3">
        <v>305</v>
      </c>
      <c r="G3">
        <v>10</v>
      </c>
      <c r="H3">
        <v>46</v>
      </c>
      <c r="I3" s="8">
        <v>10.1666666666666</v>
      </c>
      <c r="K3">
        <v>2</v>
      </c>
      <c r="L3" t="s">
        <v>45</v>
      </c>
      <c r="M3">
        <v>30</v>
      </c>
      <c r="N3">
        <v>305</v>
      </c>
      <c r="O3">
        <v>10</v>
      </c>
      <c r="P3">
        <v>46</v>
      </c>
      <c r="Q3" t="s">
        <v>420</v>
      </c>
    </row>
    <row r="4" spans="1:17" x14ac:dyDescent="0.2">
      <c r="A4">
        <f t="shared" si="0"/>
        <v>0</v>
      </c>
      <c r="B4">
        <f t="shared" si="1"/>
        <v>1</v>
      </c>
      <c r="D4" t="s">
        <v>75</v>
      </c>
      <c r="E4">
        <v>30</v>
      </c>
      <c r="F4">
        <v>299</v>
      </c>
      <c r="G4">
        <v>5</v>
      </c>
      <c r="H4">
        <v>28</v>
      </c>
      <c r="I4" s="8">
        <v>9.9666666666666597</v>
      </c>
      <c r="K4">
        <v>3</v>
      </c>
      <c r="L4" t="s">
        <v>75</v>
      </c>
      <c r="M4">
        <v>30</v>
      </c>
      <c r="N4">
        <v>298</v>
      </c>
      <c r="O4">
        <v>5</v>
      </c>
      <c r="P4">
        <v>28</v>
      </c>
      <c r="Q4" t="s">
        <v>421</v>
      </c>
    </row>
    <row r="5" spans="1:17" x14ac:dyDescent="0.2">
      <c r="A5">
        <f t="shared" si="0"/>
        <v>0</v>
      </c>
      <c r="B5">
        <f t="shared" si="1"/>
        <v>0</v>
      </c>
      <c r="D5" t="s">
        <v>46</v>
      </c>
      <c r="E5">
        <v>30</v>
      </c>
      <c r="F5">
        <v>293</v>
      </c>
      <c r="G5">
        <v>7</v>
      </c>
      <c r="H5">
        <v>22</v>
      </c>
      <c r="I5" s="8">
        <v>9.7666666666666604</v>
      </c>
      <c r="K5">
        <v>4</v>
      </c>
      <c r="L5" t="s">
        <v>46</v>
      </c>
      <c r="M5">
        <v>30</v>
      </c>
      <c r="N5">
        <v>293</v>
      </c>
      <c r="O5">
        <v>7</v>
      </c>
      <c r="P5">
        <v>22</v>
      </c>
      <c r="Q5" t="s">
        <v>422</v>
      </c>
    </row>
    <row r="6" spans="1:17" x14ac:dyDescent="0.2">
      <c r="A6">
        <f t="shared" si="0"/>
        <v>0</v>
      </c>
      <c r="B6">
        <f t="shared" si="1"/>
        <v>0</v>
      </c>
      <c r="D6" t="s">
        <v>12</v>
      </c>
      <c r="E6">
        <v>30</v>
      </c>
      <c r="F6">
        <v>291</v>
      </c>
      <c r="G6">
        <v>10</v>
      </c>
      <c r="H6">
        <v>50</v>
      </c>
      <c r="I6" s="8">
        <v>9.6999999999999993</v>
      </c>
      <c r="K6">
        <v>5</v>
      </c>
      <c r="L6" t="s">
        <v>12</v>
      </c>
      <c r="M6">
        <v>30</v>
      </c>
      <c r="N6">
        <v>291</v>
      </c>
      <c r="O6">
        <v>10</v>
      </c>
      <c r="P6">
        <v>50</v>
      </c>
      <c r="Q6" t="s">
        <v>353</v>
      </c>
    </row>
    <row r="7" spans="1:17" x14ac:dyDescent="0.2">
      <c r="A7">
        <f t="shared" si="0"/>
        <v>0</v>
      </c>
      <c r="B7">
        <f t="shared" si="1"/>
        <v>2</v>
      </c>
      <c r="D7" t="s">
        <v>6</v>
      </c>
      <c r="E7">
        <v>30</v>
      </c>
      <c r="F7">
        <v>287</v>
      </c>
      <c r="G7">
        <v>9</v>
      </c>
      <c r="H7">
        <v>22</v>
      </c>
      <c r="I7" s="8">
        <v>9.5666666666666593</v>
      </c>
      <c r="K7">
        <v>6</v>
      </c>
      <c r="L7" t="s">
        <v>6</v>
      </c>
      <c r="M7">
        <v>30</v>
      </c>
      <c r="N7">
        <v>285</v>
      </c>
      <c r="O7">
        <v>9</v>
      </c>
      <c r="P7">
        <v>22</v>
      </c>
      <c r="Q7" t="s">
        <v>159</v>
      </c>
    </row>
    <row r="8" spans="1:17" x14ac:dyDescent="0.2">
      <c r="A8">
        <f t="shared" si="0"/>
        <v>0</v>
      </c>
      <c r="B8">
        <f t="shared" si="1"/>
        <v>0</v>
      </c>
      <c r="D8" t="s">
        <v>54</v>
      </c>
      <c r="E8">
        <v>30</v>
      </c>
      <c r="F8">
        <v>279</v>
      </c>
      <c r="G8">
        <v>8</v>
      </c>
      <c r="H8">
        <v>27</v>
      </c>
      <c r="I8" s="8">
        <v>9.3000000000000007</v>
      </c>
      <c r="K8">
        <v>7</v>
      </c>
      <c r="L8" t="s">
        <v>54</v>
      </c>
      <c r="M8">
        <v>30</v>
      </c>
      <c r="N8">
        <v>279</v>
      </c>
      <c r="O8">
        <v>8</v>
      </c>
      <c r="P8">
        <v>27</v>
      </c>
      <c r="Q8" t="s">
        <v>354</v>
      </c>
    </row>
    <row r="9" spans="1:17" x14ac:dyDescent="0.2">
      <c r="A9">
        <f t="shared" si="0"/>
        <v>0</v>
      </c>
      <c r="B9">
        <f t="shared" si="1"/>
        <v>0</v>
      </c>
      <c r="D9" t="s">
        <v>73</v>
      </c>
      <c r="E9">
        <v>30</v>
      </c>
      <c r="F9">
        <v>277</v>
      </c>
      <c r="G9">
        <v>10</v>
      </c>
      <c r="H9">
        <v>40</v>
      </c>
      <c r="I9" s="8">
        <v>9.2333333333333307</v>
      </c>
      <c r="K9">
        <v>8</v>
      </c>
      <c r="L9" t="s">
        <v>73</v>
      </c>
      <c r="M9">
        <v>30</v>
      </c>
      <c r="N9">
        <v>277</v>
      </c>
      <c r="O9">
        <v>10</v>
      </c>
      <c r="P9">
        <v>40</v>
      </c>
      <c r="Q9" t="s">
        <v>423</v>
      </c>
    </row>
    <row r="10" spans="1:17" x14ac:dyDescent="0.2">
      <c r="A10">
        <f t="shared" si="0"/>
        <v>0</v>
      </c>
      <c r="B10">
        <f t="shared" si="1"/>
        <v>2</v>
      </c>
      <c r="D10" t="s">
        <v>25</v>
      </c>
      <c r="E10">
        <v>30</v>
      </c>
      <c r="F10">
        <v>266</v>
      </c>
      <c r="G10">
        <v>2</v>
      </c>
      <c r="H10">
        <v>18</v>
      </c>
      <c r="I10" s="8">
        <v>8.86666666666666</v>
      </c>
      <c r="K10">
        <v>9</v>
      </c>
      <c r="L10" t="s">
        <v>25</v>
      </c>
      <c r="M10">
        <v>30</v>
      </c>
      <c r="N10">
        <v>264</v>
      </c>
      <c r="O10">
        <v>2</v>
      </c>
      <c r="P10">
        <v>18</v>
      </c>
      <c r="Q10" t="s">
        <v>124</v>
      </c>
    </row>
    <row r="11" spans="1:17" x14ac:dyDescent="0.2">
      <c r="A11">
        <f t="shared" si="0"/>
        <v>0</v>
      </c>
      <c r="B11">
        <f t="shared" si="1"/>
        <v>0</v>
      </c>
      <c r="D11" t="s">
        <v>59</v>
      </c>
      <c r="E11">
        <v>30</v>
      </c>
      <c r="F11">
        <v>257</v>
      </c>
      <c r="G11">
        <v>7</v>
      </c>
      <c r="H11">
        <v>31</v>
      </c>
      <c r="I11" s="8">
        <v>8.5666666666666593</v>
      </c>
      <c r="K11">
        <v>10</v>
      </c>
      <c r="L11" t="s">
        <v>59</v>
      </c>
      <c r="M11">
        <v>30</v>
      </c>
      <c r="N11">
        <v>257</v>
      </c>
      <c r="O11">
        <v>7</v>
      </c>
      <c r="P11">
        <v>31</v>
      </c>
      <c r="Q11" t="s">
        <v>424</v>
      </c>
    </row>
    <row r="12" spans="1:17" x14ac:dyDescent="0.2">
      <c r="A12">
        <f t="shared" si="0"/>
        <v>0</v>
      </c>
      <c r="B12">
        <f t="shared" si="1"/>
        <v>0</v>
      </c>
      <c r="D12" t="s">
        <v>9</v>
      </c>
      <c r="E12">
        <v>30</v>
      </c>
      <c r="F12">
        <v>256</v>
      </c>
      <c r="G12">
        <v>9</v>
      </c>
      <c r="H12">
        <v>43</v>
      </c>
      <c r="I12" s="8">
        <v>8.5333333333333297</v>
      </c>
      <c r="K12">
        <v>11</v>
      </c>
      <c r="L12" t="s">
        <v>9</v>
      </c>
      <c r="M12">
        <v>30</v>
      </c>
      <c r="N12">
        <v>256</v>
      </c>
      <c r="O12">
        <v>9</v>
      </c>
      <c r="P12">
        <v>43</v>
      </c>
      <c r="Q12" t="s">
        <v>387</v>
      </c>
    </row>
    <row r="13" spans="1:17" x14ac:dyDescent="0.2">
      <c r="A13">
        <f t="shared" si="0"/>
        <v>0</v>
      </c>
      <c r="B13">
        <f t="shared" si="1"/>
        <v>0</v>
      </c>
      <c r="D13" t="s">
        <v>50</v>
      </c>
      <c r="E13">
        <v>30</v>
      </c>
      <c r="F13">
        <v>256</v>
      </c>
      <c r="G13">
        <v>6</v>
      </c>
      <c r="H13">
        <v>27</v>
      </c>
      <c r="I13" s="8">
        <v>8.5333333333333297</v>
      </c>
      <c r="K13">
        <v>12</v>
      </c>
      <c r="L13" t="s">
        <v>50</v>
      </c>
      <c r="M13">
        <v>30</v>
      </c>
      <c r="N13">
        <v>256</v>
      </c>
      <c r="O13">
        <v>6</v>
      </c>
      <c r="P13">
        <v>27</v>
      </c>
      <c r="Q13" t="s">
        <v>387</v>
      </c>
    </row>
    <row r="14" spans="1:17" x14ac:dyDescent="0.2">
      <c r="A14">
        <f t="shared" si="0"/>
        <v>1</v>
      </c>
      <c r="B14">
        <f t="shared" si="1"/>
        <v>1</v>
      </c>
      <c r="D14" t="s">
        <v>41</v>
      </c>
      <c r="E14">
        <v>30</v>
      </c>
      <c r="F14">
        <v>254</v>
      </c>
      <c r="G14">
        <v>4</v>
      </c>
      <c r="H14">
        <v>25</v>
      </c>
      <c r="I14" s="8">
        <v>8.4666666666666597</v>
      </c>
      <c r="K14">
        <v>13</v>
      </c>
      <c r="L14" t="s">
        <v>19</v>
      </c>
      <c r="M14">
        <v>30</v>
      </c>
      <c r="N14">
        <v>253</v>
      </c>
      <c r="O14">
        <v>7</v>
      </c>
      <c r="P14">
        <v>30</v>
      </c>
      <c r="Q14" t="s">
        <v>425</v>
      </c>
    </row>
    <row r="15" spans="1:17" x14ac:dyDescent="0.2">
      <c r="A15">
        <f t="shared" si="0"/>
        <v>1</v>
      </c>
      <c r="B15">
        <f t="shared" si="1"/>
        <v>2</v>
      </c>
      <c r="D15" t="s">
        <v>19</v>
      </c>
      <c r="E15">
        <v>30</v>
      </c>
      <c r="F15">
        <v>253</v>
      </c>
      <c r="G15">
        <v>7</v>
      </c>
      <c r="H15">
        <v>30</v>
      </c>
      <c r="I15" s="8">
        <v>8.43333333333333</v>
      </c>
      <c r="K15">
        <v>14</v>
      </c>
      <c r="L15" t="s">
        <v>41</v>
      </c>
      <c r="M15">
        <v>30</v>
      </c>
      <c r="N15">
        <v>251</v>
      </c>
      <c r="O15">
        <v>4</v>
      </c>
      <c r="P15">
        <v>25</v>
      </c>
      <c r="Q15" t="s">
        <v>388</v>
      </c>
    </row>
    <row r="16" spans="1:17" x14ac:dyDescent="0.2">
      <c r="A16">
        <f t="shared" si="0"/>
        <v>0</v>
      </c>
      <c r="B16">
        <f t="shared" si="1"/>
        <v>1</v>
      </c>
      <c r="D16" t="s">
        <v>55</v>
      </c>
      <c r="E16">
        <v>30</v>
      </c>
      <c r="F16">
        <v>238</v>
      </c>
      <c r="G16">
        <v>4</v>
      </c>
      <c r="H16">
        <v>26</v>
      </c>
      <c r="I16" s="8">
        <v>7.93333333333333</v>
      </c>
      <c r="K16">
        <v>15</v>
      </c>
      <c r="L16" t="s">
        <v>55</v>
      </c>
      <c r="M16">
        <v>30</v>
      </c>
      <c r="N16">
        <v>237</v>
      </c>
      <c r="O16">
        <v>4</v>
      </c>
      <c r="P16">
        <v>26</v>
      </c>
      <c r="Q16" t="s">
        <v>340</v>
      </c>
    </row>
    <row r="17" spans="1:17" x14ac:dyDescent="0.2">
      <c r="A17">
        <f t="shared" si="0"/>
        <v>0</v>
      </c>
      <c r="B17">
        <f t="shared" si="1"/>
        <v>1</v>
      </c>
      <c r="D17" t="s">
        <v>26</v>
      </c>
      <c r="E17">
        <v>30</v>
      </c>
      <c r="F17">
        <v>236</v>
      </c>
      <c r="G17">
        <v>4</v>
      </c>
      <c r="H17">
        <v>24</v>
      </c>
      <c r="I17" s="8">
        <v>7.86666666666666</v>
      </c>
      <c r="K17">
        <v>16</v>
      </c>
      <c r="L17" t="s">
        <v>26</v>
      </c>
      <c r="M17">
        <v>30</v>
      </c>
      <c r="N17">
        <v>235</v>
      </c>
      <c r="O17">
        <v>4</v>
      </c>
      <c r="P17">
        <v>24</v>
      </c>
      <c r="Q17" t="s">
        <v>426</v>
      </c>
    </row>
    <row r="18" spans="1:17" x14ac:dyDescent="0.2">
      <c r="A18">
        <f t="shared" si="0"/>
        <v>0</v>
      </c>
      <c r="B18">
        <f t="shared" si="1"/>
        <v>1</v>
      </c>
      <c r="D18" t="s">
        <v>69</v>
      </c>
      <c r="E18">
        <v>30</v>
      </c>
      <c r="F18">
        <v>236</v>
      </c>
      <c r="G18">
        <v>2</v>
      </c>
      <c r="H18">
        <v>14</v>
      </c>
      <c r="I18" s="8">
        <v>7.86666666666666</v>
      </c>
      <c r="K18">
        <v>17</v>
      </c>
      <c r="L18" t="s">
        <v>69</v>
      </c>
      <c r="M18">
        <v>30</v>
      </c>
      <c r="N18">
        <v>235</v>
      </c>
      <c r="O18">
        <v>2</v>
      </c>
      <c r="P18">
        <v>14</v>
      </c>
      <c r="Q18" t="s">
        <v>426</v>
      </c>
    </row>
    <row r="19" spans="1:17" x14ac:dyDescent="0.2">
      <c r="A19">
        <f t="shared" si="0"/>
        <v>0</v>
      </c>
      <c r="B19">
        <f t="shared" si="1"/>
        <v>0</v>
      </c>
      <c r="D19" t="s">
        <v>14</v>
      </c>
      <c r="E19">
        <v>30</v>
      </c>
      <c r="F19">
        <v>230</v>
      </c>
      <c r="G19">
        <v>7</v>
      </c>
      <c r="H19">
        <v>22</v>
      </c>
      <c r="I19" s="8">
        <v>7.6666666666666599</v>
      </c>
      <c r="K19">
        <v>18</v>
      </c>
      <c r="L19" t="s">
        <v>14</v>
      </c>
      <c r="M19">
        <v>30</v>
      </c>
      <c r="N19">
        <v>230</v>
      </c>
      <c r="O19">
        <v>7</v>
      </c>
      <c r="P19">
        <v>22</v>
      </c>
      <c r="Q19" t="s">
        <v>389</v>
      </c>
    </row>
    <row r="20" spans="1:17" x14ac:dyDescent="0.2">
      <c r="A20">
        <f t="shared" si="0"/>
        <v>0</v>
      </c>
      <c r="B20">
        <f t="shared" si="1"/>
        <v>0</v>
      </c>
      <c r="D20" t="s">
        <v>40</v>
      </c>
      <c r="E20">
        <v>30</v>
      </c>
      <c r="F20">
        <v>228</v>
      </c>
      <c r="G20">
        <v>6</v>
      </c>
      <c r="H20">
        <v>41</v>
      </c>
      <c r="I20" s="8">
        <v>7.6</v>
      </c>
      <c r="K20">
        <v>19</v>
      </c>
      <c r="L20" t="s">
        <v>40</v>
      </c>
      <c r="M20">
        <v>30</v>
      </c>
      <c r="N20">
        <v>228</v>
      </c>
      <c r="O20">
        <v>6</v>
      </c>
      <c r="P20">
        <v>41</v>
      </c>
      <c r="Q20" t="s">
        <v>154</v>
      </c>
    </row>
    <row r="21" spans="1:17" x14ac:dyDescent="0.2">
      <c r="A21">
        <f t="shared" si="0"/>
        <v>0</v>
      </c>
      <c r="B21">
        <f t="shared" si="1"/>
        <v>0</v>
      </c>
      <c r="D21" t="s">
        <v>76</v>
      </c>
      <c r="E21">
        <v>30</v>
      </c>
      <c r="F21">
        <v>226</v>
      </c>
      <c r="G21">
        <v>6</v>
      </c>
      <c r="H21">
        <v>28</v>
      </c>
      <c r="I21" s="8">
        <v>7.5333333333333297</v>
      </c>
      <c r="K21">
        <v>20</v>
      </c>
      <c r="L21" t="s">
        <v>76</v>
      </c>
      <c r="M21">
        <v>30</v>
      </c>
      <c r="N21">
        <v>226</v>
      </c>
      <c r="O21">
        <v>6</v>
      </c>
      <c r="P21">
        <v>28</v>
      </c>
      <c r="Q21" t="s">
        <v>390</v>
      </c>
    </row>
    <row r="22" spans="1:17" x14ac:dyDescent="0.2">
      <c r="A22">
        <f t="shared" si="0"/>
        <v>0</v>
      </c>
      <c r="B22">
        <f t="shared" si="1"/>
        <v>0</v>
      </c>
      <c r="D22" t="s">
        <v>18</v>
      </c>
      <c r="E22">
        <v>28</v>
      </c>
      <c r="F22">
        <v>225</v>
      </c>
      <c r="G22">
        <v>4</v>
      </c>
      <c r="H22">
        <v>24</v>
      </c>
      <c r="I22" s="8">
        <v>8.0357142857142794</v>
      </c>
      <c r="K22">
        <v>21</v>
      </c>
      <c r="L22" t="s">
        <v>18</v>
      </c>
      <c r="M22">
        <v>28</v>
      </c>
      <c r="N22">
        <v>225</v>
      </c>
      <c r="O22">
        <v>4</v>
      </c>
      <c r="P22">
        <v>24</v>
      </c>
      <c r="Q22" t="s">
        <v>391</v>
      </c>
    </row>
    <row r="23" spans="1:17" x14ac:dyDescent="0.2">
      <c r="A23">
        <f t="shared" si="0"/>
        <v>0</v>
      </c>
      <c r="B23">
        <f t="shared" si="1"/>
        <v>0</v>
      </c>
      <c r="D23" t="s">
        <v>8</v>
      </c>
      <c r="E23">
        <v>28</v>
      </c>
      <c r="F23">
        <v>224</v>
      </c>
      <c r="G23">
        <v>7</v>
      </c>
      <c r="H23">
        <v>27</v>
      </c>
      <c r="I23" s="8">
        <v>8</v>
      </c>
      <c r="K23">
        <v>22</v>
      </c>
      <c r="L23" t="s">
        <v>8</v>
      </c>
      <c r="M23">
        <v>28</v>
      </c>
      <c r="N23">
        <v>224</v>
      </c>
      <c r="O23">
        <v>7</v>
      </c>
      <c r="P23">
        <v>27</v>
      </c>
      <c r="Q23">
        <v>8</v>
      </c>
    </row>
    <row r="24" spans="1:17" x14ac:dyDescent="0.2">
      <c r="A24">
        <f t="shared" si="0"/>
        <v>0</v>
      </c>
      <c r="B24">
        <f t="shared" si="1"/>
        <v>1</v>
      </c>
      <c r="D24" t="s">
        <v>39</v>
      </c>
      <c r="E24">
        <v>30</v>
      </c>
      <c r="F24">
        <v>224</v>
      </c>
      <c r="G24">
        <v>5</v>
      </c>
      <c r="H24">
        <v>31</v>
      </c>
      <c r="I24" s="8">
        <v>7.4666666666666597</v>
      </c>
      <c r="K24">
        <v>23</v>
      </c>
      <c r="L24" t="s">
        <v>39</v>
      </c>
      <c r="M24">
        <v>30</v>
      </c>
      <c r="N24">
        <v>223</v>
      </c>
      <c r="O24">
        <v>5</v>
      </c>
      <c r="P24">
        <v>31</v>
      </c>
      <c r="Q24" t="s">
        <v>392</v>
      </c>
    </row>
    <row r="25" spans="1:17" x14ac:dyDescent="0.2">
      <c r="A25">
        <f t="shared" si="0"/>
        <v>0</v>
      </c>
      <c r="B25">
        <f t="shared" si="1"/>
        <v>0</v>
      </c>
      <c r="D25" t="s">
        <v>35</v>
      </c>
      <c r="E25">
        <v>30</v>
      </c>
      <c r="F25">
        <v>221</v>
      </c>
      <c r="G25">
        <v>3</v>
      </c>
      <c r="H25">
        <v>18</v>
      </c>
      <c r="I25" s="8">
        <v>7.36666666666666</v>
      </c>
      <c r="K25">
        <v>24</v>
      </c>
      <c r="L25" t="s">
        <v>35</v>
      </c>
      <c r="M25">
        <v>30</v>
      </c>
      <c r="N25">
        <v>221</v>
      </c>
      <c r="O25">
        <v>3</v>
      </c>
      <c r="P25">
        <v>18</v>
      </c>
      <c r="Q25" t="s">
        <v>427</v>
      </c>
    </row>
    <row r="26" spans="1:17" x14ac:dyDescent="0.2">
      <c r="A26">
        <f t="shared" si="0"/>
        <v>0</v>
      </c>
      <c r="B26">
        <f t="shared" si="1"/>
        <v>0</v>
      </c>
      <c r="D26" t="s">
        <v>52</v>
      </c>
      <c r="E26">
        <v>29</v>
      </c>
      <c r="F26">
        <v>218</v>
      </c>
      <c r="G26">
        <v>10</v>
      </c>
      <c r="H26">
        <v>36</v>
      </c>
      <c r="I26" s="8">
        <v>7.5172413793103399</v>
      </c>
      <c r="J26" t="s">
        <v>379</v>
      </c>
      <c r="K26">
        <v>25</v>
      </c>
      <c r="L26" t="s">
        <v>52</v>
      </c>
      <c r="M26">
        <v>29</v>
      </c>
      <c r="N26">
        <v>218</v>
      </c>
      <c r="O26">
        <v>10</v>
      </c>
      <c r="P26">
        <v>36</v>
      </c>
      <c r="Q26" t="s">
        <v>428</v>
      </c>
    </row>
    <row r="27" spans="1:17" x14ac:dyDescent="0.2">
      <c r="A27">
        <f t="shared" si="0"/>
        <v>0</v>
      </c>
      <c r="B27">
        <f t="shared" si="1"/>
        <v>0</v>
      </c>
      <c r="D27" t="s">
        <v>23</v>
      </c>
      <c r="E27">
        <v>28</v>
      </c>
      <c r="F27">
        <v>218</v>
      </c>
      <c r="G27">
        <v>9</v>
      </c>
      <c r="H27">
        <v>21</v>
      </c>
      <c r="I27" s="8">
        <v>7.7857142857142803</v>
      </c>
      <c r="K27">
        <v>26</v>
      </c>
      <c r="L27" t="s">
        <v>23</v>
      </c>
      <c r="M27">
        <v>28</v>
      </c>
      <c r="N27">
        <v>218</v>
      </c>
      <c r="O27">
        <v>9</v>
      </c>
      <c r="P27">
        <v>21</v>
      </c>
      <c r="Q27" t="s">
        <v>396</v>
      </c>
    </row>
    <row r="28" spans="1:17" x14ac:dyDescent="0.2">
      <c r="A28">
        <f t="shared" si="0"/>
        <v>0</v>
      </c>
      <c r="B28">
        <f t="shared" si="1"/>
        <v>0</v>
      </c>
      <c r="D28" t="s">
        <v>65</v>
      </c>
      <c r="E28">
        <v>29</v>
      </c>
      <c r="F28">
        <v>214</v>
      </c>
      <c r="G28">
        <v>6</v>
      </c>
      <c r="H28">
        <v>29</v>
      </c>
      <c r="I28" s="8">
        <v>7.3793103448275801</v>
      </c>
      <c r="K28">
        <v>27</v>
      </c>
      <c r="L28" t="s">
        <v>65</v>
      </c>
      <c r="M28">
        <v>29</v>
      </c>
      <c r="N28">
        <v>214</v>
      </c>
      <c r="O28">
        <v>6</v>
      </c>
      <c r="P28">
        <v>29</v>
      </c>
      <c r="Q28" t="s">
        <v>393</v>
      </c>
    </row>
    <row r="29" spans="1:17" x14ac:dyDescent="0.2">
      <c r="A29">
        <f t="shared" si="0"/>
        <v>0</v>
      </c>
      <c r="B29">
        <f t="shared" si="1"/>
        <v>0</v>
      </c>
      <c r="D29" t="s">
        <v>61</v>
      </c>
      <c r="E29">
        <v>29</v>
      </c>
      <c r="F29">
        <v>211</v>
      </c>
      <c r="G29">
        <v>5</v>
      </c>
      <c r="H29">
        <v>21</v>
      </c>
      <c r="I29" s="8">
        <v>7.2758620689655098</v>
      </c>
      <c r="K29">
        <v>28</v>
      </c>
      <c r="L29" t="s">
        <v>61</v>
      </c>
      <c r="M29">
        <v>29</v>
      </c>
      <c r="N29">
        <v>211</v>
      </c>
      <c r="O29">
        <v>5</v>
      </c>
      <c r="P29">
        <v>21</v>
      </c>
      <c r="Q29" t="s">
        <v>429</v>
      </c>
    </row>
    <row r="30" spans="1:17" x14ac:dyDescent="0.2">
      <c r="A30">
        <f t="shared" si="0"/>
        <v>0</v>
      </c>
      <c r="B30">
        <f t="shared" si="1"/>
        <v>0</v>
      </c>
      <c r="D30" t="s">
        <v>32</v>
      </c>
      <c r="E30">
        <v>30</v>
      </c>
      <c r="F30">
        <v>211</v>
      </c>
      <c r="G30">
        <v>3</v>
      </c>
      <c r="H30">
        <v>17</v>
      </c>
      <c r="I30" s="8">
        <v>7.0333333333333297</v>
      </c>
      <c r="K30">
        <v>29</v>
      </c>
      <c r="L30" t="s">
        <v>32</v>
      </c>
      <c r="M30">
        <v>30</v>
      </c>
      <c r="N30">
        <v>211</v>
      </c>
      <c r="O30">
        <v>3</v>
      </c>
      <c r="P30">
        <v>17</v>
      </c>
      <c r="Q30" t="s">
        <v>430</v>
      </c>
    </row>
    <row r="31" spans="1:17" x14ac:dyDescent="0.2">
      <c r="A31">
        <f t="shared" si="0"/>
        <v>0</v>
      </c>
      <c r="B31">
        <f t="shared" si="1"/>
        <v>0</v>
      </c>
      <c r="D31" t="s">
        <v>101</v>
      </c>
      <c r="E31">
        <v>25</v>
      </c>
      <c r="F31">
        <v>199</v>
      </c>
      <c r="G31">
        <v>1</v>
      </c>
      <c r="H31">
        <v>19</v>
      </c>
      <c r="I31" s="8">
        <v>7.96</v>
      </c>
      <c r="K31">
        <v>30</v>
      </c>
      <c r="L31" t="s">
        <v>101</v>
      </c>
      <c r="M31">
        <v>25</v>
      </c>
      <c r="N31">
        <v>199</v>
      </c>
      <c r="O31">
        <v>1</v>
      </c>
      <c r="P31">
        <v>19</v>
      </c>
      <c r="Q31" t="s">
        <v>419</v>
      </c>
    </row>
    <row r="32" spans="1:17" x14ac:dyDescent="0.2">
      <c r="A32">
        <f t="shared" si="0"/>
        <v>1</v>
      </c>
      <c r="B32">
        <f t="shared" si="1"/>
        <v>1</v>
      </c>
      <c r="D32" t="s">
        <v>15</v>
      </c>
      <c r="E32">
        <v>30</v>
      </c>
      <c r="F32">
        <v>198</v>
      </c>
      <c r="G32">
        <v>4</v>
      </c>
      <c r="H32">
        <v>21</v>
      </c>
      <c r="I32" s="8">
        <v>6.6</v>
      </c>
      <c r="K32">
        <v>31</v>
      </c>
      <c r="L32" t="s">
        <v>66</v>
      </c>
      <c r="M32">
        <v>29</v>
      </c>
      <c r="N32">
        <v>197</v>
      </c>
      <c r="O32">
        <v>4</v>
      </c>
      <c r="P32">
        <v>24</v>
      </c>
      <c r="Q32" t="s">
        <v>431</v>
      </c>
    </row>
    <row r="33" spans="1:17" x14ac:dyDescent="0.2">
      <c r="A33">
        <f t="shared" si="0"/>
        <v>1</v>
      </c>
      <c r="B33">
        <f t="shared" si="1"/>
        <v>0</v>
      </c>
      <c r="D33" t="s">
        <v>66</v>
      </c>
      <c r="E33">
        <v>29</v>
      </c>
      <c r="F33">
        <v>197</v>
      </c>
      <c r="G33">
        <v>4</v>
      </c>
      <c r="H33">
        <v>24</v>
      </c>
      <c r="I33" s="8">
        <v>6.7931034482758603</v>
      </c>
      <c r="J33" t="s">
        <v>380</v>
      </c>
      <c r="K33">
        <v>32</v>
      </c>
      <c r="L33" t="s">
        <v>15</v>
      </c>
      <c r="M33">
        <v>30</v>
      </c>
      <c r="N33">
        <v>197</v>
      </c>
      <c r="O33">
        <v>4</v>
      </c>
      <c r="P33">
        <v>21</v>
      </c>
      <c r="Q33" t="s">
        <v>394</v>
      </c>
    </row>
    <row r="34" spans="1:17" x14ac:dyDescent="0.2">
      <c r="A34">
        <f t="shared" si="0"/>
        <v>0</v>
      </c>
      <c r="B34">
        <f t="shared" si="1"/>
        <v>0</v>
      </c>
      <c r="D34" t="s">
        <v>42</v>
      </c>
      <c r="E34">
        <v>30</v>
      </c>
      <c r="F34">
        <v>194</v>
      </c>
      <c r="G34">
        <v>5</v>
      </c>
      <c r="H34">
        <v>27</v>
      </c>
      <c r="I34" s="8">
        <v>6.4666666666666597</v>
      </c>
      <c r="K34">
        <v>33</v>
      </c>
      <c r="L34" t="s">
        <v>42</v>
      </c>
      <c r="M34">
        <v>30</v>
      </c>
      <c r="N34">
        <v>194</v>
      </c>
      <c r="O34">
        <v>5</v>
      </c>
      <c r="P34">
        <v>27</v>
      </c>
      <c r="Q34" t="s">
        <v>395</v>
      </c>
    </row>
    <row r="35" spans="1:17" x14ac:dyDescent="0.2">
      <c r="A35">
        <f t="shared" si="0"/>
        <v>0</v>
      </c>
      <c r="B35">
        <f t="shared" si="1"/>
        <v>0</v>
      </c>
      <c r="D35" t="s">
        <v>60</v>
      </c>
      <c r="E35">
        <v>26</v>
      </c>
      <c r="F35">
        <v>192</v>
      </c>
      <c r="G35">
        <v>4</v>
      </c>
      <c r="H35">
        <v>24</v>
      </c>
      <c r="I35" s="8">
        <v>7.3846153846153797</v>
      </c>
      <c r="K35">
        <v>34</v>
      </c>
      <c r="L35" t="s">
        <v>60</v>
      </c>
      <c r="M35">
        <v>26</v>
      </c>
      <c r="N35">
        <v>192</v>
      </c>
      <c r="O35">
        <v>4</v>
      </c>
      <c r="P35">
        <v>24</v>
      </c>
      <c r="Q35" t="s">
        <v>393</v>
      </c>
    </row>
    <row r="36" spans="1:17" x14ac:dyDescent="0.2">
      <c r="A36">
        <f t="shared" si="0"/>
        <v>0</v>
      </c>
      <c r="B36">
        <f t="shared" si="1"/>
        <v>0</v>
      </c>
      <c r="D36" t="s">
        <v>74</v>
      </c>
      <c r="E36">
        <v>30</v>
      </c>
      <c r="F36">
        <v>179</v>
      </c>
      <c r="G36">
        <v>3</v>
      </c>
      <c r="H36">
        <v>19</v>
      </c>
      <c r="I36" s="8">
        <v>5.9666666666666597</v>
      </c>
      <c r="K36">
        <v>35</v>
      </c>
      <c r="L36" t="s">
        <v>74</v>
      </c>
      <c r="M36">
        <v>30</v>
      </c>
      <c r="N36">
        <v>179</v>
      </c>
      <c r="O36">
        <v>3</v>
      </c>
      <c r="P36">
        <v>19</v>
      </c>
      <c r="Q36" t="s">
        <v>397</v>
      </c>
    </row>
    <row r="37" spans="1:17" x14ac:dyDescent="0.2">
      <c r="A37">
        <f t="shared" si="0"/>
        <v>0</v>
      </c>
      <c r="B37">
        <f t="shared" si="1"/>
        <v>0</v>
      </c>
      <c r="D37" t="s">
        <v>43</v>
      </c>
      <c r="E37">
        <v>19</v>
      </c>
      <c r="F37">
        <v>175</v>
      </c>
      <c r="G37">
        <v>5</v>
      </c>
      <c r="H37">
        <v>29</v>
      </c>
      <c r="I37" s="8">
        <v>9.2105263157894708</v>
      </c>
      <c r="K37">
        <v>36</v>
      </c>
      <c r="L37" t="s">
        <v>43</v>
      </c>
      <c r="M37">
        <v>19</v>
      </c>
      <c r="N37">
        <v>175</v>
      </c>
      <c r="O37">
        <v>5</v>
      </c>
      <c r="P37">
        <v>29</v>
      </c>
      <c r="Q37" t="s">
        <v>398</v>
      </c>
    </row>
    <row r="38" spans="1:17" x14ac:dyDescent="0.2">
      <c r="A38">
        <f t="shared" si="0"/>
        <v>0</v>
      </c>
      <c r="B38">
        <f t="shared" si="1"/>
        <v>0</v>
      </c>
      <c r="D38" t="s">
        <v>47</v>
      </c>
      <c r="E38">
        <v>30</v>
      </c>
      <c r="F38">
        <v>174</v>
      </c>
      <c r="G38">
        <v>3</v>
      </c>
      <c r="H38">
        <v>20</v>
      </c>
      <c r="I38" s="8">
        <v>5.8</v>
      </c>
      <c r="K38">
        <v>37</v>
      </c>
      <c r="L38" t="s">
        <v>47</v>
      </c>
      <c r="M38">
        <v>30</v>
      </c>
      <c r="N38">
        <v>174</v>
      </c>
      <c r="O38">
        <v>3</v>
      </c>
      <c r="P38">
        <v>20</v>
      </c>
      <c r="Q38" t="s">
        <v>381</v>
      </c>
    </row>
    <row r="39" spans="1:17" x14ac:dyDescent="0.2">
      <c r="A39">
        <f t="shared" si="0"/>
        <v>0</v>
      </c>
      <c r="B39">
        <f t="shared" si="1"/>
        <v>0</v>
      </c>
      <c r="D39" t="s">
        <v>31</v>
      </c>
      <c r="E39">
        <v>29</v>
      </c>
      <c r="F39">
        <v>174</v>
      </c>
      <c r="G39">
        <v>3</v>
      </c>
      <c r="H39">
        <v>14</v>
      </c>
      <c r="I39" s="8">
        <v>6</v>
      </c>
      <c r="K39">
        <v>38</v>
      </c>
      <c r="L39" t="s">
        <v>31</v>
      </c>
      <c r="M39">
        <v>29</v>
      </c>
      <c r="N39">
        <v>174</v>
      </c>
      <c r="O39">
        <v>3</v>
      </c>
      <c r="P39">
        <v>14</v>
      </c>
      <c r="Q39">
        <v>6</v>
      </c>
    </row>
    <row r="40" spans="1:17" x14ac:dyDescent="0.2">
      <c r="A40">
        <f t="shared" si="0"/>
        <v>0</v>
      </c>
      <c r="B40">
        <f t="shared" si="1"/>
        <v>0</v>
      </c>
      <c r="D40" t="s">
        <v>87</v>
      </c>
      <c r="E40">
        <v>28</v>
      </c>
      <c r="F40">
        <v>170</v>
      </c>
      <c r="G40">
        <v>6</v>
      </c>
      <c r="H40">
        <v>19</v>
      </c>
      <c r="I40" s="8">
        <v>6.0714285714285703</v>
      </c>
      <c r="K40">
        <v>39</v>
      </c>
      <c r="L40" t="s">
        <v>87</v>
      </c>
      <c r="M40">
        <v>28</v>
      </c>
      <c r="N40">
        <v>170</v>
      </c>
      <c r="O40">
        <v>6</v>
      </c>
      <c r="P40">
        <v>19</v>
      </c>
      <c r="Q40" t="s">
        <v>399</v>
      </c>
    </row>
    <row r="41" spans="1:17" x14ac:dyDescent="0.2">
      <c r="A41">
        <f t="shared" si="0"/>
        <v>0</v>
      </c>
      <c r="B41">
        <f t="shared" si="1"/>
        <v>0</v>
      </c>
      <c r="D41" t="s">
        <v>28</v>
      </c>
      <c r="E41">
        <v>30</v>
      </c>
      <c r="F41">
        <v>170</v>
      </c>
      <c r="G41">
        <v>3</v>
      </c>
      <c r="H41">
        <v>21</v>
      </c>
      <c r="I41" s="8">
        <v>5.6666666666666599</v>
      </c>
      <c r="K41">
        <v>40</v>
      </c>
      <c r="L41" t="s">
        <v>28</v>
      </c>
      <c r="M41">
        <v>30</v>
      </c>
      <c r="N41">
        <v>170</v>
      </c>
      <c r="O41">
        <v>3</v>
      </c>
      <c r="P41">
        <v>21</v>
      </c>
      <c r="Q41" t="s">
        <v>400</v>
      </c>
    </row>
    <row r="42" spans="1:17" x14ac:dyDescent="0.2">
      <c r="A42">
        <f t="shared" si="0"/>
        <v>0</v>
      </c>
      <c r="B42">
        <f t="shared" si="1"/>
        <v>1</v>
      </c>
      <c r="D42" t="s">
        <v>21</v>
      </c>
      <c r="E42">
        <v>30</v>
      </c>
      <c r="F42">
        <v>164</v>
      </c>
      <c r="G42">
        <v>0</v>
      </c>
      <c r="H42">
        <v>12</v>
      </c>
      <c r="I42" s="8">
        <v>5.4666666666666597</v>
      </c>
      <c r="K42">
        <v>41</v>
      </c>
      <c r="L42" t="s">
        <v>21</v>
      </c>
      <c r="M42">
        <v>30</v>
      </c>
      <c r="N42">
        <v>163</v>
      </c>
      <c r="O42">
        <v>0</v>
      </c>
      <c r="P42">
        <v>12</v>
      </c>
      <c r="Q42" t="s">
        <v>432</v>
      </c>
    </row>
    <row r="43" spans="1:17" x14ac:dyDescent="0.2">
      <c r="A43">
        <f t="shared" si="0"/>
        <v>0</v>
      </c>
      <c r="B43">
        <f t="shared" si="1"/>
        <v>0</v>
      </c>
      <c r="D43" t="s">
        <v>92</v>
      </c>
      <c r="E43">
        <v>27</v>
      </c>
      <c r="F43">
        <v>157</v>
      </c>
      <c r="G43">
        <v>4</v>
      </c>
      <c r="H43">
        <v>28</v>
      </c>
      <c r="I43" s="8">
        <v>5.8148148148148104</v>
      </c>
      <c r="J43" t="s">
        <v>382</v>
      </c>
      <c r="K43">
        <v>42</v>
      </c>
      <c r="L43" t="s">
        <v>92</v>
      </c>
      <c r="M43">
        <v>27</v>
      </c>
      <c r="N43">
        <v>157</v>
      </c>
      <c r="O43">
        <v>4</v>
      </c>
      <c r="P43">
        <v>28</v>
      </c>
      <c r="Q43" t="s">
        <v>433</v>
      </c>
    </row>
    <row r="44" spans="1:17" x14ac:dyDescent="0.2">
      <c r="A44">
        <f t="shared" si="0"/>
        <v>0</v>
      </c>
      <c r="B44">
        <f t="shared" si="1"/>
        <v>0</v>
      </c>
      <c r="D44" t="s">
        <v>33</v>
      </c>
      <c r="E44">
        <v>30</v>
      </c>
      <c r="F44">
        <v>157</v>
      </c>
      <c r="G44">
        <v>2</v>
      </c>
      <c r="H44">
        <v>8</v>
      </c>
      <c r="I44" s="8">
        <v>5.2333333333333298</v>
      </c>
      <c r="J44" t="s">
        <v>383</v>
      </c>
      <c r="K44">
        <v>43</v>
      </c>
      <c r="L44" t="s">
        <v>33</v>
      </c>
      <c r="M44">
        <v>30</v>
      </c>
      <c r="N44">
        <v>157</v>
      </c>
      <c r="O44">
        <v>2</v>
      </c>
      <c r="P44">
        <v>8</v>
      </c>
      <c r="Q44" t="s">
        <v>434</v>
      </c>
    </row>
    <row r="45" spans="1:17" x14ac:dyDescent="0.2">
      <c r="A45">
        <f t="shared" si="0"/>
        <v>0</v>
      </c>
      <c r="B45">
        <f t="shared" si="1"/>
        <v>0</v>
      </c>
      <c r="D45" t="s">
        <v>98</v>
      </c>
      <c r="E45">
        <v>14</v>
      </c>
      <c r="F45">
        <v>146</v>
      </c>
      <c r="G45">
        <v>5</v>
      </c>
      <c r="H45">
        <v>20</v>
      </c>
      <c r="I45" s="8">
        <v>10.4285714285714</v>
      </c>
      <c r="K45">
        <v>44</v>
      </c>
      <c r="L45" t="s">
        <v>98</v>
      </c>
      <c r="M45">
        <v>14</v>
      </c>
      <c r="N45">
        <v>146</v>
      </c>
      <c r="O45">
        <v>5</v>
      </c>
      <c r="P45">
        <v>20</v>
      </c>
      <c r="Q45" t="s">
        <v>435</v>
      </c>
    </row>
    <row r="46" spans="1:17" x14ac:dyDescent="0.2">
      <c r="A46">
        <f t="shared" si="0"/>
        <v>0</v>
      </c>
      <c r="B46">
        <f t="shared" si="1"/>
        <v>0</v>
      </c>
      <c r="D46" t="s">
        <v>22</v>
      </c>
      <c r="E46">
        <v>22</v>
      </c>
      <c r="F46">
        <v>146</v>
      </c>
      <c r="G46">
        <v>3</v>
      </c>
      <c r="H46">
        <v>19</v>
      </c>
      <c r="I46" s="8">
        <v>6.6363636363636296</v>
      </c>
      <c r="K46">
        <v>45</v>
      </c>
      <c r="L46" t="s">
        <v>22</v>
      </c>
      <c r="M46">
        <v>22</v>
      </c>
      <c r="N46">
        <v>146</v>
      </c>
      <c r="O46">
        <v>3</v>
      </c>
      <c r="P46">
        <v>19</v>
      </c>
      <c r="Q46" t="s">
        <v>401</v>
      </c>
    </row>
    <row r="47" spans="1:17" x14ac:dyDescent="0.2">
      <c r="A47">
        <f t="shared" si="0"/>
        <v>0</v>
      </c>
      <c r="B47">
        <f t="shared" si="1"/>
        <v>0</v>
      </c>
      <c r="D47" t="s">
        <v>102</v>
      </c>
      <c r="E47">
        <v>19</v>
      </c>
      <c r="F47">
        <v>126</v>
      </c>
      <c r="G47">
        <v>2</v>
      </c>
      <c r="H47">
        <v>16</v>
      </c>
      <c r="I47" s="8">
        <v>6.6315789473684204</v>
      </c>
      <c r="K47">
        <v>46</v>
      </c>
      <c r="L47" t="s">
        <v>102</v>
      </c>
      <c r="M47">
        <v>19</v>
      </c>
      <c r="N47">
        <v>126</v>
      </c>
      <c r="O47">
        <v>2</v>
      </c>
      <c r="P47">
        <v>16</v>
      </c>
      <c r="Q47" t="s">
        <v>436</v>
      </c>
    </row>
    <row r="48" spans="1:17" x14ac:dyDescent="0.2">
      <c r="A48">
        <f t="shared" si="0"/>
        <v>0</v>
      </c>
      <c r="B48">
        <f t="shared" si="1"/>
        <v>0</v>
      </c>
      <c r="D48" t="s">
        <v>53</v>
      </c>
      <c r="E48">
        <v>16</v>
      </c>
      <c r="F48">
        <v>120</v>
      </c>
      <c r="G48">
        <v>3</v>
      </c>
      <c r="H48">
        <v>16</v>
      </c>
      <c r="I48" s="8">
        <v>7.5</v>
      </c>
      <c r="K48">
        <v>47</v>
      </c>
      <c r="L48" t="s">
        <v>53</v>
      </c>
      <c r="M48">
        <v>16</v>
      </c>
      <c r="N48">
        <v>120</v>
      </c>
      <c r="O48">
        <v>3</v>
      </c>
      <c r="P48">
        <v>16</v>
      </c>
      <c r="Q48" t="s">
        <v>133</v>
      </c>
    </row>
    <row r="49" spans="1:17" x14ac:dyDescent="0.2">
      <c r="A49">
        <f t="shared" si="0"/>
        <v>0</v>
      </c>
      <c r="B49">
        <f t="shared" si="1"/>
        <v>0</v>
      </c>
      <c r="D49" t="s">
        <v>77</v>
      </c>
      <c r="E49">
        <v>12</v>
      </c>
      <c r="F49">
        <v>117</v>
      </c>
      <c r="G49">
        <v>5</v>
      </c>
      <c r="H49">
        <v>17</v>
      </c>
      <c r="I49" s="8">
        <v>9.75</v>
      </c>
      <c r="K49">
        <v>48</v>
      </c>
      <c r="L49" t="s">
        <v>77</v>
      </c>
      <c r="M49">
        <v>12</v>
      </c>
      <c r="N49">
        <v>117</v>
      </c>
      <c r="O49">
        <v>5</v>
      </c>
      <c r="P49">
        <v>17</v>
      </c>
      <c r="Q49" t="s">
        <v>384</v>
      </c>
    </row>
    <row r="50" spans="1:17" x14ac:dyDescent="0.2">
      <c r="A50">
        <f t="shared" si="0"/>
        <v>0</v>
      </c>
      <c r="B50">
        <f t="shared" si="1"/>
        <v>0</v>
      </c>
      <c r="D50" t="s">
        <v>27</v>
      </c>
      <c r="E50">
        <v>17</v>
      </c>
      <c r="F50">
        <v>117</v>
      </c>
      <c r="G50">
        <v>1</v>
      </c>
      <c r="H50">
        <v>13</v>
      </c>
      <c r="I50" s="8">
        <v>6.8823529411764701</v>
      </c>
      <c r="K50">
        <v>49</v>
      </c>
      <c r="L50" t="s">
        <v>27</v>
      </c>
      <c r="M50">
        <v>17</v>
      </c>
      <c r="N50">
        <v>117</v>
      </c>
      <c r="O50">
        <v>1</v>
      </c>
      <c r="P50">
        <v>13</v>
      </c>
      <c r="Q50" t="s">
        <v>147</v>
      </c>
    </row>
    <row r="51" spans="1:17" x14ac:dyDescent="0.2">
      <c r="A51">
        <f t="shared" si="0"/>
        <v>0</v>
      </c>
      <c r="B51">
        <f t="shared" si="1"/>
        <v>0</v>
      </c>
      <c r="D51" t="s">
        <v>94</v>
      </c>
      <c r="E51">
        <v>9</v>
      </c>
      <c r="F51">
        <v>105</v>
      </c>
      <c r="G51">
        <v>4</v>
      </c>
      <c r="H51">
        <v>22</v>
      </c>
      <c r="I51" s="8">
        <v>11.6666666666666</v>
      </c>
      <c r="J51">
        <v>22</v>
      </c>
      <c r="K51">
        <v>50</v>
      </c>
      <c r="L51" t="s">
        <v>94</v>
      </c>
      <c r="M51">
        <v>9</v>
      </c>
      <c r="N51">
        <v>105</v>
      </c>
      <c r="O51">
        <v>4</v>
      </c>
      <c r="P51">
        <v>22</v>
      </c>
      <c r="Q51" t="s">
        <v>402</v>
      </c>
    </row>
    <row r="52" spans="1:17" x14ac:dyDescent="0.2">
      <c r="A52">
        <f t="shared" si="0"/>
        <v>0</v>
      </c>
      <c r="B52">
        <f t="shared" si="1"/>
        <v>0</v>
      </c>
      <c r="D52" t="s">
        <v>29</v>
      </c>
      <c r="E52">
        <v>18</v>
      </c>
      <c r="F52">
        <v>101</v>
      </c>
      <c r="G52">
        <v>1</v>
      </c>
      <c r="H52">
        <v>10</v>
      </c>
      <c r="I52" s="8">
        <v>5.6111111111111098</v>
      </c>
      <c r="K52">
        <v>51</v>
      </c>
      <c r="L52" t="s">
        <v>29</v>
      </c>
      <c r="M52">
        <v>18</v>
      </c>
      <c r="N52">
        <v>101</v>
      </c>
      <c r="O52">
        <v>1</v>
      </c>
      <c r="P52">
        <v>10</v>
      </c>
      <c r="Q52" t="s">
        <v>403</v>
      </c>
    </row>
    <row r="53" spans="1:17" x14ac:dyDescent="0.2">
      <c r="A53">
        <f t="shared" si="0"/>
        <v>0</v>
      </c>
      <c r="B53">
        <f t="shared" si="1"/>
        <v>0</v>
      </c>
      <c r="D53" t="s">
        <v>38</v>
      </c>
      <c r="E53">
        <v>12</v>
      </c>
      <c r="F53">
        <v>99</v>
      </c>
      <c r="G53">
        <v>3</v>
      </c>
      <c r="H53">
        <v>13</v>
      </c>
      <c r="I53" s="8">
        <v>8.25</v>
      </c>
      <c r="K53">
        <v>52</v>
      </c>
      <c r="L53" t="s">
        <v>38</v>
      </c>
      <c r="M53">
        <v>12</v>
      </c>
      <c r="N53">
        <v>99</v>
      </c>
      <c r="O53">
        <v>3</v>
      </c>
      <c r="P53">
        <v>13</v>
      </c>
      <c r="Q53" t="s">
        <v>385</v>
      </c>
    </row>
    <row r="54" spans="1:17" x14ac:dyDescent="0.2">
      <c r="A54">
        <f t="shared" si="0"/>
        <v>0</v>
      </c>
      <c r="B54">
        <f t="shared" si="1"/>
        <v>0</v>
      </c>
      <c r="D54" t="s">
        <v>48</v>
      </c>
      <c r="E54">
        <v>12</v>
      </c>
      <c r="F54">
        <v>99</v>
      </c>
      <c r="G54">
        <v>2</v>
      </c>
      <c r="H54">
        <v>23</v>
      </c>
      <c r="I54" s="8">
        <v>8.25</v>
      </c>
      <c r="K54">
        <v>53</v>
      </c>
      <c r="L54" t="s">
        <v>48</v>
      </c>
      <c r="M54">
        <v>12</v>
      </c>
      <c r="N54">
        <v>99</v>
      </c>
      <c r="O54">
        <v>2</v>
      </c>
      <c r="P54">
        <v>23</v>
      </c>
      <c r="Q54" t="s">
        <v>385</v>
      </c>
    </row>
    <row r="55" spans="1:17" x14ac:dyDescent="0.2">
      <c r="A55">
        <f t="shared" si="0"/>
        <v>0</v>
      </c>
      <c r="B55">
        <f t="shared" si="1"/>
        <v>0</v>
      </c>
      <c r="D55" t="s">
        <v>345</v>
      </c>
      <c r="E55">
        <v>12</v>
      </c>
      <c r="F55">
        <v>98</v>
      </c>
      <c r="G55">
        <v>2</v>
      </c>
      <c r="H55">
        <v>8</v>
      </c>
      <c r="I55" s="8">
        <v>8.1666666666666607</v>
      </c>
      <c r="K55">
        <v>54</v>
      </c>
      <c r="L55" t="s">
        <v>345</v>
      </c>
      <c r="M55">
        <v>12</v>
      </c>
      <c r="N55">
        <v>98</v>
      </c>
      <c r="O55">
        <v>2</v>
      </c>
      <c r="P55">
        <v>8</v>
      </c>
      <c r="Q55" t="s">
        <v>437</v>
      </c>
    </row>
    <row r="56" spans="1:17" x14ac:dyDescent="0.2">
      <c r="A56">
        <f t="shared" si="0"/>
        <v>0</v>
      </c>
      <c r="B56">
        <f t="shared" si="1"/>
        <v>0</v>
      </c>
      <c r="D56" t="s">
        <v>103</v>
      </c>
      <c r="E56">
        <v>13</v>
      </c>
      <c r="F56">
        <v>88</v>
      </c>
      <c r="G56">
        <v>3</v>
      </c>
      <c r="H56">
        <v>8</v>
      </c>
      <c r="I56" s="8">
        <v>6.7692307692307603</v>
      </c>
      <c r="K56">
        <v>55</v>
      </c>
      <c r="L56" t="s">
        <v>103</v>
      </c>
      <c r="M56">
        <v>13</v>
      </c>
      <c r="N56">
        <v>88</v>
      </c>
      <c r="O56">
        <v>3</v>
      </c>
      <c r="P56">
        <v>8</v>
      </c>
      <c r="Q56" t="s">
        <v>404</v>
      </c>
    </row>
    <row r="57" spans="1:17" x14ac:dyDescent="0.2">
      <c r="A57">
        <f t="shared" si="0"/>
        <v>0</v>
      </c>
      <c r="B57">
        <f t="shared" si="1"/>
        <v>0</v>
      </c>
      <c r="D57" t="s">
        <v>305</v>
      </c>
      <c r="E57">
        <v>11</v>
      </c>
      <c r="F57">
        <v>83</v>
      </c>
      <c r="G57">
        <v>3</v>
      </c>
      <c r="H57">
        <v>11</v>
      </c>
      <c r="I57" s="8">
        <v>7.5454545454545396</v>
      </c>
      <c r="K57">
        <v>56</v>
      </c>
      <c r="L57" t="s">
        <v>305</v>
      </c>
      <c r="M57">
        <v>11</v>
      </c>
      <c r="N57">
        <v>83</v>
      </c>
      <c r="O57">
        <v>3</v>
      </c>
      <c r="P57">
        <v>11</v>
      </c>
      <c r="Q57" t="s">
        <v>405</v>
      </c>
    </row>
    <row r="58" spans="1:17" x14ac:dyDescent="0.2">
      <c r="A58">
        <f t="shared" si="0"/>
        <v>0</v>
      </c>
      <c r="B58">
        <f t="shared" si="1"/>
        <v>0</v>
      </c>
      <c r="D58" t="s">
        <v>88</v>
      </c>
      <c r="E58">
        <v>16</v>
      </c>
      <c r="F58">
        <v>78</v>
      </c>
      <c r="G58">
        <v>0</v>
      </c>
      <c r="H58">
        <v>6</v>
      </c>
      <c r="I58" s="8">
        <v>4.875</v>
      </c>
      <c r="K58">
        <v>57</v>
      </c>
      <c r="L58" t="s">
        <v>88</v>
      </c>
      <c r="M58">
        <v>16</v>
      </c>
      <c r="N58">
        <v>78</v>
      </c>
      <c r="O58">
        <v>0</v>
      </c>
      <c r="P58">
        <v>6</v>
      </c>
      <c r="Q58" t="s">
        <v>406</v>
      </c>
    </row>
    <row r="59" spans="1:17" x14ac:dyDescent="0.2">
      <c r="A59">
        <f t="shared" si="0"/>
        <v>0</v>
      </c>
      <c r="B59">
        <f t="shared" si="1"/>
        <v>0</v>
      </c>
      <c r="D59" t="s">
        <v>81</v>
      </c>
      <c r="E59">
        <v>12</v>
      </c>
      <c r="F59">
        <v>66</v>
      </c>
      <c r="G59">
        <v>1</v>
      </c>
      <c r="H59">
        <v>6</v>
      </c>
      <c r="I59" s="8">
        <v>5.5</v>
      </c>
      <c r="K59">
        <v>58</v>
      </c>
      <c r="L59" t="s">
        <v>81</v>
      </c>
      <c r="M59">
        <v>12</v>
      </c>
      <c r="N59">
        <v>66</v>
      </c>
      <c r="O59">
        <v>1</v>
      </c>
      <c r="P59">
        <v>6</v>
      </c>
      <c r="Q59" t="s">
        <v>308</v>
      </c>
    </row>
    <row r="60" spans="1:17" x14ac:dyDescent="0.2">
      <c r="A60">
        <f t="shared" si="0"/>
        <v>0</v>
      </c>
      <c r="B60">
        <f t="shared" si="1"/>
        <v>0</v>
      </c>
      <c r="D60" t="s">
        <v>63</v>
      </c>
      <c r="E60">
        <v>11</v>
      </c>
      <c r="F60">
        <v>62</v>
      </c>
      <c r="G60">
        <v>0</v>
      </c>
      <c r="H60">
        <v>4</v>
      </c>
      <c r="I60" s="8">
        <v>5.6363636363636296</v>
      </c>
      <c r="K60">
        <v>59</v>
      </c>
      <c r="L60" t="s">
        <v>63</v>
      </c>
      <c r="M60">
        <v>11</v>
      </c>
      <c r="N60">
        <v>62</v>
      </c>
      <c r="O60">
        <v>0</v>
      </c>
      <c r="P60">
        <v>4</v>
      </c>
      <c r="Q60" t="s">
        <v>407</v>
      </c>
    </row>
    <row r="61" spans="1:17" x14ac:dyDescent="0.2">
      <c r="A61">
        <f t="shared" si="0"/>
        <v>0</v>
      </c>
      <c r="B61">
        <f t="shared" si="1"/>
        <v>0</v>
      </c>
      <c r="D61" t="s">
        <v>5</v>
      </c>
      <c r="E61">
        <v>8</v>
      </c>
      <c r="F61">
        <v>55</v>
      </c>
      <c r="G61">
        <v>2</v>
      </c>
      <c r="H61">
        <v>9</v>
      </c>
      <c r="I61" s="8">
        <v>6.875</v>
      </c>
      <c r="K61">
        <v>60</v>
      </c>
      <c r="L61" t="s">
        <v>5</v>
      </c>
      <c r="M61">
        <v>8</v>
      </c>
      <c r="N61">
        <v>55</v>
      </c>
      <c r="O61">
        <v>2</v>
      </c>
      <c r="P61">
        <v>9</v>
      </c>
      <c r="Q61" t="s">
        <v>147</v>
      </c>
    </row>
    <row r="62" spans="1:17" x14ac:dyDescent="0.2">
      <c r="A62">
        <f t="shared" si="0"/>
        <v>0</v>
      </c>
      <c r="B62">
        <f t="shared" si="1"/>
        <v>0</v>
      </c>
      <c r="D62" t="s">
        <v>16</v>
      </c>
      <c r="E62">
        <v>6</v>
      </c>
      <c r="F62">
        <v>51</v>
      </c>
      <c r="G62">
        <v>1</v>
      </c>
      <c r="H62">
        <v>9</v>
      </c>
      <c r="I62" s="8">
        <v>8.5</v>
      </c>
      <c r="K62">
        <v>61</v>
      </c>
      <c r="L62" t="s">
        <v>16</v>
      </c>
      <c r="M62">
        <v>6</v>
      </c>
      <c r="N62">
        <v>51</v>
      </c>
      <c r="O62">
        <v>1</v>
      </c>
      <c r="P62">
        <v>9</v>
      </c>
      <c r="Q62" t="s">
        <v>127</v>
      </c>
    </row>
    <row r="63" spans="1:17" x14ac:dyDescent="0.2">
      <c r="A63">
        <f t="shared" si="0"/>
        <v>0</v>
      </c>
      <c r="B63">
        <f t="shared" si="1"/>
        <v>0</v>
      </c>
      <c r="D63" t="s">
        <v>7</v>
      </c>
      <c r="E63">
        <v>6</v>
      </c>
      <c r="F63">
        <v>45</v>
      </c>
      <c r="G63">
        <v>2</v>
      </c>
      <c r="H63">
        <v>8</v>
      </c>
      <c r="I63" s="8">
        <v>7.5</v>
      </c>
      <c r="K63">
        <v>62</v>
      </c>
      <c r="L63" t="s">
        <v>7</v>
      </c>
      <c r="M63">
        <v>6</v>
      </c>
      <c r="N63">
        <v>45</v>
      </c>
      <c r="O63">
        <v>2</v>
      </c>
      <c r="P63">
        <v>8</v>
      </c>
      <c r="Q63" t="s">
        <v>133</v>
      </c>
    </row>
    <row r="64" spans="1:17" x14ac:dyDescent="0.2">
      <c r="A64">
        <f t="shared" si="0"/>
        <v>0</v>
      </c>
      <c r="B64">
        <f t="shared" si="1"/>
        <v>0</v>
      </c>
      <c r="D64" t="s">
        <v>377</v>
      </c>
      <c r="E64">
        <v>4</v>
      </c>
      <c r="F64">
        <v>44</v>
      </c>
      <c r="G64">
        <v>1</v>
      </c>
      <c r="H64">
        <v>3</v>
      </c>
      <c r="I64" s="8">
        <v>11</v>
      </c>
      <c r="K64">
        <v>63</v>
      </c>
      <c r="L64" t="s">
        <v>377</v>
      </c>
      <c r="M64">
        <v>4</v>
      </c>
      <c r="N64">
        <v>44</v>
      </c>
      <c r="O64">
        <v>1</v>
      </c>
      <c r="P64">
        <v>3</v>
      </c>
      <c r="Q64">
        <v>11</v>
      </c>
    </row>
    <row r="65" spans="1:17" x14ac:dyDescent="0.2">
      <c r="A65">
        <f t="shared" si="0"/>
        <v>0</v>
      </c>
      <c r="B65">
        <f t="shared" si="1"/>
        <v>0</v>
      </c>
      <c r="D65" t="s">
        <v>67</v>
      </c>
      <c r="E65">
        <v>6</v>
      </c>
      <c r="F65">
        <v>43</v>
      </c>
      <c r="G65">
        <v>0</v>
      </c>
      <c r="H65">
        <v>4</v>
      </c>
      <c r="I65" s="8">
        <v>7.1666666666666599</v>
      </c>
      <c r="J65" t="s">
        <v>149</v>
      </c>
      <c r="K65">
        <v>64</v>
      </c>
      <c r="L65" t="s">
        <v>67</v>
      </c>
      <c r="M65">
        <v>6</v>
      </c>
      <c r="N65">
        <v>43</v>
      </c>
      <c r="O65">
        <v>0</v>
      </c>
      <c r="P65">
        <v>4</v>
      </c>
      <c r="Q65" t="s">
        <v>408</v>
      </c>
    </row>
    <row r="66" spans="1:17" x14ac:dyDescent="0.2">
      <c r="A66">
        <f t="shared" ref="A66:A93" si="2">IF(D66=L66,0,1)</f>
        <v>0</v>
      </c>
      <c r="B66">
        <f t="shared" si="1"/>
        <v>0</v>
      </c>
      <c r="D66" t="s">
        <v>72</v>
      </c>
      <c r="E66">
        <v>6</v>
      </c>
      <c r="F66">
        <v>39</v>
      </c>
      <c r="G66">
        <v>0</v>
      </c>
      <c r="H66">
        <v>4</v>
      </c>
      <c r="I66" s="8">
        <v>6.5</v>
      </c>
      <c r="K66">
        <v>65</v>
      </c>
      <c r="L66" t="s">
        <v>72</v>
      </c>
      <c r="M66">
        <v>6</v>
      </c>
      <c r="N66">
        <v>39</v>
      </c>
      <c r="O66">
        <v>0</v>
      </c>
      <c r="P66">
        <v>4</v>
      </c>
      <c r="Q66" t="s">
        <v>149</v>
      </c>
    </row>
    <row r="67" spans="1:17" x14ac:dyDescent="0.2">
      <c r="A67">
        <f t="shared" si="2"/>
        <v>0</v>
      </c>
      <c r="B67">
        <f t="shared" ref="B67:B93" si="3">F67-N67</f>
        <v>0</v>
      </c>
      <c r="D67" t="s">
        <v>20</v>
      </c>
      <c r="E67">
        <v>5</v>
      </c>
      <c r="F67">
        <v>37</v>
      </c>
      <c r="G67">
        <v>0</v>
      </c>
      <c r="H67">
        <v>3</v>
      </c>
      <c r="I67" s="8">
        <v>7.4</v>
      </c>
      <c r="K67">
        <v>66</v>
      </c>
      <c r="L67" t="s">
        <v>20</v>
      </c>
      <c r="M67">
        <v>5</v>
      </c>
      <c r="N67">
        <v>37</v>
      </c>
      <c r="O67">
        <v>0</v>
      </c>
      <c r="P67">
        <v>3</v>
      </c>
      <c r="Q67" t="s">
        <v>134</v>
      </c>
    </row>
    <row r="68" spans="1:17" x14ac:dyDescent="0.2">
      <c r="A68">
        <f t="shared" si="2"/>
        <v>0</v>
      </c>
      <c r="B68">
        <f t="shared" si="3"/>
        <v>0</v>
      </c>
      <c r="D68" t="s">
        <v>34</v>
      </c>
      <c r="E68">
        <v>3</v>
      </c>
      <c r="F68">
        <v>36</v>
      </c>
      <c r="G68">
        <v>2</v>
      </c>
      <c r="H68">
        <v>5</v>
      </c>
      <c r="I68" s="8">
        <v>12</v>
      </c>
      <c r="K68">
        <v>67</v>
      </c>
      <c r="L68" t="s">
        <v>34</v>
      </c>
      <c r="M68">
        <v>3</v>
      </c>
      <c r="N68">
        <v>36</v>
      </c>
      <c r="O68">
        <v>2</v>
      </c>
      <c r="P68">
        <v>5</v>
      </c>
      <c r="Q68">
        <v>12</v>
      </c>
    </row>
    <row r="69" spans="1:17" x14ac:dyDescent="0.2">
      <c r="A69">
        <f t="shared" si="2"/>
        <v>0</v>
      </c>
      <c r="B69">
        <f t="shared" si="3"/>
        <v>0</v>
      </c>
      <c r="D69" t="s">
        <v>96</v>
      </c>
      <c r="E69">
        <v>4</v>
      </c>
      <c r="F69">
        <v>30</v>
      </c>
      <c r="G69">
        <v>0</v>
      </c>
      <c r="H69">
        <v>2</v>
      </c>
      <c r="I69" s="8">
        <v>7.5</v>
      </c>
      <c r="K69">
        <v>68</v>
      </c>
      <c r="L69" t="s">
        <v>96</v>
      </c>
      <c r="M69">
        <v>4</v>
      </c>
      <c r="N69">
        <v>30</v>
      </c>
      <c r="O69">
        <v>0</v>
      </c>
      <c r="P69">
        <v>2</v>
      </c>
      <c r="Q69" t="s">
        <v>133</v>
      </c>
    </row>
    <row r="70" spans="1:17" x14ac:dyDescent="0.2">
      <c r="A70">
        <f t="shared" si="2"/>
        <v>0</v>
      </c>
      <c r="B70">
        <f t="shared" si="3"/>
        <v>0</v>
      </c>
      <c r="D70" t="s">
        <v>80</v>
      </c>
      <c r="E70">
        <v>3</v>
      </c>
      <c r="F70">
        <v>28</v>
      </c>
      <c r="G70">
        <v>1</v>
      </c>
      <c r="H70">
        <v>5</v>
      </c>
      <c r="I70" s="8">
        <v>9.3333333333333304</v>
      </c>
      <c r="K70">
        <v>69</v>
      </c>
      <c r="L70" t="s">
        <v>80</v>
      </c>
      <c r="M70">
        <v>3</v>
      </c>
      <c r="N70">
        <v>28</v>
      </c>
      <c r="O70">
        <v>1</v>
      </c>
      <c r="P70">
        <v>5</v>
      </c>
      <c r="Q70" t="s">
        <v>156</v>
      </c>
    </row>
    <row r="71" spans="1:17" x14ac:dyDescent="0.2">
      <c r="A71">
        <f t="shared" si="2"/>
        <v>0</v>
      </c>
      <c r="B71">
        <f t="shared" si="3"/>
        <v>0</v>
      </c>
      <c r="D71" t="s">
        <v>91</v>
      </c>
      <c r="E71">
        <v>5</v>
      </c>
      <c r="F71">
        <v>27</v>
      </c>
      <c r="G71">
        <v>0</v>
      </c>
      <c r="H71">
        <v>3</v>
      </c>
      <c r="I71" s="8">
        <v>5.4</v>
      </c>
      <c r="K71">
        <v>70</v>
      </c>
      <c r="L71" t="s">
        <v>91</v>
      </c>
      <c r="M71">
        <v>5</v>
      </c>
      <c r="N71">
        <v>27</v>
      </c>
      <c r="O71">
        <v>0</v>
      </c>
      <c r="P71">
        <v>3</v>
      </c>
      <c r="Q71" t="s">
        <v>157</v>
      </c>
    </row>
    <row r="72" spans="1:17" x14ac:dyDescent="0.2">
      <c r="A72">
        <f t="shared" si="2"/>
        <v>0</v>
      </c>
      <c r="B72">
        <f t="shared" si="3"/>
        <v>0</v>
      </c>
      <c r="D72" t="s">
        <v>57</v>
      </c>
      <c r="E72">
        <v>5</v>
      </c>
      <c r="F72">
        <v>25</v>
      </c>
      <c r="G72">
        <v>0</v>
      </c>
      <c r="H72">
        <v>1</v>
      </c>
      <c r="I72" s="8">
        <v>5</v>
      </c>
      <c r="K72">
        <v>71</v>
      </c>
      <c r="L72" t="s">
        <v>57</v>
      </c>
      <c r="M72">
        <v>5</v>
      </c>
      <c r="N72">
        <v>25</v>
      </c>
      <c r="O72">
        <v>0</v>
      </c>
      <c r="P72">
        <v>1</v>
      </c>
      <c r="Q72">
        <v>5</v>
      </c>
    </row>
    <row r="73" spans="1:17" x14ac:dyDescent="0.2">
      <c r="A73">
        <f t="shared" si="2"/>
        <v>0</v>
      </c>
      <c r="B73">
        <f t="shared" si="3"/>
        <v>0</v>
      </c>
      <c r="D73" t="s">
        <v>85</v>
      </c>
      <c r="E73">
        <v>3</v>
      </c>
      <c r="F73">
        <v>24</v>
      </c>
      <c r="G73">
        <v>0</v>
      </c>
      <c r="H73">
        <v>3</v>
      </c>
      <c r="I73" s="8">
        <v>8</v>
      </c>
      <c r="K73">
        <v>72</v>
      </c>
      <c r="L73" t="s">
        <v>85</v>
      </c>
      <c r="M73">
        <v>3</v>
      </c>
      <c r="N73">
        <v>24</v>
      </c>
      <c r="O73">
        <v>0</v>
      </c>
      <c r="P73">
        <v>3</v>
      </c>
      <c r="Q73">
        <v>8</v>
      </c>
    </row>
    <row r="74" spans="1:17" x14ac:dyDescent="0.2">
      <c r="A74">
        <f t="shared" si="2"/>
        <v>0</v>
      </c>
      <c r="B74">
        <f t="shared" si="3"/>
        <v>0</v>
      </c>
      <c r="D74" t="s">
        <v>13</v>
      </c>
      <c r="E74">
        <v>2</v>
      </c>
      <c r="F74">
        <v>19</v>
      </c>
      <c r="G74">
        <v>0</v>
      </c>
      <c r="H74">
        <v>0</v>
      </c>
      <c r="I74" s="8">
        <v>9.5</v>
      </c>
      <c r="K74">
        <v>73</v>
      </c>
      <c r="L74" t="s">
        <v>13</v>
      </c>
      <c r="M74">
        <v>2</v>
      </c>
      <c r="N74">
        <v>19</v>
      </c>
      <c r="O74">
        <v>0</v>
      </c>
      <c r="P74">
        <v>0</v>
      </c>
      <c r="Q74" t="s">
        <v>159</v>
      </c>
    </row>
    <row r="75" spans="1:17" x14ac:dyDescent="0.2">
      <c r="A75">
        <f t="shared" si="2"/>
        <v>0</v>
      </c>
      <c r="B75">
        <f t="shared" si="3"/>
        <v>0</v>
      </c>
      <c r="D75" t="s">
        <v>83</v>
      </c>
      <c r="E75">
        <v>3</v>
      </c>
      <c r="F75">
        <v>18</v>
      </c>
      <c r="G75">
        <v>0</v>
      </c>
      <c r="H75">
        <v>3</v>
      </c>
      <c r="I75" s="8">
        <v>6</v>
      </c>
      <c r="K75">
        <v>74</v>
      </c>
      <c r="L75" t="s">
        <v>83</v>
      </c>
      <c r="M75">
        <v>3</v>
      </c>
      <c r="N75">
        <v>18</v>
      </c>
      <c r="O75">
        <v>0</v>
      </c>
      <c r="P75">
        <v>3</v>
      </c>
      <c r="Q75">
        <v>6</v>
      </c>
    </row>
    <row r="76" spans="1:17" x14ac:dyDescent="0.2">
      <c r="A76">
        <f t="shared" si="2"/>
        <v>0</v>
      </c>
      <c r="B76">
        <f t="shared" si="3"/>
        <v>0</v>
      </c>
      <c r="D76" t="s">
        <v>71</v>
      </c>
      <c r="E76">
        <v>2</v>
      </c>
      <c r="F76">
        <v>17</v>
      </c>
      <c r="G76">
        <v>1</v>
      </c>
      <c r="H76">
        <v>2</v>
      </c>
      <c r="I76" s="8">
        <v>8.5</v>
      </c>
      <c r="K76">
        <v>75</v>
      </c>
      <c r="L76" t="s">
        <v>71</v>
      </c>
      <c r="M76">
        <v>2</v>
      </c>
      <c r="N76">
        <v>17</v>
      </c>
      <c r="O76">
        <v>1</v>
      </c>
      <c r="P76">
        <v>2</v>
      </c>
      <c r="Q76" t="s">
        <v>127</v>
      </c>
    </row>
    <row r="77" spans="1:17" x14ac:dyDescent="0.2">
      <c r="A77">
        <f t="shared" si="2"/>
        <v>0</v>
      </c>
      <c r="B77">
        <f t="shared" si="3"/>
        <v>0</v>
      </c>
      <c r="D77" t="s">
        <v>369</v>
      </c>
      <c r="E77">
        <v>1</v>
      </c>
      <c r="F77">
        <v>16</v>
      </c>
      <c r="G77">
        <v>1</v>
      </c>
      <c r="H77">
        <v>5</v>
      </c>
      <c r="I77" s="8">
        <v>16</v>
      </c>
      <c r="K77">
        <v>76</v>
      </c>
      <c r="L77" t="s">
        <v>369</v>
      </c>
      <c r="M77">
        <v>1</v>
      </c>
      <c r="N77">
        <v>16</v>
      </c>
      <c r="O77">
        <v>1</v>
      </c>
      <c r="P77">
        <v>5</v>
      </c>
      <c r="Q77">
        <v>16</v>
      </c>
    </row>
    <row r="78" spans="1:17" x14ac:dyDescent="0.2">
      <c r="A78">
        <f t="shared" si="2"/>
        <v>0</v>
      </c>
      <c r="B78">
        <f t="shared" si="3"/>
        <v>0</v>
      </c>
      <c r="D78" t="s">
        <v>344</v>
      </c>
      <c r="E78">
        <v>1</v>
      </c>
      <c r="F78">
        <v>16</v>
      </c>
      <c r="G78">
        <v>1</v>
      </c>
      <c r="H78">
        <v>3</v>
      </c>
      <c r="I78" s="8">
        <v>16</v>
      </c>
      <c r="K78">
        <v>77</v>
      </c>
      <c r="L78" t="s">
        <v>344</v>
      </c>
      <c r="M78">
        <v>1</v>
      </c>
      <c r="N78">
        <v>16</v>
      </c>
      <c r="O78">
        <v>1</v>
      </c>
      <c r="P78">
        <v>3</v>
      </c>
      <c r="Q78">
        <v>16</v>
      </c>
    </row>
    <row r="79" spans="1:17" x14ac:dyDescent="0.2">
      <c r="A79">
        <f t="shared" si="2"/>
        <v>0</v>
      </c>
      <c r="B79">
        <f t="shared" si="3"/>
        <v>0</v>
      </c>
      <c r="D79" t="s">
        <v>95</v>
      </c>
      <c r="E79">
        <v>1</v>
      </c>
      <c r="F79">
        <v>16</v>
      </c>
      <c r="G79">
        <v>1</v>
      </c>
      <c r="H79">
        <v>1</v>
      </c>
      <c r="I79" s="8">
        <v>16</v>
      </c>
      <c r="K79">
        <v>78</v>
      </c>
      <c r="L79" t="s">
        <v>95</v>
      </c>
      <c r="M79">
        <v>1</v>
      </c>
      <c r="N79">
        <v>16</v>
      </c>
      <c r="O79">
        <v>1</v>
      </c>
      <c r="P79">
        <v>1</v>
      </c>
      <c r="Q79">
        <v>16</v>
      </c>
    </row>
    <row r="80" spans="1:17" x14ac:dyDescent="0.2">
      <c r="A80">
        <f t="shared" si="2"/>
        <v>0</v>
      </c>
      <c r="B80">
        <f t="shared" si="3"/>
        <v>0</v>
      </c>
      <c r="D80" t="s">
        <v>78</v>
      </c>
      <c r="E80">
        <v>3</v>
      </c>
      <c r="F80">
        <v>16</v>
      </c>
      <c r="G80">
        <v>0</v>
      </c>
      <c r="H80">
        <v>3</v>
      </c>
      <c r="I80" s="8">
        <v>5.3333333333333304</v>
      </c>
      <c r="K80">
        <v>79</v>
      </c>
      <c r="L80" t="s">
        <v>78</v>
      </c>
      <c r="M80">
        <v>3</v>
      </c>
      <c r="N80">
        <v>16</v>
      </c>
      <c r="O80">
        <v>0</v>
      </c>
      <c r="P80">
        <v>3</v>
      </c>
      <c r="Q80" t="s">
        <v>160</v>
      </c>
    </row>
    <row r="81" spans="1:17" x14ac:dyDescent="0.2">
      <c r="A81">
        <f t="shared" si="2"/>
        <v>1</v>
      </c>
      <c r="B81">
        <f t="shared" si="3"/>
        <v>0</v>
      </c>
      <c r="D81" t="s">
        <v>107</v>
      </c>
      <c r="E81">
        <v>1</v>
      </c>
      <c r="F81">
        <v>13</v>
      </c>
      <c r="G81">
        <v>0</v>
      </c>
      <c r="H81">
        <v>1</v>
      </c>
      <c r="I81" s="8">
        <v>13</v>
      </c>
      <c r="K81">
        <v>80</v>
      </c>
      <c r="L81" t="s">
        <v>97</v>
      </c>
      <c r="M81">
        <v>3</v>
      </c>
      <c r="N81">
        <v>13</v>
      </c>
      <c r="O81">
        <v>0</v>
      </c>
      <c r="P81">
        <v>1</v>
      </c>
      <c r="Q81" t="s">
        <v>409</v>
      </c>
    </row>
    <row r="82" spans="1:17" x14ac:dyDescent="0.2">
      <c r="A82">
        <f t="shared" si="2"/>
        <v>1</v>
      </c>
      <c r="B82">
        <f t="shared" si="3"/>
        <v>0</v>
      </c>
      <c r="D82" t="s">
        <v>368</v>
      </c>
      <c r="E82">
        <v>3</v>
      </c>
      <c r="F82">
        <v>13</v>
      </c>
      <c r="G82">
        <v>0</v>
      </c>
      <c r="H82">
        <v>1</v>
      </c>
      <c r="I82" s="8">
        <v>4.3333333333333304</v>
      </c>
      <c r="K82">
        <v>81</v>
      </c>
      <c r="L82" t="s">
        <v>107</v>
      </c>
      <c r="M82">
        <v>1</v>
      </c>
      <c r="N82">
        <v>13</v>
      </c>
      <c r="O82">
        <v>0</v>
      </c>
      <c r="P82">
        <v>1</v>
      </c>
      <c r="Q82">
        <v>13</v>
      </c>
    </row>
    <row r="83" spans="1:17" x14ac:dyDescent="0.2">
      <c r="A83">
        <f t="shared" si="2"/>
        <v>1</v>
      </c>
      <c r="B83">
        <f t="shared" si="3"/>
        <v>0</v>
      </c>
      <c r="D83" t="s">
        <v>97</v>
      </c>
      <c r="E83">
        <v>3</v>
      </c>
      <c r="F83">
        <v>13</v>
      </c>
      <c r="G83">
        <v>0</v>
      </c>
      <c r="H83">
        <v>1</v>
      </c>
      <c r="I83" s="8">
        <v>4.3333333333333304</v>
      </c>
      <c r="K83">
        <v>82</v>
      </c>
      <c r="L83" t="s">
        <v>368</v>
      </c>
      <c r="M83">
        <v>3</v>
      </c>
      <c r="N83">
        <v>13</v>
      </c>
      <c r="O83">
        <v>0</v>
      </c>
      <c r="P83">
        <v>1</v>
      </c>
      <c r="Q83" t="s">
        <v>409</v>
      </c>
    </row>
    <row r="84" spans="1:17" x14ac:dyDescent="0.2">
      <c r="A84">
        <f t="shared" si="2"/>
        <v>0</v>
      </c>
      <c r="B84">
        <f t="shared" si="3"/>
        <v>0</v>
      </c>
      <c r="D84" t="s">
        <v>84</v>
      </c>
      <c r="E84">
        <v>1</v>
      </c>
      <c r="F84">
        <v>8</v>
      </c>
      <c r="G84">
        <v>0</v>
      </c>
      <c r="H84">
        <v>2</v>
      </c>
      <c r="I84" s="8">
        <v>8</v>
      </c>
      <c r="K84">
        <v>83</v>
      </c>
      <c r="L84" t="s">
        <v>84</v>
      </c>
      <c r="M84">
        <v>1</v>
      </c>
      <c r="N84">
        <v>8</v>
      </c>
      <c r="O84">
        <v>0</v>
      </c>
      <c r="P84">
        <v>2</v>
      </c>
      <c r="Q84">
        <v>8</v>
      </c>
    </row>
    <row r="85" spans="1:17" x14ac:dyDescent="0.2">
      <c r="A85">
        <f t="shared" si="2"/>
        <v>0</v>
      </c>
      <c r="B85">
        <f t="shared" si="3"/>
        <v>0</v>
      </c>
      <c r="D85" t="s">
        <v>371</v>
      </c>
      <c r="E85">
        <v>1</v>
      </c>
      <c r="F85">
        <v>8</v>
      </c>
      <c r="G85">
        <v>0</v>
      </c>
      <c r="H85">
        <v>1</v>
      </c>
      <c r="I85" s="8">
        <v>8</v>
      </c>
      <c r="K85">
        <v>84</v>
      </c>
      <c r="L85" t="s">
        <v>371</v>
      </c>
      <c r="M85">
        <v>1</v>
      </c>
      <c r="N85">
        <v>8</v>
      </c>
      <c r="O85">
        <v>0</v>
      </c>
      <c r="P85">
        <v>1</v>
      </c>
      <c r="Q85">
        <v>8</v>
      </c>
    </row>
    <row r="86" spans="1:17" x14ac:dyDescent="0.2">
      <c r="A86">
        <f t="shared" si="2"/>
        <v>0</v>
      </c>
      <c r="B86">
        <f t="shared" si="3"/>
        <v>0</v>
      </c>
      <c r="D86" t="s">
        <v>105</v>
      </c>
      <c r="E86">
        <v>1</v>
      </c>
      <c r="F86">
        <v>8</v>
      </c>
      <c r="G86">
        <v>0</v>
      </c>
      <c r="H86">
        <v>0</v>
      </c>
      <c r="I86" s="8">
        <v>8</v>
      </c>
      <c r="K86">
        <v>85</v>
      </c>
      <c r="L86" t="s">
        <v>105</v>
      </c>
      <c r="M86">
        <v>1</v>
      </c>
      <c r="N86">
        <v>8</v>
      </c>
      <c r="O86">
        <v>0</v>
      </c>
      <c r="P86">
        <v>0</v>
      </c>
      <c r="Q86">
        <v>8</v>
      </c>
    </row>
    <row r="87" spans="1:17" x14ac:dyDescent="0.2">
      <c r="A87">
        <f t="shared" si="2"/>
        <v>0</v>
      </c>
      <c r="B87">
        <f t="shared" si="3"/>
        <v>0</v>
      </c>
      <c r="D87" t="s">
        <v>106</v>
      </c>
      <c r="E87">
        <v>1</v>
      </c>
      <c r="F87">
        <v>8</v>
      </c>
      <c r="G87">
        <v>0</v>
      </c>
      <c r="H87">
        <v>0</v>
      </c>
      <c r="I87" s="8">
        <v>8</v>
      </c>
      <c r="K87">
        <v>86</v>
      </c>
      <c r="L87" t="s">
        <v>106</v>
      </c>
      <c r="M87">
        <v>1</v>
      </c>
      <c r="N87">
        <v>8</v>
      </c>
      <c r="O87">
        <v>0</v>
      </c>
      <c r="P87">
        <v>0</v>
      </c>
      <c r="Q87">
        <v>8</v>
      </c>
    </row>
    <row r="88" spans="1:17" x14ac:dyDescent="0.2">
      <c r="A88">
        <f t="shared" si="2"/>
        <v>1</v>
      </c>
      <c r="B88">
        <f t="shared" si="3"/>
        <v>0</v>
      </c>
      <c r="D88" t="s">
        <v>79</v>
      </c>
      <c r="E88">
        <v>1</v>
      </c>
      <c r="F88">
        <v>7</v>
      </c>
      <c r="G88">
        <v>0</v>
      </c>
      <c r="H88">
        <v>0</v>
      </c>
      <c r="I88" s="8">
        <v>7</v>
      </c>
      <c r="K88">
        <v>87</v>
      </c>
      <c r="L88" t="s">
        <v>86</v>
      </c>
      <c r="M88">
        <v>1</v>
      </c>
      <c r="N88">
        <v>7</v>
      </c>
      <c r="O88">
        <v>0</v>
      </c>
      <c r="P88">
        <v>0</v>
      </c>
      <c r="Q88">
        <v>7</v>
      </c>
    </row>
    <row r="89" spans="1:17" x14ac:dyDescent="0.2">
      <c r="A89">
        <f t="shared" si="2"/>
        <v>1</v>
      </c>
      <c r="B89">
        <f t="shared" si="3"/>
        <v>0</v>
      </c>
      <c r="D89" t="s">
        <v>86</v>
      </c>
      <c r="E89">
        <v>1</v>
      </c>
      <c r="F89">
        <v>7</v>
      </c>
      <c r="G89">
        <v>0</v>
      </c>
      <c r="H89">
        <v>0</v>
      </c>
      <c r="I89" s="8">
        <v>7</v>
      </c>
      <c r="K89">
        <v>88</v>
      </c>
      <c r="L89" t="s">
        <v>79</v>
      </c>
      <c r="M89">
        <v>1</v>
      </c>
      <c r="N89">
        <v>7</v>
      </c>
      <c r="O89">
        <v>0</v>
      </c>
      <c r="P89">
        <v>0</v>
      </c>
      <c r="Q89">
        <v>7</v>
      </c>
    </row>
    <row r="90" spans="1:17" x14ac:dyDescent="0.2">
      <c r="A90">
        <f t="shared" si="2"/>
        <v>0</v>
      </c>
      <c r="B90">
        <f t="shared" si="3"/>
        <v>0</v>
      </c>
      <c r="D90" t="s">
        <v>93</v>
      </c>
      <c r="E90">
        <v>1</v>
      </c>
      <c r="F90">
        <v>4</v>
      </c>
      <c r="G90">
        <v>0</v>
      </c>
      <c r="H90">
        <v>0</v>
      </c>
      <c r="I90" s="8">
        <v>4</v>
      </c>
      <c r="K90">
        <v>89</v>
      </c>
      <c r="L90" t="s">
        <v>93</v>
      </c>
      <c r="M90">
        <v>1</v>
      </c>
      <c r="N90">
        <v>4</v>
      </c>
      <c r="O90">
        <v>0</v>
      </c>
      <c r="P90">
        <v>0</v>
      </c>
      <c r="Q90">
        <v>4</v>
      </c>
    </row>
    <row r="91" spans="1:17" x14ac:dyDescent="0.2">
      <c r="A91">
        <f t="shared" si="2"/>
        <v>0</v>
      </c>
      <c r="B91">
        <f t="shared" si="3"/>
        <v>0</v>
      </c>
      <c r="D91" t="s">
        <v>36</v>
      </c>
      <c r="E91">
        <v>2</v>
      </c>
      <c r="F91">
        <v>4</v>
      </c>
      <c r="G91">
        <v>0</v>
      </c>
      <c r="H91">
        <v>0</v>
      </c>
      <c r="I91" s="8">
        <v>2</v>
      </c>
      <c r="K91">
        <v>90</v>
      </c>
      <c r="L91" t="s">
        <v>36</v>
      </c>
      <c r="M91">
        <v>2</v>
      </c>
      <c r="N91">
        <v>4</v>
      </c>
      <c r="O91">
        <v>0</v>
      </c>
      <c r="P91">
        <v>0</v>
      </c>
      <c r="Q91">
        <v>2</v>
      </c>
    </row>
    <row r="92" spans="1:17" x14ac:dyDescent="0.2">
      <c r="A92">
        <f t="shared" si="2"/>
        <v>0</v>
      </c>
      <c r="B92">
        <f t="shared" si="3"/>
        <v>0</v>
      </c>
      <c r="D92" t="s">
        <v>89</v>
      </c>
      <c r="E92">
        <v>1</v>
      </c>
      <c r="F92">
        <v>3</v>
      </c>
      <c r="G92">
        <v>0</v>
      </c>
      <c r="H92">
        <v>0</v>
      </c>
      <c r="I92" s="8">
        <v>3</v>
      </c>
      <c r="J92">
        <v>0</v>
      </c>
      <c r="K92">
        <v>91</v>
      </c>
      <c r="L92" t="s">
        <v>89</v>
      </c>
      <c r="M92">
        <v>1</v>
      </c>
      <c r="N92">
        <v>3</v>
      </c>
      <c r="O92">
        <v>0</v>
      </c>
      <c r="P92">
        <v>0</v>
      </c>
      <c r="Q92">
        <v>3</v>
      </c>
    </row>
    <row r="93" spans="1:17" x14ac:dyDescent="0.2">
      <c r="A93">
        <f t="shared" si="2"/>
        <v>0</v>
      </c>
      <c r="B93">
        <f t="shared" si="3"/>
        <v>0</v>
      </c>
      <c r="D93" t="s">
        <v>62</v>
      </c>
      <c r="E93">
        <v>1</v>
      </c>
      <c r="F93">
        <v>3</v>
      </c>
      <c r="G93">
        <v>0</v>
      </c>
      <c r="H93">
        <v>0</v>
      </c>
      <c r="I93" s="8">
        <v>3</v>
      </c>
      <c r="K93">
        <v>92</v>
      </c>
      <c r="L93" t="s">
        <v>62</v>
      </c>
      <c r="M93">
        <v>1</v>
      </c>
      <c r="N93">
        <v>3</v>
      </c>
      <c r="O93">
        <v>0</v>
      </c>
      <c r="P93">
        <v>0</v>
      </c>
      <c r="Q93">
        <v>3</v>
      </c>
    </row>
    <row r="94" spans="1:17" x14ac:dyDescent="0.2">
      <c r="D94" t="s">
        <v>82</v>
      </c>
      <c r="E94">
        <v>1</v>
      </c>
      <c r="F94">
        <v>2</v>
      </c>
      <c r="G94">
        <v>0</v>
      </c>
      <c r="H94">
        <v>0</v>
      </c>
      <c r="I94" s="8">
        <v>2</v>
      </c>
      <c r="K94">
        <v>93</v>
      </c>
      <c r="L94" t="s">
        <v>99</v>
      </c>
      <c r="M94">
        <v>1</v>
      </c>
      <c r="N94">
        <v>2</v>
      </c>
      <c r="O94">
        <v>0</v>
      </c>
      <c r="P94">
        <v>0</v>
      </c>
      <c r="Q94">
        <v>2</v>
      </c>
    </row>
    <row r="95" spans="1:17" x14ac:dyDescent="0.2">
      <c r="D95" t="s">
        <v>56</v>
      </c>
      <c r="E95">
        <v>1</v>
      </c>
      <c r="F95">
        <v>2</v>
      </c>
      <c r="G95">
        <v>0</v>
      </c>
      <c r="H95">
        <v>0</v>
      </c>
      <c r="I95" s="8">
        <v>2</v>
      </c>
      <c r="K95">
        <v>94</v>
      </c>
      <c r="L95" t="s">
        <v>82</v>
      </c>
      <c r="M95">
        <v>1</v>
      </c>
      <c r="N95">
        <v>2</v>
      </c>
      <c r="O95">
        <v>0</v>
      </c>
      <c r="P95">
        <v>0</v>
      </c>
      <c r="Q95">
        <v>2</v>
      </c>
    </row>
    <row r="96" spans="1:17" x14ac:dyDescent="0.2">
      <c r="D96" t="s">
        <v>99</v>
      </c>
      <c r="E96">
        <v>1</v>
      </c>
      <c r="F96">
        <v>2</v>
      </c>
      <c r="G96">
        <v>0</v>
      </c>
      <c r="H96">
        <v>0</v>
      </c>
      <c r="I96" s="8">
        <v>2</v>
      </c>
      <c r="K96">
        <v>95</v>
      </c>
      <c r="L96" t="s">
        <v>49</v>
      </c>
      <c r="M96">
        <v>1</v>
      </c>
      <c r="N96">
        <v>2</v>
      </c>
      <c r="O96">
        <v>0</v>
      </c>
      <c r="P96">
        <v>0</v>
      </c>
      <c r="Q96">
        <v>2</v>
      </c>
    </row>
    <row r="97" spans="4:17" x14ac:dyDescent="0.2">
      <c r="D97" t="s">
        <v>49</v>
      </c>
      <c r="E97">
        <v>1</v>
      </c>
      <c r="F97">
        <v>2</v>
      </c>
      <c r="G97">
        <v>0</v>
      </c>
      <c r="H97">
        <v>0</v>
      </c>
      <c r="I97" s="8">
        <v>2</v>
      </c>
      <c r="K97">
        <v>96</v>
      </c>
      <c r="L97" t="s">
        <v>56</v>
      </c>
      <c r="M97">
        <v>1</v>
      </c>
      <c r="N97">
        <v>2</v>
      </c>
      <c r="O97">
        <v>0</v>
      </c>
      <c r="P97">
        <v>0</v>
      </c>
      <c r="Q97">
        <v>2</v>
      </c>
    </row>
    <row r="98" spans="4:17" x14ac:dyDescent="0.2">
      <c r="D98" t="s">
        <v>100</v>
      </c>
      <c r="E98">
        <v>1</v>
      </c>
      <c r="F98">
        <v>1</v>
      </c>
      <c r="G98">
        <v>0</v>
      </c>
      <c r="H98">
        <v>0</v>
      </c>
      <c r="I98" s="8">
        <v>1</v>
      </c>
      <c r="K98">
        <v>97</v>
      </c>
      <c r="L98" t="s">
        <v>172</v>
      </c>
      <c r="M98">
        <v>1</v>
      </c>
      <c r="N98">
        <v>1</v>
      </c>
      <c r="O98">
        <v>0</v>
      </c>
      <c r="P98">
        <v>0</v>
      </c>
      <c r="Q98">
        <v>1</v>
      </c>
    </row>
    <row r="99" spans="4:17" x14ac:dyDescent="0.2">
      <c r="D99" t="s">
        <v>104</v>
      </c>
      <c r="E99">
        <v>1</v>
      </c>
      <c r="F99">
        <v>1</v>
      </c>
      <c r="G99">
        <v>0</v>
      </c>
      <c r="H99">
        <v>0</v>
      </c>
      <c r="I99" s="8">
        <v>1</v>
      </c>
      <c r="K99">
        <v>98</v>
      </c>
      <c r="L99" t="s">
        <v>90</v>
      </c>
      <c r="M99">
        <v>1</v>
      </c>
      <c r="N99">
        <v>1</v>
      </c>
      <c r="O99">
        <v>0</v>
      </c>
      <c r="P99">
        <v>0</v>
      </c>
      <c r="Q99">
        <v>1</v>
      </c>
    </row>
    <row r="100" spans="4:17" x14ac:dyDescent="0.2">
      <c r="D100" t="s">
        <v>172</v>
      </c>
      <c r="E100">
        <v>1</v>
      </c>
      <c r="F100">
        <v>1</v>
      </c>
      <c r="G100">
        <v>0</v>
      </c>
      <c r="H100">
        <v>0</v>
      </c>
      <c r="I100" s="8">
        <v>1</v>
      </c>
      <c r="K100">
        <v>99</v>
      </c>
      <c r="L100" t="s">
        <v>100</v>
      </c>
      <c r="M100">
        <v>1</v>
      </c>
      <c r="N100">
        <v>1</v>
      </c>
      <c r="O100">
        <v>0</v>
      </c>
      <c r="P100">
        <v>0</v>
      </c>
      <c r="Q100">
        <v>1</v>
      </c>
    </row>
    <row r="101" spans="4:17" x14ac:dyDescent="0.2">
      <c r="D101" t="s">
        <v>370</v>
      </c>
      <c r="E101">
        <v>1</v>
      </c>
      <c r="F101">
        <v>1</v>
      </c>
      <c r="G101">
        <v>0</v>
      </c>
      <c r="H101">
        <v>0</v>
      </c>
      <c r="I101" s="8">
        <v>1</v>
      </c>
      <c r="K101">
        <v>100</v>
      </c>
      <c r="L101" t="s">
        <v>104</v>
      </c>
      <c r="M101">
        <v>1</v>
      </c>
      <c r="N101">
        <v>1</v>
      </c>
      <c r="O101">
        <v>0</v>
      </c>
      <c r="P101">
        <v>0</v>
      </c>
      <c r="Q101">
        <v>1</v>
      </c>
    </row>
    <row r="102" spans="4:17" x14ac:dyDescent="0.2">
      <c r="D102" t="s">
        <v>90</v>
      </c>
      <c r="E102">
        <v>1</v>
      </c>
      <c r="F102">
        <v>1</v>
      </c>
      <c r="G102">
        <v>0</v>
      </c>
      <c r="H102">
        <v>0</v>
      </c>
      <c r="I102" s="8">
        <v>1</v>
      </c>
      <c r="K102">
        <v>101</v>
      </c>
      <c r="L102" t="s">
        <v>370</v>
      </c>
      <c r="M102">
        <v>1</v>
      </c>
      <c r="N102">
        <v>1</v>
      </c>
      <c r="O102">
        <v>0</v>
      </c>
      <c r="P102">
        <v>0</v>
      </c>
      <c r="Q102">
        <v>1</v>
      </c>
    </row>
    <row r="103" spans="4:17" x14ac:dyDescent="0.2">
      <c r="K103">
        <v>102</v>
      </c>
      <c r="L103" t="s">
        <v>161</v>
      </c>
      <c r="M103">
        <v>0</v>
      </c>
      <c r="N103">
        <v>0</v>
      </c>
      <c r="O103">
        <v>0</v>
      </c>
      <c r="P103">
        <v>0</v>
      </c>
      <c r="Q103">
        <v>0</v>
      </c>
    </row>
    <row r="104" spans="4:17" x14ac:dyDescent="0.2">
      <c r="K104">
        <v>103</v>
      </c>
      <c r="L104" t="s">
        <v>162</v>
      </c>
      <c r="M104">
        <v>0</v>
      </c>
      <c r="N104">
        <v>0</v>
      </c>
      <c r="O104">
        <v>0</v>
      </c>
      <c r="P104">
        <v>0</v>
      </c>
      <c r="Q104">
        <v>0</v>
      </c>
    </row>
    <row r="105" spans="4:17" x14ac:dyDescent="0.2">
      <c r="K105">
        <v>104</v>
      </c>
      <c r="L105" t="s">
        <v>163</v>
      </c>
      <c r="M105">
        <v>0</v>
      </c>
      <c r="N105">
        <v>0</v>
      </c>
      <c r="O105">
        <v>0</v>
      </c>
      <c r="P105">
        <v>0</v>
      </c>
      <c r="Q105">
        <v>0</v>
      </c>
    </row>
    <row r="106" spans="4:17" x14ac:dyDescent="0.2">
      <c r="K106">
        <v>105</v>
      </c>
      <c r="L106" t="s">
        <v>164</v>
      </c>
      <c r="M106">
        <v>0</v>
      </c>
    </row>
    <row r="107" spans="4:17" x14ac:dyDescent="0.2">
      <c r="K107">
        <v>106</v>
      </c>
      <c r="L107" t="s">
        <v>165</v>
      </c>
      <c r="M107">
        <v>0</v>
      </c>
      <c r="N107">
        <v>0</v>
      </c>
      <c r="O107">
        <v>0</v>
      </c>
      <c r="P107">
        <v>0</v>
      </c>
      <c r="Q107">
        <v>0</v>
      </c>
    </row>
    <row r="108" spans="4:17" x14ac:dyDescent="0.2">
      <c r="K108">
        <v>107</v>
      </c>
      <c r="L108" t="s">
        <v>166</v>
      </c>
      <c r="M108">
        <v>0</v>
      </c>
      <c r="N108">
        <v>0</v>
      </c>
      <c r="O108">
        <v>0</v>
      </c>
      <c r="P108">
        <v>0</v>
      </c>
      <c r="Q108">
        <v>0</v>
      </c>
    </row>
    <row r="109" spans="4:17" x14ac:dyDescent="0.2">
      <c r="K109">
        <v>108</v>
      </c>
      <c r="L109" t="s">
        <v>167</v>
      </c>
      <c r="M109">
        <v>0</v>
      </c>
      <c r="N109">
        <v>0</v>
      </c>
      <c r="O109">
        <v>0</v>
      </c>
      <c r="P109">
        <v>0</v>
      </c>
      <c r="Q109">
        <v>0</v>
      </c>
    </row>
    <row r="110" spans="4:17" x14ac:dyDescent="0.2">
      <c r="K110">
        <v>109</v>
      </c>
      <c r="L110" t="s">
        <v>168</v>
      </c>
      <c r="M110">
        <v>0</v>
      </c>
      <c r="N110">
        <v>0</v>
      </c>
      <c r="O110">
        <v>0</v>
      </c>
      <c r="P110">
        <v>0</v>
      </c>
      <c r="Q110">
        <v>0</v>
      </c>
    </row>
    <row r="111" spans="4:17" x14ac:dyDescent="0.2">
      <c r="K111">
        <v>110</v>
      </c>
      <c r="L111" t="s">
        <v>169</v>
      </c>
      <c r="M111">
        <v>0</v>
      </c>
      <c r="N111">
        <v>0</v>
      </c>
      <c r="O111">
        <v>0</v>
      </c>
      <c r="P111">
        <v>0</v>
      </c>
      <c r="Q111">
        <v>0</v>
      </c>
    </row>
    <row r="112" spans="4:17" x14ac:dyDescent="0.2">
      <c r="K112">
        <v>111</v>
      </c>
      <c r="L112" t="s">
        <v>170</v>
      </c>
      <c r="M112">
        <v>0</v>
      </c>
      <c r="N112">
        <v>0</v>
      </c>
      <c r="O112">
        <v>0</v>
      </c>
      <c r="P112">
        <v>0</v>
      </c>
      <c r="Q112">
        <v>0</v>
      </c>
    </row>
    <row r="113" spans="11:17" x14ac:dyDescent="0.2">
      <c r="K113">
        <v>112</v>
      </c>
      <c r="L113" t="s">
        <v>171</v>
      </c>
      <c r="M113">
        <v>0</v>
      </c>
      <c r="N113">
        <v>0</v>
      </c>
      <c r="O113">
        <v>0</v>
      </c>
      <c r="P113">
        <v>0</v>
      </c>
      <c r="Q113">
        <v>0</v>
      </c>
    </row>
    <row r="114" spans="11:17" x14ac:dyDescent="0.2">
      <c r="K114">
        <v>113</v>
      </c>
      <c r="L114" t="s">
        <v>173</v>
      </c>
      <c r="M114">
        <v>0</v>
      </c>
      <c r="N114">
        <v>0</v>
      </c>
      <c r="O114">
        <v>0</v>
      </c>
      <c r="P114">
        <v>0</v>
      </c>
      <c r="Q114">
        <v>0</v>
      </c>
    </row>
    <row r="115" spans="11:17" x14ac:dyDescent="0.2">
      <c r="K115">
        <v>114</v>
      </c>
      <c r="L115" t="s">
        <v>174</v>
      </c>
      <c r="M115">
        <v>0</v>
      </c>
      <c r="N115">
        <v>0</v>
      </c>
      <c r="O115">
        <v>0</v>
      </c>
      <c r="P115">
        <v>0</v>
      </c>
      <c r="Q115">
        <v>0</v>
      </c>
    </row>
    <row r="116" spans="11:17" x14ac:dyDescent="0.2">
      <c r="K116">
        <v>115</v>
      </c>
      <c r="L116" t="s">
        <v>175</v>
      </c>
      <c r="M116">
        <v>0</v>
      </c>
      <c r="N116">
        <v>0</v>
      </c>
      <c r="O116">
        <v>0</v>
      </c>
      <c r="P116">
        <v>0</v>
      </c>
      <c r="Q116">
        <v>0</v>
      </c>
    </row>
    <row r="117" spans="11:17" x14ac:dyDescent="0.2">
      <c r="K117">
        <v>116</v>
      </c>
      <c r="L117" t="s">
        <v>176</v>
      </c>
      <c r="M117">
        <v>0</v>
      </c>
      <c r="N117">
        <v>0</v>
      </c>
      <c r="O117">
        <v>0</v>
      </c>
      <c r="P117">
        <v>0</v>
      </c>
      <c r="Q117">
        <v>0</v>
      </c>
    </row>
    <row r="118" spans="11:17" x14ac:dyDescent="0.2">
      <c r="K118">
        <v>117</v>
      </c>
      <c r="L118" t="s">
        <v>177</v>
      </c>
      <c r="M118">
        <v>0</v>
      </c>
      <c r="N118">
        <v>0</v>
      </c>
      <c r="O118">
        <v>0</v>
      </c>
      <c r="P118">
        <v>0</v>
      </c>
      <c r="Q118">
        <v>0</v>
      </c>
    </row>
    <row r="119" spans="11:17" x14ac:dyDescent="0.2">
      <c r="K119">
        <v>118</v>
      </c>
      <c r="L119" t="s">
        <v>178</v>
      </c>
      <c r="M119">
        <v>0</v>
      </c>
      <c r="N119">
        <v>0</v>
      </c>
      <c r="O119">
        <v>0</v>
      </c>
      <c r="P119">
        <v>0</v>
      </c>
      <c r="Q119">
        <v>0</v>
      </c>
    </row>
    <row r="120" spans="11:17" x14ac:dyDescent="0.2">
      <c r="K120">
        <v>119</v>
      </c>
      <c r="L120" t="s">
        <v>179</v>
      </c>
      <c r="M120">
        <v>0</v>
      </c>
      <c r="N120">
        <v>0</v>
      </c>
      <c r="O120">
        <v>0</v>
      </c>
      <c r="P120">
        <v>0</v>
      </c>
      <c r="Q120">
        <v>0</v>
      </c>
    </row>
    <row r="121" spans="11:17" x14ac:dyDescent="0.2">
      <c r="K121">
        <v>120</v>
      </c>
      <c r="L121" t="s">
        <v>180</v>
      </c>
      <c r="M121">
        <v>0</v>
      </c>
      <c r="N121">
        <v>0</v>
      </c>
      <c r="O121">
        <v>0</v>
      </c>
      <c r="P121">
        <v>0</v>
      </c>
      <c r="Q121">
        <v>0</v>
      </c>
    </row>
    <row r="122" spans="11:17" x14ac:dyDescent="0.2">
      <c r="K122">
        <v>121</v>
      </c>
      <c r="L122" t="s">
        <v>181</v>
      </c>
      <c r="M122">
        <v>0</v>
      </c>
      <c r="N122">
        <v>0</v>
      </c>
      <c r="O122">
        <v>0</v>
      </c>
      <c r="P122">
        <v>0</v>
      </c>
      <c r="Q122">
        <v>0</v>
      </c>
    </row>
    <row r="123" spans="11:17" x14ac:dyDescent="0.2">
      <c r="K123">
        <v>122</v>
      </c>
      <c r="L123" t="s">
        <v>182</v>
      </c>
      <c r="M123">
        <v>0</v>
      </c>
      <c r="N123">
        <v>0</v>
      </c>
      <c r="O123">
        <v>0</v>
      </c>
      <c r="P123">
        <v>0</v>
      </c>
      <c r="Q123">
        <v>0</v>
      </c>
    </row>
    <row r="124" spans="11:17" x14ac:dyDescent="0.2">
      <c r="K124">
        <v>123</v>
      </c>
      <c r="L124" t="s">
        <v>183</v>
      </c>
      <c r="M124">
        <v>0</v>
      </c>
      <c r="N124">
        <v>0</v>
      </c>
      <c r="O124">
        <v>0</v>
      </c>
      <c r="P124">
        <v>0</v>
      </c>
      <c r="Q124">
        <v>0</v>
      </c>
    </row>
    <row r="125" spans="11:17" x14ac:dyDescent="0.2">
      <c r="K125">
        <v>124</v>
      </c>
      <c r="L125" t="s">
        <v>184</v>
      </c>
      <c r="M125">
        <v>0</v>
      </c>
      <c r="N125">
        <v>0</v>
      </c>
      <c r="O125">
        <v>0</v>
      </c>
      <c r="P125">
        <v>0</v>
      </c>
      <c r="Q125">
        <v>0</v>
      </c>
    </row>
    <row r="126" spans="11:17" x14ac:dyDescent="0.2">
      <c r="K126">
        <v>125</v>
      </c>
      <c r="L126" t="s">
        <v>185</v>
      </c>
      <c r="M126">
        <v>0</v>
      </c>
      <c r="N126">
        <v>0</v>
      </c>
      <c r="O126">
        <v>0</v>
      </c>
      <c r="P126">
        <v>0</v>
      </c>
      <c r="Q126">
        <v>0</v>
      </c>
    </row>
    <row r="127" spans="11:17" x14ac:dyDescent="0.2">
      <c r="K127">
        <v>126</v>
      </c>
      <c r="L127" t="s">
        <v>186</v>
      </c>
      <c r="M127">
        <v>0</v>
      </c>
      <c r="N127">
        <v>0</v>
      </c>
      <c r="O127">
        <v>0</v>
      </c>
      <c r="P127">
        <v>0</v>
      </c>
      <c r="Q127">
        <v>0</v>
      </c>
    </row>
    <row r="128" spans="11:17" x14ac:dyDescent="0.2">
      <c r="K128">
        <v>127</v>
      </c>
      <c r="L128" t="s">
        <v>187</v>
      </c>
      <c r="M128">
        <v>0</v>
      </c>
      <c r="N128">
        <v>0</v>
      </c>
      <c r="O128">
        <v>0</v>
      </c>
      <c r="P128">
        <v>0</v>
      </c>
      <c r="Q128">
        <v>0</v>
      </c>
    </row>
    <row r="129" spans="11:17" x14ac:dyDescent="0.2">
      <c r="K129">
        <v>128</v>
      </c>
      <c r="L129" t="s">
        <v>188</v>
      </c>
      <c r="M129">
        <v>0</v>
      </c>
      <c r="N129">
        <v>0</v>
      </c>
      <c r="O129">
        <v>0</v>
      </c>
      <c r="P129">
        <v>0</v>
      </c>
      <c r="Q129">
        <v>0</v>
      </c>
    </row>
    <row r="130" spans="11:17" x14ac:dyDescent="0.2">
      <c r="K130">
        <v>129</v>
      </c>
      <c r="L130" t="s">
        <v>189</v>
      </c>
      <c r="M130">
        <v>0</v>
      </c>
      <c r="N130">
        <v>0</v>
      </c>
      <c r="O130">
        <v>0</v>
      </c>
      <c r="P130">
        <v>0</v>
      </c>
      <c r="Q130">
        <v>0</v>
      </c>
    </row>
    <row r="131" spans="11:17" x14ac:dyDescent="0.2">
      <c r="K131">
        <v>130</v>
      </c>
      <c r="L131" t="s">
        <v>190</v>
      </c>
      <c r="M131">
        <v>0</v>
      </c>
      <c r="N131">
        <v>0</v>
      </c>
      <c r="O131">
        <v>0</v>
      </c>
      <c r="P131">
        <v>0</v>
      </c>
      <c r="Q131">
        <v>0</v>
      </c>
    </row>
    <row r="132" spans="11:17" x14ac:dyDescent="0.2">
      <c r="K132">
        <v>131</v>
      </c>
      <c r="L132" t="s">
        <v>191</v>
      </c>
      <c r="M132">
        <v>0</v>
      </c>
      <c r="N132">
        <v>0</v>
      </c>
      <c r="O132">
        <v>0</v>
      </c>
      <c r="P132">
        <v>0</v>
      </c>
      <c r="Q132">
        <v>0</v>
      </c>
    </row>
    <row r="133" spans="11:17" x14ac:dyDescent="0.2">
      <c r="K133">
        <v>132</v>
      </c>
      <c r="L133" t="s">
        <v>192</v>
      </c>
      <c r="M133">
        <v>0</v>
      </c>
      <c r="N133">
        <v>0</v>
      </c>
      <c r="O133">
        <v>0</v>
      </c>
      <c r="P133">
        <v>0</v>
      </c>
      <c r="Q133">
        <v>0</v>
      </c>
    </row>
    <row r="134" spans="11:17" x14ac:dyDescent="0.2">
      <c r="K134">
        <v>133</v>
      </c>
      <c r="L134" t="s">
        <v>193</v>
      </c>
      <c r="M134">
        <v>0</v>
      </c>
      <c r="N134">
        <v>0</v>
      </c>
      <c r="O134">
        <v>0</v>
      </c>
      <c r="P134">
        <v>0</v>
      </c>
      <c r="Q134">
        <v>0</v>
      </c>
    </row>
    <row r="135" spans="11:17" x14ac:dyDescent="0.2">
      <c r="K135">
        <v>134</v>
      </c>
      <c r="L135" t="s">
        <v>194</v>
      </c>
      <c r="M135">
        <v>0</v>
      </c>
      <c r="N135">
        <v>0</v>
      </c>
      <c r="O135">
        <v>0</v>
      </c>
      <c r="P135">
        <v>0</v>
      </c>
      <c r="Q135">
        <v>0</v>
      </c>
    </row>
    <row r="136" spans="11:17" x14ac:dyDescent="0.2">
      <c r="K136">
        <v>135</v>
      </c>
      <c r="L136" t="s">
        <v>195</v>
      </c>
      <c r="M136">
        <v>0</v>
      </c>
      <c r="N136">
        <v>0</v>
      </c>
      <c r="O136">
        <v>0</v>
      </c>
      <c r="P136">
        <v>0</v>
      </c>
    </row>
    <row r="137" spans="11:17" x14ac:dyDescent="0.2">
      <c r="K137">
        <v>136</v>
      </c>
      <c r="L137" t="s">
        <v>197</v>
      </c>
      <c r="M137">
        <v>0</v>
      </c>
      <c r="N137">
        <v>0</v>
      </c>
      <c r="O137">
        <v>0</v>
      </c>
      <c r="P137">
        <v>0</v>
      </c>
      <c r="Q137">
        <v>0</v>
      </c>
    </row>
    <row r="138" spans="11:17" x14ac:dyDescent="0.2">
      <c r="K138">
        <v>137</v>
      </c>
      <c r="L138" t="s">
        <v>198</v>
      </c>
      <c r="M138">
        <v>0</v>
      </c>
      <c r="N138">
        <v>0</v>
      </c>
      <c r="O138">
        <v>0</v>
      </c>
      <c r="P138">
        <v>0</v>
      </c>
      <c r="Q138">
        <v>0</v>
      </c>
    </row>
    <row r="139" spans="11:17" x14ac:dyDescent="0.2">
      <c r="K139">
        <v>138</v>
      </c>
      <c r="L139" t="s">
        <v>199</v>
      </c>
      <c r="M139">
        <v>0</v>
      </c>
      <c r="N139">
        <v>0</v>
      </c>
      <c r="O139">
        <v>0</v>
      </c>
      <c r="P139">
        <v>0</v>
      </c>
      <c r="Q139">
        <v>0</v>
      </c>
    </row>
    <row r="140" spans="11:17" x14ac:dyDescent="0.2">
      <c r="K140">
        <v>139</v>
      </c>
      <c r="L140" t="s">
        <v>200</v>
      </c>
      <c r="M140">
        <v>0</v>
      </c>
      <c r="N140">
        <v>0</v>
      </c>
      <c r="O140">
        <v>0</v>
      </c>
      <c r="P140">
        <v>0</v>
      </c>
      <c r="Q140">
        <v>0</v>
      </c>
    </row>
    <row r="141" spans="11:17" x14ac:dyDescent="0.2">
      <c r="K141">
        <v>140</v>
      </c>
      <c r="L141" t="s">
        <v>201</v>
      </c>
      <c r="M141">
        <v>0</v>
      </c>
      <c r="N141">
        <v>0</v>
      </c>
      <c r="O141">
        <v>0</v>
      </c>
      <c r="P141">
        <v>0</v>
      </c>
      <c r="Q141">
        <v>0</v>
      </c>
    </row>
    <row r="142" spans="11:17" x14ac:dyDescent="0.2">
      <c r="K142">
        <v>141</v>
      </c>
      <c r="L142" t="s">
        <v>202</v>
      </c>
      <c r="M142">
        <v>0</v>
      </c>
      <c r="N142">
        <v>0</v>
      </c>
      <c r="O142">
        <v>0</v>
      </c>
      <c r="P142">
        <v>0</v>
      </c>
      <c r="Q142">
        <v>0</v>
      </c>
    </row>
    <row r="143" spans="11:17" x14ac:dyDescent="0.2">
      <c r="K143">
        <v>142</v>
      </c>
      <c r="L143" t="s">
        <v>203</v>
      </c>
      <c r="M143">
        <v>0</v>
      </c>
      <c r="N143">
        <v>0</v>
      </c>
      <c r="O143">
        <v>0</v>
      </c>
      <c r="P143">
        <v>0</v>
      </c>
      <c r="Q143">
        <v>0</v>
      </c>
    </row>
    <row r="144" spans="11:17" x14ac:dyDescent="0.2">
      <c r="K144">
        <v>143</v>
      </c>
      <c r="L144" t="s">
        <v>204</v>
      </c>
      <c r="M144">
        <v>0</v>
      </c>
      <c r="N144">
        <v>0</v>
      </c>
      <c r="O144">
        <v>0</v>
      </c>
      <c r="P144">
        <v>0</v>
      </c>
      <c r="Q144">
        <v>0</v>
      </c>
    </row>
    <row r="145" spans="11:17" x14ac:dyDescent="0.2">
      <c r="K145">
        <v>144</v>
      </c>
      <c r="L145" t="s">
        <v>205</v>
      </c>
      <c r="M145">
        <v>0</v>
      </c>
      <c r="N145">
        <v>0</v>
      </c>
      <c r="O145">
        <v>0</v>
      </c>
      <c r="P145">
        <v>0</v>
      </c>
      <c r="Q145">
        <v>0</v>
      </c>
    </row>
    <row r="146" spans="11:17" x14ac:dyDescent="0.2">
      <c r="K146">
        <v>145</v>
      </c>
      <c r="L146" t="s">
        <v>206</v>
      </c>
      <c r="M146">
        <v>0</v>
      </c>
      <c r="N146">
        <v>0</v>
      </c>
      <c r="O146">
        <v>0</v>
      </c>
      <c r="P146">
        <v>0</v>
      </c>
      <c r="Q146">
        <v>0</v>
      </c>
    </row>
    <row r="147" spans="11:17" x14ac:dyDescent="0.2">
      <c r="K147">
        <v>146</v>
      </c>
      <c r="L147" t="s">
        <v>207</v>
      </c>
      <c r="M147">
        <v>0</v>
      </c>
      <c r="N147">
        <v>0</v>
      </c>
      <c r="O147">
        <v>0</v>
      </c>
      <c r="P147">
        <v>0</v>
      </c>
      <c r="Q147">
        <v>0</v>
      </c>
    </row>
    <row r="148" spans="11:17" x14ac:dyDescent="0.2">
      <c r="K148">
        <v>147</v>
      </c>
      <c r="L148" t="s">
        <v>208</v>
      </c>
      <c r="M148">
        <v>0</v>
      </c>
      <c r="N148">
        <v>0</v>
      </c>
      <c r="O148">
        <v>0</v>
      </c>
      <c r="P148">
        <v>0</v>
      </c>
      <c r="Q148">
        <v>0</v>
      </c>
    </row>
    <row r="149" spans="11:17" x14ac:dyDescent="0.2">
      <c r="K149">
        <v>148</v>
      </c>
      <c r="L149" t="s">
        <v>209</v>
      </c>
      <c r="M149">
        <v>0</v>
      </c>
      <c r="N149">
        <v>0</v>
      </c>
      <c r="O149">
        <v>0</v>
      </c>
      <c r="P149">
        <v>0</v>
      </c>
      <c r="Q149">
        <v>0</v>
      </c>
    </row>
    <row r="150" spans="11:17" x14ac:dyDescent="0.2">
      <c r="K150">
        <v>149</v>
      </c>
      <c r="L150" t="s">
        <v>210</v>
      </c>
      <c r="M150">
        <v>0</v>
      </c>
      <c r="N150">
        <v>0</v>
      </c>
      <c r="O150">
        <v>0</v>
      </c>
      <c r="P150">
        <v>0</v>
      </c>
      <c r="Q150">
        <v>0</v>
      </c>
    </row>
    <row r="151" spans="11:17" x14ac:dyDescent="0.2">
      <c r="K151">
        <v>150</v>
      </c>
      <c r="L151" t="s">
        <v>211</v>
      </c>
      <c r="M151">
        <v>0</v>
      </c>
      <c r="N151">
        <v>0</v>
      </c>
      <c r="O151">
        <v>0</v>
      </c>
      <c r="P151">
        <v>0</v>
      </c>
      <c r="Q151">
        <v>0</v>
      </c>
    </row>
    <row r="152" spans="11:17" x14ac:dyDescent="0.2">
      <c r="K152">
        <v>151</v>
      </c>
      <c r="L152" t="s">
        <v>212</v>
      </c>
      <c r="M152">
        <v>0</v>
      </c>
      <c r="N152">
        <v>0</v>
      </c>
      <c r="O152">
        <v>0</v>
      </c>
      <c r="P152">
        <v>0</v>
      </c>
      <c r="Q152">
        <v>0</v>
      </c>
    </row>
    <row r="153" spans="11:17" x14ac:dyDescent="0.2">
      <c r="K153">
        <v>152</v>
      </c>
      <c r="L153" t="s">
        <v>213</v>
      </c>
      <c r="M153">
        <v>0</v>
      </c>
      <c r="N153">
        <v>0</v>
      </c>
      <c r="O153">
        <v>0</v>
      </c>
      <c r="P153">
        <v>0</v>
      </c>
      <c r="Q153">
        <v>0</v>
      </c>
    </row>
    <row r="154" spans="11:17" x14ac:dyDescent="0.2">
      <c r="K154">
        <v>153</v>
      </c>
      <c r="L154" t="s">
        <v>214</v>
      </c>
      <c r="M154">
        <v>0</v>
      </c>
      <c r="N154">
        <v>0</v>
      </c>
      <c r="O154">
        <v>0</v>
      </c>
      <c r="P154">
        <v>0</v>
      </c>
      <c r="Q154">
        <v>0</v>
      </c>
    </row>
    <row r="155" spans="11:17" x14ac:dyDescent="0.2">
      <c r="K155">
        <v>154</v>
      </c>
      <c r="L155" t="s">
        <v>215</v>
      </c>
      <c r="M155">
        <v>0</v>
      </c>
      <c r="N155">
        <v>0</v>
      </c>
      <c r="O155">
        <v>0</v>
      </c>
      <c r="P155">
        <v>0</v>
      </c>
      <c r="Q155">
        <v>0</v>
      </c>
    </row>
    <row r="156" spans="11:17" x14ac:dyDescent="0.2">
      <c r="K156">
        <v>155</v>
      </c>
      <c r="L156" t="s">
        <v>216</v>
      </c>
      <c r="M156">
        <v>0</v>
      </c>
      <c r="N156">
        <v>0</v>
      </c>
      <c r="O156">
        <v>0</v>
      </c>
      <c r="P156">
        <v>0</v>
      </c>
      <c r="Q156">
        <v>0</v>
      </c>
    </row>
    <row r="157" spans="11:17" x14ac:dyDescent="0.2">
      <c r="K157">
        <v>156</v>
      </c>
      <c r="L157" t="s">
        <v>217</v>
      </c>
      <c r="M157">
        <v>0</v>
      </c>
      <c r="N157">
        <v>0</v>
      </c>
      <c r="O157">
        <v>0</v>
      </c>
      <c r="P157">
        <v>0</v>
      </c>
      <c r="Q157">
        <v>0</v>
      </c>
    </row>
    <row r="158" spans="11:17" x14ac:dyDescent="0.2">
      <c r="K158">
        <v>157</v>
      </c>
      <c r="L158" t="s">
        <v>218</v>
      </c>
      <c r="M158">
        <v>0</v>
      </c>
      <c r="N158">
        <v>0</v>
      </c>
      <c r="O158">
        <v>0</v>
      </c>
      <c r="P158">
        <v>0</v>
      </c>
      <c r="Q158">
        <v>0</v>
      </c>
    </row>
    <row r="159" spans="11:17" x14ac:dyDescent="0.2">
      <c r="K159">
        <v>158</v>
      </c>
      <c r="L159" t="s">
        <v>219</v>
      </c>
      <c r="M159">
        <v>0</v>
      </c>
      <c r="N159">
        <v>0</v>
      </c>
      <c r="O159">
        <v>0</v>
      </c>
      <c r="P159">
        <v>0</v>
      </c>
      <c r="Q159">
        <v>0</v>
      </c>
    </row>
    <row r="160" spans="11:17" x14ac:dyDescent="0.2">
      <c r="K160">
        <v>159</v>
      </c>
      <c r="L160" t="s">
        <v>220</v>
      </c>
      <c r="M160">
        <v>0</v>
      </c>
      <c r="N160">
        <v>0</v>
      </c>
      <c r="O160">
        <v>0</v>
      </c>
      <c r="P160">
        <v>0</v>
      </c>
      <c r="Q160">
        <v>0</v>
      </c>
    </row>
    <row r="161" spans="11:17" x14ac:dyDescent="0.2">
      <c r="K161">
        <v>160</v>
      </c>
      <c r="L161" t="s">
        <v>221</v>
      </c>
      <c r="M161">
        <v>0</v>
      </c>
      <c r="N161">
        <v>0</v>
      </c>
      <c r="O161">
        <v>0</v>
      </c>
      <c r="P161">
        <v>0</v>
      </c>
      <c r="Q161">
        <v>0</v>
      </c>
    </row>
    <row r="162" spans="11:17" x14ac:dyDescent="0.2">
      <c r="K162">
        <v>161</v>
      </c>
      <c r="L162" t="s">
        <v>222</v>
      </c>
      <c r="M162">
        <v>0</v>
      </c>
      <c r="N162">
        <v>0</v>
      </c>
      <c r="O162">
        <v>0</v>
      </c>
      <c r="P162">
        <v>0</v>
      </c>
      <c r="Q162">
        <v>0</v>
      </c>
    </row>
    <row r="163" spans="11:17" x14ac:dyDescent="0.2">
      <c r="K163">
        <v>162</v>
      </c>
      <c r="L163" t="s">
        <v>223</v>
      </c>
      <c r="M163">
        <v>0</v>
      </c>
      <c r="N163">
        <v>0</v>
      </c>
      <c r="O163">
        <v>0</v>
      </c>
      <c r="P163">
        <v>0</v>
      </c>
      <c r="Q163">
        <v>0</v>
      </c>
    </row>
    <row r="164" spans="11:17" x14ac:dyDescent="0.2">
      <c r="K164">
        <v>163</v>
      </c>
      <c r="L164" t="s">
        <v>224</v>
      </c>
      <c r="M164">
        <v>0</v>
      </c>
      <c r="N164">
        <v>0</v>
      </c>
      <c r="O164">
        <v>0</v>
      </c>
      <c r="P164">
        <v>0</v>
      </c>
      <c r="Q164">
        <v>0</v>
      </c>
    </row>
    <row r="165" spans="11:17" x14ac:dyDescent="0.2">
      <c r="K165">
        <v>164</v>
      </c>
      <c r="L165" t="s">
        <v>225</v>
      </c>
      <c r="M165">
        <v>0</v>
      </c>
      <c r="N165">
        <v>0</v>
      </c>
      <c r="O165">
        <v>0</v>
      </c>
      <c r="P165">
        <v>0</v>
      </c>
      <c r="Q165">
        <v>0</v>
      </c>
    </row>
    <row r="166" spans="11:17" x14ac:dyDescent="0.2">
      <c r="K166">
        <v>165</v>
      </c>
      <c r="L166" t="s">
        <v>226</v>
      </c>
      <c r="M166">
        <v>0</v>
      </c>
      <c r="N166">
        <v>0</v>
      </c>
      <c r="O166">
        <v>0</v>
      </c>
      <c r="P166">
        <v>0</v>
      </c>
      <c r="Q166">
        <v>0</v>
      </c>
    </row>
    <row r="167" spans="11:17" x14ac:dyDescent="0.2">
      <c r="K167">
        <v>166</v>
      </c>
      <c r="L167" t="s">
        <v>227</v>
      </c>
      <c r="M167">
        <v>0</v>
      </c>
      <c r="N167">
        <v>0</v>
      </c>
      <c r="O167">
        <v>0</v>
      </c>
      <c r="P167">
        <v>0</v>
      </c>
      <c r="Q167">
        <v>0</v>
      </c>
    </row>
    <row r="168" spans="11:17" x14ac:dyDescent="0.2">
      <c r="K168">
        <v>167</v>
      </c>
      <c r="L168" t="s">
        <v>228</v>
      </c>
      <c r="M168">
        <v>0</v>
      </c>
      <c r="N168">
        <v>0</v>
      </c>
      <c r="O168">
        <v>0</v>
      </c>
      <c r="P168">
        <v>0</v>
      </c>
      <c r="Q168">
        <v>0</v>
      </c>
    </row>
    <row r="169" spans="11:17" x14ac:dyDescent="0.2">
      <c r="K169">
        <v>168</v>
      </c>
      <c r="L169" t="s">
        <v>229</v>
      </c>
      <c r="M169">
        <v>0</v>
      </c>
      <c r="N169">
        <v>0</v>
      </c>
      <c r="O169">
        <v>0</v>
      </c>
      <c r="P169">
        <v>0</v>
      </c>
      <c r="Q169">
        <v>0</v>
      </c>
    </row>
    <row r="170" spans="11:17" x14ac:dyDescent="0.2">
      <c r="K170">
        <v>169</v>
      </c>
      <c r="L170" t="s">
        <v>230</v>
      </c>
      <c r="M170">
        <v>0</v>
      </c>
      <c r="N170">
        <v>0</v>
      </c>
      <c r="O170">
        <v>0</v>
      </c>
      <c r="P170">
        <v>0</v>
      </c>
      <c r="Q170">
        <v>0</v>
      </c>
    </row>
    <row r="171" spans="11:17" x14ac:dyDescent="0.2">
      <c r="K171">
        <v>170</v>
      </c>
      <c r="L171" t="s">
        <v>231</v>
      </c>
      <c r="M171">
        <v>0</v>
      </c>
      <c r="N171">
        <v>0</v>
      </c>
      <c r="O171">
        <v>0</v>
      </c>
      <c r="P171">
        <v>0</v>
      </c>
      <c r="Q171">
        <v>0</v>
      </c>
    </row>
    <row r="172" spans="11:17" x14ac:dyDescent="0.2">
      <c r="K172">
        <v>171</v>
      </c>
      <c r="L172" t="s">
        <v>232</v>
      </c>
      <c r="M172">
        <v>0</v>
      </c>
      <c r="N172">
        <v>0</v>
      </c>
      <c r="O172">
        <v>0</v>
      </c>
      <c r="P172">
        <v>0</v>
      </c>
      <c r="Q172">
        <v>0</v>
      </c>
    </row>
    <row r="173" spans="11:17" x14ac:dyDescent="0.2">
      <c r="K173">
        <v>172</v>
      </c>
      <c r="L173" t="s">
        <v>233</v>
      </c>
      <c r="M173">
        <v>0</v>
      </c>
      <c r="N173">
        <v>0</v>
      </c>
      <c r="O173">
        <v>0</v>
      </c>
      <c r="P173">
        <v>0</v>
      </c>
      <c r="Q173">
        <v>0</v>
      </c>
    </row>
    <row r="174" spans="11:17" x14ac:dyDescent="0.2">
      <c r="K174">
        <v>173</v>
      </c>
      <c r="L174" t="s">
        <v>234</v>
      </c>
      <c r="M174">
        <v>0</v>
      </c>
      <c r="N174">
        <v>0</v>
      </c>
      <c r="O174">
        <v>0</v>
      </c>
      <c r="P174">
        <v>0</v>
      </c>
      <c r="Q174">
        <v>0</v>
      </c>
    </row>
    <row r="175" spans="11:17" x14ac:dyDescent="0.2">
      <c r="K175">
        <v>174</v>
      </c>
      <c r="L175" t="s">
        <v>235</v>
      </c>
      <c r="M175">
        <v>0</v>
      </c>
      <c r="N175">
        <v>0</v>
      </c>
      <c r="O175">
        <v>0</v>
      </c>
      <c r="P175">
        <v>0</v>
      </c>
      <c r="Q175">
        <v>0</v>
      </c>
    </row>
    <row r="176" spans="11:17" x14ac:dyDescent="0.2">
      <c r="K176">
        <v>175</v>
      </c>
      <c r="L176" t="s">
        <v>236</v>
      </c>
      <c r="M176">
        <v>0</v>
      </c>
      <c r="N176">
        <v>0</v>
      </c>
      <c r="O176">
        <v>0</v>
      </c>
      <c r="P176">
        <v>0</v>
      </c>
      <c r="Q176">
        <v>0</v>
      </c>
    </row>
    <row r="177" spans="11:17" x14ac:dyDescent="0.2">
      <c r="K177">
        <v>176</v>
      </c>
      <c r="L177" t="s">
        <v>237</v>
      </c>
      <c r="M177">
        <v>0</v>
      </c>
      <c r="N177">
        <v>0</v>
      </c>
      <c r="O177">
        <v>0</v>
      </c>
      <c r="P177">
        <v>0</v>
      </c>
      <c r="Q177">
        <v>0</v>
      </c>
    </row>
    <row r="178" spans="11:17" x14ac:dyDescent="0.2">
      <c r="K178">
        <v>177</v>
      </c>
      <c r="L178" t="s">
        <v>238</v>
      </c>
      <c r="M178">
        <v>0</v>
      </c>
      <c r="N178">
        <v>0</v>
      </c>
      <c r="O178">
        <v>0</v>
      </c>
      <c r="P178">
        <v>0</v>
      </c>
      <c r="Q178">
        <v>0</v>
      </c>
    </row>
    <row r="179" spans="11:17" x14ac:dyDescent="0.2">
      <c r="K179">
        <v>178</v>
      </c>
      <c r="L179" t="s">
        <v>239</v>
      </c>
      <c r="M179">
        <v>0</v>
      </c>
      <c r="N179">
        <v>0</v>
      </c>
      <c r="O179">
        <v>0</v>
      </c>
      <c r="P179">
        <v>0</v>
      </c>
      <c r="Q179">
        <v>0</v>
      </c>
    </row>
    <row r="180" spans="11:17" x14ac:dyDescent="0.2">
      <c r="K180">
        <v>179</v>
      </c>
      <c r="L180" t="s">
        <v>240</v>
      </c>
      <c r="M180">
        <v>0</v>
      </c>
      <c r="N180">
        <v>0</v>
      </c>
      <c r="O180">
        <v>0</v>
      </c>
      <c r="P180">
        <v>0</v>
      </c>
      <c r="Q180">
        <v>0</v>
      </c>
    </row>
    <row r="181" spans="11:17" x14ac:dyDescent="0.2">
      <c r="K181">
        <v>180</v>
      </c>
      <c r="L181" t="s">
        <v>241</v>
      </c>
      <c r="M181">
        <v>0</v>
      </c>
      <c r="N181">
        <v>0</v>
      </c>
      <c r="O181">
        <v>0</v>
      </c>
      <c r="P181">
        <v>0</v>
      </c>
      <c r="Q181">
        <v>0</v>
      </c>
    </row>
    <row r="182" spans="11:17" x14ac:dyDescent="0.2">
      <c r="K182">
        <v>181</v>
      </c>
      <c r="L182" t="s">
        <v>242</v>
      </c>
      <c r="M182">
        <v>0</v>
      </c>
      <c r="N182">
        <v>0</v>
      </c>
      <c r="O182">
        <v>0</v>
      </c>
      <c r="P182">
        <v>0</v>
      </c>
      <c r="Q182">
        <v>0</v>
      </c>
    </row>
    <row r="183" spans="11:17" x14ac:dyDescent="0.2">
      <c r="K183">
        <v>182</v>
      </c>
      <c r="L183" t="s">
        <v>243</v>
      </c>
      <c r="M183">
        <v>0</v>
      </c>
      <c r="N183">
        <v>0</v>
      </c>
      <c r="O183">
        <v>0</v>
      </c>
      <c r="P183">
        <v>0</v>
      </c>
      <c r="Q183">
        <v>0</v>
      </c>
    </row>
    <row r="184" spans="11:17" x14ac:dyDescent="0.2">
      <c r="K184">
        <v>183</v>
      </c>
      <c r="L184" t="s">
        <v>244</v>
      </c>
      <c r="M184">
        <v>0</v>
      </c>
      <c r="N184">
        <v>0</v>
      </c>
      <c r="O184">
        <v>0</v>
      </c>
      <c r="P184">
        <v>0</v>
      </c>
      <c r="Q184">
        <v>0</v>
      </c>
    </row>
    <row r="185" spans="11:17" x14ac:dyDescent="0.2">
      <c r="K185">
        <v>184</v>
      </c>
      <c r="L185" t="s">
        <v>245</v>
      </c>
      <c r="M185">
        <v>0</v>
      </c>
      <c r="N185">
        <v>0</v>
      </c>
      <c r="O185">
        <v>0</v>
      </c>
      <c r="P185">
        <v>0</v>
      </c>
      <c r="Q185">
        <v>0</v>
      </c>
    </row>
    <row r="186" spans="11:17" x14ac:dyDescent="0.2">
      <c r="K186">
        <v>185</v>
      </c>
      <c r="L186" t="s">
        <v>246</v>
      </c>
      <c r="M186">
        <v>0</v>
      </c>
      <c r="N186">
        <v>0</v>
      </c>
      <c r="O186">
        <v>0</v>
      </c>
      <c r="P186">
        <v>0</v>
      </c>
      <c r="Q186">
        <v>0</v>
      </c>
    </row>
    <row r="187" spans="11:17" x14ac:dyDescent="0.2">
      <c r="K187">
        <v>186</v>
      </c>
      <c r="L187" t="s">
        <v>247</v>
      </c>
      <c r="M187">
        <v>0</v>
      </c>
      <c r="N187">
        <v>0</v>
      </c>
      <c r="O187">
        <v>0</v>
      </c>
      <c r="P187">
        <v>0</v>
      </c>
      <c r="Q187">
        <v>0</v>
      </c>
    </row>
    <row r="188" spans="11:17" x14ac:dyDescent="0.2">
      <c r="K188">
        <v>187</v>
      </c>
      <c r="L188" t="s">
        <v>248</v>
      </c>
      <c r="M188">
        <v>0</v>
      </c>
      <c r="N188">
        <v>0</v>
      </c>
      <c r="O188">
        <v>0</v>
      </c>
      <c r="P188">
        <v>0</v>
      </c>
      <c r="Q188">
        <v>0</v>
      </c>
    </row>
    <row r="189" spans="11:17" x14ac:dyDescent="0.2">
      <c r="K189">
        <v>188</v>
      </c>
      <c r="L189" t="s">
        <v>249</v>
      </c>
      <c r="M189">
        <v>0</v>
      </c>
      <c r="N189">
        <v>0</v>
      </c>
      <c r="O189">
        <v>0</v>
      </c>
      <c r="P189">
        <v>0</v>
      </c>
      <c r="Q189">
        <v>0</v>
      </c>
    </row>
    <row r="190" spans="11:17" x14ac:dyDescent="0.2">
      <c r="K190">
        <v>189</v>
      </c>
      <c r="L190" t="s">
        <v>250</v>
      </c>
      <c r="M190">
        <v>0</v>
      </c>
      <c r="N190">
        <v>0</v>
      </c>
      <c r="O190">
        <v>0</v>
      </c>
      <c r="P190">
        <v>0</v>
      </c>
      <c r="Q190">
        <v>0</v>
      </c>
    </row>
    <row r="191" spans="11:17" x14ac:dyDescent="0.2">
      <c r="K191">
        <v>190</v>
      </c>
      <c r="L191" t="s">
        <v>251</v>
      </c>
      <c r="M191">
        <v>0</v>
      </c>
      <c r="N191">
        <v>0</v>
      </c>
      <c r="O191">
        <v>0</v>
      </c>
      <c r="P191">
        <v>0</v>
      </c>
      <c r="Q191">
        <v>0</v>
      </c>
    </row>
    <row r="192" spans="11:17" x14ac:dyDescent="0.2">
      <c r="K192">
        <v>191</v>
      </c>
      <c r="L192" t="s">
        <v>252</v>
      </c>
      <c r="M192">
        <v>0</v>
      </c>
      <c r="N192">
        <v>0</v>
      </c>
      <c r="O192">
        <v>0</v>
      </c>
      <c r="P192">
        <v>0</v>
      </c>
      <c r="Q192">
        <v>0</v>
      </c>
    </row>
    <row r="193" spans="11:17" x14ac:dyDescent="0.2">
      <c r="K193">
        <v>192</v>
      </c>
      <c r="L193" t="s">
        <v>253</v>
      </c>
      <c r="M193">
        <v>0</v>
      </c>
      <c r="N193">
        <v>0</v>
      </c>
      <c r="O193">
        <v>0</v>
      </c>
      <c r="P193">
        <v>0</v>
      </c>
      <c r="Q193">
        <v>0</v>
      </c>
    </row>
    <row r="194" spans="11:17" x14ac:dyDescent="0.2">
      <c r="K194">
        <v>193</v>
      </c>
      <c r="L194" t="s">
        <v>254</v>
      </c>
      <c r="M194">
        <v>0</v>
      </c>
      <c r="N194">
        <v>0</v>
      </c>
      <c r="O194">
        <v>0</v>
      </c>
      <c r="P194">
        <v>0</v>
      </c>
      <c r="Q194">
        <v>0</v>
      </c>
    </row>
    <row r="195" spans="11:17" x14ac:dyDescent="0.2">
      <c r="K195">
        <v>194</v>
      </c>
      <c r="L195" t="s">
        <v>255</v>
      </c>
      <c r="M195">
        <v>0</v>
      </c>
      <c r="N195">
        <v>0</v>
      </c>
      <c r="O195">
        <v>0</v>
      </c>
      <c r="P195">
        <v>0</v>
      </c>
      <c r="Q195">
        <v>0</v>
      </c>
    </row>
    <row r="196" spans="11:17" x14ac:dyDescent="0.2">
      <c r="K196">
        <v>195</v>
      </c>
      <c r="L196" t="s">
        <v>256</v>
      </c>
      <c r="M196">
        <v>0</v>
      </c>
      <c r="N196">
        <v>0</v>
      </c>
      <c r="O196">
        <v>0</v>
      </c>
      <c r="P196">
        <v>0</v>
      </c>
      <c r="Q196">
        <v>0</v>
      </c>
    </row>
    <row r="197" spans="11:17" x14ac:dyDescent="0.2">
      <c r="K197">
        <v>196</v>
      </c>
      <c r="L197" t="s">
        <v>257</v>
      </c>
      <c r="M197">
        <v>0</v>
      </c>
      <c r="N197">
        <v>0</v>
      </c>
      <c r="O197">
        <v>0</v>
      </c>
      <c r="P197">
        <v>0</v>
      </c>
      <c r="Q197">
        <v>0</v>
      </c>
    </row>
    <row r="198" spans="11:17" x14ac:dyDescent="0.2">
      <c r="K198">
        <v>197</v>
      </c>
      <c r="L198" t="s">
        <v>258</v>
      </c>
      <c r="M198">
        <v>0</v>
      </c>
      <c r="N198">
        <v>0</v>
      </c>
      <c r="O198">
        <v>0</v>
      </c>
      <c r="P198">
        <v>0</v>
      </c>
      <c r="Q198">
        <v>0</v>
      </c>
    </row>
    <row r="199" spans="11:17" x14ac:dyDescent="0.2">
      <c r="K199">
        <v>198</v>
      </c>
      <c r="L199" t="s">
        <v>259</v>
      </c>
      <c r="M199">
        <v>0</v>
      </c>
      <c r="N199">
        <v>0</v>
      </c>
      <c r="O199">
        <v>0</v>
      </c>
      <c r="P199">
        <v>0</v>
      </c>
      <c r="Q199">
        <v>0</v>
      </c>
    </row>
    <row r="200" spans="11:17" x14ac:dyDescent="0.2">
      <c r="K200">
        <v>199</v>
      </c>
      <c r="L200" t="s">
        <v>260</v>
      </c>
      <c r="M200">
        <v>0</v>
      </c>
      <c r="N200">
        <v>0</v>
      </c>
      <c r="O200">
        <v>0</v>
      </c>
      <c r="P200">
        <v>0</v>
      </c>
      <c r="Q200">
        <v>0</v>
      </c>
    </row>
    <row r="201" spans="11:17" x14ac:dyDescent="0.2">
      <c r="K201">
        <v>200</v>
      </c>
      <c r="L201" t="s">
        <v>261</v>
      </c>
      <c r="M201">
        <v>0</v>
      </c>
      <c r="N201">
        <v>0</v>
      </c>
      <c r="O201">
        <v>0</v>
      </c>
      <c r="P201">
        <v>0</v>
      </c>
      <c r="Q201">
        <v>0</v>
      </c>
    </row>
    <row r="202" spans="11:17" x14ac:dyDescent="0.2">
      <c r="K202">
        <v>201</v>
      </c>
      <c r="L202" t="s">
        <v>262</v>
      </c>
      <c r="M202">
        <v>0</v>
      </c>
      <c r="N202">
        <v>0</v>
      </c>
      <c r="O202">
        <v>0</v>
      </c>
      <c r="P202">
        <v>0</v>
      </c>
      <c r="Q202">
        <v>0</v>
      </c>
    </row>
    <row r="203" spans="11:17" x14ac:dyDescent="0.2">
      <c r="K203">
        <v>202</v>
      </c>
      <c r="L203" t="s">
        <v>263</v>
      </c>
      <c r="M203">
        <v>0</v>
      </c>
      <c r="N203">
        <v>0</v>
      </c>
      <c r="O203">
        <v>0</v>
      </c>
      <c r="P203">
        <v>0</v>
      </c>
      <c r="Q203">
        <v>0</v>
      </c>
    </row>
    <row r="204" spans="11:17" x14ac:dyDescent="0.2">
      <c r="K204">
        <v>203</v>
      </c>
      <c r="L204" t="s">
        <v>264</v>
      </c>
      <c r="M204">
        <v>0</v>
      </c>
      <c r="N204">
        <v>0</v>
      </c>
      <c r="O204">
        <v>0</v>
      </c>
      <c r="P204">
        <v>0</v>
      </c>
      <c r="Q204">
        <v>0</v>
      </c>
    </row>
    <row r="205" spans="11:17" x14ac:dyDescent="0.2">
      <c r="K205">
        <v>204</v>
      </c>
      <c r="L205" t="s">
        <v>265</v>
      </c>
      <c r="M205">
        <v>0</v>
      </c>
      <c r="N205">
        <v>0</v>
      </c>
      <c r="O205">
        <v>0</v>
      </c>
      <c r="P205">
        <v>0</v>
      </c>
      <c r="Q205">
        <v>0</v>
      </c>
    </row>
    <row r="206" spans="11:17" x14ac:dyDescent="0.2">
      <c r="K206">
        <v>205</v>
      </c>
      <c r="L206" t="s">
        <v>266</v>
      </c>
      <c r="M206">
        <v>0</v>
      </c>
      <c r="N206">
        <v>0</v>
      </c>
      <c r="O206">
        <v>0</v>
      </c>
      <c r="P206">
        <v>0</v>
      </c>
      <c r="Q206">
        <v>0</v>
      </c>
    </row>
    <row r="207" spans="11:17" x14ac:dyDescent="0.2">
      <c r="K207">
        <v>206</v>
      </c>
      <c r="L207" t="s">
        <v>267</v>
      </c>
      <c r="M207">
        <v>0</v>
      </c>
      <c r="N207">
        <v>0</v>
      </c>
      <c r="O207">
        <v>0</v>
      </c>
      <c r="P207">
        <v>0</v>
      </c>
      <c r="Q207">
        <v>0</v>
      </c>
    </row>
    <row r="208" spans="11:17" x14ac:dyDescent="0.2">
      <c r="K208">
        <v>207</v>
      </c>
      <c r="L208" t="s">
        <v>268</v>
      </c>
      <c r="M208">
        <v>0</v>
      </c>
      <c r="N208">
        <v>0</v>
      </c>
      <c r="O208">
        <v>0</v>
      </c>
      <c r="P208">
        <v>0</v>
      </c>
      <c r="Q208">
        <v>0</v>
      </c>
    </row>
    <row r="209" spans="11:17" x14ac:dyDescent="0.2">
      <c r="K209">
        <v>208</v>
      </c>
      <c r="L209" t="s">
        <v>269</v>
      </c>
      <c r="M209">
        <v>0</v>
      </c>
      <c r="N209">
        <v>0</v>
      </c>
      <c r="O209">
        <v>0</v>
      </c>
      <c r="P209">
        <v>0</v>
      </c>
      <c r="Q209">
        <v>0</v>
      </c>
    </row>
    <row r="210" spans="11:17" x14ac:dyDescent="0.2">
      <c r="K210">
        <v>209</v>
      </c>
      <c r="L210" t="s">
        <v>270</v>
      </c>
      <c r="M210">
        <v>0</v>
      </c>
      <c r="N210">
        <v>0</v>
      </c>
      <c r="O210">
        <v>0</v>
      </c>
      <c r="P210">
        <v>0</v>
      </c>
      <c r="Q210">
        <v>0</v>
      </c>
    </row>
    <row r="211" spans="11:17" x14ac:dyDescent="0.2">
      <c r="K211">
        <v>210</v>
      </c>
      <c r="L211" t="s">
        <v>271</v>
      </c>
      <c r="M211">
        <v>0</v>
      </c>
      <c r="N211">
        <v>0</v>
      </c>
      <c r="O211">
        <v>0</v>
      </c>
      <c r="P211">
        <v>0</v>
      </c>
      <c r="Q211">
        <v>0</v>
      </c>
    </row>
    <row r="212" spans="11:17" x14ac:dyDescent="0.2">
      <c r="K212">
        <v>211</v>
      </c>
      <c r="L212" t="s">
        <v>272</v>
      </c>
      <c r="M212">
        <v>0</v>
      </c>
      <c r="N212">
        <v>0</v>
      </c>
      <c r="O212">
        <v>0</v>
      </c>
      <c r="P212">
        <v>0</v>
      </c>
      <c r="Q212">
        <v>0</v>
      </c>
    </row>
    <row r="213" spans="11:17" x14ac:dyDescent="0.2">
      <c r="K213">
        <v>212</v>
      </c>
      <c r="L213" t="s">
        <v>273</v>
      </c>
      <c r="M213">
        <v>0</v>
      </c>
      <c r="N213">
        <v>0</v>
      </c>
      <c r="O213">
        <v>0</v>
      </c>
      <c r="P213">
        <v>0</v>
      </c>
      <c r="Q213">
        <v>0</v>
      </c>
    </row>
    <row r="214" spans="11:17" x14ac:dyDescent="0.2">
      <c r="K214">
        <v>213</v>
      </c>
      <c r="L214" t="s">
        <v>274</v>
      </c>
      <c r="M214">
        <v>0</v>
      </c>
      <c r="N214">
        <v>0</v>
      </c>
      <c r="O214">
        <v>0</v>
      </c>
      <c r="P214">
        <v>0</v>
      </c>
      <c r="Q214">
        <v>0</v>
      </c>
    </row>
    <row r="215" spans="11:17" x14ac:dyDescent="0.2">
      <c r="K215">
        <v>214</v>
      </c>
      <c r="L215" t="s">
        <v>275</v>
      </c>
      <c r="M215">
        <v>0</v>
      </c>
      <c r="N215">
        <v>0</v>
      </c>
      <c r="O215">
        <v>0</v>
      </c>
      <c r="P215">
        <v>0</v>
      </c>
      <c r="Q215">
        <v>0</v>
      </c>
    </row>
    <row r="216" spans="11:17" x14ac:dyDescent="0.2">
      <c r="K216">
        <v>215</v>
      </c>
      <c r="L216" t="s">
        <v>276</v>
      </c>
      <c r="M216">
        <v>0</v>
      </c>
      <c r="N216">
        <v>0</v>
      </c>
      <c r="O216">
        <v>0</v>
      </c>
      <c r="P216">
        <v>0</v>
      </c>
      <c r="Q216">
        <v>0</v>
      </c>
    </row>
    <row r="217" spans="11:17" x14ac:dyDescent="0.2">
      <c r="K217">
        <v>216</v>
      </c>
      <c r="L217" t="s">
        <v>277</v>
      </c>
      <c r="M217">
        <v>0</v>
      </c>
      <c r="N217">
        <v>0</v>
      </c>
      <c r="O217">
        <v>0</v>
      </c>
      <c r="P217">
        <v>0</v>
      </c>
      <c r="Q217">
        <v>0</v>
      </c>
    </row>
    <row r="218" spans="11:17" x14ac:dyDescent="0.2">
      <c r="K218">
        <v>217</v>
      </c>
      <c r="L218" t="s">
        <v>278</v>
      </c>
      <c r="M218">
        <v>0</v>
      </c>
      <c r="N218">
        <v>0</v>
      </c>
      <c r="O218">
        <v>0</v>
      </c>
      <c r="P218">
        <v>0</v>
      </c>
      <c r="Q218">
        <v>0</v>
      </c>
    </row>
    <row r="219" spans="11:17" x14ac:dyDescent="0.2">
      <c r="K219">
        <v>218</v>
      </c>
      <c r="L219" t="s">
        <v>279</v>
      </c>
      <c r="M219">
        <v>0</v>
      </c>
      <c r="N219">
        <v>0</v>
      </c>
      <c r="O219">
        <v>0</v>
      </c>
      <c r="P219">
        <v>0</v>
      </c>
      <c r="Q219">
        <v>0</v>
      </c>
    </row>
    <row r="220" spans="11:17" x14ac:dyDescent="0.2">
      <c r="K220">
        <v>219</v>
      </c>
      <c r="L220" t="s">
        <v>280</v>
      </c>
      <c r="M220">
        <v>0</v>
      </c>
      <c r="N220">
        <v>0</v>
      </c>
      <c r="O220">
        <v>0</v>
      </c>
      <c r="P220">
        <v>0</v>
      </c>
      <c r="Q220">
        <v>0</v>
      </c>
    </row>
    <row r="221" spans="11:17" x14ac:dyDescent="0.2">
      <c r="K221">
        <v>220</v>
      </c>
      <c r="L221" t="s">
        <v>281</v>
      </c>
      <c r="M221">
        <v>0</v>
      </c>
      <c r="N221">
        <v>0</v>
      </c>
      <c r="O221">
        <v>0</v>
      </c>
      <c r="P221">
        <v>0</v>
      </c>
      <c r="Q221">
        <v>0</v>
      </c>
    </row>
    <row r="222" spans="11:17" x14ac:dyDescent="0.2">
      <c r="K222">
        <v>221</v>
      </c>
      <c r="L222" t="s">
        <v>282</v>
      </c>
      <c r="M222">
        <v>0</v>
      </c>
      <c r="N222">
        <v>0</v>
      </c>
      <c r="O222">
        <v>0</v>
      </c>
      <c r="P222">
        <v>0</v>
      </c>
      <c r="Q222">
        <v>0</v>
      </c>
    </row>
    <row r="223" spans="11:17" x14ac:dyDescent="0.2">
      <c r="K223">
        <v>222</v>
      </c>
      <c r="L223" t="s">
        <v>283</v>
      </c>
      <c r="M223">
        <v>0</v>
      </c>
      <c r="N223">
        <v>0</v>
      </c>
      <c r="O223">
        <v>0</v>
      </c>
      <c r="P223">
        <v>0</v>
      </c>
      <c r="Q223">
        <v>0</v>
      </c>
    </row>
    <row r="224" spans="11:17" x14ac:dyDescent="0.2">
      <c r="K224">
        <v>223</v>
      </c>
      <c r="L224" t="s">
        <v>284</v>
      </c>
      <c r="M224">
        <v>0</v>
      </c>
      <c r="N224">
        <v>0</v>
      </c>
      <c r="O224">
        <v>0</v>
      </c>
      <c r="P224">
        <v>0</v>
      </c>
      <c r="Q224">
        <v>0</v>
      </c>
    </row>
    <row r="225" spans="11:17" x14ac:dyDescent="0.2">
      <c r="K225">
        <v>224</v>
      </c>
      <c r="L225" t="s">
        <v>285</v>
      </c>
      <c r="M225">
        <v>0</v>
      </c>
      <c r="N225">
        <v>0</v>
      </c>
      <c r="O225">
        <v>0</v>
      </c>
      <c r="P225">
        <v>0</v>
      </c>
      <c r="Q225">
        <v>0</v>
      </c>
    </row>
    <row r="226" spans="11:17" x14ac:dyDescent="0.2">
      <c r="K226">
        <v>225</v>
      </c>
      <c r="L226" t="s">
        <v>286</v>
      </c>
      <c r="M226">
        <v>0</v>
      </c>
      <c r="N226">
        <v>0</v>
      </c>
      <c r="O226">
        <v>0</v>
      </c>
      <c r="P226">
        <v>0</v>
      </c>
      <c r="Q226">
        <v>0</v>
      </c>
    </row>
    <row r="227" spans="11:17" x14ac:dyDescent="0.2">
      <c r="K227">
        <v>226</v>
      </c>
      <c r="L227" t="s">
        <v>287</v>
      </c>
      <c r="M227">
        <v>0</v>
      </c>
      <c r="N227">
        <v>0</v>
      </c>
      <c r="O227">
        <v>0</v>
      </c>
      <c r="P227">
        <v>0</v>
      </c>
      <c r="Q227">
        <v>0</v>
      </c>
    </row>
    <row r="228" spans="11:17" x14ac:dyDescent="0.2">
      <c r="K228">
        <v>227</v>
      </c>
      <c r="L228" t="s">
        <v>288</v>
      </c>
      <c r="M228">
        <v>0</v>
      </c>
      <c r="N228">
        <v>0</v>
      </c>
      <c r="O228">
        <v>0</v>
      </c>
      <c r="P228">
        <v>0</v>
      </c>
      <c r="Q228">
        <v>0</v>
      </c>
    </row>
    <row r="229" spans="11:17" x14ac:dyDescent="0.2">
      <c r="K229">
        <v>228</v>
      </c>
      <c r="L229" t="s">
        <v>289</v>
      </c>
      <c r="M229">
        <v>0</v>
      </c>
      <c r="N229">
        <v>0</v>
      </c>
      <c r="O229">
        <v>0</v>
      </c>
      <c r="P229">
        <v>0</v>
      </c>
      <c r="Q229">
        <v>0</v>
      </c>
    </row>
    <row r="230" spans="11:17" x14ac:dyDescent="0.2">
      <c r="K230">
        <v>229</v>
      </c>
      <c r="L230" t="s">
        <v>290</v>
      </c>
      <c r="M230">
        <v>0</v>
      </c>
      <c r="N230">
        <v>0</v>
      </c>
      <c r="O230">
        <v>0</v>
      </c>
      <c r="P230">
        <v>0</v>
      </c>
      <c r="Q230">
        <v>0</v>
      </c>
    </row>
    <row r="231" spans="11:17" x14ac:dyDescent="0.2">
      <c r="K231">
        <v>230</v>
      </c>
      <c r="L231" t="s">
        <v>291</v>
      </c>
      <c r="M231">
        <v>0</v>
      </c>
      <c r="N231">
        <v>0</v>
      </c>
      <c r="O231">
        <v>0</v>
      </c>
      <c r="P231">
        <v>0</v>
      </c>
      <c r="Q231">
        <v>0</v>
      </c>
    </row>
    <row r="232" spans="11:17" x14ac:dyDescent="0.2">
      <c r="K232">
        <v>231</v>
      </c>
      <c r="L232" t="s">
        <v>292</v>
      </c>
      <c r="M232">
        <v>0</v>
      </c>
      <c r="N232">
        <v>0</v>
      </c>
      <c r="O232">
        <v>0</v>
      </c>
      <c r="P232">
        <v>0</v>
      </c>
      <c r="Q232">
        <v>0</v>
      </c>
    </row>
    <row r="233" spans="11:17" x14ac:dyDescent="0.2">
      <c r="K233">
        <v>232</v>
      </c>
      <c r="L233" t="s">
        <v>293</v>
      </c>
      <c r="M233">
        <v>0</v>
      </c>
      <c r="N233">
        <v>0</v>
      </c>
      <c r="O233">
        <v>0</v>
      </c>
      <c r="P233">
        <v>0</v>
      </c>
      <c r="Q233">
        <v>0</v>
      </c>
    </row>
    <row r="234" spans="11:17" x14ac:dyDescent="0.2">
      <c r="K234">
        <v>233</v>
      </c>
      <c r="L234" t="s">
        <v>294</v>
      </c>
      <c r="M234">
        <v>0</v>
      </c>
      <c r="N234">
        <v>0</v>
      </c>
      <c r="O234">
        <v>0</v>
      </c>
      <c r="P234">
        <v>0</v>
      </c>
      <c r="Q234">
        <v>0</v>
      </c>
    </row>
    <row r="235" spans="11:17" x14ac:dyDescent="0.2">
      <c r="K235">
        <v>234</v>
      </c>
      <c r="L235" t="s">
        <v>295</v>
      </c>
      <c r="M235">
        <v>0</v>
      </c>
      <c r="N235">
        <v>0</v>
      </c>
      <c r="O235">
        <v>0</v>
      </c>
      <c r="P235">
        <v>0</v>
      </c>
      <c r="Q235">
        <v>0</v>
      </c>
    </row>
    <row r="236" spans="11:17" x14ac:dyDescent="0.2">
      <c r="K236">
        <v>235</v>
      </c>
      <c r="L236" t="s">
        <v>296</v>
      </c>
      <c r="M236">
        <v>0</v>
      </c>
      <c r="N236">
        <v>0</v>
      </c>
      <c r="O236">
        <v>0</v>
      </c>
      <c r="P236">
        <v>0</v>
      </c>
      <c r="Q236">
        <v>0</v>
      </c>
    </row>
    <row r="237" spans="11:17" x14ac:dyDescent="0.2">
      <c r="K237">
        <v>236</v>
      </c>
      <c r="L237" t="s">
        <v>297</v>
      </c>
      <c r="M237">
        <v>0</v>
      </c>
      <c r="N237">
        <v>0</v>
      </c>
      <c r="O237">
        <v>0</v>
      </c>
      <c r="P237">
        <v>0</v>
      </c>
      <c r="Q237">
        <v>0</v>
      </c>
    </row>
    <row r="238" spans="11:17" x14ac:dyDescent="0.2">
      <c r="K238">
        <v>237</v>
      </c>
      <c r="L238" t="s">
        <v>298</v>
      </c>
      <c r="M238">
        <v>0</v>
      </c>
      <c r="N238">
        <v>0</v>
      </c>
      <c r="O238">
        <v>0</v>
      </c>
      <c r="P238">
        <v>0</v>
      </c>
      <c r="Q238">
        <v>0</v>
      </c>
    </row>
    <row r="239" spans="11:17" x14ac:dyDescent="0.2">
      <c r="K239">
        <v>238</v>
      </c>
      <c r="L239" t="s">
        <v>299</v>
      </c>
      <c r="M239">
        <v>0</v>
      </c>
      <c r="N239">
        <v>0</v>
      </c>
      <c r="O239">
        <v>0</v>
      </c>
      <c r="P239">
        <v>0</v>
      </c>
      <c r="Q239">
        <v>0</v>
      </c>
    </row>
    <row r="240" spans="11:17" x14ac:dyDescent="0.2">
      <c r="K240">
        <v>239</v>
      </c>
      <c r="L240" t="s">
        <v>300</v>
      </c>
      <c r="M240">
        <v>0</v>
      </c>
      <c r="N240">
        <v>0</v>
      </c>
      <c r="O240">
        <v>0</v>
      </c>
      <c r="P240">
        <v>0</v>
      </c>
      <c r="Q240">
        <v>0</v>
      </c>
    </row>
    <row r="241" spans="11:17" x14ac:dyDescent="0.2">
      <c r="K241">
        <v>240</v>
      </c>
      <c r="L241" t="s">
        <v>301</v>
      </c>
      <c r="M241">
        <v>0</v>
      </c>
      <c r="N241">
        <v>0</v>
      </c>
      <c r="O241">
        <v>0</v>
      </c>
      <c r="P241">
        <v>0</v>
      </c>
      <c r="Q241">
        <v>0</v>
      </c>
    </row>
    <row r="242" spans="11:17" x14ac:dyDescent="0.2">
      <c r="K242">
        <v>241</v>
      </c>
      <c r="L242" t="s">
        <v>302</v>
      </c>
      <c r="M242">
        <v>0</v>
      </c>
      <c r="N242">
        <v>0</v>
      </c>
      <c r="O242">
        <v>0</v>
      </c>
      <c r="P242">
        <v>0</v>
      </c>
      <c r="Q242">
        <v>0</v>
      </c>
    </row>
    <row r="243" spans="11:17" x14ac:dyDescent="0.2">
      <c r="K243">
        <v>242</v>
      </c>
      <c r="L243" t="s">
        <v>303</v>
      </c>
      <c r="M243">
        <v>0</v>
      </c>
      <c r="N243">
        <v>0</v>
      </c>
      <c r="O243">
        <v>0</v>
      </c>
      <c r="P243">
        <v>0</v>
      </c>
      <c r="Q243">
        <v>0</v>
      </c>
    </row>
    <row r="244" spans="11:17" x14ac:dyDescent="0.2">
      <c r="K244">
        <v>243</v>
      </c>
      <c r="L244" t="s">
        <v>304</v>
      </c>
      <c r="M244">
        <v>0</v>
      </c>
      <c r="N244">
        <v>0</v>
      </c>
      <c r="O244">
        <v>0</v>
      </c>
      <c r="P244">
        <v>0</v>
      </c>
      <c r="Q244">
        <v>0</v>
      </c>
    </row>
    <row r="246" spans="11:17" x14ac:dyDescent="0.2">
      <c r="K246" t="s">
        <v>372</v>
      </c>
    </row>
    <row r="248" spans="11:17" x14ac:dyDescent="0.2">
      <c r="K248" t="s">
        <v>373</v>
      </c>
    </row>
    <row r="250" spans="11:17" x14ac:dyDescent="0.2">
      <c r="K250" s="7" t="s">
        <v>374</v>
      </c>
    </row>
    <row r="252" spans="11:17" x14ac:dyDescent="0.2">
      <c r="K252" t="s">
        <v>375</v>
      </c>
    </row>
    <row r="254" spans="11:17" x14ac:dyDescent="0.2">
      <c r="K254" t="s">
        <v>376</v>
      </c>
    </row>
  </sheetData>
  <conditionalFormatting sqref="A2:A93">
    <cfRule type="cellIs" dxfId="1" priority="1" operator="notEqual">
      <formula>0</formula>
    </cfRule>
  </conditionalFormatting>
  <hyperlinks>
    <hyperlink ref="K250" r:id="rId1" display="http://www.evalujeu.fr/" xr:uid="{75239E29-DDD6-AB49-A069-400B40E09E8B}"/>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D33AE-F0E4-3C4B-B8CD-90C7F6A8AFE3}">
  <sheetPr codeName="Sheet1"/>
  <dimension ref="A1"/>
  <sheetViews>
    <sheetView workbookViewId="0">
      <selection activeCell="K19" sqref="K19"/>
    </sheetView>
  </sheetViews>
  <sheetFormatPr baseColWidth="10" defaultRowHeight="16" x14ac:dyDescent="0.2"/>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3E30B-F338-C140-AFD2-9FB052FBFAA2}">
  <dimension ref="A1:E1969"/>
  <sheetViews>
    <sheetView topLeftCell="A1496" workbookViewId="0">
      <selection activeCell="G1511" sqref="G1511"/>
    </sheetView>
  </sheetViews>
  <sheetFormatPr baseColWidth="10" defaultRowHeight="16" x14ac:dyDescent="0.2"/>
  <cols>
    <col min="5" max="5" width="10.83203125" style="3"/>
  </cols>
  <sheetData>
    <row r="1" spans="1:5" x14ac:dyDescent="0.2">
      <c r="A1">
        <v>1</v>
      </c>
      <c r="B1" t="s">
        <v>68</v>
      </c>
      <c r="C1">
        <v>2</v>
      </c>
      <c r="D1">
        <v>17</v>
      </c>
      <c r="E1" s="3">
        <v>1</v>
      </c>
    </row>
    <row r="2" spans="1:5" x14ac:dyDescent="0.2">
      <c r="A2">
        <v>2</v>
      </c>
      <c r="B2" t="s">
        <v>46</v>
      </c>
      <c r="C2">
        <v>2</v>
      </c>
      <c r="D2">
        <v>13</v>
      </c>
      <c r="E2" s="3">
        <v>1</v>
      </c>
    </row>
    <row r="3" spans="1:5" x14ac:dyDescent="0.2">
      <c r="A3">
        <v>3</v>
      </c>
      <c r="B3" t="s">
        <v>88</v>
      </c>
      <c r="C3">
        <v>2</v>
      </c>
      <c r="D3">
        <v>9</v>
      </c>
      <c r="E3" s="3">
        <v>1</v>
      </c>
    </row>
    <row r="4" spans="1:5" x14ac:dyDescent="0.2">
      <c r="A4">
        <v>4</v>
      </c>
      <c r="B4" t="s">
        <v>19</v>
      </c>
      <c r="C4">
        <v>0</v>
      </c>
      <c r="D4">
        <v>5</v>
      </c>
      <c r="E4" s="3">
        <v>1</v>
      </c>
    </row>
    <row r="5" spans="1:5" x14ac:dyDescent="0.2">
      <c r="A5">
        <v>5</v>
      </c>
      <c r="B5" t="s">
        <v>14</v>
      </c>
      <c r="C5">
        <v>0</v>
      </c>
      <c r="D5">
        <v>3</v>
      </c>
      <c r="E5" s="3">
        <v>1</v>
      </c>
    </row>
    <row r="6" spans="1:5" x14ac:dyDescent="0.2">
      <c r="A6">
        <v>6</v>
      </c>
      <c r="B6" t="s">
        <v>29</v>
      </c>
      <c r="C6">
        <v>0</v>
      </c>
      <c r="D6">
        <v>2</v>
      </c>
      <c r="E6" s="3">
        <v>1</v>
      </c>
    </row>
    <row r="7" spans="1:5" x14ac:dyDescent="0.2">
      <c r="A7">
        <v>7</v>
      </c>
      <c r="B7" t="s">
        <v>450</v>
      </c>
      <c r="C7">
        <v>0</v>
      </c>
      <c r="D7">
        <v>1</v>
      </c>
      <c r="E7" s="3">
        <v>1</v>
      </c>
    </row>
    <row r="8" spans="1:5" x14ac:dyDescent="0.2">
      <c r="A8">
        <v>1</v>
      </c>
      <c r="B8" t="s">
        <v>451</v>
      </c>
      <c r="C8">
        <v>4</v>
      </c>
      <c r="D8">
        <v>16</v>
      </c>
      <c r="E8" s="3">
        <v>1</v>
      </c>
    </row>
    <row r="9" spans="1:5" x14ac:dyDescent="0.2">
      <c r="A9">
        <v>2</v>
      </c>
      <c r="B9" t="s">
        <v>33</v>
      </c>
      <c r="C9">
        <v>0</v>
      </c>
      <c r="D9">
        <v>12</v>
      </c>
      <c r="E9" s="3">
        <v>1</v>
      </c>
    </row>
    <row r="10" spans="1:5" x14ac:dyDescent="0.2">
      <c r="A10">
        <v>3</v>
      </c>
      <c r="B10" t="s">
        <v>69</v>
      </c>
      <c r="C10">
        <v>0</v>
      </c>
      <c r="D10">
        <v>8</v>
      </c>
      <c r="E10" s="3">
        <v>1</v>
      </c>
    </row>
    <row r="11" spans="1:5" x14ac:dyDescent="0.2">
      <c r="A11">
        <v>4</v>
      </c>
      <c r="B11" t="s">
        <v>452</v>
      </c>
      <c r="C11">
        <v>1</v>
      </c>
      <c r="D11">
        <v>4</v>
      </c>
      <c r="E11" s="3">
        <v>1</v>
      </c>
    </row>
    <row r="12" spans="1:5" x14ac:dyDescent="0.2">
      <c r="A12">
        <v>5</v>
      </c>
      <c r="B12" t="s">
        <v>67</v>
      </c>
      <c r="C12">
        <v>0</v>
      </c>
      <c r="D12">
        <v>2</v>
      </c>
      <c r="E12" s="3">
        <v>1</v>
      </c>
    </row>
    <row r="13" spans="1:5" x14ac:dyDescent="0.2">
      <c r="A13">
        <v>6</v>
      </c>
      <c r="B13" t="s">
        <v>377</v>
      </c>
      <c r="C13">
        <v>0</v>
      </c>
      <c r="D13">
        <v>1</v>
      </c>
      <c r="E13" s="3">
        <v>1</v>
      </c>
    </row>
    <row r="14" spans="1:5" x14ac:dyDescent="0.2">
      <c r="A14">
        <v>1</v>
      </c>
      <c r="B14" t="s">
        <v>74</v>
      </c>
      <c r="C14">
        <v>3</v>
      </c>
      <c r="D14">
        <v>16</v>
      </c>
      <c r="E14" s="3">
        <v>1</v>
      </c>
    </row>
    <row r="15" spans="1:5" x14ac:dyDescent="0.2">
      <c r="A15">
        <v>2</v>
      </c>
      <c r="B15" t="s">
        <v>73</v>
      </c>
      <c r="C15">
        <v>1</v>
      </c>
      <c r="D15">
        <v>12</v>
      </c>
      <c r="E15" s="3">
        <v>1</v>
      </c>
    </row>
    <row r="16" spans="1:5" x14ac:dyDescent="0.2">
      <c r="A16">
        <v>3</v>
      </c>
      <c r="B16" t="s">
        <v>453</v>
      </c>
      <c r="C16">
        <v>1</v>
      </c>
      <c r="D16">
        <v>8</v>
      </c>
      <c r="E16" s="3">
        <v>1</v>
      </c>
    </row>
    <row r="17" spans="1:5" x14ac:dyDescent="0.2">
      <c r="A17">
        <v>4</v>
      </c>
      <c r="B17" t="s">
        <v>454</v>
      </c>
      <c r="C17">
        <v>0</v>
      </c>
      <c r="D17">
        <v>4</v>
      </c>
      <c r="E17" s="3">
        <v>1</v>
      </c>
    </row>
    <row r="18" spans="1:5" x14ac:dyDescent="0.2">
      <c r="A18">
        <v>5</v>
      </c>
      <c r="B18" t="s">
        <v>455</v>
      </c>
      <c r="C18">
        <v>0</v>
      </c>
      <c r="D18">
        <v>2</v>
      </c>
      <c r="E18" s="3">
        <v>1</v>
      </c>
    </row>
    <row r="19" spans="1:5" x14ac:dyDescent="0.2">
      <c r="A19">
        <v>6</v>
      </c>
      <c r="B19" t="s">
        <v>31</v>
      </c>
      <c r="C19">
        <v>0</v>
      </c>
      <c r="D19">
        <v>1</v>
      </c>
      <c r="E19" s="3">
        <v>1</v>
      </c>
    </row>
    <row r="20" spans="1:5" x14ac:dyDescent="0.2">
      <c r="A20">
        <v>1</v>
      </c>
      <c r="B20" t="s">
        <v>456</v>
      </c>
      <c r="C20">
        <v>2</v>
      </c>
      <c r="D20">
        <v>16</v>
      </c>
      <c r="E20" s="3">
        <v>1</v>
      </c>
    </row>
    <row r="21" spans="1:5" x14ac:dyDescent="0.2">
      <c r="A21">
        <v>2</v>
      </c>
      <c r="B21" t="s">
        <v>55</v>
      </c>
      <c r="C21">
        <v>3</v>
      </c>
      <c r="D21">
        <v>12</v>
      </c>
      <c r="E21" s="3">
        <v>1</v>
      </c>
    </row>
    <row r="22" spans="1:5" x14ac:dyDescent="0.2">
      <c r="A22">
        <v>3</v>
      </c>
      <c r="B22" t="s">
        <v>12</v>
      </c>
      <c r="C22">
        <v>0</v>
      </c>
      <c r="D22">
        <v>8</v>
      </c>
      <c r="E22" s="3">
        <v>1</v>
      </c>
    </row>
    <row r="23" spans="1:5" x14ac:dyDescent="0.2">
      <c r="A23">
        <v>4</v>
      </c>
      <c r="B23" t="s">
        <v>101</v>
      </c>
      <c r="C23">
        <v>0</v>
      </c>
      <c r="D23">
        <v>4</v>
      </c>
      <c r="E23" s="3">
        <v>1</v>
      </c>
    </row>
    <row r="24" spans="1:5" x14ac:dyDescent="0.2">
      <c r="A24">
        <v>5</v>
      </c>
      <c r="B24" t="s">
        <v>457</v>
      </c>
      <c r="C24">
        <v>0</v>
      </c>
      <c r="D24">
        <v>2</v>
      </c>
      <c r="E24" s="3">
        <v>1</v>
      </c>
    </row>
    <row r="25" spans="1:5" x14ac:dyDescent="0.2">
      <c r="A25">
        <v>6</v>
      </c>
      <c r="B25" t="s">
        <v>458</v>
      </c>
      <c r="C25">
        <v>0</v>
      </c>
      <c r="D25">
        <v>1</v>
      </c>
      <c r="E25" s="3">
        <v>1</v>
      </c>
    </row>
    <row r="26" spans="1:5" x14ac:dyDescent="0.2">
      <c r="A26">
        <v>1</v>
      </c>
      <c r="B26" t="s">
        <v>25</v>
      </c>
      <c r="C26">
        <v>3</v>
      </c>
      <c r="D26">
        <v>16</v>
      </c>
      <c r="E26" s="3">
        <v>1</v>
      </c>
    </row>
    <row r="27" spans="1:5" x14ac:dyDescent="0.2">
      <c r="A27">
        <v>2</v>
      </c>
      <c r="B27" t="s">
        <v>345</v>
      </c>
      <c r="C27">
        <v>1</v>
      </c>
      <c r="D27">
        <v>12</v>
      </c>
      <c r="E27" s="3">
        <v>1</v>
      </c>
    </row>
    <row r="28" spans="1:5" x14ac:dyDescent="0.2">
      <c r="A28">
        <v>3</v>
      </c>
      <c r="B28" t="s">
        <v>40</v>
      </c>
      <c r="C28">
        <v>1</v>
      </c>
      <c r="D28">
        <v>8</v>
      </c>
      <c r="E28" s="3">
        <v>1</v>
      </c>
    </row>
    <row r="29" spans="1:5" x14ac:dyDescent="0.2">
      <c r="A29">
        <v>4</v>
      </c>
      <c r="B29" t="s">
        <v>459</v>
      </c>
      <c r="C29">
        <v>0</v>
      </c>
      <c r="D29">
        <v>4</v>
      </c>
      <c r="E29" s="3">
        <v>1</v>
      </c>
    </row>
    <row r="30" spans="1:5" x14ac:dyDescent="0.2">
      <c r="A30">
        <v>5</v>
      </c>
      <c r="B30" t="s">
        <v>302</v>
      </c>
      <c r="C30">
        <v>0</v>
      </c>
      <c r="D30">
        <v>2</v>
      </c>
      <c r="E30" s="3">
        <v>1</v>
      </c>
    </row>
    <row r="31" spans="1:5" x14ac:dyDescent="0.2">
      <c r="A31">
        <v>6</v>
      </c>
      <c r="B31" t="s">
        <v>371</v>
      </c>
      <c r="C31">
        <v>0</v>
      </c>
      <c r="D31">
        <v>1</v>
      </c>
      <c r="E31" s="3">
        <v>1</v>
      </c>
    </row>
    <row r="32" spans="1:5" x14ac:dyDescent="0.2">
      <c r="A32">
        <v>1</v>
      </c>
      <c r="B32" t="s">
        <v>368</v>
      </c>
      <c r="C32">
        <v>3</v>
      </c>
      <c r="D32">
        <v>16</v>
      </c>
      <c r="E32" s="3">
        <v>1</v>
      </c>
    </row>
    <row r="33" spans="1:5" x14ac:dyDescent="0.2">
      <c r="A33">
        <v>2</v>
      </c>
      <c r="B33" t="s">
        <v>460</v>
      </c>
      <c r="C33">
        <v>0</v>
      </c>
      <c r="D33">
        <v>12</v>
      </c>
      <c r="E33" s="3">
        <v>1</v>
      </c>
    </row>
    <row r="34" spans="1:5" x14ac:dyDescent="0.2">
      <c r="A34">
        <v>3</v>
      </c>
      <c r="B34" t="s">
        <v>48</v>
      </c>
      <c r="C34">
        <v>1</v>
      </c>
      <c r="D34">
        <v>8</v>
      </c>
      <c r="E34" s="3">
        <v>1</v>
      </c>
    </row>
    <row r="35" spans="1:5" x14ac:dyDescent="0.2">
      <c r="A35">
        <v>4</v>
      </c>
      <c r="B35" t="s">
        <v>65</v>
      </c>
      <c r="C35">
        <v>1</v>
      </c>
      <c r="D35">
        <v>4</v>
      </c>
      <c r="E35" s="3">
        <v>1</v>
      </c>
    </row>
    <row r="36" spans="1:5" x14ac:dyDescent="0.2">
      <c r="A36">
        <v>5</v>
      </c>
      <c r="B36" t="s">
        <v>21</v>
      </c>
      <c r="C36">
        <v>0</v>
      </c>
      <c r="D36">
        <v>2</v>
      </c>
      <c r="E36" s="3">
        <v>1</v>
      </c>
    </row>
    <row r="37" spans="1:5" x14ac:dyDescent="0.2">
      <c r="A37">
        <v>6</v>
      </c>
      <c r="B37" t="s">
        <v>461</v>
      </c>
      <c r="C37">
        <v>0</v>
      </c>
      <c r="D37">
        <v>1</v>
      </c>
      <c r="E37" s="3">
        <v>1</v>
      </c>
    </row>
    <row r="38" spans="1:5" x14ac:dyDescent="0.2">
      <c r="A38">
        <v>1</v>
      </c>
      <c r="B38" t="s">
        <v>28</v>
      </c>
      <c r="C38">
        <v>2</v>
      </c>
      <c r="D38">
        <v>16</v>
      </c>
      <c r="E38" s="3">
        <v>1</v>
      </c>
    </row>
    <row r="39" spans="1:5" x14ac:dyDescent="0.2">
      <c r="A39">
        <v>2</v>
      </c>
      <c r="B39" t="s">
        <v>66</v>
      </c>
      <c r="C39">
        <v>2</v>
      </c>
      <c r="D39">
        <v>12</v>
      </c>
      <c r="E39" s="3">
        <v>1</v>
      </c>
    </row>
    <row r="40" spans="1:5" x14ac:dyDescent="0.2">
      <c r="A40">
        <v>3</v>
      </c>
      <c r="B40" t="s">
        <v>20</v>
      </c>
      <c r="C40">
        <v>1</v>
      </c>
      <c r="D40">
        <v>8</v>
      </c>
      <c r="E40" s="3">
        <v>1</v>
      </c>
    </row>
    <row r="41" spans="1:5" x14ac:dyDescent="0.2">
      <c r="A41">
        <v>4</v>
      </c>
      <c r="B41" t="s">
        <v>47</v>
      </c>
      <c r="C41">
        <v>0</v>
      </c>
      <c r="D41">
        <v>4</v>
      </c>
      <c r="E41" s="3">
        <v>1</v>
      </c>
    </row>
    <row r="42" spans="1:5" x14ac:dyDescent="0.2">
      <c r="A42">
        <v>5</v>
      </c>
      <c r="B42" t="s">
        <v>35</v>
      </c>
      <c r="C42">
        <v>0</v>
      </c>
      <c r="D42">
        <v>2</v>
      </c>
      <c r="E42" s="3">
        <v>1</v>
      </c>
    </row>
    <row r="43" spans="1:5" x14ac:dyDescent="0.2">
      <c r="A43">
        <v>6</v>
      </c>
      <c r="B43" t="s">
        <v>462</v>
      </c>
      <c r="C43">
        <v>0</v>
      </c>
      <c r="D43">
        <v>1</v>
      </c>
      <c r="E43" s="3">
        <v>1</v>
      </c>
    </row>
    <row r="44" spans="1:5" x14ac:dyDescent="0.2">
      <c r="A44">
        <v>1</v>
      </c>
      <c r="B44" t="s">
        <v>45</v>
      </c>
      <c r="C44">
        <v>5</v>
      </c>
      <c r="D44">
        <v>16</v>
      </c>
      <c r="E44" s="3">
        <v>1</v>
      </c>
    </row>
    <row r="45" spans="1:5" x14ac:dyDescent="0.2">
      <c r="A45">
        <v>2</v>
      </c>
      <c r="B45" t="s">
        <v>34</v>
      </c>
      <c r="C45">
        <v>0</v>
      </c>
      <c r="D45">
        <v>12</v>
      </c>
      <c r="E45" s="3">
        <v>1</v>
      </c>
    </row>
    <row r="46" spans="1:5" x14ac:dyDescent="0.2">
      <c r="A46">
        <v>3</v>
      </c>
      <c r="B46" t="s">
        <v>87</v>
      </c>
      <c r="C46">
        <v>0</v>
      </c>
      <c r="D46">
        <v>8</v>
      </c>
      <c r="E46" s="3">
        <v>1</v>
      </c>
    </row>
    <row r="47" spans="1:5" x14ac:dyDescent="0.2">
      <c r="A47">
        <v>4</v>
      </c>
      <c r="B47" t="s">
        <v>53</v>
      </c>
      <c r="C47">
        <v>0</v>
      </c>
      <c r="D47">
        <v>4</v>
      </c>
      <c r="E47" s="3">
        <v>1</v>
      </c>
    </row>
    <row r="48" spans="1:5" x14ac:dyDescent="0.2">
      <c r="A48">
        <v>5</v>
      </c>
      <c r="B48" t="s">
        <v>75</v>
      </c>
      <c r="C48">
        <v>0</v>
      </c>
      <c r="D48">
        <v>2</v>
      </c>
      <c r="E48" s="3">
        <v>1</v>
      </c>
    </row>
    <row r="49" spans="1:5" x14ac:dyDescent="0.2">
      <c r="A49">
        <v>6</v>
      </c>
      <c r="B49" t="s">
        <v>463</v>
      </c>
      <c r="C49">
        <v>0</v>
      </c>
      <c r="D49">
        <v>1</v>
      </c>
      <c r="E49" s="3">
        <v>1</v>
      </c>
    </row>
    <row r="50" spans="1:5" x14ac:dyDescent="0.2">
      <c r="A50">
        <v>1</v>
      </c>
      <c r="B50" t="s">
        <v>18</v>
      </c>
      <c r="C50">
        <v>5</v>
      </c>
      <c r="D50">
        <v>17</v>
      </c>
      <c r="E50" s="3">
        <v>1</v>
      </c>
    </row>
    <row r="51" spans="1:5" x14ac:dyDescent="0.2">
      <c r="A51">
        <v>2</v>
      </c>
      <c r="B51" t="s">
        <v>6</v>
      </c>
      <c r="C51">
        <v>0</v>
      </c>
      <c r="D51">
        <v>13</v>
      </c>
      <c r="E51" s="3">
        <v>1</v>
      </c>
    </row>
    <row r="52" spans="1:5" x14ac:dyDescent="0.2">
      <c r="A52">
        <v>3</v>
      </c>
      <c r="B52" t="s">
        <v>15</v>
      </c>
      <c r="C52">
        <v>0</v>
      </c>
      <c r="D52">
        <v>9</v>
      </c>
      <c r="E52" s="3">
        <v>1</v>
      </c>
    </row>
    <row r="53" spans="1:5" x14ac:dyDescent="0.2">
      <c r="A53">
        <v>4</v>
      </c>
      <c r="B53" t="s">
        <v>82</v>
      </c>
      <c r="C53">
        <v>1</v>
      </c>
      <c r="D53">
        <v>5</v>
      </c>
      <c r="E53" s="3">
        <v>1</v>
      </c>
    </row>
    <row r="54" spans="1:5" x14ac:dyDescent="0.2">
      <c r="A54">
        <v>5</v>
      </c>
      <c r="B54" t="s">
        <v>464</v>
      </c>
      <c r="C54">
        <v>0</v>
      </c>
      <c r="D54">
        <v>3</v>
      </c>
      <c r="E54" s="3">
        <v>1</v>
      </c>
    </row>
    <row r="55" spans="1:5" x14ac:dyDescent="0.2">
      <c r="A55">
        <v>6</v>
      </c>
      <c r="B55" t="s">
        <v>27</v>
      </c>
      <c r="C55">
        <v>0</v>
      </c>
      <c r="D55">
        <v>2</v>
      </c>
      <c r="E55" s="3">
        <v>1</v>
      </c>
    </row>
    <row r="56" spans="1:5" x14ac:dyDescent="0.2">
      <c r="A56">
        <v>7</v>
      </c>
      <c r="B56" t="s">
        <v>465</v>
      </c>
      <c r="C56">
        <v>0</v>
      </c>
      <c r="D56">
        <v>1</v>
      </c>
      <c r="E56" s="3">
        <v>1</v>
      </c>
    </row>
    <row r="57" spans="1:5" x14ac:dyDescent="0.2">
      <c r="A57">
        <v>1</v>
      </c>
      <c r="B57" t="s">
        <v>84</v>
      </c>
      <c r="C57">
        <v>4</v>
      </c>
      <c r="D57">
        <v>17</v>
      </c>
      <c r="E57" s="3">
        <v>1</v>
      </c>
    </row>
    <row r="58" spans="1:5" x14ac:dyDescent="0.2">
      <c r="A58">
        <v>2</v>
      </c>
      <c r="B58" t="s">
        <v>81</v>
      </c>
      <c r="C58">
        <v>0</v>
      </c>
      <c r="D58">
        <v>13</v>
      </c>
      <c r="E58" s="3">
        <v>1</v>
      </c>
    </row>
    <row r="59" spans="1:5" x14ac:dyDescent="0.2">
      <c r="A59">
        <v>3</v>
      </c>
      <c r="B59" t="s">
        <v>32</v>
      </c>
      <c r="C59">
        <v>1</v>
      </c>
      <c r="D59">
        <v>9</v>
      </c>
      <c r="E59" s="3">
        <v>1</v>
      </c>
    </row>
    <row r="60" spans="1:5" x14ac:dyDescent="0.2">
      <c r="A60">
        <v>4</v>
      </c>
      <c r="B60" t="s">
        <v>91</v>
      </c>
      <c r="C60">
        <v>0</v>
      </c>
      <c r="D60">
        <v>5</v>
      </c>
      <c r="E60" s="3">
        <v>1</v>
      </c>
    </row>
    <row r="61" spans="1:5" x14ac:dyDescent="0.2">
      <c r="A61">
        <v>5</v>
      </c>
      <c r="B61" t="s">
        <v>26</v>
      </c>
      <c r="C61">
        <v>0</v>
      </c>
      <c r="D61">
        <v>3</v>
      </c>
      <c r="E61" s="3">
        <v>1</v>
      </c>
    </row>
    <row r="62" spans="1:5" x14ac:dyDescent="0.2">
      <c r="A62">
        <v>6</v>
      </c>
      <c r="B62" t="s">
        <v>60</v>
      </c>
      <c r="C62">
        <v>1</v>
      </c>
      <c r="D62">
        <v>2</v>
      </c>
      <c r="E62" s="3">
        <v>1</v>
      </c>
    </row>
    <row r="63" spans="1:5" x14ac:dyDescent="0.2">
      <c r="A63">
        <v>7</v>
      </c>
      <c r="B63" t="s">
        <v>52</v>
      </c>
      <c r="C63">
        <v>0</v>
      </c>
      <c r="D63">
        <v>1</v>
      </c>
      <c r="E63" s="3">
        <v>1</v>
      </c>
    </row>
    <row r="64" spans="1:5" x14ac:dyDescent="0.2">
      <c r="A64">
        <v>1</v>
      </c>
      <c r="B64" t="s">
        <v>25</v>
      </c>
      <c r="C64">
        <v>4</v>
      </c>
      <c r="D64">
        <v>16</v>
      </c>
      <c r="E64" s="3">
        <v>2</v>
      </c>
    </row>
    <row r="65" spans="1:5" x14ac:dyDescent="0.2">
      <c r="A65">
        <v>2</v>
      </c>
      <c r="B65" t="s">
        <v>55</v>
      </c>
      <c r="C65">
        <v>1</v>
      </c>
      <c r="D65">
        <v>12</v>
      </c>
      <c r="E65" s="3">
        <v>2</v>
      </c>
    </row>
    <row r="66" spans="1:5" x14ac:dyDescent="0.2">
      <c r="A66">
        <v>3</v>
      </c>
      <c r="B66" t="s">
        <v>20</v>
      </c>
      <c r="C66">
        <v>0</v>
      </c>
      <c r="D66">
        <v>8</v>
      </c>
      <c r="E66" s="3">
        <v>2</v>
      </c>
    </row>
    <row r="67" spans="1:5" x14ac:dyDescent="0.2">
      <c r="A67">
        <v>4</v>
      </c>
      <c r="B67" t="s">
        <v>457</v>
      </c>
      <c r="C67">
        <v>0</v>
      </c>
      <c r="D67">
        <v>4</v>
      </c>
      <c r="E67" s="3">
        <v>2</v>
      </c>
    </row>
    <row r="68" spans="1:5" x14ac:dyDescent="0.2">
      <c r="A68">
        <v>5</v>
      </c>
      <c r="B68" t="s">
        <v>31</v>
      </c>
      <c r="C68">
        <v>0</v>
      </c>
      <c r="D68">
        <v>2</v>
      </c>
      <c r="E68" s="3">
        <v>2</v>
      </c>
    </row>
    <row r="69" spans="1:5" x14ac:dyDescent="0.2">
      <c r="A69">
        <v>6</v>
      </c>
      <c r="B69" t="s">
        <v>453</v>
      </c>
      <c r="C69">
        <v>0</v>
      </c>
      <c r="D69">
        <v>1</v>
      </c>
      <c r="E69" s="3">
        <v>2</v>
      </c>
    </row>
    <row r="70" spans="1:5" x14ac:dyDescent="0.2">
      <c r="A70">
        <v>1</v>
      </c>
      <c r="B70" t="s">
        <v>345</v>
      </c>
      <c r="C70">
        <v>3</v>
      </c>
      <c r="D70">
        <v>16</v>
      </c>
      <c r="E70" s="3">
        <v>2</v>
      </c>
    </row>
    <row r="71" spans="1:5" x14ac:dyDescent="0.2">
      <c r="A71">
        <v>2</v>
      </c>
      <c r="B71" t="s">
        <v>87</v>
      </c>
      <c r="C71">
        <v>1</v>
      </c>
      <c r="D71">
        <v>12</v>
      </c>
      <c r="E71" s="3">
        <v>2</v>
      </c>
    </row>
    <row r="72" spans="1:5" x14ac:dyDescent="0.2">
      <c r="A72">
        <v>3</v>
      </c>
      <c r="B72" t="s">
        <v>39</v>
      </c>
      <c r="C72">
        <v>0</v>
      </c>
      <c r="D72">
        <v>8</v>
      </c>
      <c r="E72" s="3">
        <v>2</v>
      </c>
    </row>
    <row r="73" spans="1:5" x14ac:dyDescent="0.2">
      <c r="A73">
        <v>4</v>
      </c>
      <c r="B73" t="s">
        <v>464</v>
      </c>
      <c r="C73">
        <v>0</v>
      </c>
      <c r="D73">
        <v>4</v>
      </c>
      <c r="E73" s="3">
        <v>2</v>
      </c>
    </row>
    <row r="74" spans="1:5" x14ac:dyDescent="0.2">
      <c r="A74">
        <v>5</v>
      </c>
      <c r="B74" t="s">
        <v>81</v>
      </c>
      <c r="C74">
        <v>1</v>
      </c>
      <c r="D74">
        <v>2</v>
      </c>
      <c r="E74" s="3">
        <v>2</v>
      </c>
    </row>
    <row r="75" spans="1:5" x14ac:dyDescent="0.2">
      <c r="A75">
        <v>6</v>
      </c>
      <c r="B75" t="s">
        <v>29</v>
      </c>
      <c r="C75">
        <v>0</v>
      </c>
      <c r="D75">
        <v>1</v>
      </c>
      <c r="E75" s="3">
        <v>2</v>
      </c>
    </row>
    <row r="76" spans="1:5" x14ac:dyDescent="0.2">
      <c r="A76">
        <v>1</v>
      </c>
      <c r="B76" t="s">
        <v>66</v>
      </c>
      <c r="C76">
        <v>3</v>
      </c>
      <c r="D76">
        <v>16</v>
      </c>
      <c r="E76" s="3">
        <v>2</v>
      </c>
    </row>
    <row r="77" spans="1:5" x14ac:dyDescent="0.2">
      <c r="A77">
        <v>2</v>
      </c>
      <c r="B77" t="s">
        <v>46</v>
      </c>
      <c r="C77">
        <v>2</v>
      </c>
      <c r="D77">
        <v>12</v>
      </c>
      <c r="E77" s="3">
        <v>2</v>
      </c>
    </row>
    <row r="78" spans="1:5" x14ac:dyDescent="0.2">
      <c r="A78">
        <v>3</v>
      </c>
      <c r="B78" t="s">
        <v>45</v>
      </c>
      <c r="C78">
        <v>0</v>
      </c>
      <c r="D78">
        <v>8</v>
      </c>
      <c r="E78" s="3">
        <v>2</v>
      </c>
    </row>
    <row r="79" spans="1:5" x14ac:dyDescent="0.2">
      <c r="A79">
        <v>4</v>
      </c>
      <c r="B79" t="s">
        <v>32</v>
      </c>
      <c r="C79">
        <v>0</v>
      </c>
      <c r="D79">
        <v>4</v>
      </c>
      <c r="E79" s="3">
        <v>2</v>
      </c>
    </row>
    <row r="80" spans="1:5" x14ac:dyDescent="0.2">
      <c r="A80">
        <v>5</v>
      </c>
      <c r="B80" t="s">
        <v>452</v>
      </c>
      <c r="C80">
        <v>0</v>
      </c>
      <c r="D80">
        <v>2</v>
      </c>
      <c r="E80" s="3">
        <v>2</v>
      </c>
    </row>
    <row r="81" spans="1:5" x14ac:dyDescent="0.2">
      <c r="A81">
        <v>6</v>
      </c>
      <c r="B81" t="s">
        <v>450</v>
      </c>
      <c r="C81">
        <v>0</v>
      </c>
      <c r="D81">
        <v>1</v>
      </c>
      <c r="E81" s="3">
        <v>2</v>
      </c>
    </row>
    <row r="82" spans="1:5" x14ac:dyDescent="0.2">
      <c r="A82">
        <v>1</v>
      </c>
      <c r="B82" t="s">
        <v>12</v>
      </c>
      <c r="C82">
        <v>2</v>
      </c>
      <c r="D82">
        <v>16</v>
      </c>
      <c r="E82" s="3">
        <v>2</v>
      </c>
    </row>
    <row r="83" spans="1:5" x14ac:dyDescent="0.2">
      <c r="A83">
        <v>2</v>
      </c>
      <c r="B83" t="s">
        <v>52</v>
      </c>
      <c r="C83">
        <v>1</v>
      </c>
      <c r="D83">
        <v>12</v>
      </c>
      <c r="E83" s="3">
        <v>2</v>
      </c>
    </row>
    <row r="84" spans="1:5" x14ac:dyDescent="0.2">
      <c r="A84">
        <v>3</v>
      </c>
      <c r="B84" t="s">
        <v>454</v>
      </c>
      <c r="C84">
        <v>2</v>
      </c>
      <c r="D84">
        <v>8</v>
      </c>
      <c r="E84" s="3">
        <v>2</v>
      </c>
    </row>
    <row r="85" spans="1:5" x14ac:dyDescent="0.2">
      <c r="A85">
        <v>4</v>
      </c>
      <c r="B85" t="s">
        <v>26</v>
      </c>
      <c r="C85">
        <v>0</v>
      </c>
      <c r="D85">
        <v>4</v>
      </c>
      <c r="E85" s="3">
        <v>2</v>
      </c>
    </row>
    <row r="86" spans="1:5" x14ac:dyDescent="0.2">
      <c r="A86">
        <v>5</v>
      </c>
      <c r="B86" t="s">
        <v>74</v>
      </c>
      <c r="C86">
        <v>0</v>
      </c>
      <c r="D86">
        <v>2</v>
      </c>
      <c r="E86" s="3">
        <v>2</v>
      </c>
    </row>
    <row r="87" spans="1:5" x14ac:dyDescent="0.2">
      <c r="A87">
        <v>6</v>
      </c>
      <c r="B87" t="s">
        <v>377</v>
      </c>
      <c r="C87">
        <v>0</v>
      </c>
      <c r="D87">
        <v>1</v>
      </c>
      <c r="E87" s="3">
        <v>2</v>
      </c>
    </row>
    <row r="88" spans="1:5" x14ac:dyDescent="0.2">
      <c r="A88">
        <v>1</v>
      </c>
      <c r="B88" t="s">
        <v>9</v>
      </c>
      <c r="C88">
        <v>4</v>
      </c>
      <c r="D88">
        <v>16</v>
      </c>
      <c r="E88" s="3">
        <v>2</v>
      </c>
    </row>
    <row r="89" spans="1:5" x14ac:dyDescent="0.2">
      <c r="A89">
        <v>2</v>
      </c>
      <c r="B89" t="s">
        <v>65</v>
      </c>
      <c r="C89">
        <v>0</v>
      </c>
      <c r="D89">
        <v>12</v>
      </c>
      <c r="E89" s="3">
        <v>2</v>
      </c>
    </row>
    <row r="90" spans="1:5" x14ac:dyDescent="0.2">
      <c r="A90">
        <v>3</v>
      </c>
      <c r="B90" t="s">
        <v>40</v>
      </c>
      <c r="C90">
        <v>1</v>
      </c>
      <c r="D90">
        <v>8</v>
      </c>
      <c r="E90" s="3">
        <v>2</v>
      </c>
    </row>
    <row r="91" spans="1:5" x14ac:dyDescent="0.2">
      <c r="A91">
        <v>4</v>
      </c>
      <c r="B91" t="s">
        <v>21</v>
      </c>
      <c r="C91">
        <v>0</v>
      </c>
      <c r="D91">
        <v>4</v>
      </c>
      <c r="E91" s="3">
        <v>2</v>
      </c>
    </row>
    <row r="92" spans="1:5" x14ac:dyDescent="0.2">
      <c r="A92">
        <v>5</v>
      </c>
      <c r="B92" t="s">
        <v>60</v>
      </c>
      <c r="C92">
        <v>0</v>
      </c>
      <c r="D92">
        <v>2</v>
      </c>
      <c r="E92" s="3">
        <v>2</v>
      </c>
    </row>
    <row r="93" spans="1:5" x14ac:dyDescent="0.2">
      <c r="A93">
        <v>6</v>
      </c>
      <c r="B93" t="s">
        <v>460</v>
      </c>
      <c r="C93">
        <v>0</v>
      </c>
      <c r="D93">
        <v>1</v>
      </c>
      <c r="E93" s="3">
        <v>2</v>
      </c>
    </row>
    <row r="94" spans="1:5" x14ac:dyDescent="0.2">
      <c r="A94">
        <v>1</v>
      </c>
      <c r="B94" t="s">
        <v>19</v>
      </c>
      <c r="C94">
        <v>1</v>
      </c>
      <c r="D94">
        <v>17</v>
      </c>
      <c r="E94" s="3">
        <v>2</v>
      </c>
    </row>
    <row r="95" spans="1:5" x14ac:dyDescent="0.2">
      <c r="A95">
        <v>2</v>
      </c>
      <c r="B95" t="s">
        <v>466</v>
      </c>
      <c r="C95">
        <v>4</v>
      </c>
      <c r="D95">
        <v>13</v>
      </c>
      <c r="E95" s="3">
        <v>2</v>
      </c>
    </row>
    <row r="96" spans="1:5" x14ac:dyDescent="0.2">
      <c r="A96">
        <v>3</v>
      </c>
      <c r="B96" t="s">
        <v>59</v>
      </c>
      <c r="C96">
        <v>0</v>
      </c>
      <c r="D96">
        <v>9</v>
      </c>
      <c r="E96" s="3">
        <v>2</v>
      </c>
    </row>
    <row r="97" spans="1:5" x14ac:dyDescent="0.2">
      <c r="A97">
        <v>4</v>
      </c>
      <c r="B97" t="s">
        <v>302</v>
      </c>
      <c r="C97">
        <v>0</v>
      </c>
      <c r="D97">
        <v>5</v>
      </c>
      <c r="E97" s="3">
        <v>2</v>
      </c>
    </row>
    <row r="98" spans="1:5" x14ac:dyDescent="0.2">
      <c r="A98">
        <v>5</v>
      </c>
      <c r="B98" t="s">
        <v>368</v>
      </c>
      <c r="C98">
        <v>1</v>
      </c>
      <c r="D98">
        <v>3</v>
      </c>
      <c r="E98" s="3">
        <v>2</v>
      </c>
    </row>
    <row r="99" spans="1:5" x14ac:dyDescent="0.2">
      <c r="A99">
        <v>6</v>
      </c>
      <c r="B99" t="s">
        <v>101</v>
      </c>
      <c r="C99">
        <v>0</v>
      </c>
      <c r="D99">
        <v>2</v>
      </c>
      <c r="E99" s="3">
        <v>2</v>
      </c>
    </row>
    <row r="100" spans="1:5" x14ac:dyDescent="0.2">
      <c r="A100">
        <v>7</v>
      </c>
      <c r="B100" t="s">
        <v>33</v>
      </c>
      <c r="C100">
        <v>0</v>
      </c>
      <c r="D100">
        <v>1</v>
      </c>
      <c r="E100" s="3">
        <v>2</v>
      </c>
    </row>
    <row r="101" spans="1:5" x14ac:dyDescent="0.2">
      <c r="A101">
        <v>1</v>
      </c>
      <c r="B101" t="s">
        <v>18</v>
      </c>
      <c r="C101">
        <v>2</v>
      </c>
      <c r="D101">
        <v>16</v>
      </c>
      <c r="E101" s="3">
        <v>2</v>
      </c>
    </row>
    <row r="102" spans="1:5" x14ac:dyDescent="0.2">
      <c r="A102">
        <v>2</v>
      </c>
      <c r="B102" t="s">
        <v>48</v>
      </c>
      <c r="C102">
        <v>2</v>
      </c>
      <c r="D102">
        <v>12</v>
      </c>
      <c r="E102" s="3">
        <v>2</v>
      </c>
    </row>
    <row r="103" spans="1:5" x14ac:dyDescent="0.2">
      <c r="A103">
        <v>3</v>
      </c>
      <c r="B103" t="s">
        <v>28</v>
      </c>
      <c r="C103">
        <v>1</v>
      </c>
      <c r="D103">
        <v>8</v>
      </c>
      <c r="E103" s="3">
        <v>2</v>
      </c>
    </row>
    <row r="104" spans="1:5" x14ac:dyDescent="0.2">
      <c r="A104">
        <v>4</v>
      </c>
      <c r="B104" t="s">
        <v>73</v>
      </c>
      <c r="C104">
        <v>0</v>
      </c>
      <c r="D104">
        <v>4</v>
      </c>
      <c r="E104" s="3">
        <v>2</v>
      </c>
    </row>
    <row r="105" spans="1:5" x14ac:dyDescent="0.2">
      <c r="A105">
        <v>5</v>
      </c>
      <c r="B105" t="s">
        <v>42</v>
      </c>
      <c r="C105">
        <v>0</v>
      </c>
      <c r="D105">
        <v>2</v>
      </c>
      <c r="E105" s="3">
        <v>2</v>
      </c>
    </row>
    <row r="106" spans="1:5" x14ac:dyDescent="0.2">
      <c r="A106">
        <v>6</v>
      </c>
      <c r="B106" t="s">
        <v>50</v>
      </c>
      <c r="C106">
        <v>0</v>
      </c>
      <c r="D106">
        <v>1</v>
      </c>
      <c r="E106" s="3">
        <v>2</v>
      </c>
    </row>
    <row r="107" spans="1:5" x14ac:dyDescent="0.2">
      <c r="A107">
        <v>1</v>
      </c>
      <c r="B107" t="s">
        <v>27</v>
      </c>
      <c r="C107">
        <v>5</v>
      </c>
      <c r="D107">
        <v>16</v>
      </c>
      <c r="E107" s="3">
        <v>2</v>
      </c>
    </row>
    <row r="108" spans="1:5" x14ac:dyDescent="0.2">
      <c r="A108">
        <v>2</v>
      </c>
      <c r="B108" t="s">
        <v>371</v>
      </c>
      <c r="C108">
        <v>0</v>
      </c>
      <c r="D108">
        <v>12</v>
      </c>
      <c r="E108" s="3">
        <v>2</v>
      </c>
    </row>
    <row r="109" spans="1:5" x14ac:dyDescent="0.2">
      <c r="A109">
        <v>3</v>
      </c>
      <c r="B109" t="s">
        <v>461</v>
      </c>
      <c r="C109">
        <v>0</v>
      </c>
      <c r="D109">
        <v>8</v>
      </c>
      <c r="E109" s="3">
        <v>2</v>
      </c>
    </row>
    <row r="110" spans="1:5" x14ac:dyDescent="0.2">
      <c r="A110">
        <v>4</v>
      </c>
      <c r="B110" t="s">
        <v>264</v>
      </c>
      <c r="C110">
        <v>0</v>
      </c>
      <c r="D110">
        <v>4</v>
      </c>
      <c r="E110" s="3">
        <v>2</v>
      </c>
    </row>
    <row r="111" spans="1:5" x14ac:dyDescent="0.2">
      <c r="A111">
        <v>5</v>
      </c>
      <c r="B111" t="s">
        <v>47</v>
      </c>
      <c r="C111">
        <v>0</v>
      </c>
      <c r="D111">
        <v>2</v>
      </c>
      <c r="E111" s="3">
        <v>2</v>
      </c>
    </row>
    <row r="112" spans="1:5" x14ac:dyDescent="0.2">
      <c r="A112">
        <v>6</v>
      </c>
      <c r="B112" t="s">
        <v>75</v>
      </c>
      <c r="C112">
        <v>0</v>
      </c>
      <c r="D112">
        <v>1</v>
      </c>
      <c r="E112" s="3">
        <v>2</v>
      </c>
    </row>
    <row r="113" spans="1:5" x14ac:dyDescent="0.2">
      <c r="A113">
        <v>1</v>
      </c>
      <c r="B113" t="s">
        <v>451</v>
      </c>
      <c r="C113">
        <v>2</v>
      </c>
      <c r="D113">
        <v>16</v>
      </c>
      <c r="E113" s="3">
        <v>2</v>
      </c>
    </row>
    <row r="114" spans="1:5" x14ac:dyDescent="0.2">
      <c r="A114">
        <v>2</v>
      </c>
      <c r="B114" t="s">
        <v>15</v>
      </c>
      <c r="C114">
        <v>1</v>
      </c>
      <c r="D114">
        <v>12</v>
      </c>
      <c r="E114" s="3">
        <v>2</v>
      </c>
    </row>
    <row r="115" spans="1:5" x14ac:dyDescent="0.2">
      <c r="A115">
        <v>3</v>
      </c>
      <c r="B115" t="s">
        <v>463</v>
      </c>
      <c r="C115">
        <v>1</v>
      </c>
      <c r="D115">
        <v>8</v>
      </c>
      <c r="E115" s="3">
        <v>2</v>
      </c>
    </row>
    <row r="116" spans="1:5" x14ac:dyDescent="0.2">
      <c r="A116">
        <v>4</v>
      </c>
      <c r="B116" t="s">
        <v>35</v>
      </c>
      <c r="C116">
        <v>1</v>
      </c>
      <c r="D116">
        <v>4</v>
      </c>
      <c r="E116" s="3">
        <v>2</v>
      </c>
    </row>
    <row r="117" spans="1:5" x14ac:dyDescent="0.2">
      <c r="A117">
        <v>5</v>
      </c>
      <c r="B117" t="s">
        <v>6</v>
      </c>
      <c r="C117">
        <v>0</v>
      </c>
      <c r="D117">
        <v>2</v>
      </c>
      <c r="E117" s="3">
        <v>2</v>
      </c>
    </row>
    <row r="118" spans="1:5" x14ac:dyDescent="0.2">
      <c r="A118">
        <v>6</v>
      </c>
      <c r="B118" t="s">
        <v>69</v>
      </c>
      <c r="C118">
        <v>0</v>
      </c>
      <c r="D118">
        <v>1</v>
      </c>
      <c r="E118" s="3">
        <v>2</v>
      </c>
    </row>
    <row r="119" spans="1:5" x14ac:dyDescent="0.2">
      <c r="A119">
        <v>1</v>
      </c>
      <c r="B119" t="s">
        <v>65</v>
      </c>
      <c r="C119">
        <v>3</v>
      </c>
      <c r="D119">
        <v>15</v>
      </c>
      <c r="E119" s="3">
        <v>3</v>
      </c>
    </row>
    <row r="120" spans="1:5" x14ac:dyDescent="0.2">
      <c r="A120">
        <v>2</v>
      </c>
      <c r="B120" t="s">
        <v>18</v>
      </c>
      <c r="C120">
        <v>1</v>
      </c>
      <c r="D120">
        <v>11</v>
      </c>
      <c r="E120" s="3">
        <v>3</v>
      </c>
    </row>
    <row r="121" spans="1:5" x14ac:dyDescent="0.2">
      <c r="A121">
        <v>3</v>
      </c>
      <c r="B121" t="s">
        <v>264</v>
      </c>
      <c r="C121">
        <v>0</v>
      </c>
      <c r="D121">
        <v>7</v>
      </c>
      <c r="E121" s="3">
        <v>3</v>
      </c>
    </row>
    <row r="122" spans="1:5" x14ac:dyDescent="0.2">
      <c r="A122">
        <v>4</v>
      </c>
      <c r="B122" t="s">
        <v>42</v>
      </c>
      <c r="C122">
        <v>0</v>
      </c>
      <c r="D122">
        <v>3</v>
      </c>
      <c r="E122" s="3">
        <v>3</v>
      </c>
    </row>
    <row r="123" spans="1:5" x14ac:dyDescent="0.2">
      <c r="A123">
        <v>5</v>
      </c>
      <c r="B123" t="s">
        <v>55</v>
      </c>
      <c r="C123">
        <v>0</v>
      </c>
      <c r="D123">
        <v>1</v>
      </c>
      <c r="E123" s="3">
        <v>3</v>
      </c>
    </row>
    <row r="124" spans="1:5" x14ac:dyDescent="0.2">
      <c r="A124">
        <v>1</v>
      </c>
      <c r="B124" t="s">
        <v>29</v>
      </c>
      <c r="C124">
        <v>2</v>
      </c>
      <c r="D124">
        <v>16</v>
      </c>
      <c r="E124" s="3">
        <v>3</v>
      </c>
    </row>
    <row r="125" spans="1:5" x14ac:dyDescent="0.2">
      <c r="A125">
        <v>2</v>
      </c>
      <c r="B125" t="s">
        <v>450</v>
      </c>
      <c r="C125">
        <v>2</v>
      </c>
      <c r="D125">
        <v>12</v>
      </c>
      <c r="E125" s="3">
        <v>3</v>
      </c>
    </row>
    <row r="126" spans="1:5" x14ac:dyDescent="0.2">
      <c r="A126">
        <v>3</v>
      </c>
      <c r="B126" t="s">
        <v>76</v>
      </c>
      <c r="C126">
        <v>0</v>
      </c>
      <c r="D126">
        <v>8</v>
      </c>
      <c r="E126" s="3">
        <v>3</v>
      </c>
    </row>
    <row r="127" spans="1:5" x14ac:dyDescent="0.2">
      <c r="A127">
        <v>4</v>
      </c>
      <c r="B127" t="s">
        <v>25</v>
      </c>
      <c r="C127">
        <v>0</v>
      </c>
      <c r="D127">
        <v>4</v>
      </c>
      <c r="E127" s="3">
        <v>3</v>
      </c>
    </row>
    <row r="128" spans="1:5" x14ac:dyDescent="0.2">
      <c r="A128">
        <v>5</v>
      </c>
      <c r="B128" t="s">
        <v>66</v>
      </c>
      <c r="C128">
        <v>1</v>
      </c>
      <c r="D128">
        <v>2</v>
      </c>
      <c r="E128" s="3">
        <v>3</v>
      </c>
    </row>
    <row r="129" spans="1:5" x14ac:dyDescent="0.2">
      <c r="A129">
        <v>6</v>
      </c>
      <c r="B129" t="s">
        <v>455</v>
      </c>
      <c r="C129">
        <v>0</v>
      </c>
      <c r="D129">
        <v>1</v>
      </c>
      <c r="E129" s="3">
        <v>3</v>
      </c>
    </row>
    <row r="130" spans="1:5" x14ac:dyDescent="0.2">
      <c r="A130">
        <v>1</v>
      </c>
      <c r="B130" t="s">
        <v>53</v>
      </c>
      <c r="C130">
        <v>2</v>
      </c>
      <c r="D130">
        <v>16</v>
      </c>
      <c r="E130" s="3">
        <v>3</v>
      </c>
    </row>
    <row r="131" spans="1:5" x14ac:dyDescent="0.2">
      <c r="A131">
        <v>2</v>
      </c>
      <c r="B131" t="s">
        <v>101</v>
      </c>
      <c r="C131">
        <v>3</v>
      </c>
      <c r="D131">
        <v>12</v>
      </c>
      <c r="E131" s="3">
        <v>3</v>
      </c>
    </row>
    <row r="132" spans="1:5" x14ac:dyDescent="0.2">
      <c r="A132">
        <v>3</v>
      </c>
      <c r="B132" t="s">
        <v>91</v>
      </c>
      <c r="C132">
        <v>0</v>
      </c>
      <c r="D132">
        <v>8</v>
      </c>
      <c r="E132" s="3">
        <v>3</v>
      </c>
    </row>
    <row r="133" spans="1:5" x14ac:dyDescent="0.2">
      <c r="A133">
        <v>4</v>
      </c>
      <c r="B133" t="s">
        <v>74</v>
      </c>
      <c r="C133">
        <v>0</v>
      </c>
      <c r="D133">
        <v>4</v>
      </c>
      <c r="E133" s="3">
        <v>3</v>
      </c>
    </row>
    <row r="134" spans="1:5" x14ac:dyDescent="0.2">
      <c r="A134">
        <v>5</v>
      </c>
      <c r="B134" t="s">
        <v>453</v>
      </c>
      <c r="C134">
        <v>0</v>
      </c>
      <c r="D134">
        <v>2</v>
      </c>
      <c r="E134" s="3">
        <v>3</v>
      </c>
    </row>
    <row r="135" spans="1:5" x14ac:dyDescent="0.2">
      <c r="A135">
        <v>6</v>
      </c>
      <c r="B135" t="s">
        <v>48</v>
      </c>
      <c r="C135">
        <v>0</v>
      </c>
      <c r="D135">
        <v>1</v>
      </c>
      <c r="E135" s="3">
        <v>3</v>
      </c>
    </row>
    <row r="136" spans="1:5" x14ac:dyDescent="0.2">
      <c r="A136">
        <v>1</v>
      </c>
      <c r="B136" t="s">
        <v>467</v>
      </c>
      <c r="C136">
        <v>3</v>
      </c>
      <c r="D136">
        <v>16</v>
      </c>
      <c r="E136" s="3">
        <v>3</v>
      </c>
    </row>
    <row r="137" spans="1:5" x14ac:dyDescent="0.2">
      <c r="A137">
        <v>2</v>
      </c>
      <c r="B137" t="s">
        <v>50</v>
      </c>
      <c r="C137">
        <v>1</v>
      </c>
      <c r="D137">
        <v>12</v>
      </c>
      <c r="E137" s="3">
        <v>3</v>
      </c>
    </row>
    <row r="138" spans="1:5" x14ac:dyDescent="0.2">
      <c r="A138">
        <v>3</v>
      </c>
      <c r="B138" t="s">
        <v>68</v>
      </c>
      <c r="C138">
        <v>1</v>
      </c>
      <c r="D138">
        <v>8</v>
      </c>
      <c r="E138" s="3">
        <v>3</v>
      </c>
    </row>
    <row r="139" spans="1:5" x14ac:dyDescent="0.2">
      <c r="A139">
        <v>4</v>
      </c>
      <c r="B139" t="s">
        <v>39</v>
      </c>
      <c r="C139">
        <v>0</v>
      </c>
      <c r="D139">
        <v>4</v>
      </c>
      <c r="E139" s="3">
        <v>3</v>
      </c>
    </row>
    <row r="140" spans="1:5" x14ac:dyDescent="0.2">
      <c r="A140">
        <v>5</v>
      </c>
      <c r="B140" t="s">
        <v>60</v>
      </c>
      <c r="C140">
        <v>0</v>
      </c>
      <c r="D140">
        <v>2</v>
      </c>
      <c r="E140" s="3">
        <v>3</v>
      </c>
    </row>
    <row r="141" spans="1:5" x14ac:dyDescent="0.2">
      <c r="A141">
        <v>6</v>
      </c>
      <c r="B141" t="s">
        <v>69</v>
      </c>
      <c r="C141">
        <v>0</v>
      </c>
      <c r="D141">
        <v>1</v>
      </c>
      <c r="E141" s="3">
        <v>3</v>
      </c>
    </row>
    <row r="142" spans="1:5" x14ac:dyDescent="0.2">
      <c r="A142">
        <v>1</v>
      </c>
      <c r="B142" t="s">
        <v>46</v>
      </c>
      <c r="C142">
        <v>4</v>
      </c>
      <c r="D142">
        <v>16</v>
      </c>
      <c r="E142" s="3">
        <v>3</v>
      </c>
    </row>
    <row r="143" spans="1:5" x14ac:dyDescent="0.2">
      <c r="A143">
        <v>2</v>
      </c>
      <c r="B143" t="s">
        <v>19</v>
      </c>
      <c r="C143">
        <v>1</v>
      </c>
      <c r="D143">
        <v>12</v>
      </c>
      <c r="E143" s="3">
        <v>3</v>
      </c>
    </row>
    <row r="144" spans="1:5" x14ac:dyDescent="0.2">
      <c r="A144">
        <v>3</v>
      </c>
      <c r="B144" t="s">
        <v>464</v>
      </c>
      <c r="C144">
        <v>0</v>
      </c>
      <c r="D144">
        <v>8</v>
      </c>
      <c r="E144" s="3">
        <v>3</v>
      </c>
    </row>
    <row r="145" spans="1:5" x14ac:dyDescent="0.2">
      <c r="A145">
        <v>4</v>
      </c>
      <c r="B145" t="s">
        <v>454</v>
      </c>
      <c r="C145">
        <v>0</v>
      </c>
      <c r="D145">
        <v>4</v>
      </c>
      <c r="E145" s="3">
        <v>3</v>
      </c>
    </row>
    <row r="146" spans="1:5" x14ac:dyDescent="0.2">
      <c r="A146">
        <v>5</v>
      </c>
      <c r="B146" t="s">
        <v>6</v>
      </c>
      <c r="C146">
        <v>0</v>
      </c>
      <c r="D146">
        <v>2</v>
      </c>
      <c r="E146" s="3">
        <v>3</v>
      </c>
    </row>
    <row r="147" spans="1:5" x14ac:dyDescent="0.2">
      <c r="A147">
        <v>6</v>
      </c>
      <c r="B147" t="s">
        <v>462</v>
      </c>
      <c r="C147">
        <v>0</v>
      </c>
      <c r="D147">
        <v>1</v>
      </c>
      <c r="E147" s="3">
        <v>3</v>
      </c>
    </row>
    <row r="148" spans="1:5" x14ac:dyDescent="0.2">
      <c r="A148">
        <v>1</v>
      </c>
      <c r="B148" t="s">
        <v>41</v>
      </c>
      <c r="C148">
        <v>2</v>
      </c>
      <c r="D148">
        <v>15</v>
      </c>
      <c r="E148" s="3">
        <v>3</v>
      </c>
    </row>
    <row r="149" spans="1:5" x14ac:dyDescent="0.2">
      <c r="A149">
        <v>2</v>
      </c>
      <c r="B149" t="s">
        <v>73</v>
      </c>
      <c r="C149">
        <v>0</v>
      </c>
      <c r="D149">
        <v>11</v>
      </c>
      <c r="E149" s="3">
        <v>3</v>
      </c>
    </row>
    <row r="150" spans="1:5" x14ac:dyDescent="0.2">
      <c r="A150">
        <v>3</v>
      </c>
      <c r="B150" t="s">
        <v>451</v>
      </c>
      <c r="C150">
        <v>1</v>
      </c>
      <c r="D150">
        <v>7</v>
      </c>
      <c r="E150" s="3">
        <v>3</v>
      </c>
    </row>
    <row r="151" spans="1:5" x14ac:dyDescent="0.2">
      <c r="A151">
        <v>4</v>
      </c>
      <c r="B151" t="s">
        <v>102</v>
      </c>
      <c r="C151">
        <v>1</v>
      </c>
      <c r="D151">
        <v>3</v>
      </c>
      <c r="E151" s="3">
        <v>3</v>
      </c>
    </row>
    <row r="152" spans="1:5" x14ac:dyDescent="0.2">
      <c r="A152">
        <v>5</v>
      </c>
      <c r="B152" t="s">
        <v>21</v>
      </c>
      <c r="C152">
        <v>0</v>
      </c>
      <c r="D152">
        <v>1</v>
      </c>
      <c r="E152" s="3">
        <v>3</v>
      </c>
    </row>
    <row r="153" spans="1:5" x14ac:dyDescent="0.2">
      <c r="A153">
        <v>1</v>
      </c>
      <c r="B153" t="s">
        <v>377</v>
      </c>
      <c r="C153">
        <v>2</v>
      </c>
      <c r="D153">
        <v>15</v>
      </c>
      <c r="E153" s="3">
        <v>3</v>
      </c>
    </row>
    <row r="154" spans="1:5" x14ac:dyDescent="0.2">
      <c r="A154">
        <v>2</v>
      </c>
      <c r="B154" t="s">
        <v>59</v>
      </c>
      <c r="C154">
        <v>1</v>
      </c>
      <c r="D154">
        <v>11</v>
      </c>
      <c r="E154" s="3">
        <v>3</v>
      </c>
    </row>
    <row r="155" spans="1:5" x14ac:dyDescent="0.2">
      <c r="A155">
        <v>3</v>
      </c>
      <c r="B155" t="s">
        <v>468</v>
      </c>
      <c r="C155">
        <v>1</v>
      </c>
      <c r="D155">
        <v>7</v>
      </c>
      <c r="E155" s="3">
        <v>3</v>
      </c>
    </row>
    <row r="156" spans="1:5" x14ac:dyDescent="0.2">
      <c r="A156">
        <v>4</v>
      </c>
      <c r="B156" t="s">
        <v>452</v>
      </c>
      <c r="C156">
        <v>0</v>
      </c>
      <c r="D156">
        <v>3</v>
      </c>
      <c r="E156" s="3">
        <v>3</v>
      </c>
    </row>
    <row r="157" spans="1:5" x14ac:dyDescent="0.2">
      <c r="A157">
        <v>5</v>
      </c>
      <c r="B157" t="s">
        <v>9</v>
      </c>
      <c r="C157">
        <v>0</v>
      </c>
      <c r="D157">
        <v>1</v>
      </c>
      <c r="E157" s="3">
        <v>3</v>
      </c>
    </row>
    <row r="158" spans="1:5" x14ac:dyDescent="0.2">
      <c r="A158">
        <v>1</v>
      </c>
      <c r="B158" t="s">
        <v>45</v>
      </c>
      <c r="C158">
        <v>4</v>
      </c>
      <c r="D158">
        <v>16</v>
      </c>
      <c r="E158" s="3">
        <v>3</v>
      </c>
    </row>
    <row r="159" spans="1:5" x14ac:dyDescent="0.2">
      <c r="A159">
        <v>2</v>
      </c>
      <c r="B159" t="s">
        <v>35</v>
      </c>
      <c r="C159">
        <v>0</v>
      </c>
      <c r="D159">
        <v>12</v>
      </c>
      <c r="E159" s="3">
        <v>3</v>
      </c>
    </row>
    <row r="160" spans="1:5" x14ac:dyDescent="0.2">
      <c r="A160">
        <v>3</v>
      </c>
      <c r="B160" t="s">
        <v>26</v>
      </c>
      <c r="C160">
        <v>1</v>
      </c>
      <c r="D160">
        <v>8</v>
      </c>
      <c r="E160" s="3">
        <v>3</v>
      </c>
    </row>
    <row r="161" spans="1:5" x14ac:dyDescent="0.2">
      <c r="A161">
        <v>4</v>
      </c>
      <c r="B161" t="s">
        <v>32</v>
      </c>
      <c r="C161">
        <v>0</v>
      </c>
      <c r="D161">
        <v>4</v>
      </c>
      <c r="E161" s="3">
        <v>3</v>
      </c>
    </row>
    <row r="162" spans="1:5" x14ac:dyDescent="0.2">
      <c r="A162">
        <v>5</v>
      </c>
      <c r="B162" t="s">
        <v>456</v>
      </c>
      <c r="C162">
        <v>0</v>
      </c>
      <c r="D162">
        <v>2</v>
      </c>
      <c r="E162" s="3">
        <v>3</v>
      </c>
    </row>
    <row r="163" spans="1:5" x14ac:dyDescent="0.2">
      <c r="A163">
        <v>6</v>
      </c>
      <c r="B163" t="s">
        <v>27</v>
      </c>
      <c r="C163">
        <v>0</v>
      </c>
      <c r="D163">
        <v>1</v>
      </c>
      <c r="E163" s="3">
        <v>3</v>
      </c>
    </row>
    <row r="164" spans="1:5" x14ac:dyDescent="0.2">
      <c r="A164">
        <v>1</v>
      </c>
      <c r="B164" t="s">
        <v>302</v>
      </c>
      <c r="C164">
        <v>3</v>
      </c>
      <c r="D164">
        <v>16</v>
      </c>
      <c r="E164" s="3">
        <v>3</v>
      </c>
    </row>
    <row r="165" spans="1:5" x14ac:dyDescent="0.2">
      <c r="A165">
        <v>2</v>
      </c>
      <c r="B165" t="s">
        <v>34</v>
      </c>
      <c r="C165">
        <v>0</v>
      </c>
      <c r="D165">
        <v>12</v>
      </c>
      <c r="E165" s="3">
        <v>3</v>
      </c>
    </row>
    <row r="166" spans="1:5" x14ac:dyDescent="0.2">
      <c r="A166">
        <v>3</v>
      </c>
      <c r="B166" t="s">
        <v>88</v>
      </c>
      <c r="C166">
        <v>1</v>
      </c>
      <c r="D166">
        <v>8</v>
      </c>
      <c r="E166" s="3">
        <v>3</v>
      </c>
    </row>
    <row r="167" spans="1:5" x14ac:dyDescent="0.2">
      <c r="A167">
        <v>4</v>
      </c>
      <c r="B167" t="s">
        <v>52</v>
      </c>
      <c r="C167">
        <v>1</v>
      </c>
      <c r="D167">
        <v>4</v>
      </c>
      <c r="E167" s="3">
        <v>3</v>
      </c>
    </row>
    <row r="168" spans="1:5" x14ac:dyDescent="0.2">
      <c r="A168">
        <v>5</v>
      </c>
      <c r="B168" t="s">
        <v>469</v>
      </c>
      <c r="C168">
        <v>0</v>
      </c>
      <c r="D168">
        <v>2</v>
      </c>
      <c r="E168" s="3">
        <v>3</v>
      </c>
    </row>
    <row r="169" spans="1:5" x14ac:dyDescent="0.2">
      <c r="A169">
        <v>6</v>
      </c>
      <c r="B169" t="s">
        <v>75</v>
      </c>
      <c r="C169">
        <v>0</v>
      </c>
      <c r="D169">
        <v>1</v>
      </c>
      <c r="E169" s="3">
        <v>3</v>
      </c>
    </row>
    <row r="170" spans="1:5" x14ac:dyDescent="0.2">
      <c r="A170">
        <v>1</v>
      </c>
      <c r="B170" t="s">
        <v>52</v>
      </c>
      <c r="C170">
        <v>3</v>
      </c>
      <c r="D170">
        <v>17</v>
      </c>
      <c r="E170" s="3">
        <v>4</v>
      </c>
    </row>
    <row r="171" spans="1:5" x14ac:dyDescent="0.2">
      <c r="A171">
        <v>2</v>
      </c>
      <c r="B171" t="s">
        <v>46</v>
      </c>
      <c r="C171">
        <v>3</v>
      </c>
      <c r="D171">
        <v>13</v>
      </c>
      <c r="E171" s="3">
        <v>4</v>
      </c>
    </row>
    <row r="172" spans="1:5" x14ac:dyDescent="0.2">
      <c r="A172">
        <v>3</v>
      </c>
      <c r="B172" t="s">
        <v>41</v>
      </c>
      <c r="C172">
        <v>0</v>
      </c>
      <c r="D172">
        <v>9</v>
      </c>
      <c r="E172" s="3">
        <v>4</v>
      </c>
    </row>
    <row r="173" spans="1:5" x14ac:dyDescent="0.2">
      <c r="A173">
        <v>4</v>
      </c>
      <c r="B173" t="s">
        <v>69</v>
      </c>
      <c r="C173">
        <v>0</v>
      </c>
      <c r="D173">
        <v>5</v>
      </c>
      <c r="E173" s="3">
        <v>4</v>
      </c>
    </row>
    <row r="174" spans="1:5" x14ac:dyDescent="0.2">
      <c r="A174">
        <v>5</v>
      </c>
      <c r="B174" t="s">
        <v>59</v>
      </c>
      <c r="C174">
        <v>0</v>
      </c>
      <c r="D174">
        <v>3</v>
      </c>
      <c r="E174" s="3">
        <v>4</v>
      </c>
    </row>
    <row r="175" spans="1:5" x14ac:dyDescent="0.2">
      <c r="A175">
        <v>6</v>
      </c>
      <c r="B175" t="s">
        <v>67</v>
      </c>
      <c r="C175">
        <v>0</v>
      </c>
      <c r="D175">
        <v>2</v>
      </c>
      <c r="E175" s="3">
        <v>4</v>
      </c>
    </row>
    <row r="176" spans="1:5" x14ac:dyDescent="0.2">
      <c r="A176">
        <v>7</v>
      </c>
      <c r="B176" t="s">
        <v>12</v>
      </c>
      <c r="C176">
        <v>0</v>
      </c>
      <c r="D176">
        <v>1</v>
      </c>
      <c r="E176" s="3">
        <v>4</v>
      </c>
    </row>
    <row r="177" spans="1:5" x14ac:dyDescent="0.2">
      <c r="A177">
        <v>1</v>
      </c>
      <c r="B177" t="s">
        <v>102</v>
      </c>
      <c r="C177">
        <v>3</v>
      </c>
      <c r="D177">
        <v>16</v>
      </c>
      <c r="E177" s="3">
        <v>4</v>
      </c>
    </row>
    <row r="178" spans="1:5" x14ac:dyDescent="0.2">
      <c r="A178">
        <v>2</v>
      </c>
      <c r="B178" t="s">
        <v>377</v>
      </c>
      <c r="C178">
        <v>1</v>
      </c>
      <c r="D178">
        <v>12</v>
      </c>
      <c r="E178" s="3">
        <v>4</v>
      </c>
    </row>
    <row r="179" spans="1:5" x14ac:dyDescent="0.2">
      <c r="A179">
        <v>3</v>
      </c>
      <c r="B179" t="s">
        <v>68</v>
      </c>
      <c r="C179">
        <v>0</v>
      </c>
      <c r="D179">
        <v>8</v>
      </c>
      <c r="E179" s="3">
        <v>4</v>
      </c>
    </row>
    <row r="180" spans="1:5" x14ac:dyDescent="0.2">
      <c r="A180">
        <v>4</v>
      </c>
      <c r="B180" t="s">
        <v>76</v>
      </c>
      <c r="C180">
        <v>1</v>
      </c>
      <c r="D180">
        <v>4</v>
      </c>
      <c r="E180" s="3">
        <v>4</v>
      </c>
    </row>
    <row r="181" spans="1:5" x14ac:dyDescent="0.2">
      <c r="A181">
        <v>5</v>
      </c>
      <c r="B181" t="s">
        <v>9</v>
      </c>
      <c r="C181">
        <v>0</v>
      </c>
      <c r="D181">
        <v>2</v>
      </c>
      <c r="E181" s="3">
        <v>4</v>
      </c>
    </row>
    <row r="182" spans="1:5" x14ac:dyDescent="0.2">
      <c r="A182">
        <v>6</v>
      </c>
      <c r="B182" t="s">
        <v>467</v>
      </c>
      <c r="C182">
        <v>0</v>
      </c>
      <c r="D182">
        <v>1</v>
      </c>
      <c r="E182" s="3">
        <v>4</v>
      </c>
    </row>
    <row r="183" spans="1:5" x14ac:dyDescent="0.2">
      <c r="A183">
        <v>1</v>
      </c>
      <c r="B183" t="s">
        <v>470</v>
      </c>
      <c r="C183">
        <v>4</v>
      </c>
      <c r="D183">
        <v>17</v>
      </c>
      <c r="E183" s="3">
        <v>4</v>
      </c>
    </row>
    <row r="184" spans="1:5" x14ac:dyDescent="0.2">
      <c r="A184">
        <v>2</v>
      </c>
      <c r="B184" t="s">
        <v>39</v>
      </c>
      <c r="C184">
        <v>2</v>
      </c>
      <c r="D184">
        <v>13</v>
      </c>
      <c r="E184" s="3">
        <v>4</v>
      </c>
    </row>
    <row r="185" spans="1:5" x14ac:dyDescent="0.2">
      <c r="A185">
        <v>3</v>
      </c>
      <c r="B185" t="s">
        <v>457</v>
      </c>
      <c r="C185">
        <v>0</v>
      </c>
      <c r="D185">
        <v>9</v>
      </c>
      <c r="E185" s="3">
        <v>4</v>
      </c>
    </row>
    <row r="186" spans="1:5" x14ac:dyDescent="0.2">
      <c r="A186">
        <v>4</v>
      </c>
      <c r="B186" t="s">
        <v>452</v>
      </c>
      <c r="C186">
        <v>0</v>
      </c>
      <c r="D186">
        <v>5</v>
      </c>
      <c r="E186" s="3">
        <v>4</v>
      </c>
    </row>
    <row r="187" spans="1:5" x14ac:dyDescent="0.2">
      <c r="A187">
        <v>5</v>
      </c>
      <c r="B187" t="s">
        <v>48</v>
      </c>
      <c r="C187">
        <v>0</v>
      </c>
      <c r="D187">
        <v>3</v>
      </c>
      <c r="E187" s="3">
        <v>4</v>
      </c>
    </row>
    <row r="188" spans="1:5" x14ac:dyDescent="0.2">
      <c r="A188">
        <v>6</v>
      </c>
      <c r="B188" t="s">
        <v>453</v>
      </c>
      <c r="C188">
        <v>0</v>
      </c>
      <c r="D188">
        <v>2</v>
      </c>
      <c r="E188" s="3">
        <v>4</v>
      </c>
    </row>
    <row r="189" spans="1:5" x14ac:dyDescent="0.2">
      <c r="A189">
        <v>7</v>
      </c>
      <c r="B189" t="s">
        <v>73</v>
      </c>
      <c r="C189">
        <v>0</v>
      </c>
      <c r="D189">
        <v>1</v>
      </c>
      <c r="E189" s="3">
        <v>4</v>
      </c>
    </row>
    <row r="190" spans="1:5" x14ac:dyDescent="0.2">
      <c r="A190">
        <v>1</v>
      </c>
      <c r="B190" t="s">
        <v>55</v>
      </c>
      <c r="C190">
        <v>2</v>
      </c>
      <c r="D190">
        <v>17</v>
      </c>
      <c r="E190" s="3">
        <v>4</v>
      </c>
    </row>
    <row r="191" spans="1:5" x14ac:dyDescent="0.2">
      <c r="A191">
        <v>2</v>
      </c>
      <c r="B191" t="s">
        <v>25</v>
      </c>
      <c r="C191">
        <v>0</v>
      </c>
      <c r="D191">
        <v>13</v>
      </c>
      <c r="E191" s="3">
        <v>4</v>
      </c>
    </row>
    <row r="192" spans="1:5" x14ac:dyDescent="0.2">
      <c r="A192">
        <v>3</v>
      </c>
      <c r="B192" t="s">
        <v>40</v>
      </c>
      <c r="C192">
        <v>3</v>
      </c>
      <c r="D192">
        <v>9</v>
      </c>
      <c r="E192" s="3">
        <v>4</v>
      </c>
    </row>
    <row r="193" spans="1:5" x14ac:dyDescent="0.2">
      <c r="A193">
        <v>4</v>
      </c>
      <c r="B193" t="s">
        <v>74</v>
      </c>
      <c r="C193">
        <v>0</v>
      </c>
      <c r="D193">
        <v>5</v>
      </c>
      <c r="E193" s="3">
        <v>4</v>
      </c>
    </row>
    <row r="194" spans="1:5" x14ac:dyDescent="0.2">
      <c r="A194">
        <v>5</v>
      </c>
      <c r="B194" t="s">
        <v>460</v>
      </c>
      <c r="C194">
        <v>0</v>
      </c>
      <c r="D194">
        <v>3</v>
      </c>
      <c r="E194" s="3">
        <v>4</v>
      </c>
    </row>
    <row r="195" spans="1:5" x14ac:dyDescent="0.2">
      <c r="A195">
        <v>6</v>
      </c>
      <c r="B195" t="s">
        <v>32</v>
      </c>
      <c r="C195">
        <v>1</v>
      </c>
      <c r="D195">
        <v>2</v>
      </c>
      <c r="E195" s="3">
        <v>4</v>
      </c>
    </row>
    <row r="196" spans="1:5" x14ac:dyDescent="0.2">
      <c r="A196">
        <v>7</v>
      </c>
      <c r="B196" t="s">
        <v>28</v>
      </c>
      <c r="C196">
        <v>0</v>
      </c>
      <c r="D196">
        <v>1</v>
      </c>
      <c r="E196" s="3">
        <v>4</v>
      </c>
    </row>
    <row r="197" spans="1:5" x14ac:dyDescent="0.2">
      <c r="A197">
        <v>1</v>
      </c>
      <c r="B197" t="s">
        <v>451</v>
      </c>
      <c r="C197">
        <v>2</v>
      </c>
      <c r="D197">
        <v>16</v>
      </c>
      <c r="E197" s="3">
        <v>4</v>
      </c>
    </row>
    <row r="198" spans="1:5" x14ac:dyDescent="0.2">
      <c r="A198">
        <v>2</v>
      </c>
      <c r="B198" t="s">
        <v>464</v>
      </c>
      <c r="C198">
        <v>2</v>
      </c>
      <c r="D198">
        <v>12</v>
      </c>
      <c r="E198" s="3">
        <v>4</v>
      </c>
    </row>
    <row r="199" spans="1:5" x14ac:dyDescent="0.2">
      <c r="A199">
        <v>3</v>
      </c>
      <c r="B199" t="s">
        <v>65</v>
      </c>
      <c r="C199">
        <v>0</v>
      </c>
      <c r="D199">
        <v>8</v>
      </c>
      <c r="E199" s="3">
        <v>4</v>
      </c>
    </row>
    <row r="200" spans="1:5" x14ac:dyDescent="0.2">
      <c r="A200">
        <v>4</v>
      </c>
      <c r="B200" t="s">
        <v>459</v>
      </c>
      <c r="C200">
        <v>1</v>
      </c>
      <c r="D200">
        <v>4</v>
      </c>
      <c r="E200" s="3">
        <v>4</v>
      </c>
    </row>
    <row r="201" spans="1:5" x14ac:dyDescent="0.2">
      <c r="A201">
        <v>5</v>
      </c>
      <c r="B201" t="s">
        <v>88</v>
      </c>
      <c r="C201">
        <v>0</v>
      </c>
      <c r="D201">
        <v>2</v>
      </c>
      <c r="E201" s="3">
        <v>4</v>
      </c>
    </row>
    <row r="202" spans="1:5" x14ac:dyDescent="0.2">
      <c r="A202">
        <v>6</v>
      </c>
      <c r="B202" t="s">
        <v>21</v>
      </c>
      <c r="C202">
        <v>0</v>
      </c>
      <c r="D202">
        <v>1</v>
      </c>
      <c r="E202" s="3">
        <v>4</v>
      </c>
    </row>
    <row r="203" spans="1:5" x14ac:dyDescent="0.2">
      <c r="A203">
        <v>1</v>
      </c>
      <c r="B203" t="s">
        <v>101</v>
      </c>
      <c r="C203">
        <v>3</v>
      </c>
      <c r="D203">
        <v>16</v>
      </c>
      <c r="E203" s="3">
        <v>4</v>
      </c>
    </row>
    <row r="204" spans="1:5" x14ac:dyDescent="0.2">
      <c r="A204">
        <v>2</v>
      </c>
      <c r="B204" t="s">
        <v>81</v>
      </c>
      <c r="C204">
        <v>1</v>
      </c>
      <c r="D204">
        <v>12</v>
      </c>
      <c r="E204" s="3">
        <v>4</v>
      </c>
    </row>
    <row r="205" spans="1:5" x14ac:dyDescent="0.2">
      <c r="A205">
        <v>3</v>
      </c>
      <c r="B205" t="s">
        <v>18</v>
      </c>
      <c r="C205">
        <v>1</v>
      </c>
      <c r="D205">
        <v>8</v>
      </c>
      <c r="E205" s="3">
        <v>4</v>
      </c>
    </row>
    <row r="206" spans="1:5" x14ac:dyDescent="0.2">
      <c r="A206">
        <v>4</v>
      </c>
      <c r="B206" t="s">
        <v>53</v>
      </c>
      <c r="C206">
        <v>0</v>
      </c>
      <c r="D206">
        <v>4</v>
      </c>
      <c r="E206" s="3">
        <v>4</v>
      </c>
    </row>
    <row r="207" spans="1:5" x14ac:dyDescent="0.2">
      <c r="A207">
        <v>5</v>
      </c>
      <c r="B207" t="s">
        <v>35</v>
      </c>
      <c r="C207">
        <v>0</v>
      </c>
      <c r="D207">
        <v>2</v>
      </c>
      <c r="E207" s="3">
        <v>4</v>
      </c>
    </row>
    <row r="208" spans="1:5" x14ac:dyDescent="0.2">
      <c r="A208">
        <v>6</v>
      </c>
      <c r="B208" t="s">
        <v>264</v>
      </c>
      <c r="C208">
        <v>0</v>
      </c>
      <c r="D208">
        <v>1</v>
      </c>
      <c r="E208" s="3">
        <v>4</v>
      </c>
    </row>
    <row r="209" spans="1:5" x14ac:dyDescent="0.2">
      <c r="A209">
        <v>1</v>
      </c>
      <c r="B209" t="s">
        <v>471</v>
      </c>
      <c r="C209">
        <v>3</v>
      </c>
      <c r="D209">
        <v>16</v>
      </c>
      <c r="E209" s="3">
        <v>4</v>
      </c>
    </row>
    <row r="210" spans="1:5" x14ac:dyDescent="0.2">
      <c r="A210">
        <v>2</v>
      </c>
      <c r="B210" t="s">
        <v>463</v>
      </c>
      <c r="C210">
        <v>1</v>
      </c>
      <c r="D210">
        <v>12</v>
      </c>
      <c r="E210" s="3">
        <v>4</v>
      </c>
    </row>
    <row r="211" spans="1:5" x14ac:dyDescent="0.2">
      <c r="A211">
        <v>3</v>
      </c>
      <c r="B211" t="s">
        <v>50</v>
      </c>
      <c r="C211">
        <v>1</v>
      </c>
      <c r="D211">
        <v>8</v>
      </c>
      <c r="E211" s="3">
        <v>4</v>
      </c>
    </row>
    <row r="212" spans="1:5" x14ac:dyDescent="0.2">
      <c r="A212">
        <v>4</v>
      </c>
      <c r="B212" t="s">
        <v>34</v>
      </c>
      <c r="C212">
        <v>0</v>
      </c>
      <c r="D212">
        <v>4</v>
      </c>
      <c r="E212" s="3">
        <v>4</v>
      </c>
    </row>
    <row r="213" spans="1:5" x14ac:dyDescent="0.2">
      <c r="A213">
        <v>5</v>
      </c>
      <c r="B213" t="s">
        <v>66</v>
      </c>
      <c r="C213">
        <v>0</v>
      </c>
      <c r="D213">
        <v>2</v>
      </c>
      <c r="E213" s="3">
        <v>4</v>
      </c>
    </row>
    <row r="214" spans="1:5" x14ac:dyDescent="0.2">
      <c r="A214">
        <v>6</v>
      </c>
      <c r="B214" t="s">
        <v>87</v>
      </c>
      <c r="C214">
        <v>0</v>
      </c>
      <c r="D214">
        <v>1</v>
      </c>
      <c r="E214" s="3">
        <v>4</v>
      </c>
    </row>
    <row r="215" spans="1:5" x14ac:dyDescent="0.2">
      <c r="A215">
        <v>1</v>
      </c>
      <c r="B215" t="s">
        <v>75</v>
      </c>
      <c r="C215">
        <v>1</v>
      </c>
      <c r="D215">
        <v>16</v>
      </c>
      <c r="E215" s="3">
        <v>4</v>
      </c>
    </row>
    <row r="216" spans="1:5" x14ac:dyDescent="0.2">
      <c r="A216">
        <v>2</v>
      </c>
      <c r="B216" t="s">
        <v>27</v>
      </c>
      <c r="C216">
        <v>4</v>
      </c>
      <c r="D216">
        <v>12</v>
      </c>
      <c r="E216" s="3">
        <v>4</v>
      </c>
    </row>
    <row r="217" spans="1:5" x14ac:dyDescent="0.2">
      <c r="A217">
        <v>3</v>
      </c>
      <c r="B217" t="s">
        <v>280</v>
      </c>
      <c r="C217">
        <v>0</v>
      </c>
      <c r="D217">
        <v>8</v>
      </c>
      <c r="E217" s="3">
        <v>4</v>
      </c>
    </row>
    <row r="218" spans="1:5" x14ac:dyDescent="0.2">
      <c r="A218">
        <v>4</v>
      </c>
      <c r="B218" t="s">
        <v>455</v>
      </c>
      <c r="C218">
        <v>0</v>
      </c>
      <c r="D218">
        <v>4</v>
      </c>
      <c r="E218" s="3">
        <v>4</v>
      </c>
    </row>
    <row r="219" spans="1:5" x14ac:dyDescent="0.2">
      <c r="A219">
        <v>5</v>
      </c>
      <c r="B219" t="s">
        <v>6</v>
      </c>
      <c r="C219">
        <v>0</v>
      </c>
      <c r="D219">
        <v>2</v>
      </c>
      <c r="E219" s="3">
        <v>4</v>
      </c>
    </row>
    <row r="220" spans="1:5" x14ac:dyDescent="0.2">
      <c r="A220">
        <v>6</v>
      </c>
      <c r="B220" t="s">
        <v>60</v>
      </c>
      <c r="C220">
        <v>0</v>
      </c>
      <c r="D220">
        <v>1</v>
      </c>
      <c r="E220" s="3">
        <v>4</v>
      </c>
    </row>
    <row r="221" spans="1:5" x14ac:dyDescent="0.2">
      <c r="A221">
        <v>1</v>
      </c>
      <c r="B221" t="s">
        <v>450</v>
      </c>
      <c r="C221">
        <v>2</v>
      </c>
      <c r="D221">
        <v>17</v>
      </c>
      <c r="E221" s="3">
        <v>4</v>
      </c>
    </row>
    <row r="222" spans="1:5" x14ac:dyDescent="0.2">
      <c r="A222">
        <v>2</v>
      </c>
      <c r="B222" t="s">
        <v>461</v>
      </c>
      <c r="C222">
        <v>2</v>
      </c>
      <c r="D222">
        <v>13</v>
      </c>
      <c r="E222" s="3">
        <v>4</v>
      </c>
    </row>
    <row r="223" spans="1:5" x14ac:dyDescent="0.2">
      <c r="A223">
        <v>3</v>
      </c>
      <c r="B223" t="s">
        <v>91</v>
      </c>
      <c r="C223">
        <v>1</v>
      </c>
      <c r="D223">
        <v>9</v>
      </c>
      <c r="E223" s="3">
        <v>4</v>
      </c>
    </row>
    <row r="224" spans="1:5" x14ac:dyDescent="0.2">
      <c r="A224">
        <v>4</v>
      </c>
      <c r="B224" t="s">
        <v>456</v>
      </c>
      <c r="C224">
        <v>0</v>
      </c>
      <c r="D224">
        <v>5</v>
      </c>
      <c r="E224" s="3">
        <v>4</v>
      </c>
    </row>
    <row r="225" spans="1:5" x14ac:dyDescent="0.2">
      <c r="A225">
        <v>5</v>
      </c>
      <c r="B225" t="s">
        <v>20</v>
      </c>
      <c r="C225">
        <v>0</v>
      </c>
      <c r="D225">
        <v>3</v>
      </c>
      <c r="E225" s="3">
        <v>4</v>
      </c>
    </row>
    <row r="226" spans="1:5" x14ac:dyDescent="0.2">
      <c r="A226">
        <v>6</v>
      </c>
      <c r="B226" t="s">
        <v>26</v>
      </c>
      <c r="C226">
        <v>1</v>
      </c>
      <c r="D226">
        <v>2</v>
      </c>
      <c r="E226" s="3">
        <v>4</v>
      </c>
    </row>
    <row r="227" spans="1:5" x14ac:dyDescent="0.2">
      <c r="A227">
        <v>7</v>
      </c>
      <c r="B227" t="s">
        <v>45</v>
      </c>
      <c r="C227">
        <v>0</v>
      </c>
      <c r="D227">
        <v>1</v>
      </c>
      <c r="E227" s="3">
        <v>4</v>
      </c>
    </row>
    <row r="228" spans="1:5" x14ac:dyDescent="0.2">
      <c r="A228">
        <v>1</v>
      </c>
      <c r="B228" t="s">
        <v>42</v>
      </c>
      <c r="C228">
        <v>2</v>
      </c>
      <c r="D228">
        <v>16</v>
      </c>
      <c r="E228" s="3">
        <v>5</v>
      </c>
    </row>
    <row r="229" spans="1:5" x14ac:dyDescent="0.2">
      <c r="A229">
        <v>2</v>
      </c>
      <c r="B229" t="s">
        <v>45</v>
      </c>
      <c r="C229">
        <v>1</v>
      </c>
      <c r="D229">
        <v>12</v>
      </c>
      <c r="E229" s="3">
        <v>5</v>
      </c>
    </row>
    <row r="230" spans="1:5" x14ac:dyDescent="0.2">
      <c r="A230">
        <v>3</v>
      </c>
      <c r="B230" t="s">
        <v>68</v>
      </c>
      <c r="C230">
        <v>2</v>
      </c>
      <c r="D230">
        <v>8</v>
      </c>
      <c r="E230" s="3">
        <v>5</v>
      </c>
    </row>
    <row r="231" spans="1:5" x14ac:dyDescent="0.2">
      <c r="A231">
        <v>4</v>
      </c>
      <c r="B231" t="s">
        <v>462</v>
      </c>
      <c r="C231">
        <v>0</v>
      </c>
      <c r="D231">
        <v>4</v>
      </c>
      <c r="E231" s="3">
        <v>5</v>
      </c>
    </row>
    <row r="232" spans="1:5" x14ac:dyDescent="0.2">
      <c r="A232">
        <v>5</v>
      </c>
      <c r="B232" t="s">
        <v>69</v>
      </c>
      <c r="C232">
        <v>0</v>
      </c>
      <c r="D232">
        <v>2</v>
      </c>
      <c r="E232" s="3">
        <v>5</v>
      </c>
    </row>
    <row r="233" spans="1:5" x14ac:dyDescent="0.2">
      <c r="A233">
        <v>6</v>
      </c>
      <c r="B233" t="s">
        <v>74</v>
      </c>
      <c r="C233">
        <v>0</v>
      </c>
      <c r="D233">
        <v>1</v>
      </c>
      <c r="E233" s="3">
        <v>5</v>
      </c>
    </row>
    <row r="234" spans="1:5" x14ac:dyDescent="0.2">
      <c r="A234">
        <v>1</v>
      </c>
      <c r="B234" t="s">
        <v>455</v>
      </c>
      <c r="C234">
        <v>2</v>
      </c>
      <c r="D234">
        <v>16</v>
      </c>
      <c r="E234" s="3">
        <v>5</v>
      </c>
    </row>
    <row r="235" spans="1:5" x14ac:dyDescent="0.2">
      <c r="A235">
        <v>2</v>
      </c>
      <c r="B235" t="s">
        <v>36</v>
      </c>
      <c r="C235">
        <v>3</v>
      </c>
      <c r="D235">
        <v>12</v>
      </c>
      <c r="E235" s="3">
        <v>5</v>
      </c>
    </row>
    <row r="236" spans="1:5" x14ac:dyDescent="0.2">
      <c r="A236">
        <v>3</v>
      </c>
      <c r="B236" t="s">
        <v>50</v>
      </c>
      <c r="C236">
        <v>0</v>
      </c>
      <c r="D236">
        <v>8</v>
      </c>
      <c r="E236" s="3">
        <v>5</v>
      </c>
    </row>
    <row r="237" spans="1:5" x14ac:dyDescent="0.2">
      <c r="A237">
        <v>4</v>
      </c>
      <c r="B237" t="s">
        <v>26</v>
      </c>
      <c r="C237">
        <v>0</v>
      </c>
      <c r="D237">
        <v>4</v>
      </c>
      <c r="E237" s="3">
        <v>5</v>
      </c>
    </row>
    <row r="238" spans="1:5" x14ac:dyDescent="0.2">
      <c r="A238">
        <v>5</v>
      </c>
      <c r="B238" t="s">
        <v>25</v>
      </c>
      <c r="C238">
        <v>0</v>
      </c>
      <c r="D238">
        <v>2</v>
      </c>
      <c r="E238" s="3">
        <v>5</v>
      </c>
    </row>
    <row r="239" spans="1:5" x14ac:dyDescent="0.2">
      <c r="A239">
        <v>6</v>
      </c>
      <c r="B239" t="s">
        <v>452</v>
      </c>
      <c r="C239">
        <v>0</v>
      </c>
      <c r="D239">
        <v>1</v>
      </c>
      <c r="E239" s="3">
        <v>5</v>
      </c>
    </row>
    <row r="240" spans="1:5" x14ac:dyDescent="0.2">
      <c r="A240">
        <v>1</v>
      </c>
      <c r="B240" t="s">
        <v>32</v>
      </c>
      <c r="C240">
        <v>1</v>
      </c>
      <c r="D240">
        <v>17</v>
      </c>
      <c r="E240" s="3">
        <v>5</v>
      </c>
    </row>
    <row r="241" spans="1:5" x14ac:dyDescent="0.2">
      <c r="A241">
        <v>2</v>
      </c>
      <c r="B241" t="s">
        <v>94</v>
      </c>
      <c r="C241">
        <v>4</v>
      </c>
      <c r="D241">
        <v>13</v>
      </c>
      <c r="E241" s="3">
        <v>5</v>
      </c>
    </row>
    <row r="242" spans="1:5" x14ac:dyDescent="0.2">
      <c r="A242">
        <v>3</v>
      </c>
      <c r="B242" t="s">
        <v>52</v>
      </c>
      <c r="C242">
        <v>1</v>
      </c>
      <c r="D242">
        <v>9</v>
      </c>
      <c r="E242" s="3">
        <v>5</v>
      </c>
    </row>
    <row r="243" spans="1:5" x14ac:dyDescent="0.2">
      <c r="A243">
        <v>4</v>
      </c>
      <c r="B243" t="s">
        <v>46</v>
      </c>
      <c r="C243">
        <v>0</v>
      </c>
      <c r="D243">
        <v>5</v>
      </c>
      <c r="E243" s="3">
        <v>5</v>
      </c>
    </row>
    <row r="244" spans="1:5" x14ac:dyDescent="0.2">
      <c r="A244">
        <v>5</v>
      </c>
      <c r="B244" t="s">
        <v>101</v>
      </c>
      <c r="C244">
        <v>0</v>
      </c>
      <c r="D244">
        <v>3</v>
      </c>
      <c r="E244" s="3">
        <v>5</v>
      </c>
    </row>
    <row r="245" spans="1:5" x14ac:dyDescent="0.2">
      <c r="A245">
        <v>6</v>
      </c>
      <c r="B245" t="s">
        <v>371</v>
      </c>
      <c r="C245">
        <v>0</v>
      </c>
      <c r="D245">
        <v>2</v>
      </c>
      <c r="E245" s="3">
        <v>5</v>
      </c>
    </row>
    <row r="246" spans="1:5" x14ac:dyDescent="0.2">
      <c r="A246">
        <v>7</v>
      </c>
      <c r="B246" t="s">
        <v>75</v>
      </c>
      <c r="C246">
        <v>0</v>
      </c>
      <c r="D246">
        <v>1</v>
      </c>
      <c r="E246" s="3">
        <v>5</v>
      </c>
    </row>
    <row r="247" spans="1:5" x14ac:dyDescent="0.2">
      <c r="A247">
        <v>1</v>
      </c>
      <c r="B247" t="s">
        <v>29</v>
      </c>
      <c r="C247">
        <v>1</v>
      </c>
      <c r="D247">
        <v>17</v>
      </c>
      <c r="E247" s="3">
        <v>5</v>
      </c>
    </row>
    <row r="248" spans="1:5" x14ac:dyDescent="0.2">
      <c r="A248">
        <v>2</v>
      </c>
      <c r="B248" t="s">
        <v>457</v>
      </c>
      <c r="C248">
        <v>2</v>
      </c>
      <c r="D248">
        <v>13</v>
      </c>
      <c r="E248" s="3">
        <v>5</v>
      </c>
    </row>
    <row r="249" spans="1:5" x14ac:dyDescent="0.2">
      <c r="A249">
        <v>3</v>
      </c>
      <c r="B249" t="s">
        <v>48</v>
      </c>
      <c r="C249">
        <v>2</v>
      </c>
      <c r="D249">
        <v>9</v>
      </c>
      <c r="E249" s="3">
        <v>5</v>
      </c>
    </row>
    <row r="250" spans="1:5" x14ac:dyDescent="0.2">
      <c r="A250">
        <v>4</v>
      </c>
      <c r="B250" t="s">
        <v>472</v>
      </c>
      <c r="C250">
        <v>1</v>
      </c>
      <c r="D250">
        <v>5</v>
      </c>
      <c r="E250" s="3">
        <v>5</v>
      </c>
    </row>
    <row r="251" spans="1:5" x14ac:dyDescent="0.2">
      <c r="A251">
        <v>5</v>
      </c>
      <c r="B251" t="s">
        <v>40</v>
      </c>
      <c r="C251">
        <v>0</v>
      </c>
      <c r="D251">
        <v>3</v>
      </c>
      <c r="E251" s="3">
        <v>5</v>
      </c>
    </row>
    <row r="252" spans="1:5" x14ac:dyDescent="0.2">
      <c r="A252">
        <v>6</v>
      </c>
      <c r="B252" t="s">
        <v>87</v>
      </c>
      <c r="C252">
        <v>0</v>
      </c>
      <c r="D252">
        <v>2</v>
      </c>
      <c r="E252" s="3">
        <v>5</v>
      </c>
    </row>
    <row r="253" spans="1:5" x14ac:dyDescent="0.2">
      <c r="A253">
        <v>7</v>
      </c>
      <c r="B253" t="s">
        <v>12</v>
      </c>
      <c r="C253">
        <v>0</v>
      </c>
      <c r="D253">
        <v>1</v>
      </c>
      <c r="E253" s="3">
        <v>5</v>
      </c>
    </row>
    <row r="254" spans="1:5" x14ac:dyDescent="0.2">
      <c r="A254">
        <v>1</v>
      </c>
      <c r="B254" t="s">
        <v>368</v>
      </c>
      <c r="C254">
        <v>1</v>
      </c>
      <c r="D254">
        <v>16</v>
      </c>
      <c r="E254" s="3">
        <v>5</v>
      </c>
    </row>
    <row r="255" spans="1:5" x14ac:dyDescent="0.2">
      <c r="A255">
        <v>2</v>
      </c>
      <c r="B255" t="s">
        <v>18</v>
      </c>
      <c r="C255">
        <v>2</v>
      </c>
      <c r="D255">
        <v>12</v>
      </c>
      <c r="E255" s="3">
        <v>5</v>
      </c>
    </row>
    <row r="256" spans="1:5" x14ac:dyDescent="0.2">
      <c r="A256">
        <v>3</v>
      </c>
      <c r="B256" t="s">
        <v>377</v>
      </c>
      <c r="C256">
        <v>1</v>
      </c>
      <c r="D256">
        <v>8</v>
      </c>
      <c r="E256" s="3">
        <v>5</v>
      </c>
    </row>
    <row r="257" spans="1:5" x14ac:dyDescent="0.2">
      <c r="A257">
        <v>4</v>
      </c>
      <c r="B257" t="s">
        <v>463</v>
      </c>
      <c r="C257">
        <v>1</v>
      </c>
      <c r="D257">
        <v>4</v>
      </c>
      <c r="E257" s="3">
        <v>5</v>
      </c>
    </row>
    <row r="258" spans="1:5" x14ac:dyDescent="0.2">
      <c r="A258">
        <v>5</v>
      </c>
      <c r="B258" t="s">
        <v>453</v>
      </c>
      <c r="C258">
        <v>0</v>
      </c>
      <c r="D258">
        <v>2</v>
      </c>
      <c r="E258" s="3">
        <v>5</v>
      </c>
    </row>
    <row r="259" spans="1:5" x14ac:dyDescent="0.2">
      <c r="A259">
        <v>6</v>
      </c>
      <c r="B259" t="s">
        <v>98</v>
      </c>
      <c r="C259">
        <v>0</v>
      </c>
      <c r="D259">
        <v>1</v>
      </c>
      <c r="E259" s="3">
        <v>5</v>
      </c>
    </row>
    <row r="260" spans="1:5" x14ac:dyDescent="0.2">
      <c r="A260">
        <v>1</v>
      </c>
      <c r="B260" t="s">
        <v>28</v>
      </c>
      <c r="C260">
        <v>3</v>
      </c>
      <c r="D260">
        <v>17</v>
      </c>
      <c r="E260" s="3">
        <v>5</v>
      </c>
    </row>
    <row r="261" spans="1:5" x14ac:dyDescent="0.2">
      <c r="A261">
        <v>2</v>
      </c>
      <c r="B261" t="s">
        <v>450</v>
      </c>
      <c r="C261">
        <v>1</v>
      </c>
      <c r="D261">
        <v>13</v>
      </c>
      <c r="E261" s="3">
        <v>5</v>
      </c>
    </row>
    <row r="262" spans="1:5" x14ac:dyDescent="0.2">
      <c r="A262">
        <v>3</v>
      </c>
      <c r="B262" t="s">
        <v>27</v>
      </c>
      <c r="C262">
        <v>0</v>
      </c>
      <c r="D262">
        <v>9</v>
      </c>
      <c r="E262" s="3">
        <v>5</v>
      </c>
    </row>
    <row r="263" spans="1:5" x14ac:dyDescent="0.2">
      <c r="A263">
        <v>4</v>
      </c>
      <c r="B263" t="s">
        <v>88</v>
      </c>
      <c r="C263">
        <v>1</v>
      </c>
      <c r="D263">
        <v>5</v>
      </c>
      <c r="E263" s="3">
        <v>5</v>
      </c>
    </row>
    <row r="264" spans="1:5" x14ac:dyDescent="0.2">
      <c r="A264">
        <v>5</v>
      </c>
      <c r="B264" t="s">
        <v>15</v>
      </c>
      <c r="C264">
        <v>1</v>
      </c>
      <c r="D264">
        <v>3</v>
      </c>
      <c r="E264" s="3">
        <v>5</v>
      </c>
    </row>
    <row r="265" spans="1:5" x14ac:dyDescent="0.2">
      <c r="A265">
        <v>6</v>
      </c>
      <c r="B265" t="s">
        <v>31</v>
      </c>
      <c r="C265">
        <v>0</v>
      </c>
      <c r="D265">
        <v>2</v>
      </c>
      <c r="E265" s="3">
        <v>5</v>
      </c>
    </row>
    <row r="266" spans="1:5" x14ac:dyDescent="0.2">
      <c r="A266">
        <v>7</v>
      </c>
      <c r="B266" t="s">
        <v>47</v>
      </c>
      <c r="C266">
        <v>0</v>
      </c>
      <c r="D266">
        <v>1</v>
      </c>
      <c r="E266" s="3">
        <v>5</v>
      </c>
    </row>
    <row r="267" spans="1:5" x14ac:dyDescent="0.2">
      <c r="A267">
        <v>1</v>
      </c>
      <c r="B267" t="s">
        <v>468</v>
      </c>
      <c r="C267">
        <v>4</v>
      </c>
      <c r="D267">
        <v>17</v>
      </c>
      <c r="E267" s="3">
        <v>5</v>
      </c>
    </row>
    <row r="268" spans="1:5" x14ac:dyDescent="0.2">
      <c r="A268">
        <v>2</v>
      </c>
      <c r="B268" t="s">
        <v>55</v>
      </c>
      <c r="C268">
        <v>1</v>
      </c>
      <c r="D268">
        <v>13</v>
      </c>
      <c r="E268" s="3">
        <v>5</v>
      </c>
    </row>
    <row r="269" spans="1:5" x14ac:dyDescent="0.2">
      <c r="A269">
        <v>3</v>
      </c>
      <c r="B269" t="s">
        <v>66</v>
      </c>
      <c r="C269">
        <v>1</v>
      </c>
      <c r="D269">
        <v>9</v>
      </c>
      <c r="E269" s="3">
        <v>5</v>
      </c>
    </row>
    <row r="270" spans="1:5" x14ac:dyDescent="0.2">
      <c r="A270">
        <v>4</v>
      </c>
      <c r="B270" t="s">
        <v>60</v>
      </c>
      <c r="C270">
        <v>0</v>
      </c>
      <c r="D270">
        <v>5</v>
      </c>
      <c r="E270" s="3">
        <v>5</v>
      </c>
    </row>
    <row r="271" spans="1:5" x14ac:dyDescent="0.2">
      <c r="A271">
        <v>5</v>
      </c>
      <c r="B271" t="s">
        <v>81</v>
      </c>
      <c r="C271">
        <v>0</v>
      </c>
      <c r="D271">
        <v>3</v>
      </c>
      <c r="E271" s="3">
        <v>5</v>
      </c>
    </row>
    <row r="272" spans="1:5" x14ac:dyDescent="0.2">
      <c r="A272">
        <v>6</v>
      </c>
      <c r="B272" t="s">
        <v>20</v>
      </c>
      <c r="C272">
        <v>0</v>
      </c>
      <c r="D272">
        <v>2</v>
      </c>
      <c r="E272" s="3">
        <v>5</v>
      </c>
    </row>
    <row r="273" spans="1:5" x14ac:dyDescent="0.2">
      <c r="A273">
        <v>7</v>
      </c>
      <c r="B273" t="s">
        <v>471</v>
      </c>
      <c r="C273">
        <v>0</v>
      </c>
      <c r="D273">
        <v>1</v>
      </c>
      <c r="E273" s="3">
        <v>5</v>
      </c>
    </row>
    <row r="274" spans="1:5" x14ac:dyDescent="0.2">
      <c r="A274">
        <v>1</v>
      </c>
      <c r="B274" t="s">
        <v>65</v>
      </c>
      <c r="C274">
        <v>3</v>
      </c>
      <c r="D274">
        <v>17</v>
      </c>
      <c r="E274" s="3">
        <v>5</v>
      </c>
    </row>
    <row r="275" spans="1:5" x14ac:dyDescent="0.2">
      <c r="A275">
        <v>2</v>
      </c>
      <c r="B275" t="s">
        <v>35</v>
      </c>
      <c r="C275">
        <v>3</v>
      </c>
      <c r="D275">
        <v>13</v>
      </c>
      <c r="E275" s="3">
        <v>5</v>
      </c>
    </row>
    <row r="276" spans="1:5" x14ac:dyDescent="0.2">
      <c r="A276">
        <v>3</v>
      </c>
      <c r="B276" t="s">
        <v>464</v>
      </c>
      <c r="C276">
        <v>0</v>
      </c>
      <c r="D276">
        <v>9</v>
      </c>
      <c r="E276" s="3">
        <v>5</v>
      </c>
    </row>
    <row r="277" spans="1:5" x14ac:dyDescent="0.2">
      <c r="A277">
        <v>4</v>
      </c>
      <c r="B277" t="s">
        <v>9</v>
      </c>
      <c r="C277">
        <v>0</v>
      </c>
      <c r="D277">
        <v>5</v>
      </c>
      <c r="E277" s="3">
        <v>5</v>
      </c>
    </row>
    <row r="278" spans="1:5" x14ac:dyDescent="0.2">
      <c r="A278">
        <v>5</v>
      </c>
      <c r="B278" t="s">
        <v>459</v>
      </c>
      <c r="C278">
        <v>0</v>
      </c>
      <c r="D278">
        <v>3</v>
      </c>
      <c r="E278" s="3">
        <v>5</v>
      </c>
    </row>
    <row r="279" spans="1:5" x14ac:dyDescent="0.2">
      <c r="A279">
        <v>6</v>
      </c>
      <c r="B279" t="s">
        <v>34</v>
      </c>
      <c r="C279">
        <v>0</v>
      </c>
      <c r="D279">
        <v>2</v>
      </c>
      <c r="E279" s="3">
        <v>5</v>
      </c>
    </row>
    <row r="280" spans="1:5" x14ac:dyDescent="0.2">
      <c r="A280">
        <v>7</v>
      </c>
      <c r="B280" t="s">
        <v>461</v>
      </c>
      <c r="C280">
        <v>0</v>
      </c>
      <c r="D280">
        <v>1</v>
      </c>
      <c r="E280" s="3">
        <v>5</v>
      </c>
    </row>
    <row r="281" spans="1:5" x14ac:dyDescent="0.2">
      <c r="A281">
        <v>1</v>
      </c>
      <c r="B281" t="s">
        <v>76</v>
      </c>
      <c r="C281">
        <v>4</v>
      </c>
      <c r="D281">
        <v>16</v>
      </c>
      <c r="E281" s="3">
        <v>5</v>
      </c>
    </row>
    <row r="282" spans="1:5" x14ac:dyDescent="0.2">
      <c r="A282">
        <v>2</v>
      </c>
      <c r="B282" t="s">
        <v>6</v>
      </c>
      <c r="C282">
        <v>0</v>
      </c>
      <c r="D282">
        <v>12</v>
      </c>
      <c r="E282" s="3">
        <v>5</v>
      </c>
    </row>
    <row r="283" spans="1:5" x14ac:dyDescent="0.2">
      <c r="A283">
        <v>3</v>
      </c>
      <c r="B283" t="s">
        <v>41</v>
      </c>
      <c r="C283">
        <v>0</v>
      </c>
      <c r="D283">
        <v>8</v>
      </c>
      <c r="E283" s="3">
        <v>5</v>
      </c>
    </row>
    <row r="284" spans="1:5" x14ac:dyDescent="0.2">
      <c r="A284">
        <v>4</v>
      </c>
      <c r="B284" t="s">
        <v>73</v>
      </c>
      <c r="C284">
        <v>1</v>
      </c>
      <c r="D284">
        <v>4</v>
      </c>
      <c r="E284" s="3">
        <v>5</v>
      </c>
    </row>
    <row r="285" spans="1:5" x14ac:dyDescent="0.2">
      <c r="A285">
        <v>5</v>
      </c>
      <c r="B285" t="s">
        <v>21</v>
      </c>
      <c r="C285">
        <v>0</v>
      </c>
      <c r="D285">
        <v>2</v>
      </c>
      <c r="E285" s="3">
        <v>5</v>
      </c>
    </row>
    <row r="286" spans="1:5" x14ac:dyDescent="0.2">
      <c r="A286">
        <v>6</v>
      </c>
      <c r="B286" t="s">
        <v>280</v>
      </c>
      <c r="C286">
        <v>0</v>
      </c>
      <c r="D286">
        <v>1</v>
      </c>
      <c r="E286" s="3">
        <v>5</v>
      </c>
    </row>
    <row r="287" spans="1:5" x14ac:dyDescent="0.2">
      <c r="A287">
        <v>1</v>
      </c>
      <c r="B287" t="s">
        <v>82</v>
      </c>
      <c r="C287">
        <v>3</v>
      </c>
      <c r="D287">
        <v>16</v>
      </c>
      <c r="E287" s="3">
        <v>5</v>
      </c>
    </row>
    <row r="288" spans="1:5" x14ac:dyDescent="0.2">
      <c r="A288">
        <v>2</v>
      </c>
      <c r="B288" t="s">
        <v>451</v>
      </c>
      <c r="C288">
        <v>2</v>
      </c>
      <c r="D288">
        <v>12</v>
      </c>
      <c r="E288" s="3">
        <v>5</v>
      </c>
    </row>
    <row r="289" spans="1:5" x14ac:dyDescent="0.2">
      <c r="A289">
        <v>3</v>
      </c>
      <c r="B289" t="s">
        <v>84</v>
      </c>
      <c r="C289">
        <v>0</v>
      </c>
      <c r="D289">
        <v>8</v>
      </c>
      <c r="E289" s="3">
        <v>5</v>
      </c>
    </row>
    <row r="290" spans="1:5" x14ac:dyDescent="0.2">
      <c r="A290">
        <v>4</v>
      </c>
      <c r="B290" t="s">
        <v>39</v>
      </c>
      <c r="C290">
        <v>0</v>
      </c>
      <c r="D290">
        <v>4</v>
      </c>
      <c r="E290" s="3">
        <v>5</v>
      </c>
    </row>
    <row r="291" spans="1:5" x14ac:dyDescent="0.2">
      <c r="A291">
        <v>5</v>
      </c>
      <c r="B291" t="s">
        <v>59</v>
      </c>
      <c r="C291">
        <v>0</v>
      </c>
      <c r="D291">
        <v>2</v>
      </c>
      <c r="E291" s="3">
        <v>5</v>
      </c>
    </row>
    <row r="292" spans="1:5" x14ac:dyDescent="0.2">
      <c r="A292">
        <v>6</v>
      </c>
      <c r="B292" t="s">
        <v>456</v>
      </c>
      <c r="C292">
        <v>0</v>
      </c>
      <c r="D292">
        <v>1</v>
      </c>
      <c r="E292" s="3">
        <v>5</v>
      </c>
    </row>
    <row r="293" spans="1:5" x14ac:dyDescent="0.2">
      <c r="A293">
        <v>1</v>
      </c>
      <c r="B293" t="s">
        <v>73</v>
      </c>
      <c r="C293">
        <v>3</v>
      </c>
      <c r="D293">
        <v>16</v>
      </c>
      <c r="E293" s="3">
        <v>6</v>
      </c>
    </row>
    <row r="294" spans="1:5" x14ac:dyDescent="0.2">
      <c r="A294">
        <v>2</v>
      </c>
      <c r="B294" t="s">
        <v>45</v>
      </c>
      <c r="C294">
        <v>1</v>
      </c>
      <c r="D294">
        <v>12</v>
      </c>
      <c r="E294" s="3">
        <v>6</v>
      </c>
    </row>
    <row r="295" spans="1:5" x14ac:dyDescent="0.2">
      <c r="A295">
        <v>3</v>
      </c>
      <c r="B295" t="s">
        <v>18</v>
      </c>
      <c r="C295">
        <v>0</v>
      </c>
      <c r="D295">
        <v>8</v>
      </c>
      <c r="E295" s="3">
        <v>6</v>
      </c>
    </row>
    <row r="296" spans="1:5" x14ac:dyDescent="0.2">
      <c r="A296">
        <v>4</v>
      </c>
      <c r="B296" t="s">
        <v>12</v>
      </c>
      <c r="C296">
        <v>2</v>
      </c>
      <c r="D296">
        <v>4</v>
      </c>
      <c r="E296" s="3">
        <v>6</v>
      </c>
    </row>
    <row r="297" spans="1:5" x14ac:dyDescent="0.2">
      <c r="A297">
        <v>5</v>
      </c>
      <c r="B297" t="s">
        <v>75</v>
      </c>
      <c r="C297">
        <v>0</v>
      </c>
      <c r="D297">
        <v>2</v>
      </c>
      <c r="E297" s="3">
        <v>6</v>
      </c>
    </row>
    <row r="298" spans="1:5" x14ac:dyDescent="0.2">
      <c r="A298">
        <v>6</v>
      </c>
      <c r="B298" t="s">
        <v>68</v>
      </c>
      <c r="C298">
        <v>0</v>
      </c>
      <c r="D298">
        <v>1</v>
      </c>
      <c r="E298" s="3">
        <v>6</v>
      </c>
    </row>
    <row r="299" spans="1:5" x14ac:dyDescent="0.2">
      <c r="A299">
        <v>1</v>
      </c>
      <c r="B299" t="s">
        <v>48</v>
      </c>
      <c r="C299">
        <v>4</v>
      </c>
      <c r="D299">
        <v>16</v>
      </c>
      <c r="E299" s="3">
        <v>6</v>
      </c>
    </row>
    <row r="300" spans="1:5" x14ac:dyDescent="0.2">
      <c r="A300">
        <v>2</v>
      </c>
      <c r="B300" t="s">
        <v>26</v>
      </c>
      <c r="C300">
        <v>0</v>
      </c>
      <c r="D300">
        <v>12</v>
      </c>
      <c r="E300" s="3">
        <v>6</v>
      </c>
    </row>
    <row r="301" spans="1:5" x14ac:dyDescent="0.2">
      <c r="A301">
        <v>3</v>
      </c>
      <c r="B301" t="s">
        <v>47</v>
      </c>
      <c r="C301">
        <v>1</v>
      </c>
      <c r="D301">
        <v>8</v>
      </c>
      <c r="E301" s="3">
        <v>6</v>
      </c>
    </row>
    <row r="302" spans="1:5" x14ac:dyDescent="0.2">
      <c r="A302">
        <v>4</v>
      </c>
      <c r="B302" t="s">
        <v>21</v>
      </c>
      <c r="C302">
        <v>0</v>
      </c>
      <c r="D302">
        <v>4</v>
      </c>
      <c r="E302" s="3">
        <v>6</v>
      </c>
    </row>
    <row r="303" spans="1:5" x14ac:dyDescent="0.2">
      <c r="A303">
        <v>5</v>
      </c>
      <c r="B303" t="s">
        <v>457</v>
      </c>
      <c r="C303">
        <v>0</v>
      </c>
      <c r="D303">
        <v>2</v>
      </c>
      <c r="E303" s="3">
        <v>6</v>
      </c>
    </row>
    <row r="304" spans="1:5" x14ac:dyDescent="0.2">
      <c r="A304">
        <v>6</v>
      </c>
      <c r="B304" t="s">
        <v>371</v>
      </c>
      <c r="C304">
        <v>0</v>
      </c>
      <c r="D304">
        <v>1</v>
      </c>
      <c r="E304" s="3">
        <v>6</v>
      </c>
    </row>
    <row r="305" spans="1:5" x14ac:dyDescent="0.2">
      <c r="A305">
        <v>1</v>
      </c>
      <c r="B305" t="s">
        <v>76</v>
      </c>
      <c r="C305">
        <v>3</v>
      </c>
      <c r="D305">
        <v>17</v>
      </c>
      <c r="E305" s="3">
        <v>6</v>
      </c>
    </row>
    <row r="306" spans="1:5" x14ac:dyDescent="0.2">
      <c r="A306">
        <v>2</v>
      </c>
      <c r="B306" t="s">
        <v>69</v>
      </c>
      <c r="C306">
        <v>0</v>
      </c>
      <c r="D306">
        <v>13</v>
      </c>
      <c r="E306" s="3">
        <v>6</v>
      </c>
    </row>
    <row r="307" spans="1:5" x14ac:dyDescent="0.2">
      <c r="A307">
        <v>3</v>
      </c>
      <c r="B307" t="s">
        <v>46</v>
      </c>
      <c r="C307">
        <v>2</v>
      </c>
      <c r="D307">
        <v>9</v>
      </c>
      <c r="E307" s="3">
        <v>6</v>
      </c>
    </row>
    <row r="308" spans="1:5" x14ac:dyDescent="0.2">
      <c r="A308">
        <v>4</v>
      </c>
      <c r="B308" t="s">
        <v>91</v>
      </c>
      <c r="C308">
        <v>1</v>
      </c>
      <c r="D308">
        <v>5</v>
      </c>
      <c r="E308" s="3">
        <v>6</v>
      </c>
    </row>
    <row r="309" spans="1:5" x14ac:dyDescent="0.2">
      <c r="A309">
        <v>5</v>
      </c>
      <c r="B309" t="s">
        <v>462</v>
      </c>
      <c r="C309">
        <v>0</v>
      </c>
      <c r="D309">
        <v>3</v>
      </c>
      <c r="E309" s="3">
        <v>6</v>
      </c>
    </row>
    <row r="310" spans="1:5" x14ac:dyDescent="0.2">
      <c r="A310">
        <v>6</v>
      </c>
      <c r="B310" t="s">
        <v>20</v>
      </c>
      <c r="C310">
        <v>0</v>
      </c>
      <c r="D310">
        <v>2</v>
      </c>
      <c r="E310" s="3">
        <v>6</v>
      </c>
    </row>
    <row r="311" spans="1:5" x14ac:dyDescent="0.2">
      <c r="A311">
        <v>7</v>
      </c>
      <c r="B311" t="s">
        <v>25</v>
      </c>
      <c r="C311">
        <v>0</v>
      </c>
      <c r="D311">
        <v>1</v>
      </c>
      <c r="E311" s="3">
        <v>6</v>
      </c>
    </row>
    <row r="312" spans="1:5" x14ac:dyDescent="0.2">
      <c r="A312">
        <v>1</v>
      </c>
      <c r="B312" t="s">
        <v>53</v>
      </c>
      <c r="C312">
        <v>3</v>
      </c>
      <c r="D312">
        <v>16</v>
      </c>
      <c r="E312" s="3">
        <v>6</v>
      </c>
    </row>
    <row r="313" spans="1:5" x14ac:dyDescent="0.2">
      <c r="A313">
        <v>2</v>
      </c>
      <c r="B313" t="s">
        <v>6</v>
      </c>
      <c r="C313">
        <v>0</v>
      </c>
      <c r="D313">
        <v>12</v>
      </c>
      <c r="E313" s="3">
        <v>6</v>
      </c>
    </row>
    <row r="314" spans="1:5" x14ac:dyDescent="0.2">
      <c r="A314">
        <v>3</v>
      </c>
      <c r="B314" t="s">
        <v>52</v>
      </c>
      <c r="C314">
        <v>2</v>
      </c>
      <c r="D314">
        <v>8</v>
      </c>
      <c r="E314" s="3">
        <v>6</v>
      </c>
    </row>
    <row r="315" spans="1:5" x14ac:dyDescent="0.2">
      <c r="A315">
        <v>4</v>
      </c>
      <c r="B315" t="s">
        <v>74</v>
      </c>
      <c r="C315">
        <v>0</v>
      </c>
      <c r="D315">
        <v>4</v>
      </c>
      <c r="E315" s="3">
        <v>6</v>
      </c>
    </row>
    <row r="316" spans="1:5" x14ac:dyDescent="0.2">
      <c r="A316">
        <v>5</v>
      </c>
      <c r="B316" t="s">
        <v>377</v>
      </c>
      <c r="C316">
        <v>0</v>
      </c>
      <c r="D316">
        <v>2</v>
      </c>
      <c r="E316" s="3">
        <v>6</v>
      </c>
    </row>
    <row r="317" spans="1:5" x14ac:dyDescent="0.2">
      <c r="A317">
        <v>6</v>
      </c>
      <c r="B317" t="s">
        <v>32</v>
      </c>
      <c r="C317">
        <v>0</v>
      </c>
      <c r="D317">
        <v>1</v>
      </c>
      <c r="E317" s="3">
        <v>6</v>
      </c>
    </row>
    <row r="318" spans="1:5" x14ac:dyDescent="0.2">
      <c r="A318">
        <v>1</v>
      </c>
      <c r="B318" t="s">
        <v>50</v>
      </c>
      <c r="C318">
        <v>1</v>
      </c>
      <c r="D318">
        <v>17</v>
      </c>
      <c r="E318" s="3">
        <v>6</v>
      </c>
    </row>
    <row r="319" spans="1:5" x14ac:dyDescent="0.2">
      <c r="A319">
        <v>2</v>
      </c>
      <c r="B319" t="s">
        <v>65</v>
      </c>
      <c r="C319">
        <v>3</v>
      </c>
      <c r="D319">
        <v>13</v>
      </c>
      <c r="E319" s="3">
        <v>6</v>
      </c>
    </row>
    <row r="320" spans="1:5" x14ac:dyDescent="0.2">
      <c r="A320">
        <v>3</v>
      </c>
      <c r="B320" t="s">
        <v>33</v>
      </c>
      <c r="C320">
        <v>1</v>
      </c>
      <c r="D320">
        <v>9</v>
      </c>
      <c r="E320" s="3">
        <v>6</v>
      </c>
    </row>
    <row r="321" spans="1:5" x14ac:dyDescent="0.2">
      <c r="A321">
        <v>4</v>
      </c>
      <c r="B321" t="s">
        <v>28</v>
      </c>
      <c r="C321">
        <v>1</v>
      </c>
      <c r="D321">
        <v>5</v>
      </c>
      <c r="E321" s="3">
        <v>6</v>
      </c>
    </row>
    <row r="322" spans="1:5" x14ac:dyDescent="0.2">
      <c r="A322">
        <v>5</v>
      </c>
      <c r="B322" t="s">
        <v>473</v>
      </c>
      <c r="C322">
        <v>0</v>
      </c>
      <c r="D322">
        <v>3</v>
      </c>
      <c r="E322" s="3">
        <v>6</v>
      </c>
    </row>
    <row r="323" spans="1:5" x14ac:dyDescent="0.2">
      <c r="A323">
        <v>6</v>
      </c>
      <c r="B323" t="s">
        <v>455</v>
      </c>
      <c r="C323">
        <v>0</v>
      </c>
      <c r="D323">
        <v>2</v>
      </c>
      <c r="E323" s="3">
        <v>6</v>
      </c>
    </row>
    <row r="324" spans="1:5" x14ac:dyDescent="0.2">
      <c r="A324">
        <v>7</v>
      </c>
      <c r="B324" t="s">
        <v>39</v>
      </c>
      <c r="C324">
        <v>0</v>
      </c>
      <c r="D324">
        <v>1</v>
      </c>
      <c r="E324" s="3">
        <v>6</v>
      </c>
    </row>
    <row r="325" spans="1:5" x14ac:dyDescent="0.2">
      <c r="A325">
        <v>1</v>
      </c>
      <c r="B325" t="s">
        <v>452</v>
      </c>
      <c r="C325">
        <v>2</v>
      </c>
      <c r="D325">
        <v>16</v>
      </c>
      <c r="E325" s="3">
        <v>6</v>
      </c>
    </row>
    <row r="326" spans="1:5" x14ac:dyDescent="0.2">
      <c r="A326">
        <v>2</v>
      </c>
      <c r="B326" t="s">
        <v>264</v>
      </c>
      <c r="C326">
        <v>2</v>
      </c>
      <c r="D326">
        <v>12</v>
      </c>
      <c r="E326" s="3">
        <v>6</v>
      </c>
    </row>
    <row r="327" spans="1:5" x14ac:dyDescent="0.2">
      <c r="A327">
        <v>3</v>
      </c>
      <c r="B327" t="s">
        <v>55</v>
      </c>
      <c r="C327">
        <v>1</v>
      </c>
      <c r="D327">
        <v>8</v>
      </c>
      <c r="E327" s="3">
        <v>6</v>
      </c>
    </row>
    <row r="328" spans="1:5" x14ac:dyDescent="0.2">
      <c r="A328">
        <v>4</v>
      </c>
      <c r="B328" t="s">
        <v>59</v>
      </c>
      <c r="C328">
        <v>0</v>
      </c>
      <c r="D328">
        <v>4</v>
      </c>
      <c r="E328" s="3">
        <v>6</v>
      </c>
    </row>
    <row r="329" spans="1:5" x14ac:dyDescent="0.2">
      <c r="A329">
        <v>5</v>
      </c>
      <c r="B329" t="s">
        <v>474</v>
      </c>
      <c r="C329">
        <v>0</v>
      </c>
      <c r="D329">
        <v>2</v>
      </c>
      <c r="E329" s="3">
        <v>6</v>
      </c>
    </row>
    <row r="330" spans="1:5" x14ac:dyDescent="0.2">
      <c r="A330">
        <v>6</v>
      </c>
      <c r="B330" t="s">
        <v>42</v>
      </c>
      <c r="C330">
        <v>0</v>
      </c>
      <c r="D330">
        <v>1</v>
      </c>
      <c r="E330" s="3">
        <v>6</v>
      </c>
    </row>
    <row r="331" spans="1:5" x14ac:dyDescent="0.2">
      <c r="A331">
        <v>1</v>
      </c>
      <c r="B331" t="s">
        <v>27</v>
      </c>
      <c r="C331">
        <v>4</v>
      </c>
      <c r="D331">
        <v>16</v>
      </c>
      <c r="E331" s="3">
        <v>6</v>
      </c>
    </row>
    <row r="332" spans="1:5" x14ac:dyDescent="0.2">
      <c r="A332">
        <v>2</v>
      </c>
      <c r="B332" t="s">
        <v>345</v>
      </c>
      <c r="C332">
        <v>1</v>
      </c>
      <c r="D332">
        <v>12</v>
      </c>
      <c r="E332" s="3">
        <v>6</v>
      </c>
    </row>
    <row r="333" spans="1:5" x14ac:dyDescent="0.2">
      <c r="A333">
        <v>3</v>
      </c>
      <c r="B333" t="s">
        <v>41</v>
      </c>
      <c r="C333">
        <v>0</v>
      </c>
      <c r="D333">
        <v>8</v>
      </c>
      <c r="E333" s="3">
        <v>6</v>
      </c>
    </row>
    <row r="334" spans="1:5" x14ac:dyDescent="0.2">
      <c r="A334">
        <v>4</v>
      </c>
      <c r="B334" t="s">
        <v>81</v>
      </c>
      <c r="C334">
        <v>0</v>
      </c>
      <c r="D334">
        <v>4</v>
      </c>
      <c r="E334" s="3">
        <v>6</v>
      </c>
    </row>
    <row r="335" spans="1:5" x14ac:dyDescent="0.2">
      <c r="A335">
        <v>5</v>
      </c>
      <c r="B335" t="s">
        <v>36</v>
      </c>
      <c r="C335">
        <v>0</v>
      </c>
      <c r="D335">
        <v>2</v>
      </c>
      <c r="E335" s="3">
        <v>6</v>
      </c>
    </row>
    <row r="336" spans="1:5" x14ac:dyDescent="0.2">
      <c r="A336">
        <v>6</v>
      </c>
      <c r="B336" t="s">
        <v>454</v>
      </c>
      <c r="C336">
        <v>0</v>
      </c>
      <c r="D336">
        <v>1</v>
      </c>
      <c r="E336" s="3">
        <v>6</v>
      </c>
    </row>
    <row r="337" spans="1:5" x14ac:dyDescent="0.2">
      <c r="A337">
        <v>1</v>
      </c>
      <c r="B337" t="s">
        <v>9</v>
      </c>
      <c r="C337">
        <v>4</v>
      </c>
      <c r="D337">
        <v>16</v>
      </c>
      <c r="E337" s="3">
        <v>6</v>
      </c>
    </row>
    <row r="338" spans="1:5" x14ac:dyDescent="0.2">
      <c r="A338">
        <v>2</v>
      </c>
      <c r="B338" t="s">
        <v>368</v>
      </c>
      <c r="C338">
        <v>0</v>
      </c>
      <c r="D338">
        <v>12</v>
      </c>
      <c r="E338" s="3">
        <v>6</v>
      </c>
    </row>
    <row r="339" spans="1:5" x14ac:dyDescent="0.2">
      <c r="A339">
        <v>3</v>
      </c>
      <c r="B339" t="s">
        <v>450</v>
      </c>
      <c r="C339">
        <v>0</v>
      </c>
      <c r="D339">
        <v>8</v>
      </c>
      <c r="E339" s="3">
        <v>6</v>
      </c>
    </row>
    <row r="340" spans="1:5" x14ac:dyDescent="0.2">
      <c r="A340">
        <v>4</v>
      </c>
      <c r="B340" t="s">
        <v>453</v>
      </c>
      <c r="C340">
        <v>1</v>
      </c>
      <c r="D340">
        <v>4</v>
      </c>
      <c r="E340" s="3">
        <v>6</v>
      </c>
    </row>
    <row r="341" spans="1:5" x14ac:dyDescent="0.2">
      <c r="A341">
        <v>5</v>
      </c>
      <c r="B341" t="s">
        <v>461</v>
      </c>
      <c r="C341">
        <v>0</v>
      </c>
      <c r="D341">
        <v>2</v>
      </c>
      <c r="E341" s="3">
        <v>6</v>
      </c>
    </row>
    <row r="342" spans="1:5" x14ac:dyDescent="0.2">
      <c r="A342">
        <v>6</v>
      </c>
      <c r="B342" t="s">
        <v>15</v>
      </c>
      <c r="C342">
        <v>0</v>
      </c>
      <c r="D342">
        <v>1</v>
      </c>
      <c r="E342" s="3">
        <v>6</v>
      </c>
    </row>
    <row r="343" spans="1:5" x14ac:dyDescent="0.2">
      <c r="A343">
        <v>1</v>
      </c>
      <c r="B343" t="s">
        <v>65</v>
      </c>
      <c r="C343">
        <v>3</v>
      </c>
      <c r="D343">
        <v>16</v>
      </c>
      <c r="E343" s="3">
        <v>7</v>
      </c>
    </row>
    <row r="344" spans="1:5" x14ac:dyDescent="0.2">
      <c r="A344">
        <v>2</v>
      </c>
      <c r="B344" t="s">
        <v>46</v>
      </c>
      <c r="C344">
        <v>1</v>
      </c>
      <c r="D344">
        <v>12</v>
      </c>
      <c r="E344" s="3">
        <v>7</v>
      </c>
    </row>
    <row r="345" spans="1:5" x14ac:dyDescent="0.2">
      <c r="A345">
        <v>3</v>
      </c>
      <c r="B345" t="s">
        <v>76</v>
      </c>
      <c r="C345">
        <v>0</v>
      </c>
      <c r="D345">
        <v>8</v>
      </c>
      <c r="E345" s="3">
        <v>7</v>
      </c>
    </row>
    <row r="346" spans="1:5" x14ac:dyDescent="0.2">
      <c r="A346">
        <v>4</v>
      </c>
      <c r="B346" t="s">
        <v>48</v>
      </c>
      <c r="C346">
        <v>1</v>
      </c>
      <c r="D346">
        <v>4</v>
      </c>
      <c r="E346" s="3">
        <v>7</v>
      </c>
    </row>
    <row r="347" spans="1:5" x14ac:dyDescent="0.2">
      <c r="A347">
        <v>5</v>
      </c>
      <c r="B347" t="s">
        <v>84</v>
      </c>
      <c r="C347">
        <v>0</v>
      </c>
      <c r="D347">
        <v>2</v>
      </c>
      <c r="E347" s="3">
        <v>7</v>
      </c>
    </row>
    <row r="348" spans="1:5" x14ac:dyDescent="0.2">
      <c r="A348">
        <v>6</v>
      </c>
      <c r="B348" t="s">
        <v>264</v>
      </c>
      <c r="C348">
        <v>0</v>
      </c>
      <c r="D348">
        <v>1</v>
      </c>
      <c r="E348" s="3">
        <v>7</v>
      </c>
    </row>
    <row r="349" spans="1:5" x14ac:dyDescent="0.2">
      <c r="A349">
        <v>1</v>
      </c>
      <c r="B349" t="s">
        <v>96</v>
      </c>
      <c r="C349">
        <v>3</v>
      </c>
      <c r="D349">
        <v>16</v>
      </c>
      <c r="E349" s="3">
        <v>7</v>
      </c>
    </row>
    <row r="350" spans="1:5" x14ac:dyDescent="0.2">
      <c r="A350">
        <v>2</v>
      </c>
      <c r="B350" t="s">
        <v>475</v>
      </c>
      <c r="C350">
        <v>2</v>
      </c>
      <c r="D350">
        <v>12</v>
      </c>
      <c r="E350" s="3">
        <v>7</v>
      </c>
    </row>
    <row r="351" spans="1:5" x14ac:dyDescent="0.2">
      <c r="A351">
        <v>3</v>
      </c>
      <c r="B351" t="s">
        <v>476</v>
      </c>
      <c r="C351">
        <v>0</v>
      </c>
      <c r="D351">
        <v>8</v>
      </c>
      <c r="E351" s="3">
        <v>7</v>
      </c>
    </row>
    <row r="352" spans="1:5" x14ac:dyDescent="0.2">
      <c r="A352">
        <v>4</v>
      </c>
      <c r="B352" t="s">
        <v>6</v>
      </c>
      <c r="C352">
        <v>0</v>
      </c>
      <c r="D352">
        <v>4</v>
      </c>
      <c r="E352" s="3">
        <v>7</v>
      </c>
    </row>
    <row r="353" spans="1:5" x14ac:dyDescent="0.2">
      <c r="A353">
        <v>5</v>
      </c>
      <c r="B353" t="s">
        <v>82</v>
      </c>
      <c r="C353">
        <v>0</v>
      </c>
      <c r="D353">
        <v>2</v>
      </c>
      <c r="E353" s="3">
        <v>7</v>
      </c>
    </row>
    <row r="354" spans="1:5" x14ac:dyDescent="0.2">
      <c r="A354">
        <v>6</v>
      </c>
      <c r="B354" t="s">
        <v>40</v>
      </c>
      <c r="C354">
        <v>0</v>
      </c>
      <c r="D354">
        <v>1</v>
      </c>
      <c r="E354" s="3">
        <v>7</v>
      </c>
    </row>
    <row r="355" spans="1:5" x14ac:dyDescent="0.2">
      <c r="A355">
        <v>1</v>
      </c>
      <c r="B355" t="s">
        <v>9</v>
      </c>
      <c r="C355">
        <v>2</v>
      </c>
      <c r="D355">
        <v>17</v>
      </c>
      <c r="E355" s="3">
        <v>7</v>
      </c>
    </row>
    <row r="356" spans="1:5" x14ac:dyDescent="0.2">
      <c r="A356">
        <v>2</v>
      </c>
      <c r="B356" t="s">
        <v>28</v>
      </c>
      <c r="C356">
        <v>3</v>
      </c>
      <c r="D356">
        <v>13</v>
      </c>
      <c r="E356" s="3">
        <v>7</v>
      </c>
    </row>
    <row r="357" spans="1:5" x14ac:dyDescent="0.2">
      <c r="A357">
        <v>3</v>
      </c>
      <c r="B357" t="s">
        <v>377</v>
      </c>
      <c r="C357">
        <v>0</v>
      </c>
      <c r="D357">
        <v>9</v>
      </c>
      <c r="E357" s="3">
        <v>7</v>
      </c>
    </row>
    <row r="358" spans="1:5" x14ac:dyDescent="0.2">
      <c r="A358">
        <v>4</v>
      </c>
      <c r="B358" t="s">
        <v>368</v>
      </c>
      <c r="C358">
        <v>1</v>
      </c>
      <c r="D358">
        <v>5</v>
      </c>
      <c r="E358" s="3">
        <v>7</v>
      </c>
    </row>
    <row r="359" spans="1:5" x14ac:dyDescent="0.2">
      <c r="A359">
        <v>5</v>
      </c>
      <c r="B359" t="s">
        <v>91</v>
      </c>
      <c r="C359">
        <v>0</v>
      </c>
      <c r="D359">
        <v>3</v>
      </c>
      <c r="E359" s="3">
        <v>7</v>
      </c>
    </row>
    <row r="360" spans="1:5" x14ac:dyDescent="0.2">
      <c r="A360">
        <v>6</v>
      </c>
      <c r="B360" t="s">
        <v>39</v>
      </c>
      <c r="C360">
        <v>0</v>
      </c>
      <c r="D360">
        <v>2</v>
      </c>
      <c r="E360" s="3">
        <v>7</v>
      </c>
    </row>
    <row r="361" spans="1:5" x14ac:dyDescent="0.2">
      <c r="A361">
        <v>7</v>
      </c>
      <c r="B361" t="s">
        <v>345</v>
      </c>
      <c r="C361">
        <v>0</v>
      </c>
      <c r="D361">
        <v>1</v>
      </c>
      <c r="E361" s="3">
        <v>7</v>
      </c>
    </row>
    <row r="362" spans="1:5" x14ac:dyDescent="0.2">
      <c r="A362">
        <v>1</v>
      </c>
      <c r="B362" t="s">
        <v>68</v>
      </c>
      <c r="C362">
        <v>1</v>
      </c>
      <c r="D362">
        <v>16</v>
      </c>
      <c r="E362" s="3">
        <v>7</v>
      </c>
    </row>
    <row r="363" spans="1:5" x14ac:dyDescent="0.2">
      <c r="A363">
        <v>2</v>
      </c>
      <c r="B363" t="s">
        <v>50</v>
      </c>
      <c r="C363">
        <v>4</v>
      </c>
      <c r="D363">
        <v>12</v>
      </c>
      <c r="E363" s="3">
        <v>7</v>
      </c>
    </row>
    <row r="364" spans="1:5" x14ac:dyDescent="0.2">
      <c r="A364">
        <v>3</v>
      </c>
      <c r="B364" t="s">
        <v>55</v>
      </c>
      <c r="C364">
        <v>0</v>
      </c>
      <c r="D364">
        <v>8</v>
      </c>
      <c r="E364" s="3">
        <v>7</v>
      </c>
    </row>
    <row r="365" spans="1:5" x14ac:dyDescent="0.2">
      <c r="A365">
        <v>4</v>
      </c>
      <c r="B365" t="s">
        <v>74</v>
      </c>
      <c r="C365">
        <v>0</v>
      </c>
      <c r="D365">
        <v>4</v>
      </c>
      <c r="E365" s="3">
        <v>7</v>
      </c>
    </row>
    <row r="366" spans="1:5" x14ac:dyDescent="0.2">
      <c r="A366">
        <v>5</v>
      </c>
      <c r="B366" t="s">
        <v>53</v>
      </c>
      <c r="C366">
        <v>0</v>
      </c>
      <c r="D366">
        <v>2</v>
      </c>
      <c r="E366" s="3">
        <v>7</v>
      </c>
    </row>
    <row r="367" spans="1:5" x14ac:dyDescent="0.2">
      <c r="A367">
        <v>6</v>
      </c>
      <c r="B367" t="s">
        <v>477</v>
      </c>
      <c r="C367">
        <v>0</v>
      </c>
      <c r="D367">
        <v>1</v>
      </c>
      <c r="E367" s="3">
        <v>7</v>
      </c>
    </row>
    <row r="368" spans="1:5" x14ac:dyDescent="0.2">
      <c r="A368">
        <v>1</v>
      </c>
      <c r="B368" t="s">
        <v>478</v>
      </c>
      <c r="C368">
        <v>2</v>
      </c>
      <c r="D368">
        <v>17</v>
      </c>
      <c r="E368" s="3">
        <v>7</v>
      </c>
    </row>
    <row r="369" spans="1:5" x14ac:dyDescent="0.2">
      <c r="A369">
        <v>2</v>
      </c>
      <c r="B369" t="s">
        <v>60</v>
      </c>
      <c r="C369">
        <v>1</v>
      </c>
      <c r="D369">
        <v>13</v>
      </c>
      <c r="E369" s="3">
        <v>7</v>
      </c>
    </row>
    <row r="370" spans="1:5" x14ac:dyDescent="0.2">
      <c r="A370">
        <v>3</v>
      </c>
      <c r="B370" t="s">
        <v>69</v>
      </c>
      <c r="C370">
        <v>1</v>
      </c>
      <c r="D370">
        <v>9</v>
      </c>
      <c r="E370" s="3">
        <v>7</v>
      </c>
    </row>
    <row r="371" spans="1:5" x14ac:dyDescent="0.2">
      <c r="A371">
        <v>4</v>
      </c>
      <c r="B371" t="s">
        <v>461</v>
      </c>
      <c r="C371">
        <v>1</v>
      </c>
      <c r="D371">
        <v>5</v>
      </c>
      <c r="E371" s="3">
        <v>7</v>
      </c>
    </row>
    <row r="372" spans="1:5" x14ac:dyDescent="0.2">
      <c r="A372">
        <v>5</v>
      </c>
      <c r="B372" t="s">
        <v>473</v>
      </c>
      <c r="C372">
        <v>0</v>
      </c>
      <c r="D372">
        <v>3</v>
      </c>
      <c r="E372" s="3">
        <v>7</v>
      </c>
    </row>
    <row r="373" spans="1:5" x14ac:dyDescent="0.2">
      <c r="A373">
        <v>6</v>
      </c>
      <c r="B373" t="s">
        <v>468</v>
      </c>
      <c r="C373">
        <v>1</v>
      </c>
      <c r="D373">
        <v>2</v>
      </c>
      <c r="E373" s="3">
        <v>7</v>
      </c>
    </row>
    <row r="374" spans="1:5" x14ac:dyDescent="0.2">
      <c r="A374">
        <v>7</v>
      </c>
      <c r="B374" t="s">
        <v>25</v>
      </c>
      <c r="C374">
        <v>0</v>
      </c>
      <c r="D374">
        <v>1</v>
      </c>
      <c r="E374" s="3">
        <v>7</v>
      </c>
    </row>
    <row r="375" spans="1:5" x14ac:dyDescent="0.2">
      <c r="A375">
        <v>1</v>
      </c>
      <c r="B375" t="s">
        <v>450</v>
      </c>
      <c r="C375">
        <v>3</v>
      </c>
      <c r="D375">
        <v>16</v>
      </c>
      <c r="E375" s="3">
        <v>7</v>
      </c>
    </row>
    <row r="376" spans="1:5" x14ac:dyDescent="0.2">
      <c r="A376">
        <v>2</v>
      </c>
      <c r="B376" t="s">
        <v>81</v>
      </c>
      <c r="C376">
        <v>2</v>
      </c>
      <c r="D376">
        <v>12</v>
      </c>
      <c r="E376" s="3">
        <v>7</v>
      </c>
    </row>
    <row r="377" spans="1:5" x14ac:dyDescent="0.2">
      <c r="A377">
        <v>3</v>
      </c>
      <c r="B377" t="s">
        <v>459</v>
      </c>
      <c r="C377">
        <v>0</v>
      </c>
      <c r="D377">
        <v>8</v>
      </c>
      <c r="E377" s="3">
        <v>7</v>
      </c>
    </row>
    <row r="378" spans="1:5" x14ac:dyDescent="0.2">
      <c r="A378">
        <v>4</v>
      </c>
      <c r="B378" t="s">
        <v>42</v>
      </c>
      <c r="C378">
        <v>0</v>
      </c>
      <c r="D378">
        <v>4</v>
      </c>
      <c r="E378" s="3">
        <v>7</v>
      </c>
    </row>
    <row r="379" spans="1:5" x14ac:dyDescent="0.2">
      <c r="A379">
        <v>5</v>
      </c>
      <c r="B379" t="s">
        <v>35</v>
      </c>
      <c r="C379">
        <v>0</v>
      </c>
      <c r="D379">
        <v>2</v>
      </c>
      <c r="E379" s="3">
        <v>7</v>
      </c>
    </row>
    <row r="380" spans="1:5" x14ac:dyDescent="0.2">
      <c r="A380">
        <v>6</v>
      </c>
      <c r="B380" t="s">
        <v>371</v>
      </c>
      <c r="C380">
        <v>0</v>
      </c>
      <c r="D380">
        <v>1</v>
      </c>
      <c r="E380" s="3">
        <v>7</v>
      </c>
    </row>
    <row r="381" spans="1:5" x14ac:dyDescent="0.2">
      <c r="A381">
        <v>1</v>
      </c>
      <c r="B381" t="s">
        <v>45</v>
      </c>
      <c r="C381">
        <v>2</v>
      </c>
      <c r="D381">
        <v>17</v>
      </c>
      <c r="E381" s="3">
        <v>7</v>
      </c>
    </row>
    <row r="382" spans="1:5" x14ac:dyDescent="0.2">
      <c r="A382">
        <v>2</v>
      </c>
      <c r="B382" t="s">
        <v>29</v>
      </c>
      <c r="C382">
        <v>3</v>
      </c>
      <c r="D382">
        <v>13</v>
      </c>
      <c r="E382" s="3">
        <v>7</v>
      </c>
    </row>
    <row r="383" spans="1:5" x14ac:dyDescent="0.2">
      <c r="A383">
        <v>3</v>
      </c>
      <c r="B383" t="s">
        <v>474</v>
      </c>
      <c r="C383">
        <v>1</v>
      </c>
      <c r="D383">
        <v>9</v>
      </c>
      <c r="E383" s="3">
        <v>7</v>
      </c>
    </row>
    <row r="384" spans="1:5" x14ac:dyDescent="0.2">
      <c r="A384">
        <v>4</v>
      </c>
      <c r="B384" t="s">
        <v>41</v>
      </c>
      <c r="C384">
        <v>0</v>
      </c>
      <c r="D384">
        <v>5</v>
      </c>
      <c r="E384" s="3">
        <v>7</v>
      </c>
    </row>
    <row r="385" spans="1:5" x14ac:dyDescent="0.2">
      <c r="A385">
        <v>5</v>
      </c>
      <c r="B385" t="s">
        <v>21</v>
      </c>
      <c r="C385">
        <v>0</v>
      </c>
      <c r="D385">
        <v>3</v>
      </c>
      <c r="E385" s="3">
        <v>7</v>
      </c>
    </row>
    <row r="386" spans="1:5" x14ac:dyDescent="0.2">
      <c r="A386">
        <v>6</v>
      </c>
      <c r="B386" t="s">
        <v>452</v>
      </c>
      <c r="C386">
        <v>0</v>
      </c>
      <c r="D386">
        <v>2</v>
      </c>
      <c r="E386" s="3">
        <v>7</v>
      </c>
    </row>
    <row r="387" spans="1:5" x14ac:dyDescent="0.2">
      <c r="A387">
        <v>7</v>
      </c>
      <c r="B387" t="s">
        <v>463</v>
      </c>
      <c r="C387">
        <v>0</v>
      </c>
      <c r="D387">
        <v>1</v>
      </c>
      <c r="E387" s="3">
        <v>7</v>
      </c>
    </row>
    <row r="388" spans="1:5" x14ac:dyDescent="0.2">
      <c r="A388">
        <v>1</v>
      </c>
      <c r="B388" t="s">
        <v>12</v>
      </c>
      <c r="C388">
        <v>4</v>
      </c>
      <c r="D388">
        <v>16</v>
      </c>
      <c r="E388" s="3">
        <v>7</v>
      </c>
    </row>
    <row r="389" spans="1:5" x14ac:dyDescent="0.2">
      <c r="A389">
        <v>2</v>
      </c>
      <c r="B389" t="s">
        <v>479</v>
      </c>
      <c r="C389">
        <v>0</v>
      </c>
      <c r="D389">
        <v>12</v>
      </c>
      <c r="E389" s="3">
        <v>7</v>
      </c>
    </row>
    <row r="390" spans="1:5" x14ac:dyDescent="0.2">
      <c r="A390">
        <v>3</v>
      </c>
      <c r="B390" t="s">
        <v>73</v>
      </c>
      <c r="C390">
        <v>1</v>
      </c>
      <c r="D390">
        <v>8</v>
      </c>
      <c r="E390" s="3">
        <v>7</v>
      </c>
    </row>
    <row r="391" spans="1:5" x14ac:dyDescent="0.2">
      <c r="A391">
        <v>4</v>
      </c>
      <c r="B391" t="s">
        <v>462</v>
      </c>
      <c r="C391">
        <v>0</v>
      </c>
      <c r="D391">
        <v>4</v>
      </c>
      <c r="E391" s="3">
        <v>7</v>
      </c>
    </row>
    <row r="392" spans="1:5" x14ac:dyDescent="0.2">
      <c r="A392">
        <v>5</v>
      </c>
      <c r="B392" t="s">
        <v>66</v>
      </c>
      <c r="C392">
        <v>0</v>
      </c>
      <c r="D392">
        <v>2</v>
      </c>
      <c r="E392" s="3">
        <v>7</v>
      </c>
    </row>
    <row r="393" spans="1:5" x14ac:dyDescent="0.2">
      <c r="A393">
        <v>6</v>
      </c>
      <c r="B393" t="s">
        <v>18</v>
      </c>
      <c r="C393">
        <v>0</v>
      </c>
      <c r="D393">
        <v>1</v>
      </c>
      <c r="E393" s="3">
        <v>7</v>
      </c>
    </row>
    <row r="394" spans="1:5" x14ac:dyDescent="0.2">
      <c r="A394">
        <v>1</v>
      </c>
      <c r="B394" t="s">
        <v>451</v>
      </c>
      <c r="C394">
        <v>5</v>
      </c>
      <c r="D394">
        <v>16</v>
      </c>
      <c r="E394" s="3">
        <v>7</v>
      </c>
    </row>
    <row r="395" spans="1:5" x14ac:dyDescent="0.2">
      <c r="A395">
        <v>2</v>
      </c>
      <c r="B395" t="s">
        <v>52</v>
      </c>
      <c r="C395">
        <v>0</v>
      </c>
      <c r="D395">
        <v>12</v>
      </c>
      <c r="E395" s="3">
        <v>7</v>
      </c>
    </row>
    <row r="396" spans="1:5" x14ac:dyDescent="0.2">
      <c r="A396">
        <v>3</v>
      </c>
      <c r="B396" t="s">
        <v>26</v>
      </c>
      <c r="C396">
        <v>0</v>
      </c>
      <c r="D396">
        <v>8</v>
      </c>
      <c r="E396" s="3">
        <v>7</v>
      </c>
    </row>
    <row r="397" spans="1:5" x14ac:dyDescent="0.2">
      <c r="A397">
        <v>4</v>
      </c>
      <c r="B397" t="s">
        <v>75</v>
      </c>
      <c r="C397">
        <v>0</v>
      </c>
      <c r="D397">
        <v>4</v>
      </c>
      <c r="E397" s="3">
        <v>7</v>
      </c>
    </row>
    <row r="398" spans="1:5" x14ac:dyDescent="0.2">
      <c r="A398">
        <v>5</v>
      </c>
      <c r="B398" t="s">
        <v>59</v>
      </c>
      <c r="C398">
        <v>0</v>
      </c>
      <c r="D398">
        <v>2</v>
      </c>
      <c r="E398" s="3">
        <v>7</v>
      </c>
    </row>
    <row r="399" spans="1:5" x14ac:dyDescent="0.2">
      <c r="A399">
        <v>6</v>
      </c>
      <c r="B399" t="s">
        <v>87</v>
      </c>
      <c r="C399">
        <v>0</v>
      </c>
      <c r="D399">
        <v>1</v>
      </c>
      <c r="E399" s="3">
        <v>7</v>
      </c>
    </row>
    <row r="400" spans="1:5" x14ac:dyDescent="0.2">
      <c r="A400">
        <v>1</v>
      </c>
      <c r="B400" t="s">
        <v>76</v>
      </c>
      <c r="C400">
        <v>3</v>
      </c>
      <c r="D400">
        <v>17</v>
      </c>
      <c r="E400" s="3">
        <v>8</v>
      </c>
    </row>
    <row r="401" spans="1:5" x14ac:dyDescent="0.2">
      <c r="A401">
        <v>2</v>
      </c>
      <c r="B401" t="s">
        <v>26</v>
      </c>
      <c r="C401">
        <v>2</v>
      </c>
      <c r="D401">
        <v>13</v>
      </c>
      <c r="E401" s="3">
        <v>8</v>
      </c>
    </row>
    <row r="402" spans="1:5" x14ac:dyDescent="0.2">
      <c r="A402">
        <v>3</v>
      </c>
      <c r="B402" t="s">
        <v>67</v>
      </c>
      <c r="C402">
        <v>1</v>
      </c>
      <c r="D402">
        <v>9</v>
      </c>
      <c r="E402" s="3">
        <v>8</v>
      </c>
    </row>
    <row r="403" spans="1:5" x14ac:dyDescent="0.2">
      <c r="A403">
        <v>4</v>
      </c>
      <c r="B403" t="s">
        <v>60</v>
      </c>
      <c r="C403">
        <v>0</v>
      </c>
      <c r="D403">
        <v>5</v>
      </c>
      <c r="E403" s="3">
        <v>8</v>
      </c>
    </row>
    <row r="404" spans="1:5" x14ac:dyDescent="0.2">
      <c r="A404">
        <v>5</v>
      </c>
      <c r="B404" t="s">
        <v>42</v>
      </c>
      <c r="C404">
        <v>0</v>
      </c>
      <c r="D404">
        <v>3</v>
      </c>
      <c r="E404" s="3">
        <v>8</v>
      </c>
    </row>
    <row r="405" spans="1:5" x14ac:dyDescent="0.2">
      <c r="A405">
        <v>6</v>
      </c>
      <c r="B405" t="s">
        <v>9</v>
      </c>
      <c r="C405">
        <v>0</v>
      </c>
      <c r="D405">
        <v>2</v>
      </c>
      <c r="E405" s="3">
        <v>8</v>
      </c>
    </row>
    <row r="406" spans="1:5" x14ac:dyDescent="0.2">
      <c r="A406">
        <v>7</v>
      </c>
      <c r="B406" t="s">
        <v>65</v>
      </c>
      <c r="C406">
        <v>0</v>
      </c>
      <c r="D406">
        <v>1</v>
      </c>
      <c r="E406" s="3">
        <v>8</v>
      </c>
    </row>
    <row r="407" spans="1:5" x14ac:dyDescent="0.2">
      <c r="A407">
        <v>1</v>
      </c>
      <c r="B407" t="s">
        <v>12</v>
      </c>
      <c r="C407">
        <v>5</v>
      </c>
      <c r="D407">
        <v>17</v>
      </c>
      <c r="E407" s="3">
        <v>8</v>
      </c>
    </row>
    <row r="408" spans="1:5" x14ac:dyDescent="0.2">
      <c r="A408">
        <v>2</v>
      </c>
      <c r="B408" t="s">
        <v>69</v>
      </c>
      <c r="C408">
        <v>1</v>
      </c>
      <c r="D408">
        <v>13</v>
      </c>
      <c r="E408" s="3">
        <v>8</v>
      </c>
    </row>
    <row r="409" spans="1:5" x14ac:dyDescent="0.2">
      <c r="A409">
        <v>3</v>
      </c>
      <c r="B409" t="s">
        <v>41</v>
      </c>
      <c r="C409">
        <v>0</v>
      </c>
      <c r="D409">
        <v>9</v>
      </c>
      <c r="E409" s="3">
        <v>8</v>
      </c>
    </row>
    <row r="410" spans="1:5" x14ac:dyDescent="0.2">
      <c r="A410">
        <v>4</v>
      </c>
      <c r="B410" t="s">
        <v>377</v>
      </c>
      <c r="C410">
        <v>0</v>
      </c>
      <c r="D410">
        <v>5</v>
      </c>
      <c r="E410" s="3">
        <v>8</v>
      </c>
    </row>
    <row r="411" spans="1:5" x14ac:dyDescent="0.2">
      <c r="A411">
        <v>5</v>
      </c>
      <c r="B411" t="s">
        <v>48</v>
      </c>
      <c r="C411">
        <v>0</v>
      </c>
      <c r="D411">
        <v>3</v>
      </c>
      <c r="E411" s="3">
        <v>8</v>
      </c>
    </row>
    <row r="412" spans="1:5" x14ac:dyDescent="0.2">
      <c r="A412">
        <v>6</v>
      </c>
      <c r="B412" t="s">
        <v>480</v>
      </c>
      <c r="C412">
        <v>0</v>
      </c>
      <c r="D412">
        <v>2</v>
      </c>
      <c r="E412" s="3">
        <v>8</v>
      </c>
    </row>
    <row r="413" spans="1:5" x14ac:dyDescent="0.2">
      <c r="A413">
        <v>7</v>
      </c>
      <c r="B413" t="s">
        <v>481</v>
      </c>
      <c r="C413">
        <v>0</v>
      </c>
      <c r="D413">
        <v>1</v>
      </c>
      <c r="E413" s="3">
        <v>8</v>
      </c>
    </row>
    <row r="414" spans="1:5" x14ac:dyDescent="0.2">
      <c r="A414">
        <v>1</v>
      </c>
      <c r="B414" t="s">
        <v>74</v>
      </c>
      <c r="C414">
        <v>2</v>
      </c>
      <c r="D414">
        <v>16</v>
      </c>
      <c r="E414" s="3">
        <v>8</v>
      </c>
    </row>
    <row r="415" spans="1:5" x14ac:dyDescent="0.2">
      <c r="A415">
        <v>2</v>
      </c>
      <c r="B415" t="s">
        <v>46</v>
      </c>
      <c r="C415">
        <v>1</v>
      </c>
      <c r="D415">
        <v>12</v>
      </c>
      <c r="E415" s="3">
        <v>8</v>
      </c>
    </row>
    <row r="416" spans="1:5" x14ac:dyDescent="0.2">
      <c r="A416">
        <v>3</v>
      </c>
      <c r="B416" t="s">
        <v>52</v>
      </c>
      <c r="C416">
        <v>1</v>
      </c>
      <c r="D416">
        <v>8</v>
      </c>
      <c r="E416" s="3">
        <v>8</v>
      </c>
    </row>
    <row r="417" spans="1:5" x14ac:dyDescent="0.2">
      <c r="A417">
        <v>4</v>
      </c>
      <c r="B417" t="s">
        <v>453</v>
      </c>
      <c r="C417">
        <v>1</v>
      </c>
      <c r="D417">
        <v>4</v>
      </c>
      <c r="E417" s="3">
        <v>8</v>
      </c>
    </row>
    <row r="418" spans="1:5" x14ac:dyDescent="0.2">
      <c r="A418">
        <v>5</v>
      </c>
      <c r="B418" t="s">
        <v>19</v>
      </c>
      <c r="C418">
        <v>0</v>
      </c>
      <c r="D418">
        <v>2</v>
      </c>
      <c r="E418" s="3">
        <v>8</v>
      </c>
    </row>
    <row r="419" spans="1:5" x14ac:dyDescent="0.2">
      <c r="A419">
        <v>6</v>
      </c>
      <c r="B419" t="s">
        <v>479</v>
      </c>
      <c r="C419">
        <v>0</v>
      </c>
      <c r="D419">
        <v>1</v>
      </c>
      <c r="E419" s="3">
        <v>8</v>
      </c>
    </row>
    <row r="420" spans="1:5" x14ac:dyDescent="0.2">
      <c r="A420">
        <v>1</v>
      </c>
      <c r="B420" t="s">
        <v>75</v>
      </c>
      <c r="C420">
        <v>3</v>
      </c>
      <c r="D420">
        <v>16</v>
      </c>
      <c r="E420" s="3">
        <v>8</v>
      </c>
    </row>
    <row r="421" spans="1:5" x14ac:dyDescent="0.2">
      <c r="A421">
        <v>2</v>
      </c>
      <c r="B421" t="s">
        <v>345</v>
      </c>
      <c r="C421">
        <v>2</v>
      </c>
      <c r="D421">
        <v>12</v>
      </c>
      <c r="E421" s="3">
        <v>8</v>
      </c>
    </row>
    <row r="422" spans="1:5" x14ac:dyDescent="0.2">
      <c r="A422">
        <v>3</v>
      </c>
      <c r="B422" t="s">
        <v>450</v>
      </c>
      <c r="C422">
        <v>0</v>
      </c>
      <c r="D422">
        <v>8</v>
      </c>
      <c r="E422" s="3">
        <v>8</v>
      </c>
    </row>
    <row r="423" spans="1:5" x14ac:dyDescent="0.2">
      <c r="A423">
        <v>4</v>
      </c>
      <c r="B423" t="s">
        <v>476</v>
      </c>
      <c r="C423">
        <v>0</v>
      </c>
      <c r="D423">
        <v>4</v>
      </c>
      <c r="E423" s="3">
        <v>8</v>
      </c>
    </row>
    <row r="424" spans="1:5" x14ac:dyDescent="0.2">
      <c r="A424">
        <v>5</v>
      </c>
      <c r="B424" t="s">
        <v>73</v>
      </c>
      <c r="C424">
        <v>0</v>
      </c>
      <c r="D424">
        <v>2</v>
      </c>
      <c r="E424" s="3">
        <v>8</v>
      </c>
    </row>
    <row r="425" spans="1:5" x14ac:dyDescent="0.2">
      <c r="A425">
        <v>6</v>
      </c>
      <c r="B425" t="s">
        <v>25</v>
      </c>
      <c r="C425">
        <v>0</v>
      </c>
      <c r="D425">
        <v>1</v>
      </c>
      <c r="E425" s="3">
        <v>8</v>
      </c>
    </row>
    <row r="426" spans="1:5" x14ac:dyDescent="0.2">
      <c r="A426">
        <v>1</v>
      </c>
      <c r="B426" t="s">
        <v>59</v>
      </c>
      <c r="C426">
        <v>3</v>
      </c>
      <c r="D426">
        <v>17</v>
      </c>
      <c r="E426" s="3">
        <v>8</v>
      </c>
    </row>
    <row r="427" spans="1:5" x14ac:dyDescent="0.2">
      <c r="A427">
        <v>2</v>
      </c>
      <c r="B427" t="s">
        <v>66</v>
      </c>
      <c r="C427">
        <v>1</v>
      </c>
      <c r="D427">
        <v>13</v>
      </c>
      <c r="E427" s="3">
        <v>8</v>
      </c>
    </row>
    <row r="428" spans="1:5" x14ac:dyDescent="0.2">
      <c r="A428">
        <v>3</v>
      </c>
      <c r="B428" t="s">
        <v>468</v>
      </c>
      <c r="C428">
        <v>2</v>
      </c>
      <c r="D428">
        <v>9</v>
      </c>
      <c r="E428" s="3">
        <v>8</v>
      </c>
    </row>
    <row r="429" spans="1:5" x14ac:dyDescent="0.2">
      <c r="A429">
        <v>4</v>
      </c>
      <c r="B429" t="s">
        <v>32</v>
      </c>
      <c r="C429">
        <v>0</v>
      </c>
      <c r="D429">
        <v>5</v>
      </c>
      <c r="E429" s="3">
        <v>8</v>
      </c>
    </row>
    <row r="430" spans="1:5" x14ac:dyDescent="0.2">
      <c r="A430">
        <v>5</v>
      </c>
      <c r="B430" t="s">
        <v>280</v>
      </c>
      <c r="C430">
        <v>0</v>
      </c>
      <c r="D430">
        <v>3</v>
      </c>
      <c r="E430" s="3">
        <v>8</v>
      </c>
    </row>
    <row r="431" spans="1:5" x14ac:dyDescent="0.2">
      <c r="A431">
        <v>6</v>
      </c>
      <c r="B431" t="s">
        <v>21</v>
      </c>
      <c r="C431">
        <v>0</v>
      </c>
      <c r="D431">
        <v>2</v>
      </c>
      <c r="E431" s="3">
        <v>8</v>
      </c>
    </row>
    <row r="432" spans="1:5" x14ac:dyDescent="0.2">
      <c r="A432">
        <v>7</v>
      </c>
      <c r="B432" t="s">
        <v>463</v>
      </c>
      <c r="C432">
        <v>0</v>
      </c>
      <c r="D432">
        <v>1</v>
      </c>
      <c r="E432" s="3">
        <v>8</v>
      </c>
    </row>
    <row r="433" spans="1:5" x14ac:dyDescent="0.2">
      <c r="A433">
        <v>1</v>
      </c>
      <c r="B433" t="s">
        <v>451</v>
      </c>
      <c r="C433">
        <v>3</v>
      </c>
      <c r="D433">
        <v>16</v>
      </c>
      <c r="E433" s="3">
        <v>8</v>
      </c>
    </row>
    <row r="434" spans="1:5" x14ac:dyDescent="0.2">
      <c r="A434">
        <v>2</v>
      </c>
      <c r="B434" t="s">
        <v>28</v>
      </c>
      <c r="C434">
        <v>1</v>
      </c>
      <c r="D434">
        <v>12</v>
      </c>
      <c r="E434" s="3">
        <v>8</v>
      </c>
    </row>
    <row r="435" spans="1:5" x14ac:dyDescent="0.2">
      <c r="A435">
        <v>3</v>
      </c>
      <c r="B435" t="s">
        <v>35</v>
      </c>
      <c r="C435">
        <v>1</v>
      </c>
      <c r="D435">
        <v>8</v>
      </c>
      <c r="E435" s="3">
        <v>8</v>
      </c>
    </row>
    <row r="436" spans="1:5" x14ac:dyDescent="0.2">
      <c r="A436">
        <v>4</v>
      </c>
      <c r="B436" t="s">
        <v>264</v>
      </c>
      <c r="C436">
        <v>0</v>
      </c>
      <c r="D436">
        <v>4</v>
      </c>
      <c r="E436" s="3">
        <v>8</v>
      </c>
    </row>
    <row r="437" spans="1:5" x14ac:dyDescent="0.2">
      <c r="A437">
        <v>5</v>
      </c>
      <c r="B437" t="s">
        <v>88</v>
      </c>
      <c r="C437">
        <v>0</v>
      </c>
      <c r="D437">
        <v>2</v>
      </c>
      <c r="E437" s="3">
        <v>8</v>
      </c>
    </row>
    <row r="438" spans="1:5" x14ac:dyDescent="0.2">
      <c r="A438">
        <v>6</v>
      </c>
      <c r="B438" t="s">
        <v>475</v>
      </c>
      <c r="C438">
        <v>0</v>
      </c>
      <c r="D438">
        <v>1</v>
      </c>
      <c r="E438" s="3">
        <v>8</v>
      </c>
    </row>
    <row r="439" spans="1:5" x14ac:dyDescent="0.2">
      <c r="A439">
        <v>1</v>
      </c>
      <c r="B439" t="s">
        <v>15</v>
      </c>
      <c r="C439">
        <v>2</v>
      </c>
      <c r="D439">
        <v>16</v>
      </c>
      <c r="E439" s="3">
        <v>8</v>
      </c>
    </row>
    <row r="440" spans="1:5" x14ac:dyDescent="0.2">
      <c r="A440">
        <v>2</v>
      </c>
      <c r="B440" t="s">
        <v>68</v>
      </c>
      <c r="C440">
        <v>1</v>
      </c>
      <c r="D440">
        <v>12</v>
      </c>
      <c r="E440" s="3">
        <v>8</v>
      </c>
    </row>
    <row r="441" spans="1:5" x14ac:dyDescent="0.2">
      <c r="A441">
        <v>3</v>
      </c>
      <c r="B441" t="s">
        <v>14</v>
      </c>
      <c r="C441">
        <v>1</v>
      </c>
      <c r="D441">
        <v>8</v>
      </c>
      <c r="E441" s="3">
        <v>8</v>
      </c>
    </row>
    <row r="442" spans="1:5" x14ac:dyDescent="0.2">
      <c r="A442">
        <v>4</v>
      </c>
      <c r="B442" t="s">
        <v>368</v>
      </c>
      <c r="C442">
        <v>1</v>
      </c>
      <c r="D442">
        <v>4</v>
      </c>
      <c r="E442" s="3">
        <v>8</v>
      </c>
    </row>
    <row r="443" spans="1:5" x14ac:dyDescent="0.2">
      <c r="A443">
        <v>5</v>
      </c>
      <c r="B443" t="s">
        <v>20</v>
      </c>
      <c r="C443">
        <v>0</v>
      </c>
      <c r="D443">
        <v>2</v>
      </c>
      <c r="E443" s="3">
        <v>8</v>
      </c>
    </row>
    <row r="444" spans="1:5" x14ac:dyDescent="0.2">
      <c r="A444">
        <v>6</v>
      </c>
      <c r="B444" t="s">
        <v>87</v>
      </c>
      <c r="C444">
        <v>0</v>
      </c>
      <c r="D444">
        <v>1</v>
      </c>
      <c r="E444" s="3">
        <v>8</v>
      </c>
    </row>
    <row r="445" spans="1:5" x14ac:dyDescent="0.2">
      <c r="A445">
        <v>1</v>
      </c>
      <c r="B445" t="s">
        <v>27</v>
      </c>
      <c r="C445">
        <v>1</v>
      </c>
      <c r="D445">
        <v>16</v>
      </c>
      <c r="E445" s="3">
        <v>8</v>
      </c>
    </row>
    <row r="446" spans="1:5" x14ac:dyDescent="0.2">
      <c r="A446">
        <v>2</v>
      </c>
      <c r="B446" t="s">
        <v>473</v>
      </c>
      <c r="C446">
        <v>2</v>
      </c>
      <c r="D446">
        <v>12</v>
      </c>
      <c r="E446" s="3">
        <v>8</v>
      </c>
    </row>
    <row r="447" spans="1:5" x14ac:dyDescent="0.2">
      <c r="A447">
        <v>3</v>
      </c>
      <c r="B447" t="s">
        <v>45</v>
      </c>
      <c r="C447">
        <v>1</v>
      </c>
      <c r="D447">
        <v>8</v>
      </c>
      <c r="E447" s="3">
        <v>8</v>
      </c>
    </row>
    <row r="448" spans="1:5" x14ac:dyDescent="0.2">
      <c r="A448">
        <v>4</v>
      </c>
      <c r="B448" t="s">
        <v>55</v>
      </c>
      <c r="C448">
        <v>1</v>
      </c>
      <c r="D448">
        <v>4</v>
      </c>
      <c r="E448" s="3">
        <v>8</v>
      </c>
    </row>
    <row r="449" spans="1:5" x14ac:dyDescent="0.2">
      <c r="A449">
        <v>5</v>
      </c>
      <c r="B449" t="s">
        <v>96</v>
      </c>
      <c r="C449">
        <v>0</v>
      </c>
      <c r="D449">
        <v>2</v>
      </c>
      <c r="E449" s="3">
        <v>8</v>
      </c>
    </row>
    <row r="450" spans="1:5" x14ac:dyDescent="0.2">
      <c r="A450">
        <v>6</v>
      </c>
      <c r="B450" t="s">
        <v>40</v>
      </c>
      <c r="C450">
        <v>0</v>
      </c>
      <c r="D450">
        <v>1</v>
      </c>
      <c r="E450" s="3">
        <v>8</v>
      </c>
    </row>
    <row r="451" spans="1:5" x14ac:dyDescent="0.2">
      <c r="A451">
        <v>1</v>
      </c>
      <c r="B451" t="s">
        <v>6</v>
      </c>
      <c r="C451">
        <v>4</v>
      </c>
      <c r="D451">
        <v>16</v>
      </c>
      <c r="E451" s="3">
        <v>9</v>
      </c>
    </row>
    <row r="452" spans="1:5" x14ac:dyDescent="0.2">
      <c r="A452">
        <v>2</v>
      </c>
      <c r="B452" t="s">
        <v>25</v>
      </c>
      <c r="C452">
        <v>0</v>
      </c>
      <c r="D452">
        <v>12</v>
      </c>
      <c r="E452" s="3">
        <v>9</v>
      </c>
    </row>
    <row r="453" spans="1:5" x14ac:dyDescent="0.2">
      <c r="A453">
        <v>3</v>
      </c>
      <c r="B453" t="s">
        <v>59</v>
      </c>
      <c r="C453">
        <v>0</v>
      </c>
      <c r="D453">
        <v>8</v>
      </c>
      <c r="E453" s="3">
        <v>9</v>
      </c>
    </row>
    <row r="454" spans="1:5" x14ac:dyDescent="0.2">
      <c r="A454">
        <v>4</v>
      </c>
      <c r="B454" t="s">
        <v>101</v>
      </c>
      <c r="C454">
        <v>0</v>
      </c>
      <c r="D454">
        <v>4</v>
      </c>
      <c r="E454" s="3">
        <v>9</v>
      </c>
    </row>
    <row r="455" spans="1:5" x14ac:dyDescent="0.2">
      <c r="A455">
        <v>5</v>
      </c>
      <c r="B455" t="s">
        <v>473</v>
      </c>
      <c r="C455">
        <v>1</v>
      </c>
      <c r="D455">
        <v>2</v>
      </c>
      <c r="E455" s="3">
        <v>9</v>
      </c>
    </row>
    <row r="456" spans="1:5" x14ac:dyDescent="0.2">
      <c r="A456">
        <v>6</v>
      </c>
      <c r="B456" t="s">
        <v>42</v>
      </c>
      <c r="C456">
        <v>0</v>
      </c>
      <c r="D456">
        <v>1</v>
      </c>
      <c r="E456" s="3">
        <v>9</v>
      </c>
    </row>
    <row r="457" spans="1:5" x14ac:dyDescent="0.2">
      <c r="A457">
        <v>1</v>
      </c>
      <c r="B457" t="s">
        <v>475</v>
      </c>
      <c r="C457">
        <v>1</v>
      </c>
      <c r="D457">
        <v>16</v>
      </c>
      <c r="E457" s="3">
        <v>9</v>
      </c>
    </row>
    <row r="458" spans="1:5" x14ac:dyDescent="0.2">
      <c r="A458">
        <v>2</v>
      </c>
      <c r="B458" t="s">
        <v>12</v>
      </c>
      <c r="C458">
        <v>3</v>
      </c>
      <c r="D458">
        <v>12</v>
      </c>
      <c r="E458" s="3">
        <v>9</v>
      </c>
    </row>
    <row r="459" spans="1:5" x14ac:dyDescent="0.2">
      <c r="A459">
        <v>3</v>
      </c>
      <c r="B459" t="s">
        <v>32</v>
      </c>
      <c r="C459">
        <v>1</v>
      </c>
      <c r="D459">
        <v>8</v>
      </c>
      <c r="E459" s="3">
        <v>9</v>
      </c>
    </row>
    <row r="460" spans="1:5" x14ac:dyDescent="0.2">
      <c r="A460">
        <v>4</v>
      </c>
      <c r="B460" t="s">
        <v>450</v>
      </c>
      <c r="C460">
        <v>0</v>
      </c>
      <c r="D460">
        <v>4</v>
      </c>
      <c r="E460" s="3">
        <v>9</v>
      </c>
    </row>
    <row r="461" spans="1:5" x14ac:dyDescent="0.2">
      <c r="A461">
        <v>5</v>
      </c>
      <c r="B461" t="s">
        <v>73</v>
      </c>
      <c r="C461">
        <v>0</v>
      </c>
      <c r="D461">
        <v>2</v>
      </c>
      <c r="E461" s="3">
        <v>9</v>
      </c>
    </row>
    <row r="462" spans="1:5" x14ac:dyDescent="0.2">
      <c r="A462">
        <v>6</v>
      </c>
      <c r="B462" t="s">
        <v>28</v>
      </c>
      <c r="C462">
        <v>0</v>
      </c>
      <c r="D462">
        <v>1</v>
      </c>
      <c r="E462" s="3">
        <v>9</v>
      </c>
    </row>
    <row r="463" spans="1:5" x14ac:dyDescent="0.2">
      <c r="A463">
        <v>1</v>
      </c>
      <c r="B463" t="s">
        <v>468</v>
      </c>
      <c r="C463">
        <v>3</v>
      </c>
      <c r="D463">
        <v>16</v>
      </c>
      <c r="E463" s="3">
        <v>9</v>
      </c>
    </row>
    <row r="464" spans="1:5" x14ac:dyDescent="0.2">
      <c r="A464">
        <v>2</v>
      </c>
      <c r="B464" t="s">
        <v>471</v>
      </c>
      <c r="C464">
        <v>1</v>
      </c>
      <c r="D464">
        <v>12</v>
      </c>
      <c r="E464" s="3">
        <v>9</v>
      </c>
    </row>
    <row r="465" spans="1:5" x14ac:dyDescent="0.2">
      <c r="A465">
        <v>3</v>
      </c>
      <c r="B465" t="s">
        <v>481</v>
      </c>
      <c r="C465">
        <v>1</v>
      </c>
      <c r="D465">
        <v>8</v>
      </c>
      <c r="E465" s="3">
        <v>9</v>
      </c>
    </row>
    <row r="466" spans="1:5" x14ac:dyDescent="0.2">
      <c r="A466">
        <v>4</v>
      </c>
      <c r="B466" t="s">
        <v>345</v>
      </c>
      <c r="C466">
        <v>0</v>
      </c>
      <c r="D466">
        <v>4</v>
      </c>
      <c r="E466" s="3">
        <v>9</v>
      </c>
    </row>
    <row r="467" spans="1:5" x14ac:dyDescent="0.2">
      <c r="A467">
        <v>5</v>
      </c>
      <c r="B467" t="s">
        <v>29</v>
      </c>
      <c r="C467">
        <v>0</v>
      </c>
      <c r="D467">
        <v>2</v>
      </c>
      <c r="E467" s="3">
        <v>9</v>
      </c>
    </row>
    <row r="468" spans="1:5" x14ac:dyDescent="0.2">
      <c r="A468">
        <v>6</v>
      </c>
      <c r="B468" t="s">
        <v>74</v>
      </c>
      <c r="C468">
        <v>0</v>
      </c>
      <c r="D468">
        <v>1</v>
      </c>
      <c r="E468" s="3">
        <v>9</v>
      </c>
    </row>
    <row r="469" spans="1:5" x14ac:dyDescent="0.2">
      <c r="A469">
        <v>1</v>
      </c>
      <c r="B469" t="s">
        <v>368</v>
      </c>
      <c r="C469">
        <v>3</v>
      </c>
      <c r="D469">
        <v>16</v>
      </c>
      <c r="E469" s="3">
        <v>9</v>
      </c>
    </row>
    <row r="470" spans="1:5" x14ac:dyDescent="0.2">
      <c r="A470">
        <v>2</v>
      </c>
      <c r="B470" t="s">
        <v>377</v>
      </c>
      <c r="C470">
        <v>0</v>
      </c>
      <c r="D470">
        <v>12</v>
      </c>
      <c r="E470" s="3">
        <v>9</v>
      </c>
    </row>
    <row r="471" spans="1:5" x14ac:dyDescent="0.2">
      <c r="A471">
        <v>3</v>
      </c>
      <c r="B471" t="s">
        <v>91</v>
      </c>
      <c r="C471">
        <v>1</v>
      </c>
      <c r="D471">
        <v>8</v>
      </c>
      <c r="E471" s="3">
        <v>9</v>
      </c>
    </row>
    <row r="472" spans="1:5" x14ac:dyDescent="0.2">
      <c r="A472">
        <v>4</v>
      </c>
      <c r="B472" t="s">
        <v>69</v>
      </c>
      <c r="C472">
        <v>1</v>
      </c>
      <c r="D472">
        <v>4</v>
      </c>
      <c r="E472" s="3">
        <v>9</v>
      </c>
    </row>
    <row r="473" spans="1:5" x14ac:dyDescent="0.2">
      <c r="A473">
        <v>5</v>
      </c>
      <c r="B473" t="s">
        <v>18</v>
      </c>
      <c r="C473">
        <v>0</v>
      </c>
      <c r="D473">
        <v>2</v>
      </c>
      <c r="E473" s="3">
        <v>9</v>
      </c>
    </row>
    <row r="474" spans="1:5" x14ac:dyDescent="0.2">
      <c r="A474">
        <v>6</v>
      </c>
      <c r="B474" t="s">
        <v>46</v>
      </c>
      <c r="C474">
        <v>0</v>
      </c>
      <c r="D474">
        <v>1</v>
      </c>
      <c r="E474" s="3">
        <v>9</v>
      </c>
    </row>
    <row r="475" spans="1:5" x14ac:dyDescent="0.2">
      <c r="A475">
        <v>1</v>
      </c>
      <c r="B475" t="s">
        <v>26</v>
      </c>
      <c r="C475">
        <v>4</v>
      </c>
      <c r="D475">
        <v>16</v>
      </c>
      <c r="E475" s="3">
        <v>9</v>
      </c>
    </row>
    <row r="476" spans="1:5" x14ac:dyDescent="0.2">
      <c r="A476">
        <v>2</v>
      </c>
      <c r="B476" t="s">
        <v>33</v>
      </c>
      <c r="C476">
        <v>0</v>
      </c>
      <c r="D476">
        <v>12</v>
      </c>
      <c r="E476" s="3">
        <v>9</v>
      </c>
    </row>
    <row r="477" spans="1:5" x14ac:dyDescent="0.2">
      <c r="A477">
        <v>3</v>
      </c>
      <c r="B477" t="s">
        <v>457</v>
      </c>
      <c r="C477">
        <v>0</v>
      </c>
      <c r="D477">
        <v>8</v>
      </c>
      <c r="E477" s="3">
        <v>9</v>
      </c>
    </row>
    <row r="478" spans="1:5" x14ac:dyDescent="0.2">
      <c r="A478">
        <v>4</v>
      </c>
      <c r="B478" t="s">
        <v>47</v>
      </c>
      <c r="C478">
        <v>1</v>
      </c>
      <c r="D478">
        <v>4</v>
      </c>
      <c r="E478" s="3">
        <v>9</v>
      </c>
    </row>
    <row r="479" spans="1:5" x14ac:dyDescent="0.2">
      <c r="A479">
        <v>5</v>
      </c>
      <c r="B479" t="s">
        <v>39</v>
      </c>
      <c r="C479">
        <v>0</v>
      </c>
      <c r="D479">
        <v>2</v>
      </c>
      <c r="E479" s="3">
        <v>9</v>
      </c>
    </row>
    <row r="480" spans="1:5" x14ac:dyDescent="0.2">
      <c r="A480">
        <v>6</v>
      </c>
      <c r="B480" t="s">
        <v>451</v>
      </c>
      <c r="C480">
        <v>0</v>
      </c>
      <c r="D480">
        <v>1</v>
      </c>
      <c r="E480" s="3">
        <v>9</v>
      </c>
    </row>
    <row r="481" spans="1:5" x14ac:dyDescent="0.2">
      <c r="A481">
        <v>1</v>
      </c>
      <c r="B481" t="s">
        <v>66</v>
      </c>
      <c r="C481">
        <v>2</v>
      </c>
      <c r="D481">
        <v>16</v>
      </c>
      <c r="E481" s="3">
        <v>9</v>
      </c>
    </row>
    <row r="482" spans="1:5" x14ac:dyDescent="0.2">
      <c r="A482">
        <v>2</v>
      </c>
      <c r="B482" t="s">
        <v>68</v>
      </c>
      <c r="C482">
        <v>2</v>
      </c>
      <c r="D482">
        <v>12</v>
      </c>
      <c r="E482" s="3">
        <v>9</v>
      </c>
    </row>
    <row r="483" spans="1:5" x14ac:dyDescent="0.2">
      <c r="A483">
        <v>3</v>
      </c>
      <c r="B483" t="s">
        <v>52</v>
      </c>
      <c r="C483">
        <v>1</v>
      </c>
      <c r="D483">
        <v>8</v>
      </c>
      <c r="E483" s="3">
        <v>9</v>
      </c>
    </row>
    <row r="484" spans="1:5" x14ac:dyDescent="0.2">
      <c r="A484">
        <v>4</v>
      </c>
      <c r="B484" t="s">
        <v>452</v>
      </c>
      <c r="C484">
        <v>0</v>
      </c>
      <c r="D484">
        <v>4</v>
      </c>
      <c r="E484" s="3">
        <v>9</v>
      </c>
    </row>
    <row r="485" spans="1:5" x14ac:dyDescent="0.2">
      <c r="A485">
        <v>5</v>
      </c>
      <c r="B485" t="s">
        <v>454</v>
      </c>
      <c r="C485">
        <v>0</v>
      </c>
      <c r="D485">
        <v>2</v>
      </c>
      <c r="E485" s="3">
        <v>9</v>
      </c>
    </row>
    <row r="486" spans="1:5" x14ac:dyDescent="0.2">
      <c r="A486">
        <v>6</v>
      </c>
      <c r="B486" t="s">
        <v>81</v>
      </c>
      <c r="C486">
        <v>0</v>
      </c>
      <c r="D486">
        <v>1</v>
      </c>
      <c r="E486" s="3">
        <v>9</v>
      </c>
    </row>
    <row r="487" spans="1:5" x14ac:dyDescent="0.2">
      <c r="A487">
        <v>1</v>
      </c>
      <c r="B487" t="s">
        <v>48</v>
      </c>
      <c r="C487">
        <v>2</v>
      </c>
      <c r="D487">
        <v>16</v>
      </c>
      <c r="E487" s="3">
        <v>9</v>
      </c>
    </row>
    <row r="488" spans="1:5" x14ac:dyDescent="0.2">
      <c r="A488">
        <v>2</v>
      </c>
      <c r="B488" t="s">
        <v>40</v>
      </c>
      <c r="C488">
        <v>3</v>
      </c>
      <c r="D488">
        <v>12</v>
      </c>
      <c r="E488" s="3">
        <v>9</v>
      </c>
    </row>
    <row r="489" spans="1:5" x14ac:dyDescent="0.2">
      <c r="A489">
        <v>3</v>
      </c>
      <c r="B489" t="s">
        <v>65</v>
      </c>
      <c r="C489">
        <v>0</v>
      </c>
      <c r="D489">
        <v>8</v>
      </c>
      <c r="E489" s="3">
        <v>9</v>
      </c>
    </row>
    <row r="490" spans="1:5" x14ac:dyDescent="0.2">
      <c r="A490">
        <v>4</v>
      </c>
      <c r="B490" t="s">
        <v>45</v>
      </c>
      <c r="C490">
        <v>0</v>
      </c>
      <c r="D490">
        <v>4</v>
      </c>
      <c r="E490" s="3">
        <v>9</v>
      </c>
    </row>
    <row r="491" spans="1:5" x14ac:dyDescent="0.2">
      <c r="A491">
        <v>5</v>
      </c>
      <c r="B491" t="s">
        <v>35</v>
      </c>
      <c r="C491">
        <v>0</v>
      </c>
      <c r="D491">
        <v>2</v>
      </c>
      <c r="E491" s="3">
        <v>9</v>
      </c>
    </row>
    <row r="492" spans="1:5" x14ac:dyDescent="0.2">
      <c r="A492">
        <v>6</v>
      </c>
      <c r="B492" t="s">
        <v>459</v>
      </c>
      <c r="C492">
        <v>0</v>
      </c>
      <c r="D492">
        <v>1</v>
      </c>
      <c r="E492" s="3">
        <v>9</v>
      </c>
    </row>
    <row r="493" spans="1:5" x14ac:dyDescent="0.2">
      <c r="A493">
        <v>1</v>
      </c>
      <c r="B493" t="s">
        <v>305</v>
      </c>
      <c r="C493">
        <v>2</v>
      </c>
      <c r="D493">
        <v>16</v>
      </c>
      <c r="E493" s="3">
        <v>9</v>
      </c>
    </row>
    <row r="494" spans="1:5" x14ac:dyDescent="0.2">
      <c r="A494">
        <v>2</v>
      </c>
      <c r="B494" t="s">
        <v>75</v>
      </c>
      <c r="C494">
        <v>2</v>
      </c>
      <c r="D494">
        <v>12</v>
      </c>
      <c r="E494" s="3">
        <v>9</v>
      </c>
    </row>
    <row r="495" spans="1:5" x14ac:dyDescent="0.2">
      <c r="A495">
        <v>3</v>
      </c>
      <c r="B495" t="s">
        <v>280</v>
      </c>
      <c r="C495">
        <v>1</v>
      </c>
      <c r="D495">
        <v>8</v>
      </c>
      <c r="E495" s="3">
        <v>9</v>
      </c>
    </row>
    <row r="496" spans="1:5" x14ac:dyDescent="0.2">
      <c r="A496">
        <v>4</v>
      </c>
      <c r="B496" t="s">
        <v>19</v>
      </c>
      <c r="C496">
        <v>0</v>
      </c>
      <c r="D496">
        <v>4</v>
      </c>
      <c r="E496" s="3">
        <v>9</v>
      </c>
    </row>
    <row r="497" spans="1:5" x14ac:dyDescent="0.2">
      <c r="A497">
        <v>5</v>
      </c>
      <c r="B497" t="s">
        <v>264</v>
      </c>
      <c r="C497">
        <v>0</v>
      </c>
      <c r="D497">
        <v>2</v>
      </c>
      <c r="E497" s="3">
        <v>9</v>
      </c>
    </row>
    <row r="498" spans="1:5" x14ac:dyDescent="0.2">
      <c r="A498">
        <v>6</v>
      </c>
      <c r="B498" t="s">
        <v>21</v>
      </c>
      <c r="C498">
        <v>0</v>
      </c>
      <c r="D498">
        <v>1</v>
      </c>
      <c r="E498" s="3">
        <v>9</v>
      </c>
    </row>
    <row r="499" spans="1:5" x14ac:dyDescent="0.2">
      <c r="A499">
        <v>1</v>
      </c>
      <c r="B499" t="s">
        <v>463</v>
      </c>
      <c r="C499">
        <v>2</v>
      </c>
      <c r="D499">
        <v>16</v>
      </c>
      <c r="E499" s="3">
        <v>9</v>
      </c>
    </row>
    <row r="500" spans="1:5" x14ac:dyDescent="0.2">
      <c r="A500">
        <v>2</v>
      </c>
      <c r="B500" t="s">
        <v>41</v>
      </c>
      <c r="C500">
        <v>2</v>
      </c>
      <c r="D500">
        <v>12</v>
      </c>
      <c r="E500" s="3">
        <v>9</v>
      </c>
    </row>
    <row r="501" spans="1:5" x14ac:dyDescent="0.2">
      <c r="A501">
        <v>3</v>
      </c>
      <c r="B501" t="s">
        <v>55</v>
      </c>
      <c r="C501">
        <v>0</v>
      </c>
      <c r="D501">
        <v>8</v>
      </c>
      <c r="E501" s="3">
        <v>9</v>
      </c>
    </row>
    <row r="502" spans="1:5" x14ac:dyDescent="0.2">
      <c r="A502">
        <v>4</v>
      </c>
      <c r="B502" t="s">
        <v>87</v>
      </c>
      <c r="C502">
        <v>1</v>
      </c>
      <c r="D502">
        <v>4</v>
      </c>
      <c r="E502" s="3">
        <v>9</v>
      </c>
    </row>
    <row r="503" spans="1:5" x14ac:dyDescent="0.2">
      <c r="A503">
        <v>5</v>
      </c>
      <c r="B503" t="s">
        <v>9</v>
      </c>
      <c r="C503">
        <v>0</v>
      </c>
      <c r="D503">
        <v>2</v>
      </c>
      <c r="E503" s="3">
        <v>9</v>
      </c>
    </row>
    <row r="504" spans="1:5" x14ac:dyDescent="0.2">
      <c r="A504">
        <v>6</v>
      </c>
      <c r="B504" t="s">
        <v>27</v>
      </c>
      <c r="C504">
        <v>0</v>
      </c>
      <c r="D504">
        <v>1</v>
      </c>
      <c r="E504" s="3">
        <v>9</v>
      </c>
    </row>
    <row r="505" spans="1:5" x14ac:dyDescent="0.2">
      <c r="A505">
        <v>1</v>
      </c>
      <c r="B505" t="s">
        <v>27</v>
      </c>
      <c r="C505">
        <v>4</v>
      </c>
      <c r="D505">
        <v>16</v>
      </c>
      <c r="E505" s="3">
        <v>10</v>
      </c>
    </row>
    <row r="506" spans="1:5" x14ac:dyDescent="0.2">
      <c r="A506">
        <v>2</v>
      </c>
      <c r="B506" t="s">
        <v>50</v>
      </c>
      <c r="C506">
        <v>1</v>
      </c>
      <c r="D506">
        <v>12</v>
      </c>
      <c r="E506" s="3">
        <v>10</v>
      </c>
    </row>
    <row r="507" spans="1:5" x14ac:dyDescent="0.2">
      <c r="A507">
        <v>3</v>
      </c>
      <c r="B507" t="s">
        <v>55</v>
      </c>
      <c r="C507">
        <v>0</v>
      </c>
      <c r="D507">
        <v>8</v>
      </c>
      <c r="E507" s="3">
        <v>10</v>
      </c>
    </row>
    <row r="508" spans="1:5" x14ac:dyDescent="0.2">
      <c r="A508">
        <v>4</v>
      </c>
      <c r="B508" t="s">
        <v>74</v>
      </c>
      <c r="C508">
        <v>0</v>
      </c>
      <c r="D508">
        <v>4</v>
      </c>
      <c r="E508" s="3">
        <v>10</v>
      </c>
    </row>
    <row r="509" spans="1:5" x14ac:dyDescent="0.2">
      <c r="A509">
        <v>5</v>
      </c>
      <c r="B509" t="s">
        <v>18</v>
      </c>
      <c r="C509">
        <v>0</v>
      </c>
      <c r="D509">
        <v>2</v>
      </c>
      <c r="E509" s="3">
        <v>10</v>
      </c>
    </row>
    <row r="510" spans="1:5" x14ac:dyDescent="0.2">
      <c r="A510">
        <v>6</v>
      </c>
      <c r="B510" t="s">
        <v>482</v>
      </c>
      <c r="C510">
        <v>0</v>
      </c>
      <c r="D510">
        <v>1</v>
      </c>
      <c r="E510" s="3">
        <v>10</v>
      </c>
    </row>
    <row r="511" spans="1:5" x14ac:dyDescent="0.2">
      <c r="A511">
        <v>1</v>
      </c>
      <c r="B511" t="s">
        <v>20</v>
      </c>
      <c r="C511">
        <v>5</v>
      </c>
      <c r="D511">
        <v>16</v>
      </c>
      <c r="E511" s="3">
        <v>10</v>
      </c>
    </row>
    <row r="512" spans="1:5" x14ac:dyDescent="0.2">
      <c r="A512">
        <v>2</v>
      </c>
      <c r="B512" t="s">
        <v>479</v>
      </c>
      <c r="C512">
        <v>0</v>
      </c>
      <c r="D512">
        <v>12</v>
      </c>
      <c r="E512" s="3">
        <v>10</v>
      </c>
    </row>
    <row r="513" spans="1:5" x14ac:dyDescent="0.2">
      <c r="A513">
        <v>3</v>
      </c>
      <c r="B513" t="s">
        <v>450</v>
      </c>
      <c r="C513">
        <v>0</v>
      </c>
      <c r="D513">
        <v>8</v>
      </c>
      <c r="E513" s="3">
        <v>10</v>
      </c>
    </row>
    <row r="514" spans="1:5" x14ac:dyDescent="0.2">
      <c r="A514">
        <v>4</v>
      </c>
      <c r="B514" t="s">
        <v>21</v>
      </c>
      <c r="C514">
        <v>0</v>
      </c>
      <c r="D514">
        <v>4</v>
      </c>
      <c r="E514" s="3">
        <v>10</v>
      </c>
    </row>
    <row r="515" spans="1:5" x14ac:dyDescent="0.2">
      <c r="A515">
        <v>5</v>
      </c>
      <c r="B515" t="s">
        <v>463</v>
      </c>
      <c r="C515">
        <v>0</v>
      </c>
      <c r="D515">
        <v>2</v>
      </c>
      <c r="E515" s="3">
        <v>10</v>
      </c>
    </row>
    <row r="516" spans="1:5" x14ac:dyDescent="0.2">
      <c r="A516">
        <v>6</v>
      </c>
      <c r="B516" t="s">
        <v>81</v>
      </c>
      <c r="C516">
        <v>0</v>
      </c>
      <c r="D516">
        <v>1</v>
      </c>
      <c r="E516" s="3">
        <v>10</v>
      </c>
    </row>
    <row r="517" spans="1:5" x14ac:dyDescent="0.2">
      <c r="A517">
        <v>1</v>
      </c>
      <c r="B517" t="s">
        <v>483</v>
      </c>
      <c r="C517">
        <v>3</v>
      </c>
      <c r="D517">
        <v>17</v>
      </c>
      <c r="E517" s="3">
        <v>10</v>
      </c>
    </row>
    <row r="518" spans="1:5" x14ac:dyDescent="0.2">
      <c r="A518">
        <v>2</v>
      </c>
      <c r="B518" t="s">
        <v>457</v>
      </c>
      <c r="C518">
        <v>1</v>
      </c>
      <c r="D518">
        <v>13</v>
      </c>
      <c r="E518" s="3">
        <v>10</v>
      </c>
    </row>
    <row r="519" spans="1:5" x14ac:dyDescent="0.2">
      <c r="A519">
        <v>3</v>
      </c>
      <c r="B519" t="s">
        <v>94</v>
      </c>
      <c r="C519">
        <v>0</v>
      </c>
      <c r="D519">
        <v>9</v>
      </c>
      <c r="E519" s="3">
        <v>10</v>
      </c>
    </row>
    <row r="520" spans="1:5" x14ac:dyDescent="0.2">
      <c r="A520">
        <v>4</v>
      </c>
      <c r="B520" t="s">
        <v>25</v>
      </c>
      <c r="C520">
        <v>1</v>
      </c>
      <c r="D520">
        <v>5</v>
      </c>
      <c r="E520" s="3">
        <v>10</v>
      </c>
    </row>
    <row r="521" spans="1:5" x14ac:dyDescent="0.2">
      <c r="A521">
        <v>5</v>
      </c>
      <c r="B521" t="s">
        <v>46</v>
      </c>
      <c r="C521">
        <v>0</v>
      </c>
      <c r="D521">
        <v>3</v>
      </c>
      <c r="E521" s="3">
        <v>10</v>
      </c>
    </row>
    <row r="522" spans="1:5" x14ac:dyDescent="0.2">
      <c r="A522">
        <v>6</v>
      </c>
      <c r="B522" t="s">
        <v>48</v>
      </c>
      <c r="C522">
        <v>1</v>
      </c>
      <c r="D522">
        <v>2</v>
      </c>
      <c r="E522" s="3">
        <v>10</v>
      </c>
    </row>
    <row r="523" spans="1:5" x14ac:dyDescent="0.2">
      <c r="A523">
        <v>7</v>
      </c>
      <c r="B523" t="s">
        <v>101</v>
      </c>
      <c r="C523">
        <v>0</v>
      </c>
      <c r="D523">
        <v>1</v>
      </c>
      <c r="E523" s="3">
        <v>10</v>
      </c>
    </row>
    <row r="524" spans="1:5" x14ac:dyDescent="0.2">
      <c r="A524">
        <v>1</v>
      </c>
      <c r="B524" t="s">
        <v>65</v>
      </c>
      <c r="C524">
        <v>2</v>
      </c>
      <c r="D524">
        <v>17</v>
      </c>
      <c r="E524" s="3">
        <v>10</v>
      </c>
    </row>
    <row r="525" spans="1:5" x14ac:dyDescent="0.2">
      <c r="A525">
        <v>2</v>
      </c>
      <c r="B525" t="s">
        <v>68</v>
      </c>
      <c r="C525">
        <v>3</v>
      </c>
      <c r="D525">
        <v>13</v>
      </c>
      <c r="E525" s="3">
        <v>10</v>
      </c>
    </row>
    <row r="526" spans="1:5" x14ac:dyDescent="0.2">
      <c r="A526">
        <v>3</v>
      </c>
      <c r="B526" t="s">
        <v>377</v>
      </c>
      <c r="C526">
        <v>1</v>
      </c>
      <c r="D526">
        <v>9</v>
      </c>
      <c r="E526" s="3">
        <v>10</v>
      </c>
    </row>
    <row r="527" spans="1:5" x14ac:dyDescent="0.2">
      <c r="A527">
        <v>4</v>
      </c>
      <c r="B527" t="s">
        <v>481</v>
      </c>
      <c r="C527">
        <v>0</v>
      </c>
      <c r="D527">
        <v>5</v>
      </c>
      <c r="E527" s="3">
        <v>10</v>
      </c>
    </row>
    <row r="528" spans="1:5" x14ac:dyDescent="0.2">
      <c r="A528">
        <v>5</v>
      </c>
      <c r="B528" t="s">
        <v>12</v>
      </c>
      <c r="C528">
        <v>0</v>
      </c>
      <c r="D528">
        <v>3</v>
      </c>
      <c r="E528" s="3">
        <v>10</v>
      </c>
    </row>
    <row r="529" spans="1:5" x14ac:dyDescent="0.2">
      <c r="A529">
        <v>6</v>
      </c>
      <c r="B529" t="s">
        <v>73</v>
      </c>
      <c r="C529">
        <v>0</v>
      </c>
      <c r="D529">
        <v>2</v>
      </c>
      <c r="E529" s="3">
        <v>10</v>
      </c>
    </row>
    <row r="530" spans="1:5" x14ac:dyDescent="0.2">
      <c r="A530">
        <v>7</v>
      </c>
      <c r="B530" t="s">
        <v>451</v>
      </c>
      <c r="C530">
        <v>0</v>
      </c>
      <c r="D530">
        <v>1</v>
      </c>
      <c r="E530" s="3">
        <v>10</v>
      </c>
    </row>
    <row r="531" spans="1:5" x14ac:dyDescent="0.2">
      <c r="A531">
        <v>1</v>
      </c>
      <c r="B531" t="s">
        <v>66</v>
      </c>
      <c r="C531">
        <v>3</v>
      </c>
      <c r="D531">
        <v>16</v>
      </c>
      <c r="E531" s="3">
        <v>10</v>
      </c>
    </row>
    <row r="532" spans="1:5" x14ac:dyDescent="0.2">
      <c r="A532">
        <v>2</v>
      </c>
      <c r="B532" t="s">
        <v>69</v>
      </c>
      <c r="C532">
        <v>0</v>
      </c>
      <c r="D532">
        <v>12</v>
      </c>
      <c r="E532" s="3">
        <v>10</v>
      </c>
    </row>
    <row r="533" spans="1:5" x14ac:dyDescent="0.2">
      <c r="A533">
        <v>3</v>
      </c>
      <c r="B533" t="s">
        <v>41</v>
      </c>
      <c r="C533">
        <v>0</v>
      </c>
      <c r="D533">
        <v>8</v>
      </c>
      <c r="E533" s="3">
        <v>10</v>
      </c>
    </row>
    <row r="534" spans="1:5" x14ac:dyDescent="0.2">
      <c r="A534">
        <v>4</v>
      </c>
      <c r="B534" t="s">
        <v>476</v>
      </c>
      <c r="C534">
        <v>1</v>
      </c>
      <c r="D534">
        <v>4</v>
      </c>
      <c r="E534" s="3">
        <v>10</v>
      </c>
    </row>
    <row r="535" spans="1:5" x14ac:dyDescent="0.2">
      <c r="A535">
        <v>5</v>
      </c>
      <c r="B535" t="s">
        <v>302</v>
      </c>
      <c r="C535">
        <v>1</v>
      </c>
      <c r="D535">
        <v>2</v>
      </c>
      <c r="E535" s="3">
        <v>10</v>
      </c>
    </row>
    <row r="536" spans="1:5" x14ac:dyDescent="0.2">
      <c r="A536">
        <v>6</v>
      </c>
      <c r="B536" t="s">
        <v>9</v>
      </c>
      <c r="C536">
        <v>0</v>
      </c>
      <c r="D536">
        <v>1</v>
      </c>
      <c r="E536" s="3">
        <v>10</v>
      </c>
    </row>
    <row r="537" spans="1:5" x14ac:dyDescent="0.2">
      <c r="A537">
        <v>1</v>
      </c>
      <c r="B537" t="s">
        <v>35</v>
      </c>
      <c r="C537">
        <v>3</v>
      </c>
      <c r="D537">
        <v>16</v>
      </c>
      <c r="E537" s="3">
        <v>10</v>
      </c>
    </row>
    <row r="538" spans="1:5" x14ac:dyDescent="0.2">
      <c r="A538">
        <v>2</v>
      </c>
      <c r="B538" t="s">
        <v>40</v>
      </c>
      <c r="C538">
        <v>2</v>
      </c>
      <c r="D538">
        <v>12</v>
      </c>
      <c r="E538" s="3">
        <v>10</v>
      </c>
    </row>
    <row r="539" spans="1:5" x14ac:dyDescent="0.2">
      <c r="A539">
        <v>3</v>
      </c>
      <c r="B539" t="s">
        <v>15</v>
      </c>
      <c r="C539">
        <v>0</v>
      </c>
      <c r="D539">
        <v>8</v>
      </c>
      <c r="E539" s="3">
        <v>10</v>
      </c>
    </row>
    <row r="540" spans="1:5" x14ac:dyDescent="0.2">
      <c r="A540">
        <v>4</v>
      </c>
      <c r="B540" t="s">
        <v>453</v>
      </c>
      <c r="C540">
        <v>0</v>
      </c>
      <c r="D540">
        <v>4</v>
      </c>
      <c r="E540" s="3">
        <v>10</v>
      </c>
    </row>
    <row r="541" spans="1:5" x14ac:dyDescent="0.2">
      <c r="A541">
        <v>5</v>
      </c>
      <c r="B541" t="s">
        <v>368</v>
      </c>
      <c r="C541">
        <v>0</v>
      </c>
      <c r="D541">
        <v>2</v>
      </c>
      <c r="E541" s="3">
        <v>10</v>
      </c>
    </row>
    <row r="542" spans="1:5" x14ac:dyDescent="0.2">
      <c r="A542">
        <v>6</v>
      </c>
      <c r="B542" t="s">
        <v>454</v>
      </c>
      <c r="C542">
        <v>0</v>
      </c>
      <c r="D542">
        <v>1</v>
      </c>
      <c r="E542" s="3">
        <v>10</v>
      </c>
    </row>
    <row r="543" spans="1:5" x14ac:dyDescent="0.2">
      <c r="A543">
        <v>1</v>
      </c>
      <c r="B543" t="s">
        <v>75</v>
      </c>
      <c r="C543">
        <v>2</v>
      </c>
      <c r="D543">
        <v>16</v>
      </c>
      <c r="E543" s="3">
        <v>10</v>
      </c>
    </row>
    <row r="544" spans="1:5" x14ac:dyDescent="0.2">
      <c r="A544">
        <v>2</v>
      </c>
      <c r="B544" t="s">
        <v>28</v>
      </c>
      <c r="C544">
        <v>3</v>
      </c>
      <c r="D544">
        <v>12</v>
      </c>
      <c r="E544" s="3">
        <v>10</v>
      </c>
    </row>
    <row r="545" spans="1:5" x14ac:dyDescent="0.2">
      <c r="A545">
        <v>3</v>
      </c>
      <c r="B545" t="s">
        <v>471</v>
      </c>
      <c r="C545">
        <v>0</v>
      </c>
      <c r="D545">
        <v>8</v>
      </c>
      <c r="E545" s="3">
        <v>10</v>
      </c>
    </row>
    <row r="546" spans="1:5" x14ac:dyDescent="0.2">
      <c r="A546">
        <v>4</v>
      </c>
      <c r="B546" t="s">
        <v>6</v>
      </c>
      <c r="C546">
        <v>0</v>
      </c>
      <c r="D546">
        <v>4</v>
      </c>
      <c r="E546" s="3">
        <v>10</v>
      </c>
    </row>
    <row r="547" spans="1:5" x14ac:dyDescent="0.2">
      <c r="A547">
        <v>5</v>
      </c>
      <c r="B547" t="s">
        <v>52</v>
      </c>
      <c r="C547">
        <v>0</v>
      </c>
      <c r="D547">
        <v>2</v>
      </c>
      <c r="E547" s="3">
        <v>10</v>
      </c>
    </row>
    <row r="548" spans="1:5" x14ac:dyDescent="0.2">
      <c r="A548">
        <v>6</v>
      </c>
      <c r="B548" t="s">
        <v>468</v>
      </c>
      <c r="C548">
        <v>0</v>
      </c>
      <c r="D548">
        <v>1</v>
      </c>
      <c r="E548" s="3">
        <v>10</v>
      </c>
    </row>
    <row r="549" spans="1:5" x14ac:dyDescent="0.2">
      <c r="A549">
        <v>1</v>
      </c>
      <c r="B549" t="s">
        <v>92</v>
      </c>
      <c r="C549">
        <v>5</v>
      </c>
      <c r="D549">
        <v>16</v>
      </c>
      <c r="E549" s="3">
        <v>10</v>
      </c>
    </row>
    <row r="550" spans="1:5" x14ac:dyDescent="0.2">
      <c r="A550">
        <v>2</v>
      </c>
      <c r="B550" t="s">
        <v>42</v>
      </c>
      <c r="C550">
        <v>0</v>
      </c>
      <c r="D550">
        <v>12</v>
      </c>
      <c r="E550" s="3">
        <v>10</v>
      </c>
    </row>
    <row r="551" spans="1:5" x14ac:dyDescent="0.2">
      <c r="A551">
        <v>3</v>
      </c>
      <c r="B551" t="s">
        <v>26</v>
      </c>
      <c r="C551">
        <v>0</v>
      </c>
      <c r="D551">
        <v>8</v>
      </c>
      <c r="E551" s="3">
        <v>10</v>
      </c>
    </row>
    <row r="552" spans="1:5" x14ac:dyDescent="0.2">
      <c r="A552">
        <v>4</v>
      </c>
      <c r="B552" t="s">
        <v>47</v>
      </c>
      <c r="C552">
        <v>0</v>
      </c>
      <c r="D552">
        <v>4</v>
      </c>
      <c r="E552" s="3">
        <v>10</v>
      </c>
    </row>
    <row r="553" spans="1:5" x14ac:dyDescent="0.2">
      <c r="A553">
        <v>5</v>
      </c>
      <c r="B553" t="s">
        <v>473</v>
      </c>
      <c r="C553">
        <v>0</v>
      </c>
      <c r="D553">
        <v>2</v>
      </c>
      <c r="E553" s="3">
        <v>10</v>
      </c>
    </row>
    <row r="554" spans="1:5" x14ac:dyDescent="0.2">
      <c r="A554">
        <v>6</v>
      </c>
      <c r="B554" t="s">
        <v>264</v>
      </c>
      <c r="C554">
        <v>0</v>
      </c>
      <c r="D554">
        <v>1</v>
      </c>
      <c r="E554" s="3">
        <v>10</v>
      </c>
    </row>
    <row r="555" spans="1:5" x14ac:dyDescent="0.2">
      <c r="A555">
        <v>1</v>
      </c>
      <c r="B555" t="s">
        <v>91</v>
      </c>
      <c r="C555">
        <v>4</v>
      </c>
      <c r="D555">
        <v>16</v>
      </c>
      <c r="E555" s="3">
        <v>10</v>
      </c>
    </row>
    <row r="556" spans="1:5" x14ac:dyDescent="0.2">
      <c r="A556">
        <v>2</v>
      </c>
      <c r="B556" t="s">
        <v>19</v>
      </c>
      <c r="C556">
        <v>0</v>
      </c>
      <c r="D556">
        <v>12</v>
      </c>
      <c r="E556" s="3">
        <v>10</v>
      </c>
    </row>
    <row r="557" spans="1:5" x14ac:dyDescent="0.2">
      <c r="A557">
        <v>3</v>
      </c>
      <c r="B557" t="s">
        <v>45</v>
      </c>
      <c r="C557">
        <v>1</v>
      </c>
      <c r="D557">
        <v>8</v>
      </c>
      <c r="E557" s="3">
        <v>10</v>
      </c>
    </row>
    <row r="558" spans="1:5" x14ac:dyDescent="0.2">
      <c r="A558">
        <v>4</v>
      </c>
      <c r="B558" t="s">
        <v>59</v>
      </c>
      <c r="C558">
        <v>0</v>
      </c>
      <c r="D558">
        <v>4</v>
      </c>
      <c r="E558" s="3">
        <v>10</v>
      </c>
    </row>
    <row r="559" spans="1:5" x14ac:dyDescent="0.2">
      <c r="A559">
        <v>5</v>
      </c>
      <c r="B559" t="s">
        <v>60</v>
      </c>
      <c r="C559">
        <v>0</v>
      </c>
      <c r="D559">
        <v>2</v>
      </c>
      <c r="E559" s="3">
        <v>10</v>
      </c>
    </row>
    <row r="560" spans="1:5" x14ac:dyDescent="0.2">
      <c r="A560">
        <v>6</v>
      </c>
      <c r="B560" t="s">
        <v>462</v>
      </c>
      <c r="C560">
        <v>0</v>
      </c>
      <c r="D560">
        <v>1</v>
      </c>
      <c r="E560" s="3">
        <v>10</v>
      </c>
    </row>
    <row r="561" spans="1:5" x14ac:dyDescent="0.2">
      <c r="A561">
        <v>1</v>
      </c>
      <c r="B561" t="s">
        <v>479</v>
      </c>
      <c r="C561">
        <v>2</v>
      </c>
      <c r="D561">
        <v>16</v>
      </c>
      <c r="E561" s="3">
        <v>11</v>
      </c>
    </row>
    <row r="562" spans="1:5" x14ac:dyDescent="0.2">
      <c r="A562">
        <v>2</v>
      </c>
      <c r="B562" t="s">
        <v>6</v>
      </c>
      <c r="C562">
        <v>3</v>
      </c>
      <c r="D562">
        <v>12</v>
      </c>
      <c r="E562" s="3">
        <v>11</v>
      </c>
    </row>
    <row r="563" spans="1:5" x14ac:dyDescent="0.2">
      <c r="A563">
        <v>3</v>
      </c>
      <c r="B563" t="s">
        <v>75</v>
      </c>
      <c r="C563">
        <v>0</v>
      </c>
      <c r="D563">
        <v>8</v>
      </c>
      <c r="E563" s="3">
        <v>11</v>
      </c>
    </row>
    <row r="564" spans="1:5" x14ac:dyDescent="0.2">
      <c r="A564">
        <v>4</v>
      </c>
      <c r="B564" t="s">
        <v>14</v>
      </c>
      <c r="C564">
        <v>0</v>
      </c>
      <c r="D564">
        <v>4</v>
      </c>
      <c r="E564" s="3">
        <v>11</v>
      </c>
    </row>
    <row r="565" spans="1:5" x14ac:dyDescent="0.2">
      <c r="A565">
        <v>5</v>
      </c>
      <c r="B565" t="s">
        <v>33</v>
      </c>
      <c r="C565">
        <v>0</v>
      </c>
      <c r="D565">
        <v>2</v>
      </c>
      <c r="E565" s="3">
        <v>11</v>
      </c>
    </row>
    <row r="566" spans="1:5" x14ac:dyDescent="0.2">
      <c r="A566">
        <v>6</v>
      </c>
      <c r="B566" t="s">
        <v>76</v>
      </c>
      <c r="C566">
        <v>0</v>
      </c>
      <c r="D566">
        <v>1</v>
      </c>
      <c r="E566" s="3">
        <v>11</v>
      </c>
    </row>
    <row r="567" spans="1:5" x14ac:dyDescent="0.2">
      <c r="A567">
        <v>1</v>
      </c>
      <c r="B567" t="s">
        <v>81</v>
      </c>
      <c r="C567">
        <v>1</v>
      </c>
      <c r="D567">
        <v>16</v>
      </c>
      <c r="E567" s="3">
        <v>11</v>
      </c>
    </row>
    <row r="568" spans="1:5" x14ac:dyDescent="0.2">
      <c r="A568">
        <v>2</v>
      </c>
      <c r="B568" t="s">
        <v>87</v>
      </c>
      <c r="C568">
        <v>3</v>
      </c>
      <c r="D568">
        <v>12</v>
      </c>
      <c r="E568" s="3">
        <v>11</v>
      </c>
    </row>
    <row r="569" spans="1:5" x14ac:dyDescent="0.2">
      <c r="A569">
        <v>3</v>
      </c>
      <c r="B569" t="s">
        <v>46</v>
      </c>
      <c r="C569">
        <v>1</v>
      </c>
      <c r="D569">
        <v>8</v>
      </c>
      <c r="E569" s="3">
        <v>11</v>
      </c>
    </row>
    <row r="570" spans="1:5" x14ac:dyDescent="0.2">
      <c r="A570">
        <v>4</v>
      </c>
      <c r="B570" t="s">
        <v>101</v>
      </c>
      <c r="C570">
        <v>0</v>
      </c>
      <c r="D570">
        <v>4</v>
      </c>
      <c r="E570" s="3">
        <v>11</v>
      </c>
    </row>
    <row r="571" spans="1:5" x14ac:dyDescent="0.2">
      <c r="A571">
        <v>5</v>
      </c>
      <c r="B571" t="s">
        <v>41</v>
      </c>
      <c r="C571">
        <v>0</v>
      </c>
      <c r="D571">
        <v>2</v>
      </c>
      <c r="E571" s="3">
        <v>11</v>
      </c>
    </row>
    <row r="572" spans="1:5" x14ac:dyDescent="0.2">
      <c r="A572">
        <v>6</v>
      </c>
      <c r="B572" t="s">
        <v>371</v>
      </c>
      <c r="C572">
        <v>0</v>
      </c>
      <c r="D572">
        <v>1</v>
      </c>
      <c r="E572" s="3">
        <v>11</v>
      </c>
    </row>
    <row r="573" spans="1:5" x14ac:dyDescent="0.2">
      <c r="A573">
        <v>1</v>
      </c>
      <c r="B573" t="s">
        <v>36</v>
      </c>
      <c r="C573">
        <v>4</v>
      </c>
      <c r="D573">
        <v>16</v>
      </c>
      <c r="E573" s="3">
        <v>11</v>
      </c>
    </row>
    <row r="574" spans="1:5" x14ac:dyDescent="0.2">
      <c r="A574">
        <v>2</v>
      </c>
      <c r="B574" t="s">
        <v>35</v>
      </c>
      <c r="C574">
        <v>1</v>
      </c>
      <c r="D574">
        <v>12</v>
      </c>
      <c r="E574" s="3">
        <v>11</v>
      </c>
    </row>
    <row r="575" spans="1:5" x14ac:dyDescent="0.2">
      <c r="A575">
        <v>3</v>
      </c>
      <c r="B575" t="s">
        <v>484</v>
      </c>
      <c r="C575">
        <v>0</v>
      </c>
      <c r="D575">
        <v>8</v>
      </c>
      <c r="E575" s="3">
        <v>11</v>
      </c>
    </row>
    <row r="576" spans="1:5" x14ac:dyDescent="0.2">
      <c r="A576">
        <v>4</v>
      </c>
      <c r="B576" t="s">
        <v>32</v>
      </c>
      <c r="C576">
        <v>0</v>
      </c>
      <c r="D576">
        <v>4</v>
      </c>
      <c r="E576" s="3">
        <v>11</v>
      </c>
    </row>
    <row r="577" spans="1:5" x14ac:dyDescent="0.2">
      <c r="A577">
        <v>5</v>
      </c>
      <c r="B577" t="s">
        <v>280</v>
      </c>
      <c r="C577">
        <v>0</v>
      </c>
      <c r="D577">
        <v>2</v>
      </c>
      <c r="E577" s="3">
        <v>11</v>
      </c>
    </row>
    <row r="578" spans="1:5" x14ac:dyDescent="0.2">
      <c r="A578">
        <v>6</v>
      </c>
      <c r="B578" t="s">
        <v>69</v>
      </c>
      <c r="C578">
        <v>0</v>
      </c>
      <c r="D578">
        <v>1</v>
      </c>
      <c r="E578" s="3">
        <v>11</v>
      </c>
    </row>
    <row r="579" spans="1:5" x14ac:dyDescent="0.2">
      <c r="A579">
        <v>1</v>
      </c>
      <c r="B579" t="s">
        <v>463</v>
      </c>
      <c r="C579">
        <v>4</v>
      </c>
      <c r="D579">
        <v>16</v>
      </c>
      <c r="E579" s="3">
        <v>11</v>
      </c>
    </row>
    <row r="580" spans="1:5" x14ac:dyDescent="0.2">
      <c r="A580">
        <v>2</v>
      </c>
      <c r="B580" t="s">
        <v>18</v>
      </c>
      <c r="C580">
        <v>0</v>
      </c>
      <c r="D580">
        <v>12</v>
      </c>
      <c r="E580" s="3">
        <v>11</v>
      </c>
    </row>
    <row r="581" spans="1:5" x14ac:dyDescent="0.2">
      <c r="A581">
        <v>3</v>
      </c>
      <c r="B581" t="s">
        <v>12</v>
      </c>
      <c r="C581">
        <v>1</v>
      </c>
      <c r="D581">
        <v>8</v>
      </c>
      <c r="E581" s="3">
        <v>11</v>
      </c>
    </row>
    <row r="582" spans="1:5" x14ac:dyDescent="0.2">
      <c r="A582">
        <v>4</v>
      </c>
      <c r="B582" t="s">
        <v>20</v>
      </c>
      <c r="C582">
        <v>0</v>
      </c>
      <c r="D582">
        <v>4</v>
      </c>
      <c r="E582" s="3">
        <v>11</v>
      </c>
    </row>
    <row r="583" spans="1:5" x14ac:dyDescent="0.2">
      <c r="A583">
        <v>5</v>
      </c>
      <c r="B583" t="s">
        <v>452</v>
      </c>
      <c r="C583">
        <v>0</v>
      </c>
      <c r="D583">
        <v>2</v>
      </c>
      <c r="E583" s="3">
        <v>11</v>
      </c>
    </row>
    <row r="584" spans="1:5" x14ac:dyDescent="0.2">
      <c r="A584">
        <v>6</v>
      </c>
      <c r="B584" t="s">
        <v>377</v>
      </c>
      <c r="C584">
        <v>0</v>
      </c>
      <c r="D584">
        <v>1</v>
      </c>
      <c r="E584" s="3">
        <v>11</v>
      </c>
    </row>
    <row r="585" spans="1:5" x14ac:dyDescent="0.2">
      <c r="A585">
        <v>1</v>
      </c>
      <c r="B585" t="s">
        <v>73</v>
      </c>
      <c r="C585">
        <v>2</v>
      </c>
      <c r="D585">
        <v>16</v>
      </c>
      <c r="E585" s="3">
        <v>11</v>
      </c>
    </row>
    <row r="586" spans="1:5" x14ac:dyDescent="0.2">
      <c r="A586">
        <v>2</v>
      </c>
      <c r="B586" t="s">
        <v>345</v>
      </c>
      <c r="C586">
        <v>1</v>
      </c>
      <c r="D586">
        <v>12</v>
      </c>
      <c r="E586" s="3">
        <v>11</v>
      </c>
    </row>
    <row r="587" spans="1:5" x14ac:dyDescent="0.2">
      <c r="A587">
        <v>3</v>
      </c>
      <c r="B587" t="s">
        <v>48</v>
      </c>
      <c r="C587">
        <v>2</v>
      </c>
      <c r="D587">
        <v>8</v>
      </c>
      <c r="E587" s="3">
        <v>11</v>
      </c>
    </row>
    <row r="588" spans="1:5" x14ac:dyDescent="0.2">
      <c r="A588">
        <v>4</v>
      </c>
      <c r="B588" t="s">
        <v>15</v>
      </c>
      <c r="C588">
        <v>0</v>
      </c>
      <c r="D588">
        <v>4</v>
      </c>
      <c r="E588" s="3">
        <v>11</v>
      </c>
    </row>
    <row r="589" spans="1:5" x14ac:dyDescent="0.2">
      <c r="A589">
        <v>5</v>
      </c>
      <c r="B589" t="s">
        <v>21</v>
      </c>
      <c r="C589">
        <v>0</v>
      </c>
      <c r="D589">
        <v>2</v>
      </c>
      <c r="E589" s="3">
        <v>11</v>
      </c>
    </row>
    <row r="590" spans="1:5" x14ac:dyDescent="0.2">
      <c r="A590">
        <v>6</v>
      </c>
      <c r="B590" t="s">
        <v>26</v>
      </c>
      <c r="C590">
        <v>0</v>
      </c>
      <c r="D590">
        <v>1</v>
      </c>
      <c r="E590" s="3">
        <v>11</v>
      </c>
    </row>
    <row r="591" spans="1:5" x14ac:dyDescent="0.2">
      <c r="A591">
        <v>1</v>
      </c>
      <c r="B591" t="s">
        <v>475</v>
      </c>
      <c r="C591">
        <v>3</v>
      </c>
      <c r="D591">
        <v>16</v>
      </c>
      <c r="E591" s="3">
        <v>11</v>
      </c>
    </row>
    <row r="592" spans="1:5" x14ac:dyDescent="0.2">
      <c r="A592">
        <v>2</v>
      </c>
      <c r="B592" t="s">
        <v>42</v>
      </c>
      <c r="C592">
        <v>0</v>
      </c>
      <c r="D592">
        <v>12</v>
      </c>
      <c r="E592" s="3">
        <v>11</v>
      </c>
    </row>
    <row r="593" spans="1:5" x14ac:dyDescent="0.2">
      <c r="A593">
        <v>3</v>
      </c>
      <c r="B593" t="s">
        <v>74</v>
      </c>
      <c r="C593">
        <v>2</v>
      </c>
      <c r="D593">
        <v>8</v>
      </c>
      <c r="E593" s="3">
        <v>11</v>
      </c>
    </row>
    <row r="594" spans="1:5" x14ac:dyDescent="0.2">
      <c r="A594">
        <v>4</v>
      </c>
      <c r="B594" t="s">
        <v>59</v>
      </c>
      <c r="C594">
        <v>0</v>
      </c>
      <c r="D594">
        <v>4</v>
      </c>
      <c r="E594" s="3">
        <v>11</v>
      </c>
    </row>
    <row r="595" spans="1:5" x14ac:dyDescent="0.2">
      <c r="A595">
        <v>5</v>
      </c>
      <c r="B595" t="s">
        <v>468</v>
      </c>
      <c r="C595">
        <v>0</v>
      </c>
      <c r="D595">
        <v>2</v>
      </c>
      <c r="E595" s="3">
        <v>11</v>
      </c>
    </row>
    <row r="596" spans="1:5" x14ac:dyDescent="0.2">
      <c r="A596">
        <v>6</v>
      </c>
      <c r="B596" t="s">
        <v>450</v>
      </c>
      <c r="C596">
        <v>0</v>
      </c>
      <c r="D596">
        <v>1</v>
      </c>
      <c r="E596" s="3">
        <v>11</v>
      </c>
    </row>
    <row r="597" spans="1:5" x14ac:dyDescent="0.2">
      <c r="A597">
        <v>1</v>
      </c>
      <c r="B597" t="s">
        <v>60</v>
      </c>
      <c r="C597">
        <v>3</v>
      </c>
      <c r="D597">
        <v>16</v>
      </c>
      <c r="E597" s="3">
        <v>11</v>
      </c>
    </row>
    <row r="598" spans="1:5" x14ac:dyDescent="0.2">
      <c r="A598">
        <v>2</v>
      </c>
      <c r="B598" t="s">
        <v>481</v>
      </c>
      <c r="C598">
        <v>1</v>
      </c>
      <c r="D598">
        <v>12</v>
      </c>
      <c r="E598" s="3">
        <v>11</v>
      </c>
    </row>
    <row r="599" spans="1:5" x14ac:dyDescent="0.2">
      <c r="A599">
        <v>3</v>
      </c>
      <c r="B599" t="s">
        <v>50</v>
      </c>
      <c r="C599">
        <v>1</v>
      </c>
      <c r="D599">
        <v>8</v>
      </c>
      <c r="E599" s="3">
        <v>11</v>
      </c>
    </row>
    <row r="600" spans="1:5" x14ac:dyDescent="0.2">
      <c r="A600">
        <v>4</v>
      </c>
      <c r="B600" t="s">
        <v>25</v>
      </c>
      <c r="C600">
        <v>0</v>
      </c>
      <c r="D600">
        <v>4</v>
      </c>
      <c r="E600" s="3">
        <v>11</v>
      </c>
    </row>
    <row r="601" spans="1:5" x14ac:dyDescent="0.2">
      <c r="A601">
        <v>5</v>
      </c>
      <c r="B601" t="s">
        <v>39</v>
      </c>
      <c r="C601">
        <v>0</v>
      </c>
      <c r="D601">
        <v>2</v>
      </c>
      <c r="E601" s="3">
        <v>11</v>
      </c>
    </row>
    <row r="602" spans="1:5" x14ac:dyDescent="0.2">
      <c r="A602">
        <v>6</v>
      </c>
      <c r="B602" t="s">
        <v>65</v>
      </c>
      <c r="C602">
        <v>0</v>
      </c>
      <c r="D602">
        <v>1</v>
      </c>
      <c r="E602" s="3">
        <v>11</v>
      </c>
    </row>
    <row r="603" spans="1:5" x14ac:dyDescent="0.2">
      <c r="A603">
        <v>1</v>
      </c>
      <c r="B603" t="s">
        <v>457</v>
      </c>
      <c r="C603">
        <v>2</v>
      </c>
      <c r="D603">
        <v>15</v>
      </c>
      <c r="E603" s="3">
        <v>11</v>
      </c>
    </row>
    <row r="604" spans="1:5" x14ac:dyDescent="0.2">
      <c r="A604">
        <v>2</v>
      </c>
      <c r="B604" t="s">
        <v>9</v>
      </c>
      <c r="C604">
        <v>1</v>
      </c>
      <c r="D604">
        <v>11</v>
      </c>
      <c r="E604" s="3">
        <v>11</v>
      </c>
    </row>
    <row r="605" spans="1:5" x14ac:dyDescent="0.2">
      <c r="A605">
        <v>3</v>
      </c>
      <c r="B605" t="s">
        <v>27</v>
      </c>
      <c r="C605">
        <v>1</v>
      </c>
      <c r="D605">
        <v>7</v>
      </c>
      <c r="E605" s="3">
        <v>11</v>
      </c>
    </row>
    <row r="606" spans="1:5" x14ac:dyDescent="0.2">
      <c r="A606">
        <v>4</v>
      </c>
      <c r="B606" t="s">
        <v>66</v>
      </c>
      <c r="C606">
        <v>0</v>
      </c>
      <c r="D606">
        <v>3</v>
      </c>
      <c r="E606" s="3">
        <v>11</v>
      </c>
    </row>
    <row r="607" spans="1:5" x14ac:dyDescent="0.2">
      <c r="A607">
        <v>5</v>
      </c>
      <c r="B607" t="s">
        <v>473</v>
      </c>
      <c r="C607">
        <v>0</v>
      </c>
      <c r="D607">
        <v>1</v>
      </c>
      <c r="E607" s="3">
        <v>11</v>
      </c>
    </row>
    <row r="608" spans="1:5" x14ac:dyDescent="0.2">
      <c r="A608">
        <v>1</v>
      </c>
      <c r="B608" t="s">
        <v>53</v>
      </c>
      <c r="C608">
        <v>2</v>
      </c>
      <c r="D608">
        <v>16</v>
      </c>
      <c r="E608" s="3">
        <v>11</v>
      </c>
    </row>
    <row r="609" spans="1:5" x14ac:dyDescent="0.2">
      <c r="A609">
        <v>2</v>
      </c>
      <c r="B609" t="s">
        <v>471</v>
      </c>
      <c r="C609">
        <v>3</v>
      </c>
      <c r="D609">
        <v>12</v>
      </c>
      <c r="E609" s="3">
        <v>11</v>
      </c>
    </row>
    <row r="610" spans="1:5" x14ac:dyDescent="0.2">
      <c r="A610">
        <v>3</v>
      </c>
      <c r="B610" t="s">
        <v>454</v>
      </c>
      <c r="C610">
        <v>0</v>
      </c>
      <c r="D610">
        <v>8</v>
      </c>
      <c r="E610" s="3">
        <v>11</v>
      </c>
    </row>
    <row r="611" spans="1:5" x14ac:dyDescent="0.2">
      <c r="A611">
        <v>4</v>
      </c>
      <c r="B611" t="s">
        <v>264</v>
      </c>
      <c r="C611">
        <v>0</v>
      </c>
      <c r="D611">
        <v>4</v>
      </c>
      <c r="E611" s="3">
        <v>11</v>
      </c>
    </row>
    <row r="612" spans="1:5" x14ac:dyDescent="0.2">
      <c r="A612">
        <v>5</v>
      </c>
      <c r="B612" t="s">
        <v>55</v>
      </c>
      <c r="C612">
        <v>0</v>
      </c>
      <c r="D612">
        <v>2</v>
      </c>
      <c r="E612" s="3">
        <v>11</v>
      </c>
    </row>
    <row r="613" spans="1:5" x14ac:dyDescent="0.2">
      <c r="A613">
        <v>6</v>
      </c>
      <c r="B613" t="s">
        <v>40</v>
      </c>
      <c r="C613">
        <v>0</v>
      </c>
      <c r="D613">
        <v>1</v>
      </c>
      <c r="E613" s="3">
        <v>11</v>
      </c>
    </row>
    <row r="614" spans="1:5" x14ac:dyDescent="0.2">
      <c r="A614">
        <v>1</v>
      </c>
      <c r="B614" t="s">
        <v>53</v>
      </c>
      <c r="C614">
        <v>2</v>
      </c>
      <c r="D614">
        <v>16</v>
      </c>
      <c r="E614" s="3">
        <v>12</v>
      </c>
    </row>
    <row r="615" spans="1:5" x14ac:dyDescent="0.2">
      <c r="A615">
        <v>2</v>
      </c>
      <c r="B615" t="s">
        <v>67</v>
      </c>
      <c r="C615">
        <v>1</v>
      </c>
      <c r="D615">
        <v>12</v>
      </c>
      <c r="E615" s="3">
        <v>12</v>
      </c>
    </row>
    <row r="616" spans="1:5" x14ac:dyDescent="0.2">
      <c r="A616">
        <v>3</v>
      </c>
      <c r="B616" t="s">
        <v>462</v>
      </c>
      <c r="C616">
        <v>1</v>
      </c>
      <c r="D616">
        <v>8</v>
      </c>
      <c r="E616" s="3">
        <v>12</v>
      </c>
    </row>
    <row r="617" spans="1:5" x14ac:dyDescent="0.2">
      <c r="A617">
        <v>4</v>
      </c>
      <c r="B617" t="s">
        <v>483</v>
      </c>
      <c r="C617">
        <v>1</v>
      </c>
      <c r="D617">
        <v>4</v>
      </c>
      <c r="E617" s="3">
        <v>12</v>
      </c>
    </row>
    <row r="618" spans="1:5" x14ac:dyDescent="0.2">
      <c r="A618">
        <v>5</v>
      </c>
      <c r="B618" t="s">
        <v>87</v>
      </c>
      <c r="C618">
        <v>0</v>
      </c>
      <c r="D618">
        <v>2</v>
      </c>
      <c r="E618" s="3">
        <v>12</v>
      </c>
    </row>
    <row r="619" spans="1:5" x14ac:dyDescent="0.2">
      <c r="A619">
        <v>6</v>
      </c>
      <c r="B619" t="s">
        <v>454</v>
      </c>
      <c r="C619">
        <v>0</v>
      </c>
      <c r="D619">
        <v>1</v>
      </c>
      <c r="E619" s="3">
        <v>12</v>
      </c>
    </row>
    <row r="620" spans="1:5" x14ac:dyDescent="0.2">
      <c r="A620">
        <v>1</v>
      </c>
      <c r="B620" t="s">
        <v>29</v>
      </c>
      <c r="C620">
        <v>3</v>
      </c>
      <c r="D620">
        <v>16</v>
      </c>
      <c r="E620" s="3">
        <v>12</v>
      </c>
    </row>
    <row r="621" spans="1:5" x14ac:dyDescent="0.2">
      <c r="A621">
        <v>2</v>
      </c>
      <c r="B621" t="s">
        <v>75</v>
      </c>
      <c r="C621">
        <v>1</v>
      </c>
      <c r="D621">
        <v>12</v>
      </c>
      <c r="E621" s="3">
        <v>12</v>
      </c>
    </row>
    <row r="622" spans="1:5" x14ac:dyDescent="0.2">
      <c r="A622">
        <v>3</v>
      </c>
      <c r="B622" t="s">
        <v>25</v>
      </c>
      <c r="C622">
        <v>1</v>
      </c>
      <c r="D622">
        <v>8</v>
      </c>
      <c r="E622" s="3">
        <v>12</v>
      </c>
    </row>
    <row r="623" spans="1:5" x14ac:dyDescent="0.2">
      <c r="A623">
        <v>4</v>
      </c>
      <c r="B623" t="s">
        <v>28</v>
      </c>
      <c r="C623">
        <v>0</v>
      </c>
      <c r="D623">
        <v>4</v>
      </c>
      <c r="E623" s="3">
        <v>12</v>
      </c>
    </row>
    <row r="624" spans="1:5" x14ac:dyDescent="0.2">
      <c r="A624">
        <v>5</v>
      </c>
      <c r="B624" t="s">
        <v>368</v>
      </c>
      <c r="C624">
        <v>0</v>
      </c>
      <c r="D624">
        <v>2</v>
      </c>
      <c r="E624" s="3">
        <v>12</v>
      </c>
    </row>
    <row r="625" spans="1:5" x14ac:dyDescent="0.2">
      <c r="A625">
        <v>6</v>
      </c>
      <c r="B625" t="s">
        <v>91</v>
      </c>
      <c r="C625">
        <v>0</v>
      </c>
      <c r="D625">
        <v>1</v>
      </c>
      <c r="E625" s="3">
        <v>12</v>
      </c>
    </row>
    <row r="626" spans="1:5" x14ac:dyDescent="0.2">
      <c r="A626">
        <v>1</v>
      </c>
      <c r="B626" t="s">
        <v>18</v>
      </c>
      <c r="C626">
        <v>3</v>
      </c>
      <c r="D626">
        <v>15</v>
      </c>
      <c r="E626" s="3">
        <v>12</v>
      </c>
    </row>
    <row r="627" spans="1:5" x14ac:dyDescent="0.2">
      <c r="A627">
        <v>2</v>
      </c>
      <c r="B627" t="s">
        <v>450</v>
      </c>
      <c r="C627">
        <v>1</v>
      </c>
      <c r="D627">
        <v>11</v>
      </c>
      <c r="E627" s="3">
        <v>12</v>
      </c>
    </row>
    <row r="628" spans="1:5" x14ac:dyDescent="0.2">
      <c r="A628">
        <v>3</v>
      </c>
      <c r="B628" t="s">
        <v>52</v>
      </c>
      <c r="C628">
        <v>0</v>
      </c>
      <c r="D628">
        <v>7</v>
      </c>
      <c r="E628" s="3">
        <v>12</v>
      </c>
    </row>
    <row r="629" spans="1:5" x14ac:dyDescent="0.2">
      <c r="A629">
        <v>4</v>
      </c>
      <c r="B629" t="s">
        <v>92</v>
      </c>
      <c r="C629">
        <v>0</v>
      </c>
      <c r="D629">
        <v>3</v>
      </c>
      <c r="E629" s="3">
        <v>12</v>
      </c>
    </row>
    <row r="630" spans="1:5" x14ac:dyDescent="0.2">
      <c r="A630">
        <v>5</v>
      </c>
      <c r="B630" t="s">
        <v>50</v>
      </c>
      <c r="C630">
        <v>0</v>
      </c>
      <c r="D630">
        <v>1</v>
      </c>
      <c r="E630" s="3">
        <v>12</v>
      </c>
    </row>
    <row r="631" spans="1:5" x14ac:dyDescent="0.2">
      <c r="A631">
        <v>1</v>
      </c>
      <c r="B631" t="s">
        <v>55</v>
      </c>
      <c r="C631">
        <v>4</v>
      </c>
      <c r="D631">
        <v>16</v>
      </c>
      <c r="E631" s="3">
        <v>12</v>
      </c>
    </row>
    <row r="632" spans="1:5" x14ac:dyDescent="0.2">
      <c r="A632">
        <v>2</v>
      </c>
      <c r="B632" t="s">
        <v>21</v>
      </c>
      <c r="C632">
        <v>0</v>
      </c>
      <c r="D632">
        <v>12</v>
      </c>
      <c r="E632" s="3">
        <v>12</v>
      </c>
    </row>
    <row r="633" spans="1:5" x14ac:dyDescent="0.2">
      <c r="A633">
        <v>3</v>
      </c>
      <c r="B633" t="s">
        <v>33</v>
      </c>
      <c r="C633">
        <v>0</v>
      </c>
      <c r="D633">
        <v>8</v>
      </c>
      <c r="E633" s="3">
        <v>12</v>
      </c>
    </row>
    <row r="634" spans="1:5" x14ac:dyDescent="0.2">
      <c r="A634">
        <v>4</v>
      </c>
      <c r="B634" t="s">
        <v>264</v>
      </c>
      <c r="C634">
        <v>0</v>
      </c>
      <c r="D634">
        <v>4</v>
      </c>
      <c r="E634" s="3">
        <v>12</v>
      </c>
    </row>
    <row r="635" spans="1:5" x14ac:dyDescent="0.2">
      <c r="A635">
        <v>5</v>
      </c>
      <c r="B635" t="s">
        <v>65</v>
      </c>
      <c r="C635">
        <v>1</v>
      </c>
      <c r="D635">
        <v>2</v>
      </c>
      <c r="E635" s="3">
        <v>12</v>
      </c>
    </row>
    <row r="636" spans="1:5" x14ac:dyDescent="0.2">
      <c r="A636">
        <v>6</v>
      </c>
      <c r="B636" t="s">
        <v>19</v>
      </c>
      <c r="C636">
        <v>0</v>
      </c>
      <c r="D636">
        <v>1</v>
      </c>
      <c r="E636" s="3">
        <v>12</v>
      </c>
    </row>
    <row r="637" spans="1:5" x14ac:dyDescent="0.2">
      <c r="A637">
        <v>1</v>
      </c>
      <c r="B637" t="s">
        <v>66</v>
      </c>
      <c r="C637">
        <v>2</v>
      </c>
      <c r="D637">
        <v>15</v>
      </c>
      <c r="E637" s="3">
        <v>12</v>
      </c>
    </row>
    <row r="638" spans="1:5" x14ac:dyDescent="0.2">
      <c r="A638">
        <v>2</v>
      </c>
      <c r="B638" t="s">
        <v>479</v>
      </c>
      <c r="C638">
        <v>1</v>
      </c>
      <c r="D638">
        <v>11</v>
      </c>
      <c r="E638" s="3">
        <v>12</v>
      </c>
    </row>
    <row r="639" spans="1:5" x14ac:dyDescent="0.2">
      <c r="A639">
        <v>3</v>
      </c>
      <c r="B639" t="s">
        <v>26</v>
      </c>
      <c r="C639">
        <v>1</v>
      </c>
      <c r="D639">
        <v>7</v>
      </c>
      <c r="E639" s="3">
        <v>12</v>
      </c>
    </row>
    <row r="640" spans="1:5" x14ac:dyDescent="0.2">
      <c r="A640">
        <v>4</v>
      </c>
      <c r="B640" t="s">
        <v>46</v>
      </c>
      <c r="C640">
        <v>0</v>
      </c>
      <c r="D640">
        <v>3</v>
      </c>
      <c r="E640" s="3">
        <v>12</v>
      </c>
    </row>
    <row r="641" spans="1:5" x14ac:dyDescent="0.2">
      <c r="A641">
        <v>5</v>
      </c>
      <c r="B641" t="s">
        <v>81</v>
      </c>
      <c r="C641">
        <v>0</v>
      </c>
      <c r="D641">
        <v>1</v>
      </c>
      <c r="E641" s="3">
        <v>12</v>
      </c>
    </row>
    <row r="642" spans="1:5" x14ac:dyDescent="0.2">
      <c r="A642">
        <v>1</v>
      </c>
      <c r="B642" t="s">
        <v>45</v>
      </c>
      <c r="C642">
        <v>4</v>
      </c>
      <c r="D642">
        <v>16</v>
      </c>
      <c r="E642" s="3">
        <v>12</v>
      </c>
    </row>
    <row r="643" spans="1:5" x14ac:dyDescent="0.2">
      <c r="A643">
        <v>2</v>
      </c>
      <c r="B643" t="s">
        <v>74</v>
      </c>
      <c r="C643">
        <v>0</v>
      </c>
      <c r="D643">
        <v>12</v>
      </c>
      <c r="E643" s="3">
        <v>12</v>
      </c>
    </row>
    <row r="644" spans="1:5" x14ac:dyDescent="0.2">
      <c r="A644">
        <v>3</v>
      </c>
      <c r="B644" t="s">
        <v>42</v>
      </c>
      <c r="C644">
        <v>1</v>
      </c>
      <c r="D644">
        <v>8</v>
      </c>
      <c r="E644" s="3">
        <v>12</v>
      </c>
    </row>
    <row r="645" spans="1:5" x14ac:dyDescent="0.2">
      <c r="A645">
        <v>4</v>
      </c>
      <c r="B645" t="s">
        <v>48</v>
      </c>
      <c r="C645">
        <v>0</v>
      </c>
      <c r="D645">
        <v>4</v>
      </c>
      <c r="E645" s="3">
        <v>12</v>
      </c>
    </row>
    <row r="646" spans="1:5" x14ac:dyDescent="0.2">
      <c r="A646">
        <v>5</v>
      </c>
      <c r="B646" t="s">
        <v>73</v>
      </c>
      <c r="C646">
        <v>0</v>
      </c>
      <c r="D646">
        <v>2</v>
      </c>
      <c r="E646" s="3">
        <v>12</v>
      </c>
    </row>
    <row r="647" spans="1:5" x14ac:dyDescent="0.2">
      <c r="A647">
        <v>6</v>
      </c>
      <c r="B647" t="s">
        <v>371</v>
      </c>
      <c r="C647">
        <v>0</v>
      </c>
      <c r="D647">
        <v>1</v>
      </c>
      <c r="E647" s="3">
        <v>12</v>
      </c>
    </row>
    <row r="648" spans="1:5" x14ac:dyDescent="0.2">
      <c r="A648">
        <v>1</v>
      </c>
      <c r="B648" t="s">
        <v>468</v>
      </c>
      <c r="C648">
        <v>4</v>
      </c>
      <c r="D648">
        <v>16</v>
      </c>
      <c r="E648" s="3">
        <v>12</v>
      </c>
    </row>
    <row r="649" spans="1:5" x14ac:dyDescent="0.2">
      <c r="A649">
        <v>2</v>
      </c>
      <c r="B649" t="s">
        <v>39</v>
      </c>
      <c r="C649">
        <v>1</v>
      </c>
      <c r="D649">
        <v>12</v>
      </c>
      <c r="E649" s="3">
        <v>12</v>
      </c>
    </row>
    <row r="650" spans="1:5" x14ac:dyDescent="0.2">
      <c r="A650">
        <v>3</v>
      </c>
      <c r="B650" t="s">
        <v>12</v>
      </c>
      <c r="C650">
        <v>0</v>
      </c>
      <c r="D650">
        <v>8</v>
      </c>
      <c r="E650" s="3">
        <v>12</v>
      </c>
    </row>
    <row r="651" spans="1:5" x14ac:dyDescent="0.2">
      <c r="A651">
        <v>4</v>
      </c>
      <c r="B651" t="s">
        <v>35</v>
      </c>
      <c r="C651">
        <v>0</v>
      </c>
      <c r="D651">
        <v>4</v>
      </c>
      <c r="E651" s="3">
        <v>12</v>
      </c>
    </row>
    <row r="652" spans="1:5" x14ac:dyDescent="0.2">
      <c r="A652">
        <v>5</v>
      </c>
      <c r="B652" t="s">
        <v>20</v>
      </c>
      <c r="C652">
        <v>0</v>
      </c>
      <c r="D652">
        <v>2</v>
      </c>
      <c r="E652" s="3">
        <v>12</v>
      </c>
    </row>
    <row r="653" spans="1:5" x14ac:dyDescent="0.2">
      <c r="A653">
        <v>6</v>
      </c>
      <c r="B653" t="s">
        <v>345</v>
      </c>
      <c r="C653">
        <v>0</v>
      </c>
      <c r="D653">
        <v>1</v>
      </c>
      <c r="E653" s="3">
        <v>12</v>
      </c>
    </row>
    <row r="654" spans="1:5" x14ac:dyDescent="0.2">
      <c r="A654">
        <v>1</v>
      </c>
      <c r="B654" t="s">
        <v>452</v>
      </c>
      <c r="C654">
        <v>1</v>
      </c>
      <c r="D654">
        <v>16</v>
      </c>
      <c r="E654" s="3">
        <v>12</v>
      </c>
    </row>
    <row r="655" spans="1:5" x14ac:dyDescent="0.2">
      <c r="A655">
        <v>2</v>
      </c>
      <c r="B655" t="s">
        <v>27</v>
      </c>
      <c r="C655">
        <v>3</v>
      </c>
      <c r="D655">
        <v>12</v>
      </c>
      <c r="E655" s="3">
        <v>12</v>
      </c>
    </row>
    <row r="656" spans="1:5" x14ac:dyDescent="0.2">
      <c r="A656">
        <v>3</v>
      </c>
      <c r="B656" t="s">
        <v>481</v>
      </c>
      <c r="C656">
        <v>1</v>
      </c>
      <c r="D656">
        <v>8</v>
      </c>
      <c r="E656" s="3">
        <v>12</v>
      </c>
    </row>
    <row r="657" spans="1:5" x14ac:dyDescent="0.2">
      <c r="A657">
        <v>4</v>
      </c>
      <c r="B657" t="s">
        <v>473</v>
      </c>
      <c r="C657">
        <v>0</v>
      </c>
      <c r="D657">
        <v>4</v>
      </c>
      <c r="E657" s="3">
        <v>12</v>
      </c>
    </row>
    <row r="658" spans="1:5" x14ac:dyDescent="0.2">
      <c r="A658">
        <v>5</v>
      </c>
      <c r="B658" t="s">
        <v>15</v>
      </c>
      <c r="C658">
        <v>0</v>
      </c>
      <c r="D658">
        <v>2</v>
      </c>
      <c r="E658" s="3">
        <v>12</v>
      </c>
    </row>
    <row r="659" spans="1:5" x14ac:dyDescent="0.2">
      <c r="A659">
        <v>6</v>
      </c>
      <c r="B659" t="s">
        <v>14</v>
      </c>
      <c r="C659">
        <v>0</v>
      </c>
      <c r="D659">
        <v>1</v>
      </c>
      <c r="E659" s="3">
        <v>12</v>
      </c>
    </row>
    <row r="660" spans="1:5" x14ac:dyDescent="0.2">
      <c r="A660">
        <v>1</v>
      </c>
      <c r="B660" t="s">
        <v>6</v>
      </c>
      <c r="C660">
        <v>2</v>
      </c>
      <c r="D660">
        <v>16</v>
      </c>
      <c r="E660" s="3">
        <v>12</v>
      </c>
    </row>
    <row r="661" spans="1:5" x14ac:dyDescent="0.2">
      <c r="A661">
        <v>2</v>
      </c>
      <c r="B661" t="s">
        <v>68</v>
      </c>
      <c r="C661">
        <v>2</v>
      </c>
      <c r="D661">
        <v>12</v>
      </c>
      <c r="E661" s="3">
        <v>12</v>
      </c>
    </row>
    <row r="662" spans="1:5" x14ac:dyDescent="0.2">
      <c r="A662">
        <v>3</v>
      </c>
      <c r="B662" t="s">
        <v>60</v>
      </c>
      <c r="C662">
        <v>0</v>
      </c>
      <c r="D662">
        <v>8</v>
      </c>
      <c r="E662" s="3">
        <v>12</v>
      </c>
    </row>
    <row r="663" spans="1:5" x14ac:dyDescent="0.2">
      <c r="A663">
        <v>4</v>
      </c>
      <c r="B663" t="s">
        <v>457</v>
      </c>
      <c r="C663">
        <v>1</v>
      </c>
      <c r="D663">
        <v>4</v>
      </c>
      <c r="E663" s="3">
        <v>12</v>
      </c>
    </row>
    <row r="664" spans="1:5" x14ac:dyDescent="0.2">
      <c r="A664">
        <v>5</v>
      </c>
      <c r="B664" t="s">
        <v>377</v>
      </c>
      <c r="C664">
        <v>0</v>
      </c>
      <c r="D664">
        <v>2</v>
      </c>
      <c r="E664" s="3">
        <v>12</v>
      </c>
    </row>
    <row r="665" spans="1:5" x14ac:dyDescent="0.2">
      <c r="A665">
        <v>6</v>
      </c>
      <c r="B665" t="s">
        <v>40</v>
      </c>
      <c r="C665">
        <v>0</v>
      </c>
      <c r="D665">
        <v>1</v>
      </c>
      <c r="E665" s="3">
        <v>12</v>
      </c>
    </row>
    <row r="666" spans="1:5" x14ac:dyDescent="0.2">
      <c r="A666">
        <v>1</v>
      </c>
      <c r="B666" t="s">
        <v>345</v>
      </c>
      <c r="C666">
        <v>3</v>
      </c>
      <c r="D666">
        <v>16</v>
      </c>
      <c r="E666" s="3">
        <v>13</v>
      </c>
    </row>
    <row r="667" spans="1:5" x14ac:dyDescent="0.2">
      <c r="A667">
        <v>2</v>
      </c>
      <c r="B667" t="s">
        <v>27</v>
      </c>
      <c r="C667">
        <v>2</v>
      </c>
      <c r="D667">
        <v>12</v>
      </c>
      <c r="E667" s="3">
        <v>13</v>
      </c>
    </row>
    <row r="668" spans="1:5" x14ac:dyDescent="0.2">
      <c r="A668">
        <v>3</v>
      </c>
      <c r="B668" t="s">
        <v>59</v>
      </c>
      <c r="C668">
        <v>0</v>
      </c>
      <c r="D668">
        <v>8</v>
      </c>
      <c r="E668" s="3">
        <v>13</v>
      </c>
    </row>
    <row r="669" spans="1:5" x14ac:dyDescent="0.2">
      <c r="A669">
        <v>4</v>
      </c>
      <c r="B669" t="s">
        <v>29</v>
      </c>
      <c r="C669">
        <v>0</v>
      </c>
      <c r="D669">
        <v>4</v>
      </c>
      <c r="E669" s="3">
        <v>13</v>
      </c>
    </row>
    <row r="670" spans="1:5" x14ac:dyDescent="0.2">
      <c r="A670">
        <v>5</v>
      </c>
      <c r="B670" t="s">
        <v>75</v>
      </c>
      <c r="C670">
        <v>0</v>
      </c>
      <c r="D670">
        <v>2</v>
      </c>
      <c r="E670" s="3">
        <v>13</v>
      </c>
    </row>
    <row r="671" spans="1:5" x14ac:dyDescent="0.2">
      <c r="A671">
        <v>6</v>
      </c>
      <c r="B671" t="s">
        <v>81</v>
      </c>
      <c r="C671">
        <v>0</v>
      </c>
      <c r="D671">
        <v>1</v>
      </c>
      <c r="E671" s="3">
        <v>13</v>
      </c>
    </row>
    <row r="672" spans="1:5" x14ac:dyDescent="0.2">
      <c r="A672">
        <v>1</v>
      </c>
      <c r="B672" t="s">
        <v>52</v>
      </c>
      <c r="C672">
        <v>2</v>
      </c>
      <c r="D672">
        <v>16</v>
      </c>
      <c r="E672" s="3">
        <v>13</v>
      </c>
    </row>
    <row r="673" spans="1:5" x14ac:dyDescent="0.2">
      <c r="A673">
        <v>2</v>
      </c>
      <c r="B673" t="s">
        <v>69</v>
      </c>
      <c r="C673">
        <v>2</v>
      </c>
      <c r="D673">
        <v>12</v>
      </c>
      <c r="E673" s="3">
        <v>13</v>
      </c>
    </row>
    <row r="674" spans="1:5" x14ac:dyDescent="0.2">
      <c r="A674">
        <v>3</v>
      </c>
      <c r="B674" t="s">
        <v>74</v>
      </c>
      <c r="C674">
        <v>1</v>
      </c>
      <c r="D674">
        <v>8</v>
      </c>
      <c r="E674" s="3">
        <v>13</v>
      </c>
    </row>
    <row r="675" spans="1:5" x14ac:dyDescent="0.2">
      <c r="A675">
        <v>4</v>
      </c>
      <c r="B675" t="s">
        <v>6</v>
      </c>
      <c r="C675">
        <v>0</v>
      </c>
      <c r="D675">
        <v>4</v>
      </c>
      <c r="E675" s="3">
        <v>13</v>
      </c>
    </row>
    <row r="676" spans="1:5" x14ac:dyDescent="0.2">
      <c r="A676">
        <v>5</v>
      </c>
      <c r="B676" t="s">
        <v>481</v>
      </c>
      <c r="C676">
        <v>0</v>
      </c>
      <c r="D676">
        <v>2</v>
      </c>
      <c r="E676" s="3">
        <v>13</v>
      </c>
    </row>
    <row r="677" spans="1:5" x14ac:dyDescent="0.2">
      <c r="A677">
        <v>6</v>
      </c>
      <c r="B677" t="s">
        <v>26</v>
      </c>
      <c r="C677">
        <v>0</v>
      </c>
      <c r="D677">
        <v>1</v>
      </c>
      <c r="E677" s="3">
        <v>13</v>
      </c>
    </row>
    <row r="678" spans="1:5" x14ac:dyDescent="0.2">
      <c r="A678">
        <v>1</v>
      </c>
      <c r="B678" t="s">
        <v>41</v>
      </c>
      <c r="C678">
        <v>2</v>
      </c>
      <c r="D678">
        <v>17</v>
      </c>
      <c r="E678" s="3">
        <v>13</v>
      </c>
    </row>
    <row r="679" spans="1:5" x14ac:dyDescent="0.2">
      <c r="A679">
        <v>2</v>
      </c>
      <c r="B679" t="s">
        <v>68</v>
      </c>
      <c r="C679">
        <v>2</v>
      </c>
      <c r="D679">
        <v>13</v>
      </c>
      <c r="E679" s="3">
        <v>13</v>
      </c>
    </row>
    <row r="680" spans="1:5" x14ac:dyDescent="0.2">
      <c r="A680">
        <v>3</v>
      </c>
      <c r="B680" t="s">
        <v>73</v>
      </c>
      <c r="C680">
        <v>0</v>
      </c>
      <c r="D680">
        <v>9</v>
      </c>
      <c r="E680" s="3">
        <v>13</v>
      </c>
    </row>
    <row r="681" spans="1:5" x14ac:dyDescent="0.2">
      <c r="A681">
        <v>4</v>
      </c>
      <c r="B681" t="s">
        <v>46</v>
      </c>
      <c r="C681">
        <v>2</v>
      </c>
      <c r="D681">
        <v>5</v>
      </c>
      <c r="E681" s="3">
        <v>13</v>
      </c>
    </row>
    <row r="682" spans="1:5" x14ac:dyDescent="0.2">
      <c r="A682">
        <v>5</v>
      </c>
      <c r="B682" t="s">
        <v>368</v>
      </c>
      <c r="C682">
        <v>0</v>
      </c>
      <c r="D682">
        <v>3</v>
      </c>
      <c r="E682" s="3">
        <v>13</v>
      </c>
    </row>
    <row r="683" spans="1:5" x14ac:dyDescent="0.2">
      <c r="A683">
        <v>6</v>
      </c>
      <c r="B683" t="s">
        <v>55</v>
      </c>
      <c r="C683">
        <v>0</v>
      </c>
      <c r="D683">
        <v>2</v>
      </c>
      <c r="E683" s="3">
        <v>13</v>
      </c>
    </row>
    <row r="684" spans="1:5" x14ac:dyDescent="0.2">
      <c r="A684">
        <v>7</v>
      </c>
      <c r="B684" t="s">
        <v>91</v>
      </c>
      <c r="C684">
        <v>0</v>
      </c>
      <c r="D684">
        <v>1</v>
      </c>
      <c r="E684" s="3">
        <v>13</v>
      </c>
    </row>
    <row r="685" spans="1:5" x14ac:dyDescent="0.2">
      <c r="A685">
        <v>1</v>
      </c>
      <c r="B685" t="s">
        <v>48</v>
      </c>
      <c r="C685">
        <v>4</v>
      </c>
      <c r="D685">
        <v>16</v>
      </c>
      <c r="E685" s="3">
        <v>13</v>
      </c>
    </row>
    <row r="686" spans="1:5" x14ac:dyDescent="0.2">
      <c r="A686">
        <v>2</v>
      </c>
      <c r="B686" t="s">
        <v>18</v>
      </c>
      <c r="C686">
        <v>1</v>
      </c>
      <c r="D686">
        <v>12</v>
      </c>
      <c r="E686" s="3">
        <v>13</v>
      </c>
    </row>
    <row r="687" spans="1:5" x14ac:dyDescent="0.2">
      <c r="A687">
        <v>3</v>
      </c>
      <c r="B687" t="s">
        <v>28</v>
      </c>
      <c r="C687">
        <v>0</v>
      </c>
      <c r="D687">
        <v>8</v>
      </c>
      <c r="E687" s="3">
        <v>13</v>
      </c>
    </row>
    <row r="688" spans="1:5" x14ac:dyDescent="0.2">
      <c r="A688">
        <v>4</v>
      </c>
      <c r="B688" t="s">
        <v>479</v>
      </c>
      <c r="C688">
        <v>0</v>
      </c>
      <c r="D688">
        <v>4</v>
      </c>
      <c r="E688" s="3">
        <v>13</v>
      </c>
    </row>
    <row r="689" spans="1:5" x14ac:dyDescent="0.2">
      <c r="A689">
        <v>5</v>
      </c>
      <c r="B689" t="s">
        <v>60</v>
      </c>
      <c r="C689">
        <v>0</v>
      </c>
      <c r="D689">
        <v>2</v>
      </c>
      <c r="E689" s="3">
        <v>13</v>
      </c>
    </row>
    <row r="690" spans="1:5" x14ac:dyDescent="0.2">
      <c r="A690">
        <v>6</v>
      </c>
      <c r="B690" t="s">
        <v>264</v>
      </c>
      <c r="C690">
        <v>0</v>
      </c>
      <c r="D690">
        <v>1</v>
      </c>
      <c r="E690" s="3">
        <v>13</v>
      </c>
    </row>
    <row r="691" spans="1:5" x14ac:dyDescent="0.2">
      <c r="A691">
        <v>1</v>
      </c>
      <c r="B691" t="s">
        <v>65</v>
      </c>
      <c r="C691">
        <v>3</v>
      </c>
      <c r="D691">
        <v>16</v>
      </c>
      <c r="E691" s="3">
        <v>13</v>
      </c>
    </row>
    <row r="692" spans="1:5" x14ac:dyDescent="0.2">
      <c r="A692">
        <v>2</v>
      </c>
      <c r="B692" t="s">
        <v>473</v>
      </c>
      <c r="C692">
        <v>1</v>
      </c>
      <c r="D692">
        <v>12</v>
      </c>
      <c r="E692" s="3">
        <v>13</v>
      </c>
    </row>
    <row r="693" spans="1:5" x14ac:dyDescent="0.2">
      <c r="A693">
        <v>3</v>
      </c>
      <c r="B693" t="s">
        <v>452</v>
      </c>
      <c r="C693">
        <v>1</v>
      </c>
      <c r="D693">
        <v>8</v>
      </c>
      <c r="E693" s="3">
        <v>13</v>
      </c>
    </row>
    <row r="694" spans="1:5" x14ac:dyDescent="0.2">
      <c r="A694">
        <v>4</v>
      </c>
      <c r="B694" t="s">
        <v>101</v>
      </c>
      <c r="C694">
        <v>0</v>
      </c>
      <c r="D694">
        <v>4</v>
      </c>
      <c r="E694" s="3">
        <v>13</v>
      </c>
    </row>
    <row r="695" spans="1:5" x14ac:dyDescent="0.2">
      <c r="A695">
        <v>5</v>
      </c>
      <c r="B695" t="s">
        <v>87</v>
      </c>
      <c r="C695">
        <v>0</v>
      </c>
      <c r="D695">
        <v>2</v>
      </c>
      <c r="E695" s="3">
        <v>13</v>
      </c>
    </row>
    <row r="696" spans="1:5" x14ac:dyDescent="0.2">
      <c r="A696">
        <v>6</v>
      </c>
      <c r="B696" t="s">
        <v>463</v>
      </c>
      <c r="C696">
        <v>0</v>
      </c>
      <c r="D696">
        <v>1</v>
      </c>
      <c r="E696" s="3">
        <v>13</v>
      </c>
    </row>
    <row r="697" spans="1:5" x14ac:dyDescent="0.2">
      <c r="A697">
        <v>1</v>
      </c>
      <c r="B697" t="s">
        <v>9</v>
      </c>
      <c r="C697">
        <v>5</v>
      </c>
      <c r="D697">
        <v>16</v>
      </c>
      <c r="E697" s="3">
        <v>13</v>
      </c>
    </row>
    <row r="698" spans="1:5" x14ac:dyDescent="0.2">
      <c r="A698">
        <v>2</v>
      </c>
      <c r="B698" t="s">
        <v>66</v>
      </c>
      <c r="C698">
        <v>0</v>
      </c>
      <c r="D698">
        <v>12</v>
      </c>
      <c r="E698" s="3">
        <v>13</v>
      </c>
    </row>
    <row r="699" spans="1:5" x14ac:dyDescent="0.2">
      <c r="A699">
        <v>3</v>
      </c>
      <c r="B699" t="s">
        <v>25</v>
      </c>
      <c r="C699">
        <v>0</v>
      </c>
      <c r="D699">
        <v>8</v>
      </c>
      <c r="E699" s="3">
        <v>13</v>
      </c>
    </row>
    <row r="700" spans="1:5" x14ac:dyDescent="0.2">
      <c r="A700">
        <v>4</v>
      </c>
      <c r="B700" t="s">
        <v>19</v>
      </c>
      <c r="C700">
        <v>0</v>
      </c>
      <c r="D700">
        <v>4</v>
      </c>
      <c r="E700" s="3">
        <v>13</v>
      </c>
    </row>
    <row r="701" spans="1:5" x14ac:dyDescent="0.2">
      <c r="A701">
        <v>5</v>
      </c>
      <c r="B701" t="s">
        <v>42</v>
      </c>
      <c r="C701">
        <v>0</v>
      </c>
      <c r="D701">
        <v>2</v>
      </c>
      <c r="E701" s="3">
        <v>13</v>
      </c>
    </row>
    <row r="702" spans="1:5" x14ac:dyDescent="0.2">
      <c r="A702">
        <v>6</v>
      </c>
      <c r="B702" t="s">
        <v>35</v>
      </c>
      <c r="C702">
        <v>0</v>
      </c>
      <c r="D702">
        <v>1</v>
      </c>
      <c r="E702" s="3">
        <v>13</v>
      </c>
    </row>
    <row r="703" spans="1:5" x14ac:dyDescent="0.2">
      <c r="A703">
        <v>1</v>
      </c>
      <c r="B703" t="s">
        <v>461</v>
      </c>
      <c r="C703">
        <v>3</v>
      </c>
      <c r="D703">
        <v>16</v>
      </c>
      <c r="E703" s="3">
        <v>13</v>
      </c>
    </row>
    <row r="704" spans="1:5" x14ac:dyDescent="0.2">
      <c r="A704">
        <v>2</v>
      </c>
      <c r="B704" t="s">
        <v>14</v>
      </c>
      <c r="C704">
        <v>1</v>
      </c>
      <c r="D704">
        <v>12</v>
      </c>
      <c r="E704" s="3">
        <v>13</v>
      </c>
    </row>
    <row r="705" spans="1:5" x14ac:dyDescent="0.2">
      <c r="A705">
        <v>3</v>
      </c>
      <c r="B705" t="s">
        <v>15</v>
      </c>
      <c r="C705">
        <v>0</v>
      </c>
      <c r="D705">
        <v>8</v>
      </c>
      <c r="E705" s="3">
        <v>13</v>
      </c>
    </row>
    <row r="706" spans="1:5" x14ac:dyDescent="0.2">
      <c r="A706">
        <v>4</v>
      </c>
      <c r="B706" t="s">
        <v>50</v>
      </c>
      <c r="C706">
        <v>0</v>
      </c>
      <c r="D706">
        <v>4</v>
      </c>
      <c r="E706" s="3">
        <v>13</v>
      </c>
    </row>
    <row r="707" spans="1:5" x14ac:dyDescent="0.2">
      <c r="A707">
        <v>5</v>
      </c>
      <c r="B707" t="s">
        <v>371</v>
      </c>
      <c r="C707">
        <v>1</v>
      </c>
      <c r="D707">
        <v>2</v>
      </c>
      <c r="E707" s="3">
        <v>13</v>
      </c>
    </row>
    <row r="708" spans="1:5" x14ac:dyDescent="0.2">
      <c r="A708">
        <v>6</v>
      </c>
      <c r="B708" t="s">
        <v>457</v>
      </c>
      <c r="C708">
        <v>0</v>
      </c>
      <c r="D708">
        <v>1</v>
      </c>
      <c r="E708" s="3">
        <v>13</v>
      </c>
    </row>
    <row r="709" spans="1:5" x14ac:dyDescent="0.2">
      <c r="A709">
        <v>1</v>
      </c>
      <c r="B709" t="s">
        <v>40</v>
      </c>
      <c r="C709">
        <v>3</v>
      </c>
      <c r="D709">
        <v>16</v>
      </c>
      <c r="E709" s="3">
        <v>13</v>
      </c>
    </row>
    <row r="710" spans="1:5" x14ac:dyDescent="0.2">
      <c r="A710">
        <v>2</v>
      </c>
      <c r="B710" t="s">
        <v>451</v>
      </c>
      <c r="C710">
        <v>2</v>
      </c>
      <c r="D710">
        <v>12</v>
      </c>
      <c r="E710" s="3">
        <v>13</v>
      </c>
    </row>
    <row r="711" spans="1:5" x14ac:dyDescent="0.2">
      <c r="A711">
        <v>3</v>
      </c>
      <c r="B711" t="s">
        <v>12</v>
      </c>
      <c r="C711">
        <v>0</v>
      </c>
      <c r="D711">
        <v>8</v>
      </c>
      <c r="E711" s="3">
        <v>13</v>
      </c>
    </row>
    <row r="712" spans="1:5" x14ac:dyDescent="0.2">
      <c r="A712">
        <v>4</v>
      </c>
      <c r="B712" t="s">
        <v>76</v>
      </c>
      <c r="C712">
        <v>0</v>
      </c>
      <c r="D712">
        <v>4</v>
      </c>
      <c r="E712" s="3">
        <v>13</v>
      </c>
    </row>
    <row r="713" spans="1:5" x14ac:dyDescent="0.2">
      <c r="A713">
        <v>5</v>
      </c>
      <c r="B713" t="s">
        <v>21</v>
      </c>
      <c r="C713">
        <v>0</v>
      </c>
      <c r="D713">
        <v>2</v>
      </c>
      <c r="E713" s="3">
        <v>13</v>
      </c>
    </row>
    <row r="714" spans="1:5" x14ac:dyDescent="0.2">
      <c r="A714">
        <v>6</v>
      </c>
      <c r="B714" t="s">
        <v>45</v>
      </c>
      <c r="C714">
        <v>0</v>
      </c>
      <c r="D714">
        <v>1</v>
      </c>
      <c r="E714" s="3">
        <v>13</v>
      </c>
    </row>
    <row r="715" spans="1:5" x14ac:dyDescent="0.2">
      <c r="A715">
        <v>1</v>
      </c>
      <c r="B715" t="s">
        <v>18</v>
      </c>
      <c r="C715">
        <v>2</v>
      </c>
      <c r="D715">
        <v>16</v>
      </c>
      <c r="E715" s="3">
        <v>14</v>
      </c>
    </row>
    <row r="716" spans="1:5" x14ac:dyDescent="0.2">
      <c r="A716">
        <v>2</v>
      </c>
      <c r="B716" t="s">
        <v>484</v>
      </c>
      <c r="C716">
        <v>3</v>
      </c>
      <c r="D716">
        <v>12</v>
      </c>
      <c r="E716" s="3">
        <v>14</v>
      </c>
    </row>
    <row r="717" spans="1:5" x14ac:dyDescent="0.2">
      <c r="A717">
        <v>3</v>
      </c>
      <c r="B717" t="s">
        <v>264</v>
      </c>
      <c r="C717">
        <v>0</v>
      </c>
      <c r="D717">
        <v>8</v>
      </c>
      <c r="E717" s="3">
        <v>14</v>
      </c>
    </row>
    <row r="718" spans="1:5" x14ac:dyDescent="0.2">
      <c r="A718">
        <v>4</v>
      </c>
      <c r="B718" t="s">
        <v>461</v>
      </c>
      <c r="C718">
        <v>0</v>
      </c>
      <c r="D718">
        <v>4</v>
      </c>
      <c r="E718" s="3">
        <v>14</v>
      </c>
    </row>
    <row r="719" spans="1:5" x14ac:dyDescent="0.2">
      <c r="A719">
        <v>5</v>
      </c>
      <c r="B719" t="s">
        <v>46</v>
      </c>
      <c r="C719">
        <v>0</v>
      </c>
      <c r="D719">
        <v>2</v>
      </c>
      <c r="E719" s="3">
        <v>14</v>
      </c>
    </row>
    <row r="720" spans="1:5" x14ac:dyDescent="0.2">
      <c r="A720">
        <v>6</v>
      </c>
      <c r="B720" t="s">
        <v>40</v>
      </c>
      <c r="C720">
        <v>0</v>
      </c>
      <c r="D720">
        <v>1</v>
      </c>
      <c r="E720" s="3">
        <v>14</v>
      </c>
    </row>
    <row r="721" spans="1:5" x14ac:dyDescent="0.2">
      <c r="A721">
        <v>1</v>
      </c>
      <c r="B721" t="s">
        <v>32</v>
      </c>
      <c r="C721">
        <v>2</v>
      </c>
      <c r="D721">
        <v>17</v>
      </c>
      <c r="E721" s="3">
        <v>14</v>
      </c>
    </row>
    <row r="722" spans="1:5" x14ac:dyDescent="0.2">
      <c r="A722">
        <v>2</v>
      </c>
      <c r="B722" t="s">
        <v>27</v>
      </c>
      <c r="C722">
        <v>3</v>
      </c>
      <c r="D722">
        <v>13</v>
      </c>
      <c r="E722" s="3">
        <v>14</v>
      </c>
    </row>
    <row r="723" spans="1:5" x14ac:dyDescent="0.2">
      <c r="A723">
        <v>3</v>
      </c>
      <c r="B723" t="s">
        <v>81</v>
      </c>
      <c r="C723">
        <v>0</v>
      </c>
      <c r="D723">
        <v>9</v>
      </c>
      <c r="E723" s="3">
        <v>14</v>
      </c>
    </row>
    <row r="724" spans="1:5" x14ac:dyDescent="0.2">
      <c r="A724">
        <v>4</v>
      </c>
      <c r="B724" t="s">
        <v>479</v>
      </c>
      <c r="C724">
        <v>1</v>
      </c>
      <c r="D724">
        <v>5</v>
      </c>
      <c r="E724" s="3">
        <v>14</v>
      </c>
    </row>
    <row r="725" spans="1:5" x14ac:dyDescent="0.2">
      <c r="A725">
        <v>5</v>
      </c>
      <c r="B725" t="s">
        <v>42</v>
      </c>
      <c r="C725">
        <v>0</v>
      </c>
      <c r="D725">
        <v>3</v>
      </c>
      <c r="E725" s="3">
        <v>14</v>
      </c>
    </row>
    <row r="726" spans="1:5" x14ac:dyDescent="0.2">
      <c r="A726">
        <v>6</v>
      </c>
      <c r="B726" t="s">
        <v>450</v>
      </c>
      <c r="C726">
        <v>0</v>
      </c>
      <c r="D726">
        <v>2</v>
      </c>
      <c r="E726" s="3">
        <v>14</v>
      </c>
    </row>
    <row r="727" spans="1:5" x14ac:dyDescent="0.2">
      <c r="A727">
        <v>7</v>
      </c>
      <c r="B727" t="s">
        <v>66</v>
      </c>
      <c r="C727">
        <v>0</v>
      </c>
      <c r="D727">
        <v>1</v>
      </c>
      <c r="E727" s="3">
        <v>14</v>
      </c>
    </row>
    <row r="728" spans="1:5" x14ac:dyDescent="0.2">
      <c r="A728">
        <v>1</v>
      </c>
      <c r="B728" t="s">
        <v>19</v>
      </c>
      <c r="C728">
        <v>3</v>
      </c>
      <c r="D728">
        <v>17</v>
      </c>
      <c r="E728" s="3">
        <v>14</v>
      </c>
    </row>
    <row r="729" spans="1:5" x14ac:dyDescent="0.2">
      <c r="A729">
        <v>2</v>
      </c>
      <c r="B729" t="s">
        <v>68</v>
      </c>
      <c r="C729">
        <v>0</v>
      </c>
      <c r="D729">
        <v>13</v>
      </c>
      <c r="E729" s="3">
        <v>14</v>
      </c>
    </row>
    <row r="730" spans="1:5" x14ac:dyDescent="0.2">
      <c r="A730">
        <v>3</v>
      </c>
      <c r="B730" t="s">
        <v>41</v>
      </c>
      <c r="C730">
        <v>2</v>
      </c>
      <c r="D730">
        <v>9</v>
      </c>
      <c r="E730" s="3">
        <v>14</v>
      </c>
    </row>
    <row r="731" spans="1:5" x14ac:dyDescent="0.2">
      <c r="A731">
        <v>4</v>
      </c>
      <c r="B731" t="s">
        <v>280</v>
      </c>
      <c r="C731">
        <v>1</v>
      </c>
      <c r="D731">
        <v>5</v>
      </c>
      <c r="E731" s="3">
        <v>14</v>
      </c>
    </row>
    <row r="732" spans="1:5" x14ac:dyDescent="0.2">
      <c r="A732">
        <v>5</v>
      </c>
      <c r="B732" t="s">
        <v>35</v>
      </c>
      <c r="C732">
        <v>0</v>
      </c>
      <c r="D732">
        <v>3</v>
      </c>
      <c r="E732" s="3">
        <v>14</v>
      </c>
    </row>
    <row r="733" spans="1:5" x14ac:dyDescent="0.2">
      <c r="A733">
        <v>6</v>
      </c>
      <c r="B733" t="s">
        <v>29</v>
      </c>
      <c r="C733">
        <v>0</v>
      </c>
      <c r="D733">
        <v>2</v>
      </c>
      <c r="E733" s="3">
        <v>14</v>
      </c>
    </row>
    <row r="734" spans="1:5" x14ac:dyDescent="0.2">
      <c r="A734">
        <v>7</v>
      </c>
      <c r="B734" t="s">
        <v>69</v>
      </c>
      <c r="C734">
        <v>0</v>
      </c>
      <c r="D734">
        <v>1</v>
      </c>
      <c r="E734" s="3">
        <v>14</v>
      </c>
    </row>
    <row r="735" spans="1:5" x14ac:dyDescent="0.2">
      <c r="A735">
        <v>1</v>
      </c>
      <c r="B735" t="s">
        <v>59</v>
      </c>
      <c r="C735">
        <v>4</v>
      </c>
      <c r="D735">
        <v>17</v>
      </c>
      <c r="E735" s="3">
        <v>14</v>
      </c>
    </row>
    <row r="736" spans="1:5" x14ac:dyDescent="0.2">
      <c r="A736">
        <v>2</v>
      </c>
      <c r="B736" t="s">
        <v>473</v>
      </c>
      <c r="C736">
        <v>1</v>
      </c>
      <c r="D736">
        <v>13</v>
      </c>
      <c r="E736" s="3">
        <v>14</v>
      </c>
    </row>
    <row r="737" spans="1:5" x14ac:dyDescent="0.2">
      <c r="A737">
        <v>3</v>
      </c>
      <c r="B737" t="s">
        <v>101</v>
      </c>
      <c r="C737">
        <v>0</v>
      </c>
      <c r="D737">
        <v>9</v>
      </c>
      <c r="E737" s="3">
        <v>14</v>
      </c>
    </row>
    <row r="738" spans="1:5" x14ac:dyDescent="0.2">
      <c r="A738">
        <v>4</v>
      </c>
      <c r="B738" t="s">
        <v>33</v>
      </c>
      <c r="C738">
        <v>0</v>
      </c>
      <c r="D738">
        <v>5</v>
      </c>
      <c r="E738" s="3">
        <v>14</v>
      </c>
    </row>
    <row r="739" spans="1:5" x14ac:dyDescent="0.2">
      <c r="A739">
        <v>5</v>
      </c>
      <c r="B739" t="s">
        <v>21</v>
      </c>
      <c r="C739">
        <v>1</v>
      </c>
      <c r="D739">
        <v>3</v>
      </c>
      <c r="E739" s="3">
        <v>14</v>
      </c>
    </row>
    <row r="740" spans="1:5" x14ac:dyDescent="0.2">
      <c r="A740">
        <v>6</v>
      </c>
      <c r="B740" t="s">
        <v>474</v>
      </c>
      <c r="C740">
        <v>0</v>
      </c>
      <c r="D740">
        <v>2</v>
      </c>
      <c r="E740" s="3">
        <v>14</v>
      </c>
    </row>
    <row r="741" spans="1:5" x14ac:dyDescent="0.2">
      <c r="A741">
        <v>7</v>
      </c>
      <c r="B741" t="s">
        <v>73</v>
      </c>
      <c r="C741">
        <v>0</v>
      </c>
      <c r="D741">
        <v>1</v>
      </c>
      <c r="E741" s="3">
        <v>14</v>
      </c>
    </row>
    <row r="742" spans="1:5" x14ac:dyDescent="0.2">
      <c r="A742">
        <v>1</v>
      </c>
      <c r="B742" t="s">
        <v>87</v>
      </c>
      <c r="C742">
        <v>3</v>
      </c>
      <c r="D742">
        <v>16</v>
      </c>
      <c r="E742" s="3">
        <v>14</v>
      </c>
    </row>
    <row r="743" spans="1:5" x14ac:dyDescent="0.2">
      <c r="A743">
        <v>2</v>
      </c>
      <c r="B743" t="s">
        <v>75</v>
      </c>
      <c r="C743">
        <v>2</v>
      </c>
      <c r="D743">
        <v>12</v>
      </c>
      <c r="E743" s="3">
        <v>14</v>
      </c>
    </row>
    <row r="744" spans="1:5" x14ac:dyDescent="0.2">
      <c r="A744">
        <v>3</v>
      </c>
      <c r="B744" t="s">
        <v>6</v>
      </c>
      <c r="C744">
        <v>0</v>
      </c>
      <c r="D744">
        <v>8</v>
      </c>
      <c r="E744" s="3">
        <v>14</v>
      </c>
    </row>
    <row r="745" spans="1:5" x14ac:dyDescent="0.2">
      <c r="A745">
        <v>4</v>
      </c>
      <c r="B745" t="s">
        <v>368</v>
      </c>
      <c r="C745">
        <v>0</v>
      </c>
      <c r="D745">
        <v>4</v>
      </c>
      <c r="E745" s="3">
        <v>14</v>
      </c>
    </row>
    <row r="746" spans="1:5" x14ac:dyDescent="0.2">
      <c r="A746">
        <v>5</v>
      </c>
      <c r="B746" t="s">
        <v>39</v>
      </c>
      <c r="C746">
        <v>0</v>
      </c>
      <c r="D746">
        <v>2</v>
      </c>
      <c r="E746" s="3">
        <v>14</v>
      </c>
    </row>
    <row r="747" spans="1:5" x14ac:dyDescent="0.2">
      <c r="A747">
        <v>6</v>
      </c>
      <c r="B747" t="s">
        <v>345</v>
      </c>
      <c r="C747">
        <v>0</v>
      </c>
      <c r="D747">
        <v>1</v>
      </c>
      <c r="E747" s="3">
        <v>14</v>
      </c>
    </row>
    <row r="748" spans="1:5" x14ac:dyDescent="0.2">
      <c r="A748">
        <v>1</v>
      </c>
      <c r="B748" t="s">
        <v>25</v>
      </c>
      <c r="C748">
        <v>2</v>
      </c>
      <c r="D748">
        <v>16</v>
      </c>
      <c r="E748" s="3">
        <v>14</v>
      </c>
    </row>
    <row r="749" spans="1:5" x14ac:dyDescent="0.2">
      <c r="A749">
        <v>2</v>
      </c>
      <c r="B749" t="s">
        <v>74</v>
      </c>
      <c r="C749">
        <v>0</v>
      </c>
      <c r="D749">
        <v>12</v>
      </c>
      <c r="E749" s="3">
        <v>14</v>
      </c>
    </row>
    <row r="750" spans="1:5" x14ac:dyDescent="0.2">
      <c r="A750">
        <v>3</v>
      </c>
      <c r="B750" t="s">
        <v>459</v>
      </c>
      <c r="C750">
        <v>3</v>
      </c>
      <c r="D750">
        <v>8</v>
      </c>
      <c r="E750" s="3">
        <v>14</v>
      </c>
    </row>
    <row r="751" spans="1:5" x14ac:dyDescent="0.2">
      <c r="A751">
        <v>4</v>
      </c>
      <c r="B751" t="s">
        <v>371</v>
      </c>
      <c r="C751">
        <v>0</v>
      </c>
      <c r="D751">
        <v>4</v>
      </c>
      <c r="E751" s="3">
        <v>14</v>
      </c>
    </row>
    <row r="752" spans="1:5" x14ac:dyDescent="0.2">
      <c r="A752">
        <v>5</v>
      </c>
      <c r="B752" t="s">
        <v>60</v>
      </c>
      <c r="C752">
        <v>0</v>
      </c>
      <c r="D752">
        <v>2</v>
      </c>
      <c r="E752" s="3">
        <v>14</v>
      </c>
    </row>
    <row r="753" spans="1:5" x14ac:dyDescent="0.2">
      <c r="A753">
        <v>6</v>
      </c>
      <c r="B753" t="s">
        <v>65</v>
      </c>
      <c r="C753">
        <v>0</v>
      </c>
      <c r="D753">
        <v>1</v>
      </c>
      <c r="E753" s="3">
        <v>14</v>
      </c>
    </row>
    <row r="754" spans="1:5" x14ac:dyDescent="0.2">
      <c r="A754">
        <v>1</v>
      </c>
      <c r="B754" t="s">
        <v>12</v>
      </c>
      <c r="C754">
        <v>5</v>
      </c>
      <c r="D754">
        <v>16</v>
      </c>
      <c r="E754" s="3">
        <v>14</v>
      </c>
    </row>
    <row r="755" spans="1:5" x14ac:dyDescent="0.2">
      <c r="A755">
        <v>2</v>
      </c>
      <c r="B755" t="s">
        <v>48</v>
      </c>
      <c r="C755">
        <v>0</v>
      </c>
      <c r="D755">
        <v>12</v>
      </c>
      <c r="E755" s="3">
        <v>14</v>
      </c>
    </row>
    <row r="756" spans="1:5" x14ac:dyDescent="0.2">
      <c r="A756">
        <v>3</v>
      </c>
      <c r="B756" t="s">
        <v>53</v>
      </c>
      <c r="C756">
        <v>0</v>
      </c>
      <c r="D756">
        <v>8</v>
      </c>
      <c r="E756" s="3">
        <v>14</v>
      </c>
    </row>
    <row r="757" spans="1:5" x14ac:dyDescent="0.2">
      <c r="A757">
        <v>4</v>
      </c>
      <c r="B757" t="s">
        <v>45</v>
      </c>
      <c r="C757">
        <v>0</v>
      </c>
      <c r="D757">
        <v>4</v>
      </c>
      <c r="E757" s="3">
        <v>14</v>
      </c>
    </row>
    <row r="758" spans="1:5" x14ac:dyDescent="0.2">
      <c r="A758">
        <v>5</v>
      </c>
      <c r="B758" t="s">
        <v>454</v>
      </c>
      <c r="C758">
        <v>0</v>
      </c>
      <c r="D758">
        <v>2</v>
      </c>
      <c r="E758" s="3">
        <v>14</v>
      </c>
    </row>
    <row r="759" spans="1:5" x14ac:dyDescent="0.2">
      <c r="A759">
        <v>6</v>
      </c>
      <c r="B759" t="s">
        <v>9</v>
      </c>
      <c r="C759">
        <v>0</v>
      </c>
      <c r="D759">
        <v>1</v>
      </c>
      <c r="E759" s="3">
        <v>14</v>
      </c>
    </row>
    <row r="760" spans="1:5" x14ac:dyDescent="0.2">
      <c r="A760">
        <v>1</v>
      </c>
      <c r="B760" t="s">
        <v>52</v>
      </c>
      <c r="C760">
        <v>3</v>
      </c>
      <c r="D760">
        <v>16</v>
      </c>
      <c r="E760" s="3">
        <v>14</v>
      </c>
    </row>
    <row r="761" spans="1:5" x14ac:dyDescent="0.2">
      <c r="A761">
        <v>2</v>
      </c>
      <c r="B761" t="s">
        <v>26</v>
      </c>
      <c r="C761">
        <v>0</v>
      </c>
      <c r="D761">
        <v>12</v>
      </c>
      <c r="E761" s="3">
        <v>14</v>
      </c>
    </row>
    <row r="762" spans="1:5" x14ac:dyDescent="0.2">
      <c r="A762">
        <v>3</v>
      </c>
      <c r="B762" t="s">
        <v>55</v>
      </c>
      <c r="C762">
        <v>2</v>
      </c>
      <c r="D762">
        <v>8</v>
      </c>
      <c r="E762" s="3">
        <v>14</v>
      </c>
    </row>
    <row r="763" spans="1:5" x14ac:dyDescent="0.2">
      <c r="A763">
        <v>4</v>
      </c>
      <c r="B763" t="s">
        <v>452</v>
      </c>
      <c r="C763">
        <v>0</v>
      </c>
      <c r="D763">
        <v>4</v>
      </c>
      <c r="E763" s="3">
        <v>14</v>
      </c>
    </row>
    <row r="764" spans="1:5" x14ac:dyDescent="0.2">
      <c r="A764">
        <v>5</v>
      </c>
      <c r="B764" t="s">
        <v>50</v>
      </c>
      <c r="C764">
        <v>0</v>
      </c>
      <c r="D764">
        <v>2</v>
      </c>
      <c r="E764" s="3">
        <v>14</v>
      </c>
    </row>
    <row r="765" spans="1:5" x14ac:dyDescent="0.2">
      <c r="A765">
        <v>6</v>
      </c>
      <c r="B765" t="s">
        <v>28</v>
      </c>
      <c r="C765">
        <v>0</v>
      </c>
      <c r="D765">
        <v>1</v>
      </c>
      <c r="E765" s="3">
        <v>14</v>
      </c>
    </row>
    <row r="766" spans="1:5" x14ac:dyDescent="0.2">
      <c r="A766">
        <v>1</v>
      </c>
      <c r="B766" t="s">
        <v>45</v>
      </c>
      <c r="C766">
        <v>4</v>
      </c>
      <c r="D766">
        <v>17</v>
      </c>
      <c r="E766" s="3">
        <v>15</v>
      </c>
    </row>
    <row r="767" spans="1:5" x14ac:dyDescent="0.2">
      <c r="A767">
        <v>2</v>
      </c>
      <c r="B767" t="s">
        <v>25</v>
      </c>
      <c r="C767">
        <v>0</v>
      </c>
      <c r="D767">
        <v>13</v>
      </c>
      <c r="E767" s="3">
        <v>15</v>
      </c>
    </row>
    <row r="768" spans="1:5" x14ac:dyDescent="0.2">
      <c r="A768">
        <v>3</v>
      </c>
      <c r="B768" t="s">
        <v>69</v>
      </c>
      <c r="C768">
        <v>0</v>
      </c>
      <c r="D768">
        <v>9</v>
      </c>
      <c r="E768" s="3">
        <v>15</v>
      </c>
    </row>
    <row r="769" spans="1:5" x14ac:dyDescent="0.2">
      <c r="A769">
        <v>4</v>
      </c>
      <c r="B769" t="s">
        <v>12</v>
      </c>
      <c r="C769">
        <v>2</v>
      </c>
      <c r="D769">
        <v>5</v>
      </c>
      <c r="E769" s="3">
        <v>15</v>
      </c>
    </row>
    <row r="770" spans="1:5" x14ac:dyDescent="0.2">
      <c r="A770">
        <v>5</v>
      </c>
      <c r="B770" t="s">
        <v>48</v>
      </c>
      <c r="C770">
        <v>0</v>
      </c>
      <c r="D770">
        <v>3</v>
      </c>
      <c r="E770" s="3">
        <v>15</v>
      </c>
    </row>
    <row r="771" spans="1:5" x14ac:dyDescent="0.2">
      <c r="A771">
        <v>6</v>
      </c>
      <c r="B771" t="s">
        <v>452</v>
      </c>
      <c r="C771">
        <v>0</v>
      </c>
      <c r="D771">
        <v>2</v>
      </c>
      <c r="E771" s="3">
        <v>15</v>
      </c>
    </row>
    <row r="772" spans="1:5" x14ac:dyDescent="0.2">
      <c r="A772">
        <v>7</v>
      </c>
      <c r="B772" t="s">
        <v>21</v>
      </c>
      <c r="C772">
        <v>0</v>
      </c>
      <c r="D772">
        <v>1</v>
      </c>
      <c r="E772" s="3">
        <v>15</v>
      </c>
    </row>
    <row r="773" spans="1:5" x14ac:dyDescent="0.2">
      <c r="A773">
        <v>1</v>
      </c>
      <c r="B773" t="s">
        <v>345</v>
      </c>
      <c r="C773">
        <v>1</v>
      </c>
      <c r="D773">
        <v>16</v>
      </c>
      <c r="E773" s="3">
        <v>15</v>
      </c>
    </row>
    <row r="774" spans="1:5" x14ac:dyDescent="0.2">
      <c r="A774">
        <v>2</v>
      </c>
      <c r="B774" t="s">
        <v>305</v>
      </c>
      <c r="C774">
        <v>3</v>
      </c>
      <c r="D774">
        <v>12</v>
      </c>
      <c r="E774" s="3">
        <v>15</v>
      </c>
    </row>
    <row r="775" spans="1:5" x14ac:dyDescent="0.2">
      <c r="A775">
        <v>3</v>
      </c>
      <c r="B775" t="s">
        <v>481</v>
      </c>
      <c r="C775">
        <v>1</v>
      </c>
      <c r="D775">
        <v>8</v>
      </c>
      <c r="E775" s="3">
        <v>15</v>
      </c>
    </row>
    <row r="776" spans="1:5" x14ac:dyDescent="0.2">
      <c r="A776">
        <v>4</v>
      </c>
      <c r="B776" t="s">
        <v>88</v>
      </c>
      <c r="C776">
        <v>0</v>
      </c>
      <c r="D776">
        <v>4</v>
      </c>
      <c r="E776" s="3">
        <v>15</v>
      </c>
    </row>
    <row r="777" spans="1:5" x14ac:dyDescent="0.2">
      <c r="A777">
        <v>5</v>
      </c>
      <c r="B777" t="s">
        <v>461</v>
      </c>
      <c r="C777">
        <v>0</v>
      </c>
      <c r="D777">
        <v>2</v>
      </c>
      <c r="E777" s="3">
        <v>15</v>
      </c>
    </row>
    <row r="778" spans="1:5" x14ac:dyDescent="0.2">
      <c r="A778">
        <v>6</v>
      </c>
      <c r="B778" t="s">
        <v>476</v>
      </c>
      <c r="C778">
        <v>0</v>
      </c>
      <c r="D778">
        <v>1</v>
      </c>
      <c r="E778" s="3">
        <v>15</v>
      </c>
    </row>
    <row r="779" spans="1:5" x14ac:dyDescent="0.2">
      <c r="A779">
        <v>1</v>
      </c>
      <c r="B779" t="s">
        <v>66</v>
      </c>
      <c r="C779">
        <v>1</v>
      </c>
      <c r="D779">
        <v>16</v>
      </c>
      <c r="E779" s="3">
        <v>15</v>
      </c>
    </row>
    <row r="780" spans="1:5" x14ac:dyDescent="0.2">
      <c r="A780">
        <v>2</v>
      </c>
      <c r="B780" t="s">
        <v>41</v>
      </c>
      <c r="C780">
        <v>2</v>
      </c>
      <c r="D780">
        <v>12</v>
      </c>
      <c r="E780" s="3">
        <v>15</v>
      </c>
    </row>
    <row r="781" spans="1:5" x14ac:dyDescent="0.2">
      <c r="A781">
        <v>3</v>
      </c>
      <c r="B781" t="s">
        <v>46</v>
      </c>
      <c r="C781">
        <v>2</v>
      </c>
      <c r="D781">
        <v>8</v>
      </c>
      <c r="E781" s="3">
        <v>15</v>
      </c>
    </row>
    <row r="782" spans="1:5" x14ac:dyDescent="0.2">
      <c r="A782">
        <v>4</v>
      </c>
      <c r="B782" t="s">
        <v>6</v>
      </c>
      <c r="C782">
        <v>0</v>
      </c>
      <c r="D782">
        <v>4</v>
      </c>
      <c r="E782" s="3">
        <v>15</v>
      </c>
    </row>
    <row r="783" spans="1:5" x14ac:dyDescent="0.2">
      <c r="A783">
        <v>5</v>
      </c>
      <c r="B783" t="s">
        <v>451</v>
      </c>
      <c r="C783">
        <v>0</v>
      </c>
      <c r="D783">
        <v>2</v>
      </c>
      <c r="E783" s="3">
        <v>15</v>
      </c>
    </row>
    <row r="784" spans="1:5" x14ac:dyDescent="0.2">
      <c r="A784">
        <v>6</v>
      </c>
      <c r="B784" t="s">
        <v>15</v>
      </c>
      <c r="C784">
        <v>0</v>
      </c>
      <c r="D784">
        <v>1</v>
      </c>
      <c r="E784" s="3">
        <v>15</v>
      </c>
    </row>
    <row r="785" spans="1:5" x14ac:dyDescent="0.2">
      <c r="A785">
        <v>1</v>
      </c>
      <c r="B785" t="s">
        <v>39</v>
      </c>
      <c r="C785">
        <v>3</v>
      </c>
      <c r="D785">
        <v>16</v>
      </c>
      <c r="E785" s="3">
        <v>15</v>
      </c>
    </row>
    <row r="786" spans="1:5" x14ac:dyDescent="0.2">
      <c r="A786">
        <v>2</v>
      </c>
      <c r="B786" t="s">
        <v>484</v>
      </c>
      <c r="C786">
        <v>2</v>
      </c>
      <c r="D786">
        <v>12</v>
      </c>
      <c r="E786" s="3">
        <v>15</v>
      </c>
    </row>
    <row r="787" spans="1:5" x14ac:dyDescent="0.2">
      <c r="A787">
        <v>3</v>
      </c>
      <c r="B787" t="s">
        <v>26</v>
      </c>
      <c r="C787">
        <v>0</v>
      </c>
      <c r="D787">
        <v>8</v>
      </c>
      <c r="E787" s="3">
        <v>15</v>
      </c>
    </row>
    <row r="788" spans="1:5" x14ac:dyDescent="0.2">
      <c r="A788">
        <v>4</v>
      </c>
      <c r="B788" t="s">
        <v>18</v>
      </c>
      <c r="C788">
        <v>0</v>
      </c>
      <c r="D788">
        <v>4</v>
      </c>
      <c r="E788" s="3">
        <v>15</v>
      </c>
    </row>
    <row r="789" spans="1:5" x14ac:dyDescent="0.2">
      <c r="A789">
        <v>5</v>
      </c>
      <c r="B789" t="s">
        <v>33</v>
      </c>
      <c r="C789">
        <v>0</v>
      </c>
      <c r="D789">
        <v>2</v>
      </c>
      <c r="E789" s="3">
        <v>15</v>
      </c>
    </row>
    <row r="790" spans="1:5" x14ac:dyDescent="0.2">
      <c r="A790">
        <v>6</v>
      </c>
      <c r="B790" t="s">
        <v>55</v>
      </c>
      <c r="C790">
        <v>0</v>
      </c>
      <c r="D790">
        <v>1</v>
      </c>
      <c r="E790" s="3">
        <v>15</v>
      </c>
    </row>
    <row r="791" spans="1:5" x14ac:dyDescent="0.2">
      <c r="A791">
        <v>1</v>
      </c>
      <c r="B791" t="s">
        <v>87</v>
      </c>
      <c r="C791">
        <v>3</v>
      </c>
      <c r="D791">
        <v>17</v>
      </c>
      <c r="E791" s="3">
        <v>15</v>
      </c>
    </row>
    <row r="792" spans="1:5" x14ac:dyDescent="0.2">
      <c r="A792">
        <v>2</v>
      </c>
      <c r="B792" t="s">
        <v>76</v>
      </c>
      <c r="C792">
        <v>2</v>
      </c>
      <c r="D792">
        <v>13</v>
      </c>
      <c r="E792" s="3">
        <v>15</v>
      </c>
    </row>
    <row r="793" spans="1:5" x14ac:dyDescent="0.2">
      <c r="A793">
        <v>3</v>
      </c>
      <c r="B793" t="s">
        <v>450</v>
      </c>
      <c r="C793">
        <v>1</v>
      </c>
      <c r="D793">
        <v>9</v>
      </c>
      <c r="E793" s="3">
        <v>15</v>
      </c>
    </row>
    <row r="794" spans="1:5" x14ac:dyDescent="0.2">
      <c r="A794">
        <v>4</v>
      </c>
      <c r="B794" t="s">
        <v>264</v>
      </c>
      <c r="C794">
        <v>0</v>
      </c>
      <c r="D794">
        <v>5</v>
      </c>
      <c r="E794" s="3">
        <v>15</v>
      </c>
    </row>
    <row r="795" spans="1:5" x14ac:dyDescent="0.2">
      <c r="A795">
        <v>5</v>
      </c>
      <c r="B795" t="s">
        <v>50</v>
      </c>
      <c r="C795">
        <v>0</v>
      </c>
      <c r="D795">
        <v>3</v>
      </c>
      <c r="E795" s="3">
        <v>15</v>
      </c>
    </row>
    <row r="796" spans="1:5" x14ac:dyDescent="0.2">
      <c r="A796">
        <v>6</v>
      </c>
      <c r="B796" t="s">
        <v>27</v>
      </c>
      <c r="C796">
        <v>0</v>
      </c>
      <c r="D796">
        <v>2</v>
      </c>
      <c r="E796" s="3">
        <v>15</v>
      </c>
    </row>
    <row r="797" spans="1:5" x14ac:dyDescent="0.2">
      <c r="A797">
        <v>7</v>
      </c>
      <c r="B797" t="s">
        <v>9</v>
      </c>
      <c r="C797">
        <v>0</v>
      </c>
      <c r="D797">
        <v>1</v>
      </c>
      <c r="E797" s="3">
        <v>15</v>
      </c>
    </row>
    <row r="798" spans="1:5" x14ac:dyDescent="0.2">
      <c r="A798">
        <v>1</v>
      </c>
      <c r="B798" t="s">
        <v>75</v>
      </c>
      <c r="C798">
        <v>4</v>
      </c>
      <c r="D798">
        <v>17</v>
      </c>
      <c r="E798" s="3">
        <v>15</v>
      </c>
    </row>
    <row r="799" spans="1:5" x14ac:dyDescent="0.2">
      <c r="A799">
        <v>2</v>
      </c>
      <c r="B799" t="s">
        <v>74</v>
      </c>
      <c r="C799">
        <v>1</v>
      </c>
      <c r="D799">
        <v>13</v>
      </c>
      <c r="E799" s="3">
        <v>15</v>
      </c>
    </row>
    <row r="800" spans="1:5" x14ac:dyDescent="0.2">
      <c r="A800">
        <v>3</v>
      </c>
      <c r="B800" t="s">
        <v>35</v>
      </c>
      <c r="C800">
        <v>1</v>
      </c>
      <c r="D800">
        <v>9</v>
      </c>
      <c r="E800" s="3">
        <v>15</v>
      </c>
    </row>
    <row r="801" spans="1:5" x14ac:dyDescent="0.2">
      <c r="A801">
        <v>4</v>
      </c>
      <c r="B801" t="s">
        <v>59</v>
      </c>
      <c r="C801">
        <v>0</v>
      </c>
      <c r="D801">
        <v>5</v>
      </c>
      <c r="E801" s="3">
        <v>15</v>
      </c>
    </row>
    <row r="802" spans="1:5" x14ac:dyDescent="0.2">
      <c r="A802">
        <v>5</v>
      </c>
      <c r="B802" t="s">
        <v>19</v>
      </c>
      <c r="C802">
        <v>0</v>
      </c>
      <c r="D802">
        <v>3</v>
      </c>
      <c r="E802" s="3">
        <v>15</v>
      </c>
    </row>
    <row r="803" spans="1:5" x14ac:dyDescent="0.2">
      <c r="A803">
        <v>6</v>
      </c>
      <c r="B803" t="s">
        <v>65</v>
      </c>
      <c r="C803">
        <v>0</v>
      </c>
      <c r="D803">
        <v>2</v>
      </c>
      <c r="E803" s="3">
        <v>15</v>
      </c>
    </row>
    <row r="804" spans="1:5" x14ac:dyDescent="0.2">
      <c r="A804">
        <v>7</v>
      </c>
      <c r="B804" t="s">
        <v>28</v>
      </c>
      <c r="C804">
        <v>0</v>
      </c>
      <c r="D804">
        <v>1</v>
      </c>
      <c r="E804" s="3">
        <v>15</v>
      </c>
    </row>
    <row r="805" spans="1:5" x14ac:dyDescent="0.2">
      <c r="A805">
        <v>1</v>
      </c>
      <c r="B805" t="s">
        <v>459</v>
      </c>
      <c r="C805">
        <v>3</v>
      </c>
      <c r="D805">
        <v>16</v>
      </c>
      <c r="E805" s="3">
        <v>15</v>
      </c>
    </row>
    <row r="806" spans="1:5" x14ac:dyDescent="0.2">
      <c r="A806">
        <v>2</v>
      </c>
      <c r="B806" t="s">
        <v>473</v>
      </c>
      <c r="C806">
        <v>1</v>
      </c>
      <c r="D806">
        <v>12</v>
      </c>
      <c r="E806" s="3">
        <v>15</v>
      </c>
    </row>
    <row r="807" spans="1:5" x14ac:dyDescent="0.2">
      <c r="A807">
        <v>3</v>
      </c>
      <c r="B807" t="s">
        <v>60</v>
      </c>
      <c r="C807">
        <v>1</v>
      </c>
      <c r="D807">
        <v>8</v>
      </c>
      <c r="E807" s="3">
        <v>15</v>
      </c>
    </row>
    <row r="808" spans="1:5" x14ac:dyDescent="0.2">
      <c r="A808">
        <v>4</v>
      </c>
      <c r="B808" t="s">
        <v>42</v>
      </c>
      <c r="C808">
        <v>0</v>
      </c>
      <c r="D808">
        <v>4</v>
      </c>
      <c r="E808" s="3">
        <v>15</v>
      </c>
    </row>
    <row r="809" spans="1:5" x14ac:dyDescent="0.2">
      <c r="A809">
        <v>5</v>
      </c>
      <c r="B809" t="s">
        <v>73</v>
      </c>
      <c r="C809">
        <v>0</v>
      </c>
      <c r="D809">
        <v>2</v>
      </c>
      <c r="E809" s="3">
        <v>15</v>
      </c>
    </row>
    <row r="810" spans="1:5" x14ac:dyDescent="0.2">
      <c r="A810">
        <v>6</v>
      </c>
      <c r="B810" t="s">
        <v>280</v>
      </c>
      <c r="C810">
        <v>0</v>
      </c>
      <c r="D810">
        <v>1</v>
      </c>
      <c r="E810" s="3">
        <v>15</v>
      </c>
    </row>
    <row r="811" spans="1:5" x14ac:dyDescent="0.2">
      <c r="A811">
        <v>1</v>
      </c>
      <c r="B811" t="s">
        <v>452</v>
      </c>
      <c r="C811">
        <v>3</v>
      </c>
      <c r="D811">
        <v>15</v>
      </c>
      <c r="E811" s="3">
        <v>16</v>
      </c>
    </row>
    <row r="812" spans="1:5" x14ac:dyDescent="0.2">
      <c r="A812">
        <v>2</v>
      </c>
      <c r="B812" t="s">
        <v>479</v>
      </c>
      <c r="C812">
        <v>0</v>
      </c>
      <c r="D812">
        <v>11</v>
      </c>
      <c r="E812" s="3">
        <v>16</v>
      </c>
    </row>
    <row r="813" spans="1:5" x14ac:dyDescent="0.2">
      <c r="A813">
        <v>3</v>
      </c>
      <c r="B813" t="s">
        <v>29</v>
      </c>
      <c r="C813">
        <v>1</v>
      </c>
      <c r="D813">
        <v>7</v>
      </c>
      <c r="E813" s="3">
        <v>16</v>
      </c>
    </row>
    <row r="814" spans="1:5" x14ac:dyDescent="0.2">
      <c r="A814">
        <v>4</v>
      </c>
      <c r="B814" t="s">
        <v>46</v>
      </c>
      <c r="C814">
        <v>0</v>
      </c>
      <c r="D814">
        <v>3</v>
      </c>
      <c r="E814" s="3">
        <v>16</v>
      </c>
    </row>
    <row r="815" spans="1:5" x14ac:dyDescent="0.2">
      <c r="A815">
        <v>5</v>
      </c>
      <c r="B815" t="s">
        <v>14</v>
      </c>
      <c r="C815">
        <v>0</v>
      </c>
      <c r="D815">
        <v>1</v>
      </c>
      <c r="E815" s="3">
        <v>16</v>
      </c>
    </row>
    <row r="816" spans="1:5" x14ac:dyDescent="0.2">
      <c r="A816">
        <v>1</v>
      </c>
      <c r="B816" t="s">
        <v>41</v>
      </c>
      <c r="C816">
        <v>4</v>
      </c>
      <c r="D816">
        <v>16</v>
      </c>
      <c r="E816" s="3">
        <v>16</v>
      </c>
    </row>
    <row r="817" spans="1:5" x14ac:dyDescent="0.2">
      <c r="A817">
        <v>2</v>
      </c>
      <c r="B817" t="s">
        <v>18</v>
      </c>
      <c r="C817">
        <v>0</v>
      </c>
      <c r="D817">
        <v>12</v>
      </c>
      <c r="E817" s="3">
        <v>16</v>
      </c>
    </row>
    <row r="818" spans="1:5" x14ac:dyDescent="0.2">
      <c r="A818">
        <v>3</v>
      </c>
      <c r="B818" t="s">
        <v>40</v>
      </c>
      <c r="C818">
        <v>0</v>
      </c>
      <c r="D818">
        <v>8</v>
      </c>
      <c r="E818" s="3">
        <v>16</v>
      </c>
    </row>
    <row r="819" spans="1:5" x14ac:dyDescent="0.2">
      <c r="A819">
        <v>4</v>
      </c>
      <c r="B819" t="s">
        <v>25</v>
      </c>
      <c r="C819">
        <v>1</v>
      </c>
      <c r="D819">
        <v>4</v>
      </c>
      <c r="E819" s="3">
        <v>16</v>
      </c>
    </row>
    <row r="820" spans="1:5" x14ac:dyDescent="0.2">
      <c r="A820">
        <v>5</v>
      </c>
      <c r="B820" t="s">
        <v>345</v>
      </c>
      <c r="C820">
        <v>0</v>
      </c>
      <c r="D820">
        <v>2</v>
      </c>
      <c r="E820" s="3">
        <v>16</v>
      </c>
    </row>
    <row r="821" spans="1:5" x14ac:dyDescent="0.2">
      <c r="A821">
        <v>6</v>
      </c>
      <c r="B821" t="s">
        <v>462</v>
      </c>
      <c r="C821">
        <v>0</v>
      </c>
      <c r="D821">
        <v>1</v>
      </c>
      <c r="E821" s="3">
        <v>16</v>
      </c>
    </row>
    <row r="822" spans="1:5" x14ac:dyDescent="0.2">
      <c r="A822">
        <v>1</v>
      </c>
      <c r="B822" t="s">
        <v>48</v>
      </c>
      <c r="C822">
        <v>3</v>
      </c>
      <c r="D822">
        <v>16</v>
      </c>
      <c r="E822" s="3">
        <v>16</v>
      </c>
    </row>
    <row r="823" spans="1:5" x14ac:dyDescent="0.2">
      <c r="A823">
        <v>2</v>
      </c>
      <c r="B823" t="s">
        <v>12</v>
      </c>
      <c r="C823">
        <v>1</v>
      </c>
      <c r="D823">
        <v>12</v>
      </c>
      <c r="E823" s="3">
        <v>16</v>
      </c>
    </row>
    <row r="824" spans="1:5" x14ac:dyDescent="0.2">
      <c r="A824">
        <v>3</v>
      </c>
      <c r="B824" t="s">
        <v>73</v>
      </c>
      <c r="C824">
        <v>1</v>
      </c>
      <c r="D824">
        <v>8</v>
      </c>
      <c r="E824" s="3">
        <v>16</v>
      </c>
    </row>
    <row r="825" spans="1:5" x14ac:dyDescent="0.2">
      <c r="A825">
        <v>4</v>
      </c>
      <c r="B825" t="s">
        <v>74</v>
      </c>
      <c r="C825">
        <v>0</v>
      </c>
      <c r="D825">
        <v>4</v>
      </c>
      <c r="E825" s="3">
        <v>16</v>
      </c>
    </row>
    <row r="826" spans="1:5" x14ac:dyDescent="0.2">
      <c r="A826">
        <v>5</v>
      </c>
      <c r="B826" t="s">
        <v>28</v>
      </c>
      <c r="C826">
        <v>0</v>
      </c>
      <c r="D826">
        <v>2</v>
      </c>
      <c r="E826" s="3">
        <v>16</v>
      </c>
    </row>
    <row r="827" spans="1:5" x14ac:dyDescent="0.2">
      <c r="A827">
        <v>6</v>
      </c>
      <c r="B827" t="s">
        <v>68</v>
      </c>
      <c r="C827">
        <v>0</v>
      </c>
      <c r="D827">
        <v>1</v>
      </c>
      <c r="E827" s="3">
        <v>16</v>
      </c>
    </row>
    <row r="828" spans="1:5" x14ac:dyDescent="0.2">
      <c r="A828">
        <v>1</v>
      </c>
      <c r="B828" t="s">
        <v>451</v>
      </c>
      <c r="C828">
        <v>4</v>
      </c>
      <c r="D828">
        <v>16</v>
      </c>
      <c r="E828" s="3">
        <v>16</v>
      </c>
    </row>
    <row r="829" spans="1:5" x14ac:dyDescent="0.2">
      <c r="A829">
        <v>2</v>
      </c>
      <c r="B829" t="s">
        <v>481</v>
      </c>
      <c r="C829">
        <v>1</v>
      </c>
      <c r="D829">
        <v>12</v>
      </c>
      <c r="E829" s="3">
        <v>16</v>
      </c>
    </row>
    <row r="830" spans="1:5" x14ac:dyDescent="0.2">
      <c r="A830">
        <v>3</v>
      </c>
      <c r="B830" t="s">
        <v>461</v>
      </c>
      <c r="C830">
        <v>0</v>
      </c>
      <c r="D830">
        <v>8</v>
      </c>
      <c r="E830" s="3">
        <v>16</v>
      </c>
    </row>
    <row r="831" spans="1:5" x14ac:dyDescent="0.2">
      <c r="A831">
        <v>4</v>
      </c>
      <c r="B831" t="s">
        <v>60</v>
      </c>
      <c r="C831">
        <v>0</v>
      </c>
      <c r="D831">
        <v>4</v>
      </c>
      <c r="E831" s="3">
        <v>16</v>
      </c>
    </row>
    <row r="832" spans="1:5" x14ac:dyDescent="0.2">
      <c r="A832">
        <v>5</v>
      </c>
      <c r="B832" t="s">
        <v>33</v>
      </c>
      <c r="C832">
        <v>0</v>
      </c>
      <c r="D832">
        <v>2</v>
      </c>
      <c r="E832" s="3">
        <v>16</v>
      </c>
    </row>
    <row r="833" spans="1:5" x14ac:dyDescent="0.2">
      <c r="A833">
        <v>6</v>
      </c>
      <c r="B833" t="s">
        <v>21</v>
      </c>
      <c r="C833">
        <v>0</v>
      </c>
      <c r="D833">
        <v>1</v>
      </c>
      <c r="E833" s="3">
        <v>16</v>
      </c>
    </row>
    <row r="834" spans="1:5" x14ac:dyDescent="0.2">
      <c r="A834">
        <v>1</v>
      </c>
      <c r="B834" t="s">
        <v>6</v>
      </c>
      <c r="C834">
        <v>2</v>
      </c>
      <c r="D834">
        <v>16</v>
      </c>
      <c r="E834" s="3">
        <v>16</v>
      </c>
    </row>
    <row r="835" spans="1:5" x14ac:dyDescent="0.2">
      <c r="A835">
        <v>2</v>
      </c>
      <c r="B835" t="s">
        <v>450</v>
      </c>
      <c r="C835">
        <v>1</v>
      </c>
      <c r="D835">
        <v>12</v>
      </c>
      <c r="E835" s="3">
        <v>16</v>
      </c>
    </row>
    <row r="836" spans="1:5" x14ac:dyDescent="0.2">
      <c r="A836">
        <v>3</v>
      </c>
      <c r="B836" t="s">
        <v>32</v>
      </c>
      <c r="C836">
        <v>1</v>
      </c>
      <c r="D836">
        <v>8</v>
      </c>
      <c r="E836" s="3">
        <v>16</v>
      </c>
    </row>
    <row r="837" spans="1:5" x14ac:dyDescent="0.2">
      <c r="A837">
        <v>4</v>
      </c>
      <c r="B837" t="s">
        <v>457</v>
      </c>
      <c r="C837">
        <v>1</v>
      </c>
      <c r="D837">
        <v>4</v>
      </c>
      <c r="E837" s="3">
        <v>16</v>
      </c>
    </row>
    <row r="838" spans="1:5" x14ac:dyDescent="0.2">
      <c r="A838">
        <v>5</v>
      </c>
      <c r="B838" t="s">
        <v>87</v>
      </c>
      <c r="C838">
        <v>0</v>
      </c>
      <c r="D838">
        <v>2</v>
      </c>
      <c r="E838" s="3">
        <v>16</v>
      </c>
    </row>
    <row r="839" spans="1:5" x14ac:dyDescent="0.2">
      <c r="A839">
        <v>6</v>
      </c>
      <c r="B839" t="s">
        <v>280</v>
      </c>
      <c r="C839">
        <v>0</v>
      </c>
      <c r="D839">
        <v>1</v>
      </c>
      <c r="E839" s="3">
        <v>16</v>
      </c>
    </row>
    <row r="840" spans="1:5" x14ac:dyDescent="0.2">
      <c r="A840">
        <v>1</v>
      </c>
      <c r="B840" t="s">
        <v>9</v>
      </c>
      <c r="C840">
        <v>4</v>
      </c>
      <c r="D840">
        <v>16</v>
      </c>
      <c r="E840" s="3">
        <v>16</v>
      </c>
    </row>
    <row r="841" spans="1:5" x14ac:dyDescent="0.2">
      <c r="A841">
        <v>2</v>
      </c>
      <c r="B841" t="s">
        <v>27</v>
      </c>
      <c r="C841">
        <v>1</v>
      </c>
      <c r="D841">
        <v>12</v>
      </c>
      <c r="E841" s="3">
        <v>16</v>
      </c>
    </row>
    <row r="842" spans="1:5" x14ac:dyDescent="0.2">
      <c r="A842">
        <v>3</v>
      </c>
      <c r="B842" t="s">
        <v>19</v>
      </c>
      <c r="C842">
        <v>0</v>
      </c>
      <c r="D842">
        <v>8</v>
      </c>
      <c r="E842" s="3">
        <v>16</v>
      </c>
    </row>
    <row r="843" spans="1:5" x14ac:dyDescent="0.2">
      <c r="A843">
        <v>4</v>
      </c>
      <c r="B843" t="s">
        <v>468</v>
      </c>
      <c r="C843">
        <v>0</v>
      </c>
      <c r="D843">
        <v>4</v>
      </c>
      <c r="E843" s="3">
        <v>16</v>
      </c>
    </row>
    <row r="844" spans="1:5" x14ac:dyDescent="0.2">
      <c r="A844">
        <v>5</v>
      </c>
      <c r="B844" t="s">
        <v>264</v>
      </c>
      <c r="C844">
        <v>0</v>
      </c>
      <c r="D844">
        <v>2</v>
      </c>
      <c r="E844" s="3">
        <v>16</v>
      </c>
    </row>
    <row r="845" spans="1:5" x14ac:dyDescent="0.2">
      <c r="A845">
        <v>6</v>
      </c>
      <c r="B845" t="s">
        <v>476</v>
      </c>
      <c r="C845">
        <v>0</v>
      </c>
      <c r="D845">
        <v>1</v>
      </c>
      <c r="E845" s="3">
        <v>16</v>
      </c>
    </row>
    <row r="846" spans="1:5" x14ac:dyDescent="0.2">
      <c r="A846">
        <v>1</v>
      </c>
      <c r="B846" t="s">
        <v>75</v>
      </c>
      <c r="C846">
        <v>3</v>
      </c>
      <c r="D846">
        <v>16</v>
      </c>
      <c r="E846" s="3">
        <v>16</v>
      </c>
    </row>
    <row r="847" spans="1:5" x14ac:dyDescent="0.2">
      <c r="A847">
        <v>2</v>
      </c>
      <c r="B847" t="s">
        <v>66</v>
      </c>
      <c r="C847">
        <v>1</v>
      </c>
      <c r="D847">
        <v>12</v>
      </c>
      <c r="E847" s="3">
        <v>16</v>
      </c>
    </row>
    <row r="848" spans="1:5" x14ac:dyDescent="0.2">
      <c r="A848">
        <v>3</v>
      </c>
      <c r="B848" t="s">
        <v>473</v>
      </c>
      <c r="C848">
        <v>1</v>
      </c>
      <c r="D848">
        <v>8</v>
      </c>
      <c r="E848" s="3">
        <v>16</v>
      </c>
    </row>
    <row r="849" spans="1:5" x14ac:dyDescent="0.2">
      <c r="A849">
        <v>4</v>
      </c>
      <c r="B849" t="s">
        <v>65</v>
      </c>
      <c r="C849">
        <v>0</v>
      </c>
      <c r="D849">
        <v>4</v>
      </c>
      <c r="E849" s="3">
        <v>16</v>
      </c>
    </row>
    <row r="850" spans="1:5" x14ac:dyDescent="0.2">
      <c r="A850">
        <v>5</v>
      </c>
      <c r="B850" t="s">
        <v>26</v>
      </c>
      <c r="C850">
        <v>0</v>
      </c>
      <c r="D850">
        <v>2</v>
      </c>
      <c r="E850" s="3">
        <v>16</v>
      </c>
    </row>
    <row r="851" spans="1:5" x14ac:dyDescent="0.2">
      <c r="A851">
        <v>6</v>
      </c>
      <c r="B851" t="s">
        <v>59</v>
      </c>
      <c r="C851">
        <v>0</v>
      </c>
      <c r="D851">
        <v>1</v>
      </c>
      <c r="E851" s="3">
        <v>16</v>
      </c>
    </row>
    <row r="852" spans="1:5" x14ac:dyDescent="0.2">
      <c r="A852">
        <v>1</v>
      </c>
      <c r="B852" t="s">
        <v>55</v>
      </c>
      <c r="C852">
        <v>3</v>
      </c>
      <c r="D852">
        <v>16</v>
      </c>
      <c r="E852" s="3">
        <v>16</v>
      </c>
    </row>
    <row r="853" spans="1:5" x14ac:dyDescent="0.2">
      <c r="A853">
        <v>2</v>
      </c>
      <c r="B853" t="s">
        <v>35</v>
      </c>
      <c r="C853">
        <v>1</v>
      </c>
      <c r="D853">
        <v>12</v>
      </c>
      <c r="E853" s="3">
        <v>16</v>
      </c>
    </row>
    <row r="854" spans="1:5" x14ac:dyDescent="0.2">
      <c r="A854">
        <v>3</v>
      </c>
      <c r="B854" t="s">
        <v>52</v>
      </c>
      <c r="C854">
        <v>1</v>
      </c>
      <c r="D854">
        <v>8</v>
      </c>
      <c r="E854" s="3">
        <v>16</v>
      </c>
    </row>
    <row r="855" spans="1:5" x14ac:dyDescent="0.2">
      <c r="A855">
        <v>4</v>
      </c>
      <c r="B855" t="s">
        <v>45</v>
      </c>
      <c r="C855">
        <v>0</v>
      </c>
      <c r="D855">
        <v>4</v>
      </c>
      <c r="E855" s="3">
        <v>16</v>
      </c>
    </row>
    <row r="856" spans="1:5" x14ac:dyDescent="0.2">
      <c r="A856">
        <v>5</v>
      </c>
      <c r="B856" t="s">
        <v>39</v>
      </c>
      <c r="C856">
        <v>0</v>
      </c>
      <c r="D856">
        <v>2</v>
      </c>
      <c r="E856" s="3">
        <v>16</v>
      </c>
    </row>
    <row r="857" spans="1:5" x14ac:dyDescent="0.2">
      <c r="A857">
        <v>6</v>
      </c>
      <c r="B857" t="s">
        <v>69</v>
      </c>
      <c r="C857">
        <v>0</v>
      </c>
      <c r="D857">
        <v>1</v>
      </c>
      <c r="E857" s="3">
        <v>16</v>
      </c>
    </row>
    <row r="858" spans="1:5" x14ac:dyDescent="0.2">
      <c r="A858">
        <v>1</v>
      </c>
      <c r="B858" t="s">
        <v>19</v>
      </c>
      <c r="C858">
        <v>2</v>
      </c>
      <c r="D858">
        <v>15</v>
      </c>
      <c r="E858" s="3">
        <v>17</v>
      </c>
    </row>
    <row r="859" spans="1:5" x14ac:dyDescent="0.2">
      <c r="A859">
        <v>2</v>
      </c>
      <c r="B859" t="s">
        <v>25</v>
      </c>
      <c r="C859">
        <v>1</v>
      </c>
      <c r="D859">
        <v>11</v>
      </c>
      <c r="E859" s="3">
        <v>17</v>
      </c>
    </row>
    <row r="860" spans="1:5" x14ac:dyDescent="0.2">
      <c r="A860">
        <v>3</v>
      </c>
      <c r="B860" t="s">
        <v>55</v>
      </c>
      <c r="C860">
        <v>1</v>
      </c>
      <c r="D860">
        <v>7</v>
      </c>
      <c r="E860" s="3">
        <v>17</v>
      </c>
    </row>
    <row r="861" spans="1:5" x14ac:dyDescent="0.2">
      <c r="A861">
        <v>4</v>
      </c>
      <c r="B861" t="s">
        <v>459</v>
      </c>
      <c r="C861">
        <v>0</v>
      </c>
      <c r="D861">
        <v>3</v>
      </c>
      <c r="E861" s="3">
        <v>17</v>
      </c>
    </row>
    <row r="862" spans="1:5" x14ac:dyDescent="0.2">
      <c r="A862">
        <v>5</v>
      </c>
      <c r="B862" t="s">
        <v>74</v>
      </c>
      <c r="C862">
        <v>0</v>
      </c>
      <c r="D862">
        <v>1</v>
      </c>
      <c r="E862" s="3">
        <v>17</v>
      </c>
    </row>
    <row r="863" spans="1:5" x14ac:dyDescent="0.2">
      <c r="A863">
        <v>1</v>
      </c>
      <c r="B863" t="s">
        <v>60</v>
      </c>
      <c r="C863">
        <v>3</v>
      </c>
      <c r="D863">
        <v>16</v>
      </c>
      <c r="E863" s="3">
        <v>17</v>
      </c>
    </row>
    <row r="864" spans="1:5" x14ac:dyDescent="0.2">
      <c r="A864">
        <v>2</v>
      </c>
      <c r="B864" t="s">
        <v>6</v>
      </c>
      <c r="C864">
        <v>1</v>
      </c>
      <c r="D864">
        <v>12</v>
      </c>
      <c r="E864" s="3">
        <v>17</v>
      </c>
    </row>
    <row r="865" spans="1:5" x14ac:dyDescent="0.2">
      <c r="A865">
        <v>3</v>
      </c>
      <c r="B865" t="s">
        <v>461</v>
      </c>
      <c r="C865">
        <v>0</v>
      </c>
      <c r="D865">
        <v>8</v>
      </c>
      <c r="E865" s="3">
        <v>17</v>
      </c>
    </row>
    <row r="866" spans="1:5" x14ac:dyDescent="0.2">
      <c r="A866">
        <v>4</v>
      </c>
      <c r="B866" t="s">
        <v>28</v>
      </c>
      <c r="C866">
        <v>1</v>
      </c>
      <c r="D866">
        <v>4</v>
      </c>
      <c r="E866" s="3">
        <v>17</v>
      </c>
    </row>
    <row r="867" spans="1:5" x14ac:dyDescent="0.2">
      <c r="A867">
        <v>5</v>
      </c>
      <c r="B867" t="s">
        <v>12</v>
      </c>
      <c r="C867">
        <v>0</v>
      </c>
      <c r="D867">
        <v>2</v>
      </c>
      <c r="E867" s="3">
        <v>17</v>
      </c>
    </row>
    <row r="868" spans="1:5" x14ac:dyDescent="0.2">
      <c r="A868">
        <v>6</v>
      </c>
      <c r="B868" t="s">
        <v>18</v>
      </c>
      <c r="C868">
        <v>0</v>
      </c>
      <c r="D868">
        <v>1</v>
      </c>
      <c r="E868" s="3">
        <v>17</v>
      </c>
    </row>
    <row r="869" spans="1:5" x14ac:dyDescent="0.2">
      <c r="A869">
        <v>1</v>
      </c>
      <c r="B869" t="s">
        <v>35</v>
      </c>
      <c r="C869">
        <v>4</v>
      </c>
      <c r="D869">
        <v>16</v>
      </c>
      <c r="E869" s="3">
        <v>17</v>
      </c>
    </row>
    <row r="870" spans="1:5" x14ac:dyDescent="0.2">
      <c r="A870">
        <v>2</v>
      </c>
      <c r="B870" t="s">
        <v>88</v>
      </c>
      <c r="C870">
        <v>1</v>
      </c>
      <c r="D870">
        <v>12</v>
      </c>
      <c r="E870" s="3">
        <v>17</v>
      </c>
    </row>
    <row r="871" spans="1:5" x14ac:dyDescent="0.2">
      <c r="A871">
        <v>3</v>
      </c>
      <c r="B871" t="s">
        <v>46</v>
      </c>
      <c r="C871">
        <v>0</v>
      </c>
      <c r="D871">
        <v>8</v>
      </c>
      <c r="E871" s="3">
        <v>17</v>
      </c>
    </row>
    <row r="872" spans="1:5" x14ac:dyDescent="0.2">
      <c r="A872">
        <v>4</v>
      </c>
      <c r="B872" t="s">
        <v>76</v>
      </c>
      <c r="C872">
        <v>0</v>
      </c>
      <c r="D872">
        <v>4</v>
      </c>
      <c r="E872" s="3">
        <v>17</v>
      </c>
    </row>
    <row r="873" spans="1:5" x14ac:dyDescent="0.2">
      <c r="A873">
        <v>5</v>
      </c>
      <c r="B873" t="s">
        <v>33</v>
      </c>
      <c r="C873">
        <v>0</v>
      </c>
      <c r="D873">
        <v>2</v>
      </c>
      <c r="E873" s="3">
        <v>17</v>
      </c>
    </row>
    <row r="874" spans="1:5" x14ac:dyDescent="0.2">
      <c r="A874">
        <v>6</v>
      </c>
      <c r="B874" t="s">
        <v>68</v>
      </c>
      <c r="C874">
        <v>0</v>
      </c>
      <c r="D874">
        <v>1</v>
      </c>
      <c r="E874" s="3">
        <v>17</v>
      </c>
    </row>
    <row r="875" spans="1:5" x14ac:dyDescent="0.2">
      <c r="A875">
        <v>1</v>
      </c>
      <c r="B875" t="s">
        <v>27</v>
      </c>
      <c r="C875">
        <v>5</v>
      </c>
      <c r="D875">
        <v>16</v>
      </c>
      <c r="E875" s="3">
        <v>17</v>
      </c>
    </row>
    <row r="876" spans="1:5" x14ac:dyDescent="0.2">
      <c r="A876">
        <v>2</v>
      </c>
      <c r="B876" t="s">
        <v>39</v>
      </c>
      <c r="C876">
        <v>0</v>
      </c>
      <c r="D876">
        <v>12</v>
      </c>
      <c r="E876" s="3">
        <v>17</v>
      </c>
    </row>
    <row r="877" spans="1:5" x14ac:dyDescent="0.2">
      <c r="A877">
        <v>3</v>
      </c>
      <c r="B877" t="s">
        <v>479</v>
      </c>
      <c r="C877">
        <v>0</v>
      </c>
      <c r="D877">
        <v>8</v>
      </c>
      <c r="E877" s="3">
        <v>17</v>
      </c>
    </row>
    <row r="878" spans="1:5" x14ac:dyDescent="0.2">
      <c r="A878">
        <v>4</v>
      </c>
      <c r="B878" t="s">
        <v>345</v>
      </c>
      <c r="C878">
        <v>0</v>
      </c>
      <c r="D878">
        <v>4</v>
      </c>
      <c r="E878" s="3">
        <v>17</v>
      </c>
    </row>
    <row r="879" spans="1:5" x14ac:dyDescent="0.2">
      <c r="A879">
        <v>5</v>
      </c>
      <c r="B879" t="s">
        <v>280</v>
      </c>
      <c r="C879">
        <v>0</v>
      </c>
      <c r="D879">
        <v>2</v>
      </c>
      <c r="E879" s="3">
        <v>17</v>
      </c>
    </row>
    <row r="880" spans="1:5" x14ac:dyDescent="0.2">
      <c r="A880">
        <v>6</v>
      </c>
      <c r="B880" t="s">
        <v>101</v>
      </c>
      <c r="C880">
        <v>0</v>
      </c>
      <c r="D880">
        <v>1</v>
      </c>
      <c r="E880" s="3">
        <v>17</v>
      </c>
    </row>
    <row r="881" spans="1:5" x14ac:dyDescent="0.2">
      <c r="A881">
        <v>1</v>
      </c>
      <c r="B881" t="s">
        <v>65</v>
      </c>
      <c r="C881">
        <v>5</v>
      </c>
      <c r="D881">
        <v>16</v>
      </c>
      <c r="E881" s="3">
        <v>17</v>
      </c>
    </row>
    <row r="882" spans="1:5" x14ac:dyDescent="0.2">
      <c r="A882">
        <v>2</v>
      </c>
      <c r="B882" t="s">
        <v>32</v>
      </c>
      <c r="C882">
        <v>0</v>
      </c>
      <c r="D882">
        <v>12</v>
      </c>
      <c r="E882" s="3">
        <v>17</v>
      </c>
    </row>
    <row r="883" spans="1:5" x14ac:dyDescent="0.2">
      <c r="A883">
        <v>3</v>
      </c>
      <c r="B883" t="s">
        <v>473</v>
      </c>
      <c r="C883">
        <v>0</v>
      </c>
      <c r="D883">
        <v>8</v>
      </c>
      <c r="E883" s="3">
        <v>17</v>
      </c>
    </row>
    <row r="884" spans="1:5" x14ac:dyDescent="0.2">
      <c r="A884">
        <v>4</v>
      </c>
      <c r="B884" t="s">
        <v>48</v>
      </c>
      <c r="C884">
        <v>0</v>
      </c>
      <c r="D884">
        <v>4</v>
      </c>
      <c r="E884" s="3">
        <v>17</v>
      </c>
    </row>
    <row r="885" spans="1:5" x14ac:dyDescent="0.2">
      <c r="A885">
        <v>5</v>
      </c>
      <c r="B885" t="s">
        <v>264</v>
      </c>
      <c r="C885">
        <v>0</v>
      </c>
      <c r="D885">
        <v>2</v>
      </c>
      <c r="E885" s="3">
        <v>17</v>
      </c>
    </row>
    <row r="886" spans="1:5" x14ac:dyDescent="0.2">
      <c r="A886">
        <v>6</v>
      </c>
      <c r="B886" t="s">
        <v>450</v>
      </c>
      <c r="C886">
        <v>0</v>
      </c>
      <c r="D886">
        <v>1</v>
      </c>
      <c r="E886" s="3">
        <v>17</v>
      </c>
    </row>
    <row r="887" spans="1:5" x14ac:dyDescent="0.2">
      <c r="A887">
        <v>1</v>
      </c>
      <c r="B887" t="s">
        <v>481</v>
      </c>
      <c r="C887">
        <v>3</v>
      </c>
      <c r="D887">
        <v>16</v>
      </c>
      <c r="E887" s="3">
        <v>17</v>
      </c>
    </row>
    <row r="888" spans="1:5" x14ac:dyDescent="0.2">
      <c r="A888">
        <v>2</v>
      </c>
      <c r="B888" t="s">
        <v>52</v>
      </c>
      <c r="C888">
        <v>2</v>
      </c>
      <c r="D888">
        <v>12</v>
      </c>
      <c r="E888" s="3">
        <v>17</v>
      </c>
    </row>
    <row r="889" spans="1:5" x14ac:dyDescent="0.2">
      <c r="A889">
        <v>3</v>
      </c>
      <c r="B889" t="s">
        <v>69</v>
      </c>
      <c r="C889">
        <v>0</v>
      </c>
      <c r="D889">
        <v>8</v>
      </c>
      <c r="E889" s="3">
        <v>17</v>
      </c>
    </row>
    <row r="890" spans="1:5" x14ac:dyDescent="0.2">
      <c r="A890">
        <v>4</v>
      </c>
      <c r="B890" t="s">
        <v>41</v>
      </c>
      <c r="C890">
        <v>0</v>
      </c>
      <c r="D890">
        <v>4</v>
      </c>
      <c r="E890" s="3">
        <v>17</v>
      </c>
    </row>
    <row r="891" spans="1:5" x14ac:dyDescent="0.2">
      <c r="A891">
        <v>5</v>
      </c>
      <c r="B891" t="s">
        <v>66</v>
      </c>
      <c r="C891">
        <v>0</v>
      </c>
      <c r="D891">
        <v>2</v>
      </c>
      <c r="E891" s="3">
        <v>17</v>
      </c>
    </row>
    <row r="892" spans="1:5" x14ac:dyDescent="0.2">
      <c r="A892">
        <v>6</v>
      </c>
      <c r="B892" t="s">
        <v>468</v>
      </c>
      <c r="C892">
        <v>0</v>
      </c>
      <c r="D892">
        <v>1</v>
      </c>
      <c r="E892" s="3">
        <v>17</v>
      </c>
    </row>
    <row r="893" spans="1:5" x14ac:dyDescent="0.2">
      <c r="A893">
        <v>1</v>
      </c>
      <c r="B893" t="s">
        <v>40</v>
      </c>
      <c r="C893">
        <v>3</v>
      </c>
      <c r="D893">
        <v>16</v>
      </c>
      <c r="E893" s="3">
        <v>17</v>
      </c>
    </row>
    <row r="894" spans="1:5" x14ac:dyDescent="0.2">
      <c r="A894">
        <v>2</v>
      </c>
      <c r="B894" t="s">
        <v>15</v>
      </c>
      <c r="C894">
        <v>1</v>
      </c>
      <c r="D894">
        <v>12</v>
      </c>
      <c r="E894" s="3">
        <v>17</v>
      </c>
    </row>
    <row r="895" spans="1:5" x14ac:dyDescent="0.2">
      <c r="A895">
        <v>3</v>
      </c>
      <c r="B895" t="s">
        <v>26</v>
      </c>
      <c r="C895">
        <v>1</v>
      </c>
      <c r="D895">
        <v>8</v>
      </c>
      <c r="E895" s="3">
        <v>17</v>
      </c>
    </row>
    <row r="896" spans="1:5" x14ac:dyDescent="0.2">
      <c r="A896">
        <v>4</v>
      </c>
      <c r="B896" t="s">
        <v>59</v>
      </c>
      <c r="C896">
        <v>0</v>
      </c>
      <c r="D896">
        <v>4</v>
      </c>
      <c r="E896" s="3">
        <v>17</v>
      </c>
    </row>
    <row r="897" spans="1:5" x14ac:dyDescent="0.2">
      <c r="A897">
        <v>5</v>
      </c>
      <c r="B897" t="s">
        <v>451</v>
      </c>
      <c r="C897">
        <v>0</v>
      </c>
      <c r="D897">
        <v>2</v>
      </c>
      <c r="E897" s="3">
        <v>17</v>
      </c>
    </row>
    <row r="898" spans="1:5" x14ac:dyDescent="0.2">
      <c r="A898">
        <v>6</v>
      </c>
      <c r="B898" t="s">
        <v>21</v>
      </c>
      <c r="C898">
        <v>0</v>
      </c>
      <c r="D898">
        <v>1</v>
      </c>
      <c r="E898" s="3">
        <v>17</v>
      </c>
    </row>
    <row r="899" spans="1:5" x14ac:dyDescent="0.2">
      <c r="A899">
        <v>1</v>
      </c>
      <c r="B899" t="s">
        <v>452</v>
      </c>
      <c r="C899">
        <v>2</v>
      </c>
      <c r="D899">
        <v>16</v>
      </c>
      <c r="E899" s="3">
        <v>17</v>
      </c>
    </row>
    <row r="900" spans="1:5" x14ac:dyDescent="0.2">
      <c r="A900">
        <v>2</v>
      </c>
      <c r="B900" t="s">
        <v>9</v>
      </c>
      <c r="C900">
        <v>3</v>
      </c>
      <c r="D900">
        <v>12</v>
      </c>
      <c r="E900" s="3">
        <v>17</v>
      </c>
    </row>
    <row r="901" spans="1:5" x14ac:dyDescent="0.2">
      <c r="A901">
        <v>3</v>
      </c>
      <c r="B901" t="s">
        <v>75</v>
      </c>
      <c r="C901">
        <v>0</v>
      </c>
      <c r="D901">
        <v>8</v>
      </c>
      <c r="E901" s="3">
        <v>17</v>
      </c>
    </row>
    <row r="902" spans="1:5" x14ac:dyDescent="0.2">
      <c r="A902">
        <v>4</v>
      </c>
      <c r="B902" t="s">
        <v>87</v>
      </c>
      <c r="C902">
        <v>0</v>
      </c>
      <c r="D902">
        <v>4</v>
      </c>
      <c r="E902" s="3">
        <v>17</v>
      </c>
    </row>
    <row r="903" spans="1:5" x14ac:dyDescent="0.2">
      <c r="A903">
        <v>5</v>
      </c>
      <c r="B903" t="s">
        <v>368</v>
      </c>
      <c r="C903">
        <v>0</v>
      </c>
      <c r="D903">
        <v>2</v>
      </c>
      <c r="E903" s="3">
        <v>17</v>
      </c>
    </row>
    <row r="904" spans="1:5" x14ac:dyDescent="0.2">
      <c r="A904">
        <v>6</v>
      </c>
      <c r="B904" t="s">
        <v>45</v>
      </c>
      <c r="C904">
        <v>0</v>
      </c>
      <c r="D904">
        <v>1</v>
      </c>
      <c r="E904" s="3">
        <v>17</v>
      </c>
    </row>
    <row r="905" spans="1:5" x14ac:dyDescent="0.2">
      <c r="A905">
        <v>1</v>
      </c>
      <c r="B905" t="s">
        <v>53</v>
      </c>
      <c r="C905">
        <v>5</v>
      </c>
      <c r="D905">
        <v>16</v>
      </c>
      <c r="E905" s="3">
        <v>18</v>
      </c>
    </row>
    <row r="906" spans="1:5" x14ac:dyDescent="0.2">
      <c r="A906">
        <v>2</v>
      </c>
      <c r="B906" t="s">
        <v>454</v>
      </c>
      <c r="C906">
        <v>0</v>
      </c>
      <c r="D906">
        <v>12</v>
      </c>
      <c r="E906" s="3">
        <v>18</v>
      </c>
    </row>
    <row r="907" spans="1:5" x14ac:dyDescent="0.2">
      <c r="A907">
        <v>3</v>
      </c>
      <c r="B907" t="s">
        <v>46</v>
      </c>
      <c r="C907">
        <v>0</v>
      </c>
      <c r="D907">
        <v>8</v>
      </c>
      <c r="E907" s="3">
        <v>18</v>
      </c>
    </row>
    <row r="908" spans="1:5" x14ac:dyDescent="0.2">
      <c r="A908">
        <v>4</v>
      </c>
      <c r="B908" t="s">
        <v>101</v>
      </c>
      <c r="C908">
        <v>0</v>
      </c>
      <c r="D908">
        <v>4</v>
      </c>
      <c r="E908" s="3">
        <v>18</v>
      </c>
    </row>
    <row r="909" spans="1:5" x14ac:dyDescent="0.2">
      <c r="A909">
        <v>5</v>
      </c>
      <c r="B909" t="s">
        <v>345</v>
      </c>
      <c r="C909">
        <v>0</v>
      </c>
      <c r="D909">
        <v>2</v>
      </c>
      <c r="E909" s="3">
        <v>18</v>
      </c>
    </row>
    <row r="910" spans="1:5" x14ac:dyDescent="0.2">
      <c r="A910">
        <v>6</v>
      </c>
      <c r="B910" t="s">
        <v>473</v>
      </c>
      <c r="C910">
        <v>0</v>
      </c>
      <c r="D910">
        <v>1</v>
      </c>
      <c r="E910" s="3">
        <v>18</v>
      </c>
    </row>
    <row r="911" spans="1:5" x14ac:dyDescent="0.2">
      <c r="A911">
        <v>1</v>
      </c>
      <c r="B911" t="s">
        <v>471</v>
      </c>
      <c r="C911">
        <v>5</v>
      </c>
      <c r="D911">
        <v>17</v>
      </c>
      <c r="E911" s="3">
        <v>18</v>
      </c>
    </row>
    <row r="912" spans="1:5" x14ac:dyDescent="0.2">
      <c r="A912">
        <v>2</v>
      </c>
      <c r="B912" t="s">
        <v>468</v>
      </c>
      <c r="C912">
        <v>0</v>
      </c>
      <c r="D912">
        <v>13</v>
      </c>
      <c r="E912" s="3">
        <v>18</v>
      </c>
    </row>
    <row r="913" spans="1:5" x14ac:dyDescent="0.2">
      <c r="A913">
        <v>3</v>
      </c>
      <c r="B913" t="s">
        <v>65</v>
      </c>
      <c r="C913">
        <v>1</v>
      </c>
      <c r="D913">
        <v>9</v>
      </c>
      <c r="E913" s="3">
        <v>18</v>
      </c>
    </row>
    <row r="914" spans="1:5" x14ac:dyDescent="0.2">
      <c r="A914">
        <v>4</v>
      </c>
      <c r="B914" t="s">
        <v>27</v>
      </c>
      <c r="C914">
        <v>0</v>
      </c>
      <c r="D914">
        <v>5</v>
      </c>
      <c r="E914" s="3">
        <v>18</v>
      </c>
    </row>
    <row r="915" spans="1:5" x14ac:dyDescent="0.2">
      <c r="A915">
        <v>5</v>
      </c>
      <c r="B915" t="s">
        <v>39</v>
      </c>
      <c r="C915">
        <v>0</v>
      </c>
      <c r="D915">
        <v>3</v>
      </c>
      <c r="E915" s="3">
        <v>18</v>
      </c>
    </row>
    <row r="916" spans="1:5" x14ac:dyDescent="0.2">
      <c r="A916">
        <v>6</v>
      </c>
      <c r="B916" t="s">
        <v>87</v>
      </c>
      <c r="C916">
        <v>0</v>
      </c>
      <c r="D916">
        <v>2</v>
      </c>
      <c r="E916" s="3">
        <v>18</v>
      </c>
    </row>
    <row r="917" spans="1:5" x14ac:dyDescent="0.2">
      <c r="A917">
        <v>7</v>
      </c>
      <c r="B917" t="s">
        <v>26</v>
      </c>
      <c r="C917">
        <v>0</v>
      </c>
      <c r="D917">
        <v>1</v>
      </c>
      <c r="E917" s="3">
        <v>18</v>
      </c>
    </row>
    <row r="918" spans="1:5" x14ac:dyDescent="0.2">
      <c r="A918">
        <v>1</v>
      </c>
      <c r="B918" t="s">
        <v>66</v>
      </c>
      <c r="C918">
        <v>3</v>
      </c>
      <c r="D918">
        <v>17</v>
      </c>
      <c r="E918" s="3">
        <v>18</v>
      </c>
    </row>
    <row r="919" spans="1:5" x14ac:dyDescent="0.2">
      <c r="A919">
        <v>2</v>
      </c>
      <c r="B919" t="s">
        <v>59</v>
      </c>
      <c r="C919">
        <v>0</v>
      </c>
      <c r="D919">
        <v>13</v>
      </c>
      <c r="E919" s="3">
        <v>18</v>
      </c>
    </row>
    <row r="920" spans="1:5" x14ac:dyDescent="0.2">
      <c r="A920">
        <v>3</v>
      </c>
      <c r="B920" t="s">
        <v>60</v>
      </c>
      <c r="C920">
        <v>1</v>
      </c>
      <c r="D920">
        <v>9</v>
      </c>
      <c r="E920" s="3">
        <v>18</v>
      </c>
    </row>
    <row r="921" spans="1:5" x14ac:dyDescent="0.2">
      <c r="A921">
        <v>4</v>
      </c>
      <c r="B921" t="s">
        <v>462</v>
      </c>
      <c r="C921">
        <v>2</v>
      </c>
      <c r="D921">
        <v>5</v>
      </c>
      <c r="E921" s="3">
        <v>18</v>
      </c>
    </row>
    <row r="922" spans="1:5" x14ac:dyDescent="0.2">
      <c r="A922">
        <v>5</v>
      </c>
      <c r="B922" t="s">
        <v>68</v>
      </c>
      <c r="C922">
        <v>0</v>
      </c>
      <c r="D922">
        <v>3</v>
      </c>
      <c r="E922" s="3">
        <v>18</v>
      </c>
    </row>
    <row r="923" spans="1:5" x14ac:dyDescent="0.2">
      <c r="A923">
        <v>6</v>
      </c>
      <c r="B923" t="s">
        <v>18</v>
      </c>
      <c r="C923">
        <v>0</v>
      </c>
      <c r="D923">
        <v>2</v>
      </c>
      <c r="E923" s="3">
        <v>18</v>
      </c>
    </row>
    <row r="924" spans="1:5" x14ac:dyDescent="0.2">
      <c r="A924">
        <v>7</v>
      </c>
      <c r="B924" t="s">
        <v>41</v>
      </c>
      <c r="C924">
        <v>0</v>
      </c>
      <c r="D924">
        <v>1</v>
      </c>
      <c r="E924" s="3">
        <v>18</v>
      </c>
    </row>
    <row r="925" spans="1:5" x14ac:dyDescent="0.2">
      <c r="A925">
        <v>1</v>
      </c>
      <c r="B925" t="s">
        <v>69</v>
      </c>
      <c r="C925">
        <v>5</v>
      </c>
      <c r="D925">
        <v>16</v>
      </c>
      <c r="E925" s="3">
        <v>18</v>
      </c>
    </row>
    <row r="926" spans="1:5" x14ac:dyDescent="0.2">
      <c r="A926">
        <v>2</v>
      </c>
      <c r="B926" t="s">
        <v>91</v>
      </c>
      <c r="C926">
        <v>0</v>
      </c>
      <c r="D926">
        <v>12</v>
      </c>
      <c r="E926" s="3">
        <v>18</v>
      </c>
    </row>
    <row r="927" spans="1:5" x14ac:dyDescent="0.2">
      <c r="A927">
        <v>3</v>
      </c>
      <c r="B927" t="s">
        <v>264</v>
      </c>
      <c r="C927">
        <v>0</v>
      </c>
      <c r="D927">
        <v>8</v>
      </c>
      <c r="E927" s="3">
        <v>18</v>
      </c>
    </row>
    <row r="928" spans="1:5" x14ac:dyDescent="0.2">
      <c r="A928">
        <v>4</v>
      </c>
      <c r="B928" t="s">
        <v>74</v>
      </c>
      <c r="C928">
        <v>0</v>
      </c>
      <c r="D928">
        <v>4</v>
      </c>
      <c r="E928" s="3">
        <v>18</v>
      </c>
    </row>
    <row r="929" spans="1:5" x14ac:dyDescent="0.2">
      <c r="A929">
        <v>5</v>
      </c>
      <c r="B929" t="s">
        <v>452</v>
      </c>
      <c r="C929">
        <v>0</v>
      </c>
      <c r="D929">
        <v>2</v>
      </c>
      <c r="E929" s="3">
        <v>18</v>
      </c>
    </row>
    <row r="930" spans="1:5" x14ac:dyDescent="0.2">
      <c r="A930">
        <v>6</v>
      </c>
      <c r="B930" t="s">
        <v>25</v>
      </c>
      <c r="C930">
        <v>0</v>
      </c>
      <c r="D930">
        <v>1</v>
      </c>
      <c r="E930" s="3">
        <v>18</v>
      </c>
    </row>
    <row r="931" spans="1:5" x14ac:dyDescent="0.2">
      <c r="A931">
        <v>1</v>
      </c>
      <c r="B931" t="s">
        <v>40</v>
      </c>
      <c r="C931">
        <v>3</v>
      </c>
      <c r="D931">
        <v>16</v>
      </c>
      <c r="E931" s="3">
        <v>18</v>
      </c>
    </row>
    <row r="932" spans="1:5" x14ac:dyDescent="0.2">
      <c r="A932">
        <v>2</v>
      </c>
      <c r="B932" t="s">
        <v>6</v>
      </c>
      <c r="C932">
        <v>0</v>
      </c>
      <c r="D932">
        <v>12</v>
      </c>
      <c r="E932" s="3">
        <v>18</v>
      </c>
    </row>
    <row r="933" spans="1:5" x14ac:dyDescent="0.2">
      <c r="A933">
        <v>3</v>
      </c>
      <c r="B933" t="s">
        <v>55</v>
      </c>
      <c r="C933">
        <v>1</v>
      </c>
      <c r="D933">
        <v>8</v>
      </c>
      <c r="E933" s="3">
        <v>18</v>
      </c>
    </row>
    <row r="934" spans="1:5" x14ac:dyDescent="0.2">
      <c r="A934">
        <v>4</v>
      </c>
      <c r="B934" t="s">
        <v>484</v>
      </c>
      <c r="C934">
        <v>0</v>
      </c>
      <c r="D934">
        <v>4</v>
      </c>
      <c r="E934" s="3">
        <v>18</v>
      </c>
    </row>
    <row r="935" spans="1:5" x14ac:dyDescent="0.2">
      <c r="A935">
        <v>5</v>
      </c>
      <c r="B935" t="s">
        <v>280</v>
      </c>
      <c r="C935">
        <v>0</v>
      </c>
      <c r="D935">
        <v>2</v>
      </c>
      <c r="E935" s="3">
        <v>18</v>
      </c>
    </row>
    <row r="936" spans="1:5" x14ac:dyDescent="0.2">
      <c r="A936">
        <v>6</v>
      </c>
      <c r="B936" t="s">
        <v>45</v>
      </c>
      <c r="C936">
        <v>0</v>
      </c>
      <c r="D936">
        <v>1</v>
      </c>
      <c r="E936" s="3">
        <v>18</v>
      </c>
    </row>
    <row r="937" spans="1:5" x14ac:dyDescent="0.2">
      <c r="A937">
        <v>1</v>
      </c>
      <c r="B937" t="s">
        <v>48</v>
      </c>
      <c r="C937">
        <v>6</v>
      </c>
      <c r="D937">
        <v>17</v>
      </c>
      <c r="E937" s="3">
        <v>18</v>
      </c>
    </row>
    <row r="938" spans="1:5" x14ac:dyDescent="0.2">
      <c r="A938">
        <v>2</v>
      </c>
      <c r="B938" t="s">
        <v>50</v>
      </c>
      <c r="C938">
        <v>0</v>
      </c>
      <c r="D938">
        <v>13</v>
      </c>
      <c r="E938" s="3">
        <v>18</v>
      </c>
    </row>
    <row r="939" spans="1:5" x14ac:dyDescent="0.2">
      <c r="A939">
        <v>3</v>
      </c>
      <c r="B939" t="s">
        <v>9</v>
      </c>
      <c r="C939">
        <v>0</v>
      </c>
      <c r="D939">
        <v>9</v>
      </c>
      <c r="E939" s="3">
        <v>18</v>
      </c>
    </row>
    <row r="940" spans="1:5" x14ac:dyDescent="0.2">
      <c r="A940">
        <v>4</v>
      </c>
      <c r="B940" t="s">
        <v>19</v>
      </c>
      <c r="C940">
        <v>0</v>
      </c>
      <c r="D940">
        <v>5</v>
      </c>
      <c r="E940" s="3">
        <v>18</v>
      </c>
    </row>
    <row r="941" spans="1:5" x14ac:dyDescent="0.2">
      <c r="A941">
        <v>5</v>
      </c>
      <c r="B941" t="s">
        <v>450</v>
      </c>
      <c r="C941">
        <v>0</v>
      </c>
      <c r="D941">
        <v>3</v>
      </c>
      <c r="E941" s="3">
        <v>18</v>
      </c>
    </row>
    <row r="942" spans="1:5" x14ac:dyDescent="0.2">
      <c r="A942">
        <v>6</v>
      </c>
      <c r="B942" t="s">
        <v>451</v>
      </c>
      <c r="C942">
        <v>0</v>
      </c>
      <c r="D942">
        <v>2</v>
      </c>
      <c r="E942" s="3">
        <v>18</v>
      </c>
    </row>
    <row r="943" spans="1:5" x14ac:dyDescent="0.2">
      <c r="A943">
        <v>7</v>
      </c>
      <c r="B943" t="s">
        <v>76</v>
      </c>
      <c r="C943">
        <v>0</v>
      </c>
      <c r="D943">
        <v>1</v>
      </c>
      <c r="E943" s="3">
        <v>18</v>
      </c>
    </row>
    <row r="944" spans="1:5" x14ac:dyDescent="0.2">
      <c r="A944">
        <v>1</v>
      </c>
      <c r="B944" t="s">
        <v>35</v>
      </c>
      <c r="C944">
        <v>2</v>
      </c>
      <c r="D944">
        <v>16</v>
      </c>
      <c r="E944" s="3">
        <v>18</v>
      </c>
    </row>
    <row r="945" spans="1:5" x14ac:dyDescent="0.2">
      <c r="A945">
        <v>2</v>
      </c>
      <c r="B945" t="s">
        <v>461</v>
      </c>
      <c r="C945">
        <v>3</v>
      </c>
      <c r="D945">
        <v>12</v>
      </c>
      <c r="E945" s="3">
        <v>18</v>
      </c>
    </row>
    <row r="946" spans="1:5" x14ac:dyDescent="0.2">
      <c r="A946">
        <v>3</v>
      </c>
      <c r="B946" t="s">
        <v>75</v>
      </c>
      <c r="C946">
        <v>0</v>
      </c>
      <c r="D946">
        <v>8</v>
      </c>
      <c r="E946" s="3">
        <v>18</v>
      </c>
    </row>
    <row r="947" spans="1:5" x14ac:dyDescent="0.2">
      <c r="A947">
        <v>4</v>
      </c>
      <c r="B947" t="s">
        <v>459</v>
      </c>
      <c r="C947">
        <v>0</v>
      </c>
      <c r="D947">
        <v>4</v>
      </c>
      <c r="E947" s="3">
        <v>18</v>
      </c>
    </row>
    <row r="948" spans="1:5" x14ac:dyDescent="0.2">
      <c r="A948">
        <v>5</v>
      </c>
      <c r="B948" t="s">
        <v>52</v>
      </c>
      <c r="C948">
        <v>0</v>
      </c>
      <c r="D948">
        <v>2</v>
      </c>
      <c r="E948" s="3">
        <v>18</v>
      </c>
    </row>
    <row r="949" spans="1:5" x14ac:dyDescent="0.2">
      <c r="A949">
        <v>6</v>
      </c>
      <c r="B949" t="s">
        <v>21</v>
      </c>
      <c r="C949">
        <v>0</v>
      </c>
      <c r="D949">
        <v>1</v>
      </c>
      <c r="E949" s="3">
        <v>18</v>
      </c>
    </row>
    <row r="950" spans="1:5" x14ac:dyDescent="0.2">
      <c r="A950">
        <v>1</v>
      </c>
      <c r="B950" t="s">
        <v>27</v>
      </c>
      <c r="C950">
        <v>2</v>
      </c>
      <c r="D950">
        <v>16</v>
      </c>
      <c r="E950" s="3">
        <v>19</v>
      </c>
    </row>
    <row r="951" spans="1:5" x14ac:dyDescent="0.2">
      <c r="A951">
        <v>2</v>
      </c>
      <c r="B951" t="s">
        <v>368</v>
      </c>
      <c r="C951">
        <v>2</v>
      </c>
      <c r="D951">
        <v>12</v>
      </c>
      <c r="E951" s="3">
        <v>19</v>
      </c>
    </row>
    <row r="952" spans="1:5" x14ac:dyDescent="0.2">
      <c r="A952">
        <v>3</v>
      </c>
      <c r="B952" t="s">
        <v>87</v>
      </c>
      <c r="C952">
        <v>1</v>
      </c>
      <c r="D952">
        <v>8</v>
      </c>
      <c r="E952" s="3">
        <v>19</v>
      </c>
    </row>
    <row r="953" spans="1:5" x14ac:dyDescent="0.2">
      <c r="A953">
        <v>4</v>
      </c>
      <c r="B953" t="s">
        <v>473</v>
      </c>
      <c r="C953">
        <v>0</v>
      </c>
      <c r="D953">
        <v>4</v>
      </c>
      <c r="E953" s="3">
        <v>19</v>
      </c>
    </row>
    <row r="954" spans="1:5" x14ac:dyDescent="0.2">
      <c r="A954">
        <v>5</v>
      </c>
      <c r="B954" t="s">
        <v>21</v>
      </c>
      <c r="C954">
        <v>0</v>
      </c>
      <c r="D954">
        <v>2</v>
      </c>
      <c r="E954" s="3">
        <v>19</v>
      </c>
    </row>
    <row r="955" spans="1:5" x14ac:dyDescent="0.2">
      <c r="A955">
        <v>6</v>
      </c>
      <c r="B955" t="s">
        <v>25</v>
      </c>
      <c r="C955">
        <v>0</v>
      </c>
      <c r="D955">
        <v>1</v>
      </c>
      <c r="E955" s="3">
        <v>19</v>
      </c>
    </row>
    <row r="956" spans="1:5" x14ac:dyDescent="0.2">
      <c r="A956">
        <v>1</v>
      </c>
      <c r="B956" t="s">
        <v>69</v>
      </c>
      <c r="C956">
        <v>2</v>
      </c>
      <c r="D956">
        <v>16</v>
      </c>
      <c r="E956" s="3">
        <v>19</v>
      </c>
    </row>
    <row r="957" spans="1:5" x14ac:dyDescent="0.2">
      <c r="A957">
        <v>2</v>
      </c>
      <c r="B957" t="s">
        <v>479</v>
      </c>
      <c r="C957">
        <v>2</v>
      </c>
      <c r="D957">
        <v>12</v>
      </c>
      <c r="E957" s="3">
        <v>19</v>
      </c>
    </row>
    <row r="958" spans="1:5" x14ac:dyDescent="0.2">
      <c r="A958">
        <v>3</v>
      </c>
      <c r="B958" t="s">
        <v>75</v>
      </c>
      <c r="C958">
        <v>0</v>
      </c>
      <c r="D958">
        <v>8</v>
      </c>
      <c r="E958" s="3">
        <v>19</v>
      </c>
    </row>
    <row r="959" spans="1:5" x14ac:dyDescent="0.2">
      <c r="A959">
        <v>4</v>
      </c>
      <c r="B959" t="s">
        <v>33</v>
      </c>
      <c r="C959">
        <v>1</v>
      </c>
      <c r="D959">
        <v>4</v>
      </c>
      <c r="E959" s="3">
        <v>19</v>
      </c>
    </row>
    <row r="960" spans="1:5" x14ac:dyDescent="0.2">
      <c r="A960">
        <v>5</v>
      </c>
      <c r="B960" t="s">
        <v>20</v>
      </c>
      <c r="C960">
        <v>0</v>
      </c>
      <c r="D960">
        <v>2</v>
      </c>
      <c r="E960" s="3">
        <v>19</v>
      </c>
    </row>
    <row r="961" spans="1:5" x14ac:dyDescent="0.2">
      <c r="A961">
        <v>6</v>
      </c>
      <c r="B961" t="s">
        <v>42</v>
      </c>
      <c r="C961">
        <v>0</v>
      </c>
      <c r="D961">
        <v>1</v>
      </c>
      <c r="E961" s="3">
        <v>19</v>
      </c>
    </row>
    <row r="962" spans="1:5" x14ac:dyDescent="0.2">
      <c r="A962">
        <v>1</v>
      </c>
      <c r="B962" t="s">
        <v>68</v>
      </c>
      <c r="C962">
        <v>3</v>
      </c>
      <c r="D962">
        <v>16</v>
      </c>
      <c r="E962" s="3">
        <v>19</v>
      </c>
    </row>
    <row r="963" spans="1:5" x14ac:dyDescent="0.2">
      <c r="A963">
        <v>2</v>
      </c>
      <c r="B963" t="s">
        <v>35</v>
      </c>
      <c r="C963">
        <v>2</v>
      </c>
      <c r="D963">
        <v>12</v>
      </c>
      <c r="E963" s="3">
        <v>19</v>
      </c>
    </row>
    <row r="964" spans="1:5" x14ac:dyDescent="0.2">
      <c r="A964">
        <v>3</v>
      </c>
      <c r="B964" t="s">
        <v>39</v>
      </c>
      <c r="C964">
        <v>0</v>
      </c>
      <c r="D964">
        <v>8</v>
      </c>
      <c r="E964" s="3">
        <v>19</v>
      </c>
    </row>
    <row r="965" spans="1:5" x14ac:dyDescent="0.2">
      <c r="A965">
        <v>4</v>
      </c>
      <c r="B965" t="s">
        <v>468</v>
      </c>
      <c r="C965">
        <v>0</v>
      </c>
      <c r="D965">
        <v>4</v>
      </c>
      <c r="E965" s="3">
        <v>19</v>
      </c>
    </row>
    <row r="966" spans="1:5" x14ac:dyDescent="0.2">
      <c r="A966">
        <v>5</v>
      </c>
      <c r="B966" t="s">
        <v>52</v>
      </c>
      <c r="C966">
        <v>0</v>
      </c>
      <c r="D966">
        <v>2</v>
      </c>
      <c r="E966" s="3">
        <v>19</v>
      </c>
    </row>
    <row r="967" spans="1:5" x14ac:dyDescent="0.2">
      <c r="A967">
        <v>6</v>
      </c>
      <c r="B967" t="s">
        <v>450</v>
      </c>
      <c r="C967">
        <v>0</v>
      </c>
      <c r="D967">
        <v>1</v>
      </c>
      <c r="E967" s="3">
        <v>19</v>
      </c>
    </row>
    <row r="968" spans="1:5" x14ac:dyDescent="0.2">
      <c r="A968">
        <v>1</v>
      </c>
      <c r="B968" t="s">
        <v>485</v>
      </c>
      <c r="C968">
        <v>2</v>
      </c>
      <c r="D968">
        <v>16</v>
      </c>
      <c r="E968" s="3">
        <v>19</v>
      </c>
    </row>
    <row r="969" spans="1:5" x14ac:dyDescent="0.2">
      <c r="A969">
        <v>2</v>
      </c>
      <c r="B969" t="s">
        <v>486</v>
      </c>
      <c r="C969">
        <v>2</v>
      </c>
      <c r="D969">
        <v>12</v>
      </c>
      <c r="E969" s="3">
        <v>19</v>
      </c>
    </row>
    <row r="970" spans="1:5" x14ac:dyDescent="0.2">
      <c r="A970">
        <v>3</v>
      </c>
      <c r="B970" t="s">
        <v>50</v>
      </c>
      <c r="C970">
        <v>1</v>
      </c>
      <c r="D970">
        <v>8</v>
      </c>
      <c r="E970" s="3">
        <v>19</v>
      </c>
    </row>
    <row r="971" spans="1:5" x14ac:dyDescent="0.2">
      <c r="A971">
        <v>4</v>
      </c>
      <c r="B971" t="s">
        <v>18</v>
      </c>
      <c r="C971">
        <v>0</v>
      </c>
      <c r="D971">
        <v>4</v>
      </c>
      <c r="E971" s="3">
        <v>19</v>
      </c>
    </row>
    <row r="972" spans="1:5" x14ac:dyDescent="0.2">
      <c r="A972">
        <v>5</v>
      </c>
      <c r="B972" t="s">
        <v>280</v>
      </c>
      <c r="C972">
        <v>0</v>
      </c>
      <c r="D972">
        <v>2</v>
      </c>
      <c r="E972" s="3">
        <v>19</v>
      </c>
    </row>
    <row r="973" spans="1:5" x14ac:dyDescent="0.2">
      <c r="A973">
        <v>6</v>
      </c>
      <c r="B973" t="s">
        <v>105</v>
      </c>
      <c r="C973">
        <v>0</v>
      </c>
      <c r="D973">
        <v>1</v>
      </c>
      <c r="E973" s="3">
        <v>19</v>
      </c>
    </row>
    <row r="974" spans="1:5" x14ac:dyDescent="0.2">
      <c r="A974">
        <v>1</v>
      </c>
      <c r="B974" t="s">
        <v>28</v>
      </c>
      <c r="C974">
        <v>4</v>
      </c>
      <c r="D974">
        <v>17</v>
      </c>
      <c r="E974" s="3">
        <v>19</v>
      </c>
    </row>
    <row r="975" spans="1:5" x14ac:dyDescent="0.2">
      <c r="A975">
        <v>2</v>
      </c>
      <c r="B975" t="s">
        <v>60</v>
      </c>
      <c r="C975">
        <v>2</v>
      </c>
      <c r="D975">
        <v>13</v>
      </c>
      <c r="E975" s="3">
        <v>19</v>
      </c>
    </row>
    <row r="976" spans="1:5" x14ac:dyDescent="0.2">
      <c r="A976">
        <v>3</v>
      </c>
      <c r="B976" t="s">
        <v>55</v>
      </c>
      <c r="C976">
        <v>0</v>
      </c>
      <c r="D976">
        <v>9</v>
      </c>
      <c r="E976" s="3">
        <v>19</v>
      </c>
    </row>
    <row r="977" spans="1:5" x14ac:dyDescent="0.2">
      <c r="A977">
        <v>4</v>
      </c>
      <c r="B977" t="s">
        <v>476</v>
      </c>
      <c r="C977">
        <v>0</v>
      </c>
      <c r="D977">
        <v>5</v>
      </c>
      <c r="E977" s="3">
        <v>19</v>
      </c>
    </row>
    <row r="978" spans="1:5" x14ac:dyDescent="0.2">
      <c r="A978">
        <v>5</v>
      </c>
      <c r="B978" t="s">
        <v>487</v>
      </c>
      <c r="C978">
        <v>0</v>
      </c>
      <c r="D978">
        <v>3</v>
      </c>
      <c r="E978" s="3">
        <v>19</v>
      </c>
    </row>
    <row r="979" spans="1:5" x14ac:dyDescent="0.2">
      <c r="A979">
        <v>6</v>
      </c>
      <c r="B979" t="s">
        <v>451</v>
      </c>
      <c r="C979">
        <v>0</v>
      </c>
      <c r="D979">
        <v>2</v>
      </c>
      <c r="E979" s="3">
        <v>19</v>
      </c>
    </row>
    <row r="980" spans="1:5" x14ac:dyDescent="0.2">
      <c r="A980">
        <v>7</v>
      </c>
      <c r="B980" t="s">
        <v>40</v>
      </c>
      <c r="C980">
        <v>0</v>
      </c>
      <c r="D980">
        <v>1</v>
      </c>
      <c r="E980" s="3">
        <v>19</v>
      </c>
    </row>
    <row r="981" spans="1:5" x14ac:dyDescent="0.2">
      <c r="A981">
        <v>1</v>
      </c>
      <c r="B981" t="s">
        <v>76</v>
      </c>
      <c r="C981">
        <v>2</v>
      </c>
      <c r="D981">
        <v>16</v>
      </c>
      <c r="E981" s="3">
        <v>19</v>
      </c>
    </row>
    <row r="982" spans="1:5" x14ac:dyDescent="0.2">
      <c r="A982">
        <v>2</v>
      </c>
      <c r="B982" t="s">
        <v>74</v>
      </c>
      <c r="C982">
        <v>2</v>
      </c>
      <c r="D982">
        <v>12</v>
      </c>
      <c r="E982" s="3">
        <v>19</v>
      </c>
    </row>
    <row r="983" spans="1:5" x14ac:dyDescent="0.2">
      <c r="A983">
        <v>3</v>
      </c>
      <c r="B983" t="s">
        <v>66</v>
      </c>
      <c r="C983">
        <v>1</v>
      </c>
      <c r="D983">
        <v>8</v>
      </c>
      <c r="E983" s="3">
        <v>19</v>
      </c>
    </row>
    <row r="984" spans="1:5" x14ac:dyDescent="0.2">
      <c r="A984">
        <v>4</v>
      </c>
      <c r="B984" t="s">
        <v>48</v>
      </c>
      <c r="C984">
        <v>0</v>
      </c>
      <c r="D984">
        <v>4</v>
      </c>
      <c r="E984" s="3">
        <v>19</v>
      </c>
    </row>
    <row r="985" spans="1:5" x14ac:dyDescent="0.2">
      <c r="A985">
        <v>5</v>
      </c>
      <c r="B985" t="s">
        <v>471</v>
      </c>
      <c r="C985">
        <v>0</v>
      </c>
      <c r="D985">
        <v>2</v>
      </c>
      <c r="E985" s="3">
        <v>19</v>
      </c>
    </row>
    <row r="986" spans="1:5" x14ac:dyDescent="0.2">
      <c r="A986">
        <v>6</v>
      </c>
      <c r="B986" t="s">
        <v>457</v>
      </c>
      <c r="C986">
        <v>0</v>
      </c>
      <c r="D986">
        <v>1</v>
      </c>
      <c r="E986" s="3">
        <v>19</v>
      </c>
    </row>
    <row r="987" spans="1:5" x14ac:dyDescent="0.2">
      <c r="A987">
        <v>1</v>
      </c>
      <c r="B987" t="s">
        <v>65</v>
      </c>
      <c r="C987">
        <v>3</v>
      </c>
      <c r="D987">
        <v>16</v>
      </c>
      <c r="E987" s="3">
        <v>19</v>
      </c>
    </row>
    <row r="988" spans="1:5" x14ac:dyDescent="0.2">
      <c r="A988">
        <v>2</v>
      </c>
      <c r="B988" t="s">
        <v>73</v>
      </c>
      <c r="C988">
        <v>2</v>
      </c>
      <c r="D988">
        <v>12</v>
      </c>
      <c r="E988" s="3">
        <v>19</v>
      </c>
    </row>
    <row r="989" spans="1:5" x14ac:dyDescent="0.2">
      <c r="A989">
        <v>3</v>
      </c>
      <c r="B989" t="s">
        <v>264</v>
      </c>
      <c r="C989">
        <v>0</v>
      </c>
      <c r="D989">
        <v>8</v>
      </c>
      <c r="E989" s="3">
        <v>19</v>
      </c>
    </row>
    <row r="990" spans="1:5" x14ac:dyDescent="0.2">
      <c r="A990">
        <v>4</v>
      </c>
      <c r="B990" t="s">
        <v>81</v>
      </c>
      <c r="C990">
        <v>0</v>
      </c>
      <c r="D990">
        <v>4</v>
      </c>
      <c r="E990" s="3">
        <v>19</v>
      </c>
    </row>
    <row r="991" spans="1:5" x14ac:dyDescent="0.2">
      <c r="A991">
        <v>5</v>
      </c>
      <c r="B991" t="s">
        <v>9</v>
      </c>
      <c r="C991">
        <v>0</v>
      </c>
      <c r="D991">
        <v>2</v>
      </c>
      <c r="E991" s="3">
        <v>19</v>
      </c>
    </row>
    <row r="992" spans="1:5" x14ac:dyDescent="0.2">
      <c r="A992">
        <v>6</v>
      </c>
      <c r="B992" t="s">
        <v>45</v>
      </c>
      <c r="C992">
        <v>0</v>
      </c>
      <c r="D992">
        <v>1</v>
      </c>
      <c r="E992" s="3">
        <v>19</v>
      </c>
    </row>
    <row r="993" spans="1:5" x14ac:dyDescent="0.2">
      <c r="A993">
        <v>1</v>
      </c>
      <c r="B993" t="s">
        <v>46</v>
      </c>
      <c r="C993">
        <v>3</v>
      </c>
      <c r="D993">
        <v>16</v>
      </c>
      <c r="E993" s="3">
        <v>19</v>
      </c>
    </row>
    <row r="994" spans="1:5" x14ac:dyDescent="0.2">
      <c r="A994">
        <v>2</v>
      </c>
      <c r="B994" t="s">
        <v>26</v>
      </c>
      <c r="C994">
        <v>2</v>
      </c>
      <c r="D994">
        <v>12</v>
      </c>
      <c r="E994" s="3">
        <v>19</v>
      </c>
    </row>
    <row r="995" spans="1:5" x14ac:dyDescent="0.2">
      <c r="A995">
        <v>3</v>
      </c>
      <c r="B995" t="s">
        <v>488</v>
      </c>
      <c r="C995">
        <v>0</v>
      </c>
      <c r="D995">
        <v>8</v>
      </c>
      <c r="E995" s="3">
        <v>19</v>
      </c>
    </row>
    <row r="996" spans="1:5" x14ac:dyDescent="0.2">
      <c r="A996">
        <v>4</v>
      </c>
      <c r="B996" t="s">
        <v>461</v>
      </c>
      <c r="C996">
        <v>0</v>
      </c>
      <c r="D996">
        <v>4</v>
      </c>
      <c r="E996" s="3">
        <v>19</v>
      </c>
    </row>
    <row r="997" spans="1:5" x14ac:dyDescent="0.2">
      <c r="A997">
        <v>5</v>
      </c>
      <c r="B997" t="s">
        <v>32</v>
      </c>
      <c r="C997">
        <v>0</v>
      </c>
      <c r="D997">
        <v>2</v>
      </c>
      <c r="E997" s="3">
        <v>19</v>
      </c>
    </row>
    <row r="998" spans="1:5" x14ac:dyDescent="0.2">
      <c r="A998">
        <v>6</v>
      </c>
      <c r="B998" t="s">
        <v>489</v>
      </c>
      <c r="C998">
        <v>0</v>
      </c>
      <c r="D998">
        <v>1</v>
      </c>
      <c r="E998" s="3">
        <v>19</v>
      </c>
    </row>
    <row r="999" spans="1:5" x14ac:dyDescent="0.2">
      <c r="A999">
        <v>1</v>
      </c>
      <c r="B999" t="s">
        <v>451</v>
      </c>
      <c r="C999">
        <v>2</v>
      </c>
      <c r="D999">
        <v>16</v>
      </c>
      <c r="E999" s="3">
        <v>20</v>
      </c>
    </row>
    <row r="1000" spans="1:5" x14ac:dyDescent="0.2">
      <c r="A1000">
        <v>2</v>
      </c>
      <c r="B1000" t="s">
        <v>46</v>
      </c>
      <c r="C1000">
        <v>2</v>
      </c>
      <c r="D1000">
        <v>12</v>
      </c>
      <c r="E1000" s="3">
        <v>20</v>
      </c>
    </row>
    <row r="1001" spans="1:5" x14ac:dyDescent="0.2">
      <c r="A1001">
        <v>3</v>
      </c>
      <c r="B1001" t="s">
        <v>345</v>
      </c>
      <c r="C1001">
        <v>0</v>
      </c>
      <c r="D1001">
        <v>8</v>
      </c>
      <c r="E1001" s="3">
        <v>20</v>
      </c>
    </row>
    <row r="1002" spans="1:5" x14ac:dyDescent="0.2">
      <c r="A1002">
        <v>4</v>
      </c>
      <c r="B1002" t="s">
        <v>33</v>
      </c>
      <c r="C1002">
        <v>1</v>
      </c>
      <c r="D1002">
        <v>4</v>
      </c>
      <c r="E1002" s="3">
        <v>20</v>
      </c>
    </row>
    <row r="1003" spans="1:5" x14ac:dyDescent="0.2">
      <c r="A1003">
        <v>5</v>
      </c>
      <c r="B1003" t="s">
        <v>76</v>
      </c>
      <c r="C1003">
        <v>0</v>
      </c>
      <c r="D1003">
        <v>2</v>
      </c>
      <c r="E1003" s="3">
        <v>20</v>
      </c>
    </row>
    <row r="1004" spans="1:5" x14ac:dyDescent="0.2">
      <c r="A1004">
        <v>6</v>
      </c>
      <c r="B1004" t="s">
        <v>457</v>
      </c>
      <c r="C1004">
        <v>0</v>
      </c>
      <c r="D1004">
        <v>1</v>
      </c>
      <c r="E1004" s="3">
        <v>20</v>
      </c>
    </row>
    <row r="1005" spans="1:5" x14ac:dyDescent="0.2">
      <c r="A1005">
        <v>1</v>
      </c>
      <c r="B1005" t="s">
        <v>26</v>
      </c>
      <c r="C1005">
        <v>2</v>
      </c>
      <c r="D1005">
        <v>16</v>
      </c>
      <c r="E1005" s="3">
        <v>20</v>
      </c>
    </row>
    <row r="1006" spans="1:5" x14ac:dyDescent="0.2">
      <c r="A1006">
        <v>2</v>
      </c>
      <c r="B1006" t="s">
        <v>40</v>
      </c>
      <c r="C1006">
        <v>2</v>
      </c>
      <c r="D1006">
        <v>12</v>
      </c>
      <c r="E1006" s="3">
        <v>20</v>
      </c>
    </row>
    <row r="1007" spans="1:5" x14ac:dyDescent="0.2">
      <c r="A1007">
        <v>3</v>
      </c>
      <c r="B1007" t="s">
        <v>25</v>
      </c>
      <c r="C1007">
        <v>0</v>
      </c>
      <c r="D1007">
        <v>8</v>
      </c>
      <c r="E1007" s="3">
        <v>20</v>
      </c>
    </row>
    <row r="1008" spans="1:5" x14ac:dyDescent="0.2">
      <c r="A1008">
        <v>4</v>
      </c>
      <c r="B1008" t="s">
        <v>18</v>
      </c>
      <c r="C1008">
        <v>1</v>
      </c>
      <c r="D1008">
        <v>4</v>
      </c>
      <c r="E1008" s="3">
        <v>20</v>
      </c>
    </row>
    <row r="1009" spans="1:5" x14ac:dyDescent="0.2">
      <c r="A1009">
        <v>5</v>
      </c>
      <c r="B1009" t="s">
        <v>468</v>
      </c>
      <c r="C1009">
        <v>0</v>
      </c>
      <c r="D1009">
        <v>2</v>
      </c>
      <c r="E1009" s="3">
        <v>20</v>
      </c>
    </row>
    <row r="1010" spans="1:5" x14ac:dyDescent="0.2">
      <c r="A1010">
        <v>6</v>
      </c>
      <c r="B1010" t="s">
        <v>75</v>
      </c>
      <c r="C1010">
        <v>0</v>
      </c>
      <c r="D1010">
        <v>1</v>
      </c>
      <c r="E1010" s="3">
        <v>20</v>
      </c>
    </row>
    <row r="1011" spans="1:5" x14ac:dyDescent="0.2">
      <c r="A1011">
        <v>1</v>
      </c>
      <c r="B1011" t="s">
        <v>69</v>
      </c>
      <c r="C1011">
        <v>1</v>
      </c>
      <c r="D1011">
        <v>16</v>
      </c>
      <c r="E1011" s="3">
        <v>20</v>
      </c>
    </row>
    <row r="1012" spans="1:5" x14ac:dyDescent="0.2">
      <c r="A1012">
        <v>2</v>
      </c>
      <c r="B1012" t="s">
        <v>101</v>
      </c>
      <c r="C1012">
        <v>2</v>
      </c>
      <c r="D1012">
        <v>12</v>
      </c>
      <c r="E1012" s="3">
        <v>20</v>
      </c>
    </row>
    <row r="1013" spans="1:5" x14ac:dyDescent="0.2">
      <c r="A1013">
        <v>3</v>
      </c>
      <c r="B1013" t="s">
        <v>479</v>
      </c>
      <c r="C1013">
        <v>1</v>
      </c>
      <c r="D1013">
        <v>8</v>
      </c>
      <c r="E1013" s="3">
        <v>20</v>
      </c>
    </row>
    <row r="1014" spans="1:5" x14ac:dyDescent="0.2">
      <c r="A1014">
        <v>4</v>
      </c>
      <c r="B1014" t="s">
        <v>48</v>
      </c>
      <c r="C1014">
        <v>0</v>
      </c>
      <c r="D1014">
        <v>4</v>
      </c>
      <c r="E1014" s="3">
        <v>20</v>
      </c>
    </row>
    <row r="1015" spans="1:5" x14ac:dyDescent="0.2">
      <c r="A1015">
        <v>5</v>
      </c>
      <c r="B1015" t="s">
        <v>45</v>
      </c>
      <c r="C1015">
        <v>1</v>
      </c>
      <c r="D1015">
        <v>2</v>
      </c>
      <c r="E1015" s="3">
        <v>20</v>
      </c>
    </row>
    <row r="1016" spans="1:5" x14ac:dyDescent="0.2">
      <c r="A1016">
        <v>6</v>
      </c>
      <c r="B1016" t="s">
        <v>19</v>
      </c>
      <c r="C1016">
        <v>0</v>
      </c>
      <c r="D1016">
        <v>1</v>
      </c>
      <c r="E1016" s="3">
        <v>20</v>
      </c>
    </row>
    <row r="1017" spans="1:5" x14ac:dyDescent="0.2">
      <c r="A1017">
        <v>1</v>
      </c>
      <c r="B1017" t="s">
        <v>55</v>
      </c>
      <c r="C1017">
        <v>3</v>
      </c>
      <c r="D1017">
        <v>16</v>
      </c>
      <c r="E1017" s="3">
        <v>20</v>
      </c>
    </row>
    <row r="1018" spans="1:5" x14ac:dyDescent="0.2">
      <c r="A1018">
        <v>2</v>
      </c>
      <c r="B1018" t="s">
        <v>68</v>
      </c>
      <c r="C1018">
        <v>1</v>
      </c>
      <c r="D1018">
        <v>12</v>
      </c>
      <c r="E1018" s="3">
        <v>20</v>
      </c>
    </row>
    <row r="1019" spans="1:5" x14ac:dyDescent="0.2">
      <c r="A1019">
        <v>3</v>
      </c>
      <c r="B1019" t="s">
        <v>476</v>
      </c>
      <c r="C1019">
        <v>0</v>
      </c>
      <c r="D1019">
        <v>8</v>
      </c>
      <c r="E1019" s="3">
        <v>20</v>
      </c>
    </row>
    <row r="1020" spans="1:5" x14ac:dyDescent="0.2">
      <c r="A1020">
        <v>4</v>
      </c>
      <c r="B1020" t="s">
        <v>52</v>
      </c>
      <c r="C1020">
        <v>1</v>
      </c>
      <c r="D1020">
        <v>4</v>
      </c>
      <c r="E1020" s="3">
        <v>20</v>
      </c>
    </row>
    <row r="1021" spans="1:5" x14ac:dyDescent="0.2">
      <c r="A1021">
        <v>5</v>
      </c>
      <c r="B1021" t="s">
        <v>27</v>
      </c>
      <c r="C1021">
        <v>0</v>
      </c>
      <c r="D1021">
        <v>2</v>
      </c>
      <c r="E1021" s="3">
        <v>20</v>
      </c>
    </row>
    <row r="1022" spans="1:5" x14ac:dyDescent="0.2">
      <c r="A1022">
        <v>6</v>
      </c>
      <c r="B1022" t="s">
        <v>74</v>
      </c>
      <c r="C1022">
        <v>0</v>
      </c>
      <c r="D1022">
        <v>1</v>
      </c>
      <c r="E1022" s="3">
        <v>20</v>
      </c>
    </row>
    <row r="1023" spans="1:5" x14ac:dyDescent="0.2">
      <c r="A1023">
        <v>1</v>
      </c>
      <c r="B1023" t="s">
        <v>305</v>
      </c>
      <c r="C1023">
        <v>3</v>
      </c>
      <c r="D1023">
        <v>15</v>
      </c>
      <c r="E1023" s="3">
        <v>20</v>
      </c>
    </row>
    <row r="1024" spans="1:5" x14ac:dyDescent="0.2">
      <c r="A1024">
        <v>2</v>
      </c>
      <c r="B1024" t="s">
        <v>66</v>
      </c>
      <c r="C1024">
        <v>0</v>
      </c>
      <c r="D1024">
        <v>11</v>
      </c>
      <c r="E1024" s="3">
        <v>20</v>
      </c>
    </row>
    <row r="1025" spans="1:5" x14ac:dyDescent="0.2">
      <c r="A1025">
        <v>3</v>
      </c>
      <c r="B1025" t="s">
        <v>485</v>
      </c>
      <c r="C1025">
        <v>1</v>
      </c>
      <c r="D1025">
        <v>7</v>
      </c>
      <c r="E1025" s="3">
        <v>20</v>
      </c>
    </row>
    <row r="1026" spans="1:5" x14ac:dyDescent="0.2">
      <c r="A1026">
        <v>4</v>
      </c>
      <c r="B1026" t="s">
        <v>9</v>
      </c>
      <c r="C1026">
        <v>0</v>
      </c>
      <c r="D1026">
        <v>3</v>
      </c>
      <c r="E1026" s="3">
        <v>20</v>
      </c>
    </row>
    <row r="1027" spans="1:5" x14ac:dyDescent="0.2">
      <c r="A1027">
        <v>5</v>
      </c>
      <c r="B1027" t="s">
        <v>12</v>
      </c>
      <c r="C1027">
        <v>0</v>
      </c>
      <c r="D1027">
        <v>1</v>
      </c>
      <c r="E1027" s="3">
        <v>20</v>
      </c>
    </row>
    <row r="1028" spans="1:5" x14ac:dyDescent="0.2">
      <c r="A1028">
        <v>1</v>
      </c>
      <c r="B1028" t="s">
        <v>41</v>
      </c>
      <c r="C1028">
        <v>3</v>
      </c>
      <c r="D1028">
        <v>15</v>
      </c>
      <c r="E1028" s="3">
        <v>20</v>
      </c>
    </row>
    <row r="1029" spans="1:5" x14ac:dyDescent="0.2">
      <c r="A1029">
        <v>2</v>
      </c>
      <c r="B1029" t="s">
        <v>35</v>
      </c>
      <c r="C1029">
        <v>0</v>
      </c>
      <c r="D1029">
        <v>11</v>
      </c>
      <c r="E1029" s="3">
        <v>20</v>
      </c>
    </row>
    <row r="1030" spans="1:5" x14ac:dyDescent="0.2">
      <c r="A1030">
        <v>3</v>
      </c>
      <c r="B1030" t="s">
        <v>50</v>
      </c>
      <c r="C1030">
        <v>0</v>
      </c>
      <c r="D1030">
        <v>7</v>
      </c>
      <c r="E1030" s="3">
        <v>20</v>
      </c>
    </row>
    <row r="1031" spans="1:5" x14ac:dyDescent="0.2">
      <c r="A1031">
        <v>4</v>
      </c>
      <c r="B1031" t="s">
        <v>42</v>
      </c>
      <c r="C1031">
        <v>1</v>
      </c>
      <c r="D1031">
        <v>3</v>
      </c>
      <c r="E1031" s="3">
        <v>20</v>
      </c>
    </row>
    <row r="1032" spans="1:5" x14ac:dyDescent="0.2">
      <c r="A1032">
        <v>5</v>
      </c>
      <c r="B1032" t="s">
        <v>60</v>
      </c>
      <c r="C1032">
        <v>0</v>
      </c>
      <c r="D1032">
        <v>1</v>
      </c>
      <c r="E1032" s="3">
        <v>20</v>
      </c>
    </row>
    <row r="1033" spans="1:5" x14ac:dyDescent="0.2">
      <c r="A1033">
        <v>1</v>
      </c>
      <c r="B1033" t="s">
        <v>461</v>
      </c>
      <c r="C1033">
        <v>1</v>
      </c>
      <c r="D1033">
        <v>15</v>
      </c>
      <c r="E1033" s="3">
        <v>20</v>
      </c>
    </row>
    <row r="1034" spans="1:5" x14ac:dyDescent="0.2">
      <c r="A1034">
        <v>2</v>
      </c>
      <c r="B1034" t="s">
        <v>481</v>
      </c>
      <c r="C1034">
        <v>2</v>
      </c>
      <c r="D1034">
        <v>11</v>
      </c>
      <c r="E1034" s="3">
        <v>20</v>
      </c>
    </row>
    <row r="1035" spans="1:5" x14ac:dyDescent="0.2">
      <c r="A1035">
        <v>3</v>
      </c>
      <c r="B1035" t="s">
        <v>368</v>
      </c>
      <c r="C1035">
        <v>1</v>
      </c>
      <c r="D1035">
        <v>7</v>
      </c>
      <c r="E1035" s="3">
        <v>20</v>
      </c>
    </row>
    <row r="1036" spans="1:5" x14ac:dyDescent="0.2">
      <c r="A1036">
        <v>4</v>
      </c>
      <c r="B1036" t="s">
        <v>473</v>
      </c>
      <c r="C1036">
        <v>0</v>
      </c>
      <c r="D1036">
        <v>3</v>
      </c>
      <c r="E1036" s="3">
        <v>20</v>
      </c>
    </row>
    <row r="1037" spans="1:5" x14ac:dyDescent="0.2">
      <c r="A1037">
        <v>5</v>
      </c>
      <c r="B1037" t="s">
        <v>21</v>
      </c>
      <c r="C1037">
        <v>0</v>
      </c>
      <c r="D1037">
        <v>1</v>
      </c>
      <c r="E1037" s="3">
        <v>20</v>
      </c>
    </row>
    <row r="1038" spans="1:5" x14ac:dyDescent="0.2">
      <c r="A1038">
        <v>1</v>
      </c>
      <c r="B1038" t="s">
        <v>452</v>
      </c>
      <c r="C1038">
        <v>3</v>
      </c>
      <c r="D1038">
        <v>15</v>
      </c>
      <c r="E1038" s="3">
        <v>20</v>
      </c>
    </row>
    <row r="1039" spans="1:5" x14ac:dyDescent="0.2">
      <c r="A1039">
        <v>2</v>
      </c>
      <c r="B1039" t="s">
        <v>459</v>
      </c>
      <c r="C1039">
        <v>1</v>
      </c>
      <c r="D1039">
        <v>11</v>
      </c>
      <c r="E1039" s="3">
        <v>20</v>
      </c>
    </row>
    <row r="1040" spans="1:5" x14ac:dyDescent="0.2">
      <c r="A1040">
        <v>3</v>
      </c>
      <c r="B1040" t="s">
        <v>280</v>
      </c>
      <c r="C1040">
        <v>0</v>
      </c>
      <c r="D1040">
        <v>7</v>
      </c>
      <c r="E1040" s="3">
        <v>20</v>
      </c>
    </row>
    <row r="1041" spans="1:5" x14ac:dyDescent="0.2">
      <c r="A1041">
        <v>4</v>
      </c>
      <c r="B1041" t="s">
        <v>371</v>
      </c>
      <c r="C1041">
        <v>0</v>
      </c>
      <c r="D1041">
        <v>3</v>
      </c>
      <c r="E1041" s="3">
        <v>20</v>
      </c>
    </row>
    <row r="1042" spans="1:5" x14ac:dyDescent="0.2">
      <c r="A1042">
        <v>5</v>
      </c>
      <c r="B1042" t="s">
        <v>88</v>
      </c>
      <c r="C1042">
        <v>0</v>
      </c>
      <c r="D1042">
        <v>1</v>
      </c>
      <c r="E1042" s="3">
        <v>20</v>
      </c>
    </row>
    <row r="1043" spans="1:5" x14ac:dyDescent="0.2">
      <c r="A1043">
        <v>1</v>
      </c>
      <c r="B1043" t="s">
        <v>87</v>
      </c>
      <c r="C1043">
        <v>3</v>
      </c>
      <c r="D1043">
        <v>16</v>
      </c>
      <c r="E1043" s="3">
        <v>21</v>
      </c>
    </row>
    <row r="1044" spans="1:5" x14ac:dyDescent="0.2">
      <c r="A1044">
        <v>2</v>
      </c>
      <c r="B1044" t="s">
        <v>33</v>
      </c>
      <c r="C1044">
        <v>0</v>
      </c>
      <c r="D1044">
        <v>12</v>
      </c>
      <c r="E1044" s="3">
        <v>21</v>
      </c>
    </row>
    <row r="1045" spans="1:5" x14ac:dyDescent="0.2">
      <c r="A1045">
        <v>3</v>
      </c>
      <c r="B1045" t="s">
        <v>485</v>
      </c>
      <c r="C1045">
        <v>1</v>
      </c>
      <c r="D1045">
        <v>8</v>
      </c>
      <c r="E1045" s="3">
        <v>21</v>
      </c>
    </row>
    <row r="1046" spans="1:5" x14ac:dyDescent="0.2">
      <c r="A1046">
        <v>4</v>
      </c>
      <c r="B1046" t="s">
        <v>42</v>
      </c>
      <c r="C1046">
        <v>1</v>
      </c>
      <c r="D1046">
        <v>4</v>
      </c>
      <c r="E1046" s="3">
        <v>21</v>
      </c>
    </row>
    <row r="1047" spans="1:5" x14ac:dyDescent="0.2">
      <c r="A1047">
        <v>5</v>
      </c>
      <c r="B1047" t="s">
        <v>21</v>
      </c>
      <c r="C1047">
        <v>0</v>
      </c>
      <c r="D1047">
        <v>2</v>
      </c>
      <c r="E1047" s="3">
        <v>21</v>
      </c>
    </row>
    <row r="1048" spans="1:5" x14ac:dyDescent="0.2">
      <c r="A1048">
        <v>6</v>
      </c>
      <c r="B1048" t="s">
        <v>484</v>
      </c>
      <c r="C1048">
        <v>0</v>
      </c>
      <c r="D1048">
        <v>1</v>
      </c>
      <c r="E1048" s="3">
        <v>21</v>
      </c>
    </row>
    <row r="1049" spans="1:5" x14ac:dyDescent="0.2">
      <c r="A1049">
        <v>1</v>
      </c>
      <c r="B1049" t="s">
        <v>25</v>
      </c>
      <c r="C1049">
        <v>2</v>
      </c>
      <c r="D1049">
        <v>16</v>
      </c>
      <c r="E1049" s="3">
        <v>21</v>
      </c>
    </row>
    <row r="1050" spans="1:5" x14ac:dyDescent="0.2">
      <c r="A1050">
        <v>2</v>
      </c>
      <c r="B1050" t="s">
        <v>55</v>
      </c>
      <c r="C1050">
        <v>1</v>
      </c>
      <c r="D1050">
        <v>12</v>
      </c>
      <c r="E1050" s="3">
        <v>21</v>
      </c>
    </row>
    <row r="1051" spans="1:5" x14ac:dyDescent="0.2">
      <c r="A1051">
        <v>3</v>
      </c>
      <c r="B1051" t="s">
        <v>479</v>
      </c>
      <c r="C1051">
        <v>1</v>
      </c>
      <c r="D1051">
        <v>8</v>
      </c>
      <c r="E1051" s="3">
        <v>21</v>
      </c>
    </row>
    <row r="1052" spans="1:5" x14ac:dyDescent="0.2">
      <c r="A1052">
        <v>4</v>
      </c>
      <c r="B1052" t="s">
        <v>39</v>
      </c>
      <c r="C1052">
        <v>0</v>
      </c>
      <c r="D1052">
        <v>4</v>
      </c>
      <c r="E1052" s="3">
        <v>21</v>
      </c>
    </row>
    <row r="1053" spans="1:5" x14ac:dyDescent="0.2">
      <c r="A1053">
        <v>5</v>
      </c>
      <c r="B1053" t="s">
        <v>52</v>
      </c>
      <c r="C1053">
        <v>0</v>
      </c>
      <c r="D1053">
        <v>2</v>
      </c>
      <c r="E1053" s="3">
        <v>21</v>
      </c>
    </row>
    <row r="1054" spans="1:5" x14ac:dyDescent="0.2">
      <c r="A1054">
        <v>6</v>
      </c>
      <c r="B1054" t="s">
        <v>12</v>
      </c>
      <c r="C1054">
        <v>0</v>
      </c>
      <c r="D1054">
        <v>1</v>
      </c>
      <c r="E1054" s="3">
        <v>21</v>
      </c>
    </row>
    <row r="1055" spans="1:5" x14ac:dyDescent="0.2">
      <c r="A1055">
        <v>1</v>
      </c>
      <c r="B1055" t="s">
        <v>345</v>
      </c>
      <c r="C1055">
        <v>3</v>
      </c>
      <c r="D1055">
        <v>16</v>
      </c>
      <c r="E1055" s="3">
        <v>21</v>
      </c>
    </row>
    <row r="1056" spans="1:5" x14ac:dyDescent="0.2">
      <c r="A1056">
        <v>2</v>
      </c>
      <c r="B1056" t="s">
        <v>68</v>
      </c>
      <c r="C1056">
        <v>1</v>
      </c>
      <c r="D1056">
        <v>12</v>
      </c>
      <c r="E1056" s="3">
        <v>21</v>
      </c>
    </row>
    <row r="1057" spans="1:5" x14ac:dyDescent="0.2">
      <c r="A1057">
        <v>3</v>
      </c>
      <c r="B1057" t="s">
        <v>101</v>
      </c>
      <c r="C1057">
        <v>1</v>
      </c>
      <c r="D1057">
        <v>8</v>
      </c>
      <c r="E1057" s="3">
        <v>21</v>
      </c>
    </row>
    <row r="1058" spans="1:5" x14ac:dyDescent="0.2">
      <c r="A1058">
        <v>4</v>
      </c>
      <c r="B1058" t="s">
        <v>41</v>
      </c>
      <c r="C1058">
        <v>0</v>
      </c>
      <c r="D1058">
        <v>4</v>
      </c>
      <c r="E1058" s="3">
        <v>21</v>
      </c>
    </row>
    <row r="1059" spans="1:5" x14ac:dyDescent="0.2">
      <c r="A1059">
        <v>5</v>
      </c>
      <c r="B1059" t="s">
        <v>29</v>
      </c>
      <c r="C1059">
        <v>0</v>
      </c>
      <c r="D1059">
        <v>2</v>
      </c>
      <c r="E1059" s="3">
        <v>21</v>
      </c>
    </row>
    <row r="1060" spans="1:5" x14ac:dyDescent="0.2">
      <c r="A1060">
        <v>6</v>
      </c>
      <c r="B1060" t="s">
        <v>76</v>
      </c>
      <c r="C1060">
        <v>0</v>
      </c>
      <c r="D1060">
        <v>1</v>
      </c>
      <c r="E1060" s="3">
        <v>21</v>
      </c>
    </row>
    <row r="1061" spans="1:5" x14ac:dyDescent="0.2">
      <c r="A1061">
        <v>1</v>
      </c>
      <c r="B1061" t="s">
        <v>27</v>
      </c>
      <c r="C1061">
        <v>1</v>
      </c>
      <c r="D1061">
        <v>16</v>
      </c>
      <c r="E1061" s="3">
        <v>21</v>
      </c>
    </row>
    <row r="1062" spans="1:5" x14ac:dyDescent="0.2">
      <c r="A1062">
        <v>2</v>
      </c>
      <c r="B1062" t="s">
        <v>368</v>
      </c>
      <c r="C1062">
        <v>2</v>
      </c>
      <c r="D1062">
        <v>12</v>
      </c>
      <c r="E1062" s="3">
        <v>21</v>
      </c>
    </row>
    <row r="1063" spans="1:5" x14ac:dyDescent="0.2">
      <c r="A1063">
        <v>3</v>
      </c>
      <c r="B1063" t="s">
        <v>454</v>
      </c>
      <c r="C1063">
        <v>2</v>
      </c>
      <c r="D1063">
        <v>8</v>
      </c>
      <c r="E1063" s="3">
        <v>21</v>
      </c>
    </row>
    <row r="1064" spans="1:5" x14ac:dyDescent="0.2">
      <c r="A1064">
        <v>4</v>
      </c>
      <c r="B1064" t="s">
        <v>452</v>
      </c>
      <c r="C1064">
        <v>0</v>
      </c>
      <c r="D1064">
        <v>4</v>
      </c>
      <c r="E1064" s="3">
        <v>21</v>
      </c>
    </row>
    <row r="1065" spans="1:5" x14ac:dyDescent="0.2">
      <c r="A1065">
        <v>5</v>
      </c>
      <c r="B1065" t="s">
        <v>81</v>
      </c>
      <c r="C1065">
        <v>0</v>
      </c>
      <c r="D1065">
        <v>2</v>
      </c>
      <c r="E1065" s="3">
        <v>21</v>
      </c>
    </row>
    <row r="1066" spans="1:5" x14ac:dyDescent="0.2">
      <c r="A1066">
        <v>6</v>
      </c>
      <c r="B1066" t="s">
        <v>69</v>
      </c>
      <c r="C1066">
        <v>0</v>
      </c>
      <c r="D1066">
        <v>1</v>
      </c>
      <c r="E1066" s="3">
        <v>21</v>
      </c>
    </row>
    <row r="1067" spans="1:5" x14ac:dyDescent="0.2">
      <c r="A1067">
        <v>1</v>
      </c>
      <c r="B1067" t="s">
        <v>75</v>
      </c>
      <c r="C1067">
        <v>3</v>
      </c>
      <c r="D1067">
        <v>16</v>
      </c>
      <c r="E1067" s="3">
        <v>21</v>
      </c>
    </row>
    <row r="1068" spans="1:5" x14ac:dyDescent="0.2">
      <c r="A1068">
        <v>2</v>
      </c>
      <c r="B1068" t="s">
        <v>457</v>
      </c>
      <c r="C1068">
        <v>1</v>
      </c>
      <c r="D1068">
        <v>12</v>
      </c>
      <c r="E1068" s="3">
        <v>21</v>
      </c>
    </row>
    <row r="1069" spans="1:5" x14ac:dyDescent="0.2">
      <c r="A1069">
        <v>3</v>
      </c>
      <c r="B1069" t="s">
        <v>6</v>
      </c>
      <c r="C1069">
        <v>1</v>
      </c>
      <c r="D1069">
        <v>8</v>
      </c>
      <c r="E1069" s="3">
        <v>21</v>
      </c>
    </row>
    <row r="1070" spans="1:5" x14ac:dyDescent="0.2">
      <c r="A1070">
        <v>4</v>
      </c>
      <c r="B1070" t="s">
        <v>481</v>
      </c>
      <c r="C1070">
        <v>0</v>
      </c>
      <c r="D1070">
        <v>4</v>
      </c>
      <c r="E1070" s="3">
        <v>21</v>
      </c>
    </row>
    <row r="1071" spans="1:5" x14ac:dyDescent="0.2">
      <c r="A1071">
        <v>5</v>
      </c>
      <c r="B1071" t="s">
        <v>40</v>
      </c>
      <c r="C1071">
        <v>0</v>
      </c>
      <c r="D1071">
        <v>2</v>
      </c>
      <c r="E1071" s="3">
        <v>21</v>
      </c>
    </row>
    <row r="1072" spans="1:5" x14ac:dyDescent="0.2">
      <c r="A1072">
        <v>6</v>
      </c>
      <c r="B1072" t="s">
        <v>35</v>
      </c>
      <c r="C1072">
        <v>0</v>
      </c>
      <c r="D1072">
        <v>1</v>
      </c>
      <c r="E1072" s="3">
        <v>21</v>
      </c>
    </row>
    <row r="1073" spans="1:5" x14ac:dyDescent="0.2">
      <c r="A1073">
        <v>1</v>
      </c>
      <c r="B1073" t="s">
        <v>73</v>
      </c>
      <c r="C1073">
        <v>3</v>
      </c>
      <c r="D1073">
        <v>16</v>
      </c>
      <c r="E1073" s="3">
        <v>21</v>
      </c>
    </row>
    <row r="1074" spans="1:5" x14ac:dyDescent="0.2">
      <c r="A1074">
        <v>2</v>
      </c>
      <c r="B1074" t="s">
        <v>9</v>
      </c>
      <c r="C1074">
        <v>2</v>
      </c>
      <c r="D1074">
        <v>12</v>
      </c>
      <c r="E1074" s="3">
        <v>21</v>
      </c>
    </row>
    <row r="1075" spans="1:5" x14ac:dyDescent="0.2">
      <c r="A1075">
        <v>3</v>
      </c>
      <c r="B1075" t="s">
        <v>66</v>
      </c>
      <c r="C1075">
        <v>0</v>
      </c>
      <c r="D1075">
        <v>8</v>
      </c>
      <c r="E1075" s="3">
        <v>21</v>
      </c>
    </row>
    <row r="1076" spans="1:5" x14ac:dyDescent="0.2">
      <c r="A1076">
        <v>4</v>
      </c>
      <c r="B1076" t="s">
        <v>50</v>
      </c>
      <c r="C1076">
        <v>0</v>
      </c>
      <c r="D1076">
        <v>4</v>
      </c>
      <c r="E1076" s="3">
        <v>21</v>
      </c>
    </row>
    <row r="1077" spans="1:5" x14ac:dyDescent="0.2">
      <c r="A1077">
        <v>5</v>
      </c>
      <c r="B1077" t="s">
        <v>26</v>
      </c>
      <c r="C1077">
        <v>0</v>
      </c>
      <c r="D1077">
        <v>2</v>
      </c>
      <c r="E1077" s="3">
        <v>21</v>
      </c>
    </row>
    <row r="1078" spans="1:5" x14ac:dyDescent="0.2">
      <c r="A1078">
        <v>6</v>
      </c>
      <c r="B1078" t="s">
        <v>473</v>
      </c>
      <c r="C1078">
        <v>0</v>
      </c>
      <c r="D1078">
        <v>1</v>
      </c>
      <c r="E1078" s="3">
        <v>21</v>
      </c>
    </row>
    <row r="1079" spans="1:5" x14ac:dyDescent="0.2">
      <c r="A1079">
        <v>1</v>
      </c>
      <c r="B1079" t="s">
        <v>74</v>
      </c>
      <c r="C1079">
        <v>1</v>
      </c>
      <c r="D1079">
        <v>17</v>
      </c>
      <c r="E1079" s="3">
        <v>21</v>
      </c>
    </row>
    <row r="1080" spans="1:5" x14ac:dyDescent="0.2">
      <c r="A1080">
        <v>2</v>
      </c>
      <c r="B1080" t="s">
        <v>19</v>
      </c>
      <c r="C1080">
        <v>3</v>
      </c>
      <c r="D1080">
        <v>13</v>
      </c>
      <c r="E1080" s="3">
        <v>21</v>
      </c>
    </row>
    <row r="1081" spans="1:5" x14ac:dyDescent="0.2">
      <c r="A1081">
        <v>3</v>
      </c>
      <c r="B1081" t="s">
        <v>46</v>
      </c>
      <c r="C1081">
        <v>2</v>
      </c>
      <c r="D1081">
        <v>9</v>
      </c>
      <c r="E1081" s="3">
        <v>21</v>
      </c>
    </row>
    <row r="1082" spans="1:5" x14ac:dyDescent="0.2">
      <c r="A1082">
        <v>4</v>
      </c>
      <c r="B1082" t="s">
        <v>28</v>
      </c>
      <c r="C1082">
        <v>0</v>
      </c>
      <c r="D1082">
        <v>5</v>
      </c>
      <c r="E1082" s="3">
        <v>21</v>
      </c>
    </row>
    <row r="1083" spans="1:5" x14ac:dyDescent="0.2">
      <c r="A1083">
        <v>5</v>
      </c>
      <c r="B1083" t="s">
        <v>461</v>
      </c>
      <c r="C1083">
        <v>0</v>
      </c>
      <c r="D1083">
        <v>3</v>
      </c>
      <c r="E1083" s="3">
        <v>21</v>
      </c>
    </row>
    <row r="1084" spans="1:5" x14ac:dyDescent="0.2">
      <c r="A1084">
        <v>6</v>
      </c>
      <c r="B1084" t="s">
        <v>60</v>
      </c>
      <c r="C1084">
        <v>0</v>
      </c>
      <c r="D1084">
        <v>2</v>
      </c>
      <c r="E1084" s="3">
        <v>21</v>
      </c>
    </row>
    <row r="1085" spans="1:5" x14ac:dyDescent="0.2">
      <c r="A1085">
        <v>7</v>
      </c>
      <c r="B1085" t="s">
        <v>471</v>
      </c>
      <c r="C1085">
        <v>0</v>
      </c>
      <c r="D1085">
        <v>1</v>
      </c>
      <c r="E1085" s="3">
        <v>21</v>
      </c>
    </row>
    <row r="1086" spans="1:5" x14ac:dyDescent="0.2">
      <c r="A1086">
        <v>1</v>
      </c>
      <c r="B1086" t="s">
        <v>48</v>
      </c>
      <c r="C1086">
        <v>2</v>
      </c>
      <c r="D1086">
        <v>17</v>
      </c>
      <c r="E1086" s="3">
        <v>21</v>
      </c>
    </row>
    <row r="1087" spans="1:5" x14ac:dyDescent="0.2">
      <c r="A1087">
        <v>2</v>
      </c>
      <c r="B1087" t="s">
        <v>280</v>
      </c>
      <c r="C1087">
        <v>1</v>
      </c>
      <c r="D1087">
        <v>13</v>
      </c>
      <c r="E1087" s="3">
        <v>21</v>
      </c>
    </row>
    <row r="1088" spans="1:5" x14ac:dyDescent="0.2">
      <c r="A1088">
        <v>3</v>
      </c>
      <c r="B1088" t="s">
        <v>88</v>
      </c>
      <c r="C1088">
        <v>1</v>
      </c>
      <c r="D1088">
        <v>9</v>
      </c>
      <c r="E1088" s="3">
        <v>21</v>
      </c>
    </row>
    <row r="1089" spans="1:5" x14ac:dyDescent="0.2">
      <c r="A1089">
        <v>4</v>
      </c>
      <c r="B1089" t="s">
        <v>371</v>
      </c>
      <c r="C1089">
        <v>2</v>
      </c>
      <c r="D1089">
        <v>5</v>
      </c>
      <c r="E1089" s="3">
        <v>21</v>
      </c>
    </row>
    <row r="1090" spans="1:5" x14ac:dyDescent="0.2">
      <c r="A1090">
        <v>5</v>
      </c>
      <c r="B1090" t="s">
        <v>59</v>
      </c>
      <c r="C1090">
        <v>0</v>
      </c>
      <c r="D1090">
        <v>3</v>
      </c>
      <c r="E1090" s="3">
        <v>21</v>
      </c>
    </row>
    <row r="1091" spans="1:5" x14ac:dyDescent="0.2">
      <c r="A1091">
        <v>6</v>
      </c>
      <c r="B1091" t="s">
        <v>45</v>
      </c>
      <c r="C1091">
        <v>0</v>
      </c>
      <c r="D1091">
        <v>2</v>
      </c>
      <c r="E1091" s="3">
        <v>21</v>
      </c>
    </row>
    <row r="1092" spans="1:5" x14ac:dyDescent="0.2">
      <c r="A1092">
        <v>7</v>
      </c>
      <c r="B1092" t="s">
        <v>468</v>
      </c>
      <c r="C1092">
        <v>0</v>
      </c>
      <c r="D1092">
        <v>1</v>
      </c>
      <c r="E1092" s="3">
        <v>21</v>
      </c>
    </row>
    <row r="1093" spans="1:5" x14ac:dyDescent="0.2">
      <c r="A1093">
        <v>1</v>
      </c>
      <c r="B1093" t="s">
        <v>60</v>
      </c>
      <c r="C1093">
        <v>1</v>
      </c>
      <c r="D1093">
        <v>16</v>
      </c>
      <c r="E1093" s="3">
        <v>22</v>
      </c>
    </row>
    <row r="1094" spans="1:5" x14ac:dyDescent="0.2">
      <c r="A1094">
        <v>2</v>
      </c>
      <c r="B1094" t="s">
        <v>18</v>
      </c>
      <c r="C1094">
        <v>3</v>
      </c>
      <c r="D1094">
        <v>12</v>
      </c>
      <c r="E1094" s="3">
        <v>22</v>
      </c>
    </row>
    <row r="1095" spans="1:5" x14ac:dyDescent="0.2">
      <c r="A1095">
        <v>3</v>
      </c>
      <c r="B1095" t="s">
        <v>48</v>
      </c>
      <c r="C1095">
        <v>1</v>
      </c>
      <c r="D1095">
        <v>8</v>
      </c>
      <c r="E1095" s="3">
        <v>22</v>
      </c>
    </row>
    <row r="1096" spans="1:5" x14ac:dyDescent="0.2">
      <c r="A1096">
        <v>4</v>
      </c>
      <c r="B1096" t="s">
        <v>74</v>
      </c>
      <c r="C1096">
        <v>0</v>
      </c>
      <c r="D1096">
        <v>4</v>
      </c>
      <c r="E1096" s="3">
        <v>22</v>
      </c>
    </row>
    <row r="1097" spans="1:5" x14ac:dyDescent="0.2">
      <c r="A1097">
        <v>5</v>
      </c>
      <c r="B1097" t="s">
        <v>481</v>
      </c>
      <c r="C1097">
        <v>0</v>
      </c>
      <c r="D1097">
        <v>2</v>
      </c>
      <c r="E1097" s="3">
        <v>22</v>
      </c>
    </row>
    <row r="1098" spans="1:5" x14ac:dyDescent="0.2">
      <c r="A1098">
        <v>6</v>
      </c>
      <c r="B1098" t="s">
        <v>65</v>
      </c>
      <c r="C1098">
        <v>0</v>
      </c>
      <c r="D1098">
        <v>1</v>
      </c>
      <c r="E1098" s="3">
        <v>22</v>
      </c>
    </row>
    <row r="1099" spans="1:5" x14ac:dyDescent="0.2">
      <c r="A1099">
        <v>1</v>
      </c>
      <c r="B1099" t="s">
        <v>25</v>
      </c>
      <c r="C1099">
        <v>3</v>
      </c>
      <c r="D1099">
        <v>15</v>
      </c>
      <c r="E1099" s="3">
        <v>22</v>
      </c>
    </row>
    <row r="1100" spans="1:5" x14ac:dyDescent="0.2">
      <c r="A1100">
        <v>2</v>
      </c>
      <c r="B1100" t="s">
        <v>59</v>
      </c>
      <c r="C1100">
        <v>1</v>
      </c>
      <c r="D1100">
        <v>11</v>
      </c>
      <c r="E1100" s="3">
        <v>22</v>
      </c>
    </row>
    <row r="1101" spans="1:5" x14ac:dyDescent="0.2">
      <c r="A1101">
        <v>3</v>
      </c>
      <c r="B1101" t="s">
        <v>485</v>
      </c>
      <c r="C1101">
        <v>0</v>
      </c>
      <c r="D1101">
        <v>7</v>
      </c>
      <c r="E1101" s="3">
        <v>22</v>
      </c>
    </row>
    <row r="1102" spans="1:5" x14ac:dyDescent="0.2">
      <c r="A1102">
        <v>4</v>
      </c>
      <c r="B1102" t="s">
        <v>101</v>
      </c>
      <c r="C1102">
        <v>0</v>
      </c>
      <c r="D1102">
        <v>3</v>
      </c>
      <c r="E1102" s="3">
        <v>22</v>
      </c>
    </row>
    <row r="1103" spans="1:5" x14ac:dyDescent="0.2">
      <c r="A1103">
        <v>5</v>
      </c>
      <c r="B1103" t="s">
        <v>468</v>
      </c>
      <c r="C1103">
        <v>0</v>
      </c>
      <c r="D1103">
        <v>1</v>
      </c>
      <c r="E1103" s="3">
        <v>22</v>
      </c>
    </row>
    <row r="1104" spans="1:5" x14ac:dyDescent="0.2">
      <c r="A1104">
        <v>1</v>
      </c>
      <c r="B1104" t="s">
        <v>39</v>
      </c>
      <c r="C1104">
        <v>2</v>
      </c>
      <c r="D1104">
        <v>16</v>
      </c>
      <c r="E1104" s="3">
        <v>22</v>
      </c>
    </row>
    <row r="1105" spans="1:5" x14ac:dyDescent="0.2">
      <c r="A1105">
        <v>2</v>
      </c>
      <c r="B1105" t="s">
        <v>69</v>
      </c>
      <c r="C1105">
        <v>2</v>
      </c>
      <c r="D1105">
        <v>12</v>
      </c>
      <c r="E1105" s="3">
        <v>22</v>
      </c>
    </row>
    <row r="1106" spans="1:5" x14ac:dyDescent="0.2">
      <c r="A1106">
        <v>3</v>
      </c>
      <c r="B1106" t="s">
        <v>451</v>
      </c>
      <c r="C1106">
        <v>0</v>
      </c>
      <c r="D1106">
        <v>8</v>
      </c>
      <c r="E1106" s="3">
        <v>22</v>
      </c>
    </row>
    <row r="1107" spans="1:5" x14ac:dyDescent="0.2">
      <c r="A1107">
        <v>4</v>
      </c>
      <c r="B1107" t="s">
        <v>12</v>
      </c>
      <c r="C1107">
        <v>0</v>
      </c>
      <c r="D1107">
        <v>4</v>
      </c>
      <c r="E1107" s="3">
        <v>22</v>
      </c>
    </row>
    <row r="1108" spans="1:5" x14ac:dyDescent="0.2">
      <c r="A1108">
        <v>5</v>
      </c>
      <c r="B1108" t="s">
        <v>68</v>
      </c>
      <c r="C1108">
        <v>1</v>
      </c>
      <c r="D1108">
        <v>2</v>
      </c>
      <c r="E1108" s="3">
        <v>22</v>
      </c>
    </row>
    <row r="1109" spans="1:5" x14ac:dyDescent="0.2">
      <c r="A1109">
        <v>6</v>
      </c>
      <c r="B1109" t="s">
        <v>35</v>
      </c>
      <c r="C1109">
        <v>0</v>
      </c>
      <c r="D1109">
        <v>1</v>
      </c>
      <c r="E1109" s="3">
        <v>22</v>
      </c>
    </row>
    <row r="1110" spans="1:5" x14ac:dyDescent="0.2">
      <c r="A1110">
        <v>1</v>
      </c>
      <c r="B1110" t="s">
        <v>14</v>
      </c>
      <c r="C1110">
        <v>3</v>
      </c>
      <c r="D1110">
        <v>16</v>
      </c>
      <c r="E1110" s="3">
        <v>22</v>
      </c>
    </row>
    <row r="1111" spans="1:5" x14ac:dyDescent="0.2">
      <c r="A1111">
        <v>2</v>
      </c>
      <c r="B1111" t="s">
        <v>46</v>
      </c>
      <c r="C1111">
        <v>1</v>
      </c>
      <c r="D1111">
        <v>12</v>
      </c>
      <c r="E1111" s="3">
        <v>22</v>
      </c>
    </row>
    <row r="1112" spans="1:5" x14ac:dyDescent="0.2">
      <c r="A1112">
        <v>3</v>
      </c>
      <c r="B1112" t="s">
        <v>463</v>
      </c>
      <c r="C1112">
        <v>0</v>
      </c>
      <c r="D1112">
        <v>8</v>
      </c>
      <c r="E1112" s="3">
        <v>22</v>
      </c>
    </row>
    <row r="1113" spans="1:5" x14ac:dyDescent="0.2">
      <c r="A1113">
        <v>4</v>
      </c>
      <c r="B1113" t="s">
        <v>28</v>
      </c>
      <c r="C1113">
        <v>1</v>
      </c>
      <c r="D1113">
        <v>4</v>
      </c>
      <c r="E1113" s="3">
        <v>22</v>
      </c>
    </row>
    <row r="1114" spans="1:5" x14ac:dyDescent="0.2">
      <c r="A1114">
        <v>5</v>
      </c>
      <c r="B1114" t="s">
        <v>484</v>
      </c>
      <c r="C1114">
        <v>0</v>
      </c>
      <c r="D1114">
        <v>2</v>
      </c>
      <c r="E1114" s="3">
        <v>22</v>
      </c>
    </row>
    <row r="1115" spans="1:5" x14ac:dyDescent="0.2">
      <c r="A1115">
        <v>6</v>
      </c>
      <c r="B1115" t="s">
        <v>33</v>
      </c>
      <c r="C1115">
        <v>0</v>
      </c>
      <c r="D1115">
        <v>1</v>
      </c>
      <c r="E1115" s="3">
        <v>22</v>
      </c>
    </row>
    <row r="1116" spans="1:5" x14ac:dyDescent="0.2">
      <c r="A1116">
        <v>1</v>
      </c>
      <c r="B1116" t="s">
        <v>75</v>
      </c>
      <c r="C1116">
        <v>4</v>
      </c>
      <c r="D1116">
        <v>15</v>
      </c>
      <c r="E1116" s="3">
        <v>22</v>
      </c>
    </row>
    <row r="1117" spans="1:5" x14ac:dyDescent="0.2">
      <c r="A1117">
        <v>2</v>
      </c>
      <c r="B1117" t="s">
        <v>476</v>
      </c>
      <c r="C1117">
        <v>0</v>
      </c>
      <c r="D1117">
        <v>11</v>
      </c>
      <c r="E1117" s="3">
        <v>22</v>
      </c>
    </row>
    <row r="1118" spans="1:5" x14ac:dyDescent="0.2">
      <c r="A1118">
        <v>3</v>
      </c>
      <c r="B1118" t="s">
        <v>50</v>
      </c>
      <c r="C1118">
        <v>0</v>
      </c>
      <c r="D1118">
        <v>7</v>
      </c>
      <c r="E1118" s="3">
        <v>22</v>
      </c>
    </row>
    <row r="1119" spans="1:5" x14ac:dyDescent="0.2">
      <c r="A1119">
        <v>4</v>
      </c>
      <c r="B1119" t="s">
        <v>6</v>
      </c>
      <c r="C1119">
        <v>0</v>
      </c>
      <c r="D1119">
        <v>3</v>
      </c>
      <c r="E1119" s="3">
        <v>22</v>
      </c>
    </row>
    <row r="1120" spans="1:5" x14ac:dyDescent="0.2">
      <c r="A1120">
        <v>5</v>
      </c>
      <c r="B1120" t="s">
        <v>457</v>
      </c>
      <c r="C1120">
        <v>0</v>
      </c>
      <c r="D1120">
        <v>1</v>
      </c>
      <c r="E1120" s="3">
        <v>22</v>
      </c>
    </row>
    <row r="1121" spans="1:5" x14ac:dyDescent="0.2">
      <c r="A1121">
        <v>1</v>
      </c>
      <c r="B1121" t="s">
        <v>55</v>
      </c>
      <c r="C1121">
        <v>1</v>
      </c>
      <c r="D1121">
        <v>15</v>
      </c>
      <c r="E1121" s="3">
        <v>22</v>
      </c>
    </row>
    <row r="1122" spans="1:5" x14ac:dyDescent="0.2">
      <c r="A1122">
        <v>2</v>
      </c>
      <c r="B1122" t="s">
        <v>40</v>
      </c>
      <c r="C1122">
        <v>3</v>
      </c>
      <c r="D1122">
        <v>11</v>
      </c>
      <c r="E1122" s="3">
        <v>22</v>
      </c>
    </row>
    <row r="1123" spans="1:5" x14ac:dyDescent="0.2">
      <c r="A1123">
        <v>3</v>
      </c>
      <c r="B1123" t="s">
        <v>66</v>
      </c>
      <c r="C1123">
        <v>0</v>
      </c>
      <c r="D1123">
        <v>7</v>
      </c>
      <c r="E1123" s="3">
        <v>22</v>
      </c>
    </row>
    <row r="1124" spans="1:5" x14ac:dyDescent="0.2">
      <c r="A1124">
        <v>4</v>
      </c>
      <c r="B1124" t="s">
        <v>264</v>
      </c>
      <c r="C1124">
        <v>0</v>
      </c>
      <c r="D1124">
        <v>3</v>
      </c>
      <c r="E1124" s="3">
        <v>22</v>
      </c>
    </row>
    <row r="1125" spans="1:5" x14ac:dyDescent="0.2">
      <c r="A1125">
        <v>5</v>
      </c>
      <c r="B1125" t="s">
        <v>21</v>
      </c>
      <c r="C1125">
        <v>0</v>
      </c>
      <c r="D1125">
        <v>1</v>
      </c>
      <c r="E1125" s="3">
        <v>22</v>
      </c>
    </row>
    <row r="1126" spans="1:5" x14ac:dyDescent="0.2">
      <c r="A1126">
        <v>1</v>
      </c>
      <c r="B1126" t="s">
        <v>461</v>
      </c>
      <c r="C1126">
        <v>2</v>
      </c>
      <c r="D1126">
        <v>15</v>
      </c>
      <c r="E1126" s="3">
        <v>22</v>
      </c>
    </row>
    <row r="1127" spans="1:5" x14ac:dyDescent="0.2">
      <c r="A1127">
        <v>2</v>
      </c>
      <c r="B1127" t="s">
        <v>345</v>
      </c>
      <c r="C1127">
        <v>2</v>
      </c>
      <c r="D1127">
        <v>11</v>
      </c>
      <c r="E1127" s="3">
        <v>22</v>
      </c>
    </row>
    <row r="1128" spans="1:5" x14ac:dyDescent="0.2">
      <c r="A1128">
        <v>3</v>
      </c>
      <c r="B1128" t="s">
        <v>52</v>
      </c>
      <c r="C1128">
        <v>0</v>
      </c>
      <c r="D1128">
        <v>7</v>
      </c>
      <c r="E1128" s="3">
        <v>22</v>
      </c>
    </row>
    <row r="1129" spans="1:5" x14ac:dyDescent="0.2">
      <c r="A1129">
        <v>4</v>
      </c>
      <c r="B1129" t="s">
        <v>87</v>
      </c>
      <c r="C1129">
        <v>0</v>
      </c>
      <c r="D1129">
        <v>3</v>
      </c>
      <c r="E1129" s="3">
        <v>22</v>
      </c>
    </row>
    <row r="1130" spans="1:5" x14ac:dyDescent="0.2">
      <c r="A1130">
        <v>5</v>
      </c>
      <c r="B1130" t="s">
        <v>9</v>
      </c>
      <c r="C1130">
        <v>0</v>
      </c>
      <c r="D1130">
        <v>1</v>
      </c>
      <c r="E1130" s="3">
        <v>22</v>
      </c>
    </row>
    <row r="1131" spans="1:5" x14ac:dyDescent="0.2">
      <c r="A1131">
        <v>1</v>
      </c>
      <c r="B1131" t="s">
        <v>73</v>
      </c>
      <c r="C1131">
        <v>3</v>
      </c>
      <c r="D1131">
        <v>15</v>
      </c>
      <c r="E1131" s="3">
        <v>22</v>
      </c>
    </row>
    <row r="1132" spans="1:5" x14ac:dyDescent="0.2">
      <c r="A1132">
        <v>2</v>
      </c>
      <c r="B1132" t="s">
        <v>27</v>
      </c>
      <c r="C1132">
        <v>1</v>
      </c>
      <c r="D1132">
        <v>11</v>
      </c>
      <c r="E1132" s="3">
        <v>22</v>
      </c>
    </row>
    <row r="1133" spans="1:5" x14ac:dyDescent="0.2">
      <c r="A1133">
        <v>3</v>
      </c>
      <c r="B1133" t="s">
        <v>26</v>
      </c>
      <c r="C1133">
        <v>0</v>
      </c>
      <c r="D1133">
        <v>7</v>
      </c>
      <c r="E1133" s="3">
        <v>22</v>
      </c>
    </row>
    <row r="1134" spans="1:5" x14ac:dyDescent="0.2">
      <c r="A1134">
        <v>4</v>
      </c>
      <c r="B1134" t="s">
        <v>41</v>
      </c>
      <c r="C1134">
        <v>0</v>
      </c>
      <c r="D1134">
        <v>3</v>
      </c>
      <c r="E1134" s="3">
        <v>22</v>
      </c>
    </row>
    <row r="1135" spans="1:5" x14ac:dyDescent="0.2">
      <c r="A1135">
        <v>5</v>
      </c>
      <c r="B1135" t="s">
        <v>452</v>
      </c>
      <c r="C1135">
        <v>0</v>
      </c>
      <c r="D1135">
        <v>1</v>
      </c>
      <c r="E1135" s="3">
        <v>22</v>
      </c>
    </row>
    <row r="1136" spans="1:5" x14ac:dyDescent="0.2">
      <c r="A1136">
        <v>1</v>
      </c>
      <c r="B1136" t="s">
        <v>461</v>
      </c>
      <c r="C1136">
        <v>3</v>
      </c>
      <c r="D1136">
        <v>16</v>
      </c>
      <c r="E1136" s="3">
        <v>23</v>
      </c>
    </row>
    <row r="1137" spans="1:5" x14ac:dyDescent="0.2">
      <c r="A1137">
        <v>2</v>
      </c>
      <c r="B1137" t="s">
        <v>25</v>
      </c>
      <c r="C1137">
        <v>0</v>
      </c>
      <c r="D1137">
        <v>12</v>
      </c>
      <c r="E1137" s="3">
        <v>23</v>
      </c>
    </row>
    <row r="1138" spans="1:5" x14ac:dyDescent="0.2">
      <c r="A1138">
        <v>3</v>
      </c>
      <c r="B1138" t="s">
        <v>48</v>
      </c>
      <c r="C1138">
        <v>2</v>
      </c>
      <c r="D1138">
        <v>8</v>
      </c>
      <c r="E1138" s="3">
        <v>23</v>
      </c>
    </row>
    <row r="1139" spans="1:5" x14ac:dyDescent="0.2">
      <c r="A1139">
        <v>4</v>
      </c>
      <c r="B1139" t="s">
        <v>345</v>
      </c>
      <c r="C1139">
        <v>0</v>
      </c>
      <c r="D1139">
        <v>4</v>
      </c>
      <c r="E1139" s="3">
        <v>23</v>
      </c>
    </row>
    <row r="1140" spans="1:5" x14ac:dyDescent="0.2">
      <c r="A1140">
        <v>5</v>
      </c>
      <c r="B1140" t="s">
        <v>15</v>
      </c>
      <c r="C1140">
        <v>0</v>
      </c>
      <c r="D1140">
        <v>2</v>
      </c>
      <c r="E1140" s="3">
        <v>23</v>
      </c>
    </row>
    <row r="1141" spans="1:5" x14ac:dyDescent="0.2">
      <c r="A1141">
        <v>6</v>
      </c>
      <c r="B1141" t="s">
        <v>454</v>
      </c>
      <c r="C1141">
        <v>0</v>
      </c>
      <c r="D1141">
        <v>1</v>
      </c>
      <c r="E1141" s="3">
        <v>23</v>
      </c>
    </row>
    <row r="1142" spans="1:5" x14ac:dyDescent="0.2">
      <c r="A1142">
        <v>1</v>
      </c>
      <c r="B1142" t="s">
        <v>35</v>
      </c>
      <c r="C1142">
        <v>4</v>
      </c>
      <c r="D1142">
        <v>16</v>
      </c>
      <c r="E1142" s="3">
        <v>23</v>
      </c>
    </row>
    <row r="1143" spans="1:5" x14ac:dyDescent="0.2">
      <c r="A1143">
        <v>2</v>
      </c>
      <c r="B1143" t="s">
        <v>87</v>
      </c>
      <c r="C1143">
        <v>1</v>
      </c>
      <c r="D1143">
        <v>12</v>
      </c>
      <c r="E1143" s="3">
        <v>23</v>
      </c>
    </row>
    <row r="1144" spans="1:5" x14ac:dyDescent="0.2">
      <c r="A1144">
        <v>3</v>
      </c>
      <c r="B1144" t="s">
        <v>12</v>
      </c>
      <c r="C1144">
        <v>0</v>
      </c>
      <c r="D1144">
        <v>8</v>
      </c>
      <c r="E1144" s="3">
        <v>23</v>
      </c>
    </row>
    <row r="1145" spans="1:5" x14ac:dyDescent="0.2">
      <c r="A1145">
        <v>4</v>
      </c>
      <c r="B1145" t="s">
        <v>368</v>
      </c>
      <c r="C1145">
        <v>0</v>
      </c>
      <c r="D1145">
        <v>4</v>
      </c>
      <c r="E1145" s="3">
        <v>23</v>
      </c>
    </row>
    <row r="1146" spans="1:5" x14ac:dyDescent="0.2">
      <c r="A1146">
        <v>5</v>
      </c>
      <c r="B1146" t="s">
        <v>45</v>
      </c>
      <c r="C1146">
        <v>0</v>
      </c>
      <c r="D1146">
        <v>2</v>
      </c>
      <c r="E1146" s="3">
        <v>23</v>
      </c>
    </row>
    <row r="1147" spans="1:5" x14ac:dyDescent="0.2">
      <c r="A1147">
        <v>6</v>
      </c>
      <c r="B1147" t="s">
        <v>69</v>
      </c>
      <c r="C1147">
        <v>0</v>
      </c>
      <c r="D1147">
        <v>1</v>
      </c>
      <c r="E1147" s="3">
        <v>23</v>
      </c>
    </row>
    <row r="1148" spans="1:5" x14ac:dyDescent="0.2">
      <c r="A1148">
        <v>1</v>
      </c>
      <c r="B1148" t="s">
        <v>18</v>
      </c>
      <c r="C1148">
        <v>2</v>
      </c>
      <c r="D1148">
        <v>16</v>
      </c>
      <c r="E1148" s="3">
        <v>23</v>
      </c>
    </row>
    <row r="1149" spans="1:5" x14ac:dyDescent="0.2">
      <c r="A1149">
        <v>2</v>
      </c>
      <c r="B1149" t="s">
        <v>490</v>
      </c>
      <c r="C1149">
        <v>2</v>
      </c>
      <c r="D1149">
        <v>12</v>
      </c>
      <c r="E1149" s="3">
        <v>23</v>
      </c>
    </row>
    <row r="1150" spans="1:5" x14ac:dyDescent="0.2">
      <c r="A1150">
        <v>3</v>
      </c>
      <c r="B1150" t="s">
        <v>75</v>
      </c>
      <c r="C1150">
        <v>1</v>
      </c>
      <c r="D1150">
        <v>8</v>
      </c>
      <c r="E1150" s="3">
        <v>23</v>
      </c>
    </row>
    <row r="1151" spans="1:5" x14ac:dyDescent="0.2">
      <c r="A1151">
        <v>4</v>
      </c>
      <c r="B1151" t="s">
        <v>41</v>
      </c>
      <c r="C1151">
        <v>0</v>
      </c>
      <c r="D1151">
        <v>4</v>
      </c>
      <c r="E1151" s="3">
        <v>23</v>
      </c>
    </row>
    <row r="1152" spans="1:5" x14ac:dyDescent="0.2">
      <c r="A1152">
        <v>5</v>
      </c>
      <c r="B1152" t="s">
        <v>66</v>
      </c>
      <c r="C1152">
        <v>0</v>
      </c>
      <c r="D1152">
        <v>2</v>
      </c>
      <c r="E1152" s="3">
        <v>23</v>
      </c>
    </row>
    <row r="1153" spans="1:5" x14ac:dyDescent="0.2">
      <c r="A1153">
        <v>6</v>
      </c>
      <c r="B1153" t="s">
        <v>479</v>
      </c>
      <c r="C1153">
        <v>0</v>
      </c>
      <c r="D1153">
        <v>1</v>
      </c>
      <c r="E1153" s="3">
        <v>23</v>
      </c>
    </row>
    <row r="1154" spans="1:5" x14ac:dyDescent="0.2">
      <c r="A1154">
        <v>1</v>
      </c>
      <c r="B1154" t="s">
        <v>50</v>
      </c>
      <c r="C1154">
        <v>3</v>
      </c>
      <c r="D1154">
        <v>17</v>
      </c>
      <c r="E1154" s="3">
        <v>23</v>
      </c>
    </row>
    <row r="1155" spans="1:5" x14ac:dyDescent="0.2">
      <c r="A1155">
        <v>2</v>
      </c>
      <c r="B1155" t="s">
        <v>6</v>
      </c>
      <c r="C1155">
        <v>0</v>
      </c>
      <c r="D1155">
        <v>13</v>
      </c>
      <c r="E1155" s="3">
        <v>23</v>
      </c>
    </row>
    <row r="1156" spans="1:5" x14ac:dyDescent="0.2">
      <c r="A1156">
        <v>3</v>
      </c>
      <c r="B1156" t="s">
        <v>65</v>
      </c>
      <c r="C1156">
        <v>1</v>
      </c>
      <c r="D1156">
        <v>9</v>
      </c>
      <c r="E1156" s="3">
        <v>23</v>
      </c>
    </row>
    <row r="1157" spans="1:5" x14ac:dyDescent="0.2">
      <c r="A1157">
        <v>4</v>
      </c>
      <c r="B1157" t="s">
        <v>40</v>
      </c>
      <c r="C1157">
        <v>2</v>
      </c>
      <c r="D1157">
        <v>5</v>
      </c>
      <c r="E1157" s="3">
        <v>23</v>
      </c>
    </row>
    <row r="1158" spans="1:5" x14ac:dyDescent="0.2">
      <c r="A1158">
        <v>5</v>
      </c>
      <c r="B1158" t="s">
        <v>452</v>
      </c>
      <c r="C1158">
        <v>0</v>
      </c>
      <c r="D1158">
        <v>3</v>
      </c>
      <c r="E1158" s="3">
        <v>23</v>
      </c>
    </row>
    <row r="1159" spans="1:5" x14ac:dyDescent="0.2">
      <c r="A1159">
        <v>6</v>
      </c>
      <c r="B1159" t="s">
        <v>32</v>
      </c>
      <c r="C1159">
        <v>0</v>
      </c>
      <c r="D1159">
        <v>2</v>
      </c>
      <c r="E1159" s="3">
        <v>23</v>
      </c>
    </row>
    <row r="1160" spans="1:5" x14ac:dyDescent="0.2">
      <c r="A1160">
        <v>7</v>
      </c>
      <c r="B1160" t="s">
        <v>68</v>
      </c>
      <c r="C1160">
        <v>0</v>
      </c>
      <c r="D1160">
        <v>1</v>
      </c>
      <c r="E1160" s="3">
        <v>23</v>
      </c>
    </row>
    <row r="1161" spans="1:5" x14ac:dyDescent="0.2">
      <c r="A1161">
        <v>1</v>
      </c>
      <c r="B1161" t="s">
        <v>26</v>
      </c>
      <c r="C1161">
        <v>2</v>
      </c>
      <c r="D1161">
        <v>16</v>
      </c>
      <c r="E1161" s="3">
        <v>23</v>
      </c>
    </row>
    <row r="1162" spans="1:5" x14ac:dyDescent="0.2">
      <c r="A1162">
        <v>2</v>
      </c>
      <c r="B1162" t="s">
        <v>59</v>
      </c>
      <c r="C1162">
        <v>3</v>
      </c>
      <c r="D1162">
        <v>12</v>
      </c>
      <c r="E1162" s="3">
        <v>23</v>
      </c>
    </row>
    <row r="1163" spans="1:5" x14ac:dyDescent="0.2">
      <c r="A1163">
        <v>3</v>
      </c>
      <c r="B1163" t="s">
        <v>74</v>
      </c>
      <c r="C1163">
        <v>0</v>
      </c>
      <c r="D1163">
        <v>8</v>
      </c>
      <c r="E1163" s="3">
        <v>23</v>
      </c>
    </row>
    <row r="1164" spans="1:5" x14ac:dyDescent="0.2">
      <c r="A1164">
        <v>4</v>
      </c>
      <c r="B1164" t="s">
        <v>52</v>
      </c>
      <c r="C1164">
        <v>0</v>
      </c>
      <c r="D1164">
        <v>4</v>
      </c>
      <c r="E1164" s="3">
        <v>23</v>
      </c>
    </row>
    <row r="1165" spans="1:5" x14ac:dyDescent="0.2">
      <c r="A1165">
        <v>5</v>
      </c>
      <c r="B1165" t="s">
        <v>21</v>
      </c>
      <c r="C1165">
        <v>0</v>
      </c>
      <c r="D1165">
        <v>2</v>
      </c>
      <c r="E1165" s="3">
        <v>23</v>
      </c>
    </row>
    <row r="1166" spans="1:5" x14ac:dyDescent="0.2">
      <c r="A1166">
        <v>6</v>
      </c>
      <c r="B1166" t="s">
        <v>101</v>
      </c>
      <c r="C1166">
        <v>0</v>
      </c>
      <c r="D1166">
        <v>1</v>
      </c>
      <c r="E1166" s="3">
        <v>23</v>
      </c>
    </row>
    <row r="1167" spans="1:5" x14ac:dyDescent="0.2">
      <c r="A1167">
        <v>1</v>
      </c>
      <c r="B1167" t="s">
        <v>76</v>
      </c>
      <c r="C1167">
        <v>3</v>
      </c>
      <c r="D1167">
        <v>17</v>
      </c>
      <c r="E1167" s="3">
        <v>23</v>
      </c>
    </row>
    <row r="1168" spans="1:5" x14ac:dyDescent="0.2">
      <c r="A1168">
        <v>2</v>
      </c>
      <c r="B1168" t="s">
        <v>9</v>
      </c>
      <c r="C1168">
        <v>0</v>
      </c>
      <c r="D1168">
        <v>13</v>
      </c>
      <c r="E1168" s="3">
        <v>23</v>
      </c>
    </row>
    <row r="1169" spans="1:5" x14ac:dyDescent="0.2">
      <c r="A1169">
        <v>3</v>
      </c>
      <c r="B1169" t="s">
        <v>91</v>
      </c>
      <c r="C1169">
        <v>3</v>
      </c>
      <c r="D1169">
        <v>9</v>
      </c>
      <c r="E1169" s="3">
        <v>23</v>
      </c>
    </row>
    <row r="1170" spans="1:5" x14ac:dyDescent="0.2">
      <c r="A1170">
        <v>4</v>
      </c>
      <c r="B1170" t="s">
        <v>473</v>
      </c>
      <c r="C1170">
        <v>0</v>
      </c>
      <c r="D1170">
        <v>5</v>
      </c>
      <c r="E1170" s="3">
        <v>23</v>
      </c>
    </row>
    <row r="1171" spans="1:5" x14ac:dyDescent="0.2">
      <c r="A1171">
        <v>5</v>
      </c>
      <c r="B1171" t="s">
        <v>73</v>
      </c>
      <c r="C1171">
        <v>0</v>
      </c>
      <c r="D1171">
        <v>3</v>
      </c>
      <c r="E1171" s="3">
        <v>23</v>
      </c>
    </row>
    <row r="1172" spans="1:5" x14ac:dyDescent="0.2">
      <c r="A1172">
        <v>6</v>
      </c>
      <c r="B1172" t="s">
        <v>88</v>
      </c>
      <c r="C1172">
        <v>0</v>
      </c>
      <c r="D1172">
        <v>2</v>
      </c>
      <c r="E1172" s="3">
        <v>23</v>
      </c>
    </row>
    <row r="1173" spans="1:5" x14ac:dyDescent="0.2">
      <c r="A1173">
        <v>7</v>
      </c>
      <c r="B1173" t="s">
        <v>264</v>
      </c>
      <c r="C1173">
        <v>0</v>
      </c>
      <c r="D1173">
        <v>1</v>
      </c>
      <c r="E1173" s="3">
        <v>23</v>
      </c>
    </row>
    <row r="1174" spans="1:5" x14ac:dyDescent="0.2">
      <c r="A1174">
        <v>1</v>
      </c>
      <c r="B1174" t="s">
        <v>46</v>
      </c>
      <c r="C1174">
        <v>4</v>
      </c>
      <c r="D1174">
        <v>17</v>
      </c>
      <c r="E1174" s="3">
        <v>23</v>
      </c>
    </row>
    <row r="1175" spans="1:5" x14ac:dyDescent="0.2">
      <c r="A1175">
        <v>2</v>
      </c>
      <c r="B1175" t="s">
        <v>485</v>
      </c>
      <c r="C1175">
        <v>0</v>
      </c>
      <c r="D1175">
        <v>13</v>
      </c>
      <c r="E1175" s="3">
        <v>23</v>
      </c>
    </row>
    <row r="1176" spans="1:5" x14ac:dyDescent="0.2">
      <c r="A1176">
        <v>3</v>
      </c>
      <c r="B1176" t="s">
        <v>19</v>
      </c>
      <c r="C1176">
        <v>0</v>
      </c>
      <c r="D1176">
        <v>9</v>
      </c>
      <c r="E1176" s="3">
        <v>23</v>
      </c>
    </row>
    <row r="1177" spans="1:5" x14ac:dyDescent="0.2">
      <c r="A1177">
        <v>4</v>
      </c>
      <c r="B1177" t="s">
        <v>42</v>
      </c>
      <c r="C1177">
        <v>1</v>
      </c>
      <c r="D1177">
        <v>5</v>
      </c>
      <c r="E1177" s="3">
        <v>23</v>
      </c>
    </row>
    <row r="1178" spans="1:5" x14ac:dyDescent="0.2">
      <c r="A1178">
        <v>5</v>
      </c>
      <c r="B1178" t="s">
        <v>28</v>
      </c>
      <c r="C1178">
        <v>1</v>
      </c>
      <c r="D1178">
        <v>3</v>
      </c>
      <c r="E1178" s="3">
        <v>23</v>
      </c>
    </row>
    <row r="1179" spans="1:5" x14ac:dyDescent="0.2">
      <c r="A1179">
        <v>6</v>
      </c>
      <c r="B1179" t="s">
        <v>459</v>
      </c>
      <c r="C1179">
        <v>0</v>
      </c>
      <c r="D1179">
        <v>2</v>
      </c>
      <c r="E1179" s="3">
        <v>23</v>
      </c>
    </row>
    <row r="1180" spans="1:5" x14ac:dyDescent="0.2">
      <c r="A1180">
        <v>7</v>
      </c>
      <c r="B1180" t="s">
        <v>484</v>
      </c>
      <c r="C1180">
        <v>0</v>
      </c>
      <c r="D1180">
        <v>1</v>
      </c>
      <c r="E1180" s="3">
        <v>23</v>
      </c>
    </row>
    <row r="1181" spans="1:5" x14ac:dyDescent="0.2">
      <c r="A1181">
        <v>1</v>
      </c>
      <c r="B1181" t="s">
        <v>481</v>
      </c>
      <c r="C1181">
        <v>2</v>
      </c>
      <c r="D1181">
        <v>17</v>
      </c>
      <c r="E1181" s="3">
        <v>23</v>
      </c>
    </row>
    <row r="1182" spans="1:5" x14ac:dyDescent="0.2">
      <c r="A1182">
        <v>2</v>
      </c>
      <c r="B1182" t="s">
        <v>27</v>
      </c>
      <c r="C1182">
        <v>3</v>
      </c>
      <c r="D1182">
        <v>13</v>
      </c>
      <c r="E1182" s="3">
        <v>23</v>
      </c>
    </row>
    <row r="1183" spans="1:5" x14ac:dyDescent="0.2">
      <c r="A1183">
        <v>3</v>
      </c>
      <c r="B1183" t="s">
        <v>483</v>
      </c>
      <c r="C1183">
        <v>1</v>
      </c>
      <c r="D1183">
        <v>9</v>
      </c>
      <c r="E1183" s="3">
        <v>23</v>
      </c>
    </row>
    <row r="1184" spans="1:5" x14ac:dyDescent="0.2">
      <c r="A1184">
        <v>4</v>
      </c>
      <c r="B1184" t="s">
        <v>280</v>
      </c>
      <c r="C1184">
        <v>0</v>
      </c>
      <c r="D1184">
        <v>5</v>
      </c>
      <c r="E1184" s="3">
        <v>23</v>
      </c>
    </row>
    <row r="1185" spans="1:5" x14ac:dyDescent="0.2">
      <c r="A1185">
        <v>5</v>
      </c>
      <c r="B1185" t="s">
        <v>60</v>
      </c>
      <c r="C1185">
        <v>0</v>
      </c>
      <c r="D1185">
        <v>3</v>
      </c>
      <c r="E1185" s="3">
        <v>23</v>
      </c>
    </row>
    <row r="1186" spans="1:5" x14ac:dyDescent="0.2">
      <c r="A1186">
        <v>6</v>
      </c>
      <c r="B1186" t="s">
        <v>468</v>
      </c>
      <c r="C1186">
        <v>0</v>
      </c>
      <c r="D1186">
        <v>2</v>
      </c>
      <c r="E1186" s="3">
        <v>23</v>
      </c>
    </row>
    <row r="1187" spans="1:5" x14ac:dyDescent="0.2">
      <c r="A1187">
        <v>7</v>
      </c>
      <c r="B1187" t="s">
        <v>55</v>
      </c>
      <c r="C1187">
        <v>0</v>
      </c>
      <c r="D1187">
        <v>1</v>
      </c>
      <c r="E1187" s="3">
        <v>23</v>
      </c>
    </row>
    <row r="1188" spans="1:5" x14ac:dyDescent="0.2">
      <c r="A1188">
        <v>1</v>
      </c>
      <c r="B1188" t="s">
        <v>60</v>
      </c>
      <c r="C1188">
        <v>4</v>
      </c>
      <c r="D1188">
        <v>16</v>
      </c>
      <c r="E1188" s="3">
        <v>24</v>
      </c>
    </row>
    <row r="1189" spans="1:5" x14ac:dyDescent="0.2">
      <c r="A1189">
        <v>2</v>
      </c>
      <c r="B1189" t="s">
        <v>35</v>
      </c>
      <c r="C1189">
        <v>0</v>
      </c>
      <c r="D1189">
        <v>12</v>
      </c>
      <c r="E1189" s="3">
        <v>24</v>
      </c>
    </row>
    <row r="1190" spans="1:5" x14ac:dyDescent="0.2">
      <c r="A1190">
        <v>3</v>
      </c>
      <c r="B1190" t="s">
        <v>33</v>
      </c>
      <c r="C1190">
        <v>0</v>
      </c>
      <c r="D1190">
        <v>8</v>
      </c>
      <c r="E1190" s="3">
        <v>24</v>
      </c>
    </row>
    <row r="1191" spans="1:5" x14ac:dyDescent="0.2">
      <c r="A1191">
        <v>4</v>
      </c>
      <c r="B1191" t="s">
        <v>485</v>
      </c>
      <c r="C1191">
        <v>1</v>
      </c>
      <c r="D1191">
        <v>4</v>
      </c>
      <c r="E1191" s="3">
        <v>24</v>
      </c>
    </row>
    <row r="1192" spans="1:5" x14ac:dyDescent="0.2">
      <c r="A1192">
        <v>5</v>
      </c>
      <c r="B1192" t="s">
        <v>42</v>
      </c>
      <c r="C1192">
        <v>0</v>
      </c>
      <c r="D1192">
        <v>2</v>
      </c>
      <c r="E1192" s="3">
        <v>24</v>
      </c>
    </row>
    <row r="1193" spans="1:5" x14ac:dyDescent="0.2">
      <c r="A1193">
        <v>6</v>
      </c>
      <c r="B1193" t="s">
        <v>484</v>
      </c>
      <c r="C1193">
        <v>0</v>
      </c>
      <c r="D1193">
        <v>1</v>
      </c>
      <c r="E1193" s="3">
        <v>24</v>
      </c>
    </row>
    <row r="1194" spans="1:5" x14ac:dyDescent="0.2">
      <c r="A1194">
        <v>1</v>
      </c>
      <c r="B1194" t="s">
        <v>6</v>
      </c>
      <c r="C1194">
        <v>2</v>
      </c>
      <c r="D1194">
        <v>16</v>
      </c>
      <c r="E1194" s="3">
        <v>24</v>
      </c>
    </row>
    <row r="1195" spans="1:5" x14ac:dyDescent="0.2">
      <c r="A1195">
        <v>2</v>
      </c>
      <c r="B1195" t="s">
        <v>25</v>
      </c>
      <c r="C1195">
        <v>1</v>
      </c>
      <c r="D1195">
        <v>12</v>
      </c>
      <c r="E1195" s="3">
        <v>24</v>
      </c>
    </row>
    <row r="1196" spans="1:5" x14ac:dyDescent="0.2">
      <c r="A1196">
        <v>3</v>
      </c>
      <c r="B1196" t="s">
        <v>46</v>
      </c>
      <c r="C1196">
        <v>2</v>
      </c>
      <c r="D1196">
        <v>8</v>
      </c>
      <c r="E1196" s="3">
        <v>24</v>
      </c>
    </row>
    <row r="1197" spans="1:5" x14ac:dyDescent="0.2">
      <c r="A1197">
        <v>4</v>
      </c>
      <c r="B1197" t="s">
        <v>26</v>
      </c>
      <c r="C1197">
        <v>0</v>
      </c>
      <c r="D1197">
        <v>4</v>
      </c>
      <c r="E1197" s="3">
        <v>24</v>
      </c>
    </row>
    <row r="1198" spans="1:5" x14ac:dyDescent="0.2">
      <c r="A1198">
        <v>5</v>
      </c>
      <c r="B1198" t="s">
        <v>12</v>
      </c>
      <c r="C1198">
        <v>0</v>
      </c>
      <c r="D1198">
        <v>2</v>
      </c>
      <c r="E1198" s="3">
        <v>24</v>
      </c>
    </row>
    <row r="1199" spans="1:5" x14ac:dyDescent="0.2">
      <c r="A1199">
        <v>6</v>
      </c>
      <c r="B1199" t="s">
        <v>48</v>
      </c>
      <c r="C1199">
        <v>0</v>
      </c>
      <c r="D1199">
        <v>1</v>
      </c>
      <c r="E1199" s="3">
        <v>24</v>
      </c>
    </row>
    <row r="1200" spans="1:5" x14ac:dyDescent="0.2">
      <c r="A1200">
        <v>1</v>
      </c>
      <c r="B1200" t="s">
        <v>32</v>
      </c>
      <c r="C1200">
        <v>2</v>
      </c>
      <c r="D1200">
        <v>17</v>
      </c>
      <c r="E1200" s="3">
        <v>24</v>
      </c>
    </row>
    <row r="1201" spans="1:5" x14ac:dyDescent="0.2">
      <c r="A1201">
        <v>2</v>
      </c>
      <c r="B1201" t="s">
        <v>19</v>
      </c>
      <c r="C1201">
        <v>3</v>
      </c>
      <c r="D1201">
        <v>13</v>
      </c>
      <c r="E1201" s="3">
        <v>24</v>
      </c>
    </row>
    <row r="1202" spans="1:5" x14ac:dyDescent="0.2">
      <c r="A1202">
        <v>3</v>
      </c>
      <c r="B1202" t="s">
        <v>87</v>
      </c>
      <c r="C1202">
        <v>1</v>
      </c>
      <c r="D1202">
        <v>9</v>
      </c>
      <c r="E1202" s="3">
        <v>24</v>
      </c>
    </row>
    <row r="1203" spans="1:5" x14ac:dyDescent="0.2">
      <c r="A1203">
        <v>4</v>
      </c>
      <c r="B1203" t="s">
        <v>479</v>
      </c>
      <c r="C1203">
        <v>0</v>
      </c>
      <c r="D1203">
        <v>5</v>
      </c>
      <c r="E1203" s="3">
        <v>24</v>
      </c>
    </row>
    <row r="1204" spans="1:5" x14ac:dyDescent="0.2">
      <c r="A1204">
        <v>5</v>
      </c>
      <c r="B1204" t="s">
        <v>50</v>
      </c>
      <c r="C1204">
        <v>0</v>
      </c>
      <c r="D1204">
        <v>3</v>
      </c>
      <c r="E1204" s="3">
        <v>24</v>
      </c>
    </row>
    <row r="1205" spans="1:5" x14ac:dyDescent="0.2">
      <c r="A1205">
        <v>6</v>
      </c>
      <c r="B1205" t="s">
        <v>264</v>
      </c>
      <c r="C1205">
        <v>0</v>
      </c>
      <c r="D1205">
        <v>2</v>
      </c>
      <c r="E1205" s="3">
        <v>24</v>
      </c>
    </row>
    <row r="1206" spans="1:5" x14ac:dyDescent="0.2">
      <c r="A1206">
        <v>7</v>
      </c>
      <c r="B1206" t="s">
        <v>101</v>
      </c>
      <c r="C1206">
        <v>0</v>
      </c>
      <c r="D1206">
        <v>1</v>
      </c>
      <c r="E1206" s="3">
        <v>24</v>
      </c>
    </row>
    <row r="1207" spans="1:5" x14ac:dyDescent="0.2">
      <c r="A1207">
        <v>1</v>
      </c>
      <c r="B1207" t="s">
        <v>18</v>
      </c>
      <c r="C1207">
        <v>2</v>
      </c>
      <c r="D1207">
        <v>16</v>
      </c>
      <c r="E1207" s="3">
        <v>24</v>
      </c>
    </row>
    <row r="1208" spans="1:5" x14ac:dyDescent="0.2">
      <c r="A1208">
        <v>2</v>
      </c>
      <c r="B1208" t="s">
        <v>74</v>
      </c>
      <c r="C1208">
        <v>1</v>
      </c>
      <c r="D1208">
        <v>12</v>
      </c>
      <c r="E1208" s="3">
        <v>24</v>
      </c>
    </row>
    <row r="1209" spans="1:5" x14ac:dyDescent="0.2">
      <c r="A1209">
        <v>3</v>
      </c>
      <c r="B1209" t="s">
        <v>280</v>
      </c>
      <c r="C1209">
        <v>1</v>
      </c>
      <c r="D1209">
        <v>8</v>
      </c>
      <c r="E1209" s="3">
        <v>24</v>
      </c>
    </row>
    <row r="1210" spans="1:5" x14ac:dyDescent="0.2">
      <c r="A1210">
        <v>4</v>
      </c>
      <c r="B1210" t="s">
        <v>81</v>
      </c>
      <c r="C1210">
        <v>1</v>
      </c>
      <c r="D1210">
        <v>4</v>
      </c>
      <c r="E1210" s="3">
        <v>24</v>
      </c>
    </row>
    <row r="1211" spans="1:5" x14ac:dyDescent="0.2">
      <c r="A1211">
        <v>5</v>
      </c>
      <c r="B1211" t="s">
        <v>66</v>
      </c>
      <c r="C1211">
        <v>0</v>
      </c>
      <c r="D1211">
        <v>2</v>
      </c>
      <c r="E1211" s="3">
        <v>24</v>
      </c>
    </row>
    <row r="1212" spans="1:5" x14ac:dyDescent="0.2">
      <c r="A1212">
        <v>6</v>
      </c>
      <c r="B1212" t="s">
        <v>473</v>
      </c>
      <c r="C1212">
        <v>0</v>
      </c>
      <c r="D1212">
        <v>1</v>
      </c>
      <c r="E1212" s="3">
        <v>24</v>
      </c>
    </row>
    <row r="1213" spans="1:5" x14ac:dyDescent="0.2">
      <c r="A1213">
        <v>1</v>
      </c>
      <c r="B1213" t="s">
        <v>55</v>
      </c>
      <c r="C1213">
        <v>4</v>
      </c>
      <c r="D1213">
        <v>16</v>
      </c>
      <c r="E1213" s="3">
        <v>24</v>
      </c>
    </row>
    <row r="1214" spans="1:5" x14ac:dyDescent="0.2">
      <c r="A1214">
        <v>2</v>
      </c>
      <c r="B1214" t="s">
        <v>368</v>
      </c>
      <c r="C1214">
        <v>1</v>
      </c>
      <c r="D1214">
        <v>12</v>
      </c>
      <c r="E1214" s="3">
        <v>24</v>
      </c>
    </row>
    <row r="1215" spans="1:5" x14ac:dyDescent="0.2">
      <c r="A1215">
        <v>3</v>
      </c>
      <c r="B1215" t="s">
        <v>28</v>
      </c>
      <c r="C1215">
        <v>0</v>
      </c>
      <c r="D1215">
        <v>8</v>
      </c>
      <c r="E1215" s="3">
        <v>24</v>
      </c>
    </row>
    <row r="1216" spans="1:5" x14ac:dyDescent="0.2">
      <c r="A1216">
        <v>4</v>
      </c>
      <c r="B1216" t="s">
        <v>39</v>
      </c>
      <c r="C1216">
        <v>0</v>
      </c>
      <c r="D1216">
        <v>4</v>
      </c>
      <c r="E1216" s="3">
        <v>24</v>
      </c>
    </row>
    <row r="1217" spans="1:5" x14ac:dyDescent="0.2">
      <c r="A1217">
        <v>5</v>
      </c>
      <c r="B1217" t="s">
        <v>21</v>
      </c>
      <c r="C1217">
        <v>0</v>
      </c>
      <c r="D1217">
        <v>2</v>
      </c>
      <c r="E1217" s="3">
        <v>24</v>
      </c>
    </row>
    <row r="1218" spans="1:5" x14ac:dyDescent="0.2">
      <c r="A1218">
        <v>6</v>
      </c>
      <c r="B1218" t="s">
        <v>52</v>
      </c>
      <c r="C1218">
        <v>0</v>
      </c>
      <c r="D1218">
        <v>1</v>
      </c>
      <c r="E1218" s="3">
        <v>24</v>
      </c>
    </row>
    <row r="1219" spans="1:5" x14ac:dyDescent="0.2">
      <c r="A1219">
        <v>1</v>
      </c>
      <c r="B1219" t="s">
        <v>345</v>
      </c>
      <c r="C1219">
        <v>4</v>
      </c>
      <c r="D1219">
        <v>16</v>
      </c>
      <c r="E1219" s="3">
        <v>24</v>
      </c>
    </row>
    <row r="1220" spans="1:5" x14ac:dyDescent="0.2">
      <c r="A1220">
        <v>2</v>
      </c>
      <c r="B1220" t="s">
        <v>14</v>
      </c>
      <c r="C1220">
        <v>0</v>
      </c>
      <c r="D1220">
        <v>12</v>
      </c>
      <c r="E1220" s="3">
        <v>24</v>
      </c>
    </row>
    <row r="1221" spans="1:5" x14ac:dyDescent="0.2">
      <c r="A1221">
        <v>3</v>
      </c>
      <c r="B1221" t="s">
        <v>27</v>
      </c>
      <c r="C1221">
        <v>1</v>
      </c>
      <c r="D1221">
        <v>8</v>
      </c>
      <c r="E1221" s="3">
        <v>24</v>
      </c>
    </row>
    <row r="1222" spans="1:5" x14ac:dyDescent="0.2">
      <c r="A1222">
        <v>4</v>
      </c>
      <c r="B1222" t="s">
        <v>9</v>
      </c>
      <c r="C1222">
        <v>0</v>
      </c>
      <c r="D1222">
        <v>4</v>
      </c>
      <c r="E1222" s="3">
        <v>24</v>
      </c>
    </row>
    <row r="1223" spans="1:5" x14ac:dyDescent="0.2">
      <c r="A1223">
        <v>5</v>
      </c>
      <c r="B1223" t="s">
        <v>40</v>
      </c>
      <c r="C1223">
        <v>0</v>
      </c>
      <c r="D1223">
        <v>2</v>
      </c>
      <c r="E1223" s="3">
        <v>24</v>
      </c>
    </row>
    <row r="1224" spans="1:5" x14ac:dyDescent="0.2">
      <c r="A1224">
        <v>6</v>
      </c>
      <c r="B1224" t="s">
        <v>68</v>
      </c>
      <c r="C1224">
        <v>0</v>
      </c>
      <c r="D1224">
        <v>1</v>
      </c>
      <c r="E1224" s="3">
        <v>24</v>
      </c>
    </row>
    <row r="1225" spans="1:5" x14ac:dyDescent="0.2">
      <c r="A1225">
        <v>1</v>
      </c>
      <c r="B1225" t="s">
        <v>461</v>
      </c>
      <c r="C1225">
        <v>4</v>
      </c>
      <c r="D1225">
        <v>16</v>
      </c>
      <c r="E1225" s="3">
        <v>24</v>
      </c>
    </row>
    <row r="1226" spans="1:5" x14ac:dyDescent="0.2">
      <c r="A1226">
        <v>2</v>
      </c>
      <c r="B1226" t="s">
        <v>20</v>
      </c>
      <c r="C1226">
        <v>0</v>
      </c>
      <c r="D1226">
        <v>12</v>
      </c>
      <c r="E1226" s="3">
        <v>24</v>
      </c>
    </row>
    <row r="1227" spans="1:5" x14ac:dyDescent="0.2">
      <c r="A1227">
        <v>3</v>
      </c>
      <c r="B1227" t="s">
        <v>490</v>
      </c>
      <c r="C1227">
        <v>0</v>
      </c>
      <c r="D1227">
        <v>8</v>
      </c>
      <c r="E1227" s="3">
        <v>24</v>
      </c>
    </row>
    <row r="1228" spans="1:5" x14ac:dyDescent="0.2">
      <c r="A1228">
        <v>4</v>
      </c>
      <c r="B1228" t="s">
        <v>65</v>
      </c>
      <c r="C1228">
        <v>1</v>
      </c>
      <c r="D1228">
        <v>4</v>
      </c>
      <c r="E1228" s="3">
        <v>24</v>
      </c>
    </row>
    <row r="1229" spans="1:5" x14ac:dyDescent="0.2">
      <c r="A1229">
        <v>5</v>
      </c>
      <c r="B1229" t="s">
        <v>15</v>
      </c>
      <c r="C1229">
        <v>0</v>
      </c>
      <c r="D1229">
        <v>2</v>
      </c>
      <c r="E1229" s="3">
        <v>24</v>
      </c>
    </row>
    <row r="1230" spans="1:5" x14ac:dyDescent="0.2">
      <c r="A1230">
        <v>6</v>
      </c>
      <c r="B1230" t="s">
        <v>75</v>
      </c>
      <c r="C1230">
        <v>0</v>
      </c>
      <c r="D1230">
        <v>1</v>
      </c>
      <c r="E1230" s="3">
        <v>24</v>
      </c>
    </row>
    <row r="1231" spans="1:5" x14ac:dyDescent="0.2">
      <c r="A1231">
        <v>1</v>
      </c>
      <c r="B1231" t="s">
        <v>41</v>
      </c>
      <c r="C1231">
        <v>2</v>
      </c>
      <c r="D1231">
        <v>17</v>
      </c>
      <c r="E1231" s="3">
        <v>24</v>
      </c>
    </row>
    <row r="1232" spans="1:5" x14ac:dyDescent="0.2">
      <c r="A1232">
        <v>2</v>
      </c>
      <c r="B1232" t="s">
        <v>45</v>
      </c>
      <c r="C1232">
        <v>3</v>
      </c>
      <c r="D1232">
        <v>13</v>
      </c>
      <c r="E1232" s="3">
        <v>24</v>
      </c>
    </row>
    <row r="1233" spans="1:5" x14ac:dyDescent="0.2">
      <c r="A1233">
        <v>3</v>
      </c>
      <c r="B1233" t="s">
        <v>59</v>
      </c>
      <c r="C1233">
        <v>0</v>
      </c>
      <c r="D1233">
        <v>9</v>
      </c>
      <c r="E1233" s="3">
        <v>24</v>
      </c>
    </row>
    <row r="1234" spans="1:5" x14ac:dyDescent="0.2">
      <c r="A1234">
        <v>4</v>
      </c>
      <c r="B1234" t="s">
        <v>452</v>
      </c>
      <c r="C1234">
        <v>0</v>
      </c>
      <c r="D1234">
        <v>5</v>
      </c>
      <c r="E1234" s="3">
        <v>24</v>
      </c>
    </row>
    <row r="1235" spans="1:5" x14ac:dyDescent="0.2">
      <c r="A1235">
        <v>5</v>
      </c>
      <c r="B1235" t="s">
        <v>451</v>
      </c>
      <c r="C1235">
        <v>0</v>
      </c>
      <c r="D1235">
        <v>3</v>
      </c>
      <c r="E1235" s="3">
        <v>24</v>
      </c>
    </row>
    <row r="1236" spans="1:5" x14ac:dyDescent="0.2">
      <c r="A1236">
        <v>6</v>
      </c>
      <c r="B1236" t="s">
        <v>481</v>
      </c>
      <c r="C1236">
        <v>1</v>
      </c>
      <c r="D1236">
        <v>2</v>
      </c>
      <c r="E1236" s="3">
        <v>24</v>
      </c>
    </row>
    <row r="1237" spans="1:5" x14ac:dyDescent="0.2">
      <c r="A1237">
        <v>7</v>
      </c>
      <c r="B1237" t="s">
        <v>76</v>
      </c>
      <c r="C1237">
        <v>0</v>
      </c>
      <c r="D1237">
        <v>1</v>
      </c>
      <c r="E1237" s="3">
        <v>24</v>
      </c>
    </row>
    <row r="1238" spans="1:5" x14ac:dyDescent="0.2">
      <c r="A1238">
        <v>1</v>
      </c>
      <c r="B1238" t="s">
        <v>12</v>
      </c>
      <c r="C1238">
        <v>4</v>
      </c>
      <c r="D1238">
        <v>16</v>
      </c>
      <c r="E1238" s="3">
        <v>25</v>
      </c>
    </row>
    <row r="1239" spans="1:5" x14ac:dyDescent="0.2">
      <c r="A1239">
        <v>2</v>
      </c>
      <c r="B1239" t="s">
        <v>76</v>
      </c>
      <c r="C1239">
        <v>1</v>
      </c>
      <c r="D1239">
        <v>12</v>
      </c>
      <c r="E1239" s="3">
        <v>25</v>
      </c>
    </row>
    <row r="1240" spans="1:5" x14ac:dyDescent="0.2">
      <c r="A1240">
        <v>3</v>
      </c>
      <c r="B1240" t="s">
        <v>9</v>
      </c>
      <c r="C1240">
        <v>0</v>
      </c>
      <c r="D1240">
        <v>8</v>
      </c>
      <c r="E1240" s="3">
        <v>25</v>
      </c>
    </row>
    <row r="1241" spans="1:5" x14ac:dyDescent="0.2">
      <c r="A1241">
        <v>4</v>
      </c>
      <c r="B1241" t="s">
        <v>479</v>
      </c>
      <c r="C1241">
        <v>0</v>
      </c>
      <c r="D1241">
        <v>4</v>
      </c>
      <c r="E1241" s="3">
        <v>25</v>
      </c>
    </row>
    <row r="1242" spans="1:5" x14ac:dyDescent="0.2">
      <c r="A1242">
        <v>5</v>
      </c>
      <c r="B1242" t="s">
        <v>101</v>
      </c>
      <c r="C1242">
        <v>0</v>
      </c>
      <c r="D1242">
        <v>2</v>
      </c>
      <c r="E1242" s="3">
        <v>25</v>
      </c>
    </row>
    <row r="1243" spans="1:5" x14ac:dyDescent="0.2">
      <c r="A1243">
        <v>6</v>
      </c>
      <c r="B1243" t="s">
        <v>451</v>
      </c>
      <c r="C1243">
        <v>0</v>
      </c>
      <c r="D1243">
        <v>1</v>
      </c>
      <c r="E1243" s="3">
        <v>25</v>
      </c>
    </row>
    <row r="1244" spans="1:5" x14ac:dyDescent="0.2">
      <c r="A1244">
        <v>1</v>
      </c>
      <c r="B1244" t="s">
        <v>46</v>
      </c>
      <c r="C1244">
        <v>1</v>
      </c>
      <c r="D1244">
        <v>16</v>
      </c>
      <c r="E1244" s="3">
        <v>25</v>
      </c>
    </row>
    <row r="1245" spans="1:5" x14ac:dyDescent="0.2">
      <c r="A1245">
        <v>2</v>
      </c>
      <c r="B1245" t="s">
        <v>461</v>
      </c>
      <c r="C1245">
        <v>4</v>
      </c>
      <c r="D1245">
        <v>12</v>
      </c>
      <c r="E1245" s="3">
        <v>25</v>
      </c>
    </row>
    <row r="1246" spans="1:5" x14ac:dyDescent="0.2">
      <c r="A1246">
        <v>3</v>
      </c>
      <c r="B1246" t="s">
        <v>33</v>
      </c>
      <c r="C1246">
        <v>0</v>
      </c>
      <c r="D1246">
        <v>8</v>
      </c>
      <c r="E1246" s="3">
        <v>25</v>
      </c>
    </row>
    <row r="1247" spans="1:5" x14ac:dyDescent="0.2">
      <c r="A1247">
        <v>4</v>
      </c>
      <c r="B1247" t="s">
        <v>81</v>
      </c>
      <c r="C1247">
        <v>0</v>
      </c>
      <c r="D1247">
        <v>4</v>
      </c>
      <c r="E1247" s="3">
        <v>25</v>
      </c>
    </row>
    <row r="1248" spans="1:5" x14ac:dyDescent="0.2">
      <c r="A1248">
        <v>5</v>
      </c>
      <c r="B1248" t="s">
        <v>264</v>
      </c>
      <c r="C1248">
        <v>0</v>
      </c>
      <c r="D1248">
        <v>2</v>
      </c>
      <c r="E1248" s="3">
        <v>25</v>
      </c>
    </row>
    <row r="1249" spans="1:5" x14ac:dyDescent="0.2">
      <c r="A1249">
        <v>6</v>
      </c>
      <c r="B1249" t="s">
        <v>481</v>
      </c>
      <c r="C1249">
        <v>0</v>
      </c>
      <c r="D1249">
        <v>1</v>
      </c>
      <c r="E1249" s="3">
        <v>25</v>
      </c>
    </row>
    <row r="1250" spans="1:5" x14ac:dyDescent="0.2">
      <c r="A1250">
        <v>1</v>
      </c>
      <c r="B1250" t="s">
        <v>66</v>
      </c>
      <c r="C1250">
        <v>3</v>
      </c>
      <c r="D1250">
        <v>16</v>
      </c>
      <c r="E1250" s="3">
        <v>25</v>
      </c>
    </row>
    <row r="1251" spans="1:5" x14ac:dyDescent="0.2">
      <c r="A1251">
        <v>2</v>
      </c>
      <c r="B1251" t="s">
        <v>25</v>
      </c>
      <c r="C1251">
        <v>2</v>
      </c>
      <c r="D1251">
        <v>12</v>
      </c>
      <c r="E1251" s="3">
        <v>25</v>
      </c>
    </row>
    <row r="1252" spans="1:5" x14ac:dyDescent="0.2">
      <c r="A1252">
        <v>3</v>
      </c>
      <c r="B1252" t="s">
        <v>74</v>
      </c>
      <c r="C1252">
        <v>0</v>
      </c>
      <c r="D1252">
        <v>8</v>
      </c>
      <c r="E1252" s="3">
        <v>25</v>
      </c>
    </row>
    <row r="1253" spans="1:5" x14ac:dyDescent="0.2">
      <c r="A1253">
        <v>4</v>
      </c>
      <c r="B1253" t="s">
        <v>280</v>
      </c>
      <c r="C1253">
        <v>0</v>
      </c>
      <c r="D1253">
        <v>4</v>
      </c>
      <c r="E1253" s="3">
        <v>25</v>
      </c>
    </row>
    <row r="1254" spans="1:5" x14ac:dyDescent="0.2">
      <c r="A1254">
        <v>5</v>
      </c>
      <c r="B1254" t="s">
        <v>473</v>
      </c>
      <c r="C1254">
        <v>0</v>
      </c>
      <c r="D1254">
        <v>2</v>
      </c>
      <c r="E1254" s="3">
        <v>25</v>
      </c>
    </row>
    <row r="1255" spans="1:5" x14ac:dyDescent="0.2">
      <c r="A1255">
        <v>6</v>
      </c>
      <c r="B1255" t="s">
        <v>60</v>
      </c>
      <c r="C1255">
        <v>0</v>
      </c>
      <c r="D1255">
        <v>1</v>
      </c>
      <c r="E1255" s="3">
        <v>25</v>
      </c>
    </row>
    <row r="1256" spans="1:5" x14ac:dyDescent="0.2">
      <c r="A1256">
        <v>1</v>
      </c>
      <c r="B1256" t="s">
        <v>26</v>
      </c>
      <c r="C1256">
        <v>4</v>
      </c>
      <c r="D1256">
        <v>17</v>
      </c>
      <c r="E1256" s="3">
        <v>25</v>
      </c>
    </row>
    <row r="1257" spans="1:5" x14ac:dyDescent="0.2">
      <c r="A1257">
        <v>2</v>
      </c>
      <c r="B1257" t="s">
        <v>345</v>
      </c>
      <c r="C1257">
        <v>1</v>
      </c>
      <c r="D1257">
        <v>13</v>
      </c>
      <c r="E1257" s="3">
        <v>25</v>
      </c>
    </row>
    <row r="1258" spans="1:5" x14ac:dyDescent="0.2">
      <c r="A1258">
        <v>3</v>
      </c>
      <c r="B1258" t="s">
        <v>18</v>
      </c>
      <c r="C1258">
        <v>0</v>
      </c>
      <c r="D1258">
        <v>9</v>
      </c>
      <c r="E1258" s="3">
        <v>25</v>
      </c>
    </row>
    <row r="1259" spans="1:5" x14ac:dyDescent="0.2">
      <c r="A1259">
        <v>4</v>
      </c>
      <c r="B1259" t="s">
        <v>32</v>
      </c>
      <c r="C1259">
        <v>0</v>
      </c>
      <c r="D1259">
        <v>5</v>
      </c>
      <c r="E1259" s="3">
        <v>25</v>
      </c>
    </row>
    <row r="1260" spans="1:5" x14ac:dyDescent="0.2">
      <c r="A1260">
        <v>5</v>
      </c>
      <c r="B1260" t="s">
        <v>485</v>
      </c>
      <c r="C1260">
        <v>1</v>
      </c>
      <c r="D1260">
        <v>3</v>
      </c>
      <c r="E1260" s="3">
        <v>25</v>
      </c>
    </row>
    <row r="1261" spans="1:5" x14ac:dyDescent="0.2">
      <c r="A1261">
        <v>6</v>
      </c>
      <c r="B1261" t="s">
        <v>452</v>
      </c>
      <c r="C1261">
        <v>0</v>
      </c>
      <c r="D1261">
        <v>2</v>
      </c>
      <c r="E1261" s="3">
        <v>25</v>
      </c>
    </row>
    <row r="1262" spans="1:5" x14ac:dyDescent="0.2">
      <c r="A1262">
        <v>7</v>
      </c>
      <c r="B1262" t="s">
        <v>42</v>
      </c>
      <c r="C1262">
        <v>0</v>
      </c>
      <c r="D1262">
        <v>1</v>
      </c>
      <c r="E1262" s="3">
        <v>25</v>
      </c>
    </row>
    <row r="1263" spans="1:5" x14ac:dyDescent="0.2">
      <c r="A1263">
        <v>1</v>
      </c>
      <c r="B1263" t="s">
        <v>468</v>
      </c>
      <c r="C1263">
        <v>3</v>
      </c>
      <c r="D1263">
        <v>16</v>
      </c>
      <c r="E1263" s="3">
        <v>25</v>
      </c>
    </row>
    <row r="1264" spans="1:5" x14ac:dyDescent="0.2">
      <c r="A1264">
        <v>2</v>
      </c>
      <c r="B1264" t="s">
        <v>35</v>
      </c>
      <c r="C1264">
        <v>1</v>
      </c>
      <c r="D1264">
        <v>12</v>
      </c>
      <c r="E1264" s="3">
        <v>25</v>
      </c>
    </row>
    <row r="1265" spans="1:5" x14ac:dyDescent="0.2">
      <c r="A1265">
        <v>3</v>
      </c>
      <c r="B1265" t="s">
        <v>65</v>
      </c>
      <c r="C1265">
        <v>1</v>
      </c>
      <c r="D1265">
        <v>8</v>
      </c>
      <c r="E1265" s="3">
        <v>25</v>
      </c>
    </row>
    <row r="1266" spans="1:5" x14ac:dyDescent="0.2">
      <c r="A1266">
        <v>4</v>
      </c>
      <c r="B1266" t="s">
        <v>69</v>
      </c>
      <c r="C1266">
        <v>0</v>
      </c>
      <c r="D1266">
        <v>4</v>
      </c>
      <c r="E1266" s="3">
        <v>25</v>
      </c>
    </row>
    <row r="1267" spans="1:5" x14ac:dyDescent="0.2">
      <c r="A1267">
        <v>5</v>
      </c>
      <c r="B1267" t="s">
        <v>39</v>
      </c>
      <c r="C1267">
        <v>0</v>
      </c>
      <c r="D1267">
        <v>2</v>
      </c>
      <c r="E1267" s="3">
        <v>25</v>
      </c>
    </row>
    <row r="1268" spans="1:5" x14ac:dyDescent="0.2">
      <c r="A1268">
        <v>6</v>
      </c>
      <c r="B1268" t="s">
        <v>27</v>
      </c>
      <c r="C1268">
        <v>0</v>
      </c>
      <c r="D1268">
        <v>1</v>
      </c>
      <c r="E1268" s="3">
        <v>25</v>
      </c>
    </row>
    <row r="1269" spans="1:5" x14ac:dyDescent="0.2">
      <c r="A1269">
        <v>1</v>
      </c>
      <c r="B1269" t="s">
        <v>75</v>
      </c>
      <c r="C1269">
        <v>2</v>
      </c>
      <c r="D1269">
        <v>17</v>
      </c>
      <c r="E1269" s="3">
        <v>25</v>
      </c>
    </row>
    <row r="1270" spans="1:5" x14ac:dyDescent="0.2">
      <c r="A1270">
        <v>2</v>
      </c>
      <c r="B1270" t="s">
        <v>73</v>
      </c>
      <c r="C1270">
        <v>1</v>
      </c>
      <c r="D1270">
        <v>13</v>
      </c>
      <c r="E1270" s="3">
        <v>25</v>
      </c>
    </row>
    <row r="1271" spans="1:5" x14ac:dyDescent="0.2">
      <c r="A1271">
        <v>3</v>
      </c>
      <c r="B1271" t="s">
        <v>59</v>
      </c>
      <c r="C1271">
        <v>1</v>
      </c>
      <c r="D1271">
        <v>9</v>
      </c>
      <c r="E1271" s="3">
        <v>25</v>
      </c>
    </row>
    <row r="1272" spans="1:5" x14ac:dyDescent="0.2">
      <c r="A1272">
        <v>4</v>
      </c>
      <c r="B1272" t="s">
        <v>55</v>
      </c>
      <c r="C1272">
        <v>1</v>
      </c>
      <c r="D1272">
        <v>5</v>
      </c>
      <c r="E1272" s="3">
        <v>25</v>
      </c>
    </row>
    <row r="1273" spans="1:5" x14ac:dyDescent="0.2">
      <c r="A1273">
        <v>5</v>
      </c>
      <c r="B1273" t="s">
        <v>21</v>
      </c>
      <c r="C1273">
        <v>1</v>
      </c>
      <c r="D1273">
        <v>3</v>
      </c>
      <c r="E1273" s="3">
        <v>25</v>
      </c>
    </row>
    <row r="1274" spans="1:5" x14ac:dyDescent="0.2">
      <c r="A1274">
        <v>6</v>
      </c>
      <c r="B1274" t="s">
        <v>88</v>
      </c>
      <c r="C1274">
        <v>0</v>
      </c>
      <c r="D1274">
        <v>2</v>
      </c>
      <c r="E1274" s="3">
        <v>25</v>
      </c>
    </row>
    <row r="1275" spans="1:5" x14ac:dyDescent="0.2">
      <c r="A1275">
        <v>7</v>
      </c>
      <c r="B1275" t="s">
        <v>471</v>
      </c>
      <c r="C1275">
        <v>0</v>
      </c>
      <c r="D1275">
        <v>1</v>
      </c>
      <c r="E1275" s="3">
        <v>25</v>
      </c>
    </row>
    <row r="1276" spans="1:5" x14ac:dyDescent="0.2">
      <c r="A1276">
        <v>1</v>
      </c>
      <c r="B1276" t="s">
        <v>6</v>
      </c>
      <c r="C1276">
        <v>4</v>
      </c>
      <c r="D1276">
        <v>16</v>
      </c>
      <c r="E1276" s="3">
        <v>25</v>
      </c>
    </row>
    <row r="1277" spans="1:5" x14ac:dyDescent="0.2">
      <c r="A1277">
        <v>2</v>
      </c>
      <c r="B1277" t="s">
        <v>52</v>
      </c>
      <c r="C1277">
        <v>0</v>
      </c>
      <c r="D1277">
        <v>12</v>
      </c>
      <c r="E1277" s="3">
        <v>25</v>
      </c>
    </row>
    <row r="1278" spans="1:5" x14ac:dyDescent="0.2">
      <c r="A1278">
        <v>3</v>
      </c>
      <c r="B1278" t="s">
        <v>490</v>
      </c>
      <c r="C1278">
        <v>1</v>
      </c>
      <c r="D1278">
        <v>8</v>
      </c>
      <c r="E1278" s="3">
        <v>25</v>
      </c>
    </row>
    <row r="1279" spans="1:5" x14ac:dyDescent="0.2">
      <c r="A1279">
        <v>4</v>
      </c>
      <c r="B1279" t="s">
        <v>41</v>
      </c>
      <c r="C1279">
        <v>0</v>
      </c>
      <c r="D1279">
        <v>4</v>
      </c>
      <c r="E1279" s="3">
        <v>25</v>
      </c>
    </row>
    <row r="1280" spans="1:5" x14ac:dyDescent="0.2">
      <c r="A1280">
        <v>5</v>
      </c>
      <c r="B1280" t="s">
        <v>48</v>
      </c>
      <c r="C1280">
        <v>0</v>
      </c>
      <c r="D1280">
        <v>2</v>
      </c>
      <c r="E1280" s="3">
        <v>25</v>
      </c>
    </row>
    <row r="1281" spans="1:5" x14ac:dyDescent="0.2">
      <c r="A1281">
        <v>6</v>
      </c>
      <c r="B1281" t="s">
        <v>28</v>
      </c>
      <c r="C1281">
        <v>0</v>
      </c>
      <c r="D1281">
        <v>1</v>
      </c>
      <c r="E1281" s="3">
        <v>25</v>
      </c>
    </row>
    <row r="1282" spans="1:5" x14ac:dyDescent="0.2">
      <c r="A1282">
        <v>1</v>
      </c>
      <c r="B1282" t="s">
        <v>452</v>
      </c>
      <c r="C1282">
        <v>3</v>
      </c>
      <c r="D1282">
        <v>16</v>
      </c>
      <c r="E1282" s="3">
        <v>26</v>
      </c>
    </row>
    <row r="1283" spans="1:5" x14ac:dyDescent="0.2">
      <c r="A1283">
        <v>2</v>
      </c>
      <c r="B1283" t="s">
        <v>73</v>
      </c>
      <c r="C1283">
        <v>1</v>
      </c>
      <c r="D1283">
        <v>12</v>
      </c>
      <c r="E1283" s="3">
        <v>26</v>
      </c>
    </row>
    <row r="1284" spans="1:5" x14ac:dyDescent="0.2">
      <c r="A1284">
        <v>3</v>
      </c>
      <c r="B1284" t="s">
        <v>25</v>
      </c>
      <c r="C1284">
        <v>1</v>
      </c>
      <c r="D1284">
        <v>8</v>
      </c>
      <c r="E1284" s="3">
        <v>26</v>
      </c>
    </row>
    <row r="1285" spans="1:5" x14ac:dyDescent="0.2">
      <c r="A1285">
        <v>4</v>
      </c>
      <c r="B1285" t="s">
        <v>32</v>
      </c>
      <c r="C1285">
        <v>0</v>
      </c>
      <c r="D1285">
        <v>4</v>
      </c>
      <c r="E1285" s="3">
        <v>26</v>
      </c>
    </row>
    <row r="1286" spans="1:5" x14ac:dyDescent="0.2">
      <c r="A1286">
        <v>5</v>
      </c>
      <c r="B1286" t="s">
        <v>68</v>
      </c>
      <c r="C1286">
        <v>0</v>
      </c>
      <c r="D1286">
        <v>2</v>
      </c>
      <c r="E1286" s="3">
        <v>26</v>
      </c>
    </row>
    <row r="1287" spans="1:5" x14ac:dyDescent="0.2">
      <c r="A1287">
        <v>6</v>
      </c>
      <c r="B1287" t="s">
        <v>368</v>
      </c>
      <c r="C1287">
        <v>0</v>
      </c>
      <c r="D1287">
        <v>1</v>
      </c>
      <c r="E1287" s="3">
        <v>26</v>
      </c>
    </row>
    <row r="1288" spans="1:5" x14ac:dyDescent="0.2">
      <c r="A1288">
        <v>1</v>
      </c>
      <c r="B1288" t="s">
        <v>69</v>
      </c>
      <c r="C1288">
        <v>3</v>
      </c>
      <c r="D1288">
        <v>16</v>
      </c>
      <c r="E1288" s="3">
        <v>26</v>
      </c>
    </row>
    <row r="1289" spans="1:5" x14ac:dyDescent="0.2">
      <c r="A1289">
        <v>2</v>
      </c>
      <c r="B1289" t="s">
        <v>484</v>
      </c>
      <c r="C1289">
        <v>2</v>
      </c>
      <c r="D1289">
        <v>12</v>
      </c>
      <c r="E1289" s="3">
        <v>26</v>
      </c>
    </row>
    <row r="1290" spans="1:5" x14ac:dyDescent="0.2">
      <c r="A1290">
        <v>3</v>
      </c>
      <c r="B1290" t="s">
        <v>75</v>
      </c>
      <c r="C1290">
        <v>0</v>
      </c>
      <c r="D1290">
        <v>8</v>
      </c>
      <c r="E1290" s="3">
        <v>26</v>
      </c>
    </row>
    <row r="1291" spans="1:5" x14ac:dyDescent="0.2">
      <c r="A1291">
        <v>4</v>
      </c>
      <c r="B1291" t="s">
        <v>473</v>
      </c>
      <c r="C1291">
        <v>0</v>
      </c>
      <c r="D1291">
        <v>4</v>
      </c>
      <c r="E1291" s="3">
        <v>26</v>
      </c>
    </row>
    <row r="1292" spans="1:5" x14ac:dyDescent="0.2">
      <c r="A1292">
        <v>5</v>
      </c>
      <c r="B1292" t="s">
        <v>18</v>
      </c>
      <c r="C1292">
        <v>0</v>
      </c>
      <c r="D1292">
        <v>2</v>
      </c>
      <c r="E1292" s="3">
        <v>26</v>
      </c>
    </row>
    <row r="1293" spans="1:5" x14ac:dyDescent="0.2">
      <c r="A1293">
        <v>6</v>
      </c>
      <c r="B1293" t="s">
        <v>59</v>
      </c>
      <c r="C1293">
        <v>0</v>
      </c>
      <c r="D1293">
        <v>1</v>
      </c>
      <c r="E1293" s="3">
        <v>26</v>
      </c>
    </row>
    <row r="1294" spans="1:5" x14ac:dyDescent="0.2">
      <c r="A1294">
        <v>1</v>
      </c>
      <c r="B1294" t="s">
        <v>481</v>
      </c>
      <c r="C1294">
        <v>4</v>
      </c>
      <c r="D1294">
        <v>16</v>
      </c>
      <c r="E1294" s="3">
        <v>26</v>
      </c>
    </row>
    <row r="1295" spans="1:5" x14ac:dyDescent="0.2">
      <c r="A1295">
        <v>2</v>
      </c>
      <c r="B1295" t="s">
        <v>479</v>
      </c>
      <c r="C1295">
        <v>0</v>
      </c>
      <c r="D1295">
        <v>12</v>
      </c>
      <c r="E1295" s="3">
        <v>26</v>
      </c>
    </row>
    <row r="1296" spans="1:5" x14ac:dyDescent="0.2">
      <c r="A1296">
        <v>3</v>
      </c>
      <c r="B1296" t="s">
        <v>20</v>
      </c>
      <c r="C1296">
        <v>0</v>
      </c>
      <c r="D1296">
        <v>8</v>
      </c>
      <c r="E1296" s="3">
        <v>26</v>
      </c>
    </row>
    <row r="1297" spans="1:5" x14ac:dyDescent="0.2">
      <c r="A1297">
        <v>4</v>
      </c>
      <c r="B1297" t="s">
        <v>74</v>
      </c>
      <c r="C1297">
        <v>1</v>
      </c>
      <c r="D1297">
        <v>4</v>
      </c>
      <c r="E1297" s="3">
        <v>26</v>
      </c>
    </row>
    <row r="1298" spans="1:5" x14ac:dyDescent="0.2">
      <c r="A1298">
        <v>5</v>
      </c>
      <c r="B1298" t="s">
        <v>39</v>
      </c>
      <c r="C1298">
        <v>0</v>
      </c>
      <c r="D1298">
        <v>2</v>
      </c>
      <c r="E1298" s="3">
        <v>26</v>
      </c>
    </row>
    <row r="1299" spans="1:5" x14ac:dyDescent="0.2">
      <c r="A1299">
        <v>6</v>
      </c>
      <c r="B1299" t="s">
        <v>60</v>
      </c>
      <c r="C1299">
        <v>0</v>
      </c>
      <c r="D1299">
        <v>1</v>
      </c>
      <c r="E1299" s="3">
        <v>26</v>
      </c>
    </row>
    <row r="1300" spans="1:5" x14ac:dyDescent="0.2">
      <c r="A1300">
        <v>1</v>
      </c>
      <c r="B1300" t="s">
        <v>345</v>
      </c>
      <c r="C1300">
        <v>3</v>
      </c>
      <c r="D1300">
        <v>16</v>
      </c>
      <c r="E1300" s="3">
        <v>26</v>
      </c>
    </row>
    <row r="1301" spans="1:5" x14ac:dyDescent="0.2">
      <c r="A1301">
        <v>2</v>
      </c>
      <c r="B1301" t="s">
        <v>28</v>
      </c>
      <c r="C1301">
        <v>0</v>
      </c>
      <c r="D1301">
        <v>12</v>
      </c>
      <c r="E1301" s="3">
        <v>26</v>
      </c>
    </row>
    <row r="1302" spans="1:5" x14ac:dyDescent="0.2">
      <c r="A1302">
        <v>3</v>
      </c>
      <c r="B1302" t="s">
        <v>305</v>
      </c>
      <c r="C1302">
        <v>2</v>
      </c>
      <c r="D1302">
        <v>8</v>
      </c>
      <c r="E1302" s="3">
        <v>26</v>
      </c>
    </row>
    <row r="1303" spans="1:5" x14ac:dyDescent="0.2">
      <c r="A1303">
        <v>4</v>
      </c>
      <c r="B1303" t="s">
        <v>485</v>
      </c>
      <c r="C1303">
        <v>0</v>
      </c>
      <c r="D1303">
        <v>4</v>
      </c>
      <c r="E1303" s="3">
        <v>26</v>
      </c>
    </row>
    <row r="1304" spans="1:5" x14ac:dyDescent="0.2">
      <c r="A1304">
        <v>5</v>
      </c>
      <c r="B1304" t="s">
        <v>35</v>
      </c>
      <c r="C1304">
        <v>0</v>
      </c>
      <c r="D1304">
        <v>2</v>
      </c>
      <c r="E1304" s="3">
        <v>26</v>
      </c>
    </row>
    <row r="1305" spans="1:5" x14ac:dyDescent="0.2">
      <c r="A1305">
        <v>6</v>
      </c>
      <c r="B1305" t="s">
        <v>280</v>
      </c>
      <c r="C1305">
        <v>0</v>
      </c>
      <c r="D1305">
        <v>1</v>
      </c>
      <c r="E1305" s="3">
        <v>26</v>
      </c>
    </row>
    <row r="1306" spans="1:5" x14ac:dyDescent="0.2">
      <c r="A1306">
        <v>1</v>
      </c>
      <c r="B1306" t="s">
        <v>26</v>
      </c>
      <c r="C1306">
        <v>2</v>
      </c>
      <c r="D1306">
        <v>16</v>
      </c>
      <c r="E1306" s="3">
        <v>26</v>
      </c>
    </row>
    <row r="1307" spans="1:5" x14ac:dyDescent="0.2">
      <c r="A1307">
        <v>2</v>
      </c>
      <c r="B1307" t="s">
        <v>46</v>
      </c>
      <c r="C1307">
        <v>2</v>
      </c>
      <c r="D1307">
        <v>12</v>
      </c>
      <c r="E1307" s="3">
        <v>26</v>
      </c>
    </row>
    <row r="1308" spans="1:5" x14ac:dyDescent="0.2">
      <c r="A1308">
        <v>3</v>
      </c>
      <c r="B1308" t="s">
        <v>55</v>
      </c>
      <c r="C1308">
        <v>1</v>
      </c>
      <c r="D1308">
        <v>8</v>
      </c>
      <c r="E1308" s="3">
        <v>26</v>
      </c>
    </row>
    <row r="1309" spans="1:5" x14ac:dyDescent="0.2">
      <c r="A1309">
        <v>4</v>
      </c>
      <c r="B1309" t="s">
        <v>41</v>
      </c>
      <c r="C1309">
        <v>0</v>
      </c>
      <c r="D1309">
        <v>4</v>
      </c>
      <c r="E1309" s="3">
        <v>26</v>
      </c>
    </row>
    <row r="1310" spans="1:5" x14ac:dyDescent="0.2">
      <c r="A1310">
        <v>5</v>
      </c>
      <c r="B1310" t="s">
        <v>101</v>
      </c>
      <c r="C1310">
        <v>0</v>
      </c>
      <c r="D1310">
        <v>2</v>
      </c>
      <c r="E1310" s="3">
        <v>26</v>
      </c>
    </row>
    <row r="1311" spans="1:5" x14ac:dyDescent="0.2">
      <c r="A1311">
        <v>6</v>
      </c>
      <c r="B1311" t="s">
        <v>6</v>
      </c>
      <c r="C1311">
        <v>0</v>
      </c>
      <c r="D1311">
        <v>1</v>
      </c>
      <c r="E1311" s="3">
        <v>26</v>
      </c>
    </row>
    <row r="1312" spans="1:5" x14ac:dyDescent="0.2">
      <c r="A1312">
        <v>1</v>
      </c>
      <c r="B1312" t="s">
        <v>87</v>
      </c>
      <c r="C1312">
        <v>4</v>
      </c>
      <c r="D1312">
        <v>16</v>
      </c>
      <c r="E1312" s="3">
        <v>26</v>
      </c>
    </row>
    <row r="1313" spans="1:5" x14ac:dyDescent="0.2">
      <c r="A1313">
        <v>2</v>
      </c>
      <c r="B1313" t="s">
        <v>491</v>
      </c>
      <c r="C1313">
        <v>0</v>
      </c>
      <c r="D1313">
        <v>12</v>
      </c>
      <c r="E1313" s="3">
        <v>26</v>
      </c>
    </row>
    <row r="1314" spans="1:5" x14ac:dyDescent="0.2">
      <c r="A1314">
        <v>3</v>
      </c>
      <c r="B1314" t="s">
        <v>65</v>
      </c>
      <c r="C1314">
        <v>1</v>
      </c>
      <c r="D1314">
        <v>8</v>
      </c>
      <c r="E1314" s="3">
        <v>26</v>
      </c>
    </row>
    <row r="1315" spans="1:5" x14ac:dyDescent="0.2">
      <c r="A1315">
        <v>4</v>
      </c>
      <c r="B1315" t="s">
        <v>15</v>
      </c>
      <c r="C1315">
        <v>0</v>
      </c>
      <c r="D1315">
        <v>4</v>
      </c>
      <c r="E1315" s="3">
        <v>26</v>
      </c>
    </row>
    <row r="1316" spans="1:5" x14ac:dyDescent="0.2">
      <c r="A1316">
        <v>5</v>
      </c>
      <c r="B1316" t="s">
        <v>45</v>
      </c>
      <c r="C1316">
        <v>0</v>
      </c>
      <c r="D1316">
        <v>2</v>
      </c>
      <c r="E1316" s="3">
        <v>26</v>
      </c>
    </row>
    <row r="1317" spans="1:5" x14ac:dyDescent="0.2">
      <c r="A1317">
        <v>6</v>
      </c>
      <c r="B1317" t="s">
        <v>12</v>
      </c>
      <c r="C1317">
        <v>0</v>
      </c>
      <c r="D1317">
        <v>1</v>
      </c>
      <c r="E1317" s="3">
        <v>26</v>
      </c>
    </row>
    <row r="1318" spans="1:5" x14ac:dyDescent="0.2">
      <c r="A1318">
        <v>1</v>
      </c>
      <c r="B1318" t="s">
        <v>48</v>
      </c>
      <c r="C1318">
        <v>2</v>
      </c>
      <c r="D1318">
        <v>16</v>
      </c>
      <c r="E1318" s="3">
        <v>26</v>
      </c>
    </row>
    <row r="1319" spans="1:5" x14ac:dyDescent="0.2">
      <c r="A1319">
        <v>2</v>
      </c>
      <c r="B1319" t="s">
        <v>66</v>
      </c>
      <c r="C1319">
        <v>1</v>
      </c>
      <c r="D1319">
        <v>12</v>
      </c>
      <c r="E1319" s="3">
        <v>26</v>
      </c>
    </row>
    <row r="1320" spans="1:5" x14ac:dyDescent="0.2">
      <c r="A1320">
        <v>3</v>
      </c>
      <c r="B1320" t="s">
        <v>454</v>
      </c>
      <c r="C1320">
        <v>1</v>
      </c>
      <c r="D1320">
        <v>8</v>
      </c>
      <c r="E1320" s="3">
        <v>26</v>
      </c>
    </row>
    <row r="1321" spans="1:5" x14ac:dyDescent="0.2">
      <c r="A1321">
        <v>4</v>
      </c>
      <c r="B1321" t="s">
        <v>27</v>
      </c>
      <c r="C1321">
        <v>1</v>
      </c>
      <c r="D1321">
        <v>4</v>
      </c>
      <c r="E1321" s="3">
        <v>26</v>
      </c>
    </row>
    <row r="1322" spans="1:5" x14ac:dyDescent="0.2">
      <c r="A1322">
        <v>5</v>
      </c>
      <c r="B1322" t="s">
        <v>21</v>
      </c>
      <c r="C1322">
        <v>0</v>
      </c>
      <c r="D1322">
        <v>2</v>
      </c>
      <c r="E1322" s="3">
        <v>26</v>
      </c>
    </row>
    <row r="1323" spans="1:5" x14ac:dyDescent="0.2">
      <c r="A1323">
        <v>6</v>
      </c>
      <c r="B1323" t="s">
        <v>19</v>
      </c>
      <c r="C1323">
        <v>0</v>
      </c>
      <c r="D1323">
        <v>1</v>
      </c>
      <c r="E1323" s="3">
        <v>26</v>
      </c>
    </row>
    <row r="1324" spans="1:5" x14ac:dyDescent="0.2">
      <c r="A1324">
        <v>1</v>
      </c>
      <c r="B1324" t="s">
        <v>12</v>
      </c>
      <c r="C1324">
        <v>2</v>
      </c>
      <c r="D1324">
        <v>16</v>
      </c>
      <c r="E1324" s="3">
        <v>27</v>
      </c>
    </row>
    <row r="1325" spans="1:5" x14ac:dyDescent="0.2">
      <c r="A1325">
        <v>2</v>
      </c>
      <c r="B1325" t="s">
        <v>59</v>
      </c>
      <c r="C1325">
        <v>3</v>
      </c>
      <c r="D1325">
        <v>12</v>
      </c>
      <c r="E1325" s="3">
        <v>27</v>
      </c>
    </row>
    <row r="1326" spans="1:5" x14ac:dyDescent="0.2">
      <c r="A1326">
        <v>3</v>
      </c>
      <c r="B1326" t="s">
        <v>75</v>
      </c>
      <c r="C1326">
        <v>0</v>
      </c>
      <c r="D1326">
        <v>8</v>
      </c>
      <c r="E1326" s="3">
        <v>27</v>
      </c>
    </row>
    <row r="1327" spans="1:5" x14ac:dyDescent="0.2">
      <c r="A1327">
        <v>4</v>
      </c>
      <c r="B1327" t="s">
        <v>27</v>
      </c>
      <c r="C1327">
        <v>0</v>
      </c>
      <c r="D1327">
        <v>4</v>
      </c>
      <c r="E1327" s="3">
        <v>27</v>
      </c>
    </row>
    <row r="1328" spans="1:5" x14ac:dyDescent="0.2">
      <c r="A1328">
        <v>5</v>
      </c>
      <c r="B1328" t="s">
        <v>485</v>
      </c>
      <c r="C1328">
        <v>0</v>
      </c>
      <c r="D1328">
        <v>2</v>
      </c>
      <c r="E1328" s="3">
        <v>27</v>
      </c>
    </row>
    <row r="1329" spans="1:5" x14ac:dyDescent="0.2">
      <c r="A1329">
        <v>6</v>
      </c>
      <c r="B1329" t="s">
        <v>371</v>
      </c>
      <c r="C1329">
        <v>0</v>
      </c>
      <c r="D1329">
        <v>1</v>
      </c>
      <c r="E1329" s="3">
        <v>27</v>
      </c>
    </row>
    <row r="1330" spans="1:5" x14ac:dyDescent="0.2">
      <c r="A1330">
        <v>1</v>
      </c>
      <c r="B1330" t="s">
        <v>9</v>
      </c>
      <c r="C1330">
        <v>3</v>
      </c>
      <c r="D1330">
        <v>16</v>
      </c>
      <c r="E1330" s="3">
        <v>27</v>
      </c>
    </row>
    <row r="1331" spans="1:5" x14ac:dyDescent="0.2">
      <c r="A1331">
        <v>2</v>
      </c>
      <c r="B1331" t="s">
        <v>452</v>
      </c>
      <c r="C1331">
        <v>2</v>
      </c>
      <c r="D1331">
        <v>12</v>
      </c>
      <c r="E1331" s="3">
        <v>27</v>
      </c>
    </row>
    <row r="1332" spans="1:5" x14ac:dyDescent="0.2">
      <c r="A1332">
        <v>3</v>
      </c>
      <c r="B1332" t="s">
        <v>66</v>
      </c>
      <c r="C1332">
        <v>0</v>
      </c>
      <c r="D1332">
        <v>8</v>
      </c>
      <c r="E1332" s="3">
        <v>27</v>
      </c>
    </row>
    <row r="1333" spans="1:5" x14ac:dyDescent="0.2">
      <c r="A1333">
        <v>4</v>
      </c>
      <c r="B1333" t="s">
        <v>479</v>
      </c>
      <c r="C1333">
        <v>0</v>
      </c>
      <c r="D1333">
        <v>4</v>
      </c>
      <c r="E1333" s="3">
        <v>27</v>
      </c>
    </row>
    <row r="1334" spans="1:5" x14ac:dyDescent="0.2">
      <c r="A1334">
        <v>5</v>
      </c>
      <c r="B1334" t="s">
        <v>39</v>
      </c>
      <c r="C1334">
        <v>0</v>
      </c>
      <c r="D1334">
        <v>2</v>
      </c>
      <c r="E1334" s="3">
        <v>27</v>
      </c>
    </row>
    <row r="1335" spans="1:5" x14ac:dyDescent="0.2">
      <c r="A1335">
        <v>6</v>
      </c>
      <c r="B1335" t="s">
        <v>69</v>
      </c>
      <c r="C1335">
        <v>0</v>
      </c>
      <c r="D1335">
        <v>1</v>
      </c>
      <c r="E1335" s="3">
        <v>27</v>
      </c>
    </row>
    <row r="1336" spans="1:5" x14ac:dyDescent="0.2">
      <c r="A1336">
        <v>1</v>
      </c>
      <c r="B1336" t="s">
        <v>14</v>
      </c>
      <c r="C1336">
        <v>1</v>
      </c>
      <c r="D1336">
        <v>16</v>
      </c>
      <c r="E1336" s="3">
        <v>27</v>
      </c>
    </row>
    <row r="1337" spans="1:5" x14ac:dyDescent="0.2">
      <c r="A1337">
        <v>2</v>
      </c>
      <c r="B1337" t="s">
        <v>15</v>
      </c>
      <c r="C1337">
        <v>2</v>
      </c>
      <c r="D1337">
        <v>12</v>
      </c>
      <c r="E1337" s="3">
        <v>27</v>
      </c>
    </row>
    <row r="1338" spans="1:5" x14ac:dyDescent="0.2">
      <c r="A1338">
        <v>3</v>
      </c>
      <c r="B1338" t="s">
        <v>46</v>
      </c>
      <c r="C1338">
        <v>1</v>
      </c>
      <c r="D1338">
        <v>8</v>
      </c>
      <c r="E1338" s="3">
        <v>27</v>
      </c>
    </row>
    <row r="1339" spans="1:5" x14ac:dyDescent="0.2">
      <c r="A1339">
        <v>4</v>
      </c>
      <c r="B1339" t="s">
        <v>490</v>
      </c>
      <c r="C1339">
        <v>1</v>
      </c>
      <c r="D1339">
        <v>4</v>
      </c>
      <c r="E1339" s="3">
        <v>27</v>
      </c>
    </row>
    <row r="1340" spans="1:5" x14ac:dyDescent="0.2">
      <c r="A1340">
        <v>5</v>
      </c>
      <c r="B1340" t="s">
        <v>474</v>
      </c>
      <c r="C1340">
        <v>0</v>
      </c>
      <c r="D1340">
        <v>2</v>
      </c>
      <c r="E1340" s="3">
        <v>27</v>
      </c>
    </row>
    <row r="1341" spans="1:5" x14ac:dyDescent="0.2">
      <c r="A1341">
        <v>6</v>
      </c>
      <c r="B1341" t="s">
        <v>481</v>
      </c>
      <c r="C1341">
        <v>0</v>
      </c>
      <c r="D1341">
        <v>1</v>
      </c>
      <c r="E1341" s="3">
        <v>27</v>
      </c>
    </row>
    <row r="1342" spans="1:5" x14ac:dyDescent="0.2">
      <c r="A1342">
        <v>1</v>
      </c>
      <c r="B1342" t="s">
        <v>21</v>
      </c>
      <c r="C1342">
        <v>1</v>
      </c>
      <c r="D1342">
        <v>16</v>
      </c>
      <c r="E1342" s="3">
        <v>27</v>
      </c>
    </row>
    <row r="1343" spans="1:5" x14ac:dyDescent="0.2">
      <c r="A1343">
        <v>2</v>
      </c>
      <c r="B1343" t="s">
        <v>18</v>
      </c>
      <c r="C1343">
        <v>3</v>
      </c>
      <c r="D1343">
        <v>12</v>
      </c>
      <c r="E1343" s="3">
        <v>27</v>
      </c>
    </row>
    <row r="1344" spans="1:5" x14ac:dyDescent="0.2">
      <c r="A1344">
        <v>3</v>
      </c>
      <c r="B1344" t="s">
        <v>25</v>
      </c>
      <c r="C1344">
        <v>0</v>
      </c>
      <c r="D1344">
        <v>8</v>
      </c>
      <c r="E1344" s="3">
        <v>27</v>
      </c>
    </row>
    <row r="1345" spans="1:5" x14ac:dyDescent="0.2">
      <c r="A1345">
        <v>4</v>
      </c>
      <c r="B1345" t="s">
        <v>473</v>
      </c>
      <c r="C1345">
        <v>1</v>
      </c>
      <c r="D1345">
        <v>4</v>
      </c>
      <c r="E1345" s="3">
        <v>27</v>
      </c>
    </row>
    <row r="1346" spans="1:5" x14ac:dyDescent="0.2">
      <c r="A1346">
        <v>5</v>
      </c>
      <c r="B1346" t="s">
        <v>65</v>
      </c>
      <c r="C1346">
        <v>0</v>
      </c>
      <c r="D1346">
        <v>2</v>
      </c>
      <c r="E1346" s="3">
        <v>27</v>
      </c>
    </row>
    <row r="1347" spans="1:5" x14ac:dyDescent="0.2">
      <c r="A1347">
        <v>6</v>
      </c>
      <c r="B1347" t="s">
        <v>345</v>
      </c>
      <c r="C1347">
        <v>0</v>
      </c>
      <c r="D1347">
        <v>1</v>
      </c>
      <c r="E1347" s="3">
        <v>27</v>
      </c>
    </row>
    <row r="1348" spans="1:5" x14ac:dyDescent="0.2">
      <c r="A1348">
        <v>1</v>
      </c>
      <c r="B1348" t="s">
        <v>475</v>
      </c>
      <c r="C1348">
        <v>3</v>
      </c>
      <c r="D1348">
        <v>16</v>
      </c>
      <c r="E1348" s="3">
        <v>27</v>
      </c>
    </row>
    <row r="1349" spans="1:5" x14ac:dyDescent="0.2">
      <c r="A1349">
        <v>2</v>
      </c>
      <c r="B1349" t="s">
        <v>35</v>
      </c>
      <c r="C1349">
        <v>1</v>
      </c>
      <c r="D1349">
        <v>12</v>
      </c>
      <c r="E1349" s="3">
        <v>27</v>
      </c>
    </row>
    <row r="1350" spans="1:5" x14ac:dyDescent="0.2">
      <c r="A1350">
        <v>3</v>
      </c>
      <c r="B1350" t="s">
        <v>32</v>
      </c>
      <c r="C1350">
        <v>1</v>
      </c>
      <c r="D1350">
        <v>8</v>
      </c>
      <c r="E1350" s="3">
        <v>27</v>
      </c>
    </row>
    <row r="1351" spans="1:5" x14ac:dyDescent="0.2">
      <c r="A1351">
        <v>4</v>
      </c>
      <c r="B1351" t="s">
        <v>60</v>
      </c>
      <c r="C1351">
        <v>0</v>
      </c>
      <c r="D1351">
        <v>4</v>
      </c>
      <c r="E1351" s="3">
        <v>27</v>
      </c>
    </row>
    <row r="1352" spans="1:5" x14ac:dyDescent="0.2">
      <c r="A1352">
        <v>5</v>
      </c>
      <c r="B1352" t="s">
        <v>48</v>
      </c>
      <c r="C1352">
        <v>0</v>
      </c>
      <c r="D1352">
        <v>2</v>
      </c>
      <c r="E1352" s="3">
        <v>27</v>
      </c>
    </row>
    <row r="1353" spans="1:5" x14ac:dyDescent="0.2">
      <c r="A1353">
        <v>6</v>
      </c>
      <c r="B1353" t="s">
        <v>461</v>
      </c>
      <c r="C1353">
        <v>0</v>
      </c>
      <c r="D1353">
        <v>1</v>
      </c>
      <c r="E1353" s="3">
        <v>27</v>
      </c>
    </row>
    <row r="1354" spans="1:5" x14ac:dyDescent="0.2">
      <c r="A1354">
        <v>1</v>
      </c>
      <c r="B1354" t="s">
        <v>41</v>
      </c>
      <c r="C1354">
        <v>3</v>
      </c>
      <c r="D1354">
        <v>16</v>
      </c>
      <c r="E1354" s="3">
        <v>27</v>
      </c>
    </row>
    <row r="1355" spans="1:5" x14ac:dyDescent="0.2">
      <c r="A1355">
        <v>2</v>
      </c>
      <c r="B1355" t="s">
        <v>87</v>
      </c>
      <c r="C1355">
        <v>2</v>
      </c>
      <c r="D1355">
        <v>12</v>
      </c>
      <c r="E1355" s="3">
        <v>27</v>
      </c>
    </row>
    <row r="1356" spans="1:5" x14ac:dyDescent="0.2">
      <c r="A1356">
        <v>3</v>
      </c>
      <c r="B1356" t="s">
        <v>28</v>
      </c>
      <c r="C1356">
        <v>0</v>
      </c>
      <c r="D1356">
        <v>8</v>
      </c>
      <c r="E1356" s="3">
        <v>27</v>
      </c>
    </row>
    <row r="1357" spans="1:5" x14ac:dyDescent="0.2">
      <c r="A1357">
        <v>4</v>
      </c>
      <c r="B1357" t="s">
        <v>368</v>
      </c>
      <c r="C1357">
        <v>0</v>
      </c>
      <c r="D1357">
        <v>4</v>
      </c>
      <c r="E1357" s="3">
        <v>27</v>
      </c>
    </row>
    <row r="1358" spans="1:5" x14ac:dyDescent="0.2">
      <c r="A1358">
        <v>5</v>
      </c>
      <c r="B1358" t="s">
        <v>55</v>
      </c>
      <c r="C1358">
        <v>0</v>
      </c>
      <c r="D1358">
        <v>2</v>
      </c>
      <c r="E1358" s="3">
        <v>27</v>
      </c>
    </row>
    <row r="1359" spans="1:5" x14ac:dyDescent="0.2">
      <c r="A1359">
        <v>6</v>
      </c>
      <c r="B1359" t="s">
        <v>26</v>
      </c>
      <c r="C1359">
        <v>0</v>
      </c>
      <c r="D1359">
        <v>1</v>
      </c>
      <c r="E1359" s="3">
        <v>27</v>
      </c>
    </row>
    <row r="1360" spans="1:5" x14ac:dyDescent="0.2">
      <c r="A1360">
        <v>1</v>
      </c>
      <c r="B1360" t="s">
        <v>40</v>
      </c>
      <c r="C1360">
        <v>3</v>
      </c>
      <c r="D1360">
        <v>16</v>
      </c>
      <c r="E1360" s="3">
        <v>27</v>
      </c>
    </row>
    <row r="1361" spans="1:5" x14ac:dyDescent="0.2">
      <c r="A1361">
        <v>2</v>
      </c>
      <c r="B1361" t="s">
        <v>492</v>
      </c>
      <c r="C1361">
        <v>2</v>
      </c>
      <c r="D1361">
        <v>12</v>
      </c>
      <c r="E1361" s="3">
        <v>27</v>
      </c>
    </row>
    <row r="1362" spans="1:5" x14ac:dyDescent="0.2">
      <c r="A1362">
        <v>3</v>
      </c>
      <c r="B1362" t="s">
        <v>74</v>
      </c>
      <c r="C1362">
        <v>0</v>
      </c>
      <c r="D1362">
        <v>8</v>
      </c>
      <c r="E1362" s="3">
        <v>27</v>
      </c>
    </row>
    <row r="1363" spans="1:5" x14ac:dyDescent="0.2">
      <c r="A1363">
        <v>4</v>
      </c>
      <c r="B1363" t="s">
        <v>6</v>
      </c>
      <c r="C1363">
        <v>0</v>
      </c>
      <c r="D1363">
        <v>4</v>
      </c>
      <c r="E1363" s="3">
        <v>27</v>
      </c>
    </row>
    <row r="1364" spans="1:5" x14ac:dyDescent="0.2">
      <c r="A1364">
        <v>5</v>
      </c>
      <c r="B1364" t="s">
        <v>88</v>
      </c>
      <c r="C1364">
        <v>0</v>
      </c>
      <c r="D1364">
        <v>2</v>
      </c>
      <c r="E1364" s="3">
        <v>27</v>
      </c>
    </row>
    <row r="1365" spans="1:5" x14ac:dyDescent="0.2">
      <c r="A1365">
        <v>6</v>
      </c>
      <c r="B1365" t="s">
        <v>45</v>
      </c>
      <c r="C1365">
        <v>0</v>
      </c>
      <c r="D1365">
        <v>1</v>
      </c>
      <c r="E1365" s="3">
        <v>27</v>
      </c>
    </row>
    <row r="1366" spans="1:5" x14ac:dyDescent="0.2">
      <c r="A1366">
        <v>1</v>
      </c>
      <c r="B1366" t="s">
        <v>19</v>
      </c>
      <c r="C1366">
        <v>4</v>
      </c>
      <c r="D1366">
        <v>16</v>
      </c>
      <c r="E1366" s="3">
        <v>27</v>
      </c>
    </row>
    <row r="1367" spans="1:5" x14ac:dyDescent="0.2">
      <c r="A1367">
        <v>2</v>
      </c>
      <c r="B1367" t="s">
        <v>457</v>
      </c>
      <c r="C1367">
        <v>1</v>
      </c>
      <c r="D1367">
        <v>12</v>
      </c>
      <c r="E1367" s="3">
        <v>27</v>
      </c>
    </row>
    <row r="1368" spans="1:5" x14ac:dyDescent="0.2">
      <c r="A1368">
        <v>3</v>
      </c>
      <c r="B1368" t="s">
        <v>73</v>
      </c>
      <c r="C1368">
        <v>0</v>
      </c>
      <c r="D1368">
        <v>8</v>
      </c>
      <c r="E1368" s="3">
        <v>27</v>
      </c>
    </row>
    <row r="1369" spans="1:5" x14ac:dyDescent="0.2">
      <c r="A1369">
        <v>4</v>
      </c>
      <c r="B1369" t="s">
        <v>264</v>
      </c>
      <c r="C1369">
        <v>0</v>
      </c>
      <c r="D1369">
        <v>4</v>
      </c>
      <c r="E1369" s="3">
        <v>27</v>
      </c>
    </row>
    <row r="1370" spans="1:5" x14ac:dyDescent="0.2">
      <c r="A1370">
        <v>5</v>
      </c>
      <c r="B1370" t="s">
        <v>52</v>
      </c>
      <c r="C1370">
        <v>0</v>
      </c>
      <c r="D1370">
        <v>2</v>
      </c>
      <c r="E1370" s="3">
        <v>27</v>
      </c>
    </row>
    <row r="1371" spans="1:5" x14ac:dyDescent="0.2">
      <c r="A1371">
        <v>6</v>
      </c>
      <c r="B1371" t="s">
        <v>280</v>
      </c>
      <c r="C1371">
        <v>0</v>
      </c>
      <c r="D1371">
        <v>1</v>
      </c>
      <c r="E1371" s="3">
        <v>27</v>
      </c>
    </row>
    <row r="1372" spans="1:5" x14ac:dyDescent="0.2">
      <c r="A1372">
        <v>1</v>
      </c>
      <c r="B1372" t="s">
        <v>6</v>
      </c>
      <c r="C1372">
        <v>1</v>
      </c>
      <c r="D1372">
        <v>16</v>
      </c>
      <c r="E1372" s="3">
        <v>28</v>
      </c>
    </row>
    <row r="1373" spans="1:5" x14ac:dyDescent="0.2">
      <c r="A1373">
        <v>2</v>
      </c>
      <c r="B1373" t="s">
        <v>45</v>
      </c>
      <c r="C1373">
        <v>1</v>
      </c>
      <c r="D1373">
        <v>12</v>
      </c>
      <c r="E1373" s="3">
        <v>28</v>
      </c>
    </row>
    <row r="1374" spans="1:5" x14ac:dyDescent="0.2">
      <c r="A1374">
        <v>3</v>
      </c>
      <c r="B1374" t="s">
        <v>69</v>
      </c>
      <c r="C1374">
        <v>1</v>
      </c>
      <c r="D1374">
        <v>8</v>
      </c>
      <c r="E1374" s="3">
        <v>28</v>
      </c>
    </row>
    <row r="1375" spans="1:5" x14ac:dyDescent="0.2">
      <c r="A1375">
        <v>4</v>
      </c>
      <c r="B1375" t="s">
        <v>87</v>
      </c>
      <c r="C1375">
        <v>2</v>
      </c>
      <c r="D1375">
        <v>4</v>
      </c>
      <c r="E1375" s="3">
        <v>28</v>
      </c>
    </row>
    <row r="1376" spans="1:5" x14ac:dyDescent="0.2">
      <c r="A1376">
        <v>5</v>
      </c>
      <c r="B1376" t="s">
        <v>28</v>
      </c>
      <c r="C1376">
        <v>0</v>
      </c>
      <c r="D1376">
        <v>2</v>
      </c>
      <c r="E1376" s="3">
        <v>28</v>
      </c>
    </row>
    <row r="1377" spans="1:5" x14ac:dyDescent="0.2">
      <c r="A1377">
        <v>6</v>
      </c>
      <c r="B1377" t="s">
        <v>48</v>
      </c>
      <c r="C1377">
        <v>0</v>
      </c>
      <c r="D1377">
        <v>1</v>
      </c>
      <c r="E1377" s="3">
        <v>28</v>
      </c>
    </row>
    <row r="1378" spans="1:5" x14ac:dyDescent="0.2">
      <c r="A1378">
        <v>1</v>
      </c>
      <c r="B1378" t="s">
        <v>485</v>
      </c>
      <c r="C1378">
        <v>4</v>
      </c>
      <c r="D1378">
        <v>16</v>
      </c>
      <c r="E1378" s="3">
        <v>28</v>
      </c>
    </row>
    <row r="1379" spans="1:5" x14ac:dyDescent="0.2">
      <c r="A1379">
        <v>2</v>
      </c>
      <c r="B1379" t="s">
        <v>479</v>
      </c>
      <c r="C1379">
        <v>1</v>
      </c>
      <c r="D1379">
        <v>12</v>
      </c>
      <c r="E1379" s="3">
        <v>28</v>
      </c>
    </row>
    <row r="1380" spans="1:5" x14ac:dyDescent="0.2">
      <c r="A1380">
        <v>3</v>
      </c>
      <c r="B1380" t="s">
        <v>60</v>
      </c>
      <c r="C1380">
        <v>0</v>
      </c>
      <c r="D1380">
        <v>8</v>
      </c>
      <c r="E1380" s="3">
        <v>28</v>
      </c>
    </row>
    <row r="1381" spans="1:5" x14ac:dyDescent="0.2">
      <c r="A1381">
        <v>4</v>
      </c>
      <c r="B1381" t="s">
        <v>76</v>
      </c>
      <c r="C1381">
        <v>0</v>
      </c>
      <c r="D1381">
        <v>4</v>
      </c>
      <c r="E1381" s="3">
        <v>28</v>
      </c>
    </row>
    <row r="1382" spans="1:5" x14ac:dyDescent="0.2">
      <c r="A1382">
        <v>5</v>
      </c>
      <c r="B1382" t="s">
        <v>493</v>
      </c>
      <c r="C1382">
        <v>0</v>
      </c>
      <c r="D1382">
        <v>2</v>
      </c>
      <c r="E1382" s="3">
        <v>28</v>
      </c>
    </row>
    <row r="1383" spans="1:5" x14ac:dyDescent="0.2">
      <c r="A1383">
        <v>6</v>
      </c>
      <c r="B1383" t="s">
        <v>368</v>
      </c>
      <c r="C1383">
        <v>0</v>
      </c>
      <c r="D1383">
        <v>1</v>
      </c>
      <c r="E1383" s="3">
        <v>28</v>
      </c>
    </row>
    <row r="1384" spans="1:5" x14ac:dyDescent="0.2">
      <c r="A1384">
        <v>1</v>
      </c>
      <c r="B1384" t="s">
        <v>26</v>
      </c>
      <c r="C1384">
        <v>3</v>
      </c>
      <c r="D1384">
        <v>16</v>
      </c>
      <c r="E1384" s="3">
        <v>28</v>
      </c>
    </row>
    <row r="1385" spans="1:5" x14ac:dyDescent="0.2">
      <c r="A1385">
        <v>2</v>
      </c>
      <c r="B1385" t="s">
        <v>18</v>
      </c>
      <c r="C1385">
        <v>1</v>
      </c>
      <c r="D1385">
        <v>12</v>
      </c>
      <c r="E1385" s="3">
        <v>28</v>
      </c>
    </row>
    <row r="1386" spans="1:5" x14ac:dyDescent="0.2">
      <c r="A1386">
        <v>3</v>
      </c>
      <c r="B1386" t="s">
        <v>41</v>
      </c>
      <c r="C1386">
        <v>0</v>
      </c>
      <c r="D1386">
        <v>8</v>
      </c>
      <c r="E1386" s="3">
        <v>28</v>
      </c>
    </row>
    <row r="1387" spans="1:5" x14ac:dyDescent="0.2">
      <c r="A1387">
        <v>4</v>
      </c>
      <c r="B1387" t="s">
        <v>9</v>
      </c>
      <c r="C1387">
        <v>0</v>
      </c>
      <c r="D1387">
        <v>4</v>
      </c>
      <c r="E1387" s="3">
        <v>28</v>
      </c>
    </row>
    <row r="1388" spans="1:5" x14ac:dyDescent="0.2">
      <c r="A1388">
        <v>5</v>
      </c>
      <c r="B1388" t="s">
        <v>29</v>
      </c>
      <c r="C1388">
        <v>1</v>
      </c>
      <c r="D1388">
        <v>2</v>
      </c>
      <c r="E1388" s="3">
        <v>28</v>
      </c>
    </row>
    <row r="1389" spans="1:5" x14ac:dyDescent="0.2">
      <c r="A1389">
        <v>6</v>
      </c>
      <c r="B1389" t="s">
        <v>475</v>
      </c>
      <c r="C1389">
        <v>0</v>
      </c>
      <c r="D1389">
        <v>1</v>
      </c>
      <c r="E1389" s="3">
        <v>28</v>
      </c>
    </row>
    <row r="1390" spans="1:5" x14ac:dyDescent="0.2">
      <c r="A1390">
        <v>1</v>
      </c>
      <c r="B1390" t="s">
        <v>345</v>
      </c>
      <c r="C1390">
        <v>3</v>
      </c>
      <c r="D1390">
        <v>16</v>
      </c>
      <c r="E1390" s="3">
        <v>28</v>
      </c>
    </row>
    <row r="1391" spans="1:5" x14ac:dyDescent="0.2">
      <c r="A1391">
        <v>2</v>
      </c>
      <c r="B1391" t="s">
        <v>68</v>
      </c>
      <c r="C1391">
        <v>2</v>
      </c>
      <c r="D1391">
        <v>12</v>
      </c>
      <c r="E1391" s="3">
        <v>28</v>
      </c>
    </row>
    <row r="1392" spans="1:5" x14ac:dyDescent="0.2">
      <c r="A1392">
        <v>3</v>
      </c>
      <c r="B1392" t="s">
        <v>46</v>
      </c>
      <c r="C1392">
        <v>0</v>
      </c>
      <c r="D1392">
        <v>8</v>
      </c>
      <c r="E1392" s="3">
        <v>28</v>
      </c>
    </row>
    <row r="1393" spans="1:5" x14ac:dyDescent="0.2">
      <c r="A1393">
        <v>4</v>
      </c>
      <c r="B1393" t="s">
        <v>33</v>
      </c>
      <c r="C1393">
        <v>0</v>
      </c>
      <c r="D1393">
        <v>4</v>
      </c>
      <c r="E1393" s="3">
        <v>28</v>
      </c>
    </row>
    <row r="1394" spans="1:5" x14ac:dyDescent="0.2">
      <c r="A1394">
        <v>5</v>
      </c>
      <c r="B1394" t="s">
        <v>65</v>
      </c>
      <c r="C1394">
        <v>0</v>
      </c>
      <c r="D1394">
        <v>2</v>
      </c>
      <c r="E1394" s="3">
        <v>28</v>
      </c>
    </row>
    <row r="1395" spans="1:5" x14ac:dyDescent="0.2">
      <c r="A1395">
        <v>6</v>
      </c>
      <c r="B1395" t="s">
        <v>42</v>
      </c>
      <c r="C1395">
        <v>0</v>
      </c>
      <c r="D1395">
        <v>1</v>
      </c>
      <c r="E1395" s="3">
        <v>28</v>
      </c>
    </row>
    <row r="1396" spans="1:5" x14ac:dyDescent="0.2">
      <c r="A1396">
        <v>1</v>
      </c>
      <c r="B1396" t="s">
        <v>468</v>
      </c>
      <c r="C1396">
        <v>3</v>
      </c>
      <c r="D1396">
        <v>17</v>
      </c>
      <c r="E1396" s="3">
        <v>28</v>
      </c>
    </row>
    <row r="1397" spans="1:5" x14ac:dyDescent="0.2">
      <c r="A1397">
        <v>2</v>
      </c>
      <c r="B1397" t="s">
        <v>490</v>
      </c>
      <c r="C1397">
        <v>2</v>
      </c>
      <c r="D1397">
        <v>13</v>
      </c>
      <c r="E1397" s="3">
        <v>28</v>
      </c>
    </row>
    <row r="1398" spans="1:5" x14ac:dyDescent="0.2">
      <c r="A1398">
        <v>3</v>
      </c>
      <c r="B1398" t="s">
        <v>35</v>
      </c>
      <c r="C1398">
        <v>0</v>
      </c>
      <c r="D1398">
        <v>9</v>
      </c>
      <c r="E1398" s="3">
        <v>28</v>
      </c>
    </row>
    <row r="1399" spans="1:5" x14ac:dyDescent="0.2">
      <c r="A1399">
        <v>4</v>
      </c>
      <c r="B1399" t="s">
        <v>19</v>
      </c>
      <c r="C1399">
        <v>0</v>
      </c>
      <c r="D1399">
        <v>5</v>
      </c>
      <c r="E1399" s="3">
        <v>28</v>
      </c>
    </row>
    <row r="1400" spans="1:5" x14ac:dyDescent="0.2">
      <c r="A1400">
        <v>5</v>
      </c>
      <c r="B1400" t="s">
        <v>59</v>
      </c>
      <c r="C1400">
        <v>1</v>
      </c>
      <c r="D1400">
        <v>3</v>
      </c>
      <c r="E1400" s="3">
        <v>28</v>
      </c>
    </row>
    <row r="1401" spans="1:5" x14ac:dyDescent="0.2">
      <c r="A1401">
        <v>6</v>
      </c>
      <c r="B1401" t="s">
        <v>454</v>
      </c>
      <c r="C1401">
        <v>0</v>
      </c>
      <c r="D1401">
        <v>2</v>
      </c>
      <c r="E1401" s="3">
        <v>28</v>
      </c>
    </row>
    <row r="1402" spans="1:5" x14ac:dyDescent="0.2">
      <c r="A1402">
        <v>7</v>
      </c>
      <c r="B1402" t="s">
        <v>280</v>
      </c>
      <c r="C1402">
        <v>0</v>
      </c>
      <c r="D1402">
        <v>1</v>
      </c>
      <c r="E1402" s="3">
        <v>28</v>
      </c>
    </row>
    <row r="1403" spans="1:5" x14ac:dyDescent="0.2">
      <c r="A1403">
        <v>1</v>
      </c>
      <c r="B1403" t="s">
        <v>27</v>
      </c>
      <c r="C1403">
        <v>3</v>
      </c>
      <c r="D1403">
        <v>17</v>
      </c>
      <c r="E1403" s="3">
        <v>28</v>
      </c>
    </row>
    <row r="1404" spans="1:5" x14ac:dyDescent="0.2">
      <c r="A1404">
        <v>2</v>
      </c>
      <c r="B1404" t="s">
        <v>55</v>
      </c>
      <c r="C1404">
        <v>2</v>
      </c>
      <c r="D1404">
        <v>13</v>
      </c>
      <c r="E1404" s="3">
        <v>28</v>
      </c>
    </row>
    <row r="1405" spans="1:5" x14ac:dyDescent="0.2">
      <c r="A1405">
        <v>3</v>
      </c>
      <c r="B1405" t="s">
        <v>32</v>
      </c>
      <c r="C1405">
        <v>0</v>
      </c>
      <c r="D1405">
        <v>9</v>
      </c>
      <c r="E1405" s="3">
        <v>28</v>
      </c>
    </row>
    <row r="1406" spans="1:5" x14ac:dyDescent="0.2">
      <c r="A1406">
        <v>4</v>
      </c>
      <c r="B1406" t="s">
        <v>74</v>
      </c>
      <c r="C1406">
        <v>1</v>
      </c>
      <c r="D1406">
        <v>5</v>
      </c>
      <c r="E1406" s="3">
        <v>28</v>
      </c>
    </row>
    <row r="1407" spans="1:5" x14ac:dyDescent="0.2">
      <c r="A1407">
        <v>5</v>
      </c>
      <c r="B1407" t="s">
        <v>66</v>
      </c>
      <c r="C1407">
        <v>0</v>
      </c>
      <c r="D1407">
        <v>3</v>
      </c>
      <c r="E1407" s="3">
        <v>28</v>
      </c>
    </row>
    <row r="1408" spans="1:5" x14ac:dyDescent="0.2">
      <c r="A1408">
        <v>6</v>
      </c>
      <c r="B1408" t="s">
        <v>14</v>
      </c>
      <c r="C1408">
        <v>0</v>
      </c>
      <c r="D1408">
        <v>2</v>
      </c>
      <c r="E1408" s="3">
        <v>28</v>
      </c>
    </row>
    <row r="1409" spans="1:5" x14ac:dyDescent="0.2">
      <c r="A1409">
        <v>7</v>
      </c>
      <c r="B1409" t="s">
        <v>474</v>
      </c>
      <c r="C1409">
        <v>0</v>
      </c>
      <c r="D1409">
        <v>1</v>
      </c>
      <c r="E1409" s="3">
        <v>28</v>
      </c>
    </row>
    <row r="1410" spans="1:5" x14ac:dyDescent="0.2">
      <c r="A1410">
        <v>1</v>
      </c>
      <c r="B1410" t="s">
        <v>481</v>
      </c>
      <c r="C1410">
        <v>3</v>
      </c>
      <c r="D1410">
        <v>17</v>
      </c>
      <c r="E1410" s="3">
        <v>28</v>
      </c>
    </row>
    <row r="1411" spans="1:5" x14ac:dyDescent="0.2">
      <c r="A1411">
        <v>2</v>
      </c>
      <c r="B1411" t="s">
        <v>75</v>
      </c>
      <c r="C1411">
        <v>1</v>
      </c>
      <c r="D1411">
        <v>13</v>
      </c>
      <c r="E1411" s="3">
        <v>28</v>
      </c>
    </row>
    <row r="1412" spans="1:5" x14ac:dyDescent="0.2">
      <c r="A1412">
        <v>3</v>
      </c>
      <c r="B1412" t="s">
        <v>88</v>
      </c>
      <c r="C1412">
        <v>1</v>
      </c>
      <c r="D1412">
        <v>9</v>
      </c>
      <c r="E1412" s="3">
        <v>28</v>
      </c>
    </row>
    <row r="1413" spans="1:5" x14ac:dyDescent="0.2">
      <c r="A1413">
        <v>4</v>
      </c>
      <c r="B1413" t="s">
        <v>264</v>
      </c>
      <c r="C1413">
        <v>1</v>
      </c>
      <c r="D1413">
        <v>5</v>
      </c>
      <c r="E1413" s="3">
        <v>28</v>
      </c>
    </row>
    <row r="1414" spans="1:5" x14ac:dyDescent="0.2">
      <c r="A1414">
        <v>5</v>
      </c>
      <c r="B1414" t="s">
        <v>25</v>
      </c>
      <c r="C1414">
        <v>0</v>
      </c>
      <c r="D1414">
        <v>3</v>
      </c>
      <c r="E1414" s="3">
        <v>28</v>
      </c>
    </row>
    <row r="1415" spans="1:5" x14ac:dyDescent="0.2">
      <c r="A1415">
        <v>6</v>
      </c>
      <c r="B1415" t="s">
        <v>494</v>
      </c>
      <c r="C1415">
        <v>0</v>
      </c>
      <c r="D1415">
        <v>2</v>
      </c>
      <c r="E1415" s="3">
        <v>28</v>
      </c>
    </row>
    <row r="1416" spans="1:5" x14ac:dyDescent="0.2">
      <c r="A1416">
        <v>7</v>
      </c>
      <c r="B1416" t="s">
        <v>21</v>
      </c>
      <c r="C1416">
        <v>0</v>
      </c>
      <c r="D1416">
        <v>1</v>
      </c>
      <c r="E1416" s="3">
        <v>28</v>
      </c>
    </row>
    <row r="1417" spans="1:5" x14ac:dyDescent="0.2">
      <c r="A1417">
        <v>1</v>
      </c>
      <c r="B1417" t="s">
        <v>457</v>
      </c>
      <c r="C1417">
        <v>1</v>
      </c>
      <c r="D1417">
        <v>16</v>
      </c>
      <c r="E1417" s="3">
        <v>28</v>
      </c>
    </row>
    <row r="1418" spans="1:5" x14ac:dyDescent="0.2">
      <c r="A1418">
        <v>2</v>
      </c>
      <c r="B1418" t="s">
        <v>73</v>
      </c>
      <c r="C1418">
        <v>3</v>
      </c>
      <c r="D1418">
        <v>12</v>
      </c>
      <c r="E1418" s="3">
        <v>28</v>
      </c>
    </row>
    <row r="1419" spans="1:5" x14ac:dyDescent="0.2">
      <c r="A1419">
        <v>3</v>
      </c>
      <c r="B1419" t="s">
        <v>473</v>
      </c>
      <c r="C1419">
        <v>1</v>
      </c>
      <c r="D1419">
        <v>8</v>
      </c>
      <c r="E1419" s="3">
        <v>28</v>
      </c>
    </row>
    <row r="1420" spans="1:5" x14ac:dyDescent="0.2">
      <c r="A1420">
        <v>4</v>
      </c>
      <c r="B1420" t="s">
        <v>452</v>
      </c>
      <c r="C1420">
        <v>0</v>
      </c>
      <c r="D1420">
        <v>4</v>
      </c>
      <c r="E1420" s="3">
        <v>28</v>
      </c>
    </row>
    <row r="1421" spans="1:5" x14ac:dyDescent="0.2">
      <c r="A1421">
        <v>5</v>
      </c>
      <c r="B1421" t="s">
        <v>371</v>
      </c>
      <c r="C1421">
        <v>0</v>
      </c>
      <c r="D1421">
        <v>2</v>
      </c>
      <c r="E1421" s="3">
        <v>28</v>
      </c>
    </row>
    <row r="1422" spans="1:5" x14ac:dyDescent="0.2">
      <c r="A1422">
        <v>6</v>
      </c>
      <c r="B1422" t="s">
        <v>52</v>
      </c>
      <c r="C1422">
        <v>0</v>
      </c>
      <c r="D1422">
        <v>1</v>
      </c>
      <c r="E1422" s="3">
        <v>28</v>
      </c>
    </row>
    <row r="1423" spans="1:5" x14ac:dyDescent="0.2">
      <c r="A1423">
        <v>1</v>
      </c>
      <c r="B1423" t="s">
        <v>481</v>
      </c>
      <c r="C1423">
        <v>3</v>
      </c>
      <c r="D1423">
        <v>17</v>
      </c>
      <c r="E1423" s="3">
        <v>29</v>
      </c>
    </row>
    <row r="1424" spans="1:5" x14ac:dyDescent="0.2">
      <c r="A1424">
        <v>2</v>
      </c>
      <c r="B1424" t="s">
        <v>26</v>
      </c>
      <c r="C1424">
        <v>2</v>
      </c>
      <c r="D1424">
        <v>13</v>
      </c>
      <c r="E1424" s="3">
        <v>29</v>
      </c>
    </row>
    <row r="1425" spans="1:5" x14ac:dyDescent="0.2">
      <c r="A1425">
        <v>3</v>
      </c>
      <c r="B1425" t="s">
        <v>35</v>
      </c>
      <c r="C1425">
        <v>1</v>
      </c>
      <c r="D1425">
        <v>9</v>
      </c>
      <c r="E1425" s="3">
        <v>29</v>
      </c>
    </row>
    <row r="1426" spans="1:5" x14ac:dyDescent="0.2">
      <c r="A1426">
        <v>4</v>
      </c>
      <c r="B1426" t="s">
        <v>33</v>
      </c>
      <c r="C1426">
        <v>0</v>
      </c>
      <c r="D1426">
        <v>5</v>
      </c>
      <c r="E1426" s="3">
        <v>29</v>
      </c>
    </row>
    <row r="1427" spans="1:5" x14ac:dyDescent="0.2">
      <c r="A1427">
        <v>5</v>
      </c>
      <c r="B1427" t="s">
        <v>59</v>
      </c>
      <c r="C1427">
        <v>0</v>
      </c>
      <c r="D1427">
        <v>3</v>
      </c>
      <c r="E1427" s="3">
        <v>29</v>
      </c>
    </row>
    <row r="1428" spans="1:5" x14ac:dyDescent="0.2">
      <c r="A1428">
        <v>6</v>
      </c>
      <c r="B1428" t="s">
        <v>473</v>
      </c>
      <c r="C1428">
        <v>0</v>
      </c>
      <c r="D1428">
        <v>2</v>
      </c>
      <c r="E1428" s="3">
        <v>29</v>
      </c>
    </row>
    <row r="1429" spans="1:5" x14ac:dyDescent="0.2">
      <c r="A1429">
        <v>7</v>
      </c>
      <c r="B1429" t="s">
        <v>74</v>
      </c>
      <c r="C1429">
        <v>0</v>
      </c>
      <c r="D1429">
        <v>1</v>
      </c>
      <c r="E1429" s="3">
        <v>29</v>
      </c>
    </row>
    <row r="1430" spans="1:5" x14ac:dyDescent="0.2">
      <c r="A1430">
        <v>1</v>
      </c>
      <c r="B1430" t="s">
        <v>479</v>
      </c>
      <c r="C1430">
        <v>1</v>
      </c>
      <c r="D1430">
        <v>17</v>
      </c>
      <c r="E1430" s="3">
        <v>29</v>
      </c>
    </row>
    <row r="1431" spans="1:5" x14ac:dyDescent="0.2">
      <c r="A1431">
        <v>2</v>
      </c>
      <c r="B1431" t="s">
        <v>69</v>
      </c>
      <c r="C1431">
        <v>2</v>
      </c>
      <c r="D1431">
        <v>13</v>
      </c>
      <c r="E1431" s="3">
        <v>29</v>
      </c>
    </row>
    <row r="1432" spans="1:5" x14ac:dyDescent="0.2">
      <c r="A1432">
        <v>3</v>
      </c>
      <c r="B1432" t="s">
        <v>65</v>
      </c>
      <c r="C1432">
        <v>2</v>
      </c>
      <c r="D1432">
        <v>9</v>
      </c>
      <c r="E1432" s="3">
        <v>29</v>
      </c>
    </row>
    <row r="1433" spans="1:5" x14ac:dyDescent="0.2">
      <c r="A1433">
        <v>4</v>
      </c>
      <c r="B1433" t="s">
        <v>46</v>
      </c>
      <c r="C1433">
        <v>1</v>
      </c>
      <c r="D1433">
        <v>5</v>
      </c>
      <c r="E1433" s="3">
        <v>29</v>
      </c>
    </row>
    <row r="1434" spans="1:5" x14ac:dyDescent="0.2">
      <c r="A1434">
        <v>5</v>
      </c>
      <c r="B1434" t="s">
        <v>32</v>
      </c>
      <c r="C1434">
        <v>0</v>
      </c>
      <c r="D1434">
        <v>3</v>
      </c>
      <c r="E1434" s="3">
        <v>29</v>
      </c>
    </row>
    <row r="1435" spans="1:5" x14ac:dyDescent="0.2">
      <c r="A1435">
        <v>6</v>
      </c>
      <c r="B1435" t="s">
        <v>45</v>
      </c>
      <c r="C1435">
        <v>0</v>
      </c>
      <c r="D1435">
        <v>2</v>
      </c>
      <c r="E1435" s="3">
        <v>29</v>
      </c>
    </row>
    <row r="1436" spans="1:5" x14ac:dyDescent="0.2">
      <c r="A1436">
        <v>7</v>
      </c>
      <c r="B1436" t="s">
        <v>280</v>
      </c>
      <c r="C1436">
        <v>0</v>
      </c>
      <c r="D1436">
        <v>1</v>
      </c>
      <c r="E1436" s="3">
        <v>29</v>
      </c>
    </row>
    <row r="1437" spans="1:5" x14ac:dyDescent="0.2">
      <c r="A1437">
        <v>1</v>
      </c>
      <c r="B1437" t="s">
        <v>101</v>
      </c>
      <c r="C1437">
        <v>2</v>
      </c>
      <c r="D1437">
        <v>17</v>
      </c>
      <c r="E1437" s="3">
        <v>29</v>
      </c>
    </row>
    <row r="1438" spans="1:5" x14ac:dyDescent="0.2">
      <c r="A1438">
        <v>2</v>
      </c>
      <c r="B1438" t="s">
        <v>25</v>
      </c>
      <c r="C1438">
        <v>1</v>
      </c>
      <c r="D1438">
        <v>13</v>
      </c>
      <c r="E1438" s="3">
        <v>29</v>
      </c>
    </row>
    <row r="1439" spans="1:5" x14ac:dyDescent="0.2">
      <c r="A1439">
        <v>3</v>
      </c>
      <c r="B1439" t="s">
        <v>14</v>
      </c>
      <c r="C1439">
        <v>3</v>
      </c>
      <c r="D1439">
        <v>9</v>
      </c>
      <c r="E1439" s="3">
        <v>29</v>
      </c>
    </row>
    <row r="1440" spans="1:5" x14ac:dyDescent="0.2">
      <c r="A1440">
        <v>4</v>
      </c>
      <c r="B1440" t="s">
        <v>75</v>
      </c>
      <c r="C1440">
        <v>0</v>
      </c>
      <c r="D1440">
        <v>5</v>
      </c>
      <c r="E1440" s="3">
        <v>29</v>
      </c>
    </row>
    <row r="1441" spans="1:5" x14ac:dyDescent="0.2">
      <c r="A1441">
        <v>5</v>
      </c>
      <c r="B1441" t="s">
        <v>12</v>
      </c>
      <c r="C1441">
        <v>0</v>
      </c>
      <c r="D1441">
        <v>3</v>
      </c>
      <c r="E1441" s="3">
        <v>29</v>
      </c>
    </row>
    <row r="1442" spans="1:5" x14ac:dyDescent="0.2">
      <c r="A1442">
        <v>6</v>
      </c>
      <c r="B1442" t="s">
        <v>76</v>
      </c>
      <c r="C1442">
        <v>0</v>
      </c>
      <c r="D1442">
        <v>2</v>
      </c>
      <c r="E1442" s="3">
        <v>29</v>
      </c>
    </row>
    <row r="1443" spans="1:5" x14ac:dyDescent="0.2">
      <c r="A1443">
        <v>7</v>
      </c>
      <c r="B1443" t="s">
        <v>264</v>
      </c>
      <c r="C1443">
        <v>0</v>
      </c>
      <c r="D1443">
        <v>1</v>
      </c>
      <c r="E1443" s="3">
        <v>29</v>
      </c>
    </row>
    <row r="1444" spans="1:5" x14ac:dyDescent="0.2">
      <c r="A1444">
        <v>1</v>
      </c>
      <c r="B1444" t="s">
        <v>42</v>
      </c>
      <c r="C1444">
        <v>3</v>
      </c>
      <c r="D1444">
        <v>17</v>
      </c>
      <c r="E1444" s="3">
        <v>29</v>
      </c>
    </row>
    <row r="1445" spans="1:5" x14ac:dyDescent="0.2">
      <c r="A1445">
        <v>2</v>
      </c>
      <c r="B1445" t="s">
        <v>55</v>
      </c>
      <c r="C1445">
        <v>2</v>
      </c>
      <c r="D1445">
        <v>13</v>
      </c>
      <c r="E1445" s="3">
        <v>29</v>
      </c>
    </row>
    <row r="1446" spans="1:5" x14ac:dyDescent="0.2">
      <c r="A1446">
        <v>3</v>
      </c>
      <c r="B1446" t="s">
        <v>484</v>
      </c>
      <c r="C1446">
        <v>0</v>
      </c>
      <c r="D1446">
        <v>9</v>
      </c>
      <c r="E1446" s="3">
        <v>29</v>
      </c>
    </row>
    <row r="1447" spans="1:5" x14ac:dyDescent="0.2">
      <c r="A1447">
        <v>4</v>
      </c>
      <c r="B1447" t="s">
        <v>41</v>
      </c>
      <c r="C1447">
        <v>1</v>
      </c>
      <c r="D1447">
        <v>5</v>
      </c>
      <c r="E1447" s="3">
        <v>29</v>
      </c>
    </row>
    <row r="1448" spans="1:5" x14ac:dyDescent="0.2">
      <c r="A1448">
        <v>5</v>
      </c>
      <c r="B1448" t="s">
        <v>454</v>
      </c>
      <c r="C1448">
        <v>0</v>
      </c>
      <c r="D1448">
        <v>3</v>
      </c>
      <c r="E1448" s="3">
        <v>29</v>
      </c>
    </row>
    <row r="1449" spans="1:5" x14ac:dyDescent="0.2">
      <c r="A1449">
        <v>6</v>
      </c>
      <c r="B1449" t="s">
        <v>21</v>
      </c>
      <c r="C1449">
        <v>0</v>
      </c>
      <c r="D1449">
        <v>2</v>
      </c>
      <c r="E1449" s="3">
        <v>29</v>
      </c>
    </row>
    <row r="1450" spans="1:5" x14ac:dyDescent="0.2">
      <c r="A1450">
        <v>7</v>
      </c>
      <c r="B1450" t="s">
        <v>495</v>
      </c>
      <c r="C1450">
        <v>0</v>
      </c>
      <c r="D1450">
        <v>1</v>
      </c>
      <c r="E1450" s="3">
        <v>29</v>
      </c>
    </row>
    <row r="1451" spans="1:5" x14ac:dyDescent="0.2">
      <c r="A1451">
        <v>1</v>
      </c>
      <c r="B1451" t="s">
        <v>461</v>
      </c>
      <c r="C1451">
        <v>2</v>
      </c>
      <c r="D1451">
        <v>16</v>
      </c>
      <c r="E1451" s="3">
        <v>29</v>
      </c>
    </row>
    <row r="1452" spans="1:5" x14ac:dyDescent="0.2">
      <c r="A1452">
        <v>2</v>
      </c>
      <c r="B1452" t="s">
        <v>39</v>
      </c>
      <c r="C1452">
        <v>3</v>
      </c>
      <c r="D1452">
        <v>12</v>
      </c>
      <c r="E1452" s="3">
        <v>29</v>
      </c>
    </row>
    <row r="1453" spans="1:5" x14ac:dyDescent="0.2">
      <c r="A1453">
        <v>3</v>
      </c>
      <c r="B1453" t="s">
        <v>87</v>
      </c>
      <c r="C1453">
        <v>0</v>
      </c>
      <c r="D1453">
        <v>8</v>
      </c>
      <c r="E1453" s="3">
        <v>29</v>
      </c>
    </row>
    <row r="1454" spans="1:5" x14ac:dyDescent="0.2">
      <c r="A1454">
        <v>4</v>
      </c>
      <c r="B1454" t="s">
        <v>66</v>
      </c>
      <c r="C1454">
        <v>0</v>
      </c>
      <c r="D1454">
        <v>4</v>
      </c>
      <c r="E1454" s="3">
        <v>29</v>
      </c>
    </row>
    <row r="1455" spans="1:5" x14ac:dyDescent="0.2">
      <c r="A1455">
        <v>5</v>
      </c>
      <c r="B1455" t="s">
        <v>6</v>
      </c>
      <c r="C1455">
        <v>0</v>
      </c>
      <c r="D1455">
        <v>2</v>
      </c>
      <c r="E1455" s="3">
        <v>29</v>
      </c>
    </row>
    <row r="1456" spans="1:5" x14ac:dyDescent="0.2">
      <c r="A1456">
        <v>6</v>
      </c>
      <c r="B1456" t="s">
        <v>18</v>
      </c>
      <c r="C1456">
        <v>0</v>
      </c>
      <c r="D1456">
        <v>1</v>
      </c>
      <c r="E1456" s="3">
        <v>29</v>
      </c>
    </row>
    <row r="1457" spans="1:5" x14ac:dyDescent="0.2">
      <c r="A1457">
        <v>1</v>
      </c>
      <c r="B1457" t="s">
        <v>490</v>
      </c>
      <c r="C1457">
        <v>2</v>
      </c>
      <c r="D1457">
        <v>16</v>
      </c>
      <c r="E1457" s="3">
        <v>29</v>
      </c>
    </row>
    <row r="1458" spans="1:5" x14ac:dyDescent="0.2">
      <c r="A1458">
        <v>2</v>
      </c>
      <c r="B1458" t="s">
        <v>29</v>
      </c>
      <c r="C1458">
        <v>3</v>
      </c>
      <c r="D1458">
        <v>12</v>
      </c>
      <c r="E1458" s="3">
        <v>29</v>
      </c>
    </row>
    <row r="1459" spans="1:5" x14ac:dyDescent="0.2">
      <c r="A1459">
        <v>3</v>
      </c>
      <c r="B1459" t="s">
        <v>457</v>
      </c>
      <c r="C1459">
        <v>0</v>
      </c>
      <c r="D1459">
        <v>8</v>
      </c>
      <c r="E1459" s="3">
        <v>29</v>
      </c>
    </row>
    <row r="1460" spans="1:5" x14ac:dyDescent="0.2">
      <c r="A1460">
        <v>4</v>
      </c>
      <c r="B1460" t="s">
        <v>485</v>
      </c>
      <c r="C1460">
        <v>0</v>
      </c>
      <c r="D1460">
        <v>4</v>
      </c>
      <c r="E1460" s="3">
        <v>29</v>
      </c>
    </row>
    <row r="1461" spans="1:5" x14ac:dyDescent="0.2">
      <c r="A1461">
        <v>5</v>
      </c>
      <c r="B1461" t="s">
        <v>48</v>
      </c>
      <c r="C1461">
        <v>0</v>
      </c>
      <c r="D1461">
        <v>2</v>
      </c>
      <c r="E1461" s="3">
        <v>29</v>
      </c>
    </row>
    <row r="1462" spans="1:5" x14ac:dyDescent="0.2">
      <c r="A1462">
        <v>6</v>
      </c>
      <c r="B1462" t="s">
        <v>345</v>
      </c>
      <c r="C1462">
        <v>0</v>
      </c>
      <c r="D1462">
        <v>1</v>
      </c>
      <c r="E1462" s="3">
        <v>29</v>
      </c>
    </row>
    <row r="1463" spans="1:5" x14ac:dyDescent="0.2">
      <c r="A1463">
        <v>1</v>
      </c>
      <c r="B1463" t="s">
        <v>40</v>
      </c>
      <c r="C1463">
        <v>3</v>
      </c>
      <c r="D1463">
        <v>16</v>
      </c>
      <c r="E1463" s="3">
        <v>29</v>
      </c>
    </row>
    <row r="1464" spans="1:5" x14ac:dyDescent="0.2">
      <c r="A1464">
        <v>2</v>
      </c>
      <c r="B1464" t="s">
        <v>468</v>
      </c>
      <c r="C1464">
        <v>0</v>
      </c>
      <c r="D1464">
        <v>12</v>
      </c>
      <c r="E1464" s="3">
        <v>29</v>
      </c>
    </row>
    <row r="1465" spans="1:5" x14ac:dyDescent="0.2">
      <c r="A1465">
        <v>3</v>
      </c>
      <c r="B1465" t="s">
        <v>27</v>
      </c>
      <c r="C1465">
        <v>1</v>
      </c>
      <c r="D1465">
        <v>8</v>
      </c>
      <c r="E1465" s="3">
        <v>29</v>
      </c>
    </row>
    <row r="1466" spans="1:5" x14ac:dyDescent="0.2">
      <c r="A1466">
        <v>4</v>
      </c>
      <c r="B1466" t="s">
        <v>68</v>
      </c>
      <c r="C1466">
        <v>1</v>
      </c>
      <c r="D1466">
        <v>4</v>
      </c>
      <c r="E1466" s="3">
        <v>29</v>
      </c>
    </row>
    <row r="1467" spans="1:5" x14ac:dyDescent="0.2">
      <c r="A1467">
        <v>5</v>
      </c>
      <c r="B1467" t="s">
        <v>9</v>
      </c>
      <c r="C1467">
        <v>0</v>
      </c>
      <c r="D1467">
        <v>2</v>
      </c>
      <c r="E1467" s="3">
        <v>29</v>
      </c>
    </row>
    <row r="1468" spans="1:5" x14ac:dyDescent="0.2">
      <c r="A1468">
        <v>6</v>
      </c>
      <c r="B1468" t="s">
        <v>73</v>
      </c>
      <c r="C1468">
        <v>0</v>
      </c>
      <c r="D1468">
        <v>1</v>
      </c>
      <c r="E1468" s="3">
        <v>29</v>
      </c>
    </row>
    <row r="1469" spans="1:5" x14ac:dyDescent="0.2">
      <c r="A1469">
        <v>1</v>
      </c>
      <c r="B1469" t="s">
        <v>473</v>
      </c>
      <c r="C1469">
        <v>5</v>
      </c>
      <c r="D1469">
        <v>17</v>
      </c>
      <c r="E1469" s="3">
        <v>30</v>
      </c>
    </row>
    <row r="1470" spans="1:5" x14ac:dyDescent="0.2">
      <c r="A1470">
        <v>2</v>
      </c>
      <c r="B1470" t="s">
        <v>69</v>
      </c>
      <c r="C1470">
        <v>0</v>
      </c>
      <c r="D1470">
        <v>13</v>
      </c>
      <c r="E1470" s="3">
        <v>30</v>
      </c>
    </row>
    <row r="1471" spans="1:5" x14ac:dyDescent="0.2">
      <c r="A1471">
        <v>3</v>
      </c>
      <c r="B1471" t="s">
        <v>29</v>
      </c>
      <c r="C1471">
        <v>1</v>
      </c>
      <c r="D1471">
        <v>9</v>
      </c>
      <c r="E1471" s="3">
        <v>30</v>
      </c>
    </row>
    <row r="1472" spans="1:5" x14ac:dyDescent="0.2">
      <c r="A1472">
        <v>4</v>
      </c>
      <c r="B1472" t="s">
        <v>39</v>
      </c>
      <c r="C1472">
        <v>0</v>
      </c>
      <c r="D1472">
        <v>5</v>
      </c>
      <c r="E1472" s="3">
        <v>30</v>
      </c>
    </row>
    <row r="1473" spans="1:5" x14ac:dyDescent="0.2">
      <c r="A1473">
        <v>5</v>
      </c>
      <c r="B1473" t="s">
        <v>6</v>
      </c>
      <c r="C1473">
        <v>0</v>
      </c>
      <c r="D1473">
        <v>3</v>
      </c>
      <c r="E1473" s="3">
        <v>30</v>
      </c>
    </row>
    <row r="1474" spans="1:5" x14ac:dyDescent="0.2">
      <c r="A1474">
        <v>6</v>
      </c>
      <c r="B1474" t="s">
        <v>471</v>
      </c>
      <c r="C1474">
        <v>0</v>
      </c>
      <c r="D1474">
        <v>2</v>
      </c>
      <c r="E1474" s="3">
        <v>30</v>
      </c>
    </row>
    <row r="1475" spans="1:5" x14ac:dyDescent="0.2">
      <c r="A1475">
        <v>7</v>
      </c>
      <c r="B1475" t="s">
        <v>12</v>
      </c>
      <c r="C1475">
        <v>0</v>
      </c>
      <c r="D1475">
        <v>1</v>
      </c>
      <c r="E1475" s="3">
        <v>30</v>
      </c>
    </row>
    <row r="1476" spans="1:5" x14ac:dyDescent="0.2">
      <c r="A1476">
        <v>1</v>
      </c>
      <c r="B1476" t="s">
        <v>52</v>
      </c>
      <c r="C1476">
        <v>1</v>
      </c>
      <c r="D1476">
        <v>17</v>
      </c>
      <c r="E1476" s="3">
        <v>30</v>
      </c>
    </row>
    <row r="1477" spans="1:5" x14ac:dyDescent="0.2">
      <c r="A1477">
        <v>2</v>
      </c>
      <c r="B1477" t="s">
        <v>9</v>
      </c>
      <c r="C1477">
        <v>5</v>
      </c>
      <c r="D1477">
        <v>13</v>
      </c>
      <c r="E1477" s="3">
        <v>30</v>
      </c>
    </row>
    <row r="1478" spans="1:5" x14ac:dyDescent="0.2">
      <c r="A1478">
        <v>3</v>
      </c>
      <c r="B1478" t="s">
        <v>88</v>
      </c>
      <c r="C1478">
        <v>0</v>
      </c>
      <c r="D1478">
        <v>9</v>
      </c>
      <c r="E1478" s="3">
        <v>30</v>
      </c>
    </row>
    <row r="1479" spans="1:5" x14ac:dyDescent="0.2">
      <c r="A1479">
        <v>4</v>
      </c>
      <c r="B1479" t="s">
        <v>490</v>
      </c>
      <c r="C1479">
        <v>0</v>
      </c>
      <c r="D1479">
        <v>5</v>
      </c>
      <c r="E1479" s="3">
        <v>30</v>
      </c>
    </row>
    <row r="1480" spans="1:5" x14ac:dyDescent="0.2">
      <c r="A1480">
        <v>5</v>
      </c>
      <c r="B1480" t="s">
        <v>35</v>
      </c>
      <c r="C1480">
        <v>0</v>
      </c>
      <c r="D1480">
        <v>3</v>
      </c>
      <c r="E1480" s="3">
        <v>30</v>
      </c>
    </row>
    <row r="1481" spans="1:5" x14ac:dyDescent="0.2">
      <c r="A1481">
        <v>6</v>
      </c>
      <c r="B1481" t="s">
        <v>59</v>
      </c>
      <c r="C1481">
        <v>0</v>
      </c>
      <c r="D1481">
        <v>2</v>
      </c>
      <c r="E1481" s="3">
        <v>30</v>
      </c>
    </row>
    <row r="1482" spans="1:5" x14ac:dyDescent="0.2">
      <c r="A1482">
        <v>7</v>
      </c>
      <c r="B1482" t="s">
        <v>28</v>
      </c>
      <c r="C1482">
        <v>0</v>
      </c>
      <c r="D1482">
        <v>1</v>
      </c>
      <c r="E1482" s="3">
        <v>30</v>
      </c>
    </row>
    <row r="1483" spans="1:5" x14ac:dyDescent="0.2">
      <c r="A1483">
        <v>1</v>
      </c>
      <c r="B1483" t="s">
        <v>45</v>
      </c>
      <c r="C1483">
        <v>3</v>
      </c>
      <c r="D1483">
        <v>16</v>
      </c>
      <c r="E1483" s="3">
        <v>30</v>
      </c>
    </row>
    <row r="1484" spans="1:5" x14ac:dyDescent="0.2">
      <c r="A1484">
        <v>2</v>
      </c>
      <c r="B1484" t="s">
        <v>27</v>
      </c>
      <c r="C1484">
        <v>0</v>
      </c>
      <c r="D1484">
        <v>12</v>
      </c>
      <c r="E1484" s="3">
        <v>30</v>
      </c>
    </row>
    <row r="1485" spans="1:5" x14ac:dyDescent="0.2">
      <c r="A1485">
        <v>3</v>
      </c>
      <c r="B1485" t="s">
        <v>74</v>
      </c>
      <c r="C1485">
        <v>1</v>
      </c>
      <c r="D1485">
        <v>8</v>
      </c>
      <c r="E1485" s="3">
        <v>30</v>
      </c>
    </row>
    <row r="1486" spans="1:5" x14ac:dyDescent="0.2">
      <c r="A1486">
        <v>4</v>
      </c>
      <c r="B1486" t="s">
        <v>87</v>
      </c>
      <c r="C1486">
        <v>1</v>
      </c>
      <c r="D1486">
        <v>4</v>
      </c>
      <c r="E1486" s="3">
        <v>30</v>
      </c>
    </row>
    <row r="1487" spans="1:5" x14ac:dyDescent="0.2">
      <c r="A1487">
        <v>5</v>
      </c>
      <c r="B1487" t="s">
        <v>485</v>
      </c>
      <c r="C1487">
        <v>0</v>
      </c>
      <c r="D1487">
        <v>2</v>
      </c>
      <c r="E1487" s="3">
        <v>30</v>
      </c>
    </row>
    <row r="1488" spans="1:5" x14ac:dyDescent="0.2">
      <c r="A1488">
        <v>6</v>
      </c>
      <c r="B1488" t="s">
        <v>40</v>
      </c>
      <c r="C1488">
        <v>0</v>
      </c>
      <c r="D1488">
        <v>1</v>
      </c>
      <c r="E1488" s="3">
        <v>30</v>
      </c>
    </row>
    <row r="1489" spans="1:5" x14ac:dyDescent="0.2">
      <c r="A1489">
        <v>1</v>
      </c>
      <c r="B1489" t="s">
        <v>60</v>
      </c>
      <c r="C1489">
        <v>4</v>
      </c>
      <c r="D1489">
        <v>17</v>
      </c>
      <c r="E1489" s="3">
        <v>30</v>
      </c>
    </row>
    <row r="1490" spans="1:5" x14ac:dyDescent="0.2">
      <c r="A1490">
        <v>2</v>
      </c>
      <c r="B1490" t="s">
        <v>345</v>
      </c>
      <c r="C1490">
        <v>0</v>
      </c>
      <c r="D1490">
        <v>13</v>
      </c>
      <c r="E1490" s="3">
        <v>30</v>
      </c>
    </row>
    <row r="1491" spans="1:5" x14ac:dyDescent="0.2">
      <c r="A1491">
        <v>3</v>
      </c>
      <c r="B1491" t="s">
        <v>25</v>
      </c>
      <c r="C1491">
        <v>1</v>
      </c>
      <c r="D1491">
        <v>9</v>
      </c>
      <c r="E1491" s="3">
        <v>30</v>
      </c>
    </row>
    <row r="1492" spans="1:5" x14ac:dyDescent="0.2">
      <c r="A1492">
        <v>4</v>
      </c>
      <c r="B1492" t="s">
        <v>14</v>
      </c>
      <c r="C1492">
        <v>1</v>
      </c>
      <c r="D1492">
        <v>5</v>
      </c>
      <c r="E1492" s="3">
        <v>30</v>
      </c>
    </row>
    <row r="1493" spans="1:5" x14ac:dyDescent="0.2">
      <c r="A1493">
        <v>5</v>
      </c>
      <c r="B1493" t="s">
        <v>18</v>
      </c>
      <c r="C1493">
        <v>0</v>
      </c>
      <c r="D1493">
        <v>3</v>
      </c>
      <c r="E1493" s="3">
        <v>30</v>
      </c>
    </row>
    <row r="1494" spans="1:5" x14ac:dyDescent="0.2">
      <c r="A1494">
        <v>6</v>
      </c>
      <c r="B1494" t="s">
        <v>91</v>
      </c>
      <c r="C1494">
        <v>0</v>
      </c>
      <c r="D1494">
        <v>2</v>
      </c>
      <c r="E1494" s="3">
        <v>30</v>
      </c>
    </row>
    <row r="1495" spans="1:5" x14ac:dyDescent="0.2">
      <c r="A1495">
        <v>7</v>
      </c>
      <c r="B1495" t="s">
        <v>42</v>
      </c>
      <c r="C1495">
        <v>0</v>
      </c>
      <c r="D1495">
        <v>1</v>
      </c>
      <c r="E1495" s="3">
        <v>30</v>
      </c>
    </row>
    <row r="1496" spans="1:5" x14ac:dyDescent="0.2">
      <c r="A1496">
        <v>1</v>
      </c>
      <c r="B1496" t="s">
        <v>46</v>
      </c>
      <c r="C1496">
        <v>2</v>
      </c>
      <c r="D1496">
        <v>16</v>
      </c>
      <c r="E1496" s="3">
        <v>30</v>
      </c>
    </row>
    <row r="1497" spans="1:5" x14ac:dyDescent="0.2">
      <c r="A1497">
        <v>2</v>
      </c>
      <c r="B1497" t="s">
        <v>468</v>
      </c>
      <c r="C1497">
        <v>0</v>
      </c>
      <c r="D1497">
        <v>12</v>
      </c>
      <c r="E1497" s="3">
        <v>30</v>
      </c>
    </row>
    <row r="1498" spans="1:5" x14ac:dyDescent="0.2">
      <c r="A1498">
        <v>3</v>
      </c>
      <c r="B1498" t="s">
        <v>461</v>
      </c>
      <c r="C1498">
        <v>1</v>
      </c>
      <c r="D1498">
        <v>8</v>
      </c>
      <c r="E1498" s="3">
        <v>30</v>
      </c>
    </row>
    <row r="1499" spans="1:5" x14ac:dyDescent="0.2">
      <c r="A1499">
        <v>4</v>
      </c>
      <c r="B1499" t="s">
        <v>68</v>
      </c>
      <c r="C1499">
        <v>2</v>
      </c>
      <c r="D1499">
        <v>4</v>
      </c>
      <c r="E1499" s="3">
        <v>30</v>
      </c>
    </row>
    <row r="1500" spans="1:5" x14ac:dyDescent="0.2">
      <c r="A1500">
        <v>5</v>
      </c>
      <c r="B1500" t="s">
        <v>75</v>
      </c>
      <c r="C1500">
        <v>0</v>
      </c>
      <c r="D1500">
        <v>2</v>
      </c>
      <c r="E1500" s="3">
        <v>30</v>
      </c>
    </row>
    <row r="1501" spans="1:5" x14ac:dyDescent="0.2">
      <c r="A1501">
        <v>6</v>
      </c>
      <c r="B1501" t="s">
        <v>26</v>
      </c>
      <c r="C1501">
        <v>0</v>
      </c>
      <c r="D1501">
        <v>1</v>
      </c>
      <c r="E1501" s="3">
        <v>30</v>
      </c>
    </row>
    <row r="1502" spans="1:5" x14ac:dyDescent="0.2">
      <c r="A1502">
        <v>1</v>
      </c>
      <c r="B1502" t="s">
        <v>76</v>
      </c>
      <c r="C1502">
        <v>2</v>
      </c>
      <c r="D1502">
        <v>16</v>
      </c>
      <c r="E1502" s="3">
        <v>30</v>
      </c>
    </row>
    <row r="1503" spans="1:5" x14ac:dyDescent="0.2">
      <c r="A1503">
        <v>2</v>
      </c>
      <c r="B1503" t="s">
        <v>48</v>
      </c>
      <c r="C1503">
        <v>2</v>
      </c>
      <c r="D1503">
        <v>12</v>
      </c>
      <c r="E1503" s="3">
        <v>30</v>
      </c>
    </row>
    <row r="1504" spans="1:5" x14ac:dyDescent="0.2">
      <c r="A1504">
        <v>3</v>
      </c>
      <c r="B1504" t="s">
        <v>73</v>
      </c>
      <c r="C1504">
        <v>1</v>
      </c>
      <c r="D1504">
        <v>8</v>
      </c>
      <c r="E1504" s="3">
        <v>30</v>
      </c>
    </row>
    <row r="1505" spans="1:5" x14ac:dyDescent="0.2">
      <c r="A1505">
        <v>4</v>
      </c>
      <c r="B1505" t="s">
        <v>19</v>
      </c>
      <c r="C1505">
        <v>0</v>
      </c>
      <c r="D1505">
        <v>4</v>
      </c>
      <c r="E1505" s="3">
        <v>30</v>
      </c>
    </row>
    <row r="1506" spans="1:5" x14ac:dyDescent="0.2">
      <c r="A1506">
        <v>5</v>
      </c>
      <c r="B1506" t="s">
        <v>264</v>
      </c>
      <c r="C1506">
        <v>0</v>
      </c>
      <c r="D1506">
        <v>2</v>
      </c>
      <c r="E1506" s="3">
        <v>30</v>
      </c>
    </row>
    <row r="1507" spans="1:5" x14ac:dyDescent="0.2">
      <c r="A1507">
        <v>6</v>
      </c>
      <c r="B1507" t="s">
        <v>21</v>
      </c>
      <c r="C1507">
        <v>0</v>
      </c>
      <c r="D1507">
        <v>1</v>
      </c>
      <c r="E1507" s="3">
        <v>30</v>
      </c>
    </row>
    <row r="1508" spans="1:5" x14ac:dyDescent="0.2">
      <c r="A1508">
        <v>1</v>
      </c>
      <c r="B1508" t="s">
        <v>41</v>
      </c>
      <c r="C1508">
        <v>3</v>
      </c>
      <c r="D1508">
        <v>16</v>
      </c>
      <c r="E1508" s="3">
        <v>30</v>
      </c>
    </row>
    <row r="1509" spans="1:5" x14ac:dyDescent="0.2">
      <c r="A1509">
        <v>2</v>
      </c>
      <c r="B1509" t="s">
        <v>457</v>
      </c>
      <c r="C1509">
        <v>2</v>
      </c>
      <c r="D1509">
        <v>12</v>
      </c>
      <c r="E1509" s="3">
        <v>30</v>
      </c>
    </row>
    <row r="1510" spans="1:5" x14ac:dyDescent="0.2">
      <c r="A1510">
        <v>3</v>
      </c>
      <c r="B1510" t="s">
        <v>66</v>
      </c>
      <c r="C1510">
        <v>0</v>
      </c>
      <c r="D1510">
        <v>8</v>
      </c>
      <c r="E1510" s="3">
        <v>30</v>
      </c>
    </row>
    <row r="1511" spans="1:5" x14ac:dyDescent="0.2">
      <c r="A1511">
        <v>4</v>
      </c>
      <c r="B1511" t="s">
        <v>452</v>
      </c>
      <c r="C1511">
        <v>0</v>
      </c>
      <c r="D1511">
        <v>4</v>
      </c>
      <c r="E1511" s="3">
        <v>30</v>
      </c>
    </row>
    <row r="1512" spans="1:5" x14ac:dyDescent="0.2">
      <c r="A1512">
        <v>5</v>
      </c>
      <c r="B1512" t="s">
        <v>55</v>
      </c>
      <c r="C1512">
        <v>0</v>
      </c>
      <c r="D1512">
        <v>2</v>
      </c>
      <c r="E1512" s="3">
        <v>30</v>
      </c>
    </row>
    <row r="1513" spans="1:5" x14ac:dyDescent="0.2">
      <c r="A1513">
        <v>6</v>
      </c>
      <c r="B1513" t="s">
        <v>280</v>
      </c>
      <c r="C1513">
        <v>0</v>
      </c>
      <c r="D1513">
        <v>1</v>
      </c>
      <c r="E1513" s="3">
        <v>30</v>
      </c>
    </row>
    <row r="1675" spans="5:5" x14ac:dyDescent="0.2">
      <c r="E1675" s="3">
        <v>38</v>
      </c>
    </row>
    <row r="1676" spans="5:5" x14ac:dyDescent="0.2">
      <c r="E1676" s="3">
        <v>38</v>
      </c>
    </row>
    <row r="1677" spans="5:5" x14ac:dyDescent="0.2">
      <c r="E1677" s="3">
        <v>38</v>
      </c>
    </row>
    <row r="1678" spans="5:5" x14ac:dyDescent="0.2">
      <c r="E1678" s="3">
        <v>38</v>
      </c>
    </row>
    <row r="1679" spans="5:5" x14ac:dyDescent="0.2">
      <c r="E1679" s="3">
        <v>38</v>
      </c>
    </row>
    <row r="1680" spans="5:5" x14ac:dyDescent="0.2">
      <c r="E1680" s="3">
        <v>38</v>
      </c>
    </row>
    <row r="1681" spans="5:5" x14ac:dyDescent="0.2">
      <c r="E1681" s="3">
        <v>38</v>
      </c>
    </row>
    <row r="1682" spans="5:5" x14ac:dyDescent="0.2">
      <c r="E1682" s="3">
        <v>38</v>
      </c>
    </row>
    <row r="1683" spans="5:5" x14ac:dyDescent="0.2">
      <c r="E1683" s="3">
        <v>38</v>
      </c>
    </row>
    <row r="1684" spans="5:5" x14ac:dyDescent="0.2">
      <c r="E1684" s="3">
        <v>38</v>
      </c>
    </row>
    <row r="1685" spans="5:5" x14ac:dyDescent="0.2">
      <c r="E1685" s="3">
        <v>38</v>
      </c>
    </row>
    <row r="1686" spans="5:5" x14ac:dyDescent="0.2">
      <c r="E1686" s="3">
        <v>38</v>
      </c>
    </row>
    <row r="1687" spans="5:5" x14ac:dyDescent="0.2">
      <c r="E1687" s="3">
        <v>38</v>
      </c>
    </row>
    <row r="1688" spans="5:5" x14ac:dyDescent="0.2">
      <c r="E1688" s="3">
        <v>38</v>
      </c>
    </row>
    <row r="1689" spans="5:5" x14ac:dyDescent="0.2">
      <c r="E1689" s="3">
        <v>38</v>
      </c>
    </row>
    <row r="1690" spans="5:5" x14ac:dyDescent="0.2">
      <c r="E1690" s="3">
        <v>38</v>
      </c>
    </row>
    <row r="1691" spans="5:5" x14ac:dyDescent="0.2">
      <c r="E1691" s="3">
        <v>38</v>
      </c>
    </row>
    <row r="1692" spans="5:5" x14ac:dyDescent="0.2">
      <c r="E1692" s="3">
        <v>38</v>
      </c>
    </row>
    <row r="1693" spans="5:5" x14ac:dyDescent="0.2">
      <c r="E1693" s="3">
        <v>38</v>
      </c>
    </row>
    <row r="1694" spans="5:5" x14ac:dyDescent="0.2">
      <c r="E1694" s="3">
        <v>38</v>
      </c>
    </row>
    <row r="1695" spans="5:5" x14ac:dyDescent="0.2">
      <c r="E1695" s="3">
        <v>38</v>
      </c>
    </row>
    <row r="1696" spans="5:5" x14ac:dyDescent="0.2">
      <c r="E1696" s="3">
        <v>38</v>
      </c>
    </row>
    <row r="1697" spans="5:5" x14ac:dyDescent="0.2">
      <c r="E1697" s="3">
        <v>38</v>
      </c>
    </row>
    <row r="1698" spans="5:5" x14ac:dyDescent="0.2">
      <c r="E1698" s="3">
        <v>38</v>
      </c>
    </row>
    <row r="1699" spans="5:5" x14ac:dyDescent="0.2">
      <c r="E1699" s="3">
        <v>38</v>
      </c>
    </row>
    <row r="1700" spans="5:5" x14ac:dyDescent="0.2">
      <c r="E1700" s="3">
        <v>38</v>
      </c>
    </row>
    <row r="1701" spans="5:5" x14ac:dyDescent="0.2">
      <c r="E1701" s="3">
        <v>38</v>
      </c>
    </row>
    <row r="1702" spans="5:5" x14ac:dyDescent="0.2">
      <c r="E1702" s="3">
        <v>38</v>
      </c>
    </row>
    <row r="1703" spans="5:5" x14ac:dyDescent="0.2">
      <c r="E1703" s="3">
        <v>38</v>
      </c>
    </row>
    <row r="1704" spans="5:5" x14ac:dyDescent="0.2">
      <c r="E1704" s="3">
        <v>38</v>
      </c>
    </row>
    <row r="1705" spans="5:5" x14ac:dyDescent="0.2">
      <c r="E1705" s="3">
        <v>38</v>
      </c>
    </row>
    <row r="1706" spans="5:5" x14ac:dyDescent="0.2">
      <c r="E1706" s="3">
        <v>38</v>
      </c>
    </row>
    <row r="1707" spans="5:5" x14ac:dyDescent="0.2">
      <c r="E1707" s="3">
        <v>38</v>
      </c>
    </row>
    <row r="1708" spans="5:5" x14ac:dyDescent="0.2">
      <c r="E1708" s="3">
        <v>38</v>
      </c>
    </row>
    <row r="1709" spans="5:5" x14ac:dyDescent="0.2">
      <c r="E1709" s="3">
        <v>38</v>
      </c>
    </row>
    <row r="1710" spans="5:5" x14ac:dyDescent="0.2">
      <c r="E1710" s="3">
        <v>38</v>
      </c>
    </row>
    <row r="1711" spans="5:5" x14ac:dyDescent="0.2">
      <c r="E1711" s="3">
        <v>38</v>
      </c>
    </row>
    <row r="1712" spans="5:5" x14ac:dyDescent="0.2">
      <c r="E1712" s="3">
        <v>38</v>
      </c>
    </row>
    <row r="1713" spans="5:5" x14ac:dyDescent="0.2">
      <c r="E1713" s="3">
        <v>38</v>
      </c>
    </row>
    <row r="1714" spans="5:5" x14ac:dyDescent="0.2">
      <c r="E1714" s="3">
        <v>38</v>
      </c>
    </row>
    <row r="1715" spans="5:5" x14ac:dyDescent="0.2">
      <c r="E1715" s="3">
        <v>38</v>
      </c>
    </row>
    <row r="1716" spans="5:5" x14ac:dyDescent="0.2">
      <c r="E1716" s="3">
        <v>38</v>
      </c>
    </row>
    <row r="1717" spans="5:5" x14ac:dyDescent="0.2">
      <c r="E1717" s="3">
        <v>38</v>
      </c>
    </row>
    <row r="1718" spans="5:5" x14ac:dyDescent="0.2">
      <c r="E1718" s="3">
        <v>38</v>
      </c>
    </row>
    <row r="1719" spans="5:5" x14ac:dyDescent="0.2">
      <c r="E1719" s="3">
        <v>38</v>
      </c>
    </row>
    <row r="1720" spans="5:5" x14ac:dyDescent="0.2">
      <c r="E1720" s="3">
        <v>38</v>
      </c>
    </row>
    <row r="1721" spans="5:5" x14ac:dyDescent="0.2">
      <c r="E1721" s="3">
        <v>38</v>
      </c>
    </row>
    <row r="1722" spans="5:5" x14ac:dyDescent="0.2">
      <c r="E1722" s="3">
        <v>38</v>
      </c>
    </row>
    <row r="1723" spans="5:5" x14ac:dyDescent="0.2">
      <c r="E1723" s="3">
        <v>38</v>
      </c>
    </row>
    <row r="1724" spans="5:5" x14ac:dyDescent="0.2">
      <c r="E1724" s="3">
        <v>38</v>
      </c>
    </row>
    <row r="1725" spans="5:5" x14ac:dyDescent="0.2">
      <c r="E1725" s="3">
        <v>38</v>
      </c>
    </row>
    <row r="1726" spans="5:5" x14ac:dyDescent="0.2">
      <c r="E1726" s="3">
        <v>38</v>
      </c>
    </row>
    <row r="1727" spans="5:5" x14ac:dyDescent="0.2">
      <c r="E1727" s="3">
        <v>38</v>
      </c>
    </row>
    <row r="1728" spans="5:5" x14ac:dyDescent="0.2">
      <c r="E1728" s="3">
        <v>38</v>
      </c>
    </row>
    <row r="1729" spans="5:5" x14ac:dyDescent="0.2">
      <c r="E1729" s="3">
        <v>38</v>
      </c>
    </row>
    <row r="1730" spans="5:5" x14ac:dyDescent="0.2">
      <c r="E1730" s="3">
        <v>38</v>
      </c>
    </row>
    <row r="1731" spans="5:5" x14ac:dyDescent="0.2">
      <c r="E1731" s="3">
        <v>38</v>
      </c>
    </row>
    <row r="1732" spans="5:5" x14ac:dyDescent="0.2">
      <c r="E1732" s="3">
        <v>38</v>
      </c>
    </row>
    <row r="1733" spans="5:5" x14ac:dyDescent="0.2">
      <c r="E1733" s="3">
        <v>38</v>
      </c>
    </row>
    <row r="1734" spans="5:5" x14ac:dyDescent="0.2">
      <c r="E1734" s="3">
        <v>38</v>
      </c>
    </row>
    <row r="1735" spans="5:5" x14ac:dyDescent="0.2">
      <c r="E1735" s="3">
        <v>38</v>
      </c>
    </row>
    <row r="1736" spans="5:5" x14ac:dyDescent="0.2">
      <c r="E1736" s="3">
        <v>38</v>
      </c>
    </row>
    <row r="1737" spans="5:5" x14ac:dyDescent="0.2">
      <c r="E1737" s="3">
        <v>38</v>
      </c>
    </row>
    <row r="1738" spans="5:5" x14ac:dyDescent="0.2">
      <c r="E1738" s="3">
        <v>38</v>
      </c>
    </row>
    <row r="1739" spans="5:5" x14ac:dyDescent="0.2">
      <c r="E1739" s="3">
        <v>38</v>
      </c>
    </row>
    <row r="1740" spans="5:5" x14ac:dyDescent="0.2">
      <c r="E1740" s="3">
        <v>38</v>
      </c>
    </row>
    <row r="1741" spans="5:5" x14ac:dyDescent="0.2">
      <c r="E1741" s="3">
        <v>38</v>
      </c>
    </row>
    <row r="1742" spans="5:5" x14ac:dyDescent="0.2">
      <c r="E1742" s="3">
        <v>38</v>
      </c>
    </row>
    <row r="1743" spans="5:5" x14ac:dyDescent="0.2">
      <c r="E1743" s="3">
        <v>38</v>
      </c>
    </row>
    <row r="1744" spans="5:5" x14ac:dyDescent="0.2">
      <c r="E1744" s="3">
        <v>38</v>
      </c>
    </row>
    <row r="1745" spans="5:5" x14ac:dyDescent="0.2">
      <c r="E1745" s="3">
        <v>38</v>
      </c>
    </row>
    <row r="1746" spans="5:5" x14ac:dyDescent="0.2">
      <c r="E1746" s="3">
        <v>38</v>
      </c>
    </row>
    <row r="1747" spans="5:5" x14ac:dyDescent="0.2">
      <c r="E1747" s="3">
        <v>38</v>
      </c>
    </row>
    <row r="1748" spans="5:5" x14ac:dyDescent="0.2">
      <c r="E1748" s="3">
        <v>38</v>
      </c>
    </row>
    <row r="1749" spans="5:5" x14ac:dyDescent="0.2">
      <c r="E1749" s="3">
        <v>38</v>
      </c>
    </row>
    <row r="1750" spans="5:5" x14ac:dyDescent="0.2">
      <c r="E1750" s="3">
        <v>38</v>
      </c>
    </row>
    <row r="1751" spans="5:5" x14ac:dyDescent="0.2">
      <c r="E1751" s="3">
        <v>38</v>
      </c>
    </row>
    <row r="1752" spans="5:5" x14ac:dyDescent="0.2">
      <c r="E1752" s="3">
        <v>38</v>
      </c>
    </row>
    <row r="1753" spans="5:5" x14ac:dyDescent="0.2">
      <c r="E1753" s="3">
        <v>38</v>
      </c>
    </row>
    <row r="1754" spans="5:5" x14ac:dyDescent="0.2">
      <c r="E1754" s="3">
        <v>38</v>
      </c>
    </row>
    <row r="1755" spans="5:5" x14ac:dyDescent="0.2">
      <c r="E1755" s="3">
        <v>38</v>
      </c>
    </row>
    <row r="1756" spans="5:5" x14ac:dyDescent="0.2">
      <c r="E1756" s="3">
        <v>38</v>
      </c>
    </row>
    <row r="1757" spans="5:5" x14ac:dyDescent="0.2">
      <c r="E1757" s="3">
        <v>38</v>
      </c>
    </row>
    <row r="1758" spans="5:5" x14ac:dyDescent="0.2">
      <c r="E1758" s="3">
        <v>38</v>
      </c>
    </row>
    <row r="1759" spans="5:5" x14ac:dyDescent="0.2">
      <c r="E1759" s="3">
        <v>38</v>
      </c>
    </row>
    <row r="1760" spans="5:5" x14ac:dyDescent="0.2">
      <c r="E1760" s="3">
        <v>38</v>
      </c>
    </row>
    <row r="1761" spans="5:5" x14ac:dyDescent="0.2">
      <c r="E1761" s="3">
        <v>38</v>
      </c>
    </row>
    <row r="1762" spans="5:5" x14ac:dyDescent="0.2">
      <c r="E1762" s="3">
        <v>38</v>
      </c>
    </row>
    <row r="1763" spans="5:5" x14ac:dyDescent="0.2">
      <c r="E1763" s="3">
        <v>38</v>
      </c>
    </row>
    <row r="1764" spans="5:5" x14ac:dyDescent="0.2">
      <c r="E1764" s="3">
        <v>38</v>
      </c>
    </row>
    <row r="1765" spans="5:5" x14ac:dyDescent="0.2">
      <c r="E1765" s="3">
        <v>38</v>
      </c>
    </row>
    <row r="1766" spans="5:5" x14ac:dyDescent="0.2">
      <c r="E1766" s="3">
        <v>38</v>
      </c>
    </row>
    <row r="1767" spans="5:5" x14ac:dyDescent="0.2">
      <c r="E1767" s="3">
        <v>38</v>
      </c>
    </row>
    <row r="1768" spans="5:5" x14ac:dyDescent="0.2">
      <c r="E1768" s="3">
        <v>38</v>
      </c>
    </row>
    <row r="1769" spans="5:5" x14ac:dyDescent="0.2">
      <c r="E1769" s="3">
        <v>38</v>
      </c>
    </row>
    <row r="1770" spans="5:5" x14ac:dyDescent="0.2">
      <c r="E1770" s="3">
        <v>38</v>
      </c>
    </row>
    <row r="1771" spans="5:5" x14ac:dyDescent="0.2">
      <c r="E1771" s="3">
        <v>38</v>
      </c>
    </row>
    <row r="1772" spans="5:5" x14ac:dyDescent="0.2">
      <c r="E1772" s="3">
        <v>38</v>
      </c>
    </row>
    <row r="1773" spans="5:5" x14ac:dyDescent="0.2">
      <c r="E1773" s="3">
        <v>38</v>
      </c>
    </row>
    <row r="1774" spans="5:5" x14ac:dyDescent="0.2">
      <c r="E1774" s="3">
        <v>38</v>
      </c>
    </row>
    <row r="1775" spans="5:5" x14ac:dyDescent="0.2">
      <c r="E1775" s="3">
        <v>38</v>
      </c>
    </row>
    <row r="1776" spans="5:5" x14ac:dyDescent="0.2">
      <c r="E1776" s="3">
        <v>38</v>
      </c>
    </row>
    <row r="1777" spans="5:5" x14ac:dyDescent="0.2">
      <c r="E1777" s="3">
        <v>38</v>
      </c>
    </row>
    <row r="1778" spans="5:5" x14ac:dyDescent="0.2">
      <c r="E1778" s="3">
        <v>38</v>
      </c>
    </row>
    <row r="1779" spans="5:5" x14ac:dyDescent="0.2">
      <c r="E1779" s="3">
        <v>38</v>
      </c>
    </row>
    <row r="1780" spans="5:5" x14ac:dyDescent="0.2">
      <c r="E1780" s="3">
        <v>38</v>
      </c>
    </row>
    <row r="1781" spans="5:5" x14ac:dyDescent="0.2">
      <c r="E1781" s="3">
        <v>38</v>
      </c>
    </row>
    <row r="1782" spans="5:5" x14ac:dyDescent="0.2">
      <c r="E1782" s="3">
        <v>38</v>
      </c>
    </row>
    <row r="1783" spans="5:5" x14ac:dyDescent="0.2">
      <c r="E1783" s="3">
        <v>38</v>
      </c>
    </row>
    <row r="1784" spans="5:5" x14ac:dyDescent="0.2">
      <c r="E1784" s="3">
        <v>38</v>
      </c>
    </row>
    <row r="1785" spans="5:5" x14ac:dyDescent="0.2">
      <c r="E1785" s="3">
        <v>38</v>
      </c>
    </row>
    <row r="1786" spans="5:5" x14ac:dyDescent="0.2">
      <c r="E1786" s="3">
        <v>38</v>
      </c>
    </row>
    <row r="1787" spans="5:5" x14ac:dyDescent="0.2">
      <c r="E1787" s="3">
        <v>38</v>
      </c>
    </row>
    <row r="1788" spans="5:5" x14ac:dyDescent="0.2">
      <c r="E1788" s="3">
        <v>38</v>
      </c>
    </row>
    <row r="1789" spans="5:5" x14ac:dyDescent="0.2">
      <c r="E1789" s="3">
        <v>38</v>
      </c>
    </row>
    <row r="1790" spans="5:5" x14ac:dyDescent="0.2">
      <c r="E1790" s="3">
        <v>38</v>
      </c>
    </row>
    <row r="1791" spans="5:5" x14ac:dyDescent="0.2">
      <c r="E1791" s="3">
        <v>38</v>
      </c>
    </row>
    <row r="1792" spans="5:5" x14ac:dyDescent="0.2">
      <c r="E1792" s="3">
        <v>38</v>
      </c>
    </row>
    <row r="1793" spans="5:5" x14ac:dyDescent="0.2">
      <c r="E1793" s="3">
        <v>38</v>
      </c>
    </row>
    <row r="1794" spans="5:5" x14ac:dyDescent="0.2">
      <c r="E1794" s="3">
        <v>38</v>
      </c>
    </row>
    <row r="1795" spans="5:5" x14ac:dyDescent="0.2">
      <c r="E1795" s="3">
        <v>38</v>
      </c>
    </row>
    <row r="1796" spans="5:5" x14ac:dyDescent="0.2">
      <c r="E1796" s="3">
        <v>38</v>
      </c>
    </row>
    <row r="1797" spans="5:5" x14ac:dyDescent="0.2">
      <c r="E1797" s="3">
        <v>38</v>
      </c>
    </row>
    <row r="1798" spans="5:5" x14ac:dyDescent="0.2">
      <c r="E1798" s="3">
        <v>38</v>
      </c>
    </row>
    <row r="1799" spans="5:5" x14ac:dyDescent="0.2">
      <c r="E1799" s="3">
        <v>38</v>
      </c>
    </row>
    <row r="1800" spans="5:5" x14ac:dyDescent="0.2">
      <c r="E1800" s="3">
        <v>38</v>
      </c>
    </row>
    <row r="1801" spans="5:5" x14ac:dyDescent="0.2">
      <c r="E1801" s="3">
        <v>38</v>
      </c>
    </row>
    <row r="1802" spans="5:5" x14ac:dyDescent="0.2">
      <c r="E1802" s="3">
        <v>38</v>
      </c>
    </row>
    <row r="1803" spans="5:5" x14ac:dyDescent="0.2">
      <c r="E1803" s="3">
        <v>38</v>
      </c>
    </row>
    <row r="1804" spans="5:5" x14ac:dyDescent="0.2">
      <c r="E1804" s="3">
        <v>38</v>
      </c>
    </row>
    <row r="1805" spans="5:5" x14ac:dyDescent="0.2">
      <c r="E1805" s="3">
        <v>38</v>
      </c>
    </row>
    <row r="1806" spans="5:5" x14ac:dyDescent="0.2">
      <c r="E1806" s="3">
        <v>38</v>
      </c>
    </row>
    <row r="1807" spans="5:5" x14ac:dyDescent="0.2">
      <c r="E1807" s="3">
        <v>38</v>
      </c>
    </row>
    <row r="1808" spans="5:5" x14ac:dyDescent="0.2">
      <c r="E1808" s="3">
        <v>38</v>
      </c>
    </row>
    <row r="1809" spans="5:5" x14ac:dyDescent="0.2">
      <c r="E1809" s="3">
        <v>38</v>
      </c>
    </row>
    <row r="1810" spans="5:5" x14ac:dyDescent="0.2">
      <c r="E1810" s="3">
        <v>38</v>
      </c>
    </row>
    <row r="1811" spans="5:5" x14ac:dyDescent="0.2">
      <c r="E1811" s="3">
        <v>38</v>
      </c>
    </row>
    <row r="1812" spans="5:5" x14ac:dyDescent="0.2">
      <c r="E1812" s="3">
        <v>38</v>
      </c>
    </row>
    <row r="1813" spans="5:5" x14ac:dyDescent="0.2">
      <c r="E1813" s="3">
        <v>38</v>
      </c>
    </row>
    <row r="1814" spans="5:5" x14ac:dyDescent="0.2">
      <c r="E1814" s="3">
        <v>38</v>
      </c>
    </row>
    <row r="1815" spans="5:5" x14ac:dyDescent="0.2">
      <c r="E1815" s="3">
        <v>38</v>
      </c>
    </row>
    <row r="1816" spans="5:5" x14ac:dyDescent="0.2">
      <c r="E1816" s="3">
        <v>38</v>
      </c>
    </row>
    <row r="1817" spans="5:5" x14ac:dyDescent="0.2">
      <c r="E1817" s="3">
        <v>38</v>
      </c>
    </row>
    <row r="1818" spans="5:5" x14ac:dyDescent="0.2">
      <c r="E1818" s="3">
        <v>38</v>
      </c>
    </row>
    <row r="1819" spans="5:5" x14ac:dyDescent="0.2">
      <c r="E1819" s="3">
        <v>38</v>
      </c>
    </row>
    <row r="1820" spans="5:5" x14ac:dyDescent="0.2">
      <c r="E1820" s="3">
        <v>38</v>
      </c>
    </row>
    <row r="1821" spans="5:5" x14ac:dyDescent="0.2">
      <c r="E1821" s="3">
        <v>38</v>
      </c>
    </row>
    <row r="1822" spans="5:5" x14ac:dyDescent="0.2">
      <c r="E1822" s="3">
        <v>38</v>
      </c>
    </row>
    <row r="1823" spans="5:5" x14ac:dyDescent="0.2">
      <c r="E1823" s="3">
        <v>38</v>
      </c>
    </row>
    <row r="1824" spans="5:5" x14ac:dyDescent="0.2">
      <c r="E1824" s="3">
        <v>38</v>
      </c>
    </row>
    <row r="1825" spans="5:5" x14ac:dyDescent="0.2">
      <c r="E1825" s="3">
        <v>38</v>
      </c>
    </row>
    <row r="1826" spans="5:5" x14ac:dyDescent="0.2">
      <c r="E1826" s="3">
        <v>38</v>
      </c>
    </row>
    <row r="1827" spans="5:5" x14ac:dyDescent="0.2">
      <c r="E1827" s="3">
        <v>38</v>
      </c>
    </row>
    <row r="1828" spans="5:5" x14ac:dyDescent="0.2">
      <c r="E1828" s="3">
        <v>38</v>
      </c>
    </row>
    <row r="1829" spans="5:5" x14ac:dyDescent="0.2">
      <c r="E1829" s="3">
        <v>38</v>
      </c>
    </row>
    <row r="1830" spans="5:5" x14ac:dyDescent="0.2">
      <c r="E1830" s="3">
        <v>38</v>
      </c>
    </row>
    <row r="1831" spans="5:5" x14ac:dyDescent="0.2">
      <c r="E1831" s="3">
        <v>38</v>
      </c>
    </row>
    <row r="1832" spans="5:5" x14ac:dyDescent="0.2">
      <c r="E1832" s="3">
        <v>38</v>
      </c>
    </row>
    <row r="1833" spans="5:5" x14ac:dyDescent="0.2">
      <c r="E1833" s="3">
        <v>38</v>
      </c>
    </row>
    <row r="1834" spans="5:5" x14ac:dyDescent="0.2">
      <c r="E1834" s="3">
        <v>38</v>
      </c>
    </row>
    <row r="1835" spans="5:5" x14ac:dyDescent="0.2">
      <c r="E1835" s="3">
        <v>38</v>
      </c>
    </row>
    <row r="1836" spans="5:5" x14ac:dyDescent="0.2">
      <c r="E1836" s="3">
        <v>38</v>
      </c>
    </row>
    <row r="1837" spans="5:5" x14ac:dyDescent="0.2">
      <c r="E1837" s="3">
        <v>38</v>
      </c>
    </row>
    <row r="1838" spans="5:5" x14ac:dyDescent="0.2">
      <c r="E1838" s="3">
        <v>38</v>
      </c>
    </row>
    <row r="1839" spans="5:5" x14ac:dyDescent="0.2">
      <c r="E1839" s="3">
        <v>38</v>
      </c>
    </row>
    <row r="1840" spans="5:5" x14ac:dyDescent="0.2">
      <c r="E1840" s="3">
        <v>38</v>
      </c>
    </row>
    <row r="1841" spans="5:5" x14ac:dyDescent="0.2">
      <c r="E1841" s="3">
        <v>38</v>
      </c>
    </row>
    <row r="1842" spans="5:5" x14ac:dyDescent="0.2">
      <c r="E1842" s="3">
        <v>38</v>
      </c>
    </row>
    <row r="1843" spans="5:5" x14ac:dyDescent="0.2">
      <c r="E1843" s="3">
        <v>38</v>
      </c>
    </row>
    <row r="1844" spans="5:5" x14ac:dyDescent="0.2">
      <c r="E1844" s="3">
        <v>38</v>
      </c>
    </row>
    <row r="1845" spans="5:5" x14ac:dyDescent="0.2">
      <c r="E1845" s="3">
        <v>38</v>
      </c>
    </row>
    <row r="1846" spans="5:5" x14ac:dyDescent="0.2">
      <c r="E1846" s="3">
        <v>38</v>
      </c>
    </row>
    <row r="1847" spans="5:5" x14ac:dyDescent="0.2">
      <c r="E1847" s="3">
        <v>38</v>
      </c>
    </row>
    <row r="1848" spans="5:5" x14ac:dyDescent="0.2">
      <c r="E1848" s="3">
        <v>38</v>
      </c>
    </row>
    <row r="1849" spans="5:5" x14ac:dyDescent="0.2">
      <c r="E1849" s="3">
        <v>38</v>
      </c>
    </row>
    <row r="1850" spans="5:5" x14ac:dyDescent="0.2">
      <c r="E1850" s="3">
        <v>38</v>
      </c>
    </row>
    <row r="1851" spans="5:5" x14ac:dyDescent="0.2">
      <c r="E1851" s="3">
        <v>38</v>
      </c>
    </row>
    <row r="1852" spans="5:5" x14ac:dyDescent="0.2">
      <c r="E1852" s="3">
        <v>38</v>
      </c>
    </row>
    <row r="1853" spans="5:5" x14ac:dyDescent="0.2">
      <c r="E1853" s="3">
        <v>38</v>
      </c>
    </row>
    <row r="1854" spans="5:5" x14ac:dyDescent="0.2">
      <c r="E1854" s="3">
        <v>38</v>
      </c>
    </row>
    <row r="1855" spans="5:5" x14ac:dyDescent="0.2">
      <c r="E1855" s="3">
        <v>38</v>
      </c>
    </row>
    <row r="1856" spans="5:5" x14ac:dyDescent="0.2">
      <c r="E1856" s="3">
        <v>38</v>
      </c>
    </row>
    <row r="1857" spans="5:5" x14ac:dyDescent="0.2">
      <c r="E1857" s="3">
        <v>38</v>
      </c>
    </row>
    <row r="1858" spans="5:5" x14ac:dyDescent="0.2">
      <c r="E1858" s="3">
        <v>38</v>
      </c>
    </row>
    <row r="1859" spans="5:5" x14ac:dyDescent="0.2">
      <c r="E1859" s="3">
        <v>38</v>
      </c>
    </row>
    <row r="1860" spans="5:5" x14ac:dyDescent="0.2">
      <c r="E1860" s="3">
        <v>38</v>
      </c>
    </row>
    <row r="1861" spans="5:5" x14ac:dyDescent="0.2">
      <c r="E1861" s="3">
        <v>38</v>
      </c>
    </row>
    <row r="1862" spans="5:5" x14ac:dyDescent="0.2">
      <c r="E1862" s="3">
        <v>38</v>
      </c>
    </row>
    <row r="1863" spans="5:5" x14ac:dyDescent="0.2">
      <c r="E1863" s="3">
        <v>38</v>
      </c>
    </row>
    <row r="1864" spans="5:5" x14ac:dyDescent="0.2">
      <c r="E1864" s="3">
        <v>38</v>
      </c>
    </row>
    <row r="1865" spans="5:5" x14ac:dyDescent="0.2">
      <c r="E1865" s="3">
        <v>38</v>
      </c>
    </row>
    <row r="1866" spans="5:5" x14ac:dyDescent="0.2">
      <c r="E1866" s="3">
        <v>38</v>
      </c>
    </row>
    <row r="1867" spans="5:5" x14ac:dyDescent="0.2">
      <c r="E1867" s="3">
        <v>38</v>
      </c>
    </row>
    <row r="1868" spans="5:5" x14ac:dyDescent="0.2">
      <c r="E1868" s="3">
        <v>38</v>
      </c>
    </row>
    <row r="1869" spans="5:5" x14ac:dyDescent="0.2">
      <c r="E1869" s="3">
        <v>38</v>
      </c>
    </row>
    <row r="1870" spans="5:5" x14ac:dyDescent="0.2">
      <c r="E1870" s="3">
        <v>38</v>
      </c>
    </row>
    <row r="1871" spans="5:5" x14ac:dyDescent="0.2">
      <c r="E1871" s="3">
        <v>38</v>
      </c>
    </row>
    <row r="1872" spans="5:5" x14ac:dyDescent="0.2">
      <c r="E1872" s="3">
        <v>38</v>
      </c>
    </row>
    <row r="1873" spans="5:5" x14ac:dyDescent="0.2">
      <c r="E1873" s="3">
        <v>38</v>
      </c>
    </row>
    <row r="1874" spans="5:5" x14ac:dyDescent="0.2">
      <c r="E1874" s="3">
        <v>38</v>
      </c>
    </row>
    <row r="1875" spans="5:5" x14ac:dyDescent="0.2">
      <c r="E1875" s="3">
        <v>38</v>
      </c>
    </row>
    <row r="1876" spans="5:5" x14ac:dyDescent="0.2">
      <c r="E1876" s="3">
        <v>38</v>
      </c>
    </row>
    <row r="1877" spans="5:5" x14ac:dyDescent="0.2">
      <c r="E1877" s="3">
        <v>38</v>
      </c>
    </row>
    <row r="1878" spans="5:5" x14ac:dyDescent="0.2">
      <c r="E1878" s="3">
        <v>38</v>
      </c>
    </row>
    <row r="1879" spans="5:5" x14ac:dyDescent="0.2">
      <c r="E1879" s="3">
        <v>38</v>
      </c>
    </row>
    <row r="1880" spans="5:5" x14ac:dyDescent="0.2">
      <c r="E1880" s="3">
        <v>38</v>
      </c>
    </row>
    <row r="1881" spans="5:5" x14ac:dyDescent="0.2">
      <c r="E1881" s="3">
        <v>38</v>
      </c>
    </row>
    <row r="1882" spans="5:5" x14ac:dyDescent="0.2">
      <c r="E1882" s="3">
        <v>38</v>
      </c>
    </row>
    <row r="1883" spans="5:5" x14ac:dyDescent="0.2">
      <c r="E1883" s="3">
        <v>38</v>
      </c>
    </row>
    <row r="1884" spans="5:5" x14ac:dyDescent="0.2">
      <c r="E1884" s="3">
        <v>38</v>
      </c>
    </row>
    <row r="1885" spans="5:5" x14ac:dyDescent="0.2">
      <c r="E1885" s="3">
        <v>38</v>
      </c>
    </row>
    <row r="1886" spans="5:5" x14ac:dyDescent="0.2">
      <c r="E1886" s="3">
        <v>38</v>
      </c>
    </row>
    <row r="1887" spans="5:5" x14ac:dyDescent="0.2">
      <c r="E1887" s="3">
        <v>38</v>
      </c>
    </row>
    <row r="1888" spans="5:5" x14ac:dyDescent="0.2">
      <c r="E1888" s="3">
        <v>38</v>
      </c>
    </row>
    <row r="1889" spans="5:5" x14ac:dyDescent="0.2">
      <c r="E1889" s="3">
        <v>38</v>
      </c>
    </row>
    <row r="1890" spans="5:5" x14ac:dyDescent="0.2">
      <c r="E1890" s="3">
        <v>38</v>
      </c>
    </row>
    <row r="1891" spans="5:5" x14ac:dyDescent="0.2">
      <c r="E1891" s="3">
        <v>38</v>
      </c>
    </row>
    <row r="1892" spans="5:5" x14ac:dyDescent="0.2">
      <c r="E1892" s="3">
        <v>38</v>
      </c>
    </row>
    <row r="1893" spans="5:5" x14ac:dyDescent="0.2">
      <c r="E1893" s="3">
        <v>38</v>
      </c>
    </row>
    <row r="1894" spans="5:5" x14ac:dyDescent="0.2">
      <c r="E1894" s="3">
        <v>38</v>
      </c>
    </row>
    <row r="1895" spans="5:5" x14ac:dyDescent="0.2">
      <c r="E1895" s="3">
        <v>38</v>
      </c>
    </row>
    <row r="1896" spans="5:5" x14ac:dyDescent="0.2">
      <c r="E1896" s="3">
        <v>38</v>
      </c>
    </row>
    <row r="1897" spans="5:5" x14ac:dyDescent="0.2">
      <c r="E1897" s="3">
        <v>38</v>
      </c>
    </row>
    <row r="1898" spans="5:5" x14ac:dyDescent="0.2">
      <c r="E1898" s="3">
        <v>38</v>
      </c>
    </row>
    <row r="1899" spans="5:5" x14ac:dyDescent="0.2">
      <c r="E1899" s="3">
        <v>38</v>
      </c>
    </row>
    <row r="1900" spans="5:5" x14ac:dyDescent="0.2">
      <c r="E1900" s="3">
        <v>38</v>
      </c>
    </row>
    <row r="1901" spans="5:5" x14ac:dyDescent="0.2">
      <c r="E1901" s="3">
        <v>38</v>
      </c>
    </row>
    <row r="1902" spans="5:5" x14ac:dyDescent="0.2">
      <c r="E1902" s="3">
        <v>38</v>
      </c>
    </row>
    <row r="1903" spans="5:5" x14ac:dyDescent="0.2">
      <c r="E1903" s="3">
        <v>38</v>
      </c>
    </row>
    <row r="1904" spans="5:5" x14ac:dyDescent="0.2">
      <c r="E1904" s="3">
        <v>38</v>
      </c>
    </row>
    <row r="1905" spans="5:5" x14ac:dyDescent="0.2">
      <c r="E1905" s="3">
        <v>38</v>
      </c>
    </row>
    <row r="1906" spans="5:5" x14ac:dyDescent="0.2">
      <c r="E1906" s="3">
        <v>38</v>
      </c>
    </row>
    <row r="1907" spans="5:5" x14ac:dyDescent="0.2">
      <c r="E1907" s="3">
        <v>38</v>
      </c>
    </row>
    <row r="1908" spans="5:5" x14ac:dyDescent="0.2">
      <c r="E1908" s="3">
        <v>38</v>
      </c>
    </row>
    <row r="1909" spans="5:5" x14ac:dyDescent="0.2">
      <c r="E1909" s="3">
        <v>38</v>
      </c>
    </row>
    <row r="1910" spans="5:5" x14ac:dyDescent="0.2">
      <c r="E1910" s="3">
        <v>38</v>
      </c>
    </row>
    <row r="1911" spans="5:5" x14ac:dyDescent="0.2">
      <c r="E1911" s="3">
        <v>38</v>
      </c>
    </row>
    <row r="1912" spans="5:5" x14ac:dyDescent="0.2">
      <c r="E1912" s="3">
        <v>38</v>
      </c>
    </row>
    <row r="1913" spans="5:5" x14ac:dyDescent="0.2">
      <c r="E1913" s="3">
        <v>38</v>
      </c>
    </row>
    <row r="1914" spans="5:5" x14ac:dyDescent="0.2">
      <c r="E1914" s="3">
        <v>38</v>
      </c>
    </row>
    <row r="1915" spans="5:5" x14ac:dyDescent="0.2">
      <c r="E1915" s="3">
        <v>38</v>
      </c>
    </row>
    <row r="1916" spans="5:5" x14ac:dyDescent="0.2">
      <c r="E1916" s="3">
        <v>38</v>
      </c>
    </row>
    <row r="1917" spans="5:5" x14ac:dyDescent="0.2">
      <c r="E1917" s="3">
        <v>38</v>
      </c>
    </row>
    <row r="1918" spans="5:5" x14ac:dyDescent="0.2">
      <c r="E1918" s="3">
        <v>38</v>
      </c>
    </row>
    <row r="1919" spans="5:5" x14ac:dyDescent="0.2">
      <c r="E1919" s="3">
        <v>38</v>
      </c>
    </row>
    <row r="1920" spans="5:5" x14ac:dyDescent="0.2">
      <c r="E1920" s="3">
        <v>38</v>
      </c>
    </row>
    <row r="1921" spans="5:5" x14ac:dyDescent="0.2">
      <c r="E1921" s="3">
        <v>38</v>
      </c>
    </row>
    <row r="1922" spans="5:5" x14ac:dyDescent="0.2">
      <c r="E1922" s="3">
        <v>38</v>
      </c>
    </row>
    <row r="1923" spans="5:5" x14ac:dyDescent="0.2">
      <c r="E1923" s="3">
        <v>38</v>
      </c>
    </row>
    <row r="1924" spans="5:5" x14ac:dyDescent="0.2">
      <c r="E1924" s="3">
        <v>38</v>
      </c>
    </row>
    <row r="1925" spans="5:5" x14ac:dyDescent="0.2">
      <c r="E1925" s="3">
        <v>38</v>
      </c>
    </row>
    <row r="1926" spans="5:5" x14ac:dyDescent="0.2">
      <c r="E1926" s="3">
        <v>38</v>
      </c>
    </row>
    <row r="1927" spans="5:5" x14ac:dyDescent="0.2">
      <c r="E1927" s="3">
        <v>38</v>
      </c>
    </row>
    <row r="1928" spans="5:5" x14ac:dyDescent="0.2">
      <c r="E1928" s="3">
        <v>38</v>
      </c>
    </row>
    <row r="1929" spans="5:5" x14ac:dyDescent="0.2">
      <c r="E1929" s="3">
        <v>38</v>
      </c>
    </row>
    <row r="1930" spans="5:5" x14ac:dyDescent="0.2">
      <c r="E1930" s="3">
        <v>38</v>
      </c>
    </row>
    <row r="1931" spans="5:5" x14ac:dyDescent="0.2">
      <c r="E1931" s="3">
        <v>38</v>
      </c>
    </row>
    <row r="1932" spans="5:5" x14ac:dyDescent="0.2">
      <c r="E1932" s="3">
        <v>38</v>
      </c>
    </row>
    <row r="1933" spans="5:5" x14ac:dyDescent="0.2">
      <c r="E1933" s="3">
        <v>38</v>
      </c>
    </row>
    <row r="1934" spans="5:5" x14ac:dyDescent="0.2">
      <c r="E1934" s="3">
        <v>38</v>
      </c>
    </row>
    <row r="1935" spans="5:5" x14ac:dyDescent="0.2">
      <c r="E1935" s="3">
        <v>38</v>
      </c>
    </row>
    <row r="1936" spans="5:5" x14ac:dyDescent="0.2">
      <c r="E1936" s="3">
        <v>38</v>
      </c>
    </row>
    <row r="1937" spans="5:5" x14ac:dyDescent="0.2">
      <c r="E1937" s="3">
        <v>38</v>
      </c>
    </row>
    <row r="1938" spans="5:5" x14ac:dyDescent="0.2">
      <c r="E1938" s="3">
        <v>38</v>
      </c>
    </row>
    <row r="1939" spans="5:5" x14ac:dyDescent="0.2">
      <c r="E1939" s="3">
        <v>38</v>
      </c>
    </row>
    <row r="1940" spans="5:5" x14ac:dyDescent="0.2">
      <c r="E1940" s="3">
        <v>38</v>
      </c>
    </row>
    <row r="1941" spans="5:5" x14ac:dyDescent="0.2">
      <c r="E1941" s="3">
        <v>38</v>
      </c>
    </row>
    <row r="1942" spans="5:5" x14ac:dyDescent="0.2">
      <c r="E1942" s="3">
        <v>38</v>
      </c>
    </row>
    <row r="1943" spans="5:5" x14ac:dyDescent="0.2">
      <c r="E1943" s="3">
        <v>38</v>
      </c>
    </row>
    <row r="1944" spans="5:5" x14ac:dyDescent="0.2">
      <c r="E1944" s="3">
        <v>38</v>
      </c>
    </row>
    <row r="1945" spans="5:5" x14ac:dyDescent="0.2">
      <c r="E1945" s="3">
        <v>38</v>
      </c>
    </row>
    <row r="1946" spans="5:5" x14ac:dyDescent="0.2">
      <c r="E1946" s="3">
        <v>38</v>
      </c>
    </row>
    <row r="1947" spans="5:5" x14ac:dyDescent="0.2">
      <c r="E1947" s="3">
        <v>38</v>
      </c>
    </row>
    <row r="1948" spans="5:5" x14ac:dyDescent="0.2">
      <c r="E1948" s="3">
        <v>38</v>
      </c>
    </row>
    <row r="1949" spans="5:5" x14ac:dyDescent="0.2">
      <c r="E1949" s="3">
        <v>38</v>
      </c>
    </row>
    <row r="1950" spans="5:5" x14ac:dyDescent="0.2">
      <c r="E1950" s="3">
        <v>38</v>
      </c>
    </row>
    <row r="1951" spans="5:5" x14ac:dyDescent="0.2">
      <c r="E1951" s="3">
        <v>38</v>
      </c>
    </row>
    <row r="1952" spans="5:5" x14ac:dyDescent="0.2">
      <c r="E1952" s="3">
        <v>38</v>
      </c>
    </row>
    <row r="1953" spans="5:5" x14ac:dyDescent="0.2">
      <c r="E1953" s="3">
        <v>38</v>
      </c>
    </row>
    <row r="1954" spans="5:5" x14ac:dyDescent="0.2">
      <c r="E1954" s="3">
        <v>38</v>
      </c>
    </row>
    <row r="1955" spans="5:5" x14ac:dyDescent="0.2">
      <c r="E1955" s="3">
        <v>38</v>
      </c>
    </row>
    <row r="1956" spans="5:5" x14ac:dyDescent="0.2">
      <c r="E1956" s="3">
        <v>38</v>
      </c>
    </row>
    <row r="1957" spans="5:5" x14ac:dyDescent="0.2">
      <c r="E1957" s="3">
        <v>38</v>
      </c>
    </row>
    <row r="1958" spans="5:5" x14ac:dyDescent="0.2">
      <c r="E1958" s="3">
        <v>38</v>
      </c>
    </row>
    <row r="1959" spans="5:5" x14ac:dyDescent="0.2">
      <c r="E1959" s="3">
        <v>38</v>
      </c>
    </row>
    <row r="1960" spans="5:5" x14ac:dyDescent="0.2">
      <c r="E1960" s="3">
        <v>38</v>
      </c>
    </row>
    <row r="1961" spans="5:5" x14ac:dyDescent="0.2">
      <c r="E1961" s="3">
        <v>38</v>
      </c>
    </row>
    <row r="1962" spans="5:5" x14ac:dyDescent="0.2">
      <c r="E1962" s="3">
        <v>38</v>
      </c>
    </row>
    <row r="1963" spans="5:5" x14ac:dyDescent="0.2">
      <c r="E1963" s="3">
        <v>38</v>
      </c>
    </row>
    <row r="1964" spans="5:5" x14ac:dyDescent="0.2">
      <c r="E1964" s="3">
        <v>38</v>
      </c>
    </row>
    <row r="1965" spans="5:5" x14ac:dyDescent="0.2">
      <c r="E1965" s="3">
        <v>38</v>
      </c>
    </row>
    <row r="1966" spans="5:5" x14ac:dyDescent="0.2">
      <c r="E1966" s="3">
        <v>38</v>
      </c>
    </row>
    <row r="1967" spans="5:5" x14ac:dyDescent="0.2">
      <c r="E1967" s="3">
        <v>38</v>
      </c>
    </row>
    <row r="1968" spans="5:5" x14ac:dyDescent="0.2">
      <c r="E1968" s="3">
        <v>38</v>
      </c>
    </row>
    <row r="1969" spans="5:5" x14ac:dyDescent="0.2">
      <c r="E1969" s="3">
        <v>38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03493-109E-6E4A-AC7D-D75CDE9B1958}">
  <dimension ref="A1:B41"/>
  <sheetViews>
    <sheetView workbookViewId="0">
      <selection activeCell="B10" sqref="B10"/>
    </sheetView>
  </sheetViews>
  <sheetFormatPr baseColWidth="10" defaultRowHeight="16" x14ac:dyDescent="0.2"/>
  <sheetData>
    <row r="1" spans="1:2" x14ac:dyDescent="0.2">
      <c r="A1" t="s">
        <v>418</v>
      </c>
      <c r="B1" t="s">
        <v>449</v>
      </c>
    </row>
    <row r="2" spans="1:2" x14ac:dyDescent="0.2">
      <c r="A2">
        <v>0</v>
      </c>
      <c r="B2">
        <v>0</v>
      </c>
    </row>
    <row r="3" spans="1:2" x14ac:dyDescent="0.2">
      <c r="A3">
        <v>1</v>
      </c>
      <c r="B3">
        <f>COUNTIF('For stats end Y class'!$AU:$AU,'Pres-NumPlayers'!A3)</f>
        <v>19</v>
      </c>
    </row>
    <row r="4" spans="1:2" x14ac:dyDescent="0.2">
      <c r="A4">
        <v>2</v>
      </c>
      <c r="B4">
        <f>COUNTIF('For stats end Y class'!$AU:$AU,'Pres-NumPlayers'!A4)</f>
        <v>1</v>
      </c>
    </row>
    <row r="5" spans="1:2" x14ac:dyDescent="0.2">
      <c r="A5">
        <v>3</v>
      </c>
      <c r="B5">
        <f>COUNTIF('For stats end Y class'!$AU:$AU,'Pres-NumPlayers'!A5)</f>
        <v>6</v>
      </c>
    </row>
    <row r="6" spans="1:2" x14ac:dyDescent="0.2">
      <c r="A6">
        <v>4</v>
      </c>
      <c r="B6">
        <f>COUNTIF('For stats end Y class'!$AU:$AU,'Pres-NumPlayers'!A6)</f>
        <v>2</v>
      </c>
    </row>
    <row r="7" spans="1:2" x14ac:dyDescent="0.2">
      <c r="A7">
        <v>5</v>
      </c>
      <c r="B7">
        <f>COUNTIF('For stats end Y class'!$AU:$AU,'Pres-NumPlayers'!A7)</f>
        <v>4</v>
      </c>
    </row>
    <row r="8" spans="1:2" x14ac:dyDescent="0.2">
      <c r="A8">
        <v>6</v>
      </c>
      <c r="B8">
        <f>COUNTIF('For stats end Y class'!$AU:$AU,'Pres-NumPlayers'!A8)</f>
        <v>1</v>
      </c>
    </row>
    <row r="9" spans="1:2" x14ac:dyDescent="0.2">
      <c r="A9">
        <v>7</v>
      </c>
      <c r="B9">
        <f>COUNTIF('For stats end Y class'!$AU:$AU,'Pres-NumPlayers'!A9)</f>
        <v>3</v>
      </c>
    </row>
    <row r="10" spans="1:2" x14ac:dyDescent="0.2">
      <c r="A10">
        <v>8</v>
      </c>
      <c r="B10">
        <f>COUNTIF('For stats end Y class'!$AU:$AU,'Pres-NumPlayers'!A10)</f>
        <v>1</v>
      </c>
    </row>
    <row r="11" spans="1:2" x14ac:dyDescent="0.2">
      <c r="A11">
        <v>9</v>
      </c>
      <c r="B11">
        <f>COUNTIF('For stats end Y class'!$AU:$AU,'Pres-NumPlayers'!A11)</f>
        <v>4</v>
      </c>
    </row>
    <row r="12" spans="1:2" x14ac:dyDescent="0.2">
      <c r="A12">
        <v>10</v>
      </c>
      <c r="B12">
        <f>COUNTIF('For stats end Y class'!$AU:$AU,'Pres-NumPlayers'!A12)</f>
        <v>2</v>
      </c>
    </row>
    <row r="13" spans="1:2" x14ac:dyDescent="0.2">
      <c r="A13">
        <v>11</v>
      </c>
      <c r="B13">
        <f>COUNTIF('For stats end Y class'!$AU:$AU,'Pres-NumPlayers'!A13)</f>
        <v>1</v>
      </c>
    </row>
    <row r="14" spans="1:2" x14ac:dyDescent="0.2">
      <c r="A14">
        <v>12</v>
      </c>
      <c r="B14">
        <f>COUNTIF('For stats end Y class'!$AU:$AU,'Pres-NumPlayers'!A14)</f>
        <v>2</v>
      </c>
    </row>
    <row r="15" spans="1:2" x14ac:dyDescent="0.2">
      <c r="A15">
        <v>13</v>
      </c>
      <c r="B15">
        <f>COUNTIF('For stats end Y class'!$AU:$AU,'Pres-NumPlayers'!A15)</f>
        <v>3</v>
      </c>
    </row>
    <row r="16" spans="1:2" x14ac:dyDescent="0.2">
      <c r="A16">
        <v>14</v>
      </c>
      <c r="B16">
        <f>COUNTIF('For stats end Y class'!$AU:$AU,'Pres-NumPlayers'!A16)</f>
        <v>1</v>
      </c>
    </row>
    <row r="17" spans="1:2" x14ac:dyDescent="0.2">
      <c r="A17">
        <v>15</v>
      </c>
      <c r="B17">
        <f>COUNTIF('For stats end Y class'!$AU:$AU,'Pres-NumPlayers'!A17)</f>
        <v>3</v>
      </c>
    </row>
    <row r="18" spans="1:2" x14ac:dyDescent="0.2">
      <c r="A18">
        <v>16</v>
      </c>
      <c r="B18">
        <f>COUNTIF('For stats end Y class'!$AU:$AU,'Pres-NumPlayers'!A18)</f>
        <v>1</v>
      </c>
    </row>
    <row r="19" spans="1:2" x14ac:dyDescent="0.2">
      <c r="A19">
        <v>17</v>
      </c>
      <c r="B19">
        <f>COUNTIF('For stats end Y class'!$AU:$AU,'Pres-NumPlayers'!A19)</f>
        <v>3</v>
      </c>
    </row>
    <row r="20" spans="1:2" x14ac:dyDescent="0.2">
      <c r="A20">
        <v>18</v>
      </c>
      <c r="B20">
        <f>COUNTIF('For stats end Y class'!$AU:$AU,'Pres-NumPlayers'!A20)</f>
        <v>3</v>
      </c>
    </row>
    <row r="21" spans="1:2" x14ac:dyDescent="0.2">
      <c r="A21">
        <v>19</v>
      </c>
      <c r="B21">
        <f>COUNTIF('For stats end Y class'!$AU:$AU,'Pres-NumPlayers'!A21)</f>
        <v>0</v>
      </c>
    </row>
    <row r="22" spans="1:2" x14ac:dyDescent="0.2">
      <c r="A22">
        <v>20</v>
      </c>
      <c r="B22">
        <f>COUNTIF('For stats end Y class'!$AU:$AU,'Pres-NumPlayers'!A22)</f>
        <v>3</v>
      </c>
    </row>
    <row r="23" spans="1:2" x14ac:dyDescent="0.2">
      <c r="A23">
        <v>21</v>
      </c>
      <c r="B23">
        <f>COUNTIF('For stats end Y class'!$AU:$AU,'Pres-NumPlayers'!A23)</f>
        <v>4</v>
      </c>
    </row>
    <row r="24" spans="1:2" x14ac:dyDescent="0.2">
      <c r="A24">
        <v>22</v>
      </c>
      <c r="B24">
        <f>COUNTIF('For stats end Y class'!$AU:$AU,'Pres-NumPlayers'!A24)</f>
        <v>1</v>
      </c>
    </row>
    <row r="25" spans="1:2" x14ac:dyDescent="0.2">
      <c r="A25">
        <v>23</v>
      </c>
      <c r="B25">
        <f>COUNTIF('For stats end Y class'!$AU:$AU,'Pres-NumPlayers'!A25)</f>
        <v>4</v>
      </c>
    </row>
    <row r="26" spans="1:2" x14ac:dyDescent="0.2">
      <c r="A26">
        <v>24</v>
      </c>
      <c r="B26">
        <f>COUNTIF('For stats end Y class'!$AU:$AU,'Pres-NumPlayers'!A26)</f>
        <v>2</v>
      </c>
    </row>
    <row r="27" spans="1:2" x14ac:dyDescent="0.2">
      <c r="A27">
        <v>25</v>
      </c>
      <c r="B27">
        <f>COUNTIF('For stats end Y class'!$AU:$AU,'Pres-NumPlayers'!A27)</f>
        <v>2</v>
      </c>
    </row>
    <row r="28" spans="1:2" x14ac:dyDescent="0.2">
      <c r="A28">
        <v>26</v>
      </c>
      <c r="B28">
        <f>COUNTIF('For stats end Y class'!$AU:$AU,'Pres-NumPlayers'!A28)</f>
        <v>5</v>
      </c>
    </row>
    <row r="29" spans="1:2" x14ac:dyDescent="0.2">
      <c r="A29">
        <v>27</v>
      </c>
      <c r="B29">
        <f>COUNTIF('For stats end Y class'!$AU:$AU,'Pres-NumPlayers'!A29)</f>
        <v>4</v>
      </c>
    </row>
    <row r="30" spans="1:2" x14ac:dyDescent="0.2">
      <c r="A30">
        <v>28</v>
      </c>
      <c r="B30">
        <f>COUNTIF('For stats end Y class'!$AU:$AU,'Pres-NumPlayers'!A30)</f>
        <v>4</v>
      </c>
    </row>
    <row r="31" spans="1:2" x14ac:dyDescent="0.2">
      <c r="A31">
        <v>29</v>
      </c>
      <c r="B31">
        <f>COUNTIF('For stats end Y class'!$AU:$AU,'Pres-NumPlayers'!A31)</f>
        <v>1</v>
      </c>
    </row>
    <row r="32" spans="1:2" x14ac:dyDescent="0.2">
      <c r="A32">
        <v>30</v>
      </c>
      <c r="B32">
        <f>COUNTIF('For stats end Y class'!$AU:$AU,'Pres-NumPlayers'!A32)</f>
        <v>1</v>
      </c>
    </row>
    <row r="33" spans="1:2" x14ac:dyDescent="0.2">
      <c r="A33">
        <v>31</v>
      </c>
      <c r="B33">
        <f>COUNTIF('For stats end Y class'!$AU:$AU,'Pres-NumPlayers'!A33)</f>
        <v>5</v>
      </c>
    </row>
    <row r="34" spans="1:2" x14ac:dyDescent="0.2">
      <c r="A34">
        <v>32</v>
      </c>
      <c r="B34">
        <f>COUNTIF('For stats end Y class'!$AU:$AU,'Pres-NumPlayers'!A34)</f>
        <v>6</v>
      </c>
    </row>
    <row r="35" spans="1:2" x14ac:dyDescent="0.2">
      <c r="A35">
        <v>33</v>
      </c>
      <c r="B35">
        <f>COUNTIF('For stats end Y class'!$AU:$AU,'Pres-NumPlayers'!A35)</f>
        <v>4</v>
      </c>
    </row>
    <row r="36" spans="1:2" x14ac:dyDescent="0.2">
      <c r="A36">
        <v>34</v>
      </c>
      <c r="B36">
        <f>COUNTIF('For stats end Y class'!$AU:$AU,'Pres-NumPlayers'!A36)</f>
        <v>0</v>
      </c>
    </row>
    <row r="37" spans="1:2" x14ac:dyDescent="0.2">
      <c r="A37">
        <v>35</v>
      </c>
      <c r="B37">
        <f>COUNTIF('For stats end Y class'!$AU:$AU,'Pres-NumPlayers'!A37)</f>
        <v>0</v>
      </c>
    </row>
    <row r="38" spans="1:2" x14ac:dyDescent="0.2">
      <c r="A38">
        <v>36</v>
      </c>
      <c r="B38">
        <f>COUNTIF('For stats end Y class'!$AU:$AU,'Pres-NumPlayers'!A38)</f>
        <v>0</v>
      </c>
    </row>
    <row r="39" spans="1:2" x14ac:dyDescent="0.2">
      <c r="A39">
        <v>37</v>
      </c>
      <c r="B39">
        <f>COUNTIF('For stats end Y class'!$AU:$AU,'Pres-NumPlayers'!A39)</f>
        <v>0</v>
      </c>
    </row>
    <row r="40" spans="1:2" x14ac:dyDescent="0.2">
      <c r="A40">
        <v>38</v>
      </c>
      <c r="B40">
        <f>COUNTIF('For stats end Y class'!$AU:$AU,'Pres-NumPlayers'!A40)</f>
        <v>0</v>
      </c>
    </row>
    <row r="41" spans="1:2" x14ac:dyDescent="0.2">
      <c r="A41">
        <v>39</v>
      </c>
      <c r="B41">
        <f>COUNTIF('For stats end Y class'!$AU:$AU,'Pres-NumPlayers'!A41)</f>
        <v>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75636-B233-7C4A-B1AD-34F3965101BA}">
  <sheetPr codeName="Sheet4"/>
  <dimension ref="A1:L1656"/>
  <sheetViews>
    <sheetView topLeftCell="A1512" zoomScale="93" zoomScaleNormal="93" workbookViewId="0">
      <selection activeCell="A1512" sqref="A1512"/>
    </sheetView>
  </sheetViews>
  <sheetFormatPr baseColWidth="10" defaultRowHeight="16" x14ac:dyDescent="0.2"/>
  <cols>
    <col min="7" max="7" width="11" style="3" customWidth="1"/>
    <col min="8" max="8" width="11" customWidth="1"/>
  </cols>
  <sheetData>
    <row r="1" spans="1:12" x14ac:dyDescent="0.2">
      <c r="A1" t="str">
        <f>C1&amp;F1</f>
        <v>Yaltar1</v>
      </c>
      <c r="B1">
        <v>1</v>
      </c>
      <c r="C1" t="s">
        <v>503</v>
      </c>
      <c r="D1">
        <v>5</v>
      </c>
      <c r="E1">
        <v>17</v>
      </c>
      <c r="F1">
        <v>1</v>
      </c>
      <c r="I1" s="1"/>
    </row>
    <row r="2" spans="1:12" x14ac:dyDescent="0.2">
      <c r="A2" t="str">
        <f t="shared" ref="A2:A65" si="0">C2&amp;F2</f>
        <v>Pyja1</v>
      </c>
      <c r="B2">
        <v>2</v>
      </c>
      <c r="C2" t="s">
        <v>6</v>
      </c>
      <c r="D2">
        <v>1</v>
      </c>
      <c r="E2">
        <v>13</v>
      </c>
      <c r="F2">
        <v>1</v>
      </c>
      <c r="I2" s="1"/>
      <c r="J2" s="1"/>
      <c r="K2" s="1"/>
      <c r="L2" s="1"/>
    </row>
    <row r="3" spans="1:12" x14ac:dyDescent="0.2">
      <c r="A3" t="str">
        <f t="shared" si="0"/>
        <v>Sabwill1</v>
      </c>
      <c r="B3">
        <v>3</v>
      </c>
      <c r="C3" t="s">
        <v>5</v>
      </c>
      <c r="D3">
        <v>0</v>
      </c>
      <c r="E3">
        <v>9</v>
      </c>
      <c r="F3">
        <v>1</v>
      </c>
    </row>
    <row r="4" spans="1:12" x14ac:dyDescent="0.2">
      <c r="A4" t="str">
        <f t="shared" si="0"/>
        <v>Magic Mykiss1</v>
      </c>
      <c r="B4">
        <v>4</v>
      </c>
      <c r="C4" t="s">
        <v>510</v>
      </c>
      <c r="D4">
        <v>0</v>
      </c>
      <c r="E4">
        <v>5</v>
      </c>
      <c r="F4">
        <v>1</v>
      </c>
    </row>
    <row r="5" spans="1:12" x14ac:dyDescent="0.2">
      <c r="A5" t="str">
        <f t="shared" si="0"/>
        <v>Fréderique1</v>
      </c>
      <c r="B5">
        <v>5</v>
      </c>
      <c r="C5" t="s">
        <v>511</v>
      </c>
      <c r="D5">
        <v>0</v>
      </c>
      <c r="E5">
        <v>3</v>
      </c>
      <c r="F5">
        <v>1</v>
      </c>
    </row>
    <row r="6" spans="1:12" x14ac:dyDescent="0.2">
      <c r="A6" t="str">
        <f t="shared" si="0"/>
        <v>Ptit Savoyard1</v>
      </c>
      <c r="B6">
        <v>6</v>
      </c>
      <c r="C6" t="s">
        <v>33</v>
      </c>
      <c r="D6">
        <v>0</v>
      </c>
      <c r="E6">
        <v>2</v>
      </c>
      <c r="F6">
        <v>1</v>
      </c>
    </row>
    <row r="7" spans="1:12" x14ac:dyDescent="0.2">
      <c r="A7" t="str">
        <f t="shared" si="0"/>
        <v>Rockatou1</v>
      </c>
      <c r="B7">
        <v>7</v>
      </c>
      <c r="C7" t="s">
        <v>493</v>
      </c>
      <c r="D7">
        <v>0</v>
      </c>
      <c r="E7">
        <v>1</v>
      </c>
      <c r="F7">
        <v>1</v>
      </c>
    </row>
    <row r="8" spans="1:12" x14ac:dyDescent="0.2">
      <c r="A8" t="str">
        <f t="shared" si="0"/>
        <v>Michelbey1</v>
      </c>
      <c r="B8">
        <v>1</v>
      </c>
      <c r="C8" t="s">
        <v>75</v>
      </c>
      <c r="D8">
        <v>1</v>
      </c>
      <c r="E8">
        <v>16</v>
      </c>
      <c r="F8">
        <v>1</v>
      </c>
    </row>
    <row r="9" spans="1:12" x14ac:dyDescent="0.2">
      <c r="A9" t="str">
        <f t="shared" si="0"/>
        <v>Jacaille1</v>
      </c>
      <c r="B9">
        <v>2</v>
      </c>
      <c r="C9" t="s">
        <v>451</v>
      </c>
      <c r="D9">
        <v>4</v>
      </c>
      <c r="E9">
        <v>12</v>
      </c>
      <c r="F9">
        <v>1</v>
      </c>
    </row>
    <row r="10" spans="1:12" x14ac:dyDescent="0.2">
      <c r="A10" t="str">
        <f t="shared" si="0"/>
        <v>Fishtro1</v>
      </c>
      <c r="B10">
        <v>3</v>
      </c>
      <c r="C10" t="s">
        <v>512</v>
      </c>
      <c r="D10">
        <v>0</v>
      </c>
      <c r="E10">
        <v>8</v>
      </c>
      <c r="F10">
        <v>1</v>
      </c>
      <c r="J10" s="2"/>
      <c r="K10" s="2"/>
      <c r="L10" s="2"/>
    </row>
    <row r="11" spans="1:12" x14ac:dyDescent="0.2">
      <c r="A11" t="str">
        <f t="shared" si="0"/>
        <v>Claudius1</v>
      </c>
      <c r="B11">
        <v>4</v>
      </c>
      <c r="C11" t="s">
        <v>25</v>
      </c>
      <c r="D11">
        <v>0</v>
      </c>
      <c r="E11">
        <v>4</v>
      </c>
      <c r="F11">
        <v>1</v>
      </c>
      <c r="I11" s="1"/>
    </row>
    <row r="12" spans="1:12" x14ac:dyDescent="0.2">
      <c r="A12" t="str">
        <f t="shared" si="0"/>
        <v>Thibaultp751</v>
      </c>
      <c r="B12">
        <v>5</v>
      </c>
      <c r="C12" t="s">
        <v>345</v>
      </c>
      <c r="D12">
        <v>0</v>
      </c>
      <c r="E12">
        <v>2</v>
      </c>
      <c r="F12">
        <v>1</v>
      </c>
      <c r="I12" s="1"/>
      <c r="J12" s="1"/>
      <c r="K12" s="1"/>
      <c r="L12" s="1"/>
    </row>
    <row r="13" spans="1:12" x14ac:dyDescent="0.2">
      <c r="A13" t="str">
        <f t="shared" si="0"/>
        <v>Golgoo131</v>
      </c>
      <c r="B13">
        <v>6</v>
      </c>
      <c r="C13" t="s">
        <v>513</v>
      </c>
      <c r="D13">
        <v>0</v>
      </c>
      <c r="E13">
        <v>1</v>
      </c>
      <c r="F13">
        <v>1</v>
      </c>
    </row>
    <row r="14" spans="1:12" x14ac:dyDescent="0.2">
      <c r="A14" t="str">
        <f t="shared" si="0"/>
        <v>Ripolin1</v>
      </c>
      <c r="B14">
        <v>1</v>
      </c>
      <c r="C14" t="s">
        <v>65</v>
      </c>
      <c r="D14">
        <v>1</v>
      </c>
      <c r="E14">
        <v>16</v>
      </c>
      <c r="F14">
        <v>1</v>
      </c>
    </row>
    <row r="15" spans="1:12" x14ac:dyDescent="0.2">
      <c r="A15" t="str">
        <f t="shared" si="0"/>
        <v>DernierPli1</v>
      </c>
      <c r="B15">
        <v>2</v>
      </c>
      <c r="C15" t="s">
        <v>490</v>
      </c>
      <c r="D15">
        <v>2</v>
      </c>
      <c r="E15">
        <v>12</v>
      </c>
      <c r="F15">
        <v>1</v>
      </c>
    </row>
    <row r="16" spans="1:12" x14ac:dyDescent="0.2">
      <c r="A16" t="str">
        <f t="shared" si="0"/>
        <v>K11</v>
      </c>
      <c r="B16">
        <v>3</v>
      </c>
      <c r="C16" t="s">
        <v>9</v>
      </c>
      <c r="D16">
        <v>2</v>
      </c>
      <c r="E16">
        <v>8</v>
      </c>
      <c r="F16">
        <v>1</v>
      </c>
    </row>
    <row r="17" spans="1:12" x14ac:dyDescent="0.2">
      <c r="A17" t="str">
        <f t="shared" si="0"/>
        <v>Carmin1</v>
      </c>
      <c r="B17">
        <v>4</v>
      </c>
      <c r="C17" t="s">
        <v>21</v>
      </c>
      <c r="D17">
        <v>0</v>
      </c>
      <c r="E17">
        <v>4</v>
      </c>
      <c r="F17">
        <v>1</v>
      </c>
    </row>
    <row r="18" spans="1:12" x14ac:dyDescent="0.2">
      <c r="A18" t="str">
        <f t="shared" si="0"/>
        <v>Joic1</v>
      </c>
      <c r="B18">
        <v>5</v>
      </c>
      <c r="C18" t="s">
        <v>514</v>
      </c>
      <c r="D18">
        <v>0</v>
      </c>
      <c r="E18">
        <v>2</v>
      </c>
      <c r="F18">
        <v>1</v>
      </c>
    </row>
    <row r="19" spans="1:12" x14ac:dyDescent="0.2">
      <c r="A19" t="str">
        <f t="shared" si="0"/>
        <v>Proph@ne1</v>
      </c>
      <c r="B19">
        <v>6</v>
      </c>
      <c r="C19" t="s">
        <v>87</v>
      </c>
      <c r="D19">
        <v>0</v>
      </c>
      <c r="E19">
        <v>1</v>
      </c>
      <c r="F19">
        <v>1</v>
      </c>
    </row>
    <row r="20" spans="1:12" x14ac:dyDescent="0.2">
      <c r="A20" t="str">
        <f t="shared" si="0"/>
        <v>Solex1</v>
      </c>
      <c r="B20">
        <v>1</v>
      </c>
      <c r="C20" t="s">
        <v>34</v>
      </c>
      <c r="D20">
        <v>1</v>
      </c>
      <c r="E20">
        <v>17</v>
      </c>
      <c r="F20">
        <v>1</v>
      </c>
      <c r="J20" s="2"/>
      <c r="K20" s="2"/>
      <c r="L20" s="2"/>
    </row>
    <row r="21" spans="1:12" x14ac:dyDescent="0.2">
      <c r="A21" t="str">
        <f t="shared" si="0"/>
        <v>Zubbaz1</v>
      </c>
      <c r="B21">
        <v>2</v>
      </c>
      <c r="C21" t="s">
        <v>506</v>
      </c>
      <c r="D21">
        <v>2</v>
      </c>
      <c r="E21">
        <v>13</v>
      </c>
      <c r="F21">
        <v>1</v>
      </c>
      <c r="I21" s="1"/>
    </row>
    <row r="22" spans="1:12" x14ac:dyDescent="0.2">
      <c r="A22" t="str">
        <f t="shared" si="0"/>
        <v>ChrisFrankfurt1</v>
      </c>
      <c r="B22">
        <v>3</v>
      </c>
      <c r="C22" t="s">
        <v>101</v>
      </c>
      <c r="D22">
        <v>2</v>
      </c>
      <c r="E22">
        <v>9</v>
      </c>
      <c r="F22">
        <v>1</v>
      </c>
      <c r="I22" s="1"/>
      <c r="J22" s="1"/>
      <c r="K22" s="1"/>
      <c r="L22" s="1"/>
    </row>
    <row r="23" spans="1:12" x14ac:dyDescent="0.2">
      <c r="A23" t="str">
        <f t="shared" si="0"/>
        <v>Pintu1</v>
      </c>
      <c r="B23">
        <v>4</v>
      </c>
      <c r="C23" t="s">
        <v>48</v>
      </c>
      <c r="D23">
        <v>0</v>
      </c>
      <c r="E23">
        <v>5</v>
      </c>
      <c r="F23">
        <v>1</v>
      </c>
    </row>
    <row r="24" spans="1:12" x14ac:dyDescent="0.2">
      <c r="A24" t="str">
        <f t="shared" si="0"/>
        <v>Chico1</v>
      </c>
      <c r="B24">
        <v>5</v>
      </c>
      <c r="C24" t="s">
        <v>515</v>
      </c>
      <c r="D24">
        <v>1</v>
      </c>
      <c r="E24">
        <v>3</v>
      </c>
      <c r="F24">
        <v>1</v>
      </c>
    </row>
    <row r="25" spans="1:12" x14ac:dyDescent="0.2">
      <c r="A25" t="str">
        <f t="shared" si="0"/>
        <v>Tenko1</v>
      </c>
      <c r="B25">
        <v>6</v>
      </c>
      <c r="C25" t="s">
        <v>516</v>
      </c>
      <c r="D25">
        <v>0</v>
      </c>
      <c r="E25">
        <v>2</v>
      </c>
      <c r="F25">
        <v>1</v>
      </c>
    </row>
    <row r="26" spans="1:12" x14ac:dyDescent="0.2">
      <c r="A26" t="str">
        <f t="shared" si="0"/>
        <v>NoDoubt1</v>
      </c>
      <c r="B26">
        <v>7</v>
      </c>
      <c r="C26" t="s">
        <v>29</v>
      </c>
      <c r="D26">
        <v>0</v>
      </c>
      <c r="E26">
        <v>1</v>
      </c>
      <c r="F26">
        <v>1</v>
      </c>
    </row>
    <row r="27" spans="1:12" x14ac:dyDescent="0.2">
      <c r="A27" t="str">
        <f t="shared" si="0"/>
        <v>Franz1</v>
      </c>
      <c r="B27">
        <v>1</v>
      </c>
      <c r="C27" t="s">
        <v>517</v>
      </c>
      <c r="D27">
        <v>3</v>
      </c>
      <c r="E27">
        <v>16</v>
      </c>
      <c r="F27">
        <v>1</v>
      </c>
    </row>
    <row r="28" spans="1:12" x14ac:dyDescent="0.2">
      <c r="A28" t="str">
        <f t="shared" si="0"/>
        <v>Bounette1</v>
      </c>
      <c r="B28">
        <v>2</v>
      </c>
      <c r="C28" t="s">
        <v>55</v>
      </c>
      <c r="D28">
        <v>1</v>
      </c>
      <c r="E28">
        <v>12</v>
      </c>
      <c r="F28">
        <v>1</v>
      </c>
    </row>
    <row r="29" spans="1:12" x14ac:dyDescent="0.2">
      <c r="A29" t="str">
        <f t="shared" si="0"/>
        <v>Soupaman1</v>
      </c>
      <c r="B29">
        <v>3</v>
      </c>
      <c r="C29" t="s">
        <v>518</v>
      </c>
      <c r="D29">
        <v>0</v>
      </c>
      <c r="E29">
        <v>8</v>
      </c>
      <c r="F29">
        <v>1</v>
      </c>
      <c r="J29" s="2"/>
      <c r="K29" s="2"/>
      <c r="L29" s="2"/>
    </row>
    <row r="30" spans="1:12" x14ac:dyDescent="0.2">
      <c r="A30" t="str">
        <f t="shared" si="0"/>
        <v>djip921</v>
      </c>
      <c r="B30">
        <v>4</v>
      </c>
      <c r="C30" t="s">
        <v>191</v>
      </c>
      <c r="D30">
        <v>1</v>
      </c>
      <c r="E30">
        <v>4</v>
      </c>
      <c r="F30">
        <v>1</v>
      </c>
      <c r="J30" s="2"/>
      <c r="K30" s="2"/>
      <c r="L30" s="2"/>
    </row>
    <row r="31" spans="1:12" x14ac:dyDescent="0.2">
      <c r="A31" t="str">
        <f t="shared" si="0"/>
        <v>NastyLucker1</v>
      </c>
      <c r="B31">
        <v>5</v>
      </c>
      <c r="C31" t="s">
        <v>179</v>
      </c>
      <c r="D31">
        <v>0</v>
      </c>
      <c r="E31">
        <v>2</v>
      </c>
      <c r="F31">
        <v>1</v>
      </c>
      <c r="I31" s="1"/>
    </row>
    <row r="32" spans="1:12" x14ac:dyDescent="0.2">
      <c r="A32" t="str">
        <f t="shared" si="0"/>
        <v>Giobeck1</v>
      </c>
      <c r="B32">
        <v>6</v>
      </c>
      <c r="C32" t="s">
        <v>19</v>
      </c>
      <c r="D32">
        <v>0</v>
      </c>
      <c r="E32">
        <v>1</v>
      </c>
      <c r="F32">
        <v>1</v>
      </c>
      <c r="I32" s="1"/>
      <c r="J32" s="1"/>
      <c r="K32" s="1"/>
      <c r="L32" s="1"/>
    </row>
    <row r="33" spans="1:12" x14ac:dyDescent="0.2">
      <c r="A33" t="str">
        <f t="shared" si="0"/>
        <v>Poisson Pilote1</v>
      </c>
      <c r="B33">
        <v>1</v>
      </c>
      <c r="C33" t="s">
        <v>501</v>
      </c>
      <c r="D33">
        <v>2</v>
      </c>
      <c r="E33">
        <v>16</v>
      </c>
      <c r="F33">
        <v>1</v>
      </c>
    </row>
    <row r="34" spans="1:12" x14ac:dyDescent="0.2">
      <c r="A34" t="str">
        <f t="shared" si="0"/>
        <v>Xhar921</v>
      </c>
      <c r="B34">
        <v>2</v>
      </c>
      <c r="C34" t="s">
        <v>519</v>
      </c>
      <c r="D34">
        <v>2</v>
      </c>
      <c r="E34">
        <v>12</v>
      </c>
      <c r="F34">
        <v>1</v>
      </c>
    </row>
    <row r="35" spans="1:12" x14ac:dyDescent="0.2">
      <c r="A35" t="str">
        <f t="shared" si="0"/>
        <v>Zizou1</v>
      </c>
      <c r="B35">
        <v>3</v>
      </c>
      <c r="C35" t="s">
        <v>504</v>
      </c>
      <c r="D35">
        <v>1</v>
      </c>
      <c r="E35">
        <v>8</v>
      </c>
      <c r="F35">
        <v>1</v>
      </c>
    </row>
    <row r="36" spans="1:12" x14ac:dyDescent="0.2">
      <c r="A36" t="str">
        <f t="shared" si="0"/>
        <v>LAAtof1</v>
      </c>
      <c r="B36">
        <v>4</v>
      </c>
      <c r="C36" t="s">
        <v>15</v>
      </c>
      <c r="D36">
        <v>0</v>
      </c>
      <c r="E36">
        <v>4</v>
      </c>
      <c r="F36">
        <v>1</v>
      </c>
    </row>
    <row r="37" spans="1:12" x14ac:dyDescent="0.2">
      <c r="A37" t="str">
        <f t="shared" si="0"/>
        <v>Losogre1</v>
      </c>
      <c r="B37">
        <v>5</v>
      </c>
      <c r="C37" t="s">
        <v>507</v>
      </c>
      <c r="D37">
        <v>0</v>
      </c>
      <c r="E37">
        <v>2</v>
      </c>
      <c r="F37">
        <v>1</v>
      </c>
    </row>
    <row r="38" spans="1:12" x14ac:dyDescent="0.2">
      <c r="A38" t="str">
        <f t="shared" si="0"/>
        <v>Catherine1</v>
      </c>
      <c r="B38">
        <v>6</v>
      </c>
      <c r="C38" t="s">
        <v>69</v>
      </c>
      <c r="D38">
        <v>0</v>
      </c>
      <c r="E38">
        <v>1</v>
      </c>
      <c r="F38">
        <v>1</v>
      </c>
    </row>
    <row r="39" spans="1:12" x14ac:dyDescent="0.2">
      <c r="A39" t="str">
        <f t="shared" si="0"/>
        <v>JeanMichelTiming1</v>
      </c>
      <c r="B39">
        <v>1</v>
      </c>
      <c r="C39" t="s">
        <v>35</v>
      </c>
      <c r="D39">
        <v>4</v>
      </c>
      <c r="E39">
        <v>16</v>
      </c>
      <c r="F39">
        <v>1</v>
      </c>
    </row>
    <row r="40" spans="1:12" x14ac:dyDescent="0.2">
      <c r="A40" t="str">
        <f t="shared" si="0"/>
        <v>PatB1</v>
      </c>
      <c r="B40">
        <v>2</v>
      </c>
      <c r="C40" t="s">
        <v>74</v>
      </c>
      <c r="D40">
        <v>1</v>
      </c>
      <c r="E40">
        <v>12</v>
      </c>
      <c r="F40">
        <v>1</v>
      </c>
      <c r="J40" s="2"/>
      <c r="K40" s="2"/>
      <c r="L40" s="2"/>
    </row>
    <row r="41" spans="1:12" x14ac:dyDescent="0.2">
      <c r="A41" t="str">
        <f t="shared" si="0"/>
        <v>Salender1</v>
      </c>
      <c r="B41">
        <v>3</v>
      </c>
      <c r="C41" t="s">
        <v>479</v>
      </c>
      <c r="D41">
        <v>0</v>
      </c>
      <c r="E41">
        <v>8</v>
      </c>
      <c r="F41">
        <v>1</v>
      </c>
      <c r="I41" s="1"/>
    </row>
    <row r="42" spans="1:12" x14ac:dyDescent="0.2">
      <c r="A42" t="str">
        <f t="shared" si="0"/>
        <v>Jérôme1</v>
      </c>
      <c r="B42">
        <v>4</v>
      </c>
      <c r="C42" t="s">
        <v>46</v>
      </c>
      <c r="D42">
        <v>0</v>
      </c>
      <c r="E42">
        <v>4</v>
      </c>
      <c r="F42">
        <v>1</v>
      </c>
      <c r="I42" s="1"/>
      <c r="J42" s="1"/>
      <c r="K42" s="1"/>
      <c r="L42" s="1"/>
    </row>
    <row r="43" spans="1:12" x14ac:dyDescent="0.2">
      <c r="A43" t="str">
        <f t="shared" si="0"/>
        <v>Ramm1</v>
      </c>
      <c r="B43">
        <v>5</v>
      </c>
      <c r="C43" t="s">
        <v>14</v>
      </c>
      <c r="D43">
        <v>0</v>
      </c>
      <c r="E43">
        <v>2</v>
      </c>
      <c r="F43">
        <v>1</v>
      </c>
    </row>
    <row r="44" spans="1:12" x14ac:dyDescent="0.2">
      <c r="A44" t="str">
        <f t="shared" si="0"/>
        <v>Ad Vitam1</v>
      </c>
      <c r="B44">
        <v>6</v>
      </c>
      <c r="C44" t="s">
        <v>66</v>
      </c>
      <c r="D44">
        <v>0</v>
      </c>
      <c r="E44">
        <v>1</v>
      </c>
      <c r="F44">
        <v>1</v>
      </c>
    </row>
    <row r="45" spans="1:12" x14ac:dyDescent="0.2">
      <c r="A45" t="str">
        <f t="shared" si="0"/>
        <v>Mandrake1</v>
      </c>
      <c r="B45">
        <v>1</v>
      </c>
      <c r="C45" t="s">
        <v>27</v>
      </c>
      <c r="D45">
        <v>2</v>
      </c>
      <c r="E45">
        <v>16</v>
      </c>
      <c r="F45">
        <v>1</v>
      </c>
    </row>
    <row r="46" spans="1:12" x14ac:dyDescent="0.2">
      <c r="A46" t="str">
        <f t="shared" si="0"/>
        <v>YooooDA1</v>
      </c>
      <c r="B46">
        <v>2</v>
      </c>
      <c r="C46" t="s">
        <v>59</v>
      </c>
      <c r="D46">
        <v>2</v>
      </c>
      <c r="E46">
        <v>12</v>
      </c>
      <c r="F46">
        <v>1</v>
      </c>
    </row>
    <row r="47" spans="1:12" x14ac:dyDescent="0.2">
      <c r="A47" t="str">
        <f t="shared" si="0"/>
        <v>Tridama1</v>
      </c>
      <c r="B47">
        <v>3</v>
      </c>
      <c r="C47" t="s">
        <v>520</v>
      </c>
      <c r="D47">
        <v>0</v>
      </c>
      <c r="E47">
        <v>8</v>
      </c>
      <c r="F47">
        <v>1</v>
      </c>
    </row>
    <row r="48" spans="1:12" x14ac:dyDescent="0.2">
      <c r="A48" t="str">
        <f t="shared" si="0"/>
        <v>Djecus1</v>
      </c>
      <c r="B48">
        <v>4</v>
      </c>
      <c r="C48" t="s">
        <v>461</v>
      </c>
      <c r="D48">
        <v>1</v>
      </c>
      <c r="E48">
        <v>4</v>
      </c>
      <c r="F48">
        <v>1</v>
      </c>
    </row>
    <row r="49" spans="1:12" x14ac:dyDescent="0.2">
      <c r="A49" t="str">
        <f t="shared" si="0"/>
        <v>Gibouille1</v>
      </c>
      <c r="B49">
        <v>5</v>
      </c>
      <c r="C49" t="s">
        <v>509</v>
      </c>
      <c r="D49">
        <v>0</v>
      </c>
      <c r="E49">
        <v>2</v>
      </c>
      <c r="F49">
        <v>1</v>
      </c>
      <c r="J49" s="2"/>
      <c r="K49" s="2"/>
      <c r="L49" s="2"/>
    </row>
    <row r="50" spans="1:12" x14ac:dyDescent="0.2">
      <c r="A50" t="str">
        <f t="shared" si="0"/>
        <v>Jaden1</v>
      </c>
      <c r="B50">
        <v>6</v>
      </c>
      <c r="C50" t="s">
        <v>521</v>
      </c>
      <c r="D50">
        <v>0</v>
      </c>
      <c r="E50">
        <v>1</v>
      </c>
      <c r="F50">
        <v>1</v>
      </c>
      <c r="J50" s="2"/>
      <c r="K50" s="2"/>
      <c r="L50" s="2"/>
    </row>
    <row r="51" spans="1:12" x14ac:dyDescent="0.2">
      <c r="A51" t="str">
        <f t="shared" si="0"/>
        <v>OlivierN921</v>
      </c>
      <c r="B51">
        <v>1</v>
      </c>
      <c r="C51" t="s">
        <v>32</v>
      </c>
      <c r="D51">
        <v>4</v>
      </c>
      <c r="E51">
        <v>16</v>
      </c>
      <c r="F51">
        <v>1</v>
      </c>
      <c r="I51" s="1"/>
    </row>
    <row r="52" spans="1:12" x14ac:dyDescent="0.2">
      <c r="A52" t="str">
        <f t="shared" si="0"/>
        <v>Sobab1</v>
      </c>
      <c r="B52">
        <v>2</v>
      </c>
      <c r="C52" t="s">
        <v>502</v>
      </c>
      <c r="D52">
        <v>1</v>
      </c>
      <c r="E52">
        <v>12</v>
      </c>
      <c r="F52">
        <v>1</v>
      </c>
      <c r="I52" s="1"/>
      <c r="J52" s="1"/>
      <c r="K52" s="1"/>
      <c r="L52" s="1"/>
    </row>
    <row r="53" spans="1:12" x14ac:dyDescent="0.2">
      <c r="A53" t="str">
        <f t="shared" si="0"/>
        <v>Kheops1</v>
      </c>
      <c r="B53">
        <v>3</v>
      </c>
      <c r="C53" t="s">
        <v>500</v>
      </c>
      <c r="D53">
        <v>0</v>
      </c>
      <c r="E53">
        <v>8</v>
      </c>
      <c r="F53">
        <v>1</v>
      </c>
    </row>
    <row r="54" spans="1:12" x14ac:dyDescent="0.2">
      <c r="A54" t="str">
        <f t="shared" si="0"/>
        <v>Kri-lin1</v>
      </c>
      <c r="B54">
        <v>4</v>
      </c>
      <c r="C54" t="s">
        <v>61</v>
      </c>
      <c r="D54">
        <v>0</v>
      </c>
      <c r="E54">
        <v>4</v>
      </c>
      <c r="F54">
        <v>1</v>
      </c>
    </row>
    <row r="55" spans="1:12" x14ac:dyDescent="0.2">
      <c r="A55" t="str">
        <f t="shared" si="0"/>
        <v>Flora1</v>
      </c>
      <c r="B55">
        <v>5</v>
      </c>
      <c r="C55" t="s">
        <v>522</v>
      </c>
      <c r="D55">
        <v>0</v>
      </c>
      <c r="E55">
        <v>2</v>
      </c>
      <c r="F55">
        <v>1</v>
      </c>
    </row>
    <row r="56" spans="1:12" x14ac:dyDescent="0.2">
      <c r="A56" t="str">
        <f t="shared" si="0"/>
        <v>Mams1</v>
      </c>
      <c r="B56">
        <v>6</v>
      </c>
      <c r="C56" t="s">
        <v>505</v>
      </c>
      <c r="D56">
        <v>0</v>
      </c>
      <c r="E56">
        <v>1</v>
      </c>
      <c r="F56">
        <v>1</v>
      </c>
    </row>
    <row r="57" spans="1:12" x14ac:dyDescent="0.2">
      <c r="A57" t="str">
        <f t="shared" si="0"/>
        <v>Zubbaz2</v>
      </c>
      <c r="B57">
        <v>1</v>
      </c>
      <c r="C57" t="s">
        <v>506</v>
      </c>
      <c r="D57">
        <v>3</v>
      </c>
      <c r="E57">
        <v>17</v>
      </c>
      <c r="F57">
        <v>2</v>
      </c>
    </row>
    <row r="58" spans="1:12" x14ac:dyDescent="0.2">
      <c r="A58" t="str">
        <f t="shared" si="0"/>
        <v>NoDoubt2</v>
      </c>
      <c r="B58">
        <v>2</v>
      </c>
      <c r="C58" t="s">
        <v>29</v>
      </c>
      <c r="D58">
        <v>1</v>
      </c>
      <c r="E58">
        <v>13</v>
      </c>
      <c r="F58">
        <v>2</v>
      </c>
    </row>
    <row r="59" spans="1:12" x14ac:dyDescent="0.2">
      <c r="A59" t="str">
        <f t="shared" si="0"/>
        <v>Mokarran2</v>
      </c>
      <c r="B59">
        <v>3</v>
      </c>
      <c r="C59" t="s">
        <v>523</v>
      </c>
      <c r="D59">
        <v>1</v>
      </c>
      <c r="E59">
        <v>9</v>
      </c>
      <c r="F59">
        <v>2</v>
      </c>
      <c r="J59" s="2"/>
      <c r="K59" s="2"/>
      <c r="L59" s="2"/>
    </row>
    <row r="60" spans="1:12" x14ac:dyDescent="0.2">
      <c r="A60" t="str">
        <f t="shared" si="0"/>
        <v>K12</v>
      </c>
      <c r="B60">
        <v>4</v>
      </c>
      <c r="C60" t="s">
        <v>9</v>
      </c>
      <c r="D60">
        <v>1</v>
      </c>
      <c r="E60">
        <v>5</v>
      </c>
      <c r="F60">
        <v>2</v>
      </c>
      <c r="J60" s="2"/>
      <c r="K60" s="2"/>
      <c r="L60" s="2"/>
    </row>
    <row r="61" spans="1:12" x14ac:dyDescent="0.2">
      <c r="A61" t="str">
        <f t="shared" si="0"/>
        <v>Yarael2</v>
      </c>
      <c r="B61">
        <v>5</v>
      </c>
      <c r="C61" t="s">
        <v>88</v>
      </c>
      <c r="D61">
        <v>0</v>
      </c>
      <c r="E61">
        <v>3</v>
      </c>
      <c r="F61">
        <v>2</v>
      </c>
      <c r="I61" s="1"/>
    </row>
    <row r="62" spans="1:12" x14ac:dyDescent="0.2">
      <c r="A62" t="str">
        <f t="shared" si="0"/>
        <v>Kri-lin2</v>
      </c>
      <c r="B62">
        <v>6</v>
      </c>
      <c r="C62" t="s">
        <v>61</v>
      </c>
      <c r="D62">
        <v>0</v>
      </c>
      <c r="E62">
        <v>2</v>
      </c>
      <c r="F62">
        <v>2</v>
      </c>
      <c r="I62" s="1"/>
      <c r="J62" s="1"/>
      <c r="K62" s="1"/>
      <c r="L62" s="1"/>
    </row>
    <row r="63" spans="1:12" x14ac:dyDescent="0.2">
      <c r="A63" t="str">
        <f t="shared" si="0"/>
        <v>JeanMichelTiming2</v>
      </c>
      <c r="B63">
        <v>7</v>
      </c>
      <c r="C63" t="s">
        <v>35</v>
      </c>
      <c r="D63">
        <v>0</v>
      </c>
      <c r="E63">
        <v>1</v>
      </c>
      <c r="F63">
        <v>2</v>
      </c>
    </row>
    <row r="64" spans="1:12" x14ac:dyDescent="0.2">
      <c r="A64" t="str">
        <f t="shared" si="0"/>
        <v>Xhar922</v>
      </c>
      <c r="B64">
        <v>1</v>
      </c>
      <c r="C64" t="s">
        <v>519</v>
      </c>
      <c r="D64">
        <v>5</v>
      </c>
      <c r="E64">
        <v>17</v>
      </c>
      <c r="F64">
        <v>2</v>
      </c>
    </row>
    <row r="65" spans="1:12" x14ac:dyDescent="0.2">
      <c r="A65" t="str">
        <f t="shared" si="0"/>
        <v>Carmin2</v>
      </c>
      <c r="B65">
        <v>2</v>
      </c>
      <c r="C65" t="s">
        <v>21</v>
      </c>
      <c r="D65">
        <v>0</v>
      </c>
      <c r="E65">
        <v>13</v>
      </c>
      <c r="F65">
        <v>2</v>
      </c>
    </row>
    <row r="66" spans="1:12" x14ac:dyDescent="0.2">
      <c r="A66" t="str">
        <f t="shared" ref="A66:A129" si="1">C66&amp;F66</f>
        <v>Sabwill2</v>
      </c>
      <c r="B66">
        <v>3</v>
      </c>
      <c r="C66" t="s">
        <v>5</v>
      </c>
      <c r="D66">
        <v>1</v>
      </c>
      <c r="E66">
        <v>9</v>
      </c>
      <c r="F66">
        <v>2</v>
      </c>
    </row>
    <row r="67" spans="1:12" x14ac:dyDescent="0.2">
      <c r="A67" t="str">
        <f t="shared" si="1"/>
        <v>Catherine2</v>
      </c>
      <c r="B67">
        <v>4</v>
      </c>
      <c r="C67" t="s">
        <v>69</v>
      </c>
      <c r="D67">
        <v>0</v>
      </c>
      <c r="E67">
        <v>5</v>
      </c>
      <c r="F67">
        <v>2</v>
      </c>
    </row>
    <row r="68" spans="1:12" x14ac:dyDescent="0.2">
      <c r="A68" t="str">
        <f t="shared" si="1"/>
        <v>Jérôme2</v>
      </c>
      <c r="B68">
        <v>5</v>
      </c>
      <c r="C68" t="s">
        <v>46</v>
      </c>
      <c r="D68">
        <v>0</v>
      </c>
      <c r="E68">
        <v>3</v>
      </c>
      <c r="F68">
        <v>2</v>
      </c>
    </row>
    <row r="69" spans="1:12" x14ac:dyDescent="0.2">
      <c r="A69" t="str">
        <f t="shared" si="1"/>
        <v>Gibouille2</v>
      </c>
      <c r="B69">
        <v>6</v>
      </c>
      <c r="C69" t="s">
        <v>509</v>
      </c>
      <c r="D69">
        <v>0</v>
      </c>
      <c r="E69">
        <v>2</v>
      </c>
      <c r="F69">
        <v>2</v>
      </c>
      <c r="J69" s="2"/>
      <c r="K69" s="2"/>
      <c r="L69" s="2"/>
    </row>
    <row r="70" spans="1:12" x14ac:dyDescent="0.2">
      <c r="A70" t="str">
        <f t="shared" si="1"/>
        <v>Antoine2</v>
      </c>
      <c r="B70">
        <v>7</v>
      </c>
      <c r="C70" t="s">
        <v>524</v>
      </c>
      <c r="D70">
        <v>0</v>
      </c>
      <c r="E70">
        <v>1</v>
      </c>
      <c r="F70">
        <v>2</v>
      </c>
      <c r="J70" s="2"/>
      <c r="K70" s="2"/>
      <c r="L70" s="2"/>
    </row>
    <row r="71" spans="1:12" x14ac:dyDescent="0.2">
      <c r="A71" t="str">
        <f t="shared" si="1"/>
        <v>Thibaultp752</v>
      </c>
      <c r="B71">
        <v>1</v>
      </c>
      <c r="C71" t="s">
        <v>345</v>
      </c>
      <c r="D71">
        <v>4</v>
      </c>
      <c r="E71">
        <v>17</v>
      </c>
      <c r="F71">
        <v>2</v>
      </c>
    </row>
    <row r="72" spans="1:12" x14ac:dyDescent="0.2">
      <c r="A72" t="str">
        <f t="shared" si="1"/>
        <v>saymsonite2</v>
      </c>
      <c r="B72">
        <v>2</v>
      </c>
      <c r="C72" t="s">
        <v>20</v>
      </c>
      <c r="D72">
        <v>2</v>
      </c>
      <c r="E72">
        <v>13</v>
      </c>
      <c r="F72">
        <v>2</v>
      </c>
    </row>
    <row r="73" spans="1:12" x14ac:dyDescent="0.2">
      <c r="A73" t="str">
        <f t="shared" si="1"/>
        <v>Comment22</v>
      </c>
      <c r="B73">
        <v>3</v>
      </c>
      <c r="C73" t="s">
        <v>76</v>
      </c>
      <c r="D73">
        <v>0</v>
      </c>
      <c r="E73">
        <v>9</v>
      </c>
      <c r="F73">
        <v>2</v>
      </c>
    </row>
    <row r="74" spans="1:12" x14ac:dyDescent="0.2">
      <c r="A74" t="str">
        <f t="shared" si="1"/>
        <v>Pintu2</v>
      </c>
      <c r="B74">
        <v>4</v>
      </c>
      <c r="C74" t="s">
        <v>48</v>
      </c>
      <c r="D74">
        <v>0</v>
      </c>
      <c r="E74">
        <v>5</v>
      </c>
      <c r="F74">
        <v>2</v>
      </c>
    </row>
    <row r="75" spans="1:12" x14ac:dyDescent="0.2">
      <c r="A75" t="str">
        <f t="shared" si="1"/>
        <v>Claudius2</v>
      </c>
      <c r="B75">
        <v>5</v>
      </c>
      <c r="C75" t="s">
        <v>25</v>
      </c>
      <c r="D75">
        <v>0</v>
      </c>
      <c r="E75">
        <v>3</v>
      </c>
      <c r="F75">
        <v>2</v>
      </c>
    </row>
    <row r="76" spans="1:12" x14ac:dyDescent="0.2">
      <c r="A76" t="str">
        <f t="shared" si="1"/>
        <v>Freddie2</v>
      </c>
      <c r="B76">
        <v>6</v>
      </c>
      <c r="C76" t="s">
        <v>525</v>
      </c>
      <c r="D76">
        <v>0</v>
      </c>
      <c r="E76">
        <v>2</v>
      </c>
      <c r="F76">
        <v>2</v>
      </c>
    </row>
    <row r="77" spans="1:12" x14ac:dyDescent="0.2">
      <c r="A77" t="str">
        <f t="shared" si="1"/>
        <v>PatB2</v>
      </c>
      <c r="B77">
        <v>7</v>
      </c>
      <c r="C77" t="s">
        <v>74</v>
      </c>
      <c r="D77">
        <v>0</v>
      </c>
      <c r="E77">
        <v>1</v>
      </c>
      <c r="F77">
        <v>2</v>
      </c>
    </row>
    <row r="78" spans="1:12" x14ac:dyDescent="0.2">
      <c r="A78" t="str">
        <f t="shared" si="1"/>
        <v>Salender2</v>
      </c>
      <c r="B78">
        <v>1</v>
      </c>
      <c r="C78" t="s">
        <v>479</v>
      </c>
      <c r="D78">
        <v>3</v>
      </c>
      <c r="E78">
        <v>17</v>
      </c>
      <c r="F78">
        <v>2</v>
      </c>
    </row>
    <row r="79" spans="1:12" x14ac:dyDescent="0.2">
      <c r="A79" t="str">
        <f t="shared" si="1"/>
        <v>Losogre2</v>
      </c>
      <c r="B79">
        <v>2</v>
      </c>
      <c r="C79" t="s">
        <v>507</v>
      </c>
      <c r="D79">
        <v>1</v>
      </c>
      <c r="E79">
        <v>13</v>
      </c>
      <c r="F79">
        <v>2</v>
      </c>
    </row>
    <row r="80" spans="1:12" x14ac:dyDescent="0.2">
      <c r="A80" t="str">
        <f t="shared" si="1"/>
        <v>Yroz2</v>
      </c>
      <c r="B80">
        <v>3</v>
      </c>
      <c r="C80" t="s">
        <v>526</v>
      </c>
      <c r="D80">
        <v>1</v>
      </c>
      <c r="E80">
        <v>9</v>
      </c>
      <c r="F80">
        <v>2</v>
      </c>
    </row>
    <row r="81" spans="1:6" x14ac:dyDescent="0.2">
      <c r="A81" t="str">
        <f t="shared" si="1"/>
        <v>Solex2</v>
      </c>
      <c r="B81">
        <v>4</v>
      </c>
      <c r="C81" t="s">
        <v>34</v>
      </c>
      <c r="D81">
        <v>0</v>
      </c>
      <c r="E81">
        <v>5</v>
      </c>
      <c r="F81">
        <v>2</v>
      </c>
    </row>
    <row r="82" spans="1:6" x14ac:dyDescent="0.2">
      <c r="A82" t="str">
        <f t="shared" si="1"/>
        <v>Kheops2</v>
      </c>
      <c r="B82">
        <v>5</v>
      </c>
      <c r="C82" t="s">
        <v>500</v>
      </c>
      <c r="D82">
        <v>1</v>
      </c>
      <c r="E82">
        <v>3</v>
      </c>
      <c r="F82">
        <v>2</v>
      </c>
    </row>
    <row r="83" spans="1:6" x14ac:dyDescent="0.2">
      <c r="A83" t="str">
        <f t="shared" si="1"/>
        <v>Michelbey2</v>
      </c>
      <c r="B83">
        <v>6</v>
      </c>
      <c r="C83" t="s">
        <v>75</v>
      </c>
      <c r="D83">
        <v>0</v>
      </c>
      <c r="E83">
        <v>2</v>
      </c>
      <c r="F83">
        <v>2</v>
      </c>
    </row>
    <row r="84" spans="1:6" x14ac:dyDescent="0.2">
      <c r="A84" t="str">
        <f t="shared" si="1"/>
        <v>La Bavure2</v>
      </c>
      <c r="B84">
        <v>7</v>
      </c>
      <c r="C84" t="s">
        <v>475</v>
      </c>
      <c r="D84">
        <v>0</v>
      </c>
      <c r="E84">
        <v>1</v>
      </c>
      <c r="F84">
        <v>2</v>
      </c>
    </row>
    <row r="85" spans="1:6" x14ac:dyDescent="0.2">
      <c r="A85" t="str">
        <f t="shared" si="1"/>
        <v>MegaSouche2</v>
      </c>
      <c r="B85">
        <v>1</v>
      </c>
      <c r="C85" t="s">
        <v>476</v>
      </c>
      <c r="D85">
        <v>3</v>
      </c>
      <c r="E85">
        <v>16</v>
      </c>
      <c r="F85">
        <v>2</v>
      </c>
    </row>
    <row r="86" spans="1:6" x14ac:dyDescent="0.2">
      <c r="A86" t="str">
        <f t="shared" si="1"/>
        <v>Tenko2</v>
      </c>
      <c r="B86">
        <v>2</v>
      </c>
      <c r="C86" t="s">
        <v>516</v>
      </c>
      <c r="D86">
        <v>2</v>
      </c>
      <c r="E86">
        <v>12</v>
      </c>
      <c r="F86">
        <v>2</v>
      </c>
    </row>
    <row r="87" spans="1:6" x14ac:dyDescent="0.2">
      <c r="A87" t="str">
        <f t="shared" si="1"/>
        <v>Just4fun2</v>
      </c>
      <c r="B87">
        <v>3</v>
      </c>
      <c r="C87" t="s">
        <v>527</v>
      </c>
      <c r="D87">
        <v>0</v>
      </c>
      <c r="E87">
        <v>8</v>
      </c>
      <c r="F87">
        <v>2</v>
      </c>
    </row>
    <row r="88" spans="1:6" x14ac:dyDescent="0.2">
      <c r="A88" t="str">
        <f t="shared" si="1"/>
        <v>DernierPli2</v>
      </c>
      <c r="B88">
        <v>4</v>
      </c>
      <c r="C88" t="s">
        <v>490</v>
      </c>
      <c r="D88">
        <v>0</v>
      </c>
      <c r="E88">
        <v>4</v>
      </c>
      <c r="F88">
        <v>2</v>
      </c>
    </row>
    <row r="89" spans="1:6" x14ac:dyDescent="0.2">
      <c r="A89" t="str">
        <f t="shared" si="1"/>
        <v>Papillon2</v>
      </c>
      <c r="B89">
        <v>5</v>
      </c>
      <c r="C89" t="s">
        <v>528</v>
      </c>
      <c r="D89">
        <v>0</v>
      </c>
      <c r="E89">
        <v>2</v>
      </c>
      <c r="F89">
        <v>2</v>
      </c>
    </row>
    <row r="90" spans="1:6" x14ac:dyDescent="0.2">
      <c r="A90" t="str">
        <f t="shared" si="1"/>
        <v>Bibus2</v>
      </c>
      <c r="B90">
        <v>6</v>
      </c>
      <c r="C90" t="s">
        <v>529</v>
      </c>
      <c r="D90">
        <v>0</v>
      </c>
      <c r="E90">
        <v>1</v>
      </c>
      <c r="F90">
        <v>2</v>
      </c>
    </row>
    <row r="91" spans="1:6" x14ac:dyDescent="0.2">
      <c r="A91" t="str">
        <f t="shared" si="1"/>
        <v>Bounette2</v>
      </c>
      <c r="B91">
        <v>1</v>
      </c>
      <c r="C91" t="s">
        <v>55</v>
      </c>
      <c r="D91">
        <v>4</v>
      </c>
      <c r="E91">
        <v>16</v>
      </c>
      <c r="F91">
        <v>2</v>
      </c>
    </row>
    <row r="92" spans="1:6" x14ac:dyDescent="0.2">
      <c r="A92" t="str">
        <f t="shared" si="1"/>
        <v>LAAtof2</v>
      </c>
      <c r="B92">
        <v>2</v>
      </c>
      <c r="C92" t="s">
        <v>15</v>
      </c>
      <c r="D92">
        <v>0</v>
      </c>
      <c r="E92">
        <v>12</v>
      </c>
      <c r="F92">
        <v>2</v>
      </c>
    </row>
    <row r="93" spans="1:6" x14ac:dyDescent="0.2">
      <c r="A93" t="str">
        <f t="shared" si="1"/>
        <v>Flopynou2</v>
      </c>
      <c r="B93">
        <v>3</v>
      </c>
      <c r="C93" t="s">
        <v>530</v>
      </c>
      <c r="D93">
        <v>1</v>
      </c>
      <c r="E93">
        <v>8</v>
      </c>
      <c r="F93">
        <v>2</v>
      </c>
    </row>
    <row r="94" spans="1:6" x14ac:dyDescent="0.2">
      <c r="A94" t="str">
        <f t="shared" si="1"/>
        <v>Gibbonfury2</v>
      </c>
      <c r="B94">
        <v>4</v>
      </c>
      <c r="C94" t="s">
        <v>454</v>
      </c>
      <c r="D94">
        <v>0</v>
      </c>
      <c r="E94">
        <v>4</v>
      </c>
      <c r="F94">
        <v>2</v>
      </c>
    </row>
    <row r="95" spans="1:6" x14ac:dyDescent="0.2">
      <c r="A95" t="str">
        <f t="shared" si="1"/>
        <v>Proph@ne2</v>
      </c>
      <c r="B95">
        <v>5</v>
      </c>
      <c r="C95" t="s">
        <v>87</v>
      </c>
      <c r="D95">
        <v>0</v>
      </c>
      <c r="E95">
        <v>2</v>
      </c>
      <c r="F95">
        <v>2</v>
      </c>
    </row>
    <row r="96" spans="1:6" x14ac:dyDescent="0.2">
      <c r="A96" t="str">
        <f t="shared" si="1"/>
        <v>Rockatou2</v>
      </c>
      <c r="B96">
        <v>6</v>
      </c>
      <c r="C96" t="s">
        <v>493</v>
      </c>
      <c r="D96">
        <v>0</v>
      </c>
      <c r="E96">
        <v>1</v>
      </c>
      <c r="F96">
        <v>2</v>
      </c>
    </row>
    <row r="97" spans="1:6" x14ac:dyDescent="0.2">
      <c r="A97" t="str">
        <f t="shared" si="1"/>
        <v>Pyja2</v>
      </c>
      <c r="B97">
        <v>1</v>
      </c>
      <c r="C97" t="s">
        <v>6</v>
      </c>
      <c r="D97">
        <v>1</v>
      </c>
      <c r="E97">
        <v>16</v>
      </c>
      <c r="F97">
        <v>2</v>
      </c>
    </row>
    <row r="98" spans="1:6" x14ac:dyDescent="0.2">
      <c r="A98" t="str">
        <f t="shared" si="1"/>
        <v>Fishtro2</v>
      </c>
      <c r="B98">
        <v>2</v>
      </c>
      <c r="C98" t="s">
        <v>512</v>
      </c>
      <c r="D98">
        <v>2</v>
      </c>
      <c r="E98">
        <v>12</v>
      </c>
      <c r="F98">
        <v>2</v>
      </c>
    </row>
    <row r="99" spans="1:6" x14ac:dyDescent="0.2">
      <c r="A99" t="str">
        <f t="shared" si="1"/>
        <v>Mandrake2</v>
      </c>
      <c r="B99">
        <v>3</v>
      </c>
      <c r="C99" t="s">
        <v>27</v>
      </c>
      <c r="D99">
        <v>1</v>
      </c>
      <c r="E99">
        <v>8</v>
      </c>
      <c r="F99">
        <v>2</v>
      </c>
    </row>
    <row r="100" spans="1:6" x14ac:dyDescent="0.2">
      <c r="A100" t="str">
        <f t="shared" si="1"/>
        <v>Ripolin2</v>
      </c>
      <c r="B100">
        <v>4</v>
      </c>
      <c r="C100" t="s">
        <v>65</v>
      </c>
      <c r="D100">
        <v>1</v>
      </c>
      <c r="E100">
        <v>4</v>
      </c>
      <c r="F100">
        <v>2</v>
      </c>
    </row>
    <row r="101" spans="1:6" x14ac:dyDescent="0.2">
      <c r="A101" t="str">
        <f t="shared" si="1"/>
        <v>Claptou2</v>
      </c>
      <c r="B101">
        <v>5</v>
      </c>
      <c r="C101" t="s">
        <v>42</v>
      </c>
      <c r="D101">
        <v>0</v>
      </c>
      <c r="E101">
        <v>2</v>
      </c>
      <c r="F101">
        <v>2</v>
      </c>
    </row>
    <row r="102" spans="1:6" x14ac:dyDescent="0.2">
      <c r="A102" t="str">
        <f t="shared" si="1"/>
        <v>Djecus2</v>
      </c>
      <c r="B102">
        <v>6</v>
      </c>
      <c r="C102" t="s">
        <v>461</v>
      </c>
      <c r="D102">
        <v>0</v>
      </c>
      <c r="E102">
        <v>1</v>
      </c>
      <c r="F102">
        <v>2</v>
      </c>
    </row>
    <row r="103" spans="1:6" x14ac:dyDescent="0.2">
      <c r="A103" t="str">
        <f t="shared" si="1"/>
        <v>YooooDA2</v>
      </c>
      <c r="B103">
        <v>1</v>
      </c>
      <c r="C103" t="s">
        <v>59</v>
      </c>
      <c r="D103">
        <v>4</v>
      </c>
      <c r="E103">
        <v>17</v>
      </c>
      <c r="F103">
        <v>2</v>
      </c>
    </row>
    <row r="104" spans="1:6" x14ac:dyDescent="0.2">
      <c r="A104" t="str">
        <f t="shared" si="1"/>
        <v>Jacaille2</v>
      </c>
      <c r="B104">
        <v>2</v>
      </c>
      <c r="C104" t="s">
        <v>451</v>
      </c>
      <c r="D104">
        <v>1</v>
      </c>
      <c r="E104">
        <v>13</v>
      </c>
      <c r="F104">
        <v>2</v>
      </c>
    </row>
    <row r="105" spans="1:6" x14ac:dyDescent="0.2">
      <c r="A105" t="str">
        <f t="shared" si="1"/>
        <v>Poisson Pilote2</v>
      </c>
      <c r="B105">
        <v>3</v>
      </c>
      <c r="C105" t="s">
        <v>501</v>
      </c>
      <c r="D105">
        <v>0</v>
      </c>
      <c r="E105">
        <v>9</v>
      </c>
      <c r="F105">
        <v>2</v>
      </c>
    </row>
    <row r="106" spans="1:6" x14ac:dyDescent="0.2">
      <c r="A106" t="str">
        <f t="shared" si="1"/>
        <v>Zizou2</v>
      </c>
      <c r="B106">
        <v>4</v>
      </c>
      <c r="C106" t="s">
        <v>504</v>
      </c>
      <c r="D106">
        <v>1</v>
      </c>
      <c r="E106">
        <v>5</v>
      </c>
      <c r="F106">
        <v>2</v>
      </c>
    </row>
    <row r="107" spans="1:6" x14ac:dyDescent="0.2">
      <c r="A107" t="str">
        <f t="shared" si="1"/>
        <v>Jaden2</v>
      </c>
      <c r="B107">
        <v>5</v>
      </c>
      <c r="C107" t="s">
        <v>521</v>
      </c>
      <c r="D107">
        <v>0</v>
      </c>
      <c r="E107">
        <v>3</v>
      </c>
      <c r="F107">
        <v>2</v>
      </c>
    </row>
    <row r="108" spans="1:6" x14ac:dyDescent="0.2">
      <c r="A108" t="str">
        <f t="shared" si="1"/>
        <v>Yaltar2</v>
      </c>
      <c r="B108">
        <v>6</v>
      </c>
      <c r="C108" t="s">
        <v>503</v>
      </c>
      <c r="D108">
        <v>0</v>
      </c>
      <c r="E108">
        <v>2</v>
      </c>
      <c r="F108">
        <v>2</v>
      </c>
    </row>
    <row r="109" spans="1:6" x14ac:dyDescent="0.2">
      <c r="A109" t="str">
        <f t="shared" si="1"/>
        <v>Mams2</v>
      </c>
      <c r="B109">
        <v>7</v>
      </c>
      <c r="C109" t="s">
        <v>505</v>
      </c>
      <c r="D109">
        <v>0</v>
      </c>
      <c r="E109">
        <v>1</v>
      </c>
      <c r="F109">
        <v>2</v>
      </c>
    </row>
    <row r="110" spans="1:6" x14ac:dyDescent="0.2">
      <c r="A110" t="str">
        <f t="shared" si="1"/>
        <v>NoDoubt3</v>
      </c>
      <c r="B110">
        <v>1</v>
      </c>
      <c r="C110" t="s">
        <v>29</v>
      </c>
      <c r="D110">
        <v>3</v>
      </c>
      <c r="E110">
        <v>16</v>
      </c>
      <c r="F110">
        <v>3</v>
      </c>
    </row>
    <row r="111" spans="1:6" x14ac:dyDescent="0.2">
      <c r="A111" t="str">
        <f t="shared" si="1"/>
        <v>Tenko3</v>
      </c>
      <c r="B111">
        <v>2</v>
      </c>
      <c r="C111" t="s">
        <v>516</v>
      </c>
      <c r="D111">
        <v>2</v>
      </c>
      <c r="E111">
        <v>12</v>
      </c>
      <c r="F111">
        <v>3</v>
      </c>
    </row>
    <row r="112" spans="1:6" x14ac:dyDescent="0.2">
      <c r="A112" t="str">
        <f t="shared" si="1"/>
        <v>MegaSouche3</v>
      </c>
      <c r="B112">
        <v>3</v>
      </c>
      <c r="C112" t="s">
        <v>476</v>
      </c>
      <c r="D112">
        <v>0</v>
      </c>
      <c r="E112">
        <v>8</v>
      </c>
      <c r="F112">
        <v>3</v>
      </c>
    </row>
    <row r="113" spans="1:6" x14ac:dyDescent="0.2">
      <c r="A113" t="str">
        <f t="shared" si="1"/>
        <v>Rmarc3</v>
      </c>
      <c r="B113">
        <v>4</v>
      </c>
      <c r="C113" t="s">
        <v>508</v>
      </c>
      <c r="D113">
        <v>0</v>
      </c>
      <c r="E113">
        <v>4</v>
      </c>
      <c r="F113">
        <v>3</v>
      </c>
    </row>
    <row r="114" spans="1:6" x14ac:dyDescent="0.2">
      <c r="A114" t="str">
        <f t="shared" si="1"/>
        <v>Michelbey3</v>
      </c>
      <c r="B114">
        <v>5</v>
      </c>
      <c r="C114" t="s">
        <v>75</v>
      </c>
      <c r="D114">
        <v>0</v>
      </c>
      <c r="E114">
        <v>2</v>
      </c>
      <c r="F114">
        <v>3</v>
      </c>
    </row>
    <row r="115" spans="1:6" x14ac:dyDescent="0.2">
      <c r="A115" t="str">
        <f t="shared" si="1"/>
        <v>Flopynou3</v>
      </c>
      <c r="B115">
        <v>6</v>
      </c>
      <c r="C115" t="s">
        <v>530</v>
      </c>
      <c r="D115">
        <v>0</v>
      </c>
      <c r="E115">
        <v>1</v>
      </c>
      <c r="F115">
        <v>3</v>
      </c>
    </row>
    <row r="116" spans="1:6" x14ac:dyDescent="0.2">
      <c r="A116" t="str">
        <f t="shared" si="1"/>
        <v>Mams3</v>
      </c>
      <c r="B116">
        <v>1</v>
      </c>
      <c r="C116" t="s">
        <v>505</v>
      </c>
      <c r="D116">
        <v>1</v>
      </c>
      <c r="E116">
        <v>16</v>
      </c>
      <c r="F116">
        <v>3</v>
      </c>
    </row>
    <row r="117" spans="1:6" x14ac:dyDescent="0.2">
      <c r="A117" t="str">
        <f t="shared" si="1"/>
        <v>Pintu3</v>
      </c>
      <c r="B117">
        <v>2</v>
      </c>
      <c r="C117" t="s">
        <v>48</v>
      </c>
      <c r="D117">
        <v>3</v>
      </c>
      <c r="E117">
        <v>12</v>
      </c>
      <c r="F117">
        <v>3</v>
      </c>
    </row>
    <row r="118" spans="1:6" x14ac:dyDescent="0.2">
      <c r="A118" t="str">
        <f t="shared" si="1"/>
        <v>Magic Mykiss3</v>
      </c>
      <c r="B118">
        <v>3</v>
      </c>
      <c r="C118" t="s">
        <v>510</v>
      </c>
      <c r="D118">
        <v>1</v>
      </c>
      <c r="E118">
        <v>8</v>
      </c>
      <c r="F118">
        <v>3</v>
      </c>
    </row>
    <row r="119" spans="1:6" x14ac:dyDescent="0.2">
      <c r="A119" t="str">
        <f t="shared" si="1"/>
        <v>The Hengover3</v>
      </c>
      <c r="B119">
        <v>4</v>
      </c>
      <c r="C119" t="s">
        <v>452</v>
      </c>
      <c r="D119">
        <v>0</v>
      </c>
      <c r="E119">
        <v>4</v>
      </c>
      <c r="F119">
        <v>3</v>
      </c>
    </row>
    <row r="120" spans="1:6" x14ac:dyDescent="0.2">
      <c r="A120" t="str">
        <f t="shared" si="1"/>
        <v>Catherine3</v>
      </c>
      <c r="B120">
        <v>5</v>
      </c>
      <c r="C120" t="s">
        <v>69</v>
      </c>
      <c r="D120">
        <v>0</v>
      </c>
      <c r="E120">
        <v>2</v>
      </c>
      <c r="F120">
        <v>3</v>
      </c>
    </row>
    <row r="121" spans="1:6" x14ac:dyDescent="0.2">
      <c r="A121" t="str">
        <f t="shared" si="1"/>
        <v>Zubbaz3</v>
      </c>
      <c r="B121">
        <v>6</v>
      </c>
      <c r="C121" t="s">
        <v>506</v>
      </c>
      <c r="D121">
        <v>0</v>
      </c>
      <c r="E121">
        <v>1</v>
      </c>
      <c r="F121">
        <v>3</v>
      </c>
    </row>
    <row r="122" spans="1:6" x14ac:dyDescent="0.2">
      <c r="A122" t="str">
        <f t="shared" si="1"/>
        <v>Losogre3</v>
      </c>
      <c r="B122">
        <v>1</v>
      </c>
      <c r="C122" t="s">
        <v>507</v>
      </c>
      <c r="D122">
        <v>4</v>
      </c>
      <c r="E122">
        <v>16</v>
      </c>
      <c r="F122">
        <v>3</v>
      </c>
    </row>
    <row r="123" spans="1:6" x14ac:dyDescent="0.2">
      <c r="A123" t="str">
        <f t="shared" si="1"/>
        <v>JC3</v>
      </c>
      <c r="B123">
        <v>2</v>
      </c>
      <c r="C123" t="s">
        <v>534</v>
      </c>
      <c r="D123">
        <v>1</v>
      </c>
      <c r="E123">
        <v>12</v>
      </c>
      <c r="F123">
        <v>3</v>
      </c>
    </row>
    <row r="124" spans="1:6" x14ac:dyDescent="0.2">
      <c r="A124" t="str">
        <f t="shared" si="1"/>
        <v>Yroz3</v>
      </c>
      <c r="B124">
        <v>3</v>
      </c>
      <c r="C124" t="s">
        <v>526</v>
      </c>
      <c r="D124">
        <v>0</v>
      </c>
      <c r="E124">
        <v>8</v>
      </c>
      <c r="F124">
        <v>3</v>
      </c>
    </row>
    <row r="125" spans="1:6" x14ac:dyDescent="0.2">
      <c r="A125" t="str">
        <f t="shared" si="1"/>
        <v>TheRealWill3</v>
      </c>
      <c r="B125">
        <v>4</v>
      </c>
      <c r="C125" t="s">
        <v>535</v>
      </c>
      <c r="D125">
        <v>0</v>
      </c>
      <c r="E125">
        <v>4</v>
      </c>
      <c r="F125">
        <v>3</v>
      </c>
    </row>
    <row r="126" spans="1:6" x14ac:dyDescent="0.2">
      <c r="A126" t="str">
        <f t="shared" si="1"/>
        <v>Just4fun3</v>
      </c>
      <c r="B126">
        <v>5</v>
      </c>
      <c r="C126" t="s">
        <v>527</v>
      </c>
      <c r="D126">
        <v>0</v>
      </c>
      <c r="E126">
        <v>2</v>
      </c>
      <c r="F126">
        <v>3</v>
      </c>
    </row>
    <row r="127" spans="1:6" x14ac:dyDescent="0.2">
      <c r="A127" t="str">
        <f t="shared" si="1"/>
        <v>Thibaultp753</v>
      </c>
      <c r="B127">
        <v>6</v>
      </c>
      <c r="C127" t="s">
        <v>345</v>
      </c>
      <c r="D127">
        <v>0</v>
      </c>
      <c r="E127">
        <v>1</v>
      </c>
      <c r="F127">
        <v>3</v>
      </c>
    </row>
    <row r="128" spans="1:6" x14ac:dyDescent="0.2">
      <c r="A128" t="str">
        <f t="shared" si="1"/>
        <v>Proph@ne3</v>
      </c>
      <c r="B128">
        <v>1</v>
      </c>
      <c r="C128" t="s">
        <v>87</v>
      </c>
      <c r="D128">
        <v>1</v>
      </c>
      <c r="E128">
        <v>17</v>
      </c>
      <c r="F128">
        <v>3</v>
      </c>
    </row>
    <row r="129" spans="1:6" x14ac:dyDescent="0.2">
      <c r="A129" t="str">
        <f t="shared" si="1"/>
        <v>Mandrake3</v>
      </c>
      <c r="B129">
        <v>2</v>
      </c>
      <c r="C129" t="s">
        <v>27</v>
      </c>
      <c r="D129">
        <v>3</v>
      </c>
      <c r="E129">
        <v>13</v>
      </c>
      <c r="F129">
        <v>3</v>
      </c>
    </row>
    <row r="130" spans="1:6" x14ac:dyDescent="0.2">
      <c r="A130" t="str">
        <f t="shared" ref="A130:A193" si="2">C130&amp;F130</f>
        <v>Djecus3</v>
      </c>
      <c r="B130">
        <v>3</v>
      </c>
      <c r="C130" t="s">
        <v>461</v>
      </c>
      <c r="D130">
        <v>1</v>
      </c>
      <c r="E130">
        <v>9</v>
      </c>
      <c r="F130">
        <v>3</v>
      </c>
    </row>
    <row r="131" spans="1:6" x14ac:dyDescent="0.2">
      <c r="A131" t="str">
        <f t="shared" si="2"/>
        <v>Carmin3</v>
      </c>
      <c r="B131">
        <v>4</v>
      </c>
      <c r="C131" t="s">
        <v>21</v>
      </c>
      <c r="D131">
        <v>0</v>
      </c>
      <c r="E131">
        <v>5</v>
      </c>
      <c r="F131">
        <v>3</v>
      </c>
    </row>
    <row r="132" spans="1:6" x14ac:dyDescent="0.2">
      <c r="A132" t="str">
        <f t="shared" si="2"/>
        <v>Lizzie3</v>
      </c>
      <c r="B132">
        <v>5</v>
      </c>
      <c r="C132" t="s">
        <v>462</v>
      </c>
      <c r="D132">
        <v>1</v>
      </c>
      <c r="E132">
        <v>3</v>
      </c>
      <c r="F132">
        <v>3</v>
      </c>
    </row>
    <row r="133" spans="1:6" x14ac:dyDescent="0.2">
      <c r="A133" t="str">
        <f t="shared" si="2"/>
        <v>Toinou3</v>
      </c>
      <c r="B133">
        <v>6</v>
      </c>
      <c r="C133" t="s">
        <v>531</v>
      </c>
      <c r="D133">
        <v>0</v>
      </c>
      <c r="E133">
        <v>2</v>
      </c>
      <c r="F133">
        <v>3</v>
      </c>
    </row>
    <row r="134" spans="1:6" x14ac:dyDescent="0.2">
      <c r="A134" t="str">
        <f t="shared" si="2"/>
        <v>Boosilletoo3</v>
      </c>
      <c r="B134">
        <v>7</v>
      </c>
      <c r="C134" t="s">
        <v>532</v>
      </c>
      <c r="D134">
        <v>0</v>
      </c>
      <c r="E134">
        <v>1</v>
      </c>
      <c r="F134">
        <v>3</v>
      </c>
    </row>
    <row r="135" spans="1:6" x14ac:dyDescent="0.2">
      <c r="A135" t="str">
        <f t="shared" si="2"/>
        <v>YooooDA3</v>
      </c>
      <c r="B135">
        <v>1</v>
      </c>
      <c r="C135" t="s">
        <v>59</v>
      </c>
      <c r="D135">
        <v>3</v>
      </c>
      <c r="E135">
        <v>17</v>
      </c>
      <c r="F135">
        <v>3</v>
      </c>
    </row>
    <row r="136" spans="1:6" x14ac:dyDescent="0.2">
      <c r="A136" t="str">
        <f t="shared" si="2"/>
        <v>DernierPli3</v>
      </c>
      <c r="B136">
        <v>2</v>
      </c>
      <c r="C136" t="s">
        <v>490</v>
      </c>
      <c r="D136">
        <v>3</v>
      </c>
      <c r="E136">
        <v>13</v>
      </c>
      <c r="F136">
        <v>3</v>
      </c>
    </row>
    <row r="137" spans="1:6" x14ac:dyDescent="0.2">
      <c r="A137" t="str">
        <f t="shared" si="2"/>
        <v>Salender3</v>
      </c>
      <c r="B137">
        <v>3</v>
      </c>
      <c r="C137" t="s">
        <v>479</v>
      </c>
      <c r="D137">
        <v>0</v>
      </c>
      <c r="E137">
        <v>9</v>
      </c>
      <c r="F137">
        <v>3</v>
      </c>
    </row>
    <row r="138" spans="1:6" x14ac:dyDescent="0.2">
      <c r="A138" t="str">
        <f t="shared" si="2"/>
        <v>K13</v>
      </c>
      <c r="B138">
        <v>4</v>
      </c>
      <c r="C138" t="s">
        <v>9</v>
      </c>
      <c r="D138">
        <v>0</v>
      </c>
      <c r="E138">
        <v>5</v>
      </c>
      <c r="F138">
        <v>3</v>
      </c>
    </row>
    <row r="139" spans="1:6" x14ac:dyDescent="0.2">
      <c r="A139" t="str">
        <f t="shared" si="2"/>
        <v>Comment23</v>
      </c>
      <c r="B139">
        <v>5</v>
      </c>
      <c r="C139" t="s">
        <v>76</v>
      </c>
      <c r="D139">
        <v>0</v>
      </c>
      <c r="E139">
        <v>3</v>
      </c>
      <c r="F139">
        <v>3</v>
      </c>
    </row>
    <row r="140" spans="1:6" x14ac:dyDescent="0.2">
      <c r="A140" t="str">
        <f t="shared" si="2"/>
        <v>Ouais ouais3</v>
      </c>
      <c r="B140">
        <v>6</v>
      </c>
      <c r="C140" t="s">
        <v>533</v>
      </c>
      <c r="D140">
        <v>0</v>
      </c>
      <c r="E140">
        <v>2</v>
      </c>
      <c r="F140">
        <v>3</v>
      </c>
    </row>
    <row r="141" spans="1:6" x14ac:dyDescent="0.2">
      <c r="A141" t="str">
        <f t="shared" si="2"/>
        <v>Jacaille3</v>
      </c>
      <c r="B141">
        <v>7</v>
      </c>
      <c r="C141" t="s">
        <v>451</v>
      </c>
      <c r="D141">
        <v>0</v>
      </c>
      <c r="E141">
        <v>1</v>
      </c>
      <c r="F141">
        <v>3</v>
      </c>
    </row>
    <row r="142" spans="1:6" x14ac:dyDescent="0.2">
      <c r="A142" t="str">
        <f t="shared" si="2"/>
        <v>Fishtro3</v>
      </c>
      <c r="B142">
        <v>1</v>
      </c>
      <c r="C142" t="s">
        <v>512</v>
      </c>
      <c r="D142">
        <v>2</v>
      </c>
      <c r="E142">
        <v>16</v>
      </c>
      <c r="F142">
        <v>3</v>
      </c>
    </row>
    <row r="143" spans="1:6" x14ac:dyDescent="0.2">
      <c r="A143" t="str">
        <f t="shared" si="2"/>
        <v>Rockatou3</v>
      </c>
      <c r="B143">
        <v>2</v>
      </c>
      <c r="C143" t="s">
        <v>493</v>
      </c>
      <c r="D143">
        <v>2</v>
      </c>
      <c r="E143">
        <v>12</v>
      </c>
      <c r="F143">
        <v>3</v>
      </c>
    </row>
    <row r="144" spans="1:6" x14ac:dyDescent="0.2">
      <c r="A144" t="str">
        <f t="shared" si="2"/>
        <v>Poisson Pilote3</v>
      </c>
      <c r="B144">
        <v>3</v>
      </c>
      <c r="C144" t="s">
        <v>501</v>
      </c>
      <c r="D144">
        <v>1</v>
      </c>
      <c r="E144">
        <v>8</v>
      </c>
      <c r="F144">
        <v>3</v>
      </c>
    </row>
    <row r="145" spans="1:6" x14ac:dyDescent="0.2">
      <c r="A145" t="str">
        <f t="shared" si="2"/>
        <v>Jaden3</v>
      </c>
      <c r="B145">
        <v>4</v>
      </c>
      <c r="C145" t="s">
        <v>521</v>
      </c>
      <c r="D145">
        <v>0</v>
      </c>
      <c r="E145">
        <v>4</v>
      </c>
      <c r="F145">
        <v>3</v>
      </c>
    </row>
    <row r="146" spans="1:6" x14ac:dyDescent="0.2">
      <c r="A146" t="str">
        <f t="shared" si="2"/>
        <v>OlivierN923</v>
      </c>
      <c r="B146">
        <v>5</v>
      </c>
      <c r="C146" t="s">
        <v>32</v>
      </c>
      <c r="D146">
        <v>0</v>
      </c>
      <c r="E146">
        <v>2</v>
      </c>
      <c r="F146">
        <v>3</v>
      </c>
    </row>
    <row r="147" spans="1:6" x14ac:dyDescent="0.2">
      <c r="A147" t="str">
        <f t="shared" si="2"/>
        <v>Zizou3</v>
      </c>
      <c r="B147">
        <v>6</v>
      </c>
      <c r="C147" t="s">
        <v>504</v>
      </c>
      <c r="D147">
        <v>0</v>
      </c>
      <c r="E147">
        <v>1</v>
      </c>
      <c r="F147">
        <v>3</v>
      </c>
    </row>
    <row r="148" spans="1:6" x14ac:dyDescent="0.2">
      <c r="A148" t="str">
        <f t="shared" si="2"/>
        <v>Ad Vitam3</v>
      </c>
      <c r="B148">
        <v>1</v>
      </c>
      <c r="C148" t="s">
        <v>66</v>
      </c>
      <c r="D148">
        <v>3</v>
      </c>
      <c r="E148">
        <v>16</v>
      </c>
      <c r="F148">
        <v>3</v>
      </c>
    </row>
    <row r="149" spans="1:6" x14ac:dyDescent="0.2">
      <c r="A149" t="str">
        <f t="shared" si="2"/>
        <v>Xhar923</v>
      </c>
      <c r="B149">
        <v>2</v>
      </c>
      <c r="C149" t="s">
        <v>519</v>
      </c>
      <c r="D149">
        <v>0</v>
      </c>
      <c r="E149">
        <v>12</v>
      </c>
      <c r="F149">
        <v>3</v>
      </c>
    </row>
    <row r="150" spans="1:6" x14ac:dyDescent="0.2">
      <c r="A150" t="str">
        <f t="shared" si="2"/>
        <v>ChrisFrankfurt3</v>
      </c>
      <c r="B150">
        <v>3</v>
      </c>
      <c r="C150" t="s">
        <v>101</v>
      </c>
      <c r="D150">
        <v>1</v>
      </c>
      <c r="E150">
        <v>8</v>
      </c>
      <c r="F150">
        <v>3</v>
      </c>
    </row>
    <row r="151" spans="1:6" x14ac:dyDescent="0.2">
      <c r="A151" t="str">
        <f t="shared" si="2"/>
        <v>La Bavure3</v>
      </c>
      <c r="B151">
        <v>4</v>
      </c>
      <c r="C151" t="s">
        <v>475</v>
      </c>
      <c r="D151">
        <v>1</v>
      </c>
      <c r="E151">
        <v>4</v>
      </c>
      <c r="F151">
        <v>3</v>
      </c>
    </row>
    <row r="152" spans="1:6" x14ac:dyDescent="0.2">
      <c r="A152" t="str">
        <f t="shared" si="2"/>
        <v>Pyja3</v>
      </c>
      <c r="B152">
        <v>5</v>
      </c>
      <c r="C152" t="s">
        <v>6</v>
      </c>
      <c r="D152">
        <v>0</v>
      </c>
      <c r="E152">
        <v>2</v>
      </c>
      <c r="F152">
        <v>3</v>
      </c>
    </row>
    <row r="153" spans="1:6" x14ac:dyDescent="0.2">
      <c r="A153" t="str">
        <f t="shared" si="2"/>
        <v>Freddie3</v>
      </c>
      <c r="B153">
        <v>6</v>
      </c>
      <c r="C153" t="s">
        <v>525</v>
      </c>
      <c r="D153">
        <v>0</v>
      </c>
      <c r="E153">
        <v>1</v>
      </c>
      <c r="F153">
        <v>3</v>
      </c>
    </row>
    <row r="154" spans="1:6" x14ac:dyDescent="0.2">
      <c r="A154" t="str">
        <f t="shared" si="2"/>
        <v>Ramm3</v>
      </c>
      <c r="B154">
        <v>1</v>
      </c>
      <c r="C154" t="s">
        <v>14</v>
      </c>
      <c r="D154">
        <v>5</v>
      </c>
      <c r="E154">
        <v>16</v>
      </c>
      <c r="F154">
        <v>3</v>
      </c>
    </row>
    <row r="155" spans="1:6" x14ac:dyDescent="0.2">
      <c r="A155" t="str">
        <f t="shared" si="2"/>
        <v>Ptit Savoyard3</v>
      </c>
      <c r="B155">
        <v>2</v>
      </c>
      <c r="C155" t="s">
        <v>33</v>
      </c>
      <c r="D155">
        <v>0</v>
      </c>
      <c r="E155">
        <v>12</v>
      </c>
      <c r="F155">
        <v>3</v>
      </c>
    </row>
    <row r="156" spans="1:6" x14ac:dyDescent="0.2">
      <c r="A156" t="str">
        <f t="shared" si="2"/>
        <v>JeanMichelTiming3</v>
      </c>
      <c r="B156">
        <v>3</v>
      </c>
      <c r="C156" t="s">
        <v>35</v>
      </c>
      <c r="D156">
        <v>1</v>
      </c>
      <c r="E156">
        <v>8</v>
      </c>
      <c r="F156">
        <v>3</v>
      </c>
    </row>
    <row r="157" spans="1:6" x14ac:dyDescent="0.2">
      <c r="A157" t="str">
        <f t="shared" si="2"/>
        <v>PatB3</v>
      </c>
      <c r="B157">
        <v>4</v>
      </c>
      <c r="C157" t="s">
        <v>74</v>
      </c>
      <c r="D157">
        <v>0</v>
      </c>
      <c r="E157">
        <v>4</v>
      </c>
      <c r="F157">
        <v>3</v>
      </c>
    </row>
    <row r="158" spans="1:6" x14ac:dyDescent="0.2">
      <c r="A158" t="str">
        <f t="shared" si="2"/>
        <v>Lén@3</v>
      </c>
      <c r="B158">
        <v>5</v>
      </c>
      <c r="C158" t="s">
        <v>40</v>
      </c>
      <c r="D158">
        <v>0</v>
      </c>
      <c r="E158">
        <v>2</v>
      </c>
      <c r="F158">
        <v>3</v>
      </c>
    </row>
    <row r="159" spans="1:6" x14ac:dyDescent="0.2">
      <c r="A159" t="str">
        <f t="shared" si="2"/>
        <v>Solex3</v>
      </c>
      <c r="B159">
        <v>6</v>
      </c>
      <c r="C159" t="s">
        <v>34</v>
      </c>
      <c r="D159">
        <v>0</v>
      </c>
      <c r="E159">
        <v>1</v>
      </c>
      <c r="F159">
        <v>3</v>
      </c>
    </row>
    <row r="160" spans="1:6" x14ac:dyDescent="0.2">
      <c r="A160" t="str">
        <f t="shared" si="2"/>
        <v>Sobab3</v>
      </c>
      <c r="B160">
        <v>1</v>
      </c>
      <c r="C160" t="s">
        <v>502</v>
      </c>
      <c r="D160">
        <v>4</v>
      </c>
      <c r="E160">
        <v>16</v>
      </c>
      <c r="F160">
        <v>3</v>
      </c>
    </row>
    <row r="161" spans="1:6" x14ac:dyDescent="0.2">
      <c r="A161" t="str">
        <f t="shared" si="2"/>
        <v>Claptou3</v>
      </c>
      <c r="B161">
        <v>2</v>
      </c>
      <c r="C161" t="s">
        <v>42</v>
      </c>
      <c r="D161">
        <v>1</v>
      </c>
      <c r="E161">
        <v>12</v>
      </c>
      <c r="F161">
        <v>3</v>
      </c>
    </row>
    <row r="162" spans="1:6" x14ac:dyDescent="0.2">
      <c r="A162" t="str">
        <f t="shared" si="2"/>
        <v>Jérôme3</v>
      </c>
      <c r="B162">
        <v>3</v>
      </c>
      <c r="C162" t="s">
        <v>46</v>
      </c>
      <c r="D162">
        <v>0</v>
      </c>
      <c r="E162">
        <v>8</v>
      </c>
      <c r="F162">
        <v>3</v>
      </c>
    </row>
    <row r="163" spans="1:6" x14ac:dyDescent="0.2">
      <c r="A163" t="str">
        <f t="shared" si="2"/>
        <v>Claudius3</v>
      </c>
      <c r="B163">
        <v>4</v>
      </c>
      <c r="C163" t="s">
        <v>25</v>
      </c>
      <c r="D163">
        <v>0</v>
      </c>
      <c r="E163">
        <v>4</v>
      </c>
      <c r="F163">
        <v>3</v>
      </c>
    </row>
    <row r="164" spans="1:6" x14ac:dyDescent="0.2">
      <c r="A164" t="str">
        <f t="shared" si="2"/>
        <v>Gibouille3</v>
      </c>
      <c r="B164">
        <v>5</v>
      </c>
      <c r="C164" t="s">
        <v>509</v>
      </c>
      <c r="D164">
        <v>0</v>
      </c>
      <c r="E164">
        <v>2</v>
      </c>
      <c r="F164">
        <v>3</v>
      </c>
    </row>
    <row r="165" spans="1:6" x14ac:dyDescent="0.2">
      <c r="A165" t="str">
        <f t="shared" si="2"/>
        <v>Kri-lin3</v>
      </c>
      <c r="B165">
        <v>6</v>
      </c>
      <c r="C165" t="s">
        <v>61</v>
      </c>
      <c r="D165">
        <v>0</v>
      </c>
      <c r="E165">
        <v>1</v>
      </c>
      <c r="F165">
        <v>3</v>
      </c>
    </row>
    <row r="166" spans="1:6" x14ac:dyDescent="0.2">
      <c r="A166" t="str">
        <f t="shared" si="2"/>
        <v>Djecus4</v>
      </c>
      <c r="B166">
        <v>1</v>
      </c>
      <c r="C166" t="s">
        <v>461</v>
      </c>
      <c r="D166">
        <v>4</v>
      </c>
      <c r="E166">
        <v>17</v>
      </c>
      <c r="F166">
        <v>4</v>
      </c>
    </row>
    <row r="167" spans="1:6" x14ac:dyDescent="0.2">
      <c r="A167" t="str">
        <f t="shared" si="2"/>
        <v>Salender4</v>
      </c>
      <c r="B167">
        <v>2</v>
      </c>
      <c r="C167" t="s">
        <v>479</v>
      </c>
      <c r="D167">
        <v>2</v>
      </c>
      <c r="E167">
        <v>13</v>
      </c>
      <c r="F167">
        <v>4</v>
      </c>
    </row>
    <row r="168" spans="1:6" x14ac:dyDescent="0.2">
      <c r="A168" t="str">
        <f t="shared" si="2"/>
        <v>Freddie4</v>
      </c>
      <c r="B168">
        <v>3</v>
      </c>
      <c r="C168" t="s">
        <v>525</v>
      </c>
      <c r="D168">
        <v>0</v>
      </c>
      <c r="E168">
        <v>9</v>
      </c>
      <c r="F168">
        <v>4</v>
      </c>
    </row>
    <row r="169" spans="1:6" x14ac:dyDescent="0.2">
      <c r="A169" t="str">
        <f t="shared" si="2"/>
        <v>Bounette4</v>
      </c>
      <c r="B169">
        <v>4</v>
      </c>
      <c r="C169" t="s">
        <v>55</v>
      </c>
      <c r="D169">
        <v>0</v>
      </c>
      <c r="E169">
        <v>5</v>
      </c>
      <c r="F169">
        <v>4</v>
      </c>
    </row>
    <row r="170" spans="1:6" x14ac:dyDescent="0.2">
      <c r="A170" t="str">
        <f t="shared" si="2"/>
        <v>Riviera4</v>
      </c>
      <c r="B170">
        <v>5</v>
      </c>
      <c r="C170" t="s">
        <v>261</v>
      </c>
      <c r="D170">
        <v>0</v>
      </c>
      <c r="E170">
        <v>3</v>
      </c>
      <c r="F170">
        <v>4</v>
      </c>
    </row>
    <row r="171" spans="1:6" x14ac:dyDescent="0.2">
      <c r="A171" t="str">
        <f t="shared" si="2"/>
        <v>Lén@4</v>
      </c>
      <c r="B171">
        <v>6</v>
      </c>
      <c r="C171" t="s">
        <v>40</v>
      </c>
      <c r="D171">
        <v>0</v>
      </c>
      <c r="E171">
        <v>2</v>
      </c>
      <c r="F171">
        <v>4</v>
      </c>
    </row>
    <row r="172" spans="1:6" x14ac:dyDescent="0.2">
      <c r="A172" t="str">
        <f t="shared" si="2"/>
        <v>Zubbaz4</v>
      </c>
      <c r="B172">
        <v>7</v>
      </c>
      <c r="C172" t="s">
        <v>506</v>
      </c>
      <c r="D172">
        <v>0</v>
      </c>
      <c r="E172">
        <v>1</v>
      </c>
      <c r="F172">
        <v>4</v>
      </c>
    </row>
    <row r="173" spans="1:6" x14ac:dyDescent="0.2">
      <c r="A173" t="str">
        <f t="shared" si="2"/>
        <v>Rockatou4</v>
      </c>
      <c r="B173">
        <v>1</v>
      </c>
      <c r="C173" t="s">
        <v>493</v>
      </c>
      <c r="D173">
        <v>2</v>
      </c>
      <c r="E173">
        <v>17</v>
      </c>
      <c r="F173">
        <v>4</v>
      </c>
    </row>
    <row r="174" spans="1:6" x14ac:dyDescent="0.2">
      <c r="A174" t="str">
        <f t="shared" si="2"/>
        <v>NoDoubt4</v>
      </c>
      <c r="B174">
        <v>2</v>
      </c>
      <c r="C174" t="s">
        <v>29</v>
      </c>
      <c r="D174">
        <v>1</v>
      </c>
      <c r="E174">
        <v>13</v>
      </c>
      <c r="F174">
        <v>4</v>
      </c>
    </row>
    <row r="175" spans="1:6" x14ac:dyDescent="0.2">
      <c r="A175" t="str">
        <f t="shared" si="2"/>
        <v>Soupaman4</v>
      </c>
      <c r="B175">
        <v>3</v>
      </c>
      <c r="C175" t="s">
        <v>518</v>
      </c>
      <c r="D175">
        <v>3</v>
      </c>
      <c r="E175">
        <v>9</v>
      </c>
      <c r="F175">
        <v>4</v>
      </c>
    </row>
    <row r="176" spans="1:6" x14ac:dyDescent="0.2">
      <c r="A176" t="str">
        <f t="shared" si="2"/>
        <v>Jérôme4</v>
      </c>
      <c r="B176">
        <v>4</v>
      </c>
      <c r="C176" t="s">
        <v>46</v>
      </c>
      <c r="D176">
        <v>0</v>
      </c>
      <c r="E176">
        <v>5</v>
      </c>
      <c r="F176">
        <v>4</v>
      </c>
    </row>
    <row r="177" spans="1:6" x14ac:dyDescent="0.2">
      <c r="A177" t="str">
        <f t="shared" si="2"/>
        <v>saymsonite4</v>
      </c>
      <c r="B177">
        <v>5</v>
      </c>
      <c r="C177" t="s">
        <v>20</v>
      </c>
      <c r="D177">
        <v>0</v>
      </c>
      <c r="E177">
        <v>3</v>
      </c>
      <c r="F177">
        <v>4</v>
      </c>
    </row>
    <row r="178" spans="1:6" x14ac:dyDescent="0.2">
      <c r="A178" t="str">
        <f t="shared" si="2"/>
        <v>K14</v>
      </c>
      <c r="B178">
        <v>6</v>
      </c>
      <c r="C178" t="s">
        <v>9</v>
      </c>
      <c r="D178">
        <v>0</v>
      </c>
      <c r="E178">
        <v>2</v>
      </c>
      <c r="F178">
        <v>4</v>
      </c>
    </row>
    <row r="179" spans="1:6" x14ac:dyDescent="0.2">
      <c r="A179" t="str">
        <f t="shared" si="2"/>
        <v>TheRealWill4</v>
      </c>
      <c r="B179">
        <v>7</v>
      </c>
      <c r="C179" t="s">
        <v>535</v>
      </c>
      <c r="D179">
        <v>0</v>
      </c>
      <c r="E179">
        <v>1</v>
      </c>
      <c r="F179">
        <v>4</v>
      </c>
    </row>
    <row r="180" spans="1:6" x14ac:dyDescent="0.2">
      <c r="A180" t="str">
        <f t="shared" si="2"/>
        <v>DernierPli4</v>
      </c>
      <c r="B180">
        <v>1</v>
      </c>
      <c r="C180" t="s">
        <v>490</v>
      </c>
      <c r="D180">
        <v>3</v>
      </c>
      <c r="E180">
        <v>17</v>
      </c>
      <c r="F180">
        <v>4</v>
      </c>
    </row>
    <row r="181" spans="1:6" x14ac:dyDescent="0.2">
      <c r="A181" t="str">
        <f t="shared" si="2"/>
        <v>Toinou4</v>
      </c>
      <c r="B181">
        <v>2</v>
      </c>
      <c r="C181" t="s">
        <v>531</v>
      </c>
      <c r="D181">
        <v>3</v>
      </c>
      <c r="E181">
        <v>13</v>
      </c>
      <c r="F181">
        <v>4</v>
      </c>
    </row>
    <row r="182" spans="1:6" x14ac:dyDescent="0.2">
      <c r="A182" t="str">
        <f t="shared" si="2"/>
        <v>Kri-lin4</v>
      </c>
      <c r="B182">
        <v>3</v>
      </c>
      <c r="C182" t="s">
        <v>61</v>
      </c>
      <c r="D182">
        <v>0</v>
      </c>
      <c r="E182">
        <v>9</v>
      </c>
      <c r="F182">
        <v>4</v>
      </c>
    </row>
    <row r="183" spans="1:6" x14ac:dyDescent="0.2">
      <c r="A183" t="str">
        <f t="shared" si="2"/>
        <v>Claptou4</v>
      </c>
      <c r="B183">
        <v>4</v>
      </c>
      <c r="C183" t="s">
        <v>42</v>
      </c>
      <c r="D183">
        <v>0</v>
      </c>
      <c r="E183">
        <v>5</v>
      </c>
      <c r="F183">
        <v>4</v>
      </c>
    </row>
    <row r="184" spans="1:6" x14ac:dyDescent="0.2">
      <c r="A184" t="str">
        <f t="shared" si="2"/>
        <v>Catherine4</v>
      </c>
      <c r="B184">
        <v>5</v>
      </c>
      <c r="C184" t="s">
        <v>69</v>
      </c>
      <c r="D184">
        <v>0</v>
      </c>
      <c r="E184">
        <v>3</v>
      </c>
      <c r="F184">
        <v>4</v>
      </c>
    </row>
    <row r="185" spans="1:6" x14ac:dyDescent="0.2">
      <c r="A185" t="str">
        <f t="shared" si="2"/>
        <v>Carmin4</v>
      </c>
      <c r="B185">
        <v>6</v>
      </c>
      <c r="C185" t="s">
        <v>21</v>
      </c>
      <c r="D185">
        <v>0</v>
      </c>
      <c r="E185">
        <v>2</v>
      </c>
      <c r="F185">
        <v>4</v>
      </c>
    </row>
    <row r="186" spans="1:6" x14ac:dyDescent="0.2">
      <c r="A186" t="str">
        <f t="shared" si="2"/>
        <v>JeanMichelTiming4</v>
      </c>
      <c r="B186">
        <v>7</v>
      </c>
      <c r="C186" t="s">
        <v>35</v>
      </c>
      <c r="D186">
        <v>0</v>
      </c>
      <c r="E186">
        <v>1</v>
      </c>
      <c r="F186">
        <v>4</v>
      </c>
    </row>
    <row r="187" spans="1:6" x14ac:dyDescent="0.2">
      <c r="A187" t="str">
        <f t="shared" si="2"/>
        <v>Chico4</v>
      </c>
      <c r="B187">
        <v>1</v>
      </c>
      <c r="C187" t="s">
        <v>515</v>
      </c>
      <c r="D187">
        <v>4</v>
      </c>
      <c r="E187">
        <v>17</v>
      </c>
      <c r="F187">
        <v>4</v>
      </c>
    </row>
    <row r="188" spans="1:6" x14ac:dyDescent="0.2">
      <c r="A188" t="str">
        <f t="shared" si="2"/>
        <v>Ad Vitam4</v>
      </c>
      <c r="B188">
        <v>2</v>
      </c>
      <c r="C188" t="s">
        <v>66</v>
      </c>
      <c r="D188">
        <v>1</v>
      </c>
      <c r="E188">
        <v>13</v>
      </c>
      <c r="F188">
        <v>4</v>
      </c>
    </row>
    <row r="189" spans="1:6" x14ac:dyDescent="0.2">
      <c r="A189" t="str">
        <f t="shared" si="2"/>
        <v>The Hengover4</v>
      </c>
      <c r="B189">
        <v>3</v>
      </c>
      <c r="C189" t="s">
        <v>452</v>
      </c>
      <c r="D189">
        <v>1</v>
      </c>
      <c r="E189">
        <v>9</v>
      </c>
      <c r="F189">
        <v>4</v>
      </c>
    </row>
    <row r="190" spans="1:6" x14ac:dyDescent="0.2">
      <c r="A190" t="str">
        <f t="shared" si="2"/>
        <v>Flem4</v>
      </c>
      <c r="B190">
        <v>4</v>
      </c>
      <c r="C190" t="s">
        <v>73</v>
      </c>
      <c r="D190">
        <v>0</v>
      </c>
      <c r="E190">
        <v>5</v>
      </c>
      <c r="F190">
        <v>4</v>
      </c>
    </row>
    <row r="191" spans="1:6" x14ac:dyDescent="0.2">
      <c r="A191" t="str">
        <f t="shared" si="2"/>
        <v>Xhar924</v>
      </c>
      <c r="B191">
        <v>5</v>
      </c>
      <c r="C191" t="s">
        <v>519</v>
      </c>
      <c r="D191">
        <v>0</v>
      </c>
      <c r="E191">
        <v>3</v>
      </c>
      <c r="F191">
        <v>4</v>
      </c>
    </row>
    <row r="192" spans="1:6" x14ac:dyDescent="0.2">
      <c r="A192" t="str">
        <f t="shared" si="2"/>
        <v>Papillon4</v>
      </c>
      <c r="B192">
        <v>6</v>
      </c>
      <c r="C192" t="s">
        <v>528</v>
      </c>
      <c r="D192">
        <v>0</v>
      </c>
      <c r="E192">
        <v>2</v>
      </c>
      <c r="F192">
        <v>4</v>
      </c>
    </row>
    <row r="193" spans="1:6" x14ac:dyDescent="0.2">
      <c r="A193" t="str">
        <f t="shared" si="2"/>
        <v>Thibaultp754</v>
      </c>
      <c r="B193">
        <v>7</v>
      </c>
      <c r="C193" t="s">
        <v>345</v>
      </c>
      <c r="D193">
        <v>0</v>
      </c>
      <c r="E193">
        <v>1</v>
      </c>
      <c r="F193">
        <v>4</v>
      </c>
    </row>
    <row r="194" spans="1:6" x14ac:dyDescent="0.2">
      <c r="A194" t="str">
        <f t="shared" ref="A194:A257" si="3">C194&amp;F194</f>
        <v>Yaltar4</v>
      </c>
      <c r="B194">
        <v>1</v>
      </c>
      <c r="C194" t="s">
        <v>503</v>
      </c>
      <c r="D194">
        <v>2</v>
      </c>
      <c r="E194">
        <v>17</v>
      </c>
      <c r="F194">
        <v>4</v>
      </c>
    </row>
    <row r="195" spans="1:6" x14ac:dyDescent="0.2">
      <c r="A195" t="str">
        <f t="shared" si="3"/>
        <v>LAAtof4</v>
      </c>
      <c r="B195">
        <v>2</v>
      </c>
      <c r="C195" t="s">
        <v>15</v>
      </c>
      <c r="D195">
        <v>2</v>
      </c>
      <c r="E195">
        <v>13</v>
      </c>
      <c r="F195">
        <v>4</v>
      </c>
    </row>
    <row r="196" spans="1:6" x14ac:dyDescent="0.2">
      <c r="A196" t="str">
        <f t="shared" si="3"/>
        <v>JC4</v>
      </c>
      <c r="B196">
        <v>3</v>
      </c>
      <c r="C196" t="s">
        <v>534</v>
      </c>
      <c r="D196">
        <v>1</v>
      </c>
      <c r="E196">
        <v>9</v>
      </c>
      <c r="F196">
        <v>4</v>
      </c>
    </row>
    <row r="197" spans="1:6" x14ac:dyDescent="0.2">
      <c r="A197" t="str">
        <f t="shared" si="3"/>
        <v>Tenko4</v>
      </c>
      <c r="B197">
        <v>4</v>
      </c>
      <c r="C197" t="s">
        <v>516</v>
      </c>
      <c r="D197">
        <v>1</v>
      </c>
      <c r="E197">
        <v>5</v>
      </c>
      <c r="F197">
        <v>4</v>
      </c>
    </row>
    <row r="198" spans="1:6" x14ac:dyDescent="0.2">
      <c r="A198" t="str">
        <f t="shared" si="3"/>
        <v>Yroz4</v>
      </c>
      <c r="B198">
        <v>5</v>
      </c>
      <c r="C198" t="s">
        <v>526</v>
      </c>
      <c r="D198">
        <v>0</v>
      </c>
      <c r="E198">
        <v>3</v>
      </c>
      <c r="F198">
        <v>4</v>
      </c>
    </row>
    <row r="199" spans="1:6" x14ac:dyDescent="0.2">
      <c r="A199" t="str">
        <f t="shared" si="3"/>
        <v>Proph@ne4</v>
      </c>
      <c r="B199">
        <v>6</v>
      </c>
      <c r="C199" t="s">
        <v>87</v>
      </c>
      <c r="D199">
        <v>0</v>
      </c>
      <c r="E199">
        <v>2</v>
      </c>
      <c r="F199">
        <v>4</v>
      </c>
    </row>
    <row r="200" spans="1:6" x14ac:dyDescent="0.2">
      <c r="A200" t="str">
        <f t="shared" si="3"/>
        <v>Sobab4</v>
      </c>
      <c r="B200">
        <v>7</v>
      </c>
      <c r="C200" t="s">
        <v>502</v>
      </c>
      <c r="D200">
        <v>0</v>
      </c>
      <c r="E200">
        <v>1</v>
      </c>
      <c r="F200">
        <v>4</v>
      </c>
    </row>
    <row r="201" spans="1:6" x14ac:dyDescent="0.2">
      <c r="A201" t="str">
        <f t="shared" si="3"/>
        <v>Mams4</v>
      </c>
      <c r="B201">
        <v>1</v>
      </c>
      <c r="C201" t="s">
        <v>505</v>
      </c>
      <c r="D201">
        <v>4</v>
      </c>
      <c r="E201">
        <v>17</v>
      </c>
      <c r="F201">
        <v>4</v>
      </c>
    </row>
    <row r="202" spans="1:6" x14ac:dyDescent="0.2">
      <c r="A202" t="str">
        <f t="shared" si="3"/>
        <v>Flabech4</v>
      </c>
      <c r="B202">
        <v>2</v>
      </c>
      <c r="C202" t="s">
        <v>491</v>
      </c>
      <c r="D202">
        <v>1</v>
      </c>
      <c r="E202">
        <v>13</v>
      </c>
      <c r="F202">
        <v>4</v>
      </c>
    </row>
    <row r="203" spans="1:6" x14ac:dyDescent="0.2">
      <c r="A203" t="str">
        <f t="shared" si="3"/>
        <v>Pyja4</v>
      </c>
      <c r="B203">
        <v>3</v>
      </c>
      <c r="C203" t="s">
        <v>6</v>
      </c>
      <c r="D203">
        <v>0</v>
      </c>
      <c r="E203">
        <v>9</v>
      </c>
      <c r="F203">
        <v>4</v>
      </c>
    </row>
    <row r="204" spans="1:6" x14ac:dyDescent="0.2">
      <c r="A204" t="str">
        <f t="shared" si="3"/>
        <v>Guerno4</v>
      </c>
      <c r="B204">
        <v>4</v>
      </c>
      <c r="C204" t="s">
        <v>484</v>
      </c>
      <c r="D204">
        <v>0</v>
      </c>
      <c r="E204">
        <v>5</v>
      </c>
      <c r="F204">
        <v>4</v>
      </c>
    </row>
    <row r="205" spans="1:6" x14ac:dyDescent="0.2">
      <c r="A205" t="str">
        <f t="shared" si="3"/>
        <v>PatB4</v>
      </c>
      <c r="B205">
        <v>5</v>
      </c>
      <c r="C205" t="s">
        <v>74</v>
      </c>
      <c r="D205">
        <v>0</v>
      </c>
      <c r="E205">
        <v>3</v>
      </c>
      <c r="F205">
        <v>4</v>
      </c>
    </row>
    <row r="206" spans="1:6" x14ac:dyDescent="0.2">
      <c r="A206" t="str">
        <f t="shared" si="3"/>
        <v>Losogre4</v>
      </c>
      <c r="B206">
        <v>6</v>
      </c>
      <c r="C206" t="s">
        <v>507</v>
      </c>
      <c r="D206">
        <v>1</v>
      </c>
      <c r="E206">
        <v>2</v>
      </c>
      <c r="F206">
        <v>4</v>
      </c>
    </row>
    <row r="207" spans="1:6" x14ac:dyDescent="0.2">
      <c r="A207" t="str">
        <f t="shared" si="3"/>
        <v>Just4fun4</v>
      </c>
      <c r="B207">
        <v>7</v>
      </c>
      <c r="C207" t="s">
        <v>527</v>
      </c>
      <c r="D207">
        <v>0</v>
      </c>
      <c r="E207">
        <v>1</v>
      </c>
      <c r="F207">
        <v>4</v>
      </c>
    </row>
    <row r="208" spans="1:6" x14ac:dyDescent="0.2">
      <c r="A208" t="str">
        <f t="shared" si="3"/>
        <v>YooooDA4</v>
      </c>
      <c r="B208">
        <v>1</v>
      </c>
      <c r="C208" t="s">
        <v>59</v>
      </c>
      <c r="D208">
        <v>3</v>
      </c>
      <c r="E208">
        <v>17</v>
      </c>
      <c r="F208">
        <v>4</v>
      </c>
    </row>
    <row r="209" spans="1:6" x14ac:dyDescent="0.2">
      <c r="A209" t="str">
        <f t="shared" si="3"/>
        <v>Ouais ouais4</v>
      </c>
      <c r="B209">
        <v>2</v>
      </c>
      <c r="C209" t="s">
        <v>533</v>
      </c>
      <c r="D209">
        <v>1</v>
      </c>
      <c r="E209">
        <v>13</v>
      </c>
      <c r="F209">
        <v>4</v>
      </c>
    </row>
    <row r="210" spans="1:6" x14ac:dyDescent="0.2">
      <c r="A210" t="str">
        <f t="shared" si="3"/>
        <v>Mokarran4</v>
      </c>
      <c r="B210">
        <v>3</v>
      </c>
      <c r="C210" t="s">
        <v>523</v>
      </c>
      <c r="D210">
        <v>2</v>
      </c>
      <c r="E210">
        <v>9</v>
      </c>
      <c r="F210">
        <v>4</v>
      </c>
    </row>
    <row r="211" spans="1:6" x14ac:dyDescent="0.2">
      <c r="A211" t="str">
        <f t="shared" si="3"/>
        <v>Ptit Savoyard4</v>
      </c>
      <c r="B211">
        <v>4</v>
      </c>
      <c r="C211" t="s">
        <v>33</v>
      </c>
      <c r="D211">
        <v>0</v>
      </c>
      <c r="E211">
        <v>5</v>
      </c>
      <c r="F211">
        <v>4</v>
      </c>
    </row>
    <row r="212" spans="1:6" x14ac:dyDescent="0.2">
      <c r="A212" t="str">
        <f t="shared" si="3"/>
        <v>Ramm4</v>
      </c>
      <c r="B212">
        <v>5</v>
      </c>
      <c r="C212" t="s">
        <v>14</v>
      </c>
      <c r="D212">
        <v>0</v>
      </c>
      <c r="E212">
        <v>3</v>
      </c>
      <c r="F212">
        <v>4</v>
      </c>
    </row>
    <row r="213" spans="1:6" x14ac:dyDescent="0.2">
      <c r="A213" t="str">
        <f t="shared" si="3"/>
        <v>Michelbey4</v>
      </c>
      <c r="B213">
        <v>6</v>
      </c>
      <c r="C213" t="s">
        <v>75</v>
      </c>
      <c r="D213">
        <v>0</v>
      </c>
      <c r="E213">
        <v>2</v>
      </c>
      <c r="F213">
        <v>4</v>
      </c>
    </row>
    <row r="214" spans="1:6" x14ac:dyDescent="0.2">
      <c r="A214" t="str">
        <f t="shared" si="3"/>
        <v>Ripolin4</v>
      </c>
      <c r="B214">
        <v>7</v>
      </c>
      <c r="C214" t="s">
        <v>65</v>
      </c>
      <c r="D214">
        <v>0</v>
      </c>
      <c r="E214">
        <v>1</v>
      </c>
      <c r="F214">
        <v>4</v>
      </c>
    </row>
    <row r="215" spans="1:6" x14ac:dyDescent="0.2">
      <c r="A215" t="str">
        <f t="shared" si="3"/>
        <v>Empedocle4</v>
      </c>
      <c r="B215">
        <v>1</v>
      </c>
      <c r="C215" t="s">
        <v>81</v>
      </c>
      <c r="D215">
        <v>1</v>
      </c>
      <c r="E215">
        <v>17</v>
      </c>
      <c r="F215">
        <v>4</v>
      </c>
    </row>
    <row r="216" spans="1:6" x14ac:dyDescent="0.2">
      <c r="A216" t="str">
        <f t="shared" si="3"/>
        <v>Fishtro4</v>
      </c>
      <c r="B216">
        <v>2</v>
      </c>
      <c r="C216" t="s">
        <v>512</v>
      </c>
      <c r="D216">
        <v>3</v>
      </c>
      <c r="E216">
        <v>13</v>
      </c>
      <c r="F216">
        <v>4</v>
      </c>
    </row>
    <row r="217" spans="1:6" x14ac:dyDescent="0.2">
      <c r="A217" t="str">
        <f t="shared" si="3"/>
        <v>Claudius4</v>
      </c>
      <c r="B217">
        <v>3</v>
      </c>
      <c r="C217" t="s">
        <v>25</v>
      </c>
      <c r="D217">
        <v>1</v>
      </c>
      <c r="E217">
        <v>9</v>
      </c>
      <c r="F217">
        <v>4</v>
      </c>
    </row>
    <row r="218" spans="1:6" x14ac:dyDescent="0.2">
      <c r="A218" t="str">
        <f t="shared" si="3"/>
        <v>Boosilletoo4</v>
      </c>
      <c r="B218">
        <v>4</v>
      </c>
      <c r="C218" t="s">
        <v>532</v>
      </c>
      <c r="D218">
        <v>1</v>
      </c>
      <c r="E218">
        <v>5</v>
      </c>
      <c r="F218">
        <v>4</v>
      </c>
    </row>
    <row r="219" spans="1:6" x14ac:dyDescent="0.2">
      <c r="A219" t="str">
        <f t="shared" si="3"/>
        <v>OlivierN924</v>
      </c>
      <c r="B219">
        <v>5</v>
      </c>
      <c r="C219" t="s">
        <v>32</v>
      </c>
      <c r="D219">
        <v>0</v>
      </c>
      <c r="E219">
        <v>3</v>
      </c>
      <c r="F219">
        <v>4</v>
      </c>
    </row>
    <row r="220" spans="1:6" x14ac:dyDescent="0.2">
      <c r="A220" t="str">
        <f t="shared" si="3"/>
        <v>Pintu4</v>
      </c>
      <c r="B220">
        <v>6</v>
      </c>
      <c r="C220" t="s">
        <v>48</v>
      </c>
      <c r="D220">
        <v>0</v>
      </c>
      <c r="E220">
        <v>2</v>
      </c>
      <c r="F220">
        <v>4</v>
      </c>
    </row>
    <row r="221" spans="1:6" x14ac:dyDescent="0.2">
      <c r="A221" t="str">
        <f t="shared" si="3"/>
        <v>MegaSouche4</v>
      </c>
      <c r="B221">
        <v>7</v>
      </c>
      <c r="C221" t="s">
        <v>476</v>
      </c>
      <c r="D221">
        <v>0</v>
      </c>
      <c r="E221">
        <v>1</v>
      </c>
      <c r="F221">
        <v>4</v>
      </c>
    </row>
    <row r="222" spans="1:6" x14ac:dyDescent="0.2">
      <c r="A222" t="str">
        <f t="shared" si="3"/>
        <v>Jacaille4</v>
      </c>
      <c r="B222">
        <v>1</v>
      </c>
      <c r="C222" t="s">
        <v>451</v>
      </c>
      <c r="D222">
        <v>3</v>
      </c>
      <c r="E222">
        <v>17</v>
      </c>
      <c r="F222">
        <v>4</v>
      </c>
    </row>
    <row r="223" spans="1:6" x14ac:dyDescent="0.2">
      <c r="A223" t="str">
        <f t="shared" si="3"/>
        <v>Delgres4</v>
      </c>
      <c r="B223">
        <v>2</v>
      </c>
      <c r="C223" t="s">
        <v>280</v>
      </c>
      <c r="D223">
        <v>1</v>
      </c>
      <c r="E223">
        <v>13</v>
      </c>
      <c r="F223">
        <v>4</v>
      </c>
    </row>
    <row r="224" spans="1:6" x14ac:dyDescent="0.2">
      <c r="A224" t="str">
        <f t="shared" si="3"/>
        <v>NastyLucker4</v>
      </c>
      <c r="B224">
        <v>3</v>
      </c>
      <c r="C224" t="s">
        <v>179</v>
      </c>
      <c r="D224">
        <v>2</v>
      </c>
      <c r="E224">
        <v>9</v>
      </c>
      <c r="F224">
        <v>4</v>
      </c>
    </row>
    <row r="225" spans="1:6" x14ac:dyDescent="0.2">
      <c r="A225" t="str">
        <f t="shared" si="3"/>
        <v>Mandrake4</v>
      </c>
      <c r="B225">
        <v>4</v>
      </c>
      <c r="C225" t="s">
        <v>27</v>
      </c>
      <c r="D225">
        <v>0</v>
      </c>
      <c r="E225">
        <v>5</v>
      </c>
      <c r="F225">
        <v>4</v>
      </c>
    </row>
    <row r="226" spans="1:6" x14ac:dyDescent="0.2">
      <c r="A226" t="str">
        <f t="shared" si="3"/>
        <v>Zizou4</v>
      </c>
      <c r="B226">
        <v>5</v>
      </c>
      <c r="C226" t="s">
        <v>504</v>
      </c>
      <c r="D226">
        <v>0</v>
      </c>
      <c r="E226">
        <v>3</v>
      </c>
      <c r="F226">
        <v>4</v>
      </c>
    </row>
    <row r="227" spans="1:6" x14ac:dyDescent="0.2">
      <c r="A227" t="str">
        <f t="shared" si="3"/>
        <v>Rmarc4</v>
      </c>
      <c r="B227">
        <v>6</v>
      </c>
      <c r="C227" t="s">
        <v>508</v>
      </c>
      <c r="D227">
        <v>0</v>
      </c>
      <c r="E227">
        <v>2</v>
      </c>
      <c r="F227">
        <v>4</v>
      </c>
    </row>
    <row r="228" spans="1:6" x14ac:dyDescent="0.2">
      <c r="A228" t="str">
        <f t="shared" si="3"/>
        <v>Sabwill4</v>
      </c>
      <c r="B228">
        <v>7</v>
      </c>
      <c r="C228" t="s">
        <v>5</v>
      </c>
      <c r="D228">
        <v>0</v>
      </c>
      <c r="E228">
        <v>1</v>
      </c>
      <c r="F228">
        <v>4</v>
      </c>
    </row>
    <row r="229" spans="1:6" x14ac:dyDescent="0.2">
      <c r="A229" t="str">
        <f t="shared" si="3"/>
        <v>Flopynou5</v>
      </c>
      <c r="B229">
        <v>1</v>
      </c>
      <c r="C229" t="s">
        <v>530</v>
      </c>
      <c r="D229">
        <v>2</v>
      </c>
      <c r="E229">
        <v>16</v>
      </c>
      <c r="F229">
        <v>5</v>
      </c>
    </row>
    <row r="230" spans="1:6" x14ac:dyDescent="0.2">
      <c r="A230" t="str">
        <f t="shared" si="3"/>
        <v>Magic Mykiss5</v>
      </c>
      <c r="B230">
        <v>2</v>
      </c>
      <c r="C230" t="s">
        <v>510</v>
      </c>
      <c r="D230">
        <v>3</v>
      </c>
      <c r="E230">
        <v>12</v>
      </c>
      <c r="F230">
        <v>5</v>
      </c>
    </row>
    <row r="231" spans="1:6" x14ac:dyDescent="0.2">
      <c r="A231" t="str">
        <f t="shared" si="3"/>
        <v>Proph@ne5</v>
      </c>
      <c r="B231">
        <v>3</v>
      </c>
      <c r="C231" t="s">
        <v>87</v>
      </c>
      <c r="D231">
        <v>0</v>
      </c>
      <c r="E231">
        <v>8</v>
      </c>
      <c r="F231">
        <v>5</v>
      </c>
    </row>
    <row r="232" spans="1:6" x14ac:dyDescent="0.2">
      <c r="A232" t="str">
        <f t="shared" si="3"/>
        <v>Rockatou5</v>
      </c>
      <c r="B232">
        <v>4</v>
      </c>
      <c r="C232" t="s">
        <v>493</v>
      </c>
      <c r="D232">
        <v>0</v>
      </c>
      <c r="E232">
        <v>4</v>
      </c>
      <c r="F232">
        <v>5</v>
      </c>
    </row>
    <row r="233" spans="1:6" x14ac:dyDescent="0.2">
      <c r="A233" t="str">
        <f t="shared" si="3"/>
        <v>Pyja5</v>
      </c>
      <c r="B233">
        <v>5</v>
      </c>
      <c r="C233" t="s">
        <v>6</v>
      </c>
      <c r="D233">
        <v>0</v>
      </c>
      <c r="E233">
        <v>2</v>
      </c>
      <c r="F233">
        <v>5</v>
      </c>
    </row>
    <row r="234" spans="1:6" x14ac:dyDescent="0.2">
      <c r="A234" t="str">
        <f t="shared" si="3"/>
        <v>Kri-lin5</v>
      </c>
      <c r="B234">
        <v>6</v>
      </c>
      <c r="C234" t="s">
        <v>61</v>
      </c>
      <c r="D234">
        <v>0</v>
      </c>
      <c r="E234">
        <v>1</v>
      </c>
      <c r="F234">
        <v>5</v>
      </c>
    </row>
    <row r="235" spans="1:6" x14ac:dyDescent="0.2">
      <c r="A235" t="str">
        <f t="shared" si="3"/>
        <v>Jérôme5</v>
      </c>
      <c r="B235">
        <v>1</v>
      </c>
      <c r="C235" t="s">
        <v>46</v>
      </c>
      <c r="D235">
        <v>4</v>
      </c>
      <c r="E235">
        <v>17</v>
      </c>
      <c r="F235">
        <v>5</v>
      </c>
    </row>
    <row r="236" spans="1:6" x14ac:dyDescent="0.2">
      <c r="A236" t="str">
        <f t="shared" si="3"/>
        <v>Djecus5</v>
      </c>
      <c r="B236">
        <v>2</v>
      </c>
      <c r="C236" t="s">
        <v>461</v>
      </c>
      <c r="D236">
        <v>1</v>
      </c>
      <c r="E236">
        <v>13</v>
      </c>
      <c r="F236">
        <v>5</v>
      </c>
    </row>
    <row r="237" spans="1:6" x14ac:dyDescent="0.2">
      <c r="A237" t="str">
        <f t="shared" si="3"/>
        <v>JeanMichelTiming5</v>
      </c>
      <c r="B237">
        <v>3</v>
      </c>
      <c r="C237" t="s">
        <v>35</v>
      </c>
      <c r="D237">
        <v>0</v>
      </c>
      <c r="E237">
        <v>9</v>
      </c>
      <c r="F237">
        <v>5</v>
      </c>
    </row>
    <row r="238" spans="1:6" x14ac:dyDescent="0.2">
      <c r="A238" t="str">
        <f t="shared" si="3"/>
        <v>Kheops5</v>
      </c>
      <c r="B238">
        <v>4</v>
      </c>
      <c r="C238" t="s">
        <v>500</v>
      </c>
      <c r="D238">
        <v>0</v>
      </c>
      <c r="E238">
        <v>5</v>
      </c>
      <c r="F238">
        <v>5</v>
      </c>
    </row>
    <row r="239" spans="1:6" x14ac:dyDescent="0.2">
      <c r="A239" t="str">
        <f t="shared" si="3"/>
        <v>Lizzie5</v>
      </c>
      <c r="B239">
        <v>5</v>
      </c>
      <c r="C239" t="s">
        <v>462</v>
      </c>
      <c r="D239">
        <v>1</v>
      </c>
      <c r="E239">
        <v>3</v>
      </c>
      <c r="F239">
        <v>5</v>
      </c>
    </row>
    <row r="240" spans="1:6" x14ac:dyDescent="0.2">
      <c r="A240" t="str">
        <f t="shared" si="3"/>
        <v>Yaltar5</v>
      </c>
      <c r="B240">
        <v>6</v>
      </c>
      <c r="C240" t="s">
        <v>503</v>
      </c>
      <c r="D240">
        <v>0</v>
      </c>
      <c r="E240">
        <v>2</v>
      </c>
      <c r="F240">
        <v>5</v>
      </c>
    </row>
    <row r="241" spans="1:6" x14ac:dyDescent="0.2">
      <c r="A241" t="str">
        <f t="shared" si="3"/>
        <v>Ripolin5</v>
      </c>
      <c r="B241">
        <v>7</v>
      </c>
      <c r="C241" t="s">
        <v>65</v>
      </c>
      <c r="D241">
        <v>0</v>
      </c>
      <c r="E241">
        <v>1</v>
      </c>
      <c r="F241">
        <v>5</v>
      </c>
    </row>
    <row r="242" spans="1:6" x14ac:dyDescent="0.2">
      <c r="A242" t="str">
        <f t="shared" si="3"/>
        <v>Mams5</v>
      </c>
      <c r="B242">
        <v>1</v>
      </c>
      <c r="C242" t="s">
        <v>505</v>
      </c>
      <c r="D242">
        <v>3</v>
      </c>
      <c r="E242">
        <v>17</v>
      </c>
      <c r="F242">
        <v>5</v>
      </c>
    </row>
    <row r="243" spans="1:6" x14ac:dyDescent="0.2">
      <c r="A243" t="str">
        <f t="shared" si="3"/>
        <v>Gibbonfury5</v>
      </c>
      <c r="B243">
        <v>2</v>
      </c>
      <c r="C243" t="s">
        <v>454</v>
      </c>
      <c r="D243">
        <v>2</v>
      </c>
      <c r="E243">
        <v>13</v>
      </c>
      <c r="F243">
        <v>5</v>
      </c>
    </row>
    <row r="244" spans="1:6" x14ac:dyDescent="0.2">
      <c r="A244" t="str">
        <f t="shared" si="3"/>
        <v>JC5</v>
      </c>
      <c r="B244">
        <v>3</v>
      </c>
      <c r="C244" t="s">
        <v>534</v>
      </c>
      <c r="D244">
        <v>1</v>
      </c>
      <c r="E244">
        <v>9</v>
      </c>
      <c r="F244">
        <v>5</v>
      </c>
    </row>
    <row r="245" spans="1:6" x14ac:dyDescent="0.2">
      <c r="A245" t="str">
        <f t="shared" si="3"/>
        <v>Salender5</v>
      </c>
      <c r="B245">
        <v>4</v>
      </c>
      <c r="C245" t="s">
        <v>479</v>
      </c>
      <c r="D245">
        <v>0</v>
      </c>
      <c r="E245">
        <v>5</v>
      </c>
      <c r="F245">
        <v>5</v>
      </c>
    </row>
    <row r="246" spans="1:6" x14ac:dyDescent="0.2">
      <c r="A246" t="str">
        <f t="shared" si="3"/>
        <v>Catherine5</v>
      </c>
      <c r="B246">
        <v>5</v>
      </c>
      <c r="C246" t="s">
        <v>69</v>
      </c>
      <c r="D246">
        <v>0</v>
      </c>
      <c r="E246">
        <v>3</v>
      </c>
      <c r="F246">
        <v>5</v>
      </c>
    </row>
    <row r="247" spans="1:6" x14ac:dyDescent="0.2">
      <c r="A247" t="str">
        <f t="shared" si="3"/>
        <v>K15</v>
      </c>
      <c r="B247">
        <v>6</v>
      </c>
      <c r="C247" t="s">
        <v>9</v>
      </c>
      <c r="D247">
        <v>0</v>
      </c>
      <c r="E247">
        <v>2</v>
      </c>
      <c r="F247">
        <v>5</v>
      </c>
    </row>
    <row r="248" spans="1:6" x14ac:dyDescent="0.2">
      <c r="A248" t="str">
        <f t="shared" si="3"/>
        <v>Soupaman5</v>
      </c>
      <c r="B248">
        <v>7</v>
      </c>
      <c r="C248" t="s">
        <v>518</v>
      </c>
      <c r="D248">
        <v>0</v>
      </c>
      <c r="E248">
        <v>1</v>
      </c>
      <c r="F248">
        <v>5</v>
      </c>
    </row>
    <row r="249" spans="1:6" x14ac:dyDescent="0.2">
      <c r="A249" t="str">
        <f t="shared" si="3"/>
        <v>MegaSouche5</v>
      </c>
      <c r="B249">
        <v>1</v>
      </c>
      <c r="C249" t="s">
        <v>476</v>
      </c>
      <c r="D249">
        <v>4</v>
      </c>
      <c r="E249">
        <v>15</v>
      </c>
      <c r="F249">
        <v>5</v>
      </c>
    </row>
    <row r="250" spans="1:6" x14ac:dyDescent="0.2">
      <c r="A250" t="str">
        <f t="shared" si="3"/>
        <v>Fishtro5</v>
      </c>
      <c r="B250">
        <v>2</v>
      </c>
      <c r="C250" t="s">
        <v>512</v>
      </c>
      <c r="D250">
        <v>0</v>
      </c>
      <c r="E250">
        <v>11</v>
      </c>
      <c r="F250">
        <v>5</v>
      </c>
    </row>
    <row r="251" spans="1:6" x14ac:dyDescent="0.2">
      <c r="A251" t="str">
        <f t="shared" si="3"/>
        <v>Claudius5</v>
      </c>
      <c r="B251">
        <v>3</v>
      </c>
      <c r="C251" t="s">
        <v>25</v>
      </c>
      <c r="D251">
        <v>0</v>
      </c>
      <c r="E251">
        <v>7</v>
      </c>
      <c r="F251">
        <v>5</v>
      </c>
    </row>
    <row r="252" spans="1:6" x14ac:dyDescent="0.2">
      <c r="A252" t="str">
        <f t="shared" si="3"/>
        <v>Empedocle5</v>
      </c>
      <c r="B252">
        <v>4</v>
      </c>
      <c r="C252" t="s">
        <v>81</v>
      </c>
      <c r="D252">
        <v>0</v>
      </c>
      <c r="E252">
        <v>3</v>
      </c>
      <c r="F252">
        <v>5</v>
      </c>
    </row>
    <row r="253" spans="1:6" x14ac:dyDescent="0.2">
      <c r="A253" t="str">
        <f t="shared" si="3"/>
        <v>Thibaultp755</v>
      </c>
      <c r="B253">
        <v>5</v>
      </c>
      <c r="C253" t="s">
        <v>345</v>
      </c>
      <c r="D253">
        <v>0</v>
      </c>
      <c r="E253">
        <v>1</v>
      </c>
      <c r="F253">
        <v>5</v>
      </c>
    </row>
    <row r="254" spans="1:6" x14ac:dyDescent="0.2">
      <c r="A254" t="str">
        <f t="shared" si="3"/>
        <v>Flem5</v>
      </c>
      <c r="B254">
        <v>1</v>
      </c>
      <c r="C254" t="s">
        <v>73</v>
      </c>
      <c r="D254">
        <v>2</v>
      </c>
      <c r="E254">
        <v>16</v>
      </c>
      <c r="F254">
        <v>5</v>
      </c>
    </row>
    <row r="255" spans="1:6" x14ac:dyDescent="0.2">
      <c r="A255" t="str">
        <f t="shared" si="3"/>
        <v>Mokarran5</v>
      </c>
      <c r="B255">
        <v>2</v>
      </c>
      <c r="C255" t="s">
        <v>523</v>
      </c>
      <c r="D255">
        <v>1</v>
      </c>
      <c r="E255">
        <v>12</v>
      </c>
      <c r="F255">
        <v>5</v>
      </c>
    </row>
    <row r="256" spans="1:6" x14ac:dyDescent="0.2">
      <c r="A256" t="str">
        <f t="shared" si="3"/>
        <v>Losogre5</v>
      </c>
      <c r="B256">
        <v>3</v>
      </c>
      <c r="C256" t="s">
        <v>507</v>
      </c>
      <c r="D256">
        <v>1</v>
      </c>
      <c r="E256">
        <v>8</v>
      </c>
      <c r="F256">
        <v>5</v>
      </c>
    </row>
    <row r="257" spans="1:6" x14ac:dyDescent="0.2">
      <c r="A257" t="str">
        <f t="shared" si="3"/>
        <v>Solex5</v>
      </c>
      <c r="B257">
        <v>4</v>
      </c>
      <c r="C257" t="s">
        <v>34</v>
      </c>
      <c r="D257">
        <v>0</v>
      </c>
      <c r="E257">
        <v>4</v>
      </c>
      <c r="F257">
        <v>5</v>
      </c>
    </row>
    <row r="258" spans="1:6" x14ac:dyDescent="0.2">
      <c r="A258" t="str">
        <f t="shared" ref="A258:A321" si="4">C258&amp;F258</f>
        <v>Papillon5</v>
      </c>
      <c r="B258">
        <v>5</v>
      </c>
      <c r="C258" t="s">
        <v>528</v>
      </c>
      <c r="D258">
        <v>1</v>
      </c>
      <c r="E258">
        <v>2</v>
      </c>
      <c r="F258">
        <v>5</v>
      </c>
    </row>
    <row r="259" spans="1:6" x14ac:dyDescent="0.2">
      <c r="A259" t="str">
        <f t="shared" si="4"/>
        <v>Ad Vitam5</v>
      </c>
      <c r="B259">
        <v>6</v>
      </c>
      <c r="C259" t="s">
        <v>66</v>
      </c>
      <c r="D259">
        <v>0</v>
      </c>
      <c r="E259">
        <v>1</v>
      </c>
      <c r="F259">
        <v>5</v>
      </c>
    </row>
    <row r="260" spans="1:6" x14ac:dyDescent="0.2">
      <c r="A260" t="str">
        <f t="shared" si="4"/>
        <v>Boosilletoo5</v>
      </c>
      <c r="B260">
        <v>1</v>
      </c>
      <c r="C260" t="s">
        <v>532</v>
      </c>
      <c r="D260">
        <v>3</v>
      </c>
      <c r="E260">
        <v>17</v>
      </c>
      <c r="F260">
        <v>5</v>
      </c>
    </row>
    <row r="261" spans="1:6" x14ac:dyDescent="0.2">
      <c r="A261" t="str">
        <f t="shared" si="4"/>
        <v>Tenko5</v>
      </c>
      <c r="B261">
        <v>2</v>
      </c>
      <c r="C261" t="s">
        <v>516</v>
      </c>
      <c r="D261">
        <v>2</v>
      </c>
      <c r="E261">
        <v>13</v>
      </c>
      <c r="F261">
        <v>5</v>
      </c>
    </row>
    <row r="262" spans="1:6" x14ac:dyDescent="0.2">
      <c r="A262" t="str">
        <f t="shared" si="4"/>
        <v>Delgres5</v>
      </c>
      <c r="B262">
        <v>3</v>
      </c>
      <c r="C262" t="s">
        <v>280</v>
      </c>
      <c r="D262">
        <v>0</v>
      </c>
      <c r="E262">
        <v>9</v>
      </c>
      <c r="F262">
        <v>5</v>
      </c>
    </row>
    <row r="263" spans="1:6" x14ac:dyDescent="0.2">
      <c r="A263" t="str">
        <f t="shared" si="4"/>
        <v>Claptou5</v>
      </c>
      <c r="B263">
        <v>4</v>
      </c>
      <c r="C263" t="s">
        <v>42</v>
      </c>
      <c r="D263">
        <v>1</v>
      </c>
      <c r="E263">
        <v>5</v>
      </c>
      <c r="F263">
        <v>5</v>
      </c>
    </row>
    <row r="264" spans="1:6" x14ac:dyDescent="0.2">
      <c r="A264" t="str">
        <f t="shared" si="4"/>
        <v>Bounette5</v>
      </c>
      <c r="B264">
        <v>5</v>
      </c>
      <c r="C264" t="s">
        <v>55</v>
      </c>
      <c r="D264">
        <v>0</v>
      </c>
      <c r="E264">
        <v>3</v>
      </c>
      <c r="F264">
        <v>5</v>
      </c>
    </row>
    <row r="265" spans="1:6" x14ac:dyDescent="0.2">
      <c r="A265" t="str">
        <f t="shared" si="4"/>
        <v>Carmin5</v>
      </c>
      <c r="B265">
        <v>6</v>
      </c>
      <c r="C265" t="s">
        <v>21</v>
      </c>
      <c r="D265">
        <v>0</v>
      </c>
      <c r="E265">
        <v>2</v>
      </c>
      <c r="F265">
        <v>5</v>
      </c>
    </row>
    <row r="266" spans="1:6" x14ac:dyDescent="0.2">
      <c r="A266" t="str">
        <f t="shared" si="4"/>
        <v>CoachNasser5</v>
      </c>
      <c r="B266">
        <v>7</v>
      </c>
      <c r="C266" t="s">
        <v>99</v>
      </c>
      <c r="D266">
        <v>0</v>
      </c>
      <c r="E266">
        <v>1</v>
      </c>
      <c r="F266">
        <v>5</v>
      </c>
    </row>
    <row r="267" spans="1:6" x14ac:dyDescent="0.2">
      <c r="A267" t="str">
        <f t="shared" si="4"/>
        <v>Michelbey5</v>
      </c>
      <c r="B267">
        <v>1</v>
      </c>
      <c r="C267" t="s">
        <v>75</v>
      </c>
      <c r="D267">
        <v>2</v>
      </c>
      <c r="E267">
        <v>15</v>
      </c>
      <c r="F267">
        <v>5</v>
      </c>
    </row>
    <row r="268" spans="1:6" x14ac:dyDescent="0.2">
      <c r="A268" t="str">
        <f t="shared" si="4"/>
        <v>La Bavure5</v>
      </c>
      <c r="B268">
        <v>2</v>
      </c>
      <c r="C268" t="s">
        <v>475</v>
      </c>
      <c r="D268">
        <v>1</v>
      </c>
      <c r="E268">
        <v>11</v>
      </c>
      <c r="F268">
        <v>5</v>
      </c>
    </row>
    <row r="269" spans="1:6" x14ac:dyDescent="0.2">
      <c r="A269" t="str">
        <f t="shared" si="4"/>
        <v>Chico5</v>
      </c>
      <c r="B269">
        <v>3</v>
      </c>
      <c r="C269" t="s">
        <v>515</v>
      </c>
      <c r="D269">
        <v>0</v>
      </c>
      <c r="E269">
        <v>7</v>
      </c>
      <c r="F269">
        <v>5</v>
      </c>
    </row>
    <row r="270" spans="1:6" x14ac:dyDescent="0.2">
      <c r="A270" t="str">
        <f t="shared" si="4"/>
        <v>Comment25</v>
      </c>
      <c r="B270">
        <v>4</v>
      </c>
      <c r="C270" t="s">
        <v>76</v>
      </c>
      <c r="D270">
        <v>2</v>
      </c>
      <c r="E270">
        <v>3</v>
      </c>
      <c r="F270">
        <v>5</v>
      </c>
    </row>
    <row r="271" spans="1:6" x14ac:dyDescent="0.2">
      <c r="A271" t="str">
        <f t="shared" si="4"/>
        <v>NoDoubt5</v>
      </c>
      <c r="B271">
        <v>5</v>
      </c>
      <c r="C271" t="s">
        <v>29</v>
      </c>
      <c r="D271">
        <v>0</v>
      </c>
      <c r="E271">
        <v>1</v>
      </c>
      <c r="F271">
        <v>5</v>
      </c>
    </row>
    <row r="272" spans="1:6" x14ac:dyDescent="0.2">
      <c r="A272" t="str">
        <f t="shared" si="4"/>
        <v>Jacaille5</v>
      </c>
      <c r="B272">
        <v>1</v>
      </c>
      <c r="C272" t="s">
        <v>451</v>
      </c>
      <c r="D272">
        <v>5</v>
      </c>
      <c r="E272">
        <v>17</v>
      </c>
      <c r="F272">
        <v>5</v>
      </c>
    </row>
    <row r="273" spans="1:6" x14ac:dyDescent="0.2">
      <c r="A273" t="str">
        <f t="shared" si="4"/>
        <v>The Hengover5</v>
      </c>
      <c r="B273">
        <v>2</v>
      </c>
      <c r="C273" t="s">
        <v>452</v>
      </c>
      <c r="D273">
        <v>0</v>
      </c>
      <c r="E273">
        <v>13</v>
      </c>
      <c r="F273">
        <v>5</v>
      </c>
    </row>
    <row r="274" spans="1:6" x14ac:dyDescent="0.2">
      <c r="A274" t="str">
        <f t="shared" si="4"/>
        <v>Xhar925</v>
      </c>
      <c r="B274">
        <v>3</v>
      </c>
      <c r="C274" t="s">
        <v>519</v>
      </c>
      <c r="D274">
        <v>0</v>
      </c>
      <c r="E274">
        <v>9</v>
      </c>
      <c r="F274">
        <v>5</v>
      </c>
    </row>
    <row r="275" spans="1:6" x14ac:dyDescent="0.2">
      <c r="A275" t="str">
        <f t="shared" si="4"/>
        <v>Riviera5</v>
      </c>
      <c r="B275">
        <v>4</v>
      </c>
      <c r="C275" t="s">
        <v>261</v>
      </c>
      <c r="D275">
        <v>1</v>
      </c>
      <c r="E275">
        <v>5</v>
      </c>
      <c r="F275">
        <v>5</v>
      </c>
    </row>
    <row r="276" spans="1:6" x14ac:dyDescent="0.2">
      <c r="A276" t="str">
        <f t="shared" si="4"/>
        <v>Just4fun5</v>
      </c>
      <c r="B276">
        <v>5</v>
      </c>
      <c r="C276" t="s">
        <v>527</v>
      </c>
      <c r="D276">
        <v>0</v>
      </c>
      <c r="E276">
        <v>3</v>
      </c>
      <c r="F276">
        <v>5</v>
      </c>
    </row>
    <row r="277" spans="1:6" x14ac:dyDescent="0.2">
      <c r="A277" t="str">
        <f t="shared" si="4"/>
        <v>YooooDA5</v>
      </c>
      <c r="B277">
        <v>6</v>
      </c>
      <c r="C277" t="s">
        <v>59</v>
      </c>
      <c r="D277">
        <v>0</v>
      </c>
      <c r="E277">
        <v>2</v>
      </c>
      <c r="F277">
        <v>5</v>
      </c>
    </row>
    <row r="278" spans="1:6" x14ac:dyDescent="0.2">
      <c r="A278" t="str">
        <f t="shared" si="4"/>
        <v>Mandrake5</v>
      </c>
      <c r="B278">
        <v>7</v>
      </c>
      <c r="C278" t="s">
        <v>27</v>
      </c>
      <c r="D278">
        <v>0</v>
      </c>
      <c r="E278">
        <v>1</v>
      </c>
      <c r="F278">
        <v>5</v>
      </c>
    </row>
    <row r="279" spans="1:6" x14ac:dyDescent="0.2">
      <c r="A279" t="str">
        <f t="shared" si="4"/>
        <v>MegaSouche6</v>
      </c>
      <c r="B279">
        <v>1</v>
      </c>
      <c r="C279" t="s">
        <v>476</v>
      </c>
      <c r="D279">
        <v>4</v>
      </c>
      <c r="E279">
        <v>16</v>
      </c>
      <c r="F279">
        <v>6</v>
      </c>
    </row>
    <row r="280" spans="1:6" x14ac:dyDescent="0.2">
      <c r="A280" t="str">
        <f t="shared" si="4"/>
        <v>Catherine6</v>
      </c>
      <c r="B280">
        <v>2</v>
      </c>
      <c r="C280" t="s">
        <v>69</v>
      </c>
      <c r="D280">
        <v>0</v>
      </c>
      <c r="E280">
        <v>12</v>
      </c>
      <c r="F280">
        <v>6</v>
      </c>
    </row>
    <row r="281" spans="1:6" x14ac:dyDescent="0.2">
      <c r="A281" t="str">
        <f t="shared" si="4"/>
        <v>Djecus6</v>
      </c>
      <c r="B281">
        <v>3</v>
      </c>
      <c r="C281" t="s">
        <v>461</v>
      </c>
      <c r="D281">
        <v>0</v>
      </c>
      <c r="E281">
        <v>8</v>
      </c>
      <c r="F281">
        <v>6</v>
      </c>
    </row>
    <row r="282" spans="1:6" x14ac:dyDescent="0.2">
      <c r="A282" t="str">
        <f t="shared" si="4"/>
        <v>Gibbonfury6</v>
      </c>
      <c r="B282">
        <v>4</v>
      </c>
      <c r="C282" t="s">
        <v>454</v>
      </c>
      <c r="D282">
        <v>0</v>
      </c>
      <c r="E282">
        <v>4</v>
      </c>
      <c r="F282">
        <v>6</v>
      </c>
    </row>
    <row r="283" spans="1:6" x14ac:dyDescent="0.2">
      <c r="A283" t="str">
        <f t="shared" si="4"/>
        <v>Jérôme6</v>
      </c>
      <c r="B283">
        <v>5</v>
      </c>
      <c r="C283" t="s">
        <v>46</v>
      </c>
      <c r="D283">
        <v>1</v>
      </c>
      <c r="E283">
        <v>2</v>
      </c>
      <c r="F283">
        <v>6</v>
      </c>
    </row>
    <row r="284" spans="1:6" x14ac:dyDescent="0.2">
      <c r="A284" t="str">
        <f t="shared" si="4"/>
        <v>Guerno6</v>
      </c>
      <c r="B284">
        <v>6</v>
      </c>
      <c r="C284" t="s">
        <v>484</v>
      </c>
      <c r="D284">
        <v>0</v>
      </c>
      <c r="E284">
        <v>1</v>
      </c>
      <c r="F284">
        <v>6</v>
      </c>
    </row>
    <row r="285" spans="1:6" x14ac:dyDescent="0.2">
      <c r="A285" t="str">
        <f t="shared" si="4"/>
        <v>TheRealWill6</v>
      </c>
      <c r="B285">
        <v>1</v>
      </c>
      <c r="C285" t="s">
        <v>535</v>
      </c>
      <c r="D285">
        <v>3</v>
      </c>
      <c r="E285">
        <v>17</v>
      </c>
      <c r="F285">
        <v>6</v>
      </c>
    </row>
    <row r="286" spans="1:6" x14ac:dyDescent="0.2">
      <c r="A286" t="str">
        <f t="shared" si="4"/>
        <v>Zizou6</v>
      </c>
      <c r="B286">
        <v>2</v>
      </c>
      <c r="C286" t="s">
        <v>504</v>
      </c>
      <c r="D286">
        <v>1</v>
      </c>
      <c r="E286">
        <v>13</v>
      </c>
      <c r="F286">
        <v>6</v>
      </c>
    </row>
    <row r="287" spans="1:6" x14ac:dyDescent="0.2">
      <c r="A287" t="str">
        <f t="shared" si="4"/>
        <v>Bounette6</v>
      </c>
      <c r="B287">
        <v>3</v>
      </c>
      <c r="C287" t="s">
        <v>55</v>
      </c>
      <c r="D287">
        <v>0</v>
      </c>
      <c r="E287">
        <v>9</v>
      </c>
      <c r="F287">
        <v>6</v>
      </c>
    </row>
    <row r="288" spans="1:6" x14ac:dyDescent="0.2">
      <c r="A288" t="str">
        <f t="shared" si="4"/>
        <v>OlivierN926</v>
      </c>
      <c r="B288">
        <v>4</v>
      </c>
      <c r="C288" t="s">
        <v>32</v>
      </c>
      <c r="D288">
        <v>0</v>
      </c>
      <c r="E288">
        <v>5</v>
      </c>
      <c r="F288">
        <v>6</v>
      </c>
    </row>
    <row r="289" spans="1:6" x14ac:dyDescent="0.2">
      <c r="A289" t="str">
        <f t="shared" si="4"/>
        <v>Mams6</v>
      </c>
      <c r="B289">
        <v>5</v>
      </c>
      <c r="C289" t="s">
        <v>505</v>
      </c>
      <c r="D289">
        <v>1</v>
      </c>
      <c r="E289">
        <v>3</v>
      </c>
      <c r="F289">
        <v>6</v>
      </c>
    </row>
    <row r="290" spans="1:6" x14ac:dyDescent="0.2">
      <c r="A290" t="str">
        <f t="shared" si="4"/>
        <v>Mokarran6</v>
      </c>
      <c r="B290">
        <v>6</v>
      </c>
      <c r="C290" t="s">
        <v>523</v>
      </c>
      <c r="D290">
        <v>0</v>
      </c>
      <c r="E290">
        <v>2</v>
      </c>
      <c r="F290">
        <v>6</v>
      </c>
    </row>
    <row r="291" spans="1:6" x14ac:dyDescent="0.2">
      <c r="A291" t="str">
        <f t="shared" si="4"/>
        <v>NastyLucker6</v>
      </c>
      <c r="B291">
        <v>7</v>
      </c>
      <c r="C291" t="s">
        <v>179</v>
      </c>
      <c r="D291">
        <v>0</v>
      </c>
      <c r="E291">
        <v>1</v>
      </c>
      <c r="F291">
        <v>6</v>
      </c>
    </row>
    <row r="292" spans="1:6" x14ac:dyDescent="0.2">
      <c r="A292" t="str">
        <f t="shared" si="4"/>
        <v>JC6</v>
      </c>
      <c r="B292">
        <v>1</v>
      </c>
      <c r="C292" t="s">
        <v>534</v>
      </c>
      <c r="D292">
        <v>2</v>
      </c>
      <c r="E292">
        <v>16</v>
      </c>
      <c r="F292">
        <v>6</v>
      </c>
    </row>
    <row r="293" spans="1:6" x14ac:dyDescent="0.2">
      <c r="A293" t="str">
        <f t="shared" si="4"/>
        <v>Comment26</v>
      </c>
      <c r="B293">
        <v>2</v>
      </c>
      <c r="C293" t="s">
        <v>76</v>
      </c>
      <c r="D293">
        <v>2</v>
      </c>
      <c r="E293">
        <v>12</v>
      </c>
      <c r="F293">
        <v>6</v>
      </c>
    </row>
    <row r="294" spans="1:6" x14ac:dyDescent="0.2">
      <c r="A294" t="str">
        <f t="shared" si="4"/>
        <v>Toinou6</v>
      </c>
      <c r="B294">
        <v>3</v>
      </c>
      <c r="C294" t="s">
        <v>531</v>
      </c>
      <c r="D294">
        <v>1</v>
      </c>
      <c r="E294">
        <v>8</v>
      </c>
      <c r="F294">
        <v>6</v>
      </c>
    </row>
    <row r="295" spans="1:6" x14ac:dyDescent="0.2">
      <c r="A295" t="str">
        <f t="shared" si="4"/>
        <v>K16</v>
      </c>
      <c r="B295">
        <v>4</v>
      </c>
      <c r="C295" t="s">
        <v>9</v>
      </c>
      <c r="D295">
        <v>0</v>
      </c>
      <c r="E295">
        <v>4</v>
      </c>
      <c r="F295">
        <v>6</v>
      </c>
    </row>
    <row r="296" spans="1:6" x14ac:dyDescent="0.2">
      <c r="A296" t="str">
        <f t="shared" si="4"/>
        <v>LAAtof6</v>
      </c>
      <c r="B296">
        <v>5</v>
      </c>
      <c r="C296" t="s">
        <v>15</v>
      </c>
      <c r="D296">
        <v>0</v>
      </c>
      <c r="E296">
        <v>2</v>
      </c>
      <c r="F296">
        <v>6</v>
      </c>
    </row>
    <row r="297" spans="1:6" x14ac:dyDescent="0.2">
      <c r="A297" t="str">
        <f t="shared" si="4"/>
        <v>Losogre6</v>
      </c>
      <c r="B297">
        <v>6</v>
      </c>
      <c r="C297" t="s">
        <v>507</v>
      </c>
      <c r="D297">
        <v>0</v>
      </c>
      <c r="E297">
        <v>1</v>
      </c>
      <c r="F297">
        <v>6</v>
      </c>
    </row>
    <row r="298" spans="1:6" x14ac:dyDescent="0.2">
      <c r="A298" t="str">
        <f t="shared" si="4"/>
        <v>Lén@6</v>
      </c>
      <c r="B298">
        <v>1</v>
      </c>
      <c r="C298" t="s">
        <v>40</v>
      </c>
      <c r="D298">
        <v>2</v>
      </c>
      <c r="E298">
        <v>17</v>
      </c>
      <c r="F298">
        <v>6</v>
      </c>
    </row>
    <row r="299" spans="1:6" x14ac:dyDescent="0.2">
      <c r="A299" t="str">
        <f t="shared" si="4"/>
        <v>Kri-lin6</v>
      </c>
      <c r="B299">
        <v>2</v>
      </c>
      <c r="C299" t="s">
        <v>61</v>
      </c>
      <c r="D299">
        <v>2</v>
      </c>
      <c r="E299">
        <v>13</v>
      </c>
      <c r="F299">
        <v>6</v>
      </c>
    </row>
    <row r="300" spans="1:6" x14ac:dyDescent="0.2">
      <c r="A300" t="str">
        <f t="shared" si="4"/>
        <v>Yaltar6</v>
      </c>
      <c r="B300">
        <v>3</v>
      </c>
      <c r="C300" t="s">
        <v>503</v>
      </c>
      <c r="D300">
        <v>0</v>
      </c>
      <c r="E300">
        <v>9</v>
      </c>
      <c r="F300">
        <v>6</v>
      </c>
    </row>
    <row r="301" spans="1:6" x14ac:dyDescent="0.2">
      <c r="A301" t="str">
        <f t="shared" si="4"/>
        <v>Jacaille6</v>
      </c>
      <c r="B301">
        <v>4</v>
      </c>
      <c r="C301" t="s">
        <v>451</v>
      </c>
      <c r="D301">
        <v>2</v>
      </c>
      <c r="E301">
        <v>5</v>
      </c>
      <c r="F301">
        <v>6</v>
      </c>
    </row>
    <row r="302" spans="1:6" x14ac:dyDescent="0.2">
      <c r="A302" t="str">
        <f t="shared" si="4"/>
        <v>DernierPli6</v>
      </c>
      <c r="B302">
        <v>5</v>
      </c>
      <c r="C302" t="s">
        <v>490</v>
      </c>
      <c r="D302">
        <v>0</v>
      </c>
      <c r="E302">
        <v>3</v>
      </c>
      <c r="F302">
        <v>6</v>
      </c>
    </row>
    <row r="303" spans="1:6" x14ac:dyDescent="0.2">
      <c r="A303" t="str">
        <f t="shared" si="4"/>
        <v>Sabwill6</v>
      </c>
      <c r="B303">
        <v>6</v>
      </c>
      <c r="C303" t="s">
        <v>5</v>
      </c>
      <c r="D303">
        <v>0</v>
      </c>
      <c r="E303">
        <v>2</v>
      </c>
      <c r="F303">
        <v>6</v>
      </c>
    </row>
    <row r="304" spans="1:6" x14ac:dyDescent="0.2">
      <c r="A304" t="str">
        <f t="shared" si="4"/>
        <v>La Bavure6</v>
      </c>
      <c r="B304">
        <v>7</v>
      </c>
      <c r="C304" t="s">
        <v>475</v>
      </c>
      <c r="D304">
        <v>0</v>
      </c>
      <c r="E304">
        <v>1</v>
      </c>
      <c r="F304">
        <v>6</v>
      </c>
    </row>
    <row r="305" spans="1:6" x14ac:dyDescent="0.2">
      <c r="A305" t="str">
        <f t="shared" si="4"/>
        <v>Pyja6</v>
      </c>
      <c r="B305">
        <v>1</v>
      </c>
      <c r="C305" t="s">
        <v>6</v>
      </c>
      <c r="D305">
        <v>2</v>
      </c>
      <c r="E305">
        <v>17</v>
      </c>
      <c r="F305">
        <v>6</v>
      </c>
    </row>
    <row r="306" spans="1:6" x14ac:dyDescent="0.2">
      <c r="A306" t="str">
        <f t="shared" si="4"/>
        <v>Freddie6</v>
      </c>
      <c r="B306">
        <v>2</v>
      </c>
      <c r="C306" t="s">
        <v>525</v>
      </c>
      <c r="D306">
        <v>1</v>
      </c>
      <c r="E306">
        <v>13</v>
      </c>
      <c r="F306">
        <v>6</v>
      </c>
    </row>
    <row r="307" spans="1:6" x14ac:dyDescent="0.2">
      <c r="A307" t="str">
        <f t="shared" si="4"/>
        <v>Thibaultp756</v>
      </c>
      <c r="B307">
        <v>3</v>
      </c>
      <c r="C307" t="s">
        <v>345</v>
      </c>
      <c r="D307">
        <v>1</v>
      </c>
      <c r="E307">
        <v>9</v>
      </c>
      <c r="F307">
        <v>6</v>
      </c>
    </row>
    <row r="308" spans="1:6" x14ac:dyDescent="0.2">
      <c r="A308" t="str">
        <f t="shared" si="4"/>
        <v>Gibouille6</v>
      </c>
      <c r="B308">
        <v>4</v>
      </c>
      <c r="C308" t="s">
        <v>509</v>
      </c>
      <c r="D308">
        <v>0</v>
      </c>
      <c r="E308">
        <v>5</v>
      </c>
      <c r="F308">
        <v>6</v>
      </c>
    </row>
    <row r="309" spans="1:6" x14ac:dyDescent="0.2">
      <c r="A309" t="str">
        <f t="shared" si="4"/>
        <v>Flopynou6</v>
      </c>
      <c r="B309">
        <v>5</v>
      </c>
      <c r="C309" t="s">
        <v>530</v>
      </c>
      <c r="D309">
        <v>0</v>
      </c>
      <c r="E309">
        <v>3</v>
      </c>
      <c r="F309">
        <v>6</v>
      </c>
    </row>
    <row r="310" spans="1:6" x14ac:dyDescent="0.2">
      <c r="A310" t="str">
        <f t="shared" si="4"/>
        <v>Proph@ne6</v>
      </c>
      <c r="B310">
        <v>6</v>
      </c>
      <c r="C310" t="s">
        <v>87</v>
      </c>
      <c r="D310">
        <v>0</v>
      </c>
      <c r="E310">
        <v>2</v>
      </c>
      <c r="F310">
        <v>6</v>
      </c>
    </row>
    <row r="311" spans="1:6" x14ac:dyDescent="0.2">
      <c r="A311" t="str">
        <f t="shared" si="4"/>
        <v>Poisson Pilote6</v>
      </c>
      <c r="B311">
        <v>7</v>
      </c>
      <c r="C311" t="s">
        <v>501</v>
      </c>
      <c r="D311">
        <v>0</v>
      </c>
      <c r="E311">
        <v>1</v>
      </c>
      <c r="F311">
        <v>6</v>
      </c>
    </row>
    <row r="312" spans="1:6" x14ac:dyDescent="0.2">
      <c r="A312" t="str">
        <f t="shared" si="4"/>
        <v>Ad Vitam6</v>
      </c>
      <c r="B312">
        <v>1</v>
      </c>
      <c r="C312" t="s">
        <v>66</v>
      </c>
      <c r="D312">
        <v>5</v>
      </c>
      <c r="E312">
        <v>17</v>
      </c>
      <c r="F312">
        <v>6</v>
      </c>
    </row>
    <row r="313" spans="1:6" x14ac:dyDescent="0.2">
      <c r="A313" t="str">
        <f t="shared" si="4"/>
        <v>Ptit Savoyard6</v>
      </c>
      <c r="B313">
        <v>2</v>
      </c>
      <c r="C313" t="s">
        <v>33</v>
      </c>
      <c r="D313">
        <v>0</v>
      </c>
      <c r="E313">
        <v>13</v>
      </c>
      <c r="F313">
        <v>6</v>
      </c>
    </row>
    <row r="314" spans="1:6" x14ac:dyDescent="0.2">
      <c r="A314" t="str">
        <f t="shared" si="4"/>
        <v>Ramm6</v>
      </c>
      <c r="B314">
        <v>3</v>
      </c>
      <c r="C314" t="s">
        <v>14</v>
      </c>
      <c r="D314">
        <v>0</v>
      </c>
      <c r="E314">
        <v>9</v>
      </c>
      <c r="F314">
        <v>6</v>
      </c>
    </row>
    <row r="315" spans="1:6" x14ac:dyDescent="0.2">
      <c r="A315" t="str">
        <f t="shared" si="4"/>
        <v>Mandrake6</v>
      </c>
      <c r="B315">
        <v>4</v>
      </c>
      <c r="C315" t="s">
        <v>27</v>
      </c>
      <c r="D315">
        <v>1</v>
      </c>
      <c r="E315">
        <v>5</v>
      </c>
      <c r="F315">
        <v>6</v>
      </c>
    </row>
    <row r="316" spans="1:6" x14ac:dyDescent="0.2">
      <c r="A316" t="str">
        <f t="shared" si="4"/>
        <v>Kheops6</v>
      </c>
      <c r="B316">
        <v>5</v>
      </c>
      <c r="C316" t="s">
        <v>500</v>
      </c>
      <c r="D316">
        <v>0</v>
      </c>
      <c r="E316">
        <v>3</v>
      </c>
      <c r="F316">
        <v>6</v>
      </c>
    </row>
    <row r="317" spans="1:6" x14ac:dyDescent="0.2">
      <c r="A317" t="str">
        <f t="shared" si="4"/>
        <v>PatB6</v>
      </c>
      <c r="B317">
        <v>6</v>
      </c>
      <c r="C317" t="s">
        <v>74</v>
      </c>
      <c r="D317">
        <v>0</v>
      </c>
      <c r="E317">
        <v>2</v>
      </c>
      <c r="F317">
        <v>6</v>
      </c>
    </row>
    <row r="318" spans="1:6" x14ac:dyDescent="0.2">
      <c r="A318" t="str">
        <f t="shared" si="4"/>
        <v>Flabech6</v>
      </c>
      <c r="B318">
        <v>7</v>
      </c>
      <c r="C318" t="s">
        <v>491</v>
      </c>
      <c r="D318">
        <v>0</v>
      </c>
      <c r="E318">
        <v>1</v>
      </c>
      <c r="F318">
        <v>6</v>
      </c>
    </row>
    <row r="319" spans="1:6" x14ac:dyDescent="0.2">
      <c r="A319" t="str">
        <f t="shared" si="4"/>
        <v>Claudius6</v>
      </c>
      <c r="B319">
        <v>1</v>
      </c>
      <c r="C319" t="s">
        <v>25</v>
      </c>
      <c r="D319">
        <v>3</v>
      </c>
      <c r="E319">
        <v>17</v>
      </c>
      <c r="F319">
        <v>6</v>
      </c>
    </row>
    <row r="320" spans="1:6" x14ac:dyDescent="0.2">
      <c r="A320" t="str">
        <f t="shared" si="4"/>
        <v>JeanMichelTiming6</v>
      </c>
      <c r="B320">
        <v>2</v>
      </c>
      <c r="C320" t="s">
        <v>35</v>
      </c>
      <c r="D320">
        <v>0</v>
      </c>
      <c r="E320">
        <v>13</v>
      </c>
      <c r="F320">
        <v>6</v>
      </c>
    </row>
    <row r="321" spans="1:6" x14ac:dyDescent="0.2">
      <c r="A321" t="str">
        <f t="shared" si="4"/>
        <v>Salender6</v>
      </c>
      <c r="B321">
        <v>3</v>
      </c>
      <c r="C321" t="s">
        <v>479</v>
      </c>
      <c r="D321">
        <v>0</v>
      </c>
      <c r="E321">
        <v>9</v>
      </c>
      <c r="F321">
        <v>6</v>
      </c>
    </row>
    <row r="322" spans="1:6" x14ac:dyDescent="0.2">
      <c r="A322" t="str">
        <f t="shared" ref="A322:A385" si="5">C322&amp;F322</f>
        <v>Giobeck6</v>
      </c>
      <c r="B322">
        <v>4</v>
      </c>
      <c r="C322" t="s">
        <v>19</v>
      </c>
      <c r="D322">
        <v>1</v>
      </c>
      <c r="E322">
        <v>5</v>
      </c>
      <c r="F322">
        <v>6</v>
      </c>
    </row>
    <row r="323" spans="1:6" x14ac:dyDescent="0.2">
      <c r="A323" t="str">
        <f t="shared" si="5"/>
        <v>Ouais ouais6</v>
      </c>
      <c r="B323">
        <v>5</v>
      </c>
      <c r="C323" t="s">
        <v>533</v>
      </c>
      <c r="D323">
        <v>1</v>
      </c>
      <c r="E323">
        <v>3</v>
      </c>
      <c r="F323">
        <v>6</v>
      </c>
    </row>
    <row r="324" spans="1:6" x14ac:dyDescent="0.2">
      <c r="A324" t="str">
        <f t="shared" si="5"/>
        <v>Fishtro6</v>
      </c>
      <c r="B324">
        <v>6</v>
      </c>
      <c r="C324" t="s">
        <v>512</v>
      </c>
      <c r="D324">
        <v>0</v>
      </c>
      <c r="E324">
        <v>2</v>
      </c>
      <c r="F324">
        <v>6</v>
      </c>
    </row>
    <row r="325" spans="1:6" x14ac:dyDescent="0.2">
      <c r="A325" t="str">
        <f t="shared" si="5"/>
        <v>Papillon6</v>
      </c>
      <c r="B325">
        <v>7</v>
      </c>
      <c r="C325" t="s">
        <v>528</v>
      </c>
      <c r="D325">
        <v>0</v>
      </c>
      <c r="E325">
        <v>1</v>
      </c>
      <c r="F325">
        <v>6</v>
      </c>
    </row>
    <row r="326" spans="1:6" x14ac:dyDescent="0.2">
      <c r="A326" t="str">
        <f t="shared" si="5"/>
        <v>Makoche6</v>
      </c>
      <c r="B326">
        <v>1</v>
      </c>
      <c r="C326" t="s">
        <v>53</v>
      </c>
      <c r="D326">
        <v>4</v>
      </c>
      <c r="E326">
        <v>17</v>
      </c>
      <c r="F326">
        <v>6</v>
      </c>
    </row>
    <row r="327" spans="1:6" x14ac:dyDescent="0.2">
      <c r="A327" t="str">
        <f t="shared" si="5"/>
        <v>Empedocle6</v>
      </c>
      <c r="B327">
        <v>2</v>
      </c>
      <c r="C327" t="s">
        <v>81</v>
      </c>
      <c r="D327">
        <v>2</v>
      </c>
      <c r="E327">
        <v>13</v>
      </c>
      <c r="F327">
        <v>6</v>
      </c>
    </row>
    <row r="328" spans="1:6" x14ac:dyDescent="0.2">
      <c r="A328" t="str">
        <f t="shared" si="5"/>
        <v>Michelbey6</v>
      </c>
      <c r="B328">
        <v>3</v>
      </c>
      <c r="C328" t="s">
        <v>75</v>
      </c>
      <c r="D328">
        <v>0</v>
      </c>
      <c r="E328">
        <v>9</v>
      </c>
      <c r="F328">
        <v>6</v>
      </c>
    </row>
    <row r="329" spans="1:6" x14ac:dyDescent="0.2">
      <c r="A329" t="str">
        <f t="shared" si="5"/>
        <v>Jaden6</v>
      </c>
      <c r="B329">
        <v>4</v>
      </c>
      <c r="C329" t="s">
        <v>521</v>
      </c>
      <c r="D329">
        <v>0</v>
      </c>
      <c r="E329">
        <v>5</v>
      </c>
      <c r="F329">
        <v>6</v>
      </c>
    </row>
    <row r="330" spans="1:6" x14ac:dyDescent="0.2">
      <c r="A330" t="str">
        <f t="shared" si="5"/>
        <v>Carmin6</v>
      </c>
      <c r="B330">
        <v>5</v>
      </c>
      <c r="C330" t="s">
        <v>21</v>
      </c>
      <c r="D330">
        <v>0</v>
      </c>
      <c r="E330">
        <v>3</v>
      </c>
      <c r="F330">
        <v>6</v>
      </c>
    </row>
    <row r="331" spans="1:6" x14ac:dyDescent="0.2">
      <c r="A331" t="str">
        <f t="shared" si="5"/>
        <v>Rockatou6</v>
      </c>
      <c r="B331">
        <v>6</v>
      </c>
      <c r="C331" t="s">
        <v>493</v>
      </c>
      <c r="D331">
        <v>0</v>
      </c>
      <c r="E331">
        <v>2</v>
      </c>
      <c r="F331">
        <v>6</v>
      </c>
    </row>
    <row r="332" spans="1:6" x14ac:dyDescent="0.2">
      <c r="A332" t="str">
        <f t="shared" si="5"/>
        <v>Lizzie6</v>
      </c>
      <c r="B332">
        <v>7</v>
      </c>
      <c r="C332" t="s">
        <v>462</v>
      </c>
      <c r="D332">
        <v>0</v>
      </c>
      <c r="E332">
        <v>1</v>
      </c>
      <c r="F332">
        <v>6</v>
      </c>
    </row>
    <row r="333" spans="1:6" x14ac:dyDescent="0.2">
      <c r="A333" t="str">
        <f t="shared" si="5"/>
        <v>Claptou6</v>
      </c>
      <c r="B333">
        <v>1</v>
      </c>
      <c r="C333" t="s">
        <v>42</v>
      </c>
      <c r="D333">
        <v>4</v>
      </c>
      <c r="E333">
        <v>17</v>
      </c>
      <c r="F333">
        <v>6</v>
      </c>
    </row>
    <row r="334" spans="1:6" x14ac:dyDescent="0.2">
      <c r="A334" t="str">
        <f t="shared" si="5"/>
        <v>The Hengover6</v>
      </c>
      <c r="B334">
        <v>2</v>
      </c>
      <c r="C334" t="s">
        <v>452</v>
      </c>
      <c r="D334">
        <v>1</v>
      </c>
      <c r="E334">
        <v>13</v>
      </c>
      <c r="F334">
        <v>6</v>
      </c>
    </row>
    <row r="335" spans="1:6" x14ac:dyDescent="0.2">
      <c r="A335" t="str">
        <f t="shared" si="5"/>
        <v>Tenko6</v>
      </c>
      <c r="B335">
        <v>3</v>
      </c>
      <c r="C335" t="s">
        <v>516</v>
      </c>
      <c r="D335">
        <v>1</v>
      </c>
      <c r="E335">
        <v>9</v>
      </c>
      <c r="F335">
        <v>6</v>
      </c>
    </row>
    <row r="336" spans="1:6" x14ac:dyDescent="0.2">
      <c r="A336" t="str">
        <f t="shared" si="5"/>
        <v>Algolf756</v>
      </c>
      <c r="B336">
        <v>4</v>
      </c>
      <c r="C336" t="s">
        <v>536</v>
      </c>
      <c r="D336">
        <v>0</v>
      </c>
      <c r="E336">
        <v>5</v>
      </c>
      <c r="F336">
        <v>6</v>
      </c>
    </row>
    <row r="337" spans="1:6" x14ac:dyDescent="0.2">
      <c r="A337" t="str">
        <f t="shared" si="5"/>
        <v>YooooDA6</v>
      </c>
      <c r="B337">
        <v>5</v>
      </c>
      <c r="C337" t="s">
        <v>59</v>
      </c>
      <c r="D337">
        <v>0</v>
      </c>
      <c r="E337">
        <v>3</v>
      </c>
      <c r="F337">
        <v>6</v>
      </c>
    </row>
    <row r="338" spans="1:6" x14ac:dyDescent="0.2">
      <c r="A338" t="str">
        <f t="shared" si="5"/>
        <v>saymsonite6</v>
      </c>
      <c r="B338">
        <v>6</v>
      </c>
      <c r="C338" t="s">
        <v>20</v>
      </c>
      <c r="D338">
        <v>0</v>
      </c>
      <c r="E338">
        <v>2</v>
      </c>
      <c r="F338">
        <v>6</v>
      </c>
    </row>
    <row r="339" spans="1:6" x14ac:dyDescent="0.2">
      <c r="A339" t="str">
        <f t="shared" si="5"/>
        <v>Delgres6</v>
      </c>
      <c r="B339">
        <v>7</v>
      </c>
      <c r="C339" t="s">
        <v>280</v>
      </c>
      <c r="D339">
        <v>0</v>
      </c>
      <c r="E339">
        <v>1</v>
      </c>
      <c r="F339">
        <v>6</v>
      </c>
    </row>
    <row r="340" spans="1:6" x14ac:dyDescent="0.2">
      <c r="A340" t="str">
        <f t="shared" si="5"/>
        <v>Mandrake7</v>
      </c>
      <c r="B340">
        <v>1</v>
      </c>
      <c r="C340" t="s">
        <v>27</v>
      </c>
      <c r="D340">
        <v>2</v>
      </c>
      <c r="E340">
        <v>16</v>
      </c>
      <c r="F340">
        <v>7</v>
      </c>
    </row>
    <row r="341" spans="1:6" x14ac:dyDescent="0.2">
      <c r="A341" t="str">
        <f t="shared" si="5"/>
        <v>Catherine7</v>
      </c>
      <c r="B341">
        <v>2</v>
      </c>
      <c r="C341" t="s">
        <v>69</v>
      </c>
      <c r="D341">
        <v>1</v>
      </c>
      <c r="E341">
        <v>12</v>
      </c>
      <c r="F341">
        <v>7</v>
      </c>
    </row>
    <row r="342" spans="1:6" x14ac:dyDescent="0.2">
      <c r="A342" t="str">
        <f t="shared" si="5"/>
        <v>Michelbey7</v>
      </c>
      <c r="B342">
        <v>3</v>
      </c>
      <c r="C342" t="s">
        <v>75</v>
      </c>
      <c r="D342">
        <v>1</v>
      </c>
      <c r="E342">
        <v>8</v>
      </c>
      <c r="F342">
        <v>7</v>
      </c>
    </row>
    <row r="343" spans="1:6" x14ac:dyDescent="0.2">
      <c r="A343" t="str">
        <f t="shared" si="5"/>
        <v>Ptit Savoyard7</v>
      </c>
      <c r="B343">
        <v>4</v>
      </c>
      <c r="C343" t="s">
        <v>33</v>
      </c>
      <c r="D343">
        <v>0</v>
      </c>
      <c r="E343">
        <v>4</v>
      </c>
      <c r="F343">
        <v>7</v>
      </c>
    </row>
    <row r="344" spans="1:6" x14ac:dyDescent="0.2">
      <c r="A344" t="str">
        <f t="shared" si="5"/>
        <v>Yaltar7</v>
      </c>
      <c r="B344">
        <v>5</v>
      </c>
      <c r="C344" t="s">
        <v>503</v>
      </c>
      <c r="D344">
        <v>1</v>
      </c>
      <c r="E344">
        <v>2</v>
      </c>
      <c r="F344">
        <v>7</v>
      </c>
    </row>
    <row r="345" spans="1:6" x14ac:dyDescent="0.2">
      <c r="A345" t="str">
        <f t="shared" si="5"/>
        <v>Mokarran7</v>
      </c>
      <c r="B345">
        <v>6</v>
      </c>
      <c r="C345" t="s">
        <v>523</v>
      </c>
      <c r="D345">
        <v>0</v>
      </c>
      <c r="E345">
        <v>1</v>
      </c>
      <c r="F345">
        <v>7</v>
      </c>
    </row>
    <row r="346" spans="1:6" x14ac:dyDescent="0.2">
      <c r="A346" t="str">
        <f t="shared" si="5"/>
        <v>Zubbaz7</v>
      </c>
      <c r="B346">
        <v>1</v>
      </c>
      <c r="C346" t="s">
        <v>506</v>
      </c>
      <c r="D346">
        <v>1</v>
      </c>
      <c r="E346">
        <v>16</v>
      </c>
      <c r="F346">
        <v>7</v>
      </c>
    </row>
    <row r="347" spans="1:6" x14ac:dyDescent="0.2">
      <c r="A347" t="str">
        <f t="shared" si="5"/>
        <v>Claudius7</v>
      </c>
      <c r="B347">
        <v>2</v>
      </c>
      <c r="C347" t="s">
        <v>25</v>
      </c>
      <c r="D347">
        <v>1</v>
      </c>
      <c r="E347">
        <v>12</v>
      </c>
      <c r="F347">
        <v>7</v>
      </c>
    </row>
    <row r="348" spans="1:6" x14ac:dyDescent="0.2">
      <c r="A348" t="str">
        <f t="shared" si="5"/>
        <v>Papillon7</v>
      </c>
      <c r="B348">
        <v>3</v>
      </c>
      <c r="C348" t="s">
        <v>528</v>
      </c>
      <c r="D348">
        <v>3</v>
      </c>
      <c r="E348">
        <v>8</v>
      </c>
      <c r="F348">
        <v>7</v>
      </c>
    </row>
    <row r="349" spans="1:6" x14ac:dyDescent="0.2">
      <c r="A349" t="str">
        <f t="shared" si="5"/>
        <v>Rmarc7</v>
      </c>
      <c r="B349">
        <v>4</v>
      </c>
      <c r="C349" t="s">
        <v>508</v>
      </c>
      <c r="D349">
        <v>0</v>
      </c>
      <c r="E349">
        <v>4</v>
      </c>
      <c r="F349">
        <v>7</v>
      </c>
    </row>
    <row r="350" spans="1:6" x14ac:dyDescent="0.2">
      <c r="A350" t="str">
        <f t="shared" si="5"/>
        <v>MegaSouche7</v>
      </c>
      <c r="B350">
        <v>5</v>
      </c>
      <c r="C350" t="s">
        <v>476</v>
      </c>
      <c r="D350">
        <v>0</v>
      </c>
      <c r="E350">
        <v>2</v>
      </c>
      <c r="F350">
        <v>7</v>
      </c>
    </row>
    <row r="351" spans="1:6" x14ac:dyDescent="0.2">
      <c r="A351" t="str">
        <f t="shared" si="5"/>
        <v>Giobeck7</v>
      </c>
      <c r="B351">
        <v>6</v>
      </c>
      <c r="C351" t="s">
        <v>19</v>
      </c>
      <c r="D351">
        <v>0</v>
      </c>
      <c r="E351">
        <v>1</v>
      </c>
      <c r="F351">
        <v>7</v>
      </c>
    </row>
    <row r="352" spans="1:6" x14ac:dyDescent="0.2">
      <c r="A352" t="str">
        <f t="shared" si="5"/>
        <v>Ad Vitam7</v>
      </c>
      <c r="B352">
        <v>1</v>
      </c>
      <c r="C352" t="s">
        <v>66</v>
      </c>
      <c r="D352">
        <v>3</v>
      </c>
      <c r="E352">
        <v>16</v>
      </c>
      <c r="F352">
        <v>7</v>
      </c>
    </row>
    <row r="353" spans="1:6" x14ac:dyDescent="0.2">
      <c r="A353" t="str">
        <f t="shared" si="5"/>
        <v>Solucky7</v>
      </c>
      <c r="B353">
        <v>2</v>
      </c>
      <c r="C353" t="s">
        <v>485</v>
      </c>
      <c r="D353">
        <v>1</v>
      </c>
      <c r="E353">
        <v>12</v>
      </c>
      <c r="F353">
        <v>7</v>
      </c>
    </row>
    <row r="354" spans="1:6" x14ac:dyDescent="0.2">
      <c r="A354" t="str">
        <f t="shared" si="5"/>
        <v>JC7</v>
      </c>
      <c r="B354">
        <v>3</v>
      </c>
      <c r="C354" t="s">
        <v>534</v>
      </c>
      <c r="D354">
        <v>0</v>
      </c>
      <c r="E354">
        <v>8</v>
      </c>
      <c r="F354">
        <v>7</v>
      </c>
    </row>
    <row r="355" spans="1:6" x14ac:dyDescent="0.2">
      <c r="A355" t="str">
        <f t="shared" si="5"/>
        <v>Carmin7</v>
      </c>
      <c r="B355">
        <v>4</v>
      </c>
      <c r="C355" t="s">
        <v>21</v>
      </c>
      <c r="D355">
        <v>1</v>
      </c>
      <c r="E355">
        <v>4</v>
      </c>
      <c r="F355">
        <v>7</v>
      </c>
    </row>
    <row r="356" spans="1:6" x14ac:dyDescent="0.2">
      <c r="A356" t="str">
        <f t="shared" si="5"/>
        <v>Empedocle7</v>
      </c>
      <c r="B356">
        <v>5</v>
      </c>
      <c r="C356" t="s">
        <v>81</v>
      </c>
      <c r="D356">
        <v>0</v>
      </c>
      <c r="E356">
        <v>2</v>
      </c>
      <c r="F356">
        <v>7</v>
      </c>
    </row>
    <row r="357" spans="1:6" x14ac:dyDescent="0.2">
      <c r="A357" t="str">
        <f t="shared" si="5"/>
        <v>Delgres7</v>
      </c>
      <c r="B357">
        <v>6</v>
      </c>
      <c r="C357" t="s">
        <v>280</v>
      </c>
      <c r="D357">
        <v>0</v>
      </c>
      <c r="E357">
        <v>1</v>
      </c>
      <c r="F357">
        <v>7</v>
      </c>
    </row>
    <row r="358" spans="1:6" x14ac:dyDescent="0.2">
      <c r="A358" t="str">
        <f t="shared" si="5"/>
        <v>Rockatou7</v>
      </c>
      <c r="B358">
        <v>1</v>
      </c>
      <c r="C358" t="s">
        <v>493</v>
      </c>
      <c r="D358">
        <v>1</v>
      </c>
      <c r="E358">
        <v>16</v>
      </c>
      <c r="F358">
        <v>7</v>
      </c>
    </row>
    <row r="359" spans="1:6" x14ac:dyDescent="0.2">
      <c r="A359" t="str">
        <f t="shared" si="5"/>
        <v>Jacaille7</v>
      </c>
      <c r="B359">
        <v>2</v>
      </c>
      <c r="C359" t="s">
        <v>451</v>
      </c>
      <c r="D359">
        <v>0</v>
      </c>
      <c r="E359">
        <v>12</v>
      </c>
      <c r="F359">
        <v>7</v>
      </c>
    </row>
    <row r="360" spans="1:6" x14ac:dyDescent="0.2">
      <c r="A360" t="str">
        <f t="shared" si="5"/>
        <v>Soupaman7</v>
      </c>
      <c r="B360">
        <v>3</v>
      </c>
      <c r="C360" t="s">
        <v>518</v>
      </c>
      <c r="D360">
        <v>1</v>
      </c>
      <c r="E360">
        <v>8</v>
      </c>
      <c r="F360">
        <v>7</v>
      </c>
    </row>
    <row r="361" spans="1:6" x14ac:dyDescent="0.2">
      <c r="A361" t="str">
        <f t="shared" si="5"/>
        <v>Salender7</v>
      </c>
      <c r="B361">
        <v>4</v>
      </c>
      <c r="C361" t="s">
        <v>479</v>
      </c>
      <c r="D361">
        <v>0</v>
      </c>
      <c r="E361">
        <v>4</v>
      </c>
      <c r="F361">
        <v>7</v>
      </c>
    </row>
    <row r="362" spans="1:6" x14ac:dyDescent="0.2">
      <c r="A362" t="str">
        <f t="shared" si="5"/>
        <v>K17</v>
      </c>
      <c r="B362">
        <v>5</v>
      </c>
      <c r="C362" t="s">
        <v>9</v>
      </c>
      <c r="D362">
        <v>1</v>
      </c>
      <c r="E362">
        <v>2</v>
      </c>
      <c r="F362">
        <v>7</v>
      </c>
    </row>
    <row r="363" spans="1:6" x14ac:dyDescent="0.2">
      <c r="A363" t="str">
        <f t="shared" si="5"/>
        <v>Ouais ouais7</v>
      </c>
      <c r="B363">
        <v>6</v>
      </c>
      <c r="C363" t="s">
        <v>533</v>
      </c>
      <c r="D363">
        <v>0</v>
      </c>
      <c r="E363">
        <v>1</v>
      </c>
      <c r="F363">
        <v>7</v>
      </c>
    </row>
    <row r="364" spans="1:6" x14ac:dyDescent="0.2">
      <c r="A364" t="str">
        <f t="shared" si="5"/>
        <v>DernierPli7</v>
      </c>
      <c r="B364">
        <v>1</v>
      </c>
      <c r="C364" t="s">
        <v>490</v>
      </c>
      <c r="D364">
        <v>4</v>
      </c>
      <c r="E364">
        <v>16</v>
      </c>
      <c r="F364">
        <v>7</v>
      </c>
    </row>
    <row r="365" spans="1:6" x14ac:dyDescent="0.2">
      <c r="A365" t="str">
        <f t="shared" si="5"/>
        <v>PatB7</v>
      </c>
      <c r="B365">
        <v>2</v>
      </c>
      <c r="C365" t="s">
        <v>74</v>
      </c>
      <c r="D365">
        <v>1</v>
      </c>
      <c r="E365">
        <v>12</v>
      </c>
      <c r="F365">
        <v>7</v>
      </c>
    </row>
    <row r="366" spans="1:6" x14ac:dyDescent="0.2">
      <c r="A366" t="str">
        <f t="shared" si="5"/>
        <v>Jérôme7</v>
      </c>
      <c r="B366">
        <v>3</v>
      </c>
      <c r="C366" t="s">
        <v>46</v>
      </c>
      <c r="D366">
        <v>0</v>
      </c>
      <c r="E366">
        <v>8</v>
      </c>
      <c r="F366">
        <v>7</v>
      </c>
    </row>
    <row r="367" spans="1:6" x14ac:dyDescent="0.2">
      <c r="A367" t="str">
        <f t="shared" si="5"/>
        <v>Poisson Pilote7</v>
      </c>
      <c r="B367">
        <v>4</v>
      </c>
      <c r="C367" t="s">
        <v>501</v>
      </c>
      <c r="D367">
        <v>0</v>
      </c>
      <c r="E367">
        <v>4</v>
      </c>
      <c r="F367">
        <v>7</v>
      </c>
    </row>
    <row r="368" spans="1:6" x14ac:dyDescent="0.2">
      <c r="A368" t="str">
        <f t="shared" si="5"/>
        <v>OlivierN927</v>
      </c>
      <c r="B368">
        <v>5</v>
      </c>
      <c r="C368" t="s">
        <v>32</v>
      </c>
      <c r="D368">
        <v>0</v>
      </c>
      <c r="E368">
        <v>2</v>
      </c>
      <c r="F368">
        <v>7</v>
      </c>
    </row>
    <row r="369" spans="1:6" x14ac:dyDescent="0.2">
      <c r="A369" t="str">
        <f t="shared" si="5"/>
        <v>Jaden7</v>
      </c>
      <c r="B369">
        <v>6</v>
      </c>
      <c r="C369" t="s">
        <v>521</v>
      </c>
      <c r="D369">
        <v>0</v>
      </c>
      <c r="E369">
        <v>1</v>
      </c>
      <c r="F369">
        <v>7</v>
      </c>
    </row>
    <row r="370" spans="1:6" x14ac:dyDescent="0.2">
      <c r="A370" t="str">
        <f t="shared" si="5"/>
        <v>TheRealWill7</v>
      </c>
      <c r="B370">
        <v>1</v>
      </c>
      <c r="C370" t="s">
        <v>535</v>
      </c>
      <c r="D370">
        <v>4</v>
      </c>
      <c r="E370">
        <v>16</v>
      </c>
      <c r="F370">
        <v>7</v>
      </c>
    </row>
    <row r="371" spans="1:6" x14ac:dyDescent="0.2">
      <c r="A371" t="str">
        <f t="shared" si="5"/>
        <v>Sobab7</v>
      </c>
      <c r="B371">
        <v>2</v>
      </c>
      <c r="C371" t="s">
        <v>502</v>
      </c>
      <c r="D371">
        <v>1</v>
      </c>
      <c r="E371">
        <v>12</v>
      </c>
      <c r="F371">
        <v>7</v>
      </c>
    </row>
    <row r="372" spans="1:6" x14ac:dyDescent="0.2">
      <c r="A372" t="str">
        <f t="shared" si="5"/>
        <v>Claptou7</v>
      </c>
      <c r="B372">
        <v>3</v>
      </c>
      <c r="C372" t="s">
        <v>42</v>
      </c>
      <c r="D372">
        <v>0</v>
      </c>
      <c r="E372">
        <v>8</v>
      </c>
      <c r="F372">
        <v>7</v>
      </c>
    </row>
    <row r="373" spans="1:6" x14ac:dyDescent="0.2">
      <c r="A373" t="str">
        <f t="shared" si="5"/>
        <v>Gibbonfury7</v>
      </c>
      <c r="B373">
        <v>4</v>
      </c>
      <c r="C373" t="s">
        <v>454</v>
      </c>
      <c r="D373">
        <v>0</v>
      </c>
      <c r="E373">
        <v>4</v>
      </c>
      <c r="F373">
        <v>7</v>
      </c>
    </row>
    <row r="374" spans="1:6" x14ac:dyDescent="0.2">
      <c r="A374" t="str">
        <f t="shared" si="5"/>
        <v>ChrisFrankfurt7</v>
      </c>
      <c r="B374">
        <v>5</v>
      </c>
      <c r="C374" t="s">
        <v>101</v>
      </c>
      <c r="D374">
        <v>0</v>
      </c>
      <c r="E374">
        <v>2</v>
      </c>
      <c r="F374">
        <v>7</v>
      </c>
    </row>
    <row r="375" spans="1:6" x14ac:dyDescent="0.2">
      <c r="A375" t="str">
        <f t="shared" si="5"/>
        <v>Bounette7</v>
      </c>
      <c r="B375">
        <v>6</v>
      </c>
      <c r="C375" t="s">
        <v>55</v>
      </c>
      <c r="D375">
        <v>0</v>
      </c>
      <c r="E375">
        <v>1</v>
      </c>
      <c r="F375">
        <v>7</v>
      </c>
    </row>
    <row r="376" spans="1:6" x14ac:dyDescent="0.2">
      <c r="A376" t="str">
        <f t="shared" si="5"/>
        <v>Losogre7</v>
      </c>
      <c r="B376">
        <v>1</v>
      </c>
      <c r="C376" t="s">
        <v>507</v>
      </c>
      <c r="D376">
        <v>3</v>
      </c>
      <c r="E376">
        <v>16</v>
      </c>
      <c r="F376">
        <v>7</v>
      </c>
    </row>
    <row r="377" spans="1:6" x14ac:dyDescent="0.2">
      <c r="A377" t="str">
        <f t="shared" si="5"/>
        <v>Ripolin7</v>
      </c>
      <c r="B377">
        <v>2</v>
      </c>
      <c r="C377" t="s">
        <v>65</v>
      </c>
      <c r="D377">
        <v>0</v>
      </c>
      <c r="E377">
        <v>12</v>
      </c>
      <c r="F377">
        <v>7</v>
      </c>
    </row>
    <row r="378" spans="1:6" x14ac:dyDescent="0.2">
      <c r="A378" t="str">
        <f t="shared" si="5"/>
        <v>Algolf757</v>
      </c>
      <c r="B378">
        <v>3</v>
      </c>
      <c r="C378" t="s">
        <v>536</v>
      </c>
      <c r="D378">
        <v>1</v>
      </c>
      <c r="E378">
        <v>8</v>
      </c>
      <c r="F378">
        <v>7</v>
      </c>
    </row>
    <row r="379" spans="1:6" x14ac:dyDescent="0.2">
      <c r="A379" t="str">
        <f t="shared" si="5"/>
        <v>Chico7</v>
      </c>
      <c r="B379">
        <v>4</v>
      </c>
      <c r="C379" t="s">
        <v>515</v>
      </c>
      <c r="D379">
        <v>0</v>
      </c>
      <c r="E379">
        <v>4</v>
      </c>
      <c r="F379">
        <v>7</v>
      </c>
    </row>
    <row r="380" spans="1:6" x14ac:dyDescent="0.2">
      <c r="A380" t="str">
        <f t="shared" si="5"/>
        <v>LAAtof7</v>
      </c>
      <c r="B380">
        <v>5</v>
      </c>
      <c r="C380" t="s">
        <v>15</v>
      </c>
      <c r="D380">
        <v>1</v>
      </c>
      <c r="E380">
        <v>2</v>
      </c>
      <c r="F380">
        <v>7</v>
      </c>
    </row>
    <row r="381" spans="1:6" x14ac:dyDescent="0.2">
      <c r="A381" t="str">
        <f t="shared" si="5"/>
        <v>Just4fun7</v>
      </c>
      <c r="B381">
        <v>6</v>
      </c>
      <c r="C381" t="s">
        <v>527</v>
      </c>
      <c r="D381">
        <v>0</v>
      </c>
      <c r="E381">
        <v>1</v>
      </c>
      <c r="F381">
        <v>7</v>
      </c>
    </row>
    <row r="382" spans="1:6" x14ac:dyDescent="0.2">
      <c r="A382" t="str">
        <f t="shared" si="5"/>
        <v>The Hengover7</v>
      </c>
      <c r="B382">
        <v>1</v>
      </c>
      <c r="C382" t="s">
        <v>452</v>
      </c>
      <c r="D382">
        <v>4</v>
      </c>
      <c r="E382">
        <v>17</v>
      </c>
      <c r="F382">
        <v>7</v>
      </c>
    </row>
    <row r="383" spans="1:6" x14ac:dyDescent="0.2">
      <c r="A383" t="str">
        <f t="shared" si="5"/>
        <v>Pyja7</v>
      </c>
      <c r="B383">
        <v>2</v>
      </c>
      <c r="C383" t="s">
        <v>6</v>
      </c>
      <c r="D383">
        <v>0</v>
      </c>
      <c r="E383">
        <v>13</v>
      </c>
      <c r="F383">
        <v>7</v>
      </c>
    </row>
    <row r="384" spans="1:6" x14ac:dyDescent="0.2">
      <c r="A384" t="str">
        <f t="shared" si="5"/>
        <v>Mams7</v>
      </c>
      <c r="B384">
        <v>3</v>
      </c>
      <c r="C384" t="s">
        <v>505</v>
      </c>
      <c r="D384">
        <v>1</v>
      </c>
      <c r="E384">
        <v>9</v>
      </c>
      <c r="F384">
        <v>7</v>
      </c>
    </row>
    <row r="385" spans="1:6" x14ac:dyDescent="0.2">
      <c r="A385" t="str">
        <f t="shared" si="5"/>
        <v>Flem7</v>
      </c>
      <c r="B385">
        <v>4</v>
      </c>
      <c r="C385" t="s">
        <v>73</v>
      </c>
      <c r="D385">
        <v>1</v>
      </c>
      <c r="E385">
        <v>5</v>
      </c>
      <c r="F385">
        <v>7</v>
      </c>
    </row>
    <row r="386" spans="1:6" x14ac:dyDescent="0.2">
      <c r="A386" t="str">
        <f t="shared" ref="A386:A449" si="6">C386&amp;F386</f>
        <v>YooooDA7</v>
      </c>
      <c r="B386">
        <v>5</v>
      </c>
      <c r="C386" t="s">
        <v>59</v>
      </c>
      <c r="D386">
        <v>0</v>
      </c>
      <c r="E386">
        <v>3</v>
      </c>
      <c r="F386">
        <v>7</v>
      </c>
    </row>
    <row r="387" spans="1:6" x14ac:dyDescent="0.2">
      <c r="A387" t="str">
        <f t="shared" si="6"/>
        <v>Xhar927</v>
      </c>
      <c r="B387">
        <v>6</v>
      </c>
      <c r="C387" t="s">
        <v>519</v>
      </c>
      <c r="D387">
        <v>0</v>
      </c>
      <c r="E387">
        <v>2</v>
      </c>
      <c r="F387">
        <v>7</v>
      </c>
    </row>
    <row r="388" spans="1:6" x14ac:dyDescent="0.2">
      <c r="A388" t="str">
        <f t="shared" si="6"/>
        <v>La Bavure7</v>
      </c>
      <c r="B388">
        <v>7</v>
      </c>
      <c r="C388" t="s">
        <v>475</v>
      </c>
      <c r="D388">
        <v>0</v>
      </c>
      <c r="E388">
        <v>1</v>
      </c>
      <c r="F388">
        <v>7</v>
      </c>
    </row>
    <row r="389" spans="1:6" x14ac:dyDescent="0.2">
      <c r="A389" t="str">
        <f t="shared" si="6"/>
        <v>Mandrake8</v>
      </c>
      <c r="B389">
        <v>1</v>
      </c>
      <c r="C389" t="s">
        <v>27</v>
      </c>
      <c r="D389">
        <v>2</v>
      </c>
      <c r="E389">
        <v>16</v>
      </c>
      <c r="F389">
        <v>8</v>
      </c>
    </row>
    <row r="390" spans="1:6" x14ac:dyDescent="0.2">
      <c r="A390" t="str">
        <f t="shared" si="6"/>
        <v>Thibaultp758</v>
      </c>
      <c r="B390">
        <v>2</v>
      </c>
      <c r="C390" t="s">
        <v>345</v>
      </c>
      <c r="D390">
        <v>2</v>
      </c>
      <c r="E390">
        <v>12</v>
      </c>
      <c r="F390">
        <v>8</v>
      </c>
    </row>
    <row r="391" spans="1:6" x14ac:dyDescent="0.2">
      <c r="A391" t="str">
        <f t="shared" si="6"/>
        <v>Boosilletoo8</v>
      </c>
      <c r="B391">
        <v>3</v>
      </c>
      <c r="C391" t="s">
        <v>532</v>
      </c>
      <c r="D391">
        <v>0</v>
      </c>
      <c r="E391">
        <v>8</v>
      </c>
      <c r="F391">
        <v>8</v>
      </c>
    </row>
    <row r="392" spans="1:6" x14ac:dyDescent="0.2">
      <c r="A392" t="str">
        <f t="shared" si="6"/>
        <v>Comment28</v>
      </c>
      <c r="B392">
        <v>4</v>
      </c>
      <c r="C392" t="s">
        <v>76</v>
      </c>
      <c r="D392">
        <v>0</v>
      </c>
      <c r="E392">
        <v>4</v>
      </c>
      <c r="F392">
        <v>8</v>
      </c>
    </row>
    <row r="393" spans="1:6" x14ac:dyDescent="0.2">
      <c r="A393" t="str">
        <f t="shared" si="6"/>
        <v>TheRealWill8</v>
      </c>
      <c r="B393">
        <v>5</v>
      </c>
      <c r="C393" t="s">
        <v>535</v>
      </c>
      <c r="D393">
        <v>1</v>
      </c>
      <c r="E393">
        <v>2</v>
      </c>
      <c r="F393">
        <v>8</v>
      </c>
    </row>
    <row r="394" spans="1:6" x14ac:dyDescent="0.2">
      <c r="A394" t="str">
        <f t="shared" si="6"/>
        <v>Kri-lin8</v>
      </c>
      <c r="B394">
        <v>6</v>
      </c>
      <c r="C394" t="s">
        <v>61</v>
      </c>
      <c r="D394">
        <v>0</v>
      </c>
      <c r="E394">
        <v>1</v>
      </c>
      <c r="F394">
        <v>8</v>
      </c>
    </row>
    <row r="395" spans="1:6" x14ac:dyDescent="0.2">
      <c r="A395" t="str">
        <f t="shared" si="6"/>
        <v>MegaSouche8</v>
      </c>
      <c r="B395">
        <v>1</v>
      </c>
      <c r="C395" t="s">
        <v>476</v>
      </c>
      <c r="D395">
        <v>3</v>
      </c>
      <c r="E395">
        <v>17</v>
      </c>
      <c r="F395">
        <v>8</v>
      </c>
    </row>
    <row r="396" spans="1:6" x14ac:dyDescent="0.2">
      <c r="A396" t="str">
        <f t="shared" si="6"/>
        <v>Soupaman8</v>
      </c>
      <c r="B396">
        <v>2</v>
      </c>
      <c r="C396" t="s">
        <v>518</v>
      </c>
      <c r="D396">
        <v>0</v>
      </c>
      <c r="E396">
        <v>13</v>
      </c>
      <c r="F396">
        <v>8</v>
      </c>
    </row>
    <row r="397" spans="1:6" x14ac:dyDescent="0.2">
      <c r="A397" t="str">
        <f t="shared" si="6"/>
        <v>Flopynou8</v>
      </c>
      <c r="B397">
        <v>3</v>
      </c>
      <c r="C397" t="s">
        <v>530</v>
      </c>
      <c r="D397">
        <v>1</v>
      </c>
      <c r="E397">
        <v>9</v>
      </c>
      <c r="F397">
        <v>8</v>
      </c>
    </row>
    <row r="398" spans="1:6" x14ac:dyDescent="0.2">
      <c r="A398" t="str">
        <f t="shared" si="6"/>
        <v>Kheops8</v>
      </c>
      <c r="B398">
        <v>4</v>
      </c>
      <c r="C398" t="s">
        <v>500</v>
      </c>
      <c r="D398">
        <v>2</v>
      </c>
      <c r="E398">
        <v>5</v>
      </c>
      <c r="F398">
        <v>8</v>
      </c>
    </row>
    <row r="399" spans="1:6" x14ac:dyDescent="0.2">
      <c r="A399" t="str">
        <f t="shared" si="6"/>
        <v>Sobab8</v>
      </c>
      <c r="B399">
        <v>5</v>
      </c>
      <c r="C399" t="s">
        <v>502</v>
      </c>
      <c r="D399">
        <v>0</v>
      </c>
      <c r="E399">
        <v>3</v>
      </c>
      <c r="F399">
        <v>8</v>
      </c>
    </row>
    <row r="400" spans="1:6" x14ac:dyDescent="0.2">
      <c r="A400" t="str">
        <f t="shared" si="6"/>
        <v>Xhar928</v>
      </c>
      <c r="B400">
        <v>6</v>
      </c>
      <c r="C400" t="s">
        <v>519</v>
      </c>
      <c r="D400">
        <v>0</v>
      </c>
      <c r="E400">
        <v>2</v>
      </c>
      <c r="F400">
        <v>8</v>
      </c>
    </row>
    <row r="401" spans="1:6" x14ac:dyDescent="0.2">
      <c r="A401" t="str">
        <f t="shared" si="6"/>
        <v>Solucky8</v>
      </c>
      <c r="B401">
        <v>7</v>
      </c>
      <c r="C401" t="s">
        <v>485</v>
      </c>
      <c r="D401">
        <v>0</v>
      </c>
      <c r="E401">
        <v>1</v>
      </c>
      <c r="F401">
        <v>8</v>
      </c>
    </row>
    <row r="402" spans="1:6" x14ac:dyDescent="0.2">
      <c r="A402" t="str">
        <f t="shared" si="6"/>
        <v>Rockatou8</v>
      </c>
      <c r="B402">
        <v>1</v>
      </c>
      <c r="C402" t="s">
        <v>493</v>
      </c>
      <c r="D402">
        <v>2</v>
      </c>
      <c r="E402">
        <v>17</v>
      </c>
      <c r="F402">
        <v>8</v>
      </c>
    </row>
    <row r="403" spans="1:6" x14ac:dyDescent="0.2">
      <c r="A403" t="str">
        <f t="shared" si="6"/>
        <v>Yroz8</v>
      </c>
      <c r="B403">
        <v>2</v>
      </c>
      <c r="C403" t="s">
        <v>526</v>
      </c>
      <c r="D403">
        <v>1</v>
      </c>
      <c r="E403">
        <v>13</v>
      </c>
      <c r="F403">
        <v>8</v>
      </c>
    </row>
    <row r="404" spans="1:6" x14ac:dyDescent="0.2">
      <c r="A404" t="str">
        <f t="shared" si="6"/>
        <v>JC8</v>
      </c>
      <c r="B404">
        <v>3</v>
      </c>
      <c r="C404" t="s">
        <v>534</v>
      </c>
      <c r="D404">
        <v>0</v>
      </c>
      <c r="E404">
        <v>9</v>
      </c>
      <c r="F404">
        <v>8</v>
      </c>
    </row>
    <row r="405" spans="1:6" x14ac:dyDescent="0.2">
      <c r="A405" t="str">
        <f t="shared" si="6"/>
        <v>ChrisFrankfurt8</v>
      </c>
      <c r="B405">
        <v>3</v>
      </c>
      <c r="C405" t="s">
        <v>101</v>
      </c>
      <c r="D405">
        <v>0</v>
      </c>
      <c r="E405">
        <v>9</v>
      </c>
      <c r="F405">
        <v>8</v>
      </c>
    </row>
    <row r="406" spans="1:6" x14ac:dyDescent="0.2">
      <c r="A406" t="str">
        <f t="shared" si="6"/>
        <v>Gibbonfury8</v>
      </c>
      <c r="B406">
        <v>4</v>
      </c>
      <c r="C406" t="s">
        <v>454</v>
      </c>
      <c r="D406">
        <v>3</v>
      </c>
      <c r="E406">
        <v>5</v>
      </c>
      <c r="F406">
        <v>8</v>
      </c>
    </row>
    <row r="407" spans="1:6" x14ac:dyDescent="0.2">
      <c r="A407" t="str">
        <f t="shared" si="6"/>
        <v>Gibouille8</v>
      </c>
      <c r="B407">
        <v>5</v>
      </c>
      <c r="C407" t="s">
        <v>509</v>
      </c>
      <c r="D407">
        <v>0</v>
      </c>
      <c r="E407">
        <v>3</v>
      </c>
      <c r="F407">
        <v>8</v>
      </c>
    </row>
    <row r="408" spans="1:6" x14ac:dyDescent="0.2">
      <c r="A408" t="str">
        <f t="shared" si="6"/>
        <v>Bounette8</v>
      </c>
      <c r="B408">
        <v>7</v>
      </c>
      <c r="C408" t="s">
        <v>55</v>
      </c>
      <c r="D408">
        <v>0</v>
      </c>
      <c r="E408">
        <v>1</v>
      </c>
      <c r="F408">
        <v>8</v>
      </c>
    </row>
    <row r="409" spans="1:6" x14ac:dyDescent="0.2">
      <c r="A409" t="str">
        <f t="shared" si="6"/>
        <v>Claudius8</v>
      </c>
      <c r="B409">
        <v>1</v>
      </c>
      <c r="C409" t="s">
        <v>25</v>
      </c>
      <c r="D409">
        <v>1</v>
      </c>
      <c r="E409">
        <v>17</v>
      </c>
      <c r="F409">
        <v>8</v>
      </c>
    </row>
    <row r="410" spans="1:6" x14ac:dyDescent="0.2">
      <c r="A410" t="str">
        <f t="shared" si="6"/>
        <v>Magic Mykiss8</v>
      </c>
      <c r="B410">
        <v>2</v>
      </c>
      <c r="C410" t="s">
        <v>510</v>
      </c>
      <c r="D410">
        <v>5</v>
      </c>
      <c r="E410">
        <v>13</v>
      </c>
      <c r="F410">
        <v>8</v>
      </c>
    </row>
    <row r="411" spans="1:6" x14ac:dyDescent="0.2">
      <c r="A411" t="str">
        <f t="shared" si="6"/>
        <v>Mams8</v>
      </c>
      <c r="B411">
        <v>3</v>
      </c>
      <c r="C411" t="s">
        <v>505</v>
      </c>
      <c r="D411">
        <v>0</v>
      </c>
      <c r="E411">
        <v>9</v>
      </c>
      <c r="F411">
        <v>8</v>
      </c>
    </row>
    <row r="412" spans="1:6" x14ac:dyDescent="0.2">
      <c r="A412" t="str">
        <f t="shared" si="6"/>
        <v>OlivierN928</v>
      </c>
      <c r="B412">
        <v>4</v>
      </c>
      <c r="C412" t="s">
        <v>32</v>
      </c>
      <c r="D412">
        <v>0</v>
      </c>
      <c r="E412">
        <v>5</v>
      </c>
      <c r="F412">
        <v>8</v>
      </c>
    </row>
    <row r="413" spans="1:6" x14ac:dyDescent="0.2">
      <c r="A413" t="str">
        <f t="shared" si="6"/>
        <v>DernierPli8</v>
      </c>
      <c r="B413">
        <v>5</v>
      </c>
      <c r="C413" t="s">
        <v>490</v>
      </c>
      <c r="D413">
        <v>0</v>
      </c>
      <c r="E413">
        <v>3</v>
      </c>
      <c r="F413">
        <v>8</v>
      </c>
    </row>
    <row r="414" spans="1:6" x14ac:dyDescent="0.2">
      <c r="A414" t="str">
        <f t="shared" si="6"/>
        <v>Algolf758</v>
      </c>
      <c r="B414">
        <v>6</v>
      </c>
      <c r="C414" t="s">
        <v>536</v>
      </c>
      <c r="D414">
        <v>0</v>
      </c>
      <c r="E414">
        <v>2</v>
      </c>
      <c r="F414">
        <v>8</v>
      </c>
    </row>
    <row r="415" spans="1:6" x14ac:dyDescent="0.2">
      <c r="A415" t="str">
        <f t="shared" si="6"/>
        <v>Catherine8</v>
      </c>
      <c r="B415">
        <v>7</v>
      </c>
      <c r="C415" t="s">
        <v>69</v>
      </c>
      <c r="D415">
        <v>0</v>
      </c>
      <c r="E415">
        <v>1</v>
      </c>
      <c r="F415">
        <v>8</v>
      </c>
    </row>
    <row r="416" spans="1:6" x14ac:dyDescent="0.2">
      <c r="A416" t="str">
        <f t="shared" si="6"/>
        <v>JeanMichelTiming8</v>
      </c>
      <c r="B416">
        <v>1</v>
      </c>
      <c r="C416" t="s">
        <v>35</v>
      </c>
      <c r="D416">
        <v>1</v>
      </c>
      <c r="E416">
        <v>16</v>
      </c>
      <c r="F416">
        <v>8</v>
      </c>
    </row>
    <row r="417" spans="1:6" x14ac:dyDescent="0.2">
      <c r="A417" t="str">
        <f t="shared" si="6"/>
        <v>Yaltar8</v>
      </c>
      <c r="B417">
        <v>2</v>
      </c>
      <c r="C417" t="s">
        <v>503</v>
      </c>
      <c r="D417">
        <v>4</v>
      </c>
      <c r="E417">
        <v>12</v>
      </c>
      <c r="F417">
        <v>8</v>
      </c>
    </row>
    <row r="418" spans="1:6" x14ac:dyDescent="0.2">
      <c r="A418" t="str">
        <f t="shared" si="6"/>
        <v>Solex8</v>
      </c>
      <c r="B418">
        <v>3</v>
      </c>
      <c r="C418" t="s">
        <v>34</v>
      </c>
      <c r="D418">
        <v>0</v>
      </c>
      <c r="E418">
        <v>8</v>
      </c>
      <c r="F418">
        <v>8</v>
      </c>
    </row>
    <row r="419" spans="1:6" x14ac:dyDescent="0.2">
      <c r="A419" t="str">
        <f t="shared" si="6"/>
        <v>Jérôme8</v>
      </c>
      <c r="B419">
        <v>4</v>
      </c>
      <c r="C419" t="s">
        <v>46</v>
      </c>
      <c r="D419">
        <v>0</v>
      </c>
      <c r="E419">
        <v>4</v>
      </c>
      <c r="F419">
        <v>8</v>
      </c>
    </row>
    <row r="420" spans="1:6" x14ac:dyDescent="0.2">
      <c r="A420" t="str">
        <f t="shared" si="6"/>
        <v>Salender8</v>
      </c>
      <c r="B420">
        <v>5</v>
      </c>
      <c r="C420" t="s">
        <v>479</v>
      </c>
      <c r="D420">
        <v>0</v>
      </c>
      <c r="E420">
        <v>2</v>
      </c>
      <c r="F420">
        <v>8</v>
      </c>
    </row>
    <row r="421" spans="1:6" x14ac:dyDescent="0.2">
      <c r="A421" t="str">
        <f t="shared" si="6"/>
        <v>Ptit Savoyard8</v>
      </c>
      <c r="B421">
        <v>6</v>
      </c>
      <c r="C421" t="s">
        <v>33</v>
      </c>
      <c r="D421">
        <v>0</v>
      </c>
      <c r="E421">
        <v>1</v>
      </c>
      <c r="F421">
        <v>8</v>
      </c>
    </row>
    <row r="422" spans="1:6" x14ac:dyDescent="0.2">
      <c r="A422" t="str">
        <f t="shared" si="6"/>
        <v>Proph@ne8</v>
      </c>
      <c r="B422">
        <v>1</v>
      </c>
      <c r="C422" t="s">
        <v>87</v>
      </c>
      <c r="D422">
        <v>1</v>
      </c>
      <c r="E422">
        <v>16</v>
      </c>
      <c r="F422">
        <v>8</v>
      </c>
    </row>
    <row r="423" spans="1:6" x14ac:dyDescent="0.2">
      <c r="A423" t="str">
        <f t="shared" si="6"/>
        <v>K18</v>
      </c>
      <c r="B423">
        <v>2</v>
      </c>
      <c r="C423" t="s">
        <v>9</v>
      </c>
      <c r="D423">
        <v>3</v>
      </c>
      <c r="E423">
        <v>12</v>
      </c>
      <c r="F423">
        <v>8</v>
      </c>
    </row>
    <row r="424" spans="1:6" x14ac:dyDescent="0.2">
      <c r="A424" t="str">
        <f t="shared" si="6"/>
        <v>Delgres8</v>
      </c>
      <c r="B424">
        <v>3</v>
      </c>
      <c r="C424" t="s">
        <v>280</v>
      </c>
      <c r="D424">
        <v>0</v>
      </c>
      <c r="E424">
        <v>8</v>
      </c>
      <c r="F424">
        <v>8</v>
      </c>
    </row>
    <row r="425" spans="1:6" x14ac:dyDescent="0.2">
      <c r="A425" t="str">
        <f t="shared" si="6"/>
        <v>Jacaille8</v>
      </c>
      <c r="B425">
        <v>4</v>
      </c>
      <c r="C425" t="s">
        <v>451</v>
      </c>
      <c r="D425">
        <v>0</v>
      </c>
      <c r="E425">
        <v>4</v>
      </c>
      <c r="F425">
        <v>8</v>
      </c>
    </row>
    <row r="426" spans="1:6" x14ac:dyDescent="0.2">
      <c r="A426" t="str">
        <f t="shared" si="6"/>
        <v>Carmin8</v>
      </c>
      <c r="B426">
        <v>5</v>
      </c>
      <c r="C426" t="s">
        <v>21</v>
      </c>
      <c r="D426">
        <v>0</v>
      </c>
      <c r="E426">
        <v>2</v>
      </c>
      <c r="F426">
        <v>8</v>
      </c>
    </row>
    <row r="427" spans="1:6" x14ac:dyDescent="0.2">
      <c r="A427" t="str">
        <f t="shared" si="6"/>
        <v>Michelbey8</v>
      </c>
      <c r="B427">
        <v>6</v>
      </c>
      <c r="C427" t="s">
        <v>75</v>
      </c>
      <c r="D427">
        <v>0</v>
      </c>
      <c r="E427">
        <v>1</v>
      </c>
      <c r="F427">
        <v>8</v>
      </c>
    </row>
    <row r="428" spans="1:6" x14ac:dyDescent="0.2">
      <c r="A428" t="str">
        <f t="shared" si="6"/>
        <v>Zubbaz8</v>
      </c>
      <c r="B428">
        <v>1</v>
      </c>
      <c r="C428" t="s">
        <v>506</v>
      </c>
      <c r="D428">
        <v>4</v>
      </c>
      <c r="E428">
        <v>17</v>
      </c>
      <c r="F428">
        <v>8</v>
      </c>
    </row>
    <row r="429" spans="1:6" x14ac:dyDescent="0.2">
      <c r="A429" t="str">
        <f t="shared" si="6"/>
        <v>PatB8</v>
      </c>
      <c r="B429">
        <v>2</v>
      </c>
      <c r="C429" t="s">
        <v>74</v>
      </c>
      <c r="D429">
        <v>2</v>
      </c>
      <c r="E429">
        <v>13</v>
      </c>
      <c r="F429">
        <v>8</v>
      </c>
    </row>
    <row r="430" spans="1:6" x14ac:dyDescent="0.2">
      <c r="A430" t="str">
        <f t="shared" si="6"/>
        <v>Giobeck8</v>
      </c>
      <c r="B430">
        <v>3</v>
      </c>
      <c r="C430" t="s">
        <v>19</v>
      </c>
      <c r="D430">
        <v>0</v>
      </c>
      <c r="E430">
        <v>9</v>
      </c>
      <c r="F430">
        <v>8</v>
      </c>
    </row>
    <row r="431" spans="1:6" x14ac:dyDescent="0.2">
      <c r="A431" t="str">
        <f t="shared" si="6"/>
        <v>Losogre8</v>
      </c>
      <c r="B431">
        <v>4</v>
      </c>
      <c r="C431" t="s">
        <v>507</v>
      </c>
      <c r="D431">
        <v>0</v>
      </c>
      <c r="E431">
        <v>5</v>
      </c>
      <c r="F431">
        <v>8</v>
      </c>
    </row>
    <row r="432" spans="1:6" x14ac:dyDescent="0.2">
      <c r="A432" t="str">
        <f t="shared" si="6"/>
        <v>Flabech8</v>
      </c>
      <c r="B432">
        <v>5</v>
      </c>
      <c r="C432" t="s">
        <v>491</v>
      </c>
      <c r="D432">
        <v>0</v>
      </c>
      <c r="E432">
        <v>3</v>
      </c>
      <c r="F432">
        <v>8</v>
      </c>
    </row>
    <row r="433" spans="1:6" x14ac:dyDescent="0.2">
      <c r="A433" t="str">
        <f t="shared" si="6"/>
        <v>Ad Vitam8</v>
      </c>
      <c r="B433">
        <v>6</v>
      </c>
      <c r="C433" t="s">
        <v>66</v>
      </c>
      <c r="D433">
        <v>0</v>
      </c>
      <c r="E433">
        <v>2</v>
      </c>
      <c r="F433">
        <v>8</v>
      </c>
    </row>
    <row r="434" spans="1:6" x14ac:dyDescent="0.2">
      <c r="A434" t="str">
        <f t="shared" si="6"/>
        <v>Zizou8</v>
      </c>
      <c r="B434">
        <v>7</v>
      </c>
      <c r="C434" t="s">
        <v>504</v>
      </c>
      <c r="D434">
        <v>0</v>
      </c>
      <c r="E434">
        <v>1</v>
      </c>
      <c r="F434">
        <v>8</v>
      </c>
    </row>
    <row r="435" spans="1:6" x14ac:dyDescent="0.2">
      <c r="A435" t="str">
        <f t="shared" si="6"/>
        <v>Pyja8</v>
      </c>
      <c r="B435">
        <v>1</v>
      </c>
      <c r="C435" t="s">
        <v>6</v>
      </c>
      <c r="D435">
        <v>4</v>
      </c>
      <c r="E435">
        <v>16</v>
      </c>
      <c r="F435">
        <v>8</v>
      </c>
    </row>
    <row r="436" spans="1:6" x14ac:dyDescent="0.2">
      <c r="A436" t="str">
        <f t="shared" si="6"/>
        <v>Flem8</v>
      </c>
      <c r="B436">
        <v>2</v>
      </c>
      <c r="C436" t="s">
        <v>73</v>
      </c>
      <c r="D436">
        <v>0</v>
      </c>
      <c r="E436">
        <v>12</v>
      </c>
      <c r="F436">
        <v>8</v>
      </c>
    </row>
    <row r="437" spans="1:6" x14ac:dyDescent="0.2">
      <c r="A437" t="str">
        <f t="shared" si="6"/>
        <v>Guerno8</v>
      </c>
      <c r="B437">
        <v>3</v>
      </c>
      <c r="C437" t="s">
        <v>484</v>
      </c>
      <c r="D437">
        <v>1</v>
      </c>
      <c r="E437">
        <v>8</v>
      </c>
      <c r="F437">
        <v>8</v>
      </c>
    </row>
    <row r="438" spans="1:6" x14ac:dyDescent="0.2">
      <c r="A438" t="str">
        <f t="shared" si="6"/>
        <v>Fishtro8</v>
      </c>
      <c r="B438">
        <v>4</v>
      </c>
      <c r="C438" t="s">
        <v>512</v>
      </c>
      <c r="D438">
        <v>0</v>
      </c>
      <c r="E438">
        <v>4</v>
      </c>
      <c r="F438">
        <v>8</v>
      </c>
    </row>
    <row r="439" spans="1:6" x14ac:dyDescent="0.2">
      <c r="A439" t="str">
        <f t="shared" si="6"/>
        <v>Poisson Pilote8</v>
      </c>
      <c r="B439">
        <v>5</v>
      </c>
      <c r="C439" t="s">
        <v>501</v>
      </c>
      <c r="D439">
        <v>0</v>
      </c>
      <c r="E439">
        <v>2</v>
      </c>
      <c r="F439">
        <v>8</v>
      </c>
    </row>
    <row r="440" spans="1:6" x14ac:dyDescent="0.2">
      <c r="A440" t="str">
        <f t="shared" si="6"/>
        <v>Just4fun8</v>
      </c>
      <c r="B440">
        <v>6</v>
      </c>
      <c r="C440" t="s">
        <v>527</v>
      </c>
      <c r="D440">
        <v>0</v>
      </c>
      <c r="E440">
        <v>1</v>
      </c>
      <c r="F440">
        <v>8</v>
      </c>
    </row>
    <row r="441" spans="1:6" x14ac:dyDescent="0.2">
      <c r="A441" t="str">
        <f t="shared" si="6"/>
        <v>LAAtof8</v>
      </c>
      <c r="B441">
        <v>1</v>
      </c>
      <c r="C441" t="s">
        <v>15</v>
      </c>
      <c r="D441">
        <v>3</v>
      </c>
      <c r="E441">
        <v>17</v>
      </c>
      <c r="F441">
        <v>8</v>
      </c>
    </row>
    <row r="442" spans="1:6" x14ac:dyDescent="0.2">
      <c r="A442" t="str">
        <f t="shared" si="6"/>
        <v>Claptou8</v>
      </c>
      <c r="B442">
        <v>2</v>
      </c>
      <c r="C442" t="s">
        <v>42</v>
      </c>
      <c r="D442">
        <v>3</v>
      </c>
      <c r="E442">
        <v>13</v>
      </c>
      <c r="F442">
        <v>8</v>
      </c>
    </row>
    <row r="443" spans="1:6" x14ac:dyDescent="0.2">
      <c r="A443" t="str">
        <f t="shared" si="6"/>
        <v>The Hengover8</v>
      </c>
      <c r="B443">
        <v>3</v>
      </c>
      <c r="C443" t="s">
        <v>452</v>
      </c>
      <c r="D443">
        <v>0</v>
      </c>
      <c r="E443">
        <v>9</v>
      </c>
      <c r="F443">
        <v>8</v>
      </c>
    </row>
    <row r="444" spans="1:6" x14ac:dyDescent="0.2">
      <c r="A444" t="str">
        <f t="shared" si="6"/>
        <v>Rmarc8</v>
      </c>
      <c r="B444">
        <v>4</v>
      </c>
      <c r="C444" t="s">
        <v>508</v>
      </c>
      <c r="D444">
        <v>0</v>
      </c>
      <c r="E444">
        <v>5</v>
      </c>
      <c r="F444">
        <v>8</v>
      </c>
    </row>
    <row r="445" spans="1:6" x14ac:dyDescent="0.2">
      <c r="A445" t="str">
        <f t="shared" si="6"/>
        <v>Freddie8</v>
      </c>
      <c r="B445">
        <v>5</v>
      </c>
      <c r="C445" t="s">
        <v>525</v>
      </c>
      <c r="D445">
        <v>0</v>
      </c>
      <c r="E445">
        <v>3</v>
      </c>
      <c r="F445">
        <v>8</v>
      </c>
    </row>
    <row r="446" spans="1:6" x14ac:dyDescent="0.2">
      <c r="A446" t="str">
        <f t="shared" si="6"/>
        <v>YooooDA8</v>
      </c>
      <c r="B446">
        <v>6</v>
      </c>
      <c r="C446" t="s">
        <v>59</v>
      </c>
      <c r="D446">
        <v>0</v>
      </c>
      <c r="E446">
        <v>2</v>
      </c>
      <c r="F446">
        <v>8</v>
      </c>
    </row>
    <row r="447" spans="1:6" x14ac:dyDescent="0.2">
      <c r="A447" t="str">
        <f t="shared" si="6"/>
        <v>Ouais ouais8</v>
      </c>
      <c r="B447">
        <v>7</v>
      </c>
      <c r="C447" t="s">
        <v>533</v>
      </c>
      <c r="D447">
        <v>0</v>
      </c>
      <c r="E447">
        <v>1</v>
      </c>
      <c r="F447">
        <v>8</v>
      </c>
    </row>
    <row r="448" spans="1:6" x14ac:dyDescent="0.2">
      <c r="A448" t="str">
        <f t="shared" si="6"/>
        <v>Jérôme9</v>
      </c>
      <c r="B448">
        <v>1</v>
      </c>
      <c r="C448" t="s">
        <v>46</v>
      </c>
      <c r="D448">
        <v>3</v>
      </c>
      <c r="E448">
        <v>17</v>
      </c>
      <c r="F448">
        <v>9</v>
      </c>
    </row>
    <row r="449" spans="1:6" x14ac:dyDescent="0.2">
      <c r="A449" t="str">
        <f t="shared" si="6"/>
        <v>Jaden9</v>
      </c>
      <c r="B449">
        <v>2</v>
      </c>
      <c r="C449" t="s">
        <v>521</v>
      </c>
      <c r="D449">
        <v>3</v>
      </c>
      <c r="E449">
        <v>13</v>
      </c>
      <c r="F449">
        <v>9</v>
      </c>
    </row>
    <row r="450" spans="1:6" x14ac:dyDescent="0.2">
      <c r="A450" t="str">
        <f t="shared" ref="A450:A513" si="7">C450&amp;F450</f>
        <v>Flabech9</v>
      </c>
      <c r="B450">
        <v>3</v>
      </c>
      <c r="C450" t="s">
        <v>491</v>
      </c>
      <c r="D450">
        <v>0</v>
      </c>
      <c r="E450">
        <v>9</v>
      </c>
      <c r="F450">
        <v>9</v>
      </c>
    </row>
    <row r="451" spans="1:6" x14ac:dyDescent="0.2">
      <c r="A451" t="str">
        <f t="shared" si="7"/>
        <v>Salender9</v>
      </c>
      <c r="B451">
        <v>4</v>
      </c>
      <c r="C451" t="s">
        <v>479</v>
      </c>
      <c r="D451">
        <v>0</v>
      </c>
      <c r="E451">
        <v>5</v>
      </c>
      <c r="F451">
        <v>9</v>
      </c>
    </row>
    <row r="452" spans="1:6" x14ac:dyDescent="0.2">
      <c r="A452" t="str">
        <f t="shared" si="7"/>
        <v>YooooDA9</v>
      </c>
      <c r="B452">
        <v>5</v>
      </c>
      <c r="C452" t="s">
        <v>59</v>
      </c>
      <c r="D452">
        <v>0</v>
      </c>
      <c r="E452">
        <v>3</v>
      </c>
      <c r="F452">
        <v>9</v>
      </c>
    </row>
    <row r="453" spans="1:6" x14ac:dyDescent="0.2">
      <c r="A453" t="str">
        <f t="shared" si="7"/>
        <v>Ripolin9</v>
      </c>
      <c r="B453">
        <v>6</v>
      </c>
      <c r="C453" t="s">
        <v>65</v>
      </c>
      <c r="D453">
        <v>0</v>
      </c>
      <c r="E453">
        <v>2</v>
      </c>
      <c r="F453">
        <v>9</v>
      </c>
    </row>
    <row r="454" spans="1:6" x14ac:dyDescent="0.2">
      <c r="A454" t="str">
        <f t="shared" si="7"/>
        <v>Tenko9</v>
      </c>
      <c r="B454">
        <v>7</v>
      </c>
      <c r="C454" t="s">
        <v>516</v>
      </c>
      <c r="D454">
        <v>0</v>
      </c>
      <c r="E454">
        <v>1</v>
      </c>
      <c r="F454">
        <v>9</v>
      </c>
    </row>
    <row r="455" spans="1:6" x14ac:dyDescent="0.2">
      <c r="A455" t="str">
        <f t="shared" si="7"/>
        <v>PatB9</v>
      </c>
      <c r="B455">
        <v>1</v>
      </c>
      <c r="C455" t="s">
        <v>74</v>
      </c>
      <c r="D455">
        <v>2</v>
      </c>
      <c r="E455">
        <v>16</v>
      </c>
      <c r="F455">
        <v>9</v>
      </c>
    </row>
    <row r="456" spans="1:6" x14ac:dyDescent="0.2">
      <c r="A456" t="str">
        <f t="shared" si="7"/>
        <v>Soupaman9</v>
      </c>
      <c r="B456">
        <v>2</v>
      </c>
      <c r="C456" t="s">
        <v>518</v>
      </c>
      <c r="D456">
        <v>0</v>
      </c>
      <c r="E456">
        <v>12</v>
      </c>
      <c r="F456">
        <v>9</v>
      </c>
    </row>
    <row r="457" spans="1:6" x14ac:dyDescent="0.2">
      <c r="A457" t="str">
        <f t="shared" si="7"/>
        <v>Xhar929</v>
      </c>
      <c r="B457">
        <v>3</v>
      </c>
      <c r="C457" t="s">
        <v>519</v>
      </c>
      <c r="D457">
        <v>2</v>
      </c>
      <c r="E457">
        <v>8</v>
      </c>
      <c r="F457">
        <v>9</v>
      </c>
    </row>
    <row r="458" spans="1:6" x14ac:dyDescent="0.2">
      <c r="A458" t="str">
        <f t="shared" si="7"/>
        <v>Proph@ne9</v>
      </c>
      <c r="B458">
        <v>4</v>
      </c>
      <c r="C458" t="s">
        <v>87</v>
      </c>
      <c r="D458">
        <v>1</v>
      </c>
      <c r="E458">
        <v>4</v>
      </c>
      <c r="F458">
        <v>9</v>
      </c>
    </row>
    <row r="459" spans="1:6" x14ac:dyDescent="0.2">
      <c r="A459" t="str">
        <f t="shared" si="7"/>
        <v>Flopynou9</v>
      </c>
      <c r="B459">
        <v>5</v>
      </c>
      <c r="C459" t="s">
        <v>530</v>
      </c>
      <c r="D459">
        <v>0</v>
      </c>
      <c r="E459">
        <v>2</v>
      </c>
      <c r="F459">
        <v>9</v>
      </c>
    </row>
    <row r="460" spans="1:6" x14ac:dyDescent="0.2">
      <c r="A460" t="str">
        <f t="shared" si="7"/>
        <v>La Bavure9</v>
      </c>
      <c r="B460">
        <v>6</v>
      </c>
      <c r="C460" t="s">
        <v>475</v>
      </c>
      <c r="D460">
        <v>0</v>
      </c>
      <c r="E460">
        <v>1</v>
      </c>
      <c r="F460">
        <v>9</v>
      </c>
    </row>
    <row r="461" spans="1:6" x14ac:dyDescent="0.2">
      <c r="A461" t="str">
        <f t="shared" si="7"/>
        <v>Boosilletoo9</v>
      </c>
      <c r="B461">
        <v>1</v>
      </c>
      <c r="C461" t="s">
        <v>532</v>
      </c>
      <c r="D461">
        <v>2</v>
      </c>
      <c r="E461">
        <v>16</v>
      </c>
      <c r="F461">
        <v>9</v>
      </c>
    </row>
    <row r="462" spans="1:6" x14ac:dyDescent="0.2">
      <c r="A462" t="str">
        <f t="shared" si="7"/>
        <v>Poisson Pilote9</v>
      </c>
      <c r="B462">
        <v>2</v>
      </c>
      <c r="C462" t="s">
        <v>501</v>
      </c>
      <c r="D462">
        <v>3</v>
      </c>
      <c r="E462">
        <v>12</v>
      </c>
      <c r="F462">
        <v>9</v>
      </c>
    </row>
    <row r="463" spans="1:6" x14ac:dyDescent="0.2">
      <c r="A463" t="str">
        <f t="shared" si="7"/>
        <v>Claudius9</v>
      </c>
      <c r="B463">
        <v>3</v>
      </c>
      <c r="C463" t="s">
        <v>25</v>
      </c>
      <c r="D463">
        <v>0</v>
      </c>
      <c r="E463">
        <v>8</v>
      </c>
      <c r="F463">
        <v>9</v>
      </c>
    </row>
    <row r="464" spans="1:6" x14ac:dyDescent="0.2">
      <c r="A464" t="str">
        <f t="shared" si="7"/>
        <v>Makoche9</v>
      </c>
      <c r="B464">
        <v>4</v>
      </c>
      <c r="C464" t="s">
        <v>53</v>
      </c>
      <c r="D464">
        <v>0</v>
      </c>
      <c r="E464">
        <v>4</v>
      </c>
      <c r="F464">
        <v>9</v>
      </c>
    </row>
    <row r="465" spans="1:6" x14ac:dyDescent="0.2">
      <c r="A465" t="str">
        <f t="shared" si="7"/>
        <v>Freddie9</v>
      </c>
      <c r="B465">
        <v>5</v>
      </c>
      <c r="C465" t="s">
        <v>525</v>
      </c>
      <c r="D465">
        <v>0</v>
      </c>
      <c r="E465">
        <v>2</v>
      </c>
      <c r="F465">
        <v>9</v>
      </c>
    </row>
    <row r="466" spans="1:6" x14ac:dyDescent="0.2">
      <c r="A466" t="str">
        <f t="shared" si="7"/>
        <v>Panot9</v>
      </c>
      <c r="B466">
        <v>6</v>
      </c>
      <c r="C466" t="s">
        <v>545</v>
      </c>
      <c r="D466">
        <v>0</v>
      </c>
      <c r="E466">
        <v>1</v>
      </c>
      <c r="F466">
        <v>9</v>
      </c>
    </row>
    <row r="467" spans="1:6" x14ac:dyDescent="0.2">
      <c r="A467" t="str">
        <f t="shared" si="7"/>
        <v>NoDoubt9</v>
      </c>
      <c r="B467">
        <v>1</v>
      </c>
      <c r="C467" t="s">
        <v>29</v>
      </c>
      <c r="D467">
        <v>1</v>
      </c>
      <c r="E467">
        <v>16</v>
      </c>
      <c r="F467">
        <v>9</v>
      </c>
    </row>
    <row r="468" spans="1:6" x14ac:dyDescent="0.2">
      <c r="A468" t="str">
        <f t="shared" si="7"/>
        <v>DernierPli9</v>
      </c>
      <c r="B468">
        <v>2</v>
      </c>
      <c r="C468" t="s">
        <v>490</v>
      </c>
      <c r="D468">
        <v>3</v>
      </c>
      <c r="E468">
        <v>12</v>
      </c>
      <c r="F468">
        <v>9</v>
      </c>
    </row>
    <row r="469" spans="1:6" x14ac:dyDescent="0.2">
      <c r="A469" t="str">
        <f t="shared" si="7"/>
        <v>Catherine9</v>
      </c>
      <c r="B469">
        <v>3</v>
      </c>
      <c r="C469" t="s">
        <v>69</v>
      </c>
      <c r="D469">
        <v>1</v>
      </c>
      <c r="E469">
        <v>8</v>
      </c>
      <c r="F469">
        <v>9</v>
      </c>
    </row>
    <row r="470" spans="1:6" x14ac:dyDescent="0.2">
      <c r="A470" t="str">
        <f t="shared" si="7"/>
        <v>Rmarc9</v>
      </c>
      <c r="B470">
        <v>4</v>
      </c>
      <c r="C470" t="s">
        <v>508</v>
      </c>
      <c r="D470">
        <v>0</v>
      </c>
      <c r="E470">
        <v>4</v>
      </c>
      <c r="F470">
        <v>9</v>
      </c>
    </row>
    <row r="471" spans="1:6" x14ac:dyDescent="0.2">
      <c r="A471" t="str">
        <f t="shared" si="7"/>
        <v>Michelbey9</v>
      </c>
      <c r="B471">
        <v>5</v>
      </c>
      <c r="C471" t="s">
        <v>75</v>
      </c>
      <c r="D471">
        <v>0</v>
      </c>
      <c r="E471">
        <v>2</v>
      </c>
      <c r="F471">
        <v>9</v>
      </c>
    </row>
    <row r="472" spans="1:6" x14ac:dyDescent="0.2">
      <c r="A472" t="str">
        <f t="shared" si="7"/>
        <v>Carmin9</v>
      </c>
      <c r="B472">
        <v>6</v>
      </c>
      <c r="C472" t="s">
        <v>21</v>
      </c>
      <c r="D472">
        <v>0</v>
      </c>
      <c r="E472">
        <v>1</v>
      </c>
      <c r="F472">
        <v>9</v>
      </c>
    </row>
    <row r="473" spans="1:6" x14ac:dyDescent="0.2">
      <c r="A473" t="str">
        <f t="shared" si="7"/>
        <v>Empedocle9</v>
      </c>
      <c r="B473">
        <v>1</v>
      </c>
      <c r="C473" t="s">
        <v>81</v>
      </c>
      <c r="D473">
        <v>5</v>
      </c>
      <c r="E473">
        <v>17</v>
      </c>
      <c r="F473">
        <v>9</v>
      </c>
    </row>
    <row r="474" spans="1:6" x14ac:dyDescent="0.2">
      <c r="A474" t="str">
        <f t="shared" si="7"/>
        <v>The Hengover9</v>
      </c>
      <c r="B474">
        <v>2</v>
      </c>
      <c r="C474" t="s">
        <v>452</v>
      </c>
      <c r="D474">
        <v>0</v>
      </c>
      <c r="E474">
        <v>13</v>
      </c>
      <c r="F474">
        <v>9</v>
      </c>
    </row>
    <row r="475" spans="1:6" x14ac:dyDescent="0.2">
      <c r="A475" t="str">
        <f t="shared" si="7"/>
        <v>Mandrake9</v>
      </c>
      <c r="B475">
        <v>3</v>
      </c>
      <c r="C475" t="s">
        <v>27</v>
      </c>
      <c r="D475">
        <v>0</v>
      </c>
      <c r="E475">
        <v>9</v>
      </c>
      <c r="F475">
        <v>9</v>
      </c>
    </row>
    <row r="476" spans="1:6" x14ac:dyDescent="0.2">
      <c r="A476" t="str">
        <f t="shared" si="7"/>
        <v>Sobab9</v>
      </c>
      <c r="B476">
        <v>4</v>
      </c>
      <c r="C476" t="s">
        <v>502</v>
      </c>
      <c r="D476">
        <v>0</v>
      </c>
      <c r="E476">
        <v>5</v>
      </c>
      <c r="F476">
        <v>9</v>
      </c>
    </row>
    <row r="477" spans="1:6" x14ac:dyDescent="0.2">
      <c r="A477" t="str">
        <f t="shared" si="7"/>
        <v>Flem9</v>
      </c>
      <c r="B477">
        <v>5</v>
      </c>
      <c r="C477" t="s">
        <v>73</v>
      </c>
      <c r="D477">
        <v>1</v>
      </c>
      <c r="E477">
        <v>3</v>
      </c>
      <c r="F477">
        <v>9</v>
      </c>
    </row>
    <row r="478" spans="1:6" x14ac:dyDescent="0.2">
      <c r="A478" t="str">
        <f t="shared" si="7"/>
        <v>Mams9</v>
      </c>
      <c r="B478">
        <v>6</v>
      </c>
      <c r="C478" t="s">
        <v>505</v>
      </c>
      <c r="D478">
        <v>0</v>
      </c>
      <c r="E478">
        <v>2</v>
      </c>
      <c r="F478">
        <v>9</v>
      </c>
    </row>
    <row r="479" spans="1:6" x14ac:dyDescent="0.2">
      <c r="A479" t="str">
        <f t="shared" si="7"/>
        <v>Rockatou9</v>
      </c>
      <c r="B479">
        <v>7</v>
      </c>
      <c r="C479" t="s">
        <v>493</v>
      </c>
      <c r="D479">
        <v>0</v>
      </c>
      <c r="E479">
        <v>1</v>
      </c>
      <c r="F479">
        <v>9</v>
      </c>
    </row>
    <row r="480" spans="1:6" x14ac:dyDescent="0.2">
      <c r="A480" t="str">
        <f t="shared" si="7"/>
        <v>Kheops9</v>
      </c>
      <c r="B480">
        <v>1</v>
      </c>
      <c r="C480" t="s">
        <v>500</v>
      </c>
      <c r="D480">
        <v>5</v>
      </c>
      <c r="E480">
        <v>17</v>
      </c>
      <c r="F480">
        <v>9</v>
      </c>
    </row>
    <row r="481" spans="1:6" x14ac:dyDescent="0.2">
      <c r="A481" t="str">
        <f t="shared" si="7"/>
        <v>JC9</v>
      </c>
      <c r="B481">
        <v>2</v>
      </c>
      <c r="C481" t="s">
        <v>534</v>
      </c>
      <c r="D481">
        <v>1</v>
      </c>
      <c r="E481">
        <v>13</v>
      </c>
      <c r="F481">
        <v>9</v>
      </c>
    </row>
    <row r="482" spans="1:6" x14ac:dyDescent="0.2">
      <c r="A482" t="str">
        <f t="shared" si="7"/>
        <v>Yarael9</v>
      </c>
      <c r="B482">
        <v>3</v>
      </c>
      <c r="C482" t="s">
        <v>88</v>
      </c>
      <c r="D482">
        <v>0</v>
      </c>
      <c r="E482">
        <v>9</v>
      </c>
      <c r="F482">
        <v>9</v>
      </c>
    </row>
    <row r="483" spans="1:6" x14ac:dyDescent="0.2">
      <c r="A483" t="str">
        <f t="shared" si="7"/>
        <v>Bounette9</v>
      </c>
      <c r="B483">
        <v>4</v>
      </c>
      <c r="C483" t="s">
        <v>55</v>
      </c>
      <c r="D483">
        <v>0</v>
      </c>
      <c r="E483">
        <v>5</v>
      </c>
      <c r="F483">
        <v>9</v>
      </c>
    </row>
    <row r="484" spans="1:6" x14ac:dyDescent="0.2">
      <c r="A484" t="str">
        <f t="shared" si="7"/>
        <v>K19</v>
      </c>
      <c r="B484">
        <v>5</v>
      </c>
      <c r="C484" t="s">
        <v>9</v>
      </c>
      <c r="D484">
        <v>0</v>
      </c>
      <c r="E484">
        <v>3</v>
      </c>
      <c r="F484">
        <v>9</v>
      </c>
    </row>
    <row r="485" spans="1:6" x14ac:dyDescent="0.2">
      <c r="A485" t="str">
        <f t="shared" si="7"/>
        <v>Zubbaz9</v>
      </c>
      <c r="B485">
        <v>6</v>
      </c>
      <c r="C485" t="s">
        <v>506</v>
      </c>
      <c r="D485">
        <v>0</v>
      </c>
      <c r="E485">
        <v>2</v>
      </c>
      <c r="F485">
        <v>9</v>
      </c>
    </row>
    <row r="486" spans="1:6" x14ac:dyDescent="0.2">
      <c r="A486" t="str">
        <f t="shared" si="7"/>
        <v>Thibaultp759</v>
      </c>
      <c r="B486">
        <v>7</v>
      </c>
      <c r="C486" t="s">
        <v>345</v>
      </c>
      <c r="D486">
        <v>0</v>
      </c>
      <c r="E486">
        <v>1</v>
      </c>
      <c r="F486">
        <v>9</v>
      </c>
    </row>
    <row r="487" spans="1:6" x14ac:dyDescent="0.2">
      <c r="A487" t="str">
        <f t="shared" si="7"/>
        <v>Losogre9</v>
      </c>
      <c r="B487">
        <v>1</v>
      </c>
      <c r="C487" t="s">
        <v>507</v>
      </c>
      <c r="D487">
        <v>3</v>
      </c>
      <c r="E487">
        <v>16</v>
      </c>
      <c r="F487">
        <v>9</v>
      </c>
    </row>
    <row r="488" spans="1:6" x14ac:dyDescent="0.2">
      <c r="A488" t="str">
        <f t="shared" si="7"/>
        <v>Toinou9</v>
      </c>
      <c r="B488">
        <v>2</v>
      </c>
      <c r="C488" t="s">
        <v>531</v>
      </c>
      <c r="D488">
        <v>2</v>
      </c>
      <c r="E488">
        <v>12</v>
      </c>
      <c r="F488">
        <v>9</v>
      </c>
    </row>
    <row r="489" spans="1:6" x14ac:dyDescent="0.2">
      <c r="A489" t="str">
        <f t="shared" si="7"/>
        <v>Claire9</v>
      </c>
      <c r="B489">
        <v>3</v>
      </c>
      <c r="C489" t="s">
        <v>546</v>
      </c>
      <c r="D489">
        <v>0</v>
      </c>
      <c r="E489">
        <v>8</v>
      </c>
      <c r="F489">
        <v>9</v>
      </c>
    </row>
    <row r="490" spans="1:6" x14ac:dyDescent="0.2">
      <c r="A490" t="str">
        <f t="shared" si="7"/>
        <v>Zizou9</v>
      </c>
      <c r="B490">
        <v>4</v>
      </c>
      <c r="C490" t="s">
        <v>504</v>
      </c>
      <c r="D490">
        <v>0</v>
      </c>
      <c r="E490">
        <v>4</v>
      </c>
      <c r="F490">
        <v>9</v>
      </c>
    </row>
    <row r="491" spans="1:6" x14ac:dyDescent="0.2">
      <c r="A491" t="str">
        <f t="shared" si="7"/>
        <v>Pyja9</v>
      </c>
      <c r="B491">
        <v>5</v>
      </c>
      <c r="C491" t="s">
        <v>6</v>
      </c>
      <c r="D491">
        <v>0</v>
      </c>
      <c r="E491">
        <v>2</v>
      </c>
      <c r="F491">
        <v>9</v>
      </c>
    </row>
    <row r="492" spans="1:6" x14ac:dyDescent="0.2">
      <c r="A492" t="str">
        <f t="shared" si="7"/>
        <v>Yroz9</v>
      </c>
      <c r="B492">
        <v>6</v>
      </c>
      <c r="C492" t="s">
        <v>526</v>
      </c>
      <c r="D492">
        <v>0</v>
      </c>
      <c r="E492">
        <v>1</v>
      </c>
      <c r="F492">
        <v>9</v>
      </c>
    </row>
    <row r="493" spans="1:6" x14ac:dyDescent="0.2">
      <c r="A493" t="str">
        <f t="shared" si="7"/>
        <v>Pintu9</v>
      </c>
      <c r="B493">
        <v>1</v>
      </c>
      <c r="C493" t="s">
        <v>48</v>
      </c>
      <c r="D493">
        <v>4</v>
      </c>
      <c r="E493">
        <v>16</v>
      </c>
      <c r="F493">
        <v>9</v>
      </c>
    </row>
    <row r="494" spans="1:6" x14ac:dyDescent="0.2">
      <c r="A494" t="str">
        <f t="shared" si="7"/>
        <v>JeanMichelTiming9</v>
      </c>
      <c r="B494">
        <v>2</v>
      </c>
      <c r="C494" t="s">
        <v>35</v>
      </c>
      <c r="D494">
        <v>1</v>
      </c>
      <c r="E494">
        <v>12</v>
      </c>
      <c r="F494">
        <v>9</v>
      </c>
    </row>
    <row r="495" spans="1:6" x14ac:dyDescent="0.2">
      <c r="A495" t="str">
        <f t="shared" si="7"/>
        <v>Guerno9</v>
      </c>
      <c r="B495">
        <v>3</v>
      </c>
      <c r="C495" t="s">
        <v>484</v>
      </c>
      <c r="D495">
        <v>0</v>
      </c>
      <c r="E495">
        <v>8</v>
      </c>
      <c r="F495">
        <v>9</v>
      </c>
    </row>
    <row r="496" spans="1:6" x14ac:dyDescent="0.2">
      <c r="A496" t="str">
        <f t="shared" si="7"/>
        <v>Djecus9</v>
      </c>
      <c r="B496">
        <v>4</v>
      </c>
      <c r="C496" t="s">
        <v>461</v>
      </c>
      <c r="D496">
        <v>0</v>
      </c>
      <c r="E496">
        <v>4</v>
      </c>
      <c r="F496">
        <v>9</v>
      </c>
    </row>
    <row r="497" spans="1:6" x14ac:dyDescent="0.2">
      <c r="A497" t="str">
        <f t="shared" si="7"/>
        <v>TheRealWill9</v>
      </c>
      <c r="B497">
        <v>5</v>
      </c>
      <c r="C497" t="s">
        <v>535</v>
      </c>
      <c r="D497">
        <v>0</v>
      </c>
      <c r="E497">
        <v>2</v>
      </c>
      <c r="F497">
        <v>9</v>
      </c>
    </row>
    <row r="498" spans="1:6" x14ac:dyDescent="0.2">
      <c r="A498" t="str">
        <f t="shared" si="7"/>
        <v>Ad Vitam9</v>
      </c>
      <c r="B498">
        <v>6</v>
      </c>
      <c r="C498" t="s">
        <v>66</v>
      </c>
      <c r="D498">
        <v>0</v>
      </c>
      <c r="E498">
        <v>1</v>
      </c>
      <c r="F498">
        <v>9</v>
      </c>
    </row>
    <row r="499" spans="1:6" x14ac:dyDescent="0.2">
      <c r="A499" t="str">
        <f t="shared" si="7"/>
        <v>Ramm9</v>
      </c>
      <c r="B499">
        <v>1</v>
      </c>
      <c r="C499" t="s">
        <v>14</v>
      </c>
      <c r="D499">
        <v>1</v>
      </c>
      <c r="E499">
        <v>16</v>
      </c>
      <c r="F499">
        <v>9</v>
      </c>
    </row>
    <row r="500" spans="1:6" x14ac:dyDescent="0.2">
      <c r="A500" t="str">
        <f t="shared" si="7"/>
        <v>Claptou9</v>
      </c>
      <c r="B500">
        <v>2</v>
      </c>
      <c r="C500" t="s">
        <v>42</v>
      </c>
      <c r="D500">
        <v>1</v>
      </c>
      <c r="E500">
        <v>12</v>
      </c>
      <c r="F500">
        <v>9</v>
      </c>
    </row>
    <row r="501" spans="1:6" x14ac:dyDescent="0.2">
      <c r="A501" t="str">
        <f t="shared" si="7"/>
        <v>Solucky9</v>
      </c>
      <c r="B501">
        <v>3</v>
      </c>
      <c r="C501" t="s">
        <v>485</v>
      </c>
      <c r="D501">
        <v>3</v>
      </c>
      <c r="E501">
        <v>8</v>
      </c>
      <c r="F501">
        <v>9</v>
      </c>
    </row>
    <row r="502" spans="1:6" x14ac:dyDescent="0.2">
      <c r="A502" t="str">
        <f t="shared" si="7"/>
        <v>Delgres9</v>
      </c>
      <c r="B502">
        <v>4</v>
      </c>
      <c r="C502" t="s">
        <v>280</v>
      </c>
      <c r="D502">
        <v>0</v>
      </c>
      <c r="E502">
        <v>4</v>
      </c>
      <c r="F502">
        <v>9</v>
      </c>
    </row>
    <row r="503" spans="1:6" x14ac:dyDescent="0.2">
      <c r="A503" t="str">
        <f t="shared" si="7"/>
        <v>Yaltar9</v>
      </c>
      <c r="B503">
        <v>5</v>
      </c>
      <c r="C503" t="s">
        <v>503</v>
      </c>
      <c r="D503">
        <v>0</v>
      </c>
      <c r="E503">
        <v>2</v>
      </c>
      <c r="F503">
        <v>9</v>
      </c>
    </row>
    <row r="504" spans="1:6" x14ac:dyDescent="0.2">
      <c r="A504" t="str">
        <f t="shared" si="7"/>
        <v>Fishtro9</v>
      </c>
      <c r="B504">
        <v>6</v>
      </c>
      <c r="C504" t="s">
        <v>512</v>
      </c>
      <c r="D504">
        <v>0</v>
      </c>
      <c r="E504">
        <v>1</v>
      </c>
      <c r="F504">
        <v>9</v>
      </c>
    </row>
    <row r="505" spans="1:6" x14ac:dyDescent="0.2">
      <c r="A505" t="str">
        <f t="shared" si="7"/>
        <v>The Hengover10</v>
      </c>
      <c r="B505">
        <v>1</v>
      </c>
      <c r="C505" t="s">
        <v>452</v>
      </c>
      <c r="D505">
        <v>3</v>
      </c>
      <c r="E505">
        <v>16</v>
      </c>
      <c r="F505">
        <v>10</v>
      </c>
    </row>
    <row r="506" spans="1:6" x14ac:dyDescent="0.2">
      <c r="A506" t="str">
        <f t="shared" si="7"/>
        <v>ChrisFrankfurt10</v>
      </c>
      <c r="B506">
        <v>2</v>
      </c>
      <c r="C506" t="s">
        <v>101</v>
      </c>
      <c r="D506">
        <v>1</v>
      </c>
      <c r="E506">
        <v>12</v>
      </c>
      <c r="F506">
        <v>10</v>
      </c>
    </row>
    <row r="507" spans="1:6" x14ac:dyDescent="0.2">
      <c r="A507" t="str">
        <f t="shared" si="7"/>
        <v>Soupaman10</v>
      </c>
      <c r="B507">
        <v>3</v>
      </c>
      <c r="C507" t="s">
        <v>518</v>
      </c>
      <c r="D507">
        <v>1</v>
      </c>
      <c r="E507">
        <v>8</v>
      </c>
      <c r="F507">
        <v>10</v>
      </c>
    </row>
    <row r="508" spans="1:6" x14ac:dyDescent="0.2">
      <c r="A508" t="str">
        <f t="shared" si="7"/>
        <v>Mams10</v>
      </c>
      <c r="B508">
        <v>4</v>
      </c>
      <c r="C508" t="s">
        <v>505</v>
      </c>
      <c r="D508">
        <v>0</v>
      </c>
      <c r="E508">
        <v>4</v>
      </c>
      <c r="F508">
        <v>10</v>
      </c>
    </row>
    <row r="509" spans="1:6" x14ac:dyDescent="0.2">
      <c r="A509" t="str">
        <f t="shared" si="7"/>
        <v>Salender10</v>
      </c>
      <c r="B509">
        <v>5</v>
      </c>
      <c r="C509" t="s">
        <v>479</v>
      </c>
      <c r="D509">
        <v>0</v>
      </c>
      <c r="E509">
        <v>2</v>
      </c>
      <c r="F509">
        <v>10</v>
      </c>
    </row>
    <row r="510" spans="1:6" x14ac:dyDescent="0.2">
      <c r="A510" t="str">
        <f t="shared" si="7"/>
        <v>Boosilletoo10</v>
      </c>
      <c r="B510">
        <v>6</v>
      </c>
      <c r="C510" t="s">
        <v>532</v>
      </c>
      <c r="D510">
        <v>0</v>
      </c>
      <c r="E510">
        <v>1</v>
      </c>
      <c r="F510">
        <v>10</v>
      </c>
    </row>
    <row r="511" spans="1:6" x14ac:dyDescent="0.2">
      <c r="A511" t="str">
        <f t="shared" si="7"/>
        <v>Solucky10</v>
      </c>
      <c r="B511">
        <v>1</v>
      </c>
      <c r="C511" t="s">
        <v>485</v>
      </c>
      <c r="D511">
        <v>4</v>
      </c>
      <c r="E511">
        <v>16</v>
      </c>
      <c r="F511">
        <v>10</v>
      </c>
    </row>
    <row r="512" spans="1:6" x14ac:dyDescent="0.2">
      <c r="A512" t="str">
        <f t="shared" si="7"/>
        <v>JC10</v>
      </c>
      <c r="B512">
        <v>2</v>
      </c>
      <c r="C512" t="s">
        <v>534</v>
      </c>
      <c r="D512">
        <v>0</v>
      </c>
      <c r="E512">
        <v>12</v>
      </c>
      <c r="F512">
        <v>10</v>
      </c>
    </row>
    <row r="513" spans="1:6" x14ac:dyDescent="0.2">
      <c r="A513" t="str">
        <f t="shared" si="7"/>
        <v>Carmin10</v>
      </c>
      <c r="B513">
        <v>3</v>
      </c>
      <c r="C513" t="s">
        <v>21</v>
      </c>
      <c r="D513">
        <v>1</v>
      </c>
      <c r="E513">
        <v>8</v>
      </c>
      <c r="F513">
        <v>10</v>
      </c>
    </row>
    <row r="514" spans="1:6" x14ac:dyDescent="0.2">
      <c r="A514" t="str">
        <f t="shared" ref="A514:A577" si="8">C514&amp;F514</f>
        <v>Claptou10</v>
      </c>
      <c r="B514">
        <v>4</v>
      </c>
      <c r="C514" t="s">
        <v>42</v>
      </c>
      <c r="D514">
        <v>0</v>
      </c>
      <c r="E514">
        <v>4</v>
      </c>
      <c r="F514">
        <v>10</v>
      </c>
    </row>
    <row r="515" spans="1:6" x14ac:dyDescent="0.2">
      <c r="A515" t="str">
        <f t="shared" si="8"/>
        <v>Gibbonfury10</v>
      </c>
      <c r="B515">
        <v>5</v>
      </c>
      <c r="C515" t="s">
        <v>454</v>
      </c>
      <c r="D515">
        <v>0</v>
      </c>
      <c r="E515">
        <v>2</v>
      </c>
      <c r="F515">
        <v>10</v>
      </c>
    </row>
    <row r="516" spans="1:6" x14ac:dyDescent="0.2">
      <c r="A516" t="str">
        <f t="shared" si="8"/>
        <v>Yroz10</v>
      </c>
      <c r="B516">
        <v>6</v>
      </c>
      <c r="C516" t="s">
        <v>526</v>
      </c>
      <c r="D516">
        <v>0</v>
      </c>
      <c r="E516">
        <v>1</v>
      </c>
      <c r="F516">
        <v>10</v>
      </c>
    </row>
    <row r="517" spans="1:6" x14ac:dyDescent="0.2">
      <c r="A517" t="str">
        <f t="shared" si="8"/>
        <v>Jérôme10</v>
      </c>
      <c r="B517">
        <v>1</v>
      </c>
      <c r="C517" t="s">
        <v>46</v>
      </c>
      <c r="D517">
        <v>3</v>
      </c>
      <c r="E517">
        <v>16</v>
      </c>
      <c r="F517">
        <v>10</v>
      </c>
    </row>
    <row r="518" spans="1:6" x14ac:dyDescent="0.2">
      <c r="A518" t="str">
        <f t="shared" si="8"/>
        <v>K110</v>
      </c>
      <c r="B518">
        <v>2</v>
      </c>
      <c r="C518" t="s">
        <v>9</v>
      </c>
      <c r="D518">
        <v>1</v>
      </c>
      <c r="E518">
        <v>12</v>
      </c>
      <c r="F518">
        <v>10</v>
      </c>
    </row>
    <row r="519" spans="1:6" x14ac:dyDescent="0.2">
      <c r="A519" t="str">
        <f t="shared" si="8"/>
        <v>Delgres10</v>
      </c>
      <c r="B519">
        <v>3</v>
      </c>
      <c r="C519" t="s">
        <v>280</v>
      </c>
      <c r="D519">
        <v>1</v>
      </c>
      <c r="E519">
        <v>8</v>
      </c>
      <c r="F519">
        <v>10</v>
      </c>
    </row>
    <row r="520" spans="1:6" x14ac:dyDescent="0.2">
      <c r="A520" t="str">
        <f t="shared" si="8"/>
        <v>Rmarc10</v>
      </c>
      <c r="B520">
        <v>4</v>
      </c>
      <c r="C520" t="s">
        <v>508</v>
      </c>
      <c r="D520">
        <v>0</v>
      </c>
      <c r="E520">
        <v>4</v>
      </c>
      <c r="F520">
        <v>10</v>
      </c>
    </row>
    <row r="521" spans="1:6" x14ac:dyDescent="0.2">
      <c r="A521" t="str">
        <f t="shared" si="8"/>
        <v>Tenko10</v>
      </c>
      <c r="B521">
        <v>5</v>
      </c>
      <c r="C521" t="s">
        <v>516</v>
      </c>
      <c r="D521">
        <v>0</v>
      </c>
      <c r="E521">
        <v>2</v>
      </c>
      <c r="F521">
        <v>10</v>
      </c>
    </row>
    <row r="522" spans="1:6" x14ac:dyDescent="0.2">
      <c r="A522" t="str">
        <f t="shared" si="8"/>
        <v>Thibaultp7510</v>
      </c>
      <c r="B522">
        <v>6</v>
      </c>
      <c r="C522" t="s">
        <v>345</v>
      </c>
      <c r="D522">
        <v>0</v>
      </c>
      <c r="E522">
        <v>1</v>
      </c>
      <c r="F522">
        <v>10</v>
      </c>
    </row>
    <row r="523" spans="1:6" x14ac:dyDescent="0.2">
      <c r="A523" t="str">
        <f t="shared" si="8"/>
        <v>Kheops10</v>
      </c>
      <c r="B523">
        <v>1</v>
      </c>
      <c r="C523" t="s">
        <v>500</v>
      </c>
      <c r="D523">
        <v>3</v>
      </c>
      <c r="E523">
        <v>16</v>
      </c>
      <c r="F523">
        <v>10</v>
      </c>
    </row>
    <row r="524" spans="1:6" x14ac:dyDescent="0.2">
      <c r="A524" t="str">
        <f t="shared" si="8"/>
        <v>Claudius10</v>
      </c>
      <c r="B524">
        <v>2</v>
      </c>
      <c r="C524" t="s">
        <v>25</v>
      </c>
      <c r="D524">
        <v>2</v>
      </c>
      <c r="E524">
        <v>12</v>
      </c>
      <c r="F524">
        <v>10</v>
      </c>
    </row>
    <row r="525" spans="1:6" x14ac:dyDescent="0.2">
      <c r="A525" t="str">
        <f t="shared" si="8"/>
        <v>Catherine10</v>
      </c>
      <c r="B525">
        <v>3</v>
      </c>
      <c r="C525" t="s">
        <v>69</v>
      </c>
      <c r="D525">
        <v>0</v>
      </c>
      <c r="E525">
        <v>8</v>
      </c>
      <c r="F525">
        <v>10</v>
      </c>
    </row>
    <row r="526" spans="1:6" x14ac:dyDescent="0.2">
      <c r="A526" t="str">
        <f t="shared" si="8"/>
        <v>Kri-lin10</v>
      </c>
      <c r="B526">
        <v>4</v>
      </c>
      <c r="C526" t="s">
        <v>61</v>
      </c>
      <c r="D526">
        <v>0</v>
      </c>
      <c r="E526">
        <v>4</v>
      </c>
      <c r="F526">
        <v>10</v>
      </c>
    </row>
    <row r="527" spans="1:6" x14ac:dyDescent="0.2">
      <c r="A527" t="str">
        <f t="shared" si="8"/>
        <v>Fishtro10</v>
      </c>
      <c r="B527">
        <v>5</v>
      </c>
      <c r="C527" t="s">
        <v>512</v>
      </c>
      <c r="D527">
        <v>0</v>
      </c>
      <c r="E527">
        <v>2</v>
      </c>
      <c r="F527">
        <v>10</v>
      </c>
    </row>
    <row r="528" spans="1:6" x14ac:dyDescent="0.2">
      <c r="A528" t="str">
        <f t="shared" si="8"/>
        <v>Freddie10</v>
      </c>
      <c r="B528">
        <v>6</v>
      </c>
      <c r="C528" t="s">
        <v>525</v>
      </c>
      <c r="D528">
        <v>0</v>
      </c>
      <c r="E528">
        <v>1</v>
      </c>
      <c r="F528">
        <v>10</v>
      </c>
    </row>
    <row r="529" spans="1:6" x14ac:dyDescent="0.2">
      <c r="A529" t="str">
        <f t="shared" si="8"/>
        <v>TheRealWill10</v>
      </c>
      <c r="B529">
        <v>1</v>
      </c>
      <c r="C529" t="s">
        <v>535</v>
      </c>
      <c r="D529">
        <v>3</v>
      </c>
      <c r="E529">
        <v>15</v>
      </c>
      <c r="F529">
        <v>10</v>
      </c>
    </row>
    <row r="530" spans="1:6" x14ac:dyDescent="0.2">
      <c r="A530" t="str">
        <f t="shared" si="8"/>
        <v>Flabech10</v>
      </c>
      <c r="B530">
        <v>2</v>
      </c>
      <c r="C530" t="s">
        <v>491</v>
      </c>
      <c r="D530">
        <v>1</v>
      </c>
      <c r="E530">
        <v>11</v>
      </c>
      <c r="F530">
        <v>10</v>
      </c>
    </row>
    <row r="531" spans="1:6" x14ac:dyDescent="0.2">
      <c r="A531" t="str">
        <f t="shared" si="8"/>
        <v>Flem10</v>
      </c>
      <c r="B531">
        <v>3</v>
      </c>
      <c r="C531" t="s">
        <v>73</v>
      </c>
      <c r="D531">
        <v>0</v>
      </c>
      <c r="E531">
        <v>7</v>
      </c>
      <c r="F531">
        <v>10</v>
      </c>
    </row>
    <row r="532" spans="1:6" x14ac:dyDescent="0.2">
      <c r="A532" t="str">
        <f t="shared" si="8"/>
        <v>Mandrake10</v>
      </c>
      <c r="B532">
        <v>4</v>
      </c>
      <c r="C532" t="s">
        <v>27</v>
      </c>
      <c r="D532">
        <v>0</v>
      </c>
      <c r="E532">
        <v>3</v>
      </c>
      <c r="F532">
        <v>10</v>
      </c>
    </row>
    <row r="533" spans="1:6" x14ac:dyDescent="0.2">
      <c r="A533" t="str">
        <f t="shared" si="8"/>
        <v>La Bavure10</v>
      </c>
      <c r="B533">
        <v>5</v>
      </c>
      <c r="C533" t="s">
        <v>475</v>
      </c>
      <c r="D533">
        <v>0</v>
      </c>
      <c r="E533">
        <v>1</v>
      </c>
      <c r="F533">
        <v>10</v>
      </c>
    </row>
    <row r="534" spans="1:6" x14ac:dyDescent="0.2">
      <c r="A534" t="str">
        <f t="shared" si="8"/>
        <v>Zizou10</v>
      </c>
      <c r="B534">
        <v>1</v>
      </c>
      <c r="C534" t="s">
        <v>504</v>
      </c>
      <c r="D534">
        <v>4</v>
      </c>
      <c r="E534">
        <v>16</v>
      </c>
      <c r="F534">
        <v>10</v>
      </c>
    </row>
    <row r="535" spans="1:6" x14ac:dyDescent="0.2">
      <c r="A535" t="str">
        <f t="shared" si="8"/>
        <v>Empedocle10</v>
      </c>
      <c r="B535">
        <v>2</v>
      </c>
      <c r="C535" t="s">
        <v>81</v>
      </c>
      <c r="D535">
        <v>0</v>
      </c>
      <c r="E535">
        <v>12</v>
      </c>
      <c r="F535">
        <v>10</v>
      </c>
    </row>
    <row r="536" spans="1:6" x14ac:dyDescent="0.2">
      <c r="A536" t="str">
        <f t="shared" si="8"/>
        <v>Ouais ouais10</v>
      </c>
      <c r="B536">
        <v>3</v>
      </c>
      <c r="C536" t="s">
        <v>533</v>
      </c>
      <c r="D536">
        <v>0</v>
      </c>
      <c r="E536">
        <v>8</v>
      </c>
      <c r="F536">
        <v>10</v>
      </c>
    </row>
    <row r="537" spans="1:6" x14ac:dyDescent="0.2">
      <c r="A537" t="str">
        <f t="shared" si="8"/>
        <v>Poisson Pilote10</v>
      </c>
      <c r="B537">
        <v>4</v>
      </c>
      <c r="C537" t="s">
        <v>501</v>
      </c>
      <c r="D537">
        <v>1</v>
      </c>
      <c r="E537">
        <v>4</v>
      </c>
      <c r="F537">
        <v>10</v>
      </c>
    </row>
    <row r="538" spans="1:6" x14ac:dyDescent="0.2">
      <c r="A538" t="str">
        <f t="shared" si="8"/>
        <v>Rockatou10</v>
      </c>
      <c r="B538">
        <v>5</v>
      </c>
      <c r="C538" t="s">
        <v>493</v>
      </c>
      <c r="D538">
        <v>0</v>
      </c>
      <c r="E538">
        <v>2</v>
      </c>
      <c r="F538">
        <v>10</v>
      </c>
    </row>
    <row r="539" spans="1:6" x14ac:dyDescent="0.2">
      <c r="A539" t="str">
        <f t="shared" si="8"/>
        <v>Michelbey10</v>
      </c>
      <c r="B539">
        <v>6</v>
      </c>
      <c r="C539" t="s">
        <v>75</v>
      </c>
      <c r="D539">
        <v>0</v>
      </c>
      <c r="E539">
        <v>1</v>
      </c>
      <c r="F539">
        <v>10</v>
      </c>
    </row>
    <row r="540" spans="1:6" x14ac:dyDescent="0.2">
      <c r="A540" t="str">
        <f t="shared" si="8"/>
        <v>Sobab10</v>
      </c>
      <c r="B540">
        <v>1</v>
      </c>
      <c r="C540" t="s">
        <v>502</v>
      </c>
      <c r="D540">
        <v>3</v>
      </c>
      <c r="E540">
        <v>15</v>
      </c>
      <c r="F540">
        <v>10</v>
      </c>
    </row>
    <row r="541" spans="1:6" x14ac:dyDescent="0.2">
      <c r="A541" t="str">
        <f t="shared" si="8"/>
        <v>PatB10</v>
      </c>
      <c r="B541">
        <v>2</v>
      </c>
      <c r="C541" t="s">
        <v>74</v>
      </c>
      <c r="D541">
        <v>0</v>
      </c>
      <c r="E541">
        <v>11</v>
      </c>
      <c r="F541">
        <v>10</v>
      </c>
    </row>
    <row r="542" spans="1:6" x14ac:dyDescent="0.2">
      <c r="A542" t="str">
        <f t="shared" si="8"/>
        <v>Ad Vitam10</v>
      </c>
      <c r="B542">
        <v>3</v>
      </c>
      <c r="C542" t="s">
        <v>66</v>
      </c>
      <c r="D542">
        <v>1</v>
      </c>
      <c r="E542">
        <v>7</v>
      </c>
      <c r="F542">
        <v>10</v>
      </c>
    </row>
    <row r="543" spans="1:6" x14ac:dyDescent="0.2">
      <c r="A543" t="str">
        <f t="shared" si="8"/>
        <v>Flopynou10</v>
      </c>
      <c r="B543">
        <v>4</v>
      </c>
      <c r="C543" t="s">
        <v>530</v>
      </c>
      <c r="D543">
        <v>0</v>
      </c>
      <c r="E543">
        <v>3</v>
      </c>
      <c r="F543">
        <v>10</v>
      </c>
    </row>
    <row r="544" spans="1:6" x14ac:dyDescent="0.2">
      <c r="A544" t="str">
        <f t="shared" si="8"/>
        <v>Comment210</v>
      </c>
      <c r="B544">
        <v>5</v>
      </c>
      <c r="C544" t="s">
        <v>76</v>
      </c>
      <c r="D544">
        <v>0</v>
      </c>
      <c r="E544">
        <v>1</v>
      </c>
      <c r="F544">
        <v>10</v>
      </c>
    </row>
    <row r="545" spans="1:6" x14ac:dyDescent="0.2">
      <c r="A545" t="str">
        <f t="shared" si="8"/>
        <v>Gibouille10</v>
      </c>
      <c r="B545">
        <v>1</v>
      </c>
      <c r="C545" t="s">
        <v>509</v>
      </c>
      <c r="D545">
        <v>4</v>
      </c>
      <c r="E545">
        <v>15</v>
      </c>
      <c r="F545">
        <v>10</v>
      </c>
    </row>
    <row r="546" spans="1:6" x14ac:dyDescent="0.2">
      <c r="A546" t="str">
        <f t="shared" si="8"/>
        <v>Pyja10</v>
      </c>
      <c r="B546">
        <v>2</v>
      </c>
      <c r="C546" t="s">
        <v>6</v>
      </c>
      <c r="D546">
        <v>0</v>
      </c>
      <c r="E546">
        <v>11</v>
      </c>
      <c r="F546">
        <v>10</v>
      </c>
    </row>
    <row r="547" spans="1:6" x14ac:dyDescent="0.2">
      <c r="A547" t="str">
        <f t="shared" si="8"/>
        <v>Djecus10</v>
      </c>
      <c r="B547">
        <v>3</v>
      </c>
      <c r="C547" t="s">
        <v>461</v>
      </c>
      <c r="D547">
        <v>0</v>
      </c>
      <c r="E547">
        <v>7</v>
      </c>
      <c r="F547">
        <v>10</v>
      </c>
    </row>
    <row r="548" spans="1:6" x14ac:dyDescent="0.2">
      <c r="A548" t="str">
        <f t="shared" si="8"/>
        <v>DernierPli10</v>
      </c>
      <c r="B548">
        <v>4</v>
      </c>
      <c r="C548" t="s">
        <v>490</v>
      </c>
      <c r="D548">
        <v>0</v>
      </c>
      <c r="E548">
        <v>3</v>
      </c>
      <c r="F548">
        <v>10</v>
      </c>
    </row>
    <row r="549" spans="1:6" x14ac:dyDescent="0.2">
      <c r="A549" t="str">
        <f t="shared" si="8"/>
        <v>Xhar9210</v>
      </c>
      <c r="B549">
        <v>5</v>
      </c>
      <c r="C549" t="s">
        <v>519</v>
      </c>
      <c r="D549">
        <v>0</v>
      </c>
      <c r="E549">
        <v>1</v>
      </c>
      <c r="F549">
        <v>10</v>
      </c>
    </row>
    <row r="550" spans="1:6" x14ac:dyDescent="0.2">
      <c r="A550" t="str">
        <f t="shared" si="8"/>
        <v>Bounette10</v>
      </c>
      <c r="B550">
        <v>1</v>
      </c>
      <c r="C550" t="s">
        <v>55</v>
      </c>
      <c r="D550">
        <v>2</v>
      </c>
      <c r="E550">
        <v>16</v>
      </c>
      <c r="F550">
        <v>10</v>
      </c>
    </row>
    <row r="551" spans="1:6" x14ac:dyDescent="0.2">
      <c r="A551" t="str">
        <f t="shared" si="8"/>
        <v>Jacaille10</v>
      </c>
      <c r="B551">
        <v>2</v>
      </c>
      <c r="C551" t="s">
        <v>451</v>
      </c>
      <c r="D551">
        <v>2</v>
      </c>
      <c r="E551">
        <v>12</v>
      </c>
      <c r="F551">
        <v>10</v>
      </c>
    </row>
    <row r="552" spans="1:6" x14ac:dyDescent="0.2">
      <c r="A552" t="str">
        <f t="shared" si="8"/>
        <v>MegaSouche10</v>
      </c>
      <c r="B552">
        <v>3</v>
      </c>
      <c r="C552" t="s">
        <v>476</v>
      </c>
      <c r="D552">
        <v>0</v>
      </c>
      <c r="E552">
        <v>8</v>
      </c>
      <c r="F552">
        <v>10</v>
      </c>
    </row>
    <row r="553" spans="1:6" x14ac:dyDescent="0.2">
      <c r="A553" t="str">
        <f t="shared" si="8"/>
        <v>Yarael10</v>
      </c>
      <c r="B553">
        <v>4</v>
      </c>
      <c r="C553" t="s">
        <v>88</v>
      </c>
      <c r="D553">
        <v>1</v>
      </c>
      <c r="E553">
        <v>4</v>
      </c>
      <c r="F553">
        <v>10</v>
      </c>
    </row>
    <row r="554" spans="1:6" x14ac:dyDescent="0.2">
      <c r="A554" t="str">
        <f t="shared" si="8"/>
        <v>Losogre10</v>
      </c>
      <c r="B554">
        <v>5</v>
      </c>
      <c r="C554" t="s">
        <v>507</v>
      </c>
      <c r="D554">
        <v>0</v>
      </c>
      <c r="E554">
        <v>2</v>
      </c>
      <c r="F554">
        <v>10</v>
      </c>
    </row>
    <row r="555" spans="1:6" x14ac:dyDescent="0.2">
      <c r="A555" t="str">
        <f t="shared" si="8"/>
        <v>JeanMichelTiming10</v>
      </c>
      <c r="B555">
        <v>6</v>
      </c>
      <c r="C555" t="s">
        <v>35</v>
      </c>
      <c r="D555">
        <v>0</v>
      </c>
      <c r="E555">
        <v>1</v>
      </c>
      <c r="F555">
        <v>10</v>
      </c>
    </row>
    <row r="556" spans="1:6" x14ac:dyDescent="0.2">
      <c r="A556" t="str">
        <f t="shared" si="8"/>
        <v>Claudius11</v>
      </c>
      <c r="B556">
        <v>1</v>
      </c>
      <c r="C556" t="s">
        <v>25</v>
      </c>
      <c r="D556">
        <v>1</v>
      </c>
      <c r="E556">
        <v>16</v>
      </c>
      <c r="F556">
        <v>11</v>
      </c>
    </row>
    <row r="557" spans="1:6" x14ac:dyDescent="0.2">
      <c r="A557" t="str">
        <f t="shared" si="8"/>
        <v>Kri-lin11</v>
      </c>
      <c r="B557">
        <v>2</v>
      </c>
      <c r="C557" t="s">
        <v>61</v>
      </c>
      <c r="D557">
        <v>3</v>
      </c>
      <c r="E557">
        <v>12</v>
      </c>
      <c r="F557">
        <v>11</v>
      </c>
    </row>
    <row r="558" spans="1:6" x14ac:dyDescent="0.2">
      <c r="A558" t="str">
        <f t="shared" si="8"/>
        <v>DernierPli11</v>
      </c>
      <c r="B558">
        <v>3</v>
      </c>
      <c r="C558" t="s">
        <v>490</v>
      </c>
      <c r="D558">
        <v>0</v>
      </c>
      <c r="E558">
        <v>8</v>
      </c>
      <c r="F558">
        <v>11</v>
      </c>
    </row>
    <row r="559" spans="1:6" x14ac:dyDescent="0.2">
      <c r="A559" t="str">
        <f t="shared" si="8"/>
        <v>Kheops11</v>
      </c>
      <c r="B559">
        <v>4</v>
      </c>
      <c r="C559" t="s">
        <v>500</v>
      </c>
      <c r="D559">
        <v>1</v>
      </c>
      <c r="E559">
        <v>4</v>
      </c>
      <c r="F559">
        <v>11</v>
      </c>
    </row>
    <row r="560" spans="1:6" x14ac:dyDescent="0.2">
      <c r="A560" t="str">
        <f t="shared" si="8"/>
        <v>The Hengover11</v>
      </c>
      <c r="B560">
        <v>5</v>
      </c>
      <c r="C560" t="s">
        <v>452</v>
      </c>
      <c r="D560">
        <v>0</v>
      </c>
      <c r="E560">
        <v>2</v>
      </c>
      <c r="F560">
        <v>11</v>
      </c>
    </row>
    <row r="561" spans="1:6" x14ac:dyDescent="0.2">
      <c r="A561" t="str">
        <f t="shared" si="8"/>
        <v>Thibaultp7511</v>
      </c>
      <c r="B561">
        <v>6</v>
      </c>
      <c r="C561" t="s">
        <v>345</v>
      </c>
      <c r="D561">
        <v>0</v>
      </c>
      <c r="E561">
        <v>1</v>
      </c>
      <c r="F561">
        <v>11</v>
      </c>
    </row>
    <row r="562" spans="1:6" x14ac:dyDescent="0.2">
      <c r="A562" t="str">
        <f t="shared" si="8"/>
        <v>MegaSouche11</v>
      </c>
      <c r="B562">
        <v>1</v>
      </c>
      <c r="C562" t="s">
        <v>476</v>
      </c>
      <c r="D562">
        <v>3</v>
      </c>
      <c r="E562">
        <v>16</v>
      </c>
      <c r="F562">
        <v>11</v>
      </c>
    </row>
    <row r="563" spans="1:6" x14ac:dyDescent="0.2">
      <c r="A563" t="str">
        <f t="shared" si="8"/>
        <v>TheRealWill11</v>
      </c>
      <c r="B563">
        <v>2</v>
      </c>
      <c r="C563" t="s">
        <v>535</v>
      </c>
      <c r="D563">
        <v>1</v>
      </c>
      <c r="E563">
        <v>12</v>
      </c>
      <c r="F563">
        <v>11</v>
      </c>
    </row>
    <row r="564" spans="1:6" x14ac:dyDescent="0.2">
      <c r="A564" t="str">
        <f t="shared" si="8"/>
        <v>AllinDeuces11</v>
      </c>
      <c r="B564">
        <v>3</v>
      </c>
      <c r="C564" t="s">
        <v>547</v>
      </c>
      <c r="D564">
        <v>1</v>
      </c>
      <c r="E564">
        <v>8</v>
      </c>
      <c r="F564">
        <v>11</v>
      </c>
    </row>
    <row r="565" spans="1:6" x14ac:dyDescent="0.2">
      <c r="A565" t="str">
        <f t="shared" si="8"/>
        <v>Gibbonfury11</v>
      </c>
      <c r="B565">
        <v>4</v>
      </c>
      <c r="C565" t="s">
        <v>454</v>
      </c>
      <c r="D565">
        <v>0</v>
      </c>
      <c r="E565">
        <v>4</v>
      </c>
      <c r="F565">
        <v>11</v>
      </c>
    </row>
    <row r="566" spans="1:6" x14ac:dyDescent="0.2">
      <c r="A566" t="str">
        <f t="shared" si="8"/>
        <v>Bounette11</v>
      </c>
      <c r="B566">
        <v>5</v>
      </c>
      <c r="C566" t="s">
        <v>55</v>
      </c>
      <c r="D566">
        <v>0</v>
      </c>
      <c r="E566">
        <v>2</v>
      </c>
      <c r="F566">
        <v>11</v>
      </c>
    </row>
    <row r="567" spans="1:6" x14ac:dyDescent="0.2">
      <c r="A567" t="str">
        <f t="shared" si="8"/>
        <v>Flem11</v>
      </c>
      <c r="B567">
        <v>6</v>
      </c>
      <c r="C567" t="s">
        <v>73</v>
      </c>
      <c r="D567">
        <v>0</v>
      </c>
      <c r="E567">
        <v>1</v>
      </c>
      <c r="F567">
        <v>11</v>
      </c>
    </row>
    <row r="568" spans="1:6" x14ac:dyDescent="0.2">
      <c r="A568" t="str">
        <f t="shared" si="8"/>
        <v>JC11</v>
      </c>
      <c r="B568">
        <v>1</v>
      </c>
      <c r="C568" t="s">
        <v>534</v>
      </c>
      <c r="D568">
        <v>3</v>
      </c>
      <c r="E568">
        <v>15</v>
      </c>
      <c r="F568">
        <v>11</v>
      </c>
    </row>
    <row r="569" spans="1:6" x14ac:dyDescent="0.2">
      <c r="A569" t="str">
        <f t="shared" si="8"/>
        <v>Poisson Pilote11</v>
      </c>
      <c r="B569">
        <v>2</v>
      </c>
      <c r="C569" t="s">
        <v>501</v>
      </c>
      <c r="D569">
        <v>1</v>
      </c>
      <c r="E569">
        <v>11</v>
      </c>
      <c r="F569">
        <v>11</v>
      </c>
    </row>
    <row r="570" spans="1:6" x14ac:dyDescent="0.2">
      <c r="A570" t="str">
        <f t="shared" si="8"/>
        <v>Ad Vitam11</v>
      </c>
      <c r="B570">
        <v>3</v>
      </c>
      <c r="C570" t="s">
        <v>66</v>
      </c>
      <c r="D570">
        <v>0</v>
      </c>
      <c r="E570">
        <v>7</v>
      </c>
      <c r="F570">
        <v>11</v>
      </c>
    </row>
    <row r="571" spans="1:6" x14ac:dyDescent="0.2">
      <c r="A571" t="str">
        <f t="shared" si="8"/>
        <v>Mandrake11</v>
      </c>
      <c r="B571">
        <v>4</v>
      </c>
      <c r="C571" t="s">
        <v>27</v>
      </c>
      <c r="D571">
        <v>0</v>
      </c>
      <c r="E571">
        <v>3</v>
      </c>
      <c r="F571">
        <v>11</v>
      </c>
    </row>
    <row r="572" spans="1:6" x14ac:dyDescent="0.2">
      <c r="A572" t="str">
        <f t="shared" si="8"/>
        <v>K111</v>
      </c>
      <c r="B572">
        <v>5</v>
      </c>
      <c r="C572" t="s">
        <v>9</v>
      </c>
      <c r="D572">
        <v>0</v>
      </c>
      <c r="E572">
        <v>1</v>
      </c>
      <c r="F572">
        <v>11</v>
      </c>
    </row>
    <row r="573" spans="1:6" x14ac:dyDescent="0.2">
      <c r="A573" t="str">
        <f t="shared" si="8"/>
        <v>Zubbaz11</v>
      </c>
      <c r="B573">
        <v>1</v>
      </c>
      <c r="C573" t="s">
        <v>506</v>
      </c>
      <c r="D573">
        <v>3</v>
      </c>
      <c r="E573">
        <v>15</v>
      </c>
      <c r="F573">
        <v>11</v>
      </c>
    </row>
    <row r="574" spans="1:6" x14ac:dyDescent="0.2">
      <c r="A574" t="str">
        <f t="shared" si="8"/>
        <v>Jérôme11</v>
      </c>
      <c r="B574">
        <v>2</v>
      </c>
      <c r="C574" t="s">
        <v>46</v>
      </c>
      <c r="D574">
        <v>1</v>
      </c>
      <c r="E574">
        <v>11</v>
      </c>
      <c r="F574">
        <v>11</v>
      </c>
    </row>
    <row r="575" spans="1:6" x14ac:dyDescent="0.2">
      <c r="A575" t="str">
        <f t="shared" si="8"/>
        <v>PatB11</v>
      </c>
      <c r="B575">
        <v>3</v>
      </c>
      <c r="C575" t="s">
        <v>74</v>
      </c>
      <c r="D575">
        <v>0</v>
      </c>
      <c r="E575">
        <v>7</v>
      </c>
      <c r="F575">
        <v>11</v>
      </c>
    </row>
    <row r="576" spans="1:6" x14ac:dyDescent="0.2">
      <c r="A576" t="str">
        <f t="shared" si="8"/>
        <v>Pyja11</v>
      </c>
      <c r="B576">
        <v>4</v>
      </c>
      <c r="C576" t="s">
        <v>6</v>
      </c>
      <c r="D576">
        <v>0</v>
      </c>
      <c r="E576">
        <v>3</v>
      </c>
      <c r="F576">
        <v>11</v>
      </c>
    </row>
    <row r="577" spans="1:6" x14ac:dyDescent="0.2">
      <c r="A577" t="str">
        <f t="shared" si="8"/>
        <v>Losogre11</v>
      </c>
      <c r="B577">
        <v>5</v>
      </c>
      <c r="C577" t="s">
        <v>507</v>
      </c>
      <c r="D577">
        <v>0</v>
      </c>
      <c r="E577">
        <v>1</v>
      </c>
      <c r="F577">
        <v>11</v>
      </c>
    </row>
    <row r="578" spans="1:6" x14ac:dyDescent="0.2">
      <c r="A578" t="str">
        <f t="shared" ref="A578:A641" si="9">C578&amp;F578</f>
        <v>Rockatou11</v>
      </c>
      <c r="B578">
        <v>1</v>
      </c>
      <c r="C578" t="s">
        <v>493</v>
      </c>
      <c r="D578">
        <v>2</v>
      </c>
      <c r="E578">
        <v>15</v>
      </c>
      <c r="F578">
        <v>11</v>
      </c>
    </row>
    <row r="579" spans="1:6" x14ac:dyDescent="0.2">
      <c r="A579" t="str">
        <f t="shared" si="9"/>
        <v>Yroz11</v>
      </c>
      <c r="B579">
        <v>2</v>
      </c>
      <c r="C579" t="s">
        <v>526</v>
      </c>
      <c r="D579">
        <v>1</v>
      </c>
      <c r="E579">
        <v>11</v>
      </c>
      <c r="F579">
        <v>11</v>
      </c>
    </row>
    <row r="580" spans="1:6" x14ac:dyDescent="0.2">
      <c r="A580" t="str">
        <f t="shared" si="9"/>
        <v>Tenko11</v>
      </c>
      <c r="B580">
        <v>3</v>
      </c>
      <c r="C580" t="s">
        <v>516</v>
      </c>
      <c r="D580">
        <v>1</v>
      </c>
      <c r="E580">
        <v>7</v>
      </c>
      <c r="F580">
        <v>11</v>
      </c>
    </row>
    <row r="581" spans="1:6" x14ac:dyDescent="0.2">
      <c r="A581" t="str">
        <f t="shared" si="9"/>
        <v>Freddie11</v>
      </c>
      <c r="B581">
        <v>4</v>
      </c>
      <c r="C581" t="s">
        <v>525</v>
      </c>
      <c r="D581">
        <v>0</v>
      </c>
      <c r="E581">
        <v>3</v>
      </c>
      <c r="F581">
        <v>11</v>
      </c>
    </row>
    <row r="582" spans="1:6" x14ac:dyDescent="0.2">
      <c r="A582" t="str">
        <f t="shared" si="9"/>
        <v>Proph@ne11</v>
      </c>
      <c r="B582">
        <v>5</v>
      </c>
      <c r="C582" t="s">
        <v>87</v>
      </c>
      <c r="D582">
        <v>0</v>
      </c>
      <c r="E582">
        <v>1</v>
      </c>
      <c r="F582">
        <v>11</v>
      </c>
    </row>
    <row r="583" spans="1:6" x14ac:dyDescent="0.2">
      <c r="A583" t="str">
        <f t="shared" si="9"/>
        <v>Carmin11</v>
      </c>
      <c r="B583">
        <v>1</v>
      </c>
      <c r="C583" t="s">
        <v>21</v>
      </c>
      <c r="D583">
        <v>3</v>
      </c>
      <c r="E583">
        <v>15</v>
      </c>
      <c r="F583">
        <v>11</v>
      </c>
    </row>
    <row r="584" spans="1:6" x14ac:dyDescent="0.2">
      <c r="A584" t="str">
        <f t="shared" si="9"/>
        <v>Ripolin11</v>
      </c>
      <c r="B584">
        <v>2</v>
      </c>
      <c r="C584" t="s">
        <v>65</v>
      </c>
      <c r="D584">
        <v>1</v>
      </c>
      <c r="E584">
        <v>11</v>
      </c>
      <c r="F584">
        <v>11</v>
      </c>
    </row>
    <row r="585" spans="1:6" x14ac:dyDescent="0.2">
      <c r="A585" t="str">
        <f t="shared" si="9"/>
        <v>Michelbey11</v>
      </c>
      <c r="B585">
        <v>3</v>
      </c>
      <c r="C585" t="s">
        <v>75</v>
      </c>
      <c r="D585">
        <v>0</v>
      </c>
      <c r="E585">
        <v>7</v>
      </c>
      <c r="F585">
        <v>11</v>
      </c>
    </row>
    <row r="586" spans="1:6" x14ac:dyDescent="0.2">
      <c r="A586" t="str">
        <f t="shared" si="9"/>
        <v>Djecus11</v>
      </c>
      <c r="B586">
        <v>4</v>
      </c>
      <c r="C586" t="s">
        <v>461</v>
      </c>
      <c r="D586">
        <v>0</v>
      </c>
      <c r="E586">
        <v>3</v>
      </c>
      <c r="F586">
        <v>11</v>
      </c>
    </row>
    <row r="587" spans="1:6" x14ac:dyDescent="0.2">
      <c r="A587" t="str">
        <f t="shared" si="9"/>
        <v>Toinou11</v>
      </c>
      <c r="B587">
        <v>5</v>
      </c>
      <c r="C587" t="s">
        <v>531</v>
      </c>
      <c r="D587">
        <v>0</v>
      </c>
      <c r="E587">
        <v>1</v>
      </c>
      <c r="F587">
        <v>11</v>
      </c>
    </row>
    <row r="588" spans="1:6" x14ac:dyDescent="0.2">
      <c r="A588" t="str">
        <f t="shared" si="9"/>
        <v>JeanMichelTiming11</v>
      </c>
      <c r="B588">
        <v>1</v>
      </c>
      <c r="C588" t="s">
        <v>35</v>
      </c>
      <c r="D588">
        <v>4</v>
      </c>
      <c r="E588">
        <v>16</v>
      </c>
      <c r="F588">
        <v>11</v>
      </c>
    </row>
    <row r="589" spans="1:6" x14ac:dyDescent="0.2">
      <c r="A589" t="str">
        <f t="shared" si="9"/>
        <v>LAAtof11</v>
      </c>
      <c r="B589">
        <v>2</v>
      </c>
      <c r="C589" t="s">
        <v>15</v>
      </c>
      <c r="D589">
        <v>0</v>
      </c>
      <c r="E589">
        <v>12</v>
      </c>
      <c r="F589">
        <v>11</v>
      </c>
    </row>
    <row r="590" spans="1:6" x14ac:dyDescent="0.2">
      <c r="A590" t="str">
        <f t="shared" si="9"/>
        <v>Empedocle11</v>
      </c>
      <c r="B590">
        <v>3</v>
      </c>
      <c r="C590" t="s">
        <v>81</v>
      </c>
      <c r="D590">
        <v>1</v>
      </c>
      <c r="E590">
        <v>8</v>
      </c>
      <c r="F590">
        <v>11</v>
      </c>
    </row>
    <row r="591" spans="1:6" x14ac:dyDescent="0.2">
      <c r="A591" t="str">
        <f t="shared" si="9"/>
        <v>Catherine11</v>
      </c>
      <c r="B591">
        <v>4</v>
      </c>
      <c r="C591" t="s">
        <v>69</v>
      </c>
      <c r="D591">
        <v>0</v>
      </c>
      <c r="E591">
        <v>4</v>
      </c>
      <c r="F591">
        <v>11</v>
      </c>
    </row>
    <row r="592" spans="1:6" x14ac:dyDescent="0.2">
      <c r="A592" t="str">
        <f t="shared" si="9"/>
        <v>Xhar9211</v>
      </c>
      <c r="B592">
        <v>5</v>
      </c>
      <c r="C592" t="s">
        <v>519</v>
      </c>
      <c r="D592">
        <v>0</v>
      </c>
      <c r="E592">
        <v>2</v>
      </c>
      <c r="F592">
        <v>11</v>
      </c>
    </row>
    <row r="593" spans="1:6" x14ac:dyDescent="0.2">
      <c r="A593" t="str">
        <f t="shared" si="9"/>
        <v>Gibouille11</v>
      </c>
      <c r="B593">
        <v>6</v>
      </c>
      <c r="C593" t="s">
        <v>509</v>
      </c>
      <c r="D593">
        <v>0</v>
      </c>
      <c r="E593">
        <v>1</v>
      </c>
      <c r="F593">
        <v>11</v>
      </c>
    </row>
    <row r="594" spans="1:6" x14ac:dyDescent="0.2">
      <c r="A594" t="str">
        <f t="shared" si="9"/>
        <v>Delgres11</v>
      </c>
      <c r="B594">
        <v>1</v>
      </c>
      <c r="C594" t="s">
        <v>280</v>
      </c>
      <c r="D594">
        <v>3</v>
      </c>
      <c r="E594">
        <v>16</v>
      </c>
      <c r="F594">
        <v>11</v>
      </c>
    </row>
    <row r="595" spans="1:6" x14ac:dyDescent="0.2">
      <c r="A595" t="str">
        <f t="shared" si="9"/>
        <v>Flopynou11</v>
      </c>
      <c r="B595">
        <v>2</v>
      </c>
      <c r="C595" t="s">
        <v>530</v>
      </c>
      <c r="D595">
        <v>0</v>
      </c>
      <c r="E595">
        <v>12</v>
      </c>
      <c r="F595">
        <v>11</v>
      </c>
    </row>
    <row r="596" spans="1:6" x14ac:dyDescent="0.2">
      <c r="A596" t="str">
        <f t="shared" si="9"/>
        <v>Solucky11</v>
      </c>
      <c r="B596">
        <v>3</v>
      </c>
      <c r="C596" t="s">
        <v>485</v>
      </c>
      <c r="D596">
        <v>2</v>
      </c>
      <c r="E596">
        <v>8</v>
      </c>
      <c r="F596">
        <v>11</v>
      </c>
    </row>
    <row r="597" spans="1:6" x14ac:dyDescent="0.2">
      <c r="A597" t="str">
        <f t="shared" si="9"/>
        <v>Mams11</v>
      </c>
      <c r="B597">
        <v>4</v>
      </c>
      <c r="C597" t="s">
        <v>505</v>
      </c>
      <c r="D597">
        <v>0</v>
      </c>
      <c r="E597">
        <v>4</v>
      </c>
      <c r="F597">
        <v>11</v>
      </c>
    </row>
    <row r="598" spans="1:6" x14ac:dyDescent="0.2">
      <c r="A598" t="str">
        <f t="shared" si="9"/>
        <v>Fishtro11</v>
      </c>
      <c r="B598">
        <v>5</v>
      </c>
      <c r="C598" t="s">
        <v>512</v>
      </c>
      <c r="D598">
        <v>0</v>
      </c>
      <c r="E598">
        <v>2</v>
      </c>
      <c r="F598">
        <v>11</v>
      </c>
    </row>
    <row r="599" spans="1:6" x14ac:dyDescent="0.2">
      <c r="A599" t="str">
        <f t="shared" si="9"/>
        <v>Sobab11</v>
      </c>
      <c r="B599">
        <v>6</v>
      </c>
      <c r="C599" t="s">
        <v>502</v>
      </c>
      <c r="D599">
        <v>0</v>
      </c>
      <c r="E599">
        <v>1</v>
      </c>
      <c r="F599">
        <v>11</v>
      </c>
    </row>
    <row r="600" spans="1:6" x14ac:dyDescent="0.2">
      <c r="A600" t="str">
        <f t="shared" si="9"/>
        <v>Claptou11</v>
      </c>
      <c r="B600">
        <v>1</v>
      </c>
      <c r="C600" t="s">
        <v>42</v>
      </c>
      <c r="D600">
        <v>3</v>
      </c>
      <c r="E600">
        <v>16</v>
      </c>
      <c r="F600">
        <v>11</v>
      </c>
    </row>
    <row r="601" spans="1:6" x14ac:dyDescent="0.2">
      <c r="A601" t="str">
        <f t="shared" si="9"/>
        <v>Soupaman11</v>
      </c>
      <c r="B601">
        <v>2</v>
      </c>
      <c r="C601" t="s">
        <v>518</v>
      </c>
      <c r="D601">
        <v>1</v>
      </c>
      <c r="E601">
        <v>12</v>
      </c>
      <c r="F601">
        <v>11</v>
      </c>
    </row>
    <row r="602" spans="1:6" x14ac:dyDescent="0.2">
      <c r="A602" t="str">
        <f t="shared" si="9"/>
        <v>Ramm11</v>
      </c>
      <c r="B602">
        <v>3</v>
      </c>
      <c r="C602" t="s">
        <v>14</v>
      </c>
      <c r="D602">
        <v>0</v>
      </c>
      <c r="E602">
        <v>8</v>
      </c>
      <c r="F602">
        <v>11</v>
      </c>
    </row>
    <row r="603" spans="1:6" x14ac:dyDescent="0.2">
      <c r="A603" t="str">
        <f t="shared" si="9"/>
        <v>Giobeck11</v>
      </c>
      <c r="B603">
        <v>4</v>
      </c>
      <c r="C603" t="s">
        <v>19</v>
      </c>
      <c r="D603">
        <v>1</v>
      </c>
      <c r="E603">
        <v>4</v>
      </c>
      <c r="F603">
        <v>11</v>
      </c>
    </row>
    <row r="604" spans="1:6" x14ac:dyDescent="0.2">
      <c r="A604" t="str">
        <f t="shared" si="9"/>
        <v>YooooDA11</v>
      </c>
      <c r="B604">
        <v>5</v>
      </c>
      <c r="C604" t="s">
        <v>59</v>
      </c>
      <c r="D604">
        <v>0</v>
      </c>
      <c r="E604">
        <v>2</v>
      </c>
      <c r="F604">
        <v>11</v>
      </c>
    </row>
    <row r="605" spans="1:6" x14ac:dyDescent="0.2">
      <c r="A605" t="str">
        <f t="shared" si="9"/>
        <v>Jacaille11</v>
      </c>
      <c r="B605">
        <v>6</v>
      </c>
      <c r="C605" t="s">
        <v>451</v>
      </c>
      <c r="D605">
        <v>0</v>
      </c>
      <c r="E605">
        <v>1</v>
      </c>
      <c r="F605">
        <v>11</v>
      </c>
    </row>
    <row r="606" spans="1:6" x14ac:dyDescent="0.2">
      <c r="A606" t="str">
        <f t="shared" si="9"/>
        <v>Poisson Pilote12</v>
      </c>
      <c r="B606">
        <v>1</v>
      </c>
      <c r="C606" t="s">
        <v>501</v>
      </c>
      <c r="D606">
        <v>4</v>
      </c>
      <c r="E606">
        <v>16</v>
      </c>
      <c r="F606">
        <v>12</v>
      </c>
    </row>
    <row r="607" spans="1:6" x14ac:dyDescent="0.2">
      <c r="A607" t="str">
        <f t="shared" si="9"/>
        <v>Claudius12</v>
      </c>
      <c r="B607">
        <v>2</v>
      </c>
      <c r="C607" t="s">
        <v>25</v>
      </c>
      <c r="D607">
        <v>1</v>
      </c>
      <c r="E607">
        <v>12</v>
      </c>
      <c r="F607">
        <v>12</v>
      </c>
    </row>
    <row r="608" spans="1:6" x14ac:dyDescent="0.2">
      <c r="A608" t="str">
        <f t="shared" si="9"/>
        <v>Yarael12</v>
      </c>
      <c r="B608">
        <v>3</v>
      </c>
      <c r="C608" t="s">
        <v>88</v>
      </c>
      <c r="D608">
        <v>0</v>
      </c>
      <c r="E608">
        <v>8</v>
      </c>
      <c r="F608">
        <v>12</v>
      </c>
    </row>
    <row r="609" spans="1:6" x14ac:dyDescent="0.2">
      <c r="A609" t="str">
        <f t="shared" si="9"/>
        <v>Zubbaz12</v>
      </c>
      <c r="B609">
        <v>4</v>
      </c>
      <c r="C609" t="s">
        <v>506</v>
      </c>
      <c r="D609">
        <v>0</v>
      </c>
      <c r="E609">
        <v>4</v>
      </c>
      <c r="F609">
        <v>12</v>
      </c>
    </row>
    <row r="610" spans="1:6" x14ac:dyDescent="0.2">
      <c r="A610" t="str">
        <f t="shared" si="9"/>
        <v>Thibaultp7512</v>
      </c>
      <c r="B610">
        <v>5</v>
      </c>
      <c r="C610" t="s">
        <v>345</v>
      </c>
      <c r="D610">
        <v>0</v>
      </c>
      <c r="E610">
        <v>2</v>
      </c>
      <c r="F610">
        <v>12</v>
      </c>
    </row>
    <row r="611" spans="1:6" x14ac:dyDescent="0.2">
      <c r="A611" t="str">
        <f t="shared" si="9"/>
        <v>Rmarc12</v>
      </c>
      <c r="B611">
        <v>6</v>
      </c>
      <c r="C611" t="s">
        <v>508</v>
      </c>
      <c r="D611">
        <v>0</v>
      </c>
      <c r="E611">
        <v>1</v>
      </c>
      <c r="F611">
        <v>12</v>
      </c>
    </row>
    <row r="612" spans="1:6" x14ac:dyDescent="0.2">
      <c r="A612" t="str">
        <f t="shared" si="9"/>
        <v>Flopynou12</v>
      </c>
      <c r="B612">
        <v>1</v>
      </c>
      <c r="C612" t="s">
        <v>530</v>
      </c>
      <c r="D612">
        <v>4</v>
      </c>
      <c r="E612">
        <v>16</v>
      </c>
      <c r="F612">
        <v>12</v>
      </c>
    </row>
    <row r="613" spans="1:6" x14ac:dyDescent="0.2">
      <c r="A613" t="str">
        <f t="shared" si="9"/>
        <v>PatB12</v>
      </c>
      <c r="B613">
        <v>2</v>
      </c>
      <c r="C613" t="s">
        <v>74</v>
      </c>
      <c r="D613">
        <v>1</v>
      </c>
      <c r="E613">
        <v>12</v>
      </c>
      <c r="F613">
        <v>12</v>
      </c>
    </row>
    <row r="614" spans="1:6" x14ac:dyDescent="0.2">
      <c r="A614" t="str">
        <f t="shared" si="9"/>
        <v>Fishtro12</v>
      </c>
      <c r="B614">
        <v>3</v>
      </c>
      <c r="C614" t="s">
        <v>512</v>
      </c>
      <c r="D614">
        <v>0</v>
      </c>
      <c r="E614">
        <v>8</v>
      </c>
      <c r="F614">
        <v>12</v>
      </c>
    </row>
    <row r="615" spans="1:6" x14ac:dyDescent="0.2">
      <c r="A615" t="str">
        <f t="shared" si="9"/>
        <v>Rockatou12</v>
      </c>
      <c r="B615">
        <v>4</v>
      </c>
      <c r="C615" t="s">
        <v>493</v>
      </c>
      <c r="D615">
        <v>0</v>
      </c>
      <c r="E615">
        <v>4</v>
      </c>
      <c r="F615">
        <v>12</v>
      </c>
    </row>
    <row r="616" spans="1:6" x14ac:dyDescent="0.2">
      <c r="A616" t="str">
        <f t="shared" si="9"/>
        <v>Jeremy12</v>
      </c>
      <c r="B616">
        <v>5</v>
      </c>
      <c r="C616" t="s">
        <v>258</v>
      </c>
      <c r="D616">
        <v>0</v>
      </c>
      <c r="E616">
        <v>2</v>
      </c>
      <c r="F616">
        <v>12</v>
      </c>
    </row>
    <row r="617" spans="1:6" x14ac:dyDescent="0.2">
      <c r="A617" t="str">
        <f t="shared" si="9"/>
        <v>JC12</v>
      </c>
      <c r="B617">
        <v>6</v>
      </c>
      <c r="C617" t="s">
        <v>534</v>
      </c>
      <c r="D617">
        <v>0</v>
      </c>
      <c r="E617">
        <v>1</v>
      </c>
      <c r="F617">
        <v>12</v>
      </c>
    </row>
    <row r="618" spans="1:6" x14ac:dyDescent="0.2">
      <c r="A618" t="str">
        <f t="shared" si="9"/>
        <v>Mams12</v>
      </c>
      <c r="B618">
        <v>1</v>
      </c>
      <c r="C618" t="s">
        <v>505</v>
      </c>
      <c r="D618">
        <v>1</v>
      </c>
      <c r="E618">
        <v>17</v>
      </c>
      <c r="F618">
        <v>12</v>
      </c>
    </row>
    <row r="619" spans="1:6" x14ac:dyDescent="0.2">
      <c r="A619" t="str">
        <f t="shared" si="9"/>
        <v>TheRealWill12</v>
      </c>
      <c r="B619">
        <v>2</v>
      </c>
      <c r="C619" t="s">
        <v>535</v>
      </c>
      <c r="D619">
        <v>4</v>
      </c>
      <c r="E619">
        <v>13</v>
      </c>
      <c r="F619">
        <v>12</v>
      </c>
    </row>
    <row r="620" spans="1:6" x14ac:dyDescent="0.2">
      <c r="A620" t="str">
        <f t="shared" si="9"/>
        <v>LAAtof12</v>
      </c>
      <c r="B620">
        <v>3</v>
      </c>
      <c r="C620" t="s">
        <v>15</v>
      </c>
      <c r="D620">
        <v>1</v>
      </c>
      <c r="E620">
        <v>9</v>
      </c>
      <c r="F620">
        <v>12</v>
      </c>
    </row>
    <row r="621" spans="1:6" x14ac:dyDescent="0.2">
      <c r="A621" t="str">
        <f t="shared" si="9"/>
        <v>Yroz12</v>
      </c>
      <c r="B621">
        <v>4</v>
      </c>
      <c r="C621" t="s">
        <v>526</v>
      </c>
      <c r="D621">
        <v>0</v>
      </c>
      <c r="E621">
        <v>5</v>
      </c>
      <c r="F621">
        <v>12</v>
      </c>
    </row>
    <row r="622" spans="1:6" x14ac:dyDescent="0.2">
      <c r="A622" t="str">
        <f t="shared" si="9"/>
        <v>Gibbonfury12</v>
      </c>
      <c r="B622">
        <v>5</v>
      </c>
      <c r="C622" t="s">
        <v>454</v>
      </c>
      <c r="D622">
        <v>0</v>
      </c>
      <c r="E622">
        <v>3</v>
      </c>
      <c r="F622">
        <v>12</v>
      </c>
    </row>
    <row r="623" spans="1:6" x14ac:dyDescent="0.2">
      <c r="A623" t="str">
        <f t="shared" si="9"/>
        <v>Michelbey12</v>
      </c>
      <c r="B623">
        <v>6</v>
      </c>
      <c r="C623" t="s">
        <v>75</v>
      </c>
      <c r="D623">
        <v>0</v>
      </c>
      <c r="E623">
        <v>2</v>
      </c>
      <c r="F623">
        <v>12</v>
      </c>
    </row>
    <row r="624" spans="1:6" x14ac:dyDescent="0.2">
      <c r="A624" t="str">
        <f t="shared" si="9"/>
        <v>Solucky12</v>
      </c>
      <c r="B624">
        <v>7</v>
      </c>
      <c r="C624" t="s">
        <v>485</v>
      </c>
      <c r="D624">
        <v>0</v>
      </c>
      <c r="E624">
        <v>1</v>
      </c>
      <c r="F624">
        <v>12</v>
      </c>
    </row>
    <row r="625" spans="1:6" x14ac:dyDescent="0.2">
      <c r="A625" t="str">
        <f t="shared" si="9"/>
        <v>Mandrake12</v>
      </c>
      <c r="B625">
        <v>1</v>
      </c>
      <c r="C625" t="s">
        <v>27</v>
      </c>
      <c r="D625">
        <v>3</v>
      </c>
      <c r="E625">
        <v>16</v>
      </c>
      <c r="F625">
        <v>12</v>
      </c>
    </row>
    <row r="626" spans="1:6" x14ac:dyDescent="0.2">
      <c r="A626" t="str">
        <f t="shared" si="9"/>
        <v>Kri-lin12</v>
      </c>
      <c r="B626">
        <v>2</v>
      </c>
      <c r="C626" t="s">
        <v>61</v>
      </c>
      <c r="D626">
        <v>1</v>
      </c>
      <c r="E626">
        <v>12</v>
      </c>
      <c r="F626">
        <v>12</v>
      </c>
    </row>
    <row r="627" spans="1:6" x14ac:dyDescent="0.2">
      <c r="A627" t="str">
        <f t="shared" si="9"/>
        <v>YooooDA12</v>
      </c>
      <c r="B627">
        <v>3</v>
      </c>
      <c r="C627" t="s">
        <v>59</v>
      </c>
      <c r="D627">
        <v>0</v>
      </c>
      <c r="E627">
        <v>8</v>
      </c>
      <c r="F627">
        <v>12</v>
      </c>
    </row>
    <row r="628" spans="1:6" x14ac:dyDescent="0.2">
      <c r="A628" t="str">
        <f t="shared" si="9"/>
        <v>Proph@ne12</v>
      </c>
      <c r="B628">
        <v>4</v>
      </c>
      <c r="C628" t="s">
        <v>87</v>
      </c>
      <c r="D628">
        <v>1</v>
      </c>
      <c r="E628">
        <v>4</v>
      </c>
      <c r="F628">
        <v>12</v>
      </c>
    </row>
    <row r="629" spans="1:6" x14ac:dyDescent="0.2">
      <c r="A629" t="str">
        <f t="shared" si="9"/>
        <v>Claptou12</v>
      </c>
      <c r="B629">
        <v>5</v>
      </c>
      <c r="C629" t="s">
        <v>42</v>
      </c>
      <c r="D629">
        <v>0</v>
      </c>
      <c r="E629">
        <v>2</v>
      </c>
      <c r="F629">
        <v>12</v>
      </c>
    </row>
    <row r="630" spans="1:6" x14ac:dyDescent="0.2">
      <c r="A630" t="str">
        <f t="shared" si="9"/>
        <v>Jérôme12</v>
      </c>
      <c r="B630">
        <v>6</v>
      </c>
      <c r="C630" t="s">
        <v>46</v>
      </c>
      <c r="D630">
        <v>0</v>
      </c>
      <c r="E630">
        <v>1</v>
      </c>
      <c r="F630">
        <v>12</v>
      </c>
    </row>
    <row r="631" spans="1:6" x14ac:dyDescent="0.2">
      <c r="A631" t="str">
        <f t="shared" si="9"/>
        <v>DernierPli12</v>
      </c>
      <c r="B631">
        <v>1</v>
      </c>
      <c r="C631" t="s">
        <v>490</v>
      </c>
      <c r="D631">
        <v>3</v>
      </c>
      <c r="E631">
        <v>16</v>
      </c>
      <c r="F631">
        <v>12</v>
      </c>
    </row>
    <row r="632" spans="1:6" x14ac:dyDescent="0.2">
      <c r="A632" t="str">
        <f t="shared" si="9"/>
        <v>Ad Vitam12</v>
      </c>
      <c r="B632">
        <v>2</v>
      </c>
      <c r="C632" t="s">
        <v>66</v>
      </c>
      <c r="D632">
        <v>1</v>
      </c>
      <c r="E632">
        <v>12</v>
      </c>
      <c r="F632">
        <v>12</v>
      </c>
    </row>
    <row r="633" spans="1:6" x14ac:dyDescent="0.2">
      <c r="A633" t="str">
        <f t="shared" si="9"/>
        <v>OlivierN9212</v>
      </c>
      <c r="B633">
        <v>3</v>
      </c>
      <c r="C633" t="s">
        <v>32</v>
      </c>
      <c r="D633">
        <v>1</v>
      </c>
      <c r="E633">
        <v>8</v>
      </c>
      <c r="F633">
        <v>12</v>
      </c>
    </row>
    <row r="634" spans="1:6" x14ac:dyDescent="0.2">
      <c r="A634" t="str">
        <f t="shared" si="9"/>
        <v>Losogre12</v>
      </c>
      <c r="B634">
        <v>4</v>
      </c>
      <c r="C634" t="s">
        <v>507</v>
      </c>
      <c r="D634">
        <v>0</v>
      </c>
      <c r="E634">
        <v>4</v>
      </c>
      <c r="F634">
        <v>12</v>
      </c>
    </row>
    <row r="635" spans="1:6" x14ac:dyDescent="0.2">
      <c r="A635" t="str">
        <f t="shared" si="9"/>
        <v>Delgres12</v>
      </c>
      <c r="B635">
        <v>5</v>
      </c>
      <c r="C635" t="s">
        <v>280</v>
      </c>
      <c r="D635">
        <v>0</v>
      </c>
      <c r="E635">
        <v>2</v>
      </c>
      <c r="F635">
        <v>12</v>
      </c>
    </row>
    <row r="636" spans="1:6" x14ac:dyDescent="0.2">
      <c r="A636" t="str">
        <f t="shared" si="9"/>
        <v>MegaSouche12</v>
      </c>
      <c r="B636">
        <v>6</v>
      </c>
      <c r="C636" t="s">
        <v>476</v>
      </c>
      <c r="D636">
        <v>0</v>
      </c>
      <c r="E636">
        <v>1</v>
      </c>
      <c r="F636">
        <v>12</v>
      </c>
    </row>
    <row r="637" spans="1:6" x14ac:dyDescent="0.2">
      <c r="A637" t="str">
        <f t="shared" si="9"/>
        <v>Tenko12</v>
      </c>
      <c r="B637">
        <v>1</v>
      </c>
      <c r="C637" t="s">
        <v>516</v>
      </c>
      <c r="D637">
        <v>3</v>
      </c>
      <c r="E637">
        <v>16</v>
      </c>
      <c r="F637">
        <v>12</v>
      </c>
    </row>
    <row r="638" spans="1:6" x14ac:dyDescent="0.2">
      <c r="A638" t="str">
        <f t="shared" si="9"/>
        <v>Jaden12</v>
      </c>
      <c r="B638">
        <v>2</v>
      </c>
      <c r="C638" t="s">
        <v>521</v>
      </c>
      <c r="D638">
        <v>1</v>
      </c>
      <c r="E638">
        <v>12</v>
      </c>
      <c r="F638">
        <v>12</v>
      </c>
    </row>
    <row r="639" spans="1:6" x14ac:dyDescent="0.2">
      <c r="A639" t="str">
        <f t="shared" si="9"/>
        <v>Pyja12</v>
      </c>
      <c r="B639">
        <v>3</v>
      </c>
      <c r="C639" t="s">
        <v>6</v>
      </c>
      <c r="D639">
        <v>0</v>
      </c>
      <c r="E639">
        <v>8</v>
      </c>
      <c r="F639">
        <v>12</v>
      </c>
    </row>
    <row r="640" spans="1:6" x14ac:dyDescent="0.2">
      <c r="A640" t="str">
        <f t="shared" si="9"/>
        <v>JeanMichelTiming12</v>
      </c>
      <c r="B640">
        <v>4</v>
      </c>
      <c r="C640" t="s">
        <v>35</v>
      </c>
      <c r="D640">
        <v>1</v>
      </c>
      <c r="E640">
        <v>4</v>
      </c>
      <c r="F640">
        <v>12</v>
      </c>
    </row>
    <row r="641" spans="1:6" x14ac:dyDescent="0.2">
      <c r="A641" t="str">
        <f t="shared" si="9"/>
        <v>Flem12</v>
      </c>
      <c r="B641">
        <v>5</v>
      </c>
      <c r="C641" t="s">
        <v>73</v>
      </c>
      <c r="D641">
        <v>0</v>
      </c>
      <c r="E641">
        <v>2</v>
      </c>
      <c r="F641">
        <v>12</v>
      </c>
    </row>
    <row r="642" spans="1:6" x14ac:dyDescent="0.2">
      <c r="A642" t="str">
        <f t="shared" ref="A642:A705" si="10">C642&amp;F642</f>
        <v>Zizou12</v>
      </c>
      <c r="B642">
        <v>6</v>
      </c>
      <c r="C642" t="s">
        <v>504</v>
      </c>
      <c r="D642">
        <v>0</v>
      </c>
      <c r="E642">
        <v>1</v>
      </c>
      <c r="F642">
        <v>12</v>
      </c>
    </row>
    <row r="643" spans="1:6" x14ac:dyDescent="0.2">
      <c r="A643" t="str">
        <f t="shared" si="10"/>
        <v>Yaltar12</v>
      </c>
      <c r="B643">
        <v>1</v>
      </c>
      <c r="C643" t="s">
        <v>503</v>
      </c>
      <c r="D643">
        <v>5</v>
      </c>
      <c r="E643">
        <v>16</v>
      </c>
      <c r="F643">
        <v>12</v>
      </c>
    </row>
    <row r="644" spans="1:6" x14ac:dyDescent="0.2">
      <c r="A644" t="str">
        <f t="shared" si="10"/>
        <v>Carmin12</v>
      </c>
      <c r="B644">
        <v>2</v>
      </c>
      <c r="C644" t="s">
        <v>21</v>
      </c>
      <c r="D644">
        <v>0</v>
      </c>
      <c r="E644">
        <v>12</v>
      </c>
      <c r="F644">
        <v>12</v>
      </c>
    </row>
    <row r="645" spans="1:6" x14ac:dyDescent="0.2">
      <c r="A645" t="str">
        <f t="shared" si="10"/>
        <v>Catherine12</v>
      </c>
      <c r="B645">
        <v>3</v>
      </c>
      <c r="C645" t="s">
        <v>69</v>
      </c>
      <c r="D645">
        <v>0</v>
      </c>
      <c r="E645">
        <v>8</v>
      </c>
      <c r="F645">
        <v>12</v>
      </c>
    </row>
    <row r="646" spans="1:6" x14ac:dyDescent="0.2">
      <c r="A646" t="str">
        <f t="shared" si="10"/>
        <v>Gibouille12</v>
      </c>
      <c r="B646">
        <v>4</v>
      </c>
      <c r="C646" t="s">
        <v>509</v>
      </c>
      <c r="D646">
        <v>0</v>
      </c>
      <c r="E646">
        <v>4</v>
      </c>
      <c r="F646">
        <v>12</v>
      </c>
    </row>
    <row r="647" spans="1:6" x14ac:dyDescent="0.2">
      <c r="A647" t="str">
        <f t="shared" si="10"/>
        <v>Comment212</v>
      </c>
      <c r="B647">
        <v>5</v>
      </c>
      <c r="C647" t="s">
        <v>76</v>
      </c>
      <c r="D647">
        <v>0</v>
      </c>
      <c r="E647">
        <v>2</v>
      </c>
      <c r="F647">
        <v>12</v>
      </c>
    </row>
    <row r="648" spans="1:6" x14ac:dyDescent="0.2">
      <c r="A648" t="str">
        <f t="shared" si="10"/>
        <v>Djecus12</v>
      </c>
      <c r="B648">
        <v>6</v>
      </c>
      <c r="C648" t="s">
        <v>461</v>
      </c>
      <c r="D648">
        <v>0</v>
      </c>
      <c r="E648">
        <v>1</v>
      </c>
      <c r="F648">
        <v>12</v>
      </c>
    </row>
    <row r="649" spans="1:6" x14ac:dyDescent="0.2">
      <c r="A649" t="str">
        <f t="shared" si="10"/>
        <v>La Bavure12</v>
      </c>
      <c r="B649">
        <v>1</v>
      </c>
      <c r="C649" t="s">
        <v>475</v>
      </c>
      <c r="D649">
        <v>4</v>
      </c>
      <c r="E649">
        <v>16</v>
      </c>
      <c r="F649">
        <v>12</v>
      </c>
    </row>
    <row r="650" spans="1:6" x14ac:dyDescent="0.2">
      <c r="A650" t="str">
        <f t="shared" si="10"/>
        <v>Ripolin12</v>
      </c>
      <c r="B650">
        <v>2</v>
      </c>
      <c r="C650" t="s">
        <v>65</v>
      </c>
      <c r="D650">
        <v>1</v>
      </c>
      <c r="E650">
        <v>12</v>
      </c>
      <c r="F650">
        <v>12</v>
      </c>
    </row>
    <row r="651" spans="1:6" x14ac:dyDescent="0.2">
      <c r="A651" t="str">
        <f t="shared" si="10"/>
        <v>Freddie12</v>
      </c>
      <c r="B651">
        <v>3</v>
      </c>
      <c r="C651" t="s">
        <v>525</v>
      </c>
      <c r="D651">
        <v>0</v>
      </c>
      <c r="E651">
        <v>8</v>
      </c>
      <c r="F651">
        <v>12</v>
      </c>
    </row>
    <row r="652" spans="1:6" x14ac:dyDescent="0.2">
      <c r="A652" t="str">
        <f t="shared" si="10"/>
        <v>Kheops12</v>
      </c>
      <c r="B652">
        <v>4</v>
      </c>
      <c r="C652" t="s">
        <v>500</v>
      </c>
      <c r="D652">
        <v>0</v>
      </c>
      <c r="E652">
        <v>4</v>
      </c>
      <c r="F652">
        <v>12</v>
      </c>
    </row>
    <row r="653" spans="1:6" x14ac:dyDescent="0.2">
      <c r="A653" t="str">
        <f t="shared" si="10"/>
        <v>K112</v>
      </c>
      <c r="B653">
        <v>5</v>
      </c>
      <c r="C653" t="s">
        <v>9</v>
      </c>
      <c r="D653">
        <v>0</v>
      </c>
      <c r="E653">
        <v>2</v>
      </c>
      <c r="F653">
        <v>12</v>
      </c>
    </row>
    <row r="654" spans="1:6" x14ac:dyDescent="0.2">
      <c r="A654" t="str">
        <f t="shared" si="10"/>
        <v>The Hengover12</v>
      </c>
      <c r="B654">
        <v>6</v>
      </c>
      <c r="C654" t="s">
        <v>452</v>
      </c>
      <c r="D654">
        <v>0</v>
      </c>
      <c r="E654">
        <v>1</v>
      </c>
      <c r="F654">
        <v>12</v>
      </c>
    </row>
    <row r="655" spans="1:6" x14ac:dyDescent="0.2">
      <c r="A655" t="str">
        <f t="shared" si="10"/>
        <v>Michelbey13</v>
      </c>
      <c r="B655">
        <v>1</v>
      </c>
      <c r="C655" t="s">
        <v>75</v>
      </c>
      <c r="D655">
        <v>3</v>
      </c>
      <c r="E655">
        <v>16</v>
      </c>
      <c r="F655">
        <v>13</v>
      </c>
    </row>
    <row r="656" spans="1:6" x14ac:dyDescent="0.2">
      <c r="A656" t="str">
        <f t="shared" si="10"/>
        <v>Thibaultp7513</v>
      </c>
      <c r="B656">
        <v>2</v>
      </c>
      <c r="C656" t="s">
        <v>345</v>
      </c>
      <c r="D656">
        <v>1</v>
      </c>
      <c r="E656">
        <v>12</v>
      </c>
      <c r="F656">
        <v>13</v>
      </c>
    </row>
    <row r="657" spans="1:6" x14ac:dyDescent="0.2">
      <c r="A657" t="str">
        <f t="shared" si="10"/>
        <v>JC13</v>
      </c>
      <c r="B657">
        <v>3</v>
      </c>
      <c r="C657" t="s">
        <v>534</v>
      </c>
      <c r="D657">
        <v>1</v>
      </c>
      <c r="E657">
        <v>8</v>
      </c>
      <c r="F657">
        <v>13</v>
      </c>
    </row>
    <row r="658" spans="1:6" x14ac:dyDescent="0.2">
      <c r="A658" t="str">
        <f t="shared" si="10"/>
        <v>PatB13</v>
      </c>
      <c r="B658">
        <v>4</v>
      </c>
      <c r="C658" t="s">
        <v>74</v>
      </c>
      <c r="D658">
        <v>0</v>
      </c>
      <c r="E658">
        <v>4</v>
      </c>
      <c r="F658">
        <v>13</v>
      </c>
    </row>
    <row r="659" spans="1:6" x14ac:dyDescent="0.2">
      <c r="A659" t="str">
        <f t="shared" si="10"/>
        <v>Tenko13</v>
      </c>
      <c r="B659">
        <v>5</v>
      </c>
      <c r="C659" t="s">
        <v>516</v>
      </c>
      <c r="D659">
        <v>0</v>
      </c>
      <c r="E659">
        <v>2</v>
      </c>
      <c r="F659">
        <v>13</v>
      </c>
    </row>
    <row r="660" spans="1:6" x14ac:dyDescent="0.2">
      <c r="A660" t="str">
        <f t="shared" si="10"/>
        <v>K113</v>
      </c>
      <c r="B660">
        <v>6</v>
      </c>
      <c r="C660" t="s">
        <v>9</v>
      </c>
      <c r="D660">
        <v>0</v>
      </c>
      <c r="E660">
        <v>1</v>
      </c>
      <c r="F660">
        <v>13</v>
      </c>
    </row>
    <row r="661" spans="1:6" x14ac:dyDescent="0.2">
      <c r="A661" t="str">
        <f t="shared" si="10"/>
        <v>Just4fun13</v>
      </c>
      <c r="B661">
        <v>1</v>
      </c>
      <c r="C661" t="s">
        <v>527</v>
      </c>
      <c r="D661">
        <v>3</v>
      </c>
      <c r="E661">
        <v>16</v>
      </c>
      <c r="F661">
        <v>13</v>
      </c>
    </row>
    <row r="662" spans="1:6" x14ac:dyDescent="0.2">
      <c r="A662" t="str">
        <f t="shared" si="10"/>
        <v>JeanMichelTiming13</v>
      </c>
      <c r="B662">
        <v>2</v>
      </c>
      <c r="C662" t="s">
        <v>35</v>
      </c>
      <c r="D662">
        <v>2</v>
      </c>
      <c r="E662">
        <v>12</v>
      </c>
      <c r="F662">
        <v>13</v>
      </c>
    </row>
    <row r="663" spans="1:6" x14ac:dyDescent="0.2">
      <c r="A663" t="str">
        <f t="shared" si="10"/>
        <v>Salender13</v>
      </c>
      <c r="B663">
        <v>3</v>
      </c>
      <c r="C663" t="s">
        <v>479</v>
      </c>
      <c r="D663">
        <v>0</v>
      </c>
      <c r="E663">
        <v>8</v>
      </c>
      <c r="F663">
        <v>13</v>
      </c>
    </row>
    <row r="664" spans="1:6" x14ac:dyDescent="0.2">
      <c r="A664" t="str">
        <f t="shared" si="10"/>
        <v>Yarael13</v>
      </c>
      <c r="B664">
        <v>4</v>
      </c>
      <c r="C664" t="s">
        <v>88</v>
      </c>
      <c r="D664">
        <v>0</v>
      </c>
      <c r="E664">
        <v>4</v>
      </c>
      <c r="F664">
        <v>13</v>
      </c>
    </row>
    <row r="665" spans="1:6" x14ac:dyDescent="0.2">
      <c r="A665" t="str">
        <f t="shared" si="10"/>
        <v>Jérôme13</v>
      </c>
      <c r="B665">
        <v>5</v>
      </c>
      <c r="C665" t="s">
        <v>46</v>
      </c>
      <c r="D665">
        <v>0</v>
      </c>
      <c r="E665">
        <v>2</v>
      </c>
      <c r="F665">
        <v>13</v>
      </c>
    </row>
    <row r="666" spans="1:6" x14ac:dyDescent="0.2">
      <c r="A666" t="str">
        <f t="shared" si="10"/>
        <v>Losogre13</v>
      </c>
      <c r="B666">
        <v>6</v>
      </c>
      <c r="C666" t="s">
        <v>507</v>
      </c>
      <c r="D666">
        <v>0</v>
      </c>
      <c r="E666">
        <v>1</v>
      </c>
      <c r="F666">
        <v>13</v>
      </c>
    </row>
    <row r="667" spans="1:6" x14ac:dyDescent="0.2">
      <c r="A667" t="str">
        <f t="shared" si="10"/>
        <v>TheRealWill13</v>
      </c>
      <c r="B667">
        <v>1</v>
      </c>
      <c r="C667" t="s">
        <v>535</v>
      </c>
      <c r="D667">
        <v>3</v>
      </c>
      <c r="E667">
        <v>16</v>
      </c>
      <c r="F667">
        <v>13</v>
      </c>
    </row>
    <row r="668" spans="1:6" x14ac:dyDescent="0.2">
      <c r="A668" t="str">
        <f t="shared" si="10"/>
        <v>Solucky13</v>
      </c>
      <c r="B668">
        <v>2</v>
      </c>
      <c r="C668" t="s">
        <v>485</v>
      </c>
      <c r="D668">
        <v>1</v>
      </c>
      <c r="E668">
        <v>12</v>
      </c>
      <c r="F668">
        <v>13</v>
      </c>
    </row>
    <row r="669" spans="1:6" x14ac:dyDescent="0.2">
      <c r="A669" t="str">
        <f t="shared" si="10"/>
        <v>Maxime K13</v>
      </c>
      <c r="B669">
        <v>3</v>
      </c>
      <c r="C669" t="s">
        <v>550</v>
      </c>
      <c r="D669">
        <v>0</v>
      </c>
      <c r="E669">
        <v>8</v>
      </c>
      <c r="F669">
        <v>13</v>
      </c>
    </row>
    <row r="670" spans="1:6" x14ac:dyDescent="0.2">
      <c r="A670" t="str">
        <f t="shared" si="10"/>
        <v>Lén@13</v>
      </c>
      <c r="B670">
        <v>4</v>
      </c>
      <c r="C670" t="s">
        <v>40</v>
      </c>
      <c r="D670">
        <v>1</v>
      </c>
      <c r="E670">
        <v>4</v>
      </c>
      <c r="F670">
        <v>13</v>
      </c>
    </row>
    <row r="671" spans="1:6" x14ac:dyDescent="0.2">
      <c r="A671" t="str">
        <f t="shared" si="10"/>
        <v>Xhar9213</v>
      </c>
      <c r="B671">
        <v>5</v>
      </c>
      <c r="C671" t="s">
        <v>519</v>
      </c>
      <c r="D671">
        <v>0</v>
      </c>
      <c r="E671">
        <v>2</v>
      </c>
      <c r="F671">
        <v>13</v>
      </c>
    </row>
    <row r="672" spans="1:6" x14ac:dyDescent="0.2">
      <c r="A672" t="str">
        <f t="shared" si="10"/>
        <v>Zubbaz13</v>
      </c>
      <c r="B672">
        <v>6</v>
      </c>
      <c r="C672" t="s">
        <v>506</v>
      </c>
      <c r="D672">
        <v>0</v>
      </c>
      <c r="E672">
        <v>1</v>
      </c>
      <c r="F672">
        <v>13</v>
      </c>
    </row>
    <row r="673" spans="1:6" x14ac:dyDescent="0.2">
      <c r="A673" t="str">
        <f t="shared" si="10"/>
        <v>Zizou13</v>
      </c>
      <c r="B673">
        <v>1</v>
      </c>
      <c r="C673" t="s">
        <v>504</v>
      </c>
      <c r="D673">
        <v>3</v>
      </c>
      <c r="E673">
        <v>16</v>
      </c>
      <c r="F673">
        <v>13</v>
      </c>
    </row>
    <row r="674" spans="1:6" x14ac:dyDescent="0.2">
      <c r="A674" t="str">
        <f t="shared" si="10"/>
        <v>Claudius13</v>
      </c>
      <c r="B674">
        <v>2</v>
      </c>
      <c r="C674" t="s">
        <v>25</v>
      </c>
      <c r="D674">
        <v>1</v>
      </c>
      <c r="E674">
        <v>12</v>
      </c>
      <c r="F674">
        <v>13</v>
      </c>
    </row>
    <row r="675" spans="1:6" x14ac:dyDescent="0.2">
      <c r="A675" t="str">
        <f t="shared" si="10"/>
        <v>Catherine13</v>
      </c>
      <c r="B675">
        <v>3</v>
      </c>
      <c r="C675" t="s">
        <v>69</v>
      </c>
      <c r="D675">
        <v>1</v>
      </c>
      <c r="E675">
        <v>8</v>
      </c>
      <c r="F675">
        <v>13</v>
      </c>
    </row>
    <row r="676" spans="1:6" x14ac:dyDescent="0.2">
      <c r="A676" t="str">
        <f t="shared" si="10"/>
        <v>Jaden13</v>
      </c>
      <c r="B676">
        <v>4</v>
      </c>
      <c r="C676" t="s">
        <v>521</v>
      </c>
      <c r="D676">
        <v>0</v>
      </c>
      <c r="E676">
        <v>4</v>
      </c>
      <c r="F676">
        <v>13</v>
      </c>
    </row>
    <row r="677" spans="1:6" x14ac:dyDescent="0.2">
      <c r="A677" t="str">
        <f t="shared" si="10"/>
        <v>Mandrake13</v>
      </c>
      <c r="B677">
        <v>5</v>
      </c>
      <c r="C677" t="s">
        <v>27</v>
      </c>
      <c r="D677">
        <v>0</v>
      </c>
      <c r="E677">
        <v>2</v>
      </c>
      <c r="F677">
        <v>13</v>
      </c>
    </row>
    <row r="678" spans="1:6" x14ac:dyDescent="0.2">
      <c r="A678" t="str">
        <f t="shared" si="10"/>
        <v>Fishtro13</v>
      </c>
      <c r="B678">
        <v>6</v>
      </c>
      <c r="C678" t="s">
        <v>512</v>
      </c>
      <c r="D678">
        <v>0</v>
      </c>
      <c r="E678">
        <v>1</v>
      </c>
      <c r="F678">
        <v>13</v>
      </c>
    </row>
    <row r="679" spans="1:6" x14ac:dyDescent="0.2">
      <c r="A679" t="str">
        <f t="shared" si="10"/>
        <v>Claptou13</v>
      </c>
      <c r="B679">
        <v>1</v>
      </c>
      <c r="C679" t="s">
        <v>42</v>
      </c>
      <c r="D679">
        <v>3</v>
      </c>
      <c r="E679">
        <v>17</v>
      </c>
      <c r="F679">
        <v>13</v>
      </c>
    </row>
    <row r="680" spans="1:6" x14ac:dyDescent="0.2">
      <c r="A680" t="str">
        <f t="shared" si="10"/>
        <v>Giobeck13</v>
      </c>
      <c r="B680">
        <v>2</v>
      </c>
      <c r="C680" t="s">
        <v>19</v>
      </c>
      <c r="D680">
        <v>0</v>
      </c>
      <c r="E680">
        <v>13</v>
      </c>
      <c r="F680">
        <v>13</v>
      </c>
    </row>
    <row r="681" spans="1:6" x14ac:dyDescent="0.2">
      <c r="A681" t="str">
        <f t="shared" si="10"/>
        <v>Rockatou13</v>
      </c>
      <c r="B681">
        <v>3</v>
      </c>
      <c r="C681" t="s">
        <v>493</v>
      </c>
      <c r="D681">
        <v>3</v>
      </c>
      <c r="E681">
        <v>9</v>
      </c>
      <c r="F681">
        <v>13</v>
      </c>
    </row>
    <row r="682" spans="1:6" x14ac:dyDescent="0.2">
      <c r="A682" t="str">
        <f t="shared" si="10"/>
        <v>Carmin13</v>
      </c>
      <c r="B682">
        <v>4</v>
      </c>
      <c r="C682" t="s">
        <v>21</v>
      </c>
      <c r="D682">
        <v>0</v>
      </c>
      <c r="E682">
        <v>5</v>
      </c>
      <c r="F682">
        <v>13</v>
      </c>
    </row>
    <row r="683" spans="1:6" x14ac:dyDescent="0.2">
      <c r="A683" t="str">
        <f t="shared" si="10"/>
        <v>Lizzie13</v>
      </c>
      <c r="B683">
        <v>5</v>
      </c>
      <c r="C683" t="s">
        <v>462</v>
      </c>
      <c r="D683">
        <v>0</v>
      </c>
      <c r="E683">
        <v>3</v>
      </c>
      <c r="F683">
        <v>13</v>
      </c>
    </row>
    <row r="684" spans="1:6" x14ac:dyDescent="0.2">
      <c r="A684" t="str">
        <f t="shared" si="10"/>
        <v>Freddie13</v>
      </c>
      <c r="B684">
        <v>6</v>
      </c>
      <c r="C684" t="s">
        <v>525</v>
      </c>
      <c r="D684">
        <v>0</v>
      </c>
      <c r="E684">
        <v>2</v>
      </c>
      <c r="F684">
        <v>13</v>
      </c>
    </row>
    <row r="685" spans="1:6" x14ac:dyDescent="0.2">
      <c r="A685" t="str">
        <f t="shared" si="10"/>
        <v>YooooDA13</v>
      </c>
      <c r="B685">
        <v>7</v>
      </c>
      <c r="C685" t="s">
        <v>59</v>
      </c>
      <c r="D685">
        <v>0</v>
      </c>
      <c r="E685">
        <v>1</v>
      </c>
      <c r="F685">
        <v>13</v>
      </c>
    </row>
    <row r="686" spans="1:6" x14ac:dyDescent="0.2">
      <c r="A686" t="str">
        <f t="shared" si="10"/>
        <v>Toinou13</v>
      </c>
      <c r="B686">
        <v>1</v>
      </c>
      <c r="C686" t="s">
        <v>531</v>
      </c>
      <c r="D686">
        <v>5</v>
      </c>
      <c r="E686">
        <v>16</v>
      </c>
      <c r="F686">
        <v>13</v>
      </c>
    </row>
    <row r="687" spans="1:6" x14ac:dyDescent="0.2">
      <c r="A687" t="str">
        <f t="shared" si="10"/>
        <v>Ad Vitam13</v>
      </c>
      <c r="B687">
        <v>2</v>
      </c>
      <c r="C687" t="s">
        <v>66</v>
      </c>
      <c r="D687">
        <v>0</v>
      </c>
      <c r="E687">
        <v>12</v>
      </c>
      <c r="F687">
        <v>13</v>
      </c>
    </row>
    <row r="688" spans="1:6" x14ac:dyDescent="0.2">
      <c r="A688" t="str">
        <f t="shared" si="10"/>
        <v>Ripolin13</v>
      </c>
      <c r="B688">
        <v>3</v>
      </c>
      <c r="C688" t="s">
        <v>65</v>
      </c>
      <c r="D688">
        <v>0</v>
      </c>
      <c r="E688">
        <v>8</v>
      </c>
      <c r="F688">
        <v>13</v>
      </c>
    </row>
    <row r="689" spans="1:6" x14ac:dyDescent="0.2">
      <c r="A689" t="str">
        <f t="shared" si="10"/>
        <v>Ramm13</v>
      </c>
      <c r="B689">
        <v>4</v>
      </c>
      <c r="C689" t="s">
        <v>14</v>
      </c>
      <c r="D689">
        <v>0</v>
      </c>
      <c r="E689">
        <v>4</v>
      </c>
      <c r="F689">
        <v>13</v>
      </c>
    </row>
    <row r="690" spans="1:6" x14ac:dyDescent="0.2">
      <c r="A690" t="str">
        <f t="shared" si="10"/>
        <v>Flem13</v>
      </c>
      <c r="B690">
        <v>5</v>
      </c>
      <c r="C690" t="s">
        <v>73</v>
      </c>
      <c r="D690">
        <v>0</v>
      </c>
      <c r="E690">
        <v>2</v>
      </c>
      <c r="F690">
        <v>13</v>
      </c>
    </row>
    <row r="691" spans="1:6" x14ac:dyDescent="0.2">
      <c r="A691" t="str">
        <f t="shared" si="10"/>
        <v>Comment213</v>
      </c>
      <c r="B691">
        <v>6</v>
      </c>
      <c r="C691" t="s">
        <v>76</v>
      </c>
      <c r="D691">
        <v>0</v>
      </c>
      <c r="E691">
        <v>1</v>
      </c>
      <c r="F691">
        <v>13</v>
      </c>
    </row>
    <row r="692" spans="1:6" x14ac:dyDescent="0.2">
      <c r="A692" t="str">
        <f t="shared" si="10"/>
        <v>Mams13</v>
      </c>
      <c r="B692">
        <v>1</v>
      </c>
      <c r="C692" t="s">
        <v>505</v>
      </c>
      <c r="D692">
        <v>1</v>
      </c>
      <c r="E692">
        <v>17</v>
      </c>
      <c r="F692">
        <v>13</v>
      </c>
    </row>
    <row r="693" spans="1:6" x14ac:dyDescent="0.2">
      <c r="A693" t="str">
        <f t="shared" si="10"/>
        <v>Flopynou13</v>
      </c>
      <c r="B693">
        <v>2</v>
      </c>
      <c r="C693" t="s">
        <v>530</v>
      </c>
      <c r="D693">
        <v>1</v>
      </c>
      <c r="E693">
        <v>13</v>
      </c>
      <c r="F693">
        <v>13</v>
      </c>
    </row>
    <row r="694" spans="1:6" x14ac:dyDescent="0.2">
      <c r="A694" t="str">
        <f t="shared" si="10"/>
        <v>Delgres13</v>
      </c>
      <c r="B694">
        <v>3</v>
      </c>
      <c r="C694" t="s">
        <v>280</v>
      </c>
      <c r="D694">
        <v>3</v>
      </c>
      <c r="E694">
        <v>9</v>
      </c>
      <c r="F694">
        <v>13</v>
      </c>
    </row>
    <row r="695" spans="1:6" x14ac:dyDescent="0.2">
      <c r="A695" t="str">
        <f t="shared" si="10"/>
        <v>Djecus13</v>
      </c>
      <c r="B695">
        <v>4</v>
      </c>
      <c r="C695" t="s">
        <v>461</v>
      </c>
      <c r="D695">
        <v>0</v>
      </c>
      <c r="E695">
        <v>5</v>
      </c>
      <c r="F695">
        <v>13</v>
      </c>
    </row>
    <row r="696" spans="1:6" x14ac:dyDescent="0.2">
      <c r="A696" t="str">
        <f t="shared" si="10"/>
        <v>Yaltar13</v>
      </c>
      <c r="B696">
        <v>5</v>
      </c>
      <c r="C696" t="s">
        <v>503</v>
      </c>
      <c r="D696">
        <v>1</v>
      </c>
      <c r="E696">
        <v>3</v>
      </c>
      <c r="F696">
        <v>13</v>
      </c>
    </row>
    <row r="697" spans="1:6" x14ac:dyDescent="0.2">
      <c r="A697" t="str">
        <f t="shared" si="10"/>
        <v>Pyja13</v>
      </c>
      <c r="B697">
        <v>6</v>
      </c>
      <c r="C697" t="s">
        <v>6</v>
      </c>
      <c r="D697">
        <v>0</v>
      </c>
      <c r="E697">
        <v>2</v>
      </c>
      <c r="F697">
        <v>13</v>
      </c>
    </row>
    <row r="698" spans="1:6" x14ac:dyDescent="0.2">
      <c r="A698" t="str">
        <f t="shared" si="10"/>
        <v>Gibouille13</v>
      </c>
      <c r="B698">
        <v>7</v>
      </c>
      <c r="C698" t="s">
        <v>509</v>
      </c>
      <c r="D698">
        <v>0</v>
      </c>
      <c r="E698">
        <v>1</v>
      </c>
      <c r="F698">
        <v>13</v>
      </c>
    </row>
    <row r="699" spans="1:6" x14ac:dyDescent="0.2">
      <c r="A699" t="str">
        <f t="shared" si="10"/>
        <v>Thibaultp7514</v>
      </c>
      <c r="B699">
        <v>1</v>
      </c>
      <c r="C699" t="s">
        <v>345</v>
      </c>
      <c r="D699">
        <v>4</v>
      </c>
      <c r="E699">
        <v>16</v>
      </c>
      <c r="F699">
        <v>14</v>
      </c>
    </row>
    <row r="700" spans="1:6" x14ac:dyDescent="0.2">
      <c r="A700" t="str">
        <f t="shared" si="10"/>
        <v>Claudius14</v>
      </c>
      <c r="B700">
        <v>2</v>
      </c>
      <c r="C700" t="s">
        <v>25</v>
      </c>
      <c r="D700">
        <v>0</v>
      </c>
      <c r="E700">
        <v>12</v>
      </c>
      <c r="F700">
        <v>14</v>
      </c>
    </row>
    <row r="701" spans="1:6" x14ac:dyDescent="0.2">
      <c r="A701" t="str">
        <f t="shared" si="10"/>
        <v>Empedocle14</v>
      </c>
      <c r="B701">
        <v>3</v>
      </c>
      <c r="C701" t="s">
        <v>81</v>
      </c>
      <c r="D701">
        <v>1</v>
      </c>
      <c r="E701">
        <v>8</v>
      </c>
      <c r="F701">
        <v>14</v>
      </c>
    </row>
    <row r="702" spans="1:6" x14ac:dyDescent="0.2">
      <c r="A702" t="str">
        <f t="shared" si="10"/>
        <v>Michelbey14</v>
      </c>
      <c r="B702">
        <v>4</v>
      </c>
      <c r="C702" t="s">
        <v>75</v>
      </c>
      <c r="D702">
        <v>0</v>
      </c>
      <c r="E702">
        <v>4</v>
      </c>
      <c r="F702">
        <v>14</v>
      </c>
    </row>
    <row r="703" spans="1:6" x14ac:dyDescent="0.2">
      <c r="A703" t="str">
        <f t="shared" si="10"/>
        <v>Proph@ne14</v>
      </c>
      <c r="B703">
        <v>5</v>
      </c>
      <c r="C703" t="s">
        <v>87</v>
      </c>
      <c r="D703">
        <v>0</v>
      </c>
      <c r="E703">
        <v>2</v>
      </c>
      <c r="F703">
        <v>14</v>
      </c>
    </row>
    <row r="704" spans="1:6" x14ac:dyDescent="0.2">
      <c r="A704" t="str">
        <f t="shared" si="10"/>
        <v>Lén@14</v>
      </c>
      <c r="B704">
        <v>6</v>
      </c>
      <c r="C704" t="s">
        <v>40</v>
      </c>
      <c r="D704">
        <v>0</v>
      </c>
      <c r="E704">
        <v>1</v>
      </c>
      <c r="F704">
        <v>14</v>
      </c>
    </row>
    <row r="705" spans="1:6" x14ac:dyDescent="0.2">
      <c r="A705" t="str">
        <f t="shared" si="10"/>
        <v>Flem14</v>
      </c>
      <c r="B705">
        <v>1</v>
      </c>
      <c r="C705" t="s">
        <v>73</v>
      </c>
      <c r="D705">
        <v>4</v>
      </c>
      <c r="E705">
        <v>16</v>
      </c>
      <c r="F705">
        <v>14</v>
      </c>
    </row>
    <row r="706" spans="1:6" x14ac:dyDescent="0.2">
      <c r="A706" t="str">
        <f t="shared" ref="A706:A769" si="11">C706&amp;F706</f>
        <v>Gibouille14</v>
      </c>
      <c r="B706">
        <v>2</v>
      </c>
      <c r="C706" t="s">
        <v>509</v>
      </c>
      <c r="D706">
        <v>1</v>
      </c>
      <c r="E706">
        <v>12</v>
      </c>
      <c r="F706">
        <v>14</v>
      </c>
    </row>
    <row r="707" spans="1:6" x14ac:dyDescent="0.2">
      <c r="A707" t="str">
        <f t="shared" si="11"/>
        <v>PatB14</v>
      </c>
      <c r="B707">
        <v>3</v>
      </c>
      <c r="C707" t="s">
        <v>74</v>
      </c>
      <c r="D707">
        <v>0</v>
      </c>
      <c r="E707">
        <v>8</v>
      </c>
      <c r="F707">
        <v>14</v>
      </c>
    </row>
    <row r="708" spans="1:6" x14ac:dyDescent="0.2">
      <c r="A708" t="str">
        <f t="shared" si="11"/>
        <v>Boosilletoo14</v>
      </c>
      <c r="B708">
        <v>4</v>
      </c>
      <c r="C708" t="s">
        <v>532</v>
      </c>
      <c r="D708">
        <v>0</v>
      </c>
      <c r="E708">
        <v>4</v>
      </c>
      <c r="F708">
        <v>14</v>
      </c>
    </row>
    <row r="709" spans="1:6" x14ac:dyDescent="0.2">
      <c r="A709" t="str">
        <f t="shared" si="11"/>
        <v>Algolf7514</v>
      </c>
      <c r="B709">
        <v>5</v>
      </c>
      <c r="C709" t="s">
        <v>536</v>
      </c>
      <c r="D709">
        <v>0</v>
      </c>
      <c r="E709">
        <v>2</v>
      </c>
      <c r="F709">
        <v>14</v>
      </c>
    </row>
    <row r="710" spans="1:6" x14ac:dyDescent="0.2">
      <c r="A710" t="str">
        <f t="shared" si="11"/>
        <v>Losogre14</v>
      </c>
      <c r="B710">
        <v>6</v>
      </c>
      <c r="C710" t="s">
        <v>507</v>
      </c>
      <c r="D710">
        <v>0</v>
      </c>
      <c r="E710">
        <v>1</v>
      </c>
      <c r="F710">
        <v>14</v>
      </c>
    </row>
    <row r="711" spans="1:6" x14ac:dyDescent="0.2">
      <c r="A711" t="str">
        <f t="shared" si="11"/>
        <v>Catherine14</v>
      </c>
      <c r="B711">
        <v>1</v>
      </c>
      <c r="C711" t="s">
        <v>69</v>
      </c>
      <c r="D711">
        <v>2</v>
      </c>
      <c r="E711">
        <v>17</v>
      </c>
      <c r="F711">
        <v>14</v>
      </c>
    </row>
    <row r="712" spans="1:6" x14ac:dyDescent="0.2">
      <c r="A712" t="str">
        <f t="shared" si="11"/>
        <v>Jérôme14</v>
      </c>
      <c r="B712">
        <v>2</v>
      </c>
      <c r="C712" t="s">
        <v>46</v>
      </c>
      <c r="D712">
        <v>2</v>
      </c>
      <c r="E712">
        <v>13</v>
      </c>
      <c r="F712">
        <v>14</v>
      </c>
    </row>
    <row r="713" spans="1:6" x14ac:dyDescent="0.2">
      <c r="A713" t="str">
        <f t="shared" si="11"/>
        <v>Kheops14</v>
      </c>
      <c r="B713">
        <v>3</v>
      </c>
      <c r="C713" t="s">
        <v>500</v>
      </c>
      <c r="D713">
        <v>1</v>
      </c>
      <c r="E713">
        <v>9</v>
      </c>
      <c r="F713">
        <v>14</v>
      </c>
    </row>
    <row r="714" spans="1:6" x14ac:dyDescent="0.2">
      <c r="A714" t="str">
        <f t="shared" si="11"/>
        <v>Rmarc14</v>
      </c>
      <c r="B714">
        <v>4</v>
      </c>
      <c r="C714" t="s">
        <v>508</v>
      </c>
      <c r="D714">
        <v>0</v>
      </c>
      <c r="E714">
        <v>5</v>
      </c>
      <c r="F714">
        <v>14</v>
      </c>
    </row>
    <row r="715" spans="1:6" x14ac:dyDescent="0.2">
      <c r="A715" t="str">
        <f t="shared" si="11"/>
        <v>MegaSouche14</v>
      </c>
      <c r="B715">
        <v>5</v>
      </c>
      <c r="C715" t="s">
        <v>476</v>
      </c>
      <c r="D715">
        <v>1</v>
      </c>
      <c r="E715">
        <v>3</v>
      </c>
      <c r="F715">
        <v>14</v>
      </c>
    </row>
    <row r="716" spans="1:6" x14ac:dyDescent="0.2">
      <c r="A716" t="str">
        <f t="shared" si="11"/>
        <v>Bounette14</v>
      </c>
      <c r="B716">
        <v>6</v>
      </c>
      <c r="C716" t="s">
        <v>55</v>
      </c>
      <c r="D716">
        <v>0</v>
      </c>
      <c r="E716">
        <v>2</v>
      </c>
      <c r="F716">
        <v>14</v>
      </c>
    </row>
    <row r="717" spans="1:6" x14ac:dyDescent="0.2">
      <c r="A717" t="str">
        <f t="shared" si="11"/>
        <v>Ripolin14</v>
      </c>
      <c r="B717">
        <v>7</v>
      </c>
      <c r="C717" t="s">
        <v>65</v>
      </c>
      <c r="D717">
        <v>0</v>
      </c>
      <c r="E717">
        <v>1</v>
      </c>
      <c r="F717">
        <v>14</v>
      </c>
    </row>
    <row r="718" spans="1:6" x14ac:dyDescent="0.2">
      <c r="A718" t="str">
        <f t="shared" si="11"/>
        <v>OlivierN9214</v>
      </c>
      <c r="B718">
        <v>1</v>
      </c>
      <c r="C718" t="s">
        <v>32</v>
      </c>
      <c r="D718">
        <v>4</v>
      </c>
      <c r="E718">
        <v>16</v>
      </c>
      <c r="F718">
        <v>14</v>
      </c>
    </row>
    <row r="719" spans="1:6" x14ac:dyDescent="0.2">
      <c r="A719" t="str">
        <f t="shared" si="11"/>
        <v>JC14</v>
      </c>
      <c r="B719">
        <v>2</v>
      </c>
      <c r="C719" t="s">
        <v>534</v>
      </c>
      <c r="D719">
        <v>1</v>
      </c>
      <c r="E719">
        <v>12</v>
      </c>
      <c r="F719">
        <v>14</v>
      </c>
    </row>
    <row r="720" spans="1:6" x14ac:dyDescent="0.2">
      <c r="A720" t="str">
        <f t="shared" si="11"/>
        <v>Ramm14</v>
      </c>
      <c r="B720">
        <v>3</v>
      </c>
      <c r="C720" t="s">
        <v>14</v>
      </c>
      <c r="D720">
        <v>0</v>
      </c>
      <c r="E720">
        <v>8</v>
      </c>
      <c r="F720">
        <v>14</v>
      </c>
    </row>
    <row r="721" spans="1:6" x14ac:dyDescent="0.2">
      <c r="A721" t="str">
        <f t="shared" si="11"/>
        <v>Solucky14</v>
      </c>
      <c r="B721">
        <v>4</v>
      </c>
      <c r="C721" t="s">
        <v>485</v>
      </c>
      <c r="D721">
        <v>0</v>
      </c>
      <c r="E721">
        <v>4</v>
      </c>
      <c r="F721">
        <v>14</v>
      </c>
    </row>
    <row r="722" spans="1:6" x14ac:dyDescent="0.2">
      <c r="A722" t="str">
        <f t="shared" si="11"/>
        <v>Jaden14</v>
      </c>
      <c r="B722">
        <v>5</v>
      </c>
      <c r="C722" t="s">
        <v>521</v>
      </c>
      <c r="D722">
        <v>0</v>
      </c>
      <c r="E722">
        <v>2</v>
      </c>
      <c r="F722">
        <v>14</v>
      </c>
    </row>
    <row r="723" spans="1:6" x14ac:dyDescent="0.2">
      <c r="A723" t="str">
        <f t="shared" si="11"/>
        <v>TheRealWill14</v>
      </c>
      <c r="B723">
        <v>6</v>
      </c>
      <c r="C723" t="s">
        <v>535</v>
      </c>
      <c r="D723">
        <v>0</v>
      </c>
      <c r="E723">
        <v>1</v>
      </c>
      <c r="F723">
        <v>14</v>
      </c>
    </row>
    <row r="724" spans="1:6" x14ac:dyDescent="0.2">
      <c r="A724" t="str">
        <f t="shared" si="11"/>
        <v>K114</v>
      </c>
      <c r="B724">
        <v>1</v>
      </c>
      <c r="C724" t="s">
        <v>9</v>
      </c>
      <c r="D724">
        <v>4</v>
      </c>
      <c r="E724">
        <v>17</v>
      </c>
      <c r="F724">
        <v>14</v>
      </c>
    </row>
    <row r="725" spans="1:6" x14ac:dyDescent="0.2">
      <c r="A725" t="str">
        <f t="shared" si="11"/>
        <v>ChrisFrankfurt14</v>
      </c>
      <c r="B725">
        <v>2</v>
      </c>
      <c r="C725" t="s">
        <v>101</v>
      </c>
      <c r="D725">
        <v>0</v>
      </c>
      <c r="E725">
        <v>13</v>
      </c>
      <c r="F725">
        <v>14</v>
      </c>
    </row>
    <row r="726" spans="1:6" x14ac:dyDescent="0.2">
      <c r="A726" t="str">
        <f t="shared" si="11"/>
        <v>Rockatou14</v>
      </c>
      <c r="B726">
        <v>3</v>
      </c>
      <c r="C726" t="s">
        <v>493</v>
      </c>
      <c r="D726">
        <v>2</v>
      </c>
      <c r="E726">
        <v>9</v>
      </c>
      <c r="F726">
        <v>14</v>
      </c>
    </row>
    <row r="727" spans="1:6" x14ac:dyDescent="0.2">
      <c r="A727" t="str">
        <f t="shared" si="11"/>
        <v>DernierPli14</v>
      </c>
      <c r="B727">
        <v>4</v>
      </c>
      <c r="C727" t="s">
        <v>490</v>
      </c>
      <c r="D727">
        <v>0</v>
      </c>
      <c r="E727">
        <v>5</v>
      </c>
      <c r="F727">
        <v>14</v>
      </c>
    </row>
    <row r="728" spans="1:6" x14ac:dyDescent="0.2">
      <c r="A728" t="str">
        <f t="shared" si="11"/>
        <v>Mams14</v>
      </c>
      <c r="B728">
        <v>5</v>
      </c>
      <c r="C728" t="s">
        <v>505</v>
      </c>
      <c r="D728">
        <v>0</v>
      </c>
      <c r="E728">
        <v>3</v>
      </c>
      <c r="F728">
        <v>14</v>
      </c>
    </row>
    <row r="729" spans="1:6" x14ac:dyDescent="0.2">
      <c r="A729" t="str">
        <f t="shared" si="11"/>
        <v>Flopynou14</v>
      </c>
      <c r="B729">
        <v>6</v>
      </c>
      <c r="C729" t="s">
        <v>530</v>
      </c>
      <c r="D729">
        <v>0</v>
      </c>
      <c r="E729">
        <v>2</v>
      </c>
      <c r="F729">
        <v>14</v>
      </c>
    </row>
    <row r="730" spans="1:6" x14ac:dyDescent="0.2">
      <c r="A730" t="str">
        <f t="shared" si="11"/>
        <v>LAAtof14</v>
      </c>
      <c r="B730">
        <v>7</v>
      </c>
      <c r="C730" t="s">
        <v>15</v>
      </c>
      <c r="D730">
        <v>0</v>
      </c>
      <c r="E730">
        <v>1</v>
      </c>
      <c r="F730">
        <v>14</v>
      </c>
    </row>
    <row r="731" spans="1:6" x14ac:dyDescent="0.2">
      <c r="A731" t="str">
        <f t="shared" si="11"/>
        <v>Pyja14</v>
      </c>
      <c r="B731">
        <v>1</v>
      </c>
      <c r="C731" t="s">
        <v>6</v>
      </c>
      <c r="D731">
        <v>2</v>
      </c>
      <c r="E731">
        <v>17</v>
      </c>
      <c r="F731">
        <v>14</v>
      </c>
    </row>
    <row r="732" spans="1:6" x14ac:dyDescent="0.2">
      <c r="A732" t="str">
        <f t="shared" si="11"/>
        <v>Djecus14</v>
      </c>
      <c r="B732">
        <v>2</v>
      </c>
      <c r="C732" t="s">
        <v>461</v>
      </c>
      <c r="D732">
        <v>3</v>
      </c>
      <c r="E732">
        <v>13</v>
      </c>
      <c r="F732">
        <v>14</v>
      </c>
    </row>
    <row r="733" spans="1:6" x14ac:dyDescent="0.2">
      <c r="A733" t="str">
        <f t="shared" si="11"/>
        <v>Claptou14</v>
      </c>
      <c r="B733">
        <v>3</v>
      </c>
      <c r="C733" t="s">
        <v>42</v>
      </c>
      <c r="D733">
        <v>0</v>
      </c>
      <c r="E733">
        <v>9</v>
      </c>
      <c r="F733">
        <v>14</v>
      </c>
    </row>
    <row r="734" spans="1:6" x14ac:dyDescent="0.2">
      <c r="A734" t="str">
        <f t="shared" si="11"/>
        <v>Fishtro14</v>
      </c>
      <c r="B734">
        <v>4</v>
      </c>
      <c r="C734" t="s">
        <v>512</v>
      </c>
      <c r="D734">
        <v>1</v>
      </c>
      <c r="E734">
        <v>5</v>
      </c>
      <c r="F734">
        <v>14</v>
      </c>
    </row>
    <row r="735" spans="1:6" x14ac:dyDescent="0.2">
      <c r="A735" t="str">
        <f t="shared" si="11"/>
        <v>Zizou14</v>
      </c>
      <c r="B735">
        <v>5</v>
      </c>
      <c r="C735" t="s">
        <v>504</v>
      </c>
      <c r="D735">
        <v>0</v>
      </c>
      <c r="E735">
        <v>3</v>
      </c>
      <c r="F735">
        <v>14</v>
      </c>
    </row>
    <row r="736" spans="1:6" x14ac:dyDescent="0.2">
      <c r="A736" t="str">
        <f t="shared" si="11"/>
        <v>Yaltar14</v>
      </c>
      <c r="B736">
        <v>6</v>
      </c>
      <c r="C736" t="s">
        <v>503</v>
      </c>
      <c r="D736">
        <v>0</v>
      </c>
      <c r="E736">
        <v>2</v>
      </c>
      <c r="F736">
        <v>14</v>
      </c>
    </row>
    <row r="737" spans="1:6" x14ac:dyDescent="0.2">
      <c r="A737" t="str">
        <f t="shared" si="11"/>
        <v>Mandrake14</v>
      </c>
      <c r="B737">
        <v>7</v>
      </c>
      <c r="C737" t="s">
        <v>27</v>
      </c>
      <c r="D737">
        <v>0</v>
      </c>
      <c r="E737">
        <v>1</v>
      </c>
      <c r="F737">
        <v>14</v>
      </c>
    </row>
    <row r="738" spans="1:6" x14ac:dyDescent="0.2">
      <c r="A738" t="str">
        <f t="shared" si="11"/>
        <v>The Hengover14</v>
      </c>
      <c r="B738">
        <v>1</v>
      </c>
      <c r="C738" t="s">
        <v>452</v>
      </c>
      <c r="D738">
        <v>3</v>
      </c>
      <c r="E738">
        <v>17</v>
      </c>
      <c r="F738">
        <v>14</v>
      </c>
    </row>
    <row r="739" spans="1:6" x14ac:dyDescent="0.2">
      <c r="A739" t="str">
        <f t="shared" si="11"/>
        <v>Giobeck14</v>
      </c>
      <c r="B739">
        <v>2</v>
      </c>
      <c r="C739" t="s">
        <v>19</v>
      </c>
      <c r="D739">
        <v>3</v>
      </c>
      <c r="E739">
        <v>13</v>
      </c>
      <c r="F739">
        <v>14</v>
      </c>
    </row>
    <row r="740" spans="1:6" x14ac:dyDescent="0.2">
      <c r="A740" t="str">
        <f t="shared" si="11"/>
        <v>JeanMichelTiming14</v>
      </c>
      <c r="B740">
        <v>3</v>
      </c>
      <c r="C740" t="s">
        <v>35</v>
      </c>
      <c r="D740">
        <v>0</v>
      </c>
      <c r="E740">
        <v>9</v>
      </c>
      <c r="F740">
        <v>14</v>
      </c>
    </row>
    <row r="741" spans="1:6" x14ac:dyDescent="0.2">
      <c r="A741" t="str">
        <f t="shared" si="11"/>
        <v>La Bavure14</v>
      </c>
      <c r="B741">
        <v>4</v>
      </c>
      <c r="C741" t="s">
        <v>475</v>
      </c>
      <c r="D741">
        <v>0</v>
      </c>
      <c r="E741">
        <v>5</v>
      </c>
      <c r="F741">
        <v>14</v>
      </c>
    </row>
    <row r="742" spans="1:6" x14ac:dyDescent="0.2">
      <c r="A742" t="str">
        <f t="shared" si="11"/>
        <v>Poisson Pilote14</v>
      </c>
      <c r="B742">
        <v>5</v>
      </c>
      <c r="C742" t="s">
        <v>501</v>
      </c>
      <c r="D742">
        <v>0</v>
      </c>
      <c r="E742">
        <v>3</v>
      </c>
      <c r="F742">
        <v>14</v>
      </c>
    </row>
    <row r="743" spans="1:6" x14ac:dyDescent="0.2">
      <c r="A743" t="str">
        <f t="shared" si="11"/>
        <v>Comment214</v>
      </c>
      <c r="B743">
        <v>6</v>
      </c>
      <c r="C743" t="s">
        <v>76</v>
      </c>
      <c r="D743">
        <v>0</v>
      </c>
      <c r="E743">
        <v>2</v>
      </c>
      <c r="F743">
        <v>14</v>
      </c>
    </row>
    <row r="744" spans="1:6" x14ac:dyDescent="0.2">
      <c r="A744" t="str">
        <f t="shared" si="11"/>
        <v>Soupaman14</v>
      </c>
      <c r="B744">
        <v>7</v>
      </c>
      <c r="C744" t="s">
        <v>518</v>
      </c>
      <c r="D744">
        <v>0</v>
      </c>
      <c r="E744">
        <v>1</v>
      </c>
      <c r="F744">
        <v>14</v>
      </c>
    </row>
    <row r="745" spans="1:6" x14ac:dyDescent="0.2">
      <c r="A745" t="str">
        <f t="shared" si="11"/>
        <v>Yaltar15</v>
      </c>
      <c r="B745">
        <v>1</v>
      </c>
      <c r="C745" t="s">
        <v>503</v>
      </c>
      <c r="D745">
        <v>1</v>
      </c>
      <c r="E745">
        <v>16</v>
      </c>
      <c r="F745">
        <v>15</v>
      </c>
    </row>
    <row r="746" spans="1:6" x14ac:dyDescent="0.2">
      <c r="A746" t="str">
        <f t="shared" si="11"/>
        <v>NoDoubt15</v>
      </c>
      <c r="B746">
        <v>2</v>
      </c>
      <c r="C746" t="s">
        <v>29</v>
      </c>
      <c r="D746">
        <v>2</v>
      </c>
      <c r="E746">
        <v>12</v>
      </c>
      <c r="F746">
        <v>15</v>
      </c>
    </row>
    <row r="747" spans="1:6" x14ac:dyDescent="0.2">
      <c r="A747" t="str">
        <f t="shared" si="11"/>
        <v>OlivierN9215</v>
      </c>
      <c r="B747">
        <v>3</v>
      </c>
      <c r="C747" t="s">
        <v>32</v>
      </c>
      <c r="D747">
        <v>1</v>
      </c>
      <c r="E747">
        <v>8</v>
      </c>
      <c r="F747">
        <v>15</v>
      </c>
    </row>
    <row r="748" spans="1:6" x14ac:dyDescent="0.2">
      <c r="A748" t="str">
        <f t="shared" si="11"/>
        <v>Chico15</v>
      </c>
      <c r="B748">
        <v>4</v>
      </c>
      <c r="C748" t="s">
        <v>515</v>
      </c>
      <c r="D748">
        <v>1</v>
      </c>
      <c r="E748">
        <v>4</v>
      </c>
      <c r="F748">
        <v>15</v>
      </c>
    </row>
    <row r="749" spans="1:6" x14ac:dyDescent="0.2">
      <c r="A749" t="str">
        <f t="shared" si="11"/>
        <v>Thibaultp7515</v>
      </c>
      <c r="B749">
        <v>5</v>
      </c>
      <c r="C749" t="s">
        <v>345</v>
      </c>
      <c r="D749">
        <v>0</v>
      </c>
      <c r="E749">
        <v>2</v>
      </c>
      <c r="F749">
        <v>15</v>
      </c>
    </row>
    <row r="750" spans="1:6" x14ac:dyDescent="0.2">
      <c r="A750" t="str">
        <f t="shared" si="11"/>
        <v>Ptit Savoyard15</v>
      </c>
      <c r="B750">
        <v>6</v>
      </c>
      <c r="C750" t="s">
        <v>33</v>
      </c>
      <c r="D750">
        <v>0</v>
      </c>
      <c r="E750">
        <v>1</v>
      </c>
      <c r="F750">
        <v>15</v>
      </c>
    </row>
    <row r="751" spans="1:6" x14ac:dyDescent="0.2">
      <c r="A751" t="str">
        <f t="shared" si="11"/>
        <v>La Bavure15</v>
      </c>
      <c r="B751">
        <v>1</v>
      </c>
      <c r="C751" t="s">
        <v>475</v>
      </c>
      <c r="D751">
        <v>3</v>
      </c>
      <c r="E751">
        <v>16</v>
      </c>
      <c r="F751">
        <v>15</v>
      </c>
    </row>
    <row r="752" spans="1:6" x14ac:dyDescent="0.2">
      <c r="A752" t="str">
        <f t="shared" si="11"/>
        <v>Catherine15</v>
      </c>
      <c r="B752">
        <v>2</v>
      </c>
      <c r="C752" t="s">
        <v>69</v>
      </c>
      <c r="D752">
        <v>2</v>
      </c>
      <c r="E752">
        <v>12</v>
      </c>
      <c r="F752">
        <v>15</v>
      </c>
    </row>
    <row r="753" spans="1:6" x14ac:dyDescent="0.2">
      <c r="A753" t="str">
        <f t="shared" si="11"/>
        <v>Rmarc15</v>
      </c>
      <c r="B753">
        <v>3</v>
      </c>
      <c r="C753" t="s">
        <v>508</v>
      </c>
      <c r="D753">
        <v>0</v>
      </c>
      <c r="E753">
        <v>8</v>
      </c>
      <c r="F753">
        <v>15</v>
      </c>
    </row>
    <row r="754" spans="1:6" x14ac:dyDescent="0.2">
      <c r="A754" t="str">
        <f t="shared" si="11"/>
        <v>Salender15</v>
      </c>
      <c r="B754">
        <v>4</v>
      </c>
      <c r="C754" t="s">
        <v>479</v>
      </c>
      <c r="D754">
        <v>0</v>
      </c>
      <c r="E754">
        <v>4</v>
      </c>
      <c r="F754">
        <v>15</v>
      </c>
    </row>
    <row r="755" spans="1:6" x14ac:dyDescent="0.2">
      <c r="A755" t="str">
        <f t="shared" si="11"/>
        <v>Xhar9215</v>
      </c>
      <c r="B755">
        <v>5</v>
      </c>
      <c r="C755" t="s">
        <v>519</v>
      </c>
      <c r="D755">
        <v>0</v>
      </c>
      <c r="E755">
        <v>2</v>
      </c>
      <c r="F755">
        <v>15</v>
      </c>
    </row>
    <row r="756" spans="1:6" x14ac:dyDescent="0.2">
      <c r="A756" t="str">
        <f t="shared" si="11"/>
        <v>Solucky15</v>
      </c>
      <c r="B756">
        <v>6</v>
      </c>
      <c r="C756" t="s">
        <v>485</v>
      </c>
      <c r="D756">
        <v>0</v>
      </c>
      <c r="E756">
        <v>1</v>
      </c>
      <c r="F756">
        <v>15</v>
      </c>
    </row>
    <row r="757" spans="1:6" x14ac:dyDescent="0.2">
      <c r="A757" t="str">
        <f t="shared" si="11"/>
        <v>Ouais ouais15</v>
      </c>
      <c r="B757">
        <v>1</v>
      </c>
      <c r="C757" t="s">
        <v>533</v>
      </c>
      <c r="D757">
        <v>3</v>
      </c>
      <c r="E757">
        <v>17</v>
      </c>
      <c r="F757">
        <v>15</v>
      </c>
    </row>
    <row r="758" spans="1:6" x14ac:dyDescent="0.2">
      <c r="A758" t="str">
        <f t="shared" si="11"/>
        <v>Bounette15</v>
      </c>
      <c r="B758">
        <v>2</v>
      </c>
      <c r="C758" t="s">
        <v>55</v>
      </c>
      <c r="D758">
        <v>0</v>
      </c>
      <c r="E758">
        <v>13</v>
      </c>
      <c r="F758">
        <v>15</v>
      </c>
    </row>
    <row r="759" spans="1:6" x14ac:dyDescent="0.2">
      <c r="A759" t="str">
        <f t="shared" si="11"/>
        <v>Giobeck15</v>
      </c>
      <c r="B759">
        <v>3</v>
      </c>
      <c r="C759" t="s">
        <v>19</v>
      </c>
      <c r="D759">
        <v>1</v>
      </c>
      <c r="E759">
        <v>9</v>
      </c>
      <c r="F759">
        <v>15</v>
      </c>
    </row>
    <row r="760" spans="1:6" x14ac:dyDescent="0.2">
      <c r="A760" t="str">
        <f t="shared" si="11"/>
        <v>Mandrake15</v>
      </c>
      <c r="B760">
        <v>4</v>
      </c>
      <c r="C760" t="s">
        <v>27</v>
      </c>
      <c r="D760">
        <v>1</v>
      </c>
      <c r="E760">
        <v>5</v>
      </c>
      <c r="F760">
        <v>15</v>
      </c>
    </row>
    <row r="761" spans="1:6" x14ac:dyDescent="0.2">
      <c r="A761" t="str">
        <f t="shared" si="11"/>
        <v>The Hengover15</v>
      </c>
      <c r="B761">
        <v>5</v>
      </c>
      <c r="C761" t="s">
        <v>452</v>
      </c>
      <c r="D761">
        <v>1</v>
      </c>
      <c r="E761">
        <v>3</v>
      </c>
      <c r="F761">
        <v>15</v>
      </c>
    </row>
    <row r="762" spans="1:6" x14ac:dyDescent="0.2">
      <c r="A762" t="str">
        <f t="shared" si="11"/>
        <v>Fishtro15</v>
      </c>
      <c r="B762">
        <v>6</v>
      </c>
      <c r="C762" t="s">
        <v>512</v>
      </c>
      <c r="D762">
        <v>0</v>
      </c>
      <c r="E762">
        <v>2</v>
      </c>
      <c r="F762">
        <v>15</v>
      </c>
    </row>
    <row r="763" spans="1:6" x14ac:dyDescent="0.2">
      <c r="A763" t="str">
        <f t="shared" si="11"/>
        <v>JeanMichelTiming15</v>
      </c>
      <c r="B763">
        <v>7</v>
      </c>
      <c r="C763" t="s">
        <v>35</v>
      </c>
      <c r="D763">
        <v>0</v>
      </c>
      <c r="E763">
        <v>1</v>
      </c>
      <c r="F763">
        <v>15</v>
      </c>
    </row>
    <row r="764" spans="1:6" x14ac:dyDescent="0.2">
      <c r="A764" t="str">
        <f t="shared" si="11"/>
        <v>Jérôme15</v>
      </c>
      <c r="B764">
        <v>1</v>
      </c>
      <c r="C764" t="s">
        <v>46</v>
      </c>
      <c r="D764">
        <v>2</v>
      </c>
      <c r="E764">
        <v>17</v>
      </c>
      <c r="F764">
        <v>15</v>
      </c>
    </row>
    <row r="765" spans="1:6" x14ac:dyDescent="0.2">
      <c r="A765" t="str">
        <f t="shared" si="11"/>
        <v>Kheops15</v>
      </c>
      <c r="B765">
        <v>2</v>
      </c>
      <c r="C765" t="s">
        <v>500</v>
      </c>
      <c r="D765">
        <v>1</v>
      </c>
      <c r="E765">
        <v>13</v>
      </c>
      <c r="F765">
        <v>15</v>
      </c>
    </row>
    <row r="766" spans="1:6" x14ac:dyDescent="0.2">
      <c r="A766" t="str">
        <f t="shared" si="11"/>
        <v>Delgres15</v>
      </c>
      <c r="B766">
        <v>3</v>
      </c>
      <c r="C766" t="s">
        <v>280</v>
      </c>
      <c r="D766">
        <v>1</v>
      </c>
      <c r="E766">
        <v>9</v>
      </c>
      <c r="F766">
        <v>15</v>
      </c>
    </row>
    <row r="767" spans="1:6" x14ac:dyDescent="0.2">
      <c r="A767" t="str">
        <f t="shared" si="11"/>
        <v>Soupaman15</v>
      </c>
      <c r="B767">
        <v>4</v>
      </c>
      <c r="C767" t="s">
        <v>518</v>
      </c>
      <c r="D767">
        <v>2</v>
      </c>
      <c r="E767">
        <v>5</v>
      </c>
      <c r="F767">
        <v>15</v>
      </c>
    </row>
    <row r="768" spans="1:6" x14ac:dyDescent="0.2">
      <c r="A768" t="str">
        <f t="shared" si="11"/>
        <v>Flem15</v>
      </c>
      <c r="B768">
        <v>5</v>
      </c>
      <c r="C768" t="s">
        <v>73</v>
      </c>
      <c r="D768">
        <v>0</v>
      </c>
      <c r="E768">
        <v>3</v>
      </c>
      <c r="F768">
        <v>15</v>
      </c>
    </row>
    <row r="769" spans="1:6" x14ac:dyDescent="0.2">
      <c r="A769" t="str">
        <f t="shared" si="11"/>
        <v>Yroz15</v>
      </c>
      <c r="B769">
        <v>6</v>
      </c>
      <c r="C769" t="s">
        <v>526</v>
      </c>
      <c r="D769">
        <v>0</v>
      </c>
      <c r="E769">
        <v>2</v>
      </c>
      <c r="F769">
        <v>15</v>
      </c>
    </row>
    <row r="770" spans="1:6" x14ac:dyDescent="0.2">
      <c r="A770" t="str">
        <f t="shared" ref="A770:A833" si="12">C770&amp;F770</f>
        <v>Losogre15</v>
      </c>
      <c r="B770">
        <v>7</v>
      </c>
      <c r="C770" t="s">
        <v>507</v>
      </c>
      <c r="D770">
        <v>0</v>
      </c>
      <c r="E770">
        <v>1</v>
      </c>
      <c r="F770">
        <v>15</v>
      </c>
    </row>
    <row r="771" spans="1:6" x14ac:dyDescent="0.2">
      <c r="A771" t="str">
        <f t="shared" si="12"/>
        <v>Djecus15</v>
      </c>
      <c r="B771">
        <v>1</v>
      </c>
      <c r="C771" t="s">
        <v>461</v>
      </c>
      <c r="D771">
        <v>3</v>
      </c>
      <c r="E771">
        <v>16</v>
      </c>
      <c r="F771">
        <v>15</v>
      </c>
    </row>
    <row r="772" spans="1:6" x14ac:dyDescent="0.2">
      <c r="A772" t="str">
        <f t="shared" si="12"/>
        <v>Rockatou15</v>
      </c>
      <c r="B772">
        <v>2</v>
      </c>
      <c r="C772" t="s">
        <v>493</v>
      </c>
      <c r="D772">
        <v>2</v>
      </c>
      <c r="E772">
        <v>12</v>
      </c>
      <c r="F772">
        <v>15</v>
      </c>
    </row>
    <row r="773" spans="1:6" x14ac:dyDescent="0.2">
      <c r="A773" t="str">
        <f t="shared" si="12"/>
        <v>JC15</v>
      </c>
      <c r="B773">
        <v>3</v>
      </c>
      <c r="C773" t="s">
        <v>534</v>
      </c>
      <c r="D773">
        <v>0</v>
      </c>
      <c r="E773">
        <v>8</v>
      </c>
      <c r="F773">
        <v>15</v>
      </c>
    </row>
    <row r="774" spans="1:6" x14ac:dyDescent="0.2">
      <c r="A774" t="str">
        <f t="shared" si="12"/>
        <v>Pyja15</v>
      </c>
      <c r="B774">
        <v>4</v>
      </c>
      <c r="C774" t="s">
        <v>6</v>
      </c>
      <c r="D774">
        <v>0</v>
      </c>
      <c r="E774">
        <v>4</v>
      </c>
      <c r="F774">
        <v>15</v>
      </c>
    </row>
    <row r="775" spans="1:6" x14ac:dyDescent="0.2">
      <c r="A775" t="str">
        <f t="shared" si="12"/>
        <v>Zizou15</v>
      </c>
      <c r="B775">
        <v>5</v>
      </c>
      <c r="C775" t="s">
        <v>504</v>
      </c>
      <c r="D775">
        <v>0</v>
      </c>
      <c r="E775">
        <v>2</v>
      </c>
      <c r="F775">
        <v>15</v>
      </c>
    </row>
    <row r="776" spans="1:6" x14ac:dyDescent="0.2">
      <c r="A776" t="str">
        <f t="shared" si="12"/>
        <v>Zubbaz15</v>
      </c>
      <c r="B776">
        <v>6</v>
      </c>
      <c r="C776" t="s">
        <v>506</v>
      </c>
      <c r="D776">
        <v>0</v>
      </c>
      <c r="E776">
        <v>1</v>
      </c>
      <c r="F776">
        <v>15</v>
      </c>
    </row>
    <row r="777" spans="1:6" x14ac:dyDescent="0.2">
      <c r="A777" t="str">
        <f t="shared" si="12"/>
        <v>Proph@ne15</v>
      </c>
      <c r="B777">
        <v>1</v>
      </c>
      <c r="C777" t="s">
        <v>87</v>
      </c>
      <c r="D777">
        <v>4</v>
      </c>
      <c r="E777">
        <v>16</v>
      </c>
      <c r="F777">
        <v>15</v>
      </c>
    </row>
    <row r="778" spans="1:6" x14ac:dyDescent="0.2">
      <c r="A778" t="str">
        <f t="shared" si="12"/>
        <v>Tenko15</v>
      </c>
      <c r="B778">
        <v>2</v>
      </c>
      <c r="C778" t="s">
        <v>516</v>
      </c>
      <c r="D778">
        <v>1</v>
      </c>
      <c r="E778">
        <v>12</v>
      </c>
      <c r="F778">
        <v>15</v>
      </c>
    </row>
    <row r="779" spans="1:6" x14ac:dyDescent="0.2">
      <c r="A779" t="str">
        <f t="shared" si="12"/>
        <v>DernierPli15</v>
      </c>
      <c r="B779">
        <v>3</v>
      </c>
      <c r="C779" t="s">
        <v>490</v>
      </c>
      <c r="D779">
        <v>0</v>
      </c>
      <c r="E779">
        <v>8</v>
      </c>
      <c r="F779">
        <v>15</v>
      </c>
    </row>
    <row r="780" spans="1:6" x14ac:dyDescent="0.2">
      <c r="A780" t="str">
        <f t="shared" si="12"/>
        <v>PatB15</v>
      </c>
      <c r="B780">
        <v>4</v>
      </c>
      <c r="C780" t="s">
        <v>74</v>
      </c>
      <c r="D780">
        <v>0</v>
      </c>
      <c r="E780">
        <v>4</v>
      </c>
      <c r="F780">
        <v>15</v>
      </c>
    </row>
    <row r="781" spans="1:6" x14ac:dyDescent="0.2">
      <c r="A781" t="str">
        <f t="shared" si="12"/>
        <v>LAAtof15</v>
      </c>
      <c r="B781">
        <v>5</v>
      </c>
      <c r="C781" t="s">
        <v>15</v>
      </c>
      <c r="D781">
        <v>0</v>
      </c>
      <c r="E781">
        <v>2</v>
      </c>
      <c r="F781">
        <v>15</v>
      </c>
    </row>
    <row r="782" spans="1:6" x14ac:dyDescent="0.2">
      <c r="A782" t="str">
        <f t="shared" si="12"/>
        <v>Freddie15</v>
      </c>
      <c r="B782">
        <v>6</v>
      </c>
      <c r="C782" t="s">
        <v>525</v>
      </c>
      <c r="D782">
        <v>0</v>
      </c>
      <c r="E782">
        <v>1</v>
      </c>
      <c r="F782">
        <v>15</v>
      </c>
    </row>
    <row r="783" spans="1:6" x14ac:dyDescent="0.2">
      <c r="A783" t="str">
        <f t="shared" si="12"/>
        <v>Claptou15</v>
      </c>
      <c r="B783">
        <v>1</v>
      </c>
      <c r="C783" t="s">
        <v>42</v>
      </c>
      <c r="D783">
        <v>0</v>
      </c>
      <c r="E783">
        <v>17</v>
      </c>
      <c r="F783">
        <v>15</v>
      </c>
    </row>
    <row r="784" spans="1:6" x14ac:dyDescent="0.2">
      <c r="A784" t="str">
        <f t="shared" si="12"/>
        <v>Claudius15</v>
      </c>
      <c r="B784">
        <v>2</v>
      </c>
      <c r="C784" t="s">
        <v>25</v>
      </c>
      <c r="D784">
        <v>3</v>
      </c>
      <c r="E784">
        <v>13</v>
      </c>
      <c r="F784">
        <v>15</v>
      </c>
    </row>
    <row r="785" spans="1:6" x14ac:dyDescent="0.2">
      <c r="A785" t="str">
        <f t="shared" si="12"/>
        <v>Mams15</v>
      </c>
      <c r="B785">
        <v>3</v>
      </c>
      <c r="C785" t="s">
        <v>505</v>
      </c>
      <c r="D785">
        <v>2</v>
      </c>
      <c r="E785">
        <v>9</v>
      </c>
      <c r="F785">
        <v>15</v>
      </c>
    </row>
    <row r="786" spans="1:6" x14ac:dyDescent="0.2">
      <c r="A786" t="str">
        <f t="shared" si="12"/>
        <v>Michelbey15</v>
      </c>
      <c r="B786">
        <v>4</v>
      </c>
      <c r="C786" t="s">
        <v>75</v>
      </c>
      <c r="D786">
        <v>1</v>
      </c>
      <c r="E786">
        <v>5</v>
      </c>
      <c r="F786">
        <v>15</v>
      </c>
    </row>
    <row r="787" spans="1:6" x14ac:dyDescent="0.2">
      <c r="A787" t="str">
        <f t="shared" si="12"/>
        <v>Kri-lin15</v>
      </c>
      <c r="B787">
        <v>5</v>
      </c>
      <c r="C787" t="s">
        <v>61</v>
      </c>
      <c r="D787">
        <v>0</v>
      </c>
      <c r="E787">
        <v>3</v>
      </c>
      <c r="F787">
        <v>15</v>
      </c>
    </row>
    <row r="788" spans="1:6" x14ac:dyDescent="0.2">
      <c r="A788" t="str">
        <f t="shared" si="12"/>
        <v>Gibbonfury15</v>
      </c>
      <c r="B788">
        <v>6</v>
      </c>
      <c r="C788" t="s">
        <v>454</v>
      </c>
      <c r="D788">
        <v>0</v>
      </c>
      <c r="E788">
        <v>2</v>
      </c>
      <c r="F788">
        <v>15</v>
      </c>
    </row>
    <row r="789" spans="1:6" x14ac:dyDescent="0.2">
      <c r="A789" t="str">
        <f t="shared" si="12"/>
        <v>K115</v>
      </c>
      <c r="B789">
        <v>7</v>
      </c>
      <c r="C789" t="s">
        <v>9</v>
      </c>
      <c r="D789">
        <v>0</v>
      </c>
      <c r="E789">
        <v>1</v>
      </c>
      <c r="F789">
        <v>15</v>
      </c>
    </row>
    <row r="790" spans="1:6" x14ac:dyDescent="0.2">
      <c r="A790" t="str">
        <f t="shared" si="12"/>
        <v>Ad Vitam15</v>
      </c>
      <c r="B790">
        <v>1</v>
      </c>
      <c r="C790" t="s">
        <v>66</v>
      </c>
      <c r="D790">
        <v>2</v>
      </c>
      <c r="E790">
        <v>16</v>
      </c>
      <c r="F790">
        <v>15</v>
      </c>
    </row>
    <row r="791" spans="1:6" x14ac:dyDescent="0.2">
      <c r="A791" t="str">
        <f t="shared" si="12"/>
        <v>Comment215</v>
      </c>
      <c r="B791">
        <v>2</v>
      </c>
      <c r="C791" t="s">
        <v>76</v>
      </c>
      <c r="D791">
        <v>3</v>
      </c>
      <c r="E791">
        <v>12</v>
      </c>
      <c r="F791">
        <v>15</v>
      </c>
    </row>
    <row r="792" spans="1:6" x14ac:dyDescent="0.2">
      <c r="A792" t="str">
        <f t="shared" si="12"/>
        <v>Carmin15</v>
      </c>
      <c r="B792">
        <v>3</v>
      </c>
      <c r="C792" t="s">
        <v>21</v>
      </c>
      <c r="D792">
        <v>0</v>
      </c>
      <c r="E792">
        <v>8</v>
      </c>
      <c r="F792">
        <v>15</v>
      </c>
    </row>
    <row r="793" spans="1:6" x14ac:dyDescent="0.2">
      <c r="A793" t="str">
        <f t="shared" si="12"/>
        <v>Gibouille15</v>
      </c>
      <c r="B793">
        <v>4</v>
      </c>
      <c r="C793" t="s">
        <v>509</v>
      </c>
      <c r="D793">
        <v>0</v>
      </c>
      <c r="E793">
        <v>4</v>
      </c>
      <c r="F793">
        <v>15</v>
      </c>
    </row>
    <row r="794" spans="1:6" x14ac:dyDescent="0.2">
      <c r="A794" t="str">
        <f t="shared" si="12"/>
        <v>Flopynou15</v>
      </c>
      <c r="B794">
        <v>5</v>
      </c>
      <c r="C794" t="s">
        <v>530</v>
      </c>
      <c r="D794">
        <v>0</v>
      </c>
      <c r="E794">
        <v>2</v>
      </c>
      <c r="F794">
        <v>15</v>
      </c>
    </row>
    <row r="795" spans="1:6" x14ac:dyDescent="0.2">
      <c r="A795" t="str">
        <f t="shared" si="12"/>
        <v>ChrisFrankfurt15</v>
      </c>
      <c r="B795">
        <v>6</v>
      </c>
      <c r="C795" t="s">
        <v>101</v>
      </c>
      <c r="D795">
        <v>0</v>
      </c>
      <c r="E795">
        <v>1</v>
      </c>
      <c r="F795">
        <v>15</v>
      </c>
    </row>
    <row r="796" spans="1:6" x14ac:dyDescent="0.2">
      <c r="A796" t="str">
        <f t="shared" si="12"/>
        <v>Guerno16</v>
      </c>
      <c r="B796">
        <v>1</v>
      </c>
      <c r="C796" t="s">
        <v>484</v>
      </c>
      <c r="D796">
        <v>2</v>
      </c>
      <c r="E796">
        <v>17</v>
      </c>
      <c r="F796">
        <v>16</v>
      </c>
    </row>
    <row r="797" spans="1:6" x14ac:dyDescent="0.2">
      <c r="A797" t="str">
        <f t="shared" si="12"/>
        <v>Oldex16</v>
      </c>
      <c r="B797">
        <v>2</v>
      </c>
      <c r="C797" t="s">
        <v>463</v>
      </c>
      <c r="D797">
        <v>3</v>
      </c>
      <c r="E797">
        <v>13</v>
      </c>
      <c r="F797">
        <v>16</v>
      </c>
    </row>
    <row r="798" spans="1:6" x14ac:dyDescent="0.2">
      <c r="A798" t="str">
        <f t="shared" si="12"/>
        <v>DernierPli16</v>
      </c>
      <c r="B798">
        <v>3</v>
      </c>
      <c r="C798" t="s">
        <v>490</v>
      </c>
      <c r="D798">
        <v>0</v>
      </c>
      <c r="E798">
        <v>9</v>
      </c>
      <c r="F798">
        <v>16</v>
      </c>
    </row>
    <row r="799" spans="1:6" x14ac:dyDescent="0.2">
      <c r="A799" t="str">
        <f t="shared" si="12"/>
        <v>Flem16</v>
      </c>
      <c r="B799">
        <v>4</v>
      </c>
      <c r="C799" t="s">
        <v>73</v>
      </c>
      <c r="D799">
        <v>1</v>
      </c>
      <c r="E799">
        <v>5</v>
      </c>
      <c r="F799">
        <v>16</v>
      </c>
    </row>
    <row r="800" spans="1:6" x14ac:dyDescent="0.2">
      <c r="A800" t="str">
        <f t="shared" si="12"/>
        <v>Zizou16</v>
      </c>
      <c r="B800">
        <v>5</v>
      </c>
      <c r="C800" t="s">
        <v>504</v>
      </c>
      <c r="D800">
        <v>0</v>
      </c>
      <c r="E800">
        <v>3</v>
      </c>
      <c r="F800">
        <v>16</v>
      </c>
    </row>
    <row r="801" spans="1:6" x14ac:dyDescent="0.2">
      <c r="A801" t="str">
        <f t="shared" si="12"/>
        <v>K116</v>
      </c>
      <c r="B801">
        <v>6</v>
      </c>
      <c r="C801" t="s">
        <v>9</v>
      </c>
      <c r="D801">
        <v>0</v>
      </c>
      <c r="E801">
        <v>2</v>
      </c>
      <c r="F801">
        <v>16</v>
      </c>
    </row>
    <row r="802" spans="1:6" x14ac:dyDescent="0.2">
      <c r="A802" t="str">
        <f t="shared" si="12"/>
        <v>Ptit Savoyard16</v>
      </c>
      <c r="B802">
        <v>7</v>
      </c>
      <c r="C802" t="s">
        <v>33</v>
      </c>
      <c r="D802">
        <v>0</v>
      </c>
      <c r="E802">
        <v>1</v>
      </c>
      <c r="F802">
        <v>16</v>
      </c>
    </row>
    <row r="803" spans="1:6" x14ac:dyDescent="0.2">
      <c r="A803" t="str">
        <f t="shared" si="12"/>
        <v>Djecus16</v>
      </c>
      <c r="B803">
        <v>1</v>
      </c>
      <c r="C803" t="s">
        <v>461</v>
      </c>
      <c r="D803">
        <v>2</v>
      </c>
      <c r="E803">
        <v>17</v>
      </c>
      <c r="F803">
        <v>16</v>
      </c>
    </row>
    <row r="804" spans="1:6" x14ac:dyDescent="0.2">
      <c r="A804" t="str">
        <f t="shared" si="12"/>
        <v>Xhar9216</v>
      </c>
      <c r="B804">
        <v>2</v>
      </c>
      <c r="C804" t="s">
        <v>519</v>
      </c>
      <c r="D804">
        <v>0</v>
      </c>
      <c r="E804">
        <v>13</v>
      </c>
      <c r="F804">
        <v>16</v>
      </c>
    </row>
    <row r="805" spans="1:6" x14ac:dyDescent="0.2">
      <c r="A805" t="str">
        <f t="shared" si="12"/>
        <v>Rockatou16</v>
      </c>
      <c r="B805">
        <v>3</v>
      </c>
      <c r="C805" t="s">
        <v>493</v>
      </c>
      <c r="D805">
        <v>4</v>
      </c>
      <c r="E805">
        <v>9</v>
      </c>
      <c r="F805">
        <v>16</v>
      </c>
    </row>
    <row r="806" spans="1:6" x14ac:dyDescent="0.2">
      <c r="A806" t="str">
        <f t="shared" si="12"/>
        <v>Empedocle16</v>
      </c>
      <c r="B806">
        <v>4</v>
      </c>
      <c r="C806" t="s">
        <v>81</v>
      </c>
      <c r="D806">
        <v>0</v>
      </c>
      <c r="E806">
        <v>5</v>
      </c>
      <c r="F806">
        <v>16</v>
      </c>
    </row>
    <row r="807" spans="1:6" x14ac:dyDescent="0.2">
      <c r="A807" t="str">
        <f t="shared" si="12"/>
        <v>Soupaman16</v>
      </c>
      <c r="B807">
        <v>5</v>
      </c>
      <c r="C807" t="s">
        <v>518</v>
      </c>
      <c r="D807">
        <v>0</v>
      </c>
      <c r="E807">
        <v>3</v>
      </c>
      <c r="F807">
        <v>16</v>
      </c>
    </row>
    <row r="808" spans="1:6" x14ac:dyDescent="0.2">
      <c r="A808" t="str">
        <f t="shared" si="12"/>
        <v>Catherine16</v>
      </c>
      <c r="B808">
        <v>6</v>
      </c>
      <c r="C808" t="s">
        <v>69</v>
      </c>
      <c r="D808">
        <v>0</v>
      </c>
      <c r="E808">
        <v>2</v>
      </c>
      <c r="F808">
        <v>16</v>
      </c>
    </row>
    <row r="809" spans="1:6" x14ac:dyDescent="0.2">
      <c r="A809" t="str">
        <f t="shared" si="12"/>
        <v>Solucky16</v>
      </c>
      <c r="B809">
        <v>7</v>
      </c>
      <c r="C809" t="s">
        <v>485</v>
      </c>
      <c r="D809">
        <v>0</v>
      </c>
      <c r="E809">
        <v>1</v>
      </c>
      <c r="F809">
        <v>16</v>
      </c>
    </row>
    <row r="810" spans="1:6" x14ac:dyDescent="0.2">
      <c r="A810" t="str">
        <f t="shared" si="12"/>
        <v>Jérôme16</v>
      </c>
      <c r="B810">
        <v>1</v>
      </c>
      <c r="C810" t="s">
        <v>46</v>
      </c>
      <c r="D810">
        <v>3</v>
      </c>
      <c r="E810">
        <v>17</v>
      </c>
      <c r="F810">
        <v>16</v>
      </c>
    </row>
    <row r="811" spans="1:6" x14ac:dyDescent="0.2">
      <c r="A811" t="str">
        <f t="shared" si="12"/>
        <v>Gibouille16</v>
      </c>
      <c r="B811">
        <v>2</v>
      </c>
      <c r="C811" t="s">
        <v>509</v>
      </c>
      <c r="D811">
        <v>2</v>
      </c>
      <c r="E811">
        <v>13</v>
      </c>
      <c r="F811">
        <v>16</v>
      </c>
    </row>
    <row r="812" spans="1:6" x14ac:dyDescent="0.2">
      <c r="A812" t="str">
        <f t="shared" si="12"/>
        <v>Yroz16</v>
      </c>
      <c r="B812">
        <v>3</v>
      </c>
      <c r="C812" t="s">
        <v>526</v>
      </c>
      <c r="D812">
        <v>1</v>
      </c>
      <c r="E812">
        <v>9</v>
      </c>
      <c r="F812">
        <v>16</v>
      </c>
    </row>
    <row r="813" spans="1:6" x14ac:dyDescent="0.2">
      <c r="A813" t="str">
        <f t="shared" si="12"/>
        <v>Claptou16</v>
      </c>
      <c r="B813">
        <v>4</v>
      </c>
      <c r="C813" t="s">
        <v>42</v>
      </c>
      <c r="D813">
        <v>0</v>
      </c>
      <c r="E813">
        <v>5</v>
      </c>
      <c r="F813">
        <v>16</v>
      </c>
    </row>
    <row r="814" spans="1:6" x14ac:dyDescent="0.2">
      <c r="A814" t="str">
        <f t="shared" si="12"/>
        <v>LAAtof16</v>
      </c>
      <c r="B814">
        <v>5</v>
      </c>
      <c r="C814" t="s">
        <v>15</v>
      </c>
      <c r="D814">
        <v>0</v>
      </c>
      <c r="E814">
        <v>3</v>
      </c>
      <c r="F814">
        <v>16</v>
      </c>
    </row>
    <row r="815" spans="1:6" x14ac:dyDescent="0.2">
      <c r="A815" t="str">
        <f t="shared" si="12"/>
        <v>JC16</v>
      </c>
      <c r="B815">
        <v>6</v>
      </c>
      <c r="C815" t="s">
        <v>534</v>
      </c>
      <c r="D815">
        <v>0</v>
      </c>
      <c r="E815">
        <v>2</v>
      </c>
      <c r="F815">
        <v>16</v>
      </c>
    </row>
    <row r="816" spans="1:6" x14ac:dyDescent="0.2">
      <c r="A816" t="str">
        <f t="shared" si="12"/>
        <v>Pyja16</v>
      </c>
      <c r="B816">
        <v>7</v>
      </c>
      <c r="C816" t="s">
        <v>6</v>
      </c>
      <c r="D816">
        <v>0</v>
      </c>
      <c r="E816">
        <v>1</v>
      </c>
      <c r="F816">
        <v>16</v>
      </c>
    </row>
    <row r="817" spans="1:6" x14ac:dyDescent="0.2">
      <c r="A817" t="str">
        <f t="shared" si="12"/>
        <v>Sobab16</v>
      </c>
      <c r="B817">
        <v>1</v>
      </c>
      <c r="C817" t="s">
        <v>502</v>
      </c>
      <c r="D817">
        <v>3</v>
      </c>
      <c r="E817">
        <v>17</v>
      </c>
      <c r="F817">
        <v>16</v>
      </c>
    </row>
    <row r="818" spans="1:6" x14ac:dyDescent="0.2">
      <c r="A818" t="str">
        <f t="shared" si="12"/>
        <v>Bounette16</v>
      </c>
      <c r="B818">
        <v>2</v>
      </c>
      <c r="C818" t="s">
        <v>55</v>
      </c>
      <c r="D818">
        <v>3</v>
      </c>
      <c r="E818">
        <v>13</v>
      </c>
      <c r="F818">
        <v>16</v>
      </c>
    </row>
    <row r="819" spans="1:6" x14ac:dyDescent="0.2">
      <c r="A819" t="str">
        <f t="shared" si="12"/>
        <v>Ramm16</v>
      </c>
      <c r="B819">
        <v>3</v>
      </c>
      <c r="C819" t="s">
        <v>14</v>
      </c>
      <c r="D819">
        <v>0</v>
      </c>
      <c r="E819">
        <v>9</v>
      </c>
      <c r="F819">
        <v>16</v>
      </c>
    </row>
    <row r="820" spans="1:6" x14ac:dyDescent="0.2">
      <c r="A820" t="str">
        <f t="shared" si="12"/>
        <v>Losogre16</v>
      </c>
      <c r="B820">
        <v>4</v>
      </c>
      <c r="C820" t="s">
        <v>507</v>
      </c>
      <c r="D820">
        <v>0</v>
      </c>
      <c r="E820">
        <v>5</v>
      </c>
      <c r="F820">
        <v>16</v>
      </c>
    </row>
    <row r="821" spans="1:6" x14ac:dyDescent="0.2">
      <c r="A821" t="str">
        <f t="shared" si="12"/>
        <v>Proph@ne16</v>
      </c>
      <c r="B821">
        <v>5</v>
      </c>
      <c r="C821" t="s">
        <v>87</v>
      </c>
      <c r="D821">
        <v>0</v>
      </c>
      <c r="E821">
        <v>3</v>
      </c>
      <c r="F821">
        <v>16</v>
      </c>
    </row>
    <row r="822" spans="1:6" x14ac:dyDescent="0.2">
      <c r="A822" t="str">
        <f t="shared" si="12"/>
        <v>PatB16</v>
      </c>
      <c r="B822">
        <v>6</v>
      </c>
      <c r="C822" t="s">
        <v>74</v>
      </c>
      <c r="D822">
        <v>0</v>
      </c>
      <c r="E822">
        <v>2</v>
      </c>
      <c r="F822">
        <v>16</v>
      </c>
    </row>
    <row r="823" spans="1:6" x14ac:dyDescent="0.2">
      <c r="A823" t="str">
        <f t="shared" si="12"/>
        <v>Tenko16</v>
      </c>
      <c r="B823">
        <v>7</v>
      </c>
      <c r="C823" t="s">
        <v>516</v>
      </c>
      <c r="D823">
        <v>0</v>
      </c>
      <c r="E823">
        <v>1</v>
      </c>
      <c r="F823">
        <v>16</v>
      </c>
    </row>
    <row r="824" spans="1:6" x14ac:dyDescent="0.2">
      <c r="A824" t="str">
        <f t="shared" si="12"/>
        <v>ChrisFrankfurt16</v>
      </c>
      <c r="B824">
        <v>1</v>
      </c>
      <c r="C824" t="s">
        <v>101</v>
      </c>
      <c r="D824">
        <v>2</v>
      </c>
      <c r="E824">
        <v>18</v>
      </c>
      <c r="F824">
        <v>16</v>
      </c>
    </row>
    <row r="825" spans="1:6" x14ac:dyDescent="0.2">
      <c r="A825" t="str">
        <f t="shared" si="12"/>
        <v>Ad Vitam16</v>
      </c>
      <c r="B825">
        <v>2</v>
      </c>
      <c r="C825" t="s">
        <v>66</v>
      </c>
      <c r="D825">
        <v>2</v>
      </c>
      <c r="E825">
        <v>14</v>
      </c>
      <c r="F825">
        <v>16</v>
      </c>
    </row>
    <row r="826" spans="1:6" x14ac:dyDescent="0.2">
      <c r="A826" t="str">
        <f t="shared" si="12"/>
        <v>Giobeck16</v>
      </c>
      <c r="B826">
        <v>3</v>
      </c>
      <c r="C826" t="s">
        <v>19</v>
      </c>
      <c r="D826">
        <v>1</v>
      </c>
      <c r="E826">
        <v>10</v>
      </c>
      <c r="F826">
        <v>16</v>
      </c>
    </row>
    <row r="827" spans="1:6" x14ac:dyDescent="0.2">
      <c r="A827" t="str">
        <f t="shared" si="12"/>
        <v>Mams16</v>
      </c>
      <c r="B827">
        <v>4</v>
      </c>
      <c r="C827" t="s">
        <v>505</v>
      </c>
      <c r="D827">
        <v>0</v>
      </c>
      <c r="E827">
        <v>6</v>
      </c>
      <c r="F827">
        <v>16</v>
      </c>
    </row>
    <row r="828" spans="1:6" x14ac:dyDescent="0.2">
      <c r="A828" t="str">
        <f t="shared" si="12"/>
        <v>Carmin16</v>
      </c>
      <c r="B828">
        <v>5</v>
      </c>
      <c r="C828" t="s">
        <v>21</v>
      </c>
      <c r="D828">
        <v>2</v>
      </c>
      <c r="E828">
        <v>4</v>
      </c>
      <c r="F828">
        <v>16</v>
      </c>
    </row>
    <row r="829" spans="1:6" x14ac:dyDescent="0.2">
      <c r="A829" t="str">
        <f t="shared" si="12"/>
        <v>Poisson Pilote16</v>
      </c>
      <c r="B829">
        <v>6</v>
      </c>
      <c r="C829" t="s">
        <v>501</v>
      </c>
      <c r="D829">
        <v>0</v>
      </c>
      <c r="E829">
        <v>3</v>
      </c>
      <c r="F829">
        <v>16</v>
      </c>
    </row>
    <row r="830" spans="1:6" x14ac:dyDescent="0.2">
      <c r="A830" t="str">
        <f t="shared" si="12"/>
        <v>Claudius16</v>
      </c>
      <c r="B830">
        <v>7</v>
      </c>
      <c r="C830" t="s">
        <v>25</v>
      </c>
      <c r="D830">
        <v>0</v>
      </c>
      <c r="E830">
        <v>2</v>
      </c>
      <c r="F830">
        <v>16</v>
      </c>
    </row>
    <row r="831" spans="1:6" x14ac:dyDescent="0.2">
      <c r="A831" t="str">
        <f t="shared" si="12"/>
        <v>Fishtro16</v>
      </c>
      <c r="B831">
        <v>8</v>
      </c>
      <c r="C831" t="s">
        <v>512</v>
      </c>
      <c r="D831">
        <v>0</v>
      </c>
      <c r="E831">
        <v>1</v>
      </c>
      <c r="F831">
        <v>16</v>
      </c>
    </row>
    <row r="832" spans="1:6" x14ac:dyDescent="0.2">
      <c r="A832" t="str">
        <f t="shared" si="12"/>
        <v>Michelbey16</v>
      </c>
      <c r="B832">
        <v>1</v>
      </c>
      <c r="C832" t="s">
        <v>75</v>
      </c>
      <c r="D832">
        <v>3</v>
      </c>
      <c r="E832">
        <v>17</v>
      </c>
      <c r="F832">
        <v>16</v>
      </c>
    </row>
    <row r="833" spans="1:6" x14ac:dyDescent="0.2">
      <c r="A833" t="str">
        <f t="shared" si="12"/>
        <v>Yaltar16</v>
      </c>
      <c r="B833">
        <v>2</v>
      </c>
      <c r="C833" t="s">
        <v>503</v>
      </c>
      <c r="D833">
        <v>3</v>
      </c>
      <c r="E833">
        <v>13</v>
      </c>
      <c r="F833">
        <v>16</v>
      </c>
    </row>
    <row r="834" spans="1:6" x14ac:dyDescent="0.2">
      <c r="A834" t="str">
        <f t="shared" ref="A834:A897" si="13">C834&amp;F834</f>
        <v>Gibbonfury16</v>
      </c>
      <c r="B834">
        <v>3</v>
      </c>
      <c r="C834" t="s">
        <v>454</v>
      </c>
      <c r="D834">
        <v>0</v>
      </c>
      <c r="E834">
        <v>9</v>
      </c>
      <c r="F834">
        <v>16</v>
      </c>
    </row>
    <row r="835" spans="1:6" x14ac:dyDescent="0.2">
      <c r="A835" t="str">
        <f t="shared" si="13"/>
        <v>Magic Mykiss16</v>
      </c>
      <c r="B835">
        <v>4</v>
      </c>
      <c r="C835" t="s">
        <v>510</v>
      </c>
      <c r="D835">
        <v>0</v>
      </c>
      <c r="E835">
        <v>5</v>
      </c>
      <c r="F835">
        <v>16</v>
      </c>
    </row>
    <row r="836" spans="1:6" x14ac:dyDescent="0.2">
      <c r="A836" t="str">
        <f t="shared" si="13"/>
        <v>La Bavure16</v>
      </c>
      <c r="B836">
        <v>5</v>
      </c>
      <c r="C836" t="s">
        <v>475</v>
      </c>
      <c r="D836">
        <v>0</v>
      </c>
      <c r="E836">
        <v>3</v>
      </c>
      <c r="F836">
        <v>16</v>
      </c>
    </row>
    <row r="837" spans="1:6" x14ac:dyDescent="0.2">
      <c r="A837" t="str">
        <f t="shared" si="13"/>
        <v>Freddie16</v>
      </c>
      <c r="B837">
        <v>6</v>
      </c>
      <c r="C837" t="s">
        <v>525</v>
      </c>
      <c r="D837">
        <v>0</v>
      </c>
      <c r="E837">
        <v>2</v>
      </c>
      <c r="F837">
        <v>16</v>
      </c>
    </row>
    <row r="838" spans="1:6" x14ac:dyDescent="0.2">
      <c r="A838" t="str">
        <f t="shared" si="13"/>
        <v>OlivierN9216</v>
      </c>
      <c r="B838">
        <v>7</v>
      </c>
      <c r="C838" t="s">
        <v>32</v>
      </c>
      <c r="D838">
        <v>0</v>
      </c>
      <c r="E838">
        <v>1</v>
      </c>
      <c r="F838">
        <v>16</v>
      </c>
    </row>
    <row r="839" spans="1:6" x14ac:dyDescent="0.2">
      <c r="A839" t="str">
        <f t="shared" si="13"/>
        <v>Fishtro17</v>
      </c>
      <c r="B839">
        <v>1</v>
      </c>
      <c r="C839" t="s">
        <v>512</v>
      </c>
      <c r="D839">
        <v>4</v>
      </c>
      <c r="E839">
        <v>16</v>
      </c>
      <c r="F839">
        <v>17</v>
      </c>
    </row>
    <row r="840" spans="1:6" x14ac:dyDescent="0.2">
      <c r="A840" t="str">
        <f t="shared" si="13"/>
        <v>La Bavure17</v>
      </c>
      <c r="B840">
        <v>2</v>
      </c>
      <c r="C840" t="s">
        <v>475</v>
      </c>
      <c r="D840">
        <v>1</v>
      </c>
      <c r="E840">
        <v>12</v>
      </c>
      <c r="F840">
        <v>17</v>
      </c>
    </row>
    <row r="841" spans="1:6" x14ac:dyDescent="0.2">
      <c r="A841" t="str">
        <f t="shared" si="13"/>
        <v>Pyja17</v>
      </c>
      <c r="B841">
        <v>3</v>
      </c>
      <c r="C841" t="s">
        <v>6</v>
      </c>
      <c r="D841">
        <v>0</v>
      </c>
      <c r="E841">
        <v>8</v>
      </c>
      <c r="F841">
        <v>17</v>
      </c>
    </row>
    <row r="842" spans="1:6" x14ac:dyDescent="0.2">
      <c r="A842" t="str">
        <f t="shared" si="13"/>
        <v>Thibaultp7517</v>
      </c>
      <c r="B842">
        <v>4</v>
      </c>
      <c r="C842" t="s">
        <v>345</v>
      </c>
      <c r="D842">
        <v>0</v>
      </c>
      <c r="E842">
        <v>4</v>
      </c>
      <c r="F842">
        <v>17</v>
      </c>
    </row>
    <row r="843" spans="1:6" x14ac:dyDescent="0.2">
      <c r="A843" t="str">
        <f t="shared" si="13"/>
        <v>Claptou17</v>
      </c>
      <c r="B843">
        <v>5</v>
      </c>
      <c r="C843" t="s">
        <v>42</v>
      </c>
      <c r="D843">
        <v>0</v>
      </c>
      <c r="E843">
        <v>2</v>
      </c>
      <c r="F843">
        <v>17</v>
      </c>
    </row>
    <row r="844" spans="1:6" x14ac:dyDescent="0.2">
      <c r="A844" t="str">
        <f t="shared" si="13"/>
        <v>Proph@ne17</v>
      </c>
      <c r="B844">
        <v>6</v>
      </c>
      <c r="C844" t="s">
        <v>87</v>
      </c>
      <c r="D844">
        <v>0</v>
      </c>
      <c r="E844">
        <v>1</v>
      </c>
      <c r="F844">
        <v>17</v>
      </c>
    </row>
    <row r="845" spans="1:6" x14ac:dyDescent="0.2">
      <c r="A845" t="str">
        <f t="shared" si="13"/>
        <v>Zubbaz17</v>
      </c>
      <c r="B845">
        <v>1</v>
      </c>
      <c r="C845" t="s">
        <v>506</v>
      </c>
      <c r="D845">
        <v>2</v>
      </c>
      <c r="E845">
        <v>17</v>
      </c>
      <c r="F845">
        <v>17</v>
      </c>
    </row>
    <row r="846" spans="1:6" x14ac:dyDescent="0.2">
      <c r="A846" t="str">
        <f t="shared" si="13"/>
        <v>Yaltar17</v>
      </c>
      <c r="B846">
        <v>2</v>
      </c>
      <c r="C846" t="s">
        <v>503</v>
      </c>
      <c r="D846">
        <v>3</v>
      </c>
      <c r="E846">
        <v>13</v>
      </c>
      <c r="F846">
        <v>17</v>
      </c>
    </row>
    <row r="847" spans="1:6" x14ac:dyDescent="0.2">
      <c r="A847" t="str">
        <f t="shared" si="13"/>
        <v>Chico17</v>
      </c>
      <c r="B847">
        <v>3</v>
      </c>
      <c r="C847" t="s">
        <v>515</v>
      </c>
      <c r="D847">
        <v>0</v>
      </c>
      <c r="E847">
        <v>9</v>
      </c>
      <c r="F847">
        <v>17</v>
      </c>
    </row>
    <row r="848" spans="1:6" x14ac:dyDescent="0.2">
      <c r="A848" t="str">
        <f t="shared" si="13"/>
        <v>PatB17</v>
      </c>
      <c r="B848">
        <v>4</v>
      </c>
      <c r="C848" t="s">
        <v>74</v>
      </c>
      <c r="D848">
        <v>1</v>
      </c>
      <c r="E848">
        <v>5</v>
      </c>
      <c r="F848">
        <v>17</v>
      </c>
    </row>
    <row r="849" spans="1:6" x14ac:dyDescent="0.2">
      <c r="A849" t="str">
        <f t="shared" si="13"/>
        <v>Losogre17</v>
      </c>
      <c r="B849">
        <v>5</v>
      </c>
      <c r="C849" t="s">
        <v>507</v>
      </c>
      <c r="D849">
        <v>0</v>
      </c>
      <c r="E849">
        <v>3</v>
      </c>
      <c r="F849">
        <v>17</v>
      </c>
    </row>
    <row r="850" spans="1:6" x14ac:dyDescent="0.2">
      <c r="A850" t="str">
        <f t="shared" si="13"/>
        <v>Tenko17</v>
      </c>
      <c r="B850">
        <v>6</v>
      </c>
      <c r="C850" t="s">
        <v>516</v>
      </c>
      <c r="D850">
        <v>0</v>
      </c>
      <c r="E850">
        <v>2</v>
      </c>
      <c r="F850">
        <v>17</v>
      </c>
    </row>
    <row r="851" spans="1:6" x14ac:dyDescent="0.2">
      <c r="A851" t="str">
        <f t="shared" si="13"/>
        <v>Kheops17</v>
      </c>
      <c r="B851">
        <v>7</v>
      </c>
      <c r="C851" t="s">
        <v>500</v>
      </c>
      <c r="D851">
        <v>0</v>
      </c>
      <c r="E851">
        <v>1</v>
      </c>
      <c r="F851">
        <v>17</v>
      </c>
    </row>
    <row r="852" spans="1:6" x14ac:dyDescent="0.2">
      <c r="A852" t="str">
        <f t="shared" si="13"/>
        <v>MegaSouche17</v>
      </c>
      <c r="B852">
        <v>1</v>
      </c>
      <c r="C852" t="s">
        <v>476</v>
      </c>
      <c r="D852">
        <v>4</v>
      </c>
      <c r="E852">
        <v>17</v>
      </c>
      <c r="F852">
        <v>17</v>
      </c>
    </row>
    <row r="853" spans="1:6" x14ac:dyDescent="0.2">
      <c r="A853" t="str">
        <f t="shared" si="13"/>
        <v>Ad Vitam17</v>
      </c>
      <c r="B853">
        <v>2</v>
      </c>
      <c r="C853" t="s">
        <v>66</v>
      </c>
      <c r="D853">
        <v>0</v>
      </c>
      <c r="E853">
        <v>13</v>
      </c>
      <c r="F853">
        <v>17</v>
      </c>
    </row>
    <row r="854" spans="1:6" x14ac:dyDescent="0.2">
      <c r="A854" t="str">
        <f t="shared" si="13"/>
        <v>Michelbey17</v>
      </c>
      <c r="B854">
        <v>3</v>
      </c>
      <c r="C854" t="s">
        <v>75</v>
      </c>
      <c r="D854">
        <v>1</v>
      </c>
      <c r="E854">
        <v>9</v>
      </c>
      <c r="F854">
        <v>17</v>
      </c>
    </row>
    <row r="855" spans="1:6" x14ac:dyDescent="0.2">
      <c r="A855" t="str">
        <f t="shared" si="13"/>
        <v>JC17</v>
      </c>
      <c r="B855">
        <v>4</v>
      </c>
      <c r="C855" t="s">
        <v>534</v>
      </c>
      <c r="D855">
        <v>1</v>
      </c>
      <c r="E855">
        <v>5</v>
      </c>
      <c r="F855">
        <v>17</v>
      </c>
    </row>
    <row r="856" spans="1:6" x14ac:dyDescent="0.2">
      <c r="A856" t="str">
        <f t="shared" si="13"/>
        <v>Catherine17</v>
      </c>
      <c r="B856">
        <v>5</v>
      </c>
      <c r="C856" t="s">
        <v>69</v>
      </c>
      <c r="D856">
        <v>0</v>
      </c>
      <c r="E856">
        <v>3</v>
      </c>
      <c r="F856">
        <v>17</v>
      </c>
    </row>
    <row r="857" spans="1:6" x14ac:dyDescent="0.2">
      <c r="A857" t="str">
        <f t="shared" si="13"/>
        <v>Zizou17</v>
      </c>
      <c r="B857">
        <v>6</v>
      </c>
      <c r="C857" t="s">
        <v>504</v>
      </c>
      <c r="D857">
        <v>0</v>
      </c>
      <c r="E857">
        <v>2</v>
      </c>
      <c r="F857">
        <v>17</v>
      </c>
    </row>
    <row r="858" spans="1:6" x14ac:dyDescent="0.2">
      <c r="A858" t="str">
        <f t="shared" si="13"/>
        <v>LAAtof17</v>
      </c>
      <c r="B858">
        <v>7</v>
      </c>
      <c r="C858" t="s">
        <v>15</v>
      </c>
      <c r="D858">
        <v>0</v>
      </c>
      <c r="E858">
        <v>1</v>
      </c>
      <c r="F858">
        <v>17</v>
      </c>
    </row>
    <row r="859" spans="1:6" x14ac:dyDescent="0.2">
      <c r="A859" t="str">
        <f t="shared" si="13"/>
        <v>NoDoubt17</v>
      </c>
      <c r="B859">
        <v>1</v>
      </c>
      <c r="C859" t="s">
        <v>29</v>
      </c>
      <c r="D859">
        <v>5</v>
      </c>
      <c r="E859">
        <v>17</v>
      </c>
      <c r="F859">
        <v>17</v>
      </c>
    </row>
    <row r="860" spans="1:6" x14ac:dyDescent="0.2">
      <c r="A860" t="str">
        <f t="shared" si="13"/>
        <v>Bounette17</v>
      </c>
      <c r="B860">
        <v>2</v>
      </c>
      <c r="C860" t="s">
        <v>55</v>
      </c>
      <c r="D860">
        <v>0</v>
      </c>
      <c r="E860">
        <v>13</v>
      </c>
      <c r="F860">
        <v>17</v>
      </c>
    </row>
    <row r="861" spans="1:6" x14ac:dyDescent="0.2">
      <c r="A861" t="str">
        <f t="shared" si="13"/>
        <v>Solucky17</v>
      </c>
      <c r="B861">
        <v>3</v>
      </c>
      <c r="C861" t="s">
        <v>485</v>
      </c>
      <c r="D861">
        <v>1</v>
      </c>
      <c r="E861">
        <v>9</v>
      </c>
      <c r="F861">
        <v>17</v>
      </c>
    </row>
    <row r="862" spans="1:6" x14ac:dyDescent="0.2">
      <c r="A862" t="str">
        <f t="shared" si="13"/>
        <v>Soupaman17</v>
      </c>
      <c r="B862">
        <v>4</v>
      </c>
      <c r="C862" t="s">
        <v>518</v>
      </c>
      <c r="D862">
        <v>0</v>
      </c>
      <c r="E862">
        <v>5</v>
      </c>
      <c r="F862">
        <v>17</v>
      </c>
    </row>
    <row r="863" spans="1:6" x14ac:dyDescent="0.2">
      <c r="A863" t="str">
        <f t="shared" si="13"/>
        <v>Flem17</v>
      </c>
      <c r="B863">
        <v>5</v>
      </c>
      <c r="C863" t="s">
        <v>73</v>
      </c>
      <c r="D863">
        <v>0</v>
      </c>
      <c r="E863">
        <v>3</v>
      </c>
      <c r="F863">
        <v>17</v>
      </c>
    </row>
    <row r="864" spans="1:6" x14ac:dyDescent="0.2">
      <c r="A864" t="str">
        <f t="shared" si="13"/>
        <v>Rockatou17</v>
      </c>
      <c r="B864">
        <v>6</v>
      </c>
      <c r="C864" t="s">
        <v>493</v>
      </c>
      <c r="D864">
        <v>0</v>
      </c>
      <c r="E864">
        <v>2</v>
      </c>
      <c r="F864">
        <v>17</v>
      </c>
    </row>
    <row r="865" spans="1:6" x14ac:dyDescent="0.2">
      <c r="A865" t="str">
        <f t="shared" si="13"/>
        <v>Ripolin17</v>
      </c>
      <c r="B865">
        <v>7</v>
      </c>
      <c r="C865" t="s">
        <v>65</v>
      </c>
      <c r="D865">
        <v>0</v>
      </c>
      <c r="E865">
        <v>1</v>
      </c>
      <c r="F865">
        <v>17</v>
      </c>
    </row>
    <row r="866" spans="1:6" x14ac:dyDescent="0.2">
      <c r="A866" t="str">
        <f t="shared" si="13"/>
        <v>Ramm17</v>
      </c>
      <c r="B866">
        <v>1</v>
      </c>
      <c r="C866" t="s">
        <v>14</v>
      </c>
      <c r="D866">
        <v>2</v>
      </c>
      <c r="E866">
        <v>17</v>
      </c>
      <c r="F866">
        <v>17</v>
      </c>
    </row>
    <row r="867" spans="1:6" x14ac:dyDescent="0.2">
      <c r="A867" t="str">
        <f t="shared" si="13"/>
        <v>JeanMichelTiming17</v>
      </c>
      <c r="B867">
        <v>2</v>
      </c>
      <c r="C867" t="s">
        <v>35</v>
      </c>
      <c r="D867">
        <v>3</v>
      </c>
      <c r="E867">
        <v>13</v>
      </c>
      <c r="F867">
        <v>17</v>
      </c>
    </row>
    <row r="868" spans="1:6" x14ac:dyDescent="0.2">
      <c r="A868" t="str">
        <f t="shared" si="13"/>
        <v>Jérôme17</v>
      </c>
      <c r="B868">
        <v>3</v>
      </c>
      <c r="C868" t="s">
        <v>46</v>
      </c>
      <c r="D868">
        <v>1</v>
      </c>
      <c r="E868">
        <v>9</v>
      </c>
      <c r="F868">
        <v>17</v>
      </c>
    </row>
    <row r="869" spans="1:6" x14ac:dyDescent="0.2">
      <c r="A869" t="str">
        <f t="shared" si="13"/>
        <v>Boosilletoo17</v>
      </c>
      <c r="B869">
        <v>4</v>
      </c>
      <c r="C869" t="s">
        <v>532</v>
      </c>
      <c r="D869">
        <v>0</v>
      </c>
      <c r="E869">
        <v>5</v>
      </c>
      <c r="F869">
        <v>17</v>
      </c>
    </row>
    <row r="870" spans="1:6" x14ac:dyDescent="0.2">
      <c r="A870" t="str">
        <f t="shared" si="13"/>
        <v>Claudius17</v>
      </c>
      <c r="B870">
        <v>5</v>
      </c>
      <c r="C870" t="s">
        <v>25</v>
      </c>
      <c r="D870">
        <v>0</v>
      </c>
      <c r="E870">
        <v>3</v>
      </c>
      <c r="F870">
        <v>17</v>
      </c>
    </row>
    <row r="871" spans="1:6" x14ac:dyDescent="0.2">
      <c r="A871" t="str">
        <f t="shared" si="13"/>
        <v>Poisson Pilote17</v>
      </c>
      <c r="B871">
        <v>6</v>
      </c>
      <c r="C871" t="s">
        <v>501</v>
      </c>
      <c r="D871">
        <v>0</v>
      </c>
      <c r="E871">
        <v>2</v>
      </c>
      <c r="F871">
        <v>17</v>
      </c>
    </row>
    <row r="872" spans="1:6" x14ac:dyDescent="0.2">
      <c r="A872" t="str">
        <f t="shared" si="13"/>
        <v>Mams17</v>
      </c>
      <c r="B872">
        <v>7</v>
      </c>
      <c r="C872" t="s">
        <v>505</v>
      </c>
      <c r="D872">
        <v>0</v>
      </c>
      <c r="E872">
        <v>1</v>
      </c>
      <c r="F872">
        <v>17</v>
      </c>
    </row>
    <row r="873" spans="1:6" x14ac:dyDescent="0.2">
      <c r="A873" t="str">
        <f t="shared" si="13"/>
        <v>Giobeck17</v>
      </c>
      <c r="B873">
        <v>1</v>
      </c>
      <c r="C873" t="s">
        <v>19</v>
      </c>
      <c r="D873">
        <v>2</v>
      </c>
      <c r="E873">
        <v>17</v>
      </c>
      <c r="F873">
        <v>17</v>
      </c>
    </row>
    <row r="874" spans="1:6" x14ac:dyDescent="0.2">
      <c r="A874" t="str">
        <f t="shared" si="13"/>
        <v>Comment217</v>
      </c>
      <c r="B874">
        <v>2</v>
      </c>
      <c r="C874" t="s">
        <v>76</v>
      </c>
      <c r="D874">
        <v>0</v>
      </c>
      <c r="E874">
        <v>13</v>
      </c>
      <c r="F874">
        <v>17</v>
      </c>
    </row>
    <row r="875" spans="1:6" x14ac:dyDescent="0.2">
      <c r="A875" t="str">
        <f t="shared" si="13"/>
        <v>K117</v>
      </c>
      <c r="B875">
        <v>3</v>
      </c>
      <c r="C875" t="s">
        <v>9</v>
      </c>
      <c r="D875">
        <v>2</v>
      </c>
      <c r="E875">
        <v>9</v>
      </c>
      <c r="F875">
        <v>17</v>
      </c>
    </row>
    <row r="876" spans="1:6" x14ac:dyDescent="0.2">
      <c r="A876" t="str">
        <f t="shared" si="13"/>
        <v>Mandrake17</v>
      </c>
      <c r="B876">
        <v>4</v>
      </c>
      <c r="C876" t="s">
        <v>27</v>
      </c>
      <c r="D876">
        <v>1</v>
      </c>
      <c r="E876">
        <v>5</v>
      </c>
      <c r="F876">
        <v>17</v>
      </c>
    </row>
    <row r="877" spans="1:6" x14ac:dyDescent="0.2">
      <c r="A877" t="str">
        <f t="shared" si="13"/>
        <v>Freddie17</v>
      </c>
      <c r="B877">
        <v>5</v>
      </c>
      <c r="C877" t="s">
        <v>525</v>
      </c>
      <c r="D877">
        <v>0</v>
      </c>
      <c r="E877">
        <v>3</v>
      </c>
      <c r="F877">
        <v>17</v>
      </c>
    </row>
    <row r="878" spans="1:6" x14ac:dyDescent="0.2">
      <c r="A878" t="str">
        <f t="shared" si="13"/>
        <v>Carmin17</v>
      </c>
      <c r="B878">
        <v>6</v>
      </c>
      <c r="C878" t="s">
        <v>21</v>
      </c>
      <c r="D878">
        <v>0</v>
      </c>
      <c r="E878">
        <v>2</v>
      </c>
      <c r="F878">
        <v>17</v>
      </c>
    </row>
    <row r="879" spans="1:6" x14ac:dyDescent="0.2">
      <c r="A879" t="str">
        <f t="shared" si="13"/>
        <v>Guerno17</v>
      </c>
      <c r="B879">
        <v>7</v>
      </c>
      <c r="C879" t="s">
        <v>484</v>
      </c>
      <c r="D879">
        <v>0</v>
      </c>
      <c r="E879">
        <v>1</v>
      </c>
      <c r="F879">
        <v>17</v>
      </c>
    </row>
    <row r="880" spans="1:6" x14ac:dyDescent="0.2">
      <c r="A880" t="str">
        <f t="shared" si="13"/>
        <v>Empedocle17</v>
      </c>
      <c r="B880">
        <v>1</v>
      </c>
      <c r="C880" t="s">
        <v>81</v>
      </c>
      <c r="D880">
        <v>4</v>
      </c>
      <c r="E880">
        <v>17</v>
      </c>
      <c r="F880">
        <v>17</v>
      </c>
    </row>
    <row r="881" spans="1:6" x14ac:dyDescent="0.2">
      <c r="A881" t="str">
        <f t="shared" si="13"/>
        <v>DernierPli17</v>
      </c>
      <c r="B881">
        <v>2</v>
      </c>
      <c r="C881" t="s">
        <v>490</v>
      </c>
      <c r="D881">
        <v>0</v>
      </c>
      <c r="E881">
        <v>13</v>
      </c>
      <c r="F881">
        <v>17</v>
      </c>
    </row>
    <row r="882" spans="1:6" x14ac:dyDescent="0.2">
      <c r="A882" t="str">
        <f t="shared" si="13"/>
        <v>Djecus17</v>
      </c>
      <c r="B882">
        <v>3</v>
      </c>
      <c r="C882" t="s">
        <v>461</v>
      </c>
      <c r="D882">
        <v>1</v>
      </c>
      <c r="E882">
        <v>9</v>
      </c>
      <c r="F882">
        <v>17</v>
      </c>
    </row>
    <row r="883" spans="1:6" x14ac:dyDescent="0.2">
      <c r="A883" t="str">
        <f t="shared" si="13"/>
        <v>Delgres17</v>
      </c>
      <c r="B883">
        <v>3</v>
      </c>
      <c r="C883" t="s">
        <v>280</v>
      </c>
      <c r="D883">
        <v>0</v>
      </c>
      <c r="E883">
        <v>9</v>
      </c>
      <c r="F883">
        <v>17</v>
      </c>
    </row>
    <row r="884" spans="1:6" x14ac:dyDescent="0.2">
      <c r="A884" t="str">
        <f t="shared" si="13"/>
        <v>Gibouille17</v>
      </c>
      <c r="B884">
        <v>5</v>
      </c>
      <c r="C884" t="s">
        <v>509</v>
      </c>
      <c r="D884">
        <v>1</v>
      </c>
      <c r="E884">
        <v>3</v>
      </c>
      <c r="F884">
        <v>17</v>
      </c>
    </row>
    <row r="885" spans="1:6" x14ac:dyDescent="0.2">
      <c r="A885" t="str">
        <f t="shared" si="13"/>
        <v>TheRealWill17</v>
      </c>
      <c r="B885">
        <v>6</v>
      </c>
      <c r="C885" t="s">
        <v>535</v>
      </c>
      <c r="D885">
        <v>0</v>
      </c>
      <c r="E885">
        <v>2</v>
      </c>
      <c r="F885">
        <v>17</v>
      </c>
    </row>
    <row r="886" spans="1:6" x14ac:dyDescent="0.2">
      <c r="A886" t="str">
        <f t="shared" si="13"/>
        <v>Xhar9217</v>
      </c>
      <c r="B886">
        <v>7</v>
      </c>
      <c r="C886" t="s">
        <v>519</v>
      </c>
      <c r="D886">
        <v>0</v>
      </c>
      <c r="E886">
        <v>1</v>
      </c>
      <c r="F886">
        <v>17</v>
      </c>
    </row>
    <row r="887" spans="1:6" x14ac:dyDescent="0.2">
      <c r="A887" t="str">
        <f t="shared" si="13"/>
        <v>Claudius18</v>
      </c>
      <c r="B887">
        <v>1</v>
      </c>
      <c r="C887" t="s">
        <v>25</v>
      </c>
      <c r="D887">
        <v>2</v>
      </c>
      <c r="E887">
        <v>17</v>
      </c>
      <c r="F887">
        <v>18</v>
      </c>
    </row>
    <row r="888" spans="1:6" x14ac:dyDescent="0.2">
      <c r="A888" t="str">
        <f t="shared" si="13"/>
        <v>Flem18</v>
      </c>
      <c r="B888">
        <v>2</v>
      </c>
      <c r="C888" t="s">
        <v>73</v>
      </c>
      <c r="D888">
        <v>3</v>
      </c>
      <c r="E888">
        <v>13</v>
      </c>
      <c r="F888">
        <v>18</v>
      </c>
    </row>
    <row r="889" spans="1:6" x14ac:dyDescent="0.2">
      <c r="A889" t="str">
        <f t="shared" si="13"/>
        <v>Michelbey18</v>
      </c>
      <c r="B889">
        <v>3</v>
      </c>
      <c r="C889" t="s">
        <v>75</v>
      </c>
      <c r="D889">
        <v>0</v>
      </c>
      <c r="E889">
        <v>9</v>
      </c>
      <c r="F889">
        <v>18</v>
      </c>
    </row>
    <row r="890" spans="1:6" x14ac:dyDescent="0.2">
      <c r="A890" t="str">
        <f t="shared" si="13"/>
        <v>Sobab18</v>
      </c>
      <c r="B890">
        <v>4</v>
      </c>
      <c r="C890" t="s">
        <v>502</v>
      </c>
      <c r="D890">
        <v>1</v>
      </c>
      <c r="E890">
        <v>5</v>
      </c>
      <c r="F890">
        <v>18</v>
      </c>
    </row>
    <row r="891" spans="1:6" x14ac:dyDescent="0.2">
      <c r="A891" t="str">
        <f t="shared" si="13"/>
        <v>Flopynou18</v>
      </c>
      <c r="B891">
        <v>5</v>
      </c>
      <c r="C891" t="s">
        <v>530</v>
      </c>
      <c r="D891">
        <v>0</v>
      </c>
      <c r="E891">
        <v>3</v>
      </c>
      <c r="F891">
        <v>18</v>
      </c>
    </row>
    <row r="892" spans="1:6" x14ac:dyDescent="0.2">
      <c r="A892" t="str">
        <f t="shared" si="13"/>
        <v>Solucky18</v>
      </c>
      <c r="B892">
        <v>6</v>
      </c>
      <c r="C892" t="s">
        <v>485</v>
      </c>
      <c r="D892">
        <v>0</v>
      </c>
      <c r="E892">
        <v>2</v>
      </c>
      <c r="F892">
        <v>18</v>
      </c>
    </row>
    <row r="893" spans="1:6" x14ac:dyDescent="0.2">
      <c r="A893" t="str">
        <f t="shared" si="13"/>
        <v>Yroz18</v>
      </c>
      <c r="B893">
        <v>7</v>
      </c>
      <c r="C893" t="s">
        <v>526</v>
      </c>
      <c r="D893">
        <v>0</v>
      </c>
      <c r="E893">
        <v>1</v>
      </c>
      <c r="F893">
        <v>18</v>
      </c>
    </row>
    <row r="894" spans="1:6" x14ac:dyDescent="0.2">
      <c r="A894" t="str">
        <f t="shared" si="13"/>
        <v>JC18</v>
      </c>
      <c r="B894">
        <v>1</v>
      </c>
      <c r="C894" t="s">
        <v>534</v>
      </c>
      <c r="D894">
        <v>1</v>
      </c>
      <c r="E894">
        <v>17</v>
      </c>
      <c r="F894">
        <v>18</v>
      </c>
    </row>
    <row r="895" spans="1:6" x14ac:dyDescent="0.2">
      <c r="A895" t="str">
        <f t="shared" si="13"/>
        <v>Poisson Pilote18</v>
      </c>
      <c r="B895">
        <v>2</v>
      </c>
      <c r="C895" t="s">
        <v>501</v>
      </c>
      <c r="D895">
        <v>3</v>
      </c>
      <c r="E895">
        <v>13</v>
      </c>
      <c r="F895">
        <v>18</v>
      </c>
    </row>
    <row r="896" spans="1:6" x14ac:dyDescent="0.2">
      <c r="A896" t="str">
        <f t="shared" si="13"/>
        <v>Rockatou18</v>
      </c>
      <c r="B896">
        <v>3</v>
      </c>
      <c r="C896" t="s">
        <v>493</v>
      </c>
      <c r="D896">
        <v>2</v>
      </c>
      <c r="E896">
        <v>9</v>
      </c>
      <c r="F896">
        <v>18</v>
      </c>
    </row>
    <row r="897" spans="1:6" x14ac:dyDescent="0.2">
      <c r="A897" t="str">
        <f t="shared" si="13"/>
        <v>Catherine18</v>
      </c>
      <c r="B897">
        <v>4</v>
      </c>
      <c r="C897" t="s">
        <v>69</v>
      </c>
      <c r="D897">
        <v>0</v>
      </c>
      <c r="E897">
        <v>5</v>
      </c>
      <c r="F897">
        <v>18</v>
      </c>
    </row>
    <row r="898" spans="1:6" x14ac:dyDescent="0.2">
      <c r="A898" t="str">
        <f t="shared" ref="A898:A961" si="14">C898&amp;F898</f>
        <v>Ramm18</v>
      </c>
      <c r="B898">
        <v>5</v>
      </c>
      <c r="C898" t="s">
        <v>14</v>
      </c>
      <c r="D898">
        <v>0</v>
      </c>
      <c r="E898">
        <v>3</v>
      </c>
      <c r="F898">
        <v>18</v>
      </c>
    </row>
    <row r="899" spans="1:6" x14ac:dyDescent="0.2">
      <c r="A899" t="str">
        <f t="shared" si="14"/>
        <v>Kheops18</v>
      </c>
      <c r="B899">
        <v>6</v>
      </c>
      <c r="C899" t="s">
        <v>500</v>
      </c>
      <c r="D899">
        <v>0</v>
      </c>
      <c r="E899">
        <v>2</v>
      </c>
      <c r="F899">
        <v>18</v>
      </c>
    </row>
    <row r="900" spans="1:6" x14ac:dyDescent="0.2">
      <c r="A900" t="str">
        <f t="shared" si="14"/>
        <v>Xhar9218</v>
      </c>
      <c r="B900">
        <v>7</v>
      </c>
      <c r="C900" t="s">
        <v>519</v>
      </c>
      <c r="D900">
        <v>0</v>
      </c>
      <c r="E900">
        <v>1</v>
      </c>
      <c r="F900">
        <v>18</v>
      </c>
    </row>
    <row r="901" spans="1:6" x14ac:dyDescent="0.2">
      <c r="A901" t="str">
        <f t="shared" si="14"/>
        <v>Bounette18</v>
      </c>
      <c r="B901">
        <v>1</v>
      </c>
      <c r="C901" t="s">
        <v>55</v>
      </c>
      <c r="D901">
        <v>4</v>
      </c>
      <c r="E901">
        <v>17</v>
      </c>
      <c r="F901">
        <v>18</v>
      </c>
    </row>
    <row r="902" spans="1:6" x14ac:dyDescent="0.2">
      <c r="A902" t="str">
        <f t="shared" si="14"/>
        <v>Salender18</v>
      </c>
      <c r="B902">
        <v>2</v>
      </c>
      <c r="C902" t="s">
        <v>479</v>
      </c>
      <c r="D902">
        <v>1</v>
      </c>
      <c r="E902">
        <v>13</v>
      </c>
      <c r="F902">
        <v>18</v>
      </c>
    </row>
    <row r="903" spans="1:6" x14ac:dyDescent="0.2">
      <c r="A903" t="str">
        <f t="shared" si="14"/>
        <v>Zizou18</v>
      </c>
      <c r="B903">
        <v>3</v>
      </c>
      <c r="C903" t="s">
        <v>504</v>
      </c>
      <c r="D903">
        <v>0</v>
      </c>
      <c r="E903">
        <v>9</v>
      </c>
      <c r="F903">
        <v>18</v>
      </c>
    </row>
    <row r="904" spans="1:6" x14ac:dyDescent="0.2">
      <c r="A904" t="str">
        <f t="shared" si="14"/>
        <v>DernierPli18</v>
      </c>
      <c r="B904">
        <v>4</v>
      </c>
      <c r="C904" t="s">
        <v>490</v>
      </c>
      <c r="D904">
        <v>1</v>
      </c>
      <c r="E904">
        <v>5</v>
      </c>
      <c r="F904">
        <v>18</v>
      </c>
    </row>
    <row r="905" spans="1:6" x14ac:dyDescent="0.2">
      <c r="A905" t="str">
        <f t="shared" si="14"/>
        <v>JeanMichelTiming18</v>
      </c>
      <c r="B905">
        <v>5</v>
      </c>
      <c r="C905" t="s">
        <v>35</v>
      </c>
      <c r="D905">
        <v>0</v>
      </c>
      <c r="E905">
        <v>3</v>
      </c>
      <c r="F905">
        <v>18</v>
      </c>
    </row>
    <row r="906" spans="1:6" x14ac:dyDescent="0.2">
      <c r="A906" t="str">
        <f t="shared" si="14"/>
        <v>Jérôme18</v>
      </c>
      <c r="B906">
        <v>6</v>
      </c>
      <c r="C906" t="s">
        <v>46</v>
      </c>
      <c r="D906">
        <v>0</v>
      </c>
      <c r="E906">
        <v>2</v>
      </c>
      <c r="F906">
        <v>18</v>
      </c>
    </row>
    <row r="907" spans="1:6" x14ac:dyDescent="0.2">
      <c r="A907" t="str">
        <f t="shared" si="14"/>
        <v>Tenko18</v>
      </c>
      <c r="B907">
        <v>7</v>
      </c>
      <c r="C907" t="s">
        <v>516</v>
      </c>
      <c r="D907">
        <v>0</v>
      </c>
      <c r="E907">
        <v>1</v>
      </c>
      <c r="F907">
        <v>18</v>
      </c>
    </row>
    <row r="908" spans="1:6" x14ac:dyDescent="0.2">
      <c r="A908" t="str">
        <f t="shared" si="14"/>
        <v>Zubbaz18</v>
      </c>
      <c r="B908">
        <v>1</v>
      </c>
      <c r="C908" t="s">
        <v>506</v>
      </c>
      <c r="D908">
        <v>4</v>
      </c>
      <c r="E908">
        <v>17</v>
      </c>
      <c r="F908">
        <v>18</v>
      </c>
    </row>
    <row r="909" spans="1:6" x14ac:dyDescent="0.2">
      <c r="A909" t="str">
        <f t="shared" si="14"/>
        <v>Pyja18</v>
      </c>
      <c r="B909">
        <v>2</v>
      </c>
      <c r="C909" t="s">
        <v>6</v>
      </c>
      <c r="D909">
        <v>0</v>
      </c>
      <c r="E909">
        <v>13</v>
      </c>
      <c r="F909">
        <v>18</v>
      </c>
    </row>
    <row r="910" spans="1:6" x14ac:dyDescent="0.2">
      <c r="A910" t="str">
        <f t="shared" si="14"/>
        <v>Carmin18</v>
      </c>
      <c r="B910">
        <v>3</v>
      </c>
      <c r="C910" t="s">
        <v>21</v>
      </c>
      <c r="D910">
        <v>2</v>
      </c>
      <c r="E910">
        <v>9</v>
      </c>
      <c r="F910">
        <v>18</v>
      </c>
    </row>
    <row r="911" spans="1:6" x14ac:dyDescent="0.2">
      <c r="A911" t="str">
        <f t="shared" si="14"/>
        <v>Djecus18</v>
      </c>
      <c r="B911">
        <v>4</v>
      </c>
      <c r="C911" t="s">
        <v>461</v>
      </c>
      <c r="D911">
        <v>0</v>
      </c>
      <c r="E911">
        <v>5</v>
      </c>
      <c r="F911">
        <v>18</v>
      </c>
    </row>
    <row r="912" spans="1:6" x14ac:dyDescent="0.2">
      <c r="A912" t="str">
        <f t="shared" si="14"/>
        <v>TheRealWill18</v>
      </c>
      <c r="B912">
        <v>5</v>
      </c>
      <c r="C912" t="s">
        <v>535</v>
      </c>
      <c r="D912">
        <v>0</v>
      </c>
      <c r="E912">
        <v>3</v>
      </c>
      <c r="F912">
        <v>18</v>
      </c>
    </row>
    <row r="913" spans="1:6" x14ac:dyDescent="0.2">
      <c r="A913" t="str">
        <f t="shared" si="14"/>
        <v>Mams18</v>
      </c>
      <c r="B913">
        <v>6</v>
      </c>
      <c r="C913" t="s">
        <v>505</v>
      </c>
      <c r="D913">
        <v>0</v>
      </c>
      <c r="E913">
        <v>2</v>
      </c>
      <c r="F913">
        <v>18</v>
      </c>
    </row>
    <row r="914" spans="1:6" x14ac:dyDescent="0.2">
      <c r="A914" t="str">
        <f t="shared" si="14"/>
        <v>Ptit Savoyard18</v>
      </c>
      <c r="B914">
        <v>7</v>
      </c>
      <c r="C914" t="s">
        <v>33</v>
      </c>
      <c r="D914">
        <v>0</v>
      </c>
      <c r="E914">
        <v>1</v>
      </c>
      <c r="F914">
        <v>18</v>
      </c>
    </row>
    <row r="915" spans="1:6" x14ac:dyDescent="0.2">
      <c r="A915" t="str">
        <f t="shared" si="14"/>
        <v>Gibbonfury18</v>
      </c>
      <c r="B915">
        <v>1</v>
      </c>
      <c r="C915" t="s">
        <v>454</v>
      </c>
      <c r="D915">
        <v>3</v>
      </c>
      <c r="E915">
        <v>17</v>
      </c>
      <c r="F915">
        <v>18</v>
      </c>
    </row>
    <row r="916" spans="1:6" x14ac:dyDescent="0.2">
      <c r="A916" t="str">
        <f t="shared" si="14"/>
        <v>Giobeck18</v>
      </c>
      <c r="B916">
        <v>2</v>
      </c>
      <c r="C916" t="s">
        <v>19</v>
      </c>
      <c r="D916">
        <v>1</v>
      </c>
      <c r="E916">
        <v>13</v>
      </c>
      <c r="F916">
        <v>18</v>
      </c>
    </row>
    <row r="917" spans="1:6" x14ac:dyDescent="0.2">
      <c r="A917" t="str">
        <f t="shared" si="14"/>
        <v>Ad Vitam18</v>
      </c>
      <c r="B917">
        <v>3</v>
      </c>
      <c r="C917" t="s">
        <v>66</v>
      </c>
      <c r="D917">
        <v>1</v>
      </c>
      <c r="E917">
        <v>9</v>
      </c>
      <c r="F917">
        <v>18</v>
      </c>
    </row>
    <row r="918" spans="1:6" x14ac:dyDescent="0.2">
      <c r="A918" t="str">
        <f t="shared" si="14"/>
        <v>Ouais ouais18</v>
      </c>
      <c r="B918">
        <v>4</v>
      </c>
      <c r="C918" t="s">
        <v>533</v>
      </c>
      <c r="D918">
        <v>1</v>
      </c>
      <c r="E918">
        <v>5</v>
      </c>
      <c r="F918">
        <v>18</v>
      </c>
    </row>
    <row r="919" spans="1:6" x14ac:dyDescent="0.2">
      <c r="A919" t="str">
        <f t="shared" si="14"/>
        <v>Comment218</v>
      </c>
      <c r="B919">
        <v>5</v>
      </c>
      <c r="C919" t="s">
        <v>76</v>
      </c>
      <c r="D919">
        <v>0</v>
      </c>
      <c r="E919">
        <v>3</v>
      </c>
      <c r="F919">
        <v>18</v>
      </c>
    </row>
    <row r="920" spans="1:6" x14ac:dyDescent="0.2">
      <c r="A920" t="str">
        <f t="shared" si="14"/>
        <v>Yaltar18</v>
      </c>
      <c r="B920">
        <v>6</v>
      </c>
      <c r="C920" t="s">
        <v>503</v>
      </c>
      <c r="D920">
        <v>0</v>
      </c>
      <c r="E920">
        <v>2</v>
      </c>
      <c r="F920">
        <v>18</v>
      </c>
    </row>
    <row r="921" spans="1:6" x14ac:dyDescent="0.2">
      <c r="A921" t="str">
        <f t="shared" si="14"/>
        <v>ChrisFrankfurt18</v>
      </c>
      <c r="B921">
        <v>7</v>
      </c>
      <c r="C921" t="s">
        <v>101</v>
      </c>
      <c r="D921">
        <v>0</v>
      </c>
      <c r="E921">
        <v>1</v>
      </c>
      <c r="F921">
        <v>18</v>
      </c>
    </row>
    <row r="922" spans="1:6" x14ac:dyDescent="0.2">
      <c r="A922" t="str">
        <f t="shared" si="14"/>
        <v>Mandrake18</v>
      </c>
      <c r="B922">
        <v>1</v>
      </c>
      <c r="C922" t="s">
        <v>27</v>
      </c>
      <c r="D922">
        <v>5</v>
      </c>
      <c r="E922">
        <v>17</v>
      </c>
      <c r="F922">
        <v>18</v>
      </c>
    </row>
    <row r="923" spans="1:6" x14ac:dyDescent="0.2">
      <c r="A923" t="str">
        <f t="shared" si="14"/>
        <v>La Bavure18</v>
      </c>
      <c r="B923">
        <v>2</v>
      </c>
      <c r="C923" t="s">
        <v>475</v>
      </c>
      <c r="D923">
        <v>1</v>
      </c>
      <c r="E923">
        <v>13</v>
      </c>
      <c r="F923">
        <v>18</v>
      </c>
    </row>
    <row r="924" spans="1:6" x14ac:dyDescent="0.2">
      <c r="A924" t="str">
        <f t="shared" si="14"/>
        <v>PatB18</v>
      </c>
      <c r="B924">
        <v>3</v>
      </c>
      <c r="C924" t="s">
        <v>74</v>
      </c>
      <c r="D924">
        <v>0</v>
      </c>
      <c r="E924">
        <v>9</v>
      </c>
      <c r="F924">
        <v>18</v>
      </c>
    </row>
    <row r="925" spans="1:6" x14ac:dyDescent="0.2">
      <c r="A925" t="str">
        <f t="shared" si="14"/>
        <v>Gibouille18</v>
      </c>
      <c r="B925">
        <v>4</v>
      </c>
      <c r="C925" t="s">
        <v>509</v>
      </c>
      <c r="D925">
        <v>0</v>
      </c>
      <c r="E925">
        <v>5</v>
      </c>
      <c r="F925">
        <v>18</v>
      </c>
    </row>
    <row r="926" spans="1:6" x14ac:dyDescent="0.2">
      <c r="A926" t="str">
        <f t="shared" si="14"/>
        <v>Empedocle18</v>
      </c>
      <c r="B926">
        <v>5</v>
      </c>
      <c r="C926" t="s">
        <v>81</v>
      </c>
      <c r="D926">
        <v>0</v>
      </c>
      <c r="E926">
        <v>3</v>
      </c>
      <c r="F926">
        <v>18</v>
      </c>
    </row>
    <row r="927" spans="1:6" x14ac:dyDescent="0.2">
      <c r="A927" t="str">
        <f t="shared" si="14"/>
        <v>Chico18</v>
      </c>
      <c r="B927">
        <v>6</v>
      </c>
      <c r="C927" t="s">
        <v>515</v>
      </c>
      <c r="D927">
        <v>0</v>
      </c>
      <c r="E927">
        <v>2</v>
      </c>
      <c r="F927">
        <v>18</v>
      </c>
    </row>
    <row r="928" spans="1:6" x14ac:dyDescent="0.2">
      <c r="A928" t="str">
        <f t="shared" si="14"/>
        <v>Losogre18</v>
      </c>
      <c r="B928">
        <v>7</v>
      </c>
      <c r="C928" t="s">
        <v>507</v>
      </c>
      <c r="D928">
        <v>0</v>
      </c>
      <c r="E928">
        <v>1</v>
      </c>
      <c r="F928">
        <v>18</v>
      </c>
    </row>
    <row r="929" spans="1:6" x14ac:dyDescent="0.2">
      <c r="A929" t="str">
        <f t="shared" si="14"/>
        <v>Yarael18</v>
      </c>
      <c r="B929">
        <v>1</v>
      </c>
      <c r="C929" t="s">
        <v>88</v>
      </c>
      <c r="D929">
        <v>2</v>
      </c>
      <c r="E929">
        <v>17</v>
      </c>
      <c r="F929">
        <v>18</v>
      </c>
    </row>
    <row r="930" spans="1:6" x14ac:dyDescent="0.2">
      <c r="A930" t="str">
        <f t="shared" si="14"/>
        <v>Boosilletoo18</v>
      </c>
      <c r="B930">
        <v>2</v>
      </c>
      <c r="C930" t="s">
        <v>532</v>
      </c>
      <c r="D930">
        <v>0</v>
      </c>
      <c r="E930">
        <v>13</v>
      </c>
      <c r="F930">
        <v>18</v>
      </c>
    </row>
    <row r="931" spans="1:6" x14ac:dyDescent="0.2">
      <c r="A931" t="str">
        <f t="shared" si="14"/>
        <v>Toinou18</v>
      </c>
      <c r="B931">
        <v>3</v>
      </c>
      <c r="C931" t="s">
        <v>531</v>
      </c>
      <c r="D931">
        <v>4</v>
      </c>
      <c r="E931">
        <v>9</v>
      </c>
      <c r="F931">
        <v>18</v>
      </c>
    </row>
    <row r="932" spans="1:6" x14ac:dyDescent="0.2">
      <c r="A932" t="str">
        <f t="shared" si="14"/>
        <v>YooooDA18</v>
      </c>
      <c r="B932">
        <v>4</v>
      </c>
      <c r="C932" t="s">
        <v>59</v>
      </c>
      <c r="D932">
        <v>0</v>
      </c>
      <c r="E932">
        <v>5</v>
      </c>
      <c r="F932">
        <v>18</v>
      </c>
    </row>
    <row r="933" spans="1:6" x14ac:dyDescent="0.2">
      <c r="A933" t="str">
        <f t="shared" si="14"/>
        <v>Delgres18</v>
      </c>
      <c r="B933">
        <v>5</v>
      </c>
      <c r="C933" t="s">
        <v>280</v>
      </c>
      <c r="D933">
        <v>0</v>
      </c>
      <c r="E933">
        <v>3</v>
      </c>
      <c r="F933">
        <v>18</v>
      </c>
    </row>
    <row r="934" spans="1:6" x14ac:dyDescent="0.2">
      <c r="A934" t="str">
        <f t="shared" si="14"/>
        <v>K118</v>
      </c>
      <c r="B934">
        <v>6</v>
      </c>
      <c r="C934" t="s">
        <v>9</v>
      </c>
      <c r="D934">
        <v>0</v>
      </c>
      <c r="E934">
        <v>2</v>
      </c>
      <c r="F934">
        <v>18</v>
      </c>
    </row>
    <row r="935" spans="1:6" x14ac:dyDescent="0.2">
      <c r="A935" t="str">
        <f t="shared" si="14"/>
        <v>Freddie18</v>
      </c>
      <c r="B935">
        <v>7</v>
      </c>
      <c r="C935" t="s">
        <v>525</v>
      </c>
      <c r="D935">
        <v>0</v>
      </c>
      <c r="E935">
        <v>1</v>
      </c>
      <c r="F935">
        <v>18</v>
      </c>
    </row>
    <row r="936" spans="1:6" x14ac:dyDescent="0.2">
      <c r="A936" t="str">
        <f t="shared" si="14"/>
        <v>Mams19</v>
      </c>
      <c r="B936">
        <v>1</v>
      </c>
      <c r="C936" t="s">
        <v>505</v>
      </c>
      <c r="D936">
        <v>1</v>
      </c>
      <c r="E936">
        <v>16</v>
      </c>
      <c r="F936">
        <v>19</v>
      </c>
    </row>
    <row r="937" spans="1:6" x14ac:dyDescent="0.2">
      <c r="A937" t="str">
        <f t="shared" si="14"/>
        <v>La Bavure19</v>
      </c>
      <c r="B937">
        <v>2</v>
      </c>
      <c r="C937" t="s">
        <v>475</v>
      </c>
      <c r="D937">
        <v>3</v>
      </c>
      <c r="E937">
        <v>12</v>
      </c>
      <c r="F937">
        <v>19</v>
      </c>
    </row>
    <row r="938" spans="1:6" x14ac:dyDescent="0.2">
      <c r="A938" t="str">
        <f t="shared" si="14"/>
        <v>Thibaultp7519</v>
      </c>
      <c r="B938">
        <v>3</v>
      </c>
      <c r="C938" t="s">
        <v>345</v>
      </c>
      <c r="D938">
        <v>1</v>
      </c>
      <c r="E938">
        <v>8</v>
      </c>
      <c r="F938">
        <v>19</v>
      </c>
    </row>
    <row r="939" spans="1:6" x14ac:dyDescent="0.2">
      <c r="A939" t="str">
        <f t="shared" si="14"/>
        <v>Jérôme19</v>
      </c>
      <c r="B939">
        <v>4</v>
      </c>
      <c r="C939" t="s">
        <v>46</v>
      </c>
      <c r="D939">
        <v>0</v>
      </c>
      <c r="E939">
        <v>4</v>
      </c>
      <c r="F939">
        <v>19</v>
      </c>
    </row>
    <row r="940" spans="1:6" x14ac:dyDescent="0.2">
      <c r="A940" t="str">
        <f t="shared" si="14"/>
        <v>Solucky19</v>
      </c>
      <c r="B940">
        <v>5</v>
      </c>
      <c r="C940" t="s">
        <v>485</v>
      </c>
      <c r="D940">
        <v>0</v>
      </c>
      <c r="E940">
        <v>2</v>
      </c>
      <c r="F940">
        <v>19</v>
      </c>
    </row>
    <row r="941" spans="1:6" x14ac:dyDescent="0.2">
      <c r="A941" t="str">
        <f t="shared" si="14"/>
        <v>Fishtro19</v>
      </c>
      <c r="B941">
        <v>6</v>
      </c>
      <c r="C941" t="s">
        <v>512</v>
      </c>
      <c r="D941">
        <v>0</v>
      </c>
      <c r="E941">
        <v>1</v>
      </c>
      <c r="F941">
        <v>19</v>
      </c>
    </row>
    <row r="942" spans="1:6" x14ac:dyDescent="0.2">
      <c r="A942" t="str">
        <f t="shared" si="14"/>
        <v>Boosilletoo19</v>
      </c>
      <c r="B942">
        <v>1</v>
      </c>
      <c r="C942" t="s">
        <v>532</v>
      </c>
      <c r="D942">
        <v>4</v>
      </c>
      <c r="E942">
        <v>16</v>
      </c>
      <c r="F942">
        <v>19</v>
      </c>
    </row>
    <row r="943" spans="1:6" x14ac:dyDescent="0.2">
      <c r="A943" t="str">
        <f t="shared" si="14"/>
        <v>Claudius19</v>
      </c>
      <c r="B943">
        <v>2</v>
      </c>
      <c r="C943" t="s">
        <v>25</v>
      </c>
      <c r="D943">
        <v>0</v>
      </c>
      <c r="E943">
        <v>12</v>
      </c>
      <c r="F943">
        <v>19</v>
      </c>
    </row>
    <row r="944" spans="1:6" x14ac:dyDescent="0.2">
      <c r="A944" t="str">
        <f t="shared" si="14"/>
        <v>Ptit Savoyard19</v>
      </c>
      <c r="B944">
        <v>3</v>
      </c>
      <c r="C944" t="s">
        <v>33</v>
      </c>
      <c r="D944">
        <v>1</v>
      </c>
      <c r="E944">
        <v>8</v>
      </c>
      <c r="F944">
        <v>19</v>
      </c>
    </row>
    <row r="945" spans="1:6" x14ac:dyDescent="0.2">
      <c r="A945" t="str">
        <f t="shared" si="14"/>
        <v>Gibouille19</v>
      </c>
      <c r="B945">
        <v>4</v>
      </c>
      <c r="C945" t="s">
        <v>509</v>
      </c>
      <c r="D945">
        <v>0</v>
      </c>
      <c r="E945">
        <v>4</v>
      </c>
      <c r="F945">
        <v>19</v>
      </c>
    </row>
    <row r="946" spans="1:6" x14ac:dyDescent="0.2">
      <c r="A946" t="str">
        <f t="shared" si="14"/>
        <v>JC19</v>
      </c>
      <c r="B946">
        <v>5</v>
      </c>
      <c r="C946" t="s">
        <v>534</v>
      </c>
      <c r="D946">
        <v>0</v>
      </c>
      <c r="E946">
        <v>2</v>
      </c>
      <c r="F946">
        <v>19</v>
      </c>
    </row>
    <row r="947" spans="1:6" x14ac:dyDescent="0.2">
      <c r="A947" t="str">
        <f t="shared" si="14"/>
        <v>Mandrake19</v>
      </c>
      <c r="B947">
        <v>6</v>
      </c>
      <c r="C947" t="s">
        <v>27</v>
      </c>
      <c r="D947">
        <v>0</v>
      </c>
      <c r="E947">
        <v>1</v>
      </c>
      <c r="F947">
        <v>19</v>
      </c>
    </row>
    <row r="948" spans="1:6" x14ac:dyDescent="0.2">
      <c r="A948" t="str">
        <f t="shared" si="14"/>
        <v>Ripolin19</v>
      </c>
      <c r="B948">
        <v>1</v>
      </c>
      <c r="C948" t="s">
        <v>65</v>
      </c>
      <c r="D948">
        <v>4</v>
      </c>
      <c r="E948">
        <v>16</v>
      </c>
      <c r="F948">
        <v>19</v>
      </c>
    </row>
    <row r="949" spans="1:6" x14ac:dyDescent="0.2">
      <c r="A949" t="str">
        <f t="shared" si="14"/>
        <v>NoDoubt19</v>
      </c>
      <c r="B949">
        <v>2</v>
      </c>
      <c r="C949" t="s">
        <v>29</v>
      </c>
      <c r="D949">
        <v>1</v>
      </c>
      <c r="E949">
        <v>12</v>
      </c>
      <c r="F949">
        <v>19</v>
      </c>
    </row>
    <row r="950" spans="1:6" x14ac:dyDescent="0.2">
      <c r="A950" t="str">
        <f t="shared" si="14"/>
        <v>PatB19</v>
      </c>
      <c r="B950">
        <v>3</v>
      </c>
      <c r="C950" t="s">
        <v>74</v>
      </c>
      <c r="D950">
        <v>0</v>
      </c>
      <c r="E950">
        <v>8</v>
      </c>
      <c r="F950">
        <v>19</v>
      </c>
    </row>
    <row r="951" spans="1:6" x14ac:dyDescent="0.2">
      <c r="A951" t="str">
        <f t="shared" si="14"/>
        <v>Salender19</v>
      </c>
      <c r="B951">
        <v>4</v>
      </c>
      <c r="C951" t="s">
        <v>479</v>
      </c>
      <c r="D951">
        <v>0</v>
      </c>
      <c r="E951">
        <v>4</v>
      </c>
      <c r="F951">
        <v>19</v>
      </c>
    </row>
    <row r="952" spans="1:6" x14ac:dyDescent="0.2">
      <c r="A952" t="str">
        <f t="shared" si="14"/>
        <v>Giobeck19</v>
      </c>
      <c r="B952">
        <v>5</v>
      </c>
      <c r="C952" t="s">
        <v>19</v>
      </c>
      <c r="D952">
        <v>0</v>
      </c>
      <c r="E952">
        <v>2</v>
      </c>
      <c r="F952">
        <v>19</v>
      </c>
    </row>
    <row r="953" spans="1:6" x14ac:dyDescent="0.2">
      <c r="A953" t="str">
        <f t="shared" si="14"/>
        <v>Losogre19</v>
      </c>
      <c r="B953">
        <v>6</v>
      </c>
      <c r="C953" t="s">
        <v>507</v>
      </c>
      <c r="D953">
        <v>0</v>
      </c>
      <c r="E953">
        <v>1</v>
      </c>
      <c r="F953">
        <v>19</v>
      </c>
    </row>
    <row r="954" spans="1:6" x14ac:dyDescent="0.2">
      <c r="A954" t="str">
        <f t="shared" si="14"/>
        <v>Zubbaz19</v>
      </c>
      <c r="B954">
        <v>1</v>
      </c>
      <c r="C954" t="s">
        <v>506</v>
      </c>
      <c r="D954">
        <v>3</v>
      </c>
      <c r="E954">
        <v>16</v>
      </c>
      <c r="F954">
        <v>19</v>
      </c>
    </row>
    <row r="955" spans="1:6" x14ac:dyDescent="0.2">
      <c r="A955" t="str">
        <f t="shared" si="14"/>
        <v>JeanMichelTiming19</v>
      </c>
      <c r="B955">
        <v>2</v>
      </c>
      <c r="C955" t="s">
        <v>35</v>
      </c>
      <c r="D955">
        <v>2</v>
      </c>
      <c r="E955">
        <v>12</v>
      </c>
      <c r="F955">
        <v>19</v>
      </c>
    </row>
    <row r="956" spans="1:6" x14ac:dyDescent="0.2">
      <c r="A956" t="str">
        <f t="shared" si="14"/>
        <v>Catherine19</v>
      </c>
      <c r="B956">
        <v>3</v>
      </c>
      <c r="C956" t="s">
        <v>69</v>
      </c>
      <c r="D956">
        <v>0</v>
      </c>
      <c r="E956">
        <v>8</v>
      </c>
      <c r="F956">
        <v>19</v>
      </c>
    </row>
    <row r="957" spans="1:6" x14ac:dyDescent="0.2">
      <c r="A957" t="str">
        <f t="shared" si="14"/>
        <v>Poisson Pilote19</v>
      </c>
      <c r="B957">
        <v>4</v>
      </c>
      <c r="C957" t="s">
        <v>501</v>
      </c>
      <c r="D957">
        <v>0</v>
      </c>
      <c r="E957">
        <v>4</v>
      </c>
      <c r="F957">
        <v>19</v>
      </c>
    </row>
    <row r="958" spans="1:6" x14ac:dyDescent="0.2">
      <c r="A958" t="str">
        <f t="shared" si="14"/>
        <v>Yroz19</v>
      </c>
      <c r="B958">
        <v>5</v>
      </c>
      <c r="C958" t="s">
        <v>526</v>
      </c>
      <c r="D958">
        <v>0</v>
      </c>
      <c r="E958">
        <v>2</v>
      </c>
      <c r="F958">
        <v>19</v>
      </c>
    </row>
    <row r="959" spans="1:6" x14ac:dyDescent="0.2">
      <c r="A959" t="str">
        <f t="shared" si="14"/>
        <v>Bounette19</v>
      </c>
      <c r="B959">
        <v>6</v>
      </c>
      <c r="C959" t="s">
        <v>55</v>
      </c>
      <c r="D959">
        <v>0</v>
      </c>
      <c r="E959">
        <v>1</v>
      </c>
      <c r="F959">
        <v>19</v>
      </c>
    </row>
    <row r="960" spans="1:6" x14ac:dyDescent="0.2">
      <c r="A960" t="str">
        <f t="shared" si="14"/>
        <v>Ad Vitam19</v>
      </c>
      <c r="B960">
        <v>1</v>
      </c>
      <c r="C960" t="s">
        <v>66</v>
      </c>
      <c r="D960">
        <v>4</v>
      </c>
      <c r="E960">
        <v>16</v>
      </c>
      <c r="F960">
        <v>19</v>
      </c>
    </row>
    <row r="961" spans="1:6" x14ac:dyDescent="0.2">
      <c r="A961" t="str">
        <f t="shared" si="14"/>
        <v>ChrisFrankfurt19</v>
      </c>
      <c r="B961">
        <v>2</v>
      </c>
      <c r="C961" t="s">
        <v>101</v>
      </c>
      <c r="D961">
        <v>0</v>
      </c>
      <c r="E961">
        <v>12</v>
      </c>
      <c r="F961">
        <v>19</v>
      </c>
    </row>
    <row r="962" spans="1:6" x14ac:dyDescent="0.2">
      <c r="A962" t="str">
        <f t="shared" ref="A962:A1025" si="15">C962&amp;F962</f>
        <v>Carmin19</v>
      </c>
      <c r="B962">
        <v>3</v>
      </c>
      <c r="C962" t="s">
        <v>21</v>
      </c>
      <c r="D962">
        <v>1</v>
      </c>
      <c r="E962">
        <v>8</v>
      </c>
      <c r="F962">
        <v>19</v>
      </c>
    </row>
    <row r="963" spans="1:6" x14ac:dyDescent="0.2">
      <c r="A963" t="str">
        <f t="shared" si="15"/>
        <v>Flem19</v>
      </c>
      <c r="B963">
        <v>4</v>
      </c>
      <c r="C963" t="s">
        <v>73</v>
      </c>
      <c r="D963">
        <v>0</v>
      </c>
      <c r="E963">
        <v>4</v>
      </c>
      <c r="F963">
        <v>19</v>
      </c>
    </row>
    <row r="964" spans="1:6" x14ac:dyDescent="0.2">
      <c r="A964" t="str">
        <f t="shared" si="15"/>
        <v>DernierPli19</v>
      </c>
      <c r="B964">
        <v>5</v>
      </c>
      <c r="C964" t="s">
        <v>490</v>
      </c>
      <c r="D964">
        <v>0</v>
      </c>
      <c r="E964">
        <v>2</v>
      </c>
      <c r="F964">
        <v>19</v>
      </c>
    </row>
    <row r="965" spans="1:6" x14ac:dyDescent="0.2">
      <c r="A965" t="str">
        <f t="shared" si="15"/>
        <v>Freddie19</v>
      </c>
      <c r="B965">
        <v>6</v>
      </c>
      <c r="C965" t="s">
        <v>525</v>
      </c>
      <c r="D965">
        <v>0</v>
      </c>
      <c r="E965">
        <v>1</v>
      </c>
      <c r="F965">
        <v>19</v>
      </c>
    </row>
    <row r="966" spans="1:6" x14ac:dyDescent="0.2">
      <c r="A966" t="str">
        <f t="shared" si="15"/>
        <v>Zizou19</v>
      </c>
      <c r="B966">
        <v>1</v>
      </c>
      <c r="C966" t="s">
        <v>504</v>
      </c>
      <c r="D966">
        <v>3</v>
      </c>
      <c r="E966">
        <v>16</v>
      </c>
      <c r="F966">
        <v>19</v>
      </c>
    </row>
    <row r="967" spans="1:6" x14ac:dyDescent="0.2">
      <c r="A967" t="str">
        <f t="shared" si="15"/>
        <v>Djecus19</v>
      </c>
      <c r="B967">
        <v>2</v>
      </c>
      <c r="C967" t="s">
        <v>461</v>
      </c>
      <c r="D967">
        <v>2</v>
      </c>
      <c r="E967">
        <v>12</v>
      </c>
      <c r="F967">
        <v>19</v>
      </c>
    </row>
    <row r="968" spans="1:6" x14ac:dyDescent="0.2">
      <c r="A968" t="str">
        <f t="shared" si="15"/>
        <v>Empedocle19</v>
      </c>
      <c r="B968">
        <v>3</v>
      </c>
      <c r="C968" t="s">
        <v>81</v>
      </c>
      <c r="D968">
        <v>0</v>
      </c>
      <c r="E968">
        <v>8</v>
      </c>
      <c r="F968">
        <v>19</v>
      </c>
    </row>
    <row r="969" spans="1:6" x14ac:dyDescent="0.2">
      <c r="A969" t="str">
        <f t="shared" si="15"/>
        <v>Xhar9219</v>
      </c>
      <c r="B969">
        <v>4</v>
      </c>
      <c r="C969" t="s">
        <v>519</v>
      </c>
      <c r="D969">
        <v>0</v>
      </c>
      <c r="E969">
        <v>4</v>
      </c>
      <c r="F969">
        <v>19</v>
      </c>
    </row>
    <row r="970" spans="1:6" x14ac:dyDescent="0.2">
      <c r="A970" t="str">
        <f t="shared" si="15"/>
        <v>Rockatou19</v>
      </c>
      <c r="B970">
        <v>5</v>
      </c>
      <c r="C970" t="s">
        <v>493</v>
      </c>
      <c r="D970">
        <v>0</v>
      </c>
      <c r="E970">
        <v>2</v>
      </c>
      <c r="F970">
        <v>19</v>
      </c>
    </row>
    <row r="971" spans="1:6" x14ac:dyDescent="0.2">
      <c r="A971" t="str">
        <f t="shared" si="15"/>
        <v>Delgres19</v>
      </c>
      <c r="B971">
        <v>6</v>
      </c>
      <c r="C971" t="s">
        <v>280</v>
      </c>
      <c r="D971">
        <v>0</v>
      </c>
      <c r="E971">
        <v>1</v>
      </c>
      <c r="F971">
        <v>19</v>
      </c>
    </row>
    <row r="972" spans="1:6" x14ac:dyDescent="0.2">
      <c r="A972" t="str">
        <f t="shared" si="15"/>
        <v>The Hengover19</v>
      </c>
      <c r="B972">
        <v>1</v>
      </c>
      <c r="C972" t="s">
        <v>452</v>
      </c>
      <c r="D972">
        <v>3</v>
      </c>
      <c r="E972">
        <v>16</v>
      </c>
      <c r="F972">
        <v>19</v>
      </c>
    </row>
    <row r="973" spans="1:6" x14ac:dyDescent="0.2">
      <c r="A973" t="str">
        <f t="shared" si="15"/>
        <v>Yaltar19</v>
      </c>
      <c r="B973">
        <v>2</v>
      </c>
      <c r="C973" t="s">
        <v>503</v>
      </c>
      <c r="D973">
        <v>1</v>
      </c>
      <c r="E973">
        <v>12</v>
      </c>
      <c r="F973">
        <v>19</v>
      </c>
    </row>
    <row r="974" spans="1:6" x14ac:dyDescent="0.2">
      <c r="A974" t="str">
        <f t="shared" si="15"/>
        <v>Tenko19</v>
      </c>
      <c r="B974">
        <v>3</v>
      </c>
      <c r="C974" t="s">
        <v>516</v>
      </c>
      <c r="D974">
        <v>0</v>
      </c>
      <c r="E974">
        <v>8</v>
      </c>
      <c r="F974">
        <v>19</v>
      </c>
    </row>
    <row r="975" spans="1:6" x14ac:dyDescent="0.2">
      <c r="A975" t="str">
        <f t="shared" si="15"/>
        <v>Michelbey19</v>
      </c>
      <c r="B975">
        <v>4</v>
      </c>
      <c r="C975" t="s">
        <v>75</v>
      </c>
      <c r="D975">
        <v>0</v>
      </c>
      <c r="E975">
        <v>4</v>
      </c>
      <c r="F975">
        <v>19</v>
      </c>
    </row>
    <row r="976" spans="1:6" x14ac:dyDescent="0.2">
      <c r="A976" t="str">
        <f t="shared" si="15"/>
        <v>Gibbonfury19</v>
      </c>
      <c r="B976">
        <v>5</v>
      </c>
      <c r="C976" t="s">
        <v>454</v>
      </c>
      <c r="D976">
        <v>1</v>
      </c>
      <c r="E976">
        <v>2</v>
      </c>
      <c r="F976">
        <v>19</v>
      </c>
    </row>
    <row r="977" spans="1:6" x14ac:dyDescent="0.2">
      <c r="A977" t="str">
        <f t="shared" si="15"/>
        <v>Pintu19</v>
      </c>
      <c r="B977">
        <v>6</v>
      </c>
      <c r="C977" t="s">
        <v>48</v>
      </c>
      <c r="D977">
        <v>0</v>
      </c>
      <c r="E977">
        <v>1</v>
      </c>
      <c r="F977">
        <v>19</v>
      </c>
    </row>
    <row r="978" spans="1:6" x14ac:dyDescent="0.2">
      <c r="A978" t="str">
        <f t="shared" si="15"/>
        <v>Thibaultp7520</v>
      </c>
      <c r="B978">
        <v>1</v>
      </c>
      <c r="C978" t="s">
        <v>345</v>
      </c>
      <c r="D978">
        <v>4</v>
      </c>
      <c r="E978">
        <v>16</v>
      </c>
      <c r="F978">
        <v>20</v>
      </c>
    </row>
    <row r="979" spans="1:6" x14ac:dyDescent="0.2">
      <c r="A979" t="str">
        <f t="shared" si="15"/>
        <v>Delgres20</v>
      </c>
      <c r="B979">
        <v>2</v>
      </c>
      <c r="C979" t="s">
        <v>280</v>
      </c>
      <c r="D979">
        <v>0</v>
      </c>
      <c r="E979">
        <v>12</v>
      </c>
      <c r="F979">
        <v>20</v>
      </c>
    </row>
    <row r="980" spans="1:6" x14ac:dyDescent="0.2">
      <c r="A980" t="str">
        <f t="shared" si="15"/>
        <v>JC20</v>
      </c>
      <c r="B980">
        <v>3</v>
      </c>
      <c r="C980" t="s">
        <v>534</v>
      </c>
      <c r="D980">
        <v>0</v>
      </c>
      <c r="E980">
        <v>8</v>
      </c>
      <c r="F980">
        <v>20</v>
      </c>
    </row>
    <row r="981" spans="1:6" x14ac:dyDescent="0.2">
      <c r="A981" t="str">
        <f t="shared" si="15"/>
        <v>Tenko20</v>
      </c>
      <c r="B981">
        <v>4</v>
      </c>
      <c r="C981" t="s">
        <v>516</v>
      </c>
      <c r="D981">
        <v>0</v>
      </c>
      <c r="E981">
        <v>4</v>
      </c>
      <c r="F981">
        <v>20</v>
      </c>
    </row>
    <row r="982" spans="1:6" x14ac:dyDescent="0.2">
      <c r="A982" t="str">
        <f t="shared" si="15"/>
        <v>Giobeck20</v>
      </c>
      <c r="B982">
        <v>5</v>
      </c>
      <c r="C982" t="s">
        <v>19</v>
      </c>
      <c r="D982">
        <v>1</v>
      </c>
      <c r="E982">
        <v>2</v>
      </c>
      <c r="F982">
        <v>20</v>
      </c>
    </row>
    <row r="983" spans="1:6" x14ac:dyDescent="0.2">
      <c r="A983" t="str">
        <f t="shared" si="15"/>
        <v>TheRealWill20</v>
      </c>
      <c r="B983">
        <v>6</v>
      </c>
      <c r="C983" t="s">
        <v>535</v>
      </c>
      <c r="D983">
        <v>0</v>
      </c>
      <c r="E983">
        <v>1</v>
      </c>
      <c r="F983">
        <v>20</v>
      </c>
    </row>
    <row r="984" spans="1:6" x14ac:dyDescent="0.2">
      <c r="A984" t="str">
        <f t="shared" si="15"/>
        <v>Jérôme20</v>
      </c>
      <c r="B984">
        <v>1</v>
      </c>
      <c r="C984" t="s">
        <v>46</v>
      </c>
      <c r="D984">
        <v>1</v>
      </c>
      <c r="E984">
        <v>15</v>
      </c>
      <c r="F984">
        <v>20</v>
      </c>
    </row>
    <row r="985" spans="1:6" x14ac:dyDescent="0.2">
      <c r="A985" t="str">
        <f t="shared" si="15"/>
        <v>Solucky20</v>
      </c>
      <c r="B985">
        <v>2</v>
      </c>
      <c r="C985" t="s">
        <v>485</v>
      </c>
      <c r="D985">
        <v>3</v>
      </c>
      <c r="E985">
        <v>11</v>
      </c>
      <c r="F985">
        <v>20</v>
      </c>
    </row>
    <row r="986" spans="1:6" x14ac:dyDescent="0.2">
      <c r="A986" t="str">
        <f t="shared" si="15"/>
        <v>Empedocle20</v>
      </c>
      <c r="B986">
        <v>3</v>
      </c>
      <c r="C986" t="s">
        <v>81</v>
      </c>
      <c r="D986">
        <v>0</v>
      </c>
      <c r="E986">
        <v>7</v>
      </c>
      <c r="F986">
        <v>20</v>
      </c>
    </row>
    <row r="987" spans="1:6" x14ac:dyDescent="0.2">
      <c r="A987" t="str">
        <f t="shared" si="15"/>
        <v>Gibbonfury20</v>
      </c>
      <c r="B987">
        <v>4</v>
      </c>
      <c r="C987" t="s">
        <v>454</v>
      </c>
      <c r="D987">
        <v>0</v>
      </c>
      <c r="E987">
        <v>3</v>
      </c>
      <c r="F987">
        <v>20</v>
      </c>
    </row>
    <row r="988" spans="1:6" x14ac:dyDescent="0.2">
      <c r="A988" t="str">
        <f t="shared" si="15"/>
        <v>Rockatou20</v>
      </c>
      <c r="B988">
        <v>5</v>
      </c>
      <c r="C988" t="s">
        <v>493</v>
      </c>
      <c r="D988">
        <v>0</v>
      </c>
      <c r="E988">
        <v>1</v>
      </c>
      <c r="F988">
        <v>20</v>
      </c>
    </row>
    <row r="989" spans="1:6" x14ac:dyDescent="0.2">
      <c r="A989" t="str">
        <f t="shared" si="15"/>
        <v>PatB20</v>
      </c>
      <c r="B989">
        <v>1</v>
      </c>
      <c r="C989" t="s">
        <v>74</v>
      </c>
      <c r="D989">
        <v>3</v>
      </c>
      <c r="E989">
        <v>16</v>
      </c>
      <c r="F989">
        <v>20</v>
      </c>
    </row>
    <row r="990" spans="1:6" x14ac:dyDescent="0.2">
      <c r="A990" t="str">
        <f t="shared" si="15"/>
        <v>Salender20</v>
      </c>
      <c r="B990">
        <v>2</v>
      </c>
      <c r="C990" t="s">
        <v>479</v>
      </c>
      <c r="D990">
        <v>0</v>
      </c>
      <c r="E990">
        <v>12</v>
      </c>
      <c r="F990">
        <v>20</v>
      </c>
    </row>
    <row r="991" spans="1:6" x14ac:dyDescent="0.2">
      <c r="A991" t="str">
        <f t="shared" si="15"/>
        <v>Mams20</v>
      </c>
      <c r="B991">
        <v>3</v>
      </c>
      <c r="C991" t="s">
        <v>505</v>
      </c>
      <c r="D991">
        <v>2</v>
      </c>
      <c r="E991">
        <v>8</v>
      </c>
      <c r="F991">
        <v>20</v>
      </c>
    </row>
    <row r="992" spans="1:6" x14ac:dyDescent="0.2">
      <c r="A992" t="str">
        <f t="shared" si="15"/>
        <v>Ptit Savoyard20</v>
      </c>
      <c r="B992">
        <v>4</v>
      </c>
      <c r="C992" t="s">
        <v>33</v>
      </c>
      <c r="D992">
        <v>0</v>
      </c>
      <c r="E992">
        <v>4</v>
      </c>
      <c r="F992">
        <v>20</v>
      </c>
    </row>
    <row r="993" spans="1:6" x14ac:dyDescent="0.2">
      <c r="A993" t="str">
        <f t="shared" si="15"/>
        <v>Losogre20</v>
      </c>
      <c r="B993">
        <v>5</v>
      </c>
      <c r="C993" t="s">
        <v>507</v>
      </c>
      <c r="D993">
        <v>0</v>
      </c>
      <c r="E993">
        <v>2</v>
      </c>
      <c r="F993">
        <v>20</v>
      </c>
    </row>
    <row r="994" spans="1:6" x14ac:dyDescent="0.2">
      <c r="A994" t="str">
        <f t="shared" si="15"/>
        <v>K120</v>
      </c>
      <c r="B994">
        <v>6</v>
      </c>
      <c r="C994" t="s">
        <v>9</v>
      </c>
      <c r="D994">
        <v>0</v>
      </c>
      <c r="E994">
        <v>1</v>
      </c>
      <c r="F994">
        <v>20</v>
      </c>
    </row>
    <row r="995" spans="1:6" x14ac:dyDescent="0.2">
      <c r="A995" t="str">
        <f t="shared" si="15"/>
        <v>Flem20</v>
      </c>
      <c r="B995">
        <v>1</v>
      </c>
      <c r="C995" t="s">
        <v>73</v>
      </c>
      <c r="D995">
        <v>3</v>
      </c>
      <c r="E995">
        <v>15</v>
      </c>
      <c r="F995">
        <v>20</v>
      </c>
    </row>
    <row r="996" spans="1:6" x14ac:dyDescent="0.2">
      <c r="A996" t="str">
        <f t="shared" si="15"/>
        <v>Catherine20</v>
      </c>
      <c r="B996">
        <v>2</v>
      </c>
      <c r="C996" t="s">
        <v>69</v>
      </c>
      <c r="D996">
        <v>0</v>
      </c>
      <c r="E996">
        <v>11</v>
      </c>
      <c r="F996">
        <v>20</v>
      </c>
    </row>
    <row r="997" spans="1:6" x14ac:dyDescent="0.2">
      <c r="A997" t="str">
        <f t="shared" si="15"/>
        <v>Carmin20</v>
      </c>
      <c r="B997">
        <v>3</v>
      </c>
      <c r="C997" t="s">
        <v>21</v>
      </c>
      <c r="D997">
        <v>1</v>
      </c>
      <c r="E997">
        <v>7</v>
      </c>
      <c r="F997">
        <v>20</v>
      </c>
    </row>
    <row r="998" spans="1:6" x14ac:dyDescent="0.2">
      <c r="A998" t="str">
        <f t="shared" si="15"/>
        <v>Pyja20</v>
      </c>
      <c r="B998">
        <v>4</v>
      </c>
      <c r="C998" t="s">
        <v>6</v>
      </c>
      <c r="D998">
        <v>0</v>
      </c>
      <c r="E998">
        <v>3</v>
      </c>
      <c r="F998">
        <v>20</v>
      </c>
    </row>
    <row r="999" spans="1:6" x14ac:dyDescent="0.2">
      <c r="A999" t="str">
        <f t="shared" si="15"/>
        <v>Claudius20</v>
      </c>
      <c r="B999">
        <v>5</v>
      </c>
      <c r="C999" t="s">
        <v>25</v>
      </c>
      <c r="D999">
        <v>0</v>
      </c>
      <c r="E999">
        <v>1</v>
      </c>
      <c r="F999">
        <v>20</v>
      </c>
    </row>
    <row r="1000" spans="1:6" x14ac:dyDescent="0.2">
      <c r="A1000" t="str">
        <f t="shared" si="15"/>
        <v>Ad Vitam20</v>
      </c>
      <c r="B1000">
        <v>1</v>
      </c>
      <c r="C1000" t="s">
        <v>66</v>
      </c>
      <c r="D1000">
        <v>3</v>
      </c>
      <c r="E1000">
        <v>15</v>
      </c>
      <c r="F1000">
        <v>20</v>
      </c>
    </row>
    <row r="1001" spans="1:6" x14ac:dyDescent="0.2">
      <c r="A1001" t="str">
        <f t="shared" si="15"/>
        <v>Ouais ouais20</v>
      </c>
      <c r="B1001">
        <v>2</v>
      </c>
      <c r="C1001" t="s">
        <v>533</v>
      </c>
      <c r="D1001">
        <v>0</v>
      </c>
      <c r="E1001">
        <v>11</v>
      </c>
      <c r="F1001">
        <v>20</v>
      </c>
    </row>
    <row r="1002" spans="1:6" x14ac:dyDescent="0.2">
      <c r="A1002" t="str">
        <f t="shared" si="15"/>
        <v>JeanMichelTiming20</v>
      </c>
      <c r="B1002">
        <v>3</v>
      </c>
      <c r="C1002" t="s">
        <v>35</v>
      </c>
      <c r="D1002">
        <v>1</v>
      </c>
      <c r="E1002">
        <v>7</v>
      </c>
      <c r="F1002">
        <v>20</v>
      </c>
    </row>
    <row r="1003" spans="1:6" x14ac:dyDescent="0.2">
      <c r="A1003" t="str">
        <f t="shared" si="15"/>
        <v>Ripolin20</v>
      </c>
      <c r="B1003">
        <v>4</v>
      </c>
      <c r="C1003" t="s">
        <v>65</v>
      </c>
      <c r="D1003">
        <v>0</v>
      </c>
      <c r="E1003">
        <v>3</v>
      </c>
      <c r="F1003">
        <v>20</v>
      </c>
    </row>
    <row r="1004" spans="1:6" x14ac:dyDescent="0.2">
      <c r="A1004" t="str">
        <f t="shared" si="15"/>
        <v>La Bavure20</v>
      </c>
      <c r="B1004">
        <v>5</v>
      </c>
      <c r="C1004" t="s">
        <v>475</v>
      </c>
      <c r="D1004">
        <v>0</v>
      </c>
      <c r="E1004">
        <v>1</v>
      </c>
      <c r="F1004">
        <v>20</v>
      </c>
    </row>
    <row r="1005" spans="1:6" x14ac:dyDescent="0.2">
      <c r="A1005" t="str">
        <f t="shared" si="15"/>
        <v>Mandrake20</v>
      </c>
      <c r="B1005">
        <v>1</v>
      </c>
      <c r="C1005" t="s">
        <v>27</v>
      </c>
      <c r="D1005">
        <v>4</v>
      </c>
      <c r="E1005">
        <v>16</v>
      </c>
      <c r="F1005">
        <v>20</v>
      </c>
    </row>
    <row r="1006" spans="1:6" x14ac:dyDescent="0.2">
      <c r="A1006" t="str">
        <f t="shared" si="15"/>
        <v>Freddie20</v>
      </c>
      <c r="B1006">
        <v>2</v>
      </c>
      <c r="C1006" t="s">
        <v>525</v>
      </c>
      <c r="D1006">
        <v>0</v>
      </c>
      <c r="E1006">
        <v>12</v>
      </c>
      <c r="F1006">
        <v>20</v>
      </c>
    </row>
    <row r="1007" spans="1:6" x14ac:dyDescent="0.2">
      <c r="A1007" t="str">
        <f t="shared" si="15"/>
        <v>Soupaman20</v>
      </c>
      <c r="B1007">
        <v>3</v>
      </c>
      <c r="C1007" t="s">
        <v>518</v>
      </c>
      <c r="D1007">
        <v>1</v>
      </c>
      <c r="E1007">
        <v>8</v>
      </c>
      <c r="F1007">
        <v>20</v>
      </c>
    </row>
    <row r="1008" spans="1:6" x14ac:dyDescent="0.2">
      <c r="A1008" t="str">
        <f t="shared" si="15"/>
        <v>Fishtro20</v>
      </c>
      <c r="B1008">
        <v>4</v>
      </c>
      <c r="C1008" t="s">
        <v>512</v>
      </c>
      <c r="D1008">
        <v>0</v>
      </c>
      <c r="E1008">
        <v>4</v>
      </c>
      <c r="F1008">
        <v>20</v>
      </c>
    </row>
    <row r="1009" spans="1:6" x14ac:dyDescent="0.2">
      <c r="A1009" t="str">
        <f t="shared" si="15"/>
        <v>Bounette20</v>
      </c>
      <c r="B1009">
        <v>5</v>
      </c>
      <c r="C1009" t="s">
        <v>55</v>
      </c>
      <c r="D1009">
        <v>0</v>
      </c>
      <c r="E1009">
        <v>2</v>
      </c>
      <c r="F1009">
        <v>20</v>
      </c>
    </row>
    <row r="1010" spans="1:6" x14ac:dyDescent="0.2">
      <c r="A1010" t="str">
        <f t="shared" si="15"/>
        <v>Claptou20</v>
      </c>
      <c r="B1010">
        <v>6</v>
      </c>
      <c r="C1010" t="s">
        <v>42</v>
      </c>
      <c r="D1010">
        <v>0</v>
      </c>
      <c r="E1010">
        <v>1</v>
      </c>
      <c r="F1010">
        <v>20</v>
      </c>
    </row>
    <row r="1011" spans="1:6" x14ac:dyDescent="0.2">
      <c r="A1011" t="str">
        <f t="shared" si="15"/>
        <v>Sobab20</v>
      </c>
      <c r="B1011">
        <v>1</v>
      </c>
      <c r="C1011" t="s">
        <v>502</v>
      </c>
      <c r="D1011">
        <v>3</v>
      </c>
      <c r="E1011">
        <v>16</v>
      </c>
      <c r="F1011">
        <v>20</v>
      </c>
    </row>
    <row r="1012" spans="1:6" x14ac:dyDescent="0.2">
      <c r="A1012" t="str">
        <f t="shared" si="15"/>
        <v>OlivierN9220</v>
      </c>
      <c r="B1012">
        <v>2</v>
      </c>
      <c r="C1012" t="s">
        <v>32</v>
      </c>
      <c r="D1012">
        <v>0</v>
      </c>
      <c r="E1012">
        <v>12</v>
      </c>
      <c r="F1012">
        <v>20</v>
      </c>
    </row>
    <row r="1013" spans="1:6" x14ac:dyDescent="0.2">
      <c r="A1013" t="str">
        <f t="shared" si="15"/>
        <v>Proph@ne20</v>
      </c>
      <c r="B1013">
        <v>3</v>
      </c>
      <c r="C1013" t="s">
        <v>87</v>
      </c>
      <c r="D1013">
        <v>2</v>
      </c>
      <c r="E1013">
        <v>8</v>
      </c>
      <c r="F1013">
        <v>20</v>
      </c>
    </row>
    <row r="1014" spans="1:6" x14ac:dyDescent="0.2">
      <c r="A1014" t="str">
        <f t="shared" si="15"/>
        <v>Zizou20</v>
      </c>
      <c r="B1014">
        <v>4</v>
      </c>
      <c r="C1014" t="s">
        <v>504</v>
      </c>
      <c r="D1014">
        <v>0</v>
      </c>
      <c r="E1014">
        <v>4</v>
      </c>
      <c r="F1014">
        <v>20</v>
      </c>
    </row>
    <row r="1015" spans="1:6" x14ac:dyDescent="0.2">
      <c r="A1015" t="str">
        <f t="shared" si="15"/>
        <v>Yaltar20</v>
      </c>
      <c r="B1015">
        <v>5</v>
      </c>
      <c r="C1015" t="s">
        <v>503</v>
      </c>
      <c r="D1015">
        <v>0</v>
      </c>
      <c r="E1015">
        <v>2</v>
      </c>
      <c r="F1015">
        <v>20</v>
      </c>
    </row>
    <row r="1016" spans="1:6" x14ac:dyDescent="0.2">
      <c r="A1016" t="str">
        <f t="shared" si="15"/>
        <v>Michelbey20</v>
      </c>
      <c r="B1016">
        <v>6</v>
      </c>
      <c r="C1016" t="s">
        <v>75</v>
      </c>
      <c r="D1016">
        <v>0</v>
      </c>
      <c r="E1016">
        <v>1</v>
      </c>
      <c r="F1016">
        <v>20</v>
      </c>
    </row>
    <row r="1017" spans="1:6" x14ac:dyDescent="0.2">
      <c r="A1017" t="str">
        <f t="shared" si="15"/>
        <v>JC21</v>
      </c>
      <c r="B1017">
        <v>1</v>
      </c>
      <c r="C1017" t="s">
        <v>534</v>
      </c>
      <c r="D1017">
        <v>2</v>
      </c>
      <c r="E1017">
        <v>16</v>
      </c>
      <c r="F1017">
        <v>21</v>
      </c>
    </row>
    <row r="1018" spans="1:6" x14ac:dyDescent="0.2">
      <c r="A1018" t="str">
        <f t="shared" si="15"/>
        <v>Mandrake21</v>
      </c>
      <c r="B1018">
        <v>2</v>
      </c>
      <c r="C1018" t="s">
        <v>27</v>
      </c>
      <c r="D1018">
        <v>1</v>
      </c>
      <c r="E1018">
        <v>12</v>
      </c>
      <c r="F1018">
        <v>21</v>
      </c>
    </row>
    <row r="1019" spans="1:6" x14ac:dyDescent="0.2">
      <c r="A1019" t="str">
        <f t="shared" si="15"/>
        <v>Gibouille21</v>
      </c>
      <c r="B1019">
        <v>3</v>
      </c>
      <c r="C1019" t="s">
        <v>509</v>
      </c>
      <c r="D1019">
        <v>1</v>
      </c>
      <c r="E1019">
        <v>8</v>
      </c>
      <c r="F1019">
        <v>21</v>
      </c>
    </row>
    <row r="1020" spans="1:6" x14ac:dyDescent="0.2">
      <c r="A1020" t="str">
        <f t="shared" si="15"/>
        <v>Jérôme21</v>
      </c>
      <c r="B1020">
        <v>4</v>
      </c>
      <c r="C1020" t="s">
        <v>46</v>
      </c>
      <c r="D1020">
        <v>1</v>
      </c>
      <c r="E1020">
        <v>4</v>
      </c>
      <c r="F1020">
        <v>21</v>
      </c>
    </row>
    <row r="1021" spans="1:6" x14ac:dyDescent="0.2">
      <c r="A1021" t="str">
        <f t="shared" si="15"/>
        <v>Ripolin21</v>
      </c>
      <c r="B1021">
        <v>5</v>
      </c>
      <c r="C1021" t="s">
        <v>65</v>
      </c>
      <c r="D1021">
        <v>0</v>
      </c>
      <c r="E1021">
        <v>2</v>
      </c>
      <c r="F1021">
        <v>21</v>
      </c>
    </row>
    <row r="1022" spans="1:6" x14ac:dyDescent="0.2">
      <c r="A1022" t="str">
        <f t="shared" si="15"/>
        <v>Thibaultp7521</v>
      </c>
      <c r="B1022">
        <v>6</v>
      </c>
      <c r="C1022" t="s">
        <v>345</v>
      </c>
      <c r="D1022">
        <v>0</v>
      </c>
      <c r="E1022">
        <v>1</v>
      </c>
      <c r="F1022">
        <v>21</v>
      </c>
    </row>
    <row r="1023" spans="1:6" x14ac:dyDescent="0.2">
      <c r="A1023" t="str">
        <f t="shared" si="15"/>
        <v>Djecus21</v>
      </c>
      <c r="B1023">
        <v>1</v>
      </c>
      <c r="C1023" t="s">
        <v>461</v>
      </c>
      <c r="D1023">
        <v>3</v>
      </c>
      <c r="E1023">
        <v>17</v>
      </c>
      <c r="F1023">
        <v>21</v>
      </c>
    </row>
    <row r="1024" spans="1:6" x14ac:dyDescent="0.2">
      <c r="A1024" t="str">
        <f t="shared" si="15"/>
        <v>Xhar9221</v>
      </c>
      <c r="B1024">
        <v>2</v>
      </c>
      <c r="C1024" t="s">
        <v>519</v>
      </c>
      <c r="D1024">
        <v>2</v>
      </c>
      <c r="E1024">
        <v>13</v>
      </c>
      <c r="F1024">
        <v>21</v>
      </c>
    </row>
    <row r="1025" spans="1:6" x14ac:dyDescent="0.2">
      <c r="A1025" t="str">
        <f t="shared" si="15"/>
        <v>Ramm21</v>
      </c>
      <c r="B1025">
        <v>3</v>
      </c>
      <c r="C1025" t="s">
        <v>14</v>
      </c>
      <c r="D1025">
        <v>0</v>
      </c>
      <c r="E1025">
        <v>9</v>
      </c>
      <c r="F1025">
        <v>21</v>
      </c>
    </row>
    <row r="1026" spans="1:6" x14ac:dyDescent="0.2">
      <c r="A1026" t="str">
        <f t="shared" ref="A1026:A1089" si="16">C1026&amp;F1026</f>
        <v>Carmin21</v>
      </c>
      <c r="B1026">
        <v>4</v>
      </c>
      <c r="C1026" t="s">
        <v>21</v>
      </c>
      <c r="D1026">
        <v>0</v>
      </c>
      <c r="E1026">
        <v>5</v>
      </c>
      <c r="F1026">
        <v>21</v>
      </c>
    </row>
    <row r="1027" spans="1:6" x14ac:dyDescent="0.2">
      <c r="A1027" t="str">
        <f t="shared" si="16"/>
        <v>K121</v>
      </c>
      <c r="B1027">
        <v>5</v>
      </c>
      <c r="C1027" t="s">
        <v>9</v>
      </c>
      <c r="D1027">
        <v>1</v>
      </c>
      <c r="E1027">
        <v>3</v>
      </c>
      <c r="F1027">
        <v>21</v>
      </c>
    </row>
    <row r="1028" spans="1:6" x14ac:dyDescent="0.2">
      <c r="A1028" t="str">
        <f t="shared" si="16"/>
        <v>Fishtro21</v>
      </c>
      <c r="B1028">
        <v>6</v>
      </c>
      <c r="C1028" t="s">
        <v>512</v>
      </c>
      <c r="D1028">
        <v>0</v>
      </c>
      <c r="E1028">
        <v>2</v>
      </c>
      <c r="F1028">
        <v>21</v>
      </c>
    </row>
    <row r="1029" spans="1:6" x14ac:dyDescent="0.2">
      <c r="A1029" t="str">
        <f t="shared" si="16"/>
        <v>Kri-lin21</v>
      </c>
      <c r="B1029">
        <v>7</v>
      </c>
      <c r="C1029" t="s">
        <v>61</v>
      </c>
      <c r="D1029">
        <v>0</v>
      </c>
      <c r="E1029">
        <v>1</v>
      </c>
      <c r="F1029">
        <v>21</v>
      </c>
    </row>
    <row r="1030" spans="1:6" x14ac:dyDescent="0.2">
      <c r="A1030" t="str">
        <f t="shared" si="16"/>
        <v>Ptit Savoyard21</v>
      </c>
      <c r="B1030">
        <v>1</v>
      </c>
      <c r="C1030" t="s">
        <v>33</v>
      </c>
      <c r="D1030">
        <v>1</v>
      </c>
      <c r="E1030">
        <v>16</v>
      </c>
      <c r="F1030">
        <v>21</v>
      </c>
    </row>
    <row r="1031" spans="1:6" x14ac:dyDescent="0.2">
      <c r="A1031" t="str">
        <f t="shared" si="16"/>
        <v>Zubbaz21</v>
      </c>
      <c r="B1031">
        <v>2</v>
      </c>
      <c r="C1031" t="s">
        <v>506</v>
      </c>
      <c r="D1031">
        <v>3</v>
      </c>
      <c r="E1031">
        <v>12</v>
      </c>
      <c r="F1031">
        <v>21</v>
      </c>
    </row>
    <row r="1032" spans="1:6" x14ac:dyDescent="0.2">
      <c r="A1032" t="str">
        <f t="shared" si="16"/>
        <v>Pyja21</v>
      </c>
      <c r="B1032">
        <v>3</v>
      </c>
      <c r="C1032" t="s">
        <v>6</v>
      </c>
      <c r="D1032">
        <v>1</v>
      </c>
      <c r="E1032">
        <v>8</v>
      </c>
      <c r="F1032">
        <v>21</v>
      </c>
    </row>
    <row r="1033" spans="1:6" x14ac:dyDescent="0.2">
      <c r="A1033" t="str">
        <f t="shared" si="16"/>
        <v>Salender21</v>
      </c>
      <c r="B1033">
        <v>4</v>
      </c>
      <c r="C1033" t="s">
        <v>479</v>
      </c>
      <c r="D1033">
        <v>0</v>
      </c>
      <c r="E1033">
        <v>4</v>
      </c>
      <c r="F1033">
        <v>21</v>
      </c>
    </row>
    <row r="1034" spans="1:6" x14ac:dyDescent="0.2">
      <c r="A1034" t="str">
        <f t="shared" si="16"/>
        <v>Bounette21</v>
      </c>
      <c r="B1034">
        <v>5</v>
      </c>
      <c r="C1034" t="s">
        <v>55</v>
      </c>
      <c r="D1034">
        <v>0</v>
      </c>
      <c r="E1034">
        <v>2</v>
      </c>
      <c r="F1034">
        <v>21</v>
      </c>
    </row>
    <row r="1035" spans="1:6" x14ac:dyDescent="0.2">
      <c r="A1035" t="str">
        <f t="shared" si="16"/>
        <v>Catherine21</v>
      </c>
      <c r="B1035">
        <v>6</v>
      </c>
      <c r="C1035" t="s">
        <v>69</v>
      </c>
      <c r="D1035">
        <v>0</v>
      </c>
      <c r="E1035">
        <v>1</v>
      </c>
      <c r="F1035">
        <v>21</v>
      </c>
    </row>
    <row r="1036" spans="1:6" x14ac:dyDescent="0.2">
      <c r="A1036" t="str">
        <f t="shared" si="16"/>
        <v>JeanMichelTiming21</v>
      </c>
      <c r="B1036">
        <v>1</v>
      </c>
      <c r="C1036" t="s">
        <v>35</v>
      </c>
      <c r="D1036">
        <v>4</v>
      </c>
      <c r="E1036">
        <v>16</v>
      </c>
      <c r="F1036">
        <v>21</v>
      </c>
    </row>
    <row r="1037" spans="1:6" x14ac:dyDescent="0.2">
      <c r="A1037" t="str">
        <f t="shared" si="16"/>
        <v>PatB21</v>
      </c>
      <c r="B1037">
        <v>2</v>
      </c>
      <c r="C1037" t="s">
        <v>74</v>
      </c>
      <c r="D1037">
        <v>1</v>
      </c>
      <c r="E1037">
        <v>12</v>
      </c>
      <c r="F1037">
        <v>21</v>
      </c>
    </row>
    <row r="1038" spans="1:6" x14ac:dyDescent="0.2">
      <c r="A1038" t="str">
        <f t="shared" si="16"/>
        <v>Solucky21</v>
      </c>
      <c r="B1038">
        <v>3</v>
      </c>
      <c r="C1038" t="s">
        <v>485</v>
      </c>
      <c r="D1038">
        <v>0</v>
      </c>
      <c r="E1038">
        <v>8</v>
      </c>
      <c r="F1038">
        <v>21</v>
      </c>
    </row>
    <row r="1039" spans="1:6" x14ac:dyDescent="0.2">
      <c r="A1039" t="str">
        <f t="shared" si="16"/>
        <v>Freddie21</v>
      </c>
      <c r="B1039">
        <v>4</v>
      </c>
      <c r="C1039" t="s">
        <v>525</v>
      </c>
      <c r="D1039">
        <v>0</v>
      </c>
      <c r="E1039">
        <v>4</v>
      </c>
      <c r="F1039">
        <v>21</v>
      </c>
    </row>
    <row r="1040" spans="1:6" x14ac:dyDescent="0.2">
      <c r="A1040" t="str">
        <f t="shared" si="16"/>
        <v>Rockatou21</v>
      </c>
      <c r="B1040">
        <v>5</v>
      </c>
      <c r="C1040" t="s">
        <v>493</v>
      </c>
      <c r="D1040">
        <v>0</v>
      </c>
      <c r="E1040">
        <v>2</v>
      </c>
      <c r="F1040">
        <v>21</v>
      </c>
    </row>
    <row r="1041" spans="1:6" x14ac:dyDescent="0.2">
      <c r="A1041" t="str">
        <f t="shared" si="16"/>
        <v>Lén@21</v>
      </c>
      <c r="B1041">
        <v>6</v>
      </c>
      <c r="C1041" t="s">
        <v>40</v>
      </c>
      <c r="D1041">
        <v>0</v>
      </c>
      <c r="E1041">
        <v>1</v>
      </c>
      <c r="F1041">
        <v>21</v>
      </c>
    </row>
    <row r="1042" spans="1:6" x14ac:dyDescent="0.2">
      <c r="A1042" t="str">
        <f t="shared" si="16"/>
        <v>Ad Vitam21</v>
      </c>
      <c r="B1042">
        <v>1</v>
      </c>
      <c r="C1042" t="s">
        <v>66</v>
      </c>
      <c r="D1042">
        <v>2</v>
      </c>
      <c r="E1042">
        <v>17</v>
      </c>
      <c r="F1042">
        <v>21</v>
      </c>
    </row>
    <row r="1043" spans="1:6" x14ac:dyDescent="0.2">
      <c r="A1043" t="str">
        <f t="shared" si="16"/>
        <v>Claudius21</v>
      </c>
      <c r="B1043">
        <v>2</v>
      </c>
      <c r="C1043" t="s">
        <v>25</v>
      </c>
      <c r="D1043">
        <v>3</v>
      </c>
      <c r="E1043">
        <v>13</v>
      </c>
      <c r="F1043">
        <v>21</v>
      </c>
    </row>
    <row r="1044" spans="1:6" x14ac:dyDescent="0.2">
      <c r="A1044" t="str">
        <f t="shared" si="16"/>
        <v>Empedocle21</v>
      </c>
      <c r="B1044">
        <v>3</v>
      </c>
      <c r="C1044" t="s">
        <v>81</v>
      </c>
      <c r="D1044">
        <v>0</v>
      </c>
      <c r="E1044">
        <v>9</v>
      </c>
      <c r="F1044">
        <v>21</v>
      </c>
    </row>
    <row r="1045" spans="1:6" x14ac:dyDescent="0.2">
      <c r="A1045" t="str">
        <f t="shared" si="16"/>
        <v>YooooDA21</v>
      </c>
      <c r="B1045">
        <v>4</v>
      </c>
      <c r="C1045" t="s">
        <v>59</v>
      </c>
      <c r="D1045">
        <v>0</v>
      </c>
      <c r="E1045">
        <v>5</v>
      </c>
      <c r="F1045">
        <v>21</v>
      </c>
    </row>
    <row r="1046" spans="1:6" x14ac:dyDescent="0.2">
      <c r="A1046" t="str">
        <f t="shared" si="16"/>
        <v>Flem21</v>
      </c>
      <c r="B1046">
        <v>5</v>
      </c>
      <c r="C1046" t="s">
        <v>73</v>
      </c>
      <c r="D1046">
        <v>0</v>
      </c>
      <c r="E1046">
        <v>3</v>
      </c>
      <c r="F1046">
        <v>21</v>
      </c>
    </row>
    <row r="1047" spans="1:6" x14ac:dyDescent="0.2">
      <c r="A1047" t="str">
        <f t="shared" si="16"/>
        <v>TheRealWill21</v>
      </c>
      <c r="B1047">
        <v>6</v>
      </c>
      <c r="C1047" t="s">
        <v>535</v>
      </c>
      <c r="D1047">
        <v>1</v>
      </c>
      <c r="E1047">
        <v>2</v>
      </c>
      <c r="F1047">
        <v>21</v>
      </c>
    </row>
    <row r="1048" spans="1:6" x14ac:dyDescent="0.2">
      <c r="A1048" t="str">
        <f t="shared" si="16"/>
        <v>OlivierN9221</v>
      </c>
      <c r="B1048">
        <v>7</v>
      </c>
      <c r="C1048" t="s">
        <v>32</v>
      </c>
      <c r="D1048">
        <v>0</v>
      </c>
      <c r="E1048">
        <v>1</v>
      </c>
      <c r="F1048">
        <v>21</v>
      </c>
    </row>
    <row r="1049" spans="1:6" x14ac:dyDescent="0.2">
      <c r="A1049" t="str">
        <f t="shared" si="16"/>
        <v>La Bavure21</v>
      </c>
      <c r="B1049">
        <v>1</v>
      </c>
      <c r="C1049" t="s">
        <v>475</v>
      </c>
      <c r="D1049">
        <v>3</v>
      </c>
      <c r="E1049">
        <v>16</v>
      </c>
      <c r="F1049">
        <v>21</v>
      </c>
    </row>
    <row r="1050" spans="1:6" x14ac:dyDescent="0.2">
      <c r="A1050" t="str">
        <f t="shared" si="16"/>
        <v>Proph@ne21</v>
      </c>
      <c r="B1050">
        <v>2</v>
      </c>
      <c r="C1050" t="s">
        <v>87</v>
      </c>
      <c r="D1050">
        <v>2</v>
      </c>
      <c r="E1050">
        <v>12</v>
      </c>
      <c r="F1050">
        <v>21</v>
      </c>
    </row>
    <row r="1051" spans="1:6" x14ac:dyDescent="0.2">
      <c r="A1051" t="str">
        <f t="shared" si="16"/>
        <v>Comment221</v>
      </c>
      <c r="B1051">
        <v>3</v>
      </c>
      <c r="C1051" t="s">
        <v>76</v>
      </c>
      <c r="D1051">
        <v>0</v>
      </c>
      <c r="E1051">
        <v>8</v>
      </c>
      <c r="F1051">
        <v>21</v>
      </c>
    </row>
    <row r="1052" spans="1:6" x14ac:dyDescent="0.2">
      <c r="A1052" t="str">
        <f t="shared" si="16"/>
        <v>Yarael21</v>
      </c>
      <c r="B1052">
        <v>4</v>
      </c>
      <c r="C1052" t="s">
        <v>88</v>
      </c>
      <c r="D1052">
        <v>0</v>
      </c>
      <c r="E1052">
        <v>4</v>
      </c>
      <c r="F1052">
        <v>21</v>
      </c>
    </row>
    <row r="1053" spans="1:6" x14ac:dyDescent="0.2">
      <c r="A1053" t="str">
        <f t="shared" si="16"/>
        <v>Tenko21</v>
      </c>
      <c r="B1053">
        <v>5</v>
      </c>
      <c r="C1053" t="s">
        <v>516</v>
      </c>
      <c r="D1053">
        <v>0</v>
      </c>
      <c r="E1053">
        <v>2</v>
      </c>
      <c r="F1053">
        <v>21</v>
      </c>
    </row>
    <row r="1054" spans="1:6" x14ac:dyDescent="0.2">
      <c r="A1054" t="str">
        <f t="shared" si="16"/>
        <v>Losogre21</v>
      </c>
      <c r="B1054">
        <v>6</v>
      </c>
      <c r="C1054" t="s">
        <v>507</v>
      </c>
      <c r="D1054">
        <v>0</v>
      </c>
      <c r="E1054">
        <v>1</v>
      </c>
      <c r="F1054">
        <v>21</v>
      </c>
    </row>
    <row r="1055" spans="1:6" x14ac:dyDescent="0.2">
      <c r="A1055" t="str">
        <f t="shared" si="16"/>
        <v>LAAtof21</v>
      </c>
      <c r="B1055">
        <v>1</v>
      </c>
      <c r="C1055" t="s">
        <v>15</v>
      </c>
      <c r="D1055">
        <v>1</v>
      </c>
      <c r="E1055">
        <v>16</v>
      </c>
      <c r="F1055">
        <v>21</v>
      </c>
    </row>
    <row r="1056" spans="1:6" x14ac:dyDescent="0.2">
      <c r="A1056" t="str">
        <f t="shared" si="16"/>
        <v>Poisson Pilote21</v>
      </c>
      <c r="B1056">
        <v>2</v>
      </c>
      <c r="C1056" t="s">
        <v>501</v>
      </c>
      <c r="D1056">
        <v>1</v>
      </c>
      <c r="E1056">
        <v>12</v>
      </c>
      <c r="F1056">
        <v>21</v>
      </c>
    </row>
    <row r="1057" spans="1:6" x14ac:dyDescent="0.2">
      <c r="A1057" t="str">
        <f t="shared" si="16"/>
        <v>Michelbey21</v>
      </c>
      <c r="B1057">
        <v>3</v>
      </c>
      <c r="C1057" t="s">
        <v>75</v>
      </c>
      <c r="D1057">
        <v>3</v>
      </c>
      <c r="E1057">
        <v>8</v>
      </c>
      <c r="F1057">
        <v>21</v>
      </c>
    </row>
    <row r="1058" spans="1:6" x14ac:dyDescent="0.2">
      <c r="A1058" t="str">
        <f t="shared" si="16"/>
        <v>Delgres21</v>
      </c>
      <c r="B1058">
        <v>4</v>
      </c>
      <c r="C1058" t="s">
        <v>280</v>
      </c>
      <c r="D1058">
        <v>0</v>
      </c>
      <c r="E1058">
        <v>4</v>
      </c>
      <c r="F1058">
        <v>21</v>
      </c>
    </row>
    <row r="1059" spans="1:6" x14ac:dyDescent="0.2">
      <c r="A1059" t="str">
        <f t="shared" si="16"/>
        <v>Guerno21</v>
      </c>
      <c r="B1059">
        <v>5</v>
      </c>
      <c r="C1059" t="s">
        <v>484</v>
      </c>
      <c r="D1059">
        <v>0</v>
      </c>
      <c r="E1059">
        <v>2</v>
      </c>
      <c r="F1059">
        <v>21</v>
      </c>
    </row>
    <row r="1060" spans="1:6" x14ac:dyDescent="0.2">
      <c r="A1060" t="str">
        <f t="shared" si="16"/>
        <v>Magic Mykiss21</v>
      </c>
      <c r="B1060">
        <v>6</v>
      </c>
      <c r="C1060" t="s">
        <v>510</v>
      </c>
      <c r="D1060">
        <v>0</v>
      </c>
      <c r="E1060">
        <v>1</v>
      </c>
      <c r="F1060">
        <v>21</v>
      </c>
    </row>
    <row r="1061" spans="1:6" x14ac:dyDescent="0.2">
      <c r="A1061" t="str">
        <f t="shared" si="16"/>
        <v>Sobab21</v>
      </c>
      <c r="B1061">
        <v>1</v>
      </c>
      <c r="C1061" t="s">
        <v>502</v>
      </c>
      <c r="D1061">
        <v>3</v>
      </c>
      <c r="E1061">
        <v>17</v>
      </c>
      <c r="F1061">
        <v>21</v>
      </c>
    </row>
    <row r="1062" spans="1:6" x14ac:dyDescent="0.2">
      <c r="A1062" t="str">
        <f t="shared" si="16"/>
        <v>Mams21</v>
      </c>
      <c r="B1062">
        <v>2</v>
      </c>
      <c r="C1062" t="s">
        <v>505</v>
      </c>
      <c r="D1062">
        <v>2</v>
      </c>
      <c r="E1062">
        <v>13</v>
      </c>
      <c r="F1062">
        <v>21</v>
      </c>
    </row>
    <row r="1063" spans="1:6" x14ac:dyDescent="0.2">
      <c r="A1063" t="str">
        <f t="shared" si="16"/>
        <v>Gibbonfury21</v>
      </c>
      <c r="B1063">
        <v>3</v>
      </c>
      <c r="C1063" t="s">
        <v>454</v>
      </c>
      <c r="D1063">
        <v>0</v>
      </c>
      <c r="E1063">
        <v>9</v>
      </c>
      <c r="F1063">
        <v>21</v>
      </c>
    </row>
    <row r="1064" spans="1:6" x14ac:dyDescent="0.2">
      <c r="A1064" t="str">
        <f t="shared" si="16"/>
        <v>Yaltar21</v>
      </c>
      <c r="B1064">
        <v>4</v>
      </c>
      <c r="C1064" t="s">
        <v>503</v>
      </c>
      <c r="D1064">
        <v>1</v>
      </c>
      <c r="E1064">
        <v>5</v>
      </c>
      <c r="F1064">
        <v>21</v>
      </c>
    </row>
    <row r="1065" spans="1:6" x14ac:dyDescent="0.2">
      <c r="A1065" t="str">
        <f t="shared" si="16"/>
        <v>Kheops21</v>
      </c>
      <c r="B1065">
        <v>5</v>
      </c>
      <c r="C1065" t="s">
        <v>500</v>
      </c>
      <c r="D1065">
        <v>0</v>
      </c>
      <c r="E1065">
        <v>3</v>
      </c>
      <c r="F1065">
        <v>21</v>
      </c>
    </row>
    <row r="1066" spans="1:6" x14ac:dyDescent="0.2">
      <c r="A1066" t="str">
        <f t="shared" si="16"/>
        <v>Claptou21</v>
      </c>
      <c r="B1066">
        <v>6</v>
      </c>
      <c r="C1066" t="s">
        <v>42</v>
      </c>
      <c r="D1066">
        <v>0</v>
      </c>
      <c r="E1066">
        <v>2</v>
      </c>
      <c r="F1066">
        <v>21</v>
      </c>
    </row>
    <row r="1067" spans="1:6" x14ac:dyDescent="0.2">
      <c r="A1067" t="str">
        <f t="shared" si="16"/>
        <v>Zizou21</v>
      </c>
      <c r="B1067">
        <v>7</v>
      </c>
      <c r="C1067" t="s">
        <v>504</v>
      </c>
      <c r="D1067">
        <v>0</v>
      </c>
      <c r="E1067">
        <v>1</v>
      </c>
      <c r="F1067">
        <v>21</v>
      </c>
    </row>
    <row r="1068" spans="1:6" x14ac:dyDescent="0.2">
      <c r="A1068" t="str">
        <f t="shared" si="16"/>
        <v>PatB22</v>
      </c>
      <c r="B1068">
        <v>1</v>
      </c>
      <c r="C1068" t="s">
        <v>74</v>
      </c>
      <c r="D1068">
        <v>3</v>
      </c>
      <c r="E1068">
        <v>17</v>
      </c>
      <c r="F1068">
        <v>22</v>
      </c>
    </row>
    <row r="1069" spans="1:6" x14ac:dyDescent="0.2">
      <c r="A1069" t="str">
        <f t="shared" si="16"/>
        <v>Sobab22</v>
      </c>
      <c r="B1069">
        <v>2</v>
      </c>
      <c r="C1069" t="s">
        <v>502</v>
      </c>
      <c r="D1069">
        <v>2</v>
      </c>
      <c r="E1069">
        <v>13</v>
      </c>
      <c r="F1069">
        <v>22</v>
      </c>
    </row>
    <row r="1070" spans="1:6" x14ac:dyDescent="0.2">
      <c r="A1070" t="str">
        <f t="shared" si="16"/>
        <v>Gibouille22</v>
      </c>
      <c r="B1070">
        <v>3</v>
      </c>
      <c r="C1070" t="s">
        <v>509</v>
      </c>
      <c r="D1070">
        <v>0</v>
      </c>
      <c r="E1070">
        <v>9</v>
      </c>
      <c r="F1070">
        <v>22</v>
      </c>
    </row>
    <row r="1071" spans="1:6" x14ac:dyDescent="0.2">
      <c r="A1071" t="str">
        <f t="shared" si="16"/>
        <v>Ouais ouais22</v>
      </c>
      <c r="B1071">
        <v>4</v>
      </c>
      <c r="C1071" t="s">
        <v>533</v>
      </c>
      <c r="D1071">
        <v>0</v>
      </c>
      <c r="E1071">
        <v>5</v>
      </c>
      <c r="F1071">
        <v>22</v>
      </c>
    </row>
    <row r="1072" spans="1:6" x14ac:dyDescent="0.2">
      <c r="A1072" t="str">
        <f t="shared" si="16"/>
        <v>Rmarc22</v>
      </c>
      <c r="B1072">
        <v>5</v>
      </c>
      <c r="C1072" t="s">
        <v>508</v>
      </c>
      <c r="D1072">
        <v>0</v>
      </c>
      <c r="E1072">
        <v>3</v>
      </c>
      <c r="F1072">
        <v>22</v>
      </c>
    </row>
    <row r="1073" spans="1:6" x14ac:dyDescent="0.2">
      <c r="A1073" t="str">
        <f t="shared" si="16"/>
        <v>Salender22</v>
      </c>
      <c r="B1073">
        <v>6</v>
      </c>
      <c r="C1073" t="s">
        <v>479</v>
      </c>
      <c r="D1073">
        <v>1</v>
      </c>
      <c r="E1073">
        <v>2</v>
      </c>
      <c r="F1073">
        <v>22</v>
      </c>
    </row>
    <row r="1074" spans="1:6" x14ac:dyDescent="0.2">
      <c r="A1074" t="str">
        <f t="shared" si="16"/>
        <v>Mams22</v>
      </c>
      <c r="B1074">
        <v>7</v>
      </c>
      <c r="C1074" t="s">
        <v>505</v>
      </c>
      <c r="D1074">
        <v>0</v>
      </c>
      <c r="E1074">
        <v>1</v>
      </c>
      <c r="F1074">
        <v>22</v>
      </c>
    </row>
    <row r="1075" spans="1:6" x14ac:dyDescent="0.2">
      <c r="A1075" t="str">
        <f t="shared" si="16"/>
        <v>TheRealWill22</v>
      </c>
      <c r="B1075">
        <v>1</v>
      </c>
      <c r="C1075" t="s">
        <v>535</v>
      </c>
      <c r="D1075">
        <v>2</v>
      </c>
      <c r="E1075">
        <v>16</v>
      </c>
      <c r="F1075">
        <v>22</v>
      </c>
    </row>
    <row r="1076" spans="1:6" x14ac:dyDescent="0.2">
      <c r="A1076" t="str">
        <f t="shared" si="16"/>
        <v>JeanMichelTiming22</v>
      </c>
      <c r="B1076">
        <v>2</v>
      </c>
      <c r="C1076" t="s">
        <v>35</v>
      </c>
      <c r="D1076">
        <v>2</v>
      </c>
      <c r="E1076">
        <v>12</v>
      </c>
      <c r="F1076">
        <v>22</v>
      </c>
    </row>
    <row r="1077" spans="1:6" x14ac:dyDescent="0.2">
      <c r="A1077" t="str">
        <f t="shared" si="16"/>
        <v>Ptit Savoyard22</v>
      </c>
      <c r="B1077">
        <v>3</v>
      </c>
      <c r="C1077" t="s">
        <v>33</v>
      </c>
      <c r="D1077">
        <v>0</v>
      </c>
      <c r="E1077">
        <v>8</v>
      </c>
      <c r="F1077">
        <v>22</v>
      </c>
    </row>
    <row r="1078" spans="1:6" x14ac:dyDescent="0.2">
      <c r="A1078" t="str">
        <f t="shared" si="16"/>
        <v>Poisson Pilote22</v>
      </c>
      <c r="B1078">
        <v>4</v>
      </c>
      <c r="C1078" t="s">
        <v>501</v>
      </c>
      <c r="D1078">
        <v>0</v>
      </c>
      <c r="E1078">
        <v>4</v>
      </c>
      <c r="F1078">
        <v>22</v>
      </c>
    </row>
    <row r="1079" spans="1:6" x14ac:dyDescent="0.2">
      <c r="A1079" t="str">
        <f t="shared" si="16"/>
        <v>Lén@22</v>
      </c>
      <c r="B1079">
        <v>5</v>
      </c>
      <c r="C1079" t="s">
        <v>40</v>
      </c>
      <c r="D1079">
        <v>1</v>
      </c>
      <c r="E1079">
        <v>2</v>
      </c>
      <c r="F1079">
        <v>22</v>
      </c>
    </row>
    <row r="1080" spans="1:6" x14ac:dyDescent="0.2">
      <c r="A1080" t="str">
        <f t="shared" si="16"/>
        <v>Jérôme22</v>
      </c>
      <c r="B1080">
        <v>6</v>
      </c>
      <c r="C1080" t="s">
        <v>46</v>
      </c>
      <c r="D1080">
        <v>0</v>
      </c>
      <c r="E1080">
        <v>1</v>
      </c>
      <c r="F1080">
        <v>22</v>
      </c>
    </row>
    <row r="1081" spans="1:6" x14ac:dyDescent="0.2">
      <c r="A1081" t="str">
        <f t="shared" si="16"/>
        <v>DernierPli22</v>
      </c>
      <c r="B1081">
        <v>1</v>
      </c>
      <c r="C1081" t="s">
        <v>490</v>
      </c>
      <c r="D1081">
        <v>3</v>
      </c>
      <c r="E1081">
        <v>17</v>
      </c>
      <c r="F1081">
        <v>22</v>
      </c>
    </row>
    <row r="1082" spans="1:6" x14ac:dyDescent="0.2">
      <c r="A1082" t="str">
        <f t="shared" si="16"/>
        <v>LAAtof22</v>
      </c>
      <c r="B1082">
        <v>2</v>
      </c>
      <c r="C1082" t="s">
        <v>15</v>
      </c>
      <c r="D1082">
        <v>1</v>
      </c>
      <c r="E1082">
        <v>13</v>
      </c>
      <c r="F1082">
        <v>22</v>
      </c>
    </row>
    <row r="1083" spans="1:6" x14ac:dyDescent="0.2">
      <c r="A1083" t="str">
        <f t="shared" si="16"/>
        <v>Claudius22</v>
      </c>
      <c r="B1083">
        <v>3</v>
      </c>
      <c r="C1083" t="s">
        <v>25</v>
      </c>
      <c r="D1083">
        <v>1</v>
      </c>
      <c r="E1083">
        <v>9</v>
      </c>
      <c r="F1083">
        <v>22</v>
      </c>
    </row>
    <row r="1084" spans="1:6" x14ac:dyDescent="0.2">
      <c r="A1084" t="str">
        <f t="shared" si="16"/>
        <v>JC22</v>
      </c>
      <c r="B1084">
        <v>4</v>
      </c>
      <c r="C1084" t="s">
        <v>534</v>
      </c>
      <c r="D1084">
        <v>0</v>
      </c>
      <c r="E1084">
        <v>5</v>
      </c>
      <c r="F1084">
        <v>22</v>
      </c>
    </row>
    <row r="1085" spans="1:6" x14ac:dyDescent="0.2">
      <c r="A1085" t="str">
        <f t="shared" si="16"/>
        <v>Pyja22</v>
      </c>
      <c r="B1085">
        <v>5</v>
      </c>
      <c r="C1085" t="s">
        <v>6</v>
      </c>
      <c r="D1085">
        <v>0</v>
      </c>
      <c r="E1085">
        <v>3</v>
      </c>
      <c r="F1085">
        <v>22</v>
      </c>
    </row>
    <row r="1086" spans="1:6" x14ac:dyDescent="0.2">
      <c r="A1086" t="str">
        <f t="shared" si="16"/>
        <v>K122</v>
      </c>
      <c r="B1086">
        <v>6</v>
      </c>
      <c r="C1086" t="s">
        <v>9</v>
      </c>
      <c r="D1086">
        <v>1</v>
      </c>
      <c r="E1086">
        <v>2</v>
      </c>
      <c r="F1086">
        <v>22</v>
      </c>
    </row>
    <row r="1087" spans="1:6" x14ac:dyDescent="0.2">
      <c r="A1087" t="str">
        <f t="shared" si="16"/>
        <v>Soupaman22</v>
      </c>
      <c r="B1087">
        <v>7</v>
      </c>
      <c r="C1087" t="s">
        <v>518</v>
      </c>
      <c r="D1087">
        <v>0</v>
      </c>
      <c r="E1087">
        <v>1</v>
      </c>
      <c r="F1087">
        <v>22</v>
      </c>
    </row>
    <row r="1088" spans="1:6" x14ac:dyDescent="0.2">
      <c r="A1088" t="str">
        <f t="shared" si="16"/>
        <v>OlivierN9222</v>
      </c>
      <c r="B1088">
        <v>1</v>
      </c>
      <c r="C1088" t="s">
        <v>32</v>
      </c>
      <c r="D1088">
        <v>2</v>
      </c>
      <c r="E1088">
        <v>17</v>
      </c>
      <c r="F1088">
        <v>22</v>
      </c>
    </row>
    <row r="1089" spans="1:6" x14ac:dyDescent="0.2">
      <c r="A1089" t="str">
        <f t="shared" si="16"/>
        <v>Kheops22</v>
      </c>
      <c r="B1089">
        <v>2</v>
      </c>
      <c r="C1089" t="s">
        <v>500</v>
      </c>
      <c r="D1089">
        <v>2</v>
      </c>
      <c r="E1089">
        <v>13</v>
      </c>
      <c r="F1089">
        <v>22</v>
      </c>
    </row>
    <row r="1090" spans="1:6" x14ac:dyDescent="0.2">
      <c r="A1090" t="str">
        <f t="shared" ref="A1090:A1153" si="17">C1090&amp;F1090</f>
        <v>Proph@ne22</v>
      </c>
      <c r="B1090">
        <v>3</v>
      </c>
      <c r="C1090" t="s">
        <v>87</v>
      </c>
      <c r="D1090">
        <v>2</v>
      </c>
      <c r="E1090">
        <v>9</v>
      </c>
      <c r="F1090">
        <v>22</v>
      </c>
    </row>
    <row r="1091" spans="1:6" x14ac:dyDescent="0.2">
      <c r="A1091" t="str">
        <f t="shared" si="17"/>
        <v>Bounette22</v>
      </c>
      <c r="B1091">
        <v>4</v>
      </c>
      <c r="C1091" t="s">
        <v>55</v>
      </c>
      <c r="D1091">
        <v>0</v>
      </c>
      <c r="E1091">
        <v>5</v>
      </c>
      <c r="F1091">
        <v>22</v>
      </c>
    </row>
    <row r="1092" spans="1:6" x14ac:dyDescent="0.2">
      <c r="A1092" t="str">
        <f t="shared" si="17"/>
        <v>Xhar9222</v>
      </c>
      <c r="B1092">
        <v>5</v>
      </c>
      <c r="C1092" t="s">
        <v>519</v>
      </c>
      <c r="D1092">
        <v>0</v>
      </c>
      <c r="E1092">
        <v>3</v>
      </c>
      <c r="F1092">
        <v>22</v>
      </c>
    </row>
    <row r="1093" spans="1:6" x14ac:dyDescent="0.2">
      <c r="A1093" t="str">
        <f t="shared" si="17"/>
        <v>Losogre22</v>
      </c>
      <c r="B1093">
        <v>6</v>
      </c>
      <c r="C1093" t="s">
        <v>507</v>
      </c>
      <c r="D1093">
        <v>0</v>
      </c>
      <c r="E1093">
        <v>2</v>
      </c>
      <c r="F1093">
        <v>22</v>
      </c>
    </row>
    <row r="1094" spans="1:6" x14ac:dyDescent="0.2">
      <c r="A1094" t="str">
        <f t="shared" si="17"/>
        <v>Solucky22</v>
      </c>
      <c r="B1094">
        <v>7</v>
      </c>
      <c r="C1094" t="s">
        <v>485</v>
      </c>
      <c r="D1094">
        <v>0</v>
      </c>
      <c r="E1094">
        <v>1</v>
      </c>
      <c r="F1094">
        <v>22</v>
      </c>
    </row>
    <row r="1095" spans="1:6" x14ac:dyDescent="0.2">
      <c r="A1095" t="str">
        <f t="shared" si="17"/>
        <v>Boosilletoo22</v>
      </c>
      <c r="B1095">
        <v>1</v>
      </c>
      <c r="C1095" t="s">
        <v>532</v>
      </c>
      <c r="D1095">
        <v>1</v>
      </c>
      <c r="E1095">
        <v>16</v>
      </c>
      <c r="F1095">
        <v>22</v>
      </c>
    </row>
    <row r="1096" spans="1:6" x14ac:dyDescent="0.2">
      <c r="A1096" t="str">
        <f t="shared" si="17"/>
        <v>Giobeck22</v>
      </c>
      <c r="B1096">
        <v>1</v>
      </c>
      <c r="C1096" t="s">
        <v>19</v>
      </c>
      <c r="D1096">
        <v>2</v>
      </c>
      <c r="E1096">
        <v>16</v>
      </c>
      <c r="F1096">
        <v>22</v>
      </c>
    </row>
    <row r="1097" spans="1:6" x14ac:dyDescent="0.2">
      <c r="A1097" t="str">
        <f t="shared" si="17"/>
        <v>Catherine22</v>
      </c>
      <c r="B1097">
        <v>3</v>
      </c>
      <c r="C1097" t="s">
        <v>69</v>
      </c>
      <c r="D1097">
        <v>1</v>
      </c>
      <c r="E1097">
        <v>8</v>
      </c>
      <c r="F1097">
        <v>22</v>
      </c>
    </row>
    <row r="1098" spans="1:6" x14ac:dyDescent="0.2">
      <c r="A1098" t="str">
        <f t="shared" si="17"/>
        <v>Yroz22</v>
      </c>
      <c r="B1098">
        <v>4</v>
      </c>
      <c r="C1098" t="s">
        <v>526</v>
      </c>
      <c r="D1098">
        <v>1</v>
      </c>
      <c r="E1098">
        <v>4</v>
      </c>
      <c r="F1098">
        <v>22</v>
      </c>
    </row>
    <row r="1099" spans="1:6" x14ac:dyDescent="0.2">
      <c r="A1099" t="str">
        <f t="shared" si="17"/>
        <v>Carmin22</v>
      </c>
      <c r="B1099">
        <v>5</v>
      </c>
      <c r="C1099" t="s">
        <v>21</v>
      </c>
      <c r="D1099">
        <v>0</v>
      </c>
      <c r="E1099">
        <v>2</v>
      </c>
      <c r="F1099">
        <v>22</v>
      </c>
    </row>
    <row r="1100" spans="1:6" x14ac:dyDescent="0.2">
      <c r="A1100" t="str">
        <f t="shared" si="17"/>
        <v>Rockatou22</v>
      </c>
      <c r="B1100">
        <v>6</v>
      </c>
      <c r="C1100" t="s">
        <v>493</v>
      </c>
      <c r="D1100">
        <v>0</v>
      </c>
      <c r="E1100">
        <v>1</v>
      </c>
      <c r="F1100">
        <v>22</v>
      </c>
    </row>
    <row r="1101" spans="1:6" x14ac:dyDescent="0.2">
      <c r="A1101" t="str">
        <f t="shared" si="17"/>
        <v>La Bavure22</v>
      </c>
      <c r="B1101">
        <v>1</v>
      </c>
      <c r="C1101" t="s">
        <v>475</v>
      </c>
      <c r="D1101">
        <v>5</v>
      </c>
      <c r="E1101">
        <v>16</v>
      </c>
      <c r="F1101">
        <v>22</v>
      </c>
    </row>
    <row r="1102" spans="1:6" x14ac:dyDescent="0.2">
      <c r="A1102" t="str">
        <f t="shared" si="17"/>
        <v>Fishtro22</v>
      </c>
      <c r="B1102">
        <v>2</v>
      </c>
      <c r="C1102" t="s">
        <v>512</v>
      </c>
      <c r="D1102">
        <v>0</v>
      </c>
      <c r="E1102">
        <v>12</v>
      </c>
      <c r="F1102">
        <v>22</v>
      </c>
    </row>
    <row r="1103" spans="1:6" x14ac:dyDescent="0.2">
      <c r="A1103" t="str">
        <f t="shared" si="17"/>
        <v>MegaSouche22</v>
      </c>
      <c r="B1103">
        <v>3</v>
      </c>
      <c r="C1103" t="s">
        <v>476</v>
      </c>
      <c r="D1103">
        <v>0</v>
      </c>
      <c r="E1103">
        <v>8</v>
      </c>
      <c r="F1103">
        <v>22</v>
      </c>
    </row>
    <row r="1104" spans="1:6" x14ac:dyDescent="0.2">
      <c r="A1104" t="str">
        <f t="shared" si="17"/>
        <v>Freddie22</v>
      </c>
      <c r="B1104">
        <v>4</v>
      </c>
      <c r="C1104" t="s">
        <v>525</v>
      </c>
      <c r="D1104">
        <v>0</v>
      </c>
      <c r="E1104">
        <v>4</v>
      </c>
      <c r="F1104">
        <v>22</v>
      </c>
    </row>
    <row r="1105" spans="1:6" x14ac:dyDescent="0.2">
      <c r="A1105" t="str">
        <f t="shared" si="17"/>
        <v>Empedocle22</v>
      </c>
      <c r="B1105">
        <v>5</v>
      </c>
      <c r="C1105" t="s">
        <v>81</v>
      </c>
      <c r="D1105">
        <v>0</v>
      </c>
      <c r="E1105">
        <v>2</v>
      </c>
      <c r="F1105">
        <v>22</v>
      </c>
    </row>
    <row r="1106" spans="1:6" x14ac:dyDescent="0.2">
      <c r="A1106" t="str">
        <f t="shared" si="17"/>
        <v>Michelbey22</v>
      </c>
      <c r="B1106">
        <v>6</v>
      </c>
      <c r="C1106" t="s">
        <v>75</v>
      </c>
      <c r="D1106">
        <v>0</v>
      </c>
      <c r="E1106">
        <v>1</v>
      </c>
      <c r="F1106">
        <v>22</v>
      </c>
    </row>
    <row r="1107" spans="1:6" x14ac:dyDescent="0.2">
      <c r="A1107" t="str">
        <f t="shared" si="17"/>
        <v>Chico22</v>
      </c>
      <c r="B1107">
        <v>1</v>
      </c>
      <c r="C1107" t="s">
        <v>515</v>
      </c>
      <c r="D1107">
        <v>2</v>
      </c>
      <c r="E1107">
        <v>17</v>
      </c>
      <c r="F1107">
        <v>22</v>
      </c>
    </row>
    <row r="1108" spans="1:6" x14ac:dyDescent="0.2">
      <c r="A1108" t="str">
        <f t="shared" si="17"/>
        <v>Mandrake22</v>
      </c>
      <c r="B1108">
        <v>2</v>
      </c>
      <c r="C1108" t="s">
        <v>27</v>
      </c>
      <c r="D1108">
        <v>3</v>
      </c>
      <c r="E1108">
        <v>13</v>
      </c>
      <c r="F1108">
        <v>22</v>
      </c>
    </row>
    <row r="1109" spans="1:6" x14ac:dyDescent="0.2">
      <c r="A1109" t="str">
        <f t="shared" si="17"/>
        <v>Zizou22</v>
      </c>
      <c r="B1109">
        <v>3</v>
      </c>
      <c r="C1109" t="s">
        <v>504</v>
      </c>
      <c r="D1109">
        <v>1</v>
      </c>
      <c r="E1109">
        <v>9</v>
      </c>
      <c r="F1109">
        <v>22</v>
      </c>
    </row>
    <row r="1110" spans="1:6" x14ac:dyDescent="0.2">
      <c r="A1110" t="str">
        <f t="shared" si="17"/>
        <v>Djecus22</v>
      </c>
      <c r="B1110">
        <v>4</v>
      </c>
      <c r="C1110" t="s">
        <v>461</v>
      </c>
      <c r="D1110">
        <v>0</v>
      </c>
      <c r="E1110">
        <v>5</v>
      </c>
      <c r="F1110">
        <v>22</v>
      </c>
    </row>
    <row r="1111" spans="1:6" x14ac:dyDescent="0.2">
      <c r="A1111" t="str">
        <f t="shared" si="17"/>
        <v>Toinou22</v>
      </c>
      <c r="B1111">
        <v>5</v>
      </c>
      <c r="C1111" t="s">
        <v>531</v>
      </c>
      <c r="D1111">
        <v>0</v>
      </c>
      <c r="E1111">
        <v>3</v>
      </c>
      <c r="F1111">
        <v>22</v>
      </c>
    </row>
    <row r="1112" spans="1:6" x14ac:dyDescent="0.2">
      <c r="A1112" t="str">
        <f t="shared" si="17"/>
        <v>Flem22</v>
      </c>
      <c r="B1112">
        <v>6</v>
      </c>
      <c r="C1112" t="s">
        <v>73</v>
      </c>
      <c r="D1112">
        <v>0</v>
      </c>
      <c r="E1112">
        <v>2</v>
      </c>
      <c r="F1112">
        <v>22</v>
      </c>
    </row>
    <row r="1113" spans="1:6" x14ac:dyDescent="0.2">
      <c r="A1113" t="str">
        <f t="shared" si="17"/>
        <v>Ad Vitam22</v>
      </c>
      <c r="B1113">
        <v>7</v>
      </c>
      <c r="C1113" t="s">
        <v>66</v>
      </c>
      <c r="D1113">
        <v>0</v>
      </c>
      <c r="E1113">
        <v>1</v>
      </c>
      <c r="F1113">
        <v>22</v>
      </c>
    </row>
    <row r="1114" spans="1:6" x14ac:dyDescent="0.2">
      <c r="A1114" t="str">
        <f t="shared" si="17"/>
        <v>Solucky23</v>
      </c>
      <c r="B1114">
        <v>1</v>
      </c>
      <c r="C1114" t="s">
        <v>485</v>
      </c>
      <c r="D1114">
        <v>3</v>
      </c>
      <c r="E1114">
        <v>17</v>
      </c>
      <c r="F1114">
        <v>23</v>
      </c>
    </row>
    <row r="1115" spans="1:6" x14ac:dyDescent="0.2">
      <c r="A1115" t="str">
        <f t="shared" si="17"/>
        <v>Bounette23</v>
      </c>
      <c r="B1115">
        <v>2</v>
      </c>
      <c r="C1115" t="s">
        <v>55</v>
      </c>
      <c r="D1115">
        <v>1</v>
      </c>
      <c r="E1115">
        <v>13</v>
      </c>
      <c r="F1115">
        <v>23</v>
      </c>
    </row>
    <row r="1116" spans="1:6" x14ac:dyDescent="0.2">
      <c r="A1116" t="str">
        <f t="shared" si="17"/>
        <v>Ouais ouais23</v>
      </c>
      <c r="B1116">
        <v>3</v>
      </c>
      <c r="C1116" t="s">
        <v>533</v>
      </c>
      <c r="D1116">
        <v>1</v>
      </c>
      <c r="E1116">
        <v>9</v>
      </c>
      <c r="F1116">
        <v>23</v>
      </c>
    </row>
    <row r="1117" spans="1:6" x14ac:dyDescent="0.2">
      <c r="A1117" t="str">
        <f t="shared" si="17"/>
        <v>Matteo23</v>
      </c>
      <c r="B1117">
        <v>4</v>
      </c>
      <c r="C1117" t="s">
        <v>551</v>
      </c>
      <c r="D1117">
        <v>1</v>
      </c>
      <c r="E1117">
        <v>5</v>
      </c>
      <c r="F1117">
        <v>23</v>
      </c>
    </row>
    <row r="1118" spans="1:6" x14ac:dyDescent="0.2">
      <c r="A1118" t="str">
        <f t="shared" si="17"/>
        <v>Claptou23</v>
      </c>
      <c r="B1118">
        <v>5</v>
      </c>
      <c r="C1118" t="s">
        <v>42</v>
      </c>
      <c r="D1118">
        <v>0</v>
      </c>
      <c r="E1118">
        <v>3</v>
      </c>
      <c r="F1118">
        <v>23</v>
      </c>
    </row>
    <row r="1119" spans="1:6" x14ac:dyDescent="0.2">
      <c r="A1119" t="str">
        <f t="shared" si="17"/>
        <v>Rmarc23</v>
      </c>
      <c r="B1119">
        <v>6</v>
      </c>
      <c r="C1119" t="s">
        <v>508</v>
      </c>
      <c r="D1119">
        <v>0</v>
      </c>
      <c r="E1119">
        <v>2</v>
      </c>
      <c r="F1119">
        <v>23</v>
      </c>
    </row>
    <row r="1120" spans="1:6" x14ac:dyDescent="0.2">
      <c r="A1120" t="str">
        <f t="shared" si="17"/>
        <v>Mams23</v>
      </c>
      <c r="B1120">
        <v>6</v>
      </c>
      <c r="C1120" t="s">
        <v>505</v>
      </c>
      <c r="D1120">
        <v>0</v>
      </c>
      <c r="E1120">
        <v>2</v>
      </c>
      <c r="F1120">
        <v>23</v>
      </c>
    </row>
    <row r="1121" spans="1:6" x14ac:dyDescent="0.2">
      <c r="A1121" t="str">
        <f t="shared" si="17"/>
        <v>JeanMichelTiming23</v>
      </c>
      <c r="B1121">
        <v>1</v>
      </c>
      <c r="C1121" t="s">
        <v>35</v>
      </c>
      <c r="D1121">
        <v>3</v>
      </c>
      <c r="E1121">
        <v>17</v>
      </c>
      <c r="F1121">
        <v>23</v>
      </c>
    </row>
    <row r="1122" spans="1:6" x14ac:dyDescent="0.2">
      <c r="A1122" t="str">
        <f t="shared" si="17"/>
        <v>TheRealWill23</v>
      </c>
      <c r="B1122">
        <v>2</v>
      </c>
      <c r="C1122" t="s">
        <v>535</v>
      </c>
      <c r="D1122">
        <v>1</v>
      </c>
      <c r="E1122">
        <v>13</v>
      </c>
      <c r="F1122">
        <v>23</v>
      </c>
    </row>
    <row r="1123" spans="1:6" x14ac:dyDescent="0.2">
      <c r="A1123" t="str">
        <f t="shared" si="17"/>
        <v>Xhar9223</v>
      </c>
      <c r="B1123">
        <v>3</v>
      </c>
      <c r="C1123" t="s">
        <v>519</v>
      </c>
      <c r="D1123">
        <v>1</v>
      </c>
      <c r="E1123">
        <v>9</v>
      </c>
      <c r="F1123">
        <v>23</v>
      </c>
    </row>
    <row r="1124" spans="1:6" x14ac:dyDescent="0.2">
      <c r="A1124" t="str">
        <f t="shared" si="17"/>
        <v>JC23</v>
      </c>
      <c r="B1124">
        <v>4</v>
      </c>
      <c r="C1124" t="s">
        <v>534</v>
      </c>
      <c r="D1124">
        <v>1</v>
      </c>
      <c r="E1124">
        <v>5</v>
      </c>
      <c r="F1124">
        <v>23</v>
      </c>
    </row>
    <row r="1125" spans="1:6" x14ac:dyDescent="0.2">
      <c r="A1125" t="str">
        <f t="shared" si="17"/>
        <v>Tenko23</v>
      </c>
      <c r="B1125">
        <v>5</v>
      </c>
      <c r="C1125" t="s">
        <v>516</v>
      </c>
      <c r="D1125">
        <v>0</v>
      </c>
      <c r="E1125">
        <v>3</v>
      </c>
      <c r="F1125">
        <v>23</v>
      </c>
    </row>
    <row r="1126" spans="1:6" x14ac:dyDescent="0.2">
      <c r="A1126" t="str">
        <f t="shared" si="17"/>
        <v>Delgres23</v>
      </c>
      <c r="B1126">
        <v>6</v>
      </c>
      <c r="C1126" t="s">
        <v>280</v>
      </c>
      <c r="D1126">
        <v>0</v>
      </c>
      <c r="E1126">
        <v>2</v>
      </c>
      <c r="F1126">
        <v>23</v>
      </c>
    </row>
    <row r="1127" spans="1:6" x14ac:dyDescent="0.2">
      <c r="A1127" t="str">
        <f t="shared" si="17"/>
        <v>Thibaultp7523</v>
      </c>
      <c r="B1127">
        <v>7</v>
      </c>
      <c r="C1127" t="s">
        <v>345</v>
      </c>
      <c r="D1127">
        <v>0</v>
      </c>
      <c r="E1127">
        <v>1</v>
      </c>
      <c r="F1127">
        <v>23</v>
      </c>
    </row>
    <row r="1128" spans="1:6" x14ac:dyDescent="0.2">
      <c r="A1128" t="str">
        <f t="shared" si="17"/>
        <v>Zubbaz23</v>
      </c>
      <c r="B1128">
        <v>1</v>
      </c>
      <c r="C1128" t="s">
        <v>506</v>
      </c>
      <c r="D1128">
        <v>4</v>
      </c>
      <c r="E1128">
        <v>16</v>
      </c>
      <c r="F1128">
        <v>23</v>
      </c>
    </row>
    <row r="1129" spans="1:6" x14ac:dyDescent="0.2">
      <c r="A1129" t="str">
        <f t="shared" si="17"/>
        <v>La Bavure23</v>
      </c>
      <c r="B1129">
        <v>2</v>
      </c>
      <c r="C1129" t="s">
        <v>475</v>
      </c>
      <c r="D1129">
        <v>1</v>
      </c>
      <c r="E1129">
        <v>12</v>
      </c>
      <c r="F1129">
        <v>23</v>
      </c>
    </row>
    <row r="1130" spans="1:6" x14ac:dyDescent="0.2">
      <c r="A1130" t="str">
        <f t="shared" si="17"/>
        <v>YooooDA23</v>
      </c>
      <c r="B1130">
        <v>3</v>
      </c>
      <c r="C1130" t="s">
        <v>59</v>
      </c>
      <c r="D1130">
        <v>0</v>
      </c>
      <c r="E1130">
        <v>8</v>
      </c>
      <c r="F1130">
        <v>23</v>
      </c>
    </row>
    <row r="1131" spans="1:6" x14ac:dyDescent="0.2">
      <c r="A1131" t="str">
        <f t="shared" si="17"/>
        <v>Claudius23</v>
      </c>
      <c r="B1131">
        <v>4</v>
      </c>
      <c r="C1131" t="s">
        <v>25</v>
      </c>
      <c r="D1131">
        <v>0</v>
      </c>
      <c r="E1131">
        <v>4</v>
      </c>
      <c r="F1131">
        <v>23</v>
      </c>
    </row>
    <row r="1132" spans="1:6" x14ac:dyDescent="0.2">
      <c r="A1132" t="str">
        <f t="shared" si="17"/>
        <v>Jérôme23</v>
      </c>
      <c r="B1132">
        <v>5</v>
      </c>
      <c r="C1132" t="s">
        <v>46</v>
      </c>
      <c r="D1132">
        <v>0</v>
      </c>
      <c r="E1132">
        <v>2</v>
      </c>
      <c r="F1132">
        <v>23</v>
      </c>
    </row>
    <row r="1133" spans="1:6" x14ac:dyDescent="0.2">
      <c r="A1133" t="str">
        <f t="shared" si="17"/>
        <v>K123</v>
      </c>
      <c r="B1133">
        <v>6</v>
      </c>
      <c r="C1133" t="s">
        <v>9</v>
      </c>
      <c r="D1133">
        <v>0</v>
      </c>
      <c r="E1133">
        <v>1</v>
      </c>
      <c r="F1133">
        <v>23</v>
      </c>
    </row>
    <row r="1134" spans="1:6" x14ac:dyDescent="0.2">
      <c r="A1134" t="str">
        <f t="shared" si="17"/>
        <v>PatB23</v>
      </c>
      <c r="B1134">
        <v>1</v>
      </c>
      <c r="C1134" t="s">
        <v>74</v>
      </c>
      <c r="D1134">
        <v>4</v>
      </c>
      <c r="E1134">
        <v>16</v>
      </c>
      <c r="F1134">
        <v>23</v>
      </c>
    </row>
    <row r="1135" spans="1:6" x14ac:dyDescent="0.2">
      <c r="A1135" t="str">
        <f t="shared" si="17"/>
        <v>LAAtof23</v>
      </c>
      <c r="B1135">
        <v>2</v>
      </c>
      <c r="C1135" t="s">
        <v>15</v>
      </c>
      <c r="D1135">
        <v>1</v>
      </c>
      <c r="E1135">
        <v>12</v>
      </c>
      <c r="F1135">
        <v>23</v>
      </c>
    </row>
    <row r="1136" spans="1:6" x14ac:dyDescent="0.2">
      <c r="A1136" t="str">
        <f t="shared" si="17"/>
        <v>Salender23</v>
      </c>
      <c r="B1136">
        <v>3</v>
      </c>
      <c r="C1136" t="s">
        <v>479</v>
      </c>
      <c r="D1136">
        <v>0</v>
      </c>
      <c r="E1136">
        <v>8</v>
      </c>
      <c r="F1136">
        <v>23</v>
      </c>
    </row>
    <row r="1137" spans="1:6" x14ac:dyDescent="0.2">
      <c r="A1137" t="str">
        <f t="shared" si="17"/>
        <v>Catherine23</v>
      </c>
      <c r="B1137">
        <v>4</v>
      </c>
      <c r="C1137" t="s">
        <v>69</v>
      </c>
      <c r="D1137">
        <v>0</v>
      </c>
      <c r="E1137">
        <v>4</v>
      </c>
      <c r="F1137">
        <v>23</v>
      </c>
    </row>
    <row r="1138" spans="1:6" x14ac:dyDescent="0.2">
      <c r="A1138" t="str">
        <f t="shared" si="17"/>
        <v>Ptit Savoyard23</v>
      </c>
      <c r="B1138">
        <v>5</v>
      </c>
      <c r="C1138" t="s">
        <v>33</v>
      </c>
      <c r="D1138">
        <v>0</v>
      </c>
      <c r="E1138">
        <v>2</v>
      </c>
      <c r="F1138">
        <v>23</v>
      </c>
    </row>
    <row r="1139" spans="1:6" x14ac:dyDescent="0.2">
      <c r="A1139" t="str">
        <f t="shared" si="17"/>
        <v>Poisson Pilote23</v>
      </c>
      <c r="B1139">
        <v>6</v>
      </c>
      <c r="C1139" t="s">
        <v>501</v>
      </c>
      <c r="D1139">
        <v>0</v>
      </c>
      <c r="E1139">
        <v>1</v>
      </c>
      <c r="F1139">
        <v>23</v>
      </c>
    </row>
    <row r="1140" spans="1:6" x14ac:dyDescent="0.2">
      <c r="A1140" t="str">
        <f t="shared" si="17"/>
        <v>Ad Vitam23</v>
      </c>
      <c r="B1140">
        <v>1</v>
      </c>
      <c r="C1140" t="s">
        <v>66</v>
      </c>
      <c r="D1140">
        <v>2</v>
      </c>
      <c r="E1140">
        <v>16</v>
      </c>
      <c r="F1140">
        <v>23</v>
      </c>
    </row>
    <row r="1141" spans="1:6" x14ac:dyDescent="0.2">
      <c r="A1141" t="str">
        <f t="shared" si="17"/>
        <v>Carmin23</v>
      </c>
      <c r="B1141">
        <v>2</v>
      </c>
      <c r="C1141" t="s">
        <v>21</v>
      </c>
      <c r="D1141">
        <v>2</v>
      </c>
      <c r="E1141">
        <v>12</v>
      </c>
      <c r="F1141">
        <v>23</v>
      </c>
    </row>
    <row r="1142" spans="1:6" x14ac:dyDescent="0.2">
      <c r="A1142" t="str">
        <f t="shared" si="17"/>
        <v>Freddie23</v>
      </c>
      <c r="B1142">
        <v>3</v>
      </c>
      <c r="C1142" t="s">
        <v>525</v>
      </c>
      <c r="D1142">
        <v>1</v>
      </c>
      <c r="E1142">
        <v>8</v>
      </c>
      <c r="F1142">
        <v>23</v>
      </c>
    </row>
    <row r="1143" spans="1:6" x14ac:dyDescent="0.2">
      <c r="A1143" t="str">
        <f t="shared" si="17"/>
        <v>Rockatou23</v>
      </c>
      <c r="B1143">
        <v>4</v>
      </c>
      <c r="C1143" t="s">
        <v>493</v>
      </c>
      <c r="D1143">
        <v>0</v>
      </c>
      <c r="E1143">
        <v>4</v>
      </c>
      <c r="F1143">
        <v>23</v>
      </c>
    </row>
    <row r="1144" spans="1:6" x14ac:dyDescent="0.2">
      <c r="A1144" t="str">
        <f t="shared" si="17"/>
        <v>Fishtro23</v>
      </c>
      <c r="B1144">
        <v>5</v>
      </c>
      <c r="C1144" t="s">
        <v>512</v>
      </c>
      <c r="D1144">
        <v>0</v>
      </c>
      <c r="E1144">
        <v>2</v>
      </c>
      <c r="F1144">
        <v>23</v>
      </c>
    </row>
    <row r="1145" spans="1:6" x14ac:dyDescent="0.2">
      <c r="A1145" t="str">
        <f t="shared" si="17"/>
        <v>Losogre23</v>
      </c>
      <c r="B1145">
        <v>6</v>
      </c>
      <c r="C1145" t="s">
        <v>507</v>
      </c>
      <c r="D1145">
        <v>0</v>
      </c>
      <c r="E1145">
        <v>1</v>
      </c>
      <c r="F1145">
        <v>23</v>
      </c>
    </row>
    <row r="1146" spans="1:6" x14ac:dyDescent="0.2">
      <c r="A1146" t="str">
        <f t="shared" si="17"/>
        <v>Michelbey23</v>
      </c>
      <c r="B1146">
        <v>1</v>
      </c>
      <c r="C1146" t="s">
        <v>75</v>
      </c>
      <c r="D1146">
        <v>3</v>
      </c>
      <c r="E1146">
        <v>17</v>
      </c>
      <c r="F1146">
        <v>23</v>
      </c>
    </row>
    <row r="1147" spans="1:6" x14ac:dyDescent="0.2">
      <c r="A1147" t="str">
        <f t="shared" si="17"/>
        <v>Zizou23</v>
      </c>
      <c r="B1147">
        <v>2</v>
      </c>
      <c r="C1147" t="s">
        <v>504</v>
      </c>
      <c r="D1147">
        <v>2</v>
      </c>
      <c r="E1147">
        <v>13</v>
      </c>
      <c r="F1147">
        <v>23</v>
      </c>
    </row>
    <row r="1148" spans="1:6" x14ac:dyDescent="0.2">
      <c r="A1148" t="str">
        <f t="shared" si="17"/>
        <v>Djecus23</v>
      </c>
      <c r="B1148">
        <v>3</v>
      </c>
      <c r="C1148" t="s">
        <v>461</v>
      </c>
      <c r="D1148">
        <v>0</v>
      </c>
      <c r="E1148">
        <v>9</v>
      </c>
      <c r="F1148">
        <v>23</v>
      </c>
    </row>
    <row r="1149" spans="1:6" x14ac:dyDescent="0.2">
      <c r="A1149" t="str">
        <f t="shared" si="17"/>
        <v>Mandrake23</v>
      </c>
      <c r="B1149">
        <v>4</v>
      </c>
      <c r="C1149" t="s">
        <v>27</v>
      </c>
      <c r="D1149">
        <v>0</v>
      </c>
      <c r="E1149">
        <v>5</v>
      </c>
      <c r="F1149">
        <v>23</v>
      </c>
    </row>
    <row r="1150" spans="1:6" x14ac:dyDescent="0.2">
      <c r="A1150" t="str">
        <f t="shared" si="17"/>
        <v>Giobeck23</v>
      </c>
      <c r="B1150">
        <v>5</v>
      </c>
      <c r="C1150" t="s">
        <v>19</v>
      </c>
      <c r="D1150">
        <v>1</v>
      </c>
      <c r="E1150">
        <v>3</v>
      </c>
      <c r="F1150">
        <v>23</v>
      </c>
    </row>
    <row r="1151" spans="1:6" x14ac:dyDescent="0.2">
      <c r="A1151" t="str">
        <f t="shared" si="17"/>
        <v>Flem23</v>
      </c>
      <c r="B1151">
        <v>6</v>
      </c>
      <c r="C1151" t="s">
        <v>73</v>
      </c>
      <c r="D1151">
        <v>0</v>
      </c>
      <c r="E1151">
        <v>2</v>
      </c>
      <c r="F1151">
        <v>23</v>
      </c>
    </row>
    <row r="1152" spans="1:6" x14ac:dyDescent="0.2">
      <c r="A1152" t="str">
        <f t="shared" si="17"/>
        <v>Comment223</v>
      </c>
      <c r="B1152">
        <v>7</v>
      </c>
      <c r="C1152" t="s">
        <v>76</v>
      </c>
      <c r="D1152">
        <v>0</v>
      </c>
      <c r="E1152">
        <v>1</v>
      </c>
      <c r="F1152">
        <v>23</v>
      </c>
    </row>
    <row r="1153" spans="1:6" x14ac:dyDescent="0.2">
      <c r="A1153" t="str">
        <f t="shared" si="17"/>
        <v>Pyja23</v>
      </c>
      <c r="B1153">
        <v>1</v>
      </c>
      <c r="C1153" t="s">
        <v>6</v>
      </c>
      <c r="D1153">
        <v>1</v>
      </c>
      <c r="E1153">
        <v>17</v>
      </c>
      <c r="F1153">
        <v>23</v>
      </c>
    </row>
    <row r="1154" spans="1:6" x14ac:dyDescent="0.2">
      <c r="A1154" t="str">
        <f t="shared" ref="A1154:A1217" si="18">C1154&amp;F1154</f>
        <v>DernierPli23</v>
      </c>
      <c r="B1154">
        <v>1</v>
      </c>
      <c r="C1154" t="s">
        <v>490</v>
      </c>
      <c r="D1154">
        <v>3</v>
      </c>
      <c r="E1154">
        <v>17</v>
      </c>
      <c r="F1154">
        <v>23</v>
      </c>
    </row>
    <row r="1155" spans="1:6" x14ac:dyDescent="0.2">
      <c r="A1155" t="str">
        <f t="shared" si="18"/>
        <v>Chico23</v>
      </c>
      <c r="B1155">
        <v>3</v>
      </c>
      <c r="C1155" t="s">
        <v>515</v>
      </c>
      <c r="D1155">
        <v>1</v>
      </c>
      <c r="E1155">
        <v>9</v>
      </c>
      <c r="F1155">
        <v>23</v>
      </c>
    </row>
    <row r="1156" spans="1:6" x14ac:dyDescent="0.2">
      <c r="A1156" t="str">
        <f t="shared" si="18"/>
        <v>Yarael23</v>
      </c>
      <c r="B1156">
        <v>4</v>
      </c>
      <c r="C1156" t="s">
        <v>88</v>
      </c>
      <c r="D1156">
        <v>0</v>
      </c>
      <c r="E1156">
        <v>5</v>
      </c>
      <c r="F1156">
        <v>23</v>
      </c>
    </row>
    <row r="1157" spans="1:6" x14ac:dyDescent="0.2">
      <c r="A1157" t="str">
        <f t="shared" si="18"/>
        <v>OlivierN9223</v>
      </c>
      <c r="B1157">
        <v>5</v>
      </c>
      <c r="C1157" t="s">
        <v>32</v>
      </c>
      <c r="D1157">
        <v>0</v>
      </c>
      <c r="E1157">
        <v>3</v>
      </c>
      <c r="F1157">
        <v>23</v>
      </c>
    </row>
    <row r="1158" spans="1:6" x14ac:dyDescent="0.2">
      <c r="A1158" t="str">
        <f t="shared" si="18"/>
        <v>Gibouille23</v>
      </c>
      <c r="B1158">
        <v>6</v>
      </c>
      <c r="C1158" t="s">
        <v>509</v>
      </c>
      <c r="D1158">
        <v>1</v>
      </c>
      <c r="E1158">
        <v>2</v>
      </c>
      <c r="F1158">
        <v>23</v>
      </c>
    </row>
    <row r="1159" spans="1:6" x14ac:dyDescent="0.2">
      <c r="A1159" t="str">
        <f t="shared" si="18"/>
        <v>Empedocle23</v>
      </c>
      <c r="B1159">
        <v>7</v>
      </c>
      <c r="C1159" t="s">
        <v>81</v>
      </c>
      <c r="D1159">
        <v>0</v>
      </c>
      <c r="E1159">
        <v>1</v>
      </c>
      <c r="F1159">
        <v>23</v>
      </c>
    </row>
    <row r="1160" spans="1:6" x14ac:dyDescent="0.2">
      <c r="A1160" t="str">
        <f t="shared" si="18"/>
        <v>MegaSouche24</v>
      </c>
      <c r="B1160">
        <v>1</v>
      </c>
      <c r="C1160" t="s">
        <v>476</v>
      </c>
      <c r="D1160">
        <v>6</v>
      </c>
      <c r="E1160">
        <v>17</v>
      </c>
      <c r="F1160">
        <v>24</v>
      </c>
    </row>
    <row r="1161" spans="1:6" x14ac:dyDescent="0.2">
      <c r="A1161" t="str">
        <f t="shared" si="18"/>
        <v>JC24</v>
      </c>
      <c r="B1161">
        <v>2</v>
      </c>
      <c r="C1161" t="s">
        <v>534</v>
      </c>
      <c r="D1161">
        <v>0</v>
      </c>
      <c r="E1161">
        <v>13</v>
      </c>
      <c r="F1161">
        <v>24</v>
      </c>
    </row>
    <row r="1162" spans="1:6" x14ac:dyDescent="0.2">
      <c r="A1162" t="str">
        <f t="shared" si="18"/>
        <v>Ptit Savoyard24</v>
      </c>
      <c r="B1162">
        <v>3</v>
      </c>
      <c r="C1162" t="s">
        <v>33</v>
      </c>
      <c r="D1162">
        <v>0</v>
      </c>
      <c r="E1162">
        <v>9</v>
      </c>
      <c r="F1162">
        <v>24</v>
      </c>
    </row>
    <row r="1163" spans="1:6" x14ac:dyDescent="0.2">
      <c r="A1163" t="str">
        <f t="shared" si="18"/>
        <v>Chico24</v>
      </c>
      <c r="B1163">
        <v>4</v>
      </c>
      <c r="C1163" t="s">
        <v>515</v>
      </c>
      <c r="D1163">
        <v>0</v>
      </c>
      <c r="E1163">
        <v>5</v>
      </c>
      <c r="F1163">
        <v>24</v>
      </c>
    </row>
    <row r="1164" spans="1:6" x14ac:dyDescent="0.2">
      <c r="A1164" t="str">
        <f t="shared" si="18"/>
        <v>Giobeck24</v>
      </c>
      <c r="B1164">
        <v>5</v>
      </c>
      <c r="C1164" t="s">
        <v>19</v>
      </c>
      <c r="D1164">
        <v>0</v>
      </c>
      <c r="E1164">
        <v>3</v>
      </c>
      <c r="F1164">
        <v>24</v>
      </c>
    </row>
    <row r="1165" spans="1:6" x14ac:dyDescent="0.2">
      <c r="A1165" t="str">
        <f t="shared" si="18"/>
        <v>PatB24</v>
      </c>
      <c r="B1165">
        <v>6</v>
      </c>
      <c r="C1165" t="s">
        <v>74</v>
      </c>
      <c r="D1165">
        <v>0</v>
      </c>
      <c r="E1165">
        <v>2</v>
      </c>
      <c r="F1165">
        <v>24</v>
      </c>
    </row>
    <row r="1166" spans="1:6" x14ac:dyDescent="0.2">
      <c r="A1166" t="str">
        <f t="shared" si="18"/>
        <v>Ad Vitam24</v>
      </c>
      <c r="B1166">
        <v>7</v>
      </c>
      <c r="C1166" t="s">
        <v>66</v>
      </c>
      <c r="D1166">
        <v>0</v>
      </c>
      <c r="E1166">
        <v>1</v>
      </c>
      <c r="F1166">
        <v>24</v>
      </c>
    </row>
    <row r="1167" spans="1:6" x14ac:dyDescent="0.2">
      <c r="A1167" t="str">
        <f t="shared" si="18"/>
        <v>Proph@ne24</v>
      </c>
      <c r="B1167">
        <v>1</v>
      </c>
      <c r="C1167" t="s">
        <v>87</v>
      </c>
      <c r="D1167">
        <v>4</v>
      </c>
      <c r="E1167">
        <v>17</v>
      </c>
      <c r="F1167">
        <v>24</v>
      </c>
    </row>
    <row r="1168" spans="1:6" x14ac:dyDescent="0.2">
      <c r="A1168" t="str">
        <f t="shared" si="18"/>
        <v>OlivierN9224</v>
      </c>
      <c r="B1168">
        <v>2</v>
      </c>
      <c r="C1168" t="s">
        <v>32</v>
      </c>
      <c r="D1168">
        <v>1</v>
      </c>
      <c r="E1168">
        <v>13</v>
      </c>
      <c r="F1168">
        <v>24</v>
      </c>
    </row>
    <row r="1169" spans="1:6" x14ac:dyDescent="0.2">
      <c r="A1169" t="str">
        <f t="shared" si="18"/>
        <v>YooooDA24</v>
      </c>
      <c r="B1169">
        <v>3</v>
      </c>
      <c r="C1169" t="s">
        <v>59</v>
      </c>
      <c r="D1169">
        <v>0</v>
      </c>
      <c r="E1169">
        <v>9</v>
      </c>
      <c r="F1169">
        <v>24</v>
      </c>
    </row>
    <row r="1170" spans="1:6" x14ac:dyDescent="0.2">
      <c r="A1170" t="str">
        <f t="shared" si="18"/>
        <v>Soupaman24</v>
      </c>
      <c r="B1170">
        <v>4</v>
      </c>
      <c r="C1170" t="s">
        <v>518</v>
      </c>
      <c r="D1170">
        <v>1</v>
      </c>
      <c r="E1170">
        <v>5</v>
      </c>
      <c r="F1170">
        <v>24</v>
      </c>
    </row>
    <row r="1171" spans="1:6" x14ac:dyDescent="0.2">
      <c r="A1171" t="str">
        <f t="shared" si="18"/>
        <v>Tenko24</v>
      </c>
      <c r="B1171">
        <v>5</v>
      </c>
      <c r="C1171" t="s">
        <v>516</v>
      </c>
      <c r="D1171">
        <v>0</v>
      </c>
      <c r="E1171">
        <v>3</v>
      </c>
      <c r="F1171">
        <v>24</v>
      </c>
    </row>
    <row r="1172" spans="1:6" x14ac:dyDescent="0.2">
      <c r="A1172" t="str">
        <f t="shared" si="18"/>
        <v>Salender24</v>
      </c>
      <c r="B1172">
        <v>6</v>
      </c>
      <c r="C1172" t="s">
        <v>479</v>
      </c>
      <c r="D1172">
        <v>0</v>
      </c>
      <c r="E1172">
        <v>2</v>
      </c>
      <c r="F1172">
        <v>24</v>
      </c>
    </row>
    <row r="1173" spans="1:6" x14ac:dyDescent="0.2">
      <c r="A1173" t="str">
        <f t="shared" si="18"/>
        <v>Claudius24</v>
      </c>
      <c r="B1173">
        <v>7</v>
      </c>
      <c r="C1173" t="s">
        <v>25</v>
      </c>
      <c r="D1173">
        <v>0</v>
      </c>
      <c r="E1173">
        <v>1</v>
      </c>
      <c r="F1173">
        <v>24</v>
      </c>
    </row>
    <row r="1174" spans="1:6" x14ac:dyDescent="0.2">
      <c r="A1174" t="str">
        <f t="shared" si="18"/>
        <v>Michelbey24</v>
      </c>
      <c r="B1174">
        <v>1</v>
      </c>
      <c r="C1174" t="s">
        <v>75</v>
      </c>
      <c r="D1174">
        <v>4</v>
      </c>
      <c r="E1174">
        <v>17</v>
      </c>
      <c r="F1174">
        <v>24</v>
      </c>
    </row>
    <row r="1175" spans="1:6" x14ac:dyDescent="0.2">
      <c r="A1175" t="str">
        <f t="shared" si="18"/>
        <v>K124</v>
      </c>
      <c r="B1175">
        <v>2</v>
      </c>
      <c r="C1175" t="s">
        <v>9</v>
      </c>
      <c r="D1175">
        <v>1</v>
      </c>
      <c r="E1175">
        <v>13</v>
      </c>
      <c r="F1175">
        <v>24</v>
      </c>
    </row>
    <row r="1176" spans="1:6" x14ac:dyDescent="0.2">
      <c r="A1176" t="str">
        <f t="shared" si="18"/>
        <v>La Bavure24</v>
      </c>
      <c r="B1176">
        <v>3</v>
      </c>
      <c r="C1176" t="s">
        <v>475</v>
      </c>
      <c r="D1176">
        <v>0</v>
      </c>
      <c r="E1176">
        <v>9</v>
      </c>
      <c r="F1176">
        <v>24</v>
      </c>
    </row>
    <row r="1177" spans="1:6" x14ac:dyDescent="0.2">
      <c r="A1177" t="str">
        <f t="shared" si="18"/>
        <v>Solucky24</v>
      </c>
      <c r="B1177">
        <v>4</v>
      </c>
      <c r="C1177" t="s">
        <v>485</v>
      </c>
      <c r="D1177">
        <v>1</v>
      </c>
      <c r="E1177">
        <v>5</v>
      </c>
      <c r="F1177">
        <v>24</v>
      </c>
    </row>
    <row r="1178" spans="1:6" x14ac:dyDescent="0.2">
      <c r="A1178" t="str">
        <f t="shared" si="18"/>
        <v>Yroz24</v>
      </c>
      <c r="B1178">
        <v>5</v>
      </c>
      <c r="C1178" t="s">
        <v>526</v>
      </c>
      <c r="D1178">
        <v>0</v>
      </c>
      <c r="E1178">
        <v>3</v>
      </c>
      <c r="F1178">
        <v>24</v>
      </c>
    </row>
    <row r="1179" spans="1:6" x14ac:dyDescent="0.2">
      <c r="A1179" t="str">
        <f t="shared" si="18"/>
        <v>Zizou24</v>
      </c>
      <c r="B1179">
        <v>6</v>
      </c>
      <c r="C1179" t="s">
        <v>504</v>
      </c>
      <c r="D1179">
        <v>0</v>
      </c>
      <c r="E1179">
        <v>2</v>
      </c>
      <c r="F1179">
        <v>24</v>
      </c>
    </row>
    <row r="1180" spans="1:6" x14ac:dyDescent="0.2">
      <c r="A1180" t="str">
        <f t="shared" si="18"/>
        <v>JeanMichelTiming24</v>
      </c>
      <c r="B1180">
        <v>7</v>
      </c>
      <c r="C1180" t="s">
        <v>35</v>
      </c>
      <c r="D1180">
        <v>0</v>
      </c>
      <c r="E1180">
        <v>1</v>
      </c>
      <c r="F1180">
        <v>24</v>
      </c>
    </row>
    <row r="1181" spans="1:6" x14ac:dyDescent="0.2">
      <c r="A1181" t="str">
        <f t="shared" si="18"/>
        <v>Flem24</v>
      </c>
      <c r="B1181">
        <v>1</v>
      </c>
      <c r="C1181" t="s">
        <v>73</v>
      </c>
      <c r="D1181">
        <v>4</v>
      </c>
      <c r="E1181">
        <v>17</v>
      </c>
      <c r="F1181">
        <v>24</v>
      </c>
    </row>
    <row r="1182" spans="1:6" x14ac:dyDescent="0.2">
      <c r="A1182" t="str">
        <f t="shared" si="18"/>
        <v>Catherine24</v>
      </c>
      <c r="B1182">
        <v>2</v>
      </c>
      <c r="C1182" t="s">
        <v>69</v>
      </c>
      <c r="D1182">
        <v>2</v>
      </c>
      <c r="E1182">
        <v>13</v>
      </c>
      <c r="F1182">
        <v>24</v>
      </c>
    </row>
    <row r="1183" spans="1:6" x14ac:dyDescent="0.2">
      <c r="A1183" t="str">
        <f t="shared" si="18"/>
        <v>DernierPli24</v>
      </c>
      <c r="B1183">
        <v>3</v>
      </c>
      <c r="C1183" t="s">
        <v>490</v>
      </c>
      <c r="D1183">
        <v>0</v>
      </c>
      <c r="E1183">
        <v>9</v>
      </c>
      <c r="F1183">
        <v>24</v>
      </c>
    </row>
    <row r="1184" spans="1:6" x14ac:dyDescent="0.2">
      <c r="A1184" t="str">
        <f t="shared" si="18"/>
        <v>Snake170224</v>
      </c>
      <c r="B1184">
        <v>4</v>
      </c>
      <c r="C1184" t="s">
        <v>552</v>
      </c>
      <c r="D1184">
        <v>0</v>
      </c>
      <c r="E1184">
        <v>5</v>
      </c>
      <c r="F1184">
        <v>24</v>
      </c>
    </row>
    <row r="1185" spans="1:6" x14ac:dyDescent="0.2">
      <c r="A1185" t="str">
        <f t="shared" si="18"/>
        <v>Lizzie24</v>
      </c>
      <c r="B1185">
        <v>5</v>
      </c>
      <c r="C1185" t="s">
        <v>462</v>
      </c>
      <c r="D1185">
        <v>0</v>
      </c>
      <c r="E1185">
        <v>3</v>
      </c>
      <c r="F1185">
        <v>24</v>
      </c>
    </row>
    <row r="1186" spans="1:6" x14ac:dyDescent="0.2">
      <c r="A1186" t="str">
        <f t="shared" si="18"/>
        <v>LAAtof24</v>
      </c>
      <c r="B1186">
        <v>6</v>
      </c>
      <c r="C1186" t="s">
        <v>15</v>
      </c>
      <c r="D1186">
        <v>0</v>
      </c>
      <c r="E1186">
        <v>2</v>
      </c>
      <c r="F1186">
        <v>24</v>
      </c>
    </row>
    <row r="1187" spans="1:6" x14ac:dyDescent="0.2">
      <c r="A1187" t="str">
        <f t="shared" si="18"/>
        <v>Zubbaz24</v>
      </c>
      <c r="B1187">
        <v>7</v>
      </c>
      <c r="C1187" t="s">
        <v>506</v>
      </c>
      <c r="D1187">
        <v>0</v>
      </c>
      <c r="E1187">
        <v>1</v>
      </c>
      <c r="F1187">
        <v>24</v>
      </c>
    </row>
    <row r="1188" spans="1:6" x14ac:dyDescent="0.2">
      <c r="A1188" t="str">
        <f t="shared" si="18"/>
        <v>Kri-lin24</v>
      </c>
      <c r="B1188">
        <v>1</v>
      </c>
      <c r="C1188" t="s">
        <v>61</v>
      </c>
      <c r="D1188">
        <v>2</v>
      </c>
      <c r="E1188">
        <v>17</v>
      </c>
      <c r="F1188">
        <v>24</v>
      </c>
    </row>
    <row r="1189" spans="1:6" x14ac:dyDescent="0.2">
      <c r="A1189" t="str">
        <f t="shared" si="18"/>
        <v>Thibaultp7524</v>
      </c>
      <c r="B1189">
        <v>2</v>
      </c>
      <c r="C1189" t="s">
        <v>345</v>
      </c>
      <c r="D1189">
        <v>3</v>
      </c>
      <c r="E1189">
        <v>13</v>
      </c>
      <c r="F1189">
        <v>24</v>
      </c>
    </row>
    <row r="1190" spans="1:6" x14ac:dyDescent="0.2">
      <c r="A1190" t="str">
        <f t="shared" si="18"/>
        <v>Ilyes.24</v>
      </c>
      <c r="B1190">
        <v>3</v>
      </c>
      <c r="C1190" t="s">
        <v>553</v>
      </c>
      <c r="D1190">
        <v>1</v>
      </c>
      <c r="E1190">
        <v>9</v>
      </c>
      <c r="F1190">
        <v>24</v>
      </c>
    </row>
    <row r="1191" spans="1:6" x14ac:dyDescent="0.2">
      <c r="A1191" t="str">
        <f t="shared" si="18"/>
        <v>TheRealWill24</v>
      </c>
      <c r="B1191">
        <v>4</v>
      </c>
      <c r="C1191" t="s">
        <v>535</v>
      </c>
      <c r="D1191">
        <v>0</v>
      </c>
      <c r="E1191">
        <v>5</v>
      </c>
      <c r="F1191">
        <v>24</v>
      </c>
    </row>
    <row r="1192" spans="1:6" x14ac:dyDescent="0.2">
      <c r="A1192" t="str">
        <f t="shared" si="18"/>
        <v>Lén@24</v>
      </c>
      <c r="B1192">
        <v>5</v>
      </c>
      <c r="C1192" t="s">
        <v>40</v>
      </c>
      <c r="D1192">
        <v>0</v>
      </c>
      <c r="E1192">
        <v>3</v>
      </c>
      <c r="F1192">
        <v>24</v>
      </c>
    </row>
    <row r="1193" spans="1:6" x14ac:dyDescent="0.2">
      <c r="A1193" t="str">
        <f t="shared" si="18"/>
        <v>Claptou24</v>
      </c>
      <c r="B1193">
        <v>6</v>
      </c>
      <c r="C1193" t="s">
        <v>42</v>
      </c>
      <c r="D1193">
        <v>0</v>
      </c>
      <c r="E1193">
        <v>2</v>
      </c>
      <c r="F1193">
        <v>24</v>
      </c>
    </row>
    <row r="1194" spans="1:6" x14ac:dyDescent="0.2">
      <c r="A1194" t="str">
        <f t="shared" si="18"/>
        <v>Losogre24</v>
      </c>
      <c r="B1194">
        <v>7</v>
      </c>
      <c r="C1194" t="s">
        <v>507</v>
      </c>
      <c r="D1194">
        <v>0</v>
      </c>
      <c r="E1194">
        <v>1</v>
      </c>
      <c r="F1194">
        <v>24</v>
      </c>
    </row>
    <row r="1195" spans="1:6" x14ac:dyDescent="0.2">
      <c r="A1195" t="str">
        <f t="shared" si="18"/>
        <v>Mandrake24</v>
      </c>
      <c r="B1195">
        <v>1</v>
      </c>
      <c r="C1195" t="s">
        <v>27</v>
      </c>
      <c r="D1195">
        <v>5</v>
      </c>
      <c r="E1195">
        <v>17</v>
      </c>
      <c r="F1195">
        <v>24</v>
      </c>
    </row>
    <row r="1196" spans="1:6" x14ac:dyDescent="0.2">
      <c r="A1196" t="str">
        <f t="shared" si="18"/>
        <v>Rockatou24</v>
      </c>
      <c r="B1196">
        <v>2</v>
      </c>
      <c r="C1196" t="s">
        <v>493</v>
      </c>
      <c r="D1196">
        <v>0</v>
      </c>
      <c r="E1196">
        <v>13</v>
      </c>
      <c r="F1196">
        <v>24</v>
      </c>
    </row>
    <row r="1197" spans="1:6" x14ac:dyDescent="0.2">
      <c r="A1197" t="str">
        <f t="shared" si="18"/>
        <v>ScoNix24</v>
      </c>
      <c r="B1197">
        <v>3</v>
      </c>
      <c r="C1197" t="s">
        <v>554</v>
      </c>
      <c r="D1197">
        <v>0</v>
      </c>
      <c r="E1197">
        <v>9</v>
      </c>
      <c r="F1197">
        <v>24</v>
      </c>
    </row>
    <row r="1198" spans="1:6" x14ac:dyDescent="0.2">
      <c r="A1198" t="str">
        <f t="shared" si="18"/>
        <v>Flabech24</v>
      </c>
      <c r="B1198">
        <v>4</v>
      </c>
      <c r="C1198" t="s">
        <v>491</v>
      </c>
      <c r="D1198">
        <v>0</v>
      </c>
      <c r="E1198">
        <v>5</v>
      </c>
      <c r="F1198">
        <v>24</v>
      </c>
    </row>
    <row r="1199" spans="1:6" x14ac:dyDescent="0.2">
      <c r="A1199" t="str">
        <f t="shared" si="18"/>
        <v>Fishtro24</v>
      </c>
      <c r="B1199">
        <v>5</v>
      </c>
      <c r="C1199" t="s">
        <v>512</v>
      </c>
      <c r="D1199">
        <v>1</v>
      </c>
      <c r="E1199">
        <v>3</v>
      </c>
      <c r="F1199">
        <v>24</v>
      </c>
    </row>
    <row r="1200" spans="1:6" x14ac:dyDescent="0.2">
      <c r="A1200" t="str">
        <f t="shared" si="18"/>
        <v>Ripolin24</v>
      </c>
      <c r="B1200">
        <v>6</v>
      </c>
      <c r="C1200" t="s">
        <v>65</v>
      </c>
      <c r="D1200">
        <v>0</v>
      </c>
      <c r="E1200">
        <v>2</v>
      </c>
      <c r="F1200">
        <v>24</v>
      </c>
    </row>
    <row r="1201" spans="1:6" x14ac:dyDescent="0.2">
      <c r="A1201" t="str">
        <f t="shared" si="18"/>
        <v>Boosilletoo24</v>
      </c>
      <c r="B1201">
        <v>7</v>
      </c>
      <c r="C1201" t="s">
        <v>532</v>
      </c>
      <c r="D1201">
        <v>0</v>
      </c>
      <c r="E1201">
        <v>1</v>
      </c>
      <c r="F1201">
        <v>24</v>
      </c>
    </row>
    <row r="1202" spans="1:6" x14ac:dyDescent="0.2">
      <c r="A1202" t="str">
        <f t="shared" si="18"/>
        <v>Jérôme24</v>
      </c>
      <c r="B1202">
        <v>1</v>
      </c>
      <c r="C1202" t="s">
        <v>46</v>
      </c>
      <c r="D1202">
        <v>3</v>
      </c>
      <c r="E1202">
        <v>17</v>
      </c>
      <c r="F1202">
        <v>24</v>
      </c>
    </row>
    <row r="1203" spans="1:6" x14ac:dyDescent="0.2">
      <c r="A1203" t="str">
        <f t="shared" si="18"/>
        <v>Carmin24</v>
      </c>
      <c r="B1203">
        <v>2</v>
      </c>
      <c r="C1203" t="s">
        <v>21</v>
      </c>
      <c r="D1203">
        <v>2</v>
      </c>
      <c r="E1203">
        <v>13</v>
      </c>
      <c r="F1203">
        <v>24</v>
      </c>
    </row>
    <row r="1204" spans="1:6" x14ac:dyDescent="0.2">
      <c r="A1204" t="str">
        <f t="shared" si="18"/>
        <v>Rmarc24</v>
      </c>
      <c r="B1204">
        <v>3</v>
      </c>
      <c r="C1204" t="s">
        <v>508</v>
      </c>
      <c r="D1204">
        <v>0</v>
      </c>
      <c r="E1204">
        <v>9</v>
      </c>
      <c r="F1204">
        <v>24</v>
      </c>
    </row>
    <row r="1205" spans="1:6" x14ac:dyDescent="0.2">
      <c r="A1205" t="str">
        <f t="shared" si="18"/>
        <v>Pyja24</v>
      </c>
      <c r="B1205">
        <v>4</v>
      </c>
      <c r="C1205" t="s">
        <v>6</v>
      </c>
      <c r="D1205">
        <v>1</v>
      </c>
      <c r="E1205">
        <v>5</v>
      </c>
      <c r="F1205">
        <v>24</v>
      </c>
    </row>
    <row r="1206" spans="1:6" x14ac:dyDescent="0.2">
      <c r="A1206" t="str">
        <f t="shared" si="18"/>
        <v>Freddie24</v>
      </c>
      <c r="B1206">
        <v>5</v>
      </c>
      <c r="C1206" t="s">
        <v>525</v>
      </c>
      <c r="D1206">
        <v>0</v>
      </c>
      <c r="E1206">
        <v>3</v>
      </c>
      <c r="F1206">
        <v>24</v>
      </c>
    </row>
    <row r="1207" spans="1:6" x14ac:dyDescent="0.2">
      <c r="A1207" t="str">
        <f t="shared" si="18"/>
        <v>Delgres24</v>
      </c>
      <c r="B1207">
        <v>6</v>
      </c>
      <c r="C1207" t="s">
        <v>280</v>
      </c>
      <c r="D1207">
        <v>0</v>
      </c>
      <c r="E1207">
        <v>2</v>
      </c>
      <c r="F1207">
        <v>24</v>
      </c>
    </row>
    <row r="1208" spans="1:6" x14ac:dyDescent="0.2">
      <c r="A1208" t="str">
        <f t="shared" si="18"/>
        <v>Comment224</v>
      </c>
      <c r="B1208">
        <v>7</v>
      </c>
      <c r="C1208" t="s">
        <v>76</v>
      </c>
      <c r="D1208">
        <v>0</v>
      </c>
      <c r="E1208">
        <v>1</v>
      </c>
      <c r="F1208">
        <v>24</v>
      </c>
    </row>
    <row r="1209" spans="1:6" x14ac:dyDescent="0.2">
      <c r="A1209" t="str">
        <f t="shared" si="18"/>
        <v>Kheops24</v>
      </c>
      <c r="B1209">
        <v>1</v>
      </c>
      <c r="C1209" t="s">
        <v>500</v>
      </c>
      <c r="D1209">
        <v>3</v>
      </c>
      <c r="E1209">
        <v>17</v>
      </c>
      <c r="F1209">
        <v>24</v>
      </c>
    </row>
    <row r="1210" spans="1:6" x14ac:dyDescent="0.2">
      <c r="A1210" t="str">
        <f t="shared" si="18"/>
        <v>Gibbonfury24</v>
      </c>
      <c r="B1210">
        <v>2</v>
      </c>
      <c r="C1210" t="s">
        <v>454</v>
      </c>
      <c r="D1210">
        <v>1</v>
      </c>
      <c r="E1210">
        <v>13</v>
      </c>
      <c r="F1210">
        <v>24</v>
      </c>
    </row>
    <row r="1211" spans="1:6" x14ac:dyDescent="0.2">
      <c r="A1211" t="str">
        <f t="shared" si="18"/>
        <v>Sobab24</v>
      </c>
      <c r="B1211">
        <v>3</v>
      </c>
      <c r="C1211" t="s">
        <v>502</v>
      </c>
      <c r="D1211">
        <v>1</v>
      </c>
      <c r="E1211">
        <v>9</v>
      </c>
      <c r="F1211">
        <v>24</v>
      </c>
    </row>
    <row r="1212" spans="1:6" x14ac:dyDescent="0.2">
      <c r="A1212" t="str">
        <f t="shared" si="18"/>
        <v>Bounette24</v>
      </c>
      <c r="B1212">
        <v>4</v>
      </c>
      <c r="C1212" t="s">
        <v>55</v>
      </c>
      <c r="D1212">
        <v>0</v>
      </c>
      <c r="E1212">
        <v>5</v>
      </c>
      <c r="F1212">
        <v>24</v>
      </c>
    </row>
    <row r="1213" spans="1:6" x14ac:dyDescent="0.2">
      <c r="A1213" t="str">
        <f t="shared" si="18"/>
        <v>Mams24</v>
      </c>
      <c r="B1213">
        <v>5</v>
      </c>
      <c r="C1213" t="s">
        <v>505</v>
      </c>
      <c r="D1213">
        <v>0</v>
      </c>
      <c r="E1213">
        <v>3</v>
      </c>
      <c r="F1213">
        <v>24</v>
      </c>
    </row>
    <row r="1214" spans="1:6" x14ac:dyDescent="0.2">
      <c r="A1214" t="str">
        <f t="shared" si="18"/>
        <v>Gibouille24</v>
      </c>
      <c r="B1214">
        <v>6</v>
      </c>
      <c r="C1214" t="s">
        <v>509</v>
      </c>
      <c r="D1214">
        <v>1</v>
      </c>
      <c r="E1214">
        <v>2</v>
      </c>
      <c r="F1214">
        <v>24</v>
      </c>
    </row>
    <row r="1215" spans="1:6" x14ac:dyDescent="0.2">
      <c r="A1215" t="str">
        <f t="shared" si="18"/>
        <v>Yaltar24</v>
      </c>
      <c r="B1215">
        <v>7</v>
      </c>
      <c r="C1215" t="s">
        <v>503</v>
      </c>
      <c r="D1215">
        <v>0</v>
      </c>
      <c r="E1215">
        <v>1</v>
      </c>
      <c r="F1215">
        <v>24</v>
      </c>
    </row>
    <row r="1216" spans="1:6" x14ac:dyDescent="0.2">
      <c r="A1216" t="str">
        <f t="shared" si="18"/>
        <v>La Bavure25</v>
      </c>
      <c r="B1216">
        <v>1</v>
      </c>
      <c r="C1216" t="s">
        <v>475</v>
      </c>
      <c r="D1216">
        <v>4</v>
      </c>
      <c r="E1216">
        <v>16</v>
      </c>
      <c r="F1216">
        <v>25</v>
      </c>
    </row>
    <row r="1217" spans="1:6" x14ac:dyDescent="0.2">
      <c r="A1217" t="str">
        <f t="shared" si="18"/>
        <v>Djecus25</v>
      </c>
      <c r="B1217">
        <v>2</v>
      </c>
      <c r="C1217" t="s">
        <v>461</v>
      </c>
      <c r="D1217">
        <v>0</v>
      </c>
      <c r="E1217">
        <v>12</v>
      </c>
      <c r="F1217">
        <v>25</v>
      </c>
    </row>
    <row r="1218" spans="1:6" x14ac:dyDescent="0.2">
      <c r="A1218" t="str">
        <f t="shared" ref="A1218:A1281" si="19">C1218&amp;F1218</f>
        <v>Zubbaz25</v>
      </c>
      <c r="B1218">
        <v>3</v>
      </c>
      <c r="C1218" t="s">
        <v>506</v>
      </c>
      <c r="D1218">
        <v>0</v>
      </c>
      <c r="E1218">
        <v>8</v>
      </c>
      <c r="F1218">
        <v>25</v>
      </c>
    </row>
    <row r="1219" spans="1:6" x14ac:dyDescent="0.2">
      <c r="A1219" t="str">
        <f t="shared" si="19"/>
        <v>Claudius25</v>
      </c>
      <c r="B1219">
        <v>4</v>
      </c>
      <c r="C1219" t="s">
        <v>25</v>
      </c>
      <c r="D1219">
        <v>0</v>
      </c>
      <c r="E1219">
        <v>4</v>
      </c>
      <c r="F1219">
        <v>25</v>
      </c>
    </row>
    <row r="1220" spans="1:6" x14ac:dyDescent="0.2">
      <c r="A1220" t="str">
        <f t="shared" si="19"/>
        <v>Losogre25</v>
      </c>
      <c r="B1220">
        <v>5</v>
      </c>
      <c r="C1220" t="s">
        <v>507</v>
      </c>
      <c r="D1220">
        <v>1</v>
      </c>
      <c r="E1220">
        <v>2</v>
      </c>
      <c r="F1220">
        <v>25</v>
      </c>
    </row>
    <row r="1221" spans="1:6" x14ac:dyDescent="0.2">
      <c r="A1221" t="str">
        <f t="shared" si="19"/>
        <v>Thibaultp7525</v>
      </c>
      <c r="B1221">
        <v>6</v>
      </c>
      <c r="C1221" t="s">
        <v>345</v>
      </c>
      <c r="D1221">
        <v>0</v>
      </c>
      <c r="E1221">
        <v>1</v>
      </c>
      <c r="F1221">
        <v>25</v>
      </c>
    </row>
    <row r="1222" spans="1:6" x14ac:dyDescent="0.2">
      <c r="A1222" t="str">
        <f t="shared" si="19"/>
        <v>TheRealWill25</v>
      </c>
      <c r="B1222">
        <v>1</v>
      </c>
      <c r="C1222" t="s">
        <v>535</v>
      </c>
      <c r="D1222">
        <v>4</v>
      </c>
      <c r="E1222">
        <v>17</v>
      </c>
      <c r="F1222">
        <v>25</v>
      </c>
    </row>
    <row r="1223" spans="1:6" x14ac:dyDescent="0.2">
      <c r="A1223" t="str">
        <f t="shared" si="19"/>
        <v>Ad Vitam25</v>
      </c>
      <c r="B1223">
        <v>2</v>
      </c>
      <c r="C1223" t="s">
        <v>66</v>
      </c>
      <c r="D1223">
        <v>0</v>
      </c>
      <c r="E1223">
        <v>13</v>
      </c>
      <c r="F1223">
        <v>25</v>
      </c>
    </row>
    <row r="1224" spans="1:6" x14ac:dyDescent="0.2">
      <c r="A1224" t="str">
        <f t="shared" si="19"/>
        <v>MegaSouche25</v>
      </c>
      <c r="B1224">
        <v>3</v>
      </c>
      <c r="C1224" t="s">
        <v>476</v>
      </c>
      <c r="D1224">
        <v>1</v>
      </c>
      <c r="E1224">
        <v>9</v>
      </c>
      <c r="F1224">
        <v>25</v>
      </c>
    </row>
    <row r="1225" spans="1:6" x14ac:dyDescent="0.2">
      <c r="A1225" t="str">
        <f t="shared" si="19"/>
        <v>Flabech25</v>
      </c>
      <c r="B1225">
        <v>4</v>
      </c>
      <c r="C1225" t="s">
        <v>491</v>
      </c>
      <c r="D1225">
        <v>1</v>
      </c>
      <c r="E1225">
        <v>5</v>
      </c>
      <c r="F1225">
        <v>25</v>
      </c>
    </row>
    <row r="1226" spans="1:6" x14ac:dyDescent="0.2">
      <c r="A1226" t="str">
        <f t="shared" si="19"/>
        <v>Lizzie25</v>
      </c>
      <c r="B1226">
        <v>5</v>
      </c>
      <c r="C1226" t="s">
        <v>462</v>
      </c>
      <c r="D1226">
        <v>0</v>
      </c>
      <c r="E1226">
        <v>3</v>
      </c>
      <c r="F1226">
        <v>25</v>
      </c>
    </row>
    <row r="1227" spans="1:6" x14ac:dyDescent="0.2">
      <c r="A1227" t="str">
        <f t="shared" si="19"/>
        <v>Gabs25</v>
      </c>
      <c r="B1227">
        <v>6</v>
      </c>
      <c r="C1227" t="s">
        <v>555</v>
      </c>
      <c r="D1227">
        <v>0</v>
      </c>
      <c r="E1227">
        <v>2</v>
      </c>
      <c r="F1227">
        <v>25</v>
      </c>
    </row>
    <row r="1228" spans="1:6" x14ac:dyDescent="0.2">
      <c r="A1228" t="str">
        <f t="shared" si="19"/>
        <v>Mams25</v>
      </c>
      <c r="B1228">
        <v>7</v>
      </c>
      <c r="C1228" t="s">
        <v>505</v>
      </c>
      <c r="D1228">
        <v>0</v>
      </c>
      <c r="E1228">
        <v>1</v>
      </c>
      <c r="F1228">
        <v>25</v>
      </c>
    </row>
    <row r="1229" spans="1:6" x14ac:dyDescent="0.2">
      <c r="A1229" t="str">
        <f t="shared" si="19"/>
        <v>Gibouille25</v>
      </c>
      <c r="B1229">
        <v>1</v>
      </c>
      <c r="C1229" t="s">
        <v>509</v>
      </c>
      <c r="D1229">
        <v>4</v>
      </c>
      <c r="E1229">
        <v>16</v>
      </c>
      <c r="F1229">
        <v>25</v>
      </c>
    </row>
    <row r="1230" spans="1:6" x14ac:dyDescent="0.2">
      <c r="A1230" t="str">
        <f t="shared" si="19"/>
        <v>Kri-lin25</v>
      </c>
      <c r="B1230">
        <v>2</v>
      </c>
      <c r="C1230" t="s">
        <v>61</v>
      </c>
      <c r="D1230">
        <v>1</v>
      </c>
      <c r="E1230">
        <v>12</v>
      </c>
      <c r="F1230">
        <v>25</v>
      </c>
    </row>
    <row r="1231" spans="1:6" x14ac:dyDescent="0.2">
      <c r="A1231" t="str">
        <f t="shared" si="19"/>
        <v>Boosilletoo25</v>
      </c>
      <c r="B1231">
        <v>3</v>
      </c>
      <c r="C1231" t="s">
        <v>532</v>
      </c>
      <c r="D1231">
        <v>0</v>
      </c>
      <c r="E1231">
        <v>8</v>
      </c>
      <c r="F1231">
        <v>25</v>
      </c>
    </row>
    <row r="1232" spans="1:6" x14ac:dyDescent="0.2">
      <c r="A1232" t="str">
        <f t="shared" si="19"/>
        <v>ChrisFrankfurt25</v>
      </c>
      <c r="B1232">
        <v>4</v>
      </c>
      <c r="C1232" t="s">
        <v>101</v>
      </c>
      <c r="D1232">
        <v>0</v>
      </c>
      <c r="E1232">
        <v>4</v>
      </c>
      <c r="F1232">
        <v>25</v>
      </c>
    </row>
    <row r="1233" spans="1:6" x14ac:dyDescent="0.2">
      <c r="A1233" t="str">
        <f t="shared" si="19"/>
        <v>Rockatou25</v>
      </c>
      <c r="B1233">
        <v>5</v>
      </c>
      <c r="C1233" t="s">
        <v>493</v>
      </c>
      <c r="D1233">
        <v>0</v>
      </c>
      <c r="E1233">
        <v>2</v>
      </c>
      <c r="F1233">
        <v>25</v>
      </c>
    </row>
    <row r="1234" spans="1:6" x14ac:dyDescent="0.2">
      <c r="A1234" t="str">
        <f t="shared" si="19"/>
        <v>Catherine25</v>
      </c>
      <c r="B1234">
        <v>6</v>
      </c>
      <c r="C1234" t="s">
        <v>69</v>
      </c>
      <c r="D1234">
        <v>0</v>
      </c>
      <c r="E1234">
        <v>1</v>
      </c>
      <c r="F1234">
        <v>25</v>
      </c>
    </row>
    <row r="1235" spans="1:6" x14ac:dyDescent="0.2">
      <c r="A1235" t="str">
        <f t="shared" si="19"/>
        <v>Michelbey25</v>
      </c>
      <c r="B1235">
        <v>1</v>
      </c>
      <c r="C1235" t="s">
        <v>75</v>
      </c>
      <c r="D1235">
        <v>4</v>
      </c>
      <c r="E1235">
        <v>17</v>
      </c>
      <c r="F1235">
        <v>25</v>
      </c>
    </row>
    <row r="1236" spans="1:6" x14ac:dyDescent="0.2">
      <c r="A1236" t="str">
        <f t="shared" si="19"/>
        <v>ScoNix25</v>
      </c>
      <c r="B1236">
        <v>2</v>
      </c>
      <c r="C1236" t="s">
        <v>554</v>
      </c>
      <c r="D1236">
        <v>2</v>
      </c>
      <c r="E1236">
        <v>13</v>
      </c>
      <c r="F1236">
        <v>25</v>
      </c>
    </row>
    <row r="1237" spans="1:6" x14ac:dyDescent="0.2">
      <c r="A1237" t="str">
        <f t="shared" si="19"/>
        <v>JC25</v>
      </c>
      <c r="B1237">
        <v>3</v>
      </c>
      <c r="C1237" t="s">
        <v>534</v>
      </c>
      <c r="D1237">
        <v>0</v>
      </c>
      <c r="E1237">
        <v>9</v>
      </c>
      <c r="F1237">
        <v>25</v>
      </c>
    </row>
    <row r="1238" spans="1:6" x14ac:dyDescent="0.2">
      <c r="A1238" t="str">
        <f t="shared" si="19"/>
        <v>DernierPli25</v>
      </c>
      <c r="B1238">
        <v>4</v>
      </c>
      <c r="C1238" t="s">
        <v>490</v>
      </c>
      <c r="D1238">
        <v>0</v>
      </c>
      <c r="E1238">
        <v>5</v>
      </c>
      <c r="F1238">
        <v>25</v>
      </c>
    </row>
    <row r="1239" spans="1:6" x14ac:dyDescent="0.2">
      <c r="A1239" t="str">
        <f t="shared" si="19"/>
        <v>Proph@ne25</v>
      </c>
      <c r="B1239">
        <v>5</v>
      </c>
      <c r="C1239" t="s">
        <v>87</v>
      </c>
      <c r="D1239">
        <v>0</v>
      </c>
      <c r="E1239">
        <v>3</v>
      </c>
      <c r="F1239">
        <v>25</v>
      </c>
    </row>
    <row r="1240" spans="1:6" x14ac:dyDescent="0.2">
      <c r="A1240" t="str">
        <f t="shared" si="19"/>
        <v>Solucky25</v>
      </c>
      <c r="B1240">
        <v>6</v>
      </c>
      <c r="C1240" t="s">
        <v>485</v>
      </c>
      <c r="D1240">
        <v>0</v>
      </c>
      <c r="E1240">
        <v>2</v>
      </c>
      <c r="F1240">
        <v>25</v>
      </c>
    </row>
    <row r="1241" spans="1:6" x14ac:dyDescent="0.2">
      <c r="A1241" t="str">
        <f t="shared" si="19"/>
        <v>Salender25</v>
      </c>
      <c r="B1241">
        <v>7</v>
      </c>
      <c r="C1241" t="s">
        <v>479</v>
      </c>
      <c r="D1241">
        <v>0</v>
      </c>
      <c r="E1241">
        <v>1</v>
      </c>
      <c r="F1241">
        <v>25</v>
      </c>
    </row>
    <row r="1242" spans="1:6" x14ac:dyDescent="0.2">
      <c r="A1242" t="str">
        <f t="shared" si="19"/>
        <v>Yaltar25</v>
      </c>
      <c r="B1242">
        <v>1</v>
      </c>
      <c r="C1242" t="s">
        <v>503</v>
      </c>
      <c r="D1242">
        <v>3</v>
      </c>
      <c r="E1242">
        <v>16</v>
      </c>
      <c r="F1242">
        <v>25</v>
      </c>
    </row>
    <row r="1243" spans="1:6" x14ac:dyDescent="0.2">
      <c r="A1243" t="str">
        <f t="shared" si="19"/>
        <v>Comment225</v>
      </c>
      <c r="B1243">
        <v>2</v>
      </c>
      <c r="C1243" t="s">
        <v>76</v>
      </c>
      <c r="D1243">
        <v>1</v>
      </c>
      <c r="E1243">
        <v>12</v>
      </c>
      <c r="F1243">
        <v>25</v>
      </c>
    </row>
    <row r="1244" spans="1:6" x14ac:dyDescent="0.2">
      <c r="A1244" t="str">
        <f t="shared" si="19"/>
        <v>Ouais ouais25</v>
      </c>
      <c r="B1244">
        <v>3</v>
      </c>
      <c r="C1244" t="s">
        <v>533</v>
      </c>
      <c r="D1244">
        <v>1</v>
      </c>
      <c r="E1244">
        <v>8</v>
      </c>
      <c r="F1244">
        <v>25</v>
      </c>
    </row>
    <row r="1245" spans="1:6" x14ac:dyDescent="0.2">
      <c r="A1245" t="str">
        <f t="shared" si="19"/>
        <v>Snake170225</v>
      </c>
      <c r="B1245">
        <v>4</v>
      </c>
      <c r="C1245" t="s">
        <v>552</v>
      </c>
      <c r="D1245">
        <v>0</v>
      </c>
      <c r="E1245">
        <v>4</v>
      </c>
      <c r="F1245">
        <v>25</v>
      </c>
    </row>
    <row r="1246" spans="1:6" x14ac:dyDescent="0.2">
      <c r="A1246" t="str">
        <f t="shared" si="19"/>
        <v>JeanMichelTiming25</v>
      </c>
      <c r="B1246">
        <v>5</v>
      </c>
      <c r="C1246" t="s">
        <v>35</v>
      </c>
      <c r="D1246">
        <v>0</v>
      </c>
      <c r="E1246">
        <v>2</v>
      </c>
      <c r="F1246">
        <v>25</v>
      </c>
    </row>
    <row r="1247" spans="1:6" x14ac:dyDescent="0.2">
      <c r="A1247" t="str">
        <f t="shared" si="19"/>
        <v>PatB25</v>
      </c>
      <c r="B1247">
        <v>6</v>
      </c>
      <c r="C1247" t="s">
        <v>74</v>
      </c>
      <c r="D1247">
        <v>0</v>
      </c>
      <c r="E1247">
        <v>1</v>
      </c>
      <c r="F1247">
        <v>25</v>
      </c>
    </row>
    <row r="1248" spans="1:6" x14ac:dyDescent="0.2">
      <c r="A1248" t="str">
        <f t="shared" si="19"/>
        <v>Mandrake25</v>
      </c>
      <c r="B1248">
        <v>1</v>
      </c>
      <c r="C1248" t="s">
        <v>27</v>
      </c>
      <c r="D1248">
        <v>2</v>
      </c>
      <c r="E1248">
        <v>16</v>
      </c>
      <c r="F1248">
        <v>25</v>
      </c>
    </row>
    <row r="1249" spans="1:6" x14ac:dyDescent="0.2">
      <c r="A1249" t="str">
        <f t="shared" si="19"/>
        <v>LAAtof25</v>
      </c>
      <c r="B1249">
        <v>2</v>
      </c>
      <c r="C1249" t="s">
        <v>15</v>
      </c>
      <c r="D1249">
        <v>1</v>
      </c>
      <c r="E1249">
        <v>12</v>
      </c>
      <c r="F1249">
        <v>25</v>
      </c>
    </row>
    <row r="1250" spans="1:6" x14ac:dyDescent="0.2">
      <c r="A1250" t="str">
        <f t="shared" si="19"/>
        <v>Tenko25</v>
      </c>
      <c r="B1250">
        <v>3</v>
      </c>
      <c r="C1250" t="s">
        <v>516</v>
      </c>
      <c r="D1250">
        <v>2</v>
      </c>
      <c r="E1250">
        <v>8</v>
      </c>
      <c r="F1250">
        <v>25</v>
      </c>
    </row>
    <row r="1251" spans="1:6" x14ac:dyDescent="0.2">
      <c r="A1251" t="str">
        <f t="shared" si="19"/>
        <v>Claptou25</v>
      </c>
      <c r="B1251">
        <v>4</v>
      </c>
      <c r="C1251" t="s">
        <v>42</v>
      </c>
      <c r="D1251">
        <v>0</v>
      </c>
      <c r="E1251">
        <v>4</v>
      </c>
      <c r="F1251">
        <v>25</v>
      </c>
    </row>
    <row r="1252" spans="1:6" x14ac:dyDescent="0.2">
      <c r="A1252" t="str">
        <f t="shared" si="19"/>
        <v>Carmin25</v>
      </c>
      <c r="B1252">
        <v>5</v>
      </c>
      <c r="C1252" t="s">
        <v>21</v>
      </c>
      <c r="D1252">
        <v>0</v>
      </c>
      <c r="E1252">
        <v>2</v>
      </c>
      <c r="F1252">
        <v>25</v>
      </c>
    </row>
    <row r="1253" spans="1:6" x14ac:dyDescent="0.2">
      <c r="A1253" t="str">
        <f t="shared" si="19"/>
        <v>Ripolin25</v>
      </c>
      <c r="B1253">
        <v>6</v>
      </c>
      <c r="C1253" t="s">
        <v>65</v>
      </c>
      <c r="D1253">
        <v>0</v>
      </c>
      <c r="E1253">
        <v>1</v>
      </c>
      <c r="F1253">
        <v>25</v>
      </c>
    </row>
    <row r="1254" spans="1:6" x14ac:dyDescent="0.2">
      <c r="A1254" t="str">
        <f t="shared" si="19"/>
        <v>Flem25</v>
      </c>
      <c r="B1254">
        <v>1</v>
      </c>
      <c r="C1254" t="s">
        <v>73</v>
      </c>
      <c r="D1254">
        <v>3</v>
      </c>
      <c r="E1254">
        <v>16</v>
      </c>
      <c r="F1254">
        <v>25</v>
      </c>
    </row>
    <row r="1255" spans="1:6" x14ac:dyDescent="0.2">
      <c r="A1255" t="str">
        <f t="shared" si="19"/>
        <v>Xhar9225</v>
      </c>
      <c r="B1255">
        <v>2</v>
      </c>
      <c r="C1255" t="s">
        <v>519</v>
      </c>
      <c r="D1255">
        <v>0</v>
      </c>
      <c r="E1255">
        <v>12</v>
      </c>
      <c r="F1255">
        <v>25</v>
      </c>
    </row>
    <row r="1256" spans="1:6" x14ac:dyDescent="0.2">
      <c r="A1256" t="str">
        <f t="shared" si="19"/>
        <v>Jérôme25</v>
      </c>
      <c r="B1256">
        <v>3</v>
      </c>
      <c r="C1256" t="s">
        <v>46</v>
      </c>
      <c r="D1256">
        <v>0</v>
      </c>
      <c r="E1256">
        <v>8</v>
      </c>
      <c r="F1256">
        <v>25</v>
      </c>
    </row>
    <row r="1257" spans="1:6" x14ac:dyDescent="0.2">
      <c r="A1257" t="str">
        <f t="shared" si="19"/>
        <v>Empedocle25</v>
      </c>
      <c r="B1257">
        <v>4</v>
      </c>
      <c r="C1257" t="s">
        <v>81</v>
      </c>
      <c r="D1257">
        <v>2</v>
      </c>
      <c r="E1257">
        <v>4</v>
      </c>
      <c r="F1257">
        <v>25</v>
      </c>
    </row>
    <row r="1258" spans="1:6" x14ac:dyDescent="0.2">
      <c r="A1258" t="str">
        <f t="shared" si="19"/>
        <v>Gibbonfury25</v>
      </c>
      <c r="B1258">
        <v>5</v>
      </c>
      <c r="C1258" t="s">
        <v>454</v>
      </c>
      <c r="D1258">
        <v>0</v>
      </c>
      <c r="E1258">
        <v>2</v>
      </c>
      <c r="F1258">
        <v>25</v>
      </c>
    </row>
    <row r="1259" spans="1:6" x14ac:dyDescent="0.2">
      <c r="A1259" t="str">
        <f t="shared" si="19"/>
        <v>Pyja25</v>
      </c>
      <c r="B1259">
        <v>6</v>
      </c>
      <c r="C1259" t="s">
        <v>6</v>
      </c>
      <c r="D1259">
        <v>0</v>
      </c>
      <c r="E1259">
        <v>1</v>
      </c>
      <c r="F1259">
        <v>25</v>
      </c>
    </row>
    <row r="1260" spans="1:6" x14ac:dyDescent="0.2">
      <c r="A1260" t="str">
        <f t="shared" si="19"/>
        <v>Soupaman25</v>
      </c>
      <c r="B1260">
        <v>1</v>
      </c>
      <c r="C1260" t="s">
        <v>518</v>
      </c>
      <c r="D1260">
        <v>4</v>
      </c>
      <c r="E1260">
        <v>17</v>
      </c>
      <c r="F1260">
        <v>25</v>
      </c>
    </row>
    <row r="1261" spans="1:6" x14ac:dyDescent="0.2">
      <c r="A1261" t="str">
        <f t="shared" si="19"/>
        <v>Jaden25</v>
      </c>
      <c r="B1261">
        <v>2</v>
      </c>
      <c r="C1261" t="s">
        <v>521</v>
      </c>
      <c r="D1261">
        <v>0</v>
      </c>
      <c r="E1261">
        <v>13</v>
      </c>
      <c r="F1261">
        <v>25</v>
      </c>
    </row>
    <row r="1262" spans="1:6" x14ac:dyDescent="0.2">
      <c r="A1262" t="str">
        <f t="shared" si="19"/>
        <v>Zizou25</v>
      </c>
      <c r="B1262">
        <v>3</v>
      </c>
      <c r="C1262" t="s">
        <v>504</v>
      </c>
      <c r="D1262">
        <v>0</v>
      </c>
      <c r="E1262">
        <v>9</v>
      </c>
      <c r="F1262">
        <v>25</v>
      </c>
    </row>
    <row r="1263" spans="1:6" x14ac:dyDescent="0.2">
      <c r="A1263" t="str">
        <f t="shared" si="19"/>
        <v>Bounette25</v>
      </c>
      <c r="B1263">
        <v>4</v>
      </c>
      <c r="C1263" t="s">
        <v>55</v>
      </c>
      <c r="D1263">
        <v>1</v>
      </c>
      <c r="E1263">
        <v>5</v>
      </c>
      <c r="F1263">
        <v>25</v>
      </c>
    </row>
    <row r="1264" spans="1:6" x14ac:dyDescent="0.2">
      <c r="A1264" t="str">
        <f t="shared" si="19"/>
        <v>Delgres25</v>
      </c>
      <c r="B1264">
        <v>5</v>
      </c>
      <c r="C1264" t="s">
        <v>280</v>
      </c>
      <c r="D1264">
        <v>1</v>
      </c>
      <c r="E1264">
        <v>3</v>
      </c>
      <c r="F1264">
        <v>25</v>
      </c>
    </row>
    <row r="1265" spans="1:6" x14ac:dyDescent="0.2">
      <c r="A1265" t="str">
        <f t="shared" si="19"/>
        <v>Poisson Pilote25</v>
      </c>
      <c r="B1265">
        <v>6</v>
      </c>
      <c r="C1265" t="s">
        <v>501</v>
      </c>
      <c r="D1265">
        <v>0</v>
      </c>
      <c r="E1265">
        <v>2</v>
      </c>
      <c r="F1265">
        <v>25</v>
      </c>
    </row>
    <row r="1266" spans="1:6" x14ac:dyDescent="0.2">
      <c r="A1266" t="str">
        <f t="shared" si="19"/>
        <v>Magic Mykiss25</v>
      </c>
      <c r="B1266">
        <v>7</v>
      </c>
      <c r="C1266" t="s">
        <v>510</v>
      </c>
      <c r="D1266">
        <v>0</v>
      </c>
      <c r="E1266">
        <v>1</v>
      </c>
      <c r="F1266">
        <v>25</v>
      </c>
    </row>
    <row r="1267" spans="1:6" x14ac:dyDescent="0.2">
      <c r="A1267" t="str">
        <f t="shared" si="19"/>
        <v>Bounette26</v>
      </c>
      <c r="B1267">
        <v>1</v>
      </c>
      <c r="C1267" t="s">
        <v>55</v>
      </c>
      <c r="D1267">
        <v>2</v>
      </c>
      <c r="E1267">
        <v>16</v>
      </c>
      <c r="F1267">
        <v>26</v>
      </c>
    </row>
    <row r="1268" spans="1:6" x14ac:dyDescent="0.2">
      <c r="A1268" t="str">
        <f t="shared" si="19"/>
        <v>Proph@ne26</v>
      </c>
      <c r="B1268">
        <v>2</v>
      </c>
      <c r="C1268" t="s">
        <v>87</v>
      </c>
      <c r="D1268">
        <v>1</v>
      </c>
      <c r="E1268">
        <v>12</v>
      </c>
      <c r="F1268">
        <v>26</v>
      </c>
    </row>
    <row r="1269" spans="1:6" x14ac:dyDescent="0.2">
      <c r="A1269" t="str">
        <f t="shared" si="19"/>
        <v>Mams26</v>
      </c>
      <c r="B1269">
        <v>3</v>
      </c>
      <c r="C1269" t="s">
        <v>505</v>
      </c>
      <c r="D1269">
        <v>1</v>
      </c>
      <c r="E1269">
        <v>8</v>
      </c>
      <c r="F1269">
        <v>26</v>
      </c>
    </row>
    <row r="1270" spans="1:6" x14ac:dyDescent="0.2">
      <c r="A1270" t="str">
        <f t="shared" si="19"/>
        <v>Losogre26</v>
      </c>
      <c r="B1270">
        <v>4</v>
      </c>
      <c r="C1270" t="s">
        <v>507</v>
      </c>
      <c r="D1270">
        <v>1</v>
      </c>
      <c r="E1270">
        <v>4</v>
      </c>
      <c r="F1270">
        <v>26</v>
      </c>
    </row>
    <row r="1271" spans="1:6" x14ac:dyDescent="0.2">
      <c r="A1271" t="str">
        <f t="shared" si="19"/>
        <v>Catherine26</v>
      </c>
      <c r="B1271">
        <v>5</v>
      </c>
      <c r="C1271" t="s">
        <v>69</v>
      </c>
      <c r="D1271">
        <v>0</v>
      </c>
      <c r="E1271">
        <v>2</v>
      </c>
      <c r="F1271">
        <v>26</v>
      </c>
    </row>
    <row r="1272" spans="1:6" x14ac:dyDescent="0.2">
      <c r="A1272" t="str">
        <f t="shared" si="19"/>
        <v>Gibbonfury26</v>
      </c>
      <c r="B1272">
        <v>6</v>
      </c>
      <c r="C1272" t="s">
        <v>454</v>
      </c>
      <c r="D1272">
        <v>0</v>
      </c>
      <c r="E1272">
        <v>1</v>
      </c>
      <c r="F1272">
        <v>26</v>
      </c>
    </row>
    <row r="1273" spans="1:6" x14ac:dyDescent="0.2">
      <c r="A1273" t="str">
        <f t="shared" si="19"/>
        <v>Claptou26</v>
      </c>
      <c r="B1273">
        <v>1</v>
      </c>
      <c r="C1273" t="s">
        <v>42</v>
      </c>
      <c r="D1273">
        <v>4</v>
      </c>
      <c r="E1273">
        <v>16</v>
      </c>
      <c r="F1273">
        <v>26</v>
      </c>
    </row>
    <row r="1274" spans="1:6" x14ac:dyDescent="0.2">
      <c r="A1274" t="str">
        <f t="shared" si="19"/>
        <v>Salender26</v>
      </c>
      <c r="B1274">
        <v>2</v>
      </c>
      <c r="C1274" t="s">
        <v>479</v>
      </c>
      <c r="D1274">
        <v>0</v>
      </c>
      <c r="E1274">
        <v>12</v>
      </c>
      <c r="F1274">
        <v>26</v>
      </c>
    </row>
    <row r="1275" spans="1:6" x14ac:dyDescent="0.2">
      <c r="A1275" t="str">
        <f t="shared" si="19"/>
        <v>Djecus26</v>
      </c>
      <c r="B1275">
        <v>3</v>
      </c>
      <c r="C1275" t="s">
        <v>461</v>
      </c>
      <c r="D1275">
        <v>1</v>
      </c>
      <c r="E1275">
        <v>8</v>
      </c>
      <c r="F1275">
        <v>26</v>
      </c>
    </row>
    <row r="1276" spans="1:6" x14ac:dyDescent="0.2">
      <c r="A1276" t="str">
        <f t="shared" si="19"/>
        <v>Claudius26</v>
      </c>
      <c r="B1276">
        <v>4</v>
      </c>
      <c r="C1276" t="s">
        <v>25</v>
      </c>
      <c r="D1276">
        <v>0</v>
      </c>
      <c r="E1276">
        <v>4</v>
      </c>
      <c r="F1276">
        <v>26</v>
      </c>
    </row>
    <row r="1277" spans="1:6" x14ac:dyDescent="0.2">
      <c r="A1277" t="str">
        <f t="shared" si="19"/>
        <v>Pintu26</v>
      </c>
      <c r="B1277">
        <v>5</v>
      </c>
      <c r="C1277" t="s">
        <v>48</v>
      </c>
      <c r="D1277">
        <v>0</v>
      </c>
      <c r="E1277">
        <v>2</v>
      </c>
      <c r="F1277">
        <v>26</v>
      </c>
    </row>
    <row r="1278" spans="1:6" x14ac:dyDescent="0.2">
      <c r="A1278" t="str">
        <f t="shared" si="19"/>
        <v>K126</v>
      </c>
      <c r="B1278">
        <v>6</v>
      </c>
      <c r="C1278" t="s">
        <v>9</v>
      </c>
      <c r="D1278">
        <v>0</v>
      </c>
      <c r="E1278">
        <v>1</v>
      </c>
      <c r="F1278">
        <v>26</v>
      </c>
    </row>
    <row r="1279" spans="1:6" x14ac:dyDescent="0.2">
      <c r="A1279" t="str">
        <f t="shared" si="19"/>
        <v>Giobeck26</v>
      </c>
      <c r="B1279">
        <v>1</v>
      </c>
      <c r="C1279" t="s">
        <v>19</v>
      </c>
      <c r="D1279">
        <v>2</v>
      </c>
      <c r="E1279">
        <v>16</v>
      </c>
      <c r="F1279">
        <v>26</v>
      </c>
    </row>
    <row r="1280" spans="1:6" x14ac:dyDescent="0.2">
      <c r="A1280" t="str">
        <f t="shared" si="19"/>
        <v>Riviera26</v>
      </c>
      <c r="B1280">
        <v>2</v>
      </c>
      <c r="C1280" t="s">
        <v>261</v>
      </c>
      <c r="D1280">
        <v>1</v>
      </c>
      <c r="E1280">
        <v>12</v>
      </c>
      <c r="F1280">
        <v>26</v>
      </c>
    </row>
    <row r="1281" spans="1:6" x14ac:dyDescent="0.2">
      <c r="A1281" t="str">
        <f t="shared" si="19"/>
        <v>Thibaultp7526</v>
      </c>
      <c r="B1281">
        <v>3</v>
      </c>
      <c r="C1281" t="s">
        <v>345</v>
      </c>
      <c r="D1281">
        <v>2</v>
      </c>
      <c r="E1281">
        <v>8</v>
      </c>
      <c r="F1281">
        <v>26</v>
      </c>
    </row>
    <row r="1282" spans="1:6" x14ac:dyDescent="0.2">
      <c r="A1282" t="str">
        <f t="shared" ref="A1282:A1345" si="20">C1282&amp;F1282</f>
        <v>TheRealWill26</v>
      </c>
      <c r="B1282">
        <v>4</v>
      </c>
      <c r="C1282" t="s">
        <v>535</v>
      </c>
      <c r="D1282">
        <v>0</v>
      </c>
      <c r="E1282">
        <v>4</v>
      </c>
      <c r="F1282">
        <v>26</v>
      </c>
    </row>
    <row r="1283" spans="1:6" x14ac:dyDescent="0.2">
      <c r="A1283" t="str">
        <f t="shared" si="20"/>
        <v>Soupaman26</v>
      </c>
      <c r="B1283">
        <v>4</v>
      </c>
      <c r="C1283" t="s">
        <v>518</v>
      </c>
      <c r="D1283">
        <v>0</v>
      </c>
      <c r="E1283">
        <v>4</v>
      </c>
      <c r="F1283">
        <v>26</v>
      </c>
    </row>
    <row r="1284" spans="1:6" x14ac:dyDescent="0.2">
      <c r="A1284" t="str">
        <f t="shared" si="20"/>
        <v>Ankolos26</v>
      </c>
      <c r="B1284">
        <v>6</v>
      </c>
      <c r="C1284" t="s">
        <v>556</v>
      </c>
      <c r="D1284">
        <v>0</v>
      </c>
      <c r="E1284">
        <v>1</v>
      </c>
      <c r="F1284">
        <v>26</v>
      </c>
    </row>
    <row r="1285" spans="1:6" x14ac:dyDescent="0.2">
      <c r="A1285" t="str">
        <f t="shared" si="20"/>
        <v>Zubbaz26</v>
      </c>
      <c r="B1285">
        <v>1</v>
      </c>
      <c r="C1285" t="s">
        <v>506</v>
      </c>
      <c r="D1285">
        <v>3</v>
      </c>
      <c r="E1285">
        <v>16</v>
      </c>
      <c r="F1285">
        <v>26</v>
      </c>
    </row>
    <row r="1286" spans="1:6" x14ac:dyDescent="0.2">
      <c r="A1286" t="str">
        <f t="shared" si="20"/>
        <v>DernierPli26</v>
      </c>
      <c r="B1286">
        <v>2</v>
      </c>
      <c r="C1286" t="s">
        <v>490</v>
      </c>
      <c r="D1286">
        <v>0</v>
      </c>
      <c r="E1286">
        <v>12</v>
      </c>
      <c r="F1286">
        <v>26</v>
      </c>
    </row>
    <row r="1287" spans="1:6" x14ac:dyDescent="0.2">
      <c r="A1287" t="str">
        <f t="shared" si="20"/>
        <v>Comment226</v>
      </c>
      <c r="B1287">
        <v>3</v>
      </c>
      <c r="C1287" t="s">
        <v>76</v>
      </c>
      <c r="D1287">
        <v>1</v>
      </c>
      <c r="E1287">
        <v>8</v>
      </c>
      <c r="F1287">
        <v>26</v>
      </c>
    </row>
    <row r="1288" spans="1:6" x14ac:dyDescent="0.2">
      <c r="A1288" t="str">
        <f t="shared" si="20"/>
        <v>Gabs26</v>
      </c>
      <c r="B1288">
        <v>4</v>
      </c>
      <c r="C1288" t="s">
        <v>555</v>
      </c>
      <c r="D1288">
        <v>0</v>
      </c>
      <c r="E1288">
        <v>4</v>
      </c>
      <c r="F1288">
        <v>26</v>
      </c>
    </row>
    <row r="1289" spans="1:6" x14ac:dyDescent="0.2">
      <c r="A1289" t="str">
        <f t="shared" si="20"/>
        <v>Ad Vitam26</v>
      </c>
      <c r="B1289">
        <v>5</v>
      </c>
      <c r="C1289" t="s">
        <v>66</v>
      </c>
      <c r="D1289">
        <v>0</v>
      </c>
      <c r="E1289">
        <v>2</v>
      </c>
      <c r="F1289">
        <v>26</v>
      </c>
    </row>
    <row r="1290" spans="1:6" x14ac:dyDescent="0.2">
      <c r="A1290" t="str">
        <f t="shared" si="20"/>
        <v>JC26</v>
      </c>
      <c r="B1290">
        <v>6</v>
      </c>
      <c r="C1290" t="s">
        <v>534</v>
      </c>
      <c r="D1290">
        <v>0</v>
      </c>
      <c r="E1290">
        <v>1</v>
      </c>
      <c r="F1290">
        <v>26</v>
      </c>
    </row>
    <row r="1291" spans="1:6" x14ac:dyDescent="0.2">
      <c r="A1291" t="str">
        <f t="shared" si="20"/>
        <v>Solucky26</v>
      </c>
      <c r="B1291">
        <v>1</v>
      </c>
      <c r="C1291" t="s">
        <v>485</v>
      </c>
      <c r="D1291">
        <v>1</v>
      </c>
      <c r="E1291">
        <v>16</v>
      </c>
      <c r="F1291">
        <v>26</v>
      </c>
    </row>
    <row r="1292" spans="1:6" x14ac:dyDescent="0.2">
      <c r="A1292" t="str">
        <f t="shared" si="20"/>
        <v>Yarael26</v>
      </c>
      <c r="B1292">
        <v>2</v>
      </c>
      <c r="C1292" t="s">
        <v>88</v>
      </c>
      <c r="D1292">
        <v>3</v>
      </c>
      <c r="E1292">
        <v>12</v>
      </c>
      <c r="F1292">
        <v>26</v>
      </c>
    </row>
    <row r="1293" spans="1:6" x14ac:dyDescent="0.2">
      <c r="A1293" t="str">
        <f t="shared" si="20"/>
        <v>Kheops26</v>
      </c>
      <c r="B1293">
        <v>3</v>
      </c>
      <c r="C1293" t="s">
        <v>500</v>
      </c>
      <c r="D1293">
        <v>0</v>
      </c>
      <c r="E1293">
        <v>8</v>
      </c>
      <c r="F1293">
        <v>26</v>
      </c>
    </row>
    <row r="1294" spans="1:6" x14ac:dyDescent="0.2">
      <c r="A1294" t="str">
        <f t="shared" si="20"/>
        <v>Yaltar26</v>
      </c>
      <c r="B1294">
        <v>4</v>
      </c>
      <c r="C1294" t="s">
        <v>503</v>
      </c>
      <c r="D1294">
        <v>1</v>
      </c>
      <c r="E1294">
        <v>4</v>
      </c>
      <c r="F1294">
        <v>26</v>
      </c>
    </row>
    <row r="1295" spans="1:6" x14ac:dyDescent="0.2">
      <c r="A1295" t="str">
        <f t="shared" si="20"/>
        <v>La Bavure26</v>
      </c>
      <c r="B1295">
        <v>5</v>
      </c>
      <c r="C1295" t="s">
        <v>475</v>
      </c>
      <c r="D1295">
        <v>0</v>
      </c>
      <c r="E1295">
        <v>2</v>
      </c>
      <c r="F1295">
        <v>26</v>
      </c>
    </row>
    <row r="1296" spans="1:6" x14ac:dyDescent="0.2">
      <c r="A1296" t="str">
        <f t="shared" si="20"/>
        <v>PatB26</v>
      </c>
      <c r="B1296">
        <v>6</v>
      </c>
      <c r="C1296" t="s">
        <v>74</v>
      </c>
      <c r="D1296">
        <v>0</v>
      </c>
      <c r="E1296">
        <v>1</v>
      </c>
      <c r="F1296">
        <v>26</v>
      </c>
    </row>
    <row r="1297" spans="1:6" x14ac:dyDescent="0.2">
      <c r="A1297" t="str">
        <f t="shared" si="20"/>
        <v>ChrisFrankfurt26</v>
      </c>
      <c r="B1297">
        <v>1</v>
      </c>
      <c r="C1297" t="s">
        <v>101</v>
      </c>
      <c r="D1297">
        <v>4</v>
      </c>
      <c r="E1297">
        <v>16</v>
      </c>
      <c r="F1297">
        <v>26</v>
      </c>
    </row>
    <row r="1298" spans="1:6" x14ac:dyDescent="0.2">
      <c r="A1298" t="str">
        <f t="shared" si="20"/>
        <v>JeanMichelTiming26</v>
      </c>
      <c r="B1298">
        <v>2</v>
      </c>
      <c r="C1298" t="s">
        <v>35</v>
      </c>
      <c r="D1298">
        <v>1</v>
      </c>
      <c r="E1298">
        <v>12</v>
      </c>
      <c r="F1298">
        <v>26</v>
      </c>
    </row>
    <row r="1299" spans="1:6" x14ac:dyDescent="0.2">
      <c r="A1299" t="str">
        <f t="shared" si="20"/>
        <v>LAAtof26</v>
      </c>
      <c r="B1299">
        <v>3</v>
      </c>
      <c r="C1299" t="s">
        <v>15</v>
      </c>
      <c r="D1299">
        <v>0</v>
      </c>
      <c r="E1299">
        <v>8</v>
      </c>
      <c r="F1299">
        <v>26</v>
      </c>
    </row>
    <row r="1300" spans="1:6" x14ac:dyDescent="0.2">
      <c r="A1300" t="str">
        <f t="shared" si="20"/>
        <v>Empedocle26</v>
      </c>
      <c r="B1300">
        <v>4</v>
      </c>
      <c r="C1300" t="s">
        <v>81</v>
      </c>
      <c r="D1300">
        <v>0</v>
      </c>
      <c r="E1300">
        <v>4</v>
      </c>
      <c r="F1300">
        <v>26</v>
      </c>
    </row>
    <row r="1301" spans="1:6" x14ac:dyDescent="0.2">
      <c r="A1301" t="str">
        <f t="shared" si="20"/>
        <v>Jérôme26</v>
      </c>
      <c r="B1301">
        <v>5</v>
      </c>
      <c r="C1301" t="s">
        <v>46</v>
      </c>
      <c r="D1301">
        <v>0</v>
      </c>
      <c r="E1301">
        <v>2</v>
      </c>
      <c r="F1301">
        <v>26</v>
      </c>
    </row>
    <row r="1302" spans="1:6" x14ac:dyDescent="0.2">
      <c r="A1302" t="str">
        <f t="shared" si="20"/>
        <v>Carmin26</v>
      </c>
      <c r="B1302">
        <v>6</v>
      </c>
      <c r="C1302" t="s">
        <v>21</v>
      </c>
      <c r="D1302">
        <v>0</v>
      </c>
      <c r="E1302">
        <v>1</v>
      </c>
      <c r="F1302">
        <v>26</v>
      </c>
    </row>
    <row r="1303" spans="1:6" x14ac:dyDescent="0.2">
      <c r="A1303" t="str">
        <f t="shared" si="20"/>
        <v>Ramm26</v>
      </c>
      <c r="B1303">
        <v>1</v>
      </c>
      <c r="C1303" t="s">
        <v>14</v>
      </c>
      <c r="D1303">
        <v>2</v>
      </c>
      <c r="E1303">
        <v>16</v>
      </c>
      <c r="F1303">
        <v>26</v>
      </c>
    </row>
    <row r="1304" spans="1:6" x14ac:dyDescent="0.2">
      <c r="A1304" t="str">
        <f t="shared" si="20"/>
        <v>Gibouille26</v>
      </c>
      <c r="B1304">
        <v>2</v>
      </c>
      <c r="C1304" t="s">
        <v>509</v>
      </c>
      <c r="D1304">
        <v>2</v>
      </c>
      <c r="E1304">
        <v>12</v>
      </c>
      <c r="F1304">
        <v>26</v>
      </c>
    </row>
    <row r="1305" spans="1:6" x14ac:dyDescent="0.2">
      <c r="A1305" t="str">
        <f t="shared" si="20"/>
        <v>Michelbey26</v>
      </c>
      <c r="B1305">
        <v>3</v>
      </c>
      <c r="C1305" t="s">
        <v>75</v>
      </c>
      <c r="D1305">
        <v>0</v>
      </c>
      <c r="E1305">
        <v>8</v>
      </c>
      <c r="F1305">
        <v>26</v>
      </c>
    </row>
    <row r="1306" spans="1:6" x14ac:dyDescent="0.2">
      <c r="A1306" t="str">
        <f t="shared" si="20"/>
        <v>ScoNix26</v>
      </c>
      <c r="B1306">
        <v>4</v>
      </c>
      <c r="C1306" t="s">
        <v>554</v>
      </c>
      <c r="D1306">
        <v>0</v>
      </c>
      <c r="E1306">
        <v>4</v>
      </c>
      <c r="F1306">
        <v>26</v>
      </c>
    </row>
    <row r="1307" spans="1:6" x14ac:dyDescent="0.2">
      <c r="A1307" t="str">
        <f t="shared" si="20"/>
        <v>Pyja26</v>
      </c>
      <c r="B1307">
        <v>5</v>
      </c>
      <c r="C1307" t="s">
        <v>6</v>
      </c>
      <c r="D1307">
        <v>1</v>
      </c>
      <c r="E1307">
        <v>2</v>
      </c>
      <c r="F1307">
        <v>26</v>
      </c>
    </row>
    <row r="1308" spans="1:6" x14ac:dyDescent="0.2">
      <c r="A1308" t="str">
        <f t="shared" si="20"/>
        <v>Poisson Pilote26</v>
      </c>
      <c r="B1308">
        <v>6</v>
      </c>
      <c r="C1308" t="s">
        <v>501</v>
      </c>
      <c r="D1308">
        <v>0</v>
      </c>
      <c r="E1308">
        <v>1</v>
      </c>
      <c r="F1308">
        <v>26</v>
      </c>
    </row>
    <row r="1309" spans="1:6" x14ac:dyDescent="0.2">
      <c r="A1309" t="str">
        <f t="shared" si="20"/>
        <v>Jaden26</v>
      </c>
      <c r="B1309">
        <v>1</v>
      </c>
      <c r="C1309" t="s">
        <v>521</v>
      </c>
      <c r="D1309">
        <v>2</v>
      </c>
      <c r="E1309">
        <v>16</v>
      </c>
      <c r="F1309">
        <v>26</v>
      </c>
    </row>
    <row r="1310" spans="1:6" x14ac:dyDescent="0.2">
      <c r="A1310" t="str">
        <f t="shared" si="20"/>
        <v>Rockatou26</v>
      </c>
      <c r="B1310">
        <v>2</v>
      </c>
      <c r="C1310" t="s">
        <v>493</v>
      </c>
      <c r="D1310">
        <v>1</v>
      </c>
      <c r="E1310">
        <v>12</v>
      </c>
      <c r="F1310">
        <v>26</v>
      </c>
    </row>
    <row r="1311" spans="1:6" x14ac:dyDescent="0.2">
      <c r="A1311" t="str">
        <f t="shared" si="20"/>
        <v>Mandrake26</v>
      </c>
      <c r="B1311">
        <v>3</v>
      </c>
      <c r="C1311" t="s">
        <v>27</v>
      </c>
      <c r="D1311">
        <v>2</v>
      </c>
      <c r="E1311">
        <v>8</v>
      </c>
      <c r="F1311">
        <v>26</v>
      </c>
    </row>
    <row r="1312" spans="1:6" x14ac:dyDescent="0.2">
      <c r="A1312" t="str">
        <f t="shared" si="20"/>
        <v>Freddie26</v>
      </c>
      <c r="B1312">
        <v>4</v>
      </c>
      <c r="C1312" t="s">
        <v>525</v>
      </c>
      <c r="D1312">
        <v>0</v>
      </c>
      <c r="E1312">
        <v>4</v>
      </c>
      <c r="F1312">
        <v>26</v>
      </c>
    </row>
    <row r="1313" spans="1:6" x14ac:dyDescent="0.2">
      <c r="A1313" t="str">
        <f t="shared" si="20"/>
        <v>Fishtro26</v>
      </c>
      <c r="B1313">
        <v>5</v>
      </c>
      <c r="C1313" t="s">
        <v>512</v>
      </c>
      <c r="D1313">
        <v>0</v>
      </c>
      <c r="E1313">
        <v>2</v>
      </c>
      <c r="F1313">
        <v>26</v>
      </c>
    </row>
    <row r="1314" spans="1:6" x14ac:dyDescent="0.2">
      <c r="A1314" t="str">
        <f t="shared" si="20"/>
        <v>Delgres26</v>
      </c>
      <c r="B1314">
        <v>6</v>
      </c>
      <c r="C1314" t="s">
        <v>280</v>
      </c>
      <c r="D1314">
        <v>0</v>
      </c>
      <c r="E1314">
        <v>1</v>
      </c>
      <c r="F1314">
        <v>26</v>
      </c>
    </row>
    <row r="1315" spans="1:6" x14ac:dyDescent="0.2">
      <c r="A1315" t="str">
        <f t="shared" si="20"/>
        <v>Madridal27</v>
      </c>
      <c r="B1315">
        <v>1</v>
      </c>
      <c r="C1315" t="s">
        <v>557</v>
      </c>
      <c r="D1315">
        <v>4</v>
      </c>
      <c r="E1315">
        <v>15</v>
      </c>
      <c r="F1315">
        <v>27</v>
      </c>
    </row>
    <row r="1316" spans="1:6" x14ac:dyDescent="0.2">
      <c r="A1316" t="str">
        <f t="shared" si="20"/>
        <v>K127</v>
      </c>
      <c r="B1316">
        <v>2</v>
      </c>
      <c r="C1316" t="s">
        <v>9</v>
      </c>
      <c r="D1316">
        <v>0</v>
      </c>
      <c r="E1316">
        <v>11</v>
      </c>
      <c r="F1316">
        <v>27</v>
      </c>
    </row>
    <row r="1317" spans="1:6" x14ac:dyDescent="0.2">
      <c r="A1317" t="str">
        <f t="shared" si="20"/>
        <v>LAAtof27</v>
      </c>
      <c r="B1317">
        <v>3</v>
      </c>
      <c r="C1317" t="s">
        <v>15</v>
      </c>
      <c r="D1317">
        <v>0</v>
      </c>
      <c r="E1317">
        <v>7</v>
      </c>
      <c r="F1317">
        <v>27</v>
      </c>
    </row>
    <row r="1318" spans="1:6" x14ac:dyDescent="0.2">
      <c r="A1318" t="str">
        <f t="shared" si="20"/>
        <v>Empedocle27</v>
      </c>
      <c r="B1318">
        <v>4</v>
      </c>
      <c r="C1318" t="s">
        <v>81</v>
      </c>
      <c r="D1318">
        <v>0</v>
      </c>
      <c r="E1318">
        <v>3</v>
      </c>
      <c r="F1318">
        <v>27</v>
      </c>
    </row>
    <row r="1319" spans="1:6" x14ac:dyDescent="0.2">
      <c r="A1319" t="str">
        <f t="shared" si="20"/>
        <v>Flem27</v>
      </c>
      <c r="B1319">
        <v>5</v>
      </c>
      <c r="C1319" t="s">
        <v>73</v>
      </c>
      <c r="D1319">
        <v>0</v>
      </c>
      <c r="E1319">
        <v>1</v>
      </c>
      <c r="F1319">
        <v>27</v>
      </c>
    </row>
    <row r="1320" spans="1:6" x14ac:dyDescent="0.2">
      <c r="A1320" t="str">
        <f t="shared" si="20"/>
        <v>PatB27</v>
      </c>
      <c r="B1320">
        <v>1</v>
      </c>
      <c r="C1320" t="s">
        <v>74</v>
      </c>
      <c r="D1320">
        <v>2</v>
      </c>
      <c r="E1320">
        <v>16</v>
      </c>
      <c r="F1320">
        <v>27</v>
      </c>
    </row>
    <row r="1321" spans="1:6" x14ac:dyDescent="0.2">
      <c r="A1321" t="str">
        <f t="shared" si="20"/>
        <v>Ad Vitam27</v>
      </c>
      <c r="B1321">
        <v>2</v>
      </c>
      <c r="C1321" t="s">
        <v>66</v>
      </c>
      <c r="D1321">
        <v>1</v>
      </c>
      <c r="E1321">
        <v>12</v>
      </c>
      <c r="F1321">
        <v>27</v>
      </c>
    </row>
    <row r="1322" spans="1:6" x14ac:dyDescent="0.2">
      <c r="A1322" t="str">
        <f t="shared" si="20"/>
        <v>Kheops27</v>
      </c>
      <c r="B1322">
        <v>3</v>
      </c>
      <c r="C1322" t="s">
        <v>500</v>
      </c>
      <c r="D1322">
        <v>1</v>
      </c>
      <c r="E1322">
        <v>8</v>
      </c>
      <c r="F1322">
        <v>27</v>
      </c>
    </row>
    <row r="1323" spans="1:6" x14ac:dyDescent="0.2">
      <c r="A1323" t="str">
        <f t="shared" si="20"/>
        <v>JC27</v>
      </c>
      <c r="B1323">
        <v>4</v>
      </c>
      <c r="C1323" t="s">
        <v>534</v>
      </c>
      <c r="D1323">
        <v>0</v>
      </c>
      <c r="E1323">
        <v>4</v>
      </c>
      <c r="F1323">
        <v>27</v>
      </c>
    </row>
    <row r="1324" spans="1:6" x14ac:dyDescent="0.2">
      <c r="A1324" t="str">
        <f t="shared" si="20"/>
        <v>Salender27</v>
      </c>
      <c r="B1324">
        <v>5</v>
      </c>
      <c r="C1324" t="s">
        <v>479</v>
      </c>
      <c r="D1324">
        <v>1</v>
      </c>
      <c r="E1324">
        <v>2</v>
      </c>
      <c r="F1324">
        <v>27</v>
      </c>
    </row>
    <row r="1325" spans="1:6" x14ac:dyDescent="0.2">
      <c r="A1325" t="str">
        <f t="shared" si="20"/>
        <v>ChrisFrankfurt27</v>
      </c>
      <c r="B1325">
        <v>6</v>
      </c>
      <c r="C1325" t="s">
        <v>101</v>
      </c>
      <c r="D1325">
        <v>0</v>
      </c>
      <c r="E1325">
        <v>1</v>
      </c>
      <c r="F1325">
        <v>27</v>
      </c>
    </row>
    <row r="1326" spans="1:6" x14ac:dyDescent="0.2">
      <c r="A1326" t="str">
        <f t="shared" si="20"/>
        <v>Proph@ne27</v>
      </c>
      <c r="B1326">
        <v>1</v>
      </c>
      <c r="C1326" t="s">
        <v>87</v>
      </c>
      <c r="D1326">
        <v>4</v>
      </c>
      <c r="E1326">
        <v>15</v>
      </c>
      <c r="F1326">
        <v>27</v>
      </c>
    </row>
    <row r="1327" spans="1:6" x14ac:dyDescent="0.2">
      <c r="A1327" t="str">
        <f t="shared" si="20"/>
        <v>Light27</v>
      </c>
      <c r="B1327">
        <v>2</v>
      </c>
      <c r="C1327" t="s">
        <v>558</v>
      </c>
      <c r="D1327">
        <v>0</v>
      </c>
      <c r="E1327">
        <v>11</v>
      </c>
      <c r="F1327">
        <v>27</v>
      </c>
    </row>
    <row r="1328" spans="1:6" x14ac:dyDescent="0.2">
      <c r="A1328" t="str">
        <f t="shared" si="20"/>
        <v>Jaden27</v>
      </c>
      <c r="B1328">
        <v>3</v>
      </c>
      <c r="C1328" t="s">
        <v>521</v>
      </c>
      <c r="D1328">
        <v>0</v>
      </c>
      <c r="E1328">
        <v>7</v>
      </c>
      <c r="F1328">
        <v>27</v>
      </c>
    </row>
    <row r="1329" spans="1:6" x14ac:dyDescent="0.2">
      <c r="A1329" t="str">
        <f t="shared" si="20"/>
        <v>TheRealWill27</v>
      </c>
      <c r="B1329">
        <v>4</v>
      </c>
      <c r="C1329" t="s">
        <v>535</v>
      </c>
      <c r="D1329">
        <v>0</v>
      </c>
      <c r="E1329">
        <v>3</v>
      </c>
      <c r="F1329">
        <v>27</v>
      </c>
    </row>
    <row r="1330" spans="1:6" x14ac:dyDescent="0.2">
      <c r="A1330" t="str">
        <f t="shared" si="20"/>
        <v>Solucky27</v>
      </c>
      <c r="B1330">
        <v>5</v>
      </c>
      <c r="C1330" t="s">
        <v>485</v>
      </c>
      <c r="D1330">
        <v>0</v>
      </c>
      <c r="E1330">
        <v>1</v>
      </c>
      <c r="F1330">
        <v>27</v>
      </c>
    </row>
    <row r="1331" spans="1:6" x14ac:dyDescent="0.2">
      <c r="A1331" t="str">
        <f t="shared" si="20"/>
        <v>Chico27</v>
      </c>
      <c r="B1331">
        <v>1</v>
      </c>
      <c r="C1331" t="s">
        <v>515</v>
      </c>
      <c r="D1331">
        <v>1</v>
      </c>
      <c r="E1331">
        <v>16</v>
      </c>
      <c r="F1331">
        <v>27</v>
      </c>
    </row>
    <row r="1332" spans="1:6" x14ac:dyDescent="0.2">
      <c r="A1332" t="str">
        <f t="shared" si="20"/>
        <v>Yroz27</v>
      </c>
      <c r="B1332">
        <v>2</v>
      </c>
      <c r="C1332" t="s">
        <v>526</v>
      </c>
      <c r="D1332">
        <v>3</v>
      </c>
      <c r="E1332">
        <v>12</v>
      </c>
      <c r="F1332">
        <v>27</v>
      </c>
    </row>
    <row r="1333" spans="1:6" x14ac:dyDescent="0.2">
      <c r="A1333" t="str">
        <f t="shared" si="20"/>
        <v>Pyja27</v>
      </c>
      <c r="B1333">
        <v>3</v>
      </c>
      <c r="C1333" t="s">
        <v>6</v>
      </c>
      <c r="D1333">
        <v>0</v>
      </c>
      <c r="E1333">
        <v>8</v>
      </c>
      <c r="F1333">
        <v>27</v>
      </c>
    </row>
    <row r="1334" spans="1:6" x14ac:dyDescent="0.2">
      <c r="A1334" t="str">
        <f t="shared" si="20"/>
        <v>Claudius27</v>
      </c>
      <c r="B1334">
        <v>4</v>
      </c>
      <c r="C1334" t="s">
        <v>25</v>
      </c>
      <c r="D1334">
        <v>1</v>
      </c>
      <c r="E1334">
        <v>4</v>
      </c>
      <c r="F1334">
        <v>27</v>
      </c>
    </row>
    <row r="1335" spans="1:6" x14ac:dyDescent="0.2">
      <c r="A1335" t="str">
        <f t="shared" si="20"/>
        <v>Ripolin27</v>
      </c>
      <c r="B1335">
        <v>5</v>
      </c>
      <c r="C1335" t="s">
        <v>65</v>
      </c>
      <c r="D1335">
        <v>0</v>
      </c>
      <c r="E1335">
        <v>2</v>
      </c>
      <c r="F1335">
        <v>27</v>
      </c>
    </row>
    <row r="1336" spans="1:6" x14ac:dyDescent="0.2">
      <c r="A1336" t="str">
        <f t="shared" si="20"/>
        <v>Gibbonfury27</v>
      </c>
      <c r="B1336">
        <v>6</v>
      </c>
      <c r="C1336" t="s">
        <v>454</v>
      </c>
      <c r="D1336">
        <v>0</v>
      </c>
      <c r="E1336">
        <v>1</v>
      </c>
      <c r="F1336">
        <v>27</v>
      </c>
    </row>
    <row r="1337" spans="1:6" x14ac:dyDescent="0.2">
      <c r="A1337" t="str">
        <f t="shared" si="20"/>
        <v>Zubbaz27</v>
      </c>
      <c r="B1337">
        <v>1</v>
      </c>
      <c r="C1337" t="s">
        <v>506</v>
      </c>
      <c r="D1337">
        <v>3</v>
      </c>
      <c r="E1337">
        <v>16</v>
      </c>
      <c r="F1337">
        <v>27</v>
      </c>
    </row>
    <row r="1338" spans="1:6" x14ac:dyDescent="0.2">
      <c r="A1338" t="str">
        <f t="shared" si="20"/>
        <v>Snake170227</v>
      </c>
      <c r="B1338">
        <v>2</v>
      </c>
      <c r="C1338" t="s">
        <v>552</v>
      </c>
      <c r="D1338">
        <v>1</v>
      </c>
      <c r="E1338">
        <v>12</v>
      </c>
      <c r="F1338">
        <v>27</v>
      </c>
    </row>
    <row r="1339" spans="1:6" x14ac:dyDescent="0.2">
      <c r="A1339" t="str">
        <f t="shared" si="20"/>
        <v>Zizou27</v>
      </c>
      <c r="B1339">
        <v>3</v>
      </c>
      <c r="C1339" t="s">
        <v>504</v>
      </c>
      <c r="D1339">
        <v>0</v>
      </c>
      <c r="E1339">
        <v>8</v>
      </c>
      <c r="F1339">
        <v>27</v>
      </c>
    </row>
    <row r="1340" spans="1:6" x14ac:dyDescent="0.2">
      <c r="A1340" t="str">
        <f t="shared" si="20"/>
        <v>Losogre27</v>
      </c>
      <c r="B1340">
        <v>4</v>
      </c>
      <c r="C1340" t="s">
        <v>507</v>
      </c>
      <c r="D1340">
        <v>1</v>
      </c>
      <c r="E1340">
        <v>4</v>
      </c>
      <c r="F1340">
        <v>27</v>
      </c>
    </row>
    <row r="1341" spans="1:6" x14ac:dyDescent="0.2">
      <c r="A1341" t="str">
        <f t="shared" si="20"/>
        <v>Ouais ouais27</v>
      </c>
      <c r="B1341">
        <v>5</v>
      </c>
      <c r="C1341" t="s">
        <v>533</v>
      </c>
      <c r="D1341">
        <v>0</v>
      </c>
      <c r="E1341">
        <v>2</v>
      </c>
      <c r="F1341">
        <v>27</v>
      </c>
    </row>
    <row r="1342" spans="1:6" x14ac:dyDescent="0.2">
      <c r="A1342" t="str">
        <f t="shared" si="20"/>
        <v>Comment227</v>
      </c>
      <c r="B1342">
        <v>6</v>
      </c>
      <c r="C1342" t="s">
        <v>76</v>
      </c>
      <c r="D1342">
        <v>0</v>
      </c>
      <c r="E1342">
        <v>1</v>
      </c>
      <c r="F1342">
        <v>27</v>
      </c>
    </row>
    <row r="1343" spans="1:6" x14ac:dyDescent="0.2">
      <c r="A1343" t="str">
        <f t="shared" si="20"/>
        <v>Pintu27</v>
      </c>
      <c r="B1343">
        <v>1</v>
      </c>
      <c r="C1343" t="s">
        <v>48</v>
      </c>
      <c r="D1343">
        <v>3</v>
      </c>
      <c r="E1343">
        <v>16</v>
      </c>
      <c r="F1343">
        <v>27</v>
      </c>
    </row>
    <row r="1344" spans="1:6" x14ac:dyDescent="0.2">
      <c r="A1344" t="str">
        <f t="shared" si="20"/>
        <v>JeanMichelTiming27</v>
      </c>
      <c r="B1344">
        <v>2</v>
      </c>
      <c r="C1344" t="s">
        <v>35</v>
      </c>
      <c r="D1344">
        <v>1</v>
      </c>
      <c r="E1344">
        <v>12</v>
      </c>
      <c r="F1344">
        <v>27</v>
      </c>
    </row>
    <row r="1345" spans="1:6" x14ac:dyDescent="0.2">
      <c r="A1345" t="str">
        <f t="shared" si="20"/>
        <v>Jérôme27</v>
      </c>
      <c r="B1345">
        <v>3</v>
      </c>
      <c r="C1345" t="s">
        <v>46</v>
      </c>
      <c r="D1345">
        <v>0</v>
      </c>
      <c r="E1345">
        <v>8</v>
      </c>
      <c r="F1345">
        <v>27</v>
      </c>
    </row>
    <row r="1346" spans="1:6" x14ac:dyDescent="0.2">
      <c r="A1346" t="str">
        <f t="shared" ref="A1346:A1409" si="21">C1346&amp;F1346</f>
        <v>OlivierN9227</v>
      </c>
      <c r="B1346">
        <v>4</v>
      </c>
      <c r="C1346" t="s">
        <v>32</v>
      </c>
      <c r="D1346">
        <v>0</v>
      </c>
      <c r="E1346">
        <v>4</v>
      </c>
      <c r="F1346">
        <v>27</v>
      </c>
    </row>
    <row r="1347" spans="1:6" x14ac:dyDescent="0.2">
      <c r="A1347" t="str">
        <f t="shared" si="21"/>
        <v>Claptou27</v>
      </c>
      <c r="B1347">
        <v>5</v>
      </c>
      <c r="C1347" t="s">
        <v>42</v>
      </c>
      <c r="D1347">
        <v>1</v>
      </c>
      <c r="E1347">
        <v>2</v>
      </c>
      <c r="F1347">
        <v>27</v>
      </c>
    </row>
    <row r="1348" spans="1:6" x14ac:dyDescent="0.2">
      <c r="A1348" t="str">
        <f t="shared" si="21"/>
        <v>Tenko27</v>
      </c>
      <c r="B1348">
        <v>6</v>
      </c>
      <c r="C1348" t="s">
        <v>516</v>
      </c>
      <c r="D1348">
        <v>0</v>
      </c>
      <c r="E1348">
        <v>1</v>
      </c>
      <c r="F1348">
        <v>27</v>
      </c>
    </row>
    <row r="1349" spans="1:6" x14ac:dyDescent="0.2">
      <c r="A1349" t="str">
        <f t="shared" si="21"/>
        <v>Mams27</v>
      </c>
      <c r="B1349">
        <v>1</v>
      </c>
      <c r="C1349" t="s">
        <v>505</v>
      </c>
      <c r="D1349">
        <v>2</v>
      </c>
      <c r="E1349">
        <v>16</v>
      </c>
      <c r="F1349">
        <v>27</v>
      </c>
    </row>
    <row r="1350" spans="1:6" x14ac:dyDescent="0.2">
      <c r="A1350" t="str">
        <f t="shared" si="21"/>
        <v>Djecus27</v>
      </c>
      <c r="B1350">
        <v>2</v>
      </c>
      <c r="C1350" t="s">
        <v>461</v>
      </c>
      <c r="D1350">
        <v>1</v>
      </c>
      <c r="E1350">
        <v>12</v>
      </c>
      <c r="F1350">
        <v>27</v>
      </c>
    </row>
    <row r="1351" spans="1:6" x14ac:dyDescent="0.2">
      <c r="A1351" t="str">
        <f t="shared" si="21"/>
        <v>Rockatou27</v>
      </c>
      <c r="B1351">
        <v>3</v>
      </c>
      <c r="C1351" t="s">
        <v>493</v>
      </c>
      <c r="D1351">
        <v>1</v>
      </c>
      <c r="E1351">
        <v>8</v>
      </c>
      <c r="F1351">
        <v>27</v>
      </c>
    </row>
    <row r="1352" spans="1:6" x14ac:dyDescent="0.2">
      <c r="A1352" t="str">
        <f t="shared" si="21"/>
        <v>Carmin27</v>
      </c>
      <c r="B1352">
        <v>4</v>
      </c>
      <c r="C1352" t="s">
        <v>21</v>
      </c>
      <c r="D1352">
        <v>0</v>
      </c>
      <c r="E1352">
        <v>4</v>
      </c>
      <c r="F1352">
        <v>27</v>
      </c>
    </row>
    <row r="1353" spans="1:6" x14ac:dyDescent="0.2">
      <c r="A1353" t="str">
        <f t="shared" si="21"/>
        <v>Michelbey27</v>
      </c>
      <c r="B1353">
        <v>5</v>
      </c>
      <c r="C1353" t="s">
        <v>75</v>
      </c>
      <c r="D1353">
        <v>1</v>
      </c>
      <c r="E1353">
        <v>2</v>
      </c>
      <c r="F1353">
        <v>27</v>
      </c>
    </row>
    <row r="1354" spans="1:6" x14ac:dyDescent="0.2">
      <c r="A1354" t="str">
        <f t="shared" si="21"/>
        <v>Delgres27</v>
      </c>
      <c r="B1354">
        <v>6</v>
      </c>
      <c r="C1354" t="s">
        <v>280</v>
      </c>
      <c r="D1354">
        <v>0</v>
      </c>
      <c r="E1354">
        <v>1</v>
      </c>
      <c r="F1354">
        <v>27</v>
      </c>
    </row>
    <row r="1355" spans="1:6" x14ac:dyDescent="0.2">
      <c r="A1355" t="str">
        <f t="shared" si="21"/>
        <v>Bounette27</v>
      </c>
      <c r="B1355">
        <v>1</v>
      </c>
      <c r="C1355" t="s">
        <v>55</v>
      </c>
      <c r="D1355">
        <v>2</v>
      </c>
      <c r="E1355">
        <v>16</v>
      </c>
      <c r="F1355">
        <v>27</v>
      </c>
    </row>
    <row r="1356" spans="1:6" x14ac:dyDescent="0.2">
      <c r="A1356" t="str">
        <f t="shared" si="21"/>
        <v>Ramm27</v>
      </c>
      <c r="B1356">
        <v>2</v>
      </c>
      <c r="C1356" t="s">
        <v>14</v>
      </c>
      <c r="D1356">
        <v>2</v>
      </c>
      <c r="E1356">
        <v>12</v>
      </c>
      <c r="F1356">
        <v>27</v>
      </c>
    </row>
    <row r="1357" spans="1:6" x14ac:dyDescent="0.2">
      <c r="A1357" t="str">
        <f t="shared" si="21"/>
        <v>Giobeck27</v>
      </c>
      <c r="B1357">
        <v>3</v>
      </c>
      <c r="C1357" t="s">
        <v>19</v>
      </c>
      <c r="D1357">
        <v>0</v>
      </c>
      <c r="E1357">
        <v>8</v>
      </c>
      <c r="F1357">
        <v>27</v>
      </c>
    </row>
    <row r="1358" spans="1:6" x14ac:dyDescent="0.2">
      <c r="A1358" t="str">
        <f t="shared" si="21"/>
        <v>Poisson Pilote27</v>
      </c>
      <c r="B1358">
        <v>4</v>
      </c>
      <c r="C1358" t="s">
        <v>501</v>
      </c>
      <c r="D1358">
        <v>1</v>
      </c>
      <c r="E1358">
        <v>4</v>
      </c>
      <c r="F1358">
        <v>27</v>
      </c>
    </row>
    <row r="1359" spans="1:6" x14ac:dyDescent="0.2">
      <c r="A1359" t="str">
        <f t="shared" si="21"/>
        <v>Lén@27</v>
      </c>
      <c r="B1359">
        <v>5</v>
      </c>
      <c r="C1359" t="s">
        <v>40</v>
      </c>
      <c r="D1359">
        <v>0</v>
      </c>
      <c r="E1359">
        <v>2</v>
      </c>
      <c r="F1359">
        <v>27</v>
      </c>
    </row>
    <row r="1360" spans="1:6" x14ac:dyDescent="0.2">
      <c r="A1360" t="str">
        <f t="shared" si="21"/>
        <v>Soupaman27</v>
      </c>
      <c r="B1360">
        <v>6</v>
      </c>
      <c r="C1360" t="s">
        <v>518</v>
      </c>
      <c r="D1360">
        <v>0</v>
      </c>
      <c r="E1360">
        <v>1</v>
      </c>
      <c r="F1360">
        <v>27</v>
      </c>
    </row>
    <row r="1361" spans="1:6" x14ac:dyDescent="0.2">
      <c r="A1361" t="str">
        <f t="shared" si="21"/>
        <v>Tenko28</v>
      </c>
      <c r="B1361">
        <v>1</v>
      </c>
      <c r="C1361" t="s">
        <v>516</v>
      </c>
      <c r="D1361">
        <v>5</v>
      </c>
      <c r="E1361">
        <v>16</v>
      </c>
      <c r="F1361">
        <v>28</v>
      </c>
    </row>
    <row r="1362" spans="1:6" x14ac:dyDescent="0.2">
      <c r="A1362" t="str">
        <f t="shared" si="21"/>
        <v>Snake170228</v>
      </c>
      <c r="B1362">
        <v>2</v>
      </c>
      <c r="C1362" t="s">
        <v>552</v>
      </c>
      <c r="D1362">
        <v>0</v>
      </c>
      <c r="E1362">
        <v>12</v>
      </c>
      <c r="F1362">
        <v>28</v>
      </c>
    </row>
    <row r="1363" spans="1:6" x14ac:dyDescent="0.2">
      <c r="A1363" t="str">
        <f t="shared" si="21"/>
        <v>Kewen28</v>
      </c>
      <c r="B1363">
        <v>3</v>
      </c>
      <c r="C1363" t="s">
        <v>559</v>
      </c>
      <c r="D1363">
        <v>0</v>
      </c>
      <c r="E1363">
        <v>8</v>
      </c>
      <c r="F1363">
        <v>28</v>
      </c>
    </row>
    <row r="1364" spans="1:6" x14ac:dyDescent="0.2">
      <c r="A1364" t="str">
        <f t="shared" si="21"/>
        <v>Jérôme28</v>
      </c>
      <c r="B1364">
        <v>4</v>
      </c>
      <c r="C1364" t="s">
        <v>46</v>
      </c>
      <c r="D1364">
        <v>0</v>
      </c>
      <c r="E1364">
        <v>4</v>
      </c>
      <c r="F1364">
        <v>28</v>
      </c>
    </row>
    <row r="1365" spans="1:6" x14ac:dyDescent="0.2">
      <c r="A1365" t="str">
        <f t="shared" si="21"/>
        <v>Lén@28</v>
      </c>
      <c r="B1365">
        <v>5</v>
      </c>
      <c r="C1365" t="s">
        <v>40</v>
      </c>
      <c r="D1365">
        <v>0</v>
      </c>
      <c r="E1365">
        <v>2</v>
      </c>
      <c r="F1365">
        <v>28</v>
      </c>
    </row>
    <row r="1366" spans="1:6" x14ac:dyDescent="0.2">
      <c r="A1366" t="str">
        <f t="shared" si="21"/>
        <v>Proph@ne28</v>
      </c>
      <c r="B1366">
        <v>6</v>
      </c>
      <c r="C1366" t="s">
        <v>87</v>
      </c>
      <c r="D1366">
        <v>0</v>
      </c>
      <c r="E1366">
        <v>1</v>
      </c>
      <c r="F1366">
        <v>28</v>
      </c>
    </row>
    <row r="1367" spans="1:6" x14ac:dyDescent="0.2">
      <c r="A1367" t="str">
        <f t="shared" si="21"/>
        <v>Madridal28</v>
      </c>
      <c r="B1367">
        <v>1</v>
      </c>
      <c r="C1367" t="s">
        <v>557</v>
      </c>
      <c r="D1367">
        <v>2</v>
      </c>
      <c r="E1367">
        <v>16</v>
      </c>
      <c r="F1367">
        <v>28</v>
      </c>
    </row>
    <row r="1368" spans="1:6" x14ac:dyDescent="0.2">
      <c r="A1368" t="str">
        <f t="shared" si="21"/>
        <v>JC28</v>
      </c>
      <c r="B1368">
        <v>2</v>
      </c>
      <c r="C1368" t="s">
        <v>534</v>
      </c>
      <c r="D1368">
        <v>2</v>
      </c>
      <c r="E1368">
        <v>12</v>
      </c>
      <c r="F1368">
        <v>28</v>
      </c>
    </row>
    <row r="1369" spans="1:6" x14ac:dyDescent="0.2">
      <c r="A1369" t="str">
        <f t="shared" si="21"/>
        <v>Boosilletoo28</v>
      </c>
      <c r="B1369">
        <v>3</v>
      </c>
      <c r="C1369" t="s">
        <v>532</v>
      </c>
      <c r="D1369">
        <v>0</v>
      </c>
      <c r="E1369">
        <v>8</v>
      </c>
      <c r="F1369">
        <v>28</v>
      </c>
    </row>
    <row r="1370" spans="1:6" x14ac:dyDescent="0.2">
      <c r="A1370" t="str">
        <f t="shared" si="21"/>
        <v>Light28</v>
      </c>
      <c r="B1370">
        <v>4</v>
      </c>
      <c r="C1370" t="s">
        <v>558</v>
      </c>
      <c r="D1370">
        <v>1</v>
      </c>
      <c r="E1370">
        <v>4</v>
      </c>
      <c r="F1370">
        <v>28</v>
      </c>
    </row>
    <row r="1371" spans="1:6" x14ac:dyDescent="0.2">
      <c r="A1371" t="str">
        <f t="shared" si="21"/>
        <v>Bounette28</v>
      </c>
      <c r="B1371">
        <v>5</v>
      </c>
      <c r="C1371" t="s">
        <v>55</v>
      </c>
      <c r="D1371">
        <v>0</v>
      </c>
      <c r="E1371">
        <v>2</v>
      </c>
      <c r="F1371">
        <v>28</v>
      </c>
    </row>
    <row r="1372" spans="1:6" x14ac:dyDescent="0.2">
      <c r="A1372" t="str">
        <f t="shared" si="21"/>
        <v>Ripolin28</v>
      </c>
      <c r="B1372">
        <v>6</v>
      </c>
      <c r="C1372" t="s">
        <v>65</v>
      </c>
      <c r="D1372">
        <v>0</v>
      </c>
      <c r="E1372">
        <v>1</v>
      </c>
      <c r="F1372">
        <v>28</v>
      </c>
    </row>
    <row r="1373" spans="1:6" x14ac:dyDescent="0.2">
      <c r="A1373" t="str">
        <f t="shared" si="21"/>
        <v>Solucky28</v>
      </c>
      <c r="B1373">
        <v>1</v>
      </c>
      <c r="C1373" t="s">
        <v>485</v>
      </c>
      <c r="D1373">
        <v>2</v>
      </c>
      <c r="E1373">
        <v>16</v>
      </c>
      <c r="F1373">
        <v>28</v>
      </c>
    </row>
    <row r="1374" spans="1:6" x14ac:dyDescent="0.2">
      <c r="A1374" t="str">
        <f t="shared" si="21"/>
        <v>Ramm28</v>
      </c>
      <c r="B1374">
        <v>2</v>
      </c>
      <c r="C1374" t="s">
        <v>14</v>
      </c>
      <c r="D1374">
        <v>3</v>
      </c>
      <c r="E1374">
        <v>12</v>
      </c>
      <c r="F1374">
        <v>28</v>
      </c>
    </row>
    <row r="1375" spans="1:6" x14ac:dyDescent="0.2">
      <c r="A1375" t="str">
        <f t="shared" si="21"/>
        <v>K128</v>
      </c>
      <c r="B1375">
        <v>3</v>
      </c>
      <c r="C1375" t="s">
        <v>9</v>
      </c>
      <c r="D1375">
        <v>0</v>
      </c>
      <c r="E1375">
        <v>8</v>
      </c>
      <c r="F1375">
        <v>28</v>
      </c>
    </row>
    <row r="1376" spans="1:6" x14ac:dyDescent="0.2">
      <c r="A1376" t="str">
        <f t="shared" si="21"/>
        <v>Salender28</v>
      </c>
      <c r="B1376">
        <v>4</v>
      </c>
      <c r="C1376" t="s">
        <v>479</v>
      </c>
      <c r="D1376">
        <v>0</v>
      </c>
      <c r="E1376">
        <v>4</v>
      </c>
      <c r="F1376">
        <v>28</v>
      </c>
    </row>
    <row r="1377" spans="1:6" x14ac:dyDescent="0.2">
      <c r="A1377" t="str">
        <f t="shared" si="21"/>
        <v>Thibaultp7528</v>
      </c>
      <c r="B1377">
        <v>5</v>
      </c>
      <c r="C1377" t="s">
        <v>345</v>
      </c>
      <c r="D1377">
        <v>0</v>
      </c>
      <c r="E1377">
        <v>2</v>
      </c>
      <c r="F1377">
        <v>28</v>
      </c>
    </row>
    <row r="1378" spans="1:6" x14ac:dyDescent="0.2">
      <c r="A1378" t="str">
        <f t="shared" si="21"/>
        <v>Comment228</v>
      </c>
      <c r="B1378">
        <v>6</v>
      </c>
      <c r="C1378" t="s">
        <v>76</v>
      </c>
      <c r="D1378">
        <v>0</v>
      </c>
      <c r="E1378">
        <v>1</v>
      </c>
      <c r="F1378">
        <v>28</v>
      </c>
    </row>
    <row r="1379" spans="1:6" x14ac:dyDescent="0.2">
      <c r="A1379" t="str">
        <f t="shared" si="21"/>
        <v>Giobeck28</v>
      </c>
      <c r="B1379">
        <v>1</v>
      </c>
      <c r="C1379" t="s">
        <v>19</v>
      </c>
      <c r="D1379">
        <v>2</v>
      </c>
      <c r="E1379">
        <v>17</v>
      </c>
      <c r="F1379">
        <v>28</v>
      </c>
    </row>
    <row r="1380" spans="1:6" x14ac:dyDescent="0.2">
      <c r="A1380" t="str">
        <f t="shared" si="21"/>
        <v>Ad Vitam28</v>
      </c>
      <c r="B1380">
        <v>2</v>
      </c>
      <c r="C1380" t="s">
        <v>66</v>
      </c>
      <c r="D1380">
        <v>2</v>
      </c>
      <c r="E1380">
        <v>13</v>
      </c>
      <c r="F1380">
        <v>28</v>
      </c>
    </row>
    <row r="1381" spans="1:6" x14ac:dyDescent="0.2">
      <c r="A1381" t="str">
        <f t="shared" si="21"/>
        <v>Magic Mykiss28</v>
      </c>
      <c r="B1381">
        <v>3</v>
      </c>
      <c r="C1381" t="s">
        <v>510</v>
      </c>
      <c r="D1381">
        <v>0</v>
      </c>
      <c r="E1381">
        <v>9</v>
      </c>
      <c r="F1381">
        <v>28</v>
      </c>
    </row>
    <row r="1382" spans="1:6" x14ac:dyDescent="0.2">
      <c r="A1382" t="str">
        <f t="shared" si="21"/>
        <v>PatB28</v>
      </c>
      <c r="B1382">
        <v>4</v>
      </c>
      <c r="C1382" t="s">
        <v>74</v>
      </c>
      <c r="D1382">
        <v>0</v>
      </c>
      <c r="E1382">
        <v>5</v>
      </c>
      <c r="F1382">
        <v>28</v>
      </c>
    </row>
    <row r="1383" spans="1:6" x14ac:dyDescent="0.2">
      <c r="A1383" t="str">
        <f t="shared" si="21"/>
        <v>TheRealWill28</v>
      </c>
      <c r="B1383">
        <v>5</v>
      </c>
      <c r="C1383" t="s">
        <v>535</v>
      </c>
      <c r="D1383">
        <v>2</v>
      </c>
      <c r="E1383">
        <v>3</v>
      </c>
      <c r="F1383">
        <v>28</v>
      </c>
    </row>
    <row r="1384" spans="1:6" x14ac:dyDescent="0.2">
      <c r="A1384" t="str">
        <f t="shared" si="21"/>
        <v>DernierPli28</v>
      </c>
      <c r="B1384">
        <v>6</v>
      </c>
      <c r="C1384" t="s">
        <v>490</v>
      </c>
      <c r="D1384">
        <v>0</v>
      </c>
      <c r="E1384">
        <v>2</v>
      </c>
      <c r="F1384">
        <v>28</v>
      </c>
    </row>
    <row r="1385" spans="1:6" x14ac:dyDescent="0.2">
      <c r="A1385" t="str">
        <f t="shared" si="21"/>
        <v>Claudius28</v>
      </c>
      <c r="B1385">
        <v>7</v>
      </c>
      <c r="C1385" t="s">
        <v>25</v>
      </c>
      <c r="D1385">
        <v>0</v>
      </c>
      <c r="E1385">
        <v>1</v>
      </c>
      <c r="F1385">
        <v>28</v>
      </c>
    </row>
    <row r="1386" spans="1:6" x14ac:dyDescent="0.2">
      <c r="A1386" t="str">
        <f t="shared" si="21"/>
        <v>Djecus28</v>
      </c>
      <c r="B1386">
        <v>1</v>
      </c>
      <c r="C1386" t="s">
        <v>461</v>
      </c>
      <c r="D1386">
        <v>2</v>
      </c>
      <c r="E1386">
        <v>16</v>
      </c>
      <c r="F1386">
        <v>28</v>
      </c>
    </row>
    <row r="1387" spans="1:6" x14ac:dyDescent="0.2">
      <c r="A1387" t="str">
        <f t="shared" si="21"/>
        <v>Gibouille28</v>
      </c>
      <c r="B1387">
        <v>2</v>
      </c>
      <c r="C1387" t="s">
        <v>509</v>
      </c>
      <c r="D1387">
        <v>2</v>
      </c>
      <c r="E1387">
        <v>12</v>
      </c>
      <c r="F1387">
        <v>28</v>
      </c>
    </row>
    <row r="1388" spans="1:6" x14ac:dyDescent="0.2">
      <c r="A1388" t="str">
        <f t="shared" si="21"/>
        <v>Sobab28</v>
      </c>
      <c r="B1388">
        <v>3</v>
      </c>
      <c r="C1388" t="s">
        <v>502</v>
      </c>
      <c r="D1388">
        <v>1</v>
      </c>
      <c r="E1388">
        <v>8</v>
      </c>
      <c r="F1388">
        <v>28</v>
      </c>
    </row>
    <row r="1389" spans="1:6" x14ac:dyDescent="0.2">
      <c r="A1389" t="str">
        <f t="shared" si="21"/>
        <v>La Bavure28</v>
      </c>
      <c r="B1389">
        <v>4</v>
      </c>
      <c r="C1389" t="s">
        <v>475</v>
      </c>
      <c r="D1389">
        <v>0</v>
      </c>
      <c r="E1389">
        <v>4</v>
      </c>
      <c r="F1389">
        <v>28</v>
      </c>
    </row>
    <row r="1390" spans="1:6" x14ac:dyDescent="0.2">
      <c r="A1390" t="str">
        <f t="shared" si="21"/>
        <v>Catherine28</v>
      </c>
      <c r="B1390">
        <v>5</v>
      </c>
      <c r="C1390" t="s">
        <v>69</v>
      </c>
      <c r="D1390">
        <v>0</v>
      </c>
      <c r="E1390">
        <v>2</v>
      </c>
      <c r="F1390">
        <v>28</v>
      </c>
    </row>
    <row r="1391" spans="1:6" x14ac:dyDescent="0.2">
      <c r="A1391" t="str">
        <f t="shared" si="21"/>
        <v>Carmin28</v>
      </c>
      <c r="B1391">
        <v>6</v>
      </c>
      <c r="C1391" t="s">
        <v>21</v>
      </c>
      <c r="D1391">
        <v>0</v>
      </c>
      <c r="E1391">
        <v>1</v>
      </c>
      <c r="F1391">
        <v>28</v>
      </c>
    </row>
    <row r="1392" spans="1:6" x14ac:dyDescent="0.2">
      <c r="A1392" t="str">
        <f t="shared" si="21"/>
        <v>YooooDA28</v>
      </c>
      <c r="B1392">
        <v>1</v>
      </c>
      <c r="C1392" t="s">
        <v>59</v>
      </c>
      <c r="D1392">
        <v>2</v>
      </c>
      <c r="E1392">
        <v>16</v>
      </c>
      <c r="F1392">
        <v>28</v>
      </c>
    </row>
    <row r="1393" spans="1:6" x14ac:dyDescent="0.2">
      <c r="A1393" t="str">
        <f t="shared" si="21"/>
        <v>Ines28</v>
      </c>
      <c r="B1393">
        <v>2</v>
      </c>
      <c r="C1393" t="s">
        <v>560</v>
      </c>
      <c r="D1393">
        <v>2</v>
      </c>
      <c r="E1393">
        <v>12</v>
      </c>
      <c r="F1393">
        <v>28</v>
      </c>
    </row>
    <row r="1394" spans="1:6" x14ac:dyDescent="0.2">
      <c r="A1394" t="str">
        <f t="shared" si="21"/>
        <v>Delgres28</v>
      </c>
      <c r="B1394">
        <v>3</v>
      </c>
      <c r="C1394" t="s">
        <v>280</v>
      </c>
      <c r="D1394">
        <v>0</v>
      </c>
      <c r="E1394">
        <v>8</v>
      </c>
      <c r="F1394">
        <v>28</v>
      </c>
    </row>
    <row r="1395" spans="1:6" x14ac:dyDescent="0.2">
      <c r="A1395" t="str">
        <f t="shared" si="21"/>
        <v>The Hengover28</v>
      </c>
      <c r="B1395">
        <v>4</v>
      </c>
      <c r="C1395" t="s">
        <v>452</v>
      </c>
      <c r="D1395">
        <v>0</v>
      </c>
      <c r="E1395">
        <v>4</v>
      </c>
      <c r="F1395">
        <v>28</v>
      </c>
    </row>
    <row r="1396" spans="1:6" x14ac:dyDescent="0.2">
      <c r="A1396" t="str">
        <f t="shared" si="21"/>
        <v>OlivierN9228</v>
      </c>
      <c r="B1396">
        <v>5</v>
      </c>
      <c r="C1396" t="s">
        <v>32</v>
      </c>
      <c r="D1396">
        <v>1</v>
      </c>
      <c r="E1396">
        <v>2</v>
      </c>
      <c r="F1396">
        <v>28</v>
      </c>
    </row>
    <row r="1397" spans="1:6" x14ac:dyDescent="0.2">
      <c r="A1397" t="str">
        <f t="shared" si="21"/>
        <v>Zubbaz28</v>
      </c>
      <c r="B1397">
        <v>6</v>
      </c>
      <c r="C1397" t="s">
        <v>506</v>
      </c>
      <c r="D1397">
        <v>0</v>
      </c>
      <c r="E1397">
        <v>1</v>
      </c>
      <c r="F1397">
        <v>28</v>
      </c>
    </row>
    <row r="1398" spans="1:6" x14ac:dyDescent="0.2">
      <c r="A1398" t="str">
        <f t="shared" si="21"/>
        <v>Yarael28</v>
      </c>
      <c r="B1398">
        <v>1</v>
      </c>
      <c r="C1398" t="s">
        <v>88</v>
      </c>
      <c r="D1398">
        <v>3</v>
      </c>
      <c r="E1398">
        <v>16</v>
      </c>
      <c r="F1398">
        <v>28</v>
      </c>
    </row>
    <row r="1399" spans="1:6" x14ac:dyDescent="0.2">
      <c r="A1399" t="str">
        <f t="shared" si="21"/>
        <v>Pyja28</v>
      </c>
      <c r="B1399">
        <v>2</v>
      </c>
      <c r="C1399" t="s">
        <v>6</v>
      </c>
      <c r="D1399">
        <v>0</v>
      </c>
      <c r="E1399">
        <v>12</v>
      </c>
      <c r="F1399">
        <v>28</v>
      </c>
    </row>
    <row r="1400" spans="1:6" x14ac:dyDescent="0.2">
      <c r="A1400" t="str">
        <f t="shared" si="21"/>
        <v>Kheops28</v>
      </c>
      <c r="B1400">
        <v>3</v>
      </c>
      <c r="C1400" t="s">
        <v>500</v>
      </c>
      <c r="D1400">
        <v>1</v>
      </c>
      <c r="E1400">
        <v>8</v>
      </c>
      <c r="F1400">
        <v>28</v>
      </c>
    </row>
    <row r="1401" spans="1:6" x14ac:dyDescent="0.2">
      <c r="A1401" t="str">
        <f t="shared" si="21"/>
        <v>Flem28</v>
      </c>
      <c r="B1401">
        <v>4</v>
      </c>
      <c r="C1401" t="s">
        <v>73</v>
      </c>
      <c r="D1401">
        <v>1</v>
      </c>
      <c r="E1401">
        <v>4</v>
      </c>
      <c r="F1401">
        <v>28</v>
      </c>
    </row>
    <row r="1402" spans="1:6" x14ac:dyDescent="0.2">
      <c r="A1402" t="str">
        <f t="shared" si="21"/>
        <v>JeanMichelTiming28</v>
      </c>
      <c r="B1402">
        <v>5</v>
      </c>
      <c r="C1402" t="s">
        <v>35</v>
      </c>
      <c r="D1402">
        <v>0</v>
      </c>
      <c r="E1402">
        <v>2</v>
      </c>
      <c r="F1402">
        <v>28</v>
      </c>
    </row>
    <row r="1403" spans="1:6" x14ac:dyDescent="0.2">
      <c r="A1403" t="str">
        <f t="shared" si="21"/>
        <v>Mandrake28</v>
      </c>
      <c r="B1403">
        <v>6</v>
      </c>
      <c r="C1403" t="s">
        <v>27</v>
      </c>
      <c r="D1403">
        <v>0</v>
      </c>
      <c r="E1403">
        <v>1</v>
      </c>
      <c r="F1403">
        <v>28</v>
      </c>
    </row>
    <row r="1404" spans="1:6" x14ac:dyDescent="0.2">
      <c r="A1404" t="str">
        <f t="shared" si="21"/>
        <v>Mams28</v>
      </c>
      <c r="B1404">
        <v>1</v>
      </c>
      <c r="C1404" t="s">
        <v>505</v>
      </c>
      <c r="D1404">
        <v>3</v>
      </c>
      <c r="E1404">
        <v>17</v>
      </c>
      <c r="F1404">
        <v>28</v>
      </c>
    </row>
    <row r="1405" spans="1:6" x14ac:dyDescent="0.2">
      <c r="A1405" t="str">
        <f t="shared" si="21"/>
        <v>Zizou28</v>
      </c>
      <c r="B1405">
        <v>2</v>
      </c>
      <c r="C1405" t="s">
        <v>504</v>
      </c>
      <c r="D1405">
        <v>2</v>
      </c>
      <c r="E1405">
        <v>13</v>
      </c>
      <c r="F1405">
        <v>28</v>
      </c>
    </row>
    <row r="1406" spans="1:6" x14ac:dyDescent="0.2">
      <c r="A1406" t="str">
        <f t="shared" si="21"/>
        <v>Gibbonfury28</v>
      </c>
      <c r="B1406">
        <v>3</v>
      </c>
      <c r="C1406" t="s">
        <v>454</v>
      </c>
      <c r="D1406">
        <v>0</v>
      </c>
      <c r="E1406">
        <v>9</v>
      </c>
      <c r="F1406">
        <v>28</v>
      </c>
    </row>
    <row r="1407" spans="1:6" x14ac:dyDescent="0.2">
      <c r="A1407" t="str">
        <f t="shared" si="21"/>
        <v>Michelbey28</v>
      </c>
      <c r="B1407">
        <v>4</v>
      </c>
      <c r="C1407" t="s">
        <v>75</v>
      </c>
      <c r="D1407">
        <v>0</v>
      </c>
      <c r="E1407">
        <v>5</v>
      </c>
      <c r="F1407">
        <v>28</v>
      </c>
    </row>
    <row r="1408" spans="1:6" x14ac:dyDescent="0.2">
      <c r="A1408" t="str">
        <f t="shared" si="21"/>
        <v>Yaltar28</v>
      </c>
      <c r="B1408">
        <v>5</v>
      </c>
      <c r="C1408" t="s">
        <v>503</v>
      </c>
      <c r="D1408">
        <v>0</v>
      </c>
      <c r="E1408">
        <v>3</v>
      </c>
      <c r="F1408">
        <v>28</v>
      </c>
    </row>
    <row r="1409" spans="1:6" x14ac:dyDescent="0.2">
      <c r="A1409" t="str">
        <f t="shared" si="21"/>
        <v>Soupaman28</v>
      </c>
      <c r="B1409">
        <v>6</v>
      </c>
      <c r="C1409" t="s">
        <v>518</v>
      </c>
      <c r="D1409">
        <v>1</v>
      </c>
      <c r="E1409">
        <v>2</v>
      </c>
      <c r="F1409">
        <v>28</v>
      </c>
    </row>
    <row r="1410" spans="1:6" x14ac:dyDescent="0.2">
      <c r="A1410" t="str">
        <f t="shared" ref="A1410:A1473" si="22">C1410&amp;F1410</f>
        <v>ScoNix28</v>
      </c>
      <c r="B1410">
        <v>7</v>
      </c>
      <c r="C1410" t="s">
        <v>554</v>
      </c>
      <c r="D1410">
        <v>0</v>
      </c>
      <c r="E1410">
        <v>1</v>
      </c>
      <c r="F1410">
        <v>28</v>
      </c>
    </row>
    <row r="1411" spans="1:6" x14ac:dyDescent="0.2">
      <c r="A1411" t="str">
        <f t="shared" si="22"/>
        <v>DernierPli29</v>
      </c>
      <c r="B1411">
        <v>1</v>
      </c>
      <c r="C1411" t="s">
        <v>490</v>
      </c>
      <c r="D1411">
        <v>4</v>
      </c>
      <c r="E1411">
        <v>16</v>
      </c>
      <c r="F1411">
        <v>29</v>
      </c>
    </row>
    <row r="1412" spans="1:6" x14ac:dyDescent="0.2">
      <c r="A1412" t="str">
        <f t="shared" si="22"/>
        <v>Zubbaz29</v>
      </c>
      <c r="B1412">
        <v>2</v>
      </c>
      <c r="C1412" t="s">
        <v>506</v>
      </c>
      <c r="D1412">
        <v>1</v>
      </c>
      <c r="E1412">
        <v>12</v>
      </c>
      <c r="F1412">
        <v>29</v>
      </c>
    </row>
    <row r="1413" spans="1:6" x14ac:dyDescent="0.2">
      <c r="A1413" t="str">
        <f t="shared" si="22"/>
        <v>PatB29</v>
      </c>
      <c r="B1413">
        <v>3</v>
      </c>
      <c r="C1413" t="s">
        <v>74</v>
      </c>
      <c r="D1413">
        <v>0</v>
      </c>
      <c r="E1413">
        <v>8</v>
      </c>
      <c r="F1413">
        <v>29</v>
      </c>
    </row>
    <row r="1414" spans="1:6" x14ac:dyDescent="0.2">
      <c r="A1414" t="str">
        <f t="shared" si="22"/>
        <v>Losogre29</v>
      </c>
      <c r="B1414">
        <v>4</v>
      </c>
      <c r="C1414" t="s">
        <v>507</v>
      </c>
      <c r="D1414">
        <v>0</v>
      </c>
      <c r="E1414">
        <v>4</v>
      </c>
      <c r="F1414">
        <v>29</v>
      </c>
    </row>
    <row r="1415" spans="1:6" x14ac:dyDescent="0.2">
      <c r="A1415" t="str">
        <f t="shared" si="22"/>
        <v>Giobeck29</v>
      </c>
      <c r="B1415">
        <v>5</v>
      </c>
      <c r="C1415" t="s">
        <v>19</v>
      </c>
      <c r="D1415">
        <v>0</v>
      </c>
      <c r="E1415">
        <v>2</v>
      </c>
      <c r="F1415">
        <v>29</v>
      </c>
    </row>
    <row r="1416" spans="1:6" x14ac:dyDescent="0.2">
      <c r="A1416" t="str">
        <f t="shared" si="22"/>
        <v>K129</v>
      </c>
      <c r="B1416">
        <v>6</v>
      </c>
      <c r="C1416" t="s">
        <v>9</v>
      </c>
      <c r="D1416">
        <v>0</v>
      </c>
      <c r="E1416">
        <v>1</v>
      </c>
      <c r="F1416">
        <v>29</v>
      </c>
    </row>
    <row r="1417" spans="1:6" x14ac:dyDescent="0.2">
      <c r="A1417" t="str">
        <f t="shared" si="22"/>
        <v>Jaden29</v>
      </c>
      <c r="B1417">
        <v>1</v>
      </c>
      <c r="C1417" t="s">
        <v>521</v>
      </c>
      <c r="D1417">
        <v>2</v>
      </c>
      <c r="E1417">
        <v>16</v>
      </c>
      <c r="F1417">
        <v>29</v>
      </c>
    </row>
    <row r="1418" spans="1:6" x14ac:dyDescent="0.2">
      <c r="A1418" t="str">
        <f t="shared" si="22"/>
        <v>Michelbey29</v>
      </c>
      <c r="B1418">
        <v>2</v>
      </c>
      <c r="C1418" t="s">
        <v>75</v>
      </c>
      <c r="D1418">
        <v>2</v>
      </c>
      <c r="E1418">
        <v>12</v>
      </c>
      <c r="F1418">
        <v>29</v>
      </c>
    </row>
    <row r="1419" spans="1:6" x14ac:dyDescent="0.2">
      <c r="A1419" t="str">
        <f t="shared" si="22"/>
        <v>MegaSouche29</v>
      </c>
      <c r="B1419">
        <v>3</v>
      </c>
      <c r="C1419" t="s">
        <v>476</v>
      </c>
      <c r="D1419">
        <v>1</v>
      </c>
      <c r="E1419">
        <v>8</v>
      </c>
      <c r="F1419">
        <v>29</v>
      </c>
    </row>
    <row r="1420" spans="1:6" x14ac:dyDescent="0.2">
      <c r="A1420" t="str">
        <f t="shared" si="22"/>
        <v>Bounette29</v>
      </c>
      <c r="B1420">
        <v>4</v>
      </c>
      <c r="C1420" t="s">
        <v>55</v>
      </c>
      <c r="D1420">
        <v>0</v>
      </c>
      <c r="E1420">
        <v>4</v>
      </c>
      <c r="F1420">
        <v>29</v>
      </c>
    </row>
    <row r="1421" spans="1:6" x14ac:dyDescent="0.2">
      <c r="A1421" t="str">
        <f t="shared" si="22"/>
        <v>Jérôme29</v>
      </c>
      <c r="B1421">
        <v>5</v>
      </c>
      <c r="C1421" t="s">
        <v>46</v>
      </c>
      <c r="D1421">
        <v>0</v>
      </c>
      <c r="E1421">
        <v>2</v>
      </c>
      <c r="F1421">
        <v>29</v>
      </c>
    </row>
    <row r="1422" spans="1:6" x14ac:dyDescent="0.2">
      <c r="A1422" t="str">
        <f t="shared" si="22"/>
        <v>Solucky29</v>
      </c>
      <c r="B1422">
        <v>6</v>
      </c>
      <c r="C1422" t="s">
        <v>485</v>
      </c>
      <c r="D1422">
        <v>0</v>
      </c>
      <c r="E1422">
        <v>1</v>
      </c>
      <c r="F1422">
        <v>29</v>
      </c>
    </row>
    <row r="1423" spans="1:6" x14ac:dyDescent="0.2">
      <c r="A1423" t="str">
        <f t="shared" si="22"/>
        <v>Soupaman29</v>
      </c>
      <c r="B1423">
        <v>1</v>
      </c>
      <c r="C1423" t="s">
        <v>518</v>
      </c>
      <c r="D1423">
        <v>2</v>
      </c>
      <c r="E1423">
        <v>16</v>
      </c>
      <c r="F1423">
        <v>29</v>
      </c>
    </row>
    <row r="1424" spans="1:6" x14ac:dyDescent="0.2">
      <c r="A1424" t="str">
        <f t="shared" si="22"/>
        <v>Ad Vitam29</v>
      </c>
      <c r="B1424">
        <v>2</v>
      </c>
      <c r="C1424" t="s">
        <v>66</v>
      </c>
      <c r="D1424">
        <v>3</v>
      </c>
      <c r="E1424">
        <v>12</v>
      </c>
      <c r="F1424">
        <v>29</v>
      </c>
    </row>
    <row r="1425" spans="1:6" x14ac:dyDescent="0.2">
      <c r="A1425" t="str">
        <f t="shared" si="22"/>
        <v>TheRealWill29</v>
      </c>
      <c r="B1425">
        <v>3</v>
      </c>
      <c r="C1425" t="s">
        <v>535</v>
      </c>
      <c r="D1425">
        <v>0</v>
      </c>
      <c r="E1425">
        <v>8</v>
      </c>
      <c r="F1425">
        <v>29</v>
      </c>
    </row>
    <row r="1426" spans="1:6" x14ac:dyDescent="0.2">
      <c r="A1426" t="str">
        <f t="shared" si="22"/>
        <v>Guerno29</v>
      </c>
      <c r="B1426">
        <v>4</v>
      </c>
      <c r="C1426" t="s">
        <v>484</v>
      </c>
      <c r="D1426">
        <v>0</v>
      </c>
      <c r="E1426">
        <v>4</v>
      </c>
      <c r="F1426">
        <v>29</v>
      </c>
    </row>
    <row r="1427" spans="1:6" x14ac:dyDescent="0.2">
      <c r="A1427" t="str">
        <f t="shared" si="22"/>
        <v>Gabs29</v>
      </c>
      <c r="B1427">
        <v>5</v>
      </c>
      <c r="C1427" t="s">
        <v>555</v>
      </c>
      <c r="D1427">
        <v>0</v>
      </c>
      <c r="E1427">
        <v>2</v>
      </c>
      <c r="F1427">
        <v>29</v>
      </c>
    </row>
    <row r="1428" spans="1:6" x14ac:dyDescent="0.2">
      <c r="A1428" t="str">
        <f t="shared" si="22"/>
        <v>YooooDA29</v>
      </c>
      <c r="B1428">
        <v>6</v>
      </c>
      <c r="C1428" t="s">
        <v>59</v>
      </c>
      <c r="D1428">
        <v>0</v>
      </c>
      <c r="E1428">
        <v>1</v>
      </c>
      <c r="F1428">
        <v>29</v>
      </c>
    </row>
    <row r="1429" spans="1:6" x14ac:dyDescent="0.2">
      <c r="A1429" t="str">
        <f t="shared" si="22"/>
        <v>Fishtro29</v>
      </c>
      <c r="B1429">
        <v>1</v>
      </c>
      <c r="C1429" t="s">
        <v>512</v>
      </c>
      <c r="D1429">
        <v>3</v>
      </c>
      <c r="E1429">
        <v>16</v>
      </c>
      <c r="F1429">
        <v>29</v>
      </c>
    </row>
    <row r="1430" spans="1:6" x14ac:dyDescent="0.2">
      <c r="A1430" t="str">
        <f t="shared" si="22"/>
        <v>Claptou29</v>
      </c>
      <c r="B1430">
        <v>2</v>
      </c>
      <c r="C1430" t="s">
        <v>42</v>
      </c>
      <c r="D1430">
        <v>2</v>
      </c>
      <c r="E1430">
        <v>12</v>
      </c>
      <c r="F1430">
        <v>29</v>
      </c>
    </row>
    <row r="1431" spans="1:6" x14ac:dyDescent="0.2">
      <c r="A1431" t="str">
        <f t="shared" si="22"/>
        <v>JeanMichelTiming29</v>
      </c>
      <c r="B1431">
        <v>3</v>
      </c>
      <c r="C1431" t="s">
        <v>35</v>
      </c>
      <c r="D1431">
        <v>0</v>
      </c>
      <c r="E1431">
        <v>8</v>
      </c>
      <c r="F1431">
        <v>29</v>
      </c>
    </row>
    <row r="1432" spans="1:6" x14ac:dyDescent="0.2">
      <c r="A1432" t="str">
        <f t="shared" si="22"/>
        <v>Tenko29</v>
      </c>
      <c r="B1432">
        <v>4</v>
      </c>
      <c r="C1432" t="s">
        <v>516</v>
      </c>
      <c r="D1432">
        <v>0</v>
      </c>
      <c r="E1432">
        <v>4</v>
      </c>
      <c r="F1432">
        <v>29</v>
      </c>
    </row>
    <row r="1433" spans="1:6" x14ac:dyDescent="0.2">
      <c r="A1433" t="str">
        <f t="shared" si="22"/>
        <v>Rmarc29</v>
      </c>
      <c r="B1433">
        <v>5</v>
      </c>
      <c r="C1433" t="s">
        <v>508</v>
      </c>
      <c r="D1433">
        <v>0</v>
      </c>
      <c r="E1433">
        <v>2</v>
      </c>
      <c r="F1433">
        <v>29</v>
      </c>
    </row>
    <row r="1434" spans="1:6" x14ac:dyDescent="0.2">
      <c r="A1434" t="str">
        <f t="shared" si="22"/>
        <v>Catherine29</v>
      </c>
      <c r="B1434">
        <v>6</v>
      </c>
      <c r="C1434" t="s">
        <v>69</v>
      </c>
      <c r="D1434">
        <v>0</v>
      </c>
      <c r="E1434">
        <v>1</v>
      </c>
      <c r="F1434">
        <v>29</v>
      </c>
    </row>
    <row r="1435" spans="1:6" x14ac:dyDescent="0.2">
      <c r="A1435" t="str">
        <f t="shared" si="22"/>
        <v>Light29</v>
      </c>
      <c r="B1435">
        <v>1</v>
      </c>
      <c r="C1435" t="s">
        <v>558</v>
      </c>
      <c r="D1435">
        <v>3</v>
      </c>
      <c r="E1435">
        <v>16</v>
      </c>
      <c r="F1435">
        <v>29</v>
      </c>
    </row>
    <row r="1436" spans="1:6" x14ac:dyDescent="0.2">
      <c r="A1436" t="str">
        <f t="shared" si="22"/>
        <v>Salender29</v>
      </c>
      <c r="B1436">
        <v>2</v>
      </c>
      <c r="C1436" t="s">
        <v>479</v>
      </c>
      <c r="D1436">
        <v>2</v>
      </c>
      <c r="E1436">
        <v>12</v>
      </c>
      <c r="F1436">
        <v>29</v>
      </c>
    </row>
    <row r="1437" spans="1:6" x14ac:dyDescent="0.2">
      <c r="A1437" t="str">
        <f t="shared" si="22"/>
        <v>Boosilletoo29</v>
      </c>
      <c r="B1437">
        <v>3</v>
      </c>
      <c r="C1437" t="s">
        <v>532</v>
      </c>
      <c r="D1437">
        <v>0</v>
      </c>
      <c r="E1437">
        <v>8</v>
      </c>
      <c r="F1437">
        <v>29</v>
      </c>
    </row>
    <row r="1438" spans="1:6" x14ac:dyDescent="0.2">
      <c r="A1438" t="str">
        <f t="shared" si="22"/>
        <v>JC29</v>
      </c>
      <c r="B1438">
        <v>4</v>
      </c>
      <c r="C1438" t="s">
        <v>534</v>
      </c>
      <c r="D1438">
        <v>0</v>
      </c>
      <c r="E1438">
        <v>4</v>
      </c>
      <c r="F1438">
        <v>29</v>
      </c>
    </row>
    <row r="1439" spans="1:6" x14ac:dyDescent="0.2">
      <c r="A1439" t="str">
        <f t="shared" si="22"/>
        <v>Snake170229</v>
      </c>
      <c r="B1439">
        <v>5</v>
      </c>
      <c r="C1439" t="s">
        <v>552</v>
      </c>
      <c r="D1439">
        <v>0</v>
      </c>
      <c r="E1439">
        <v>2</v>
      </c>
      <c r="F1439">
        <v>29</v>
      </c>
    </row>
    <row r="1440" spans="1:6" x14ac:dyDescent="0.2">
      <c r="A1440" t="str">
        <f t="shared" si="22"/>
        <v>ScoNix29</v>
      </c>
      <c r="B1440">
        <v>6</v>
      </c>
      <c r="C1440" t="s">
        <v>554</v>
      </c>
      <c r="D1440">
        <v>0</v>
      </c>
      <c r="E1440">
        <v>1</v>
      </c>
      <c r="F1440">
        <v>29</v>
      </c>
    </row>
    <row r="1441" spans="1:6" x14ac:dyDescent="0.2">
      <c r="A1441" t="str">
        <f t="shared" si="22"/>
        <v>Mams29</v>
      </c>
      <c r="B1441">
        <v>1</v>
      </c>
      <c r="C1441" t="s">
        <v>505</v>
      </c>
      <c r="D1441">
        <v>4</v>
      </c>
      <c r="E1441">
        <v>17</v>
      </c>
      <c r="F1441">
        <v>29</v>
      </c>
    </row>
    <row r="1442" spans="1:6" x14ac:dyDescent="0.2">
      <c r="A1442" t="str">
        <f t="shared" si="22"/>
        <v>Zizou29</v>
      </c>
      <c r="B1442">
        <v>2</v>
      </c>
      <c r="C1442" t="s">
        <v>504</v>
      </c>
      <c r="D1442">
        <v>1</v>
      </c>
      <c r="E1442">
        <v>13</v>
      </c>
      <c r="F1442">
        <v>29</v>
      </c>
    </row>
    <row r="1443" spans="1:6" x14ac:dyDescent="0.2">
      <c r="A1443" t="str">
        <f t="shared" si="22"/>
        <v>Claudius29</v>
      </c>
      <c r="B1443">
        <v>3</v>
      </c>
      <c r="C1443" t="s">
        <v>25</v>
      </c>
      <c r="D1443">
        <v>0</v>
      </c>
      <c r="E1443">
        <v>9</v>
      </c>
      <c r="F1443">
        <v>29</v>
      </c>
    </row>
    <row r="1444" spans="1:6" x14ac:dyDescent="0.2">
      <c r="A1444" t="str">
        <f t="shared" si="22"/>
        <v>Yroz29</v>
      </c>
      <c r="B1444">
        <v>4</v>
      </c>
      <c r="C1444" t="s">
        <v>526</v>
      </c>
      <c r="D1444">
        <v>0</v>
      </c>
      <c r="E1444">
        <v>5</v>
      </c>
      <c r="F1444">
        <v>29</v>
      </c>
    </row>
    <row r="1445" spans="1:6" x14ac:dyDescent="0.2">
      <c r="A1445" t="str">
        <f t="shared" si="22"/>
        <v>Flem29</v>
      </c>
      <c r="B1445">
        <v>5</v>
      </c>
      <c r="C1445" t="s">
        <v>73</v>
      </c>
      <c r="D1445">
        <v>1</v>
      </c>
      <c r="E1445">
        <v>3</v>
      </c>
      <c r="F1445">
        <v>29</v>
      </c>
    </row>
    <row r="1446" spans="1:6" x14ac:dyDescent="0.2">
      <c r="A1446" t="str">
        <f t="shared" si="22"/>
        <v>Sobab29</v>
      </c>
      <c r="B1446">
        <v>6</v>
      </c>
      <c r="C1446" t="s">
        <v>502</v>
      </c>
      <c r="D1446">
        <v>0</v>
      </c>
      <c r="E1446">
        <v>2</v>
      </c>
      <c r="F1446">
        <v>29</v>
      </c>
    </row>
    <row r="1447" spans="1:6" x14ac:dyDescent="0.2">
      <c r="A1447" t="str">
        <f t="shared" si="22"/>
        <v>Empedocle29</v>
      </c>
      <c r="B1447">
        <v>7</v>
      </c>
      <c r="C1447" t="s">
        <v>81</v>
      </c>
      <c r="D1447">
        <v>0</v>
      </c>
      <c r="E1447">
        <v>1</v>
      </c>
      <c r="F1447">
        <v>29</v>
      </c>
    </row>
    <row r="1448" spans="1:6" x14ac:dyDescent="0.2">
      <c r="A1448" t="str">
        <f t="shared" si="22"/>
        <v>Ramm29</v>
      </c>
      <c r="B1448">
        <v>1</v>
      </c>
      <c r="C1448" t="s">
        <v>14</v>
      </c>
      <c r="D1448">
        <v>1</v>
      </c>
      <c r="E1448">
        <v>16</v>
      </c>
      <c r="F1448">
        <v>29</v>
      </c>
    </row>
    <row r="1449" spans="1:6" x14ac:dyDescent="0.2">
      <c r="A1449" t="str">
        <f t="shared" si="22"/>
        <v>Yarael29</v>
      </c>
      <c r="B1449">
        <v>2</v>
      </c>
      <c r="C1449" t="s">
        <v>88</v>
      </c>
      <c r="D1449">
        <v>4</v>
      </c>
      <c r="E1449">
        <v>12</v>
      </c>
      <c r="F1449">
        <v>29</v>
      </c>
    </row>
    <row r="1450" spans="1:6" x14ac:dyDescent="0.2">
      <c r="A1450" t="str">
        <f t="shared" si="22"/>
        <v>Pyja29</v>
      </c>
      <c r="B1450">
        <v>3</v>
      </c>
      <c r="C1450" t="s">
        <v>6</v>
      </c>
      <c r="D1450">
        <v>0</v>
      </c>
      <c r="E1450">
        <v>8</v>
      </c>
      <c r="F1450">
        <v>29</v>
      </c>
    </row>
    <row r="1451" spans="1:6" x14ac:dyDescent="0.2">
      <c r="A1451" t="str">
        <f t="shared" si="22"/>
        <v>Ripolin29</v>
      </c>
      <c r="B1451">
        <v>4</v>
      </c>
      <c r="C1451" t="s">
        <v>65</v>
      </c>
      <c r="D1451">
        <v>0</v>
      </c>
      <c r="E1451">
        <v>4</v>
      </c>
      <c r="F1451">
        <v>29</v>
      </c>
    </row>
    <row r="1452" spans="1:6" x14ac:dyDescent="0.2">
      <c r="A1452" t="str">
        <f t="shared" si="22"/>
        <v>Gibbonfury29</v>
      </c>
      <c r="B1452">
        <v>5</v>
      </c>
      <c r="C1452" t="s">
        <v>454</v>
      </c>
      <c r="D1452">
        <v>0</v>
      </c>
      <c r="E1452">
        <v>2</v>
      </c>
      <c r="F1452">
        <v>29</v>
      </c>
    </row>
    <row r="1453" spans="1:6" x14ac:dyDescent="0.2">
      <c r="A1453" t="str">
        <f t="shared" si="22"/>
        <v>Carmin29</v>
      </c>
      <c r="B1453">
        <v>6</v>
      </c>
      <c r="C1453" t="s">
        <v>21</v>
      </c>
      <c r="D1453">
        <v>0</v>
      </c>
      <c r="E1453">
        <v>1</v>
      </c>
      <c r="F1453">
        <v>29</v>
      </c>
    </row>
    <row r="1454" spans="1:6" x14ac:dyDescent="0.2">
      <c r="A1454" t="str">
        <f t="shared" si="22"/>
        <v>Mandrake29</v>
      </c>
      <c r="B1454">
        <v>1</v>
      </c>
      <c r="C1454" t="s">
        <v>27</v>
      </c>
      <c r="D1454">
        <v>4</v>
      </c>
      <c r="E1454">
        <v>16</v>
      </c>
      <c r="F1454">
        <v>29</v>
      </c>
    </row>
    <row r="1455" spans="1:6" x14ac:dyDescent="0.2">
      <c r="A1455" t="str">
        <f t="shared" si="22"/>
        <v>The Hengover29</v>
      </c>
      <c r="B1455">
        <v>2</v>
      </c>
      <c r="C1455" t="s">
        <v>452</v>
      </c>
      <c r="D1455">
        <v>1</v>
      </c>
      <c r="E1455">
        <v>12</v>
      </c>
      <c r="F1455">
        <v>29</v>
      </c>
    </row>
    <row r="1456" spans="1:6" x14ac:dyDescent="0.2">
      <c r="A1456" t="str">
        <f t="shared" si="22"/>
        <v>Poisson Pilote29</v>
      </c>
      <c r="B1456">
        <v>3</v>
      </c>
      <c r="C1456" t="s">
        <v>501</v>
      </c>
      <c r="D1456">
        <v>0</v>
      </c>
      <c r="E1456">
        <v>8</v>
      </c>
      <c r="F1456">
        <v>29</v>
      </c>
    </row>
    <row r="1457" spans="1:6" x14ac:dyDescent="0.2">
      <c r="A1457" t="str">
        <f t="shared" si="22"/>
        <v>LAAtof29</v>
      </c>
      <c r="B1457">
        <v>4</v>
      </c>
      <c r="C1457" t="s">
        <v>15</v>
      </c>
      <c r="D1457">
        <v>0</v>
      </c>
      <c r="E1457">
        <v>4</v>
      </c>
      <c r="F1457">
        <v>29</v>
      </c>
    </row>
    <row r="1458" spans="1:6" x14ac:dyDescent="0.2">
      <c r="A1458" t="str">
        <f t="shared" si="22"/>
        <v>Kheops29</v>
      </c>
      <c r="B1458">
        <v>5</v>
      </c>
      <c r="C1458" t="s">
        <v>500</v>
      </c>
      <c r="D1458">
        <v>0</v>
      </c>
      <c r="E1458">
        <v>2</v>
      </c>
      <c r="F1458">
        <v>29</v>
      </c>
    </row>
    <row r="1459" spans="1:6" x14ac:dyDescent="0.2">
      <c r="A1459" t="str">
        <f t="shared" si="22"/>
        <v>Rockatou29</v>
      </c>
      <c r="B1459">
        <v>6</v>
      </c>
      <c r="C1459" t="s">
        <v>493</v>
      </c>
      <c r="D1459">
        <v>0</v>
      </c>
      <c r="E1459">
        <v>1</v>
      </c>
      <c r="F1459">
        <v>29</v>
      </c>
    </row>
    <row r="1460" spans="1:6" x14ac:dyDescent="0.2">
      <c r="A1460" t="str">
        <f t="shared" si="22"/>
        <v>Pintu30</v>
      </c>
      <c r="B1460">
        <v>1</v>
      </c>
      <c r="C1460" t="s">
        <v>48</v>
      </c>
      <c r="D1460">
        <v>5</v>
      </c>
      <c r="E1460">
        <v>17</v>
      </c>
      <c r="F1460">
        <v>30</v>
      </c>
    </row>
    <row r="1461" spans="1:6" x14ac:dyDescent="0.2">
      <c r="A1461" t="str">
        <f t="shared" si="22"/>
        <v>Light30</v>
      </c>
      <c r="B1461">
        <v>2</v>
      </c>
      <c r="C1461" t="s">
        <v>558</v>
      </c>
      <c r="D1461">
        <v>1</v>
      </c>
      <c r="E1461">
        <v>13</v>
      </c>
      <c r="F1461">
        <v>30</v>
      </c>
    </row>
    <row r="1462" spans="1:6" x14ac:dyDescent="0.2">
      <c r="A1462" t="str">
        <f t="shared" si="22"/>
        <v>Gibouille30</v>
      </c>
      <c r="B1462">
        <v>3</v>
      </c>
      <c r="C1462" t="s">
        <v>509</v>
      </c>
      <c r="D1462">
        <v>0</v>
      </c>
      <c r="E1462">
        <v>9</v>
      </c>
      <c r="F1462">
        <v>30</v>
      </c>
    </row>
    <row r="1463" spans="1:6" x14ac:dyDescent="0.2">
      <c r="A1463" t="str">
        <f t="shared" si="22"/>
        <v>Zubbaz30</v>
      </c>
      <c r="B1463">
        <v>4</v>
      </c>
      <c r="C1463" t="s">
        <v>506</v>
      </c>
      <c r="D1463">
        <v>0</v>
      </c>
      <c r="E1463">
        <v>5</v>
      </c>
      <c r="F1463">
        <v>30</v>
      </c>
    </row>
    <row r="1464" spans="1:6" x14ac:dyDescent="0.2">
      <c r="A1464" t="str">
        <f t="shared" si="22"/>
        <v>JeanMichelTiming30</v>
      </c>
      <c r="B1464">
        <v>5</v>
      </c>
      <c r="C1464" t="s">
        <v>35</v>
      </c>
      <c r="D1464">
        <v>0</v>
      </c>
      <c r="E1464">
        <v>3</v>
      </c>
      <c r="F1464">
        <v>30</v>
      </c>
    </row>
    <row r="1465" spans="1:6" x14ac:dyDescent="0.2">
      <c r="A1465" t="str">
        <f t="shared" si="22"/>
        <v>Losogre30</v>
      </c>
      <c r="B1465">
        <v>6</v>
      </c>
      <c r="C1465" t="s">
        <v>507</v>
      </c>
      <c r="D1465">
        <v>0</v>
      </c>
      <c r="E1465">
        <v>2</v>
      </c>
      <c r="F1465">
        <v>30</v>
      </c>
    </row>
    <row r="1466" spans="1:6" x14ac:dyDescent="0.2">
      <c r="A1466" t="str">
        <f t="shared" si="22"/>
        <v>Claudius30</v>
      </c>
      <c r="B1466">
        <v>7</v>
      </c>
      <c r="C1466" t="s">
        <v>25</v>
      </c>
      <c r="D1466">
        <v>0</v>
      </c>
      <c r="E1466">
        <v>1</v>
      </c>
      <c r="F1466">
        <v>30</v>
      </c>
    </row>
    <row r="1467" spans="1:6" x14ac:dyDescent="0.2">
      <c r="A1467" t="str">
        <f t="shared" si="22"/>
        <v>LAAtof30</v>
      </c>
      <c r="B1467">
        <v>1</v>
      </c>
      <c r="C1467" t="s">
        <v>15</v>
      </c>
      <c r="D1467">
        <v>3</v>
      </c>
      <c r="E1467">
        <v>16</v>
      </c>
      <c r="F1467">
        <v>30</v>
      </c>
    </row>
    <row r="1468" spans="1:6" x14ac:dyDescent="0.2">
      <c r="A1468" t="str">
        <f t="shared" si="22"/>
        <v>Catherine30</v>
      </c>
      <c r="B1468">
        <v>2</v>
      </c>
      <c r="C1468" t="s">
        <v>69</v>
      </c>
      <c r="D1468">
        <v>2</v>
      </c>
      <c r="E1468">
        <v>12</v>
      </c>
      <c r="F1468">
        <v>30</v>
      </c>
    </row>
    <row r="1469" spans="1:6" x14ac:dyDescent="0.2">
      <c r="A1469" t="str">
        <f t="shared" si="22"/>
        <v>The Hengover30</v>
      </c>
      <c r="B1469">
        <v>3</v>
      </c>
      <c r="C1469" t="s">
        <v>452</v>
      </c>
      <c r="D1469">
        <v>0</v>
      </c>
      <c r="E1469">
        <v>8</v>
      </c>
      <c r="F1469">
        <v>30</v>
      </c>
    </row>
    <row r="1470" spans="1:6" x14ac:dyDescent="0.2">
      <c r="A1470" t="str">
        <f t="shared" si="22"/>
        <v>Ramm30</v>
      </c>
      <c r="B1470">
        <v>4</v>
      </c>
      <c r="C1470" t="s">
        <v>14</v>
      </c>
      <c r="D1470">
        <v>0</v>
      </c>
      <c r="E1470">
        <v>4</v>
      </c>
      <c r="F1470">
        <v>30</v>
      </c>
    </row>
    <row r="1471" spans="1:6" x14ac:dyDescent="0.2">
      <c r="A1471" t="str">
        <f t="shared" si="22"/>
        <v>Sobab30</v>
      </c>
      <c r="B1471">
        <v>5</v>
      </c>
      <c r="C1471" t="s">
        <v>502</v>
      </c>
      <c r="D1471">
        <v>0</v>
      </c>
      <c r="E1471">
        <v>2</v>
      </c>
      <c r="F1471">
        <v>30</v>
      </c>
    </row>
    <row r="1472" spans="1:6" x14ac:dyDescent="0.2">
      <c r="A1472" t="str">
        <f t="shared" si="22"/>
        <v>Madridal30</v>
      </c>
      <c r="B1472">
        <v>6</v>
      </c>
      <c r="C1472" t="s">
        <v>557</v>
      </c>
      <c r="D1472">
        <v>0</v>
      </c>
      <c r="E1472">
        <v>1</v>
      </c>
      <c r="F1472">
        <v>30</v>
      </c>
    </row>
    <row r="1473" spans="1:6" x14ac:dyDescent="0.2">
      <c r="A1473" t="str">
        <f t="shared" si="22"/>
        <v>Mandrake30</v>
      </c>
      <c r="B1473">
        <v>1</v>
      </c>
      <c r="C1473" t="s">
        <v>27</v>
      </c>
      <c r="D1473">
        <v>3</v>
      </c>
      <c r="E1473">
        <v>16</v>
      </c>
      <c r="F1473">
        <v>30</v>
      </c>
    </row>
    <row r="1474" spans="1:6" x14ac:dyDescent="0.2">
      <c r="A1474" t="str">
        <f t="shared" ref="A1474:A1537" si="23">C1474&amp;F1474</f>
        <v>Delgres30</v>
      </c>
      <c r="B1474">
        <v>2</v>
      </c>
      <c r="C1474" t="s">
        <v>280</v>
      </c>
      <c r="D1474">
        <v>2</v>
      </c>
      <c r="E1474">
        <v>12</v>
      </c>
      <c r="F1474">
        <v>30</v>
      </c>
    </row>
    <row r="1475" spans="1:6" x14ac:dyDescent="0.2">
      <c r="A1475" t="str">
        <f t="shared" si="23"/>
        <v>PatB30</v>
      </c>
      <c r="B1475">
        <v>3</v>
      </c>
      <c r="C1475" t="s">
        <v>74</v>
      </c>
      <c r="D1475">
        <v>0</v>
      </c>
      <c r="E1475">
        <v>8</v>
      </c>
      <c r="F1475">
        <v>30</v>
      </c>
    </row>
    <row r="1476" spans="1:6" x14ac:dyDescent="0.2">
      <c r="A1476" t="str">
        <f t="shared" si="23"/>
        <v>Jérôme30</v>
      </c>
      <c r="B1476">
        <v>4</v>
      </c>
      <c r="C1476" t="s">
        <v>46</v>
      </c>
      <c r="D1476">
        <v>0</v>
      </c>
      <c r="E1476">
        <v>4</v>
      </c>
      <c r="F1476">
        <v>30</v>
      </c>
    </row>
    <row r="1477" spans="1:6" x14ac:dyDescent="0.2">
      <c r="A1477" t="str">
        <f t="shared" si="23"/>
        <v>Giobeck30</v>
      </c>
      <c r="B1477">
        <v>5</v>
      </c>
      <c r="C1477" t="s">
        <v>19</v>
      </c>
      <c r="D1477">
        <v>0</v>
      </c>
      <c r="E1477">
        <v>2</v>
      </c>
      <c r="F1477">
        <v>30</v>
      </c>
    </row>
    <row r="1478" spans="1:6" x14ac:dyDescent="0.2">
      <c r="A1478" t="str">
        <f t="shared" si="23"/>
        <v>Solucky30</v>
      </c>
      <c r="B1478">
        <v>6</v>
      </c>
      <c r="C1478" t="s">
        <v>485</v>
      </c>
      <c r="D1478">
        <v>0</v>
      </c>
      <c r="E1478">
        <v>1</v>
      </c>
      <c r="F1478">
        <v>30</v>
      </c>
    </row>
    <row r="1479" spans="1:6" x14ac:dyDescent="0.2">
      <c r="A1479" t="str">
        <f t="shared" si="23"/>
        <v>K130</v>
      </c>
      <c r="B1479">
        <v>1</v>
      </c>
      <c r="C1479" t="s">
        <v>9</v>
      </c>
      <c r="D1479">
        <v>2</v>
      </c>
      <c r="E1479">
        <v>17</v>
      </c>
      <c r="F1479">
        <v>30</v>
      </c>
    </row>
    <row r="1480" spans="1:6" x14ac:dyDescent="0.2">
      <c r="A1480" t="str">
        <f t="shared" si="23"/>
        <v>Zizou30</v>
      </c>
      <c r="B1480">
        <v>2</v>
      </c>
      <c r="C1480" t="s">
        <v>504</v>
      </c>
      <c r="D1480">
        <v>3</v>
      </c>
      <c r="E1480">
        <v>13</v>
      </c>
      <c r="F1480">
        <v>30</v>
      </c>
    </row>
    <row r="1481" spans="1:6" x14ac:dyDescent="0.2">
      <c r="A1481" t="str">
        <f t="shared" si="23"/>
        <v>Empedocle30</v>
      </c>
      <c r="B1481">
        <v>3</v>
      </c>
      <c r="C1481" t="s">
        <v>81</v>
      </c>
      <c r="D1481">
        <v>1</v>
      </c>
      <c r="E1481">
        <v>9</v>
      </c>
      <c r="F1481">
        <v>30</v>
      </c>
    </row>
    <row r="1482" spans="1:6" x14ac:dyDescent="0.2">
      <c r="A1482" t="str">
        <f t="shared" si="23"/>
        <v>Yarael30</v>
      </c>
      <c r="B1482">
        <v>4</v>
      </c>
      <c r="C1482" t="s">
        <v>88</v>
      </c>
      <c r="D1482">
        <v>0</v>
      </c>
      <c r="E1482">
        <v>5</v>
      </c>
      <c r="F1482">
        <v>30</v>
      </c>
    </row>
    <row r="1483" spans="1:6" x14ac:dyDescent="0.2">
      <c r="A1483" t="str">
        <f t="shared" si="23"/>
        <v>Mams30</v>
      </c>
      <c r="B1483">
        <v>5</v>
      </c>
      <c r="C1483" t="s">
        <v>505</v>
      </c>
      <c r="D1483">
        <v>0</v>
      </c>
      <c r="E1483">
        <v>3</v>
      </c>
      <c r="F1483">
        <v>30</v>
      </c>
    </row>
    <row r="1484" spans="1:6" x14ac:dyDescent="0.2">
      <c r="A1484" t="str">
        <f t="shared" si="23"/>
        <v>JC30</v>
      </c>
      <c r="B1484">
        <v>6</v>
      </c>
      <c r="C1484" t="s">
        <v>534</v>
      </c>
      <c r="D1484">
        <v>0</v>
      </c>
      <c r="E1484">
        <v>2</v>
      </c>
      <c r="F1484">
        <v>30</v>
      </c>
    </row>
    <row r="1485" spans="1:6" x14ac:dyDescent="0.2">
      <c r="A1485" t="str">
        <f t="shared" si="23"/>
        <v>Claptou30</v>
      </c>
      <c r="B1485">
        <v>7</v>
      </c>
      <c r="C1485" t="s">
        <v>42</v>
      </c>
      <c r="D1485">
        <v>0</v>
      </c>
      <c r="E1485">
        <v>1</v>
      </c>
      <c r="F1485">
        <v>30</v>
      </c>
    </row>
    <row r="1486" spans="1:6" x14ac:dyDescent="0.2">
      <c r="A1486" t="str">
        <f t="shared" si="23"/>
        <v>Tenko30</v>
      </c>
      <c r="B1486">
        <v>1</v>
      </c>
      <c r="C1486" t="s">
        <v>516</v>
      </c>
      <c r="D1486">
        <v>4</v>
      </c>
      <c r="E1486">
        <v>17</v>
      </c>
      <c r="F1486">
        <v>30</v>
      </c>
    </row>
    <row r="1487" spans="1:6" x14ac:dyDescent="0.2">
      <c r="A1487" t="str">
        <f t="shared" si="23"/>
        <v>Jaden30</v>
      </c>
      <c r="B1487">
        <v>2</v>
      </c>
      <c r="C1487" t="s">
        <v>521</v>
      </c>
      <c r="D1487">
        <v>2</v>
      </c>
      <c r="E1487">
        <v>13</v>
      </c>
      <c r="F1487">
        <v>30</v>
      </c>
    </row>
    <row r="1488" spans="1:6" x14ac:dyDescent="0.2">
      <c r="A1488" t="str">
        <f t="shared" si="23"/>
        <v>OlivierN9230</v>
      </c>
      <c r="B1488">
        <v>3</v>
      </c>
      <c r="C1488" t="s">
        <v>32</v>
      </c>
      <c r="D1488">
        <v>0</v>
      </c>
      <c r="E1488">
        <v>9</v>
      </c>
      <c r="F1488">
        <v>30</v>
      </c>
    </row>
    <row r="1489" spans="1:6" x14ac:dyDescent="0.2">
      <c r="A1489" t="str">
        <f t="shared" si="23"/>
        <v>Ad Vitam30</v>
      </c>
      <c r="B1489">
        <v>4</v>
      </c>
      <c r="C1489" t="s">
        <v>66</v>
      </c>
      <c r="D1489">
        <v>0</v>
      </c>
      <c r="E1489">
        <v>5</v>
      </c>
      <c r="F1489">
        <v>30</v>
      </c>
    </row>
    <row r="1490" spans="1:6" x14ac:dyDescent="0.2">
      <c r="A1490" t="str">
        <f t="shared" si="23"/>
        <v>Kheops30</v>
      </c>
      <c r="B1490">
        <v>5</v>
      </c>
      <c r="C1490" t="s">
        <v>500</v>
      </c>
      <c r="D1490">
        <v>0</v>
      </c>
      <c r="E1490">
        <v>3</v>
      </c>
      <c r="F1490">
        <v>30</v>
      </c>
    </row>
    <row r="1491" spans="1:6" x14ac:dyDescent="0.2">
      <c r="A1491" t="str">
        <f t="shared" si="23"/>
        <v>TheRealWill30</v>
      </c>
      <c r="B1491">
        <v>6</v>
      </c>
      <c r="C1491" t="s">
        <v>535</v>
      </c>
      <c r="D1491">
        <v>0</v>
      </c>
      <c r="E1491">
        <v>2</v>
      </c>
      <c r="F1491">
        <v>30</v>
      </c>
    </row>
    <row r="1492" spans="1:6" x14ac:dyDescent="0.2">
      <c r="A1492" t="str">
        <f t="shared" si="23"/>
        <v>Salender30</v>
      </c>
      <c r="B1492">
        <v>7</v>
      </c>
      <c r="C1492" t="s">
        <v>479</v>
      </c>
      <c r="D1492">
        <v>0</v>
      </c>
      <c r="E1492">
        <v>1</v>
      </c>
      <c r="F1492">
        <v>30</v>
      </c>
    </row>
    <row r="1493" spans="1:6" x14ac:dyDescent="0.2">
      <c r="A1493" t="str">
        <f t="shared" si="23"/>
        <v>Poisson Pilote30</v>
      </c>
      <c r="B1493">
        <v>1</v>
      </c>
      <c r="C1493" t="s">
        <v>501</v>
      </c>
      <c r="D1493">
        <v>3</v>
      </c>
      <c r="E1493">
        <v>17</v>
      </c>
      <c r="F1493">
        <v>30</v>
      </c>
    </row>
    <row r="1494" spans="1:6" x14ac:dyDescent="0.2">
      <c r="A1494" t="str">
        <f t="shared" si="23"/>
        <v>Rockatou30</v>
      </c>
      <c r="B1494">
        <v>2</v>
      </c>
      <c r="C1494" t="s">
        <v>493</v>
      </c>
      <c r="D1494">
        <v>1</v>
      </c>
      <c r="E1494">
        <v>13</v>
      </c>
      <c r="F1494">
        <v>30</v>
      </c>
    </row>
    <row r="1495" spans="1:6" x14ac:dyDescent="0.2">
      <c r="A1495" t="str">
        <f t="shared" si="23"/>
        <v>DernierPli30</v>
      </c>
      <c r="B1495">
        <v>3</v>
      </c>
      <c r="C1495" t="s">
        <v>490</v>
      </c>
      <c r="D1495">
        <v>1</v>
      </c>
      <c r="E1495">
        <v>9</v>
      </c>
      <c r="F1495">
        <v>30</v>
      </c>
    </row>
    <row r="1496" spans="1:6" x14ac:dyDescent="0.2">
      <c r="A1496" t="str">
        <f t="shared" si="23"/>
        <v>Pyja30</v>
      </c>
      <c r="B1496">
        <v>4</v>
      </c>
      <c r="C1496" t="s">
        <v>6</v>
      </c>
      <c r="D1496">
        <v>0</v>
      </c>
      <c r="E1496">
        <v>5</v>
      </c>
      <c r="F1496">
        <v>30</v>
      </c>
    </row>
    <row r="1497" spans="1:6" x14ac:dyDescent="0.2">
      <c r="A1497" t="str">
        <f t="shared" si="23"/>
        <v>Lén@30</v>
      </c>
      <c r="B1497">
        <v>5</v>
      </c>
      <c r="C1497" t="s">
        <v>40</v>
      </c>
      <c r="D1497">
        <v>1</v>
      </c>
      <c r="E1497">
        <v>3</v>
      </c>
      <c r="F1497">
        <v>30</v>
      </c>
    </row>
    <row r="1498" spans="1:6" x14ac:dyDescent="0.2">
      <c r="A1498" t="str">
        <f t="shared" si="23"/>
        <v>Bounette30</v>
      </c>
      <c r="B1498">
        <v>6</v>
      </c>
      <c r="C1498" t="s">
        <v>55</v>
      </c>
      <c r="D1498">
        <v>0</v>
      </c>
      <c r="E1498">
        <v>2</v>
      </c>
      <c r="F1498">
        <v>30</v>
      </c>
    </row>
    <row r="1499" spans="1:6" x14ac:dyDescent="0.2">
      <c r="A1499" t="str">
        <f t="shared" si="23"/>
        <v>Thibaultp7530</v>
      </c>
      <c r="B1499">
        <v>7</v>
      </c>
      <c r="C1499" t="s">
        <v>345</v>
      </c>
      <c r="D1499">
        <v>0</v>
      </c>
      <c r="E1499">
        <v>1</v>
      </c>
      <c r="F1499">
        <v>30</v>
      </c>
    </row>
    <row r="1500" spans="1:6" x14ac:dyDescent="0.2">
      <c r="A1500" t="str">
        <f t="shared" si="23"/>
        <v>Fishtro30</v>
      </c>
      <c r="B1500">
        <v>1</v>
      </c>
      <c r="C1500" t="s">
        <v>512</v>
      </c>
      <c r="D1500">
        <v>4</v>
      </c>
      <c r="E1500">
        <v>16</v>
      </c>
      <c r="F1500">
        <v>30</v>
      </c>
    </row>
    <row r="1501" spans="1:6" x14ac:dyDescent="0.2">
      <c r="A1501" t="str">
        <f t="shared" si="23"/>
        <v>Snake170230</v>
      </c>
      <c r="B1501">
        <v>2</v>
      </c>
      <c r="C1501" t="s">
        <v>552</v>
      </c>
      <c r="D1501">
        <v>0</v>
      </c>
      <c r="E1501">
        <v>12</v>
      </c>
      <c r="F1501">
        <v>30</v>
      </c>
    </row>
    <row r="1502" spans="1:6" x14ac:dyDescent="0.2">
      <c r="A1502" t="str">
        <f t="shared" si="23"/>
        <v>Yaltar30</v>
      </c>
      <c r="B1502">
        <v>3</v>
      </c>
      <c r="C1502" t="s">
        <v>503</v>
      </c>
      <c r="D1502">
        <v>1</v>
      </c>
      <c r="E1502">
        <v>8</v>
      </c>
      <c r="F1502">
        <v>30</v>
      </c>
    </row>
    <row r="1503" spans="1:6" x14ac:dyDescent="0.2">
      <c r="A1503" t="str">
        <f t="shared" si="23"/>
        <v>Flem30</v>
      </c>
      <c r="B1503">
        <v>4</v>
      </c>
      <c r="C1503" t="s">
        <v>73</v>
      </c>
      <c r="D1503">
        <v>0</v>
      </c>
      <c r="E1503">
        <v>4</v>
      </c>
      <c r="F1503">
        <v>30</v>
      </c>
    </row>
    <row r="1504" spans="1:6" x14ac:dyDescent="0.2">
      <c r="A1504" t="str">
        <f t="shared" si="23"/>
        <v>Ankolos30</v>
      </c>
      <c r="B1504">
        <v>5</v>
      </c>
      <c r="C1504" t="s">
        <v>556</v>
      </c>
      <c r="D1504">
        <v>0</v>
      </c>
      <c r="E1504">
        <v>2</v>
      </c>
      <c r="F1504">
        <v>30</v>
      </c>
    </row>
    <row r="1505" spans="1:6" x14ac:dyDescent="0.2">
      <c r="A1505" t="str">
        <f t="shared" si="23"/>
        <v>Proph@ne30</v>
      </c>
      <c r="B1505">
        <v>6</v>
      </c>
      <c r="C1505" t="s">
        <v>87</v>
      </c>
      <c r="D1505">
        <v>0</v>
      </c>
      <c r="E1505">
        <v>1</v>
      </c>
      <c r="F1505">
        <v>30</v>
      </c>
    </row>
    <row r="1506" spans="1:6" x14ac:dyDescent="0.2">
      <c r="A1506" t="str">
        <f t="shared" si="23"/>
        <v>ScoNix30</v>
      </c>
      <c r="B1506">
        <v>1</v>
      </c>
      <c r="C1506" t="s">
        <v>554</v>
      </c>
      <c r="D1506">
        <v>4</v>
      </c>
      <c r="E1506">
        <v>16</v>
      </c>
      <c r="F1506">
        <v>30</v>
      </c>
    </row>
    <row r="1507" spans="1:6" x14ac:dyDescent="0.2">
      <c r="A1507" t="str">
        <f t="shared" si="23"/>
        <v>Michelbey30</v>
      </c>
      <c r="B1507">
        <v>2</v>
      </c>
      <c r="C1507" t="s">
        <v>75</v>
      </c>
      <c r="D1507">
        <v>1</v>
      </c>
      <c r="E1507">
        <v>12</v>
      </c>
      <c r="F1507">
        <v>30</v>
      </c>
    </row>
    <row r="1508" spans="1:6" x14ac:dyDescent="0.2">
      <c r="A1508" t="str">
        <f t="shared" si="23"/>
        <v>La Bavure30</v>
      </c>
      <c r="B1508">
        <v>3</v>
      </c>
      <c r="C1508" t="s">
        <v>475</v>
      </c>
      <c r="D1508">
        <v>0</v>
      </c>
      <c r="E1508">
        <v>8</v>
      </c>
      <c r="F1508">
        <v>30</v>
      </c>
    </row>
    <row r="1509" spans="1:6" x14ac:dyDescent="0.2">
      <c r="A1509" t="str">
        <f t="shared" si="23"/>
        <v>Carmin30</v>
      </c>
      <c r="B1509">
        <v>4</v>
      </c>
      <c r="C1509" t="s">
        <v>21</v>
      </c>
      <c r="D1509">
        <v>0</v>
      </c>
      <c r="E1509">
        <v>4</v>
      </c>
      <c r="F1509">
        <v>30</v>
      </c>
    </row>
    <row r="1510" spans="1:6" x14ac:dyDescent="0.2">
      <c r="A1510" t="str">
        <f t="shared" si="23"/>
        <v>Ripolin30</v>
      </c>
      <c r="B1510">
        <v>5</v>
      </c>
      <c r="C1510" t="s">
        <v>65</v>
      </c>
      <c r="D1510">
        <v>0</v>
      </c>
      <c r="E1510">
        <v>2</v>
      </c>
      <c r="F1510">
        <v>30</v>
      </c>
    </row>
    <row r="1511" spans="1:6" x14ac:dyDescent="0.2">
      <c r="A1511" t="str">
        <f t="shared" si="23"/>
        <v>MegaSouche30</v>
      </c>
      <c r="B1511">
        <v>6</v>
      </c>
      <c r="C1511" t="s">
        <v>476</v>
      </c>
      <c r="D1511">
        <v>0</v>
      </c>
      <c r="E1511">
        <v>1</v>
      </c>
      <c r="F1511">
        <v>30</v>
      </c>
    </row>
    <row r="1512" spans="1:6" x14ac:dyDescent="0.2">
      <c r="A1512" t="str">
        <f t="shared" si="23"/>
        <v>Fishtro31</v>
      </c>
      <c r="B1512">
        <v>1</v>
      </c>
      <c r="C1512" t="s">
        <v>512</v>
      </c>
      <c r="D1512">
        <v>4</v>
      </c>
      <c r="E1512">
        <v>16</v>
      </c>
      <c r="F1512">
        <v>31</v>
      </c>
    </row>
    <row r="1513" spans="1:6" x14ac:dyDescent="0.2">
      <c r="A1513" t="str">
        <f t="shared" si="23"/>
        <v>Thibaultp7531</v>
      </c>
      <c r="B1513">
        <v>2</v>
      </c>
      <c r="C1513" t="s">
        <v>345</v>
      </c>
      <c r="D1513">
        <v>0</v>
      </c>
      <c r="E1513">
        <v>12</v>
      </c>
      <c r="F1513">
        <v>31</v>
      </c>
    </row>
    <row r="1514" spans="1:6" x14ac:dyDescent="0.2">
      <c r="A1514" t="str">
        <f t="shared" si="23"/>
        <v>Jérôme31</v>
      </c>
      <c r="B1514">
        <v>3</v>
      </c>
      <c r="C1514" t="s">
        <v>46</v>
      </c>
      <c r="D1514">
        <v>1</v>
      </c>
      <c r="E1514">
        <v>8</v>
      </c>
      <c r="F1514">
        <v>31</v>
      </c>
    </row>
    <row r="1515" spans="1:6" x14ac:dyDescent="0.2">
      <c r="A1515" t="str">
        <f t="shared" si="23"/>
        <v>Freddie31</v>
      </c>
      <c r="B1515">
        <v>4</v>
      </c>
      <c r="C1515" t="s">
        <v>525</v>
      </c>
      <c r="D1515">
        <v>0</v>
      </c>
      <c r="E1515">
        <v>4</v>
      </c>
      <c r="F1515">
        <v>31</v>
      </c>
    </row>
    <row r="1516" spans="1:6" x14ac:dyDescent="0.2">
      <c r="A1516" t="str">
        <f t="shared" si="23"/>
        <v>Solucky31</v>
      </c>
      <c r="B1516">
        <v>5</v>
      </c>
      <c r="C1516" t="s">
        <v>485</v>
      </c>
      <c r="D1516">
        <v>0</v>
      </c>
      <c r="E1516">
        <v>2</v>
      </c>
      <c r="F1516">
        <v>31</v>
      </c>
    </row>
    <row r="1517" spans="1:6" x14ac:dyDescent="0.2">
      <c r="A1517" t="str">
        <f t="shared" si="23"/>
        <v>TheRealWill31</v>
      </c>
      <c r="B1517">
        <v>6</v>
      </c>
      <c r="C1517" t="s">
        <v>535</v>
      </c>
      <c r="D1517">
        <v>0</v>
      </c>
      <c r="E1517">
        <v>1</v>
      </c>
      <c r="F1517">
        <v>31</v>
      </c>
    </row>
    <row r="1518" spans="1:6" x14ac:dyDescent="0.2">
      <c r="A1518" t="str">
        <f t="shared" si="23"/>
        <v>ScoNix31</v>
      </c>
      <c r="B1518">
        <v>1</v>
      </c>
      <c r="C1518" t="s">
        <v>554</v>
      </c>
      <c r="D1518">
        <v>2</v>
      </c>
      <c r="E1518">
        <v>16</v>
      </c>
      <c r="F1518">
        <v>31</v>
      </c>
    </row>
    <row r="1519" spans="1:6" x14ac:dyDescent="0.2">
      <c r="A1519" t="str">
        <f t="shared" si="23"/>
        <v>K131</v>
      </c>
      <c r="B1519">
        <v>2</v>
      </c>
      <c r="C1519" t="s">
        <v>9</v>
      </c>
      <c r="D1519">
        <v>2</v>
      </c>
      <c r="E1519">
        <v>12</v>
      </c>
      <c r="F1519">
        <v>31</v>
      </c>
    </row>
    <row r="1520" spans="1:6" x14ac:dyDescent="0.2">
      <c r="A1520" t="str">
        <f t="shared" si="23"/>
        <v>JeanMichelTiming31</v>
      </c>
      <c r="B1520">
        <v>3</v>
      </c>
      <c r="C1520" t="s">
        <v>35</v>
      </c>
      <c r="D1520">
        <v>1</v>
      </c>
      <c r="E1520">
        <v>8</v>
      </c>
      <c r="F1520">
        <v>31</v>
      </c>
    </row>
    <row r="1521" spans="1:6" x14ac:dyDescent="0.2">
      <c r="A1521" t="str">
        <f t="shared" si="23"/>
        <v>Rockatou31</v>
      </c>
      <c r="B1521">
        <v>4</v>
      </c>
      <c r="C1521" t="s">
        <v>493</v>
      </c>
      <c r="D1521">
        <v>0</v>
      </c>
      <c r="E1521">
        <v>4</v>
      </c>
      <c r="F1521">
        <v>31</v>
      </c>
    </row>
    <row r="1522" spans="1:6" x14ac:dyDescent="0.2">
      <c r="A1522" t="str">
        <f t="shared" si="23"/>
        <v>Claptou31</v>
      </c>
      <c r="B1522">
        <v>5</v>
      </c>
      <c r="C1522" t="s">
        <v>42</v>
      </c>
      <c r="D1522">
        <v>0</v>
      </c>
      <c r="E1522">
        <v>2</v>
      </c>
      <c r="F1522">
        <v>31</v>
      </c>
    </row>
    <row r="1523" spans="1:6" x14ac:dyDescent="0.2">
      <c r="A1523" t="str">
        <f t="shared" si="23"/>
        <v>Tenko31</v>
      </c>
      <c r="B1523">
        <v>6</v>
      </c>
      <c r="C1523" t="s">
        <v>516</v>
      </c>
      <c r="D1523">
        <v>0</v>
      </c>
      <c r="E1523">
        <v>1</v>
      </c>
      <c r="F1523">
        <v>31</v>
      </c>
    </row>
    <row r="1524" spans="1:6" x14ac:dyDescent="0.2">
      <c r="A1524" t="str">
        <f t="shared" si="23"/>
        <v>Kri-lin31</v>
      </c>
      <c r="B1524">
        <v>1</v>
      </c>
      <c r="C1524" t="s">
        <v>61</v>
      </c>
      <c r="D1524">
        <v>2</v>
      </c>
      <c r="E1524">
        <v>16</v>
      </c>
      <c r="F1524">
        <v>31</v>
      </c>
    </row>
    <row r="1525" spans="1:6" x14ac:dyDescent="0.2">
      <c r="A1525" t="str">
        <f t="shared" si="23"/>
        <v>Ramm31</v>
      </c>
      <c r="B1525">
        <v>2</v>
      </c>
      <c r="C1525" t="s">
        <v>14</v>
      </c>
      <c r="D1525">
        <v>1</v>
      </c>
      <c r="E1525">
        <v>12</v>
      </c>
      <c r="F1525">
        <v>31</v>
      </c>
    </row>
    <row r="1526" spans="1:6" x14ac:dyDescent="0.2">
      <c r="A1526" t="str">
        <f t="shared" si="23"/>
        <v>Bounette31</v>
      </c>
      <c r="B1526">
        <v>3</v>
      </c>
      <c r="C1526" t="s">
        <v>55</v>
      </c>
      <c r="D1526">
        <v>2</v>
      </c>
      <c r="E1526">
        <v>8</v>
      </c>
      <c r="F1526">
        <v>31</v>
      </c>
    </row>
    <row r="1527" spans="1:6" x14ac:dyDescent="0.2">
      <c r="A1527" t="str">
        <f t="shared" si="23"/>
        <v>Catherine31</v>
      </c>
      <c r="B1527">
        <v>4</v>
      </c>
      <c r="C1527" t="s">
        <v>69</v>
      </c>
      <c r="D1527">
        <v>0</v>
      </c>
      <c r="E1527">
        <v>4</v>
      </c>
      <c r="F1527">
        <v>31</v>
      </c>
    </row>
    <row r="1528" spans="1:6" x14ac:dyDescent="0.2">
      <c r="A1528" t="str">
        <f t="shared" si="23"/>
        <v>Salender31</v>
      </c>
      <c r="B1528">
        <v>5</v>
      </c>
      <c r="C1528" t="s">
        <v>479</v>
      </c>
      <c r="D1528">
        <v>0</v>
      </c>
      <c r="E1528">
        <v>2</v>
      </c>
      <c r="F1528">
        <v>31</v>
      </c>
    </row>
    <row r="1529" spans="1:6" x14ac:dyDescent="0.2">
      <c r="A1529" t="str">
        <f t="shared" si="23"/>
        <v>Michelbey31</v>
      </c>
      <c r="B1529">
        <v>6</v>
      </c>
      <c r="C1529" t="s">
        <v>75</v>
      </c>
      <c r="D1529">
        <v>0</v>
      </c>
      <c r="E1529">
        <v>1</v>
      </c>
      <c r="F1529">
        <v>31</v>
      </c>
    </row>
    <row r="1530" spans="1:6" x14ac:dyDescent="0.2">
      <c r="A1530" t="str">
        <f t="shared" si="23"/>
        <v>Light31</v>
      </c>
      <c r="B1530">
        <v>1</v>
      </c>
      <c r="C1530" t="s">
        <v>558</v>
      </c>
      <c r="D1530">
        <v>4</v>
      </c>
      <c r="E1530">
        <v>16</v>
      </c>
      <c r="F1530">
        <v>31</v>
      </c>
    </row>
    <row r="1531" spans="1:6" x14ac:dyDescent="0.2">
      <c r="A1531" t="str">
        <f t="shared" si="23"/>
        <v>JC31</v>
      </c>
      <c r="B1531">
        <v>2</v>
      </c>
      <c r="C1531" t="s">
        <v>534</v>
      </c>
      <c r="D1531">
        <v>1</v>
      </c>
      <c r="E1531">
        <v>12</v>
      </c>
      <c r="F1531">
        <v>31</v>
      </c>
    </row>
    <row r="1532" spans="1:6" x14ac:dyDescent="0.2">
      <c r="A1532" t="str">
        <f t="shared" si="23"/>
        <v>Rmarc31</v>
      </c>
      <c r="B1532">
        <v>3</v>
      </c>
      <c r="C1532" t="s">
        <v>508</v>
      </c>
      <c r="D1532">
        <v>0</v>
      </c>
      <c r="E1532">
        <v>8</v>
      </c>
      <c r="F1532">
        <v>31</v>
      </c>
    </row>
    <row r="1533" spans="1:6" x14ac:dyDescent="0.2">
      <c r="A1533" t="str">
        <f t="shared" si="23"/>
        <v>Zizou31</v>
      </c>
      <c r="B1533">
        <v>4</v>
      </c>
      <c r="C1533" t="s">
        <v>504</v>
      </c>
      <c r="D1533">
        <v>0</v>
      </c>
      <c r="E1533">
        <v>4</v>
      </c>
      <c r="F1533">
        <v>31</v>
      </c>
    </row>
    <row r="1534" spans="1:6" x14ac:dyDescent="0.2">
      <c r="A1534" t="str">
        <f t="shared" si="23"/>
        <v>OlivierN9231</v>
      </c>
      <c r="B1534">
        <v>5</v>
      </c>
      <c r="C1534" t="s">
        <v>32</v>
      </c>
      <c r="D1534">
        <v>0</v>
      </c>
      <c r="E1534">
        <v>2</v>
      </c>
      <c r="F1534">
        <v>31</v>
      </c>
    </row>
    <row r="1535" spans="1:6" x14ac:dyDescent="0.2">
      <c r="A1535" t="str">
        <f t="shared" si="23"/>
        <v>Mandrake31</v>
      </c>
      <c r="B1535">
        <v>6</v>
      </c>
      <c r="C1535" t="s">
        <v>27</v>
      </c>
      <c r="D1535">
        <v>0</v>
      </c>
      <c r="E1535">
        <v>1</v>
      </c>
      <c r="F1535">
        <v>31</v>
      </c>
    </row>
    <row r="1536" spans="1:6" x14ac:dyDescent="0.2">
      <c r="A1536" t="str">
        <f t="shared" si="23"/>
        <v>Flem31</v>
      </c>
      <c r="B1536">
        <v>1</v>
      </c>
      <c r="C1536" t="s">
        <v>73</v>
      </c>
      <c r="D1536">
        <v>4</v>
      </c>
      <c r="E1536">
        <v>17</v>
      </c>
      <c r="F1536">
        <v>31</v>
      </c>
    </row>
    <row r="1537" spans="1:6" x14ac:dyDescent="0.2">
      <c r="A1537" t="str">
        <f t="shared" si="23"/>
        <v>Gibbonfury31</v>
      </c>
      <c r="B1537">
        <v>2</v>
      </c>
      <c r="C1537" t="s">
        <v>454</v>
      </c>
      <c r="D1537">
        <v>1</v>
      </c>
      <c r="E1537">
        <v>13</v>
      </c>
      <c r="F1537">
        <v>31</v>
      </c>
    </row>
    <row r="1538" spans="1:6" x14ac:dyDescent="0.2">
      <c r="A1538" t="str">
        <f t="shared" ref="A1538:A1601" si="24">C1538&amp;F1538</f>
        <v>Mams31</v>
      </c>
      <c r="B1538">
        <v>3</v>
      </c>
      <c r="C1538" t="s">
        <v>505</v>
      </c>
      <c r="D1538">
        <v>1</v>
      </c>
      <c r="E1538">
        <v>9</v>
      </c>
      <c r="F1538">
        <v>31</v>
      </c>
    </row>
    <row r="1539" spans="1:6" x14ac:dyDescent="0.2">
      <c r="A1539" t="str">
        <f t="shared" si="24"/>
        <v>Snake170231</v>
      </c>
      <c r="B1539">
        <v>4</v>
      </c>
      <c r="C1539" t="s">
        <v>552</v>
      </c>
      <c r="D1539">
        <v>0</v>
      </c>
      <c r="E1539">
        <v>5</v>
      </c>
      <c r="F1539">
        <v>31</v>
      </c>
    </row>
    <row r="1540" spans="1:6" x14ac:dyDescent="0.2">
      <c r="A1540" t="str">
        <f t="shared" si="24"/>
        <v>Ad Vitam31</v>
      </c>
      <c r="B1540">
        <v>5</v>
      </c>
      <c r="C1540" t="s">
        <v>66</v>
      </c>
      <c r="D1540">
        <v>0</v>
      </c>
      <c r="E1540">
        <v>3</v>
      </c>
      <c r="F1540">
        <v>31</v>
      </c>
    </row>
    <row r="1541" spans="1:6" x14ac:dyDescent="0.2">
      <c r="A1541" t="str">
        <f t="shared" si="24"/>
        <v>Carmin31</v>
      </c>
      <c r="B1541">
        <v>6</v>
      </c>
      <c r="C1541" t="s">
        <v>21</v>
      </c>
      <c r="D1541">
        <v>0</v>
      </c>
      <c r="E1541">
        <v>2</v>
      </c>
      <c r="F1541">
        <v>31</v>
      </c>
    </row>
    <row r="1542" spans="1:6" x14ac:dyDescent="0.2">
      <c r="A1542" t="str">
        <f t="shared" si="24"/>
        <v>La Bavure31</v>
      </c>
      <c r="B1542">
        <v>7</v>
      </c>
      <c r="C1542" t="s">
        <v>475</v>
      </c>
      <c r="D1542">
        <v>0</v>
      </c>
      <c r="E1542">
        <v>1</v>
      </c>
      <c r="F1542">
        <v>31</v>
      </c>
    </row>
    <row r="1543" spans="1:6" x14ac:dyDescent="0.2">
      <c r="A1543" t="str">
        <f t="shared" si="24"/>
        <v>Zubbaz31</v>
      </c>
      <c r="B1543">
        <v>1</v>
      </c>
      <c r="C1543" t="s">
        <v>506</v>
      </c>
      <c r="D1543">
        <v>4</v>
      </c>
      <c r="E1543">
        <v>17</v>
      </c>
      <c r="F1543">
        <v>31</v>
      </c>
    </row>
    <row r="1544" spans="1:6" x14ac:dyDescent="0.2">
      <c r="A1544" t="str">
        <f t="shared" si="24"/>
        <v>PatB31</v>
      </c>
      <c r="B1544">
        <v>2</v>
      </c>
      <c r="C1544" t="s">
        <v>74</v>
      </c>
      <c r="D1544">
        <v>1</v>
      </c>
      <c r="E1544">
        <v>13</v>
      </c>
      <c r="F1544">
        <v>31</v>
      </c>
    </row>
    <row r="1545" spans="1:6" x14ac:dyDescent="0.2">
      <c r="A1545" t="str">
        <f t="shared" si="24"/>
        <v>Djecus31</v>
      </c>
      <c r="B1545">
        <v>3</v>
      </c>
      <c r="C1545" t="s">
        <v>461</v>
      </c>
      <c r="D1545">
        <v>0</v>
      </c>
      <c r="E1545">
        <v>9</v>
      </c>
      <c r="F1545">
        <v>31</v>
      </c>
    </row>
    <row r="1546" spans="1:6" x14ac:dyDescent="0.2">
      <c r="A1546" t="str">
        <f t="shared" si="24"/>
        <v>Losogre31</v>
      </c>
      <c r="B1546">
        <v>4</v>
      </c>
      <c r="C1546" t="s">
        <v>507</v>
      </c>
      <c r="D1546">
        <v>0</v>
      </c>
      <c r="E1546">
        <v>5</v>
      </c>
      <c r="F1546">
        <v>31</v>
      </c>
    </row>
    <row r="1547" spans="1:6" x14ac:dyDescent="0.2">
      <c r="A1547" t="str">
        <f t="shared" si="24"/>
        <v>Ripolin31</v>
      </c>
      <c r="B1547">
        <v>5</v>
      </c>
      <c r="C1547" t="s">
        <v>65</v>
      </c>
      <c r="D1547">
        <v>1</v>
      </c>
      <c r="E1547">
        <v>3</v>
      </c>
      <c r="F1547">
        <v>31</v>
      </c>
    </row>
    <row r="1548" spans="1:6" x14ac:dyDescent="0.2">
      <c r="A1548" t="str">
        <f t="shared" si="24"/>
        <v>Pintu31</v>
      </c>
      <c r="B1548">
        <v>6</v>
      </c>
      <c r="C1548" t="s">
        <v>48</v>
      </c>
      <c r="D1548">
        <v>0</v>
      </c>
      <c r="E1548">
        <v>2</v>
      </c>
      <c r="F1548">
        <v>31</v>
      </c>
    </row>
    <row r="1549" spans="1:6" x14ac:dyDescent="0.2">
      <c r="A1549" t="str">
        <f t="shared" si="24"/>
        <v>Delgres31</v>
      </c>
      <c r="B1549">
        <v>7</v>
      </c>
      <c r="C1549" t="s">
        <v>280</v>
      </c>
      <c r="D1549">
        <v>0</v>
      </c>
      <c r="E1549">
        <v>1</v>
      </c>
      <c r="F1549">
        <v>31</v>
      </c>
    </row>
    <row r="1550" spans="1:6" x14ac:dyDescent="0.2">
      <c r="A1550" t="str">
        <f t="shared" si="24"/>
        <v>Pyja31</v>
      </c>
      <c r="B1550">
        <v>1</v>
      </c>
      <c r="C1550" t="s">
        <v>6</v>
      </c>
      <c r="D1550">
        <v>4</v>
      </c>
      <c r="E1550">
        <v>16</v>
      </c>
      <c r="F1550">
        <v>31</v>
      </c>
    </row>
    <row r="1551" spans="1:6" x14ac:dyDescent="0.2">
      <c r="A1551" t="str">
        <f t="shared" si="24"/>
        <v>Madridal31</v>
      </c>
      <c r="B1551">
        <v>2</v>
      </c>
      <c r="C1551" t="s">
        <v>557</v>
      </c>
      <c r="D1551">
        <v>1</v>
      </c>
      <c r="E1551">
        <v>12</v>
      </c>
      <c r="F1551">
        <v>31</v>
      </c>
    </row>
    <row r="1552" spans="1:6" x14ac:dyDescent="0.2">
      <c r="A1552" t="str">
        <f t="shared" si="24"/>
        <v>Yarael31</v>
      </c>
      <c r="B1552">
        <v>3</v>
      </c>
      <c r="C1552" t="s">
        <v>88</v>
      </c>
      <c r="D1552">
        <v>0</v>
      </c>
      <c r="E1552">
        <v>8</v>
      </c>
      <c r="F1552">
        <v>31</v>
      </c>
    </row>
    <row r="1553" spans="1:6" x14ac:dyDescent="0.2">
      <c r="A1553" t="str">
        <f t="shared" si="24"/>
        <v>Claudius31</v>
      </c>
      <c r="B1553">
        <v>4</v>
      </c>
      <c r="C1553" t="s">
        <v>25</v>
      </c>
      <c r="D1553">
        <v>0</v>
      </c>
      <c r="E1553">
        <v>4</v>
      </c>
      <c r="F1553">
        <v>31</v>
      </c>
    </row>
    <row r="1554" spans="1:6" x14ac:dyDescent="0.2">
      <c r="A1554" t="str">
        <f t="shared" si="24"/>
        <v>Comment231</v>
      </c>
      <c r="B1554">
        <v>5</v>
      </c>
      <c r="C1554" t="s">
        <v>76</v>
      </c>
      <c r="D1554">
        <v>0</v>
      </c>
      <c r="E1554">
        <v>2</v>
      </c>
      <c r="F1554">
        <v>31</v>
      </c>
    </row>
    <row r="1555" spans="1:6" x14ac:dyDescent="0.2">
      <c r="A1555" t="str">
        <f t="shared" si="24"/>
        <v>Yaltar31</v>
      </c>
      <c r="B1555">
        <v>6</v>
      </c>
      <c r="C1555" t="s">
        <v>503</v>
      </c>
      <c r="D1555">
        <v>0</v>
      </c>
      <c r="E1555">
        <v>1</v>
      </c>
      <c r="F1555">
        <v>31</v>
      </c>
    </row>
    <row r="1556" spans="1:6" x14ac:dyDescent="0.2">
      <c r="A1556" t="str">
        <f t="shared" si="24"/>
        <v>Poisson Pilote31</v>
      </c>
      <c r="B1556">
        <v>1</v>
      </c>
      <c r="C1556" t="s">
        <v>501</v>
      </c>
      <c r="D1556">
        <v>4</v>
      </c>
      <c r="E1556">
        <v>16</v>
      </c>
      <c r="F1556">
        <v>31</v>
      </c>
    </row>
    <row r="1557" spans="1:6" x14ac:dyDescent="0.2">
      <c r="A1557" t="str">
        <f t="shared" si="24"/>
        <v>DernierPli31</v>
      </c>
      <c r="B1557">
        <v>2</v>
      </c>
      <c r="C1557" t="s">
        <v>490</v>
      </c>
      <c r="D1557">
        <v>0</v>
      </c>
      <c r="E1557">
        <v>12</v>
      </c>
      <c r="F1557">
        <v>31</v>
      </c>
    </row>
    <row r="1558" spans="1:6" x14ac:dyDescent="0.2">
      <c r="A1558" t="str">
        <f t="shared" si="24"/>
        <v>Giobeck31</v>
      </c>
      <c r="B1558">
        <v>3</v>
      </c>
      <c r="C1558" t="s">
        <v>19</v>
      </c>
      <c r="D1558">
        <v>0</v>
      </c>
      <c r="E1558">
        <v>8</v>
      </c>
      <c r="F1558">
        <v>31</v>
      </c>
    </row>
    <row r="1559" spans="1:6" x14ac:dyDescent="0.2">
      <c r="A1559" t="str">
        <f t="shared" si="24"/>
        <v>Magic Mykiss31</v>
      </c>
      <c r="B1559">
        <v>4</v>
      </c>
      <c r="C1559" t="s">
        <v>510</v>
      </c>
      <c r="D1559">
        <v>1</v>
      </c>
      <c r="E1559">
        <v>4</v>
      </c>
      <c r="F1559">
        <v>31</v>
      </c>
    </row>
    <row r="1560" spans="1:6" x14ac:dyDescent="0.2">
      <c r="A1560" t="str">
        <f t="shared" si="24"/>
        <v>Kewen31</v>
      </c>
      <c r="B1560">
        <v>5</v>
      </c>
      <c r="C1560" t="s">
        <v>559</v>
      </c>
      <c r="D1560">
        <v>0</v>
      </c>
      <c r="E1560">
        <v>2</v>
      </c>
      <c r="F1560">
        <v>31</v>
      </c>
    </row>
    <row r="1561" spans="1:6" x14ac:dyDescent="0.2">
      <c r="A1561" t="str">
        <f t="shared" si="24"/>
        <v>Jaden31</v>
      </c>
      <c r="B1561">
        <v>6</v>
      </c>
      <c r="C1561" t="s">
        <v>521</v>
      </c>
      <c r="D1561">
        <v>0</v>
      </c>
      <c r="E1561">
        <v>1</v>
      </c>
      <c r="F1561">
        <v>31</v>
      </c>
    </row>
    <row r="1562" spans="1:6" x14ac:dyDescent="0.2">
      <c r="A1562" t="str">
        <f t="shared" si="24"/>
        <v>Sobab32</v>
      </c>
      <c r="B1562">
        <v>1</v>
      </c>
      <c r="C1562" t="s">
        <v>502</v>
      </c>
      <c r="D1562">
        <v>2</v>
      </c>
      <c r="E1562">
        <v>16</v>
      </c>
      <c r="F1562">
        <v>32</v>
      </c>
    </row>
    <row r="1563" spans="1:6" x14ac:dyDescent="0.2">
      <c r="A1563" t="str">
        <f t="shared" si="24"/>
        <v>Proph@ne32</v>
      </c>
      <c r="B1563">
        <v>2</v>
      </c>
      <c r="C1563" t="s">
        <v>87</v>
      </c>
      <c r="D1563">
        <v>2</v>
      </c>
      <c r="E1563">
        <v>12</v>
      </c>
      <c r="F1563">
        <v>32</v>
      </c>
    </row>
    <row r="1564" spans="1:6" x14ac:dyDescent="0.2">
      <c r="A1564" t="str">
        <f t="shared" si="24"/>
        <v>Salender32</v>
      </c>
      <c r="B1564">
        <v>3</v>
      </c>
      <c r="C1564" t="s">
        <v>479</v>
      </c>
      <c r="D1564">
        <v>1</v>
      </c>
      <c r="E1564">
        <v>8</v>
      </c>
      <c r="F1564">
        <v>32</v>
      </c>
    </row>
    <row r="1565" spans="1:6" x14ac:dyDescent="0.2">
      <c r="A1565" t="str">
        <f t="shared" si="24"/>
        <v>Losogre32</v>
      </c>
      <c r="B1565">
        <v>4</v>
      </c>
      <c r="C1565" t="s">
        <v>507</v>
      </c>
      <c r="D1565">
        <v>0</v>
      </c>
      <c r="E1565">
        <v>4</v>
      </c>
      <c r="F1565">
        <v>32</v>
      </c>
    </row>
    <row r="1566" spans="1:6" x14ac:dyDescent="0.2">
      <c r="A1566" t="str">
        <f t="shared" si="24"/>
        <v>Rockatou32</v>
      </c>
      <c r="B1566">
        <v>5</v>
      </c>
      <c r="C1566" t="s">
        <v>493</v>
      </c>
      <c r="D1566">
        <v>0</v>
      </c>
      <c r="E1566">
        <v>2</v>
      </c>
      <c r="F1566">
        <v>32</v>
      </c>
    </row>
    <row r="1567" spans="1:6" x14ac:dyDescent="0.2">
      <c r="A1567" t="str">
        <f t="shared" si="24"/>
        <v>JeanMichelTiming32</v>
      </c>
      <c r="B1567">
        <v>6</v>
      </c>
      <c r="C1567" t="s">
        <v>35</v>
      </c>
      <c r="D1567">
        <v>0</v>
      </c>
      <c r="E1567">
        <v>1</v>
      </c>
      <c r="F1567">
        <v>32</v>
      </c>
    </row>
    <row r="1568" spans="1:6" x14ac:dyDescent="0.2">
      <c r="A1568" t="str">
        <f t="shared" si="24"/>
        <v>Light32</v>
      </c>
      <c r="B1568">
        <v>1</v>
      </c>
      <c r="C1568" t="s">
        <v>558</v>
      </c>
      <c r="D1568">
        <v>2</v>
      </c>
      <c r="E1568">
        <v>16</v>
      </c>
      <c r="F1568">
        <v>32</v>
      </c>
    </row>
    <row r="1569" spans="1:6" x14ac:dyDescent="0.2">
      <c r="A1569" t="str">
        <f t="shared" si="24"/>
        <v>PatB32</v>
      </c>
      <c r="B1569">
        <v>2</v>
      </c>
      <c r="C1569" t="s">
        <v>74</v>
      </c>
      <c r="D1569">
        <v>2</v>
      </c>
      <c r="E1569">
        <v>12</v>
      </c>
      <c r="F1569">
        <v>32</v>
      </c>
    </row>
    <row r="1570" spans="1:6" x14ac:dyDescent="0.2">
      <c r="A1570" t="str">
        <f t="shared" si="24"/>
        <v>Chico32</v>
      </c>
      <c r="B1570">
        <v>3</v>
      </c>
      <c r="C1570" t="s">
        <v>515</v>
      </c>
      <c r="D1570">
        <v>0</v>
      </c>
      <c r="E1570">
        <v>8</v>
      </c>
      <c r="F1570">
        <v>32</v>
      </c>
    </row>
    <row r="1571" spans="1:6" x14ac:dyDescent="0.2">
      <c r="A1571" t="str">
        <f t="shared" si="24"/>
        <v>Michelbey32</v>
      </c>
      <c r="B1571">
        <v>4</v>
      </c>
      <c r="C1571" t="s">
        <v>75</v>
      </c>
      <c r="D1571">
        <v>1</v>
      </c>
      <c r="E1571">
        <v>4</v>
      </c>
      <c r="F1571">
        <v>32</v>
      </c>
    </row>
    <row r="1572" spans="1:6" x14ac:dyDescent="0.2">
      <c r="A1572" t="str">
        <f t="shared" si="24"/>
        <v>Ripolin32</v>
      </c>
      <c r="B1572">
        <v>5</v>
      </c>
      <c r="C1572" t="s">
        <v>65</v>
      </c>
      <c r="D1572">
        <v>0</v>
      </c>
      <c r="E1572">
        <v>2</v>
      </c>
      <c r="F1572">
        <v>32</v>
      </c>
    </row>
    <row r="1573" spans="1:6" x14ac:dyDescent="0.2">
      <c r="A1573" t="str">
        <f t="shared" si="24"/>
        <v>Ouais ouais32</v>
      </c>
      <c r="B1573">
        <v>6</v>
      </c>
      <c r="C1573" t="s">
        <v>533</v>
      </c>
      <c r="D1573">
        <v>0</v>
      </c>
      <c r="E1573">
        <v>1</v>
      </c>
      <c r="F1573">
        <v>32</v>
      </c>
    </row>
    <row r="1574" spans="1:6" x14ac:dyDescent="0.2">
      <c r="A1574" t="str">
        <f t="shared" si="24"/>
        <v>Tenko32</v>
      </c>
      <c r="B1574">
        <v>1</v>
      </c>
      <c r="C1574" t="s">
        <v>516</v>
      </c>
      <c r="D1574">
        <v>5</v>
      </c>
      <c r="E1574">
        <v>16</v>
      </c>
      <c r="F1574">
        <v>32</v>
      </c>
    </row>
    <row r="1575" spans="1:6" x14ac:dyDescent="0.2">
      <c r="A1575" t="str">
        <f t="shared" si="24"/>
        <v>JC32</v>
      </c>
      <c r="B1575">
        <v>2</v>
      </c>
      <c r="C1575" t="s">
        <v>534</v>
      </c>
      <c r="D1575">
        <v>0</v>
      </c>
      <c r="E1575">
        <v>12</v>
      </c>
      <c r="F1575">
        <v>32</v>
      </c>
    </row>
    <row r="1576" spans="1:6" x14ac:dyDescent="0.2">
      <c r="A1576" t="str">
        <f t="shared" si="24"/>
        <v>Kri-lin32</v>
      </c>
      <c r="B1576">
        <v>3</v>
      </c>
      <c r="C1576" t="s">
        <v>61</v>
      </c>
      <c r="D1576">
        <v>0</v>
      </c>
      <c r="E1576">
        <v>8</v>
      </c>
      <c r="F1576">
        <v>32</v>
      </c>
    </row>
    <row r="1577" spans="1:6" x14ac:dyDescent="0.2">
      <c r="A1577" t="str">
        <f t="shared" si="24"/>
        <v>Catherine32</v>
      </c>
      <c r="B1577">
        <v>4</v>
      </c>
      <c r="C1577" t="s">
        <v>69</v>
      </c>
      <c r="D1577">
        <v>0</v>
      </c>
      <c r="E1577">
        <v>4</v>
      </c>
      <c r="F1577">
        <v>32</v>
      </c>
    </row>
    <row r="1578" spans="1:6" x14ac:dyDescent="0.2">
      <c r="A1578" t="str">
        <f t="shared" si="24"/>
        <v>Mandrake32</v>
      </c>
      <c r="B1578">
        <v>5</v>
      </c>
      <c r="C1578" t="s">
        <v>27</v>
      </c>
      <c r="D1578">
        <v>0</v>
      </c>
      <c r="E1578">
        <v>2</v>
      </c>
      <c r="F1578">
        <v>32</v>
      </c>
    </row>
    <row r="1579" spans="1:6" x14ac:dyDescent="0.2">
      <c r="A1579" t="str">
        <f t="shared" si="24"/>
        <v>Lén@32</v>
      </c>
      <c r="B1579">
        <v>6</v>
      </c>
      <c r="C1579" t="s">
        <v>40</v>
      </c>
      <c r="D1579">
        <v>0</v>
      </c>
      <c r="E1579">
        <v>1</v>
      </c>
      <c r="F1579">
        <v>32</v>
      </c>
    </row>
    <row r="1580" spans="1:6" x14ac:dyDescent="0.2">
      <c r="A1580" t="str">
        <f t="shared" si="24"/>
        <v>Flem32</v>
      </c>
      <c r="B1580">
        <v>1</v>
      </c>
      <c r="C1580" t="s">
        <v>73</v>
      </c>
      <c r="D1580">
        <v>3</v>
      </c>
      <c r="E1580">
        <v>16</v>
      </c>
      <c r="F1580">
        <v>32</v>
      </c>
    </row>
    <row r="1581" spans="1:6" x14ac:dyDescent="0.2">
      <c r="A1581" t="str">
        <f t="shared" si="24"/>
        <v>Claudius32</v>
      </c>
      <c r="B1581">
        <v>2</v>
      </c>
      <c r="C1581" t="s">
        <v>25</v>
      </c>
      <c r="D1581">
        <v>2</v>
      </c>
      <c r="E1581">
        <v>12</v>
      </c>
      <c r="F1581">
        <v>32</v>
      </c>
    </row>
    <row r="1582" spans="1:6" x14ac:dyDescent="0.2">
      <c r="A1582" t="str">
        <f t="shared" si="24"/>
        <v>Delgres32</v>
      </c>
      <c r="B1582">
        <v>3</v>
      </c>
      <c r="C1582" t="s">
        <v>280</v>
      </c>
      <c r="D1582">
        <v>0</v>
      </c>
      <c r="E1582">
        <v>8</v>
      </c>
      <c r="F1582">
        <v>32</v>
      </c>
    </row>
    <row r="1583" spans="1:6" x14ac:dyDescent="0.2">
      <c r="A1583" t="str">
        <f t="shared" si="24"/>
        <v>TheRealWill32</v>
      </c>
      <c r="B1583">
        <v>4</v>
      </c>
      <c r="C1583" t="s">
        <v>535</v>
      </c>
      <c r="D1583">
        <v>0</v>
      </c>
      <c r="E1583">
        <v>4</v>
      </c>
      <c r="F1583">
        <v>32</v>
      </c>
    </row>
    <row r="1584" spans="1:6" x14ac:dyDescent="0.2">
      <c r="A1584" t="str">
        <f t="shared" si="24"/>
        <v>Pintu32</v>
      </c>
      <c r="B1584">
        <v>5</v>
      </c>
      <c r="C1584" t="s">
        <v>48</v>
      </c>
      <c r="D1584">
        <v>0</v>
      </c>
      <c r="E1584">
        <v>2</v>
      </c>
      <c r="F1584">
        <v>32</v>
      </c>
    </row>
    <row r="1585" spans="1:6" x14ac:dyDescent="0.2">
      <c r="A1585" t="str">
        <f t="shared" si="24"/>
        <v>Thibaultp7532</v>
      </c>
      <c r="B1585">
        <v>6</v>
      </c>
      <c r="C1585" t="s">
        <v>345</v>
      </c>
      <c r="D1585">
        <v>0</v>
      </c>
      <c r="E1585">
        <v>1</v>
      </c>
      <c r="F1585">
        <v>32</v>
      </c>
    </row>
    <row r="1586" spans="1:6" x14ac:dyDescent="0.2">
      <c r="A1586" t="str">
        <f t="shared" si="24"/>
        <v>The Hengover32</v>
      </c>
      <c r="B1586">
        <v>1</v>
      </c>
      <c r="C1586" t="s">
        <v>452</v>
      </c>
      <c r="D1586">
        <v>2</v>
      </c>
      <c r="E1586">
        <v>16</v>
      </c>
      <c r="F1586">
        <v>32</v>
      </c>
    </row>
    <row r="1587" spans="1:6" x14ac:dyDescent="0.2">
      <c r="A1587" t="str">
        <f t="shared" si="24"/>
        <v>Mams32</v>
      </c>
      <c r="B1587">
        <v>2</v>
      </c>
      <c r="C1587" t="s">
        <v>505</v>
      </c>
      <c r="D1587">
        <v>1</v>
      </c>
      <c r="E1587">
        <v>12</v>
      </c>
      <c r="F1587">
        <v>32</v>
      </c>
    </row>
    <row r="1588" spans="1:6" x14ac:dyDescent="0.2">
      <c r="A1588" t="str">
        <f t="shared" si="24"/>
        <v>Guerno32</v>
      </c>
      <c r="B1588">
        <v>3</v>
      </c>
      <c r="C1588" t="s">
        <v>484</v>
      </c>
      <c r="D1588">
        <v>1</v>
      </c>
      <c r="E1588">
        <v>8</v>
      </c>
      <c r="F1588">
        <v>32</v>
      </c>
    </row>
    <row r="1589" spans="1:6" x14ac:dyDescent="0.2">
      <c r="A1589" t="str">
        <f t="shared" si="24"/>
        <v>DernierPli32</v>
      </c>
      <c r="B1589">
        <v>4</v>
      </c>
      <c r="C1589" t="s">
        <v>490</v>
      </c>
      <c r="D1589">
        <v>1</v>
      </c>
      <c r="E1589">
        <v>4</v>
      </c>
      <c r="F1589">
        <v>32</v>
      </c>
    </row>
    <row r="1590" spans="1:6" x14ac:dyDescent="0.2">
      <c r="A1590" t="str">
        <f t="shared" si="24"/>
        <v>Freddie32</v>
      </c>
      <c r="B1590">
        <v>5</v>
      </c>
      <c r="C1590" t="s">
        <v>525</v>
      </c>
      <c r="D1590">
        <v>0</v>
      </c>
      <c r="E1590">
        <v>2</v>
      </c>
      <c r="F1590">
        <v>32</v>
      </c>
    </row>
    <row r="1591" spans="1:6" x14ac:dyDescent="0.2">
      <c r="A1591" t="str">
        <f t="shared" si="24"/>
        <v>Zizou32</v>
      </c>
      <c r="B1591">
        <v>6</v>
      </c>
      <c r="C1591" t="s">
        <v>504</v>
      </c>
      <c r="D1591">
        <v>0</v>
      </c>
      <c r="E1591">
        <v>1</v>
      </c>
      <c r="F1591">
        <v>32</v>
      </c>
    </row>
    <row r="1592" spans="1:6" x14ac:dyDescent="0.2">
      <c r="A1592" t="str">
        <f t="shared" si="24"/>
        <v>Magic Mykiss32</v>
      </c>
      <c r="B1592">
        <v>1</v>
      </c>
      <c r="C1592" t="s">
        <v>510</v>
      </c>
      <c r="D1592">
        <v>3</v>
      </c>
      <c r="E1592">
        <v>16</v>
      </c>
      <c r="F1592">
        <v>32</v>
      </c>
    </row>
    <row r="1593" spans="1:6" x14ac:dyDescent="0.2">
      <c r="A1593" t="str">
        <f t="shared" si="24"/>
        <v>Comment232</v>
      </c>
      <c r="B1593">
        <v>2</v>
      </c>
      <c r="C1593" t="s">
        <v>76</v>
      </c>
      <c r="D1593">
        <v>2</v>
      </c>
      <c r="E1593">
        <v>12</v>
      </c>
      <c r="F1593">
        <v>32</v>
      </c>
    </row>
    <row r="1594" spans="1:6" x14ac:dyDescent="0.2">
      <c r="A1594" t="str">
        <f t="shared" si="24"/>
        <v>Pyja32</v>
      </c>
      <c r="B1594">
        <v>3</v>
      </c>
      <c r="C1594" t="s">
        <v>6</v>
      </c>
      <c r="D1594">
        <v>0</v>
      </c>
      <c r="E1594">
        <v>8</v>
      </c>
      <c r="F1594">
        <v>32</v>
      </c>
    </row>
    <row r="1595" spans="1:6" x14ac:dyDescent="0.2">
      <c r="A1595" t="str">
        <f t="shared" si="24"/>
        <v>Jérôme32</v>
      </c>
      <c r="B1595">
        <v>4</v>
      </c>
      <c r="C1595" t="s">
        <v>46</v>
      </c>
      <c r="D1595">
        <v>0</v>
      </c>
      <c r="E1595">
        <v>4</v>
      </c>
      <c r="F1595">
        <v>32</v>
      </c>
    </row>
    <row r="1596" spans="1:6" x14ac:dyDescent="0.2">
      <c r="A1596" t="str">
        <f t="shared" si="24"/>
        <v>Ad Vitam32</v>
      </c>
      <c r="B1596">
        <v>5</v>
      </c>
      <c r="C1596" t="s">
        <v>66</v>
      </c>
      <c r="D1596">
        <v>0</v>
      </c>
      <c r="E1596">
        <v>2</v>
      </c>
      <c r="F1596">
        <v>32</v>
      </c>
    </row>
    <row r="1597" spans="1:6" x14ac:dyDescent="0.2">
      <c r="A1597" t="str">
        <f t="shared" si="24"/>
        <v>Zubbaz32</v>
      </c>
      <c r="B1597">
        <v>6</v>
      </c>
      <c r="C1597" t="s">
        <v>506</v>
      </c>
      <c r="D1597">
        <v>0</v>
      </c>
      <c r="E1597">
        <v>1</v>
      </c>
      <c r="F1597">
        <v>32</v>
      </c>
    </row>
    <row r="1598" spans="1:6" x14ac:dyDescent="0.2">
      <c r="A1598" t="str">
        <f t="shared" si="24"/>
        <v>Kheops32</v>
      </c>
      <c r="B1598">
        <v>1</v>
      </c>
      <c r="C1598" t="s">
        <v>500</v>
      </c>
      <c r="D1598">
        <v>3</v>
      </c>
      <c r="E1598">
        <v>15</v>
      </c>
      <c r="F1598">
        <v>32</v>
      </c>
    </row>
    <row r="1599" spans="1:6" x14ac:dyDescent="0.2">
      <c r="A1599" t="str">
        <f t="shared" si="24"/>
        <v>OlivierN9232</v>
      </c>
      <c r="B1599">
        <v>2</v>
      </c>
      <c r="C1599" t="s">
        <v>32</v>
      </c>
      <c r="D1599">
        <v>1</v>
      </c>
      <c r="E1599">
        <v>11</v>
      </c>
      <c r="F1599">
        <v>32</v>
      </c>
    </row>
    <row r="1600" spans="1:6" x14ac:dyDescent="0.2">
      <c r="A1600" t="str">
        <f t="shared" si="24"/>
        <v>ScoNix32</v>
      </c>
      <c r="B1600">
        <v>3</v>
      </c>
      <c r="C1600" t="s">
        <v>554</v>
      </c>
      <c r="D1600">
        <v>0</v>
      </c>
      <c r="E1600">
        <v>7</v>
      </c>
      <c r="F1600">
        <v>32</v>
      </c>
    </row>
    <row r="1601" spans="1:6" x14ac:dyDescent="0.2">
      <c r="A1601" t="str">
        <f t="shared" si="24"/>
        <v>Ramm32</v>
      </c>
      <c r="B1601">
        <v>4</v>
      </c>
      <c r="C1601" t="s">
        <v>14</v>
      </c>
      <c r="D1601">
        <v>0</v>
      </c>
      <c r="E1601">
        <v>3</v>
      </c>
      <c r="F1601">
        <v>32</v>
      </c>
    </row>
    <row r="1602" spans="1:6" x14ac:dyDescent="0.2">
      <c r="A1602" t="str">
        <f t="shared" ref="A1602:A1656" si="25">C1602&amp;F1602</f>
        <v>La Bavure32</v>
      </c>
      <c r="B1602">
        <v>5</v>
      </c>
      <c r="C1602" t="s">
        <v>475</v>
      </c>
      <c r="D1602">
        <v>0</v>
      </c>
      <c r="E1602">
        <v>1</v>
      </c>
      <c r="F1602">
        <v>32</v>
      </c>
    </row>
    <row r="1603" spans="1:6" x14ac:dyDescent="0.2">
      <c r="A1603" t="str">
        <f t="shared" si="25"/>
        <v>K132</v>
      </c>
      <c r="B1603">
        <v>1</v>
      </c>
      <c r="C1603" t="s">
        <v>9</v>
      </c>
      <c r="D1603">
        <v>5</v>
      </c>
      <c r="E1603">
        <v>16</v>
      </c>
      <c r="F1603">
        <v>32</v>
      </c>
    </row>
    <row r="1604" spans="1:6" x14ac:dyDescent="0.2">
      <c r="A1604" t="str">
        <f t="shared" si="25"/>
        <v>Snake170232</v>
      </c>
      <c r="B1604">
        <v>2</v>
      </c>
      <c r="C1604" t="s">
        <v>552</v>
      </c>
      <c r="D1604">
        <v>0</v>
      </c>
      <c r="E1604">
        <v>12</v>
      </c>
      <c r="F1604">
        <v>32</v>
      </c>
    </row>
    <row r="1605" spans="1:6" x14ac:dyDescent="0.2">
      <c r="A1605" t="str">
        <f t="shared" si="25"/>
        <v>Bounette32</v>
      </c>
      <c r="B1605">
        <v>3</v>
      </c>
      <c r="C1605" t="s">
        <v>55</v>
      </c>
      <c r="D1605">
        <v>0</v>
      </c>
      <c r="E1605">
        <v>8</v>
      </c>
      <c r="F1605">
        <v>32</v>
      </c>
    </row>
    <row r="1606" spans="1:6" x14ac:dyDescent="0.2">
      <c r="A1606" t="str">
        <f t="shared" si="25"/>
        <v>Carmin32</v>
      </c>
      <c r="B1606">
        <v>4</v>
      </c>
      <c r="C1606" t="s">
        <v>21</v>
      </c>
      <c r="D1606">
        <v>0</v>
      </c>
      <c r="E1606">
        <v>4</v>
      </c>
      <c r="F1606">
        <v>32</v>
      </c>
    </row>
    <row r="1607" spans="1:6" x14ac:dyDescent="0.2">
      <c r="A1607" t="str">
        <f t="shared" si="25"/>
        <v>Ankolos32</v>
      </c>
      <c r="B1607">
        <v>5</v>
      </c>
      <c r="C1607" t="s">
        <v>556</v>
      </c>
      <c r="D1607">
        <v>0</v>
      </c>
      <c r="E1607">
        <v>2</v>
      </c>
      <c r="F1607">
        <v>32</v>
      </c>
    </row>
    <row r="1608" spans="1:6" x14ac:dyDescent="0.2">
      <c r="A1608" t="str">
        <f t="shared" si="25"/>
        <v>Yaltar32</v>
      </c>
      <c r="B1608">
        <v>6</v>
      </c>
      <c r="C1608" t="s">
        <v>503</v>
      </c>
      <c r="D1608">
        <v>0</v>
      </c>
      <c r="E1608">
        <v>1</v>
      </c>
      <c r="F1608">
        <v>32</v>
      </c>
    </row>
    <row r="1609" spans="1:6" x14ac:dyDescent="0.2">
      <c r="A1609" t="str">
        <f t="shared" si="25"/>
        <v>Kri-lin33</v>
      </c>
      <c r="B1609">
        <v>1</v>
      </c>
      <c r="C1609" t="s">
        <v>61</v>
      </c>
      <c r="D1609">
        <v>2</v>
      </c>
      <c r="E1609">
        <v>16</v>
      </c>
      <c r="F1609">
        <v>33</v>
      </c>
    </row>
    <row r="1610" spans="1:6" x14ac:dyDescent="0.2">
      <c r="A1610" t="str">
        <f t="shared" si="25"/>
        <v>Comment233</v>
      </c>
      <c r="B1610">
        <v>2</v>
      </c>
      <c r="C1610" t="s">
        <v>76</v>
      </c>
      <c r="D1610">
        <v>3</v>
      </c>
      <c r="E1610">
        <v>12</v>
      </c>
      <c r="F1610">
        <v>33</v>
      </c>
    </row>
    <row r="1611" spans="1:6" x14ac:dyDescent="0.2">
      <c r="A1611" t="str">
        <f t="shared" si="25"/>
        <v>ScoNix33</v>
      </c>
      <c r="B1611">
        <v>3</v>
      </c>
      <c r="C1611" t="s">
        <v>554</v>
      </c>
      <c r="D1611">
        <v>0</v>
      </c>
      <c r="E1611">
        <v>8</v>
      </c>
      <c r="F1611">
        <v>33</v>
      </c>
    </row>
    <row r="1612" spans="1:6" x14ac:dyDescent="0.2">
      <c r="A1612" t="str">
        <f t="shared" si="25"/>
        <v>JeanMichelTiming33</v>
      </c>
      <c r="B1612">
        <v>4</v>
      </c>
      <c r="C1612" t="s">
        <v>35</v>
      </c>
      <c r="D1612">
        <v>0</v>
      </c>
      <c r="E1612">
        <v>4</v>
      </c>
      <c r="F1612">
        <v>33</v>
      </c>
    </row>
    <row r="1613" spans="1:6" x14ac:dyDescent="0.2">
      <c r="A1613" t="str">
        <f t="shared" si="25"/>
        <v>Claudius33</v>
      </c>
      <c r="B1613">
        <v>5</v>
      </c>
      <c r="C1613" t="s">
        <v>25</v>
      </c>
      <c r="D1613">
        <v>0</v>
      </c>
      <c r="E1613">
        <v>2</v>
      </c>
      <c r="F1613">
        <v>33</v>
      </c>
    </row>
    <row r="1614" spans="1:6" x14ac:dyDescent="0.2">
      <c r="A1614" t="str">
        <f t="shared" si="25"/>
        <v>Kewen33</v>
      </c>
      <c r="B1614">
        <v>6</v>
      </c>
      <c r="C1614" t="s">
        <v>559</v>
      </c>
      <c r="D1614">
        <v>0</v>
      </c>
      <c r="E1614">
        <v>1</v>
      </c>
      <c r="F1614">
        <v>33</v>
      </c>
    </row>
    <row r="1615" spans="1:6" x14ac:dyDescent="0.2">
      <c r="A1615" t="str">
        <f t="shared" si="25"/>
        <v>TheRealWill33</v>
      </c>
      <c r="B1615">
        <v>1</v>
      </c>
      <c r="C1615" t="s">
        <v>535</v>
      </c>
      <c r="D1615">
        <v>3</v>
      </c>
      <c r="E1615">
        <v>16</v>
      </c>
      <c r="F1615">
        <v>33</v>
      </c>
    </row>
    <row r="1616" spans="1:6" x14ac:dyDescent="0.2">
      <c r="A1616" t="str">
        <f t="shared" si="25"/>
        <v>Jérôme33</v>
      </c>
      <c r="B1616">
        <v>2</v>
      </c>
      <c r="C1616" t="s">
        <v>46</v>
      </c>
      <c r="D1616">
        <v>2</v>
      </c>
      <c r="E1616">
        <v>12</v>
      </c>
      <c r="F1616">
        <v>33</v>
      </c>
    </row>
    <row r="1617" spans="1:6" x14ac:dyDescent="0.2">
      <c r="A1617" t="str">
        <f t="shared" si="25"/>
        <v>Ramm33</v>
      </c>
      <c r="B1617">
        <v>3</v>
      </c>
      <c r="C1617" t="s">
        <v>14</v>
      </c>
      <c r="D1617">
        <v>0</v>
      </c>
      <c r="E1617">
        <v>8</v>
      </c>
      <c r="F1617">
        <v>33</v>
      </c>
    </row>
    <row r="1618" spans="1:6" x14ac:dyDescent="0.2">
      <c r="A1618" t="str">
        <f t="shared" si="25"/>
        <v>PatB33</v>
      </c>
      <c r="B1618">
        <v>4</v>
      </c>
      <c r="C1618" t="s">
        <v>74</v>
      </c>
      <c r="D1618">
        <v>0</v>
      </c>
      <c r="E1618">
        <v>4</v>
      </c>
      <c r="F1618">
        <v>33</v>
      </c>
    </row>
    <row r="1619" spans="1:6" x14ac:dyDescent="0.2">
      <c r="A1619" t="str">
        <f t="shared" si="25"/>
        <v>Giobeck33</v>
      </c>
      <c r="B1619">
        <v>5</v>
      </c>
      <c r="C1619" t="s">
        <v>19</v>
      </c>
      <c r="D1619">
        <v>0</v>
      </c>
      <c r="E1619">
        <v>2</v>
      </c>
      <c r="F1619">
        <v>33</v>
      </c>
    </row>
    <row r="1620" spans="1:6" x14ac:dyDescent="0.2">
      <c r="A1620" t="str">
        <f t="shared" si="25"/>
        <v>Solucky33</v>
      </c>
      <c r="B1620">
        <v>6</v>
      </c>
      <c r="C1620" t="s">
        <v>485</v>
      </c>
      <c r="D1620">
        <v>0</v>
      </c>
      <c r="E1620">
        <v>1</v>
      </c>
      <c r="F1620">
        <v>33</v>
      </c>
    </row>
    <row r="1621" spans="1:6" x14ac:dyDescent="0.2">
      <c r="A1621" t="str">
        <f t="shared" si="25"/>
        <v>Losogre33</v>
      </c>
      <c r="B1621">
        <v>1</v>
      </c>
      <c r="C1621" t="s">
        <v>507</v>
      </c>
      <c r="D1621">
        <v>3</v>
      </c>
      <c r="E1621">
        <v>16</v>
      </c>
      <c r="F1621">
        <v>33</v>
      </c>
    </row>
    <row r="1622" spans="1:6" x14ac:dyDescent="0.2">
      <c r="A1622" t="str">
        <f t="shared" si="25"/>
        <v>Delgres33</v>
      </c>
      <c r="B1622">
        <v>2</v>
      </c>
      <c r="C1622" t="s">
        <v>280</v>
      </c>
      <c r="D1622">
        <v>0</v>
      </c>
      <c r="E1622">
        <v>12</v>
      </c>
      <c r="F1622">
        <v>33</v>
      </c>
    </row>
    <row r="1623" spans="1:6" x14ac:dyDescent="0.2">
      <c r="A1623" t="str">
        <f t="shared" si="25"/>
        <v>JC33</v>
      </c>
      <c r="B1623">
        <v>3</v>
      </c>
      <c r="C1623" t="s">
        <v>534</v>
      </c>
      <c r="D1623">
        <v>0</v>
      </c>
      <c r="E1623">
        <v>8</v>
      </c>
      <c r="F1623">
        <v>33</v>
      </c>
    </row>
    <row r="1624" spans="1:6" x14ac:dyDescent="0.2">
      <c r="A1624" t="str">
        <f t="shared" si="25"/>
        <v>Ouais ouais33</v>
      </c>
      <c r="B1624">
        <v>4</v>
      </c>
      <c r="C1624" t="s">
        <v>533</v>
      </c>
      <c r="D1624">
        <v>2</v>
      </c>
      <c r="E1624">
        <v>4</v>
      </c>
      <c r="F1624">
        <v>33</v>
      </c>
    </row>
    <row r="1625" spans="1:6" x14ac:dyDescent="0.2">
      <c r="A1625" t="str">
        <f t="shared" si="25"/>
        <v>La Bavure33</v>
      </c>
      <c r="B1625">
        <v>5</v>
      </c>
      <c r="C1625" t="s">
        <v>475</v>
      </c>
      <c r="D1625">
        <v>0</v>
      </c>
      <c r="E1625">
        <v>2</v>
      </c>
      <c r="F1625">
        <v>33</v>
      </c>
    </row>
    <row r="1626" spans="1:6" x14ac:dyDescent="0.2">
      <c r="A1626" t="str">
        <f t="shared" si="25"/>
        <v>Rockatou33</v>
      </c>
      <c r="B1626">
        <v>6</v>
      </c>
      <c r="C1626" t="s">
        <v>493</v>
      </c>
      <c r="D1626">
        <v>0</v>
      </c>
      <c r="E1626">
        <v>1</v>
      </c>
      <c r="F1626">
        <v>33</v>
      </c>
    </row>
    <row r="1627" spans="1:6" x14ac:dyDescent="0.2">
      <c r="A1627" t="str">
        <f t="shared" si="25"/>
        <v>K133</v>
      </c>
      <c r="B1627">
        <v>1</v>
      </c>
      <c r="C1627" t="s">
        <v>9</v>
      </c>
      <c r="D1627">
        <v>3</v>
      </c>
      <c r="E1627">
        <v>16</v>
      </c>
      <c r="F1627">
        <v>33</v>
      </c>
    </row>
    <row r="1628" spans="1:6" x14ac:dyDescent="0.2">
      <c r="A1628" t="str">
        <f t="shared" si="25"/>
        <v>OlivierN9233</v>
      </c>
      <c r="B1628">
        <v>2</v>
      </c>
      <c r="C1628" t="s">
        <v>32</v>
      </c>
      <c r="D1628">
        <v>1</v>
      </c>
      <c r="E1628">
        <v>12</v>
      </c>
      <c r="F1628">
        <v>33</v>
      </c>
    </row>
    <row r="1629" spans="1:6" x14ac:dyDescent="0.2">
      <c r="A1629" t="str">
        <f t="shared" si="25"/>
        <v>Carmin33</v>
      </c>
      <c r="B1629">
        <v>3</v>
      </c>
      <c r="C1629" t="s">
        <v>21</v>
      </c>
      <c r="D1629">
        <v>1</v>
      </c>
      <c r="E1629">
        <v>8</v>
      </c>
      <c r="F1629">
        <v>33</v>
      </c>
    </row>
    <row r="1630" spans="1:6" x14ac:dyDescent="0.2">
      <c r="A1630" t="str">
        <f t="shared" si="25"/>
        <v>Djecus33</v>
      </c>
      <c r="B1630">
        <v>4</v>
      </c>
      <c r="C1630" t="s">
        <v>461</v>
      </c>
      <c r="D1630">
        <v>0</v>
      </c>
      <c r="E1630">
        <v>4</v>
      </c>
      <c r="F1630">
        <v>33</v>
      </c>
    </row>
    <row r="1631" spans="1:6" x14ac:dyDescent="0.2">
      <c r="A1631" t="str">
        <f t="shared" si="25"/>
        <v>Catherine33</v>
      </c>
      <c r="B1631">
        <v>5</v>
      </c>
      <c r="C1631" t="s">
        <v>69</v>
      </c>
      <c r="D1631">
        <v>0</v>
      </c>
      <c r="E1631">
        <v>2</v>
      </c>
      <c r="F1631">
        <v>33</v>
      </c>
    </row>
    <row r="1632" spans="1:6" x14ac:dyDescent="0.2">
      <c r="A1632" t="str">
        <f t="shared" si="25"/>
        <v>MegaSouche33</v>
      </c>
      <c r="B1632">
        <v>6</v>
      </c>
      <c r="C1632" t="s">
        <v>476</v>
      </c>
      <c r="D1632">
        <v>0</v>
      </c>
      <c r="E1632">
        <v>1</v>
      </c>
      <c r="F1632">
        <v>33</v>
      </c>
    </row>
    <row r="1633" spans="1:6" x14ac:dyDescent="0.2">
      <c r="A1633" t="str">
        <f t="shared" si="25"/>
        <v>Gibouille33</v>
      </c>
      <c r="B1633">
        <v>1</v>
      </c>
      <c r="C1633" t="s">
        <v>509</v>
      </c>
      <c r="D1633">
        <v>4</v>
      </c>
      <c r="E1633">
        <v>16</v>
      </c>
      <c r="F1633">
        <v>33</v>
      </c>
    </row>
    <row r="1634" spans="1:6" x14ac:dyDescent="0.2">
      <c r="A1634" t="str">
        <f t="shared" si="25"/>
        <v>Bounette33</v>
      </c>
      <c r="B1634">
        <v>2</v>
      </c>
      <c r="C1634" t="s">
        <v>55</v>
      </c>
      <c r="D1634">
        <v>1</v>
      </c>
      <c r="E1634">
        <v>12</v>
      </c>
      <c r="F1634">
        <v>33</v>
      </c>
    </row>
    <row r="1635" spans="1:6" x14ac:dyDescent="0.2">
      <c r="A1635" t="str">
        <f t="shared" si="25"/>
        <v>Light33</v>
      </c>
      <c r="B1635">
        <v>3</v>
      </c>
      <c r="C1635" t="s">
        <v>558</v>
      </c>
      <c r="D1635">
        <v>0</v>
      </c>
      <c r="E1635">
        <v>8</v>
      </c>
      <c r="F1635">
        <v>33</v>
      </c>
    </row>
    <row r="1636" spans="1:6" x14ac:dyDescent="0.2">
      <c r="A1636" t="str">
        <f t="shared" si="25"/>
        <v>Michelbey33</v>
      </c>
      <c r="B1636">
        <v>4</v>
      </c>
      <c r="C1636" t="s">
        <v>75</v>
      </c>
      <c r="D1636">
        <v>0</v>
      </c>
      <c r="E1636">
        <v>4</v>
      </c>
      <c r="F1636">
        <v>33</v>
      </c>
    </row>
    <row r="1637" spans="1:6" x14ac:dyDescent="0.2">
      <c r="A1637" t="str">
        <f t="shared" si="25"/>
        <v>Salender33</v>
      </c>
      <c r="B1637">
        <v>5</v>
      </c>
      <c r="C1637" t="s">
        <v>479</v>
      </c>
      <c r="D1637">
        <v>0</v>
      </c>
      <c r="E1637">
        <v>2</v>
      </c>
      <c r="F1637">
        <v>33</v>
      </c>
    </row>
    <row r="1638" spans="1:6" x14ac:dyDescent="0.2">
      <c r="A1638" t="str">
        <f t="shared" si="25"/>
        <v>Fishtro33</v>
      </c>
      <c r="B1638">
        <v>6</v>
      </c>
      <c r="C1638" t="s">
        <v>512</v>
      </c>
      <c r="D1638">
        <v>0</v>
      </c>
      <c r="E1638">
        <v>1</v>
      </c>
      <c r="F1638">
        <v>33</v>
      </c>
    </row>
    <row r="1639" spans="1:6" x14ac:dyDescent="0.2">
      <c r="A1639" t="str">
        <f t="shared" si="25"/>
        <v>Ripolin33</v>
      </c>
      <c r="B1639">
        <v>1</v>
      </c>
      <c r="C1639" t="s">
        <v>65</v>
      </c>
      <c r="D1639">
        <v>3</v>
      </c>
      <c r="E1639">
        <v>16</v>
      </c>
      <c r="F1639">
        <v>33</v>
      </c>
    </row>
    <row r="1640" spans="1:6" x14ac:dyDescent="0.2">
      <c r="A1640" t="str">
        <f t="shared" si="25"/>
        <v>Ad Vitam33</v>
      </c>
      <c r="B1640">
        <v>2</v>
      </c>
      <c r="C1640" t="s">
        <v>66</v>
      </c>
      <c r="D1640">
        <v>0</v>
      </c>
      <c r="E1640">
        <v>12</v>
      </c>
      <c r="F1640">
        <v>33</v>
      </c>
    </row>
    <row r="1641" spans="1:6" x14ac:dyDescent="0.2">
      <c r="A1641" t="str">
        <f t="shared" si="25"/>
        <v>Madridal33</v>
      </c>
      <c r="B1641">
        <v>3</v>
      </c>
      <c r="C1641" t="s">
        <v>557</v>
      </c>
      <c r="D1641">
        <v>2</v>
      </c>
      <c r="E1641">
        <v>8</v>
      </c>
      <c r="F1641">
        <v>33</v>
      </c>
    </row>
    <row r="1642" spans="1:6" x14ac:dyDescent="0.2">
      <c r="A1642" t="str">
        <f t="shared" si="25"/>
        <v>Mams33</v>
      </c>
      <c r="B1642">
        <v>4</v>
      </c>
      <c r="C1642" t="s">
        <v>505</v>
      </c>
      <c r="D1642">
        <v>0</v>
      </c>
      <c r="E1642">
        <v>4</v>
      </c>
      <c r="F1642">
        <v>33</v>
      </c>
    </row>
    <row r="1643" spans="1:6" x14ac:dyDescent="0.2">
      <c r="A1643" t="str">
        <f t="shared" si="25"/>
        <v>Thibaultp7533</v>
      </c>
      <c r="B1643">
        <v>5</v>
      </c>
      <c r="C1643" t="s">
        <v>345</v>
      </c>
      <c r="D1643">
        <v>0</v>
      </c>
      <c r="E1643">
        <v>2</v>
      </c>
      <c r="F1643">
        <v>33</v>
      </c>
    </row>
    <row r="1644" spans="1:6" x14ac:dyDescent="0.2">
      <c r="A1644" t="str">
        <f t="shared" si="25"/>
        <v>Yroz33</v>
      </c>
      <c r="B1644">
        <v>6</v>
      </c>
      <c r="C1644" t="s">
        <v>526</v>
      </c>
      <c r="D1644">
        <v>0</v>
      </c>
      <c r="E1644">
        <v>1</v>
      </c>
      <c r="F1644">
        <v>33</v>
      </c>
    </row>
    <row r="1645" spans="1:6" x14ac:dyDescent="0.2">
      <c r="A1645" t="str">
        <f t="shared" si="25"/>
        <v>Tenko33</v>
      </c>
      <c r="B1645">
        <v>1</v>
      </c>
      <c r="C1645" t="s">
        <v>516</v>
      </c>
      <c r="D1645">
        <v>5</v>
      </c>
      <c r="E1645">
        <v>16</v>
      </c>
      <c r="F1645">
        <v>33</v>
      </c>
    </row>
    <row r="1646" spans="1:6" x14ac:dyDescent="0.2">
      <c r="A1646" t="str">
        <f t="shared" si="25"/>
        <v>Kheops33</v>
      </c>
      <c r="B1646">
        <v>2</v>
      </c>
      <c r="C1646" t="s">
        <v>500</v>
      </c>
      <c r="D1646">
        <v>0</v>
      </c>
      <c r="E1646">
        <v>12</v>
      </c>
      <c r="F1646">
        <v>33</v>
      </c>
    </row>
    <row r="1647" spans="1:6" x14ac:dyDescent="0.2">
      <c r="A1647" t="str">
        <f t="shared" si="25"/>
        <v>Zubbaz33</v>
      </c>
      <c r="B1647">
        <v>3</v>
      </c>
      <c r="C1647" t="s">
        <v>506</v>
      </c>
      <c r="D1647">
        <v>0</v>
      </c>
      <c r="E1647">
        <v>8</v>
      </c>
      <c r="F1647">
        <v>33</v>
      </c>
    </row>
    <row r="1648" spans="1:6" x14ac:dyDescent="0.2">
      <c r="A1648" t="str">
        <f t="shared" si="25"/>
        <v>Snake170233</v>
      </c>
      <c r="B1648">
        <v>4</v>
      </c>
      <c r="C1648" t="s">
        <v>552</v>
      </c>
      <c r="D1648">
        <v>0</v>
      </c>
      <c r="E1648">
        <v>4</v>
      </c>
      <c r="F1648">
        <v>33</v>
      </c>
    </row>
    <row r="1649" spans="1:6" x14ac:dyDescent="0.2">
      <c r="A1649" t="str">
        <f t="shared" si="25"/>
        <v>Claptou33</v>
      </c>
      <c r="B1649">
        <v>5</v>
      </c>
      <c r="C1649" t="s">
        <v>42</v>
      </c>
      <c r="D1649">
        <v>0</v>
      </c>
      <c r="E1649">
        <v>2</v>
      </c>
      <c r="F1649">
        <v>33</v>
      </c>
    </row>
    <row r="1650" spans="1:6" x14ac:dyDescent="0.2">
      <c r="A1650" t="str">
        <f t="shared" si="25"/>
        <v>Flem33</v>
      </c>
      <c r="B1650">
        <v>6</v>
      </c>
      <c r="C1650" t="s">
        <v>73</v>
      </c>
      <c r="D1650">
        <v>0</v>
      </c>
      <c r="E1650">
        <v>1</v>
      </c>
      <c r="F1650">
        <v>33</v>
      </c>
    </row>
    <row r="1651" spans="1:6" x14ac:dyDescent="0.2">
      <c r="A1651" t="str">
        <f t="shared" si="25"/>
        <v>Mandrake33</v>
      </c>
      <c r="B1651">
        <v>1</v>
      </c>
      <c r="C1651" t="s">
        <v>27</v>
      </c>
      <c r="D1651">
        <v>3</v>
      </c>
      <c r="E1651">
        <v>16</v>
      </c>
      <c r="F1651">
        <v>33</v>
      </c>
    </row>
    <row r="1652" spans="1:6" x14ac:dyDescent="0.2">
      <c r="A1652" t="str">
        <f t="shared" si="25"/>
        <v>Jaden33</v>
      </c>
      <c r="B1652">
        <v>2</v>
      </c>
      <c r="C1652" t="s">
        <v>521</v>
      </c>
      <c r="D1652">
        <v>2</v>
      </c>
      <c r="E1652">
        <v>12</v>
      </c>
      <c r="F1652">
        <v>33</v>
      </c>
    </row>
    <row r="1653" spans="1:6" x14ac:dyDescent="0.2">
      <c r="A1653" t="str">
        <f t="shared" si="25"/>
        <v>DernierPli33</v>
      </c>
      <c r="B1653">
        <v>3</v>
      </c>
      <c r="C1653" t="s">
        <v>490</v>
      </c>
      <c r="D1653">
        <v>0</v>
      </c>
      <c r="E1653">
        <v>8</v>
      </c>
      <c r="F1653">
        <v>33</v>
      </c>
    </row>
    <row r="1654" spans="1:6" x14ac:dyDescent="0.2">
      <c r="A1654" t="str">
        <f t="shared" si="25"/>
        <v>Poisson Pilote33</v>
      </c>
      <c r="B1654">
        <v>4</v>
      </c>
      <c r="C1654" t="s">
        <v>501</v>
      </c>
      <c r="D1654">
        <v>0</v>
      </c>
      <c r="E1654">
        <v>4</v>
      </c>
      <c r="F1654">
        <v>33</v>
      </c>
    </row>
    <row r="1655" spans="1:6" x14ac:dyDescent="0.2">
      <c r="A1655" t="str">
        <f t="shared" si="25"/>
        <v>Pyja33</v>
      </c>
      <c r="B1655">
        <v>5</v>
      </c>
      <c r="C1655" t="s">
        <v>6</v>
      </c>
      <c r="D1655">
        <v>0</v>
      </c>
      <c r="E1655">
        <v>2</v>
      </c>
      <c r="F1655">
        <v>33</v>
      </c>
    </row>
    <row r="1656" spans="1:6" x14ac:dyDescent="0.2">
      <c r="A1656" t="str">
        <f t="shared" si="25"/>
        <v>Zizou33</v>
      </c>
      <c r="B1656">
        <v>6</v>
      </c>
      <c r="C1656" t="s">
        <v>504</v>
      </c>
      <c r="D1656">
        <v>0</v>
      </c>
      <c r="E1656">
        <v>1</v>
      </c>
      <c r="F1656">
        <v>33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76625-EE8F-364F-804D-9BFB39CBE542}">
  <sheetPr codeName="Sheet17"/>
  <dimension ref="A1:AU111"/>
  <sheetViews>
    <sheetView topLeftCell="A102" zoomScale="91" zoomScaleNormal="91" workbookViewId="0">
      <selection activeCell="A107" sqref="A107"/>
    </sheetView>
  </sheetViews>
  <sheetFormatPr baseColWidth="10" defaultRowHeight="16" x14ac:dyDescent="0.2"/>
  <cols>
    <col min="1" max="1" width="17.6640625" bestFit="1" customWidth="1"/>
  </cols>
  <sheetData>
    <row r="1" spans="1:47" x14ac:dyDescent="0.2">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Q1">
        <v>1</v>
      </c>
      <c r="AR1">
        <v>2</v>
      </c>
      <c r="AS1">
        <v>3</v>
      </c>
      <c r="AU1" t="s">
        <v>445</v>
      </c>
    </row>
    <row r="2" spans="1:47" x14ac:dyDescent="0.2">
      <c r="A2" s="12" t="s">
        <v>66</v>
      </c>
      <c r="B2">
        <f>IF(ISNA(VLOOKUP($A2&amp;B$1,'For stats end Y DB'!$A:$G,2,0)),0,VLOOKUP($A2&amp;B$1,'For stats end Y DB'!$A:$G,2,0))</f>
        <v>6</v>
      </c>
      <c r="C2">
        <f>IF(ISNA(VLOOKUP($A2&amp;C$1,'For stats end Y DB'!$A:$G,2,0)),0,VLOOKUP($A2&amp;C$1,'For stats end Y DB'!$A:$G,2,0))</f>
        <v>0</v>
      </c>
      <c r="D2">
        <f>IF(ISNA(VLOOKUP($A2&amp;D$1,'For stats end Y DB'!$A:$G,2,0)),0,VLOOKUP($A2&amp;D$1,'For stats end Y DB'!$A:$G,2,0))</f>
        <v>1</v>
      </c>
      <c r="E2">
        <f>IF(ISNA(VLOOKUP($A2&amp;E$1,'For stats end Y DB'!$A:$G,2,0)),0,VLOOKUP($A2&amp;E$1,'For stats end Y DB'!$A:$G,2,0))</f>
        <v>2</v>
      </c>
      <c r="F2">
        <f>IF(ISNA(VLOOKUP($A2&amp;F$1,'For stats end Y DB'!$A:$G,2,0)),0,VLOOKUP($A2&amp;F$1,'For stats end Y DB'!$A:$G,2,0))</f>
        <v>6</v>
      </c>
      <c r="G2">
        <f>IF(ISNA(VLOOKUP($A2&amp;G$1,'For stats end Y DB'!$A:$G,2,0)),0,VLOOKUP($A2&amp;G$1,'For stats end Y DB'!$A:$G,2,0))</f>
        <v>1</v>
      </c>
      <c r="H2">
        <f>IF(ISNA(VLOOKUP($A2&amp;H$1,'For stats end Y DB'!$A:$G,2,0)),0,VLOOKUP($A2&amp;H$1,'For stats end Y DB'!$A:$G,2,0))</f>
        <v>1</v>
      </c>
      <c r="I2">
        <f>IF(ISNA(VLOOKUP($A2&amp;I$1,'For stats end Y DB'!$A:$G,2,0)),0,VLOOKUP($A2&amp;I$1,'For stats end Y DB'!$A:$G,2,0))</f>
        <v>6</v>
      </c>
      <c r="J2">
        <f>IF(ISNA(VLOOKUP($A2&amp;J$1,'For stats end Y DB'!$A:$G,2,0)),0,VLOOKUP($A2&amp;J$1,'For stats end Y DB'!$A:$G,2,0))</f>
        <v>6</v>
      </c>
      <c r="K2">
        <f>IF(ISNA(VLOOKUP($A2&amp;K$1,'For stats end Y DB'!$A:$G,2,0)),0,VLOOKUP($A2&amp;K$1,'For stats end Y DB'!$A:$G,2,0))</f>
        <v>3</v>
      </c>
      <c r="L2">
        <f>IF(ISNA(VLOOKUP($A2&amp;L$1,'For stats end Y DB'!$A:$G,2,0)),0,VLOOKUP($A2&amp;L$1,'For stats end Y DB'!$A:$G,2,0))</f>
        <v>3</v>
      </c>
      <c r="M2">
        <f>IF(ISNA(VLOOKUP($A2&amp;M$1,'For stats end Y DB'!$A:$G,2,0)),0,VLOOKUP($A2&amp;M$1,'For stats end Y DB'!$A:$G,2,0))</f>
        <v>2</v>
      </c>
      <c r="N2">
        <f>IF(ISNA(VLOOKUP($A2&amp;N$1,'For stats end Y DB'!$A:$G,2,0)),0,VLOOKUP($A2&amp;N$1,'For stats end Y DB'!$A:$G,2,0))</f>
        <v>2</v>
      </c>
      <c r="O2">
        <f>IF(ISNA(VLOOKUP($A2&amp;O$1,'For stats end Y DB'!$A:$G,2,0)),0,VLOOKUP($A2&amp;O$1,'For stats end Y DB'!$A:$G,2,0))</f>
        <v>0</v>
      </c>
      <c r="P2">
        <f>IF(ISNA(VLOOKUP($A2&amp;P$1,'For stats end Y DB'!$A:$G,2,0)),0,VLOOKUP($A2&amp;P$1,'For stats end Y DB'!$A:$G,2,0))</f>
        <v>1</v>
      </c>
      <c r="Q2">
        <f>IF(ISNA(VLOOKUP($A2&amp;Q$1,'For stats end Y DB'!$A:$G,2,0)),0,VLOOKUP($A2&amp;Q$1,'For stats end Y DB'!$A:$G,2,0))</f>
        <v>2</v>
      </c>
      <c r="R2">
        <f>IF(ISNA(VLOOKUP($A2&amp;R$1,'For stats end Y DB'!$A:$G,2,0)),0,VLOOKUP($A2&amp;R$1,'For stats end Y DB'!$A:$G,2,0))</f>
        <v>2</v>
      </c>
      <c r="S2">
        <f>IF(ISNA(VLOOKUP($A2&amp;S$1,'For stats end Y DB'!$A:$G,2,0)),0,VLOOKUP($A2&amp;S$1,'For stats end Y DB'!$A:$G,2,0))</f>
        <v>3</v>
      </c>
      <c r="T2">
        <f>IF(ISNA(VLOOKUP($A2&amp;T$1,'For stats end Y DB'!$A:$G,2,0)),0,VLOOKUP($A2&amp;T$1,'For stats end Y DB'!$A:$G,2,0))</f>
        <v>1</v>
      </c>
      <c r="U2">
        <f>IF(ISNA(VLOOKUP($A2&amp;U$1,'For stats end Y DB'!$A:$G,2,0)),0,VLOOKUP($A2&amp;U$1,'For stats end Y DB'!$A:$G,2,0))</f>
        <v>1</v>
      </c>
      <c r="V2">
        <f>IF(ISNA(VLOOKUP($A2&amp;V$1,'For stats end Y DB'!$A:$G,2,0)),0,VLOOKUP($A2&amp;V$1,'For stats end Y DB'!$A:$G,2,0))</f>
        <v>1</v>
      </c>
      <c r="W2">
        <f>IF(ISNA(VLOOKUP($A2&amp;W$1,'For stats end Y DB'!$A:$G,2,0)),0,VLOOKUP($A2&amp;W$1,'For stats end Y DB'!$A:$G,2,0))</f>
        <v>7</v>
      </c>
      <c r="X2">
        <f>IF(ISNA(VLOOKUP($A2&amp;X$1,'For stats end Y DB'!$A:$G,2,0)),0,VLOOKUP($A2&amp;X$1,'For stats end Y DB'!$A:$G,2,0))</f>
        <v>1</v>
      </c>
      <c r="Y2">
        <f>IF(ISNA(VLOOKUP($A2&amp;Y$1,'For stats end Y DB'!$A:$G,2,0)),0,VLOOKUP($A2&amp;Y$1,'For stats end Y DB'!$A:$G,2,0))</f>
        <v>7</v>
      </c>
      <c r="Z2">
        <f>IF(ISNA(VLOOKUP($A2&amp;Z$1,'For stats end Y DB'!$A:$G,2,0)),0,VLOOKUP($A2&amp;Z$1,'For stats end Y DB'!$A:$G,2,0))</f>
        <v>2</v>
      </c>
      <c r="AA2">
        <f>IF(ISNA(VLOOKUP($A2&amp;AA$1,'For stats end Y DB'!$A:$G,2,0)),0,VLOOKUP($A2&amp;AA$1,'For stats end Y DB'!$A:$G,2,0))</f>
        <v>5</v>
      </c>
      <c r="AB2">
        <f>IF(ISNA(VLOOKUP($A2&amp;AB$1,'For stats end Y DB'!$A:$G,2,0)),0,VLOOKUP($A2&amp;AB$1,'For stats end Y DB'!$A:$G,2,0))</f>
        <v>2</v>
      </c>
      <c r="AC2">
        <f>IF(ISNA(VLOOKUP($A2&amp;AC$1,'For stats end Y DB'!$A:$G,2,0)),0,VLOOKUP($A2&amp;AC$1,'For stats end Y DB'!$A:$G,2,0))</f>
        <v>2</v>
      </c>
      <c r="AD2">
        <f>IF(ISNA(VLOOKUP($A2&amp;AD$1,'For stats end Y DB'!$A:$G,2,0)),0,VLOOKUP($A2&amp;AD$1,'For stats end Y DB'!$A:$G,2,0))</f>
        <v>2</v>
      </c>
      <c r="AE2">
        <f>IF(ISNA(VLOOKUP($A2&amp;AE$1,'For stats end Y DB'!$A:$G,2,0)),0,VLOOKUP($A2&amp;AE$1,'For stats end Y DB'!$A:$G,2,0))</f>
        <v>4</v>
      </c>
      <c r="AF2">
        <f>IF(ISNA(VLOOKUP($A2&amp;AF$1,'For stats end Y DB'!$A:$G,2,0)),0,VLOOKUP($A2&amp;AF$1,'For stats end Y DB'!$A:$G,2,0))</f>
        <v>5</v>
      </c>
      <c r="AG2">
        <f>IF(ISNA(VLOOKUP($A2&amp;AG$1,'For stats end Y DB'!$A:$G,2,0)),0,VLOOKUP($A2&amp;AG$1,'For stats end Y DB'!$A:$G,2,0))</f>
        <v>5</v>
      </c>
      <c r="AH2">
        <f>IF(ISNA(VLOOKUP($A2&amp;AH$1,'For stats end Y DB'!$A:$G,2,0)),0,VLOOKUP($A2&amp;AH$1,'For stats end Y DB'!$A:$G,2,0))</f>
        <v>2</v>
      </c>
      <c r="AI2">
        <f>IF(ISNA(VLOOKUP($A2&amp;AI$1,'For stats end Y DB'!$A:$G,2,0)),0,VLOOKUP($A2&amp;AI$1,'For stats end Y DB'!$A:$G,2,0))</f>
        <v>0</v>
      </c>
      <c r="AJ2">
        <f>IF(ISNA(VLOOKUP($A2&amp;AJ$1,'For stats end Y DB'!$A:$G,2,0)),0,VLOOKUP($A2&amp;AJ$1,'For stats end Y DB'!$A:$G,2,0))</f>
        <v>0</v>
      </c>
      <c r="AK2">
        <f>IF(ISNA(VLOOKUP($A2&amp;AK$1,'For stats end Y DB'!$A:$G,2,0)),0,VLOOKUP($A2&amp;AK$1,'For stats end Y DB'!$A:$G,2,0))</f>
        <v>0</v>
      </c>
      <c r="AL2">
        <f>IF(ISNA(VLOOKUP($A2&amp;AL$1,'For stats end Y DB'!$A:$G,2,0)),0,VLOOKUP($A2&amp;AL$1,'For stats end Y DB'!$A:$G,2,0))</f>
        <v>0</v>
      </c>
      <c r="AM2">
        <f>IF(ISNA(VLOOKUP($A2&amp;AM$1,'For stats end Y DB'!$A:$G,2,0)),0,VLOOKUP($A2&amp;AM$1,'For stats end Y DB'!$A:$G,2,0))</f>
        <v>0</v>
      </c>
      <c r="AN2">
        <f>IF(ISNA(VLOOKUP($A2&amp;AN$1,'For stats end Y DB'!$A:$G,2,0)),0,VLOOKUP($A2&amp;AN$1,'For stats end Y DB'!$A:$G,2,0))</f>
        <v>0</v>
      </c>
      <c r="AP2" t="str">
        <f>A2</f>
        <v>Ad Vitam</v>
      </c>
      <c r="AQ2">
        <f>COUNTIF($B2:$AN2,AQ$1)</f>
        <v>8</v>
      </c>
      <c r="AR2">
        <f t="shared" ref="AR2:AS17" si="0">COUNTIF($B2:$AN2,AR$1)</f>
        <v>10</v>
      </c>
      <c r="AS2">
        <f t="shared" si="0"/>
        <v>3</v>
      </c>
      <c r="AT2" s="9">
        <f t="shared" ref="AT2:AT37" si="1">IF((AQ2+AR2)&gt;10,AQ2/(AQ2+AR2),0)</f>
        <v>0.44444444444444442</v>
      </c>
      <c r="AU2">
        <f t="shared" ref="AU2:AU65" si="2">COUNTIF(B2:AN2,"&lt;&gt;0")</f>
        <v>31</v>
      </c>
    </row>
    <row r="3" spans="1:47" x14ac:dyDescent="0.2">
      <c r="A3" s="12" t="s">
        <v>536</v>
      </c>
      <c r="B3">
        <f>IF(ISNA(VLOOKUP($A3&amp;B$1,'For stats end Y DB'!$A:$G,2,0)),0,VLOOKUP($A3&amp;B$1,'For stats end Y DB'!$A:$G,2,0))</f>
        <v>0</v>
      </c>
      <c r="C3">
        <f>IF(ISNA(VLOOKUP($A3&amp;C$1,'For stats end Y DB'!$A:$G,2,0)),0,VLOOKUP($A3&amp;C$1,'For stats end Y DB'!$A:$G,2,0))</f>
        <v>0</v>
      </c>
      <c r="D3">
        <f>IF(ISNA(VLOOKUP($A3&amp;D$1,'For stats end Y DB'!$A:$G,2,0)),0,VLOOKUP($A3&amp;D$1,'For stats end Y DB'!$A:$G,2,0))</f>
        <v>0</v>
      </c>
      <c r="E3">
        <f>IF(ISNA(VLOOKUP($A3&amp;E$1,'For stats end Y DB'!$A:$G,2,0)),0,VLOOKUP($A3&amp;E$1,'For stats end Y DB'!$A:$G,2,0))</f>
        <v>0</v>
      </c>
      <c r="F3">
        <f>IF(ISNA(VLOOKUP($A3&amp;F$1,'For stats end Y DB'!$A:$G,2,0)),0,VLOOKUP($A3&amp;F$1,'For stats end Y DB'!$A:$G,2,0))</f>
        <v>0</v>
      </c>
      <c r="G3">
        <f>IF(ISNA(VLOOKUP($A3&amp;G$1,'For stats end Y DB'!$A:$G,2,0)),0,VLOOKUP($A3&amp;G$1,'For stats end Y DB'!$A:$G,2,0))</f>
        <v>4</v>
      </c>
      <c r="H3">
        <f>IF(ISNA(VLOOKUP($A3&amp;H$1,'For stats end Y DB'!$A:$G,2,0)),0,VLOOKUP($A3&amp;H$1,'For stats end Y DB'!$A:$G,2,0))</f>
        <v>3</v>
      </c>
      <c r="I3">
        <f>IF(ISNA(VLOOKUP($A3&amp;I$1,'For stats end Y DB'!$A:$G,2,0)),0,VLOOKUP($A3&amp;I$1,'For stats end Y DB'!$A:$G,2,0))</f>
        <v>6</v>
      </c>
      <c r="J3">
        <f>IF(ISNA(VLOOKUP($A3&amp;J$1,'For stats end Y DB'!$A:$G,2,0)),0,VLOOKUP($A3&amp;J$1,'For stats end Y DB'!$A:$G,2,0))</f>
        <v>0</v>
      </c>
      <c r="K3">
        <f>IF(ISNA(VLOOKUP($A3&amp;K$1,'For stats end Y DB'!$A:$G,2,0)),0,VLOOKUP($A3&amp;K$1,'For stats end Y DB'!$A:$G,2,0))</f>
        <v>0</v>
      </c>
      <c r="L3">
        <f>IF(ISNA(VLOOKUP($A3&amp;L$1,'For stats end Y DB'!$A:$G,2,0)),0,VLOOKUP($A3&amp;L$1,'For stats end Y DB'!$A:$G,2,0))</f>
        <v>0</v>
      </c>
      <c r="M3">
        <f>IF(ISNA(VLOOKUP($A3&amp;M$1,'For stats end Y DB'!$A:$G,2,0)),0,VLOOKUP($A3&amp;M$1,'For stats end Y DB'!$A:$G,2,0))</f>
        <v>0</v>
      </c>
      <c r="N3">
        <f>IF(ISNA(VLOOKUP($A3&amp;N$1,'For stats end Y DB'!$A:$G,2,0)),0,VLOOKUP($A3&amp;N$1,'For stats end Y DB'!$A:$G,2,0))</f>
        <v>0</v>
      </c>
      <c r="O3">
        <f>IF(ISNA(VLOOKUP($A3&amp;O$1,'For stats end Y DB'!$A:$G,2,0)),0,VLOOKUP($A3&amp;O$1,'For stats end Y DB'!$A:$G,2,0))</f>
        <v>5</v>
      </c>
      <c r="P3">
        <f>IF(ISNA(VLOOKUP($A3&amp;P$1,'For stats end Y DB'!$A:$G,2,0)),0,VLOOKUP($A3&amp;P$1,'For stats end Y DB'!$A:$G,2,0))</f>
        <v>0</v>
      </c>
      <c r="Q3">
        <f>IF(ISNA(VLOOKUP($A3&amp;Q$1,'For stats end Y DB'!$A:$G,2,0)),0,VLOOKUP($A3&amp;Q$1,'For stats end Y DB'!$A:$G,2,0))</f>
        <v>0</v>
      </c>
      <c r="R3">
        <f>IF(ISNA(VLOOKUP($A3&amp;R$1,'For stats end Y DB'!$A:$G,2,0)),0,VLOOKUP($A3&amp;R$1,'For stats end Y DB'!$A:$G,2,0))</f>
        <v>0</v>
      </c>
      <c r="S3">
        <f>IF(ISNA(VLOOKUP($A3&amp;S$1,'For stats end Y DB'!$A:$G,2,0)),0,VLOOKUP($A3&amp;S$1,'For stats end Y DB'!$A:$G,2,0))</f>
        <v>0</v>
      </c>
      <c r="T3">
        <f>IF(ISNA(VLOOKUP($A3&amp;T$1,'For stats end Y DB'!$A:$G,2,0)),0,VLOOKUP($A3&amp;T$1,'For stats end Y DB'!$A:$G,2,0))</f>
        <v>0</v>
      </c>
      <c r="U3">
        <f>IF(ISNA(VLOOKUP($A3&amp;U$1,'For stats end Y DB'!$A:$G,2,0)),0,VLOOKUP($A3&amp;U$1,'For stats end Y DB'!$A:$G,2,0))</f>
        <v>0</v>
      </c>
      <c r="V3">
        <f>IF(ISNA(VLOOKUP($A3&amp;V$1,'For stats end Y DB'!$A:$G,2,0)),0,VLOOKUP($A3&amp;V$1,'For stats end Y DB'!$A:$G,2,0))</f>
        <v>0</v>
      </c>
      <c r="W3">
        <f>IF(ISNA(VLOOKUP($A3&amp;W$1,'For stats end Y DB'!$A:$G,2,0)),0,VLOOKUP($A3&amp;W$1,'For stats end Y DB'!$A:$G,2,0))</f>
        <v>0</v>
      </c>
      <c r="X3">
        <f>IF(ISNA(VLOOKUP($A3&amp;X$1,'For stats end Y DB'!$A:$G,2,0)),0,VLOOKUP($A3&amp;X$1,'For stats end Y DB'!$A:$G,2,0))</f>
        <v>0</v>
      </c>
      <c r="Y3">
        <f>IF(ISNA(VLOOKUP($A3&amp;Y$1,'For stats end Y DB'!$A:$G,2,0)),0,VLOOKUP($A3&amp;Y$1,'For stats end Y DB'!$A:$G,2,0))</f>
        <v>0</v>
      </c>
      <c r="Z3">
        <f>IF(ISNA(VLOOKUP($A3&amp;Z$1,'For stats end Y DB'!$A:$G,2,0)),0,VLOOKUP($A3&amp;Z$1,'For stats end Y DB'!$A:$G,2,0))</f>
        <v>0</v>
      </c>
      <c r="AA3">
        <f>IF(ISNA(VLOOKUP($A3&amp;AA$1,'For stats end Y DB'!$A:$G,2,0)),0,VLOOKUP($A3&amp;AA$1,'For stats end Y DB'!$A:$G,2,0))</f>
        <v>0</v>
      </c>
      <c r="AB3">
        <f>IF(ISNA(VLOOKUP($A3&amp;AB$1,'For stats end Y DB'!$A:$G,2,0)),0,VLOOKUP($A3&amp;AB$1,'For stats end Y DB'!$A:$G,2,0))</f>
        <v>0</v>
      </c>
      <c r="AC3">
        <f>IF(ISNA(VLOOKUP($A3&amp;AC$1,'For stats end Y DB'!$A:$G,2,0)),0,VLOOKUP($A3&amp;AC$1,'For stats end Y DB'!$A:$G,2,0))</f>
        <v>0</v>
      </c>
      <c r="AD3">
        <f>IF(ISNA(VLOOKUP($A3&amp;AD$1,'For stats end Y DB'!$A:$G,2,0)),0,VLOOKUP($A3&amp;AD$1,'For stats end Y DB'!$A:$G,2,0))</f>
        <v>0</v>
      </c>
      <c r="AE3">
        <f>IF(ISNA(VLOOKUP($A3&amp;AE$1,'For stats end Y DB'!$A:$G,2,0)),0,VLOOKUP($A3&amp;AE$1,'For stats end Y DB'!$A:$G,2,0))</f>
        <v>0</v>
      </c>
      <c r="AF3">
        <f>IF(ISNA(VLOOKUP($A3&amp;AF$1,'For stats end Y DB'!$A:$G,2,0)),0,VLOOKUP($A3&amp;AF$1,'For stats end Y DB'!$A:$G,2,0))</f>
        <v>0</v>
      </c>
      <c r="AG3">
        <f>IF(ISNA(VLOOKUP($A3&amp;AG$1,'For stats end Y DB'!$A:$G,2,0)),0,VLOOKUP($A3&amp;AG$1,'For stats end Y DB'!$A:$G,2,0))</f>
        <v>0</v>
      </c>
      <c r="AH3">
        <f>IF(ISNA(VLOOKUP($A3&amp;AH$1,'For stats end Y DB'!$A:$G,2,0)),0,VLOOKUP($A3&amp;AH$1,'For stats end Y DB'!$A:$G,2,0))</f>
        <v>0</v>
      </c>
      <c r="AI3">
        <f>IF(ISNA(VLOOKUP($A3&amp;AI$1,'For stats end Y DB'!$A:$G,2,0)),0,VLOOKUP($A3&amp;AI$1,'For stats end Y DB'!$A:$G,2,0))</f>
        <v>0</v>
      </c>
      <c r="AJ3">
        <f>IF(ISNA(VLOOKUP($A3&amp;AJ$1,'For stats end Y DB'!$A:$G,2,0)),0,VLOOKUP($A3&amp;AJ$1,'For stats end Y DB'!$A:$G,2,0))</f>
        <v>0</v>
      </c>
      <c r="AK3">
        <f>IF(ISNA(VLOOKUP($A3&amp;AK$1,'For stats end Y DB'!$A:$G,2,0)),0,VLOOKUP($A3&amp;AK$1,'For stats end Y DB'!$A:$G,2,0))</f>
        <v>0</v>
      </c>
      <c r="AL3">
        <f>IF(ISNA(VLOOKUP($A3&amp;AL$1,'For stats end Y DB'!$A:$G,2,0)),0,VLOOKUP($A3&amp;AL$1,'For stats end Y DB'!$A:$G,2,0))</f>
        <v>0</v>
      </c>
      <c r="AM3">
        <f>IF(ISNA(VLOOKUP($A3&amp;AM$1,'For stats end Y DB'!$A:$G,2,0)),0,VLOOKUP($A3&amp;AM$1,'For stats end Y DB'!$A:$G,2,0))</f>
        <v>0</v>
      </c>
      <c r="AN3">
        <f>IF(ISNA(VLOOKUP($A3&amp;AN$1,'For stats end Y DB'!$A:$G,2,0)),0,VLOOKUP($A3&amp;AN$1,'For stats end Y DB'!$A:$G,2,0))</f>
        <v>0</v>
      </c>
      <c r="AP3" t="str">
        <f t="shared" ref="AP3:AP66" si="3">A3</f>
        <v>Algolf75</v>
      </c>
      <c r="AQ3">
        <f t="shared" ref="AQ3:AS34" si="4">COUNTIF($B3:$AN3,AQ$1)</f>
        <v>0</v>
      </c>
      <c r="AR3">
        <f t="shared" si="0"/>
        <v>0</v>
      </c>
      <c r="AS3">
        <f t="shared" si="0"/>
        <v>1</v>
      </c>
      <c r="AT3" s="9">
        <f t="shared" si="1"/>
        <v>0</v>
      </c>
      <c r="AU3">
        <f t="shared" si="2"/>
        <v>4</v>
      </c>
    </row>
    <row r="4" spans="1:47" x14ac:dyDescent="0.2">
      <c r="A4" s="12" t="s">
        <v>547</v>
      </c>
      <c r="B4">
        <f>IF(ISNA(VLOOKUP($A4&amp;B$1,'For stats end Y DB'!$A:$G,2,0)),0,VLOOKUP($A4&amp;B$1,'For stats end Y DB'!$A:$G,2,0))</f>
        <v>0</v>
      </c>
      <c r="C4">
        <f>IF(ISNA(VLOOKUP($A4&amp;C$1,'For stats end Y DB'!$A:$G,2,0)),0,VLOOKUP($A4&amp;C$1,'For stats end Y DB'!$A:$G,2,0))</f>
        <v>0</v>
      </c>
      <c r="D4">
        <f>IF(ISNA(VLOOKUP($A4&amp;D$1,'For stats end Y DB'!$A:$G,2,0)),0,VLOOKUP($A4&amp;D$1,'For stats end Y DB'!$A:$G,2,0))</f>
        <v>0</v>
      </c>
      <c r="E4">
        <f>IF(ISNA(VLOOKUP($A4&amp;E$1,'For stats end Y DB'!$A:$G,2,0)),0,VLOOKUP($A4&amp;E$1,'For stats end Y DB'!$A:$G,2,0))</f>
        <v>0</v>
      </c>
      <c r="F4">
        <f>IF(ISNA(VLOOKUP($A4&amp;F$1,'For stats end Y DB'!$A:$G,2,0)),0,VLOOKUP($A4&amp;F$1,'For stats end Y DB'!$A:$G,2,0))</f>
        <v>0</v>
      </c>
      <c r="G4">
        <f>IF(ISNA(VLOOKUP($A4&amp;G$1,'For stats end Y DB'!$A:$G,2,0)),0,VLOOKUP($A4&amp;G$1,'For stats end Y DB'!$A:$G,2,0))</f>
        <v>0</v>
      </c>
      <c r="H4">
        <f>IF(ISNA(VLOOKUP($A4&amp;H$1,'For stats end Y DB'!$A:$G,2,0)),0,VLOOKUP($A4&amp;H$1,'For stats end Y DB'!$A:$G,2,0))</f>
        <v>0</v>
      </c>
      <c r="I4">
        <f>IF(ISNA(VLOOKUP($A4&amp;I$1,'For stats end Y DB'!$A:$G,2,0)),0,VLOOKUP($A4&amp;I$1,'For stats end Y DB'!$A:$G,2,0))</f>
        <v>0</v>
      </c>
      <c r="J4">
        <f>IF(ISNA(VLOOKUP($A4&amp;J$1,'For stats end Y DB'!$A:$G,2,0)),0,VLOOKUP($A4&amp;J$1,'For stats end Y DB'!$A:$G,2,0))</f>
        <v>0</v>
      </c>
      <c r="K4">
        <f>IF(ISNA(VLOOKUP($A4&amp;K$1,'For stats end Y DB'!$A:$G,2,0)),0,VLOOKUP($A4&amp;K$1,'For stats end Y DB'!$A:$G,2,0))</f>
        <v>0</v>
      </c>
      <c r="L4">
        <f>IF(ISNA(VLOOKUP($A4&amp;L$1,'For stats end Y DB'!$A:$G,2,0)),0,VLOOKUP($A4&amp;L$1,'For stats end Y DB'!$A:$G,2,0))</f>
        <v>3</v>
      </c>
      <c r="M4">
        <f>IF(ISNA(VLOOKUP($A4&amp;M$1,'For stats end Y DB'!$A:$G,2,0)),0,VLOOKUP($A4&amp;M$1,'For stats end Y DB'!$A:$G,2,0))</f>
        <v>0</v>
      </c>
      <c r="N4">
        <f>IF(ISNA(VLOOKUP($A4&amp;N$1,'For stats end Y DB'!$A:$G,2,0)),0,VLOOKUP($A4&amp;N$1,'For stats end Y DB'!$A:$G,2,0))</f>
        <v>0</v>
      </c>
      <c r="O4">
        <f>IF(ISNA(VLOOKUP($A4&amp;O$1,'For stats end Y DB'!$A:$G,2,0)),0,VLOOKUP($A4&amp;O$1,'For stats end Y DB'!$A:$G,2,0))</f>
        <v>0</v>
      </c>
      <c r="P4">
        <f>IF(ISNA(VLOOKUP($A4&amp;P$1,'For stats end Y DB'!$A:$G,2,0)),0,VLOOKUP($A4&amp;P$1,'For stats end Y DB'!$A:$G,2,0))</f>
        <v>0</v>
      </c>
      <c r="Q4">
        <f>IF(ISNA(VLOOKUP($A4&amp;Q$1,'For stats end Y DB'!$A:$G,2,0)),0,VLOOKUP($A4&amp;Q$1,'For stats end Y DB'!$A:$G,2,0))</f>
        <v>0</v>
      </c>
      <c r="R4">
        <f>IF(ISNA(VLOOKUP($A4&amp;R$1,'For stats end Y DB'!$A:$G,2,0)),0,VLOOKUP($A4&amp;R$1,'For stats end Y DB'!$A:$G,2,0))</f>
        <v>0</v>
      </c>
      <c r="S4">
        <f>IF(ISNA(VLOOKUP($A4&amp;S$1,'For stats end Y DB'!$A:$G,2,0)),0,VLOOKUP($A4&amp;S$1,'For stats end Y DB'!$A:$G,2,0))</f>
        <v>0</v>
      </c>
      <c r="T4">
        <f>IF(ISNA(VLOOKUP($A4&amp;T$1,'For stats end Y DB'!$A:$G,2,0)),0,VLOOKUP($A4&amp;T$1,'For stats end Y DB'!$A:$G,2,0))</f>
        <v>0</v>
      </c>
      <c r="U4">
        <f>IF(ISNA(VLOOKUP($A4&amp;U$1,'For stats end Y DB'!$A:$G,2,0)),0,VLOOKUP($A4&amp;U$1,'For stats end Y DB'!$A:$G,2,0))</f>
        <v>0</v>
      </c>
      <c r="V4">
        <f>IF(ISNA(VLOOKUP($A4&amp;V$1,'For stats end Y DB'!$A:$G,2,0)),0,VLOOKUP($A4&amp;V$1,'For stats end Y DB'!$A:$G,2,0))</f>
        <v>0</v>
      </c>
      <c r="W4">
        <f>IF(ISNA(VLOOKUP($A4&amp;W$1,'For stats end Y DB'!$A:$G,2,0)),0,VLOOKUP($A4&amp;W$1,'For stats end Y DB'!$A:$G,2,0))</f>
        <v>0</v>
      </c>
      <c r="X4">
        <f>IF(ISNA(VLOOKUP($A4&amp;X$1,'For stats end Y DB'!$A:$G,2,0)),0,VLOOKUP($A4&amp;X$1,'For stats end Y DB'!$A:$G,2,0))</f>
        <v>0</v>
      </c>
      <c r="Y4">
        <f>IF(ISNA(VLOOKUP($A4&amp;Y$1,'For stats end Y DB'!$A:$G,2,0)),0,VLOOKUP($A4&amp;Y$1,'For stats end Y DB'!$A:$G,2,0))</f>
        <v>0</v>
      </c>
      <c r="Z4">
        <f>IF(ISNA(VLOOKUP($A4&amp;Z$1,'For stats end Y DB'!$A:$G,2,0)),0,VLOOKUP($A4&amp;Z$1,'For stats end Y DB'!$A:$G,2,0))</f>
        <v>0</v>
      </c>
      <c r="AA4">
        <f>IF(ISNA(VLOOKUP($A4&amp;AA$1,'For stats end Y DB'!$A:$G,2,0)),0,VLOOKUP($A4&amp;AA$1,'For stats end Y DB'!$A:$G,2,0))</f>
        <v>0</v>
      </c>
      <c r="AB4">
        <f>IF(ISNA(VLOOKUP($A4&amp;AB$1,'For stats end Y DB'!$A:$G,2,0)),0,VLOOKUP($A4&amp;AB$1,'For stats end Y DB'!$A:$G,2,0))</f>
        <v>0</v>
      </c>
      <c r="AC4">
        <f>IF(ISNA(VLOOKUP($A4&amp;AC$1,'For stats end Y DB'!$A:$G,2,0)),0,VLOOKUP($A4&amp;AC$1,'For stats end Y DB'!$A:$G,2,0))</f>
        <v>0</v>
      </c>
      <c r="AD4">
        <f>IF(ISNA(VLOOKUP($A4&amp;AD$1,'For stats end Y DB'!$A:$G,2,0)),0,VLOOKUP($A4&amp;AD$1,'For stats end Y DB'!$A:$G,2,0))</f>
        <v>0</v>
      </c>
      <c r="AE4">
        <f>IF(ISNA(VLOOKUP($A4&amp;AE$1,'For stats end Y DB'!$A:$G,2,0)),0,VLOOKUP($A4&amp;AE$1,'For stats end Y DB'!$A:$G,2,0))</f>
        <v>0</v>
      </c>
      <c r="AF4">
        <f>IF(ISNA(VLOOKUP($A4&amp;AF$1,'For stats end Y DB'!$A:$G,2,0)),0,VLOOKUP($A4&amp;AF$1,'For stats end Y DB'!$A:$G,2,0))</f>
        <v>0</v>
      </c>
      <c r="AG4">
        <f>IF(ISNA(VLOOKUP($A4&amp;AG$1,'For stats end Y DB'!$A:$G,2,0)),0,VLOOKUP($A4&amp;AG$1,'For stats end Y DB'!$A:$G,2,0))</f>
        <v>0</v>
      </c>
      <c r="AH4">
        <f>IF(ISNA(VLOOKUP($A4&amp;AH$1,'For stats end Y DB'!$A:$G,2,0)),0,VLOOKUP($A4&amp;AH$1,'For stats end Y DB'!$A:$G,2,0))</f>
        <v>0</v>
      </c>
      <c r="AI4">
        <f>IF(ISNA(VLOOKUP($A4&amp;AI$1,'For stats end Y DB'!$A:$G,2,0)),0,VLOOKUP($A4&amp;AI$1,'For stats end Y DB'!$A:$G,2,0))</f>
        <v>0</v>
      </c>
      <c r="AJ4">
        <f>IF(ISNA(VLOOKUP($A4&amp;AJ$1,'For stats end Y DB'!$A:$G,2,0)),0,VLOOKUP($A4&amp;AJ$1,'For stats end Y DB'!$A:$G,2,0))</f>
        <v>0</v>
      </c>
      <c r="AK4">
        <f>IF(ISNA(VLOOKUP($A4&amp;AK$1,'For stats end Y DB'!$A:$G,2,0)),0,VLOOKUP($A4&amp;AK$1,'For stats end Y DB'!$A:$G,2,0))</f>
        <v>0</v>
      </c>
      <c r="AL4">
        <f>IF(ISNA(VLOOKUP($A4&amp;AL$1,'For stats end Y DB'!$A:$G,2,0)),0,VLOOKUP($A4&amp;AL$1,'For stats end Y DB'!$A:$G,2,0))</f>
        <v>0</v>
      </c>
      <c r="AM4">
        <f>IF(ISNA(VLOOKUP($A4&amp;AM$1,'For stats end Y DB'!$A:$G,2,0)),0,VLOOKUP($A4&amp;AM$1,'For stats end Y DB'!$A:$G,2,0))</f>
        <v>0</v>
      </c>
      <c r="AN4">
        <f>IF(ISNA(VLOOKUP($A4&amp;AN$1,'For stats end Y DB'!$A:$G,2,0)),0,VLOOKUP($A4&amp;AN$1,'For stats end Y DB'!$A:$G,2,0))</f>
        <v>0</v>
      </c>
      <c r="AP4" t="str">
        <f t="shared" si="3"/>
        <v>AllinDeuces</v>
      </c>
      <c r="AQ4">
        <f t="shared" si="4"/>
        <v>0</v>
      </c>
      <c r="AR4">
        <f t="shared" si="0"/>
        <v>0</v>
      </c>
      <c r="AS4">
        <f t="shared" si="0"/>
        <v>1</v>
      </c>
      <c r="AT4" s="9">
        <f t="shared" si="1"/>
        <v>0</v>
      </c>
      <c r="AU4">
        <f t="shared" si="2"/>
        <v>1</v>
      </c>
    </row>
    <row r="5" spans="1:47" x14ac:dyDescent="0.2">
      <c r="A5" s="12" t="s">
        <v>556</v>
      </c>
      <c r="B5">
        <f>IF(ISNA(VLOOKUP($A5&amp;B$1,'For stats end Y DB'!$A:$G,2,0)),0,VLOOKUP($A5&amp;B$1,'For stats end Y DB'!$A:$G,2,0))</f>
        <v>0</v>
      </c>
      <c r="C5">
        <f>IF(ISNA(VLOOKUP($A5&amp;C$1,'For stats end Y DB'!$A:$G,2,0)),0,VLOOKUP($A5&amp;C$1,'For stats end Y DB'!$A:$G,2,0))</f>
        <v>0</v>
      </c>
      <c r="D5">
        <f>IF(ISNA(VLOOKUP($A5&amp;D$1,'For stats end Y DB'!$A:$G,2,0)),0,VLOOKUP($A5&amp;D$1,'For stats end Y DB'!$A:$G,2,0))</f>
        <v>0</v>
      </c>
      <c r="E5">
        <f>IF(ISNA(VLOOKUP($A5&amp;E$1,'For stats end Y DB'!$A:$G,2,0)),0,VLOOKUP($A5&amp;E$1,'For stats end Y DB'!$A:$G,2,0))</f>
        <v>0</v>
      </c>
      <c r="F5">
        <f>IF(ISNA(VLOOKUP($A5&amp;F$1,'For stats end Y DB'!$A:$G,2,0)),0,VLOOKUP($A5&amp;F$1,'For stats end Y DB'!$A:$G,2,0))</f>
        <v>0</v>
      </c>
      <c r="G5">
        <f>IF(ISNA(VLOOKUP($A5&amp;G$1,'For stats end Y DB'!$A:$G,2,0)),0,VLOOKUP($A5&amp;G$1,'For stats end Y DB'!$A:$G,2,0))</f>
        <v>0</v>
      </c>
      <c r="H5">
        <f>IF(ISNA(VLOOKUP($A5&amp;H$1,'For stats end Y DB'!$A:$G,2,0)),0,VLOOKUP($A5&amp;H$1,'For stats end Y DB'!$A:$G,2,0))</f>
        <v>0</v>
      </c>
      <c r="I5">
        <f>IF(ISNA(VLOOKUP($A5&amp;I$1,'For stats end Y DB'!$A:$G,2,0)),0,VLOOKUP($A5&amp;I$1,'For stats end Y DB'!$A:$G,2,0))</f>
        <v>0</v>
      </c>
      <c r="J5">
        <f>IF(ISNA(VLOOKUP($A5&amp;J$1,'For stats end Y DB'!$A:$G,2,0)),0,VLOOKUP($A5&amp;J$1,'For stats end Y DB'!$A:$G,2,0))</f>
        <v>0</v>
      </c>
      <c r="K5">
        <f>IF(ISNA(VLOOKUP($A5&amp;K$1,'For stats end Y DB'!$A:$G,2,0)),0,VLOOKUP($A5&amp;K$1,'For stats end Y DB'!$A:$G,2,0))</f>
        <v>0</v>
      </c>
      <c r="L5">
        <f>IF(ISNA(VLOOKUP($A5&amp;L$1,'For stats end Y DB'!$A:$G,2,0)),0,VLOOKUP($A5&amp;L$1,'For stats end Y DB'!$A:$G,2,0))</f>
        <v>0</v>
      </c>
      <c r="M5">
        <f>IF(ISNA(VLOOKUP($A5&amp;M$1,'For stats end Y DB'!$A:$G,2,0)),0,VLOOKUP($A5&amp;M$1,'For stats end Y DB'!$A:$G,2,0))</f>
        <v>0</v>
      </c>
      <c r="N5">
        <f>IF(ISNA(VLOOKUP($A5&amp;N$1,'For stats end Y DB'!$A:$G,2,0)),0,VLOOKUP($A5&amp;N$1,'For stats end Y DB'!$A:$G,2,0))</f>
        <v>0</v>
      </c>
      <c r="O5">
        <f>IF(ISNA(VLOOKUP($A5&amp;O$1,'For stats end Y DB'!$A:$G,2,0)),0,VLOOKUP($A5&amp;O$1,'For stats end Y DB'!$A:$G,2,0))</f>
        <v>0</v>
      </c>
      <c r="P5">
        <f>IF(ISNA(VLOOKUP($A5&amp;P$1,'For stats end Y DB'!$A:$G,2,0)),0,VLOOKUP($A5&amp;P$1,'For stats end Y DB'!$A:$G,2,0))</f>
        <v>0</v>
      </c>
      <c r="Q5">
        <f>IF(ISNA(VLOOKUP($A5&amp;Q$1,'For stats end Y DB'!$A:$G,2,0)),0,VLOOKUP($A5&amp;Q$1,'For stats end Y DB'!$A:$G,2,0))</f>
        <v>0</v>
      </c>
      <c r="R5">
        <f>IF(ISNA(VLOOKUP($A5&amp;R$1,'For stats end Y DB'!$A:$G,2,0)),0,VLOOKUP($A5&amp;R$1,'For stats end Y DB'!$A:$G,2,0))</f>
        <v>0</v>
      </c>
      <c r="S5">
        <f>IF(ISNA(VLOOKUP($A5&amp;S$1,'For stats end Y DB'!$A:$G,2,0)),0,VLOOKUP($A5&amp;S$1,'For stats end Y DB'!$A:$G,2,0))</f>
        <v>0</v>
      </c>
      <c r="T5">
        <f>IF(ISNA(VLOOKUP($A5&amp;T$1,'For stats end Y DB'!$A:$G,2,0)),0,VLOOKUP($A5&amp;T$1,'For stats end Y DB'!$A:$G,2,0))</f>
        <v>0</v>
      </c>
      <c r="U5">
        <f>IF(ISNA(VLOOKUP($A5&amp;U$1,'For stats end Y DB'!$A:$G,2,0)),0,VLOOKUP($A5&amp;U$1,'For stats end Y DB'!$A:$G,2,0))</f>
        <v>0</v>
      </c>
      <c r="V5">
        <f>IF(ISNA(VLOOKUP($A5&amp;V$1,'For stats end Y DB'!$A:$G,2,0)),0,VLOOKUP($A5&amp;V$1,'For stats end Y DB'!$A:$G,2,0))</f>
        <v>0</v>
      </c>
      <c r="W5">
        <f>IF(ISNA(VLOOKUP($A5&amp;W$1,'For stats end Y DB'!$A:$G,2,0)),0,VLOOKUP($A5&amp;W$1,'For stats end Y DB'!$A:$G,2,0))</f>
        <v>0</v>
      </c>
      <c r="X5">
        <f>IF(ISNA(VLOOKUP($A5&amp;X$1,'For stats end Y DB'!$A:$G,2,0)),0,VLOOKUP($A5&amp;X$1,'For stats end Y DB'!$A:$G,2,0))</f>
        <v>0</v>
      </c>
      <c r="Y5">
        <f>IF(ISNA(VLOOKUP($A5&amp;Y$1,'For stats end Y DB'!$A:$G,2,0)),0,VLOOKUP($A5&amp;Y$1,'For stats end Y DB'!$A:$G,2,0))</f>
        <v>0</v>
      </c>
      <c r="Z5">
        <f>IF(ISNA(VLOOKUP($A5&amp;Z$1,'For stats end Y DB'!$A:$G,2,0)),0,VLOOKUP($A5&amp;Z$1,'For stats end Y DB'!$A:$G,2,0))</f>
        <v>0</v>
      </c>
      <c r="AA5">
        <f>IF(ISNA(VLOOKUP($A5&amp;AA$1,'For stats end Y DB'!$A:$G,2,0)),0,VLOOKUP($A5&amp;AA$1,'For stats end Y DB'!$A:$G,2,0))</f>
        <v>6</v>
      </c>
      <c r="AB5">
        <f>IF(ISNA(VLOOKUP($A5&amp;AB$1,'For stats end Y DB'!$A:$G,2,0)),0,VLOOKUP($A5&amp;AB$1,'For stats end Y DB'!$A:$G,2,0))</f>
        <v>0</v>
      </c>
      <c r="AC5">
        <f>IF(ISNA(VLOOKUP($A5&amp;AC$1,'For stats end Y DB'!$A:$G,2,0)),0,VLOOKUP($A5&amp;AC$1,'For stats end Y DB'!$A:$G,2,0))</f>
        <v>0</v>
      </c>
      <c r="AD5">
        <f>IF(ISNA(VLOOKUP($A5&amp;AD$1,'For stats end Y DB'!$A:$G,2,0)),0,VLOOKUP($A5&amp;AD$1,'For stats end Y DB'!$A:$G,2,0))</f>
        <v>0</v>
      </c>
      <c r="AE5">
        <f>IF(ISNA(VLOOKUP($A5&amp;AE$1,'For stats end Y DB'!$A:$G,2,0)),0,VLOOKUP($A5&amp;AE$1,'For stats end Y DB'!$A:$G,2,0))</f>
        <v>5</v>
      </c>
      <c r="AF5">
        <f>IF(ISNA(VLOOKUP($A5&amp;AF$1,'For stats end Y DB'!$A:$G,2,0)),0,VLOOKUP($A5&amp;AF$1,'For stats end Y DB'!$A:$G,2,0))</f>
        <v>0</v>
      </c>
      <c r="AG5">
        <f>IF(ISNA(VLOOKUP($A5&amp;AG$1,'For stats end Y DB'!$A:$G,2,0)),0,VLOOKUP($A5&amp;AG$1,'For stats end Y DB'!$A:$G,2,0))</f>
        <v>5</v>
      </c>
      <c r="AH5">
        <f>IF(ISNA(VLOOKUP($A5&amp;AH$1,'For stats end Y DB'!$A:$G,2,0)),0,VLOOKUP($A5&amp;AH$1,'For stats end Y DB'!$A:$G,2,0))</f>
        <v>0</v>
      </c>
      <c r="AI5">
        <f>IF(ISNA(VLOOKUP($A5&amp;AI$1,'For stats end Y DB'!$A:$G,2,0)),0,VLOOKUP($A5&amp;AI$1,'For stats end Y DB'!$A:$G,2,0))</f>
        <v>0</v>
      </c>
      <c r="AJ5">
        <f>IF(ISNA(VLOOKUP($A5&amp;AJ$1,'For stats end Y DB'!$A:$G,2,0)),0,VLOOKUP($A5&amp;AJ$1,'For stats end Y DB'!$A:$G,2,0))</f>
        <v>0</v>
      </c>
      <c r="AK5">
        <f>IF(ISNA(VLOOKUP($A5&amp;AK$1,'For stats end Y DB'!$A:$G,2,0)),0,VLOOKUP($A5&amp;AK$1,'For stats end Y DB'!$A:$G,2,0))</f>
        <v>0</v>
      </c>
      <c r="AL5">
        <f>IF(ISNA(VLOOKUP($A5&amp;AL$1,'For stats end Y DB'!$A:$G,2,0)),0,VLOOKUP($A5&amp;AL$1,'For stats end Y DB'!$A:$G,2,0))</f>
        <v>0</v>
      </c>
      <c r="AM5">
        <f>IF(ISNA(VLOOKUP($A5&amp;AM$1,'For stats end Y DB'!$A:$G,2,0)),0,VLOOKUP($A5&amp;AM$1,'For stats end Y DB'!$A:$G,2,0))</f>
        <v>0</v>
      </c>
      <c r="AN5">
        <f>IF(ISNA(VLOOKUP($A5&amp;AN$1,'For stats end Y DB'!$A:$G,2,0)),0,VLOOKUP($A5&amp;AN$1,'For stats end Y DB'!$A:$G,2,0))</f>
        <v>0</v>
      </c>
      <c r="AP5" t="str">
        <f t="shared" si="3"/>
        <v>Ankolos</v>
      </c>
      <c r="AQ5">
        <f t="shared" si="4"/>
        <v>0</v>
      </c>
      <c r="AR5">
        <f t="shared" si="0"/>
        <v>0</v>
      </c>
      <c r="AS5">
        <f t="shared" si="0"/>
        <v>0</v>
      </c>
      <c r="AT5" s="9">
        <f t="shared" si="1"/>
        <v>0</v>
      </c>
      <c r="AU5">
        <f t="shared" si="2"/>
        <v>3</v>
      </c>
    </row>
    <row r="6" spans="1:47" x14ac:dyDescent="0.2">
      <c r="A6" s="12" t="s">
        <v>524</v>
      </c>
      <c r="B6">
        <f>IF(ISNA(VLOOKUP($A6&amp;B$1,'For stats end Y DB'!$A:$G,2,0)),0,VLOOKUP($A6&amp;B$1,'For stats end Y DB'!$A:$G,2,0))</f>
        <v>0</v>
      </c>
      <c r="C6">
        <f>IF(ISNA(VLOOKUP($A6&amp;C$1,'For stats end Y DB'!$A:$G,2,0)),0,VLOOKUP($A6&amp;C$1,'For stats end Y DB'!$A:$G,2,0))</f>
        <v>7</v>
      </c>
      <c r="D6">
        <f>IF(ISNA(VLOOKUP($A6&amp;D$1,'For stats end Y DB'!$A:$G,2,0)),0,VLOOKUP($A6&amp;D$1,'For stats end Y DB'!$A:$G,2,0))</f>
        <v>0</v>
      </c>
      <c r="E6">
        <f>IF(ISNA(VLOOKUP($A6&amp;E$1,'For stats end Y DB'!$A:$G,2,0)),0,VLOOKUP($A6&amp;E$1,'For stats end Y DB'!$A:$G,2,0))</f>
        <v>0</v>
      </c>
      <c r="F6">
        <f>IF(ISNA(VLOOKUP($A6&amp;F$1,'For stats end Y DB'!$A:$G,2,0)),0,VLOOKUP($A6&amp;F$1,'For stats end Y DB'!$A:$G,2,0))</f>
        <v>0</v>
      </c>
      <c r="G6">
        <f>IF(ISNA(VLOOKUP($A6&amp;G$1,'For stats end Y DB'!$A:$G,2,0)),0,VLOOKUP($A6&amp;G$1,'For stats end Y DB'!$A:$G,2,0))</f>
        <v>0</v>
      </c>
      <c r="H6">
        <f>IF(ISNA(VLOOKUP($A6&amp;H$1,'For stats end Y DB'!$A:$G,2,0)),0,VLOOKUP($A6&amp;H$1,'For stats end Y DB'!$A:$G,2,0))</f>
        <v>0</v>
      </c>
      <c r="I6">
        <f>IF(ISNA(VLOOKUP($A6&amp;I$1,'For stats end Y DB'!$A:$G,2,0)),0,VLOOKUP($A6&amp;I$1,'For stats end Y DB'!$A:$G,2,0))</f>
        <v>0</v>
      </c>
      <c r="J6">
        <f>IF(ISNA(VLOOKUP($A6&amp;J$1,'For stats end Y DB'!$A:$G,2,0)),0,VLOOKUP($A6&amp;J$1,'For stats end Y DB'!$A:$G,2,0))</f>
        <v>0</v>
      </c>
      <c r="K6">
        <f>IF(ISNA(VLOOKUP($A6&amp;K$1,'For stats end Y DB'!$A:$G,2,0)),0,VLOOKUP($A6&amp;K$1,'For stats end Y DB'!$A:$G,2,0))</f>
        <v>0</v>
      </c>
      <c r="L6">
        <f>IF(ISNA(VLOOKUP($A6&amp;L$1,'For stats end Y DB'!$A:$G,2,0)),0,VLOOKUP($A6&amp;L$1,'For stats end Y DB'!$A:$G,2,0))</f>
        <v>0</v>
      </c>
      <c r="M6">
        <f>IF(ISNA(VLOOKUP($A6&amp;M$1,'For stats end Y DB'!$A:$G,2,0)),0,VLOOKUP($A6&amp;M$1,'For stats end Y DB'!$A:$G,2,0))</f>
        <v>0</v>
      </c>
      <c r="N6">
        <f>IF(ISNA(VLOOKUP($A6&amp;N$1,'For stats end Y DB'!$A:$G,2,0)),0,VLOOKUP($A6&amp;N$1,'For stats end Y DB'!$A:$G,2,0))</f>
        <v>0</v>
      </c>
      <c r="O6">
        <f>IF(ISNA(VLOOKUP($A6&amp;O$1,'For stats end Y DB'!$A:$G,2,0)),0,VLOOKUP($A6&amp;O$1,'For stats end Y DB'!$A:$G,2,0))</f>
        <v>0</v>
      </c>
      <c r="P6">
        <f>IF(ISNA(VLOOKUP($A6&amp;P$1,'For stats end Y DB'!$A:$G,2,0)),0,VLOOKUP($A6&amp;P$1,'For stats end Y DB'!$A:$G,2,0))</f>
        <v>0</v>
      </c>
      <c r="Q6">
        <f>IF(ISNA(VLOOKUP($A6&amp;Q$1,'For stats end Y DB'!$A:$G,2,0)),0,VLOOKUP($A6&amp;Q$1,'For stats end Y DB'!$A:$G,2,0))</f>
        <v>0</v>
      </c>
      <c r="R6">
        <f>IF(ISNA(VLOOKUP($A6&amp;R$1,'For stats end Y DB'!$A:$G,2,0)),0,VLOOKUP($A6&amp;R$1,'For stats end Y DB'!$A:$G,2,0))</f>
        <v>0</v>
      </c>
      <c r="S6">
        <f>IF(ISNA(VLOOKUP($A6&amp;S$1,'For stats end Y DB'!$A:$G,2,0)),0,VLOOKUP($A6&amp;S$1,'For stats end Y DB'!$A:$G,2,0))</f>
        <v>0</v>
      </c>
      <c r="T6">
        <f>IF(ISNA(VLOOKUP($A6&amp;T$1,'For stats end Y DB'!$A:$G,2,0)),0,VLOOKUP($A6&amp;T$1,'For stats end Y DB'!$A:$G,2,0))</f>
        <v>0</v>
      </c>
      <c r="U6">
        <f>IF(ISNA(VLOOKUP($A6&amp;U$1,'For stats end Y DB'!$A:$G,2,0)),0,VLOOKUP($A6&amp;U$1,'For stats end Y DB'!$A:$G,2,0))</f>
        <v>0</v>
      </c>
      <c r="V6">
        <f>IF(ISNA(VLOOKUP($A6&amp;V$1,'For stats end Y DB'!$A:$G,2,0)),0,VLOOKUP($A6&amp;V$1,'For stats end Y DB'!$A:$G,2,0))</f>
        <v>0</v>
      </c>
      <c r="W6">
        <f>IF(ISNA(VLOOKUP($A6&amp;W$1,'For stats end Y DB'!$A:$G,2,0)),0,VLOOKUP($A6&amp;W$1,'For stats end Y DB'!$A:$G,2,0))</f>
        <v>0</v>
      </c>
      <c r="X6">
        <f>IF(ISNA(VLOOKUP($A6&amp;X$1,'For stats end Y DB'!$A:$G,2,0)),0,VLOOKUP($A6&amp;X$1,'For stats end Y DB'!$A:$G,2,0))</f>
        <v>0</v>
      </c>
      <c r="Y6">
        <f>IF(ISNA(VLOOKUP($A6&amp;Y$1,'For stats end Y DB'!$A:$G,2,0)),0,VLOOKUP($A6&amp;Y$1,'For stats end Y DB'!$A:$G,2,0))</f>
        <v>0</v>
      </c>
      <c r="Z6">
        <f>IF(ISNA(VLOOKUP($A6&amp;Z$1,'For stats end Y DB'!$A:$G,2,0)),0,VLOOKUP($A6&amp;Z$1,'For stats end Y DB'!$A:$G,2,0))</f>
        <v>0</v>
      </c>
      <c r="AA6">
        <f>IF(ISNA(VLOOKUP($A6&amp;AA$1,'For stats end Y DB'!$A:$G,2,0)),0,VLOOKUP($A6&amp;AA$1,'For stats end Y DB'!$A:$G,2,0))</f>
        <v>0</v>
      </c>
      <c r="AB6">
        <f>IF(ISNA(VLOOKUP($A6&amp;AB$1,'For stats end Y DB'!$A:$G,2,0)),0,VLOOKUP($A6&amp;AB$1,'For stats end Y DB'!$A:$G,2,0))</f>
        <v>0</v>
      </c>
      <c r="AC6">
        <f>IF(ISNA(VLOOKUP($A6&amp;AC$1,'For stats end Y DB'!$A:$G,2,0)),0,VLOOKUP($A6&amp;AC$1,'For stats end Y DB'!$A:$G,2,0))</f>
        <v>0</v>
      </c>
      <c r="AD6">
        <f>IF(ISNA(VLOOKUP($A6&amp;AD$1,'For stats end Y DB'!$A:$G,2,0)),0,VLOOKUP($A6&amp;AD$1,'For stats end Y DB'!$A:$G,2,0))</f>
        <v>0</v>
      </c>
      <c r="AE6">
        <f>IF(ISNA(VLOOKUP($A6&amp;AE$1,'For stats end Y DB'!$A:$G,2,0)),0,VLOOKUP($A6&amp;AE$1,'For stats end Y DB'!$A:$G,2,0))</f>
        <v>0</v>
      </c>
      <c r="AF6">
        <f>IF(ISNA(VLOOKUP($A6&amp;AF$1,'For stats end Y DB'!$A:$G,2,0)),0,VLOOKUP($A6&amp;AF$1,'For stats end Y DB'!$A:$G,2,0))</f>
        <v>0</v>
      </c>
      <c r="AG6">
        <f>IF(ISNA(VLOOKUP($A6&amp;AG$1,'For stats end Y DB'!$A:$G,2,0)),0,VLOOKUP($A6&amp;AG$1,'For stats end Y DB'!$A:$G,2,0))</f>
        <v>0</v>
      </c>
      <c r="AH6">
        <f>IF(ISNA(VLOOKUP($A6&amp;AH$1,'For stats end Y DB'!$A:$G,2,0)),0,VLOOKUP($A6&amp;AH$1,'For stats end Y DB'!$A:$G,2,0))</f>
        <v>0</v>
      </c>
      <c r="AI6">
        <f>IF(ISNA(VLOOKUP($A6&amp;AI$1,'For stats end Y DB'!$A:$G,2,0)),0,VLOOKUP($A6&amp;AI$1,'For stats end Y DB'!$A:$G,2,0))</f>
        <v>0</v>
      </c>
      <c r="AJ6">
        <f>IF(ISNA(VLOOKUP($A6&amp;AJ$1,'For stats end Y DB'!$A:$G,2,0)),0,VLOOKUP($A6&amp;AJ$1,'For stats end Y DB'!$A:$G,2,0))</f>
        <v>0</v>
      </c>
      <c r="AK6">
        <f>IF(ISNA(VLOOKUP($A6&amp;AK$1,'For stats end Y DB'!$A:$G,2,0)),0,VLOOKUP($A6&amp;AK$1,'For stats end Y DB'!$A:$G,2,0))</f>
        <v>0</v>
      </c>
      <c r="AL6">
        <f>IF(ISNA(VLOOKUP($A6&amp;AL$1,'For stats end Y DB'!$A:$G,2,0)),0,VLOOKUP($A6&amp;AL$1,'For stats end Y DB'!$A:$G,2,0))</f>
        <v>0</v>
      </c>
      <c r="AM6">
        <f>IF(ISNA(VLOOKUP($A6&amp;AM$1,'For stats end Y DB'!$A:$G,2,0)),0,VLOOKUP($A6&amp;AM$1,'For stats end Y DB'!$A:$G,2,0))</f>
        <v>0</v>
      </c>
      <c r="AN6">
        <f>IF(ISNA(VLOOKUP($A6&amp;AN$1,'For stats end Y DB'!$A:$G,2,0)),0,VLOOKUP($A6&amp;AN$1,'For stats end Y DB'!$A:$G,2,0))</f>
        <v>0</v>
      </c>
      <c r="AP6" t="str">
        <f t="shared" si="3"/>
        <v>Antoine</v>
      </c>
      <c r="AQ6">
        <f t="shared" si="4"/>
        <v>0</v>
      </c>
      <c r="AR6">
        <f t="shared" si="0"/>
        <v>0</v>
      </c>
      <c r="AS6">
        <f t="shared" si="0"/>
        <v>0</v>
      </c>
      <c r="AT6" s="9">
        <f t="shared" si="1"/>
        <v>0</v>
      </c>
      <c r="AU6">
        <f t="shared" si="2"/>
        <v>1</v>
      </c>
    </row>
    <row r="7" spans="1:47" x14ac:dyDescent="0.2">
      <c r="A7" s="12" t="s">
        <v>529</v>
      </c>
      <c r="B7">
        <f>IF(ISNA(VLOOKUP($A7&amp;B$1,'For stats end Y DB'!$A:$G,2,0)),0,VLOOKUP($A7&amp;B$1,'For stats end Y DB'!$A:$G,2,0))</f>
        <v>0</v>
      </c>
      <c r="C7">
        <f>IF(ISNA(VLOOKUP($A7&amp;C$1,'For stats end Y DB'!$A:$G,2,0)),0,VLOOKUP($A7&amp;C$1,'For stats end Y DB'!$A:$G,2,0))</f>
        <v>6</v>
      </c>
      <c r="D7">
        <f>IF(ISNA(VLOOKUP($A7&amp;D$1,'For stats end Y DB'!$A:$G,2,0)),0,VLOOKUP($A7&amp;D$1,'For stats end Y DB'!$A:$G,2,0))</f>
        <v>0</v>
      </c>
      <c r="E7">
        <f>IF(ISNA(VLOOKUP($A7&amp;E$1,'For stats end Y DB'!$A:$G,2,0)),0,VLOOKUP($A7&amp;E$1,'For stats end Y DB'!$A:$G,2,0))</f>
        <v>0</v>
      </c>
      <c r="F7">
        <f>IF(ISNA(VLOOKUP($A7&amp;F$1,'For stats end Y DB'!$A:$G,2,0)),0,VLOOKUP($A7&amp;F$1,'For stats end Y DB'!$A:$G,2,0))</f>
        <v>0</v>
      </c>
      <c r="G7">
        <f>IF(ISNA(VLOOKUP($A7&amp;G$1,'For stats end Y DB'!$A:$G,2,0)),0,VLOOKUP($A7&amp;G$1,'For stats end Y DB'!$A:$G,2,0))</f>
        <v>0</v>
      </c>
      <c r="H7">
        <f>IF(ISNA(VLOOKUP($A7&amp;H$1,'For stats end Y DB'!$A:$G,2,0)),0,VLOOKUP($A7&amp;H$1,'For stats end Y DB'!$A:$G,2,0))</f>
        <v>0</v>
      </c>
      <c r="I7">
        <f>IF(ISNA(VLOOKUP($A7&amp;I$1,'For stats end Y DB'!$A:$G,2,0)),0,VLOOKUP($A7&amp;I$1,'For stats end Y DB'!$A:$G,2,0))</f>
        <v>0</v>
      </c>
      <c r="J7">
        <f>IF(ISNA(VLOOKUP($A7&amp;J$1,'For stats end Y DB'!$A:$G,2,0)),0,VLOOKUP($A7&amp;J$1,'For stats end Y DB'!$A:$G,2,0))</f>
        <v>0</v>
      </c>
      <c r="K7">
        <f>IF(ISNA(VLOOKUP($A7&amp;K$1,'For stats end Y DB'!$A:$G,2,0)),0,VLOOKUP($A7&amp;K$1,'For stats end Y DB'!$A:$G,2,0))</f>
        <v>0</v>
      </c>
      <c r="L7">
        <f>IF(ISNA(VLOOKUP($A7&amp;L$1,'For stats end Y DB'!$A:$G,2,0)),0,VLOOKUP($A7&amp;L$1,'For stats end Y DB'!$A:$G,2,0))</f>
        <v>0</v>
      </c>
      <c r="M7">
        <f>IF(ISNA(VLOOKUP($A7&amp;M$1,'For stats end Y DB'!$A:$G,2,0)),0,VLOOKUP($A7&amp;M$1,'For stats end Y DB'!$A:$G,2,0))</f>
        <v>0</v>
      </c>
      <c r="N7">
        <f>IF(ISNA(VLOOKUP($A7&amp;N$1,'For stats end Y DB'!$A:$G,2,0)),0,VLOOKUP($A7&amp;N$1,'For stats end Y DB'!$A:$G,2,0))</f>
        <v>0</v>
      </c>
      <c r="O7">
        <f>IF(ISNA(VLOOKUP($A7&amp;O$1,'For stats end Y DB'!$A:$G,2,0)),0,VLOOKUP($A7&amp;O$1,'For stats end Y DB'!$A:$G,2,0))</f>
        <v>0</v>
      </c>
      <c r="P7">
        <f>IF(ISNA(VLOOKUP($A7&amp;P$1,'For stats end Y DB'!$A:$G,2,0)),0,VLOOKUP($A7&amp;P$1,'For stats end Y DB'!$A:$G,2,0))</f>
        <v>0</v>
      </c>
      <c r="Q7">
        <f>IF(ISNA(VLOOKUP($A7&amp;Q$1,'For stats end Y DB'!$A:$G,2,0)),0,VLOOKUP($A7&amp;Q$1,'For stats end Y DB'!$A:$G,2,0))</f>
        <v>0</v>
      </c>
      <c r="R7">
        <f>IF(ISNA(VLOOKUP($A7&amp;R$1,'For stats end Y DB'!$A:$G,2,0)),0,VLOOKUP($A7&amp;R$1,'For stats end Y DB'!$A:$G,2,0))</f>
        <v>0</v>
      </c>
      <c r="S7">
        <f>IF(ISNA(VLOOKUP($A7&amp;S$1,'For stats end Y DB'!$A:$G,2,0)),0,VLOOKUP($A7&amp;S$1,'For stats end Y DB'!$A:$G,2,0))</f>
        <v>0</v>
      </c>
      <c r="T7">
        <f>IF(ISNA(VLOOKUP($A7&amp;T$1,'For stats end Y DB'!$A:$G,2,0)),0,VLOOKUP($A7&amp;T$1,'For stats end Y DB'!$A:$G,2,0))</f>
        <v>0</v>
      </c>
      <c r="U7">
        <f>IF(ISNA(VLOOKUP($A7&amp;U$1,'For stats end Y DB'!$A:$G,2,0)),0,VLOOKUP($A7&amp;U$1,'For stats end Y DB'!$A:$G,2,0))</f>
        <v>0</v>
      </c>
      <c r="V7">
        <f>IF(ISNA(VLOOKUP($A7&amp;V$1,'For stats end Y DB'!$A:$G,2,0)),0,VLOOKUP($A7&amp;V$1,'For stats end Y DB'!$A:$G,2,0))</f>
        <v>0</v>
      </c>
      <c r="W7">
        <f>IF(ISNA(VLOOKUP($A7&amp;W$1,'For stats end Y DB'!$A:$G,2,0)),0,VLOOKUP($A7&amp;W$1,'For stats end Y DB'!$A:$G,2,0))</f>
        <v>0</v>
      </c>
      <c r="X7">
        <f>IF(ISNA(VLOOKUP($A7&amp;X$1,'For stats end Y DB'!$A:$G,2,0)),0,VLOOKUP($A7&amp;X$1,'For stats end Y DB'!$A:$G,2,0))</f>
        <v>0</v>
      </c>
      <c r="Y7">
        <f>IF(ISNA(VLOOKUP($A7&amp;Y$1,'For stats end Y DB'!$A:$G,2,0)),0,VLOOKUP($A7&amp;Y$1,'For stats end Y DB'!$A:$G,2,0))</f>
        <v>0</v>
      </c>
      <c r="Z7">
        <f>IF(ISNA(VLOOKUP($A7&amp;Z$1,'For stats end Y DB'!$A:$G,2,0)),0,VLOOKUP($A7&amp;Z$1,'For stats end Y DB'!$A:$G,2,0))</f>
        <v>0</v>
      </c>
      <c r="AA7">
        <f>IF(ISNA(VLOOKUP($A7&amp;AA$1,'For stats end Y DB'!$A:$G,2,0)),0,VLOOKUP($A7&amp;AA$1,'For stats end Y DB'!$A:$G,2,0))</f>
        <v>0</v>
      </c>
      <c r="AB7">
        <f>IF(ISNA(VLOOKUP($A7&amp;AB$1,'For stats end Y DB'!$A:$G,2,0)),0,VLOOKUP($A7&amp;AB$1,'For stats end Y DB'!$A:$G,2,0))</f>
        <v>0</v>
      </c>
      <c r="AC7">
        <f>IF(ISNA(VLOOKUP($A7&amp;AC$1,'For stats end Y DB'!$A:$G,2,0)),0,VLOOKUP($A7&amp;AC$1,'For stats end Y DB'!$A:$G,2,0))</f>
        <v>0</v>
      </c>
      <c r="AD7">
        <f>IF(ISNA(VLOOKUP($A7&amp;AD$1,'For stats end Y DB'!$A:$G,2,0)),0,VLOOKUP($A7&amp;AD$1,'For stats end Y DB'!$A:$G,2,0))</f>
        <v>0</v>
      </c>
      <c r="AE7">
        <f>IF(ISNA(VLOOKUP($A7&amp;AE$1,'For stats end Y DB'!$A:$G,2,0)),0,VLOOKUP($A7&amp;AE$1,'For stats end Y DB'!$A:$G,2,0))</f>
        <v>0</v>
      </c>
      <c r="AF7">
        <f>IF(ISNA(VLOOKUP($A7&amp;AF$1,'For stats end Y DB'!$A:$G,2,0)),0,VLOOKUP($A7&amp;AF$1,'For stats end Y DB'!$A:$G,2,0))</f>
        <v>0</v>
      </c>
      <c r="AG7">
        <f>IF(ISNA(VLOOKUP($A7&amp;AG$1,'For stats end Y DB'!$A:$G,2,0)),0,VLOOKUP($A7&amp;AG$1,'For stats end Y DB'!$A:$G,2,0))</f>
        <v>0</v>
      </c>
      <c r="AH7">
        <f>IF(ISNA(VLOOKUP($A7&amp;AH$1,'For stats end Y DB'!$A:$G,2,0)),0,VLOOKUP($A7&amp;AH$1,'For stats end Y DB'!$A:$G,2,0))</f>
        <v>0</v>
      </c>
      <c r="AI7">
        <f>IF(ISNA(VLOOKUP($A7&amp;AI$1,'For stats end Y DB'!$A:$G,2,0)),0,VLOOKUP($A7&amp;AI$1,'For stats end Y DB'!$A:$G,2,0))</f>
        <v>0</v>
      </c>
      <c r="AJ7">
        <f>IF(ISNA(VLOOKUP($A7&amp;AJ$1,'For stats end Y DB'!$A:$G,2,0)),0,VLOOKUP($A7&amp;AJ$1,'For stats end Y DB'!$A:$G,2,0))</f>
        <v>0</v>
      </c>
      <c r="AK7">
        <f>IF(ISNA(VLOOKUP($A7&amp;AK$1,'For stats end Y DB'!$A:$G,2,0)),0,VLOOKUP($A7&amp;AK$1,'For stats end Y DB'!$A:$G,2,0))</f>
        <v>0</v>
      </c>
      <c r="AL7">
        <f>IF(ISNA(VLOOKUP($A7&amp;AL$1,'For stats end Y DB'!$A:$G,2,0)),0,VLOOKUP($A7&amp;AL$1,'For stats end Y DB'!$A:$G,2,0))</f>
        <v>0</v>
      </c>
      <c r="AM7">
        <f>IF(ISNA(VLOOKUP($A7&amp;AM$1,'For stats end Y DB'!$A:$G,2,0)),0,VLOOKUP($A7&amp;AM$1,'For stats end Y DB'!$A:$G,2,0))</f>
        <v>0</v>
      </c>
      <c r="AN7">
        <f>IF(ISNA(VLOOKUP($A7&amp;AN$1,'For stats end Y DB'!$A:$G,2,0)),0,VLOOKUP($A7&amp;AN$1,'For stats end Y DB'!$A:$G,2,0))</f>
        <v>0</v>
      </c>
      <c r="AP7" t="str">
        <f t="shared" si="3"/>
        <v>Bibus</v>
      </c>
      <c r="AQ7">
        <f t="shared" si="4"/>
        <v>0</v>
      </c>
      <c r="AR7">
        <f t="shared" si="0"/>
        <v>0</v>
      </c>
      <c r="AS7">
        <f t="shared" si="0"/>
        <v>0</v>
      </c>
      <c r="AT7" s="9">
        <f t="shared" si="1"/>
        <v>0</v>
      </c>
      <c r="AU7">
        <f>COUNTIF(B7:AN7,"&lt;&gt;0")</f>
        <v>1</v>
      </c>
    </row>
    <row r="8" spans="1:47" x14ac:dyDescent="0.2">
      <c r="A8" s="12" t="s">
        <v>532</v>
      </c>
      <c r="B8">
        <f>IF(ISNA(VLOOKUP($A8&amp;B$1,'For stats end Y DB'!$A:$G,2,0)),0,VLOOKUP($A8&amp;B$1,'For stats end Y DB'!$A:$G,2,0))</f>
        <v>0</v>
      </c>
      <c r="C8">
        <f>IF(ISNA(VLOOKUP($A8&amp;C$1,'For stats end Y DB'!$A:$G,2,0)),0,VLOOKUP($A8&amp;C$1,'For stats end Y DB'!$A:$G,2,0))</f>
        <v>0</v>
      </c>
      <c r="D8">
        <f>IF(ISNA(VLOOKUP($A8&amp;D$1,'For stats end Y DB'!$A:$G,2,0)),0,VLOOKUP($A8&amp;D$1,'For stats end Y DB'!$A:$G,2,0))</f>
        <v>7</v>
      </c>
      <c r="E8">
        <f>IF(ISNA(VLOOKUP($A8&amp;E$1,'For stats end Y DB'!$A:$G,2,0)),0,VLOOKUP($A8&amp;E$1,'For stats end Y DB'!$A:$G,2,0))</f>
        <v>4</v>
      </c>
      <c r="F8">
        <f>IF(ISNA(VLOOKUP($A8&amp;F$1,'For stats end Y DB'!$A:$G,2,0)),0,VLOOKUP($A8&amp;F$1,'For stats end Y DB'!$A:$G,2,0))</f>
        <v>1</v>
      </c>
      <c r="G8">
        <f>IF(ISNA(VLOOKUP($A8&amp;G$1,'For stats end Y DB'!$A:$G,2,0)),0,VLOOKUP($A8&amp;G$1,'For stats end Y DB'!$A:$G,2,0))</f>
        <v>0</v>
      </c>
      <c r="H8">
        <f>IF(ISNA(VLOOKUP($A8&amp;H$1,'For stats end Y DB'!$A:$G,2,0)),0,VLOOKUP($A8&amp;H$1,'For stats end Y DB'!$A:$G,2,0))</f>
        <v>0</v>
      </c>
      <c r="I8">
        <f>IF(ISNA(VLOOKUP($A8&amp;I$1,'For stats end Y DB'!$A:$G,2,0)),0,VLOOKUP($A8&amp;I$1,'For stats end Y DB'!$A:$G,2,0))</f>
        <v>3</v>
      </c>
      <c r="J8">
        <f>IF(ISNA(VLOOKUP($A8&amp;J$1,'For stats end Y DB'!$A:$G,2,0)),0,VLOOKUP($A8&amp;J$1,'For stats end Y DB'!$A:$G,2,0))</f>
        <v>1</v>
      </c>
      <c r="K8">
        <f>IF(ISNA(VLOOKUP($A8&amp;K$1,'For stats end Y DB'!$A:$G,2,0)),0,VLOOKUP($A8&amp;K$1,'For stats end Y DB'!$A:$G,2,0))</f>
        <v>6</v>
      </c>
      <c r="L8">
        <f>IF(ISNA(VLOOKUP($A8&amp;L$1,'For stats end Y DB'!$A:$G,2,0)),0,VLOOKUP($A8&amp;L$1,'For stats end Y DB'!$A:$G,2,0))</f>
        <v>0</v>
      </c>
      <c r="M8">
        <f>IF(ISNA(VLOOKUP($A8&amp;M$1,'For stats end Y DB'!$A:$G,2,0)),0,VLOOKUP($A8&amp;M$1,'For stats end Y DB'!$A:$G,2,0))</f>
        <v>0</v>
      </c>
      <c r="N8">
        <f>IF(ISNA(VLOOKUP($A8&amp;N$1,'For stats end Y DB'!$A:$G,2,0)),0,VLOOKUP($A8&amp;N$1,'For stats end Y DB'!$A:$G,2,0))</f>
        <v>0</v>
      </c>
      <c r="O8">
        <f>IF(ISNA(VLOOKUP($A8&amp;O$1,'For stats end Y DB'!$A:$G,2,0)),0,VLOOKUP($A8&amp;O$1,'For stats end Y DB'!$A:$G,2,0))</f>
        <v>4</v>
      </c>
      <c r="P8">
        <f>IF(ISNA(VLOOKUP($A8&amp;P$1,'For stats end Y DB'!$A:$G,2,0)),0,VLOOKUP($A8&amp;P$1,'For stats end Y DB'!$A:$G,2,0))</f>
        <v>0</v>
      </c>
      <c r="Q8">
        <f>IF(ISNA(VLOOKUP($A8&amp;Q$1,'For stats end Y DB'!$A:$G,2,0)),0,VLOOKUP($A8&amp;Q$1,'For stats end Y DB'!$A:$G,2,0))</f>
        <v>0</v>
      </c>
      <c r="R8">
        <f>IF(ISNA(VLOOKUP($A8&amp;R$1,'For stats end Y DB'!$A:$G,2,0)),0,VLOOKUP($A8&amp;R$1,'For stats end Y DB'!$A:$G,2,0))</f>
        <v>4</v>
      </c>
      <c r="S8">
        <f>IF(ISNA(VLOOKUP($A8&amp;S$1,'For stats end Y DB'!$A:$G,2,0)),0,VLOOKUP($A8&amp;S$1,'For stats end Y DB'!$A:$G,2,0))</f>
        <v>2</v>
      </c>
      <c r="T8">
        <f>IF(ISNA(VLOOKUP($A8&amp;T$1,'For stats end Y DB'!$A:$G,2,0)),0,VLOOKUP($A8&amp;T$1,'For stats end Y DB'!$A:$G,2,0))</f>
        <v>1</v>
      </c>
      <c r="U8">
        <f>IF(ISNA(VLOOKUP($A8&amp;U$1,'For stats end Y DB'!$A:$G,2,0)),0,VLOOKUP($A8&amp;U$1,'For stats end Y DB'!$A:$G,2,0))</f>
        <v>0</v>
      </c>
      <c r="V8">
        <f>IF(ISNA(VLOOKUP($A8&amp;V$1,'For stats end Y DB'!$A:$G,2,0)),0,VLOOKUP($A8&amp;V$1,'For stats end Y DB'!$A:$G,2,0))</f>
        <v>0</v>
      </c>
      <c r="W8">
        <f>IF(ISNA(VLOOKUP($A8&amp;W$1,'For stats end Y DB'!$A:$G,2,0)),0,VLOOKUP($A8&amp;W$1,'For stats end Y DB'!$A:$G,2,0))</f>
        <v>1</v>
      </c>
      <c r="X8">
        <f>IF(ISNA(VLOOKUP($A8&amp;X$1,'For stats end Y DB'!$A:$G,2,0)),0,VLOOKUP($A8&amp;X$1,'For stats end Y DB'!$A:$G,2,0))</f>
        <v>0</v>
      </c>
      <c r="Y8">
        <f>IF(ISNA(VLOOKUP($A8&amp;Y$1,'For stats end Y DB'!$A:$G,2,0)),0,VLOOKUP($A8&amp;Y$1,'For stats end Y DB'!$A:$G,2,0))</f>
        <v>7</v>
      </c>
      <c r="Z8">
        <f>IF(ISNA(VLOOKUP($A8&amp;Z$1,'For stats end Y DB'!$A:$G,2,0)),0,VLOOKUP($A8&amp;Z$1,'For stats end Y DB'!$A:$G,2,0))</f>
        <v>3</v>
      </c>
      <c r="AA8">
        <f>IF(ISNA(VLOOKUP($A8&amp;AA$1,'For stats end Y DB'!$A:$G,2,0)),0,VLOOKUP($A8&amp;AA$1,'For stats end Y DB'!$A:$G,2,0))</f>
        <v>0</v>
      </c>
      <c r="AB8">
        <f>IF(ISNA(VLOOKUP($A8&amp;AB$1,'For stats end Y DB'!$A:$G,2,0)),0,VLOOKUP($A8&amp;AB$1,'For stats end Y DB'!$A:$G,2,0))</f>
        <v>0</v>
      </c>
      <c r="AC8">
        <f>IF(ISNA(VLOOKUP($A8&amp;AC$1,'For stats end Y DB'!$A:$G,2,0)),0,VLOOKUP($A8&amp;AC$1,'For stats end Y DB'!$A:$G,2,0))</f>
        <v>3</v>
      </c>
      <c r="AD8">
        <f>IF(ISNA(VLOOKUP($A8&amp;AD$1,'For stats end Y DB'!$A:$G,2,0)),0,VLOOKUP($A8&amp;AD$1,'For stats end Y DB'!$A:$G,2,0))</f>
        <v>3</v>
      </c>
      <c r="AE8">
        <f>IF(ISNA(VLOOKUP($A8&amp;AE$1,'For stats end Y DB'!$A:$G,2,0)),0,VLOOKUP($A8&amp;AE$1,'For stats end Y DB'!$A:$G,2,0))</f>
        <v>0</v>
      </c>
      <c r="AF8">
        <f>IF(ISNA(VLOOKUP($A8&amp;AF$1,'For stats end Y DB'!$A:$G,2,0)),0,VLOOKUP($A8&amp;AF$1,'For stats end Y DB'!$A:$G,2,0))</f>
        <v>0</v>
      </c>
      <c r="AG8">
        <f>IF(ISNA(VLOOKUP($A8&amp;AG$1,'For stats end Y DB'!$A:$G,2,0)),0,VLOOKUP($A8&amp;AG$1,'For stats end Y DB'!$A:$G,2,0))</f>
        <v>0</v>
      </c>
      <c r="AH8">
        <f>IF(ISNA(VLOOKUP($A8&amp;AH$1,'For stats end Y DB'!$A:$G,2,0)),0,VLOOKUP($A8&amp;AH$1,'For stats end Y DB'!$A:$G,2,0))</f>
        <v>0</v>
      </c>
      <c r="AI8">
        <f>IF(ISNA(VLOOKUP($A8&amp;AI$1,'For stats end Y DB'!$A:$G,2,0)),0,VLOOKUP($A8&amp;AI$1,'For stats end Y DB'!$A:$G,2,0))</f>
        <v>0</v>
      </c>
      <c r="AJ8">
        <f>IF(ISNA(VLOOKUP($A8&amp;AJ$1,'For stats end Y DB'!$A:$G,2,0)),0,VLOOKUP($A8&amp;AJ$1,'For stats end Y DB'!$A:$G,2,0))</f>
        <v>0</v>
      </c>
      <c r="AK8">
        <f>IF(ISNA(VLOOKUP($A8&amp;AK$1,'For stats end Y DB'!$A:$G,2,0)),0,VLOOKUP($A8&amp;AK$1,'For stats end Y DB'!$A:$G,2,0))</f>
        <v>0</v>
      </c>
      <c r="AL8">
        <f>IF(ISNA(VLOOKUP($A8&amp;AL$1,'For stats end Y DB'!$A:$G,2,0)),0,VLOOKUP($A8&amp;AL$1,'For stats end Y DB'!$A:$G,2,0))</f>
        <v>0</v>
      </c>
      <c r="AM8">
        <f>IF(ISNA(VLOOKUP($A8&amp;AM$1,'For stats end Y DB'!$A:$G,2,0)),0,VLOOKUP($A8&amp;AM$1,'For stats end Y DB'!$A:$G,2,0))</f>
        <v>0</v>
      </c>
      <c r="AN8">
        <f>IF(ISNA(VLOOKUP($A8&amp;AN$1,'For stats end Y DB'!$A:$G,2,0)),0,VLOOKUP($A8&amp;AN$1,'For stats end Y DB'!$A:$G,2,0))</f>
        <v>0</v>
      </c>
      <c r="AP8" t="str">
        <f t="shared" si="3"/>
        <v>Boosilletoo</v>
      </c>
      <c r="AQ8">
        <f t="shared" si="4"/>
        <v>4</v>
      </c>
      <c r="AR8">
        <f t="shared" si="0"/>
        <v>1</v>
      </c>
      <c r="AS8">
        <f t="shared" si="0"/>
        <v>4</v>
      </c>
      <c r="AT8" s="9">
        <f t="shared" si="1"/>
        <v>0</v>
      </c>
      <c r="AU8">
        <f t="shared" si="2"/>
        <v>15</v>
      </c>
    </row>
    <row r="9" spans="1:47" x14ac:dyDescent="0.2">
      <c r="A9" s="12" t="s">
        <v>55</v>
      </c>
      <c r="B9">
        <f>IF(ISNA(VLOOKUP($A9&amp;B$1,'For stats end Y DB'!$A:$G,2,0)),0,VLOOKUP($A9&amp;B$1,'For stats end Y DB'!$A:$G,2,0))</f>
        <v>2</v>
      </c>
      <c r="C9">
        <f>IF(ISNA(VLOOKUP($A9&amp;C$1,'For stats end Y DB'!$A:$G,2,0)),0,VLOOKUP($A9&amp;C$1,'For stats end Y DB'!$A:$G,2,0))</f>
        <v>1</v>
      </c>
      <c r="D9">
        <f>IF(ISNA(VLOOKUP($A9&amp;D$1,'For stats end Y DB'!$A:$G,2,0)),0,VLOOKUP($A9&amp;D$1,'For stats end Y DB'!$A:$G,2,0))</f>
        <v>0</v>
      </c>
      <c r="E9">
        <f>IF(ISNA(VLOOKUP($A9&amp;E$1,'For stats end Y DB'!$A:$G,2,0)),0,VLOOKUP($A9&amp;E$1,'For stats end Y DB'!$A:$G,2,0))</f>
        <v>4</v>
      </c>
      <c r="F9">
        <f>IF(ISNA(VLOOKUP($A9&amp;F$1,'For stats end Y DB'!$A:$G,2,0)),0,VLOOKUP($A9&amp;F$1,'For stats end Y DB'!$A:$G,2,0))</f>
        <v>5</v>
      </c>
      <c r="G9">
        <f>IF(ISNA(VLOOKUP($A9&amp;G$1,'For stats end Y DB'!$A:$G,2,0)),0,VLOOKUP($A9&amp;G$1,'For stats end Y DB'!$A:$G,2,0))</f>
        <v>3</v>
      </c>
      <c r="H9">
        <f>IF(ISNA(VLOOKUP($A9&amp;H$1,'For stats end Y DB'!$A:$G,2,0)),0,VLOOKUP($A9&amp;H$1,'For stats end Y DB'!$A:$G,2,0))</f>
        <v>6</v>
      </c>
      <c r="I9">
        <f>IF(ISNA(VLOOKUP($A9&amp;I$1,'For stats end Y DB'!$A:$G,2,0)),0,VLOOKUP($A9&amp;I$1,'For stats end Y DB'!$A:$G,2,0))</f>
        <v>7</v>
      </c>
      <c r="J9">
        <f>IF(ISNA(VLOOKUP($A9&amp;J$1,'For stats end Y DB'!$A:$G,2,0)),0,VLOOKUP($A9&amp;J$1,'For stats end Y DB'!$A:$G,2,0))</f>
        <v>4</v>
      </c>
      <c r="K9">
        <f>IF(ISNA(VLOOKUP($A9&amp;K$1,'For stats end Y DB'!$A:$G,2,0)),0,VLOOKUP($A9&amp;K$1,'For stats end Y DB'!$A:$G,2,0))</f>
        <v>1</v>
      </c>
      <c r="L9">
        <f>IF(ISNA(VLOOKUP($A9&amp;L$1,'For stats end Y DB'!$A:$G,2,0)),0,VLOOKUP($A9&amp;L$1,'For stats end Y DB'!$A:$G,2,0))</f>
        <v>5</v>
      </c>
      <c r="M9">
        <f>IF(ISNA(VLOOKUP($A9&amp;M$1,'For stats end Y DB'!$A:$G,2,0)),0,VLOOKUP($A9&amp;M$1,'For stats end Y DB'!$A:$G,2,0))</f>
        <v>0</v>
      </c>
      <c r="N9">
        <f>IF(ISNA(VLOOKUP($A9&amp;N$1,'For stats end Y DB'!$A:$G,2,0)),0,VLOOKUP($A9&amp;N$1,'For stats end Y DB'!$A:$G,2,0))</f>
        <v>0</v>
      </c>
      <c r="O9">
        <f>IF(ISNA(VLOOKUP($A9&amp;O$1,'For stats end Y DB'!$A:$G,2,0)),0,VLOOKUP($A9&amp;O$1,'For stats end Y DB'!$A:$G,2,0))</f>
        <v>6</v>
      </c>
      <c r="P9">
        <f>IF(ISNA(VLOOKUP($A9&amp;P$1,'For stats end Y DB'!$A:$G,2,0)),0,VLOOKUP($A9&amp;P$1,'For stats end Y DB'!$A:$G,2,0))</f>
        <v>2</v>
      </c>
      <c r="Q9">
        <f>IF(ISNA(VLOOKUP($A9&amp;Q$1,'For stats end Y DB'!$A:$G,2,0)),0,VLOOKUP($A9&amp;Q$1,'For stats end Y DB'!$A:$G,2,0))</f>
        <v>2</v>
      </c>
      <c r="R9">
        <f>IF(ISNA(VLOOKUP($A9&amp;R$1,'For stats end Y DB'!$A:$G,2,0)),0,VLOOKUP($A9&amp;R$1,'For stats end Y DB'!$A:$G,2,0))</f>
        <v>2</v>
      </c>
      <c r="S9">
        <f>IF(ISNA(VLOOKUP($A9&amp;S$1,'For stats end Y DB'!$A:$G,2,0)),0,VLOOKUP($A9&amp;S$1,'For stats end Y DB'!$A:$G,2,0))</f>
        <v>1</v>
      </c>
      <c r="T9">
        <f>IF(ISNA(VLOOKUP($A9&amp;T$1,'For stats end Y DB'!$A:$G,2,0)),0,VLOOKUP($A9&amp;T$1,'For stats end Y DB'!$A:$G,2,0))</f>
        <v>6</v>
      </c>
      <c r="U9">
        <f>IF(ISNA(VLOOKUP($A9&amp;U$1,'For stats end Y DB'!$A:$G,2,0)),0,VLOOKUP($A9&amp;U$1,'For stats end Y DB'!$A:$G,2,0))</f>
        <v>5</v>
      </c>
      <c r="V9">
        <f>IF(ISNA(VLOOKUP($A9&amp;V$1,'For stats end Y DB'!$A:$G,2,0)),0,VLOOKUP($A9&amp;V$1,'For stats end Y DB'!$A:$G,2,0))</f>
        <v>5</v>
      </c>
      <c r="W9">
        <f>IF(ISNA(VLOOKUP($A9&amp;W$1,'For stats end Y DB'!$A:$G,2,0)),0,VLOOKUP($A9&amp;W$1,'For stats end Y DB'!$A:$G,2,0))</f>
        <v>4</v>
      </c>
      <c r="X9">
        <f>IF(ISNA(VLOOKUP($A9&amp;X$1,'For stats end Y DB'!$A:$G,2,0)),0,VLOOKUP($A9&amp;X$1,'For stats end Y DB'!$A:$G,2,0))</f>
        <v>2</v>
      </c>
      <c r="Y9">
        <f>IF(ISNA(VLOOKUP($A9&amp;Y$1,'For stats end Y DB'!$A:$G,2,0)),0,VLOOKUP($A9&amp;Y$1,'For stats end Y DB'!$A:$G,2,0))</f>
        <v>4</v>
      </c>
      <c r="Z9">
        <f>IF(ISNA(VLOOKUP($A9&amp;Z$1,'For stats end Y DB'!$A:$G,2,0)),0,VLOOKUP($A9&amp;Z$1,'For stats end Y DB'!$A:$G,2,0))</f>
        <v>4</v>
      </c>
      <c r="AA9">
        <f>IF(ISNA(VLOOKUP($A9&amp;AA$1,'For stats end Y DB'!$A:$G,2,0)),0,VLOOKUP($A9&amp;AA$1,'For stats end Y DB'!$A:$G,2,0))</f>
        <v>1</v>
      </c>
      <c r="AB9">
        <f>IF(ISNA(VLOOKUP($A9&amp;AB$1,'For stats end Y DB'!$A:$G,2,0)),0,VLOOKUP($A9&amp;AB$1,'For stats end Y DB'!$A:$G,2,0))</f>
        <v>1</v>
      </c>
      <c r="AC9">
        <f>IF(ISNA(VLOOKUP($A9&amp;AC$1,'For stats end Y DB'!$A:$G,2,0)),0,VLOOKUP($A9&amp;AC$1,'For stats end Y DB'!$A:$G,2,0))</f>
        <v>5</v>
      </c>
      <c r="AD9">
        <f>IF(ISNA(VLOOKUP($A9&amp;AD$1,'For stats end Y DB'!$A:$G,2,0)),0,VLOOKUP($A9&amp;AD$1,'For stats end Y DB'!$A:$G,2,0))</f>
        <v>4</v>
      </c>
      <c r="AE9">
        <f>IF(ISNA(VLOOKUP($A9&amp;AE$1,'For stats end Y DB'!$A:$G,2,0)),0,VLOOKUP($A9&amp;AE$1,'For stats end Y DB'!$A:$G,2,0))</f>
        <v>6</v>
      </c>
      <c r="AF9">
        <f>IF(ISNA(VLOOKUP($A9&amp;AF$1,'For stats end Y DB'!$A:$G,2,0)),0,VLOOKUP($A9&amp;AF$1,'For stats end Y DB'!$A:$G,2,0))</f>
        <v>3</v>
      </c>
      <c r="AG9">
        <f>IF(ISNA(VLOOKUP($A9&amp;AG$1,'For stats end Y DB'!$A:$G,2,0)),0,VLOOKUP($A9&amp;AG$1,'For stats end Y DB'!$A:$G,2,0))</f>
        <v>3</v>
      </c>
      <c r="AH9">
        <f>IF(ISNA(VLOOKUP($A9&amp;AH$1,'For stats end Y DB'!$A:$G,2,0)),0,VLOOKUP($A9&amp;AH$1,'For stats end Y DB'!$A:$G,2,0))</f>
        <v>2</v>
      </c>
      <c r="AI9">
        <f>IF(ISNA(VLOOKUP($A9&amp;AI$1,'For stats end Y DB'!$A:$G,2,0)),0,VLOOKUP($A9&amp;AI$1,'For stats end Y DB'!$A:$G,2,0))</f>
        <v>0</v>
      </c>
      <c r="AJ9">
        <f>IF(ISNA(VLOOKUP($A9&amp;AJ$1,'For stats end Y DB'!$A:$G,2,0)),0,VLOOKUP($A9&amp;AJ$1,'For stats end Y DB'!$A:$G,2,0))</f>
        <v>0</v>
      </c>
      <c r="AK9">
        <f>IF(ISNA(VLOOKUP($A9&amp;AK$1,'For stats end Y DB'!$A:$G,2,0)),0,VLOOKUP($A9&amp;AK$1,'For stats end Y DB'!$A:$G,2,0))</f>
        <v>0</v>
      </c>
      <c r="AL9">
        <f>IF(ISNA(VLOOKUP($A9&amp;AL$1,'For stats end Y DB'!$A:$G,2,0)),0,VLOOKUP($A9&amp;AL$1,'For stats end Y DB'!$A:$G,2,0))</f>
        <v>0</v>
      </c>
      <c r="AM9">
        <f>IF(ISNA(VLOOKUP($A9&amp;AM$1,'For stats end Y DB'!$A:$G,2,0)),0,VLOOKUP($A9&amp;AM$1,'For stats end Y DB'!$A:$G,2,0))</f>
        <v>0</v>
      </c>
      <c r="AN9">
        <f>IF(ISNA(VLOOKUP($A9&amp;AN$1,'For stats end Y DB'!$A:$G,2,0)),0,VLOOKUP($A9&amp;AN$1,'For stats end Y DB'!$A:$G,2,0))</f>
        <v>0</v>
      </c>
      <c r="AP9" t="str">
        <f t="shared" si="3"/>
        <v>Bounette</v>
      </c>
      <c r="AQ9">
        <f t="shared" si="4"/>
        <v>5</v>
      </c>
      <c r="AR9">
        <f t="shared" si="0"/>
        <v>6</v>
      </c>
      <c r="AS9">
        <f t="shared" si="0"/>
        <v>3</v>
      </c>
      <c r="AT9" s="9">
        <f t="shared" si="1"/>
        <v>0.45454545454545453</v>
      </c>
      <c r="AU9">
        <f t="shared" si="2"/>
        <v>30</v>
      </c>
    </row>
    <row r="10" spans="1:47" x14ac:dyDescent="0.2">
      <c r="A10" s="12" t="s">
        <v>21</v>
      </c>
      <c r="B10">
        <f>IF(ISNA(VLOOKUP($A10&amp;B$1,'For stats end Y DB'!$A:$G,2,0)),0,VLOOKUP($A10&amp;B$1,'For stats end Y DB'!$A:$G,2,0))</f>
        <v>4</v>
      </c>
      <c r="C10">
        <f>IF(ISNA(VLOOKUP($A10&amp;C$1,'For stats end Y DB'!$A:$G,2,0)),0,VLOOKUP($A10&amp;C$1,'For stats end Y DB'!$A:$G,2,0))</f>
        <v>2</v>
      </c>
      <c r="D10">
        <f>IF(ISNA(VLOOKUP($A10&amp;D$1,'For stats end Y DB'!$A:$G,2,0)),0,VLOOKUP($A10&amp;D$1,'For stats end Y DB'!$A:$G,2,0))</f>
        <v>4</v>
      </c>
      <c r="E10">
        <f>IF(ISNA(VLOOKUP($A10&amp;E$1,'For stats end Y DB'!$A:$G,2,0)),0,VLOOKUP($A10&amp;E$1,'For stats end Y DB'!$A:$G,2,0))</f>
        <v>6</v>
      </c>
      <c r="F10">
        <f>IF(ISNA(VLOOKUP($A10&amp;F$1,'For stats end Y DB'!$A:$G,2,0)),0,VLOOKUP($A10&amp;F$1,'For stats end Y DB'!$A:$G,2,0))</f>
        <v>6</v>
      </c>
      <c r="G10">
        <f>IF(ISNA(VLOOKUP($A10&amp;G$1,'For stats end Y DB'!$A:$G,2,0)),0,VLOOKUP($A10&amp;G$1,'For stats end Y DB'!$A:$G,2,0))</f>
        <v>5</v>
      </c>
      <c r="H10">
        <f>IF(ISNA(VLOOKUP($A10&amp;H$1,'For stats end Y DB'!$A:$G,2,0)),0,VLOOKUP($A10&amp;H$1,'For stats end Y DB'!$A:$G,2,0))</f>
        <v>4</v>
      </c>
      <c r="I10">
        <f>IF(ISNA(VLOOKUP($A10&amp;I$1,'For stats end Y DB'!$A:$G,2,0)),0,VLOOKUP($A10&amp;I$1,'For stats end Y DB'!$A:$G,2,0))</f>
        <v>5</v>
      </c>
      <c r="J10">
        <f>IF(ISNA(VLOOKUP($A10&amp;J$1,'For stats end Y DB'!$A:$G,2,0)),0,VLOOKUP($A10&amp;J$1,'For stats end Y DB'!$A:$G,2,0))</f>
        <v>6</v>
      </c>
      <c r="K10">
        <f>IF(ISNA(VLOOKUP($A10&amp;K$1,'For stats end Y DB'!$A:$G,2,0)),0,VLOOKUP($A10&amp;K$1,'For stats end Y DB'!$A:$G,2,0))</f>
        <v>3</v>
      </c>
      <c r="L10">
        <f>IF(ISNA(VLOOKUP($A10&amp;L$1,'For stats end Y DB'!$A:$G,2,0)),0,VLOOKUP($A10&amp;L$1,'For stats end Y DB'!$A:$G,2,0))</f>
        <v>1</v>
      </c>
      <c r="M10">
        <f>IF(ISNA(VLOOKUP($A10&amp;M$1,'For stats end Y DB'!$A:$G,2,0)),0,VLOOKUP($A10&amp;M$1,'For stats end Y DB'!$A:$G,2,0))</f>
        <v>2</v>
      </c>
      <c r="N10">
        <f>IF(ISNA(VLOOKUP($A10&amp;N$1,'For stats end Y DB'!$A:$G,2,0)),0,VLOOKUP($A10&amp;N$1,'For stats end Y DB'!$A:$G,2,0))</f>
        <v>4</v>
      </c>
      <c r="O10">
        <f>IF(ISNA(VLOOKUP($A10&amp;O$1,'For stats end Y DB'!$A:$G,2,0)),0,VLOOKUP($A10&amp;O$1,'For stats end Y DB'!$A:$G,2,0))</f>
        <v>0</v>
      </c>
      <c r="P10">
        <f>IF(ISNA(VLOOKUP($A10&amp;P$1,'For stats end Y DB'!$A:$G,2,0)),0,VLOOKUP($A10&amp;P$1,'For stats end Y DB'!$A:$G,2,0))</f>
        <v>3</v>
      </c>
      <c r="Q10">
        <f>IF(ISNA(VLOOKUP($A10&amp;Q$1,'For stats end Y DB'!$A:$G,2,0)),0,VLOOKUP($A10&amp;Q$1,'For stats end Y DB'!$A:$G,2,0))</f>
        <v>5</v>
      </c>
      <c r="R10">
        <f>IF(ISNA(VLOOKUP($A10&amp;R$1,'For stats end Y DB'!$A:$G,2,0)),0,VLOOKUP($A10&amp;R$1,'For stats end Y DB'!$A:$G,2,0))</f>
        <v>6</v>
      </c>
      <c r="S10">
        <f>IF(ISNA(VLOOKUP($A10&amp;S$1,'For stats end Y DB'!$A:$G,2,0)),0,VLOOKUP($A10&amp;S$1,'For stats end Y DB'!$A:$G,2,0))</f>
        <v>3</v>
      </c>
      <c r="T10">
        <f>IF(ISNA(VLOOKUP($A10&amp;T$1,'For stats end Y DB'!$A:$G,2,0)),0,VLOOKUP($A10&amp;T$1,'For stats end Y DB'!$A:$G,2,0))</f>
        <v>3</v>
      </c>
      <c r="U10">
        <f>IF(ISNA(VLOOKUP($A10&amp;U$1,'For stats end Y DB'!$A:$G,2,0)),0,VLOOKUP($A10&amp;U$1,'For stats end Y DB'!$A:$G,2,0))</f>
        <v>3</v>
      </c>
      <c r="V10">
        <f>IF(ISNA(VLOOKUP($A10&amp;V$1,'For stats end Y DB'!$A:$G,2,0)),0,VLOOKUP($A10&amp;V$1,'For stats end Y DB'!$A:$G,2,0))</f>
        <v>4</v>
      </c>
      <c r="W10">
        <f>IF(ISNA(VLOOKUP($A10&amp;W$1,'For stats end Y DB'!$A:$G,2,0)),0,VLOOKUP($A10&amp;W$1,'For stats end Y DB'!$A:$G,2,0))</f>
        <v>5</v>
      </c>
      <c r="X10">
        <f>IF(ISNA(VLOOKUP($A10&amp;X$1,'For stats end Y DB'!$A:$G,2,0)),0,VLOOKUP($A10&amp;X$1,'For stats end Y DB'!$A:$G,2,0))</f>
        <v>2</v>
      </c>
      <c r="Y10">
        <f>IF(ISNA(VLOOKUP($A10&amp;Y$1,'For stats end Y DB'!$A:$G,2,0)),0,VLOOKUP($A10&amp;Y$1,'For stats end Y DB'!$A:$G,2,0))</f>
        <v>2</v>
      </c>
      <c r="Z10">
        <f>IF(ISNA(VLOOKUP($A10&amp;Z$1,'For stats end Y DB'!$A:$G,2,0)),0,VLOOKUP($A10&amp;Z$1,'For stats end Y DB'!$A:$G,2,0))</f>
        <v>5</v>
      </c>
      <c r="AA10">
        <f>IF(ISNA(VLOOKUP($A10&amp;AA$1,'For stats end Y DB'!$A:$G,2,0)),0,VLOOKUP($A10&amp;AA$1,'For stats end Y DB'!$A:$G,2,0))</f>
        <v>6</v>
      </c>
      <c r="AB10">
        <f>IF(ISNA(VLOOKUP($A10&amp;AB$1,'For stats end Y DB'!$A:$G,2,0)),0,VLOOKUP($A10&amp;AB$1,'For stats end Y DB'!$A:$G,2,0))</f>
        <v>4</v>
      </c>
      <c r="AC10">
        <f>IF(ISNA(VLOOKUP($A10&amp;AC$1,'For stats end Y DB'!$A:$G,2,0)),0,VLOOKUP($A10&amp;AC$1,'For stats end Y DB'!$A:$G,2,0))</f>
        <v>6</v>
      </c>
      <c r="AD10">
        <f>IF(ISNA(VLOOKUP($A10&amp;AD$1,'For stats end Y DB'!$A:$G,2,0)),0,VLOOKUP($A10&amp;AD$1,'For stats end Y DB'!$A:$G,2,0))</f>
        <v>6</v>
      </c>
      <c r="AE10">
        <f>IF(ISNA(VLOOKUP($A10&amp;AE$1,'For stats end Y DB'!$A:$G,2,0)),0,VLOOKUP($A10&amp;AE$1,'For stats end Y DB'!$A:$G,2,0))</f>
        <v>4</v>
      </c>
      <c r="AF10">
        <f>IF(ISNA(VLOOKUP($A10&amp;AF$1,'For stats end Y DB'!$A:$G,2,0)),0,VLOOKUP($A10&amp;AF$1,'For stats end Y DB'!$A:$G,2,0))</f>
        <v>6</v>
      </c>
      <c r="AG10">
        <f>IF(ISNA(VLOOKUP($A10&amp;AG$1,'For stats end Y DB'!$A:$G,2,0)),0,VLOOKUP($A10&amp;AG$1,'For stats end Y DB'!$A:$G,2,0))</f>
        <v>4</v>
      </c>
      <c r="AH10">
        <f>IF(ISNA(VLOOKUP($A10&amp;AH$1,'For stats end Y DB'!$A:$G,2,0)),0,VLOOKUP($A10&amp;AH$1,'For stats end Y DB'!$A:$G,2,0))</f>
        <v>3</v>
      </c>
      <c r="AI10">
        <f>IF(ISNA(VLOOKUP($A10&amp;AI$1,'For stats end Y DB'!$A:$G,2,0)),0,VLOOKUP($A10&amp;AI$1,'For stats end Y DB'!$A:$G,2,0))</f>
        <v>0</v>
      </c>
      <c r="AJ10">
        <f>IF(ISNA(VLOOKUP($A10&amp;AJ$1,'For stats end Y DB'!$A:$G,2,0)),0,VLOOKUP($A10&amp;AJ$1,'For stats end Y DB'!$A:$G,2,0))</f>
        <v>0</v>
      </c>
      <c r="AK10">
        <f>IF(ISNA(VLOOKUP($A10&amp;AK$1,'For stats end Y DB'!$A:$G,2,0)),0,VLOOKUP($A10&amp;AK$1,'For stats end Y DB'!$A:$G,2,0))</f>
        <v>0</v>
      </c>
      <c r="AL10">
        <f>IF(ISNA(VLOOKUP($A10&amp;AL$1,'For stats end Y DB'!$A:$G,2,0)),0,VLOOKUP($A10&amp;AL$1,'For stats end Y DB'!$A:$G,2,0))</f>
        <v>0</v>
      </c>
      <c r="AM10">
        <f>IF(ISNA(VLOOKUP($A10&amp;AM$1,'For stats end Y DB'!$A:$G,2,0)),0,VLOOKUP($A10&amp;AM$1,'For stats end Y DB'!$A:$G,2,0))</f>
        <v>0</v>
      </c>
      <c r="AN10">
        <f>IF(ISNA(VLOOKUP($A10&amp;AN$1,'For stats end Y DB'!$A:$G,2,0)),0,VLOOKUP($A10&amp;AN$1,'For stats end Y DB'!$A:$G,2,0))</f>
        <v>0</v>
      </c>
      <c r="AP10" t="str">
        <f t="shared" si="3"/>
        <v>Carmin</v>
      </c>
      <c r="AQ10">
        <f t="shared" si="4"/>
        <v>1</v>
      </c>
      <c r="AR10">
        <f t="shared" si="0"/>
        <v>4</v>
      </c>
      <c r="AS10">
        <f t="shared" si="0"/>
        <v>6</v>
      </c>
      <c r="AT10" s="9">
        <f t="shared" si="1"/>
        <v>0</v>
      </c>
      <c r="AU10">
        <f t="shared" si="2"/>
        <v>32</v>
      </c>
    </row>
    <row r="11" spans="1:47" x14ac:dyDescent="0.2">
      <c r="A11" s="12" t="s">
        <v>69</v>
      </c>
      <c r="B11">
        <f>IF(ISNA(VLOOKUP($A11&amp;B$1,'For stats end Y DB'!$A:$G,2,0)),0,VLOOKUP($A11&amp;B$1,'For stats end Y DB'!$A:$G,2,0))</f>
        <v>6</v>
      </c>
      <c r="C11">
        <f>IF(ISNA(VLOOKUP($A11&amp;C$1,'For stats end Y DB'!$A:$G,2,0)),0,VLOOKUP($A11&amp;C$1,'For stats end Y DB'!$A:$G,2,0))</f>
        <v>4</v>
      </c>
      <c r="D11">
        <f>IF(ISNA(VLOOKUP($A11&amp;D$1,'For stats end Y DB'!$A:$G,2,0)),0,VLOOKUP($A11&amp;D$1,'For stats end Y DB'!$A:$G,2,0))</f>
        <v>5</v>
      </c>
      <c r="E11">
        <f>IF(ISNA(VLOOKUP($A11&amp;E$1,'For stats end Y DB'!$A:$G,2,0)),0,VLOOKUP($A11&amp;E$1,'For stats end Y DB'!$A:$G,2,0))</f>
        <v>5</v>
      </c>
      <c r="F11">
        <f>IF(ISNA(VLOOKUP($A11&amp;F$1,'For stats end Y DB'!$A:$G,2,0)),0,VLOOKUP($A11&amp;F$1,'For stats end Y DB'!$A:$G,2,0))</f>
        <v>5</v>
      </c>
      <c r="G11">
        <f>IF(ISNA(VLOOKUP($A11&amp;G$1,'For stats end Y DB'!$A:$G,2,0)),0,VLOOKUP($A11&amp;G$1,'For stats end Y DB'!$A:$G,2,0))</f>
        <v>2</v>
      </c>
      <c r="H11">
        <f>IF(ISNA(VLOOKUP($A11&amp;H$1,'For stats end Y DB'!$A:$G,2,0)),0,VLOOKUP($A11&amp;H$1,'For stats end Y DB'!$A:$G,2,0))</f>
        <v>2</v>
      </c>
      <c r="I11">
        <f>IF(ISNA(VLOOKUP($A11&amp;I$1,'For stats end Y DB'!$A:$G,2,0)),0,VLOOKUP($A11&amp;I$1,'For stats end Y DB'!$A:$G,2,0))</f>
        <v>7</v>
      </c>
      <c r="J11">
        <f>IF(ISNA(VLOOKUP($A11&amp;J$1,'For stats end Y DB'!$A:$G,2,0)),0,VLOOKUP($A11&amp;J$1,'For stats end Y DB'!$A:$G,2,0))</f>
        <v>3</v>
      </c>
      <c r="K11">
        <f>IF(ISNA(VLOOKUP($A11&amp;K$1,'For stats end Y DB'!$A:$G,2,0)),0,VLOOKUP($A11&amp;K$1,'For stats end Y DB'!$A:$G,2,0))</f>
        <v>3</v>
      </c>
      <c r="L11">
        <f>IF(ISNA(VLOOKUP($A11&amp;L$1,'For stats end Y DB'!$A:$G,2,0)),0,VLOOKUP($A11&amp;L$1,'For stats end Y DB'!$A:$G,2,0))</f>
        <v>4</v>
      </c>
      <c r="M11">
        <f>IF(ISNA(VLOOKUP($A11&amp;M$1,'For stats end Y DB'!$A:$G,2,0)),0,VLOOKUP($A11&amp;M$1,'For stats end Y DB'!$A:$G,2,0))</f>
        <v>3</v>
      </c>
      <c r="N11">
        <f>IF(ISNA(VLOOKUP($A11&amp;N$1,'For stats end Y DB'!$A:$G,2,0)),0,VLOOKUP($A11&amp;N$1,'For stats end Y DB'!$A:$G,2,0))</f>
        <v>3</v>
      </c>
      <c r="O11">
        <f>IF(ISNA(VLOOKUP($A11&amp;O$1,'For stats end Y DB'!$A:$G,2,0)),0,VLOOKUP($A11&amp;O$1,'For stats end Y DB'!$A:$G,2,0))</f>
        <v>1</v>
      </c>
      <c r="P11">
        <f>IF(ISNA(VLOOKUP($A11&amp;P$1,'For stats end Y DB'!$A:$G,2,0)),0,VLOOKUP($A11&amp;P$1,'For stats end Y DB'!$A:$G,2,0))</f>
        <v>2</v>
      </c>
      <c r="Q11">
        <f>IF(ISNA(VLOOKUP($A11&amp;Q$1,'For stats end Y DB'!$A:$G,2,0)),0,VLOOKUP($A11&amp;Q$1,'For stats end Y DB'!$A:$G,2,0))</f>
        <v>6</v>
      </c>
      <c r="R11">
        <f>IF(ISNA(VLOOKUP($A11&amp;R$1,'For stats end Y DB'!$A:$G,2,0)),0,VLOOKUP($A11&amp;R$1,'For stats end Y DB'!$A:$G,2,0))</f>
        <v>5</v>
      </c>
      <c r="S11">
        <f>IF(ISNA(VLOOKUP($A11&amp;S$1,'For stats end Y DB'!$A:$G,2,0)),0,VLOOKUP($A11&amp;S$1,'For stats end Y DB'!$A:$G,2,0))</f>
        <v>4</v>
      </c>
      <c r="T11">
        <f>IF(ISNA(VLOOKUP($A11&amp;T$1,'For stats end Y DB'!$A:$G,2,0)),0,VLOOKUP($A11&amp;T$1,'For stats end Y DB'!$A:$G,2,0))</f>
        <v>3</v>
      </c>
      <c r="U11">
        <f>IF(ISNA(VLOOKUP($A11&amp;U$1,'For stats end Y DB'!$A:$G,2,0)),0,VLOOKUP($A11&amp;U$1,'For stats end Y DB'!$A:$G,2,0))</f>
        <v>2</v>
      </c>
      <c r="V11">
        <f>IF(ISNA(VLOOKUP($A11&amp;V$1,'For stats end Y DB'!$A:$G,2,0)),0,VLOOKUP($A11&amp;V$1,'For stats end Y DB'!$A:$G,2,0))</f>
        <v>6</v>
      </c>
      <c r="W11">
        <f>IF(ISNA(VLOOKUP($A11&amp;W$1,'For stats end Y DB'!$A:$G,2,0)),0,VLOOKUP($A11&amp;W$1,'For stats end Y DB'!$A:$G,2,0))</f>
        <v>3</v>
      </c>
      <c r="X11">
        <f>IF(ISNA(VLOOKUP($A11&amp;X$1,'For stats end Y DB'!$A:$G,2,0)),0,VLOOKUP($A11&amp;X$1,'For stats end Y DB'!$A:$G,2,0))</f>
        <v>4</v>
      </c>
      <c r="Y11">
        <f>IF(ISNA(VLOOKUP($A11&amp;Y$1,'For stats end Y DB'!$A:$G,2,0)),0,VLOOKUP($A11&amp;Y$1,'For stats end Y DB'!$A:$G,2,0))</f>
        <v>2</v>
      </c>
      <c r="Z11">
        <f>IF(ISNA(VLOOKUP($A11&amp;Z$1,'For stats end Y DB'!$A:$G,2,0)),0,VLOOKUP($A11&amp;Z$1,'For stats end Y DB'!$A:$G,2,0))</f>
        <v>6</v>
      </c>
      <c r="AA11">
        <f>IF(ISNA(VLOOKUP($A11&amp;AA$1,'For stats end Y DB'!$A:$G,2,0)),0,VLOOKUP($A11&amp;AA$1,'For stats end Y DB'!$A:$G,2,0))</f>
        <v>5</v>
      </c>
      <c r="AB11">
        <f>IF(ISNA(VLOOKUP($A11&amp;AB$1,'For stats end Y DB'!$A:$G,2,0)),0,VLOOKUP($A11&amp;AB$1,'For stats end Y DB'!$A:$G,2,0))</f>
        <v>0</v>
      </c>
      <c r="AC11">
        <f>IF(ISNA(VLOOKUP($A11&amp;AC$1,'For stats end Y DB'!$A:$G,2,0)),0,VLOOKUP($A11&amp;AC$1,'For stats end Y DB'!$A:$G,2,0))</f>
        <v>5</v>
      </c>
      <c r="AD11">
        <f>IF(ISNA(VLOOKUP($A11&amp;AD$1,'For stats end Y DB'!$A:$G,2,0)),0,VLOOKUP($A11&amp;AD$1,'For stats end Y DB'!$A:$G,2,0))</f>
        <v>6</v>
      </c>
      <c r="AE11">
        <f>IF(ISNA(VLOOKUP($A11&amp;AE$1,'For stats end Y DB'!$A:$G,2,0)),0,VLOOKUP($A11&amp;AE$1,'For stats end Y DB'!$A:$G,2,0))</f>
        <v>2</v>
      </c>
      <c r="AF11">
        <f>IF(ISNA(VLOOKUP($A11&amp;AF$1,'For stats end Y DB'!$A:$G,2,0)),0,VLOOKUP($A11&amp;AF$1,'For stats end Y DB'!$A:$G,2,0))</f>
        <v>4</v>
      </c>
      <c r="AG11">
        <f>IF(ISNA(VLOOKUP($A11&amp;AG$1,'For stats end Y DB'!$A:$G,2,0)),0,VLOOKUP($A11&amp;AG$1,'For stats end Y DB'!$A:$G,2,0))</f>
        <v>4</v>
      </c>
      <c r="AH11">
        <f>IF(ISNA(VLOOKUP($A11&amp;AH$1,'For stats end Y DB'!$A:$G,2,0)),0,VLOOKUP($A11&amp;AH$1,'For stats end Y DB'!$A:$G,2,0))</f>
        <v>5</v>
      </c>
      <c r="AI11">
        <f>IF(ISNA(VLOOKUP($A11&amp;AI$1,'For stats end Y DB'!$A:$G,2,0)),0,VLOOKUP($A11&amp;AI$1,'For stats end Y DB'!$A:$G,2,0))</f>
        <v>0</v>
      </c>
      <c r="AJ11">
        <f>IF(ISNA(VLOOKUP($A11&amp;AJ$1,'For stats end Y DB'!$A:$G,2,0)),0,VLOOKUP($A11&amp;AJ$1,'For stats end Y DB'!$A:$G,2,0))</f>
        <v>0</v>
      </c>
      <c r="AK11">
        <f>IF(ISNA(VLOOKUP($A11&amp;AK$1,'For stats end Y DB'!$A:$G,2,0)),0,VLOOKUP($A11&amp;AK$1,'For stats end Y DB'!$A:$G,2,0))</f>
        <v>0</v>
      </c>
      <c r="AL11">
        <f>IF(ISNA(VLOOKUP($A11&amp;AL$1,'For stats end Y DB'!$A:$G,2,0)),0,VLOOKUP($A11&amp;AL$1,'For stats end Y DB'!$A:$G,2,0))</f>
        <v>0</v>
      </c>
      <c r="AM11">
        <f>IF(ISNA(VLOOKUP($A11&amp;AM$1,'For stats end Y DB'!$A:$G,2,0)),0,VLOOKUP($A11&amp;AM$1,'For stats end Y DB'!$A:$G,2,0))</f>
        <v>0</v>
      </c>
      <c r="AN11">
        <f>IF(ISNA(VLOOKUP($A11&amp;AN$1,'For stats end Y DB'!$A:$G,2,0)),0,VLOOKUP($A11&amp;AN$1,'For stats end Y DB'!$A:$G,2,0))</f>
        <v>0</v>
      </c>
      <c r="AP11" t="str">
        <f t="shared" si="3"/>
        <v>Catherine</v>
      </c>
      <c r="AQ11">
        <f t="shared" si="4"/>
        <v>1</v>
      </c>
      <c r="AR11">
        <f t="shared" si="0"/>
        <v>6</v>
      </c>
      <c r="AS11">
        <f t="shared" si="0"/>
        <v>6</v>
      </c>
      <c r="AT11" s="9">
        <f t="shared" si="1"/>
        <v>0</v>
      </c>
      <c r="AU11">
        <f t="shared" si="2"/>
        <v>32</v>
      </c>
    </row>
    <row r="12" spans="1:47" x14ac:dyDescent="0.2">
      <c r="A12" s="12" t="s">
        <v>515</v>
      </c>
      <c r="B12">
        <f>IF(ISNA(VLOOKUP($A12&amp;B$1,'For stats end Y DB'!$A:$G,2,0)),0,VLOOKUP($A12&amp;B$1,'For stats end Y DB'!$A:$G,2,0))</f>
        <v>5</v>
      </c>
      <c r="C12">
        <f>IF(ISNA(VLOOKUP($A12&amp;C$1,'For stats end Y DB'!$A:$G,2,0)),0,VLOOKUP($A12&amp;C$1,'For stats end Y DB'!$A:$G,2,0))</f>
        <v>0</v>
      </c>
      <c r="D12">
        <f>IF(ISNA(VLOOKUP($A12&amp;D$1,'For stats end Y DB'!$A:$G,2,0)),0,VLOOKUP($A12&amp;D$1,'For stats end Y DB'!$A:$G,2,0))</f>
        <v>0</v>
      </c>
      <c r="E12">
        <f>IF(ISNA(VLOOKUP($A12&amp;E$1,'For stats end Y DB'!$A:$G,2,0)),0,VLOOKUP($A12&amp;E$1,'For stats end Y DB'!$A:$G,2,0))</f>
        <v>1</v>
      </c>
      <c r="F12">
        <f>IF(ISNA(VLOOKUP($A12&amp;F$1,'For stats end Y DB'!$A:$G,2,0)),0,VLOOKUP($A12&amp;F$1,'For stats end Y DB'!$A:$G,2,0))</f>
        <v>3</v>
      </c>
      <c r="G12">
        <f>IF(ISNA(VLOOKUP($A12&amp;G$1,'For stats end Y DB'!$A:$G,2,0)),0,VLOOKUP($A12&amp;G$1,'For stats end Y DB'!$A:$G,2,0))</f>
        <v>0</v>
      </c>
      <c r="H12">
        <f>IF(ISNA(VLOOKUP($A12&amp;H$1,'For stats end Y DB'!$A:$G,2,0)),0,VLOOKUP($A12&amp;H$1,'For stats end Y DB'!$A:$G,2,0))</f>
        <v>4</v>
      </c>
      <c r="I12">
        <f>IF(ISNA(VLOOKUP($A12&amp;I$1,'For stats end Y DB'!$A:$G,2,0)),0,VLOOKUP($A12&amp;I$1,'For stats end Y DB'!$A:$G,2,0))</f>
        <v>0</v>
      </c>
      <c r="J12">
        <f>IF(ISNA(VLOOKUP($A12&amp;J$1,'For stats end Y DB'!$A:$G,2,0)),0,VLOOKUP($A12&amp;J$1,'For stats end Y DB'!$A:$G,2,0))</f>
        <v>0</v>
      </c>
      <c r="K12">
        <f>IF(ISNA(VLOOKUP($A12&amp;K$1,'For stats end Y DB'!$A:$G,2,0)),0,VLOOKUP($A12&amp;K$1,'For stats end Y DB'!$A:$G,2,0))</f>
        <v>0</v>
      </c>
      <c r="L12">
        <f>IF(ISNA(VLOOKUP($A12&amp;L$1,'For stats end Y DB'!$A:$G,2,0)),0,VLOOKUP($A12&amp;L$1,'For stats end Y DB'!$A:$G,2,0))</f>
        <v>0</v>
      </c>
      <c r="M12">
        <f>IF(ISNA(VLOOKUP($A12&amp;M$1,'For stats end Y DB'!$A:$G,2,0)),0,VLOOKUP($A12&amp;M$1,'For stats end Y DB'!$A:$G,2,0))</f>
        <v>0</v>
      </c>
      <c r="N12">
        <f>IF(ISNA(VLOOKUP($A12&amp;N$1,'For stats end Y DB'!$A:$G,2,0)),0,VLOOKUP($A12&amp;N$1,'For stats end Y DB'!$A:$G,2,0))</f>
        <v>0</v>
      </c>
      <c r="O12">
        <f>IF(ISNA(VLOOKUP($A12&amp;O$1,'For stats end Y DB'!$A:$G,2,0)),0,VLOOKUP($A12&amp;O$1,'For stats end Y DB'!$A:$G,2,0))</f>
        <v>0</v>
      </c>
      <c r="P12">
        <f>IF(ISNA(VLOOKUP($A12&amp;P$1,'For stats end Y DB'!$A:$G,2,0)),0,VLOOKUP($A12&amp;P$1,'For stats end Y DB'!$A:$G,2,0))</f>
        <v>4</v>
      </c>
      <c r="Q12">
        <f>IF(ISNA(VLOOKUP($A12&amp;Q$1,'For stats end Y DB'!$A:$G,2,0)),0,VLOOKUP($A12&amp;Q$1,'For stats end Y DB'!$A:$G,2,0))</f>
        <v>0</v>
      </c>
      <c r="R12">
        <f>IF(ISNA(VLOOKUP($A12&amp;R$1,'For stats end Y DB'!$A:$G,2,0)),0,VLOOKUP($A12&amp;R$1,'For stats end Y DB'!$A:$G,2,0))</f>
        <v>3</v>
      </c>
      <c r="S12">
        <f>IF(ISNA(VLOOKUP($A12&amp;S$1,'For stats end Y DB'!$A:$G,2,0)),0,VLOOKUP($A12&amp;S$1,'For stats end Y DB'!$A:$G,2,0))</f>
        <v>6</v>
      </c>
      <c r="T12">
        <f>IF(ISNA(VLOOKUP($A12&amp;T$1,'For stats end Y DB'!$A:$G,2,0)),0,VLOOKUP($A12&amp;T$1,'For stats end Y DB'!$A:$G,2,0))</f>
        <v>0</v>
      </c>
      <c r="U12">
        <f>IF(ISNA(VLOOKUP($A12&amp;U$1,'For stats end Y DB'!$A:$G,2,0)),0,VLOOKUP($A12&amp;U$1,'For stats end Y DB'!$A:$G,2,0))</f>
        <v>0</v>
      </c>
      <c r="V12">
        <f>IF(ISNA(VLOOKUP($A12&amp;V$1,'For stats end Y DB'!$A:$G,2,0)),0,VLOOKUP($A12&amp;V$1,'For stats end Y DB'!$A:$G,2,0))</f>
        <v>0</v>
      </c>
      <c r="W12">
        <f>IF(ISNA(VLOOKUP($A12&amp;W$1,'For stats end Y DB'!$A:$G,2,0)),0,VLOOKUP($A12&amp;W$1,'For stats end Y DB'!$A:$G,2,0))</f>
        <v>1</v>
      </c>
      <c r="X12">
        <f>IF(ISNA(VLOOKUP($A12&amp;X$1,'For stats end Y DB'!$A:$G,2,0)),0,VLOOKUP($A12&amp;X$1,'For stats end Y DB'!$A:$G,2,0))</f>
        <v>3</v>
      </c>
      <c r="Y12">
        <f>IF(ISNA(VLOOKUP($A12&amp;Y$1,'For stats end Y DB'!$A:$G,2,0)),0,VLOOKUP($A12&amp;Y$1,'For stats end Y DB'!$A:$G,2,0))</f>
        <v>4</v>
      </c>
      <c r="Z12">
        <f>IF(ISNA(VLOOKUP($A12&amp;Z$1,'For stats end Y DB'!$A:$G,2,0)),0,VLOOKUP($A12&amp;Z$1,'For stats end Y DB'!$A:$G,2,0))</f>
        <v>0</v>
      </c>
      <c r="AA12">
        <f>IF(ISNA(VLOOKUP($A12&amp;AA$1,'For stats end Y DB'!$A:$G,2,0)),0,VLOOKUP($A12&amp;AA$1,'For stats end Y DB'!$A:$G,2,0))</f>
        <v>0</v>
      </c>
      <c r="AB12">
        <f>IF(ISNA(VLOOKUP($A12&amp;AB$1,'For stats end Y DB'!$A:$G,2,0)),0,VLOOKUP($A12&amp;AB$1,'For stats end Y DB'!$A:$G,2,0))</f>
        <v>1</v>
      </c>
      <c r="AC12">
        <f>IF(ISNA(VLOOKUP($A12&amp;AC$1,'For stats end Y DB'!$A:$G,2,0)),0,VLOOKUP($A12&amp;AC$1,'For stats end Y DB'!$A:$G,2,0))</f>
        <v>0</v>
      </c>
      <c r="AD12">
        <f>IF(ISNA(VLOOKUP($A12&amp;AD$1,'For stats end Y DB'!$A:$G,2,0)),0,VLOOKUP($A12&amp;AD$1,'For stats end Y DB'!$A:$G,2,0))</f>
        <v>0</v>
      </c>
      <c r="AE12">
        <f>IF(ISNA(VLOOKUP($A12&amp;AE$1,'For stats end Y DB'!$A:$G,2,0)),0,VLOOKUP($A12&amp;AE$1,'For stats end Y DB'!$A:$G,2,0))</f>
        <v>0</v>
      </c>
      <c r="AF12">
        <f>IF(ISNA(VLOOKUP($A12&amp;AF$1,'For stats end Y DB'!$A:$G,2,0)),0,VLOOKUP($A12&amp;AF$1,'For stats end Y DB'!$A:$G,2,0))</f>
        <v>0</v>
      </c>
      <c r="AG12">
        <f>IF(ISNA(VLOOKUP($A12&amp;AG$1,'For stats end Y DB'!$A:$G,2,0)),0,VLOOKUP($A12&amp;AG$1,'For stats end Y DB'!$A:$G,2,0))</f>
        <v>3</v>
      </c>
      <c r="AH12">
        <f>IF(ISNA(VLOOKUP($A12&amp;AH$1,'For stats end Y DB'!$A:$G,2,0)),0,VLOOKUP($A12&amp;AH$1,'For stats end Y DB'!$A:$G,2,0))</f>
        <v>0</v>
      </c>
      <c r="AI12">
        <f>IF(ISNA(VLOOKUP($A12&amp;AI$1,'For stats end Y DB'!$A:$G,2,0)),0,VLOOKUP($A12&amp;AI$1,'For stats end Y DB'!$A:$G,2,0))</f>
        <v>0</v>
      </c>
      <c r="AJ12">
        <f>IF(ISNA(VLOOKUP($A12&amp;AJ$1,'For stats end Y DB'!$A:$G,2,0)),0,VLOOKUP($A12&amp;AJ$1,'For stats end Y DB'!$A:$G,2,0))</f>
        <v>0</v>
      </c>
      <c r="AK12">
        <f>IF(ISNA(VLOOKUP($A12&amp;AK$1,'For stats end Y DB'!$A:$G,2,0)),0,VLOOKUP($A12&amp;AK$1,'For stats end Y DB'!$A:$G,2,0))</f>
        <v>0</v>
      </c>
      <c r="AL12">
        <f>IF(ISNA(VLOOKUP($A12&amp;AL$1,'For stats end Y DB'!$A:$G,2,0)),0,VLOOKUP($A12&amp;AL$1,'For stats end Y DB'!$A:$G,2,0))</f>
        <v>0</v>
      </c>
      <c r="AM12">
        <f>IF(ISNA(VLOOKUP($A12&amp;AM$1,'For stats end Y DB'!$A:$G,2,0)),0,VLOOKUP($A12&amp;AM$1,'For stats end Y DB'!$A:$G,2,0))</f>
        <v>0</v>
      </c>
      <c r="AN12">
        <f>IF(ISNA(VLOOKUP($A12&amp;AN$1,'For stats end Y DB'!$A:$G,2,0)),0,VLOOKUP($A12&amp;AN$1,'For stats end Y DB'!$A:$G,2,0))</f>
        <v>0</v>
      </c>
      <c r="AP12" t="str">
        <f t="shared" si="3"/>
        <v>Chico</v>
      </c>
      <c r="AQ12">
        <f t="shared" si="4"/>
        <v>3</v>
      </c>
      <c r="AR12">
        <f t="shared" si="0"/>
        <v>0</v>
      </c>
      <c r="AS12">
        <f t="shared" si="0"/>
        <v>4</v>
      </c>
      <c r="AT12" s="9">
        <f t="shared" si="1"/>
        <v>0</v>
      </c>
      <c r="AU12">
        <f t="shared" si="2"/>
        <v>12</v>
      </c>
    </row>
    <row r="13" spans="1:47" x14ac:dyDescent="0.2">
      <c r="A13" s="12" t="s">
        <v>101</v>
      </c>
      <c r="B13">
        <f>IF(ISNA(VLOOKUP($A13&amp;B$1,'For stats end Y DB'!$A:$G,2,0)),0,VLOOKUP($A13&amp;B$1,'For stats end Y DB'!$A:$G,2,0))</f>
        <v>3</v>
      </c>
      <c r="C13">
        <f>IF(ISNA(VLOOKUP($A13&amp;C$1,'For stats end Y DB'!$A:$G,2,0)),0,VLOOKUP($A13&amp;C$1,'For stats end Y DB'!$A:$G,2,0))</f>
        <v>0</v>
      </c>
      <c r="D13">
        <f>IF(ISNA(VLOOKUP($A13&amp;D$1,'For stats end Y DB'!$A:$G,2,0)),0,VLOOKUP($A13&amp;D$1,'For stats end Y DB'!$A:$G,2,0))</f>
        <v>3</v>
      </c>
      <c r="E13">
        <f>IF(ISNA(VLOOKUP($A13&amp;E$1,'For stats end Y DB'!$A:$G,2,0)),0,VLOOKUP($A13&amp;E$1,'For stats end Y DB'!$A:$G,2,0))</f>
        <v>0</v>
      </c>
      <c r="F13">
        <f>IF(ISNA(VLOOKUP($A13&amp;F$1,'For stats end Y DB'!$A:$G,2,0)),0,VLOOKUP($A13&amp;F$1,'For stats end Y DB'!$A:$G,2,0))</f>
        <v>0</v>
      </c>
      <c r="G13">
        <f>IF(ISNA(VLOOKUP($A13&amp;G$1,'For stats end Y DB'!$A:$G,2,0)),0,VLOOKUP($A13&amp;G$1,'For stats end Y DB'!$A:$G,2,0))</f>
        <v>0</v>
      </c>
      <c r="H13">
        <f>IF(ISNA(VLOOKUP($A13&amp;H$1,'For stats end Y DB'!$A:$G,2,0)),0,VLOOKUP($A13&amp;H$1,'For stats end Y DB'!$A:$G,2,0))</f>
        <v>5</v>
      </c>
      <c r="I13">
        <f>IF(ISNA(VLOOKUP($A13&amp;I$1,'For stats end Y DB'!$A:$G,2,0)),0,VLOOKUP($A13&amp;I$1,'For stats end Y DB'!$A:$G,2,0))</f>
        <v>3</v>
      </c>
      <c r="J13">
        <f>IF(ISNA(VLOOKUP($A13&amp;J$1,'For stats end Y DB'!$A:$G,2,0)),0,VLOOKUP($A13&amp;J$1,'For stats end Y DB'!$A:$G,2,0))</f>
        <v>0</v>
      </c>
      <c r="K13">
        <f>IF(ISNA(VLOOKUP($A13&amp;K$1,'For stats end Y DB'!$A:$G,2,0)),0,VLOOKUP($A13&amp;K$1,'For stats end Y DB'!$A:$G,2,0))</f>
        <v>2</v>
      </c>
      <c r="L13">
        <f>IF(ISNA(VLOOKUP($A13&amp;L$1,'For stats end Y DB'!$A:$G,2,0)),0,VLOOKUP($A13&amp;L$1,'For stats end Y DB'!$A:$G,2,0))</f>
        <v>0</v>
      </c>
      <c r="M13">
        <f>IF(ISNA(VLOOKUP($A13&amp;M$1,'For stats end Y DB'!$A:$G,2,0)),0,VLOOKUP($A13&amp;M$1,'For stats end Y DB'!$A:$G,2,0))</f>
        <v>0</v>
      </c>
      <c r="N13">
        <f>IF(ISNA(VLOOKUP($A13&amp;N$1,'For stats end Y DB'!$A:$G,2,0)),0,VLOOKUP($A13&amp;N$1,'For stats end Y DB'!$A:$G,2,0))</f>
        <v>0</v>
      </c>
      <c r="O13">
        <f>IF(ISNA(VLOOKUP($A13&amp;O$1,'For stats end Y DB'!$A:$G,2,0)),0,VLOOKUP($A13&amp;O$1,'For stats end Y DB'!$A:$G,2,0))</f>
        <v>2</v>
      </c>
      <c r="P13">
        <f>IF(ISNA(VLOOKUP($A13&amp;P$1,'For stats end Y DB'!$A:$G,2,0)),0,VLOOKUP($A13&amp;P$1,'For stats end Y DB'!$A:$G,2,0))</f>
        <v>6</v>
      </c>
      <c r="Q13">
        <f>IF(ISNA(VLOOKUP($A13&amp;Q$1,'For stats end Y DB'!$A:$G,2,0)),0,VLOOKUP($A13&amp;Q$1,'For stats end Y DB'!$A:$G,2,0))</f>
        <v>1</v>
      </c>
      <c r="R13">
        <f>IF(ISNA(VLOOKUP($A13&amp;R$1,'For stats end Y DB'!$A:$G,2,0)),0,VLOOKUP($A13&amp;R$1,'For stats end Y DB'!$A:$G,2,0))</f>
        <v>0</v>
      </c>
      <c r="S13">
        <f>IF(ISNA(VLOOKUP($A13&amp;S$1,'For stats end Y DB'!$A:$G,2,0)),0,VLOOKUP($A13&amp;S$1,'For stats end Y DB'!$A:$G,2,0))</f>
        <v>7</v>
      </c>
      <c r="T13">
        <f>IF(ISNA(VLOOKUP($A13&amp;T$1,'For stats end Y DB'!$A:$G,2,0)),0,VLOOKUP($A13&amp;T$1,'For stats end Y DB'!$A:$G,2,0))</f>
        <v>2</v>
      </c>
      <c r="U13">
        <f>IF(ISNA(VLOOKUP($A13&amp;U$1,'For stats end Y DB'!$A:$G,2,0)),0,VLOOKUP($A13&amp;U$1,'For stats end Y DB'!$A:$G,2,0))</f>
        <v>0</v>
      </c>
      <c r="V13">
        <f>IF(ISNA(VLOOKUP($A13&amp;V$1,'For stats end Y DB'!$A:$G,2,0)),0,VLOOKUP($A13&amp;V$1,'For stats end Y DB'!$A:$G,2,0))</f>
        <v>0</v>
      </c>
      <c r="W13">
        <f>IF(ISNA(VLOOKUP($A13&amp;W$1,'For stats end Y DB'!$A:$G,2,0)),0,VLOOKUP($A13&amp;W$1,'For stats end Y DB'!$A:$G,2,0))</f>
        <v>0</v>
      </c>
      <c r="X13">
        <f>IF(ISNA(VLOOKUP($A13&amp;X$1,'For stats end Y DB'!$A:$G,2,0)),0,VLOOKUP($A13&amp;X$1,'For stats end Y DB'!$A:$G,2,0))</f>
        <v>0</v>
      </c>
      <c r="Y13">
        <f>IF(ISNA(VLOOKUP($A13&amp;Y$1,'For stats end Y DB'!$A:$G,2,0)),0,VLOOKUP($A13&amp;Y$1,'For stats end Y DB'!$A:$G,2,0))</f>
        <v>0</v>
      </c>
      <c r="Z13">
        <f>IF(ISNA(VLOOKUP($A13&amp;Z$1,'For stats end Y DB'!$A:$G,2,0)),0,VLOOKUP($A13&amp;Z$1,'For stats end Y DB'!$A:$G,2,0))</f>
        <v>4</v>
      </c>
      <c r="AA13">
        <f>IF(ISNA(VLOOKUP($A13&amp;AA$1,'For stats end Y DB'!$A:$G,2,0)),0,VLOOKUP($A13&amp;AA$1,'For stats end Y DB'!$A:$G,2,0))</f>
        <v>1</v>
      </c>
      <c r="AB13">
        <f>IF(ISNA(VLOOKUP($A13&amp;AB$1,'For stats end Y DB'!$A:$G,2,0)),0,VLOOKUP($A13&amp;AB$1,'For stats end Y DB'!$A:$G,2,0))</f>
        <v>6</v>
      </c>
      <c r="AC13">
        <f>IF(ISNA(VLOOKUP($A13&amp;AC$1,'For stats end Y DB'!$A:$G,2,0)),0,VLOOKUP($A13&amp;AC$1,'For stats end Y DB'!$A:$G,2,0))</f>
        <v>0</v>
      </c>
      <c r="AD13">
        <f>IF(ISNA(VLOOKUP($A13&amp;AD$1,'For stats end Y DB'!$A:$G,2,0)),0,VLOOKUP($A13&amp;AD$1,'For stats end Y DB'!$A:$G,2,0))</f>
        <v>0</v>
      </c>
      <c r="AE13">
        <f>IF(ISNA(VLOOKUP($A13&amp;AE$1,'For stats end Y DB'!$A:$G,2,0)),0,VLOOKUP($A13&amp;AE$1,'For stats end Y DB'!$A:$G,2,0))</f>
        <v>0</v>
      </c>
      <c r="AF13">
        <f>IF(ISNA(VLOOKUP($A13&amp;AF$1,'For stats end Y DB'!$A:$G,2,0)),0,VLOOKUP($A13&amp;AF$1,'For stats end Y DB'!$A:$G,2,0))</f>
        <v>0</v>
      </c>
      <c r="AG13">
        <f>IF(ISNA(VLOOKUP($A13&amp;AG$1,'For stats end Y DB'!$A:$G,2,0)),0,VLOOKUP($A13&amp;AG$1,'For stats end Y DB'!$A:$G,2,0))</f>
        <v>0</v>
      </c>
      <c r="AH13">
        <f>IF(ISNA(VLOOKUP($A13&amp;AH$1,'For stats end Y DB'!$A:$G,2,0)),0,VLOOKUP($A13&amp;AH$1,'For stats end Y DB'!$A:$G,2,0))</f>
        <v>0</v>
      </c>
      <c r="AI13">
        <f>IF(ISNA(VLOOKUP($A13&amp;AI$1,'For stats end Y DB'!$A:$G,2,0)),0,VLOOKUP($A13&amp;AI$1,'For stats end Y DB'!$A:$G,2,0))</f>
        <v>0</v>
      </c>
      <c r="AJ13">
        <f>IF(ISNA(VLOOKUP($A13&amp;AJ$1,'For stats end Y DB'!$A:$G,2,0)),0,VLOOKUP($A13&amp;AJ$1,'For stats end Y DB'!$A:$G,2,0))</f>
        <v>0</v>
      </c>
      <c r="AK13">
        <f>IF(ISNA(VLOOKUP($A13&amp;AK$1,'For stats end Y DB'!$A:$G,2,0)),0,VLOOKUP($A13&amp;AK$1,'For stats end Y DB'!$A:$G,2,0))</f>
        <v>0</v>
      </c>
      <c r="AL13">
        <f>IF(ISNA(VLOOKUP($A13&amp;AL$1,'For stats end Y DB'!$A:$G,2,0)),0,VLOOKUP($A13&amp;AL$1,'For stats end Y DB'!$A:$G,2,0))</f>
        <v>0</v>
      </c>
      <c r="AM13">
        <f>IF(ISNA(VLOOKUP($A13&amp;AM$1,'For stats end Y DB'!$A:$G,2,0)),0,VLOOKUP($A13&amp;AM$1,'For stats end Y DB'!$A:$G,2,0))</f>
        <v>0</v>
      </c>
      <c r="AN13">
        <f>IF(ISNA(VLOOKUP($A13&amp;AN$1,'For stats end Y DB'!$A:$G,2,0)),0,VLOOKUP($A13&amp;AN$1,'For stats end Y DB'!$A:$G,2,0))</f>
        <v>0</v>
      </c>
      <c r="AP13" t="str">
        <f t="shared" si="3"/>
        <v>ChrisFrankfurt</v>
      </c>
      <c r="AQ13">
        <f t="shared" si="4"/>
        <v>2</v>
      </c>
      <c r="AR13">
        <f t="shared" si="0"/>
        <v>3</v>
      </c>
      <c r="AS13">
        <f t="shared" si="0"/>
        <v>3</v>
      </c>
      <c r="AT13" s="9">
        <f t="shared" si="1"/>
        <v>0</v>
      </c>
      <c r="AU13">
        <f t="shared" si="2"/>
        <v>13</v>
      </c>
    </row>
    <row r="14" spans="1:47" x14ac:dyDescent="0.2">
      <c r="A14" s="12" t="s">
        <v>546</v>
      </c>
      <c r="B14">
        <f>IF(ISNA(VLOOKUP($A14&amp;B$1,'For stats end Y DB'!$A:$G,2,0)),0,VLOOKUP($A14&amp;B$1,'For stats end Y DB'!$A:$G,2,0))</f>
        <v>0</v>
      </c>
      <c r="C14">
        <f>IF(ISNA(VLOOKUP($A14&amp;C$1,'For stats end Y DB'!$A:$G,2,0)),0,VLOOKUP($A14&amp;C$1,'For stats end Y DB'!$A:$G,2,0))</f>
        <v>0</v>
      </c>
      <c r="D14">
        <f>IF(ISNA(VLOOKUP($A14&amp;D$1,'For stats end Y DB'!$A:$G,2,0)),0,VLOOKUP($A14&amp;D$1,'For stats end Y DB'!$A:$G,2,0))</f>
        <v>0</v>
      </c>
      <c r="E14">
        <f>IF(ISNA(VLOOKUP($A14&amp;E$1,'For stats end Y DB'!$A:$G,2,0)),0,VLOOKUP($A14&amp;E$1,'For stats end Y DB'!$A:$G,2,0))</f>
        <v>0</v>
      </c>
      <c r="F14">
        <f>IF(ISNA(VLOOKUP($A14&amp;F$1,'For stats end Y DB'!$A:$G,2,0)),0,VLOOKUP($A14&amp;F$1,'For stats end Y DB'!$A:$G,2,0))</f>
        <v>0</v>
      </c>
      <c r="G14">
        <f>IF(ISNA(VLOOKUP($A14&amp;G$1,'For stats end Y DB'!$A:$G,2,0)),0,VLOOKUP($A14&amp;G$1,'For stats end Y DB'!$A:$G,2,0))</f>
        <v>0</v>
      </c>
      <c r="H14">
        <f>IF(ISNA(VLOOKUP($A14&amp;H$1,'For stats end Y DB'!$A:$G,2,0)),0,VLOOKUP($A14&amp;H$1,'For stats end Y DB'!$A:$G,2,0))</f>
        <v>0</v>
      </c>
      <c r="I14">
        <f>IF(ISNA(VLOOKUP($A14&amp;I$1,'For stats end Y DB'!$A:$G,2,0)),0,VLOOKUP($A14&amp;I$1,'For stats end Y DB'!$A:$G,2,0))</f>
        <v>0</v>
      </c>
      <c r="J14">
        <f>IF(ISNA(VLOOKUP($A14&amp;J$1,'For stats end Y DB'!$A:$G,2,0)),0,VLOOKUP($A14&amp;J$1,'For stats end Y DB'!$A:$G,2,0))</f>
        <v>3</v>
      </c>
      <c r="K14">
        <f>IF(ISNA(VLOOKUP($A14&amp;K$1,'For stats end Y DB'!$A:$G,2,0)),0,VLOOKUP($A14&amp;K$1,'For stats end Y DB'!$A:$G,2,0))</f>
        <v>0</v>
      </c>
      <c r="L14">
        <f>IF(ISNA(VLOOKUP($A14&amp;L$1,'For stats end Y DB'!$A:$G,2,0)),0,VLOOKUP($A14&amp;L$1,'For stats end Y DB'!$A:$G,2,0))</f>
        <v>0</v>
      </c>
      <c r="M14">
        <f>IF(ISNA(VLOOKUP($A14&amp;M$1,'For stats end Y DB'!$A:$G,2,0)),0,VLOOKUP($A14&amp;M$1,'For stats end Y DB'!$A:$G,2,0))</f>
        <v>0</v>
      </c>
      <c r="N14">
        <f>IF(ISNA(VLOOKUP($A14&amp;N$1,'For stats end Y DB'!$A:$G,2,0)),0,VLOOKUP($A14&amp;N$1,'For stats end Y DB'!$A:$G,2,0))</f>
        <v>0</v>
      </c>
      <c r="O14">
        <f>IF(ISNA(VLOOKUP($A14&amp;O$1,'For stats end Y DB'!$A:$G,2,0)),0,VLOOKUP($A14&amp;O$1,'For stats end Y DB'!$A:$G,2,0))</f>
        <v>0</v>
      </c>
      <c r="P14">
        <f>IF(ISNA(VLOOKUP($A14&amp;P$1,'For stats end Y DB'!$A:$G,2,0)),0,VLOOKUP($A14&amp;P$1,'For stats end Y DB'!$A:$G,2,0))</f>
        <v>0</v>
      </c>
      <c r="Q14">
        <f>IF(ISNA(VLOOKUP($A14&amp;Q$1,'For stats end Y DB'!$A:$G,2,0)),0,VLOOKUP($A14&amp;Q$1,'For stats end Y DB'!$A:$G,2,0))</f>
        <v>0</v>
      </c>
      <c r="R14">
        <f>IF(ISNA(VLOOKUP($A14&amp;R$1,'For stats end Y DB'!$A:$G,2,0)),0,VLOOKUP($A14&amp;R$1,'For stats end Y DB'!$A:$G,2,0))</f>
        <v>0</v>
      </c>
      <c r="S14">
        <f>IF(ISNA(VLOOKUP($A14&amp;S$1,'For stats end Y DB'!$A:$G,2,0)),0,VLOOKUP($A14&amp;S$1,'For stats end Y DB'!$A:$G,2,0))</f>
        <v>0</v>
      </c>
      <c r="T14">
        <f>IF(ISNA(VLOOKUP($A14&amp;T$1,'For stats end Y DB'!$A:$G,2,0)),0,VLOOKUP($A14&amp;T$1,'For stats end Y DB'!$A:$G,2,0))</f>
        <v>0</v>
      </c>
      <c r="U14">
        <f>IF(ISNA(VLOOKUP($A14&amp;U$1,'For stats end Y DB'!$A:$G,2,0)),0,VLOOKUP($A14&amp;U$1,'For stats end Y DB'!$A:$G,2,0))</f>
        <v>0</v>
      </c>
      <c r="V14">
        <f>IF(ISNA(VLOOKUP($A14&amp;V$1,'For stats end Y DB'!$A:$G,2,0)),0,VLOOKUP($A14&amp;V$1,'For stats end Y DB'!$A:$G,2,0))</f>
        <v>0</v>
      </c>
      <c r="W14">
        <f>IF(ISNA(VLOOKUP($A14&amp;W$1,'For stats end Y DB'!$A:$G,2,0)),0,VLOOKUP($A14&amp;W$1,'For stats end Y DB'!$A:$G,2,0))</f>
        <v>0</v>
      </c>
      <c r="X14">
        <f>IF(ISNA(VLOOKUP($A14&amp;X$1,'For stats end Y DB'!$A:$G,2,0)),0,VLOOKUP($A14&amp;X$1,'For stats end Y DB'!$A:$G,2,0))</f>
        <v>0</v>
      </c>
      <c r="Y14">
        <f>IF(ISNA(VLOOKUP($A14&amp;Y$1,'For stats end Y DB'!$A:$G,2,0)),0,VLOOKUP($A14&amp;Y$1,'For stats end Y DB'!$A:$G,2,0))</f>
        <v>0</v>
      </c>
      <c r="Z14">
        <f>IF(ISNA(VLOOKUP($A14&amp;Z$1,'For stats end Y DB'!$A:$G,2,0)),0,VLOOKUP($A14&amp;Z$1,'For stats end Y DB'!$A:$G,2,0))</f>
        <v>0</v>
      </c>
      <c r="AA14">
        <f>IF(ISNA(VLOOKUP($A14&amp;AA$1,'For stats end Y DB'!$A:$G,2,0)),0,VLOOKUP($A14&amp;AA$1,'For stats end Y DB'!$A:$G,2,0))</f>
        <v>0</v>
      </c>
      <c r="AB14">
        <f>IF(ISNA(VLOOKUP($A14&amp;AB$1,'For stats end Y DB'!$A:$G,2,0)),0,VLOOKUP($A14&amp;AB$1,'For stats end Y DB'!$A:$G,2,0))</f>
        <v>0</v>
      </c>
      <c r="AC14">
        <f>IF(ISNA(VLOOKUP($A14&amp;AC$1,'For stats end Y DB'!$A:$G,2,0)),0,VLOOKUP($A14&amp;AC$1,'For stats end Y DB'!$A:$G,2,0))</f>
        <v>0</v>
      </c>
      <c r="AD14">
        <f>IF(ISNA(VLOOKUP($A14&amp;AD$1,'For stats end Y DB'!$A:$G,2,0)),0,VLOOKUP($A14&amp;AD$1,'For stats end Y DB'!$A:$G,2,0))</f>
        <v>0</v>
      </c>
      <c r="AE14">
        <f>IF(ISNA(VLOOKUP($A14&amp;AE$1,'For stats end Y DB'!$A:$G,2,0)),0,VLOOKUP($A14&amp;AE$1,'For stats end Y DB'!$A:$G,2,0))</f>
        <v>0</v>
      </c>
      <c r="AF14">
        <f>IF(ISNA(VLOOKUP($A14&amp;AF$1,'For stats end Y DB'!$A:$G,2,0)),0,VLOOKUP($A14&amp;AF$1,'For stats end Y DB'!$A:$G,2,0))</f>
        <v>0</v>
      </c>
      <c r="AG14">
        <f>IF(ISNA(VLOOKUP($A14&amp;AG$1,'For stats end Y DB'!$A:$G,2,0)),0,VLOOKUP($A14&amp;AG$1,'For stats end Y DB'!$A:$G,2,0))</f>
        <v>0</v>
      </c>
      <c r="AH14">
        <f>IF(ISNA(VLOOKUP($A14&amp;AH$1,'For stats end Y DB'!$A:$G,2,0)),0,VLOOKUP($A14&amp;AH$1,'For stats end Y DB'!$A:$G,2,0))</f>
        <v>0</v>
      </c>
      <c r="AI14">
        <f>IF(ISNA(VLOOKUP($A14&amp;AI$1,'For stats end Y DB'!$A:$G,2,0)),0,VLOOKUP($A14&amp;AI$1,'For stats end Y DB'!$A:$G,2,0))</f>
        <v>0</v>
      </c>
      <c r="AJ14">
        <f>IF(ISNA(VLOOKUP($A14&amp;AJ$1,'For stats end Y DB'!$A:$G,2,0)),0,VLOOKUP($A14&amp;AJ$1,'For stats end Y DB'!$A:$G,2,0))</f>
        <v>0</v>
      </c>
      <c r="AK14">
        <f>IF(ISNA(VLOOKUP($A14&amp;AK$1,'For stats end Y DB'!$A:$G,2,0)),0,VLOOKUP($A14&amp;AK$1,'For stats end Y DB'!$A:$G,2,0))</f>
        <v>0</v>
      </c>
      <c r="AL14">
        <f>IF(ISNA(VLOOKUP($A14&amp;AL$1,'For stats end Y DB'!$A:$G,2,0)),0,VLOOKUP($A14&amp;AL$1,'For stats end Y DB'!$A:$G,2,0))</f>
        <v>0</v>
      </c>
      <c r="AM14">
        <f>IF(ISNA(VLOOKUP($A14&amp;AM$1,'For stats end Y DB'!$A:$G,2,0)),0,VLOOKUP($A14&amp;AM$1,'For stats end Y DB'!$A:$G,2,0))</f>
        <v>0</v>
      </c>
      <c r="AN14">
        <f>IF(ISNA(VLOOKUP($A14&amp;AN$1,'For stats end Y DB'!$A:$G,2,0)),0,VLOOKUP($A14&amp;AN$1,'For stats end Y DB'!$A:$G,2,0))</f>
        <v>0</v>
      </c>
      <c r="AP14" t="str">
        <f t="shared" si="3"/>
        <v>Claire</v>
      </c>
      <c r="AQ14">
        <f t="shared" si="4"/>
        <v>0</v>
      </c>
      <c r="AR14">
        <f t="shared" si="0"/>
        <v>0</v>
      </c>
      <c r="AS14">
        <f t="shared" si="0"/>
        <v>1</v>
      </c>
      <c r="AT14" s="9">
        <f t="shared" si="1"/>
        <v>0</v>
      </c>
      <c r="AU14">
        <f t="shared" si="2"/>
        <v>1</v>
      </c>
    </row>
    <row r="15" spans="1:47" x14ac:dyDescent="0.2">
      <c r="A15" s="12" t="s">
        <v>42</v>
      </c>
      <c r="B15">
        <f>IF(ISNA(VLOOKUP($A15&amp;B$1,'For stats end Y DB'!$A:$G,2,0)),0,VLOOKUP($A15&amp;B$1,'For stats end Y DB'!$A:$G,2,0))</f>
        <v>0</v>
      </c>
      <c r="C15">
        <f>IF(ISNA(VLOOKUP($A15&amp;C$1,'For stats end Y DB'!$A:$G,2,0)),0,VLOOKUP($A15&amp;C$1,'For stats end Y DB'!$A:$G,2,0))</f>
        <v>5</v>
      </c>
      <c r="D15">
        <f>IF(ISNA(VLOOKUP($A15&amp;D$1,'For stats end Y DB'!$A:$G,2,0)),0,VLOOKUP($A15&amp;D$1,'For stats end Y DB'!$A:$G,2,0))</f>
        <v>2</v>
      </c>
      <c r="E15">
        <f>IF(ISNA(VLOOKUP($A15&amp;E$1,'For stats end Y DB'!$A:$G,2,0)),0,VLOOKUP($A15&amp;E$1,'For stats end Y DB'!$A:$G,2,0))</f>
        <v>4</v>
      </c>
      <c r="F15">
        <f>IF(ISNA(VLOOKUP($A15&amp;F$1,'For stats end Y DB'!$A:$G,2,0)),0,VLOOKUP($A15&amp;F$1,'For stats end Y DB'!$A:$G,2,0))</f>
        <v>4</v>
      </c>
      <c r="G15">
        <f>IF(ISNA(VLOOKUP($A15&amp;G$1,'For stats end Y DB'!$A:$G,2,0)),0,VLOOKUP($A15&amp;G$1,'For stats end Y DB'!$A:$G,2,0))</f>
        <v>1</v>
      </c>
      <c r="H15">
        <f>IF(ISNA(VLOOKUP($A15&amp;H$1,'For stats end Y DB'!$A:$G,2,0)),0,VLOOKUP($A15&amp;H$1,'For stats end Y DB'!$A:$G,2,0))</f>
        <v>3</v>
      </c>
      <c r="I15">
        <f>IF(ISNA(VLOOKUP($A15&amp;I$1,'For stats end Y DB'!$A:$G,2,0)),0,VLOOKUP($A15&amp;I$1,'For stats end Y DB'!$A:$G,2,0))</f>
        <v>2</v>
      </c>
      <c r="J15">
        <f>IF(ISNA(VLOOKUP($A15&amp;J$1,'For stats end Y DB'!$A:$G,2,0)),0,VLOOKUP($A15&amp;J$1,'For stats end Y DB'!$A:$G,2,0))</f>
        <v>2</v>
      </c>
      <c r="K15">
        <f>IF(ISNA(VLOOKUP($A15&amp;K$1,'For stats end Y DB'!$A:$G,2,0)),0,VLOOKUP($A15&amp;K$1,'For stats end Y DB'!$A:$G,2,0))</f>
        <v>4</v>
      </c>
      <c r="L15">
        <f>IF(ISNA(VLOOKUP($A15&amp;L$1,'For stats end Y DB'!$A:$G,2,0)),0,VLOOKUP($A15&amp;L$1,'For stats end Y DB'!$A:$G,2,0))</f>
        <v>1</v>
      </c>
      <c r="M15">
        <f>IF(ISNA(VLOOKUP($A15&amp;M$1,'For stats end Y DB'!$A:$G,2,0)),0,VLOOKUP($A15&amp;M$1,'For stats end Y DB'!$A:$G,2,0))</f>
        <v>5</v>
      </c>
      <c r="N15">
        <f>IF(ISNA(VLOOKUP($A15&amp;N$1,'For stats end Y DB'!$A:$G,2,0)),0,VLOOKUP($A15&amp;N$1,'For stats end Y DB'!$A:$G,2,0))</f>
        <v>1</v>
      </c>
      <c r="O15">
        <f>IF(ISNA(VLOOKUP($A15&amp;O$1,'For stats end Y DB'!$A:$G,2,0)),0,VLOOKUP($A15&amp;O$1,'For stats end Y DB'!$A:$G,2,0))</f>
        <v>3</v>
      </c>
      <c r="P15">
        <f>IF(ISNA(VLOOKUP($A15&amp;P$1,'For stats end Y DB'!$A:$G,2,0)),0,VLOOKUP($A15&amp;P$1,'For stats end Y DB'!$A:$G,2,0))</f>
        <v>1</v>
      </c>
      <c r="Q15">
        <f>IF(ISNA(VLOOKUP($A15&amp;Q$1,'For stats end Y DB'!$A:$G,2,0)),0,VLOOKUP($A15&amp;Q$1,'For stats end Y DB'!$A:$G,2,0))</f>
        <v>4</v>
      </c>
      <c r="R15">
        <f>IF(ISNA(VLOOKUP($A15&amp;R$1,'For stats end Y DB'!$A:$G,2,0)),0,VLOOKUP($A15&amp;R$1,'For stats end Y DB'!$A:$G,2,0))</f>
        <v>5</v>
      </c>
      <c r="S15">
        <f>IF(ISNA(VLOOKUP($A15&amp;S$1,'For stats end Y DB'!$A:$G,2,0)),0,VLOOKUP($A15&amp;S$1,'For stats end Y DB'!$A:$G,2,0))</f>
        <v>0</v>
      </c>
      <c r="T15">
        <f>IF(ISNA(VLOOKUP($A15&amp;T$1,'For stats end Y DB'!$A:$G,2,0)),0,VLOOKUP($A15&amp;T$1,'For stats end Y DB'!$A:$G,2,0))</f>
        <v>0</v>
      </c>
      <c r="U15">
        <f>IF(ISNA(VLOOKUP($A15&amp;U$1,'For stats end Y DB'!$A:$G,2,0)),0,VLOOKUP($A15&amp;U$1,'For stats end Y DB'!$A:$G,2,0))</f>
        <v>6</v>
      </c>
      <c r="V15">
        <f>IF(ISNA(VLOOKUP($A15&amp;V$1,'For stats end Y DB'!$A:$G,2,0)),0,VLOOKUP($A15&amp;V$1,'For stats end Y DB'!$A:$G,2,0))</f>
        <v>6</v>
      </c>
      <c r="W15">
        <f>IF(ISNA(VLOOKUP($A15&amp;W$1,'For stats end Y DB'!$A:$G,2,0)),0,VLOOKUP($A15&amp;W$1,'For stats end Y DB'!$A:$G,2,0))</f>
        <v>0</v>
      </c>
      <c r="X15">
        <f>IF(ISNA(VLOOKUP($A15&amp;X$1,'For stats end Y DB'!$A:$G,2,0)),0,VLOOKUP($A15&amp;X$1,'For stats end Y DB'!$A:$G,2,0))</f>
        <v>5</v>
      </c>
      <c r="Y15">
        <f>IF(ISNA(VLOOKUP($A15&amp;Y$1,'For stats end Y DB'!$A:$G,2,0)),0,VLOOKUP($A15&amp;Y$1,'For stats end Y DB'!$A:$G,2,0))</f>
        <v>6</v>
      </c>
      <c r="Z15">
        <f>IF(ISNA(VLOOKUP($A15&amp;Z$1,'For stats end Y DB'!$A:$G,2,0)),0,VLOOKUP($A15&amp;Z$1,'For stats end Y DB'!$A:$G,2,0))</f>
        <v>4</v>
      </c>
      <c r="AA15">
        <f>IF(ISNA(VLOOKUP($A15&amp;AA$1,'For stats end Y DB'!$A:$G,2,0)),0,VLOOKUP($A15&amp;AA$1,'For stats end Y DB'!$A:$G,2,0))</f>
        <v>1</v>
      </c>
      <c r="AB15">
        <f>IF(ISNA(VLOOKUP($A15&amp;AB$1,'For stats end Y DB'!$A:$G,2,0)),0,VLOOKUP($A15&amp;AB$1,'For stats end Y DB'!$A:$G,2,0))</f>
        <v>5</v>
      </c>
      <c r="AC15">
        <f>IF(ISNA(VLOOKUP($A15&amp;AC$1,'For stats end Y DB'!$A:$G,2,0)),0,VLOOKUP($A15&amp;AC$1,'For stats end Y DB'!$A:$G,2,0))</f>
        <v>0</v>
      </c>
      <c r="AD15">
        <f>IF(ISNA(VLOOKUP($A15&amp;AD$1,'For stats end Y DB'!$A:$G,2,0)),0,VLOOKUP($A15&amp;AD$1,'For stats end Y DB'!$A:$G,2,0))</f>
        <v>2</v>
      </c>
      <c r="AE15">
        <f>IF(ISNA(VLOOKUP($A15&amp;AE$1,'For stats end Y DB'!$A:$G,2,0)),0,VLOOKUP($A15&amp;AE$1,'For stats end Y DB'!$A:$G,2,0))</f>
        <v>7</v>
      </c>
      <c r="AF15">
        <f>IF(ISNA(VLOOKUP($A15&amp;AF$1,'For stats end Y DB'!$A:$G,2,0)),0,VLOOKUP($A15&amp;AF$1,'For stats end Y DB'!$A:$G,2,0))</f>
        <v>5</v>
      </c>
      <c r="AG15">
        <f>IF(ISNA(VLOOKUP($A15&amp;AG$1,'For stats end Y DB'!$A:$G,2,0)),0,VLOOKUP($A15&amp;AG$1,'For stats end Y DB'!$A:$G,2,0))</f>
        <v>0</v>
      </c>
      <c r="AH15">
        <f>IF(ISNA(VLOOKUP($A15&amp;AH$1,'For stats end Y DB'!$A:$G,2,0)),0,VLOOKUP($A15&amp;AH$1,'For stats end Y DB'!$A:$G,2,0))</f>
        <v>5</v>
      </c>
      <c r="AI15">
        <f>IF(ISNA(VLOOKUP($A15&amp;AI$1,'For stats end Y DB'!$A:$G,2,0)),0,VLOOKUP($A15&amp;AI$1,'For stats end Y DB'!$A:$G,2,0))</f>
        <v>0</v>
      </c>
      <c r="AJ15">
        <f>IF(ISNA(VLOOKUP($A15&amp;AJ$1,'For stats end Y DB'!$A:$G,2,0)),0,VLOOKUP($A15&amp;AJ$1,'For stats end Y DB'!$A:$G,2,0))</f>
        <v>0</v>
      </c>
      <c r="AK15">
        <f>IF(ISNA(VLOOKUP($A15&amp;AK$1,'For stats end Y DB'!$A:$G,2,0)),0,VLOOKUP($A15&amp;AK$1,'For stats end Y DB'!$A:$G,2,0))</f>
        <v>0</v>
      </c>
      <c r="AL15">
        <f>IF(ISNA(VLOOKUP($A15&amp;AL$1,'For stats end Y DB'!$A:$G,2,0)),0,VLOOKUP($A15&amp;AL$1,'For stats end Y DB'!$A:$G,2,0))</f>
        <v>0</v>
      </c>
      <c r="AM15">
        <f>IF(ISNA(VLOOKUP($A15&amp;AM$1,'For stats end Y DB'!$A:$G,2,0)),0,VLOOKUP($A15&amp;AM$1,'For stats end Y DB'!$A:$G,2,0))</f>
        <v>0</v>
      </c>
      <c r="AN15">
        <f>IF(ISNA(VLOOKUP($A15&amp;AN$1,'For stats end Y DB'!$A:$G,2,0)),0,VLOOKUP($A15&amp;AN$1,'For stats end Y DB'!$A:$G,2,0))</f>
        <v>0</v>
      </c>
      <c r="AP15" t="str">
        <f t="shared" si="3"/>
        <v>Claptou</v>
      </c>
      <c r="AQ15">
        <f t="shared" si="4"/>
        <v>5</v>
      </c>
      <c r="AR15">
        <f t="shared" si="0"/>
        <v>4</v>
      </c>
      <c r="AS15">
        <f t="shared" si="0"/>
        <v>2</v>
      </c>
      <c r="AT15" s="9">
        <f t="shared" si="1"/>
        <v>0</v>
      </c>
      <c r="AU15">
        <f t="shared" si="2"/>
        <v>27</v>
      </c>
    </row>
    <row r="16" spans="1:47" x14ac:dyDescent="0.2">
      <c r="A16" s="12" t="s">
        <v>25</v>
      </c>
      <c r="B16">
        <f>IF(ISNA(VLOOKUP($A16&amp;B$1,'For stats end Y DB'!$A:$G,2,0)),0,VLOOKUP($A16&amp;B$1,'For stats end Y DB'!$A:$G,2,0))</f>
        <v>4</v>
      </c>
      <c r="C16">
        <f>IF(ISNA(VLOOKUP($A16&amp;C$1,'For stats end Y DB'!$A:$G,2,0)),0,VLOOKUP($A16&amp;C$1,'For stats end Y DB'!$A:$G,2,0))</f>
        <v>5</v>
      </c>
      <c r="D16">
        <f>IF(ISNA(VLOOKUP($A16&amp;D$1,'For stats end Y DB'!$A:$G,2,0)),0,VLOOKUP($A16&amp;D$1,'For stats end Y DB'!$A:$G,2,0))</f>
        <v>4</v>
      </c>
      <c r="E16">
        <f>IF(ISNA(VLOOKUP($A16&amp;E$1,'For stats end Y DB'!$A:$G,2,0)),0,VLOOKUP($A16&amp;E$1,'For stats end Y DB'!$A:$G,2,0))</f>
        <v>3</v>
      </c>
      <c r="F16">
        <f>IF(ISNA(VLOOKUP($A16&amp;F$1,'For stats end Y DB'!$A:$G,2,0)),0,VLOOKUP($A16&amp;F$1,'For stats end Y DB'!$A:$G,2,0))</f>
        <v>3</v>
      </c>
      <c r="G16">
        <f>IF(ISNA(VLOOKUP($A16&amp;G$1,'For stats end Y DB'!$A:$G,2,0)),0,VLOOKUP($A16&amp;G$1,'For stats end Y DB'!$A:$G,2,0))</f>
        <v>1</v>
      </c>
      <c r="H16">
        <f>IF(ISNA(VLOOKUP($A16&amp;H$1,'For stats end Y DB'!$A:$G,2,0)),0,VLOOKUP($A16&amp;H$1,'For stats end Y DB'!$A:$G,2,0))</f>
        <v>2</v>
      </c>
      <c r="I16">
        <f>IF(ISNA(VLOOKUP($A16&amp;I$1,'For stats end Y DB'!$A:$G,2,0)),0,VLOOKUP($A16&amp;I$1,'For stats end Y DB'!$A:$G,2,0))</f>
        <v>1</v>
      </c>
      <c r="J16">
        <f>IF(ISNA(VLOOKUP($A16&amp;J$1,'For stats end Y DB'!$A:$G,2,0)),0,VLOOKUP($A16&amp;J$1,'For stats end Y DB'!$A:$G,2,0))</f>
        <v>3</v>
      </c>
      <c r="K16">
        <f>IF(ISNA(VLOOKUP($A16&amp;K$1,'For stats end Y DB'!$A:$G,2,0)),0,VLOOKUP($A16&amp;K$1,'For stats end Y DB'!$A:$G,2,0))</f>
        <v>2</v>
      </c>
      <c r="L16">
        <f>IF(ISNA(VLOOKUP($A16&amp;L$1,'For stats end Y DB'!$A:$G,2,0)),0,VLOOKUP($A16&amp;L$1,'For stats end Y DB'!$A:$G,2,0))</f>
        <v>1</v>
      </c>
      <c r="M16">
        <f>IF(ISNA(VLOOKUP($A16&amp;M$1,'For stats end Y DB'!$A:$G,2,0)),0,VLOOKUP($A16&amp;M$1,'For stats end Y DB'!$A:$G,2,0))</f>
        <v>2</v>
      </c>
      <c r="N16">
        <f>IF(ISNA(VLOOKUP($A16&amp;N$1,'For stats end Y DB'!$A:$G,2,0)),0,VLOOKUP($A16&amp;N$1,'For stats end Y DB'!$A:$G,2,0))</f>
        <v>2</v>
      </c>
      <c r="O16">
        <f>IF(ISNA(VLOOKUP($A16&amp;O$1,'For stats end Y DB'!$A:$G,2,0)),0,VLOOKUP($A16&amp;O$1,'For stats end Y DB'!$A:$G,2,0))</f>
        <v>2</v>
      </c>
      <c r="P16">
        <f>IF(ISNA(VLOOKUP($A16&amp;P$1,'For stats end Y DB'!$A:$G,2,0)),0,VLOOKUP($A16&amp;P$1,'For stats end Y DB'!$A:$G,2,0))</f>
        <v>2</v>
      </c>
      <c r="Q16">
        <f>IF(ISNA(VLOOKUP($A16&amp;Q$1,'For stats end Y DB'!$A:$G,2,0)),0,VLOOKUP($A16&amp;Q$1,'For stats end Y DB'!$A:$G,2,0))</f>
        <v>7</v>
      </c>
      <c r="R16">
        <f>IF(ISNA(VLOOKUP($A16&amp;R$1,'For stats end Y DB'!$A:$G,2,0)),0,VLOOKUP($A16&amp;R$1,'For stats end Y DB'!$A:$G,2,0))</f>
        <v>5</v>
      </c>
      <c r="S16">
        <f>IF(ISNA(VLOOKUP($A16&amp;S$1,'For stats end Y DB'!$A:$G,2,0)),0,VLOOKUP($A16&amp;S$1,'For stats end Y DB'!$A:$G,2,0))</f>
        <v>1</v>
      </c>
      <c r="T16">
        <f>IF(ISNA(VLOOKUP($A16&amp;T$1,'For stats end Y DB'!$A:$G,2,0)),0,VLOOKUP($A16&amp;T$1,'For stats end Y DB'!$A:$G,2,0))</f>
        <v>2</v>
      </c>
      <c r="U16">
        <f>IF(ISNA(VLOOKUP($A16&amp;U$1,'For stats end Y DB'!$A:$G,2,0)),0,VLOOKUP($A16&amp;U$1,'For stats end Y DB'!$A:$G,2,0))</f>
        <v>5</v>
      </c>
      <c r="V16">
        <f>IF(ISNA(VLOOKUP($A16&amp;V$1,'For stats end Y DB'!$A:$G,2,0)),0,VLOOKUP($A16&amp;V$1,'For stats end Y DB'!$A:$G,2,0))</f>
        <v>2</v>
      </c>
      <c r="W16">
        <f>IF(ISNA(VLOOKUP($A16&amp;W$1,'For stats end Y DB'!$A:$G,2,0)),0,VLOOKUP($A16&amp;W$1,'For stats end Y DB'!$A:$G,2,0))</f>
        <v>3</v>
      </c>
      <c r="X16">
        <f>IF(ISNA(VLOOKUP($A16&amp;X$1,'For stats end Y DB'!$A:$G,2,0)),0,VLOOKUP($A16&amp;X$1,'For stats end Y DB'!$A:$G,2,0))</f>
        <v>4</v>
      </c>
      <c r="Y16">
        <f>IF(ISNA(VLOOKUP($A16&amp;Y$1,'For stats end Y DB'!$A:$G,2,0)),0,VLOOKUP($A16&amp;Y$1,'For stats end Y DB'!$A:$G,2,0))</f>
        <v>7</v>
      </c>
      <c r="Z16">
        <f>IF(ISNA(VLOOKUP($A16&amp;Z$1,'For stats end Y DB'!$A:$G,2,0)),0,VLOOKUP($A16&amp;Z$1,'For stats end Y DB'!$A:$G,2,0))</f>
        <v>4</v>
      </c>
      <c r="AA16">
        <f>IF(ISNA(VLOOKUP($A16&amp;AA$1,'For stats end Y DB'!$A:$G,2,0)),0,VLOOKUP($A16&amp;AA$1,'For stats end Y DB'!$A:$G,2,0))</f>
        <v>4</v>
      </c>
      <c r="AB16">
        <f>IF(ISNA(VLOOKUP($A16&amp;AB$1,'For stats end Y DB'!$A:$G,2,0)),0,VLOOKUP($A16&amp;AB$1,'For stats end Y DB'!$A:$G,2,0))</f>
        <v>4</v>
      </c>
      <c r="AC16">
        <f>IF(ISNA(VLOOKUP($A16&amp;AC$1,'For stats end Y DB'!$A:$G,2,0)),0,VLOOKUP($A16&amp;AC$1,'For stats end Y DB'!$A:$G,2,0))</f>
        <v>7</v>
      </c>
      <c r="AD16">
        <f>IF(ISNA(VLOOKUP($A16&amp;AD$1,'For stats end Y DB'!$A:$G,2,0)),0,VLOOKUP($A16&amp;AD$1,'For stats end Y DB'!$A:$G,2,0))</f>
        <v>3</v>
      </c>
      <c r="AE16">
        <f>IF(ISNA(VLOOKUP($A16&amp;AE$1,'For stats end Y DB'!$A:$G,2,0)),0,VLOOKUP($A16&amp;AE$1,'For stats end Y DB'!$A:$G,2,0))</f>
        <v>7</v>
      </c>
      <c r="AF16">
        <f>IF(ISNA(VLOOKUP($A16&amp;AF$1,'For stats end Y DB'!$A:$G,2,0)),0,VLOOKUP($A16&amp;AF$1,'For stats end Y DB'!$A:$G,2,0))</f>
        <v>4</v>
      </c>
      <c r="AG16">
        <f>IF(ISNA(VLOOKUP($A16&amp;AG$1,'For stats end Y DB'!$A:$G,2,0)),0,VLOOKUP($A16&amp;AG$1,'For stats end Y DB'!$A:$G,2,0))</f>
        <v>2</v>
      </c>
      <c r="AH16">
        <f>IF(ISNA(VLOOKUP($A16&amp;AH$1,'For stats end Y DB'!$A:$G,2,0)),0,VLOOKUP($A16&amp;AH$1,'For stats end Y DB'!$A:$G,2,0))</f>
        <v>5</v>
      </c>
      <c r="AI16">
        <f>IF(ISNA(VLOOKUP($A16&amp;AI$1,'For stats end Y DB'!$A:$G,2,0)),0,VLOOKUP($A16&amp;AI$1,'For stats end Y DB'!$A:$G,2,0))</f>
        <v>0</v>
      </c>
      <c r="AJ16">
        <f>IF(ISNA(VLOOKUP($A16&amp;AJ$1,'For stats end Y DB'!$A:$G,2,0)),0,VLOOKUP($A16&amp;AJ$1,'For stats end Y DB'!$A:$G,2,0))</f>
        <v>0</v>
      </c>
      <c r="AK16">
        <f>IF(ISNA(VLOOKUP($A16&amp;AK$1,'For stats end Y DB'!$A:$G,2,0)),0,VLOOKUP($A16&amp;AK$1,'For stats end Y DB'!$A:$G,2,0))</f>
        <v>0</v>
      </c>
      <c r="AL16">
        <f>IF(ISNA(VLOOKUP($A16&amp;AL$1,'For stats end Y DB'!$A:$G,2,0)),0,VLOOKUP($A16&amp;AL$1,'For stats end Y DB'!$A:$G,2,0))</f>
        <v>0</v>
      </c>
      <c r="AM16">
        <f>IF(ISNA(VLOOKUP($A16&amp;AM$1,'For stats end Y DB'!$A:$G,2,0)),0,VLOOKUP($A16&amp;AM$1,'For stats end Y DB'!$A:$G,2,0))</f>
        <v>0</v>
      </c>
      <c r="AN16">
        <f>IF(ISNA(VLOOKUP($A16&amp;AN$1,'For stats end Y DB'!$A:$G,2,0)),0,VLOOKUP($A16&amp;AN$1,'For stats end Y DB'!$A:$G,2,0))</f>
        <v>0</v>
      </c>
      <c r="AP16" t="str">
        <f t="shared" si="3"/>
        <v>Claudius</v>
      </c>
      <c r="AQ16">
        <f t="shared" si="4"/>
        <v>4</v>
      </c>
      <c r="AR16">
        <f t="shared" si="0"/>
        <v>9</v>
      </c>
      <c r="AS16">
        <f t="shared" si="0"/>
        <v>5</v>
      </c>
      <c r="AT16" s="9">
        <f t="shared" si="1"/>
        <v>0.30769230769230771</v>
      </c>
      <c r="AU16">
        <f t="shared" si="2"/>
        <v>33</v>
      </c>
    </row>
    <row r="17" spans="1:47" x14ac:dyDescent="0.2">
      <c r="A17" s="12" t="s">
        <v>99</v>
      </c>
      <c r="B17">
        <f>IF(ISNA(VLOOKUP($A17&amp;B$1,'For stats end Y DB'!$A:$G,2,0)),0,VLOOKUP($A17&amp;B$1,'For stats end Y DB'!$A:$G,2,0))</f>
        <v>0</v>
      </c>
      <c r="C17">
        <f>IF(ISNA(VLOOKUP($A17&amp;C$1,'For stats end Y DB'!$A:$G,2,0)),0,VLOOKUP($A17&amp;C$1,'For stats end Y DB'!$A:$G,2,0))</f>
        <v>0</v>
      </c>
      <c r="D17">
        <f>IF(ISNA(VLOOKUP($A17&amp;D$1,'For stats end Y DB'!$A:$G,2,0)),0,VLOOKUP($A17&amp;D$1,'For stats end Y DB'!$A:$G,2,0))</f>
        <v>0</v>
      </c>
      <c r="E17">
        <f>IF(ISNA(VLOOKUP($A17&amp;E$1,'For stats end Y DB'!$A:$G,2,0)),0,VLOOKUP($A17&amp;E$1,'For stats end Y DB'!$A:$G,2,0))</f>
        <v>0</v>
      </c>
      <c r="F17">
        <f>IF(ISNA(VLOOKUP($A17&amp;F$1,'For stats end Y DB'!$A:$G,2,0)),0,VLOOKUP($A17&amp;F$1,'For stats end Y DB'!$A:$G,2,0))</f>
        <v>7</v>
      </c>
      <c r="G17">
        <f>IF(ISNA(VLOOKUP($A17&amp;G$1,'For stats end Y DB'!$A:$G,2,0)),0,VLOOKUP($A17&amp;G$1,'For stats end Y DB'!$A:$G,2,0))</f>
        <v>0</v>
      </c>
      <c r="H17">
        <f>IF(ISNA(VLOOKUP($A17&amp;H$1,'For stats end Y DB'!$A:$G,2,0)),0,VLOOKUP($A17&amp;H$1,'For stats end Y DB'!$A:$G,2,0))</f>
        <v>0</v>
      </c>
      <c r="I17">
        <f>IF(ISNA(VLOOKUP($A17&amp;I$1,'For stats end Y DB'!$A:$G,2,0)),0,VLOOKUP($A17&amp;I$1,'For stats end Y DB'!$A:$G,2,0))</f>
        <v>0</v>
      </c>
      <c r="J17">
        <f>IF(ISNA(VLOOKUP($A17&amp;J$1,'For stats end Y DB'!$A:$G,2,0)),0,VLOOKUP($A17&amp;J$1,'For stats end Y DB'!$A:$G,2,0))</f>
        <v>0</v>
      </c>
      <c r="K17">
        <f>IF(ISNA(VLOOKUP($A17&amp;K$1,'For stats end Y DB'!$A:$G,2,0)),0,VLOOKUP($A17&amp;K$1,'For stats end Y DB'!$A:$G,2,0))</f>
        <v>0</v>
      </c>
      <c r="L17">
        <f>IF(ISNA(VLOOKUP($A17&amp;L$1,'For stats end Y DB'!$A:$G,2,0)),0,VLOOKUP($A17&amp;L$1,'For stats end Y DB'!$A:$G,2,0))</f>
        <v>0</v>
      </c>
      <c r="M17">
        <f>IF(ISNA(VLOOKUP($A17&amp;M$1,'For stats end Y DB'!$A:$G,2,0)),0,VLOOKUP($A17&amp;M$1,'For stats end Y DB'!$A:$G,2,0))</f>
        <v>0</v>
      </c>
      <c r="N17">
        <f>IF(ISNA(VLOOKUP($A17&amp;N$1,'For stats end Y DB'!$A:$G,2,0)),0,VLOOKUP($A17&amp;N$1,'For stats end Y DB'!$A:$G,2,0))</f>
        <v>0</v>
      </c>
      <c r="O17">
        <f>IF(ISNA(VLOOKUP($A17&amp;O$1,'For stats end Y DB'!$A:$G,2,0)),0,VLOOKUP($A17&amp;O$1,'For stats end Y DB'!$A:$G,2,0))</f>
        <v>0</v>
      </c>
      <c r="P17">
        <f>IF(ISNA(VLOOKUP($A17&amp;P$1,'For stats end Y DB'!$A:$G,2,0)),0,VLOOKUP($A17&amp;P$1,'For stats end Y DB'!$A:$G,2,0))</f>
        <v>0</v>
      </c>
      <c r="Q17">
        <f>IF(ISNA(VLOOKUP($A17&amp;Q$1,'For stats end Y DB'!$A:$G,2,0)),0,VLOOKUP($A17&amp;Q$1,'For stats end Y DB'!$A:$G,2,0))</f>
        <v>0</v>
      </c>
      <c r="R17">
        <f>IF(ISNA(VLOOKUP($A17&amp;R$1,'For stats end Y DB'!$A:$G,2,0)),0,VLOOKUP($A17&amp;R$1,'For stats end Y DB'!$A:$G,2,0))</f>
        <v>0</v>
      </c>
      <c r="S17">
        <f>IF(ISNA(VLOOKUP($A17&amp;S$1,'For stats end Y DB'!$A:$G,2,0)),0,VLOOKUP($A17&amp;S$1,'For stats end Y DB'!$A:$G,2,0))</f>
        <v>0</v>
      </c>
      <c r="T17">
        <f>IF(ISNA(VLOOKUP($A17&amp;T$1,'For stats end Y DB'!$A:$G,2,0)),0,VLOOKUP($A17&amp;T$1,'For stats end Y DB'!$A:$G,2,0))</f>
        <v>0</v>
      </c>
      <c r="U17">
        <f>IF(ISNA(VLOOKUP($A17&amp;U$1,'For stats end Y DB'!$A:$G,2,0)),0,VLOOKUP($A17&amp;U$1,'For stats end Y DB'!$A:$G,2,0))</f>
        <v>0</v>
      </c>
      <c r="V17">
        <f>IF(ISNA(VLOOKUP($A17&amp;V$1,'For stats end Y DB'!$A:$G,2,0)),0,VLOOKUP($A17&amp;V$1,'For stats end Y DB'!$A:$G,2,0))</f>
        <v>0</v>
      </c>
      <c r="W17">
        <f>IF(ISNA(VLOOKUP($A17&amp;W$1,'For stats end Y DB'!$A:$G,2,0)),0,VLOOKUP($A17&amp;W$1,'For stats end Y DB'!$A:$G,2,0))</f>
        <v>0</v>
      </c>
      <c r="X17">
        <f>IF(ISNA(VLOOKUP($A17&amp;X$1,'For stats end Y DB'!$A:$G,2,0)),0,VLOOKUP($A17&amp;X$1,'For stats end Y DB'!$A:$G,2,0))</f>
        <v>0</v>
      </c>
      <c r="Y17">
        <f>IF(ISNA(VLOOKUP($A17&amp;Y$1,'For stats end Y DB'!$A:$G,2,0)),0,VLOOKUP($A17&amp;Y$1,'For stats end Y DB'!$A:$G,2,0))</f>
        <v>0</v>
      </c>
      <c r="Z17">
        <f>IF(ISNA(VLOOKUP($A17&amp;Z$1,'For stats end Y DB'!$A:$G,2,0)),0,VLOOKUP($A17&amp;Z$1,'For stats end Y DB'!$A:$G,2,0))</f>
        <v>0</v>
      </c>
      <c r="AA17">
        <f>IF(ISNA(VLOOKUP($A17&amp;AA$1,'For stats end Y DB'!$A:$G,2,0)),0,VLOOKUP($A17&amp;AA$1,'For stats end Y DB'!$A:$G,2,0))</f>
        <v>0</v>
      </c>
      <c r="AB17">
        <f>IF(ISNA(VLOOKUP($A17&amp;AB$1,'For stats end Y DB'!$A:$G,2,0)),0,VLOOKUP($A17&amp;AB$1,'For stats end Y DB'!$A:$G,2,0))</f>
        <v>0</v>
      </c>
      <c r="AC17">
        <f>IF(ISNA(VLOOKUP($A17&amp;AC$1,'For stats end Y DB'!$A:$G,2,0)),0,VLOOKUP($A17&amp;AC$1,'For stats end Y DB'!$A:$G,2,0))</f>
        <v>0</v>
      </c>
      <c r="AD17">
        <f>IF(ISNA(VLOOKUP($A17&amp;AD$1,'For stats end Y DB'!$A:$G,2,0)),0,VLOOKUP($A17&amp;AD$1,'For stats end Y DB'!$A:$G,2,0))</f>
        <v>0</v>
      </c>
      <c r="AE17">
        <f>IF(ISNA(VLOOKUP($A17&amp;AE$1,'For stats end Y DB'!$A:$G,2,0)),0,VLOOKUP($A17&amp;AE$1,'For stats end Y DB'!$A:$G,2,0))</f>
        <v>0</v>
      </c>
      <c r="AF17">
        <f>IF(ISNA(VLOOKUP($A17&amp;AF$1,'For stats end Y DB'!$A:$G,2,0)),0,VLOOKUP($A17&amp;AF$1,'For stats end Y DB'!$A:$G,2,0))</f>
        <v>0</v>
      </c>
      <c r="AG17">
        <f>IF(ISNA(VLOOKUP($A17&amp;AG$1,'For stats end Y DB'!$A:$G,2,0)),0,VLOOKUP($A17&amp;AG$1,'For stats end Y DB'!$A:$G,2,0))</f>
        <v>0</v>
      </c>
      <c r="AH17">
        <f>IF(ISNA(VLOOKUP($A17&amp;AH$1,'For stats end Y DB'!$A:$G,2,0)),0,VLOOKUP($A17&amp;AH$1,'For stats end Y DB'!$A:$G,2,0))</f>
        <v>0</v>
      </c>
      <c r="AI17">
        <f>IF(ISNA(VLOOKUP($A17&amp;AI$1,'For stats end Y DB'!$A:$G,2,0)),0,VLOOKUP($A17&amp;AI$1,'For stats end Y DB'!$A:$G,2,0))</f>
        <v>0</v>
      </c>
      <c r="AJ17">
        <f>IF(ISNA(VLOOKUP($A17&amp;AJ$1,'For stats end Y DB'!$A:$G,2,0)),0,VLOOKUP($A17&amp;AJ$1,'For stats end Y DB'!$A:$G,2,0))</f>
        <v>0</v>
      </c>
      <c r="AK17">
        <f>IF(ISNA(VLOOKUP($A17&amp;AK$1,'For stats end Y DB'!$A:$G,2,0)),0,VLOOKUP($A17&amp;AK$1,'For stats end Y DB'!$A:$G,2,0))</f>
        <v>0</v>
      </c>
      <c r="AL17">
        <f>IF(ISNA(VLOOKUP($A17&amp;AL$1,'For stats end Y DB'!$A:$G,2,0)),0,VLOOKUP($A17&amp;AL$1,'For stats end Y DB'!$A:$G,2,0))</f>
        <v>0</v>
      </c>
      <c r="AM17">
        <f>IF(ISNA(VLOOKUP($A17&amp;AM$1,'For stats end Y DB'!$A:$G,2,0)),0,VLOOKUP($A17&amp;AM$1,'For stats end Y DB'!$A:$G,2,0))</f>
        <v>0</v>
      </c>
      <c r="AN17">
        <f>IF(ISNA(VLOOKUP($A17&amp;AN$1,'For stats end Y DB'!$A:$G,2,0)),0,VLOOKUP($A17&amp;AN$1,'For stats end Y DB'!$A:$G,2,0))</f>
        <v>0</v>
      </c>
      <c r="AP17" t="str">
        <f t="shared" si="3"/>
        <v>CoachNasser</v>
      </c>
      <c r="AQ17">
        <f t="shared" si="4"/>
        <v>0</v>
      </c>
      <c r="AR17">
        <f t="shared" si="0"/>
        <v>0</v>
      </c>
      <c r="AS17">
        <f t="shared" si="0"/>
        <v>0</v>
      </c>
      <c r="AT17" s="9">
        <f t="shared" si="1"/>
        <v>0</v>
      </c>
      <c r="AU17">
        <f t="shared" si="2"/>
        <v>1</v>
      </c>
    </row>
    <row r="18" spans="1:47" x14ac:dyDescent="0.2">
      <c r="A18" s="12" t="s">
        <v>76</v>
      </c>
      <c r="B18">
        <f>IF(ISNA(VLOOKUP($A18&amp;B$1,'For stats end Y DB'!$A:$G,2,0)),0,VLOOKUP($A18&amp;B$1,'For stats end Y DB'!$A:$G,2,0))</f>
        <v>0</v>
      </c>
      <c r="C18">
        <f>IF(ISNA(VLOOKUP($A18&amp;C$1,'For stats end Y DB'!$A:$G,2,0)),0,VLOOKUP($A18&amp;C$1,'For stats end Y DB'!$A:$G,2,0))</f>
        <v>3</v>
      </c>
      <c r="D18">
        <f>IF(ISNA(VLOOKUP($A18&amp;D$1,'For stats end Y DB'!$A:$G,2,0)),0,VLOOKUP($A18&amp;D$1,'For stats end Y DB'!$A:$G,2,0))</f>
        <v>5</v>
      </c>
      <c r="E18">
        <f>IF(ISNA(VLOOKUP($A18&amp;E$1,'For stats end Y DB'!$A:$G,2,0)),0,VLOOKUP($A18&amp;E$1,'For stats end Y DB'!$A:$G,2,0))</f>
        <v>0</v>
      </c>
      <c r="F18">
        <f>IF(ISNA(VLOOKUP($A18&amp;F$1,'For stats end Y DB'!$A:$G,2,0)),0,VLOOKUP($A18&amp;F$1,'For stats end Y DB'!$A:$G,2,0))</f>
        <v>4</v>
      </c>
      <c r="G18">
        <f>IF(ISNA(VLOOKUP($A18&amp;G$1,'For stats end Y DB'!$A:$G,2,0)),0,VLOOKUP($A18&amp;G$1,'For stats end Y DB'!$A:$G,2,0))</f>
        <v>2</v>
      </c>
      <c r="H18">
        <f>IF(ISNA(VLOOKUP($A18&amp;H$1,'For stats end Y DB'!$A:$G,2,0)),0,VLOOKUP($A18&amp;H$1,'For stats end Y DB'!$A:$G,2,0))</f>
        <v>0</v>
      </c>
      <c r="I18">
        <f>IF(ISNA(VLOOKUP($A18&amp;I$1,'For stats end Y DB'!$A:$G,2,0)),0,VLOOKUP($A18&amp;I$1,'For stats end Y DB'!$A:$G,2,0))</f>
        <v>4</v>
      </c>
      <c r="J18">
        <f>IF(ISNA(VLOOKUP($A18&amp;J$1,'For stats end Y DB'!$A:$G,2,0)),0,VLOOKUP($A18&amp;J$1,'For stats end Y DB'!$A:$G,2,0))</f>
        <v>0</v>
      </c>
      <c r="K18">
        <f>IF(ISNA(VLOOKUP($A18&amp;K$1,'For stats end Y DB'!$A:$G,2,0)),0,VLOOKUP($A18&amp;K$1,'For stats end Y DB'!$A:$G,2,0))</f>
        <v>5</v>
      </c>
      <c r="L18">
        <f>IF(ISNA(VLOOKUP($A18&amp;L$1,'For stats end Y DB'!$A:$G,2,0)),0,VLOOKUP($A18&amp;L$1,'For stats end Y DB'!$A:$G,2,0))</f>
        <v>0</v>
      </c>
      <c r="M18">
        <f>IF(ISNA(VLOOKUP($A18&amp;M$1,'For stats end Y DB'!$A:$G,2,0)),0,VLOOKUP($A18&amp;M$1,'For stats end Y DB'!$A:$G,2,0))</f>
        <v>5</v>
      </c>
      <c r="N18">
        <f>IF(ISNA(VLOOKUP($A18&amp;N$1,'For stats end Y DB'!$A:$G,2,0)),0,VLOOKUP($A18&amp;N$1,'For stats end Y DB'!$A:$G,2,0))</f>
        <v>6</v>
      </c>
      <c r="O18">
        <f>IF(ISNA(VLOOKUP($A18&amp;O$1,'For stats end Y DB'!$A:$G,2,0)),0,VLOOKUP($A18&amp;O$1,'For stats end Y DB'!$A:$G,2,0))</f>
        <v>6</v>
      </c>
      <c r="P18">
        <f>IF(ISNA(VLOOKUP($A18&amp;P$1,'For stats end Y DB'!$A:$G,2,0)),0,VLOOKUP($A18&amp;P$1,'For stats end Y DB'!$A:$G,2,0))</f>
        <v>2</v>
      </c>
      <c r="Q18">
        <f>IF(ISNA(VLOOKUP($A18&amp;Q$1,'For stats end Y DB'!$A:$G,2,0)),0,VLOOKUP($A18&amp;Q$1,'For stats end Y DB'!$A:$G,2,0))</f>
        <v>0</v>
      </c>
      <c r="R18">
        <f>IF(ISNA(VLOOKUP($A18&amp;R$1,'For stats end Y DB'!$A:$G,2,0)),0,VLOOKUP($A18&amp;R$1,'For stats end Y DB'!$A:$G,2,0))</f>
        <v>2</v>
      </c>
      <c r="S18">
        <f>IF(ISNA(VLOOKUP($A18&amp;S$1,'For stats end Y DB'!$A:$G,2,0)),0,VLOOKUP($A18&amp;S$1,'For stats end Y DB'!$A:$G,2,0))</f>
        <v>5</v>
      </c>
      <c r="T18">
        <f>IF(ISNA(VLOOKUP($A18&amp;T$1,'For stats end Y DB'!$A:$G,2,0)),0,VLOOKUP($A18&amp;T$1,'For stats end Y DB'!$A:$G,2,0))</f>
        <v>0</v>
      </c>
      <c r="U18">
        <f>IF(ISNA(VLOOKUP($A18&amp;U$1,'For stats end Y DB'!$A:$G,2,0)),0,VLOOKUP($A18&amp;U$1,'For stats end Y DB'!$A:$G,2,0))</f>
        <v>0</v>
      </c>
      <c r="V18">
        <f>IF(ISNA(VLOOKUP($A18&amp;V$1,'For stats end Y DB'!$A:$G,2,0)),0,VLOOKUP($A18&amp;V$1,'For stats end Y DB'!$A:$G,2,0))</f>
        <v>3</v>
      </c>
      <c r="W18">
        <f>IF(ISNA(VLOOKUP($A18&amp;W$1,'For stats end Y DB'!$A:$G,2,0)),0,VLOOKUP($A18&amp;W$1,'For stats end Y DB'!$A:$G,2,0))</f>
        <v>0</v>
      </c>
      <c r="X18">
        <f>IF(ISNA(VLOOKUP($A18&amp;X$1,'For stats end Y DB'!$A:$G,2,0)),0,VLOOKUP($A18&amp;X$1,'For stats end Y DB'!$A:$G,2,0))</f>
        <v>7</v>
      </c>
      <c r="Y18">
        <f>IF(ISNA(VLOOKUP($A18&amp;Y$1,'For stats end Y DB'!$A:$G,2,0)),0,VLOOKUP($A18&amp;Y$1,'For stats end Y DB'!$A:$G,2,0))</f>
        <v>7</v>
      </c>
      <c r="Z18">
        <f>IF(ISNA(VLOOKUP($A18&amp;Z$1,'For stats end Y DB'!$A:$G,2,0)),0,VLOOKUP($A18&amp;Z$1,'For stats end Y DB'!$A:$G,2,0))</f>
        <v>2</v>
      </c>
      <c r="AA18">
        <f>IF(ISNA(VLOOKUP($A18&amp;AA$1,'For stats end Y DB'!$A:$G,2,0)),0,VLOOKUP($A18&amp;AA$1,'For stats end Y DB'!$A:$G,2,0))</f>
        <v>3</v>
      </c>
      <c r="AB18">
        <f>IF(ISNA(VLOOKUP($A18&amp;AB$1,'For stats end Y DB'!$A:$G,2,0)),0,VLOOKUP($A18&amp;AB$1,'For stats end Y DB'!$A:$G,2,0))</f>
        <v>6</v>
      </c>
      <c r="AC18">
        <f>IF(ISNA(VLOOKUP($A18&amp;AC$1,'For stats end Y DB'!$A:$G,2,0)),0,VLOOKUP($A18&amp;AC$1,'For stats end Y DB'!$A:$G,2,0))</f>
        <v>6</v>
      </c>
      <c r="AD18">
        <f>IF(ISNA(VLOOKUP($A18&amp;AD$1,'For stats end Y DB'!$A:$G,2,0)),0,VLOOKUP($A18&amp;AD$1,'For stats end Y DB'!$A:$G,2,0))</f>
        <v>0</v>
      </c>
      <c r="AE18">
        <f>IF(ISNA(VLOOKUP($A18&amp;AE$1,'For stats end Y DB'!$A:$G,2,0)),0,VLOOKUP($A18&amp;AE$1,'For stats end Y DB'!$A:$G,2,0))</f>
        <v>0</v>
      </c>
      <c r="AF18">
        <f>IF(ISNA(VLOOKUP($A18&amp;AF$1,'For stats end Y DB'!$A:$G,2,0)),0,VLOOKUP($A18&amp;AF$1,'For stats end Y DB'!$A:$G,2,0))</f>
        <v>5</v>
      </c>
      <c r="AG18">
        <f>IF(ISNA(VLOOKUP($A18&amp;AG$1,'For stats end Y DB'!$A:$G,2,0)),0,VLOOKUP($A18&amp;AG$1,'For stats end Y DB'!$A:$G,2,0))</f>
        <v>2</v>
      </c>
      <c r="AH18">
        <f>IF(ISNA(VLOOKUP($A18&amp;AH$1,'For stats end Y DB'!$A:$G,2,0)),0,VLOOKUP($A18&amp;AH$1,'For stats end Y DB'!$A:$G,2,0))</f>
        <v>2</v>
      </c>
      <c r="AI18">
        <f>IF(ISNA(VLOOKUP($A18&amp;AI$1,'For stats end Y DB'!$A:$G,2,0)),0,VLOOKUP($A18&amp;AI$1,'For stats end Y DB'!$A:$G,2,0))</f>
        <v>0</v>
      </c>
      <c r="AJ18">
        <f>IF(ISNA(VLOOKUP($A18&amp;AJ$1,'For stats end Y DB'!$A:$G,2,0)),0,VLOOKUP($A18&amp;AJ$1,'For stats end Y DB'!$A:$G,2,0))</f>
        <v>0</v>
      </c>
      <c r="AK18">
        <f>IF(ISNA(VLOOKUP($A18&amp;AK$1,'For stats end Y DB'!$A:$G,2,0)),0,VLOOKUP($A18&amp;AK$1,'For stats end Y DB'!$A:$G,2,0))</f>
        <v>0</v>
      </c>
      <c r="AL18">
        <f>IF(ISNA(VLOOKUP($A18&amp;AL$1,'For stats end Y DB'!$A:$G,2,0)),0,VLOOKUP($A18&amp;AL$1,'For stats end Y DB'!$A:$G,2,0))</f>
        <v>0</v>
      </c>
      <c r="AM18">
        <f>IF(ISNA(VLOOKUP($A18&amp;AM$1,'For stats end Y DB'!$A:$G,2,0)),0,VLOOKUP($A18&amp;AM$1,'For stats end Y DB'!$A:$G,2,0))</f>
        <v>0</v>
      </c>
      <c r="AN18">
        <f>IF(ISNA(VLOOKUP($A18&amp;AN$1,'For stats end Y DB'!$A:$G,2,0)),0,VLOOKUP($A18&amp;AN$1,'For stats end Y DB'!$A:$G,2,0))</f>
        <v>0</v>
      </c>
      <c r="AP18" t="str">
        <f t="shared" si="3"/>
        <v>Comment2</v>
      </c>
      <c r="AQ18">
        <f t="shared" si="4"/>
        <v>0</v>
      </c>
      <c r="AR18">
        <f t="shared" si="4"/>
        <v>6</v>
      </c>
      <c r="AS18">
        <f t="shared" si="4"/>
        <v>3</v>
      </c>
      <c r="AT18" s="9">
        <f t="shared" si="1"/>
        <v>0</v>
      </c>
      <c r="AU18">
        <f t="shared" si="2"/>
        <v>22</v>
      </c>
    </row>
    <row r="19" spans="1:47" x14ac:dyDescent="0.2">
      <c r="A19" s="12" t="s">
        <v>280</v>
      </c>
      <c r="B19">
        <f>IF(ISNA(VLOOKUP($A19&amp;B$1,'For stats end Y DB'!$A:$G,2,0)),0,VLOOKUP($A19&amp;B$1,'For stats end Y DB'!$A:$G,2,0))</f>
        <v>0</v>
      </c>
      <c r="C19">
        <f>IF(ISNA(VLOOKUP($A19&amp;C$1,'For stats end Y DB'!$A:$G,2,0)),0,VLOOKUP($A19&amp;C$1,'For stats end Y DB'!$A:$G,2,0))</f>
        <v>0</v>
      </c>
      <c r="D19">
        <f>IF(ISNA(VLOOKUP($A19&amp;D$1,'For stats end Y DB'!$A:$G,2,0)),0,VLOOKUP($A19&amp;D$1,'For stats end Y DB'!$A:$G,2,0))</f>
        <v>0</v>
      </c>
      <c r="E19">
        <f>IF(ISNA(VLOOKUP($A19&amp;E$1,'For stats end Y DB'!$A:$G,2,0)),0,VLOOKUP($A19&amp;E$1,'For stats end Y DB'!$A:$G,2,0))</f>
        <v>2</v>
      </c>
      <c r="F19">
        <f>IF(ISNA(VLOOKUP($A19&amp;F$1,'For stats end Y DB'!$A:$G,2,0)),0,VLOOKUP($A19&amp;F$1,'For stats end Y DB'!$A:$G,2,0))</f>
        <v>3</v>
      </c>
      <c r="G19">
        <f>IF(ISNA(VLOOKUP($A19&amp;G$1,'For stats end Y DB'!$A:$G,2,0)),0,VLOOKUP($A19&amp;G$1,'For stats end Y DB'!$A:$G,2,0))</f>
        <v>7</v>
      </c>
      <c r="H19">
        <f>IF(ISNA(VLOOKUP($A19&amp;H$1,'For stats end Y DB'!$A:$G,2,0)),0,VLOOKUP($A19&amp;H$1,'For stats end Y DB'!$A:$G,2,0))</f>
        <v>6</v>
      </c>
      <c r="I19">
        <f>IF(ISNA(VLOOKUP($A19&amp;I$1,'For stats end Y DB'!$A:$G,2,0)),0,VLOOKUP($A19&amp;I$1,'For stats end Y DB'!$A:$G,2,0))</f>
        <v>3</v>
      </c>
      <c r="J19">
        <f>IF(ISNA(VLOOKUP($A19&amp;J$1,'For stats end Y DB'!$A:$G,2,0)),0,VLOOKUP($A19&amp;J$1,'For stats end Y DB'!$A:$G,2,0))</f>
        <v>4</v>
      </c>
      <c r="K19">
        <f>IF(ISNA(VLOOKUP($A19&amp;K$1,'For stats end Y DB'!$A:$G,2,0)),0,VLOOKUP($A19&amp;K$1,'For stats end Y DB'!$A:$G,2,0))</f>
        <v>3</v>
      </c>
      <c r="L19">
        <f>IF(ISNA(VLOOKUP($A19&amp;L$1,'For stats end Y DB'!$A:$G,2,0)),0,VLOOKUP($A19&amp;L$1,'For stats end Y DB'!$A:$G,2,0))</f>
        <v>1</v>
      </c>
      <c r="M19">
        <f>IF(ISNA(VLOOKUP($A19&amp;M$1,'For stats end Y DB'!$A:$G,2,0)),0,VLOOKUP($A19&amp;M$1,'For stats end Y DB'!$A:$G,2,0))</f>
        <v>5</v>
      </c>
      <c r="N19">
        <f>IF(ISNA(VLOOKUP($A19&amp;N$1,'For stats end Y DB'!$A:$G,2,0)),0,VLOOKUP($A19&amp;N$1,'For stats end Y DB'!$A:$G,2,0))</f>
        <v>3</v>
      </c>
      <c r="O19">
        <f>IF(ISNA(VLOOKUP($A19&amp;O$1,'For stats end Y DB'!$A:$G,2,0)),0,VLOOKUP($A19&amp;O$1,'For stats end Y DB'!$A:$G,2,0))</f>
        <v>0</v>
      </c>
      <c r="P19">
        <f>IF(ISNA(VLOOKUP($A19&amp;P$1,'For stats end Y DB'!$A:$G,2,0)),0,VLOOKUP($A19&amp;P$1,'For stats end Y DB'!$A:$G,2,0))</f>
        <v>3</v>
      </c>
      <c r="Q19">
        <f>IF(ISNA(VLOOKUP($A19&amp;Q$1,'For stats end Y DB'!$A:$G,2,0)),0,VLOOKUP($A19&amp;Q$1,'For stats end Y DB'!$A:$G,2,0))</f>
        <v>0</v>
      </c>
      <c r="R19">
        <f>IF(ISNA(VLOOKUP($A19&amp;R$1,'For stats end Y DB'!$A:$G,2,0)),0,VLOOKUP($A19&amp;R$1,'For stats end Y DB'!$A:$G,2,0))</f>
        <v>3</v>
      </c>
      <c r="S19">
        <f>IF(ISNA(VLOOKUP($A19&amp;S$1,'For stats end Y DB'!$A:$G,2,0)),0,VLOOKUP($A19&amp;S$1,'For stats end Y DB'!$A:$G,2,0))</f>
        <v>5</v>
      </c>
      <c r="T19">
        <f>IF(ISNA(VLOOKUP($A19&amp;T$1,'For stats end Y DB'!$A:$G,2,0)),0,VLOOKUP($A19&amp;T$1,'For stats end Y DB'!$A:$G,2,0))</f>
        <v>6</v>
      </c>
      <c r="U19">
        <f>IF(ISNA(VLOOKUP($A19&amp;U$1,'For stats end Y DB'!$A:$G,2,0)),0,VLOOKUP($A19&amp;U$1,'For stats end Y DB'!$A:$G,2,0))</f>
        <v>2</v>
      </c>
      <c r="V19">
        <f>IF(ISNA(VLOOKUP($A19&amp;V$1,'For stats end Y DB'!$A:$G,2,0)),0,VLOOKUP($A19&amp;V$1,'For stats end Y DB'!$A:$G,2,0))</f>
        <v>4</v>
      </c>
      <c r="W19">
        <f>IF(ISNA(VLOOKUP($A19&amp;W$1,'For stats end Y DB'!$A:$G,2,0)),0,VLOOKUP($A19&amp;W$1,'For stats end Y DB'!$A:$G,2,0))</f>
        <v>0</v>
      </c>
      <c r="X19">
        <f>IF(ISNA(VLOOKUP($A19&amp;X$1,'For stats end Y DB'!$A:$G,2,0)),0,VLOOKUP($A19&amp;X$1,'For stats end Y DB'!$A:$G,2,0))</f>
        <v>6</v>
      </c>
      <c r="Y19">
        <f>IF(ISNA(VLOOKUP($A19&amp;Y$1,'For stats end Y DB'!$A:$G,2,0)),0,VLOOKUP($A19&amp;Y$1,'For stats end Y DB'!$A:$G,2,0))</f>
        <v>6</v>
      </c>
      <c r="Z19">
        <f>IF(ISNA(VLOOKUP($A19&amp;Z$1,'For stats end Y DB'!$A:$G,2,0)),0,VLOOKUP($A19&amp;Z$1,'For stats end Y DB'!$A:$G,2,0))</f>
        <v>5</v>
      </c>
      <c r="AA19">
        <f>IF(ISNA(VLOOKUP($A19&amp;AA$1,'For stats end Y DB'!$A:$G,2,0)),0,VLOOKUP($A19&amp;AA$1,'For stats end Y DB'!$A:$G,2,0))</f>
        <v>6</v>
      </c>
      <c r="AB19">
        <f>IF(ISNA(VLOOKUP($A19&amp;AB$1,'For stats end Y DB'!$A:$G,2,0)),0,VLOOKUP($A19&amp;AB$1,'For stats end Y DB'!$A:$G,2,0))</f>
        <v>6</v>
      </c>
      <c r="AC19">
        <f>IF(ISNA(VLOOKUP($A19&amp;AC$1,'For stats end Y DB'!$A:$G,2,0)),0,VLOOKUP($A19&amp;AC$1,'For stats end Y DB'!$A:$G,2,0))</f>
        <v>3</v>
      </c>
      <c r="AD19">
        <f>IF(ISNA(VLOOKUP($A19&amp;AD$1,'For stats end Y DB'!$A:$G,2,0)),0,VLOOKUP($A19&amp;AD$1,'For stats end Y DB'!$A:$G,2,0))</f>
        <v>0</v>
      </c>
      <c r="AE19">
        <f>IF(ISNA(VLOOKUP($A19&amp;AE$1,'For stats end Y DB'!$A:$G,2,0)),0,VLOOKUP($A19&amp;AE$1,'For stats end Y DB'!$A:$G,2,0))</f>
        <v>2</v>
      </c>
      <c r="AF19">
        <f>IF(ISNA(VLOOKUP($A19&amp;AF$1,'For stats end Y DB'!$A:$G,2,0)),0,VLOOKUP($A19&amp;AF$1,'For stats end Y DB'!$A:$G,2,0))</f>
        <v>7</v>
      </c>
      <c r="AG19">
        <f>IF(ISNA(VLOOKUP($A19&amp;AG$1,'For stats end Y DB'!$A:$G,2,0)),0,VLOOKUP($A19&amp;AG$1,'For stats end Y DB'!$A:$G,2,0))</f>
        <v>3</v>
      </c>
      <c r="AH19">
        <f>IF(ISNA(VLOOKUP($A19&amp;AH$1,'For stats end Y DB'!$A:$G,2,0)),0,VLOOKUP($A19&amp;AH$1,'For stats end Y DB'!$A:$G,2,0))</f>
        <v>2</v>
      </c>
      <c r="AI19">
        <f>IF(ISNA(VLOOKUP($A19&amp;AI$1,'For stats end Y DB'!$A:$G,2,0)),0,VLOOKUP($A19&amp;AI$1,'For stats end Y DB'!$A:$G,2,0))</f>
        <v>0</v>
      </c>
      <c r="AJ19">
        <f>IF(ISNA(VLOOKUP($A19&amp;AJ$1,'For stats end Y DB'!$A:$G,2,0)),0,VLOOKUP($A19&amp;AJ$1,'For stats end Y DB'!$A:$G,2,0))</f>
        <v>0</v>
      </c>
      <c r="AK19">
        <f>IF(ISNA(VLOOKUP($A19&amp;AK$1,'For stats end Y DB'!$A:$G,2,0)),0,VLOOKUP($A19&amp;AK$1,'For stats end Y DB'!$A:$G,2,0))</f>
        <v>0</v>
      </c>
      <c r="AL19">
        <f>IF(ISNA(VLOOKUP($A19&amp;AL$1,'For stats end Y DB'!$A:$G,2,0)),0,VLOOKUP($A19&amp;AL$1,'For stats end Y DB'!$A:$G,2,0))</f>
        <v>0</v>
      </c>
      <c r="AM19">
        <f>IF(ISNA(VLOOKUP($A19&amp;AM$1,'For stats end Y DB'!$A:$G,2,0)),0,VLOOKUP($A19&amp;AM$1,'For stats end Y DB'!$A:$G,2,0))</f>
        <v>0</v>
      </c>
      <c r="AN19">
        <f>IF(ISNA(VLOOKUP($A19&amp;AN$1,'For stats end Y DB'!$A:$G,2,0)),0,VLOOKUP($A19&amp;AN$1,'For stats end Y DB'!$A:$G,2,0))</f>
        <v>0</v>
      </c>
      <c r="AP19" t="str">
        <f t="shared" si="3"/>
        <v>Delgres</v>
      </c>
      <c r="AQ19">
        <f t="shared" si="4"/>
        <v>1</v>
      </c>
      <c r="AR19">
        <f t="shared" si="4"/>
        <v>4</v>
      </c>
      <c r="AS19">
        <f t="shared" si="4"/>
        <v>8</v>
      </c>
      <c r="AT19" s="9">
        <f t="shared" si="1"/>
        <v>0</v>
      </c>
      <c r="AU19">
        <f t="shared" si="2"/>
        <v>26</v>
      </c>
    </row>
    <row r="20" spans="1:47" x14ac:dyDescent="0.2">
      <c r="A20" s="12" t="s">
        <v>490</v>
      </c>
      <c r="B20">
        <f>IF(ISNA(VLOOKUP($A20&amp;B$1,'For stats end Y DB'!$A:$G,2,0)),0,VLOOKUP($A20&amp;B$1,'For stats end Y DB'!$A:$G,2,0))</f>
        <v>2</v>
      </c>
      <c r="C20">
        <f>IF(ISNA(VLOOKUP($A20&amp;C$1,'For stats end Y DB'!$A:$G,2,0)),0,VLOOKUP($A20&amp;C$1,'For stats end Y DB'!$A:$G,2,0))</f>
        <v>4</v>
      </c>
      <c r="D20">
        <f>IF(ISNA(VLOOKUP($A20&amp;D$1,'For stats end Y DB'!$A:$G,2,0)),0,VLOOKUP($A20&amp;D$1,'For stats end Y DB'!$A:$G,2,0))</f>
        <v>2</v>
      </c>
      <c r="E20">
        <f>IF(ISNA(VLOOKUP($A20&amp;E$1,'For stats end Y DB'!$A:$G,2,0)),0,VLOOKUP($A20&amp;E$1,'For stats end Y DB'!$A:$G,2,0))</f>
        <v>1</v>
      </c>
      <c r="F20">
        <f>IF(ISNA(VLOOKUP($A20&amp;F$1,'For stats end Y DB'!$A:$G,2,0)),0,VLOOKUP($A20&amp;F$1,'For stats end Y DB'!$A:$G,2,0))</f>
        <v>0</v>
      </c>
      <c r="G20">
        <f>IF(ISNA(VLOOKUP($A20&amp;G$1,'For stats end Y DB'!$A:$G,2,0)),0,VLOOKUP($A20&amp;G$1,'For stats end Y DB'!$A:$G,2,0))</f>
        <v>5</v>
      </c>
      <c r="H20">
        <f>IF(ISNA(VLOOKUP($A20&amp;H$1,'For stats end Y DB'!$A:$G,2,0)),0,VLOOKUP($A20&amp;H$1,'For stats end Y DB'!$A:$G,2,0))</f>
        <v>1</v>
      </c>
      <c r="I20">
        <f>IF(ISNA(VLOOKUP($A20&amp;I$1,'For stats end Y DB'!$A:$G,2,0)),0,VLOOKUP($A20&amp;I$1,'For stats end Y DB'!$A:$G,2,0))</f>
        <v>5</v>
      </c>
      <c r="J20">
        <f>IF(ISNA(VLOOKUP($A20&amp;J$1,'For stats end Y DB'!$A:$G,2,0)),0,VLOOKUP($A20&amp;J$1,'For stats end Y DB'!$A:$G,2,0))</f>
        <v>2</v>
      </c>
      <c r="K20">
        <f>IF(ISNA(VLOOKUP($A20&amp;K$1,'For stats end Y DB'!$A:$G,2,0)),0,VLOOKUP($A20&amp;K$1,'For stats end Y DB'!$A:$G,2,0))</f>
        <v>4</v>
      </c>
      <c r="L20">
        <f>IF(ISNA(VLOOKUP($A20&amp;L$1,'For stats end Y DB'!$A:$G,2,0)),0,VLOOKUP($A20&amp;L$1,'For stats end Y DB'!$A:$G,2,0))</f>
        <v>3</v>
      </c>
      <c r="M20">
        <f>IF(ISNA(VLOOKUP($A20&amp;M$1,'For stats end Y DB'!$A:$G,2,0)),0,VLOOKUP($A20&amp;M$1,'For stats end Y DB'!$A:$G,2,0))</f>
        <v>1</v>
      </c>
      <c r="N20">
        <f>IF(ISNA(VLOOKUP($A20&amp;N$1,'For stats end Y DB'!$A:$G,2,0)),0,VLOOKUP($A20&amp;N$1,'For stats end Y DB'!$A:$G,2,0))</f>
        <v>0</v>
      </c>
      <c r="O20">
        <f>IF(ISNA(VLOOKUP($A20&amp;O$1,'For stats end Y DB'!$A:$G,2,0)),0,VLOOKUP($A20&amp;O$1,'For stats end Y DB'!$A:$G,2,0))</f>
        <v>4</v>
      </c>
      <c r="P20">
        <f>IF(ISNA(VLOOKUP($A20&amp;P$1,'For stats end Y DB'!$A:$G,2,0)),0,VLOOKUP($A20&amp;P$1,'For stats end Y DB'!$A:$G,2,0))</f>
        <v>3</v>
      </c>
      <c r="Q20">
        <f>IF(ISNA(VLOOKUP($A20&amp;Q$1,'For stats end Y DB'!$A:$G,2,0)),0,VLOOKUP($A20&amp;Q$1,'For stats end Y DB'!$A:$G,2,0))</f>
        <v>3</v>
      </c>
      <c r="R20">
        <f>IF(ISNA(VLOOKUP($A20&amp;R$1,'For stats end Y DB'!$A:$G,2,0)),0,VLOOKUP($A20&amp;R$1,'For stats end Y DB'!$A:$G,2,0))</f>
        <v>2</v>
      </c>
      <c r="S20">
        <f>IF(ISNA(VLOOKUP($A20&amp;S$1,'For stats end Y DB'!$A:$G,2,0)),0,VLOOKUP($A20&amp;S$1,'For stats end Y DB'!$A:$G,2,0))</f>
        <v>4</v>
      </c>
      <c r="T20">
        <f>IF(ISNA(VLOOKUP($A20&amp;T$1,'For stats end Y DB'!$A:$G,2,0)),0,VLOOKUP($A20&amp;T$1,'For stats end Y DB'!$A:$G,2,0))</f>
        <v>5</v>
      </c>
      <c r="U20">
        <f>IF(ISNA(VLOOKUP($A20&amp;U$1,'For stats end Y DB'!$A:$G,2,0)),0,VLOOKUP($A20&amp;U$1,'For stats end Y DB'!$A:$G,2,0))</f>
        <v>0</v>
      </c>
      <c r="V20">
        <f>IF(ISNA(VLOOKUP($A20&amp;V$1,'For stats end Y DB'!$A:$G,2,0)),0,VLOOKUP($A20&amp;V$1,'For stats end Y DB'!$A:$G,2,0))</f>
        <v>0</v>
      </c>
      <c r="W20">
        <f>IF(ISNA(VLOOKUP($A20&amp;W$1,'For stats end Y DB'!$A:$G,2,0)),0,VLOOKUP($A20&amp;W$1,'For stats end Y DB'!$A:$G,2,0))</f>
        <v>1</v>
      </c>
      <c r="X20">
        <f>IF(ISNA(VLOOKUP($A20&amp;X$1,'For stats end Y DB'!$A:$G,2,0)),0,VLOOKUP($A20&amp;X$1,'For stats end Y DB'!$A:$G,2,0))</f>
        <v>1</v>
      </c>
      <c r="Y20">
        <f>IF(ISNA(VLOOKUP($A20&amp;Y$1,'For stats end Y DB'!$A:$G,2,0)),0,VLOOKUP($A20&amp;Y$1,'For stats end Y DB'!$A:$G,2,0))</f>
        <v>3</v>
      </c>
      <c r="Z20">
        <f>IF(ISNA(VLOOKUP($A20&amp;Z$1,'For stats end Y DB'!$A:$G,2,0)),0,VLOOKUP($A20&amp;Z$1,'For stats end Y DB'!$A:$G,2,0))</f>
        <v>4</v>
      </c>
      <c r="AA20">
        <f>IF(ISNA(VLOOKUP($A20&amp;AA$1,'For stats end Y DB'!$A:$G,2,0)),0,VLOOKUP($A20&amp;AA$1,'For stats end Y DB'!$A:$G,2,0))</f>
        <v>2</v>
      </c>
      <c r="AB20">
        <f>IF(ISNA(VLOOKUP($A20&amp;AB$1,'For stats end Y DB'!$A:$G,2,0)),0,VLOOKUP($A20&amp;AB$1,'For stats end Y DB'!$A:$G,2,0))</f>
        <v>0</v>
      </c>
      <c r="AC20">
        <f>IF(ISNA(VLOOKUP($A20&amp;AC$1,'For stats end Y DB'!$A:$G,2,0)),0,VLOOKUP($A20&amp;AC$1,'For stats end Y DB'!$A:$G,2,0))</f>
        <v>6</v>
      </c>
      <c r="AD20">
        <f>IF(ISNA(VLOOKUP($A20&amp;AD$1,'For stats end Y DB'!$A:$G,2,0)),0,VLOOKUP($A20&amp;AD$1,'For stats end Y DB'!$A:$G,2,0))</f>
        <v>1</v>
      </c>
      <c r="AE20">
        <f>IF(ISNA(VLOOKUP($A20&amp;AE$1,'For stats end Y DB'!$A:$G,2,0)),0,VLOOKUP($A20&amp;AE$1,'For stats end Y DB'!$A:$G,2,0))</f>
        <v>3</v>
      </c>
      <c r="AF20">
        <f>IF(ISNA(VLOOKUP($A20&amp;AF$1,'For stats end Y DB'!$A:$G,2,0)),0,VLOOKUP($A20&amp;AF$1,'For stats end Y DB'!$A:$G,2,0))</f>
        <v>2</v>
      </c>
      <c r="AG20">
        <f>IF(ISNA(VLOOKUP($A20&amp;AG$1,'For stats end Y DB'!$A:$G,2,0)),0,VLOOKUP($A20&amp;AG$1,'For stats end Y DB'!$A:$G,2,0))</f>
        <v>4</v>
      </c>
      <c r="AH20">
        <f>IF(ISNA(VLOOKUP($A20&amp;AH$1,'For stats end Y DB'!$A:$G,2,0)),0,VLOOKUP($A20&amp;AH$1,'For stats end Y DB'!$A:$G,2,0))</f>
        <v>3</v>
      </c>
      <c r="AI20">
        <f>IF(ISNA(VLOOKUP($A20&amp;AI$1,'For stats end Y DB'!$A:$G,2,0)),0,VLOOKUP($A20&amp;AI$1,'For stats end Y DB'!$A:$G,2,0))</f>
        <v>0</v>
      </c>
      <c r="AJ20">
        <f>IF(ISNA(VLOOKUP($A20&amp;AJ$1,'For stats end Y DB'!$A:$G,2,0)),0,VLOOKUP($A20&amp;AJ$1,'For stats end Y DB'!$A:$G,2,0))</f>
        <v>0</v>
      </c>
      <c r="AK20">
        <f>IF(ISNA(VLOOKUP($A20&amp;AK$1,'For stats end Y DB'!$A:$G,2,0)),0,VLOOKUP($A20&amp;AK$1,'For stats end Y DB'!$A:$G,2,0))</f>
        <v>0</v>
      </c>
      <c r="AL20">
        <f>IF(ISNA(VLOOKUP($A20&amp;AL$1,'For stats end Y DB'!$A:$G,2,0)),0,VLOOKUP($A20&amp;AL$1,'For stats end Y DB'!$A:$G,2,0))</f>
        <v>0</v>
      </c>
      <c r="AM20">
        <f>IF(ISNA(VLOOKUP($A20&amp;AM$1,'For stats end Y DB'!$A:$G,2,0)),0,VLOOKUP($A20&amp;AM$1,'For stats end Y DB'!$A:$G,2,0))</f>
        <v>0</v>
      </c>
      <c r="AN20">
        <f>IF(ISNA(VLOOKUP($A20&amp;AN$1,'For stats end Y DB'!$A:$G,2,0)),0,VLOOKUP($A20&amp;AN$1,'For stats end Y DB'!$A:$G,2,0))</f>
        <v>0</v>
      </c>
      <c r="AP20" t="str">
        <f t="shared" si="3"/>
        <v>DernierPli</v>
      </c>
      <c r="AQ20">
        <f t="shared" si="4"/>
        <v>6</v>
      </c>
      <c r="AR20">
        <f t="shared" si="4"/>
        <v>6</v>
      </c>
      <c r="AS20">
        <f t="shared" si="4"/>
        <v>6</v>
      </c>
      <c r="AT20" s="9">
        <f t="shared" si="1"/>
        <v>0.5</v>
      </c>
      <c r="AU20">
        <f t="shared" si="2"/>
        <v>28</v>
      </c>
    </row>
    <row r="21" spans="1:47" x14ac:dyDescent="0.2">
      <c r="A21" s="12" t="s">
        <v>461</v>
      </c>
      <c r="B21">
        <f>IF(ISNA(VLOOKUP($A21&amp;B$1,'For stats end Y DB'!$A:$G,2,0)),0,VLOOKUP($A21&amp;B$1,'For stats end Y DB'!$A:$G,2,0))</f>
        <v>4</v>
      </c>
      <c r="C21">
        <f>IF(ISNA(VLOOKUP($A21&amp;C$1,'For stats end Y DB'!$A:$G,2,0)),0,VLOOKUP($A21&amp;C$1,'For stats end Y DB'!$A:$G,2,0))</f>
        <v>6</v>
      </c>
      <c r="D21">
        <f>IF(ISNA(VLOOKUP($A21&amp;D$1,'For stats end Y DB'!$A:$G,2,0)),0,VLOOKUP($A21&amp;D$1,'For stats end Y DB'!$A:$G,2,0))</f>
        <v>3</v>
      </c>
      <c r="E21">
        <f>IF(ISNA(VLOOKUP($A21&amp;E$1,'For stats end Y DB'!$A:$G,2,0)),0,VLOOKUP($A21&amp;E$1,'For stats end Y DB'!$A:$G,2,0))</f>
        <v>1</v>
      </c>
      <c r="F21">
        <f>IF(ISNA(VLOOKUP($A21&amp;F$1,'For stats end Y DB'!$A:$G,2,0)),0,VLOOKUP($A21&amp;F$1,'For stats end Y DB'!$A:$G,2,0))</f>
        <v>2</v>
      </c>
      <c r="G21">
        <f>IF(ISNA(VLOOKUP($A21&amp;G$1,'For stats end Y DB'!$A:$G,2,0)),0,VLOOKUP($A21&amp;G$1,'For stats end Y DB'!$A:$G,2,0))</f>
        <v>3</v>
      </c>
      <c r="H21">
        <f>IF(ISNA(VLOOKUP($A21&amp;H$1,'For stats end Y DB'!$A:$G,2,0)),0,VLOOKUP($A21&amp;H$1,'For stats end Y DB'!$A:$G,2,0))</f>
        <v>0</v>
      </c>
      <c r="I21">
        <f>IF(ISNA(VLOOKUP($A21&amp;I$1,'For stats end Y DB'!$A:$G,2,0)),0,VLOOKUP($A21&amp;I$1,'For stats end Y DB'!$A:$G,2,0))</f>
        <v>0</v>
      </c>
      <c r="J21">
        <f>IF(ISNA(VLOOKUP($A21&amp;J$1,'For stats end Y DB'!$A:$G,2,0)),0,VLOOKUP($A21&amp;J$1,'For stats end Y DB'!$A:$G,2,0))</f>
        <v>4</v>
      </c>
      <c r="K21">
        <f>IF(ISNA(VLOOKUP($A21&amp;K$1,'For stats end Y DB'!$A:$G,2,0)),0,VLOOKUP($A21&amp;K$1,'For stats end Y DB'!$A:$G,2,0))</f>
        <v>3</v>
      </c>
      <c r="L21">
        <f>IF(ISNA(VLOOKUP($A21&amp;L$1,'For stats end Y DB'!$A:$G,2,0)),0,VLOOKUP($A21&amp;L$1,'For stats end Y DB'!$A:$G,2,0))</f>
        <v>4</v>
      </c>
      <c r="M21">
        <f>IF(ISNA(VLOOKUP($A21&amp;M$1,'For stats end Y DB'!$A:$G,2,0)),0,VLOOKUP($A21&amp;M$1,'For stats end Y DB'!$A:$G,2,0))</f>
        <v>6</v>
      </c>
      <c r="N21">
        <f>IF(ISNA(VLOOKUP($A21&amp;N$1,'For stats end Y DB'!$A:$G,2,0)),0,VLOOKUP($A21&amp;N$1,'For stats end Y DB'!$A:$G,2,0))</f>
        <v>4</v>
      </c>
      <c r="O21">
        <f>IF(ISNA(VLOOKUP($A21&amp;O$1,'For stats end Y DB'!$A:$G,2,0)),0,VLOOKUP($A21&amp;O$1,'For stats end Y DB'!$A:$G,2,0))</f>
        <v>2</v>
      </c>
      <c r="P21">
        <f>IF(ISNA(VLOOKUP($A21&amp;P$1,'For stats end Y DB'!$A:$G,2,0)),0,VLOOKUP($A21&amp;P$1,'For stats end Y DB'!$A:$G,2,0))</f>
        <v>1</v>
      </c>
      <c r="Q21">
        <f>IF(ISNA(VLOOKUP($A21&amp;Q$1,'For stats end Y DB'!$A:$G,2,0)),0,VLOOKUP($A21&amp;Q$1,'For stats end Y DB'!$A:$G,2,0))</f>
        <v>1</v>
      </c>
      <c r="R21">
        <f>IF(ISNA(VLOOKUP($A21&amp;R$1,'For stats end Y DB'!$A:$G,2,0)),0,VLOOKUP($A21&amp;R$1,'For stats end Y DB'!$A:$G,2,0))</f>
        <v>3</v>
      </c>
      <c r="S21">
        <f>IF(ISNA(VLOOKUP($A21&amp;S$1,'For stats end Y DB'!$A:$G,2,0)),0,VLOOKUP($A21&amp;S$1,'For stats end Y DB'!$A:$G,2,0))</f>
        <v>4</v>
      </c>
      <c r="T21">
        <f>IF(ISNA(VLOOKUP($A21&amp;T$1,'For stats end Y DB'!$A:$G,2,0)),0,VLOOKUP($A21&amp;T$1,'For stats end Y DB'!$A:$G,2,0))</f>
        <v>2</v>
      </c>
      <c r="U21">
        <f>IF(ISNA(VLOOKUP($A21&amp;U$1,'For stats end Y DB'!$A:$G,2,0)),0,VLOOKUP($A21&amp;U$1,'For stats end Y DB'!$A:$G,2,0))</f>
        <v>0</v>
      </c>
      <c r="V21">
        <f>IF(ISNA(VLOOKUP($A21&amp;V$1,'For stats end Y DB'!$A:$G,2,0)),0,VLOOKUP($A21&amp;V$1,'For stats end Y DB'!$A:$G,2,0))</f>
        <v>1</v>
      </c>
      <c r="W21">
        <f>IF(ISNA(VLOOKUP($A21&amp;W$1,'For stats end Y DB'!$A:$G,2,0)),0,VLOOKUP($A21&amp;W$1,'For stats end Y DB'!$A:$G,2,0))</f>
        <v>4</v>
      </c>
      <c r="X21">
        <f>IF(ISNA(VLOOKUP($A21&amp;X$1,'For stats end Y DB'!$A:$G,2,0)),0,VLOOKUP($A21&amp;X$1,'For stats end Y DB'!$A:$G,2,0))</f>
        <v>3</v>
      </c>
      <c r="Y21">
        <f>IF(ISNA(VLOOKUP($A21&amp;Y$1,'For stats end Y DB'!$A:$G,2,0)),0,VLOOKUP($A21&amp;Y$1,'For stats end Y DB'!$A:$G,2,0))</f>
        <v>0</v>
      </c>
      <c r="Z21">
        <f>IF(ISNA(VLOOKUP($A21&amp;Z$1,'For stats end Y DB'!$A:$G,2,0)),0,VLOOKUP($A21&amp;Z$1,'For stats end Y DB'!$A:$G,2,0))</f>
        <v>2</v>
      </c>
      <c r="AA21">
        <f>IF(ISNA(VLOOKUP($A21&amp;AA$1,'For stats end Y DB'!$A:$G,2,0)),0,VLOOKUP($A21&amp;AA$1,'For stats end Y DB'!$A:$G,2,0))</f>
        <v>3</v>
      </c>
      <c r="AB21">
        <f>IF(ISNA(VLOOKUP($A21&amp;AB$1,'For stats end Y DB'!$A:$G,2,0)),0,VLOOKUP($A21&amp;AB$1,'For stats end Y DB'!$A:$G,2,0))</f>
        <v>2</v>
      </c>
      <c r="AC21">
        <f>IF(ISNA(VLOOKUP($A21&amp;AC$1,'For stats end Y DB'!$A:$G,2,0)),0,VLOOKUP($A21&amp;AC$1,'For stats end Y DB'!$A:$G,2,0))</f>
        <v>1</v>
      </c>
      <c r="AD21">
        <f>IF(ISNA(VLOOKUP($A21&amp;AD$1,'For stats end Y DB'!$A:$G,2,0)),0,VLOOKUP($A21&amp;AD$1,'For stats end Y DB'!$A:$G,2,0))</f>
        <v>0</v>
      </c>
      <c r="AE21">
        <f>IF(ISNA(VLOOKUP($A21&amp;AE$1,'For stats end Y DB'!$A:$G,2,0)),0,VLOOKUP($A21&amp;AE$1,'For stats end Y DB'!$A:$G,2,0))</f>
        <v>0</v>
      </c>
      <c r="AF21">
        <f>IF(ISNA(VLOOKUP($A21&amp;AF$1,'For stats end Y DB'!$A:$G,2,0)),0,VLOOKUP($A21&amp;AF$1,'For stats end Y DB'!$A:$G,2,0))</f>
        <v>3</v>
      </c>
      <c r="AG21">
        <f>IF(ISNA(VLOOKUP($A21&amp;AG$1,'For stats end Y DB'!$A:$G,2,0)),0,VLOOKUP($A21&amp;AG$1,'For stats end Y DB'!$A:$G,2,0))</f>
        <v>0</v>
      </c>
      <c r="AH21">
        <f>IF(ISNA(VLOOKUP($A21&amp;AH$1,'For stats end Y DB'!$A:$G,2,0)),0,VLOOKUP($A21&amp;AH$1,'For stats end Y DB'!$A:$G,2,0))</f>
        <v>4</v>
      </c>
      <c r="AI21">
        <f>IF(ISNA(VLOOKUP($A21&amp;AI$1,'For stats end Y DB'!$A:$G,2,0)),0,VLOOKUP($A21&amp;AI$1,'For stats end Y DB'!$A:$G,2,0))</f>
        <v>0</v>
      </c>
      <c r="AJ21">
        <f>IF(ISNA(VLOOKUP($A21&amp;AJ$1,'For stats end Y DB'!$A:$G,2,0)),0,VLOOKUP($A21&amp;AJ$1,'For stats end Y DB'!$A:$G,2,0))</f>
        <v>0</v>
      </c>
      <c r="AK21">
        <f>IF(ISNA(VLOOKUP($A21&amp;AK$1,'For stats end Y DB'!$A:$G,2,0)),0,VLOOKUP($A21&amp;AK$1,'For stats end Y DB'!$A:$G,2,0))</f>
        <v>0</v>
      </c>
      <c r="AL21">
        <f>IF(ISNA(VLOOKUP($A21&amp;AL$1,'For stats end Y DB'!$A:$G,2,0)),0,VLOOKUP($A21&amp;AL$1,'For stats end Y DB'!$A:$G,2,0))</f>
        <v>0</v>
      </c>
      <c r="AM21">
        <f>IF(ISNA(VLOOKUP($A21&amp;AM$1,'For stats end Y DB'!$A:$G,2,0)),0,VLOOKUP($A21&amp;AM$1,'For stats end Y DB'!$A:$G,2,0))</f>
        <v>0</v>
      </c>
      <c r="AN21">
        <f>IF(ISNA(VLOOKUP($A21&amp;AN$1,'For stats end Y DB'!$A:$G,2,0)),0,VLOOKUP($A21&amp;AN$1,'For stats end Y DB'!$A:$G,2,0))</f>
        <v>0</v>
      </c>
      <c r="AP21" t="str">
        <f t="shared" si="3"/>
        <v>Djecus</v>
      </c>
      <c r="AQ21">
        <f t="shared" si="4"/>
        <v>5</v>
      </c>
      <c r="AR21">
        <f t="shared" si="4"/>
        <v>5</v>
      </c>
      <c r="AS21">
        <f t="shared" si="4"/>
        <v>7</v>
      </c>
      <c r="AT21" s="9">
        <f t="shared" si="1"/>
        <v>0</v>
      </c>
      <c r="AU21">
        <f t="shared" si="2"/>
        <v>26</v>
      </c>
    </row>
    <row r="22" spans="1:47" x14ac:dyDescent="0.2">
      <c r="A22" s="12" t="s">
        <v>191</v>
      </c>
      <c r="B22">
        <f>IF(ISNA(VLOOKUP($A22&amp;B$1,'For stats end Y DB'!$A:$G,2,0)),0,VLOOKUP($A22&amp;B$1,'For stats end Y DB'!$A:$G,2,0))</f>
        <v>4</v>
      </c>
      <c r="C22">
        <f>IF(ISNA(VLOOKUP($A22&amp;C$1,'For stats end Y DB'!$A:$G,2,0)),0,VLOOKUP($A22&amp;C$1,'For stats end Y DB'!$A:$G,2,0))</f>
        <v>0</v>
      </c>
      <c r="D22">
        <f>IF(ISNA(VLOOKUP($A22&amp;D$1,'For stats end Y DB'!$A:$G,2,0)),0,VLOOKUP($A22&amp;D$1,'For stats end Y DB'!$A:$G,2,0))</f>
        <v>0</v>
      </c>
      <c r="E22">
        <f>IF(ISNA(VLOOKUP($A22&amp;E$1,'For stats end Y DB'!$A:$G,2,0)),0,VLOOKUP($A22&amp;E$1,'For stats end Y DB'!$A:$G,2,0))</f>
        <v>0</v>
      </c>
      <c r="F22">
        <f>IF(ISNA(VLOOKUP($A22&amp;F$1,'For stats end Y DB'!$A:$G,2,0)),0,VLOOKUP($A22&amp;F$1,'For stats end Y DB'!$A:$G,2,0))</f>
        <v>0</v>
      </c>
      <c r="G22">
        <f>IF(ISNA(VLOOKUP($A22&amp;G$1,'For stats end Y DB'!$A:$G,2,0)),0,VLOOKUP($A22&amp;G$1,'For stats end Y DB'!$A:$G,2,0))</f>
        <v>0</v>
      </c>
      <c r="H22">
        <f>IF(ISNA(VLOOKUP($A22&amp;H$1,'For stats end Y DB'!$A:$G,2,0)),0,VLOOKUP($A22&amp;H$1,'For stats end Y DB'!$A:$G,2,0))</f>
        <v>0</v>
      </c>
      <c r="I22">
        <f>IF(ISNA(VLOOKUP($A22&amp;I$1,'For stats end Y DB'!$A:$G,2,0)),0,VLOOKUP($A22&amp;I$1,'For stats end Y DB'!$A:$G,2,0))</f>
        <v>0</v>
      </c>
      <c r="J22">
        <f>IF(ISNA(VLOOKUP($A22&amp;J$1,'For stats end Y DB'!$A:$G,2,0)),0,VLOOKUP($A22&amp;J$1,'For stats end Y DB'!$A:$G,2,0))</f>
        <v>0</v>
      </c>
      <c r="K22">
        <f>IF(ISNA(VLOOKUP($A22&amp;K$1,'For stats end Y DB'!$A:$G,2,0)),0,VLOOKUP($A22&amp;K$1,'For stats end Y DB'!$A:$G,2,0))</f>
        <v>0</v>
      </c>
      <c r="L22">
        <f>IF(ISNA(VLOOKUP($A22&amp;L$1,'For stats end Y DB'!$A:$G,2,0)),0,VLOOKUP($A22&amp;L$1,'For stats end Y DB'!$A:$G,2,0))</f>
        <v>0</v>
      </c>
      <c r="M22">
        <f>IF(ISNA(VLOOKUP($A22&amp;M$1,'For stats end Y DB'!$A:$G,2,0)),0,VLOOKUP($A22&amp;M$1,'For stats end Y DB'!$A:$G,2,0))</f>
        <v>0</v>
      </c>
      <c r="N22">
        <f>IF(ISNA(VLOOKUP($A22&amp;N$1,'For stats end Y DB'!$A:$G,2,0)),0,VLOOKUP($A22&amp;N$1,'For stats end Y DB'!$A:$G,2,0))</f>
        <v>0</v>
      </c>
      <c r="O22">
        <f>IF(ISNA(VLOOKUP($A22&amp;O$1,'For stats end Y DB'!$A:$G,2,0)),0,VLOOKUP($A22&amp;O$1,'For stats end Y DB'!$A:$G,2,0))</f>
        <v>0</v>
      </c>
      <c r="P22">
        <f>IF(ISNA(VLOOKUP($A22&amp;P$1,'For stats end Y DB'!$A:$G,2,0)),0,VLOOKUP($A22&amp;P$1,'For stats end Y DB'!$A:$G,2,0))</f>
        <v>0</v>
      </c>
      <c r="Q22">
        <f>IF(ISNA(VLOOKUP($A22&amp;Q$1,'For stats end Y DB'!$A:$G,2,0)),0,VLOOKUP($A22&amp;Q$1,'For stats end Y DB'!$A:$G,2,0))</f>
        <v>0</v>
      </c>
      <c r="R22">
        <f>IF(ISNA(VLOOKUP($A22&amp;R$1,'For stats end Y DB'!$A:$G,2,0)),0,VLOOKUP($A22&amp;R$1,'For stats end Y DB'!$A:$G,2,0))</f>
        <v>0</v>
      </c>
      <c r="S22">
        <f>IF(ISNA(VLOOKUP($A22&amp;S$1,'For stats end Y DB'!$A:$G,2,0)),0,VLOOKUP($A22&amp;S$1,'For stats end Y DB'!$A:$G,2,0))</f>
        <v>0</v>
      </c>
      <c r="T22">
        <f>IF(ISNA(VLOOKUP($A22&amp;T$1,'For stats end Y DB'!$A:$G,2,0)),0,VLOOKUP($A22&amp;T$1,'For stats end Y DB'!$A:$G,2,0))</f>
        <v>0</v>
      </c>
      <c r="U22">
        <f>IF(ISNA(VLOOKUP($A22&amp;U$1,'For stats end Y DB'!$A:$G,2,0)),0,VLOOKUP($A22&amp;U$1,'For stats end Y DB'!$A:$G,2,0))</f>
        <v>0</v>
      </c>
      <c r="V22">
        <f>IF(ISNA(VLOOKUP($A22&amp;V$1,'For stats end Y DB'!$A:$G,2,0)),0,VLOOKUP($A22&amp;V$1,'For stats end Y DB'!$A:$G,2,0))</f>
        <v>0</v>
      </c>
      <c r="W22">
        <f>IF(ISNA(VLOOKUP($A22&amp;W$1,'For stats end Y DB'!$A:$G,2,0)),0,VLOOKUP($A22&amp;W$1,'For stats end Y DB'!$A:$G,2,0))</f>
        <v>0</v>
      </c>
      <c r="X22">
        <f>IF(ISNA(VLOOKUP($A22&amp;X$1,'For stats end Y DB'!$A:$G,2,0)),0,VLOOKUP($A22&amp;X$1,'For stats end Y DB'!$A:$G,2,0))</f>
        <v>0</v>
      </c>
      <c r="Y22">
        <f>IF(ISNA(VLOOKUP($A22&amp;Y$1,'For stats end Y DB'!$A:$G,2,0)),0,VLOOKUP($A22&amp;Y$1,'For stats end Y DB'!$A:$G,2,0))</f>
        <v>0</v>
      </c>
      <c r="Z22">
        <f>IF(ISNA(VLOOKUP($A22&amp;Z$1,'For stats end Y DB'!$A:$G,2,0)),0,VLOOKUP($A22&amp;Z$1,'For stats end Y DB'!$A:$G,2,0))</f>
        <v>0</v>
      </c>
      <c r="AA22">
        <f>IF(ISNA(VLOOKUP($A22&amp;AA$1,'For stats end Y DB'!$A:$G,2,0)),0,VLOOKUP($A22&amp;AA$1,'For stats end Y DB'!$A:$G,2,0))</f>
        <v>0</v>
      </c>
      <c r="AB22">
        <f>IF(ISNA(VLOOKUP($A22&amp;AB$1,'For stats end Y DB'!$A:$G,2,0)),0,VLOOKUP($A22&amp;AB$1,'For stats end Y DB'!$A:$G,2,0))</f>
        <v>0</v>
      </c>
      <c r="AC22">
        <f>IF(ISNA(VLOOKUP($A22&amp;AC$1,'For stats end Y DB'!$A:$G,2,0)),0,VLOOKUP($A22&amp;AC$1,'For stats end Y DB'!$A:$G,2,0))</f>
        <v>0</v>
      </c>
      <c r="AD22">
        <f>IF(ISNA(VLOOKUP($A22&amp;AD$1,'For stats end Y DB'!$A:$G,2,0)),0,VLOOKUP($A22&amp;AD$1,'For stats end Y DB'!$A:$G,2,0))</f>
        <v>0</v>
      </c>
      <c r="AE22">
        <f>IF(ISNA(VLOOKUP($A22&amp;AE$1,'For stats end Y DB'!$A:$G,2,0)),0,VLOOKUP($A22&amp;AE$1,'For stats end Y DB'!$A:$G,2,0))</f>
        <v>0</v>
      </c>
      <c r="AF22">
        <f>IF(ISNA(VLOOKUP($A22&amp;AF$1,'For stats end Y DB'!$A:$G,2,0)),0,VLOOKUP($A22&amp;AF$1,'For stats end Y DB'!$A:$G,2,0))</f>
        <v>0</v>
      </c>
      <c r="AG22">
        <f>IF(ISNA(VLOOKUP($A22&amp;AG$1,'For stats end Y DB'!$A:$G,2,0)),0,VLOOKUP($A22&amp;AG$1,'For stats end Y DB'!$A:$G,2,0))</f>
        <v>0</v>
      </c>
      <c r="AH22">
        <f>IF(ISNA(VLOOKUP($A22&amp;AH$1,'For stats end Y DB'!$A:$G,2,0)),0,VLOOKUP($A22&amp;AH$1,'For stats end Y DB'!$A:$G,2,0))</f>
        <v>0</v>
      </c>
      <c r="AI22">
        <f>IF(ISNA(VLOOKUP($A22&amp;AI$1,'For stats end Y DB'!$A:$G,2,0)),0,VLOOKUP($A22&amp;AI$1,'For stats end Y DB'!$A:$G,2,0))</f>
        <v>0</v>
      </c>
      <c r="AJ22">
        <f>IF(ISNA(VLOOKUP($A22&amp;AJ$1,'For stats end Y DB'!$A:$G,2,0)),0,VLOOKUP($A22&amp;AJ$1,'For stats end Y DB'!$A:$G,2,0))</f>
        <v>0</v>
      </c>
      <c r="AK22">
        <f>IF(ISNA(VLOOKUP($A22&amp;AK$1,'For stats end Y DB'!$A:$G,2,0)),0,VLOOKUP($A22&amp;AK$1,'For stats end Y DB'!$A:$G,2,0))</f>
        <v>0</v>
      </c>
      <c r="AL22">
        <f>IF(ISNA(VLOOKUP($A22&amp;AL$1,'For stats end Y DB'!$A:$G,2,0)),0,VLOOKUP($A22&amp;AL$1,'For stats end Y DB'!$A:$G,2,0))</f>
        <v>0</v>
      </c>
      <c r="AM22">
        <f>IF(ISNA(VLOOKUP($A22&amp;AM$1,'For stats end Y DB'!$A:$G,2,0)),0,VLOOKUP($A22&amp;AM$1,'For stats end Y DB'!$A:$G,2,0))</f>
        <v>0</v>
      </c>
      <c r="AN22">
        <f>IF(ISNA(VLOOKUP($A22&amp;AN$1,'For stats end Y DB'!$A:$G,2,0)),0,VLOOKUP($A22&amp;AN$1,'For stats end Y DB'!$A:$G,2,0))</f>
        <v>0</v>
      </c>
      <c r="AP22" t="str">
        <f t="shared" si="3"/>
        <v>djip92</v>
      </c>
      <c r="AQ22">
        <f t="shared" si="4"/>
        <v>0</v>
      </c>
      <c r="AR22">
        <f t="shared" si="4"/>
        <v>0</v>
      </c>
      <c r="AS22">
        <f t="shared" si="4"/>
        <v>0</v>
      </c>
      <c r="AT22" s="9">
        <f t="shared" si="1"/>
        <v>0</v>
      </c>
      <c r="AU22">
        <f t="shared" si="2"/>
        <v>1</v>
      </c>
    </row>
    <row r="23" spans="1:47" x14ac:dyDescent="0.2">
      <c r="A23" s="12" t="s">
        <v>81</v>
      </c>
      <c r="B23">
        <f>IF(ISNA(VLOOKUP($A23&amp;B$1,'For stats end Y DB'!$A:$G,2,0)),0,VLOOKUP($A23&amp;B$1,'For stats end Y DB'!$A:$G,2,0))</f>
        <v>0</v>
      </c>
      <c r="C23">
        <f>IF(ISNA(VLOOKUP($A23&amp;C$1,'For stats end Y DB'!$A:$G,2,0)),0,VLOOKUP($A23&amp;C$1,'For stats end Y DB'!$A:$G,2,0))</f>
        <v>0</v>
      </c>
      <c r="D23">
        <f>IF(ISNA(VLOOKUP($A23&amp;D$1,'For stats end Y DB'!$A:$G,2,0)),0,VLOOKUP($A23&amp;D$1,'For stats end Y DB'!$A:$G,2,0))</f>
        <v>0</v>
      </c>
      <c r="E23">
        <f>IF(ISNA(VLOOKUP($A23&amp;E$1,'For stats end Y DB'!$A:$G,2,0)),0,VLOOKUP($A23&amp;E$1,'For stats end Y DB'!$A:$G,2,0))</f>
        <v>1</v>
      </c>
      <c r="F23">
        <f>IF(ISNA(VLOOKUP($A23&amp;F$1,'For stats end Y DB'!$A:$G,2,0)),0,VLOOKUP($A23&amp;F$1,'For stats end Y DB'!$A:$G,2,0))</f>
        <v>4</v>
      </c>
      <c r="G23">
        <f>IF(ISNA(VLOOKUP($A23&amp;G$1,'For stats end Y DB'!$A:$G,2,0)),0,VLOOKUP($A23&amp;G$1,'For stats end Y DB'!$A:$G,2,0))</f>
        <v>2</v>
      </c>
      <c r="H23">
        <f>IF(ISNA(VLOOKUP($A23&amp;H$1,'For stats end Y DB'!$A:$G,2,0)),0,VLOOKUP($A23&amp;H$1,'For stats end Y DB'!$A:$G,2,0))</f>
        <v>5</v>
      </c>
      <c r="I23">
        <f>IF(ISNA(VLOOKUP($A23&amp;I$1,'For stats end Y DB'!$A:$G,2,0)),0,VLOOKUP($A23&amp;I$1,'For stats end Y DB'!$A:$G,2,0))</f>
        <v>0</v>
      </c>
      <c r="J23">
        <f>IF(ISNA(VLOOKUP($A23&amp;J$1,'For stats end Y DB'!$A:$G,2,0)),0,VLOOKUP($A23&amp;J$1,'For stats end Y DB'!$A:$G,2,0))</f>
        <v>1</v>
      </c>
      <c r="K23">
        <f>IF(ISNA(VLOOKUP($A23&amp;K$1,'For stats end Y DB'!$A:$G,2,0)),0,VLOOKUP($A23&amp;K$1,'For stats end Y DB'!$A:$G,2,0))</f>
        <v>2</v>
      </c>
      <c r="L23">
        <f>IF(ISNA(VLOOKUP($A23&amp;L$1,'For stats end Y DB'!$A:$G,2,0)),0,VLOOKUP($A23&amp;L$1,'For stats end Y DB'!$A:$G,2,0))</f>
        <v>3</v>
      </c>
      <c r="M23">
        <f>IF(ISNA(VLOOKUP($A23&amp;M$1,'For stats end Y DB'!$A:$G,2,0)),0,VLOOKUP($A23&amp;M$1,'For stats end Y DB'!$A:$G,2,0))</f>
        <v>0</v>
      </c>
      <c r="N23">
        <f>IF(ISNA(VLOOKUP($A23&amp;N$1,'For stats end Y DB'!$A:$G,2,0)),0,VLOOKUP($A23&amp;N$1,'For stats end Y DB'!$A:$G,2,0))</f>
        <v>0</v>
      </c>
      <c r="O23">
        <f>IF(ISNA(VLOOKUP($A23&amp;O$1,'For stats end Y DB'!$A:$G,2,0)),0,VLOOKUP($A23&amp;O$1,'For stats end Y DB'!$A:$G,2,0))</f>
        <v>3</v>
      </c>
      <c r="P23">
        <f>IF(ISNA(VLOOKUP($A23&amp;P$1,'For stats end Y DB'!$A:$G,2,0)),0,VLOOKUP($A23&amp;P$1,'For stats end Y DB'!$A:$G,2,0))</f>
        <v>0</v>
      </c>
      <c r="Q23">
        <f>IF(ISNA(VLOOKUP($A23&amp;Q$1,'For stats end Y DB'!$A:$G,2,0)),0,VLOOKUP($A23&amp;Q$1,'For stats end Y DB'!$A:$G,2,0))</f>
        <v>4</v>
      </c>
      <c r="R23">
        <f>IF(ISNA(VLOOKUP($A23&amp;R$1,'For stats end Y DB'!$A:$G,2,0)),0,VLOOKUP($A23&amp;R$1,'For stats end Y DB'!$A:$G,2,0))</f>
        <v>1</v>
      </c>
      <c r="S23">
        <f>IF(ISNA(VLOOKUP($A23&amp;S$1,'For stats end Y DB'!$A:$G,2,0)),0,VLOOKUP($A23&amp;S$1,'For stats end Y DB'!$A:$G,2,0))</f>
        <v>5</v>
      </c>
      <c r="T23">
        <f>IF(ISNA(VLOOKUP($A23&amp;T$1,'For stats end Y DB'!$A:$G,2,0)),0,VLOOKUP($A23&amp;T$1,'For stats end Y DB'!$A:$G,2,0))</f>
        <v>3</v>
      </c>
      <c r="U23">
        <f>IF(ISNA(VLOOKUP($A23&amp;U$1,'For stats end Y DB'!$A:$G,2,0)),0,VLOOKUP($A23&amp;U$1,'For stats end Y DB'!$A:$G,2,0))</f>
        <v>3</v>
      </c>
      <c r="V23">
        <f>IF(ISNA(VLOOKUP($A23&amp;V$1,'For stats end Y DB'!$A:$G,2,0)),0,VLOOKUP($A23&amp;V$1,'For stats end Y DB'!$A:$G,2,0))</f>
        <v>3</v>
      </c>
      <c r="W23">
        <f>IF(ISNA(VLOOKUP($A23&amp;W$1,'For stats end Y DB'!$A:$G,2,0)),0,VLOOKUP($A23&amp;W$1,'For stats end Y DB'!$A:$G,2,0))</f>
        <v>5</v>
      </c>
      <c r="X23">
        <f>IF(ISNA(VLOOKUP($A23&amp;X$1,'For stats end Y DB'!$A:$G,2,0)),0,VLOOKUP($A23&amp;X$1,'For stats end Y DB'!$A:$G,2,0))</f>
        <v>7</v>
      </c>
      <c r="Y23">
        <f>IF(ISNA(VLOOKUP($A23&amp;Y$1,'For stats end Y DB'!$A:$G,2,0)),0,VLOOKUP($A23&amp;Y$1,'For stats end Y DB'!$A:$G,2,0))</f>
        <v>0</v>
      </c>
      <c r="Z23">
        <f>IF(ISNA(VLOOKUP($A23&amp;Z$1,'For stats end Y DB'!$A:$G,2,0)),0,VLOOKUP($A23&amp;Z$1,'For stats end Y DB'!$A:$G,2,0))</f>
        <v>4</v>
      </c>
      <c r="AA23">
        <f>IF(ISNA(VLOOKUP($A23&amp;AA$1,'For stats end Y DB'!$A:$G,2,0)),0,VLOOKUP($A23&amp;AA$1,'For stats end Y DB'!$A:$G,2,0))</f>
        <v>4</v>
      </c>
      <c r="AB23">
        <f>IF(ISNA(VLOOKUP($A23&amp;AB$1,'For stats end Y DB'!$A:$G,2,0)),0,VLOOKUP($A23&amp;AB$1,'For stats end Y DB'!$A:$G,2,0))</f>
        <v>4</v>
      </c>
      <c r="AC23">
        <f>IF(ISNA(VLOOKUP($A23&amp;AC$1,'For stats end Y DB'!$A:$G,2,0)),0,VLOOKUP($A23&amp;AC$1,'For stats end Y DB'!$A:$G,2,0))</f>
        <v>0</v>
      </c>
      <c r="AD23">
        <f>IF(ISNA(VLOOKUP($A23&amp;AD$1,'For stats end Y DB'!$A:$G,2,0)),0,VLOOKUP($A23&amp;AD$1,'For stats end Y DB'!$A:$G,2,0))</f>
        <v>7</v>
      </c>
      <c r="AE23">
        <f>IF(ISNA(VLOOKUP($A23&amp;AE$1,'For stats end Y DB'!$A:$G,2,0)),0,VLOOKUP($A23&amp;AE$1,'For stats end Y DB'!$A:$G,2,0))</f>
        <v>3</v>
      </c>
      <c r="AF23">
        <f>IF(ISNA(VLOOKUP($A23&amp;AF$1,'For stats end Y DB'!$A:$G,2,0)),0,VLOOKUP($A23&amp;AF$1,'For stats end Y DB'!$A:$G,2,0))</f>
        <v>0</v>
      </c>
      <c r="AG23">
        <f>IF(ISNA(VLOOKUP($A23&amp;AG$1,'For stats end Y DB'!$A:$G,2,0)),0,VLOOKUP($A23&amp;AG$1,'For stats end Y DB'!$A:$G,2,0))</f>
        <v>0</v>
      </c>
      <c r="AH23">
        <f>IF(ISNA(VLOOKUP($A23&amp;AH$1,'For stats end Y DB'!$A:$G,2,0)),0,VLOOKUP($A23&amp;AH$1,'For stats end Y DB'!$A:$G,2,0))</f>
        <v>0</v>
      </c>
      <c r="AI23">
        <f>IF(ISNA(VLOOKUP($A23&amp;AI$1,'For stats end Y DB'!$A:$G,2,0)),0,VLOOKUP($A23&amp;AI$1,'For stats end Y DB'!$A:$G,2,0))</f>
        <v>0</v>
      </c>
      <c r="AJ23">
        <f>IF(ISNA(VLOOKUP($A23&amp;AJ$1,'For stats end Y DB'!$A:$G,2,0)),0,VLOOKUP($A23&amp;AJ$1,'For stats end Y DB'!$A:$G,2,0))</f>
        <v>0</v>
      </c>
      <c r="AK23">
        <f>IF(ISNA(VLOOKUP($A23&amp;AK$1,'For stats end Y DB'!$A:$G,2,0)),0,VLOOKUP($A23&amp;AK$1,'For stats end Y DB'!$A:$G,2,0))</f>
        <v>0</v>
      </c>
      <c r="AL23">
        <f>IF(ISNA(VLOOKUP($A23&amp;AL$1,'For stats end Y DB'!$A:$G,2,0)),0,VLOOKUP($A23&amp;AL$1,'For stats end Y DB'!$A:$G,2,0))</f>
        <v>0</v>
      </c>
      <c r="AM23">
        <f>IF(ISNA(VLOOKUP($A23&amp;AM$1,'For stats end Y DB'!$A:$G,2,0)),0,VLOOKUP($A23&amp;AM$1,'For stats end Y DB'!$A:$G,2,0))</f>
        <v>0</v>
      </c>
      <c r="AN23">
        <f>IF(ISNA(VLOOKUP($A23&amp;AN$1,'For stats end Y DB'!$A:$G,2,0)),0,VLOOKUP($A23&amp;AN$1,'For stats end Y DB'!$A:$G,2,0))</f>
        <v>0</v>
      </c>
      <c r="AP23" t="str">
        <f t="shared" si="3"/>
        <v>Empedocle</v>
      </c>
      <c r="AQ23">
        <f t="shared" si="4"/>
        <v>3</v>
      </c>
      <c r="AR23">
        <f t="shared" si="4"/>
        <v>2</v>
      </c>
      <c r="AS23">
        <f t="shared" si="4"/>
        <v>6</v>
      </c>
      <c r="AT23" s="9">
        <f t="shared" si="1"/>
        <v>0</v>
      </c>
      <c r="AU23">
        <f t="shared" si="2"/>
        <v>21</v>
      </c>
    </row>
    <row r="24" spans="1:47" x14ac:dyDescent="0.2">
      <c r="A24" s="12" t="s">
        <v>512</v>
      </c>
      <c r="B24">
        <f>IF(ISNA(VLOOKUP($A24&amp;B$1,'For stats end Y DB'!$A:$G,2,0)),0,VLOOKUP($A24&amp;B$1,'For stats end Y DB'!$A:$G,2,0))</f>
        <v>3</v>
      </c>
      <c r="C24">
        <f>IF(ISNA(VLOOKUP($A24&amp;C$1,'For stats end Y DB'!$A:$G,2,0)),0,VLOOKUP($A24&amp;C$1,'For stats end Y DB'!$A:$G,2,0))</f>
        <v>2</v>
      </c>
      <c r="D24">
        <f>IF(ISNA(VLOOKUP($A24&amp;D$1,'For stats end Y DB'!$A:$G,2,0)),0,VLOOKUP($A24&amp;D$1,'For stats end Y DB'!$A:$G,2,0))</f>
        <v>1</v>
      </c>
      <c r="E24">
        <f>IF(ISNA(VLOOKUP($A24&amp;E$1,'For stats end Y DB'!$A:$G,2,0)),0,VLOOKUP($A24&amp;E$1,'For stats end Y DB'!$A:$G,2,0))</f>
        <v>2</v>
      </c>
      <c r="F24">
        <f>IF(ISNA(VLOOKUP($A24&amp;F$1,'For stats end Y DB'!$A:$G,2,0)),0,VLOOKUP($A24&amp;F$1,'For stats end Y DB'!$A:$G,2,0))</f>
        <v>2</v>
      </c>
      <c r="G24">
        <f>IF(ISNA(VLOOKUP($A24&amp;G$1,'For stats end Y DB'!$A:$G,2,0)),0,VLOOKUP($A24&amp;G$1,'For stats end Y DB'!$A:$G,2,0))</f>
        <v>6</v>
      </c>
      <c r="H24">
        <f>IF(ISNA(VLOOKUP($A24&amp;H$1,'For stats end Y DB'!$A:$G,2,0)),0,VLOOKUP($A24&amp;H$1,'For stats end Y DB'!$A:$G,2,0))</f>
        <v>0</v>
      </c>
      <c r="I24">
        <f>IF(ISNA(VLOOKUP($A24&amp;I$1,'For stats end Y DB'!$A:$G,2,0)),0,VLOOKUP($A24&amp;I$1,'For stats end Y DB'!$A:$G,2,0))</f>
        <v>4</v>
      </c>
      <c r="J24">
        <f>IF(ISNA(VLOOKUP($A24&amp;J$1,'For stats end Y DB'!$A:$G,2,0)),0,VLOOKUP($A24&amp;J$1,'For stats end Y DB'!$A:$G,2,0))</f>
        <v>6</v>
      </c>
      <c r="K24">
        <f>IF(ISNA(VLOOKUP($A24&amp;K$1,'For stats end Y DB'!$A:$G,2,0)),0,VLOOKUP($A24&amp;K$1,'For stats end Y DB'!$A:$G,2,0))</f>
        <v>5</v>
      </c>
      <c r="L24">
        <f>IF(ISNA(VLOOKUP($A24&amp;L$1,'For stats end Y DB'!$A:$G,2,0)),0,VLOOKUP($A24&amp;L$1,'For stats end Y DB'!$A:$G,2,0))</f>
        <v>5</v>
      </c>
      <c r="M24">
        <f>IF(ISNA(VLOOKUP($A24&amp;M$1,'For stats end Y DB'!$A:$G,2,0)),0,VLOOKUP($A24&amp;M$1,'For stats end Y DB'!$A:$G,2,0))</f>
        <v>3</v>
      </c>
      <c r="N24">
        <f>IF(ISNA(VLOOKUP($A24&amp;N$1,'For stats end Y DB'!$A:$G,2,0)),0,VLOOKUP($A24&amp;N$1,'For stats end Y DB'!$A:$G,2,0))</f>
        <v>6</v>
      </c>
      <c r="O24">
        <f>IF(ISNA(VLOOKUP($A24&amp;O$1,'For stats end Y DB'!$A:$G,2,0)),0,VLOOKUP($A24&amp;O$1,'For stats end Y DB'!$A:$G,2,0))</f>
        <v>4</v>
      </c>
      <c r="P24">
        <f>IF(ISNA(VLOOKUP($A24&amp;P$1,'For stats end Y DB'!$A:$G,2,0)),0,VLOOKUP($A24&amp;P$1,'For stats end Y DB'!$A:$G,2,0))</f>
        <v>6</v>
      </c>
      <c r="Q24">
        <f>IF(ISNA(VLOOKUP($A24&amp;Q$1,'For stats end Y DB'!$A:$G,2,0)),0,VLOOKUP($A24&amp;Q$1,'For stats end Y DB'!$A:$G,2,0))</f>
        <v>8</v>
      </c>
      <c r="R24">
        <f>IF(ISNA(VLOOKUP($A24&amp;R$1,'For stats end Y DB'!$A:$G,2,0)),0,VLOOKUP($A24&amp;R$1,'For stats end Y DB'!$A:$G,2,0))</f>
        <v>1</v>
      </c>
      <c r="S24">
        <f>IF(ISNA(VLOOKUP($A24&amp;S$1,'For stats end Y DB'!$A:$G,2,0)),0,VLOOKUP($A24&amp;S$1,'For stats end Y DB'!$A:$G,2,0))</f>
        <v>0</v>
      </c>
      <c r="T24">
        <f>IF(ISNA(VLOOKUP($A24&amp;T$1,'For stats end Y DB'!$A:$G,2,0)),0,VLOOKUP($A24&amp;T$1,'For stats end Y DB'!$A:$G,2,0))</f>
        <v>6</v>
      </c>
      <c r="U24">
        <f>IF(ISNA(VLOOKUP($A24&amp;U$1,'For stats end Y DB'!$A:$G,2,0)),0,VLOOKUP($A24&amp;U$1,'For stats end Y DB'!$A:$G,2,0))</f>
        <v>4</v>
      </c>
      <c r="V24">
        <f>IF(ISNA(VLOOKUP($A24&amp;V$1,'For stats end Y DB'!$A:$G,2,0)),0,VLOOKUP($A24&amp;V$1,'For stats end Y DB'!$A:$G,2,0))</f>
        <v>6</v>
      </c>
      <c r="W24">
        <f>IF(ISNA(VLOOKUP($A24&amp;W$1,'For stats end Y DB'!$A:$G,2,0)),0,VLOOKUP($A24&amp;W$1,'For stats end Y DB'!$A:$G,2,0))</f>
        <v>2</v>
      </c>
      <c r="X24">
        <f>IF(ISNA(VLOOKUP($A24&amp;X$1,'For stats end Y DB'!$A:$G,2,0)),0,VLOOKUP($A24&amp;X$1,'For stats end Y DB'!$A:$G,2,0))</f>
        <v>5</v>
      </c>
      <c r="Y24">
        <f>IF(ISNA(VLOOKUP($A24&amp;Y$1,'For stats end Y DB'!$A:$G,2,0)),0,VLOOKUP($A24&amp;Y$1,'For stats end Y DB'!$A:$G,2,0))</f>
        <v>5</v>
      </c>
      <c r="Z24">
        <f>IF(ISNA(VLOOKUP($A24&amp;Z$1,'For stats end Y DB'!$A:$G,2,0)),0,VLOOKUP($A24&amp;Z$1,'For stats end Y DB'!$A:$G,2,0))</f>
        <v>0</v>
      </c>
      <c r="AA24">
        <f>IF(ISNA(VLOOKUP($A24&amp;AA$1,'For stats end Y DB'!$A:$G,2,0)),0,VLOOKUP($A24&amp;AA$1,'For stats end Y DB'!$A:$G,2,0))</f>
        <v>5</v>
      </c>
      <c r="AB24">
        <f>IF(ISNA(VLOOKUP($A24&amp;AB$1,'For stats end Y DB'!$A:$G,2,0)),0,VLOOKUP($A24&amp;AB$1,'For stats end Y DB'!$A:$G,2,0))</f>
        <v>0</v>
      </c>
      <c r="AC24">
        <f>IF(ISNA(VLOOKUP($A24&amp;AC$1,'For stats end Y DB'!$A:$G,2,0)),0,VLOOKUP($A24&amp;AC$1,'For stats end Y DB'!$A:$G,2,0))</f>
        <v>0</v>
      </c>
      <c r="AD24">
        <f>IF(ISNA(VLOOKUP($A24&amp;AD$1,'For stats end Y DB'!$A:$G,2,0)),0,VLOOKUP($A24&amp;AD$1,'For stats end Y DB'!$A:$G,2,0))</f>
        <v>1</v>
      </c>
      <c r="AE24">
        <f>IF(ISNA(VLOOKUP($A24&amp;AE$1,'For stats end Y DB'!$A:$G,2,0)),0,VLOOKUP($A24&amp;AE$1,'For stats end Y DB'!$A:$G,2,0))</f>
        <v>1</v>
      </c>
      <c r="AF24">
        <f>IF(ISNA(VLOOKUP($A24&amp;AF$1,'For stats end Y DB'!$A:$G,2,0)),0,VLOOKUP($A24&amp;AF$1,'For stats end Y DB'!$A:$G,2,0))</f>
        <v>1</v>
      </c>
      <c r="AG24">
        <f>IF(ISNA(VLOOKUP($A24&amp;AG$1,'For stats end Y DB'!$A:$G,2,0)),0,VLOOKUP($A24&amp;AG$1,'For stats end Y DB'!$A:$G,2,0))</f>
        <v>0</v>
      </c>
      <c r="AH24">
        <f>IF(ISNA(VLOOKUP($A24&amp;AH$1,'For stats end Y DB'!$A:$G,2,0)),0,VLOOKUP($A24&amp;AH$1,'For stats end Y DB'!$A:$G,2,0))</f>
        <v>6</v>
      </c>
      <c r="AI24">
        <f>IF(ISNA(VLOOKUP($A24&amp;AI$1,'For stats end Y DB'!$A:$G,2,0)),0,VLOOKUP($A24&amp;AI$1,'For stats end Y DB'!$A:$G,2,0))</f>
        <v>0</v>
      </c>
      <c r="AJ24">
        <f>IF(ISNA(VLOOKUP($A24&amp;AJ$1,'For stats end Y DB'!$A:$G,2,0)),0,VLOOKUP($A24&amp;AJ$1,'For stats end Y DB'!$A:$G,2,0))</f>
        <v>0</v>
      </c>
      <c r="AK24">
        <f>IF(ISNA(VLOOKUP($A24&amp;AK$1,'For stats end Y DB'!$A:$G,2,0)),0,VLOOKUP($A24&amp;AK$1,'For stats end Y DB'!$A:$G,2,0))</f>
        <v>0</v>
      </c>
      <c r="AL24">
        <f>IF(ISNA(VLOOKUP($A24&amp;AL$1,'For stats end Y DB'!$A:$G,2,0)),0,VLOOKUP($A24&amp;AL$1,'For stats end Y DB'!$A:$G,2,0))</f>
        <v>0</v>
      </c>
      <c r="AM24">
        <f>IF(ISNA(VLOOKUP($A24&amp;AM$1,'For stats end Y DB'!$A:$G,2,0)),0,VLOOKUP($A24&amp;AM$1,'For stats end Y DB'!$A:$G,2,0))</f>
        <v>0</v>
      </c>
      <c r="AN24">
        <f>IF(ISNA(VLOOKUP($A24&amp;AN$1,'For stats end Y DB'!$A:$G,2,0)),0,VLOOKUP($A24&amp;AN$1,'For stats end Y DB'!$A:$G,2,0))</f>
        <v>0</v>
      </c>
      <c r="AP24" t="str">
        <f t="shared" si="3"/>
        <v>Fishtro</v>
      </c>
      <c r="AQ24">
        <f t="shared" si="4"/>
        <v>5</v>
      </c>
      <c r="AR24">
        <f t="shared" si="4"/>
        <v>4</v>
      </c>
      <c r="AS24">
        <f t="shared" si="4"/>
        <v>2</v>
      </c>
      <c r="AT24" s="9">
        <f t="shared" si="1"/>
        <v>0</v>
      </c>
      <c r="AU24">
        <f t="shared" si="2"/>
        <v>27</v>
      </c>
    </row>
    <row r="25" spans="1:47" x14ac:dyDescent="0.2">
      <c r="A25" s="12" t="s">
        <v>491</v>
      </c>
      <c r="B25">
        <f>IF(ISNA(VLOOKUP($A25&amp;B$1,'For stats end Y DB'!$A:$G,2,0)),0,VLOOKUP($A25&amp;B$1,'For stats end Y DB'!$A:$G,2,0))</f>
        <v>0</v>
      </c>
      <c r="C25">
        <f>IF(ISNA(VLOOKUP($A25&amp;C$1,'For stats end Y DB'!$A:$G,2,0)),0,VLOOKUP($A25&amp;C$1,'For stats end Y DB'!$A:$G,2,0))</f>
        <v>0</v>
      </c>
      <c r="D25">
        <f>IF(ISNA(VLOOKUP($A25&amp;D$1,'For stats end Y DB'!$A:$G,2,0)),0,VLOOKUP($A25&amp;D$1,'For stats end Y DB'!$A:$G,2,0))</f>
        <v>0</v>
      </c>
      <c r="E25">
        <f>IF(ISNA(VLOOKUP($A25&amp;E$1,'For stats end Y DB'!$A:$G,2,0)),0,VLOOKUP($A25&amp;E$1,'For stats end Y DB'!$A:$G,2,0))</f>
        <v>2</v>
      </c>
      <c r="F25">
        <f>IF(ISNA(VLOOKUP($A25&amp;F$1,'For stats end Y DB'!$A:$G,2,0)),0,VLOOKUP($A25&amp;F$1,'For stats end Y DB'!$A:$G,2,0))</f>
        <v>0</v>
      </c>
      <c r="G25">
        <f>IF(ISNA(VLOOKUP($A25&amp;G$1,'For stats end Y DB'!$A:$G,2,0)),0,VLOOKUP($A25&amp;G$1,'For stats end Y DB'!$A:$G,2,0))</f>
        <v>7</v>
      </c>
      <c r="H25">
        <f>IF(ISNA(VLOOKUP($A25&amp;H$1,'For stats end Y DB'!$A:$G,2,0)),0,VLOOKUP($A25&amp;H$1,'For stats end Y DB'!$A:$G,2,0))</f>
        <v>0</v>
      </c>
      <c r="I25">
        <f>IF(ISNA(VLOOKUP($A25&amp;I$1,'For stats end Y DB'!$A:$G,2,0)),0,VLOOKUP($A25&amp;I$1,'For stats end Y DB'!$A:$G,2,0))</f>
        <v>5</v>
      </c>
      <c r="J25">
        <f>IF(ISNA(VLOOKUP($A25&amp;J$1,'For stats end Y DB'!$A:$G,2,0)),0,VLOOKUP($A25&amp;J$1,'For stats end Y DB'!$A:$G,2,0))</f>
        <v>3</v>
      </c>
      <c r="K25">
        <f>IF(ISNA(VLOOKUP($A25&amp;K$1,'For stats end Y DB'!$A:$G,2,0)),0,VLOOKUP($A25&amp;K$1,'For stats end Y DB'!$A:$G,2,0))</f>
        <v>2</v>
      </c>
      <c r="L25">
        <f>IF(ISNA(VLOOKUP($A25&amp;L$1,'For stats end Y DB'!$A:$G,2,0)),0,VLOOKUP($A25&amp;L$1,'For stats end Y DB'!$A:$G,2,0))</f>
        <v>0</v>
      </c>
      <c r="M25">
        <f>IF(ISNA(VLOOKUP($A25&amp;M$1,'For stats end Y DB'!$A:$G,2,0)),0,VLOOKUP($A25&amp;M$1,'For stats end Y DB'!$A:$G,2,0))</f>
        <v>0</v>
      </c>
      <c r="N25">
        <f>IF(ISNA(VLOOKUP($A25&amp;N$1,'For stats end Y DB'!$A:$G,2,0)),0,VLOOKUP($A25&amp;N$1,'For stats end Y DB'!$A:$G,2,0))</f>
        <v>0</v>
      </c>
      <c r="O25">
        <f>IF(ISNA(VLOOKUP($A25&amp;O$1,'For stats end Y DB'!$A:$G,2,0)),0,VLOOKUP($A25&amp;O$1,'For stats end Y DB'!$A:$G,2,0))</f>
        <v>0</v>
      </c>
      <c r="P25">
        <f>IF(ISNA(VLOOKUP($A25&amp;P$1,'For stats end Y DB'!$A:$G,2,0)),0,VLOOKUP($A25&amp;P$1,'For stats end Y DB'!$A:$G,2,0))</f>
        <v>0</v>
      </c>
      <c r="Q25">
        <f>IF(ISNA(VLOOKUP($A25&amp;Q$1,'For stats end Y DB'!$A:$G,2,0)),0,VLOOKUP($A25&amp;Q$1,'For stats end Y DB'!$A:$G,2,0))</f>
        <v>0</v>
      </c>
      <c r="R25">
        <f>IF(ISNA(VLOOKUP($A25&amp;R$1,'For stats end Y DB'!$A:$G,2,0)),0,VLOOKUP($A25&amp;R$1,'For stats end Y DB'!$A:$G,2,0))</f>
        <v>0</v>
      </c>
      <c r="S25">
        <f>IF(ISNA(VLOOKUP($A25&amp;S$1,'For stats end Y DB'!$A:$G,2,0)),0,VLOOKUP($A25&amp;S$1,'For stats end Y DB'!$A:$G,2,0))</f>
        <v>0</v>
      </c>
      <c r="T25">
        <f>IF(ISNA(VLOOKUP($A25&amp;T$1,'For stats end Y DB'!$A:$G,2,0)),0,VLOOKUP($A25&amp;T$1,'For stats end Y DB'!$A:$G,2,0))</f>
        <v>0</v>
      </c>
      <c r="U25">
        <f>IF(ISNA(VLOOKUP($A25&amp;U$1,'For stats end Y DB'!$A:$G,2,0)),0,VLOOKUP($A25&amp;U$1,'For stats end Y DB'!$A:$G,2,0))</f>
        <v>0</v>
      </c>
      <c r="V25">
        <f>IF(ISNA(VLOOKUP($A25&amp;V$1,'For stats end Y DB'!$A:$G,2,0)),0,VLOOKUP($A25&amp;V$1,'For stats end Y DB'!$A:$G,2,0))</f>
        <v>0</v>
      </c>
      <c r="W25">
        <f>IF(ISNA(VLOOKUP($A25&amp;W$1,'For stats end Y DB'!$A:$G,2,0)),0,VLOOKUP($A25&amp;W$1,'For stats end Y DB'!$A:$G,2,0))</f>
        <v>0</v>
      </c>
      <c r="X25">
        <f>IF(ISNA(VLOOKUP($A25&amp;X$1,'For stats end Y DB'!$A:$G,2,0)),0,VLOOKUP($A25&amp;X$1,'For stats end Y DB'!$A:$G,2,0))</f>
        <v>0</v>
      </c>
      <c r="Y25">
        <f>IF(ISNA(VLOOKUP($A25&amp;Y$1,'For stats end Y DB'!$A:$G,2,0)),0,VLOOKUP($A25&amp;Y$1,'For stats end Y DB'!$A:$G,2,0))</f>
        <v>4</v>
      </c>
      <c r="Z25">
        <f>IF(ISNA(VLOOKUP($A25&amp;Z$1,'For stats end Y DB'!$A:$G,2,0)),0,VLOOKUP($A25&amp;Z$1,'For stats end Y DB'!$A:$G,2,0))</f>
        <v>4</v>
      </c>
      <c r="AA25">
        <f>IF(ISNA(VLOOKUP($A25&amp;AA$1,'For stats end Y DB'!$A:$G,2,0)),0,VLOOKUP($A25&amp;AA$1,'For stats end Y DB'!$A:$G,2,0))</f>
        <v>0</v>
      </c>
      <c r="AB25">
        <f>IF(ISNA(VLOOKUP($A25&amp;AB$1,'For stats end Y DB'!$A:$G,2,0)),0,VLOOKUP($A25&amp;AB$1,'For stats end Y DB'!$A:$G,2,0))</f>
        <v>0</v>
      </c>
      <c r="AC25">
        <f>IF(ISNA(VLOOKUP($A25&amp;AC$1,'For stats end Y DB'!$A:$G,2,0)),0,VLOOKUP($A25&amp;AC$1,'For stats end Y DB'!$A:$G,2,0))</f>
        <v>0</v>
      </c>
      <c r="AD25">
        <f>IF(ISNA(VLOOKUP($A25&amp;AD$1,'For stats end Y DB'!$A:$G,2,0)),0,VLOOKUP($A25&amp;AD$1,'For stats end Y DB'!$A:$G,2,0))</f>
        <v>0</v>
      </c>
      <c r="AE25">
        <f>IF(ISNA(VLOOKUP($A25&amp;AE$1,'For stats end Y DB'!$A:$G,2,0)),0,VLOOKUP($A25&amp;AE$1,'For stats end Y DB'!$A:$G,2,0))</f>
        <v>0</v>
      </c>
      <c r="AF25">
        <f>IF(ISNA(VLOOKUP($A25&amp;AF$1,'For stats end Y DB'!$A:$G,2,0)),0,VLOOKUP($A25&amp;AF$1,'For stats end Y DB'!$A:$G,2,0))</f>
        <v>0</v>
      </c>
      <c r="AG25">
        <f>IF(ISNA(VLOOKUP($A25&amp;AG$1,'For stats end Y DB'!$A:$G,2,0)),0,VLOOKUP($A25&amp;AG$1,'For stats end Y DB'!$A:$G,2,0))</f>
        <v>0</v>
      </c>
      <c r="AH25">
        <f>IF(ISNA(VLOOKUP($A25&amp;AH$1,'For stats end Y DB'!$A:$G,2,0)),0,VLOOKUP($A25&amp;AH$1,'For stats end Y DB'!$A:$G,2,0))</f>
        <v>0</v>
      </c>
      <c r="AI25">
        <f>IF(ISNA(VLOOKUP($A25&amp;AI$1,'For stats end Y DB'!$A:$G,2,0)),0,VLOOKUP($A25&amp;AI$1,'For stats end Y DB'!$A:$G,2,0))</f>
        <v>0</v>
      </c>
      <c r="AJ25">
        <f>IF(ISNA(VLOOKUP($A25&amp;AJ$1,'For stats end Y DB'!$A:$G,2,0)),0,VLOOKUP($A25&amp;AJ$1,'For stats end Y DB'!$A:$G,2,0))</f>
        <v>0</v>
      </c>
      <c r="AK25">
        <f>IF(ISNA(VLOOKUP($A25&amp;AK$1,'For stats end Y DB'!$A:$G,2,0)),0,VLOOKUP($A25&amp;AK$1,'For stats end Y DB'!$A:$G,2,0))</f>
        <v>0</v>
      </c>
      <c r="AL25">
        <f>IF(ISNA(VLOOKUP($A25&amp;AL$1,'For stats end Y DB'!$A:$G,2,0)),0,VLOOKUP($A25&amp;AL$1,'For stats end Y DB'!$A:$G,2,0))</f>
        <v>0</v>
      </c>
      <c r="AM25">
        <f>IF(ISNA(VLOOKUP($A25&amp;AM$1,'For stats end Y DB'!$A:$G,2,0)),0,VLOOKUP($A25&amp;AM$1,'For stats end Y DB'!$A:$G,2,0))</f>
        <v>0</v>
      </c>
      <c r="AN25">
        <f>IF(ISNA(VLOOKUP($A25&amp;AN$1,'For stats end Y DB'!$A:$G,2,0)),0,VLOOKUP($A25&amp;AN$1,'For stats end Y DB'!$A:$G,2,0))</f>
        <v>0</v>
      </c>
      <c r="AP25" t="str">
        <f t="shared" si="3"/>
        <v>Flabech</v>
      </c>
      <c r="AQ25">
        <f t="shared" si="4"/>
        <v>0</v>
      </c>
      <c r="AR25">
        <f t="shared" si="4"/>
        <v>2</v>
      </c>
      <c r="AS25">
        <f t="shared" si="4"/>
        <v>1</v>
      </c>
      <c r="AT25" s="9">
        <f t="shared" si="1"/>
        <v>0</v>
      </c>
      <c r="AU25">
        <f t="shared" si="2"/>
        <v>7</v>
      </c>
    </row>
    <row r="26" spans="1:47" x14ac:dyDescent="0.2">
      <c r="A26" s="12" t="s">
        <v>73</v>
      </c>
      <c r="B26">
        <f>IF(ISNA(VLOOKUP($A26&amp;B$1,'For stats end Y DB'!$A:$G,2,0)),0,VLOOKUP($A26&amp;B$1,'For stats end Y DB'!$A:$G,2,0))</f>
        <v>0</v>
      </c>
      <c r="C26">
        <f>IF(ISNA(VLOOKUP($A26&amp;C$1,'For stats end Y DB'!$A:$G,2,0)),0,VLOOKUP($A26&amp;C$1,'For stats end Y DB'!$A:$G,2,0))</f>
        <v>0</v>
      </c>
      <c r="D26">
        <f>IF(ISNA(VLOOKUP($A26&amp;D$1,'For stats end Y DB'!$A:$G,2,0)),0,VLOOKUP($A26&amp;D$1,'For stats end Y DB'!$A:$G,2,0))</f>
        <v>0</v>
      </c>
      <c r="E26">
        <f>IF(ISNA(VLOOKUP($A26&amp;E$1,'For stats end Y DB'!$A:$G,2,0)),0,VLOOKUP($A26&amp;E$1,'For stats end Y DB'!$A:$G,2,0))</f>
        <v>4</v>
      </c>
      <c r="F26">
        <f>IF(ISNA(VLOOKUP($A26&amp;F$1,'For stats end Y DB'!$A:$G,2,0)),0,VLOOKUP($A26&amp;F$1,'For stats end Y DB'!$A:$G,2,0))</f>
        <v>1</v>
      </c>
      <c r="G26">
        <f>IF(ISNA(VLOOKUP($A26&amp;G$1,'For stats end Y DB'!$A:$G,2,0)),0,VLOOKUP($A26&amp;G$1,'For stats end Y DB'!$A:$G,2,0))</f>
        <v>0</v>
      </c>
      <c r="H26">
        <f>IF(ISNA(VLOOKUP($A26&amp;H$1,'For stats end Y DB'!$A:$G,2,0)),0,VLOOKUP($A26&amp;H$1,'For stats end Y DB'!$A:$G,2,0))</f>
        <v>4</v>
      </c>
      <c r="I26">
        <f>IF(ISNA(VLOOKUP($A26&amp;I$1,'For stats end Y DB'!$A:$G,2,0)),0,VLOOKUP($A26&amp;I$1,'For stats end Y DB'!$A:$G,2,0))</f>
        <v>2</v>
      </c>
      <c r="J26">
        <f>IF(ISNA(VLOOKUP($A26&amp;J$1,'For stats end Y DB'!$A:$G,2,0)),0,VLOOKUP($A26&amp;J$1,'For stats end Y DB'!$A:$G,2,0))</f>
        <v>5</v>
      </c>
      <c r="K26">
        <f>IF(ISNA(VLOOKUP($A26&amp;K$1,'For stats end Y DB'!$A:$G,2,0)),0,VLOOKUP($A26&amp;K$1,'For stats end Y DB'!$A:$G,2,0))</f>
        <v>3</v>
      </c>
      <c r="L26">
        <f>IF(ISNA(VLOOKUP($A26&amp;L$1,'For stats end Y DB'!$A:$G,2,0)),0,VLOOKUP($A26&amp;L$1,'For stats end Y DB'!$A:$G,2,0))</f>
        <v>6</v>
      </c>
      <c r="M26">
        <f>IF(ISNA(VLOOKUP($A26&amp;M$1,'For stats end Y DB'!$A:$G,2,0)),0,VLOOKUP($A26&amp;M$1,'For stats end Y DB'!$A:$G,2,0))</f>
        <v>5</v>
      </c>
      <c r="N26">
        <f>IF(ISNA(VLOOKUP($A26&amp;N$1,'For stats end Y DB'!$A:$G,2,0)),0,VLOOKUP($A26&amp;N$1,'For stats end Y DB'!$A:$G,2,0))</f>
        <v>5</v>
      </c>
      <c r="O26">
        <f>IF(ISNA(VLOOKUP($A26&amp;O$1,'For stats end Y DB'!$A:$G,2,0)),0,VLOOKUP($A26&amp;O$1,'For stats end Y DB'!$A:$G,2,0))</f>
        <v>1</v>
      </c>
      <c r="P26">
        <f>IF(ISNA(VLOOKUP($A26&amp;P$1,'For stats end Y DB'!$A:$G,2,0)),0,VLOOKUP($A26&amp;P$1,'For stats end Y DB'!$A:$G,2,0))</f>
        <v>5</v>
      </c>
      <c r="Q26">
        <f>IF(ISNA(VLOOKUP($A26&amp;Q$1,'For stats end Y DB'!$A:$G,2,0)),0,VLOOKUP($A26&amp;Q$1,'For stats end Y DB'!$A:$G,2,0))</f>
        <v>4</v>
      </c>
      <c r="R26">
        <f>IF(ISNA(VLOOKUP($A26&amp;R$1,'For stats end Y DB'!$A:$G,2,0)),0,VLOOKUP($A26&amp;R$1,'For stats end Y DB'!$A:$G,2,0))</f>
        <v>5</v>
      </c>
      <c r="S26">
        <f>IF(ISNA(VLOOKUP($A26&amp;S$1,'For stats end Y DB'!$A:$G,2,0)),0,VLOOKUP($A26&amp;S$1,'For stats end Y DB'!$A:$G,2,0))</f>
        <v>2</v>
      </c>
      <c r="T26">
        <f>IF(ISNA(VLOOKUP($A26&amp;T$1,'For stats end Y DB'!$A:$G,2,0)),0,VLOOKUP($A26&amp;T$1,'For stats end Y DB'!$A:$G,2,0))</f>
        <v>4</v>
      </c>
      <c r="U26">
        <f>IF(ISNA(VLOOKUP($A26&amp;U$1,'For stats end Y DB'!$A:$G,2,0)),0,VLOOKUP($A26&amp;U$1,'For stats end Y DB'!$A:$G,2,0))</f>
        <v>1</v>
      </c>
      <c r="V26">
        <f>IF(ISNA(VLOOKUP($A26&amp;V$1,'For stats end Y DB'!$A:$G,2,0)),0,VLOOKUP($A26&amp;V$1,'For stats end Y DB'!$A:$G,2,0))</f>
        <v>5</v>
      </c>
      <c r="W26">
        <f>IF(ISNA(VLOOKUP($A26&amp;W$1,'For stats end Y DB'!$A:$G,2,0)),0,VLOOKUP($A26&amp;W$1,'For stats end Y DB'!$A:$G,2,0))</f>
        <v>6</v>
      </c>
      <c r="X26">
        <f>IF(ISNA(VLOOKUP($A26&amp;X$1,'For stats end Y DB'!$A:$G,2,0)),0,VLOOKUP($A26&amp;X$1,'For stats end Y DB'!$A:$G,2,0))</f>
        <v>6</v>
      </c>
      <c r="Y26">
        <f>IF(ISNA(VLOOKUP($A26&amp;Y$1,'For stats end Y DB'!$A:$G,2,0)),0,VLOOKUP($A26&amp;Y$1,'For stats end Y DB'!$A:$G,2,0))</f>
        <v>1</v>
      </c>
      <c r="Z26">
        <f>IF(ISNA(VLOOKUP($A26&amp;Z$1,'For stats end Y DB'!$A:$G,2,0)),0,VLOOKUP($A26&amp;Z$1,'For stats end Y DB'!$A:$G,2,0))</f>
        <v>1</v>
      </c>
      <c r="AA26">
        <f>IF(ISNA(VLOOKUP($A26&amp;AA$1,'For stats end Y DB'!$A:$G,2,0)),0,VLOOKUP($A26&amp;AA$1,'For stats end Y DB'!$A:$G,2,0))</f>
        <v>0</v>
      </c>
      <c r="AB26">
        <f>IF(ISNA(VLOOKUP($A26&amp;AB$1,'For stats end Y DB'!$A:$G,2,0)),0,VLOOKUP($A26&amp;AB$1,'For stats end Y DB'!$A:$G,2,0))</f>
        <v>5</v>
      </c>
      <c r="AC26">
        <f>IF(ISNA(VLOOKUP($A26&amp;AC$1,'For stats end Y DB'!$A:$G,2,0)),0,VLOOKUP($A26&amp;AC$1,'For stats end Y DB'!$A:$G,2,0))</f>
        <v>4</v>
      </c>
      <c r="AD26">
        <f>IF(ISNA(VLOOKUP($A26&amp;AD$1,'For stats end Y DB'!$A:$G,2,0)),0,VLOOKUP($A26&amp;AD$1,'For stats end Y DB'!$A:$G,2,0))</f>
        <v>5</v>
      </c>
      <c r="AE26">
        <f>IF(ISNA(VLOOKUP($A26&amp;AE$1,'For stats end Y DB'!$A:$G,2,0)),0,VLOOKUP($A26&amp;AE$1,'For stats end Y DB'!$A:$G,2,0))</f>
        <v>4</v>
      </c>
      <c r="AF26">
        <f>IF(ISNA(VLOOKUP($A26&amp;AF$1,'For stats end Y DB'!$A:$G,2,0)),0,VLOOKUP($A26&amp;AF$1,'For stats end Y DB'!$A:$G,2,0))</f>
        <v>1</v>
      </c>
      <c r="AG26">
        <f>IF(ISNA(VLOOKUP($A26&amp;AG$1,'For stats end Y DB'!$A:$G,2,0)),0,VLOOKUP($A26&amp;AG$1,'For stats end Y DB'!$A:$G,2,0))</f>
        <v>1</v>
      </c>
      <c r="AH26">
        <f>IF(ISNA(VLOOKUP($A26&amp;AH$1,'For stats end Y DB'!$A:$G,2,0)),0,VLOOKUP($A26&amp;AH$1,'For stats end Y DB'!$A:$G,2,0))</f>
        <v>6</v>
      </c>
      <c r="AI26">
        <f>IF(ISNA(VLOOKUP($A26&amp;AI$1,'For stats end Y DB'!$A:$G,2,0)),0,VLOOKUP($A26&amp;AI$1,'For stats end Y DB'!$A:$G,2,0))</f>
        <v>0</v>
      </c>
      <c r="AJ26">
        <f>IF(ISNA(VLOOKUP($A26&amp;AJ$1,'For stats end Y DB'!$A:$G,2,0)),0,VLOOKUP($A26&amp;AJ$1,'For stats end Y DB'!$A:$G,2,0))</f>
        <v>0</v>
      </c>
      <c r="AK26">
        <f>IF(ISNA(VLOOKUP($A26&amp;AK$1,'For stats end Y DB'!$A:$G,2,0)),0,VLOOKUP($A26&amp;AK$1,'For stats end Y DB'!$A:$G,2,0))</f>
        <v>0</v>
      </c>
      <c r="AL26">
        <f>IF(ISNA(VLOOKUP($A26&amp;AL$1,'For stats end Y DB'!$A:$G,2,0)),0,VLOOKUP($A26&amp;AL$1,'For stats end Y DB'!$A:$G,2,0))</f>
        <v>0</v>
      </c>
      <c r="AM26">
        <f>IF(ISNA(VLOOKUP($A26&amp;AM$1,'For stats end Y DB'!$A:$G,2,0)),0,VLOOKUP($A26&amp;AM$1,'For stats end Y DB'!$A:$G,2,0))</f>
        <v>0</v>
      </c>
      <c r="AN26">
        <f>IF(ISNA(VLOOKUP($A26&amp;AN$1,'For stats end Y DB'!$A:$G,2,0)),0,VLOOKUP($A26&amp;AN$1,'For stats end Y DB'!$A:$G,2,0))</f>
        <v>0</v>
      </c>
      <c r="AP26" t="str">
        <f t="shared" si="3"/>
        <v>Flem</v>
      </c>
      <c r="AQ26">
        <f t="shared" si="4"/>
        <v>7</v>
      </c>
      <c r="AR26">
        <f t="shared" si="4"/>
        <v>2</v>
      </c>
      <c r="AS26">
        <f t="shared" si="4"/>
        <v>1</v>
      </c>
      <c r="AT26" s="9">
        <f t="shared" si="1"/>
        <v>0</v>
      </c>
      <c r="AU26">
        <f t="shared" si="2"/>
        <v>28</v>
      </c>
    </row>
    <row r="27" spans="1:47" x14ac:dyDescent="0.2">
      <c r="A27" s="12" t="s">
        <v>530</v>
      </c>
      <c r="B27">
        <f>IF(ISNA(VLOOKUP($A27&amp;B$1,'For stats end Y DB'!$A:$G,2,0)),0,VLOOKUP($A27&amp;B$1,'For stats end Y DB'!$A:$G,2,0))</f>
        <v>0</v>
      </c>
      <c r="C27">
        <f>IF(ISNA(VLOOKUP($A27&amp;C$1,'For stats end Y DB'!$A:$G,2,0)),0,VLOOKUP($A27&amp;C$1,'For stats end Y DB'!$A:$G,2,0))</f>
        <v>3</v>
      </c>
      <c r="D27">
        <f>IF(ISNA(VLOOKUP($A27&amp;D$1,'For stats end Y DB'!$A:$G,2,0)),0,VLOOKUP($A27&amp;D$1,'For stats end Y DB'!$A:$G,2,0))</f>
        <v>6</v>
      </c>
      <c r="E27">
        <f>IF(ISNA(VLOOKUP($A27&amp;E$1,'For stats end Y DB'!$A:$G,2,0)),0,VLOOKUP($A27&amp;E$1,'For stats end Y DB'!$A:$G,2,0))</f>
        <v>0</v>
      </c>
      <c r="F27">
        <f>IF(ISNA(VLOOKUP($A27&amp;F$1,'For stats end Y DB'!$A:$G,2,0)),0,VLOOKUP($A27&amp;F$1,'For stats end Y DB'!$A:$G,2,0))</f>
        <v>1</v>
      </c>
      <c r="G27">
        <f>IF(ISNA(VLOOKUP($A27&amp;G$1,'For stats end Y DB'!$A:$G,2,0)),0,VLOOKUP($A27&amp;G$1,'For stats end Y DB'!$A:$G,2,0))</f>
        <v>5</v>
      </c>
      <c r="H27">
        <f>IF(ISNA(VLOOKUP($A27&amp;H$1,'For stats end Y DB'!$A:$G,2,0)),0,VLOOKUP($A27&amp;H$1,'For stats end Y DB'!$A:$G,2,0))</f>
        <v>0</v>
      </c>
      <c r="I27">
        <f>IF(ISNA(VLOOKUP($A27&amp;I$1,'For stats end Y DB'!$A:$G,2,0)),0,VLOOKUP($A27&amp;I$1,'For stats end Y DB'!$A:$G,2,0))</f>
        <v>3</v>
      </c>
      <c r="J27">
        <f>IF(ISNA(VLOOKUP($A27&amp;J$1,'For stats end Y DB'!$A:$G,2,0)),0,VLOOKUP($A27&amp;J$1,'For stats end Y DB'!$A:$G,2,0))</f>
        <v>5</v>
      </c>
      <c r="K27">
        <f>IF(ISNA(VLOOKUP($A27&amp;K$1,'For stats end Y DB'!$A:$G,2,0)),0,VLOOKUP($A27&amp;K$1,'For stats end Y DB'!$A:$G,2,0))</f>
        <v>4</v>
      </c>
      <c r="L27">
        <f>IF(ISNA(VLOOKUP($A27&amp;L$1,'For stats end Y DB'!$A:$G,2,0)),0,VLOOKUP($A27&amp;L$1,'For stats end Y DB'!$A:$G,2,0))</f>
        <v>2</v>
      </c>
      <c r="M27">
        <f>IF(ISNA(VLOOKUP($A27&amp;M$1,'For stats end Y DB'!$A:$G,2,0)),0,VLOOKUP($A27&amp;M$1,'For stats end Y DB'!$A:$G,2,0))</f>
        <v>1</v>
      </c>
      <c r="N27">
        <f>IF(ISNA(VLOOKUP($A27&amp;N$1,'For stats end Y DB'!$A:$G,2,0)),0,VLOOKUP($A27&amp;N$1,'For stats end Y DB'!$A:$G,2,0))</f>
        <v>2</v>
      </c>
      <c r="O27">
        <f>IF(ISNA(VLOOKUP($A27&amp;O$1,'For stats end Y DB'!$A:$G,2,0)),0,VLOOKUP($A27&amp;O$1,'For stats end Y DB'!$A:$G,2,0))</f>
        <v>6</v>
      </c>
      <c r="P27">
        <f>IF(ISNA(VLOOKUP($A27&amp;P$1,'For stats end Y DB'!$A:$G,2,0)),0,VLOOKUP($A27&amp;P$1,'For stats end Y DB'!$A:$G,2,0))</f>
        <v>5</v>
      </c>
      <c r="Q27">
        <f>IF(ISNA(VLOOKUP($A27&amp;Q$1,'For stats end Y DB'!$A:$G,2,0)),0,VLOOKUP($A27&amp;Q$1,'For stats end Y DB'!$A:$G,2,0))</f>
        <v>0</v>
      </c>
      <c r="R27">
        <f>IF(ISNA(VLOOKUP($A27&amp;R$1,'For stats end Y DB'!$A:$G,2,0)),0,VLOOKUP($A27&amp;R$1,'For stats end Y DB'!$A:$G,2,0))</f>
        <v>0</v>
      </c>
      <c r="S27">
        <f>IF(ISNA(VLOOKUP($A27&amp;S$1,'For stats end Y DB'!$A:$G,2,0)),0,VLOOKUP($A27&amp;S$1,'For stats end Y DB'!$A:$G,2,0))</f>
        <v>5</v>
      </c>
      <c r="T27">
        <f>IF(ISNA(VLOOKUP($A27&amp;T$1,'For stats end Y DB'!$A:$G,2,0)),0,VLOOKUP($A27&amp;T$1,'For stats end Y DB'!$A:$G,2,0))</f>
        <v>0</v>
      </c>
      <c r="U27">
        <f>IF(ISNA(VLOOKUP($A27&amp;U$1,'For stats end Y DB'!$A:$G,2,0)),0,VLOOKUP($A27&amp;U$1,'For stats end Y DB'!$A:$G,2,0))</f>
        <v>0</v>
      </c>
      <c r="V27">
        <f>IF(ISNA(VLOOKUP($A27&amp;V$1,'For stats end Y DB'!$A:$G,2,0)),0,VLOOKUP($A27&amp;V$1,'For stats end Y DB'!$A:$G,2,0))</f>
        <v>0</v>
      </c>
      <c r="W27">
        <f>IF(ISNA(VLOOKUP($A27&amp;W$1,'For stats end Y DB'!$A:$G,2,0)),0,VLOOKUP($A27&amp;W$1,'For stats end Y DB'!$A:$G,2,0))</f>
        <v>0</v>
      </c>
      <c r="X27">
        <f>IF(ISNA(VLOOKUP($A27&amp;X$1,'For stats end Y DB'!$A:$G,2,0)),0,VLOOKUP($A27&amp;X$1,'For stats end Y DB'!$A:$G,2,0))</f>
        <v>0</v>
      </c>
      <c r="Y27">
        <f>IF(ISNA(VLOOKUP($A27&amp;Y$1,'For stats end Y DB'!$A:$G,2,0)),0,VLOOKUP($A27&amp;Y$1,'For stats end Y DB'!$A:$G,2,0))</f>
        <v>0</v>
      </c>
      <c r="Z27">
        <f>IF(ISNA(VLOOKUP($A27&amp;Z$1,'For stats end Y DB'!$A:$G,2,0)),0,VLOOKUP($A27&amp;Z$1,'For stats end Y DB'!$A:$G,2,0))</f>
        <v>0</v>
      </c>
      <c r="AA27">
        <f>IF(ISNA(VLOOKUP($A27&amp;AA$1,'For stats end Y DB'!$A:$G,2,0)),0,VLOOKUP($A27&amp;AA$1,'For stats end Y DB'!$A:$G,2,0))</f>
        <v>0</v>
      </c>
      <c r="AB27">
        <f>IF(ISNA(VLOOKUP($A27&amp;AB$1,'For stats end Y DB'!$A:$G,2,0)),0,VLOOKUP($A27&amp;AB$1,'For stats end Y DB'!$A:$G,2,0))</f>
        <v>0</v>
      </c>
      <c r="AC27">
        <f>IF(ISNA(VLOOKUP($A27&amp;AC$1,'For stats end Y DB'!$A:$G,2,0)),0,VLOOKUP($A27&amp;AC$1,'For stats end Y DB'!$A:$G,2,0))</f>
        <v>0</v>
      </c>
      <c r="AD27">
        <f>IF(ISNA(VLOOKUP($A27&amp;AD$1,'For stats end Y DB'!$A:$G,2,0)),0,VLOOKUP($A27&amp;AD$1,'For stats end Y DB'!$A:$G,2,0))</f>
        <v>0</v>
      </c>
      <c r="AE27">
        <f>IF(ISNA(VLOOKUP($A27&amp;AE$1,'For stats end Y DB'!$A:$G,2,0)),0,VLOOKUP($A27&amp;AE$1,'For stats end Y DB'!$A:$G,2,0))</f>
        <v>0</v>
      </c>
      <c r="AF27">
        <f>IF(ISNA(VLOOKUP($A27&amp;AF$1,'For stats end Y DB'!$A:$G,2,0)),0,VLOOKUP($A27&amp;AF$1,'For stats end Y DB'!$A:$G,2,0))</f>
        <v>0</v>
      </c>
      <c r="AG27">
        <f>IF(ISNA(VLOOKUP($A27&amp;AG$1,'For stats end Y DB'!$A:$G,2,0)),0,VLOOKUP($A27&amp;AG$1,'For stats end Y DB'!$A:$G,2,0))</f>
        <v>0</v>
      </c>
      <c r="AH27">
        <f>IF(ISNA(VLOOKUP($A27&amp;AH$1,'For stats end Y DB'!$A:$G,2,0)),0,VLOOKUP($A27&amp;AH$1,'For stats end Y DB'!$A:$G,2,0))</f>
        <v>0</v>
      </c>
      <c r="AI27">
        <f>IF(ISNA(VLOOKUP($A27&amp;AI$1,'For stats end Y DB'!$A:$G,2,0)),0,VLOOKUP($A27&amp;AI$1,'For stats end Y DB'!$A:$G,2,0))</f>
        <v>0</v>
      </c>
      <c r="AJ27">
        <f>IF(ISNA(VLOOKUP($A27&amp;AJ$1,'For stats end Y DB'!$A:$G,2,0)),0,VLOOKUP($A27&amp;AJ$1,'For stats end Y DB'!$A:$G,2,0))</f>
        <v>0</v>
      </c>
      <c r="AK27">
        <f>IF(ISNA(VLOOKUP($A27&amp;AK$1,'For stats end Y DB'!$A:$G,2,0)),0,VLOOKUP($A27&amp;AK$1,'For stats end Y DB'!$A:$G,2,0))</f>
        <v>0</v>
      </c>
      <c r="AL27">
        <f>IF(ISNA(VLOOKUP($A27&amp;AL$1,'For stats end Y DB'!$A:$G,2,0)),0,VLOOKUP($A27&amp;AL$1,'For stats end Y DB'!$A:$G,2,0))</f>
        <v>0</v>
      </c>
      <c r="AM27">
        <f>IF(ISNA(VLOOKUP($A27&amp;AM$1,'For stats end Y DB'!$A:$G,2,0)),0,VLOOKUP($A27&amp;AM$1,'For stats end Y DB'!$A:$G,2,0))</f>
        <v>0</v>
      </c>
      <c r="AN27">
        <f>IF(ISNA(VLOOKUP($A27&amp;AN$1,'For stats end Y DB'!$A:$G,2,0)),0,VLOOKUP($A27&amp;AN$1,'For stats end Y DB'!$A:$G,2,0))</f>
        <v>0</v>
      </c>
      <c r="AP27" t="str">
        <f t="shared" si="3"/>
        <v>Flopynou</v>
      </c>
      <c r="AQ27">
        <f t="shared" si="4"/>
        <v>2</v>
      </c>
      <c r="AR27">
        <f t="shared" si="4"/>
        <v>2</v>
      </c>
      <c r="AS27">
        <f t="shared" si="4"/>
        <v>2</v>
      </c>
      <c r="AT27" s="9">
        <f t="shared" si="1"/>
        <v>0</v>
      </c>
      <c r="AU27">
        <f t="shared" si="2"/>
        <v>13</v>
      </c>
    </row>
    <row r="28" spans="1:47" x14ac:dyDescent="0.2">
      <c r="A28" s="12" t="s">
        <v>522</v>
      </c>
      <c r="B28">
        <f>IF(ISNA(VLOOKUP($A28&amp;B$1,'For stats end Y DB'!$A:$G,2,0)),0,VLOOKUP($A28&amp;B$1,'For stats end Y DB'!$A:$G,2,0))</f>
        <v>5</v>
      </c>
      <c r="C28">
        <f>IF(ISNA(VLOOKUP($A28&amp;C$1,'For stats end Y DB'!$A:$G,2,0)),0,VLOOKUP($A28&amp;C$1,'For stats end Y DB'!$A:$G,2,0))</f>
        <v>0</v>
      </c>
      <c r="D28">
        <f>IF(ISNA(VLOOKUP($A28&amp;D$1,'For stats end Y DB'!$A:$G,2,0)),0,VLOOKUP($A28&amp;D$1,'For stats end Y DB'!$A:$G,2,0))</f>
        <v>0</v>
      </c>
      <c r="E28">
        <f>IF(ISNA(VLOOKUP($A28&amp;E$1,'For stats end Y DB'!$A:$G,2,0)),0,VLOOKUP($A28&amp;E$1,'For stats end Y DB'!$A:$G,2,0))</f>
        <v>0</v>
      </c>
      <c r="F28">
        <f>IF(ISNA(VLOOKUP($A28&amp;F$1,'For stats end Y DB'!$A:$G,2,0)),0,VLOOKUP($A28&amp;F$1,'For stats end Y DB'!$A:$G,2,0))</f>
        <v>0</v>
      </c>
      <c r="G28">
        <f>IF(ISNA(VLOOKUP($A28&amp;G$1,'For stats end Y DB'!$A:$G,2,0)),0,VLOOKUP($A28&amp;G$1,'For stats end Y DB'!$A:$G,2,0))</f>
        <v>0</v>
      </c>
      <c r="H28">
        <f>IF(ISNA(VLOOKUP($A28&amp;H$1,'For stats end Y DB'!$A:$G,2,0)),0,VLOOKUP($A28&amp;H$1,'For stats end Y DB'!$A:$G,2,0))</f>
        <v>0</v>
      </c>
      <c r="I28">
        <f>IF(ISNA(VLOOKUP($A28&amp;I$1,'For stats end Y DB'!$A:$G,2,0)),0,VLOOKUP($A28&amp;I$1,'For stats end Y DB'!$A:$G,2,0))</f>
        <v>0</v>
      </c>
      <c r="J28">
        <f>IF(ISNA(VLOOKUP($A28&amp;J$1,'For stats end Y DB'!$A:$G,2,0)),0,VLOOKUP($A28&amp;J$1,'For stats end Y DB'!$A:$G,2,0))</f>
        <v>0</v>
      </c>
      <c r="K28">
        <f>IF(ISNA(VLOOKUP($A28&amp;K$1,'For stats end Y DB'!$A:$G,2,0)),0,VLOOKUP($A28&amp;K$1,'For stats end Y DB'!$A:$G,2,0))</f>
        <v>0</v>
      </c>
      <c r="L28">
        <f>IF(ISNA(VLOOKUP($A28&amp;L$1,'For stats end Y DB'!$A:$G,2,0)),0,VLOOKUP($A28&amp;L$1,'For stats end Y DB'!$A:$G,2,0))</f>
        <v>0</v>
      </c>
      <c r="M28">
        <f>IF(ISNA(VLOOKUP($A28&amp;M$1,'For stats end Y DB'!$A:$G,2,0)),0,VLOOKUP($A28&amp;M$1,'For stats end Y DB'!$A:$G,2,0))</f>
        <v>0</v>
      </c>
      <c r="N28">
        <f>IF(ISNA(VLOOKUP($A28&amp;N$1,'For stats end Y DB'!$A:$G,2,0)),0,VLOOKUP($A28&amp;N$1,'For stats end Y DB'!$A:$G,2,0))</f>
        <v>0</v>
      </c>
      <c r="O28">
        <f>IF(ISNA(VLOOKUP($A28&amp;O$1,'For stats end Y DB'!$A:$G,2,0)),0,VLOOKUP($A28&amp;O$1,'For stats end Y DB'!$A:$G,2,0))</f>
        <v>0</v>
      </c>
      <c r="P28">
        <f>IF(ISNA(VLOOKUP($A28&amp;P$1,'For stats end Y DB'!$A:$G,2,0)),0,VLOOKUP($A28&amp;P$1,'For stats end Y DB'!$A:$G,2,0))</f>
        <v>0</v>
      </c>
      <c r="Q28">
        <f>IF(ISNA(VLOOKUP($A28&amp;Q$1,'For stats end Y DB'!$A:$G,2,0)),0,VLOOKUP($A28&amp;Q$1,'For stats end Y DB'!$A:$G,2,0))</f>
        <v>0</v>
      </c>
      <c r="R28">
        <f>IF(ISNA(VLOOKUP($A28&amp;R$1,'For stats end Y DB'!$A:$G,2,0)),0,VLOOKUP($A28&amp;R$1,'For stats end Y DB'!$A:$G,2,0))</f>
        <v>0</v>
      </c>
      <c r="S28">
        <f>IF(ISNA(VLOOKUP($A28&amp;S$1,'For stats end Y DB'!$A:$G,2,0)),0,VLOOKUP($A28&amp;S$1,'For stats end Y DB'!$A:$G,2,0))</f>
        <v>0</v>
      </c>
      <c r="T28">
        <f>IF(ISNA(VLOOKUP($A28&amp;T$1,'For stats end Y DB'!$A:$G,2,0)),0,VLOOKUP($A28&amp;T$1,'For stats end Y DB'!$A:$G,2,0))</f>
        <v>0</v>
      </c>
      <c r="U28">
        <f>IF(ISNA(VLOOKUP($A28&amp;U$1,'For stats end Y DB'!$A:$G,2,0)),0,VLOOKUP($A28&amp;U$1,'For stats end Y DB'!$A:$G,2,0))</f>
        <v>0</v>
      </c>
      <c r="V28">
        <f>IF(ISNA(VLOOKUP($A28&amp;V$1,'For stats end Y DB'!$A:$G,2,0)),0,VLOOKUP($A28&amp;V$1,'For stats end Y DB'!$A:$G,2,0))</f>
        <v>0</v>
      </c>
      <c r="W28">
        <f>IF(ISNA(VLOOKUP($A28&amp;W$1,'For stats end Y DB'!$A:$G,2,0)),0,VLOOKUP($A28&amp;W$1,'For stats end Y DB'!$A:$G,2,0))</f>
        <v>0</v>
      </c>
      <c r="X28">
        <f>IF(ISNA(VLOOKUP($A28&amp;X$1,'For stats end Y DB'!$A:$G,2,0)),0,VLOOKUP($A28&amp;X$1,'For stats end Y DB'!$A:$G,2,0))</f>
        <v>0</v>
      </c>
      <c r="Y28">
        <f>IF(ISNA(VLOOKUP($A28&amp;Y$1,'For stats end Y DB'!$A:$G,2,0)),0,VLOOKUP($A28&amp;Y$1,'For stats end Y DB'!$A:$G,2,0))</f>
        <v>0</v>
      </c>
      <c r="Z28">
        <f>IF(ISNA(VLOOKUP($A28&amp;Z$1,'For stats end Y DB'!$A:$G,2,0)),0,VLOOKUP($A28&amp;Z$1,'For stats end Y DB'!$A:$G,2,0))</f>
        <v>0</v>
      </c>
      <c r="AA28">
        <f>IF(ISNA(VLOOKUP($A28&amp;AA$1,'For stats end Y DB'!$A:$G,2,0)),0,VLOOKUP($A28&amp;AA$1,'For stats end Y DB'!$A:$G,2,0))</f>
        <v>0</v>
      </c>
      <c r="AB28">
        <f>IF(ISNA(VLOOKUP($A28&amp;AB$1,'For stats end Y DB'!$A:$G,2,0)),0,VLOOKUP($A28&amp;AB$1,'For stats end Y DB'!$A:$G,2,0))</f>
        <v>0</v>
      </c>
      <c r="AC28">
        <f>IF(ISNA(VLOOKUP($A28&amp;AC$1,'For stats end Y DB'!$A:$G,2,0)),0,VLOOKUP($A28&amp;AC$1,'For stats end Y DB'!$A:$G,2,0))</f>
        <v>0</v>
      </c>
      <c r="AD28">
        <f>IF(ISNA(VLOOKUP($A28&amp;AD$1,'For stats end Y DB'!$A:$G,2,0)),0,VLOOKUP($A28&amp;AD$1,'For stats end Y DB'!$A:$G,2,0))</f>
        <v>0</v>
      </c>
      <c r="AE28">
        <f>IF(ISNA(VLOOKUP($A28&amp;AE$1,'For stats end Y DB'!$A:$G,2,0)),0,VLOOKUP($A28&amp;AE$1,'For stats end Y DB'!$A:$G,2,0))</f>
        <v>0</v>
      </c>
      <c r="AF28">
        <f>IF(ISNA(VLOOKUP($A28&amp;AF$1,'For stats end Y DB'!$A:$G,2,0)),0,VLOOKUP($A28&amp;AF$1,'For stats end Y DB'!$A:$G,2,0))</f>
        <v>0</v>
      </c>
      <c r="AG28">
        <f>IF(ISNA(VLOOKUP($A28&amp;AG$1,'For stats end Y DB'!$A:$G,2,0)),0,VLOOKUP($A28&amp;AG$1,'For stats end Y DB'!$A:$G,2,0))</f>
        <v>0</v>
      </c>
      <c r="AH28">
        <f>IF(ISNA(VLOOKUP($A28&amp;AH$1,'For stats end Y DB'!$A:$G,2,0)),0,VLOOKUP($A28&amp;AH$1,'For stats end Y DB'!$A:$G,2,0))</f>
        <v>0</v>
      </c>
      <c r="AI28">
        <f>IF(ISNA(VLOOKUP($A28&amp;AI$1,'For stats end Y DB'!$A:$G,2,0)),0,VLOOKUP($A28&amp;AI$1,'For stats end Y DB'!$A:$G,2,0))</f>
        <v>0</v>
      </c>
      <c r="AJ28">
        <f>IF(ISNA(VLOOKUP($A28&amp;AJ$1,'For stats end Y DB'!$A:$G,2,0)),0,VLOOKUP($A28&amp;AJ$1,'For stats end Y DB'!$A:$G,2,0))</f>
        <v>0</v>
      </c>
      <c r="AK28">
        <f>IF(ISNA(VLOOKUP($A28&amp;AK$1,'For stats end Y DB'!$A:$G,2,0)),0,VLOOKUP($A28&amp;AK$1,'For stats end Y DB'!$A:$G,2,0))</f>
        <v>0</v>
      </c>
      <c r="AL28">
        <f>IF(ISNA(VLOOKUP($A28&amp;AL$1,'For stats end Y DB'!$A:$G,2,0)),0,VLOOKUP($A28&amp;AL$1,'For stats end Y DB'!$A:$G,2,0))</f>
        <v>0</v>
      </c>
      <c r="AM28">
        <f>IF(ISNA(VLOOKUP($A28&amp;AM$1,'For stats end Y DB'!$A:$G,2,0)),0,VLOOKUP($A28&amp;AM$1,'For stats end Y DB'!$A:$G,2,0))</f>
        <v>0</v>
      </c>
      <c r="AN28">
        <f>IF(ISNA(VLOOKUP($A28&amp;AN$1,'For stats end Y DB'!$A:$G,2,0)),0,VLOOKUP($A28&amp;AN$1,'For stats end Y DB'!$A:$G,2,0))</f>
        <v>0</v>
      </c>
      <c r="AP28" t="str">
        <f t="shared" si="3"/>
        <v>Flora</v>
      </c>
      <c r="AQ28">
        <f t="shared" si="4"/>
        <v>0</v>
      </c>
      <c r="AR28">
        <f t="shared" si="4"/>
        <v>0</v>
      </c>
      <c r="AS28">
        <f t="shared" si="4"/>
        <v>0</v>
      </c>
      <c r="AT28" s="9">
        <f t="shared" si="1"/>
        <v>0</v>
      </c>
      <c r="AU28">
        <f t="shared" si="2"/>
        <v>1</v>
      </c>
    </row>
    <row r="29" spans="1:47" x14ac:dyDescent="0.2">
      <c r="A29" s="12" t="s">
        <v>517</v>
      </c>
      <c r="B29">
        <f>IF(ISNA(VLOOKUP($A29&amp;B$1,'For stats end Y DB'!$A:$G,2,0)),0,VLOOKUP($A29&amp;B$1,'For stats end Y DB'!$A:$G,2,0))</f>
        <v>1</v>
      </c>
      <c r="C29">
        <f>IF(ISNA(VLOOKUP($A29&amp;C$1,'For stats end Y DB'!$A:$G,2,0)),0,VLOOKUP($A29&amp;C$1,'For stats end Y DB'!$A:$G,2,0))</f>
        <v>0</v>
      </c>
      <c r="D29">
        <f>IF(ISNA(VLOOKUP($A29&amp;D$1,'For stats end Y DB'!$A:$G,2,0)),0,VLOOKUP($A29&amp;D$1,'For stats end Y DB'!$A:$G,2,0))</f>
        <v>0</v>
      </c>
      <c r="E29">
        <f>IF(ISNA(VLOOKUP($A29&amp;E$1,'For stats end Y DB'!$A:$G,2,0)),0,VLOOKUP($A29&amp;E$1,'For stats end Y DB'!$A:$G,2,0))</f>
        <v>0</v>
      </c>
      <c r="F29">
        <f>IF(ISNA(VLOOKUP($A29&amp;F$1,'For stats end Y DB'!$A:$G,2,0)),0,VLOOKUP($A29&amp;F$1,'For stats end Y DB'!$A:$G,2,0))</f>
        <v>0</v>
      </c>
      <c r="G29">
        <f>IF(ISNA(VLOOKUP($A29&amp;G$1,'For stats end Y DB'!$A:$G,2,0)),0,VLOOKUP($A29&amp;G$1,'For stats end Y DB'!$A:$G,2,0))</f>
        <v>0</v>
      </c>
      <c r="H29">
        <f>IF(ISNA(VLOOKUP($A29&amp;H$1,'For stats end Y DB'!$A:$G,2,0)),0,VLOOKUP($A29&amp;H$1,'For stats end Y DB'!$A:$G,2,0))</f>
        <v>0</v>
      </c>
      <c r="I29">
        <f>IF(ISNA(VLOOKUP($A29&amp;I$1,'For stats end Y DB'!$A:$G,2,0)),0,VLOOKUP($A29&amp;I$1,'For stats end Y DB'!$A:$G,2,0))</f>
        <v>0</v>
      </c>
      <c r="J29">
        <f>IF(ISNA(VLOOKUP($A29&amp;J$1,'For stats end Y DB'!$A:$G,2,0)),0,VLOOKUP($A29&amp;J$1,'For stats end Y DB'!$A:$G,2,0))</f>
        <v>0</v>
      </c>
      <c r="K29">
        <f>IF(ISNA(VLOOKUP($A29&amp;K$1,'For stats end Y DB'!$A:$G,2,0)),0,VLOOKUP($A29&amp;K$1,'For stats end Y DB'!$A:$G,2,0))</f>
        <v>0</v>
      </c>
      <c r="L29">
        <f>IF(ISNA(VLOOKUP($A29&amp;L$1,'For stats end Y DB'!$A:$G,2,0)),0,VLOOKUP($A29&amp;L$1,'For stats end Y DB'!$A:$G,2,0))</f>
        <v>0</v>
      </c>
      <c r="M29">
        <f>IF(ISNA(VLOOKUP($A29&amp;M$1,'For stats end Y DB'!$A:$G,2,0)),0,VLOOKUP($A29&amp;M$1,'For stats end Y DB'!$A:$G,2,0))</f>
        <v>0</v>
      </c>
      <c r="N29">
        <f>IF(ISNA(VLOOKUP($A29&amp;N$1,'For stats end Y DB'!$A:$G,2,0)),0,VLOOKUP($A29&amp;N$1,'For stats end Y DB'!$A:$G,2,0))</f>
        <v>0</v>
      </c>
      <c r="O29">
        <f>IF(ISNA(VLOOKUP($A29&amp;O$1,'For stats end Y DB'!$A:$G,2,0)),0,VLOOKUP($A29&amp;O$1,'For stats end Y DB'!$A:$G,2,0))</f>
        <v>0</v>
      </c>
      <c r="P29">
        <f>IF(ISNA(VLOOKUP($A29&amp;P$1,'For stats end Y DB'!$A:$G,2,0)),0,VLOOKUP($A29&amp;P$1,'For stats end Y DB'!$A:$G,2,0))</f>
        <v>0</v>
      </c>
      <c r="Q29">
        <f>IF(ISNA(VLOOKUP($A29&amp;Q$1,'For stats end Y DB'!$A:$G,2,0)),0,VLOOKUP($A29&amp;Q$1,'For stats end Y DB'!$A:$G,2,0))</f>
        <v>0</v>
      </c>
      <c r="R29">
        <f>IF(ISNA(VLOOKUP($A29&amp;R$1,'For stats end Y DB'!$A:$G,2,0)),0,VLOOKUP($A29&amp;R$1,'For stats end Y DB'!$A:$G,2,0))</f>
        <v>0</v>
      </c>
      <c r="S29">
        <f>IF(ISNA(VLOOKUP($A29&amp;S$1,'For stats end Y DB'!$A:$G,2,0)),0,VLOOKUP($A29&amp;S$1,'For stats end Y DB'!$A:$G,2,0))</f>
        <v>0</v>
      </c>
      <c r="T29">
        <f>IF(ISNA(VLOOKUP($A29&amp;T$1,'For stats end Y DB'!$A:$G,2,0)),0,VLOOKUP($A29&amp;T$1,'For stats end Y DB'!$A:$G,2,0))</f>
        <v>0</v>
      </c>
      <c r="U29">
        <f>IF(ISNA(VLOOKUP($A29&amp;U$1,'For stats end Y DB'!$A:$G,2,0)),0,VLOOKUP($A29&amp;U$1,'For stats end Y DB'!$A:$G,2,0))</f>
        <v>0</v>
      </c>
      <c r="V29">
        <f>IF(ISNA(VLOOKUP($A29&amp;V$1,'For stats end Y DB'!$A:$G,2,0)),0,VLOOKUP($A29&amp;V$1,'For stats end Y DB'!$A:$G,2,0))</f>
        <v>0</v>
      </c>
      <c r="W29">
        <f>IF(ISNA(VLOOKUP($A29&amp;W$1,'For stats end Y DB'!$A:$G,2,0)),0,VLOOKUP($A29&amp;W$1,'For stats end Y DB'!$A:$G,2,0))</f>
        <v>0</v>
      </c>
      <c r="X29">
        <f>IF(ISNA(VLOOKUP($A29&amp;X$1,'For stats end Y DB'!$A:$G,2,0)),0,VLOOKUP($A29&amp;X$1,'For stats end Y DB'!$A:$G,2,0))</f>
        <v>0</v>
      </c>
      <c r="Y29">
        <f>IF(ISNA(VLOOKUP($A29&amp;Y$1,'For stats end Y DB'!$A:$G,2,0)),0,VLOOKUP($A29&amp;Y$1,'For stats end Y DB'!$A:$G,2,0))</f>
        <v>0</v>
      </c>
      <c r="Z29">
        <f>IF(ISNA(VLOOKUP($A29&amp;Z$1,'For stats end Y DB'!$A:$G,2,0)),0,VLOOKUP($A29&amp;Z$1,'For stats end Y DB'!$A:$G,2,0))</f>
        <v>0</v>
      </c>
      <c r="AA29">
        <f>IF(ISNA(VLOOKUP($A29&amp;AA$1,'For stats end Y DB'!$A:$G,2,0)),0,VLOOKUP($A29&amp;AA$1,'For stats end Y DB'!$A:$G,2,0))</f>
        <v>0</v>
      </c>
      <c r="AB29">
        <f>IF(ISNA(VLOOKUP($A29&amp;AB$1,'For stats end Y DB'!$A:$G,2,0)),0,VLOOKUP($A29&amp;AB$1,'For stats end Y DB'!$A:$G,2,0))</f>
        <v>0</v>
      </c>
      <c r="AC29">
        <f>IF(ISNA(VLOOKUP($A29&amp;AC$1,'For stats end Y DB'!$A:$G,2,0)),0,VLOOKUP($A29&amp;AC$1,'For stats end Y DB'!$A:$G,2,0))</f>
        <v>0</v>
      </c>
      <c r="AD29">
        <f>IF(ISNA(VLOOKUP($A29&amp;AD$1,'For stats end Y DB'!$A:$G,2,0)),0,VLOOKUP($A29&amp;AD$1,'For stats end Y DB'!$A:$G,2,0))</f>
        <v>0</v>
      </c>
      <c r="AE29">
        <f>IF(ISNA(VLOOKUP($A29&amp;AE$1,'For stats end Y DB'!$A:$G,2,0)),0,VLOOKUP($A29&amp;AE$1,'For stats end Y DB'!$A:$G,2,0))</f>
        <v>0</v>
      </c>
      <c r="AF29">
        <f>IF(ISNA(VLOOKUP($A29&amp;AF$1,'For stats end Y DB'!$A:$G,2,0)),0,VLOOKUP($A29&amp;AF$1,'For stats end Y DB'!$A:$G,2,0))</f>
        <v>0</v>
      </c>
      <c r="AG29">
        <f>IF(ISNA(VLOOKUP($A29&amp;AG$1,'For stats end Y DB'!$A:$G,2,0)),0,VLOOKUP($A29&amp;AG$1,'For stats end Y DB'!$A:$G,2,0))</f>
        <v>0</v>
      </c>
      <c r="AH29">
        <f>IF(ISNA(VLOOKUP($A29&amp;AH$1,'For stats end Y DB'!$A:$G,2,0)),0,VLOOKUP($A29&amp;AH$1,'For stats end Y DB'!$A:$G,2,0))</f>
        <v>0</v>
      </c>
      <c r="AI29">
        <f>IF(ISNA(VLOOKUP($A29&amp;AI$1,'For stats end Y DB'!$A:$G,2,0)),0,VLOOKUP($A29&amp;AI$1,'For stats end Y DB'!$A:$G,2,0))</f>
        <v>0</v>
      </c>
      <c r="AJ29">
        <f>IF(ISNA(VLOOKUP($A29&amp;AJ$1,'For stats end Y DB'!$A:$G,2,0)),0,VLOOKUP($A29&amp;AJ$1,'For stats end Y DB'!$A:$G,2,0))</f>
        <v>0</v>
      </c>
      <c r="AK29">
        <f>IF(ISNA(VLOOKUP($A29&amp;AK$1,'For stats end Y DB'!$A:$G,2,0)),0,VLOOKUP($A29&amp;AK$1,'For stats end Y DB'!$A:$G,2,0))</f>
        <v>0</v>
      </c>
      <c r="AL29">
        <f>IF(ISNA(VLOOKUP($A29&amp;AL$1,'For stats end Y DB'!$A:$G,2,0)),0,VLOOKUP($A29&amp;AL$1,'For stats end Y DB'!$A:$G,2,0))</f>
        <v>0</v>
      </c>
      <c r="AM29">
        <f>IF(ISNA(VLOOKUP($A29&amp;AM$1,'For stats end Y DB'!$A:$G,2,0)),0,VLOOKUP($A29&amp;AM$1,'For stats end Y DB'!$A:$G,2,0))</f>
        <v>0</v>
      </c>
      <c r="AN29">
        <f>IF(ISNA(VLOOKUP($A29&amp;AN$1,'For stats end Y DB'!$A:$G,2,0)),0,VLOOKUP($A29&amp;AN$1,'For stats end Y DB'!$A:$G,2,0))</f>
        <v>0</v>
      </c>
      <c r="AP29" t="str">
        <f t="shared" si="3"/>
        <v>Franz</v>
      </c>
      <c r="AQ29">
        <f t="shared" si="4"/>
        <v>1</v>
      </c>
      <c r="AR29">
        <f t="shared" si="4"/>
        <v>0</v>
      </c>
      <c r="AS29">
        <f t="shared" si="4"/>
        <v>0</v>
      </c>
      <c r="AT29" s="9">
        <f t="shared" si="1"/>
        <v>0</v>
      </c>
      <c r="AU29">
        <f t="shared" si="2"/>
        <v>1</v>
      </c>
    </row>
    <row r="30" spans="1:47" x14ac:dyDescent="0.2">
      <c r="A30" s="12" t="s">
        <v>525</v>
      </c>
      <c r="B30">
        <f>IF(ISNA(VLOOKUP($A30&amp;B$1,'For stats end Y DB'!$A:$G,2,0)),0,VLOOKUP($A30&amp;B$1,'For stats end Y DB'!$A:$G,2,0))</f>
        <v>0</v>
      </c>
      <c r="C30">
        <f>IF(ISNA(VLOOKUP($A30&amp;C$1,'For stats end Y DB'!$A:$G,2,0)),0,VLOOKUP($A30&amp;C$1,'For stats end Y DB'!$A:$G,2,0))</f>
        <v>6</v>
      </c>
      <c r="D30">
        <f>IF(ISNA(VLOOKUP($A30&amp;D$1,'For stats end Y DB'!$A:$G,2,0)),0,VLOOKUP($A30&amp;D$1,'For stats end Y DB'!$A:$G,2,0))</f>
        <v>6</v>
      </c>
      <c r="E30">
        <f>IF(ISNA(VLOOKUP($A30&amp;E$1,'For stats end Y DB'!$A:$G,2,0)),0,VLOOKUP($A30&amp;E$1,'For stats end Y DB'!$A:$G,2,0))</f>
        <v>3</v>
      </c>
      <c r="F30">
        <f>IF(ISNA(VLOOKUP($A30&amp;F$1,'For stats end Y DB'!$A:$G,2,0)),0,VLOOKUP($A30&amp;F$1,'For stats end Y DB'!$A:$G,2,0))</f>
        <v>0</v>
      </c>
      <c r="G30">
        <f>IF(ISNA(VLOOKUP($A30&amp;G$1,'For stats end Y DB'!$A:$G,2,0)),0,VLOOKUP($A30&amp;G$1,'For stats end Y DB'!$A:$G,2,0))</f>
        <v>2</v>
      </c>
      <c r="H30">
        <f>IF(ISNA(VLOOKUP($A30&amp;H$1,'For stats end Y DB'!$A:$G,2,0)),0,VLOOKUP($A30&amp;H$1,'For stats end Y DB'!$A:$G,2,0))</f>
        <v>0</v>
      </c>
      <c r="I30">
        <f>IF(ISNA(VLOOKUP($A30&amp;I$1,'For stats end Y DB'!$A:$G,2,0)),0,VLOOKUP($A30&amp;I$1,'For stats end Y DB'!$A:$G,2,0))</f>
        <v>5</v>
      </c>
      <c r="J30">
        <f>IF(ISNA(VLOOKUP($A30&amp;J$1,'For stats end Y DB'!$A:$G,2,0)),0,VLOOKUP($A30&amp;J$1,'For stats end Y DB'!$A:$G,2,0))</f>
        <v>5</v>
      </c>
      <c r="K30">
        <f>IF(ISNA(VLOOKUP($A30&amp;K$1,'For stats end Y DB'!$A:$G,2,0)),0,VLOOKUP($A30&amp;K$1,'For stats end Y DB'!$A:$G,2,0))</f>
        <v>6</v>
      </c>
      <c r="L30">
        <f>IF(ISNA(VLOOKUP($A30&amp;L$1,'For stats end Y DB'!$A:$G,2,0)),0,VLOOKUP($A30&amp;L$1,'For stats end Y DB'!$A:$G,2,0))</f>
        <v>4</v>
      </c>
      <c r="M30">
        <f>IF(ISNA(VLOOKUP($A30&amp;M$1,'For stats end Y DB'!$A:$G,2,0)),0,VLOOKUP($A30&amp;M$1,'For stats end Y DB'!$A:$G,2,0))</f>
        <v>3</v>
      </c>
      <c r="N30">
        <f>IF(ISNA(VLOOKUP($A30&amp;N$1,'For stats end Y DB'!$A:$G,2,0)),0,VLOOKUP($A30&amp;N$1,'For stats end Y DB'!$A:$G,2,0))</f>
        <v>6</v>
      </c>
      <c r="O30">
        <f>IF(ISNA(VLOOKUP($A30&amp;O$1,'For stats end Y DB'!$A:$G,2,0)),0,VLOOKUP($A30&amp;O$1,'For stats end Y DB'!$A:$G,2,0))</f>
        <v>0</v>
      </c>
      <c r="P30">
        <f>IF(ISNA(VLOOKUP($A30&amp;P$1,'For stats end Y DB'!$A:$G,2,0)),0,VLOOKUP($A30&amp;P$1,'For stats end Y DB'!$A:$G,2,0))</f>
        <v>6</v>
      </c>
      <c r="Q30">
        <f>IF(ISNA(VLOOKUP($A30&amp;Q$1,'For stats end Y DB'!$A:$G,2,0)),0,VLOOKUP($A30&amp;Q$1,'For stats end Y DB'!$A:$G,2,0))</f>
        <v>6</v>
      </c>
      <c r="R30">
        <f>IF(ISNA(VLOOKUP($A30&amp;R$1,'For stats end Y DB'!$A:$G,2,0)),0,VLOOKUP($A30&amp;R$1,'For stats end Y DB'!$A:$G,2,0))</f>
        <v>5</v>
      </c>
      <c r="S30">
        <f>IF(ISNA(VLOOKUP($A30&amp;S$1,'For stats end Y DB'!$A:$G,2,0)),0,VLOOKUP($A30&amp;S$1,'For stats end Y DB'!$A:$G,2,0))</f>
        <v>7</v>
      </c>
      <c r="T30">
        <f>IF(ISNA(VLOOKUP($A30&amp;T$1,'For stats end Y DB'!$A:$G,2,0)),0,VLOOKUP($A30&amp;T$1,'For stats end Y DB'!$A:$G,2,0))</f>
        <v>6</v>
      </c>
      <c r="U30">
        <f>IF(ISNA(VLOOKUP($A30&amp;U$1,'For stats end Y DB'!$A:$G,2,0)),0,VLOOKUP($A30&amp;U$1,'For stats end Y DB'!$A:$G,2,0))</f>
        <v>2</v>
      </c>
      <c r="V30">
        <f>IF(ISNA(VLOOKUP($A30&amp;V$1,'For stats end Y DB'!$A:$G,2,0)),0,VLOOKUP($A30&amp;V$1,'For stats end Y DB'!$A:$G,2,0))</f>
        <v>4</v>
      </c>
      <c r="W30">
        <f>IF(ISNA(VLOOKUP($A30&amp;W$1,'For stats end Y DB'!$A:$G,2,0)),0,VLOOKUP($A30&amp;W$1,'For stats end Y DB'!$A:$G,2,0))</f>
        <v>4</v>
      </c>
      <c r="X30">
        <f>IF(ISNA(VLOOKUP($A30&amp;X$1,'For stats end Y DB'!$A:$G,2,0)),0,VLOOKUP($A30&amp;X$1,'For stats end Y DB'!$A:$G,2,0))</f>
        <v>3</v>
      </c>
      <c r="Y30">
        <f>IF(ISNA(VLOOKUP($A30&amp;Y$1,'For stats end Y DB'!$A:$G,2,0)),0,VLOOKUP($A30&amp;Y$1,'For stats end Y DB'!$A:$G,2,0))</f>
        <v>5</v>
      </c>
      <c r="Z30">
        <f>IF(ISNA(VLOOKUP($A30&amp;Z$1,'For stats end Y DB'!$A:$G,2,0)),0,VLOOKUP($A30&amp;Z$1,'For stats end Y DB'!$A:$G,2,0))</f>
        <v>0</v>
      </c>
      <c r="AA30">
        <f>IF(ISNA(VLOOKUP($A30&amp;AA$1,'For stats end Y DB'!$A:$G,2,0)),0,VLOOKUP($A30&amp;AA$1,'For stats end Y DB'!$A:$G,2,0))</f>
        <v>4</v>
      </c>
      <c r="AB30">
        <f>IF(ISNA(VLOOKUP($A30&amp;AB$1,'For stats end Y DB'!$A:$G,2,0)),0,VLOOKUP($A30&amp;AB$1,'For stats end Y DB'!$A:$G,2,0))</f>
        <v>0</v>
      </c>
      <c r="AC30">
        <f>IF(ISNA(VLOOKUP($A30&amp;AC$1,'For stats end Y DB'!$A:$G,2,0)),0,VLOOKUP($A30&amp;AC$1,'For stats end Y DB'!$A:$G,2,0))</f>
        <v>0</v>
      </c>
      <c r="AD30">
        <f>IF(ISNA(VLOOKUP($A30&amp;AD$1,'For stats end Y DB'!$A:$G,2,0)),0,VLOOKUP($A30&amp;AD$1,'For stats end Y DB'!$A:$G,2,0))</f>
        <v>0</v>
      </c>
      <c r="AE30">
        <f>IF(ISNA(VLOOKUP($A30&amp;AE$1,'For stats end Y DB'!$A:$G,2,0)),0,VLOOKUP($A30&amp;AE$1,'For stats end Y DB'!$A:$G,2,0))</f>
        <v>0</v>
      </c>
      <c r="AF30">
        <f>IF(ISNA(VLOOKUP($A30&amp;AF$1,'For stats end Y DB'!$A:$G,2,0)),0,VLOOKUP($A30&amp;AF$1,'For stats end Y DB'!$A:$G,2,0))</f>
        <v>4</v>
      </c>
      <c r="AG30">
        <f>IF(ISNA(VLOOKUP($A30&amp;AG$1,'For stats end Y DB'!$A:$G,2,0)),0,VLOOKUP($A30&amp;AG$1,'For stats end Y DB'!$A:$G,2,0))</f>
        <v>5</v>
      </c>
      <c r="AH30">
        <f>IF(ISNA(VLOOKUP($A30&amp;AH$1,'For stats end Y DB'!$A:$G,2,0)),0,VLOOKUP($A30&amp;AH$1,'For stats end Y DB'!$A:$G,2,0))</f>
        <v>0</v>
      </c>
      <c r="AI30">
        <f>IF(ISNA(VLOOKUP($A30&amp;AI$1,'For stats end Y DB'!$A:$G,2,0)),0,VLOOKUP($A30&amp;AI$1,'For stats end Y DB'!$A:$G,2,0))</f>
        <v>0</v>
      </c>
      <c r="AJ30">
        <f>IF(ISNA(VLOOKUP($A30&amp;AJ$1,'For stats end Y DB'!$A:$G,2,0)),0,VLOOKUP($A30&amp;AJ$1,'For stats end Y DB'!$A:$G,2,0))</f>
        <v>0</v>
      </c>
      <c r="AK30">
        <f>IF(ISNA(VLOOKUP($A30&amp;AK$1,'For stats end Y DB'!$A:$G,2,0)),0,VLOOKUP($A30&amp;AK$1,'For stats end Y DB'!$A:$G,2,0))</f>
        <v>0</v>
      </c>
      <c r="AL30">
        <f>IF(ISNA(VLOOKUP($A30&amp;AL$1,'For stats end Y DB'!$A:$G,2,0)),0,VLOOKUP($A30&amp;AL$1,'For stats end Y DB'!$A:$G,2,0))</f>
        <v>0</v>
      </c>
      <c r="AM30">
        <f>IF(ISNA(VLOOKUP($A30&amp;AM$1,'For stats end Y DB'!$A:$G,2,0)),0,VLOOKUP($A30&amp;AM$1,'For stats end Y DB'!$A:$G,2,0))</f>
        <v>0</v>
      </c>
      <c r="AN30">
        <f>IF(ISNA(VLOOKUP($A30&amp;AN$1,'For stats end Y DB'!$A:$G,2,0)),0,VLOOKUP($A30&amp;AN$1,'For stats end Y DB'!$A:$G,2,0))</f>
        <v>0</v>
      </c>
      <c r="AP30" t="str">
        <f t="shared" si="3"/>
        <v>Freddie</v>
      </c>
      <c r="AQ30">
        <f t="shared" si="4"/>
        <v>0</v>
      </c>
      <c r="AR30">
        <f t="shared" si="4"/>
        <v>2</v>
      </c>
      <c r="AS30">
        <f t="shared" si="4"/>
        <v>3</v>
      </c>
      <c r="AT30" s="9">
        <f t="shared" si="1"/>
        <v>0</v>
      </c>
      <c r="AU30">
        <f t="shared" si="2"/>
        <v>23</v>
      </c>
    </row>
    <row r="31" spans="1:47" x14ac:dyDescent="0.2">
      <c r="A31" s="12" t="s">
        <v>511</v>
      </c>
      <c r="B31">
        <f>IF(ISNA(VLOOKUP($A31&amp;B$1,'For stats end Y DB'!$A:$G,2,0)),0,VLOOKUP($A31&amp;B$1,'For stats end Y DB'!$A:$G,2,0))</f>
        <v>5</v>
      </c>
      <c r="C31">
        <f>IF(ISNA(VLOOKUP($A31&amp;C$1,'For stats end Y DB'!$A:$G,2,0)),0,VLOOKUP($A31&amp;C$1,'For stats end Y DB'!$A:$G,2,0))</f>
        <v>0</v>
      </c>
      <c r="D31">
        <f>IF(ISNA(VLOOKUP($A31&amp;D$1,'For stats end Y DB'!$A:$G,2,0)),0,VLOOKUP($A31&amp;D$1,'For stats end Y DB'!$A:$G,2,0))</f>
        <v>0</v>
      </c>
      <c r="E31">
        <f>IF(ISNA(VLOOKUP($A31&amp;E$1,'For stats end Y DB'!$A:$G,2,0)),0,VLOOKUP($A31&amp;E$1,'For stats end Y DB'!$A:$G,2,0))</f>
        <v>0</v>
      </c>
      <c r="F31">
        <f>IF(ISNA(VLOOKUP($A31&amp;F$1,'For stats end Y DB'!$A:$G,2,0)),0,VLOOKUP($A31&amp;F$1,'For stats end Y DB'!$A:$G,2,0))</f>
        <v>0</v>
      </c>
      <c r="G31">
        <f>IF(ISNA(VLOOKUP($A31&amp;G$1,'For stats end Y DB'!$A:$G,2,0)),0,VLOOKUP($A31&amp;G$1,'For stats end Y DB'!$A:$G,2,0))</f>
        <v>0</v>
      </c>
      <c r="H31">
        <f>IF(ISNA(VLOOKUP($A31&amp;H$1,'For stats end Y DB'!$A:$G,2,0)),0,VLOOKUP($A31&amp;H$1,'For stats end Y DB'!$A:$G,2,0))</f>
        <v>0</v>
      </c>
      <c r="I31">
        <f>IF(ISNA(VLOOKUP($A31&amp;I$1,'For stats end Y DB'!$A:$G,2,0)),0,VLOOKUP($A31&amp;I$1,'For stats end Y DB'!$A:$G,2,0))</f>
        <v>0</v>
      </c>
      <c r="J31">
        <f>IF(ISNA(VLOOKUP($A31&amp;J$1,'For stats end Y DB'!$A:$G,2,0)),0,VLOOKUP($A31&amp;J$1,'For stats end Y DB'!$A:$G,2,0))</f>
        <v>0</v>
      </c>
      <c r="K31">
        <f>IF(ISNA(VLOOKUP($A31&amp;K$1,'For stats end Y DB'!$A:$G,2,0)),0,VLOOKUP($A31&amp;K$1,'For stats end Y DB'!$A:$G,2,0))</f>
        <v>0</v>
      </c>
      <c r="L31">
        <f>IF(ISNA(VLOOKUP($A31&amp;L$1,'For stats end Y DB'!$A:$G,2,0)),0,VLOOKUP($A31&amp;L$1,'For stats end Y DB'!$A:$G,2,0))</f>
        <v>0</v>
      </c>
      <c r="M31">
        <f>IF(ISNA(VLOOKUP($A31&amp;M$1,'For stats end Y DB'!$A:$G,2,0)),0,VLOOKUP($A31&amp;M$1,'For stats end Y DB'!$A:$G,2,0))</f>
        <v>0</v>
      </c>
      <c r="N31">
        <f>IF(ISNA(VLOOKUP($A31&amp;N$1,'For stats end Y DB'!$A:$G,2,0)),0,VLOOKUP($A31&amp;N$1,'For stats end Y DB'!$A:$G,2,0))</f>
        <v>0</v>
      </c>
      <c r="O31">
        <f>IF(ISNA(VLOOKUP($A31&amp;O$1,'For stats end Y DB'!$A:$G,2,0)),0,VLOOKUP($A31&amp;O$1,'For stats end Y DB'!$A:$G,2,0))</f>
        <v>0</v>
      </c>
      <c r="P31">
        <f>IF(ISNA(VLOOKUP($A31&amp;P$1,'For stats end Y DB'!$A:$G,2,0)),0,VLOOKUP($A31&amp;P$1,'For stats end Y DB'!$A:$G,2,0))</f>
        <v>0</v>
      </c>
      <c r="Q31">
        <f>IF(ISNA(VLOOKUP($A31&amp;Q$1,'For stats end Y DB'!$A:$G,2,0)),0,VLOOKUP($A31&amp;Q$1,'For stats end Y DB'!$A:$G,2,0))</f>
        <v>0</v>
      </c>
      <c r="R31">
        <f>IF(ISNA(VLOOKUP($A31&amp;R$1,'For stats end Y DB'!$A:$G,2,0)),0,VLOOKUP($A31&amp;R$1,'For stats end Y DB'!$A:$G,2,0))</f>
        <v>0</v>
      </c>
      <c r="S31">
        <f>IF(ISNA(VLOOKUP($A31&amp;S$1,'For stats end Y DB'!$A:$G,2,0)),0,VLOOKUP($A31&amp;S$1,'For stats end Y DB'!$A:$G,2,0))</f>
        <v>0</v>
      </c>
      <c r="T31">
        <f>IF(ISNA(VLOOKUP($A31&amp;T$1,'For stats end Y DB'!$A:$G,2,0)),0,VLOOKUP($A31&amp;T$1,'For stats end Y DB'!$A:$G,2,0))</f>
        <v>0</v>
      </c>
      <c r="U31">
        <f>IF(ISNA(VLOOKUP($A31&amp;U$1,'For stats end Y DB'!$A:$G,2,0)),0,VLOOKUP($A31&amp;U$1,'For stats end Y DB'!$A:$G,2,0))</f>
        <v>0</v>
      </c>
      <c r="V31">
        <f>IF(ISNA(VLOOKUP($A31&amp;V$1,'For stats end Y DB'!$A:$G,2,0)),0,VLOOKUP($A31&amp;V$1,'For stats end Y DB'!$A:$G,2,0))</f>
        <v>0</v>
      </c>
      <c r="W31">
        <f>IF(ISNA(VLOOKUP($A31&amp;W$1,'For stats end Y DB'!$A:$G,2,0)),0,VLOOKUP($A31&amp;W$1,'For stats end Y DB'!$A:$G,2,0))</f>
        <v>0</v>
      </c>
      <c r="X31">
        <f>IF(ISNA(VLOOKUP($A31&amp;X$1,'For stats end Y DB'!$A:$G,2,0)),0,VLOOKUP($A31&amp;X$1,'For stats end Y DB'!$A:$G,2,0))</f>
        <v>0</v>
      </c>
      <c r="Y31">
        <f>IF(ISNA(VLOOKUP($A31&amp;Y$1,'For stats end Y DB'!$A:$G,2,0)),0,VLOOKUP($A31&amp;Y$1,'For stats end Y DB'!$A:$G,2,0))</f>
        <v>0</v>
      </c>
      <c r="Z31">
        <f>IF(ISNA(VLOOKUP($A31&amp;Z$1,'For stats end Y DB'!$A:$G,2,0)),0,VLOOKUP($A31&amp;Z$1,'For stats end Y DB'!$A:$G,2,0))</f>
        <v>0</v>
      </c>
      <c r="AA31">
        <f>IF(ISNA(VLOOKUP($A31&amp;AA$1,'For stats end Y DB'!$A:$G,2,0)),0,VLOOKUP($A31&amp;AA$1,'For stats end Y DB'!$A:$G,2,0))</f>
        <v>0</v>
      </c>
      <c r="AB31">
        <f>IF(ISNA(VLOOKUP($A31&amp;AB$1,'For stats end Y DB'!$A:$G,2,0)),0,VLOOKUP($A31&amp;AB$1,'For stats end Y DB'!$A:$G,2,0))</f>
        <v>0</v>
      </c>
      <c r="AC31">
        <f>IF(ISNA(VLOOKUP($A31&amp;AC$1,'For stats end Y DB'!$A:$G,2,0)),0,VLOOKUP($A31&amp;AC$1,'For stats end Y DB'!$A:$G,2,0))</f>
        <v>0</v>
      </c>
      <c r="AD31">
        <f>IF(ISNA(VLOOKUP($A31&amp;AD$1,'For stats end Y DB'!$A:$G,2,0)),0,VLOOKUP($A31&amp;AD$1,'For stats end Y DB'!$A:$G,2,0))</f>
        <v>0</v>
      </c>
      <c r="AE31">
        <f>IF(ISNA(VLOOKUP($A31&amp;AE$1,'For stats end Y DB'!$A:$G,2,0)),0,VLOOKUP($A31&amp;AE$1,'For stats end Y DB'!$A:$G,2,0))</f>
        <v>0</v>
      </c>
      <c r="AF31">
        <f>IF(ISNA(VLOOKUP($A31&amp;AF$1,'For stats end Y DB'!$A:$G,2,0)),0,VLOOKUP($A31&amp;AF$1,'For stats end Y DB'!$A:$G,2,0))</f>
        <v>0</v>
      </c>
      <c r="AG31">
        <f>IF(ISNA(VLOOKUP($A31&amp;AG$1,'For stats end Y DB'!$A:$G,2,0)),0,VLOOKUP($A31&amp;AG$1,'For stats end Y DB'!$A:$G,2,0))</f>
        <v>0</v>
      </c>
      <c r="AH31">
        <f>IF(ISNA(VLOOKUP($A31&amp;AH$1,'For stats end Y DB'!$A:$G,2,0)),0,VLOOKUP($A31&amp;AH$1,'For stats end Y DB'!$A:$G,2,0))</f>
        <v>0</v>
      </c>
      <c r="AI31">
        <f>IF(ISNA(VLOOKUP($A31&amp;AI$1,'For stats end Y DB'!$A:$G,2,0)),0,VLOOKUP($A31&amp;AI$1,'For stats end Y DB'!$A:$G,2,0))</f>
        <v>0</v>
      </c>
      <c r="AJ31">
        <f>IF(ISNA(VLOOKUP($A31&amp;AJ$1,'For stats end Y DB'!$A:$G,2,0)),0,VLOOKUP($A31&amp;AJ$1,'For stats end Y DB'!$A:$G,2,0))</f>
        <v>0</v>
      </c>
      <c r="AK31">
        <f>IF(ISNA(VLOOKUP($A31&amp;AK$1,'For stats end Y DB'!$A:$G,2,0)),0,VLOOKUP($A31&amp;AK$1,'For stats end Y DB'!$A:$G,2,0))</f>
        <v>0</v>
      </c>
      <c r="AL31">
        <f>IF(ISNA(VLOOKUP($A31&amp;AL$1,'For stats end Y DB'!$A:$G,2,0)),0,VLOOKUP($A31&amp;AL$1,'For stats end Y DB'!$A:$G,2,0))</f>
        <v>0</v>
      </c>
      <c r="AM31">
        <f>IF(ISNA(VLOOKUP($A31&amp;AM$1,'For stats end Y DB'!$A:$G,2,0)),0,VLOOKUP($A31&amp;AM$1,'For stats end Y DB'!$A:$G,2,0))</f>
        <v>0</v>
      </c>
      <c r="AN31">
        <f>IF(ISNA(VLOOKUP($A31&amp;AN$1,'For stats end Y DB'!$A:$G,2,0)),0,VLOOKUP($A31&amp;AN$1,'For stats end Y DB'!$A:$G,2,0))</f>
        <v>0</v>
      </c>
      <c r="AP31" t="str">
        <f t="shared" si="3"/>
        <v>Fréderique</v>
      </c>
      <c r="AQ31">
        <f t="shared" si="4"/>
        <v>0</v>
      </c>
      <c r="AR31">
        <f t="shared" si="4"/>
        <v>0</v>
      </c>
      <c r="AS31">
        <f t="shared" si="4"/>
        <v>0</v>
      </c>
      <c r="AT31" s="9">
        <f t="shared" si="1"/>
        <v>0</v>
      </c>
      <c r="AU31">
        <f t="shared" si="2"/>
        <v>1</v>
      </c>
    </row>
    <row r="32" spans="1:47" x14ac:dyDescent="0.2">
      <c r="A32" s="12" t="s">
        <v>555</v>
      </c>
      <c r="B32">
        <f>IF(ISNA(VLOOKUP($A32&amp;B$1,'For stats end Y DB'!$A:$G,2,0)),0,VLOOKUP($A32&amp;B$1,'For stats end Y DB'!$A:$G,2,0))</f>
        <v>0</v>
      </c>
      <c r="C32">
        <f>IF(ISNA(VLOOKUP($A32&amp;C$1,'For stats end Y DB'!$A:$G,2,0)),0,VLOOKUP($A32&amp;C$1,'For stats end Y DB'!$A:$G,2,0))</f>
        <v>0</v>
      </c>
      <c r="D32">
        <f>IF(ISNA(VLOOKUP($A32&amp;D$1,'For stats end Y DB'!$A:$G,2,0)),0,VLOOKUP($A32&amp;D$1,'For stats end Y DB'!$A:$G,2,0))</f>
        <v>0</v>
      </c>
      <c r="E32">
        <f>IF(ISNA(VLOOKUP($A32&amp;E$1,'For stats end Y DB'!$A:$G,2,0)),0,VLOOKUP($A32&amp;E$1,'For stats end Y DB'!$A:$G,2,0))</f>
        <v>0</v>
      </c>
      <c r="F32">
        <f>IF(ISNA(VLOOKUP($A32&amp;F$1,'For stats end Y DB'!$A:$G,2,0)),0,VLOOKUP($A32&amp;F$1,'For stats end Y DB'!$A:$G,2,0))</f>
        <v>0</v>
      </c>
      <c r="G32">
        <f>IF(ISNA(VLOOKUP($A32&amp;G$1,'For stats end Y DB'!$A:$G,2,0)),0,VLOOKUP($A32&amp;G$1,'For stats end Y DB'!$A:$G,2,0))</f>
        <v>0</v>
      </c>
      <c r="H32">
        <f>IF(ISNA(VLOOKUP($A32&amp;H$1,'For stats end Y DB'!$A:$G,2,0)),0,VLOOKUP($A32&amp;H$1,'For stats end Y DB'!$A:$G,2,0))</f>
        <v>0</v>
      </c>
      <c r="I32">
        <f>IF(ISNA(VLOOKUP($A32&amp;I$1,'For stats end Y DB'!$A:$G,2,0)),0,VLOOKUP($A32&amp;I$1,'For stats end Y DB'!$A:$G,2,0))</f>
        <v>0</v>
      </c>
      <c r="J32">
        <f>IF(ISNA(VLOOKUP($A32&amp;J$1,'For stats end Y DB'!$A:$G,2,0)),0,VLOOKUP($A32&amp;J$1,'For stats end Y DB'!$A:$G,2,0))</f>
        <v>0</v>
      </c>
      <c r="K32">
        <f>IF(ISNA(VLOOKUP($A32&amp;K$1,'For stats end Y DB'!$A:$G,2,0)),0,VLOOKUP($A32&amp;K$1,'For stats end Y DB'!$A:$G,2,0))</f>
        <v>0</v>
      </c>
      <c r="L32">
        <f>IF(ISNA(VLOOKUP($A32&amp;L$1,'For stats end Y DB'!$A:$G,2,0)),0,VLOOKUP($A32&amp;L$1,'For stats end Y DB'!$A:$G,2,0))</f>
        <v>0</v>
      </c>
      <c r="M32">
        <f>IF(ISNA(VLOOKUP($A32&amp;M$1,'For stats end Y DB'!$A:$G,2,0)),0,VLOOKUP($A32&amp;M$1,'For stats end Y DB'!$A:$G,2,0))</f>
        <v>0</v>
      </c>
      <c r="N32">
        <f>IF(ISNA(VLOOKUP($A32&amp;N$1,'For stats end Y DB'!$A:$G,2,0)),0,VLOOKUP($A32&amp;N$1,'For stats end Y DB'!$A:$G,2,0))</f>
        <v>0</v>
      </c>
      <c r="O32">
        <f>IF(ISNA(VLOOKUP($A32&amp;O$1,'For stats end Y DB'!$A:$G,2,0)),0,VLOOKUP($A32&amp;O$1,'For stats end Y DB'!$A:$G,2,0))</f>
        <v>0</v>
      </c>
      <c r="P32">
        <f>IF(ISNA(VLOOKUP($A32&amp;P$1,'For stats end Y DB'!$A:$G,2,0)),0,VLOOKUP($A32&amp;P$1,'For stats end Y DB'!$A:$G,2,0))</f>
        <v>0</v>
      </c>
      <c r="Q32">
        <f>IF(ISNA(VLOOKUP($A32&amp;Q$1,'For stats end Y DB'!$A:$G,2,0)),0,VLOOKUP($A32&amp;Q$1,'For stats end Y DB'!$A:$G,2,0))</f>
        <v>0</v>
      </c>
      <c r="R32">
        <f>IF(ISNA(VLOOKUP($A32&amp;R$1,'For stats end Y DB'!$A:$G,2,0)),0,VLOOKUP($A32&amp;R$1,'For stats end Y DB'!$A:$G,2,0))</f>
        <v>0</v>
      </c>
      <c r="S32">
        <f>IF(ISNA(VLOOKUP($A32&amp;S$1,'For stats end Y DB'!$A:$G,2,0)),0,VLOOKUP($A32&amp;S$1,'For stats end Y DB'!$A:$G,2,0))</f>
        <v>0</v>
      </c>
      <c r="T32">
        <f>IF(ISNA(VLOOKUP($A32&amp;T$1,'For stats end Y DB'!$A:$G,2,0)),0,VLOOKUP($A32&amp;T$1,'For stats end Y DB'!$A:$G,2,0))</f>
        <v>0</v>
      </c>
      <c r="U32">
        <f>IF(ISNA(VLOOKUP($A32&amp;U$1,'For stats end Y DB'!$A:$G,2,0)),0,VLOOKUP($A32&amp;U$1,'For stats end Y DB'!$A:$G,2,0))</f>
        <v>0</v>
      </c>
      <c r="V32">
        <f>IF(ISNA(VLOOKUP($A32&amp;V$1,'For stats end Y DB'!$A:$G,2,0)),0,VLOOKUP($A32&amp;V$1,'For stats end Y DB'!$A:$G,2,0))</f>
        <v>0</v>
      </c>
      <c r="W32">
        <f>IF(ISNA(VLOOKUP($A32&amp;W$1,'For stats end Y DB'!$A:$G,2,0)),0,VLOOKUP($A32&amp;W$1,'For stats end Y DB'!$A:$G,2,0))</f>
        <v>0</v>
      </c>
      <c r="X32">
        <f>IF(ISNA(VLOOKUP($A32&amp;X$1,'For stats end Y DB'!$A:$G,2,0)),0,VLOOKUP($A32&amp;X$1,'For stats end Y DB'!$A:$G,2,0))</f>
        <v>0</v>
      </c>
      <c r="Y32">
        <f>IF(ISNA(VLOOKUP($A32&amp;Y$1,'For stats end Y DB'!$A:$G,2,0)),0,VLOOKUP($A32&amp;Y$1,'For stats end Y DB'!$A:$G,2,0))</f>
        <v>0</v>
      </c>
      <c r="Z32">
        <f>IF(ISNA(VLOOKUP($A32&amp;Z$1,'For stats end Y DB'!$A:$G,2,0)),0,VLOOKUP($A32&amp;Z$1,'For stats end Y DB'!$A:$G,2,0))</f>
        <v>6</v>
      </c>
      <c r="AA32">
        <f>IF(ISNA(VLOOKUP($A32&amp;AA$1,'For stats end Y DB'!$A:$G,2,0)),0,VLOOKUP($A32&amp;AA$1,'For stats end Y DB'!$A:$G,2,0))</f>
        <v>4</v>
      </c>
      <c r="AB32">
        <f>IF(ISNA(VLOOKUP($A32&amp;AB$1,'For stats end Y DB'!$A:$G,2,0)),0,VLOOKUP($A32&amp;AB$1,'For stats end Y DB'!$A:$G,2,0))</f>
        <v>0</v>
      </c>
      <c r="AC32">
        <f>IF(ISNA(VLOOKUP($A32&amp;AC$1,'For stats end Y DB'!$A:$G,2,0)),0,VLOOKUP($A32&amp;AC$1,'For stats end Y DB'!$A:$G,2,0))</f>
        <v>0</v>
      </c>
      <c r="AD32">
        <f>IF(ISNA(VLOOKUP($A32&amp;AD$1,'For stats end Y DB'!$A:$G,2,0)),0,VLOOKUP($A32&amp;AD$1,'For stats end Y DB'!$A:$G,2,0))</f>
        <v>5</v>
      </c>
      <c r="AE32">
        <f>IF(ISNA(VLOOKUP($A32&amp;AE$1,'For stats end Y DB'!$A:$G,2,0)),0,VLOOKUP($A32&amp;AE$1,'For stats end Y DB'!$A:$G,2,0))</f>
        <v>0</v>
      </c>
      <c r="AF32">
        <f>IF(ISNA(VLOOKUP($A32&amp;AF$1,'For stats end Y DB'!$A:$G,2,0)),0,VLOOKUP($A32&amp;AF$1,'For stats end Y DB'!$A:$G,2,0))</f>
        <v>0</v>
      </c>
      <c r="AG32">
        <f>IF(ISNA(VLOOKUP($A32&amp;AG$1,'For stats end Y DB'!$A:$G,2,0)),0,VLOOKUP($A32&amp;AG$1,'For stats end Y DB'!$A:$G,2,0))</f>
        <v>0</v>
      </c>
      <c r="AH32">
        <f>IF(ISNA(VLOOKUP($A32&amp;AH$1,'For stats end Y DB'!$A:$G,2,0)),0,VLOOKUP($A32&amp;AH$1,'For stats end Y DB'!$A:$G,2,0))</f>
        <v>0</v>
      </c>
      <c r="AI32">
        <f>IF(ISNA(VLOOKUP($A32&amp;AI$1,'For stats end Y DB'!$A:$G,2,0)),0,VLOOKUP($A32&amp;AI$1,'For stats end Y DB'!$A:$G,2,0))</f>
        <v>0</v>
      </c>
      <c r="AJ32">
        <f>IF(ISNA(VLOOKUP($A32&amp;AJ$1,'For stats end Y DB'!$A:$G,2,0)),0,VLOOKUP($A32&amp;AJ$1,'For stats end Y DB'!$A:$G,2,0))</f>
        <v>0</v>
      </c>
      <c r="AK32">
        <f>IF(ISNA(VLOOKUP($A32&amp;AK$1,'For stats end Y DB'!$A:$G,2,0)),0,VLOOKUP($A32&amp;AK$1,'For stats end Y DB'!$A:$G,2,0))</f>
        <v>0</v>
      </c>
      <c r="AL32">
        <f>IF(ISNA(VLOOKUP($A32&amp;AL$1,'For stats end Y DB'!$A:$G,2,0)),0,VLOOKUP($A32&amp;AL$1,'For stats end Y DB'!$A:$G,2,0))</f>
        <v>0</v>
      </c>
      <c r="AM32">
        <f>IF(ISNA(VLOOKUP($A32&amp;AM$1,'For stats end Y DB'!$A:$G,2,0)),0,VLOOKUP($A32&amp;AM$1,'For stats end Y DB'!$A:$G,2,0))</f>
        <v>0</v>
      </c>
      <c r="AN32">
        <f>IF(ISNA(VLOOKUP($A32&amp;AN$1,'For stats end Y DB'!$A:$G,2,0)),0,VLOOKUP($A32&amp;AN$1,'For stats end Y DB'!$A:$G,2,0))</f>
        <v>0</v>
      </c>
      <c r="AP32" t="str">
        <f t="shared" si="3"/>
        <v>Gabs</v>
      </c>
      <c r="AQ32">
        <f t="shared" si="4"/>
        <v>0</v>
      </c>
      <c r="AR32">
        <f t="shared" si="4"/>
        <v>0</v>
      </c>
      <c r="AS32">
        <f t="shared" si="4"/>
        <v>0</v>
      </c>
      <c r="AT32" s="9">
        <f t="shared" si="1"/>
        <v>0</v>
      </c>
      <c r="AU32">
        <f t="shared" si="2"/>
        <v>3</v>
      </c>
    </row>
    <row r="33" spans="1:47" x14ac:dyDescent="0.2">
      <c r="A33" s="12" t="s">
        <v>454</v>
      </c>
      <c r="B33">
        <f>IF(ISNA(VLOOKUP($A33&amp;B$1,'For stats end Y DB'!$A:$G,2,0)),0,VLOOKUP($A33&amp;B$1,'For stats end Y DB'!$A:$G,2,0))</f>
        <v>0</v>
      </c>
      <c r="C33">
        <f>IF(ISNA(VLOOKUP($A33&amp;C$1,'For stats end Y DB'!$A:$G,2,0)),0,VLOOKUP($A33&amp;C$1,'For stats end Y DB'!$A:$G,2,0))</f>
        <v>4</v>
      </c>
      <c r="D33">
        <f>IF(ISNA(VLOOKUP($A33&amp;D$1,'For stats end Y DB'!$A:$G,2,0)),0,VLOOKUP($A33&amp;D$1,'For stats end Y DB'!$A:$G,2,0))</f>
        <v>0</v>
      </c>
      <c r="E33">
        <f>IF(ISNA(VLOOKUP($A33&amp;E$1,'For stats end Y DB'!$A:$G,2,0)),0,VLOOKUP($A33&amp;E$1,'For stats end Y DB'!$A:$G,2,0))</f>
        <v>0</v>
      </c>
      <c r="F33">
        <f>IF(ISNA(VLOOKUP($A33&amp;F$1,'For stats end Y DB'!$A:$G,2,0)),0,VLOOKUP($A33&amp;F$1,'For stats end Y DB'!$A:$G,2,0))</f>
        <v>2</v>
      </c>
      <c r="G33">
        <f>IF(ISNA(VLOOKUP($A33&amp;G$1,'For stats end Y DB'!$A:$G,2,0)),0,VLOOKUP($A33&amp;G$1,'For stats end Y DB'!$A:$G,2,0))</f>
        <v>4</v>
      </c>
      <c r="H33">
        <f>IF(ISNA(VLOOKUP($A33&amp;H$1,'For stats end Y DB'!$A:$G,2,0)),0,VLOOKUP($A33&amp;H$1,'For stats end Y DB'!$A:$G,2,0))</f>
        <v>4</v>
      </c>
      <c r="I33">
        <f>IF(ISNA(VLOOKUP($A33&amp;I$1,'For stats end Y DB'!$A:$G,2,0)),0,VLOOKUP($A33&amp;I$1,'For stats end Y DB'!$A:$G,2,0))</f>
        <v>4</v>
      </c>
      <c r="J33">
        <f>IF(ISNA(VLOOKUP($A33&amp;J$1,'For stats end Y DB'!$A:$G,2,0)),0,VLOOKUP($A33&amp;J$1,'For stats end Y DB'!$A:$G,2,0))</f>
        <v>0</v>
      </c>
      <c r="K33">
        <f>IF(ISNA(VLOOKUP($A33&amp;K$1,'For stats end Y DB'!$A:$G,2,0)),0,VLOOKUP($A33&amp;K$1,'For stats end Y DB'!$A:$G,2,0))</f>
        <v>5</v>
      </c>
      <c r="L33">
        <f>IF(ISNA(VLOOKUP($A33&amp;L$1,'For stats end Y DB'!$A:$G,2,0)),0,VLOOKUP($A33&amp;L$1,'For stats end Y DB'!$A:$G,2,0))</f>
        <v>4</v>
      </c>
      <c r="M33">
        <f>IF(ISNA(VLOOKUP($A33&amp;M$1,'For stats end Y DB'!$A:$G,2,0)),0,VLOOKUP($A33&amp;M$1,'For stats end Y DB'!$A:$G,2,0))</f>
        <v>5</v>
      </c>
      <c r="N33">
        <f>IF(ISNA(VLOOKUP($A33&amp;N$1,'For stats end Y DB'!$A:$G,2,0)),0,VLOOKUP($A33&amp;N$1,'For stats end Y DB'!$A:$G,2,0))</f>
        <v>0</v>
      </c>
      <c r="O33">
        <f>IF(ISNA(VLOOKUP($A33&amp;O$1,'For stats end Y DB'!$A:$G,2,0)),0,VLOOKUP($A33&amp;O$1,'For stats end Y DB'!$A:$G,2,0))</f>
        <v>0</v>
      </c>
      <c r="P33">
        <f>IF(ISNA(VLOOKUP($A33&amp;P$1,'For stats end Y DB'!$A:$G,2,0)),0,VLOOKUP($A33&amp;P$1,'For stats end Y DB'!$A:$G,2,0))</f>
        <v>6</v>
      </c>
      <c r="Q33">
        <f>IF(ISNA(VLOOKUP($A33&amp;Q$1,'For stats end Y DB'!$A:$G,2,0)),0,VLOOKUP($A33&amp;Q$1,'For stats end Y DB'!$A:$G,2,0))</f>
        <v>3</v>
      </c>
      <c r="R33">
        <f>IF(ISNA(VLOOKUP($A33&amp;R$1,'For stats end Y DB'!$A:$G,2,0)),0,VLOOKUP($A33&amp;R$1,'For stats end Y DB'!$A:$G,2,0))</f>
        <v>0</v>
      </c>
      <c r="S33">
        <f>IF(ISNA(VLOOKUP($A33&amp;S$1,'For stats end Y DB'!$A:$G,2,0)),0,VLOOKUP($A33&amp;S$1,'For stats end Y DB'!$A:$G,2,0))</f>
        <v>1</v>
      </c>
      <c r="T33">
        <f>IF(ISNA(VLOOKUP($A33&amp;T$1,'For stats end Y DB'!$A:$G,2,0)),0,VLOOKUP($A33&amp;T$1,'For stats end Y DB'!$A:$G,2,0))</f>
        <v>5</v>
      </c>
      <c r="U33">
        <f>IF(ISNA(VLOOKUP($A33&amp;U$1,'For stats end Y DB'!$A:$G,2,0)),0,VLOOKUP($A33&amp;U$1,'For stats end Y DB'!$A:$G,2,0))</f>
        <v>4</v>
      </c>
      <c r="V33">
        <f>IF(ISNA(VLOOKUP($A33&amp;V$1,'For stats end Y DB'!$A:$G,2,0)),0,VLOOKUP($A33&amp;V$1,'For stats end Y DB'!$A:$G,2,0))</f>
        <v>3</v>
      </c>
      <c r="W33">
        <f>IF(ISNA(VLOOKUP($A33&amp;W$1,'For stats end Y DB'!$A:$G,2,0)),0,VLOOKUP($A33&amp;W$1,'For stats end Y DB'!$A:$G,2,0))</f>
        <v>0</v>
      </c>
      <c r="X33">
        <f>IF(ISNA(VLOOKUP($A33&amp;X$1,'For stats end Y DB'!$A:$G,2,0)),0,VLOOKUP($A33&amp;X$1,'For stats end Y DB'!$A:$G,2,0))</f>
        <v>0</v>
      </c>
      <c r="Y33">
        <f>IF(ISNA(VLOOKUP($A33&amp;Y$1,'For stats end Y DB'!$A:$G,2,0)),0,VLOOKUP($A33&amp;Y$1,'For stats end Y DB'!$A:$G,2,0))</f>
        <v>2</v>
      </c>
      <c r="Z33">
        <f>IF(ISNA(VLOOKUP($A33&amp;Z$1,'For stats end Y DB'!$A:$G,2,0)),0,VLOOKUP($A33&amp;Z$1,'For stats end Y DB'!$A:$G,2,0))</f>
        <v>5</v>
      </c>
      <c r="AA33">
        <f>IF(ISNA(VLOOKUP($A33&amp;AA$1,'For stats end Y DB'!$A:$G,2,0)),0,VLOOKUP($A33&amp;AA$1,'For stats end Y DB'!$A:$G,2,0))</f>
        <v>6</v>
      </c>
      <c r="AB33">
        <f>IF(ISNA(VLOOKUP($A33&amp;AB$1,'For stats end Y DB'!$A:$G,2,0)),0,VLOOKUP($A33&amp;AB$1,'For stats end Y DB'!$A:$G,2,0))</f>
        <v>6</v>
      </c>
      <c r="AC33">
        <f>IF(ISNA(VLOOKUP($A33&amp;AC$1,'For stats end Y DB'!$A:$G,2,0)),0,VLOOKUP($A33&amp;AC$1,'For stats end Y DB'!$A:$G,2,0))</f>
        <v>3</v>
      </c>
      <c r="AD33">
        <f>IF(ISNA(VLOOKUP($A33&amp;AD$1,'For stats end Y DB'!$A:$G,2,0)),0,VLOOKUP($A33&amp;AD$1,'For stats end Y DB'!$A:$G,2,0))</f>
        <v>5</v>
      </c>
      <c r="AE33">
        <f>IF(ISNA(VLOOKUP($A33&amp;AE$1,'For stats end Y DB'!$A:$G,2,0)),0,VLOOKUP($A33&amp;AE$1,'For stats end Y DB'!$A:$G,2,0))</f>
        <v>0</v>
      </c>
      <c r="AF33">
        <f>IF(ISNA(VLOOKUP($A33&amp;AF$1,'For stats end Y DB'!$A:$G,2,0)),0,VLOOKUP($A33&amp;AF$1,'For stats end Y DB'!$A:$G,2,0))</f>
        <v>2</v>
      </c>
      <c r="AG33">
        <f>IF(ISNA(VLOOKUP($A33&amp;AG$1,'For stats end Y DB'!$A:$G,2,0)),0,VLOOKUP($A33&amp;AG$1,'For stats end Y DB'!$A:$G,2,0))</f>
        <v>0</v>
      </c>
      <c r="AH33">
        <f>IF(ISNA(VLOOKUP($A33&amp;AH$1,'For stats end Y DB'!$A:$G,2,0)),0,VLOOKUP($A33&amp;AH$1,'For stats end Y DB'!$A:$G,2,0))</f>
        <v>0</v>
      </c>
      <c r="AI33">
        <f>IF(ISNA(VLOOKUP($A33&amp;AI$1,'For stats end Y DB'!$A:$G,2,0)),0,VLOOKUP($A33&amp;AI$1,'For stats end Y DB'!$A:$G,2,0))</f>
        <v>0</v>
      </c>
      <c r="AJ33">
        <f>IF(ISNA(VLOOKUP($A33&amp;AJ$1,'For stats end Y DB'!$A:$G,2,0)),0,VLOOKUP($A33&amp;AJ$1,'For stats end Y DB'!$A:$G,2,0))</f>
        <v>0</v>
      </c>
      <c r="AK33">
        <f>IF(ISNA(VLOOKUP($A33&amp;AK$1,'For stats end Y DB'!$A:$G,2,0)),0,VLOOKUP($A33&amp;AK$1,'For stats end Y DB'!$A:$G,2,0))</f>
        <v>0</v>
      </c>
      <c r="AL33">
        <f>IF(ISNA(VLOOKUP($A33&amp;AL$1,'For stats end Y DB'!$A:$G,2,0)),0,VLOOKUP($A33&amp;AL$1,'For stats end Y DB'!$A:$G,2,0))</f>
        <v>0</v>
      </c>
      <c r="AM33">
        <f>IF(ISNA(VLOOKUP($A33&amp;AM$1,'For stats end Y DB'!$A:$G,2,0)),0,VLOOKUP($A33&amp;AM$1,'For stats end Y DB'!$A:$G,2,0))</f>
        <v>0</v>
      </c>
      <c r="AN33">
        <f>IF(ISNA(VLOOKUP($A33&amp;AN$1,'For stats end Y DB'!$A:$G,2,0)),0,VLOOKUP($A33&amp;AN$1,'For stats end Y DB'!$A:$G,2,0))</f>
        <v>0</v>
      </c>
      <c r="AP33" t="str">
        <f t="shared" si="3"/>
        <v>Gibbonfury</v>
      </c>
      <c r="AQ33">
        <f t="shared" si="4"/>
        <v>1</v>
      </c>
      <c r="AR33">
        <f t="shared" si="4"/>
        <v>3</v>
      </c>
      <c r="AS33">
        <f t="shared" si="4"/>
        <v>3</v>
      </c>
      <c r="AT33" s="9">
        <f t="shared" si="1"/>
        <v>0</v>
      </c>
      <c r="AU33">
        <f t="shared" si="2"/>
        <v>21</v>
      </c>
    </row>
    <row r="34" spans="1:47" x14ac:dyDescent="0.2">
      <c r="A34" s="12" t="s">
        <v>509</v>
      </c>
      <c r="B34">
        <f>IF(ISNA(VLOOKUP($A34&amp;B$1,'For stats end Y DB'!$A:$G,2,0)),0,VLOOKUP($A34&amp;B$1,'For stats end Y DB'!$A:$G,2,0))</f>
        <v>5</v>
      </c>
      <c r="C34">
        <f>IF(ISNA(VLOOKUP($A34&amp;C$1,'For stats end Y DB'!$A:$G,2,0)),0,VLOOKUP($A34&amp;C$1,'For stats end Y DB'!$A:$G,2,0))</f>
        <v>6</v>
      </c>
      <c r="D34">
        <f>IF(ISNA(VLOOKUP($A34&amp;D$1,'For stats end Y DB'!$A:$G,2,0)),0,VLOOKUP($A34&amp;D$1,'For stats end Y DB'!$A:$G,2,0))</f>
        <v>5</v>
      </c>
      <c r="E34">
        <f>IF(ISNA(VLOOKUP($A34&amp;E$1,'For stats end Y DB'!$A:$G,2,0)),0,VLOOKUP($A34&amp;E$1,'For stats end Y DB'!$A:$G,2,0))</f>
        <v>0</v>
      </c>
      <c r="F34">
        <f>IF(ISNA(VLOOKUP($A34&amp;F$1,'For stats end Y DB'!$A:$G,2,0)),0,VLOOKUP($A34&amp;F$1,'For stats end Y DB'!$A:$G,2,0))</f>
        <v>0</v>
      </c>
      <c r="G34">
        <f>IF(ISNA(VLOOKUP($A34&amp;G$1,'For stats end Y DB'!$A:$G,2,0)),0,VLOOKUP($A34&amp;G$1,'For stats end Y DB'!$A:$G,2,0))</f>
        <v>4</v>
      </c>
      <c r="H34">
        <f>IF(ISNA(VLOOKUP($A34&amp;H$1,'For stats end Y DB'!$A:$G,2,0)),0,VLOOKUP($A34&amp;H$1,'For stats end Y DB'!$A:$G,2,0))</f>
        <v>0</v>
      </c>
      <c r="I34">
        <f>IF(ISNA(VLOOKUP($A34&amp;I$1,'For stats end Y DB'!$A:$G,2,0)),0,VLOOKUP($A34&amp;I$1,'For stats end Y DB'!$A:$G,2,0))</f>
        <v>5</v>
      </c>
      <c r="J34">
        <f>IF(ISNA(VLOOKUP($A34&amp;J$1,'For stats end Y DB'!$A:$G,2,0)),0,VLOOKUP($A34&amp;J$1,'For stats end Y DB'!$A:$G,2,0))</f>
        <v>0</v>
      </c>
      <c r="K34">
        <f>IF(ISNA(VLOOKUP($A34&amp;K$1,'For stats end Y DB'!$A:$G,2,0)),0,VLOOKUP($A34&amp;K$1,'For stats end Y DB'!$A:$G,2,0))</f>
        <v>1</v>
      </c>
      <c r="L34">
        <f>IF(ISNA(VLOOKUP($A34&amp;L$1,'For stats end Y DB'!$A:$G,2,0)),0,VLOOKUP($A34&amp;L$1,'For stats end Y DB'!$A:$G,2,0))</f>
        <v>6</v>
      </c>
      <c r="M34">
        <f>IF(ISNA(VLOOKUP($A34&amp;M$1,'For stats end Y DB'!$A:$G,2,0)),0,VLOOKUP($A34&amp;M$1,'For stats end Y DB'!$A:$G,2,0))</f>
        <v>4</v>
      </c>
      <c r="N34">
        <f>IF(ISNA(VLOOKUP($A34&amp;N$1,'For stats end Y DB'!$A:$G,2,0)),0,VLOOKUP($A34&amp;N$1,'For stats end Y DB'!$A:$G,2,0))</f>
        <v>7</v>
      </c>
      <c r="O34">
        <f>IF(ISNA(VLOOKUP($A34&amp;O$1,'For stats end Y DB'!$A:$G,2,0)),0,VLOOKUP($A34&amp;O$1,'For stats end Y DB'!$A:$G,2,0))</f>
        <v>2</v>
      </c>
      <c r="P34">
        <f>IF(ISNA(VLOOKUP($A34&amp;P$1,'For stats end Y DB'!$A:$G,2,0)),0,VLOOKUP($A34&amp;P$1,'For stats end Y DB'!$A:$G,2,0))</f>
        <v>4</v>
      </c>
      <c r="Q34">
        <f>IF(ISNA(VLOOKUP($A34&amp;Q$1,'For stats end Y DB'!$A:$G,2,0)),0,VLOOKUP($A34&amp;Q$1,'For stats end Y DB'!$A:$G,2,0))</f>
        <v>2</v>
      </c>
      <c r="R34">
        <f>IF(ISNA(VLOOKUP($A34&amp;R$1,'For stats end Y DB'!$A:$G,2,0)),0,VLOOKUP($A34&amp;R$1,'For stats end Y DB'!$A:$G,2,0))</f>
        <v>5</v>
      </c>
      <c r="S34">
        <f>IF(ISNA(VLOOKUP($A34&amp;S$1,'For stats end Y DB'!$A:$G,2,0)),0,VLOOKUP($A34&amp;S$1,'For stats end Y DB'!$A:$G,2,0))</f>
        <v>4</v>
      </c>
      <c r="T34">
        <f>IF(ISNA(VLOOKUP($A34&amp;T$1,'For stats end Y DB'!$A:$G,2,0)),0,VLOOKUP($A34&amp;T$1,'For stats end Y DB'!$A:$G,2,0))</f>
        <v>4</v>
      </c>
      <c r="U34">
        <f>IF(ISNA(VLOOKUP($A34&amp;U$1,'For stats end Y DB'!$A:$G,2,0)),0,VLOOKUP($A34&amp;U$1,'For stats end Y DB'!$A:$G,2,0))</f>
        <v>0</v>
      </c>
      <c r="V34">
        <f>IF(ISNA(VLOOKUP($A34&amp;V$1,'For stats end Y DB'!$A:$G,2,0)),0,VLOOKUP($A34&amp;V$1,'For stats end Y DB'!$A:$G,2,0))</f>
        <v>3</v>
      </c>
      <c r="W34">
        <f>IF(ISNA(VLOOKUP($A34&amp;W$1,'For stats end Y DB'!$A:$G,2,0)),0,VLOOKUP($A34&amp;W$1,'For stats end Y DB'!$A:$G,2,0))</f>
        <v>3</v>
      </c>
      <c r="X34">
        <f>IF(ISNA(VLOOKUP($A34&amp;X$1,'For stats end Y DB'!$A:$G,2,0)),0,VLOOKUP($A34&amp;X$1,'For stats end Y DB'!$A:$G,2,0))</f>
        <v>6</v>
      </c>
      <c r="Y34">
        <f>IF(ISNA(VLOOKUP($A34&amp;Y$1,'For stats end Y DB'!$A:$G,2,0)),0,VLOOKUP($A34&amp;Y$1,'For stats end Y DB'!$A:$G,2,0))</f>
        <v>6</v>
      </c>
      <c r="Z34">
        <f>IF(ISNA(VLOOKUP($A34&amp;Z$1,'For stats end Y DB'!$A:$G,2,0)),0,VLOOKUP($A34&amp;Z$1,'For stats end Y DB'!$A:$G,2,0))</f>
        <v>1</v>
      </c>
      <c r="AA34">
        <f>IF(ISNA(VLOOKUP($A34&amp;AA$1,'For stats end Y DB'!$A:$G,2,0)),0,VLOOKUP($A34&amp;AA$1,'For stats end Y DB'!$A:$G,2,0))</f>
        <v>2</v>
      </c>
      <c r="AB34">
        <f>IF(ISNA(VLOOKUP($A34&amp;AB$1,'For stats end Y DB'!$A:$G,2,0)),0,VLOOKUP($A34&amp;AB$1,'For stats end Y DB'!$A:$G,2,0))</f>
        <v>0</v>
      </c>
      <c r="AC34">
        <f>IF(ISNA(VLOOKUP($A34&amp;AC$1,'For stats end Y DB'!$A:$G,2,0)),0,VLOOKUP($A34&amp;AC$1,'For stats end Y DB'!$A:$G,2,0))</f>
        <v>2</v>
      </c>
      <c r="AD34">
        <f>IF(ISNA(VLOOKUP($A34&amp;AD$1,'For stats end Y DB'!$A:$G,2,0)),0,VLOOKUP($A34&amp;AD$1,'For stats end Y DB'!$A:$G,2,0))</f>
        <v>0</v>
      </c>
      <c r="AE34">
        <f>IF(ISNA(VLOOKUP($A34&amp;AE$1,'For stats end Y DB'!$A:$G,2,0)),0,VLOOKUP($A34&amp;AE$1,'For stats end Y DB'!$A:$G,2,0))</f>
        <v>3</v>
      </c>
      <c r="AF34">
        <f>IF(ISNA(VLOOKUP($A34&amp;AF$1,'For stats end Y DB'!$A:$G,2,0)),0,VLOOKUP($A34&amp;AF$1,'For stats end Y DB'!$A:$G,2,0))</f>
        <v>0</v>
      </c>
      <c r="AG34">
        <f>IF(ISNA(VLOOKUP($A34&amp;AG$1,'For stats end Y DB'!$A:$G,2,0)),0,VLOOKUP($A34&amp;AG$1,'For stats end Y DB'!$A:$G,2,0))</f>
        <v>0</v>
      </c>
      <c r="AH34">
        <f>IF(ISNA(VLOOKUP($A34&amp;AH$1,'For stats end Y DB'!$A:$G,2,0)),0,VLOOKUP($A34&amp;AH$1,'For stats end Y DB'!$A:$G,2,0))</f>
        <v>1</v>
      </c>
      <c r="AI34">
        <f>IF(ISNA(VLOOKUP($A34&amp;AI$1,'For stats end Y DB'!$A:$G,2,0)),0,VLOOKUP($A34&amp;AI$1,'For stats end Y DB'!$A:$G,2,0))</f>
        <v>0</v>
      </c>
      <c r="AJ34">
        <f>IF(ISNA(VLOOKUP($A34&amp;AJ$1,'For stats end Y DB'!$A:$G,2,0)),0,VLOOKUP($A34&amp;AJ$1,'For stats end Y DB'!$A:$G,2,0))</f>
        <v>0</v>
      </c>
      <c r="AK34">
        <f>IF(ISNA(VLOOKUP($A34&amp;AK$1,'For stats end Y DB'!$A:$G,2,0)),0,VLOOKUP($A34&amp;AK$1,'For stats end Y DB'!$A:$G,2,0))</f>
        <v>0</v>
      </c>
      <c r="AL34">
        <f>IF(ISNA(VLOOKUP($A34&amp;AL$1,'For stats end Y DB'!$A:$G,2,0)),0,VLOOKUP($A34&amp;AL$1,'For stats end Y DB'!$A:$G,2,0))</f>
        <v>0</v>
      </c>
      <c r="AM34">
        <f>IF(ISNA(VLOOKUP($A34&amp;AM$1,'For stats end Y DB'!$A:$G,2,0)),0,VLOOKUP($A34&amp;AM$1,'For stats end Y DB'!$A:$G,2,0))</f>
        <v>0</v>
      </c>
      <c r="AN34">
        <f>IF(ISNA(VLOOKUP($A34&amp;AN$1,'For stats end Y DB'!$A:$G,2,0)),0,VLOOKUP($A34&amp;AN$1,'For stats end Y DB'!$A:$G,2,0))</f>
        <v>0</v>
      </c>
      <c r="AP34" t="str">
        <f t="shared" si="3"/>
        <v>Gibouille</v>
      </c>
      <c r="AQ34">
        <f t="shared" si="4"/>
        <v>3</v>
      </c>
      <c r="AR34">
        <f t="shared" si="4"/>
        <v>4</v>
      </c>
      <c r="AS34">
        <f t="shared" si="4"/>
        <v>3</v>
      </c>
      <c r="AT34" s="9">
        <f t="shared" si="1"/>
        <v>0</v>
      </c>
      <c r="AU34">
        <f t="shared" si="2"/>
        <v>24</v>
      </c>
    </row>
    <row r="35" spans="1:47" x14ac:dyDescent="0.2">
      <c r="A35" s="12" t="s">
        <v>19</v>
      </c>
      <c r="B35">
        <f>IF(ISNA(VLOOKUP($A35&amp;B$1,'For stats end Y DB'!$A:$G,2,0)),0,VLOOKUP($A35&amp;B$1,'For stats end Y DB'!$A:$G,2,0))</f>
        <v>6</v>
      </c>
      <c r="C35">
        <f>IF(ISNA(VLOOKUP($A35&amp;C$1,'For stats end Y DB'!$A:$G,2,0)),0,VLOOKUP($A35&amp;C$1,'For stats end Y DB'!$A:$G,2,0))</f>
        <v>0</v>
      </c>
      <c r="D35">
        <f>IF(ISNA(VLOOKUP($A35&amp;D$1,'For stats end Y DB'!$A:$G,2,0)),0,VLOOKUP($A35&amp;D$1,'For stats end Y DB'!$A:$G,2,0))</f>
        <v>0</v>
      </c>
      <c r="E35">
        <f>IF(ISNA(VLOOKUP($A35&amp;E$1,'For stats end Y DB'!$A:$G,2,0)),0,VLOOKUP($A35&amp;E$1,'For stats end Y DB'!$A:$G,2,0))</f>
        <v>0</v>
      </c>
      <c r="F35">
        <f>IF(ISNA(VLOOKUP($A35&amp;F$1,'For stats end Y DB'!$A:$G,2,0)),0,VLOOKUP($A35&amp;F$1,'For stats end Y DB'!$A:$G,2,0))</f>
        <v>0</v>
      </c>
      <c r="G35">
        <f>IF(ISNA(VLOOKUP($A35&amp;G$1,'For stats end Y DB'!$A:$G,2,0)),0,VLOOKUP($A35&amp;G$1,'For stats end Y DB'!$A:$G,2,0))</f>
        <v>4</v>
      </c>
      <c r="H35">
        <f>IF(ISNA(VLOOKUP($A35&amp;H$1,'For stats end Y DB'!$A:$G,2,0)),0,VLOOKUP($A35&amp;H$1,'For stats end Y DB'!$A:$G,2,0))</f>
        <v>6</v>
      </c>
      <c r="I35">
        <f>IF(ISNA(VLOOKUP($A35&amp;I$1,'For stats end Y DB'!$A:$G,2,0)),0,VLOOKUP($A35&amp;I$1,'For stats end Y DB'!$A:$G,2,0))</f>
        <v>3</v>
      </c>
      <c r="J35">
        <f>IF(ISNA(VLOOKUP($A35&amp;J$1,'For stats end Y DB'!$A:$G,2,0)),0,VLOOKUP($A35&amp;J$1,'For stats end Y DB'!$A:$G,2,0))</f>
        <v>0</v>
      </c>
      <c r="K35">
        <f>IF(ISNA(VLOOKUP($A35&amp;K$1,'For stats end Y DB'!$A:$G,2,0)),0,VLOOKUP($A35&amp;K$1,'For stats end Y DB'!$A:$G,2,0))</f>
        <v>0</v>
      </c>
      <c r="L35">
        <f>IF(ISNA(VLOOKUP($A35&amp;L$1,'For stats end Y DB'!$A:$G,2,0)),0,VLOOKUP($A35&amp;L$1,'For stats end Y DB'!$A:$G,2,0))</f>
        <v>4</v>
      </c>
      <c r="M35">
        <f>IF(ISNA(VLOOKUP($A35&amp;M$1,'For stats end Y DB'!$A:$G,2,0)),0,VLOOKUP($A35&amp;M$1,'For stats end Y DB'!$A:$G,2,0))</f>
        <v>0</v>
      </c>
      <c r="N35">
        <f>IF(ISNA(VLOOKUP($A35&amp;N$1,'For stats end Y DB'!$A:$G,2,0)),0,VLOOKUP($A35&amp;N$1,'For stats end Y DB'!$A:$G,2,0))</f>
        <v>2</v>
      </c>
      <c r="O35">
        <f>IF(ISNA(VLOOKUP($A35&amp;O$1,'For stats end Y DB'!$A:$G,2,0)),0,VLOOKUP($A35&amp;O$1,'For stats end Y DB'!$A:$G,2,0))</f>
        <v>2</v>
      </c>
      <c r="P35">
        <f>IF(ISNA(VLOOKUP($A35&amp;P$1,'For stats end Y DB'!$A:$G,2,0)),0,VLOOKUP($A35&amp;P$1,'For stats end Y DB'!$A:$G,2,0))</f>
        <v>3</v>
      </c>
      <c r="Q35">
        <f>IF(ISNA(VLOOKUP($A35&amp;Q$1,'For stats end Y DB'!$A:$G,2,0)),0,VLOOKUP($A35&amp;Q$1,'For stats end Y DB'!$A:$G,2,0))</f>
        <v>3</v>
      </c>
      <c r="R35">
        <f>IF(ISNA(VLOOKUP($A35&amp;R$1,'For stats end Y DB'!$A:$G,2,0)),0,VLOOKUP($A35&amp;R$1,'For stats end Y DB'!$A:$G,2,0))</f>
        <v>1</v>
      </c>
      <c r="S35">
        <f>IF(ISNA(VLOOKUP($A35&amp;S$1,'For stats end Y DB'!$A:$G,2,0)),0,VLOOKUP($A35&amp;S$1,'For stats end Y DB'!$A:$G,2,0))</f>
        <v>2</v>
      </c>
      <c r="T35">
        <f>IF(ISNA(VLOOKUP($A35&amp;T$1,'For stats end Y DB'!$A:$G,2,0)),0,VLOOKUP($A35&amp;T$1,'For stats end Y DB'!$A:$G,2,0))</f>
        <v>5</v>
      </c>
      <c r="U35">
        <f>IF(ISNA(VLOOKUP($A35&amp;U$1,'For stats end Y DB'!$A:$G,2,0)),0,VLOOKUP($A35&amp;U$1,'For stats end Y DB'!$A:$G,2,0))</f>
        <v>5</v>
      </c>
      <c r="V35">
        <f>IF(ISNA(VLOOKUP($A35&amp;V$1,'For stats end Y DB'!$A:$G,2,0)),0,VLOOKUP($A35&amp;V$1,'For stats end Y DB'!$A:$G,2,0))</f>
        <v>0</v>
      </c>
      <c r="W35">
        <f>IF(ISNA(VLOOKUP($A35&amp;W$1,'For stats end Y DB'!$A:$G,2,0)),0,VLOOKUP($A35&amp;W$1,'For stats end Y DB'!$A:$G,2,0))</f>
        <v>1</v>
      </c>
      <c r="X35">
        <f>IF(ISNA(VLOOKUP($A35&amp;X$1,'For stats end Y DB'!$A:$G,2,0)),0,VLOOKUP($A35&amp;X$1,'For stats end Y DB'!$A:$G,2,0))</f>
        <v>5</v>
      </c>
      <c r="Y35">
        <f>IF(ISNA(VLOOKUP($A35&amp;Y$1,'For stats end Y DB'!$A:$G,2,0)),0,VLOOKUP($A35&amp;Y$1,'For stats end Y DB'!$A:$G,2,0))</f>
        <v>5</v>
      </c>
      <c r="Z35">
        <f>IF(ISNA(VLOOKUP($A35&amp;Z$1,'For stats end Y DB'!$A:$G,2,0)),0,VLOOKUP($A35&amp;Z$1,'For stats end Y DB'!$A:$G,2,0))</f>
        <v>0</v>
      </c>
      <c r="AA35">
        <f>IF(ISNA(VLOOKUP($A35&amp;AA$1,'For stats end Y DB'!$A:$G,2,0)),0,VLOOKUP($A35&amp;AA$1,'For stats end Y DB'!$A:$G,2,0))</f>
        <v>1</v>
      </c>
      <c r="AB35">
        <f>IF(ISNA(VLOOKUP($A35&amp;AB$1,'For stats end Y DB'!$A:$G,2,0)),0,VLOOKUP($A35&amp;AB$1,'For stats end Y DB'!$A:$G,2,0))</f>
        <v>3</v>
      </c>
      <c r="AC35">
        <f>IF(ISNA(VLOOKUP($A35&amp;AC$1,'For stats end Y DB'!$A:$G,2,0)),0,VLOOKUP($A35&amp;AC$1,'For stats end Y DB'!$A:$G,2,0))</f>
        <v>1</v>
      </c>
      <c r="AD35">
        <f>IF(ISNA(VLOOKUP($A35&amp;AD$1,'For stats end Y DB'!$A:$G,2,0)),0,VLOOKUP($A35&amp;AD$1,'For stats end Y DB'!$A:$G,2,0))</f>
        <v>5</v>
      </c>
      <c r="AE35">
        <f>IF(ISNA(VLOOKUP($A35&amp;AE$1,'For stats end Y DB'!$A:$G,2,0)),0,VLOOKUP($A35&amp;AE$1,'For stats end Y DB'!$A:$G,2,0))</f>
        <v>5</v>
      </c>
      <c r="AF35">
        <f>IF(ISNA(VLOOKUP($A35&amp;AF$1,'For stats end Y DB'!$A:$G,2,0)),0,VLOOKUP($A35&amp;AF$1,'For stats end Y DB'!$A:$G,2,0))</f>
        <v>3</v>
      </c>
      <c r="AG35">
        <f>IF(ISNA(VLOOKUP($A35&amp;AG$1,'For stats end Y DB'!$A:$G,2,0)),0,VLOOKUP($A35&amp;AG$1,'For stats end Y DB'!$A:$G,2,0))</f>
        <v>0</v>
      </c>
      <c r="AH35">
        <f>IF(ISNA(VLOOKUP($A35&amp;AH$1,'For stats end Y DB'!$A:$G,2,0)),0,VLOOKUP($A35&amp;AH$1,'For stats end Y DB'!$A:$G,2,0))</f>
        <v>5</v>
      </c>
      <c r="AI35">
        <f>IF(ISNA(VLOOKUP($A35&amp;AI$1,'For stats end Y DB'!$A:$G,2,0)),0,VLOOKUP($A35&amp;AI$1,'For stats end Y DB'!$A:$G,2,0))</f>
        <v>0</v>
      </c>
      <c r="AJ35">
        <f>IF(ISNA(VLOOKUP($A35&amp;AJ$1,'For stats end Y DB'!$A:$G,2,0)),0,VLOOKUP($A35&amp;AJ$1,'For stats end Y DB'!$A:$G,2,0))</f>
        <v>0</v>
      </c>
      <c r="AK35">
        <f>IF(ISNA(VLOOKUP($A35&amp;AK$1,'For stats end Y DB'!$A:$G,2,0)),0,VLOOKUP($A35&amp;AK$1,'For stats end Y DB'!$A:$G,2,0))</f>
        <v>0</v>
      </c>
      <c r="AL35">
        <f>IF(ISNA(VLOOKUP($A35&amp;AL$1,'For stats end Y DB'!$A:$G,2,0)),0,VLOOKUP($A35&amp;AL$1,'For stats end Y DB'!$A:$G,2,0))</f>
        <v>0</v>
      </c>
      <c r="AM35">
        <f>IF(ISNA(VLOOKUP($A35&amp;AM$1,'For stats end Y DB'!$A:$G,2,0)),0,VLOOKUP($A35&amp;AM$1,'For stats end Y DB'!$A:$G,2,0))</f>
        <v>0</v>
      </c>
      <c r="AN35">
        <f>IF(ISNA(VLOOKUP($A35&amp;AN$1,'For stats end Y DB'!$A:$G,2,0)),0,VLOOKUP($A35&amp;AN$1,'For stats end Y DB'!$A:$G,2,0))</f>
        <v>0</v>
      </c>
      <c r="AP35" t="str">
        <f t="shared" si="3"/>
        <v>Giobeck</v>
      </c>
      <c r="AQ35">
        <f t="shared" ref="AQ35:AS66" si="5">COUNTIF($B35:$AN35,AQ$1)</f>
        <v>4</v>
      </c>
      <c r="AR35">
        <f t="shared" si="5"/>
        <v>3</v>
      </c>
      <c r="AS35">
        <f t="shared" si="5"/>
        <v>5</v>
      </c>
      <c r="AT35" s="9">
        <f t="shared" si="1"/>
        <v>0</v>
      </c>
      <c r="AU35">
        <f t="shared" si="2"/>
        <v>23</v>
      </c>
    </row>
    <row r="36" spans="1:47" x14ac:dyDescent="0.2">
      <c r="A36" s="12" t="s">
        <v>513</v>
      </c>
      <c r="B36">
        <f>IF(ISNA(VLOOKUP($A36&amp;B$1,'For stats end Y DB'!$A:$G,2,0)),0,VLOOKUP($A36&amp;B$1,'For stats end Y DB'!$A:$G,2,0))</f>
        <v>6</v>
      </c>
      <c r="C36">
        <f>IF(ISNA(VLOOKUP($A36&amp;C$1,'For stats end Y DB'!$A:$G,2,0)),0,VLOOKUP($A36&amp;C$1,'For stats end Y DB'!$A:$G,2,0))</f>
        <v>0</v>
      </c>
      <c r="D36">
        <f>IF(ISNA(VLOOKUP($A36&amp;D$1,'For stats end Y DB'!$A:$G,2,0)),0,VLOOKUP($A36&amp;D$1,'For stats end Y DB'!$A:$G,2,0))</f>
        <v>0</v>
      </c>
      <c r="E36">
        <f>IF(ISNA(VLOOKUP($A36&amp;E$1,'For stats end Y DB'!$A:$G,2,0)),0,VLOOKUP($A36&amp;E$1,'For stats end Y DB'!$A:$G,2,0))</f>
        <v>0</v>
      </c>
      <c r="F36">
        <f>IF(ISNA(VLOOKUP($A36&amp;F$1,'For stats end Y DB'!$A:$G,2,0)),0,VLOOKUP($A36&amp;F$1,'For stats end Y DB'!$A:$G,2,0))</f>
        <v>0</v>
      </c>
      <c r="G36">
        <f>IF(ISNA(VLOOKUP($A36&amp;G$1,'For stats end Y DB'!$A:$G,2,0)),0,VLOOKUP($A36&amp;G$1,'For stats end Y DB'!$A:$G,2,0))</f>
        <v>0</v>
      </c>
      <c r="H36">
        <f>IF(ISNA(VLOOKUP($A36&amp;H$1,'For stats end Y DB'!$A:$G,2,0)),0,VLOOKUP($A36&amp;H$1,'For stats end Y DB'!$A:$G,2,0))</f>
        <v>0</v>
      </c>
      <c r="I36">
        <f>IF(ISNA(VLOOKUP($A36&amp;I$1,'For stats end Y DB'!$A:$G,2,0)),0,VLOOKUP($A36&amp;I$1,'For stats end Y DB'!$A:$G,2,0))</f>
        <v>0</v>
      </c>
      <c r="J36">
        <f>IF(ISNA(VLOOKUP($A36&amp;J$1,'For stats end Y DB'!$A:$G,2,0)),0,VLOOKUP($A36&amp;J$1,'For stats end Y DB'!$A:$G,2,0))</f>
        <v>0</v>
      </c>
      <c r="K36">
        <f>IF(ISNA(VLOOKUP($A36&amp;K$1,'For stats end Y DB'!$A:$G,2,0)),0,VLOOKUP($A36&amp;K$1,'For stats end Y DB'!$A:$G,2,0))</f>
        <v>0</v>
      </c>
      <c r="L36">
        <f>IF(ISNA(VLOOKUP($A36&amp;L$1,'For stats end Y DB'!$A:$G,2,0)),0,VLOOKUP($A36&amp;L$1,'For stats end Y DB'!$A:$G,2,0))</f>
        <v>0</v>
      </c>
      <c r="M36">
        <f>IF(ISNA(VLOOKUP($A36&amp;M$1,'For stats end Y DB'!$A:$G,2,0)),0,VLOOKUP($A36&amp;M$1,'For stats end Y DB'!$A:$G,2,0))</f>
        <v>0</v>
      </c>
      <c r="N36">
        <f>IF(ISNA(VLOOKUP($A36&amp;N$1,'For stats end Y DB'!$A:$G,2,0)),0,VLOOKUP($A36&amp;N$1,'For stats end Y DB'!$A:$G,2,0))</f>
        <v>0</v>
      </c>
      <c r="O36">
        <f>IF(ISNA(VLOOKUP($A36&amp;O$1,'For stats end Y DB'!$A:$G,2,0)),0,VLOOKUP($A36&amp;O$1,'For stats end Y DB'!$A:$G,2,0))</f>
        <v>0</v>
      </c>
      <c r="P36">
        <f>IF(ISNA(VLOOKUP($A36&amp;P$1,'For stats end Y DB'!$A:$G,2,0)),0,VLOOKUP($A36&amp;P$1,'For stats end Y DB'!$A:$G,2,0))</f>
        <v>0</v>
      </c>
      <c r="Q36">
        <f>IF(ISNA(VLOOKUP($A36&amp;Q$1,'For stats end Y DB'!$A:$G,2,0)),0,VLOOKUP($A36&amp;Q$1,'For stats end Y DB'!$A:$G,2,0))</f>
        <v>0</v>
      </c>
      <c r="R36">
        <f>IF(ISNA(VLOOKUP($A36&amp;R$1,'For stats end Y DB'!$A:$G,2,0)),0,VLOOKUP($A36&amp;R$1,'For stats end Y DB'!$A:$G,2,0))</f>
        <v>0</v>
      </c>
      <c r="S36">
        <f>IF(ISNA(VLOOKUP($A36&amp;S$1,'For stats end Y DB'!$A:$G,2,0)),0,VLOOKUP($A36&amp;S$1,'For stats end Y DB'!$A:$G,2,0))</f>
        <v>0</v>
      </c>
      <c r="T36">
        <f>IF(ISNA(VLOOKUP($A36&amp;T$1,'For stats end Y DB'!$A:$G,2,0)),0,VLOOKUP($A36&amp;T$1,'For stats end Y DB'!$A:$G,2,0))</f>
        <v>0</v>
      </c>
      <c r="U36">
        <f>IF(ISNA(VLOOKUP($A36&amp;U$1,'For stats end Y DB'!$A:$G,2,0)),0,VLOOKUP($A36&amp;U$1,'For stats end Y DB'!$A:$G,2,0))</f>
        <v>0</v>
      </c>
      <c r="V36">
        <f>IF(ISNA(VLOOKUP($A36&amp;V$1,'For stats end Y DB'!$A:$G,2,0)),0,VLOOKUP($A36&amp;V$1,'For stats end Y DB'!$A:$G,2,0))</f>
        <v>0</v>
      </c>
      <c r="W36">
        <f>IF(ISNA(VLOOKUP($A36&amp;W$1,'For stats end Y DB'!$A:$G,2,0)),0,VLOOKUP($A36&amp;W$1,'For stats end Y DB'!$A:$G,2,0))</f>
        <v>0</v>
      </c>
      <c r="X36">
        <f>IF(ISNA(VLOOKUP($A36&amp;X$1,'For stats end Y DB'!$A:$G,2,0)),0,VLOOKUP($A36&amp;X$1,'For stats end Y DB'!$A:$G,2,0))</f>
        <v>0</v>
      </c>
      <c r="Y36">
        <f>IF(ISNA(VLOOKUP($A36&amp;Y$1,'For stats end Y DB'!$A:$G,2,0)),0,VLOOKUP($A36&amp;Y$1,'For stats end Y DB'!$A:$G,2,0))</f>
        <v>0</v>
      </c>
      <c r="Z36">
        <f>IF(ISNA(VLOOKUP($A36&amp;Z$1,'For stats end Y DB'!$A:$G,2,0)),0,VLOOKUP($A36&amp;Z$1,'For stats end Y DB'!$A:$G,2,0))</f>
        <v>0</v>
      </c>
      <c r="AA36">
        <f>IF(ISNA(VLOOKUP($A36&amp;AA$1,'For stats end Y DB'!$A:$G,2,0)),0,VLOOKUP($A36&amp;AA$1,'For stats end Y DB'!$A:$G,2,0))</f>
        <v>0</v>
      </c>
      <c r="AB36">
        <f>IF(ISNA(VLOOKUP($A36&amp;AB$1,'For stats end Y DB'!$A:$G,2,0)),0,VLOOKUP($A36&amp;AB$1,'For stats end Y DB'!$A:$G,2,0))</f>
        <v>0</v>
      </c>
      <c r="AC36">
        <f>IF(ISNA(VLOOKUP($A36&amp;AC$1,'For stats end Y DB'!$A:$G,2,0)),0,VLOOKUP($A36&amp;AC$1,'For stats end Y DB'!$A:$G,2,0))</f>
        <v>0</v>
      </c>
      <c r="AD36">
        <f>IF(ISNA(VLOOKUP($A36&amp;AD$1,'For stats end Y DB'!$A:$G,2,0)),0,VLOOKUP($A36&amp;AD$1,'For stats end Y DB'!$A:$G,2,0))</f>
        <v>0</v>
      </c>
      <c r="AE36">
        <f>IF(ISNA(VLOOKUP($A36&amp;AE$1,'For stats end Y DB'!$A:$G,2,0)),0,VLOOKUP($A36&amp;AE$1,'For stats end Y DB'!$A:$G,2,0))</f>
        <v>0</v>
      </c>
      <c r="AF36">
        <f>IF(ISNA(VLOOKUP($A36&amp;AF$1,'For stats end Y DB'!$A:$G,2,0)),0,VLOOKUP($A36&amp;AF$1,'For stats end Y DB'!$A:$G,2,0))</f>
        <v>0</v>
      </c>
      <c r="AG36">
        <f>IF(ISNA(VLOOKUP($A36&amp;AG$1,'For stats end Y DB'!$A:$G,2,0)),0,VLOOKUP($A36&amp;AG$1,'For stats end Y DB'!$A:$G,2,0))</f>
        <v>0</v>
      </c>
      <c r="AH36">
        <f>IF(ISNA(VLOOKUP($A36&amp;AH$1,'For stats end Y DB'!$A:$G,2,0)),0,VLOOKUP($A36&amp;AH$1,'For stats end Y DB'!$A:$G,2,0))</f>
        <v>0</v>
      </c>
      <c r="AI36">
        <f>IF(ISNA(VLOOKUP($A36&amp;AI$1,'For stats end Y DB'!$A:$G,2,0)),0,VLOOKUP($A36&amp;AI$1,'For stats end Y DB'!$A:$G,2,0))</f>
        <v>0</v>
      </c>
      <c r="AJ36">
        <f>IF(ISNA(VLOOKUP($A36&amp;AJ$1,'For stats end Y DB'!$A:$G,2,0)),0,VLOOKUP($A36&amp;AJ$1,'For stats end Y DB'!$A:$G,2,0))</f>
        <v>0</v>
      </c>
      <c r="AK36">
        <f>IF(ISNA(VLOOKUP($A36&amp;AK$1,'For stats end Y DB'!$A:$G,2,0)),0,VLOOKUP($A36&amp;AK$1,'For stats end Y DB'!$A:$G,2,0))</f>
        <v>0</v>
      </c>
      <c r="AL36">
        <f>IF(ISNA(VLOOKUP($A36&amp;AL$1,'For stats end Y DB'!$A:$G,2,0)),0,VLOOKUP($A36&amp;AL$1,'For stats end Y DB'!$A:$G,2,0))</f>
        <v>0</v>
      </c>
      <c r="AM36">
        <f>IF(ISNA(VLOOKUP($A36&amp;AM$1,'For stats end Y DB'!$A:$G,2,0)),0,VLOOKUP($A36&amp;AM$1,'For stats end Y DB'!$A:$G,2,0))</f>
        <v>0</v>
      </c>
      <c r="AN36">
        <f>IF(ISNA(VLOOKUP($A36&amp;AN$1,'For stats end Y DB'!$A:$G,2,0)),0,VLOOKUP($A36&amp;AN$1,'For stats end Y DB'!$A:$G,2,0))</f>
        <v>0</v>
      </c>
      <c r="AP36" t="str">
        <f t="shared" si="3"/>
        <v>Golgoo13</v>
      </c>
      <c r="AQ36">
        <f t="shared" si="5"/>
        <v>0</v>
      </c>
      <c r="AR36">
        <f t="shared" si="5"/>
        <v>0</v>
      </c>
      <c r="AS36">
        <f t="shared" si="5"/>
        <v>0</v>
      </c>
      <c r="AT36" s="9">
        <f t="shared" si="1"/>
        <v>0</v>
      </c>
      <c r="AU36">
        <f t="shared" si="2"/>
        <v>1</v>
      </c>
    </row>
    <row r="37" spans="1:47" x14ac:dyDescent="0.2">
      <c r="A37" s="12" t="s">
        <v>484</v>
      </c>
      <c r="B37">
        <f>IF(ISNA(VLOOKUP($A37&amp;B$1,'For stats end Y DB'!$A:$G,2,0)),0,VLOOKUP($A37&amp;B$1,'For stats end Y DB'!$A:$G,2,0))</f>
        <v>0</v>
      </c>
      <c r="C37">
        <f>IF(ISNA(VLOOKUP($A37&amp;C$1,'For stats end Y DB'!$A:$G,2,0)),0,VLOOKUP($A37&amp;C$1,'For stats end Y DB'!$A:$G,2,0))</f>
        <v>0</v>
      </c>
      <c r="D37">
        <f>IF(ISNA(VLOOKUP($A37&amp;D$1,'For stats end Y DB'!$A:$G,2,0)),0,VLOOKUP($A37&amp;D$1,'For stats end Y DB'!$A:$G,2,0))</f>
        <v>0</v>
      </c>
      <c r="E37">
        <f>IF(ISNA(VLOOKUP($A37&amp;E$1,'For stats end Y DB'!$A:$G,2,0)),0,VLOOKUP($A37&amp;E$1,'For stats end Y DB'!$A:$G,2,0))</f>
        <v>4</v>
      </c>
      <c r="F37">
        <f>IF(ISNA(VLOOKUP($A37&amp;F$1,'For stats end Y DB'!$A:$G,2,0)),0,VLOOKUP($A37&amp;F$1,'For stats end Y DB'!$A:$G,2,0))</f>
        <v>0</v>
      </c>
      <c r="G37">
        <f>IF(ISNA(VLOOKUP($A37&amp;G$1,'For stats end Y DB'!$A:$G,2,0)),0,VLOOKUP($A37&amp;G$1,'For stats end Y DB'!$A:$G,2,0))</f>
        <v>6</v>
      </c>
      <c r="H37">
        <f>IF(ISNA(VLOOKUP($A37&amp;H$1,'For stats end Y DB'!$A:$G,2,0)),0,VLOOKUP($A37&amp;H$1,'For stats end Y DB'!$A:$G,2,0))</f>
        <v>0</v>
      </c>
      <c r="I37">
        <f>IF(ISNA(VLOOKUP($A37&amp;I$1,'For stats end Y DB'!$A:$G,2,0)),0,VLOOKUP($A37&amp;I$1,'For stats end Y DB'!$A:$G,2,0))</f>
        <v>3</v>
      </c>
      <c r="J37">
        <f>IF(ISNA(VLOOKUP($A37&amp;J$1,'For stats end Y DB'!$A:$G,2,0)),0,VLOOKUP($A37&amp;J$1,'For stats end Y DB'!$A:$G,2,0))</f>
        <v>3</v>
      </c>
      <c r="K37">
        <f>IF(ISNA(VLOOKUP($A37&amp;K$1,'For stats end Y DB'!$A:$G,2,0)),0,VLOOKUP($A37&amp;K$1,'For stats end Y DB'!$A:$G,2,0))</f>
        <v>0</v>
      </c>
      <c r="L37">
        <f>IF(ISNA(VLOOKUP($A37&amp;L$1,'For stats end Y DB'!$A:$G,2,0)),0,VLOOKUP($A37&amp;L$1,'For stats end Y DB'!$A:$G,2,0))</f>
        <v>0</v>
      </c>
      <c r="M37">
        <f>IF(ISNA(VLOOKUP($A37&amp;M$1,'For stats end Y DB'!$A:$G,2,0)),0,VLOOKUP($A37&amp;M$1,'For stats end Y DB'!$A:$G,2,0))</f>
        <v>0</v>
      </c>
      <c r="N37">
        <f>IF(ISNA(VLOOKUP($A37&amp;N$1,'For stats end Y DB'!$A:$G,2,0)),0,VLOOKUP($A37&amp;N$1,'For stats end Y DB'!$A:$G,2,0))</f>
        <v>0</v>
      </c>
      <c r="O37">
        <f>IF(ISNA(VLOOKUP($A37&amp;O$1,'For stats end Y DB'!$A:$G,2,0)),0,VLOOKUP($A37&amp;O$1,'For stats end Y DB'!$A:$G,2,0))</f>
        <v>0</v>
      </c>
      <c r="P37">
        <f>IF(ISNA(VLOOKUP($A37&amp;P$1,'For stats end Y DB'!$A:$G,2,0)),0,VLOOKUP($A37&amp;P$1,'For stats end Y DB'!$A:$G,2,0))</f>
        <v>0</v>
      </c>
      <c r="Q37">
        <f>IF(ISNA(VLOOKUP($A37&amp;Q$1,'For stats end Y DB'!$A:$G,2,0)),0,VLOOKUP($A37&amp;Q$1,'For stats end Y DB'!$A:$G,2,0))</f>
        <v>1</v>
      </c>
      <c r="R37">
        <f>IF(ISNA(VLOOKUP($A37&amp;R$1,'For stats end Y DB'!$A:$G,2,0)),0,VLOOKUP($A37&amp;R$1,'For stats end Y DB'!$A:$G,2,0))</f>
        <v>7</v>
      </c>
      <c r="S37">
        <f>IF(ISNA(VLOOKUP($A37&amp;S$1,'For stats end Y DB'!$A:$G,2,0)),0,VLOOKUP($A37&amp;S$1,'For stats end Y DB'!$A:$G,2,0))</f>
        <v>0</v>
      </c>
      <c r="T37">
        <f>IF(ISNA(VLOOKUP($A37&amp;T$1,'For stats end Y DB'!$A:$G,2,0)),0,VLOOKUP($A37&amp;T$1,'For stats end Y DB'!$A:$G,2,0))</f>
        <v>0</v>
      </c>
      <c r="U37">
        <f>IF(ISNA(VLOOKUP($A37&amp;U$1,'For stats end Y DB'!$A:$G,2,0)),0,VLOOKUP($A37&amp;U$1,'For stats end Y DB'!$A:$G,2,0))</f>
        <v>0</v>
      </c>
      <c r="V37">
        <f>IF(ISNA(VLOOKUP($A37&amp;V$1,'For stats end Y DB'!$A:$G,2,0)),0,VLOOKUP($A37&amp;V$1,'For stats end Y DB'!$A:$G,2,0))</f>
        <v>5</v>
      </c>
      <c r="W37">
        <f>IF(ISNA(VLOOKUP($A37&amp;W$1,'For stats end Y DB'!$A:$G,2,0)),0,VLOOKUP($A37&amp;W$1,'For stats end Y DB'!$A:$G,2,0))</f>
        <v>0</v>
      </c>
      <c r="X37">
        <f>IF(ISNA(VLOOKUP($A37&amp;X$1,'For stats end Y DB'!$A:$G,2,0)),0,VLOOKUP($A37&amp;X$1,'For stats end Y DB'!$A:$G,2,0))</f>
        <v>0</v>
      </c>
      <c r="Y37">
        <f>IF(ISNA(VLOOKUP($A37&amp;Y$1,'For stats end Y DB'!$A:$G,2,0)),0,VLOOKUP($A37&amp;Y$1,'For stats end Y DB'!$A:$G,2,0))</f>
        <v>0</v>
      </c>
      <c r="Z37">
        <f>IF(ISNA(VLOOKUP($A37&amp;Z$1,'For stats end Y DB'!$A:$G,2,0)),0,VLOOKUP($A37&amp;Z$1,'For stats end Y DB'!$A:$G,2,0))</f>
        <v>0</v>
      </c>
      <c r="AA37">
        <f>IF(ISNA(VLOOKUP($A37&amp;AA$1,'For stats end Y DB'!$A:$G,2,0)),0,VLOOKUP($A37&amp;AA$1,'For stats end Y DB'!$A:$G,2,0))</f>
        <v>0</v>
      </c>
      <c r="AB37">
        <f>IF(ISNA(VLOOKUP($A37&amp;AB$1,'For stats end Y DB'!$A:$G,2,0)),0,VLOOKUP($A37&amp;AB$1,'For stats end Y DB'!$A:$G,2,0))</f>
        <v>0</v>
      </c>
      <c r="AC37">
        <f>IF(ISNA(VLOOKUP($A37&amp;AC$1,'For stats end Y DB'!$A:$G,2,0)),0,VLOOKUP($A37&amp;AC$1,'For stats end Y DB'!$A:$G,2,0))</f>
        <v>0</v>
      </c>
      <c r="AD37">
        <f>IF(ISNA(VLOOKUP($A37&amp;AD$1,'For stats end Y DB'!$A:$G,2,0)),0,VLOOKUP($A37&amp;AD$1,'For stats end Y DB'!$A:$G,2,0))</f>
        <v>4</v>
      </c>
      <c r="AE37">
        <f>IF(ISNA(VLOOKUP($A37&amp;AE$1,'For stats end Y DB'!$A:$G,2,0)),0,VLOOKUP($A37&amp;AE$1,'For stats end Y DB'!$A:$G,2,0))</f>
        <v>0</v>
      </c>
      <c r="AF37">
        <f>IF(ISNA(VLOOKUP($A37&amp;AF$1,'For stats end Y DB'!$A:$G,2,0)),0,VLOOKUP($A37&amp;AF$1,'For stats end Y DB'!$A:$G,2,0))</f>
        <v>0</v>
      </c>
      <c r="AG37">
        <f>IF(ISNA(VLOOKUP($A37&amp;AG$1,'For stats end Y DB'!$A:$G,2,0)),0,VLOOKUP($A37&amp;AG$1,'For stats end Y DB'!$A:$G,2,0))</f>
        <v>3</v>
      </c>
      <c r="AH37">
        <f>IF(ISNA(VLOOKUP($A37&amp;AH$1,'For stats end Y DB'!$A:$G,2,0)),0,VLOOKUP($A37&amp;AH$1,'For stats end Y DB'!$A:$G,2,0))</f>
        <v>0</v>
      </c>
      <c r="AI37">
        <f>IF(ISNA(VLOOKUP($A37&amp;AI$1,'For stats end Y DB'!$A:$G,2,0)),0,VLOOKUP($A37&amp;AI$1,'For stats end Y DB'!$A:$G,2,0))</f>
        <v>0</v>
      </c>
      <c r="AJ37">
        <f>IF(ISNA(VLOOKUP($A37&amp;AJ$1,'For stats end Y DB'!$A:$G,2,0)),0,VLOOKUP($A37&amp;AJ$1,'For stats end Y DB'!$A:$G,2,0))</f>
        <v>0</v>
      </c>
      <c r="AK37">
        <f>IF(ISNA(VLOOKUP($A37&amp;AK$1,'For stats end Y DB'!$A:$G,2,0)),0,VLOOKUP($A37&amp;AK$1,'For stats end Y DB'!$A:$G,2,0))</f>
        <v>0</v>
      </c>
      <c r="AL37">
        <f>IF(ISNA(VLOOKUP($A37&amp;AL$1,'For stats end Y DB'!$A:$G,2,0)),0,VLOOKUP($A37&amp;AL$1,'For stats end Y DB'!$A:$G,2,0))</f>
        <v>0</v>
      </c>
      <c r="AM37">
        <f>IF(ISNA(VLOOKUP($A37&amp;AM$1,'For stats end Y DB'!$A:$G,2,0)),0,VLOOKUP($A37&amp;AM$1,'For stats end Y DB'!$A:$G,2,0))</f>
        <v>0</v>
      </c>
      <c r="AN37">
        <f>IF(ISNA(VLOOKUP($A37&amp;AN$1,'For stats end Y DB'!$A:$G,2,0)),0,VLOOKUP($A37&amp;AN$1,'For stats end Y DB'!$A:$G,2,0))</f>
        <v>0</v>
      </c>
      <c r="AP37" t="str">
        <f t="shared" si="3"/>
        <v>Guerno</v>
      </c>
      <c r="AQ37">
        <f t="shared" si="5"/>
        <v>1</v>
      </c>
      <c r="AR37">
        <f t="shared" si="5"/>
        <v>0</v>
      </c>
      <c r="AS37">
        <f t="shared" si="5"/>
        <v>3</v>
      </c>
      <c r="AT37" s="9">
        <f t="shared" si="1"/>
        <v>0</v>
      </c>
      <c r="AU37">
        <f t="shared" si="2"/>
        <v>9</v>
      </c>
    </row>
    <row r="38" spans="1:47" x14ac:dyDescent="0.2">
      <c r="A38" s="12" t="s">
        <v>553</v>
      </c>
      <c r="B38">
        <f>IF(ISNA(VLOOKUP($A38&amp;B$1,'For stats end Y DB'!$A:$G,2,0)),0,VLOOKUP($A38&amp;B$1,'For stats end Y DB'!$A:$G,2,0))</f>
        <v>0</v>
      </c>
      <c r="C38">
        <f>IF(ISNA(VLOOKUP($A38&amp;C$1,'For stats end Y DB'!$A:$G,2,0)),0,VLOOKUP($A38&amp;C$1,'For stats end Y DB'!$A:$G,2,0))</f>
        <v>0</v>
      </c>
      <c r="D38">
        <f>IF(ISNA(VLOOKUP($A38&amp;D$1,'For stats end Y DB'!$A:$G,2,0)),0,VLOOKUP($A38&amp;D$1,'For stats end Y DB'!$A:$G,2,0))</f>
        <v>0</v>
      </c>
      <c r="E38">
        <f>IF(ISNA(VLOOKUP($A38&amp;E$1,'For stats end Y DB'!$A:$G,2,0)),0,VLOOKUP($A38&amp;E$1,'For stats end Y DB'!$A:$G,2,0))</f>
        <v>0</v>
      </c>
      <c r="F38">
        <f>IF(ISNA(VLOOKUP($A38&amp;F$1,'For stats end Y DB'!$A:$G,2,0)),0,VLOOKUP($A38&amp;F$1,'For stats end Y DB'!$A:$G,2,0))</f>
        <v>0</v>
      </c>
      <c r="G38">
        <f>IF(ISNA(VLOOKUP($A38&amp;G$1,'For stats end Y DB'!$A:$G,2,0)),0,VLOOKUP($A38&amp;G$1,'For stats end Y DB'!$A:$G,2,0))</f>
        <v>0</v>
      </c>
      <c r="H38">
        <f>IF(ISNA(VLOOKUP($A38&amp;H$1,'For stats end Y DB'!$A:$G,2,0)),0,VLOOKUP($A38&amp;H$1,'For stats end Y DB'!$A:$G,2,0))</f>
        <v>0</v>
      </c>
      <c r="I38">
        <f>IF(ISNA(VLOOKUP($A38&amp;I$1,'For stats end Y DB'!$A:$G,2,0)),0,VLOOKUP($A38&amp;I$1,'For stats end Y DB'!$A:$G,2,0))</f>
        <v>0</v>
      </c>
      <c r="J38">
        <f>IF(ISNA(VLOOKUP($A38&amp;J$1,'For stats end Y DB'!$A:$G,2,0)),0,VLOOKUP($A38&amp;J$1,'For stats end Y DB'!$A:$G,2,0))</f>
        <v>0</v>
      </c>
      <c r="K38">
        <f>IF(ISNA(VLOOKUP($A38&amp;K$1,'For stats end Y DB'!$A:$G,2,0)),0,VLOOKUP($A38&amp;K$1,'For stats end Y DB'!$A:$G,2,0))</f>
        <v>0</v>
      </c>
      <c r="L38">
        <f>IF(ISNA(VLOOKUP($A38&amp;L$1,'For stats end Y DB'!$A:$G,2,0)),0,VLOOKUP($A38&amp;L$1,'For stats end Y DB'!$A:$G,2,0))</f>
        <v>0</v>
      </c>
      <c r="M38">
        <f>IF(ISNA(VLOOKUP($A38&amp;M$1,'For stats end Y DB'!$A:$G,2,0)),0,VLOOKUP($A38&amp;M$1,'For stats end Y DB'!$A:$G,2,0))</f>
        <v>0</v>
      </c>
      <c r="N38">
        <f>IF(ISNA(VLOOKUP($A38&amp;N$1,'For stats end Y DB'!$A:$G,2,0)),0,VLOOKUP($A38&amp;N$1,'For stats end Y DB'!$A:$G,2,0))</f>
        <v>0</v>
      </c>
      <c r="O38">
        <f>IF(ISNA(VLOOKUP($A38&amp;O$1,'For stats end Y DB'!$A:$G,2,0)),0,VLOOKUP($A38&amp;O$1,'For stats end Y DB'!$A:$G,2,0))</f>
        <v>0</v>
      </c>
      <c r="P38">
        <f>IF(ISNA(VLOOKUP($A38&amp;P$1,'For stats end Y DB'!$A:$G,2,0)),0,VLOOKUP($A38&amp;P$1,'For stats end Y DB'!$A:$G,2,0))</f>
        <v>0</v>
      </c>
      <c r="Q38">
        <f>IF(ISNA(VLOOKUP($A38&amp;Q$1,'For stats end Y DB'!$A:$G,2,0)),0,VLOOKUP($A38&amp;Q$1,'For stats end Y DB'!$A:$G,2,0))</f>
        <v>0</v>
      </c>
      <c r="R38">
        <f>IF(ISNA(VLOOKUP($A38&amp;R$1,'For stats end Y DB'!$A:$G,2,0)),0,VLOOKUP($A38&amp;R$1,'For stats end Y DB'!$A:$G,2,0))</f>
        <v>0</v>
      </c>
      <c r="S38">
        <f>IF(ISNA(VLOOKUP($A38&amp;S$1,'For stats end Y DB'!$A:$G,2,0)),0,VLOOKUP($A38&amp;S$1,'For stats end Y DB'!$A:$G,2,0))</f>
        <v>0</v>
      </c>
      <c r="T38">
        <f>IF(ISNA(VLOOKUP($A38&amp;T$1,'For stats end Y DB'!$A:$G,2,0)),0,VLOOKUP($A38&amp;T$1,'For stats end Y DB'!$A:$G,2,0))</f>
        <v>0</v>
      </c>
      <c r="U38">
        <f>IF(ISNA(VLOOKUP($A38&amp;U$1,'For stats end Y DB'!$A:$G,2,0)),0,VLOOKUP($A38&amp;U$1,'For stats end Y DB'!$A:$G,2,0))</f>
        <v>0</v>
      </c>
      <c r="V38">
        <f>IF(ISNA(VLOOKUP($A38&amp;V$1,'For stats end Y DB'!$A:$G,2,0)),0,VLOOKUP($A38&amp;V$1,'For stats end Y DB'!$A:$G,2,0))</f>
        <v>0</v>
      </c>
      <c r="W38">
        <f>IF(ISNA(VLOOKUP($A38&amp;W$1,'For stats end Y DB'!$A:$G,2,0)),0,VLOOKUP($A38&amp;W$1,'For stats end Y DB'!$A:$G,2,0))</f>
        <v>0</v>
      </c>
      <c r="X38">
        <f>IF(ISNA(VLOOKUP($A38&amp;X$1,'For stats end Y DB'!$A:$G,2,0)),0,VLOOKUP($A38&amp;X$1,'For stats end Y DB'!$A:$G,2,0))</f>
        <v>0</v>
      </c>
      <c r="Y38">
        <f>IF(ISNA(VLOOKUP($A38&amp;Y$1,'For stats end Y DB'!$A:$G,2,0)),0,VLOOKUP($A38&amp;Y$1,'For stats end Y DB'!$A:$G,2,0))</f>
        <v>3</v>
      </c>
      <c r="Z38">
        <f>IF(ISNA(VLOOKUP($A38&amp;Z$1,'For stats end Y DB'!$A:$G,2,0)),0,VLOOKUP($A38&amp;Z$1,'For stats end Y DB'!$A:$G,2,0))</f>
        <v>0</v>
      </c>
      <c r="AA38">
        <f>IF(ISNA(VLOOKUP($A38&amp;AA$1,'For stats end Y DB'!$A:$G,2,0)),0,VLOOKUP($A38&amp;AA$1,'For stats end Y DB'!$A:$G,2,0))</f>
        <v>0</v>
      </c>
      <c r="AB38">
        <f>IF(ISNA(VLOOKUP($A38&amp;AB$1,'For stats end Y DB'!$A:$G,2,0)),0,VLOOKUP($A38&amp;AB$1,'For stats end Y DB'!$A:$G,2,0))</f>
        <v>0</v>
      </c>
      <c r="AC38">
        <f>IF(ISNA(VLOOKUP($A38&amp;AC$1,'For stats end Y DB'!$A:$G,2,0)),0,VLOOKUP($A38&amp;AC$1,'For stats end Y DB'!$A:$G,2,0))</f>
        <v>0</v>
      </c>
      <c r="AD38">
        <f>IF(ISNA(VLOOKUP($A38&amp;AD$1,'For stats end Y DB'!$A:$G,2,0)),0,VLOOKUP($A38&amp;AD$1,'For stats end Y DB'!$A:$G,2,0))</f>
        <v>0</v>
      </c>
      <c r="AE38">
        <f>IF(ISNA(VLOOKUP($A38&amp;AE$1,'For stats end Y DB'!$A:$G,2,0)),0,VLOOKUP($A38&amp;AE$1,'For stats end Y DB'!$A:$G,2,0))</f>
        <v>0</v>
      </c>
      <c r="AF38">
        <f>IF(ISNA(VLOOKUP($A38&amp;AF$1,'For stats end Y DB'!$A:$G,2,0)),0,VLOOKUP($A38&amp;AF$1,'For stats end Y DB'!$A:$G,2,0))</f>
        <v>0</v>
      </c>
      <c r="AG38">
        <f>IF(ISNA(VLOOKUP($A38&amp;AG$1,'For stats end Y DB'!$A:$G,2,0)),0,VLOOKUP($A38&amp;AG$1,'For stats end Y DB'!$A:$G,2,0))</f>
        <v>0</v>
      </c>
      <c r="AH38">
        <f>IF(ISNA(VLOOKUP($A38&amp;AH$1,'For stats end Y DB'!$A:$G,2,0)),0,VLOOKUP($A38&amp;AH$1,'For stats end Y DB'!$A:$G,2,0))</f>
        <v>0</v>
      </c>
      <c r="AI38">
        <f>IF(ISNA(VLOOKUP($A38&amp;AI$1,'For stats end Y DB'!$A:$G,2,0)),0,VLOOKUP($A38&amp;AI$1,'For stats end Y DB'!$A:$G,2,0))</f>
        <v>0</v>
      </c>
      <c r="AJ38">
        <f>IF(ISNA(VLOOKUP($A38&amp;AJ$1,'For stats end Y DB'!$A:$G,2,0)),0,VLOOKUP($A38&amp;AJ$1,'For stats end Y DB'!$A:$G,2,0))</f>
        <v>0</v>
      </c>
      <c r="AK38">
        <f>IF(ISNA(VLOOKUP($A38&amp;AK$1,'For stats end Y DB'!$A:$G,2,0)),0,VLOOKUP($A38&amp;AK$1,'For stats end Y DB'!$A:$G,2,0))</f>
        <v>0</v>
      </c>
      <c r="AL38">
        <f>IF(ISNA(VLOOKUP($A38&amp;AL$1,'For stats end Y DB'!$A:$G,2,0)),0,VLOOKUP($A38&amp;AL$1,'For stats end Y DB'!$A:$G,2,0))</f>
        <v>0</v>
      </c>
      <c r="AM38">
        <f>IF(ISNA(VLOOKUP($A38&amp;AM$1,'For stats end Y DB'!$A:$G,2,0)),0,VLOOKUP($A38&amp;AM$1,'For stats end Y DB'!$A:$G,2,0))</f>
        <v>0</v>
      </c>
      <c r="AN38">
        <f>IF(ISNA(VLOOKUP($A38&amp;AN$1,'For stats end Y DB'!$A:$G,2,0)),0,VLOOKUP($A38&amp;AN$1,'For stats end Y DB'!$A:$G,2,0))</f>
        <v>0</v>
      </c>
      <c r="AP38" t="str">
        <f t="shared" si="3"/>
        <v>Ilyes.</v>
      </c>
      <c r="AQ38">
        <f t="shared" si="5"/>
        <v>0</v>
      </c>
      <c r="AR38">
        <f t="shared" si="5"/>
        <v>0</v>
      </c>
      <c r="AS38">
        <f t="shared" si="5"/>
        <v>1</v>
      </c>
      <c r="AT38" s="9">
        <f>IF((AQ38+AR38)&gt;10,AQ38/(AQ38+AR38),0)</f>
        <v>0</v>
      </c>
      <c r="AU38">
        <f t="shared" si="2"/>
        <v>1</v>
      </c>
    </row>
    <row r="39" spans="1:47" x14ac:dyDescent="0.2">
      <c r="A39" s="12" t="s">
        <v>560</v>
      </c>
      <c r="B39">
        <f>IF(ISNA(VLOOKUP($A39&amp;B$1,'For stats end Y DB'!$A:$G,2,0)),0,VLOOKUP($A39&amp;B$1,'For stats end Y DB'!$A:$G,2,0))</f>
        <v>0</v>
      </c>
      <c r="C39">
        <f>IF(ISNA(VLOOKUP($A39&amp;C$1,'For stats end Y DB'!$A:$G,2,0)),0,VLOOKUP($A39&amp;C$1,'For stats end Y DB'!$A:$G,2,0))</f>
        <v>0</v>
      </c>
      <c r="D39">
        <f>IF(ISNA(VLOOKUP($A39&amp;D$1,'For stats end Y DB'!$A:$G,2,0)),0,VLOOKUP($A39&amp;D$1,'For stats end Y DB'!$A:$G,2,0))</f>
        <v>0</v>
      </c>
      <c r="E39">
        <f>IF(ISNA(VLOOKUP($A39&amp;E$1,'For stats end Y DB'!$A:$G,2,0)),0,VLOOKUP($A39&amp;E$1,'For stats end Y DB'!$A:$G,2,0))</f>
        <v>0</v>
      </c>
      <c r="F39">
        <f>IF(ISNA(VLOOKUP($A39&amp;F$1,'For stats end Y DB'!$A:$G,2,0)),0,VLOOKUP($A39&amp;F$1,'For stats end Y DB'!$A:$G,2,0))</f>
        <v>0</v>
      </c>
      <c r="G39">
        <f>IF(ISNA(VLOOKUP($A39&amp;G$1,'For stats end Y DB'!$A:$G,2,0)),0,VLOOKUP($A39&amp;G$1,'For stats end Y DB'!$A:$G,2,0))</f>
        <v>0</v>
      </c>
      <c r="H39">
        <f>IF(ISNA(VLOOKUP($A39&amp;H$1,'For stats end Y DB'!$A:$G,2,0)),0,VLOOKUP($A39&amp;H$1,'For stats end Y DB'!$A:$G,2,0))</f>
        <v>0</v>
      </c>
      <c r="I39">
        <f>IF(ISNA(VLOOKUP($A39&amp;I$1,'For stats end Y DB'!$A:$G,2,0)),0,VLOOKUP($A39&amp;I$1,'For stats end Y DB'!$A:$G,2,0))</f>
        <v>0</v>
      </c>
      <c r="J39">
        <f>IF(ISNA(VLOOKUP($A39&amp;J$1,'For stats end Y DB'!$A:$G,2,0)),0,VLOOKUP($A39&amp;J$1,'For stats end Y DB'!$A:$G,2,0))</f>
        <v>0</v>
      </c>
      <c r="K39">
        <f>IF(ISNA(VLOOKUP($A39&amp;K$1,'For stats end Y DB'!$A:$G,2,0)),0,VLOOKUP($A39&amp;K$1,'For stats end Y DB'!$A:$G,2,0))</f>
        <v>0</v>
      </c>
      <c r="L39">
        <f>IF(ISNA(VLOOKUP($A39&amp;L$1,'For stats end Y DB'!$A:$G,2,0)),0,VLOOKUP($A39&amp;L$1,'For stats end Y DB'!$A:$G,2,0))</f>
        <v>0</v>
      </c>
      <c r="M39">
        <f>IF(ISNA(VLOOKUP($A39&amp;M$1,'For stats end Y DB'!$A:$G,2,0)),0,VLOOKUP($A39&amp;M$1,'For stats end Y DB'!$A:$G,2,0))</f>
        <v>0</v>
      </c>
      <c r="N39">
        <f>IF(ISNA(VLOOKUP($A39&amp;N$1,'For stats end Y DB'!$A:$G,2,0)),0,VLOOKUP($A39&amp;N$1,'For stats end Y DB'!$A:$G,2,0))</f>
        <v>0</v>
      </c>
      <c r="O39">
        <f>IF(ISNA(VLOOKUP($A39&amp;O$1,'For stats end Y DB'!$A:$G,2,0)),0,VLOOKUP($A39&amp;O$1,'For stats end Y DB'!$A:$G,2,0))</f>
        <v>0</v>
      </c>
      <c r="P39">
        <f>IF(ISNA(VLOOKUP($A39&amp;P$1,'For stats end Y DB'!$A:$G,2,0)),0,VLOOKUP($A39&amp;P$1,'For stats end Y DB'!$A:$G,2,0))</f>
        <v>0</v>
      </c>
      <c r="Q39">
        <f>IF(ISNA(VLOOKUP($A39&amp;Q$1,'For stats end Y DB'!$A:$G,2,0)),0,VLOOKUP($A39&amp;Q$1,'For stats end Y DB'!$A:$G,2,0))</f>
        <v>0</v>
      </c>
      <c r="R39">
        <f>IF(ISNA(VLOOKUP($A39&amp;R$1,'For stats end Y DB'!$A:$G,2,0)),0,VLOOKUP($A39&amp;R$1,'For stats end Y DB'!$A:$G,2,0))</f>
        <v>0</v>
      </c>
      <c r="S39">
        <f>IF(ISNA(VLOOKUP($A39&amp;S$1,'For stats end Y DB'!$A:$G,2,0)),0,VLOOKUP($A39&amp;S$1,'For stats end Y DB'!$A:$G,2,0))</f>
        <v>0</v>
      </c>
      <c r="T39">
        <f>IF(ISNA(VLOOKUP($A39&amp;T$1,'For stats end Y DB'!$A:$G,2,0)),0,VLOOKUP($A39&amp;T$1,'For stats end Y DB'!$A:$G,2,0))</f>
        <v>0</v>
      </c>
      <c r="U39">
        <f>IF(ISNA(VLOOKUP($A39&amp;U$1,'For stats end Y DB'!$A:$G,2,0)),0,VLOOKUP($A39&amp;U$1,'For stats end Y DB'!$A:$G,2,0))</f>
        <v>0</v>
      </c>
      <c r="V39">
        <f>IF(ISNA(VLOOKUP($A39&amp;V$1,'For stats end Y DB'!$A:$G,2,0)),0,VLOOKUP($A39&amp;V$1,'For stats end Y DB'!$A:$G,2,0))</f>
        <v>0</v>
      </c>
      <c r="W39">
        <f>IF(ISNA(VLOOKUP($A39&amp;W$1,'For stats end Y DB'!$A:$G,2,0)),0,VLOOKUP($A39&amp;W$1,'For stats end Y DB'!$A:$G,2,0))</f>
        <v>0</v>
      </c>
      <c r="X39">
        <f>IF(ISNA(VLOOKUP($A39&amp;X$1,'For stats end Y DB'!$A:$G,2,0)),0,VLOOKUP($A39&amp;X$1,'For stats end Y DB'!$A:$G,2,0))</f>
        <v>0</v>
      </c>
      <c r="Y39">
        <f>IF(ISNA(VLOOKUP($A39&amp;Y$1,'For stats end Y DB'!$A:$G,2,0)),0,VLOOKUP($A39&amp;Y$1,'For stats end Y DB'!$A:$G,2,0))</f>
        <v>0</v>
      </c>
      <c r="Z39">
        <f>IF(ISNA(VLOOKUP($A39&amp;Z$1,'For stats end Y DB'!$A:$G,2,0)),0,VLOOKUP($A39&amp;Z$1,'For stats end Y DB'!$A:$G,2,0))</f>
        <v>0</v>
      </c>
      <c r="AA39">
        <f>IF(ISNA(VLOOKUP($A39&amp;AA$1,'For stats end Y DB'!$A:$G,2,0)),0,VLOOKUP($A39&amp;AA$1,'For stats end Y DB'!$A:$G,2,0))</f>
        <v>0</v>
      </c>
      <c r="AB39">
        <f>IF(ISNA(VLOOKUP($A39&amp;AB$1,'For stats end Y DB'!$A:$G,2,0)),0,VLOOKUP($A39&amp;AB$1,'For stats end Y DB'!$A:$G,2,0))</f>
        <v>0</v>
      </c>
      <c r="AC39">
        <f>IF(ISNA(VLOOKUP($A39&amp;AC$1,'For stats end Y DB'!$A:$G,2,0)),0,VLOOKUP($A39&amp;AC$1,'For stats end Y DB'!$A:$G,2,0))</f>
        <v>2</v>
      </c>
      <c r="AD39">
        <f>IF(ISNA(VLOOKUP($A39&amp;AD$1,'For stats end Y DB'!$A:$G,2,0)),0,VLOOKUP($A39&amp;AD$1,'For stats end Y DB'!$A:$G,2,0))</f>
        <v>0</v>
      </c>
      <c r="AE39">
        <f>IF(ISNA(VLOOKUP($A39&amp;AE$1,'For stats end Y DB'!$A:$G,2,0)),0,VLOOKUP($A39&amp;AE$1,'For stats end Y DB'!$A:$G,2,0))</f>
        <v>0</v>
      </c>
      <c r="AF39">
        <f>IF(ISNA(VLOOKUP($A39&amp;AF$1,'For stats end Y DB'!$A:$G,2,0)),0,VLOOKUP($A39&amp;AF$1,'For stats end Y DB'!$A:$G,2,0))</f>
        <v>0</v>
      </c>
      <c r="AG39">
        <f>IF(ISNA(VLOOKUP($A39&amp;AG$1,'For stats end Y DB'!$A:$G,2,0)),0,VLOOKUP($A39&amp;AG$1,'For stats end Y DB'!$A:$G,2,0))</f>
        <v>0</v>
      </c>
      <c r="AH39">
        <f>IF(ISNA(VLOOKUP($A39&amp;AH$1,'For stats end Y DB'!$A:$G,2,0)),0,VLOOKUP($A39&amp;AH$1,'For stats end Y DB'!$A:$G,2,0))</f>
        <v>0</v>
      </c>
      <c r="AI39">
        <f>IF(ISNA(VLOOKUP($A39&amp;AI$1,'For stats end Y DB'!$A:$G,2,0)),0,VLOOKUP($A39&amp;AI$1,'For stats end Y DB'!$A:$G,2,0))</f>
        <v>0</v>
      </c>
      <c r="AJ39">
        <f>IF(ISNA(VLOOKUP($A39&amp;AJ$1,'For stats end Y DB'!$A:$G,2,0)),0,VLOOKUP($A39&amp;AJ$1,'For stats end Y DB'!$A:$G,2,0))</f>
        <v>0</v>
      </c>
      <c r="AK39">
        <f>IF(ISNA(VLOOKUP($A39&amp;AK$1,'For stats end Y DB'!$A:$G,2,0)),0,VLOOKUP($A39&amp;AK$1,'For stats end Y DB'!$A:$G,2,0))</f>
        <v>0</v>
      </c>
      <c r="AL39">
        <f>IF(ISNA(VLOOKUP($A39&amp;AL$1,'For stats end Y DB'!$A:$G,2,0)),0,VLOOKUP($A39&amp;AL$1,'For stats end Y DB'!$A:$G,2,0))</f>
        <v>0</v>
      </c>
      <c r="AM39">
        <f>IF(ISNA(VLOOKUP($A39&amp;AM$1,'For stats end Y DB'!$A:$G,2,0)),0,VLOOKUP($A39&amp;AM$1,'For stats end Y DB'!$A:$G,2,0))</f>
        <v>0</v>
      </c>
      <c r="AN39">
        <f>IF(ISNA(VLOOKUP($A39&amp;AN$1,'For stats end Y DB'!$A:$G,2,0)),0,VLOOKUP($A39&amp;AN$1,'For stats end Y DB'!$A:$G,2,0))</f>
        <v>0</v>
      </c>
      <c r="AP39" t="str">
        <f t="shared" si="3"/>
        <v>Ines</v>
      </c>
      <c r="AQ39">
        <f t="shared" si="5"/>
        <v>0</v>
      </c>
      <c r="AR39">
        <f t="shared" si="5"/>
        <v>1</v>
      </c>
      <c r="AS39">
        <f t="shared" si="5"/>
        <v>0</v>
      </c>
      <c r="AT39" s="9">
        <f>IF((AQ39+AR39)&gt;10,AQ39/(AQ39+AR39),0)</f>
        <v>0</v>
      </c>
      <c r="AU39">
        <f t="shared" si="2"/>
        <v>1</v>
      </c>
    </row>
    <row r="40" spans="1:47" x14ac:dyDescent="0.2">
      <c r="A40" s="12" t="s">
        <v>451</v>
      </c>
      <c r="B40">
        <f>IF(ISNA(VLOOKUP($A40&amp;B$1,'For stats end Y DB'!$A:$G,2,0)),0,VLOOKUP($A40&amp;B$1,'For stats end Y DB'!$A:$G,2,0))</f>
        <v>2</v>
      </c>
      <c r="C40">
        <f>IF(ISNA(VLOOKUP($A40&amp;C$1,'For stats end Y DB'!$A:$G,2,0)),0,VLOOKUP($A40&amp;C$1,'For stats end Y DB'!$A:$G,2,0))</f>
        <v>2</v>
      </c>
      <c r="D40">
        <f>IF(ISNA(VLOOKUP($A40&amp;D$1,'For stats end Y DB'!$A:$G,2,0)),0,VLOOKUP($A40&amp;D$1,'For stats end Y DB'!$A:$G,2,0))</f>
        <v>7</v>
      </c>
      <c r="E40">
        <f>IF(ISNA(VLOOKUP($A40&amp;E$1,'For stats end Y DB'!$A:$G,2,0)),0,VLOOKUP($A40&amp;E$1,'For stats end Y DB'!$A:$G,2,0))</f>
        <v>1</v>
      </c>
      <c r="F40">
        <f>IF(ISNA(VLOOKUP($A40&amp;F$1,'For stats end Y DB'!$A:$G,2,0)),0,VLOOKUP($A40&amp;F$1,'For stats end Y DB'!$A:$G,2,0))</f>
        <v>1</v>
      </c>
      <c r="G40">
        <f>IF(ISNA(VLOOKUP($A40&amp;G$1,'For stats end Y DB'!$A:$G,2,0)),0,VLOOKUP($A40&amp;G$1,'For stats end Y DB'!$A:$G,2,0))</f>
        <v>4</v>
      </c>
      <c r="H40">
        <f>IF(ISNA(VLOOKUP($A40&amp;H$1,'For stats end Y DB'!$A:$G,2,0)),0,VLOOKUP($A40&amp;H$1,'For stats end Y DB'!$A:$G,2,0))</f>
        <v>2</v>
      </c>
      <c r="I40">
        <f>IF(ISNA(VLOOKUP($A40&amp;I$1,'For stats end Y DB'!$A:$G,2,0)),0,VLOOKUP($A40&amp;I$1,'For stats end Y DB'!$A:$G,2,0))</f>
        <v>4</v>
      </c>
      <c r="J40">
        <f>IF(ISNA(VLOOKUP($A40&amp;J$1,'For stats end Y DB'!$A:$G,2,0)),0,VLOOKUP($A40&amp;J$1,'For stats end Y DB'!$A:$G,2,0))</f>
        <v>0</v>
      </c>
      <c r="K40">
        <f>IF(ISNA(VLOOKUP($A40&amp;K$1,'For stats end Y DB'!$A:$G,2,0)),0,VLOOKUP($A40&amp;K$1,'For stats end Y DB'!$A:$G,2,0))</f>
        <v>2</v>
      </c>
      <c r="L40">
        <f>IF(ISNA(VLOOKUP($A40&amp;L$1,'For stats end Y DB'!$A:$G,2,0)),0,VLOOKUP($A40&amp;L$1,'For stats end Y DB'!$A:$G,2,0))</f>
        <v>6</v>
      </c>
      <c r="M40">
        <f>IF(ISNA(VLOOKUP($A40&amp;M$1,'For stats end Y DB'!$A:$G,2,0)),0,VLOOKUP($A40&amp;M$1,'For stats end Y DB'!$A:$G,2,0))</f>
        <v>0</v>
      </c>
      <c r="N40">
        <f>IF(ISNA(VLOOKUP($A40&amp;N$1,'For stats end Y DB'!$A:$G,2,0)),0,VLOOKUP($A40&amp;N$1,'For stats end Y DB'!$A:$G,2,0))</f>
        <v>0</v>
      </c>
      <c r="O40">
        <f>IF(ISNA(VLOOKUP($A40&amp;O$1,'For stats end Y DB'!$A:$G,2,0)),0,VLOOKUP($A40&amp;O$1,'For stats end Y DB'!$A:$G,2,0))</f>
        <v>0</v>
      </c>
      <c r="P40">
        <f>IF(ISNA(VLOOKUP($A40&amp;P$1,'For stats end Y DB'!$A:$G,2,0)),0,VLOOKUP($A40&amp;P$1,'For stats end Y DB'!$A:$G,2,0))</f>
        <v>0</v>
      </c>
      <c r="Q40">
        <f>IF(ISNA(VLOOKUP($A40&amp;Q$1,'For stats end Y DB'!$A:$G,2,0)),0,VLOOKUP($A40&amp;Q$1,'For stats end Y DB'!$A:$G,2,0))</f>
        <v>0</v>
      </c>
      <c r="R40">
        <f>IF(ISNA(VLOOKUP($A40&amp;R$1,'For stats end Y DB'!$A:$G,2,0)),0,VLOOKUP($A40&amp;R$1,'For stats end Y DB'!$A:$G,2,0))</f>
        <v>0</v>
      </c>
      <c r="S40">
        <f>IF(ISNA(VLOOKUP($A40&amp;S$1,'For stats end Y DB'!$A:$G,2,0)),0,VLOOKUP($A40&amp;S$1,'For stats end Y DB'!$A:$G,2,0))</f>
        <v>0</v>
      </c>
      <c r="T40">
        <f>IF(ISNA(VLOOKUP($A40&amp;T$1,'For stats end Y DB'!$A:$G,2,0)),0,VLOOKUP($A40&amp;T$1,'For stats end Y DB'!$A:$G,2,0))</f>
        <v>0</v>
      </c>
      <c r="U40">
        <f>IF(ISNA(VLOOKUP($A40&amp;U$1,'For stats end Y DB'!$A:$G,2,0)),0,VLOOKUP($A40&amp;U$1,'For stats end Y DB'!$A:$G,2,0))</f>
        <v>0</v>
      </c>
      <c r="V40">
        <f>IF(ISNA(VLOOKUP($A40&amp;V$1,'For stats end Y DB'!$A:$G,2,0)),0,VLOOKUP($A40&amp;V$1,'For stats end Y DB'!$A:$G,2,0))</f>
        <v>0</v>
      </c>
      <c r="W40">
        <f>IF(ISNA(VLOOKUP($A40&amp;W$1,'For stats end Y DB'!$A:$G,2,0)),0,VLOOKUP($A40&amp;W$1,'For stats end Y DB'!$A:$G,2,0))</f>
        <v>0</v>
      </c>
      <c r="X40">
        <f>IF(ISNA(VLOOKUP($A40&amp;X$1,'For stats end Y DB'!$A:$G,2,0)),0,VLOOKUP($A40&amp;X$1,'For stats end Y DB'!$A:$G,2,0))</f>
        <v>0</v>
      </c>
      <c r="Y40">
        <f>IF(ISNA(VLOOKUP($A40&amp;Y$1,'For stats end Y DB'!$A:$G,2,0)),0,VLOOKUP($A40&amp;Y$1,'For stats end Y DB'!$A:$G,2,0))</f>
        <v>0</v>
      </c>
      <c r="Z40">
        <f>IF(ISNA(VLOOKUP($A40&amp;Z$1,'For stats end Y DB'!$A:$G,2,0)),0,VLOOKUP($A40&amp;Z$1,'For stats end Y DB'!$A:$G,2,0))</f>
        <v>0</v>
      </c>
      <c r="AA40">
        <f>IF(ISNA(VLOOKUP($A40&amp;AA$1,'For stats end Y DB'!$A:$G,2,0)),0,VLOOKUP($A40&amp;AA$1,'For stats end Y DB'!$A:$G,2,0))</f>
        <v>0</v>
      </c>
      <c r="AB40">
        <f>IF(ISNA(VLOOKUP($A40&amp;AB$1,'For stats end Y DB'!$A:$G,2,0)),0,VLOOKUP($A40&amp;AB$1,'For stats end Y DB'!$A:$G,2,0))</f>
        <v>0</v>
      </c>
      <c r="AC40">
        <f>IF(ISNA(VLOOKUP($A40&amp;AC$1,'For stats end Y DB'!$A:$G,2,0)),0,VLOOKUP($A40&amp;AC$1,'For stats end Y DB'!$A:$G,2,0))</f>
        <v>0</v>
      </c>
      <c r="AD40">
        <f>IF(ISNA(VLOOKUP($A40&amp;AD$1,'For stats end Y DB'!$A:$G,2,0)),0,VLOOKUP($A40&amp;AD$1,'For stats end Y DB'!$A:$G,2,0))</f>
        <v>0</v>
      </c>
      <c r="AE40">
        <f>IF(ISNA(VLOOKUP($A40&amp;AE$1,'For stats end Y DB'!$A:$G,2,0)),0,VLOOKUP($A40&amp;AE$1,'For stats end Y DB'!$A:$G,2,0))</f>
        <v>0</v>
      </c>
      <c r="AF40">
        <f>IF(ISNA(VLOOKUP($A40&amp;AF$1,'For stats end Y DB'!$A:$G,2,0)),0,VLOOKUP($A40&amp;AF$1,'For stats end Y DB'!$A:$G,2,0))</f>
        <v>0</v>
      </c>
      <c r="AG40">
        <f>IF(ISNA(VLOOKUP($A40&amp;AG$1,'For stats end Y DB'!$A:$G,2,0)),0,VLOOKUP($A40&amp;AG$1,'For stats end Y DB'!$A:$G,2,0))</f>
        <v>0</v>
      </c>
      <c r="AH40">
        <f>IF(ISNA(VLOOKUP($A40&amp;AH$1,'For stats end Y DB'!$A:$G,2,0)),0,VLOOKUP($A40&amp;AH$1,'For stats end Y DB'!$A:$G,2,0))</f>
        <v>0</v>
      </c>
      <c r="AI40">
        <f>IF(ISNA(VLOOKUP($A40&amp;AI$1,'For stats end Y DB'!$A:$G,2,0)),0,VLOOKUP($A40&amp;AI$1,'For stats end Y DB'!$A:$G,2,0))</f>
        <v>0</v>
      </c>
      <c r="AJ40">
        <f>IF(ISNA(VLOOKUP($A40&amp;AJ$1,'For stats end Y DB'!$A:$G,2,0)),0,VLOOKUP($A40&amp;AJ$1,'For stats end Y DB'!$A:$G,2,0))</f>
        <v>0</v>
      </c>
      <c r="AK40">
        <f>IF(ISNA(VLOOKUP($A40&amp;AK$1,'For stats end Y DB'!$A:$G,2,0)),0,VLOOKUP($A40&amp;AK$1,'For stats end Y DB'!$A:$G,2,0))</f>
        <v>0</v>
      </c>
      <c r="AL40">
        <f>IF(ISNA(VLOOKUP($A40&amp;AL$1,'For stats end Y DB'!$A:$G,2,0)),0,VLOOKUP($A40&amp;AL$1,'For stats end Y DB'!$A:$G,2,0))</f>
        <v>0</v>
      </c>
      <c r="AM40">
        <f>IF(ISNA(VLOOKUP($A40&amp;AM$1,'For stats end Y DB'!$A:$G,2,0)),0,VLOOKUP($A40&amp;AM$1,'For stats end Y DB'!$A:$G,2,0))</f>
        <v>0</v>
      </c>
      <c r="AN40">
        <f>IF(ISNA(VLOOKUP($A40&amp;AN$1,'For stats end Y DB'!$A:$G,2,0)),0,VLOOKUP($A40&amp;AN$1,'For stats end Y DB'!$A:$G,2,0))</f>
        <v>0</v>
      </c>
      <c r="AP40" t="str">
        <f t="shared" si="3"/>
        <v>Jacaille</v>
      </c>
      <c r="AQ40">
        <f t="shared" si="5"/>
        <v>2</v>
      </c>
      <c r="AR40">
        <f t="shared" si="5"/>
        <v>4</v>
      </c>
      <c r="AS40">
        <f t="shared" si="5"/>
        <v>0</v>
      </c>
      <c r="AT40" s="9">
        <f>IF((AQ40+AR40)&gt;10,AQ40/(AQ40+AR40),0)</f>
        <v>0</v>
      </c>
      <c r="AU40">
        <f t="shared" si="2"/>
        <v>10</v>
      </c>
    </row>
    <row r="41" spans="1:47" x14ac:dyDescent="0.2">
      <c r="A41" s="12" t="s">
        <v>521</v>
      </c>
      <c r="B41">
        <f>IF(ISNA(VLOOKUP($A41&amp;B$1,'For stats end Y DB'!$A:$G,2,0)),0,VLOOKUP($A41&amp;B$1,'For stats end Y DB'!$A:$G,2,0))</f>
        <v>6</v>
      </c>
      <c r="C41">
        <f>IF(ISNA(VLOOKUP($A41&amp;C$1,'For stats end Y DB'!$A:$G,2,0)),0,VLOOKUP($A41&amp;C$1,'For stats end Y DB'!$A:$G,2,0))</f>
        <v>5</v>
      </c>
      <c r="D41">
        <f>IF(ISNA(VLOOKUP($A41&amp;D$1,'For stats end Y DB'!$A:$G,2,0)),0,VLOOKUP($A41&amp;D$1,'For stats end Y DB'!$A:$G,2,0))</f>
        <v>4</v>
      </c>
      <c r="E41">
        <f>IF(ISNA(VLOOKUP($A41&amp;E$1,'For stats end Y DB'!$A:$G,2,0)),0,VLOOKUP($A41&amp;E$1,'For stats end Y DB'!$A:$G,2,0))</f>
        <v>0</v>
      </c>
      <c r="F41">
        <f>IF(ISNA(VLOOKUP($A41&amp;F$1,'For stats end Y DB'!$A:$G,2,0)),0,VLOOKUP($A41&amp;F$1,'For stats end Y DB'!$A:$G,2,0))</f>
        <v>0</v>
      </c>
      <c r="G41">
        <f>IF(ISNA(VLOOKUP($A41&amp;G$1,'For stats end Y DB'!$A:$G,2,0)),0,VLOOKUP($A41&amp;G$1,'For stats end Y DB'!$A:$G,2,0))</f>
        <v>4</v>
      </c>
      <c r="H41">
        <f>IF(ISNA(VLOOKUP($A41&amp;H$1,'For stats end Y DB'!$A:$G,2,0)),0,VLOOKUP($A41&amp;H$1,'For stats end Y DB'!$A:$G,2,0))</f>
        <v>6</v>
      </c>
      <c r="I41">
        <f>IF(ISNA(VLOOKUP($A41&amp;I$1,'For stats end Y DB'!$A:$G,2,0)),0,VLOOKUP($A41&amp;I$1,'For stats end Y DB'!$A:$G,2,0))</f>
        <v>0</v>
      </c>
      <c r="J41">
        <f>IF(ISNA(VLOOKUP($A41&amp;J$1,'For stats end Y DB'!$A:$G,2,0)),0,VLOOKUP($A41&amp;J$1,'For stats end Y DB'!$A:$G,2,0))</f>
        <v>2</v>
      </c>
      <c r="K41">
        <f>IF(ISNA(VLOOKUP($A41&amp;K$1,'For stats end Y DB'!$A:$G,2,0)),0,VLOOKUP($A41&amp;K$1,'For stats end Y DB'!$A:$G,2,0))</f>
        <v>0</v>
      </c>
      <c r="L41">
        <f>IF(ISNA(VLOOKUP($A41&amp;L$1,'For stats end Y DB'!$A:$G,2,0)),0,VLOOKUP($A41&amp;L$1,'For stats end Y DB'!$A:$G,2,0))</f>
        <v>0</v>
      </c>
      <c r="M41">
        <f>IF(ISNA(VLOOKUP($A41&amp;M$1,'For stats end Y DB'!$A:$G,2,0)),0,VLOOKUP($A41&amp;M$1,'For stats end Y DB'!$A:$G,2,0))</f>
        <v>2</v>
      </c>
      <c r="N41">
        <f>IF(ISNA(VLOOKUP($A41&amp;N$1,'For stats end Y DB'!$A:$G,2,0)),0,VLOOKUP($A41&amp;N$1,'For stats end Y DB'!$A:$G,2,0))</f>
        <v>4</v>
      </c>
      <c r="O41">
        <f>IF(ISNA(VLOOKUP($A41&amp;O$1,'For stats end Y DB'!$A:$G,2,0)),0,VLOOKUP($A41&amp;O$1,'For stats end Y DB'!$A:$G,2,0))</f>
        <v>5</v>
      </c>
      <c r="P41">
        <f>IF(ISNA(VLOOKUP($A41&amp;P$1,'For stats end Y DB'!$A:$G,2,0)),0,VLOOKUP($A41&amp;P$1,'For stats end Y DB'!$A:$G,2,0))</f>
        <v>0</v>
      </c>
      <c r="Q41">
        <f>IF(ISNA(VLOOKUP($A41&amp;Q$1,'For stats end Y DB'!$A:$G,2,0)),0,VLOOKUP($A41&amp;Q$1,'For stats end Y DB'!$A:$G,2,0))</f>
        <v>0</v>
      </c>
      <c r="R41">
        <f>IF(ISNA(VLOOKUP($A41&amp;R$1,'For stats end Y DB'!$A:$G,2,0)),0,VLOOKUP($A41&amp;R$1,'For stats end Y DB'!$A:$G,2,0))</f>
        <v>0</v>
      </c>
      <c r="S41">
        <f>IF(ISNA(VLOOKUP($A41&amp;S$1,'For stats end Y DB'!$A:$G,2,0)),0,VLOOKUP($A41&amp;S$1,'For stats end Y DB'!$A:$G,2,0))</f>
        <v>0</v>
      </c>
      <c r="T41">
        <f>IF(ISNA(VLOOKUP($A41&amp;T$1,'For stats end Y DB'!$A:$G,2,0)),0,VLOOKUP($A41&amp;T$1,'For stats end Y DB'!$A:$G,2,0))</f>
        <v>0</v>
      </c>
      <c r="U41">
        <f>IF(ISNA(VLOOKUP($A41&amp;U$1,'For stats end Y DB'!$A:$G,2,0)),0,VLOOKUP($A41&amp;U$1,'For stats end Y DB'!$A:$G,2,0))</f>
        <v>0</v>
      </c>
      <c r="V41">
        <f>IF(ISNA(VLOOKUP($A41&amp;V$1,'For stats end Y DB'!$A:$G,2,0)),0,VLOOKUP($A41&amp;V$1,'For stats end Y DB'!$A:$G,2,0))</f>
        <v>0</v>
      </c>
      <c r="W41">
        <f>IF(ISNA(VLOOKUP($A41&amp;W$1,'For stats end Y DB'!$A:$G,2,0)),0,VLOOKUP($A41&amp;W$1,'For stats end Y DB'!$A:$G,2,0))</f>
        <v>0</v>
      </c>
      <c r="X41">
        <f>IF(ISNA(VLOOKUP($A41&amp;X$1,'For stats end Y DB'!$A:$G,2,0)),0,VLOOKUP($A41&amp;X$1,'For stats end Y DB'!$A:$G,2,0))</f>
        <v>0</v>
      </c>
      <c r="Y41">
        <f>IF(ISNA(VLOOKUP($A41&amp;Y$1,'For stats end Y DB'!$A:$G,2,0)),0,VLOOKUP($A41&amp;Y$1,'For stats end Y DB'!$A:$G,2,0))</f>
        <v>0</v>
      </c>
      <c r="Z41">
        <f>IF(ISNA(VLOOKUP($A41&amp;Z$1,'For stats end Y DB'!$A:$G,2,0)),0,VLOOKUP($A41&amp;Z$1,'For stats end Y DB'!$A:$G,2,0))</f>
        <v>2</v>
      </c>
      <c r="AA41">
        <f>IF(ISNA(VLOOKUP($A41&amp;AA$1,'For stats end Y DB'!$A:$G,2,0)),0,VLOOKUP($A41&amp;AA$1,'For stats end Y DB'!$A:$G,2,0))</f>
        <v>1</v>
      </c>
      <c r="AB41">
        <f>IF(ISNA(VLOOKUP($A41&amp;AB$1,'For stats end Y DB'!$A:$G,2,0)),0,VLOOKUP($A41&amp;AB$1,'For stats end Y DB'!$A:$G,2,0))</f>
        <v>3</v>
      </c>
      <c r="AC41">
        <f>IF(ISNA(VLOOKUP($A41&amp;AC$1,'For stats end Y DB'!$A:$G,2,0)),0,VLOOKUP($A41&amp;AC$1,'For stats end Y DB'!$A:$G,2,0))</f>
        <v>0</v>
      </c>
      <c r="AD41">
        <f>IF(ISNA(VLOOKUP($A41&amp;AD$1,'For stats end Y DB'!$A:$G,2,0)),0,VLOOKUP($A41&amp;AD$1,'For stats end Y DB'!$A:$G,2,0))</f>
        <v>1</v>
      </c>
      <c r="AE41">
        <f>IF(ISNA(VLOOKUP($A41&amp;AE$1,'For stats end Y DB'!$A:$G,2,0)),0,VLOOKUP($A41&amp;AE$1,'For stats end Y DB'!$A:$G,2,0))</f>
        <v>2</v>
      </c>
      <c r="AF41">
        <f>IF(ISNA(VLOOKUP($A41&amp;AF$1,'For stats end Y DB'!$A:$G,2,0)),0,VLOOKUP($A41&amp;AF$1,'For stats end Y DB'!$A:$G,2,0))</f>
        <v>6</v>
      </c>
      <c r="AG41">
        <f>IF(ISNA(VLOOKUP($A41&amp;AG$1,'For stats end Y DB'!$A:$G,2,0)),0,VLOOKUP($A41&amp;AG$1,'For stats end Y DB'!$A:$G,2,0))</f>
        <v>0</v>
      </c>
      <c r="AH41">
        <f>IF(ISNA(VLOOKUP($A41&amp;AH$1,'For stats end Y DB'!$A:$G,2,0)),0,VLOOKUP($A41&amp;AH$1,'For stats end Y DB'!$A:$G,2,0))</f>
        <v>2</v>
      </c>
      <c r="AI41">
        <f>IF(ISNA(VLOOKUP($A41&amp;AI$1,'For stats end Y DB'!$A:$G,2,0)),0,VLOOKUP($A41&amp;AI$1,'For stats end Y DB'!$A:$G,2,0))</f>
        <v>0</v>
      </c>
      <c r="AJ41">
        <f>IF(ISNA(VLOOKUP($A41&amp;AJ$1,'For stats end Y DB'!$A:$G,2,0)),0,VLOOKUP($A41&amp;AJ$1,'For stats end Y DB'!$A:$G,2,0))</f>
        <v>0</v>
      </c>
      <c r="AK41">
        <f>IF(ISNA(VLOOKUP($A41&amp;AK$1,'For stats end Y DB'!$A:$G,2,0)),0,VLOOKUP($A41&amp;AK$1,'For stats end Y DB'!$A:$G,2,0))</f>
        <v>0</v>
      </c>
      <c r="AL41">
        <f>IF(ISNA(VLOOKUP($A41&amp;AL$1,'For stats end Y DB'!$A:$G,2,0)),0,VLOOKUP($A41&amp;AL$1,'For stats end Y DB'!$A:$G,2,0))</f>
        <v>0</v>
      </c>
      <c r="AM41">
        <f>IF(ISNA(VLOOKUP($A41&amp;AM$1,'For stats end Y DB'!$A:$G,2,0)),0,VLOOKUP($A41&amp;AM$1,'For stats end Y DB'!$A:$G,2,0))</f>
        <v>0</v>
      </c>
      <c r="AN41">
        <f>IF(ISNA(VLOOKUP($A41&amp;AN$1,'For stats end Y DB'!$A:$G,2,0)),0,VLOOKUP($A41&amp;AN$1,'For stats end Y DB'!$A:$G,2,0))</f>
        <v>0</v>
      </c>
      <c r="AP41" t="str">
        <f t="shared" si="3"/>
        <v>Jaden</v>
      </c>
      <c r="AQ41">
        <f t="shared" si="5"/>
        <v>2</v>
      </c>
      <c r="AR41">
        <f t="shared" si="5"/>
        <v>5</v>
      </c>
      <c r="AS41">
        <f t="shared" si="5"/>
        <v>1</v>
      </c>
      <c r="AT41" s="9">
        <f>IF((AQ41+AR41)&gt;10,AQ41/(AQ41+AR41),0)</f>
        <v>0</v>
      </c>
      <c r="AU41">
        <f t="shared" si="2"/>
        <v>16</v>
      </c>
    </row>
    <row r="42" spans="1:47" x14ac:dyDescent="0.2">
      <c r="A42" s="12" t="s">
        <v>534</v>
      </c>
      <c r="B42">
        <f>IF(ISNA(VLOOKUP($A42&amp;B$1,'For stats end Y DB'!$A:$G,2,0)),0,VLOOKUP($A42&amp;B$1,'For stats end Y DB'!$A:$G,2,0))</f>
        <v>0</v>
      </c>
      <c r="C42">
        <f>IF(ISNA(VLOOKUP($A42&amp;C$1,'For stats end Y DB'!$A:$G,2,0)),0,VLOOKUP($A42&amp;C$1,'For stats end Y DB'!$A:$G,2,0))</f>
        <v>0</v>
      </c>
      <c r="D42">
        <f>IF(ISNA(VLOOKUP($A42&amp;D$1,'For stats end Y DB'!$A:$G,2,0)),0,VLOOKUP($A42&amp;D$1,'For stats end Y DB'!$A:$G,2,0))</f>
        <v>2</v>
      </c>
      <c r="E42">
        <f>IF(ISNA(VLOOKUP($A42&amp;E$1,'For stats end Y DB'!$A:$G,2,0)),0,VLOOKUP($A42&amp;E$1,'For stats end Y DB'!$A:$G,2,0))</f>
        <v>3</v>
      </c>
      <c r="F42">
        <f>IF(ISNA(VLOOKUP($A42&amp;F$1,'For stats end Y DB'!$A:$G,2,0)),0,VLOOKUP($A42&amp;F$1,'For stats end Y DB'!$A:$G,2,0))</f>
        <v>3</v>
      </c>
      <c r="G42">
        <f>IF(ISNA(VLOOKUP($A42&amp;G$1,'For stats end Y DB'!$A:$G,2,0)),0,VLOOKUP($A42&amp;G$1,'For stats end Y DB'!$A:$G,2,0))</f>
        <v>1</v>
      </c>
      <c r="H42">
        <f>IF(ISNA(VLOOKUP($A42&amp;H$1,'For stats end Y DB'!$A:$G,2,0)),0,VLOOKUP($A42&amp;H$1,'For stats end Y DB'!$A:$G,2,0))</f>
        <v>3</v>
      </c>
      <c r="I42">
        <f>IF(ISNA(VLOOKUP($A42&amp;I$1,'For stats end Y DB'!$A:$G,2,0)),0,VLOOKUP($A42&amp;I$1,'For stats end Y DB'!$A:$G,2,0))</f>
        <v>3</v>
      </c>
      <c r="J42">
        <f>IF(ISNA(VLOOKUP($A42&amp;J$1,'For stats end Y DB'!$A:$G,2,0)),0,VLOOKUP($A42&amp;J$1,'For stats end Y DB'!$A:$G,2,0))</f>
        <v>2</v>
      </c>
      <c r="K42">
        <f>IF(ISNA(VLOOKUP($A42&amp;K$1,'For stats end Y DB'!$A:$G,2,0)),0,VLOOKUP($A42&amp;K$1,'For stats end Y DB'!$A:$G,2,0))</f>
        <v>2</v>
      </c>
      <c r="L42">
        <f>IF(ISNA(VLOOKUP($A42&amp;L$1,'For stats end Y DB'!$A:$G,2,0)),0,VLOOKUP($A42&amp;L$1,'For stats end Y DB'!$A:$G,2,0))</f>
        <v>1</v>
      </c>
      <c r="M42">
        <f>IF(ISNA(VLOOKUP($A42&amp;M$1,'For stats end Y DB'!$A:$G,2,0)),0,VLOOKUP($A42&amp;M$1,'For stats end Y DB'!$A:$G,2,0))</f>
        <v>6</v>
      </c>
      <c r="N42">
        <f>IF(ISNA(VLOOKUP($A42&amp;N$1,'For stats end Y DB'!$A:$G,2,0)),0,VLOOKUP($A42&amp;N$1,'For stats end Y DB'!$A:$G,2,0))</f>
        <v>3</v>
      </c>
      <c r="O42">
        <f>IF(ISNA(VLOOKUP($A42&amp;O$1,'For stats end Y DB'!$A:$G,2,0)),0,VLOOKUP($A42&amp;O$1,'For stats end Y DB'!$A:$G,2,0))</f>
        <v>2</v>
      </c>
      <c r="P42">
        <f>IF(ISNA(VLOOKUP($A42&amp;P$1,'For stats end Y DB'!$A:$G,2,0)),0,VLOOKUP($A42&amp;P$1,'For stats end Y DB'!$A:$G,2,0))</f>
        <v>3</v>
      </c>
      <c r="Q42">
        <f>IF(ISNA(VLOOKUP($A42&amp;Q$1,'For stats end Y DB'!$A:$G,2,0)),0,VLOOKUP($A42&amp;Q$1,'For stats end Y DB'!$A:$G,2,0))</f>
        <v>6</v>
      </c>
      <c r="R42">
        <f>IF(ISNA(VLOOKUP($A42&amp;R$1,'For stats end Y DB'!$A:$G,2,0)),0,VLOOKUP($A42&amp;R$1,'For stats end Y DB'!$A:$G,2,0))</f>
        <v>4</v>
      </c>
      <c r="S42">
        <f>IF(ISNA(VLOOKUP($A42&amp;S$1,'For stats end Y DB'!$A:$G,2,0)),0,VLOOKUP($A42&amp;S$1,'For stats end Y DB'!$A:$G,2,0))</f>
        <v>1</v>
      </c>
      <c r="T42">
        <f>IF(ISNA(VLOOKUP($A42&amp;T$1,'For stats end Y DB'!$A:$G,2,0)),0,VLOOKUP($A42&amp;T$1,'For stats end Y DB'!$A:$G,2,0))</f>
        <v>5</v>
      </c>
      <c r="U42">
        <f>IF(ISNA(VLOOKUP($A42&amp;U$1,'For stats end Y DB'!$A:$G,2,0)),0,VLOOKUP($A42&amp;U$1,'For stats end Y DB'!$A:$G,2,0))</f>
        <v>3</v>
      </c>
      <c r="V42">
        <f>IF(ISNA(VLOOKUP($A42&amp;V$1,'For stats end Y DB'!$A:$G,2,0)),0,VLOOKUP($A42&amp;V$1,'For stats end Y DB'!$A:$G,2,0))</f>
        <v>1</v>
      </c>
      <c r="W42">
        <f>IF(ISNA(VLOOKUP($A42&amp;W$1,'For stats end Y DB'!$A:$G,2,0)),0,VLOOKUP($A42&amp;W$1,'For stats end Y DB'!$A:$G,2,0))</f>
        <v>4</v>
      </c>
      <c r="X42">
        <f>IF(ISNA(VLOOKUP($A42&amp;X$1,'For stats end Y DB'!$A:$G,2,0)),0,VLOOKUP($A42&amp;X$1,'For stats end Y DB'!$A:$G,2,0))</f>
        <v>4</v>
      </c>
      <c r="Y42">
        <f>IF(ISNA(VLOOKUP($A42&amp;Y$1,'For stats end Y DB'!$A:$G,2,0)),0,VLOOKUP($A42&amp;Y$1,'For stats end Y DB'!$A:$G,2,0))</f>
        <v>2</v>
      </c>
      <c r="Z42">
        <f>IF(ISNA(VLOOKUP($A42&amp;Z$1,'For stats end Y DB'!$A:$G,2,0)),0,VLOOKUP($A42&amp;Z$1,'For stats end Y DB'!$A:$G,2,0))</f>
        <v>3</v>
      </c>
      <c r="AA42">
        <f>IF(ISNA(VLOOKUP($A42&amp;AA$1,'For stats end Y DB'!$A:$G,2,0)),0,VLOOKUP($A42&amp;AA$1,'For stats end Y DB'!$A:$G,2,0))</f>
        <v>6</v>
      </c>
      <c r="AB42">
        <f>IF(ISNA(VLOOKUP($A42&amp;AB$1,'For stats end Y DB'!$A:$G,2,0)),0,VLOOKUP($A42&amp;AB$1,'For stats end Y DB'!$A:$G,2,0))</f>
        <v>4</v>
      </c>
      <c r="AC42">
        <f>IF(ISNA(VLOOKUP($A42&amp;AC$1,'For stats end Y DB'!$A:$G,2,0)),0,VLOOKUP($A42&amp;AC$1,'For stats end Y DB'!$A:$G,2,0))</f>
        <v>2</v>
      </c>
      <c r="AD42">
        <f>IF(ISNA(VLOOKUP($A42&amp;AD$1,'For stats end Y DB'!$A:$G,2,0)),0,VLOOKUP($A42&amp;AD$1,'For stats end Y DB'!$A:$G,2,0))</f>
        <v>4</v>
      </c>
      <c r="AE42">
        <f>IF(ISNA(VLOOKUP($A42&amp;AE$1,'For stats end Y DB'!$A:$G,2,0)),0,VLOOKUP($A42&amp;AE$1,'For stats end Y DB'!$A:$G,2,0))</f>
        <v>6</v>
      </c>
      <c r="AF42">
        <f>IF(ISNA(VLOOKUP($A42&amp;AF$1,'For stats end Y DB'!$A:$G,2,0)),0,VLOOKUP($A42&amp;AF$1,'For stats end Y DB'!$A:$G,2,0))</f>
        <v>2</v>
      </c>
      <c r="AG42">
        <f>IF(ISNA(VLOOKUP($A42&amp;AG$1,'For stats end Y DB'!$A:$G,2,0)),0,VLOOKUP($A42&amp;AG$1,'For stats end Y DB'!$A:$G,2,0))</f>
        <v>2</v>
      </c>
      <c r="AH42">
        <f>IF(ISNA(VLOOKUP($A42&amp;AH$1,'For stats end Y DB'!$A:$G,2,0)),0,VLOOKUP($A42&amp;AH$1,'For stats end Y DB'!$A:$G,2,0))</f>
        <v>3</v>
      </c>
      <c r="AI42">
        <f>IF(ISNA(VLOOKUP($A42&amp;AI$1,'For stats end Y DB'!$A:$G,2,0)),0,VLOOKUP($A42&amp;AI$1,'For stats end Y DB'!$A:$G,2,0))</f>
        <v>0</v>
      </c>
      <c r="AJ42">
        <f>IF(ISNA(VLOOKUP($A42&amp;AJ$1,'For stats end Y DB'!$A:$G,2,0)),0,VLOOKUP($A42&amp;AJ$1,'For stats end Y DB'!$A:$G,2,0))</f>
        <v>0</v>
      </c>
      <c r="AK42">
        <f>IF(ISNA(VLOOKUP($A42&amp;AK$1,'For stats end Y DB'!$A:$G,2,0)),0,VLOOKUP($A42&amp;AK$1,'For stats end Y DB'!$A:$G,2,0))</f>
        <v>0</v>
      </c>
      <c r="AL42">
        <f>IF(ISNA(VLOOKUP($A42&amp;AL$1,'For stats end Y DB'!$A:$G,2,0)),0,VLOOKUP($A42&amp;AL$1,'For stats end Y DB'!$A:$G,2,0))</f>
        <v>0</v>
      </c>
      <c r="AM42">
        <f>IF(ISNA(VLOOKUP($A42&amp;AM$1,'For stats end Y DB'!$A:$G,2,0)),0,VLOOKUP($A42&amp;AM$1,'For stats end Y DB'!$A:$G,2,0))</f>
        <v>0</v>
      </c>
      <c r="AN42">
        <f>IF(ISNA(VLOOKUP($A42&amp;AN$1,'For stats end Y DB'!$A:$G,2,0)),0,VLOOKUP($A42&amp;AN$1,'For stats end Y DB'!$A:$G,2,0))</f>
        <v>0</v>
      </c>
      <c r="AP42" t="str">
        <f t="shared" si="3"/>
        <v>JC</v>
      </c>
      <c r="AQ42">
        <f t="shared" si="5"/>
        <v>4</v>
      </c>
      <c r="AR42">
        <f t="shared" si="5"/>
        <v>8</v>
      </c>
      <c r="AS42">
        <f t="shared" si="5"/>
        <v>9</v>
      </c>
      <c r="AT42" s="9">
        <f t="shared" ref="AT42:AT102" si="6">IF((AQ42+AR42)&gt;10,AQ42/(AQ42+AR42),0)</f>
        <v>0.33333333333333331</v>
      </c>
      <c r="AU42">
        <f t="shared" si="2"/>
        <v>31</v>
      </c>
    </row>
    <row r="43" spans="1:47" x14ac:dyDescent="0.2">
      <c r="A43" s="12" t="s">
        <v>35</v>
      </c>
      <c r="B43">
        <f>IF(ISNA(VLOOKUP($A43&amp;B$1,'For stats end Y DB'!$A:$G,2,0)),0,VLOOKUP($A43&amp;B$1,'For stats end Y DB'!$A:$G,2,0))</f>
        <v>1</v>
      </c>
      <c r="C43">
        <f>IF(ISNA(VLOOKUP($A43&amp;C$1,'For stats end Y DB'!$A:$G,2,0)),0,VLOOKUP($A43&amp;C$1,'For stats end Y DB'!$A:$G,2,0))</f>
        <v>7</v>
      </c>
      <c r="D43">
        <f>IF(ISNA(VLOOKUP($A43&amp;D$1,'For stats end Y DB'!$A:$G,2,0)),0,VLOOKUP($A43&amp;D$1,'For stats end Y DB'!$A:$G,2,0))</f>
        <v>3</v>
      </c>
      <c r="E43">
        <f>IF(ISNA(VLOOKUP($A43&amp;E$1,'For stats end Y DB'!$A:$G,2,0)),0,VLOOKUP($A43&amp;E$1,'For stats end Y DB'!$A:$G,2,0))</f>
        <v>7</v>
      </c>
      <c r="F43">
        <f>IF(ISNA(VLOOKUP($A43&amp;F$1,'For stats end Y DB'!$A:$G,2,0)),0,VLOOKUP($A43&amp;F$1,'For stats end Y DB'!$A:$G,2,0))</f>
        <v>3</v>
      </c>
      <c r="G43">
        <f>IF(ISNA(VLOOKUP($A43&amp;G$1,'For stats end Y DB'!$A:$G,2,0)),0,VLOOKUP($A43&amp;G$1,'For stats end Y DB'!$A:$G,2,0))</f>
        <v>2</v>
      </c>
      <c r="H43">
        <f>IF(ISNA(VLOOKUP($A43&amp;H$1,'For stats end Y DB'!$A:$G,2,0)),0,VLOOKUP($A43&amp;H$1,'For stats end Y DB'!$A:$G,2,0))</f>
        <v>0</v>
      </c>
      <c r="I43">
        <f>IF(ISNA(VLOOKUP($A43&amp;I$1,'For stats end Y DB'!$A:$G,2,0)),0,VLOOKUP($A43&amp;I$1,'For stats end Y DB'!$A:$G,2,0))</f>
        <v>1</v>
      </c>
      <c r="J43">
        <f>IF(ISNA(VLOOKUP($A43&amp;J$1,'For stats end Y DB'!$A:$G,2,0)),0,VLOOKUP($A43&amp;J$1,'For stats end Y DB'!$A:$G,2,0))</f>
        <v>2</v>
      </c>
      <c r="K43">
        <f>IF(ISNA(VLOOKUP($A43&amp;K$1,'For stats end Y DB'!$A:$G,2,0)),0,VLOOKUP($A43&amp;K$1,'For stats end Y DB'!$A:$G,2,0))</f>
        <v>6</v>
      </c>
      <c r="L43">
        <f>IF(ISNA(VLOOKUP($A43&amp;L$1,'For stats end Y DB'!$A:$G,2,0)),0,VLOOKUP($A43&amp;L$1,'For stats end Y DB'!$A:$G,2,0))</f>
        <v>1</v>
      </c>
      <c r="M43">
        <f>IF(ISNA(VLOOKUP($A43&amp;M$1,'For stats end Y DB'!$A:$G,2,0)),0,VLOOKUP($A43&amp;M$1,'For stats end Y DB'!$A:$G,2,0))</f>
        <v>4</v>
      </c>
      <c r="N43">
        <f>IF(ISNA(VLOOKUP($A43&amp;N$1,'For stats end Y DB'!$A:$G,2,0)),0,VLOOKUP($A43&amp;N$1,'For stats end Y DB'!$A:$G,2,0))</f>
        <v>2</v>
      </c>
      <c r="O43">
        <f>IF(ISNA(VLOOKUP($A43&amp;O$1,'For stats end Y DB'!$A:$G,2,0)),0,VLOOKUP($A43&amp;O$1,'For stats end Y DB'!$A:$G,2,0))</f>
        <v>3</v>
      </c>
      <c r="P43">
        <f>IF(ISNA(VLOOKUP($A43&amp;P$1,'For stats end Y DB'!$A:$G,2,0)),0,VLOOKUP($A43&amp;P$1,'For stats end Y DB'!$A:$G,2,0))</f>
        <v>7</v>
      </c>
      <c r="Q43">
        <f>IF(ISNA(VLOOKUP($A43&amp;Q$1,'For stats end Y DB'!$A:$G,2,0)),0,VLOOKUP($A43&amp;Q$1,'For stats end Y DB'!$A:$G,2,0))</f>
        <v>0</v>
      </c>
      <c r="R43">
        <f>IF(ISNA(VLOOKUP($A43&amp;R$1,'For stats end Y DB'!$A:$G,2,0)),0,VLOOKUP($A43&amp;R$1,'For stats end Y DB'!$A:$G,2,0))</f>
        <v>2</v>
      </c>
      <c r="S43">
        <f>IF(ISNA(VLOOKUP($A43&amp;S$1,'For stats end Y DB'!$A:$G,2,0)),0,VLOOKUP($A43&amp;S$1,'For stats end Y DB'!$A:$G,2,0))</f>
        <v>5</v>
      </c>
      <c r="T43">
        <f>IF(ISNA(VLOOKUP($A43&amp;T$1,'For stats end Y DB'!$A:$G,2,0)),0,VLOOKUP($A43&amp;T$1,'For stats end Y DB'!$A:$G,2,0))</f>
        <v>2</v>
      </c>
      <c r="U43">
        <f>IF(ISNA(VLOOKUP($A43&amp;U$1,'For stats end Y DB'!$A:$G,2,0)),0,VLOOKUP($A43&amp;U$1,'For stats end Y DB'!$A:$G,2,0))</f>
        <v>3</v>
      </c>
      <c r="V43">
        <f>IF(ISNA(VLOOKUP($A43&amp;V$1,'For stats end Y DB'!$A:$G,2,0)),0,VLOOKUP($A43&amp;V$1,'For stats end Y DB'!$A:$G,2,0))</f>
        <v>1</v>
      </c>
      <c r="W43">
        <f>IF(ISNA(VLOOKUP($A43&amp;W$1,'For stats end Y DB'!$A:$G,2,0)),0,VLOOKUP($A43&amp;W$1,'For stats end Y DB'!$A:$G,2,0))</f>
        <v>2</v>
      </c>
      <c r="X43">
        <f>IF(ISNA(VLOOKUP($A43&amp;X$1,'For stats end Y DB'!$A:$G,2,0)),0,VLOOKUP($A43&amp;X$1,'For stats end Y DB'!$A:$G,2,0))</f>
        <v>1</v>
      </c>
      <c r="Y43">
        <f>IF(ISNA(VLOOKUP($A43&amp;Y$1,'For stats end Y DB'!$A:$G,2,0)),0,VLOOKUP($A43&amp;Y$1,'For stats end Y DB'!$A:$G,2,0))</f>
        <v>7</v>
      </c>
      <c r="Z43">
        <f>IF(ISNA(VLOOKUP($A43&amp;Z$1,'For stats end Y DB'!$A:$G,2,0)),0,VLOOKUP($A43&amp;Z$1,'For stats end Y DB'!$A:$G,2,0))</f>
        <v>5</v>
      </c>
      <c r="AA43">
        <f>IF(ISNA(VLOOKUP($A43&amp;AA$1,'For stats end Y DB'!$A:$G,2,0)),0,VLOOKUP($A43&amp;AA$1,'For stats end Y DB'!$A:$G,2,0))</f>
        <v>2</v>
      </c>
      <c r="AB43">
        <f>IF(ISNA(VLOOKUP($A43&amp;AB$1,'For stats end Y DB'!$A:$G,2,0)),0,VLOOKUP($A43&amp;AB$1,'For stats end Y DB'!$A:$G,2,0))</f>
        <v>2</v>
      </c>
      <c r="AC43">
        <f>IF(ISNA(VLOOKUP($A43&amp;AC$1,'For stats end Y DB'!$A:$G,2,0)),0,VLOOKUP($A43&amp;AC$1,'For stats end Y DB'!$A:$G,2,0))</f>
        <v>5</v>
      </c>
      <c r="AD43">
        <f>IF(ISNA(VLOOKUP($A43&amp;AD$1,'For stats end Y DB'!$A:$G,2,0)),0,VLOOKUP($A43&amp;AD$1,'For stats end Y DB'!$A:$G,2,0))</f>
        <v>3</v>
      </c>
      <c r="AE43">
        <f>IF(ISNA(VLOOKUP($A43&amp;AE$1,'For stats end Y DB'!$A:$G,2,0)),0,VLOOKUP($A43&amp;AE$1,'For stats end Y DB'!$A:$G,2,0))</f>
        <v>5</v>
      </c>
      <c r="AF43">
        <f>IF(ISNA(VLOOKUP($A43&amp;AF$1,'For stats end Y DB'!$A:$G,2,0)),0,VLOOKUP($A43&amp;AF$1,'For stats end Y DB'!$A:$G,2,0))</f>
        <v>3</v>
      </c>
      <c r="AG43">
        <f>IF(ISNA(VLOOKUP($A43&amp;AG$1,'For stats end Y DB'!$A:$G,2,0)),0,VLOOKUP($A43&amp;AG$1,'For stats end Y DB'!$A:$G,2,0))</f>
        <v>6</v>
      </c>
      <c r="AH43">
        <f>IF(ISNA(VLOOKUP($A43&amp;AH$1,'For stats end Y DB'!$A:$G,2,0)),0,VLOOKUP($A43&amp;AH$1,'For stats end Y DB'!$A:$G,2,0))</f>
        <v>4</v>
      </c>
      <c r="AI43">
        <f>IF(ISNA(VLOOKUP($A43&amp;AI$1,'For stats end Y DB'!$A:$G,2,0)),0,VLOOKUP($A43&amp;AI$1,'For stats end Y DB'!$A:$G,2,0))</f>
        <v>0</v>
      </c>
      <c r="AJ43">
        <f>IF(ISNA(VLOOKUP($A43&amp;AJ$1,'For stats end Y DB'!$A:$G,2,0)),0,VLOOKUP($A43&amp;AJ$1,'For stats end Y DB'!$A:$G,2,0))</f>
        <v>0</v>
      </c>
      <c r="AK43">
        <f>IF(ISNA(VLOOKUP($A43&amp;AK$1,'For stats end Y DB'!$A:$G,2,0)),0,VLOOKUP($A43&amp;AK$1,'For stats end Y DB'!$A:$G,2,0))</f>
        <v>0</v>
      </c>
      <c r="AL43">
        <f>IF(ISNA(VLOOKUP($A43&amp;AL$1,'For stats end Y DB'!$A:$G,2,0)),0,VLOOKUP($A43&amp;AL$1,'For stats end Y DB'!$A:$G,2,0))</f>
        <v>0</v>
      </c>
      <c r="AM43">
        <f>IF(ISNA(VLOOKUP($A43&amp;AM$1,'For stats end Y DB'!$A:$G,2,0)),0,VLOOKUP($A43&amp;AM$1,'For stats end Y DB'!$A:$G,2,0))</f>
        <v>0</v>
      </c>
      <c r="AN43">
        <f>IF(ISNA(VLOOKUP($A43&amp;AN$1,'For stats end Y DB'!$A:$G,2,0)),0,VLOOKUP($A43&amp;AN$1,'For stats end Y DB'!$A:$G,2,0))</f>
        <v>0</v>
      </c>
      <c r="AP43" t="str">
        <f t="shared" si="3"/>
        <v>JeanMichelTiming</v>
      </c>
      <c r="AQ43">
        <f t="shared" si="5"/>
        <v>5</v>
      </c>
      <c r="AR43">
        <f t="shared" si="5"/>
        <v>8</v>
      </c>
      <c r="AS43">
        <f t="shared" si="5"/>
        <v>6</v>
      </c>
      <c r="AT43" s="9">
        <f t="shared" si="6"/>
        <v>0.38461538461538464</v>
      </c>
      <c r="AU43">
        <f t="shared" si="2"/>
        <v>31</v>
      </c>
    </row>
    <row r="44" spans="1:47" x14ac:dyDescent="0.2">
      <c r="A44" s="12" t="s">
        <v>258</v>
      </c>
      <c r="B44">
        <f>IF(ISNA(VLOOKUP($A44&amp;B$1,'For stats end Y DB'!$A:$G,2,0)),0,VLOOKUP($A44&amp;B$1,'For stats end Y DB'!$A:$G,2,0))</f>
        <v>0</v>
      </c>
      <c r="C44">
        <f>IF(ISNA(VLOOKUP($A44&amp;C$1,'For stats end Y DB'!$A:$G,2,0)),0,VLOOKUP($A44&amp;C$1,'For stats end Y DB'!$A:$G,2,0))</f>
        <v>0</v>
      </c>
      <c r="D44">
        <f>IF(ISNA(VLOOKUP($A44&amp;D$1,'For stats end Y DB'!$A:$G,2,0)),0,VLOOKUP($A44&amp;D$1,'For stats end Y DB'!$A:$G,2,0))</f>
        <v>0</v>
      </c>
      <c r="E44">
        <f>IF(ISNA(VLOOKUP($A44&amp;E$1,'For stats end Y DB'!$A:$G,2,0)),0,VLOOKUP($A44&amp;E$1,'For stats end Y DB'!$A:$G,2,0))</f>
        <v>0</v>
      </c>
      <c r="F44">
        <f>IF(ISNA(VLOOKUP($A44&amp;F$1,'For stats end Y DB'!$A:$G,2,0)),0,VLOOKUP($A44&amp;F$1,'For stats end Y DB'!$A:$G,2,0))</f>
        <v>0</v>
      </c>
      <c r="G44">
        <f>IF(ISNA(VLOOKUP($A44&amp;G$1,'For stats end Y DB'!$A:$G,2,0)),0,VLOOKUP($A44&amp;G$1,'For stats end Y DB'!$A:$G,2,0))</f>
        <v>0</v>
      </c>
      <c r="H44">
        <f>IF(ISNA(VLOOKUP($A44&amp;H$1,'For stats end Y DB'!$A:$G,2,0)),0,VLOOKUP($A44&amp;H$1,'For stats end Y DB'!$A:$G,2,0))</f>
        <v>0</v>
      </c>
      <c r="I44">
        <f>IF(ISNA(VLOOKUP($A44&amp;I$1,'For stats end Y DB'!$A:$G,2,0)),0,VLOOKUP($A44&amp;I$1,'For stats end Y DB'!$A:$G,2,0))</f>
        <v>0</v>
      </c>
      <c r="J44">
        <f>IF(ISNA(VLOOKUP($A44&amp;J$1,'For stats end Y DB'!$A:$G,2,0)),0,VLOOKUP($A44&amp;J$1,'For stats end Y DB'!$A:$G,2,0))</f>
        <v>0</v>
      </c>
      <c r="K44">
        <f>IF(ISNA(VLOOKUP($A44&amp;K$1,'For stats end Y DB'!$A:$G,2,0)),0,VLOOKUP($A44&amp;K$1,'For stats end Y DB'!$A:$G,2,0))</f>
        <v>0</v>
      </c>
      <c r="L44">
        <f>IF(ISNA(VLOOKUP($A44&amp;L$1,'For stats end Y DB'!$A:$G,2,0)),0,VLOOKUP($A44&amp;L$1,'For stats end Y DB'!$A:$G,2,0))</f>
        <v>0</v>
      </c>
      <c r="M44">
        <f>IF(ISNA(VLOOKUP($A44&amp;M$1,'For stats end Y DB'!$A:$G,2,0)),0,VLOOKUP($A44&amp;M$1,'For stats end Y DB'!$A:$G,2,0))</f>
        <v>5</v>
      </c>
      <c r="N44">
        <f>IF(ISNA(VLOOKUP($A44&amp;N$1,'For stats end Y DB'!$A:$G,2,0)),0,VLOOKUP($A44&amp;N$1,'For stats end Y DB'!$A:$G,2,0))</f>
        <v>0</v>
      </c>
      <c r="O44">
        <f>IF(ISNA(VLOOKUP($A44&amp;O$1,'For stats end Y DB'!$A:$G,2,0)),0,VLOOKUP($A44&amp;O$1,'For stats end Y DB'!$A:$G,2,0))</f>
        <v>0</v>
      </c>
      <c r="P44">
        <f>IF(ISNA(VLOOKUP($A44&amp;P$1,'For stats end Y DB'!$A:$G,2,0)),0,VLOOKUP($A44&amp;P$1,'For stats end Y DB'!$A:$G,2,0))</f>
        <v>0</v>
      </c>
      <c r="Q44">
        <f>IF(ISNA(VLOOKUP($A44&amp;Q$1,'For stats end Y DB'!$A:$G,2,0)),0,VLOOKUP($A44&amp;Q$1,'For stats end Y DB'!$A:$G,2,0))</f>
        <v>0</v>
      </c>
      <c r="R44">
        <f>IF(ISNA(VLOOKUP($A44&amp;R$1,'For stats end Y DB'!$A:$G,2,0)),0,VLOOKUP($A44&amp;R$1,'For stats end Y DB'!$A:$G,2,0))</f>
        <v>0</v>
      </c>
      <c r="S44">
        <f>IF(ISNA(VLOOKUP($A44&amp;S$1,'For stats end Y DB'!$A:$G,2,0)),0,VLOOKUP($A44&amp;S$1,'For stats end Y DB'!$A:$G,2,0))</f>
        <v>0</v>
      </c>
      <c r="T44">
        <f>IF(ISNA(VLOOKUP($A44&amp;T$1,'For stats end Y DB'!$A:$G,2,0)),0,VLOOKUP($A44&amp;T$1,'For stats end Y DB'!$A:$G,2,0))</f>
        <v>0</v>
      </c>
      <c r="U44">
        <f>IF(ISNA(VLOOKUP($A44&amp;U$1,'For stats end Y DB'!$A:$G,2,0)),0,VLOOKUP($A44&amp;U$1,'For stats end Y DB'!$A:$G,2,0))</f>
        <v>0</v>
      </c>
      <c r="V44">
        <f>IF(ISNA(VLOOKUP($A44&amp;V$1,'For stats end Y DB'!$A:$G,2,0)),0,VLOOKUP($A44&amp;V$1,'For stats end Y DB'!$A:$G,2,0))</f>
        <v>0</v>
      </c>
      <c r="W44">
        <f>IF(ISNA(VLOOKUP($A44&amp;W$1,'For stats end Y DB'!$A:$G,2,0)),0,VLOOKUP($A44&amp;W$1,'For stats end Y DB'!$A:$G,2,0))</f>
        <v>0</v>
      </c>
      <c r="X44">
        <f>IF(ISNA(VLOOKUP($A44&amp;X$1,'For stats end Y DB'!$A:$G,2,0)),0,VLOOKUP($A44&amp;X$1,'For stats end Y DB'!$A:$G,2,0))</f>
        <v>0</v>
      </c>
      <c r="Y44">
        <f>IF(ISNA(VLOOKUP($A44&amp;Y$1,'For stats end Y DB'!$A:$G,2,0)),0,VLOOKUP($A44&amp;Y$1,'For stats end Y DB'!$A:$G,2,0))</f>
        <v>0</v>
      </c>
      <c r="Z44">
        <f>IF(ISNA(VLOOKUP($A44&amp;Z$1,'For stats end Y DB'!$A:$G,2,0)),0,VLOOKUP($A44&amp;Z$1,'For stats end Y DB'!$A:$G,2,0))</f>
        <v>0</v>
      </c>
      <c r="AA44">
        <f>IF(ISNA(VLOOKUP($A44&amp;AA$1,'For stats end Y DB'!$A:$G,2,0)),0,VLOOKUP($A44&amp;AA$1,'For stats end Y DB'!$A:$G,2,0))</f>
        <v>0</v>
      </c>
      <c r="AB44">
        <f>IF(ISNA(VLOOKUP($A44&amp;AB$1,'For stats end Y DB'!$A:$G,2,0)),0,VLOOKUP($A44&amp;AB$1,'For stats end Y DB'!$A:$G,2,0))</f>
        <v>0</v>
      </c>
      <c r="AC44">
        <f>IF(ISNA(VLOOKUP($A44&amp;AC$1,'For stats end Y DB'!$A:$G,2,0)),0,VLOOKUP($A44&amp;AC$1,'For stats end Y DB'!$A:$G,2,0))</f>
        <v>0</v>
      </c>
      <c r="AD44">
        <f>IF(ISNA(VLOOKUP($A44&amp;AD$1,'For stats end Y DB'!$A:$G,2,0)),0,VLOOKUP($A44&amp;AD$1,'For stats end Y DB'!$A:$G,2,0))</f>
        <v>0</v>
      </c>
      <c r="AE44">
        <f>IF(ISNA(VLOOKUP($A44&amp;AE$1,'For stats end Y DB'!$A:$G,2,0)),0,VLOOKUP($A44&amp;AE$1,'For stats end Y DB'!$A:$G,2,0))</f>
        <v>0</v>
      </c>
      <c r="AF44">
        <f>IF(ISNA(VLOOKUP($A44&amp;AF$1,'For stats end Y DB'!$A:$G,2,0)),0,VLOOKUP($A44&amp;AF$1,'For stats end Y DB'!$A:$G,2,0))</f>
        <v>0</v>
      </c>
      <c r="AG44">
        <f>IF(ISNA(VLOOKUP($A44&amp;AG$1,'For stats end Y DB'!$A:$G,2,0)),0,VLOOKUP($A44&amp;AG$1,'For stats end Y DB'!$A:$G,2,0))</f>
        <v>0</v>
      </c>
      <c r="AH44">
        <f>IF(ISNA(VLOOKUP($A44&amp;AH$1,'For stats end Y DB'!$A:$G,2,0)),0,VLOOKUP($A44&amp;AH$1,'For stats end Y DB'!$A:$G,2,0))</f>
        <v>0</v>
      </c>
      <c r="AI44">
        <f>IF(ISNA(VLOOKUP($A44&amp;AI$1,'For stats end Y DB'!$A:$G,2,0)),0,VLOOKUP($A44&amp;AI$1,'For stats end Y DB'!$A:$G,2,0))</f>
        <v>0</v>
      </c>
      <c r="AJ44">
        <f>IF(ISNA(VLOOKUP($A44&amp;AJ$1,'For stats end Y DB'!$A:$G,2,0)),0,VLOOKUP($A44&amp;AJ$1,'For stats end Y DB'!$A:$G,2,0))</f>
        <v>0</v>
      </c>
      <c r="AK44">
        <f>IF(ISNA(VLOOKUP($A44&amp;AK$1,'For stats end Y DB'!$A:$G,2,0)),0,VLOOKUP($A44&amp;AK$1,'For stats end Y DB'!$A:$G,2,0))</f>
        <v>0</v>
      </c>
      <c r="AL44">
        <f>IF(ISNA(VLOOKUP($A44&amp;AL$1,'For stats end Y DB'!$A:$G,2,0)),0,VLOOKUP($A44&amp;AL$1,'For stats end Y DB'!$A:$G,2,0))</f>
        <v>0</v>
      </c>
      <c r="AM44">
        <f>IF(ISNA(VLOOKUP($A44&amp;AM$1,'For stats end Y DB'!$A:$G,2,0)),0,VLOOKUP($A44&amp;AM$1,'For stats end Y DB'!$A:$G,2,0))</f>
        <v>0</v>
      </c>
      <c r="AN44">
        <f>IF(ISNA(VLOOKUP($A44&amp;AN$1,'For stats end Y DB'!$A:$G,2,0)),0,VLOOKUP($A44&amp;AN$1,'For stats end Y DB'!$A:$G,2,0))</f>
        <v>0</v>
      </c>
      <c r="AP44" t="str">
        <f t="shared" si="3"/>
        <v>Jeremy</v>
      </c>
      <c r="AQ44">
        <f t="shared" si="5"/>
        <v>0</v>
      </c>
      <c r="AR44">
        <f t="shared" si="5"/>
        <v>0</v>
      </c>
      <c r="AS44">
        <f t="shared" si="5"/>
        <v>0</v>
      </c>
      <c r="AT44" s="9">
        <f t="shared" si="6"/>
        <v>0</v>
      </c>
      <c r="AU44">
        <f t="shared" si="2"/>
        <v>1</v>
      </c>
    </row>
    <row r="45" spans="1:47" x14ac:dyDescent="0.2">
      <c r="A45" s="12" t="s">
        <v>46</v>
      </c>
      <c r="B45">
        <f>IF(ISNA(VLOOKUP($A45&amp;B$1,'For stats end Y DB'!$A:$G,2,0)),0,VLOOKUP($A45&amp;B$1,'For stats end Y DB'!$A:$G,2,0))</f>
        <v>4</v>
      </c>
      <c r="C45">
        <f>IF(ISNA(VLOOKUP($A45&amp;C$1,'For stats end Y DB'!$A:$G,2,0)),0,VLOOKUP($A45&amp;C$1,'For stats end Y DB'!$A:$G,2,0))</f>
        <v>5</v>
      </c>
      <c r="D45">
        <f>IF(ISNA(VLOOKUP($A45&amp;D$1,'For stats end Y DB'!$A:$G,2,0)),0,VLOOKUP($A45&amp;D$1,'For stats end Y DB'!$A:$G,2,0))</f>
        <v>3</v>
      </c>
      <c r="E45">
        <f>IF(ISNA(VLOOKUP($A45&amp;E$1,'For stats end Y DB'!$A:$G,2,0)),0,VLOOKUP($A45&amp;E$1,'For stats end Y DB'!$A:$G,2,0))</f>
        <v>4</v>
      </c>
      <c r="F45">
        <f>IF(ISNA(VLOOKUP($A45&amp;F$1,'For stats end Y DB'!$A:$G,2,0)),0,VLOOKUP($A45&amp;F$1,'For stats end Y DB'!$A:$G,2,0))</f>
        <v>1</v>
      </c>
      <c r="G45">
        <f>IF(ISNA(VLOOKUP($A45&amp;G$1,'For stats end Y DB'!$A:$G,2,0)),0,VLOOKUP($A45&amp;G$1,'For stats end Y DB'!$A:$G,2,0))</f>
        <v>5</v>
      </c>
      <c r="H45">
        <f>IF(ISNA(VLOOKUP($A45&amp;H$1,'For stats end Y DB'!$A:$G,2,0)),0,VLOOKUP($A45&amp;H$1,'For stats end Y DB'!$A:$G,2,0))</f>
        <v>3</v>
      </c>
      <c r="I45">
        <f>IF(ISNA(VLOOKUP($A45&amp;I$1,'For stats end Y DB'!$A:$G,2,0)),0,VLOOKUP($A45&amp;I$1,'For stats end Y DB'!$A:$G,2,0))</f>
        <v>4</v>
      </c>
      <c r="J45">
        <f>IF(ISNA(VLOOKUP($A45&amp;J$1,'For stats end Y DB'!$A:$G,2,0)),0,VLOOKUP($A45&amp;J$1,'For stats end Y DB'!$A:$G,2,0))</f>
        <v>1</v>
      </c>
      <c r="K45">
        <f>IF(ISNA(VLOOKUP($A45&amp;K$1,'For stats end Y DB'!$A:$G,2,0)),0,VLOOKUP($A45&amp;K$1,'For stats end Y DB'!$A:$G,2,0))</f>
        <v>1</v>
      </c>
      <c r="L45">
        <f>IF(ISNA(VLOOKUP($A45&amp;L$1,'For stats end Y DB'!$A:$G,2,0)),0,VLOOKUP($A45&amp;L$1,'For stats end Y DB'!$A:$G,2,0))</f>
        <v>2</v>
      </c>
      <c r="M45">
        <f>IF(ISNA(VLOOKUP($A45&amp;M$1,'For stats end Y DB'!$A:$G,2,0)),0,VLOOKUP($A45&amp;M$1,'For stats end Y DB'!$A:$G,2,0))</f>
        <v>6</v>
      </c>
      <c r="N45">
        <f>IF(ISNA(VLOOKUP($A45&amp;N$1,'For stats end Y DB'!$A:$G,2,0)),0,VLOOKUP($A45&amp;N$1,'For stats end Y DB'!$A:$G,2,0))</f>
        <v>5</v>
      </c>
      <c r="O45">
        <f>IF(ISNA(VLOOKUP($A45&amp;O$1,'For stats end Y DB'!$A:$G,2,0)),0,VLOOKUP($A45&amp;O$1,'For stats end Y DB'!$A:$G,2,0))</f>
        <v>2</v>
      </c>
      <c r="P45">
        <f>IF(ISNA(VLOOKUP($A45&amp;P$1,'For stats end Y DB'!$A:$G,2,0)),0,VLOOKUP($A45&amp;P$1,'For stats end Y DB'!$A:$G,2,0))</f>
        <v>1</v>
      </c>
      <c r="Q45">
        <f>IF(ISNA(VLOOKUP($A45&amp;Q$1,'For stats end Y DB'!$A:$G,2,0)),0,VLOOKUP($A45&amp;Q$1,'For stats end Y DB'!$A:$G,2,0))</f>
        <v>1</v>
      </c>
      <c r="R45">
        <f>IF(ISNA(VLOOKUP($A45&amp;R$1,'For stats end Y DB'!$A:$G,2,0)),0,VLOOKUP($A45&amp;R$1,'For stats end Y DB'!$A:$G,2,0))</f>
        <v>3</v>
      </c>
      <c r="S45">
        <f>IF(ISNA(VLOOKUP($A45&amp;S$1,'For stats end Y DB'!$A:$G,2,0)),0,VLOOKUP($A45&amp;S$1,'For stats end Y DB'!$A:$G,2,0))</f>
        <v>6</v>
      </c>
      <c r="T45">
        <f>IF(ISNA(VLOOKUP($A45&amp;T$1,'For stats end Y DB'!$A:$G,2,0)),0,VLOOKUP($A45&amp;T$1,'For stats end Y DB'!$A:$G,2,0))</f>
        <v>4</v>
      </c>
      <c r="U45">
        <f>IF(ISNA(VLOOKUP($A45&amp;U$1,'For stats end Y DB'!$A:$G,2,0)),0,VLOOKUP($A45&amp;U$1,'For stats end Y DB'!$A:$G,2,0))</f>
        <v>1</v>
      </c>
      <c r="V45">
        <f>IF(ISNA(VLOOKUP($A45&amp;V$1,'For stats end Y DB'!$A:$G,2,0)),0,VLOOKUP($A45&amp;V$1,'For stats end Y DB'!$A:$G,2,0))</f>
        <v>4</v>
      </c>
      <c r="W45">
        <f>IF(ISNA(VLOOKUP($A45&amp;W$1,'For stats end Y DB'!$A:$G,2,0)),0,VLOOKUP($A45&amp;W$1,'For stats end Y DB'!$A:$G,2,0))</f>
        <v>6</v>
      </c>
      <c r="X45">
        <f>IF(ISNA(VLOOKUP($A45&amp;X$1,'For stats end Y DB'!$A:$G,2,0)),0,VLOOKUP($A45&amp;X$1,'For stats end Y DB'!$A:$G,2,0))</f>
        <v>5</v>
      </c>
      <c r="Y45">
        <f>IF(ISNA(VLOOKUP($A45&amp;Y$1,'For stats end Y DB'!$A:$G,2,0)),0,VLOOKUP($A45&amp;Y$1,'For stats end Y DB'!$A:$G,2,0))</f>
        <v>1</v>
      </c>
      <c r="Z45">
        <f>IF(ISNA(VLOOKUP($A45&amp;Z$1,'For stats end Y DB'!$A:$G,2,0)),0,VLOOKUP($A45&amp;Z$1,'For stats end Y DB'!$A:$G,2,0))</f>
        <v>3</v>
      </c>
      <c r="AA45">
        <f>IF(ISNA(VLOOKUP($A45&amp;AA$1,'For stats end Y DB'!$A:$G,2,0)),0,VLOOKUP($A45&amp;AA$1,'For stats end Y DB'!$A:$G,2,0))</f>
        <v>5</v>
      </c>
      <c r="AB45">
        <f>IF(ISNA(VLOOKUP($A45&amp;AB$1,'For stats end Y DB'!$A:$G,2,0)),0,VLOOKUP($A45&amp;AB$1,'For stats end Y DB'!$A:$G,2,0))</f>
        <v>3</v>
      </c>
      <c r="AC45">
        <f>IF(ISNA(VLOOKUP($A45&amp;AC$1,'For stats end Y DB'!$A:$G,2,0)),0,VLOOKUP($A45&amp;AC$1,'For stats end Y DB'!$A:$G,2,0))</f>
        <v>4</v>
      </c>
      <c r="AD45">
        <f>IF(ISNA(VLOOKUP($A45&amp;AD$1,'For stats end Y DB'!$A:$G,2,0)),0,VLOOKUP($A45&amp;AD$1,'For stats end Y DB'!$A:$G,2,0))</f>
        <v>5</v>
      </c>
      <c r="AE45">
        <f>IF(ISNA(VLOOKUP($A45&amp;AE$1,'For stats end Y DB'!$A:$G,2,0)),0,VLOOKUP($A45&amp;AE$1,'For stats end Y DB'!$A:$G,2,0))</f>
        <v>4</v>
      </c>
      <c r="AF45">
        <f>IF(ISNA(VLOOKUP($A45&amp;AF$1,'For stats end Y DB'!$A:$G,2,0)),0,VLOOKUP($A45&amp;AF$1,'For stats end Y DB'!$A:$G,2,0))</f>
        <v>3</v>
      </c>
      <c r="AG45">
        <f>IF(ISNA(VLOOKUP($A45&amp;AG$1,'For stats end Y DB'!$A:$G,2,0)),0,VLOOKUP($A45&amp;AG$1,'For stats end Y DB'!$A:$G,2,0))</f>
        <v>4</v>
      </c>
      <c r="AH45">
        <f>IF(ISNA(VLOOKUP($A45&amp;AH$1,'For stats end Y DB'!$A:$G,2,0)),0,VLOOKUP($A45&amp;AH$1,'For stats end Y DB'!$A:$G,2,0))</f>
        <v>2</v>
      </c>
      <c r="AI45">
        <f>IF(ISNA(VLOOKUP($A45&amp;AI$1,'For stats end Y DB'!$A:$G,2,0)),0,VLOOKUP($A45&amp;AI$1,'For stats end Y DB'!$A:$G,2,0))</f>
        <v>0</v>
      </c>
      <c r="AJ45">
        <f>IF(ISNA(VLOOKUP($A45&amp;AJ$1,'For stats end Y DB'!$A:$G,2,0)),0,VLOOKUP($A45&amp;AJ$1,'For stats end Y DB'!$A:$G,2,0))</f>
        <v>0</v>
      </c>
      <c r="AK45">
        <f>IF(ISNA(VLOOKUP($A45&amp;AK$1,'For stats end Y DB'!$A:$G,2,0)),0,VLOOKUP($A45&amp;AK$1,'For stats end Y DB'!$A:$G,2,0))</f>
        <v>0</v>
      </c>
      <c r="AL45">
        <f>IF(ISNA(VLOOKUP($A45&amp;AL$1,'For stats end Y DB'!$A:$G,2,0)),0,VLOOKUP($A45&amp;AL$1,'For stats end Y DB'!$A:$G,2,0))</f>
        <v>0</v>
      </c>
      <c r="AM45">
        <f>IF(ISNA(VLOOKUP($A45&amp;AM$1,'For stats end Y DB'!$A:$G,2,0)),0,VLOOKUP($A45&amp;AM$1,'For stats end Y DB'!$A:$G,2,0))</f>
        <v>0</v>
      </c>
      <c r="AN45">
        <f>IF(ISNA(VLOOKUP($A45&amp;AN$1,'For stats end Y DB'!$A:$G,2,0)),0,VLOOKUP($A45&amp;AN$1,'For stats end Y DB'!$A:$G,2,0))</f>
        <v>0</v>
      </c>
      <c r="AP45" t="str">
        <f t="shared" si="3"/>
        <v>Jérôme</v>
      </c>
      <c r="AQ45">
        <f t="shared" si="5"/>
        <v>7</v>
      </c>
      <c r="AR45">
        <f t="shared" si="5"/>
        <v>3</v>
      </c>
      <c r="AS45">
        <f t="shared" si="5"/>
        <v>6</v>
      </c>
      <c r="AT45" s="9">
        <f t="shared" si="6"/>
        <v>0</v>
      </c>
      <c r="AU45">
        <f t="shared" si="2"/>
        <v>33</v>
      </c>
    </row>
    <row r="46" spans="1:47" x14ac:dyDescent="0.2">
      <c r="A46" s="12" t="s">
        <v>514</v>
      </c>
      <c r="B46">
        <f>IF(ISNA(VLOOKUP($A46&amp;B$1,'For stats end Y DB'!$A:$G,2,0)),0,VLOOKUP($A46&amp;B$1,'For stats end Y DB'!$A:$G,2,0))</f>
        <v>5</v>
      </c>
      <c r="C46">
        <f>IF(ISNA(VLOOKUP($A46&amp;C$1,'For stats end Y DB'!$A:$G,2,0)),0,VLOOKUP($A46&amp;C$1,'For stats end Y DB'!$A:$G,2,0))</f>
        <v>0</v>
      </c>
      <c r="D46">
        <f>IF(ISNA(VLOOKUP($A46&amp;D$1,'For stats end Y DB'!$A:$G,2,0)),0,VLOOKUP($A46&amp;D$1,'For stats end Y DB'!$A:$G,2,0))</f>
        <v>0</v>
      </c>
      <c r="E46">
        <f>IF(ISNA(VLOOKUP($A46&amp;E$1,'For stats end Y DB'!$A:$G,2,0)),0,VLOOKUP($A46&amp;E$1,'For stats end Y DB'!$A:$G,2,0))</f>
        <v>0</v>
      </c>
      <c r="F46">
        <f>IF(ISNA(VLOOKUP($A46&amp;F$1,'For stats end Y DB'!$A:$G,2,0)),0,VLOOKUP($A46&amp;F$1,'For stats end Y DB'!$A:$G,2,0))</f>
        <v>0</v>
      </c>
      <c r="G46">
        <f>IF(ISNA(VLOOKUP($A46&amp;G$1,'For stats end Y DB'!$A:$G,2,0)),0,VLOOKUP($A46&amp;G$1,'For stats end Y DB'!$A:$G,2,0))</f>
        <v>0</v>
      </c>
      <c r="H46">
        <f>IF(ISNA(VLOOKUP($A46&amp;H$1,'For stats end Y DB'!$A:$G,2,0)),0,VLOOKUP($A46&amp;H$1,'For stats end Y DB'!$A:$G,2,0))</f>
        <v>0</v>
      </c>
      <c r="I46">
        <f>IF(ISNA(VLOOKUP($A46&amp;I$1,'For stats end Y DB'!$A:$G,2,0)),0,VLOOKUP($A46&amp;I$1,'For stats end Y DB'!$A:$G,2,0))</f>
        <v>0</v>
      </c>
      <c r="J46">
        <f>IF(ISNA(VLOOKUP($A46&amp;J$1,'For stats end Y DB'!$A:$G,2,0)),0,VLOOKUP($A46&amp;J$1,'For stats end Y DB'!$A:$G,2,0))</f>
        <v>0</v>
      </c>
      <c r="K46">
        <f>IF(ISNA(VLOOKUP($A46&amp;K$1,'For stats end Y DB'!$A:$G,2,0)),0,VLOOKUP($A46&amp;K$1,'For stats end Y DB'!$A:$G,2,0))</f>
        <v>0</v>
      </c>
      <c r="L46">
        <f>IF(ISNA(VLOOKUP($A46&amp;L$1,'For stats end Y DB'!$A:$G,2,0)),0,VLOOKUP($A46&amp;L$1,'For stats end Y DB'!$A:$G,2,0))</f>
        <v>0</v>
      </c>
      <c r="M46">
        <f>IF(ISNA(VLOOKUP($A46&amp;M$1,'For stats end Y DB'!$A:$G,2,0)),0,VLOOKUP($A46&amp;M$1,'For stats end Y DB'!$A:$G,2,0))</f>
        <v>0</v>
      </c>
      <c r="N46">
        <f>IF(ISNA(VLOOKUP($A46&amp;N$1,'For stats end Y DB'!$A:$G,2,0)),0,VLOOKUP($A46&amp;N$1,'For stats end Y DB'!$A:$G,2,0))</f>
        <v>0</v>
      </c>
      <c r="O46">
        <f>IF(ISNA(VLOOKUP($A46&amp;O$1,'For stats end Y DB'!$A:$G,2,0)),0,VLOOKUP($A46&amp;O$1,'For stats end Y DB'!$A:$G,2,0))</f>
        <v>0</v>
      </c>
      <c r="P46">
        <f>IF(ISNA(VLOOKUP($A46&amp;P$1,'For stats end Y DB'!$A:$G,2,0)),0,VLOOKUP($A46&amp;P$1,'For stats end Y DB'!$A:$G,2,0))</f>
        <v>0</v>
      </c>
      <c r="Q46">
        <f>IF(ISNA(VLOOKUP($A46&amp;Q$1,'For stats end Y DB'!$A:$G,2,0)),0,VLOOKUP($A46&amp;Q$1,'For stats end Y DB'!$A:$G,2,0))</f>
        <v>0</v>
      </c>
      <c r="R46">
        <f>IF(ISNA(VLOOKUP($A46&amp;R$1,'For stats end Y DB'!$A:$G,2,0)),0,VLOOKUP($A46&amp;R$1,'For stats end Y DB'!$A:$G,2,0))</f>
        <v>0</v>
      </c>
      <c r="S46">
        <f>IF(ISNA(VLOOKUP($A46&amp;S$1,'For stats end Y DB'!$A:$G,2,0)),0,VLOOKUP($A46&amp;S$1,'For stats end Y DB'!$A:$G,2,0))</f>
        <v>0</v>
      </c>
      <c r="T46">
        <f>IF(ISNA(VLOOKUP($A46&amp;T$1,'For stats end Y DB'!$A:$G,2,0)),0,VLOOKUP($A46&amp;T$1,'For stats end Y DB'!$A:$G,2,0))</f>
        <v>0</v>
      </c>
      <c r="U46">
        <f>IF(ISNA(VLOOKUP($A46&amp;U$1,'For stats end Y DB'!$A:$G,2,0)),0,VLOOKUP($A46&amp;U$1,'For stats end Y DB'!$A:$G,2,0))</f>
        <v>0</v>
      </c>
      <c r="V46">
        <f>IF(ISNA(VLOOKUP($A46&amp;V$1,'For stats end Y DB'!$A:$G,2,0)),0,VLOOKUP($A46&amp;V$1,'For stats end Y DB'!$A:$G,2,0))</f>
        <v>0</v>
      </c>
      <c r="W46">
        <f>IF(ISNA(VLOOKUP($A46&amp;W$1,'For stats end Y DB'!$A:$G,2,0)),0,VLOOKUP($A46&amp;W$1,'For stats end Y DB'!$A:$G,2,0))</f>
        <v>0</v>
      </c>
      <c r="X46">
        <f>IF(ISNA(VLOOKUP($A46&amp;X$1,'For stats end Y DB'!$A:$G,2,0)),0,VLOOKUP($A46&amp;X$1,'For stats end Y DB'!$A:$G,2,0))</f>
        <v>0</v>
      </c>
      <c r="Y46">
        <f>IF(ISNA(VLOOKUP($A46&amp;Y$1,'For stats end Y DB'!$A:$G,2,0)),0,VLOOKUP($A46&amp;Y$1,'For stats end Y DB'!$A:$G,2,0))</f>
        <v>0</v>
      </c>
      <c r="Z46">
        <f>IF(ISNA(VLOOKUP($A46&amp;Z$1,'For stats end Y DB'!$A:$G,2,0)),0,VLOOKUP($A46&amp;Z$1,'For stats end Y DB'!$A:$G,2,0))</f>
        <v>0</v>
      </c>
      <c r="AA46">
        <f>IF(ISNA(VLOOKUP($A46&amp;AA$1,'For stats end Y DB'!$A:$G,2,0)),0,VLOOKUP($A46&amp;AA$1,'For stats end Y DB'!$A:$G,2,0))</f>
        <v>0</v>
      </c>
      <c r="AB46">
        <f>IF(ISNA(VLOOKUP($A46&amp;AB$1,'For stats end Y DB'!$A:$G,2,0)),0,VLOOKUP($A46&amp;AB$1,'For stats end Y DB'!$A:$G,2,0))</f>
        <v>0</v>
      </c>
      <c r="AC46">
        <f>IF(ISNA(VLOOKUP($A46&amp;AC$1,'For stats end Y DB'!$A:$G,2,0)),0,VLOOKUP($A46&amp;AC$1,'For stats end Y DB'!$A:$G,2,0))</f>
        <v>0</v>
      </c>
      <c r="AD46">
        <f>IF(ISNA(VLOOKUP($A46&amp;AD$1,'For stats end Y DB'!$A:$G,2,0)),0,VLOOKUP($A46&amp;AD$1,'For stats end Y DB'!$A:$G,2,0))</f>
        <v>0</v>
      </c>
      <c r="AE46">
        <f>IF(ISNA(VLOOKUP($A46&amp;AE$1,'For stats end Y DB'!$A:$G,2,0)),0,VLOOKUP($A46&amp;AE$1,'For stats end Y DB'!$A:$G,2,0))</f>
        <v>0</v>
      </c>
      <c r="AF46">
        <f>IF(ISNA(VLOOKUP($A46&amp;AF$1,'For stats end Y DB'!$A:$G,2,0)),0,VLOOKUP($A46&amp;AF$1,'For stats end Y DB'!$A:$G,2,0))</f>
        <v>0</v>
      </c>
      <c r="AG46">
        <f>IF(ISNA(VLOOKUP($A46&amp;AG$1,'For stats end Y DB'!$A:$G,2,0)),0,VLOOKUP($A46&amp;AG$1,'For stats end Y DB'!$A:$G,2,0))</f>
        <v>0</v>
      </c>
      <c r="AH46">
        <f>IF(ISNA(VLOOKUP($A46&amp;AH$1,'For stats end Y DB'!$A:$G,2,0)),0,VLOOKUP($A46&amp;AH$1,'For stats end Y DB'!$A:$G,2,0))</f>
        <v>0</v>
      </c>
      <c r="AI46">
        <f>IF(ISNA(VLOOKUP($A46&amp;AI$1,'For stats end Y DB'!$A:$G,2,0)),0,VLOOKUP($A46&amp;AI$1,'For stats end Y DB'!$A:$G,2,0))</f>
        <v>0</v>
      </c>
      <c r="AJ46">
        <f>IF(ISNA(VLOOKUP($A46&amp;AJ$1,'For stats end Y DB'!$A:$G,2,0)),0,VLOOKUP($A46&amp;AJ$1,'For stats end Y DB'!$A:$G,2,0))</f>
        <v>0</v>
      </c>
      <c r="AK46">
        <f>IF(ISNA(VLOOKUP($A46&amp;AK$1,'For stats end Y DB'!$A:$G,2,0)),0,VLOOKUP($A46&amp;AK$1,'For stats end Y DB'!$A:$G,2,0))</f>
        <v>0</v>
      </c>
      <c r="AL46">
        <f>IF(ISNA(VLOOKUP($A46&amp;AL$1,'For stats end Y DB'!$A:$G,2,0)),0,VLOOKUP($A46&amp;AL$1,'For stats end Y DB'!$A:$G,2,0))</f>
        <v>0</v>
      </c>
      <c r="AM46">
        <f>IF(ISNA(VLOOKUP($A46&amp;AM$1,'For stats end Y DB'!$A:$G,2,0)),0,VLOOKUP($A46&amp;AM$1,'For stats end Y DB'!$A:$G,2,0))</f>
        <v>0</v>
      </c>
      <c r="AN46">
        <f>IF(ISNA(VLOOKUP($A46&amp;AN$1,'For stats end Y DB'!$A:$G,2,0)),0,VLOOKUP($A46&amp;AN$1,'For stats end Y DB'!$A:$G,2,0))</f>
        <v>0</v>
      </c>
      <c r="AP46" t="str">
        <f t="shared" si="3"/>
        <v>Joic</v>
      </c>
      <c r="AQ46">
        <f t="shared" si="5"/>
        <v>0</v>
      </c>
      <c r="AR46">
        <f t="shared" si="5"/>
        <v>0</v>
      </c>
      <c r="AS46">
        <f t="shared" si="5"/>
        <v>0</v>
      </c>
      <c r="AT46" s="9">
        <f t="shared" si="6"/>
        <v>0</v>
      </c>
      <c r="AU46">
        <f t="shared" si="2"/>
        <v>1</v>
      </c>
    </row>
    <row r="47" spans="1:47" x14ac:dyDescent="0.2">
      <c r="A47" s="12" t="s">
        <v>527</v>
      </c>
      <c r="B47">
        <f>IF(ISNA(VLOOKUP($A47&amp;B$1,'For stats end Y DB'!$A:$G,2,0)),0,VLOOKUP($A47&amp;B$1,'For stats end Y DB'!$A:$G,2,0))</f>
        <v>0</v>
      </c>
      <c r="C47">
        <f>IF(ISNA(VLOOKUP($A47&amp;C$1,'For stats end Y DB'!$A:$G,2,0)),0,VLOOKUP($A47&amp;C$1,'For stats end Y DB'!$A:$G,2,0))</f>
        <v>3</v>
      </c>
      <c r="D47">
        <f>IF(ISNA(VLOOKUP($A47&amp;D$1,'For stats end Y DB'!$A:$G,2,0)),0,VLOOKUP($A47&amp;D$1,'For stats end Y DB'!$A:$G,2,0))</f>
        <v>5</v>
      </c>
      <c r="E47">
        <f>IF(ISNA(VLOOKUP($A47&amp;E$1,'For stats end Y DB'!$A:$G,2,0)),0,VLOOKUP($A47&amp;E$1,'For stats end Y DB'!$A:$G,2,0))</f>
        <v>7</v>
      </c>
      <c r="F47">
        <f>IF(ISNA(VLOOKUP($A47&amp;F$1,'For stats end Y DB'!$A:$G,2,0)),0,VLOOKUP($A47&amp;F$1,'For stats end Y DB'!$A:$G,2,0))</f>
        <v>5</v>
      </c>
      <c r="G47">
        <f>IF(ISNA(VLOOKUP($A47&amp;G$1,'For stats end Y DB'!$A:$G,2,0)),0,VLOOKUP($A47&amp;G$1,'For stats end Y DB'!$A:$G,2,0))</f>
        <v>0</v>
      </c>
      <c r="H47">
        <f>IF(ISNA(VLOOKUP($A47&amp;H$1,'For stats end Y DB'!$A:$G,2,0)),0,VLOOKUP($A47&amp;H$1,'For stats end Y DB'!$A:$G,2,0))</f>
        <v>6</v>
      </c>
      <c r="I47">
        <f>IF(ISNA(VLOOKUP($A47&amp;I$1,'For stats end Y DB'!$A:$G,2,0)),0,VLOOKUP($A47&amp;I$1,'For stats end Y DB'!$A:$G,2,0))</f>
        <v>6</v>
      </c>
      <c r="J47">
        <f>IF(ISNA(VLOOKUP($A47&amp;J$1,'For stats end Y DB'!$A:$G,2,0)),0,VLOOKUP($A47&amp;J$1,'For stats end Y DB'!$A:$G,2,0))</f>
        <v>0</v>
      </c>
      <c r="K47">
        <f>IF(ISNA(VLOOKUP($A47&amp;K$1,'For stats end Y DB'!$A:$G,2,0)),0,VLOOKUP($A47&amp;K$1,'For stats end Y DB'!$A:$G,2,0))</f>
        <v>0</v>
      </c>
      <c r="L47">
        <f>IF(ISNA(VLOOKUP($A47&amp;L$1,'For stats end Y DB'!$A:$G,2,0)),0,VLOOKUP($A47&amp;L$1,'For stats end Y DB'!$A:$G,2,0))</f>
        <v>0</v>
      </c>
      <c r="M47">
        <f>IF(ISNA(VLOOKUP($A47&amp;M$1,'For stats end Y DB'!$A:$G,2,0)),0,VLOOKUP($A47&amp;M$1,'For stats end Y DB'!$A:$G,2,0))</f>
        <v>0</v>
      </c>
      <c r="N47">
        <f>IF(ISNA(VLOOKUP($A47&amp;N$1,'For stats end Y DB'!$A:$G,2,0)),0,VLOOKUP($A47&amp;N$1,'For stats end Y DB'!$A:$G,2,0))</f>
        <v>1</v>
      </c>
      <c r="O47">
        <f>IF(ISNA(VLOOKUP($A47&amp;O$1,'For stats end Y DB'!$A:$G,2,0)),0,VLOOKUP($A47&amp;O$1,'For stats end Y DB'!$A:$G,2,0))</f>
        <v>0</v>
      </c>
      <c r="P47">
        <f>IF(ISNA(VLOOKUP($A47&amp;P$1,'For stats end Y DB'!$A:$G,2,0)),0,VLOOKUP($A47&amp;P$1,'For stats end Y DB'!$A:$G,2,0))</f>
        <v>0</v>
      </c>
      <c r="Q47">
        <f>IF(ISNA(VLOOKUP($A47&amp;Q$1,'For stats end Y DB'!$A:$G,2,0)),0,VLOOKUP($A47&amp;Q$1,'For stats end Y DB'!$A:$G,2,0))</f>
        <v>0</v>
      </c>
      <c r="R47">
        <f>IF(ISNA(VLOOKUP($A47&amp;R$1,'For stats end Y DB'!$A:$G,2,0)),0,VLOOKUP($A47&amp;R$1,'For stats end Y DB'!$A:$G,2,0))</f>
        <v>0</v>
      </c>
      <c r="S47">
        <f>IF(ISNA(VLOOKUP($A47&amp;S$1,'For stats end Y DB'!$A:$G,2,0)),0,VLOOKUP($A47&amp;S$1,'For stats end Y DB'!$A:$G,2,0))</f>
        <v>0</v>
      </c>
      <c r="T47">
        <f>IF(ISNA(VLOOKUP($A47&amp;T$1,'For stats end Y DB'!$A:$G,2,0)),0,VLOOKUP($A47&amp;T$1,'For stats end Y DB'!$A:$G,2,0))</f>
        <v>0</v>
      </c>
      <c r="U47">
        <f>IF(ISNA(VLOOKUP($A47&amp;U$1,'For stats end Y DB'!$A:$G,2,0)),0,VLOOKUP($A47&amp;U$1,'For stats end Y DB'!$A:$G,2,0))</f>
        <v>0</v>
      </c>
      <c r="V47">
        <f>IF(ISNA(VLOOKUP($A47&amp;V$1,'For stats end Y DB'!$A:$G,2,0)),0,VLOOKUP($A47&amp;V$1,'For stats end Y DB'!$A:$G,2,0))</f>
        <v>0</v>
      </c>
      <c r="W47">
        <f>IF(ISNA(VLOOKUP($A47&amp;W$1,'For stats end Y DB'!$A:$G,2,0)),0,VLOOKUP($A47&amp;W$1,'For stats end Y DB'!$A:$G,2,0))</f>
        <v>0</v>
      </c>
      <c r="X47">
        <f>IF(ISNA(VLOOKUP($A47&amp;X$1,'For stats end Y DB'!$A:$G,2,0)),0,VLOOKUP($A47&amp;X$1,'For stats end Y DB'!$A:$G,2,0))</f>
        <v>0</v>
      </c>
      <c r="Y47">
        <f>IF(ISNA(VLOOKUP($A47&amp;Y$1,'For stats end Y DB'!$A:$G,2,0)),0,VLOOKUP($A47&amp;Y$1,'For stats end Y DB'!$A:$G,2,0))</f>
        <v>0</v>
      </c>
      <c r="Z47">
        <f>IF(ISNA(VLOOKUP($A47&amp;Z$1,'For stats end Y DB'!$A:$G,2,0)),0,VLOOKUP($A47&amp;Z$1,'For stats end Y DB'!$A:$G,2,0))</f>
        <v>0</v>
      </c>
      <c r="AA47">
        <f>IF(ISNA(VLOOKUP($A47&amp;AA$1,'For stats end Y DB'!$A:$G,2,0)),0,VLOOKUP($A47&amp;AA$1,'For stats end Y DB'!$A:$G,2,0))</f>
        <v>0</v>
      </c>
      <c r="AB47">
        <f>IF(ISNA(VLOOKUP($A47&amp;AB$1,'For stats end Y DB'!$A:$G,2,0)),0,VLOOKUP($A47&amp;AB$1,'For stats end Y DB'!$A:$G,2,0))</f>
        <v>0</v>
      </c>
      <c r="AC47">
        <f>IF(ISNA(VLOOKUP($A47&amp;AC$1,'For stats end Y DB'!$A:$G,2,0)),0,VLOOKUP($A47&amp;AC$1,'For stats end Y DB'!$A:$G,2,0))</f>
        <v>0</v>
      </c>
      <c r="AD47">
        <f>IF(ISNA(VLOOKUP($A47&amp;AD$1,'For stats end Y DB'!$A:$G,2,0)),0,VLOOKUP($A47&amp;AD$1,'For stats end Y DB'!$A:$G,2,0))</f>
        <v>0</v>
      </c>
      <c r="AE47">
        <f>IF(ISNA(VLOOKUP($A47&amp;AE$1,'For stats end Y DB'!$A:$G,2,0)),0,VLOOKUP($A47&amp;AE$1,'For stats end Y DB'!$A:$G,2,0))</f>
        <v>0</v>
      </c>
      <c r="AF47">
        <f>IF(ISNA(VLOOKUP($A47&amp;AF$1,'For stats end Y DB'!$A:$G,2,0)),0,VLOOKUP($A47&amp;AF$1,'For stats end Y DB'!$A:$G,2,0))</f>
        <v>0</v>
      </c>
      <c r="AG47">
        <f>IF(ISNA(VLOOKUP($A47&amp;AG$1,'For stats end Y DB'!$A:$G,2,0)),0,VLOOKUP($A47&amp;AG$1,'For stats end Y DB'!$A:$G,2,0))</f>
        <v>0</v>
      </c>
      <c r="AH47">
        <f>IF(ISNA(VLOOKUP($A47&amp;AH$1,'For stats end Y DB'!$A:$G,2,0)),0,VLOOKUP($A47&amp;AH$1,'For stats end Y DB'!$A:$G,2,0))</f>
        <v>0</v>
      </c>
      <c r="AI47">
        <f>IF(ISNA(VLOOKUP($A47&amp;AI$1,'For stats end Y DB'!$A:$G,2,0)),0,VLOOKUP($A47&amp;AI$1,'For stats end Y DB'!$A:$G,2,0))</f>
        <v>0</v>
      </c>
      <c r="AJ47">
        <f>IF(ISNA(VLOOKUP($A47&amp;AJ$1,'For stats end Y DB'!$A:$G,2,0)),0,VLOOKUP($A47&amp;AJ$1,'For stats end Y DB'!$A:$G,2,0))</f>
        <v>0</v>
      </c>
      <c r="AK47">
        <f>IF(ISNA(VLOOKUP($A47&amp;AK$1,'For stats end Y DB'!$A:$G,2,0)),0,VLOOKUP($A47&amp;AK$1,'For stats end Y DB'!$A:$G,2,0))</f>
        <v>0</v>
      </c>
      <c r="AL47">
        <f>IF(ISNA(VLOOKUP($A47&amp;AL$1,'For stats end Y DB'!$A:$G,2,0)),0,VLOOKUP($A47&amp;AL$1,'For stats end Y DB'!$A:$G,2,0))</f>
        <v>0</v>
      </c>
      <c r="AM47">
        <f>IF(ISNA(VLOOKUP($A47&amp;AM$1,'For stats end Y DB'!$A:$G,2,0)),0,VLOOKUP($A47&amp;AM$1,'For stats end Y DB'!$A:$G,2,0))</f>
        <v>0</v>
      </c>
      <c r="AN47">
        <f>IF(ISNA(VLOOKUP($A47&amp;AN$1,'For stats end Y DB'!$A:$G,2,0)),0,VLOOKUP($A47&amp;AN$1,'For stats end Y DB'!$A:$G,2,0))</f>
        <v>0</v>
      </c>
      <c r="AP47" t="str">
        <f t="shared" si="3"/>
        <v>Just4fun</v>
      </c>
      <c r="AQ47">
        <f t="shared" si="5"/>
        <v>1</v>
      </c>
      <c r="AR47">
        <f t="shared" si="5"/>
        <v>0</v>
      </c>
      <c r="AS47">
        <f t="shared" si="5"/>
        <v>1</v>
      </c>
      <c r="AT47" s="9">
        <f t="shared" si="6"/>
        <v>0</v>
      </c>
      <c r="AU47">
        <f t="shared" si="2"/>
        <v>7</v>
      </c>
    </row>
    <row r="48" spans="1:47" x14ac:dyDescent="0.2">
      <c r="A48" s="12" t="s">
        <v>9</v>
      </c>
      <c r="B48">
        <f>IF(ISNA(VLOOKUP($A48&amp;B$1,'For stats end Y DB'!$A:$G,2,0)),0,VLOOKUP($A48&amp;B$1,'For stats end Y DB'!$A:$G,2,0))</f>
        <v>3</v>
      </c>
      <c r="C48">
        <f>IF(ISNA(VLOOKUP($A48&amp;C$1,'For stats end Y DB'!$A:$G,2,0)),0,VLOOKUP($A48&amp;C$1,'For stats end Y DB'!$A:$G,2,0))</f>
        <v>4</v>
      </c>
      <c r="D48">
        <f>IF(ISNA(VLOOKUP($A48&amp;D$1,'For stats end Y DB'!$A:$G,2,0)),0,VLOOKUP($A48&amp;D$1,'For stats end Y DB'!$A:$G,2,0))</f>
        <v>4</v>
      </c>
      <c r="E48">
        <f>IF(ISNA(VLOOKUP($A48&amp;E$1,'For stats end Y DB'!$A:$G,2,0)),0,VLOOKUP($A48&amp;E$1,'For stats end Y DB'!$A:$G,2,0))</f>
        <v>6</v>
      </c>
      <c r="F48">
        <f>IF(ISNA(VLOOKUP($A48&amp;F$1,'For stats end Y DB'!$A:$G,2,0)),0,VLOOKUP($A48&amp;F$1,'For stats end Y DB'!$A:$G,2,0))</f>
        <v>6</v>
      </c>
      <c r="G48">
        <f>IF(ISNA(VLOOKUP($A48&amp;G$1,'For stats end Y DB'!$A:$G,2,0)),0,VLOOKUP($A48&amp;G$1,'For stats end Y DB'!$A:$G,2,0))</f>
        <v>4</v>
      </c>
      <c r="H48">
        <f>IF(ISNA(VLOOKUP($A48&amp;H$1,'For stats end Y DB'!$A:$G,2,0)),0,VLOOKUP($A48&amp;H$1,'For stats end Y DB'!$A:$G,2,0))</f>
        <v>5</v>
      </c>
      <c r="I48">
        <f>IF(ISNA(VLOOKUP($A48&amp;I$1,'For stats end Y DB'!$A:$G,2,0)),0,VLOOKUP($A48&amp;I$1,'For stats end Y DB'!$A:$G,2,0))</f>
        <v>2</v>
      </c>
      <c r="J48">
        <f>IF(ISNA(VLOOKUP($A48&amp;J$1,'For stats end Y DB'!$A:$G,2,0)),0,VLOOKUP($A48&amp;J$1,'For stats end Y DB'!$A:$G,2,0))</f>
        <v>5</v>
      </c>
      <c r="K48">
        <f>IF(ISNA(VLOOKUP($A48&amp;K$1,'For stats end Y DB'!$A:$G,2,0)),0,VLOOKUP($A48&amp;K$1,'For stats end Y DB'!$A:$G,2,0))</f>
        <v>2</v>
      </c>
      <c r="L48">
        <f>IF(ISNA(VLOOKUP($A48&amp;L$1,'For stats end Y DB'!$A:$G,2,0)),0,VLOOKUP($A48&amp;L$1,'For stats end Y DB'!$A:$G,2,0))</f>
        <v>5</v>
      </c>
      <c r="M48">
        <f>IF(ISNA(VLOOKUP($A48&amp;M$1,'For stats end Y DB'!$A:$G,2,0)),0,VLOOKUP($A48&amp;M$1,'For stats end Y DB'!$A:$G,2,0))</f>
        <v>5</v>
      </c>
      <c r="N48">
        <f>IF(ISNA(VLOOKUP($A48&amp;N$1,'For stats end Y DB'!$A:$G,2,0)),0,VLOOKUP($A48&amp;N$1,'For stats end Y DB'!$A:$G,2,0))</f>
        <v>6</v>
      </c>
      <c r="O48">
        <f>IF(ISNA(VLOOKUP($A48&amp;O$1,'For stats end Y DB'!$A:$G,2,0)),0,VLOOKUP($A48&amp;O$1,'For stats end Y DB'!$A:$G,2,0))</f>
        <v>1</v>
      </c>
      <c r="P48">
        <f>IF(ISNA(VLOOKUP($A48&amp;P$1,'For stats end Y DB'!$A:$G,2,0)),0,VLOOKUP($A48&amp;P$1,'For stats end Y DB'!$A:$G,2,0))</f>
        <v>7</v>
      </c>
      <c r="Q48">
        <f>IF(ISNA(VLOOKUP($A48&amp;Q$1,'For stats end Y DB'!$A:$G,2,0)),0,VLOOKUP($A48&amp;Q$1,'For stats end Y DB'!$A:$G,2,0))</f>
        <v>6</v>
      </c>
      <c r="R48">
        <f>IF(ISNA(VLOOKUP($A48&amp;R$1,'For stats end Y DB'!$A:$G,2,0)),0,VLOOKUP($A48&amp;R$1,'For stats end Y DB'!$A:$G,2,0))</f>
        <v>3</v>
      </c>
      <c r="S48">
        <f>IF(ISNA(VLOOKUP($A48&amp;S$1,'For stats end Y DB'!$A:$G,2,0)),0,VLOOKUP($A48&amp;S$1,'For stats end Y DB'!$A:$G,2,0))</f>
        <v>6</v>
      </c>
      <c r="T48">
        <f>IF(ISNA(VLOOKUP($A48&amp;T$1,'For stats end Y DB'!$A:$G,2,0)),0,VLOOKUP($A48&amp;T$1,'For stats end Y DB'!$A:$G,2,0))</f>
        <v>0</v>
      </c>
      <c r="U48">
        <f>IF(ISNA(VLOOKUP($A48&amp;U$1,'For stats end Y DB'!$A:$G,2,0)),0,VLOOKUP($A48&amp;U$1,'For stats end Y DB'!$A:$G,2,0))</f>
        <v>6</v>
      </c>
      <c r="V48">
        <f>IF(ISNA(VLOOKUP($A48&amp;V$1,'For stats end Y DB'!$A:$G,2,0)),0,VLOOKUP($A48&amp;V$1,'For stats end Y DB'!$A:$G,2,0))</f>
        <v>5</v>
      </c>
      <c r="W48">
        <f>IF(ISNA(VLOOKUP($A48&amp;W$1,'For stats end Y DB'!$A:$G,2,0)),0,VLOOKUP($A48&amp;W$1,'For stats end Y DB'!$A:$G,2,0))</f>
        <v>6</v>
      </c>
      <c r="X48">
        <f>IF(ISNA(VLOOKUP($A48&amp;X$1,'For stats end Y DB'!$A:$G,2,0)),0,VLOOKUP($A48&amp;X$1,'For stats end Y DB'!$A:$G,2,0))</f>
        <v>6</v>
      </c>
      <c r="Y48">
        <f>IF(ISNA(VLOOKUP($A48&amp;Y$1,'For stats end Y DB'!$A:$G,2,0)),0,VLOOKUP($A48&amp;Y$1,'For stats end Y DB'!$A:$G,2,0))</f>
        <v>2</v>
      </c>
      <c r="Z48">
        <f>IF(ISNA(VLOOKUP($A48&amp;Z$1,'For stats end Y DB'!$A:$G,2,0)),0,VLOOKUP($A48&amp;Z$1,'For stats end Y DB'!$A:$G,2,0))</f>
        <v>0</v>
      </c>
      <c r="AA48">
        <f>IF(ISNA(VLOOKUP($A48&amp;AA$1,'For stats end Y DB'!$A:$G,2,0)),0,VLOOKUP($A48&amp;AA$1,'For stats end Y DB'!$A:$G,2,0))</f>
        <v>6</v>
      </c>
      <c r="AB48">
        <f>IF(ISNA(VLOOKUP($A48&amp;AB$1,'For stats end Y DB'!$A:$G,2,0)),0,VLOOKUP($A48&amp;AB$1,'For stats end Y DB'!$A:$G,2,0))</f>
        <v>2</v>
      </c>
      <c r="AC48">
        <f>IF(ISNA(VLOOKUP($A48&amp;AC$1,'For stats end Y DB'!$A:$G,2,0)),0,VLOOKUP($A48&amp;AC$1,'For stats end Y DB'!$A:$G,2,0))</f>
        <v>3</v>
      </c>
      <c r="AD48">
        <f>IF(ISNA(VLOOKUP($A48&amp;AD$1,'For stats end Y DB'!$A:$G,2,0)),0,VLOOKUP($A48&amp;AD$1,'For stats end Y DB'!$A:$G,2,0))</f>
        <v>6</v>
      </c>
      <c r="AE48">
        <f>IF(ISNA(VLOOKUP($A48&amp;AE$1,'For stats end Y DB'!$A:$G,2,0)),0,VLOOKUP($A48&amp;AE$1,'For stats end Y DB'!$A:$G,2,0))</f>
        <v>1</v>
      </c>
      <c r="AF48">
        <f>IF(ISNA(VLOOKUP($A48&amp;AF$1,'For stats end Y DB'!$A:$G,2,0)),0,VLOOKUP($A48&amp;AF$1,'For stats end Y DB'!$A:$G,2,0))</f>
        <v>2</v>
      </c>
      <c r="AG48">
        <f>IF(ISNA(VLOOKUP($A48&amp;AG$1,'For stats end Y DB'!$A:$G,2,0)),0,VLOOKUP($A48&amp;AG$1,'For stats end Y DB'!$A:$G,2,0))</f>
        <v>1</v>
      </c>
      <c r="AH48">
        <f>IF(ISNA(VLOOKUP($A48&amp;AH$1,'For stats end Y DB'!$A:$G,2,0)),0,VLOOKUP($A48&amp;AH$1,'For stats end Y DB'!$A:$G,2,0))</f>
        <v>1</v>
      </c>
      <c r="AI48">
        <f>IF(ISNA(VLOOKUP($A48&amp;AI$1,'For stats end Y DB'!$A:$G,2,0)),0,VLOOKUP($A48&amp;AI$1,'For stats end Y DB'!$A:$G,2,0))</f>
        <v>0</v>
      </c>
      <c r="AJ48">
        <f>IF(ISNA(VLOOKUP($A48&amp;AJ$1,'For stats end Y DB'!$A:$G,2,0)),0,VLOOKUP($A48&amp;AJ$1,'For stats end Y DB'!$A:$G,2,0))</f>
        <v>0</v>
      </c>
      <c r="AK48">
        <f>IF(ISNA(VLOOKUP($A48&amp;AK$1,'For stats end Y DB'!$A:$G,2,0)),0,VLOOKUP($A48&amp;AK$1,'For stats end Y DB'!$A:$G,2,0))</f>
        <v>0</v>
      </c>
      <c r="AL48">
        <f>IF(ISNA(VLOOKUP($A48&amp;AL$1,'For stats end Y DB'!$A:$G,2,0)),0,VLOOKUP($A48&amp;AL$1,'For stats end Y DB'!$A:$G,2,0))</f>
        <v>0</v>
      </c>
      <c r="AM48">
        <f>IF(ISNA(VLOOKUP($A48&amp;AM$1,'For stats end Y DB'!$A:$G,2,0)),0,VLOOKUP($A48&amp;AM$1,'For stats end Y DB'!$A:$G,2,0))</f>
        <v>0</v>
      </c>
      <c r="AN48">
        <f>IF(ISNA(VLOOKUP($A48&amp;AN$1,'For stats end Y DB'!$A:$G,2,0)),0,VLOOKUP($A48&amp;AN$1,'For stats end Y DB'!$A:$G,2,0))</f>
        <v>0</v>
      </c>
      <c r="AP48" t="str">
        <f t="shared" si="3"/>
        <v>K1</v>
      </c>
      <c r="AQ48">
        <f t="shared" si="5"/>
        <v>4</v>
      </c>
      <c r="AR48">
        <f t="shared" si="5"/>
        <v>5</v>
      </c>
      <c r="AS48">
        <f t="shared" si="5"/>
        <v>3</v>
      </c>
      <c r="AT48" s="9">
        <f t="shared" si="6"/>
        <v>0</v>
      </c>
      <c r="AU48">
        <f t="shared" si="2"/>
        <v>31</v>
      </c>
    </row>
    <row r="49" spans="1:47" x14ac:dyDescent="0.2">
      <c r="A49" s="12" t="s">
        <v>559</v>
      </c>
      <c r="B49">
        <f>IF(ISNA(VLOOKUP($A49&amp;B$1,'For stats end Y DB'!$A:$G,2,0)),0,VLOOKUP($A49&amp;B$1,'For stats end Y DB'!$A:$G,2,0))</f>
        <v>0</v>
      </c>
      <c r="C49">
        <f>IF(ISNA(VLOOKUP($A49&amp;C$1,'For stats end Y DB'!$A:$G,2,0)),0,VLOOKUP($A49&amp;C$1,'For stats end Y DB'!$A:$G,2,0))</f>
        <v>0</v>
      </c>
      <c r="D49">
        <f>IF(ISNA(VLOOKUP($A49&amp;D$1,'For stats end Y DB'!$A:$G,2,0)),0,VLOOKUP($A49&amp;D$1,'For stats end Y DB'!$A:$G,2,0))</f>
        <v>0</v>
      </c>
      <c r="E49">
        <f>IF(ISNA(VLOOKUP($A49&amp;E$1,'For stats end Y DB'!$A:$G,2,0)),0,VLOOKUP($A49&amp;E$1,'For stats end Y DB'!$A:$G,2,0))</f>
        <v>0</v>
      </c>
      <c r="F49">
        <f>IF(ISNA(VLOOKUP($A49&amp;F$1,'For stats end Y DB'!$A:$G,2,0)),0,VLOOKUP($A49&amp;F$1,'For stats end Y DB'!$A:$G,2,0))</f>
        <v>0</v>
      </c>
      <c r="G49">
        <f>IF(ISNA(VLOOKUP($A49&amp;G$1,'For stats end Y DB'!$A:$G,2,0)),0,VLOOKUP($A49&amp;G$1,'For stats end Y DB'!$A:$G,2,0))</f>
        <v>0</v>
      </c>
      <c r="H49">
        <f>IF(ISNA(VLOOKUP($A49&amp;H$1,'For stats end Y DB'!$A:$G,2,0)),0,VLOOKUP($A49&amp;H$1,'For stats end Y DB'!$A:$G,2,0))</f>
        <v>0</v>
      </c>
      <c r="I49">
        <f>IF(ISNA(VLOOKUP($A49&amp;I$1,'For stats end Y DB'!$A:$G,2,0)),0,VLOOKUP($A49&amp;I$1,'For stats end Y DB'!$A:$G,2,0))</f>
        <v>0</v>
      </c>
      <c r="J49">
        <f>IF(ISNA(VLOOKUP($A49&amp;J$1,'For stats end Y DB'!$A:$G,2,0)),0,VLOOKUP($A49&amp;J$1,'For stats end Y DB'!$A:$G,2,0))</f>
        <v>0</v>
      </c>
      <c r="K49">
        <f>IF(ISNA(VLOOKUP($A49&amp;K$1,'For stats end Y DB'!$A:$G,2,0)),0,VLOOKUP($A49&amp;K$1,'For stats end Y DB'!$A:$G,2,0))</f>
        <v>0</v>
      </c>
      <c r="L49">
        <f>IF(ISNA(VLOOKUP($A49&amp;L$1,'For stats end Y DB'!$A:$G,2,0)),0,VLOOKUP($A49&amp;L$1,'For stats end Y DB'!$A:$G,2,0))</f>
        <v>0</v>
      </c>
      <c r="M49">
        <f>IF(ISNA(VLOOKUP($A49&amp;M$1,'For stats end Y DB'!$A:$G,2,0)),0,VLOOKUP($A49&amp;M$1,'For stats end Y DB'!$A:$G,2,0))</f>
        <v>0</v>
      </c>
      <c r="N49">
        <f>IF(ISNA(VLOOKUP($A49&amp;N$1,'For stats end Y DB'!$A:$G,2,0)),0,VLOOKUP($A49&amp;N$1,'For stats end Y DB'!$A:$G,2,0))</f>
        <v>0</v>
      </c>
      <c r="O49">
        <f>IF(ISNA(VLOOKUP($A49&amp;O$1,'For stats end Y DB'!$A:$G,2,0)),0,VLOOKUP($A49&amp;O$1,'For stats end Y DB'!$A:$G,2,0))</f>
        <v>0</v>
      </c>
      <c r="P49">
        <f>IF(ISNA(VLOOKUP($A49&amp;P$1,'For stats end Y DB'!$A:$G,2,0)),0,VLOOKUP($A49&amp;P$1,'For stats end Y DB'!$A:$G,2,0))</f>
        <v>0</v>
      </c>
      <c r="Q49">
        <f>IF(ISNA(VLOOKUP($A49&amp;Q$1,'For stats end Y DB'!$A:$G,2,0)),0,VLOOKUP($A49&amp;Q$1,'For stats end Y DB'!$A:$G,2,0))</f>
        <v>0</v>
      </c>
      <c r="R49">
        <f>IF(ISNA(VLOOKUP($A49&amp;R$1,'For stats end Y DB'!$A:$G,2,0)),0,VLOOKUP($A49&amp;R$1,'For stats end Y DB'!$A:$G,2,0))</f>
        <v>0</v>
      </c>
      <c r="S49">
        <f>IF(ISNA(VLOOKUP($A49&amp;S$1,'For stats end Y DB'!$A:$G,2,0)),0,VLOOKUP($A49&amp;S$1,'For stats end Y DB'!$A:$G,2,0))</f>
        <v>0</v>
      </c>
      <c r="T49">
        <f>IF(ISNA(VLOOKUP($A49&amp;T$1,'For stats end Y DB'!$A:$G,2,0)),0,VLOOKUP($A49&amp;T$1,'For stats end Y DB'!$A:$G,2,0))</f>
        <v>0</v>
      </c>
      <c r="U49">
        <f>IF(ISNA(VLOOKUP($A49&amp;U$1,'For stats end Y DB'!$A:$G,2,0)),0,VLOOKUP($A49&amp;U$1,'For stats end Y DB'!$A:$G,2,0))</f>
        <v>0</v>
      </c>
      <c r="V49">
        <f>IF(ISNA(VLOOKUP($A49&amp;V$1,'For stats end Y DB'!$A:$G,2,0)),0,VLOOKUP($A49&amp;V$1,'For stats end Y DB'!$A:$G,2,0))</f>
        <v>0</v>
      </c>
      <c r="W49">
        <f>IF(ISNA(VLOOKUP($A49&amp;W$1,'For stats end Y DB'!$A:$G,2,0)),0,VLOOKUP($A49&amp;W$1,'For stats end Y DB'!$A:$G,2,0))</f>
        <v>0</v>
      </c>
      <c r="X49">
        <f>IF(ISNA(VLOOKUP($A49&amp;X$1,'For stats end Y DB'!$A:$G,2,0)),0,VLOOKUP($A49&amp;X$1,'For stats end Y DB'!$A:$G,2,0))</f>
        <v>0</v>
      </c>
      <c r="Y49">
        <f>IF(ISNA(VLOOKUP($A49&amp;Y$1,'For stats end Y DB'!$A:$G,2,0)),0,VLOOKUP($A49&amp;Y$1,'For stats end Y DB'!$A:$G,2,0))</f>
        <v>0</v>
      </c>
      <c r="Z49">
        <f>IF(ISNA(VLOOKUP($A49&amp;Z$1,'For stats end Y DB'!$A:$G,2,0)),0,VLOOKUP($A49&amp;Z$1,'For stats end Y DB'!$A:$G,2,0))</f>
        <v>0</v>
      </c>
      <c r="AA49">
        <f>IF(ISNA(VLOOKUP($A49&amp;AA$1,'For stats end Y DB'!$A:$G,2,0)),0,VLOOKUP($A49&amp;AA$1,'For stats end Y DB'!$A:$G,2,0))</f>
        <v>0</v>
      </c>
      <c r="AB49">
        <f>IF(ISNA(VLOOKUP($A49&amp;AB$1,'For stats end Y DB'!$A:$G,2,0)),0,VLOOKUP($A49&amp;AB$1,'For stats end Y DB'!$A:$G,2,0))</f>
        <v>0</v>
      </c>
      <c r="AC49">
        <f>IF(ISNA(VLOOKUP($A49&amp;AC$1,'For stats end Y DB'!$A:$G,2,0)),0,VLOOKUP($A49&amp;AC$1,'For stats end Y DB'!$A:$G,2,0))</f>
        <v>3</v>
      </c>
      <c r="AD49">
        <f>IF(ISNA(VLOOKUP($A49&amp;AD$1,'For stats end Y DB'!$A:$G,2,0)),0,VLOOKUP($A49&amp;AD$1,'For stats end Y DB'!$A:$G,2,0))</f>
        <v>0</v>
      </c>
      <c r="AE49">
        <f>IF(ISNA(VLOOKUP($A49&amp;AE$1,'For stats end Y DB'!$A:$G,2,0)),0,VLOOKUP($A49&amp;AE$1,'For stats end Y DB'!$A:$G,2,0))</f>
        <v>0</v>
      </c>
      <c r="AF49">
        <f>IF(ISNA(VLOOKUP($A49&amp;AF$1,'For stats end Y DB'!$A:$G,2,0)),0,VLOOKUP($A49&amp;AF$1,'For stats end Y DB'!$A:$G,2,0))</f>
        <v>5</v>
      </c>
      <c r="AG49">
        <f>IF(ISNA(VLOOKUP($A49&amp;AG$1,'For stats end Y DB'!$A:$G,2,0)),0,VLOOKUP($A49&amp;AG$1,'For stats end Y DB'!$A:$G,2,0))</f>
        <v>0</v>
      </c>
      <c r="AH49">
        <f>IF(ISNA(VLOOKUP($A49&amp;AH$1,'For stats end Y DB'!$A:$G,2,0)),0,VLOOKUP($A49&amp;AH$1,'For stats end Y DB'!$A:$G,2,0))</f>
        <v>6</v>
      </c>
      <c r="AI49">
        <f>IF(ISNA(VLOOKUP($A49&amp;AI$1,'For stats end Y DB'!$A:$G,2,0)),0,VLOOKUP($A49&amp;AI$1,'For stats end Y DB'!$A:$G,2,0))</f>
        <v>0</v>
      </c>
      <c r="AJ49">
        <f>IF(ISNA(VLOOKUP($A49&amp;AJ$1,'For stats end Y DB'!$A:$G,2,0)),0,VLOOKUP($A49&amp;AJ$1,'For stats end Y DB'!$A:$G,2,0))</f>
        <v>0</v>
      </c>
      <c r="AK49">
        <f>IF(ISNA(VLOOKUP($A49&amp;AK$1,'For stats end Y DB'!$A:$G,2,0)),0,VLOOKUP($A49&amp;AK$1,'For stats end Y DB'!$A:$G,2,0))</f>
        <v>0</v>
      </c>
      <c r="AL49">
        <f>IF(ISNA(VLOOKUP($A49&amp;AL$1,'For stats end Y DB'!$A:$G,2,0)),0,VLOOKUP($A49&amp;AL$1,'For stats end Y DB'!$A:$G,2,0))</f>
        <v>0</v>
      </c>
      <c r="AM49">
        <f>IF(ISNA(VLOOKUP($A49&amp;AM$1,'For stats end Y DB'!$A:$G,2,0)),0,VLOOKUP($A49&amp;AM$1,'For stats end Y DB'!$A:$G,2,0))</f>
        <v>0</v>
      </c>
      <c r="AN49">
        <f>IF(ISNA(VLOOKUP($A49&amp;AN$1,'For stats end Y DB'!$A:$G,2,0)),0,VLOOKUP($A49&amp;AN$1,'For stats end Y DB'!$A:$G,2,0))</f>
        <v>0</v>
      </c>
      <c r="AP49" t="str">
        <f t="shared" si="3"/>
        <v>Kewen</v>
      </c>
      <c r="AQ49">
        <f t="shared" si="5"/>
        <v>0</v>
      </c>
      <c r="AR49">
        <f t="shared" si="5"/>
        <v>0</v>
      </c>
      <c r="AS49">
        <f t="shared" si="5"/>
        <v>1</v>
      </c>
      <c r="AT49" s="9">
        <f t="shared" si="6"/>
        <v>0</v>
      </c>
      <c r="AU49">
        <f t="shared" si="2"/>
        <v>3</v>
      </c>
    </row>
    <row r="50" spans="1:47" x14ac:dyDescent="0.2">
      <c r="A50" s="12" t="s">
        <v>500</v>
      </c>
      <c r="B50">
        <f>IF(ISNA(VLOOKUP($A50&amp;B$1,'For stats end Y DB'!$A:$G,2,0)),0,VLOOKUP($A50&amp;B$1,'For stats end Y DB'!$A:$G,2,0))</f>
        <v>3</v>
      </c>
      <c r="C50">
        <f>IF(ISNA(VLOOKUP($A50&amp;C$1,'For stats end Y DB'!$A:$G,2,0)),0,VLOOKUP($A50&amp;C$1,'For stats end Y DB'!$A:$G,2,0))</f>
        <v>5</v>
      </c>
      <c r="D50">
        <f>IF(ISNA(VLOOKUP($A50&amp;D$1,'For stats end Y DB'!$A:$G,2,0)),0,VLOOKUP($A50&amp;D$1,'For stats end Y DB'!$A:$G,2,0))</f>
        <v>0</v>
      </c>
      <c r="E50">
        <f>IF(ISNA(VLOOKUP($A50&amp;E$1,'For stats end Y DB'!$A:$G,2,0)),0,VLOOKUP($A50&amp;E$1,'For stats end Y DB'!$A:$G,2,0))</f>
        <v>0</v>
      </c>
      <c r="F50">
        <f>IF(ISNA(VLOOKUP($A50&amp;F$1,'For stats end Y DB'!$A:$G,2,0)),0,VLOOKUP($A50&amp;F$1,'For stats end Y DB'!$A:$G,2,0))</f>
        <v>4</v>
      </c>
      <c r="G50">
        <f>IF(ISNA(VLOOKUP($A50&amp;G$1,'For stats end Y DB'!$A:$G,2,0)),0,VLOOKUP($A50&amp;G$1,'For stats end Y DB'!$A:$G,2,0))</f>
        <v>5</v>
      </c>
      <c r="H50">
        <f>IF(ISNA(VLOOKUP($A50&amp;H$1,'For stats end Y DB'!$A:$G,2,0)),0,VLOOKUP($A50&amp;H$1,'For stats end Y DB'!$A:$G,2,0))</f>
        <v>0</v>
      </c>
      <c r="I50">
        <f>IF(ISNA(VLOOKUP($A50&amp;I$1,'For stats end Y DB'!$A:$G,2,0)),0,VLOOKUP($A50&amp;I$1,'For stats end Y DB'!$A:$G,2,0))</f>
        <v>4</v>
      </c>
      <c r="J50">
        <f>IF(ISNA(VLOOKUP($A50&amp;J$1,'For stats end Y DB'!$A:$G,2,0)),0,VLOOKUP($A50&amp;J$1,'For stats end Y DB'!$A:$G,2,0))</f>
        <v>1</v>
      </c>
      <c r="K50">
        <f>IF(ISNA(VLOOKUP($A50&amp;K$1,'For stats end Y DB'!$A:$G,2,0)),0,VLOOKUP($A50&amp;K$1,'For stats end Y DB'!$A:$G,2,0))</f>
        <v>1</v>
      </c>
      <c r="L50">
        <f>IF(ISNA(VLOOKUP($A50&amp;L$1,'For stats end Y DB'!$A:$G,2,0)),0,VLOOKUP($A50&amp;L$1,'For stats end Y DB'!$A:$G,2,0))</f>
        <v>4</v>
      </c>
      <c r="M50">
        <f>IF(ISNA(VLOOKUP($A50&amp;M$1,'For stats end Y DB'!$A:$G,2,0)),0,VLOOKUP($A50&amp;M$1,'For stats end Y DB'!$A:$G,2,0))</f>
        <v>4</v>
      </c>
      <c r="N50">
        <f>IF(ISNA(VLOOKUP($A50&amp;N$1,'For stats end Y DB'!$A:$G,2,0)),0,VLOOKUP($A50&amp;N$1,'For stats end Y DB'!$A:$G,2,0))</f>
        <v>0</v>
      </c>
      <c r="O50">
        <f>IF(ISNA(VLOOKUP($A50&amp;O$1,'For stats end Y DB'!$A:$G,2,0)),0,VLOOKUP($A50&amp;O$1,'For stats end Y DB'!$A:$G,2,0))</f>
        <v>3</v>
      </c>
      <c r="P50">
        <f>IF(ISNA(VLOOKUP($A50&amp;P$1,'For stats end Y DB'!$A:$G,2,0)),0,VLOOKUP($A50&amp;P$1,'For stats end Y DB'!$A:$G,2,0))</f>
        <v>2</v>
      </c>
      <c r="Q50">
        <f>IF(ISNA(VLOOKUP($A50&amp;Q$1,'For stats end Y DB'!$A:$G,2,0)),0,VLOOKUP($A50&amp;Q$1,'For stats end Y DB'!$A:$G,2,0))</f>
        <v>0</v>
      </c>
      <c r="R50">
        <f>IF(ISNA(VLOOKUP($A50&amp;R$1,'For stats end Y DB'!$A:$G,2,0)),0,VLOOKUP($A50&amp;R$1,'For stats end Y DB'!$A:$G,2,0))</f>
        <v>7</v>
      </c>
      <c r="S50">
        <f>IF(ISNA(VLOOKUP($A50&amp;S$1,'For stats end Y DB'!$A:$G,2,0)),0,VLOOKUP($A50&amp;S$1,'For stats end Y DB'!$A:$G,2,0))</f>
        <v>6</v>
      </c>
      <c r="T50">
        <f>IF(ISNA(VLOOKUP($A50&amp;T$1,'For stats end Y DB'!$A:$G,2,0)),0,VLOOKUP($A50&amp;T$1,'For stats end Y DB'!$A:$G,2,0))</f>
        <v>0</v>
      </c>
      <c r="U50">
        <f>IF(ISNA(VLOOKUP($A50&amp;U$1,'For stats end Y DB'!$A:$G,2,0)),0,VLOOKUP($A50&amp;U$1,'For stats end Y DB'!$A:$G,2,0))</f>
        <v>0</v>
      </c>
      <c r="V50">
        <f>IF(ISNA(VLOOKUP($A50&amp;V$1,'For stats end Y DB'!$A:$G,2,0)),0,VLOOKUP($A50&amp;V$1,'For stats end Y DB'!$A:$G,2,0))</f>
        <v>5</v>
      </c>
      <c r="W50">
        <f>IF(ISNA(VLOOKUP($A50&amp;W$1,'For stats end Y DB'!$A:$G,2,0)),0,VLOOKUP($A50&amp;W$1,'For stats end Y DB'!$A:$G,2,0))</f>
        <v>2</v>
      </c>
      <c r="X50">
        <f>IF(ISNA(VLOOKUP($A50&amp;X$1,'For stats end Y DB'!$A:$G,2,0)),0,VLOOKUP($A50&amp;X$1,'For stats end Y DB'!$A:$G,2,0))</f>
        <v>0</v>
      </c>
      <c r="Y50">
        <f>IF(ISNA(VLOOKUP($A50&amp;Y$1,'For stats end Y DB'!$A:$G,2,0)),0,VLOOKUP($A50&amp;Y$1,'For stats end Y DB'!$A:$G,2,0))</f>
        <v>1</v>
      </c>
      <c r="Z50">
        <f>IF(ISNA(VLOOKUP($A50&amp;Z$1,'For stats end Y DB'!$A:$G,2,0)),0,VLOOKUP($A50&amp;Z$1,'For stats end Y DB'!$A:$G,2,0))</f>
        <v>0</v>
      </c>
      <c r="AA50">
        <f>IF(ISNA(VLOOKUP($A50&amp;AA$1,'For stats end Y DB'!$A:$G,2,0)),0,VLOOKUP($A50&amp;AA$1,'For stats end Y DB'!$A:$G,2,0))</f>
        <v>3</v>
      </c>
      <c r="AB50">
        <f>IF(ISNA(VLOOKUP($A50&amp;AB$1,'For stats end Y DB'!$A:$G,2,0)),0,VLOOKUP($A50&amp;AB$1,'For stats end Y DB'!$A:$G,2,0))</f>
        <v>3</v>
      </c>
      <c r="AC50">
        <f>IF(ISNA(VLOOKUP($A50&amp;AC$1,'For stats end Y DB'!$A:$G,2,0)),0,VLOOKUP($A50&amp;AC$1,'For stats end Y DB'!$A:$G,2,0))</f>
        <v>3</v>
      </c>
      <c r="AD50">
        <f>IF(ISNA(VLOOKUP($A50&amp;AD$1,'For stats end Y DB'!$A:$G,2,0)),0,VLOOKUP($A50&amp;AD$1,'For stats end Y DB'!$A:$G,2,0))</f>
        <v>5</v>
      </c>
      <c r="AE50">
        <f>IF(ISNA(VLOOKUP($A50&amp;AE$1,'For stats end Y DB'!$A:$G,2,0)),0,VLOOKUP($A50&amp;AE$1,'For stats end Y DB'!$A:$G,2,0))</f>
        <v>5</v>
      </c>
      <c r="AF50">
        <f>IF(ISNA(VLOOKUP($A50&amp;AF$1,'For stats end Y DB'!$A:$G,2,0)),0,VLOOKUP($A50&amp;AF$1,'For stats end Y DB'!$A:$G,2,0))</f>
        <v>0</v>
      </c>
      <c r="AG50">
        <f>IF(ISNA(VLOOKUP($A50&amp;AG$1,'For stats end Y DB'!$A:$G,2,0)),0,VLOOKUP($A50&amp;AG$1,'For stats end Y DB'!$A:$G,2,0))</f>
        <v>1</v>
      </c>
      <c r="AH50">
        <f>IF(ISNA(VLOOKUP($A50&amp;AH$1,'For stats end Y DB'!$A:$G,2,0)),0,VLOOKUP($A50&amp;AH$1,'For stats end Y DB'!$A:$G,2,0))</f>
        <v>2</v>
      </c>
      <c r="AI50">
        <f>IF(ISNA(VLOOKUP($A50&amp;AI$1,'For stats end Y DB'!$A:$G,2,0)),0,VLOOKUP($A50&amp;AI$1,'For stats end Y DB'!$A:$G,2,0))</f>
        <v>0</v>
      </c>
      <c r="AJ50">
        <f>IF(ISNA(VLOOKUP($A50&amp;AJ$1,'For stats end Y DB'!$A:$G,2,0)),0,VLOOKUP($A50&amp;AJ$1,'For stats end Y DB'!$A:$G,2,0))</f>
        <v>0</v>
      </c>
      <c r="AK50">
        <f>IF(ISNA(VLOOKUP($A50&amp;AK$1,'For stats end Y DB'!$A:$G,2,0)),0,VLOOKUP($A50&amp;AK$1,'For stats end Y DB'!$A:$G,2,0))</f>
        <v>0</v>
      </c>
      <c r="AL50">
        <f>IF(ISNA(VLOOKUP($A50&amp;AL$1,'For stats end Y DB'!$A:$G,2,0)),0,VLOOKUP($A50&amp;AL$1,'For stats end Y DB'!$A:$G,2,0))</f>
        <v>0</v>
      </c>
      <c r="AM50">
        <f>IF(ISNA(VLOOKUP($A50&amp;AM$1,'For stats end Y DB'!$A:$G,2,0)),0,VLOOKUP($A50&amp;AM$1,'For stats end Y DB'!$A:$G,2,0))</f>
        <v>0</v>
      </c>
      <c r="AN50">
        <f>IF(ISNA(VLOOKUP($A50&amp;AN$1,'For stats end Y DB'!$A:$G,2,0)),0,VLOOKUP($A50&amp;AN$1,'For stats end Y DB'!$A:$G,2,0))</f>
        <v>0</v>
      </c>
      <c r="AP50" t="str">
        <f t="shared" si="3"/>
        <v>Kheops</v>
      </c>
      <c r="AQ50">
        <f t="shared" si="5"/>
        <v>4</v>
      </c>
      <c r="AR50">
        <f t="shared" si="5"/>
        <v>3</v>
      </c>
      <c r="AS50">
        <f t="shared" si="5"/>
        <v>5</v>
      </c>
      <c r="AT50" s="9">
        <f t="shared" si="6"/>
        <v>0</v>
      </c>
      <c r="AU50">
        <f t="shared" si="2"/>
        <v>23</v>
      </c>
    </row>
    <row r="51" spans="1:47" x14ac:dyDescent="0.2">
      <c r="A51" s="12" t="s">
        <v>61</v>
      </c>
      <c r="B51">
        <f>IF(ISNA(VLOOKUP($A51&amp;B$1,'For stats end Y DB'!$A:$G,2,0)),0,VLOOKUP($A51&amp;B$1,'For stats end Y DB'!$A:$G,2,0))</f>
        <v>4</v>
      </c>
      <c r="C51">
        <f>IF(ISNA(VLOOKUP($A51&amp;C$1,'For stats end Y DB'!$A:$G,2,0)),0,VLOOKUP($A51&amp;C$1,'For stats end Y DB'!$A:$G,2,0))</f>
        <v>6</v>
      </c>
      <c r="D51">
        <f>IF(ISNA(VLOOKUP($A51&amp;D$1,'For stats end Y DB'!$A:$G,2,0)),0,VLOOKUP($A51&amp;D$1,'For stats end Y DB'!$A:$G,2,0))</f>
        <v>6</v>
      </c>
      <c r="E51">
        <f>IF(ISNA(VLOOKUP($A51&amp;E$1,'For stats end Y DB'!$A:$G,2,0)),0,VLOOKUP($A51&amp;E$1,'For stats end Y DB'!$A:$G,2,0))</f>
        <v>3</v>
      </c>
      <c r="F51">
        <f>IF(ISNA(VLOOKUP($A51&amp;F$1,'For stats end Y DB'!$A:$G,2,0)),0,VLOOKUP($A51&amp;F$1,'For stats end Y DB'!$A:$G,2,0))</f>
        <v>6</v>
      </c>
      <c r="G51">
        <f>IF(ISNA(VLOOKUP($A51&amp;G$1,'For stats end Y DB'!$A:$G,2,0)),0,VLOOKUP($A51&amp;G$1,'For stats end Y DB'!$A:$G,2,0))</f>
        <v>2</v>
      </c>
      <c r="H51">
        <f>IF(ISNA(VLOOKUP($A51&amp;H$1,'For stats end Y DB'!$A:$G,2,0)),0,VLOOKUP($A51&amp;H$1,'For stats end Y DB'!$A:$G,2,0))</f>
        <v>0</v>
      </c>
      <c r="I51">
        <f>IF(ISNA(VLOOKUP($A51&amp;I$1,'For stats end Y DB'!$A:$G,2,0)),0,VLOOKUP($A51&amp;I$1,'For stats end Y DB'!$A:$G,2,0))</f>
        <v>6</v>
      </c>
      <c r="J51">
        <f>IF(ISNA(VLOOKUP($A51&amp;J$1,'For stats end Y DB'!$A:$G,2,0)),0,VLOOKUP($A51&amp;J$1,'For stats end Y DB'!$A:$G,2,0))</f>
        <v>0</v>
      </c>
      <c r="K51">
        <f>IF(ISNA(VLOOKUP($A51&amp;K$1,'For stats end Y DB'!$A:$G,2,0)),0,VLOOKUP($A51&amp;K$1,'For stats end Y DB'!$A:$G,2,0))</f>
        <v>4</v>
      </c>
      <c r="L51">
        <f>IF(ISNA(VLOOKUP($A51&amp;L$1,'For stats end Y DB'!$A:$G,2,0)),0,VLOOKUP($A51&amp;L$1,'For stats end Y DB'!$A:$G,2,0))</f>
        <v>2</v>
      </c>
      <c r="M51">
        <f>IF(ISNA(VLOOKUP($A51&amp;M$1,'For stats end Y DB'!$A:$G,2,0)),0,VLOOKUP($A51&amp;M$1,'For stats end Y DB'!$A:$G,2,0))</f>
        <v>2</v>
      </c>
      <c r="N51">
        <f>IF(ISNA(VLOOKUP($A51&amp;N$1,'For stats end Y DB'!$A:$G,2,0)),0,VLOOKUP($A51&amp;N$1,'For stats end Y DB'!$A:$G,2,0))</f>
        <v>0</v>
      </c>
      <c r="O51">
        <f>IF(ISNA(VLOOKUP($A51&amp;O$1,'For stats end Y DB'!$A:$G,2,0)),0,VLOOKUP($A51&amp;O$1,'For stats end Y DB'!$A:$G,2,0))</f>
        <v>0</v>
      </c>
      <c r="P51">
        <f>IF(ISNA(VLOOKUP($A51&amp;P$1,'For stats end Y DB'!$A:$G,2,0)),0,VLOOKUP($A51&amp;P$1,'For stats end Y DB'!$A:$G,2,0))</f>
        <v>5</v>
      </c>
      <c r="Q51">
        <f>IF(ISNA(VLOOKUP($A51&amp;Q$1,'For stats end Y DB'!$A:$G,2,0)),0,VLOOKUP($A51&amp;Q$1,'For stats end Y DB'!$A:$G,2,0))</f>
        <v>0</v>
      </c>
      <c r="R51">
        <f>IF(ISNA(VLOOKUP($A51&amp;R$1,'For stats end Y DB'!$A:$G,2,0)),0,VLOOKUP($A51&amp;R$1,'For stats end Y DB'!$A:$G,2,0))</f>
        <v>0</v>
      </c>
      <c r="S51">
        <f>IF(ISNA(VLOOKUP($A51&amp;S$1,'For stats end Y DB'!$A:$G,2,0)),0,VLOOKUP($A51&amp;S$1,'For stats end Y DB'!$A:$G,2,0))</f>
        <v>0</v>
      </c>
      <c r="T51">
        <f>IF(ISNA(VLOOKUP($A51&amp;T$1,'For stats end Y DB'!$A:$G,2,0)),0,VLOOKUP($A51&amp;T$1,'For stats end Y DB'!$A:$G,2,0))</f>
        <v>0</v>
      </c>
      <c r="U51">
        <f>IF(ISNA(VLOOKUP($A51&amp;U$1,'For stats end Y DB'!$A:$G,2,0)),0,VLOOKUP($A51&amp;U$1,'For stats end Y DB'!$A:$G,2,0))</f>
        <v>0</v>
      </c>
      <c r="V51">
        <f>IF(ISNA(VLOOKUP($A51&amp;V$1,'For stats end Y DB'!$A:$G,2,0)),0,VLOOKUP($A51&amp;V$1,'For stats end Y DB'!$A:$G,2,0))</f>
        <v>7</v>
      </c>
      <c r="W51">
        <f>IF(ISNA(VLOOKUP($A51&amp;W$1,'For stats end Y DB'!$A:$G,2,0)),0,VLOOKUP($A51&amp;W$1,'For stats end Y DB'!$A:$G,2,0))</f>
        <v>0</v>
      </c>
      <c r="X51">
        <f>IF(ISNA(VLOOKUP($A51&amp;X$1,'For stats end Y DB'!$A:$G,2,0)),0,VLOOKUP($A51&amp;X$1,'For stats end Y DB'!$A:$G,2,0))</f>
        <v>0</v>
      </c>
      <c r="Y51">
        <f>IF(ISNA(VLOOKUP($A51&amp;Y$1,'For stats end Y DB'!$A:$G,2,0)),0,VLOOKUP($A51&amp;Y$1,'For stats end Y DB'!$A:$G,2,0))</f>
        <v>1</v>
      </c>
      <c r="Z51">
        <f>IF(ISNA(VLOOKUP($A51&amp;Z$1,'For stats end Y DB'!$A:$G,2,0)),0,VLOOKUP($A51&amp;Z$1,'For stats end Y DB'!$A:$G,2,0))</f>
        <v>2</v>
      </c>
      <c r="AA51">
        <f>IF(ISNA(VLOOKUP($A51&amp;AA$1,'For stats end Y DB'!$A:$G,2,0)),0,VLOOKUP($A51&amp;AA$1,'For stats end Y DB'!$A:$G,2,0))</f>
        <v>0</v>
      </c>
      <c r="AB51">
        <f>IF(ISNA(VLOOKUP($A51&amp;AB$1,'For stats end Y DB'!$A:$G,2,0)),0,VLOOKUP($A51&amp;AB$1,'For stats end Y DB'!$A:$G,2,0))</f>
        <v>0</v>
      </c>
      <c r="AC51">
        <f>IF(ISNA(VLOOKUP($A51&amp;AC$1,'For stats end Y DB'!$A:$G,2,0)),0,VLOOKUP($A51&amp;AC$1,'For stats end Y DB'!$A:$G,2,0))</f>
        <v>0</v>
      </c>
      <c r="AD51">
        <f>IF(ISNA(VLOOKUP($A51&amp;AD$1,'For stats end Y DB'!$A:$G,2,0)),0,VLOOKUP($A51&amp;AD$1,'For stats end Y DB'!$A:$G,2,0))</f>
        <v>0</v>
      </c>
      <c r="AE51">
        <f>IF(ISNA(VLOOKUP($A51&amp;AE$1,'For stats end Y DB'!$A:$G,2,0)),0,VLOOKUP($A51&amp;AE$1,'For stats end Y DB'!$A:$G,2,0))</f>
        <v>0</v>
      </c>
      <c r="AF51">
        <f>IF(ISNA(VLOOKUP($A51&amp;AF$1,'For stats end Y DB'!$A:$G,2,0)),0,VLOOKUP($A51&amp;AF$1,'For stats end Y DB'!$A:$G,2,0))</f>
        <v>1</v>
      </c>
      <c r="AG51">
        <f>IF(ISNA(VLOOKUP($A51&amp;AG$1,'For stats end Y DB'!$A:$G,2,0)),0,VLOOKUP($A51&amp;AG$1,'For stats end Y DB'!$A:$G,2,0))</f>
        <v>3</v>
      </c>
      <c r="AH51">
        <f>IF(ISNA(VLOOKUP($A51&amp;AH$1,'For stats end Y DB'!$A:$G,2,0)),0,VLOOKUP($A51&amp;AH$1,'For stats end Y DB'!$A:$G,2,0))</f>
        <v>1</v>
      </c>
      <c r="AI51">
        <f>IF(ISNA(VLOOKUP($A51&amp;AI$1,'For stats end Y DB'!$A:$G,2,0)),0,VLOOKUP($A51&amp;AI$1,'For stats end Y DB'!$A:$G,2,0))</f>
        <v>0</v>
      </c>
      <c r="AJ51">
        <f>IF(ISNA(VLOOKUP($A51&amp;AJ$1,'For stats end Y DB'!$A:$G,2,0)),0,VLOOKUP($A51&amp;AJ$1,'For stats end Y DB'!$A:$G,2,0))</f>
        <v>0</v>
      </c>
      <c r="AK51">
        <f>IF(ISNA(VLOOKUP($A51&amp;AK$1,'For stats end Y DB'!$A:$G,2,0)),0,VLOOKUP($A51&amp;AK$1,'For stats end Y DB'!$A:$G,2,0))</f>
        <v>0</v>
      </c>
      <c r="AL51">
        <f>IF(ISNA(VLOOKUP($A51&amp;AL$1,'For stats end Y DB'!$A:$G,2,0)),0,VLOOKUP($A51&amp;AL$1,'For stats end Y DB'!$A:$G,2,0))</f>
        <v>0</v>
      </c>
      <c r="AM51">
        <f>IF(ISNA(VLOOKUP($A51&amp;AM$1,'For stats end Y DB'!$A:$G,2,0)),0,VLOOKUP($A51&amp;AM$1,'For stats end Y DB'!$A:$G,2,0))</f>
        <v>0</v>
      </c>
      <c r="AN51">
        <f>IF(ISNA(VLOOKUP($A51&amp;AN$1,'For stats end Y DB'!$A:$G,2,0)),0,VLOOKUP($A51&amp;AN$1,'For stats end Y DB'!$A:$G,2,0))</f>
        <v>0</v>
      </c>
      <c r="AP51" t="str">
        <f t="shared" si="3"/>
        <v>Kri-lin</v>
      </c>
      <c r="AQ51">
        <f t="shared" si="5"/>
        <v>3</v>
      </c>
      <c r="AR51">
        <f t="shared" si="5"/>
        <v>4</v>
      </c>
      <c r="AS51">
        <f t="shared" si="5"/>
        <v>2</v>
      </c>
      <c r="AT51" s="9">
        <f t="shared" si="6"/>
        <v>0</v>
      </c>
      <c r="AU51">
        <f t="shared" si="2"/>
        <v>17</v>
      </c>
    </row>
    <row r="52" spans="1:47" x14ac:dyDescent="0.2">
      <c r="A52" s="12" t="s">
        <v>475</v>
      </c>
      <c r="B52">
        <f>IF(ISNA(VLOOKUP($A52&amp;B$1,'For stats end Y DB'!$A:$G,2,0)),0,VLOOKUP($A52&amp;B$1,'For stats end Y DB'!$A:$G,2,0))</f>
        <v>0</v>
      </c>
      <c r="C52">
        <f>IF(ISNA(VLOOKUP($A52&amp;C$1,'For stats end Y DB'!$A:$G,2,0)),0,VLOOKUP($A52&amp;C$1,'For stats end Y DB'!$A:$G,2,0))</f>
        <v>7</v>
      </c>
      <c r="D52">
        <f>IF(ISNA(VLOOKUP($A52&amp;D$1,'For stats end Y DB'!$A:$G,2,0)),0,VLOOKUP($A52&amp;D$1,'For stats end Y DB'!$A:$G,2,0))</f>
        <v>4</v>
      </c>
      <c r="E52">
        <f>IF(ISNA(VLOOKUP($A52&amp;E$1,'For stats end Y DB'!$A:$G,2,0)),0,VLOOKUP($A52&amp;E$1,'For stats end Y DB'!$A:$G,2,0))</f>
        <v>0</v>
      </c>
      <c r="F52">
        <f>IF(ISNA(VLOOKUP($A52&amp;F$1,'For stats end Y DB'!$A:$G,2,0)),0,VLOOKUP($A52&amp;F$1,'For stats end Y DB'!$A:$G,2,0))</f>
        <v>2</v>
      </c>
      <c r="G52">
        <f>IF(ISNA(VLOOKUP($A52&amp;G$1,'For stats end Y DB'!$A:$G,2,0)),0,VLOOKUP($A52&amp;G$1,'For stats end Y DB'!$A:$G,2,0))</f>
        <v>7</v>
      </c>
      <c r="H52">
        <f>IF(ISNA(VLOOKUP($A52&amp;H$1,'For stats end Y DB'!$A:$G,2,0)),0,VLOOKUP($A52&amp;H$1,'For stats end Y DB'!$A:$G,2,0))</f>
        <v>7</v>
      </c>
      <c r="I52">
        <f>IF(ISNA(VLOOKUP($A52&amp;I$1,'For stats end Y DB'!$A:$G,2,0)),0,VLOOKUP($A52&amp;I$1,'For stats end Y DB'!$A:$G,2,0))</f>
        <v>0</v>
      </c>
      <c r="J52">
        <f>IF(ISNA(VLOOKUP($A52&amp;J$1,'For stats end Y DB'!$A:$G,2,0)),0,VLOOKUP($A52&amp;J$1,'For stats end Y DB'!$A:$G,2,0))</f>
        <v>6</v>
      </c>
      <c r="K52">
        <f>IF(ISNA(VLOOKUP($A52&amp;K$1,'For stats end Y DB'!$A:$G,2,0)),0,VLOOKUP($A52&amp;K$1,'For stats end Y DB'!$A:$G,2,0))</f>
        <v>5</v>
      </c>
      <c r="L52">
        <f>IF(ISNA(VLOOKUP($A52&amp;L$1,'For stats end Y DB'!$A:$G,2,0)),0,VLOOKUP($A52&amp;L$1,'For stats end Y DB'!$A:$G,2,0))</f>
        <v>0</v>
      </c>
      <c r="M52">
        <f>IF(ISNA(VLOOKUP($A52&amp;M$1,'For stats end Y DB'!$A:$G,2,0)),0,VLOOKUP($A52&amp;M$1,'For stats end Y DB'!$A:$G,2,0))</f>
        <v>1</v>
      </c>
      <c r="N52">
        <f>IF(ISNA(VLOOKUP($A52&amp;N$1,'For stats end Y DB'!$A:$G,2,0)),0,VLOOKUP($A52&amp;N$1,'For stats end Y DB'!$A:$G,2,0))</f>
        <v>0</v>
      </c>
      <c r="O52">
        <f>IF(ISNA(VLOOKUP($A52&amp;O$1,'For stats end Y DB'!$A:$G,2,0)),0,VLOOKUP($A52&amp;O$1,'For stats end Y DB'!$A:$G,2,0))</f>
        <v>4</v>
      </c>
      <c r="P52">
        <f>IF(ISNA(VLOOKUP($A52&amp;P$1,'For stats end Y DB'!$A:$G,2,0)),0,VLOOKUP($A52&amp;P$1,'For stats end Y DB'!$A:$G,2,0))</f>
        <v>1</v>
      </c>
      <c r="Q52">
        <f>IF(ISNA(VLOOKUP($A52&amp;Q$1,'For stats end Y DB'!$A:$G,2,0)),0,VLOOKUP($A52&amp;Q$1,'For stats end Y DB'!$A:$G,2,0))</f>
        <v>5</v>
      </c>
      <c r="R52">
        <f>IF(ISNA(VLOOKUP($A52&amp;R$1,'For stats end Y DB'!$A:$G,2,0)),0,VLOOKUP($A52&amp;R$1,'For stats end Y DB'!$A:$G,2,0))</f>
        <v>2</v>
      </c>
      <c r="S52">
        <f>IF(ISNA(VLOOKUP($A52&amp;S$1,'For stats end Y DB'!$A:$G,2,0)),0,VLOOKUP($A52&amp;S$1,'For stats end Y DB'!$A:$G,2,0))</f>
        <v>2</v>
      </c>
      <c r="T52">
        <f>IF(ISNA(VLOOKUP($A52&amp;T$1,'For stats end Y DB'!$A:$G,2,0)),0,VLOOKUP($A52&amp;T$1,'For stats end Y DB'!$A:$G,2,0))</f>
        <v>2</v>
      </c>
      <c r="U52">
        <f>IF(ISNA(VLOOKUP($A52&amp;U$1,'For stats end Y DB'!$A:$G,2,0)),0,VLOOKUP($A52&amp;U$1,'For stats end Y DB'!$A:$G,2,0))</f>
        <v>5</v>
      </c>
      <c r="V52">
        <f>IF(ISNA(VLOOKUP($A52&amp;V$1,'For stats end Y DB'!$A:$G,2,0)),0,VLOOKUP($A52&amp;V$1,'For stats end Y DB'!$A:$G,2,0))</f>
        <v>1</v>
      </c>
      <c r="W52">
        <f>IF(ISNA(VLOOKUP($A52&amp;W$1,'For stats end Y DB'!$A:$G,2,0)),0,VLOOKUP($A52&amp;W$1,'For stats end Y DB'!$A:$G,2,0))</f>
        <v>1</v>
      </c>
      <c r="X52">
        <f>IF(ISNA(VLOOKUP($A52&amp;X$1,'For stats end Y DB'!$A:$G,2,0)),0,VLOOKUP($A52&amp;X$1,'For stats end Y DB'!$A:$G,2,0))</f>
        <v>2</v>
      </c>
      <c r="Y52">
        <f>IF(ISNA(VLOOKUP($A52&amp;Y$1,'For stats end Y DB'!$A:$G,2,0)),0,VLOOKUP($A52&amp;Y$1,'For stats end Y DB'!$A:$G,2,0))</f>
        <v>3</v>
      </c>
      <c r="Z52">
        <f>IF(ISNA(VLOOKUP($A52&amp;Z$1,'For stats end Y DB'!$A:$G,2,0)),0,VLOOKUP($A52&amp;Z$1,'For stats end Y DB'!$A:$G,2,0))</f>
        <v>1</v>
      </c>
      <c r="AA52">
        <f>IF(ISNA(VLOOKUP($A52&amp;AA$1,'For stats end Y DB'!$A:$G,2,0)),0,VLOOKUP($A52&amp;AA$1,'For stats end Y DB'!$A:$G,2,0))</f>
        <v>5</v>
      </c>
      <c r="AB52">
        <f>IF(ISNA(VLOOKUP($A52&amp;AB$1,'For stats end Y DB'!$A:$G,2,0)),0,VLOOKUP($A52&amp;AB$1,'For stats end Y DB'!$A:$G,2,0))</f>
        <v>0</v>
      </c>
      <c r="AC52">
        <f>IF(ISNA(VLOOKUP($A52&amp;AC$1,'For stats end Y DB'!$A:$G,2,0)),0,VLOOKUP($A52&amp;AC$1,'For stats end Y DB'!$A:$G,2,0))</f>
        <v>4</v>
      </c>
      <c r="AD52">
        <f>IF(ISNA(VLOOKUP($A52&amp;AD$1,'For stats end Y DB'!$A:$G,2,0)),0,VLOOKUP($A52&amp;AD$1,'For stats end Y DB'!$A:$G,2,0))</f>
        <v>0</v>
      </c>
      <c r="AE52">
        <f>IF(ISNA(VLOOKUP($A52&amp;AE$1,'For stats end Y DB'!$A:$G,2,0)),0,VLOOKUP($A52&amp;AE$1,'For stats end Y DB'!$A:$G,2,0))</f>
        <v>3</v>
      </c>
      <c r="AF52">
        <f>IF(ISNA(VLOOKUP($A52&amp;AF$1,'For stats end Y DB'!$A:$G,2,0)),0,VLOOKUP($A52&amp;AF$1,'For stats end Y DB'!$A:$G,2,0))</f>
        <v>7</v>
      </c>
      <c r="AG52">
        <f>IF(ISNA(VLOOKUP($A52&amp;AG$1,'For stats end Y DB'!$A:$G,2,0)),0,VLOOKUP($A52&amp;AG$1,'For stats end Y DB'!$A:$G,2,0))</f>
        <v>5</v>
      </c>
      <c r="AH52">
        <f>IF(ISNA(VLOOKUP($A52&amp;AH$1,'For stats end Y DB'!$A:$G,2,0)),0,VLOOKUP($A52&amp;AH$1,'For stats end Y DB'!$A:$G,2,0))</f>
        <v>5</v>
      </c>
      <c r="AI52">
        <f>IF(ISNA(VLOOKUP($A52&amp;AI$1,'For stats end Y DB'!$A:$G,2,0)),0,VLOOKUP($A52&amp;AI$1,'For stats end Y DB'!$A:$G,2,0))</f>
        <v>0</v>
      </c>
      <c r="AJ52">
        <f>IF(ISNA(VLOOKUP($A52&amp;AJ$1,'For stats end Y DB'!$A:$G,2,0)),0,VLOOKUP($A52&amp;AJ$1,'For stats end Y DB'!$A:$G,2,0))</f>
        <v>0</v>
      </c>
      <c r="AK52">
        <f>IF(ISNA(VLOOKUP($A52&amp;AK$1,'For stats end Y DB'!$A:$G,2,0)),0,VLOOKUP($A52&amp;AK$1,'For stats end Y DB'!$A:$G,2,0))</f>
        <v>0</v>
      </c>
      <c r="AL52">
        <f>IF(ISNA(VLOOKUP($A52&amp;AL$1,'For stats end Y DB'!$A:$G,2,0)),0,VLOOKUP($A52&amp;AL$1,'For stats end Y DB'!$A:$G,2,0))</f>
        <v>0</v>
      </c>
      <c r="AM52">
        <f>IF(ISNA(VLOOKUP($A52&amp;AM$1,'For stats end Y DB'!$A:$G,2,0)),0,VLOOKUP($A52&amp;AM$1,'For stats end Y DB'!$A:$G,2,0))</f>
        <v>0</v>
      </c>
      <c r="AN52">
        <f>IF(ISNA(VLOOKUP($A52&amp;AN$1,'For stats end Y DB'!$A:$G,2,0)),0,VLOOKUP($A52&amp;AN$1,'For stats end Y DB'!$A:$G,2,0))</f>
        <v>0</v>
      </c>
      <c r="AP52" t="str">
        <f t="shared" si="3"/>
        <v>La Bavure</v>
      </c>
      <c r="AQ52">
        <f t="shared" si="5"/>
        <v>5</v>
      </c>
      <c r="AR52">
        <f t="shared" si="5"/>
        <v>5</v>
      </c>
      <c r="AS52">
        <f t="shared" si="5"/>
        <v>2</v>
      </c>
      <c r="AT52" s="9">
        <f t="shared" si="6"/>
        <v>0</v>
      </c>
      <c r="AU52">
        <f t="shared" si="2"/>
        <v>26</v>
      </c>
    </row>
    <row r="53" spans="1:47" x14ac:dyDescent="0.2">
      <c r="A53" s="12" t="s">
        <v>15</v>
      </c>
      <c r="B53">
        <f>IF(ISNA(VLOOKUP($A53&amp;B$1,'For stats end Y DB'!$A:$G,2,0)),0,VLOOKUP($A53&amp;B$1,'For stats end Y DB'!$A:$G,2,0))</f>
        <v>4</v>
      </c>
      <c r="C53">
        <f>IF(ISNA(VLOOKUP($A53&amp;C$1,'For stats end Y DB'!$A:$G,2,0)),0,VLOOKUP($A53&amp;C$1,'For stats end Y DB'!$A:$G,2,0))</f>
        <v>2</v>
      </c>
      <c r="D53">
        <f>IF(ISNA(VLOOKUP($A53&amp;D$1,'For stats end Y DB'!$A:$G,2,0)),0,VLOOKUP($A53&amp;D$1,'For stats end Y DB'!$A:$G,2,0))</f>
        <v>0</v>
      </c>
      <c r="E53">
        <f>IF(ISNA(VLOOKUP($A53&amp;E$1,'For stats end Y DB'!$A:$G,2,0)),0,VLOOKUP($A53&amp;E$1,'For stats end Y DB'!$A:$G,2,0))</f>
        <v>2</v>
      </c>
      <c r="F53">
        <f>IF(ISNA(VLOOKUP($A53&amp;F$1,'For stats end Y DB'!$A:$G,2,0)),0,VLOOKUP($A53&amp;F$1,'For stats end Y DB'!$A:$G,2,0))</f>
        <v>0</v>
      </c>
      <c r="G53">
        <f>IF(ISNA(VLOOKUP($A53&amp;G$1,'For stats end Y DB'!$A:$G,2,0)),0,VLOOKUP($A53&amp;G$1,'For stats end Y DB'!$A:$G,2,0))</f>
        <v>5</v>
      </c>
      <c r="H53">
        <f>IF(ISNA(VLOOKUP($A53&amp;H$1,'For stats end Y DB'!$A:$G,2,0)),0,VLOOKUP($A53&amp;H$1,'For stats end Y DB'!$A:$G,2,0))</f>
        <v>5</v>
      </c>
      <c r="I53">
        <f>IF(ISNA(VLOOKUP($A53&amp;I$1,'For stats end Y DB'!$A:$G,2,0)),0,VLOOKUP($A53&amp;I$1,'For stats end Y DB'!$A:$G,2,0))</f>
        <v>1</v>
      </c>
      <c r="J53">
        <f>IF(ISNA(VLOOKUP($A53&amp;J$1,'For stats end Y DB'!$A:$G,2,0)),0,VLOOKUP($A53&amp;J$1,'For stats end Y DB'!$A:$G,2,0))</f>
        <v>0</v>
      </c>
      <c r="K53">
        <f>IF(ISNA(VLOOKUP($A53&amp;K$1,'For stats end Y DB'!$A:$G,2,0)),0,VLOOKUP($A53&amp;K$1,'For stats end Y DB'!$A:$G,2,0))</f>
        <v>0</v>
      </c>
      <c r="L53">
        <f>IF(ISNA(VLOOKUP($A53&amp;L$1,'For stats end Y DB'!$A:$G,2,0)),0,VLOOKUP($A53&amp;L$1,'For stats end Y DB'!$A:$G,2,0))</f>
        <v>2</v>
      </c>
      <c r="M53">
        <f>IF(ISNA(VLOOKUP($A53&amp;M$1,'For stats end Y DB'!$A:$G,2,0)),0,VLOOKUP($A53&amp;M$1,'For stats end Y DB'!$A:$G,2,0))</f>
        <v>3</v>
      </c>
      <c r="N53">
        <f>IF(ISNA(VLOOKUP($A53&amp;N$1,'For stats end Y DB'!$A:$G,2,0)),0,VLOOKUP($A53&amp;N$1,'For stats end Y DB'!$A:$G,2,0))</f>
        <v>0</v>
      </c>
      <c r="O53">
        <f>IF(ISNA(VLOOKUP($A53&amp;O$1,'For stats end Y DB'!$A:$G,2,0)),0,VLOOKUP($A53&amp;O$1,'For stats end Y DB'!$A:$G,2,0))</f>
        <v>7</v>
      </c>
      <c r="P53">
        <f>IF(ISNA(VLOOKUP($A53&amp;P$1,'For stats end Y DB'!$A:$G,2,0)),0,VLOOKUP($A53&amp;P$1,'For stats end Y DB'!$A:$G,2,0))</f>
        <v>5</v>
      </c>
      <c r="Q53">
        <f>IF(ISNA(VLOOKUP($A53&amp;Q$1,'For stats end Y DB'!$A:$G,2,0)),0,VLOOKUP($A53&amp;Q$1,'For stats end Y DB'!$A:$G,2,0))</f>
        <v>5</v>
      </c>
      <c r="R53">
        <f>IF(ISNA(VLOOKUP($A53&amp;R$1,'For stats end Y DB'!$A:$G,2,0)),0,VLOOKUP($A53&amp;R$1,'For stats end Y DB'!$A:$G,2,0))</f>
        <v>7</v>
      </c>
      <c r="S53">
        <f>IF(ISNA(VLOOKUP($A53&amp;S$1,'For stats end Y DB'!$A:$G,2,0)),0,VLOOKUP($A53&amp;S$1,'For stats end Y DB'!$A:$G,2,0))</f>
        <v>0</v>
      </c>
      <c r="T53">
        <f>IF(ISNA(VLOOKUP($A53&amp;T$1,'For stats end Y DB'!$A:$G,2,0)),0,VLOOKUP($A53&amp;T$1,'For stats end Y DB'!$A:$G,2,0))</f>
        <v>0</v>
      </c>
      <c r="U53">
        <f>IF(ISNA(VLOOKUP($A53&amp;U$1,'For stats end Y DB'!$A:$G,2,0)),0,VLOOKUP($A53&amp;U$1,'For stats end Y DB'!$A:$G,2,0))</f>
        <v>0</v>
      </c>
      <c r="V53">
        <f>IF(ISNA(VLOOKUP($A53&amp;V$1,'For stats end Y DB'!$A:$G,2,0)),0,VLOOKUP($A53&amp;V$1,'For stats end Y DB'!$A:$G,2,0))</f>
        <v>1</v>
      </c>
      <c r="W53">
        <f>IF(ISNA(VLOOKUP($A53&amp;W$1,'For stats end Y DB'!$A:$G,2,0)),0,VLOOKUP($A53&amp;W$1,'For stats end Y DB'!$A:$G,2,0))</f>
        <v>2</v>
      </c>
      <c r="X53">
        <f>IF(ISNA(VLOOKUP($A53&amp;X$1,'For stats end Y DB'!$A:$G,2,0)),0,VLOOKUP($A53&amp;X$1,'For stats end Y DB'!$A:$G,2,0))</f>
        <v>2</v>
      </c>
      <c r="Y53">
        <f>IF(ISNA(VLOOKUP($A53&amp;Y$1,'For stats end Y DB'!$A:$G,2,0)),0,VLOOKUP($A53&amp;Y$1,'For stats end Y DB'!$A:$G,2,0))</f>
        <v>6</v>
      </c>
      <c r="Z53">
        <f>IF(ISNA(VLOOKUP($A53&amp;Z$1,'For stats end Y DB'!$A:$G,2,0)),0,VLOOKUP($A53&amp;Z$1,'For stats end Y DB'!$A:$G,2,0))</f>
        <v>2</v>
      </c>
      <c r="AA53">
        <f>IF(ISNA(VLOOKUP($A53&amp;AA$1,'For stats end Y DB'!$A:$G,2,0)),0,VLOOKUP($A53&amp;AA$1,'For stats end Y DB'!$A:$G,2,0))</f>
        <v>3</v>
      </c>
      <c r="AB53">
        <f>IF(ISNA(VLOOKUP($A53&amp;AB$1,'For stats end Y DB'!$A:$G,2,0)),0,VLOOKUP($A53&amp;AB$1,'For stats end Y DB'!$A:$G,2,0))</f>
        <v>3</v>
      </c>
      <c r="AC53">
        <f>IF(ISNA(VLOOKUP($A53&amp;AC$1,'For stats end Y DB'!$A:$G,2,0)),0,VLOOKUP($A53&amp;AC$1,'For stats end Y DB'!$A:$G,2,0))</f>
        <v>0</v>
      </c>
      <c r="AD53">
        <f>IF(ISNA(VLOOKUP($A53&amp;AD$1,'For stats end Y DB'!$A:$G,2,0)),0,VLOOKUP($A53&amp;AD$1,'For stats end Y DB'!$A:$G,2,0))</f>
        <v>4</v>
      </c>
      <c r="AE53">
        <f>IF(ISNA(VLOOKUP($A53&amp;AE$1,'For stats end Y DB'!$A:$G,2,0)),0,VLOOKUP($A53&amp;AE$1,'For stats end Y DB'!$A:$G,2,0))</f>
        <v>1</v>
      </c>
      <c r="AF53">
        <f>IF(ISNA(VLOOKUP($A53&amp;AF$1,'For stats end Y DB'!$A:$G,2,0)),0,VLOOKUP($A53&amp;AF$1,'For stats end Y DB'!$A:$G,2,0))</f>
        <v>0</v>
      </c>
      <c r="AG53">
        <f>IF(ISNA(VLOOKUP($A53&amp;AG$1,'For stats end Y DB'!$A:$G,2,0)),0,VLOOKUP($A53&amp;AG$1,'For stats end Y DB'!$A:$G,2,0))</f>
        <v>0</v>
      </c>
      <c r="AH53">
        <f>IF(ISNA(VLOOKUP($A53&amp;AH$1,'For stats end Y DB'!$A:$G,2,0)),0,VLOOKUP($A53&amp;AH$1,'For stats end Y DB'!$A:$G,2,0))</f>
        <v>0</v>
      </c>
      <c r="AI53">
        <f>IF(ISNA(VLOOKUP($A53&amp;AI$1,'For stats end Y DB'!$A:$G,2,0)),0,VLOOKUP($A53&amp;AI$1,'For stats end Y DB'!$A:$G,2,0))</f>
        <v>0</v>
      </c>
      <c r="AJ53">
        <f>IF(ISNA(VLOOKUP($A53&amp;AJ$1,'For stats end Y DB'!$A:$G,2,0)),0,VLOOKUP($A53&amp;AJ$1,'For stats end Y DB'!$A:$G,2,0))</f>
        <v>0</v>
      </c>
      <c r="AK53">
        <f>IF(ISNA(VLOOKUP($A53&amp;AK$1,'For stats end Y DB'!$A:$G,2,0)),0,VLOOKUP($A53&amp;AK$1,'For stats end Y DB'!$A:$G,2,0))</f>
        <v>0</v>
      </c>
      <c r="AL53">
        <f>IF(ISNA(VLOOKUP($A53&amp;AL$1,'For stats end Y DB'!$A:$G,2,0)),0,VLOOKUP($A53&amp;AL$1,'For stats end Y DB'!$A:$G,2,0))</f>
        <v>0</v>
      </c>
      <c r="AM53">
        <f>IF(ISNA(VLOOKUP($A53&amp;AM$1,'For stats end Y DB'!$A:$G,2,0)),0,VLOOKUP($A53&amp;AM$1,'For stats end Y DB'!$A:$G,2,0))</f>
        <v>0</v>
      </c>
      <c r="AN53">
        <f>IF(ISNA(VLOOKUP($A53&amp;AN$1,'For stats end Y DB'!$A:$G,2,0)),0,VLOOKUP($A53&amp;AN$1,'For stats end Y DB'!$A:$G,2,0))</f>
        <v>0</v>
      </c>
      <c r="AP53" t="str">
        <f t="shared" si="3"/>
        <v>LAAtof</v>
      </c>
      <c r="AQ53">
        <f t="shared" si="5"/>
        <v>3</v>
      </c>
      <c r="AR53">
        <f t="shared" si="5"/>
        <v>6</v>
      </c>
      <c r="AS53">
        <f t="shared" si="5"/>
        <v>3</v>
      </c>
      <c r="AT53" s="9">
        <f t="shared" si="6"/>
        <v>0</v>
      </c>
      <c r="AU53">
        <f t="shared" si="2"/>
        <v>21</v>
      </c>
    </row>
    <row r="54" spans="1:47" x14ac:dyDescent="0.2">
      <c r="A54" s="12" t="s">
        <v>40</v>
      </c>
      <c r="B54">
        <f>IF(ISNA(VLOOKUP($A54&amp;B$1,'For stats end Y DB'!$A:$G,2,0)),0,VLOOKUP($A54&amp;B$1,'For stats end Y DB'!$A:$G,2,0))</f>
        <v>0</v>
      </c>
      <c r="C54">
        <f>IF(ISNA(VLOOKUP($A54&amp;C$1,'For stats end Y DB'!$A:$G,2,0)),0,VLOOKUP($A54&amp;C$1,'For stats end Y DB'!$A:$G,2,0))</f>
        <v>0</v>
      </c>
      <c r="D54">
        <f>IF(ISNA(VLOOKUP($A54&amp;D$1,'For stats end Y DB'!$A:$G,2,0)),0,VLOOKUP($A54&amp;D$1,'For stats end Y DB'!$A:$G,2,0))</f>
        <v>5</v>
      </c>
      <c r="E54">
        <f>IF(ISNA(VLOOKUP($A54&amp;E$1,'For stats end Y DB'!$A:$G,2,0)),0,VLOOKUP($A54&amp;E$1,'For stats end Y DB'!$A:$G,2,0))</f>
        <v>6</v>
      </c>
      <c r="F54">
        <f>IF(ISNA(VLOOKUP($A54&amp;F$1,'For stats end Y DB'!$A:$G,2,0)),0,VLOOKUP($A54&amp;F$1,'For stats end Y DB'!$A:$G,2,0))</f>
        <v>0</v>
      </c>
      <c r="G54">
        <f>IF(ISNA(VLOOKUP($A54&amp;G$1,'For stats end Y DB'!$A:$G,2,0)),0,VLOOKUP($A54&amp;G$1,'For stats end Y DB'!$A:$G,2,0))</f>
        <v>1</v>
      </c>
      <c r="H54">
        <f>IF(ISNA(VLOOKUP($A54&amp;H$1,'For stats end Y DB'!$A:$G,2,0)),0,VLOOKUP($A54&amp;H$1,'For stats end Y DB'!$A:$G,2,0))</f>
        <v>0</v>
      </c>
      <c r="I54">
        <f>IF(ISNA(VLOOKUP($A54&amp;I$1,'For stats end Y DB'!$A:$G,2,0)),0,VLOOKUP($A54&amp;I$1,'For stats end Y DB'!$A:$G,2,0))</f>
        <v>0</v>
      </c>
      <c r="J54">
        <f>IF(ISNA(VLOOKUP($A54&amp;J$1,'For stats end Y DB'!$A:$G,2,0)),0,VLOOKUP($A54&amp;J$1,'For stats end Y DB'!$A:$G,2,0))</f>
        <v>0</v>
      </c>
      <c r="K54">
        <f>IF(ISNA(VLOOKUP($A54&amp;K$1,'For stats end Y DB'!$A:$G,2,0)),0,VLOOKUP($A54&amp;K$1,'For stats end Y DB'!$A:$G,2,0))</f>
        <v>0</v>
      </c>
      <c r="L54">
        <f>IF(ISNA(VLOOKUP($A54&amp;L$1,'For stats end Y DB'!$A:$G,2,0)),0,VLOOKUP($A54&amp;L$1,'For stats end Y DB'!$A:$G,2,0))</f>
        <v>0</v>
      </c>
      <c r="M54">
        <f>IF(ISNA(VLOOKUP($A54&amp;M$1,'For stats end Y DB'!$A:$G,2,0)),0,VLOOKUP($A54&amp;M$1,'For stats end Y DB'!$A:$G,2,0))</f>
        <v>0</v>
      </c>
      <c r="N54">
        <f>IF(ISNA(VLOOKUP($A54&amp;N$1,'For stats end Y DB'!$A:$G,2,0)),0,VLOOKUP($A54&amp;N$1,'For stats end Y DB'!$A:$G,2,0))</f>
        <v>4</v>
      </c>
      <c r="O54">
        <f>IF(ISNA(VLOOKUP($A54&amp;O$1,'For stats end Y DB'!$A:$G,2,0)),0,VLOOKUP($A54&amp;O$1,'For stats end Y DB'!$A:$G,2,0))</f>
        <v>6</v>
      </c>
      <c r="P54">
        <f>IF(ISNA(VLOOKUP($A54&amp;P$1,'For stats end Y DB'!$A:$G,2,0)),0,VLOOKUP($A54&amp;P$1,'For stats end Y DB'!$A:$G,2,0))</f>
        <v>0</v>
      </c>
      <c r="Q54">
        <f>IF(ISNA(VLOOKUP($A54&amp;Q$1,'For stats end Y DB'!$A:$G,2,0)),0,VLOOKUP($A54&amp;Q$1,'For stats end Y DB'!$A:$G,2,0))</f>
        <v>0</v>
      </c>
      <c r="R54">
        <f>IF(ISNA(VLOOKUP($A54&amp;R$1,'For stats end Y DB'!$A:$G,2,0)),0,VLOOKUP($A54&amp;R$1,'For stats end Y DB'!$A:$G,2,0))</f>
        <v>0</v>
      </c>
      <c r="S54">
        <f>IF(ISNA(VLOOKUP($A54&amp;S$1,'For stats end Y DB'!$A:$G,2,0)),0,VLOOKUP($A54&amp;S$1,'For stats end Y DB'!$A:$G,2,0))</f>
        <v>0</v>
      </c>
      <c r="T54">
        <f>IF(ISNA(VLOOKUP($A54&amp;T$1,'For stats end Y DB'!$A:$G,2,0)),0,VLOOKUP($A54&amp;T$1,'For stats end Y DB'!$A:$G,2,0))</f>
        <v>0</v>
      </c>
      <c r="U54">
        <f>IF(ISNA(VLOOKUP($A54&amp;U$1,'For stats end Y DB'!$A:$G,2,0)),0,VLOOKUP($A54&amp;U$1,'For stats end Y DB'!$A:$G,2,0))</f>
        <v>0</v>
      </c>
      <c r="V54">
        <f>IF(ISNA(VLOOKUP($A54&amp;V$1,'For stats end Y DB'!$A:$G,2,0)),0,VLOOKUP($A54&amp;V$1,'For stats end Y DB'!$A:$G,2,0))</f>
        <v>6</v>
      </c>
      <c r="W54">
        <f>IF(ISNA(VLOOKUP($A54&amp;W$1,'For stats end Y DB'!$A:$G,2,0)),0,VLOOKUP($A54&amp;W$1,'For stats end Y DB'!$A:$G,2,0))</f>
        <v>5</v>
      </c>
      <c r="X54">
        <f>IF(ISNA(VLOOKUP($A54&amp;X$1,'For stats end Y DB'!$A:$G,2,0)),0,VLOOKUP($A54&amp;X$1,'For stats end Y DB'!$A:$G,2,0))</f>
        <v>0</v>
      </c>
      <c r="Y54">
        <f>IF(ISNA(VLOOKUP($A54&amp;Y$1,'For stats end Y DB'!$A:$G,2,0)),0,VLOOKUP($A54&amp;Y$1,'For stats end Y DB'!$A:$G,2,0))</f>
        <v>5</v>
      </c>
      <c r="Z54">
        <f>IF(ISNA(VLOOKUP($A54&amp;Z$1,'For stats end Y DB'!$A:$G,2,0)),0,VLOOKUP($A54&amp;Z$1,'For stats end Y DB'!$A:$G,2,0))</f>
        <v>0</v>
      </c>
      <c r="AA54">
        <f>IF(ISNA(VLOOKUP($A54&amp;AA$1,'For stats end Y DB'!$A:$G,2,0)),0,VLOOKUP($A54&amp;AA$1,'For stats end Y DB'!$A:$G,2,0))</f>
        <v>0</v>
      </c>
      <c r="AB54">
        <f>IF(ISNA(VLOOKUP($A54&amp;AB$1,'For stats end Y DB'!$A:$G,2,0)),0,VLOOKUP($A54&amp;AB$1,'For stats end Y DB'!$A:$G,2,0))</f>
        <v>5</v>
      </c>
      <c r="AC54">
        <f>IF(ISNA(VLOOKUP($A54&amp;AC$1,'For stats end Y DB'!$A:$G,2,0)),0,VLOOKUP($A54&amp;AC$1,'For stats end Y DB'!$A:$G,2,0))</f>
        <v>5</v>
      </c>
      <c r="AD54">
        <f>IF(ISNA(VLOOKUP($A54&amp;AD$1,'For stats end Y DB'!$A:$G,2,0)),0,VLOOKUP($A54&amp;AD$1,'For stats end Y DB'!$A:$G,2,0))</f>
        <v>0</v>
      </c>
      <c r="AE54">
        <f>IF(ISNA(VLOOKUP($A54&amp;AE$1,'For stats end Y DB'!$A:$G,2,0)),0,VLOOKUP($A54&amp;AE$1,'For stats end Y DB'!$A:$G,2,0))</f>
        <v>5</v>
      </c>
      <c r="AF54">
        <f>IF(ISNA(VLOOKUP($A54&amp;AF$1,'For stats end Y DB'!$A:$G,2,0)),0,VLOOKUP($A54&amp;AF$1,'For stats end Y DB'!$A:$G,2,0))</f>
        <v>0</v>
      </c>
      <c r="AG54">
        <f>IF(ISNA(VLOOKUP($A54&amp;AG$1,'For stats end Y DB'!$A:$G,2,0)),0,VLOOKUP($A54&amp;AG$1,'For stats end Y DB'!$A:$G,2,0))</f>
        <v>6</v>
      </c>
      <c r="AH54">
        <f>IF(ISNA(VLOOKUP($A54&amp;AH$1,'For stats end Y DB'!$A:$G,2,0)),0,VLOOKUP($A54&amp;AH$1,'For stats end Y DB'!$A:$G,2,0))</f>
        <v>0</v>
      </c>
      <c r="AI54">
        <f>IF(ISNA(VLOOKUP($A54&amp;AI$1,'For stats end Y DB'!$A:$G,2,0)),0,VLOOKUP($A54&amp;AI$1,'For stats end Y DB'!$A:$G,2,0))</f>
        <v>0</v>
      </c>
      <c r="AJ54">
        <f>IF(ISNA(VLOOKUP($A54&amp;AJ$1,'For stats end Y DB'!$A:$G,2,0)),0,VLOOKUP($A54&amp;AJ$1,'For stats end Y DB'!$A:$G,2,0))</f>
        <v>0</v>
      </c>
      <c r="AK54">
        <f>IF(ISNA(VLOOKUP($A54&amp;AK$1,'For stats end Y DB'!$A:$G,2,0)),0,VLOOKUP($A54&amp;AK$1,'For stats end Y DB'!$A:$G,2,0))</f>
        <v>0</v>
      </c>
      <c r="AL54">
        <f>IF(ISNA(VLOOKUP($A54&amp;AL$1,'For stats end Y DB'!$A:$G,2,0)),0,VLOOKUP($A54&amp;AL$1,'For stats end Y DB'!$A:$G,2,0))</f>
        <v>0</v>
      </c>
      <c r="AM54">
        <f>IF(ISNA(VLOOKUP($A54&amp;AM$1,'For stats end Y DB'!$A:$G,2,0)),0,VLOOKUP($A54&amp;AM$1,'For stats end Y DB'!$A:$G,2,0))</f>
        <v>0</v>
      </c>
      <c r="AN54">
        <f>IF(ISNA(VLOOKUP($A54&amp;AN$1,'For stats end Y DB'!$A:$G,2,0)),0,VLOOKUP($A54&amp;AN$1,'For stats end Y DB'!$A:$G,2,0))</f>
        <v>0</v>
      </c>
      <c r="AP54" t="str">
        <f t="shared" si="3"/>
        <v>Lén@</v>
      </c>
      <c r="AQ54">
        <f t="shared" si="5"/>
        <v>1</v>
      </c>
      <c r="AR54">
        <f t="shared" si="5"/>
        <v>0</v>
      </c>
      <c r="AS54">
        <f t="shared" si="5"/>
        <v>0</v>
      </c>
      <c r="AT54" s="9">
        <f t="shared" si="6"/>
        <v>0</v>
      </c>
      <c r="AU54">
        <f t="shared" si="2"/>
        <v>12</v>
      </c>
    </row>
    <row r="55" spans="1:47" x14ac:dyDescent="0.2">
      <c r="A55" s="12" t="s">
        <v>558</v>
      </c>
      <c r="B55">
        <f>IF(ISNA(VLOOKUP($A55&amp;B$1,'For stats end Y DB'!$A:$G,2,0)),0,VLOOKUP($A55&amp;B$1,'For stats end Y DB'!$A:$G,2,0))</f>
        <v>0</v>
      </c>
      <c r="C55">
        <f>IF(ISNA(VLOOKUP($A55&amp;C$1,'For stats end Y DB'!$A:$G,2,0)),0,VLOOKUP($A55&amp;C$1,'For stats end Y DB'!$A:$G,2,0))</f>
        <v>0</v>
      </c>
      <c r="D55">
        <f>IF(ISNA(VLOOKUP($A55&amp;D$1,'For stats end Y DB'!$A:$G,2,0)),0,VLOOKUP($A55&amp;D$1,'For stats end Y DB'!$A:$G,2,0))</f>
        <v>0</v>
      </c>
      <c r="E55">
        <f>IF(ISNA(VLOOKUP($A55&amp;E$1,'For stats end Y DB'!$A:$G,2,0)),0,VLOOKUP($A55&amp;E$1,'For stats end Y DB'!$A:$G,2,0))</f>
        <v>0</v>
      </c>
      <c r="F55">
        <f>IF(ISNA(VLOOKUP($A55&amp;F$1,'For stats end Y DB'!$A:$G,2,0)),0,VLOOKUP($A55&amp;F$1,'For stats end Y DB'!$A:$G,2,0))</f>
        <v>0</v>
      </c>
      <c r="G55">
        <f>IF(ISNA(VLOOKUP($A55&amp;G$1,'For stats end Y DB'!$A:$G,2,0)),0,VLOOKUP($A55&amp;G$1,'For stats end Y DB'!$A:$G,2,0))</f>
        <v>0</v>
      </c>
      <c r="H55">
        <f>IF(ISNA(VLOOKUP($A55&amp;H$1,'For stats end Y DB'!$A:$G,2,0)),0,VLOOKUP($A55&amp;H$1,'For stats end Y DB'!$A:$G,2,0))</f>
        <v>0</v>
      </c>
      <c r="I55">
        <f>IF(ISNA(VLOOKUP($A55&amp;I$1,'For stats end Y DB'!$A:$G,2,0)),0,VLOOKUP($A55&amp;I$1,'For stats end Y DB'!$A:$G,2,0))</f>
        <v>0</v>
      </c>
      <c r="J55">
        <f>IF(ISNA(VLOOKUP($A55&amp;J$1,'For stats end Y DB'!$A:$G,2,0)),0,VLOOKUP($A55&amp;J$1,'For stats end Y DB'!$A:$G,2,0))</f>
        <v>0</v>
      </c>
      <c r="K55">
        <f>IF(ISNA(VLOOKUP($A55&amp;K$1,'For stats end Y DB'!$A:$G,2,0)),0,VLOOKUP($A55&amp;K$1,'For stats end Y DB'!$A:$G,2,0))</f>
        <v>0</v>
      </c>
      <c r="L55">
        <f>IF(ISNA(VLOOKUP($A55&amp;L$1,'For stats end Y DB'!$A:$G,2,0)),0,VLOOKUP($A55&amp;L$1,'For stats end Y DB'!$A:$G,2,0))</f>
        <v>0</v>
      </c>
      <c r="M55">
        <f>IF(ISNA(VLOOKUP($A55&amp;M$1,'For stats end Y DB'!$A:$G,2,0)),0,VLOOKUP($A55&amp;M$1,'For stats end Y DB'!$A:$G,2,0))</f>
        <v>0</v>
      </c>
      <c r="N55">
        <f>IF(ISNA(VLOOKUP($A55&amp;N$1,'For stats end Y DB'!$A:$G,2,0)),0,VLOOKUP($A55&amp;N$1,'For stats end Y DB'!$A:$G,2,0))</f>
        <v>0</v>
      </c>
      <c r="O55">
        <f>IF(ISNA(VLOOKUP($A55&amp;O$1,'For stats end Y DB'!$A:$G,2,0)),0,VLOOKUP($A55&amp;O$1,'For stats end Y DB'!$A:$G,2,0))</f>
        <v>0</v>
      </c>
      <c r="P55">
        <f>IF(ISNA(VLOOKUP($A55&amp;P$1,'For stats end Y DB'!$A:$G,2,0)),0,VLOOKUP($A55&amp;P$1,'For stats end Y DB'!$A:$G,2,0))</f>
        <v>0</v>
      </c>
      <c r="Q55">
        <f>IF(ISNA(VLOOKUP($A55&amp;Q$1,'For stats end Y DB'!$A:$G,2,0)),0,VLOOKUP($A55&amp;Q$1,'For stats end Y DB'!$A:$G,2,0))</f>
        <v>0</v>
      </c>
      <c r="R55">
        <f>IF(ISNA(VLOOKUP($A55&amp;R$1,'For stats end Y DB'!$A:$G,2,0)),0,VLOOKUP($A55&amp;R$1,'For stats end Y DB'!$A:$G,2,0))</f>
        <v>0</v>
      </c>
      <c r="S55">
        <f>IF(ISNA(VLOOKUP($A55&amp;S$1,'For stats end Y DB'!$A:$G,2,0)),0,VLOOKUP($A55&amp;S$1,'For stats end Y DB'!$A:$G,2,0))</f>
        <v>0</v>
      </c>
      <c r="T55">
        <f>IF(ISNA(VLOOKUP($A55&amp;T$1,'For stats end Y DB'!$A:$G,2,0)),0,VLOOKUP($A55&amp;T$1,'For stats end Y DB'!$A:$G,2,0))</f>
        <v>0</v>
      </c>
      <c r="U55">
        <f>IF(ISNA(VLOOKUP($A55&amp;U$1,'For stats end Y DB'!$A:$G,2,0)),0,VLOOKUP($A55&amp;U$1,'For stats end Y DB'!$A:$G,2,0))</f>
        <v>0</v>
      </c>
      <c r="V55">
        <f>IF(ISNA(VLOOKUP($A55&amp;V$1,'For stats end Y DB'!$A:$G,2,0)),0,VLOOKUP($A55&amp;V$1,'For stats end Y DB'!$A:$G,2,0))</f>
        <v>0</v>
      </c>
      <c r="W55">
        <f>IF(ISNA(VLOOKUP($A55&amp;W$1,'For stats end Y DB'!$A:$G,2,0)),0,VLOOKUP($A55&amp;W$1,'For stats end Y DB'!$A:$G,2,0))</f>
        <v>0</v>
      </c>
      <c r="X55">
        <f>IF(ISNA(VLOOKUP($A55&amp;X$1,'For stats end Y DB'!$A:$G,2,0)),0,VLOOKUP($A55&amp;X$1,'For stats end Y DB'!$A:$G,2,0))</f>
        <v>0</v>
      </c>
      <c r="Y55">
        <f>IF(ISNA(VLOOKUP($A55&amp;Y$1,'For stats end Y DB'!$A:$G,2,0)),0,VLOOKUP($A55&amp;Y$1,'For stats end Y DB'!$A:$G,2,0))</f>
        <v>0</v>
      </c>
      <c r="Z55">
        <f>IF(ISNA(VLOOKUP($A55&amp;Z$1,'For stats end Y DB'!$A:$G,2,0)),0,VLOOKUP($A55&amp;Z$1,'For stats end Y DB'!$A:$G,2,0))</f>
        <v>0</v>
      </c>
      <c r="AA55">
        <f>IF(ISNA(VLOOKUP($A55&amp;AA$1,'For stats end Y DB'!$A:$G,2,0)),0,VLOOKUP($A55&amp;AA$1,'For stats end Y DB'!$A:$G,2,0))</f>
        <v>0</v>
      </c>
      <c r="AB55">
        <f>IF(ISNA(VLOOKUP($A55&amp;AB$1,'For stats end Y DB'!$A:$G,2,0)),0,VLOOKUP($A55&amp;AB$1,'For stats end Y DB'!$A:$G,2,0))</f>
        <v>2</v>
      </c>
      <c r="AC55">
        <f>IF(ISNA(VLOOKUP($A55&amp;AC$1,'For stats end Y DB'!$A:$G,2,0)),0,VLOOKUP($A55&amp;AC$1,'For stats end Y DB'!$A:$G,2,0))</f>
        <v>4</v>
      </c>
      <c r="AD55">
        <f>IF(ISNA(VLOOKUP($A55&amp;AD$1,'For stats end Y DB'!$A:$G,2,0)),0,VLOOKUP($A55&amp;AD$1,'For stats end Y DB'!$A:$G,2,0))</f>
        <v>1</v>
      </c>
      <c r="AE55">
        <f>IF(ISNA(VLOOKUP($A55&amp;AE$1,'For stats end Y DB'!$A:$G,2,0)),0,VLOOKUP($A55&amp;AE$1,'For stats end Y DB'!$A:$G,2,0))</f>
        <v>2</v>
      </c>
      <c r="AF55">
        <f>IF(ISNA(VLOOKUP($A55&amp;AF$1,'For stats end Y DB'!$A:$G,2,0)),0,VLOOKUP($A55&amp;AF$1,'For stats end Y DB'!$A:$G,2,0))</f>
        <v>1</v>
      </c>
      <c r="AG55">
        <f>IF(ISNA(VLOOKUP($A55&amp;AG$1,'For stats end Y DB'!$A:$G,2,0)),0,VLOOKUP($A55&amp;AG$1,'For stats end Y DB'!$A:$G,2,0))</f>
        <v>1</v>
      </c>
      <c r="AH55">
        <f>IF(ISNA(VLOOKUP($A55&amp;AH$1,'For stats end Y DB'!$A:$G,2,0)),0,VLOOKUP($A55&amp;AH$1,'For stats end Y DB'!$A:$G,2,0))</f>
        <v>3</v>
      </c>
      <c r="AI55">
        <f>IF(ISNA(VLOOKUP($A55&amp;AI$1,'For stats end Y DB'!$A:$G,2,0)),0,VLOOKUP($A55&amp;AI$1,'For stats end Y DB'!$A:$G,2,0))</f>
        <v>0</v>
      </c>
      <c r="AJ55">
        <f>IF(ISNA(VLOOKUP($A55&amp;AJ$1,'For stats end Y DB'!$A:$G,2,0)),0,VLOOKUP($A55&amp;AJ$1,'For stats end Y DB'!$A:$G,2,0))</f>
        <v>0</v>
      </c>
      <c r="AK55">
        <f>IF(ISNA(VLOOKUP($A55&amp;AK$1,'For stats end Y DB'!$A:$G,2,0)),0,VLOOKUP($A55&amp;AK$1,'For stats end Y DB'!$A:$G,2,0))</f>
        <v>0</v>
      </c>
      <c r="AL55">
        <f>IF(ISNA(VLOOKUP($A55&amp;AL$1,'For stats end Y DB'!$A:$G,2,0)),0,VLOOKUP($A55&amp;AL$1,'For stats end Y DB'!$A:$G,2,0))</f>
        <v>0</v>
      </c>
      <c r="AM55">
        <f>IF(ISNA(VLOOKUP($A55&amp;AM$1,'For stats end Y DB'!$A:$G,2,0)),0,VLOOKUP($A55&amp;AM$1,'For stats end Y DB'!$A:$G,2,0))</f>
        <v>0</v>
      </c>
      <c r="AN55">
        <f>IF(ISNA(VLOOKUP($A55&amp;AN$1,'For stats end Y DB'!$A:$G,2,0)),0,VLOOKUP($A55&amp;AN$1,'For stats end Y DB'!$A:$G,2,0))</f>
        <v>0</v>
      </c>
      <c r="AP55" t="str">
        <f t="shared" si="3"/>
        <v>Light</v>
      </c>
      <c r="AQ55">
        <f t="shared" si="5"/>
        <v>3</v>
      </c>
      <c r="AR55">
        <f t="shared" si="5"/>
        <v>2</v>
      </c>
      <c r="AS55">
        <f t="shared" si="5"/>
        <v>1</v>
      </c>
      <c r="AT55" s="9">
        <f t="shared" si="6"/>
        <v>0</v>
      </c>
      <c r="AU55">
        <f t="shared" si="2"/>
        <v>7</v>
      </c>
    </row>
    <row r="56" spans="1:47" x14ac:dyDescent="0.2">
      <c r="A56" s="12" t="s">
        <v>462</v>
      </c>
      <c r="B56">
        <f>IF(ISNA(VLOOKUP($A56&amp;B$1,'For stats end Y DB'!$A:$G,2,0)),0,VLOOKUP($A56&amp;B$1,'For stats end Y DB'!$A:$G,2,0))</f>
        <v>0</v>
      </c>
      <c r="C56">
        <f>IF(ISNA(VLOOKUP($A56&amp;C$1,'For stats end Y DB'!$A:$G,2,0)),0,VLOOKUP($A56&amp;C$1,'For stats end Y DB'!$A:$G,2,0))</f>
        <v>0</v>
      </c>
      <c r="D56">
        <f>IF(ISNA(VLOOKUP($A56&amp;D$1,'For stats end Y DB'!$A:$G,2,0)),0,VLOOKUP($A56&amp;D$1,'For stats end Y DB'!$A:$G,2,0))</f>
        <v>5</v>
      </c>
      <c r="E56">
        <f>IF(ISNA(VLOOKUP($A56&amp;E$1,'For stats end Y DB'!$A:$G,2,0)),0,VLOOKUP($A56&amp;E$1,'For stats end Y DB'!$A:$G,2,0))</f>
        <v>0</v>
      </c>
      <c r="F56">
        <f>IF(ISNA(VLOOKUP($A56&amp;F$1,'For stats end Y DB'!$A:$G,2,0)),0,VLOOKUP($A56&amp;F$1,'For stats end Y DB'!$A:$G,2,0))</f>
        <v>5</v>
      </c>
      <c r="G56">
        <f>IF(ISNA(VLOOKUP($A56&amp;G$1,'For stats end Y DB'!$A:$G,2,0)),0,VLOOKUP($A56&amp;G$1,'For stats end Y DB'!$A:$G,2,0))</f>
        <v>7</v>
      </c>
      <c r="H56">
        <f>IF(ISNA(VLOOKUP($A56&amp;H$1,'For stats end Y DB'!$A:$G,2,0)),0,VLOOKUP($A56&amp;H$1,'For stats end Y DB'!$A:$G,2,0))</f>
        <v>0</v>
      </c>
      <c r="I56">
        <f>IF(ISNA(VLOOKUP($A56&amp;I$1,'For stats end Y DB'!$A:$G,2,0)),0,VLOOKUP($A56&amp;I$1,'For stats end Y DB'!$A:$G,2,0))</f>
        <v>0</v>
      </c>
      <c r="J56">
        <f>IF(ISNA(VLOOKUP($A56&amp;J$1,'For stats end Y DB'!$A:$G,2,0)),0,VLOOKUP($A56&amp;J$1,'For stats end Y DB'!$A:$G,2,0))</f>
        <v>0</v>
      </c>
      <c r="K56">
        <f>IF(ISNA(VLOOKUP($A56&amp;K$1,'For stats end Y DB'!$A:$G,2,0)),0,VLOOKUP($A56&amp;K$1,'For stats end Y DB'!$A:$G,2,0))</f>
        <v>0</v>
      </c>
      <c r="L56">
        <f>IF(ISNA(VLOOKUP($A56&amp;L$1,'For stats end Y DB'!$A:$G,2,0)),0,VLOOKUP($A56&amp;L$1,'For stats end Y DB'!$A:$G,2,0))</f>
        <v>0</v>
      </c>
      <c r="M56">
        <f>IF(ISNA(VLOOKUP($A56&amp;M$1,'For stats end Y DB'!$A:$G,2,0)),0,VLOOKUP($A56&amp;M$1,'For stats end Y DB'!$A:$G,2,0))</f>
        <v>0</v>
      </c>
      <c r="N56">
        <f>IF(ISNA(VLOOKUP($A56&amp;N$1,'For stats end Y DB'!$A:$G,2,0)),0,VLOOKUP($A56&amp;N$1,'For stats end Y DB'!$A:$G,2,0))</f>
        <v>5</v>
      </c>
      <c r="O56">
        <f>IF(ISNA(VLOOKUP($A56&amp;O$1,'For stats end Y DB'!$A:$G,2,0)),0,VLOOKUP($A56&amp;O$1,'For stats end Y DB'!$A:$G,2,0))</f>
        <v>0</v>
      </c>
      <c r="P56">
        <f>IF(ISNA(VLOOKUP($A56&amp;P$1,'For stats end Y DB'!$A:$G,2,0)),0,VLOOKUP($A56&amp;P$1,'For stats end Y DB'!$A:$G,2,0))</f>
        <v>0</v>
      </c>
      <c r="Q56">
        <f>IF(ISNA(VLOOKUP($A56&amp;Q$1,'For stats end Y DB'!$A:$G,2,0)),0,VLOOKUP($A56&amp;Q$1,'For stats end Y DB'!$A:$G,2,0))</f>
        <v>0</v>
      </c>
      <c r="R56">
        <f>IF(ISNA(VLOOKUP($A56&amp;R$1,'For stats end Y DB'!$A:$G,2,0)),0,VLOOKUP($A56&amp;R$1,'For stats end Y DB'!$A:$G,2,0))</f>
        <v>0</v>
      </c>
      <c r="S56">
        <f>IF(ISNA(VLOOKUP($A56&amp;S$1,'For stats end Y DB'!$A:$G,2,0)),0,VLOOKUP($A56&amp;S$1,'For stats end Y DB'!$A:$G,2,0))</f>
        <v>0</v>
      </c>
      <c r="T56">
        <f>IF(ISNA(VLOOKUP($A56&amp;T$1,'For stats end Y DB'!$A:$G,2,0)),0,VLOOKUP($A56&amp;T$1,'For stats end Y DB'!$A:$G,2,0))</f>
        <v>0</v>
      </c>
      <c r="U56">
        <f>IF(ISNA(VLOOKUP($A56&amp;U$1,'For stats end Y DB'!$A:$G,2,0)),0,VLOOKUP($A56&amp;U$1,'For stats end Y DB'!$A:$G,2,0))</f>
        <v>0</v>
      </c>
      <c r="V56">
        <f>IF(ISNA(VLOOKUP($A56&amp;V$1,'For stats end Y DB'!$A:$G,2,0)),0,VLOOKUP($A56&amp;V$1,'For stats end Y DB'!$A:$G,2,0))</f>
        <v>0</v>
      </c>
      <c r="W56">
        <f>IF(ISNA(VLOOKUP($A56&amp;W$1,'For stats end Y DB'!$A:$G,2,0)),0,VLOOKUP($A56&amp;W$1,'For stats end Y DB'!$A:$G,2,0))</f>
        <v>0</v>
      </c>
      <c r="X56">
        <f>IF(ISNA(VLOOKUP($A56&amp;X$1,'For stats end Y DB'!$A:$G,2,0)),0,VLOOKUP($A56&amp;X$1,'For stats end Y DB'!$A:$G,2,0))</f>
        <v>0</v>
      </c>
      <c r="Y56">
        <f>IF(ISNA(VLOOKUP($A56&amp;Y$1,'For stats end Y DB'!$A:$G,2,0)),0,VLOOKUP($A56&amp;Y$1,'For stats end Y DB'!$A:$G,2,0))</f>
        <v>5</v>
      </c>
      <c r="Z56">
        <f>IF(ISNA(VLOOKUP($A56&amp;Z$1,'For stats end Y DB'!$A:$G,2,0)),0,VLOOKUP($A56&amp;Z$1,'For stats end Y DB'!$A:$G,2,0))</f>
        <v>5</v>
      </c>
      <c r="AA56">
        <f>IF(ISNA(VLOOKUP($A56&amp;AA$1,'For stats end Y DB'!$A:$G,2,0)),0,VLOOKUP($A56&amp;AA$1,'For stats end Y DB'!$A:$G,2,0))</f>
        <v>0</v>
      </c>
      <c r="AB56">
        <f>IF(ISNA(VLOOKUP($A56&amp;AB$1,'For stats end Y DB'!$A:$G,2,0)),0,VLOOKUP($A56&amp;AB$1,'For stats end Y DB'!$A:$G,2,0))</f>
        <v>0</v>
      </c>
      <c r="AC56">
        <f>IF(ISNA(VLOOKUP($A56&amp;AC$1,'For stats end Y DB'!$A:$G,2,0)),0,VLOOKUP($A56&amp;AC$1,'For stats end Y DB'!$A:$G,2,0))</f>
        <v>0</v>
      </c>
      <c r="AD56">
        <f>IF(ISNA(VLOOKUP($A56&amp;AD$1,'For stats end Y DB'!$A:$G,2,0)),0,VLOOKUP($A56&amp;AD$1,'For stats end Y DB'!$A:$G,2,0))</f>
        <v>0</v>
      </c>
      <c r="AE56">
        <f>IF(ISNA(VLOOKUP($A56&amp;AE$1,'For stats end Y DB'!$A:$G,2,0)),0,VLOOKUP($A56&amp;AE$1,'For stats end Y DB'!$A:$G,2,0))</f>
        <v>0</v>
      </c>
      <c r="AF56">
        <f>IF(ISNA(VLOOKUP($A56&amp;AF$1,'For stats end Y DB'!$A:$G,2,0)),0,VLOOKUP($A56&amp;AF$1,'For stats end Y DB'!$A:$G,2,0))</f>
        <v>0</v>
      </c>
      <c r="AG56">
        <f>IF(ISNA(VLOOKUP($A56&amp;AG$1,'For stats end Y DB'!$A:$G,2,0)),0,VLOOKUP($A56&amp;AG$1,'For stats end Y DB'!$A:$G,2,0))</f>
        <v>0</v>
      </c>
      <c r="AH56">
        <f>IF(ISNA(VLOOKUP($A56&amp;AH$1,'For stats end Y DB'!$A:$G,2,0)),0,VLOOKUP($A56&amp;AH$1,'For stats end Y DB'!$A:$G,2,0))</f>
        <v>0</v>
      </c>
      <c r="AI56">
        <f>IF(ISNA(VLOOKUP($A56&amp;AI$1,'For stats end Y DB'!$A:$G,2,0)),0,VLOOKUP($A56&amp;AI$1,'For stats end Y DB'!$A:$G,2,0))</f>
        <v>0</v>
      </c>
      <c r="AJ56">
        <f>IF(ISNA(VLOOKUP($A56&amp;AJ$1,'For stats end Y DB'!$A:$G,2,0)),0,VLOOKUP($A56&amp;AJ$1,'For stats end Y DB'!$A:$G,2,0))</f>
        <v>0</v>
      </c>
      <c r="AK56">
        <f>IF(ISNA(VLOOKUP($A56&amp;AK$1,'For stats end Y DB'!$A:$G,2,0)),0,VLOOKUP($A56&amp;AK$1,'For stats end Y DB'!$A:$G,2,0))</f>
        <v>0</v>
      </c>
      <c r="AL56">
        <f>IF(ISNA(VLOOKUP($A56&amp;AL$1,'For stats end Y DB'!$A:$G,2,0)),0,VLOOKUP($A56&amp;AL$1,'For stats end Y DB'!$A:$G,2,0))</f>
        <v>0</v>
      </c>
      <c r="AM56">
        <f>IF(ISNA(VLOOKUP($A56&amp;AM$1,'For stats end Y DB'!$A:$G,2,0)),0,VLOOKUP($A56&amp;AM$1,'For stats end Y DB'!$A:$G,2,0))</f>
        <v>0</v>
      </c>
      <c r="AN56">
        <f>IF(ISNA(VLOOKUP($A56&amp;AN$1,'For stats end Y DB'!$A:$G,2,0)),0,VLOOKUP($A56&amp;AN$1,'For stats end Y DB'!$A:$G,2,0))</f>
        <v>0</v>
      </c>
      <c r="AP56" t="str">
        <f t="shared" si="3"/>
        <v>Lizzie</v>
      </c>
      <c r="AQ56">
        <f t="shared" si="5"/>
        <v>0</v>
      </c>
      <c r="AR56">
        <f t="shared" si="5"/>
        <v>0</v>
      </c>
      <c r="AS56">
        <f t="shared" si="5"/>
        <v>0</v>
      </c>
      <c r="AT56" s="9">
        <f t="shared" si="6"/>
        <v>0</v>
      </c>
      <c r="AU56">
        <f t="shared" si="2"/>
        <v>6</v>
      </c>
    </row>
    <row r="57" spans="1:47" x14ac:dyDescent="0.2">
      <c r="A57" s="12" t="s">
        <v>507</v>
      </c>
      <c r="B57">
        <f>IF(ISNA(VLOOKUP($A57&amp;B$1,'For stats end Y DB'!$A:$G,2,0)),0,VLOOKUP($A57&amp;B$1,'For stats end Y DB'!$A:$G,2,0))</f>
        <v>5</v>
      </c>
      <c r="C57">
        <f>IF(ISNA(VLOOKUP($A57&amp;C$1,'For stats end Y DB'!$A:$G,2,0)),0,VLOOKUP($A57&amp;C$1,'For stats end Y DB'!$A:$G,2,0))</f>
        <v>2</v>
      </c>
      <c r="D57">
        <f>IF(ISNA(VLOOKUP($A57&amp;D$1,'For stats end Y DB'!$A:$G,2,0)),0,VLOOKUP($A57&amp;D$1,'For stats end Y DB'!$A:$G,2,0))</f>
        <v>1</v>
      </c>
      <c r="E57">
        <f>IF(ISNA(VLOOKUP($A57&amp;E$1,'For stats end Y DB'!$A:$G,2,0)),0,VLOOKUP($A57&amp;E$1,'For stats end Y DB'!$A:$G,2,0))</f>
        <v>6</v>
      </c>
      <c r="F57">
        <f>IF(ISNA(VLOOKUP($A57&amp;F$1,'For stats end Y DB'!$A:$G,2,0)),0,VLOOKUP($A57&amp;F$1,'For stats end Y DB'!$A:$G,2,0))</f>
        <v>3</v>
      </c>
      <c r="G57">
        <f>IF(ISNA(VLOOKUP($A57&amp;G$1,'For stats end Y DB'!$A:$G,2,0)),0,VLOOKUP($A57&amp;G$1,'For stats end Y DB'!$A:$G,2,0))</f>
        <v>6</v>
      </c>
      <c r="H57">
        <f>IF(ISNA(VLOOKUP($A57&amp;H$1,'For stats end Y DB'!$A:$G,2,0)),0,VLOOKUP($A57&amp;H$1,'For stats end Y DB'!$A:$G,2,0))</f>
        <v>1</v>
      </c>
      <c r="I57">
        <f>IF(ISNA(VLOOKUP($A57&amp;I$1,'For stats end Y DB'!$A:$G,2,0)),0,VLOOKUP($A57&amp;I$1,'For stats end Y DB'!$A:$G,2,0))</f>
        <v>4</v>
      </c>
      <c r="J57">
        <f>IF(ISNA(VLOOKUP($A57&amp;J$1,'For stats end Y DB'!$A:$G,2,0)),0,VLOOKUP($A57&amp;J$1,'For stats end Y DB'!$A:$G,2,0))</f>
        <v>1</v>
      </c>
      <c r="K57">
        <f>IF(ISNA(VLOOKUP($A57&amp;K$1,'For stats end Y DB'!$A:$G,2,0)),0,VLOOKUP($A57&amp;K$1,'For stats end Y DB'!$A:$G,2,0))</f>
        <v>5</v>
      </c>
      <c r="L57">
        <f>IF(ISNA(VLOOKUP($A57&amp;L$1,'For stats end Y DB'!$A:$G,2,0)),0,VLOOKUP($A57&amp;L$1,'For stats end Y DB'!$A:$G,2,0))</f>
        <v>5</v>
      </c>
      <c r="M57">
        <f>IF(ISNA(VLOOKUP($A57&amp;M$1,'For stats end Y DB'!$A:$G,2,0)),0,VLOOKUP($A57&amp;M$1,'For stats end Y DB'!$A:$G,2,0))</f>
        <v>4</v>
      </c>
      <c r="N57">
        <f>IF(ISNA(VLOOKUP($A57&amp;N$1,'For stats end Y DB'!$A:$G,2,0)),0,VLOOKUP($A57&amp;N$1,'For stats end Y DB'!$A:$G,2,0))</f>
        <v>6</v>
      </c>
      <c r="O57">
        <f>IF(ISNA(VLOOKUP($A57&amp;O$1,'For stats end Y DB'!$A:$G,2,0)),0,VLOOKUP($A57&amp;O$1,'For stats end Y DB'!$A:$G,2,0))</f>
        <v>6</v>
      </c>
      <c r="P57">
        <f>IF(ISNA(VLOOKUP($A57&amp;P$1,'For stats end Y DB'!$A:$G,2,0)),0,VLOOKUP($A57&amp;P$1,'For stats end Y DB'!$A:$G,2,0))</f>
        <v>7</v>
      </c>
      <c r="Q57">
        <f>IF(ISNA(VLOOKUP($A57&amp;Q$1,'For stats end Y DB'!$A:$G,2,0)),0,VLOOKUP($A57&amp;Q$1,'For stats end Y DB'!$A:$G,2,0))</f>
        <v>4</v>
      </c>
      <c r="R57">
        <f>IF(ISNA(VLOOKUP($A57&amp;R$1,'For stats end Y DB'!$A:$G,2,0)),0,VLOOKUP($A57&amp;R$1,'For stats end Y DB'!$A:$G,2,0))</f>
        <v>5</v>
      </c>
      <c r="S57">
        <f>IF(ISNA(VLOOKUP($A57&amp;S$1,'For stats end Y DB'!$A:$G,2,0)),0,VLOOKUP($A57&amp;S$1,'For stats end Y DB'!$A:$G,2,0))</f>
        <v>7</v>
      </c>
      <c r="T57">
        <f>IF(ISNA(VLOOKUP($A57&amp;T$1,'For stats end Y DB'!$A:$G,2,0)),0,VLOOKUP($A57&amp;T$1,'For stats end Y DB'!$A:$G,2,0))</f>
        <v>6</v>
      </c>
      <c r="U57">
        <f>IF(ISNA(VLOOKUP($A57&amp;U$1,'For stats end Y DB'!$A:$G,2,0)),0,VLOOKUP($A57&amp;U$1,'For stats end Y DB'!$A:$G,2,0))</f>
        <v>5</v>
      </c>
      <c r="V57">
        <f>IF(ISNA(VLOOKUP($A57&amp;V$1,'For stats end Y DB'!$A:$G,2,0)),0,VLOOKUP($A57&amp;V$1,'For stats end Y DB'!$A:$G,2,0))</f>
        <v>6</v>
      </c>
      <c r="W57">
        <f>IF(ISNA(VLOOKUP($A57&amp;W$1,'For stats end Y DB'!$A:$G,2,0)),0,VLOOKUP($A57&amp;W$1,'For stats end Y DB'!$A:$G,2,0))</f>
        <v>6</v>
      </c>
      <c r="X57">
        <f>IF(ISNA(VLOOKUP($A57&amp;X$1,'For stats end Y DB'!$A:$G,2,0)),0,VLOOKUP($A57&amp;X$1,'For stats end Y DB'!$A:$G,2,0))</f>
        <v>6</v>
      </c>
      <c r="Y57">
        <f>IF(ISNA(VLOOKUP($A57&amp;Y$1,'For stats end Y DB'!$A:$G,2,0)),0,VLOOKUP($A57&amp;Y$1,'For stats end Y DB'!$A:$G,2,0))</f>
        <v>7</v>
      </c>
      <c r="Z57">
        <f>IF(ISNA(VLOOKUP($A57&amp;Z$1,'For stats end Y DB'!$A:$G,2,0)),0,VLOOKUP($A57&amp;Z$1,'For stats end Y DB'!$A:$G,2,0))</f>
        <v>5</v>
      </c>
      <c r="AA57">
        <f>IF(ISNA(VLOOKUP($A57&amp;AA$1,'For stats end Y DB'!$A:$G,2,0)),0,VLOOKUP($A57&amp;AA$1,'For stats end Y DB'!$A:$G,2,0))</f>
        <v>4</v>
      </c>
      <c r="AB57">
        <f>IF(ISNA(VLOOKUP($A57&amp;AB$1,'For stats end Y DB'!$A:$G,2,0)),0,VLOOKUP($A57&amp;AB$1,'For stats end Y DB'!$A:$G,2,0))</f>
        <v>4</v>
      </c>
      <c r="AC57">
        <f>IF(ISNA(VLOOKUP($A57&amp;AC$1,'For stats end Y DB'!$A:$G,2,0)),0,VLOOKUP($A57&amp;AC$1,'For stats end Y DB'!$A:$G,2,0))</f>
        <v>0</v>
      </c>
      <c r="AD57">
        <f>IF(ISNA(VLOOKUP($A57&amp;AD$1,'For stats end Y DB'!$A:$G,2,0)),0,VLOOKUP($A57&amp;AD$1,'For stats end Y DB'!$A:$G,2,0))</f>
        <v>4</v>
      </c>
      <c r="AE57">
        <f>IF(ISNA(VLOOKUP($A57&amp;AE$1,'For stats end Y DB'!$A:$G,2,0)),0,VLOOKUP($A57&amp;AE$1,'For stats end Y DB'!$A:$G,2,0))</f>
        <v>6</v>
      </c>
      <c r="AF57">
        <f>IF(ISNA(VLOOKUP($A57&amp;AF$1,'For stats end Y DB'!$A:$G,2,0)),0,VLOOKUP($A57&amp;AF$1,'For stats end Y DB'!$A:$G,2,0))</f>
        <v>4</v>
      </c>
      <c r="AG57">
        <f>IF(ISNA(VLOOKUP($A57&amp;AG$1,'For stats end Y DB'!$A:$G,2,0)),0,VLOOKUP($A57&amp;AG$1,'For stats end Y DB'!$A:$G,2,0))</f>
        <v>4</v>
      </c>
      <c r="AH57">
        <f>IF(ISNA(VLOOKUP($A57&amp;AH$1,'For stats end Y DB'!$A:$G,2,0)),0,VLOOKUP($A57&amp;AH$1,'For stats end Y DB'!$A:$G,2,0))</f>
        <v>1</v>
      </c>
      <c r="AI57">
        <f>IF(ISNA(VLOOKUP($A57&amp;AI$1,'For stats end Y DB'!$A:$G,2,0)),0,VLOOKUP($A57&amp;AI$1,'For stats end Y DB'!$A:$G,2,0))</f>
        <v>0</v>
      </c>
      <c r="AJ57">
        <f>IF(ISNA(VLOOKUP($A57&amp;AJ$1,'For stats end Y DB'!$A:$G,2,0)),0,VLOOKUP($A57&amp;AJ$1,'For stats end Y DB'!$A:$G,2,0))</f>
        <v>0</v>
      </c>
      <c r="AK57">
        <f>IF(ISNA(VLOOKUP($A57&amp;AK$1,'For stats end Y DB'!$A:$G,2,0)),0,VLOOKUP($A57&amp;AK$1,'For stats end Y DB'!$A:$G,2,0))</f>
        <v>0</v>
      </c>
      <c r="AL57">
        <f>IF(ISNA(VLOOKUP($A57&amp;AL$1,'For stats end Y DB'!$A:$G,2,0)),0,VLOOKUP($A57&amp;AL$1,'For stats end Y DB'!$A:$G,2,0))</f>
        <v>0</v>
      </c>
      <c r="AM57">
        <f>IF(ISNA(VLOOKUP($A57&amp;AM$1,'For stats end Y DB'!$A:$G,2,0)),0,VLOOKUP($A57&amp;AM$1,'For stats end Y DB'!$A:$G,2,0))</f>
        <v>0</v>
      </c>
      <c r="AN57">
        <f>IF(ISNA(VLOOKUP($A57&amp;AN$1,'For stats end Y DB'!$A:$G,2,0)),0,VLOOKUP($A57&amp;AN$1,'For stats end Y DB'!$A:$G,2,0))</f>
        <v>0</v>
      </c>
      <c r="AP57" t="str">
        <f t="shared" si="3"/>
        <v>Losogre</v>
      </c>
      <c r="AQ57">
        <f t="shared" si="5"/>
        <v>4</v>
      </c>
      <c r="AR57">
        <f t="shared" si="5"/>
        <v>1</v>
      </c>
      <c r="AS57">
        <f t="shared" si="5"/>
        <v>1</v>
      </c>
      <c r="AT57" s="9">
        <f t="shared" si="6"/>
        <v>0</v>
      </c>
      <c r="AU57">
        <f t="shared" si="2"/>
        <v>32</v>
      </c>
    </row>
    <row r="58" spans="1:47" x14ac:dyDescent="0.2">
      <c r="A58" s="12" t="s">
        <v>557</v>
      </c>
      <c r="B58">
        <f>IF(ISNA(VLOOKUP($A58&amp;B$1,'For stats end Y DB'!$A:$G,2,0)),0,VLOOKUP($A58&amp;B$1,'For stats end Y DB'!$A:$G,2,0))</f>
        <v>0</v>
      </c>
      <c r="C58">
        <f>IF(ISNA(VLOOKUP($A58&amp;C$1,'For stats end Y DB'!$A:$G,2,0)),0,VLOOKUP($A58&amp;C$1,'For stats end Y DB'!$A:$G,2,0))</f>
        <v>0</v>
      </c>
      <c r="D58">
        <f>IF(ISNA(VLOOKUP($A58&amp;D$1,'For stats end Y DB'!$A:$G,2,0)),0,VLOOKUP($A58&amp;D$1,'For stats end Y DB'!$A:$G,2,0))</f>
        <v>0</v>
      </c>
      <c r="E58">
        <f>IF(ISNA(VLOOKUP($A58&amp;E$1,'For stats end Y DB'!$A:$G,2,0)),0,VLOOKUP($A58&amp;E$1,'For stats end Y DB'!$A:$G,2,0))</f>
        <v>0</v>
      </c>
      <c r="F58">
        <f>IF(ISNA(VLOOKUP($A58&amp;F$1,'For stats end Y DB'!$A:$G,2,0)),0,VLOOKUP($A58&amp;F$1,'For stats end Y DB'!$A:$G,2,0))</f>
        <v>0</v>
      </c>
      <c r="G58">
        <f>IF(ISNA(VLOOKUP($A58&amp;G$1,'For stats end Y DB'!$A:$G,2,0)),0,VLOOKUP($A58&amp;G$1,'For stats end Y DB'!$A:$G,2,0))</f>
        <v>0</v>
      </c>
      <c r="H58">
        <f>IF(ISNA(VLOOKUP($A58&amp;H$1,'For stats end Y DB'!$A:$G,2,0)),0,VLOOKUP($A58&amp;H$1,'For stats end Y DB'!$A:$G,2,0))</f>
        <v>0</v>
      </c>
      <c r="I58">
        <f>IF(ISNA(VLOOKUP($A58&amp;I$1,'For stats end Y DB'!$A:$G,2,0)),0,VLOOKUP($A58&amp;I$1,'For stats end Y DB'!$A:$G,2,0))</f>
        <v>0</v>
      </c>
      <c r="J58">
        <f>IF(ISNA(VLOOKUP($A58&amp;J$1,'For stats end Y DB'!$A:$G,2,0)),0,VLOOKUP($A58&amp;J$1,'For stats end Y DB'!$A:$G,2,0))</f>
        <v>0</v>
      </c>
      <c r="K58">
        <f>IF(ISNA(VLOOKUP($A58&amp;K$1,'For stats end Y DB'!$A:$G,2,0)),0,VLOOKUP($A58&amp;K$1,'For stats end Y DB'!$A:$G,2,0))</f>
        <v>0</v>
      </c>
      <c r="L58">
        <f>IF(ISNA(VLOOKUP($A58&amp;L$1,'For stats end Y DB'!$A:$G,2,0)),0,VLOOKUP($A58&amp;L$1,'For stats end Y DB'!$A:$G,2,0))</f>
        <v>0</v>
      </c>
      <c r="M58">
        <f>IF(ISNA(VLOOKUP($A58&amp;M$1,'For stats end Y DB'!$A:$G,2,0)),0,VLOOKUP($A58&amp;M$1,'For stats end Y DB'!$A:$G,2,0))</f>
        <v>0</v>
      </c>
      <c r="N58">
        <f>IF(ISNA(VLOOKUP($A58&amp;N$1,'For stats end Y DB'!$A:$G,2,0)),0,VLOOKUP($A58&amp;N$1,'For stats end Y DB'!$A:$G,2,0))</f>
        <v>0</v>
      </c>
      <c r="O58">
        <f>IF(ISNA(VLOOKUP($A58&amp;O$1,'For stats end Y DB'!$A:$G,2,0)),0,VLOOKUP($A58&amp;O$1,'For stats end Y DB'!$A:$G,2,0))</f>
        <v>0</v>
      </c>
      <c r="P58">
        <f>IF(ISNA(VLOOKUP($A58&amp;P$1,'For stats end Y DB'!$A:$G,2,0)),0,VLOOKUP($A58&amp;P$1,'For stats end Y DB'!$A:$G,2,0))</f>
        <v>0</v>
      </c>
      <c r="Q58">
        <f>IF(ISNA(VLOOKUP($A58&amp;Q$1,'For stats end Y DB'!$A:$G,2,0)),0,VLOOKUP($A58&amp;Q$1,'For stats end Y DB'!$A:$G,2,0))</f>
        <v>0</v>
      </c>
      <c r="R58">
        <f>IF(ISNA(VLOOKUP($A58&amp;R$1,'For stats end Y DB'!$A:$G,2,0)),0,VLOOKUP($A58&amp;R$1,'For stats end Y DB'!$A:$G,2,0))</f>
        <v>0</v>
      </c>
      <c r="S58">
        <f>IF(ISNA(VLOOKUP($A58&amp;S$1,'For stats end Y DB'!$A:$G,2,0)),0,VLOOKUP($A58&amp;S$1,'For stats end Y DB'!$A:$G,2,0))</f>
        <v>0</v>
      </c>
      <c r="T58">
        <f>IF(ISNA(VLOOKUP($A58&amp;T$1,'For stats end Y DB'!$A:$G,2,0)),0,VLOOKUP($A58&amp;T$1,'For stats end Y DB'!$A:$G,2,0))</f>
        <v>0</v>
      </c>
      <c r="U58">
        <f>IF(ISNA(VLOOKUP($A58&amp;U$1,'For stats end Y DB'!$A:$G,2,0)),0,VLOOKUP($A58&amp;U$1,'For stats end Y DB'!$A:$G,2,0))</f>
        <v>0</v>
      </c>
      <c r="V58">
        <f>IF(ISNA(VLOOKUP($A58&amp;V$1,'For stats end Y DB'!$A:$G,2,0)),0,VLOOKUP($A58&amp;V$1,'For stats end Y DB'!$A:$G,2,0))</f>
        <v>0</v>
      </c>
      <c r="W58">
        <f>IF(ISNA(VLOOKUP($A58&amp;W$1,'For stats end Y DB'!$A:$G,2,0)),0,VLOOKUP($A58&amp;W$1,'For stats end Y DB'!$A:$G,2,0))</f>
        <v>0</v>
      </c>
      <c r="X58">
        <f>IF(ISNA(VLOOKUP($A58&amp;X$1,'For stats end Y DB'!$A:$G,2,0)),0,VLOOKUP($A58&amp;X$1,'For stats end Y DB'!$A:$G,2,0))</f>
        <v>0</v>
      </c>
      <c r="Y58">
        <f>IF(ISNA(VLOOKUP($A58&amp;Y$1,'For stats end Y DB'!$A:$G,2,0)),0,VLOOKUP($A58&amp;Y$1,'For stats end Y DB'!$A:$G,2,0))</f>
        <v>0</v>
      </c>
      <c r="Z58">
        <f>IF(ISNA(VLOOKUP($A58&amp;Z$1,'For stats end Y DB'!$A:$G,2,0)),0,VLOOKUP($A58&amp;Z$1,'For stats end Y DB'!$A:$G,2,0))</f>
        <v>0</v>
      </c>
      <c r="AA58">
        <f>IF(ISNA(VLOOKUP($A58&amp;AA$1,'For stats end Y DB'!$A:$G,2,0)),0,VLOOKUP($A58&amp;AA$1,'For stats end Y DB'!$A:$G,2,0))</f>
        <v>0</v>
      </c>
      <c r="AB58">
        <f>IF(ISNA(VLOOKUP($A58&amp;AB$1,'For stats end Y DB'!$A:$G,2,0)),0,VLOOKUP($A58&amp;AB$1,'For stats end Y DB'!$A:$G,2,0))</f>
        <v>1</v>
      </c>
      <c r="AC58">
        <f>IF(ISNA(VLOOKUP($A58&amp;AC$1,'For stats end Y DB'!$A:$G,2,0)),0,VLOOKUP($A58&amp;AC$1,'For stats end Y DB'!$A:$G,2,0))</f>
        <v>1</v>
      </c>
      <c r="AD58">
        <f>IF(ISNA(VLOOKUP($A58&amp;AD$1,'For stats end Y DB'!$A:$G,2,0)),0,VLOOKUP($A58&amp;AD$1,'For stats end Y DB'!$A:$G,2,0))</f>
        <v>0</v>
      </c>
      <c r="AE58">
        <f>IF(ISNA(VLOOKUP($A58&amp;AE$1,'For stats end Y DB'!$A:$G,2,0)),0,VLOOKUP($A58&amp;AE$1,'For stats end Y DB'!$A:$G,2,0))</f>
        <v>6</v>
      </c>
      <c r="AF58">
        <f>IF(ISNA(VLOOKUP($A58&amp;AF$1,'For stats end Y DB'!$A:$G,2,0)),0,VLOOKUP($A58&amp;AF$1,'For stats end Y DB'!$A:$G,2,0))</f>
        <v>2</v>
      </c>
      <c r="AG58">
        <f>IF(ISNA(VLOOKUP($A58&amp;AG$1,'For stats end Y DB'!$A:$G,2,0)),0,VLOOKUP($A58&amp;AG$1,'For stats end Y DB'!$A:$G,2,0))</f>
        <v>0</v>
      </c>
      <c r="AH58">
        <f>IF(ISNA(VLOOKUP($A58&amp;AH$1,'For stats end Y DB'!$A:$G,2,0)),0,VLOOKUP($A58&amp;AH$1,'For stats end Y DB'!$A:$G,2,0))</f>
        <v>3</v>
      </c>
      <c r="AI58">
        <f>IF(ISNA(VLOOKUP($A58&amp;AI$1,'For stats end Y DB'!$A:$G,2,0)),0,VLOOKUP($A58&amp;AI$1,'For stats end Y DB'!$A:$G,2,0))</f>
        <v>0</v>
      </c>
      <c r="AJ58">
        <f>IF(ISNA(VLOOKUP($A58&amp;AJ$1,'For stats end Y DB'!$A:$G,2,0)),0,VLOOKUP($A58&amp;AJ$1,'For stats end Y DB'!$A:$G,2,0))</f>
        <v>0</v>
      </c>
      <c r="AK58">
        <f>IF(ISNA(VLOOKUP($A58&amp;AK$1,'For stats end Y DB'!$A:$G,2,0)),0,VLOOKUP($A58&amp;AK$1,'For stats end Y DB'!$A:$G,2,0))</f>
        <v>0</v>
      </c>
      <c r="AL58">
        <f>IF(ISNA(VLOOKUP($A58&amp;AL$1,'For stats end Y DB'!$A:$G,2,0)),0,VLOOKUP($A58&amp;AL$1,'For stats end Y DB'!$A:$G,2,0))</f>
        <v>0</v>
      </c>
      <c r="AM58">
        <f>IF(ISNA(VLOOKUP($A58&amp;AM$1,'For stats end Y DB'!$A:$G,2,0)),0,VLOOKUP($A58&amp;AM$1,'For stats end Y DB'!$A:$G,2,0))</f>
        <v>0</v>
      </c>
      <c r="AN58">
        <f>IF(ISNA(VLOOKUP($A58&amp;AN$1,'For stats end Y DB'!$A:$G,2,0)),0,VLOOKUP($A58&amp;AN$1,'For stats end Y DB'!$A:$G,2,0))</f>
        <v>0</v>
      </c>
      <c r="AP58" t="str">
        <f t="shared" si="3"/>
        <v>Madridal</v>
      </c>
      <c r="AQ58">
        <f t="shared" si="5"/>
        <v>2</v>
      </c>
      <c r="AR58">
        <f t="shared" si="5"/>
        <v>1</v>
      </c>
      <c r="AS58">
        <f t="shared" si="5"/>
        <v>1</v>
      </c>
      <c r="AT58" s="9">
        <f t="shared" si="6"/>
        <v>0</v>
      </c>
      <c r="AU58">
        <f t="shared" si="2"/>
        <v>5</v>
      </c>
    </row>
    <row r="59" spans="1:47" x14ac:dyDescent="0.2">
      <c r="A59" s="12" t="s">
        <v>510</v>
      </c>
      <c r="B59">
        <f>IF(ISNA(VLOOKUP($A59&amp;B$1,'For stats end Y DB'!$A:$G,2,0)),0,VLOOKUP($A59&amp;B$1,'For stats end Y DB'!$A:$G,2,0))</f>
        <v>4</v>
      </c>
      <c r="C59">
        <f>IF(ISNA(VLOOKUP($A59&amp;C$1,'For stats end Y DB'!$A:$G,2,0)),0,VLOOKUP($A59&amp;C$1,'For stats end Y DB'!$A:$G,2,0))</f>
        <v>0</v>
      </c>
      <c r="D59">
        <f>IF(ISNA(VLOOKUP($A59&amp;D$1,'For stats end Y DB'!$A:$G,2,0)),0,VLOOKUP($A59&amp;D$1,'For stats end Y DB'!$A:$G,2,0))</f>
        <v>3</v>
      </c>
      <c r="E59">
        <f>IF(ISNA(VLOOKUP($A59&amp;E$1,'For stats end Y DB'!$A:$G,2,0)),0,VLOOKUP($A59&amp;E$1,'For stats end Y DB'!$A:$G,2,0))</f>
        <v>0</v>
      </c>
      <c r="F59">
        <f>IF(ISNA(VLOOKUP($A59&amp;F$1,'For stats end Y DB'!$A:$G,2,0)),0,VLOOKUP($A59&amp;F$1,'For stats end Y DB'!$A:$G,2,0))</f>
        <v>2</v>
      </c>
      <c r="G59">
        <f>IF(ISNA(VLOOKUP($A59&amp;G$1,'For stats end Y DB'!$A:$G,2,0)),0,VLOOKUP($A59&amp;G$1,'For stats end Y DB'!$A:$G,2,0))</f>
        <v>0</v>
      </c>
      <c r="H59">
        <f>IF(ISNA(VLOOKUP($A59&amp;H$1,'For stats end Y DB'!$A:$G,2,0)),0,VLOOKUP($A59&amp;H$1,'For stats end Y DB'!$A:$G,2,0))</f>
        <v>0</v>
      </c>
      <c r="I59">
        <f>IF(ISNA(VLOOKUP($A59&amp;I$1,'For stats end Y DB'!$A:$G,2,0)),0,VLOOKUP($A59&amp;I$1,'For stats end Y DB'!$A:$G,2,0))</f>
        <v>2</v>
      </c>
      <c r="J59">
        <f>IF(ISNA(VLOOKUP($A59&amp;J$1,'For stats end Y DB'!$A:$G,2,0)),0,VLOOKUP($A59&amp;J$1,'For stats end Y DB'!$A:$G,2,0))</f>
        <v>0</v>
      </c>
      <c r="K59">
        <f>IF(ISNA(VLOOKUP($A59&amp;K$1,'For stats end Y DB'!$A:$G,2,0)),0,VLOOKUP($A59&amp;K$1,'For stats end Y DB'!$A:$G,2,0))</f>
        <v>0</v>
      </c>
      <c r="L59">
        <f>IF(ISNA(VLOOKUP($A59&amp;L$1,'For stats end Y DB'!$A:$G,2,0)),0,VLOOKUP($A59&amp;L$1,'For stats end Y DB'!$A:$G,2,0))</f>
        <v>0</v>
      </c>
      <c r="M59">
        <f>IF(ISNA(VLOOKUP($A59&amp;M$1,'For stats end Y DB'!$A:$G,2,0)),0,VLOOKUP($A59&amp;M$1,'For stats end Y DB'!$A:$G,2,0))</f>
        <v>0</v>
      </c>
      <c r="N59">
        <f>IF(ISNA(VLOOKUP($A59&amp;N$1,'For stats end Y DB'!$A:$G,2,0)),0,VLOOKUP($A59&amp;N$1,'For stats end Y DB'!$A:$G,2,0))</f>
        <v>0</v>
      </c>
      <c r="O59">
        <f>IF(ISNA(VLOOKUP($A59&amp;O$1,'For stats end Y DB'!$A:$G,2,0)),0,VLOOKUP($A59&amp;O$1,'For stats end Y DB'!$A:$G,2,0))</f>
        <v>0</v>
      </c>
      <c r="P59">
        <f>IF(ISNA(VLOOKUP($A59&amp;P$1,'For stats end Y DB'!$A:$G,2,0)),0,VLOOKUP($A59&amp;P$1,'For stats end Y DB'!$A:$G,2,0))</f>
        <v>0</v>
      </c>
      <c r="Q59">
        <f>IF(ISNA(VLOOKUP($A59&amp;Q$1,'For stats end Y DB'!$A:$G,2,0)),0,VLOOKUP($A59&amp;Q$1,'For stats end Y DB'!$A:$G,2,0))</f>
        <v>4</v>
      </c>
      <c r="R59">
        <f>IF(ISNA(VLOOKUP($A59&amp;R$1,'For stats end Y DB'!$A:$G,2,0)),0,VLOOKUP($A59&amp;R$1,'For stats end Y DB'!$A:$G,2,0))</f>
        <v>0</v>
      </c>
      <c r="S59">
        <f>IF(ISNA(VLOOKUP($A59&amp;S$1,'For stats end Y DB'!$A:$G,2,0)),0,VLOOKUP($A59&amp;S$1,'For stats end Y DB'!$A:$G,2,0))</f>
        <v>0</v>
      </c>
      <c r="T59">
        <f>IF(ISNA(VLOOKUP($A59&amp;T$1,'For stats end Y DB'!$A:$G,2,0)),0,VLOOKUP($A59&amp;T$1,'For stats end Y DB'!$A:$G,2,0))</f>
        <v>0</v>
      </c>
      <c r="U59">
        <f>IF(ISNA(VLOOKUP($A59&amp;U$1,'For stats end Y DB'!$A:$G,2,0)),0,VLOOKUP($A59&amp;U$1,'For stats end Y DB'!$A:$G,2,0))</f>
        <v>0</v>
      </c>
      <c r="V59">
        <f>IF(ISNA(VLOOKUP($A59&amp;V$1,'For stats end Y DB'!$A:$G,2,0)),0,VLOOKUP($A59&amp;V$1,'For stats end Y DB'!$A:$G,2,0))</f>
        <v>6</v>
      </c>
      <c r="W59">
        <f>IF(ISNA(VLOOKUP($A59&amp;W$1,'For stats end Y DB'!$A:$G,2,0)),0,VLOOKUP($A59&amp;W$1,'For stats end Y DB'!$A:$G,2,0))</f>
        <v>0</v>
      </c>
      <c r="X59">
        <f>IF(ISNA(VLOOKUP($A59&amp;X$1,'For stats end Y DB'!$A:$G,2,0)),0,VLOOKUP($A59&amp;X$1,'For stats end Y DB'!$A:$G,2,0))</f>
        <v>0</v>
      </c>
      <c r="Y59">
        <f>IF(ISNA(VLOOKUP($A59&amp;Y$1,'For stats end Y DB'!$A:$G,2,0)),0,VLOOKUP($A59&amp;Y$1,'For stats end Y DB'!$A:$G,2,0))</f>
        <v>0</v>
      </c>
      <c r="Z59">
        <f>IF(ISNA(VLOOKUP($A59&amp;Z$1,'For stats end Y DB'!$A:$G,2,0)),0,VLOOKUP($A59&amp;Z$1,'For stats end Y DB'!$A:$G,2,0))</f>
        <v>7</v>
      </c>
      <c r="AA59">
        <f>IF(ISNA(VLOOKUP($A59&amp;AA$1,'For stats end Y DB'!$A:$G,2,0)),0,VLOOKUP($A59&amp;AA$1,'For stats end Y DB'!$A:$G,2,0))</f>
        <v>0</v>
      </c>
      <c r="AB59">
        <f>IF(ISNA(VLOOKUP($A59&amp;AB$1,'For stats end Y DB'!$A:$G,2,0)),0,VLOOKUP($A59&amp;AB$1,'For stats end Y DB'!$A:$G,2,0))</f>
        <v>0</v>
      </c>
      <c r="AC59">
        <f>IF(ISNA(VLOOKUP($A59&amp;AC$1,'For stats end Y DB'!$A:$G,2,0)),0,VLOOKUP($A59&amp;AC$1,'For stats end Y DB'!$A:$G,2,0))</f>
        <v>3</v>
      </c>
      <c r="AD59">
        <f>IF(ISNA(VLOOKUP($A59&amp;AD$1,'For stats end Y DB'!$A:$G,2,0)),0,VLOOKUP($A59&amp;AD$1,'For stats end Y DB'!$A:$G,2,0))</f>
        <v>0</v>
      </c>
      <c r="AE59">
        <f>IF(ISNA(VLOOKUP($A59&amp;AE$1,'For stats end Y DB'!$A:$G,2,0)),0,VLOOKUP($A59&amp;AE$1,'For stats end Y DB'!$A:$G,2,0))</f>
        <v>0</v>
      </c>
      <c r="AF59">
        <f>IF(ISNA(VLOOKUP($A59&amp;AF$1,'For stats end Y DB'!$A:$G,2,0)),0,VLOOKUP($A59&amp;AF$1,'For stats end Y DB'!$A:$G,2,0))</f>
        <v>4</v>
      </c>
      <c r="AG59">
        <f>IF(ISNA(VLOOKUP($A59&amp;AG$1,'For stats end Y DB'!$A:$G,2,0)),0,VLOOKUP($A59&amp;AG$1,'For stats end Y DB'!$A:$G,2,0))</f>
        <v>1</v>
      </c>
      <c r="AH59">
        <f>IF(ISNA(VLOOKUP($A59&amp;AH$1,'For stats end Y DB'!$A:$G,2,0)),0,VLOOKUP($A59&amp;AH$1,'For stats end Y DB'!$A:$G,2,0))</f>
        <v>0</v>
      </c>
      <c r="AI59">
        <f>IF(ISNA(VLOOKUP($A59&amp;AI$1,'For stats end Y DB'!$A:$G,2,0)),0,VLOOKUP($A59&amp;AI$1,'For stats end Y DB'!$A:$G,2,0))</f>
        <v>0</v>
      </c>
      <c r="AJ59">
        <f>IF(ISNA(VLOOKUP($A59&amp;AJ$1,'For stats end Y DB'!$A:$G,2,0)),0,VLOOKUP($A59&amp;AJ$1,'For stats end Y DB'!$A:$G,2,0))</f>
        <v>0</v>
      </c>
      <c r="AK59">
        <f>IF(ISNA(VLOOKUP($A59&amp;AK$1,'For stats end Y DB'!$A:$G,2,0)),0,VLOOKUP($A59&amp;AK$1,'For stats end Y DB'!$A:$G,2,0))</f>
        <v>0</v>
      </c>
      <c r="AL59">
        <f>IF(ISNA(VLOOKUP($A59&amp;AL$1,'For stats end Y DB'!$A:$G,2,0)),0,VLOOKUP($A59&amp;AL$1,'For stats end Y DB'!$A:$G,2,0))</f>
        <v>0</v>
      </c>
      <c r="AM59">
        <f>IF(ISNA(VLOOKUP($A59&amp;AM$1,'For stats end Y DB'!$A:$G,2,0)),0,VLOOKUP($A59&amp;AM$1,'For stats end Y DB'!$A:$G,2,0))</f>
        <v>0</v>
      </c>
      <c r="AN59">
        <f>IF(ISNA(VLOOKUP($A59&amp;AN$1,'For stats end Y DB'!$A:$G,2,0)),0,VLOOKUP($A59&amp;AN$1,'For stats end Y DB'!$A:$G,2,0))</f>
        <v>0</v>
      </c>
      <c r="AP59" t="str">
        <f t="shared" si="3"/>
        <v>Magic Mykiss</v>
      </c>
      <c r="AQ59">
        <f t="shared" si="5"/>
        <v>1</v>
      </c>
      <c r="AR59">
        <f t="shared" si="5"/>
        <v>2</v>
      </c>
      <c r="AS59">
        <f t="shared" si="5"/>
        <v>2</v>
      </c>
      <c r="AT59" s="9">
        <f t="shared" si="6"/>
        <v>0</v>
      </c>
      <c r="AU59">
        <f t="shared" si="2"/>
        <v>10</v>
      </c>
    </row>
    <row r="60" spans="1:47" x14ac:dyDescent="0.2">
      <c r="A60" s="12" t="s">
        <v>53</v>
      </c>
      <c r="B60">
        <f>IF(ISNA(VLOOKUP($A60&amp;B$1,'For stats end Y DB'!$A:$G,2,0)),0,VLOOKUP($A60&amp;B$1,'For stats end Y DB'!$A:$G,2,0))</f>
        <v>0</v>
      </c>
      <c r="C60">
        <f>IF(ISNA(VLOOKUP($A60&amp;C$1,'For stats end Y DB'!$A:$G,2,0)),0,VLOOKUP($A60&amp;C$1,'For stats end Y DB'!$A:$G,2,0))</f>
        <v>0</v>
      </c>
      <c r="D60">
        <f>IF(ISNA(VLOOKUP($A60&amp;D$1,'For stats end Y DB'!$A:$G,2,0)),0,VLOOKUP($A60&amp;D$1,'For stats end Y DB'!$A:$G,2,0))</f>
        <v>0</v>
      </c>
      <c r="E60">
        <f>IF(ISNA(VLOOKUP($A60&amp;E$1,'For stats end Y DB'!$A:$G,2,0)),0,VLOOKUP($A60&amp;E$1,'For stats end Y DB'!$A:$G,2,0))</f>
        <v>0</v>
      </c>
      <c r="F60">
        <f>IF(ISNA(VLOOKUP($A60&amp;F$1,'For stats end Y DB'!$A:$G,2,0)),0,VLOOKUP($A60&amp;F$1,'For stats end Y DB'!$A:$G,2,0))</f>
        <v>0</v>
      </c>
      <c r="G60">
        <f>IF(ISNA(VLOOKUP($A60&amp;G$1,'For stats end Y DB'!$A:$G,2,0)),0,VLOOKUP($A60&amp;G$1,'For stats end Y DB'!$A:$G,2,0))</f>
        <v>1</v>
      </c>
      <c r="H60">
        <f>IF(ISNA(VLOOKUP($A60&amp;H$1,'For stats end Y DB'!$A:$G,2,0)),0,VLOOKUP($A60&amp;H$1,'For stats end Y DB'!$A:$G,2,0))</f>
        <v>0</v>
      </c>
      <c r="I60">
        <f>IF(ISNA(VLOOKUP($A60&amp;I$1,'For stats end Y DB'!$A:$G,2,0)),0,VLOOKUP($A60&amp;I$1,'For stats end Y DB'!$A:$G,2,0))</f>
        <v>0</v>
      </c>
      <c r="J60">
        <f>IF(ISNA(VLOOKUP($A60&amp;J$1,'For stats end Y DB'!$A:$G,2,0)),0,VLOOKUP($A60&amp;J$1,'For stats end Y DB'!$A:$G,2,0))</f>
        <v>4</v>
      </c>
      <c r="K60">
        <f>IF(ISNA(VLOOKUP($A60&amp;K$1,'For stats end Y DB'!$A:$G,2,0)),0,VLOOKUP($A60&amp;K$1,'For stats end Y DB'!$A:$G,2,0))</f>
        <v>0</v>
      </c>
      <c r="L60">
        <f>IF(ISNA(VLOOKUP($A60&amp;L$1,'For stats end Y DB'!$A:$G,2,0)),0,VLOOKUP($A60&amp;L$1,'For stats end Y DB'!$A:$G,2,0))</f>
        <v>0</v>
      </c>
      <c r="M60">
        <f>IF(ISNA(VLOOKUP($A60&amp;M$1,'For stats end Y DB'!$A:$G,2,0)),0,VLOOKUP($A60&amp;M$1,'For stats end Y DB'!$A:$G,2,0))</f>
        <v>0</v>
      </c>
      <c r="N60">
        <f>IF(ISNA(VLOOKUP($A60&amp;N$1,'For stats end Y DB'!$A:$G,2,0)),0,VLOOKUP($A60&amp;N$1,'For stats end Y DB'!$A:$G,2,0))</f>
        <v>0</v>
      </c>
      <c r="O60">
        <f>IF(ISNA(VLOOKUP($A60&amp;O$1,'For stats end Y DB'!$A:$G,2,0)),0,VLOOKUP($A60&amp;O$1,'For stats end Y DB'!$A:$G,2,0))</f>
        <v>0</v>
      </c>
      <c r="P60">
        <f>IF(ISNA(VLOOKUP($A60&amp;P$1,'For stats end Y DB'!$A:$G,2,0)),0,VLOOKUP($A60&amp;P$1,'For stats end Y DB'!$A:$G,2,0))</f>
        <v>0</v>
      </c>
      <c r="Q60">
        <f>IF(ISNA(VLOOKUP($A60&amp;Q$1,'For stats end Y DB'!$A:$G,2,0)),0,VLOOKUP($A60&amp;Q$1,'For stats end Y DB'!$A:$G,2,0))</f>
        <v>0</v>
      </c>
      <c r="R60">
        <f>IF(ISNA(VLOOKUP($A60&amp;R$1,'For stats end Y DB'!$A:$G,2,0)),0,VLOOKUP($A60&amp;R$1,'For stats end Y DB'!$A:$G,2,0))</f>
        <v>0</v>
      </c>
      <c r="S60">
        <f>IF(ISNA(VLOOKUP($A60&amp;S$1,'For stats end Y DB'!$A:$G,2,0)),0,VLOOKUP($A60&amp;S$1,'For stats end Y DB'!$A:$G,2,0))</f>
        <v>0</v>
      </c>
      <c r="T60">
        <f>IF(ISNA(VLOOKUP($A60&amp;T$1,'For stats end Y DB'!$A:$G,2,0)),0,VLOOKUP($A60&amp;T$1,'For stats end Y DB'!$A:$G,2,0))</f>
        <v>0</v>
      </c>
      <c r="U60">
        <f>IF(ISNA(VLOOKUP($A60&amp;U$1,'For stats end Y DB'!$A:$G,2,0)),0,VLOOKUP($A60&amp;U$1,'For stats end Y DB'!$A:$G,2,0))</f>
        <v>0</v>
      </c>
      <c r="V60">
        <f>IF(ISNA(VLOOKUP($A60&amp;V$1,'For stats end Y DB'!$A:$G,2,0)),0,VLOOKUP($A60&amp;V$1,'For stats end Y DB'!$A:$G,2,0))</f>
        <v>0</v>
      </c>
      <c r="W60">
        <f>IF(ISNA(VLOOKUP($A60&amp;W$1,'For stats end Y DB'!$A:$G,2,0)),0,VLOOKUP($A60&amp;W$1,'For stats end Y DB'!$A:$G,2,0))</f>
        <v>0</v>
      </c>
      <c r="X60">
        <f>IF(ISNA(VLOOKUP($A60&amp;X$1,'For stats end Y DB'!$A:$G,2,0)),0,VLOOKUP($A60&amp;X$1,'For stats end Y DB'!$A:$G,2,0))</f>
        <v>0</v>
      </c>
      <c r="Y60">
        <f>IF(ISNA(VLOOKUP($A60&amp;Y$1,'For stats end Y DB'!$A:$G,2,0)),0,VLOOKUP($A60&amp;Y$1,'For stats end Y DB'!$A:$G,2,0))</f>
        <v>0</v>
      </c>
      <c r="Z60">
        <f>IF(ISNA(VLOOKUP($A60&amp;Z$1,'For stats end Y DB'!$A:$G,2,0)),0,VLOOKUP($A60&amp;Z$1,'For stats end Y DB'!$A:$G,2,0))</f>
        <v>0</v>
      </c>
      <c r="AA60">
        <f>IF(ISNA(VLOOKUP($A60&amp;AA$1,'For stats end Y DB'!$A:$G,2,0)),0,VLOOKUP($A60&amp;AA$1,'For stats end Y DB'!$A:$G,2,0))</f>
        <v>0</v>
      </c>
      <c r="AB60">
        <f>IF(ISNA(VLOOKUP($A60&amp;AB$1,'For stats end Y DB'!$A:$G,2,0)),0,VLOOKUP($A60&amp;AB$1,'For stats end Y DB'!$A:$G,2,0))</f>
        <v>0</v>
      </c>
      <c r="AC60">
        <f>IF(ISNA(VLOOKUP($A60&amp;AC$1,'For stats end Y DB'!$A:$G,2,0)),0,VLOOKUP($A60&amp;AC$1,'For stats end Y DB'!$A:$G,2,0))</f>
        <v>0</v>
      </c>
      <c r="AD60">
        <f>IF(ISNA(VLOOKUP($A60&amp;AD$1,'For stats end Y DB'!$A:$G,2,0)),0,VLOOKUP($A60&amp;AD$1,'For stats end Y DB'!$A:$G,2,0))</f>
        <v>0</v>
      </c>
      <c r="AE60">
        <f>IF(ISNA(VLOOKUP($A60&amp;AE$1,'For stats end Y DB'!$A:$G,2,0)),0,VLOOKUP($A60&amp;AE$1,'For stats end Y DB'!$A:$G,2,0))</f>
        <v>0</v>
      </c>
      <c r="AF60">
        <f>IF(ISNA(VLOOKUP($A60&amp;AF$1,'For stats end Y DB'!$A:$G,2,0)),0,VLOOKUP($A60&amp;AF$1,'For stats end Y DB'!$A:$G,2,0))</f>
        <v>0</v>
      </c>
      <c r="AG60">
        <f>IF(ISNA(VLOOKUP($A60&amp;AG$1,'For stats end Y DB'!$A:$G,2,0)),0,VLOOKUP($A60&amp;AG$1,'For stats end Y DB'!$A:$G,2,0))</f>
        <v>0</v>
      </c>
      <c r="AH60">
        <f>IF(ISNA(VLOOKUP($A60&amp;AH$1,'For stats end Y DB'!$A:$G,2,0)),0,VLOOKUP($A60&amp;AH$1,'For stats end Y DB'!$A:$G,2,0))</f>
        <v>0</v>
      </c>
      <c r="AI60">
        <f>IF(ISNA(VLOOKUP($A60&amp;AI$1,'For stats end Y DB'!$A:$G,2,0)),0,VLOOKUP($A60&amp;AI$1,'For stats end Y DB'!$A:$G,2,0))</f>
        <v>0</v>
      </c>
      <c r="AJ60">
        <f>IF(ISNA(VLOOKUP($A60&amp;AJ$1,'For stats end Y DB'!$A:$G,2,0)),0,VLOOKUP($A60&amp;AJ$1,'For stats end Y DB'!$A:$G,2,0))</f>
        <v>0</v>
      </c>
      <c r="AK60">
        <f>IF(ISNA(VLOOKUP($A60&amp;AK$1,'For stats end Y DB'!$A:$G,2,0)),0,VLOOKUP($A60&amp;AK$1,'For stats end Y DB'!$A:$G,2,0))</f>
        <v>0</v>
      </c>
      <c r="AL60">
        <f>IF(ISNA(VLOOKUP($A60&amp;AL$1,'For stats end Y DB'!$A:$G,2,0)),0,VLOOKUP($A60&amp;AL$1,'For stats end Y DB'!$A:$G,2,0))</f>
        <v>0</v>
      </c>
      <c r="AM60">
        <f>IF(ISNA(VLOOKUP($A60&amp;AM$1,'For stats end Y DB'!$A:$G,2,0)),0,VLOOKUP($A60&amp;AM$1,'For stats end Y DB'!$A:$G,2,0))</f>
        <v>0</v>
      </c>
      <c r="AN60">
        <f>IF(ISNA(VLOOKUP($A60&amp;AN$1,'For stats end Y DB'!$A:$G,2,0)),0,VLOOKUP($A60&amp;AN$1,'For stats end Y DB'!$A:$G,2,0))</f>
        <v>0</v>
      </c>
      <c r="AP60" t="str">
        <f t="shared" si="3"/>
        <v>Makoche</v>
      </c>
      <c r="AQ60">
        <f t="shared" si="5"/>
        <v>1</v>
      </c>
      <c r="AR60">
        <f t="shared" si="5"/>
        <v>0</v>
      </c>
      <c r="AS60">
        <f t="shared" si="5"/>
        <v>0</v>
      </c>
      <c r="AT60" s="9">
        <f t="shared" si="6"/>
        <v>0</v>
      </c>
      <c r="AU60">
        <f t="shared" si="2"/>
        <v>2</v>
      </c>
    </row>
    <row r="61" spans="1:47" x14ac:dyDescent="0.2">
      <c r="A61" s="12" t="s">
        <v>505</v>
      </c>
      <c r="B61">
        <f>IF(ISNA(VLOOKUP($A61&amp;B$1,'For stats end Y DB'!$A:$G,2,0)),0,VLOOKUP($A61&amp;B$1,'For stats end Y DB'!$A:$G,2,0))</f>
        <v>6</v>
      </c>
      <c r="C61">
        <f>IF(ISNA(VLOOKUP($A61&amp;C$1,'For stats end Y DB'!$A:$G,2,0)),0,VLOOKUP($A61&amp;C$1,'For stats end Y DB'!$A:$G,2,0))</f>
        <v>7</v>
      </c>
      <c r="D61">
        <f>IF(ISNA(VLOOKUP($A61&amp;D$1,'For stats end Y DB'!$A:$G,2,0)),0,VLOOKUP($A61&amp;D$1,'For stats end Y DB'!$A:$G,2,0))</f>
        <v>1</v>
      </c>
      <c r="E61">
        <f>IF(ISNA(VLOOKUP($A61&amp;E$1,'For stats end Y DB'!$A:$G,2,0)),0,VLOOKUP($A61&amp;E$1,'For stats end Y DB'!$A:$G,2,0))</f>
        <v>1</v>
      </c>
      <c r="F61">
        <f>IF(ISNA(VLOOKUP($A61&amp;F$1,'For stats end Y DB'!$A:$G,2,0)),0,VLOOKUP($A61&amp;F$1,'For stats end Y DB'!$A:$G,2,0))</f>
        <v>1</v>
      </c>
      <c r="G61">
        <f>IF(ISNA(VLOOKUP($A61&amp;G$1,'For stats end Y DB'!$A:$G,2,0)),0,VLOOKUP($A61&amp;G$1,'For stats end Y DB'!$A:$G,2,0))</f>
        <v>5</v>
      </c>
      <c r="H61">
        <f>IF(ISNA(VLOOKUP($A61&amp;H$1,'For stats end Y DB'!$A:$G,2,0)),0,VLOOKUP($A61&amp;H$1,'For stats end Y DB'!$A:$G,2,0))</f>
        <v>3</v>
      </c>
      <c r="I61">
        <f>IF(ISNA(VLOOKUP($A61&amp;I$1,'For stats end Y DB'!$A:$G,2,0)),0,VLOOKUP($A61&amp;I$1,'For stats end Y DB'!$A:$G,2,0))</f>
        <v>3</v>
      </c>
      <c r="J61">
        <f>IF(ISNA(VLOOKUP($A61&amp;J$1,'For stats end Y DB'!$A:$G,2,0)),0,VLOOKUP($A61&amp;J$1,'For stats end Y DB'!$A:$G,2,0))</f>
        <v>6</v>
      </c>
      <c r="K61">
        <f>IF(ISNA(VLOOKUP($A61&amp;K$1,'For stats end Y DB'!$A:$G,2,0)),0,VLOOKUP($A61&amp;K$1,'For stats end Y DB'!$A:$G,2,0))</f>
        <v>4</v>
      </c>
      <c r="L61">
        <f>IF(ISNA(VLOOKUP($A61&amp;L$1,'For stats end Y DB'!$A:$G,2,0)),0,VLOOKUP($A61&amp;L$1,'For stats end Y DB'!$A:$G,2,0))</f>
        <v>4</v>
      </c>
      <c r="M61">
        <f>IF(ISNA(VLOOKUP($A61&amp;M$1,'For stats end Y DB'!$A:$G,2,0)),0,VLOOKUP($A61&amp;M$1,'For stats end Y DB'!$A:$G,2,0))</f>
        <v>1</v>
      </c>
      <c r="N61">
        <f>IF(ISNA(VLOOKUP($A61&amp;N$1,'For stats end Y DB'!$A:$G,2,0)),0,VLOOKUP($A61&amp;N$1,'For stats end Y DB'!$A:$G,2,0))</f>
        <v>1</v>
      </c>
      <c r="O61">
        <f>IF(ISNA(VLOOKUP($A61&amp;O$1,'For stats end Y DB'!$A:$G,2,0)),0,VLOOKUP($A61&amp;O$1,'For stats end Y DB'!$A:$G,2,0))</f>
        <v>5</v>
      </c>
      <c r="P61">
        <f>IF(ISNA(VLOOKUP($A61&amp;P$1,'For stats end Y DB'!$A:$G,2,0)),0,VLOOKUP($A61&amp;P$1,'For stats end Y DB'!$A:$G,2,0))</f>
        <v>3</v>
      </c>
      <c r="Q61">
        <f>IF(ISNA(VLOOKUP($A61&amp;Q$1,'For stats end Y DB'!$A:$G,2,0)),0,VLOOKUP($A61&amp;Q$1,'For stats end Y DB'!$A:$G,2,0))</f>
        <v>4</v>
      </c>
      <c r="R61">
        <f>IF(ISNA(VLOOKUP($A61&amp;R$1,'For stats end Y DB'!$A:$G,2,0)),0,VLOOKUP($A61&amp;R$1,'For stats end Y DB'!$A:$G,2,0))</f>
        <v>7</v>
      </c>
      <c r="S61">
        <f>IF(ISNA(VLOOKUP($A61&amp;S$1,'For stats end Y DB'!$A:$G,2,0)),0,VLOOKUP($A61&amp;S$1,'For stats end Y DB'!$A:$G,2,0))</f>
        <v>6</v>
      </c>
      <c r="T61">
        <f>IF(ISNA(VLOOKUP($A61&amp;T$1,'For stats end Y DB'!$A:$G,2,0)),0,VLOOKUP($A61&amp;T$1,'For stats end Y DB'!$A:$G,2,0))</f>
        <v>1</v>
      </c>
      <c r="U61">
        <f>IF(ISNA(VLOOKUP($A61&amp;U$1,'For stats end Y DB'!$A:$G,2,0)),0,VLOOKUP($A61&amp;U$1,'For stats end Y DB'!$A:$G,2,0))</f>
        <v>3</v>
      </c>
      <c r="V61">
        <f>IF(ISNA(VLOOKUP($A61&amp;V$1,'For stats end Y DB'!$A:$G,2,0)),0,VLOOKUP($A61&amp;V$1,'For stats end Y DB'!$A:$G,2,0))</f>
        <v>2</v>
      </c>
      <c r="W61">
        <f>IF(ISNA(VLOOKUP($A61&amp;W$1,'For stats end Y DB'!$A:$G,2,0)),0,VLOOKUP($A61&amp;W$1,'For stats end Y DB'!$A:$G,2,0))</f>
        <v>7</v>
      </c>
      <c r="X61">
        <f>IF(ISNA(VLOOKUP($A61&amp;X$1,'For stats end Y DB'!$A:$G,2,0)),0,VLOOKUP($A61&amp;X$1,'For stats end Y DB'!$A:$G,2,0))</f>
        <v>6</v>
      </c>
      <c r="Y61">
        <f>IF(ISNA(VLOOKUP($A61&amp;Y$1,'For stats end Y DB'!$A:$G,2,0)),0,VLOOKUP($A61&amp;Y$1,'For stats end Y DB'!$A:$G,2,0))</f>
        <v>5</v>
      </c>
      <c r="Z61">
        <f>IF(ISNA(VLOOKUP($A61&amp;Z$1,'For stats end Y DB'!$A:$G,2,0)),0,VLOOKUP($A61&amp;Z$1,'For stats end Y DB'!$A:$G,2,0))</f>
        <v>7</v>
      </c>
      <c r="AA61">
        <f>IF(ISNA(VLOOKUP($A61&amp;AA$1,'For stats end Y DB'!$A:$G,2,0)),0,VLOOKUP($A61&amp;AA$1,'For stats end Y DB'!$A:$G,2,0))</f>
        <v>3</v>
      </c>
      <c r="AB61">
        <f>IF(ISNA(VLOOKUP($A61&amp;AB$1,'For stats end Y DB'!$A:$G,2,0)),0,VLOOKUP($A61&amp;AB$1,'For stats end Y DB'!$A:$G,2,0))</f>
        <v>1</v>
      </c>
      <c r="AC61">
        <f>IF(ISNA(VLOOKUP($A61&amp;AC$1,'For stats end Y DB'!$A:$G,2,0)),0,VLOOKUP($A61&amp;AC$1,'For stats end Y DB'!$A:$G,2,0))</f>
        <v>1</v>
      </c>
      <c r="AD61">
        <f>IF(ISNA(VLOOKUP($A61&amp;AD$1,'For stats end Y DB'!$A:$G,2,0)),0,VLOOKUP($A61&amp;AD$1,'For stats end Y DB'!$A:$G,2,0))</f>
        <v>1</v>
      </c>
      <c r="AE61">
        <f>IF(ISNA(VLOOKUP($A61&amp;AE$1,'For stats end Y DB'!$A:$G,2,0)),0,VLOOKUP($A61&amp;AE$1,'For stats end Y DB'!$A:$G,2,0))</f>
        <v>5</v>
      </c>
      <c r="AF61">
        <f>IF(ISNA(VLOOKUP($A61&amp;AF$1,'For stats end Y DB'!$A:$G,2,0)),0,VLOOKUP($A61&amp;AF$1,'For stats end Y DB'!$A:$G,2,0))</f>
        <v>3</v>
      </c>
      <c r="AG61">
        <f>IF(ISNA(VLOOKUP($A61&amp;AG$1,'For stats end Y DB'!$A:$G,2,0)),0,VLOOKUP($A61&amp;AG$1,'For stats end Y DB'!$A:$G,2,0))</f>
        <v>2</v>
      </c>
      <c r="AH61">
        <f>IF(ISNA(VLOOKUP($A61&amp;AH$1,'For stats end Y DB'!$A:$G,2,0)),0,VLOOKUP($A61&amp;AH$1,'For stats end Y DB'!$A:$G,2,0))</f>
        <v>4</v>
      </c>
      <c r="AI61">
        <f>IF(ISNA(VLOOKUP($A61&amp;AI$1,'For stats end Y DB'!$A:$G,2,0)),0,VLOOKUP($A61&amp;AI$1,'For stats end Y DB'!$A:$G,2,0))</f>
        <v>0</v>
      </c>
      <c r="AJ61">
        <f>IF(ISNA(VLOOKUP($A61&amp;AJ$1,'For stats end Y DB'!$A:$G,2,0)),0,VLOOKUP($A61&amp;AJ$1,'For stats end Y DB'!$A:$G,2,0))</f>
        <v>0</v>
      </c>
      <c r="AK61">
        <f>IF(ISNA(VLOOKUP($A61&amp;AK$1,'For stats end Y DB'!$A:$G,2,0)),0,VLOOKUP($A61&amp;AK$1,'For stats end Y DB'!$A:$G,2,0))</f>
        <v>0</v>
      </c>
      <c r="AL61">
        <f>IF(ISNA(VLOOKUP($A61&amp;AL$1,'For stats end Y DB'!$A:$G,2,0)),0,VLOOKUP($A61&amp;AL$1,'For stats end Y DB'!$A:$G,2,0))</f>
        <v>0</v>
      </c>
      <c r="AM61">
        <f>IF(ISNA(VLOOKUP($A61&amp;AM$1,'For stats end Y DB'!$A:$G,2,0)),0,VLOOKUP($A61&amp;AM$1,'For stats end Y DB'!$A:$G,2,0))</f>
        <v>0</v>
      </c>
      <c r="AN61">
        <f>IF(ISNA(VLOOKUP($A61&amp;AN$1,'For stats end Y DB'!$A:$G,2,0)),0,VLOOKUP($A61&amp;AN$1,'For stats end Y DB'!$A:$G,2,0))</f>
        <v>0</v>
      </c>
      <c r="AP61" t="str">
        <f t="shared" si="3"/>
        <v>Mams</v>
      </c>
      <c r="AQ61">
        <f t="shared" si="5"/>
        <v>9</v>
      </c>
      <c r="AR61">
        <f t="shared" si="5"/>
        <v>2</v>
      </c>
      <c r="AS61">
        <f t="shared" si="5"/>
        <v>6</v>
      </c>
      <c r="AT61" s="9">
        <f t="shared" si="6"/>
        <v>0.81818181818181823</v>
      </c>
      <c r="AU61">
        <f t="shared" si="2"/>
        <v>33</v>
      </c>
    </row>
    <row r="62" spans="1:47" x14ac:dyDescent="0.2">
      <c r="A62" s="12" t="s">
        <v>27</v>
      </c>
      <c r="B62">
        <f>IF(ISNA(VLOOKUP($A62&amp;B$1,'For stats end Y DB'!$A:$G,2,0)),0,VLOOKUP($A62&amp;B$1,'For stats end Y DB'!$A:$G,2,0))</f>
        <v>1</v>
      </c>
      <c r="C62">
        <f>IF(ISNA(VLOOKUP($A62&amp;C$1,'For stats end Y DB'!$A:$G,2,0)),0,VLOOKUP($A62&amp;C$1,'For stats end Y DB'!$A:$G,2,0))</f>
        <v>3</v>
      </c>
      <c r="D62">
        <f>IF(ISNA(VLOOKUP($A62&amp;D$1,'For stats end Y DB'!$A:$G,2,0)),0,VLOOKUP($A62&amp;D$1,'For stats end Y DB'!$A:$G,2,0))</f>
        <v>2</v>
      </c>
      <c r="E62">
        <f>IF(ISNA(VLOOKUP($A62&amp;E$1,'For stats end Y DB'!$A:$G,2,0)),0,VLOOKUP($A62&amp;E$1,'For stats end Y DB'!$A:$G,2,0))</f>
        <v>4</v>
      </c>
      <c r="F62">
        <f>IF(ISNA(VLOOKUP($A62&amp;F$1,'For stats end Y DB'!$A:$G,2,0)),0,VLOOKUP($A62&amp;F$1,'For stats end Y DB'!$A:$G,2,0))</f>
        <v>7</v>
      </c>
      <c r="G62">
        <f>IF(ISNA(VLOOKUP($A62&amp;G$1,'For stats end Y DB'!$A:$G,2,0)),0,VLOOKUP($A62&amp;G$1,'For stats end Y DB'!$A:$G,2,0))</f>
        <v>4</v>
      </c>
      <c r="H62">
        <f>IF(ISNA(VLOOKUP($A62&amp;H$1,'For stats end Y DB'!$A:$G,2,0)),0,VLOOKUP($A62&amp;H$1,'For stats end Y DB'!$A:$G,2,0))</f>
        <v>1</v>
      </c>
      <c r="I62">
        <f>IF(ISNA(VLOOKUP($A62&amp;I$1,'For stats end Y DB'!$A:$G,2,0)),0,VLOOKUP($A62&amp;I$1,'For stats end Y DB'!$A:$G,2,0))</f>
        <v>1</v>
      </c>
      <c r="J62">
        <f>IF(ISNA(VLOOKUP($A62&amp;J$1,'For stats end Y DB'!$A:$G,2,0)),0,VLOOKUP($A62&amp;J$1,'For stats end Y DB'!$A:$G,2,0))</f>
        <v>3</v>
      </c>
      <c r="K62">
        <f>IF(ISNA(VLOOKUP($A62&amp;K$1,'For stats end Y DB'!$A:$G,2,0)),0,VLOOKUP($A62&amp;K$1,'For stats end Y DB'!$A:$G,2,0))</f>
        <v>4</v>
      </c>
      <c r="L62">
        <f>IF(ISNA(VLOOKUP($A62&amp;L$1,'For stats end Y DB'!$A:$G,2,0)),0,VLOOKUP($A62&amp;L$1,'For stats end Y DB'!$A:$G,2,0))</f>
        <v>4</v>
      </c>
      <c r="M62">
        <f>IF(ISNA(VLOOKUP($A62&amp;M$1,'For stats end Y DB'!$A:$G,2,0)),0,VLOOKUP($A62&amp;M$1,'For stats end Y DB'!$A:$G,2,0))</f>
        <v>1</v>
      </c>
      <c r="N62">
        <f>IF(ISNA(VLOOKUP($A62&amp;N$1,'For stats end Y DB'!$A:$G,2,0)),0,VLOOKUP($A62&amp;N$1,'For stats end Y DB'!$A:$G,2,0))</f>
        <v>5</v>
      </c>
      <c r="O62">
        <f>IF(ISNA(VLOOKUP($A62&amp;O$1,'For stats end Y DB'!$A:$G,2,0)),0,VLOOKUP($A62&amp;O$1,'For stats end Y DB'!$A:$G,2,0))</f>
        <v>7</v>
      </c>
      <c r="P62">
        <f>IF(ISNA(VLOOKUP($A62&amp;P$1,'For stats end Y DB'!$A:$G,2,0)),0,VLOOKUP($A62&amp;P$1,'For stats end Y DB'!$A:$G,2,0))</f>
        <v>4</v>
      </c>
      <c r="Q62">
        <f>IF(ISNA(VLOOKUP($A62&amp;Q$1,'For stats end Y DB'!$A:$G,2,0)),0,VLOOKUP($A62&amp;Q$1,'For stats end Y DB'!$A:$G,2,0))</f>
        <v>0</v>
      </c>
      <c r="R62">
        <f>IF(ISNA(VLOOKUP($A62&amp;R$1,'For stats end Y DB'!$A:$G,2,0)),0,VLOOKUP($A62&amp;R$1,'For stats end Y DB'!$A:$G,2,0))</f>
        <v>4</v>
      </c>
      <c r="S62">
        <f>IF(ISNA(VLOOKUP($A62&amp;S$1,'For stats end Y DB'!$A:$G,2,0)),0,VLOOKUP($A62&amp;S$1,'For stats end Y DB'!$A:$G,2,0))</f>
        <v>1</v>
      </c>
      <c r="T62">
        <f>IF(ISNA(VLOOKUP($A62&amp;T$1,'For stats end Y DB'!$A:$G,2,0)),0,VLOOKUP($A62&amp;T$1,'For stats end Y DB'!$A:$G,2,0))</f>
        <v>6</v>
      </c>
      <c r="U62">
        <f>IF(ISNA(VLOOKUP($A62&amp;U$1,'For stats end Y DB'!$A:$G,2,0)),0,VLOOKUP($A62&amp;U$1,'For stats end Y DB'!$A:$G,2,0))</f>
        <v>1</v>
      </c>
      <c r="V62">
        <f>IF(ISNA(VLOOKUP($A62&amp;V$1,'For stats end Y DB'!$A:$G,2,0)),0,VLOOKUP($A62&amp;V$1,'For stats end Y DB'!$A:$G,2,0))</f>
        <v>2</v>
      </c>
      <c r="W62">
        <f>IF(ISNA(VLOOKUP($A62&amp;W$1,'For stats end Y DB'!$A:$G,2,0)),0,VLOOKUP($A62&amp;W$1,'For stats end Y DB'!$A:$G,2,0))</f>
        <v>2</v>
      </c>
      <c r="X62">
        <f>IF(ISNA(VLOOKUP($A62&amp;X$1,'For stats end Y DB'!$A:$G,2,0)),0,VLOOKUP($A62&amp;X$1,'For stats end Y DB'!$A:$G,2,0))</f>
        <v>4</v>
      </c>
      <c r="Y62">
        <f>IF(ISNA(VLOOKUP($A62&amp;Y$1,'For stats end Y DB'!$A:$G,2,0)),0,VLOOKUP($A62&amp;Y$1,'For stats end Y DB'!$A:$G,2,0))</f>
        <v>1</v>
      </c>
      <c r="Z62">
        <f>IF(ISNA(VLOOKUP($A62&amp;Z$1,'For stats end Y DB'!$A:$G,2,0)),0,VLOOKUP($A62&amp;Z$1,'For stats end Y DB'!$A:$G,2,0))</f>
        <v>1</v>
      </c>
      <c r="AA62">
        <f>IF(ISNA(VLOOKUP($A62&amp;AA$1,'For stats end Y DB'!$A:$G,2,0)),0,VLOOKUP($A62&amp;AA$1,'For stats end Y DB'!$A:$G,2,0))</f>
        <v>3</v>
      </c>
      <c r="AB62">
        <f>IF(ISNA(VLOOKUP($A62&amp;AB$1,'For stats end Y DB'!$A:$G,2,0)),0,VLOOKUP($A62&amp;AB$1,'For stats end Y DB'!$A:$G,2,0))</f>
        <v>0</v>
      </c>
      <c r="AC62">
        <f>IF(ISNA(VLOOKUP($A62&amp;AC$1,'For stats end Y DB'!$A:$G,2,0)),0,VLOOKUP($A62&amp;AC$1,'For stats end Y DB'!$A:$G,2,0))</f>
        <v>6</v>
      </c>
      <c r="AD62">
        <f>IF(ISNA(VLOOKUP($A62&amp;AD$1,'For stats end Y DB'!$A:$G,2,0)),0,VLOOKUP($A62&amp;AD$1,'For stats end Y DB'!$A:$G,2,0))</f>
        <v>1</v>
      </c>
      <c r="AE62">
        <f>IF(ISNA(VLOOKUP($A62&amp;AE$1,'For stats end Y DB'!$A:$G,2,0)),0,VLOOKUP($A62&amp;AE$1,'For stats end Y DB'!$A:$G,2,0))</f>
        <v>1</v>
      </c>
      <c r="AF62">
        <f>IF(ISNA(VLOOKUP($A62&amp;AF$1,'For stats end Y DB'!$A:$G,2,0)),0,VLOOKUP($A62&amp;AF$1,'For stats end Y DB'!$A:$G,2,0))</f>
        <v>6</v>
      </c>
      <c r="AG62">
        <f>IF(ISNA(VLOOKUP($A62&amp;AG$1,'For stats end Y DB'!$A:$G,2,0)),0,VLOOKUP($A62&amp;AG$1,'For stats end Y DB'!$A:$G,2,0))</f>
        <v>5</v>
      </c>
      <c r="AH62">
        <f>IF(ISNA(VLOOKUP($A62&amp;AH$1,'For stats end Y DB'!$A:$G,2,0)),0,VLOOKUP($A62&amp;AH$1,'For stats end Y DB'!$A:$G,2,0))</f>
        <v>1</v>
      </c>
      <c r="AI62">
        <f>IF(ISNA(VLOOKUP($A62&amp;AI$1,'For stats end Y DB'!$A:$G,2,0)),0,VLOOKUP($A62&amp;AI$1,'For stats end Y DB'!$A:$G,2,0))</f>
        <v>0</v>
      </c>
      <c r="AJ62">
        <f>IF(ISNA(VLOOKUP($A62&amp;AJ$1,'For stats end Y DB'!$A:$G,2,0)),0,VLOOKUP($A62&amp;AJ$1,'For stats end Y DB'!$A:$G,2,0))</f>
        <v>0</v>
      </c>
      <c r="AK62">
        <f>IF(ISNA(VLOOKUP($A62&amp;AK$1,'For stats end Y DB'!$A:$G,2,0)),0,VLOOKUP($A62&amp;AK$1,'For stats end Y DB'!$A:$G,2,0))</f>
        <v>0</v>
      </c>
      <c r="AL62">
        <f>IF(ISNA(VLOOKUP($A62&amp;AL$1,'For stats end Y DB'!$A:$G,2,0)),0,VLOOKUP($A62&amp;AL$1,'For stats end Y DB'!$A:$G,2,0))</f>
        <v>0</v>
      </c>
      <c r="AM62">
        <f>IF(ISNA(VLOOKUP($A62&amp;AM$1,'For stats end Y DB'!$A:$G,2,0)),0,VLOOKUP($A62&amp;AM$1,'For stats end Y DB'!$A:$G,2,0))</f>
        <v>0</v>
      </c>
      <c r="AN62">
        <f>IF(ISNA(VLOOKUP($A62&amp;AN$1,'For stats end Y DB'!$A:$G,2,0)),0,VLOOKUP($A62&amp;AN$1,'For stats end Y DB'!$A:$G,2,0))</f>
        <v>0</v>
      </c>
      <c r="AP62" t="str">
        <f t="shared" si="3"/>
        <v>Mandrake</v>
      </c>
      <c r="AQ62">
        <f t="shared" si="5"/>
        <v>11</v>
      </c>
      <c r="AR62">
        <f t="shared" si="5"/>
        <v>3</v>
      </c>
      <c r="AS62">
        <f t="shared" si="5"/>
        <v>3</v>
      </c>
      <c r="AT62" s="9">
        <f t="shared" si="6"/>
        <v>0.7857142857142857</v>
      </c>
      <c r="AU62">
        <f t="shared" si="2"/>
        <v>31</v>
      </c>
    </row>
    <row r="63" spans="1:47" x14ac:dyDescent="0.2">
      <c r="A63" s="12" t="s">
        <v>551</v>
      </c>
      <c r="B63">
        <f>IF(ISNA(VLOOKUP($A63&amp;B$1,'For stats end Y DB'!$A:$G,2,0)),0,VLOOKUP($A63&amp;B$1,'For stats end Y DB'!$A:$G,2,0))</f>
        <v>0</v>
      </c>
      <c r="C63">
        <f>IF(ISNA(VLOOKUP($A63&amp;C$1,'For stats end Y DB'!$A:$G,2,0)),0,VLOOKUP($A63&amp;C$1,'For stats end Y DB'!$A:$G,2,0))</f>
        <v>0</v>
      </c>
      <c r="D63">
        <f>IF(ISNA(VLOOKUP($A63&amp;D$1,'For stats end Y DB'!$A:$G,2,0)),0,VLOOKUP($A63&amp;D$1,'For stats end Y DB'!$A:$G,2,0))</f>
        <v>0</v>
      </c>
      <c r="E63">
        <f>IF(ISNA(VLOOKUP($A63&amp;E$1,'For stats end Y DB'!$A:$G,2,0)),0,VLOOKUP($A63&amp;E$1,'For stats end Y DB'!$A:$G,2,0))</f>
        <v>0</v>
      </c>
      <c r="F63">
        <f>IF(ISNA(VLOOKUP($A63&amp;F$1,'For stats end Y DB'!$A:$G,2,0)),0,VLOOKUP($A63&amp;F$1,'For stats end Y DB'!$A:$G,2,0))</f>
        <v>0</v>
      </c>
      <c r="G63">
        <f>IF(ISNA(VLOOKUP($A63&amp;G$1,'For stats end Y DB'!$A:$G,2,0)),0,VLOOKUP($A63&amp;G$1,'For stats end Y DB'!$A:$G,2,0))</f>
        <v>0</v>
      </c>
      <c r="H63">
        <f>IF(ISNA(VLOOKUP($A63&amp;H$1,'For stats end Y DB'!$A:$G,2,0)),0,VLOOKUP($A63&amp;H$1,'For stats end Y DB'!$A:$G,2,0))</f>
        <v>0</v>
      </c>
      <c r="I63">
        <f>IF(ISNA(VLOOKUP($A63&amp;I$1,'For stats end Y DB'!$A:$G,2,0)),0,VLOOKUP($A63&amp;I$1,'For stats end Y DB'!$A:$G,2,0))</f>
        <v>0</v>
      </c>
      <c r="J63">
        <f>IF(ISNA(VLOOKUP($A63&amp;J$1,'For stats end Y DB'!$A:$G,2,0)),0,VLOOKUP($A63&amp;J$1,'For stats end Y DB'!$A:$G,2,0))</f>
        <v>0</v>
      </c>
      <c r="K63">
        <f>IF(ISNA(VLOOKUP($A63&amp;K$1,'For stats end Y DB'!$A:$G,2,0)),0,VLOOKUP($A63&amp;K$1,'For stats end Y DB'!$A:$G,2,0))</f>
        <v>0</v>
      </c>
      <c r="L63">
        <f>IF(ISNA(VLOOKUP($A63&amp;L$1,'For stats end Y DB'!$A:$G,2,0)),0,VLOOKUP($A63&amp;L$1,'For stats end Y DB'!$A:$G,2,0))</f>
        <v>0</v>
      </c>
      <c r="M63">
        <f>IF(ISNA(VLOOKUP($A63&amp;M$1,'For stats end Y DB'!$A:$G,2,0)),0,VLOOKUP($A63&amp;M$1,'For stats end Y DB'!$A:$G,2,0))</f>
        <v>0</v>
      </c>
      <c r="N63">
        <f>IF(ISNA(VLOOKUP($A63&amp;N$1,'For stats end Y DB'!$A:$G,2,0)),0,VLOOKUP($A63&amp;N$1,'For stats end Y DB'!$A:$G,2,0))</f>
        <v>0</v>
      </c>
      <c r="O63">
        <f>IF(ISNA(VLOOKUP($A63&amp;O$1,'For stats end Y DB'!$A:$G,2,0)),0,VLOOKUP($A63&amp;O$1,'For stats end Y DB'!$A:$G,2,0))</f>
        <v>0</v>
      </c>
      <c r="P63">
        <f>IF(ISNA(VLOOKUP($A63&amp;P$1,'For stats end Y DB'!$A:$G,2,0)),0,VLOOKUP($A63&amp;P$1,'For stats end Y DB'!$A:$G,2,0))</f>
        <v>0</v>
      </c>
      <c r="Q63">
        <f>IF(ISNA(VLOOKUP($A63&amp;Q$1,'For stats end Y DB'!$A:$G,2,0)),0,VLOOKUP($A63&amp;Q$1,'For stats end Y DB'!$A:$G,2,0))</f>
        <v>0</v>
      </c>
      <c r="R63">
        <f>IF(ISNA(VLOOKUP($A63&amp;R$1,'For stats end Y DB'!$A:$G,2,0)),0,VLOOKUP($A63&amp;R$1,'For stats end Y DB'!$A:$G,2,0))</f>
        <v>0</v>
      </c>
      <c r="S63">
        <f>IF(ISNA(VLOOKUP($A63&amp;S$1,'For stats end Y DB'!$A:$G,2,0)),0,VLOOKUP($A63&amp;S$1,'For stats end Y DB'!$A:$G,2,0))</f>
        <v>0</v>
      </c>
      <c r="T63">
        <f>IF(ISNA(VLOOKUP($A63&amp;T$1,'For stats end Y DB'!$A:$G,2,0)),0,VLOOKUP($A63&amp;T$1,'For stats end Y DB'!$A:$G,2,0))</f>
        <v>0</v>
      </c>
      <c r="U63">
        <f>IF(ISNA(VLOOKUP($A63&amp;U$1,'For stats end Y DB'!$A:$G,2,0)),0,VLOOKUP($A63&amp;U$1,'For stats end Y DB'!$A:$G,2,0))</f>
        <v>0</v>
      </c>
      <c r="V63">
        <f>IF(ISNA(VLOOKUP($A63&amp;V$1,'For stats end Y DB'!$A:$G,2,0)),0,VLOOKUP($A63&amp;V$1,'For stats end Y DB'!$A:$G,2,0))</f>
        <v>0</v>
      </c>
      <c r="W63">
        <f>IF(ISNA(VLOOKUP($A63&amp;W$1,'For stats end Y DB'!$A:$G,2,0)),0,VLOOKUP($A63&amp;W$1,'For stats end Y DB'!$A:$G,2,0))</f>
        <v>0</v>
      </c>
      <c r="X63">
        <f>IF(ISNA(VLOOKUP($A63&amp;X$1,'For stats end Y DB'!$A:$G,2,0)),0,VLOOKUP($A63&amp;X$1,'For stats end Y DB'!$A:$G,2,0))</f>
        <v>4</v>
      </c>
      <c r="Y63">
        <f>IF(ISNA(VLOOKUP($A63&amp;Y$1,'For stats end Y DB'!$A:$G,2,0)),0,VLOOKUP($A63&amp;Y$1,'For stats end Y DB'!$A:$G,2,0))</f>
        <v>0</v>
      </c>
      <c r="Z63">
        <f>IF(ISNA(VLOOKUP($A63&amp;Z$1,'For stats end Y DB'!$A:$G,2,0)),0,VLOOKUP($A63&amp;Z$1,'For stats end Y DB'!$A:$G,2,0))</f>
        <v>0</v>
      </c>
      <c r="AA63">
        <f>IF(ISNA(VLOOKUP($A63&amp;AA$1,'For stats end Y DB'!$A:$G,2,0)),0,VLOOKUP($A63&amp;AA$1,'For stats end Y DB'!$A:$G,2,0))</f>
        <v>0</v>
      </c>
      <c r="AB63">
        <f>IF(ISNA(VLOOKUP($A63&amp;AB$1,'For stats end Y DB'!$A:$G,2,0)),0,VLOOKUP($A63&amp;AB$1,'For stats end Y DB'!$A:$G,2,0))</f>
        <v>0</v>
      </c>
      <c r="AC63">
        <f>IF(ISNA(VLOOKUP($A63&amp;AC$1,'For stats end Y DB'!$A:$G,2,0)),0,VLOOKUP($A63&amp;AC$1,'For stats end Y DB'!$A:$G,2,0))</f>
        <v>0</v>
      </c>
      <c r="AD63">
        <f>IF(ISNA(VLOOKUP($A63&amp;AD$1,'For stats end Y DB'!$A:$G,2,0)),0,VLOOKUP($A63&amp;AD$1,'For stats end Y DB'!$A:$G,2,0))</f>
        <v>0</v>
      </c>
      <c r="AE63">
        <f>IF(ISNA(VLOOKUP($A63&amp;AE$1,'For stats end Y DB'!$A:$G,2,0)),0,VLOOKUP($A63&amp;AE$1,'For stats end Y DB'!$A:$G,2,0))</f>
        <v>0</v>
      </c>
      <c r="AF63">
        <f>IF(ISNA(VLOOKUP($A63&amp;AF$1,'For stats end Y DB'!$A:$G,2,0)),0,VLOOKUP($A63&amp;AF$1,'For stats end Y DB'!$A:$G,2,0))</f>
        <v>0</v>
      </c>
      <c r="AG63">
        <f>IF(ISNA(VLOOKUP($A63&amp;AG$1,'For stats end Y DB'!$A:$G,2,0)),0,VLOOKUP($A63&amp;AG$1,'For stats end Y DB'!$A:$G,2,0))</f>
        <v>0</v>
      </c>
      <c r="AH63">
        <f>IF(ISNA(VLOOKUP($A63&amp;AH$1,'For stats end Y DB'!$A:$G,2,0)),0,VLOOKUP($A63&amp;AH$1,'For stats end Y DB'!$A:$G,2,0))</f>
        <v>0</v>
      </c>
      <c r="AI63">
        <f>IF(ISNA(VLOOKUP($A63&amp;AI$1,'For stats end Y DB'!$A:$G,2,0)),0,VLOOKUP($A63&amp;AI$1,'For stats end Y DB'!$A:$G,2,0))</f>
        <v>0</v>
      </c>
      <c r="AJ63">
        <f>IF(ISNA(VLOOKUP($A63&amp;AJ$1,'For stats end Y DB'!$A:$G,2,0)),0,VLOOKUP($A63&amp;AJ$1,'For stats end Y DB'!$A:$G,2,0))</f>
        <v>0</v>
      </c>
      <c r="AK63">
        <f>IF(ISNA(VLOOKUP($A63&amp;AK$1,'For stats end Y DB'!$A:$G,2,0)),0,VLOOKUP($A63&amp;AK$1,'For stats end Y DB'!$A:$G,2,0))</f>
        <v>0</v>
      </c>
      <c r="AL63">
        <f>IF(ISNA(VLOOKUP($A63&amp;AL$1,'For stats end Y DB'!$A:$G,2,0)),0,VLOOKUP($A63&amp;AL$1,'For stats end Y DB'!$A:$G,2,0))</f>
        <v>0</v>
      </c>
      <c r="AM63">
        <f>IF(ISNA(VLOOKUP($A63&amp;AM$1,'For stats end Y DB'!$A:$G,2,0)),0,VLOOKUP($A63&amp;AM$1,'For stats end Y DB'!$A:$G,2,0))</f>
        <v>0</v>
      </c>
      <c r="AN63">
        <f>IF(ISNA(VLOOKUP($A63&amp;AN$1,'For stats end Y DB'!$A:$G,2,0)),0,VLOOKUP($A63&amp;AN$1,'For stats end Y DB'!$A:$G,2,0))</f>
        <v>0</v>
      </c>
      <c r="AP63" t="str">
        <f t="shared" si="3"/>
        <v>Matteo</v>
      </c>
      <c r="AQ63">
        <f t="shared" si="5"/>
        <v>0</v>
      </c>
      <c r="AR63">
        <f t="shared" si="5"/>
        <v>0</v>
      </c>
      <c r="AS63">
        <f t="shared" si="5"/>
        <v>0</v>
      </c>
      <c r="AT63" s="9">
        <f t="shared" si="6"/>
        <v>0</v>
      </c>
      <c r="AU63">
        <f t="shared" si="2"/>
        <v>1</v>
      </c>
    </row>
    <row r="64" spans="1:47" x14ac:dyDescent="0.2">
      <c r="A64" s="12" t="s">
        <v>550</v>
      </c>
      <c r="B64">
        <f>IF(ISNA(VLOOKUP($A64&amp;B$1,'For stats end Y DB'!$A:$G,2,0)),0,VLOOKUP($A64&amp;B$1,'For stats end Y DB'!$A:$G,2,0))</f>
        <v>0</v>
      </c>
      <c r="C64">
        <f>IF(ISNA(VLOOKUP($A64&amp;C$1,'For stats end Y DB'!$A:$G,2,0)),0,VLOOKUP($A64&amp;C$1,'For stats end Y DB'!$A:$G,2,0))</f>
        <v>0</v>
      </c>
      <c r="D64">
        <f>IF(ISNA(VLOOKUP($A64&amp;D$1,'For stats end Y DB'!$A:$G,2,0)),0,VLOOKUP($A64&amp;D$1,'For stats end Y DB'!$A:$G,2,0))</f>
        <v>0</v>
      </c>
      <c r="E64">
        <f>IF(ISNA(VLOOKUP($A64&amp;E$1,'For stats end Y DB'!$A:$G,2,0)),0,VLOOKUP($A64&amp;E$1,'For stats end Y DB'!$A:$G,2,0))</f>
        <v>0</v>
      </c>
      <c r="F64">
        <f>IF(ISNA(VLOOKUP($A64&amp;F$1,'For stats end Y DB'!$A:$G,2,0)),0,VLOOKUP($A64&amp;F$1,'For stats end Y DB'!$A:$G,2,0))</f>
        <v>0</v>
      </c>
      <c r="G64">
        <f>IF(ISNA(VLOOKUP($A64&amp;G$1,'For stats end Y DB'!$A:$G,2,0)),0,VLOOKUP($A64&amp;G$1,'For stats end Y DB'!$A:$G,2,0))</f>
        <v>0</v>
      </c>
      <c r="H64">
        <f>IF(ISNA(VLOOKUP($A64&amp;H$1,'For stats end Y DB'!$A:$G,2,0)),0,VLOOKUP($A64&amp;H$1,'For stats end Y DB'!$A:$G,2,0))</f>
        <v>0</v>
      </c>
      <c r="I64">
        <f>IF(ISNA(VLOOKUP($A64&amp;I$1,'For stats end Y DB'!$A:$G,2,0)),0,VLOOKUP($A64&amp;I$1,'For stats end Y DB'!$A:$G,2,0))</f>
        <v>0</v>
      </c>
      <c r="J64">
        <f>IF(ISNA(VLOOKUP($A64&amp;J$1,'For stats end Y DB'!$A:$G,2,0)),0,VLOOKUP($A64&amp;J$1,'For stats end Y DB'!$A:$G,2,0))</f>
        <v>0</v>
      </c>
      <c r="K64">
        <f>IF(ISNA(VLOOKUP($A64&amp;K$1,'For stats end Y DB'!$A:$G,2,0)),0,VLOOKUP($A64&amp;K$1,'For stats end Y DB'!$A:$G,2,0))</f>
        <v>0</v>
      </c>
      <c r="L64">
        <f>IF(ISNA(VLOOKUP($A64&amp;L$1,'For stats end Y DB'!$A:$G,2,0)),0,VLOOKUP($A64&amp;L$1,'For stats end Y DB'!$A:$G,2,0))</f>
        <v>0</v>
      </c>
      <c r="M64">
        <f>IF(ISNA(VLOOKUP($A64&amp;M$1,'For stats end Y DB'!$A:$G,2,0)),0,VLOOKUP($A64&amp;M$1,'For stats end Y DB'!$A:$G,2,0))</f>
        <v>0</v>
      </c>
      <c r="N64">
        <f>IF(ISNA(VLOOKUP($A64&amp;N$1,'For stats end Y DB'!$A:$G,2,0)),0,VLOOKUP($A64&amp;N$1,'For stats end Y DB'!$A:$G,2,0))</f>
        <v>3</v>
      </c>
      <c r="O64">
        <f>IF(ISNA(VLOOKUP($A64&amp;O$1,'For stats end Y DB'!$A:$G,2,0)),0,VLOOKUP($A64&amp;O$1,'For stats end Y DB'!$A:$G,2,0))</f>
        <v>0</v>
      </c>
      <c r="P64">
        <f>IF(ISNA(VLOOKUP($A64&amp;P$1,'For stats end Y DB'!$A:$G,2,0)),0,VLOOKUP($A64&amp;P$1,'For stats end Y DB'!$A:$G,2,0))</f>
        <v>0</v>
      </c>
      <c r="Q64">
        <f>IF(ISNA(VLOOKUP($A64&amp;Q$1,'For stats end Y DB'!$A:$G,2,0)),0,VLOOKUP($A64&amp;Q$1,'For stats end Y DB'!$A:$G,2,0))</f>
        <v>0</v>
      </c>
      <c r="R64">
        <f>IF(ISNA(VLOOKUP($A64&amp;R$1,'For stats end Y DB'!$A:$G,2,0)),0,VLOOKUP($A64&amp;R$1,'For stats end Y DB'!$A:$G,2,0))</f>
        <v>0</v>
      </c>
      <c r="S64">
        <f>IF(ISNA(VLOOKUP($A64&amp;S$1,'For stats end Y DB'!$A:$G,2,0)),0,VLOOKUP($A64&amp;S$1,'For stats end Y DB'!$A:$G,2,0))</f>
        <v>0</v>
      </c>
      <c r="T64">
        <f>IF(ISNA(VLOOKUP($A64&amp;T$1,'For stats end Y DB'!$A:$G,2,0)),0,VLOOKUP($A64&amp;T$1,'For stats end Y DB'!$A:$G,2,0))</f>
        <v>0</v>
      </c>
      <c r="U64">
        <f>IF(ISNA(VLOOKUP($A64&amp;U$1,'For stats end Y DB'!$A:$G,2,0)),0,VLOOKUP($A64&amp;U$1,'For stats end Y DB'!$A:$G,2,0))</f>
        <v>0</v>
      </c>
      <c r="V64">
        <f>IF(ISNA(VLOOKUP($A64&amp;V$1,'For stats end Y DB'!$A:$G,2,0)),0,VLOOKUP($A64&amp;V$1,'For stats end Y DB'!$A:$G,2,0))</f>
        <v>0</v>
      </c>
      <c r="W64">
        <f>IF(ISNA(VLOOKUP($A64&amp;W$1,'For stats end Y DB'!$A:$G,2,0)),0,VLOOKUP($A64&amp;W$1,'For stats end Y DB'!$A:$G,2,0))</f>
        <v>0</v>
      </c>
      <c r="X64">
        <f>IF(ISNA(VLOOKUP($A64&amp;X$1,'For stats end Y DB'!$A:$G,2,0)),0,VLOOKUP($A64&amp;X$1,'For stats end Y DB'!$A:$G,2,0))</f>
        <v>0</v>
      </c>
      <c r="Y64">
        <f>IF(ISNA(VLOOKUP($A64&amp;Y$1,'For stats end Y DB'!$A:$G,2,0)),0,VLOOKUP($A64&amp;Y$1,'For stats end Y DB'!$A:$G,2,0))</f>
        <v>0</v>
      </c>
      <c r="Z64">
        <f>IF(ISNA(VLOOKUP($A64&amp;Z$1,'For stats end Y DB'!$A:$G,2,0)),0,VLOOKUP($A64&amp;Z$1,'For stats end Y DB'!$A:$G,2,0))</f>
        <v>0</v>
      </c>
      <c r="AA64">
        <f>IF(ISNA(VLOOKUP($A64&amp;AA$1,'For stats end Y DB'!$A:$G,2,0)),0,VLOOKUP($A64&amp;AA$1,'For stats end Y DB'!$A:$G,2,0))</f>
        <v>0</v>
      </c>
      <c r="AB64">
        <f>IF(ISNA(VLOOKUP($A64&amp;AB$1,'For stats end Y DB'!$A:$G,2,0)),0,VLOOKUP($A64&amp;AB$1,'For stats end Y DB'!$A:$G,2,0))</f>
        <v>0</v>
      </c>
      <c r="AC64">
        <f>IF(ISNA(VLOOKUP($A64&amp;AC$1,'For stats end Y DB'!$A:$G,2,0)),0,VLOOKUP($A64&amp;AC$1,'For stats end Y DB'!$A:$G,2,0))</f>
        <v>0</v>
      </c>
      <c r="AD64">
        <f>IF(ISNA(VLOOKUP($A64&amp;AD$1,'For stats end Y DB'!$A:$G,2,0)),0,VLOOKUP($A64&amp;AD$1,'For stats end Y DB'!$A:$G,2,0))</f>
        <v>0</v>
      </c>
      <c r="AE64">
        <f>IF(ISNA(VLOOKUP($A64&amp;AE$1,'For stats end Y DB'!$A:$G,2,0)),0,VLOOKUP($A64&amp;AE$1,'For stats end Y DB'!$A:$G,2,0))</f>
        <v>0</v>
      </c>
      <c r="AF64">
        <f>IF(ISNA(VLOOKUP($A64&amp;AF$1,'For stats end Y DB'!$A:$G,2,0)),0,VLOOKUP($A64&amp;AF$1,'For stats end Y DB'!$A:$G,2,0))</f>
        <v>0</v>
      </c>
      <c r="AG64">
        <f>IF(ISNA(VLOOKUP($A64&amp;AG$1,'For stats end Y DB'!$A:$G,2,0)),0,VLOOKUP($A64&amp;AG$1,'For stats end Y DB'!$A:$G,2,0))</f>
        <v>0</v>
      </c>
      <c r="AH64">
        <f>IF(ISNA(VLOOKUP($A64&amp;AH$1,'For stats end Y DB'!$A:$G,2,0)),0,VLOOKUP($A64&amp;AH$1,'For stats end Y DB'!$A:$G,2,0))</f>
        <v>0</v>
      </c>
      <c r="AI64">
        <f>IF(ISNA(VLOOKUP($A64&amp;AI$1,'For stats end Y DB'!$A:$G,2,0)),0,VLOOKUP($A64&amp;AI$1,'For stats end Y DB'!$A:$G,2,0))</f>
        <v>0</v>
      </c>
      <c r="AJ64">
        <f>IF(ISNA(VLOOKUP($A64&amp;AJ$1,'For stats end Y DB'!$A:$G,2,0)),0,VLOOKUP($A64&amp;AJ$1,'For stats end Y DB'!$A:$G,2,0))</f>
        <v>0</v>
      </c>
      <c r="AK64">
        <f>IF(ISNA(VLOOKUP($A64&amp;AK$1,'For stats end Y DB'!$A:$G,2,0)),0,VLOOKUP($A64&amp;AK$1,'For stats end Y DB'!$A:$G,2,0))</f>
        <v>0</v>
      </c>
      <c r="AL64">
        <f>IF(ISNA(VLOOKUP($A64&amp;AL$1,'For stats end Y DB'!$A:$G,2,0)),0,VLOOKUP($A64&amp;AL$1,'For stats end Y DB'!$A:$G,2,0))</f>
        <v>0</v>
      </c>
      <c r="AM64">
        <f>IF(ISNA(VLOOKUP($A64&amp;AM$1,'For stats end Y DB'!$A:$G,2,0)),0,VLOOKUP($A64&amp;AM$1,'For stats end Y DB'!$A:$G,2,0))</f>
        <v>0</v>
      </c>
      <c r="AN64">
        <f>IF(ISNA(VLOOKUP($A64&amp;AN$1,'For stats end Y DB'!$A:$G,2,0)),0,VLOOKUP($A64&amp;AN$1,'For stats end Y DB'!$A:$G,2,0))</f>
        <v>0</v>
      </c>
      <c r="AP64" t="str">
        <f t="shared" si="3"/>
        <v>Maxime K</v>
      </c>
      <c r="AQ64">
        <f t="shared" si="5"/>
        <v>0</v>
      </c>
      <c r="AR64">
        <f t="shared" si="5"/>
        <v>0</v>
      </c>
      <c r="AS64">
        <f t="shared" si="5"/>
        <v>1</v>
      </c>
      <c r="AT64" s="9">
        <f t="shared" si="6"/>
        <v>0</v>
      </c>
      <c r="AU64">
        <f t="shared" si="2"/>
        <v>1</v>
      </c>
    </row>
    <row r="65" spans="1:47" x14ac:dyDescent="0.2">
      <c r="A65" s="12" t="s">
        <v>476</v>
      </c>
      <c r="B65">
        <f>IF(ISNA(VLOOKUP($A65&amp;B$1,'For stats end Y DB'!$A:$G,2,0)),0,VLOOKUP($A65&amp;B$1,'For stats end Y DB'!$A:$G,2,0))</f>
        <v>0</v>
      </c>
      <c r="C65">
        <f>IF(ISNA(VLOOKUP($A65&amp;C$1,'For stats end Y DB'!$A:$G,2,0)),0,VLOOKUP($A65&amp;C$1,'For stats end Y DB'!$A:$G,2,0))</f>
        <v>1</v>
      </c>
      <c r="D65">
        <f>IF(ISNA(VLOOKUP($A65&amp;D$1,'For stats end Y DB'!$A:$G,2,0)),0,VLOOKUP($A65&amp;D$1,'For stats end Y DB'!$A:$G,2,0))</f>
        <v>3</v>
      </c>
      <c r="E65">
        <f>IF(ISNA(VLOOKUP($A65&amp;E$1,'For stats end Y DB'!$A:$G,2,0)),0,VLOOKUP($A65&amp;E$1,'For stats end Y DB'!$A:$G,2,0))</f>
        <v>7</v>
      </c>
      <c r="F65">
        <f>IF(ISNA(VLOOKUP($A65&amp;F$1,'For stats end Y DB'!$A:$G,2,0)),0,VLOOKUP($A65&amp;F$1,'For stats end Y DB'!$A:$G,2,0))</f>
        <v>1</v>
      </c>
      <c r="G65">
        <f>IF(ISNA(VLOOKUP($A65&amp;G$1,'For stats end Y DB'!$A:$G,2,0)),0,VLOOKUP($A65&amp;G$1,'For stats end Y DB'!$A:$G,2,0))</f>
        <v>1</v>
      </c>
      <c r="H65">
        <f>IF(ISNA(VLOOKUP($A65&amp;H$1,'For stats end Y DB'!$A:$G,2,0)),0,VLOOKUP($A65&amp;H$1,'For stats end Y DB'!$A:$G,2,0))</f>
        <v>5</v>
      </c>
      <c r="I65">
        <f>IF(ISNA(VLOOKUP($A65&amp;I$1,'For stats end Y DB'!$A:$G,2,0)),0,VLOOKUP($A65&amp;I$1,'For stats end Y DB'!$A:$G,2,0))</f>
        <v>1</v>
      </c>
      <c r="J65">
        <f>IF(ISNA(VLOOKUP($A65&amp;J$1,'For stats end Y DB'!$A:$G,2,0)),0,VLOOKUP($A65&amp;J$1,'For stats end Y DB'!$A:$G,2,0))</f>
        <v>0</v>
      </c>
      <c r="K65">
        <f>IF(ISNA(VLOOKUP($A65&amp;K$1,'For stats end Y DB'!$A:$G,2,0)),0,VLOOKUP($A65&amp;K$1,'For stats end Y DB'!$A:$G,2,0))</f>
        <v>3</v>
      </c>
      <c r="L65">
        <f>IF(ISNA(VLOOKUP($A65&amp;L$1,'For stats end Y DB'!$A:$G,2,0)),0,VLOOKUP($A65&amp;L$1,'For stats end Y DB'!$A:$G,2,0))</f>
        <v>1</v>
      </c>
      <c r="M65">
        <f>IF(ISNA(VLOOKUP($A65&amp;M$1,'For stats end Y DB'!$A:$G,2,0)),0,VLOOKUP($A65&amp;M$1,'For stats end Y DB'!$A:$G,2,0))</f>
        <v>6</v>
      </c>
      <c r="N65">
        <f>IF(ISNA(VLOOKUP($A65&amp;N$1,'For stats end Y DB'!$A:$G,2,0)),0,VLOOKUP($A65&amp;N$1,'For stats end Y DB'!$A:$G,2,0))</f>
        <v>0</v>
      </c>
      <c r="O65">
        <f>IF(ISNA(VLOOKUP($A65&amp;O$1,'For stats end Y DB'!$A:$G,2,0)),0,VLOOKUP($A65&amp;O$1,'For stats end Y DB'!$A:$G,2,0))</f>
        <v>5</v>
      </c>
      <c r="P65">
        <f>IF(ISNA(VLOOKUP($A65&amp;P$1,'For stats end Y DB'!$A:$G,2,0)),0,VLOOKUP($A65&amp;P$1,'For stats end Y DB'!$A:$G,2,0))</f>
        <v>0</v>
      </c>
      <c r="Q65">
        <f>IF(ISNA(VLOOKUP($A65&amp;Q$1,'For stats end Y DB'!$A:$G,2,0)),0,VLOOKUP($A65&amp;Q$1,'For stats end Y DB'!$A:$G,2,0))</f>
        <v>0</v>
      </c>
      <c r="R65">
        <f>IF(ISNA(VLOOKUP($A65&amp;R$1,'For stats end Y DB'!$A:$G,2,0)),0,VLOOKUP($A65&amp;R$1,'For stats end Y DB'!$A:$G,2,0))</f>
        <v>1</v>
      </c>
      <c r="S65">
        <f>IF(ISNA(VLOOKUP($A65&amp;S$1,'For stats end Y DB'!$A:$G,2,0)),0,VLOOKUP($A65&amp;S$1,'For stats end Y DB'!$A:$G,2,0))</f>
        <v>0</v>
      </c>
      <c r="T65">
        <f>IF(ISNA(VLOOKUP($A65&amp;T$1,'For stats end Y DB'!$A:$G,2,0)),0,VLOOKUP($A65&amp;T$1,'For stats end Y DB'!$A:$G,2,0))</f>
        <v>0</v>
      </c>
      <c r="U65">
        <f>IF(ISNA(VLOOKUP($A65&amp;U$1,'For stats end Y DB'!$A:$G,2,0)),0,VLOOKUP($A65&amp;U$1,'For stats end Y DB'!$A:$G,2,0))</f>
        <v>0</v>
      </c>
      <c r="V65">
        <f>IF(ISNA(VLOOKUP($A65&amp;V$1,'For stats end Y DB'!$A:$G,2,0)),0,VLOOKUP($A65&amp;V$1,'For stats end Y DB'!$A:$G,2,0))</f>
        <v>0</v>
      </c>
      <c r="W65">
        <f>IF(ISNA(VLOOKUP($A65&amp;W$1,'For stats end Y DB'!$A:$G,2,0)),0,VLOOKUP($A65&amp;W$1,'For stats end Y DB'!$A:$G,2,0))</f>
        <v>3</v>
      </c>
      <c r="X65">
        <f>IF(ISNA(VLOOKUP($A65&amp;X$1,'For stats end Y DB'!$A:$G,2,0)),0,VLOOKUP($A65&amp;X$1,'For stats end Y DB'!$A:$G,2,0))</f>
        <v>0</v>
      </c>
      <c r="Y65">
        <f>IF(ISNA(VLOOKUP($A65&amp;Y$1,'For stats end Y DB'!$A:$G,2,0)),0,VLOOKUP($A65&amp;Y$1,'For stats end Y DB'!$A:$G,2,0))</f>
        <v>1</v>
      </c>
      <c r="Z65">
        <f>IF(ISNA(VLOOKUP($A65&amp;Z$1,'For stats end Y DB'!$A:$G,2,0)),0,VLOOKUP($A65&amp;Z$1,'For stats end Y DB'!$A:$G,2,0))</f>
        <v>3</v>
      </c>
      <c r="AA65">
        <f>IF(ISNA(VLOOKUP($A65&amp;AA$1,'For stats end Y DB'!$A:$G,2,0)),0,VLOOKUP($A65&amp;AA$1,'For stats end Y DB'!$A:$G,2,0))</f>
        <v>0</v>
      </c>
      <c r="AB65">
        <f>IF(ISNA(VLOOKUP($A65&amp;AB$1,'For stats end Y DB'!$A:$G,2,0)),0,VLOOKUP($A65&amp;AB$1,'For stats end Y DB'!$A:$G,2,0))</f>
        <v>0</v>
      </c>
      <c r="AC65">
        <f>IF(ISNA(VLOOKUP($A65&amp;AC$1,'For stats end Y DB'!$A:$G,2,0)),0,VLOOKUP($A65&amp;AC$1,'For stats end Y DB'!$A:$G,2,0))</f>
        <v>0</v>
      </c>
      <c r="AD65">
        <f>IF(ISNA(VLOOKUP($A65&amp;AD$1,'For stats end Y DB'!$A:$G,2,0)),0,VLOOKUP($A65&amp;AD$1,'For stats end Y DB'!$A:$G,2,0))</f>
        <v>3</v>
      </c>
      <c r="AE65">
        <f>IF(ISNA(VLOOKUP($A65&amp;AE$1,'For stats end Y DB'!$A:$G,2,0)),0,VLOOKUP($A65&amp;AE$1,'For stats end Y DB'!$A:$G,2,0))</f>
        <v>6</v>
      </c>
      <c r="AF65">
        <f>IF(ISNA(VLOOKUP($A65&amp;AF$1,'For stats end Y DB'!$A:$G,2,0)),0,VLOOKUP($A65&amp;AF$1,'For stats end Y DB'!$A:$G,2,0))</f>
        <v>0</v>
      </c>
      <c r="AG65">
        <f>IF(ISNA(VLOOKUP($A65&amp;AG$1,'For stats end Y DB'!$A:$G,2,0)),0,VLOOKUP($A65&amp;AG$1,'For stats end Y DB'!$A:$G,2,0))</f>
        <v>0</v>
      </c>
      <c r="AH65">
        <f>IF(ISNA(VLOOKUP($A65&amp;AH$1,'For stats end Y DB'!$A:$G,2,0)),0,VLOOKUP($A65&amp;AH$1,'For stats end Y DB'!$A:$G,2,0))</f>
        <v>6</v>
      </c>
      <c r="AI65">
        <f>IF(ISNA(VLOOKUP($A65&amp;AI$1,'For stats end Y DB'!$A:$G,2,0)),0,VLOOKUP($A65&amp;AI$1,'For stats end Y DB'!$A:$G,2,0))</f>
        <v>0</v>
      </c>
      <c r="AJ65">
        <f>IF(ISNA(VLOOKUP($A65&amp;AJ$1,'For stats end Y DB'!$A:$G,2,0)),0,VLOOKUP($A65&amp;AJ$1,'For stats end Y DB'!$A:$G,2,0))</f>
        <v>0</v>
      </c>
      <c r="AK65">
        <f>IF(ISNA(VLOOKUP($A65&amp;AK$1,'For stats end Y DB'!$A:$G,2,0)),0,VLOOKUP($A65&amp;AK$1,'For stats end Y DB'!$A:$G,2,0))</f>
        <v>0</v>
      </c>
      <c r="AL65">
        <f>IF(ISNA(VLOOKUP($A65&amp;AL$1,'For stats end Y DB'!$A:$G,2,0)),0,VLOOKUP($A65&amp;AL$1,'For stats end Y DB'!$A:$G,2,0))</f>
        <v>0</v>
      </c>
      <c r="AM65">
        <f>IF(ISNA(VLOOKUP($A65&amp;AM$1,'For stats end Y DB'!$A:$G,2,0)),0,VLOOKUP($A65&amp;AM$1,'For stats end Y DB'!$A:$G,2,0))</f>
        <v>0</v>
      </c>
      <c r="AN65">
        <f>IF(ISNA(VLOOKUP($A65&amp;AN$1,'For stats end Y DB'!$A:$G,2,0)),0,VLOOKUP($A65&amp;AN$1,'For stats end Y DB'!$A:$G,2,0))</f>
        <v>0</v>
      </c>
      <c r="AP65" t="str">
        <f t="shared" si="3"/>
        <v>MegaSouche</v>
      </c>
      <c r="AQ65">
        <f t="shared" si="5"/>
        <v>7</v>
      </c>
      <c r="AR65">
        <f t="shared" si="5"/>
        <v>0</v>
      </c>
      <c r="AS65">
        <f t="shared" si="5"/>
        <v>5</v>
      </c>
      <c r="AT65" s="9">
        <f t="shared" si="6"/>
        <v>0</v>
      </c>
      <c r="AU65">
        <f t="shared" si="2"/>
        <v>18</v>
      </c>
    </row>
    <row r="66" spans="1:47" x14ac:dyDescent="0.2">
      <c r="A66" s="12" t="s">
        <v>75</v>
      </c>
      <c r="B66">
        <f>IF(ISNA(VLOOKUP($A66&amp;B$1,'For stats end Y DB'!$A:$G,2,0)),0,VLOOKUP($A66&amp;B$1,'For stats end Y DB'!$A:$G,2,0))</f>
        <v>1</v>
      </c>
      <c r="C66">
        <f>IF(ISNA(VLOOKUP($A66&amp;C$1,'For stats end Y DB'!$A:$G,2,0)),0,VLOOKUP($A66&amp;C$1,'For stats end Y DB'!$A:$G,2,0))</f>
        <v>6</v>
      </c>
      <c r="D66">
        <f>IF(ISNA(VLOOKUP($A66&amp;D$1,'For stats end Y DB'!$A:$G,2,0)),0,VLOOKUP($A66&amp;D$1,'For stats end Y DB'!$A:$G,2,0))</f>
        <v>5</v>
      </c>
      <c r="E66">
        <f>IF(ISNA(VLOOKUP($A66&amp;E$1,'For stats end Y DB'!$A:$G,2,0)),0,VLOOKUP($A66&amp;E$1,'For stats end Y DB'!$A:$G,2,0))</f>
        <v>6</v>
      </c>
      <c r="F66">
        <f>IF(ISNA(VLOOKUP($A66&amp;F$1,'For stats end Y DB'!$A:$G,2,0)),0,VLOOKUP($A66&amp;F$1,'For stats end Y DB'!$A:$G,2,0))</f>
        <v>1</v>
      </c>
      <c r="G66">
        <f>IF(ISNA(VLOOKUP($A66&amp;G$1,'For stats end Y DB'!$A:$G,2,0)),0,VLOOKUP($A66&amp;G$1,'For stats end Y DB'!$A:$G,2,0))</f>
        <v>3</v>
      </c>
      <c r="H66">
        <f>IF(ISNA(VLOOKUP($A66&amp;H$1,'For stats end Y DB'!$A:$G,2,0)),0,VLOOKUP($A66&amp;H$1,'For stats end Y DB'!$A:$G,2,0))</f>
        <v>3</v>
      </c>
      <c r="I66">
        <f>IF(ISNA(VLOOKUP($A66&amp;I$1,'For stats end Y DB'!$A:$G,2,0)),0,VLOOKUP($A66&amp;I$1,'For stats end Y DB'!$A:$G,2,0))</f>
        <v>6</v>
      </c>
      <c r="J66">
        <f>IF(ISNA(VLOOKUP($A66&amp;J$1,'For stats end Y DB'!$A:$G,2,0)),0,VLOOKUP($A66&amp;J$1,'For stats end Y DB'!$A:$G,2,0))</f>
        <v>5</v>
      </c>
      <c r="K66">
        <f>IF(ISNA(VLOOKUP($A66&amp;K$1,'For stats end Y DB'!$A:$G,2,0)),0,VLOOKUP($A66&amp;K$1,'For stats end Y DB'!$A:$G,2,0))</f>
        <v>6</v>
      </c>
      <c r="L66">
        <f>IF(ISNA(VLOOKUP($A66&amp;L$1,'For stats end Y DB'!$A:$G,2,0)),0,VLOOKUP($A66&amp;L$1,'For stats end Y DB'!$A:$G,2,0))</f>
        <v>3</v>
      </c>
      <c r="M66">
        <f>IF(ISNA(VLOOKUP($A66&amp;M$1,'For stats end Y DB'!$A:$G,2,0)),0,VLOOKUP($A66&amp;M$1,'For stats end Y DB'!$A:$G,2,0))</f>
        <v>6</v>
      </c>
      <c r="N66">
        <f>IF(ISNA(VLOOKUP($A66&amp;N$1,'For stats end Y DB'!$A:$G,2,0)),0,VLOOKUP($A66&amp;N$1,'For stats end Y DB'!$A:$G,2,0))</f>
        <v>1</v>
      </c>
      <c r="O66">
        <f>IF(ISNA(VLOOKUP($A66&amp;O$1,'For stats end Y DB'!$A:$G,2,0)),0,VLOOKUP($A66&amp;O$1,'For stats end Y DB'!$A:$G,2,0))</f>
        <v>4</v>
      </c>
      <c r="P66">
        <f>IF(ISNA(VLOOKUP($A66&amp;P$1,'For stats end Y DB'!$A:$G,2,0)),0,VLOOKUP($A66&amp;P$1,'For stats end Y DB'!$A:$G,2,0))</f>
        <v>4</v>
      </c>
      <c r="Q66">
        <f>IF(ISNA(VLOOKUP($A66&amp;Q$1,'For stats end Y DB'!$A:$G,2,0)),0,VLOOKUP($A66&amp;Q$1,'For stats end Y DB'!$A:$G,2,0))</f>
        <v>1</v>
      </c>
      <c r="R66">
        <f>IF(ISNA(VLOOKUP($A66&amp;R$1,'For stats end Y DB'!$A:$G,2,0)),0,VLOOKUP($A66&amp;R$1,'For stats end Y DB'!$A:$G,2,0))</f>
        <v>3</v>
      </c>
      <c r="S66">
        <f>IF(ISNA(VLOOKUP($A66&amp;S$1,'For stats end Y DB'!$A:$G,2,0)),0,VLOOKUP($A66&amp;S$1,'For stats end Y DB'!$A:$G,2,0))</f>
        <v>3</v>
      </c>
      <c r="T66">
        <f>IF(ISNA(VLOOKUP($A66&amp;T$1,'For stats end Y DB'!$A:$G,2,0)),0,VLOOKUP($A66&amp;T$1,'For stats end Y DB'!$A:$G,2,0))</f>
        <v>4</v>
      </c>
      <c r="U66">
        <f>IF(ISNA(VLOOKUP($A66&amp;U$1,'For stats end Y DB'!$A:$G,2,0)),0,VLOOKUP($A66&amp;U$1,'For stats end Y DB'!$A:$G,2,0))</f>
        <v>6</v>
      </c>
      <c r="V66">
        <f>IF(ISNA(VLOOKUP($A66&amp;V$1,'For stats end Y DB'!$A:$G,2,0)),0,VLOOKUP($A66&amp;V$1,'For stats end Y DB'!$A:$G,2,0))</f>
        <v>3</v>
      </c>
      <c r="W66">
        <f>IF(ISNA(VLOOKUP($A66&amp;W$1,'For stats end Y DB'!$A:$G,2,0)),0,VLOOKUP($A66&amp;W$1,'For stats end Y DB'!$A:$G,2,0))</f>
        <v>6</v>
      </c>
      <c r="X66">
        <f>IF(ISNA(VLOOKUP($A66&amp;X$1,'For stats end Y DB'!$A:$G,2,0)),0,VLOOKUP($A66&amp;X$1,'For stats end Y DB'!$A:$G,2,0))</f>
        <v>1</v>
      </c>
      <c r="Y66">
        <f>IF(ISNA(VLOOKUP($A66&amp;Y$1,'For stats end Y DB'!$A:$G,2,0)),0,VLOOKUP($A66&amp;Y$1,'For stats end Y DB'!$A:$G,2,0))</f>
        <v>1</v>
      </c>
      <c r="Z66">
        <f>IF(ISNA(VLOOKUP($A66&amp;Z$1,'For stats end Y DB'!$A:$G,2,0)),0,VLOOKUP($A66&amp;Z$1,'For stats end Y DB'!$A:$G,2,0))</f>
        <v>1</v>
      </c>
      <c r="AA66">
        <f>IF(ISNA(VLOOKUP($A66&amp;AA$1,'For stats end Y DB'!$A:$G,2,0)),0,VLOOKUP($A66&amp;AA$1,'For stats end Y DB'!$A:$G,2,0))</f>
        <v>3</v>
      </c>
      <c r="AB66">
        <f>IF(ISNA(VLOOKUP($A66&amp;AB$1,'For stats end Y DB'!$A:$G,2,0)),0,VLOOKUP($A66&amp;AB$1,'For stats end Y DB'!$A:$G,2,0))</f>
        <v>5</v>
      </c>
      <c r="AC66">
        <f>IF(ISNA(VLOOKUP($A66&amp;AC$1,'For stats end Y DB'!$A:$G,2,0)),0,VLOOKUP($A66&amp;AC$1,'For stats end Y DB'!$A:$G,2,0))</f>
        <v>4</v>
      </c>
      <c r="AD66">
        <f>IF(ISNA(VLOOKUP($A66&amp;AD$1,'For stats end Y DB'!$A:$G,2,0)),0,VLOOKUP($A66&amp;AD$1,'For stats end Y DB'!$A:$G,2,0))</f>
        <v>2</v>
      </c>
      <c r="AE66">
        <f>IF(ISNA(VLOOKUP($A66&amp;AE$1,'For stats end Y DB'!$A:$G,2,0)),0,VLOOKUP($A66&amp;AE$1,'For stats end Y DB'!$A:$G,2,0))</f>
        <v>2</v>
      </c>
      <c r="AF66">
        <f>IF(ISNA(VLOOKUP($A66&amp;AF$1,'For stats end Y DB'!$A:$G,2,0)),0,VLOOKUP($A66&amp;AF$1,'For stats end Y DB'!$A:$G,2,0))</f>
        <v>6</v>
      </c>
      <c r="AG66">
        <f>IF(ISNA(VLOOKUP($A66&amp;AG$1,'For stats end Y DB'!$A:$G,2,0)),0,VLOOKUP($A66&amp;AG$1,'For stats end Y DB'!$A:$G,2,0))</f>
        <v>4</v>
      </c>
      <c r="AH66">
        <f>IF(ISNA(VLOOKUP($A66&amp;AH$1,'For stats end Y DB'!$A:$G,2,0)),0,VLOOKUP($A66&amp;AH$1,'For stats end Y DB'!$A:$G,2,0))</f>
        <v>4</v>
      </c>
      <c r="AI66">
        <f>IF(ISNA(VLOOKUP($A66&amp;AI$1,'For stats end Y DB'!$A:$G,2,0)),0,VLOOKUP($A66&amp;AI$1,'For stats end Y DB'!$A:$G,2,0))</f>
        <v>0</v>
      </c>
      <c r="AJ66">
        <f>IF(ISNA(VLOOKUP($A66&amp;AJ$1,'For stats end Y DB'!$A:$G,2,0)),0,VLOOKUP($A66&amp;AJ$1,'For stats end Y DB'!$A:$G,2,0))</f>
        <v>0</v>
      </c>
      <c r="AK66">
        <f>IF(ISNA(VLOOKUP($A66&amp;AK$1,'For stats end Y DB'!$A:$G,2,0)),0,VLOOKUP($A66&amp;AK$1,'For stats end Y DB'!$A:$G,2,0))</f>
        <v>0</v>
      </c>
      <c r="AL66">
        <f>IF(ISNA(VLOOKUP($A66&amp;AL$1,'For stats end Y DB'!$A:$G,2,0)),0,VLOOKUP($A66&amp;AL$1,'For stats end Y DB'!$A:$G,2,0))</f>
        <v>0</v>
      </c>
      <c r="AM66">
        <f>IF(ISNA(VLOOKUP($A66&amp;AM$1,'For stats end Y DB'!$A:$G,2,0)),0,VLOOKUP($A66&amp;AM$1,'For stats end Y DB'!$A:$G,2,0))</f>
        <v>0</v>
      </c>
      <c r="AN66">
        <f>IF(ISNA(VLOOKUP($A66&amp;AN$1,'For stats end Y DB'!$A:$G,2,0)),0,VLOOKUP($A66&amp;AN$1,'For stats end Y DB'!$A:$G,2,0))</f>
        <v>0</v>
      </c>
      <c r="AP66" t="str">
        <f t="shared" si="3"/>
        <v>Michelbey</v>
      </c>
      <c r="AQ66">
        <f t="shared" si="5"/>
        <v>7</v>
      </c>
      <c r="AR66">
        <f t="shared" si="5"/>
        <v>2</v>
      </c>
      <c r="AS66">
        <f t="shared" si="5"/>
        <v>7</v>
      </c>
      <c r="AT66" s="9">
        <f t="shared" si="6"/>
        <v>0</v>
      </c>
      <c r="AU66">
        <f t="shared" ref="AU66:AU102" si="7">COUNTIF(B66:AN66,"&lt;&gt;0")</f>
        <v>33</v>
      </c>
    </row>
    <row r="67" spans="1:47" x14ac:dyDescent="0.2">
      <c r="A67" s="12" t="s">
        <v>523</v>
      </c>
      <c r="B67">
        <f>IF(ISNA(VLOOKUP($A67&amp;B$1,'For stats end Y DB'!$A:$G,2,0)),0,VLOOKUP($A67&amp;B$1,'For stats end Y DB'!$A:$G,2,0))</f>
        <v>0</v>
      </c>
      <c r="C67">
        <f>IF(ISNA(VLOOKUP($A67&amp;C$1,'For stats end Y DB'!$A:$G,2,0)),0,VLOOKUP($A67&amp;C$1,'For stats end Y DB'!$A:$G,2,0))</f>
        <v>3</v>
      </c>
      <c r="D67">
        <f>IF(ISNA(VLOOKUP($A67&amp;D$1,'For stats end Y DB'!$A:$G,2,0)),0,VLOOKUP($A67&amp;D$1,'For stats end Y DB'!$A:$G,2,0))</f>
        <v>0</v>
      </c>
      <c r="E67">
        <f>IF(ISNA(VLOOKUP($A67&amp;E$1,'For stats end Y DB'!$A:$G,2,0)),0,VLOOKUP($A67&amp;E$1,'For stats end Y DB'!$A:$G,2,0))</f>
        <v>3</v>
      </c>
      <c r="F67">
        <f>IF(ISNA(VLOOKUP($A67&amp;F$1,'For stats end Y DB'!$A:$G,2,0)),0,VLOOKUP($A67&amp;F$1,'For stats end Y DB'!$A:$G,2,0))</f>
        <v>2</v>
      </c>
      <c r="G67">
        <f>IF(ISNA(VLOOKUP($A67&amp;G$1,'For stats end Y DB'!$A:$G,2,0)),0,VLOOKUP($A67&amp;G$1,'For stats end Y DB'!$A:$G,2,0))</f>
        <v>6</v>
      </c>
      <c r="H67">
        <f>IF(ISNA(VLOOKUP($A67&amp;H$1,'For stats end Y DB'!$A:$G,2,0)),0,VLOOKUP($A67&amp;H$1,'For stats end Y DB'!$A:$G,2,0))</f>
        <v>6</v>
      </c>
      <c r="I67">
        <f>IF(ISNA(VLOOKUP($A67&amp;I$1,'For stats end Y DB'!$A:$G,2,0)),0,VLOOKUP($A67&amp;I$1,'For stats end Y DB'!$A:$G,2,0))</f>
        <v>0</v>
      </c>
      <c r="J67">
        <f>IF(ISNA(VLOOKUP($A67&amp;J$1,'For stats end Y DB'!$A:$G,2,0)),0,VLOOKUP($A67&amp;J$1,'For stats end Y DB'!$A:$G,2,0))</f>
        <v>0</v>
      </c>
      <c r="K67">
        <f>IF(ISNA(VLOOKUP($A67&amp;K$1,'For stats end Y DB'!$A:$G,2,0)),0,VLOOKUP($A67&amp;K$1,'For stats end Y DB'!$A:$G,2,0))</f>
        <v>0</v>
      </c>
      <c r="L67">
        <f>IF(ISNA(VLOOKUP($A67&amp;L$1,'For stats end Y DB'!$A:$G,2,0)),0,VLOOKUP($A67&amp;L$1,'For stats end Y DB'!$A:$G,2,0))</f>
        <v>0</v>
      </c>
      <c r="M67">
        <f>IF(ISNA(VLOOKUP($A67&amp;M$1,'For stats end Y DB'!$A:$G,2,0)),0,VLOOKUP($A67&amp;M$1,'For stats end Y DB'!$A:$G,2,0))</f>
        <v>0</v>
      </c>
      <c r="N67">
        <f>IF(ISNA(VLOOKUP($A67&amp;N$1,'For stats end Y DB'!$A:$G,2,0)),0,VLOOKUP($A67&amp;N$1,'For stats end Y DB'!$A:$G,2,0))</f>
        <v>0</v>
      </c>
      <c r="O67">
        <f>IF(ISNA(VLOOKUP($A67&amp;O$1,'For stats end Y DB'!$A:$G,2,0)),0,VLOOKUP($A67&amp;O$1,'For stats end Y DB'!$A:$G,2,0))</f>
        <v>0</v>
      </c>
      <c r="P67">
        <f>IF(ISNA(VLOOKUP($A67&amp;P$1,'For stats end Y DB'!$A:$G,2,0)),0,VLOOKUP($A67&amp;P$1,'For stats end Y DB'!$A:$G,2,0))</f>
        <v>0</v>
      </c>
      <c r="Q67">
        <f>IF(ISNA(VLOOKUP($A67&amp;Q$1,'For stats end Y DB'!$A:$G,2,0)),0,VLOOKUP($A67&amp;Q$1,'For stats end Y DB'!$A:$G,2,0))</f>
        <v>0</v>
      </c>
      <c r="R67">
        <f>IF(ISNA(VLOOKUP($A67&amp;R$1,'For stats end Y DB'!$A:$G,2,0)),0,VLOOKUP($A67&amp;R$1,'For stats end Y DB'!$A:$G,2,0))</f>
        <v>0</v>
      </c>
      <c r="S67">
        <f>IF(ISNA(VLOOKUP($A67&amp;S$1,'For stats end Y DB'!$A:$G,2,0)),0,VLOOKUP($A67&amp;S$1,'For stats end Y DB'!$A:$G,2,0))</f>
        <v>0</v>
      </c>
      <c r="T67">
        <f>IF(ISNA(VLOOKUP($A67&amp;T$1,'For stats end Y DB'!$A:$G,2,0)),0,VLOOKUP($A67&amp;T$1,'For stats end Y DB'!$A:$G,2,0))</f>
        <v>0</v>
      </c>
      <c r="U67">
        <f>IF(ISNA(VLOOKUP($A67&amp;U$1,'For stats end Y DB'!$A:$G,2,0)),0,VLOOKUP($A67&amp;U$1,'For stats end Y DB'!$A:$G,2,0))</f>
        <v>0</v>
      </c>
      <c r="V67">
        <f>IF(ISNA(VLOOKUP($A67&amp;V$1,'For stats end Y DB'!$A:$G,2,0)),0,VLOOKUP($A67&amp;V$1,'For stats end Y DB'!$A:$G,2,0))</f>
        <v>0</v>
      </c>
      <c r="W67">
        <f>IF(ISNA(VLOOKUP($A67&amp;W$1,'For stats end Y DB'!$A:$G,2,0)),0,VLOOKUP($A67&amp;W$1,'For stats end Y DB'!$A:$G,2,0))</f>
        <v>0</v>
      </c>
      <c r="X67">
        <f>IF(ISNA(VLOOKUP($A67&amp;X$1,'For stats end Y DB'!$A:$G,2,0)),0,VLOOKUP($A67&amp;X$1,'For stats end Y DB'!$A:$G,2,0))</f>
        <v>0</v>
      </c>
      <c r="Y67">
        <f>IF(ISNA(VLOOKUP($A67&amp;Y$1,'For stats end Y DB'!$A:$G,2,0)),0,VLOOKUP($A67&amp;Y$1,'For stats end Y DB'!$A:$G,2,0))</f>
        <v>0</v>
      </c>
      <c r="Z67">
        <f>IF(ISNA(VLOOKUP($A67&amp;Z$1,'For stats end Y DB'!$A:$G,2,0)),0,VLOOKUP($A67&amp;Z$1,'For stats end Y DB'!$A:$G,2,0))</f>
        <v>0</v>
      </c>
      <c r="AA67">
        <f>IF(ISNA(VLOOKUP($A67&amp;AA$1,'For stats end Y DB'!$A:$G,2,0)),0,VLOOKUP($A67&amp;AA$1,'For stats end Y DB'!$A:$G,2,0))</f>
        <v>0</v>
      </c>
      <c r="AB67">
        <f>IF(ISNA(VLOOKUP($A67&amp;AB$1,'For stats end Y DB'!$A:$G,2,0)),0,VLOOKUP($A67&amp;AB$1,'For stats end Y DB'!$A:$G,2,0))</f>
        <v>0</v>
      </c>
      <c r="AC67">
        <f>IF(ISNA(VLOOKUP($A67&amp;AC$1,'For stats end Y DB'!$A:$G,2,0)),0,VLOOKUP($A67&amp;AC$1,'For stats end Y DB'!$A:$G,2,0))</f>
        <v>0</v>
      </c>
      <c r="AD67">
        <f>IF(ISNA(VLOOKUP($A67&amp;AD$1,'For stats end Y DB'!$A:$G,2,0)),0,VLOOKUP($A67&amp;AD$1,'For stats end Y DB'!$A:$G,2,0))</f>
        <v>0</v>
      </c>
      <c r="AE67">
        <f>IF(ISNA(VLOOKUP($A67&amp;AE$1,'For stats end Y DB'!$A:$G,2,0)),0,VLOOKUP($A67&amp;AE$1,'For stats end Y DB'!$A:$G,2,0))</f>
        <v>0</v>
      </c>
      <c r="AF67">
        <f>IF(ISNA(VLOOKUP($A67&amp;AF$1,'For stats end Y DB'!$A:$G,2,0)),0,VLOOKUP($A67&amp;AF$1,'For stats end Y DB'!$A:$G,2,0))</f>
        <v>0</v>
      </c>
      <c r="AG67">
        <f>IF(ISNA(VLOOKUP($A67&amp;AG$1,'For stats end Y DB'!$A:$G,2,0)),0,VLOOKUP($A67&amp;AG$1,'For stats end Y DB'!$A:$G,2,0))</f>
        <v>0</v>
      </c>
      <c r="AH67">
        <f>IF(ISNA(VLOOKUP($A67&amp;AH$1,'For stats end Y DB'!$A:$G,2,0)),0,VLOOKUP($A67&amp;AH$1,'For stats end Y DB'!$A:$G,2,0))</f>
        <v>0</v>
      </c>
      <c r="AI67">
        <f>IF(ISNA(VLOOKUP($A67&amp;AI$1,'For stats end Y DB'!$A:$G,2,0)),0,VLOOKUP($A67&amp;AI$1,'For stats end Y DB'!$A:$G,2,0))</f>
        <v>0</v>
      </c>
      <c r="AJ67">
        <f>IF(ISNA(VLOOKUP($A67&amp;AJ$1,'For stats end Y DB'!$A:$G,2,0)),0,VLOOKUP($A67&amp;AJ$1,'For stats end Y DB'!$A:$G,2,0))</f>
        <v>0</v>
      </c>
      <c r="AK67">
        <f>IF(ISNA(VLOOKUP($A67&amp;AK$1,'For stats end Y DB'!$A:$G,2,0)),0,VLOOKUP($A67&amp;AK$1,'For stats end Y DB'!$A:$G,2,0))</f>
        <v>0</v>
      </c>
      <c r="AL67">
        <f>IF(ISNA(VLOOKUP($A67&amp;AL$1,'For stats end Y DB'!$A:$G,2,0)),0,VLOOKUP($A67&amp;AL$1,'For stats end Y DB'!$A:$G,2,0))</f>
        <v>0</v>
      </c>
      <c r="AM67">
        <f>IF(ISNA(VLOOKUP($A67&amp;AM$1,'For stats end Y DB'!$A:$G,2,0)),0,VLOOKUP($A67&amp;AM$1,'For stats end Y DB'!$A:$G,2,0))</f>
        <v>0</v>
      </c>
      <c r="AN67">
        <f>IF(ISNA(VLOOKUP($A67&amp;AN$1,'For stats end Y DB'!$A:$G,2,0)),0,VLOOKUP($A67&amp;AN$1,'For stats end Y DB'!$A:$G,2,0))</f>
        <v>0</v>
      </c>
      <c r="AP67" t="str">
        <f t="shared" ref="AP67:AP102" si="8">A67</f>
        <v>Mokarran</v>
      </c>
      <c r="AQ67">
        <f t="shared" ref="AQ67:AS103" si="9">COUNTIF($B67:$AN67,AQ$1)</f>
        <v>0</v>
      </c>
      <c r="AR67">
        <f t="shared" si="9"/>
        <v>1</v>
      </c>
      <c r="AS67">
        <f t="shared" si="9"/>
        <v>2</v>
      </c>
      <c r="AT67" s="9">
        <f t="shared" si="6"/>
        <v>0</v>
      </c>
      <c r="AU67">
        <f t="shared" si="7"/>
        <v>5</v>
      </c>
    </row>
    <row r="68" spans="1:47" x14ac:dyDescent="0.2">
      <c r="A68" s="12" t="s">
        <v>179</v>
      </c>
      <c r="B68">
        <f>IF(ISNA(VLOOKUP($A68&amp;B$1,'For stats end Y DB'!$A:$G,2,0)),0,VLOOKUP($A68&amp;B$1,'For stats end Y DB'!$A:$G,2,0))</f>
        <v>5</v>
      </c>
      <c r="C68">
        <f>IF(ISNA(VLOOKUP($A68&amp;C$1,'For stats end Y DB'!$A:$G,2,0)),0,VLOOKUP($A68&amp;C$1,'For stats end Y DB'!$A:$G,2,0))</f>
        <v>0</v>
      </c>
      <c r="D68">
        <f>IF(ISNA(VLOOKUP($A68&amp;D$1,'For stats end Y DB'!$A:$G,2,0)),0,VLOOKUP($A68&amp;D$1,'For stats end Y DB'!$A:$G,2,0))</f>
        <v>0</v>
      </c>
      <c r="E68">
        <f>IF(ISNA(VLOOKUP($A68&amp;E$1,'For stats end Y DB'!$A:$G,2,0)),0,VLOOKUP($A68&amp;E$1,'For stats end Y DB'!$A:$G,2,0))</f>
        <v>3</v>
      </c>
      <c r="F68">
        <f>IF(ISNA(VLOOKUP($A68&amp;F$1,'For stats end Y DB'!$A:$G,2,0)),0,VLOOKUP($A68&amp;F$1,'For stats end Y DB'!$A:$G,2,0))</f>
        <v>0</v>
      </c>
      <c r="G68">
        <f>IF(ISNA(VLOOKUP($A68&amp;G$1,'For stats end Y DB'!$A:$G,2,0)),0,VLOOKUP($A68&amp;G$1,'For stats end Y DB'!$A:$G,2,0))</f>
        <v>7</v>
      </c>
      <c r="H68">
        <f>IF(ISNA(VLOOKUP($A68&amp;H$1,'For stats end Y DB'!$A:$G,2,0)),0,VLOOKUP($A68&amp;H$1,'For stats end Y DB'!$A:$G,2,0))</f>
        <v>0</v>
      </c>
      <c r="I68">
        <f>IF(ISNA(VLOOKUP($A68&amp;I$1,'For stats end Y DB'!$A:$G,2,0)),0,VLOOKUP($A68&amp;I$1,'For stats end Y DB'!$A:$G,2,0))</f>
        <v>0</v>
      </c>
      <c r="J68">
        <f>IF(ISNA(VLOOKUP($A68&amp;J$1,'For stats end Y DB'!$A:$G,2,0)),0,VLOOKUP($A68&amp;J$1,'For stats end Y DB'!$A:$G,2,0))</f>
        <v>0</v>
      </c>
      <c r="K68">
        <f>IF(ISNA(VLOOKUP($A68&amp;K$1,'For stats end Y DB'!$A:$G,2,0)),0,VLOOKUP($A68&amp;K$1,'For stats end Y DB'!$A:$G,2,0))</f>
        <v>0</v>
      </c>
      <c r="L68">
        <f>IF(ISNA(VLOOKUP($A68&amp;L$1,'For stats end Y DB'!$A:$G,2,0)),0,VLOOKUP($A68&amp;L$1,'For stats end Y DB'!$A:$G,2,0))</f>
        <v>0</v>
      </c>
      <c r="M68">
        <f>IF(ISNA(VLOOKUP($A68&amp;M$1,'For stats end Y DB'!$A:$G,2,0)),0,VLOOKUP($A68&amp;M$1,'For stats end Y DB'!$A:$G,2,0))</f>
        <v>0</v>
      </c>
      <c r="N68">
        <f>IF(ISNA(VLOOKUP($A68&amp;N$1,'For stats end Y DB'!$A:$G,2,0)),0,VLOOKUP($A68&amp;N$1,'For stats end Y DB'!$A:$G,2,0))</f>
        <v>0</v>
      </c>
      <c r="O68">
        <f>IF(ISNA(VLOOKUP($A68&amp;O$1,'For stats end Y DB'!$A:$G,2,0)),0,VLOOKUP($A68&amp;O$1,'For stats end Y DB'!$A:$G,2,0))</f>
        <v>0</v>
      </c>
      <c r="P68">
        <f>IF(ISNA(VLOOKUP($A68&amp;P$1,'For stats end Y DB'!$A:$G,2,0)),0,VLOOKUP($A68&amp;P$1,'For stats end Y DB'!$A:$G,2,0))</f>
        <v>0</v>
      </c>
      <c r="Q68">
        <f>IF(ISNA(VLOOKUP($A68&amp;Q$1,'For stats end Y DB'!$A:$G,2,0)),0,VLOOKUP($A68&amp;Q$1,'For stats end Y DB'!$A:$G,2,0))</f>
        <v>0</v>
      </c>
      <c r="R68">
        <f>IF(ISNA(VLOOKUP($A68&amp;R$1,'For stats end Y DB'!$A:$G,2,0)),0,VLOOKUP($A68&amp;R$1,'For stats end Y DB'!$A:$G,2,0))</f>
        <v>0</v>
      </c>
      <c r="S68">
        <f>IF(ISNA(VLOOKUP($A68&amp;S$1,'For stats end Y DB'!$A:$G,2,0)),0,VLOOKUP($A68&amp;S$1,'For stats end Y DB'!$A:$G,2,0))</f>
        <v>0</v>
      </c>
      <c r="T68">
        <f>IF(ISNA(VLOOKUP($A68&amp;T$1,'For stats end Y DB'!$A:$G,2,0)),0,VLOOKUP($A68&amp;T$1,'For stats end Y DB'!$A:$G,2,0))</f>
        <v>0</v>
      </c>
      <c r="U68">
        <f>IF(ISNA(VLOOKUP($A68&amp;U$1,'For stats end Y DB'!$A:$G,2,0)),0,VLOOKUP($A68&amp;U$1,'For stats end Y DB'!$A:$G,2,0))</f>
        <v>0</v>
      </c>
      <c r="V68">
        <f>IF(ISNA(VLOOKUP($A68&amp;V$1,'For stats end Y DB'!$A:$G,2,0)),0,VLOOKUP($A68&amp;V$1,'For stats end Y DB'!$A:$G,2,0))</f>
        <v>0</v>
      </c>
      <c r="W68">
        <f>IF(ISNA(VLOOKUP($A68&amp;W$1,'For stats end Y DB'!$A:$G,2,0)),0,VLOOKUP($A68&amp;W$1,'For stats end Y DB'!$A:$G,2,0))</f>
        <v>0</v>
      </c>
      <c r="X68">
        <f>IF(ISNA(VLOOKUP($A68&amp;X$1,'For stats end Y DB'!$A:$G,2,0)),0,VLOOKUP($A68&amp;X$1,'For stats end Y DB'!$A:$G,2,0))</f>
        <v>0</v>
      </c>
      <c r="Y68">
        <f>IF(ISNA(VLOOKUP($A68&amp;Y$1,'For stats end Y DB'!$A:$G,2,0)),0,VLOOKUP($A68&amp;Y$1,'For stats end Y DB'!$A:$G,2,0))</f>
        <v>0</v>
      </c>
      <c r="Z68">
        <f>IF(ISNA(VLOOKUP($A68&amp;Z$1,'For stats end Y DB'!$A:$G,2,0)),0,VLOOKUP($A68&amp;Z$1,'For stats end Y DB'!$A:$G,2,0))</f>
        <v>0</v>
      </c>
      <c r="AA68">
        <f>IF(ISNA(VLOOKUP($A68&amp;AA$1,'For stats end Y DB'!$A:$G,2,0)),0,VLOOKUP($A68&amp;AA$1,'For stats end Y DB'!$A:$G,2,0))</f>
        <v>0</v>
      </c>
      <c r="AB68">
        <f>IF(ISNA(VLOOKUP($A68&amp;AB$1,'For stats end Y DB'!$A:$G,2,0)),0,VLOOKUP($A68&amp;AB$1,'For stats end Y DB'!$A:$G,2,0))</f>
        <v>0</v>
      </c>
      <c r="AC68">
        <f>IF(ISNA(VLOOKUP($A68&amp;AC$1,'For stats end Y DB'!$A:$G,2,0)),0,VLOOKUP($A68&amp;AC$1,'For stats end Y DB'!$A:$G,2,0))</f>
        <v>0</v>
      </c>
      <c r="AD68">
        <f>IF(ISNA(VLOOKUP($A68&amp;AD$1,'For stats end Y DB'!$A:$G,2,0)),0,VLOOKUP($A68&amp;AD$1,'For stats end Y DB'!$A:$G,2,0))</f>
        <v>0</v>
      </c>
      <c r="AE68">
        <f>IF(ISNA(VLOOKUP($A68&amp;AE$1,'For stats end Y DB'!$A:$G,2,0)),0,VLOOKUP($A68&amp;AE$1,'For stats end Y DB'!$A:$G,2,0))</f>
        <v>0</v>
      </c>
      <c r="AF68">
        <f>IF(ISNA(VLOOKUP($A68&amp;AF$1,'For stats end Y DB'!$A:$G,2,0)),0,VLOOKUP($A68&amp;AF$1,'For stats end Y DB'!$A:$G,2,0))</f>
        <v>0</v>
      </c>
      <c r="AG68">
        <f>IF(ISNA(VLOOKUP($A68&amp;AG$1,'For stats end Y DB'!$A:$G,2,0)),0,VLOOKUP($A68&amp;AG$1,'For stats end Y DB'!$A:$G,2,0))</f>
        <v>0</v>
      </c>
      <c r="AH68">
        <f>IF(ISNA(VLOOKUP($A68&amp;AH$1,'For stats end Y DB'!$A:$G,2,0)),0,VLOOKUP($A68&amp;AH$1,'For stats end Y DB'!$A:$G,2,0))</f>
        <v>0</v>
      </c>
      <c r="AI68">
        <f>IF(ISNA(VLOOKUP($A68&amp;AI$1,'For stats end Y DB'!$A:$G,2,0)),0,VLOOKUP($A68&amp;AI$1,'For stats end Y DB'!$A:$G,2,0))</f>
        <v>0</v>
      </c>
      <c r="AJ68">
        <f>IF(ISNA(VLOOKUP($A68&amp;AJ$1,'For stats end Y DB'!$A:$G,2,0)),0,VLOOKUP($A68&amp;AJ$1,'For stats end Y DB'!$A:$G,2,0))</f>
        <v>0</v>
      </c>
      <c r="AK68">
        <f>IF(ISNA(VLOOKUP($A68&amp;AK$1,'For stats end Y DB'!$A:$G,2,0)),0,VLOOKUP($A68&amp;AK$1,'For stats end Y DB'!$A:$G,2,0))</f>
        <v>0</v>
      </c>
      <c r="AL68">
        <f>IF(ISNA(VLOOKUP($A68&amp;AL$1,'For stats end Y DB'!$A:$G,2,0)),0,VLOOKUP($A68&amp;AL$1,'For stats end Y DB'!$A:$G,2,0))</f>
        <v>0</v>
      </c>
      <c r="AM68">
        <f>IF(ISNA(VLOOKUP($A68&amp;AM$1,'For stats end Y DB'!$A:$G,2,0)),0,VLOOKUP($A68&amp;AM$1,'For stats end Y DB'!$A:$G,2,0))</f>
        <v>0</v>
      </c>
      <c r="AN68">
        <f>IF(ISNA(VLOOKUP($A68&amp;AN$1,'For stats end Y DB'!$A:$G,2,0)),0,VLOOKUP($A68&amp;AN$1,'For stats end Y DB'!$A:$G,2,0))</f>
        <v>0</v>
      </c>
      <c r="AP68" t="str">
        <f t="shared" si="8"/>
        <v>NastyLucker</v>
      </c>
      <c r="AQ68">
        <f t="shared" si="9"/>
        <v>0</v>
      </c>
      <c r="AR68">
        <f t="shared" si="9"/>
        <v>0</v>
      </c>
      <c r="AS68">
        <f t="shared" si="9"/>
        <v>1</v>
      </c>
      <c r="AT68" s="9">
        <f t="shared" si="6"/>
        <v>0</v>
      </c>
      <c r="AU68">
        <f t="shared" si="7"/>
        <v>3</v>
      </c>
    </row>
    <row r="69" spans="1:47" x14ac:dyDescent="0.2">
      <c r="A69" s="12" t="s">
        <v>29</v>
      </c>
      <c r="B69">
        <f>IF(ISNA(VLOOKUP($A69&amp;B$1,'For stats end Y DB'!$A:$G,2,0)),0,VLOOKUP($A69&amp;B$1,'For stats end Y DB'!$A:$G,2,0))</f>
        <v>7</v>
      </c>
      <c r="C69">
        <f>IF(ISNA(VLOOKUP($A69&amp;C$1,'For stats end Y DB'!$A:$G,2,0)),0,VLOOKUP($A69&amp;C$1,'For stats end Y DB'!$A:$G,2,0))</f>
        <v>2</v>
      </c>
      <c r="D69">
        <f>IF(ISNA(VLOOKUP($A69&amp;D$1,'For stats end Y DB'!$A:$G,2,0)),0,VLOOKUP($A69&amp;D$1,'For stats end Y DB'!$A:$G,2,0))</f>
        <v>1</v>
      </c>
      <c r="E69">
        <f>IF(ISNA(VLOOKUP($A69&amp;E$1,'For stats end Y DB'!$A:$G,2,0)),0,VLOOKUP($A69&amp;E$1,'For stats end Y DB'!$A:$G,2,0))</f>
        <v>2</v>
      </c>
      <c r="F69">
        <f>IF(ISNA(VLOOKUP($A69&amp;F$1,'For stats end Y DB'!$A:$G,2,0)),0,VLOOKUP($A69&amp;F$1,'For stats end Y DB'!$A:$G,2,0))</f>
        <v>5</v>
      </c>
      <c r="G69">
        <f>IF(ISNA(VLOOKUP($A69&amp;G$1,'For stats end Y DB'!$A:$G,2,0)),0,VLOOKUP($A69&amp;G$1,'For stats end Y DB'!$A:$G,2,0))</f>
        <v>0</v>
      </c>
      <c r="H69">
        <f>IF(ISNA(VLOOKUP($A69&amp;H$1,'For stats end Y DB'!$A:$G,2,0)),0,VLOOKUP($A69&amp;H$1,'For stats end Y DB'!$A:$G,2,0))</f>
        <v>0</v>
      </c>
      <c r="I69">
        <f>IF(ISNA(VLOOKUP($A69&amp;I$1,'For stats end Y DB'!$A:$G,2,0)),0,VLOOKUP($A69&amp;I$1,'For stats end Y DB'!$A:$G,2,0))</f>
        <v>0</v>
      </c>
      <c r="J69">
        <f>IF(ISNA(VLOOKUP($A69&amp;J$1,'For stats end Y DB'!$A:$G,2,0)),0,VLOOKUP($A69&amp;J$1,'For stats end Y DB'!$A:$G,2,0))</f>
        <v>1</v>
      </c>
      <c r="K69">
        <f>IF(ISNA(VLOOKUP($A69&amp;K$1,'For stats end Y DB'!$A:$G,2,0)),0,VLOOKUP($A69&amp;K$1,'For stats end Y DB'!$A:$G,2,0))</f>
        <v>0</v>
      </c>
      <c r="L69">
        <f>IF(ISNA(VLOOKUP($A69&amp;L$1,'For stats end Y DB'!$A:$G,2,0)),0,VLOOKUP($A69&amp;L$1,'For stats end Y DB'!$A:$G,2,0))</f>
        <v>0</v>
      </c>
      <c r="M69">
        <f>IF(ISNA(VLOOKUP($A69&amp;M$1,'For stats end Y DB'!$A:$G,2,0)),0,VLOOKUP($A69&amp;M$1,'For stats end Y DB'!$A:$G,2,0))</f>
        <v>0</v>
      </c>
      <c r="N69">
        <f>IF(ISNA(VLOOKUP($A69&amp;N$1,'For stats end Y DB'!$A:$G,2,0)),0,VLOOKUP($A69&amp;N$1,'For stats end Y DB'!$A:$G,2,0))</f>
        <v>0</v>
      </c>
      <c r="O69">
        <f>IF(ISNA(VLOOKUP($A69&amp;O$1,'For stats end Y DB'!$A:$G,2,0)),0,VLOOKUP($A69&amp;O$1,'For stats end Y DB'!$A:$G,2,0))</f>
        <v>0</v>
      </c>
      <c r="P69">
        <f>IF(ISNA(VLOOKUP($A69&amp;P$1,'For stats end Y DB'!$A:$G,2,0)),0,VLOOKUP($A69&amp;P$1,'For stats end Y DB'!$A:$G,2,0))</f>
        <v>2</v>
      </c>
      <c r="Q69">
        <f>IF(ISNA(VLOOKUP($A69&amp;Q$1,'For stats end Y DB'!$A:$G,2,0)),0,VLOOKUP($A69&amp;Q$1,'For stats end Y DB'!$A:$G,2,0))</f>
        <v>0</v>
      </c>
      <c r="R69">
        <f>IF(ISNA(VLOOKUP($A69&amp;R$1,'For stats end Y DB'!$A:$G,2,0)),0,VLOOKUP($A69&amp;R$1,'For stats end Y DB'!$A:$G,2,0))</f>
        <v>1</v>
      </c>
      <c r="S69">
        <f>IF(ISNA(VLOOKUP($A69&amp;S$1,'For stats end Y DB'!$A:$G,2,0)),0,VLOOKUP($A69&amp;S$1,'For stats end Y DB'!$A:$G,2,0))</f>
        <v>0</v>
      </c>
      <c r="T69">
        <f>IF(ISNA(VLOOKUP($A69&amp;T$1,'For stats end Y DB'!$A:$G,2,0)),0,VLOOKUP($A69&amp;T$1,'For stats end Y DB'!$A:$G,2,0))</f>
        <v>2</v>
      </c>
      <c r="U69">
        <f>IF(ISNA(VLOOKUP($A69&amp;U$1,'For stats end Y DB'!$A:$G,2,0)),0,VLOOKUP($A69&amp;U$1,'For stats end Y DB'!$A:$G,2,0))</f>
        <v>0</v>
      </c>
      <c r="V69">
        <f>IF(ISNA(VLOOKUP($A69&amp;V$1,'For stats end Y DB'!$A:$G,2,0)),0,VLOOKUP($A69&amp;V$1,'For stats end Y DB'!$A:$G,2,0))</f>
        <v>0</v>
      </c>
      <c r="W69">
        <f>IF(ISNA(VLOOKUP($A69&amp;W$1,'For stats end Y DB'!$A:$G,2,0)),0,VLOOKUP($A69&amp;W$1,'For stats end Y DB'!$A:$G,2,0))</f>
        <v>0</v>
      </c>
      <c r="X69">
        <f>IF(ISNA(VLOOKUP($A69&amp;X$1,'For stats end Y DB'!$A:$G,2,0)),0,VLOOKUP($A69&amp;X$1,'For stats end Y DB'!$A:$G,2,0))</f>
        <v>0</v>
      </c>
      <c r="Y69">
        <f>IF(ISNA(VLOOKUP($A69&amp;Y$1,'For stats end Y DB'!$A:$G,2,0)),0,VLOOKUP($A69&amp;Y$1,'For stats end Y DB'!$A:$G,2,0))</f>
        <v>0</v>
      </c>
      <c r="Z69">
        <f>IF(ISNA(VLOOKUP($A69&amp;Z$1,'For stats end Y DB'!$A:$G,2,0)),0,VLOOKUP($A69&amp;Z$1,'For stats end Y DB'!$A:$G,2,0))</f>
        <v>0</v>
      </c>
      <c r="AA69">
        <f>IF(ISNA(VLOOKUP($A69&amp;AA$1,'For stats end Y DB'!$A:$G,2,0)),0,VLOOKUP($A69&amp;AA$1,'For stats end Y DB'!$A:$G,2,0))</f>
        <v>0</v>
      </c>
      <c r="AB69">
        <f>IF(ISNA(VLOOKUP($A69&amp;AB$1,'For stats end Y DB'!$A:$G,2,0)),0,VLOOKUP($A69&amp;AB$1,'For stats end Y DB'!$A:$G,2,0))</f>
        <v>0</v>
      </c>
      <c r="AC69">
        <f>IF(ISNA(VLOOKUP($A69&amp;AC$1,'For stats end Y DB'!$A:$G,2,0)),0,VLOOKUP($A69&amp;AC$1,'For stats end Y DB'!$A:$G,2,0))</f>
        <v>0</v>
      </c>
      <c r="AD69">
        <f>IF(ISNA(VLOOKUP($A69&amp;AD$1,'For stats end Y DB'!$A:$G,2,0)),0,VLOOKUP($A69&amp;AD$1,'For stats end Y DB'!$A:$G,2,0))</f>
        <v>0</v>
      </c>
      <c r="AE69">
        <f>IF(ISNA(VLOOKUP($A69&amp;AE$1,'For stats end Y DB'!$A:$G,2,0)),0,VLOOKUP($A69&amp;AE$1,'For stats end Y DB'!$A:$G,2,0))</f>
        <v>0</v>
      </c>
      <c r="AF69">
        <f>IF(ISNA(VLOOKUP($A69&amp;AF$1,'For stats end Y DB'!$A:$G,2,0)),0,VLOOKUP($A69&amp;AF$1,'For stats end Y DB'!$A:$G,2,0))</f>
        <v>0</v>
      </c>
      <c r="AG69">
        <f>IF(ISNA(VLOOKUP($A69&amp;AG$1,'For stats end Y DB'!$A:$G,2,0)),0,VLOOKUP($A69&amp;AG$1,'For stats end Y DB'!$A:$G,2,0))</f>
        <v>0</v>
      </c>
      <c r="AH69">
        <f>IF(ISNA(VLOOKUP($A69&amp;AH$1,'For stats end Y DB'!$A:$G,2,0)),0,VLOOKUP($A69&amp;AH$1,'For stats end Y DB'!$A:$G,2,0))</f>
        <v>0</v>
      </c>
      <c r="AI69">
        <f>IF(ISNA(VLOOKUP($A69&amp;AI$1,'For stats end Y DB'!$A:$G,2,0)),0,VLOOKUP($A69&amp;AI$1,'For stats end Y DB'!$A:$G,2,0))</f>
        <v>0</v>
      </c>
      <c r="AJ69">
        <f>IF(ISNA(VLOOKUP($A69&amp;AJ$1,'For stats end Y DB'!$A:$G,2,0)),0,VLOOKUP($A69&amp;AJ$1,'For stats end Y DB'!$A:$G,2,0))</f>
        <v>0</v>
      </c>
      <c r="AK69">
        <f>IF(ISNA(VLOOKUP($A69&amp;AK$1,'For stats end Y DB'!$A:$G,2,0)),0,VLOOKUP($A69&amp;AK$1,'For stats end Y DB'!$A:$G,2,0))</f>
        <v>0</v>
      </c>
      <c r="AL69">
        <f>IF(ISNA(VLOOKUP($A69&amp;AL$1,'For stats end Y DB'!$A:$G,2,0)),0,VLOOKUP($A69&amp;AL$1,'For stats end Y DB'!$A:$G,2,0))</f>
        <v>0</v>
      </c>
      <c r="AM69">
        <f>IF(ISNA(VLOOKUP($A69&amp;AM$1,'For stats end Y DB'!$A:$G,2,0)),0,VLOOKUP($A69&amp;AM$1,'For stats end Y DB'!$A:$G,2,0))</f>
        <v>0</v>
      </c>
      <c r="AN69">
        <f>IF(ISNA(VLOOKUP($A69&amp;AN$1,'For stats end Y DB'!$A:$G,2,0)),0,VLOOKUP($A69&amp;AN$1,'For stats end Y DB'!$A:$G,2,0))</f>
        <v>0</v>
      </c>
      <c r="AP69" t="str">
        <f t="shared" si="8"/>
        <v>NoDoubt</v>
      </c>
      <c r="AQ69">
        <f t="shared" si="9"/>
        <v>3</v>
      </c>
      <c r="AR69">
        <f t="shared" si="9"/>
        <v>4</v>
      </c>
      <c r="AS69">
        <f t="shared" si="9"/>
        <v>0</v>
      </c>
      <c r="AT69" s="9">
        <f t="shared" si="6"/>
        <v>0</v>
      </c>
      <c r="AU69">
        <f t="shared" si="7"/>
        <v>9</v>
      </c>
    </row>
    <row r="70" spans="1:47" x14ac:dyDescent="0.2">
      <c r="A70" s="12" t="s">
        <v>463</v>
      </c>
      <c r="B70">
        <f>IF(ISNA(VLOOKUP($A70&amp;B$1,'For stats end Y DB'!$A:$G,2,0)),0,VLOOKUP($A70&amp;B$1,'For stats end Y DB'!$A:$G,2,0))</f>
        <v>0</v>
      </c>
      <c r="C70">
        <f>IF(ISNA(VLOOKUP($A70&amp;C$1,'For stats end Y DB'!$A:$G,2,0)),0,VLOOKUP($A70&amp;C$1,'For stats end Y DB'!$A:$G,2,0))</f>
        <v>0</v>
      </c>
      <c r="D70">
        <f>IF(ISNA(VLOOKUP($A70&amp;D$1,'For stats end Y DB'!$A:$G,2,0)),0,VLOOKUP($A70&amp;D$1,'For stats end Y DB'!$A:$G,2,0))</f>
        <v>0</v>
      </c>
      <c r="E70">
        <f>IF(ISNA(VLOOKUP($A70&amp;E$1,'For stats end Y DB'!$A:$G,2,0)),0,VLOOKUP($A70&amp;E$1,'For stats end Y DB'!$A:$G,2,0))</f>
        <v>0</v>
      </c>
      <c r="F70">
        <f>IF(ISNA(VLOOKUP($A70&amp;F$1,'For stats end Y DB'!$A:$G,2,0)),0,VLOOKUP($A70&amp;F$1,'For stats end Y DB'!$A:$G,2,0))</f>
        <v>0</v>
      </c>
      <c r="G70">
        <f>IF(ISNA(VLOOKUP($A70&amp;G$1,'For stats end Y DB'!$A:$G,2,0)),0,VLOOKUP($A70&amp;G$1,'For stats end Y DB'!$A:$G,2,0))</f>
        <v>0</v>
      </c>
      <c r="H70">
        <f>IF(ISNA(VLOOKUP($A70&amp;H$1,'For stats end Y DB'!$A:$G,2,0)),0,VLOOKUP($A70&amp;H$1,'For stats end Y DB'!$A:$G,2,0))</f>
        <v>0</v>
      </c>
      <c r="I70">
        <f>IF(ISNA(VLOOKUP($A70&amp;I$1,'For stats end Y DB'!$A:$G,2,0)),0,VLOOKUP($A70&amp;I$1,'For stats end Y DB'!$A:$G,2,0))</f>
        <v>0</v>
      </c>
      <c r="J70">
        <f>IF(ISNA(VLOOKUP($A70&amp;J$1,'For stats end Y DB'!$A:$G,2,0)),0,VLOOKUP($A70&amp;J$1,'For stats end Y DB'!$A:$G,2,0))</f>
        <v>0</v>
      </c>
      <c r="K70">
        <f>IF(ISNA(VLOOKUP($A70&amp;K$1,'For stats end Y DB'!$A:$G,2,0)),0,VLOOKUP($A70&amp;K$1,'For stats end Y DB'!$A:$G,2,0))</f>
        <v>0</v>
      </c>
      <c r="L70">
        <f>IF(ISNA(VLOOKUP($A70&amp;L$1,'For stats end Y DB'!$A:$G,2,0)),0,VLOOKUP($A70&amp;L$1,'For stats end Y DB'!$A:$G,2,0))</f>
        <v>0</v>
      </c>
      <c r="M70">
        <f>IF(ISNA(VLOOKUP($A70&amp;M$1,'For stats end Y DB'!$A:$G,2,0)),0,VLOOKUP($A70&amp;M$1,'For stats end Y DB'!$A:$G,2,0))</f>
        <v>0</v>
      </c>
      <c r="N70">
        <f>IF(ISNA(VLOOKUP($A70&amp;N$1,'For stats end Y DB'!$A:$G,2,0)),0,VLOOKUP($A70&amp;N$1,'For stats end Y DB'!$A:$G,2,0))</f>
        <v>0</v>
      </c>
      <c r="O70">
        <f>IF(ISNA(VLOOKUP($A70&amp;O$1,'For stats end Y DB'!$A:$G,2,0)),0,VLOOKUP($A70&amp;O$1,'For stats end Y DB'!$A:$G,2,0))</f>
        <v>0</v>
      </c>
      <c r="P70">
        <f>IF(ISNA(VLOOKUP($A70&amp;P$1,'For stats end Y DB'!$A:$G,2,0)),0,VLOOKUP($A70&amp;P$1,'For stats end Y DB'!$A:$G,2,0))</f>
        <v>0</v>
      </c>
      <c r="Q70">
        <f>IF(ISNA(VLOOKUP($A70&amp;Q$1,'For stats end Y DB'!$A:$G,2,0)),0,VLOOKUP($A70&amp;Q$1,'For stats end Y DB'!$A:$G,2,0))</f>
        <v>2</v>
      </c>
      <c r="R70">
        <f>IF(ISNA(VLOOKUP($A70&amp;R$1,'For stats end Y DB'!$A:$G,2,0)),0,VLOOKUP($A70&amp;R$1,'For stats end Y DB'!$A:$G,2,0))</f>
        <v>0</v>
      </c>
      <c r="S70">
        <f>IF(ISNA(VLOOKUP($A70&amp;S$1,'For stats end Y DB'!$A:$G,2,0)),0,VLOOKUP($A70&amp;S$1,'For stats end Y DB'!$A:$G,2,0))</f>
        <v>0</v>
      </c>
      <c r="T70">
        <f>IF(ISNA(VLOOKUP($A70&amp;T$1,'For stats end Y DB'!$A:$G,2,0)),0,VLOOKUP($A70&amp;T$1,'For stats end Y DB'!$A:$G,2,0))</f>
        <v>0</v>
      </c>
      <c r="U70">
        <f>IF(ISNA(VLOOKUP($A70&amp;U$1,'For stats end Y DB'!$A:$G,2,0)),0,VLOOKUP($A70&amp;U$1,'For stats end Y DB'!$A:$G,2,0))</f>
        <v>0</v>
      </c>
      <c r="V70">
        <f>IF(ISNA(VLOOKUP($A70&amp;V$1,'For stats end Y DB'!$A:$G,2,0)),0,VLOOKUP($A70&amp;V$1,'For stats end Y DB'!$A:$G,2,0))</f>
        <v>0</v>
      </c>
      <c r="W70">
        <f>IF(ISNA(VLOOKUP($A70&amp;W$1,'For stats end Y DB'!$A:$G,2,0)),0,VLOOKUP($A70&amp;W$1,'For stats end Y DB'!$A:$G,2,0))</f>
        <v>0</v>
      </c>
      <c r="X70">
        <f>IF(ISNA(VLOOKUP($A70&amp;X$1,'For stats end Y DB'!$A:$G,2,0)),0,VLOOKUP($A70&amp;X$1,'For stats end Y DB'!$A:$G,2,0))</f>
        <v>0</v>
      </c>
      <c r="Y70">
        <f>IF(ISNA(VLOOKUP($A70&amp;Y$1,'For stats end Y DB'!$A:$G,2,0)),0,VLOOKUP($A70&amp;Y$1,'For stats end Y DB'!$A:$G,2,0))</f>
        <v>0</v>
      </c>
      <c r="Z70">
        <f>IF(ISNA(VLOOKUP($A70&amp;Z$1,'For stats end Y DB'!$A:$G,2,0)),0,VLOOKUP($A70&amp;Z$1,'For stats end Y DB'!$A:$G,2,0))</f>
        <v>0</v>
      </c>
      <c r="AA70">
        <f>IF(ISNA(VLOOKUP($A70&amp;AA$1,'For stats end Y DB'!$A:$G,2,0)),0,VLOOKUP($A70&amp;AA$1,'For stats end Y DB'!$A:$G,2,0))</f>
        <v>0</v>
      </c>
      <c r="AB70">
        <f>IF(ISNA(VLOOKUP($A70&amp;AB$1,'For stats end Y DB'!$A:$G,2,0)),0,VLOOKUP($A70&amp;AB$1,'For stats end Y DB'!$A:$G,2,0))</f>
        <v>0</v>
      </c>
      <c r="AC70">
        <f>IF(ISNA(VLOOKUP($A70&amp;AC$1,'For stats end Y DB'!$A:$G,2,0)),0,VLOOKUP($A70&amp;AC$1,'For stats end Y DB'!$A:$G,2,0))</f>
        <v>0</v>
      </c>
      <c r="AD70">
        <f>IF(ISNA(VLOOKUP($A70&amp;AD$1,'For stats end Y DB'!$A:$G,2,0)),0,VLOOKUP($A70&amp;AD$1,'For stats end Y DB'!$A:$G,2,0))</f>
        <v>0</v>
      </c>
      <c r="AE70">
        <f>IF(ISNA(VLOOKUP($A70&amp;AE$1,'For stats end Y DB'!$A:$G,2,0)),0,VLOOKUP($A70&amp;AE$1,'For stats end Y DB'!$A:$G,2,0))</f>
        <v>0</v>
      </c>
      <c r="AF70">
        <f>IF(ISNA(VLOOKUP($A70&amp;AF$1,'For stats end Y DB'!$A:$G,2,0)),0,VLOOKUP($A70&amp;AF$1,'For stats end Y DB'!$A:$G,2,0))</f>
        <v>0</v>
      </c>
      <c r="AG70">
        <f>IF(ISNA(VLOOKUP($A70&amp;AG$1,'For stats end Y DB'!$A:$G,2,0)),0,VLOOKUP($A70&amp;AG$1,'For stats end Y DB'!$A:$G,2,0))</f>
        <v>0</v>
      </c>
      <c r="AH70">
        <f>IF(ISNA(VLOOKUP($A70&amp;AH$1,'For stats end Y DB'!$A:$G,2,0)),0,VLOOKUP($A70&amp;AH$1,'For stats end Y DB'!$A:$G,2,0))</f>
        <v>0</v>
      </c>
      <c r="AI70">
        <f>IF(ISNA(VLOOKUP($A70&amp;AI$1,'For stats end Y DB'!$A:$G,2,0)),0,VLOOKUP($A70&amp;AI$1,'For stats end Y DB'!$A:$G,2,0))</f>
        <v>0</v>
      </c>
      <c r="AJ70">
        <f>IF(ISNA(VLOOKUP($A70&amp;AJ$1,'For stats end Y DB'!$A:$G,2,0)),0,VLOOKUP($A70&amp;AJ$1,'For stats end Y DB'!$A:$G,2,0))</f>
        <v>0</v>
      </c>
      <c r="AK70">
        <f>IF(ISNA(VLOOKUP($A70&amp;AK$1,'For stats end Y DB'!$A:$G,2,0)),0,VLOOKUP($A70&amp;AK$1,'For stats end Y DB'!$A:$G,2,0))</f>
        <v>0</v>
      </c>
      <c r="AL70">
        <f>IF(ISNA(VLOOKUP($A70&amp;AL$1,'For stats end Y DB'!$A:$G,2,0)),0,VLOOKUP($A70&amp;AL$1,'For stats end Y DB'!$A:$G,2,0))</f>
        <v>0</v>
      </c>
      <c r="AM70">
        <f>IF(ISNA(VLOOKUP($A70&amp;AM$1,'For stats end Y DB'!$A:$G,2,0)),0,VLOOKUP($A70&amp;AM$1,'For stats end Y DB'!$A:$G,2,0))</f>
        <v>0</v>
      </c>
      <c r="AN70">
        <f>IF(ISNA(VLOOKUP($A70&amp;AN$1,'For stats end Y DB'!$A:$G,2,0)),0,VLOOKUP($A70&amp;AN$1,'For stats end Y DB'!$A:$G,2,0))</f>
        <v>0</v>
      </c>
      <c r="AP70" t="str">
        <f t="shared" si="8"/>
        <v>Oldex</v>
      </c>
      <c r="AQ70">
        <f t="shared" si="9"/>
        <v>0</v>
      </c>
      <c r="AR70">
        <f t="shared" si="9"/>
        <v>1</v>
      </c>
      <c r="AS70">
        <f t="shared" si="9"/>
        <v>0</v>
      </c>
      <c r="AT70" s="9">
        <f t="shared" si="6"/>
        <v>0</v>
      </c>
      <c r="AU70">
        <f t="shared" si="7"/>
        <v>1</v>
      </c>
    </row>
    <row r="71" spans="1:47" x14ac:dyDescent="0.2">
      <c r="A71" s="12" t="s">
        <v>32</v>
      </c>
      <c r="B71">
        <f>IF(ISNA(VLOOKUP($A71&amp;B$1,'For stats end Y DB'!$A:$G,2,0)),0,VLOOKUP($A71&amp;B$1,'For stats end Y DB'!$A:$G,2,0))</f>
        <v>1</v>
      </c>
      <c r="C71">
        <f>IF(ISNA(VLOOKUP($A71&amp;C$1,'For stats end Y DB'!$A:$G,2,0)),0,VLOOKUP($A71&amp;C$1,'For stats end Y DB'!$A:$G,2,0))</f>
        <v>0</v>
      </c>
      <c r="D71">
        <f>IF(ISNA(VLOOKUP($A71&amp;D$1,'For stats end Y DB'!$A:$G,2,0)),0,VLOOKUP($A71&amp;D$1,'For stats end Y DB'!$A:$G,2,0))</f>
        <v>5</v>
      </c>
      <c r="E71">
        <f>IF(ISNA(VLOOKUP($A71&amp;E$1,'For stats end Y DB'!$A:$G,2,0)),0,VLOOKUP($A71&amp;E$1,'For stats end Y DB'!$A:$G,2,0))</f>
        <v>5</v>
      </c>
      <c r="F71">
        <f>IF(ISNA(VLOOKUP($A71&amp;F$1,'For stats end Y DB'!$A:$G,2,0)),0,VLOOKUP($A71&amp;F$1,'For stats end Y DB'!$A:$G,2,0))</f>
        <v>0</v>
      </c>
      <c r="G71">
        <f>IF(ISNA(VLOOKUP($A71&amp;G$1,'For stats end Y DB'!$A:$G,2,0)),0,VLOOKUP($A71&amp;G$1,'For stats end Y DB'!$A:$G,2,0))</f>
        <v>4</v>
      </c>
      <c r="H71">
        <f>IF(ISNA(VLOOKUP($A71&amp;H$1,'For stats end Y DB'!$A:$G,2,0)),0,VLOOKUP($A71&amp;H$1,'For stats end Y DB'!$A:$G,2,0))</f>
        <v>5</v>
      </c>
      <c r="I71">
        <f>IF(ISNA(VLOOKUP($A71&amp;I$1,'For stats end Y DB'!$A:$G,2,0)),0,VLOOKUP($A71&amp;I$1,'For stats end Y DB'!$A:$G,2,0))</f>
        <v>4</v>
      </c>
      <c r="J71">
        <f>IF(ISNA(VLOOKUP($A71&amp;J$1,'For stats end Y DB'!$A:$G,2,0)),0,VLOOKUP($A71&amp;J$1,'For stats end Y DB'!$A:$G,2,0))</f>
        <v>0</v>
      </c>
      <c r="K71">
        <f>IF(ISNA(VLOOKUP($A71&amp;K$1,'For stats end Y DB'!$A:$G,2,0)),0,VLOOKUP($A71&amp;K$1,'For stats end Y DB'!$A:$G,2,0))</f>
        <v>0</v>
      </c>
      <c r="L71">
        <f>IF(ISNA(VLOOKUP($A71&amp;L$1,'For stats end Y DB'!$A:$G,2,0)),0,VLOOKUP($A71&amp;L$1,'For stats end Y DB'!$A:$G,2,0))</f>
        <v>0</v>
      </c>
      <c r="M71">
        <f>IF(ISNA(VLOOKUP($A71&amp;M$1,'For stats end Y DB'!$A:$G,2,0)),0,VLOOKUP($A71&amp;M$1,'For stats end Y DB'!$A:$G,2,0))</f>
        <v>3</v>
      </c>
      <c r="N71">
        <f>IF(ISNA(VLOOKUP($A71&amp;N$1,'For stats end Y DB'!$A:$G,2,0)),0,VLOOKUP($A71&amp;N$1,'For stats end Y DB'!$A:$G,2,0))</f>
        <v>0</v>
      </c>
      <c r="O71">
        <f>IF(ISNA(VLOOKUP($A71&amp;O$1,'For stats end Y DB'!$A:$G,2,0)),0,VLOOKUP($A71&amp;O$1,'For stats end Y DB'!$A:$G,2,0))</f>
        <v>1</v>
      </c>
      <c r="P71">
        <f>IF(ISNA(VLOOKUP($A71&amp;P$1,'For stats end Y DB'!$A:$G,2,0)),0,VLOOKUP($A71&amp;P$1,'For stats end Y DB'!$A:$G,2,0))</f>
        <v>3</v>
      </c>
      <c r="Q71">
        <f>IF(ISNA(VLOOKUP($A71&amp;Q$1,'For stats end Y DB'!$A:$G,2,0)),0,VLOOKUP($A71&amp;Q$1,'For stats end Y DB'!$A:$G,2,0))</f>
        <v>7</v>
      </c>
      <c r="R71">
        <f>IF(ISNA(VLOOKUP($A71&amp;R$1,'For stats end Y DB'!$A:$G,2,0)),0,VLOOKUP($A71&amp;R$1,'For stats end Y DB'!$A:$G,2,0))</f>
        <v>0</v>
      </c>
      <c r="S71">
        <f>IF(ISNA(VLOOKUP($A71&amp;S$1,'For stats end Y DB'!$A:$G,2,0)),0,VLOOKUP($A71&amp;S$1,'For stats end Y DB'!$A:$G,2,0))</f>
        <v>0</v>
      </c>
      <c r="T71">
        <f>IF(ISNA(VLOOKUP($A71&amp;T$1,'For stats end Y DB'!$A:$G,2,0)),0,VLOOKUP($A71&amp;T$1,'For stats end Y DB'!$A:$G,2,0))</f>
        <v>0</v>
      </c>
      <c r="U71">
        <f>IF(ISNA(VLOOKUP($A71&amp;U$1,'For stats end Y DB'!$A:$G,2,0)),0,VLOOKUP($A71&amp;U$1,'For stats end Y DB'!$A:$G,2,0))</f>
        <v>2</v>
      </c>
      <c r="V71">
        <f>IF(ISNA(VLOOKUP($A71&amp;V$1,'For stats end Y DB'!$A:$G,2,0)),0,VLOOKUP($A71&amp;V$1,'For stats end Y DB'!$A:$G,2,0))</f>
        <v>7</v>
      </c>
      <c r="W71">
        <f>IF(ISNA(VLOOKUP($A71&amp;W$1,'For stats end Y DB'!$A:$G,2,0)),0,VLOOKUP($A71&amp;W$1,'For stats end Y DB'!$A:$G,2,0))</f>
        <v>1</v>
      </c>
      <c r="X71">
        <f>IF(ISNA(VLOOKUP($A71&amp;X$1,'For stats end Y DB'!$A:$G,2,0)),0,VLOOKUP($A71&amp;X$1,'For stats end Y DB'!$A:$G,2,0))</f>
        <v>5</v>
      </c>
      <c r="Y71">
        <f>IF(ISNA(VLOOKUP($A71&amp;Y$1,'For stats end Y DB'!$A:$G,2,0)),0,VLOOKUP($A71&amp;Y$1,'For stats end Y DB'!$A:$G,2,0))</f>
        <v>2</v>
      </c>
      <c r="Z71">
        <f>IF(ISNA(VLOOKUP($A71&amp;Z$1,'For stats end Y DB'!$A:$G,2,0)),0,VLOOKUP($A71&amp;Z$1,'For stats end Y DB'!$A:$G,2,0))</f>
        <v>0</v>
      </c>
      <c r="AA71">
        <f>IF(ISNA(VLOOKUP($A71&amp;AA$1,'For stats end Y DB'!$A:$G,2,0)),0,VLOOKUP($A71&amp;AA$1,'For stats end Y DB'!$A:$G,2,0))</f>
        <v>0</v>
      </c>
      <c r="AB71">
        <f>IF(ISNA(VLOOKUP($A71&amp;AB$1,'For stats end Y DB'!$A:$G,2,0)),0,VLOOKUP($A71&amp;AB$1,'For stats end Y DB'!$A:$G,2,0))</f>
        <v>4</v>
      </c>
      <c r="AC71">
        <f>IF(ISNA(VLOOKUP($A71&amp;AC$1,'For stats end Y DB'!$A:$G,2,0)),0,VLOOKUP($A71&amp;AC$1,'For stats end Y DB'!$A:$G,2,0))</f>
        <v>5</v>
      </c>
      <c r="AD71">
        <f>IF(ISNA(VLOOKUP($A71&amp;AD$1,'For stats end Y DB'!$A:$G,2,0)),0,VLOOKUP($A71&amp;AD$1,'For stats end Y DB'!$A:$G,2,0))</f>
        <v>0</v>
      </c>
      <c r="AE71">
        <f>IF(ISNA(VLOOKUP($A71&amp;AE$1,'For stats end Y DB'!$A:$G,2,0)),0,VLOOKUP($A71&amp;AE$1,'For stats end Y DB'!$A:$G,2,0))</f>
        <v>3</v>
      </c>
      <c r="AF71">
        <f>IF(ISNA(VLOOKUP($A71&amp;AF$1,'For stats end Y DB'!$A:$G,2,0)),0,VLOOKUP($A71&amp;AF$1,'For stats end Y DB'!$A:$G,2,0))</f>
        <v>5</v>
      </c>
      <c r="AG71">
        <f>IF(ISNA(VLOOKUP($A71&amp;AG$1,'For stats end Y DB'!$A:$G,2,0)),0,VLOOKUP($A71&amp;AG$1,'For stats end Y DB'!$A:$G,2,0))</f>
        <v>2</v>
      </c>
      <c r="AH71">
        <f>IF(ISNA(VLOOKUP($A71&amp;AH$1,'For stats end Y DB'!$A:$G,2,0)),0,VLOOKUP($A71&amp;AH$1,'For stats end Y DB'!$A:$G,2,0))</f>
        <v>2</v>
      </c>
      <c r="AI71">
        <f>IF(ISNA(VLOOKUP($A71&amp;AI$1,'For stats end Y DB'!$A:$G,2,0)),0,VLOOKUP($A71&amp;AI$1,'For stats end Y DB'!$A:$G,2,0))</f>
        <v>0</v>
      </c>
      <c r="AJ71">
        <f>IF(ISNA(VLOOKUP($A71&amp;AJ$1,'For stats end Y DB'!$A:$G,2,0)),0,VLOOKUP($A71&amp;AJ$1,'For stats end Y DB'!$A:$G,2,0))</f>
        <v>0</v>
      </c>
      <c r="AK71">
        <f>IF(ISNA(VLOOKUP($A71&amp;AK$1,'For stats end Y DB'!$A:$G,2,0)),0,VLOOKUP($A71&amp;AK$1,'For stats end Y DB'!$A:$G,2,0))</f>
        <v>0</v>
      </c>
      <c r="AL71">
        <f>IF(ISNA(VLOOKUP($A71&amp;AL$1,'For stats end Y DB'!$A:$G,2,0)),0,VLOOKUP($A71&amp;AL$1,'For stats end Y DB'!$A:$G,2,0))</f>
        <v>0</v>
      </c>
      <c r="AM71">
        <f>IF(ISNA(VLOOKUP($A71&amp;AM$1,'For stats end Y DB'!$A:$G,2,0)),0,VLOOKUP($A71&amp;AM$1,'For stats end Y DB'!$A:$G,2,0))</f>
        <v>0</v>
      </c>
      <c r="AN71">
        <f>IF(ISNA(VLOOKUP($A71&amp;AN$1,'For stats end Y DB'!$A:$G,2,0)),0,VLOOKUP($A71&amp;AN$1,'For stats end Y DB'!$A:$G,2,0))</f>
        <v>0</v>
      </c>
      <c r="AP71" t="str">
        <f t="shared" si="8"/>
        <v>OlivierN92</v>
      </c>
      <c r="AQ71">
        <f t="shared" si="9"/>
        <v>3</v>
      </c>
      <c r="AR71">
        <f t="shared" si="9"/>
        <v>4</v>
      </c>
      <c r="AS71">
        <f t="shared" si="9"/>
        <v>3</v>
      </c>
      <c r="AT71" s="9">
        <f t="shared" si="6"/>
        <v>0</v>
      </c>
      <c r="AU71">
        <f t="shared" si="7"/>
        <v>21</v>
      </c>
    </row>
    <row r="72" spans="1:47" x14ac:dyDescent="0.2">
      <c r="A72" s="12" t="s">
        <v>533</v>
      </c>
      <c r="B72">
        <f>IF(ISNA(VLOOKUP($A72&amp;B$1,'For stats end Y DB'!$A:$G,2,0)),0,VLOOKUP($A72&amp;B$1,'For stats end Y DB'!$A:$G,2,0))</f>
        <v>0</v>
      </c>
      <c r="C72">
        <f>IF(ISNA(VLOOKUP($A72&amp;C$1,'For stats end Y DB'!$A:$G,2,0)),0,VLOOKUP($A72&amp;C$1,'For stats end Y DB'!$A:$G,2,0))</f>
        <v>0</v>
      </c>
      <c r="D72">
        <f>IF(ISNA(VLOOKUP($A72&amp;D$1,'For stats end Y DB'!$A:$G,2,0)),0,VLOOKUP($A72&amp;D$1,'For stats end Y DB'!$A:$G,2,0))</f>
        <v>6</v>
      </c>
      <c r="E72">
        <f>IF(ISNA(VLOOKUP($A72&amp;E$1,'For stats end Y DB'!$A:$G,2,0)),0,VLOOKUP($A72&amp;E$1,'For stats end Y DB'!$A:$G,2,0))</f>
        <v>2</v>
      </c>
      <c r="F72">
        <f>IF(ISNA(VLOOKUP($A72&amp;F$1,'For stats end Y DB'!$A:$G,2,0)),0,VLOOKUP($A72&amp;F$1,'For stats end Y DB'!$A:$G,2,0))</f>
        <v>0</v>
      </c>
      <c r="G72">
        <f>IF(ISNA(VLOOKUP($A72&amp;G$1,'For stats end Y DB'!$A:$G,2,0)),0,VLOOKUP($A72&amp;G$1,'For stats end Y DB'!$A:$G,2,0))</f>
        <v>5</v>
      </c>
      <c r="H72">
        <f>IF(ISNA(VLOOKUP($A72&amp;H$1,'For stats end Y DB'!$A:$G,2,0)),0,VLOOKUP($A72&amp;H$1,'For stats end Y DB'!$A:$G,2,0))</f>
        <v>6</v>
      </c>
      <c r="I72">
        <f>IF(ISNA(VLOOKUP($A72&amp;I$1,'For stats end Y DB'!$A:$G,2,0)),0,VLOOKUP($A72&amp;I$1,'For stats end Y DB'!$A:$G,2,0))</f>
        <v>7</v>
      </c>
      <c r="J72">
        <f>IF(ISNA(VLOOKUP($A72&amp;J$1,'For stats end Y DB'!$A:$G,2,0)),0,VLOOKUP($A72&amp;J$1,'For stats end Y DB'!$A:$G,2,0))</f>
        <v>0</v>
      </c>
      <c r="K72">
        <f>IF(ISNA(VLOOKUP($A72&amp;K$1,'For stats end Y DB'!$A:$G,2,0)),0,VLOOKUP($A72&amp;K$1,'For stats end Y DB'!$A:$G,2,0))</f>
        <v>3</v>
      </c>
      <c r="L72">
        <f>IF(ISNA(VLOOKUP($A72&amp;L$1,'For stats end Y DB'!$A:$G,2,0)),0,VLOOKUP($A72&amp;L$1,'For stats end Y DB'!$A:$G,2,0))</f>
        <v>0</v>
      </c>
      <c r="M72">
        <f>IF(ISNA(VLOOKUP($A72&amp;M$1,'For stats end Y DB'!$A:$G,2,0)),0,VLOOKUP($A72&amp;M$1,'For stats end Y DB'!$A:$G,2,0))</f>
        <v>0</v>
      </c>
      <c r="N72">
        <f>IF(ISNA(VLOOKUP($A72&amp;N$1,'For stats end Y DB'!$A:$G,2,0)),0,VLOOKUP($A72&amp;N$1,'For stats end Y DB'!$A:$G,2,0))</f>
        <v>0</v>
      </c>
      <c r="O72">
        <f>IF(ISNA(VLOOKUP($A72&amp;O$1,'For stats end Y DB'!$A:$G,2,0)),0,VLOOKUP($A72&amp;O$1,'For stats end Y DB'!$A:$G,2,0))</f>
        <v>0</v>
      </c>
      <c r="P72">
        <f>IF(ISNA(VLOOKUP($A72&amp;P$1,'For stats end Y DB'!$A:$G,2,0)),0,VLOOKUP($A72&amp;P$1,'For stats end Y DB'!$A:$G,2,0))</f>
        <v>1</v>
      </c>
      <c r="Q72">
        <f>IF(ISNA(VLOOKUP($A72&amp;Q$1,'For stats end Y DB'!$A:$G,2,0)),0,VLOOKUP($A72&amp;Q$1,'For stats end Y DB'!$A:$G,2,0))</f>
        <v>0</v>
      </c>
      <c r="R72">
        <f>IF(ISNA(VLOOKUP($A72&amp;R$1,'For stats end Y DB'!$A:$G,2,0)),0,VLOOKUP($A72&amp;R$1,'For stats end Y DB'!$A:$G,2,0))</f>
        <v>0</v>
      </c>
      <c r="S72">
        <f>IF(ISNA(VLOOKUP($A72&amp;S$1,'For stats end Y DB'!$A:$G,2,0)),0,VLOOKUP($A72&amp;S$1,'For stats end Y DB'!$A:$G,2,0))</f>
        <v>4</v>
      </c>
      <c r="T72">
        <f>IF(ISNA(VLOOKUP($A72&amp;T$1,'For stats end Y DB'!$A:$G,2,0)),0,VLOOKUP($A72&amp;T$1,'For stats end Y DB'!$A:$G,2,0))</f>
        <v>0</v>
      </c>
      <c r="U72">
        <f>IF(ISNA(VLOOKUP($A72&amp;U$1,'For stats end Y DB'!$A:$G,2,0)),0,VLOOKUP($A72&amp;U$1,'For stats end Y DB'!$A:$G,2,0))</f>
        <v>2</v>
      </c>
      <c r="V72">
        <f>IF(ISNA(VLOOKUP($A72&amp;V$1,'For stats end Y DB'!$A:$G,2,0)),0,VLOOKUP($A72&amp;V$1,'For stats end Y DB'!$A:$G,2,0))</f>
        <v>0</v>
      </c>
      <c r="W72">
        <f>IF(ISNA(VLOOKUP($A72&amp;W$1,'For stats end Y DB'!$A:$G,2,0)),0,VLOOKUP($A72&amp;W$1,'For stats end Y DB'!$A:$G,2,0))</f>
        <v>4</v>
      </c>
      <c r="X72">
        <f>IF(ISNA(VLOOKUP($A72&amp;X$1,'For stats end Y DB'!$A:$G,2,0)),0,VLOOKUP($A72&amp;X$1,'For stats end Y DB'!$A:$G,2,0))</f>
        <v>3</v>
      </c>
      <c r="Y72">
        <f>IF(ISNA(VLOOKUP($A72&amp;Y$1,'For stats end Y DB'!$A:$G,2,0)),0,VLOOKUP($A72&amp;Y$1,'For stats end Y DB'!$A:$G,2,0))</f>
        <v>0</v>
      </c>
      <c r="Z72">
        <f>IF(ISNA(VLOOKUP($A72&amp;Z$1,'For stats end Y DB'!$A:$G,2,0)),0,VLOOKUP($A72&amp;Z$1,'For stats end Y DB'!$A:$G,2,0))</f>
        <v>3</v>
      </c>
      <c r="AA72">
        <f>IF(ISNA(VLOOKUP($A72&amp;AA$1,'For stats end Y DB'!$A:$G,2,0)),0,VLOOKUP($A72&amp;AA$1,'For stats end Y DB'!$A:$G,2,0))</f>
        <v>0</v>
      </c>
      <c r="AB72">
        <f>IF(ISNA(VLOOKUP($A72&amp;AB$1,'For stats end Y DB'!$A:$G,2,0)),0,VLOOKUP($A72&amp;AB$1,'For stats end Y DB'!$A:$G,2,0))</f>
        <v>5</v>
      </c>
      <c r="AC72">
        <f>IF(ISNA(VLOOKUP($A72&amp;AC$1,'For stats end Y DB'!$A:$G,2,0)),0,VLOOKUP($A72&amp;AC$1,'For stats end Y DB'!$A:$G,2,0))</f>
        <v>0</v>
      </c>
      <c r="AD72">
        <f>IF(ISNA(VLOOKUP($A72&amp;AD$1,'For stats end Y DB'!$A:$G,2,0)),0,VLOOKUP($A72&amp;AD$1,'For stats end Y DB'!$A:$G,2,0))</f>
        <v>0</v>
      </c>
      <c r="AE72">
        <f>IF(ISNA(VLOOKUP($A72&amp;AE$1,'For stats end Y DB'!$A:$G,2,0)),0,VLOOKUP($A72&amp;AE$1,'For stats end Y DB'!$A:$G,2,0))</f>
        <v>0</v>
      </c>
      <c r="AF72">
        <f>IF(ISNA(VLOOKUP($A72&amp;AF$1,'For stats end Y DB'!$A:$G,2,0)),0,VLOOKUP($A72&amp;AF$1,'For stats end Y DB'!$A:$G,2,0))</f>
        <v>0</v>
      </c>
      <c r="AG72">
        <f>IF(ISNA(VLOOKUP($A72&amp;AG$1,'For stats end Y DB'!$A:$G,2,0)),0,VLOOKUP($A72&amp;AG$1,'For stats end Y DB'!$A:$G,2,0))</f>
        <v>6</v>
      </c>
      <c r="AH72">
        <f>IF(ISNA(VLOOKUP($A72&amp;AH$1,'For stats end Y DB'!$A:$G,2,0)),0,VLOOKUP($A72&amp;AH$1,'For stats end Y DB'!$A:$G,2,0))</f>
        <v>4</v>
      </c>
      <c r="AI72">
        <f>IF(ISNA(VLOOKUP($A72&amp;AI$1,'For stats end Y DB'!$A:$G,2,0)),0,VLOOKUP($A72&amp;AI$1,'For stats end Y DB'!$A:$G,2,0))</f>
        <v>0</v>
      </c>
      <c r="AJ72">
        <f>IF(ISNA(VLOOKUP($A72&amp;AJ$1,'For stats end Y DB'!$A:$G,2,0)),0,VLOOKUP($A72&amp;AJ$1,'For stats end Y DB'!$A:$G,2,0))</f>
        <v>0</v>
      </c>
      <c r="AK72">
        <f>IF(ISNA(VLOOKUP($A72&amp;AK$1,'For stats end Y DB'!$A:$G,2,0)),0,VLOOKUP($A72&amp;AK$1,'For stats end Y DB'!$A:$G,2,0))</f>
        <v>0</v>
      </c>
      <c r="AL72">
        <f>IF(ISNA(VLOOKUP($A72&amp;AL$1,'For stats end Y DB'!$A:$G,2,0)),0,VLOOKUP($A72&amp;AL$1,'For stats end Y DB'!$A:$G,2,0))</f>
        <v>0</v>
      </c>
      <c r="AM72">
        <f>IF(ISNA(VLOOKUP($A72&amp;AM$1,'For stats end Y DB'!$A:$G,2,0)),0,VLOOKUP($A72&amp;AM$1,'For stats end Y DB'!$A:$G,2,0))</f>
        <v>0</v>
      </c>
      <c r="AN72">
        <f>IF(ISNA(VLOOKUP($A72&amp;AN$1,'For stats end Y DB'!$A:$G,2,0)),0,VLOOKUP($A72&amp;AN$1,'For stats end Y DB'!$A:$G,2,0))</f>
        <v>0</v>
      </c>
      <c r="AP72" t="str">
        <f t="shared" si="8"/>
        <v>Ouais ouais</v>
      </c>
      <c r="AQ72">
        <f t="shared" si="9"/>
        <v>1</v>
      </c>
      <c r="AR72">
        <f t="shared" si="9"/>
        <v>2</v>
      </c>
      <c r="AS72">
        <f t="shared" si="9"/>
        <v>3</v>
      </c>
      <c r="AT72" s="9">
        <f t="shared" si="6"/>
        <v>0</v>
      </c>
      <c r="AU72">
        <f t="shared" si="7"/>
        <v>15</v>
      </c>
    </row>
    <row r="73" spans="1:47" x14ac:dyDescent="0.2">
      <c r="A73" s="12" t="s">
        <v>545</v>
      </c>
      <c r="B73">
        <f>IF(ISNA(VLOOKUP($A73&amp;B$1,'For stats end Y DB'!$A:$G,2,0)),0,VLOOKUP($A73&amp;B$1,'For stats end Y DB'!$A:$G,2,0))</f>
        <v>0</v>
      </c>
      <c r="C73">
        <f>IF(ISNA(VLOOKUP($A73&amp;C$1,'For stats end Y DB'!$A:$G,2,0)),0,VLOOKUP($A73&amp;C$1,'For stats end Y DB'!$A:$G,2,0))</f>
        <v>0</v>
      </c>
      <c r="D73">
        <f>IF(ISNA(VLOOKUP($A73&amp;D$1,'For stats end Y DB'!$A:$G,2,0)),0,VLOOKUP($A73&amp;D$1,'For stats end Y DB'!$A:$G,2,0))</f>
        <v>0</v>
      </c>
      <c r="E73">
        <f>IF(ISNA(VLOOKUP($A73&amp;E$1,'For stats end Y DB'!$A:$G,2,0)),0,VLOOKUP($A73&amp;E$1,'For stats end Y DB'!$A:$G,2,0))</f>
        <v>0</v>
      </c>
      <c r="F73">
        <f>IF(ISNA(VLOOKUP($A73&amp;F$1,'For stats end Y DB'!$A:$G,2,0)),0,VLOOKUP($A73&amp;F$1,'For stats end Y DB'!$A:$G,2,0))</f>
        <v>0</v>
      </c>
      <c r="G73">
        <f>IF(ISNA(VLOOKUP($A73&amp;G$1,'For stats end Y DB'!$A:$G,2,0)),0,VLOOKUP($A73&amp;G$1,'For stats end Y DB'!$A:$G,2,0))</f>
        <v>0</v>
      </c>
      <c r="H73">
        <f>IF(ISNA(VLOOKUP($A73&amp;H$1,'For stats end Y DB'!$A:$G,2,0)),0,VLOOKUP($A73&amp;H$1,'For stats end Y DB'!$A:$G,2,0))</f>
        <v>0</v>
      </c>
      <c r="I73">
        <f>IF(ISNA(VLOOKUP($A73&amp;I$1,'For stats end Y DB'!$A:$G,2,0)),0,VLOOKUP($A73&amp;I$1,'For stats end Y DB'!$A:$G,2,0))</f>
        <v>0</v>
      </c>
      <c r="J73">
        <f>IF(ISNA(VLOOKUP($A73&amp;J$1,'For stats end Y DB'!$A:$G,2,0)),0,VLOOKUP($A73&amp;J$1,'For stats end Y DB'!$A:$G,2,0))</f>
        <v>6</v>
      </c>
      <c r="K73">
        <f>IF(ISNA(VLOOKUP($A73&amp;K$1,'For stats end Y DB'!$A:$G,2,0)),0,VLOOKUP($A73&amp;K$1,'For stats end Y DB'!$A:$G,2,0))</f>
        <v>0</v>
      </c>
      <c r="L73">
        <f>IF(ISNA(VLOOKUP($A73&amp;L$1,'For stats end Y DB'!$A:$G,2,0)),0,VLOOKUP($A73&amp;L$1,'For stats end Y DB'!$A:$G,2,0))</f>
        <v>0</v>
      </c>
      <c r="M73">
        <f>IF(ISNA(VLOOKUP($A73&amp;M$1,'For stats end Y DB'!$A:$G,2,0)),0,VLOOKUP($A73&amp;M$1,'For stats end Y DB'!$A:$G,2,0))</f>
        <v>0</v>
      </c>
      <c r="N73">
        <f>IF(ISNA(VLOOKUP($A73&amp;N$1,'For stats end Y DB'!$A:$G,2,0)),0,VLOOKUP($A73&amp;N$1,'For stats end Y DB'!$A:$G,2,0))</f>
        <v>0</v>
      </c>
      <c r="O73">
        <f>IF(ISNA(VLOOKUP($A73&amp;O$1,'For stats end Y DB'!$A:$G,2,0)),0,VLOOKUP($A73&amp;O$1,'For stats end Y DB'!$A:$G,2,0))</f>
        <v>0</v>
      </c>
      <c r="P73">
        <f>IF(ISNA(VLOOKUP($A73&amp;P$1,'For stats end Y DB'!$A:$G,2,0)),0,VLOOKUP($A73&amp;P$1,'For stats end Y DB'!$A:$G,2,0))</f>
        <v>0</v>
      </c>
      <c r="Q73">
        <f>IF(ISNA(VLOOKUP($A73&amp;Q$1,'For stats end Y DB'!$A:$G,2,0)),0,VLOOKUP($A73&amp;Q$1,'For stats end Y DB'!$A:$G,2,0))</f>
        <v>0</v>
      </c>
      <c r="R73">
        <f>IF(ISNA(VLOOKUP($A73&amp;R$1,'For stats end Y DB'!$A:$G,2,0)),0,VLOOKUP($A73&amp;R$1,'For stats end Y DB'!$A:$G,2,0))</f>
        <v>0</v>
      </c>
      <c r="S73">
        <f>IF(ISNA(VLOOKUP($A73&amp;S$1,'For stats end Y DB'!$A:$G,2,0)),0,VLOOKUP($A73&amp;S$1,'For stats end Y DB'!$A:$G,2,0))</f>
        <v>0</v>
      </c>
      <c r="T73">
        <f>IF(ISNA(VLOOKUP($A73&amp;T$1,'For stats end Y DB'!$A:$G,2,0)),0,VLOOKUP($A73&amp;T$1,'For stats end Y DB'!$A:$G,2,0))</f>
        <v>0</v>
      </c>
      <c r="U73">
        <f>IF(ISNA(VLOOKUP($A73&amp;U$1,'For stats end Y DB'!$A:$G,2,0)),0,VLOOKUP($A73&amp;U$1,'For stats end Y DB'!$A:$G,2,0))</f>
        <v>0</v>
      </c>
      <c r="V73">
        <f>IF(ISNA(VLOOKUP($A73&amp;V$1,'For stats end Y DB'!$A:$G,2,0)),0,VLOOKUP($A73&amp;V$1,'For stats end Y DB'!$A:$G,2,0))</f>
        <v>0</v>
      </c>
      <c r="W73">
        <f>IF(ISNA(VLOOKUP($A73&amp;W$1,'For stats end Y DB'!$A:$G,2,0)),0,VLOOKUP($A73&amp;W$1,'For stats end Y DB'!$A:$G,2,0))</f>
        <v>0</v>
      </c>
      <c r="X73">
        <f>IF(ISNA(VLOOKUP($A73&amp;X$1,'For stats end Y DB'!$A:$G,2,0)),0,VLOOKUP($A73&amp;X$1,'For stats end Y DB'!$A:$G,2,0))</f>
        <v>0</v>
      </c>
      <c r="Y73">
        <f>IF(ISNA(VLOOKUP($A73&amp;Y$1,'For stats end Y DB'!$A:$G,2,0)),0,VLOOKUP($A73&amp;Y$1,'For stats end Y DB'!$A:$G,2,0))</f>
        <v>0</v>
      </c>
      <c r="Z73">
        <f>IF(ISNA(VLOOKUP($A73&amp;Z$1,'For stats end Y DB'!$A:$G,2,0)),0,VLOOKUP($A73&amp;Z$1,'For stats end Y DB'!$A:$G,2,0))</f>
        <v>0</v>
      </c>
      <c r="AA73">
        <f>IF(ISNA(VLOOKUP($A73&amp;AA$1,'For stats end Y DB'!$A:$G,2,0)),0,VLOOKUP($A73&amp;AA$1,'For stats end Y DB'!$A:$G,2,0))</f>
        <v>0</v>
      </c>
      <c r="AB73">
        <f>IF(ISNA(VLOOKUP($A73&amp;AB$1,'For stats end Y DB'!$A:$G,2,0)),0,VLOOKUP($A73&amp;AB$1,'For stats end Y DB'!$A:$G,2,0))</f>
        <v>0</v>
      </c>
      <c r="AC73">
        <f>IF(ISNA(VLOOKUP($A73&amp;AC$1,'For stats end Y DB'!$A:$G,2,0)),0,VLOOKUP($A73&amp;AC$1,'For stats end Y DB'!$A:$G,2,0))</f>
        <v>0</v>
      </c>
      <c r="AD73">
        <f>IF(ISNA(VLOOKUP($A73&amp;AD$1,'For stats end Y DB'!$A:$G,2,0)),0,VLOOKUP($A73&amp;AD$1,'For stats end Y DB'!$A:$G,2,0))</f>
        <v>0</v>
      </c>
      <c r="AE73">
        <f>IF(ISNA(VLOOKUP($A73&amp;AE$1,'For stats end Y DB'!$A:$G,2,0)),0,VLOOKUP($A73&amp;AE$1,'For stats end Y DB'!$A:$G,2,0))</f>
        <v>0</v>
      </c>
      <c r="AF73">
        <f>IF(ISNA(VLOOKUP($A73&amp;AF$1,'For stats end Y DB'!$A:$G,2,0)),0,VLOOKUP($A73&amp;AF$1,'For stats end Y DB'!$A:$G,2,0))</f>
        <v>0</v>
      </c>
      <c r="AG73">
        <f>IF(ISNA(VLOOKUP($A73&amp;AG$1,'For stats end Y DB'!$A:$G,2,0)),0,VLOOKUP($A73&amp;AG$1,'For stats end Y DB'!$A:$G,2,0))</f>
        <v>0</v>
      </c>
      <c r="AH73">
        <f>IF(ISNA(VLOOKUP($A73&amp;AH$1,'For stats end Y DB'!$A:$G,2,0)),0,VLOOKUP($A73&amp;AH$1,'For stats end Y DB'!$A:$G,2,0))</f>
        <v>0</v>
      </c>
      <c r="AI73">
        <f>IF(ISNA(VLOOKUP($A73&amp;AI$1,'For stats end Y DB'!$A:$G,2,0)),0,VLOOKUP($A73&amp;AI$1,'For stats end Y DB'!$A:$G,2,0))</f>
        <v>0</v>
      </c>
      <c r="AJ73">
        <f>IF(ISNA(VLOOKUP($A73&amp;AJ$1,'For stats end Y DB'!$A:$G,2,0)),0,VLOOKUP($A73&amp;AJ$1,'For stats end Y DB'!$A:$G,2,0))</f>
        <v>0</v>
      </c>
      <c r="AK73">
        <f>IF(ISNA(VLOOKUP($A73&amp;AK$1,'For stats end Y DB'!$A:$G,2,0)),0,VLOOKUP($A73&amp;AK$1,'For stats end Y DB'!$A:$G,2,0))</f>
        <v>0</v>
      </c>
      <c r="AL73">
        <f>IF(ISNA(VLOOKUP($A73&amp;AL$1,'For stats end Y DB'!$A:$G,2,0)),0,VLOOKUP($A73&amp;AL$1,'For stats end Y DB'!$A:$G,2,0))</f>
        <v>0</v>
      </c>
      <c r="AM73">
        <f>IF(ISNA(VLOOKUP($A73&amp;AM$1,'For stats end Y DB'!$A:$G,2,0)),0,VLOOKUP($A73&amp;AM$1,'For stats end Y DB'!$A:$G,2,0))</f>
        <v>0</v>
      </c>
      <c r="AN73">
        <f>IF(ISNA(VLOOKUP($A73&amp;AN$1,'For stats end Y DB'!$A:$G,2,0)),0,VLOOKUP($A73&amp;AN$1,'For stats end Y DB'!$A:$G,2,0))</f>
        <v>0</v>
      </c>
      <c r="AP73" t="str">
        <f t="shared" si="8"/>
        <v>Panot</v>
      </c>
      <c r="AQ73">
        <f t="shared" si="9"/>
        <v>0</v>
      </c>
      <c r="AR73">
        <f t="shared" si="9"/>
        <v>0</v>
      </c>
      <c r="AS73">
        <f t="shared" si="9"/>
        <v>0</v>
      </c>
      <c r="AT73" s="9">
        <f t="shared" si="6"/>
        <v>0</v>
      </c>
      <c r="AU73">
        <f t="shared" si="7"/>
        <v>1</v>
      </c>
    </row>
    <row r="74" spans="1:47" x14ac:dyDescent="0.2">
      <c r="A74" s="12" t="s">
        <v>528</v>
      </c>
      <c r="B74">
        <f>IF(ISNA(VLOOKUP($A74&amp;B$1,'For stats end Y DB'!$A:$G,2,0)),0,VLOOKUP($A74&amp;B$1,'For stats end Y DB'!$A:$G,2,0))</f>
        <v>0</v>
      </c>
      <c r="C74">
        <f>IF(ISNA(VLOOKUP($A74&amp;C$1,'For stats end Y DB'!$A:$G,2,0)),0,VLOOKUP($A74&amp;C$1,'For stats end Y DB'!$A:$G,2,0))</f>
        <v>5</v>
      </c>
      <c r="D74">
        <f>IF(ISNA(VLOOKUP($A74&amp;D$1,'For stats end Y DB'!$A:$G,2,0)),0,VLOOKUP($A74&amp;D$1,'For stats end Y DB'!$A:$G,2,0))</f>
        <v>0</v>
      </c>
      <c r="E74">
        <f>IF(ISNA(VLOOKUP($A74&amp;E$1,'For stats end Y DB'!$A:$G,2,0)),0,VLOOKUP($A74&amp;E$1,'For stats end Y DB'!$A:$G,2,0))</f>
        <v>6</v>
      </c>
      <c r="F74">
        <f>IF(ISNA(VLOOKUP($A74&amp;F$1,'For stats end Y DB'!$A:$G,2,0)),0,VLOOKUP($A74&amp;F$1,'For stats end Y DB'!$A:$G,2,0))</f>
        <v>5</v>
      </c>
      <c r="G74">
        <f>IF(ISNA(VLOOKUP($A74&amp;G$1,'For stats end Y DB'!$A:$G,2,0)),0,VLOOKUP($A74&amp;G$1,'For stats end Y DB'!$A:$G,2,0))</f>
        <v>7</v>
      </c>
      <c r="H74">
        <f>IF(ISNA(VLOOKUP($A74&amp;H$1,'For stats end Y DB'!$A:$G,2,0)),0,VLOOKUP($A74&amp;H$1,'For stats end Y DB'!$A:$G,2,0))</f>
        <v>3</v>
      </c>
      <c r="I74">
        <f>IF(ISNA(VLOOKUP($A74&amp;I$1,'For stats end Y DB'!$A:$G,2,0)),0,VLOOKUP($A74&amp;I$1,'For stats end Y DB'!$A:$G,2,0))</f>
        <v>0</v>
      </c>
      <c r="J74">
        <f>IF(ISNA(VLOOKUP($A74&amp;J$1,'For stats end Y DB'!$A:$G,2,0)),0,VLOOKUP($A74&amp;J$1,'For stats end Y DB'!$A:$G,2,0))</f>
        <v>0</v>
      </c>
      <c r="K74">
        <f>IF(ISNA(VLOOKUP($A74&amp;K$1,'For stats end Y DB'!$A:$G,2,0)),0,VLOOKUP($A74&amp;K$1,'For stats end Y DB'!$A:$G,2,0))</f>
        <v>0</v>
      </c>
      <c r="L74">
        <f>IF(ISNA(VLOOKUP($A74&amp;L$1,'For stats end Y DB'!$A:$G,2,0)),0,VLOOKUP($A74&amp;L$1,'For stats end Y DB'!$A:$G,2,0))</f>
        <v>0</v>
      </c>
      <c r="M74">
        <f>IF(ISNA(VLOOKUP($A74&amp;M$1,'For stats end Y DB'!$A:$G,2,0)),0,VLOOKUP($A74&amp;M$1,'For stats end Y DB'!$A:$G,2,0))</f>
        <v>0</v>
      </c>
      <c r="N74">
        <f>IF(ISNA(VLOOKUP($A74&amp;N$1,'For stats end Y DB'!$A:$G,2,0)),0,VLOOKUP($A74&amp;N$1,'For stats end Y DB'!$A:$G,2,0))</f>
        <v>0</v>
      </c>
      <c r="O74">
        <f>IF(ISNA(VLOOKUP($A74&amp;O$1,'For stats end Y DB'!$A:$G,2,0)),0,VLOOKUP($A74&amp;O$1,'For stats end Y DB'!$A:$G,2,0))</f>
        <v>0</v>
      </c>
      <c r="P74">
        <f>IF(ISNA(VLOOKUP($A74&amp;P$1,'For stats end Y DB'!$A:$G,2,0)),0,VLOOKUP($A74&amp;P$1,'For stats end Y DB'!$A:$G,2,0))</f>
        <v>0</v>
      </c>
      <c r="Q74">
        <f>IF(ISNA(VLOOKUP($A74&amp;Q$1,'For stats end Y DB'!$A:$G,2,0)),0,VLOOKUP($A74&amp;Q$1,'For stats end Y DB'!$A:$G,2,0))</f>
        <v>0</v>
      </c>
      <c r="R74">
        <f>IF(ISNA(VLOOKUP($A74&amp;R$1,'For stats end Y DB'!$A:$G,2,0)),0,VLOOKUP($A74&amp;R$1,'For stats end Y DB'!$A:$G,2,0))</f>
        <v>0</v>
      </c>
      <c r="S74">
        <f>IF(ISNA(VLOOKUP($A74&amp;S$1,'For stats end Y DB'!$A:$G,2,0)),0,VLOOKUP($A74&amp;S$1,'For stats end Y DB'!$A:$G,2,0))</f>
        <v>0</v>
      </c>
      <c r="T74">
        <f>IF(ISNA(VLOOKUP($A74&amp;T$1,'For stats end Y DB'!$A:$G,2,0)),0,VLOOKUP($A74&amp;T$1,'For stats end Y DB'!$A:$G,2,0))</f>
        <v>0</v>
      </c>
      <c r="U74">
        <f>IF(ISNA(VLOOKUP($A74&amp;U$1,'For stats end Y DB'!$A:$G,2,0)),0,VLOOKUP($A74&amp;U$1,'For stats end Y DB'!$A:$G,2,0))</f>
        <v>0</v>
      </c>
      <c r="V74">
        <f>IF(ISNA(VLOOKUP($A74&amp;V$1,'For stats end Y DB'!$A:$G,2,0)),0,VLOOKUP($A74&amp;V$1,'For stats end Y DB'!$A:$G,2,0))</f>
        <v>0</v>
      </c>
      <c r="W74">
        <f>IF(ISNA(VLOOKUP($A74&amp;W$1,'For stats end Y DB'!$A:$G,2,0)),0,VLOOKUP($A74&amp;W$1,'For stats end Y DB'!$A:$G,2,0))</f>
        <v>0</v>
      </c>
      <c r="X74">
        <f>IF(ISNA(VLOOKUP($A74&amp;X$1,'For stats end Y DB'!$A:$G,2,0)),0,VLOOKUP($A74&amp;X$1,'For stats end Y DB'!$A:$G,2,0))</f>
        <v>0</v>
      </c>
      <c r="Y74">
        <f>IF(ISNA(VLOOKUP($A74&amp;Y$1,'For stats end Y DB'!$A:$G,2,0)),0,VLOOKUP($A74&amp;Y$1,'For stats end Y DB'!$A:$G,2,0))</f>
        <v>0</v>
      </c>
      <c r="Z74">
        <f>IF(ISNA(VLOOKUP($A74&amp;Z$1,'For stats end Y DB'!$A:$G,2,0)),0,VLOOKUP($A74&amp;Z$1,'For stats end Y DB'!$A:$G,2,0))</f>
        <v>0</v>
      </c>
      <c r="AA74">
        <f>IF(ISNA(VLOOKUP($A74&amp;AA$1,'For stats end Y DB'!$A:$G,2,0)),0,VLOOKUP($A74&amp;AA$1,'For stats end Y DB'!$A:$G,2,0))</f>
        <v>0</v>
      </c>
      <c r="AB74">
        <f>IF(ISNA(VLOOKUP($A74&amp;AB$1,'For stats end Y DB'!$A:$G,2,0)),0,VLOOKUP($A74&amp;AB$1,'For stats end Y DB'!$A:$G,2,0))</f>
        <v>0</v>
      </c>
      <c r="AC74">
        <f>IF(ISNA(VLOOKUP($A74&amp;AC$1,'For stats end Y DB'!$A:$G,2,0)),0,VLOOKUP($A74&amp;AC$1,'For stats end Y DB'!$A:$G,2,0))</f>
        <v>0</v>
      </c>
      <c r="AD74">
        <f>IF(ISNA(VLOOKUP($A74&amp;AD$1,'For stats end Y DB'!$A:$G,2,0)),0,VLOOKUP($A74&amp;AD$1,'For stats end Y DB'!$A:$G,2,0))</f>
        <v>0</v>
      </c>
      <c r="AE74">
        <f>IF(ISNA(VLOOKUP($A74&amp;AE$1,'For stats end Y DB'!$A:$G,2,0)),0,VLOOKUP($A74&amp;AE$1,'For stats end Y DB'!$A:$G,2,0))</f>
        <v>0</v>
      </c>
      <c r="AF74">
        <f>IF(ISNA(VLOOKUP($A74&amp;AF$1,'For stats end Y DB'!$A:$G,2,0)),0,VLOOKUP($A74&amp;AF$1,'For stats end Y DB'!$A:$G,2,0))</f>
        <v>0</v>
      </c>
      <c r="AG74">
        <f>IF(ISNA(VLOOKUP($A74&amp;AG$1,'For stats end Y DB'!$A:$G,2,0)),0,VLOOKUP($A74&amp;AG$1,'For stats end Y DB'!$A:$G,2,0))</f>
        <v>0</v>
      </c>
      <c r="AH74">
        <f>IF(ISNA(VLOOKUP($A74&amp;AH$1,'For stats end Y DB'!$A:$G,2,0)),0,VLOOKUP($A74&amp;AH$1,'For stats end Y DB'!$A:$G,2,0))</f>
        <v>0</v>
      </c>
      <c r="AI74">
        <f>IF(ISNA(VLOOKUP($A74&amp;AI$1,'For stats end Y DB'!$A:$G,2,0)),0,VLOOKUP($A74&amp;AI$1,'For stats end Y DB'!$A:$G,2,0))</f>
        <v>0</v>
      </c>
      <c r="AJ74">
        <f>IF(ISNA(VLOOKUP($A74&amp;AJ$1,'For stats end Y DB'!$A:$G,2,0)),0,VLOOKUP($A74&amp;AJ$1,'For stats end Y DB'!$A:$G,2,0))</f>
        <v>0</v>
      </c>
      <c r="AK74">
        <f>IF(ISNA(VLOOKUP($A74&amp;AK$1,'For stats end Y DB'!$A:$G,2,0)),0,VLOOKUP($A74&amp;AK$1,'For stats end Y DB'!$A:$G,2,0))</f>
        <v>0</v>
      </c>
      <c r="AL74">
        <f>IF(ISNA(VLOOKUP($A74&amp;AL$1,'For stats end Y DB'!$A:$G,2,0)),0,VLOOKUP($A74&amp;AL$1,'For stats end Y DB'!$A:$G,2,0))</f>
        <v>0</v>
      </c>
      <c r="AM74">
        <f>IF(ISNA(VLOOKUP($A74&amp;AM$1,'For stats end Y DB'!$A:$G,2,0)),0,VLOOKUP($A74&amp;AM$1,'For stats end Y DB'!$A:$G,2,0))</f>
        <v>0</v>
      </c>
      <c r="AN74">
        <f>IF(ISNA(VLOOKUP($A74&amp;AN$1,'For stats end Y DB'!$A:$G,2,0)),0,VLOOKUP($A74&amp;AN$1,'For stats end Y DB'!$A:$G,2,0))</f>
        <v>0</v>
      </c>
      <c r="AP74" t="str">
        <f t="shared" si="8"/>
        <v>Papillon</v>
      </c>
      <c r="AQ74">
        <f t="shared" si="9"/>
        <v>0</v>
      </c>
      <c r="AR74">
        <f t="shared" si="9"/>
        <v>0</v>
      </c>
      <c r="AS74">
        <f t="shared" si="9"/>
        <v>1</v>
      </c>
      <c r="AT74" s="9">
        <f t="shared" si="6"/>
        <v>0</v>
      </c>
      <c r="AU74">
        <f t="shared" si="7"/>
        <v>5</v>
      </c>
    </row>
    <row r="75" spans="1:47" x14ac:dyDescent="0.2">
      <c r="A75" s="12" t="s">
        <v>74</v>
      </c>
      <c r="B75">
        <f>IF(ISNA(VLOOKUP($A75&amp;B$1,'For stats end Y DB'!$A:$G,2,0)),0,VLOOKUP($A75&amp;B$1,'For stats end Y DB'!$A:$G,2,0))</f>
        <v>2</v>
      </c>
      <c r="C75">
        <f>IF(ISNA(VLOOKUP($A75&amp;C$1,'For stats end Y DB'!$A:$G,2,0)),0,VLOOKUP($A75&amp;C$1,'For stats end Y DB'!$A:$G,2,0))</f>
        <v>7</v>
      </c>
      <c r="D75">
        <f>IF(ISNA(VLOOKUP($A75&amp;D$1,'For stats end Y DB'!$A:$G,2,0)),0,VLOOKUP($A75&amp;D$1,'For stats end Y DB'!$A:$G,2,0))</f>
        <v>4</v>
      </c>
      <c r="E75">
        <f>IF(ISNA(VLOOKUP($A75&amp;E$1,'For stats end Y DB'!$A:$G,2,0)),0,VLOOKUP($A75&amp;E$1,'For stats end Y DB'!$A:$G,2,0))</f>
        <v>5</v>
      </c>
      <c r="F75">
        <f>IF(ISNA(VLOOKUP($A75&amp;F$1,'For stats end Y DB'!$A:$G,2,0)),0,VLOOKUP($A75&amp;F$1,'For stats end Y DB'!$A:$G,2,0))</f>
        <v>0</v>
      </c>
      <c r="G75">
        <f>IF(ISNA(VLOOKUP($A75&amp;G$1,'For stats end Y DB'!$A:$G,2,0)),0,VLOOKUP($A75&amp;G$1,'For stats end Y DB'!$A:$G,2,0))</f>
        <v>6</v>
      </c>
      <c r="H75">
        <f>IF(ISNA(VLOOKUP($A75&amp;H$1,'For stats end Y DB'!$A:$G,2,0)),0,VLOOKUP($A75&amp;H$1,'For stats end Y DB'!$A:$G,2,0))</f>
        <v>2</v>
      </c>
      <c r="I75">
        <f>IF(ISNA(VLOOKUP($A75&amp;I$1,'For stats end Y DB'!$A:$G,2,0)),0,VLOOKUP($A75&amp;I$1,'For stats end Y DB'!$A:$G,2,0))</f>
        <v>2</v>
      </c>
      <c r="J75">
        <f>IF(ISNA(VLOOKUP($A75&amp;J$1,'For stats end Y DB'!$A:$G,2,0)),0,VLOOKUP($A75&amp;J$1,'For stats end Y DB'!$A:$G,2,0))</f>
        <v>1</v>
      </c>
      <c r="K75">
        <f>IF(ISNA(VLOOKUP($A75&amp;K$1,'For stats end Y DB'!$A:$G,2,0)),0,VLOOKUP($A75&amp;K$1,'For stats end Y DB'!$A:$G,2,0))</f>
        <v>2</v>
      </c>
      <c r="L75">
        <f>IF(ISNA(VLOOKUP($A75&amp;L$1,'For stats end Y DB'!$A:$G,2,0)),0,VLOOKUP($A75&amp;L$1,'For stats end Y DB'!$A:$G,2,0))</f>
        <v>3</v>
      </c>
      <c r="M75">
        <f>IF(ISNA(VLOOKUP($A75&amp;M$1,'For stats end Y DB'!$A:$G,2,0)),0,VLOOKUP($A75&amp;M$1,'For stats end Y DB'!$A:$G,2,0))</f>
        <v>2</v>
      </c>
      <c r="N75">
        <f>IF(ISNA(VLOOKUP($A75&amp;N$1,'For stats end Y DB'!$A:$G,2,0)),0,VLOOKUP($A75&amp;N$1,'For stats end Y DB'!$A:$G,2,0))</f>
        <v>4</v>
      </c>
      <c r="O75">
        <f>IF(ISNA(VLOOKUP($A75&amp;O$1,'For stats end Y DB'!$A:$G,2,0)),0,VLOOKUP($A75&amp;O$1,'For stats end Y DB'!$A:$G,2,0))</f>
        <v>3</v>
      </c>
      <c r="P75">
        <f>IF(ISNA(VLOOKUP($A75&amp;P$1,'For stats end Y DB'!$A:$G,2,0)),0,VLOOKUP($A75&amp;P$1,'For stats end Y DB'!$A:$G,2,0))</f>
        <v>4</v>
      </c>
      <c r="Q75">
        <f>IF(ISNA(VLOOKUP($A75&amp;Q$1,'For stats end Y DB'!$A:$G,2,0)),0,VLOOKUP($A75&amp;Q$1,'For stats end Y DB'!$A:$G,2,0))</f>
        <v>6</v>
      </c>
      <c r="R75">
        <f>IF(ISNA(VLOOKUP($A75&amp;R$1,'For stats end Y DB'!$A:$G,2,0)),0,VLOOKUP($A75&amp;R$1,'For stats end Y DB'!$A:$G,2,0))</f>
        <v>4</v>
      </c>
      <c r="S75">
        <f>IF(ISNA(VLOOKUP($A75&amp;S$1,'For stats end Y DB'!$A:$G,2,0)),0,VLOOKUP($A75&amp;S$1,'For stats end Y DB'!$A:$G,2,0))</f>
        <v>3</v>
      </c>
      <c r="T75">
        <f>IF(ISNA(VLOOKUP($A75&amp;T$1,'For stats end Y DB'!$A:$G,2,0)),0,VLOOKUP($A75&amp;T$1,'For stats end Y DB'!$A:$G,2,0))</f>
        <v>3</v>
      </c>
      <c r="U75">
        <f>IF(ISNA(VLOOKUP($A75&amp;U$1,'For stats end Y DB'!$A:$G,2,0)),0,VLOOKUP($A75&amp;U$1,'For stats end Y DB'!$A:$G,2,0))</f>
        <v>1</v>
      </c>
      <c r="V75">
        <f>IF(ISNA(VLOOKUP($A75&amp;V$1,'For stats end Y DB'!$A:$G,2,0)),0,VLOOKUP($A75&amp;V$1,'For stats end Y DB'!$A:$G,2,0))</f>
        <v>2</v>
      </c>
      <c r="W75">
        <f>IF(ISNA(VLOOKUP($A75&amp;W$1,'For stats end Y DB'!$A:$G,2,0)),0,VLOOKUP($A75&amp;W$1,'For stats end Y DB'!$A:$G,2,0))</f>
        <v>1</v>
      </c>
      <c r="X75">
        <f>IF(ISNA(VLOOKUP($A75&amp;X$1,'For stats end Y DB'!$A:$G,2,0)),0,VLOOKUP($A75&amp;X$1,'For stats end Y DB'!$A:$G,2,0))</f>
        <v>1</v>
      </c>
      <c r="Y75">
        <f>IF(ISNA(VLOOKUP($A75&amp;Y$1,'For stats end Y DB'!$A:$G,2,0)),0,VLOOKUP($A75&amp;Y$1,'For stats end Y DB'!$A:$G,2,0))</f>
        <v>6</v>
      </c>
      <c r="Z75">
        <f>IF(ISNA(VLOOKUP($A75&amp;Z$1,'For stats end Y DB'!$A:$G,2,0)),0,VLOOKUP($A75&amp;Z$1,'For stats end Y DB'!$A:$G,2,0))</f>
        <v>6</v>
      </c>
      <c r="AA75">
        <f>IF(ISNA(VLOOKUP($A75&amp;AA$1,'For stats end Y DB'!$A:$G,2,0)),0,VLOOKUP($A75&amp;AA$1,'For stats end Y DB'!$A:$G,2,0))</f>
        <v>6</v>
      </c>
      <c r="AB75">
        <f>IF(ISNA(VLOOKUP($A75&amp;AB$1,'For stats end Y DB'!$A:$G,2,0)),0,VLOOKUP($A75&amp;AB$1,'For stats end Y DB'!$A:$G,2,0))</f>
        <v>1</v>
      </c>
      <c r="AC75">
        <f>IF(ISNA(VLOOKUP($A75&amp;AC$1,'For stats end Y DB'!$A:$G,2,0)),0,VLOOKUP($A75&amp;AC$1,'For stats end Y DB'!$A:$G,2,0))</f>
        <v>4</v>
      </c>
      <c r="AD75">
        <f>IF(ISNA(VLOOKUP($A75&amp;AD$1,'For stats end Y DB'!$A:$G,2,0)),0,VLOOKUP($A75&amp;AD$1,'For stats end Y DB'!$A:$G,2,0))</f>
        <v>3</v>
      </c>
      <c r="AE75">
        <f>IF(ISNA(VLOOKUP($A75&amp;AE$1,'For stats end Y DB'!$A:$G,2,0)),0,VLOOKUP($A75&amp;AE$1,'For stats end Y DB'!$A:$G,2,0))</f>
        <v>3</v>
      </c>
      <c r="AF75">
        <f>IF(ISNA(VLOOKUP($A75&amp;AF$1,'For stats end Y DB'!$A:$G,2,0)),0,VLOOKUP($A75&amp;AF$1,'For stats end Y DB'!$A:$G,2,0))</f>
        <v>2</v>
      </c>
      <c r="AG75">
        <f>IF(ISNA(VLOOKUP($A75&amp;AG$1,'For stats end Y DB'!$A:$G,2,0)),0,VLOOKUP($A75&amp;AG$1,'For stats end Y DB'!$A:$G,2,0))</f>
        <v>2</v>
      </c>
      <c r="AH75">
        <f>IF(ISNA(VLOOKUP($A75&amp;AH$1,'For stats end Y DB'!$A:$G,2,0)),0,VLOOKUP($A75&amp;AH$1,'For stats end Y DB'!$A:$G,2,0))</f>
        <v>4</v>
      </c>
      <c r="AI75">
        <f>IF(ISNA(VLOOKUP($A75&amp;AI$1,'For stats end Y DB'!$A:$G,2,0)),0,VLOOKUP($A75&amp;AI$1,'For stats end Y DB'!$A:$G,2,0))</f>
        <v>0</v>
      </c>
      <c r="AJ75">
        <f>IF(ISNA(VLOOKUP($A75&amp;AJ$1,'For stats end Y DB'!$A:$G,2,0)),0,VLOOKUP($A75&amp;AJ$1,'For stats end Y DB'!$A:$G,2,0))</f>
        <v>0</v>
      </c>
      <c r="AK75">
        <f>IF(ISNA(VLOOKUP($A75&amp;AK$1,'For stats end Y DB'!$A:$G,2,0)),0,VLOOKUP($A75&amp;AK$1,'For stats end Y DB'!$A:$G,2,0))</f>
        <v>0</v>
      </c>
      <c r="AL75">
        <f>IF(ISNA(VLOOKUP($A75&amp;AL$1,'For stats end Y DB'!$A:$G,2,0)),0,VLOOKUP($A75&amp;AL$1,'For stats end Y DB'!$A:$G,2,0))</f>
        <v>0</v>
      </c>
      <c r="AM75">
        <f>IF(ISNA(VLOOKUP($A75&amp;AM$1,'For stats end Y DB'!$A:$G,2,0)),0,VLOOKUP($A75&amp;AM$1,'For stats end Y DB'!$A:$G,2,0))</f>
        <v>0</v>
      </c>
      <c r="AN75">
        <f>IF(ISNA(VLOOKUP($A75&amp;AN$1,'For stats end Y DB'!$A:$G,2,0)),0,VLOOKUP($A75&amp;AN$1,'For stats end Y DB'!$A:$G,2,0))</f>
        <v>0</v>
      </c>
      <c r="AP75" t="str">
        <f t="shared" si="8"/>
        <v>PatB</v>
      </c>
      <c r="AQ75">
        <f t="shared" si="9"/>
        <v>5</v>
      </c>
      <c r="AR75">
        <f t="shared" si="9"/>
        <v>8</v>
      </c>
      <c r="AS75">
        <f t="shared" si="9"/>
        <v>6</v>
      </c>
      <c r="AT75" s="9">
        <f t="shared" si="6"/>
        <v>0.38461538461538464</v>
      </c>
      <c r="AU75">
        <f t="shared" si="7"/>
        <v>32</v>
      </c>
    </row>
    <row r="76" spans="1:47" x14ac:dyDescent="0.2">
      <c r="A76" s="12" t="s">
        <v>48</v>
      </c>
      <c r="B76">
        <f>IF(ISNA(VLOOKUP($A76&amp;B$1,'For stats end Y DB'!$A:$G,2,0)),0,VLOOKUP($A76&amp;B$1,'For stats end Y DB'!$A:$G,2,0))</f>
        <v>4</v>
      </c>
      <c r="C76">
        <f>IF(ISNA(VLOOKUP($A76&amp;C$1,'For stats end Y DB'!$A:$G,2,0)),0,VLOOKUP($A76&amp;C$1,'For stats end Y DB'!$A:$G,2,0))</f>
        <v>4</v>
      </c>
      <c r="D76">
        <f>IF(ISNA(VLOOKUP($A76&amp;D$1,'For stats end Y DB'!$A:$G,2,0)),0,VLOOKUP($A76&amp;D$1,'For stats end Y DB'!$A:$G,2,0))</f>
        <v>2</v>
      </c>
      <c r="E76">
        <f>IF(ISNA(VLOOKUP($A76&amp;E$1,'For stats end Y DB'!$A:$G,2,0)),0,VLOOKUP($A76&amp;E$1,'For stats end Y DB'!$A:$G,2,0))</f>
        <v>6</v>
      </c>
      <c r="F76">
        <f>IF(ISNA(VLOOKUP($A76&amp;F$1,'For stats end Y DB'!$A:$G,2,0)),0,VLOOKUP($A76&amp;F$1,'For stats end Y DB'!$A:$G,2,0))</f>
        <v>0</v>
      </c>
      <c r="G76">
        <f>IF(ISNA(VLOOKUP($A76&amp;G$1,'For stats end Y DB'!$A:$G,2,0)),0,VLOOKUP($A76&amp;G$1,'For stats end Y DB'!$A:$G,2,0))</f>
        <v>0</v>
      </c>
      <c r="H76">
        <f>IF(ISNA(VLOOKUP($A76&amp;H$1,'For stats end Y DB'!$A:$G,2,0)),0,VLOOKUP($A76&amp;H$1,'For stats end Y DB'!$A:$G,2,0))</f>
        <v>0</v>
      </c>
      <c r="I76">
        <f>IF(ISNA(VLOOKUP($A76&amp;I$1,'For stats end Y DB'!$A:$G,2,0)),0,VLOOKUP($A76&amp;I$1,'For stats end Y DB'!$A:$G,2,0))</f>
        <v>0</v>
      </c>
      <c r="J76">
        <f>IF(ISNA(VLOOKUP($A76&amp;J$1,'For stats end Y DB'!$A:$G,2,0)),0,VLOOKUP($A76&amp;J$1,'For stats end Y DB'!$A:$G,2,0))</f>
        <v>1</v>
      </c>
      <c r="K76">
        <f>IF(ISNA(VLOOKUP($A76&amp;K$1,'For stats end Y DB'!$A:$G,2,0)),0,VLOOKUP($A76&amp;K$1,'For stats end Y DB'!$A:$G,2,0))</f>
        <v>0</v>
      </c>
      <c r="L76">
        <f>IF(ISNA(VLOOKUP($A76&amp;L$1,'For stats end Y DB'!$A:$G,2,0)),0,VLOOKUP($A76&amp;L$1,'For stats end Y DB'!$A:$G,2,0))</f>
        <v>0</v>
      </c>
      <c r="M76">
        <f>IF(ISNA(VLOOKUP($A76&amp;M$1,'For stats end Y DB'!$A:$G,2,0)),0,VLOOKUP($A76&amp;M$1,'For stats end Y DB'!$A:$G,2,0))</f>
        <v>0</v>
      </c>
      <c r="N76">
        <f>IF(ISNA(VLOOKUP($A76&amp;N$1,'For stats end Y DB'!$A:$G,2,0)),0,VLOOKUP($A76&amp;N$1,'For stats end Y DB'!$A:$G,2,0))</f>
        <v>0</v>
      </c>
      <c r="O76">
        <f>IF(ISNA(VLOOKUP($A76&amp;O$1,'For stats end Y DB'!$A:$G,2,0)),0,VLOOKUP($A76&amp;O$1,'For stats end Y DB'!$A:$G,2,0))</f>
        <v>0</v>
      </c>
      <c r="P76">
        <f>IF(ISNA(VLOOKUP($A76&amp;P$1,'For stats end Y DB'!$A:$G,2,0)),0,VLOOKUP($A76&amp;P$1,'For stats end Y DB'!$A:$G,2,0))</f>
        <v>0</v>
      </c>
      <c r="Q76">
        <f>IF(ISNA(VLOOKUP($A76&amp;Q$1,'For stats end Y DB'!$A:$G,2,0)),0,VLOOKUP($A76&amp;Q$1,'For stats end Y DB'!$A:$G,2,0))</f>
        <v>0</v>
      </c>
      <c r="R76">
        <f>IF(ISNA(VLOOKUP($A76&amp;R$1,'For stats end Y DB'!$A:$G,2,0)),0,VLOOKUP($A76&amp;R$1,'For stats end Y DB'!$A:$G,2,0))</f>
        <v>0</v>
      </c>
      <c r="S76">
        <f>IF(ISNA(VLOOKUP($A76&amp;S$1,'For stats end Y DB'!$A:$G,2,0)),0,VLOOKUP($A76&amp;S$1,'For stats end Y DB'!$A:$G,2,0))</f>
        <v>0</v>
      </c>
      <c r="T76">
        <f>IF(ISNA(VLOOKUP($A76&amp;T$1,'For stats end Y DB'!$A:$G,2,0)),0,VLOOKUP($A76&amp;T$1,'For stats end Y DB'!$A:$G,2,0))</f>
        <v>6</v>
      </c>
      <c r="U76">
        <f>IF(ISNA(VLOOKUP($A76&amp;U$1,'For stats end Y DB'!$A:$G,2,0)),0,VLOOKUP($A76&amp;U$1,'For stats end Y DB'!$A:$G,2,0))</f>
        <v>0</v>
      </c>
      <c r="V76">
        <f>IF(ISNA(VLOOKUP($A76&amp;V$1,'For stats end Y DB'!$A:$G,2,0)),0,VLOOKUP($A76&amp;V$1,'For stats end Y DB'!$A:$G,2,0))</f>
        <v>0</v>
      </c>
      <c r="W76">
        <f>IF(ISNA(VLOOKUP($A76&amp;W$1,'For stats end Y DB'!$A:$G,2,0)),0,VLOOKUP($A76&amp;W$1,'For stats end Y DB'!$A:$G,2,0))</f>
        <v>0</v>
      </c>
      <c r="X76">
        <f>IF(ISNA(VLOOKUP($A76&amp;X$1,'For stats end Y DB'!$A:$G,2,0)),0,VLOOKUP($A76&amp;X$1,'For stats end Y DB'!$A:$G,2,0))</f>
        <v>0</v>
      </c>
      <c r="Y76">
        <f>IF(ISNA(VLOOKUP($A76&amp;Y$1,'For stats end Y DB'!$A:$G,2,0)),0,VLOOKUP($A76&amp;Y$1,'For stats end Y DB'!$A:$G,2,0))</f>
        <v>0</v>
      </c>
      <c r="Z76">
        <f>IF(ISNA(VLOOKUP($A76&amp;Z$1,'For stats end Y DB'!$A:$G,2,0)),0,VLOOKUP($A76&amp;Z$1,'For stats end Y DB'!$A:$G,2,0))</f>
        <v>0</v>
      </c>
      <c r="AA76">
        <f>IF(ISNA(VLOOKUP($A76&amp;AA$1,'For stats end Y DB'!$A:$G,2,0)),0,VLOOKUP($A76&amp;AA$1,'For stats end Y DB'!$A:$G,2,0))</f>
        <v>5</v>
      </c>
      <c r="AB76">
        <f>IF(ISNA(VLOOKUP($A76&amp;AB$1,'For stats end Y DB'!$A:$G,2,0)),0,VLOOKUP($A76&amp;AB$1,'For stats end Y DB'!$A:$G,2,0))</f>
        <v>1</v>
      </c>
      <c r="AC76">
        <f>IF(ISNA(VLOOKUP($A76&amp;AC$1,'For stats end Y DB'!$A:$G,2,0)),0,VLOOKUP($A76&amp;AC$1,'For stats end Y DB'!$A:$G,2,0))</f>
        <v>0</v>
      </c>
      <c r="AD76">
        <f>IF(ISNA(VLOOKUP($A76&amp;AD$1,'For stats end Y DB'!$A:$G,2,0)),0,VLOOKUP($A76&amp;AD$1,'For stats end Y DB'!$A:$G,2,0))</f>
        <v>0</v>
      </c>
      <c r="AE76">
        <f>IF(ISNA(VLOOKUP($A76&amp;AE$1,'For stats end Y DB'!$A:$G,2,0)),0,VLOOKUP($A76&amp;AE$1,'For stats end Y DB'!$A:$G,2,0))</f>
        <v>1</v>
      </c>
      <c r="AF76">
        <f>IF(ISNA(VLOOKUP($A76&amp;AF$1,'For stats end Y DB'!$A:$G,2,0)),0,VLOOKUP($A76&amp;AF$1,'For stats end Y DB'!$A:$G,2,0))</f>
        <v>6</v>
      </c>
      <c r="AG76">
        <f>IF(ISNA(VLOOKUP($A76&amp;AG$1,'For stats end Y DB'!$A:$G,2,0)),0,VLOOKUP($A76&amp;AG$1,'For stats end Y DB'!$A:$G,2,0))</f>
        <v>5</v>
      </c>
      <c r="AH76">
        <f>IF(ISNA(VLOOKUP($A76&amp;AH$1,'For stats end Y DB'!$A:$G,2,0)),0,VLOOKUP($A76&amp;AH$1,'For stats end Y DB'!$A:$G,2,0))</f>
        <v>0</v>
      </c>
      <c r="AI76">
        <f>IF(ISNA(VLOOKUP($A76&amp;AI$1,'For stats end Y DB'!$A:$G,2,0)),0,VLOOKUP($A76&amp;AI$1,'For stats end Y DB'!$A:$G,2,0))</f>
        <v>0</v>
      </c>
      <c r="AJ76">
        <f>IF(ISNA(VLOOKUP($A76&amp;AJ$1,'For stats end Y DB'!$A:$G,2,0)),0,VLOOKUP($A76&amp;AJ$1,'For stats end Y DB'!$A:$G,2,0))</f>
        <v>0</v>
      </c>
      <c r="AK76">
        <f>IF(ISNA(VLOOKUP($A76&amp;AK$1,'For stats end Y DB'!$A:$G,2,0)),0,VLOOKUP($A76&amp;AK$1,'For stats end Y DB'!$A:$G,2,0))</f>
        <v>0</v>
      </c>
      <c r="AL76">
        <f>IF(ISNA(VLOOKUP($A76&amp;AL$1,'For stats end Y DB'!$A:$G,2,0)),0,VLOOKUP($A76&amp;AL$1,'For stats end Y DB'!$A:$G,2,0))</f>
        <v>0</v>
      </c>
      <c r="AM76">
        <f>IF(ISNA(VLOOKUP($A76&amp;AM$1,'For stats end Y DB'!$A:$G,2,0)),0,VLOOKUP($A76&amp;AM$1,'For stats end Y DB'!$A:$G,2,0))</f>
        <v>0</v>
      </c>
      <c r="AN76">
        <f>IF(ISNA(VLOOKUP($A76&amp;AN$1,'For stats end Y DB'!$A:$G,2,0)),0,VLOOKUP($A76&amp;AN$1,'For stats end Y DB'!$A:$G,2,0))</f>
        <v>0</v>
      </c>
      <c r="AP76" t="str">
        <f t="shared" si="8"/>
        <v>Pintu</v>
      </c>
      <c r="AQ76">
        <f t="shared" si="9"/>
        <v>3</v>
      </c>
      <c r="AR76">
        <f t="shared" si="9"/>
        <v>1</v>
      </c>
      <c r="AS76">
        <f t="shared" si="9"/>
        <v>0</v>
      </c>
      <c r="AT76" s="9">
        <f t="shared" si="6"/>
        <v>0</v>
      </c>
      <c r="AU76">
        <f t="shared" si="7"/>
        <v>11</v>
      </c>
    </row>
    <row r="77" spans="1:47" x14ac:dyDescent="0.2">
      <c r="A77" s="12" t="s">
        <v>501</v>
      </c>
      <c r="B77">
        <f>IF(ISNA(VLOOKUP($A77&amp;B$1,'For stats end Y DB'!$A:$G,2,0)),0,VLOOKUP($A77&amp;B$1,'For stats end Y DB'!$A:$G,2,0))</f>
        <v>1</v>
      </c>
      <c r="C77">
        <f>IF(ISNA(VLOOKUP($A77&amp;C$1,'For stats end Y DB'!$A:$G,2,0)),0,VLOOKUP($A77&amp;C$1,'For stats end Y DB'!$A:$G,2,0))</f>
        <v>3</v>
      </c>
      <c r="D77">
        <f>IF(ISNA(VLOOKUP($A77&amp;D$1,'For stats end Y DB'!$A:$G,2,0)),0,VLOOKUP($A77&amp;D$1,'For stats end Y DB'!$A:$G,2,0))</f>
        <v>3</v>
      </c>
      <c r="E77">
        <f>IF(ISNA(VLOOKUP($A77&amp;E$1,'For stats end Y DB'!$A:$G,2,0)),0,VLOOKUP($A77&amp;E$1,'For stats end Y DB'!$A:$G,2,0))</f>
        <v>0</v>
      </c>
      <c r="F77">
        <f>IF(ISNA(VLOOKUP($A77&amp;F$1,'For stats end Y DB'!$A:$G,2,0)),0,VLOOKUP($A77&amp;F$1,'For stats end Y DB'!$A:$G,2,0))</f>
        <v>0</v>
      </c>
      <c r="G77">
        <f>IF(ISNA(VLOOKUP($A77&amp;G$1,'For stats end Y DB'!$A:$G,2,0)),0,VLOOKUP($A77&amp;G$1,'For stats end Y DB'!$A:$G,2,0))</f>
        <v>7</v>
      </c>
      <c r="H77">
        <f>IF(ISNA(VLOOKUP($A77&amp;H$1,'For stats end Y DB'!$A:$G,2,0)),0,VLOOKUP($A77&amp;H$1,'For stats end Y DB'!$A:$G,2,0))</f>
        <v>4</v>
      </c>
      <c r="I77">
        <f>IF(ISNA(VLOOKUP($A77&amp;I$1,'For stats end Y DB'!$A:$G,2,0)),0,VLOOKUP($A77&amp;I$1,'For stats end Y DB'!$A:$G,2,0))</f>
        <v>5</v>
      </c>
      <c r="J77">
        <f>IF(ISNA(VLOOKUP($A77&amp;J$1,'For stats end Y DB'!$A:$G,2,0)),0,VLOOKUP($A77&amp;J$1,'For stats end Y DB'!$A:$G,2,0))</f>
        <v>2</v>
      </c>
      <c r="K77">
        <f>IF(ISNA(VLOOKUP($A77&amp;K$1,'For stats end Y DB'!$A:$G,2,0)),0,VLOOKUP($A77&amp;K$1,'For stats end Y DB'!$A:$G,2,0))</f>
        <v>4</v>
      </c>
      <c r="L77">
        <f>IF(ISNA(VLOOKUP($A77&amp;L$1,'For stats end Y DB'!$A:$G,2,0)),0,VLOOKUP($A77&amp;L$1,'For stats end Y DB'!$A:$G,2,0))</f>
        <v>2</v>
      </c>
      <c r="M77">
        <f>IF(ISNA(VLOOKUP($A77&amp;M$1,'For stats end Y DB'!$A:$G,2,0)),0,VLOOKUP($A77&amp;M$1,'For stats end Y DB'!$A:$G,2,0))</f>
        <v>1</v>
      </c>
      <c r="N77">
        <f>IF(ISNA(VLOOKUP($A77&amp;N$1,'For stats end Y DB'!$A:$G,2,0)),0,VLOOKUP($A77&amp;N$1,'For stats end Y DB'!$A:$G,2,0))</f>
        <v>0</v>
      </c>
      <c r="O77">
        <f>IF(ISNA(VLOOKUP($A77&amp;O$1,'For stats end Y DB'!$A:$G,2,0)),0,VLOOKUP($A77&amp;O$1,'For stats end Y DB'!$A:$G,2,0))</f>
        <v>5</v>
      </c>
      <c r="P77">
        <f>IF(ISNA(VLOOKUP($A77&amp;P$1,'For stats end Y DB'!$A:$G,2,0)),0,VLOOKUP($A77&amp;P$1,'For stats end Y DB'!$A:$G,2,0))</f>
        <v>0</v>
      </c>
      <c r="Q77">
        <f>IF(ISNA(VLOOKUP($A77&amp;Q$1,'For stats end Y DB'!$A:$G,2,0)),0,VLOOKUP($A77&amp;Q$1,'For stats end Y DB'!$A:$G,2,0))</f>
        <v>6</v>
      </c>
      <c r="R77">
        <f>IF(ISNA(VLOOKUP($A77&amp;R$1,'For stats end Y DB'!$A:$G,2,0)),0,VLOOKUP($A77&amp;R$1,'For stats end Y DB'!$A:$G,2,0))</f>
        <v>6</v>
      </c>
      <c r="S77">
        <f>IF(ISNA(VLOOKUP($A77&amp;S$1,'For stats end Y DB'!$A:$G,2,0)),0,VLOOKUP($A77&amp;S$1,'For stats end Y DB'!$A:$G,2,0))</f>
        <v>2</v>
      </c>
      <c r="T77">
        <f>IF(ISNA(VLOOKUP($A77&amp;T$1,'For stats end Y DB'!$A:$G,2,0)),0,VLOOKUP($A77&amp;T$1,'For stats end Y DB'!$A:$G,2,0))</f>
        <v>4</v>
      </c>
      <c r="U77">
        <f>IF(ISNA(VLOOKUP($A77&amp;U$1,'For stats end Y DB'!$A:$G,2,0)),0,VLOOKUP($A77&amp;U$1,'For stats end Y DB'!$A:$G,2,0))</f>
        <v>0</v>
      </c>
      <c r="V77">
        <f>IF(ISNA(VLOOKUP($A77&amp;V$1,'For stats end Y DB'!$A:$G,2,0)),0,VLOOKUP($A77&amp;V$1,'For stats end Y DB'!$A:$G,2,0))</f>
        <v>2</v>
      </c>
      <c r="W77">
        <f>IF(ISNA(VLOOKUP($A77&amp;W$1,'For stats end Y DB'!$A:$G,2,0)),0,VLOOKUP($A77&amp;W$1,'For stats end Y DB'!$A:$G,2,0))</f>
        <v>4</v>
      </c>
      <c r="X77">
        <f>IF(ISNA(VLOOKUP($A77&amp;X$1,'For stats end Y DB'!$A:$G,2,0)),0,VLOOKUP($A77&amp;X$1,'For stats end Y DB'!$A:$G,2,0))</f>
        <v>6</v>
      </c>
      <c r="Y77">
        <f>IF(ISNA(VLOOKUP($A77&amp;Y$1,'For stats end Y DB'!$A:$G,2,0)),0,VLOOKUP($A77&amp;Y$1,'For stats end Y DB'!$A:$G,2,0))</f>
        <v>0</v>
      </c>
      <c r="Z77">
        <f>IF(ISNA(VLOOKUP($A77&amp;Z$1,'For stats end Y DB'!$A:$G,2,0)),0,VLOOKUP($A77&amp;Z$1,'For stats end Y DB'!$A:$G,2,0))</f>
        <v>6</v>
      </c>
      <c r="AA77">
        <f>IF(ISNA(VLOOKUP($A77&amp;AA$1,'For stats end Y DB'!$A:$G,2,0)),0,VLOOKUP($A77&amp;AA$1,'For stats end Y DB'!$A:$G,2,0))</f>
        <v>6</v>
      </c>
      <c r="AB77">
        <f>IF(ISNA(VLOOKUP($A77&amp;AB$1,'For stats end Y DB'!$A:$G,2,0)),0,VLOOKUP($A77&amp;AB$1,'For stats end Y DB'!$A:$G,2,0))</f>
        <v>4</v>
      </c>
      <c r="AC77">
        <f>IF(ISNA(VLOOKUP($A77&amp;AC$1,'For stats end Y DB'!$A:$G,2,0)),0,VLOOKUP($A77&amp;AC$1,'For stats end Y DB'!$A:$G,2,0))</f>
        <v>0</v>
      </c>
      <c r="AD77">
        <f>IF(ISNA(VLOOKUP($A77&amp;AD$1,'For stats end Y DB'!$A:$G,2,0)),0,VLOOKUP($A77&amp;AD$1,'For stats end Y DB'!$A:$G,2,0))</f>
        <v>3</v>
      </c>
      <c r="AE77">
        <f>IF(ISNA(VLOOKUP($A77&amp;AE$1,'For stats end Y DB'!$A:$G,2,0)),0,VLOOKUP($A77&amp;AE$1,'For stats end Y DB'!$A:$G,2,0))</f>
        <v>1</v>
      </c>
      <c r="AF77">
        <f>IF(ISNA(VLOOKUP($A77&amp;AF$1,'For stats end Y DB'!$A:$G,2,0)),0,VLOOKUP($A77&amp;AF$1,'For stats end Y DB'!$A:$G,2,0))</f>
        <v>1</v>
      </c>
      <c r="AG77">
        <f>IF(ISNA(VLOOKUP($A77&amp;AG$1,'For stats end Y DB'!$A:$G,2,0)),0,VLOOKUP($A77&amp;AG$1,'For stats end Y DB'!$A:$G,2,0))</f>
        <v>0</v>
      </c>
      <c r="AH77">
        <f>IF(ISNA(VLOOKUP($A77&amp;AH$1,'For stats end Y DB'!$A:$G,2,0)),0,VLOOKUP($A77&amp;AH$1,'For stats end Y DB'!$A:$G,2,0))</f>
        <v>4</v>
      </c>
      <c r="AI77">
        <f>IF(ISNA(VLOOKUP($A77&amp;AI$1,'For stats end Y DB'!$A:$G,2,0)),0,VLOOKUP($A77&amp;AI$1,'For stats end Y DB'!$A:$G,2,0))</f>
        <v>0</v>
      </c>
      <c r="AJ77">
        <f>IF(ISNA(VLOOKUP($A77&amp;AJ$1,'For stats end Y DB'!$A:$G,2,0)),0,VLOOKUP($A77&amp;AJ$1,'For stats end Y DB'!$A:$G,2,0))</f>
        <v>0</v>
      </c>
      <c r="AK77">
        <f>IF(ISNA(VLOOKUP($A77&amp;AK$1,'For stats end Y DB'!$A:$G,2,0)),0,VLOOKUP($A77&amp;AK$1,'For stats end Y DB'!$A:$G,2,0))</f>
        <v>0</v>
      </c>
      <c r="AL77">
        <f>IF(ISNA(VLOOKUP($A77&amp;AL$1,'For stats end Y DB'!$A:$G,2,0)),0,VLOOKUP($A77&amp;AL$1,'For stats end Y DB'!$A:$G,2,0))</f>
        <v>0</v>
      </c>
      <c r="AM77">
        <f>IF(ISNA(VLOOKUP($A77&amp;AM$1,'For stats end Y DB'!$A:$G,2,0)),0,VLOOKUP($A77&amp;AM$1,'For stats end Y DB'!$A:$G,2,0))</f>
        <v>0</v>
      </c>
      <c r="AN77">
        <f>IF(ISNA(VLOOKUP($A77&amp;AN$1,'For stats end Y DB'!$A:$G,2,0)),0,VLOOKUP($A77&amp;AN$1,'For stats end Y DB'!$A:$G,2,0))</f>
        <v>0</v>
      </c>
      <c r="AP77" t="str">
        <f t="shared" si="8"/>
        <v>Poisson Pilote</v>
      </c>
      <c r="AQ77">
        <f t="shared" si="9"/>
        <v>4</v>
      </c>
      <c r="AR77">
        <f t="shared" si="9"/>
        <v>4</v>
      </c>
      <c r="AS77">
        <f t="shared" si="9"/>
        <v>3</v>
      </c>
      <c r="AT77" s="9">
        <f t="shared" si="6"/>
        <v>0</v>
      </c>
      <c r="AU77">
        <f t="shared" si="7"/>
        <v>25</v>
      </c>
    </row>
    <row r="78" spans="1:47" x14ac:dyDescent="0.2">
      <c r="A78" s="12" t="s">
        <v>87</v>
      </c>
      <c r="B78">
        <f>IF(ISNA(VLOOKUP($A78&amp;B$1,'For stats end Y DB'!$A:$G,2,0)),0,VLOOKUP($A78&amp;B$1,'For stats end Y DB'!$A:$G,2,0))</f>
        <v>6</v>
      </c>
      <c r="C78">
        <f>IF(ISNA(VLOOKUP($A78&amp;C$1,'For stats end Y DB'!$A:$G,2,0)),0,VLOOKUP($A78&amp;C$1,'For stats end Y DB'!$A:$G,2,0))</f>
        <v>5</v>
      </c>
      <c r="D78">
        <f>IF(ISNA(VLOOKUP($A78&amp;D$1,'For stats end Y DB'!$A:$G,2,0)),0,VLOOKUP($A78&amp;D$1,'For stats end Y DB'!$A:$G,2,0))</f>
        <v>1</v>
      </c>
      <c r="E78">
        <f>IF(ISNA(VLOOKUP($A78&amp;E$1,'For stats end Y DB'!$A:$G,2,0)),0,VLOOKUP($A78&amp;E$1,'For stats end Y DB'!$A:$G,2,0))</f>
        <v>6</v>
      </c>
      <c r="F78">
        <f>IF(ISNA(VLOOKUP($A78&amp;F$1,'For stats end Y DB'!$A:$G,2,0)),0,VLOOKUP($A78&amp;F$1,'For stats end Y DB'!$A:$G,2,0))</f>
        <v>3</v>
      </c>
      <c r="G78">
        <f>IF(ISNA(VLOOKUP($A78&amp;G$1,'For stats end Y DB'!$A:$G,2,0)),0,VLOOKUP($A78&amp;G$1,'For stats end Y DB'!$A:$G,2,0))</f>
        <v>6</v>
      </c>
      <c r="H78">
        <f>IF(ISNA(VLOOKUP($A78&amp;H$1,'For stats end Y DB'!$A:$G,2,0)),0,VLOOKUP($A78&amp;H$1,'For stats end Y DB'!$A:$G,2,0))</f>
        <v>0</v>
      </c>
      <c r="I78">
        <f>IF(ISNA(VLOOKUP($A78&amp;I$1,'For stats end Y DB'!$A:$G,2,0)),0,VLOOKUP($A78&amp;I$1,'For stats end Y DB'!$A:$G,2,0))</f>
        <v>1</v>
      </c>
      <c r="J78">
        <f>IF(ISNA(VLOOKUP($A78&amp;J$1,'For stats end Y DB'!$A:$G,2,0)),0,VLOOKUP($A78&amp;J$1,'For stats end Y DB'!$A:$G,2,0))</f>
        <v>4</v>
      </c>
      <c r="K78">
        <f>IF(ISNA(VLOOKUP($A78&amp;K$1,'For stats end Y DB'!$A:$G,2,0)),0,VLOOKUP($A78&amp;K$1,'For stats end Y DB'!$A:$G,2,0))</f>
        <v>0</v>
      </c>
      <c r="L78">
        <f>IF(ISNA(VLOOKUP($A78&amp;L$1,'For stats end Y DB'!$A:$G,2,0)),0,VLOOKUP($A78&amp;L$1,'For stats end Y DB'!$A:$G,2,0))</f>
        <v>5</v>
      </c>
      <c r="M78">
        <f>IF(ISNA(VLOOKUP($A78&amp;M$1,'For stats end Y DB'!$A:$G,2,0)),0,VLOOKUP($A78&amp;M$1,'For stats end Y DB'!$A:$G,2,0))</f>
        <v>4</v>
      </c>
      <c r="N78">
        <f>IF(ISNA(VLOOKUP($A78&amp;N$1,'For stats end Y DB'!$A:$G,2,0)),0,VLOOKUP($A78&amp;N$1,'For stats end Y DB'!$A:$G,2,0))</f>
        <v>0</v>
      </c>
      <c r="O78">
        <f>IF(ISNA(VLOOKUP($A78&amp;O$1,'For stats end Y DB'!$A:$G,2,0)),0,VLOOKUP($A78&amp;O$1,'For stats end Y DB'!$A:$G,2,0))</f>
        <v>5</v>
      </c>
      <c r="P78">
        <f>IF(ISNA(VLOOKUP($A78&amp;P$1,'For stats end Y DB'!$A:$G,2,0)),0,VLOOKUP($A78&amp;P$1,'For stats end Y DB'!$A:$G,2,0))</f>
        <v>1</v>
      </c>
      <c r="Q78">
        <f>IF(ISNA(VLOOKUP($A78&amp;Q$1,'For stats end Y DB'!$A:$G,2,0)),0,VLOOKUP($A78&amp;Q$1,'For stats end Y DB'!$A:$G,2,0))</f>
        <v>5</v>
      </c>
      <c r="R78">
        <f>IF(ISNA(VLOOKUP($A78&amp;R$1,'For stats end Y DB'!$A:$G,2,0)),0,VLOOKUP($A78&amp;R$1,'For stats end Y DB'!$A:$G,2,0))</f>
        <v>6</v>
      </c>
      <c r="S78">
        <f>IF(ISNA(VLOOKUP($A78&amp;S$1,'For stats end Y DB'!$A:$G,2,0)),0,VLOOKUP($A78&amp;S$1,'For stats end Y DB'!$A:$G,2,0))</f>
        <v>0</v>
      </c>
      <c r="T78">
        <f>IF(ISNA(VLOOKUP($A78&amp;T$1,'For stats end Y DB'!$A:$G,2,0)),0,VLOOKUP($A78&amp;T$1,'For stats end Y DB'!$A:$G,2,0))</f>
        <v>0</v>
      </c>
      <c r="U78">
        <f>IF(ISNA(VLOOKUP($A78&amp;U$1,'For stats end Y DB'!$A:$G,2,0)),0,VLOOKUP($A78&amp;U$1,'For stats end Y DB'!$A:$G,2,0))</f>
        <v>3</v>
      </c>
      <c r="V78">
        <f>IF(ISNA(VLOOKUP($A78&amp;V$1,'For stats end Y DB'!$A:$G,2,0)),0,VLOOKUP($A78&amp;V$1,'For stats end Y DB'!$A:$G,2,0))</f>
        <v>2</v>
      </c>
      <c r="W78">
        <f>IF(ISNA(VLOOKUP($A78&amp;W$1,'For stats end Y DB'!$A:$G,2,0)),0,VLOOKUP($A78&amp;W$1,'For stats end Y DB'!$A:$G,2,0))</f>
        <v>3</v>
      </c>
      <c r="X78">
        <f>IF(ISNA(VLOOKUP($A78&amp;X$1,'For stats end Y DB'!$A:$G,2,0)),0,VLOOKUP($A78&amp;X$1,'For stats end Y DB'!$A:$G,2,0))</f>
        <v>0</v>
      </c>
      <c r="Y78">
        <f>IF(ISNA(VLOOKUP($A78&amp;Y$1,'For stats end Y DB'!$A:$G,2,0)),0,VLOOKUP($A78&amp;Y$1,'For stats end Y DB'!$A:$G,2,0))</f>
        <v>1</v>
      </c>
      <c r="Z78">
        <f>IF(ISNA(VLOOKUP($A78&amp;Z$1,'For stats end Y DB'!$A:$G,2,0)),0,VLOOKUP($A78&amp;Z$1,'For stats end Y DB'!$A:$G,2,0))</f>
        <v>5</v>
      </c>
      <c r="AA78">
        <f>IF(ISNA(VLOOKUP($A78&amp;AA$1,'For stats end Y DB'!$A:$G,2,0)),0,VLOOKUP($A78&amp;AA$1,'For stats end Y DB'!$A:$G,2,0))</f>
        <v>2</v>
      </c>
      <c r="AB78">
        <f>IF(ISNA(VLOOKUP($A78&amp;AB$1,'For stats end Y DB'!$A:$G,2,0)),0,VLOOKUP($A78&amp;AB$1,'For stats end Y DB'!$A:$G,2,0))</f>
        <v>1</v>
      </c>
      <c r="AC78">
        <f>IF(ISNA(VLOOKUP($A78&amp;AC$1,'For stats end Y DB'!$A:$G,2,0)),0,VLOOKUP($A78&amp;AC$1,'For stats end Y DB'!$A:$G,2,0))</f>
        <v>6</v>
      </c>
      <c r="AD78">
        <f>IF(ISNA(VLOOKUP($A78&amp;AD$1,'For stats end Y DB'!$A:$G,2,0)),0,VLOOKUP($A78&amp;AD$1,'For stats end Y DB'!$A:$G,2,0))</f>
        <v>0</v>
      </c>
      <c r="AE78">
        <f>IF(ISNA(VLOOKUP($A78&amp;AE$1,'For stats end Y DB'!$A:$G,2,0)),0,VLOOKUP($A78&amp;AE$1,'For stats end Y DB'!$A:$G,2,0))</f>
        <v>6</v>
      </c>
      <c r="AF78">
        <f>IF(ISNA(VLOOKUP($A78&amp;AF$1,'For stats end Y DB'!$A:$G,2,0)),0,VLOOKUP($A78&amp;AF$1,'For stats end Y DB'!$A:$G,2,0))</f>
        <v>0</v>
      </c>
      <c r="AG78">
        <f>IF(ISNA(VLOOKUP($A78&amp;AG$1,'For stats end Y DB'!$A:$G,2,0)),0,VLOOKUP($A78&amp;AG$1,'For stats end Y DB'!$A:$G,2,0))</f>
        <v>2</v>
      </c>
      <c r="AH78">
        <f>IF(ISNA(VLOOKUP($A78&amp;AH$1,'For stats end Y DB'!$A:$G,2,0)),0,VLOOKUP($A78&amp;AH$1,'For stats end Y DB'!$A:$G,2,0))</f>
        <v>0</v>
      </c>
      <c r="AI78">
        <f>IF(ISNA(VLOOKUP($A78&amp;AI$1,'For stats end Y DB'!$A:$G,2,0)),0,VLOOKUP($A78&amp;AI$1,'For stats end Y DB'!$A:$G,2,0))</f>
        <v>0</v>
      </c>
      <c r="AJ78">
        <f>IF(ISNA(VLOOKUP($A78&amp;AJ$1,'For stats end Y DB'!$A:$G,2,0)),0,VLOOKUP($A78&amp;AJ$1,'For stats end Y DB'!$A:$G,2,0))</f>
        <v>0</v>
      </c>
      <c r="AK78">
        <f>IF(ISNA(VLOOKUP($A78&amp;AK$1,'For stats end Y DB'!$A:$G,2,0)),0,VLOOKUP($A78&amp;AK$1,'For stats end Y DB'!$A:$G,2,0))</f>
        <v>0</v>
      </c>
      <c r="AL78">
        <f>IF(ISNA(VLOOKUP($A78&amp;AL$1,'For stats end Y DB'!$A:$G,2,0)),0,VLOOKUP($A78&amp;AL$1,'For stats end Y DB'!$A:$G,2,0))</f>
        <v>0</v>
      </c>
      <c r="AM78">
        <f>IF(ISNA(VLOOKUP($A78&amp;AM$1,'For stats end Y DB'!$A:$G,2,0)),0,VLOOKUP($A78&amp;AM$1,'For stats end Y DB'!$A:$G,2,0))</f>
        <v>0</v>
      </c>
      <c r="AN78">
        <f>IF(ISNA(VLOOKUP($A78&amp;AN$1,'For stats end Y DB'!$A:$G,2,0)),0,VLOOKUP($A78&amp;AN$1,'For stats end Y DB'!$A:$G,2,0))</f>
        <v>0</v>
      </c>
      <c r="AP78" t="str">
        <f t="shared" si="8"/>
        <v>Proph@ne</v>
      </c>
      <c r="AQ78">
        <f t="shared" si="9"/>
        <v>5</v>
      </c>
      <c r="AR78">
        <f t="shared" si="9"/>
        <v>3</v>
      </c>
      <c r="AS78">
        <f t="shared" si="9"/>
        <v>3</v>
      </c>
      <c r="AT78" s="9">
        <f t="shared" si="6"/>
        <v>0</v>
      </c>
      <c r="AU78">
        <f t="shared" si="7"/>
        <v>24</v>
      </c>
    </row>
    <row r="79" spans="1:47" x14ac:dyDescent="0.2">
      <c r="A79" s="12" t="s">
        <v>33</v>
      </c>
      <c r="B79">
        <f>IF(ISNA(VLOOKUP($A79&amp;B$1,'For stats end Y DB'!$A:$G,2,0)),0,VLOOKUP($A79&amp;B$1,'For stats end Y DB'!$A:$G,2,0))</f>
        <v>6</v>
      </c>
      <c r="C79">
        <f>IF(ISNA(VLOOKUP($A79&amp;C$1,'For stats end Y DB'!$A:$G,2,0)),0,VLOOKUP($A79&amp;C$1,'For stats end Y DB'!$A:$G,2,0))</f>
        <v>0</v>
      </c>
      <c r="D79">
        <f>IF(ISNA(VLOOKUP($A79&amp;D$1,'For stats end Y DB'!$A:$G,2,0)),0,VLOOKUP($A79&amp;D$1,'For stats end Y DB'!$A:$G,2,0))</f>
        <v>2</v>
      </c>
      <c r="E79">
        <f>IF(ISNA(VLOOKUP($A79&amp;E$1,'For stats end Y DB'!$A:$G,2,0)),0,VLOOKUP($A79&amp;E$1,'For stats end Y DB'!$A:$G,2,0))</f>
        <v>4</v>
      </c>
      <c r="F79">
        <f>IF(ISNA(VLOOKUP($A79&amp;F$1,'For stats end Y DB'!$A:$G,2,0)),0,VLOOKUP($A79&amp;F$1,'For stats end Y DB'!$A:$G,2,0))</f>
        <v>0</v>
      </c>
      <c r="G79">
        <f>IF(ISNA(VLOOKUP($A79&amp;G$1,'For stats end Y DB'!$A:$G,2,0)),0,VLOOKUP($A79&amp;G$1,'For stats end Y DB'!$A:$G,2,0))</f>
        <v>2</v>
      </c>
      <c r="H79">
        <f>IF(ISNA(VLOOKUP($A79&amp;H$1,'For stats end Y DB'!$A:$G,2,0)),0,VLOOKUP($A79&amp;H$1,'For stats end Y DB'!$A:$G,2,0))</f>
        <v>4</v>
      </c>
      <c r="I79">
        <f>IF(ISNA(VLOOKUP($A79&amp;I$1,'For stats end Y DB'!$A:$G,2,0)),0,VLOOKUP($A79&amp;I$1,'For stats end Y DB'!$A:$G,2,0))</f>
        <v>6</v>
      </c>
      <c r="J79">
        <f>IF(ISNA(VLOOKUP($A79&amp;J$1,'For stats end Y DB'!$A:$G,2,0)),0,VLOOKUP($A79&amp;J$1,'For stats end Y DB'!$A:$G,2,0))</f>
        <v>0</v>
      </c>
      <c r="K79">
        <f>IF(ISNA(VLOOKUP($A79&amp;K$1,'For stats end Y DB'!$A:$G,2,0)),0,VLOOKUP($A79&amp;K$1,'For stats end Y DB'!$A:$G,2,0))</f>
        <v>0</v>
      </c>
      <c r="L79">
        <f>IF(ISNA(VLOOKUP($A79&amp;L$1,'For stats end Y DB'!$A:$G,2,0)),0,VLOOKUP($A79&amp;L$1,'For stats end Y DB'!$A:$G,2,0))</f>
        <v>0</v>
      </c>
      <c r="M79">
        <f>IF(ISNA(VLOOKUP($A79&amp;M$1,'For stats end Y DB'!$A:$G,2,0)),0,VLOOKUP($A79&amp;M$1,'For stats end Y DB'!$A:$G,2,0))</f>
        <v>0</v>
      </c>
      <c r="N79">
        <f>IF(ISNA(VLOOKUP($A79&amp;N$1,'For stats end Y DB'!$A:$G,2,0)),0,VLOOKUP($A79&amp;N$1,'For stats end Y DB'!$A:$G,2,0))</f>
        <v>0</v>
      </c>
      <c r="O79">
        <f>IF(ISNA(VLOOKUP($A79&amp;O$1,'For stats end Y DB'!$A:$G,2,0)),0,VLOOKUP($A79&amp;O$1,'For stats end Y DB'!$A:$G,2,0))</f>
        <v>0</v>
      </c>
      <c r="P79">
        <f>IF(ISNA(VLOOKUP($A79&amp;P$1,'For stats end Y DB'!$A:$G,2,0)),0,VLOOKUP($A79&amp;P$1,'For stats end Y DB'!$A:$G,2,0))</f>
        <v>6</v>
      </c>
      <c r="Q79">
        <f>IF(ISNA(VLOOKUP($A79&amp;Q$1,'For stats end Y DB'!$A:$G,2,0)),0,VLOOKUP($A79&amp;Q$1,'For stats end Y DB'!$A:$G,2,0))</f>
        <v>7</v>
      </c>
      <c r="R79">
        <f>IF(ISNA(VLOOKUP($A79&amp;R$1,'For stats end Y DB'!$A:$G,2,0)),0,VLOOKUP($A79&amp;R$1,'For stats end Y DB'!$A:$G,2,0))</f>
        <v>0</v>
      </c>
      <c r="S79">
        <f>IF(ISNA(VLOOKUP($A79&amp;S$1,'For stats end Y DB'!$A:$G,2,0)),0,VLOOKUP($A79&amp;S$1,'For stats end Y DB'!$A:$G,2,0))</f>
        <v>7</v>
      </c>
      <c r="T79">
        <f>IF(ISNA(VLOOKUP($A79&amp;T$1,'For stats end Y DB'!$A:$G,2,0)),0,VLOOKUP($A79&amp;T$1,'For stats end Y DB'!$A:$G,2,0))</f>
        <v>3</v>
      </c>
      <c r="U79">
        <f>IF(ISNA(VLOOKUP($A79&amp;U$1,'For stats end Y DB'!$A:$G,2,0)),0,VLOOKUP($A79&amp;U$1,'For stats end Y DB'!$A:$G,2,0))</f>
        <v>4</v>
      </c>
      <c r="V79">
        <f>IF(ISNA(VLOOKUP($A79&amp;V$1,'For stats end Y DB'!$A:$G,2,0)),0,VLOOKUP($A79&amp;V$1,'For stats end Y DB'!$A:$G,2,0))</f>
        <v>1</v>
      </c>
      <c r="W79">
        <f>IF(ISNA(VLOOKUP($A79&amp;W$1,'For stats end Y DB'!$A:$G,2,0)),0,VLOOKUP($A79&amp;W$1,'For stats end Y DB'!$A:$G,2,0))</f>
        <v>3</v>
      </c>
      <c r="X79">
        <f>IF(ISNA(VLOOKUP($A79&amp;X$1,'For stats end Y DB'!$A:$G,2,0)),0,VLOOKUP($A79&amp;X$1,'For stats end Y DB'!$A:$G,2,0))</f>
        <v>5</v>
      </c>
      <c r="Y79">
        <f>IF(ISNA(VLOOKUP($A79&amp;Y$1,'For stats end Y DB'!$A:$G,2,0)),0,VLOOKUP($A79&amp;Y$1,'For stats end Y DB'!$A:$G,2,0))</f>
        <v>3</v>
      </c>
      <c r="Z79">
        <f>IF(ISNA(VLOOKUP($A79&amp;Z$1,'For stats end Y DB'!$A:$G,2,0)),0,VLOOKUP($A79&amp;Z$1,'For stats end Y DB'!$A:$G,2,0))</f>
        <v>0</v>
      </c>
      <c r="AA79">
        <f>IF(ISNA(VLOOKUP($A79&amp;AA$1,'For stats end Y DB'!$A:$G,2,0)),0,VLOOKUP($A79&amp;AA$1,'For stats end Y DB'!$A:$G,2,0))</f>
        <v>0</v>
      </c>
      <c r="AB79">
        <f>IF(ISNA(VLOOKUP($A79&amp;AB$1,'For stats end Y DB'!$A:$G,2,0)),0,VLOOKUP($A79&amp;AB$1,'For stats end Y DB'!$A:$G,2,0))</f>
        <v>0</v>
      </c>
      <c r="AC79">
        <f>IF(ISNA(VLOOKUP($A79&amp;AC$1,'For stats end Y DB'!$A:$G,2,0)),0,VLOOKUP($A79&amp;AC$1,'For stats end Y DB'!$A:$G,2,0))</f>
        <v>0</v>
      </c>
      <c r="AD79">
        <f>IF(ISNA(VLOOKUP($A79&amp;AD$1,'For stats end Y DB'!$A:$G,2,0)),0,VLOOKUP($A79&amp;AD$1,'For stats end Y DB'!$A:$G,2,0))</f>
        <v>0</v>
      </c>
      <c r="AE79">
        <f>IF(ISNA(VLOOKUP($A79&amp;AE$1,'For stats end Y DB'!$A:$G,2,0)),0,VLOOKUP($A79&amp;AE$1,'For stats end Y DB'!$A:$G,2,0))</f>
        <v>0</v>
      </c>
      <c r="AF79">
        <f>IF(ISNA(VLOOKUP($A79&amp;AF$1,'For stats end Y DB'!$A:$G,2,0)),0,VLOOKUP($A79&amp;AF$1,'For stats end Y DB'!$A:$G,2,0))</f>
        <v>0</v>
      </c>
      <c r="AG79">
        <f>IF(ISNA(VLOOKUP($A79&amp;AG$1,'For stats end Y DB'!$A:$G,2,0)),0,VLOOKUP($A79&amp;AG$1,'For stats end Y DB'!$A:$G,2,0))</f>
        <v>0</v>
      </c>
      <c r="AH79">
        <f>IF(ISNA(VLOOKUP($A79&amp;AH$1,'For stats end Y DB'!$A:$G,2,0)),0,VLOOKUP($A79&amp;AH$1,'For stats end Y DB'!$A:$G,2,0))</f>
        <v>0</v>
      </c>
      <c r="AI79">
        <f>IF(ISNA(VLOOKUP($A79&amp;AI$1,'For stats end Y DB'!$A:$G,2,0)),0,VLOOKUP($A79&amp;AI$1,'For stats end Y DB'!$A:$G,2,0))</f>
        <v>0</v>
      </c>
      <c r="AJ79">
        <f>IF(ISNA(VLOOKUP($A79&amp;AJ$1,'For stats end Y DB'!$A:$G,2,0)),0,VLOOKUP($A79&amp;AJ$1,'For stats end Y DB'!$A:$G,2,0))</f>
        <v>0</v>
      </c>
      <c r="AK79">
        <f>IF(ISNA(VLOOKUP($A79&amp;AK$1,'For stats end Y DB'!$A:$G,2,0)),0,VLOOKUP($A79&amp;AK$1,'For stats end Y DB'!$A:$G,2,0))</f>
        <v>0</v>
      </c>
      <c r="AL79">
        <f>IF(ISNA(VLOOKUP($A79&amp;AL$1,'For stats end Y DB'!$A:$G,2,0)),0,VLOOKUP($A79&amp;AL$1,'For stats end Y DB'!$A:$G,2,0))</f>
        <v>0</v>
      </c>
      <c r="AM79">
        <f>IF(ISNA(VLOOKUP($A79&amp;AM$1,'For stats end Y DB'!$A:$G,2,0)),0,VLOOKUP($A79&amp;AM$1,'For stats end Y DB'!$A:$G,2,0))</f>
        <v>0</v>
      </c>
      <c r="AN79">
        <f>IF(ISNA(VLOOKUP($A79&amp;AN$1,'For stats end Y DB'!$A:$G,2,0)),0,VLOOKUP($A79&amp;AN$1,'For stats end Y DB'!$A:$G,2,0))</f>
        <v>0</v>
      </c>
      <c r="AP79" t="str">
        <f t="shared" si="8"/>
        <v>Ptit Savoyard</v>
      </c>
      <c r="AQ79">
        <f t="shared" si="9"/>
        <v>1</v>
      </c>
      <c r="AR79">
        <f t="shared" si="9"/>
        <v>2</v>
      </c>
      <c r="AS79">
        <f t="shared" si="9"/>
        <v>3</v>
      </c>
      <c r="AT79" s="9">
        <f t="shared" si="6"/>
        <v>0</v>
      </c>
      <c r="AU79">
        <f t="shared" si="7"/>
        <v>15</v>
      </c>
    </row>
    <row r="80" spans="1:47" x14ac:dyDescent="0.2">
      <c r="A80" s="12" t="s">
        <v>6</v>
      </c>
      <c r="B80">
        <f>IF(ISNA(VLOOKUP($A80&amp;B$1,'For stats end Y DB'!$A:$G,2,0)),0,VLOOKUP($A80&amp;B$1,'For stats end Y DB'!$A:$G,2,0))</f>
        <v>2</v>
      </c>
      <c r="C80">
        <f>IF(ISNA(VLOOKUP($A80&amp;C$1,'For stats end Y DB'!$A:$G,2,0)),0,VLOOKUP($A80&amp;C$1,'For stats end Y DB'!$A:$G,2,0))</f>
        <v>1</v>
      </c>
      <c r="D80">
        <f>IF(ISNA(VLOOKUP($A80&amp;D$1,'For stats end Y DB'!$A:$G,2,0)),0,VLOOKUP($A80&amp;D$1,'For stats end Y DB'!$A:$G,2,0))</f>
        <v>5</v>
      </c>
      <c r="E80">
        <f>IF(ISNA(VLOOKUP($A80&amp;E$1,'For stats end Y DB'!$A:$G,2,0)),0,VLOOKUP($A80&amp;E$1,'For stats end Y DB'!$A:$G,2,0))</f>
        <v>3</v>
      </c>
      <c r="F80">
        <f>IF(ISNA(VLOOKUP($A80&amp;F$1,'For stats end Y DB'!$A:$G,2,0)),0,VLOOKUP($A80&amp;F$1,'For stats end Y DB'!$A:$G,2,0))</f>
        <v>5</v>
      </c>
      <c r="G80">
        <f>IF(ISNA(VLOOKUP($A80&amp;G$1,'For stats end Y DB'!$A:$G,2,0)),0,VLOOKUP($A80&amp;G$1,'For stats end Y DB'!$A:$G,2,0))</f>
        <v>1</v>
      </c>
      <c r="H80">
        <f>IF(ISNA(VLOOKUP($A80&amp;H$1,'For stats end Y DB'!$A:$G,2,0)),0,VLOOKUP($A80&amp;H$1,'For stats end Y DB'!$A:$G,2,0))</f>
        <v>2</v>
      </c>
      <c r="I80">
        <f>IF(ISNA(VLOOKUP($A80&amp;I$1,'For stats end Y DB'!$A:$G,2,0)),0,VLOOKUP($A80&amp;I$1,'For stats end Y DB'!$A:$G,2,0))</f>
        <v>1</v>
      </c>
      <c r="J80">
        <f>IF(ISNA(VLOOKUP($A80&amp;J$1,'For stats end Y DB'!$A:$G,2,0)),0,VLOOKUP($A80&amp;J$1,'For stats end Y DB'!$A:$G,2,0))</f>
        <v>5</v>
      </c>
      <c r="K80">
        <f>IF(ISNA(VLOOKUP($A80&amp;K$1,'For stats end Y DB'!$A:$G,2,0)),0,VLOOKUP($A80&amp;K$1,'For stats end Y DB'!$A:$G,2,0))</f>
        <v>2</v>
      </c>
      <c r="L80">
        <f>IF(ISNA(VLOOKUP($A80&amp;L$1,'For stats end Y DB'!$A:$G,2,0)),0,VLOOKUP($A80&amp;L$1,'For stats end Y DB'!$A:$G,2,0))</f>
        <v>4</v>
      </c>
      <c r="M80">
        <f>IF(ISNA(VLOOKUP($A80&amp;M$1,'For stats end Y DB'!$A:$G,2,0)),0,VLOOKUP($A80&amp;M$1,'For stats end Y DB'!$A:$G,2,0))</f>
        <v>3</v>
      </c>
      <c r="N80">
        <f>IF(ISNA(VLOOKUP($A80&amp;N$1,'For stats end Y DB'!$A:$G,2,0)),0,VLOOKUP($A80&amp;N$1,'For stats end Y DB'!$A:$G,2,0))</f>
        <v>6</v>
      </c>
      <c r="O80">
        <f>IF(ISNA(VLOOKUP($A80&amp;O$1,'For stats end Y DB'!$A:$G,2,0)),0,VLOOKUP($A80&amp;O$1,'For stats end Y DB'!$A:$G,2,0))</f>
        <v>1</v>
      </c>
      <c r="P80">
        <f>IF(ISNA(VLOOKUP($A80&amp;P$1,'For stats end Y DB'!$A:$G,2,0)),0,VLOOKUP($A80&amp;P$1,'For stats end Y DB'!$A:$G,2,0))</f>
        <v>4</v>
      </c>
      <c r="Q80">
        <f>IF(ISNA(VLOOKUP($A80&amp;Q$1,'For stats end Y DB'!$A:$G,2,0)),0,VLOOKUP($A80&amp;Q$1,'For stats end Y DB'!$A:$G,2,0))</f>
        <v>7</v>
      </c>
      <c r="R80">
        <f>IF(ISNA(VLOOKUP($A80&amp;R$1,'For stats end Y DB'!$A:$G,2,0)),0,VLOOKUP($A80&amp;R$1,'For stats end Y DB'!$A:$G,2,0))</f>
        <v>3</v>
      </c>
      <c r="S80">
        <f>IF(ISNA(VLOOKUP($A80&amp;S$1,'For stats end Y DB'!$A:$G,2,0)),0,VLOOKUP($A80&amp;S$1,'For stats end Y DB'!$A:$G,2,0))</f>
        <v>2</v>
      </c>
      <c r="T80">
        <f>IF(ISNA(VLOOKUP($A80&amp;T$1,'For stats end Y DB'!$A:$G,2,0)),0,VLOOKUP($A80&amp;T$1,'For stats end Y DB'!$A:$G,2,0))</f>
        <v>0</v>
      </c>
      <c r="U80">
        <f>IF(ISNA(VLOOKUP($A80&amp;U$1,'For stats end Y DB'!$A:$G,2,0)),0,VLOOKUP($A80&amp;U$1,'For stats end Y DB'!$A:$G,2,0))</f>
        <v>4</v>
      </c>
      <c r="V80">
        <f>IF(ISNA(VLOOKUP($A80&amp;V$1,'For stats end Y DB'!$A:$G,2,0)),0,VLOOKUP($A80&amp;V$1,'For stats end Y DB'!$A:$G,2,0))</f>
        <v>3</v>
      </c>
      <c r="W80">
        <f>IF(ISNA(VLOOKUP($A80&amp;W$1,'For stats end Y DB'!$A:$G,2,0)),0,VLOOKUP($A80&amp;W$1,'For stats end Y DB'!$A:$G,2,0))</f>
        <v>5</v>
      </c>
      <c r="X80">
        <f>IF(ISNA(VLOOKUP($A80&amp;X$1,'For stats end Y DB'!$A:$G,2,0)),0,VLOOKUP($A80&amp;X$1,'For stats end Y DB'!$A:$G,2,0))</f>
        <v>1</v>
      </c>
      <c r="Y80">
        <f>IF(ISNA(VLOOKUP($A80&amp;Y$1,'For stats end Y DB'!$A:$G,2,0)),0,VLOOKUP($A80&amp;Y$1,'For stats end Y DB'!$A:$G,2,0))</f>
        <v>4</v>
      </c>
      <c r="Z80">
        <f>IF(ISNA(VLOOKUP($A80&amp;Z$1,'For stats end Y DB'!$A:$G,2,0)),0,VLOOKUP($A80&amp;Z$1,'For stats end Y DB'!$A:$G,2,0))</f>
        <v>6</v>
      </c>
      <c r="AA80">
        <f>IF(ISNA(VLOOKUP($A80&amp;AA$1,'For stats end Y DB'!$A:$G,2,0)),0,VLOOKUP($A80&amp;AA$1,'For stats end Y DB'!$A:$G,2,0))</f>
        <v>5</v>
      </c>
      <c r="AB80">
        <f>IF(ISNA(VLOOKUP($A80&amp;AB$1,'For stats end Y DB'!$A:$G,2,0)),0,VLOOKUP($A80&amp;AB$1,'For stats end Y DB'!$A:$G,2,0))</f>
        <v>3</v>
      </c>
      <c r="AC80">
        <f>IF(ISNA(VLOOKUP($A80&amp;AC$1,'For stats end Y DB'!$A:$G,2,0)),0,VLOOKUP($A80&amp;AC$1,'For stats end Y DB'!$A:$G,2,0))</f>
        <v>2</v>
      </c>
      <c r="AD80">
        <f>IF(ISNA(VLOOKUP($A80&amp;AD$1,'For stats end Y DB'!$A:$G,2,0)),0,VLOOKUP($A80&amp;AD$1,'For stats end Y DB'!$A:$G,2,0))</f>
        <v>3</v>
      </c>
      <c r="AE80">
        <f>IF(ISNA(VLOOKUP($A80&amp;AE$1,'For stats end Y DB'!$A:$G,2,0)),0,VLOOKUP($A80&amp;AE$1,'For stats end Y DB'!$A:$G,2,0))</f>
        <v>4</v>
      </c>
      <c r="AF80">
        <f>IF(ISNA(VLOOKUP($A80&amp;AF$1,'For stats end Y DB'!$A:$G,2,0)),0,VLOOKUP($A80&amp;AF$1,'For stats end Y DB'!$A:$G,2,0))</f>
        <v>1</v>
      </c>
      <c r="AG80">
        <f>IF(ISNA(VLOOKUP($A80&amp;AG$1,'For stats end Y DB'!$A:$G,2,0)),0,VLOOKUP($A80&amp;AG$1,'For stats end Y DB'!$A:$G,2,0))</f>
        <v>3</v>
      </c>
      <c r="AH80">
        <f>IF(ISNA(VLOOKUP($A80&amp;AH$1,'For stats end Y DB'!$A:$G,2,0)),0,VLOOKUP($A80&amp;AH$1,'For stats end Y DB'!$A:$G,2,0))</f>
        <v>5</v>
      </c>
      <c r="AI80">
        <f>IF(ISNA(VLOOKUP($A80&amp;AI$1,'For stats end Y DB'!$A:$G,2,0)),0,VLOOKUP($A80&amp;AI$1,'For stats end Y DB'!$A:$G,2,0))</f>
        <v>0</v>
      </c>
      <c r="AJ80">
        <f>IF(ISNA(VLOOKUP($A80&amp;AJ$1,'For stats end Y DB'!$A:$G,2,0)),0,VLOOKUP($A80&amp;AJ$1,'For stats end Y DB'!$A:$G,2,0))</f>
        <v>0</v>
      </c>
      <c r="AK80">
        <f>IF(ISNA(VLOOKUP($A80&amp;AK$1,'For stats end Y DB'!$A:$G,2,0)),0,VLOOKUP($A80&amp;AK$1,'For stats end Y DB'!$A:$G,2,0))</f>
        <v>0</v>
      </c>
      <c r="AL80">
        <f>IF(ISNA(VLOOKUP($A80&amp;AL$1,'For stats end Y DB'!$A:$G,2,0)),0,VLOOKUP($A80&amp;AL$1,'For stats end Y DB'!$A:$G,2,0))</f>
        <v>0</v>
      </c>
      <c r="AM80">
        <f>IF(ISNA(VLOOKUP($A80&amp;AM$1,'For stats end Y DB'!$A:$G,2,0)),0,VLOOKUP($A80&amp;AM$1,'For stats end Y DB'!$A:$G,2,0))</f>
        <v>0</v>
      </c>
      <c r="AN80">
        <f>IF(ISNA(VLOOKUP($A80&amp;AN$1,'For stats end Y DB'!$A:$G,2,0)),0,VLOOKUP($A80&amp;AN$1,'For stats end Y DB'!$A:$G,2,0))</f>
        <v>0</v>
      </c>
      <c r="AP80" t="str">
        <f t="shared" si="8"/>
        <v>Pyja</v>
      </c>
      <c r="AQ80">
        <f t="shared" si="9"/>
        <v>6</v>
      </c>
      <c r="AR80">
        <f t="shared" si="9"/>
        <v>5</v>
      </c>
      <c r="AS80">
        <f t="shared" si="9"/>
        <v>7</v>
      </c>
      <c r="AT80" s="9">
        <f t="shared" si="6"/>
        <v>0.54545454545454541</v>
      </c>
      <c r="AU80">
        <f t="shared" si="7"/>
        <v>32</v>
      </c>
    </row>
    <row r="81" spans="1:47" x14ac:dyDescent="0.2">
      <c r="A81" s="12" t="s">
        <v>14</v>
      </c>
      <c r="B81">
        <f>IF(ISNA(VLOOKUP($A81&amp;B$1,'For stats end Y DB'!$A:$G,2,0)),0,VLOOKUP($A81&amp;B$1,'For stats end Y DB'!$A:$G,2,0))</f>
        <v>5</v>
      </c>
      <c r="C81">
        <f>IF(ISNA(VLOOKUP($A81&amp;C$1,'For stats end Y DB'!$A:$G,2,0)),0,VLOOKUP($A81&amp;C$1,'For stats end Y DB'!$A:$G,2,0))</f>
        <v>0</v>
      </c>
      <c r="D81">
        <f>IF(ISNA(VLOOKUP($A81&amp;D$1,'For stats end Y DB'!$A:$G,2,0)),0,VLOOKUP($A81&amp;D$1,'For stats end Y DB'!$A:$G,2,0))</f>
        <v>1</v>
      </c>
      <c r="E81">
        <f>IF(ISNA(VLOOKUP($A81&amp;E$1,'For stats end Y DB'!$A:$G,2,0)),0,VLOOKUP($A81&amp;E$1,'For stats end Y DB'!$A:$G,2,0))</f>
        <v>5</v>
      </c>
      <c r="F81">
        <f>IF(ISNA(VLOOKUP($A81&amp;F$1,'For stats end Y DB'!$A:$G,2,0)),0,VLOOKUP($A81&amp;F$1,'For stats end Y DB'!$A:$G,2,0))</f>
        <v>0</v>
      </c>
      <c r="G81">
        <f>IF(ISNA(VLOOKUP($A81&amp;G$1,'For stats end Y DB'!$A:$G,2,0)),0,VLOOKUP($A81&amp;G$1,'For stats end Y DB'!$A:$G,2,0))</f>
        <v>3</v>
      </c>
      <c r="H81">
        <f>IF(ISNA(VLOOKUP($A81&amp;H$1,'For stats end Y DB'!$A:$G,2,0)),0,VLOOKUP($A81&amp;H$1,'For stats end Y DB'!$A:$G,2,0))</f>
        <v>0</v>
      </c>
      <c r="I81">
        <f>IF(ISNA(VLOOKUP($A81&amp;I$1,'For stats end Y DB'!$A:$G,2,0)),0,VLOOKUP($A81&amp;I$1,'For stats end Y DB'!$A:$G,2,0))</f>
        <v>0</v>
      </c>
      <c r="J81">
        <f>IF(ISNA(VLOOKUP($A81&amp;J$1,'For stats end Y DB'!$A:$G,2,0)),0,VLOOKUP($A81&amp;J$1,'For stats end Y DB'!$A:$G,2,0))</f>
        <v>1</v>
      </c>
      <c r="K81">
        <f>IF(ISNA(VLOOKUP($A81&amp;K$1,'For stats end Y DB'!$A:$G,2,0)),0,VLOOKUP($A81&amp;K$1,'For stats end Y DB'!$A:$G,2,0))</f>
        <v>0</v>
      </c>
      <c r="L81">
        <f>IF(ISNA(VLOOKUP($A81&amp;L$1,'For stats end Y DB'!$A:$G,2,0)),0,VLOOKUP($A81&amp;L$1,'For stats end Y DB'!$A:$G,2,0))</f>
        <v>3</v>
      </c>
      <c r="M81">
        <f>IF(ISNA(VLOOKUP($A81&amp;M$1,'For stats end Y DB'!$A:$G,2,0)),0,VLOOKUP($A81&amp;M$1,'For stats end Y DB'!$A:$G,2,0))</f>
        <v>0</v>
      </c>
      <c r="N81">
        <f>IF(ISNA(VLOOKUP($A81&amp;N$1,'For stats end Y DB'!$A:$G,2,0)),0,VLOOKUP($A81&amp;N$1,'For stats end Y DB'!$A:$G,2,0))</f>
        <v>4</v>
      </c>
      <c r="O81">
        <f>IF(ISNA(VLOOKUP($A81&amp;O$1,'For stats end Y DB'!$A:$G,2,0)),0,VLOOKUP($A81&amp;O$1,'For stats end Y DB'!$A:$G,2,0))</f>
        <v>3</v>
      </c>
      <c r="P81">
        <f>IF(ISNA(VLOOKUP($A81&amp;P$1,'For stats end Y DB'!$A:$G,2,0)),0,VLOOKUP($A81&amp;P$1,'For stats end Y DB'!$A:$G,2,0))</f>
        <v>0</v>
      </c>
      <c r="Q81">
        <f>IF(ISNA(VLOOKUP($A81&amp;Q$1,'For stats end Y DB'!$A:$G,2,0)),0,VLOOKUP($A81&amp;Q$1,'For stats end Y DB'!$A:$G,2,0))</f>
        <v>3</v>
      </c>
      <c r="R81">
        <f>IF(ISNA(VLOOKUP($A81&amp;R$1,'For stats end Y DB'!$A:$G,2,0)),0,VLOOKUP($A81&amp;R$1,'For stats end Y DB'!$A:$G,2,0))</f>
        <v>1</v>
      </c>
      <c r="S81">
        <f>IF(ISNA(VLOOKUP($A81&amp;S$1,'For stats end Y DB'!$A:$G,2,0)),0,VLOOKUP($A81&amp;S$1,'For stats end Y DB'!$A:$G,2,0))</f>
        <v>5</v>
      </c>
      <c r="T81">
        <f>IF(ISNA(VLOOKUP($A81&amp;T$1,'For stats end Y DB'!$A:$G,2,0)),0,VLOOKUP($A81&amp;T$1,'For stats end Y DB'!$A:$G,2,0))</f>
        <v>0</v>
      </c>
      <c r="U81">
        <f>IF(ISNA(VLOOKUP($A81&amp;U$1,'For stats end Y DB'!$A:$G,2,0)),0,VLOOKUP($A81&amp;U$1,'For stats end Y DB'!$A:$G,2,0))</f>
        <v>0</v>
      </c>
      <c r="V81">
        <f>IF(ISNA(VLOOKUP($A81&amp;V$1,'For stats end Y DB'!$A:$G,2,0)),0,VLOOKUP($A81&amp;V$1,'For stats end Y DB'!$A:$G,2,0))</f>
        <v>3</v>
      </c>
      <c r="W81">
        <f>IF(ISNA(VLOOKUP($A81&amp;W$1,'For stats end Y DB'!$A:$G,2,0)),0,VLOOKUP($A81&amp;W$1,'For stats end Y DB'!$A:$G,2,0))</f>
        <v>0</v>
      </c>
      <c r="X81">
        <f>IF(ISNA(VLOOKUP($A81&amp;X$1,'For stats end Y DB'!$A:$G,2,0)),0,VLOOKUP($A81&amp;X$1,'For stats end Y DB'!$A:$G,2,0))</f>
        <v>0</v>
      </c>
      <c r="Y81">
        <f>IF(ISNA(VLOOKUP($A81&amp;Y$1,'For stats end Y DB'!$A:$G,2,0)),0,VLOOKUP($A81&amp;Y$1,'For stats end Y DB'!$A:$G,2,0))</f>
        <v>0</v>
      </c>
      <c r="Z81">
        <f>IF(ISNA(VLOOKUP($A81&amp;Z$1,'For stats end Y DB'!$A:$G,2,0)),0,VLOOKUP($A81&amp;Z$1,'For stats end Y DB'!$A:$G,2,0))</f>
        <v>0</v>
      </c>
      <c r="AA81">
        <f>IF(ISNA(VLOOKUP($A81&amp;AA$1,'For stats end Y DB'!$A:$G,2,0)),0,VLOOKUP($A81&amp;AA$1,'For stats end Y DB'!$A:$G,2,0))</f>
        <v>1</v>
      </c>
      <c r="AB81">
        <f>IF(ISNA(VLOOKUP($A81&amp;AB$1,'For stats end Y DB'!$A:$G,2,0)),0,VLOOKUP($A81&amp;AB$1,'For stats end Y DB'!$A:$G,2,0))</f>
        <v>2</v>
      </c>
      <c r="AC81">
        <f>IF(ISNA(VLOOKUP($A81&amp;AC$1,'For stats end Y DB'!$A:$G,2,0)),0,VLOOKUP($A81&amp;AC$1,'For stats end Y DB'!$A:$G,2,0))</f>
        <v>2</v>
      </c>
      <c r="AD81">
        <f>IF(ISNA(VLOOKUP($A81&amp;AD$1,'For stats end Y DB'!$A:$G,2,0)),0,VLOOKUP($A81&amp;AD$1,'For stats end Y DB'!$A:$G,2,0))</f>
        <v>1</v>
      </c>
      <c r="AE81">
        <f>IF(ISNA(VLOOKUP($A81&amp;AE$1,'For stats end Y DB'!$A:$G,2,0)),0,VLOOKUP($A81&amp;AE$1,'For stats end Y DB'!$A:$G,2,0))</f>
        <v>4</v>
      </c>
      <c r="AF81">
        <f>IF(ISNA(VLOOKUP($A81&amp;AF$1,'For stats end Y DB'!$A:$G,2,0)),0,VLOOKUP($A81&amp;AF$1,'For stats end Y DB'!$A:$G,2,0))</f>
        <v>2</v>
      </c>
      <c r="AG81">
        <f>IF(ISNA(VLOOKUP($A81&amp;AG$1,'For stats end Y DB'!$A:$G,2,0)),0,VLOOKUP($A81&amp;AG$1,'For stats end Y DB'!$A:$G,2,0))</f>
        <v>4</v>
      </c>
      <c r="AH81">
        <f>IF(ISNA(VLOOKUP($A81&amp;AH$1,'For stats end Y DB'!$A:$G,2,0)),0,VLOOKUP($A81&amp;AH$1,'For stats end Y DB'!$A:$G,2,0))</f>
        <v>3</v>
      </c>
      <c r="AI81">
        <f>IF(ISNA(VLOOKUP($A81&amp;AI$1,'For stats end Y DB'!$A:$G,2,0)),0,VLOOKUP($A81&amp;AI$1,'For stats end Y DB'!$A:$G,2,0))</f>
        <v>0</v>
      </c>
      <c r="AJ81">
        <f>IF(ISNA(VLOOKUP($A81&amp;AJ$1,'For stats end Y DB'!$A:$G,2,0)),0,VLOOKUP($A81&amp;AJ$1,'For stats end Y DB'!$A:$G,2,0))</f>
        <v>0</v>
      </c>
      <c r="AK81">
        <f>IF(ISNA(VLOOKUP($A81&amp;AK$1,'For stats end Y DB'!$A:$G,2,0)),0,VLOOKUP($A81&amp;AK$1,'For stats end Y DB'!$A:$G,2,0))</f>
        <v>0</v>
      </c>
      <c r="AL81">
        <f>IF(ISNA(VLOOKUP($A81&amp;AL$1,'For stats end Y DB'!$A:$G,2,0)),0,VLOOKUP($A81&amp;AL$1,'For stats end Y DB'!$A:$G,2,0))</f>
        <v>0</v>
      </c>
      <c r="AM81">
        <f>IF(ISNA(VLOOKUP($A81&amp;AM$1,'For stats end Y DB'!$A:$G,2,0)),0,VLOOKUP($A81&amp;AM$1,'For stats end Y DB'!$A:$G,2,0))</f>
        <v>0</v>
      </c>
      <c r="AN81">
        <f>IF(ISNA(VLOOKUP($A81&amp;AN$1,'For stats end Y DB'!$A:$G,2,0)),0,VLOOKUP($A81&amp;AN$1,'For stats end Y DB'!$A:$G,2,0))</f>
        <v>0</v>
      </c>
      <c r="AP81" t="str">
        <f t="shared" si="8"/>
        <v>Ramm</v>
      </c>
      <c r="AQ81">
        <f t="shared" si="9"/>
        <v>5</v>
      </c>
      <c r="AR81">
        <f t="shared" si="9"/>
        <v>3</v>
      </c>
      <c r="AS81">
        <f t="shared" si="9"/>
        <v>6</v>
      </c>
      <c r="AT81" s="9">
        <f t="shared" si="6"/>
        <v>0</v>
      </c>
      <c r="AU81">
        <f t="shared" si="7"/>
        <v>20</v>
      </c>
    </row>
    <row r="82" spans="1:47" x14ac:dyDescent="0.2">
      <c r="A82" s="12" t="s">
        <v>65</v>
      </c>
      <c r="B82">
        <f>IF(ISNA(VLOOKUP($A82&amp;B$1,'For stats end Y DB'!$A:$G,2,0)),0,VLOOKUP($A82&amp;B$1,'For stats end Y DB'!$A:$G,2,0))</f>
        <v>1</v>
      </c>
      <c r="C82">
        <f>IF(ISNA(VLOOKUP($A82&amp;C$1,'For stats end Y DB'!$A:$G,2,0)),0,VLOOKUP($A82&amp;C$1,'For stats end Y DB'!$A:$G,2,0))</f>
        <v>4</v>
      </c>
      <c r="D82">
        <f>IF(ISNA(VLOOKUP($A82&amp;D$1,'For stats end Y DB'!$A:$G,2,0)),0,VLOOKUP($A82&amp;D$1,'For stats end Y DB'!$A:$G,2,0))</f>
        <v>0</v>
      </c>
      <c r="E82">
        <f>IF(ISNA(VLOOKUP($A82&amp;E$1,'For stats end Y DB'!$A:$G,2,0)),0,VLOOKUP($A82&amp;E$1,'For stats end Y DB'!$A:$G,2,0))</f>
        <v>7</v>
      </c>
      <c r="F82">
        <f>IF(ISNA(VLOOKUP($A82&amp;F$1,'For stats end Y DB'!$A:$G,2,0)),0,VLOOKUP($A82&amp;F$1,'For stats end Y DB'!$A:$G,2,0))</f>
        <v>7</v>
      </c>
      <c r="G82">
        <f>IF(ISNA(VLOOKUP($A82&amp;G$1,'For stats end Y DB'!$A:$G,2,0)),0,VLOOKUP($A82&amp;G$1,'For stats end Y DB'!$A:$G,2,0))</f>
        <v>0</v>
      </c>
      <c r="H82">
        <f>IF(ISNA(VLOOKUP($A82&amp;H$1,'For stats end Y DB'!$A:$G,2,0)),0,VLOOKUP($A82&amp;H$1,'For stats end Y DB'!$A:$G,2,0))</f>
        <v>2</v>
      </c>
      <c r="I82">
        <f>IF(ISNA(VLOOKUP($A82&amp;I$1,'For stats end Y DB'!$A:$G,2,0)),0,VLOOKUP($A82&amp;I$1,'For stats end Y DB'!$A:$G,2,0))</f>
        <v>0</v>
      </c>
      <c r="J82">
        <f>IF(ISNA(VLOOKUP($A82&amp;J$1,'For stats end Y DB'!$A:$G,2,0)),0,VLOOKUP($A82&amp;J$1,'For stats end Y DB'!$A:$G,2,0))</f>
        <v>6</v>
      </c>
      <c r="K82">
        <f>IF(ISNA(VLOOKUP($A82&amp;K$1,'For stats end Y DB'!$A:$G,2,0)),0,VLOOKUP($A82&amp;K$1,'For stats end Y DB'!$A:$G,2,0))</f>
        <v>0</v>
      </c>
      <c r="L82">
        <f>IF(ISNA(VLOOKUP($A82&amp;L$1,'For stats end Y DB'!$A:$G,2,0)),0,VLOOKUP($A82&amp;L$1,'For stats end Y DB'!$A:$G,2,0))</f>
        <v>2</v>
      </c>
      <c r="M82">
        <f>IF(ISNA(VLOOKUP($A82&amp;M$1,'For stats end Y DB'!$A:$G,2,0)),0,VLOOKUP($A82&amp;M$1,'For stats end Y DB'!$A:$G,2,0))</f>
        <v>2</v>
      </c>
      <c r="N82">
        <f>IF(ISNA(VLOOKUP($A82&amp;N$1,'For stats end Y DB'!$A:$G,2,0)),0,VLOOKUP($A82&amp;N$1,'For stats end Y DB'!$A:$G,2,0))</f>
        <v>3</v>
      </c>
      <c r="O82">
        <f>IF(ISNA(VLOOKUP($A82&amp;O$1,'For stats end Y DB'!$A:$G,2,0)),0,VLOOKUP($A82&amp;O$1,'For stats end Y DB'!$A:$G,2,0))</f>
        <v>7</v>
      </c>
      <c r="P82">
        <f>IF(ISNA(VLOOKUP($A82&amp;P$1,'For stats end Y DB'!$A:$G,2,0)),0,VLOOKUP($A82&amp;P$1,'For stats end Y DB'!$A:$G,2,0))</f>
        <v>0</v>
      </c>
      <c r="Q82">
        <f>IF(ISNA(VLOOKUP($A82&amp;Q$1,'For stats end Y DB'!$A:$G,2,0)),0,VLOOKUP($A82&amp;Q$1,'For stats end Y DB'!$A:$G,2,0))</f>
        <v>0</v>
      </c>
      <c r="R82">
        <f>IF(ISNA(VLOOKUP($A82&amp;R$1,'For stats end Y DB'!$A:$G,2,0)),0,VLOOKUP($A82&amp;R$1,'For stats end Y DB'!$A:$G,2,0))</f>
        <v>7</v>
      </c>
      <c r="S82">
        <f>IF(ISNA(VLOOKUP($A82&amp;S$1,'For stats end Y DB'!$A:$G,2,0)),0,VLOOKUP($A82&amp;S$1,'For stats end Y DB'!$A:$G,2,0))</f>
        <v>0</v>
      </c>
      <c r="T82">
        <f>IF(ISNA(VLOOKUP($A82&amp;T$1,'For stats end Y DB'!$A:$G,2,0)),0,VLOOKUP($A82&amp;T$1,'For stats end Y DB'!$A:$G,2,0))</f>
        <v>1</v>
      </c>
      <c r="U82">
        <f>IF(ISNA(VLOOKUP($A82&amp;U$1,'For stats end Y DB'!$A:$G,2,0)),0,VLOOKUP($A82&amp;U$1,'For stats end Y DB'!$A:$G,2,0))</f>
        <v>4</v>
      </c>
      <c r="V82">
        <f>IF(ISNA(VLOOKUP($A82&amp;V$1,'For stats end Y DB'!$A:$G,2,0)),0,VLOOKUP($A82&amp;V$1,'For stats end Y DB'!$A:$G,2,0))</f>
        <v>5</v>
      </c>
      <c r="W82">
        <f>IF(ISNA(VLOOKUP($A82&amp;W$1,'For stats end Y DB'!$A:$G,2,0)),0,VLOOKUP($A82&amp;W$1,'For stats end Y DB'!$A:$G,2,0))</f>
        <v>0</v>
      </c>
      <c r="X82">
        <f>IF(ISNA(VLOOKUP($A82&amp;X$1,'For stats end Y DB'!$A:$G,2,0)),0,VLOOKUP($A82&amp;X$1,'For stats end Y DB'!$A:$G,2,0))</f>
        <v>0</v>
      </c>
      <c r="Y82">
        <f>IF(ISNA(VLOOKUP($A82&amp;Y$1,'For stats end Y DB'!$A:$G,2,0)),0,VLOOKUP($A82&amp;Y$1,'For stats end Y DB'!$A:$G,2,0))</f>
        <v>6</v>
      </c>
      <c r="Z82">
        <f>IF(ISNA(VLOOKUP($A82&amp;Z$1,'For stats end Y DB'!$A:$G,2,0)),0,VLOOKUP($A82&amp;Z$1,'For stats end Y DB'!$A:$G,2,0))</f>
        <v>6</v>
      </c>
      <c r="AA82">
        <f>IF(ISNA(VLOOKUP($A82&amp;AA$1,'For stats end Y DB'!$A:$G,2,0)),0,VLOOKUP($A82&amp;AA$1,'For stats end Y DB'!$A:$G,2,0))</f>
        <v>0</v>
      </c>
      <c r="AB82">
        <f>IF(ISNA(VLOOKUP($A82&amp;AB$1,'For stats end Y DB'!$A:$G,2,0)),0,VLOOKUP($A82&amp;AB$1,'For stats end Y DB'!$A:$G,2,0))</f>
        <v>5</v>
      </c>
      <c r="AC82">
        <f>IF(ISNA(VLOOKUP($A82&amp;AC$1,'For stats end Y DB'!$A:$G,2,0)),0,VLOOKUP($A82&amp;AC$1,'For stats end Y DB'!$A:$G,2,0))</f>
        <v>6</v>
      </c>
      <c r="AD82">
        <f>IF(ISNA(VLOOKUP($A82&amp;AD$1,'For stats end Y DB'!$A:$G,2,0)),0,VLOOKUP($A82&amp;AD$1,'For stats end Y DB'!$A:$G,2,0))</f>
        <v>4</v>
      </c>
      <c r="AE82">
        <f>IF(ISNA(VLOOKUP($A82&amp;AE$1,'For stats end Y DB'!$A:$G,2,0)),0,VLOOKUP($A82&amp;AE$1,'For stats end Y DB'!$A:$G,2,0))</f>
        <v>5</v>
      </c>
      <c r="AF82">
        <f>IF(ISNA(VLOOKUP($A82&amp;AF$1,'For stats end Y DB'!$A:$G,2,0)),0,VLOOKUP($A82&amp;AF$1,'For stats end Y DB'!$A:$G,2,0))</f>
        <v>5</v>
      </c>
      <c r="AG82">
        <f>IF(ISNA(VLOOKUP($A82&amp;AG$1,'For stats end Y DB'!$A:$G,2,0)),0,VLOOKUP($A82&amp;AG$1,'For stats end Y DB'!$A:$G,2,0))</f>
        <v>5</v>
      </c>
      <c r="AH82">
        <f>IF(ISNA(VLOOKUP($A82&amp;AH$1,'For stats end Y DB'!$A:$G,2,0)),0,VLOOKUP($A82&amp;AH$1,'For stats end Y DB'!$A:$G,2,0))</f>
        <v>1</v>
      </c>
      <c r="AI82">
        <f>IF(ISNA(VLOOKUP($A82&amp;AI$1,'For stats end Y DB'!$A:$G,2,0)),0,VLOOKUP($A82&amp;AI$1,'For stats end Y DB'!$A:$G,2,0))</f>
        <v>0</v>
      </c>
      <c r="AJ82">
        <f>IF(ISNA(VLOOKUP($A82&amp;AJ$1,'For stats end Y DB'!$A:$G,2,0)),0,VLOOKUP($A82&amp;AJ$1,'For stats end Y DB'!$A:$G,2,0))</f>
        <v>0</v>
      </c>
      <c r="AK82">
        <f>IF(ISNA(VLOOKUP($A82&amp;AK$1,'For stats end Y DB'!$A:$G,2,0)),0,VLOOKUP($A82&amp;AK$1,'For stats end Y DB'!$A:$G,2,0))</f>
        <v>0</v>
      </c>
      <c r="AL82">
        <f>IF(ISNA(VLOOKUP($A82&amp;AL$1,'For stats end Y DB'!$A:$G,2,0)),0,VLOOKUP($A82&amp;AL$1,'For stats end Y DB'!$A:$G,2,0))</f>
        <v>0</v>
      </c>
      <c r="AM82">
        <f>IF(ISNA(VLOOKUP($A82&amp;AM$1,'For stats end Y DB'!$A:$G,2,0)),0,VLOOKUP($A82&amp;AM$1,'For stats end Y DB'!$A:$G,2,0))</f>
        <v>0</v>
      </c>
      <c r="AN82">
        <f>IF(ISNA(VLOOKUP($A82&amp;AN$1,'For stats end Y DB'!$A:$G,2,0)),0,VLOOKUP($A82&amp;AN$1,'For stats end Y DB'!$A:$G,2,0))</f>
        <v>0</v>
      </c>
      <c r="AP82" t="str">
        <f t="shared" si="8"/>
        <v>Ripolin</v>
      </c>
      <c r="AQ82">
        <f t="shared" si="9"/>
        <v>3</v>
      </c>
      <c r="AR82">
        <f t="shared" si="9"/>
        <v>3</v>
      </c>
      <c r="AS82">
        <f t="shared" si="9"/>
        <v>1</v>
      </c>
      <c r="AT82" s="9">
        <f t="shared" si="6"/>
        <v>0</v>
      </c>
      <c r="AU82">
        <f t="shared" si="7"/>
        <v>23</v>
      </c>
    </row>
    <row r="83" spans="1:47" x14ac:dyDescent="0.2">
      <c r="A83" s="12" t="s">
        <v>261</v>
      </c>
      <c r="B83">
        <f>IF(ISNA(VLOOKUP($A83&amp;B$1,'For stats end Y DB'!$A:$G,2,0)),0,VLOOKUP($A83&amp;B$1,'For stats end Y DB'!$A:$G,2,0))</f>
        <v>0</v>
      </c>
      <c r="C83">
        <f>IF(ISNA(VLOOKUP($A83&amp;C$1,'For stats end Y DB'!$A:$G,2,0)),0,VLOOKUP($A83&amp;C$1,'For stats end Y DB'!$A:$G,2,0))</f>
        <v>0</v>
      </c>
      <c r="D83">
        <f>IF(ISNA(VLOOKUP($A83&amp;D$1,'For stats end Y DB'!$A:$G,2,0)),0,VLOOKUP($A83&amp;D$1,'For stats end Y DB'!$A:$G,2,0))</f>
        <v>0</v>
      </c>
      <c r="E83">
        <f>IF(ISNA(VLOOKUP($A83&amp;E$1,'For stats end Y DB'!$A:$G,2,0)),0,VLOOKUP($A83&amp;E$1,'For stats end Y DB'!$A:$G,2,0))</f>
        <v>5</v>
      </c>
      <c r="F83">
        <f>IF(ISNA(VLOOKUP($A83&amp;F$1,'For stats end Y DB'!$A:$G,2,0)),0,VLOOKUP($A83&amp;F$1,'For stats end Y DB'!$A:$G,2,0))</f>
        <v>4</v>
      </c>
      <c r="G83">
        <f>IF(ISNA(VLOOKUP($A83&amp;G$1,'For stats end Y DB'!$A:$G,2,0)),0,VLOOKUP($A83&amp;G$1,'For stats end Y DB'!$A:$G,2,0))</f>
        <v>0</v>
      </c>
      <c r="H83">
        <f>IF(ISNA(VLOOKUP($A83&amp;H$1,'For stats end Y DB'!$A:$G,2,0)),0,VLOOKUP($A83&amp;H$1,'For stats end Y DB'!$A:$G,2,0))</f>
        <v>0</v>
      </c>
      <c r="I83">
        <f>IF(ISNA(VLOOKUP($A83&amp;I$1,'For stats end Y DB'!$A:$G,2,0)),0,VLOOKUP($A83&amp;I$1,'For stats end Y DB'!$A:$G,2,0))</f>
        <v>0</v>
      </c>
      <c r="J83">
        <f>IF(ISNA(VLOOKUP($A83&amp;J$1,'For stats end Y DB'!$A:$G,2,0)),0,VLOOKUP($A83&amp;J$1,'For stats end Y DB'!$A:$G,2,0))</f>
        <v>0</v>
      </c>
      <c r="K83">
        <f>IF(ISNA(VLOOKUP($A83&amp;K$1,'For stats end Y DB'!$A:$G,2,0)),0,VLOOKUP($A83&amp;K$1,'For stats end Y DB'!$A:$G,2,0))</f>
        <v>0</v>
      </c>
      <c r="L83">
        <f>IF(ISNA(VLOOKUP($A83&amp;L$1,'For stats end Y DB'!$A:$G,2,0)),0,VLOOKUP($A83&amp;L$1,'For stats end Y DB'!$A:$G,2,0))</f>
        <v>0</v>
      </c>
      <c r="M83">
        <f>IF(ISNA(VLOOKUP($A83&amp;M$1,'For stats end Y DB'!$A:$G,2,0)),0,VLOOKUP($A83&amp;M$1,'For stats end Y DB'!$A:$G,2,0))</f>
        <v>0</v>
      </c>
      <c r="N83">
        <f>IF(ISNA(VLOOKUP($A83&amp;N$1,'For stats end Y DB'!$A:$G,2,0)),0,VLOOKUP($A83&amp;N$1,'For stats end Y DB'!$A:$G,2,0))</f>
        <v>0</v>
      </c>
      <c r="O83">
        <f>IF(ISNA(VLOOKUP($A83&amp;O$1,'For stats end Y DB'!$A:$G,2,0)),0,VLOOKUP($A83&amp;O$1,'For stats end Y DB'!$A:$G,2,0))</f>
        <v>0</v>
      </c>
      <c r="P83">
        <f>IF(ISNA(VLOOKUP($A83&amp;P$1,'For stats end Y DB'!$A:$G,2,0)),0,VLOOKUP($A83&amp;P$1,'For stats end Y DB'!$A:$G,2,0))</f>
        <v>0</v>
      </c>
      <c r="Q83">
        <f>IF(ISNA(VLOOKUP($A83&amp;Q$1,'For stats end Y DB'!$A:$G,2,0)),0,VLOOKUP($A83&amp;Q$1,'For stats end Y DB'!$A:$G,2,0))</f>
        <v>0</v>
      </c>
      <c r="R83">
        <f>IF(ISNA(VLOOKUP($A83&amp;R$1,'For stats end Y DB'!$A:$G,2,0)),0,VLOOKUP($A83&amp;R$1,'For stats end Y DB'!$A:$G,2,0))</f>
        <v>0</v>
      </c>
      <c r="S83">
        <f>IF(ISNA(VLOOKUP($A83&amp;S$1,'For stats end Y DB'!$A:$G,2,0)),0,VLOOKUP($A83&amp;S$1,'For stats end Y DB'!$A:$G,2,0))</f>
        <v>0</v>
      </c>
      <c r="T83">
        <f>IF(ISNA(VLOOKUP($A83&amp;T$1,'For stats end Y DB'!$A:$G,2,0)),0,VLOOKUP($A83&amp;T$1,'For stats end Y DB'!$A:$G,2,0))</f>
        <v>0</v>
      </c>
      <c r="U83">
        <f>IF(ISNA(VLOOKUP($A83&amp;U$1,'For stats end Y DB'!$A:$G,2,0)),0,VLOOKUP($A83&amp;U$1,'For stats end Y DB'!$A:$G,2,0))</f>
        <v>0</v>
      </c>
      <c r="V83">
        <f>IF(ISNA(VLOOKUP($A83&amp;V$1,'For stats end Y DB'!$A:$G,2,0)),0,VLOOKUP($A83&amp;V$1,'For stats end Y DB'!$A:$G,2,0))</f>
        <v>0</v>
      </c>
      <c r="W83">
        <f>IF(ISNA(VLOOKUP($A83&amp;W$1,'For stats end Y DB'!$A:$G,2,0)),0,VLOOKUP($A83&amp;W$1,'For stats end Y DB'!$A:$G,2,0))</f>
        <v>0</v>
      </c>
      <c r="X83">
        <f>IF(ISNA(VLOOKUP($A83&amp;X$1,'For stats end Y DB'!$A:$G,2,0)),0,VLOOKUP($A83&amp;X$1,'For stats end Y DB'!$A:$G,2,0))</f>
        <v>0</v>
      </c>
      <c r="Y83">
        <f>IF(ISNA(VLOOKUP($A83&amp;Y$1,'For stats end Y DB'!$A:$G,2,0)),0,VLOOKUP($A83&amp;Y$1,'For stats end Y DB'!$A:$G,2,0))</f>
        <v>0</v>
      </c>
      <c r="Z83">
        <f>IF(ISNA(VLOOKUP($A83&amp;Z$1,'For stats end Y DB'!$A:$G,2,0)),0,VLOOKUP($A83&amp;Z$1,'For stats end Y DB'!$A:$G,2,0))</f>
        <v>0</v>
      </c>
      <c r="AA83">
        <f>IF(ISNA(VLOOKUP($A83&amp;AA$1,'For stats end Y DB'!$A:$G,2,0)),0,VLOOKUP($A83&amp;AA$1,'For stats end Y DB'!$A:$G,2,0))</f>
        <v>2</v>
      </c>
      <c r="AB83">
        <f>IF(ISNA(VLOOKUP($A83&amp;AB$1,'For stats end Y DB'!$A:$G,2,0)),0,VLOOKUP($A83&amp;AB$1,'For stats end Y DB'!$A:$G,2,0))</f>
        <v>0</v>
      </c>
      <c r="AC83">
        <f>IF(ISNA(VLOOKUP($A83&amp;AC$1,'For stats end Y DB'!$A:$G,2,0)),0,VLOOKUP($A83&amp;AC$1,'For stats end Y DB'!$A:$G,2,0))</f>
        <v>0</v>
      </c>
      <c r="AD83">
        <f>IF(ISNA(VLOOKUP($A83&amp;AD$1,'For stats end Y DB'!$A:$G,2,0)),0,VLOOKUP($A83&amp;AD$1,'For stats end Y DB'!$A:$G,2,0))</f>
        <v>0</v>
      </c>
      <c r="AE83">
        <f>IF(ISNA(VLOOKUP($A83&amp;AE$1,'For stats end Y DB'!$A:$G,2,0)),0,VLOOKUP($A83&amp;AE$1,'For stats end Y DB'!$A:$G,2,0))</f>
        <v>0</v>
      </c>
      <c r="AF83">
        <f>IF(ISNA(VLOOKUP($A83&amp;AF$1,'For stats end Y DB'!$A:$G,2,0)),0,VLOOKUP($A83&amp;AF$1,'For stats end Y DB'!$A:$G,2,0))</f>
        <v>0</v>
      </c>
      <c r="AG83">
        <f>IF(ISNA(VLOOKUP($A83&amp;AG$1,'For stats end Y DB'!$A:$G,2,0)),0,VLOOKUP($A83&amp;AG$1,'For stats end Y DB'!$A:$G,2,0))</f>
        <v>0</v>
      </c>
      <c r="AH83">
        <f>IF(ISNA(VLOOKUP($A83&amp;AH$1,'For stats end Y DB'!$A:$G,2,0)),0,VLOOKUP($A83&amp;AH$1,'For stats end Y DB'!$A:$G,2,0))</f>
        <v>0</v>
      </c>
      <c r="AI83">
        <f>IF(ISNA(VLOOKUP($A83&amp;AI$1,'For stats end Y DB'!$A:$G,2,0)),0,VLOOKUP($A83&amp;AI$1,'For stats end Y DB'!$A:$G,2,0))</f>
        <v>0</v>
      </c>
      <c r="AJ83">
        <f>IF(ISNA(VLOOKUP($A83&amp;AJ$1,'For stats end Y DB'!$A:$G,2,0)),0,VLOOKUP($A83&amp;AJ$1,'For stats end Y DB'!$A:$G,2,0))</f>
        <v>0</v>
      </c>
      <c r="AK83">
        <f>IF(ISNA(VLOOKUP($A83&amp;AK$1,'For stats end Y DB'!$A:$G,2,0)),0,VLOOKUP($A83&amp;AK$1,'For stats end Y DB'!$A:$G,2,0))</f>
        <v>0</v>
      </c>
      <c r="AL83">
        <f>IF(ISNA(VLOOKUP($A83&amp;AL$1,'For stats end Y DB'!$A:$G,2,0)),0,VLOOKUP($A83&amp;AL$1,'For stats end Y DB'!$A:$G,2,0))</f>
        <v>0</v>
      </c>
      <c r="AM83">
        <f>IF(ISNA(VLOOKUP($A83&amp;AM$1,'For stats end Y DB'!$A:$G,2,0)),0,VLOOKUP($A83&amp;AM$1,'For stats end Y DB'!$A:$G,2,0))</f>
        <v>0</v>
      </c>
      <c r="AN83">
        <f>IF(ISNA(VLOOKUP($A83&amp;AN$1,'For stats end Y DB'!$A:$G,2,0)),0,VLOOKUP($A83&amp;AN$1,'For stats end Y DB'!$A:$G,2,0))</f>
        <v>0</v>
      </c>
      <c r="AP83" t="str">
        <f t="shared" si="8"/>
        <v>Riviera</v>
      </c>
      <c r="AQ83">
        <f t="shared" si="9"/>
        <v>0</v>
      </c>
      <c r="AR83">
        <f t="shared" si="9"/>
        <v>1</v>
      </c>
      <c r="AS83">
        <f t="shared" si="9"/>
        <v>0</v>
      </c>
      <c r="AT83" s="9">
        <f t="shared" si="6"/>
        <v>0</v>
      </c>
      <c r="AU83">
        <f t="shared" si="7"/>
        <v>3</v>
      </c>
    </row>
    <row r="84" spans="1:47" x14ac:dyDescent="0.2">
      <c r="A84" s="12" t="s">
        <v>508</v>
      </c>
      <c r="B84">
        <f>IF(ISNA(VLOOKUP($A84&amp;B$1,'For stats end Y DB'!$A:$G,2,0)),0,VLOOKUP($A84&amp;B$1,'For stats end Y DB'!$A:$G,2,0))</f>
        <v>0</v>
      </c>
      <c r="C84">
        <f>IF(ISNA(VLOOKUP($A84&amp;C$1,'For stats end Y DB'!$A:$G,2,0)),0,VLOOKUP($A84&amp;C$1,'For stats end Y DB'!$A:$G,2,0))</f>
        <v>0</v>
      </c>
      <c r="D84">
        <f>IF(ISNA(VLOOKUP($A84&amp;D$1,'For stats end Y DB'!$A:$G,2,0)),0,VLOOKUP($A84&amp;D$1,'For stats end Y DB'!$A:$G,2,0))</f>
        <v>4</v>
      </c>
      <c r="E84">
        <f>IF(ISNA(VLOOKUP($A84&amp;E$1,'For stats end Y DB'!$A:$G,2,0)),0,VLOOKUP($A84&amp;E$1,'For stats end Y DB'!$A:$G,2,0))</f>
        <v>6</v>
      </c>
      <c r="F84">
        <f>IF(ISNA(VLOOKUP($A84&amp;F$1,'For stats end Y DB'!$A:$G,2,0)),0,VLOOKUP($A84&amp;F$1,'For stats end Y DB'!$A:$G,2,0))</f>
        <v>0</v>
      </c>
      <c r="G84">
        <f>IF(ISNA(VLOOKUP($A84&amp;G$1,'For stats end Y DB'!$A:$G,2,0)),0,VLOOKUP($A84&amp;G$1,'For stats end Y DB'!$A:$G,2,0))</f>
        <v>0</v>
      </c>
      <c r="H84">
        <f>IF(ISNA(VLOOKUP($A84&amp;H$1,'For stats end Y DB'!$A:$G,2,0)),0,VLOOKUP($A84&amp;H$1,'For stats end Y DB'!$A:$G,2,0))</f>
        <v>4</v>
      </c>
      <c r="I84">
        <f>IF(ISNA(VLOOKUP($A84&amp;I$1,'For stats end Y DB'!$A:$G,2,0)),0,VLOOKUP($A84&amp;I$1,'For stats end Y DB'!$A:$G,2,0))</f>
        <v>4</v>
      </c>
      <c r="J84">
        <f>IF(ISNA(VLOOKUP($A84&amp;J$1,'For stats end Y DB'!$A:$G,2,0)),0,VLOOKUP($A84&amp;J$1,'For stats end Y DB'!$A:$G,2,0))</f>
        <v>4</v>
      </c>
      <c r="K84">
        <f>IF(ISNA(VLOOKUP($A84&amp;K$1,'For stats end Y DB'!$A:$G,2,0)),0,VLOOKUP($A84&amp;K$1,'For stats end Y DB'!$A:$G,2,0))</f>
        <v>4</v>
      </c>
      <c r="L84">
        <f>IF(ISNA(VLOOKUP($A84&amp;L$1,'For stats end Y DB'!$A:$G,2,0)),0,VLOOKUP($A84&amp;L$1,'For stats end Y DB'!$A:$G,2,0))</f>
        <v>0</v>
      </c>
      <c r="M84">
        <f>IF(ISNA(VLOOKUP($A84&amp;M$1,'For stats end Y DB'!$A:$G,2,0)),0,VLOOKUP($A84&amp;M$1,'For stats end Y DB'!$A:$G,2,0))</f>
        <v>6</v>
      </c>
      <c r="N84">
        <f>IF(ISNA(VLOOKUP($A84&amp;N$1,'For stats end Y DB'!$A:$G,2,0)),0,VLOOKUP($A84&amp;N$1,'For stats end Y DB'!$A:$G,2,0))</f>
        <v>0</v>
      </c>
      <c r="O84">
        <f>IF(ISNA(VLOOKUP($A84&amp;O$1,'For stats end Y DB'!$A:$G,2,0)),0,VLOOKUP($A84&amp;O$1,'For stats end Y DB'!$A:$G,2,0))</f>
        <v>4</v>
      </c>
      <c r="P84">
        <f>IF(ISNA(VLOOKUP($A84&amp;P$1,'For stats end Y DB'!$A:$G,2,0)),0,VLOOKUP($A84&amp;P$1,'For stats end Y DB'!$A:$G,2,0))</f>
        <v>3</v>
      </c>
      <c r="Q84">
        <f>IF(ISNA(VLOOKUP($A84&amp;Q$1,'For stats end Y DB'!$A:$G,2,0)),0,VLOOKUP($A84&amp;Q$1,'For stats end Y DB'!$A:$G,2,0))</f>
        <v>0</v>
      </c>
      <c r="R84">
        <f>IF(ISNA(VLOOKUP($A84&amp;R$1,'For stats end Y DB'!$A:$G,2,0)),0,VLOOKUP($A84&amp;R$1,'For stats end Y DB'!$A:$G,2,0))</f>
        <v>0</v>
      </c>
      <c r="S84">
        <f>IF(ISNA(VLOOKUP($A84&amp;S$1,'For stats end Y DB'!$A:$G,2,0)),0,VLOOKUP($A84&amp;S$1,'For stats end Y DB'!$A:$G,2,0))</f>
        <v>0</v>
      </c>
      <c r="T84">
        <f>IF(ISNA(VLOOKUP($A84&amp;T$1,'For stats end Y DB'!$A:$G,2,0)),0,VLOOKUP($A84&amp;T$1,'For stats end Y DB'!$A:$G,2,0))</f>
        <v>0</v>
      </c>
      <c r="U84">
        <f>IF(ISNA(VLOOKUP($A84&amp;U$1,'For stats end Y DB'!$A:$G,2,0)),0,VLOOKUP($A84&amp;U$1,'For stats end Y DB'!$A:$G,2,0))</f>
        <v>0</v>
      </c>
      <c r="V84">
        <f>IF(ISNA(VLOOKUP($A84&amp;V$1,'For stats end Y DB'!$A:$G,2,0)),0,VLOOKUP($A84&amp;V$1,'For stats end Y DB'!$A:$G,2,0))</f>
        <v>0</v>
      </c>
      <c r="W84">
        <f>IF(ISNA(VLOOKUP($A84&amp;W$1,'For stats end Y DB'!$A:$G,2,0)),0,VLOOKUP($A84&amp;W$1,'For stats end Y DB'!$A:$G,2,0))</f>
        <v>5</v>
      </c>
      <c r="X84">
        <f>IF(ISNA(VLOOKUP($A84&amp;X$1,'For stats end Y DB'!$A:$G,2,0)),0,VLOOKUP($A84&amp;X$1,'For stats end Y DB'!$A:$G,2,0))</f>
        <v>6</v>
      </c>
      <c r="Y84">
        <f>IF(ISNA(VLOOKUP($A84&amp;Y$1,'For stats end Y DB'!$A:$G,2,0)),0,VLOOKUP($A84&amp;Y$1,'For stats end Y DB'!$A:$G,2,0))</f>
        <v>3</v>
      </c>
      <c r="Z84">
        <f>IF(ISNA(VLOOKUP($A84&amp;Z$1,'For stats end Y DB'!$A:$G,2,0)),0,VLOOKUP($A84&amp;Z$1,'For stats end Y DB'!$A:$G,2,0))</f>
        <v>0</v>
      </c>
      <c r="AA84">
        <f>IF(ISNA(VLOOKUP($A84&amp;AA$1,'For stats end Y DB'!$A:$G,2,0)),0,VLOOKUP($A84&amp;AA$1,'For stats end Y DB'!$A:$G,2,0))</f>
        <v>0</v>
      </c>
      <c r="AB84">
        <f>IF(ISNA(VLOOKUP($A84&amp;AB$1,'For stats end Y DB'!$A:$G,2,0)),0,VLOOKUP($A84&amp;AB$1,'For stats end Y DB'!$A:$G,2,0))</f>
        <v>0</v>
      </c>
      <c r="AC84">
        <f>IF(ISNA(VLOOKUP($A84&amp;AC$1,'For stats end Y DB'!$A:$G,2,0)),0,VLOOKUP($A84&amp;AC$1,'For stats end Y DB'!$A:$G,2,0))</f>
        <v>0</v>
      </c>
      <c r="AD84">
        <f>IF(ISNA(VLOOKUP($A84&amp;AD$1,'For stats end Y DB'!$A:$G,2,0)),0,VLOOKUP($A84&amp;AD$1,'For stats end Y DB'!$A:$G,2,0))</f>
        <v>5</v>
      </c>
      <c r="AE84">
        <f>IF(ISNA(VLOOKUP($A84&amp;AE$1,'For stats end Y DB'!$A:$G,2,0)),0,VLOOKUP($A84&amp;AE$1,'For stats end Y DB'!$A:$G,2,0))</f>
        <v>0</v>
      </c>
      <c r="AF84">
        <f>IF(ISNA(VLOOKUP($A84&amp;AF$1,'For stats end Y DB'!$A:$G,2,0)),0,VLOOKUP($A84&amp;AF$1,'For stats end Y DB'!$A:$G,2,0))</f>
        <v>3</v>
      </c>
      <c r="AG84">
        <f>IF(ISNA(VLOOKUP($A84&amp;AG$1,'For stats end Y DB'!$A:$G,2,0)),0,VLOOKUP($A84&amp;AG$1,'For stats end Y DB'!$A:$G,2,0))</f>
        <v>0</v>
      </c>
      <c r="AH84">
        <f>IF(ISNA(VLOOKUP($A84&amp;AH$1,'For stats end Y DB'!$A:$G,2,0)),0,VLOOKUP($A84&amp;AH$1,'For stats end Y DB'!$A:$G,2,0))</f>
        <v>0</v>
      </c>
      <c r="AI84">
        <f>IF(ISNA(VLOOKUP($A84&amp;AI$1,'For stats end Y DB'!$A:$G,2,0)),0,VLOOKUP($A84&amp;AI$1,'For stats end Y DB'!$A:$G,2,0))</f>
        <v>0</v>
      </c>
      <c r="AJ84">
        <f>IF(ISNA(VLOOKUP($A84&amp;AJ$1,'For stats end Y DB'!$A:$G,2,0)),0,VLOOKUP($A84&amp;AJ$1,'For stats end Y DB'!$A:$G,2,0))</f>
        <v>0</v>
      </c>
      <c r="AK84">
        <f>IF(ISNA(VLOOKUP($A84&amp;AK$1,'For stats end Y DB'!$A:$G,2,0)),0,VLOOKUP($A84&amp;AK$1,'For stats end Y DB'!$A:$G,2,0))</f>
        <v>0</v>
      </c>
      <c r="AL84">
        <f>IF(ISNA(VLOOKUP($A84&amp;AL$1,'For stats end Y DB'!$A:$G,2,0)),0,VLOOKUP($A84&amp;AL$1,'For stats end Y DB'!$A:$G,2,0))</f>
        <v>0</v>
      </c>
      <c r="AM84">
        <f>IF(ISNA(VLOOKUP($A84&amp;AM$1,'For stats end Y DB'!$A:$G,2,0)),0,VLOOKUP($A84&amp;AM$1,'For stats end Y DB'!$A:$G,2,0))</f>
        <v>0</v>
      </c>
      <c r="AN84">
        <f>IF(ISNA(VLOOKUP($A84&amp;AN$1,'For stats end Y DB'!$A:$G,2,0)),0,VLOOKUP($A84&amp;AN$1,'For stats end Y DB'!$A:$G,2,0))</f>
        <v>0</v>
      </c>
      <c r="AP84" t="str">
        <f t="shared" si="8"/>
        <v>Rmarc</v>
      </c>
      <c r="AQ84">
        <f t="shared" si="9"/>
        <v>0</v>
      </c>
      <c r="AR84">
        <f t="shared" si="9"/>
        <v>0</v>
      </c>
      <c r="AS84">
        <f t="shared" si="9"/>
        <v>3</v>
      </c>
      <c r="AT84" s="9">
        <f t="shared" si="6"/>
        <v>0</v>
      </c>
      <c r="AU84">
        <f t="shared" si="7"/>
        <v>14</v>
      </c>
    </row>
    <row r="85" spans="1:47" x14ac:dyDescent="0.2">
      <c r="A85" s="12" t="s">
        <v>493</v>
      </c>
      <c r="B85">
        <f>IF(ISNA(VLOOKUP($A85&amp;B$1,'For stats end Y DB'!$A:$G,2,0)),0,VLOOKUP($A85&amp;B$1,'For stats end Y DB'!$A:$G,2,0))</f>
        <v>7</v>
      </c>
      <c r="C85">
        <f>IF(ISNA(VLOOKUP($A85&amp;C$1,'For stats end Y DB'!$A:$G,2,0)),0,VLOOKUP($A85&amp;C$1,'For stats end Y DB'!$A:$G,2,0))</f>
        <v>6</v>
      </c>
      <c r="D85">
        <f>IF(ISNA(VLOOKUP($A85&amp;D$1,'For stats end Y DB'!$A:$G,2,0)),0,VLOOKUP($A85&amp;D$1,'For stats end Y DB'!$A:$G,2,0))</f>
        <v>2</v>
      </c>
      <c r="E85">
        <f>IF(ISNA(VLOOKUP($A85&amp;E$1,'For stats end Y DB'!$A:$G,2,0)),0,VLOOKUP($A85&amp;E$1,'For stats end Y DB'!$A:$G,2,0))</f>
        <v>1</v>
      </c>
      <c r="F85">
        <f>IF(ISNA(VLOOKUP($A85&amp;F$1,'For stats end Y DB'!$A:$G,2,0)),0,VLOOKUP($A85&amp;F$1,'For stats end Y DB'!$A:$G,2,0))</f>
        <v>4</v>
      </c>
      <c r="G85">
        <f>IF(ISNA(VLOOKUP($A85&amp;G$1,'For stats end Y DB'!$A:$G,2,0)),0,VLOOKUP($A85&amp;G$1,'For stats end Y DB'!$A:$G,2,0))</f>
        <v>6</v>
      </c>
      <c r="H85">
        <f>IF(ISNA(VLOOKUP($A85&amp;H$1,'For stats end Y DB'!$A:$G,2,0)),0,VLOOKUP($A85&amp;H$1,'For stats end Y DB'!$A:$G,2,0))</f>
        <v>1</v>
      </c>
      <c r="I85">
        <f>IF(ISNA(VLOOKUP($A85&amp;I$1,'For stats end Y DB'!$A:$G,2,0)),0,VLOOKUP($A85&amp;I$1,'For stats end Y DB'!$A:$G,2,0))</f>
        <v>1</v>
      </c>
      <c r="J85">
        <f>IF(ISNA(VLOOKUP($A85&amp;J$1,'For stats end Y DB'!$A:$G,2,0)),0,VLOOKUP($A85&amp;J$1,'For stats end Y DB'!$A:$G,2,0))</f>
        <v>7</v>
      </c>
      <c r="K85">
        <f>IF(ISNA(VLOOKUP($A85&amp;K$1,'For stats end Y DB'!$A:$G,2,0)),0,VLOOKUP($A85&amp;K$1,'For stats end Y DB'!$A:$G,2,0))</f>
        <v>5</v>
      </c>
      <c r="L85">
        <f>IF(ISNA(VLOOKUP($A85&amp;L$1,'For stats end Y DB'!$A:$G,2,0)),0,VLOOKUP($A85&amp;L$1,'For stats end Y DB'!$A:$G,2,0))</f>
        <v>1</v>
      </c>
      <c r="M85">
        <f>IF(ISNA(VLOOKUP($A85&amp;M$1,'For stats end Y DB'!$A:$G,2,0)),0,VLOOKUP($A85&amp;M$1,'For stats end Y DB'!$A:$G,2,0))</f>
        <v>4</v>
      </c>
      <c r="N85">
        <f>IF(ISNA(VLOOKUP($A85&amp;N$1,'For stats end Y DB'!$A:$G,2,0)),0,VLOOKUP($A85&amp;N$1,'For stats end Y DB'!$A:$G,2,0))</f>
        <v>3</v>
      </c>
      <c r="O85">
        <f>IF(ISNA(VLOOKUP($A85&amp;O$1,'For stats end Y DB'!$A:$G,2,0)),0,VLOOKUP($A85&amp;O$1,'For stats end Y DB'!$A:$G,2,0))</f>
        <v>3</v>
      </c>
      <c r="P85">
        <f>IF(ISNA(VLOOKUP($A85&amp;P$1,'For stats end Y DB'!$A:$G,2,0)),0,VLOOKUP($A85&amp;P$1,'For stats end Y DB'!$A:$G,2,0))</f>
        <v>2</v>
      </c>
      <c r="Q85">
        <f>IF(ISNA(VLOOKUP($A85&amp;Q$1,'For stats end Y DB'!$A:$G,2,0)),0,VLOOKUP($A85&amp;Q$1,'For stats end Y DB'!$A:$G,2,0))</f>
        <v>3</v>
      </c>
      <c r="R85">
        <f>IF(ISNA(VLOOKUP($A85&amp;R$1,'For stats end Y DB'!$A:$G,2,0)),0,VLOOKUP($A85&amp;R$1,'For stats end Y DB'!$A:$G,2,0))</f>
        <v>6</v>
      </c>
      <c r="S85">
        <f>IF(ISNA(VLOOKUP($A85&amp;S$1,'For stats end Y DB'!$A:$G,2,0)),0,VLOOKUP($A85&amp;S$1,'For stats end Y DB'!$A:$G,2,0))</f>
        <v>3</v>
      </c>
      <c r="T85">
        <f>IF(ISNA(VLOOKUP($A85&amp;T$1,'For stats end Y DB'!$A:$G,2,0)),0,VLOOKUP($A85&amp;T$1,'For stats end Y DB'!$A:$G,2,0))</f>
        <v>5</v>
      </c>
      <c r="U85">
        <f>IF(ISNA(VLOOKUP($A85&amp;U$1,'For stats end Y DB'!$A:$G,2,0)),0,VLOOKUP($A85&amp;U$1,'For stats end Y DB'!$A:$G,2,0))</f>
        <v>5</v>
      </c>
      <c r="V85">
        <f>IF(ISNA(VLOOKUP($A85&amp;V$1,'For stats end Y DB'!$A:$G,2,0)),0,VLOOKUP($A85&amp;V$1,'For stats end Y DB'!$A:$G,2,0))</f>
        <v>5</v>
      </c>
      <c r="W85">
        <f>IF(ISNA(VLOOKUP($A85&amp;W$1,'For stats end Y DB'!$A:$G,2,0)),0,VLOOKUP($A85&amp;W$1,'For stats end Y DB'!$A:$G,2,0))</f>
        <v>6</v>
      </c>
      <c r="X85">
        <f>IF(ISNA(VLOOKUP($A85&amp;X$1,'For stats end Y DB'!$A:$G,2,0)),0,VLOOKUP($A85&amp;X$1,'For stats end Y DB'!$A:$G,2,0))</f>
        <v>4</v>
      </c>
      <c r="Y85">
        <f>IF(ISNA(VLOOKUP($A85&amp;Y$1,'For stats end Y DB'!$A:$G,2,0)),0,VLOOKUP($A85&amp;Y$1,'For stats end Y DB'!$A:$G,2,0))</f>
        <v>2</v>
      </c>
      <c r="Z85">
        <f>IF(ISNA(VLOOKUP($A85&amp;Z$1,'For stats end Y DB'!$A:$G,2,0)),0,VLOOKUP($A85&amp;Z$1,'For stats end Y DB'!$A:$G,2,0))</f>
        <v>5</v>
      </c>
      <c r="AA85">
        <f>IF(ISNA(VLOOKUP($A85&amp;AA$1,'For stats end Y DB'!$A:$G,2,0)),0,VLOOKUP($A85&amp;AA$1,'For stats end Y DB'!$A:$G,2,0))</f>
        <v>2</v>
      </c>
      <c r="AB85">
        <f>IF(ISNA(VLOOKUP($A85&amp;AB$1,'For stats end Y DB'!$A:$G,2,0)),0,VLOOKUP($A85&amp;AB$1,'For stats end Y DB'!$A:$G,2,0))</f>
        <v>3</v>
      </c>
      <c r="AC85">
        <f>IF(ISNA(VLOOKUP($A85&amp;AC$1,'For stats end Y DB'!$A:$G,2,0)),0,VLOOKUP($A85&amp;AC$1,'For stats end Y DB'!$A:$G,2,0))</f>
        <v>0</v>
      </c>
      <c r="AD85">
        <f>IF(ISNA(VLOOKUP($A85&amp;AD$1,'For stats end Y DB'!$A:$G,2,0)),0,VLOOKUP($A85&amp;AD$1,'For stats end Y DB'!$A:$G,2,0))</f>
        <v>6</v>
      </c>
      <c r="AE85">
        <f>IF(ISNA(VLOOKUP($A85&amp;AE$1,'For stats end Y DB'!$A:$G,2,0)),0,VLOOKUP($A85&amp;AE$1,'For stats end Y DB'!$A:$G,2,0))</f>
        <v>2</v>
      </c>
      <c r="AF85">
        <f>IF(ISNA(VLOOKUP($A85&amp;AF$1,'For stats end Y DB'!$A:$G,2,0)),0,VLOOKUP($A85&amp;AF$1,'For stats end Y DB'!$A:$G,2,0))</f>
        <v>4</v>
      </c>
      <c r="AG85">
        <f>IF(ISNA(VLOOKUP($A85&amp;AG$1,'For stats end Y DB'!$A:$G,2,0)),0,VLOOKUP($A85&amp;AG$1,'For stats end Y DB'!$A:$G,2,0))</f>
        <v>5</v>
      </c>
      <c r="AH85">
        <f>IF(ISNA(VLOOKUP($A85&amp;AH$1,'For stats end Y DB'!$A:$G,2,0)),0,VLOOKUP($A85&amp;AH$1,'For stats end Y DB'!$A:$G,2,0))</f>
        <v>6</v>
      </c>
      <c r="AI85">
        <f>IF(ISNA(VLOOKUP($A85&amp;AI$1,'For stats end Y DB'!$A:$G,2,0)),0,VLOOKUP($A85&amp;AI$1,'For stats end Y DB'!$A:$G,2,0))</f>
        <v>0</v>
      </c>
      <c r="AJ85">
        <f>IF(ISNA(VLOOKUP($A85&amp;AJ$1,'For stats end Y DB'!$A:$G,2,0)),0,VLOOKUP($A85&amp;AJ$1,'For stats end Y DB'!$A:$G,2,0))</f>
        <v>0</v>
      </c>
      <c r="AK85">
        <f>IF(ISNA(VLOOKUP($A85&amp;AK$1,'For stats end Y DB'!$A:$G,2,0)),0,VLOOKUP($A85&amp;AK$1,'For stats end Y DB'!$A:$G,2,0))</f>
        <v>0</v>
      </c>
      <c r="AL85">
        <f>IF(ISNA(VLOOKUP($A85&amp;AL$1,'For stats end Y DB'!$A:$G,2,0)),0,VLOOKUP($A85&amp;AL$1,'For stats end Y DB'!$A:$G,2,0))</f>
        <v>0</v>
      </c>
      <c r="AM85">
        <f>IF(ISNA(VLOOKUP($A85&amp;AM$1,'For stats end Y DB'!$A:$G,2,0)),0,VLOOKUP($A85&amp;AM$1,'For stats end Y DB'!$A:$G,2,0))</f>
        <v>0</v>
      </c>
      <c r="AN85">
        <f>IF(ISNA(VLOOKUP($A85&amp;AN$1,'For stats end Y DB'!$A:$G,2,0)),0,VLOOKUP($A85&amp;AN$1,'For stats end Y DB'!$A:$G,2,0))</f>
        <v>0</v>
      </c>
      <c r="AP85" t="str">
        <f t="shared" si="8"/>
        <v>Rockatou</v>
      </c>
      <c r="AQ85">
        <f t="shared" si="9"/>
        <v>4</v>
      </c>
      <c r="AR85">
        <f t="shared" si="9"/>
        <v>5</v>
      </c>
      <c r="AS85">
        <f t="shared" si="9"/>
        <v>5</v>
      </c>
      <c r="AT85" s="9">
        <f t="shared" si="6"/>
        <v>0</v>
      </c>
      <c r="AU85">
        <f t="shared" si="7"/>
        <v>32</v>
      </c>
    </row>
    <row r="86" spans="1:47" x14ac:dyDescent="0.2">
      <c r="A86" s="12" t="s">
        <v>5</v>
      </c>
      <c r="B86">
        <f>IF(ISNA(VLOOKUP($A86&amp;B$1,'For stats end Y DB'!$A:$G,2,0)),0,VLOOKUP($A86&amp;B$1,'For stats end Y DB'!$A:$G,2,0))</f>
        <v>3</v>
      </c>
      <c r="C86">
        <f>IF(ISNA(VLOOKUP($A86&amp;C$1,'For stats end Y DB'!$A:$G,2,0)),0,VLOOKUP($A86&amp;C$1,'For stats end Y DB'!$A:$G,2,0))</f>
        <v>3</v>
      </c>
      <c r="D86">
        <f>IF(ISNA(VLOOKUP($A86&amp;D$1,'For stats end Y DB'!$A:$G,2,0)),0,VLOOKUP($A86&amp;D$1,'For stats end Y DB'!$A:$G,2,0))</f>
        <v>0</v>
      </c>
      <c r="E86">
        <f>IF(ISNA(VLOOKUP($A86&amp;E$1,'For stats end Y DB'!$A:$G,2,0)),0,VLOOKUP($A86&amp;E$1,'For stats end Y DB'!$A:$G,2,0))</f>
        <v>7</v>
      </c>
      <c r="F86">
        <f>IF(ISNA(VLOOKUP($A86&amp;F$1,'For stats end Y DB'!$A:$G,2,0)),0,VLOOKUP($A86&amp;F$1,'For stats end Y DB'!$A:$G,2,0))</f>
        <v>0</v>
      </c>
      <c r="G86">
        <f>IF(ISNA(VLOOKUP($A86&amp;G$1,'For stats end Y DB'!$A:$G,2,0)),0,VLOOKUP($A86&amp;G$1,'For stats end Y DB'!$A:$G,2,0))</f>
        <v>6</v>
      </c>
      <c r="H86">
        <f>IF(ISNA(VLOOKUP($A86&amp;H$1,'For stats end Y DB'!$A:$G,2,0)),0,VLOOKUP($A86&amp;H$1,'For stats end Y DB'!$A:$G,2,0))</f>
        <v>0</v>
      </c>
      <c r="I86">
        <f>IF(ISNA(VLOOKUP($A86&amp;I$1,'For stats end Y DB'!$A:$G,2,0)),0,VLOOKUP($A86&amp;I$1,'For stats end Y DB'!$A:$G,2,0))</f>
        <v>0</v>
      </c>
      <c r="J86">
        <f>IF(ISNA(VLOOKUP($A86&amp;J$1,'For stats end Y DB'!$A:$G,2,0)),0,VLOOKUP($A86&amp;J$1,'For stats end Y DB'!$A:$G,2,0))</f>
        <v>0</v>
      </c>
      <c r="K86">
        <f>IF(ISNA(VLOOKUP($A86&amp;K$1,'For stats end Y DB'!$A:$G,2,0)),0,VLOOKUP($A86&amp;K$1,'For stats end Y DB'!$A:$G,2,0))</f>
        <v>0</v>
      </c>
      <c r="L86">
        <f>IF(ISNA(VLOOKUP($A86&amp;L$1,'For stats end Y DB'!$A:$G,2,0)),0,VLOOKUP($A86&amp;L$1,'For stats end Y DB'!$A:$G,2,0))</f>
        <v>0</v>
      </c>
      <c r="M86">
        <f>IF(ISNA(VLOOKUP($A86&amp;M$1,'For stats end Y DB'!$A:$G,2,0)),0,VLOOKUP($A86&amp;M$1,'For stats end Y DB'!$A:$G,2,0))</f>
        <v>0</v>
      </c>
      <c r="N86">
        <f>IF(ISNA(VLOOKUP($A86&amp;N$1,'For stats end Y DB'!$A:$G,2,0)),0,VLOOKUP($A86&amp;N$1,'For stats end Y DB'!$A:$G,2,0))</f>
        <v>0</v>
      </c>
      <c r="O86">
        <f>IF(ISNA(VLOOKUP($A86&amp;O$1,'For stats end Y DB'!$A:$G,2,0)),0,VLOOKUP($A86&amp;O$1,'For stats end Y DB'!$A:$G,2,0))</f>
        <v>0</v>
      </c>
      <c r="P86">
        <f>IF(ISNA(VLOOKUP($A86&amp;P$1,'For stats end Y DB'!$A:$G,2,0)),0,VLOOKUP($A86&amp;P$1,'For stats end Y DB'!$A:$G,2,0))</f>
        <v>0</v>
      </c>
      <c r="Q86">
        <f>IF(ISNA(VLOOKUP($A86&amp;Q$1,'For stats end Y DB'!$A:$G,2,0)),0,VLOOKUP($A86&amp;Q$1,'For stats end Y DB'!$A:$G,2,0))</f>
        <v>0</v>
      </c>
      <c r="R86">
        <f>IF(ISNA(VLOOKUP($A86&amp;R$1,'For stats end Y DB'!$A:$G,2,0)),0,VLOOKUP($A86&amp;R$1,'For stats end Y DB'!$A:$G,2,0))</f>
        <v>0</v>
      </c>
      <c r="S86">
        <f>IF(ISNA(VLOOKUP($A86&amp;S$1,'For stats end Y DB'!$A:$G,2,0)),0,VLOOKUP($A86&amp;S$1,'For stats end Y DB'!$A:$G,2,0))</f>
        <v>0</v>
      </c>
      <c r="T86">
        <f>IF(ISNA(VLOOKUP($A86&amp;T$1,'For stats end Y DB'!$A:$G,2,0)),0,VLOOKUP($A86&amp;T$1,'For stats end Y DB'!$A:$G,2,0))</f>
        <v>0</v>
      </c>
      <c r="U86">
        <f>IF(ISNA(VLOOKUP($A86&amp;U$1,'For stats end Y DB'!$A:$G,2,0)),0,VLOOKUP($A86&amp;U$1,'For stats end Y DB'!$A:$G,2,0))</f>
        <v>0</v>
      </c>
      <c r="V86">
        <f>IF(ISNA(VLOOKUP($A86&amp;V$1,'For stats end Y DB'!$A:$G,2,0)),0,VLOOKUP($A86&amp;V$1,'For stats end Y DB'!$A:$G,2,0))</f>
        <v>0</v>
      </c>
      <c r="W86">
        <f>IF(ISNA(VLOOKUP($A86&amp;W$1,'For stats end Y DB'!$A:$G,2,0)),0,VLOOKUP($A86&amp;W$1,'For stats end Y DB'!$A:$G,2,0))</f>
        <v>0</v>
      </c>
      <c r="X86">
        <f>IF(ISNA(VLOOKUP($A86&amp;X$1,'For stats end Y DB'!$A:$G,2,0)),0,VLOOKUP($A86&amp;X$1,'For stats end Y DB'!$A:$G,2,0))</f>
        <v>0</v>
      </c>
      <c r="Y86">
        <f>IF(ISNA(VLOOKUP($A86&amp;Y$1,'For stats end Y DB'!$A:$G,2,0)),0,VLOOKUP($A86&amp;Y$1,'For stats end Y DB'!$A:$G,2,0))</f>
        <v>0</v>
      </c>
      <c r="Z86">
        <f>IF(ISNA(VLOOKUP($A86&amp;Z$1,'For stats end Y DB'!$A:$G,2,0)),0,VLOOKUP($A86&amp;Z$1,'For stats end Y DB'!$A:$G,2,0))</f>
        <v>0</v>
      </c>
      <c r="AA86">
        <f>IF(ISNA(VLOOKUP($A86&amp;AA$1,'For stats end Y DB'!$A:$G,2,0)),0,VLOOKUP($A86&amp;AA$1,'For stats end Y DB'!$A:$G,2,0))</f>
        <v>0</v>
      </c>
      <c r="AB86">
        <f>IF(ISNA(VLOOKUP($A86&amp;AB$1,'For stats end Y DB'!$A:$G,2,0)),0,VLOOKUP($A86&amp;AB$1,'For stats end Y DB'!$A:$G,2,0))</f>
        <v>0</v>
      </c>
      <c r="AC86">
        <f>IF(ISNA(VLOOKUP($A86&amp;AC$1,'For stats end Y DB'!$A:$G,2,0)),0,VLOOKUP($A86&amp;AC$1,'For stats end Y DB'!$A:$G,2,0))</f>
        <v>0</v>
      </c>
      <c r="AD86">
        <f>IF(ISNA(VLOOKUP($A86&amp;AD$1,'For stats end Y DB'!$A:$G,2,0)),0,VLOOKUP($A86&amp;AD$1,'For stats end Y DB'!$A:$G,2,0))</f>
        <v>0</v>
      </c>
      <c r="AE86">
        <f>IF(ISNA(VLOOKUP($A86&amp;AE$1,'For stats end Y DB'!$A:$G,2,0)),0,VLOOKUP($A86&amp;AE$1,'For stats end Y DB'!$A:$G,2,0))</f>
        <v>0</v>
      </c>
      <c r="AF86">
        <f>IF(ISNA(VLOOKUP($A86&amp;AF$1,'For stats end Y DB'!$A:$G,2,0)),0,VLOOKUP($A86&amp;AF$1,'For stats end Y DB'!$A:$G,2,0))</f>
        <v>0</v>
      </c>
      <c r="AG86">
        <f>IF(ISNA(VLOOKUP($A86&amp;AG$1,'For stats end Y DB'!$A:$G,2,0)),0,VLOOKUP($A86&amp;AG$1,'For stats end Y DB'!$A:$G,2,0))</f>
        <v>0</v>
      </c>
      <c r="AH86">
        <f>IF(ISNA(VLOOKUP($A86&amp;AH$1,'For stats end Y DB'!$A:$G,2,0)),0,VLOOKUP($A86&amp;AH$1,'For stats end Y DB'!$A:$G,2,0))</f>
        <v>0</v>
      </c>
      <c r="AI86">
        <f>IF(ISNA(VLOOKUP($A86&amp;AI$1,'For stats end Y DB'!$A:$G,2,0)),0,VLOOKUP($A86&amp;AI$1,'For stats end Y DB'!$A:$G,2,0))</f>
        <v>0</v>
      </c>
      <c r="AJ86">
        <f>IF(ISNA(VLOOKUP($A86&amp;AJ$1,'For stats end Y DB'!$A:$G,2,0)),0,VLOOKUP($A86&amp;AJ$1,'For stats end Y DB'!$A:$G,2,0))</f>
        <v>0</v>
      </c>
      <c r="AK86">
        <f>IF(ISNA(VLOOKUP($A86&amp;AK$1,'For stats end Y DB'!$A:$G,2,0)),0,VLOOKUP($A86&amp;AK$1,'For stats end Y DB'!$A:$G,2,0))</f>
        <v>0</v>
      </c>
      <c r="AL86">
        <f>IF(ISNA(VLOOKUP($A86&amp;AL$1,'For stats end Y DB'!$A:$G,2,0)),0,VLOOKUP($A86&amp;AL$1,'For stats end Y DB'!$A:$G,2,0))</f>
        <v>0</v>
      </c>
      <c r="AM86">
        <f>IF(ISNA(VLOOKUP($A86&amp;AM$1,'For stats end Y DB'!$A:$G,2,0)),0,VLOOKUP($A86&amp;AM$1,'For stats end Y DB'!$A:$G,2,0))</f>
        <v>0</v>
      </c>
      <c r="AN86">
        <f>IF(ISNA(VLOOKUP($A86&amp;AN$1,'For stats end Y DB'!$A:$G,2,0)),0,VLOOKUP($A86&amp;AN$1,'For stats end Y DB'!$A:$G,2,0))</f>
        <v>0</v>
      </c>
      <c r="AP86" t="str">
        <f t="shared" si="8"/>
        <v>Sabwill</v>
      </c>
      <c r="AQ86">
        <f t="shared" si="9"/>
        <v>0</v>
      </c>
      <c r="AR86">
        <f t="shared" si="9"/>
        <v>0</v>
      </c>
      <c r="AS86">
        <f t="shared" si="9"/>
        <v>2</v>
      </c>
      <c r="AT86" s="9">
        <f t="shared" si="6"/>
        <v>0</v>
      </c>
      <c r="AU86">
        <f t="shared" si="7"/>
        <v>4</v>
      </c>
    </row>
    <row r="87" spans="1:47" x14ac:dyDescent="0.2">
      <c r="A87" s="12" t="s">
        <v>479</v>
      </c>
      <c r="B87">
        <f>IF(ISNA(VLOOKUP($A87&amp;B$1,'For stats end Y DB'!$A:$G,2,0)),0,VLOOKUP($A87&amp;B$1,'For stats end Y DB'!$A:$G,2,0))</f>
        <v>3</v>
      </c>
      <c r="C87">
        <f>IF(ISNA(VLOOKUP($A87&amp;C$1,'For stats end Y DB'!$A:$G,2,0)),0,VLOOKUP($A87&amp;C$1,'For stats end Y DB'!$A:$G,2,0))</f>
        <v>1</v>
      </c>
      <c r="D87">
        <f>IF(ISNA(VLOOKUP($A87&amp;D$1,'For stats end Y DB'!$A:$G,2,0)),0,VLOOKUP($A87&amp;D$1,'For stats end Y DB'!$A:$G,2,0))</f>
        <v>3</v>
      </c>
      <c r="E87">
        <f>IF(ISNA(VLOOKUP($A87&amp;E$1,'For stats end Y DB'!$A:$G,2,0)),0,VLOOKUP($A87&amp;E$1,'For stats end Y DB'!$A:$G,2,0))</f>
        <v>2</v>
      </c>
      <c r="F87">
        <f>IF(ISNA(VLOOKUP($A87&amp;F$1,'For stats end Y DB'!$A:$G,2,0)),0,VLOOKUP($A87&amp;F$1,'For stats end Y DB'!$A:$G,2,0))</f>
        <v>4</v>
      </c>
      <c r="G87">
        <f>IF(ISNA(VLOOKUP($A87&amp;G$1,'For stats end Y DB'!$A:$G,2,0)),0,VLOOKUP($A87&amp;G$1,'For stats end Y DB'!$A:$G,2,0))</f>
        <v>3</v>
      </c>
      <c r="H87">
        <f>IF(ISNA(VLOOKUP($A87&amp;H$1,'For stats end Y DB'!$A:$G,2,0)),0,VLOOKUP($A87&amp;H$1,'For stats end Y DB'!$A:$G,2,0))</f>
        <v>4</v>
      </c>
      <c r="I87">
        <f>IF(ISNA(VLOOKUP($A87&amp;I$1,'For stats end Y DB'!$A:$G,2,0)),0,VLOOKUP($A87&amp;I$1,'For stats end Y DB'!$A:$G,2,0))</f>
        <v>5</v>
      </c>
      <c r="J87">
        <f>IF(ISNA(VLOOKUP($A87&amp;J$1,'For stats end Y DB'!$A:$G,2,0)),0,VLOOKUP($A87&amp;J$1,'For stats end Y DB'!$A:$G,2,0))</f>
        <v>4</v>
      </c>
      <c r="K87">
        <f>IF(ISNA(VLOOKUP($A87&amp;K$1,'For stats end Y DB'!$A:$G,2,0)),0,VLOOKUP($A87&amp;K$1,'For stats end Y DB'!$A:$G,2,0))</f>
        <v>5</v>
      </c>
      <c r="L87">
        <f>IF(ISNA(VLOOKUP($A87&amp;L$1,'For stats end Y DB'!$A:$G,2,0)),0,VLOOKUP($A87&amp;L$1,'For stats end Y DB'!$A:$G,2,0))</f>
        <v>0</v>
      </c>
      <c r="M87">
        <f>IF(ISNA(VLOOKUP($A87&amp;M$1,'For stats end Y DB'!$A:$G,2,0)),0,VLOOKUP($A87&amp;M$1,'For stats end Y DB'!$A:$G,2,0))</f>
        <v>0</v>
      </c>
      <c r="N87">
        <f>IF(ISNA(VLOOKUP($A87&amp;N$1,'For stats end Y DB'!$A:$G,2,0)),0,VLOOKUP($A87&amp;N$1,'For stats end Y DB'!$A:$G,2,0))</f>
        <v>3</v>
      </c>
      <c r="O87">
        <f>IF(ISNA(VLOOKUP($A87&amp;O$1,'For stats end Y DB'!$A:$G,2,0)),0,VLOOKUP($A87&amp;O$1,'For stats end Y DB'!$A:$G,2,0))</f>
        <v>0</v>
      </c>
      <c r="P87">
        <f>IF(ISNA(VLOOKUP($A87&amp;P$1,'For stats end Y DB'!$A:$G,2,0)),0,VLOOKUP($A87&amp;P$1,'For stats end Y DB'!$A:$G,2,0))</f>
        <v>4</v>
      </c>
      <c r="Q87">
        <f>IF(ISNA(VLOOKUP($A87&amp;Q$1,'For stats end Y DB'!$A:$G,2,0)),0,VLOOKUP($A87&amp;Q$1,'For stats end Y DB'!$A:$G,2,0))</f>
        <v>0</v>
      </c>
      <c r="R87">
        <f>IF(ISNA(VLOOKUP($A87&amp;R$1,'For stats end Y DB'!$A:$G,2,0)),0,VLOOKUP($A87&amp;R$1,'For stats end Y DB'!$A:$G,2,0))</f>
        <v>0</v>
      </c>
      <c r="S87">
        <f>IF(ISNA(VLOOKUP($A87&amp;S$1,'For stats end Y DB'!$A:$G,2,0)),0,VLOOKUP($A87&amp;S$1,'For stats end Y DB'!$A:$G,2,0))</f>
        <v>2</v>
      </c>
      <c r="T87">
        <f>IF(ISNA(VLOOKUP($A87&amp;T$1,'For stats end Y DB'!$A:$G,2,0)),0,VLOOKUP($A87&amp;T$1,'For stats end Y DB'!$A:$G,2,0))</f>
        <v>4</v>
      </c>
      <c r="U87">
        <f>IF(ISNA(VLOOKUP($A87&amp;U$1,'For stats end Y DB'!$A:$G,2,0)),0,VLOOKUP($A87&amp;U$1,'For stats end Y DB'!$A:$G,2,0))</f>
        <v>2</v>
      </c>
      <c r="V87">
        <f>IF(ISNA(VLOOKUP($A87&amp;V$1,'For stats end Y DB'!$A:$G,2,0)),0,VLOOKUP($A87&amp;V$1,'For stats end Y DB'!$A:$G,2,0))</f>
        <v>4</v>
      </c>
      <c r="W87">
        <f>IF(ISNA(VLOOKUP($A87&amp;W$1,'For stats end Y DB'!$A:$G,2,0)),0,VLOOKUP($A87&amp;W$1,'For stats end Y DB'!$A:$G,2,0))</f>
        <v>6</v>
      </c>
      <c r="X87">
        <f>IF(ISNA(VLOOKUP($A87&amp;X$1,'For stats end Y DB'!$A:$G,2,0)),0,VLOOKUP($A87&amp;X$1,'For stats end Y DB'!$A:$G,2,0))</f>
        <v>3</v>
      </c>
      <c r="Y87">
        <f>IF(ISNA(VLOOKUP($A87&amp;Y$1,'For stats end Y DB'!$A:$G,2,0)),0,VLOOKUP($A87&amp;Y$1,'For stats end Y DB'!$A:$G,2,0))</f>
        <v>6</v>
      </c>
      <c r="Z87">
        <f>IF(ISNA(VLOOKUP($A87&amp;Z$1,'For stats end Y DB'!$A:$G,2,0)),0,VLOOKUP($A87&amp;Z$1,'For stats end Y DB'!$A:$G,2,0))</f>
        <v>7</v>
      </c>
      <c r="AA87">
        <f>IF(ISNA(VLOOKUP($A87&amp;AA$1,'For stats end Y DB'!$A:$G,2,0)),0,VLOOKUP($A87&amp;AA$1,'For stats end Y DB'!$A:$G,2,0))</f>
        <v>2</v>
      </c>
      <c r="AB87">
        <f>IF(ISNA(VLOOKUP($A87&amp;AB$1,'For stats end Y DB'!$A:$G,2,0)),0,VLOOKUP($A87&amp;AB$1,'For stats end Y DB'!$A:$G,2,0))</f>
        <v>5</v>
      </c>
      <c r="AC87">
        <f>IF(ISNA(VLOOKUP($A87&amp;AC$1,'For stats end Y DB'!$A:$G,2,0)),0,VLOOKUP($A87&amp;AC$1,'For stats end Y DB'!$A:$G,2,0))</f>
        <v>4</v>
      </c>
      <c r="AD87">
        <f>IF(ISNA(VLOOKUP($A87&amp;AD$1,'For stats end Y DB'!$A:$G,2,0)),0,VLOOKUP($A87&amp;AD$1,'For stats end Y DB'!$A:$G,2,0))</f>
        <v>2</v>
      </c>
      <c r="AE87">
        <f>IF(ISNA(VLOOKUP($A87&amp;AE$1,'For stats end Y DB'!$A:$G,2,0)),0,VLOOKUP($A87&amp;AE$1,'For stats end Y DB'!$A:$G,2,0))</f>
        <v>7</v>
      </c>
      <c r="AF87">
        <f>IF(ISNA(VLOOKUP($A87&amp;AF$1,'For stats end Y DB'!$A:$G,2,0)),0,VLOOKUP($A87&amp;AF$1,'For stats end Y DB'!$A:$G,2,0))</f>
        <v>5</v>
      </c>
      <c r="AG87">
        <f>IF(ISNA(VLOOKUP($A87&amp;AG$1,'For stats end Y DB'!$A:$G,2,0)),0,VLOOKUP($A87&amp;AG$1,'For stats end Y DB'!$A:$G,2,0))</f>
        <v>3</v>
      </c>
      <c r="AH87">
        <f>IF(ISNA(VLOOKUP($A87&amp;AH$1,'For stats end Y DB'!$A:$G,2,0)),0,VLOOKUP($A87&amp;AH$1,'For stats end Y DB'!$A:$G,2,0))</f>
        <v>5</v>
      </c>
      <c r="AI87">
        <f>IF(ISNA(VLOOKUP($A87&amp;AI$1,'For stats end Y DB'!$A:$G,2,0)),0,VLOOKUP($A87&amp;AI$1,'For stats end Y DB'!$A:$G,2,0))</f>
        <v>0</v>
      </c>
      <c r="AJ87">
        <f>IF(ISNA(VLOOKUP($A87&amp;AJ$1,'For stats end Y DB'!$A:$G,2,0)),0,VLOOKUP($A87&amp;AJ$1,'For stats end Y DB'!$A:$G,2,0))</f>
        <v>0</v>
      </c>
      <c r="AK87">
        <f>IF(ISNA(VLOOKUP($A87&amp;AK$1,'For stats end Y DB'!$A:$G,2,0)),0,VLOOKUP($A87&amp;AK$1,'For stats end Y DB'!$A:$G,2,0))</f>
        <v>0</v>
      </c>
      <c r="AL87">
        <f>IF(ISNA(VLOOKUP($A87&amp;AL$1,'For stats end Y DB'!$A:$G,2,0)),0,VLOOKUP($A87&amp;AL$1,'For stats end Y DB'!$A:$G,2,0))</f>
        <v>0</v>
      </c>
      <c r="AM87">
        <f>IF(ISNA(VLOOKUP($A87&amp;AM$1,'For stats end Y DB'!$A:$G,2,0)),0,VLOOKUP($A87&amp;AM$1,'For stats end Y DB'!$A:$G,2,0))</f>
        <v>0</v>
      </c>
      <c r="AN87">
        <f>IF(ISNA(VLOOKUP($A87&amp;AN$1,'For stats end Y DB'!$A:$G,2,0)),0,VLOOKUP($A87&amp;AN$1,'For stats end Y DB'!$A:$G,2,0))</f>
        <v>0</v>
      </c>
      <c r="AP87" t="str">
        <f t="shared" si="8"/>
        <v>Salender</v>
      </c>
      <c r="AQ87">
        <f t="shared" si="9"/>
        <v>1</v>
      </c>
      <c r="AR87">
        <f t="shared" si="9"/>
        <v>5</v>
      </c>
      <c r="AS87">
        <f t="shared" si="9"/>
        <v>6</v>
      </c>
      <c r="AT87" s="9">
        <f t="shared" si="6"/>
        <v>0</v>
      </c>
      <c r="AU87">
        <f t="shared" si="7"/>
        <v>28</v>
      </c>
    </row>
    <row r="88" spans="1:47" x14ac:dyDescent="0.2">
      <c r="A88" s="12" t="s">
        <v>20</v>
      </c>
      <c r="B88">
        <f>IF(ISNA(VLOOKUP($A88&amp;B$1,'For stats end Y DB'!$A:$G,2,0)),0,VLOOKUP($A88&amp;B$1,'For stats end Y DB'!$A:$G,2,0))</f>
        <v>0</v>
      </c>
      <c r="C88">
        <f>IF(ISNA(VLOOKUP($A88&amp;C$1,'For stats end Y DB'!$A:$G,2,0)),0,VLOOKUP($A88&amp;C$1,'For stats end Y DB'!$A:$G,2,0))</f>
        <v>2</v>
      </c>
      <c r="D88">
        <f>IF(ISNA(VLOOKUP($A88&amp;D$1,'For stats end Y DB'!$A:$G,2,0)),0,VLOOKUP($A88&amp;D$1,'For stats end Y DB'!$A:$G,2,0))</f>
        <v>0</v>
      </c>
      <c r="E88">
        <f>IF(ISNA(VLOOKUP($A88&amp;E$1,'For stats end Y DB'!$A:$G,2,0)),0,VLOOKUP($A88&amp;E$1,'For stats end Y DB'!$A:$G,2,0))</f>
        <v>5</v>
      </c>
      <c r="F88">
        <f>IF(ISNA(VLOOKUP($A88&amp;F$1,'For stats end Y DB'!$A:$G,2,0)),0,VLOOKUP($A88&amp;F$1,'For stats end Y DB'!$A:$G,2,0))</f>
        <v>0</v>
      </c>
      <c r="G88">
        <f>IF(ISNA(VLOOKUP($A88&amp;G$1,'For stats end Y DB'!$A:$G,2,0)),0,VLOOKUP($A88&amp;G$1,'For stats end Y DB'!$A:$G,2,0))</f>
        <v>6</v>
      </c>
      <c r="H88">
        <f>IF(ISNA(VLOOKUP($A88&amp;H$1,'For stats end Y DB'!$A:$G,2,0)),0,VLOOKUP($A88&amp;H$1,'For stats end Y DB'!$A:$G,2,0))</f>
        <v>0</v>
      </c>
      <c r="I88">
        <f>IF(ISNA(VLOOKUP($A88&amp;I$1,'For stats end Y DB'!$A:$G,2,0)),0,VLOOKUP($A88&amp;I$1,'For stats end Y DB'!$A:$G,2,0))</f>
        <v>0</v>
      </c>
      <c r="J88">
        <f>IF(ISNA(VLOOKUP($A88&amp;J$1,'For stats end Y DB'!$A:$G,2,0)),0,VLOOKUP($A88&amp;J$1,'For stats end Y DB'!$A:$G,2,0))</f>
        <v>0</v>
      </c>
      <c r="K88">
        <f>IF(ISNA(VLOOKUP($A88&amp;K$1,'For stats end Y DB'!$A:$G,2,0)),0,VLOOKUP($A88&amp;K$1,'For stats end Y DB'!$A:$G,2,0))</f>
        <v>0</v>
      </c>
      <c r="L88">
        <f>IF(ISNA(VLOOKUP($A88&amp;L$1,'For stats end Y DB'!$A:$G,2,0)),0,VLOOKUP($A88&amp;L$1,'For stats end Y DB'!$A:$G,2,0))</f>
        <v>0</v>
      </c>
      <c r="M88">
        <f>IF(ISNA(VLOOKUP($A88&amp;M$1,'For stats end Y DB'!$A:$G,2,0)),0,VLOOKUP($A88&amp;M$1,'For stats end Y DB'!$A:$G,2,0))</f>
        <v>0</v>
      </c>
      <c r="N88">
        <f>IF(ISNA(VLOOKUP($A88&amp;N$1,'For stats end Y DB'!$A:$G,2,0)),0,VLOOKUP($A88&amp;N$1,'For stats end Y DB'!$A:$G,2,0))</f>
        <v>0</v>
      </c>
      <c r="O88">
        <f>IF(ISNA(VLOOKUP($A88&amp;O$1,'For stats end Y DB'!$A:$G,2,0)),0,VLOOKUP($A88&amp;O$1,'For stats end Y DB'!$A:$G,2,0))</f>
        <v>0</v>
      </c>
      <c r="P88">
        <f>IF(ISNA(VLOOKUP($A88&amp;P$1,'For stats end Y DB'!$A:$G,2,0)),0,VLOOKUP($A88&amp;P$1,'For stats end Y DB'!$A:$G,2,0))</f>
        <v>0</v>
      </c>
      <c r="Q88">
        <f>IF(ISNA(VLOOKUP($A88&amp;Q$1,'For stats end Y DB'!$A:$G,2,0)),0,VLOOKUP($A88&amp;Q$1,'For stats end Y DB'!$A:$G,2,0))</f>
        <v>0</v>
      </c>
      <c r="R88">
        <f>IF(ISNA(VLOOKUP($A88&amp;R$1,'For stats end Y DB'!$A:$G,2,0)),0,VLOOKUP($A88&amp;R$1,'For stats end Y DB'!$A:$G,2,0))</f>
        <v>0</v>
      </c>
      <c r="S88">
        <f>IF(ISNA(VLOOKUP($A88&amp;S$1,'For stats end Y DB'!$A:$G,2,0)),0,VLOOKUP($A88&amp;S$1,'For stats end Y DB'!$A:$G,2,0))</f>
        <v>0</v>
      </c>
      <c r="T88">
        <f>IF(ISNA(VLOOKUP($A88&amp;T$1,'For stats end Y DB'!$A:$G,2,0)),0,VLOOKUP($A88&amp;T$1,'For stats end Y DB'!$A:$G,2,0))</f>
        <v>0</v>
      </c>
      <c r="U88">
        <f>IF(ISNA(VLOOKUP($A88&amp;U$1,'For stats end Y DB'!$A:$G,2,0)),0,VLOOKUP($A88&amp;U$1,'For stats end Y DB'!$A:$G,2,0))</f>
        <v>0</v>
      </c>
      <c r="V88">
        <f>IF(ISNA(VLOOKUP($A88&amp;V$1,'For stats end Y DB'!$A:$G,2,0)),0,VLOOKUP($A88&amp;V$1,'For stats end Y DB'!$A:$G,2,0))</f>
        <v>0</v>
      </c>
      <c r="W88">
        <f>IF(ISNA(VLOOKUP($A88&amp;W$1,'For stats end Y DB'!$A:$G,2,0)),0,VLOOKUP($A88&amp;W$1,'For stats end Y DB'!$A:$G,2,0))</f>
        <v>0</v>
      </c>
      <c r="X88">
        <f>IF(ISNA(VLOOKUP($A88&amp;X$1,'For stats end Y DB'!$A:$G,2,0)),0,VLOOKUP($A88&amp;X$1,'For stats end Y DB'!$A:$G,2,0))</f>
        <v>0</v>
      </c>
      <c r="Y88">
        <f>IF(ISNA(VLOOKUP($A88&amp;Y$1,'For stats end Y DB'!$A:$G,2,0)),0,VLOOKUP($A88&amp;Y$1,'For stats end Y DB'!$A:$G,2,0))</f>
        <v>0</v>
      </c>
      <c r="Z88">
        <f>IF(ISNA(VLOOKUP($A88&amp;Z$1,'For stats end Y DB'!$A:$G,2,0)),0,VLOOKUP($A88&amp;Z$1,'For stats end Y DB'!$A:$G,2,0))</f>
        <v>0</v>
      </c>
      <c r="AA88">
        <f>IF(ISNA(VLOOKUP($A88&amp;AA$1,'For stats end Y DB'!$A:$G,2,0)),0,VLOOKUP($A88&amp;AA$1,'For stats end Y DB'!$A:$G,2,0))</f>
        <v>0</v>
      </c>
      <c r="AB88">
        <f>IF(ISNA(VLOOKUP($A88&amp;AB$1,'For stats end Y DB'!$A:$G,2,0)),0,VLOOKUP($A88&amp;AB$1,'For stats end Y DB'!$A:$G,2,0))</f>
        <v>0</v>
      </c>
      <c r="AC88">
        <f>IF(ISNA(VLOOKUP($A88&amp;AC$1,'For stats end Y DB'!$A:$G,2,0)),0,VLOOKUP($A88&amp;AC$1,'For stats end Y DB'!$A:$G,2,0))</f>
        <v>0</v>
      </c>
      <c r="AD88">
        <f>IF(ISNA(VLOOKUP($A88&amp;AD$1,'For stats end Y DB'!$A:$G,2,0)),0,VLOOKUP($A88&amp;AD$1,'For stats end Y DB'!$A:$G,2,0))</f>
        <v>0</v>
      </c>
      <c r="AE88">
        <f>IF(ISNA(VLOOKUP($A88&amp;AE$1,'For stats end Y DB'!$A:$G,2,0)),0,VLOOKUP($A88&amp;AE$1,'For stats end Y DB'!$A:$G,2,0))</f>
        <v>0</v>
      </c>
      <c r="AF88">
        <f>IF(ISNA(VLOOKUP($A88&amp;AF$1,'For stats end Y DB'!$A:$G,2,0)),0,VLOOKUP($A88&amp;AF$1,'For stats end Y DB'!$A:$G,2,0))</f>
        <v>0</v>
      </c>
      <c r="AG88">
        <f>IF(ISNA(VLOOKUP($A88&amp;AG$1,'For stats end Y DB'!$A:$G,2,0)),0,VLOOKUP($A88&amp;AG$1,'For stats end Y DB'!$A:$G,2,0))</f>
        <v>0</v>
      </c>
      <c r="AH88">
        <f>IF(ISNA(VLOOKUP($A88&amp;AH$1,'For stats end Y DB'!$A:$G,2,0)),0,VLOOKUP($A88&amp;AH$1,'For stats end Y DB'!$A:$G,2,0))</f>
        <v>0</v>
      </c>
      <c r="AI88">
        <f>IF(ISNA(VLOOKUP($A88&amp;AI$1,'For stats end Y DB'!$A:$G,2,0)),0,VLOOKUP($A88&amp;AI$1,'For stats end Y DB'!$A:$G,2,0))</f>
        <v>0</v>
      </c>
      <c r="AJ88">
        <f>IF(ISNA(VLOOKUP($A88&amp;AJ$1,'For stats end Y DB'!$A:$G,2,0)),0,VLOOKUP($A88&amp;AJ$1,'For stats end Y DB'!$A:$G,2,0))</f>
        <v>0</v>
      </c>
      <c r="AK88">
        <f>IF(ISNA(VLOOKUP($A88&amp;AK$1,'For stats end Y DB'!$A:$G,2,0)),0,VLOOKUP($A88&amp;AK$1,'For stats end Y DB'!$A:$G,2,0))</f>
        <v>0</v>
      </c>
      <c r="AL88">
        <f>IF(ISNA(VLOOKUP($A88&amp;AL$1,'For stats end Y DB'!$A:$G,2,0)),0,VLOOKUP($A88&amp;AL$1,'For stats end Y DB'!$A:$G,2,0))</f>
        <v>0</v>
      </c>
      <c r="AM88">
        <f>IF(ISNA(VLOOKUP($A88&amp;AM$1,'For stats end Y DB'!$A:$G,2,0)),0,VLOOKUP($A88&amp;AM$1,'For stats end Y DB'!$A:$G,2,0))</f>
        <v>0</v>
      </c>
      <c r="AN88">
        <f>IF(ISNA(VLOOKUP($A88&amp;AN$1,'For stats end Y DB'!$A:$G,2,0)),0,VLOOKUP($A88&amp;AN$1,'For stats end Y DB'!$A:$G,2,0))</f>
        <v>0</v>
      </c>
      <c r="AP88" t="str">
        <f t="shared" si="8"/>
        <v>saymsonite</v>
      </c>
      <c r="AQ88">
        <f t="shared" si="9"/>
        <v>0</v>
      </c>
      <c r="AR88">
        <f t="shared" si="9"/>
        <v>1</v>
      </c>
      <c r="AS88">
        <f t="shared" si="9"/>
        <v>0</v>
      </c>
      <c r="AT88" s="9">
        <f t="shared" si="6"/>
        <v>0</v>
      </c>
      <c r="AU88">
        <f t="shared" si="7"/>
        <v>3</v>
      </c>
    </row>
    <row r="89" spans="1:47" x14ac:dyDescent="0.2">
      <c r="A89" s="12" t="s">
        <v>554</v>
      </c>
      <c r="B89">
        <f>IF(ISNA(VLOOKUP($A89&amp;B$1,'For stats end Y DB'!$A:$G,2,0)),0,VLOOKUP($A89&amp;B$1,'For stats end Y DB'!$A:$G,2,0))</f>
        <v>0</v>
      </c>
      <c r="C89">
        <f>IF(ISNA(VLOOKUP($A89&amp;C$1,'For stats end Y DB'!$A:$G,2,0)),0,VLOOKUP($A89&amp;C$1,'For stats end Y DB'!$A:$G,2,0))</f>
        <v>0</v>
      </c>
      <c r="D89">
        <f>IF(ISNA(VLOOKUP($A89&amp;D$1,'For stats end Y DB'!$A:$G,2,0)),0,VLOOKUP($A89&amp;D$1,'For stats end Y DB'!$A:$G,2,0))</f>
        <v>0</v>
      </c>
      <c r="E89">
        <f>IF(ISNA(VLOOKUP($A89&amp;E$1,'For stats end Y DB'!$A:$G,2,0)),0,VLOOKUP($A89&amp;E$1,'For stats end Y DB'!$A:$G,2,0))</f>
        <v>0</v>
      </c>
      <c r="F89">
        <f>IF(ISNA(VLOOKUP($A89&amp;F$1,'For stats end Y DB'!$A:$G,2,0)),0,VLOOKUP($A89&amp;F$1,'For stats end Y DB'!$A:$G,2,0))</f>
        <v>0</v>
      </c>
      <c r="G89">
        <f>IF(ISNA(VLOOKUP($A89&amp;G$1,'For stats end Y DB'!$A:$G,2,0)),0,VLOOKUP($A89&amp;G$1,'For stats end Y DB'!$A:$G,2,0))</f>
        <v>0</v>
      </c>
      <c r="H89">
        <f>IF(ISNA(VLOOKUP($A89&amp;H$1,'For stats end Y DB'!$A:$G,2,0)),0,VLOOKUP($A89&amp;H$1,'For stats end Y DB'!$A:$G,2,0))</f>
        <v>0</v>
      </c>
      <c r="I89">
        <f>IF(ISNA(VLOOKUP($A89&amp;I$1,'For stats end Y DB'!$A:$G,2,0)),0,VLOOKUP($A89&amp;I$1,'For stats end Y DB'!$A:$G,2,0))</f>
        <v>0</v>
      </c>
      <c r="J89">
        <f>IF(ISNA(VLOOKUP($A89&amp;J$1,'For stats end Y DB'!$A:$G,2,0)),0,VLOOKUP($A89&amp;J$1,'For stats end Y DB'!$A:$G,2,0))</f>
        <v>0</v>
      </c>
      <c r="K89">
        <f>IF(ISNA(VLOOKUP($A89&amp;K$1,'For stats end Y DB'!$A:$G,2,0)),0,VLOOKUP($A89&amp;K$1,'For stats end Y DB'!$A:$G,2,0))</f>
        <v>0</v>
      </c>
      <c r="L89">
        <f>IF(ISNA(VLOOKUP($A89&amp;L$1,'For stats end Y DB'!$A:$G,2,0)),0,VLOOKUP($A89&amp;L$1,'For stats end Y DB'!$A:$G,2,0))</f>
        <v>0</v>
      </c>
      <c r="M89">
        <f>IF(ISNA(VLOOKUP($A89&amp;M$1,'For stats end Y DB'!$A:$G,2,0)),0,VLOOKUP($A89&amp;M$1,'For stats end Y DB'!$A:$G,2,0))</f>
        <v>0</v>
      </c>
      <c r="N89">
        <f>IF(ISNA(VLOOKUP($A89&amp;N$1,'For stats end Y DB'!$A:$G,2,0)),0,VLOOKUP($A89&amp;N$1,'For stats end Y DB'!$A:$G,2,0))</f>
        <v>0</v>
      </c>
      <c r="O89">
        <f>IF(ISNA(VLOOKUP($A89&amp;O$1,'For stats end Y DB'!$A:$G,2,0)),0,VLOOKUP($A89&amp;O$1,'For stats end Y DB'!$A:$G,2,0))</f>
        <v>0</v>
      </c>
      <c r="P89">
        <f>IF(ISNA(VLOOKUP($A89&amp;P$1,'For stats end Y DB'!$A:$G,2,0)),0,VLOOKUP($A89&amp;P$1,'For stats end Y DB'!$A:$G,2,0))</f>
        <v>0</v>
      </c>
      <c r="Q89">
        <f>IF(ISNA(VLOOKUP($A89&amp;Q$1,'For stats end Y DB'!$A:$G,2,0)),0,VLOOKUP($A89&amp;Q$1,'For stats end Y DB'!$A:$G,2,0))</f>
        <v>0</v>
      </c>
      <c r="R89">
        <f>IF(ISNA(VLOOKUP($A89&amp;R$1,'For stats end Y DB'!$A:$G,2,0)),0,VLOOKUP($A89&amp;R$1,'For stats end Y DB'!$A:$G,2,0))</f>
        <v>0</v>
      </c>
      <c r="S89">
        <f>IF(ISNA(VLOOKUP($A89&amp;S$1,'For stats end Y DB'!$A:$G,2,0)),0,VLOOKUP($A89&amp;S$1,'For stats end Y DB'!$A:$G,2,0))</f>
        <v>0</v>
      </c>
      <c r="T89">
        <f>IF(ISNA(VLOOKUP($A89&amp;T$1,'For stats end Y DB'!$A:$G,2,0)),0,VLOOKUP($A89&amp;T$1,'For stats end Y DB'!$A:$G,2,0))</f>
        <v>0</v>
      </c>
      <c r="U89">
        <f>IF(ISNA(VLOOKUP($A89&amp;U$1,'For stats end Y DB'!$A:$G,2,0)),0,VLOOKUP($A89&amp;U$1,'For stats end Y DB'!$A:$G,2,0))</f>
        <v>0</v>
      </c>
      <c r="V89">
        <f>IF(ISNA(VLOOKUP($A89&amp;V$1,'For stats end Y DB'!$A:$G,2,0)),0,VLOOKUP($A89&amp;V$1,'For stats end Y DB'!$A:$G,2,0))</f>
        <v>0</v>
      </c>
      <c r="W89">
        <f>IF(ISNA(VLOOKUP($A89&amp;W$1,'For stats end Y DB'!$A:$G,2,0)),0,VLOOKUP($A89&amp;W$1,'For stats end Y DB'!$A:$G,2,0))</f>
        <v>0</v>
      </c>
      <c r="X89">
        <f>IF(ISNA(VLOOKUP($A89&amp;X$1,'For stats end Y DB'!$A:$G,2,0)),0,VLOOKUP($A89&amp;X$1,'For stats end Y DB'!$A:$G,2,0))</f>
        <v>0</v>
      </c>
      <c r="Y89">
        <f>IF(ISNA(VLOOKUP($A89&amp;Y$1,'For stats end Y DB'!$A:$G,2,0)),0,VLOOKUP($A89&amp;Y$1,'For stats end Y DB'!$A:$G,2,0))</f>
        <v>3</v>
      </c>
      <c r="Z89">
        <f>IF(ISNA(VLOOKUP($A89&amp;Z$1,'For stats end Y DB'!$A:$G,2,0)),0,VLOOKUP($A89&amp;Z$1,'For stats end Y DB'!$A:$G,2,0))</f>
        <v>2</v>
      </c>
      <c r="AA89">
        <f>IF(ISNA(VLOOKUP($A89&amp;AA$1,'For stats end Y DB'!$A:$G,2,0)),0,VLOOKUP($A89&amp;AA$1,'For stats end Y DB'!$A:$G,2,0))</f>
        <v>4</v>
      </c>
      <c r="AB89">
        <f>IF(ISNA(VLOOKUP($A89&amp;AB$1,'For stats end Y DB'!$A:$G,2,0)),0,VLOOKUP($A89&amp;AB$1,'For stats end Y DB'!$A:$G,2,0))</f>
        <v>0</v>
      </c>
      <c r="AC89">
        <f>IF(ISNA(VLOOKUP($A89&amp;AC$1,'For stats end Y DB'!$A:$G,2,0)),0,VLOOKUP($A89&amp;AC$1,'For stats end Y DB'!$A:$G,2,0))</f>
        <v>7</v>
      </c>
      <c r="AD89">
        <f>IF(ISNA(VLOOKUP($A89&amp;AD$1,'For stats end Y DB'!$A:$G,2,0)),0,VLOOKUP($A89&amp;AD$1,'For stats end Y DB'!$A:$G,2,0))</f>
        <v>6</v>
      </c>
      <c r="AE89">
        <f>IF(ISNA(VLOOKUP($A89&amp;AE$1,'For stats end Y DB'!$A:$G,2,0)),0,VLOOKUP($A89&amp;AE$1,'For stats end Y DB'!$A:$G,2,0))</f>
        <v>1</v>
      </c>
      <c r="AF89">
        <f>IF(ISNA(VLOOKUP($A89&amp;AF$1,'For stats end Y DB'!$A:$G,2,0)),0,VLOOKUP($A89&amp;AF$1,'For stats end Y DB'!$A:$G,2,0))</f>
        <v>1</v>
      </c>
      <c r="AG89">
        <f>IF(ISNA(VLOOKUP($A89&amp;AG$1,'For stats end Y DB'!$A:$G,2,0)),0,VLOOKUP($A89&amp;AG$1,'For stats end Y DB'!$A:$G,2,0))</f>
        <v>3</v>
      </c>
      <c r="AH89">
        <f>IF(ISNA(VLOOKUP($A89&amp;AH$1,'For stats end Y DB'!$A:$G,2,0)),0,VLOOKUP($A89&amp;AH$1,'For stats end Y DB'!$A:$G,2,0))</f>
        <v>3</v>
      </c>
      <c r="AI89">
        <f>IF(ISNA(VLOOKUP($A89&amp;AI$1,'For stats end Y DB'!$A:$G,2,0)),0,VLOOKUP($A89&amp;AI$1,'For stats end Y DB'!$A:$G,2,0))</f>
        <v>0</v>
      </c>
      <c r="AJ89">
        <f>IF(ISNA(VLOOKUP($A89&amp;AJ$1,'For stats end Y DB'!$A:$G,2,0)),0,VLOOKUP($A89&amp;AJ$1,'For stats end Y DB'!$A:$G,2,0))</f>
        <v>0</v>
      </c>
      <c r="AK89">
        <f>IF(ISNA(VLOOKUP($A89&amp;AK$1,'For stats end Y DB'!$A:$G,2,0)),0,VLOOKUP($A89&amp;AK$1,'For stats end Y DB'!$A:$G,2,0))</f>
        <v>0</v>
      </c>
      <c r="AL89">
        <f>IF(ISNA(VLOOKUP($A89&amp;AL$1,'For stats end Y DB'!$A:$G,2,0)),0,VLOOKUP($A89&amp;AL$1,'For stats end Y DB'!$A:$G,2,0))</f>
        <v>0</v>
      </c>
      <c r="AM89">
        <f>IF(ISNA(VLOOKUP($A89&amp;AM$1,'For stats end Y DB'!$A:$G,2,0)),0,VLOOKUP($A89&amp;AM$1,'For stats end Y DB'!$A:$G,2,0))</f>
        <v>0</v>
      </c>
      <c r="AN89">
        <f>IF(ISNA(VLOOKUP($A89&amp;AN$1,'For stats end Y DB'!$A:$G,2,0)),0,VLOOKUP($A89&amp;AN$1,'For stats end Y DB'!$A:$G,2,0))</f>
        <v>0</v>
      </c>
      <c r="AP89" t="str">
        <f t="shared" si="8"/>
        <v>ScoNix</v>
      </c>
      <c r="AQ89">
        <f t="shared" si="9"/>
        <v>2</v>
      </c>
      <c r="AR89">
        <f t="shared" si="9"/>
        <v>1</v>
      </c>
      <c r="AS89">
        <f t="shared" si="9"/>
        <v>3</v>
      </c>
      <c r="AT89" s="9">
        <f t="shared" si="6"/>
        <v>0</v>
      </c>
      <c r="AU89">
        <f t="shared" si="7"/>
        <v>9</v>
      </c>
    </row>
    <row r="90" spans="1:47" x14ac:dyDescent="0.2">
      <c r="A90" s="12" t="s">
        <v>552</v>
      </c>
      <c r="B90">
        <f>IF(ISNA(VLOOKUP($A90&amp;B$1,'For stats end Y DB'!$A:$G,2,0)),0,VLOOKUP($A90&amp;B$1,'For stats end Y DB'!$A:$G,2,0))</f>
        <v>0</v>
      </c>
      <c r="C90">
        <f>IF(ISNA(VLOOKUP($A90&amp;C$1,'For stats end Y DB'!$A:$G,2,0)),0,VLOOKUP($A90&amp;C$1,'For stats end Y DB'!$A:$G,2,0))</f>
        <v>0</v>
      </c>
      <c r="D90">
        <f>IF(ISNA(VLOOKUP($A90&amp;D$1,'For stats end Y DB'!$A:$G,2,0)),0,VLOOKUP($A90&amp;D$1,'For stats end Y DB'!$A:$G,2,0))</f>
        <v>0</v>
      </c>
      <c r="E90">
        <f>IF(ISNA(VLOOKUP($A90&amp;E$1,'For stats end Y DB'!$A:$G,2,0)),0,VLOOKUP($A90&amp;E$1,'For stats end Y DB'!$A:$G,2,0))</f>
        <v>0</v>
      </c>
      <c r="F90">
        <f>IF(ISNA(VLOOKUP($A90&amp;F$1,'For stats end Y DB'!$A:$G,2,0)),0,VLOOKUP($A90&amp;F$1,'For stats end Y DB'!$A:$G,2,0))</f>
        <v>0</v>
      </c>
      <c r="G90">
        <f>IF(ISNA(VLOOKUP($A90&amp;G$1,'For stats end Y DB'!$A:$G,2,0)),0,VLOOKUP($A90&amp;G$1,'For stats end Y DB'!$A:$G,2,0))</f>
        <v>0</v>
      </c>
      <c r="H90">
        <f>IF(ISNA(VLOOKUP($A90&amp;H$1,'For stats end Y DB'!$A:$G,2,0)),0,VLOOKUP($A90&amp;H$1,'For stats end Y DB'!$A:$G,2,0))</f>
        <v>0</v>
      </c>
      <c r="I90">
        <f>IF(ISNA(VLOOKUP($A90&amp;I$1,'For stats end Y DB'!$A:$G,2,0)),0,VLOOKUP($A90&amp;I$1,'For stats end Y DB'!$A:$G,2,0))</f>
        <v>0</v>
      </c>
      <c r="J90">
        <f>IF(ISNA(VLOOKUP($A90&amp;J$1,'For stats end Y DB'!$A:$G,2,0)),0,VLOOKUP($A90&amp;J$1,'For stats end Y DB'!$A:$G,2,0))</f>
        <v>0</v>
      </c>
      <c r="K90">
        <f>IF(ISNA(VLOOKUP($A90&amp;K$1,'For stats end Y DB'!$A:$G,2,0)),0,VLOOKUP($A90&amp;K$1,'For stats end Y DB'!$A:$G,2,0))</f>
        <v>0</v>
      </c>
      <c r="L90">
        <f>IF(ISNA(VLOOKUP($A90&amp;L$1,'For stats end Y DB'!$A:$G,2,0)),0,VLOOKUP($A90&amp;L$1,'For stats end Y DB'!$A:$G,2,0))</f>
        <v>0</v>
      </c>
      <c r="M90">
        <f>IF(ISNA(VLOOKUP($A90&amp;M$1,'For stats end Y DB'!$A:$G,2,0)),0,VLOOKUP($A90&amp;M$1,'For stats end Y DB'!$A:$G,2,0))</f>
        <v>0</v>
      </c>
      <c r="N90">
        <f>IF(ISNA(VLOOKUP($A90&amp;N$1,'For stats end Y DB'!$A:$G,2,0)),0,VLOOKUP($A90&amp;N$1,'For stats end Y DB'!$A:$G,2,0))</f>
        <v>0</v>
      </c>
      <c r="O90">
        <f>IF(ISNA(VLOOKUP($A90&amp;O$1,'For stats end Y DB'!$A:$G,2,0)),0,VLOOKUP($A90&amp;O$1,'For stats end Y DB'!$A:$G,2,0))</f>
        <v>0</v>
      </c>
      <c r="P90">
        <f>IF(ISNA(VLOOKUP($A90&amp;P$1,'For stats end Y DB'!$A:$G,2,0)),0,VLOOKUP($A90&amp;P$1,'For stats end Y DB'!$A:$G,2,0))</f>
        <v>0</v>
      </c>
      <c r="Q90">
        <f>IF(ISNA(VLOOKUP($A90&amp;Q$1,'For stats end Y DB'!$A:$G,2,0)),0,VLOOKUP($A90&amp;Q$1,'For stats end Y DB'!$A:$G,2,0))</f>
        <v>0</v>
      </c>
      <c r="R90">
        <f>IF(ISNA(VLOOKUP($A90&amp;R$1,'For stats end Y DB'!$A:$G,2,0)),0,VLOOKUP($A90&amp;R$1,'For stats end Y DB'!$A:$G,2,0))</f>
        <v>0</v>
      </c>
      <c r="S90">
        <f>IF(ISNA(VLOOKUP($A90&amp;S$1,'For stats end Y DB'!$A:$G,2,0)),0,VLOOKUP($A90&amp;S$1,'For stats end Y DB'!$A:$G,2,0))</f>
        <v>0</v>
      </c>
      <c r="T90">
        <f>IF(ISNA(VLOOKUP($A90&amp;T$1,'For stats end Y DB'!$A:$G,2,0)),0,VLOOKUP($A90&amp;T$1,'For stats end Y DB'!$A:$G,2,0))</f>
        <v>0</v>
      </c>
      <c r="U90">
        <f>IF(ISNA(VLOOKUP($A90&amp;U$1,'For stats end Y DB'!$A:$G,2,0)),0,VLOOKUP($A90&amp;U$1,'For stats end Y DB'!$A:$G,2,0))</f>
        <v>0</v>
      </c>
      <c r="V90">
        <f>IF(ISNA(VLOOKUP($A90&amp;V$1,'For stats end Y DB'!$A:$G,2,0)),0,VLOOKUP($A90&amp;V$1,'For stats end Y DB'!$A:$G,2,0))</f>
        <v>0</v>
      </c>
      <c r="W90">
        <f>IF(ISNA(VLOOKUP($A90&amp;W$1,'For stats end Y DB'!$A:$G,2,0)),0,VLOOKUP($A90&amp;W$1,'For stats end Y DB'!$A:$G,2,0))</f>
        <v>0</v>
      </c>
      <c r="X90">
        <f>IF(ISNA(VLOOKUP($A90&amp;X$1,'For stats end Y DB'!$A:$G,2,0)),0,VLOOKUP($A90&amp;X$1,'For stats end Y DB'!$A:$G,2,0))</f>
        <v>0</v>
      </c>
      <c r="Y90">
        <f>IF(ISNA(VLOOKUP($A90&amp;Y$1,'For stats end Y DB'!$A:$G,2,0)),0,VLOOKUP($A90&amp;Y$1,'For stats end Y DB'!$A:$G,2,0))</f>
        <v>4</v>
      </c>
      <c r="Z90">
        <f>IF(ISNA(VLOOKUP($A90&amp;Z$1,'For stats end Y DB'!$A:$G,2,0)),0,VLOOKUP($A90&amp;Z$1,'For stats end Y DB'!$A:$G,2,0))</f>
        <v>4</v>
      </c>
      <c r="AA90">
        <f>IF(ISNA(VLOOKUP($A90&amp;AA$1,'For stats end Y DB'!$A:$G,2,0)),0,VLOOKUP($A90&amp;AA$1,'For stats end Y DB'!$A:$G,2,0))</f>
        <v>0</v>
      </c>
      <c r="AB90">
        <f>IF(ISNA(VLOOKUP($A90&amp;AB$1,'For stats end Y DB'!$A:$G,2,0)),0,VLOOKUP($A90&amp;AB$1,'For stats end Y DB'!$A:$G,2,0))</f>
        <v>2</v>
      </c>
      <c r="AC90">
        <f>IF(ISNA(VLOOKUP($A90&amp;AC$1,'For stats end Y DB'!$A:$G,2,0)),0,VLOOKUP($A90&amp;AC$1,'For stats end Y DB'!$A:$G,2,0))</f>
        <v>2</v>
      </c>
      <c r="AD90">
        <f>IF(ISNA(VLOOKUP($A90&amp;AD$1,'For stats end Y DB'!$A:$G,2,0)),0,VLOOKUP($A90&amp;AD$1,'For stats end Y DB'!$A:$G,2,0))</f>
        <v>5</v>
      </c>
      <c r="AE90">
        <f>IF(ISNA(VLOOKUP($A90&amp;AE$1,'For stats end Y DB'!$A:$G,2,0)),0,VLOOKUP($A90&amp;AE$1,'For stats end Y DB'!$A:$G,2,0))</f>
        <v>2</v>
      </c>
      <c r="AF90">
        <f>IF(ISNA(VLOOKUP($A90&amp;AF$1,'For stats end Y DB'!$A:$G,2,0)),0,VLOOKUP($A90&amp;AF$1,'For stats end Y DB'!$A:$G,2,0))</f>
        <v>4</v>
      </c>
      <c r="AG90">
        <f>IF(ISNA(VLOOKUP($A90&amp;AG$1,'For stats end Y DB'!$A:$G,2,0)),0,VLOOKUP($A90&amp;AG$1,'For stats end Y DB'!$A:$G,2,0))</f>
        <v>2</v>
      </c>
      <c r="AH90">
        <f>IF(ISNA(VLOOKUP($A90&amp;AH$1,'For stats end Y DB'!$A:$G,2,0)),0,VLOOKUP($A90&amp;AH$1,'For stats end Y DB'!$A:$G,2,0))</f>
        <v>4</v>
      </c>
      <c r="AI90">
        <f>IF(ISNA(VLOOKUP($A90&amp;AI$1,'For stats end Y DB'!$A:$G,2,0)),0,VLOOKUP($A90&amp;AI$1,'For stats end Y DB'!$A:$G,2,0))</f>
        <v>0</v>
      </c>
      <c r="AJ90">
        <f>IF(ISNA(VLOOKUP($A90&amp;AJ$1,'For stats end Y DB'!$A:$G,2,0)),0,VLOOKUP($A90&amp;AJ$1,'For stats end Y DB'!$A:$G,2,0))</f>
        <v>0</v>
      </c>
      <c r="AK90">
        <f>IF(ISNA(VLOOKUP($A90&amp;AK$1,'For stats end Y DB'!$A:$G,2,0)),0,VLOOKUP($A90&amp;AK$1,'For stats end Y DB'!$A:$G,2,0))</f>
        <v>0</v>
      </c>
      <c r="AL90">
        <f>IF(ISNA(VLOOKUP($A90&amp;AL$1,'For stats end Y DB'!$A:$G,2,0)),0,VLOOKUP($A90&amp;AL$1,'For stats end Y DB'!$A:$G,2,0))</f>
        <v>0</v>
      </c>
      <c r="AM90">
        <f>IF(ISNA(VLOOKUP($A90&amp;AM$1,'For stats end Y DB'!$A:$G,2,0)),0,VLOOKUP($A90&amp;AM$1,'For stats end Y DB'!$A:$G,2,0))</f>
        <v>0</v>
      </c>
      <c r="AN90">
        <f>IF(ISNA(VLOOKUP($A90&amp;AN$1,'For stats end Y DB'!$A:$G,2,0)),0,VLOOKUP($A90&amp;AN$1,'For stats end Y DB'!$A:$G,2,0))</f>
        <v>0</v>
      </c>
      <c r="AP90" t="str">
        <f t="shared" si="8"/>
        <v>Snake1702</v>
      </c>
      <c r="AQ90">
        <f t="shared" si="9"/>
        <v>0</v>
      </c>
      <c r="AR90">
        <f t="shared" si="9"/>
        <v>4</v>
      </c>
      <c r="AS90">
        <f t="shared" si="9"/>
        <v>0</v>
      </c>
      <c r="AT90" s="9">
        <f t="shared" si="6"/>
        <v>0</v>
      </c>
      <c r="AU90">
        <f t="shared" si="7"/>
        <v>9</v>
      </c>
    </row>
    <row r="91" spans="1:47" x14ac:dyDescent="0.2">
      <c r="A91" s="12" t="s">
        <v>502</v>
      </c>
      <c r="B91">
        <f>IF(ISNA(VLOOKUP($A91&amp;B$1,'For stats end Y DB'!$A:$G,2,0)),0,VLOOKUP($A91&amp;B$1,'For stats end Y DB'!$A:$G,2,0))</f>
        <v>2</v>
      </c>
      <c r="C91">
        <f>IF(ISNA(VLOOKUP($A91&amp;C$1,'For stats end Y DB'!$A:$G,2,0)),0,VLOOKUP($A91&amp;C$1,'For stats end Y DB'!$A:$G,2,0))</f>
        <v>0</v>
      </c>
      <c r="D91">
        <f>IF(ISNA(VLOOKUP($A91&amp;D$1,'For stats end Y DB'!$A:$G,2,0)),0,VLOOKUP($A91&amp;D$1,'For stats end Y DB'!$A:$G,2,0))</f>
        <v>1</v>
      </c>
      <c r="E91">
        <f>IF(ISNA(VLOOKUP($A91&amp;E$1,'For stats end Y DB'!$A:$G,2,0)),0,VLOOKUP($A91&amp;E$1,'For stats end Y DB'!$A:$G,2,0))</f>
        <v>7</v>
      </c>
      <c r="F91">
        <f>IF(ISNA(VLOOKUP($A91&amp;F$1,'For stats end Y DB'!$A:$G,2,0)),0,VLOOKUP($A91&amp;F$1,'For stats end Y DB'!$A:$G,2,0))</f>
        <v>0</v>
      </c>
      <c r="G91">
        <f>IF(ISNA(VLOOKUP($A91&amp;G$1,'For stats end Y DB'!$A:$G,2,0)),0,VLOOKUP($A91&amp;G$1,'For stats end Y DB'!$A:$G,2,0))</f>
        <v>0</v>
      </c>
      <c r="H91">
        <f>IF(ISNA(VLOOKUP($A91&amp;H$1,'For stats end Y DB'!$A:$G,2,0)),0,VLOOKUP($A91&amp;H$1,'For stats end Y DB'!$A:$G,2,0))</f>
        <v>2</v>
      </c>
      <c r="I91">
        <f>IF(ISNA(VLOOKUP($A91&amp;I$1,'For stats end Y DB'!$A:$G,2,0)),0,VLOOKUP($A91&amp;I$1,'For stats end Y DB'!$A:$G,2,0))</f>
        <v>5</v>
      </c>
      <c r="J91">
        <f>IF(ISNA(VLOOKUP($A91&amp;J$1,'For stats end Y DB'!$A:$G,2,0)),0,VLOOKUP($A91&amp;J$1,'For stats end Y DB'!$A:$G,2,0))</f>
        <v>4</v>
      </c>
      <c r="K91">
        <f>IF(ISNA(VLOOKUP($A91&amp;K$1,'For stats end Y DB'!$A:$G,2,0)),0,VLOOKUP($A91&amp;K$1,'For stats end Y DB'!$A:$G,2,0))</f>
        <v>1</v>
      </c>
      <c r="L91">
        <f>IF(ISNA(VLOOKUP($A91&amp;L$1,'For stats end Y DB'!$A:$G,2,0)),0,VLOOKUP($A91&amp;L$1,'For stats end Y DB'!$A:$G,2,0))</f>
        <v>6</v>
      </c>
      <c r="M91">
        <f>IF(ISNA(VLOOKUP($A91&amp;M$1,'For stats end Y DB'!$A:$G,2,0)),0,VLOOKUP($A91&amp;M$1,'For stats end Y DB'!$A:$G,2,0))</f>
        <v>0</v>
      </c>
      <c r="N91">
        <f>IF(ISNA(VLOOKUP($A91&amp;N$1,'For stats end Y DB'!$A:$G,2,0)),0,VLOOKUP($A91&amp;N$1,'For stats end Y DB'!$A:$G,2,0))</f>
        <v>0</v>
      </c>
      <c r="O91">
        <f>IF(ISNA(VLOOKUP($A91&amp;O$1,'For stats end Y DB'!$A:$G,2,0)),0,VLOOKUP($A91&amp;O$1,'For stats end Y DB'!$A:$G,2,0))</f>
        <v>0</v>
      </c>
      <c r="P91">
        <f>IF(ISNA(VLOOKUP($A91&amp;P$1,'For stats end Y DB'!$A:$G,2,0)),0,VLOOKUP($A91&amp;P$1,'For stats end Y DB'!$A:$G,2,0))</f>
        <v>0</v>
      </c>
      <c r="Q91">
        <f>IF(ISNA(VLOOKUP($A91&amp;Q$1,'For stats end Y DB'!$A:$G,2,0)),0,VLOOKUP($A91&amp;Q$1,'For stats end Y DB'!$A:$G,2,0))</f>
        <v>1</v>
      </c>
      <c r="R91">
        <f>IF(ISNA(VLOOKUP($A91&amp;R$1,'For stats end Y DB'!$A:$G,2,0)),0,VLOOKUP($A91&amp;R$1,'For stats end Y DB'!$A:$G,2,0))</f>
        <v>0</v>
      </c>
      <c r="S91">
        <f>IF(ISNA(VLOOKUP($A91&amp;S$1,'For stats end Y DB'!$A:$G,2,0)),0,VLOOKUP($A91&amp;S$1,'For stats end Y DB'!$A:$G,2,0))</f>
        <v>4</v>
      </c>
      <c r="T91">
        <f>IF(ISNA(VLOOKUP($A91&amp;T$1,'For stats end Y DB'!$A:$G,2,0)),0,VLOOKUP($A91&amp;T$1,'For stats end Y DB'!$A:$G,2,0))</f>
        <v>0</v>
      </c>
      <c r="U91">
        <f>IF(ISNA(VLOOKUP($A91&amp;U$1,'For stats end Y DB'!$A:$G,2,0)),0,VLOOKUP($A91&amp;U$1,'For stats end Y DB'!$A:$G,2,0))</f>
        <v>1</v>
      </c>
      <c r="V91">
        <f>IF(ISNA(VLOOKUP($A91&amp;V$1,'For stats end Y DB'!$A:$G,2,0)),0,VLOOKUP($A91&amp;V$1,'For stats end Y DB'!$A:$G,2,0))</f>
        <v>1</v>
      </c>
      <c r="W91">
        <f>IF(ISNA(VLOOKUP($A91&amp;W$1,'For stats end Y DB'!$A:$G,2,0)),0,VLOOKUP($A91&amp;W$1,'For stats end Y DB'!$A:$G,2,0))</f>
        <v>2</v>
      </c>
      <c r="X91">
        <f>IF(ISNA(VLOOKUP($A91&amp;X$1,'For stats end Y DB'!$A:$G,2,0)),0,VLOOKUP($A91&amp;X$1,'For stats end Y DB'!$A:$G,2,0))</f>
        <v>0</v>
      </c>
      <c r="Y91">
        <f>IF(ISNA(VLOOKUP($A91&amp;Y$1,'For stats end Y DB'!$A:$G,2,0)),0,VLOOKUP($A91&amp;Y$1,'For stats end Y DB'!$A:$G,2,0))</f>
        <v>3</v>
      </c>
      <c r="Z91">
        <f>IF(ISNA(VLOOKUP($A91&amp;Z$1,'For stats end Y DB'!$A:$G,2,0)),0,VLOOKUP($A91&amp;Z$1,'For stats end Y DB'!$A:$G,2,0))</f>
        <v>0</v>
      </c>
      <c r="AA91">
        <f>IF(ISNA(VLOOKUP($A91&amp;AA$1,'For stats end Y DB'!$A:$G,2,0)),0,VLOOKUP($A91&amp;AA$1,'For stats end Y DB'!$A:$G,2,0))</f>
        <v>0</v>
      </c>
      <c r="AB91">
        <f>IF(ISNA(VLOOKUP($A91&amp;AB$1,'For stats end Y DB'!$A:$G,2,0)),0,VLOOKUP($A91&amp;AB$1,'For stats end Y DB'!$A:$G,2,0))</f>
        <v>0</v>
      </c>
      <c r="AC91">
        <f>IF(ISNA(VLOOKUP($A91&amp;AC$1,'For stats end Y DB'!$A:$G,2,0)),0,VLOOKUP($A91&amp;AC$1,'For stats end Y DB'!$A:$G,2,0))</f>
        <v>3</v>
      </c>
      <c r="AD91">
        <f>IF(ISNA(VLOOKUP($A91&amp;AD$1,'For stats end Y DB'!$A:$G,2,0)),0,VLOOKUP($A91&amp;AD$1,'For stats end Y DB'!$A:$G,2,0))</f>
        <v>6</v>
      </c>
      <c r="AE91">
        <f>IF(ISNA(VLOOKUP($A91&amp;AE$1,'For stats end Y DB'!$A:$G,2,0)),0,VLOOKUP($A91&amp;AE$1,'For stats end Y DB'!$A:$G,2,0))</f>
        <v>5</v>
      </c>
      <c r="AF91">
        <f>IF(ISNA(VLOOKUP($A91&amp;AF$1,'For stats end Y DB'!$A:$G,2,0)),0,VLOOKUP($A91&amp;AF$1,'For stats end Y DB'!$A:$G,2,0))</f>
        <v>0</v>
      </c>
      <c r="AG91">
        <f>IF(ISNA(VLOOKUP($A91&amp;AG$1,'For stats end Y DB'!$A:$G,2,0)),0,VLOOKUP($A91&amp;AG$1,'For stats end Y DB'!$A:$G,2,0))</f>
        <v>1</v>
      </c>
      <c r="AH91">
        <f>IF(ISNA(VLOOKUP($A91&amp;AH$1,'For stats end Y DB'!$A:$G,2,0)),0,VLOOKUP($A91&amp;AH$1,'For stats end Y DB'!$A:$G,2,0))</f>
        <v>0</v>
      </c>
      <c r="AI91">
        <f>IF(ISNA(VLOOKUP($A91&amp;AI$1,'For stats end Y DB'!$A:$G,2,0)),0,VLOOKUP($A91&amp;AI$1,'For stats end Y DB'!$A:$G,2,0))</f>
        <v>0</v>
      </c>
      <c r="AJ91">
        <f>IF(ISNA(VLOOKUP($A91&amp;AJ$1,'For stats end Y DB'!$A:$G,2,0)),0,VLOOKUP($A91&amp;AJ$1,'For stats end Y DB'!$A:$G,2,0))</f>
        <v>0</v>
      </c>
      <c r="AK91">
        <f>IF(ISNA(VLOOKUP($A91&amp;AK$1,'For stats end Y DB'!$A:$G,2,0)),0,VLOOKUP($A91&amp;AK$1,'For stats end Y DB'!$A:$G,2,0))</f>
        <v>0</v>
      </c>
      <c r="AL91">
        <f>IF(ISNA(VLOOKUP($A91&amp;AL$1,'For stats end Y DB'!$A:$G,2,0)),0,VLOOKUP($A91&amp;AL$1,'For stats end Y DB'!$A:$G,2,0))</f>
        <v>0</v>
      </c>
      <c r="AM91">
        <f>IF(ISNA(VLOOKUP($A91&amp;AM$1,'For stats end Y DB'!$A:$G,2,0)),0,VLOOKUP($A91&amp;AM$1,'For stats end Y DB'!$A:$G,2,0))</f>
        <v>0</v>
      </c>
      <c r="AN91">
        <f>IF(ISNA(VLOOKUP($A91&amp;AN$1,'For stats end Y DB'!$A:$G,2,0)),0,VLOOKUP($A91&amp;AN$1,'For stats end Y DB'!$A:$G,2,0))</f>
        <v>0</v>
      </c>
      <c r="AP91" t="str">
        <f t="shared" si="8"/>
        <v>Sobab</v>
      </c>
      <c r="AQ91">
        <f t="shared" si="9"/>
        <v>6</v>
      </c>
      <c r="AR91">
        <f t="shared" si="9"/>
        <v>3</v>
      </c>
      <c r="AS91">
        <f t="shared" si="9"/>
        <v>2</v>
      </c>
      <c r="AT91" s="9">
        <f t="shared" si="6"/>
        <v>0</v>
      </c>
      <c r="AU91">
        <f t="shared" si="7"/>
        <v>18</v>
      </c>
    </row>
    <row r="92" spans="1:47" x14ac:dyDescent="0.2">
      <c r="A92" s="12" t="s">
        <v>34</v>
      </c>
      <c r="B92">
        <f>IF(ISNA(VLOOKUP($A92&amp;B$1,'For stats end Y DB'!$A:$G,2,0)),0,VLOOKUP($A92&amp;B$1,'For stats end Y DB'!$A:$G,2,0))</f>
        <v>1</v>
      </c>
      <c r="C92">
        <f>IF(ISNA(VLOOKUP($A92&amp;C$1,'For stats end Y DB'!$A:$G,2,0)),0,VLOOKUP($A92&amp;C$1,'For stats end Y DB'!$A:$G,2,0))</f>
        <v>4</v>
      </c>
      <c r="D92">
        <f>IF(ISNA(VLOOKUP($A92&amp;D$1,'For stats end Y DB'!$A:$G,2,0)),0,VLOOKUP($A92&amp;D$1,'For stats end Y DB'!$A:$G,2,0))</f>
        <v>6</v>
      </c>
      <c r="E92">
        <f>IF(ISNA(VLOOKUP($A92&amp;E$1,'For stats end Y DB'!$A:$G,2,0)),0,VLOOKUP($A92&amp;E$1,'For stats end Y DB'!$A:$G,2,0))</f>
        <v>0</v>
      </c>
      <c r="F92">
        <f>IF(ISNA(VLOOKUP($A92&amp;F$1,'For stats end Y DB'!$A:$G,2,0)),0,VLOOKUP($A92&amp;F$1,'For stats end Y DB'!$A:$G,2,0))</f>
        <v>4</v>
      </c>
      <c r="G92">
        <f>IF(ISNA(VLOOKUP($A92&amp;G$1,'For stats end Y DB'!$A:$G,2,0)),0,VLOOKUP($A92&amp;G$1,'For stats end Y DB'!$A:$G,2,0))</f>
        <v>0</v>
      </c>
      <c r="H92">
        <f>IF(ISNA(VLOOKUP($A92&amp;H$1,'For stats end Y DB'!$A:$G,2,0)),0,VLOOKUP($A92&amp;H$1,'For stats end Y DB'!$A:$G,2,0))</f>
        <v>0</v>
      </c>
      <c r="I92">
        <f>IF(ISNA(VLOOKUP($A92&amp;I$1,'For stats end Y DB'!$A:$G,2,0)),0,VLOOKUP($A92&amp;I$1,'For stats end Y DB'!$A:$G,2,0))</f>
        <v>3</v>
      </c>
      <c r="J92">
        <f>IF(ISNA(VLOOKUP($A92&amp;J$1,'For stats end Y DB'!$A:$G,2,0)),0,VLOOKUP($A92&amp;J$1,'For stats end Y DB'!$A:$G,2,0))</f>
        <v>0</v>
      </c>
      <c r="K92">
        <f>IF(ISNA(VLOOKUP($A92&amp;K$1,'For stats end Y DB'!$A:$G,2,0)),0,VLOOKUP($A92&amp;K$1,'For stats end Y DB'!$A:$G,2,0))</f>
        <v>0</v>
      </c>
      <c r="L92">
        <f>IF(ISNA(VLOOKUP($A92&amp;L$1,'For stats end Y DB'!$A:$G,2,0)),0,VLOOKUP($A92&amp;L$1,'For stats end Y DB'!$A:$G,2,0))</f>
        <v>0</v>
      </c>
      <c r="M92">
        <f>IF(ISNA(VLOOKUP($A92&amp;M$1,'For stats end Y DB'!$A:$G,2,0)),0,VLOOKUP($A92&amp;M$1,'For stats end Y DB'!$A:$G,2,0))</f>
        <v>0</v>
      </c>
      <c r="N92">
        <f>IF(ISNA(VLOOKUP($A92&amp;N$1,'For stats end Y DB'!$A:$G,2,0)),0,VLOOKUP($A92&amp;N$1,'For stats end Y DB'!$A:$G,2,0))</f>
        <v>0</v>
      </c>
      <c r="O92">
        <f>IF(ISNA(VLOOKUP($A92&amp;O$1,'For stats end Y DB'!$A:$G,2,0)),0,VLOOKUP($A92&amp;O$1,'For stats end Y DB'!$A:$G,2,0))</f>
        <v>0</v>
      </c>
      <c r="P92">
        <f>IF(ISNA(VLOOKUP($A92&amp;P$1,'For stats end Y DB'!$A:$G,2,0)),0,VLOOKUP($A92&amp;P$1,'For stats end Y DB'!$A:$G,2,0))</f>
        <v>0</v>
      </c>
      <c r="Q92">
        <f>IF(ISNA(VLOOKUP($A92&amp;Q$1,'For stats end Y DB'!$A:$G,2,0)),0,VLOOKUP($A92&amp;Q$1,'For stats end Y DB'!$A:$G,2,0))</f>
        <v>0</v>
      </c>
      <c r="R92">
        <f>IF(ISNA(VLOOKUP($A92&amp;R$1,'For stats end Y DB'!$A:$G,2,0)),0,VLOOKUP($A92&amp;R$1,'For stats end Y DB'!$A:$G,2,0))</f>
        <v>0</v>
      </c>
      <c r="S92">
        <f>IF(ISNA(VLOOKUP($A92&amp;S$1,'For stats end Y DB'!$A:$G,2,0)),0,VLOOKUP($A92&amp;S$1,'For stats end Y DB'!$A:$G,2,0))</f>
        <v>0</v>
      </c>
      <c r="T92">
        <f>IF(ISNA(VLOOKUP($A92&amp;T$1,'For stats end Y DB'!$A:$G,2,0)),0,VLOOKUP($A92&amp;T$1,'For stats end Y DB'!$A:$G,2,0))</f>
        <v>0</v>
      </c>
      <c r="U92">
        <f>IF(ISNA(VLOOKUP($A92&amp;U$1,'For stats end Y DB'!$A:$G,2,0)),0,VLOOKUP($A92&amp;U$1,'For stats end Y DB'!$A:$G,2,0))</f>
        <v>0</v>
      </c>
      <c r="V92">
        <f>IF(ISNA(VLOOKUP($A92&amp;V$1,'For stats end Y DB'!$A:$G,2,0)),0,VLOOKUP($A92&amp;V$1,'For stats end Y DB'!$A:$G,2,0))</f>
        <v>0</v>
      </c>
      <c r="W92">
        <f>IF(ISNA(VLOOKUP($A92&amp;W$1,'For stats end Y DB'!$A:$G,2,0)),0,VLOOKUP($A92&amp;W$1,'For stats end Y DB'!$A:$G,2,0))</f>
        <v>0</v>
      </c>
      <c r="X92">
        <f>IF(ISNA(VLOOKUP($A92&amp;X$1,'For stats end Y DB'!$A:$G,2,0)),0,VLOOKUP($A92&amp;X$1,'For stats end Y DB'!$A:$G,2,0))</f>
        <v>0</v>
      </c>
      <c r="Y92">
        <f>IF(ISNA(VLOOKUP($A92&amp;Y$1,'For stats end Y DB'!$A:$G,2,0)),0,VLOOKUP($A92&amp;Y$1,'For stats end Y DB'!$A:$G,2,0))</f>
        <v>0</v>
      </c>
      <c r="Z92">
        <f>IF(ISNA(VLOOKUP($A92&amp;Z$1,'For stats end Y DB'!$A:$G,2,0)),0,VLOOKUP($A92&amp;Z$1,'For stats end Y DB'!$A:$G,2,0))</f>
        <v>0</v>
      </c>
      <c r="AA92">
        <f>IF(ISNA(VLOOKUP($A92&amp;AA$1,'For stats end Y DB'!$A:$G,2,0)),0,VLOOKUP($A92&amp;AA$1,'For stats end Y DB'!$A:$G,2,0))</f>
        <v>0</v>
      </c>
      <c r="AB92">
        <f>IF(ISNA(VLOOKUP($A92&amp;AB$1,'For stats end Y DB'!$A:$G,2,0)),0,VLOOKUP($A92&amp;AB$1,'For stats end Y DB'!$A:$G,2,0))</f>
        <v>0</v>
      </c>
      <c r="AC92">
        <f>IF(ISNA(VLOOKUP($A92&amp;AC$1,'For stats end Y DB'!$A:$G,2,0)),0,VLOOKUP($A92&amp;AC$1,'For stats end Y DB'!$A:$G,2,0))</f>
        <v>0</v>
      </c>
      <c r="AD92">
        <f>IF(ISNA(VLOOKUP($A92&amp;AD$1,'For stats end Y DB'!$A:$G,2,0)),0,VLOOKUP($A92&amp;AD$1,'For stats end Y DB'!$A:$G,2,0))</f>
        <v>0</v>
      </c>
      <c r="AE92">
        <f>IF(ISNA(VLOOKUP($A92&amp;AE$1,'For stats end Y DB'!$A:$G,2,0)),0,VLOOKUP($A92&amp;AE$1,'For stats end Y DB'!$A:$G,2,0))</f>
        <v>0</v>
      </c>
      <c r="AF92">
        <f>IF(ISNA(VLOOKUP($A92&amp;AF$1,'For stats end Y DB'!$A:$G,2,0)),0,VLOOKUP($A92&amp;AF$1,'For stats end Y DB'!$A:$G,2,0))</f>
        <v>0</v>
      </c>
      <c r="AG92">
        <f>IF(ISNA(VLOOKUP($A92&amp;AG$1,'For stats end Y DB'!$A:$G,2,0)),0,VLOOKUP($A92&amp;AG$1,'For stats end Y DB'!$A:$G,2,0))</f>
        <v>0</v>
      </c>
      <c r="AH92">
        <f>IF(ISNA(VLOOKUP($A92&amp;AH$1,'For stats end Y DB'!$A:$G,2,0)),0,VLOOKUP($A92&amp;AH$1,'For stats end Y DB'!$A:$G,2,0))</f>
        <v>0</v>
      </c>
      <c r="AI92">
        <f>IF(ISNA(VLOOKUP($A92&amp;AI$1,'For stats end Y DB'!$A:$G,2,0)),0,VLOOKUP($A92&amp;AI$1,'For stats end Y DB'!$A:$G,2,0))</f>
        <v>0</v>
      </c>
      <c r="AJ92">
        <f>IF(ISNA(VLOOKUP($A92&amp;AJ$1,'For stats end Y DB'!$A:$G,2,0)),0,VLOOKUP($A92&amp;AJ$1,'For stats end Y DB'!$A:$G,2,0))</f>
        <v>0</v>
      </c>
      <c r="AK92">
        <f>IF(ISNA(VLOOKUP($A92&amp;AK$1,'For stats end Y DB'!$A:$G,2,0)),0,VLOOKUP($A92&amp;AK$1,'For stats end Y DB'!$A:$G,2,0))</f>
        <v>0</v>
      </c>
      <c r="AL92">
        <f>IF(ISNA(VLOOKUP($A92&amp;AL$1,'For stats end Y DB'!$A:$G,2,0)),0,VLOOKUP($A92&amp;AL$1,'For stats end Y DB'!$A:$G,2,0))</f>
        <v>0</v>
      </c>
      <c r="AM92">
        <f>IF(ISNA(VLOOKUP($A92&amp;AM$1,'For stats end Y DB'!$A:$G,2,0)),0,VLOOKUP($A92&amp;AM$1,'For stats end Y DB'!$A:$G,2,0))</f>
        <v>0</v>
      </c>
      <c r="AN92">
        <f>IF(ISNA(VLOOKUP($A92&amp;AN$1,'For stats end Y DB'!$A:$G,2,0)),0,VLOOKUP($A92&amp;AN$1,'For stats end Y DB'!$A:$G,2,0))</f>
        <v>0</v>
      </c>
      <c r="AP92" t="str">
        <f t="shared" si="8"/>
        <v>Solex</v>
      </c>
      <c r="AQ92">
        <f t="shared" si="9"/>
        <v>1</v>
      </c>
      <c r="AR92">
        <f t="shared" si="9"/>
        <v>0</v>
      </c>
      <c r="AS92">
        <f t="shared" si="9"/>
        <v>1</v>
      </c>
      <c r="AT92" s="9">
        <f t="shared" si="6"/>
        <v>0</v>
      </c>
      <c r="AU92">
        <f t="shared" si="7"/>
        <v>5</v>
      </c>
    </row>
    <row r="93" spans="1:47" x14ac:dyDescent="0.2">
      <c r="A93" s="12" t="s">
        <v>485</v>
      </c>
      <c r="B93">
        <f>IF(ISNA(VLOOKUP($A93&amp;B$1,'For stats end Y DB'!$A:$G,2,0)),0,VLOOKUP($A93&amp;B$1,'For stats end Y DB'!$A:$G,2,0))</f>
        <v>0</v>
      </c>
      <c r="C93">
        <f>IF(ISNA(VLOOKUP($A93&amp;C$1,'For stats end Y DB'!$A:$G,2,0)),0,VLOOKUP($A93&amp;C$1,'For stats end Y DB'!$A:$G,2,0))</f>
        <v>0</v>
      </c>
      <c r="D93">
        <f>IF(ISNA(VLOOKUP($A93&amp;D$1,'For stats end Y DB'!$A:$G,2,0)),0,VLOOKUP($A93&amp;D$1,'For stats end Y DB'!$A:$G,2,0))</f>
        <v>0</v>
      </c>
      <c r="E93">
        <f>IF(ISNA(VLOOKUP($A93&amp;E$1,'For stats end Y DB'!$A:$G,2,0)),0,VLOOKUP($A93&amp;E$1,'For stats end Y DB'!$A:$G,2,0))</f>
        <v>0</v>
      </c>
      <c r="F93">
        <f>IF(ISNA(VLOOKUP($A93&amp;F$1,'For stats end Y DB'!$A:$G,2,0)),0,VLOOKUP($A93&amp;F$1,'For stats end Y DB'!$A:$G,2,0))</f>
        <v>0</v>
      </c>
      <c r="G93">
        <f>IF(ISNA(VLOOKUP($A93&amp;G$1,'For stats end Y DB'!$A:$G,2,0)),0,VLOOKUP($A93&amp;G$1,'For stats end Y DB'!$A:$G,2,0))</f>
        <v>0</v>
      </c>
      <c r="H93">
        <f>IF(ISNA(VLOOKUP($A93&amp;H$1,'For stats end Y DB'!$A:$G,2,0)),0,VLOOKUP($A93&amp;H$1,'For stats end Y DB'!$A:$G,2,0))</f>
        <v>2</v>
      </c>
      <c r="I93">
        <f>IF(ISNA(VLOOKUP($A93&amp;I$1,'For stats end Y DB'!$A:$G,2,0)),0,VLOOKUP($A93&amp;I$1,'For stats end Y DB'!$A:$G,2,0))</f>
        <v>7</v>
      </c>
      <c r="J93">
        <f>IF(ISNA(VLOOKUP($A93&amp;J$1,'For stats end Y DB'!$A:$G,2,0)),0,VLOOKUP($A93&amp;J$1,'For stats end Y DB'!$A:$G,2,0))</f>
        <v>3</v>
      </c>
      <c r="K93">
        <f>IF(ISNA(VLOOKUP($A93&amp;K$1,'For stats end Y DB'!$A:$G,2,0)),0,VLOOKUP($A93&amp;K$1,'For stats end Y DB'!$A:$G,2,0))</f>
        <v>1</v>
      </c>
      <c r="L93">
        <f>IF(ISNA(VLOOKUP($A93&amp;L$1,'For stats end Y DB'!$A:$G,2,0)),0,VLOOKUP($A93&amp;L$1,'For stats end Y DB'!$A:$G,2,0))</f>
        <v>3</v>
      </c>
      <c r="M93">
        <f>IF(ISNA(VLOOKUP($A93&amp;M$1,'For stats end Y DB'!$A:$G,2,0)),0,VLOOKUP($A93&amp;M$1,'For stats end Y DB'!$A:$G,2,0))</f>
        <v>7</v>
      </c>
      <c r="N93">
        <f>IF(ISNA(VLOOKUP($A93&amp;N$1,'For stats end Y DB'!$A:$G,2,0)),0,VLOOKUP($A93&amp;N$1,'For stats end Y DB'!$A:$G,2,0))</f>
        <v>2</v>
      </c>
      <c r="O93">
        <f>IF(ISNA(VLOOKUP($A93&amp;O$1,'For stats end Y DB'!$A:$G,2,0)),0,VLOOKUP($A93&amp;O$1,'For stats end Y DB'!$A:$G,2,0))</f>
        <v>4</v>
      </c>
      <c r="P93">
        <f>IF(ISNA(VLOOKUP($A93&amp;P$1,'For stats end Y DB'!$A:$G,2,0)),0,VLOOKUP($A93&amp;P$1,'For stats end Y DB'!$A:$G,2,0))</f>
        <v>6</v>
      </c>
      <c r="Q93">
        <f>IF(ISNA(VLOOKUP($A93&amp;Q$1,'For stats end Y DB'!$A:$G,2,0)),0,VLOOKUP($A93&amp;Q$1,'For stats end Y DB'!$A:$G,2,0))</f>
        <v>7</v>
      </c>
      <c r="R93">
        <f>IF(ISNA(VLOOKUP($A93&amp;R$1,'For stats end Y DB'!$A:$G,2,0)),0,VLOOKUP($A93&amp;R$1,'For stats end Y DB'!$A:$G,2,0))</f>
        <v>3</v>
      </c>
      <c r="S93">
        <f>IF(ISNA(VLOOKUP($A93&amp;S$1,'For stats end Y DB'!$A:$G,2,0)),0,VLOOKUP($A93&amp;S$1,'For stats end Y DB'!$A:$G,2,0))</f>
        <v>6</v>
      </c>
      <c r="T93">
        <f>IF(ISNA(VLOOKUP($A93&amp;T$1,'For stats end Y DB'!$A:$G,2,0)),0,VLOOKUP($A93&amp;T$1,'For stats end Y DB'!$A:$G,2,0))</f>
        <v>5</v>
      </c>
      <c r="U93">
        <f>IF(ISNA(VLOOKUP($A93&amp;U$1,'For stats end Y DB'!$A:$G,2,0)),0,VLOOKUP($A93&amp;U$1,'For stats end Y DB'!$A:$G,2,0))</f>
        <v>2</v>
      </c>
      <c r="V93">
        <f>IF(ISNA(VLOOKUP($A93&amp;V$1,'For stats end Y DB'!$A:$G,2,0)),0,VLOOKUP($A93&amp;V$1,'For stats end Y DB'!$A:$G,2,0))</f>
        <v>3</v>
      </c>
      <c r="W93">
        <f>IF(ISNA(VLOOKUP($A93&amp;W$1,'For stats end Y DB'!$A:$G,2,0)),0,VLOOKUP($A93&amp;W$1,'For stats end Y DB'!$A:$G,2,0))</f>
        <v>7</v>
      </c>
      <c r="X93">
        <f>IF(ISNA(VLOOKUP($A93&amp;X$1,'For stats end Y DB'!$A:$G,2,0)),0,VLOOKUP($A93&amp;X$1,'For stats end Y DB'!$A:$G,2,0))</f>
        <v>1</v>
      </c>
      <c r="Y93">
        <f>IF(ISNA(VLOOKUP($A93&amp;Y$1,'For stats end Y DB'!$A:$G,2,0)),0,VLOOKUP($A93&amp;Y$1,'For stats end Y DB'!$A:$G,2,0))</f>
        <v>4</v>
      </c>
      <c r="Z93">
        <f>IF(ISNA(VLOOKUP($A93&amp;Z$1,'For stats end Y DB'!$A:$G,2,0)),0,VLOOKUP($A93&amp;Z$1,'For stats end Y DB'!$A:$G,2,0))</f>
        <v>6</v>
      </c>
      <c r="AA93">
        <f>IF(ISNA(VLOOKUP($A93&amp;AA$1,'For stats end Y DB'!$A:$G,2,0)),0,VLOOKUP($A93&amp;AA$1,'For stats end Y DB'!$A:$G,2,0))</f>
        <v>1</v>
      </c>
      <c r="AB93">
        <f>IF(ISNA(VLOOKUP($A93&amp;AB$1,'For stats end Y DB'!$A:$G,2,0)),0,VLOOKUP($A93&amp;AB$1,'For stats end Y DB'!$A:$G,2,0))</f>
        <v>5</v>
      </c>
      <c r="AC93">
        <f>IF(ISNA(VLOOKUP($A93&amp;AC$1,'For stats end Y DB'!$A:$G,2,0)),0,VLOOKUP($A93&amp;AC$1,'For stats end Y DB'!$A:$G,2,0))</f>
        <v>1</v>
      </c>
      <c r="AD93">
        <f>IF(ISNA(VLOOKUP($A93&amp;AD$1,'For stats end Y DB'!$A:$G,2,0)),0,VLOOKUP($A93&amp;AD$1,'For stats end Y DB'!$A:$G,2,0))</f>
        <v>6</v>
      </c>
      <c r="AE93">
        <f>IF(ISNA(VLOOKUP($A93&amp;AE$1,'For stats end Y DB'!$A:$G,2,0)),0,VLOOKUP($A93&amp;AE$1,'For stats end Y DB'!$A:$G,2,0))</f>
        <v>6</v>
      </c>
      <c r="AF93">
        <f>IF(ISNA(VLOOKUP($A93&amp;AF$1,'For stats end Y DB'!$A:$G,2,0)),0,VLOOKUP($A93&amp;AF$1,'For stats end Y DB'!$A:$G,2,0))</f>
        <v>5</v>
      </c>
      <c r="AG93">
        <f>IF(ISNA(VLOOKUP($A93&amp;AG$1,'For stats end Y DB'!$A:$G,2,0)),0,VLOOKUP($A93&amp;AG$1,'For stats end Y DB'!$A:$G,2,0))</f>
        <v>0</v>
      </c>
      <c r="AH93">
        <f>IF(ISNA(VLOOKUP($A93&amp;AH$1,'For stats end Y DB'!$A:$G,2,0)),0,VLOOKUP($A93&amp;AH$1,'For stats end Y DB'!$A:$G,2,0))</f>
        <v>6</v>
      </c>
      <c r="AI93">
        <f>IF(ISNA(VLOOKUP($A93&amp;AI$1,'For stats end Y DB'!$A:$G,2,0)),0,VLOOKUP($A93&amp;AI$1,'For stats end Y DB'!$A:$G,2,0))</f>
        <v>0</v>
      </c>
      <c r="AJ93">
        <f>IF(ISNA(VLOOKUP($A93&amp;AJ$1,'For stats end Y DB'!$A:$G,2,0)),0,VLOOKUP($A93&amp;AJ$1,'For stats end Y DB'!$A:$G,2,0))</f>
        <v>0</v>
      </c>
      <c r="AK93">
        <f>IF(ISNA(VLOOKUP($A93&amp;AK$1,'For stats end Y DB'!$A:$G,2,0)),0,VLOOKUP($A93&amp;AK$1,'For stats end Y DB'!$A:$G,2,0))</f>
        <v>0</v>
      </c>
      <c r="AL93">
        <f>IF(ISNA(VLOOKUP($A93&amp;AL$1,'For stats end Y DB'!$A:$G,2,0)),0,VLOOKUP($A93&amp;AL$1,'For stats end Y DB'!$A:$G,2,0))</f>
        <v>0</v>
      </c>
      <c r="AM93">
        <f>IF(ISNA(VLOOKUP($A93&amp;AM$1,'For stats end Y DB'!$A:$G,2,0)),0,VLOOKUP($A93&amp;AM$1,'For stats end Y DB'!$A:$G,2,0))</f>
        <v>0</v>
      </c>
      <c r="AN93">
        <f>IF(ISNA(VLOOKUP($A93&amp;AN$1,'For stats end Y DB'!$A:$G,2,0)),0,VLOOKUP($A93&amp;AN$1,'For stats end Y DB'!$A:$G,2,0))</f>
        <v>0</v>
      </c>
      <c r="AP93" t="str">
        <f t="shared" si="8"/>
        <v>Solucky</v>
      </c>
      <c r="AQ93">
        <f t="shared" si="9"/>
        <v>4</v>
      </c>
      <c r="AR93">
        <f t="shared" si="9"/>
        <v>3</v>
      </c>
      <c r="AS93">
        <f t="shared" si="9"/>
        <v>4</v>
      </c>
      <c r="AT93" s="9">
        <f t="shared" si="6"/>
        <v>0</v>
      </c>
      <c r="AU93">
        <f t="shared" si="7"/>
        <v>26</v>
      </c>
    </row>
    <row r="94" spans="1:47" x14ac:dyDescent="0.2">
      <c r="A94" s="12" t="s">
        <v>518</v>
      </c>
      <c r="B94">
        <f>IF(ISNA(VLOOKUP($A94&amp;B$1,'For stats end Y DB'!$A:$G,2,0)),0,VLOOKUP($A94&amp;B$1,'For stats end Y DB'!$A:$G,2,0))</f>
        <v>3</v>
      </c>
      <c r="C94">
        <f>IF(ISNA(VLOOKUP($A94&amp;C$1,'For stats end Y DB'!$A:$G,2,0)),0,VLOOKUP($A94&amp;C$1,'For stats end Y DB'!$A:$G,2,0))</f>
        <v>0</v>
      </c>
      <c r="D94">
        <f>IF(ISNA(VLOOKUP($A94&amp;D$1,'For stats end Y DB'!$A:$G,2,0)),0,VLOOKUP($A94&amp;D$1,'For stats end Y DB'!$A:$G,2,0))</f>
        <v>0</v>
      </c>
      <c r="E94">
        <f>IF(ISNA(VLOOKUP($A94&amp;E$1,'For stats end Y DB'!$A:$G,2,0)),0,VLOOKUP($A94&amp;E$1,'For stats end Y DB'!$A:$G,2,0))</f>
        <v>3</v>
      </c>
      <c r="F94">
        <f>IF(ISNA(VLOOKUP($A94&amp;F$1,'For stats end Y DB'!$A:$G,2,0)),0,VLOOKUP($A94&amp;F$1,'For stats end Y DB'!$A:$G,2,0))</f>
        <v>7</v>
      </c>
      <c r="G94">
        <f>IF(ISNA(VLOOKUP($A94&amp;G$1,'For stats end Y DB'!$A:$G,2,0)),0,VLOOKUP($A94&amp;G$1,'For stats end Y DB'!$A:$G,2,0))</f>
        <v>0</v>
      </c>
      <c r="H94">
        <f>IF(ISNA(VLOOKUP($A94&amp;H$1,'For stats end Y DB'!$A:$G,2,0)),0,VLOOKUP($A94&amp;H$1,'For stats end Y DB'!$A:$G,2,0))</f>
        <v>3</v>
      </c>
      <c r="I94">
        <f>IF(ISNA(VLOOKUP($A94&amp;I$1,'For stats end Y DB'!$A:$G,2,0)),0,VLOOKUP($A94&amp;I$1,'For stats end Y DB'!$A:$G,2,0))</f>
        <v>2</v>
      </c>
      <c r="J94">
        <f>IF(ISNA(VLOOKUP($A94&amp;J$1,'For stats end Y DB'!$A:$G,2,0)),0,VLOOKUP($A94&amp;J$1,'For stats end Y DB'!$A:$G,2,0))</f>
        <v>2</v>
      </c>
      <c r="K94">
        <f>IF(ISNA(VLOOKUP($A94&amp;K$1,'For stats end Y DB'!$A:$G,2,0)),0,VLOOKUP($A94&amp;K$1,'For stats end Y DB'!$A:$G,2,0))</f>
        <v>3</v>
      </c>
      <c r="L94">
        <f>IF(ISNA(VLOOKUP($A94&amp;L$1,'For stats end Y DB'!$A:$G,2,0)),0,VLOOKUP($A94&amp;L$1,'For stats end Y DB'!$A:$G,2,0))</f>
        <v>2</v>
      </c>
      <c r="M94">
        <f>IF(ISNA(VLOOKUP($A94&amp;M$1,'For stats end Y DB'!$A:$G,2,0)),0,VLOOKUP($A94&amp;M$1,'For stats end Y DB'!$A:$G,2,0))</f>
        <v>0</v>
      </c>
      <c r="N94">
        <f>IF(ISNA(VLOOKUP($A94&amp;N$1,'For stats end Y DB'!$A:$G,2,0)),0,VLOOKUP($A94&amp;N$1,'For stats end Y DB'!$A:$G,2,0))</f>
        <v>0</v>
      </c>
      <c r="O94">
        <f>IF(ISNA(VLOOKUP($A94&amp;O$1,'For stats end Y DB'!$A:$G,2,0)),0,VLOOKUP($A94&amp;O$1,'For stats end Y DB'!$A:$G,2,0))</f>
        <v>7</v>
      </c>
      <c r="P94">
        <f>IF(ISNA(VLOOKUP($A94&amp;P$1,'For stats end Y DB'!$A:$G,2,0)),0,VLOOKUP($A94&amp;P$1,'For stats end Y DB'!$A:$G,2,0))</f>
        <v>4</v>
      </c>
      <c r="Q94">
        <f>IF(ISNA(VLOOKUP($A94&amp;Q$1,'For stats end Y DB'!$A:$G,2,0)),0,VLOOKUP($A94&amp;Q$1,'For stats end Y DB'!$A:$G,2,0))</f>
        <v>5</v>
      </c>
      <c r="R94">
        <f>IF(ISNA(VLOOKUP($A94&amp;R$1,'For stats end Y DB'!$A:$G,2,0)),0,VLOOKUP($A94&amp;R$1,'For stats end Y DB'!$A:$G,2,0))</f>
        <v>4</v>
      </c>
      <c r="S94">
        <f>IF(ISNA(VLOOKUP($A94&amp;S$1,'For stats end Y DB'!$A:$G,2,0)),0,VLOOKUP($A94&amp;S$1,'For stats end Y DB'!$A:$G,2,0))</f>
        <v>0</v>
      </c>
      <c r="T94">
        <f>IF(ISNA(VLOOKUP($A94&amp;T$1,'For stats end Y DB'!$A:$G,2,0)),0,VLOOKUP($A94&amp;T$1,'For stats end Y DB'!$A:$G,2,0))</f>
        <v>0</v>
      </c>
      <c r="U94">
        <f>IF(ISNA(VLOOKUP($A94&amp;U$1,'For stats end Y DB'!$A:$G,2,0)),0,VLOOKUP($A94&amp;U$1,'For stats end Y DB'!$A:$G,2,0))</f>
        <v>3</v>
      </c>
      <c r="V94">
        <f>IF(ISNA(VLOOKUP($A94&amp;V$1,'For stats end Y DB'!$A:$G,2,0)),0,VLOOKUP($A94&amp;V$1,'For stats end Y DB'!$A:$G,2,0))</f>
        <v>0</v>
      </c>
      <c r="W94">
        <f>IF(ISNA(VLOOKUP($A94&amp;W$1,'For stats end Y DB'!$A:$G,2,0)),0,VLOOKUP($A94&amp;W$1,'For stats end Y DB'!$A:$G,2,0))</f>
        <v>7</v>
      </c>
      <c r="X94">
        <f>IF(ISNA(VLOOKUP($A94&amp;X$1,'For stats end Y DB'!$A:$G,2,0)),0,VLOOKUP($A94&amp;X$1,'For stats end Y DB'!$A:$G,2,0))</f>
        <v>0</v>
      </c>
      <c r="Y94">
        <f>IF(ISNA(VLOOKUP($A94&amp;Y$1,'For stats end Y DB'!$A:$G,2,0)),0,VLOOKUP($A94&amp;Y$1,'For stats end Y DB'!$A:$G,2,0))</f>
        <v>4</v>
      </c>
      <c r="Z94">
        <f>IF(ISNA(VLOOKUP($A94&amp;Z$1,'For stats end Y DB'!$A:$G,2,0)),0,VLOOKUP($A94&amp;Z$1,'For stats end Y DB'!$A:$G,2,0))</f>
        <v>1</v>
      </c>
      <c r="AA94">
        <f>IF(ISNA(VLOOKUP($A94&amp;AA$1,'For stats end Y DB'!$A:$G,2,0)),0,VLOOKUP($A94&amp;AA$1,'For stats end Y DB'!$A:$G,2,0))</f>
        <v>4</v>
      </c>
      <c r="AB94">
        <f>IF(ISNA(VLOOKUP($A94&amp;AB$1,'For stats end Y DB'!$A:$G,2,0)),0,VLOOKUP($A94&amp;AB$1,'For stats end Y DB'!$A:$G,2,0))</f>
        <v>6</v>
      </c>
      <c r="AC94">
        <f>IF(ISNA(VLOOKUP($A94&amp;AC$1,'For stats end Y DB'!$A:$G,2,0)),0,VLOOKUP($A94&amp;AC$1,'For stats end Y DB'!$A:$G,2,0))</f>
        <v>6</v>
      </c>
      <c r="AD94">
        <f>IF(ISNA(VLOOKUP($A94&amp;AD$1,'For stats end Y DB'!$A:$G,2,0)),0,VLOOKUP($A94&amp;AD$1,'For stats end Y DB'!$A:$G,2,0))</f>
        <v>1</v>
      </c>
      <c r="AE94">
        <f>IF(ISNA(VLOOKUP($A94&amp;AE$1,'For stats end Y DB'!$A:$G,2,0)),0,VLOOKUP($A94&amp;AE$1,'For stats end Y DB'!$A:$G,2,0))</f>
        <v>0</v>
      </c>
      <c r="AF94">
        <f>IF(ISNA(VLOOKUP($A94&amp;AF$1,'For stats end Y DB'!$A:$G,2,0)),0,VLOOKUP($A94&amp;AF$1,'For stats end Y DB'!$A:$G,2,0))</f>
        <v>0</v>
      </c>
      <c r="AG94">
        <f>IF(ISNA(VLOOKUP($A94&amp;AG$1,'For stats end Y DB'!$A:$G,2,0)),0,VLOOKUP($A94&amp;AG$1,'For stats end Y DB'!$A:$G,2,0))</f>
        <v>0</v>
      </c>
      <c r="AH94">
        <f>IF(ISNA(VLOOKUP($A94&amp;AH$1,'For stats end Y DB'!$A:$G,2,0)),0,VLOOKUP($A94&amp;AH$1,'For stats end Y DB'!$A:$G,2,0))</f>
        <v>0</v>
      </c>
      <c r="AI94">
        <f>IF(ISNA(VLOOKUP($A94&amp;AI$1,'For stats end Y DB'!$A:$G,2,0)),0,VLOOKUP($A94&amp;AI$1,'For stats end Y DB'!$A:$G,2,0))</f>
        <v>0</v>
      </c>
      <c r="AJ94">
        <f>IF(ISNA(VLOOKUP($A94&amp;AJ$1,'For stats end Y DB'!$A:$G,2,0)),0,VLOOKUP($A94&amp;AJ$1,'For stats end Y DB'!$A:$G,2,0))</f>
        <v>0</v>
      </c>
      <c r="AK94">
        <f>IF(ISNA(VLOOKUP($A94&amp;AK$1,'For stats end Y DB'!$A:$G,2,0)),0,VLOOKUP($A94&amp;AK$1,'For stats end Y DB'!$A:$G,2,0))</f>
        <v>0</v>
      </c>
      <c r="AL94">
        <f>IF(ISNA(VLOOKUP($A94&amp;AL$1,'For stats end Y DB'!$A:$G,2,0)),0,VLOOKUP($A94&amp;AL$1,'For stats end Y DB'!$A:$G,2,0))</f>
        <v>0</v>
      </c>
      <c r="AM94">
        <f>IF(ISNA(VLOOKUP($A94&amp;AM$1,'For stats end Y DB'!$A:$G,2,0)),0,VLOOKUP($A94&amp;AM$1,'For stats end Y DB'!$A:$G,2,0))</f>
        <v>0</v>
      </c>
      <c r="AN94">
        <f>IF(ISNA(VLOOKUP($A94&amp;AN$1,'For stats end Y DB'!$A:$G,2,0)),0,VLOOKUP($A94&amp;AN$1,'For stats end Y DB'!$A:$G,2,0))</f>
        <v>0</v>
      </c>
      <c r="AP94" t="str">
        <f t="shared" si="8"/>
        <v>Soupaman</v>
      </c>
      <c r="AQ94">
        <f t="shared" si="9"/>
        <v>2</v>
      </c>
      <c r="AR94">
        <f t="shared" si="9"/>
        <v>3</v>
      </c>
      <c r="AS94">
        <f t="shared" si="9"/>
        <v>5</v>
      </c>
      <c r="AT94" s="9">
        <f t="shared" si="6"/>
        <v>0</v>
      </c>
      <c r="AU94">
        <f t="shared" si="7"/>
        <v>20</v>
      </c>
    </row>
    <row r="95" spans="1:47" x14ac:dyDescent="0.2">
      <c r="A95" s="12" t="s">
        <v>516</v>
      </c>
      <c r="B95">
        <f>IF(ISNA(VLOOKUP($A95&amp;B$1,'For stats end Y DB'!$A:$G,2,0)),0,VLOOKUP($A95&amp;B$1,'For stats end Y DB'!$A:$G,2,0))</f>
        <v>6</v>
      </c>
      <c r="C95">
        <f>IF(ISNA(VLOOKUP($A95&amp;C$1,'For stats end Y DB'!$A:$G,2,0)),0,VLOOKUP($A95&amp;C$1,'For stats end Y DB'!$A:$G,2,0))</f>
        <v>2</v>
      </c>
      <c r="D95">
        <f>IF(ISNA(VLOOKUP($A95&amp;D$1,'For stats end Y DB'!$A:$G,2,0)),0,VLOOKUP($A95&amp;D$1,'For stats end Y DB'!$A:$G,2,0))</f>
        <v>2</v>
      </c>
      <c r="E95">
        <f>IF(ISNA(VLOOKUP($A95&amp;E$1,'For stats end Y DB'!$A:$G,2,0)),0,VLOOKUP($A95&amp;E$1,'For stats end Y DB'!$A:$G,2,0))</f>
        <v>4</v>
      </c>
      <c r="F95">
        <f>IF(ISNA(VLOOKUP($A95&amp;F$1,'For stats end Y DB'!$A:$G,2,0)),0,VLOOKUP($A95&amp;F$1,'For stats end Y DB'!$A:$G,2,0))</f>
        <v>2</v>
      </c>
      <c r="G95">
        <f>IF(ISNA(VLOOKUP($A95&amp;G$1,'For stats end Y DB'!$A:$G,2,0)),0,VLOOKUP($A95&amp;G$1,'For stats end Y DB'!$A:$G,2,0))</f>
        <v>3</v>
      </c>
      <c r="H95">
        <f>IF(ISNA(VLOOKUP($A95&amp;H$1,'For stats end Y DB'!$A:$G,2,0)),0,VLOOKUP($A95&amp;H$1,'For stats end Y DB'!$A:$G,2,0))</f>
        <v>0</v>
      </c>
      <c r="I95">
        <f>IF(ISNA(VLOOKUP($A95&amp;I$1,'For stats end Y DB'!$A:$G,2,0)),0,VLOOKUP($A95&amp;I$1,'For stats end Y DB'!$A:$G,2,0))</f>
        <v>0</v>
      </c>
      <c r="J95">
        <f>IF(ISNA(VLOOKUP($A95&amp;J$1,'For stats end Y DB'!$A:$G,2,0)),0,VLOOKUP($A95&amp;J$1,'For stats end Y DB'!$A:$G,2,0))</f>
        <v>7</v>
      </c>
      <c r="K95">
        <f>IF(ISNA(VLOOKUP($A95&amp;K$1,'For stats end Y DB'!$A:$G,2,0)),0,VLOOKUP($A95&amp;K$1,'For stats end Y DB'!$A:$G,2,0))</f>
        <v>5</v>
      </c>
      <c r="L95">
        <f>IF(ISNA(VLOOKUP($A95&amp;L$1,'For stats end Y DB'!$A:$G,2,0)),0,VLOOKUP($A95&amp;L$1,'For stats end Y DB'!$A:$G,2,0))</f>
        <v>3</v>
      </c>
      <c r="M95">
        <f>IF(ISNA(VLOOKUP($A95&amp;M$1,'For stats end Y DB'!$A:$G,2,0)),0,VLOOKUP($A95&amp;M$1,'For stats end Y DB'!$A:$G,2,0))</f>
        <v>1</v>
      </c>
      <c r="N95">
        <f>IF(ISNA(VLOOKUP($A95&amp;N$1,'For stats end Y DB'!$A:$G,2,0)),0,VLOOKUP($A95&amp;N$1,'For stats end Y DB'!$A:$G,2,0))</f>
        <v>5</v>
      </c>
      <c r="O95">
        <f>IF(ISNA(VLOOKUP($A95&amp;O$1,'For stats end Y DB'!$A:$G,2,0)),0,VLOOKUP($A95&amp;O$1,'For stats end Y DB'!$A:$G,2,0))</f>
        <v>0</v>
      </c>
      <c r="P95">
        <f>IF(ISNA(VLOOKUP($A95&amp;P$1,'For stats end Y DB'!$A:$G,2,0)),0,VLOOKUP($A95&amp;P$1,'For stats end Y DB'!$A:$G,2,0))</f>
        <v>2</v>
      </c>
      <c r="Q95">
        <f>IF(ISNA(VLOOKUP($A95&amp;Q$1,'For stats end Y DB'!$A:$G,2,0)),0,VLOOKUP($A95&amp;Q$1,'For stats end Y DB'!$A:$G,2,0))</f>
        <v>7</v>
      </c>
      <c r="R95">
        <f>IF(ISNA(VLOOKUP($A95&amp;R$1,'For stats end Y DB'!$A:$G,2,0)),0,VLOOKUP($A95&amp;R$1,'For stats end Y DB'!$A:$G,2,0))</f>
        <v>6</v>
      </c>
      <c r="S95">
        <f>IF(ISNA(VLOOKUP($A95&amp;S$1,'For stats end Y DB'!$A:$G,2,0)),0,VLOOKUP($A95&amp;S$1,'For stats end Y DB'!$A:$G,2,0))</f>
        <v>7</v>
      </c>
      <c r="T95">
        <f>IF(ISNA(VLOOKUP($A95&amp;T$1,'For stats end Y DB'!$A:$G,2,0)),0,VLOOKUP($A95&amp;T$1,'For stats end Y DB'!$A:$G,2,0))</f>
        <v>3</v>
      </c>
      <c r="U95">
        <f>IF(ISNA(VLOOKUP($A95&amp;U$1,'For stats end Y DB'!$A:$G,2,0)),0,VLOOKUP($A95&amp;U$1,'For stats end Y DB'!$A:$G,2,0))</f>
        <v>4</v>
      </c>
      <c r="V95">
        <f>IF(ISNA(VLOOKUP($A95&amp;V$1,'For stats end Y DB'!$A:$G,2,0)),0,VLOOKUP($A95&amp;V$1,'For stats end Y DB'!$A:$G,2,0))</f>
        <v>5</v>
      </c>
      <c r="W95">
        <f>IF(ISNA(VLOOKUP($A95&amp;W$1,'For stats end Y DB'!$A:$G,2,0)),0,VLOOKUP($A95&amp;W$1,'For stats end Y DB'!$A:$G,2,0))</f>
        <v>0</v>
      </c>
      <c r="X95">
        <f>IF(ISNA(VLOOKUP($A95&amp;X$1,'For stats end Y DB'!$A:$G,2,0)),0,VLOOKUP($A95&amp;X$1,'For stats end Y DB'!$A:$G,2,0))</f>
        <v>5</v>
      </c>
      <c r="Y95">
        <f>IF(ISNA(VLOOKUP($A95&amp;Y$1,'For stats end Y DB'!$A:$G,2,0)),0,VLOOKUP($A95&amp;Y$1,'For stats end Y DB'!$A:$G,2,0))</f>
        <v>5</v>
      </c>
      <c r="Z95">
        <f>IF(ISNA(VLOOKUP($A95&amp;Z$1,'For stats end Y DB'!$A:$G,2,0)),0,VLOOKUP($A95&amp;Z$1,'For stats end Y DB'!$A:$G,2,0))</f>
        <v>3</v>
      </c>
      <c r="AA95">
        <f>IF(ISNA(VLOOKUP($A95&amp;AA$1,'For stats end Y DB'!$A:$G,2,0)),0,VLOOKUP($A95&amp;AA$1,'For stats end Y DB'!$A:$G,2,0))</f>
        <v>0</v>
      </c>
      <c r="AB95">
        <f>IF(ISNA(VLOOKUP($A95&amp;AB$1,'For stats end Y DB'!$A:$G,2,0)),0,VLOOKUP($A95&amp;AB$1,'For stats end Y DB'!$A:$G,2,0))</f>
        <v>6</v>
      </c>
      <c r="AC95">
        <f>IF(ISNA(VLOOKUP($A95&amp;AC$1,'For stats end Y DB'!$A:$G,2,0)),0,VLOOKUP($A95&amp;AC$1,'For stats end Y DB'!$A:$G,2,0))</f>
        <v>1</v>
      </c>
      <c r="AD95">
        <f>IF(ISNA(VLOOKUP($A95&amp;AD$1,'For stats end Y DB'!$A:$G,2,0)),0,VLOOKUP($A95&amp;AD$1,'For stats end Y DB'!$A:$G,2,0))</f>
        <v>4</v>
      </c>
      <c r="AE95">
        <f>IF(ISNA(VLOOKUP($A95&amp;AE$1,'For stats end Y DB'!$A:$G,2,0)),0,VLOOKUP($A95&amp;AE$1,'For stats end Y DB'!$A:$G,2,0))</f>
        <v>1</v>
      </c>
      <c r="AF95">
        <f>IF(ISNA(VLOOKUP($A95&amp;AF$1,'For stats end Y DB'!$A:$G,2,0)),0,VLOOKUP($A95&amp;AF$1,'For stats end Y DB'!$A:$G,2,0))</f>
        <v>6</v>
      </c>
      <c r="AG95">
        <f>IF(ISNA(VLOOKUP($A95&amp;AG$1,'For stats end Y DB'!$A:$G,2,0)),0,VLOOKUP($A95&amp;AG$1,'For stats end Y DB'!$A:$G,2,0))</f>
        <v>1</v>
      </c>
      <c r="AH95">
        <f>IF(ISNA(VLOOKUP($A95&amp;AH$1,'For stats end Y DB'!$A:$G,2,0)),0,VLOOKUP($A95&amp;AH$1,'For stats end Y DB'!$A:$G,2,0))</f>
        <v>1</v>
      </c>
      <c r="AI95">
        <f>IF(ISNA(VLOOKUP($A95&amp;AI$1,'For stats end Y DB'!$A:$G,2,0)),0,VLOOKUP($A95&amp;AI$1,'For stats end Y DB'!$A:$G,2,0))</f>
        <v>0</v>
      </c>
      <c r="AJ95">
        <f>IF(ISNA(VLOOKUP($A95&amp;AJ$1,'For stats end Y DB'!$A:$G,2,0)),0,VLOOKUP($A95&amp;AJ$1,'For stats end Y DB'!$A:$G,2,0))</f>
        <v>0</v>
      </c>
      <c r="AK95">
        <f>IF(ISNA(VLOOKUP($A95&amp;AK$1,'For stats end Y DB'!$A:$G,2,0)),0,VLOOKUP($A95&amp;AK$1,'For stats end Y DB'!$A:$G,2,0))</f>
        <v>0</v>
      </c>
      <c r="AL95">
        <f>IF(ISNA(VLOOKUP($A95&amp;AL$1,'For stats end Y DB'!$A:$G,2,0)),0,VLOOKUP($A95&amp;AL$1,'For stats end Y DB'!$A:$G,2,0))</f>
        <v>0</v>
      </c>
      <c r="AM95">
        <f>IF(ISNA(VLOOKUP($A95&amp;AM$1,'For stats end Y DB'!$A:$G,2,0)),0,VLOOKUP($A95&amp;AM$1,'For stats end Y DB'!$A:$G,2,0))</f>
        <v>0</v>
      </c>
      <c r="AN95">
        <f>IF(ISNA(VLOOKUP($A95&amp;AN$1,'For stats end Y DB'!$A:$G,2,0)),0,VLOOKUP($A95&amp;AN$1,'For stats end Y DB'!$A:$G,2,0))</f>
        <v>0</v>
      </c>
      <c r="AP95" t="str">
        <f t="shared" si="8"/>
        <v>Tenko</v>
      </c>
      <c r="AQ95">
        <f t="shared" si="9"/>
        <v>5</v>
      </c>
      <c r="AR95">
        <f t="shared" si="9"/>
        <v>4</v>
      </c>
      <c r="AS95">
        <f t="shared" si="9"/>
        <v>4</v>
      </c>
      <c r="AT95" s="9">
        <f t="shared" si="6"/>
        <v>0</v>
      </c>
      <c r="AU95">
        <f t="shared" si="7"/>
        <v>28</v>
      </c>
    </row>
    <row r="96" spans="1:47" x14ac:dyDescent="0.2">
      <c r="A96" s="12" t="s">
        <v>452</v>
      </c>
      <c r="B96">
        <f>IF(ISNA(VLOOKUP($A96&amp;B$1,'For stats end Y DB'!$A:$G,2,0)),0,VLOOKUP($A96&amp;B$1,'For stats end Y DB'!$A:$G,2,0))</f>
        <v>0</v>
      </c>
      <c r="C96">
        <f>IF(ISNA(VLOOKUP($A96&amp;C$1,'For stats end Y DB'!$A:$G,2,0)),0,VLOOKUP($A96&amp;C$1,'For stats end Y DB'!$A:$G,2,0))</f>
        <v>0</v>
      </c>
      <c r="D96">
        <f>IF(ISNA(VLOOKUP($A96&amp;D$1,'For stats end Y DB'!$A:$G,2,0)),0,VLOOKUP($A96&amp;D$1,'For stats end Y DB'!$A:$G,2,0))</f>
        <v>4</v>
      </c>
      <c r="E96">
        <f>IF(ISNA(VLOOKUP($A96&amp;E$1,'For stats end Y DB'!$A:$G,2,0)),0,VLOOKUP($A96&amp;E$1,'For stats end Y DB'!$A:$G,2,0))</f>
        <v>3</v>
      </c>
      <c r="F96">
        <f>IF(ISNA(VLOOKUP($A96&amp;F$1,'For stats end Y DB'!$A:$G,2,0)),0,VLOOKUP($A96&amp;F$1,'For stats end Y DB'!$A:$G,2,0))</f>
        <v>2</v>
      </c>
      <c r="G96">
        <f>IF(ISNA(VLOOKUP($A96&amp;G$1,'For stats end Y DB'!$A:$G,2,0)),0,VLOOKUP($A96&amp;G$1,'For stats end Y DB'!$A:$G,2,0))</f>
        <v>2</v>
      </c>
      <c r="H96">
        <f>IF(ISNA(VLOOKUP($A96&amp;H$1,'For stats end Y DB'!$A:$G,2,0)),0,VLOOKUP($A96&amp;H$1,'For stats end Y DB'!$A:$G,2,0))</f>
        <v>1</v>
      </c>
      <c r="I96">
        <f>IF(ISNA(VLOOKUP($A96&amp;I$1,'For stats end Y DB'!$A:$G,2,0)),0,VLOOKUP($A96&amp;I$1,'For stats end Y DB'!$A:$G,2,0))</f>
        <v>3</v>
      </c>
      <c r="J96">
        <f>IF(ISNA(VLOOKUP($A96&amp;J$1,'For stats end Y DB'!$A:$G,2,0)),0,VLOOKUP($A96&amp;J$1,'For stats end Y DB'!$A:$G,2,0))</f>
        <v>2</v>
      </c>
      <c r="K96">
        <f>IF(ISNA(VLOOKUP($A96&amp;K$1,'For stats end Y DB'!$A:$G,2,0)),0,VLOOKUP($A96&amp;K$1,'For stats end Y DB'!$A:$G,2,0))</f>
        <v>1</v>
      </c>
      <c r="L96">
        <f>IF(ISNA(VLOOKUP($A96&amp;L$1,'For stats end Y DB'!$A:$G,2,0)),0,VLOOKUP($A96&amp;L$1,'For stats end Y DB'!$A:$G,2,0))</f>
        <v>5</v>
      </c>
      <c r="M96">
        <f>IF(ISNA(VLOOKUP($A96&amp;M$1,'For stats end Y DB'!$A:$G,2,0)),0,VLOOKUP($A96&amp;M$1,'For stats end Y DB'!$A:$G,2,0))</f>
        <v>6</v>
      </c>
      <c r="N96">
        <f>IF(ISNA(VLOOKUP($A96&amp;N$1,'For stats end Y DB'!$A:$G,2,0)),0,VLOOKUP($A96&amp;N$1,'For stats end Y DB'!$A:$G,2,0))</f>
        <v>0</v>
      </c>
      <c r="O96">
        <f>IF(ISNA(VLOOKUP($A96&amp;O$1,'For stats end Y DB'!$A:$G,2,0)),0,VLOOKUP($A96&amp;O$1,'For stats end Y DB'!$A:$G,2,0))</f>
        <v>1</v>
      </c>
      <c r="P96">
        <f>IF(ISNA(VLOOKUP($A96&amp;P$1,'For stats end Y DB'!$A:$G,2,0)),0,VLOOKUP($A96&amp;P$1,'For stats end Y DB'!$A:$G,2,0))</f>
        <v>5</v>
      </c>
      <c r="Q96">
        <f>IF(ISNA(VLOOKUP($A96&amp;Q$1,'For stats end Y DB'!$A:$G,2,0)),0,VLOOKUP($A96&amp;Q$1,'For stats end Y DB'!$A:$G,2,0))</f>
        <v>0</v>
      </c>
      <c r="R96">
        <f>IF(ISNA(VLOOKUP($A96&amp;R$1,'For stats end Y DB'!$A:$G,2,0)),0,VLOOKUP($A96&amp;R$1,'For stats end Y DB'!$A:$G,2,0))</f>
        <v>0</v>
      </c>
      <c r="S96">
        <f>IF(ISNA(VLOOKUP($A96&amp;S$1,'For stats end Y DB'!$A:$G,2,0)),0,VLOOKUP($A96&amp;S$1,'For stats end Y DB'!$A:$G,2,0))</f>
        <v>0</v>
      </c>
      <c r="T96">
        <f>IF(ISNA(VLOOKUP($A96&amp;T$1,'For stats end Y DB'!$A:$G,2,0)),0,VLOOKUP($A96&amp;T$1,'For stats end Y DB'!$A:$G,2,0))</f>
        <v>1</v>
      </c>
      <c r="U96">
        <f>IF(ISNA(VLOOKUP($A96&amp;U$1,'For stats end Y DB'!$A:$G,2,0)),0,VLOOKUP($A96&amp;U$1,'For stats end Y DB'!$A:$G,2,0))</f>
        <v>0</v>
      </c>
      <c r="V96">
        <f>IF(ISNA(VLOOKUP($A96&amp;V$1,'For stats end Y DB'!$A:$G,2,0)),0,VLOOKUP($A96&amp;V$1,'For stats end Y DB'!$A:$G,2,0))</f>
        <v>0</v>
      </c>
      <c r="W96">
        <f>IF(ISNA(VLOOKUP($A96&amp;W$1,'For stats end Y DB'!$A:$G,2,0)),0,VLOOKUP($A96&amp;W$1,'For stats end Y DB'!$A:$G,2,0))</f>
        <v>0</v>
      </c>
      <c r="X96">
        <f>IF(ISNA(VLOOKUP($A96&amp;X$1,'For stats end Y DB'!$A:$G,2,0)),0,VLOOKUP($A96&amp;X$1,'For stats end Y DB'!$A:$G,2,0))</f>
        <v>0</v>
      </c>
      <c r="Y96">
        <f>IF(ISNA(VLOOKUP($A96&amp;Y$1,'For stats end Y DB'!$A:$G,2,0)),0,VLOOKUP($A96&amp;Y$1,'For stats end Y DB'!$A:$G,2,0))</f>
        <v>0</v>
      </c>
      <c r="Z96">
        <f>IF(ISNA(VLOOKUP($A96&amp;Z$1,'For stats end Y DB'!$A:$G,2,0)),0,VLOOKUP($A96&amp;Z$1,'For stats end Y DB'!$A:$G,2,0))</f>
        <v>0</v>
      </c>
      <c r="AA96">
        <f>IF(ISNA(VLOOKUP($A96&amp;AA$1,'For stats end Y DB'!$A:$G,2,0)),0,VLOOKUP($A96&amp;AA$1,'For stats end Y DB'!$A:$G,2,0))</f>
        <v>0</v>
      </c>
      <c r="AB96">
        <f>IF(ISNA(VLOOKUP($A96&amp;AB$1,'For stats end Y DB'!$A:$G,2,0)),0,VLOOKUP($A96&amp;AB$1,'For stats end Y DB'!$A:$G,2,0))</f>
        <v>0</v>
      </c>
      <c r="AC96">
        <f>IF(ISNA(VLOOKUP($A96&amp;AC$1,'For stats end Y DB'!$A:$G,2,0)),0,VLOOKUP($A96&amp;AC$1,'For stats end Y DB'!$A:$G,2,0))</f>
        <v>4</v>
      </c>
      <c r="AD96">
        <f>IF(ISNA(VLOOKUP($A96&amp;AD$1,'For stats end Y DB'!$A:$G,2,0)),0,VLOOKUP($A96&amp;AD$1,'For stats end Y DB'!$A:$G,2,0))</f>
        <v>2</v>
      </c>
      <c r="AE96">
        <f>IF(ISNA(VLOOKUP($A96&amp;AE$1,'For stats end Y DB'!$A:$G,2,0)),0,VLOOKUP($A96&amp;AE$1,'For stats end Y DB'!$A:$G,2,0))</f>
        <v>3</v>
      </c>
      <c r="AF96">
        <f>IF(ISNA(VLOOKUP($A96&amp;AF$1,'For stats end Y DB'!$A:$G,2,0)),0,VLOOKUP($A96&amp;AF$1,'For stats end Y DB'!$A:$G,2,0))</f>
        <v>0</v>
      </c>
      <c r="AG96">
        <f>IF(ISNA(VLOOKUP($A96&amp;AG$1,'For stats end Y DB'!$A:$G,2,0)),0,VLOOKUP($A96&amp;AG$1,'For stats end Y DB'!$A:$G,2,0))</f>
        <v>1</v>
      </c>
      <c r="AH96">
        <f>IF(ISNA(VLOOKUP($A96&amp;AH$1,'For stats end Y DB'!$A:$G,2,0)),0,VLOOKUP($A96&amp;AH$1,'For stats end Y DB'!$A:$G,2,0))</f>
        <v>0</v>
      </c>
      <c r="AI96">
        <f>IF(ISNA(VLOOKUP($A96&amp;AI$1,'For stats end Y DB'!$A:$G,2,0)),0,VLOOKUP($A96&amp;AI$1,'For stats end Y DB'!$A:$G,2,0))</f>
        <v>0</v>
      </c>
      <c r="AJ96">
        <f>IF(ISNA(VLOOKUP($A96&amp;AJ$1,'For stats end Y DB'!$A:$G,2,0)),0,VLOOKUP($A96&amp;AJ$1,'For stats end Y DB'!$A:$G,2,0))</f>
        <v>0</v>
      </c>
      <c r="AK96">
        <f>IF(ISNA(VLOOKUP($A96&amp;AK$1,'For stats end Y DB'!$A:$G,2,0)),0,VLOOKUP($A96&amp;AK$1,'For stats end Y DB'!$A:$G,2,0))</f>
        <v>0</v>
      </c>
      <c r="AL96">
        <f>IF(ISNA(VLOOKUP($A96&amp;AL$1,'For stats end Y DB'!$A:$G,2,0)),0,VLOOKUP($A96&amp;AL$1,'For stats end Y DB'!$A:$G,2,0))</f>
        <v>0</v>
      </c>
      <c r="AM96">
        <f>IF(ISNA(VLOOKUP($A96&amp;AM$1,'For stats end Y DB'!$A:$G,2,0)),0,VLOOKUP($A96&amp;AM$1,'For stats end Y DB'!$A:$G,2,0))</f>
        <v>0</v>
      </c>
      <c r="AN96">
        <f>IF(ISNA(VLOOKUP($A96&amp;AN$1,'For stats end Y DB'!$A:$G,2,0)),0,VLOOKUP($A96&amp;AN$1,'For stats end Y DB'!$A:$G,2,0))</f>
        <v>0</v>
      </c>
      <c r="AP96" t="str">
        <f t="shared" si="8"/>
        <v>The Hengover</v>
      </c>
      <c r="AQ96">
        <f t="shared" si="9"/>
        <v>5</v>
      </c>
      <c r="AR96">
        <f t="shared" si="9"/>
        <v>4</v>
      </c>
      <c r="AS96">
        <f t="shared" si="9"/>
        <v>3</v>
      </c>
      <c r="AT96" s="9">
        <f t="shared" si="6"/>
        <v>0</v>
      </c>
      <c r="AU96">
        <f t="shared" si="7"/>
        <v>17</v>
      </c>
    </row>
    <row r="97" spans="1:47" x14ac:dyDescent="0.2">
      <c r="A97" s="12" t="s">
        <v>535</v>
      </c>
      <c r="B97">
        <f>IF(ISNA(VLOOKUP($A97&amp;B$1,'For stats end Y DB'!$A:$G,2,0)),0,VLOOKUP($A97&amp;B$1,'For stats end Y DB'!$A:$G,2,0))</f>
        <v>0</v>
      </c>
      <c r="C97">
        <f>IF(ISNA(VLOOKUP($A97&amp;C$1,'For stats end Y DB'!$A:$G,2,0)),0,VLOOKUP($A97&amp;C$1,'For stats end Y DB'!$A:$G,2,0))</f>
        <v>0</v>
      </c>
      <c r="D97">
        <f>IF(ISNA(VLOOKUP($A97&amp;D$1,'For stats end Y DB'!$A:$G,2,0)),0,VLOOKUP($A97&amp;D$1,'For stats end Y DB'!$A:$G,2,0))</f>
        <v>4</v>
      </c>
      <c r="E97">
        <f>IF(ISNA(VLOOKUP($A97&amp;E$1,'For stats end Y DB'!$A:$G,2,0)),0,VLOOKUP($A97&amp;E$1,'For stats end Y DB'!$A:$G,2,0))</f>
        <v>7</v>
      </c>
      <c r="F97">
        <f>IF(ISNA(VLOOKUP($A97&amp;F$1,'For stats end Y DB'!$A:$G,2,0)),0,VLOOKUP($A97&amp;F$1,'For stats end Y DB'!$A:$G,2,0))</f>
        <v>0</v>
      </c>
      <c r="G97">
        <f>IF(ISNA(VLOOKUP($A97&amp;G$1,'For stats end Y DB'!$A:$G,2,0)),0,VLOOKUP($A97&amp;G$1,'For stats end Y DB'!$A:$G,2,0))</f>
        <v>1</v>
      </c>
      <c r="H97">
        <f>IF(ISNA(VLOOKUP($A97&amp;H$1,'For stats end Y DB'!$A:$G,2,0)),0,VLOOKUP($A97&amp;H$1,'For stats end Y DB'!$A:$G,2,0))</f>
        <v>1</v>
      </c>
      <c r="I97">
        <f>IF(ISNA(VLOOKUP($A97&amp;I$1,'For stats end Y DB'!$A:$G,2,0)),0,VLOOKUP($A97&amp;I$1,'For stats end Y DB'!$A:$G,2,0))</f>
        <v>5</v>
      </c>
      <c r="J97">
        <f>IF(ISNA(VLOOKUP($A97&amp;J$1,'For stats end Y DB'!$A:$G,2,0)),0,VLOOKUP($A97&amp;J$1,'For stats end Y DB'!$A:$G,2,0))</f>
        <v>5</v>
      </c>
      <c r="K97">
        <f>IF(ISNA(VLOOKUP($A97&amp;K$1,'For stats end Y DB'!$A:$G,2,0)),0,VLOOKUP($A97&amp;K$1,'For stats end Y DB'!$A:$G,2,0))</f>
        <v>1</v>
      </c>
      <c r="L97">
        <f>IF(ISNA(VLOOKUP($A97&amp;L$1,'For stats end Y DB'!$A:$G,2,0)),0,VLOOKUP($A97&amp;L$1,'For stats end Y DB'!$A:$G,2,0))</f>
        <v>2</v>
      </c>
      <c r="M97">
        <f>IF(ISNA(VLOOKUP($A97&amp;M$1,'For stats end Y DB'!$A:$G,2,0)),0,VLOOKUP($A97&amp;M$1,'For stats end Y DB'!$A:$G,2,0))</f>
        <v>2</v>
      </c>
      <c r="N97">
        <f>IF(ISNA(VLOOKUP($A97&amp;N$1,'For stats end Y DB'!$A:$G,2,0)),0,VLOOKUP($A97&amp;N$1,'For stats end Y DB'!$A:$G,2,0))</f>
        <v>1</v>
      </c>
      <c r="O97">
        <f>IF(ISNA(VLOOKUP($A97&amp;O$1,'For stats end Y DB'!$A:$G,2,0)),0,VLOOKUP($A97&amp;O$1,'For stats end Y DB'!$A:$G,2,0))</f>
        <v>6</v>
      </c>
      <c r="P97">
        <f>IF(ISNA(VLOOKUP($A97&amp;P$1,'For stats end Y DB'!$A:$G,2,0)),0,VLOOKUP($A97&amp;P$1,'For stats end Y DB'!$A:$G,2,0))</f>
        <v>0</v>
      </c>
      <c r="Q97">
        <f>IF(ISNA(VLOOKUP($A97&amp;Q$1,'For stats end Y DB'!$A:$G,2,0)),0,VLOOKUP($A97&amp;Q$1,'For stats end Y DB'!$A:$G,2,0))</f>
        <v>0</v>
      </c>
      <c r="R97">
        <f>IF(ISNA(VLOOKUP($A97&amp;R$1,'For stats end Y DB'!$A:$G,2,0)),0,VLOOKUP($A97&amp;R$1,'For stats end Y DB'!$A:$G,2,0))</f>
        <v>6</v>
      </c>
      <c r="S97">
        <f>IF(ISNA(VLOOKUP($A97&amp;S$1,'For stats end Y DB'!$A:$G,2,0)),0,VLOOKUP($A97&amp;S$1,'For stats end Y DB'!$A:$G,2,0))</f>
        <v>5</v>
      </c>
      <c r="T97">
        <f>IF(ISNA(VLOOKUP($A97&amp;T$1,'For stats end Y DB'!$A:$G,2,0)),0,VLOOKUP($A97&amp;T$1,'For stats end Y DB'!$A:$G,2,0))</f>
        <v>0</v>
      </c>
      <c r="U97">
        <f>IF(ISNA(VLOOKUP($A97&amp;U$1,'For stats end Y DB'!$A:$G,2,0)),0,VLOOKUP($A97&amp;U$1,'For stats end Y DB'!$A:$G,2,0))</f>
        <v>6</v>
      </c>
      <c r="V97">
        <f>IF(ISNA(VLOOKUP($A97&amp;V$1,'For stats end Y DB'!$A:$G,2,0)),0,VLOOKUP($A97&amp;V$1,'For stats end Y DB'!$A:$G,2,0))</f>
        <v>6</v>
      </c>
      <c r="W97">
        <f>IF(ISNA(VLOOKUP($A97&amp;W$1,'For stats end Y DB'!$A:$G,2,0)),0,VLOOKUP($A97&amp;W$1,'For stats end Y DB'!$A:$G,2,0))</f>
        <v>1</v>
      </c>
      <c r="X97">
        <f>IF(ISNA(VLOOKUP($A97&amp;X$1,'For stats end Y DB'!$A:$G,2,0)),0,VLOOKUP($A97&amp;X$1,'For stats end Y DB'!$A:$G,2,0))</f>
        <v>2</v>
      </c>
      <c r="Y97">
        <f>IF(ISNA(VLOOKUP($A97&amp;Y$1,'For stats end Y DB'!$A:$G,2,0)),0,VLOOKUP($A97&amp;Y$1,'For stats end Y DB'!$A:$G,2,0))</f>
        <v>4</v>
      </c>
      <c r="Z97">
        <f>IF(ISNA(VLOOKUP($A97&amp;Z$1,'For stats end Y DB'!$A:$G,2,0)),0,VLOOKUP($A97&amp;Z$1,'For stats end Y DB'!$A:$G,2,0))</f>
        <v>1</v>
      </c>
      <c r="AA97">
        <f>IF(ISNA(VLOOKUP($A97&amp;AA$1,'For stats end Y DB'!$A:$G,2,0)),0,VLOOKUP($A97&amp;AA$1,'For stats end Y DB'!$A:$G,2,0))</f>
        <v>4</v>
      </c>
      <c r="AB97">
        <f>IF(ISNA(VLOOKUP($A97&amp;AB$1,'For stats end Y DB'!$A:$G,2,0)),0,VLOOKUP($A97&amp;AB$1,'For stats end Y DB'!$A:$G,2,0))</f>
        <v>4</v>
      </c>
      <c r="AC97">
        <f>IF(ISNA(VLOOKUP($A97&amp;AC$1,'For stats end Y DB'!$A:$G,2,0)),0,VLOOKUP($A97&amp;AC$1,'For stats end Y DB'!$A:$G,2,0))</f>
        <v>5</v>
      </c>
      <c r="AD97">
        <f>IF(ISNA(VLOOKUP($A97&amp;AD$1,'For stats end Y DB'!$A:$G,2,0)),0,VLOOKUP($A97&amp;AD$1,'For stats end Y DB'!$A:$G,2,0))</f>
        <v>3</v>
      </c>
      <c r="AE97">
        <f>IF(ISNA(VLOOKUP($A97&amp;AE$1,'For stats end Y DB'!$A:$G,2,0)),0,VLOOKUP($A97&amp;AE$1,'For stats end Y DB'!$A:$G,2,0))</f>
        <v>6</v>
      </c>
      <c r="AF97">
        <f>IF(ISNA(VLOOKUP($A97&amp;AF$1,'For stats end Y DB'!$A:$G,2,0)),0,VLOOKUP($A97&amp;AF$1,'For stats end Y DB'!$A:$G,2,0))</f>
        <v>6</v>
      </c>
      <c r="AG97">
        <f>IF(ISNA(VLOOKUP($A97&amp;AG$1,'For stats end Y DB'!$A:$G,2,0)),0,VLOOKUP($A97&amp;AG$1,'For stats end Y DB'!$A:$G,2,0))</f>
        <v>4</v>
      </c>
      <c r="AH97">
        <f>IF(ISNA(VLOOKUP($A97&amp;AH$1,'For stats end Y DB'!$A:$G,2,0)),0,VLOOKUP($A97&amp;AH$1,'For stats end Y DB'!$A:$G,2,0))</f>
        <v>1</v>
      </c>
      <c r="AI97">
        <f>IF(ISNA(VLOOKUP($A97&amp;AI$1,'For stats end Y DB'!$A:$G,2,0)),0,VLOOKUP($A97&amp;AI$1,'For stats end Y DB'!$A:$G,2,0))</f>
        <v>0</v>
      </c>
      <c r="AJ97">
        <f>IF(ISNA(VLOOKUP($A97&amp;AJ$1,'For stats end Y DB'!$A:$G,2,0)),0,VLOOKUP($A97&amp;AJ$1,'For stats end Y DB'!$A:$G,2,0))</f>
        <v>0</v>
      </c>
      <c r="AK97">
        <f>IF(ISNA(VLOOKUP($A97&amp;AK$1,'For stats end Y DB'!$A:$G,2,0)),0,VLOOKUP($A97&amp;AK$1,'For stats end Y DB'!$A:$G,2,0))</f>
        <v>0</v>
      </c>
      <c r="AL97">
        <f>IF(ISNA(VLOOKUP($A97&amp;AL$1,'For stats end Y DB'!$A:$G,2,0)),0,VLOOKUP($A97&amp;AL$1,'For stats end Y DB'!$A:$G,2,0))</f>
        <v>0</v>
      </c>
      <c r="AM97">
        <f>IF(ISNA(VLOOKUP($A97&amp;AM$1,'For stats end Y DB'!$A:$G,2,0)),0,VLOOKUP($A97&amp;AM$1,'For stats end Y DB'!$A:$G,2,0))</f>
        <v>0</v>
      </c>
      <c r="AN97">
        <f>IF(ISNA(VLOOKUP($A97&amp;AN$1,'For stats end Y DB'!$A:$G,2,0)),0,VLOOKUP($A97&amp;AN$1,'For stats end Y DB'!$A:$G,2,0))</f>
        <v>0</v>
      </c>
      <c r="AP97" t="str">
        <f t="shared" si="8"/>
        <v>TheRealWill</v>
      </c>
      <c r="AQ97">
        <f t="shared" si="9"/>
        <v>7</v>
      </c>
      <c r="AR97">
        <f t="shared" si="9"/>
        <v>3</v>
      </c>
      <c r="AS97">
        <f t="shared" si="9"/>
        <v>1</v>
      </c>
      <c r="AT97" s="9">
        <f t="shared" si="6"/>
        <v>0</v>
      </c>
      <c r="AU97">
        <f t="shared" si="7"/>
        <v>27</v>
      </c>
    </row>
    <row r="98" spans="1:47" x14ac:dyDescent="0.2">
      <c r="A98" s="12" t="s">
        <v>345</v>
      </c>
      <c r="B98">
        <f>IF(ISNA(VLOOKUP($A98&amp;B$1,'For stats end Y DB'!$A:$G,2,0)),0,VLOOKUP($A98&amp;B$1,'For stats end Y DB'!$A:$G,2,0))</f>
        <v>5</v>
      </c>
      <c r="C98">
        <f>IF(ISNA(VLOOKUP($A98&amp;C$1,'For stats end Y DB'!$A:$G,2,0)),0,VLOOKUP($A98&amp;C$1,'For stats end Y DB'!$A:$G,2,0))</f>
        <v>1</v>
      </c>
      <c r="D98">
        <f>IF(ISNA(VLOOKUP($A98&amp;D$1,'For stats end Y DB'!$A:$G,2,0)),0,VLOOKUP($A98&amp;D$1,'For stats end Y DB'!$A:$G,2,0))</f>
        <v>6</v>
      </c>
      <c r="E98">
        <f>IF(ISNA(VLOOKUP($A98&amp;E$1,'For stats end Y DB'!$A:$G,2,0)),0,VLOOKUP($A98&amp;E$1,'For stats end Y DB'!$A:$G,2,0))</f>
        <v>7</v>
      </c>
      <c r="F98">
        <f>IF(ISNA(VLOOKUP($A98&amp;F$1,'For stats end Y DB'!$A:$G,2,0)),0,VLOOKUP($A98&amp;F$1,'For stats end Y DB'!$A:$G,2,0))</f>
        <v>5</v>
      </c>
      <c r="G98">
        <f>IF(ISNA(VLOOKUP($A98&amp;G$1,'For stats end Y DB'!$A:$G,2,0)),0,VLOOKUP($A98&amp;G$1,'For stats end Y DB'!$A:$G,2,0))</f>
        <v>3</v>
      </c>
      <c r="H98">
        <f>IF(ISNA(VLOOKUP($A98&amp;H$1,'For stats end Y DB'!$A:$G,2,0)),0,VLOOKUP($A98&amp;H$1,'For stats end Y DB'!$A:$G,2,0))</f>
        <v>0</v>
      </c>
      <c r="I98">
        <f>IF(ISNA(VLOOKUP($A98&amp;I$1,'For stats end Y DB'!$A:$G,2,0)),0,VLOOKUP($A98&amp;I$1,'For stats end Y DB'!$A:$G,2,0))</f>
        <v>2</v>
      </c>
      <c r="J98">
        <f>IF(ISNA(VLOOKUP($A98&amp;J$1,'For stats end Y DB'!$A:$G,2,0)),0,VLOOKUP($A98&amp;J$1,'For stats end Y DB'!$A:$G,2,0))</f>
        <v>7</v>
      </c>
      <c r="K98">
        <f>IF(ISNA(VLOOKUP($A98&amp;K$1,'For stats end Y DB'!$A:$G,2,0)),0,VLOOKUP($A98&amp;K$1,'For stats end Y DB'!$A:$G,2,0))</f>
        <v>6</v>
      </c>
      <c r="L98">
        <f>IF(ISNA(VLOOKUP($A98&amp;L$1,'For stats end Y DB'!$A:$G,2,0)),0,VLOOKUP($A98&amp;L$1,'For stats end Y DB'!$A:$G,2,0))</f>
        <v>6</v>
      </c>
      <c r="M98">
        <f>IF(ISNA(VLOOKUP($A98&amp;M$1,'For stats end Y DB'!$A:$G,2,0)),0,VLOOKUP($A98&amp;M$1,'For stats end Y DB'!$A:$G,2,0))</f>
        <v>5</v>
      </c>
      <c r="N98">
        <f>IF(ISNA(VLOOKUP($A98&amp;N$1,'For stats end Y DB'!$A:$G,2,0)),0,VLOOKUP($A98&amp;N$1,'For stats end Y DB'!$A:$G,2,0))</f>
        <v>2</v>
      </c>
      <c r="O98">
        <f>IF(ISNA(VLOOKUP($A98&amp;O$1,'For stats end Y DB'!$A:$G,2,0)),0,VLOOKUP($A98&amp;O$1,'For stats end Y DB'!$A:$G,2,0))</f>
        <v>1</v>
      </c>
      <c r="P98">
        <f>IF(ISNA(VLOOKUP($A98&amp;P$1,'For stats end Y DB'!$A:$G,2,0)),0,VLOOKUP($A98&amp;P$1,'For stats end Y DB'!$A:$G,2,0))</f>
        <v>5</v>
      </c>
      <c r="Q98">
        <f>IF(ISNA(VLOOKUP($A98&amp;Q$1,'For stats end Y DB'!$A:$G,2,0)),0,VLOOKUP($A98&amp;Q$1,'For stats end Y DB'!$A:$G,2,0))</f>
        <v>0</v>
      </c>
      <c r="R98">
        <f>IF(ISNA(VLOOKUP($A98&amp;R$1,'For stats end Y DB'!$A:$G,2,0)),0,VLOOKUP($A98&amp;R$1,'For stats end Y DB'!$A:$G,2,0))</f>
        <v>4</v>
      </c>
      <c r="S98">
        <f>IF(ISNA(VLOOKUP($A98&amp;S$1,'For stats end Y DB'!$A:$G,2,0)),0,VLOOKUP($A98&amp;S$1,'For stats end Y DB'!$A:$G,2,0))</f>
        <v>0</v>
      </c>
      <c r="T98">
        <f>IF(ISNA(VLOOKUP($A98&amp;T$1,'For stats end Y DB'!$A:$G,2,0)),0,VLOOKUP($A98&amp;T$1,'For stats end Y DB'!$A:$G,2,0))</f>
        <v>3</v>
      </c>
      <c r="U98">
        <f>IF(ISNA(VLOOKUP($A98&amp;U$1,'For stats end Y DB'!$A:$G,2,0)),0,VLOOKUP($A98&amp;U$1,'For stats end Y DB'!$A:$G,2,0))</f>
        <v>1</v>
      </c>
      <c r="V98">
        <f>IF(ISNA(VLOOKUP($A98&amp;V$1,'For stats end Y DB'!$A:$G,2,0)),0,VLOOKUP($A98&amp;V$1,'For stats end Y DB'!$A:$G,2,0))</f>
        <v>6</v>
      </c>
      <c r="W98">
        <f>IF(ISNA(VLOOKUP($A98&amp;W$1,'For stats end Y DB'!$A:$G,2,0)),0,VLOOKUP($A98&amp;W$1,'For stats end Y DB'!$A:$G,2,0))</f>
        <v>0</v>
      </c>
      <c r="X98">
        <f>IF(ISNA(VLOOKUP($A98&amp;X$1,'For stats end Y DB'!$A:$G,2,0)),0,VLOOKUP($A98&amp;X$1,'For stats end Y DB'!$A:$G,2,0))</f>
        <v>7</v>
      </c>
      <c r="Y98">
        <f>IF(ISNA(VLOOKUP($A98&amp;Y$1,'For stats end Y DB'!$A:$G,2,0)),0,VLOOKUP($A98&amp;Y$1,'For stats end Y DB'!$A:$G,2,0))</f>
        <v>2</v>
      </c>
      <c r="Z98">
        <f>IF(ISNA(VLOOKUP($A98&amp;Z$1,'For stats end Y DB'!$A:$G,2,0)),0,VLOOKUP($A98&amp;Z$1,'For stats end Y DB'!$A:$G,2,0))</f>
        <v>6</v>
      </c>
      <c r="AA98">
        <f>IF(ISNA(VLOOKUP($A98&amp;AA$1,'For stats end Y DB'!$A:$G,2,0)),0,VLOOKUP($A98&amp;AA$1,'For stats end Y DB'!$A:$G,2,0))</f>
        <v>3</v>
      </c>
      <c r="AB98">
        <f>IF(ISNA(VLOOKUP($A98&amp;AB$1,'For stats end Y DB'!$A:$G,2,0)),0,VLOOKUP($A98&amp;AB$1,'For stats end Y DB'!$A:$G,2,0))</f>
        <v>0</v>
      </c>
      <c r="AC98">
        <f>IF(ISNA(VLOOKUP($A98&amp;AC$1,'For stats end Y DB'!$A:$G,2,0)),0,VLOOKUP($A98&amp;AC$1,'For stats end Y DB'!$A:$G,2,0))</f>
        <v>5</v>
      </c>
      <c r="AD98">
        <f>IF(ISNA(VLOOKUP($A98&amp;AD$1,'For stats end Y DB'!$A:$G,2,0)),0,VLOOKUP($A98&amp;AD$1,'For stats end Y DB'!$A:$G,2,0))</f>
        <v>0</v>
      </c>
      <c r="AE98">
        <f>IF(ISNA(VLOOKUP($A98&amp;AE$1,'For stats end Y DB'!$A:$G,2,0)),0,VLOOKUP($A98&amp;AE$1,'For stats end Y DB'!$A:$G,2,0))</f>
        <v>7</v>
      </c>
      <c r="AF98">
        <f>IF(ISNA(VLOOKUP($A98&amp;AF$1,'For stats end Y DB'!$A:$G,2,0)),0,VLOOKUP($A98&amp;AF$1,'For stats end Y DB'!$A:$G,2,0))</f>
        <v>2</v>
      </c>
      <c r="AG98">
        <f>IF(ISNA(VLOOKUP($A98&amp;AG$1,'For stats end Y DB'!$A:$G,2,0)),0,VLOOKUP($A98&amp;AG$1,'For stats end Y DB'!$A:$G,2,0))</f>
        <v>6</v>
      </c>
      <c r="AH98">
        <f>IF(ISNA(VLOOKUP($A98&amp;AH$1,'For stats end Y DB'!$A:$G,2,0)),0,VLOOKUP($A98&amp;AH$1,'For stats end Y DB'!$A:$G,2,0))</f>
        <v>5</v>
      </c>
      <c r="AI98">
        <f>IF(ISNA(VLOOKUP($A98&amp;AI$1,'For stats end Y DB'!$A:$G,2,0)),0,VLOOKUP($A98&amp;AI$1,'For stats end Y DB'!$A:$G,2,0))</f>
        <v>0</v>
      </c>
      <c r="AJ98">
        <f>IF(ISNA(VLOOKUP($A98&amp;AJ$1,'For stats end Y DB'!$A:$G,2,0)),0,VLOOKUP($A98&amp;AJ$1,'For stats end Y DB'!$A:$G,2,0))</f>
        <v>0</v>
      </c>
      <c r="AK98">
        <f>IF(ISNA(VLOOKUP($A98&amp;AK$1,'For stats end Y DB'!$A:$G,2,0)),0,VLOOKUP($A98&amp;AK$1,'For stats end Y DB'!$A:$G,2,0))</f>
        <v>0</v>
      </c>
      <c r="AL98">
        <f>IF(ISNA(VLOOKUP($A98&amp;AL$1,'For stats end Y DB'!$A:$G,2,0)),0,VLOOKUP($A98&amp;AL$1,'For stats end Y DB'!$A:$G,2,0))</f>
        <v>0</v>
      </c>
      <c r="AM98">
        <f>IF(ISNA(VLOOKUP($A98&amp;AM$1,'For stats end Y DB'!$A:$G,2,0)),0,VLOOKUP($A98&amp;AM$1,'For stats end Y DB'!$A:$G,2,0))</f>
        <v>0</v>
      </c>
      <c r="AN98">
        <f>IF(ISNA(VLOOKUP($A98&amp;AN$1,'For stats end Y DB'!$A:$G,2,0)),0,VLOOKUP($A98&amp;AN$1,'For stats end Y DB'!$A:$G,2,0))</f>
        <v>0</v>
      </c>
      <c r="AP98" t="str">
        <f t="shared" si="8"/>
        <v>Thibaultp75</v>
      </c>
      <c r="AQ98">
        <f t="shared" si="9"/>
        <v>3</v>
      </c>
      <c r="AR98">
        <f t="shared" si="9"/>
        <v>4</v>
      </c>
      <c r="AS98">
        <f t="shared" si="9"/>
        <v>3</v>
      </c>
      <c r="AT98" s="9">
        <f t="shared" si="6"/>
        <v>0</v>
      </c>
      <c r="AU98">
        <f t="shared" si="7"/>
        <v>27</v>
      </c>
    </row>
    <row r="99" spans="1:47" x14ac:dyDescent="0.2">
      <c r="A99" s="12" t="s">
        <v>531</v>
      </c>
      <c r="B99">
        <f>IF(ISNA(VLOOKUP($A99&amp;B$1,'For stats end Y DB'!$A:$G,2,0)),0,VLOOKUP($A99&amp;B$1,'For stats end Y DB'!$A:$G,2,0))</f>
        <v>0</v>
      </c>
      <c r="C99">
        <f>IF(ISNA(VLOOKUP($A99&amp;C$1,'For stats end Y DB'!$A:$G,2,0)),0,VLOOKUP($A99&amp;C$1,'For stats end Y DB'!$A:$G,2,0))</f>
        <v>0</v>
      </c>
      <c r="D99">
        <f>IF(ISNA(VLOOKUP($A99&amp;D$1,'For stats end Y DB'!$A:$G,2,0)),0,VLOOKUP($A99&amp;D$1,'For stats end Y DB'!$A:$G,2,0))</f>
        <v>6</v>
      </c>
      <c r="E99">
        <f>IF(ISNA(VLOOKUP($A99&amp;E$1,'For stats end Y DB'!$A:$G,2,0)),0,VLOOKUP($A99&amp;E$1,'For stats end Y DB'!$A:$G,2,0))</f>
        <v>2</v>
      </c>
      <c r="F99">
        <f>IF(ISNA(VLOOKUP($A99&amp;F$1,'For stats end Y DB'!$A:$G,2,0)),0,VLOOKUP($A99&amp;F$1,'For stats end Y DB'!$A:$G,2,0))</f>
        <v>0</v>
      </c>
      <c r="G99">
        <f>IF(ISNA(VLOOKUP($A99&amp;G$1,'For stats end Y DB'!$A:$G,2,0)),0,VLOOKUP($A99&amp;G$1,'For stats end Y DB'!$A:$G,2,0))</f>
        <v>3</v>
      </c>
      <c r="H99">
        <f>IF(ISNA(VLOOKUP($A99&amp;H$1,'For stats end Y DB'!$A:$G,2,0)),0,VLOOKUP($A99&amp;H$1,'For stats end Y DB'!$A:$G,2,0))</f>
        <v>0</v>
      </c>
      <c r="I99">
        <f>IF(ISNA(VLOOKUP($A99&amp;I$1,'For stats end Y DB'!$A:$G,2,0)),0,VLOOKUP($A99&amp;I$1,'For stats end Y DB'!$A:$G,2,0))</f>
        <v>0</v>
      </c>
      <c r="J99">
        <f>IF(ISNA(VLOOKUP($A99&amp;J$1,'For stats end Y DB'!$A:$G,2,0)),0,VLOOKUP($A99&amp;J$1,'For stats end Y DB'!$A:$G,2,0))</f>
        <v>2</v>
      </c>
      <c r="K99">
        <f>IF(ISNA(VLOOKUP($A99&amp;K$1,'For stats end Y DB'!$A:$G,2,0)),0,VLOOKUP($A99&amp;K$1,'For stats end Y DB'!$A:$G,2,0))</f>
        <v>0</v>
      </c>
      <c r="L99">
        <f>IF(ISNA(VLOOKUP($A99&amp;L$1,'For stats end Y DB'!$A:$G,2,0)),0,VLOOKUP($A99&amp;L$1,'For stats end Y DB'!$A:$G,2,0))</f>
        <v>5</v>
      </c>
      <c r="M99">
        <f>IF(ISNA(VLOOKUP($A99&amp;M$1,'For stats end Y DB'!$A:$G,2,0)),0,VLOOKUP($A99&amp;M$1,'For stats end Y DB'!$A:$G,2,0))</f>
        <v>0</v>
      </c>
      <c r="N99">
        <f>IF(ISNA(VLOOKUP($A99&amp;N$1,'For stats end Y DB'!$A:$G,2,0)),0,VLOOKUP($A99&amp;N$1,'For stats end Y DB'!$A:$G,2,0))</f>
        <v>1</v>
      </c>
      <c r="O99">
        <f>IF(ISNA(VLOOKUP($A99&amp;O$1,'For stats end Y DB'!$A:$G,2,0)),0,VLOOKUP($A99&amp;O$1,'For stats end Y DB'!$A:$G,2,0))</f>
        <v>0</v>
      </c>
      <c r="P99">
        <f>IF(ISNA(VLOOKUP($A99&amp;P$1,'For stats end Y DB'!$A:$G,2,0)),0,VLOOKUP($A99&amp;P$1,'For stats end Y DB'!$A:$G,2,0))</f>
        <v>0</v>
      </c>
      <c r="Q99">
        <f>IF(ISNA(VLOOKUP($A99&amp;Q$1,'For stats end Y DB'!$A:$G,2,0)),0,VLOOKUP($A99&amp;Q$1,'For stats end Y DB'!$A:$G,2,0))</f>
        <v>0</v>
      </c>
      <c r="R99">
        <f>IF(ISNA(VLOOKUP($A99&amp;R$1,'For stats end Y DB'!$A:$G,2,0)),0,VLOOKUP($A99&amp;R$1,'For stats end Y DB'!$A:$G,2,0))</f>
        <v>0</v>
      </c>
      <c r="S99">
        <f>IF(ISNA(VLOOKUP($A99&amp;S$1,'For stats end Y DB'!$A:$G,2,0)),0,VLOOKUP($A99&amp;S$1,'For stats end Y DB'!$A:$G,2,0))</f>
        <v>3</v>
      </c>
      <c r="T99">
        <f>IF(ISNA(VLOOKUP($A99&amp;T$1,'For stats end Y DB'!$A:$G,2,0)),0,VLOOKUP($A99&amp;T$1,'For stats end Y DB'!$A:$G,2,0))</f>
        <v>0</v>
      </c>
      <c r="U99">
        <f>IF(ISNA(VLOOKUP($A99&amp;U$1,'For stats end Y DB'!$A:$G,2,0)),0,VLOOKUP($A99&amp;U$1,'For stats end Y DB'!$A:$G,2,0))</f>
        <v>0</v>
      </c>
      <c r="V99">
        <f>IF(ISNA(VLOOKUP($A99&amp;V$1,'For stats end Y DB'!$A:$G,2,0)),0,VLOOKUP($A99&amp;V$1,'For stats end Y DB'!$A:$G,2,0))</f>
        <v>0</v>
      </c>
      <c r="W99">
        <f>IF(ISNA(VLOOKUP($A99&amp;W$1,'For stats end Y DB'!$A:$G,2,0)),0,VLOOKUP($A99&amp;W$1,'For stats end Y DB'!$A:$G,2,0))</f>
        <v>5</v>
      </c>
      <c r="X99">
        <f>IF(ISNA(VLOOKUP($A99&amp;X$1,'For stats end Y DB'!$A:$G,2,0)),0,VLOOKUP($A99&amp;X$1,'For stats end Y DB'!$A:$G,2,0))</f>
        <v>0</v>
      </c>
      <c r="Y99">
        <f>IF(ISNA(VLOOKUP($A99&amp;Y$1,'For stats end Y DB'!$A:$G,2,0)),0,VLOOKUP($A99&amp;Y$1,'For stats end Y DB'!$A:$G,2,0))</f>
        <v>0</v>
      </c>
      <c r="Z99">
        <f>IF(ISNA(VLOOKUP($A99&amp;Z$1,'For stats end Y DB'!$A:$G,2,0)),0,VLOOKUP($A99&amp;Z$1,'For stats end Y DB'!$A:$G,2,0))</f>
        <v>0</v>
      </c>
      <c r="AA99">
        <f>IF(ISNA(VLOOKUP($A99&amp;AA$1,'For stats end Y DB'!$A:$G,2,0)),0,VLOOKUP($A99&amp;AA$1,'For stats end Y DB'!$A:$G,2,0))</f>
        <v>0</v>
      </c>
      <c r="AB99">
        <f>IF(ISNA(VLOOKUP($A99&amp;AB$1,'For stats end Y DB'!$A:$G,2,0)),0,VLOOKUP($A99&amp;AB$1,'For stats end Y DB'!$A:$G,2,0))</f>
        <v>0</v>
      </c>
      <c r="AC99">
        <f>IF(ISNA(VLOOKUP($A99&amp;AC$1,'For stats end Y DB'!$A:$G,2,0)),0,VLOOKUP($A99&amp;AC$1,'For stats end Y DB'!$A:$G,2,0))</f>
        <v>0</v>
      </c>
      <c r="AD99">
        <f>IF(ISNA(VLOOKUP($A99&amp;AD$1,'For stats end Y DB'!$A:$G,2,0)),0,VLOOKUP($A99&amp;AD$1,'For stats end Y DB'!$A:$G,2,0))</f>
        <v>0</v>
      </c>
      <c r="AE99">
        <f>IF(ISNA(VLOOKUP($A99&amp;AE$1,'For stats end Y DB'!$A:$G,2,0)),0,VLOOKUP($A99&amp;AE$1,'For stats end Y DB'!$A:$G,2,0))</f>
        <v>0</v>
      </c>
      <c r="AF99">
        <f>IF(ISNA(VLOOKUP($A99&amp;AF$1,'For stats end Y DB'!$A:$G,2,0)),0,VLOOKUP($A99&amp;AF$1,'For stats end Y DB'!$A:$G,2,0))</f>
        <v>0</v>
      </c>
      <c r="AG99">
        <f>IF(ISNA(VLOOKUP($A99&amp;AG$1,'For stats end Y DB'!$A:$G,2,0)),0,VLOOKUP($A99&amp;AG$1,'For stats end Y DB'!$A:$G,2,0))</f>
        <v>0</v>
      </c>
      <c r="AH99">
        <f>IF(ISNA(VLOOKUP($A99&amp;AH$1,'For stats end Y DB'!$A:$G,2,0)),0,VLOOKUP($A99&amp;AH$1,'For stats end Y DB'!$A:$G,2,0))</f>
        <v>0</v>
      </c>
      <c r="AI99">
        <f>IF(ISNA(VLOOKUP($A99&amp;AI$1,'For stats end Y DB'!$A:$G,2,0)),0,VLOOKUP($A99&amp;AI$1,'For stats end Y DB'!$A:$G,2,0))</f>
        <v>0</v>
      </c>
      <c r="AJ99">
        <f>IF(ISNA(VLOOKUP($A99&amp;AJ$1,'For stats end Y DB'!$A:$G,2,0)),0,VLOOKUP($A99&amp;AJ$1,'For stats end Y DB'!$A:$G,2,0))</f>
        <v>0</v>
      </c>
      <c r="AK99">
        <f>IF(ISNA(VLOOKUP($A99&amp;AK$1,'For stats end Y DB'!$A:$G,2,0)),0,VLOOKUP($A99&amp;AK$1,'For stats end Y DB'!$A:$G,2,0))</f>
        <v>0</v>
      </c>
      <c r="AL99">
        <f>IF(ISNA(VLOOKUP($A99&amp;AL$1,'For stats end Y DB'!$A:$G,2,0)),0,VLOOKUP($A99&amp;AL$1,'For stats end Y DB'!$A:$G,2,0))</f>
        <v>0</v>
      </c>
      <c r="AM99">
        <f>IF(ISNA(VLOOKUP($A99&amp;AM$1,'For stats end Y DB'!$A:$G,2,0)),0,VLOOKUP($A99&amp;AM$1,'For stats end Y DB'!$A:$G,2,0))</f>
        <v>0</v>
      </c>
      <c r="AN99">
        <f>IF(ISNA(VLOOKUP($A99&amp;AN$1,'For stats end Y DB'!$A:$G,2,0)),0,VLOOKUP($A99&amp;AN$1,'For stats end Y DB'!$A:$G,2,0))</f>
        <v>0</v>
      </c>
      <c r="AP99" t="str">
        <f t="shared" si="8"/>
        <v>Toinou</v>
      </c>
      <c r="AQ99">
        <f t="shared" si="9"/>
        <v>1</v>
      </c>
      <c r="AR99">
        <f t="shared" si="9"/>
        <v>2</v>
      </c>
      <c r="AS99">
        <f t="shared" si="9"/>
        <v>2</v>
      </c>
      <c r="AT99" s="9">
        <f t="shared" si="6"/>
        <v>0</v>
      </c>
      <c r="AU99">
        <f t="shared" si="7"/>
        <v>8</v>
      </c>
    </row>
    <row r="100" spans="1:47" x14ac:dyDescent="0.2">
      <c r="A100" s="12" t="s">
        <v>520</v>
      </c>
      <c r="B100">
        <f>IF(ISNA(VLOOKUP($A100&amp;B$1,'For stats end Y DB'!$A:$G,2,0)),0,VLOOKUP($A100&amp;B$1,'For stats end Y DB'!$A:$G,2,0))</f>
        <v>3</v>
      </c>
      <c r="C100">
        <f>IF(ISNA(VLOOKUP($A100&amp;C$1,'For stats end Y DB'!$A:$G,2,0)),0,VLOOKUP($A100&amp;C$1,'For stats end Y DB'!$A:$G,2,0))</f>
        <v>0</v>
      </c>
      <c r="D100">
        <f>IF(ISNA(VLOOKUP($A100&amp;D$1,'For stats end Y DB'!$A:$G,2,0)),0,VLOOKUP($A100&amp;D$1,'For stats end Y DB'!$A:$G,2,0))</f>
        <v>0</v>
      </c>
      <c r="E100">
        <f>IF(ISNA(VLOOKUP($A100&amp;E$1,'For stats end Y DB'!$A:$G,2,0)),0,VLOOKUP($A100&amp;E$1,'For stats end Y DB'!$A:$G,2,0))</f>
        <v>0</v>
      </c>
      <c r="F100">
        <f>IF(ISNA(VLOOKUP($A100&amp;F$1,'For stats end Y DB'!$A:$G,2,0)),0,VLOOKUP($A100&amp;F$1,'For stats end Y DB'!$A:$G,2,0))</f>
        <v>0</v>
      </c>
      <c r="G100">
        <f>IF(ISNA(VLOOKUP($A100&amp;G$1,'For stats end Y DB'!$A:$G,2,0)),0,VLOOKUP($A100&amp;G$1,'For stats end Y DB'!$A:$G,2,0))</f>
        <v>0</v>
      </c>
      <c r="H100">
        <f>IF(ISNA(VLOOKUP($A100&amp;H$1,'For stats end Y DB'!$A:$G,2,0)),0,VLOOKUP($A100&amp;H$1,'For stats end Y DB'!$A:$G,2,0))</f>
        <v>0</v>
      </c>
      <c r="I100">
        <f>IF(ISNA(VLOOKUP($A100&amp;I$1,'For stats end Y DB'!$A:$G,2,0)),0,VLOOKUP($A100&amp;I$1,'For stats end Y DB'!$A:$G,2,0))</f>
        <v>0</v>
      </c>
      <c r="J100">
        <f>IF(ISNA(VLOOKUP($A100&amp;J$1,'For stats end Y DB'!$A:$G,2,0)),0,VLOOKUP($A100&amp;J$1,'For stats end Y DB'!$A:$G,2,0))</f>
        <v>0</v>
      </c>
      <c r="K100">
        <f>IF(ISNA(VLOOKUP($A100&amp;K$1,'For stats end Y DB'!$A:$G,2,0)),0,VLOOKUP($A100&amp;K$1,'For stats end Y DB'!$A:$G,2,0))</f>
        <v>0</v>
      </c>
      <c r="L100">
        <f>IF(ISNA(VLOOKUP($A100&amp;L$1,'For stats end Y DB'!$A:$G,2,0)),0,VLOOKUP($A100&amp;L$1,'For stats end Y DB'!$A:$G,2,0))</f>
        <v>0</v>
      </c>
      <c r="M100">
        <f>IF(ISNA(VLOOKUP($A100&amp;M$1,'For stats end Y DB'!$A:$G,2,0)),0,VLOOKUP($A100&amp;M$1,'For stats end Y DB'!$A:$G,2,0))</f>
        <v>0</v>
      </c>
      <c r="N100">
        <f>IF(ISNA(VLOOKUP($A100&amp;N$1,'For stats end Y DB'!$A:$G,2,0)),0,VLOOKUP($A100&amp;N$1,'For stats end Y DB'!$A:$G,2,0))</f>
        <v>0</v>
      </c>
      <c r="O100">
        <f>IF(ISNA(VLOOKUP($A100&amp;O$1,'For stats end Y DB'!$A:$G,2,0)),0,VLOOKUP($A100&amp;O$1,'For stats end Y DB'!$A:$G,2,0))</f>
        <v>0</v>
      </c>
      <c r="P100">
        <f>IF(ISNA(VLOOKUP($A100&amp;P$1,'For stats end Y DB'!$A:$G,2,0)),0,VLOOKUP($A100&amp;P$1,'For stats end Y DB'!$A:$G,2,0))</f>
        <v>0</v>
      </c>
      <c r="Q100">
        <f>IF(ISNA(VLOOKUP($A100&amp;Q$1,'For stats end Y DB'!$A:$G,2,0)),0,VLOOKUP($A100&amp;Q$1,'For stats end Y DB'!$A:$G,2,0))</f>
        <v>0</v>
      </c>
      <c r="R100">
        <f>IF(ISNA(VLOOKUP($A100&amp;R$1,'For stats end Y DB'!$A:$G,2,0)),0,VLOOKUP($A100&amp;R$1,'For stats end Y DB'!$A:$G,2,0))</f>
        <v>0</v>
      </c>
      <c r="S100">
        <f>IF(ISNA(VLOOKUP($A100&amp;S$1,'For stats end Y DB'!$A:$G,2,0)),0,VLOOKUP($A100&amp;S$1,'For stats end Y DB'!$A:$G,2,0))</f>
        <v>0</v>
      </c>
      <c r="T100">
        <f>IF(ISNA(VLOOKUP($A100&amp;T$1,'For stats end Y DB'!$A:$G,2,0)),0,VLOOKUP($A100&amp;T$1,'For stats end Y DB'!$A:$G,2,0))</f>
        <v>0</v>
      </c>
      <c r="U100">
        <f>IF(ISNA(VLOOKUP($A100&amp;U$1,'For stats end Y DB'!$A:$G,2,0)),0,VLOOKUP($A100&amp;U$1,'For stats end Y DB'!$A:$G,2,0))</f>
        <v>0</v>
      </c>
      <c r="V100">
        <f>IF(ISNA(VLOOKUP($A100&amp;V$1,'For stats end Y DB'!$A:$G,2,0)),0,VLOOKUP($A100&amp;V$1,'For stats end Y DB'!$A:$G,2,0))</f>
        <v>0</v>
      </c>
      <c r="W100">
        <f>IF(ISNA(VLOOKUP($A100&amp;W$1,'For stats end Y DB'!$A:$G,2,0)),0,VLOOKUP($A100&amp;W$1,'For stats end Y DB'!$A:$G,2,0))</f>
        <v>0</v>
      </c>
      <c r="X100">
        <f>IF(ISNA(VLOOKUP($A100&amp;X$1,'For stats end Y DB'!$A:$G,2,0)),0,VLOOKUP($A100&amp;X$1,'For stats end Y DB'!$A:$G,2,0))</f>
        <v>0</v>
      </c>
      <c r="Y100">
        <f>IF(ISNA(VLOOKUP($A100&amp;Y$1,'For stats end Y DB'!$A:$G,2,0)),0,VLOOKUP($A100&amp;Y$1,'For stats end Y DB'!$A:$G,2,0))</f>
        <v>0</v>
      </c>
      <c r="Z100">
        <f>IF(ISNA(VLOOKUP($A100&amp;Z$1,'For stats end Y DB'!$A:$G,2,0)),0,VLOOKUP($A100&amp;Z$1,'For stats end Y DB'!$A:$G,2,0))</f>
        <v>0</v>
      </c>
      <c r="AA100">
        <f>IF(ISNA(VLOOKUP($A100&amp;AA$1,'For stats end Y DB'!$A:$G,2,0)),0,VLOOKUP($A100&amp;AA$1,'For stats end Y DB'!$A:$G,2,0))</f>
        <v>0</v>
      </c>
      <c r="AB100">
        <f>IF(ISNA(VLOOKUP($A100&amp;AB$1,'For stats end Y DB'!$A:$G,2,0)),0,VLOOKUP($A100&amp;AB$1,'For stats end Y DB'!$A:$G,2,0))</f>
        <v>0</v>
      </c>
      <c r="AC100">
        <f>IF(ISNA(VLOOKUP($A100&amp;AC$1,'For stats end Y DB'!$A:$G,2,0)),0,VLOOKUP($A100&amp;AC$1,'For stats end Y DB'!$A:$G,2,0))</f>
        <v>0</v>
      </c>
      <c r="AD100">
        <f>IF(ISNA(VLOOKUP($A100&amp;AD$1,'For stats end Y DB'!$A:$G,2,0)),0,VLOOKUP($A100&amp;AD$1,'For stats end Y DB'!$A:$G,2,0))</f>
        <v>0</v>
      </c>
      <c r="AE100">
        <f>IF(ISNA(VLOOKUP($A100&amp;AE$1,'For stats end Y DB'!$A:$G,2,0)),0,VLOOKUP($A100&amp;AE$1,'For stats end Y DB'!$A:$G,2,0))</f>
        <v>0</v>
      </c>
      <c r="AF100">
        <f>IF(ISNA(VLOOKUP($A100&amp;AF$1,'For stats end Y DB'!$A:$G,2,0)),0,VLOOKUP($A100&amp;AF$1,'For stats end Y DB'!$A:$G,2,0))</f>
        <v>0</v>
      </c>
      <c r="AG100">
        <f>IF(ISNA(VLOOKUP($A100&amp;AG$1,'For stats end Y DB'!$A:$G,2,0)),0,VLOOKUP($A100&amp;AG$1,'For stats end Y DB'!$A:$G,2,0))</f>
        <v>0</v>
      </c>
      <c r="AH100">
        <f>IF(ISNA(VLOOKUP($A100&amp;AH$1,'For stats end Y DB'!$A:$G,2,0)),0,VLOOKUP($A100&amp;AH$1,'For stats end Y DB'!$A:$G,2,0))</f>
        <v>0</v>
      </c>
      <c r="AI100">
        <f>IF(ISNA(VLOOKUP($A100&amp;AI$1,'For stats end Y DB'!$A:$G,2,0)),0,VLOOKUP($A100&amp;AI$1,'For stats end Y DB'!$A:$G,2,0))</f>
        <v>0</v>
      </c>
      <c r="AJ100">
        <f>IF(ISNA(VLOOKUP($A100&amp;AJ$1,'For stats end Y DB'!$A:$G,2,0)),0,VLOOKUP($A100&amp;AJ$1,'For stats end Y DB'!$A:$G,2,0))</f>
        <v>0</v>
      </c>
      <c r="AK100">
        <f>IF(ISNA(VLOOKUP($A100&amp;AK$1,'For stats end Y DB'!$A:$G,2,0)),0,VLOOKUP($A100&amp;AK$1,'For stats end Y DB'!$A:$G,2,0))</f>
        <v>0</v>
      </c>
      <c r="AL100">
        <f>IF(ISNA(VLOOKUP($A100&amp;AL$1,'For stats end Y DB'!$A:$G,2,0)),0,VLOOKUP($A100&amp;AL$1,'For stats end Y DB'!$A:$G,2,0))</f>
        <v>0</v>
      </c>
      <c r="AM100">
        <f>IF(ISNA(VLOOKUP($A100&amp;AM$1,'For stats end Y DB'!$A:$G,2,0)),0,VLOOKUP($A100&amp;AM$1,'For stats end Y DB'!$A:$G,2,0))</f>
        <v>0</v>
      </c>
      <c r="AN100">
        <f>IF(ISNA(VLOOKUP($A100&amp;AN$1,'For stats end Y DB'!$A:$G,2,0)),0,VLOOKUP($A100&amp;AN$1,'For stats end Y DB'!$A:$G,2,0))</f>
        <v>0</v>
      </c>
      <c r="AP100" t="str">
        <f t="shared" si="8"/>
        <v>Tridama</v>
      </c>
      <c r="AQ100">
        <f t="shared" si="9"/>
        <v>0</v>
      </c>
      <c r="AR100">
        <f t="shared" si="9"/>
        <v>0</v>
      </c>
      <c r="AS100">
        <f t="shared" si="9"/>
        <v>1</v>
      </c>
      <c r="AT100" s="9">
        <f t="shared" si="6"/>
        <v>0</v>
      </c>
      <c r="AU100">
        <f t="shared" si="7"/>
        <v>1</v>
      </c>
    </row>
    <row r="101" spans="1:47" x14ac:dyDescent="0.2">
      <c r="A101" s="12" t="s">
        <v>519</v>
      </c>
      <c r="B101">
        <f>IF(ISNA(VLOOKUP($A101&amp;B$1,'For stats end Y DB'!$A:$G,2,0)),0,VLOOKUP($A101&amp;B$1,'For stats end Y DB'!$A:$G,2,0))</f>
        <v>2</v>
      </c>
      <c r="C101">
        <f>IF(ISNA(VLOOKUP($A101&amp;C$1,'For stats end Y DB'!$A:$G,2,0)),0,VLOOKUP($A101&amp;C$1,'For stats end Y DB'!$A:$G,2,0))</f>
        <v>1</v>
      </c>
      <c r="D101">
        <f>IF(ISNA(VLOOKUP($A101&amp;D$1,'For stats end Y DB'!$A:$G,2,0)),0,VLOOKUP($A101&amp;D$1,'For stats end Y DB'!$A:$G,2,0))</f>
        <v>2</v>
      </c>
      <c r="E101">
        <f>IF(ISNA(VLOOKUP($A101&amp;E$1,'For stats end Y DB'!$A:$G,2,0)),0,VLOOKUP($A101&amp;E$1,'For stats end Y DB'!$A:$G,2,0))</f>
        <v>5</v>
      </c>
      <c r="F101">
        <f>IF(ISNA(VLOOKUP($A101&amp;F$1,'For stats end Y DB'!$A:$G,2,0)),0,VLOOKUP($A101&amp;F$1,'For stats end Y DB'!$A:$G,2,0))</f>
        <v>3</v>
      </c>
      <c r="G101">
        <f>IF(ISNA(VLOOKUP($A101&amp;G$1,'For stats end Y DB'!$A:$G,2,0)),0,VLOOKUP($A101&amp;G$1,'For stats end Y DB'!$A:$G,2,0))</f>
        <v>0</v>
      </c>
      <c r="H101">
        <f>IF(ISNA(VLOOKUP($A101&amp;H$1,'For stats end Y DB'!$A:$G,2,0)),0,VLOOKUP($A101&amp;H$1,'For stats end Y DB'!$A:$G,2,0))</f>
        <v>6</v>
      </c>
      <c r="I101">
        <f>IF(ISNA(VLOOKUP($A101&amp;I$1,'For stats end Y DB'!$A:$G,2,0)),0,VLOOKUP($A101&amp;I$1,'For stats end Y DB'!$A:$G,2,0))</f>
        <v>6</v>
      </c>
      <c r="J101">
        <f>IF(ISNA(VLOOKUP($A101&amp;J$1,'For stats end Y DB'!$A:$G,2,0)),0,VLOOKUP($A101&amp;J$1,'For stats end Y DB'!$A:$G,2,0))</f>
        <v>3</v>
      </c>
      <c r="K101">
        <f>IF(ISNA(VLOOKUP($A101&amp;K$1,'For stats end Y DB'!$A:$G,2,0)),0,VLOOKUP($A101&amp;K$1,'For stats end Y DB'!$A:$G,2,0))</f>
        <v>5</v>
      </c>
      <c r="L101">
        <f>IF(ISNA(VLOOKUP($A101&amp;L$1,'For stats end Y DB'!$A:$G,2,0)),0,VLOOKUP($A101&amp;L$1,'For stats end Y DB'!$A:$G,2,0))</f>
        <v>5</v>
      </c>
      <c r="M101">
        <f>IF(ISNA(VLOOKUP($A101&amp;M$1,'For stats end Y DB'!$A:$G,2,0)),0,VLOOKUP($A101&amp;M$1,'For stats end Y DB'!$A:$G,2,0))</f>
        <v>0</v>
      </c>
      <c r="N101">
        <f>IF(ISNA(VLOOKUP($A101&amp;N$1,'For stats end Y DB'!$A:$G,2,0)),0,VLOOKUP($A101&amp;N$1,'For stats end Y DB'!$A:$G,2,0))</f>
        <v>5</v>
      </c>
      <c r="O101">
        <f>IF(ISNA(VLOOKUP($A101&amp;O$1,'For stats end Y DB'!$A:$G,2,0)),0,VLOOKUP($A101&amp;O$1,'For stats end Y DB'!$A:$G,2,0))</f>
        <v>0</v>
      </c>
      <c r="P101">
        <f>IF(ISNA(VLOOKUP($A101&amp;P$1,'For stats end Y DB'!$A:$G,2,0)),0,VLOOKUP($A101&amp;P$1,'For stats end Y DB'!$A:$G,2,0))</f>
        <v>5</v>
      </c>
      <c r="Q101">
        <f>IF(ISNA(VLOOKUP($A101&amp;Q$1,'For stats end Y DB'!$A:$G,2,0)),0,VLOOKUP($A101&amp;Q$1,'For stats end Y DB'!$A:$G,2,0))</f>
        <v>2</v>
      </c>
      <c r="R101">
        <f>IF(ISNA(VLOOKUP($A101&amp;R$1,'For stats end Y DB'!$A:$G,2,0)),0,VLOOKUP($A101&amp;R$1,'For stats end Y DB'!$A:$G,2,0))</f>
        <v>7</v>
      </c>
      <c r="S101">
        <f>IF(ISNA(VLOOKUP($A101&amp;S$1,'For stats end Y DB'!$A:$G,2,0)),0,VLOOKUP($A101&amp;S$1,'For stats end Y DB'!$A:$G,2,0))</f>
        <v>7</v>
      </c>
      <c r="T101">
        <f>IF(ISNA(VLOOKUP($A101&amp;T$1,'For stats end Y DB'!$A:$G,2,0)),0,VLOOKUP($A101&amp;T$1,'For stats end Y DB'!$A:$G,2,0))</f>
        <v>4</v>
      </c>
      <c r="U101">
        <f>IF(ISNA(VLOOKUP($A101&amp;U$1,'For stats end Y DB'!$A:$G,2,0)),0,VLOOKUP($A101&amp;U$1,'For stats end Y DB'!$A:$G,2,0))</f>
        <v>0</v>
      </c>
      <c r="V101">
        <f>IF(ISNA(VLOOKUP($A101&amp;V$1,'For stats end Y DB'!$A:$G,2,0)),0,VLOOKUP($A101&amp;V$1,'For stats end Y DB'!$A:$G,2,0))</f>
        <v>2</v>
      </c>
      <c r="W101">
        <f>IF(ISNA(VLOOKUP($A101&amp;W$1,'For stats end Y DB'!$A:$G,2,0)),0,VLOOKUP($A101&amp;W$1,'For stats end Y DB'!$A:$G,2,0))</f>
        <v>5</v>
      </c>
      <c r="X101">
        <f>IF(ISNA(VLOOKUP($A101&amp;X$1,'For stats end Y DB'!$A:$G,2,0)),0,VLOOKUP($A101&amp;X$1,'For stats end Y DB'!$A:$G,2,0))</f>
        <v>3</v>
      </c>
      <c r="Y101">
        <f>IF(ISNA(VLOOKUP($A101&amp;Y$1,'For stats end Y DB'!$A:$G,2,0)),0,VLOOKUP($A101&amp;Y$1,'For stats end Y DB'!$A:$G,2,0))</f>
        <v>0</v>
      </c>
      <c r="Z101">
        <f>IF(ISNA(VLOOKUP($A101&amp;Z$1,'For stats end Y DB'!$A:$G,2,0)),0,VLOOKUP($A101&amp;Z$1,'For stats end Y DB'!$A:$G,2,0))</f>
        <v>2</v>
      </c>
      <c r="AA101">
        <f>IF(ISNA(VLOOKUP($A101&amp;AA$1,'For stats end Y DB'!$A:$G,2,0)),0,VLOOKUP($A101&amp;AA$1,'For stats end Y DB'!$A:$G,2,0))</f>
        <v>0</v>
      </c>
      <c r="AB101">
        <f>IF(ISNA(VLOOKUP($A101&amp;AB$1,'For stats end Y DB'!$A:$G,2,0)),0,VLOOKUP($A101&amp;AB$1,'For stats end Y DB'!$A:$G,2,0))</f>
        <v>0</v>
      </c>
      <c r="AC101">
        <f>IF(ISNA(VLOOKUP($A101&amp;AC$1,'For stats end Y DB'!$A:$G,2,0)),0,VLOOKUP($A101&amp;AC$1,'For stats end Y DB'!$A:$G,2,0))</f>
        <v>0</v>
      </c>
      <c r="AD101">
        <f>IF(ISNA(VLOOKUP($A101&amp;AD$1,'For stats end Y DB'!$A:$G,2,0)),0,VLOOKUP($A101&amp;AD$1,'For stats end Y DB'!$A:$G,2,0))</f>
        <v>0</v>
      </c>
      <c r="AE101">
        <f>IF(ISNA(VLOOKUP($A101&amp;AE$1,'For stats end Y DB'!$A:$G,2,0)),0,VLOOKUP($A101&amp;AE$1,'For stats end Y DB'!$A:$G,2,0))</f>
        <v>0</v>
      </c>
      <c r="AF101">
        <f>IF(ISNA(VLOOKUP($A101&amp;AF$1,'For stats end Y DB'!$A:$G,2,0)),0,VLOOKUP($A101&amp;AF$1,'For stats end Y DB'!$A:$G,2,0))</f>
        <v>0</v>
      </c>
      <c r="AG101">
        <f>IF(ISNA(VLOOKUP($A101&amp;AG$1,'For stats end Y DB'!$A:$G,2,0)),0,VLOOKUP($A101&amp;AG$1,'For stats end Y DB'!$A:$G,2,0))</f>
        <v>0</v>
      </c>
      <c r="AH101">
        <f>IF(ISNA(VLOOKUP($A101&amp;AH$1,'For stats end Y DB'!$A:$G,2,0)),0,VLOOKUP($A101&amp;AH$1,'For stats end Y DB'!$A:$G,2,0))</f>
        <v>0</v>
      </c>
      <c r="AI101">
        <f>IF(ISNA(VLOOKUP($A101&amp;AI$1,'For stats end Y DB'!$A:$G,2,0)),0,VLOOKUP($A101&amp;AI$1,'For stats end Y DB'!$A:$G,2,0))</f>
        <v>0</v>
      </c>
      <c r="AJ101">
        <f>IF(ISNA(VLOOKUP($A101&amp;AJ$1,'For stats end Y DB'!$A:$G,2,0)),0,VLOOKUP($A101&amp;AJ$1,'For stats end Y DB'!$A:$G,2,0))</f>
        <v>0</v>
      </c>
      <c r="AK101">
        <f>IF(ISNA(VLOOKUP($A101&amp;AK$1,'For stats end Y DB'!$A:$G,2,0)),0,VLOOKUP($A101&amp;AK$1,'For stats end Y DB'!$A:$G,2,0))</f>
        <v>0</v>
      </c>
      <c r="AL101">
        <f>IF(ISNA(VLOOKUP($A101&amp;AL$1,'For stats end Y DB'!$A:$G,2,0)),0,VLOOKUP($A101&amp;AL$1,'For stats end Y DB'!$A:$G,2,0))</f>
        <v>0</v>
      </c>
      <c r="AM101">
        <f>IF(ISNA(VLOOKUP($A101&amp;AM$1,'For stats end Y DB'!$A:$G,2,0)),0,VLOOKUP($A101&amp;AM$1,'For stats end Y DB'!$A:$G,2,0))</f>
        <v>0</v>
      </c>
      <c r="AN101">
        <f>IF(ISNA(VLOOKUP($A101&amp;AN$1,'For stats end Y DB'!$A:$G,2,0)),0,VLOOKUP($A101&amp;AN$1,'For stats end Y DB'!$A:$G,2,0))</f>
        <v>0</v>
      </c>
      <c r="AP101" t="str">
        <f t="shared" si="8"/>
        <v>Xhar92</v>
      </c>
      <c r="AQ101">
        <f t="shared" si="9"/>
        <v>1</v>
      </c>
      <c r="AR101">
        <f t="shared" si="9"/>
        <v>5</v>
      </c>
      <c r="AS101">
        <f t="shared" si="9"/>
        <v>3</v>
      </c>
      <c r="AT101" s="9">
        <f t="shared" si="6"/>
        <v>0</v>
      </c>
      <c r="AU101">
        <f t="shared" si="7"/>
        <v>20</v>
      </c>
    </row>
    <row r="102" spans="1:47" x14ac:dyDescent="0.2">
      <c r="A102" s="12" t="s">
        <v>503</v>
      </c>
      <c r="B102">
        <f>IF(ISNA(VLOOKUP($A102&amp;B$1,'For stats end Y DB'!$A:$G,2,0)),0,VLOOKUP($A102&amp;B$1,'For stats end Y DB'!$A:$G,2,0))</f>
        <v>1</v>
      </c>
      <c r="C102">
        <f>IF(ISNA(VLOOKUP($A102&amp;C$1,'For stats end Y DB'!$A:$G,2,0)),0,VLOOKUP($A102&amp;C$1,'For stats end Y DB'!$A:$G,2,0))</f>
        <v>6</v>
      </c>
      <c r="D102">
        <f>IF(ISNA(VLOOKUP($A102&amp;D$1,'For stats end Y DB'!$A:$G,2,0)),0,VLOOKUP($A102&amp;D$1,'For stats end Y DB'!$A:$G,2,0))</f>
        <v>0</v>
      </c>
      <c r="E102">
        <f>IF(ISNA(VLOOKUP($A102&amp;E$1,'For stats end Y DB'!$A:$G,2,0)),0,VLOOKUP($A102&amp;E$1,'For stats end Y DB'!$A:$G,2,0))</f>
        <v>1</v>
      </c>
      <c r="F102">
        <f>IF(ISNA(VLOOKUP($A102&amp;F$1,'For stats end Y DB'!$A:$G,2,0)),0,VLOOKUP($A102&amp;F$1,'For stats end Y DB'!$A:$G,2,0))</f>
        <v>6</v>
      </c>
      <c r="G102">
        <f>IF(ISNA(VLOOKUP($A102&amp;G$1,'For stats end Y DB'!$A:$G,2,0)),0,VLOOKUP($A102&amp;G$1,'For stats end Y DB'!$A:$G,2,0))</f>
        <v>3</v>
      </c>
      <c r="H102">
        <f>IF(ISNA(VLOOKUP($A102&amp;H$1,'For stats end Y DB'!$A:$G,2,0)),0,VLOOKUP($A102&amp;H$1,'For stats end Y DB'!$A:$G,2,0))</f>
        <v>5</v>
      </c>
      <c r="I102">
        <f>IF(ISNA(VLOOKUP($A102&amp;I$1,'For stats end Y DB'!$A:$G,2,0)),0,VLOOKUP($A102&amp;I$1,'For stats end Y DB'!$A:$G,2,0))</f>
        <v>2</v>
      </c>
      <c r="J102">
        <f>IF(ISNA(VLOOKUP($A102&amp;J$1,'For stats end Y DB'!$A:$G,2,0)),0,VLOOKUP($A102&amp;J$1,'For stats end Y DB'!$A:$G,2,0))</f>
        <v>5</v>
      </c>
      <c r="K102">
        <f>IF(ISNA(VLOOKUP($A102&amp;K$1,'For stats end Y DB'!$A:$G,2,0)),0,VLOOKUP($A102&amp;K$1,'For stats end Y DB'!$A:$G,2,0))</f>
        <v>0</v>
      </c>
      <c r="L102">
        <f>IF(ISNA(VLOOKUP($A102&amp;L$1,'For stats end Y DB'!$A:$G,2,0)),0,VLOOKUP($A102&amp;L$1,'For stats end Y DB'!$A:$G,2,0))</f>
        <v>0</v>
      </c>
      <c r="M102">
        <f>IF(ISNA(VLOOKUP($A102&amp;M$1,'For stats end Y DB'!$A:$G,2,0)),0,VLOOKUP($A102&amp;M$1,'For stats end Y DB'!$A:$G,2,0))</f>
        <v>1</v>
      </c>
      <c r="N102">
        <f>IF(ISNA(VLOOKUP($A102&amp;N$1,'For stats end Y DB'!$A:$G,2,0)),0,VLOOKUP($A102&amp;N$1,'For stats end Y DB'!$A:$G,2,0))</f>
        <v>5</v>
      </c>
      <c r="O102">
        <f>IF(ISNA(VLOOKUP($A102&amp;O$1,'For stats end Y DB'!$A:$G,2,0)),0,VLOOKUP($A102&amp;O$1,'For stats end Y DB'!$A:$G,2,0))</f>
        <v>6</v>
      </c>
      <c r="P102">
        <f>IF(ISNA(VLOOKUP($A102&amp;P$1,'For stats end Y DB'!$A:$G,2,0)),0,VLOOKUP($A102&amp;P$1,'For stats end Y DB'!$A:$G,2,0))</f>
        <v>1</v>
      </c>
      <c r="Q102">
        <f>IF(ISNA(VLOOKUP($A102&amp;Q$1,'For stats end Y DB'!$A:$G,2,0)),0,VLOOKUP($A102&amp;Q$1,'For stats end Y DB'!$A:$G,2,0))</f>
        <v>2</v>
      </c>
      <c r="R102">
        <f>IF(ISNA(VLOOKUP($A102&amp;R$1,'For stats end Y DB'!$A:$G,2,0)),0,VLOOKUP($A102&amp;R$1,'For stats end Y DB'!$A:$G,2,0))</f>
        <v>2</v>
      </c>
      <c r="S102">
        <f>IF(ISNA(VLOOKUP($A102&amp;S$1,'For stats end Y DB'!$A:$G,2,0)),0,VLOOKUP($A102&amp;S$1,'For stats end Y DB'!$A:$G,2,0))</f>
        <v>6</v>
      </c>
      <c r="T102">
        <f>IF(ISNA(VLOOKUP($A102&amp;T$1,'For stats end Y DB'!$A:$G,2,0)),0,VLOOKUP($A102&amp;T$1,'For stats end Y DB'!$A:$G,2,0))</f>
        <v>2</v>
      </c>
      <c r="U102">
        <f>IF(ISNA(VLOOKUP($A102&amp;U$1,'For stats end Y DB'!$A:$G,2,0)),0,VLOOKUP($A102&amp;U$1,'For stats end Y DB'!$A:$G,2,0))</f>
        <v>5</v>
      </c>
      <c r="V102">
        <f>IF(ISNA(VLOOKUP($A102&amp;V$1,'For stats end Y DB'!$A:$G,2,0)),0,VLOOKUP($A102&amp;V$1,'For stats end Y DB'!$A:$G,2,0))</f>
        <v>4</v>
      </c>
      <c r="W102">
        <f>IF(ISNA(VLOOKUP($A102&amp;W$1,'For stats end Y DB'!$A:$G,2,0)),0,VLOOKUP($A102&amp;W$1,'For stats end Y DB'!$A:$G,2,0))</f>
        <v>0</v>
      </c>
      <c r="X102">
        <f>IF(ISNA(VLOOKUP($A102&amp;X$1,'For stats end Y DB'!$A:$G,2,0)),0,VLOOKUP($A102&amp;X$1,'For stats end Y DB'!$A:$G,2,0))</f>
        <v>0</v>
      </c>
      <c r="Y102">
        <f>IF(ISNA(VLOOKUP($A102&amp;Y$1,'For stats end Y DB'!$A:$G,2,0)),0,VLOOKUP($A102&amp;Y$1,'For stats end Y DB'!$A:$G,2,0))</f>
        <v>7</v>
      </c>
      <c r="Z102">
        <f>IF(ISNA(VLOOKUP($A102&amp;Z$1,'For stats end Y DB'!$A:$G,2,0)),0,VLOOKUP($A102&amp;Z$1,'For stats end Y DB'!$A:$G,2,0))</f>
        <v>1</v>
      </c>
      <c r="AA102">
        <f>IF(ISNA(VLOOKUP($A102&amp;AA$1,'For stats end Y DB'!$A:$G,2,0)),0,VLOOKUP($A102&amp;AA$1,'For stats end Y DB'!$A:$G,2,0))</f>
        <v>4</v>
      </c>
      <c r="AB102">
        <f>IF(ISNA(VLOOKUP($A102&amp;AB$1,'For stats end Y DB'!$A:$G,2,0)),0,VLOOKUP($A102&amp;AB$1,'For stats end Y DB'!$A:$G,2,0))</f>
        <v>0</v>
      </c>
      <c r="AC102">
        <f>IF(ISNA(VLOOKUP($A102&amp;AC$1,'For stats end Y DB'!$A:$G,2,0)),0,VLOOKUP($A102&amp;AC$1,'For stats end Y DB'!$A:$G,2,0))</f>
        <v>5</v>
      </c>
      <c r="AD102">
        <f>IF(ISNA(VLOOKUP($A102&amp;AD$1,'For stats end Y DB'!$A:$G,2,0)),0,VLOOKUP($A102&amp;AD$1,'For stats end Y DB'!$A:$G,2,0))</f>
        <v>0</v>
      </c>
      <c r="AE102">
        <f>IF(ISNA(VLOOKUP($A102&amp;AE$1,'For stats end Y DB'!$A:$G,2,0)),0,VLOOKUP($A102&amp;AE$1,'For stats end Y DB'!$A:$G,2,0))</f>
        <v>3</v>
      </c>
      <c r="AF102">
        <f>IF(ISNA(VLOOKUP($A102&amp;AF$1,'For stats end Y DB'!$A:$G,2,0)),0,VLOOKUP($A102&amp;AF$1,'For stats end Y DB'!$A:$G,2,0))</f>
        <v>6</v>
      </c>
      <c r="AG102">
        <f>IF(ISNA(VLOOKUP($A102&amp;AG$1,'For stats end Y DB'!$A:$G,2,0)),0,VLOOKUP($A102&amp;AG$1,'For stats end Y DB'!$A:$G,2,0))</f>
        <v>6</v>
      </c>
      <c r="AH102">
        <f>IF(ISNA(VLOOKUP($A102&amp;AH$1,'For stats end Y DB'!$A:$G,2,0)),0,VLOOKUP($A102&amp;AH$1,'For stats end Y DB'!$A:$G,2,0))</f>
        <v>0</v>
      </c>
      <c r="AI102">
        <f>IF(ISNA(VLOOKUP($A102&amp;AI$1,'For stats end Y DB'!$A:$G,2,0)),0,VLOOKUP($A102&amp;AI$1,'For stats end Y DB'!$A:$G,2,0))</f>
        <v>0</v>
      </c>
      <c r="AJ102">
        <f>IF(ISNA(VLOOKUP($A102&amp;AJ$1,'For stats end Y DB'!$A:$G,2,0)),0,VLOOKUP($A102&amp;AJ$1,'For stats end Y DB'!$A:$G,2,0))</f>
        <v>0</v>
      </c>
      <c r="AK102">
        <f>IF(ISNA(VLOOKUP($A102&amp;AK$1,'For stats end Y DB'!$A:$G,2,0)),0,VLOOKUP($A102&amp;AK$1,'For stats end Y DB'!$A:$G,2,0))</f>
        <v>0</v>
      </c>
      <c r="AL102">
        <f>IF(ISNA(VLOOKUP($A102&amp;AL$1,'For stats end Y DB'!$A:$G,2,0)),0,VLOOKUP($A102&amp;AL$1,'For stats end Y DB'!$A:$G,2,0))</f>
        <v>0</v>
      </c>
      <c r="AM102">
        <f>IF(ISNA(VLOOKUP($A102&amp;AM$1,'For stats end Y DB'!$A:$G,2,0)),0,VLOOKUP($A102&amp;AM$1,'For stats end Y DB'!$A:$G,2,0))</f>
        <v>0</v>
      </c>
      <c r="AN102">
        <f>IF(ISNA(VLOOKUP($A102&amp;AN$1,'For stats end Y DB'!$A:$G,2,0)),0,VLOOKUP($A102&amp;AN$1,'For stats end Y DB'!$A:$G,2,0))</f>
        <v>0</v>
      </c>
      <c r="AP102" t="str">
        <f t="shared" si="8"/>
        <v>Yaltar</v>
      </c>
      <c r="AQ102">
        <f t="shared" si="9"/>
        <v>5</v>
      </c>
      <c r="AR102">
        <f t="shared" si="9"/>
        <v>4</v>
      </c>
      <c r="AS102">
        <f t="shared" si="9"/>
        <v>2</v>
      </c>
      <c r="AT102" s="9">
        <f t="shared" si="6"/>
        <v>0</v>
      </c>
      <c r="AU102">
        <f t="shared" si="7"/>
        <v>25</v>
      </c>
    </row>
    <row r="103" spans="1:47" x14ac:dyDescent="0.2">
      <c r="A103" s="12" t="s">
        <v>88</v>
      </c>
      <c r="B103">
        <f>IF(ISNA(VLOOKUP($A103&amp;B$1,'For stats end Y DB'!$A:$G,2,0)),0,VLOOKUP($A103&amp;B$1,'For stats end Y DB'!$A:$G,2,0))</f>
        <v>0</v>
      </c>
      <c r="C103">
        <f>IF(ISNA(VLOOKUP($A103&amp;C$1,'For stats end Y DB'!$A:$G,2,0)),0,VLOOKUP($A103&amp;C$1,'For stats end Y DB'!$A:$G,2,0))</f>
        <v>5</v>
      </c>
      <c r="D103">
        <f>IF(ISNA(VLOOKUP($A103&amp;D$1,'For stats end Y DB'!$A:$G,2,0)),0,VLOOKUP($A103&amp;D$1,'For stats end Y DB'!$A:$G,2,0))</f>
        <v>0</v>
      </c>
      <c r="E103">
        <f>IF(ISNA(VLOOKUP($A103&amp;E$1,'For stats end Y DB'!$A:$G,2,0)),0,VLOOKUP($A103&amp;E$1,'For stats end Y DB'!$A:$G,2,0))</f>
        <v>0</v>
      </c>
      <c r="F103">
        <f>IF(ISNA(VLOOKUP($A103&amp;F$1,'For stats end Y DB'!$A:$G,2,0)),0,VLOOKUP($A103&amp;F$1,'For stats end Y DB'!$A:$G,2,0))</f>
        <v>0</v>
      </c>
      <c r="G103">
        <f>IF(ISNA(VLOOKUP($A103&amp;G$1,'For stats end Y DB'!$A:$G,2,0)),0,VLOOKUP($A103&amp;G$1,'For stats end Y DB'!$A:$G,2,0))</f>
        <v>0</v>
      </c>
      <c r="H103">
        <f>IF(ISNA(VLOOKUP($A103&amp;H$1,'For stats end Y DB'!$A:$G,2,0)),0,VLOOKUP($A103&amp;H$1,'For stats end Y DB'!$A:$G,2,0))</f>
        <v>0</v>
      </c>
      <c r="I103">
        <f>IF(ISNA(VLOOKUP($A103&amp;I$1,'For stats end Y DB'!$A:$G,2,0)),0,VLOOKUP($A103&amp;I$1,'For stats end Y DB'!$A:$G,2,0))</f>
        <v>0</v>
      </c>
      <c r="J103">
        <f>IF(ISNA(VLOOKUP($A103&amp;J$1,'For stats end Y DB'!$A:$G,2,0)),0,VLOOKUP($A103&amp;J$1,'For stats end Y DB'!$A:$G,2,0))</f>
        <v>3</v>
      </c>
      <c r="K103">
        <f>IF(ISNA(VLOOKUP($A103&amp;K$1,'For stats end Y DB'!$A:$G,2,0)),0,VLOOKUP($A103&amp;K$1,'For stats end Y DB'!$A:$G,2,0))</f>
        <v>4</v>
      </c>
      <c r="L103">
        <f>IF(ISNA(VLOOKUP($A103&amp;L$1,'For stats end Y DB'!$A:$G,2,0)),0,VLOOKUP($A103&amp;L$1,'For stats end Y DB'!$A:$G,2,0))</f>
        <v>0</v>
      </c>
      <c r="M103">
        <f>IF(ISNA(VLOOKUP($A103&amp;M$1,'For stats end Y DB'!$A:$G,2,0)),0,VLOOKUP($A103&amp;M$1,'For stats end Y DB'!$A:$G,2,0))</f>
        <v>3</v>
      </c>
      <c r="N103">
        <f>IF(ISNA(VLOOKUP($A103&amp;N$1,'For stats end Y DB'!$A:$G,2,0)),0,VLOOKUP($A103&amp;N$1,'For stats end Y DB'!$A:$G,2,0))</f>
        <v>4</v>
      </c>
      <c r="O103">
        <f>IF(ISNA(VLOOKUP($A103&amp;O$1,'For stats end Y DB'!$A:$G,2,0)),0,VLOOKUP($A103&amp;O$1,'For stats end Y DB'!$A:$G,2,0))</f>
        <v>0</v>
      </c>
      <c r="P103">
        <f>IF(ISNA(VLOOKUP($A103&amp;P$1,'For stats end Y DB'!$A:$G,2,0)),0,VLOOKUP($A103&amp;P$1,'For stats end Y DB'!$A:$G,2,0))</f>
        <v>0</v>
      </c>
      <c r="Q103">
        <f>IF(ISNA(VLOOKUP($A103&amp;Q$1,'For stats end Y DB'!$A:$G,2,0)),0,VLOOKUP($A103&amp;Q$1,'For stats end Y DB'!$A:$G,2,0))</f>
        <v>0</v>
      </c>
      <c r="R103">
        <f>IF(ISNA(VLOOKUP($A103&amp;R$1,'For stats end Y DB'!$A:$G,2,0)),0,VLOOKUP($A103&amp;R$1,'For stats end Y DB'!$A:$G,2,0))</f>
        <v>0</v>
      </c>
      <c r="S103">
        <f>IF(ISNA(VLOOKUP($A103&amp;S$1,'For stats end Y DB'!$A:$G,2,0)),0,VLOOKUP($A103&amp;S$1,'For stats end Y DB'!$A:$G,2,0))</f>
        <v>1</v>
      </c>
      <c r="T103">
        <f>IF(ISNA(VLOOKUP($A103&amp;T$1,'For stats end Y DB'!$A:$G,2,0)),0,VLOOKUP($A103&amp;T$1,'For stats end Y DB'!$A:$G,2,0))</f>
        <v>0</v>
      </c>
      <c r="U103">
        <f>IF(ISNA(VLOOKUP($A103&amp;U$1,'For stats end Y DB'!$A:$G,2,0)),0,VLOOKUP($A103&amp;U$1,'For stats end Y DB'!$A:$G,2,0))</f>
        <v>0</v>
      </c>
      <c r="V103">
        <f>IF(ISNA(VLOOKUP($A103&amp;V$1,'For stats end Y DB'!$A:$G,2,0)),0,VLOOKUP($A103&amp;V$1,'For stats end Y DB'!$A:$G,2,0))</f>
        <v>4</v>
      </c>
      <c r="W103">
        <f>IF(ISNA(VLOOKUP($A103&amp;W$1,'For stats end Y DB'!$A:$G,2,0)),0,VLOOKUP($A103&amp;W$1,'For stats end Y DB'!$A:$G,2,0))</f>
        <v>0</v>
      </c>
      <c r="X103">
        <f>IF(ISNA(VLOOKUP($A103&amp;X$1,'For stats end Y DB'!$A:$G,2,0)),0,VLOOKUP($A103&amp;X$1,'For stats end Y DB'!$A:$G,2,0))</f>
        <v>4</v>
      </c>
      <c r="Y103">
        <f>IF(ISNA(VLOOKUP($A103&amp;Y$1,'For stats end Y DB'!$A:$G,2,0)),0,VLOOKUP($A103&amp;Y$1,'For stats end Y DB'!$A:$G,2,0))</f>
        <v>0</v>
      </c>
      <c r="Z103">
        <f>IF(ISNA(VLOOKUP($A103&amp;Z$1,'For stats end Y DB'!$A:$G,2,0)),0,VLOOKUP($A103&amp;Z$1,'For stats end Y DB'!$A:$G,2,0))</f>
        <v>0</v>
      </c>
      <c r="AA103">
        <f>IF(ISNA(VLOOKUP($A103&amp;AA$1,'For stats end Y DB'!$A:$G,2,0)),0,VLOOKUP($A103&amp;AA$1,'For stats end Y DB'!$A:$G,2,0))</f>
        <v>2</v>
      </c>
      <c r="AB103">
        <f>IF(ISNA(VLOOKUP($A103&amp;AB$1,'For stats end Y DB'!$A:$G,2,0)),0,VLOOKUP($A103&amp;AB$1,'For stats end Y DB'!$A:$G,2,0))</f>
        <v>0</v>
      </c>
      <c r="AC103">
        <f>IF(ISNA(VLOOKUP($A103&amp;AC$1,'For stats end Y DB'!$A:$G,2,0)),0,VLOOKUP($A103&amp;AC$1,'For stats end Y DB'!$A:$G,2,0))</f>
        <v>1</v>
      </c>
      <c r="AD103">
        <f>IF(ISNA(VLOOKUP($A103&amp;AD$1,'For stats end Y DB'!$A:$G,2,0)),0,VLOOKUP($A103&amp;AD$1,'For stats end Y DB'!$A:$G,2,0))</f>
        <v>2</v>
      </c>
      <c r="AE103">
        <f>IF(ISNA(VLOOKUP($A103&amp;AE$1,'For stats end Y DB'!$A:$G,2,0)),0,VLOOKUP($A103&amp;AE$1,'For stats end Y DB'!$A:$G,2,0))</f>
        <v>4</v>
      </c>
      <c r="AF103">
        <f>IF(ISNA(VLOOKUP($A103&amp;AF$1,'For stats end Y DB'!$A:$G,2,0)),0,VLOOKUP($A103&amp;AF$1,'For stats end Y DB'!$A:$G,2,0))</f>
        <v>3</v>
      </c>
      <c r="AG103">
        <f>IF(ISNA(VLOOKUP($A103&amp;AG$1,'For stats end Y DB'!$A:$G,2,0)),0,VLOOKUP($A103&amp;AG$1,'For stats end Y DB'!$A:$G,2,0))</f>
        <v>0</v>
      </c>
      <c r="AH103">
        <f>IF(ISNA(VLOOKUP($A103&amp;AH$1,'For stats end Y DB'!$A:$G,2,0)),0,VLOOKUP($A103&amp;AH$1,'For stats end Y DB'!$A:$G,2,0))</f>
        <v>0</v>
      </c>
      <c r="AI103">
        <f>IF(ISNA(VLOOKUP($A103&amp;AI$1,'For stats end Y DB'!$A:$G,2,0)),0,VLOOKUP($A103&amp;AI$1,'For stats end Y DB'!$A:$G,2,0))</f>
        <v>0</v>
      </c>
      <c r="AJ103">
        <f>IF(ISNA(VLOOKUP($A103&amp;AJ$1,'For stats end Y DB'!$A:$G,2,0)),0,VLOOKUP($A103&amp;AJ$1,'For stats end Y DB'!$A:$G,2,0))</f>
        <v>0</v>
      </c>
      <c r="AK103">
        <f>IF(ISNA(VLOOKUP($A103&amp;AK$1,'For stats end Y DB'!$A:$G,2,0)),0,VLOOKUP($A103&amp;AK$1,'For stats end Y DB'!$A:$G,2,0))</f>
        <v>0</v>
      </c>
      <c r="AL103">
        <f>IF(ISNA(VLOOKUP($A103&amp;AL$1,'For stats end Y DB'!$A:$G,2,0)),0,VLOOKUP($A103&amp;AL$1,'For stats end Y DB'!$A:$G,2,0))</f>
        <v>0</v>
      </c>
      <c r="AM103">
        <f>IF(ISNA(VLOOKUP($A103&amp;AM$1,'For stats end Y DB'!$A:$G,2,0)),0,VLOOKUP($A103&amp;AM$1,'For stats end Y DB'!$A:$G,2,0))</f>
        <v>0</v>
      </c>
      <c r="AN103">
        <f>IF(ISNA(VLOOKUP($A103&amp;AN$1,'For stats end Y DB'!$A:$G,2,0)),0,VLOOKUP($A103&amp;AN$1,'For stats end Y DB'!$A:$G,2,0))</f>
        <v>0</v>
      </c>
      <c r="AP103" t="str">
        <f t="shared" ref="AP103:AP111" si="10">A103</f>
        <v>Yarael</v>
      </c>
      <c r="AQ103">
        <f t="shared" si="9"/>
        <v>2</v>
      </c>
      <c r="AR103">
        <f t="shared" si="9"/>
        <v>2</v>
      </c>
      <c r="AS103">
        <f t="shared" si="9"/>
        <v>3</v>
      </c>
      <c r="AT103" s="9">
        <f t="shared" ref="AT103:AT111" si="11">IF((AQ103+AR103)&gt;10,AQ103/(AQ103+AR103),0)</f>
        <v>0</v>
      </c>
      <c r="AU103">
        <f t="shared" ref="AU103:AU111" si="12">COUNTIF(B103:AN103,"&lt;&gt;0")</f>
        <v>13</v>
      </c>
    </row>
    <row r="104" spans="1:47" x14ac:dyDescent="0.2">
      <c r="A104" s="12" t="s">
        <v>59</v>
      </c>
      <c r="B104">
        <f>IF(ISNA(VLOOKUP($A104&amp;B$1,'For stats end Y DB'!$A:$G,2,0)),0,VLOOKUP($A104&amp;B$1,'For stats end Y DB'!$A:$G,2,0))</f>
        <v>2</v>
      </c>
      <c r="C104">
        <f>IF(ISNA(VLOOKUP($A104&amp;C$1,'For stats end Y DB'!$A:$G,2,0)),0,VLOOKUP($A104&amp;C$1,'For stats end Y DB'!$A:$G,2,0))</f>
        <v>1</v>
      </c>
      <c r="D104">
        <f>IF(ISNA(VLOOKUP($A104&amp;D$1,'For stats end Y DB'!$A:$G,2,0)),0,VLOOKUP($A104&amp;D$1,'For stats end Y DB'!$A:$G,2,0))</f>
        <v>1</v>
      </c>
      <c r="E104">
        <f>IF(ISNA(VLOOKUP($A104&amp;E$1,'For stats end Y DB'!$A:$G,2,0)),0,VLOOKUP($A104&amp;E$1,'For stats end Y DB'!$A:$G,2,0))</f>
        <v>1</v>
      </c>
      <c r="F104">
        <f>IF(ISNA(VLOOKUP($A104&amp;F$1,'For stats end Y DB'!$A:$G,2,0)),0,VLOOKUP($A104&amp;F$1,'For stats end Y DB'!$A:$G,2,0))</f>
        <v>6</v>
      </c>
      <c r="G104">
        <f>IF(ISNA(VLOOKUP($A104&amp;G$1,'For stats end Y DB'!$A:$G,2,0)),0,VLOOKUP($A104&amp;G$1,'For stats end Y DB'!$A:$G,2,0))</f>
        <v>5</v>
      </c>
      <c r="H104">
        <f>IF(ISNA(VLOOKUP($A104&amp;H$1,'For stats end Y DB'!$A:$G,2,0)),0,VLOOKUP($A104&amp;H$1,'For stats end Y DB'!$A:$G,2,0))</f>
        <v>5</v>
      </c>
      <c r="I104">
        <f>IF(ISNA(VLOOKUP($A104&amp;I$1,'For stats end Y DB'!$A:$G,2,0)),0,VLOOKUP($A104&amp;I$1,'For stats end Y DB'!$A:$G,2,0))</f>
        <v>6</v>
      </c>
      <c r="J104">
        <f>IF(ISNA(VLOOKUP($A104&amp;J$1,'For stats end Y DB'!$A:$G,2,0)),0,VLOOKUP($A104&amp;J$1,'For stats end Y DB'!$A:$G,2,0))</f>
        <v>5</v>
      </c>
      <c r="K104">
        <f>IF(ISNA(VLOOKUP($A104&amp;K$1,'For stats end Y DB'!$A:$G,2,0)),0,VLOOKUP($A104&amp;K$1,'For stats end Y DB'!$A:$G,2,0))</f>
        <v>0</v>
      </c>
      <c r="L104">
        <f>IF(ISNA(VLOOKUP($A104&amp;L$1,'For stats end Y DB'!$A:$G,2,0)),0,VLOOKUP($A104&amp;L$1,'For stats end Y DB'!$A:$G,2,0))</f>
        <v>5</v>
      </c>
      <c r="M104">
        <f>IF(ISNA(VLOOKUP($A104&amp;M$1,'For stats end Y DB'!$A:$G,2,0)),0,VLOOKUP($A104&amp;M$1,'For stats end Y DB'!$A:$G,2,0))</f>
        <v>3</v>
      </c>
      <c r="N104">
        <f>IF(ISNA(VLOOKUP($A104&amp;N$1,'For stats end Y DB'!$A:$G,2,0)),0,VLOOKUP($A104&amp;N$1,'For stats end Y DB'!$A:$G,2,0))</f>
        <v>7</v>
      </c>
      <c r="O104">
        <f>IF(ISNA(VLOOKUP($A104&amp;O$1,'For stats end Y DB'!$A:$G,2,0)),0,VLOOKUP($A104&amp;O$1,'For stats end Y DB'!$A:$G,2,0))</f>
        <v>0</v>
      </c>
      <c r="P104">
        <f>IF(ISNA(VLOOKUP($A104&amp;P$1,'For stats end Y DB'!$A:$G,2,0)),0,VLOOKUP($A104&amp;P$1,'For stats end Y DB'!$A:$G,2,0))</f>
        <v>0</v>
      </c>
      <c r="Q104">
        <f>IF(ISNA(VLOOKUP($A104&amp;Q$1,'For stats end Y DB'!$A:$G,2,0)),0,VLOOKUP($A104&amp;Q$1,'For stats end Y DB'!$A:$G,2,0))</f>
        <v>0</v>
      </c>
      <c r="R104">
        <f>IF(ISNA(VLOOKUP($A104&amp;R$1,'For stats end Y DB'!$A:$G,2,0)),0,VLOOKUP($A104&amp;R$1,'For stats end Y DB'!$A:$G,2,0))</f>
        <v>0</v>
      </c>
      <c r="S104">
        <f>IF(ISNA(VLOOKUP($A104&amp;S$1,'For stats end Y DB'!$A:$G,2,0)),0,VLOOKUP($A104&amp;S$1,'For stats end Y DB'!$A:$G,2,0))</f>
        <v>4</v>
      </c>
      <c r="T104">
        <f>IF(ISNA(VLOOKUP($A104&amp;T$1,'For stats end Y DB'!$A:$G,2,0)),0,VLOOKUP($A104&amp;T$1,'For stats end Y DB'!$A:$G,2,0))</f>
        <v>0</v>
      </c>
      <c r="U104">
        <f>IF(ISNA(VLOOKUP($A104&amp;U$1,'For stats end Y DB'!$A:$G,2,0)),0,VLOOKUP($A104&amp;U$1,'For stats end Y DB'!$A:$G,2,0))</f>
        <v>0</v>
      </c>
      <c r="V104">
        <f>IF(ISNA(VLOOKUP($A104&amp;V$1,'For stats end Y DB'!$A:$G,2,0)),0,VLOOKUP($A104&amp;V$1,'For stats end Y DB'!$A:$G,2,0))</f>
        <v>4</v>
      </c>
      <c r="W104">
        <f>IF(ISNA(VLOOKUP($A104&amp;W$1,'For stats end Y DB'!$A:$G,2,0)),0,VLOOKUP($A104&amp;W$1,'For stats end Y DB'!$A:$G,2,0))</f>
        <v>0</v>
      </c>
      <c r="X104">
        <f>IF(ISNA(VLOOKUP($A104&amp;X$1,'For stats end Y DB'!$A:$G,2,0)),0,VLOOKUP($A104&amp;X$1,'For stats end Y DB'!$A:$G,2,0))</f>
        <v>3</v>
      </c>
      <c r="Y104">
        <f>IF(ISNA(VLOOKUP($A104&amp;Y$1,'For stats end Y DB'!$A:$G,2,0)),0,VLOOKUP($A104&amp;Y$1,'For stats end Y DB'!$A:$G,2,0))</f>
        <v>3</v>
      </c>
      <c r="Z104">
        <f>IF(ISNA(VLOOKUP($A104&amp;Z$1,'For stats end Y DB'!$A:$G,2,0)),0,VLOOKUP($A104&amp;Z$1,'For stats end Y DB'!$A:$G,2,0))</f>
        <v>0</v>
      </c>
      <c r="AA104">
        <f>IF(ISNA(VLOOKUP($A104&amp;AA$1,'For stats end Y DB'!$A:$G,2,0)),0,VLOOKUP($A104&amp;AA$1,'For stats end Y DB'!$A:$G,2,0))</f>
        <v>0</v>
      </c>
      <c r="AB104">
        <f>IF(ISNA(VLOOKUP($A104&amp;AB$1,'For stats end Y DB'!$A:$G,2,0)),0,VLOOKUP($A104&amp;AB$1,'For stats end Y DB'!$A:$G,2,0))</f>
        <v>0</v>
      </c>
      <c r="AC104">
        <f>IF(ISNA(VLOOKUP($A104&amp;AC$1,'For stats end Y DB'!$A:$G,2,0)),0,VLOOKUP($A104&amp;AC$1,'For stats end Y DB'!$A:$G,2,0))</f>
        <v>1</v>
      </c>
      <c r="AD104">
        <f>IF(ISNA(VLOOKUP($A104&amp;AD$1,'For stats end Y DB'!$A:$G,2,0)),0,VLOOKUP($A104&amp;AD$1,'For stats end Y DB'!$A:$G,2,0))</f>
        <v>6</v>
      </c>
      <c r="AE104">
        <f>IF(ISNA(VLOOKUP($A104&amp;AE$1,'For stats end Y DB'!$A:$G,2,0)),0,VLOOKUP($A104&amp;AE$1,'For stats end Y DB'!$A:$G,2,0))</f>
        <v>0</v>
      </c>
      <c r="AF104">
        <f>IF(ISNA(VLOOKUP($A104&amp;AF$1,'For stats end Y DB'!$A:$G,2,0)),0,VLOOKUP($A104&amp;AF$1,'For stats end Y DB'!$A:$G,2,0))</f>
        <v>0</v>
      </c>
      <c r="AG104">
        <f>IF(ISNA(VLOOKUP($A104&amp;AG$1,'For stats end Y DB'!$A:$G,2,0)),0,VLOOKUP($A104&amp;AG$1,'For stats end Y DB'!$A:$G,2,0))</f>
        <v>0</v>
      </c>
      <c r="AH104">
        <f>IF(ISNA(VLOOKUP($A104&amp;AH$1,'For stats end Y DB'!$A:$G,2,0)),0,VLOOKUP($A104&amp;AH$1,'For stats end Y DB'!$A:$G,2,0))</f>
        <v>0</v>
      </c>
      <c r="AI104">
        <f>IF(ISNA(VLOOKUP($A104&amp;AI$1,'For stats end Y DB'!$A:$G,2,0)),0,VLOOKUP($A104&amp;AI$1,'For stats end Y DB'!$A:$G,2,0))</f>
        <v>0</v>
      </c>
      <c r="AJ104">
        <f>IF(ISNA(VLOOKUP($A104&amp;AJ$1,'For stats end Y DB'!$A:$G,2,0)),0,VLOOKUP($A104&amp;AJ$1,'For stats end Y DB'!$A:$G,2,0))</f>
        <v>0</v>
      </c>
      <c r="AK104">
        <f>IF(ISNA(VLOOKUP($A104&amp;AK$1,'For stats end Y DB'!$A:$G,2,0)),0,VLOOKUP($A104&amp;AK$1,'For stats end Y DB'!$A:$G,2,0))</f>
        <v>0</v>
      </c>
      <c r="AL104">
        <f>IF(ISNA(VLOOKUP($A104&amp;AL$1,'For stats end Y DB'!$A:$G,2,0)),0,VLOOKUP($A104&amp;AL$1,'For stats end Y DB'!$A:$G,2,0))</f>
        <v>0</v>
      </c>
      <c r="AM104">
        <f>IF(ISNA(VLOOKUP($A104&amp;AM$1,'For stats end Y DB'!$A:$G,2,0)),0,VLOOKUP($A104&amp;AM$1,'For stats end Y DB'!$A:$G,2,0))</f>
        <v>0</v>
      </c>
      <c r="AN104">
        <f>IF(ISNA(VLOOKUP($A104&amp;AN$1,'For stats end Y DB'!$A:$G,2,0)),0,VLOOKUP($A104&amp;AN$1,'For stats end Y DB'!$A:$G,2,0))</f>
        <v>0</v>
      </c>
      <c r="AP104" t="str">
        <f t="shared" si="10"/>
        <v>YooooDA</v>
      </c>
      <c r="AQ104">
        <f t="shared" ref="AQ104:AS111" si="13">COUNTIF($B104:$AN104,AQ$1)</f>
        <v>4</v>
      </c>
      <c r="AR104">
        <f t="shared" si="13"/>
        <v>1</v>
      </c>
      <c r="AS104">
        <f t="shared" si="13"/>
        <v>3</v>
      </c>
      <c r="AT104" s="9">
        <f t="shared" si="11"/>
        <v>0</v>
      </c>
      <c r="AU104">
        <f t="shared" si="12"/>
        <v>18</v>
      </c>
    </row>
    <row r="105" spans="1:47" x14ac:dyDescent="0.2">
      <c r="A105" s="12" t="s">
        <v>526</v>
      </c>
      <c r="B105">
        <f>IF(ISNA(VLOOKUP($A105&amp;B$1,'For stats end Y DB'!$A:$G,2,0)),0,VLOOKUP($A105&amp;B$1,'For stats end Y DB'!$A:$G,2,0))</f>
        <v>0</v>
      </c>
      <c r="C105">
        <f>IF(ISNA(VLOOKUP($A105&amp;C$1,'For stats end Y DB'!$A:$G,2,0)),0,VLOOKUP($A105&amp;C$1,'For stats end Y DB'!$A:$G,2,0))</f>
        <v>3</v>
      </c>
      <c r="D105">
        <f>IF(ISNA(VLOOKUP($A105&amp;D$1,'For stats end Y DB'!$A:$G,2,0)),0,VLOOKUP($A105&amp;D$1,'For stats end Y DB'!$A:$G,2,0))</f>
        <v>3</v>
      </c>
      <c r="E105">
        <f>IF(ISNA(VLOOKUP($A105&amp;E$1,'For stats end Y DB'!$A:$G,2,0)),0,VLOOKUP($A105&amp;E$1,'For stats end Y DB'!$A:$G,2,0))</f>
        <v>5</v>
      </c>
      <c r="F105">
        <f>IF(ISNA(VLOOKUP($A105&amp;F$1,'For stats end Y DB'!$A:$G,2,0)),0,VLOOKUP($A105&amp;F$1,'For stats end Y DB'!$A:$G,2,0))</f>
        <v>0</v>
      </c>
      <c r="G105">
        <f>IF(ISNA(VLOOKUP($A105&amp;G$1,'For stats end Y DB'!$A:$G,2,0)),0,VLOOKUP($A105&amp;G$1,'For stats end Y DB'!$A:$G,2,0))</f>
        <v>0</v>
      </c>
      <c r="H105">
        <f>IF(ISNA(VLOOKUP($A105&amp;H$1,'For stats end Y DB'!$A:$G,2,0)),0,VLOOKUP($A105&amp;H$1,'For stats end Y DB'!$A:$G,2,0))</f>
        <v>0</v>
      </c>
      <c r="I105">
        <f>IF(ISNA(VLOOKUP($A105&amp;I$1,'For stats end Y DB'!$A:$G,2,0)),0,VLOOKUP($A105&amp;I$1,'For stats end Y DB'!$A:$G,2,0))</f>
        <v>2</v>
      </c>
      <c r="J105">
        <f>IF(ISNA(VLOOKUP($A105&amp;J$1,'For stats end Y DB'!$A:$G,2,0)),0,VLOOKUP($A105&amp;J$1,'For stats end Y DB'!$A:$G,2,0))</f>
        <v>6</v>
      </c>
      <c r="K105">
        <f>IF(ISNA(VLOOKUP($A105&amp;K$1,'For stats end Y DB'!$A:$G,2,0)),0,VLOOKUP($A105&amp;K$1,'For stats end Y DB'!$A:$G,2,0))</f>
        <v>6</v>
      </c>
      <c r="L105">
        <f>IF(ISNA(VLOOKUP($A105&amp;L$1,'For stats end Y DB'!$A:$G,2,0)),0,VLOOKUP($A105&amp;L$1,'For stats end Y DB'!$A:$G,2,0))</f>
        <v>2</v>
      </c>
      <c r="M105">
        <f>IF(ISNA(VLOOKUP($A105&amp;M$1,'For stats end Y DB'!$A:$G,2,0)),0,VLOOKUP($A105&amp;M$1,'For stats end Y DB'!$A:$G,2,0))</f>
        <v>4</v>
      </c>
      <c r="N105">
        <f>IF(ISNA(VLOOKUP($A105&amp;N$1,'For stats end Y DB'!$A:$G,2,0)),0,VLOOKUP($A105&amp;N$1,'For stats end Y DB'!$A:$G,2,0))</f>
        <v>0</v>
      </c>
      <c r="O105">
        <f>IF(ISNA(VLOOKUP($A105&amp;O$1,'For stats end Y DB'!$A:$G,2,0)),0,VLOOKUP($A105&amp;O$1,'For stats end Y DB'!$A:$G,2,0))</f>
        <v>0</v>
      </c>
      <c r="P105">
        <f>IF(ISNA(VLOOKUP($A105&amp;P$1,'For stats end Y DB'!$A:$G,2,0)),0,VLOOKUP($A105&amp;P$1,'For stats end Y DB'!$A:$G,2,0))</f>
        <v>6</v>
      </c>
      <c r="Q105">
        <f>IF(ISNA(VLOOKUP($A105&amp;Q$1,'For stats end Y DB'!$A:$G,2,0)),0,VLOOKUP($A105&amp;Q$1,'For stats end Y DB'!$A:$G,2,0))</f>
        <v>3</v>
      </c>
      <c r="R105">
        <f>IF(ISNA(VLOOKUP($A105&amp;R$1,'For stats end Y DB'!$A:$G,2,0)),0,VLOOKUP($A105&amp;R$1,'For stats end Y DB'!$A:$G,2,0))</f>
        <v>0</v>
      </c>
      <c r="S105">
        <f>IF(ISNA(VLOOKUP($A105&amp;S$1,'For stats end Y DB'!$A:$G,2,0)),0,VLOOKUP($A105&amp;S$1,'For stats end Y DB'!$A:$G,2,0))</f>
        <v>7</v>
      </c>
      <c r="T105">
        <f>IF(ISNA(VLOOKUP($A105&amp;T$1,'For stats end Y DB'!$A:$G,2,0)),0,VLOOKUP($A105&amp;T$1,'For stats end Y DB'!$A:$G,2,0))</f>
        <v>5</v>
      </c>
      <c r="U105">
        <f>IF(ISNA(VLOOKUP($A105&amp;U$1,'For stats end Y DB'!$A:$G,2,0)),0,VLOOKUP($A105&amp;U$1,'For stats end Y DB'!$A:$G,2,0))</f>
        <v>0</v>
      </c>
      <c r="V105">
        <f>IF(ISNA(VLOOKUP($A105&amp;V$1,'For stats end Y DB'!$A:$G,2,0)),0,VLOOKUP($A105&amp;V$1,'For stats end Y DB'!$A:$G,2,0))</f>
        <v>0</v>
      </c>
      <c r="W105">
        <f>IF(ISNA(VLOOKUP($A105&amp;W$1,'For stats end Y DB'!$A:$G,2,0)),0,VLOOKUP($A105&amp;W$1,'For stats end Y DB'!$A:$G,2,0))</f>
        <v>4</v>
      </c>
      <c r="X105">
        <f>IF(ISNA(VLOOKUP($A105&amp;X$1,'For stats end Y DB'!$A:$G,2,0)),0,VLOOKUP($A105&amp;X$1,'For stats end Y DB'!$A:$G,2,0))</f>
        <v>0</v>
      </c>
      <c r="Y105">
        <f>IF(ISNA(VLOOKUP($A105&amp;Y$1,'For stats end Y DB'!$A:$G,2,0)),0,VLOOKUP($A105&amp;Y$1,'For stats end Y DB'!$A:$G,2,0))</f>
        <v>5</v>
      </c>
      <c r="Z105">
        <f>IF(ISNA(VLOOKUP($A105&amp;Z$1,'For stats end Y DB'!$A:$G,2,0)),0,VLOOKUP($A105&amp;Z$1,'For stats end Y DB'!$A:$G,2,0))</f>
        <v>0</v>
      </c>
      <c r="AA105">
        <f>IF(ISNA(VLOOKUP($A105&amp;AA$1,'For stats end Y DB'!$A:$G,2,0)),0,VLOOKUP($A105&amp;AA$1,'For stats end Y DB'!$A:$G,2,0))</f>
        <v>0</v>
      </c>
      <c r="AB105">
        <f>IF(ISNA(VLOOKUP($A105&amp;AB$1,'For stats end Y DB'!$A:$G,2,0)),0,VLOOKUP($A105&amp;AB$1,'For stats end Y DB'!$A:$G,2,0))</f>
        <v>2</v>
      </c>
      <c r="AC105">
        <f>IF(ISNA(VLOOKUP($A105&amp;AC$1,'For stats end Y DB'!$A:$G,2,0)),0,VLOOKUP($A105&amp;AC$1,'For stats end Y DB'!$A:$G,2,0))</f>
        <v>0</v>
      </c>
      <c r="AD105">
        <f>IF(ISNA(VLOOKUP($A105&amp;AD$1,'For stats end Y DB'!$A:$G,2,0)),0,VLOOKUP($A105&amp;AD$1,'For stats end Y DB'!$A:$G,2,0))</f>
        <v>4</v>
      </c>
      <c r="AE105">
        <f>IF(ISNA(VLOOKUP($A105&amp;AE$1,'For stats end Y DB'!$A:$G,2,0)),0,VLOOKUP($A105&amp;AE$1,'For stats end Y DB'!$A:$G,2,0))</f>
        <v>0</v>
      </c>
      <c r="AF105">
        <f>IF(ISNA(VLOOKUP($A105&amp;AF$1,'For stats end Y DB'!$A:$G,2,0)),0,VLOOKUP($A105&amp;AF$1,'For stats end Y DB'!$A:$G,2,0))</f>
        <v>0</v>
      </c>
      <c r="AG105">
        <f>IF(ISNA(VLOOKUP($A105&amp;AG$1,'For stats end Y DB'!$A:$G,2,0)),0,VLOOKUP($A105&amp;AG$1,'For stats end Y DB'!$A:$G,2,0))</f>
        <v>0</v>
      </c>
      <c r="AH105">
        <f>IF(ISNA(VLOOKUP($A105&amp;AH$1,'For stats end Y DB'!$A:$G,2,0)),0,VLOOKUP($A105&amp;AH$1,'For stats end Y DB'!$A:$G,2,0))</f>
        <v>6</v>
      </c>
      <c r="AI105">
        <f>IF(ISNA(VLOOKUP($A105&amp;AI$1,'For stats end Y DB'!$A:$G,2,0)),0,VLOOKUP($A105&amp;AI$1,'For stats end Y DB'!$A:$G,2,0))</f>
        <v>0</v>
      </c>
      <c r="AJ105">
        <f>IF(ISNA(VLOOKUP($A105&amp;AJ$1,'For stats end Y DB'!$A:$G,2,0)),0,VLOOKUP($A105&amp;AJ$1,'For stats end Y DB'!$A:$G,2,0))</f>
        <v>0</v>
      </c>
      <c r="AK105">
        <f>IF(ISNA(VLOOKUP($A105&amp;AK$1,'For stats end Y DB'!$A:$G,2,0)),0,VLOOKUP($A105&amp;AK$1,'For stats end Y DB'!$A:$G,2,0))</f>
        <v>0</v>
      </c>
      <c r="AL105">
        <f>IF(ISNA(VLOOKUP($A105&amp;AL$1,'For stats end Y DB'!$A:$G,2,0)),0,VLOOKUP($A105&amp;AL$1,'For stats end Y DB'!$A:$G,2,0))</f>
        <v>0</v>
      </c>
      <c r="AM105">
        <f>IF(ISNA(VLOOKUP($A105&amp;AM$1,'For stats end Y DB'!$A:$G,2,0)),0,VLOOKUP($A105&amp;AM$1,'For stats end Y DB'!$A:$G,2,0))</f>
        <v>0</v>
      </c>
      <c r="AN105">
        <f>IF(ISNA(VLOOKUP($A105&amp;AN$1,'For stats end Y DB'!$A:$G,2,0)),0,VLOOKUP($A105&amp;AN$1,'For stats end Y DB'!$A:$G,2,0))</f>
        <v>0</v>
      </c>
      <c r="AP105" t="str">
        <f t="shared" si="10"/>
        <v>Yroz</v>
      </c>
      <c r="AQ105">
        <f t="shared" si="13"/>
        <v>0</v>
      </c>
      <c r="AR105">
        <f t="shared" si="13"/>
        <v>3</v>
      </c>
      <c r="AS105">
        <f t="shared" si="13"/>
        <v>3</v>
      </c>
      <c r="AT105" s="9">
        <f t="shared" si="11"/>
        <v>0</v>
      </c>
      <c r="AU105">
        <f t="shared" si="12"/>
        <v>17</v>
      </c>
    </row>
    <row r="106" spans="1:47" x14ac:dyDescent="0.2">
      <c r="A106" s="12" t="s">
        <v>504</v>
      </c>
      <c r="B106">
        <f>IF(ISNA(VLOOKUP($A106&amp;B$1,'For stats end Y DB'!$A:$G,2,0)),0,VLOOKUP($A106&amp;B$1,'For stats end Y DB'!$A:$G,2,0))</f>
        <v>3</v>
      </c>
      <c r="C106">
        <f>IF(ISNA(VLOOKUP($A106&amp;C$1,'For stats end Y DB'!$A:$G,2,0)),0,VLOOKUP($A106&amp;C$1,'For stats end Y DB'!$A:$G,2,0))</f>
        <v>4</v>
      </c>
      <c r="D106">
        <f>IF(ISNA(VLOOKUP($A106&amp;D$1,'For stats end Y DB'!$A:$G,2,0)),0,VLOOKUP($A106&amp;D$1,'For stats end Y DB'!$A:$G,2,0))</f>
        <v>6</v>
      </c>
      <c r="E106">
        <f>IF(ISNA(VLOOKUP($A106&amp;E$1,'For stats end Y DB'!$A:$G,2,0)),0,VLOOKUP($A106&amp;E$1,'For stats end Y DB'!$A:$G,2,0))</f>
        <v>5</v>
      </c>
      <c r="F106">
        <f>IF(ISNA(VLOOKUP($A106&amp;F$1,'For stats end Y DB'!$A:$G,2,0)),0,VLOOKUP($A106&amp;F$1,'For stats end Y DB'!$A:$G,2,0))</f>
        <v>0</v>
      </c>
      <c r="G106">
        <f>IF(ISNA(VLOOKUP($A106&amp;G$1,'For stats end Y DB'!$A:$G,2,0)),0,VLOOKUP($A106&amp;G$1,'For stats end Y DB'!$A:$G,2,0))</f>
        <v>2</v>
      </c>
      <c r="H106">
        <f>IF(ISNA(VLOOKUP($A106&amp;H$1,'For stats end Y DB'!$A:$G,2,0)),0,VLOOKUP($A106&amp;H$1,'For stats end Y DB'!$A:$G,2,0))</f>
        <v>0</v>
      </c>
      <c r="I106">
        <f>IF(ISNA(VLOOKUP($A106&amp;I$1,'For stats end Y DB'!$A:$G,2,0)),0,VLOOKUP($A106&amp;I$1,'For stats end Y DB'!$A:$G,2,0))</f>
        <v>7</v>
      </c>
      <c r="J106">
        <f>IF(ISNA(VLOOKUP($A106&amp;J$1,'For stats end Y DB'!$A:$G,2,0)),0,VLOOKUP($A106&amp;J$1,'For stats end Y DB'!$A:$G,2,0))</f>
        <v>4</v>
      </c>
      <c r="K106">
        <f>IF(ISNA(VLOOKUP($A106&amp;K$1,'For stats end Y DB'!$A:$G,2,0)),0,VLOOKUP($A106&amp;K$1,'For stats end Y DB'!$A:$G,2,0))</f>
        <v>1</v>
      </c>
      <c r="L106">
        <f>IF(ISNA(VLOOKUP($A106&amp;L$1,'For stats end Y DB'!$A:$G,2,0)),0,VLOOKUP($A106&amp;L$1,'For stats end Y DB'!$A:$G,2,0))</f>
        <v>0</v>
      </c>
      <c r="M106">
        <f>IF(ISNA(VLOOKUP($A106&amp;M$1,'For stats end Y DB'!$A:$G,2,0)),0,VLOOKUP($A106&amp;M$1,'For stats end Y DB'!$A:$G,2,0))</f>
        <v>6</v>
      </c>
      <c r="N106">
        <f>IF(ISNA(VLOOKUP($A106&amp;N$1,'For stats end Y DB'!$A:$G,2,0)),0,VLOOKUP($A106&amp;N$1,'For stats end Y DB'!$A:$G,2,0))</f>
        <v>1</v>
      </c>
      <c r="O106">
        <f>IF(ISNA(VLOOKUP($A106&amp;O$1,'For stats end Y DB'!$A:$G,2,0)),0,VLOOKUP($A106&amp;O$1,'For stats end Y DB'!$A:$G,2,0))</f>
        <v>5</v>
      </c>
      <c r="P106">
        <f>IF(ISNA(VLOOKUP($A106&amp;P$1,'For stats end Y DB'!$A:$G,2,0)),0,VLOOKUP($A106&amp;P$1,'For stats end Y DB'!$A:$G,2,0))</f>
        <v>5</v>
      </c>
      <c r="Q106">
        <f>IF(ISNA(VLOOKUP($A106&amp;Q$1,'For stats end Y DB'!$A:$G,2,0)),0,VLOOKUP($A106&amp;Q$1,'For stats end Y DB'!$A:$G,2,0))</f>
        <v>5</v>
      </c>
      <c r="R106">
        <f>IF(ISNA(VLOOKUP($A106&amp;R$1,'For stats end Y DB'!$A:$G,2,0)),0,VLOOKUP($A106&amp;R$1,'For stats end Y DB'!$A:$G,2,0))</f>
        <v>6</v>
      </c>
      <c r="S106">
        <f>IF(ISNA(VLOOKUP($A106&amp;S$1,'For stats end Y DB'!$A:$G,2,0)),0,VLOOKUP($A106&amp;S$1,'For stats end Y DB'!$A:$G,2,0))</f>
        <v>3</v>
      </c>
      <c r="T106">
        <f>IF(ISNA(VLOOKUP($A106&amp;T$1,'For stats end Y DB'!$A:$G,2,0)),0,VLOOKUP($A106&amp;T$1,'For stats end Y DB'!$A:$G,2,0))</f>
        <v>1</v>
      </c>
      <c r="U106">
        <f>IF(ISNA(VLOOKUP($A106&amp;U$1,'For stats end Y DB'!$A:$G,2,0)),0,VLOOKUP($A106&amp;U$1,'For stats end Y DB'!$A:$G,2,0))</f>
        <v>4</v>
      </c>
      <c r="V106">
        <f>IF(ISNA(VLOOKUP($A106&amp;V$1,'For stats end Y DB'!$A:$G,2,0)),0,VLOOKUP($A106&amp;V$1,'For stats end Y DB'!$A:$G,2,0))</f>
        <v>7</v>
      </c>
      <c r="W106">
        <f>IF(ISNA(VLOOKUP($A106&amp;W$1,'For stats end Y DB'!$A:$G,2,0)),0,VLOOKUP($A106&amp;W$1,'For stats end Y DB'!$A:$G,2,0))</f>
        <v>3</v>
      </c>
      <c r="X106">
        <f>IF(ISNA(VLOOKUP($A106&amp;X$1,'For stats end Y DB'!$A:$G,2,0)),0,VLOOKUP($A106&amp;X$1,'For stats end Y DB'!$A:$G,2,0))</f>
        <v>2</v>
      </c>
      <c r="Y106">
        <f>IF(ISNA(VLOOKUP($A106&amp;Y$1,'For stats end Y DB'!$A:$G,2,0)),0,VLOOKUP($A106&amp;Y$1,'For stats end Y DB'!$A:$G,2,0))</f>
        <v>6</v>
      </c>
      <c r="Z106">
        <f>IF(ISNA(VLOOKUP($A106&amp;Z$1,'For stats end Y DB'!$A:$G,2,0)),0,VLOOKUP($A106&amp;Z$1,'For stats end Y DB'!$A:$G,2,0))</f>
        <v>3</v>
      </c>
      <c r="AA106">
        <f>IF(ISNA(VLOOKUP($A106&amp;AA$1,'For stats end Y DB'!$A:$G,2,0)),0,VLOOKUP($A106&amp;AA$1,'For stats end Y DB'!$A:$G,2,0))</f>
        <v>0</v>
      </c>
      <c r="AB106">
        <f>IF(ISNA(VLOOKUP($A106&amp;AB$1,'For stats end Y DB'!$A:$G,2,0)),0,VLOOKUP($A106&amp;AB$1,'For stats end Y DB'!$A:$G,2,0))</f>
        <v>3</v>
      </c>
      <c r="AC106">
        <f>IF(ISNA(VLOOKUP($A106&amp;AC$1,'For stats end Y DB'!$A:$G,2,0)),0,VLOOKUP($A106&amp;AC$1,'For stats end Y DB'!$A:$G,2,0))</f>
        <v>2</v>
      </c>
      <c r="AD106">
        <f>IF(ISNA(VLOOKUP($A106&amp;AD$1,'For stats end Y DB'!$A:$G,2,0)),0,VLOOKUP($A106&amp;AD$1,'For stats end Y DB'!$A:$G,2,0))</f>
        <v>2</v>
      </c>
      <c r="AE106">
        <f>IF(ISNA(VLOOKUP($A106&amp;AE$1,'For stats end Y DB'!$A:$G,2,0)),0,VLOOKUP($A106&amp;AE$1,'For stats end Y DB'!$A:$G,2,0))</f>
        <v>2</v>
      </c>
      <c r="AF106">
        <f>IF(ISNA(VLOOKUP($A106&amp;AF$1,'For stats end Y DB'!$A:$G,2,0)),0,VLOOKUP($A106&amp;AF$1,'For stats end Y DB'!$A:$G,2,0))</f>
        <v>4</v>
      </c>
      <c r="AG106">
        <f>IF(ISNA(VLOOKUP($A106&amp;AG$1,'For stats end Y DB'!$A:$G,2,0)),0,VLOOKUP($A106&amp;AG$1,'For stats end Y DB'!$A:$G,2,0))</f>
        <v>6</v>
      </c>
      <c r="AH106">
        <f>IF(ISNA(VLOOKUP($A106&amp;AH$1,'For stats end Y DB'!$A:$G,2,0)),0,VLOOKUP($A106&amp;AH$1,'For stats end Y DB'!$A:$G,2,0))</f>
        <v>6</v>
      </c>
      <c r="AI106">
        <f>IF(ISNA(VLOOKUP($A106&amp;AI$1,'For stats end Y DB'!$A:$G,2,0)),0,VLOOKUP($A106&amp;AI$1,'For stats end Y DB'!$A:$G,2,0))</f>
        <v>0</v>
      </c>
      <c r="AJ106">
        <f>IF(ISNA(VLOOKUP($A106&amp;AJ$1,'For stats end Y DB'!$A:$G,2,0)),0,VLOOKUP($A106&amp;AJ$1,'For stats end Y DB'!$A:$G,2,0))</f>
        <v>0</v>
      </c>
      <c r="AK106">
        <f>IF(ISNA(VLOOKUP($A106&amp;AK$1,'For stats end Y DB'!$A:$G,2,0)),0,VLOOKUP($A106&amp;AK$1,'For stats end Y DB'!$A:$G,2,0))</f>
        <v>0</v>
      </c>
      <c r="AL106">
        <f>IF(ISNA(VLOOKUP($A106&amp;AL$1,'For stats end Y DB'!$A:$G,2,0)),0,VLOOKUP($A106&amp;AL$1,'For stats end Y DB'!$A:$G,2,0))</f>
        <v>0</v>
      </c>
      <c r="AM106">
        <f>IF(ISNA(VLOOKUP($A106&amp;AM$1,'For stats end Y DB'!$A:$G,2,0)),0,VLOOKUP($A106&amp;AM$1,'For stats end Y DB'!$A:$G,2,0))</f>
        <v>0</v>
      </c>
      <c r="AN106">
        <f>IF(ISNA(VLOOKUP($A106&amp;AN$1,'For stats end Y DB'!$A:$G,2,0)),0,VLOOKUP($A106&amp;AN$1,'For stats end Y DB'!$A:$G,2,0))</f>
        <v>0</v>
      </c>
      <c r="AP106" t="str">
        <f t="shared" si="10"/>
        <v>Zizou</v>
      </c>
      <c r="AQ106">
        <f t="shared" si="13"/>
        <v>3</v>
      </c>
      <c r="AR106">
        <f t="shared" si="13"/>
        <v>5</v>
      </c>
      <c r="AS106">
        <f t="shared" si="13"/>
        <v>5</v>
      </c>
      <c r="AT106" s="9">
        <f t="shared" si="11"/>
        <v>0</v>
      </c>
      <c r="AU106">
        <f t="shared" si="12"/>
        <v>29</v>
      </c>
    </row>
    <row r="107" spans="1:47" x14ac:dyDescent="0.2">
      <c r="A107" s="12" t="s">
        <v>506</v>
      </c>
      <c r="B107">
        <f>IF(ISNA(VLOOKUP($A107&amp;B$1,'For stats end Y DB'!$A:$G,2,0)),0,VLOOKUP($A107&amp;B$1,'For stats end Y DB'!$A:$G,2,0))</f>
        <v>2</v>
      </c>
      <c r="C107">
        <f>IF(ISNA(VLOOKUP($A107&amp;C$1,'For stats end Y DB'!$A:$G,2,0)),0,VLOOKUP($A107&amp;C$1,'For stats end Y DB'!$A:$G,2,0))</f>
        <v>1</v>
      </c>
      <c r="D107">
        <f>IF(ISNA(VLOOKUP($A107&amp;D$1,'For stats end Y DB'!$A:$G,2,0)),0,VLOOKUP($A107&amp;D$1,'For stats end Y DB'!$A:$G,2,0))</f>
        <v>6</v>
      </c>
      <c r="E107">
        <f>IF(ISNA(VLOOKUP($A107&amp;E$1,'For stats end Y DB'!$A:$G,2,0)),0,VLOOKUP($A107&amp;E$1,'For stats end Y DB'!$A:$G,2,0))</f>
        <v>7</v>
      </c>
      <c r="F107">
        <f>IF(ISNA(VLOOKUP($A107&amp;F$1,'For stats end Y DB'!$A:$G,2,0)),0,VLOOKUP($A107&amp;F$1,'For stats end Y DB'!$A:$G,2,0))</f>
        <v>0</v>
      </c>
      <c r="G107">
        <f>IF(ISNA(VLOOKUP($A107&amp;G$1,'For stats end Y DB'!$A:$G,2,0)),0,VLOOKUP($A107&amp;G$1,'For stats end Y DB'!$A:$G,2,0))</f>
        <v>0</v>
      </c>
      <c r="H107">
        <f>IF(ISNA(VLOOKUP($A107&amp;H$1,'For stats end Y DB'!$A:$G,2,0)),0,VLOOKUP($A107&amp;H$1,'For stats end Y DB'!$A:$G,2,0))</f>
        <v>1</v>
      </c>
      <c r="I107">
        <f>IF(ISNA(VLOOKUP($A107&amp;I$1,'For stats end Y DB'!$A:$G,2,0)),0,VLOOKUP($A107&amp;I$1,'For stats end Y DB'!$A:$G,2,0))</f>
        <v>1</v>
      </c>
      <c r="J107">
        <f>IF(ISNA(VLOOKUP($A107&amp;J$1,'For stats end Y DB'!$A:$G,2,0)),0,VLOOKUP($A107&amp;J$1,'For stats end Y DB'!$A:$G,2,0))</f>
        <v>6</v>
      </c>
      <c r="K107">
        <f>IF(ISNA(VLOOKUP($A107&amp;K$1,'For stats end Y DB'!$A:$G,2,0)),0,VLOOKUP($A107&amp;K$1,'For stats end Y DB'!$A:$G,2,0))</f>
        <v>0</v>
      </c>
      <c r="L107">
        <f>IF(ISNA(VLOOKUP($A107&amp;L$1,'For stats end Y DB'!$A:$G,2,0)),0,VLOOKUP($A107&amp;L$1,'For stats end Y DB'!$A:$G,2,0))</f>
        <v>1</v>
      </c>
      <c r="M107">
        <f>IF(ISNA(VLOOKUP($A107&amp;M$1,'For stats end Y DB'!$A:$G,2,0)),0,VLOOKUP($A107&amp;M$1,'For stats end Y DB'!$A:$G,2,0))</f>
        <v>4</v>
      </c>
      <c r="N107">
        <f>IF(ISNA(VLOOKUP($A107&amp;N$1,'For stats end Y DB'!$A:$G,2,0)),0,VLOOKUP($A107&amp;N$1,'For stats end Y DB'!$A:$G,2,0))</f>
        <v>6</v>
      </c>
      <c r="O107">
        <f>IF(ISNA(VLOOKUP($A107&amp;O$1,'For stats end Y DB'!$A:$G,2,0)),0,VLOOKUP($A107&amp;O$1,'For stats end Y DB'!$A:$G,2,0))</f>
        <v>0</v>
      </c>
      <c r="P107">
        <f>IF(ISNA(VLOOKUP($A107&amp;P$1,'For stats end Y DB'!$A:$G,2,0)),0,VLOOKUP($A107&amp;P$1,'For stats end Y DB'!$A:$G,2,0))</f>
        <v>6</v>
      </c>
      <c r="Q107">
        <f>IF(ISNA(VLOOKUP($A107&amp;Q$1,'For stats end Y DB'!$A:$G,2,0)),0,VLOOKUP($A107&amp;Q$1,'For stats end Y DB'!$A:$G,2,0))</f>
        <v>0</v>
      </c>
      <c r="R107">
        <f>IF(ISNA(VLOOKUP($A107&amp;R$1,'For stats end Y DB'!$A:$G,2,0)),0,VLOOKUP($A107&amp;R$1,'For stats end Y DB'!$A:$G,2,0))</f>
        <v>1</v>
      </c>
      <c r="S107">
        <f>IF(ISNA(VLOOKUP($A107&amp;S$1,'For stats end Y DB'!$A:$G,2,0)),0,VLOOKUP($A107&amp;S$1,'For stats end Y DB'!$A:$G,2,0))</f>
        <v>1</v>
      </c>
      <c r="T107">
        <f>IF(ISNA(VLOOKUP($A107&amp;T$1,'For stats end Y DB'!$A:$G,2,0)),0,VLOOKUP($A107&amp;T$1,'For stats end Y DB'!$A:$G,2,0))</f>
        <v>1</v>
      </c>
      <c r="U107">
        <f>IF(ISNA(VLOOKUP($A107&amp;U$1,'For stats end Y DB'!$A:$G,2,0)),0,VLOOKUP($A107&amp;U$1,'For stats end Y DB'!$A:$G,2,0))</f>
        <v>0</v>
      </c>
      <c r="V107">
        <f>IF(ISNA(VLOOKUP($A107&amp;V$1,'For stats end Y DB'!$A:$G,2,0)),0,VLOOKUP($A107&amp;V$1,'For stats end Y DB'!$A:$G,2,0))</f>
        <v>2</v>
      </c>
      <c r="W107">
        <f>IF(ISNA(VLOOKUP($A107&amp;W$1,'For stats end Y DB'!$A:$G,2,0)),0,VLOOKUP($A107&amp;W$1,'For stats end Y DB'!$A:$G,2,0))</f>
        <v>0</v>
      </c>
      <c r="X107">
        <f>IF(ISNA(VLOOKUP($A107&amp;X$1,'For stats end Y DB'!$A:$G,2,0)),0,VLOOKUP($A107&amp;X$1,'For stats end Y DB'!$A:$G,2,0))</f>
        <v>1</v>
      </c>
      <c r="Y107">
        <f>IF(ISNA(VLOOKUP($A107&amp;Y$1,'For stats end Y DB'!$A:$G,2,0)),0,VLOOKUP($A107&amp;Y$1,'For stats end Y DB'!$A:$G,2,0))</f>
        <v>7</v>
      </c>
      <c r="Z107">
        <f>IF(ISNA(VLOOKUP($A107&amp;Z$1,'For stats end Y DB'!$A:$G,2,0)),0,VLOOKUP($A107&amp;Z$1,'For stats end Y DB'!$A:$G,2,0))</f>
        <v>3</v>
      </c>
      <c r="AA107">
        <f>IF(ISNA(VLOOKUP($A107&amp;AA$1,'For stats end Y DB'!$A:$G,2,0)),0,VLOOKUP($A107&amp;AA$1,'For stats end Y DB'!$A:$G,2,0))</f>
        <v>1</v>
      </c>
      <c r="AB107">
        <f>IF(ISNA(VLOOKUP($A107&amp;AB$1,'For stats end Y DB'!$A:$G,2,0)),0,VLOOKUP($A107&amp;AB$1,'For stats end Y DB'!$A:$G,2,0))</f>
        <v>1</v>
      </c>
      <c r="AC107">
        <f>IF(ISNA(VLOOKUP($A107&amp;AC$1,'For stats end Y DB'!$A:$G,2,0)),0,VLOOKUP($A107&amp;AC$1,'For stats end Y DB'!$A:$G,2,0))</f>
        <v>6</v>
      </c>
      <c r="AD107">
        <f>IF(ISNA(VLOOKUP($A107&amp;AD$1,'For stats end Y DB'!$A:$G,2,0)),0,VLOOKUP($A107&amp;AD$1,'For stats end Y DB'!$A:$G,2,0))</f>
        <v>2</v>
      </c>
      <c r="AE107">
        <f>IF(ISNA(VLOOKUP($A107&amp;AE$1,'For stats end Y DB'!$A:$G,2,0)),0,VLOOKUP($A107&amp;AE$1,'For stats end Y DB'!$A:$G,2,0))</f>
        <v>4</v>
      </c>
      <c r="AF107">
        <f>IF(ISNA(VLOOKUP($A107&amp;AF$1,'For stats end Y DB'!$A:$G,2,0)),0,VLOOKUP($A107&amp;AF$1,'For stats end Y DB'!$A:$G,2,0))</f>
        <v>1</v>
      </c>
      <c r="AG107">
        <f>IF(ISNA(VLOOKUP($A107&amp;AG$1,'For stats end Y DB'!$A:$G,2,0)),0,VLOOKUP($A107&amp;AG$1,'For stats end Y DB'!$A:$G,2,0))</f>
        <v>6</v>
      </c>
      <c r="AH107">
        <f>IF(ISNA(VLOOKUP($A107&amp;AH$1,'For stats end Y DB'!$A:$G,2,0)),0,VLOOKUP($A107&amp;AH$1,'For stats end Y DB'!$A:$G,2,0))</f>
        <v>3</v>
      </c>
      <c r="AI107">
        <f>IF(ISNA(VLOOKUP($A107&amp;AI$1,'For stats end Y DB'!$A:$G,2,0)),0,VLOOKUP($A107&amp;AI$1,'For stats end Y DB'!$A:$G,2,0))</f>
        <v>0</v>
      </c>
      <c r="AJ107">
        <f>IF(ISNA(VLOOKUP($A107&amp;AJ$1,'For stats end Y DB'!$A:$G,2,0)),0,VLOOKUP($A107&amp;AJ$1,'For stats end Y DB'!$A:$G,2,0))</f>
        <v>0</v>
      </c>
      <c r="AK107">
        <f>IF(ISNA(VLOOKUP($A107&amp;AK$1,'For stats end Y DB'!$A:$G,2,0)),0,VLOOKUP($A107&amp;AK$1,'For stats end Y DB'!$A:$G,2,0))</f>
        <v>0</v>
      </c>
      <c r="AL107">
        <f>IF(ISNA(VLOOKUP($A107&amp;AL$1,'For stats end Y DB'!$A:$G,2,0)),0,VLOOKUP($A107&amp;AL$1,'For stats end Y DB'!$A:$G,2,0))</f>
        <v>0</v>
      </c>
      <c r="AM107">
        <f>IF(ISNA(VLOOKUP($A107&amp;AM$1,'For stats end Y DB'!$A:$G,2,0)),0,VLOOKUP($A107&amp;AM$1,'For stats end Y DB'!$A:$G,2,0))</f>
        <v>0</v>
      </c>
      <c r="AN107">
        <f>IF(ISNA(VLOOKUP($A107&amp;AN$1,'For stats end Y DB'!$A:$G,2,0)),0,VLOOKUP($A107&amp;AN$1,'For stats end Y DB'!$A:$G,2,0))</f>
        <v>0</v>
      </c>
      <c r="AP107" t="str">
        <f t="shared" si="10"/>
        <v>Zubbaz</v>
      </c>
      <c r="AQ107">
        <f t="shared" si="13"/>
        <v>11</v>
      </c>
      <c r="AR107">
        <f t="shared" si="13"/>
        <v>3</v>
      </c>
      <c r="AS107">
        <f t="shared" si="13"/>
        <v>2</v>
      </c>
      <c r="AT107" s="9">
        <f t="shared" si="11"/>
        <v>0.7857142857142857</v>
      </c>
      <c r="AU107">
        <f t="shared" si="12"/>
        <v>26</v>
      </c>
    </row>
    <row r="108" spans="1:47" x14ac:dyDescent="0.2">
      <c r="AP108">
        <f t="shared" si="10"/>
        <v>0</v>
      </c>
      <c r="AQ108">
        <f t="shared" si="13"/>
        <v>0</v>
      </c>
      <c r="AR108">
        <f t="shared" si="13"/>
        <v>0</v>
      </c>
      <c r="AS108">
        <f t="shared" si="13"/>
        <v>0</v>
      </c>
      <c r="AT108" s="9">
        <f t="shared" si="11"/>
        <v>0</v>
      </c>
      <c r="AU108">
        <f t="shared" si="12"/>
        <v>39</v>
      </c>
    </row>
    <row r="109" spans="1:47" x14ac:dyDescent="0.2">
      <c r="AP109">
        <f t="shared" si="10"/>
        <v>0</v>
      </c>
      <c r="AQ109">
        <f t="shared" si="13"/>
        <v>0</v>
      </c>
      <c r="AR109">
        <f t="shared" si="13"/>
        <v>0</v>
      </c>
      <c r="AS109">
        <f t="shared" si="13"/>
        <v>0</v>
      </c>
      <c r="AT109" s="9">
        <f t="shared" si="11"/>
        <v>0</v>
      </c>
      <c r="AU109">
        <f t="shared" si="12"/>
        <v>39</v>
      </c>
    </row>
    <row r="110" spans="1:47" x14ac:dyDescent="0.2">
      <c r="AP110">
        <f t="shared" si="10"/>
        <v>0</v>
      </c>
      <c r="AQ110">
        <f t="shared" si="13"/>
        <v>0</v>
      </c>
      <c r="AR110">
        <f t="shared" si="13"/>
        <v>0</v>
      </c>
      <c r="AS110">
        <f t="shared" si="13"/>
        <v>0</v>
      </c>
      <c r="AT110" s="9">
        <f t="shared" si="11"/>
        <v>0</v>
      </c>
      <c r="AU110">
        <f t="shared" si="12"/>
        <v>39</v>
      </c>
    </row>
    <row r="111" spans="1:47" x14ac:dyDescent="0.2">
      <c r="AP111">
        <f t="shared" si="10"/>
        <v>0</v>
      </c>
      <c r="AQ111">
        <f t="shared" si="13"/>
        <v>0</v>
      </c>
      <c r="AR111">
        <f t="shared" si="13"/>
        <v>0</v>
      </c>
      <c r="AS111">
        <f t="shared" si="13"/>
        <v>0</v>
      </c>
      <c r="AT111" s="9">
        <f t="shared" si="11"/>
        <v>0</v>
      </c>
      <c r="AU111">
        <f t="shared" si="12"/>
        <v>39</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4D0A4-C617-CA4B-8942-E3C89BE46430}">
  <sheetPr codeName="Sheet15"/>
  <dimension ref="A1:AN107"/>
  <sheetViews>
    <sheetView zoomScale="95" zoomScaleNormal="95" workbookViewId="0">
      <pane xSplit="1" ySplit="1" topLeftCell="B75" activePane="bottomRight" state="frozen"/>
      <selection pane="topRight" activeCell="B1" sqref="B1"/>
      <selection pane="bottomLeft" activeCell="A2" sqref="A2"/>
      <selection pane="bottomRight" activeCell="B107" sqref="B107"/>
    </sheetView>
  </sheetViews>
  <sheetFormatPr baseColWidth="10" defaultRowHeight="16" x14ac:dyDescent="0.2"/>
  <cols>
    <col min="1" max="1" width="17.6640625" bestFit="1" customWidth="1"/>
  </cols>
  <sheetData>
    <row r="1" spans="1:40" x14ac:dyDescent="0.2">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row>
    <row r="2" spans="1:40" x14ac:dyDescent="0.2">
      <c r="A2" t="str">
        <f>'For stats end Y class'!A2</f>
        <v>Ad Vitam</v>
      </c>
      <c r="B2">
        <f>IF(ISNA(VLOOKUP($A2&amp;B$1,'For stats end Y DB'!$A:$G,5,0)),0,VLOOKUP($A2&amp;B$1,'For stats end Y DB'!$A:$G,5,0))</f>
        <v>1</v>
      </c>
      <c r="C2">
        <f>IF(ISNA(VLOOKUP($A2&amp;C$1,'For stats end Y DB'!$A:$G,5,0)),0,VLOOKUP($A2&amp;C$1,'For stats end Y DB'!$A:$G,5,0))</f>
        <v>0</v>
      </c>
      <c r="D2">
        <f>IF(ISNA(VLOOKUP($A2&amp;D$1,'For stats end Y DB'!$A:$G,5,0)),0,VLOOKUP($A2&amp;D$1,'For stats end Y DB'!$A:$G,5,0))</f>
        <v>16</v>
      </c>
      <c r="E2">
        <f>IF(ISNA(VLOOKUP($A2&amp;E$1,'For stats end Y DB'!$A:$G,5,0)),0,VLOOKUP($A2&amp;E$1,'For stats end Y DB'!$A:$G,5,0))</f>
        <v>13</v>
      </c>
      <c r="F2">
        <f>IF(ISNA(VLOOKUP($A2&amp;F$1,'For stats end Y DB'!$A:$G,5,0)),0,VLOOKUP($A2&amp;F$1,'For stats end Y DB'!$A:$G,5,0))</f>
        <v>1</v>
      </c>
      <c r="G2">
        <f>IF(ISNA(VLOOKUP($A2&amp;G$1,'For stats end Y DB'!$A:$G,5,0)),0,VLOOKUP($A2&amp;G$1,'For stats end Y DB'!$A:$G,5,0))</f>
        <v>17</v>
      </c>
      <c r="H2">
        <f>IF(ISNA(VLOOKUP($A2&amp;H$1,'For stats end Y DB'!$A:$G,5,0)),0,VLOOKUP($A2&amp;H$1,'For stats end Y DB'!$A:$G,5,0))</f>
        <v>16</v>
      </c>
      <c r="I2">
        <f>IF(ISNA(VLOOKUP($A2&amp;I$1,'For stats end Y DB'!$A:$G,5,0)),0,VLOOKUP($A2&amp;I$1,'For stats end Y DB'!$A:$G,5,0))</f>
        <v>2</v>
      </c>
      <c r="J2">
        <f>IF(ISNA(VLOOKUP($A2&amp;J$1,'For stats end Y DB'!$A:$G,5,0)),0,VLOOKUP($A2&amp;J$1,'For stats end Y DB'!$A:$G,5,0))</f>
        <v>1</v>
      </c>
      <c r="K2">
        <f>IF(ISNA(VLOOKUP($A2&amp;K$1,'For stats end Y DB'!$A:$G,5,0)),0,VLOOKUP($A2&amp;K$1,'For stats end Y DB'!$A:$G,5,0))</f>
        <v>7</v>
      </c>
      <c r="L2">
        <f>IF(ISNA(VLOOKUP($A2&amp;L$1,'For stats end Y DB'!$A:$G,5,0)),0,VLOOKUP($A2&amp;L$1,'For stats end Y DB'!$A:$G,5,0))</f>
        <v>7</v>
      </c>
      <c r="M2">
        <f>IF(ISNA(VLOOKUP($A2&amp;M$1,'For stats end Y DB'!$A:$G,5,0)),0,VLOOKUP($A2&amp;M$1,'For stats end Y DB'!$A:$G,5,0))</f>
        <v>12</v>
      </c>
      <c r="N2">
        <f>IF(ISNA(VLOOKUP($A2&amp;N$1,'For stats end Y DB'!$A:$G,5,0)),0,VLOOKUP($A2&amp;N$1,'For stats end Y DB'!$A:$G,5,0))</f>
        <v>12</v>
      </c>
      <c r="O2">
        <f>IF(ISNA(VLOOKUP($A2&amp;O$1,'For stats end Y DB'!$A:$G,5,0)),0,VLOOKUP($A2&amp;O$1,'For stats end Y DB'!$A:$G,5,0))</f>
        <v>0</v>
      </c>
      <c r="P2">
        <f>IF(ISNA(VLOOKUP($A2&amp;P$1,'For stats end Y DB'!$A:$G,5,0)),0,VLOOKUP($A2&amp;P$1,'For stats end Y DB'!$A:$G,5,0))</f>
        <v>16</v>
      </c>
      <c r="Q2">
        <f>IF(ISNA(VLOOKUP($A2&amp;Q$1,'For stats end Y DB'!$A:$G,5,0)),0,VLOOKUP($A2&amp;Q$1,'For stats end Y DB'!$A:$G,5,0))</f>
        <v>14</v>
      </c>
      <c r="R2">
        <f>IF(ISNA(VLOOKUP($A2&amp;R$1,'For stats end Y DB'!$A:$G,5,0)),0,VLOOKUP($A2&amp;R$1,'For stats end Y DB'!$A:$G,5,0))</f>
        <v>13</v>
      </c>
      <c r="S2">
        <f>IF(ISNA(VLOOKUP($A2&amp;S$1,'For stats end Y DB'!$A:$G,5,0)),0,VLOOKUP($A2&amp;S$1,'For stats end Y DB'!$A:$G,5,0))</f>
        <v>9</v>
      </c>
      <c r="T2">
        <f>IF(ISNA(VLOOKUP($A2&amp;T$1,'For stats end Y DB'!$A:$G,5,0)),0,VLOOKUP($A2&amp;T$1,'For stats end Y DB'!$A:$G,5,0))</f>
        <v>16</v>
      </c>
      <c r="U2">
        <f>IF(ISNA(VLOOKUP($A2&amp;U$1,'For stats end Y DB'!$A:$G,5,0)),0,VLOOKUP($A2&amp;U$1,'For stats end Y DB'!$A:$G,5,0))</f>
        <v>15</v>
      </c>
      <c r="V2">
        <f>IF(ISNA(VLOOKUP($A2&amp;V$1,'For stats end Y DB'!$A:$G,5,0)),0,VLOOKUP($A2&amp;V$1,'For stats end Y DB'!$A:$G,5,0))</f>
        <v>17</v>
      </c>
      <c r="W2">
        <f>IF(ISNA(VLOOKUP($A2&amp;W$1,'For stats end Y DB'!$A:$G,5,0)),0,VLOOKUP($A2&amp;W$1,'For stats end Y DB'!$A:$G,5,0))</f>
        <v>1</v>
      </c>
      <c r="X2">
        <f>IF(ISNA(VLOOKUP($A2&amp;X$1,'For stats end Y DB'!$A:$G,5,0)),0,VLOOKUP($A2&amp;X$1,'For stats end Y DB'!$A:$G,5,0))</f>
        <v>16</v>
      </c>
      <c r="Y2">
        <f>IF(ISNA(VLOOKUP($A2&amp;Y$1,'For stats end Y DB'!$A:$G,5,0)),0,VLOOKUP($A2&amp;Y$1,'For stats end Y DB'!$A:$G,5,0))</f>
        <v>1</v>
      </c>
      <c r="Z2">
        <f>IF(ISNA(VLOOKUP($A2&amp;Z$1,'For stats end Y DB'!$A:$G,5,0)),0,VLOOKUP($A2&amp;Z$1,'For stats end Y DB'!$A:$G,5,0))</f>
        <v>13</v>
      </c>
      <c r="AA2">
        <f>IF(ISNA(VLOOKUP($A2&amp;AA$1,'For stats end Y DB'!$A:$G,5,0)),0,VLOOKUP($A2&amp;AA$1,'For stats end Y DB'!$A:$G,5,0))</f>
        <v>2</v>
      </c>
      <c r="AB2">
        <f>IF(ISNA(VLOOKUP($A2&amp;AB$1,'For stats end Y DB'!$A:$G,5,0)),0,VLOOKUP($A2&amp;AB$1,'For stats end Y DB'!$A:$G,5,0))</f>
        <v>12</v>
      </c>
      <c r="AC2">
        <f>IF(ISNA(VLOOKUP($A2&amp;AC$1,'For stats end Y DB'!$A:$G,5,0)),0,VLOOKUP($A2&amp;AC$1,'For stats end Y DB'!$A:$G,5,0))</f>
        <v>13</v>
      </c>
      <c r="AD2">
        <f>IF(ISNA(VLOOKUP($A2&amp;AD$1,'For stats end Y DB'!$A:$G,5,0)),0,VLOOKUP($A2&amp;AD$1,'For stats end Y DB'!$A:$G,5,0))</f>
        <v>12</v>
      </c>
      <c r="AE2">
        <f>IF(ISNA(VLOOKUP($A2&amp;AE$1,'For stats end Y DB'!$A:$G,5,0)),0,VLOOKUP($A2&amp;AE$1,'For stats end Y DB'!$A:$G,5,0))</f>
        <v>5</v>
      </c>
      <c r="AF2">
        <f>IF(ISNA(VLOOKUP($A2&amp;AF$1,'For stats end Y DB'!$A:$G,5,0)),0,VLOOKUP($A2&amp;AF$1,'For stats end Y DB'!$A:$G,5,0))</f>
        <v>3</v>
      </c>
      <c r="AG2">
        <f>IF(ISNA(VLOOKUP($A2&amp;AG$1,'For stats end Y DB'!$A:$G,5,0)),0,VLOOKUP($A2&amp;AG$1,'For stats end Y DB'!$A:$G,5,0))</f>
        <v>2</v>
      </c>
      <c r="AH2">
        <f>IF(ISNA(VLOOKUP($A2&amp;AH$1,'For stats end Y DB'!$A:$G,5,0)),0,VLOOKUP($A2&amp;AH$1,'For stats end Y DB'!$A:$G,5,0))</f>
        <v>12</v>
      </c>
      <c r="AI2">
        <f>IF(ISNA(VLOOKUP($A2&amp;AI$1,'For stats end Y DB'!$A:$G,5,0)),0,VLOOKUP($A2&amp;AI$1,'For stats end Y DB'!$A:$G,5,0))</f>
        <v>0</v>
      </c>
      <c r="AJ2">
        <f>IF(ISNA(VLOOKUP($A2&amp;AJ$1,'For stats end Y DB'!$A:$G,5,0)),0,VLOOKUP($A2&amp;AJ$1,'For stats end Y DB'!$A:$G,5,0))</f>
        <v>0</v>
      </c>
      <c r="AK2">
        <f>IF(ISNA(VLOOKUP($A2&amp;AK$1,'For stats end Y DB'!$A:$G,5,0)),0,VLOOKUP($A2&amp;AK$1,'For stats end Y DB'!$A:$G,5,0))</f>
        <v>0</v>
      </c>
      <c r="AL2">
        <f>IF(ISNA(VLOOKUP($A2&amp;AL$1,'For stats end Y DB'!$A:$G,5,0)),0,VLOOKUP($A2&amp;AL$1,'For stats end Y DB'!$A:$G,5,0))</f>
        <v>0</v>
      </c>
      <c r="AM2">
        <f>IF(ISNA(VLOOKUP($A2&amp;AM$1,'For stats end Y DB'!$A:$G,5,0)),0,VLOOKUP($A2&amp;AM$1,'For stats end Y DB'!$A:$G,5,0))</f>
        <v>0</v>
      </c>
      <c r="AN2">
        <f>IF(ISNA(VLOOKUP($A2&amp;AN$1,'For stats end Y DB'!$A:$G,5,0)),0,VLOOKUP($A2&amp;AN$1,'For stats end Y DB'!$A:$G,5,0))</f>
        <v>0</v>
      </c>
    </row>
    <row r="3" spans="1:40" x14ac:dyDescent="0.2">
      <c r="A3" t="str">
        <f>'For stats end Y class'!A3</f>
        <v>Algolf75</v>
      </c>
      <c r="B3">
        <f>IF(ISNA(VLOOKUP($A3&amp;B$1,'For stats end Y DB'!$A:$G,5,0)),0,VLOOKUP($A3&amp;B$1,'For stats end Y DB'!$A:$G,5,0))</f>
        <v>0</v>
      </c>
      <c r="C3">
        <f>IF(ISNA(VLOOKUP($A3&amp;C$1,'For stats end Y DB'!$A:$G,5,0)),0,VLOOKUP($A3&amp;C$1,'For stats end Y DB'!$A:$G,5,0))</f>
        <v>0</v>
      </c>
      <c r="D3">
        <f>IF(ISNA(VLOOKUP($A3&amp;D$1,'For stats end Y DB'!$A:$G,5,0)),0,VLOOKUP($A3&amp;D$1,'For stats end Y DB'!$A:$G,5,0))</f>
        <v>0</v>
      </c>
      <c r="E3">
        <f>IF(ISNA(VLOOKUP($A3&amp;E$1,'For stats end Y DB'!$A:$G,5,0)),0,VLOOKUP($A3&amp;E$1,'For stats end Y DB'!$A:$G,5,0))</f>
        <v>0</v>
      </c>
      <c r="F3">
        <f>IF(ISNA(VLOOKUP($A3&amp;F$1,'For stats end Y DB'!$A:$G,5,0)),0,VLOOKUP($A3&amp;F$1,'For stats end Y DB'!$A:$G,5,0))</f>
        <v>0</v>
      </c>
      <c r="G3">
        <f>IF(ISNA(VLOOKUP($A3&amp;G$1,'For stats end Y DB'!$A:$G,5,0)),0,VLOOKUP($A3&amp;G$1,'For stats end Y DB'!$A:$G,5,0))</f>
        <v>5</v>
      </c>
      <c r="H3">
        <f>IF(ISNA(VLOOKUP($A3&amp;H$1,'For stats end Y DB'!$A:$G,5,0)),0,VLOOKUP($A3&amp;H$1,'For stats end Y DB'!$A:$G,5,0))</f>
        <v>8</v>
      </c>
      <c r="I3">
        <f>IF(ISNA(VLOOKUP($A3&amp;I$1,'For stats end Y DB'!$A:$G,5,0)),0,VLOOKUP($A3&amp;I$1,'For stats end Y DB'!$A:$G,5,0))</f>
        <v>2</v>
      </c>
      <c r="J3">
        <f>IF(ISNA(VLOOKUP($A3&amp;J$1,'For stats end Y DB'!$A:$G,5,0)),0,VLOOKUP($A3&amp;J$1,'For stats end Y DB'!$A:$G,5,0))</f>
        <v>0</v>
      </c>
      <c r="K3">
        <f>IF(ISNA(VLOOKUP($A3&amp;K$1,'For stats end Y DB'!$A:$G,5,0)),0,VLOOKUP($A3&amp;K$1,'For stats end Y DB'!$A:$G,5,0))</f>
        <v>0</v>
      </c>
      <c r="L3">
        <f>IF(ISNA(VLOOKUP($A3&amp;L$1,'For stats end Y DB'!$A:$G,5,0)),0,VLOOKUP($A3&amp;L$1,'For stats end Y DB'!$A:$G,5,0))</f>
        <v>0</v>
      </c>
      <c r="M3">
        <f>IF(ISNA(VLOOKUP($A3&amp;M$1,'For stats end Y DB'!$A:$G,5,0)),0,VLOOKUP($A3&amp;M$1,'For stats end Y DB'!$A:$G,5,0))</f>
        <v>0</v>
      </c>
      <c r="N3">
        <f>IF(ISNA(VLOOKUP($A3&amp;N$1,'For stats end Y DB'!$A:$G,5,0)),0,VLOOKUP($A3&amp;N$1,'For stats end Y DB'!$A:$G,5,0))</f>
        <v>0</v>
      </c>
      <c r="O3">
        <f>IF(ISNA(VLOOKUP($A3&amp;O$1,'For stats end Y DB'!$A:$G,5,0)),0,VLOOKUP($A3&amp;O$1,'For stats end Y DB'!$A:$G,5,0))</f>
        <v>2</v>
      </c>
      <c r="P3">
        <f>IF(ISNA(VLOOKUP($A3&amp;P$1,'For stats end Y DB'!$A:$G,5,0)),0,VLOOKUP($A3&amp;P$1,'For stats end Y DB'!$A:$G,5,0))</f>
        <v>0</v>
      </c>
      <c r="Q3">
        <f>IF(ISNA(VLOOKUP($A3&amp;Q$1,'For stats end Y DB'!$A:$G,5,0)),0,VLOOKUP($A3&amp;Q$1,'For stats end Y DB'!$A:$G,5,0))</f>
        <v>0</v>
      </c>
      <c r="R3">
        <f>IF(ISNA(VLOOKUP($A3&amp;R$1,'For stats end Y DB'!$A:$G,5,0)),0,VLOOKUP($A3&amp;R$1,'For stats end Y DB'!$A:$G,5,0))</f>
        <v>0</v>
      </c>
      <c r="S3">
        <f>IF(ISNA(VLOOKUP($A3&amp;S$1,'For stats end Y DB'!$A:$G,5,0)),0,VLOOKUP($A3&amp;S$1,'For stats end Y DB'!$A:$G,5,0))</f>
        <v>0</v>
      </c>
      <c r="T3">
        <f>IF(ISNA(VLOOKUP($A3&amp;T$1,'For stats end Y DB'!$A:$G,5,0)),0,VLOOKUP($A3&amp;T$1,'For stats end Y DB'!$A:$G,5,0))</f>
        <v>0</v>
      </c>
      <c r="U3">
        <f>IF(ISNA(VLOOKUP($A3&amp;U$1,'For stats end Y DB'!$A:$G,5,0)),0,VLOOKUP($A3&amp;U$1,'For stats end Y DB'!$A:$G,5,0))</f>
        <v>0</v>
      </c>
      <c r="V3">
        <f>IF(ISNA(VLOOKUP($A3&amp;V$1,'For stats end Y DB'!$A:$G,5,0)),0,VLOOKUP($A3&amp;V$1,'For stats end Y DB'!$A:$G,5,0))</f>
        <v>0</v>
      </c>
      <c r="W3">
        <f>IF(ISNA(VLOOKUP($A3&amp;W$1,'For stats end Y DB'!$A:$G,5,0)),0,VLOOKUP($A3&amp;W$1,'For stats end Y DB'!$A:$G,5,0))</f>
        <v>0</v>
      </c>
      <c r="X3">
        <f>IF(ISNA(VLOOKUP($A3&amp;X$1,'For stats end Y DB'!$A:$G,5,0)),0,VLOOKUP($A3&amp;X$1,'For stats end Y DB'!$A:$G,5,0))</f>
        <v>0</v>
      </c>
      <c r="Y3">
        <f>IF(ISNA(VLOOKUP($A3&amp;Y$1,'For stats end Y DB'!$A:$G,5,0)),0,VLOOKUP($A3&amp;Y$1,'For stats end Y DB'!$A:$G,5,0))</f>
        <v>0</v>
      </c>
      <c r="Z3">
        <f>IF(ISNA(VLOOKUP($A3&amp;Z$1,'For stats end Y DB'!$A:$G,5,0)),0,VLOOKUP($A3&amp;Z$1,'For stats end Y DB'!$A:$G,5,0))</f>
        <v>0</v>
      </c>
      <c r="AA3">
        <f>IF(ISNA(VLOOKUP($A3&amp;AA$1,'For stats end Y DB'!$A:$G,5,0)),0,VLOOKUP($A3&amp;AA$1,'For stats end Y DB'!$A:$G,5,0))</f>
        <v>0</v>
      </c>
      <c r="AB3">
        <f>IF(ISNA(VLOOKUP($A3&amp;AB$1,'For stats end Y DB'!$A:$G,5,0)),0,VLOOKUP($A3&amp;AB$1,'For stats end Y DB'!$A:$G,5,0))</f>
        <v>0</v>
      </c>
      <c r="AC3">
        <f>IF(ISNA(VLOOKUP($A3&amp;AC$1,'For stats end Y DB'!$A:$G,5,0)),0,VLOOKUP($A3&amp;AC$1,'For stats end Y DB'!$A:$G,5,0))</f>
        <v>0</v>
      </c>
      <c r="AD3">
        <f>IF(ISNA(VLOOKUP($A3&amp;AD$1,'For stats end Y DB'!$A:$G,5,0)),0,VLOOKUP($A3&amp;AD$1,'For stats end Y DB'!$A:$G,5,0))</f>
        <v>0</v>
      </c>
      <c r="AE3">
        <f>IF(ISNA(VLOOKUP($A3&amp;AE$1,'For stats end Y DB'!$A:$G,5,0)),0,VLOOKUP($A3&amp;AE$1,'For stats end Y DB'!$A:$G,5,0))</f>
        <v>0</v>
      </c>
      <c r="AF3">
        <f>IF(ISNA(VLOOKUP($A3&amp;AF$1,'For stats end Y DB'!$A:$G,5,0)),0,VLOOKUP($A3&amp;AF$1,'For stats end Y DB'!$A:$G,5,0))</f>
        <v>0</v>
      </c>
      <c r="AG3">
        <f>IF(ISNA(VLOOKUP($A3&amp;AG$1,'For stats end Y DB'!$A:$G,5,0)),0,VLOOKUP($A3&amp;AG$1,'For stats end Y DB'!$A:$G,5,0))</f>
        <v>0</v>
      </c>
      <c r="AH3">
        <f>IF(ISNA(VLOOKUP($A3&amp;AH$1,'For stats end Y DB'!$A:$G,5,0)),0,VLOOKUP($A3&amp;AH$1,'For stats end Y DB'!$A:$G,5,0))</f>
        <v>0</v>
      </c>
      <c r="AI3">
        <f>IF(ISNA(VLOOKUP($A3&amp;AI$1,'For stats end Y DB'!$A:$G,5,0)),0,VLOOKUP($A3&amp;AI$1,'For stats end Y DB'!$A:$G,5,0))</f>
        <v>0</v>
      </c>
      <c r="AJ3">
        <f>IF(ISNA(VLOOKUP($A3&amp;AJ$1,'For stats end Y DB'!$A:$G,5,0)),0,VLOOKUP($A3&amp;AJ$1,'For stats end Y DB'!$A:$G,5,0))</f>
        <v>0</v>
      </c>
      <c r="AK3">
        <f>IF(ISNA(VLOOKUP($A3&amp;AK$1,'For stats end Y DB'!$A:$G,5,0)),0,VLOOKUP($A3&amp;AK$1,'For stats end Y DB'!$A:$G,5,0))</f>
        <v>0</v>
      </c>
      <c r="AL3">
        <f>IF(ISNA(VLOOKUP($A3&amp;AL$1,'For stats end Y DB'!$A:$G,5,0)),0,VLOOKUP($A3&amp;AL$1,'For stats end Y DB'!$A:$G,5,0))</f>
        <v>0</v>
      </c>
      <c r="AM3">
        <f>IF(ISNA(VLOOKUP($A3&amp;AM$1,'For stats end Y DB'!$A:$G,5,0)),0,VLOOKUP($A3&amp;AM$1,'For stats end Y DB'!$A:$G,5,0))</f>
        <v>0</v>
      </c>
      <c r="AN3">
        <f>IF(ISNA(VLOOKUP($A3&amp;AN$1,'For stats end Y DB'!$A:$G,5,0)),0,VLOOKUP($A3&amp;AN$1,'For stats end Y DB'!$A:$G,5,0))</f>
        <v>0</v>
      </c>
    </row>
    <row r="4" spans="1:40" x14ac:dyDescent="0.2">
      <c r="A4" t="str">
        <f>'For stats end Y class'!A4</f>
        <v>AllinDeuces</v>
      </c>
      <c r="B4">
        <f>IF(ISNA(VLOOKUP($A4&amp;B$1,'For stats end Y DB'!$A:$G,5,0)),0,VLOOKUP($A4&amp;B$1,'For stats end Y DB'!$A:$G,5,0))</f>
        <v>0</v>
      </c>
      <c r="C4">
        <f>IF(ISNA(VLOOKUP($A4&amp;C$1,'For stats end Y DB'!$A:$G,5,0)),0,VLOOKUP($A4&amp;C$1,'For stats end Y DB'!$A:$G,5,0))</f>
        <v>0</v>
      </c>
      <c r="D4">
        <f>IF(ISNA(VLOOKUP($A4&amp;D$1,'For stats end Y DB'!$A:$G,5,0)),0,VLOOKUP($A4&amp;D$1,'For stats end Y DB'!$A:$G,5,0))</f>
        <v>0</v>
      </c>
      <c r="E4">
        <f>IF(ISNA(VLOOKUP($A4&amp;E$1,'For stats end Y DB'!$A:$G,5,0)),0,VLOOKUP($A4&amp;E$1,'For stats end Y DB'!$A:$G,5,0))</f>
        <v>0</v>
      </c>
      <c r="F4">
        <f>IF(ISNA(VLOOKUP($A4&amp;F$1,'For stats end Y DB'!$A:$G,5,0)),0,VLOOKUP($A4&amp;F$1,'For stats end Y DB'!$A:$G,5,0))</f>
        <v>0</v>
      </c>
      <c r="G4">
        <f>IF(ISNA(VLOOKUP($A4&amp;G$1,'For stats end Y DB'!$A:$G,5,0)),0,VLOOKUP($A4&amp;G$1,'For stats end Y DB'!$A:$G,5,0))</f>
        <v>0</v>
      </c>
      <c r="H4">
        <f>IF(ISNA(VLOOKUP($A4&amp;H$1,'For stats end Y DB'!$A:$G,5,0)),0,VLOOKUP($A4&amp;H$1,'For stats end Y DB'!$A:$G,5,0))</f>
        <v>0</v>
      </c>
      <c r="I4">
        <f>IF(ISNA(VLOOKUP($A4&amp;I$1,'For stats end Y DB'!$A:$G,5,0)),0,VLOOKUP($A4&amp;I$1,'For stats end Y DB'!$A:$G,5,0))</f>
        <v>0</v>
      </c>
      <c r="J4">
        <f>IF(ISNA(VLOOKUP($A4&amp;J$1,'For stats end Y DB'!$A:$G,5,0)),0,VLOOKUP($A4&amp;J$1,'For stats end Y DB'!$A:$G,5,0))</f>
        <v>0</v>
      </c>
      <c r="K4">
        <f>IF(ISNA(VLOOKUP($A4&amp;K$1,'For stats end Y DB'!$A:$G,5,0)),0,VLOOKUP($A4&amp;K$1,'For stats end Y DB'!$A:$G,5,0))</f>
        <v>0</v>
      </c>
      <c r="L4">
        <f>IF(ISNA(VLOOKUP($A4&amp;L$1,'For stats end Y DB'!$A:$G,5,0)),0,VLOOKUP($A4&amp;L$1,'For stats end Y DB'!$A:$G,5,0))</f>
        <v>8</v>
      </c>
      <c r="M4">
        <f>IF(ISNA(VLOOKUP($A4&amp;M$1,'For stats end Y DB'!$A:$G,5,0)),0,VLOOKUP($A4&amp;M$1,'For stats end Y DB'!$A:$G,5,0))</f>
        <v>0</v>
      </c>
      <c r="N4">
        <f>IF(ISNA(VLOOKUP($A4&amp;N$1,'For stats end Y DB'!$A:$G,5,0)),0,VLOOKUP($A4&amp;N$1,'For stats end Y DB'!$A:$G,5,0))</f>
        <v>0</v>
      </c>
      <c r="O4">
        <f>IF(ISNA(VLOOKUP($A4&amp;O$1,'For stats end Y DB'!$A:$G,5,0)),0,VLOOKUP($A4&amp;O$1,'For stats end Y DB'!$A:$G,5,0))</f>
        <v>0</v>
      </c>
      <c r="P4">
        <f>IF(ISNA(VLOOKUP($A4&amp;P$1,'For stats end Y DB'!$A:$G,5,0)),0,VLOOKUP($A4&amp;P$1,'For stats end Y DB'!$A:$G,5,0))</f>
        <v>0</v>
      </c>
      <c r="Q4">
        <f>IF(ISNA(VLOOKUP($A4&amp;Q$1,'For stats end Y DB'!$A:$G,5,0)),0,VLOOKUP($A4&amp;Q$1,'For stats end Y DB'!$A:$G,5,0))</f>
        <v>0</v>
      </c>
      <c r="R4">
        <f>IF(ISNA(VLOOKUP($A4&amp;R$1,'For stats end Y DB'!$A:$G,5,0)),0,VLOOKUP($A4&amp;R$1,'For stats end Y DB'!$A:$G,5,0))</f>
        <v>0</v>
      </c>
      <c r="S4">
        <f>IF(ISNA(VLOOKUP($A4&amp;S$1,'For stats end Y DB'!$A:$G,5,0)),0,VLOOKUP($A4&amp;S$1,'For stats end Y DB'!$A:$G,5,0))</f>
        <v>0</v>
      </c>
      <c r="T4">
        <f>IF(ISNA(VLOOKUP($A4&amp;T$1,'For stats end Y DB'!$A:$G,5,0)),0,VLOOKUP($A4&amp;T$1,'For stats end Y DB'!$A:$G,5,0))</f>
        <v>0</v>
      </c>
      <c r="U4">
        <f>IF(ISNA(VLOOKUP($A4&amp;U$1,'For stats end Y DB'!$A:$G,5,0)),0,VLOOKUP($A4&amp;U$1,'For stats end Y DB'!$A:$G,5,0))</f>
        <v>0</v>
      </c>
      <c r="V4">
        <f>IF(ISNA(VLOOKUP($A4&amp;V$1,'For stats end Y DB'!$A:$G,5,0)),0,VLOOKUP($A4&amp;V$1,'For stats end Y DB'!$A:$G,5,0))</f>
        <v>0</v>
      </c>
      <c r="W4">
        <f>IF(ISNA(VLOOKUP($A4&amp;W$1,'For stats end Y DB'!$A:$G,5,0)),0,VLOOKUP($A4&amp;W$1,'For stats end Y DB'!$A:$G,5,0))</f>
        <v>0</v>
      </c>
      <c r="X4">
        <f>IF(ISNA(VLOOKUP($A4&amp;X$1,'For stats end Y DB'!$A:$G,5,0)),0,VLOOKUP($A4&amp;X$1,'For stats end Y DB'!$A:$G,5,0))</f>
        <v>0</v>
      </c>
      <c r="Y4">
        <f>IF(ISNA(VLOOKUP($A4&amp;Y$1,'For stats end Y DB'!$A:$G,5,0)),0,VLOOKUP($A4&amp;Y$1,'For stats end Y DB'!$A:$G,5,0))</f>
        <v>0</v>
      </c>
      <c r="Z4">
        <f>IF(ISNA(VLOOKUP($A4&amp;Z$1,'For stats end Y DB'!$A:$G,5,0)),0,VLOOKUP($A4&amp;Z$1,'For stats end Y DB'!$A:$G,5,0))</f>
        <v>0</v>
      </c>
      <c r="AA4">
        <f>IF(ISNA(VLOOKUP($A4&amp;AA$1,'For stats end Y DB'!$A:$G,5,0)),0,VLOOKUP($A4&amp;AA$1,'For stats end Y DB'!$A:$G,5,0))</f>
        <v>0</v>
      </c>
      <c r="AB4">
        <f>IF(ISNA(VLOOKUP($A4&amp;AB$1,'For stats end Y DB'!$A:$G,5,0)),0,VLOOKUP($A4&amp;AB$1,'For stats end Y DB'!$A:$G,5,0))</f>
        <v>0</v>
      </c>
      <c r="AC4">
        <f>IF(ISNA(VLOOKUP($A4&amp;AC$1,'For stats end Y DB'!$A:$G,5,0)),0,VLOOKUP($A4&amp;AC$1,'For stats end Y DB'!$A:$G,5,0))</f>
        <v>0</v>
      </c>
      <c r="AD4">
        <f>IF(ISNA(VLOOKUP($A4&amp;AD$1,'For stats end Y DB'!$A:$G,5,0)),0,VLOOKUP($A4&amp;AD$1,'For stats end Y DB'!$A:$G,5,0))</f>
        <v>0</v>
      </c>
      <c r="AE4">
        <f>IF(ISNA(VLOOKUP($A4&amp;AE$1,'For stats end Y DB'!$A:$G,5,0)),0,VLOOKUP($A4&amp;AE$1,'For stats end Y DB'!$A:$G,5,0))</f>
        <v>0</v>
      </c>
      <c r="AF4">
        <f>IF(ISNA(VLOOKUP($A4&amp;AF$1,'For stats end Y DB'!$A:$G,5,0)),0,VLOOKUP($A4&amp;AF$1,'For stats end Y DB'!$A:$G,5,0))</f>
        <v>0</v>
      </c>
      <c r="AG4">
        <f>IF(ISNA(VLOOKUP($A4&amp;AG$1,'For stats end Y DB'!$A:$G,5,0)),0,VLOOKUP($A4&amp;AG$1,'For stats end Y DB'!$A:$G,5,0))</f>
        <v>0</v>
      </c>
      <c r="AH4">
        <f>IF(ISNA(VLOOKUP($A4&amp;AH$1,'For stats end Y DB'!$A:$G,5,0)),0,VLOOKUP($A4&amp;AH$1,'For stats end Y DB'!$A:$G,5,0))</f>
        <v>0</v>
      </c>
      <c r="AI4">
        <f>IF(ISNA(VLOOKUP($A4&amp;AI$1,'For stats end Y DB'!$A:$G,5,0)),0,VLOOKUP($A4&amp;AI$1,'For stats end Y DB'!$A:$G,5,0))</f>
        <v>0</v>
      </c>
      <c r="AJ4">
        <f>IF(ISNA(VLOOKUP($A4&amp;AJ$1,'For stats end Y DB'!$A:$G,5,0)),0,VLOOKUP($A4&amp;AJ$1,'For stats end Y DB'!$A:$G,5,0))</f>
        <v>0</v>
      </c>
      <c r="AK4">
        <f>IF(ISNA(VLOOKUP($A4&amp;AK$1,'For stats end Y DB'!$A:$G,5,0)),0,VLOOKUP($A4&amp;AK$1,'For stats end Y DB'!$A:$G,5,0))</f>
        <v>0</v>
      </c>
      <c r="AL4">
        <f>IF(ISNA(VLOOKUP($A4&amp;AL$1,'For stats end Y DB'!$A:$G,5,0)),0,VLOOKUP($A4&amp;AL$1,'For stats end Y DB'!$A:$G,5,0))</f>
        <v>0</v>
      </c>
      <c r="AM4">
        <f>IF(ISNA(VLOOKUP($A4&amp;AM$1,'For stats end Y DB'!$A:$G,5,0)),0,VLOOKUP($A4&amp;AM$1,'For stats end Y DB'!$A:$G,5,0))</f>
        <v>0</v>
      </c>
      <c r="AN4">
        <f>IF(ISNA(VLOOKUP($A4&amp;AN$1,'For stats end Y DB'!$A:$G,5,0)),0,VLOOKUP($A4&amp;AN$1,'For stats end Y DB'!$A:$G,5,0))</f>
        <v>0</v>
      </c>
    </row>
    <row r="5" spans="1:40" x14ac:dyDescent="0.2">
      <c r="A5" t="str">
        <f>'For stats end Y class'!A5</f>
        <v>Ankolos</v>
      </c>
      <c r="B5">
        <f>IF(ISNA(VLOOKUP($A5&amp;B$1,'For stats end Y DB'!$A:$G,5,0)),0,VLOOKUP($A5&amp;B$1,'For stats end Y DB'!$A:$G,5,0))</f>
        <v>0</v>
      </c>
      <c r="C5">
        <f>IF(ISNA(VLOOKUP($A5&amp;C$1,'For stats end Y DB'!$A:$G,5,0)),0,VLOOKUP($A5&amp;C$1,'For stats end Y DB'!$A:$G,5,0))</f>
        <v>0</v>
      </c>
      <c r="D5">
        <f>IF(ISNA(VLOOKUP($A5&amp;D$1,'For stats end Y DB'!$A:$G,5,0)),0,VLOOKUP($A5&amp;D$1,'For stats end Y DB'!$A:$G,5,0))</f>
        <v>0</v>
      </c>
      <c r="E5">
        <f>IF(ISNA(VLOOKUP($A5&amp;E$1,'For stats end Y DB'!$A:$G,5,0)),0,VLOOKUP($A5&amp;E$1,'For stats end Y DB'!$A:$G,5,0))</f>
        <v>0</v>
      </c>
      <c r="F5">
        <f>IF(ISNA(VLOOKUP($A5&amp;F$1,'For stats end Y DB'!$A:$G,5,0)),0,VLOOKUP($A5&amp;F$1,'For stats end Y DB'!$A:$G,5,0))</f>
        <v>0</v>
      </c>
      <c r="G5">
        <f>IF(ISNA(VLOOKUP($A5&amp;G$1,'For stats end Y DB'!$A:$G,5,0)),0,VLOOKUP($A5&amp;G$1,'For stats end Y DB'!$A:$G,5,0))</f>
        <v>0</v>
      </c>
      <c r="H5">
        <f>IF(ISNA(VLOOKUP($A5&amp;H$1,'For stats end Y DB'!$A:$G,5,0)),0,VLOOKUP($A5&amp;H$1,'For stats end Y DB'!$A:$G,5,0))</f>
        <v>0</v>
      </c>
      <c r="I5">
        <f>IF(ISNA(VLOOKUP($A5&amp;I$1,'For stats end Y DB'!$A:$G,5,0)),0,VLOOKUP($A5&amp;I$1,'For stats end Y DB'!$A:$G,5,0))</f>
        <v>0</v>
      </c>
      <c r="J5">
        <f>IF(ISNA(VLOOKUP($A5&amp;J$1,'For stats end Y DB'!$A:$G,5,0)),0,VLOOKUP($A5&amp;J$1,'For stats end Y DB'!$A:$G,5,0))</f>
        <v>0</v>
      </c>
      <c r="K5">
        <f>IF(ISNA(VLOOKUP($A5&amp;K$1,'For stats end Y DB'!$A:$G,5,0)),0,VLOOKUP($A5&amp;K$1,'For stats end Y DB'!$A:$G,5,0))</f>
        <v>0</v>
      </c>
      <c r="L5">
        <f>IF(ISNA(VLOOKUP($A5&amp;L$1,'For stats end Y DB'!$A:$G,5,0)),0,VLOOKUP($A5&amp;L$1,'For stats end Y DB'!$A:$G,5,0))</f>
        <v>0</v>
      </c>
      <c r="M5">
        <f>IF(ISNA(VLOOKUP($A5&amp;M$1,'For stats end Y DB'!$A:$G,5,0)),0,VLOOKUP($A5&amp;M$1,'For stats end Y DB'!$A:$G,5,0))</f>
        <v>0</v>
      </c>
      <c r="N5">
        <f>IF(ISNA(VLOOKUP($A5&amp;N$1,'For stats end Y DB'!$A:$G,5,0)),0,VLOOKUP($A5&amp;N$1,'For stats end Y DB'!$A:$G,5,0))</f>
        <v>0</v>
      </c>
      <c r="O5">
        <f>IF(ISNA(VLOOKUP($A5&amp;O$1,'For stats end Y DB'!$A:$G,5,0)),0,VLOOKUP($A5&amp;O$1,'For stats end Y DB'!$A:$G,5,0))</f>
        <v>0</v>
      </c>
      <c r="P5">
        <f>IF(ISNA(VLOOKUP($A5&amp;P$1,'For stats end Y DB'!$A:$G,5,0)),0,VLOOKUP($A5&amp;P$1,'For stats end Y DB'!$A:$G,5,0))</f>
        <v>0</v>
      </c>
      <c r="Q5">
        <f>IF(ISNA(VLOOKUP($A5&amp;Q$1,'For stats end Y DB'!$A:$G,5,0)),0,VLOOKUP($A5&amp;Q$1,'For stats end Y DB'!$A:$G,5,0))</f>
        <v>0</v>
      </c>
      <c r="R5">
        <f>IF(ISNA(VLOOKUP($A5&amp;R$1,'For stats end Y DB'!$A:$G,5,0)),0,VLOOKUP($A5&amp;R$1,'For stats end Y DB'!$A:$G,5,0))</f>
        <v>0</v>
      </c>
      <c r="S5">
        <f>IF(ISNA(VLOOKUP($A5&amp;S$1,'For stats end Y DB'!$A:$G,5,0)),0,VLOOKUP($A5&amp;S$1,'For stats end Y DB'!$A:$G,5,0))</f>
        <v>0</v>
      </c>
      <c r="T5">
        <f>IF(ISNA(VLOOKUP($A5&amp;T$1,'For stats end Y DB'!$A:$G,5,0)),0,VLOOKUP($A5&amp;T$1,'For stats end Y DB'!$A:$G,5,0))</f>
        <v>0</v>
      </c>
      <c r="U5">
        <f>IF(ISNA(VLOOKUP($A5&amp;U$1,'For stats end Y DB'!$A:$G,5,0)),0,VLOOKUP($A5&amp;U$1,'For stats end Y DB'!$A:$G,5,0))</f>
        <v>0</v>
      </c>
      <c r="V5">
        <f>IF(ISNA(VLOOKUP($A5&amp;V$1,'For stats end Y DB'!$A:$G,5,0)),0,VLOOKUP($A5&amp;V$1,'For stats end Y DB'!$A:$G,5,0))</f>
        <v>0</v>
      </c>
      <c r="W5">
        <f>IF(ISNA(VLOOKUP($A5&amp;W$1,'For stats end Y DB'!$A:$G,5,0)),0,VLOOKUP($A5&amp;W$1,'For stats end Y DB'!$A:$G,5,0))</f>
        <v>0</v>
      </c>
      <c r="X5">
        <f>IF(ISNA(VLOOKUP($A5&amp;X$1,'For stats end Y DB'!$A:$G,5,0)),0,VLOOKUP($A5&amp;X$1,'For stats end Y DB'!$A:$G,5,0))</f>
        <v>0</v>
      </c>
      <c r="Y5">
        <f>IF(ISNA(VLOOKUP($A5&amp;Y$1,'For stats end Y DB'!$A:$G,5,0)),0,VLOOKUP($A5&amp;Y$1,'For stats end Y DB'!$A:$G,5,0))</f>
        <v>0</v>
      </c>
      <c r="Z5">
        <f>IF(ISNA(VLOOKUP($A5&amp;Z$1,'For stats end Y DB'!$A:$G,5,0)),0,VLOOKUP($A5&amp;Z$1,'For stats end Y DB'!$A:$G,5,0))</f>
        <v>0</v>
      </c>
      <c r="AA5">
        <f>IF(ISNA(VLOOKUP($A5&amp;AA$1,'For stats end Y DB'!$A:$G,5,0)),0,VLOOKUP($A5&amp;AA$1,'For stats end Y DB'!$A:$G,5,0))</f>
        <v>1</v>
      </c>
      <c r="AB5">
        <f>IF(ISNA(VLOOKUP($A5&amp;AB$1,'For stats end Y DB'!$A:$G,5,0)),0,VLOOKUP($A5&amp;AB$1,'For stats end Y DB'!$A:$G,5,0))</f>
        <v>0</v>
      </c>
      <c r="AC5">
        <f>IF(ISNA(VLOOKUP($A5&amp;AC$1,'For stats end Y DB'!$A:$G,5,0)),0,VLOOKUP($A5&amp;AC$1,'For stats end Y DB'!$A:$G,5,0))</f>
        <v>0</v>
      </c>
      <c r="AD5">
        <f>IF(ISNA(VLOOKUP($A5&amp;AD$1,'For stats end Y DB'!$A:$G,5,0)),0,VLOOKUP($A5&amp;AD$1,'For stats end Y DB'!$A:$G,5,0))</f>
        <v>0</v>
      </c>
      <c r="AE5">
        <f>IF(ISNA(VLOOKUP($A5&amp;AE$1,'For stats end Y DB'!$A:$G,5,0)),0,VLOOKUP($A5&amp;AE$1,'For stats end Y DB'!$A:$G,5,0))</f>
        <v>2</v>
      </c>
      <c r="AF5">
        <f>IF(ISNA(VLOOKUP($A5&amp;AF$1,'For stats end Y DB'!$A:$G,5,0)),0,VLOOKUP($A5&amp;AF$1,'For stats end Y DB'!$A:$G,5,0))</f>
        <v>0</v>
      </c>
      <c r="AG5">
        <f>IF(ISNA(VLOOKUP($A5&amp;AG$1,'For stats end Y DB'!$A:$G,5,0)),0,VLOOKUP($A5&amp;AG$1,'For stats end Y DB'!$A:$G,5,0))</f>
        <v>2</v>
      </c>
      <c r="AH5">
        <f>IF(ISNA(VLOOKUP($A5&amp;AH$1,'For stats end Y DB'!$A:$G,5,0)),0,VLOOKUP($A5&amp;AH$1,'For stats end Y DB'!$A:$G,5,0))</f>
        <v>0</v>
      </c>
      <c r="AI5">
        <f>IF(ISNA(VLOOKUP($A5&amp;AI$1,'For stats end Y DB'!$A:$G,5,0)),0,VLOOKUP($A5&amp;AI$1,'For stats end Y DB'!$A:$G,5,0))</f>
        <v>0</v>
      </c>
      <c r="AJ5">
        <f>IF(ISNA(VLOOKUP($A5&amp;AJ$1,'For stats end Y DB'!$A:$G,5,0)),0,VLOOKUP($A5&amp;AJ$1,'For stats end Y DB'!$A:$G,5,0))</f>
        <v>0</v>
      </c>
      <c r="AK5">
        <f>IF(ISNA(VLOOKUP($A5&amp;AK$1,'For stats end Y DB'!$A:$G,5,0)),0,VLOOKUP($A5&amp;AK$1,'For stats end Y DB'!$A:$G,5,0))</f>
        <v>0</v>
      </c>
      <c r="AL5">
        <f>IF(ISNA(VLOOKUP($A5&amp;AL$1,'For stats end Y DB'!$A:$G,5,0)),0,VLOOKUP($A5&amp;AL$1,'For stats end Y DB'!$A:$G,5,0))</f>
        <v>0</v>
      </c>
      <c r="AM5">
        <f>IF(ISNA(VLOOKUP($A5&amp;AM$1,'For stats end Y DB'!$A:$G,5,0)),0,VLOOKUP($A5&amp;AM$1,'For stats end Y DB'!$A:$G,5,0))</f>
        <v>0</v>
      </c>
      <c r="AN5">
        <f>IF(ISNA(VLOOKUP($A5&amp;AN$1,'For stats end Y DB'!$A:$G,5,0)),0,VLOOKUP($A5&amp;AN$1,'For stats end Y DB'!$A:$G,5,0))</f>
        <v>0</v>
      </c>
    </row>
    <row r="6" spans="1:40" x14ac:dyDescent="0.2">
      <c r="A6" t="str">
        <f>'For stats end Y class'!A6</f>
        <v>Antoine</v>
      </c>
      <c r="B6">
        <f>IF(ISNA(VLOOKUP($A6&amp;B$1,'For stats end Y DB'!$A:$G,5,0)),0,VLOOKUP($A6&amp;B$1,'For stats end Y DB'!$A:$G,5,0))</f>
        <v>0</v>
      </c>
      <c r="C6">
        <f>IF(ISNA(VLOOKUP($A6&amp;C$1,'For stats end Y DB'!$A:$G,5,0)),0,VLOOKUP($A6&amp;C$1,'For stats end Y DB'!$A:$G,5,0))</f>
        <v>1</v>
      </c>
      <c r="D6">
        <f>IF(ISNA(VLOOKUP($A6&amp;D$1,'For stats end Y DB'!$A:$G,5,0)),0,VLOOKUP($A6&amp;D$1,'For stats end Y DB'!$A:$G,5,0))</f>
        <v>0</v>
      </c>
      <c r="E6">
        <f>IF(ISNA(VLOOKUP($A6&amp;E$1,'For stats end Y DB'!$A:$G,5,0)),0,VLOOKUP($A6&amp;E$1,'For stats end Y DB'!$A:$G,5,0))</f>
        <v>0</v>
      </c>
      <c r="F6">
        <f>IF(ISNA(VLOOKUP($A6&amp;F$1,'For stats end Y DB'!$A:$G,5,0)),0,VLOOKUP($A6&amp;F$1,'For stats end Y DB'!$A:$G,5,0))</f>
        <v>0</v>
      </c>
      <c r="G6">
        <f>IF(ISNA(VLOOKUP($A6&amp;G$1,'For stats end Y DB'!$A:$G,5,0)),0,VLOOKUP($A6&amp;G$1,'For stats end Y DB'!$A:$G,5,0))</f>
        <v>0</v>
      </c>
      <c r="H6">
        <f>IF(ISNA(VLOOKUP($A6&amp;H$1,'For stats end Y DB'!$A:$G,5,0)),0,VLOOKUP($A6&amp;H$1,'For stats end Y DB'!$A:$G,5,0))</f>
        <v>0</v>
      </c>
      <c r="I6">
        <f>IF(ISNA(VLOOKUP($A6&amp;I$1,'For stats end Y DB'!$A:$G,5,0)),0,VLOOKUP($A6&amp;I$1,'For stats end Y DB'!$A:$G,5,0))</f>
        <v>0</v>
      </c>
      <c r="J6">
        <f>IF(ISNA(VLOOKUP($A6&amp;J$1,'For stats end Y DB'!$A:$G,5,0)),0,VLOOKUP($A6&amp;J$1,'For stats end Y DB'!$A:$G,5,0))</f>
        <v>0</v>
      </c>
      <c r="K6">
        <f>IF(ISNA(VLOOKUP($A6&amp;K$1,'For stats end Y DB'!$A:$G,5,0)),0,VLOOKUP($A6&amp;K$1,'For stats end Y DB'!$A:$G,5,0))</f>
        <v>0</v>
      </c>
      <c r="L6">
        <f>IF(ISNA(VLOOKUP($A6&amp;L$1,'For stats end Y DB'!$A:$G,5,0)),0,VLOOKUP($A6&amp;L$1,'For stats end Y DB'!$A:$G,5,0))</f>
        <v>0</v>
      </c>
      <c r="M6">
        <f>IF(ISNA(VLOOKUP($A6&amp;M$1,'For stats end Y DB'!$A:$G,5,0)),0,VLOOKUP($A6&amp;M$1,'For stats end Y DB'!$A:$G,5,0))</f>
        <v>0</v>
      </c>
      <c r="N6">
        <f>IF(ISNA(VLOOKUP($A6&amp;N$1,'For stats end Y DB'!$A:$G,5,0)),0,VLOOKUP($A6&amp;N$1,'For stats end Y DB'!$A:$G,5,0))</f>
        <v>0</v>
      </c>
      <c r="O6">
        <f>IF(ISNA(VLOOKUP($A6&amp;O$1,'For stats end Y DB'!$A:$G,5,0)),0,VLOOKUP($A6&amp;O$1,'For stats end Y DB'!$A:$G,5,0))</f>
        <v>0</v>
      </c>
      <c r="P6">
        <f>IF(ISNA(VLOOKUP($A6&amp;P$1,'For stats end Y DB'!$A:$G,5,0)),0,VLOOKUP($A6&amp;P$1,'For stats end Y DB'!$A:$G,5,0))</f>
        <v>0</v>
      </c>
      <c r="Q6">
        <f>IF(ISNA(VLOOKUP($A6&amp;Q$1,'For stats end Y DB'!$A:$G,5,0)),0,VLOOKUP($A6&amp;Q$1,'For stats end Y DB'!$A:$G,5,0))</f>
        <v>0</v>
      </c>
      <c r="R6">
        <f>IF(ISNA(VLOOKUP($A6&amp;R$1,'For stats end Y DB'!$A:$G,5,0)),0,VLOOKUP($A6&amp;R$1,'For stats end Y DB'!$A:$G,5,0))</f>
        <v>0</v>
      </c>
      <c r="S6">
        <f>IF(ISNA(VLOOKUP($A6&amp;S$1,'For stats end Y DB'!$A:$G,5,0)),0,VLOOKUP($A6&amp;S$1,'For stats end Y DB'!$A:$G,5,0))</f>
        <v>0</v>
      </c>
      <c r="T6">
        <f>IF(ISNA(VLOOKUP($A6&amp;T$1,'For stats end Y DB'!$A:$G,5,0)),0,VLOOKUP($A6&amp;T$1,'For stats end Y DB'!$A:$G,5,0))</f>
        <v>0</v>
      </c>
      <c r="U6">
        <f>IF(ISNA(VLOOKUP($A6&amp;U$1,'For stats end Y DB'!$A:$G,5,0)),0,VLOOKUP($A6&amp;U$1,'For stats end Y DB'!$A:$G,5,0))</f>
        <v>0</v>
      </c>
      <c r="V6">
        <f>IF(ISNA(VLOOKUP($A6&amp;V$1,'For stats end Y DB'!$A:$G,5,0)),0,VLOOKUP($A6&amp;V$1,'For stats end Y DB'!$A:$G,5,0))</f>
        <v>0</v>
      </c>
      <c r="W6">
        <f>IF(ISNA(VLOOKUP($A6&amp;W$1,'For stats end Y DB'!$A:$G,5,0)),0,VLOOKUP($A6&amp;W$1,'For stats end Y DB'!$A:$G,5,0))</f>
        <v>0</v>
      </c>
      <c r="X6">
        <f>IF(ISNA(VLOOKUP($A6&amp;X$1,'For stats end Y DB'!$A:$G,5,0)),0,VLOOKUP($A6&amp;X$1,'For stats end Y DB'!$A:$G,5,0))</f>
        <v>0</v>
      </c>
      <c r="Y6">
        <f>IF(ISNA(VLOOKUP($A6&amp;Y$1,'For stats end Y DB'!$A:$G,5,0)),0,VLOOKUP($A6&amp;Y$1,'For stats end Y DB'!$A:$G,5,0))</f>
        <v>0</v>
      </c>
      <c r="Z6">
        <f>IF(ISNA(VLOOKUP($A6&amp;Z$1,'For stats end Y DB'!$A:$G,5,0)),0,VLOOKUP($A6&amp;Z$1,'For stats end Y DB'!$A:$G,5,0))</f>
        <v>0</v>
      </c>
      <c r="AA6">
        <f>IF(ISNA(VLOOKUP($A6&amp;AA$1,'For stats end Y DB'!$A:$G,5,0)),0,VLOOKUP($A6&amp;AA$1,'For stats end Y DB'!$A:$G,5,0))</f>
        <v>0</v>
      </c>
      <c r="AB6">
        <f>IF(ISNA(VLOOKUP($A6&amp;AB$1,'For stats end Y DB'!$A:$G,5,0)),0,VLOOKUP($A6&amp;AB$1,'For stats end Y DB'!$A:$G,5,0))</f>
        <v>0</v>
      </c>
      <c r="AC6">
        <f>IF(ISNA(VLOOKUP($A6&amp;AC$1,'For stats end Y DB'!$A:$G,5,0)),0,VLOOKUP($A6&amp;AC$1,'For stats end Y DB'!$A:$G,5,0))</f>
        <v>0</v>
      </c>
      <c r="AD6">
        <f>IF(ISNA(VLOOKUP($A6&amp;AD$1,'For stats end Y DB'!$A:$G,5,0)),0,VLOOKUP($A6&amp;AD$1,'For stats end Y DB'!$A:$G,5,0))</f>
        <v>0</v>
      </c>
      <c r="AE6">
        <f>IF(ISNA(VLOOKUP($A6&amp;AE$1,'For stats end Y DB'!$A:$G,5,0)),0,VLOOKUP($A6&amp;AE$1,'For stats end Y DB'!$A:$G,5,0))</f>
        <v>0</v>
      </c>
      <c r="AF6">
        <f>IF(ISNA(VLOOKUP($A6&amp;AF$1,'For stats end Y DB'!$A:$G,5,0)),0,VLOOKUP($A6&amp;AF$1,'For stats end Y DB'!$A:$G,5,0))</f>
        <v>0</v>
      </c>
      <c r="AG6">
        <f>IF(ISNA(VLOOKUP($A6&amp;AG$1,'For stats end Y DB'!$A:$G,5,0)),0,VLOOKUP($A6&amp;AG$1,'For stats end Y DB'!$A:$G,5,0))</f>
        <v>0</v>
      </c>
      <c r="AH6">
        <f>IF(ISNA(VLOOKUP($A6&amp;AH$1,'For stats end Y DB'!$A:$G,5,0)),0,VLOOKUP($A6&amp;AH$1,'For stats end Y DB'!$A:$G,5,0))</f>
        <v>0</v>
      </c>
      <c r="AI6">
        <f>IF(ISNA(VLOOKUP($A6&amp;AI$1,'For stats end Y DB'!$A:$G,5,0)),0,VLOOKUP($A6&amp;AI$1,'For stats end Y DB'!$A:$G,5,0))</f>
        <v>0</v>
      </c>
      <c r="AJ6">
        <f>IF(ISNA(VLOOKUP($A6&amp;AJ$1,'For stats end Y DB'!$A:$G,5,0)),0,VLOOKUP($A6&amp;AJ$1,'For stats end Y DB'!$A:$G,5,0))</f>
        <v>0</v>
      </c>
      <c r="AK6">
        <f>IF(ISNA(VLOOKUP($A6&amp;AK$1,'For stats end Y DB'!$A:$G,5,0)),0,VLOOKUP($A6&amp;AK$1,'For stats end Y DB'!$A:$G,5,0))</f>
        <v>0</v>
      </c>
      <c r="AL6">
        <f>IF(ISNA(VLOOKUP($A6&amp;AL$1,'For stats end Y DB'!$A:$G,5,0)),0,VLOOKUP($A6&amp;AL$1,'For stats end Y DB'!$A:$G,5,0))</f>
        <v>0</v>
      </c>
      <c r="AM6">
        <f>IF(ISNA(VLOOKUP($A6&amp;AM$1,'For stats end Y DB'!$A:$G,5,0)),0,VLOOKUP($A6&amp;AM$1,'For stats end Y DB'!$A:$G,5,0))</f>
        <v>0</v>
      </c>
      <c r="AN6">
        <f>IF(ISNA(VLOOKUP($A6&amp;AN$1,'For stats end Y DB'!$A:$G,5,0)),0,VLOOKUP($A6&amp;AN$1,'For stats end Y DB'!$A:$G,5,0))</f>
        <v>0</v>
      </c>
    </row>
    <row r="7" spans="1:40" x14ac:dyDescent="0.2">
      <c r="A7" t="str">
        <f>'For stats end Y class'!A7</f>
        <v>Bibus</v>
      </c>
      <c r="B7">
        <f>IF(ISNA(VLOOKUP($A7&amp;B$1,'For stats end Y DB'!$A:$G,5,0)),0,VLOOKUP($A7&amp;B$1,'For stats end Y DB'!$A:$G,5,0))</f>
        <v>0</v>
      </c>
      <c r="C7">
        <f>IF(ISNA(VLOOKUP($A7&amp;C$1,'For stats end Y DB'!$A:$G,5,0)),0,VLOOKUP($A7&amp;C$1,'For stats end Y DB'!$A:$G,5,0))</f>
        <v>1</v>
      </c>
      <c r="D7">
        <f>IF(ISNA(VLOOKUP($A7&amp;D$1,'For stats end Y DB'!$A:$G,5,0)),0,VLOOKUP($A7&amp;D$1,'For stats end Y DB'!$A:$G,5,0))</f>
        <v>0</v>
      </c>
      <c r="E7">
        <f>IF(ISNA(VLOOKUP($A7&amp;E$1,'For stats end Y DB'!$A:$G,5,0)),0,VLOOKUP($A7&amp;E$1,'For stats end Y DB'!$A:$G,5,0))</f>
        <v>0</v>
      </c>
      <c r="F7">
        <f>IF(ISNA(VLOOKUP($A7&amp;F$1,'For stats end Y DB'!$A:$G,5,0)),0,VLOOKUP($A7&amp;F$1,'For stats end Y DB'!$A:$G,5,0))</f>
        <v>0</v>
      </c>
      <c r="G7">
        <f>IF(ISNA(VLOOKUP($A7&amp;G$1,'For stats end Y DB'!$A:$G,5,0)),0,VLOOKUP($A7&amp;G$1,'For stats end Y DB'!$A:$G,5,0))</f>
        <v>0</v>
      </c>
      <c r="H7">
        <f>IF(ISNA(VLOOKUP($A7&amp;H$1,'For stats end Y DB'!$A:$G,5,0)),0,VLOOKUP($A7&amp;H$1,'For stats end Y DB'!$A:$G,5,0))</f>
        <v>0</v>
      </c>
      <c r="I7">
        <f>IF(ISNA(VLOOKUP($A7&amp;I$1,'For stats end Y DB'!$A:$G,5,0)),0,VLOOKUP($A7&amp;I$1,'For stats end Y DB'!$A:$G,5,0))</f>
        <v>0</v>
      </c>
      <c r="J7">
        <f>IF(ISNA(VLOOKUP($A7&amp;J$1,'For stats end Y DB'!$A:$G,5,0)),0,VLOOKUP($A7&amp;J$1,'For stats end Y DB'!$A:$G,5,0))</f>
        <v>0</v>
      </c>
      <c r="K7">
        <f>IF(ISNA(VLOOKUP($A7&amp;K$1,'For stats end Y DB'!$A:$G,5,0)),0,VLOOKUP($A7&amp;K$1,'For stats end Y DB'!$A:$G,5,0))</f>
        <v>0</v>
      </c>
      <c r="L7">
        <f>IF(ISNA(VLOOKUP($A7&amp;L$1,'For stats end Y DB'!$A:$G,5,0)),0,VLOOKUP($A7&amp;L$1,'For stats end Y DB'!$A:$G,5,0))</f>
        <v>0</v>
      </c>
      <c r="M7">
        <f>IF(ISNA(VLOOKUP($A7&amp;M$1,'For stats end Y DB'!$A:$G,5,0)),0,VLOOKUP($A7&amp;M$1,'For stats end Y DB'!$A:$G,5,0))</f>
        <v>0</v>
      </c>
      <c r="N7">
        <f>IF(ISNA(VLOOKUP($A7&amp;N$1,'For stats end Y DB'!$A:$G,5,0)),0,VLOOKUP($A7&amp;N$1,'For stats end Y DB'!$A:$G,5,0))</f>
        <v>0</v>
      </c>
      <c r="O7">
        <f>IF(ISNA(VLOOKUP($A7&amp;O$1,'For stats end Y DB'!$A:$G,5,0)),0,VLOOKUP($A7&amp;O$1,'For stats end Y DB'!$A:$G,5,0))</f>
        <v>0</v>
      </c>
      <c r="P7">
        <f>IF(ISNA(VLOOKUP($A7&amp;P$1,'For stats end Y DB'!$A:$G,5,0)),0,VLOOKUP($A7&amp;P$1,'For stats end Y DB'!$A:$G,5,0))</f>
        <v>0</v>
      </c>
      <c r="Q7">
        <f>IF(ISNA(VLOOKUP($A7&amp;Q$1,'For stats end Y DB'!$A:$G,5,0)),0,VLOOKUP($A7&amp;Q$1,'For stats end Y DB'!$A:$G,5,0))</f>
        <v>0</v>
      </c>
      <c r="R7">
        <f>IF(ISNA(VLOOKUP($A7&amp;R$1,'For stats end Y DB'!$A:$G,5,0)),0,VLOOKUP($A7&amp;R$1,'For stats end Y DB'!$A:$G,5,0))</f>
        <v>0</v>
      </c>
      <c r="S7">
        <f>IF(ISNA(VLOOKUP($A7&amp;S$1,'For stats end Y DB'!$A:$G,5,0)),0,VLOOKUP($A7&amp;S$1,'For stats end Y DB'!$A:$G,5,0))</f>
        <v>0</v>
      </c>
      <c r="T7">
        <f>IF(ISNA(VLOOKUP($A7&amp;T$1,'For stats end Y DB'!$A:$G,5,0)),0,VLOOKUP($A7&amp;T$1,'For stats end Y DB'!$A:$G,5,0))</f>
        <v>0</v>
      </c>
      <c r="U7">
        <f>IF(ISNA(VLOOKUP($A7&amp;U$1,'For stats end Y DB'!$A:$G,5,0)),0,VLOOKUP($A7&amp;U$1,'For stats end Y DB'!$A:$G,5,0))</f>
        <v>0</v>
      </c>
      <c r="V7">
        <f>IF(ISNA(VLOOKUP($A7&amp;V$1,'For stats end Y DB'!$A:$G,5,0)),0,VLOOKUP($A7&amp;V$1,'For stats end Y DB'!$A:$G,5,0))</f>
        <v>0</v>
      </c>
      <c r="W7">
        <f>IF(ISNA(VLOOKUP($A7&amp;W$1,'For stats end Y DB'!$A:$G,5,0)),0,VLOOKUP($A7&amp;W$1,'For stats end Y DB'!$A:$G,5,0))</f>
        <v>0</v>
      </c>
      <c r="X7">
        <f>IF(ISNA(VLOOKUP($A7&amp;X$1,'For stats end Y DB'!$A:$G,5,0)),0,VLOOKUP($A7&amp;X$1,'For stats end Y DB'!$A:$G,5,0))</f>
        <v>0</v>
      </c>
      <c r="Y7">
        <f>IF(ISNA(VLOOKUP($A7&amp;Y$1,'For stats end Y DB'!$A:$G,5,0)),0,VLOOKUP($A7&amp;Y$1,'For stats end Y DB'!$A:$G,5,0))</f>
        <v>0</v>
      </c>
      <c r="Z7">
        <f>IF(ISNA(VLOOKUP($A7&amp;Z$1,'For stats end Y DB'!$A:$G,5,0)),0,VLOOKUP($A7&amp;Z$1,'For stats end Y DB'!$A:$G,5,0))</f>
        <v>0</v>
      </c>
      <c r="AA7">
        <f>IF(ISNA(VLOOKUP($A7&amp;AA$1,'For stats end Y DB'!$A:$G,5,0)),0,VLOOKUP($A7&amp;AA$1,'For stats end Y DB'!$A:$G,5,0))</f>
        <v>0</v>
      </c>
      <c r="AB7">
        <f>IF(ISNA(VLOOKUP($A7&amp;AB$1,'For stats end Y DB'!$A:$G,5,0)),0,VLOOKUP($A7&amp;AB$1,'For stats end Y DB'!$A:$G,5,0))</f>
        <v>0</v>
      </c>
      <c r="AC7">
        <f>IF(ISNA(VLOOKUP($A7&amp;AC$1,'For stats end Y DB'!$A:$G,5,0)),0,VLOOKUP($A7&amp;AC$1,'For stats end Y DB'!$A:$G,5,0))</f>
        <v>0</v>
      </c>
      <c r="AD7">
        <f>IF(ISNA(VLOOKUP($A7&amp;AD$1,'For stats end Y DB'!$A:$G,5,0)),0,VLOOKUP($A7&amp;AD$1,'For stats end Y DB'!$A:$G,5,0))</f>
        <v>0</v>
      </c>
      <c r="AE7">
        <f>IF(ISNA(VLOOKUP($A7&amp;AE$1,'For stats end Y DB'!$A:$G,5,0)),0,VLOOKUP($A7&amp;AE$1,'For stats end Y DB'!$A:$G,5,0))</f>
        <v>0</v>
      </c>
      <c r="AF7">
        <f>IF(ISNA(VLOOKUP($A7&amp;AF$1,'For stats end Y DB'!$A:$G,5,0)),0,VLOOKUP($A7&amp;AF$1,'For stats end Y DB'!$A:$G,5,0))</f>
        <v>0</v>
      </c>
      <c r="AG7">
        <f>IF(ISNA(VLOOKUP($A7&amp;AG$1,'For stats end Y DB'!$A:$G,5,0)),0,VLOOKUP($A7&amp;AG$1,'For stats end Y DB'!$A:$G,5,0))</f>
        <v>0</v>
      </c>
      <c r="AH7">
        <f>IF(ISNA(VLOOKUP($A7&amp;AH$1,'For stats end Y DB'!$A:$G,5,0)),0,VLOOKUP($A7&amp;AH$1,'For stats end Y DB'!$A:$G,5,0))</f>
        <v>0</v>
      </c>
      <c r="AI7">
        <f>IF(ISNA(VLOOKUP($A7&amp;AI$1,'For stats end Y DB'!$A:$G,5,0)),0,VLOOKUP($A7&amp;AI$1,'For stats end Y DB'!$A:$G,5,0))</f>
        <v>0</v>
      </c>
      <c r="AJ7">
        <f>IF(ISNA(VLOOKUP($A7&amp;AJ$1,'For stats end Y DB'!$A:$G,5,0)),0,VLOOKUP($A7&amp;AJ$1,'For stats end Y DB'!$A:$G,5,0))</f>
        <v>0</v>
      </c>
      <c r="AK7">
        <f>IF(ISNA(VLOOKUP($A7&amp;AK$1,'For stats end Y DB'!$A:$G,5,0)),0,VLOOKUP($A7&amp;AK$1,'For stats end Y DB'!$A:$G,5,0))</f>
        <v>0</v>
      </c>
      <c r="AL7">
        <f>IF(ISNA(VLOOKUP($A7&amp;AL$1,'For stats end Y DB'!$A:$G,5,0)),0,VLOOKUP($A7&amp;AL$1,'For stats end Y DB'!$A:$G,5,0))</f>
        <v>0</v>
      </c>
      <c r="AM7">
        <f>IF(ISNA(VLOOKUP($A7&amp;AM$1,'For stats end Y DB'!$A:$G,5,0)),0,VLOOKUP($A7&amp;AM$1,'For stats end Y DB'!$A:$G,5,0))</f>
        <v>0</v>
      </c>
      <c r="AN7">
        <f>IF(ISNA(VLOOKUP($A7&amp;AN$1,'For stats end Y DB'!$A:$G,5,0)),0,VLOOKUP($A7&amp;AN$1,'For stats end Y DB'!$A:$G,5,0))</f>
        <v>0</v>
      </c>
    </row>
    <row r="8" spans="1:40" x14ac:dyDescent="0.2">
      <c r="A8" t="str">
        <f>'For stats end Y class'!A8</f>
        <v>Boosilletoo</v>
      </c>
      <c r="B8">
        <f>IF(ISNA(VLOOKUP($A8&amp;B$1,'For stats end Y DB'!$A:$G,5,0)),0,VLOOKUP($A8&amp;B$1,'For stats end Y DB'!$A:$G,5,0))</f>
        <v>0</v>
      </c>
      <c r="C8">
        <f>IF(ISNA(VLOOKUP($A8&amp;C$1,'For stats end Y DB'!$A:$G,5,0)),0,VLOOKUP($A8&amp;C$1,'For stats end Y DB'!$A:$G,5,0))</f>
        <v>0</v>
      </c>
      <c r="D8">
        <f>IF(ISNA(VLOOKUP($A8&amp;D$1,'For stats end Y DB'!$A:$G,5,0)),0,VLOOKUP($A8&amp;D$1,'For stats end Y DB'!$A:$G,5,0))</f>
        <v>1</v>
      </c>
      <c r="E8">
        <f>IF(ISNA(VLOOKUP($A8&amp;E$1,'For stats end Y DB'!$A:$G,5,0)),0,VLOOKUP($A8&amp;E$1,'For stats end Y DB'!$A:$G,5,0))</f>
        <v>5</v>
      </c>
      <c r="F8">
        <f>IF(ISNA(VLOOKUP($A8&amp;F$1,'For stats end Y DB'!$A:$G,5,0)),0,VLOOKUP($A8&amp;F$1,'For stats end Y DB'!$A:$G,5,0))</f>
        <v>17</v>
      </c>
      <c r="G8">
        <f>IF(ISNA(VLOOKUP($A8&amp;G$1,'For stats end Y DB'!$A:$G,5,0)),0,VLOOKUP($A8&amp;G$1,'For stats end Y DB'!$A:$G,5,0))</f>
        <v>0</v>
      </c>
      <c r="H8">
        <f>IF(ISNA(VLOOKUP($A8&amp;H$1,'For stats end Y DB'!$A:$G,5,0)),0,VLOOKUP($A8&amp;H$1,'For stats end Y DB'!$A:$G,5,0))</f>
        <v>0</v>
      </c>
      <c r="I8">
        <f>IF(ISNA(VLOOKUP($A8&amp;I$1,'For stats end Y DB'!$A:$G,5,0)),0,VLOOKUP($A8&amp;I$1,'For stats end Y DB'!$A:$G,5,0))</f>
        <v>8</v>
      </c>
      <c r="J8">
        <f>IF(ISNA(VLOOKUP($A8&amp;J$1,'For stats end Y DB'!$A:$G,5,0)),0,VLOOKUP($A8&amp;J$1,'For stats end Y DB'!$A:$G,5,0))</f>
        <v>16</v>
      </c>
      <c r="K8">
        <f>IF(ISNA(VLOOKUP($A8&amp;K$1,'For stats end Y DB'!$A:$G,5,0)),0,VLOOKUP($A8&amp;K$1,'For stats end Y DB'!$A:$G,5,0))</f>
        <v>1</v>
      </c>
      <c r="L8">
        <f>IF(ISNA(VLOOKUP($A8&amp;L$1,'For stats end Y DB'!$A:$G,5,0)),0,VLOOKUP($A8&amp;L$1,'For stats end Y DB'!$A:$G,5,0))</f>
        <v>0</v>
      </c>
      <c r="M8">
        <f>IF(ISNA(VLOOKUP($A8&amp;M$1,'For stats end Y DB'!$A:$G,5,0)),0,VLOOKUP($A8&amp;M$1,'For stats end Y DB'!$A:$G,5,0))</f>
        <v>0</v>
      </c>
      <c r="N8">
        <f>IF(ISNA(VLOOKUP($A8&amp;N$1,'For stats end Y DB'!$A:$G,5,0)),0,VLOOKUP($A8&amp;N$1,'For stats end Y DB'!$A:$G,5,0))</f>
        <v>0</v>
      </c>
      <c r="O8">
        <f>IF(ISNA(VLOOKUP($A8&amp;O$1,'For stats end Y DB'!$A:$G,5,0)),0,VLOOKUP($A8&amp;O$1,'For stats end Y DB'!$A:$G,5,0))</f>
        <v>4</v>
      </c>
      <c r="P8">
        <f>IF(ISNA(VLOOKUP($A8&amp;P$1,'For stats end Y DB'!$A:$G,5,0)),0,VLOOKUP($A8&amp;P$1,'For stats end Y DB'!$A:$G,5,0))</f>
        <v>0</v>
      </c>
      <c r="Q8">
        <f>IF(ISNA(VLOOKUP($A8&amp;Q$1,'For stats end Y DB'!$A:$G,5,0)),0,VLOOKUP($A8&amp;Q$1,'For stats end Y DB'!$A:$G,5,0))</f>
        <v>0</v>
      </c>
      <c r="R8">
        <f>IF(ISNA(VLOOKUP($A8&amp;R$1,'For stats end Y DB'!$A:$G,5,0)),0,VLOOKUP($A8&amp;R$1,'For stats end Y DB'!$A:$G,5,0))</f>
        <v>5</v>
      </c>
      <c r="S8">
        <f>IF(ISNA(VLOOKUP($A8&amp;S$1,'For stats end Y DB'!$A:$G,5,0)),0,VLOOKUP($A8&amp;S$1,'For stats end Y DB'!$A:$G,5,0))</f>
        <v>13</v>
      </c>
      <c r="T8">
        <f>IF(ISNA(VLOOKUP($A8&amp;T$1,'For stats end Y DB'!$A:$G,5,0)),0,VLOOKUP($A8&amp;T$1,'For stats end Y DB'!$A:$G,5,0))</f>
        <v>16</v>
      </c>
      <c r="U8">
        <f>IF(ISNA(VLOOKUP($A8&amp;U$1,'For stats end Y DB'!$A:$G,5,0)),0,VLOOKUP($A8&amp;U$1,'For stats end Y DB'!$A:$G,5,0))</f>
        <v>0</v>
      </c>
      <c r="V8">
        <f>IF(ISNA(VLOOKUP($A8&amp;V$1,'For stats end Y DB'!$A:$G,5,0)),0,VLOOKUP($A8&amp;V$1,'For stats end Y DB'!$A:$G,5,0))</f>
        <v>0</v>
      </c>
      <c r="W8">
        <f>IF(ISNA(VLOOKUP($A8&amp;W$1,'For stats end Y DB'!$A:$G,5,0)),0,VLOOKUP($A8&amp;W$1,'For stats end Y DB'!$A:$G,5,0))</f>
        <v>16</v>
      </c>
      <c r="X8">
        <f>IF(ISNA(VLOOKUP($A8&amp;X$1,'For stats end Y DB'!$A:$G,5,0)),0,VLOOKUP($A8&amp;X$1,'For stats end Y DB'!$A:$G,5,0))</f>
        <v>0</v>
      </c>
      <c r="Y8">
        <f>IF(ISNA(VLOOKUP($A8&amp;Y$1,'For stats end Y DB'!$A:$G,5,0)),0,VLOOKUP($A8&amp;Y$1,'For stats end Y DB'!$A:$G,5,0))</f>
        <v>1</v>
      </c>
      <c r="Z8">
        <f>IF(ISNA(VLOOKUP($A8&amp;Z$1,'For stats end Y DB'!$A:$G,5,0)),0,VLOOKUP($A8&amp;Z$1,'For stats end Y DB'!$A:$G,5,0))</f>
        <v>8</v>
      </c>
      <c r="AA8">
        <f>IF(ISNA(VLOOKUP($A8&amp;AA$1,'For stats end Y DB'!$A:$G,5,0)),0,VLOOKUP($A8&amp;AA$1,'For stats end Y DB'!$A:$G,5,0))</f>
        <v>0</v>
      </c>
      <c r="AB8">
        <f>IF(ISNA(VLOOKUP($A8&amp;AB$1,'For stats end Y DB'!$A:$G,5,0)),0,VLOOKUP($A8&amp;AB$1,'For stats end Y DB'!$A:$G,5,0))</f>
        <v>0</v>
      </c>
      <c r="AC8">
        <f>IF(ISNA(VLOOKUP($A8&amp;AC$1,'For stats end Y DB'!$A:$G,5,0)),0,VLOOKUP($A8&amp;AC$1,'For stats end Y DB'!$A:$G,5,0))</f>
        <v>8</v>
      </c>
      <c r="AD8">
        <f>IF(ISNA(VLOOKUP($A8&amp;AD$1,'For stats end Y DB'!$A:$G,5,0)),0,VLOOKUP($A8&amp;AD$1,'For stats end Y DB'!$A:$G,5,0))</f>
        <v>8</v>
      </c>
      <c r="AE8">
        <f>IF(ISNA(VLOOKUP($A8&amp;AE$1,'For stats end Y DB'!$A:$G,5,0)),0,VLOOKUP($A8&amp;AE$1,'For stats end Y DB'!$A:$G,5,0))</f>
        <v>0</v>
      </c>
      <c r="AF8">
        <f>IF(ISNA(VLOOKUP($A8&amp;AF$1,'For stats end Y DB'!$A:$G,5,0)),0,VLOOKUP($A8&amp;AF$1,'For stats end Y DB'!$A:$G,5,0))</f>
        <v>0</v>
      </c>
      <c r="AG8">
        <f>IF(ISNA(VLOOKUP($A8&amp;AG$1,'For stats end Y DB'!$A:$G,5,0)),0,VLOOKUP($A8&amp;AG$1,'For stats end Y DB'!$A:$G,5,0))</f>
        <v>0</v>
      </c>
      <c r="AH8">
        <f>IF(ISNA(VLOOKUP($A8&amp;AH$1,'For stats end Y DB'!$A:$G,5,0)),0,VLOOKUP($A8&amp;AH$1,'For stats end Y DB'!$A:$G,5,0))</f>
        <v>0</v>
      </c>
      <c r="AI8">
        <f>IF(ISNA(VLOOKUP($A8&amp;AI$1,'For stats end Y DB'!$A:$G,5,0)),0,VLOOKUP($A8&amp;AI$1,'For stats end Y DB'!$A:$G,5,0))</f>
        <v>0</v>
      </c>
      <c r="AJ8">
        <f>IF(ISNA(VLOOKUP($A8&amp;AJ$1,'For stats end Y DB'!$A:$G,5,0)),0,VLOOKUP($A8&amp;AJ$1,'For stats end Y DB'!$A:$G,5,0))</f>
        <v>0</v>
      </c>
      <c r="AK8">
        <f>IF(ISNA(VLOOKUP($A8&amp;AK$1,'For stats end Y DB'!$A:$G,5,0)),0,VLOOKUP($A8&amp;AK$1,'For stats end Y DB'!$A:$G,5,0))</f>
        <v>0</v>
      </c>
      <c r="AL8">
        <f>IF(ISNA(VLOOKUP($A8&amp;AL$1,'For stats end Y DB'!$A:$G,5,0)),0,VLOOKUP($A8&amp;AL$1,'For stats end Y DB'!$A:$G,5,0))</f>
        <v>0</v>
      </c>
      <c r="AM8">
        <f>IF(ISNA(VLOOKUP($A8&amp;AM$1,'For stats end Y DB'!$A:$G,5,0)),0,VLOOKUP($A8&amp;AM$1,'For stats end Y DB'!$A:$G,5,0))</f>
        <v>0</v>
      </c>
      <c r="AN8">
        <f>IF(ISNA(VLOOKUP($A8&amp;AN$1,'For stats end Y DB'!$A:$G,5,0)),0,VLOOKUP($A8&amp;AN$1,'For stats end Y DB'!$A:$G,5,0))</f>
        <v>0</v>
      </c>
    </row>
    <row r="9" spans="1:40" x14ac:dyDescent="0.2">
      <c r="A9" t="str">
        <f>'For stats end Y class'!A9</f>
        <v>Bounette</v>
      </c>
      <c r="B9">
        <f>IF(ISNA(VLOOKUP($A9&amp;B$1,'For stats end Y DB'!$A:$G,5,0)),0,VLOOKUP($A9&amp;B$1,'For stats end Y DB'!$A:$G,5,0))</f>
        <v>12</v>
      </c>
      <c r="C9">
        <f>IF(ISNA(VLOOKUP($A9&amp;C$1,'For stats end Y DB'!$A:$G,5,0)),0,VLOOKUP($A9&amp;C$1,'For stats end Y DB'!$A:$G,5,0))</f>
        <v>16</v>
      </c>
      <c r="D9">
        <f>IF(ISNA(VLOOKUP($A9&amp;D$1,'For stats end Y DB'!$A:$G,5,0)),0,VLOOKUP($A9&amp;D$1,'For stats end Y DB'!$A:$G,5,0))</f>
        <v>0</v>
      </c>
      <c r="E9">
        <f>IF(ISNA(VLOOKUP($A9&amp;E$1,'For stats end Y DB'!$A:$G,5,0)),0,VLOOKUP($A9&amp;E$1,'For stats end Y DB'!$A:$G,5,0))</f>
        <v>5</v>
      </c>
      <c r="F9">
        <f>IF(ISNA(VLOOKUP($A9&amp;F$1,'For stats end Y DB'!$A:$G,5,0)),0,VLOOKUP($A9&amp;F$1,'For stats end Y DB'!$A:$G,5,0))</f>
        <v>3</v>
      </c>
      <c r="G9">
        <f>IF(ISNA(VLOOKUP($A9&amp;G$1,'For stats end Y DB'!$A:$G,5,0)),0,VLOOKUP($A9&amp;G$1,'For stats end Y DB'!$A:$G,5,0))</f>
        <v>9</v>
      </c>
      <c r="H9">
        <f>IF(ISNA(VLOOKUP($A9&amp;H$1,'For stats end Y DB'!$A:$G,5,0)),0,VLOOKUP($A9&amp;H$1,'For stats end Y DB'!$A:$G,5,0))</f>
        <v>1</v>
      </c>
      <c r="I9">
        <f>IF(ISNA(VLOOKUP($A9&amp;I$1,'For stats end Y DB'!$A:$G,5,0)),0,VLOOKUP($A9&amp;I$1,'For stats end Y DB'!$A:$G,5,0))</f>
        <v>1</v>
      </c>
      <c r="J9">
        <f>IF(ISNA(VLOOKUP($A9&amp;J$1,'For stats end Y DB'!$A:$G,5,0)),0,VLOOKUP($A9&amp;J$1,'For stats end Y DB'!$A:$G,5,0))</f>
        <v>5</v>
      </c>
      <c r="K9">
        <f>IF(ISNA(VLOOKUP($A9&amp;K$1,'For stats end Y DB'!$A:$G,5,0)),0,VLOOKUP($A9&amp;K$1,'For stats end Y DB'!$A:$G,5,0))</f>
        <v>16</v>
      </c>
      <c r="L9">
        <f>IF(ISNA(VLOOKUP($A9&amp;L$1,'For stats end Y DB'!$A:$G,5,0)),0,VLOOKUP($A9&amp;L$1,'For stats end Y DB'!$A:$G,5,0))</f>
        <v>2</v>
      </c>
      <c r="M9">
        <f>IF(ISNA(VLOOKUP($A9&amp;M$1,'For stats end Y DB'!$A:$G,5,0)),0,VLOOKUP($A9&amp;M$1,'For stats end Y DB'!$A:$G,5,0))</f>
        <v>0</v>
      </c>
      <c r="N9">
        <f>IF(ISNA(VLOOKUP($A9&amp;N$1,'For stats end Y DB'!$A:$G,5,0)),0,VLOOKUP($A9&amp;N$1,'For stats end Y DB'!$A:$G,5,0))</f>
        <v>0</v>
      </c>
      <c r="O9">
        <f>IF(ISNA(VLOOKUP($A9&amp;O$1,'For stats end Y DB'!$A:$G,5,0)),0,VLOOKUP($A9&amp;O$1,'For stats end Y DB'!$A:$G,5,0))</f>
        <v>2</v>
      </c>
      <c r="P9">
        <f>IF(ISNA(VLOOKUP($A9&amp;P$1,'For stats end Y DB'!$A:$G,5,0)),0,VLOOKUP($A9&amp;P$1,'For stats end Y DB'!$A:$G,5,0))</f>
        <v>13</v>
      </c>
      <c r="Q9">
        <f>IF(ISNA(VLOOKUP($A9&amp;Q$1,'For stats end Y DB'!$A:$G,5,0)),0,VLOOKUP($A9&amp;Q$1,'For stats end Y DB'!$A:$G,5,0))</f>
        <v>13</v>
      </c>
      <c r="R9">
        <f>IF(ISNA(VLOOKUP($A9&amp;R$1,'For stats end Y DB'!$A:$G,5,0)),0,VLOOKUP($A9&amp;R$1,'For stats end Y DB'!$A:$G,5,0))</f>
        <v>13</v>
      </c>
      <c r="S9">
        <f>IF(ISNA(VLOOKUP($A9&amp;S$1,'For stats end Y DB'!$A:$G,5,0)),0,VLOOKUP($A9&amp;S$1,'For stats end Y DB'!$A:$G,5,0))</f>
        <v>17</v>
      </c>
      <c r="T9">
        <f>IF(ISNA(VLOOKUP($A9&amp;T$1,'For stats end Y DB'!$A:$G,5,0)),0,VLOOKUP($A9&amp;T$1,'For stats end Y DB'!$A:$G,5,0))</f>
        <v>1</v>
      </c>
      <c r="U9">
        <f>IF(ISNA(VLOOKUP($A9&amp;U$1,'For stats end Y DB'!$A:$G,5,0)),0,VLOOKUP($A9&amp;U$1,'For stats end Y DB'!$A:$G,5,0))</f>
        <v>2</v>
      </c>
      <c r="V9">
        <f>IF(ISNA(VLOOKUP($A9&amp;V$1,'For stats end Y DB'!$A:$G,5,0)),0,VLOOKUP($A9&amp;V$1,'For stats end Y DB'!$A:$G,5,0))</f>
        <v>2</v>
      </c>
      <c r="W9">
        <f>IF(ISNA(VLOOKUP($A9&amp;W$1,'For stats end Y DB'!$A:$G,5,0)),0,VLOOKUP($A9&amp;W$1,'For stats end Y DB'!$A:$G,5,0))</f>
        <v>5</v>
      </c>
      <c r="X9">
        <f>IF(ISNA(VLOOKUP($A9&amp;X$1,'For stats end Y DB'!$A:$G,5,0)),0,VLOOKUP($A9&amp;X$1,'For stats end Y DB'!$A:$G,5,0))</f>
        <v>13</v>
      </c>
      <c r="Y9">
        <f>IF(ISNA(VLOOKUP($A9&amp;Y$1,'For stats end Y DB'!$A:$G,5,0)),0,VLOOKUP($A9&amp;Y$1,'For stats end Y DB'!$A:$G,5,0))</f>
        <v>5</v>
      </c>
      <c r="Z9">
        <f>IF(ISNA(VLOOKUP($A9&amp;Z$1,'For stats end Y DB'!$A:$G,5,0)),0,VLOOKUP($A9&amp;Z$1,'For stats end Y DB'!$A:$G,5,0))</f>
        <v>5</v>
      </c>
      <c r="AA9">
        <f>IF(ISNA(VLOOKUP($A9&amp;AA$1,'For stats end Y DB'!$A:$G,5,0)),0,VLOOKUP($A9&amp;AA$1,'For stats end Y DB'!$A:$G,5,0))</f>
        <v>16</v>
      </c>
      <c r="AB9">
        <f>IF(ISNA(VLOOKUP($A9&amp;AB$1,'For stats end Y DB'!$A:$G,5,0)),0,VLOOKUP($A9&amp;AB$1,'For stats end Y DB'!$A:$G,5,0))</f>
        <v>16</v>
      </c>
      <c r="AC9">
        <f>IF(ISNA(VLOOKUP($A9&amp;AC$1,'For stats end Y DB'!$A:$G,5,0)),0,VLOOKUP($A9&amp;AC$1,'For stats end Y DB'!$A:$G,5,0))</f>
        <v>2</v>
      </c>
      <c r="AD9">
        <f>IF(ISNA(VLOOKUP($A9&amp;AD$1,'For stats end Y DB'!$A:$G,5,0)),0,VLOOKUP($A9&amp;AD$1,'For stats end Y DB'!$A:$G,5,0))</f>
        <v>4</v>
      </c>
      <c r="AE9">
        <f>IF(ISNA(VLOOKUP($A9&amp;AE$1,'For stats end Y DB'!$A:$G,5,0)),0,VLOOKUP($A9&amp;AE$1,'For stats end Y DB'!$A:$G,5,0))</f>
        <v>2</v>
      </c>
      <c r="AF9">
        <f>IF(ISNA(VLOOKUP($A9&amp;AF$1,'For stats end Y DB'!$A:$G,5,0)),0,VLOOKUP($A9&amp;AF$1,'For stats end Y DB'!$A:$G,5,0))</f>
        <v>8</v>
      </c>
      <c r="AG9">
        <f>IF(ISNA(VLOOKUP($A9&amp;AG$1,'For stats end Y DB'!$A:$G,5,0)),0,VLOOKUP($A9&amp;AG$1,'For stats end Y DB'!$A:$G,5,0))</f>
        <v>8</v>
      </c>
      <c r="AH9">
        <f>IF(ISNA(VLOOKUP($A9&amp;AH$1,'For stats end Y DB'!$A:$G,5,0)),0,VLOOKUP($A9&amp;AH$1,'For stats end Y DB'!$A:$G,5,0))</f>
        <v>12</v>
      </c>
      <c r="AI9">
        <f>IF(ISNA(VLOOKUP($A9&amp;AI$1,'For stats end Y DB'!$A:$G,5,0)),0,VLOOKUP($A9&amp;AI$1,'For stats end Y DB'!$A:$G,5,0))</f>
        <v>0</v>
      </c>
      <c r="AJ9">
        <f>IF(ISNA(VLOOKUP($A9&amp;AJ$1,'For stats end Y DB'!$A:$G,5,0)),0,VLOOKUP($A9&amp;AJ$1,'For stats end Y DB'!$A:$G,5,0))</f>
        <v>0</v>
      </c>
      <c r="AK9">
        <f>IF(ISNA(VLOOKUP($A9&amp;AK$1,'For stats end Y DB'!$A:$G,5,0)),0,VLOOKUP($A9&amp;AK$1,'For stats end Y DB'!$A:$G,5,0))</f>
        <v>0</v>
      </c>
      <c r="AL9">
        <f>IF(ISNA(VLOOKUP($A9&amp;AL$1,'For stats end Y DB'!$A:$G,5,0)),0,VLOOKUP($A9&amp;AL$1,'For stats end Y DB'!$A:$G,5,0))</f>
        <v>0</v>
      </c>
      <c r="AM9">
        <f>IF(ISNA(VLOOKUP($A9&amp;AM$1,'For stats end Y DB'!$A:$G,5,0)),0,VLOOKUP($A9&amp;AM$1,'For stats end Y DB'!$A:$G,5,0))</f>
        <v>0</v>
      </c>
      <c r="AN9">
        <f>IF(ISNA(VLOOKUP($A9&amp;AN$1,'For stats end Y DB'!$A:$G,5,0)),0,VLOOKUP($A9&amp;AN$1,'For stats end Y DB'!$A:$G,5,0))</f>
        <v>0</v>
      </c>
    </row>
    <row r="10" spans="1:40" x14ac:dyDescent="0.2">
      <c r="A10" t="str">
        <f>'For stats end Y class'!A10</f>
        <v>Carmin</v>
      </c>
      <c r="B10">
        <f>IF(ISNA(VLOOKUP($A10&amp;B$1,'For stats end Y DB'!$A:$G,5,0)),0,VLOOKUP($A10&amp;B$1,'For stats end Y DB'!$A:$G,5,0))</f>
        <v>4</v>
      </c>
      <c r="C10">
        <f>IF(ISNA(VLOOKUP($A10&amp;C$1,'For stats end Y DB'!$A:$G,5,0)),0,VLOOKUP($A10&amp;C$1,'For stats end Y DB'!$A:$G,5,0))</f>
        <v>13</v>
      </c>
      <c r="D10">
        <f>IF(ISNA(VLOOKUP($A10&amp;D$1,'For stats end Y DB'!$A:$G,5,0)),0,VLOOKUP($A10&amp;D$1,'For stats end Y DB'!$A:$G,5,0))</f>
        <v>5</v>
      </c>
      <c r="E10">
        <f>IF(ISNA(VLOOKUP($A10&amp;E$1,'For stats end Y DB'!$A:$G,5,0)),0,VLOOKUP($A10&amp;E$1,'For stats end Y DB'!$A:$G,5,0))</f>
        <v>2</v>
      </c>
      <c r="F10">
        <f>IF(ISNA(VLOOKUP($A10&amp;F$1,'For stats end Y DB'!$A:$G,5,0)),0,VLOOKUP($A10&amp;F$1,'For stats end Y DB'!$A:$G,5,0))</f>
        <v>2</v>
      </c>
      <c r="G10">
        <f>IF(ISNA(VLOOKUP($A10&amp;G$1,'For stats end Y DB'!$A:$G,5,0)),0,VLOOKUP($A10&amp;G$1,'For stats end Y DB'!$A:$G,5,0))</f>
        <v>3</v>
      </c>
      <c r="H10">
        <f>IF(ISNA(VLOOKUP($A10&amp;H$1,'For stats end Y DB'!$A:$G,5,0)),0,VLOOKUP($A10&amp;H$1,'For stats end Y DB'!$A:$G,5,0))</f>
        <v>4</v>
      </c>
      <c r="I10">
        <f>IF(ISNA(VLOOKUP($A10&amp;I$1,'For stats end Y DB'!$A:$G,5,0)),0,VLOOKUP($A10&amp;I$1,'For stats end Y DB'!$A:$G,5,0))</f>
        <v>2</v>
      </c>
      <c r="J10">
        <f>IF(ISNA(VLOOKUP($A10&amp;J$1,'For stats end Y DB'!$A:$G,5,0)),0,VLOOKUP($A10&amp;J$1,'For stats end Y DB'!$A:$G,5,0))</f>
        <v>1</v>
      </c>
      <c r="K10">
        <f>IF(ISNA(VLOOKUP($A10&amp;K$1,'For stats end Y DB'!$A:$G,5,0)),0,VLOOKUP($A10&amp;K$1,'For stats end Y DB'!$A:$G,5,0))</f>
        <v>8</v>
      </c>
      <c r="L10">
        <f>IF(ISNA(VLOOKUP($A10&amp;L$1,'For stats end Y DB'!$A:$G,5,0)),0,VLOOKUP($A10&amp;L$1,'For stats end Y DB'!$A:$G,5,0))</f>
        <v>15</v>
      </c>
      <c r="M10">
        <f>IF(ISNA(VLOOKUP($A10&amp;M$1,'For stats end Y DB'!$A:$G,5,0)),0,VLOOKUP($A10&amp;M$1,'For stats end Y DB'!$A:$G,5,0))</f>
        <v>12</v>
      </c>
      <c r="N10">
        <f>IF(ISNA(VLOOKUP($A10&amp;N$1,'For stats end Y DB'!$A:$G,5,0)),0,VLOOKUP($A10&amp;N$1,'For stats end Y DB'!$A:$G,5,0))</f>
        <v>5</v>
      </c>
      <c r="O10">
        <f>IF(ISNA(VLOOKUP($A10&amp;O$1,'For stats end Y DB'!$A:$G,5,0)),0,VLOOKUP($A10&amp;O$1,'For stats end Y DB'!$A:$G,5,0))</f>
        <v>0</v>
      </c>
      <c r="P10">
        <f>IF(ISNA(VLOOKUP($A10&amp;P$1,'For stats end Y DB'!$A:$G,5,0)),0,VLOOKUP($A10&amp;P$1,'For stats end Y DB'!$A:$G,5,0))</f>
        <v>8</v>
      </c>
      <c r="Q10">
        <f>IF(ISNA(VLOOKUP($A10&amp;Q$1,'For stats end Y DB'!$A:$G,5,0)),0,VLOOKUP($A10&amp;Q$1,'For stats end Y DB'!$A:$G,5,0))</f>
        <v>4</v>
      </c>
      <c r="R10">
        <f>IF(ISNA(VLOOKUP($A10&amp;R$1,'For stats end Y DB'!$A:$G,5,0)),0,VLOOKUP($A10&amp;R$1,'For stats end Y DB'!$A:$G,5,0))</f>
        <v>2</v>
      </c>
      <c r="S10">
        <f>IF(ISNA(VLOOKUP($A10&amp;S$1,'For stats end Y DB'!$A:$G,5,0)),0,VLOOKUP($A10&amp;S$1,'For stats end Y DB'!$A:$G,5,0))</f>
        <v>9</v>
      </c>
      <c r="T10">
        <f>IF(ISNA(VLOOKUP($A10&amp;T$1,'For stats end Y DB'!$A:$G,5,0)),0,VLOOKUP($A10&amp;T$1,'For stats end Y DB'!$A:$G,5,0))</f>
        <v>8</v>
      </c>
      <c r="U10">
        <f>IF(ISNA(VLOOKUP($A10&amp;U$1,'For stats end Y DB'!$A:$G,5,0)),0,VLOOKUP($A10&amp;U$1,'For stats end Y DB'!$A:$G,5,0))</f>
        <v>7</v>
      </c>
      <c r="V10">
        <f>IF(ISNA(VLOOKUP($A10&amp;V$1,'For stats end Y DB'!$A:$G,5,0)),0,VLOOKUP($A10&amp;V$1,'For stats end Y DB'!$A:$G,5,0))</f>
        <v>5</v>
      </c>
      <c r="W10">
        <f>IF(ISNA(VLOOKUP($A10&amp;W$1,'For stats end Y DB'!$A:$G,5,0)),0,VLOOKUP($A10&amp;W$1,'For stats end Y DB'!$A:$G,5,0))</f>
        <v>2</v>
      </c>
      <c r="X10">
        <f>IF(ISNA(VLOOKUP($A10&amp;X$1,'For stats end Y DB'!$A:$G,5,0)),0,VLOOKUP($A10&amp;X$1,'For stats end Y DB'!$A:$G,5,0))</f>
        <v>12</v>
      </c>
      <c r="Y10">
        <f>IF(ISNA(VLOOKUP($A10&amp;Y$1,'For stats end Y DB'!$A:$G,5,0)),0,VLOOKUP($A10&amp;Y$1,'For stats end Y DB'!$A:$G,5,0))</f>
        <v>13</v>
      </c>
      <c r="Z10">
        <f>IF(ISNA(VLOOKUP($A10&amp;Z$1,'For stats end Y DB'!$A:$G,5,0)),0,VLOOKUP($A10&amp;Z$1,'For stats end Y DB'!$A:$G,5,0))</f>
        <v>2</v>
      </c>
      <c r="AA10">
        <f>IF(ISNA(VLOOKUP($A10&amp;AA$1,'For stats end Y DB'!$A:$G,5,0)),0,VLOOKUP($A10&amp;AA$1,'For stats end Y DB'!$A:$G,5,0))</f>
        <v>1</v>
      </c>
      <c r="AB10">
        <f>IF(ISNA(VLOOKUP($A10&amp;AB$1,'For stats end Y DB'!$A:$G,5,0)),0,VLOOKUP($A10&amp;AB$1,'For stats end Y DB'!$A:$G,5,0))</f>
        <v>4</v>
      </c>
      <c r="AC10">
        <f>IF(ISNA(VLOOKUP($A10&amp;AC$1,'For stats end Y DB'!$A:$G,5,0)),0,VLOOKUP($A10&amp;AC$1,'For stats end Y DB'!$A:$G,5,0))</f>
        <v>1</v>
      </c>
      <c r="AD10">
        <f>IF(ISNA(VLOOKUP($A10&amp;AD$1,'For stats end Y DB'!$A:$G,5,0)),0,VLOOKUP($A10&amp;AD$1,'For stats end Y DB'!$A:$G,5,0))</f>
        <v>1</v>
      </c>
      <c r="AE10">
        <f>IF(ISNA(VLOOKUP($A10&amp;AE$1,'For stats end Y DB'!$A:$G,5,0)),0,VLOOKUP($A10&amp;AE$1,'For stats end Y DB'!$A:$G,5,0))</f>
        <v>4</v>
      </c>
      <c r="AF10">
        <f>IF(ISNA(VLOOKUP($A10&amp;AF$1,'For stats end Y DB'!$A:$G,5,0)),0,VLOOKUP($A10&amp;AF$1,'For stats end Y DB'!$A:$G,5,0))</f>
        <v>2</v>
      </c>
      <c r="AG10">
        <f>IF(ISNA(VLOOKUP($A10&amp;AG$1,'For stats end Y DB'!$A:$G,5,0)),0,VLOOKUP($A10&amp;AG$1,'For stats end Y DB'!$A:$G,5,0))</f>
        <v>4</v>
      </c>
      <c r="AH10">
        <f>IF(ISNA(VLOOKUP($A10&amp;AH$1,'For stats end Y DB'!$A:$G,5,0)),0,VLOOKUP($A10&amp;AH$1,'For stats end Y DB'!$A:$G,5,0))</f>
        <v>8</v>
      </c>
      <c r="AI10">
        <f>IF(ISNA(VLOOKUP($A10&amp;AI$1,'For stats end Y DB'!$A:$G,5,0)),0,VLOOKUP($A10&amp;AI$1,'For stats end Y DB'!$A:$G,5,0))</f>
        <v>0</v>
      </c>
      <c r="AJ10">
        <f>IF(ISNA(VLOOKUP($A10&amp;AJ$1,'For stats end Y DB'!$A:$G,5,0)),0,VLOOKUP($A10&amp;AJ$1,'For stats end Y DB'!$A:$G,5,0))</f>
        <v>0</v>
      </c>
      <c r="AK10">
        <f>IF(ISNA(VLOOKUP($A10&amp;AK$1,'For stats end Y DB'!$A:$G,5,0)),0,VLOOKUP($A10&amp;AK$1,'For stats end Y DB'!$A:$G,5,0))</f>
        <v>0</v>
      </c>
      <c r="AL10">
        <f>IF(ISNA(VLOOKUP($A10&amp;AL$1,'For stats end Y DB'!$A:$G,5,0)),0,VLOOKUP($A10&amp;AL$1,'For stats end Y DB'!$A:$G,5,0))</f>
        <v>0</v>
      </c>
      <c r="AM10">
        <f>IF(ISNA(VLOOKUP($A10&amp;AM$1,'For stats end Y DB'!$A:$G,5,0)),0,VLOOKUP($A10&amp;AM$1,'For stats end Y DB'!$A:$G,5,0))</f>
        <v>0</v>
      </c>
      <c r="AN10">
        <f>IF(ISNA(VLOOKUP($A10&amp;AN$1,'For stats end Y DB'!$A:$G,5,0)),0,VLOOKUP($A10&amp;AN$1,'For stats end Y DB'!$A:$G,5,0))</f>
        <v>0</v>
      </c>
    </row>
    <row r="11" spans="1:40" x14ac:dyDescent="0.2">
      <c r="A11" t="str">
        <f>'For stats end Y class'!A11</f>
        <v>Catherine</v>
      </c>
      <c r="B11">
        <f>IF(ISNA(VLOOKUP($A11&amp;B$1,'For stats end Y DB'!$A:$G,5,0)),0,VLOOKUP($A11&amp;B$1,'For stats end Y DB'!$A:$G,5,0))</f>
        <v>1</v>
      </c>
      <c r="C11">
        <f>IF(ISNA(VLOOKUP($A11&amp;C$1,'For stats end Y DB'!$A:$G,5,0)),0,VLOOKUP($A11&amp;C$1,'For stats end Y DB'!$A:$G,5,0))</f>
        <v>5</v>
      </c>
      <c r="D11">
        <f>IF(ISNA(VLOOKUP($A11&amp;D$1,'For stats end Y DB'!$A:$G,5,0)),0,VLOOKUP($A11&amp;D$1,'For stats end Y DB'!$A:$G,5,0))</f>
        <v>2</v>
      </c>
      <c r="E11">
        <f>IF(ISNA(VLOOKUP($A11&amp;E$1,'For stats end Y DB'!$A:$G,5,0)),0,VLOOKUP($A11&amp;E$1,'For stats end Y DB'!$A:$G,5,0))</f>
        <v>3</v>
      </c>
      <c r="F11">
        <f>IF(ISNA(VLOOKUP($A11&amp;F$1,'For stats end Y DB'!$A:$G,5,0)),0,VLOOKUP($A11&amp;F$1,'For stats end Y DB'!$A:$G,5,0))</f>
        <v>3</v>
      </c>
      <c r="G11">
        <f>IF(ISNA(VLOOKUP($A11&amp;G$1,'For stats end Y DB'!$A:$G,5,0)),0,VLOOKUP($A11&amp;G$1,'For stats end Y DB'!$A:$G,5,0))</f>
        <v>12</v>
      </c>
      <c r="H11">
        <f>IF(ISNA(VLOOKUP($A11&amp;H$1,'For stats end Y DB'!$A:$G,5,0)),0,VLOOKUP($A11&amp;H$1,'For stats end Y DB'!$A:$G,5,0))</f>
        <v>12</v>
      </c>
      <c r="I11">
        <f>IF(ISNA(VLOOKUP($A11&amp;I$1,'For stats end Y DB'!$A:$G,5,0)),0,VLOOKUP($A11&amp;I$1,'For stats end Y DB'!$A:$G,5,0))</f>
        <v>1</v>
      </c>
      <c r="J11">
        <f>IF(ISNA(VLOOKUP($A11&amp;J$1,'For stats end Y DB'!$A:$G,5,0)),0,VLOOKUP($A11&amp;J$1,'For stats end Y DB'!$A:$G,5,0))</f>
        <v>8</v>
      </c>
      <c r="K11">
        <f>IF(ISNA(VLOOKUP($A11&amp;K$1,'For stats end Y DB'!$A:$G,5,0)),0,VLOOKUP($A11&amp;K$1,'For stats end Y DB'!$A:$G,5,0))</f>
        <v>8</v>
      </c>
      <c r="L11">
        <f>IF(ISNA(VLOOKUP($A11&amp;L$1,'For stats end Y DB'!$A:$G,5,0)),0,VLOOKUP($A11&amp;L$1,'For stats end Y DB'!$A:$G,5,0))</f>
        <v>4</v>
      </c>
      <c r="M11">
        <f>IF(ISNA(VLOOKUP($A11&amp;M$1,'For stats end Y DB'!$A:$G,5,0)),0,VLOOKUP($A11&amp;M$1,'For stats end Y DB'!$A:$G,5,0))</f>
        <v>8</v>
      </c>
      <c r="N11">
        <f>IF(ISNA(VLOOKUP($A11&amp;N$1,'For stats end Y DB'!$A:$G,5,0)),0,VLOOKUP($A11&amp;N$1,'For stats end Y DB'!$A:$G,5,0))</f>
        <v>8</v>
      </c>
      <c r="O11">
        <f>IF(ISNA(VLOOKUP($A11&amp;O$1,'For stats end Y DB'!$A:$G,5,0)),0,VLOOKUP($A11&amp;O$1,'For stats end Y DB'!$A:$G,5,0))</f>
        <v>17</v>
      </c>
      <c r="P11">
        <f>IF(ISNA(VLOOKUP($A11&amp;P$1,'For stats end Y DB'!$A:$G,5,0)),0,VLOOKUP($A11&amp;P$1,'For stats end Y DB'!$A:$G,5,0))</f>
        <v>12</v>
      </c>
      <c r="Q11">
        <f>IF(ISNA(VLOOKUP($A11&amp;Q$1,'For stats end Y DB'!$A:$G,5,0)),0,VLOOKUP($A11&amp;Q$1,'For stats end Y DB'!$A:$G,5,0))</f>
        <v>2</v>
      </c>
      <c r="R11">
        <f>IF(ISNA(VLOOKUP($A11&amp;R$1,'For stats end Y DB'!$A:$G,5,0)),0,VLOOKUP($A11&amp;R$1,'For stats end Y DB'!$A:$G,5,0))</f>
        <v>3</v>
      </c>
      <c r="S11">
        <f>IF(ISNA(VLOOKUP($A11&amp;S$1,'For stats end Y DB'!$A:$G,5,0)),0,VLOOKUP($A11&amp;S$1,'For stats end Y DB'!$A:$G,5,0))</f>
        <v>5</v>
      </c>
      <c r="T11">
        <f>IF(ISNA(VLOOKUP($A11&amp;T$1,'For stats end Y DB'!$A:$G,5,0)),0,VLOOKUP($A11&amp;T$1,'For stats end Y DB'!$A:$G,5,0))</f>
        <v>8</v>
      </c>
      <c r="U11">
        <f>IF(ISNA(VLOOKUP($A11&amp;U$1,'For stats end Y DB'!$A:$G,5,0)),0,VLOOKUP($A11&amp;U$1,'For stats end Y DB'!$A:$G,5,0))</f>
        <v>11</v>
      </c>
      <c r="V11">
        <f>IF(ISNA(VLOOKUP($A11&amp;V$1,'For stats end Y DB'!$A:$G,5,0)),0,VLOOKUP($A11&amp;V$1,'For stats end Y DB'!$A:$G,5,0))</f>
        <v>1</v>
      </c>
      <c r="W11">
        <f>IF(ISNA(VLOOKUP($A11&amp;W$1,'For stats end Y DB'!$A:$G,5,0)),0,VLOOKUP($A11&amp;W$1,'For stats end Y DB'!$A:$G,5,0))</f>
        <v>8</v>
      </c>
      <c r="X11">
        <f>IF(ISNA(VLOOKUP($A11&amp;X$1,'For stats end Y DB'!$A:$G,5,0)),0,VLOOKUP($A11&amp;X$1,'For stats end Y DB'!$A:$G,5,0))</f>
        <v>4</v>
      </c>
      <c r="Y11">
        <f>IF(ISNA(VLOOKUP($A11&amp;Y$1,'For stats end Y DB'!$A:$G,5,0)),0,VLOOKUP($A11&amp;Y$1,'For stats end Y DB'!$A:$G,5,0))</f>
        <v>13</v>
      </c>
      <c r="Z11">
        <f>IF(ISNA(VLOOKUP($A11&amp;Z$1,'For stats end Y DB'!$A:$G,5,0)),0,VLOOKUP($A11&amp;Z$1,'For stats end Y DB'!$A:$G,5,0))</f>
        <v>1</v>
      </c>
      <c r="AA11">
        <f>IF(ISNA(VLOOKUP($A11&amp;AA$1,'For stats end Y DB'!$A:$G,5,0)),0,VLOOKUP($A11&amp;AA$1,'For stats end Y DB'!$A:$G,5,0))</f>
        <v>2</v>
      </c>
      <c r="AB11">
        <f>IF(ISNA(VLOOKUP($A11&amp;AB$1,'For stats end Y DB'!$A:$G,5,0)),0,VLOOKUP($A11&amp;AB$1,'For stats end Y DB'!$A:$G,5,0))</f>
        <v>0</v>
      </c>
      <c r="AC11">
        <f>IF(ISNA(VLOOKUP($A11&amp;AC$1,'For stats end Y DB'!$A:$G,5,0)),0,VLOOKUP($A11&amp;AC$1,'For stats end Y DB'!$A:$G,5,0))</f>
        <v>2</v>
      </c>
      <c r="AD11">
        <f>IF(ISNA(VLOOKUP($A11&amp;AD$1,'For stats end Y DB'!$A:$G,5,0)),0,VLOOKUP($A11&amp;AD$1,'For stats end Y DB'!$A:$G,5,0))</f>
        <v>1</v>
      </c>
      <c r="AE11">
        <f>IF(ISNA(VLOOKUP($A11&amp;AE$1,'For stats end Y DB'!$A:$G,5,0)),0,VLOOKUP($A11&amp;AE$1,'For stats end Y DB'!$A:$G,5,0))</f>
        <v>12</v>
      </c>
      <c r="AF11">
        <f>IF(ISNA(VLOOKUP($A11&amp;AF$1,'For stats end Y DB'!$A:$G,5,0)),0,VLOOKUP($A11&amp;AF$1,'For stats end Y DB'!$A:$G,5,0))</f>
        <v>4</v>
      </c>
      <c r="AG11">
        <f>IF(ISNA(VLOOKUP($A11&amp;AG$1,'For stats end Y DB'!$A:$G,5,0)),0,VLOOKUP($A11&amp;AG$1,'For stats end Y DB'!$A:$G,5,0))</f>
        <v>4</v>
      </c>
      <c r="AH11">
        <f>IF(ISNA(VLOOKUP($A11&amp;AH$1,'For stats end Y DB'!$A:$G,5,0)),0,VLOOKUP($A11&amp;AH$1,'For stats end Y DB'!$A:$G,5,0))</f>
        <v>2</v>
      </c>
      <c r="AI11">
        <f>IF(ISNA(VLOOKUP($A11&amp;AI$1,'For stats end Y DB'!$A:$G,5,0)),0,VLOOKUP($A11&amp;AI$1,'For stats end Y DB'!$A:$G,5,0))</f>
        <v>0</v>
      </c>
      <c r="AJ11">
        <f>IF(ISNA(VLOOKUP($A11&amp;AJ$1,'For stats end Y DB'!$A:$G,5,0)),0,VLOOKUP($A11&amp;AJ$1,'For stats end Y DB'!$A:$G,5,0))</f>
        <v>0</v>
      </c>
      <c r="AK11">
        <f>IF(ISNA(VLOOKUP($A11&amp;AK$1,'For stats end Y DB'!$A:$G,5,0)),0,VLOOKUP($A11&amp;AK$1,'For stats end Y DB'!$A:$G,5,0))</f>
        <v>0</v>
      </c>
      <c r="AL11">
        <f>IF(ISNA(VLOOKUP($A11&amp;AL$1,'For stats end Y DB'!$A:$G,5,0)),0,VLOOKUP($A11&amp;AL$1,'For stats end Y DB'!$A:$G,5,0))</f>
        <v>0</v>
      </c>
      <c r="AM11">
        <f>IF(ISNA(VLOOKUP($A11&amp;AM$1,'For stats end Y DB'!$A:$G,5,0)),0,VLOOKUP($A11&amp;AM$1,'For stats end Y DB'!$A:$G,5,0))</f>
        <v>0</v>
      </c>
      <c r="AN11">
        <f>IF(ISNA(VLOOKUP($A11&amp;AN$1,'For stats end Y DB'!$A:$G,5,0)),0,VLOOKUP($A11&amp;AN$1,'For stats end Y DB'!$A:$G,5,0))</f>
        <v>0</v>
      </c>
    </row>
    <row r="12" spans="1:40" x14ac:dyDescent="0.2">
      <c r="A12" t="str">
        <f>'For stats end Y class'!A12</f>
        <v>Chico</v>
      </c>
      <c r="B12">
        <f>IF(ISNA(VLOOKUP($A12&amp;B$1,'For stats end Y DB'!$A:$G,5,0)),0,VLOOKUP($A12&amp;B$1,'For stats end Y DB'!$A:$G,5,0))</f>
        <v>3</v>
      </c>
      <c r="C12">
        <f>IF(ISNA(VLOOKUP($A12&amp;C$1,'For stats end Y DB'!$A:$G,5,0)),0,VLOOKUP($A12&amp;C$1,'For stats end Y DB'!$A:$G,5,0))</f>
        <v>0</v>
      </c>
      <c r="D12">
        <f>IF(ISNA(VLOOKUP($A12&amp;D$1,'For stats end Y DB'!$A:$G,5,0)),0,VLOOKUP($A12&amp;D$1,'For stats end Y DB'!$A:$G,5,0))</f>
        <v>0</v>
      </c>
      <c r="E12">
        <f>IF(ISNA(VLOOKUP($A12&amp;E$1,'For stats end Y DB'!$A:$G,5,0)),0,VLOOKUP($A12&amp;E$1,'For stats end Y DB'!$A:$G,5,0))</f>
        <v>17</v>
      </c>
      <c r="F12">
        <f>IF(ISNA(VLOOKUP($A12&amp;F$1,'For stats end Y DB'!$A:$G,5,0)),0,VLOOKUP($A12&amp;F$1,'For stats end Y DB'!$A:$G,5,0))</f>
        <v>7</v>
      </c>
      <c r="G12">
        <f>IF(ISNA(VLOOKUP($A12&amp;G$1,'For stats end Y DB'!$A:$G,5,0)),0,VLOOKUP($A12&amp;G$1,'For stats end Y DB'!$A:$G,5,0))</f>
        <v>0</v>
      </c>
      <c r="H12">
        <f>IF(ISNA(VLOOKUP($A12&amp;H$1,'For stats end Y DB'!$A:$G,5,0)),0,VLOOKUP($A12&amp;H$1,'For stats end Y DB'!$A:$G,5,0))</f>
        <v>4</v>
      </c>
      <c r="I12">
        <f>IF(ISNA(VLOOKUP($A12&amp;I$1,'For stats end Y DB'!$A:$G,5,0)),0,VLOOKUP($A12&amp;I$1,'For stats end Y DB'!$A:$G,5,0))</f>
        <v>0</v>
      </c>
      <c r="J12">
        <f>IF(ISNA(VLOOKUP($A12&amp;J$1,'For stats end Y DB'!$A:$G,5,0)),0,VLOOKUP($A12&amp;J$1,'For stats end Y DB'!$A:$G,5,0))</f>
        <v>0</v>
      </c>
      <c r="K12">
        <f>IF(ISNA(VLOOKUP($A12&amp;K$1,'For stats end Y DB'!$A:$G,5,0)),0,VLOOKUP($A12&amp;K$1,'For stats end Y DB'!$A:$G,5,0))</f>
        <v>0</v>
      </c>
      <c r="L12">
        <f>IF(ISNA(VLOOKUP($A12&amp;L$1,'For stats end Y DB'!$A:$G,5,0)),0,VLOOKUP($A12&amp;L$1,'For stats end Y DB'!$A:$G,5,0))</f>
        <v>0</v>
      </c>
      <c r="M12">
        <f>IF(ISNA(VLOOKUP($A12&amp;M$1,'For stats end Y DB'!$A:$G,5,0)),0,VLOOKUP($A12&amp;M$1,'For stats end Y DB'!$A:$G,5,0))</f>
        <v>0</v>
      </c>
      <c r="N12">
        <f>IF(ISNA(VLOOKUP($A12&amp;N$1,'For stats end Y DB'!$A:$G,5,0)),0,VLOOKUP($A12&amp;N$1,'For stats end Y DB'!$A:$G,5,0))</f>
        <v>0</v>
      </c>
      <c r="O12">
        <f>IF(ISNA(VLOOKUP($A12&amp;O$1,'For stats end Y DB'!$A:$G,5,0)),0,VLOOKUP($A12&amp;O$1,'For stats end Y DB'!$A:$G,5,0))</f>
        <v>0</v>
      </c>
      <c r="P12">
        <f>IF(ISNA(VLOOKUP($A12&amp;P$1,'For stats end Y DB'!$A:$G,5,0)),0,VLOOKUP($A12&amp;P$1,'For stats end Y DB'!$A:$G,5,0))</f>
        <v>4</v>
      </c>
      <c r="Q12">
        <f>IF(ISNA(VLOOKUP($A12&amp;Q$1,'For stats end Y DB'!$A:$G,5,0)),0,VLOOKUP($A12&amp;Q$1,'For stats end Y DB'!$A:$G,5,0))</f>
        <v>0</v>
      </c>
      <c r="R12">
        <f>IF(ISNA(VLOOKUP($A12&amp;R$1,'For stats end Y DB'!$A:$G,5,0)),0,VLOOKUP($A12&amp;R$1,'For stats end Y DB'!$A:$G,5,0))</f>
        <v>9</v>
      </c>
      <c r="S12">
        <f>IF(ISNA(VLOOKUP($A12&amp;S$1,'For stats end Y DB'!$A:$G,5,0)),0,VLOOKUP($A12&amp;S$1,'For stats end Y DB'!$A:$G,5,0))</f>
        <v>2</v>
      </c>
      <c r="T12">
        <f>IF(ISNA(VLOOKUP($A12&amp;T$1,'For stats end Y DB'!$A:$G,5,0)),0,VLOOKUP($A12&amp;T$1,'For stats end Y DB'!$A:$G,5,0))</f>
        <v>0</v>
      </c>
      <c r="U12">
        <f>IF(ISNA(VLOOKUP($A12&amp;U$1,'For stats end Y DB'!$A:$G,5,0)),0,VLOOKUP($A12&amp;U$1,'For stats end Y DB'!$A:$G,5,0))</f>
        <v>0</v>
      </c>
      <c r="V12">
        <f>IF(ISNA(VLOOKUP($A12&amp;V$1,'For stats end Y DB'!$A:$G,5,0)),0,VLOOKUP($A12&amp;V$1,'For stats end Y DB'!$A:$G,5,0))</f>
        <v>0</v>
      </c>
      <c r="W12">
        <f>IF(ISNA(VLOOKUP($A12&amp;W$1,'For stats end Y DB'!$A:$G,5,0)),0,VLOOKUP($A12&amp;W$1,'For stats end Y DB'!$A:$G,5,0))</f>
        <v>17</v>
      </c>
      <c r="X12">
        <f>IF(ISNA(VLOOKUP($A12&amp;X$1,'For stats end Y DB'!$A:$G,5,0)),0,VLOOKUP($A12&amp;X$1,'For stats end Y DB'!$A:$G,5,0))</f>
        <v>9</v>
      </c>
      <c r="Y12">
        <f>IF(ISNA(VLOOKUP($A12&amp;Y$1,'For stats end Y DB'!$A:$G,5,0)),0,VLOOKUP($A12&amp;Y$1,'For stats end Y DB'!$A:$G,5,0))</f>
        <v>5</v>
      </c>
      <c r="Z12">
        <f>IF(ISNA(VLOOKUP($A12&amp;Z$1,'For stats end Y DB'!$A:$G,5,0)),0,VLOOKUP($A12&amp;Z$1,'For stats end Y DB'!$A:$G,5,0))</f>
        <v>0</v>
      </c>
      <c r="AA12">
        <f>IF(ISNA(VLOOKUP($A12&amp;AA$1,'For stats end Y DB'!$A:$G,5,0)),0,VLOOKUP($A12&amp;AA$1,'For stats end Y DB'!$A:$G,5,0))</f>
        <v>0</v>
      </c>
      <c r="AB12">
        <f>IF(ISNA(VLOOKUP($A12&amp;AB$1,'For stats end Y DB'!$A:$G,5,0)),0,VLOOKUP($A12&amp;AB$1,'For stats end Y DB'!$A:$G,5,0))</f>
        <v>16</v>
      </c>
      <c r="AC12">
        <f>IF(ISNA(VLOOKUP($A12&amp;AC$1,'For stats end Y DB'!$A:$G,5,0)),0,VLOOKUP($A12&amp;AC$1,'For stats end Y DB'!$A:$G,5,0))</f>
        <v>0</v>
      </c>
      <c r="AD12">
        <f>IF(ISNA(VLOOKUP($A12&amp;AD$1,'For stats end Y DB'!$A:$G,5,0)),0,VLOOKUP($A12&amp;AD$1,'For stats end Y DB'!$A:$G,5,0))</f>
        <v>0</v>
      </c>
      <c r="AE12">
        <f>IF(ISNA(VLOOKUP($A12&amp;AE$1,'For stats end Y DB'!$A:$G,5,0)),0,VLOOKUP($A12&amp;AE$1,'For stats end Y DB'!$A:$G,5,0))</f>
        <v>0</v>
      </c>
      <c r="AF12">
        <f>IF(ISNA(VLOOKUP($A12&amp;AF$1,'For stats end Y DB'!$A:$G,5,0)),0,VLOOKUP($A12&amp;AF$1,'For stats end Y DB'!$A:$G,5,0))</f>
        <v>0</v>
      </c>
      <c r="AG12">
        <f>IF(ISNA(VLOOKUP($A12&amp;AG$1,'For stats end Y DB'!$A:$G,5,0)),0,VLOOKUP($A12&amp;AG$1,'For stats end Y DB'!$A:$G,5,0))</f>
        <v>8</v>
      </c>
      <c r="AH12">
        <f>IF(ISNA(VLOOKUP($A12&amp;AH$1,'For stats end Y DB'!$A:$G,5,0)),0,VLOOKUP($A12&amp;AH$1,'For stats end Y DB'!$A:$G,5,0))</f>
        <v>0</v>
      </c>
      <c r="AI12">
        <f>IF(ISNA(VLOOKUP($A12&amp;AI$1,'For stats end Y DB'!$A:$G,5,0)),0,VLOOKUP($A12&amp;AI$1,'For stats end Y DB'!$A:$G,5,0))</f>
        <v>0</v>
      </c>
      <c r="AJ12">
        <f>IF(ISNA(VLOOKUP($A12&amp;AJ$1,'For stats end Y DB'!$A:$G,5,0)),0,VLOOKUP($A12&amp;AJ$1,'For stats end Y DB'!$A:$G,5,0))</f>
        <v>0</v>
      </c>
      <c r="AK12">
        <f>IF(ISNA(VLOOKUP($A12&amp;AK$1,'For stats end Y DB'!$A:$G,5,0)),0,VLOOKUP($A12&amp;AK$1,'For stats end Y DB'!$A:$G,5,0))</f>
        <v>0</v>
      </c>
      <c r="AL12">
        <f>IF(ISNA(VLOOKUP($A12&amp;AL$1,'For stats end Y DB'!$A:$G,5,0)),0,VLOOKUP($A12&amp;AL$1,'For stats end Y DB'!$A:$G,5,0))</f>
        <v>0</v>
      </c>
      <c r="AM12">
        <f>IF(ISNA(VLOOKUP($A12&amp;AM$1,'For stats end Y DB'!$A:$G,5,0)),0,VLOOKUP($A12&amp;AM$1,'For stats end Y DB'!$A:$G,5,0))</f>
        <v>0</v>
      </c>
      <c r="AN12">
        <f>IF(ISNA(VLOOKUP($A12&amp;AN$1,'For stats end Y DB'!$A:$G,5,0)),0,VLOOKUP($A12&amp;AN$1,'For stats end Y DB'!$A:$G,5,0))</f>
        <v>0</v>
      </c>
    </row>
    <row r="13" spans="1:40" x14ac:dyDescent="0.2">
      <c r="A13" t="str">
        <f>'For stats end Y class'!A13</f>
        <v>ChrisFrankfurt</v>
      </c>
      <c r="B13">
        <f>IF(ISNA(VLOOKUP($A13&amp;B$1,'For stats end Y DB'!$A:$G,5,0)),0,VLOOKUP($A13&amp;B$1,'For stats end Y DB'!$A:$G,5,0))</f>
        <v>9</v>
      </c>
      <c r="C13">
        <f>IF(ISNA(VLOOKUP($A13&amp;C$1,'For stats end Y DB'!$A:$G,5,0)),0,VLOOKUP($A13&amp;C$1,'For stats end Y DB'!$A:$G,5,0))</f>
        <v>0</v>
      </c>
      <c r="D13">
        <f>IF(ISNA(VLOOKUP($A13&amp;D$1,'For stats end Y DB'!$A:$G,5,0)),0,VLOOKUP($A13&amp;D$1,'For stats end Y DB'!$A:$G,5,0))</f>
        <v>8</v>
      </c>
      <c r="E13">
        <f>IF(ISNA(VLOOKUP($A13&amp;E$1,'For stats end Y DB'!$A:$G,5,0)),0,VLOOKUP($A13&amp;E$1,'For stats end Y DB'!$A:$G,5,0))</f>
        <v>0</v>
      </c>
      <c r="F13">
        <f>IF(ISNA(VLOOKUP($A13&amp;F$1,'For stats end Y DB'!$A:$G,5,0)),0,VLOOKUP($A13&amp;F$1,'For stats end Y DB'!$A:$G,5,0))</f>
        <v>0</v>
      </c>
      <c r="G13">
        <f>IF(ISNA(VLOOKUP($A13&amp;G$1,'For stats end Y DB'!$A:$G,5,0)),0,VLOOKUP($A13&amp;G$1,'For stats end Y DB'!$A:$G,5,0))</f>
        <v>0</v>
      </c>
      <c r="H13">
        <f>IF(ISNA(VLOOKUP($A13&amp;H$1,'For stats end Y DB'!$A:$G,5,0)),0,VLOOKUP($A13&amp;H$1,'For stats end Y DB'!$A:$G,5,0))</f>
        <v>2</v>
      </c>
      <c r="I13">
        <f>IF(ISNA(VLOOKUP($A13&amp;I$1,'For stats end Y DB'!$A:$G,5,0)),0,VLOOKUP($A13&amp;I$1,'For stats end Y DB'!$A:$G,5,0))</f>
        <v>9</v>
      </c>
      <c r="J13">
        <f>IF(ISNA(VLOOKUP($A13&amp;J$1,'For stats end Y DB'!$A:$G,5,0)),0,VLOOKUP($A13&amp;J$1,'For stats end Y DB'!$A:$G,5,0))</f>
        <v>0</v>
      </c>
      <c r="K13">
        <f>IF(ISNA(VLOOKUP($A13&amp;K$1,'For stats end Y DB'!$A:$G,5,0)),0,VLOOKUP($A13&amp;K$1,'For stats end Y DB'!$A:$G,5,0))</f>
        <v>12</v>
      </c>
      <c r="L13">
        <f>IF(ISNA(VLOOKUP($A13&amp;L$1,'For stats end Y DB'!$A:$G,5,0)),0,VLOOKUP($A13&amp;L$1,'For stats end Y DB'!$A:$G,5,0))</f>
        <v>0</v>
      </c>
      <c r="M13">
        <f>IF(ISNA(VLOOKUP($A13&amp;M$1,'For stats end Y DB'!$A:$G,5,0)),0,VLOOKUP($A13&amp;M$1,'For stats end Y DB'!$A:$G,5,0))</f>
        <v>0</v>
      </c>
      <c r="N13">
        <f>IF(ISNA(VLOOKUP($A13&amp;N$1,'For stats end Y DB'!$A:$G,5,0)),0,VLOOKUP($A13&amp;N$1,'For stats end Y DB'!$A:$G,5,0))</f>
        <v>0</v>
      </c>
      <c r="O13">
        <f>IF(ISNA(VLOOKUP($A13&amp;O$1,'For stats end Y DB'!$A:$G,5,0)),0,VLOOKUP($A13&amp;O$1,'For stats end Y DB'!$A:$G,5,0))</f>
        <v>13</v>
      </c>
      <c r="P13">
        <f>IF(ISNA(VLOOKUP($A13&amp;P$1,'For stats end Y DB'!$A:$G,5,0)),0,VLOOKUP($A13&amp;P$1,'For stats end Y DB'!$A:$G,5,0))</f>
        <v>1</v>
      </c>
      <c r="Q13">
        <f>IF(ISNA(VLOOKUP($A13&amp;Q$1,'For stats end Y DB'!$A:$G,5,0)),0,VLOOKUP($A13&amp;Q$1,'For stats end Y DB'!$A:$G,5,0))</f>
        <v>18</v>
      </c>
      <c r="R13">
        <f>IF(ISNA(VLOOKUP($A13&amp;R$1,'For stats end Y DB'!$A:$G,5,0)),0,VLOOKUP($A13&amp;R$1,'For stats end Y DB'!$A:$G,5,0))</f>
        <v>0</v>
      </c>
      <c r="S13">
        <f>IF(ISNA(VLOOKUP($A13&amp;S$1,'For stats end Y DB'!$A:$G,5,0)),0,VLOOKUP($A13&amp;S$1,'For stats end Y DB'!$A:$G,5,0))</f>
        <v>1</v>
      </c>
      <c r="T13">
        <f>IF(ISNA(VLOOKUP($A13&amp;T$1,'For stats end Y DB'!$A:$G,5,0)),0,VLOOKUP($A13&amp;T$1,'For stats end Y DB'!$A:$G,5,0))</f>
        <v>12</v>
      </c>
      <c r="U13">
        <f>IF(ISNA(VLOOKUP($A13&amp;U$1,'For stats end Y DB'!$A:$G,5,0)),0,VLOOKUP($A13&amp;U$1,'For stats end Y DB'!$A:$G,5,0))</f>
        <v>0</v>
      </c>
      <c r="V13">
        <f>IF(ISNA(VLOOKUP($A13&amp;V$1,'For stats end Y DB'!$A:$G,5,0)),0,VLOOKUP($A13&amp;V$1,'For stats end Y DB'!$A:$G,5,0))</f>
        <v>0</v>
      </c>
      <c r="W13">
        <f>IF(ISNA(VLOOKUP($A13&amp;W$1,'For stats end Y DB'!$A:$G,5,0)),0,VLOOKUP($A13&amp;W$1,'For stats end Y DB'!$A:$G,5,0))</f>
        <v>0</v>
      </c>
      <c r="X13">
        <f>IF(ISNA(VLOOKUP($A13&amp;X$1,'For stats end Y DB'!$A:$G,5,0)),0,VLOOKUP($A13&amp;X$1,'For stats end Y DB'!$A:$G,5,0))</f>
        <v>0</v>
      </c>
      <c r="Y13">
        <f>IF(ISNA(VLOOKUP($A13&amp;Y$1,'For stats end Y DB'!$A:$G,5,0)),0,VLOOKUP($A13&amp;Y$1,'For stats end Y DB'!$A:$G,5,0))</f>
        <v>0</v>
      </c>
      <c r="Z13">
        <f>IF(ISNA(VLOOKUP($A13&amp;Z$1,'For stats end Y DB'!$A:$G,5,0)),0,VLOOKUP($A13&amp;Z$1,'For stats end Y DB'!$A:$G,5,0))</f>
        <v>4</v>
      </c>
      <c r="AA13">
        <f>IF(ISNA(VLOOKUP($A13&amp;AA$1,'For stats end Y DB'!$A:$G,5,0)),0,VLOOKUP($A13&amp;AA$1,'For stats end Y DB'!$A:$G,5,0))</f>
        <v>16</v>
      </c>
      <c r="AB13">
        <f>IF(ISNA(VLOOKUP($A13&amp;AB$1,'For stats end Y DB'!$A:$G,5,0)),0,VLOOKUP($A13&amp;AB$1,'For stats end Y DB'!$A:$G,5,0))</f>
        <v>1</v>
      </c>
      <c r="AC13">
        <f>IF(ISNA(VLOOKUP($A13&amp;AC$1,'For stats end Y DB'!$A:$G,5,0)),0,VLOOKUP($A13&amp;AC$1,'For stats end Y DB'!$A:$G,5,0))</f>
        <v>0</v>
      </c>
      <c r="AD13">
        <f>IF(ISNA(VLOOKUP($A13&amp;AD$1,'For stats end Y DB'!$A:$G,5,0)),0,VLOOKUP($A13&amp;AD$1,'For stats end Y DB'!$A:$G,5,0))</f>
        <v>0</v>
      </c>
      <c r="AE13">
        <f>IF(ISNA(VLOOKUP($A13&amp;AE$1,'For stats end Y DB'!$A:$G,5,0)),0,VLOOKUP($A13&amp;AE$1,'For stats end Y DB'!$A:$G,5,0))</f>
        <v>0</v>
      </c>
      <c r="AF13">
        <f>IF(ISNA(VLOOKUP($A13&amp;AF$1,'For stats end Y DB'!$A:$G,5,0)),0,VLOOKUP($A13&amp;AF$1,'For stats end Y DB'!$A:$G,5,0))</f>
        <v>0</v>
      </c>
      <c r="AG13">
        <f>IF(ISNA(VLOOKUP($A13&amp;AG$1,'For stats end Y DB'!$A:$G,5,0)),0,VLOOKUP($A13&amp;AG$1,'For stats end Y DB'!$A:$G,5,0))</f>
        <v>0</v>
      </c>
      <c r="AH13">
        <f>IF(ISNA(VLOOKUP($A13&amp;AH$1,'For stats end Y DB'!$A:$G,5,0)),0,VLOOKUP($A13&amp;AH$1,'For stats end Y DB'!$A:$G,5,0))</f>
        <v>0</v>
      </c>
      <c r="AI13">
        <f>IF(ISNA(VLOOKUP($A13&amp;AI$1,'For stats end Y DB'!$A:$G,5,0)),0,VLOOKUP($A13&amp;AI$1,'For stats end Y DB'!$A:$G,5,0))</f>
        <v>0</v>
      </c>
      <c r="AJ13">
        <f>IF(ISNA(VLOOKUP($A13&amp;AJ$1,'For stats end Y DB'!$A:$G,5,0)),0,VLOOKUP($A13&amp;AJ$1,'For stats end Y DB'!$A:$G,5,0))</f>
        <v>0</v>
      </c>
      <c r="AK13">
        <f>IF(ISNA(VLOOKUP($A13&amp;AK$1,'For stats end Y DB'!$A:$G,5,0)),0,VLOOKUP($A13&amp;AK$1,'For stats end Y DB'!$A:$G,5,0))</f>
        <v>0</v>
      </c>
      <c r="AL13">
        <f>IF(ISNA(VLOOKUP($A13&amp;AL$1,'For stats end Y DB'!$A:$G,5,0)),0,VLOOKUP($A13&amp;AL$1,'For stats end Y DB'!$A:$G,5,0))</f>
        <v>0</v>
      </c>
      <c r="AM13">
        <f>IF(ISNA(VLOOKUP($A13&amp;AM$1,'For stats end Y DB'!$A:$G,5,0)),0,VLOOKUP($A13&amp;AM$1,'For stats end Y DB'!$A:$G,5,0))</f>
        <v>0</v>
      </c>
      <c r="AN13">
        <f>IF(ISNA(VLOOKUP($A13&amp;AN$1,'For stats end Y DB'!$A:$G,5,0)),0,VLOOKUP($A13&amp;AN$1,'For stats end Y DB'!$A:$G,5,0))</f>
        <v>0</v>
      </c>
    </row>
    <row r="14" spans="1:40" x14ac:dyDescent="0.2">
      <c r="A14" t="str">
        <f>'For stats end Y class'!A14</f>
        <v>Claire</v>
      </c>
      <c r="B14">
        <f>IF(ISNA(VLOOKUP($A14&amp;B$1,'For stats end Y DB'!$A:$G,5,0)),0,VLOOKUP($A14&amp;B$1,'For stats end Y DB'!$A:$G,5,0))</f>
        <v>0</v>
      </c>
      <c r="C14">
        <f>IF(ISNA(VLOOKUP($A14&amp;C$1,'For stats end Y DB'!$A:$G,5,0)),0,VLOOKUP($A14&amp;C$1,'For stats end Y DB'!$A:$G,5,0))</f>
        <v>0</v>
      </c>
      <c r="D14">
        <f>IF(ISNA(VLOOKUP($A14&amp;D$1,'For stats end Y DB'!$A:$G,5,0)),0,VLOOKUP($A14&amp;D$1,'For stats end Y DB'!$A:$G,5,0))</f>
        <v>0</v>
      </c>
      <c r="E14">
        <f>IF(ISNA(VLOOKUP($A14&amp;E$1,'For stats end Y DB'!$A:$G,5,0)),0,VLOOKUP($A14&amp;E$1,'For stats end Y DB'!$A:$G,5,0))</f>
        <v>0</v>
      </c>
      <c r="F14">
        <f>IF(ISNA(VLOOKUP($A14&amp;F$1,'For stats end Y DB'!$A:$G,5,0)),0,VLOOKUP($A14&amp;F$1,'For stats end Y DB'!$A:$G,5,0))</f>
        <v>0</v>
      </c>
      <c r="G14">
        <f>IF(ISNA(VLOOKUP($A14&amp;G$1,'For stats end Y DB'!$A:$G,5,0)),0,VLOOKUP($A14&amp;G$1,'For stats end Y DB'!$A:$G,5,0))</f>
        <v>0</v>
      </c>
      <c r="H14">
        <f>IF(ISNA(VLOOKUP($A14&amp;H$1,'For stats end Y DB'!$A:$G,5,0)),0,VLOOKUP($A14&amp;H$1,'For stats end Y DB'!$A:$G,5,0))</f>
        <v>0</v>
      </c>
      <c r="I14">
        <f>IF(ISNA(VLOOKUP($A14&amp;I$1,'For stats end Y DB'!$A:$G,5,0)),0,VLOOKUP($A14&amp;I$1,'For stats end Y DB'!$A:$G,5,0))</f>
        <v>0</v>
      </c>
      <c r="J14">
        <f>IF(ISNA(VLOOKUP($A14&amp;J$1,'For stats end Y DB'!$A:$G,5,0)),0,VLOOKUP($A14&amp;J$1,'For stats end Y DB'!$A:$G,5,0))</f>
        <v>8</v>
      </c>
      <c r="K14">
        <f>IF(ISNA(VLOOKUP($A14&amp;K$1,'For stats end Y DB'!$A:$G,5,0)),0,VLOOKUP($A14&amp;K$1,'For stats end Y DB'!$A:$G,5,0))</f>
        <v>0</v>
      </c>
      <c r="L14">
        <f>IF(ISNA(VLOOKUP($A14&amp;L$1,'For stats end Y DB'!$A:$G,5,0)),0,VLOOKUP($A14&amp;L$1,'For stats end Y DB'!$A:$G,5,0))</f>
        <v>0</v>
      </c>
      <c r="M14">
        <f>IF(ISNA(VLOOKUP($A14&amp;M$1,'For stats end Y DB'!$A:$G,5,0)),0,VLOOKUP($A14&amp;M$1,'For stats end Y DB'!$A:$G,5,0))</f>
        <v>0</v>
      </c>
      <c r="N14">
        <f>IF(ISNA(VLOOKUP($A14&amp;N$1,'For stats end Y DB'!$A:$G,5,0)),0,VLOOKUP($A14&amp;N$1,'For stats end Y DB'!$A:$G,5,0))</f>
        <v>0</v>
      </c>
      <c r="O14">
        <f>IF(ISNA(VLOOKUP($A14&amp;O$1,'For stats end Y DB'!$A:$G,5,0)),0,VLOOKUP($A14&amp;O$1,'For stats end Y DB'!$A:$G,5,0))</f>
        <v>0</v>
      </c>
      <c r="P14">
        <f>IF(ISNA(VLOOKUP($A14&amp;P$1,'For stats end Y DB'!$A:$G,5,0)),0,VLOOKUP($A14&amp;P$1,'For stats end Y DB'!$A:$G,5,0))</f>
        <v>0</v>
      </c>
      <c r="Q14">
        <f>IF(ISNA(VLOOKUP($A14&amp;Q$1,'For stats end Y DB'!$A:$G,5,0)),0,VLOOKUP($A14&amp;Q$1,'For stats end Y DB'!$A:$G,5,0))</f>
        <v>0</v>
      </c>
      <c r="R14">
        <f>IF(ISNA(VLOOKUP($A14&amp;R$1,'For stats end Y DB'!$A:$G,5,0)),0,VLOOKUP($A14&amp;R$1,'For stats end Y DB'!$A:$G,5,0))</f>
        <v>0</v>
      </c>
      <c r="S14">
        <f>IF(ISNA(VLOOKUP($A14&amp;S$1,'For stats end Y DB'!$A:$G,5,0)),0,VLOOKUP($A14&amp;S$1,'For stats end Y DB'!$A:$G,5,0))</f>
        <v>0</v>
      </c>
      <c r="T14">
        <f>IF(ISNA(VLOOKUP($A14&amp;T$1,'For stats end Y DB'!$A:$G,5,0)),0,VLOOKUP($A14&amp;T$1,'For stats end Y DB'!$A:$G,5,0))</f>
        <v>0</v>
      </c>
      <c r="U14">
        <f>IF(ISNA(VLOOKUP($A14&amp;U$1,'For stats end Y DB'!$A:$G,5,0)),0,VLOOKUP($A14&amp;U$1,'For stats end Y DB'!$A:$G,5,0))</f>
        <v>0</v>
      </c>
      <c r="V14">
        <f>IF(ISNA(VLOOKUP($A14&amp;V$1,'For stats end Y DB'!$A:$G,5,0)),0,VLOOKUP($A14&amp;V$1,'For stats end Y DB'!$A:$G,5,0))</f>
        <v>0</v>
      </c>
      <c r="W14">
        <f>IF(ISNA(VLOOKUP($A14&amp;W$1,'For stats end Y DB'!$A:$G,5,0)),0,VLOOKUP($A14&amp;W$1,'For stats end Y DB'!$A:$G,5,0))</f>
        <v>0</v>
      </c>
      <c r="X14">
        <f>IF(ISNA(VLOOKUP($A14&amp;X$1,'For stats end Y DB'!$A:$G,5,0)),0,VLOOKUP($A14&amp;X$1,'For stats end Y DB'!$A:$G,5,0))</f>
        <v>0</v>
      </c>
      <c r="Y14">
        <f>IF(ISNA(VLOOKUP($A14&amp;Y$1,'For stats end Y DB'!$A:$G,5,0)),0,VLOOKUP($A14&amp;Y$1,'For stats end Y DB'!$A:$G,5,0))</f>
        <v>0</v>
      </c>
      <c r="Z14">
        <f>IF(ISNA(VLOOKUP($A14&amp;Z$1,'For stats end Y DB'!$A:$G,5,0)),0,VLOOKUP($A14&amp;Z$1,'For stats end Y DB'!$A:$G,5,0))</f>
        <v>0</v>
      </c>
      <c r="AA14">
        <f>IF(ISNA(VLOOKUP($A14&amp;AA$1,'For stats end Y DB'!$A:$G,5,0)),0,VLOOKUP($A14&amp;AA$1,'For stats end Y DB'!$A:$G,5,0))</f>
        <v>0</v>
      </c>
      <c r="AB14">
        <f>IF(ISNA(VLOOKUP($A14&amp;AB$1,'For stats end Y DB'!$A:$G,5,0)),0,VLOOKUP($A14&amp;AB$1,'For stats end Y DB'!$A:$G,5,0))</f>
        <v>0</v>
      </c>
      <c r="AC14">
        <f>IF(ISNA(VLOOKUP($A14&amp;AC$1,'For stats end Y DB'!$A:$G,5,0)),0,VLOOKUP($A14&amp;AC$1,'For stats end Y DB'!$A:$G,5,0))</f>
        <v>0</v>
      </c>
      <c r="AD14">
        <f>IF(ISNA(VLOOKUP($A14&amp;AD$1,'For stats end Y DB'!$A:$G,5,0)),0,VLOOKUP($A14&amp;AD$1,'For stats end Y DB'!$A:$G,5,0))</f>
        <v>0</v>
      </c>
      <c r="AE14">
        <f>IF(ISNA(VLOOKUP($A14&amp;AE$1,'For stats end Y DB'!$A:$G,5,0)),0,VLOOKUP($A14&amp;AE$1,'For stats end Y DB'!$A:$G,5,0))</f>
        <v>0</v>
      </c>
      <c r="AF14">
        <f>IF(ISNA(VLOOKUP($A14&amp;AF$1,'For stats end Y DB'!$A:$G,5,0)),0,VLOOKUP($A14&amp;AF$1,'For stats end Y DB'!$A:$G,5,0))</f>
        <v>0</v>
      </c>
      <c r="AG14">
        <f>IF(ISNA(VLOOKUP($A14&amp;AG$1,'For stats end Y DB'!$A:$G,5,0)),0,VLOOKUP($A14&amp;AG$1,'For stats end Y DB'!$A:$G,5,0))</f>
        <v>0</v>
      </c>
      <c r="AH14">
        <f>IF(ISNA(VLOOKUP($A14&amp;AH$1,'For stats end Y DB'!$A:$G,5,0)),0,VLOOKUP($A14&amp;AH$1,'For stats end Y DB'!$A:$G,5,0))</f>
        <v>0</v>
      </c>
      <c r="AI14">
        <f>IF(ISNA(VLOOKUP($A14&amp;AI$1,'For stats end Y DB'!$A:$G,5,0)),0,VLOOKUP($A14&amp;AI$1,'For stats end Y DB'!$A:$G,5,0))</f>
        <v>0</v>
      </c>
      <c r="AJ14">
        <f>IF(ISNA(VLOOKUP($A14&amp;AJ$1,'For stats end Y DB'!$A:$G,5,0)),0,VLOOKUP($A14&amp;AJ$1,'For stats end Y DB'!$A:$G,5,0))</f>
        <v>0</v>
      </c>
      <c r="AK14">
        <f>IF(ISNA(VLOOKUP($A14&amp;AK$1,'For stats end Y DB'!$A:$G,5,0)),0,VLOOKUP($A14&amp;AK$1,'For stats end Y DB'!$A:$G,5,0))</f>
        <v>0</v>
      </c>
      <c r="AL14">
        <f>IF(ISNA(VLOOKUP($A14&amp;AL$1,'For stats end Y DB'!$A:$G,5,0)),0,VLOOKUP($A14&amp;AL$1,'For stats end Y DB'!$A:$G,5,0))</f>
        <v>0</v>
      </c>
      <c r="AM14">
        <f>IF(ISNA(VLOOKUP($A14&amp;AM$1,'For stats end Y DB'!$A:$G,5,0)),0,VLOOKUP($A14&amp;AM$1,'For stats end Y DB'!$A:$G,5,0))</f>
        <v>0</v>
      </c>
      <c r="AN14">
        <f>IF(ISNA(VLOOKUP($A14&amp;AN$1,'For stats end Y DB'!$A:$G,5,0)),0,VLOOKUP($A14&amp;AN$1,'For stats end Y DB'!$A:$G,5,0))</f>
        <v>0</v>
      </c>
    </row>
    <row r="15" spans="1:40" x14ac:dyDescent="0.2">
      <c r="A15" t="str">
        <f>'For stats end Y class'!A15</f>
        <v>Claptou</v>
      </c>
      <c r="B15">
        <f>IF(ISNA(VLOOKUP($A15&amp;B$1,'For stats end Y DB'!$A:$G,5,0)),0,VLOOKUP($A15&amp;B$1,'For stats end Y DB'!$A:$G,5,0))</f>
        <v>0</v>
      </c>
      <c r="C15">
        <f>IF(ISNA(VLOOKUP($A15&amp;C$1,'For stats end Y DB'!$A:$G,5,0)),0,VLOOKUP($A15&amp;C$1,'For stats end Y DB'!$A:$G,5,0))</f>
        <v>2</v>
      </c>
      <c r="D15">
        <f>IF(ISNA(VLOOKUP($A15&amp;D$1,'For stats end Y DB'!$A:$G,5,0)),0,VLOOKUP($A15&amp;D$1,'For stats end Y DB'!$A:$G,5,0))</f>
        <v>12</v>
      </c>
      <c r="E15">
        <f>IF(ISNA(VLOOKUP($A15&amp;E$1,'For stats end Y DB'!$A:$G,5,0)),0,VLOOKUP($A15&amp;E$1,'For stats end Y DB'!$A:$G,5,0))</f>
        <v>5</v>
      </c>
      <c r="F15">
        <f>IF(ISNA(VLOOKUP($A15&amp;F$1,'For stats end Y DB'!$A:$G,5,0)),0,VLOOKUP($A15&amp;F$1,'For stats end Y DB'!$A:$G,5,0))</f>
        <v>5</v>
      </c>
      <c r="G15">
        <f>IF(ISNA(VLOOKUP($A15&amp;G$1,'For stats end Y DB'!$A:$G,5,0)),0,VLOOKUP($A15&amp;G$1,'For stats end Y DB'!$A:$G,5,0))</f>
        <v>17</v>
      </c>
      <c r="H15">
        <f>IF(ISNA(VLOOKUP($A15&amp;H$1,'For stats end Y DB'!$A:$G,5,0)),0,VLOOKUP($A15&amp;H$1,'For stats end Y DB'!$A:$G,5,0))</f>
        <v>8</v>
      </c>
      <c r="I15">
        <f>IF(ISNA(VLOOKUP($A15&amp;I$1,'For stats end Y DB'!$A:$G,5,0)),0,VLOOKUP($A15&amp;I$1,'For stats end Y DB'!$A:$G,5,0))</f>
        <v>13</v>
      </c>
      <c r="J15">
        <f>IF(ISNA(VLOOKUP($A15&amp;J$1,'For stats end Y DB'!$A:$G,5,0)),0,VLOOKUP($A15&amp;J$1,'For stats end Y DB'!$A:$G,5,0))</f>
        <v>12</v>
      </c>
      <c r="K15">
        <f>IF(ISNA(VLOOKUP($A15&amp;K$1,'For stats end Y DB'!$A:$G,5,0)),0,VLOOKUP($A15&amp;K$1,'For stats end Y DB'!$A:$G,5,0))</f>
        <v>4</v>
      </c>
      <c r="L15">
        <f>IF(ISNA(VLOOKUP($A15&amp;L$1,'For stats end Y DB'!$A:$G,5,0)),0,VLOOKUP($A15&amp;L$1,'For stats end Y DB'!$A:$G,5,0))</f>
        <v>16</v>
      </c>
      <c r="M15">
        <f>IF(ISNA(VLOOKUP($A15&amp;M$1,'For stats end Y DB'!$A:$G,5,0)),0,VLOOKUP($A15&amp;M$1,'For stats end Y DB'!$A:$G,5,0))</f>
        <v>2</v>
      </c>
      <c r="N15">
        <f>IF(ISNA(VLOOKUP($A15&amp;N$1,'For stats end Y DB'!$A:$G,5,0)),0,VLOOKUP($A15&amp;N$1,'For stats end Y DB'!$A:$G,5,0))</f>
        <v>17</v>
      </c>
      <c r="O15">
        <f>IF(ISNA(VLOOKUP($A15&amp;O$1,'For stats end Y DB'!$A:$G,5,0)),0,VLOOKUP($A15&amp;O$1,'For stats end Y DB'!$A:$G,5,0))</f>
        <v>9</v>
      </c>
      <c r="P15">
        <f>IF(ISNA(VLOOKUP($A15&amp;P$1,'For stats end Y DB'!$A:$G,5,0)),0,VLOOKUP($A15&amp;P$1,'For stats end Y DB'!$A:$G,5,0))</f>
        <v>17</v>
      </c>
      <c r="Q15">
        <f>IF(ISNA(VLOOKUP($A15&amp;Q$1,'For stats end Y DB'!$A:$G,5,0)),0,VLOOKUP($A15&amp;Q$1,'For stats end Y DB'!$A:$G,5,0))</f>
        <v>5</v>
      </c>
      <c r="R15">
        <f>IF(ISNA(VLOOKUP($A15&amp;R$1,'For stats end Y DB'!$A:$G,5,0)),0,VLOOKUP($A15&amp;R$1,'For stats end Y DB'!$A:$G,5,0))</f>
        <v>2</v>
      </c>
      <c r="S15">
        <f>IF(ISNA(VLOOKUP($A15&amp;S$1,'For stats end Y DB'!$A:$G,5,0)),0,VLOOKUP($A15&amp;S$1,'For stats end Y DB'!$A:$G,5,0))</f>
        <v>0</v>
      </c>
      <c r="T15">
        <f>IF(ISNA(VLOOKUP($A15&amp;T$1,'For stats end Y DB'!$A:$G,5,0)),0,VLOOKUP($A15&amp;T$1,'For stats end Y DB'!$A:$G,5,0))</f>
        <v>0</v>
      </c>
      <c r="U15">
        <f>IF(ISNA(VLOOKUP($A15&amp;U$1,'For stats end Y DB'!$A:$G,5,0)),0,VLOOKUP($A15&amp;U$1,'For stats end Y DB'!$A:$G,5,0))</f>
        <v>1</v>
      </c>
      <c r="V15">
        <f>IF(ISNA(VLOOKUP($A15&amp;V$1,'For stats end Y DB'!$A:$G,5,0)),0,VLOOKUP($A15&amp;V$1,'For stats end Y DB'!$A:$G,5,0))</f>
        <v>2</v>
      </c>
      <c r="W15">
        <f>IF(ISNA(VLOOKUP($A15&amp;W$1,'For stats end Y DB'!$A:$G,5,0)),0,VLOOKUP($A15&amp;W$1,'For stats end Y DB'!$A:$G,5,0))</f>
        <v>0</v>
      </c>
      <c r="X15">
        <f>IF(ISNA(VLOOKUP($A15&amp;X$1,'For stats end Y DB'!$A:$G,5,0)),0,VLOOKUP($A15&amp;X$1,'For stats end Y DB'!$A:$G,5,0))</f>
        <v>3</v>
      </c>
      <c r="Y15">
        <f>IF(ISNA(VLOOKUP($A15&amp;Y$1,'For stats end Y DB'!$A:$G,5,0)),0,VLOOKUP($A15&amp;Y$1,'For stats end Y DB'!$A:$G,5,0))</f>
        <v>2</v>
      </c>
      <c r="Z15">
        <f>IF(ISNA(VLOOKUP($A15&amp;Z$1,'For stats end Y DB'!$A:$G,5,0)),0,VLOOKUP($A15&amp;Z$1,'For stats end Y DB'!$A:$G,5,0))</f>
        <v>4</v>
      </c>
      <c r="AA15">
        <f>IF(ISNA(VLOOKUP($A15&amp;AA$1,'For stats end Y DB'!$A:$G,5,0)),0,VLOOKUP($A15&amp;AA$1,'For stats end Y DB'!$A:$G,5,0))</f>
        <v>16</v>
      </c>
      <c r="AB15">
        <f>IF(ISNA(VLOOKUP($A15&amp;AB$1,'For stats end Y DB'!$A:$G,5,0)),0,VLOOKUP($A15&amp;AB$1,'For stats end Y DB'!$A:$G,5,0))</f>
        <v>2</v>
      </c>
      <c r="AC15">
        <f>IF(ISNA(VLOOKUP($A15&amp;AC$1,'For stats end Y DB'!$A:$G,5,0)),0,VLOOKUP($A15&amp;AC$1,'For stats end Y DB'!$A:$G,5,0))</f>
        <v>0</v>
      </c>
      <c r="AD15">
        <f>IF(ISNA(VLOOKUP($A15&amp;AD$1,'For stats end Y DB'!$A:$G,5,0)),0,VLOOKUP($A15&amp;AD$1,'For stats end Y DB'!$A:$G,5,0))</f>
        <v>12</v>
      </c>
      <c r="AE15">
        <f>IF(ISNA(VLOOKUP($A15&amp;AE$1,'For stats end Y DB'!$A:$G,5,0)),0,VLOOKUP($A15&amp;AE$1,'For stats end Y DB'!$A:$G,5,0))</f>
        <v>1</v>
      </c>
      <c r="AF15">
        <f>IF(ISNA(VLOOKUP($A15&amp;AF$1,'For stats end Y DB'!$A:$G,5,0)),0,VLOOKUP($A15&amp;AF$1,'For stats end Y DB'!$A:$G,5,0))</f>
        <v>2</v>
      </c>
      <c r="AG15">
        <f>IF(ISNA(VLOOKUP($A15&amp;AG$1,'For stats end Y DB'!$A:$G,5,0)),0,VLOOKUP($A15&amp;AG$1,'For stats end Y DB'!$A:$G,5,0))</f>
        <v>0</v>
      </c>
      <c r="AH15">
        <f>IF(ISNA(VLOOKUP($A15&amp;AH$1,'For stats end Y DB'!$A:$G,5,0)),0,VLOOKUP($A15&amp;AH$1,'For stats end Y DB'!$A:$G,5,0))</f>
        <v>2</v>
      </c>
      <c r="AI15">
        <f>IF(ISNA(VLOOKUP($A15&amp;AI$1,'For stats end Y DB'!$A:$G,5,0)),0,VLOOKUP($A15&amp;AI$1,'For stats end Y DB'!$A:$G,5,0))</f>
        <v>0</v>
      </c>
      <c r="AJ15">
        <f>IF(ISNA(VLOOKUP($A15&amp;AJ$1,'For stats end Y DB'!$A:$G,5,0)),0,VLOOKUP($A15&amp;AJ$1,'For stats end Y DB'!$A:$G,5,0))</f>
        <v>0</v>
      </c>
      <c r="AK15">
        <f>IF(ISNA(VLOOKUP($A15&amp;AK$1,'For stats end Y DB'!$A:$G,5,0)),0,VLOOKUP($A15&amp;AK$1,'For stats end Y DB'!$A:$G,5,0))</f>
        <v>0</v>
      </c>
      <c r="AL15">
        <f>IF(ISNA(VLOOKUP($A15&amp;AL$1,'For stats end Y DB'!$A:$G,5,0)),0,VLOOKUP($A15&amp;AL$1,'For stats end Y DB'!$A:$G,5,0))</f>
        <v>0</v>
      </c>
      <c r="AM15">
        <f>IF(ISNA(VLOOKUP($A15&amp;AM$1,'For stats end Y DB'!$A:$G,5,0)),0,VLOOKUP($A15&amp;AM$1,'For stats end Y DB'!$A:$G,5,0))</f>
        <v>0</v>
      </c>
      <c r="AN15">
        <f>IF(ISNA(VLOOKUP($A15&amp;AN$1,'For stats end Y DB'!$A:$G,5,0)),0,VLOOKUP($A15&amp;AN$1,'For stats end Y DB'!$A:$G,5,0))</f>
        <v>0</v>
      </c>
    </row>
    <row r="16" spans="1:40" x14ac:dyDescent="0.2">
      <c r="A16" t="str">
        <f>'For stats end Y class'!A16</f>
        <v>Claudius</v>
      </c>
      <c r="B16">
        <f>IF(ISNA(VLOOKUP($A16&amp;B$1,'For stats end Y DB'!$A:$G,5,0)),0,VLOOKUP($A16&amp;B$1,'For stats end Y DB'!$A:$G,5,0))</f>
        <v>4</v>
      </c>
      <c r="C16">
        <f>IF(ISNA(VLOOKUP($A16&amp;C$1,'For stats end Y DB'!$A:$G,5,0)),0,VLOOKUP($A16&amp;C$1,'For stats end Y DB'!$A:$G,5,0))</f>
        <v>3</v>
      </c>
      <c r="D16">
        <f>IF(ISNA(VLOOKUP($A16&amp;D$1,'For stats end Y DB'!$A:$G,5,0)),0,VLOOKUP($A16&amp;D$1,'For stats end Y DB'!$A:$G,5,0))</f>
        <v>4</v>
      </c>
      <c r="E16">
        <f>IF(ISNA(VLOOKUP($A16&amp;E$1,'For stats end Y DB'!$A:$G,5,0)),0,VLOOKUP($A16&amp;E$1,'For stats end Y DB'!$A:$G,5,0))</f>
        <v>9</v>
      </c>
      <c r="F16">
        <f>IF(ISNA(VLOOKUP($A16&amp;F$1,'For stats end Y DB'!$A:$G,5,0)),0,VLOOKUP($A16&amp;F$1,'For stats end Y DB'!$A:$G,5,0))</f>
        <v>7</v>
      </c>
      <c r="G16">
        <f>IF(ISNA(VLOOKUP($A16&amp;G$1,'For stats end Y DB'!$A:$G,5,0)),0,VLOOKUP($A16&amp;G$1,'For stats end Y DB'!$A:$G,5,0))</f>
        <v>17</v>
      </c>
      <c r="H16">
        <f>IF(ISNA(VLOOKUP($A16&amp;H$1,'For stats end Y DB'!$A:$G,5,0)),0,VLOOKUP($A16&amp;H$1,'For stats end Y DB'!$A:$G,5,0))</f>
        <v>12</v>
      </c>
      <c r="I16">
        <f>IF(ISNA(VLOOKUP($A16&amp;I$1,'For stats end Y DB'!$A:$G,5,0)),0,VLOOKUP($A16&amp;I$1,'For stats end Y DB'!$A:$G,5,0))</f>
        <v>17</v>
      </c>
      <c r="J16">
        <f>IF(ISNA(VLOOKUP($A16&amp;J$1,'For stats end Y DB'!$A:$G,5,0)),0,VLOOKUP($A16&amp;J$1,'For stats end Y DB'!$A:$G,5,0))</f>
        <v>8</v>
      </c>
      <c r="K16">
        <f>IF(ISNA(VLOOKUP($A16&amp;K$1,'For stats end Y DB'!$A:$G,5,0)),0,VLOOKUP($A16&amp;K$1,'For stats end Y DB'!$A:$G,5,0))</f>
        <v>12</v>
      </c>
      <c r="L16">
        <f>IF(ISNA(VLOOKUP($A16&amp;L$1,'For stats end Y DB'!$A:$G,5,0)),0,VLOOKUP($A16&amp;L$1,'For stats end Y DB'!$A:$G,5,0))</f>
        <v>16</v>
      </c>
      <c r="M16">
        <f>IF(ISNA(VLOOKUP($A16&amp;M$1,'For stats end Y DB'!$A:$G,5,0)),0,VLOOKUP($A16&amp;M$1,'For stats end Y DB'!$A:$G,5,0))</f>
        <v>12</v>
      </c>
      <c r="N16">
        <f>IF(ISNA(VLOOKUP($A16&amp;N$1,'For stats end Y DB'!$A:$G,5,0)),0,VLOOKUP($A16&amp;N$1,'For stats end Y DB'!$A:$G,5,0))</f>
        <v>12</v>
      </c>
      <c r="O16">
        <f>IF(ISNA(VLOOKUP($A16&amp;O$1,'For stats end Y DB'!$A:$G,5,0)),0,VLOOKUP($A16&amp;O$1,'For stats end Y DB'!$A:$G,5,0))</f>
        <v>12</v>
      </c>
      <c r="P16">
        <f>IF(ISNA(VLOOKUP($A16&amp;P$1,'For stats end Y DB'!$A:$G,5,0)),0,VLOOKUP($A16&amp;P$1,'For stats end Y DB'!$A:$G,5,0))</f>
        <v>13</v>
      </c>
      <c r="Q16">
        <f>IF(ISNA(VLOOKUP($A16&amp;Q$1,'For stats end Y DB'!$A:$G,5,0)),0,VLOOKUP($A16&amp;Q$1,'For stats end Y DB'!$A:$G,5,0))</f>
        <v>2</v>
      </c>
      <c r="R16">
        <f>IF(ISNA(VLOOKUP($A16&amp;R$1,'For stats end Y DB'!$A:$G,5,0)),0,VLOOKUP($A16&amp;R$1,'For stats end Y DB'!$A:$G,5,0))</f>
        <v>3</v>
      </c>
      <c r="S16">
        <f>IF(ISNA(VLOOKUP($A16&amp;S$1,'For stats end Y DB'!$A:$G,5,0)),0,VLOOKUP($A16&amp;S$1,'For stats end Y DB'!$A:$G,5,0))</f>
        <v>17</v>
      </c>
      <c r="T16">
        <f>IF(ISNA(VLOOKUP($A16&amp;T$1,'For stats end Y DB'!$A:$G,5,0)),0,VLOOKUP($A16&amp;T$1,'For stats end Y DB'!$A:$G,5,0))</f>
        <v>12</v>
      </c>
      <c r="U16">
        <f>IF(ISNA(VLOOKUP($A16&amp;U$1,'For stats end Y DB'!$A:$G,5,0)),0,VLOOKUP($A16&amp;U$1,'For stats end Y DB'!$A:$G,5,0))</f>
        <v>1</v>
      </c>
      <c r="V16">
        <f>IF(ISNA(VLOOKUP($A16&amp;V$1,'For stats end Y DB'!$A:$G,5,0)),0,VLOOKUP($A16&amp;V$1,'For stats end Y DB'!$A:$G,5,0))</f>
        <v>13</v>
      </c>
      <c r="W16">
        <f>IF(ISNA(VLOOKUP($A16&amp;W$1,'For stats end Y DB'!$A:$G,5,0)),0,VLOOKUP($A16&amp;W$1,'For stats end Y DB'!$A:$G,5,0))</f>
        <v>9</v>
      </c>
      <c r="X16">
        <f>IF(ISNA(VLOOKUP($A16&amp;X$1,'For stats end Y DB'!$A:$G,5,0)),0,VLOOKUP($A16&amp;X$1,'For stats end Y DB'!$A:$G,5,0))</f>
        <v>4</v>
      </c>
      <c r="Y16">
        <f>IF(ISNA(VLOOKUP($A16&amp;Y$1,'For stats end Y DB'!$A:$G,5,0)),0,VLOOKUP($A16&amp;Y$1,'For stats end Y DB'!$A:$G,5,0))</f>
        <v>1</v>
      </c>
      <c r="Z16">
        <f>IF(ISNA(VLOOKUP($A16&amp;Z$1,'For stats end Y DB'!$A:$G,5,0)),0,VLOOKUP($A16&amp;Z$1,'For stats end Y DB'!$A:$G,5,0))</f>
        <v>4</v>
      </c>
      <c r="AA16">
        <f>IF(ISNA(VLOOKUP($A16&amp;AA$1,'For stats end Y DB'!$A:$G,5,0)),0,VLOOKUP($A16&amp;AA$1,'For stats end Y DB'!$A:$G,5,0))</f>
        <v>4</v>
      </c>
      <c r="AB16">
        <f>IF(ISNA(VLOOKUP($A16&amp;AB$1,'For stats end Y DB'!$A:$G,5,0)),0,VLOOKUP($A16&amp;AB$1,'For stats end Y DB'!$A:$G,5,0))</f>
        <v>4</v>
      </c>
      <c r="AC16">
        <f>IF(ISNA(VLOOKUP($A16&amp;AC$1,'For stats end Y DB'!$A:$G,5,0)),0,VLOOKUP($A16&amp;AC$1,'For stats end Y DB'!$A:$G,5,0))</f>
        <v>1</v>
      </c>
      <c r="AD16">
        <f>IF(ISNA(VLOOKUP($A16&amp;AD$1,'For stats end Y DB'!$A:$G,5,0)),0,VLOOKUP($A16&amp;AD$1,'For stats end Y DB'!$A:$G,5,0))</f>
        <v>9</v>
      </c>
      <c r="AE16">
        <f>IF(ISNA(VLOOKUP($A16&amp;AE$1,'For stats end Y DB'!$A:$G,5,0)),0,VLOOKUP($A16&amp;AE$1,'For stats end Y DB'!$A:$G,5,0))</f>
        <v>1</v>
      </c>
      <c r="AF16">
        <f>IF(ISNA(VLOOKUP($A16&amp;AF$1,'For stats end Y DB'!$A:$G,5,0)),0,VLOOKUP($A16&amp;AF$1,'For stats end Y DB'!$A:$G,5,0))</f>
        <v>4</v>
      </c>
      <c r="AG16">
        <f>IF(ISNA(VLOOKUP($A16&amp;AG$1,'For stats end Y DB'!$A:$G,5,0)),0,VLOOKUP($A16&amp;AG$1,'For stats end Y DB'!$A:$G,5,0))</f>
        <v>12</v>
      </c>
      <c r="AH16">
        <f>IF(ISNA(VLOOKUP($A16&amp;AH$1,'For stats end Y DB'!$A:$G,5,0)),0,VLOOKUP($A16&amp;AH$1,'For stats end Y DB'!$A:$G,5,0))</f>
        <v>2</v>
      </c>
      <c r="AI16">
        <f>IF(ISNA(VLOOKUP($A16&amp;AI$1,'For stats end Y DB'!$A:$G,5,0)),0,VLOOKUP($A16&amp;AI$1,'For stats end Y DB'!$A:$G,5,0))</f>
        <v>0</v>
      </c>
      <c r="AJ16">
        <f>IF(ISNA(VLOOKUP($A16&amp;AJ$1,'For stats end Y DB'!$A:$G,5,0)),0,VLOOKUP($A16&amp;AJ$1,'For stats end Y DB'!$A:$G,5,0))</f>
        <v>0</v>
      </c>
      <c r="AK16">
        <f>IF(ISNA(VLOOKUP($A16&amp;AK$1,'For stats end Y DB'!$A:$G,5,0)),0,VLOOKUP($A16&amp;AK$1,'For stats end Y DB'!$A:$G,5,0))</f>
        <v>0</v>
      </c>
      <c r="AL16">
        <f>IF(ISNA(VLOOKUP($A16&amp;AL$1,'For stats end Y DB'!$A:$G,5,0)),0,VLOOKUP($A16&amp;AL$1,'For stats end Y DB'!$A:$G,5,0))</f>
        <v>0</v>
      </c>
      <c r="AM16">
        <f>IF(ISNA(VLOOKUP($A16&amp;AM$1,'For stats end Y DB'!$A:$G,5,0)),0,VLOOKUP($A16&amp;AM$1,'For stats end Y DB'!$A:$G,5,0))</f>
        <v>0</v>
      </c>
      <c r="AN16">
        <f>IF(ISNA(VLOOKUP($A16&amp;AN$1,'For stats end Y DB'!$A:$G,5,0)),0,VLOOKUP($A16&amp;AN$1,'For stats end Y DB'!$A:$G,5,0))</f>
        <v>0</v>
      </c>
    </row>
    <row r="17" spans="1:40" x14ac:dyDescent="0.2">
      <c r="A17" t="str">
        <f>'For stats end Y class'!A17</f>
        <v>CoachNasser</v>
      </c>
      <c r="B17">
        <f>IF(ISNA(VLOOKUP($A17&amp;B$1,'For stats end Y DB'!$A:$G,5,0)),0,VLOOKUP($A17&amp;B$1,'For stats end Y DB'!$A:$G,5,0))</f>
        <v>0</v>
      </c>
      <c r="C17">
        <f>IF(ISNA(VLOOKUP($A17&amp;C$1,'For stats end Y DB'!$A:$G,5,0)),0,VLOOKUP($A17&amp;C$1,'For stats end Y DB'!$A:$G,5,0))</f>
        <v>0</v>
      </c>
      <c r="D17">
        <f>IF(ISNA(VLOOKUP($A17&amp;D$1,'For stats end Y DB'!$A:$G,5,0)),0,VLOOKUP($A17&amp;D$1,'For stats end Y DB'!$A:$G,5,0))</f>
        <v>0</v>
      </c>
      <c r="E17">
        <f>IF(ISNA(VLOOKUP($A17&amp;E$1,'For stats end Y DB'!$A:$G,5,0)),0,VLOOKUP($A17&amp;E$1,'For stats end Y DB'!$A:$G,5,0))</f>
        <v>0</v>
      </c>
      <c r="F17">
        <f>IF(ISNA(VLOOKUP($A17&amp;F$1,'For stats end Y DB'!$A:$G,5,0)),0,VLOOKUP($A17&amp;F$1,'For stats end Y DB'!$A:$G,5,0))</f>
        <v>1</v>
      </c>
      <c r="G17">
        <f>IF(ISNA(VLOOKUP($A17&amp;G$1,'For stats end Y DB'!$A:$G,5,0)),0,VLOOKUP($A17&amp;G$1,'For stats end Y DB'!$A:$G,5,0))</f>
        <v>0</v>
      </c>
      <c r="H17">
        <f>IF(ISNA(VLOOKUP($A17&amp;H$1,'For stats end Y DB'!$A:$G,5,0)),0,VLOOKUP($A17&amp;H$1,'For stats end Y DB'!$A:$G,5,0))</f>
        <v>0</v>
      </c>
      <c r="I17">
        <f>IF(ISNA(VLOOKUP($A17&amp;I$1,'For stats end Y DB'!$A:$G,5,0)),0,VLOOKUP($A17&amp;I$1,'For stats end Y DB'!$A:$G,5,0))</f>
        <v>0</v>
      </c>
      <c r="J17">
        <f>IF(ISNA(VLOOKUP($A17&amp;J$1,'For stats end Y DB'!$A:$G,5,0)),0,VLOOKUP($A17&amp;J$1,'For stats end Y DB'!$A:$G,5,0))</f>
        <v>0</v>
      </c>
      <c r="K17">
        <f>IF(ISNA(VLOOKUP($A17&amp;K$1,'For stats end Y DB'!$A:$G,5,0)),0,VLOOKUP($A17&amp;K$1,'For stats end Y DB'!$A:$G,5,0))</f>
        <v>0</v>
      </c>
      <c r="L17">
        <f>IF(ISNA(VLOOKUP($A17&amp;L$1,'For stats end Y DB'!$A:$G,5,0)),0,VLOOKUP($A17&amp;L$1,'For stats end Y DB'!$A:$G,5,0))</f>
        <v>0</v>
      </c>
      <c r="M17">
        <f>IF(ISNA(VLOOKUP($A17&amp;M$1,'For stats end Y DB'!$A:$G,5,0)),0,VLOOKUP($A17&amp;M$1,'For stats end Y DB'!$A:$G,5,0))</f>
        <v>0</v>
      </c>
      <c r="N17">
        <f>IF(ISNA(VLOOKUP($A17&amp;N$1,'For stats end Y DB'!$A:$G,5,0)),0,VLOOKUP($A17&amp;N$1,'For stats end Y DB'!$A:$G,5,0))</f>
        <v>0</v>
      </c>
      <c r="O17">
        <f>IF(ISNA(VLOOKUP($A17&amp;O$1,'For stats end Y DB'!$A:$G,5,0)),0,VLOOKUP($A17&amp;O$1,'For stats end Y DB'!$A:$G,5,0))</f>
        <v>0</v>
      </c>
      <c r="P17">
        <f>IF(ISNA(VLOOKUP($A17&amp;P$1,'For stats end Y DB'!$A:$G,5,0)),0,VLOOKUP($A17&amp;P$1,'For stats end Y DB'!$A:$G,5,0))</f>
        <v>0</v>
      </c>
      <c r="Q17">
        <f>IF(ISNA(VLOOKUP($A17&amp;Q$1,'For stats end Y DB'!$A:$G,5,0)),0,VLOOKUP($A17&amp;Q$1,'For stats end Y DB'!$A:$G,5,0))</f>
        <v>0</v>
      </c>
      <c r="R17">
        <f>IF(ISNA(VLOOKUP($A17&amp;R$1,'For stats end Y DB'!$A:$G,5,0)),0,VLOOKUP($A17&amp;R$1,'For stats end Y DB'!$A:$G,5,0))</f>
        <v>0</v>
      </c>
      <c r="S17">
        <f>IF(ISNA(VLOOKUP($A17&amp;S$1,'For stats end Y DB'!$A:$G,5,0)),0,VLOOKUP($A17&amp;S$1,'For stats end Y DB'!$A:$G,5,0))</f>
        <v>0</v>
      </c>
      <c r="T17">
        <f>IF(ISNA(VLOOKUP($A17&amp;T$1,'For stats end Y DB'!$A:$G,5,0)),0,VLOOKUP($A17&amp;T$1,'For stats end Y DB'!$A:$G,5,0))</f>
        <v>0</v>
      </c>
      <c r="U17">
        <f>IF(ISNA(VLOOKUP($A17&amp;U$1,'For stats end Y DB'!$A:$G,5,0)),0,VLOOKUP($A17&amp;U$1,'For stats end Y DB'!$A:$G,5,0))</f>
        <v>0</v>
      </c>
      <c r="V17">
        <f>IF(ISNA(VLOOKUP($A17&amp;V$1,'For stats end Y DB'!$A:$G,5,0)),0,VLOOKUP($A17&amp;V$1,'For stats end Y DB'!$A:$G,5,0))</f>
        <v>0</v>
      </c>
      <c r="W17">
        <f>IF(ISNA(VLOOKUP($A17&amp;W$1,'For stats end Y DB'!$A:$G,5,0)),0,VLOOKUP($A17&amp;W$1,'For stats end Y DB'!$A:$G,5,0))</f>
        <v>0</v>
      </c>
      <c r="X17">
        <f>IF(ISNA(VLOOKUP($A17&amp;X$1,'For stats end Y DB'!$A:$G,5,0)),0,VLOOKUP($A17&amp;X$1,'For stats end Y DB'!$A:$G,5,0))</f>
        <v>0</v>
      </c>
      <c r="Y17">
        <f>IF(ISNA(VLOOKUP($A17&amp;Y$1,'For stats end Y DB'!$A:$G,5,0)),0,VLOOKUP($A17&amp;Y$1,'For stats end Y DB'!$A:$G,5,0))</f>
        <v>0</v>
      </c>
      <c r="Z17">
        <f>IF(ISNA(VLOOKUP($A17&amp;Z$1,'For stats end Y DB'!$A:$G,5,0)),0,VLOOKUP($A17&amp;Z$1,'For stats end Y DB'!$A:$G,5,0))</f>
        <v>0</v>
      </c>
      <c r="AA17">
        <f>IF(ISNA(VLOOKUP($A17&amp;AA$1,'For stats end Y DB'!$A:$G,5,0)),0,VLOOKUP($A17&amp;AA$1,'For stats end Y DB'!$A:$G,5,0))</f>
        <v>0</v>
      </c>
      <c r="AB17">
        <f>IF(ISNA(VLOOKUP($A17&amp;AB$1,'For stats end Y DB'!$A:$G,5,0)),0,VLOOKUP($A17&amp;AB$1,'For stats end Y DB'!$A:$G,5,0))</f>
        <v>0</v>
      </c>
      <c r="AC17">
        <f>IF(ISNA(VLOOKUP($A17&amp;AC$1,'For stats end Y DB'!$A:$G,5,0)),0,VLOOKUP($A17&amp;AC$1,'For stats end Y DB'!$A:$G,5,0))</f>
        <v>0</v>
      </c>
      <c r="AD17">
        <f>IF(ISNA(VLOOKUP($A17&amp;AD$1,'For stats end Y DB'!$A:$G,5,0)),0,VLOOKUP($A17&amp;AD$1,'For stats end Y DB'!$A:$G,5,0))</f>
        <v>0</v>
      </c>
      <c r="AE17">
        <f>IF(ISNA(VLOOKUP($A17&amp;AE$1,'For stats end Y DB'!$A:$G,5,0)),0,VLOOKUP($A17&amp;AE$1,'For stats end Y DB'!$A:$G,5,0))</f>
        <v>0</v>
      </c>
      <c r="AF17">
        <f>IF(ISNA(VLOOKUP($A17&amp;AF$1,'For stats end Y DB'!$A:$G,5,0)),0,VLOOKUP($A17&amp;AF$1,'For stats end Y DB'!$A:$G,5,0))</f>
        <v>0</v>
      </c>
      <c r="AG17">
        <f>IF(ISNA(VLOOKUP($A17&amp;AG$1,'For stats end Y DB'!$A:$G,5,0)),0,VLOOKUP($A17&amp;AG$1,'For stats end Y DB'!$A:$G,5,0))</f>
        <v>0</v>
      </c>
      <c r="AH17">
        <f>IF(ISNA(VLOOKUP($A17&amp;AH$1,'For stats end Y DB'!$A:$G,5,0)),0,VLOOKUP($A17&amp;AH$1,'For stats end Y DB'!$A:$G,5,0))</f>
        <v>0</v>
      </c>
      <c r="AI17">
        <f>IF(ISNA(VLOOKUP($A17&amp;AI$1,'For stats end Y DB'!$A:$G,5,0)),0,VLOOKUP($A17&amp;AI$1,'For stats end Y DB'!$A:$G,5,0))</f>
        <v>0</v>
      </c>
      <c r="AJ17">
        <f>IF(ISNA(VLOOKUP($A17&amp;AJ$1,'For stats end Y DB'!$A:$G,5,0)),0,VLOOKUP($A17&amp;AJ$1,'For stats end Y DB'!$A:$G,5,0))</f>
        <v>0</v>
      </c>
      <c r="AK17">
        <f>IF(ISNA(VLOOKUP($A17&amp;AK$1,'For stats end Y DB'!$A:$G,5,0)),0,VLOOKUP($A17&amp;AK$1,'For stats end Y DB'!$A:$G,5,0))</f>
        <v>0</v>
      </c>
      <c r="AL17">
        <f>IF(ISNA(VLOOKUP($A17&amp;AL$1,'For stats end Y DB'!$A:$G,5,0)),0,VLOOKUP($A17&amp;AL$1,'For stats end Y DB'!$A:$G,5,0))</f>
        <v>0</v>
      </c>
      <c r="AM17">
        <f>IF(ISNA(VLOOKUP($A17&amp;AM$1,'For stats end Y DB'!$A:$G,5,0)),0,VLOOKUP($A17&amp;AM$1,'For stats end Y DB'!$A:$G,5,0))</f>
        <v>0</v>
      </c>
      <c r="AN17">
        <f>IF(ISNA(VLOOKUP($A17&amp;AN$1,'For stats end Y DB'!$A:$G,5,0)),0,VLOOKUP($A17&amp;AN$1,'For stats end Y DB'!$A:$G,5,0))</f>
        <v>0</v>
      </c>
    </row>
    <row r="18" spans="1:40" x14ac:dyDescent="0.2">
      <c r="A18" t="str">
        <f>'For stats end Y class'!A18</f>
        <v>Comment2</v>
      </c>
      <c r="B18">
        <f>IF(ISNA(VLOOKUP($A18&amp;B$1,'For stats end Y DB'!$A:$G,5,0)),0,VLOOKUP($A18&amp;B$1,'For stats end Y DB'!$A:$G,5,0))</f>
        <v>0</v>
      </c>
      <c r="C18">
        <f>IF(ISNA(VLOOKUP($A18&amp;C$1,'For stats end Y DB'!$A:$G,5,0)),0,VLOOKUP($A18&amp;C$1,'For stats end Y DB'!$A:$G,5,0))</f>
        <v>9</v>
      </c>
      <c r="D18">
        <f>IF(ISNA(VLOOKUP($A18&amp;D$1,'For stats end Y DB'!$A:$G,5,0)),0,VLOOKUP($A18&amp;D$1,'For stats end Y DB'!$A:$G,5,0))</f>
        <v>3</v>
      </c>
      <c r="E18">
        <f>IF(ISNA(VLOOKUP($A18&amp;E$1,'For stats end Y DB'!$A:$G,5,0)),0,VLOOKUP($A18&amp;E$1,'For stats end Y DB'!$A:$G,5,0))</f>
        <v>0</v>
      </c>
      <c r="F18">
        <f>IF(ISNA(VLOOKUP($A18&amp;F$1,'For stats end Y DB'!$A:$G,5,0)),0,VLOOKUP($A18&amp;F$1,'For stats end Y DB'!$A:$G,5,0))</f>
        <v>3</v>
      </c>
      <c r="G18">
        <f>IF(ISNA(VLOOKUP($A18&amp;G$1,'For stats end Y DB'!$A:$G,5,0)),0,VLOOKUP($A18&amp;G$1,'For stats end Y DB'!$A:$G,5,0))</f>
        <v>12</v>
      </c>
      <c r="H18">
        <f>IF(ISNA(VLOOKUP($A18&amp;H$1,'For stats end Y DB'!$A:$G,5,0)),0,VLOOKUP($A18&amp;H$1,'For stats end Y DB'!$A:$G,5,0))</f>
        <v>0</v>
      </c>
      <c r="I18">
        <f>IF(ISNA(VLOOKUP($A18&amp;I$1,'For stats end Y DB'!$A:$G,5,0)),0,VLOOKUP($A18&amp;I$1,'For stats end Y DB'!$A:$G,5,0))</f>
        <v>4</v>
      </c>
      <c r="J18">
        <f>IF(ISNA(VLOOKUP($A18&amp;J$1,'For stats end Y DB'!$A:$G,5,0)),0,VLOOKUP($A18&amp;J$1,'For stats end Y DB'!$A:$G,5,0))</f>
        <v>0</v>
      </c>
      <c r="K18">
        <f>IF(ISNA(VLOOKUP($A18&amp;K$1,'For stats end Y DB'!$A:$G,5,0)),0,VLOOKUP($A18&amp;K$1,'For stats end Y DB'!$A:$G,5,0))</f>
        <v>1</v>
      </c>
      <c r="L18">
        <f>IF(ISNA(VLOOKUP($A18&amp;L$1,'For stats end Y DB'!$A:$G,5,0)),0,VLOOKUP($A18&amp;L$1,'For stats end Y DB'!$A:$G,5,0))</f>
        <v>0</v>
      </c>
      <c r="M18">
        <f>IF(ISNA(VLOOKUP($A18&amp;M$1,'For stats end Y DB'!$A:$G,5,0)),0,VLOOKUP($A18&amp;M$1,'For stats end Y DB'!$A:$G,5,0))</f>
        <v>2</v>
      </c>
      <c r="N18">
        <f>IF(ISNA(VLOOKUP($A18&amp;N$1,'For stats end Y DB'!$A:$G,5,0)),0,VLOOKUP($A18&amp;N$1,'For stats end Y DB'!$A:$G,5,0))</f>
        <v>1</v>
      </c>
      <c r="O18">
        <f>IF(ISNA(VLOOKUP($A18&amp;O$1,'For stats end Y DB'!$A:$G,5,0)),0,VLOOKUP($A18&amp;O$1,'For stats end Y DB'!$A:$G,5,0))</f>
        <v>2</v>
      </c>
      <c r="P18">
        <f>IF(ISNA(VLOOKUP($A18&amp;P$1,'For stats end Y DB'!$A:$G,5,0)),0,VLOOKUP($A18&amp;P$1,'For stats end Y DB'!$A:$G,5,0))</f>
        <v>12</v>
      </c>
      <c r="Q18">
        <f>IF(ISNA(VLOOKUP($A18&amp;Q$1,'For stats end Y DB'!$A:$G,5,0)),0,VLOOKUP($A18&amp;Q$1,'For stats end Y DB'!$A:$G,5,0))</f>
        <v>0</v>
      </c>
      <c r="R18">
        <f>IF(ISNA(VLOOKUP($A18&amp;R$1,'For stats end Y DB'!$A:$G,5,0)),0,VLOOKUP($A18&amp;R$1,'For stats end Y DB'!$A:$G,5,0))</f>
        <v>13</v>
      </c>
      <c r="S18">
        <f>IF(ISNA(VLOOKUP($A18&amp;S$1,'For stats end Y DB'!$A:$G,5,0)),0,VLOOKUP($A18&amp;S$1,'For stats end Y DB'!$A:$G,5,0))</f>
        <v>3</v>
      </c>
      <c r="T18">
        <f>IF(ISNA(VLOOKUP($A18&amp;T$1,'For stats end Y DB'!$A:$G,5,0)),0,VLOOKUP($A18&amp;T$1,'For stats end Y DB'!$A:$G,5,0))</f>
        <v>0</v>
      </c>
      <c r="U18">
        <f>IF(ISNA(VLOOKUP($A18&amp;U$1,'For stats end Y DB'!$A:$G,5,0)),0,VLOOKUP($A18&amp;U$1,'For stats end Y DB'!$A:$G,5,0))</f>
        <v>0</v>
      </c>
      <c r="V18">
        <f>IF(ISNA(VLOOKUP($A18&amp;V$1,'For stats end Y DB'!$A:$G,5,0)),0,VLOOKUP($A18&amp;V$1,'For stats end Y DB'!$A:$G,5,0))</f>
        <v>8</v>
      </c>
      <c r="W18">
        <f>IF(ISNA(VLOOKUP($A18&amp;W$1,'For stats end Y DB'!$A:$G,5,0)),0,VLOOKUP($A18&amp;W$1,'For stats end Y DB'!$A:$G,5,0))</f>
        <v>0</v>
      </c>
      <c r="X18">
        <f>IF(ISNA(VLOOKUP($A18&amp;X$1,'For stats end Y DB'!$A:$G,5,0)),0,VLOOKUP($A18&amp;X$1,'For stats end Y DB'!$A:$G,5,0))</f>
        <v>1</v>
      </c>
      <c r="Y18">
        <f>IF(ISNA(VLOOKUP($A18&amp;Y$1,'For stats end Y DB'!$A:$G,5,0)),0,VLOOKUP($A18&amp;Y$1,'For stats end Y DB'!$A:$G,5,0))</f>
        <v>1</v>
      </c>
      <c r="Z18">
        <f>IF(ISNA(VLOOKUP($A18&amp;Z$1,'For stats end Y DB'!$A:$G,5,0)),0,VLOOKUP($A18&amp;Z$1,'For stats end Y DB'!$A:$G,5,0))</f>
        <v>12</v>
      </c>
      <c r="AA18">
        <f>IF(ISNA(VLOOKUP($A18&amp;AA$1,'For stats end Y DB'!$A:$G,5,0)),0,VLOOKUP($A18&amp;AA$1,'For stats end Y DB'!$A:$G,5,0))</f>
        <v>8</v>
      </c>
      <c r="AB18">
        <f>IF(ISNA(VLOOKUP($A18&amp;AB$1,'For stats end Y DB'!$A:$G,5,0)),0,VLOOKUP($A18&amp;AB$1,'For stats end Y DB'!$A:$G,5,0))</f>
        <v>1</v>
      </c>
      <c r="AC18">
        <f>IF(ISNA(VLOOKUP($A18&amp;AC$1,'For stats end Y DB'!$A:$G,5,0)),0,VLOOKUP($A18&amp;AC$1,'For stats end Y DB'!$A:$G,5,0))</f>
        <v>1</v>
      </c>
      <c r="AD18">
        <f>IF(ISNA(VLOOKUP($A18&amp;AD$1,'For stats end Y DB'!$A:$G,5,0)),0,VLOOKUP($A18&amp;AD$1,'For stats end Y DB'!$A:$G,5,0))</f>
        <v>0</v>
      </c>
      <c r="AE18">
        <f>IF(ISNA(VLOOKUP($A18&amp;AE$1,'For stats end Y DB'!$A:$G,5,0)),0,VLOOKUP($A18&amp;AE$1,'For stats end Y DB'!$A:$G,5,0))</f>
        <v>0</v>
      </c>
      <c r="AF18">
        <f>IF(ISNA(VLOOKUP($A18&amp;AF$1,'For stats end Y DB'!$A:$G,5,0)),0,VLOOKUP($A18&amp;AF$1,'For stats end Y DB'!$A:$G,5,0))</f>
        <v>2</v>
      </c>
      <c r="AG18">
        <f>IF(ISNA(VLOOKUP($A18&amp;AG$1,'For stats end Y DB'!$A:$G,5,0)),0,VLOOKUP($A18&amp;AG$1,'For stats end Y DB'!$A:$G,5,0))</f>
        <v>12</v>
      </c>
      <c r="AH18">
        <f>IF(ISNA(VLOOKUP($A18&amp;AH$1,'For stats end Y DB'!$A:$G,5,0)),0,VLOOKUP($A18&amp;AH$1,'For stats end Y DB'!$A:$G,5,0))</f>
        <v>12</v>
      </c>
      <c r="AI18">
        <f>IF(ISNA(VLOOKUP($A18&amp;AI$1,'For stats end Y DB'!$A:$G,5,0)),0,VLOOKUP($A18&amp;AI$1,'For stats end Y DB'!$A:$G,5,0))</f>
        <v>0</v>
      </c>
      <c r="AJ18">
        <f>IF(ISNA(VLOOKUP($A18&amp;AJ$1,'For stats end Y DB'!$A:$G,5,0)),0,VLOOKUP($A18&amp;AJ$1,'For stats end Y DB'!$A:$G,5,0))</f>
        <v>0</v>
      </c>
      <c r="AK18">
        <f>IF(ISNA(VLOOKUP($A18&amp;AK$1,'For stats end Y DB'!$A:$G,5,0)),0,VLOOKUP($A18&amp;AK$1,'For stats end Y DB'!$A:$G,5,0))</f>
        <v>0</v>
      </c>
      <c r="AL18">
        <f>IF(ISNA(VLOOKUP($A18&amp;AL$1,'For stats end Y DB'!$A:$G,5,0)),0,VLOOKUP($A18&amp;AL$1,'For stats end Y DB'!$A:$G,5,0))</f>
        <v>0</v>
      </c>
      <c r="AM18">
        <f>IF(ISNA(VLOOKUP($A18&amp;AM$1,'For stats end Y DB'!$A:$G,5,0)),0,VLOOKUP($A18&amp;AM$1,'For stats end Y DB'!$A:$G,5,0))</f>
        <v>0</v>
      </c>
      <c r="AN18">
        <f>IF(ISNA(VLOOKUP($A18&amp;AN$1,'For stats end Y DB'!$A:$G,5,0)),0,VLOOKUP($A18&amp;AN$1,'For stats end Y DB'!$A:$G,5,0))</f>
        <v>0</v>
      </c>
    </row>
    <row r="19" spans="1:40" x14ac:dyDescent="0.2">
      <c r="A19" t="str">
        <f>'For stats end Y class'!A19</f>
        <v>Delgres</v>
      </c>
      <c r="B19">
        <f>IF(ISNA(VLOOKUP($A19&amp;B$1,'For stats end Y DB'!$A:$G,5,0)),0,VLOOKUP($A19&amp;B$1,'For stats end Y DB'!$A:$G,5,0))</f>
        <v>0</v>
      </c>
      <c r="C19">
        <f>IF(ISNA(VLOOKUP($A19&amp;C$1,'For stats end Y DB'!$A:$G,5,0)),0,VLOOKUP($A19&amp;C$1,'For stats end Y DB'!$A:$G,5,0))</f>
        <v>0</v>
      </c>
      <c r="D19">
        <f>IF(ISNA(VLOOKUP($A19&amp;D$1,'For stats end Y DB'!$A:$G,5,0)),0,VLOOKUP($A19&amp;D$1,'For stats end Y DB'!$A:$G,5,0))</f>
        <v>0</v>
      </c>
      <c r="E19">
        <f>IF(ISNA(VLOOKUP($A19&amp;E$1,'For stats end Y DB'!$A:$G,5,0)),0,VLOOKUP($A19&amp;E$1,'For stats end Y DB'!$A:$G,5,0))</f>
        <v>13</v>
      </c>
      <c r="F19">
        <f>IF(ISNA(VLOOKUP($A19&amp;F$1,'For stats end Y DB'!$A:$G,5,0)),0,VLOOKUP($A19&amp;F$1,'For stats end Y DB'!$A:$G,5,0))</f>
        <v>9</v>
      </c>
      <c r="G19">
        <f>IF(ISNA(VLOOKUP($A19&amp;G$1,'For stats end Y DB'!$A:$G,5,0)),0,VLOOKUP($A19&amp;G$1,'For stats end Y DB'!$A:$G,5,0))</f>
        <v>1</v>
      </c>
      <c r="H19">
        <f>IF(ISNA(VLOOKUP($A19&amp;H$1,'For stats end Y DB'!$A:$G,5,0)),0,VLOOKUP($A19&amp;H$1,'For stats end Y DB'!$A:$G,5,0))</f>
        <v>1</v>
      </c>
      <c r="I19">
        <f>IF(ISNA(VLOOKUP($A19&amp;I$1,'For stats end Y DB'!$A:$G,5,0)),0,VLOOKUP($A19&amp;I$1,'For stats end Y DB'!$A:$G,5,0))</f>
        <v>8</v>
      </c>
      <c r="J19">
        <f>IF(ISNA(VLOOKUP($A19&amp;J$1,'For stats end Y DB'!$A:$G,5,0)),0,VLOOKUP($A19&amp;J$1,'For stats end Y DB'!$A:$G,5,0))</f>
        <v>4</v>
      </c>
      <c r="K19">
        <f>IF(ISNA(VLOOKUP($A19&amp;K$1,'For stats end Y DB'!$A:$G,5,0)),0,VLOOKUP($A19&amp;K$1,'For stats end Y DB'!$A:$G,5,0))</f>
        <v>8</v>
      </c>
      <c r="L19">
        <f>IF(ISNA(VLOOKUP($A19&amp;L$1,'For stats end Y DB'!$A:$G,5,0)),0,VLOOKUP($A19&amp;L$1,'For stats end Y DB'!$A:$G,5,0))</f>
        <v>16</v>
      </c>
      <c r="M19">
        <f>IF(ISNA(VLOOKUP($A19&amp;M$1,'For stats end Y DB'!$A:$G,5,0)),0,VLOOKUP($A19&amp;M$1,'For stats end Y DB'!$A:$G,5,0))</f>
        <v>2</v>
      </c>
      <c r="N19">
        <f>IF(ISNA(VLOOKUP($A19&amp;N$1,'For stats end Y DB'!$A:$G,5,0)),0,VLOOKUP($A19&amp;N$1,'For stats end Y DB'!$A:$G,5,0))</f>
        <v>9</v>
      </c>
      <c r="O19">
        <f>IF(ISNA(VLOOKUP($A19&amp;O$1,'For stats end Y DB'!$A:$G,5,0)),0,VLOOKUP($A19&amp;O$1,'For stats end Y DB'!$A:$G,5,0))</f>
        <v>0</v>
      </c>
      <c r="P19">
        <f>IF(ISNA(VLOOKUP($A19&amp;P$1,'For stats end Y DB'!$A:$G,5,0)),0,VLOOKUP($A19&amp;P$1,'For stats end Y DB'!$A:$G,5,0))</f>
        <v>9</v>
      </c>
      <c r="Q19">
        <f>IF(ISNA(VLOOKUP($A19&amp;Q$1,'For stats end Y DB'!$A:$G,5,0)),0,VLOOKUP($A19&amp;Q$1,'For stats end Y DB'!$A:$G,5,0))</f>
        <v>0</v>
      </c>
      <c r="R19">
        <f>IF(ISNA(VLOOKUP($A19&amp;R$1,'For stats end Y DB'!$A:$G,5,0)),0,VLOOKUP($A19&amp;R$1,'For stats end Y DB'!$A:$G,5,0))</f>
        <v>9</v>
      </c>
      <c r="S19">
        <f>IF(ISNA(VLOOKUP($A19&amp;S$1,'For stats end Y DB'!$A:$G,5,0)),0,VLOOKUP($A19&amp;S$1,'For stats end Y DB'!$A:$G,5,0))</f>
        <v>3</v>
      </c>
      <c r="T19">
        <f>IF(ISNA(VLOOKUP($A19&amp;T$1,'For stats end Y DB'!$A:$G,5,0)),0,VLOOKUP($A19&amp;T$1,'For stats end Y DB'!$A:$G,5,0))</f>
        <v>1</v>
      </c>
      <c r="U19">
        <f>IF(ISNA(VLOOKUP($A19&amp;U$1,'For stats end Y DB'!$A:$G,5,0)),0,VLOOKUP($A19&amp;U$1,'For stats end Y DB'!$A:$G,5,0))</f>
        <v>12</v>
      </c>
      <c r="V19">
        <f>IF(ISNA(VLOOKUP($A19&amp;V$1,'For stats end Y DB'!$A:$G,5,0)),0,VLOOKUP($A19&amp;V$1,'For stats end Y DB'!$A:$G,5,0))</f>
        <v>4</v>
      </c>
      <c r="W19">
        <f>IF(ISNA(VLOOKUP($A19&amp;W$1,'For stats end Y DB'!$A:$G,5,0)),0,VLOOKUP($A19&amp;W$1,'For stats end Y DB'!$A:$G,5,0))</f>
        <v>0</v>
      </c>
      <c r="X19">
        <f>IF(ISNA(VLOOKUP($A19&amp;X$1,'For stats end Y DB'!$A:$G,5,0)),0,VLOOKUP($A19&amp;X$1,'For stats end Y DB'!$A:$G,5,0))</f>
        <v>2</v>
      </c>
      <c r="Y19">
        <f>IF(ISNA(VLOOKUP($A19&amp;Y$1,'For stats end Y DB'!$A:$G,5,0)),0,VLOOKUP($A19&amp;Y$1,'For stats end Y DB'!$A:$G,5,0))</f>
        <v>2</v>
      </c>
      <c r="Z19">
        <f>IF(ISNA(VLOOKUP($A19&amp;Z$1,'For stats end Y DB'!$A:$G,5,0)),0,VLOOKUP($A19&amp;Z$1,'For stats end Y DB'!$A:$G,5,0))</f>
        <v>3</v>
      </c>
      <c r="AA19">
        <f>IF(ISNA(VLOOKUP($A19&amp;AA$1,'For stats end Y DB'!$A:$G,5,0)),0,VLOOKUP($A19&amp;AA$1,'For stats end Y DB'!$A:$G,5,0))</f>
        <v>1</v>
      </c>
      <c r="AB19">
        <f>IF(ISNA(VLOOKUP($A19&amp;AB$1,'For stats end Y DB'!$A:$G,5,0)),0,VLOOKUP($A19&amp;AB$1,'For stats end Y DB'!$A:$G,5,0))</f>
        <v>1</v>
      </c>
      <c r="AC19">
        <f>IF(ISNA(VLOOKUP($A19&amp;AC$1,'For stats end Y DB'!$A:$G,5,0)),0,VLOOKUP($A19&amp;AC$1,'For stats end Y DB'!$A:$G,5,0))</f>
        <v>8</v>
      </c>
      <c r="AD19">
        <f>IF(ISNA(VLOOKUP($A19&amp;AD$1,'For stats end Y DB'!$A:$G,5,0)),0,VLOOKUP($A19&amp;AD$1,'For stats end Y DB'!$A:$G,5,0))</f>
        <v>0</v>
      </c>
      <c r="AE19">
        <f>IF(ISNA(VLOOKUP($A19&amp;AE$1,'For stats end Y DB'!$A:$G,5,0)),0,VLOOKUP($A19&amp;AE$1,'For stats end Y DB'!$A:$G,5,0))</f>
        <v>12</v>
      </c>
      <c r="AF19">
        <f>IF(ISNA(VLOOKUP($A19&amp;AF$1,'For stats end Y DB'!$A:$G,5,0)),0,VLOOKUP($A19&amp;AF$1,'For stats end Y DB'!$A:$G,5,0))</f>
        <v>1</v>
      </c>
      <c r="AG19">
        <f>IF(ISNA(VLOOKUP($A19&amp;AG$1,'For stats end Y DB'!$A:$G,5,0)),0,VLOOKUP($A19&amp;AG$1,'For stats end Y DB'!$A:$G,5,0))</f>
        <v>8</v>
      </c>
      <c r="AH19">
        <f>IF(ISNA(VLOOKUP($A19&amp;AH$1,'For stats end Y DB'!$A:$G,5,0)),0,VLOOKUP($A19&amp;AH$1,'For stats end Y DB'!$A:$G,5,0))</f>
        <v>12</v>
      </c>
      <c r="AI19">
        <f>IF(ISNA(VLOOKUP($A19&amp;AI$1,'For stats end Y DB'!$A:$G,5,0)),0,VLOOKUP($A19&amp;AI$1,'For stats end Y DB'!$A:$G,5,0))</f>
        <v>0</v>
      </c>
      <c r="AJ19">
        <f>IF(ISNA(VLOOKUP($A19&amp;AJ$1,'For stats end Y DB'!$A:$G,5,0)),0,VLOOKUP($A19&amp;AJ$1,'For stats end Y DB'!$A:$G,5,0))</f>
        <v>0</v>
      </c>
      <c r="AK19">
        <f>IF(ISNA(VLOOKUP($A19&amp;AK$1,'For stats end Y DB'!$A:$G,5,0)),0,VLOOKUP($A19&amp;AK$1,'For stats end Y DB'!$A:$G,5,0))</f>
        <v>0</v>
      </c>
      <c r="AL19">
        <f>IF(ISNA(VLOOKUP($A19&amp;AL$1,'For stats end Y DB'!$A:$G,5,0)),0,VLOOKUP($A19&amp;AL$1,'For stats end Y DB'!$A:$G,5,0))</f>
        <v>0</v>
      </c>
      <c r="AM19">
        <f>IF(ISNA(VLOOKUP($A19&amp;AM$1,'For stats end Y DB'!$A:$G,5,0)),0,VLOOKUP($A19&amp;AM$1,'For stats end Y DB'!$A:$G,5,0))</f>
        <v>0</v>
      </c>
      <c r="AN19">
        <f>IF(ISNA(VLOOKUP($A19&amp;AN$1,'For stats end Y DB'!$A:$G,5,0)),0,VLOOKUP($A19&amp;AN$1,'For stats end Y DB'!$A:$G,5,0))</f>
        <v>0</v>
      </c>
    </row>
    <row r="20" spans="1:40" x14ac:dyDescent="0.2">
      <c r="A20" t="str">
        <f>'For stats end Y class'!A20</f>
        <v>DernierPli</v>
      </c>
      <c r="B20">
        <f>IF(ISNA(VLOOKUP($A20&amp;B$1,'For stats end Y DB'!$A:$G,5,0)),0,VLOOKUP($A20&amp;B$1,'For stats end Y DB'!$A:$G,5,0))</f>
        <v>12</v>
      </c>
      <c r="C20">
        <f>IF(ISNA(VLOOKUP($A20&amp;C$1,'For stats end Y DB'!$A:$G,5,0)),0,VLOOKUP($A20&amp;C$1,'For stats end Y DB'!$A:$G,5,0))</f>
        <v>4</v>
      </c>
      <c r="D20">
        <f>IF(ISNA(VLOOKUP($A20&amp;D$1,'For stats end Y DB'!$A:$G,5,0)),0,VLOOKUP($A20&amp;D$1,'For stats end Y DB'!$A:$G,5,0))</f>
        <v>13</v>
      </c>
      <c r="E20">
        <f>IF(ISNA(VLOOKUP($A20&amp;E$1,'For stats end Y DB'!$A:$G,5,0)),0,VLOOKUP($A20&amp;E$1,'For stats end Y DB'!$A:$G,5,0))</f>
        <v>17</v>
      </c>
      <c r="F20">
        <f>IF(ISNA(VLOOKUP($A20&amp;F$1,'For stats end Y DB'!$A:$G,5,0)),0,VLOOKUP($A20&amp;F$1,'For stats end Y DB'!$A:$G,5,0))</f>
        <v>0</v>
      </c>
      <c r="G20">
        <f>IF(ISNA(VLOOKUP($A20&amp;G$1,'For stats end Y DB'!$A:$G,5,0)),0,VLOOKUP($A20&amp;G$1,'For stats end Y DB'!$A:$G,5,0))</f>
        <v>3</v>
      </c>
      <c r="H20">
        <f>IF(ISNA(VLOOKUP($A20&amp;H$1,'For stats end Y DB'!$A:$G,5,0)),0,VLOOKUP($A20&amp;H$1,'For stats end Y DB'!$A:$G,5,0))</f>
        <v>16</v>
      </c>
      <c r="I20">
        <f>IF(ISNA(VLOOKUP($A20&amp;I$1,'For stats end Y DB'!$A:$G,5,0)),0,VLOOKUP($A20&amp;I$1,'For stats end Y DB'!$A:$G,5,0))</f>
        <v>3</v>
      </c>
      <c r="J20">
        <f>IF(ISNA(VLOOKUP($A20&amp;J$1,'For stats end Y DB'!$A:$G,5,0)),0,VLOOKUP($A20&amp;J$1,'For stats end Y DB'!$A:$G,5,0))</f>
        <v>12</v>
      </c>
      <c r="K20">
        <f>IF(ISNA(VLOOKUP($A20&amp;K$1,'For stats end Y DB'!$A:$G,5,0)),0,VLOOKUP($A20&amp;K$1,'For stats end Y DB'!$A:$G,5,0))</f>
        <v>3</v>
      </c>
      <c r="L20">
        <f>IF(ISNA(VLOOKUP($A20&amp;L$1,'For stats end Y DB'!$A:$G,5,0)),0,VLOOKUP($A20&amp;L$1,'For stats end Y DB'!$A:$G,5,0))</f>
        <v>8</v>
      </c>
      <c r="M20">
        <f>IF(ISNA(VLOOKUP($A20&amp;M$1,'For stats end Y DB'!$A:$G,5,0)),0,VLOOKUP($A20&amp;M$1,'For stats end Y DB'!$A:$G,5,0))</f>
        <v>16</v>
      </c>
      <c r="N20">
        <f>IF(ISNA(VLOOKUP($A20&amp;N$1,'For stats end Y DB'!$A:$G,5,0)),0,VLOOKUP($A20&amp;N$1,'For stats end Y DB'!$A:$G,5,0))</f>
        <v>0</v>
      </c>
      <c r="O20">
        <f>IF(ISNA(VLOOKUP($A20&amp;O$1,'For stats end Y DB'!$A:$G,5,0)),0,VLOOKUP($A20&amp;O$1,'For stats end Y DB'!$A:$G,5,0))</f>
        <v>5</v>
      </c>
      <c r="P20">
        <f>IF(ISNA(VLOOKUP($A20&amp;P$1,'For stats end Y DB'!$A:$G,5,0)),0,VLOOKUP($A20&amp;P$1,'For stats end Y DB'!$A:$G,5,0))</f>
        <v>8</v>
      </c>
      <c r="Q20">
        <f>IF(ISNA(VLOOKUP($A20&amp;Q$1,'For stats end Y DB'!$A:$G,5,0)),0,VLOOKUP($A20&amp;Q$1,'For stats end Y DB'!$A:$G,5,0))</f>
        <v>9</v>
      </c>
      <c r="R20">
        <f>IF(ISNA(VLOOKUP($A20&amp;R$1,'For stats end Y DB'!$A:$G,5,0)),0,VLOOKUP($A20&amp;R$1,'For stats end Y DB'!$A:$G,5,0))</f>
        <v>13</v>
      </c>
      <c r="S20">
        <f>IF(ISNA(VLOOKUP($A20&amp;S$1,'For stats end Y DB'!$A:$G,5,0)),0,VLOOKUP($A20&amp;S$1,'For stats end Y DB'!$A:$G,5,0))</f>
        <v>5</v>
      </c>
      <c r="T20">
        <f>IF(ISNA(VLOOKUP($A20&amp;T$1,'For stats end Y DB'!$A:$G,5,0)),0,VLOOKUP($A20&amp;T$1,'For stats end Y DB'!$A:$G,5,0))</f>
        <v>2</v>
      </c>
      <c r="U20">
        <f>IF(ISNA(VLOOKUP($A20&amp;U$1,'For stats end Y DB'!$A:$G,5,0)),0,VLOOKUP($A20&amp;U$1,'For stats end Y DB'!$A:$G,5,0))</f>
        <v>0</v>
      </c>
      <c r="V20">
        <f>IF(ISNA(VLOOKUP($A20&amp;V$1,'For stats end Y DB'!$A:$G,5,0)),0,VLOOKUP($A20&amp;V$1,'For stats end Y DB'!$A:$G,5,0))</f>
        <v>0</v>
      </c>
      <c r="W20">
        <f>IF(ISNA(VLOOKUP($A20&amp;W$1,'For stats end Y DB'!$A:$G,5,0)),0,VLOOKUP($A20&amp;W$1,'For stats end Y DB'!$A:$G,5,0))</f>
        <v>17</v>
      </c>
      <c r="X20">
        <f>IF(ISNA(VLOOKUP($A20&amp;X$1,'For stats end Y DB'!$A:$G,5,0)),0,VLOOKUP($A20&amp;X$1,'For stats end Y DB'!$A:$G,5,0))</f>
        <v>17</v>
      </c>
      <c r="Y20">
        <f>IF(ISNA(VLOOKUP($A20&amp;Y$1,'For stats end Y DB'!$A:$G,5,0)),0,VLOOKUP($A20&amp;Y$1,'For stats end Y DB'!$A:$G,5,0))</f>
        <v>9</v>
      </c>
      <c r="Z20">
        <f>IF(ISNA(VLOOKUP($A20&amp;Z$1,'For stats end Y DB'!$A:$G,5,0)),0,VLOOKUP($A20&amp;Z$1,'For stats end Y DB'!$A:$G,5,0))</f>
        <v>5</v>
      </c>
      <c r="AA20">
        <f>IF(ISNA(VLOOKUP($A20&amp;AA$1,'For stats end Y DB'!$A:$G,5,0)),0,VLOOKUP($A20&amp;AA$1,'For stats end Y DB'!$A:$G,5,0))</f>
        <v>12</v>
      </c>
      <c r="AB20">
        <f>IF(ISNA(VLOOKUP($A20&amp;AB$1,'For stats end Y DB'!$A:$G,5,0)),0,VLOOKUP($A20&amp;AB$1,'For stats end Y DB'!$A:$G,5,0))</f>
        <v>0</v>
      </c>
      <c r="AC20">
        <f>IF(ISNA(VLOOKUP($A20&amp;AC$1,'For stats end Y DB'!$A:$G,5,0)),0,VLOOKUP($A20&amp;AC$1,'For stats end Y DB'!$A:$G,5,0))</f>
        <v>2</v>
      </c>
      <c r="AD20">
        <f>IF(ISNA(VLOOKUP($A20&amp;AD$1,'For stats end Y DB'!$A:$G,5,0)),0,VLOOKUP($A20&amp;AD$1,'For stats end Y DB'!$A:$G,5,0))</f>
        <v>16</v>
      </c>
      <c r="AE20">
        <f>IF(ISNA(VLOOKUP($A20&amp;AE$1,'For stats end Y DB'!$A:$G,5,0)),0,VLOOKUP($A20&amp;AE$1,'For stats end Y DB'!$A:$G,5,0))</f>
        <v>9</v>
      </c>
      <c r="AF20">
        <f>IF(ISNA(VLOOKUP($A20&amp;AF$1,'For stats end Y DB'!$A:$G,5,0)),0,VLOOKUP($A20&amp;AF$1,'For stats end Y DB'!$A:$G,5,0))</f>
        <v>12</v>
      </c>
      <c r="AG20">
        <f>IF(ISNA(VLOOKUP($A20&amp;AG$1,'For stats end Y DB'!$A:$G,5,0)),0,VLOOKUP($A20&amp;AG$1,'For stats end Y DB'!$A:$G,5,0))</f>
        <v>4</v>
      </c>
      <c r="AH20">
        <f>IF(ISNA(VLOOKUP($A20&amp;AH$1,'For stats end Y DB'!$A:$G,5,0)),0,VLOOKUP($A20&amp;AH$1,'For stats end Y DB'!$A:$G,5,0))</f>
        <v>8</v>
      </c>
      <c r="AI20">
        <f>IF(ISNA(VLOOKUP($A20&amp;AI$1,'For stats end Y DB'!$A:$G,5,0)),0,VLOOKUP($A20&amp;AI$1,'For stats end Y DB'!$A:$G,5,0))</f>
        <v>0</v>
      </c>
      <c r="AJ20">
        <f>IF(ISNA(VLOOKUP($A20&amp;AJ$1,'For stats end Y DB'!$A:$G,5,0)),0,VLOOKUP($A20&amp;AJ$1,'For stats end Y DB'!$A:$G,5,0))</f>
        <v>0</v>
      </c>
      <c r="AK20">
        <f>IF(ISNA(VLOOKUP($A20&amp;AK$1,'For stats end Y DB'!$A:$G,5,0)),0,VLOOKUP($A20&amp;AK$1,'For stats end Y DB'!$A:$G,5,0))</f>
        <v>0</v>
      </c>
      <c r="AL20">
        <f>IF(ISNA(VLOOKUP($A20&amp;AL$1,'For stats end Y DB'!$A:$G,5,0)),0,VLOOKUP($A20&amp;AL$1,'For stats end Y DB'!$A:$G,5,0))</f>
        <v>0</v>
      </c>
      <c r="AM20">
        <f>IF(ISNA(VLOOKUP($A20&amp;AM$1,'For stats end Y DB'!$A:$G,5,0)),0,VLOOKUP($A20&amp;AM$1,'For stats end Y DB'!$A:$G,5,0))</f>
        <v>0</v>
      </c>
      <c r="AN20">
        <f>IF(ISNA(VLOOKUP($A20&amp;AN$1,'For stats end Y DB'!$A:$G,5,0)),0,VLOOKUP($A20&amp;AN$1,'For stats end Y DB'!$A:$G,5,0))</f>
        <v>0</v>
      </c>
    </row>
    <row r="21" spans="1:40" x14ac:dyDescent="0.2">
      <c r="A21" t="str">
        <f>'For stats end Y class'!A21</f>
        <v>Djecus</v>
      </c>
      <c r="B21">
        <f>IF(ISNA(VLOOKUP($A21&amp;B$1,'For stats end Y DB'!$A:$G,5,0)),0,VLOOKUP($A21&amp;B$1,'For stats end Y DB'!$A:$G,5,0))</f>
        <v>4</v>
      </c>
      <c r="C21">
        <f>IF(ISNA(VLOOKUP($A21&amp;C$1,'For stats end Y DB'!$A:$G,5,0)),0,VLOOKUP($A21&amp;C$1,'For stats end Y DB'!$A:$G,5,0))</f>
        <v>1</v>
      </c>
      <c r="D21">
        <f>IF(ISNA(VLOOKUP($A21&amp;D$1,'For stats end Y DB'!$A:$G,5,0)),0,VLOOKUP($A21&amp;D$1,'For stats end Y DB'!$A:$G,5,0))</f>
        <v>9</v>
      </c>
      <c r="E21">
        <f>IF(ISNA(VLOOKUP($A21&amp;E$1,'For stats end Y DB'!$A:$G,5,0)),0,VLOOKUP($A21&amp;E$1,'For stats end Y DB'!$A:$G,5,0))</f>
        <v>17</v>
      </c>
      <c r="F21">
        <f>IF(ISNA(VLOOKUP($A21&amp;F$1,'For stats end Y DB'!$A:$G,5,0)),0,VLOOKUP($A21&amp;F$1,'For stats end Y DB'!$A:$G,5,0))</f>
        <v>13</v>
      </c>
      <c r="G21">
        <f>IF(ISNA(VLOOKUP($A21&amp;G$1,'For stats end Y DB'!$A:$G,5,0)),0,VLOOKUP($A21&amp;G$1,'For stats end Y DB'!$A:$G,5,0))</f>
        <v>8</v>
      </c>
      <c r="H21">
        <f>IF(ISNA(VLOOKUP($A21&amp;H$1,'For stats end Y DB'!$A:$G,5,0)),0,VLOOKUP($A21&amp;H$1,'For stats end Y DB'!$A:$G,5,0))</f>
        <v>0</v>
      </c>
      <c r="I21">
        <f>IF(ISNA(VLOOKUP($A21&amp;I$1,'For stats end Y DB'!$A:$G,5,0)),0,VLOOKUP($A21&amp;I$1,'For stats end Y DB'!$A:$G,5,0))</f>
        <v>0</v>
      </c>
      <c r="J21">
        <f>IF(ISNA(VLOOKUP($A21&amp;J$1,'For stats end Y DB'!$A:$G,5,0)),0,VLOOKUP($A21&amp;J$1,'For stats end Y DB'!$A:$G,5,0))</f>
        <v>4</v>
      </c>
      <c r="K21">
        <f>IF(ISNA(VLOOKUP($A21&amp;K$1,'For stats end Y DB'!$A:$G,5,0)),0,VLOOKUP($A21&amp;K$1,'For stats end Y DB'!$A:$G,5,0))</f>
        <v>7</v>
      </c>
      <c r="L21">
        <f>IF(ISNA(VLOOKUP($A21&amp;L$1,'For stats end Y DB'!$A:$G,5,0)),0,VLOOKUP($A21&amp;L$1,'For stats end Y DB'!$A:$G,5,0))</f>
        <v>3</v>
      </c>
      <c r="M21">
        <f>IF(ISNA(VLOOKUP($A21&amp;M$1,'For stats end Y DB'!$A:$G,5,0)),0,VLOOKUP($A21&amp;M$1,'For stats end Y DB'!$A:$G,5,0))</f>
        <v>1</v>
      </c>
      <c r="N21">
        <f>IF(ISNA(VLOOKUP($A21&amp;N$1,'For stats end Y DB'!$A:$G,5,0)),0,VLOOKUP($A21&amp;N$1,'For stats end Y DB'!$A:$G,5,0))</f>
        <v>5</v>
      </c>
      <c r="O21">
        <f>IF(ISNA(VLOOKUP($A21&amp;O$1,'For stats end Y DB'!$A:$G,5,0)),0,VLOOKUP($A21&amp;O$1,'For stats end Y DB'!$A:$G,5,0))</f>
        <v>13</v>
      </c>
      <c r="P21">
        <f>IF(ISNA(VLOOKUP($A21&amp;P$1,'For stats end Y DB'!$A:$G,5,0)),0,VLOOKUP($A21&amp;P$1,'For stats end Y DB'!$A:$G,5,0))</f>
        <v>16</v>
      </c>
      <c r="Q21">
        <f>IF(ISNA(VLOOKUP($A21&amp;Q$1,'For stats end Y DB'!$A:$G,5,0)),0,VLOOKUP($A21&amp;Q$1,'For stats end Y DB'!$A:$G,5,0))</f>
        <v>17</v>
      </c>
      <c r="R21">
        <f>IF(ISNA(VLOOKUP($A21&amp;R$1,'For stats end Y DB'!$A:$G,5,0)),0,VLOOKUP($A21&amp;R$1,'For stats end Y DB'!$A:$G,5,0))</f>
        <v>9</v>
      </c>
      <c r="S21">
        <f>IF(ISNA(VLOOKUP($A21&amp;S$1,'For stats end Y DB'!$A:$G,5,0)),0,VLOOKUP($A21&amp;S$1,'For stats end Y DB'!$A:$G,5,0))</f>
        <v>5</v>
      </c>
      <c r="T21">
        <f>IF(ISNA(VLOOKUP($A21&amp;T$1,'For stats end Y DB'!$A:$G,5,0)),0,VLOOKUP($A21&amp;T$1,'For stats end Y DB'!$A:$G,5,0))</f>
        <v>12</v>
      </c>
      <c r="U21">
        <f>IF(ISNA(VLOOKUP($A21&amp;U$1,'For stats end Y DB'!$A:$G,5,0)),0,VLOOKUP($A21&amp;U$1,'For stats end Y DB'!$A:$G,5,0))</f>
        <v>0</v>
      </c>
      <c r="V21">
        <f>IF(ISNA(VLOOKUP($A21&amp;V$1,'For stats end Y DB'!$A:$G,5,0)),0,VLOOKUP($A21&amp;V$1,'For stats end Y DB'!$A:$G,5,0))</f>
        <v>17</v>
      </c>
      <c r="W21">
        <f>IF(ISNA(VLOOKUP($A21&amp;W$1,'For stats end Y DB'!$A:$G,5,0)),0,VLOOKUP($A21&amp;W$1,'For stats end Y DB'!$A:$G,5,0))</f>
        <v>5</v>
      </c>
      <c r="X21">
        <f>IF(ISNA(VLOOKUP($A21&amp;X$1,'For stats end Y DB'!$A:$G,5,0)),0,VLOOKUP($A21&amp;X$1,'For stats end Y DB'!$A:$G,5,0))</f>
        <v>9</v>
      </c>
      <c r="Y21">
        <f>IF(ISNA(VLOOKUP($A21&amp;Y$1,'For stats end Y DB'!$A:$G,5,0)),0,VLOOKUP($A21&amp;Y$1,'For stats end Y DB'!$A:$G,5,0))</f>
        <v>0</v>
      </c>
      <c r="Z21">
        <f>IF(ISNA(VLOOKUP($A21&amp;Z$1,'For stats end Y DB'!$A:$G,5,0)),0,VLOOKUP($A21&amp;Z$1,'For stats end Y DB'!$A:$G,5,0))</f>
        <v>12</v>
      </c>
      <c r="AA21">
        <f>IF(ISNA(VLOOKUP($A21&amp;AA$1,'For stats end Y DB'!$A:$G,5,0)),0,VLOOKUP($A21&amp;AA$1,'For stats end Y DB'!$A:$G,5,0))</f>
        <v>8</v>
      </c>
      <c r="AB21">
        <f>IF(ISNA(VLOOKUP($A21&amp;AB$1,'For stats end Y DB'!$A:$G,5,0)),0,VLOOKUP($A21&amp;AB$1,'For stats end Y DB'!$A:$G,5,0))</f>
        <v>12</v>
      </c>
      <c r="AC21">
        <f>IF(ISNA(VLOOKUP($A21&amp;AC$1,'For stats end Y DB'!$A:$G,5,0)),0,VLOOKUP($A21&amp;AC$1,'For stats end Y DB'!$A:$G,5,0))</f>
        <v>16</v>
      </c>
      <c r="AD21">
        <f>IF(ISNA(VLOOKUP($A21&amp;AD$1,'For stats end Y DB'!$A:$G,5,0)),0,VLOOKUP($A21&amp;AD$1,'For stats end Y DB'!$A:$G,5,0))</f>
        <v>0</v>
      </c>
      <c r="AE21">
        <f>IF(ISNA(VLOOKUP($A21&amp;AE$1,'For stats end Y DB'!$A:$G,5,0)),0,VLOOKUP($A21&amp;AE$1,'For stats end Y DB'!$A:$G,5,0))</f>
        <v>0</v>
      </c>
      <c r="AF21">
        <f>IF(ISNA(VLOOKUP($A21&amp;AF$1,'For stats end Y DB'!$A:$G,5,0)),0,VLOOKUP($A21&amp;AF$1,'For stats end Y DB'!$A:$G,5,0))</f>
        <v>9</v>
      </c>
      <c r="AG21">
        <f>IF(ISNA(VLOOKUP($A21&amp;AG$1,'For stats end Y DB'!$A:$G,5,0)),0,VLOOKUP($A21&amp;AG$1,'For stats end Y DB'!$A:$G,5,0))</f>
        <v>0</v>
      </c>
      <c r="AH21">
        <f>IF(ISNA(VLOOKUP($A21&amp;AH$1,'For stats end Y DB'!$A:$G,5,0)),0,VLOOKUP($A21&amp;AH$1,'For stats end Y DB'!$A:$G,5,0))</f>
        <v>4</v>
      </c>
      <c r="AI21">
        <f>IF(ISNA(VLOOKUP($A21&amp;AI$1,'For stats end Y DB'!$A:$G,5,0)),0,VLOOKUP($A21&amp;AI$1,'For stats end Y DB'!$A:$G,5,0))</f>
        <v>0</v>
      </c>
      <c r="AJ21">
        <f>IF(ISNA(VLOOKUP($A21&amp;AJ$1,'For stats end Y DB'!$A:$G,5,0)),0,VLOOKUP($A21&amp;AJ$1,'For stats end Y DB'!$A:$G,5,0))</f>
        <v>0</v>
      </c>
      <c r="AK21">
        <f>IF(ISNA(VLOOKUP($A21&amp;AK$1,'For stats end Y DB'!$A:$G,5,0)),0,VLOOKUP($A21&amp;AK$1,'For stats end Y DB'!$A:$G,5,0))</f>
        <v>0</v>
      </c>
      <c r="AL21">
        <f>IF(ISNA(VLOOKUP($A21&amp;AL$1,'For stats end Y DB'!$A:$G,5,0)),0,VLOOKUP($A21&amp;AL$1,'For stats end Y DB'!$A:$G,5,0))</f>
        <v>0</v>
      </c>
      <c r="AM21">
        <f>IF(ISNA(VLOOKUP($A21&amp;AM$1,'For stats end Y DB'!$A:$G,5,0)),0,VLOOKUP($A21&amp;AM$1,'For stats end Y DB'!$A:$G,5,0))</f>
        <v>0</v>
      </c>
      <c r="AN21">
        <f>IF(ISNA(VLOOKUP($A21&amp;AN$1,'For stats end Y DB'!$A:$G,5,0)),0,VLOOKUP($A21&amp;AN$1,'For stats end Y DB'!$A:$G,5,0))</f>
        <v>0</v>
      </c>
    </row>
    <row r="22" spans="1:40" x14ac:dyDescent="0.2">
      <c r="A22" t="str">
        <f>'For stats end Y class'!A22</f>
        <v>djip92</v>
      </c>
      <c r="B22">
        <f>IF(ISNA(VLOOKUP($A22&amp;B$1,'For stats end Y DB'!$A:$G,5,0)),0,VLOOKUP($A22&amp;B$1,'For stats end Y DB'!$A:$G,5,0))</f>
        <v>4</v>
      </c>
      <c r="C22">
        <f>IF(ISNA(VLOOKUP($A22&amp;C$1,'For stats end Y DB'!$A:$G,5,0)),0,VLOOKUP($A22&amp;C$1,'For stats end Y DB'!$A:$G,5,0))</f>
        <v>0</v>
      </c>
      <c r="D22">
        <f>IF(ISNA(VLOOKUP($A22&amp;D$1,'For stats end Y DB'!$A:$G,5,0)),0,VLOOKUP($A22&amp;D$1,'For stats end Y DB'!$A:$G,5,0))</f>
        <v>0</v>
      </c>
      <c r="E22">
        <f>IF(ISNA(VLOOKUP($A22&amp;E$1,'For stats end Y DB'!$A:$G,5,0)),0,VLOOKUP($A22&amp;E$1,'For stats end Y DB'!$A:$G,5,0))</f>
        <v>0</v>
      </c>
      <c r="F22">
        <f>IF(ISNA(VLOOKUP($A22&amp;F$1,'For stats end Y DB'!$A:$G,5,0)),0,VLOOKUP($A22&amp;F$1,'For stats end Y DB'!$A:$G,5,0))</f>
        <v>0</v>
      </c>
      <c r="G22">
        <f>IF(ISNA(VLOOKUP($A22&amp;G$1,'For stats end Y DB'!$A:$G,5,0)),0,VLOOKUP($A22&amp;G$1,'For stats end Y DB'!$A:$G,5,0))</f>
        <v>0</v>
      </c>
      <c r="H22">
        <f>IF(ISNA(VLOOKUP($A22&amp;H$1,'For stats end Y DB'!$A:$G,5,0)),0,VLOOKUP($A22&amp;H$1,'For stats end Y DB'!$A:$G,5,0))</f>
        <v>0</v>
      </c>
      <c r="I22">
        <f>IF(ISNA(VLOOKUP($A22&amp;I$1,'For stats end Y DB'!$A:$G,5,0)),0,VLOOKUP($A22&amp;I$1,'For stats end Y DB'!$A:$G,5,0))</f>
        <v>0</v>
      </c>
      <c r="J22">
        <f>IF(ISNA(VLOOKUP($A22&amp;J$1,'For stats end Y DB'!$A:$G,5,0)),0,VLOOKUP($A22&amp;J$1,'For stats end Y DB'!$A:$G,5,0))</f>
        <v>0</v>
      </c>
      <c r="K22">
        <f>IF(ISNA(VLOOKUP($A22&amp;K$1,'For stats end Y DB'!$A:$G,5,0)),0,VLOOKUP($A22&amp;K$1,'For stats end Y DB'!$A:$G,5,0))</f>
        <v>0</v>
      </c>
      <c r="L22">
        <f>IF(ISNA(VLOOKUP($A22&amp;L$1,'For stats end Y DB'!$A:$G,5,0)),0,VLOOKUP($A22&amp;L$1,'For stats end Y DB'!$A:$G,5,0))</f>
        <v>0</v>
      </c>
      <c r="M22">
        <f>IF(ISNA(VLOOKUP($A22&amp;M$1,'For stats end Y DB'!$A:$G,5,0)),0,VLOOKUP($A22&amp;M$1,'For stats end Y DB'!$A:$G,5,0))</f>
        <v>0</v>
      </c>
      <c r="N22">
        <f>IF(ISNA(VLOOKUP($A22&amp;N$1,'For stats end Y DB'!$A:$G,5,0)),0,VLOOKUP($A22&amp;N$1,'For stats end Y DB'!$A:$G,5,0))</f>
        <v>0</v>
      </c>
      <c r="O22">
        <f>IF(ISNA(VLOOKUP($A22&amp;O$1,'For stats end Y DB'!$A:$G,5,0)),0,VLOOKUP($A22&amp;O$1,'For stats end Y DB'!$A:$G,5,0))</f>
        <v>0</v>
      </c>
      <c r="P22">
        <f>IF(ISNA(VLOOKUP($A22&amp;P$1,'For stats end Y DB'!$A:$G,5,0)),0,VLOOKUP($A22&amp;P$1,'For stats end Y DB'!$A:$G,5,0))</f>
        <v>0</v>
      </c>
      <c r="Q22">
        <f>IF(ISNA(VLOOKUP($A22&amp;Q$1,'For stats end Y DB'!$A:$G,5,0)),0,VLOOKUP($A22&amp;Q$1,'For stats end Y DB'!$A:$G,5,0))</f>
        <v>0</v>
      </c>
      <c r="R22">
        <f>IF(ISNA(VLOOKUP($A22&amp;R$1,'For stats end Y DB'!$A:$G,5,0)),0,VLOOKUP($A22&amp;R$1,'For stats end Y DB'!$A:$G,5,0))</f>
        <v>0</v>
      </c>
      <c r="S22">
        <f>IF(ISNA(VLOOKUP($A22&amp;S$1,'For stats end Y DB'!$A:$G,5,0)),0,VLOOKUP($A22&amp;S$1,'For stats end Y DB'!$A:$G,5,0))</f>
        <v>0</v>
      </c>
      <c r="T22">
        <f>IF(ISNA(VLOOKUP($A22&amp;T$1,'For stats end Y DB'!$A:$G,5,0)),0,VLOOKUP($A22&amp;T$1,'For stats end Y DB'!$A:$G,5,0))</f>
        <v>0</v>
      </c>
      <c r="U22">
        <f>IF(ISNA(VLOOKUP($A22&amp;U$1,'For stats end Y DB'!$A:$G,5,0)),0,VLOOKUP($A22&amp;U$1,'For stats end Y DB'!$A:$G,5,0))</f>
        <v>0</v>
      </c>
      <c r="V22">
        <f>IF(ISNA(VLOOKUP($A22&amp;V$1,'For stats end Y DB'!$A:$G,5,0)),0,VLOOKUP($A22&amp;V$1,'For stats end Y DB'!$A:$G,5,0))</f>
        <v>0</v>
      </c>
      <c r="W22">
        <f>IF(ISNA(VLOOKUP($A22&amp;W$1,'For stats end Y DB'!$A:$G,5,0)),0,VLOOKUP($A22&amp;W$1,'For stats end Y DB'!$A:$G,5,0))</f>
        <v>0</v>
      </c>
      <c r="X22">
        <f>IF(ISNA(VLOOKUP($A22&amp;X$1,'For stats end Y DB'!$A:$G,5,0)),0,VLOOKUP($A22&amp;X$1,'For stats end Y DB'!$A:$G,5,0))</f>
        <v>0</v>
      </c>
      <c r="Y22">
        <f>IF(ISNA(VLOOKUP($A22&amp;Y$1,'For stats end Y DB'!$A:$G,5,0)),0,VLOOKUP($A22&amp;Y$1,'For stats end Y DB'!$A:$G,5,0))</f>
        <v>0</v>
      </c>
      <c r="Z22">
        <f>IF(ISNA(VLOOKUP($A22&amp;Z$1,'For stats end Y DB'!$A:$G,5,0)),0,VLOOKUP($A22&amp;Z$1,'For stats end Y DB'!$A:$G,5,0))</f>
        <v>0</v>
      </c>
      <c r="AA22">
        <f>IF(ISNA(VLOOKUP($A22&amp;AA$1,'For stats end Y DB'!$A:$G,5,0)),0,VLOOKUP($A22&amp;AA$1,'For stats end Y DB'!$A:$G,5,0))</f>
        <v>0</v>
      </c>
      <c r="AB22">
        <f>IF(ISNA(VLOOKUP($A22&amp;AB$1,'For stats end Y DB'!$A:$G,5,0)),0,VLOOKUP($A22&amp;AB$1,'For stats end Y DB'!$A:$G,5,0))</f>
        <v>0</v>
      </c>
      <c r="AC22">
        <f>IF(ISNA(VLOOKUP($A22&amp;AC$1,'For stats end Y DB'!$A:$G,5,0)),0,VLOOKUP($A22&amp;AC$1,'For stats end Y DB'!$A:$G,5,0))</f>
        <v>0</v>
      </c>
      <c r="AD22">
        <f>IF(ISNA(VLOOKUP($A22&amp;AD$1,'For stats end Y DB'!$A:$G,5,0)),0,VLOOKUP($A22&amp;AD$1,'For stats end Y DB'!$A:$G,5,0))</f>
        <v>0</v>
      </c>
      <c r="AE22">
        <f>IF(ISNA(VLOOKUP($A22&amp;AE$1,'For stats end Y DB'!$A:$G,5,0)),0,VLOOKUP($A22&amp;AE$1,'For stats end Y DB'!$A:$G,5,0))</f>
        <v>0</v>
      </c>
      <c r="AF22">
        <f>IF(ISNA(VLOOKUP($A22&amp;AF$1,'For stats end Y DB'!$A:$G,5,0)),0,VLOOKUP($A22&amp;AF$1,'For stats end Y DB'!$A:$G,5,0))</f>
        <v>0</v>
      </c>
      <c r="AG22">
        <f>IF(ISNA(VLOOKUP($A22&amp;AG$1,'For stats end Y DB'!$A:$G,5,0)),0,VLOOKUP($A22&amp;AG$1,'For stats end Y DB'!$A:$G,5,0))</f>
        <v>0</v>
      </c>
      <c r="AH22">
        <f>IF(ISNA(VLOOKUP($A22&amp;AH$1,'For stats end Y DB'!$A:$G,5,0)),0,VLOOKUP($A22&amp;AH$1,'For stats end Y DB'!$A:$G,5,0))</f>
        <v>0</v>
      </c>
      <c r="AI22">
        <f>IF(ISNA(VLOOKUP($A22&amp;AI$1,'For stats end Y DB'!$A:$G,5,0)),0,VLOOKUP($A22&amp;AI$1,'For stats end Y DB'!$A:$G,5,0))</f>
        <v>0</v>
      </c>
      <c r="AJ22">
        <f>IF(ISNA(VLOOKUP($A22&amp;AJ$1,'For stats end Y DB'!$A:$G,5,0)),0,VLOOKUP($A22&amp;AJ$1,'For stats end Y DB'!$A:$G,5,0))</f>
        <v>0</v>
      </c>
      <c r="AK22">
        <f>IF(ISNA(VLOOKUP($A22&amp;AK$1,'For stats end Y DB'!$A:$G,5,0)),0,VLOOKUP($A22&amp;AK$1,'For stats end Y DB'!$A:$G,5,0))</f>
        <v>0</v>
      </c>
      <c r="AL22">
        <f>IF(ISNA(VLOOKUP($A22&amp;AL$1,'For stats end Y DB'!$A:$G,5,0)),0,VLOOKUP($A22&amp;AL$1,'For stats end Y DB'!$A:$G,5,0))</f>
        <v>0</v>
      </c>
      <c r="AM22">
        <f>IF(ISNA(VLOOKUP($A22&amp;AM$1,'For stats end Y DB'!$A:$G,5,0)),0,VLOOKUP($A22&amp;AM$1,'For stats end Y DB'!$A:$G,5,0))</f>
        <v>0</v>
      </c>
      <c r="AN22">
        <f>IF(ISNA(VLOOKUP($A22&amp;AN$1,'For stats end Y DB'!$A:$G,5,0)),0,VLOOKUP($A22&amp;AN$1,'For stats end Y DB'!$A:$G,5,0))</f>
        <v>0</v>
      </c>
    </row>
    <row r="23" spans="1:40" x14ac:dyDescent="0.2">
      <c r="A23" t="str">
        <f>'For stats end Y class'!A23</f>
        <v>Empedocle</v>
      </c>
      <c r="B23">
        <f>IF(ISNA(VLOOKUP($A23&amp;B$1,'For stats end Y DB'!$A:$G,5,0)),0,VLOOKUP($A23&amp;B$1,'For stats end Y DB'!$A:$G,5,0))</f>
        <v>0</v>
      </c>
      <c r="C23">
        <f>IF(ISNA(VLOOKUP($A23&amp;C$1,'For stats end Y DB'!$A:$G,5,0)),0,VLOOKUP($A23&amp;C$1,'For stats end Y DB'!$A:$G,5,0))</f>
        <v>0</v>
      </c>
      <c r="D23">
        <f>IF(ISNA(VLOOKUP($A23&amp;D$1,'For stats end Y DB'!$A:$G,5,0)),0,VLOOKUP($A23&amp;D$1,'For stats end Y DB'!$A:$G,5,0))</f>
        <v>0</v>
      </c>
      <c r="E23">
        <f>IF(ISNA(VLOOKUP($A23&amp;E$1,'For stats end Y DB'!$A:$G,5,0)),0,VLOOKUP($A23&amp;E$1,'For stats end Y DB'!$A:$G,5,0))</f>
        <v>17</v>
      </c>
      <c r="F23">
        <f>IF(ISNA(VLOOKUP($A23&amp;F$1,'For stats end Y DB'!$A:$G,5,0)),0,VLOOKUP($A23&amp;F$1,'For stats end Y DB'!$A:$G,5,0))</f>
        <v>3</v>
      </c>
      <c r="G23">
        <f>IF(ISNA(VLOOKUP($A23&amp;G$1,'For stats end Y DB'!$A:$G,5,0)),0,VLOOKUP($A23&amp;G$1,'For stats end Y DB'!$A:$G,5,0))</f>
        <v>13</v>
      </c>
      <c r="H23">
        <f>IF(ISNA(VLOOKUP($A23&amp;H$1,'For stats end Y DB'!$A:$G,5,0)),0,VLOOKUP($A23&amp;H$1,'For stats end Y DB'!$A:$G,5,0))</f>
        <v>2</v>
      </c>
      <c r="I23">
        <f>IF(ISNA(VLOOKUP($A23&amp;I$1,'For stats end Y DB'!$A:$G,5,0)),0,VLOOKUP($A23&amp;I$1,'For stats end Y DB'!$A:$G,5,0))</f>
        <v>0</v>
      </c>
      <c r="J23">
        <f>IF(ISNA(VLOOKUP($A23&amp;J$1,'For stats end Y DB'!$A:$G,5,0)),0,VLOOKUP($A23&amp;J$1,'For stats end Y DB'!$A:$G,5,0))</f>
        <v>17</v>
      </c>
      <c r="K23">
        <f>IF(ISNA(VLOOKUP($A23&amp;K$1,'For stats end Y DB'!$A:$G,5,0)),0,VLOOKUP($A23&amp;K$1,'For stats end Y DB'!$A:$G,5,0))</f>
        <v>12</v>
      </c>
      <c r="L23">
        <f>IF(ISNA(VLOOKUP($A23&amp;L$1,'For stats end Y DB'!$A:$G,5,0)),0,VLOOKUP($A23&amp;L$1,'For stats end Y DB'!$A:$G,5,0))</f>
        <v>8</v>
      </c>
      <c r="M23">
        <f>IF(ISNA(VLOOKUP($A23&amp;M$1,'For stats end Y DB'!$A:$G,5,0)),0,VLOOKUP($A23&amp;M$1,'For stats end Y DB'!$A:$G,5,0))</f>
        <v>0</v>
      </c>
      <c r="N23">
        <f>IF(ISNA(VLOOKUP($A23&amp;N$1,'For stats end Y DB'!$A:$G,5,0)),0,VLOOKUP($A23&amp;N$1,'For stats end Y DB'!$A:$G,5,0))</f>
        <v>0</v>
      </c>
      <c r="O23">
        <f>IF(ISNA(VLOOKUP($A23&amp;O$1,'For stats end Y DB'!$A:$G,5,0)),0,VLOOKUP($A23&amp;O$1,'For stats end Y DB'!$A:$G,5,0))</f>
        <v>8</v>
      </c>
      <c r="P23">
        <f>IF(ISNA(VLOOKUP($A23&amp;P$1,'For stats end Y DB'!$A:$G,5,0)),0,VLOOKUP($A23&amp;P$1,'For stats end Y DB'!$A:$G,5,0))</f>
        <v>0</v>
      </c>
      <c r="Q23">
        <f>IF(ISNA(VLOOKUP($A23&amp;Q$1,'For stats end Y DB'!$A:$G,5,0)),0,VLOOKUP($A23&amp;Q$1,'For stats end Y DB'!$A:$G,5,0))</f>
        <v>5</v>
      </c>
      <c r="R23">
        <f>IF(ISNA(VLOOKUP($A23&amp;R$1,'For stats end Y DB'!$A:$G,5,0)),0,VLOOKUP($A23&amp;R$1,'For stats end Y DB'!$A:$G,5,0))</f>
        <v>17</v>
      </c>
      <c r="S23">
        <f>IF(ISNA(VLOOKUP($A23&amp;S$1,'For stats end Y DB'!$A:$G,5,0)),0,VLOOKUP($A23&amp;S$1,'For stats end Y DB'!$A:$G,5,0))</f>
        <v>3</v>
      </c>
      <c r="T23">
        <f>IF(ISNA(VLOOKUP($A23&amp;T$1,'For stats end Y DB'!$A:$G,5,0)),0,VLOOKUP($A23&amp;T$1,'For stats end Y DB'!$A:$G,5,0))</f>
        <v>8</v>
      </c>
      <c r="U23">
        <f>IF(ISNA(VLOOKUP($A23&amp;U$1,'For stats end Y DB'!$A:$G,5,0)),0,VLOOKUP($A23&amp;U$1,'For stats end Y DB'!$A:$G,5,0))</f>
        <v>7</v>
      </c>
      <c r="V23">
        <f>IF(ISNA(VLOOKUP($A23&amp;V$1,'For stats end Y DB'!$A:$G,5,0)),0,VLOOKUP($A23&amp;V$1,'For stats end Y DB'!$A:$G,5,0))</f>
        <v>9</v>
      </c>
      <c r="W23">
        <f>IF(ISNA(VLOOKUP($A23&amp;W$1,'For stats end Y DB'!$A:$G,5,0)),0,VLOOKUP($A23&amp;W$1,'For stats end Y DB'!$A:$G,5,0))</f>
        <v>2</v>
      </c>
      <c r="X23">
        <f>IF(ISNA(VLOOKUP($A23&amp;X$1,'For stats end Y DB'!$A:$G,5,0)),0,VLOOKUP($A23&amp;X$1,'For stats end Y DB'!$A:$G,5,0))</f>
        <v>1</v>
      </c>
      <c r="Y23">
        <f>IF(ISNA(VLOOKUP($A23&amp;Y$1,'For stats end Y DB'!$A:$G,5,0)),0,VLOOKUP($A23&amp;Y$1,'For stats end Y DB'!$A:$G,5,0))</f>
        <v>0</v>
      </c>
      <c r="Z23">
        <f>IF(ISNA(VLOOKUP($A23&amp;Z$1,'For stats end Y DB'!$A:$G,5,0)),0,VLOOKUP($A23&amp;Z$1,'For stats end Y DB'!$A:$G,5,0))</f>
        <v>4</v>
      </c>
      <c r="AA23">
        <f>IF(ISNA(VLOOKUP($A23&amp;AA$1,'For stats end Y DB'!$A:$G,5,0)),0,VLOOKUP($A23&amp;AA$1,'For stats end Y DB'!$A:$G,5,0))</f>
        <v>4</v>
      </c>
      <c r="AB23">
        <f>IF(ISNA(VLOOKUP($A23&amp;AB$1,'For stats end Y DB'!$A:$G,5,0)),0,VLOOKUP($A23&amp;AB$1,'For stats end Y DB'!$A:$G,5,0))</f>
        <v>3</v>
      </c>
      <c r="AC23">
        <f>IF(ISNA(VLOOKUP($A23&amp;AC$1,'For stats end Y DB'!$A:$G,5,0)),0,VLOOKUP($A23&amp;AC$1,'For stats end Y DB'!$A:$G,5,0))</f>
        <v>0</v>
      </c>
      <c r="AD23">
        <f>IF(ISNA(VLOOKUP($A23&amp;AD$1,'For stats end Y DB'!$A:$G,5,0)),0,VLOOKUP($A23&amp;AD$1,'For stats end Y DB'!$A:$G,5,0))</f>
        <v>1</v>
      </c>
      <c r="AE23">
        <f>IF(ISNA(VLOOKUP($A23&amp;AE$1,'For stats end Y DB'!$A:$G,5,0)),0,VLOOKUP($A23&amp;AE$1,'For stats end Y DB'!$A:$G,5,0))</f>
        <v>9</v>
      </c>
      <c r="AF23">
        <f>IF(ISNA(VLOOKUP($A23&amp;AF$1,'For stats end Y DB'!$A:$G,5,0)),0,VLOOKUP($A23&amp;AF$1,'For stats end Y DB'!$A:$G,5,0))</f>
        <v>0</v>
      </c>
      <c r="AG23">
        <f>IF(ISNA(VLOOKUP($A23&amp;AG$1,'For stats end Y DB'!$A:$G,5,0)),0,VLOOKUP($A23&amp;AG$1,'For stats end Y DB'!$A:$G,5,0))</f>
        <v>0</v>
      </c>
      <c r="AH23">
        <f>IF(ISNA(VLOOKUP($A23&amp;AH$1,'For stats end Y DB'!$A:$G,5,0)),0,VLOOKUP($A23&amp;AH$1,'For stats end Y DB'!$A:$G,5,0))</f>
        <v>0</v>
      </c>
      <c r="AI23">
        <f>IF(ISNA(VLOOKUP($A23&amp;AI$1,'For stats end Y DB'!$A:$G,5,0)),0,VLOOKUP($A23&amp;AI$1,'For stats end Y DB'!$A:$G,5,0))</f>
        <v>0</v>
      </c>
      <c r="AJ23">
        <f>IF(ISNA(VLOOKUP($A23&amp;AJ$1,'For stats end Y DB'!$A:$G,5,0)),0,VLOOKUP($A23&amp;AJ$1,'For stats end Y DB'!$A:$G,5,0))</f>
        <v>0</v>
      </c>
      <c r="AK23">
        <f>IF(ISNA(VLOOKUP($A23&amp;AK$1,'For stats end Y DB'!$A:$G,5,0)),0,VLOOKUP($A23&amp;AK$1,'For stats end Y DB'!$A:$G,5,0))</f>
        <v>0</v>
      </c>
      <c r="AL23">
        <f>IF(ISNA(VLOOKUP($A23&amp;AL$1,'For stats end Y DB'!$A:$G,5,0)),0,VLOOKUP($A23&amp;AL$1,'For stats end Y DB'!$A:$G,5,0))</f>
        <v>0</v>
      </c>
      <c r="AM23">
        <f>IF(ISNA(VLOOKUP($A23&amp;AM$1,'For stats end Y DB'!$A:$G,5,0)),0,VLOOKUP($A23&amp;AM$1,'For stats end Y DB'!$A:$G,5,0))</f>
        <v>0</v>
      </c>
      <c r="AN23">
        <f>IF(ISNA(VLOOKUP($A23&amp;AN$1,'For stats end Y DB'!$A:$G,5,0)),0,VLOOKUP($A23&amp;AN$1,'For stats end Y DB'!$A:$G,5,0))</f>
        <v>0</v>
      </c>
    </row>
    <row r="24" spans="1:40" x14ac:dyDescent="0.2">
      <c r="A24" t="str">
        <f>'For stats end Y class'!A24</f>
        <v>Fishtro</v>
      </c>
      <c r="B24">
        <f>IF(ISNA(VLOOKUP($A24&amp;B$1,'For stats end Y DB'!$A:$G,5,0)),0,VLOOKUP($A24&amp;B$1,'For stats end Y DB'!$A:$G,5,0))</f>
        <v>8</v>
      </c>
      <c r="C24">
        <f>IF(ISNA(VLOOKUP($A24&amp;C$1,'For stats end Y DB'!$A:$G,5,0)),0,VLOOKUP($A24&amp;C$1,'For stats end Y DB'!$A:$G,5,0))</f>
        <v>12</v>
      </c>
      <c r="D24">
        <f>IF(ISNA(VLOOKUP($A24&amp;D$1,'For stats end Y DB'!$A:$G,5,0)),0,VLOOKUP($A24&amp;D$1,'For stats end Y DB'!$A:$G,5,0))</f>
        <v>16</v>
      </c>
      <c r="E24">
        <f>IF(ISNA(VLOOKUP($A24&amp;E$1,'For stats end Y DB'!$A:$G,5,0)),0,VLOOKUP($A24&amp;E$1,'For stats end Y DB'!$A:$G,5,0))</f>
        <v>13</v>
      </c>
      <c r="F24">
        <f>IF(ISNA(VLOOKUP($A24&amp;F$1,'For stats end Y DB'!$A:$G,5,0)),0,VLOOKUP($A24&amp;F$1,'For stats end Y DB'!$A:$G,5,0))</f>
        <v>11</v>
      </c>
      <c r="G24">
        <f>IF(ISNA(VLOOKUP($A24&amp;G$1,'For stats end Y DB'!$A:$G,5,0)),0,VLOOKUP($A24&amp;G$1,'For stats end Y DB'!$A:$G,5,0))</f>
        <v>2</v>
      </c>
      <c r="H24">
        <f>IF(ISNA(VLOOKUP($A24&amp;H$1,'For stats end Y DB'!$A:$G,5,0)),0,VLOOKUP($A24&amp;H$1,'For stats end Y DB'!$A:$G,5,0))</f>
        <v>0</v>
      </c>
      <c r="I24">
        <f>IF(ISNA(VLOOKUP($A24&amp;I$1,'For stats end Y DB'!$A:$G,5,0)),0,VLOOKUP($A24&amp;I$1,'For stats end Y DB'!$A:$G,5,0))</f>
        <v>4</v>
      </c>
      <c r="J24">
        <f>IF(ISNA(VLOOKUP($A24&amp;J$1,'For stats end Y DB'!$A:$G,5,0)),0,VLOOKUP($A24&amp;J$1,'For stats end Y DB'!$A:$G,5,0))</f>
        <v>1</v>
      </c>
      <c r="K24">
        <f>IF(ISNA(VLOOKUP($A24&amp;K$1,'For stats end Y DB'!$A:$G,5,0)),0,VLOOKUP($A24&amp;K$1,'For stats end Y DB'!$A:$G,5,0))</f>
        <v>2</v>
      </c>
      <c r="L24">
        <f>IF(ISNA(VLOOKUP($A24&amp;L$1,'For stats end Y DB'!$A:$G,5,0)),0,VLOOKUP($A24&amp;L$1,'For stats end Y DB'!$A:$G,5,0))</f>
        <v>2</v>
      </c>
      <c r="M24">
        <f>IF(ISNA(VLOOKUP($A24&amp;M$1,'For stats end Y DB'!$A:$G,5,0)),0,VLOOKUP($A24&amp;M$1,'For stats end Y DB'!$A:$G,5,0))</f>
        <v>8</v>
      </c>
      <c r="N24">
        <f>IF(ISNA(VLOOKUP($A24&amp;N$1,'For stats end Y DB'!$A:$G,5,0)),0,VLOOKUP($A24&amp;N$1,'For stats end Y DB'!$A:$G,5,0))</f>
        <v>1</v>
      </c>
      <c r="O24">
        <f>IF(ISNA(VLOOKUP($A24&amp;O$1,'For stats end Y DB'!$A:$G,5,0)),0,VLOOKUP($A24&amp;O$1,'For stats end Y DB'!$A:$G,5,0))</f>
        <v>5</v>
      </c>
      <c r="P24">
        <f>IF(ISNA(VLOOKUP($A24&amp;P$1,'For stats end Y DB'!$A:$G,5,0)),0,VLOOKUP($A24&amp;P$1,'For stats end Y DB'!$A:$G,5,0))</f>
        <v>2</v>
      </c>
      <c r="Q24">
        <f>IF(ISNA(VLOOKUP($A24&amp;Q$1,'For stats end Y DB'!$A:$G,5,0)),0,VLOOKUP($A24&amp;Q$1,'For stats end Y DB'!$A:$G,5,0))</f>
        <v>1</v>
      </c>
      <c r="R24">
        <f>IF(ISNA(VLOOKUP($A24&amp;R$1,'For stats end Y DB'!$A:$G,5,0)),0,VLOOKUP($A24&amp;R$1,'For stats end Y DB'!$A:$G,5,0))</f>
        <v>16</v>
      </c>
      <c r="S24">
        <f>IF(ISNA(VLOOKUP($A24&amp;S$1,'For stats end Y DB'!$A:$G,5,0)),0,VLOOKUP($A24&amp;S$1,'For stats end Y DB'!$A:$G,5,0))</f>
        <v>0</v>
      </c>
      <c r="T24">
        <f>IF(ISNA(VLOOKUP($A24&amp;T$1,'For stats end Y DB'!$A:$G,5,0)),0,VLOOKUP($A24&amp;T$1,'For stats end Y DB'!$A:$G,5,0))</f>
        <v>1</v>
      </c>
      <c r="U24">
        <f>IF(ISNA(VLOOKUP($A24&amp;U$1,'For stats end Y DB'!$A:$G,5,0)),0,VLOOKUP($A24&amp;U$1,'For stats end Y DB'!$A:$G,5,0))</f>
        <v>4</v>
      </c>
      <c r="V24">
        <f>IF(ISNA(VLOOKUP($A24&amp;V$1,'For stats end Y DB'!$A:$G,5,0)),0,VLOOKUP($A24&amp;V$1,'For stats end Y DB'!$A:$G,5,0))</f>
        <v>2</v>
      </c>
      <c r="W24">
        <f>IF(ISNA(VLOOKUP($A24&amp;W$1,'For stats end Y DB'!$A:$G,5,0)),0,VLOOKUP($A24&amp;W$1,'For stats end Y DB'!$A:$G,5,0))</f>
        <v>12</v>
      </c>
      <c r="X24">
        <f>IF(ISNA(VLOOKUP($A24&amp;X$1,'For stats end Y DB'!$A:$G,5,0)),0,VLOOKUP($A24&amp;X$1,'For stats end Y DB'!$A:$G,5,0))</f>
        <v>2</v>
      </c>
      <c r="Y24">
        <f>IF(ISNA(VLOOKUP($A24&amp;Y$1,'For stats end Y DB'!$A:$G,5,0)),0,VLOOKUP($A24&amp;Y$1,'For stats end Y DB'!$A:$G,5,0))</f>
        <v>3</v>
      </c>
      <c r="Z24">
        <f>IF(ISNA(VLOOKUP($A24&amp;Z$1,'For stats end Y DB'!$A:$G,5,0)),0,VLOOKUP($A24&amp;Z$1,'For stats end Y DB'!$A:$G,5,0))</f>
        <v>0</v>
      </c>
      <c r="AA24">
        <f>IF(ISNA(VLOOKUP($A24&amp;AA$1,'For stats end Y DB'!$A:$G,5,0)),0,VLOOKUP($A24&amp;AA$1,'For stats end Y DB'!$A:$G,5,0))</f>
        <v>2</v>
      </c>
      <c r="AB24">
        <f>IF(ISNA(VLOOKUP($A24&amp;AB$1,'For stats end Y DB'!$A:$G,5,0)),0,VLOOKUP($A24&amp;AB$1,'For stats end Y DB'!$A:$G,5,0))</f>
        <v>0</v>
      </c>
      <c r="AC24">
        <f>IF(ISNA(VLOOKUP($A24&amp;AC$1,'For stats end Y DB'!$A:$G,5,0)),0,VLOOKUP($A24&amp;AC$1,'For stats end Y DB'!$A:$G,5,0))</f>
        <v>0</v>
      </c>
      <c r="AD24">
        <f>IF(ISNA(VLOOKUP($A24&amp;AD$1,'For stats end Y DB'!$A:$G,5,0)),0,VLOOKUP($A24&amp;AD$1,'For stats end Y DB'!$A:$G,5,0))</f>
        <v>16</v>
      </c>
      <c r="AE24">
        <f>IF(ISNA(VLOOKUP($A24&amp;AE$1,'For stats end Y DB'!$A:$G,5,0)),0,VLOOKUP($A24&amp;AE$1,'For stats end Y DB'!$A:$G,5,0))</f>
        <v>16</v>
      </c>
      <c r="AF24">
        <f>IF(ISNA(VLOOKUP($A24&amp;AF$1,'For stats end Y DB'!$A:$G,5,0)),0,VLOOKUP($A24&amp;AF$1,'For stats end Y DB'!$A:$G,5,0))</f>
        <v>16</v>
      </c>
      <c r="AG24">
        <f>IF(ISNA(VLOOKUP($A24&amp;AG$1,'For stats end Y DB'!$A:$G,5,0)),0,VLOOKUP($A24&amp;AG$1,'For stats end Y DB'!$A:$G,5,0))</f>
        <v>0</v>
      </c>
      <c r="AH24">
        <f>IF(ISNA(VLOOKUP($A24&amp;AH$1,'For stats end Y DB'!$A:$G,5,0)),0,VLOOKUP($A24&amp;AH$1,'For stats end Y DB'!$A:$G,5,0))</f>
        <v>1</v>
      </c>
      <c r="AI24">
        <f>IF(ISNA(VLOOKUP($A24&amp;AI$1,'For stats end Y DB'!$A:$G,5,0)),0,VLOOKUP($A24&amp;AI$1,'For stats end Y DB'!$A:$G,5,0))</f>
        <v>0</v>
      </c>
      <c r="AJ24">
        <f>IF(ISNA(VLOOKUP($A24&amp;AJ$1,'For stats end Y DB'!$A:$G,5,0)),0,VLOOKUP($A24&amp;AJ$1,'For stats end Y DB'!$A:$G,5,0))</f>
        <v>0</v>
      </c>
      <c r="AK24">
        <f>IF(ISNA(VLOOKUP($A24&amp;AK$1,'For stats end Y DB'!$A:$G,5,0)),0,VLOOKUP($A24&amp;AK$1,'For stats end Y DB'!$A:$G,5,0))</f>
        <v>0</v>
      </c>
      <c r="AL24">
        <f>IF(ISNA(VLOOKUP($A24&amp;AL$1,'For stats end Y DB'!$A:$G,5,0)),0,VLOOKUP($A24&amp;AL$1,'For stats end Y DB'!$A:$G,5,0))</f>
        <v>0</v>
      </c>
      <c r="AM24">
        <f>IF(ISNA(VLOOKUP($A24&amp;AM$1,'For stats end Y DB'!$A:$G,5,0)),0,VLOOKUP($A24&amp;AM$1,'For stats end Y DB'!$A:$G,5,0))</f>
        <v>0</v>
      </c>
      <c r="AN24">
        <f>IF(ISNA(VLOOKUP($A24&amp;AN$1,'For stats end Y DB'!$A:$G,5,0)),0,VLOOKUP($A24&amp;AN$1,'For stats end Y DB'!$A:$G,5,0))</f>
        <v>0</v>
      </c>
    </row>
    <row r="25" spans="1:40" x14ac:dyDescent="0.2">
      <c r="A25" t="str">
        <f>'For stats end Y class'!A25</f>
        <v>Flabech</v>
      </c>
      <c r="B25">
        <f>IF(ISNA(VLOOKUP($A25&amp;B$1,'For stats end Y DB'!$A:$G,5,0)),0,VLOOKUP($A25&amp;B$1,'For stats end Y DB'!$A:$G,5,0))</f>
        <v>0</v>
      </c>
      <c r="C25">
        <f>IF(ISNA(VLOOKUP($A25&amp;C$1,'For stats end Y DB'!$A:$G,5,0)),0,VLOOKUP($A25&amp;C$1,'For stats end Y DB'!$A:$G,5,0))</f>
        <v>0</v>
      </c>
      <c r="D25">
        <f>IF(ISNA(VLOOKUP($A25&amp;D$1,'For stats end Y DB'!$A:$G,5,0)),0,VLOOKUP($A25&amp;D$1,'For stats end Y DB'!$A:$G,5,0))</f>
        <v>0</v>
      </c>
      <c r="E25">
        <f>IF(ISNA(VLOOKUP($A25&amp;E$1,'For stats end Y DB'!$A:$G,5,0)),0,VLOOKUP($A25&amp;E$1,'For stats end Y DB'!$A:$G,5,0))</f>
        <v>13</v>
      </c>
      <c r="F25">
        <f>IF(ISNA(VLOOKUP($A25&amp;F$1,'For stats end Y DB'!$A:$G,5,0)),0,VLOOKUP($A25&amp;F$1,'For stats end Y DB'!$A:$G,5,0))</f>
        <v>0</v>
      </c>
      <c r="G25">
        <f>IF(ISNA(VLOOKUP($A25&amp;G$1,'For stats end Y DB'!$A:$G,5,0)),0,VLOOKUP($A25&amp;G$1,'For stats end Y DB'!$A:$G,5,0))</f>
        <v>1</v>
      </c>
      <c r="H25">
        <f>IF(ISNA(VLOOKUP($A25&amp;H$1,'For stats end Y DB'!$A:$G,5,0)),0,VLOOKUP($A25&amp;H$1,'For stats end Y DB'!$A:$G,5,0))</f>
        <v>0</v>
      </c>
      <c r="I25">
        <f>IF(ISNA(VLOOKUP($A25&amp;I$1,'For stats end Y DB'!$A:$G,5,0)),0,VLOOKUP($A25&amp;I$1,'For stats end Y DB'!$A:$G,5,0))</f>
        <v>3</v>
      </c>
      <c r="J25">
        <f>IF(ISNA(VLOOKUP($A25&amp;J$1,'For stats end Y DB'!$A:$G,5,0)),0,VLOOKUP($A25&amp;J$1,'For stats end Y DB'!$A:$G,5,0))</f>
        <v>9</v>
      </c>
      <c r="K25">
        <f>IF(ISNA(VLOOKUP($A25&amp;K$1,'For stats end Y DB'!$A:$G,5,0)),0,VLOOKUP($A25&amp;K$1,'For stats end Y DB'!$A:$G,5,0))</f>
        <v>11</v>
      </c>
      <c r="L25">
        <f>IF(ISNA(VLOOKUP($A25&amp;L$1,'For stats end Y DB'!$A:$G,5,0)),0,VLOOKUP($A25&amp;L$1,'For stats end Y DB'!$A:$G,5,0))</f>
        <v>0</v>
      </c>
      <c r="M25">
        <f>IF(ISNA(VLOOKUP($A25&amp;M$1,'For stats end Y DB'!$A:$G,5,0)),0,VLOOKUP($A25&amp;M$1,'For stats end Y DB'!$A:$G,5,0))</f>
        <v>0</v>
      </c>
      <c r="N25">
        <f>IF(ISNA(VLOOKUP($A25&amp;N$1,'For stats end Y DB'!$A:$G,5,0)),0,VLOOKUP($A25&amp;N$1,'For stats end Y DB'!$A:$G,5,0))</f>
        <v>0</v>
      </c>
      <c r="O25">
        <f>IF(ISNA(VLOOKUP($A25&amp;O$1,'For stats end Y DB'!$A:$G,5,0)),0,VLOOKUP($A25&amp;O$1,'For stats end Y DB'!$A:$G,5,0))</f>
        <v>0</v>
      </c>
      <c r="P25">
        <f>IF(ISNA(VLOOKUP($A25&amp;P$1,'For stats end Y DB'!$A:$G,5,0)),0,VLOOKUP($A25&amp;P$1,'For stats end Y DB'!$A:$G,5,0))</f>
        <v>0</v>
      </c>
      <c r="Q25">
        <f>IF(ISNA(VLOOKUP($A25&amp;Q$1,'For stats end Y DB'!$A:$G,5,0)),0,VLOOKUP($A25&amp;Q$1,'For stats end Y DB'!$A:$G,5,0))</f>
        <v>0</v>
      </c>
      <c r="R25">
        <f>IF(ISNA(VLOOKUP($A25&amp;R$1,'For stats end Y DB'!$A:$G,5,0)),0,VLOOKUP($A25&amp;R$1,'For stats end Y DB'!$A:$G,5,0))</f>
        <v>0</v>
      </c>
      <c r="S25">
        <f>IF(ISNA(VLOOKUP($A25&amp;S$1,'For stats end Y DB'!$A:$G,5,0)),0,VLOOKUP($A25&amp;S$1,'For stats end Y DB'!$A:$G,5,0))</f>
        <v>0</v>
      </c>
      <c r="T25">
        <f>IF(ISNA(VLOOKUP($A25&amp;T$1,'For stats end Y DB'!$A:$G,5,0)),0,VLOOKUP($A25&amp;T$1,'For stats end Y DB'!$A:$G,5,0))</f>
        <v>0</v>
      </c>
      <c r="U25">
        <f>IF(ISNA(VLOOKUP($A25&amp;U$1,'For stats end Y DB'!$A:$G,5,0)),0,VLOOKUP($A25&amp;U$1,'For stats end Y DB'!$A:$G,5,0))</f>
        <v>0</v>
      </c>
      <c r="V25">
        <f>IF(ISNA(VLOOKUP($A25&amp;V$1,'For stats end Y DB'!$A:$G,5,0)),0,VLOOKUP($A25&amp;V$1,'For stats end Y DB'!$A:$G,5,0))</f>
        <v>0</v>
      </c>
      <c r="W25">
        <f>IF(ISNA(VLOOKUP($A25&amp;W$1,'For stats end Y DB'!$A:$G,5,0)),0,VLOOKUP($A25&amp;W$1,'For stats end Y DB'!$A:$G,5,0))</f>
        <v>0</v>
      </c>
      <c r="X25">
        <f>IF(ISNA(VLOOKUP($A25&amp;X$1,'For stats end Y DB'!$A:$G,5,0)),0,VLOOKUP($A25&amp;X$1,'For stats end Y DB'!$A:$G,5,0))</f>
        <v>0</v>
      </c>
      <c r="Y25">
        <f>IF(ISNA(VLOOKUP($A25&amp;Y$1,'For stats end Y DB'!$A:$G,5,0)),0,VLOOKUP($A25&amp;Y$1,'For stats end Y DB'!$A:$G,5,0))</f>
        <v>5</v>
      </c>
      <c r="Z25">
        <f>IF(ISNA(VLOOKUP($A25&amp;Z$1,'For stats end Y DB'!$A:$G,5,0)),0,VLOOKUP($A25&amp;Z$1,'For stats end Y DB'!$A:$G,5,0))</f>
        <v>5</v>
      </c>
      <c r="AA25">
        <f>IF(ISNA(VLOOKUP($A25&amp;AA$1,'For stats end Y DB'!$A:$G,5,0)),0,VLOOKUP($A25&amp;AA$1,'For stats end Y DB'!$A:$G,5,0))</f>
        <v>0</v>
      </c>
      <c r="AB25">
        <f>IF(ISNA(VLOOKUP($A25&amp;AB$1,'For stats end Y DB'!$A:$G,5,0)),0,VLOOKUP($A25&amp;AB$1,'For stats end Y DB'!$A:$G,5,0))</f>
        <v>0</v>
      </c>
      <c r="AC25">
        <f>IF(ISNA(VLOOKUP($A25&amp;AC$1,'For stats end Y DB'!$A:$G,5,0)),0,VLOOKUP($A25&amp;AC$1,'For stats end Y DB'!$A:$G,5,0))</f>
        <v>0</v>
      </c>
      <c r="AD25">
        <f>IF(ISNA(VLOOKUP($A25&amp;AD$1,'For stats end Y DB'!$A:$G,5,0)),0,VLOOKUP($A25&amp;AD$1,'For stats end Y DB'!$A:$G,5,0))</f>
        <v>0</v>
      </c>
      <c r="AE25">
        <f>IF(ISNA(VLOOKUP($A25&amp;AE$1,'For stats end Y DB'!$A:$G,5,0)),0,VLOOKUP($A25&amp;AE$1,'For stats end Y DB'!$A:$G,5,0))</f>
        <v>0</v>
      </c>
      <c r="AF25">
        <f>IF(ISNA(VLOOKUP($A25&amp;AF$1,'For stats end Y DB'!$A:$G,5,0)),0,VLOOKUP($A25&amp;AF$1,'For stats end Y DB'!$A:$G,5,0))</f>
        <v>0</v>
      </c>
      <c r="AG25">
        <f>IF(ISNA(VLOOKUP($A25&amp;AG$1,'For stats end Y DB'!$A:$G,5,0)),0,VLOOKUP($A25&amp;AG$1,'For stats end Y DB'!$A:$G,5,0))</f>
        <v>0</v>
      </c>
      <c r="AH25">
        <f>IF(ISNA(VLOOKUP($A25&amp;AH$1,'For stats end Y DB'!$A:$G,5,0)),0,VLOOKUP($A25&amp;AH$1,'For stats end Y DB'!$A:$G,5,0))</f>
        <v>0</v>
      </c>
      <c r="AI25">
        <f>IF(ISNA(VLOOKUP($A25&amp;AI$1,'For stats end Y DB'!$A:$G,5,0)),0,VLOOKUP($A25&amp;AI$1,'For stats end Y DB'!$A:$G,5,0))</f>
        <v>0</v>
      </c>
      <c r="AJ25">
        <f>IF(ISNA(VLOOKUP($A25&amp;AJ$1,'For stats end Y DB'!$A:$G,5,0)),0,VLOOKUP($A25&amp;AJ$1,'For stats end Y DB'!$A:$G,5,0))</f>
        <v>0</v>
      </c>
      <c r="AK25">
        <f>IF(ISNA(VLOOKUP($A25&amp;AK$1,'For stats end Y DB'!$A:$G,5,0)),0,VLOOKUP($A25&amp;AK$1,'For stats end Y DB'!$A:$G,5,0))</f>
        <v>0</v>
      </c>
      <c r="AL25">
        <f>IF(ISNA(VLOOKUP($A25&amp;AL$1,'For stats end Y DB'!$A:$G,5,0)),0,VLOOKUP($A25&amp;AL$1,'For stats end Y DB'!$A:$G,5,0))</f>
        <v>0</v>
      </c>
      <c r="AM25">
        <f>IF(ISNA(VLOOKUP($A25&amp;AM$1,'For stats end Y DB'!$A:$G,5,0)),0,VLOOKUP($A25&amp;AM$1,'For stats end Y DB'!$A:$G,5,0))</f>
        <v>0</v>
      </c>
      <c r="AN25">
        <f>IF(ISNA(VLOOKUP($A25&amp;AN$1,'For stats end Y DB'!$A:$G,5,0)),0,VLOOKUP($A25&amp;AN$1,'For stats end Y DB'!$A:$G,5,0))</f>
        <v>0</v>
      </c>
    </row>
    <row r="26" spans="1:40" x14ac:dyDescent="0.2">
      <c r="A26" t="str">
        <f>'For stats end Y class'!A26</f>
        <v>Flem</v>
      </c>
      <c r="B26">
        <f>IF(ISNA(VLOOKUP($A26&amp;B$1,'For stats end Y DB'!$A:$G,5,0)),0,VLOOKUP($A26&amp;B$1,'For stats end Y DB'!$A:$G,5,0))</f>
        <v>0</v>
      </c>
      <c r="C26">
        <f>IF(ISNA(VLOOKUP($A26&amp;C$1,'For stats end Y DB'!$A:$G,5,0)),0,VLOOKUP($A26&amp;C$1,'For stats end Y DB'!$A:$G,5,0))</f>
        <v>0</v>
      </c>
      <c r="D26">
        <f>IF(ISNA(VLOOKUP($A26&amp;D$1,'For stats end Y DB'!$A:$G,5,0)),0,VLOOKUP($A26&amp;D$1,'For stats end Y DB'!$A:$G,5,0))</f>
        <v>0</v>
      </c>
      <c r="E26">
        <f>IF(ISNA(VLOOKUP($A26&amp;E$1,'For stats end Y DB'!$A:$G,5,0)),0,VLOOKUP($A26&amp;E$1,'For stats end Y DB'!$A:$G,5,0))</f>
        <v>5</v>
      </c>
      <c r="F26">
        <f>IF(ISNA(VLOOKUP($A26&amp;F$1,'For stats end Y DB'!$A:$G,5,0)),0,VLOOKUP($A26&amp;F$1,'For stats end Y DB'!$A:$G,5,0))</f>
        <v>16</v>
      </c>
      <c r="G26">
        <f>IF(ISNA(VLOOKUP($A26&amp;G$1,'For stats end Y DB'!$A:$G,5,0)),0,VLOOKUP($A26&amp;G$1,'For stats end Y DB'!$A:$G,5,0))</f>
        <v>0</v>
      </c>
      <c r="H26">
        <f>IF(ISNA(VLOOKUP($A26&amp;H$1,'For stats end Y DB'!$A:$G,5,0)),0,VLOOKUP($A26&amp;H$1,'For stats end Y DB'!$A:$G,5,0))</f>
        <v>5</v>
      </c>
      <c r="I26">
        <f>IF(ISNA(VLOOKUP($A26&amp;I$1,'For stats end Y DB'!$A:$G,5,0)),0,VLOOKUP($A26&amp;I$1,'For stats end Y DB'!$A:$G,5,0))</f>
        <v>12</v>
      </c>
      <c r="J26">
        <f>IF(ISNA(VLOOKUP($A26&amp;J$1,'For stats end Y DB'!$A:$G,5,0)),0,VLOOKUP($A26&amp;J$1,'For stats end Y DB'!$A:$G,5,0))</f>
        <v>3</v>
      </c>
      <c r="K26">
        <f>IF(ISNA(VLOOKUP($A26&amp;K$1,'For stats end Y DB'!$A:$G,5,0)),0,VLOOKUP($A26&amp;K$1,'For stats end Y DB'!$A:$G,5,0))</f>
        <v>7</v>
      </c>
      <c r="L26">
        <f>IF(ISNA(VLOOKUP($A26&amp;L$1,'For stats end Y DB'!$A:$G,5,0)),0,VLOOKUP($A26&amp;L$1,'For stats end Y DB'!$A:$G,5,0))</f>
        <v>1</v>
      </c>
      <c r="M26">
        <f>IF(ISNA(VLOOKUP($A26&amp;M$1,'For stats end Y DB'!$A:$G,5,0)),0,VLOOKUP($A26&amp;M$1,'For stats end Y DB'!$A:$G,5,0))</f>
        <v>2</v>
      </c>
      <c r="N26">
        <f>IF(ISNA(VLOOKUP($A26&amp;N$1,'For stats end Y DB'!$A:$G,5,0)),0,VLOOKUP($A26&amp;N$1,'For stats end Y DB'!$A:$G,5,0))</f>
        <v>2</v>
      </c>
      <c r="O26">
        <f>IF(ISNA(VLOOKUP($A26&amp;O$1,'For stats end Y DB'!$A:$G,5,0)),0,VLOOKUP($A26&amp;O$1,'For stats end Y DB'!$A:$G,5,0))</f>
        <v>16</v>
      </c>
      <c r="P26">
        <f>IF(ISNA(VLOOKUP($A26&amp;P$1,'For stats end Y DB'!$A:$G,5,0)),0,VLOOKUP($A26&amp;P$1,'For stats end Y DB'!$A:$G,5,0))</f>
        <v>3</v>
      </c>
      <c r="Q26">
        <f>IF(ISNA(VLOOKUP($A26&amp;Q$1,'For stats end Y DB'!$A:$G,5,0)),0,VLOOKUP($A26&amp;Q$1,'For stats end Y DB'!$A:$G,5,0))</f>
        <v>5</v>
      </c>
      <c r="R26">
        <f>IF(ISNA(VLOOKUP($A26&amp;R$1,'For stats end Y DB'!$A:$G,5,0)),0,VLOOKUP($A26&amp;R$1,'For stats end Y DB'!$A:$G,5,0))</f>
        <v>3</v>
      </c>
      <c r="S26">
        <f>IF(ISNA(VLOOKUP($A26&amp;S$1,'For stats end Y DB'!$A:$G,5,0)),0,VLOOKUP($A26&amp;S$1,'For stats end Y DB'!$A:$G,5,0))</f>
        <v>13</v>
      </c>
      <c r="T26">
        <f>IF(ISNA(VLOOKUP($A26&amp;T$1,'For stats end Y DB'!$A:$G,5,0)),0,VLOOKUP($A26&amp;T$1,'For stats end Y DB'!$A:$G,5,0))</f>
        <v>4</v>
      </c>
      <c r="U26">
        <f>IF(ISNA(VLOOKUP($A26&amp;U$1,'For stats end Y DB'!$A:$G,5,0)),0,VLOOKUP($A26&amp;U$1,'For stats end Y DB'!$A:$G,5,0))</f>
        <v>15</v>
      </c>
      <c r="V26">
        <f>IF(ISNA(VLOOKUP($A26&amp;V$1,'For stats end Y DB'!$A:$G,5,0)),0,VLOOKUP($A26&amp;V$1,'For stats end Y DB'!$A:$G,5,0))</f>
        <v>3</v>
      </c>
      <c r="W26">
        <f>IF(ISNA(VLOOKUP($A26&amp;W$1,'For stats end Y DB'!$A:$G,5,0)),0,VLOOKUP($A26&amp;W$1,'For stats end Y DB'!$A:$G,5,0))</f>
        <v>2</v>
      </c>
      <c r="X26">
        <f>IF(ISNA(VLOOKUP($A26&amp;X$1,'For stats end Y DB'!$A:$G,5,0)),0,VLOOKUP($A26&amp;X$1,'For stats end Y DB'!$A:$G,5,0))</f>
        <v>2</v>
      </c>
      <c r="Y26">
        <f>IF(ISNA(VLOOKUP($A26&amp;Y$1,'For stats end Y DB'!$A:$G,5,0)),0,VLOOKUP($A26&amp;Y$1,'For stats end Y DB'!$A:$G,5,0))</f>
        <v>17</v>
      </c>
      <c r="Z26">
        <f>IF(ISNA(VLOOKUP($A26&amp;Z$1,'For stats end Y DB'!$A:$G,5,0)),0,VLOOKUP($A26&amp;Z$1,'For stats end Y DB'!$A:$G,5,0))</f>
        <v>16</v>
      </c>
      <c r="AA26">
        <f>IF(ISNA(VLOOKUP($A26&amp;AA$1,'For stats end Y DB'!$A:$G,5,0)),0,VLOOKUP($A26&amp;AA$1,'For stats end Y DB'!$A:$G,5,0))</f>
        <v>0</v>
      </c>
      <c r="AB26">
        <f>IF(ISNA(VLOOKUP($A26&amp;AB$1,'For stats end Y DB'!$A:$G,5,0)),0,VLOOKUP($A26&amp;AB$1,'For stats end Y DB'!$A:$G,5,0))</f>
        <v>1</v>
      </c>
      <c r="AC26">
        <f>IF(ISNA(VLOOKUP($A26&amp;AC$1,'For stats end Y DB'!$A:$G,5,0)),0,VLOOKUP($A26&amp;AC$1,'For stats end Y DB'!$A:$G,5,0))</f>
        <v>4</v>
      </c>
      <c r="AD26">
        <f>IF(ISNA(VLOOKUP($A26&amp;AD$1,'For stats end Y DB'!$A:$G,5,0)),0,VLOOKUP($A26&amp;AD$1,'For stats end Y DB'!$A:$G,5,0))</f>
        <v>3</v>
      </c>
      <c r="AE26">
        <f>IF(ISNA(VLOOKUP($A26&amp;AE$1,'For stats end Y DB'!$A:$G,5,0)),0,VLOOKUP($A26&amp;AE$1,'For stats end Y DB'!$A:$G,5,0))</f>
        <v>4</v>
      </c>
      <c r="AF26">
        <f>IF(ISNA(VLOOKUP($A26&amp;AF$1,'For stats end Y DB'!$A:$G,5,0)),0,VLOOKUP($A26&amp;AF$1,'For stats end Y DB'!$A:$G,5,0))</f>
        <v>17</v>
      </c>
      <c r="AG26">
        <f>IF(ISNA(VLOOKUP($A26&amp;AG$1,'For stats end Y DB'!$A:$G,5,0)),0,VLOOKUP($A26&amp;AG$1,'For stats end Y DB'!$A:$G,5,0))</f>
        <v>16</v>
      </c>
      <c r="AH26">
        <f>IF(ISNA(VLOOKUP($A26&amp;AH$1,'For stats end Y DB'!$A:$G,5,0)),0,VLOOKUP($A26&amp;AH$1,'For stats end Y DB'!$A:$G,5,0))</f>
        <v>1</v>
      </c>
      <c r="AI26">
        <f>IF(ISNA(VLOOKUP($A26&amp;AI$1,'For stats end Y DB'!$A:$G,5,0)),0,VLOOKUP($A26&amp;AI$1,'For stats end Y DB'!$A:$G,5,0))</f>
        <v>0</v>
      </c>
      <c r="AJ26">
        <f>IF(ISNA(VLOOKUP($A26&amp;AJ$1,'For stats end Y DB'!$A:$G,5,0)),0,VLOOKUP($A26&amp;AJ$1,'For stats end Y DB'!$A:$G,5,0))</f>
        <v>0</v>
      </c>
      <c r="AK26">
        <f>IF(ISNA(VLOOKUP($A26&amp;AK$1,'For stats end Y DB'!$A:$G,5,0)),0,VLOOKUP($A26&amp;AK$1,'For stats end Y DB'!$A:$G,5,0))</f>
        <v>0</v>
      </c>
      <c r="AL26">
        <f>IF(ISNA(VLOOKUP($A26&amp;AL$1,'For stats end Y DB'!$A:$G,5,0)),0,VLOOKUP($A26&amp;AL$1,'For stats end Y DB'!$A:$G,5,0))</f>
        <v>0</v>
      </c>
      <c r="AM26">
        <f>IF(ISNA(VLOOKUP($A26&amp;AM$1,'For stats end Y DB'!$A:$G,5,0)),0,VLOOKUP($A26&amp;AM$1,'For stats end Y DB'!$A:$G,5,0))</f>
        <v>0</v>
      </c>
      <c r="AN26">
        <f>IF(ISNA(VLOOKUP($A26&amp;AN$1,'For stats end Y DB'!$A:$G,5,0)),0,VLOOKUP($A26&amp;AN$1,'For stats end Y DB'!$A:$G,5,0))</f>
        <v>0</v>
      </c>
    </row>
    <row r="27" spans="1:40" x14ac:dyDescent="0.2">
      <c r="A27" t="str">
        <f>'For stats end Y class'!A27</f>
        <v>Flopynou</v>
      </c>
      <c r="B27">
        <f>IF(ISNA(VLOOKUP($A27&amp;B$1,'For stats end Y DB'!$A:$G,5,0)),0,VLOOKUP($A27&amp;B$1,'For stats end Y DB'!$A:$G,5,0))</f>
        <v>0</v>
      </c>
      <c r="C27">
        <f>IF(ISNA(VLOOKUP($A27&amp;C$1,'For stats end Y DB'!$A:$G,5,0)),0,VLOOKUP($A27&amp;C$1,'For stats end Y DB'!$A:$G,5,0))</f>
        <v>8</v>
      </c>
      <c r="D27">
        <f>IF(ISNA(VLOOKUP($A27&amp;D$1,'For stats end Y DB'!$A:$G,5,0)),0,VLOOKUP($A27&amp;D$1,'For stats end Y DB'!$A:$G,5,0))</f>
        <v>1</v>
      </c>
      <c r="E27">
        <f>IF(ISNA(VLOOKUP($A27&amp;E$1,'For stats end Y DB'!$A:$G,5,0)),0,VLOOKUP($A27&amp;E$1,'For stats end Y DB'!$A:$G,5,0))</f>
        <v>0</v>
      </c>
      <c r="F27">
        <f>IF(ISNA(VLOOKUP($A27&amp;F$1,'For stats end Y DB'!$A:$G,5,0)),0,VLOOKUP($A27&amp;F$1,'For stats end Y DB'!$A:$G,5,0))</f>
        <v>16</v>
      </c>
      <c r="G27">
        <f>IF(ISNA(VLOOKUP($A27&amp;G$1,'For stats end Y DB'!$A:$G,5,0)),0,VLOOKUP($A27&amp;G$1,'For stats end Y DB'!$A:$G,5,0))</f>
        <v>3</v>
      </c>
      <c r="H27">
        <f>IF(ISNA(VLOOKUP($A27&amp;H$1,'For stats end Y DB'!$A:$G,5,0)),0,VLOOKUP($A27&amp;H$1,'For stats end Y DB'!$A:$G,5,0))</f>
        <v>0</v>
      </c>
      <c r="I27">
        <f>IF(ISNA(VLOOKUP($A27&amp;I$1,'For stats end Y DB'!$A:$G,5,0)),0,VLOOKUP($A27&amp;I$1,'For stats end Y DB'!$A:$G,5,0))</f>
        <v>9</v>
      </c>
      <c r="J27">
        <f>IF(ISNA(VLOOKUP($A27&amp;J$1,'For stats end Y DB'!$A:$G,5,0)),0,VLOOKUP($A27&amp;J$1,'For stats end Y DB'!$A:$G,5,0))</f>
        <v>2</v>
      </c>
      <c r="K27">
        <f>IF(ISNA(VLOOKUP($A27&amp;K$1,'For stats end Y DB'!$A:$G,5,0)),0,VLOOKUP($A27&amp;K$1,'For stats end Y DB'!$A:$G,5,0))</f>
        <v>3</v>
      </c>
      <c r="L27">
        <f>IF(ISNA(VLOOKUP($A27&amp;L$1,'For stats end Y DB'!$A:$G,5,0)),0,VLOOKUP($A27&amp;L$1,'For stats end Y DB'!$A:$G,5,0))</f>
        <v>12</v>
      </c>
      <c r="M27">
        <f>IF(ISNA(VLOOKUP($A27&amp;M$1,'For stats end Y DB'!$A:$G,5,0)),0,VLOOKUP($A27&amp;M$1,'For stats end Y DB'!$A:$G,5,0))</f>
        <v>16</v>
      </c>
      <c r="N27">
        <f>IF(ISNA(VLOOKUP($A27&amp;N$1,'For stats end Y DB'!$A:$G,5,0)),0,VLOOKUP($A27&amp;N$1,'For stats end Y DB'!$A:$G,5,0))</f>
        <v>13</v>
      </c>
      <c r="O27">
        <f>IF(ISNA(VLOOKUP($A27&amp;O$1,'For stats end Y DB'!$A:$G,5,0)),0,VLOOKUP($A27&amp;O$1,'For stats end Y DB'!$A:$G,5,0))</f>
        <v>2</v>
      </c>
      <c r="P27">
        <f>IF(ISNA(VLOOKUP($A27&amp;P$1,'For stats end Y DB'!$A:$G,5,0)),0,VLOOKUP($A27&amp;P$1,'For stats end Y DB'!$A:$G,5,0))</f>
        <v>2</v>
      </c>
      <c r="Q27">
        <f>IF(ISNA(VLOOKUP($A27&amp;Q$1,'For stats end Y DB'!$A:$G,5,0)),0,VLOOKUP($A27&amp;Q$1,'For stats end Y DB'!$A:$G,5,0))</f>
        <v>0</v>
      </c>
      <c r="R27">
        <f>IF(ISNA(VLOOKUP($A27&amp;R$1,'For stats end Y DB'!$A:$G,5,0)),0,VLOOKUP($A27&amp;R$1,'For stats end Y DB'!$A:$G,5,0))</f>
        <v>0</v>
      </c>
      <c r="S27">
        <f>IF(ISNA(VLOOKUP($A27&amp;S$1,'For stats end Y DB'!$A:$G,5,0)),0,VLOOKUP($A27&amp;S$1,'For stats end Y DB'!$A:$G,5,0))</f>
        <v>3</v>
      </c>
      <c r="T27">
        <f>IF(ISNA(VLOOKUP($A27&amp;T$1,'For stats end Y DB'!$A:$G,5,0)),0,VLOOKUP($A27&amp;T$1,'For stats end Y DB'!$A:$G,5,0))</f>
        <v>0</v>
      </c>
      <c r="U27">
        <f>IF(ISNA(VLOOKUP($A27&amp;U$1,'For stats end Y DB'!$A:$G,5,0)),0,VLOOKUP($A27&amp;U$1,'For stats end Y DB'!$A:$G,5,0))</f>
        <v>0</v>
      </c>
      <c r="V27">
        <f>IF(ISNA(VLOOKUP($A27&amp;V$1,'For stats end Y DB'!$A:$G,5,0)),0,VLOOKUP($A27&amp;V$1,'For stats end Y DB'!$A:$G,5,0))</f>
        <v>0</v>
      </c>
      <c r="W27">
        <f>IF(ISNA(VLOOKUP($A27&amp;W$1,'For stats end Y DB'!$A:$G,5,0)),0,VLOOKUP($A27&amp;W$1,'For stats end Y DB'!$A:$G,5,0))</f>
        <v>0</v>
      </c>
      <c r="X27">
        <f>IF(ISNA(VLOOKUP($A27&amp;X$1,'For stats end Y DB'!$A:$G,5,0)),0,VLOOKUP($A27&amp;X$1,'For stats end Y DB'!$A:$G,5,0))</f>
        <v>0</v>
      </c>
      <c r="Y27">
        <f>IF(ISNA(VLOOKUP($A27&amp;Y$1,'For stats end Y DB'!$A:$G,5,0)),0,VLOOKUP($A27&amp;Y$1,'For stats end Y DB'!$A:$G,5,0))</f>
        <v>0</v>
      </c>
      <c r="Z27">
        <f>IF(ISNA(VLOOKUP($A27&amp;Z$1,'For stats end Y DB'!$A:$G,5,0)),0,VLOOKUP($A27&amp;Z$1,'For stats end Y DB'!$A:$G,5,0))</f>
        <v>0</v>
      </c>
      <c r="AA27">
        <f>IF(ISNA(VLOOKUP($A27&amp;AA$1,'For stats end Y DB'!$A:$G,5,0)),0,VLOOKUP($A27&amp;AA$1,'For stats end Y DB'!$A:$G,5,0))</f>
        <v>0</v>
      </c>
      <c r="AB27">
        <f>IF(ISNA(VLOOKUP($A27&amp;AB$1,'For stats end Y DB'!$A:$G,5,0)),0,VLOOKUP($A27&amp;AB$1,'For stats end Y DB'!$A:$G,5,0))</f>
        <v>0</v>
      </c>
      <c r="AC27">
        <f>IF(ISNA(VLOOKUP($A27&amp;AC$1,'For stats end Y DB'!$A:$G,5,0)),0,VLOOKUP($A27&amp;AC$1,'For stats end Y DB'!$A:$G,5,0))</f>
        <v>0</v>
      </c>
      <c r="AD27">
        <f>IF(ISNA(VLOOKUP($A27&amp;AD$1,'For stats end Y DB'!$A:$G,5,0)),0,VLOOKUP($A27&amp;AD$1,'For stats end Y DB'!$A:$G,5,0))</f>
        <v>0</v>
      </c>
      <c r="AE27">
        <f>IF(ISNA(VLOOKUP($A27&amp;AE$1,'For stats end Y DB'!$A:$G,5,0)),0,VLOOKUP($A27&amp;AE$1,'For stats end Y DB'!$A:$G,5,0))</f>
        <v>0</v>
      </c>
      <c r="AF27">
        <f>IF(ISNA(VLOOKUP($A27&amp;AF$1,'For stats end Y DB'!$A:$G,5,0)),0,VLOOKUP($A27&amp;AF$1,'For stats end Y DB'!$A:$G,5,0))</f>
        <v>0</v>
      </c>
      <c r="AG27">
        <f>IF(ISNA(VLOOKUP($A27&amp;AG$1,'For stats end Y DB'!$A:$G,5,0)),0,VLOOKUP($A27&amp;AG$1,'For stats end Y DB'!$A:$G,5,0))</f>
        <v>0</v>
      </c>
      <c r="AH27">
        <f>IF(ISNA(VLOOKUP($A27&amp;AH$1,'For stats end Y DB'!$A:$G,5,0)),0,VLOOKUP($A27&amp;AH$1,'For stats end Y DB'!$A:$G,5,0))</f>
        <v>0</v>
      </c>
      <c r="AI27">
        <f>IF(ISNA(VLOOKUP($A27&amp;AI$1,'For stats end Y DB'!$A:$G,5,0)),0,VLOOKUP($A27&amp;AI$1,'For stats end Y DB'!$A:$G,5,0))</f>
        <v>0</v>
      </c>
      <c r="AJ27">
        <f>IF(ISNA(VLOOKUP($A27&amp;AJ$1,'For stats end Y DB'!$A:$G,5,0)),0,VLOOKUP($A27&amp;AJ$1,'For stats end Y DB'!$A:$G,5,0))</f>
        <v>0</v>
      </c>
      <c r="AK27">
        <f>IF(ISNA(VLOOKUP($A27&amp;AK$1,'For stats end Y DB'!$A:$G,5,0)),0,VLOOKUP($A27&amp;AK$1,'For stats end Y DB'!$A:$G,5,0))</f>
        <v>0</v>
      </c>
      <c r="AL27">
        <f>IF(ISNA(VLOOKUP($A27&amp;AL$1,'For stats end Y DB'!$A:$G,5,0)),0,VLOOKUP($A27&amp;AL$1,'For stats end Y DB'!$A:$G,5,0))</f>
        <v>0</v>
      </c>
      <c r="AM27">
        <f>IF(ISNA(VLOOKUP($A27&amp;AM$1,'For stats end Y DB'!$A:$G,5,0)),0,VLOOKUP($A27&amp;AM$1,'For stats end Y DB'!$A:$G,5,0))</f>
        <v>0</v>
      </c>
      <c r="AN27">
        <f>IF(ISNA(VLOOKUP($A27&amp;AN$1,'For stats end Y DB'!$A:$G,5,0)),0,VLOOKUP($A27&amp;AN$1,'For stats end Y DB'!$A:$G,5,0))</f>
        <v>0</v>
      </c>
    </row>
    <row r="28" spans="1:40" x14ac:dyDescent="0.2">
      <c r="A28" t="str">
        <f>'For stats end Y class'!A28</f>
        <v>Flora</v>
      </c>
      <c r="B28">
        <f>IF(ISNA(VLOOKUP($A28&amp;B$1,'For stats end Y DB'!$A:$G,5,0)),0,VLOOKUP($A28&amp;B$1,'For stats end Y DB'!$A:$G,5,0))</f>
        <v>2</v>
      </c>
      <c r="C28">
        <f>IF(ISNA(VLOOKUP($A28&amp;C$1,'For stats end Y DB'!$A:$G,5,0)),0,VLOOKUP($A28&amp;C$1,'For stats end Y DB'!$A:$G,5,0))</f>
        <v>0</v>
      </c>
      <c r="D28">
        <f>IF(ISNA(VLOOKUP($A28&amp;D$1,'For stats end Y DB'!$A:$G,5,0)),0,VLOOKUP($A28&amp;D$1,'For stats end Y DB'!$A:$G,5,0))</f>
        <v>0</v>
      </c>
      <c r="E28">
        <f>IF(ISNA(VLOOKUP($A28&amp;E$1,'For stats end Y DB'!$A:$G,5,0)),0,VLOOKUP($A28&amp;E$1,'For stats end Y DB'!$A:$G,5,0))</f>
        <v>0</v>
      </c>
      <c r="F28">
        <f>IF(ISNA(VLOOKUP($A28&amp;F$1,'For stats end Y DB'!$A:$G,5,0)),0,VLOOKUP($A28&amp;F$1,'For stats end Y DB'!$A:$G,5,0))</f>
        <v>0</v>
      </c>
      <c r="G28">
        <f>IF(ISNA(VLOOKUP($A28&amp;G$1,'For stats end Y DB'!$A:$G,5,0)),0,VLOOKUP($A28&amp;G$1,'For stats end Y DB'!$A:$G,5,0))</f>
        <v>0</v>
      </c>
      <c r="H28">
        <f>IF(ISNA(VLOOKUP($A28&amp;H$1,'For stats end Y DB'!$A:$G,5,0)),0,VLOOKUP($A28&amp;H$1,'For stats end Y DB'!$A:$G,5,0))</f>
        <v>0</v>
      </c>
      <c r="I28">
        <f>IF(ISNA(VLOOKUP($A28&amp;I$1,'For stats end Y DB'!$A:$G,5,0)),0,VLOOKUP($A28&amp;I$1,'For stats end Y DB'!$A:$G,5,0))</f>
        <v>0</v>
      </c>
      <c r="J28">
        <f>IF(ISNA(VLOOKUP($A28&amp;J$1,'For stats end Y DB'!$A:$G,5,0)),0,VLOOKUP($A28&amp;J$1,'For stats end Y DB'!$A:$G,5,0))</f>
        <v>0</v>
      </c>
      <c r="K28">
        <f>IF(ISNA(VLOOKUP($A28&amp;K$1,'For stats end Y DB'!$A:$G,5,0)),0,VLOOKUP($A28&amp;K$1,'For stats end Y DB'!$A:$G,5,0))</f>
        <v>0</v>
      </c>
      <c r="L28">
        <f>IF(ISNA(VLOOKUP($A28&amp;L$1,'For stats end Y DB'!$A:$G,5,0)),0,VLOOKUP($A28&amp;L$1,'For stats end Y DB'!$A:$G,5,0))</f>
        <v>0</v>
      </c>
      <c r="M28">
        <f>IF(ISNA(VLOOKUP($A28&amp;M$1,'For stats end Y DB'!$A:$G,5,0)),0,VLOOKUP($A28&amp;M$1,'For stats end Y DB'!$A:$G,5,0))</f>
        <v>0</v>
      </c>
      <c r="N28">
        <f>IF(ISNA(VLOOKUP($A28&amp;N$1,'For stats end Y DB'!$A:$G,5,0)),0,VLOOKUP($A28&amp;N$1,'For stats end Y DB'!$A:$G,5,0))</f>
        <v>0</v>
      </c>
      <c r="O28">
        <f>IF(ISNA(VLOOKUP($A28&amp;O$1,'For stats end Y DB'!$A:$G,5,0)),0,VLOOKUP($A28&amp;O$1,'For stats end Y DB'!$A:$G,5,0))</f>
        <v>0</v>
      </c>
      <c r="P28">
        <f>IF(ISNA(VLOOKUP($A28&amp;P$1,'For stats end Y DB'!$A:$G,5,0)),0,VLOOKUP($A28&amp;P$1,'For stats end Y DB'!$A:$G,5,0))</f>
        <v>0</v>
      </c>
      <c r="Q28">
        <f>IF(ISNA(VLOOKUP($A28&amp;Q$1,'For stats end Y DB'!$A:$G,5,0)),0,VLOOKUP($A28&amp;Q$1,'For stats end Y DB'!$A:$G,5,0))</f>
        <v>0</v>
      </c>
      <c r="R28">
        <f>IF(ISNA(VLOOKUP($A28&amp;R$1,'For stats end Y DB'!$A:$G,5,0)),0,VLOOKUP($A28&amp;R$1,'For stats end Y DB'!$A:$G,5,0))</f>
        <v>0</v>
      </c>
      <c r="S28">
        <f>IF(ISNA(VLOOKUP($A28&amp;S$1,'For stats end Y DB'!$A:$G,5,0)),0,VLOOKUP($A28&amp;S$1,'For stats end Y DB'!$A:$G,5,0))</f>
        <v>0</v>
      </c>
      <c r="T28">
        <f>IF(ISNA(VLOOKUP($A28&amp;T$1,'For stats end Y DB'!$A:$G,5,0)),0,VLOOKUP($A28&amp;T$1,'For stats end Y DB'!$A:$G,5,0))</f>
        <v>0</v>
      </c>
      <c r="U28">
        <f>IF(ISNA(VLOOKUP($A28&amp;U$1,'For stats end Y DB'!$A:$G,5,0)),0,VLOOKUP($A28&amp;U$1,'For stats end Y DB'!$A:$G,5,0))</f>
        <v>0</v>
      </c>
      <c r="V28">
        <f>IF(ISNA(VLOOKUP($A28&amp;V$1,'For stats end Y DB'!$A:$G,5,0)),0,VLOOKUP($A28&amp;V$1,'For stats end Y DB'!$A:$G,5,0))</f>
        <v>0</v>
      </c>
      <c r="W28">
        <f>IF(ISNA(VLOOKUP($A28&amp;W$1,'For stats end Y DB'!$A:$G,5,0)),0,VLOOKUP($A28&amp;W$1,'For stats end Y DB'!$A:$G,5,0))</f>
        <v>0</v>
      </c>
      <c r="X28">
        <f>IF(ISNA(VLOOKUP($A28&amp;X$1,'For stats end Y DB'!$A:$G,5,0)),0,VLOOKUP($A28&amp;X$1,'For stats end Y DB'!$A:$G,5,0))</f>
        <v>0</v>
      </c>
      <c r="Y28">
        <f>IF(ISNA(VLOOKUP($A28&amp;Y$1,'For stats end Y DB'!$A:$G,5,0)),0,VLOOKUP($A28&amp;Y$1,'For stats end Y DB'!$A:$G,5,0))</f>
        <v>0</v>
      </c>
      <c r="Z28">
        <f>IF(ISNA(VLOOKUP($A28&amp;Z$1,'For stats end Y DB'!$A:$G,5,0)),0,VLOOKUP($A28&amp;Z$1,'For stats end Y DB'!$A:$G,5,0))</f>
        <v>0</v>
      </c>
      <c r="AA28">
        <f>IF(ISNA(VLOOKUP($A28&amp;AA$1,'For stats end Y DB'!$A:$G,5,0)),0,VLOOKUP($A28&amp;AA$1,'For stats end Y DB'!$A:$G,5,0))</f>
        <v>0</v>
      </c>
      <c r="AB28">
        <f>IF(ISNA(VLOOKUP($A28&amp;AB$1,'For stats end Y DB'!$A:$G,5,0)),0,VLOOKUP($A28&amp;AB$1,'For stats end Y DB'!$A:$G,5,0))</f>
        <v>0</v>
      </c>
      <c r="AC28">
        <f>IF(ISNA(VLOOKUP($A28&amp;AC$1,'For stats end Y DB'!$A:$G,5,0)),0,VLOOKUP($A28&amp;AC$1,'For stats end Y DB'!$A:$G,5,0))</f>
        <v>0</v>
      </c>
      <c r="AD28">
        <f>IF(ISNA(VLOOKUP($A28&amp;AD$1,'For stats end Y DB'!$A:$G,5,0)),0,VLOOKUP($A28&amp;AD$1,'For stats end Y DB'!$A:$G,5,0))</f>
        <v>0</v>
      </c>
      <c r="AE28">
        <f>IF(ISNA(VLOOKUP($A28&amp;AE$1,'For stats end Y DB'!$A:$G,5,0)),0,VLOOKUP($A28&amp;AE$1,'For stats end Y DB'!$A:$G,5,0))</f>
        <v>0</v>
      </c>
      <c r="AF28">
        <f>IF(ISNA(VLOOKUP($A28&amp;AF$1,'For stats end Y DB'!$A:$G,5,0)),0,VLOOKUP($A28&amp;AF$1,'For stats end Y DB'!$A:$G,5,0))</f>
        <v>0</v>
      </c>
      <c r="AG28">
        <f>IF(ISNA(VLOOKUP($A28&amp;AG$1,'For stats end Y DB'!$A:$G,5,0)),0,VLOOKUP($A28&amp;AG$1,'For stats end Y DB'!$A:$G,5,0))</f>
        <v>0</v>
      </c>
      <c r="AH28">
        <f>IF(ISNA(VLOOKUP($A28&amp;AH$1,'For stats end Y DB'!$A:$G,5,0)),0,VLOOKUP($A28&amp;AH$1,'For stats end Y DB'!$A:$G,5,0))</f>
        <v>0</v>
      </c>
      <c r="AI28">
        <f>IF(ISNA(VLOOKUP($A28&amp;AI$1,'For stats end Y DB'!$A:$G,5,0)),0,VLOOKUP($A28&amp;AI$1,'For stats end Y DB'!$A:$G,5,0))</f>
        <v>0</v>
      </c>
      <c r="AJ28">
        <f>IF(ISNA(VLOOKUP($A28&amp;AJ$1,'For stats end Y DB'!$A:$G,5,0)),0,VLOOKUP($A28&amp;AJ$1,'For stats end Y DB'!$A:$G,5,0))</f>
        <v>0</v>
      </c>
      <c r="AK28">
        <f>IF(ISNA(VLOOKUP($A28&amp;AK$1,'For stats end Y DB'!$A:$G,5,0)),0,VLOOKUP($A28&amp;AK$1,'For stats end Y DB'!$A:$G,5,0))</f>
        <v>0</v>
      </c>
      <c r="AL28">
        <f>IF(ISNA(VLOOKUP($A28&amp;AL$1,'For stats end Y DB'!$A:$G,5,0)),0,VLOOKUP($A28&amp;AL$1,'For stats end Y DB'!$A:$G,5,0))</f>
        <v>0</v>
      </c>
      <c r="AM28">
        <f>IF(ISNA(VLOOKUP($A28&amp;AM$1,'For stats end Y DB'!$A:$G,5,0)),0,VLOOKUP($A28&amp;AM$1,'For stats end Y DB'!$A:$G,5,0))</f>
        <v>0</v>
      </c>
      <c r="AN28">
        <f>IF(ISNA(VLOOKUP($A28&amp;AN$1,'For stats end Y DB'!$A:$G,5,0)),0,VLOOKUP($A28&amp;AN$1,'For stats end Y DB'!$A:$G,5,0))</f>
        <v>0</v>
      </c>
    </row>
    <row r="29" spans="1:40" x14ac:dyDescent="0.2">
      <c r="A29" t="str">
        <f>'For stats end Y class'!A29</f>
        <v>Franz</v>
      </c>
      <c r="B29">
        <f>IF(ISNA(VLOOKUP($A29&amp;B$1,'For stats end Y DB'!$A:$G,5,0)),0,VLOOKUP($A29&amp;B$1,'For stats end Y DB'!$A:$G,5,0))</f>
        <v>16</v>
      </c>
      <c r="C29">
        <f>IF(ISNA(VLOOKUP($A29&amp;C$1,'For stats end Y DB'!$A:$G,5,0)),0,VLOOKUP($A29&amp;C$1,'For stats end Y DB'!$A:$G,5,0))</f>
        <v>0</v>
      </c>
      <c r="D29">
        <f>IF(ISNA(VLOOKUP($A29&amp;D$1,'For stats end Y DB'!$A:$G,5,0)),0,VLOOKUP($A29&amp;D$1,'For stats end Y DB'!$A:$G,5,0))</f>
        <v>0</v>
      </c>
      <c r="E29">
        <f>IF(ISNA(VLOOKUP($A29&amp;E$1,'For stats end Y DB'!$A:$G,5,0)),0,VLOOKUP($A29&amp;E$1,'For stats end Y DB'!$A:$G,5,0))</f>
        <v>0</v>
      </c>
      <c r="F29">
        <f>IF(ISNA(VLOOKUP($A29&amp;F$1,'For stats end Y DB'!$A:$G,5,0)),0,VLOOKUP($A29&amp;F$1,'For stats end Y DB'!$A:$G,5,0))</f>
        <v>0</v>
      </c>
      <c r="G29">
        <f>IF(ISNA(VLOOKUP($A29&amp;G$1,'For stats end Y DB'!$A:$G,5,0)),0,VLOOKUP($A29&amp;G$1,'For stats end Y DB'!$A:$G,5,0))</f>
        <v>0</v>
      </c>
      <c r="H29">
        <f>IF(ISNA(VLOOKUP($A29&amp;H$1,'For stats end Y DB'!$A:$G,5,0)),0,VLOOKUP($A29&amp;H$1,'For stats end Y DB'!$A:$G,5,0))</f>
        <v>0</v>
      </c>
      <c r="I29">
        <f>IF(ISNA(VLOOKUP($A29&amp;I$1,'For stats end Y DB'!$A:$G,5,0)),0,VLOOKUP($A29&amp;I$1,'For stats end Y DB'!$A:$G,5,0))</f>
        <v>0</v>
      </c>
      <c r="J29">
        <f>IF(ISNA(VLOOKUP($A29&amp;J$1,'For stats end Y DB'!$A:$G,5,0)),0,VLOOKUP($A29&amp;J$1,'For stats end Y DB'!$A:$G,5,0))</f>
        <v>0</v>
      </c>
      <c r="K29">
        <f>IF(ISNA(VLOOKUP($A29&amp;K$1,'For stats end Y DB'!$A:$G,5,0)),0,VLOOKUP($A29&amp;K$1,'For stats end Y DB'!$A:$G,5,0))</f>
        <v>0</v>
      </c>
      <c r="L29">
        <f>IF(ISNA(VLOOKUP($A29&amp;L$1,'For stats end Y DB'!$A:$G,5,0)),0,VLOOKUP($A29&amp;L$1,'For stats end Y DB'!$A:$G,5,0))</f>
        <v>0</v>
      </c>
      <c r="M29">
        <f>IF(ISNA(VLOOKUP($A29&amp;M$1,'For stats end Y DB'!$A:$G,5,0)),0,VLOOKUP($A29&amp;M$1,'For stats end Y DB'!$A:$G,5,0))</f>
        <v>0</v>
      </c>
      <c r="N29">
        <f>IF(ISNA(VLOOKUP($A29&amp;N$1,'For stats end Y DB'!$A:$G,5,0)),0,VLOOKUP($A29&amp;N$1,'For stats end Y DB'!$A:$G,5,0))</f>
        <v>0</v>
      </c>
      <c r="O29">
        <f>IF(ISNA(VLOOKUP($A29&amp;O$1,'For stats end Y DB'!$A:$G,5,0)),0,VLOOKUP($A29&amp;O$1,'For stats end Y DB'!$A:$G,5,0))</f>
        <v>0</v>
      </c>
      <c r="P29">
        <f>IF(ISNA(VLOOKUP($A29&amp;P$1,'For stats end Y DB'!$A:$G,5,0)),0,VLOOKUP($A29&amp;P$1,'For stats end Y DB'!$A:$G,5,0))</f>
        <v>0</v>
      </c>
      <c r="Q29">
        <f>IF(ISNA(VLOOKUP($A29&amp;Q$1,'For stats end Y DB'!$A:$G,5,0)),0,VLOOKUP($A29&amp;Q$1,'For stats end Y DB'!$A:$G,5,0))</f>
        <v>0</v>
      </c>
      <c r="R29">
        <f>IF(ISNA(VLOOKUP($A29&amp;R$1,'For stats end Y DB'!$A:$G,5,0)),0,VLOOKUP($A29&amp;R$1,'For stats end Y DB'!$A:$G,5,0))</f>
        <v>0</v>
      </c>
      <c r="S29">
        <f>IF(ISNA(VLOOKUP($A29&amp;S$1,'For stats end Y DB'!$A:$G,5,0)),0,VLOOKUP($A29&amp;S$1,'For stats end Y DB'!$A:$G,5,0))</f>
        <v>0</v>
      </c>
      <c r="T29">
        <f>IF(ISNA(VLOOKUP($A29&amp;T$1,'For stats end Y DB'!$A:$G,5,0)),0,VLOOKUP($A29&amp;T$1,'For stats end Y DB'!$A:$G,5,0))</f>
        <v>0</v>
      </c>
      <c r="U29">
        <f>IF(ISNA(VLOOKUP($A29&amp;U$1,'For stats end Y DB'!$A:$G,5,0)),0,VLOOKUP($A29&amp;U$1,'For stats end Y DB'!$A:$G,5,0))</f>
        <v>0</v>
      </c>
      <c r="V29">
        <f>IF(ISNA(VLOOKUP($A29&amp;V$1,'For stats end Y DB'!$A:$G,5,0)),0,VLOOKUP($A29&amp;V$1,'For stats end Y DB'!$A:$G,5,0))</f>
        <v>0</v>
      </c>
      <c r="W29">
        <f>IF(ISNA(VLOOKUP($A29&amp;W$1,'For stats end Y DB'!$A:$G,5,0)),0,VLOOKUP($A29&amp;W$1,'For stats end Y DB'!$A:$G,5,0))</f>
        <v>0</v>
      </c>
      <c r="X29">
        <f>IF(ISNA(VLOOKUP($A29&amp;X$1,'For stats end Y DB'!$A:$G,5,0)),0,VLOOKUP($A29&amp;X$1,'For stats end Y DB'!$A:$G,5,0))</f>
        <v>0</v>
      </c>
      <c r="Y29">
        <f>IF(ISNA(VLOOKUP($A29&amp;Y$1,'For stats end Y DB'!$A:$G,5,0)),0,VLOOKUP($A29&amp;Y$1,'For stats end Y DB'!$A:$G,5,0))</f>
        <v>0</v>
      </c>
      <c r="Z29">
        <f>IF(ISNA(VLOOKUP($A29&amp;Z$1,'For stats end Y DB'!$A:$G,5,0)),0,VLOOKUP($A29&amp;Z$1,'For stats end Y DB'!$A:$G,5,0))</f>
        <v>0</v>
      </c>
      <c r="AA29">
        <f>IF(ISNA(VLOOKUP($A29&amp;AA$1,'For stats end Y DB'!$A:$G,5,0)),0,VLOOKUP($A29&amp;AA$1,'For stats end Y DB'!$A:$G,5,0))</f>
        <v>0</v>
      </c>
      <c r="AB29">
        <f>IF(ISNA(VLOOKUP($A29&amp;AB$1,'For stats end Y DB'!$A:$G,5,0)),0,VLOOKUP($A29&amp;AB$1,'For stats end Y DB'!$A:$G,5,0))</f>
        <v>0</v>
      </c>
      <c r="AC29">
        <f>IF(ISNA(VLOOKUP($A29&amp;AC$1,'For stats end Y DB'!$A:$G,5,0)),0,VLOOKUP($A29&amp;AC$1,'For stats end Y DB'!$A:$G,5,0))</f>
        <v>0</v>
      </c>
      <c r="AD29">
        <f>IF(ISNA(VLOOKUP($A29&amp;AD$1,'For stats end Y DB'!$A:$G,5,0)),0,VLOOKUP($A29&amp;AD$1,'For stats end Y DB'!$A:$G,5,0))</f>
        <v>0</v>
      </c>
      <c r="AE29">
        <f>IF(ISNA(VLOOKUP($A29&amp;AE$1,'For stats end Y DB'!$A:$G,5,0)),0,VLOOKUP($A29&amp;AE$1,'For stats end Y DB'!$A:$G,5,0))</f>
        <v>0</v>
      </c>
      <c r="AF29">
        <f>IF(ISNA(VLOOKUP($A29&amp;AF$1,'For stats end Y DB'!$A:$G,5,0)),0,VLOOKUP($A29&amp;AF$1,'For stats end Y DB'!$A:$G,5,0))</f>
        <v>0</v>
      </c>
      <c r="AG29">
        <f>IF(ISNA(VLOOKUP($A29&amp;AG$1,'For stats end Y DB'!$A:$G,5,0)),0,VLOOKUP($A29&amp;AG$1,'For stats end Y DB'!$A:$G,5,0))</f>
        <v>0</v>
      </c>
      <c r="AH29">
        <f>IF(ISNA(VLOOKUP($A29&amp;AH$1,'For stats end Y DB'!$A:$G,5,0)),0,VLOOKUP($A29&amp;AH$1,'For stats end Y DB'!$A:$G,5,0))</f>
        <v>0</v>
      </c>
      <c r="AI29">
        <f>IF(ISNA(VLOOKUP($A29&amp;AI$1,'For stats end Y DB'!$A:$G,5,0)),0,VLOOKUP($A29&amp;AI$1,'For stats end Y DB'!$A:$G,5,0))</f>
        <v>0</v>
      </c>
      <c r="AJ29">
        <f>IF(ISNA(VLOOKUP($A29&amp;AJ$1,'For stats end Y DB'!$A:$G,5,0)),0,VLOOKUP($A29&amp;AJ$1,'For stats end Y DB'!$A:$G,5,0))</f>
        <v>0</v>
      </c>
      <c r="AK29">
        <f>IF(ISNA(VLOOKUP($A29&amp;AK$1,'For stats end Y DB'!$A:$G,5,0)),0,VLOOKUP($A29&amp;AK$1,'For stats end Y DB'!$A:$G,5,0))</f>
        <v>0</v>
      </c>
      <c r="AL29">
        <f>IF(ISNA(VLOOKUP($A29&amp;AL$1,'For stats end Y DB'!$A:$G,5,0)),0,VLOOKUP($A29&amp;AL$1,'For stats end Y DB'!$A:$G,5,0))</f>
        <v>0</v>
      </c>
      <c r="AM29">
        <f>IF(ISNA(VLOOKUP($A29&amp;AM$1,'For stats end Y DB'!$A:$G,5,0)),0,VLOOKUP($A29&amp;AM$1,'For stats end Y DB'!$A:$G,5,0))</f>
        <v>0</v>
      </c>
      <c r="AN29">
        <f>IF(ISNA(VLOOKUP($A29&amp;AN$1,'For stats end Y DB'!$A:$G,5,0)),0,VLOOKUP($A29&amp;AN$1,'For stats end Y DB'!$A:$G,5,0))</f>
        <v>0</v>
      </c>
    </row>
    <row r="30" spans="1:40" x14ac:dyDescent="0.2">
      <c r="A30" t="str">
        <f>'For stats end Y class'!A30</f>
        <v>Freddie</v>
      </c>
      <c r="B30">
        <f>IF(ISNA(VLOOKUP($A30&amp;B$1,'For stats end Y DB'!$A:$G,5,0)),0,VLOOKUP($A30&amp;B$1,'For stats end Y DB'!$A:$G,5,0))</f>
        <v>0</v>
      </c>
      <c r="C30">
        <f>IF(ISNA(VLOOKUP($A30&amp;C$1,'For stats end Y DB'!$A:$G,5,0)),0,VLOOKUP($A30&amp;C$1,'For stats end Y DB'!$A:$G,5,0))</f>
        <v>2</v>
      </c>
      <c r="D30">
        <f>IF(ISNA(VLOOKUP($A30&amp;D$1,'For stats end Y DB'!$A:$G,5,0)),0,VLOOKUP($A30&amp;D$1,'For stats end Y DB'!$A:$G,5,0))</f>
        <v>1</v>
      </c>
      <c r="E30">
        <f>IF(ISNA(VLOOKUP($A30&amp;E$1,'For stats end Y DB'!$A:$G,5,0)),0,VLOOKUP($A30&amp;E$1,'For stats end Y DB'!$A:$G,5,0))</f>
        <v>9</v>
      </c>
      <c r="F30">
        <f>IF(ISNA(VLOOKUP($A30&amp;F$1,'For stats end Y DB'!$A:$G,5,0)),0,VLOOKUP($A30&amp;F$1,'For stats end Y DB'!$A:$G,5,0))</f>
        <v>0</v>
      </c>
      <c r="G30">
        <f>IF(ISNA(VLOOKUP($A30&amp;G$1,'For stats end Y DB'!$A:$G,5,0)),0,VLOOKUP($A30&amp;G$1,'For stats end Y DB'!$A:$G,5,0))</f>
        <v>13</v>
      </c>
      <c r="H30">
        <f>IF(ISNA(VLOOKUP($A30&amp;H$1,'For stats end Y DB'!$A:$G,5,0)),0,VLOOKUP($A30&amp;H$1,'For stats end Y DB'!$A:$G,5,0))</f>
        <v>0</v>
      </c>
      <c r="I30">
        <f>IF(ISNA(VLOOKUP($A30&amp;I$1,'For stats end Y DB'!$A:$G,5,0)),0,VLOOKUP($A30&amp;I$1,'For stats end Y DB'!$A:$G,5,0))</f>
        <v>3</v>
      </c>
      <c r="J30">
        <f>IF(ISNA(VLOOKUP($A30&amp;J$1,'For stats end Y DB'!$A:$G,5,0)),0,VLOOKUP($A30&amp;J$1,'For stats end Y DB'!$A:$G,5,0))</f>
        <v>2</v>
      </c>
      <c r="K30">
        <f>IF(ISNA(VLOOKUP($A30&amp;K$1,'For stats end Y DB'!$A:$G,5,0)),0,VLOOKUP($A30&amp;K$1,'For stats end Y DB'!$A:$G,5,0))</f>
        <v>1</v>
      </c>
      <c r="L30">
        <f>IF(ISNA(VLOOKUP($A30&amp;L$1,'For stats end Y DB'!$A:$G,5,0)),0,VLOOKUP($A30&amp;L$1,'For stats end Y DB'!$A:$G,5,0))</f>
        <v>3</v>
      </c>
      <c r="M30">
        <f>IF(ISNA(VLOOKUP($A30&amp;M$1,'For stats end Y DB'!$A:$G,5,0)),0,VLOOKUP($A30&amp;M$1,'For stats end Y DB'!$A:$G,5,0))</f>
        <v>8</v>
      </c>
      <c r="N30">
        <f>IF(ISNA(VLOOKUP($A30&amp;N$1,'For stats end Y DB'!$A:$G,5,0)),0,VLOOKUP($A30&amp;N$1,'For stats end Y DB'!$A:$G,5,0))</f>
        <v>2</v>
      </c>
      <c r="O30">
        <f>IF(ISNA(VLOOKUP($A30&amp;O$1,'For stats end Y DB'!$A:$G,5,0)),0,VLOOKUP($A30&amp;O$1,'For stats end Y DB'!$A:$G,5,0))</f>
        <v>0</v>
      </c>
      <c r="P30">
        <f>IF(ISNA(VLOOKUP($A30&amp;P$1,'For stats end Y DB'!$A:$G,5,0)),0,VLOOKUP($A30&amp;P$1,'For stats end Y DB'!$A:$G,5,0))</f>
        <v>1</v>
      </c>
      <c r="Q30">
        <f>IF(ISNA(VLOOKUP($A30&amp;Q$1,'For stats end Y DB'!$A:$G,5,0)),0,VLOOKUP($A30&amp;Q$1,'For stats end Y DB'!$A:$G,5,0))</f>
        <v>2</v>
      </c>
      <c r="R30">
        <f>IF(ISNA(VLOOKUP($A30&amp;R$1,'For stats end Y DB'!$A:$G,5,0)),0,VLOOKUP($A30&amp;R$1,'For stats end Y DB'!$A:$G,5,0))</f>
        <v>3</v>
      </c>
      <c r="S30">
        <f>IF(ISNA(VLOOKUP($A30&amp;S$1,'For stats end Y DB'!$A:$G,5,0)),0,VLOOKUP($A30&amp;S$1,'For stats end Y DB'!$A:$G,5,0))</f>
        <v>1</v>
      </c>
      <c r="T30">
        <f>IF(ISNA(VLOOKUP($A30&amp;T$1,'For stats end Y DB'!$A:$G,5,0)),0,VLOOKUP($A30&amp;T$1,'For stats end Y DB'!$A:$G,5,0))</f>
        <v>1</v>
      </c>
      <c r="U30">
        <f>IF(ISNA(VLOOKUP($A30&amp;U$1,'For stats end Y DB'!$A:$G,5,0)),0,VLOOKUP($A30&amp;U$1,'For stats end Y DB'!$A:$G,5,0))</f>
        <v>12</v>
      </c>
      <c r="V30">
        <f>IF(ISNA(VLOOKUP($A30&amp;V$1,'For stats end Y DB'!$A:$G,5,0)),0,VLOOKUP($A30&amp;V$1,'For stats end Y DB'!$A:$G,5,0))</f>
        <v>4</v>
      </c>
      <c r="W30">
        <f>IF(ISNA(VLOOKUP($A30&amp;W$1,'For stats end Y DB'!$A:$G,5,0)),0,VLOOKUP($A30&amp;W$1,'For stats end Y DB'!$A:$G,5,0))</f>
        <v>4</v>
      </c>
      <c r="X30">
        <f>IF(ISNA(VLOOKUP($A30&amp;X$1,'For stats end Y DB'!$A:$G,5,0)),0,VLOOKUP($A30&amp;X$1,'For stats end Y DB'!$A:$G,5,0))</f>
        <v>8</v>
      </c>
      <c r="Y30">
        <f>IF(ISNA(VLOOKUP($A30&amp;Y$1,'For stats end Y DB'!$A:$G,5,0)),0,VLOOKUP($A30&amp;Y$1,'For stats end Y DB'!$A:$G,5,0))</f>
        <v>3</v>
      </c>
      <c r="Z30">
        <f>IF(ISNA(VLOOKUP($A30&amp;Z$1,'For stats end Y DB'!$A:$G,5,0)),0,VLOOKUP($A30&amp;Z$1,'For stats end Y DB'!$A:$G,5,0))</f>
        <v>0</v>
      </c>
      <c r="AA30">
        <f>IF(ISNA(VLOOKUP($A30&amp;AA$1,'For stats end Y DB'!$A:$G,5,0)),0,VLOOKUP($A30&amp;AA$1,'For stats end Y DB'!$A:$G,5,0))</f>
        <v>4</v>
      </c>
      <c r="AB30">
        <f>IF(ISNA(VLOOKUP($A30&amp;AB$1,'For stats end Y DB'!$A:$G,5,0)),0,VLOOKUP($A30&amp;AB$1,'For stats end Y DB'!$A:$G,5,0))</f>
        <v>0</v>
      </c>
      <c r="AC30">
        <f>IF(ISNA(VLOOKUP($A30&amp;AC$1,'For stats end Y DB'!$A:$G,5,0)),0,VLOOKUP($A30&amp;AC$1,'For stats end Y DB'!$A:$G,5,0))</f>
        <v>0</v>
      </c>
      <c r="AD30">
        <f>IF(ISNA(VLOOKUP($A30&amp;AD$1,'For stats end Y DB'!$A:$G,5,0)),0,VLOOKUP($A30&amp;AD$1,'For stats end Y DB'!$A:$G,5,0))</f>
        <v>0</v>
      </c>
      <c r="AE30">
        <f>IF(ISNA(VLOOKUP($A30&amp;AE$1,'For stats end Y DB'!$A:$G,5,0)),0,VLOOKUP($A30&amp;AE$1,'For stats end Y DB'!$A:$G,5,0))</f>
        <v>0</v>
      </c>
      <c r="AF30">
        <f>IF(ISNA(VLOOKUP($A30&amp;AF$1,'For stats end Y DB'!$A:$G,5,0)),0,VLOOKUP($A30&amp;AF$1,'For stats end Y DB'!$A:$G,5,0))</f>
        <v>4</v>
      </c>
      <c r="AG30">
        <f>IF(ISNA(VLOOKUP($A30&amp;AG$1,'For stats end Y DB'!$A:$G,5,0)),0,VLOOKUP($A30&amp;AG$1,'For stats end Y DB'!$A:$G,5,0))</f>
        <v>2</v>
      </c>
      <c r="AH30">
        <f>IF(ISNA(VLOOKUP($A30&amp;AH$1,'For stats end Y DB'!$A:$G,5,0)),0,VLOOKUP($A30&amp;AH$1,'For stats end Y DB'!$A:$G,5,0))</f>
        <v>0</v>
      </c>
      <c r="AI30">
        <f>IF(ISNA(VLOOKUP($A30&amp;AI$1,'For stats end Y DB'!$A:$G,5,0)),0,VLOOKUP($A30&amp;AI$1,'For stats end Y DB'!$A:$G,5,0))</f>
        <v>0</v>
      </c>
      <c r="AJ30">
        <f>IF(ISNA(VLOOKUP($A30&amp;AJ$1,'For stats end Y DB'!$A:$G,5,0)),0,VLOOKUP($A30&amp;AJ$1,'For stats end Y DB'!$A:$G,5,0))</f>
        <v>0</v>
      </c>
      <c r="AK30">
        <f>IF(ISNA(VLOOKUP($A30&amp;AK$1,'For stats end Y DB'!$A:$G,5,0)),0,VLOOKUP($A30&amp;AK$1,'For stats end Y DB'!$A:$G,5,0))</f>
        <v>0</v>
      </c>
      <c r="AL30">
        <f>IF(ISNA(VLOOKUP($A30&amp;AL$1,'For stats end Y DB'!$A:$G,5,0)),0,VLOOKUP($A30&amp;AL$1,'For stats end Y DB'!$A:$G,5,0))</f>
        <v>0</v>
      </c>
      <c r="AM30">
        <f>IF(ISNA(VLOOKUP($A30&amp;AM$1,'For stats end Y DB'!$A:$G,5,0)),0,VLOOKUP($A30&amp;AM$1,'For stats end Y DB'!$A:$G,5,0))</f>
        <v>0</v>
      </c>
      <c r="AN30">
        <f>IF(ISNA(VLOOKUP($A30&amp;AN$1,'For stats end Y DB'!$A:$G,5,0)),0,VLOOKUP($A30&amp;AN$1,'For stats end Y DB'!$A:$G,5,0))</f>
        <v>0</v>
      </c>
    </row>
    <row r="31" spans="1:40" x14ac:dyDescent="0.2">
      <c r="A31" t="str">
        <f>'For stats end Y class'!A31</f>
        <v>Fréderique</v>
      </c>
      <c r="B31">
        <f>IF(ISNA(VLOOKUP($A31&amp;B$1,'For stats end Y DB'!$A:$G,5,0)),0,VLOOKUP($A31&amp;B$1,'For stats end Y DB'!$A:$G,5,0))</f>
        <v>3</v>
      </c>
      <c r="C31">
        <f>IF(ISNA(VLOOKUP($A31&amp;C$1,'For stats end Y DB'!$A:$G,5,0)),0,VLOOKUP($A31&amp;C$1,'For stats end Y DB'!$A:$G,5,0))</f>
        <v>0</v>
      </c>
      <c r="D31">
        <f>IF(ISNA(VLOOKUP($A31&amp;D$1,'For stats end Y DB'!$A:$G,5,0)),0,VLOOKUP($A31&amp;D$1,'For stats end Y DB'!$A:$G,5,0))</f>
        <v>0</v>
      </c>
      <c r="E31">
        <f>IF(ISNA(VLOOKUP($A31&amp;E$1,'For stats end Y DB'!$A:$G,5,0)),0,VLOOKUP($A31&amp;E$1,'For stats end Y DB'!$A:$G,5,0))</f>
        <v>0</v>
      </c>
      <c r="F31">
        <f>IF(ISNA(VLOOKUP($A31&amp;F$1,'For stats end Y DB'!$A:$G,5,0)),0,VLOOKUP($A31&amp;F$1,'For stats end Y DB'!$A:$G,5,0))</f>
        <v>0</v>
      </c>
      <c r="G31">
        <f>IF(ISNA(VLOOKUP($A31&amp;G$1,'For stats end Y DB'!$A:$G,5,0)),0,VLOOKUP($A31&amp;G$1,'For stats end Y DB'!$A:$G,5,0))</f>
        <v>0</v>
      </c>
      <c r="H31">
        <f>IF(ISNA(VLOOKUP($A31&amp;H$1,'For stats end Y DB'!$A:$G,5,0)),0,VLOOKUP($A31&amp;H$1,'For stats end Y DB'!$A:$G,5,0))</f>
        <v>0</v>
      </c>
      <c r="I31">
        <f>IF(ISNA(VLOOKUP($A31&amp;I$1,'For stats end Y DB'!$A:$G,5,0)),0,VLOOKUP($A31&amp;I$1,'For stats end Y DB'!$A:$G,5,0))</f>
        <v>0</v>
      </c>
      <c r="J31">
        <f>IF(ISNA(VLOOKUP($A31&amp;J$1,'For stats end Y DB'!$A:$G,5,0)),0,VLOOKUP($A31&amp;J$1,'For stats end Y DB'!$A:$G,5,0))</f>
        <v>0</v>
      </c>
      <c r="K31">
        <f>IF(ISNA(VLOOKUP($A31&amp;K$1,'For stats end Y DB'!$A:$G,5,0)),0,VLOOKUP($A31&amp;K$1,'For stats end Y DB'!$A:$G,5,0))</f>
        <v>0</v>
      </c>
      <c r="L31">
        <f>IF(ISNA(VLOOKUP($A31&amp;L$1,'For stats end Y DB'!$A:$G,5,0)),0,VLOOKUP($A31&amp;L$1,'For stats end Y DB'!$A:$G,5,0))</f>
        <v>0</v>
      </c>
      <c r="M31">
        <f>IF(ISNA(VLOOKUP($A31&amp;M$1,'For stats end Y DB'!$A:$G,5,0)),0,VLOOKUP($A31&amp;M$1,'For stats end Y DB'!$A:$G,5,0))</f>
        <v>0</v>
      </c>
      <c r="N31">
        <f>IF(ISNA(VLOOKUP($A31&amp;N$1,'For stats end Y DB'!$A:$G,5,0)),0,VLOOKUP($A31&amp;N$1,'For stats end Y DB'!$A:$G,5,0))</f>
        <v>0</v>
      </c>
      <c r="O31">
        <f>IF(ISNA(VLOOKUP($A31&amp;O$1,'For stats end Y DB'!$A:$G,5,0)),0,VLOOKUP($A31&amp;O$1,'For stats end Y DB'!$A:$G,5,0))</f>
        <v>0</v>
      </c>
      <c r="P31">
        <f>IF(ISNA(VLOOKUP($A31&amp;P$1,'For stats end Y DB'!$A:$G,5,0)),0,VLOOKUP($A31&amp;P$1,'For stats end Y DB'!$A:$G,5,0))</f>
        <v>0</v>
      </c>
      <c r="Q31">
        <f>IF(ISNA(VLOOKUP($A31&amp;Q$1,'For stats end Y DB'!$A:$G,5,0)),0,VLOOKUP($A31&amp;Q$1,'For stats end Y DB'!$A:$G,5,0))</f>
        <v>0</v>
      </c>
      <c r="R31">
        <f>IF(ISNA(VLOOKUP($A31&amp;R$1,'For stats end Y DB'!$A:$G,5,0)),0,VLOOKUP($A31&amp;R$1,'For stats end Y DB'!$A:$G,5,0))</f>
        <v>0</v>
      </c>
      <c r="S31">
        <f>IF(ISNA(VLOOKUP($A31&amp;S$1,'For stats end Y DB'!$A:$G,5,0)),0,VLOOKUP($A31&amp;S$1,'For stats end Y DB'!$A:$G,5,0))</f>
        <v>0</v>
      </c>
      <c r="T31">
        <f>IF(ISNA(VLOOKUP($A31&amp;T$1,'For stats end Y DB'!$A:$G,5,0)),0,VLOOKUP($A31&amp;T$1,'For stats end Y DB'!$A:$G,5,0))</f>
        <v>0</v>
      </c>
      <c r="U31">
        <f>IF(ISNA(VLOOKUP($A31&amp;U$1,'For stats end Y DB'!$A:$G,5,0)),0,VLOOKUP($A31&amp;U$1,'For stats end Y DB'!$A:$G,5,0))</f>
        <v>0</v>
      </c>
      <c r="V31">
        <f>IF(ISNA(VLOOKUP($A31&amp;V$1,'For stats end Y DB'!$A:$G,5,0)),0,VLOOKUP($A31&amp;V$1,'For stats end Y DB'!$A:$G,5,0))</f>
        <v>0</v>
      </c>
      <c r="W31">
        <f>IF(ISNA(VLOOKUP($A31&amp;W$1,'For stats end Y DB'!$A:$G,5,0)),0,VLOOKUP($A31&amp;W$1,'For stats end Y DB'!$A:$G,5,0))</f>
        <v>0</v>
      </c>
      <c r="X31">
        <f>IF(ISNA(VLOOKUP($A31&amp;X$1,'For stats end Y DB'!$A:$G,5,0)),0,VLOOKUP($A31&amp;X$1,'For stats end Y DB'!$A:$G,5,0))</f>
        <v>0</v>
      </c>
      <c r="Y31">
        <f>IF(ISNA(VLOOKUP($A31&amp;Y$1,'For stats end Y DB'!$A:$G,5,0)),0,VLOOKUP($A31&amp;Y$1,'For stats end Y DB'!$A:$G,5,0))</f>
        <v>0</v>
      </c>
      <c r="Z31">
        <f>IF(ISNA(VLOOKUP($A31&amp;Z$1,'For stats end Y DB'!$A:$G,5,0)),0,VLOOKUP($A31&amp;Z$1,'For stats end Y DB'!$A:$G,5,0))</f>
        <v>0</v>
      </c>
      <c r="AA31">
        <f>IF(ISNA(VLOOKUP($A31&amp;AA$1,'For stats end Y DB'!$A:$G,5,0)),0,VLOOKUP($A31&amp;AA$1,'For stats end Y DB'!$A:$G,5,0))</f>
        <v>0</v>
      </c>
      <c r="AB31">
        <f>IF(ISNA(VLOOKUP($A31&amp;AB$1,'For stats end Y DB'!$A:$G,5,0)),0,VLOOKUP($A31&amp;AB$1,'For stats end Y DB'!$A:$G,5,0))</f>
        <v>0</v>
      </c>
      <c r="AC31">
        <f>IF(ISNA(VLOOKUP($A31&amp;AC$1,'For stats end Y DB'!$A:$G,5,0)),0,VLOOKUP($A31&amp;AC$1,'For stats end Y DB'!$A:$G,5,0))</f>
        <v>0</v>
      </c>
      <c r="AD31">
        <f>IF(ISNA(VLOOKUP($A31&amp;AD$1,'For stats end Y DB'!$A:$G,5,0)),0,VLOOKUP($A31&amp;AD$1,'For stats end Y DB'!$A:$G,5,0))</f>
        <v>0</v>
      </c>
      <c r="AE31">
        <f>IF(ISNA(VLOOKUP($A31&amp;AE$1,'For stats end Y DB'!$A:$G,5,0)),0,VLOOKUP($A31&amp;AE$1,'For stats end Y DB'!$A:$G,5,0))</f>
        <v>0</v>
      </c>
      <c r="AF31">
        <f>IF(ISNA(VLOOKUP($A31&amp;AF$1,'For stats end Y DB'!$A:$G,5,0)),0,VLOOKUP($A31&amp;AF$1,'For stats end Y DB'!$A:$G,5,0))</f>
        <v>0</v>
      </c>
      <c r="AG31">
        <f>IF(ISNA(VLOOKUP($A31&amp;AG$1,'For stats end Y DB'!$A:$G,5,0)),0,VLOOKUP($A31&amp;AG$1,'For stats end Y DB'!$A:$G,5,0))</f>
        <v>0</v>
      </c>
      <c r="AH31">
        <f>IF(ISNA(VLOOKUP($A31&amp;AH$1,'For stats end Y DB'!$A:$G,5,0)),0,VLOOKUP($A31&amp;AH$1,'For stats end Y DB'!$A:$G,5,0))</f>
        <v>0</v>
      </c>
      <c r="AI31">
        <f>IF(ISNA(VLOOKUP($A31&amp;AI$1,'For stats end Y DB'!$A:$G,5,0)),0,VLOOKUP($A31&amp;AI$1,'For stats end Y DB'!$A:$G,5,0))</f>
        <v>0</v>
      </c>
      <c r="AJ31">
        <f>IF(ISNA(VLOOKUP($A31&amp;AJ$1,'For stats end Y DB'!$A:$G,5,0)),0,VLOOKUP($A31&amp;AJ$1,'For stats end Y DB'!$A:$G,5,0))</f>
        <v>0</v>
      </c>
      <c r="AK31">
        <f>IF(ISNA(VLOOKUP($A31&amp;AK$1,'For stats end Y DB'!$A:$G,5,0)),0,VLOOKUP($A31&amp;AK$1,'For stats end Y DB'!$A:$G,5,0))</f>
        <v>0</v>
      </c>
      <c r="AL31">
        <f>IF(ISNA(VLOOKUP($A31&amp;AL$1,'For stats end Y DB'!$A:$G,5,0)),0,VLOOKUP($A31&amp;AL$1,'For stats end Y DB'!$A:$G,5,0))</f>
        <v>0</v>
      </c>
      <c r="AM31">
        <f>IF(ISNA(VLOOKUP($A31&amp;AM$1,'For stats end Y DB'!$A:$G,5,0)),0,VLOOKUP($A31&amp;AM$1,'For stats end Y DB'!$A:$G,5,0))</f>
        <v>0</v>
      </c>
      <c r="AN31">
        <f>IF(ISNA(VLOOKUP($A31&amp;AN$1,'For stats end Y DB'!$A:$G,5,0)),0,VLOOKUP($A31&amp;AN$1,'For stats end Y DB'!$A:$G,5,0))</f>
        <v>0</v>
      </c>
    </row>
    <row r="32" spans="1:40" x14ac:dyDescent="0.2">
      <c r="A32" t="str">
        <f>'For stats end Y class'!A32</f>
        <v>Gabs</v>
      </c>
      <c r="B32">
        <f>IF(ISNA(VLOOKUP($A32&amp;B$1,'For stats end Y DB'!$A:$G,5,0)),0,VLOOKUP($A32&amp;B$1,'For stats end Y DB'!$A:$G,5,0))</f>
        <v>0</v>
      </c>
      <c r="C32">
        <f>IF(ISNA(VLOOKUP($A32&amp;C$1,'For stats end Y DB'!$A:$G,5,0)),0,VLOOKUP($A32&amp;C$1,'For stats end Y DB'!$A:$G,5,0))</f>
        <v>0</v>
      </c>
      <c r="D32">
        <f>IF(ISNA(VLOOKUP($A32&amp;D$1,'For stats end Y DB'!$A:$G,5,0)),0,VLOOKUP($A32&amp;D$1,'For stats end Y DB'!$A:$G,5,0))</f>
        <v>0</v>
      </c>
      <c r="E32">
        <f>IF(ISNA(VLOOKUP($A32&amp;E$1,'For stats end Y DB'!$A:$G,5,0)),0,VLOOKUP($A32&amp;E$1,'For stats end Y DB'!$A:$G,5,0))</f>
        <v>0</v>
      </c>
      <c r="F32">
        <f>IF(ISNA(VLOOKUP($A32&amp;F$1,'For stats end Y DB'!$A:$G,5,0)),0,VLOOKUP($A32&amp;F$1,'For stats end Y DB'!$A:$G,5,0))</f>
        <v>0</v>
      </c>
      <c r="G32">
        <f>IF(ISNA(VLOOKUP($A32&amp;G$1,'For stats end Y DB'!$A:$G,5,0)),0,VLOOKUP($A32&amp;G$1,'For stats end Y DB'!$A:$G,5,0))</f>
        <v>0</v>
      </c>
      <c r="H32">
        <f>IF(ISNA(VLOOKUP($A32&amp;H$1,'For stats end Y DB'!$A:$G,5,0)),0,VLOOKUP($A32&amp;H$1,'For stats end Y DB'!$A:$G,5,0))</f>
        <v>0</v>
      </c>
      <c r="I32">
        <f>IF(ISNA(VLOOKUP($A32&amp;I$1,'For stats end Y DB'!$A:$G,5,0)),0,VLOOKUP($A32&amp;I$1,'For stats end Y DB'!$A:$G,5,0))</f>
        <v>0</v>
      </c>
      <c r="J32">
        <f>IF(ISNA(VLOOKUP($A32&amp;J$1,'For stats end Y DB'!$A:$G,5,0)),0,VLOOKUP($A32&amp;J$1,'For stats end Y DB'!$A:$G,5,0))</f>
        <v>0</v>
      </c>
      <c r="K32">
        <f>IF(ISNA(VLOOKUP($A32&amp;K$1,'For stats end Y DB'!$A:$G,5,0)),0,VLOOKUP($A32&amp;K$1,'For stats end Y DB'!$A:$G,5,0))</f>
        <v>0</v>
      </c>
      <c r="L32">
        <f>IF(ISNA(VLOOKUP($A32&amp;L$1,'For stats end Y DB'!$A:$G,5,0)),0,VLOOKUP($A32&amp;L$1,'For stats end Y DB'!$A:$G,5,0))</f>
        <v>0</v>
      </c>
      <c r="M32">
        <f>IF(ISNA(VLOOKUP($A32&amp;M$1,'For stats end Y DB'!$A:$G,5,0)),0,VLOOKUP($A32&amp;M$1,'For stats end Y DB'!$A:$G,5,0))</f>
        <v>0</v>
      </c>
      <c r="N32">
        <f>IF(ISNA(VLOOKUP($A32&amp;N$1,'For stats end Y DB'!$A:$G,5,0)),0,VLOOKUP($A32&amp;N$1,'For stats end Y DB'!$A:$G,5,0))</f>
        <v>0</v>
      </c>
      <c r="O32">
        <f>IF(ISNA(VLOOKUP($A32&amp;O$1,'For stats end Y DB'!$A:$G,5,0)),0,VLOOKUP($A32&amp;O$1,'For stats end Y DB'!$A:$G,5,0))</f>
        <v>0</v>
      </c>
      <c r="P32">
        <f>IF(ISNA(VLOOKUP($A32&amp;P$1,'For stats end Y DB'!$A:$G,5,0)),0,VLOOKUP($A32&amp;P$1,'For stats end Y DB'!$A:$G,5,0))</f>
        <v>0</v>
      </c>
      <c r="Q32">
        <f>IF(ISNA(VLOOKUP($A32&amp;Q$1,'For stats end Y DB'!$A:$G,5,0)),0,VLOOKUP($A32&amp;Q$1,'For stats end Y DB'!$A:$G,5,0))</f>
        <v>0</v>
      </c>
      <c r="R32">
        <f>IF(ISNA(VLOOKUP($A32&amp;R$1,'For stats end Y DB'!$A:$G,5,0)),0,VLOOKUP($A32&amp;R$1,'For stats end Y DB'!$A:$G,5,0))</f>
        <v>0</v>
      </c>
      <c r="S32">
        <f>IF(ISNA(VLOOKUP($A32&amp;S$1,'For stats end Y DB'!$A:$G,5,0)),0,VLOOKUP($A32&amp;S$1,'For stats end Y DB'!$A:$G,5,0))</f>
        <v>0</v>
      </c>
      <c r="T32">
        <f>IF(ISNA(VLOOKUP($A32&amp;T$1,'For stats end Y DB'!$A:$G,5,0)),0,VLOOKUP($A32&amp;T$1,'For stats end Y DB'!$A:$G,5,0))</f>
        <v>0</v>
      </c>
      <c r="U32">
        <f>IF(ISNA(VLOOKUP($A32&amp;U$1,'For stats end Y DB'!$A:$G,5,0)),0,VLOOKUP($A32&amp;U$1,'For stats end Y DB'!$A:$G,5,0))</f>
        <v>0</v>
      </c>
      <c r="V32">
        <f>IF(ISNA(VLOOKUP($A32&amp;V$1,'For stats end Y DB'!$A:$G,5,0)),0,VLOOKUP($A32&amp;V$1,'For stats end Y DB'!$A:$G,5,0))</f>
        <v>0</v>
      </c>
      <c r="W32">
        <f>IF(ISNA(VLOOKUP($A32&amp;W$1,'For stats end Y DB'!$A:$G,5,0)),0,VLOOKUP($A32&amp;W$1,'For stats end Y DB'!$A:$G,5,0))</f>
        <v>0</v>
      </c>
      <c r="X32">
        <f>IF(ISNA(VLOOKUP($A32&amp;X$1,'For stats end Y DB'!$A:$G,5,0)),0,VLOOKUP($A32&amp;X$1,'For stats end Y DB'!$A:$G,5,0))</f>
        <v>0</v>
      </c>
      <c r="Y32">
        <f>IF(ISNA(VLOOKUP($A32&amp;Y$1,'For stats end Y DB'!$A:$G,5,0)),0,VLOOKUP($A32&amp;Y$1,'For stats end Y DB'!$A:$G,5,0))</f>
        <v>0</v>
      </c>
      <c r="Z32">
        <f>IF(ISNA(VLOOKUP($A32&amp;Z$1,'For stats end Y DB'!$A:$G,5,0)),0,VLOOKUP($A32&amp;Z$1,'For stats end Y DB'!$A:$G,5,0))</f>
        <v>2</v>
      </c>
      <c r="AA32">
        <f>IF(ISNA(VLOOKUP($A32&amp;AA$1,'For stats end Y DB'!$A:$G,5,0)),0,VLOOKUP($A32&amp;AA$1,'For stats end Y DB'!$A:$G,5,0))</f>
        <v>4</v>
      </c>
      <c r="AB32">
        <f>IF(ISNA(VLOOKUP($A32&amp;AB$1,'For stats end Y DB'!$A:$G,5,0)),0,VLOOKUP($A32&amp;AB$1,'For stats end Y DB'!$A:$G,5,0))</f>
        <v>0</v>
      </c>
      <c r="AC32">
        <f>IF(ISNA(VLOOKUP($A32&amp;AC$1,'For stats end Y DB'!$A:$G,5,0)),0,VLOOKUP($A32&amp;AC$1,'For stats end Y DB'!$A:$G,5,0))</f>
        <v>0</v>
      </c>
      <c r="AD32">
        <f>IF(ISNA(VLOOKUP($A32&amp;AD$1,'For stats end Y DB'!$A:$G,5,0)),0,VLOOKUP($A32&amp;AD$1,'For stats end Y DB'!$A:$G,5,0))</f>
        <v>2</v>
      </c>
      <c r="AE32">
        <f>IF(ISNA(VLOOKUP($A32&amp;AE$1,'For stats end Y DB'!$A:$G,5,0)),0,VLOOKUP($A32&amp;AE$1,'For stats end Y DB'!$A:$G,5,0))</f>
        <v>0</v>
      </c>
      <c r="AF32">
        <f>IF(ISNA(VLOOKUP($A32&amp;AF$1,'For stats end Y DB'!$A:$G,5,0)),0,VLOOKUP($A32&amp;AF$1,'For stats end Y DB'!$A:$G,5,0))</f>
        <v>0</v>
      </c>
      <c r="AG32">
        <f>IF(ISNA(VLOOKUP($A32&amp;AG$1,'For stats end Y DB'!$A:$G,5,0)),0,VLOOKUP($A32&amp;AG$1,'For stats end Y DB'!$A:$G,5,0))</f>
        <v>0</v>
      </c>
      <c r="AH32">
        <f>IF(ISNA(VLOOKUP($A32&amp;AH$1,'For stats end Y DB'!$A:$G,5,0)),0,VLOOKUP($A32&amp;AH$1,'For stats end Y DB'!$A:$G,5,0))</f>
        <v>0</v>
      </c>
      <c r="AI32">
        <f>IF(ISNA(VLOOKUP($A32&amp;AI$1,'For stats end Y DB'!$A:$G,5,0)),0,VLOOKUP($A32&amp;AI$1,'For stats end Y DB'!$A:$G,5,0))</f>
        <v>0</v>
      </c>
      <c r="AJ32">
        <f>IF(ISNA(VLOOKUP($A32&amp;AJ$1,'For stats end Y DB'!$A:$G,5,0)),0,VLOOKUP($A32&amp;AJ$1,'For stats end Y DB'!$A:$G,5,0))</f>
        <v>0</v>
      </c>
      <c r="AK32">
        <f>IF(ISNA(VLOOKUP($A32&amp;AK$1,'For stats end Y DB'!$A:$G,5,0)),0,VLOOKUP($A32&amp;AK$1,'For stats end Y DB'!$A:$G,5,0))</f>
        <v>0</v>
      </c>
      <c r="AL32">
        <f>IF(ISNA(VLOOKUP($A32&amp;AL$1,'For stats end Y DB'!$A:$G,5,0)),0,VLOOKUP($A32&amp;AL$1,'For stats end Y DB'!$A:$G,5,0))</f>
        <v>0</v>
      </c>
      <c r="AM32">
        <f>IF(ISNA(VLOOKUP($A32&amp;AM$1,'For stats end Y DB'!$A:$G,5,0)),0,VLOOKUP($A32&amp;AM$1,'For stats end Y DB'!$A:$G,5,0))</f>
        <v>0</v>
      </c>
      <c r="AN32">
        <f>IF(ISNA(VLOOKUP($A32&amp;AN$1,'For stats end Y DB'!$A:$G,5,0)),0,VLOOKUP($A32&amp;AN$1,'For stats end Y DB'!$A:$G,5,0))</f>
        <v>0</v>
      </c>
    </row>
    <row r="33" spans="1:40" x14ac:dyDescent="0.2">
      <c r="A33" t="str">
        <f>'For stats end Y class'!A33</f>
        <v>Gibbonfury</v>
      </c>
      <c r="B33">
        <f>IF(ISNA(VLOOKUP($A33&amp;B$1,'For stats end Y DB'!$A:$G,5,0)),0,VLOOKUP($A33&amp;B$1,'For stats end Y DB'!$A:$G,5,0))</f>
        <v>0</v>
      </c>
      <c r="C33">
        <f>IF(ISNA(VLOOKUP($A33&amp;C$1,'For stats end Y DB'!$A:$G,5,0)),0,VLOOKUP($A33&amp;C$1,'For stats end Y DB'!$A:$G,5,0))</f>
        <v>4</v>
      </c>
      <c r="D33">
        <f>IF(ISNA(VLOOKUP($A33&amp;D$1,'For stats end Y DB'!$A:$G,5,0)),0,VLOOKUP($A33&amp;D$1,'For stats end Y DB'!$A:$G,5,0))</f>
        <v>0</v>
      </c>
      <c r="E33">
        <f>IF(ISNA(VLOOKUP($A33&amp;E$1,'For stats end Y DB'!$A:$G,5,0)),0,VLOOKUP($A33&amp;E$1,'For stats end Y DB'!$A:$G,5,0))</f>
        <v>0</v>
      </c>
      <c r="F33">
        <f>IF(ISNA(VLOOKUP($A33&amp;F$1,'For stats end Y DB'!$A:$G,5,0)),0,VLOOKUP($A33&amp;F$1,'For stats end Y DB'!$A:$G,5,0))</f>
        <v>13</v>
      </c>
      <c r="G33">
        <f>IF(ISNA(VLOOKUP($A33&amp;G$1,'For stats end Y DB'!$A:$G,5,0)),0,VLOOKUP($A33&amp;G$1,'For stats end Y DB'!$A:$G,5,0))</f>
        <v>4</v>
      </c>
      <c r="H33">
        <f>IF(ISNA(VLOOKUP($A33&amp;H$1,'For stats end Y DB'!$A:$G,5,0)),0,VLOOKUP($A33&amp;H$1,'For stats end Y DB'!$A:$G,5,0))</f>
        <v>4</v>
      </c>
      <c r="I33">
        <f>IF(ISNA(VLOOKUP($A33&amp;I$1,'For stats end Y DB'!$A:$G,5,0)),0,VLOOKUP($A33&amp;I$1,'For stats end Y DB'!$A:$G,5,0))</f>
        <v>5</v>
      </c>
      <c r="J33">
        <f>IF(ISNA(VLOOKUP($A33&amp;J$1,'For stats end Y DB'!$A:$G,5,0)),0,VLOOKUP($A33&amp;J$1,'For stats end Y DB'!$A:$G,5,0))</f>
        <v>0</v>
      </c>
      <c r="K33">
        <f>IF(ISNA(VLOOKUP($A33&amp;K$1,'For stats end Y DB'!$A:$G,5,0)),0,VLOOKUP($A33&amp;K$1,'For stats end Y DB'!$A:$G,5,0))</f>
        <v>2</v>
      </c>
      <c r="L33">
        <f>IF(ISNA(VLOOKUP($A33&amp;L$1,'For stats end Y DB'!$A:$G,5,0)),0,VLOOKUP($A33&amp;L$1,'For stats end Y DB'!$A:$G,5,0))</f>
        <v>4</v>
      </c>
      <c r="M33">
        <f>IF(ISNA(VLOOKUP($A33&amp;M$1,'For stats end Y DB'!$A:$G,5,0)),0,VLOOKUP($A33&amp;M$1,'For stats end Y DB'!$A:$G,5,0))</f>
        <v>3</v>
      </c>
      <c r="N33">
        <f>IF(ISNA(VLOOKUP($A33&amp;N$1,'For stats end Y DB'!$A:$G,5,0)),0,VLOOKUP($A33&amp;N$1,'For stats end Y DB'!$A:$G,5,0))</f>
        <v>0</v>
      </c>
      <c r="O33">
        <f>IF(ISNA(VLOOKUP($A33&amp;O$1,'For stats end Y DB'!$A:$G,5,0)),0,VLOOKUP($A33&amp;O$1,'For stats end Y DB'!$A:$G,5,0))</f>
        <v>0</v>
      </c>
      <c r="P33">
        <f>IF(ISNA(VLOOKUP($A33&amp;P$1,'For stats end Y DB'!$A:$G,5,0)),0,VLOOKUP($A33&amp;P$1,'For stats end Y DB'!$A:$G,5,0))</f>
        <v>2</v>
      </c>
      <c r="Q33">
        <f>IF(ISNA(VLOOKUP($A33&amp;Q$1,'For stats end Y DB'!$A:$G,5,0)),0,VLOOKUP($A33&amp;Q$1,'For stats end Y DB'!$A:$G,5,0))</f>
        <v>9</v>
      </c>
      <c r="R33">
        <f>IF(ISNA(VLOOKUP($A33&amp;R$1,'For stats end Y DB'!$A:$G,5,0)),0,VLOOKUP($A33&amp;R$1,'For stats end Y DB'!$A:$G,5,0))</f>
        <v>0</v>
      </c>
      <c r="S33">
        <f>IF(ISNA(VLOOKUP($A33&amp;S$1,'For stats end Y DB'!$A:$G,5,0)),0,VLOOKUP($A33&amp;S$1,'For stats end Y DB'!$A:$G,5,0))</f>
        <v>17</v>
      </c>
      <c r="T33">
        <f>IF(ISNA(VLOOKUP($A33&amp;T$1,'For stats end Y DB'!$A:$G,5,0)),0,VLOOKUP($A33&amp;T$1,'For stats end Y DB'!$A:$G,5,0))</f>
        <v>2</v>
      </c>
      <c r="U33">
        <f>IF(ISNA(VLOOKUP($A33&amp;U$1,'For stats end Y DB'!$A:$G,5,0)),0,VLOOKUP($A33&amp;U$1,'For stats end Y DB'!$A:$G,5,0))</f>
        <v>3</v>
      </c>
      <c r="V33">
        <f>IF(ISNA(VLOOKUP($A33&amp;V$1,'For stats end Y DB'!$A:$G,5,0)),0,VLOOKUP($A33&amp;V$1,'For stats end Y DB'!$A:$G,5,0))</f>
        <v>9</v>
      </c>
      <c r="W33">
        <f>IF(ISNA(VLOOKUP($A33&amp;W$1,'For stats end Y DB'!$A:$G,5,0)),0,VLOOKUP($A33&amp;W$1,'For stats end Y DB'!$A:$G,5,0))</f>
        <v>0</v>
      </c>
      <c r="X33">
        <f>IF(ISNA(VLOOKUP($A33&amp;X$1,'For stats end Y DB'!$A:$G,5,0)),0,VLOOKUP($A33&amp;X$1,'For stats end Y DB'!$A:$G,5,0))</f>
        <v>0</v>
      </c>
      <c r="Y33">
        <f>IF(ISNA(VLOOKUP($A33&amp;Y$1,'For stats end Y DB'!$A:$G,5,0)),0,VLOOKUP($A33&amp;Y$1,'For stats end Y DB'!$A:$G,5,0))</f>
        <v>13</v>
      </c>
      <c r="Z33">
        <f>IF(ISNA(VLOOKUP($A33&amp;Z$1,'For stats end Y DB'!$A:$G,5,0)),0,VLOOKUP($A33&amp;Z$1,'For stats end Y DB'!$A:$G,5,0))</f>
        <v>2</v>
      </c>
      <c r="AA33">
        <f>IF(ISNA(VLOOKUP($A33&amp;AA$1,'For stats end Y DB'!$A:$G,5,0)),0,VLOOKUP($A33&amp;AA$1,'For stats end Y DB'!$A:$G,5,0))</f>
        <v>1</v>
      </c>
      <c r="AB33">
        <f>IF(ISNA(VLOOKUP($A33&amp;AB$1,'For stats end Y DB'!$A:$G,5,0)),0,VLOOKUP($A33&amp;AB$1,'For stats end Y DB'!$A:$G,5,0))</f>
        <v>1</v>
      </c>
      <c r="AC33">
        <f>IF(ISNA(VLOOKUP($A33&amp;AC$1,'For stats end Y DB'!$A:$G,5,0)),0,VLOOKUP($A33&amp;AC$1,'For stats end Y DB'!$A:$G,5,0))</f>
        <v>9</v>
      </c>
      <c r="AD33">
        <f>IF(ISNA(VLOOKUP($A33&amp;AD$1,'For stats end Y DB'!$A:$G,5,0)),0,VLOOKUP($A33&amp;AD$1,'For stats end Y DB'!$A:$G,5,0))</f>
        <v>2</v>
      </c>
      <c r="AE33">
        <f>IF(ISNA(VLOOKUP($A33&amp;AE$1,'For stats end Y DB'!$A:$G,5,0)),0,VLOOKUP($A33&amp;AE$1,'For stats end Y DB'!$A:$G,5,0))</f>
        <v>0</v>
      </c>
      <c r="AF33">
        <f>IF(ISNA(VLOOKUP($A33&amp;AF$1,'For stats end Y DB'!$A:$G,5,0)),0,VLOOKUP($A33&amp;AF$1,'For stats end Y DB'!$A:$G,5,0))</f>
        <v>13</v>
      </c>
      <c r="AG33">
        <f>IF(ISNA(VLOOKUP($A33&amp;AG$1,'For stats end Y DB'!$A:$G,5,0)),0,VLOOKUP($A33&amp;AG$1,'For stats end Y DB'!$A:$G,5,0))</f>
        <v>0</v>
      </c>
      <c r="AH33">
        <f>IF(ISNA(VLOOKUP($A33&amp;AH$1,'For stats end Y DB'!$A:$G,5,0)),0,VLOOKUP($A33&amp;AH$1,'For stats end Y DB'!$A:$G,5,0))</f>
        <v>0</v>
      </c>
      <c r="AI33">
        <f>IF(ISNA(VLOOKUP($A33&amp;AI$1,'For stats end Y DB'!$A:$G,5,0)),0,VLOOKUP($A33&amp;AI$1,'For stats end Y DB'!$A:$G,5,0))</f>
        <v>0</v>
      </c>
      <c r="AJ33">
        <f>IF(ISNA(VLOOKUP($A33&amp;AJ$1,'For stats end Y DB'!$A:$G,5,0)),0,VLOOKUP($A33&amp;AJ$1,'For stats end Y DB'!$A:$G,5,0))</f>
        <v>0</v>
      </c>
      <c r="AK33">
        <f>IF(ISNA(VLOOKUP($A33&amp;AK$1,'For stats end Y DB'!$A:$G,5,0)),0,VLOOKUP($A33&amp;AK$1,'For stats end Y DB'!$A:$G,5,0))</f>
        <v>0</v>
      </c>
      <c r="AL33">
        <f>IF(ISNA(VLOOKUP($A33&amp;AL$1,'For stats end Y DB'!$A:$G,5,0)),0,VLOOKUP($A33&amp;AL$1,'For stats end Y DB'!$A:$G,5,0))</f>
        <v>0</v>
      </c>
      <c r="AM33">
        <f>IF(ISNA(VLOOKUP($A33&amp;AM$1,'For stats end Y DB'!$A:$G,5,0)),0,VLOOKUP($A33&amp;AM$1,'For stats end Y DB'!$A:$G,5,0))</f>
        <v>0</v>
      </c>
      <c r="AN33">
        <f>IF(ISNA(VLOOKUP($A33&amp;AN$1,'For stats end Y DB'!$A:$G,5,0)),0,VLOOKUP($A33&amp;AN$1,'For stats end Y DB'!$A:$G,5,0))</f>
        <v>0</v>
      </c>
    </row>
    <row r="34" spans="1:40" x14ac:dyDescent="0.2">
      <c r="A34" t="str">
        <f>'For stats end Y class'!A34</f>
        <v>Gibouille</v>
      </c>
      <c r="B34">
        <f>IF(ISNA(VLOOKUP($A34&amp;B$1,'For stats end Y DB'!$A:$G,5,0)),0,VLOOKUP($A34&amp;B$1,'For stats end Y DB'!$A:$G,5,0))</f>
        <v>2</v>
      </c>
      <c r="C34">
        <f>IF(ISNA(VLOOKUP($A34&amp;C$1,'For stats end Y DB'!$A:$G,5,0)),0,VLOOKUP($A34&amp;C$1,'For stats end Y DB'!$A:$G,5,0))</f>
        <v>2</v>
      </c>
      <c r="D34">
        <f>IF(ISNA(VLOOKUP($A34&amp;D$1,'For stats end Y DB'!$A:$G,5,0)),0,VLOOKUP($A34&amp;D$1,'For stats end Y DB'!$A:$G,5,0))</f>
        <v>2</v>
      </c>
      <c r="E34">
        <f>IF(ISNA(VLOOKUP($A34&amp;E$1,'For stats end Y DB'!$A:$G,5,0)),0,VLOOKUP($A34&amp;E$1,'For stats end Y DB'!$A:$G,5,0))</f>
        <v>0</v>
      </c>
      <c r="F34">
        <f>IF(ISNA(VLOOKUP($A34&amp;F$1,'For stats end Y DB'!$A:$G,5,0)),0,VLOOKUP($A34&amp;F$1,'For stats end Y DB'!$A:$G,5,0))</f>
        <v>0</v>
      </c>
      <c r="G34">
        <f>IF(ISNA(VLOOKUP($A34&amp;G$1,'For stats end Y DB'!$A:$G,5,0)),0,VLOOKUP($A34&amp;G$1,'For stats end Y DB'!$A:$G,5,0))</f>
        <v>5</v>
      </c>
      <c r="H34">
        <f>IF(ISNA(VLOOKUP($A34&amp;H$1,'For stats end Y DB'!$A:$G,5,0)),0,VLOOKUP($A34&amp;H$1,'For stats end Y DB'!$A:$G,5,0))</f>
        <v>0</v>
      </c>
      <c r="I34">
        <f>IF(ISNA(VLOOKUP($A34&amp;I$1,'For stats end Y DB'!$A:$G,5,0)),0,VLOOKUP($A34&amp;I$1,'For stats end Y DB'!$A:$G,5,0))</f>
        <v>3</v>
      </c>
      <c r="J34">
        <f>IF(ISNA(VLOOKUP($A34&amp;J$1,'For stats end Y DB'!$A:$G,5,0)),0,VLOOKUP($A34&amp;J$1,'For stats end Y DB'!$A:$G,5,0))</f>
        <v>0</v>
      </c>
      <c r="K34">
        <f>IF(ISNA(VLOOKUP($A34&amp;K$1,'For stats end Y DB'!$A:$G,5,0)),0,VLOOKUP($A34&amp;K$1,'For stats end Y DB'!$A:$G,5,0))</f>
        <v>15</v>
      </c>
      <c r="L34">
        <f>IF(ISNA(VLOOKUP($A34&amp;L$1,'For stats end Y DB'!$A:$G,5,0)),0,VLOOKUP($A34&amp;L$1,'For stats end Y DB'!$A:$G,5,0))</f>
        <v>1</v>
      </c>
      <c r="M34">
        <f>IF(ISNA(VLOOKUP($A34&amp;M$1,'For stats end Y DB'!$A:$G,5,0)),0,VLOOKUP($A34&amp;M$1,'For stats end Y DB'!$A:$G,5,0))</f>
        <v>4</v>
      </c>
      <c r="N34">
        <f>IF(ISNA(VLOOKUP($A34&amp;N$1,'For stats end Y DB'!$A:$G,5,0)),0,VLOOKUP($A34&amp;N$1,'For stats end Y DB'!$A:$G,5,0))</f>
        <v>1</v>
      </c>
      <c r="O34">
        <f>IF(ISNA(VLOOKUP($A34&amp;O$1,'For stats end Y DB'!$A:$G,5,0)),0,VLOOKUP($A34&amp;O$1,'For stats end Y DB'!$A:$G,5,0))</f>
        <v>12</v>
      </c>
      <c r="P34">
        <f>IF(ISNA(VLOOKUP($A34&amp;P$1,'For stats end Y DB'!$A:$G,5,0)),0,VLOOKUP($A34&amp;P$1,'For stats end Y DB'!$A:$G,5,0))</f>
        <v>4</v>
      </c>
      <c r="Q34">
        <f>IF(ISNA(VLOOKUP($A34&amp;Q$1,'For stats end Y DB'!$A:$G,5,0)),0,VLOOKUP($A34&amp;Q$1,'For stats end Y DB'!$A:$G,5,0))</f>
        <v>13</v>
      </c>
      <c r="R34">
        <f>IF(ISNA(VLOOKUP($A34&amp;R$1,'For stats end Y DB'!$A:$G,5,0)),0,VLOOKUP($A34&amp;R$1,'For stats end Y DB'!$A:$G,5,0))</f>
        <v>3</v>
      </c>
      <c r="S34">
        <f>IF(ISNA(VLOOKUP($A34&amp;S$1,'For stats end Y DB'!$A:$G,5,0)),0,VLOOKUP($A34&amp;S$1,'For stats end Y DB'!$A:$G,5,0))</f>
        <v>5</v>
      </c>
      <c r="T34">
        <f>IF(ISNA(VLOOKUP($A34&amp;T$1,'For stats end Y DB'!$A:$G,5,0)),0,VLOOKUP($A34&amp;T$1,'For stats end Y DB'!$A:$G,5,0))</f>
        <v>4</v>
      </c>
      <c r="U34">
        <f>IF(ISNA(VLOOKUP($A34&amp;U$1,'For stats end Y DB'!$A:$G,5,0)),0,VLOOKUP($A34&amp;U$1,'For stats end Y DB'!$A:$G,5,0))</f>
        <v>0</v>
      </c>
      <c r="V34">
        <f>IF(ISNA(VLOOKUP($A34&amp;V$1,'For stats end Y DB'!$A:$G,5,0)),0,VLOOKUP($A34&amp;V$1,'For stats end Y DB'!$A:$G,5,0))</f>
        <v>8</v>
      </c>
      <c r="W34">
        <f>IF(ISNA(VLOOKUP($A34&amp;W$1,'For stats end Y DB'!$A:$G,5,0)),0,VLOOKUP($A34&amp;W$1,'For stats end Y DB'!$A:$G,5,0))</f>
        <v>9</v>
      </c>
      <c r="X34">
        <f>IF(ISNA(VLOOKUP($A34&amp;X$1,'For stats end Y DB'!$A:$G,5,0)),0,VLOOKUP($A34&amp;X$1,'For stats end Y DB'!$A:$G,5,0))</f>
        <v>2</v>
      </c>
      <c r="Y34">
        <f>IF(ISNA(VLOOKUP($A34&amp;Y$1,'For stats end Y DB'!$A:$G,5,0)),0,VLOOKUP($A34&amp;Y$1,'For stats end Y DB'!$A:$G,5,0))</f>
        <v>2</v>
      </c>
      <c r="Z34">
        <f>IF(ISNA(VLOOKUP($A34&amp;Z$1,'For stats end Y DB'!$A:$G,5,0)),0,VLOOKUP($A34&amp;Z$1,'For stats end Y DB'!$A:$G,5,0))</f>
        <v>16</v>
      </c>
      <c r="AA34">
        <f>IF(ISNA(VLOOKUP($A34&amp;AA$1,'For stats end Y DB'!$A:$G,5,0)),0,VLOOKUP($A34&amp;AA$1,'For stats end Y DB'!$A:$G,5,0))</f>
        <v>12</v>
      </c>
      <c r="AB34">
        <f>IF(ISNA(VLOOKUP($A34&amp;AB$1,'For stats end Y DB'!$A:$G,5,0)),0,VLOOKUP($A34&amp;AB$1,'For stats end Y DB'!$A:$G,5,0))</f>
        <v>0</v>
      </c>
      <c r="AC34">
        <f>IF(ISNA(VLOOKUP($A34&amp;AC$1,'For stats end Y DB'!$A:$G,5,0)),0,VLOOKUP($A34&amp;AC$1,'For stats end Y DB'!$A:$G,5,0))</f>
        <v>12</v>
      </c>
      <c r="AD34">
        <f>IF(ISNA(VLOOKUP($A34&amp;AD$1,'For stats end Y DB'!$A:$G,5,0)),0,VLOOKUP($A34&amp;AD$1,'For stats end Y DB'!$A:$G,5,0))</f>
        <v>0</v>
      </c>
      <c r="AE34">
        <f>IF(ISNA(VLOOKUP($A34&amp;AE$1,'For stats end Y DB'!$A:$G,5,0)),0,VLOOKUP($A34&amp;AE$1,'For stats end Y DB'!$A:$G,5,0))</f>
        <v>9</v>
      </c>
      <c r="AF34">
        <f>IF(ISNA(VLOOKUP($A34&amp;AF$1,'For stats end Y DB'!$A:$G,5,0)),0,VLOOKUP($A34&amp;AF$1,'For stats end Y DB'!$A:$G,5,0))</f>
        <v>0</v>
      </c>
      <c r="AG34">
        <f>IF(ISNA(VLOOKUP($A34&amp;AG$1,'For stats end Y DB'!$A:$G,5,0)),0,VLOOKUP($A34&amp;AG$1,'For stats end Y DB'!$A:$G,5,0))</f>
        <v>0</v>
      </c>
      <c r="AH34">
        <f>IF(ISNA(VLOOKUP($A34&amp;AH$1,'For stats end Y DB'!$A:$G,5,0)),0,VLOOKUP($A34&amp;AH$1,'For stats end Y DB'!$A:$G,5,0))</f>
        <v>16</v>
      </c>
      <c r="AI34">
        <f>IF(ISNA(VLOOKUP($A34&amp;AI$1,'For stats end Y DB'!$A:$G,5,0)),0,VLOOKUP($A34&amp;AI$1,'For stats end Y DB'!$A:$G,5,0))</f>
        <v>0</v>
      </c>
      <c r="AJ34">
        <f>IF(ISNA(VLOOKUP($A34&amp;AJ$1,'For stats end Y DB'!$A:$G,5,0)),0,VLOOKUP($A34&amp;AJ$1,'For stats end Y DB'!$A:$G,5,0))</f>
        <v>0</v>
      </c>
      <c r="AK34">
        <f>IF(ISNA(VLOOKUP($A34&amp;AK$1,'For stats end Y DB'!$A:$G,5,0)),0,VLOOKUP($A34&amp;AK$1,'For stats end Y DB'!$A:$G,5,0))</f>
        <v>0</v>
      </c>
      <c r="AL34">
        <f>IF(ISNA(VLOOKUP($A34&amp;AL$1,'For stats end Y DB'!$A:$G,5,0)),0,VLOOKUP($A34&amp;AL$1,'For stats end Y DB'!$A:$G,5,0))</f>
        <v>0</v>
      </c>
      <c r="AM34">
        <f>IF(ISNA(VLOOKUP($A34&amp;AM$1,'For stats end Y DB'!$A:$G,5,0)),0,VLOOKUP($A34&amp;AM$1,'For stats end Y DB'!$A:$G,5,0))</f>
        <v>0</v>
      </c>
      <c r="AN34">
        <f>IF(ISNA(VLOOKUP($A34&amp;AN$1,'For stats end Y DB'!$A:$G,5,0)),0,VLOOKUP($A34&amp;AN$1,'For stats end Y DB'!$A:$G,5,0))</f>
        <v>0</v>
      </c>
    </row>
    <row r="35" spans="1:40" x14ac:dyDescent="0.2">
      <c r="A35" t="str">
        <f>'For stats end Y class'!A35</f>
        <v>Giobeck</v>
      </c>
      <c r="B35">
        <f>IF(ISNA(VLOOKUP($A35&amp;B$1,'For stats end Y DB'!$A:$G,5,0)),0,VLOOKUP($A35&amp;B$1,'For stats end Y DB'!$A:$G,5,0))</f>
        <v>1</v>
      </c>
      <c r="C35">
        <f>IF(ISNA(VLOOKUP($A35&amp;C$1,'For stats end Y DB'!$A:$G,5,0)),0,VLOOKUP($A35&amp;C$1,'For stats end Y DB'!$A:$G,5,0))</f>
        <v>0</v>
      </c>
      <c r="D35">
        <f>IF(ISNA(VLOOKUP($A35&amp;D$1,'For stats end Y DB'!$A:$G,5,0)),0,VLOOKUP($A35&amp;D$1,'For stats end Y DB'!$A:$G,5,0))</f>
        <v>0</v>
      </c>
      <c r="E35">
        <f>IF(ISNA(VLOOKUP($A35&amp;E$1,'For stats end Y DB'!$A:$G,5,0)),0,VLOOKUP($A35&amp;E$1,'For stats end Y DB'!$A:$G,5,0))</f>
        <v>0</v>
      </c>
      <c r="F35">
        <f>IF(ISNA(VLOOKUP($A35&amp;F$1,'For stats end Y DB'!$A:$G,5,0)),0,VLOOKUP($A35&amp;F$1,'For stats end Y DB'!$A:$G,5,0))</f>
        <v>0</v>
      </c>
      <c r="G35">
        <f>IF(ISNA(VLOOKUP($A35&amp;G$1,'For stats end Y DB'!$A:$G,5,0)),0,VLOOKUP($A35&amp;G$1,'For stats end Y DB'!$A:$G,5,0))</f>
        <v>5</v>
      </c>
      <c r="H35">
        <f>IF(ISNA(VLOOKUP($A35&amp;H$1,'For stats end Y DB'!$A:$G,5,0)),0,VLOOKUP($A35&amp;H$1,'For stats end Y DB'!$A:$G,5,0))</f>
        <v>1</v>
      </c>
      <c r="I35">
        <f>IF(ISNA(VLOOKUP($A35&amp;I$1,'For stats end Y DB'!$A:$G,5,0)),0,VLOOKUP($A35&amp;I$1,'For stats end Y DB'!$A:$G,5,0))</f>
        <v>9</v>
      </c>
      <c r="J35">
        <f>IF(ISNA(VLOOKUP($A35&amp;J$1,'For stats end Y DB'!$A:$G,5,0)),0,VLOOKUP($A35&amp;J$1,'For stats end Y DB'!$A:$G,5,0))</f>
        <v>0</v>
      </c>
      <c r="K35">
        <f>IF(ISNA(VLOOKUP($A35&amp;K$1,'For stats end Y DB'!$A:$G,5,0)),0,VLOOKUP($A35&amp;K$1,'For stats end Y DB'!$A:$G,5,0))</f>
        <v>0</v>
      </c>
      <c r="L35">
        <f>IF(ISNA(VLOOKUP($A35&amp;L$1,'For stats end Y DB'!$A:$G,5,0)),0,VLOOKUP($A35&amp;L$1,'For stats end Y DB'!$A:$G,5,0))</f>
        <v>4</v>
      </c>
      <c r="M35">
        <f>IF(ISNA(VLOOKUP($A35&amp;M$1,'For stats end Y DB'!$A:$G,5,0)),0,VLOOKUP($A35&amp;M$1,'For stats end Y DB'!$A:$G,5,0))</f>
        <v>0</v>
      </c>
      <c r="N35">
        <f>IF(ISNA(VLOOKUP($A35&amp;N$1,'For stats end Y DB'!$A:$G,5,0)),0,VLOOKUP($A35&amp;N$1,'For stats end Y DB'!$A:$G,5,0))</f>
        <v>13</v>
      </c>
      <c r="O35">
        <f>IF(ISNA(VLOOKUP($A35&amp;O$1,'For stats end Y DB'!$A:$G,5,0)),0,VLOOKUP($A35&amp;O$1,'For stats end Y DB'!$A:$G,5,0))</f>
        <v>13</v>
      </c>
      <c r="P35">
        <f>IF(ISNA(VLOOKUP($A35&amp;P$1,'For stats end Y DB'!$A:$G,5,0)),0,VLOOKUP($A35&amp;P$1,'For stats end Y DB'!$A:$G,5,0))</f>
        <v>9</v>
      </c>
      <c r="Q35">
        <f>IF(ISNA(VLOOKUP($A35&amp;Q$1,'For stats end Y DB'!$A:$G,5,0)),0,VLOOKUP($A35&amp;Q$1,'For stats end Y DB'!$A:$G,5,0))</f>
        <v>10</v>
      </c>
      <c r="R35">
        <f>IF(ISNA(VLOOKUP($A35&amp;R$1,'For stats end Y DB'!$A:$G,5,0)),0,VLOOKUP($A35&amp;R$1,'For stats end Y DB'!$A:$G,5,0))</f>
        <v>17</v>
      </c>
      <c r="S35">
        <f>IF(ISNA(VLOOKUP($A35&amp;S$1,'For stats end Y DB'!$A:$G,5,0)),0,VLOOKUP($A35&amp;S$1,'For stats end Y DB'!$A:$G,5,0))</f>
        <v>13</v>
      </c>
      <c r="T35">
        <f>IF(ISNA(VLOOKUP($A35&amp;T$1,'For stats end Y DB'!$A:$G,5,0)),0,VLOOKUP($A35&amp;T$1,'For stats end Y DB'!$A:$G,5,0))</f>
        <v>2</v>
      </c>
      <c r="U35">
        <f>IF(ISNA(VLOOKUP($A35&amp;U$1,'For stats end Y DB'!$A:$G,5,0)),0,VLOOKUP($A35&amp;U$1,'For stats end Y DB'!$A:$G,5,0))</f>
        <v>2</v>
      </c>
      <c r="V35">
        <f>IF(ISNA(VLOOKUP($A35&amp;V$1,'For stats end Y DB'!$A:$G,5,0)),0,VLOOKUP($A35&amp;V$1,'For stats end Y DB'!$A:$G,5,0))</f>
        <v>0</v>
      </c>
      <c r="W35">
        <f>IF(ISNA(VLOOKUP($A35&amp;W$1,'For stats end Y DB'!$A:$G,5,0)),0,VLOOKUP($A35&amp;W$1,'For stats end Y DB'!$A:$G,5,0))</f>
        <v>16</v>
      </c>
      <c r="X35">
        <f>IF(ISNA(VLOOKUP($A35&amp;X$1,'For stats end Y DB'!$A:$G,5,0)),0,VLOOKUP($A35&amp;X$1,'For stats end Y DB'!$A:$G,5,0))</f>
        <v>3</v>
      </c>
      <c r="Y35">
        <f>IF(ISNA(VLOOKUP($A35&amp;Y$1,'For stats end Y DB'!$A:$G,5,0)),0,VLOOKUP($A35&amp;Y$1,'For stats end Y DB'!$A:$G,5,0))</f>
        <v>3</v>
      </c>
      <c r="Z35">
        <f>IF(ISNA(VLOOKUP($A35&amp;Z$1,'For stats end Y DB'!$A:$G,5,0)),0,VLOOKUP($A35&amp;Z$1,'For stats end Y DB'!$A:$G,5,0))</f>
        <v>0</v>
      </c>
      <c r="AA35">
        <f>IF(ISNA(VLOOKUP($A35&amp;AA$1,'For stats end Y DB'!$A:$G,5,0)),0,VLOOKUP($A35&amp;AA$1,'For stats end Y DB'!$A:$G,5,0))</f>
        <v>16</v>
      </c>
      <c r="AB35">
        <f>IF(ISNA(VLOOKUP($A35&amp;AB$1,'For stats end Y DB'!$A:$G,5,0)),0,VLOOKUP($A35&amp;AB$1,'For stats end Y DB'!$A:$G,5,0))</f>
        <v>8</v>
      </c>
      <c r="AC35">
        <f>IF(ISNA(VLOOKUP($A35&amp;AC$1,'For stats end Y DB'!$A:$G,5,0)),0,VLOOKUP($A35&amp;AC$1,'For stats end Y DB'!$A:$G,5,0))</f>
        <v>17</v>
      </c>
      <c r="AD35">
        <f>IF(ISNA(VLOOKUP($A35&amp;AD$1,'For stats end Y DB'!$A:$G,5,0)),0,VLOOKUP($A35&amp;AD$1,'For stats end Y DB'!$A:$G,5,0))</f>
        <v>2</v>
      </c>
      <c r="AE35">
        <f>IF(ISNA(VLOOKUP($A35&amp;AE$1,'For stats end Y DB'!$A:$G,5,0)),0,VLOOKUP($A35&amp;AE$1,'For stats end Y DB'!$A:$G,5,0))</f>
        <v>2</v>
      </c>
      <c r="AF35">
        <f>IF(ISNA(VLOOKUP($A35&amp;AF$1,'For stats end Y DB'!$A:$G,5,0)),0,VLOOKUP($A35&amp;AF$1,'For stats end Y DB'!$A:$G,5,0))</f>
        <v>8</v>
      </c>
      <c r="AG35">
        <f>IF(ISNA(VLOOKUP($A35&amp;AG$1,'For stats end Y DB'!$A:$G,5,0)),0,VLOOKUP($A35&amp;AG$1,'For stats end Y DB'!$A:$G,5,0))</f>
        <v>0</v>
      </c>
      <c r="AH35">
        <f>IF(ISNA(VLOOKUP($A35&amp;AH$1,'For stats end Y DB'!$A:$G,5,0)),0,VLOOKUP($A35&amp;AH$1,'For stats end Y DB'!$A:$G,5,0))</f>
        <v>2</v>
      </c>
      <c r="AI35">
        <f>IF(ISNA(VLOOKUP($A35&amp;AI$1,'For stats end Y DB'!$A:$G,5,0)),0,VLOOKUP($A35&amp;AI$1,'For stats end Y DB'!$A:$G,5,0))</f>
        <v>0</v>
      </c>
      <c r="AJ35">
        <f>IF(ISNA(VLOOKUP($A35&amp;AJ$1,'For stats end Y DB'!$A:$G,5,0)),0,VLOOKUP($A35&amp;AJ$1,'For stats end Y DB'!$A:$G,5,0))</f>
        <v>0</v>
      </c>
      <c r="AK35">
        <f>IF(ISNA(VLOOKUP($A35&amp;AK$1,'For stats end Y DB'!$A:$G,5,0)),0,VLOOKUP($A35&amp;AK$1,'For stats end Y DB'!$A:$G,5,0))</f>
        <v>0</v>
      </c>
      <c r="AL35">
        <f>IF(ISNA(VLOOKUP($A35&amp;AL$1,'For stats end Y DB'!$A:$G,5,0)),0,VLOOKUP($A35&amp;AL$1,'For stats end Y DB'!$A:$G,5,0))</f>
        <v>0</v>
      </c>
      <c r="AM35">
        <f>IF(ISNA(VLOOKUP($A35&amp;AM$1,'For stats end Y DB'!$A:$G,5,0)),0,VLOOKUP($A35&amp;AM$1,'For stats end Y DB'!$A:$G,5,0))</f>
        <v>0</v>
      </c>
      <c r="AN35">
        <f>IF(ISNA(VLOOKUP($A35&amp;AN$1,'For stats end Y DB'!$A:$G,5,0)),0,VLOOKUP($A35&amp;AN$1,'For stats end Y DB'!$A:$G,5,0))</f>
        <v>0</v>
      </c>
    </row>
    <row r="36" spans="1:40" x14ac:dyDescent="0.2">
      <c r="A36" t="str">
        <f>'For stats end Y class'!A36</f>
        <v>Golgoo13</v>
      </c>
      <c r="B36">
        <f>IF(ISNA(VLOOKUP($A36&amp;B$1,'For stats end Y DB'!$A:$G,5,0)),0,VLOOKUP($A36&amp;B$1,'For stats end Y DB'!$A:$G,5,0))</f>
        <v>1</v>
      </c>
      <c r="C36">
        <f>IF(ISNA(VLOOKUP($A36&amp;C$1,'For stats end Y DB'!$A:$G,5,0)),0,VLOOKUP($A36&amp;C$1,'For stats end Y DB'!$A:$G,5,0))</f>
        <v>0</v>
      </c>
      <c r="D36">
        <f>IF(ISNA(VLOOKUP($A36&amp;D$1,'For stats end Y DB'!$A:$G,5,0)),0,VLOOKUP($A36&amp;D$1,'For stats end Y DB'!$A:$G,5,0))</f>
        <v>0</v>
      </c>
      <c r="E36">
        <f>IF(ISNA(VLOOKUP($A36&amp;E$1,'For stats end Y DB'!$A:$G,5,0)),0,VLOOKUP($A36&amp;E$1,'For stats end Y DB'!$A:$G,5,0))</f>
        <v>0</v>
      </c>
      <c r="F36">
        <f>IF(ISNA(VLOOKUP($A36&amp;F$1,'For stats end Y DB'!$A:$G,5,0)),0,VLOOKUP($A36&amp;F$1,'For stats end Y DB'!$A:$G,5,0))</f>
        <v>0</v>
      </c>
      <c r="G36">
        <f>IF(ISNA(VLOOKUP($A36&amp;G$1,'For stats end Y DB'!$A:$G,5,0)),0,VLOOKUP($A36&amp;G$1,'For stats end Y DB'!$A:$G,5,0))</f>
        <v>0</v>
      </c>
      <c r="H36">
        <f>IF(ISNA(VLOOKUP($A36&amp;H$1,'For stats end Y DB'!$A:$G,5,0)),0,VLOOKUP($A36&amp;H$1,'For stats end Y DB'!$A:$G,5,0))</f>
        <v>0</v>
      </c>
      <c r="I36">
        <f>IF(ISNA(VLOOKUP($A36&amp;I$1,'For stats end Y DB'!$A:$G,5,0)),0,VLOOKUP($A36&amp;I$1,'For stats end Y DB'!$A:$G,5,0))</f>
        <v>0</v>
      </c>
      <c r="J36">
        <f>IF(ISNA(VLOOKUP($A36&amp;J$1,'For stats end Y DB'!$A:$G,5,0)),0,VLOOKUP($A36&amp;J$1,'For stats end Y DB'!$A:$G,5,0))</f>
        <v>0</v>
      </c>
      <c r="K36">
        <f>IF(ISNA(VLOOKUP($A36&amp;K$1,'For stats end Y DB'!$A:$G,5,0)),0,VLOOKUP($A36&amp;K$1,'For stats end Y DB'!$A:$G,5,0))</f>
        <v>0</v>
      </c>
      <c r="L36">
        <f>IF(ISNA(VLOOKUP($A36&amp;L$1,'For stats end Y DB'!$A:$G,5,0)),0,VLOOKUP($A36&amp;L$1,'For stats end Y DB'!$A:$G,5,0))</f>
        <v>0</v>
      </c>
      <c r="M36">
        <f>IF(ISNA(VLOOKUP($A36&amp;M$1,'For stats end Y DB'!$A:$G,5,0)),0,VLOOKUP($A36&amp;M$1,'For stats end Y DB'!$A:$G,5,0))</f>
        <v>0</v>
      </c>
      <c r="N36">
        <f>IF(ISNA(VLOOKUP($A36&amp;N$1,'For stats end Y DB'!$A:$G,5,0)),0,VLOOKUP($A36&amp;N$1,'For stats end Y DB'!$A:$G,5,0))</f>
        <v>0</v>
      </c>
      <c r="O36">
        <f>IF(ISNA(VLOOKUP($A36&amp;O$1,'For stats end Y DB'!$A:$G,5,0)),0,VLOOKUP($A36&amp;O$1,'For stats end Y DB'!$A:$G,5,0))</f>
        <v>0</v>
      </c>
      <c r="P36">
        <f>IF(ISNA(VLOOKUP($A36&amp;P$1,'For stats end Y DB'!$A:$G,5,0)),0,VLOOKUP($A36&amp;P$1,'For stats end Y DB'!$A:$G,5,0))</f>
        <v>0</v>
      </c>
      <c r="Q36">
        <f>IF(ISNA(VLOOKUP($A36&amp;Q$1,'For stats end Y DB'!$A:$G,5,0)),0,VLOOKUP($A36&amp;Q$1,'For stats end Y DB'!$A:$G,5,0))</f>
        <v>0</v>
      </c>
      <c r="R36">
        <f>IF(ISNA(VLOOKUP($A36&amp;R$1,'For stats end Y DB'!$A:$G,5,0)),0,VLOOKUP($A36&amp;R$1,'For stats end Y DB'!$A:$G,5,0))</f>
        <v>0</v>
      </c>
      <c r="S36">
        <f>IF(ISNA(VLOOKUP($A36&amp;S$1,'For stats end Y DB'!$A:$G,5,0)),0,VLOOKUP($A36&amp;S$1,'For stats end Y DB'!$A:$G,5,0))</f>
        <v>0</v>
      </c>
      <c r="T36">
        <f>IF(ISNA(VLOOKUP($A36&amp;T$1,'For stats end Y DB'!$A:$G,5,0)),0,VLOOKUP($A36&amp;T$1,'For stats end Y DB'!$A:$G,5,0))</f>
        <v>0</v>
      </c>
      <c r="U36">
        <f>IF(ISNA(VLOOKUP($A36&amp;U$1,'For stats end Y DB'!$A:$G,5,0)),0,VLOOKUP($A36&amp;U$1,'For stats end Y DB'!$A:$G,5,0))</f>
        <v>0</v>
      </c>
      <c r="V36">
        <f>IF(ISNA(VLOOKUP($A36&amp;V$1,'For stats end Y DB'!$A:$G,5,0)),0,VLOOKUP($A36&amp;V$1,'For stats end Y DB'!$A:$G,5,0))</f>
        <v>0</v>
      </c>
      <c r="W36">
        <f>IF(ISNA(VLOOKUP($A36&amp;W$1,'For stats end Y DB'!$A:$G,5,0)),0,VLOOKUP($A36&amp;W$1,'For stats end Y DB'!$A:$G,5,0))</f>
        <v>0</v>
      </c>
      <c r="X36">
        <f>IF(ISNA(VLOOKUP($A36&amp;X$1,'For stats end Y DB'!$A:$G,5,0)),0,VLOOKUP($A36&amp;X$1,'For stats end Y DB'!$A:$G,5,0))</f>
        <v>0</v>
      </c>
      <c r="Y36">
        <f>IF(ISNA(VLOOKUP($A36&amp;Y$1,'For stats end Y DB'!$A:$G,5,0)),0,VLOOKUP($A36&amp;Y$1,'For stats end Y DB'!$A:$G,5,0))</f>
        <v>0</v>
      </c>
      <c r="Z36">
        <f>IF(ISNA(VLOOKUP($A36&amp;Z$1,'For stats end Y DB'!$A:$G,5,0)),0,VLOOKUP($A36&amp;Z$1,'For stats end Y DB'!$A:$G,5,0))</f>
        <v>0</v>
      </c>
      <c r="AA36">
        <f>IF(ISNA(VLOOKUP($A36&amp;AA$1,'For stats end Y DB'!$A:$G,5,0)),0,VLOOKUP($A36&amp;AA$1,'For stats end Y DB'!$A:$G,5,0))</f>
        <v>0</v>
      </c>
      <c r="AB36">
        <f>IF(ISNA(VLOOKUP($A36&amp;AB$1,'For stats end Y DB'!$A:$G,5,0)),0,VLOOKUP($A36&amp;AB$1,'For stats end Y DB'!$A:$G,5,0))</f>
        <v>0</v>
      </c>
      <c r="AC36">
        <f>IF(ISNA(VLOOKUP($A36&amp;AC$1,'For stats end Y DB'!$A:$G,5,0)),0,VLOOKUP($A36&amp;AC$1,'For stats end Y DB'!$A:$G,5,0))</f>
        <v>0</v>
      </c>
      <c r="AD36">
        <f>IF(ISNA(VLOOKUP($A36&amp;AD$1,'For stats end Y DB'!$A:$G,5,0)),0,VLOOKUP($A36&amp;AD$1,'For stats end Y DB'!$A:$G,5,0))</f>
        <v>0</v>
      </c>
      <c r="AE36">
        <f>IF(ISNA(VLOOKUP($A36&amp;AE$1,'For stats end Y DB'!$A:$G,5,0)),0,VLOOKUP($A36&amp;AE$1,'For stats end Y DB'!$A:$G,5,0))</f>
        <v>0</v>
      </c>
      <c r="AF36">
        <f>IF(ISNA(VLOOKUP($A36&amp;AF$1,'For stats end Y DB'!$A:$G,5,0)),0,VLOOKUP($A36&amp;AF$1,'For stats end Y DB'!$A:$G,5,0))</f>
        <v>0</v>
      </c>
      <c r="AG36">
        <f>IF(ISNA(VLOOKUP($A36&amp;AG$1,'For stats end Y DB'!$A:$G,5,0)),0,VLOOKUP($A36&amp;AG$1,'For stats end Y DB'!$A:$G,5,0))</f>
        <v>0</v>
      </c>
      <c r="AH36">
        <f>IF(ISNA(VLOOKUP($A36&amp;AH$1,'For stats end Y DB'!$A:$G,5,0)),0,VLOOKUP($A36&amp;AH$1,'For stats end Y DB'!$A:$G,5,0))</f>
        <v>0</v>
      </c>
      <c r="AI36">
        <f>IF(ISNA(VLOOKUP($A36&amp;AI$1,'For stats end Y DB'!$A:$G,5,0)),0,VLOOKUP($A36&amp;AI$1,'For stats end Y DB'!$A:$G,5,0))</f>
        <v>0</v>
      </c>
      <c r="AJ36">
        <f>IF(ISNA(VLOOKUP($A36&amp;AJ$1,'For stats end Y DB'!$A:$G,5,0)),0,VLOOKUP($A36&amp;AJ$1,'For stats end Y DB'!$A:$G,5,0))</f>
        <v>0</v>
      </c>
      <c r="AK36">
        <f>IF(ISNA(VLOOKUP($A36&amp;AK$1,'For stats end Y DB'!$A:$G,5,0)),0,VLOOKUP($A36&amp;AK$1,'For stats end Y DB'!$A:$G,5,0))</f>
        <v>0</v>
      </c>
      <c r="AL36">
        <f>IF(ISNA(VLOOKUP($A36&amp;AL$1,'For stats end Y DB'!$A:$G,5,0)),0,VLOOKUP($A36&amp;AL$1,'For stats end Y DB'!$A:$G,5,0))</f>
        <v>0</v>
      </c>
      <c r="AM36">
        <f>IF(ISNA(VLOOKUP($A36&amp;AM$1,'For stats end Y DB'!$A:$G,5,0)),0,VLOOKUP($A36&amp;AM$1,'For stats end Y DB'!$A:$G,5,0))</f>
        <v>0</v>
      </c>
      <c r="AN36">
        <f>IF(ISNA(VLOOKUP($A36&amp;AN$1,'For stats end Y DB'!$A:$G,5,0)),0,VLOOKUP($A36&amp;AN$1,'For stats end Y DB'!$A:$G,5,0))</f>
        <v>0</v>
      </c>
    </row>
    <row r="37" spans="1:40" x14ac:dyDescent="0.2">
      <c r="A37" t="str">
        <f>'For stats end Y class'!A37</f>
        <v>Guerno</v>
      </c>
      <c r="B37">
        <f>IF(ISNA(VLOOKUP($A37&amp;B$1,'For stats end Y DB'!$A:$G,5,0)),0,VLOOKUP($A37&amp;B$1,'For stats end Y DB'!$A:$G,5,0))</f>
        <v>0</v>
      </c>
      <c r="C37">
        <f>IF(ISNA(VLOOKUP($A37&amp;C$1,'For stats end Y DB'!$A:$G,5,0)),0,VLOOKUP($A37&amp;C$1,'For stats end Y DB'!$A:$G,5,0))</f>
        <v>0</v>
      </c>
      <c r="D37">
        <f>IF(ISNA(VLOOKUP($A37&amp;D$1,'For stats end Y DB'!$A:$G,5,0)),0,VLOOKUP($A37&amp;D$1,'For stats end Y DB'!$A:$G,5,0))</f>
        <v>0</v>
      </c>
      <c r="E37">
        <f>IF(ISNA(VLOOKUP($A37&amp;E$1,'For stats end Y DB'!$A:$G,5,0)),0,VLOOKUP($A37&amp;E$1,'For stats end Y DB'!$A:$G,5,0))</f>
        <v>5</v>
      </c>
      <c r="F37">
        <f>IF(ISNA(VLOOKUP($A37&amp;F$1,'For stats end Y DB'!$A:$G,5,0)),0,VLOOKUP($A37&amp;F$1,'For stats end Y DB'!$A:$G,5,0))</f>
        <v>0</v>
      </c>
      <c r="G37">
        <f>IF(ISNA(VLOOKUP($A37&amp;G$1,'For stats end Y DB'!$A:$G,5,0)),0,VLOOKUP($A37&amp;G$1,'For stats end Y DB'!$A:$G,5,0))</f>
        <v>1</v>
      </c>
      <c r="H37">
        <f>IF(ISNA(VLOOKUP($A37&amp;H$1,'For stats end Y DB'!$A:$G,5,0)),0,VLOOKUP($A37&amp;H$1,'For stats end Y DB'!$A:$G,5,0))</f>
        <v>0</v>
      </c>
      <c r="I37">
        <f>IF(ISNA(VLOOKUP($A37&amp;I$1,'For stats end Y DB'!$A:$G,5,0)),0,VLOOKUP($A37&amp;I$1,'For stats end Y DB'!$A:$G,5,0))</f>
        <v>8</v>
      </c>
      <c r="J37">
        <f>IF(ISNA(VLOOKUP($A37&amp;J$1,'For stats end Y DB'!$A:$G,5,0)),0,VLOOKUP($A37&amp;J$1,'For stats end Y DB'!$A:$G,5,0))</f>
        <v>8</v>
      </c>
      <c r="K37">
        <f>IF(ISNA(VLOOKUP($A37&amp;K$1,'For stats end Y DB'!$A:$G,5,0)),0,VLOOKUP($A37&amp;K$1,'For stats end Y DB'!$A:$G,5,0))</f>
        <v>0</v>
      </c>
      <c r="L37">
        <f>IF(ISNA(VLOOKUP($A37&amp;L$1,'For stats end Y DB'!$A:$G,5,0)),0,VLOOKUP($A37&amp;L$1,'For stats end Y DB'!$A:$G,5,0))</f>
        <v>0</v>
      </c>
      <c r="M37">
        <f>IF(ISNA(VLOOKUP($A37&amp;M$1,'For stats end Y DB'!$A:$G,5,0)),0,VLOOKUP($A37&amp;M$1,'For stats end Y DB'!$A:$G,5,0))</f>
        <v>0</v>
      </c>
      <c r="N37">
        <f>IF(ISNA(VLOOKUP($A37&amp;N$1,'For stats end Y DB'!$A:$G,5,0)),0,VLOOKUP($A37&amp;N$1,'For stats end Y DB'!$A:$G,5,0))</f>
        <v>0</v>
      </c>
      <c r="O37">
        <f>IF(ISNA(VLOOKUP($A37&amp;O$1,'For stats end Y DB'!$A:$G,5,0)),0,VLOOKUP($A37&amp;O$1,'For stats end Y DB'!$A:$G,5,0))</f>
        <v>0</v>
      </c>
      <c r="P37">
        <f>IF(ISNA(VLOOKUP($A37&amp;P$1,'For stats end Y DB'!$A:$G,5,0)),0,VLOOKUP($A37&amp;P$1,'For stats end Y DB'!$A:$G,5,0))</f>
        <v>0</v>
      </c>
      <c r="Q37">
        <f>IF(ISNA(VLOOKUP($A37&amp;Q$1,'For stats end Y DB'!$A:$G,5,0)),0,VLOOKUP($A37&amp;Q$1,'For stats end Y DB'!$A:$G,5,0))</f>
        <v>17</v>
      </c>
      <c r="R37">
        <f>IF(ISNA(VLOOKUP($A37&amp;R$1,'For stats end Y DB'!$A:$G,5,0)),0,VLOOKUP($A37&amp;R$1,'For stats end Y DB'!$A:$G,5,0))</f>
        <v>1</v>
      </c>
      <c r="S37">
        <f>IF(ISNA(VLOOKUP($A37&amp;S$1,'For stats end Y DB'!$A:$G,5,0)),0,VLOOKUP($A37&amp;S$1,'For stats end Y DB'!$A:$G,5,0))</f>
        <v>0</v>
      </c>
      <c r="T37">
        <f>IF(ISNA(VLOOKUP($A37&amp;T$1,'For stats end Y DB'!$A:$G,5,0)),0,VLOOKUP($A37&amp;T$1,'For stats end Y DB'!$A:$G,5,0))</f>
        <v>0</v>
      </c>
      <c r="U37">
        <f>IF(ISNA(VLOOKUP($A37&amp;U$1,'For stats end Y DB'!$A:$G,5,0)),0,VLOOKUP($A37&amp;U$1,'For stats end Y DB'!$A:$G,5,0))</f>
        <v>0</v>
      </c>
      <c r="V37">
        <f>IF(ISNA(VLOOKUP($A37&amp;V$1,'For stats end Y DB'!$A:$G,5,0)),0,VLOOKUP($A37&amp;V$1,'For stats end Y DB'!$A:$G,5,0))</f>
        <v>2</v>
      </c>
      <c r="W37">
        <f>IF(ISNA(VLOOKUP($A37&amp;W$1,'For stats end Y DB'!$A:$G,5,0)),0,VLOOKUP($A37&amp;W$1,'For stats end Y DB'!$A:$G,5,0))</f>
        <v>0</v>
      </c>
      <c r="X37">
        <f>IF(ISNA(VLOOKUP($A37&amp;X$1,'For stats end Y DB'!$A:$G,5,0)),0,VLOOKUP($A37&amp;X$1,'For stats end Y DB'!$A:$G,5,0))</f>
        <v>0</v>
      </c>
      <c r="Y37">
        <f>IF(ISNA(VLOOKUP($A37&amp;Y$1,'For stats end Y DB'!$A:$G,5,0)),0,VLOOKUP($A37&amp;Y$1,'For stats end Y DB'!$A:$G,5,0))</f>
        <v>0</v>
      </c>
      <c r="Z37">
        <f>IF(ISNA(VLOOKUP($A37&amp;Z$1,'For stats end Y DB'!$A:$G,5,0)),0,VLOOKUP($A37&amp;Z$1,'For stats end Y DB'!$A:$G,5,0))</f>
        <v>0</v>
      </c>
      <c r="AA37">
        <f>IF(ISNA(VLOOKUP($A37&amp;AA$1,'For stats end Y DB'!$A:$G,5,0)),0,VLOOKUP($A37&amp;AA$1,'For stats end Y DB'!$A:$G,5,0))</f>
        <v>0</v>
      </c>
      <c r="AB37">
        <f>IF(ISNA(VLOOKUP($A37&amp;AB$1,'For stats end Y DB'!$A:$G,5,0)),0,VLOOKUP($A37&amp;AB$1,'For stats end Y DB'!$A:$G,5,0))</f>
        <v>0</v>
      </c>
      <c r="AC37">
        <f>IF(ISNA(VLOOKUP($A37&amp;AC$1,'For stats end Y DB'!$A:$G,5,0)),0,VLOOKUP($A37&amp;AC$1,'For stats end Y DB'!$A:$G,5,0))</f>
        <v>0</v>
      </c>
      <c r="AD37">
        <f>IF(ISNA(VLOOKUP($A37&amp;AD$1,'For stats end Y DB'!$A:$G,5,0)),0,VLOOKUP($A37&amp;AD$1,'For stats end Y DB'!$A:$G,5,0))</f>
        <v>4</v>
      </c>
      <c r="AE37">
        <f>IF(ISNA(VLOOKUP($A37&amp;AE$1,'For stats end Y DB'!$A:$G,5,0)),0,VLOOKUP($A37&amp;AE$1,'For stats end Y DB'!$A:$G,5,0))</f>
        <v>0</v>
      </c>
      <c r="AF37">
        <f>IF(ISNA(VLOOKUP($A37&amp;AF$1,'For stats end Y DB'!$A:$G,5,0)),0,VLOOKUP($A37&amp;AF$1,'For stats end Y DB'!$A:$G,5,0))</f>
        <v>0</v>
      </c>
      <c r="AG37">
        <f>IF(ISNA(VLOOKUP($A37&amp;AG$1,'For stats end Y DB'!$A:$G,5,0)),0,VLOOKUP($A37&amp;AG$1,'For stats end Y DB'!$A:$G,5,0))</f>
        <v>8</v>
      </c>
      <c r="AH37">
        <f>IF(ISNA(VLOOKUP($A37&amp;AH$1,'For stats end Y DB'!$A:$G,5,0)),0,VLOOKUP($A37&amp;AH$1,'For stats end Y DB'!$A:$G,5,0))</f>
        <v>0</v>
      </c>
      <c r="AI37">
        <f>IF(ISNA(VLOOKUP($A37&amp;AI$1,'For stats end Y DB'!$A:$G,5,0)),0,VLOOKUP($A37&amp;AI$1,'For stats end Y DB'!$A:$G,5,0))</f>
        <v>0</v>
      </c>
      <c r="AJ37">
        <f>IF(ISNA(VLOOKUP($A37&amp;AJ$1,'For stats end Y DB'!$A:$G,5,0)),0,VLOOKUP($A37&amp;AJ$1,'For stats end Y DB'!$A:$G,5,0))</f>
        <v>0</v>
      </c>
      <c r="AK37">
        <f>IF(ISNA(VLOOKUP($A37&amp;AK$1,'For stats end Y DB'!$A:$G,5,0)),0,VLOOKUP($A37&amp;AK$1,'For stats end Y DB'!$A:$G,5,0))</f>
        <v>0</v>
      </c>
      <c r="AL37">
        <f>IF(ISNA(VLOOKUP($A37&amp;AL$1,'For stats end Y DB'!$A:$G,5,0)),0,VLOOKUP($A37&amp;AL$1,'For stats end Y DB'!$A:$G,5,0))</f>
        <v>0</v>
      </c>
      <c r="AM37">
        <f>IF(ISNA(VLOOKUP($A37&amp;AM$1,'For stats end Y DB'!$A:$G,5,0)),0,VLOOKUP($A37&amp;AM$1,'For stats end Y DB'!$A:$G,5,0))</f>
        <v>0</v>
      </c>
      <c r="AN37">
        <f>IF(ISNA(VLOOKUP($A37&amp;AN$1,'For stats end Y DB'!$A:$G,5,0)),0,VLOOKUP($A37&amp;AN$1,'For stats end Y DB'!$A:$G,5,0))</f>
        <v>0</v>
      </c>
    </row>
    <row r="38" spans="1:40" x14ac:dyDescent="0.2">
      <c r="A38" t="str">
        <f>'For stats end Y class'!A38</f>
        <v>Ilyes.</v>
      </c>
      <c r="B38">
        <f>IF(ISNA(VLOOKUP($A38&amp;B$1,'For stats end Y DB'!$A:$G,5,0)),0,VLOOKUP($A38&amp;B$1,'For stats end Y DB'!$A:$G,5,0))</f>
        <v>0</v>
      </c>
      <c r="C38">
        <f>IF(ISNA(VLOOKUP($A38&amp;C$1,'For stats end Y DB'!$A:$G,5,0)),0,VLOOKUP($A38&amp;C$1,'For stats end Y DB'!$A:$G,5,0))</f>
        <v>0</v>
      </c>
      <c r="D38">
        <f>IF(ISNA(VLOOKUP($A38&amp;D$1,'For stats end Y DB'!$A:$G,5,0)),0,VLOOKUP($A38&amp;D$1,'For stats end Y DB'!$A:$G,5,0))</f>
        <v>0</v>
      </c>
      <c r="E38">
        <f>IF(ISNA(VLOOKUP($A38&amp;E$1,'For stats end Y DB'!$A:$G,5,0)),0,VLOOKUP($A38&amp;E$1,'For stats end Y DB'!$A:$G,5,0))</f>
        <v>0</v>
      </c>
      <c r="F38">
        <f>IF(ISNA(VLOOKUP($A38&amp;F$1,'For stats end Y DB'!$A:$G,5,0)),0,VLOOKUP($A38&amp;F$1,'For stats end Y DB'!$A:$G,5,0))</f>
        <v>0</v>
      </c>
      <c r="G38">
        <f>IF(ISNA(VLOOKUP($A38&amp;G$1,'For stats end Y DB'!$A:$G,5,0)),0,VLOOKUP($A38&amp;G$1,'For stats end Y DB'!$A:$G,5,0))</f>
        <v>0</v>
      </c>
      <c r="H38">
        <f>IF(ISNA(VLOOKUP($A38&amp;H$1,'For stats end Y DB'!$A:$G,5,0)),0,VLOOKUP($A38&amp;H$1,'For stats end Y DB'!$A:$G,5,0))</f>
        <v>0</v>
      </c>
      <c r="I38">
        <f>IF(ISNA(VLOOKUP($A38&amp;I$1,'For stats end Y DB'!$A:$G,5,0)),0,VLOOKUP($A38&amp;I$1,'For stats end Y DB'!$A:$G,5,0))</f>
        <v>0</v>
      </c>
      <c r="J38">
        <f>IF(ISNA(VLOOKUP($A38&amp;J$1,'For stats end Y DB'!$A:$G,5,0)),0,VLOOKUP($A38&amp;J$1,'For stats end Y DB'!$A:$G,5,0))</f>
        <v>0</v>
      </c>
      <c r="K38">
        <f>IF(ISNA(VLOOKUP($A38&amp;K$1,'For stats end Y DB'!$A:$G,5,0)),0,VLOOKUP($A38&amp;K$1,'For stats end Y DB'!$A:$G,5,0))</f>
        <v>0</v>
      </c>
      <c r="L38">
        <f>IF(ISNA(VLOOKUP($A38&amp;L$1,'For stats end Y DB'!$A:$G,5,0)),0,VLOOKUP($A38&amp;L$1,'For stats end Y DB'!$A:$G,5,0))</f>
        <v>0</v>
      </c>
      <c r="M38">
        <f>IF(ISNA(VLOOKUP($A38&amp;M$1,'For stats end Y DB'!$A:$G,5,0)),0,VLOOKUP($A38&amp;M$1,'For stats end Y DB'!$A:$G,5,0))</f>
        <v>0</v>
      </c>
      <c r="N38">
        <f>IF(ISNA(VLOOKUP($A38&amp;N$1,'For stats end Y DB'!$A:$G,5,0)),0,VLOOKUP($A38&amp;N$1,'For stats end Y DB'!$A:$G,5,0))</f>
        <v>0</v>
      </c>
      <c r="O38">
        <f>IF(ISNA(VLOOKUP($A38&amp;O$1,'For stats end Y DB'!$A:$G,5,0)),0,VLOOKUP($A38&amp;O$1,'For stats end Y DB'!$A:$G,5,0))</f>
        <v>0</v>
      </c>
      <c r="P38">
        <f>IF(ISNA(VLOOKUP($A38&amp;P$1,'For stats end Y DB'!$A:$G,5,0)),0,VLOOKUP($A38&amp;P$1,'For stats end Y DB'!$A:$G,5,0))</f>
        <v>0</v>
      </c>
      <c r="Q38">
        <f>IF(ISNA(VLOOKUP($A38&amp;Q$1,'For stats end Y DB'!$A:$G,5,0)),0,VLOOKUP($A38&amp;Q$1,'For stats end Y DB'!$A:$G,5,0))</f>
        <v>0</v>
      </c>
      <c r="R38">
        <f>IF(ISNA(VLOOKUP($A38&amp;R$1,'For stats end Y DB'!$A:$G,5,0)),0,VLOOKUP($A38&amp;R$1,'For stats end Y DB'!$A:$G,5,0))</f>
        <v>0</v>
      </c>
      <c r="S38">
        <f>IF(ISNA(VLOOKUP($A38&amp;S$1,'For stats end Y DB'!$A:$G,5,0)),0,VLOOKUP($A38&amp;S$1,'For stats end Y DB'!$A:$G,5,0))</f>
        <v>0</v>
      </c>
      <c r="T38">
        <f>IF(ISNA(VLOOKUP($A38&amp;T$1,'For stats end Y DB'!$A:$G,5,0)),0,VLOOKUP($A38&amp;T$1,'For stats end Y DB'!$A:$G,5,0))</f>
        <v>0</v>
      </c>
      <c r="U38">
        <f>IF(ISNA(VLOOKUP($A38&amp;U$1,'For stats end Y DB'!$A:$G,5,0)),0,VLOOKUP($A38&amp;U$1,'For stats end Y DB'!$A:$G,5,0))</f>
        <v>0</v>
      </c>
      <c r="V38">
        <f>IF(ISNA(VLOOKUP($A38&amp;V$1,'For stats end Y DB'!$A:$G,5,0)),0,VLOOKUP($A38&amp;V$1,'For stats end Y DB'!$A:$G,5,0))</f>
        <v>0</v>
      </c>
      <c r="W38">
        <f>IF(ISNA(VLOOKUP($A38&amp;W$1,'For stats end Y DB'!$A:$G,5,0)),0,VLOOKUP($A38&amp;W$1,'For stats end Y DB'!$A:$G,5,0))</f>
        <v>0</v>
      </c>
      <c r="X38">
        <f>IF(ISNA(VLOOKUP($A38&amp;X$1,'For stats end Y DB'!$A:$G,5,0)),0,VLOOKUP($A38&amp;X$1,'For stats end Y DB'!$A:$G,5,0))</f>
        <v>0</v>
      </c>
      <c r="Y38">
        <f>IF(ISNA(VLOOKUP($A38&amp;Y$1,'For stats end Y DB'!$A:$G,5,0)),0,VLOOKUP($A38&amp;Y$1,'For stats end Y DB'!$A:$G,5,0))</f>
        <v>9</v>
      </c>
      <c r="Z38">
        <f>IF(ISNA(VLOOKUP($A38&amp;Z$1,'For stats end Y DB'!$A:$G,5,0)),0,VLOOKUP($A38&amp;Z$1,'For stats end Y DB'!$A:$G,5,0))</f>
        <v>0</v>
      </c>
      <c r="AA38">
        <f>IF(ISNA(VLOOKUP($A38&amp;AA$1,'For stats end Y DB'!$A:$G,5,0)),0,VLOOKUP($A38&amp;AA$1,'For stats end Y DB'!$A:$G,5,0))</f>
        <v>0</v>
      </c>
      <c r="AB38">
        <f>IF(ISNA(VLOOKUP($A38&amp;AB$1,'For stats end Y DB'!$A:$G,5,0)),0,VLOOKUP($A38&amp;AB$1,'For stats end Y DB'!$A:$G,5,0))</f>
        <v>0</v>
      </c>
      <c r="AC38">
        <f>IF(ISNA(VLOOKUP($A38&amp;AC$1,'For stats end Y DB'!$A:$G,5,0)),0,VLOOKUP($A38&amp;AC$1,'For stats end Y DB'!$A:$G,5,0))</f>
        <v>0</v>
      </c>
      <c r="AD38">
        <f>IF(ISNA(VLOOKUP($A38&amp;AD$1,'For stats end Y DB'!$A:$G,5,0)),0,VLOOKUP($A38&amp;AD$1,'For stats end Y DB'!$A:$G,5,0))</f>
        <v>0</v>
      </c>
      <c r="AE38">
        <f>IF(ISNA(VLOOKUP($A38&amp;AE$1,'For stats end Y DB'!$A:$G,5,0)),0,VLOOKUP($A38&amp;AE$1,'For stats end Y DB'!$A:$G,5,0))</f>
        <v>0</v>
      </c>
      <c r="AF38">
        <f>IF(ISNA(VLOOKUP($A38&amp;AF$1,'For stats end Y DB'!$A:$G,5,0)),0,VLOOKUP($A38&amp;AF$1,'For stats end Y DB'!$A:$G,5,0))</f>
        <v>0</v>
      </c>
      <c r="AG38">
        <f>IF(ISNA(VLOOKUP($A38&amp;AG$1,'For stats end Y DB'!$A:$G,5,0)),0,VLOOKUP($A38&amp;AG$1,'For stats end Y DB'!$A:$G,5,0))</f>
        <v>0</v>
      </c>
      <c r="AH38">
        <f>IF(ISNA(VLOOKUP($A38&amp;AH$1,'For stats end Y DB'!$A:$G,5,0)),0,VLOOKUP($A38&amp;AH$1,'For stats end Y DB'!$A:$G,5,0))</f>
        <v>0</v>
      </c>
      <c r="AI38">
        <f>IF(ISNA(VLOOKUP($A38&amp;AI$1,'For stats end Y DB'!$A:$G,5,0)),0,VLOOKUP($A38&amp;AI$1,'For stats end Y DB'!$A:$G,5,0))</f>
        <v>0</v>
      </c>
      <c r="AJ38">
        <f>IF(ISNA(VLOOKUP($A38&amp;AJ$1,'For stats end Y DB'!$A:$G,5,0)),0,VLOOKUP($A38&amp;AJ$1,'For stats end Y DB'!$A:$G,5,0))</f>
        <v>0</v>
      </c>
      <c r="AK38">
        <f>IF(ISNA(VLOOKUP($A38&amp;AK$1,'For stats end Y DB'!$A:$G,5,0)),0,VLOOKUP($A38&amp;AK$1,'For stats end Y DB'!$A:$G,5,0))</f>
        <v>0</v>
      </c>
      <c r="AL38">
        <f>IF(ISNA(VLOOKUP($A38&amp;AL$1,'For stats end Y DB'!$A:$G,5,0)),0,VLOOKUP($A38&amp;AL$1,'For stats end Y DB'!$A:$G,5,0))</f>
        <v>0</v>
      </c>
      <c r="AM38">
        <f>IF(ISNA(VLOOKUP($A38&amp;AM$1,'For stats end Y DB'!$A:$G,5,0)),0,VLOOKUP($A38&amp;AM$1,'For stats end Y DB'!$A:$G,5,0))</f>
        <v>0</v>
      </c>
      <c r="AN38">
        <f>IF(ISNA(VLOOKUP($A38&amp;AN$1,'For stats end Y DB'!$A:$G,5,0)),0,VLOOKUP($A38&amp;AN$1,'For stats end Y DB'!$A:$G,5,0))</f>
        <v>0</v>
      </c>
    </row>
    <row r="39" spans="1:40" x14ac:dyDescent="0.2">
      <c r="A39" t="str">
        <f>'For stats end Y class'!A39</f>
        <v>Ines</v>
      </c>
      <c r="B39">
        <f>IF(ISNA(VLOOKUP($A39&amp;B$1,'For stats end Y DB'!$A:$G,5,0)),0,VLOOKUP($A39&amp;B$1,'For stats end Y DB'!$A:$G,5,0))</f>
        <v>0</v>
      </c>
      <c r="C39">
        <f>IF(ISNA(VLOOKUP($A39&amp;C$1,'For stats end Y DB'!$A:$G,5,0)),0,VLOOKUP($A39&amp;C$1,'For stats end Y DB'!$A:$G,5,0))</f>
        <v>0</v>
      </c>
      <c r="D39">
        <f>IF(ISNA(VLOOKUP($A39&amp;D$1,'For stats end Y DB'!$A:$G,5,0)),0,VLOOKUP($A39&amp;D$1,'For stats end Y DB'!$A:$G,5,0))</f>
        <v>0</v>
      </c>
      <c r="E39">
        <f>IF(ISNA(VLOOKUP($A39&amp;E$1,'For stats end Y DB'!$A:$G,5,0)),0,VLOOKUP($A39&amp;E$1,'For stats end Y DB'!$A:$G,5,0))</f>
        <v>0</v>
      </c>
      <c r="F39">
        <f>IF(ISNA(VLOOKUP($A39&amp;F$1,'For stats end Y DB'!$A:$G,5,0)),0,VLOOKUP($A39&amp;F$1,'For stats end Y DB'!$A:$G,5,0))</f>
        <v>0</v>
      </c>
      <c r="G39">
        <f>IF(ISNA(VLOOKUP($A39&amp;G$1,'For stats end Y DB'!$A:$G,5,0)),0,VLOOKUP($A39&amp;G$1,'For stats end Y DB'!$A:$G,5,0))</f>
        <v>0</v>
      </c>
      <c r="H39">
        <f>IF(ISNA(VLOOKUP($A39&amp;H$1,'For stats end Y DB'!$A:$G,5,0)),0,VLOOKUP($A39&amp;H$1,'For stats end Y DB'!$A:$G,5,0))</f>
        <v>0</v>
      </c>
      <c r="I39">
        <f>IF(ISNA(VLOOKUP($A39&amp;I$1,'For stats end Y DB'!$A:$G,5,0)),0,VLOOKUP($A39&amp;I$1,'For stats end Y DB'!$A:$G,5,0))</f>
        <v>0</v>
      </c>
      <c r="J39">
        <f>IF(ISNA(VLOOKUP($A39&amp;J$1,'For stats end Y DB'!$A:$G,5,0)),0,VLOOKUP($A39&amp;J$1,'For stats end Y DB'!$A:$G,5,0))</f>
        <v>0</v>
      </c>
      <c r="K39">
        <f>IF(ISNA(VLOOKUP($A39&amp;K$1,'For stats end Y DB'!$A:$G,5,0)),0,VLOOKUP($A39&amp;K$1,'For stats end Y DB'!$A:$G,5,0))</f>
        <v>0</v>
      </c>
      <c r="L39">
        <f>IF(ISNA(VLOOKUP($A39&amp;L$1,'For stats end Y DB'!$A:$G,5,0)),0,VLOOKUP($A39&amp;L$1,'For stats end Y DB'!$A:$G,5,0))</f>
        <v>0</v>
      </c>
      <c r="M39">
        <f>IF(ISNA(VLOOKUP($A39&amp;M$1,'For stats end Y DB'!$A:$G,5,0)),0,VLOOKUP($A39&amp;M$1,'For stats end Y DB'!$A:$G,5,0))</f>
        <v>0</v>
      </c>
      <c r="N39">
        <f>IF(ISNA(VLOOKUP($A39&amp;N$1,'For stats end Y DB'!$A:$G,5,0)),0,VLOOKUP($A39&amp;N$1,'For stats end Y DB'!$A:$G,5,0))</f>
        <v>0</v>
      </c>
      <c r="O39">
        <f>IF(ISNA(VLOOKUP($A39&amp;O$1,'For stats end Y DB'!$A:$G,5,0)),0,VLOOKUP($A39&amp;O$1,'For stats end Y DB'!$A:$G,5,0))</f>
        <v>0</v>
      </c>
      <c r="P39">
        <f>IF(ISNA(VLOOKUP($A39&amp;P$1,'For stats end Y DB'!$A:$G,5,0)),0,VLOOKUP($A39&amp;P$1,'For stats end Y DB'!$A:$G,5,0))</f>
        <v>0</v>
      </c>
      <c r="Q39">
        <f>IF(ISNA(VLOOKUP($A39&amp;Q$1,'For stats end Y DB'!$A:$G,5,0)),0,VLOOKUP($A39&amp;Q$1,'For stats end Y DB'!$A:$G,5,0))</f>
        <v>0</v>
      </c>
      <c r="R39">
        <f>IF(ISNA(VLOOKUP($A39&amp;R$1,'For stats end Y DB'!$A:$G,5,0)),0,VLOOKUP($A39&amp;R$1,'For stats end Y DB'!$A:$G,5,0))</f>
        <v>0</v>
      </c>
      <c r="S39">
        <f>IF(ISNA(VLOOKUP($A39&amp;S$1,'For stats end Y DB'!$A:$G,5,0)),0,VLOOKUP($A39&amp;S$1,'For stats end Y DB'!$A:$G,5,0))</f>
        <v>0</v>
      </c>
      <c r="T39">
        <f>IF(ISNA(VLOOKUP($A39&amp;T$1,'For stats end Y DB'!$A:$G,5,0)),0,VLOOKUP($A39&amp;T$1,'For stats end Y DB'!$A:$G,5,0))</f>
        <v>0</v>
      </c>
      <c r="U39">
        <f>IF(ISNA(VLOOKUP($A39&amp;U$1,'For stats end Y DB'!$A:$G,5,0)),0,VLOOKUP($A39&amp;U$1,'For stats end Y DB'!$A:$G,5,0))</f>
        <v>0</v>
      </c>
      <c r="V39">
        <f>IF(ISNA(VLOOKUP($A39&amp;V$1,'For stats end Y DB'!$A:$G,5,0)),0,VLOOKUP($A39&amp;V$1,'For stats end Y DB'!$A:$G,5,0))</f>
        <v>0</v>
      </c>
      <c r="W39">
        <f>IF(ISNA(VLOOKUP($A39&amp;W$1,'For stats end Y DB'!$A:$G,5,0)),0,VLOOKUP($A39&amp;W$1,'For stats end Y DB'!$A:$G,5,0))</f>
        <v>0</v>
      </c>
      <c r="X39">
        <f>IF(ISNA(VLOOKUP($A39&amp;X$1,'For stats end Y DB'!$A:$G,5,0)),0,VLOOKUP($A39&amp;X$1,'For stats end Y DB'!$A:$G,5,0))</f>
        <v>0</v>
      </c>
      <c r="Y39">
        <f>IF(ISNA(VLOOKUP($A39&amp;Y$1,'For stats end Y DB'!$A:$G,5,0)),0,VLOOKUP($A39&amp;Y$1,'For stats end Y DB'!$A:$G,5,0))</f>
        <v>0</v>
      </c>
      <c r="Z39">
        <f>IF(ISNA(VLOOKUP($A39&amp;Z$1,'For stats end Y DB'!$A:$G,5,0)),0,VLOOKUP($A39&amp;Z$1,'For stats end Y DB'!$A:$G,5,0))</f>
        <v>0</v>
      </c>
      <c r="AA39">
        <f>IF(ISNA(VLOOKUP($A39&amp;AA$1,'For stats end Y DB'!$A:$G,5,0)),0,VLOOKUP($A39&amp;AA$1,'For stats end Y DB'!$A:$G,5,0))</f>
        <v>0</v>
      </c>
      <c r="AB39">
        <f>IF(ISNA(VLOOKUP($A39&amp;AB$1,'For stats end Y DB'!$A:$G,5,0)),0,VLOOKUP($A39&amp;AB$1,'For stats end Y DB'!$A:$G,5,0))</f>
        <v>0</v>
      </c>
      <c r="AC39">
        <f>IF(ISNA(VLOOKUP($A39&amp;AC$1,'For stats end Y DB'!$A:$G,5,0)),0,VLOOKUP($A39&amp;AC$1,'For stats end Y DB'!$A:$G,5,0))</f>
        <v>12</v>
      </c>
      <c r="AD39">
        <f>IF(ISNA(VLOOKUP($A39&amp;AD$1,'For stats end Y DB'!$A:$G,5,0)),0,VLOOKUP($A39&amp;AD$1,'For stats end Y DB'!$A:$G,5,0))</f>
        <v>0</v>
      </c>
      <c r="AE39">
        <f>IF(ISNA(VLOOKUP($A39&amp;AE$1,'For stats end Y DB'!$A:$G,5,0)),0,VLOOKUP($A39&amp;AE$1,'For stats end Y DB'!$A:$G,5,0))</f>
        <v>0</v>
      </c>
      <c r="AF39">
        <f>IF(ISNA(VLOOKUP($A39&amp;AF$1,'For stats end Y DB'!$A:$G,5,0)),0,VLOOKUP($A39&amp;AF$1,'For stats end Y DB'!$A:$G,5,0))</f>
        <v>0</v>
      </c>
      <c r="AG39">
        <f>IF(ISNA(VLOOKUP($A39&amp;AG$1,'For stats end Y DB'!$A:$G,5,0)),0,VLOOKUP($A39&amp;AG$1,'For stats end Y DB'!$A:$G,5,0))</f>
        <v>0</v>
      </c>
      <c r="AH39">
        <f>IF(ISNA(VLOOKUP($A39&amp;AH$1,'For stats end Y DB'!$A:$G,5,0)),0,VLOOKUP($A39&amp;AH$1,'For stats end Y DB'!$A:$G,5,0))</f>
        <v>0</v>
      </c>
      <c r="AI39">
        <f>IF(ISNA(VLOOKUP($A39&amp;AI$1,'For stats end Y DB'!$A:$G,5,0)),0,VLOOKUP($A39&amp;AI$1,'For stats end Y DB'!$A:$G,5,0))</f>
        <v>0</v>
      </c>
      <c r="AJ39">
        <f>IF(ISNA(VLOOKUP($A39&amp;AJ$1,'For stats end Y DB'!$A:$G,5,0)),0,VLOOKUP($A39&amp;AJ$1,'For stats end Y DB'!$A:$G,5,0))</f>
        <v>0</v>
      </c>
      <c r="AK39">
        <f>IF(ISNA(VLOOKUP($A39&amp;AK$1,'For stats end Y DB'!$A:$G,5,0)),0,VLOOKUP($A39&amp;AK$1,'For stats end Y DB'!$A:$G,5,0))</f>
        <v>0</v>
      </c>
      <c r="AL39">
        <f>IF(ISNA(VLOOKUP($A39&amp;AL$1,'For stats end Y DB'!$A:$G,5,0)),0,VLOOKUP($A39&amp;AL$1,'For stats end Y DB'!$A:$G,5,0))</f>
        <v>0</v>
      </c>
      <c r="AM39">
        <f>IF(ISNA(VLOOKUP($A39&amp;AM$1,'For stats end Y DB'!$A:$G,5,0)),0,VLOOKUP($A39&amp;AM$1,'For stats end Y DB'!$A:$G,5,0))</f>
        <v>0</v>
      </c>
      <c r="AN39">
        <f>IF(ISNA(VLOOKUP($A39&amp;AN$1,'For stats end Y DB'!$A:$G,5,0)),0,VLOOKUP($A39&amp;AN$1,'For stats end Y DB'!$A:$G,5,0))</f>
        <v>0</v>
      </c>
    </row>
    <row r="40" spans="1:40" x14ac:dyDescent="0.2">
      <c r="A40" t="str">
        <f>'For stats end Y class'!A40</f>
        <v>Jacaille</v>
      </c>
      <c r="B40">
        <f>IF(ISNA(VLOOKUP($A40&amp;B$1,'For stats end Y DB'!$A:$G,5,0)),0,VLOOKUP($A40&amp;B$1,'For stats end Y DB'!$A:$G,5,0))</f>
        <v>12</v>
      </c>
      <c r="C40">
        <f>IF(ISNA(VLOOKUP($A40&amp;C$1,'For stats end Y DB'!$A:$G,5,0)),0,VLOOKUP($A40&amp;C$1,'For stats end Y DB'!$A:$G,5,0))</f>
        <v>13</v>
      </c>
      <c r="D40">
        <f>IF(ISNA(VLOOKUP($A40&amp;D$1,'For stats end Y DB'!$A:$G,5,0)),0,VLOOKUP($A40&amp;D$1,'For stats end Y DB'!$A:$G,5,0))</f>
        <v>1</v>
      </c>
      <c r="E40">
        <f>IF(ISNA(VLOOKUP($A40&amp;E$1,'For stats end Y DB'!$A:$G,5,0)),0,VLOOKUP($A40&amp;E$1,'For stats end Y DB'!$A:$G,5,0))</f>
        <v>17</v>
      </c>
      <c r="F40">
        <f>IF(ISNA(VLOOKUP($A40&amp;F$1,'For stats end Y DB'!$A:$G,5,0)),0,VLOOKUP($A40&amp;F$1,'For stats end Y DB'!$A:$G,5,0))</f>
        <v>17</v>
      </c>
      <c r="G40">
        <f>IF(ISNA(VLOOKUP($A40&amp;G$1,'For stats end Y DB'!$A:$G,5,0)),0,VLOOKUP($A40&amp;G$1,'For stats end Y DB'!$A:$G,5,0))</f>
        <v>5</v>
      </c>
      <c r="H40">
        <f>IF(ISNA(VLOOKUP($A40&amp;H$1,'For stats end Y DB'!$A:$G,5,0)),0,VLOOKUP($A40&amp;H$1,'For stats end Y DB'!$A:$G,5,0))</f>
        <v>12</v>
      </c>
      <c r="I40">
        <f>IF(ISNA(VLOOKUP($A40&amp;I$1,'For stats end Y DB'!$A:$G,5,0)),0,VLOOKUP($A40&amp;I$1,'For stats end Y DB'!$A:$G,5,0))</f>
        <v>4</v>
      </c>
      <c r="J40">
        <f>IF(ISNA(VLOOKUP($A40&amp;J$1,'For stats end Y DB'!$A:$G,5,0)),0,VLOOKUP($A40&amp;J$1,'For stats end Y DB'!$A:$G,5,0))</f>
        <v>0</v>
      </c>
      <c r="K40">
        <f>IF(ISNA(VLOOKUP($A40&amp;K$1,'For stats end Y DB'!$A:$G,5,0)),0,VLOOKUP($A40&amp;K$1,'For stats end Y DB'!$A:$G,5,0))</f>
        <v>12</v>
      </c>
      <c r="L40">
        <f>IF(ISNA(VLOOKUP($A40&amp;L$1,'For stats end Y DB'!$A:$G,5,0)),0,VLOOKUP($A40&amp;L$1,'For stats end Y DB'!$A:$G,5,0))</f>
        <v>1</v>
      </c>
      <c r="M40">
        <f>IF(ISNA(VLOOKUP($A40&amp;M$1,'For stats end Y DB'!$A:$G,5,0)),0,VLOOKUP($A40&amp;M$1,'For stats end Y DB'!$A:$G,5,0))</f>
        <v>0</v>
      </c>
      <c r="N40">
        <f>IF(ISNA(VLOOKUP($A40&amp;N$1,'For stats end Y DB'!$A:$G,5,0)),0,VLOOKUP($A40&amp;N$1,'For stats end Y DB'!$A:$G,5,0))</f>
        <v>0</v>
      </c>
      <c r="O40">
        <f>IF(ISNA(VLOOKUP($A40&amp;O$1,'For stats end Y DB'!$A:$G,5,0)),0,VLOOKUP($A40&amp;O$1,'For stats end Y DB'!$A:$G,5,0))</f>
        <v>0</v>
      </c>
      <c r="P40">
        <f>IF(ISNA(VLOOKUP($A40&amp;P$1,'For stats end Y DB'!$A:$G,5,0)),0,VLOOKUP($A40&amp;P$1,'For stats end Y DB'!$A:$G,5,0))</f>
        <v>0</v>
      </c>
      <c r="Q40">
        <f>IF(ISNA(VLOOKUP($A40&amp;Q$1,'For stats end Y DB'!$A:$G,5,0)),0,VLOOKUP($A40&amp;Q$1,'For stats end Y DB'!$A:$G,5,0))</f>
        <v>0</v>
      </c>
      <c r="R40">
        <f>IF(ISNA(VLOOKUP($A40&amp;R$1,'For stats end Y DB'!$A:$G,5,0)),0,VLOOKUP($A40&amp;R$1,'For stats end Y DB'!$A:$G,5,0))</f>
        <v>0</v>
      </c>
      <c r="S40">
        <f>IF(ISNA(VLOOKUP($A40&amp;S$1,'For stats end Y DB'!$A:$G,5,0)),0,VLOOKUP($A40&amp;S$1,'For stats end Y DB'!$A:$G,5,0))</f>
        <v>0</v>
      </c>
      <c r="T40">
        <f>IF(ISNA(VLOOKUP($A40&amp;T$1,'For stats end Y DB'!$A:$G,5,0)),0,VLOOKUP($A40&amp;T$1,'For stats end Y DB'!$A:$G,5,0))</f>
        <v>0</v>
      </c>
      <c r="U40">
        <f>IF(ISNA(VLOOKUP($A40&amp;U$1,'For stats end Y DB'!$A:$G,5,0)),0,VLOOKUP($A40&amp;U$1,'For stats end Y DB'!$A:$G,5,0))</f>
        <v>0</v>
      </c>
      <c r="V40">
        <f>IF(ISNA(VLOOKUP($A40&amp;V$1,'For stats end Y DB'!$A:$G,5,0)),0,VLOOKUP($A40&amp;V$1,'For stats end Y DB'!$A:$G,5,0))</f>
        <v>0</v>
      </c>
      <c r="W40">
        <f>IF(ISNA(VLOOKUP($A40&amp;W$1,'For stats end Y DB'!$A:$G,5,0)),0,VLOOKUP($A40&amp;W$1,'For stats end Y DB'!$A:$G,5,0))</f>
        <v>0</v>
      </c>
      <c r="X40">
        <f>IF(ISNA(VLOOKUP($A40&amp;X$1,'For stats end Y DB'!$A:$G,5,0)),0,VLOOKUP($A40&amp;X$1,'For stats end Y DB'!$A:$G,5,0))</f>
        <v>0</v>
      </c>
      <c r="Y40">
        <f>IF(ISNA(VLOOKUP($A40&amp;Y$1,'For stats end Y DB'!$A:$G,5,0)),0,VLOOKUP($A40&amp;Y$1,'For stats end Y DB'!$A:$G,5,0))</f>
        <v>0</v>
      </c>
      <c r="Z40">
        <f>IF(ISNA(VLOOKUP($A40&amp;Z$1,'For stats end Y DB'!$A:$G,5,0)),0,VLOOKUP($A40&amp;Z$1,'For stats end Y DB'!$A:$G,5,0))</f>
        <v>0</v>
      </c>
      <c r="AA40">
        <f>IF(ISNA(VLOOKUP($A40&amp;AA$1,'For stats end Y DB'!$A:$G,5,0)),0,VLOOKUP($A40&amp;AA$1,'For stats end Y DB'!$A:$G,5,0))</f>
        <v>0</v>
      </c>
      <c r="AB40">
        <f>IF(ISNA(VLOOKUP($A40&amp;AB$1,'For stats end Y DB'!$A:$G,5,0)),0,VLOOKUP($A40&amp;AB$1,'For stats end Y DB'!$A:$G,5,0))</f>
        <v>0</v>
      </c>
      <c r="AC40">
        <f>IF(ISNA(VLOOKUP($A40&amp;AC$1,'For stats end Y DB'!$A:$G,5,0)),0,VLOOKUP($A40&amp;AC$1,'For stats end Y DB'!$A:$G,5,0))</f>
        <v>0</v>
      </c>
      <c r="AD40">
        <f>IF(ISNA(VLOOKUP($A40&amp;AD$1,'For stats end Y DB'!$A:$G,5,0)),0,VLOOKUP($A40&amp;AD$1,'For stats end Y DB'!$A:$G,5,0))</f>
        <v>0</v>
      </c>
      <c r="AE40">
        <f>IF(ISNA(VLOOKUP($A40&amp;AE$1,'For stats end Y DB'!$A:$G,5,0)),0,VLOOKUP($A40&amp;AE$1,'For stats end Y DB'!$A:$G,5,0))</f>
        <v>0</v>
      </c>
      <c r="AF40">
        <f>IF(ISNA(VLOOKUP($A40&amp;AF$1,'For stats end Y DB'!$A:$G,5,0)),0,VLOOKUP($A40&amp;AF$1,'For stats end Y DB'!$A:$G,5,0))</f>
        <v>0</v>
      </c>
      <c r="AG40">
        <f>IF(ISNA(VLOOKUP($A40&amp;AG$1,'For stats end Y DB'!$A:$G,5,0)),0,VLOOKUP($A40&amp;AG$1,'For stats end Y DB'!$A:$G,5,0))</f>
        <v>0</v>
      </c>
      <c r="AH40">
        <f>IF(ISNA(VLOOKUP($A40&amp;AH$1,'For stats end Y DB'!$A:$G,5,0)),0,VLOOKUP($A40&amp;AH$1,'For stats end Y DB'!$A:$G,5,0))</f>
        <v>0</v>
      </c>
      <c r="AI40">
        <f>IF(ISNA(VLOOKUP($A40&amp;AI$1,'For stats end Y DB'!$A:$G,5,0)),0,VLOOKUP($A40&amp;AI$1,'For stats end Y DB'!$A:$G,5,0))</f>
        <v>0</v>
      </c>
      <c r="AJ40">
        <f>IF(ISNA(VLOOKUP($A40&amp;AJ$1,'For stats end Y DB'!$A:$G,5,0)),0,VLOOKUP($A40&amp;AJ$1,'For stats end Y DB'!$A:$G,5,0))</f>
        <v>0</v>
      </c>
      <c r="AK40">
        <f>IF(ISNA(VLOOKUP($A40&amp;AK$1,'For stats end Y DB'!$A:$G,5,0)),0,VLOOKUP($A40&amp;AK$1,'For stats end Y DB'!$A:$G,5,0))</f>
        <v>0</v>
      </c>
      <c r="AL40">
        <f>IF(ISNA(VLOOKUP($A40&amp;AL$1,'For stats end Y DB'!$A:$G,5,0)),0,VLOOKUP($A40&amp;AL$1,'For stats end Y DB'!$A:$G,5,0))</f>
        <v>0</v>
      </c>
      <c r="AM40">
        <f>IF(ISNA(VLOOKUP($A40&amp;AM$1,'For stats end Y DB'!$A:$G,5,0)),0,VLOOKUP($A40&amp;AM$1,'For stats end Y DB'!$A:$G,5,0))</f>
        <v>0</v>
      </c>
      <c r="AN40">
        <f>IF(ISNA(VLOOKUP($A40&amp;AN$1,'For stats end Y DB'!$A:$G,5,0)),0,VLOOKUP($A40&amp;AN$1,'For stats end Y DB'!$A:$G,5,0))</f>
        <v>0</v>
      </c>
    </row>
    <row r="41" spans="1:40" x14ac:dyDescent="0.2">
      <c r="A41" t="str">
        <f>'For stats end Y class'!A41</f>
        <v>Jaden</v>
      </c>
      <c r="B41">
        <f>IF(ISNA(VLOOKUP($A41&amp;B$1,'For stats end Y DB'!$A:$G,5,0)),0,VLOOKUP($A41&amp;B$1,'For stats end Y DB'!$A:$G,5,0))</f>
        <v>1</v>
      </c>
      <c r="C41">
        <f>IF(ISNA(VLOOKUP($A41&amp;C$1,'For stats end Y DB'!$A:$G,5,0)),0,VLOOKUP($A41&amp;C$1,'For stats end Y DB'!$A:$G,5,0))</f>
        <v>3</v>
      </c>
      <c r="D41">
        <f>IF(ISNA(VLOOKUP($A41&amp;D$1,'For stats end Y DB'!$A:$G,5,0)),0,VLOOKUP($A41&amp;D$1,'For stats end Y DB'!$A:$G,5,0))</f>
        <v>4</v>
      </c>
      <c r="E41">
        <f>IF(ISNA(VLOOKUP($A41&amp;E$1,'For stats end Y DB'!$A:$G,5,0)),0,VLOOKUP($A41&amp;E$1,'For stats end Y DB'!$A:$G,5,0))</f>
        <v>0</v>
      </c>
      <c r="F41">
        <f>IF(ISNA(VLOOKUP($A41&amp;F$1,'For stats end Y DB'!$A:$G,5,0)),0,VLOOKUP($A41&amp;F$1,'For stats end Y DB'!$A:$G,5,0))</f>
        <v>0</v>
      </c>
      <c r="G41">
        <f>IF(ISNA(VLOOKUP($A41&amp;G$1,'For stats end Y DB'!$A:$G,5,0)),0,VLOOKUP($A41&amp;G$1,'For stats end Y DB'!$A:$G,5,0))</f>
        <v>5</v>
      </c>
      <c r="H41">
        <f>IF(ISNA(VLOOKUP($A41&amp;H$1,'For stats end Y DB'!$A:$G,5,0)),0,VLOOKUP($A41&amp;H$1,'For stats end Y DB'!$A:$G,5,0))</f>
        <v>1</v>
      </c>
      <c r="I41">
        <f>IF(ISNA(VLOOKUP($A41&amp;I$1,'For stats end Y DB'!$A:$G,5,0)),0,VLOOKUP($A41&amp;I$1,'For stats end Y DB'!$A:$G,5,0))</f>
        <v>0</v>
      </c>
      <c r="J41">
        <f>IF(ISNA(VLOOKUP($A41&amp;J$1,'For stats end Y DB'!$A:$G,5,0)),0,VLOOKUP($A41&amp;J$1,'For stats end Y DB'!$A:$G,5,0))</f>
        <v>13</v>
      </c>
      <c r="K41">
        <f>IF(ISNA(VLOOKUP($A41&amp;K$1,'For stats end Y DB'!$A:$G,5,0)),0,VLOOKUP($A41&amp;K$1,'For stats end Y DB'!$A:$G,5,0))</f>
        <v>0</v>
      </c>
      <c r="L41">
        <f>IF(ISNA(VLOOKUP($A41&amp;L$1,'For stats end Y DB'!$A:$G,5,0)),0,VLOOKUP($A41&amp;L$1,'For stats end Y DB'!$A:$G,5,0))</f>
        <v>0</v>
      </c>
      <c r="M41">
        <f>IF(ISNA(VLOOKUP($A41&amp;M$1,'For stats end Y DB'!$A:$G,5,0)),0,VLOOKUP($A41&amp;M$1,'For stats end Y DB'!$A:$G,5,0))</f>
        <v>12</v>
      </c>
      <c r="N41">
        <f>IF(ISNA(VLOOKUP($A41&amp;N$1,'For stats end Y DB'!$A:$G,5,0)),0,VLOOKUP($A41&amp;N$1,'For stats end Y DB'!$A:$G,5,0))</f>
        <v>4</v>
      </c>
      <c r="O41">
        <f>IF(ISNA(VLOOKUP($A41&amp;O$1,'For stats end Y DB'!$A:$G,5,0)),0,VLOOKUP($A41&amp;O$1,'For stats end Y DB'!$A:$G,5,0))</f>
        <v>2</v>
      </c>
      <c r="P41">
        <f>IF(ISNA(VLOOKUP($A41&amp;P$1,'For stats end Y DB'!$A:$G,5,0)),0,VLOOKUP($A41&amp;P$1,'For stats end Y DB'!$A:$G,5,0))</f>
        <v>0</v>
      </c>
      <c r="Q41">
        <f>IF(ISNA(VLOOKUP($A41&amp;Q$1,'For stats end Y DB'!$A:$G,5,0)),0,VLOOKUP($A41&amp;Q$1,'For stats end Y DB'!$A:$G,5,0))</f>
        <v>0</v>
      </c>
      <c r="R41">
        <f>IF(ISNA(VLOOKUP($A41&amp;R$1,'For stats end Y DB'!$A:$G,5,0)),0,VLOOKUP($A41&amp;R$1,'For stats end Y DB'!$A:$G,5,0))</f>
        <v>0</v>
      </c>
      <c r="S41">
        <f>IF(ISNA(VLOOKUP($A41&amp;S$1,'For stats end Y DB'!$A:$G,5,0)),0,VLOOKUP($A41&amp;S$1,'For stats end Y DB'!$A:$G,5,0))</f>
        <v>0</v>
      </c>
      <c r="T41">
        <f>IF(ISNA(VLOOKUP($A41&amp;T$1,'For stats end Y DB'!$A:$G,5,0)),0,VLOOKUP($A41&amp;T$1,'For stats end Y DB'!$A:$G,5,0))</f>
        <v>0</v>
      </c>
      <c r="U41">
        <f>IF(ISNA(VLOOKUP($A41&amp;U$1,'For stats end Y DB'!$A:$G,5,0)),0,VLOOKUP($A41&amp;U$1,'For stats end Y DB'!$A:$G,5,0))</f>
        <v>0</v>
      </c>
      <c r="V41">
        <f>IF(ISNA(VLOOKUP($A41&amp;V$1,'For stats end Y DB'!$A:$G,5,0)),0,VLOOKUP($A41&amp;V$1,'For stats end Y DB'!$A:$G,5,0))</f>
        <v>0</v>
      </c>
      <c r="W41">
        <f>IF(ISNA(VLOOKUP($A41&amp;W$1,'For stats end Y DB'!$A:$G,5,0)),0,VLOOKUP($A41&amp;W$1,'For stats end Y DB'!$A:$G,5,0))</f>
        <v>0</v>
      </c>
      <c r="X41">
        <f>IF(ISNA(VLOOKUP($A41&amp;X$1,'For stats end Y DB'!$A:$G,5,0)),0,VLOOKUP($A41&amp;X$1,'For stats end Y DB'!$A:$G,5,0))</f>
        <v>0</v>
      </c>
      <c r="Y41">
        <f>IF(ISNA(VLOOKUP($A41&amp;Y$1,'For stats end Y DB'!$A:$G,5,0)),0,VLOOKUP($A41&amp;Y$1,'For stats end Y DB'!$A:$G,5,0))</f>
        <v>0</v>
      </c>
      <c r="Z41">
        <f>IF(ISNA(VLOOKUP($A41&amp;Z$1,'For stats end Y DB'!$A:$G,5,0)),0,VLOOKUP($A41&amp;Z$1,'For stats end Y DB'!$A:$G,5,0))</f>
        <v>13</v>
      </c>
      <c r="AA41">
        <f>IF(ISNA(VLOOKUP($A41&amp;AA$1,'For stats end Y DB'!$A:$G,5,0)),0,VLOOKUP($A41&amp;AA$1,'For stats end Y DB'!$A:$G,5,0))</f>
        <v>16</v>
      </c>
      <c r="AB41">
        <f>IF(ISNA(VLOOKUP($A41&amp;AB$1,'For stats end Y DB'!$A:$G,5,0)),0,VLOOKUP($A41&amp;AB$1,'For stats end Y DB'!$A:$G,5,0))</f>
        <v>7</v>
      </c>
      <c r="AC41">
        <f>IF(ISNA(VLOOKUP($A41&amp;AC$1,'For stats end Y DB'!$A:$G,5,0)),0,VLOOKUP($A41&amp;AC$1,'For stats end Y DB'!$A:$G,5,0))</f>
        <v>0</v>
      </c>
      <c r="AD41">
        <f>IF(ISNA(VLOOKUP($A41&amp;AD$1,'For stats end Y DB'!$A:$G,5,0)),0,VLOOKUP($A41&amp;AD$1,'For stats end Y DB'!$A:$G,5,0))</f>
        <v>16</v>
      </c>
      <c r="AE41">
        <f>IF(ISNA(VLOOKUP($A41&amp;AE$1,'For stats end Y DB'!$A:$G,5,0)),0,VLOOKUP($A41&amp;AE$1,'For stats end Y DB'!$A:$G,5,0))</f>
        <v>13</v>
      </c>
      <c r="AF41">
        <f>IF(ISNA(VLOOKUP($A41&amp;AF$1,'For stats end Y DB'!$A:$G,5,0)),0,VLOOKUP($A41&amp;AF$1,'For stats end Y DB'!$A:$G,5,0))</f>
        <v>1</v>
      </c>
      <c r="AG41">
        <f>IF(ISNA(VLOOKUP($A41&amp;AG$1,'For stats end Y DB'!$A:$G,5,0)),0,VLOOKUP($A41&amp;AG$1,'For stats end Y DB'!$A:$G,5,0))</f>
        <v>0</v>
      </c>
      <c r="AH41">
        <f>IF(ISNA(VLOOKUP($A41&amp;AH$1,'For stats end Y DB'!$A:$G,5,0)),0,VLOOKUP($A41&amp;AH$1,'For stats end Y DB'!$A:$G,5,0))</f>
        <v>12</v>
      </c>
      <c r="AI41">
        <f>IF(ISNA(VLOOKUP($A41&amp;AI$1,'For stats end Y DB'!$A:$G,5,0)),0,VLOOKUP($A41&amp;AI$1,'For stats end Y DB'!$A:$G,5,0))</f>
        <v>0</v>
      </c>
      <c r="AJ41">
        <f>IF(ISNA(VLOOKUP($A41&amp;AJ$1,'For stats end Y DB'!$A:$G,5,0)),0,VLOOKUP($A41&amp;AJ$1,'For stats end Y DB'!$A:$G,5,0))</f>
        <v>0</v>
      </c>
      <c r="AK41">
        <f>IF(ISNA(VLOOKUP($A41&amp;AK$1,'For stats end Y DB'!$A:$G,5,0)),0,VLOOKUP($A41&amp;AK$1,'For stats end Y DB'!$A:$G,5,0))</f>
        <v>0</v>
      </c>
      <c r="AL41">
        <f>IF(ISNA(VLOOKUP($A41&amp;AL$1,'For stats end Y DB'!$A:$G,5,0)),0,VLOOKUP($A41&amp;AL$1,'For stats end Y DB'!$A:$G,5,0))</f>
        <v>0</v>
      </c>
      <c r="AM41">
        <f>IF(ISNA(VLOOKUP($A41&amp;AM$1,'For stats end Y DB'!$A:$G,5,0)),0,VLOOKUP($A41&amp;AM$1,'For stats end Y DB'!$A:$G,5,0))</f>
        <v>0</v>
      </c>
      <c r="AN41">
        <f>IF(ISNA(VLOOKUP($A41&amp;AN$1,'For stats end Y DB'!$A:$G,5,0)),0,VLOOKUP($A41&amp;AN$1,'For stats end Y DB'!$A:$G,5,0))</f>
        <v>0</v>
      </c>
    </row>
    <row r="42" spans="1:40" x14ac:dyDescent="0.2">
      <c r="A42" t="str">
        <f>'For stats end Y class'!A42</f>
        <v>JC</v>
      </c>
      <c r="B42">
        <f>IF(ISNA(VLOOKUP($A42&amp;B$1,'For stats end Y DB'!$A:$G,5,0)),0,VLOOKUP($A42&amp;B$1,'For stats end Y DB'!$A:$G,5,0))</f>
        <v>0</v>
      </c>
      <c r="C42">
        <f>IF(ISNA(VLOOKUP($A42&amp;C$1,'For stats end Y DB'!$A:$G,5,0)),0,VLOOKUP($A42&amp;C$1,'For stats end Y DB'!$A:$G,5,0))</f>
        <v>0</v>
      </c>
      <c r="D42">
        <f>IF(ISNA(VLOOKUP($A42&amp;D$1,'For stats end Y DB'!$A:$G,5,0)),0,VLOOKUP($A42&amp;D$1,'For stats end Y DB'!$A:$G,5,0))</f>
        <v>12</v>
      </c>
      <c r="E42">
        <f>IF(ISNA(VLOOKUP($A42&amp;E$1,'For stats end Y DB'!$A:$G,5,0)),0,VLOOKUP($A42&amp;E$1,'For stats end Y DB'!$A:$G,5,0))</f>
        <v>9</v>
      </c>
      <c r="F42">
        <f>IF(ISNA(VLOOKUP($A42&amp;F$1,'For stats end Y DB'!$A:$G,5,0)),0,VLOOKUP($A42&amp;F$1,'For stats end Y DB'!$A:$G,5,0))</f>
        <v>9</v>
      </c>
      <c r="G42">
        <f>IF(ISNA(VLOOKUP($A42&amp;G$1,'For stats end Y DB'!$A:$G,5,0)),0,VLOOKUP($A42&amp;G$1,'For stats end Y DB'!$A:$G,5,0))</f>
        <v>16</v>
      </c>
      <c r="H42">
        <f>IF(ISNA(VLOOKUP($A42&amp;H$1,'For stats end Y DB'!$A:$G,5,0)),0,VLOOKUP($A42&amp;H$1,'For stats end Y DB'!$A:$G,5,0))</f>
        <v>8</v>
      </c>
      <c r="I42">
        <f>IF(ISNA(VLOOKUP($A42&amp;I$1,'For stats end Y DB'!$A:$G,5,0)),0,VLOOKUP($A42&amp;I$1,'For stats end Y DB'!$A:$G,5,0))</f>
        <v>9</v>
      </c>
      <c r="J42">
        <f>IF(ISNA(VLOOKUP($A42&amp;J$1,'For stats end Y DB'!$A:$G,5,0)),0,VLOOKUP($A42&amp;J$1,'For stats end Y DB'!$A:$G,5,0))</f>
        <v>13</v>
      </c>
      <c r="K42">
        <f>IF(ISNA(VLOOKUP($A42&amp;K$1,'For stats end Y DB'!$A:$G,5,0)),0,VLOOKUP($A42&amp;K$1,'For stats end Y DB'!$A:$G,5,0))</f>
        <v>12</v>
      </c>
      <c r="L42">
        <f>IF(ISNA(VLOOKUP($A42&amp;L$1,'For stats end Y DB'!$A:$G,5,0)),0,VLOOKUP($A42&amp;L$1,'For stats end Y DB'!$A:$G,5,0))</f>
        <v>15</v>
      </c>
      <c r="M42">
        <f>IF(ISNA(VLOOKUP($A42&amp;M$1,'For stats end Y DB'!$A:$G,5,0)),0,VLOOKUP($A42&amp;M$1,'For stats end Y DB'!$A:$G,5,0))</f>
        <v>1</v>
      </c>
      <c r="N42">
        <f>IF(ISNA(VLOOKUP($A42&amp;N$1,'For stats end Y DB'!$A:$G,5,0)),0,VLOOKUP($A42&amp;N$1,'For stats end Y DB'!$A:$G,5,0))</f>
        <v>8</v>
      </c>
      <c r="O42">
        <f>IF(ISNA(VLOOKUP($A42&amp;O$1,'For stats end Y DB'!$A:$G,5,0)),0,VLOOKUP($A42&amp;O$1,'For stats end Y DB'!$A:$G,5,0))</f>
        <v>12</v>
      </c>
      <c r="P42">
        <f>IF(ISNA(VLOOKUP($A42&amp;P$1,'For stats end Y DB'!$A:$G,5,0)),0,VLOOKUP($A42&amp;P$1,'For stats end Y DB'!$A:$G,5,0))</f>
        <v>8</v>
      </c>
      <c r="Q42">
        <f>IF(ISNA(VLOOKUP($A42&amp;Q$1,'For stats end Y DB'!$A:$G,5,0)),0,VLOOKUP($A42&amp;Q$1,'For stats end Y DB'!$A:$G,5,0))</f>
        <v>2</v>
      </c>
      <c r="R42">
        <f>IF(ISNA(VLOOKUP($A42&amp;R$1,'For stats end Y DB'!$A:$G,5,0)),0,VLOOKUP($A42&amp;R$1,'For stats end Y DB'!$A:$G,5,0))</f>
        <v>5</v>
      </c>
      <c r="S42">
        <f>IF(ISNA(VLOOKUP($A42&amp;S$1,'For stats end Y DB'!$A:$G,5,0)),0,VLOOKUP($A42&amp;S$1,'For stats end Y DB'!$A:$G,5,0))</f>
        <v>17</v>
      </c>
      <c r="T42">
        <f>IF(ISNA(VLOOKUP($A42&amp;T$1,'For stats end Y DB'!$A:$G,5,0)),0,VLOOKUP($A42&amp;T$1,'For stats end Y DB'!$A:$G,5,0))</f>
        <v>2</v>
      </c>
      <c r="U42">
        <f>IF(ISNA(VLOOKUP($A42&amp;U$1,'For stats end Y DB'!$A:$G,5,0)),0,VLOOKUP($A42&amp;U$1,'For stats end Y DB'!$A:$G,5,0))</f>
        <v>8</v>
      </c>
      <c r="V42">
        <f>IF(ISNA(VLOOKUP($A42&amp;V$1,'For stats end Y DB'!$A:$G,5,0)),0,VLOOKUP($A42&amp;V$1,'For stats end Y DB'!$A:$G,5,0))</f>
        <v>16</v>
      </c>
      <c r="W42">
        <f>IF(ISNA(VLOOKUP($A42&amp;W$1,'For stats end Y DB'!$A:$G,5,0)),0,VLOOKUP($A42&amp;W$1,'For stats end Y DB'!$A:$G,5,0))</f>
        <v>5</v>
      </c>
      <c r="X42">
        <f>IF(ISNA(VLOOKUP($A42&amp;X$1,'For stats end Y DB'!$A:$G,5,0)),0,VLOOKUP($A42&amp;X$1,'For stats end Y DB'!$A:$G,5,0))</f>
        <v>5</v>
      </c>
      <c r="Y42">
        <f>IF(ISNA(VLOOKUP($A42&amp;Y$1,'For stats end Y DB'!$A:$G,5,0)),0,VLOOKUP($A42&amp;Y$1,'For stats end Y DB'!$A:$G,5,0))</f>
        <v>13</v>
      </c>
      <c r="Z42">
        <f>IF(ISNA(VLOOKUP($A42&amp;Z$1,'For stats end Y DB'!$A:$G,5,0)),0,VLOOKUP($A42&amp;Z$1,'For stats end Y DB'!$A:$G,5,0))</f>
        <v>9</v>
      </c>
      <c r="AA42">
        <f>IF(ISNA(VLOOKUP($A42&amp;AA$1,'For stats end Y DB'!$A:$G,5,0)),0,VLOOKUP($A42&amp;AA$1,'For stats end Y DB'!$A:$G,5,0))</f>
        <v>1</v>
      </c>
      <c r="AB42">
        <f>IF(ISNA(VLOOKUP($A42&amp;AB$1,'For stats end Y DB'!$A:$G,5,0)),0,VLOOKUP($A42&amp;AB$1,'For stats end Y DB'!$A:$G,5,0))</f>
        <v>4</v>
      </c>
      <c r="AC42">
        <f>IF(ISNA(VLOOKUP($A42&amp;AC$1,'For stats end Y DB'!$A:$G,5,0)),0,VLOOKUP($A42&amp;AC$1,'For stats end Y DB'!$A:$G,5,0))</f>
        <v>12</v>
      </c>
      <c r="AD42">
        <f>IF(ISNA(VLOOKUP($A42&amp;AD$1,'For stats end Y DB'!$A:$G,5,0)),0,VLOOKUP($A42&amp;AD$1,'For stats end Y DB'!$A:$G,5,0))</f>
        <v>4</v>
      </c>
      <c r="AE42">
        <f>IF(ISNA(VLOOKUP($A42&amp;AE$1,'For stats end Y DB'!$A:$G,5,0)),0,VLOOKUP($A42&amp;AE$1,'For stats end Y DB'!$A:$G,5,0))</f>
        <v>2</v>
      </c>
      <c r="AF42">
        <f>IF(ISNA(VLOOKUP($A42&amp;AF$1,'For stats end Y DB'!$A:$G,5,0)),0,VLOOKUP($A42&amp;AF$1,'For stats end Y DB'!$A:$G,5,0))</f>
        <v>12</v>
      </c>
      <c r="AG42">
        <f>IF(ISNA(VLOOKUP($A42&amp;AG$1,'For stats end Y DB'!$A:$G,5,0)),0,VLOOKUP($A42&amp;AG$1,'For stats end Y DB'!$A:$G,5,0))</f>
        <v>12</v>
      </c>
      <c r="AH42">
        <f>IF(ISNA(VLOOKUP($A42&amp;AH$1,'For stats end Y DB'!$A:$G,5,0)),0,VLOOKUP($A42&amp;AH$1,'For stats end Y DB'!$A:$G,5,0))</f>
        <v>8</v>
      </c>
      <c r="AI42">
        <f>IF(ISNA(VLOOKUP($A42&amp;AI$1,'For stats end Y DB'!$A:$G,5,0)),0,VLOOKUP($A42&amp;AI$1,'For stats end Y DB'!$A:$G,5,0))</f>
        <v>0</v>
      </c>
      <c r="AJ42">
        <f>IF(ISNA(VLOOKUP($A42&amp;AJ$1,'For stats end Y DB'!$A:$G,5,0)),0,VLOOKUP($A42&amp;AJ$1,'For stats end Y DB'!$A:$G,5,0))</f>
        <v>0</v>
      </c>
      <c r="AK42">
        <f>IF(ISNA(VLOOKUP($A42&amp;AK$1,'For stats end Y DB'!$A:$G,5,0)),0,VLOOKUP($A42&amp;AK$1,'For stats end Y DB'!$A:$G,5,0))</f>
        <v>0</v>
      </c>
      <c r="AL42">
        <f>IF(ISNA(VLOOKUP($A42&amp;AL$1,'For stats end Y DB'!$A:$G,5,0)),0,VLOOKUP($A42&amp;AL$1,'For stats end Y DB'!$A:$G,5,0))</f>
        <v>0</v>
      </c>
      <c r="AM42">
        <f>IF(ISNA(VLOOKUP($A42&amp;AM$1,'For stats end Y DB'!$A:$G,5,0)),0,VLOOKUP($A42&amp;AM$1,'For stats end Y DB'!$A:$G,5,0))</f>
        <v>0</v>
      </c>
      <c r="AN42">
        <f>IF(ISNA(VLOOKUP($A42&amp;AN$1,'For stats end Y DB'!$A:$G,5,0)),0,VLOOKUP($A42&amp;AN$1,'For stats end Y DB'!$A:$G,5,0))</f>
        <v>0</v>
      </c>
    </row>
    <row r="43" spans="1:40" x14ac:dyDescent="0.2">
      <c r="A43" t="str">
        <f>'For stats end Y class'!A43</f>
        <v>JeanMichelTiming</v>
      </c>
      <c r="B43">
        <f>IF(ISNA(VLOOKUP($A43&amp;B$1,'For stats end Y DB'!$A:$G,5,0)),0,VLOOKUP($A43&amp;B$1,'For stats end Y DB'!$A:$G,5,0))</f>
        <v>16</v>
      </c>
      <c r="C43">
        <f>IF(ISNA(VLOOKUP($A43&amp;C$1,'For stats end Y DB'!$A:$G,5,0)),0,VLOOKUP($A43&amp;C$1,'For stats end Y DB'!$A:$G,5,0))</f>
        <v>1</v>
      </c>
      <c r="D43">
        <f>IF(ISNA(VLOOKUP($A43&amp;D$1,'For stats end Y DB'!$A:$G,5,0)),0,VLOOKUP($A43&amp;D$1,'For stats end Y DB'!$A:$G,5,0))</f>
        <v>8</v>
      </c>
      <c r="E43">
        <f>IF(ISNA(VLOOKUP($A43&amp;E$1,'For stats end Y DB'!$A:$G,5,0)),0,VLOOKUP($A43&amp;E$1,'For stats end Y DB'!$A:$G,5,0))</f>
        <v>1</v>
      </c>
      <c r="F43">
        <f>IF(ISNA(VLOOKUP($A43&amp;F$1,'For stats end Y DB'!$A:$G,5,0)),0,VLOOKUP($A43&amp;F$1,'For stats end Y DB'!$A:$G,5,0))</f>
        <v>9</v>
      </c>
      <c r="G43">
        <f>IF(ISNA(VLOOKUP($A43&amp;G$1,'For stats end Y DB'!$A:$G,5,0)),0,VLOOKUP($A43&amp;G$1,'For stats end Y DB'!$A:$G,5,0))</f>
        <v>13</v>
      </c>
      <c r="H43">
        <f>IF(ISNA(VLOOKUP($A43&amp;H$1,'For stats end Y DB'!$A:$G,5,0)),0,VLOOKUP($A43&amp;H$1,'For stats end Y DB'!$A:$G,5,0))</f>
        <v>0</v>
      </c>
      <c r="I43">
        <f>IF(ISNA(VLOOKUP($A43&amp;I$1,'For stats end Y DB'!$A:$G,5,0)),0,VLOOKUP($A43&amp;I$1,'For stats end Y DB'!$A:$G,5,0))</f>
        <v>16</v>
      </c>
      <c r="J43">
        <f>IF(ISNA(VLOOKUP($A43&amp;J$1,'For stats end Y DB'!$A:$G,5,0)),0,VLOOKUP($A43&amp;J$1,'For stats end Y DB'!$A:$G,5,0))</f>
        <v>12</v>
      </c>
      <c r="K43">
        <f>IF(ISNA(VLOOKUP($A43&amp;K$1,'For stats end Y DB'!$A:$G,5,0)),0,VLOOKUP($A43&amp;K$1,'For stats end Y DB'!$A:$G,5,0))</f>
        <v>1</v>
      </c>
      <c r="L43">
        <f>IF(ISNA(VLOOKUP($A43&amp;L$1,'For stats end Y DB'!$A:$G,5,0)),0,VLOOKUP($A43&amp;L$1,'For stats end Y DB'!$A:$G,5,0))</f>
        <v>16</v>
      </c>
      <c r="M43">
        <f>IF(ISNA(VLOOKUP($A43&amp;M$1,'For stats end Y DB'!$A:$G,5,0)),0,VLOOKUP($A43&amp;M$1,'For stats end Y DB'!$A:$G,5,0))</f>
        <v>4</v>
      </c>
      <c r="N43">
        <f>IF(ISNA(VLOOKUP($A43&amp;N$1,'For stats end Y DB'!$A:$G,5,0)),0,VLOOKUP($A43&amp;N$1,'For stats end Y DB'!$A:$G,5,0))</f>
        <v>12</v>
      </c>
      <c r="O43">
        <f>IF(ISNA(VLOOKUP($A43&amp;O$1,'For stats end Y DB'!$A:$G,5,0)),0,VLOOKUP($A43&amp;O$1,'For stats end Y DB'!$A:$G,5,0))</f>
        <v>9</v>
      </c>
      <c r="P43">
        <f>IF(ISNA(VLOOKUP($A43&amp;P$1,'For stats end Y DB'!$A:$G,5,0)),0,VLOOKUP($A43&amp;P$1,'For stats end Y DB'!$A:$G,5,0))</f>
        <v>1</v>
      </c>
      <c r="Q43">
        <f>IF(ISNA(VLOOKUP($A43&amp;Q$1,'For stats end Y DB'!$A:$G,5,0)),0,VLOOKUP($A43&amp;Q$1,'For stats end Y DB'!$A:$G,5,0))</f>
        <v>0</v>
      </c>
      <c r="R43">
        <f>IF(ISNA(VLOOKUP($A43&amp;R$1,'For stats end Y DB'!$A:$G,5,0)),0,VLOOKUP($A43&amp;R$1,'For stats end Y DB'!$A:$G,5,0))</f>
        <v>13</v>
      </c>
      <c r="S43">
        <f>IF(ISNA(VLOOKUP($A43&amp;S$1,'For stats end Y DB'!$A:$G,5,0)),0,VLOOKUP($A43&amp;S$1,'For stats end Y DB'!$A:$G,5,0))</f>
        <v>3</v>
      </c>
      <c r="T43">
        <f>IF(ISNA(VLOOKUP($A43&amp;T$1,'For stats end Y DB'!$A:$G,5,0)),0,VLOOKUP($A43&amp;T$1,'For stats end Y DB'!$A:$G,5,0))</f>
        <v>12</v>
      </c>
      <c r="U43">
        <f>IF(ISNA(VLOOKUP($A43&amp;U$1,'For stats end Y DB'!$A:$G,5,0)),0,VLOOKUP($A43&amp;U$1,'For stats end Y DB'!$A:$G,5,0))</f>
        <v>7</v>
      </c>
      <c r="V43">
        <f>IF(ISNA(VLOOKUP($A43&amp;V$1,'For stats end Y DB'!$A:$G,5,0)),0,VLOOKUP($A43&amp;V$1,'For stats end Y DB'!$A:$G,5,0))</f>
        <v>16</v>
      </c>
      <c r="W43">
        <f>IF(ISNA(VLOOKUP($A43&amp;W$1,'For stats end Y DB'!$A:$G,5,0)),0,VLOOKUP($A43&amp;W$1,'For stats end Y DB'!$A:$G,5,0))</f>
        <v>12</v>
      </c>
      <c r="X43">
        <f>IF(ISNA(VLOOKUP($A43&amp;X$1,'For stats end Y DB'!$A:$G,5,0)),0,VLOOKUP($A43&amp;X$1,'For stats end Y DB'!$A:$G,5,0))</f>
        <v>17</v>
      </c>
      <c r="Y43">
        <f>IF(ISNA(VLOOKUP($A43&amp;Y$1,'For stats end Y DB'!$A:$G,5,0)),0,VLOOKUP($A43&amp;Y$1,'For stats end Y DB'!$A:$G,5,0))</f>
        <v>1</v>
      </c>
      <c r="Z43">
        <f>IF(ISNA(VLOOKUP($A43&amp;Z$1,'For stats end Y DB'!$A:$G,5,0)),0,VLOOKUP($A43&amp;Z$1,'For stats end Y DB'!$A:$G,5,0))</f>
        <v>2</v>
      </c>
      <c r="AA43">
        <f>IF(ISNA(VLOOKUP($A43&amp;AA$1,'For stats end Y DB'!$A:$G,5,0)),0,VLOOKUP($A43&amp;AA$1,'For stats end Y DB'!$A:$G,5,0))</f>
        <v>12</v>
      </c>
      <c r="AB43">
        <f>IF(ISNA(VLOOKUP($A43&amp;AB$1,'For stats end Y DB'!$A:$G,5,0)),0,VLOOKUP($A43&amp;AB$1,'For stats end Y DB'!$A:$G,5,0))</f>
        <v>12</v>
      </c>
      <c r="AC43">
        <f>IF(ISNA(VLOOKUP($A43&amp;AC$1,'For stats end Y DB'!$A:$G,5,0)),0,VLOOKUP($A43&amp;AC$1,'For stats end Y DB'!$A:$G,5,0))</f>
        <v>2</v>
      </c>
      <c r="AD43">
        <f>IF(ISNA(VLOOKUP($A43&amp;AD$1,'For stats end Y DB'!$A:$G,5,0)),0,VLOOKUP($A43&amp;AD$1,'For stats end Y DB'!$A:$G,5,0))</f>
        <v>8</v>
      </c>
      <c r="AE43">
        <f>IF(ISNA(VLOOKUP($A43&amp;AE$1,'For stats end Y DB'!$A:$G,5,0)),0,VLOOKUP($A43&amp;AE$1,'For stats end Y DB'!$A:$G,5,0))</f>
        <v>3</v>
      </c>
      <c r="AF43">
        <f>IF(ISNA(VLOOKUP($A43&amp;AF$1,'For stats end Y DB'!$A:$G,5,0)),0,VLOOKUP($A43&amp;AF$1,'For stats end Y DB'!$A:$G,5,0))</f>
        <v>8</v>
      </c>
      <c r="AG43">
        <f>IF(ISNA(VLOOKUP($A43&amp;AG$1,'For stats end Y DB'!$A:$G,5,0)),0,VLOOKUP($A43&amp;AG$1,'For stats end Y DB'!$A:$G,5,0))</f>
        <v>1</v>
      </c>
      <c r="AH43">
        <f>IF(ISNA(VLOOKUP($A43&amp;AH$1,'For stats end Y DB'!$A:$G,5,0)),0,VLOOKUP($A43&amp;AH$1,'For stats end Y DB'!$A:$G,5,0))</f>
        <v>4</v>
      </c>
      <c r="AI43">
        <f>IF(ISNA(VLOOKUP($A43&amp;AI$1,'For stats end Y DB'!$A:$G,5,0)),0,VLOOKUP($A43&amp;AI$1,'For stats end Y DB'!$A:$G,5,0))</f>
        <v>0</v>
      </c>
      <c r="AJ43">
        <f>IF(ISNA(VLOOKUP($A43&amp;AJ$1,'For stats end Y DB'!$A:$G,5,0)),0,VLOOKUP($A43&amp;AJ$1,'For stats end Y DB'!$A:$G,5,0))</f>
        <v>0</v>
      </c>
      <c r="AK43">
        <f>IF(ISNA(VLOOKUP($A43&amp;AK$1,'For stats end Y DB'!$A:$G,5,0)),0,VLOOKUP($A43&amp;AK$1,'For stats end Y DB'!$A:$G,5,0))</f>
        <v>0</v>
      </c>
      <c r="AL43">
        <f>IF(ISNA(VLOOKUP($A43&amp;AL$1,'For stats end Y DB'!$A:$G,5,0)),0,VLOOKUP($A43&amp;AL$1,'For stats end Y DB'!$A:$G,5,0))</f>
        <v>0</v>
      </c>
      <c r="AM43">
        <f>IF(ISNA(VLOOKUP($A43&amp;AM$1,'For stats end Y DB'!$A:$G,5,0)),0,VLOOKUP($A43&amp;AM$1,'For stats end Y DB'!$A:$G,5,0))</f>
        <v>0</v>
      </c>
      <c r="AN43">
        <f>IF(ISNA(VLOOKUP($A43&amp;AN$1,'For stats end Y DB'!$A:$G,5,0)),0,VLOOKUP($A43&amp;AN$1,'For stats end Y DB'!$A:$G,5,0))</f>
        <v>0</v>
      </c>
    </row>
    <row r="44" spans="1:40" x14ac:dyDescent="0.2">
      <c r="A44" t="str">
        <f>'For stats end Y class'!A44</f>
        <v>Jeremy</v>
      </c>
      <c r="B44">
        <f>IF(ISNA(VLOOKUP($A44&amp;B$1,'For stats end Y DB'!$A:$G,5,0)),0,VLOOKUP($A44&amp;B$1,'For stats end Y DB'!$A:$G,5,0))</f>
        <v>0</v>
      </c>
      <c r="C44">
        <f>IF(ISNA(VLOOKUP($A44&amp;C$1,'For stats end Y DB'!$A:$G,5,0)),0,VLOOKUP($A44&amp;C$1,'For stats end Y DB'!$A:$G,5,0))</f>
        <v>0</v>
      </c>
      <c r="D44">
        <f>IF(ISNA(VLOOKUP($A44&amp;D$1,'For stats end Y DB'!$A:$G,5,0)),0,VLOOKUP($A44&amp;D$1,'For stats end Y DB'!$A:$G,5,0))</f>
        <v>0</v>
      </c>
      <c r="E44">
        <f>IF(ISNA(VLOOKUP($A44&amp;E$1,'For stats end Y DB'!$A:$G,5,0)),0,VLOOKUP($A44&amp;E$1,'For stats end Y DB'!$A:$G,5,0))</f>
        <v>0</v>
      </c>
      <c r="F44">
        <f>IF(ISNA(VLOOKUP($A44&amp;F$1,'For stats end Y DB'!$A:$G,5,0)),0,VLOOKUP($A44&amp;F$1,'For stats end Y DB'!$A:$G,5,0))</f>
        <v>0</v>
      </c>
      <c r="G44">
        <f>IF(ISNA(VLOOKUP($A44&amp;G$1,'For stats end Y DB'!$A:$G,5,0)),0,VLOOKUP($A44&amp;G$1,'For stats end Y DB'!$A:$G,5,0))</f>
        <v>0</v>
      </c>
      <c r="H44">
        <f>IF(ISNA(VLOOKUP($A44&amp;H$1,'For stats end Y DB'!$A:$G,5,0)),0,VLOOKUP($A44&amp;H$1,'For stats end Y DB'!$A:$G,5,0))</f>
        <v>0</v>
      </c>
      <c r="I44">
        <f>IF(ISNA(VLOOKUP($A44&amp;I$1,'For stats end Y DB'!$A:$G,5,0)),0,VLOOKUP($A44&amp;I$1,'For stats end Y DB'!$A:$G,5,0))</f>
        <v>0</v>
      </c>
      <c r="J44">
        <f>IF(ISNA(VLOOKUP($A44&amp;J$1,'For stats end Y DB'!$A:$G,5,0)),0,VLOOKUP($A44&amp;J$1,'For stats end Y DB'!$A:$G,5,0))</f>
        <v>0</v>
      </c>
      <c r="K44">
        <f>IF(ISNA(VLOOKUP($A44&amp;K$1,'For stats end Y DB'!$A:$G,5,0)),0,VLOOKUP($A44&amp;K$1,'For stats end Y DB'!$A:$G,5,0))</f>
        <v>0</v>
      </c>
      <c r="L44">
        <f>IF(ISNA(VLOOKUP($A44&amp;L$1,'For stats end Y DB'!$A:$G,5,0)),0,VLOOKUP($A44&amp;L$1,'For stats end Y DB'!$A:$G,5,0))</f>
        <v>0</v>
      </c>
      <c r="M44">
        <f>IF(ISNA(VLOOKUP($A44&amp;M$1,'For stats end Y DB'!$A:$G,5,0)),0,VLOOKUP($A44&amp;M$1,'For stats end Y DB'!$A:$G,5,0))</f>
        <v>2</v>
      </c>
      <c r="N44">
        <f>IF(ISNA(VLOOKUP($A44&amp;N$1,'For stats end Y DB'!$A:$G,5,0)),0,VLOOKUP($A44&amp;N$1,'For stats end Y DB'!$A:$G,5,0))</f>
        <v>0</v>
      </c>
      <c r="O44">
        <f>IF(ISNA(VLOOKUP($A44&amp;O$1,'For stats end Y DB'!$A:$G,5,0)),0,VLOOKUP($A44&amp;O$1,'For stats end Y DB'!$A:$G,5,0))</f>
        <v>0</v>
      </c>
      <c r="P44">
        <f>IF(ISNA(VLOOKUP($A44&amp;P$1,'For stats end Y DB'!$A:$G,5,0)),0,VLOOKUP($A44&amp;P$1,'For stats end Y DB'!$A:$G,5,0))</f>
        <v>0</v>
      </c>
      <c r="Q44">
        <f>IF(ISNA(VLOOKUP($A44&amp;Q$1,'For stats end Y DB'!$A:$G,5,0)),0,VLOOKUP($A44&amp;Q$1,'For stats end Y DB'!$A:$G,5,0))</f>
        <v>0</v>
      </c>
      <c r="R44">
        <f>IF(ISNA(VLOOKUP($A44&amp;R$1,'For stats end Y DB'!$A:$G,5,0)),0,VLOOKUP($A44&amp;R$1,'For stats end Y DB'!$A:$G,5,0))</f>
        <v>0</v>
      </c>
      <c r="S44">
        <f>IF(ISNA(VLOOKUP($A44&amp;S$1,'For stats end Y DB'!$A:$G,5,0)),0,VLOOKUP($A44&amp;S$1,'For stats end Y DB'!$A:$G,5,0))</f>
        <v>0</v>
      </c>
      <c r="T44">
        <f>IF(ISNA(VLOOKUP($A44&amp;T$1,'For stats end Y DB'!$A:$G,5,0)),0,VLOOKUP($A44&amp;T$1,'For stats end Y DB'!$A:$G,5,0))</f>
        <v>0</v>
      </c>
      <c r="U44">
        <f>IF(ISNA(VLOOKUP($A44&amp;U$1,'For stats end Y DB'!$A:$G,5,0)),0,VLOOKUP($A44&amp;U$1,'For stats end Y DB'!$A:$G,5,0))</f>
        <v>0</v>
      </c>
      <c r="V44">
        <f>IF(ISNA(VLOOKUP($A44&amp;V$1,'For stats end Y DB'!$A:$G,5,0)),0,VLOOKUP($A44&amp;V$1,'For stats end Y DB'!$A:$G,5,0))</f>
        <v>0</v>
      </c>
      <c r="W44">
        <f>IF(ISNA(VLOOKUP($A44&amp;W$1,'For stats end Y DB'!$A:$G,5,0)),0,VLOOKUP($A44&amp;W$1,'For stats end Y DB'!$A:$G,5,0))</f>
        <v>0</v>
      </c>
      <c r="X44">
        <f>IF(ISNA(VLOOKUP($A44&amp;X$1,'For stats end Y DB'!$A:$G,5,0)),0,VLOOKUP($A44&amp;X$1,'For stats end Y DB'!$A:$G,5,0))</f>
        <v>0</v>
      </c>
      <c r="Y44">
        <f>IF(ISNA(VLOOKUP($A44&amp;Y$1,'For stats end Y DB'!$A:$G,5,0)),0,VLOOKUP($A44&amp;Y$1,'For stats end Y DB'!$A:$G,5,0))</f>
        <v>0</v>
      </c>
      <c r="Z44">
        <f>IF(ISNA(VLOOKUP($A44&amp;Z$1,'For stats end Y DB'!$A:$G,5,0)),0,VLOOKUP($A44&amp;Z$1,'For stats end Y DB'!$A:$G,5,0))</f>
        <v>0</v>
      </c>
      <c r="AA44">
        <f>IF(ISNA(VLOOKUP($A44&amp;AA$1,'For stats end Y DB'!$A:$G,5,0)),0,VLOOKUP($A44&amp;AA$1,'For stats end Y DB'!$A:$G,5,0))</f>
        <v>0</v>
      </c>
      <c r="AB44">
        <f>IF(ISNA(VLOOKUP($A44&amp;AB$1,'For stats end Y DB'!$A:$G,5,0)),0,VLOOKUP($A44&amp;AB$1,'For stats end Y DB'!$A:$G,5,0))</f>
        <v>0</v>
      </c>
      <c r="AC44">
        <f>IF(ISNA(VLOOKUP($A44&amp;AC$1,'For stats end Y DB'!$A:$G,5,0)),0,VLOOKUP($A44&amp;AC$1,'For stats end Y DB'!$A:$G,5,0))</f>
        <v>0</v>
      </c>
      <c r="AD44">
        <f>IF(ISNA(VLOOKUP($A44&amp;AD$1,'For stats end Y DB'!$A:$G,5,0)),0,VLOOKUP($A44&amp;AD$1,'For stats end Y DB'!$A:$G,5,0))</f>
        <v>0</v>
      </c>
      <c r="AE44">
        <f>IF(ISNA(VLOOKUP($A44&amp;AE$1,'For stats end Y DB'!$A:$G,5,0)),0,VLOOKUP($A44&amp;AE$1,'For stats end Y DB'!$A:$G,5,0))</f>
        <v>0</v>
      </c>
      <c r="AF44">
        <f>IF(ISNA(VLOOKUP($A44&amp;AF$1,'For stats end Y DB'!$A:$G,5,0)),0,VLOOKUP($A44&amp;AF$1,'For stats end Y DB'!$A:$G,5,0))</f>
        <v>0</v>
      </c>
      <c r="AG44">
        <f>IF(ISNA(VLOOKUP($A44&amp;AG$1,'For stats end Y DB'!$A:$G,5,0)),0,VLOOKUP($A44&amp;AG$1,'For stats end Y DB'!$A:$G,5,0))</f>
        <v>0</v>
      </c>
      <c r="AH44">
        <f>IF(ISNA(VLOOKUP($A44&amp;AH$1,'For stats end Y DB'!$A:$G,5,0)),0,VLOOKUP($A44&amp;AH$1,'For stats end Y DB'!$A:$G,5,0))</f>
        <v>0</v>
      </c>
      <c r="AI44">
        <f>IF(ISNA(VLOOKUP($A44&amp;AI$1,'For stats end Y DB'!$A:$G,5,0)),0,VLOOKUP($A44&amp;AI$1,'For stats end Y DB'!$A:$G,5,0))</f>
        <v>0</v>
      </c>
      <c r="AJ44">
        <f>IF(ISNA(VLOOKUP($A44&amp;AJ$1,'For stats end Y DB'!$A:$G,5,0)),0,VLOOKUP($A44&amp;AJ$1,'For stats end Y DB'!$A:$G,5,0))</f>
        <v>0</v>
      </c>
      <c r="AK44">
        <f>IF(ISNA(VLOOKUP($A44&amp;AK$1,'For stats end Y DB'!$A:$G,5,0)),0,VLOOKUP($A44&amp;AK$1,'For stats end Y DB'!$A:$G,5,0))</f>
        <v>0</v>
      </c>
      <c r="AL44">
        <f>IF(ISNA(VLOOKUP($A44&amp;AL$1,'For stats end Y DB'!$A:$G,5,0)),0,VLOOKUP($A44&amp;AL$1,'For stats end Y DB'!$A:$G,5,0))</f>
        <v>0</v>
      </c>
      <c r="AM44">
        <f>IF(ISNA(VLOOKUP($A44&amp;AM$1,'For stats end Y DB'!$A:$G,5,0)),0,VLOOKUP($A44&amp;AM$1,'For stats end Y DB'!$A:$G,5,0))</f>
        <v>0</v>
      </c>
      <c r="AN44">
        <f>IF(ISNA(VLOOKUP($A44&amp;AN$1,'For stats end Y DB'!$A:$G,5,0)),0,VLOOKUP($A44&amp;AN$1,'For stats end Y DB'!$A:$G,5,0))</f>
        <v>0</v>
      </c>
    </row>
    <row r="45" spans="1:40" x14ac:dyDescent="0.2">
      <c r="A45" t="str">
        <f>'For stats end Y class'!A45</f>
        <v>Jérôme</v>
      </c>
      <c r="B45">
        <f>IF(ISNA(VLOOKUP($A45&amp;B$1,'For stats end Y DB'!$A:$G,5,0)),0,VLOOKUP($A45&amp;B$1,'For stats end Y DB'!$A:$G,5,0))</f>
        <v>4</v>
      </c>
      <c r="C45">
        <f>IF(ISNA(VLOOKUP($A45&amp;C$1,'For stats end Y DB'!$A:$G,5,0)),0,VLOOKUP($A45&amp;C$1,'For stats end Y DB'!$A:$G,5,0))</f>
        <v>3</v>
      </c>
      <c r="D45">
        <f>IF(ISNA(VLOOKUP($A45&amp;D$1,'For stats end Y DB'!$A:$G,5,0)),0,VLOOKUP($A45&amp;D$1,'For stats end Y DB'!$A:$G,5,0))</f>
        <v>8</v>
      </c>
      <c r="E45">
        <f>IF(ISNA(VLOOKUP($A45&amp;E$1,'For stats end Y DB'!$A:$G,5,0)),0,VLOOKUP($A45&amp;E$1,'For stats end Y DB'!$A:$G,5,0))</f>
        <v>5</v>
      </c>
      <c r="F45">
        <f>IF(ISNA(VLOOKUP($A45&amp;F$1,'For stats end Y DB'!$A:$G,5,0)),0,VLOOKUP($A45&amp;F$1,'For stats end Y DB'!$A:$G,5,0))</f>
        <v>17</v>
      </c>
      <c r="G45">
        <f>IF(ISNA(VLOOKUP($A45&amp;G$1,'For stats end Y DB'!$A:$G,5,0)),0,VLOOKUP($A45&amp;G$1,'For stats end Y DB'!$A:$G,5,0))</f>
        <v>2</v>
      </c>
      <c r="H45">
        <f>IF(ISNA(VLOOKUP($A45&amp;H$1,'For stats end Y DB'!$A:$G,5,0)),0,VLOOKUP($A45&amp;H$1,'For stats end Y DB'!$A:$G,5,0))</f>
        <v>8</v>
      </c>
      <c r="I45">
        <f>IF(ISNA(VLOOKUP($A45&amp;I$1,'For stats end Y DB'!$A:$G,5,0)),0,VLOOKUP($A45&amp;I$1,'For stats end Y DB'!$A:$G,5,0))</f>
        <v>4</v>
      </c>
      <c r="J45">
        <f>IF(ISNA(VLOOKUP($A45&amp;J$1,'For stats end Y DB'!$A:$G,5,0)),0,VLOOKUP($A45&amp;J$1,'For stats end Y DB'!$A:$G,5,0))</f>
        <v>17</v>
      </c>
      <c r="K45">
        <f>IF(ISNA(VLOOKUP($A45&amp;K$1,'For stats end Y DB'!$A:$G,5,0)),0,VLOOKUP($A45&amp;K$1,'For stats end Y DB'!$A:$G,5,0))</f>
        <v>16</v>
      </c>
      <c r="L45">
        <f>IF(ISNA(VLOOKUP($A45&amp;L$1,'For stats end Y DB'!$A:$G,5,0)),0,VLOOKUP($A45&amp;L$1,'For stats end Y DB'!$A:$G,5,0))</f>
        <v>11</v>
      </c>
      <c r="M45">
        <f>IF(ISNA(VLOOKUP($A45&amp;M$1,'For stats end Y DB'!$A:$G,5,0)),0,VLOOKUP($A45&amp;M$1,'For stats end Y DB'!$A:$G,5,0))</f>
        <v>1</v>
      </c>
      <c r="N45">
        <f>IF(ISNA(VLOOKUP($A45&amp;N$1,'For stats end Y DB'!$A:$G,5,0)),0,VLOOKUP($A45&amp;N$1,'For stats end Y DB'!$A:$G,5,0))</f>
        <v>2</v>
      </c>
      <c r="O45">
        <f>IF(ISNA(VLOOKUP($A45&amp;O$1,'For stats end Y DB'!$A:$G,5,0)),0,VLOOKUP($A45&amp;O$1,'For stats end Y DB'!$A:$G,5,0))</f>
        <v>13</v>
      </c>
      <c r="P45">
        <f>IF(ISNA(VLOOKUP($A45&amp;P$1,'For stats end Y DB'!$A:$G,5,0)),0,VLOOKUP($A45&amp;P$1,'For stats end Y DB'!$A:$G,5,0))</f>
        <v>17</v>
      </c>
      <c r="Q45">
        <f>IF(ISNA(VLOOKUP($A45&amp;Q$1,'For stats end Y DB'!$A:$G,5,0)),0,VLOOKUP($A45&amp;Q$1,'For stats end Y DB'!$A:$G,5,0))</f>
        <v>17</v>
      </c>
      <c r="R45">
        <f>IF(ISNA(VLOOKUP($A45&amp;R$1,'For stats end Y DB'!$A:$G,5,0)),0,VLOOKUP($A45&amp;R$1,'For stats end Y DB'!$A:$G,5,0))</f>
        <v>9</v>
      </c>
      <c r="S45">
        <f>IF(ISNA(VLOOKUP($A45&amp;S$1,'For stats end Y DB'!$A:$G,5,0)),0,VLOOKUP($A45&amp;S$1,'For stats end Y DB'!$A:$G,5,0))</f>
        <v>2</v>
      </c>
      <c r="T45">
        <f>IF(ISNA(VLOOKUP($A45&amp;T$1,'For stats end Y DB'!$A:$G,5,0)),0,VLOOKUP($A45&amp;T$1,'For stats end Y DB'!$A:$G,5,0))</f>
        <v>4</v>
      </c>
      <c r="U45">
        <f>IF(ISNA(VLOOKUP($A45&amp;U$1,'For stats end Y DB'!$A:$G,5,0)),0,VLOOKUP($A45&amp;U$1,'For stats end Y DB'!$A:$G,5,0))</f>
        <v>15</v>
      </c>
      <c r="V45">
        <f>IF(ISNA(VLOOKUP($A45&amp;V$1,'For stats end Y DB'!$A:$G,5,0)),0,VLOOKUP($A45&amp;V$1,'For stats end Y DB'!$A:$G,5,0))</f>
        <v>4</v>
      </c>
      <c r="W45">
        <f>IF(ISNA(VLOOKUP($A45&amp;W$1,'For stats end Y DB'!$A:$G,5,0)),0,VLOOKUP($A45&amp;W$1,'For stats end Y DB'!$A:$G,5,0))</f>
        <v>1</v>
      </c>
      <c r="X45">
        <f>IF(ISNA(VLOOKUP($A45&amp;X$1,'For stats end Y DB'!$A:$G,5,0)),0,VLOOKUP($A45&amp;X$1,'For stats end Y DB'!$A:$G,5,0))</f>
        <v>2</v>
      </c>
      <c r="Y45">
        <f>IF(ISNA(VLOOKUP($A45&amp;Y$1,'For stats end Y DB'!$A:$G,5,0)),0,VLOOKUP($A45&amp;Y$1,'For stats end Y DB'!$A:$G,5,0))</f>
        <v>17</v>
      </c>
      <c r="Z45">
        <f>IF(ISNA(VLOOKUP($A45&amp;Z$1,'For stats end Y DB'!$A:$G,5,0)),0,VLOOKUP($A45&amp;Z$1,'For stats end Y DB'!$A:$G,5,0))</f>
        <v>8</v>
      </c>
      <c r="AA45">
        <f>IF(ISNA(VLOOKUP($A45&amp;AA$1,'For stats end Y DB'!$A:$G,5,0)),0,VLOOKUP($A45&amp;AA$1,'For stats end Y DB'!$A:$G,5,0))</f>
        <v>2</v>
      </c>
      <c r="AB45">
        <f>IF(ISNA(VLOOKUP($A45&amp;AB$1,'For stats end Y DB'!$A:$G,5,0)),0,VLOOKUP($A45&amp;AB$1,'For stats end Y DB'!$A:$G,5,0))</f>
        <v>8</v>
      </c>
      <c r="AC45">
        <f>IF(ISNA(VLOOKUP($A45&amp;AC$1,'For stats end Y DB'!$A:$G,5,0)),0,VLOOKUP($A45&amp;AC$1,'For stats end Y DB'!$A:$G,5,0))</f>
        <v>4</v>
      </c>
      <c r="AD45">
        <f>IF(ISNA(VLOOKUP($A45&amp;AD$1,'For stats end Y DB'!$A:$G,5,0)),0,VLOOKUP($A45&amp;AD$1,'For stats end Y DB'!$A:$G,5,0))</f>
        <v>2</v>
      </c>
      <c r="AE45">
        <f>IF(ISNA(VLOOKUP($A45&amp;AE$1,'For stats end Y DB'!$A:$G,5,0)),0,VLOOKUP($A45&amp;AE$1,'For stats end Y DB'!$A:$G,5,0))</f>
        <v>4</v>
      </c>
      <c r="AF45">
        <f>IF(ISNA(VLOOKUP($A45&amp;AF$1,'For stats end Y DB'!$A:$G,5,0)),0,VLOOKUP($A45&amp;AF$1,'For stats end Y DB'!$A:$G,5,0))</f>
        <v>8</v>
      </c>
      <c r="AG45">
        <f>IF(ISNA(VLOOKUP($A45&amp;AG$1,'For stats end Y DB'!$A:$G,5,0)),0,VLOOKUP($A45&amp;AG$1,'For stats end Y DB'!$A:$G,5,0))</f>
        <v>4</v>
      </c>
      <c r="AH45">
        <f>IF(ISNA(VLOOKUP($A45&amp;AH$1,'For stats end Y DB'!$A:$G,5,0)),0,VLOOKUP($A45&amp;AH$1,'For stats end Y DB'!$A:$G,5,0))</f>
        <v>12</v>
      </c>
      <c r="AI45">
        <f>IF(ISNA(VLOOKUP($A45&amp;AI$1,'For stats end Y DB'!$A:$G,5,0)),0,VLOOKUP($A45&amp;AI$1,'For stats end Y DB'!$A:$G,5,0))</f>
        <v>0</v>
      </c>
      <c r="AJ45">
        <f>IF(ISNA(VLOOKUP($A45&amp;AJ$1,'For stats end Y DB'!$A:$G,5,0)),0,VLOOKUP($A45&amp;AJ$1,'For stats end Y DB'!$A:$G,5,0))</f>
        <v>0</v>
      </c>
      <c r="AK45">
        <f>IF(ISNA(VLOOKUP($A45&amp;AK$1,'For stats end Y DB'!$A:$G,5,0)),0,VLOOKUP($A45&amp;AK$1,'For stats end Y DB'!$A:$G,5,0))</f>
        <v>0</v>
      </c>
      <c r="AL45">
        <f>IF(ISNA(VLOOKUP($A45&amp;AL$1,'For stats end Y DB'!$A:$G,5,0)),0,VLOOKUP($A45&amp;AL$1,'For stats end Y DB'!$A:$G,5,0))</f>
        <v>0</v>
      </c>
      <c r="AM45">
        <f>IF(ISNA(VLOOKUP($A45&amp;AM$1,'For stats end Y DB'!$A:$G,5,0)),0,VLOOKUP($A45&amp;AM$1,'For stats end Y DB'!$A:$G,5,0))</f>
        <v>0</v>
      </c>
      <c r="AN45">
        <f>IF(ISNA(VLOOKUP($A45&amp;AN$1,'For stats end Y DB'!$A:$G,5,0)),0,VLOOKUP($A45&amp;AN$1,'For stats end Y DB'!$A:$G,5,0))</f>
        <v>0</v>
      </c>
    </row>
    <row r="46" spans="1:40" x14ac:dyDescent="0.2">
      <c r="A46" t="str">
        <f>'For stats end Y class'!A46</f>
        <v>Joic</v>
      </c>
      <c r="B46">
        <f>IF(ISNA(VLOOKUP($A46&amp;B$1,'For stats end Y DB'!$A:$G,5,0)),0,VLOOKUP($A46&amp;B$1,'For stats end Y DB'!$A:$G,5,0))</f>
        <v>2</v>
      </c>
      <c r="C46">
        <f>IF(ISNA(VLOOKUP($A46&amp;C$1,'For stats end Y DB'!$A:$G,5,0)),0,VLOOKUP($A46&amp;C$1,'For stats end Y DB'!$A:$G,5,0))</f>
        <v>0</v>
      </c>
      <c r="D46">
        <f>IF(ISNA(VLOOKUP($A46&amp;D$1,'For stats end Y DB'!$A:$G,5,0)),0,VLOOKUP($A46&amp;D$1,'For stats end Y DB'!$A:$G,5,0))</f>
        <v>0</v>
      </c>
      <c r="E46">
        <f>IF(ISNA(VLOOKUP($A46&amp;E$1,'For stats end Y DB'!$A:$G,5,0)),0,VLOOKUP($A46&amp;E$1,'For stats end Y DB'!$A:$G,5,0))</f>
        <v>0</v>
      </c>
      <c r="F46">
        <f>IF(ISNA(VLOOKUP($A46&amp;F$1,'For stats end Y DB'!$A:$G,5,0)),0,VLOOKUP($A46&amp;F$1,'For stats end Y DB'!$A:$G,5,0))</f>
        <v>0</v>
      </c>
      <c r="G46">
        <f>IF(ISNA(VLOOKUP($A46&amp;G$1,'For stats end Y DB'!$A:$G,5,0)),0,VLOOKUP($A46&amp;G$1,'For stats end Y DB'!$A:$G,5,0))</f>
        <v>0</v>
      </c>
      <c r="H46">
        <f>IF(ISNA(VLOOKUP($A46&amp;H$1,'For stats end Y DB'!$A:$G,5,0)),0,VLOOKUP($A46&amp;H$1,'For stats end Y DB'!$A:$G,5,0))</f>
        <v>0</v>
      </c>
      <c r="I46">
        <f>IF(ISNA(VLOOKUP($A46&amp;I$1,'For stats end Y DB'!$A:$G,5,0)),0,VLOOKUP($A46&amp;I$1,'For stats end Y DB'!$A:$G,5,0))</f>
        <v>0</v>
      </c>
      <c r="J46">
        <f>IF(ISNA(VLOOKUP($A46&amp;J$1,'For stats end Y DB'!$A:$G,5,0)),0,VLOOKUP($A46&amp;J$1,'For stats end Y DB'!$A:$G,5,0))</f>
        <v>0</v>
      </c>
      <c r="K46">
        <f>IF(ISNA(VLOOKUP($A46&amp;K$1,'For stats end Y DB'!$A:$G,5,0)),0,VLOOKUP($A46&amp;K$1,'For stats end Y DB'!$A:$G,5,0))</f>
        <v>0</v>
      </c>
      <c r="L46">
        <f>IF(ISNA(VLOOKUP($A46&amp;L$1,'For stats end Y DB'!$A:$G,5,0)),0,VLOOKUP($A46&amp;L$1,'For stats end Y DB'!$A:$G,5,0))</f>
        <v>0</v>
      </c>
      <c r="M46">
        <f>IF(ISNA(VLOOKUP($A46&amp;M$1,'For stats end Y DB'!$A:$G,5,0)),0,VLOOKUP($A46&amp;M$1,'For stats end Y DB'!$A:$G,5,0))</f>
        <v>0</v>
      </c>
      <c r="N46">
        <f>IF(ISNA(VLOOKUP($A46&amp;N$1,'For stats end Y DB'!$A:$G,5,0)),0,VLOOKUP($A46&amp;N$1,'For stats end Y DB'!$A:$G,5,0))</f>
        <v>0</v>
      </c>
      <c r="O46">
        <f>IF(ISNA(VLOOKUP($A46&amp;O$1,'For stats end Y DB'!$A:$G,5,0)),0,VLOOKUP($A46&amp;O$1,'For stats end Y DB'!$A:$G,5,0))</f>
        <v>0</v>
      </c>
      <c r="P46">
        <f>IF(ISNA(VLOOKUP($A46&amp;P$1,'For stats end Y DB'!$A:$G,5,0)),0,VLOOKUP($A46&amp;P$1,'For stats end Y DB'!$A:$G,5,0))</f>
        <v>0</v>
      </c>
      <c r="Q46">
        <f>IF(ISNA(VLOOKUP($A46&amp;Q$1,'For stats end Y DB'!$A:$G,5,0)),0,VLOOKUP($A46&amp;Q$1,'For stats end Y DB'!$A:$G,5,0))</f>
        <v>0</v>
      </c>
      <c r="R46">
        <f>IF(ISNA(VLOOKUP($A46&amp;R$1,'For stats end Y DB'!$A:$G,5,0)),0,VLOOKUP($A46&amp;R$1,'For stats end Y DB'!$A:$G,5,0))</f>
        <v>0</v>
      </c>
      <c r="S46">
        <f>IF(ISNA(VLOOKUP($A46&amp;S$1,'For stats end Y DB'!$A:$G,5,0)),0,VLOOKUP($A46&amp;S$1,'For stats end Y DB'!$A:$G,5,0))</f>
        <v>0</v>
      </c>
      <c r="T46">
        <f>IF(ISNA(VLOOKUP($A46&amp;T$1,'For stats end Y DB'!$A:$G,5,0)),0,VLOOKUP($A46&amp;T$1,'For stats end Y DB'!$A:$G,5,0))</f>
        <v>0</v>
      </c>
      <c r="U46">
        <f>IF(ISNA(VLOOKUP($A46&amp;U$1,'For stats end Y DB'!$A:$G,5,0)),0,VLOOKUP($A46&amp;U$1,'For stats end Y DB'!$A:$G,5,0))</f>
        <v>0</v>
      </c>
      <c r="V46">
        <f>IF(ISNA(VLOOKUP($A46&amp;V$1,'For stats end Y DB'!$A:$G,5,0)),0,VLOOKUP($A46&amp;V$1,'For stats end Y DB'!$A:$G,5,0))</f>
        <v>0</v>
      </c>
      <c r="W46">
        <f>IF(ISNA(VLOOKUP($A46&amp;W$1,'For stats end Y DB'!$A:$G,5,0)),0,VLOOKUP($A46&amp;W$1,'For stats end Y DB'!$A:$G,5,0))</f>
        <v>0</v>
      </c>
      <c r="X46">
        <f>IF(ISNA(VLOOKUP($A46&amp;X$1,'For stats end Y DB'!$A:$G,5,0)),0,VLOOKUP($A46&amp;X$1,'For stats end Y DB'!$A:$G,5,0))</f>
        <v>0</v>
      </c>
      <c r="Y46">
        <f>IF(ISNA(VLOOKUP($A46&amp;Y$1,'For stats end Y DB'!$A:$G,5,0)),0,VLOOKUP($A46&amp;Y$1,'For stats end Y DB'!$A:$G,5,0))</f>
        <v>0</v>
      </c>
      <c r="Z46">
        <f>IF(ISNA(VLOOKUP($A46&amp;Z$1,'For stats end Y DB'!$A:$G,5,0)),0,VLOOKUP($A46&amp;Z$1,'For stats end Y DB'!$A:$G,5,0))</f>
        <v>0</v>
      </c>
      <c r="AA46">
        <f>IF(ISNA(VLOOKUP($A46&amp;AA$1,'For stats end Y DB'!$A:$G,5,0)),0,VLOOKUP($A46&amp;AA$1,'For stats end Y DB'!$A:$G,5,0))</f>
        <v>0</v>
      </c>
      <c r="AB46">
        <f>IF(ISNA(VLOOKUP($A46&amp;AB$1,'For stats end Y DB'!$A:$G,5,0)),0,VLOOKUP($A46&amp;AB$1,'For stats end Y DB'!$A:$G,5,0))</f>
        <v>0</v>
      </c>
      <c r="AC46">
        <f>IF(ISNA(VLOOKUP($A46&amp;AC$1,'For stats end Y DB'!$A:$G,5,0)),0,VLOOKUP($A46&amp;AC$1,'For stats end Y DB'!$A:$G,5,0))</f>
        <v>0</v>
      </c>
      <c r="AD46">
        <f>IF(ISNA(VLOOKUP($A46&amp;AD$1,'For stats end Y DB'!$A:$G,5,0)),0,VLOOKUP($A46&amp;AD$1,'For stats end Y DB'!$A:$G,5,0))</f>
        <v>0</v>
      </c>
      <c r="AE46">
        <f>IF(ISNA(VLOOKUP($A46&amp;AE$1,'For stats end Y DB'!$A:$G,5,0)),0,VLOOKUP($A46&amp;AE$1,'For stats end Y DB'!$A:$G,5,0))</f>
        <v>0</v>
      </c>
      <c r="AF46">
        <f>IF(ISNA(VLOOKUP($A46&amp;AF$1,'For stats end Y DB'!$A:$G,5,0)),0,VLOOKUP($A46&amp;AF$1,'For stats end Y DB'!$A:$G,5,0))</f>
        <v>0</v>
      </c>
      <c r="AG46">
        <f>IF(ISNA(VLOOKUP($A46&amp;AG$1,'For stats end Y DB'!$A:$G,5,0)),0,VLOOKUP($A46&amp;AG$1,'For stats end Y DB'!$A:$G,5,0))</f>
        <v>0</v>
      </c>
      <c r="AH46">
        <f>IF(ISNA(VLOOKUP($A46&amp;AH$1,'For stats end Y DB'!$A:$G,5,0)),0,VLOOKUP($A46&amp;AH$1,'For stats end Y DB'!$A:$G,5,0))</f>
        <v>0</v>
      </c>
      <c r="AI46">
        <f>IF(ISNA(VLOOKUP($A46&amp;AI$1,'For stats end Y DB'!$A:$G,5,0)),0,VLOOKUP($A46&amp;AI$1,'For stats end Y DB'!$A:$G,5,0))</f>
        <v>0</v>
      </c>
      <c r="AJ46">
        <f>IF(ISNA(VLOOKUP($A46&amp;AJ$1,'For stats end Y DB'!$A:$G,5,0)),0,VLOOKUP($A46&amp;AJ$1,'For stats end Y DB'!$A:$G,5,0))</f>
        <v>0</v>
      </c>
      <c r="AK46">
        <f>IF(ISNA(VLOOKUP($A46&amp;AK$1,'For stats end Y DB'!$A:$G,5,0)),0,VLOOKUP($A46&amp;AK$1,'For stats end Y DB'!$A:$G,5,0))</f>
        <v>0</v>
      </c>
      <c r="AL46">
        <f>IF(ISNA(VLOOKUP($A46&amp;AL$1,'For stats end Y DB'!$A:$G,5,0)),0,VLOOKUP($A46&amp;AL$1,'For stats end Y DB'!$A:$G,5,0))</f>
        <v>0</v>
      </c>
      <c r="AM46">
        <f>IF(ISNA(VLOOKUP($A46&amp;AM$1,'For stats end Y DB'!$A:$G,5,0)),0,VLOOKUP($A46&amp;AM$1,'For stats end Y DB'!$A:$G,5,0))</f>
        <v>0</v>
      </c>
      <c r="AN46">
        <f>IF(ISNA(VLOOKUP($A46&amp;AN$1,'For stats end Y DB'!$A:$G,5,0)),0,VLOOKUP($A46&amp;AN$1,'For stats end Y DB'!$A:$G,5,0))</f>
        <v>0</v>
      </c>
    </row>
    <row r="47" spans="1:40" x14ac:dyDescent="0.2">
      <c r="A47" t="str">
        <f>'For stats end Y class'!A47</f>
        <v>Just4fun</v>
      </c>
      <c r="B47">
        <f>IF(ISNA(VLOOKUP($A47&amp;B$1,'For stats end Y DB'!$A:$G,5,0)),0,VLOOKUP($A47&amp;B$1,'For stats end Y DB'!$A:$G,5,0))</f>
        <v>0</v>
      </c>
      <c r="C47">
        <f>IF(ISNA(VLOOKUP($A47&amp;C$1,'For stats end Y DB'!$A:$G,5,0)),0,VLOOKUP($A47&amp;C$1,'For stats end Y DB'!$A:$G,5,0))</f>
        <v>8</v>
      </c>
      <c r="D47">
        <f>IF(ISNA(VLOOKUP($A47&amp;D$1,'For stats end Y DB'!$A:$G,5,0)),0,VLOOKUP($A47&amp;D$1,'For stats end Y DB'!$A:$G,5,0))</f>
        <v>2</v>
      </c>
      <c r="E47">
        <f>IF(ISNA(VLOOKUP($A47&amp;E$1,'For stats end Y DB'!$A:$G,5,0)),0,VLOOKUP($A47&amp;E$1,'For stats end Y DB'!$A:$G,5,0))</f>
        <v>1</v>
      </c>
      <c r="F47">
        <f>IF(ISNA(VLOOKUP($A47&amp;F$1,'For stats end Y DB'!$A:$G,5,0)),0,VLOOKUP($A47&amp;F$1,'For stats end Y DB'!$A:$G,5,0))</f>
        <v>3</v>
      </c>
      <c r="G47">
        <f>IF(ISNA(VLOOKUP($A47&amp;G$1,'For stats end Y DB'!$A:$G,5,0)),0,VLOOKUP($A47&amp;G$1,'For stats end Y DB'!$A:$G,5,0))</f>
        <v>0</v>
      </c>
      <c r="H47">
        <f>IF(ISNA(VLOOKUP($A47&amp;H$1,'For stats end Y DB'!$A:$G,5,0)),0,VLOOKUP($A47&amp;H$1,'For stats end Y DB'!$A:$G,5,0))</f>
        <v>1</v>
      </c>
      <c r="I47">
        <f>IF(ISNA(VLOOKUP($A47&amp;I$1,'For stats end Y DB'!$A:$G,5,0)),0,VLOOKUP($A47&amp;I$1,'For stats end Y DB'!$A:$G,5,0))</f>
        <v>1</v>
      </c>
      <c r="J47">
        <f>IF(ISNA(VLOOKUP($A47&amp;J$1,'For stats end Y DB'!$A:$G,5,0)),0,VLOOKUP($A47&amp;J$1,'For stats end Y DB'!$A:$G,5,0))</f>
        <v>0</v>
      </c>
      <c r="K47">
        <f>IF(ISNA(VLOOKUP($A47&amp;K$1,'For stats end Y DB'!$A:$G,5,0)),0,VLOOKUP($A47&amp;K$1,'For stats end Y DB'!$A:$G,5,0))</f>
        <v>0</v>
      </c>
      <c r="L47">
        <f>IF(ISNA(VLOOKUP($A47&amp;L$1,'For stats end Y DB'!$A:$G,5,0)),0,VLOOKUP($A47&amp;L$1,'For stats end Y DB'!$A:$G,5,0))</f>
        <v>0</v>
      </c>
      <c r="M47">
        <f>IF(ISNA(VLOOKUP($A47&amp;M$1,'For stats end Y DB'!$A:$G,5,0)),0,VLOOKUP($A47&amp;M$1,'For stats end Y DB'!$A:$G,5,0))</f>
        <v>0</v>
      </c>
      <c r="N47">
        <f>IF(ISNA(VLOOKUP($A47&amp;N$1,'For stats end Y DB'!$A:$G,5,0)),0,VLOOKUP($A47&amp;N$1,'For stats end Y DB'!$A:$G,5,0))</f>
        <v>16</v>
      </c>
      <c r="O47">
        <f>IF(ISNA(VLOOKUP($A47&amp;O$1,'For stats end Y DB'!$A:$G,5,0)),0,VLOOKUP($A47&amp;O$1,'For stats end Y DB'!$A:$G,5,0))</f>
        <v>0</v>
      </c>
      <c r="P47">
        <f>IF(ISNA(VLOOKUP($A47&amp;P$1,'For stats end Y DB'!$A:$G,5,0)),0,VLOOKUP($A47&amp;P$1,'For stats end Y DB'!$A:$G,5,0))</f>
        <v>0</v>
      </c>
      <c r="Q47">
        <f>IF(ISNA(VLOOKUP($A47&amp;Q$1,'For stats end Y DB'!$A:$G,5,0)),0,VLOOKUP($A47&amp;Q$1,'For stats end Y DB'!$A:$G,5,0))</f>
        <v>0</v>
      </c>
      <c r="R47">
        <f>IF(ISNA(VLOOKUP($A47&amp;R$1,'For stats end Y DB'!$A:$G,5,0)),0,VLOOKUP($A47&amp;R$1,'For stats end Y DB'!$A:$G,5,0))</f>
        <v>0</v>
      </c>
      <c r="S47">
        <f>IF(ISNA(VLOOKUP($A47&amp;S$1,'For stats end Y DB'!$A:$G,5,0)),0,VLOOKUP($A47&amp;S$1,'For stats end Y DB'!$A:$G,5,0))</f>
        <v>0</v>
      </c>
      <c r="T47">
        <f>IF(ISNA(VLOOKUP($A47&amp;T$1,'For stats end Y DB'!$A:$G,5,0)),0,VLOOKUP($A47&amp;T$1,'For stats end Y DB'!$A:$G,5,0))</f>
        <v>0</v>
      </c>
      <c r="U47">
        <f>IF(ISNA(VLOOKUP($A47&amp;U$1,'For stats end Y DB'!$A:$G,5,0)),0,VLOOKUP($A47&amp;U$1,'For stats end Y DB'!$A:$G,5,0))</f>
        <v>0</v>
      </c>
      <c r="V47">
        <f>IF(ISNA(VLOOKUP($A47&amp;V$1,'For stats end Y DB'!$A:$G,5,0)),0,VLOOKUP($A47&amp;V$1,'For stats end Y DB'!$A:$G,5,0))</f>
        <v>0</v>
      </c>
      <c r="W47">
        <f>IF(ISNA(VLOOKUP($A47&amp;W$1,'For stats end Y DB'!$A:$G,5,0)),0,VLOOKUP($A47&amp;W$1,'For stats end Y DB'!$A:$G,5,0))</f>
        <v>0</v>
      </c>
      <c r="X47">
        <f>IF(ISNA(VLOOKUP($A47&amp;X$1,'For stats end Y DB'!$A:$G,5,0)),0,VLOOKUP($A47&amp;X$1,'For stats end Y DB'!$A:$G,5,0))</f>
        <v>0</v>
      </c>
      <c r="Y47">
        <f>IF(ISNA(VLOOKUP($A47&amp;Y$1,'For stats end Y DB'!$A:$G,5,0)),0,VLOOKUP($A47&amp;Y$1,'For stats end Y DB'!$A:$G,5,0))</f>
        <v>0</v>
      </c>
      <c r="Z47">
        <f>IF(ISNA(VLOOKUP($A47&amp;Z$1,'For stats end Y DB'!$A:$G,5,0)),0,VLOOKUP($A47&amp;Z$1,'For stats end Y DB'!$A:$G,5,0))</f>
        <v>0</v>
      </c>
      <c r="AA47">
        <f>IF(ISNA(VLOOKUP($A47&amp;AA$1,'For stats end Y DB'!$A:$G,5,0)),0,VLOOKUP($A47&amp;AA$1,'For stats end Y DB'!$A:$G,5,0))</f>
        <v>0</v>
      </c>
      <c r="AB47">
        <f>IF(ISNA(VLOOKUP($A47&amp;AB$1,'For stats end Y DB'!$A:$G,5,0)),0,VLOOKUP($A47&amp;AB$1,'For stats end Y DB'!$A:$G,5,0))</f>
        <v>0</v>
      </c>
      <c r="AC47">
        <f>IF(ISNA(VLOOKUP($A47&amp;AC$1,'For stats end Y DB'!$A:$G,5,0)),0,VLOOKUP($A47&amp;AC$1,'For stats end Y DB'!$A:$G,5,0))</f>
        <v>0</v>
      </c>
      <c r="AD47">
        <f>IF(ISNA(VLOOKUP($A47&amp;AD$1,'For stats end Y DB'!$A:$G,5,0)),0,VLOOKUP($A47&amp;AD$1,'For stats end Y DB'!$A:$G,5,0))</f>
        <v>0</v>
      </c>
      <c r="AE47">
        <f>IF(ISNA(VLOOKUP($A47&amp;AE$1,'For stats end Y DB'!$A:$G,5,0)),0,VLOOKUP($A47&amp;AE$1,'For stats end Y DB'!$A:$G,5,0))</f>
        <v>0</v>
      </c>
      <c r="AF47">
        <f>IF(ISNA(VLOOKUP($A47&amp;AF$1,'For stats end Y DB'!$A:$G,5,0)),0,VLOOKUP($A47&amp;AF$1,'For stats end Y DB'!$A:$G,5,0))</f>
        <v>0</v>
      </c>
      <c r="AG47">
        <f>IF(ISNA(VLOOKUP($A47&amp;AG$1,'For stats end Y DB'!$A:$G,5,0)),0,VLOOKUP($A47&amp;AG$1,'For stats end Y DB'!$A:$G,5,0))</f>
        <v>0</v>
      </c>
      <c r="AH47">
        <f>IF(ISNA(VLOOKUP($A47&amp;AH$1,'For stats end Y DB'!$A:$G,5,0)),0,VLOOKUP($A47&amp;AH$1,'For stats end Y DB'!$A:$G,5,0))</f>
        <v>0</v>
      </c>
      <c r="AI47">
        <f>IF(ISNA(VLOOKUP($A47&amp;AI$1,'For stats end Y DB'!$A:$G,5,0)),0,VLOOKUP($A47&amp;AI$1,'For stats end Y DB'!$A:$G,5,0))</f>
        <v>0</v>
      </c>
      <c r="AJ47">
        <f>IF(ISNA(VLOOKUP($A47&amp;AJ$1,'For stats end Y DB'!$A:$G,5,0)),0,VLOOKUP($A47&amp;AJ$1,'For stats end Y DB'!$A:$G,5,0))</f>
        <v>0</v>
      </c>
      <c r="AK47">
        <f>IF(ISNA(VLOOKUP($A47&amp;AK$1,'For stats end Y DB'!$A:$G,5,0)),0,VLOOKUP($A47&amp;AK$1,'For stats end Y DB'!$A:$G,5,0))</f>
        <v>0</v>
      </c>
      <c r="AL47">
        <f>IF(ISNA(VLOOKUP($A47&amp;AL$1,'For stats end Y DB'!$A:$G,5,0)),0,VLOOKUP($A47&amp;AL$1,'For stats end Y DB'!$A:$G,5,0))</f>
        <v>0</v>
      </c>
      <c r="AM47">
        <f>IF(ISNA(VLOOKUP($A47&amp;AM$1,'For stats end Y DB'!$A:$G,5,0)),0,VLOOKUP($A47&amp;AM$1,'For stats end Y DB'!$A:$G,5,0))</f>
        <v>0</v>
      </c>
      <c r="AN47">
        <f>IF(ISNA(VLOOKUP($A47&amp;AN$1,'For stats end Y DB'!$A:$G,5,0)),0,VLOOKUP($A47&amp;AN$1,'For stats end Y DB'!$A:$G,5,0))</f>
        <v>0</v>
      </c>
    </row>
    <row r="48" spans="1:40" x14ac:dyDescent="0.2">
      <c r="A48" t="str">
        <f>'For stats end Y class'!A48</f>
        <v>K1</v>
      </c>
      <c r="B48">
        <f>IF(ISNA(VLOOKUP($A48&amp;B$1,'For stats end Y DB'!$A:$G,5,0)),0,VLOOKUP($A48&amp;B$1,'For stats end Y DB'!$A:$G,5,0))</f>
        <v>8</v>
      </c>
      <c r="C48">
        <f>IF(ISNA(VLOOKUP($A48&amp;C$1,'For stats end Y DB'!$A:$G,5,0)),0,VLOOKUP($A48&amp;C$1,'For stats end Y DB'!$A:$G,5,0))</f>
        <v>5</v>
      </c>
      <c r="D48">
        <f>IF(ISNA(VLOOKUP($A48&amp;D$1,'For stats end Y DB'!$A:$G,5,0)),0,VLOOKUP($A48&amp;D$1,'For stats end Y DB'!$A:$G,5,0))</f>
        <v>5</v>
      </c>
      <c r="E48">
        <f>IF(ISNA(VLOOKUP($A48&amp;E$1,'For stats end Y DB'!$A:$G,5,0)),0,VLOOKUP($A48&amp;E$1,'For stats end Y DB'!$A:$G,5,0))</f>
        <v>2</v>
      </c>
      <c r="F48">
        <f>IF(ISNA(VLOOKUP($A48&amp;F$1,'For stats end Y DB'!$A:$G,5,0)),0,VLOOKUP($A48&amp;F$1,'For stats end Y DB'!$A:$G,5,0))</f>
        <v>2</v>
      </c>
      <c r="G48">
        <f>IF(ISNA(VLOOKUP($A48&amp;G$1,'For stats end Y DB'!$A:$G,5,0)),0,VLOOKUP($A48&amp;G$1,'For stats end Y DB'!$A:$G,5,0))</f>
        <v>4</v>
      </c>
      <c r="H48">
        <f>IF(ISNA(VLOOKUP($A48&amp;H$1,'For stats end Y DB'!$A:$G,5,0)),0,VLOOKUP($A48&amp;H$1,'For stats end Y DB'!$A:$G,5,0))</f>
        <v>2</v>
      </c>
      <c r="I48">
        <f>IF(ISNA(VLOOKUP($A48&amp;I$1,'For stats end Y DB'!$A:$G,5,0)),0,VLOOKUP($A48&amp;I$1,'For stats end Y DB'!$A:$G,5,0))</f>
        <v>12</v>
      </c>
      <c r="J48">
        <f>IF(ISNA(VLOOKUP($A48&amp;J$1,'For stats end Y DB'!$A:$G,5,0)),0,VLOOKUP($A48&amp;J$1,'For stats end Y DB'!$A:$G,5,0))</f>
        <v>3</v>
      </c>
      <c r="K48">
        <f>IF(ISNA(VLOOKUP($A48&amp;K$1,'For stats end Y DB'!$A:$G,5,0)),0,VLOOKUP($A48&amp;K$1,'For stats end Y DB'!$A:$G,5,0))</f>
        <v>12</v>
      </c>
      <c r="L48">
        <f>IF(ISNA(VLOOKUP($A48&amp;L$1,'For stats end Y DB'!$A:$G,5,0)),0,VLOOKUP($A48&amp;L$1,'For stats end Y DB'!$A:$G,5,0))</f>
        <v>1</v>
      </c>
      <c r="M48">
        <f>IF(ISNA(VLOOKUP($A48&amp;M$1,'For stats end Y DB'!$A:$G,5,0)),0,VLOOKUP($A48&amp;M$1,'For stats end Y DB'!$A:$G,5,0))</f>
        <v>2</v>
      </c>
      <c r="N48">
        <f>IF(ISNA(VLOOKUP($A48&amp;N$1,'For stats end Y DB'!$A:$G,5,0)),0,VLOOKUP($A48&amp;N$1,'For stats end Y DB'!$A:$G,5,0))</f>
        <v>1</v>
      </c>
      <c r="O48">
        <f>IF(ISNA(VLOOKUP($A48&amp;O$1,'For stats end Y DB'!$A:$G,5,0)),0,VLOOKUP($A48&amp;O$1,'For stats end Y DB'!$A:$G,5,0))</f>
        <v>17</v>
      </c>
      <c r="P48">
        <f>IF(ISNA(VLOOKUP($A48&amp;P$1,'For stats end Y DB'!$A:$G,5,0)),0,VLOOKUP($A48&amp;P$1,'For stats end Y DB'!$A:$G,5,0))</f>
        <v>1</v>
      </c>
      <c r="Q48">
        <f>IF(ISNA(VLOOKUP($A48&amp;Q$1,'For stats end Y DB'!$A:$G,5,0)),0,VLOOKUP($A48&amp;Q$1,'For stats end Y DB'!$A:$G,5,0))</f>
        <v>2</v>
      </c>
      <c r="R48">
        <f>IF(ISNA(VLOOKUP($A48&amp;R$1,'For stats end Y DB'!$A:$G,5,0)),0,VLOOKUP($A48&amp;R$1,'For stats end Y DB'!$A:$G,5,0))</f>
        <v>9</v>
      </c>
      <c r="S48">
        <f>IF(ISNA(VLOOKUP($A48&amp;S$1,'For stats end Y DB'!$A:$G,5,0)),0,VLOOKUP($A48&amp;S$1,'For stats end Y DB'!$A:$G,5,0))</f>
        <v>2</v>
      </c>
      <c r="T48">
        <f>IF(ISNA(VLOOKUP($A48&amp;T$1,'For stats end Y DB'!$A:$G,5,0)),0,VLOOKUP($A48&amp;T$1,'For stats end Y DB'!$A:$G,5,0))</f>
        <v>0</v>
      </c>
      <c r="U48">
        <f>IF(ISNA(VLOOKUP($A48&amp;U$1,'For stats end Y DB'!$A:$G,5,0)),0,VLOOKUP($A48&amp;U$1,'For stats end Y DB'!$A:$G,5,0))</f>
        <v>1</v>
      </c>
      <c r="V48">
        <f>IF(ISNA(VLOOKUP($A48&amp;V$1,'For stats end Y DB'!$A:$G,5,0)),0,VLOOKUP($A48&amp;V$1,'For stats end Y DB'!$A:$G,5,0))</f>
        <v>3</v>
      </c>
      <c r="W48">
        <f>IF(ISNA(VLOOKUP($A48&amp;W$1,'For stats end Y DB'!$A:$G,5,0)),0,VLOOKUP($A48&amp;W$1,'For stats end Y DB'!$A:$G,5,0))</f>
        <v>2</v>
      </c>
      <c r="X48">
        <f>IF(ISNA(VLOOKUP($A48&amp;X$1,'For stats end Y DB'!$A:$G,5,0)),0,VLOOKUP($A48&amp;X$1,'For stats end Y DB'!$A:$G,5,0))</f>
        <v>1</v>
      </c>
      <c r="Y48">
        <f>IF(ISNA(VLOOKUP($A48&amp;Y$1,'For stats end Y DB'!$A:$G,5,0)),0,VLOOKUP($A48&amp;Y$1,'For stats end Y DB'!$A:$G,5,0))</f>
        <v>13</v>
      </c>
      <c r="Z48">
        <f>IF(ISNA(VLOOKUP($A48&amp;Z$1,'For stats end Y DB'!$A:$G,5,0)),0,VLOOKUP($A48&amp;Z$1,'For stats end Y DB'!$A:$G,5,0))</f>
        <v>0</v>
      </c>
      <c r="AA48">
        <f>IF(ISNA(VLOOKUP($A48&amp;AA$1,'For stats end Y DB'!$A:$G,5,0)),0,VLOOKUP($A48&amp;AA$1,'For stats end Y DB'!$A:$G,5,0))</f>
        <v>1</v>
      </c>
      <c r="AB48">
        <f>IF(ISNA(VLOOKUP($A48&amp;AB$1,'For stats end Y DB'!$A:$G,5,0)),0,VLOOKUP($A48&amp;AB$1,'For stats end Y DB'!$A:$G,5,0))</f>
        <v>11</v>
      </c>
      <c r="AC48">
        <f>IF(ISNA(VLOOKUP($A48&amp;AC$1,'For stats end Y DB'!$A:$G,5,0)),0,VLOOKUP($A48&amp;AC$1,'For stats end Y DB'!$A:$G,5,0))</f>
        <v>8</v>
      </c>
      <c r="AD48">
        <f>IF(ISNA(VLOOKUP($A48&amp;AD$1,'For stats end Y DB'!$A:$G,5,0)),0,VLOOKUP($A48&amp;AD$1,'For stats end Y DB'!$A:$G,5,0))</f>
        <v>1</v>
      </c>
      <c r="AE48">
        <f>IF(ISNA(VLOOKUP($A48&amp;AE$1,'For stats end Y DB'!$A:$G,5,0)),0,VLOOKUP($A48&amp;AE$1,'For stats end Y DB'!$A:$G,5,0))</f>
        <v>17</v>
      </c>
      <c r="AF48">
        <f>IF(ISNA(VLOOKUP($A48&amp;AF$1,'For stats end Y DB'!$A:$G,5,0)),0,VLOOKUP($A48&amp;AF$1,'For stats end Y DB'!$A:$G,5,0))</f>
        <v>12</v>
      </c>
      <c r="AG48">
        <f>IF(ISNA(VLOOKUP($A48&amp;AG$1,'For stats end Y DB'!$A:$G,5,0)),0,VLOOKUP($A48&amp;AG$1,'For stats end Y DB'!$A:$G,5,0))</f>
        <v>16</v>
      </c>
      <c r="AH48">
        <f>IF(ISNA(VLOOKUP($A48&amp;AH$1,'For stats end Y DB'!$A:$G,5,0)),0,VLOOKUP($A48&amp;AH$1,'For stats end Y DB'!$A:$G,5,0))</f>
        <v>16</v>
      </c>
      <c r="AI48">
        <f>IF(ISNA(VLOOKUP($A48&amp;AI$1,'For stats end Y DB'!$A:$G,5,0)),0,VLOOKUP($A48&amp;AI$1,'For stats end Y DB'!$A:$G,5,0))</f>
        <v>0</v>
      </c>
      <c r="AJ48">
        <f>IF(ISNA(VLOOKUP($A48&amp;AJ$1,'For stats end Y DB'!$A:$G,5,0)),0,VLOOKUP($A48&amp;AJ$1,'For stats end Y DB'!$A:$G,5,0))</f>
        <v>0</v>
      </c>
      <c r="AK48">
        <f>IF(ISNA(VLOOKUP($A48&amp;AK$1,'For stats end Y DB'!$A:$G,5,0)),0,VLOOKUP($A48&amp;AK$1,'For stats end Y DB'!$A:$G,5,0))</f>
        <v>0</v>
      </c>
      <c r="AL48">
        <f>IF(ISNA(VLOOKUP($A48&amp;AL$1,'For stats end Y DB'!$A:$G,5,0)),0,VLOOKUP($A48&amp;AL$1,'For stats end Y DB'!$A:$G,5,0))</f>
        <v>0</v>
      </c>
      <c r="AM48">
        <f>IF(ISNA(VLOOKUP($A48&amp;AM$1,'For stats end Y DB'!$A:$G,5,0)),0,VLOOKUP($A48&amp;AM$1,'For stats end Y DB'!$A:$G,5,0))</f>
        <v>0</v>
      </c>
      <c r="AN48">
        <f>IF(ISNA(VLOOKUP($A48&amp;AN$1,'For stats end Y DB'!$A:$G,5,0)),0,VLOOKUP($A48&amp;AN$1,'For stats end Y DB'!$A:$G,5,0))</f>
        <v>0</v>
      </c>
    </row>
    <row r="49" spans="1:40" x14ac:dyDescent="0.2">
      <c r="A49" t="str">
        <f>'For stats end Y class'!A49</f>
        <v>Kewen</v>
      </c>
      <c r="B49">
        <f>IF(ISNA(VLOOKUP($A49&amp;B$1,'For stats end Y DB'!$A:$G,5,0)),0,VLOOKUP($A49&amp;B$1,'For stats end Y DB'!$A:$G,5,0))</f>
        <v>0</v>
      </c>
      <c r="C49">
        <f>IF(ISNA(VLOOKUP($A49&amp;C$1,'For stats end Y DB'!$A:$G,5,0)),0,VLOOKUP($A49&amp;C$1,'For stats end Y DB'!$A:$G,5,0))</f>
        <v>0</v>
      </c>
      <c r="D49">
        <f>IF(ISNA(VLOOKUP($A49&amp;D$1,'For stats end Y DB'!$A:$G,5,0)),0,VLOOKUP($A49&amp;D$1,'For stats end Y DB'!$A:$G,5,0))</f>
        <v>0</v>
      </c>
      <c r="E49">
        <f>IF(ISNA(VLOOKUP($A49&amp;E$1,'For stats end Y DB'!$A:$G,5,0)),0,VLOOKUP($A49&amp;E$1,'For stats end Y DB'!$A:$G,5,0))</f>
        <v>0</v>
      </c>
      <c r="F49">
        <f>IF(ISNA(VLOOKUP($A49&amp;F$1,'For stats end Y DB'!$A:$G,5,0)),0,VLOOKUP($A49&amp;F$1,'For stats end Y DB'!$A:$G,5,0))</f>
        <v>0</v>
      </c>
      <c r="G49">
        <f>IF(ISNA(VLOOKUP($A49&amp;G$1,'For stats end Y DB'!$A:$G,5,0)),0,VLOOKUP($A49&amp;G$1,'For stats end Y DB'!$A:$G,5,0))</f>
        <v>0</v>
      </c>
      <c r="H49">
        <f>IF(ISNA(VLOOKUP($A49&amp;H$1,'For stats end Y DB'!$A:$G,5,0)),0,VLOOKUP($A49&amp;H$1,'For stats end Y DB'!$A:$G,5,0))</f>
        <v>0</v>
      </c>
      <c r="I49">
        <f>IF(ISNA(VLOOKUP($A49&amp;I$1,'For stats end Y DB'!$A:$G,5,0)),0,VLOOKUP($A49&amp;I$1,'For stats end Y DB'!$A:$G,5,0))</f>
        <v>0</v>
      </c>
      <c r="J49">
        <f>IF(ISNA(VLOOKUP($A49&amp;J$1,'For stats end Y DB'!$A:$G,5,0)),0,VLOOKUP($A49&amp;J$1,'For stats end Y DB'!$A:$G,5,0))</f>
        <v>0</v>
      </c>
      <c r="K49">
        <f>IF(ISNA(VLOOKUP($A49&amp;K$1,'For stats end Y DB'!$A:$G,5,0)),0,VLOOKUP($A49&amp;K$1,'For stats end Y DB'!$A:$G,5,0))</f>
        <v>0</v>
      </c>
      <c r="L49">
        <f>IF(ISNA(VLOOKUP($A49&amp;L$1,'For stats end Y DB'!$A:$G,5,0)),0,VLOOKUP($A49&amp;L$1,'For stats end Y DB'!$A:$G,5,0))</f>
        <v>0</v>
      </c>
      <c r="M49">
        <f>IF(ISNA(VLOOKUP($A49&amp;M$1,'For stats end Y DB'!$A:$G,5,0)),0,VLOOKUP($A49&amp;M$1,'For stats end Y DB'!$A:$G,5,0))</f>
        <v>0</v>
      </c>
      <c r="N49">
        <f>IF(ISNA(VLOOKUP($A49&amp;N$1,'For stats end Y DB'!$A:$G,5,0)),0,VLOOKUP($A49&amp;N$1,'For stats end Y DB'!$A:$G,5,0))</f>
        <v>0</v>
      </c>
      <c r="O49">
        <f>IF(ISNA(VLOOKUP($A49&amp;O$1,'For stats end Y DB'!$A:$G,5,0)),0,VLOOKUP($A49&amp;O$1,'For stats end Y DB'!$A:$G,5,0))</f>
        <v>0</v>
      </c>
      <c r="P49">
        <f>IF(ISNA(VLOOKUP($A49&amp;P$1,'For stats end Y DB'!$A:$G,5,0)),0,VLOOKUP($A49&amp;P$1,'For stats end Y DB'!$A:$G,5,0))</f>
        <v>0</v>
      </c>
      <c r="Q49">
        <f>IF(ISNA(VLOOKUP($A49&amp;Q$1,'For stats end Y DB'!$A:$G,5,0)),0,VLOOKUP($A49&amp;Q$1,'For stats end Y DB'!$A:$G,5,0))</f>
        <v>0</v>
      </c>
      <c r="R49">
        <f>IF(ISNA(VLOOKUP($A49&amp;R$1,'For stats end Y DB'!$A:$G,5,0)),0,VLOOKUP($A49&amp;R$1,'For stats end Y DB'!$A:$G,5,0))</f>
        <v>0</v>
      </c>
      <c r="S49">
        <f>IF(ISNA(VLOOKUP($A49&amp;S$1,'For stats end Y DB'!$A:$G,5,0)),0,VLOOKUP($A49&amp;S$1,'For stats end Y DB'!$A:$G,5,0))</f>
        <v>0</v>
      </c>
      <c r="T49">
        <f>IF(ISNA(VLOOKUP($A49&amp;T$1,'For stats end Y DB'!$A:$G,5,0)),0,VLOOKUP($A49&amp;T$1,'For stats end Y DB'!$A:$G,5,0))</f>
        <v>0</v>
      </c>
      <c r="U49">
        <f>IF(ISNA(VLOOKUP($A49&amp;U$1,'For stats end Y DB'!$A:$G,5,0)),0,VLOOKUP($A49&amp;U$1,'For stats end Y DB'!$A:$G,5,0))</f>
        <v>0</v>
      </c>
      <c r="V49">
        <f>IF(ISNA(VLOOKUP($A49&amp;V$1,'For stats end Y DB'!$A:$G,5,0)),0,VLOOKUP($A49&amp;V$1,'For stats end Y DB'!$A:$G,5,0))</f>
        <v>0</v>
      </c>
      <c r="W49">
        <f>IF(ISNA(VLOOKUP($A49&amp;W$1,'For stats end Y DB'!$A:$G,5,0)),0,VLOOKUP($A49&amp;W$1,'For stats end Y DB'!$A:$G,5,0))</f>
        <v>0</v>
      </c>
      <c r="X49">
        <f>IF(ISNA(VLOOKUP($A49&amp;X$1,'For stats end Y DB'!$A:$G,5,0)),0,VLOOKUP($A49&amp;X$1,'For stats end Y DB'!$A:$G,5,0))</f>
        <v>0</v>
      </c>
      <c r="Y49">
        <f>IF(ISNA(VLOOKUP($A49&amp;Y$1,'For stats end Y DB'!$A:$G,5,0)),0,VLOOKUP($A49&amp;Y$1,'For stats end Y DB'!$A:$G,5,0))</f>
        <v>0</v>
      </c>
      <c r="Z49">
        <f>IF(ISNA(VLOOKUP($A49&amp;Z$1,'For stats end Y DB'!$A:$G,5,0)),0,VLOOKUP($A49&amp;Z$1,'For stats end Y DB'!$A:$G,5,0))</f>
        <v>0</v>
      </c>
      <c r="AA49">
        <f>IF(ISNA(VLOOKUP($A49&amp;AA$1,'For stats end Y DB'!$A:$G,5,0)),0,VLOOKUP($A49&amp;AA$1,'For stats end Y DB'!$A:$G,5,0))</f>
        <v>0</v>
      </c>
      <c r="AB49">
        <f>IF(ISNA(VLOOKUP($A49&amp;AB$1,'For stats end Y DB'!$A:$G,5,0)),0,VLOOKUP($A49&amp;AB$1,'For stats end Y DB'!$A:$G,5,0))</f>
        <v>0</v>
      </c>
      <c r="AC49">
        <f>IF(ISNA(VLOOKUP($A49&amp;AC$1,'For stats end Y DB'!$A:$G,5,0)),0,VLOOKUP($A49&amp;AC$1,'For stats end Y DB'!$A:$G,5,0))</f>
        <v>8</v>
      </c>
      <c r="AD49">
        <f>IF(ISNA(VLOOKUP($A49&amp;AD$1,'For stats end Y DB'!$A:$G,5,0)),0,VLOOKUP($A49&amp;AD$1,'For stats end Y DB'!$A:$G,5,0))</f>
        <v>0</v>
      </c>
      <c r="AE49">
        <f>IF(ISNA(VLOOKUP($A49&amp;AE$1,'For stats end Y DB'!$A:$G,5,0)),0,VLOOKUP($A49&amp;AE$1,'For stats end Y DB'!$A:$G,5,0))</f>
        <v>0</v>
      </c>
      <c r="AF49">
        <f>IF(ISNA(VLOOKUP($A49&amp;AF$1,'For stats end Y DB'!$A:$G,5,0)),0,VLOOKUP($A49&amp;AF$1,'For stats end Y DB'!$A:$G,5,0))</f>
        <v>2</v>
      </c>
      <c r="AG49">
        <f>IF(ISNA(VLOOKUP($A49&amp;AG$1,'For stats end Y DB'!$A:$G,5,0)),0,VLOOKUP($A49&amp;AG$1,'For stats end Y DB'!$A:$G,5,0))</f>
        <v>0</v>
      </c>
      <c r="AH49">
        <f>IF(ISNA(VLOOKUP($A49&amp;AH$1,'For stats end Y DB'!$A:$G,5,0)),0,VLOOKUP($A49&amp;AH$1,'For stats end Y DB'!$A:$G,5,0))</f>
        <v>1</v>
      </c>
      <c r="AI49">
        <f>IF(ISNA(VLOOKUP($A49&amp;AI$1,'For stats end Y DB'!$A:$G,5,0)),0,VLOOKUP($A49&amp;AI$1,'For stats end Y DB'!$A:$G,5,0))</f>
        <v>0</v>
      </c>
      <c r="AJ49">
        <f>IF(ISNA(VLOOKUP($A49&amp;AJ$1,'For stats end Y DB'!$A:$G,5,0)),0,VLOOKUP($A49&amp;AJ$1,'For stats end Y DB'!$A:$G,5,0))</f>
        <v>0</v>
      </c>
      <c r="AK49">
        <f>IF(ISNA(VLOOKUP($A49&amp;AK$1,'For stats end Y DB'!$A:$G,5,0)),0,VLOOKUP($A49&amp;AK$1,'For stats end Y DB'!$A:$G,5,0))</f>
        <v>0</v>
      </c>
      <c r="AL49">
        <f>IF(ISNA(VLOOKUP($A49&amp;AL$1,'For stats end Y DB'!$A:$G,5,0)),0,VLOOKUP($A49&amp;AL$1,'For stats end Y DB'!$A:$G,5,0))</f>
        <v>0</v>
      </c>
      <c r="AM49">
        <f>IF(ISNA(VLOOKUP($A49&amp;AM$1,'For stats end Y DB'!$A:$G,5,0)),0,VLOOKUP($A49&amp;AM$1,'For stats end Y DB'!$A:$G,5,0))</f>
        <v>0</v>
      </c>
      <c r="AN49">
        <f>IF(ISNA(VLOOKUP($A49&amp;AN$1,'For stats end Y DB'!$A:$G,5,0)),0,VLOOKUP($A49&amp;AN$1,'For stats end Y DB'!$A:$G,5,0))</f>
        <v>0</v>
      </c>
    </row>
    <row r="50" spans="1:40" x14ac:dyDescent="0.2">
      <c r="A50" t="str">
        <f>'For stats end Y class'!A50</f>
        <v>Kheops</v>
      </c>
      <c r="B50">
        <f>IF(ISNA(VLOOKUP($A50&amp;B$1,'For stats end Y DB'!$A:$G,5,0)),0,VLOOKUP($A50&amp;B$1,'For stats end Y DB'!$A:$G,5,0))</f>
        <v>8</v>
      </c>
      <c r="C50">
        <f>IF(ISNA(VLOOKUP($A50&amp;C$1,'For stats end Y DB'!$A:$G,5,0)),0,VLOOKUP($A50&amp;C$1,'For stats end Y DB'!$A:$G,5,0))</f>
        <v>3</v>
      </c>
      <c r="D50">
        <f>IF(ISNA(VLOOKUP($A50&amp;D$1,'For stats end Y DB'!$A:$G,5,0)),0,VLOOKUP($A50&amp;D$1,'For stats end Y DB'!$A:$G,5,0))</f>
        <v>0</v>
      </c>
      <c r="E50">
        <f>IF(ISNA(VLOOKUP($A50&amp;E$1,'For stats end Y DB'!$A:$G,5,0)),0,VLOOKUP($A50&amp;E$1,'For stats end Y DB'!$A:$G,5,0))</f>
        <v>0</v>
      </c>
      <c r="F50">
        <f>IF(ISNA(VLOOKUP($A50&amp;F$1,'For stats end Y DB'!$A:$G,5,0)),0,VLOOKUP($A50&amp;F$1,'For stats end Y DB'!$A:$G,5,0))</f>
        <v>5</v>
      </c>
      <c r="G50">
        <f>IF(ISNA(VLOOKUP($A50&amp;G$1,'For stats end Y DB'!$A:$G,5,0)),0,VLOOKUP($A50&amp;G$1,'For stats end Y DB'!$A:$G,5,0))</f>
        <v>3</v>
      </c>
      <c r="H50">
        <f>IF(ISNA(VLOOKUP($A50&amp;H$1,'For stats end Y DB'!$A:$G,5,0)),0,VLOOKUP($A50&amp;H$1,'For stats end Y DB'!$A:$G,5,0))</f>
        <v>0</v>
      </c>
      <c r="I50">
        <f>IF(ISNA(VLOOKUP($A50&amp;I$1,'For stats end Y DB'!$A:$G,5,0)),0,VLOOKUP($A50&amp;I$1,'For stats end Y DB'!$A:$G,5,0))</f>
        <v>5</v>
      </c>
      <c r="J50">
        <f>IF(ISNA(VLOOKUP($A50&amp;J$1,'For stats end Y DB'!$A:$G,5,0)),0,VLOOKUP($A50&amp;J$1,'For stats end Y DB'!$A:$G,5,0))</f>
        <v>17</v>
      </c>
      <c r="K50">
        <f>IF(ISNA(VLOOKUP($A50&amp;K$1,'For stats end Y DB'!$A:$G,5,0)),0,VLOOKUP($A50&amp;K$1,'For stats end Y DB'!$A:$G,5,0))</f>
        <v>16</v>
      </c>
      <c r="L50">
        <f>IF(ISNA(VLOOKUP($A50&amp;L$1,'For stats end Y DB'!$A:$G,5,0)),0,VLOOKUP($A50&amp;L$1,'For stats end Y DB'!$A:$G,5,0))</f>
        <v>4</v>
      </c>
      <c r="M50">
        <f>IF(ISNA(VLOOKUP($A50&amp;M$1,'For stats end Y DB'!$A:$G,5,0)),0,VLOOKUP($A50&amp;M$1,'For stats end Y DB'!$A:$G,5,0))</f>
        <v>4</v>
      </c>
      <c r="N50">
        <f>IF(ISNA(VLOOKUP($A50&amp;N$1,'For stats end Y DB'!$A:$G,5,0)),0,VLOOKUP($A50&amp;N$1,'For stats end Y DB'!$A:$G,5,0))</f>
        <v>0</v>
      </c>
      <c r="O50">
        <f>IF(ISNA(VLOOKUP($A50&amp;O$1,'For stats end Y DB'!$A:$G,5,0)),0,VLOOKUP($A50&amp;O$1,'For stats end Y DB'!$A:$G,5,0))</f>
        <v>9</v>
      </c>
      <c r="P50">
        <f>IF(ISNA(VLOOKUP($A50&amp;P$1,'For stats end Y DB'!$A:$G,5,0)),0,VLOOKUP($A50&amp;P$1,'For stats end Y DB'!$A:$G,5,0))</f>
        <v>13</v>
      </c>
      <c r="Q50">
        <f>IF(ISNA(VLOOKUP($A50&amp;Q$1,'For stats end Y DB'!$A:$G,5,0)),0,VLOOKUP($A50&amp;Q$1,'For stats end Y DB'!$A:$G,5,0))</f>
        <v>0</v>
      </c>
      <c r="R50">
        <f>IF(ISNA(VLOOKUP($A50&amp;R$1,'For stats end Y DB'!$A:$G,5,0)),0,VLOOKUP($A50&amp;R$1,'For stats end Y DB'!$A:$G,5,0))</f>
        <v>1</v>
      </c>
      <c r="S50">
        <f>IF(ISNA(VLOOKUP($A50&amp;S$1,'For stats end Y DB'!$A:$G,5,0)),0,VLOOKUP($A50&amp;S$1,'For stats end Y DB'!$A:$G,5,0))</f>
        <v>2</v>
      </c>
      <c r="T50">
        <f>IF(ISNA(VLOOKUP($A50&amp;T$1,'For stats end Y DB'!$A:$G,5,0)),0,VLOOKUP($A50&amp;T$1,'For stats end Y DB'!$A:$G,5,0))</f>
        <v>0</v>
      </c>
      <c r="U50">
        <f>IF(ISNA(VLOOKUP($A50&amp;U$1,'For stats end Y DB'!$A:$G,5,0)),0,VLOOKUP($A50&amp;U$1,'For stats end Y DB'!$A:$G,5,0))</f>
        <v>0</v>
      </c>
      <c r="V50">
        <f>IF(ISNA(VLOOKUP($A50&amp;V$1,'For stats end Y DB'!$A:$G,5,0)),0,VLOOKUP($A50&amp;V$1,'For stats end Y DB'!$A:$G,5,0))</f>
        <v>3</v>
      </c>
      <c r="W50">
        <f>IF(ISNA(VLOOKUP($A50&amp;W$1,'For stats end Y DB'!$A:$G,5,0)),0,VLOOKUP($A50&amp;W$1,'For stats end Y DB'!$A:$G,5,0))</f>
        <v>13</v>
      </c>
      <c r="X50">
        <f>IF(ISNA(VLOOKUP($A50&amp;X$1,'For stats end Y DB'!$A:$G,5,0)),0,VLOOKUP($A50&amp;X$1,'For stats end Y DB'!$A:$G,5,0))</f>
        <v>0</v>
      </c>
      <c r="Y50">
        <f>IF(ISNA(VLOOKUP($A50&amp;Y$1,'For stats end Y DB'!$A:$G,5,0)),0,VLOOKUP($A50&amp;Y$1,'For stats end Y DB'!$A:$G,5,0))</f>
        <v>17</v>
      </c>
      <c r="Z50">
        <f>IF(ISNA(VLOOKUP($A50&amp;Z$1,'For stats end Y DB'!$A:$G,5,0)),0,VLOOKUP($A50&amp;Z$1,'For stats end Y DB'!$A:$G,5,0))</f>
        <v>0</v>
      </c>
      <c r="AA50">
        <f>IF(ISNA(VLOOKUP($A50&amp;AA$1,'For stats end Y DB'!$A:$G,5,0)),0,VLOOKUP($A50&amp;AA$1,'For stats end Y DB'!$A:$G,5,0))</f>
        <v>8</v>
      </c>
      <c r="AB50">
        <f>IF(ISNA(VLOOKUP($A50&amp;AB$1,'For stats end Y DB'!$A:$G,5,0)),0,VLOOKUP($A50&amp;AB$1,'For stats end Y DB'!$A:$G,5,0))</f>
        <v>8</v>
      </c>
      <c r="AC50">
        <f>IF(ISNA(VLOOKUP($A50&amp;AC$1,'For stats end Y DB'!$A:$G,5,0)),0,VLOOKUP($A50&amp;AC$1,'For stats end Y DB'!$A:$G,5,0))</f>
        <v>8</v>
      </c>
      <c r="AD50">
        <f>IF(ISNA(VLOOKUP($A50&amp;AD$1,'For stats end Y DB'!$A:$G,5,0)),0,VLOOKUP($A50&amp;AD$1,'For stats end Y DB'!$A:$G,5,0))</f>
        <v>2</v>
      </c>
      <c r="AE50">
        <f>IF(ISNA(VLOOKUP($A50&amp;AE$1,'For stats end Y DB'!$A:$G,5,0)),0,VLOOKUP($A50&amp;AE$1,'For stats end Y DB'!$A:$G,5,0))</f>
        <v>3</v>
      </c>
      <c r="AF50">
        <f>IF(ISNA(VLOOKUP($A50&amp;AF$1,'For stats end Y DB'!$A:$G,5,0)),0,VLOOKUP($A50&amp;AF$1,'For stats end Y DB'!$A:$G,5,0))</f>
        <v>0</v>
      </c>
      <c r="AG50">
        <f>IF(ISNA(VLOOKUP($A50&amp;AG$1,'For stats end Y DB'!$A:$G,5,0)),0,VLOOKUP($A50&amp;AG$1,'For stats end Y DB'!$A:$G,5,0))</f>
        <v>15</v>
      </c>
      <c r="AH50">
        <f>IF(ISNA(VLOOKUP($A50&amp;AH$1,'For stats end Y DB'!$A:$G,5,0)),0,VLOOKUP($A50&amp;AH$1,'For stats end Y DB'!$A:$G,5,0))</f>
        <v>12</v>
      </c>
      <c r="AI50">
        <f>IF(ISNA(VLOOKUP($A50&amp;AI$1,'For stats end Y DB'!$A:$G,5,0)),0,VLOOKUP($A50&amp;AI$1,'For stats end Y DB'!$A:$G,5,0))</f>
        <v>0</v>
      </c>
      <c r="AJ50">
        <f>IF(ISNA(VLOOKUP($A50&amp;AJ$1,'For stats end Y DB'!$A:$G,5,0)),0,VLOOKUP($A50&amp;AJ$1,'For stats end Y DB'!$A:$G,5,0))</f>
        <v>0</v>
      </c>
      <c r="AK50">
        <f>IF(ISNA(VLOOKUP($A50&amp;AK$1,'For stats end Y DB'!$A:$G,5,0)),0,VLOOKUP($A50&amp;AK$1,'For stats end Y DB'!$A:$G,5,0))</f>
        <v>0</v>
      </c>
      <c r="AL50">
        <f>IF(ISNA(VLOOKUP($A50&amp;AL$1,'For stats end Y DB'!$A:$G,5,0)),0,VLOOKUP($A50&amp;AL$1,'For stats end Y DB'!$A:$G,5,0))</f>
        <v>0</v>
      </c>
      <c r="AM50">
        <f>IF(ISNA(VLOOKUP($A50&amp;AM$1,'For stats end Y DB'!$A:$G,5,0)),0,VLOOKUP($A50&amp;AM$1,'For stats end Y DB'!$A:$G,5,0))</f>
        <v>0</v>
      </c>
      <c r="AN50">
        <f>IF(ISNA(VLOOKUP($A50&amp;AN$1,'For stats end Y DB'!$A:$G,5,0)),0,VLOOKUP($A50&amp;AN$1,'For stats end Y DB'!$A:$G,5,0))</f>
        <v>0</v>
      </c>
    </row>
    <row r="51" spans="1:40" x14ac:dyDescent="0.2">
      <c r="A51" t="str">
        <f>'For stats end Y class'!A51</f>
        <v>Kri-lin</v>
      </c>
      <c r="B51">
        <f>IF(ISNA(VLOOKUP($A51&amp;B$1,'For stats end Y DB'!$A:$G,5,0)),0,VLOOKUP($A51&amp;B$1,'For stats end Y DB'!$A:$G,5,0))</f>
        <v>4</v>
      </c>
      <c r="C51">
        <f>IF(ISNA(VLOOKUP($A51&amp;C$1,'For stats end Y DB'!$A:$G,5,0)),0,VLOOKUP($A51&amp;C$1,'For stats end Y DB'!$A:$G,5,0))</f>
        <v>2</v>
      </c>
      <c r="D51">
        <f>IF(ISNA(VLOOKUP($A51&amp;D$1,'For stats end Y DB'!$A:$G,5,0)),0,VLOOKUP($A51&amp;D$1,'For stats end Y DB'!$A:$G,5,0))</f>
        <v>1</v>
      </c>
      <c r="E51">
        <f>IF(ISNA(VLOOKUP($A51&amp;E$1,'For stats end Y DB'!$A:$G,5,0)),0,VLOOKUP($A51&amp;E$1,'For stats end Y DB'!$A:$G,5,0))</f>
        <v>9</v>
      </c>
      <c r="F51">
        <f>IF(ISNA(VLOOKUP($A51&amp;F$1,'For stats end Y DB'!$A:$G,5,0)),0,VLOOKUP($A51&amp;F$1,'For stats end Y DB'!$A:$G,5,0))</f>
        <v>1</v>
      </c>
      <c r="G51">
        <f>IF(ISNA(VLOOKUP($A51&amp;G$1,'For stats end Y DB'!$A:$G,5,0)),0,VLOOKUP($A51&amp;G$1,'For stats end Y DB'!$A:$G,5,0))</f>
        <v>13</v>
      </c>
      <c r="H51">
        <f>IF(ISNA(VLOOKUP($A51&amp;H$1,'For stats end Y DB'!$A:$G,5,0)),0,VLOOKUP($A51&amp;H$1,'For stats end Y DB'!$A:$G,5,0))</f>
        <v>0</v>
      </c>
      <c r="I51">
        <f>IF(ISNA(VLOOKUP($A51&amp;I$1,'For stats end Y DB'!$A:$G,5,0)),0,VLOOKUP($A51&amp;I$1,'For stats end Y DB'!$A:$G,5,0))</f>
        <v>1</v>
      </c>
      <c r="J51">
        <f>IF(ISNA(VLOOKUP($A51&amp;J$1,'For stats end Y DB'!$A:$G,5,0)),0,VLOOKUP($A51&amp;J$1,'For stats end Y DB'!$A:$G,5,0))</f>
        <v>0</v>
      </c>
      <c r="K51">
        <f>IF(ISNA(VLOOKUP($A51&amp;K$1,'For stats end Y DB'!$A:$G,5,0)),0,VLOOKUP($A51&amp;K$1,'For stats end Y DB'!$A:$G,5,0))</f>
        <v>4</v>
      </c>
      <c r="L51">
        <f>IF(ISNA(VLOOKUP($A51&amp;L$1,'For stats end Y DB'!$A:$G,5,0)),0,VLOOKUP($A51&amp;L$1,'For stats end Y DB'!$A:$G,5,0))</f>
        <v>12</v>
      </c>
      <c r="M51">
        <f>IF(ISNA(VLOOKUP($A51&amp;M$1,'For stats end Y DB'!$A:$G,5,0)),0,VLOOKUP($A51&amp;M$1,'For stats end Y DB'!$A:$G,5,0))</f>
        <v>12</v>
      </c>
      <c r="N51">
        <f>IF(ISNA(VLOOKUP($A51&amp;N$1,'For stats end Y DB'!$A:$G,5,0)),0,VLOOKUP($A51&amp;N$1,'For stats end Y DB'!$A:$G,5,0))</f>
        <v>0</v>
      </c>
      <c r="O51">
        <f>IF(ISNA(VLOOKUP($A51&amp;O$1,'For stats end Y DB'!$A:$G,5,0)),0,VLOOKUP($A51&amp;O$1,'For stats end Y DB'!$A:$G,5,0))</f>
        <v>0</v>
      </c>
      <c r="P51">
        <f>IF(ISNA(VLOOKUP($A51&amp;P$1,'For stats end Y DB'!$A:$G,5,0)),0,VLOOKUP($A51&amp;P$1,'For stats end Y DB'!$A:$G,5,0))</f>
        <v>3</v>
      </c>
      <c r="Q51">
        <f>IF(ISNA(VLOOKUP($A51&amp;Q$1,'For stats end Y DB'!$A:$G,5,0)),0,VLOOKUP($A51&amp;Q$1,'For stats end Y DB'!$A:$G,5,0))</f>
        <v>0</v>
      </c>
      <c r="R51">
        <f>IF(ISNA(VLOOKUP($A51&amp;R$1,'For stats end Y DB'!$A:$G,5,0)),0,VLOOKUP($A51&amp;R$1,'For stats end Y DB'!$A:$G,5,0))</f>
        <v>0</v>
      </c>
      <c r="S51">
        <f>IF(ISNA(VLOOKUP($A51&amp;S$1,'For stats end Y DB'!$A:$G,5,0)),0,VLOOKUP($A51&amp;S$1,'For stats end Y DB'!$A:$G,5,0))</f>
        <v>0</v>
      </c>
      <c r="T51">
        <f>IF(ISNA(VLOOKUP($A51&amp;T$1,'For stats end Y DB'!$A:$G,5,0)),0,VLOOKUP($A51&amp;T$1,'For stats end Y DB'!$A:$G,5,0))</f>
        <v>0</v>
      </c>
      <c r="U51">
        <f>IF(ISNA(VLOOKUP($A51&amp;U$1,'For stats end Y DB'!$A:$G,5,0)),0,VLOOKUP($A51&amp;U$1,'For stats end Y DB'!$A:$G,5,0))</f>
        <v>0</v>
      </c>
      <c r="V51">
        <f>IF(ISNA(VLOOKUP($A51&amp;V$1,'For stats end Y DB'!$A:$G,5,0)),0,VLOOKUP($A51&amp;V$1,'For stats end Y DB'!$A:$G,5,0))</f>
        <v>1</v>
      </c>
      <c r="W51">
        <f>IF(ISNA(VLOOKUP($A51&amp;W$1,'For stats end Y DB'!$A:$G,5,0)),0,VLOOKUP($A51&amp;W$1,'For stats end Y DB'!$A:$G,5,0))</f>
        <v>0</v>
      </c>
      <c r="X51">
        <f>IF(ISNA(VLOOKUP($A51&amp;X$1,'For stats end Y DB'!$A:$G,5,0)),0,VLOOKUP($A51&amp;X$1,'For stats end Y DB'!$A:$G,5,0))</f>
        <v>0</v>
      </c>
      <c r="Y51">
        <f>IF(ISNA(VLOOKUP($A51&amp;Y$1,'For stats end Y DB'!$A:$G,5,0)),0,VLOOKUP($A51&amp;Y$1,'For stats end Y DB'!$A:$G,5,0))</f>
        <v>17</v>
      </c>
      <c r="Z51">
        <f>IF(ISNA(VLOOKUP($A51&amp;Z$1,'For stats end Y DB'!$A:$G,5,0)),0,VLOOKUP($A51&amp;Z$1,'For stats end Y DB'!$A:$G,5,0))</f>
        <v>12</v>
      </c>
      <c r="AA51">
        <f>IF(ISNA(VLOOKUP($A51&amp;AA$1,'For stats end Y DB'!$A:$G,5,0)),0,VLOOKUP($A51&amp;AA$1,'For stats end Y DB'!$A:$G,5,0))</f>
        <v>0</v>
      </c>
      <c r="AB51">
        <f>IF(ISNA(VLOOKUP($A51&amp;AB$1,'For stats end Y DB'!$A:$G,5,0)),0,VLOOKUP($A51&amp;AB$1,'For stats end Y DB'!$A:$G,5,0))</f>
        <v>0</v>
      </c>
      <c r="AC51">
        <f>IF(ISNA(VLOOKUP($A51&amp;AC$1,'For stats end Y DB'!$A:$G,5,0)),0,VLOOKUP($A51&amp;AC$1,'For stats end Y DB'!$A:$G,5,0))</f>
        <v>0</v>
      </c>
      <c r="AD51">
        <f>IF(ISNA(VLOOKUP($A51&amp;AD$1,'For stats end Y DB'!$A:$G,5,0)),0,VLOOKUP($A51&amp;AD$1,'For stats end Y DB'!$A:$G,5,0))</f>
        <v>0</v>
      </c>
      <c r="AE51">
        <f>IF(ISNA(VLOOKUP($A51&amp;AE$1,'For stats end Y DB'!$A:$G,5,0)),0,VLOOKUP($A51&amp;AE$1,'For stats end Y DB'!$A:$G,5,0))</f>
        <v>0</v>
      </c>
      <c r="AF51">
        <f>IF(ISNA(VLOOKUP($A51&amp;AF$1,'For stats end Y DB'!$A:$G,5,0)),0,VLOOKUP($A51&amp;AF$1,'For stats end Y DB'!$A:$G,5,0))</f>
        <v>16</v>
      </c>
      <c r="AG51">
        <f>IF(ISNA(VLOOKUP($A51&amp;AG$1,'For stats end Y DB'!$A:$G,5,0)),0,VLOOKUP($A51&amp;AG$1,'For stats end Y DB'!$A:$G,5,0))</f>
        <v>8</v>
      </c>
      <c r="AH51">
        <f>IF(ISNA(VLOOKUP($A51&amp;AH$1,'For stats end Y DB'!$A:$G,5,0)),0,VLOOKUP($A51&amp;AH$1,'For stats end Y DB'!$A:$G,5,0))</f>
        <v>16</v>
      </c>
      <c r="AI51">
        <f>IF(ISNA(VLOOKUP($A51&amp;AI$1,'For stats end Y DB'!$A:$G,5,0)),0,VLOOKUP($A51&amp;AI$1,'For stats end Y DB'!$A:$G,5,0))</f>
        <v>0</v>
      </c>
      <c r="AJ51">
        <f>IF(ISNA(VLOOKUP($A51&amp;AJ$1,'For stats end Y DB'!$A:$G,5,0)),0,VLOOKUP($A51&amp;AJ$1,'For stats end Y DB'!$A:$G,5,0))</f>
        <v>0</v>
      </c>
      <c r="AK51">
        <f>IF(ISNA(VLOOKUP($A51&amp;AK$1,'For stats end Y DB'!$A:$G,5,0)),0,VLOOKUP($A51&amp;AK$1,'For stats end Y DB'!$A:$G,5,0))</f>
        <v>0</v>
      </c>
      <c r="AL51">
        <f>IF(ISNA(VLOOKUP($A51&amp;AL$1,'For stats end Y DB'!$A:$G,5,0)),0,VLOOKUP($A51&amp;AL$1,'For stats end Y DB'!$A:$G,5,0))</f>
        <v>0</v>
      </c>
      <c r="AM51">
        <f>IF(ISNA(VLOOKUP($A51&amp;AM$1,'For stats end Y DB'!$A:$G,5,0)),0,VLOOKUP($A51&amp;AM$1,'For stats end Y DB'!$A:$G,5,0))</f>
        <v>0</v>
      </c>
      <c r="AN51">
        <f>IF(ISNA(VLOOKUP($A51&amp;AN$1,'For stats end Y DB'!$A:$G,5,0)),0,VLOOKUP($A51&amp;AN$1,'For stats end Y DB'!$A:$G,5,0))</f>
        <v>0</v>
      </c>
    </row>
    <row r="52" spans="1:40" x14ac:dyDescent="0.2">
      <c r="A52" t="str">
        <f>'For stats end Y class'!A52</f>
        <v>La Bavure</v>
      </c>
      <c r="B52">
        <f>IF(ISNA(VLOOKUP($A52&amp;B$1,'For stats end Y DB'!$A:$G,5,0)),0,VLOOKUP($A52&amp;B$1,'For stats end Y DB'!$A:$G,5,0))</f>
        <v>0</v>
      </c>
      <c r="C52">
        <f>IF(ISNA(VLOOKUP($A52&amp;C$1,'For stats end Y DB'!$A:$G,5,0)),0,VLOOKUP($A52&amp;C$1,'For stats end Y DB'!$A:$G,5,0))</f>
        <v>1</v>
      </c>
      <c r="D52">
        <f>IF(ISNA(VLOOKUP($A52&amp;D$1,'For stats end Y DB'!$A:$G,5,0)),0,VLOOKUP($A52&amp;D$1,'For stats end Y DB'!$A:$G,5,0))</f>
        <v>4</v>
      </c>
      <c r="E52">
        <f>IF(ISNA(VLOOKUP($A52&amp;E$1,'For stats end Y DB'!$A:$G,5,0)),0,VLOOKUP($A52&amp;E$1,'For stats end Y DB'!$A:$G,5,0))</f>
        <v>0</v>
      </c>
      <c r="F52">
        <f>IF(ISNA(VLOOKUP($A52&amp;F$1,'For stats end Y DB'!$A:$G,5,0)),0,VLOOKUP($A52&amp;F$1,'For stats end Y DB'!$A:$G,5,0))</f>
        <v>11</v>
      </c>
      <c r="G52">
        <f>IF(ISNA(VLOOKUP($A52&amp;G$1,'For stats end Y DB'!$A:$G,5,0)),0,VLOOKUP($A52&amp;G$1,'For stats end Y DB'!$A:$G,5,0))</f>
        <v>1</v>
      </c>
      <c r="H52">
        <f>IF(ISNA(VLOOKUP($A52&amp;H$1,'For stats end Y DB'!$A:$G,5,0)),0,VLOOKUP($A52&amp;H$1,'For stats end Y DB'!$A:$G,5,0))</f>
        <v>1</v>
      </c>
      <c r="I52">
        <f>IF(ISNA(VLOOKUP($A52&amp;I$1,'For stats end Y DB'!$A:$G,5,0)),0,VLOOKUP($A52&amp;I$1,'For stats end Y DB'!$A:$G,5,0))</f>
        <v>0</v>
      </c>
      <c r="J52">
        <f>IF(ISNA(VLOOKUP($A52&amp;J$1,'For stats end Y DB'!$A:$G,5,0)),0,VLOOKUP($A52&amp;J$1,'For stats end Y DB'!$A:$G,5,0))</f>
        <v>1</v>
      </c>
      <c r="K52">
        <f>IF(ISNA(VLOOKUP($A52&amp;K$1,'For stats end Y DB'!$A:$G,5,0)),0,VLOOKUP($A52&amp;K$1,'For stats end Y DB'!$A:$G,5,0))</f>
        <v>1</v>
      </c>
      <c r="L52">
        <f>IF(ISNA(VLOOKUP($A52&amp;L$1,'For stats end Y DB'!$A:$G,5,0)),0,VLOOKUP($A52&amp;L$1,'For stats end Y DB'!$A:$G,5,0))</f>
        <v>0</v>
      </c>
      <c r="M52">
        <f>IF(ISNA(VLOOKUP($A52&amp;M$1,'For stats end Y DB'!$A:$G,5,0)),0,VLOOKUP($A52&amp;M$1,'For stats end Y DB'!$A:$G,5,0))</f>
        <v>16</v>
      </c>
      <c r="N52">
        <f>IF(ISNA(VLOOKUP($A52&amp;N$1,'For stats end Y DB'!$A:$G,5,0)),0,VLOOKUP($A52&amp;N$1,'For stats end Y DB'!$A:$G,5,0))</f>
        <v>0</v>
      </c>
      <c r="O52">
        <f>IF(ISNA(VLOOKUP($A52&amp;O$1,'For stats end Y DB'!$A:$G,5,0)),0,VLOOKUP($A52&amp;O$1,'For stats end Y DB'!$A:$G,5,0))</f>
        <v>5</v>
      </c>
      <c r="P52">
        <f>IF(ISNA(VLOOKUP($A52&amp;P$1,'For stats end Y DB'!$A:$G,5,0)),0,VLOOKUP($A52&amp;P$1,'For stats end Y DB'!$A:$G,5,0))</f>
        <v>16</v>
      </c>
      <c r="Q52">
        <f>IF(ISNA(VLOOKUP($A52&amp;Q$1,'For stats end Y DB'!$A:$G,5,0)),0,VLOOKUP($A52&amp;Q$1,'For stats end Y DB'!$A:$G,5,0))</f>
        <v>3</v>
      </c>
      <c r="R52">
        <f>IF(ISNA(VLOOKUP($A52&amp;R$1,'For stats end Y DB'!$A:$G,5,0)),0,VLOOKUP($A52&amp;R$1,'For stats end Y DB'!$A:$G,5,0))</f>
        <v>12</v>
      </c>
      <c r="S52">
        <f>IF(ISNA(VLOOKUP($A52&amp;S$1,'For stats end Y DB'!$A:$G,5,0)),0,VLOOKUP($A52&amp;S$1,'For stats end Y DB'!$A:$G,5,0))</f>
        <v>13</v>
      </c>
      <c r="T52">
        <f>IF(ISNA(VLOOKUP($A52&amp;T$1,'For stats end Y DB'!$A:$G,5,0)),0,VLOOKUP($A52&amp;T$1,'For stats end Y DB'!$A:$G,5,0))</f>
        <v>12</v>
      </c>
      <c r="U52">
        <f>IF(ISNA(VLOOKUP($A52&amp;U$1,'For stats end Y DB'!$A:$G,5,0)),0,VLOOKUP($A52&amp;U$1,'For stats end Y DB'!$A:$G,5,0))</f>
        <v>1</v>
      </c>
      <c r="V52">
        <f>IF(ISNA(VLOOKUP($A52&amp;V$1,'For stats end Y DB'!$A:$G,5,0)),0,VLOOKUP($A52&amp;V$1,'For stats end Y DB'!$A:$G,5,0))</f>
        <v>16</v>
      </c>
      <c r="W52">
        <f>IF(ISNA(VLOOKUP($A52&amp;W$1,'For stats end Y DB'!$A:$G,5,0)),0,VLOOKUP($A52&amp;W$1,'For stats end Y DB'!$A:$G,5,0))</f>
        <v>16</v>
      </c>
      <c r="X52">
        <f>IF(ISNA(VLOOKUP($A52&amp;X$1,'For stats end Y DB'!$A:$G,5,0)),0,VLOOKUP($A52&amp;X$1,'For stats end Y DB'!$A:$G,5,0))</f>
        <v>12</v>
      </c>
      <c r="Y52">
        <f>IF(ISNA(VLOOKUP($A52&amp;Y$1,'For stats end Y DB'!$A:$G,5,0)),0,VLOOKUP($A52&amp;Y$1,'For stats end Y DB'!$A:$G,5,0))</f>
        <v>9</v>
      </c>
      <c r="Z52">
        <f>IF(ISNA(VLOOKUP($A52&amp;Z$1,'For stats end Y DB'!$A:$G,5,0)),0,VLOOKUP($A52&amp;Z$1,'For stats end Y DB'!$A:$G,5,0))</f>
        <v>16</v>
      </c>
      <c r="AA52">
        <f>IF(ISNA(VLOOKUP($A52&amp;AA$1,'For stats end Y DB'!$A:$G,5,0)),0,VLOOKUP($A52&amp;AA$1,'For stats end Y DB'!$A:$G,5,0))</f>
        <v>2</v>
      </c>
      <c r="AB52">
        <f>IF(ISNA(VLOOKUP($A52&amp;AB$1,'For stats end Y DB'!$A:$G,5,0)),0,VLOOKUP($A52&amp;AB$1,'For stats end Y DB'!$A:$G,5,0))</f>
        <v>0</v>
      </c>
      <c r="AC52">
        <f>IF(ISNA(VLOOKUP($A52&amp;AC$1,'For stats end Y DB'!$A:$G,5,0)),0,VLOOKUP($A52&amp;AC$1,'For stats end Y DB'!$A:$G,5,0))</f>
        <v>4</v>
      </c>
      <c r="AD52">
        <f>IF(ISNA(VLOOKUP($A52&amp;AD$1,'For stats end Y DB'!$A:$G,5,0)),0,VLOOKUP($A52&amp;AD$1,'For stats end Y DB'!$A:$G,5,0))</f>
        <v>0</v>
      </c>
      <c r="AE52">
        <f>IF(ISNA(VLOOKUP($A52&amp;AE$1,'For stats end Y DB'!$A:$G,5,0)),0,VLOOKUP($A52&amp;AE$1,'For stats end Y DB'!$A:$G,5,0))</f>
        <v>8</v>
      </c>
      <c r="AF52">
        <f>IF(ISNA(VLOOKUP($A52&amp;AF$1,'For stats end Y DB'!$A:$G,5,0)),0,VLOOKUP($A52&amp;AF$1,'For stats end Y DB'!$A:$G,5,0))</f>
        <v>1</v>
      </c>
      <c r="AG52">
        <f>IF(ISNA(VLOOKUP($A52&amp;AG$1,'For stats end Y DB'!$A:$G,5,0)),0,VLOOKUP($A52&amp;AG$1,'For stats end Y DB'!$A:$G,5,0))</f>
        <v>1</v>
      </c>
      <c r="AH52">
        <f>IF(ISNA(VLOOKUP($A52&amp;AH$1,'For stats end Y DB'!$A:$G,5,0)),0,VLOOKUP($A52&amp;AH$1,'For stats end Y DB'!$A:$G,5,0))</f>
        <v>2</v>
      </c>
      <c r="AI52">
        <f>IF(ISNA(VLOOKUP($A52&amp;AI$1,'For stats end Y DB'!$A:$G,5,0)),0,VLOOKUP($A52&amp;AI$1,'For stats end Y DB'!$A:$G,5,0))</f>
        <v>0</v>
      </c>
      <c r="AJ52">
        <f>IF(ISNA(VLOOKUP($A52&amp;AJ$1,'For stats end Y DB'!$A:$G,5,0)),0,VLOOKUP($A52&amp;AJ$1,'For stats end Y DB'!$A:$G,5,0))</f>
        <v>0</v>
      </c>
      <c r="AK52">
        <f>IF(ISNA(VLOOKUP($A52&amp;AK$1,'For stats end Y DB'!$A:$G,5,0)),0,VLOOKUP($A52&amp;AK$1,'For stats end Y DB'!$A:$G,5,0))</f>
        <v>0</v>
      </c>
      <c r="AL52">
        <f>IF(ISNA(VLOOKUP($A52&amp;AL$1,'For stats end Y DB'!$A:$G,5,0)),0,VLOOKUP($A52&amp;AL$1,'For stats end Y DB'!$A:$G,5,0))</f>
        <v>0</v>
      </c>
      <c r="AM52">
        <f>IF(ISNA(VLOOKUP($A52&amp;AM$1,'For stats end Y DB'!$A:$G,5,0)),0,VLOOKUP($A52&amp;AM$1,'For stats end Y DB'!$A:$G,5,0))</f>
        <v>0</v>
      </c>
      <c r="AN52">
        <f>IF(ISNA(VLOOKUP($A52&amp;AN$1,'For stats end Y DB'!$A:$G,5,0)),0,VLOOKUP($A52&amp;AN$1,'For stats end Y DB'!$A:$G,5,0))</f>
        <v>0</v>
      </c>
    </row>
    <row r="53" spans="1:40" x14ac:dyDescent="0.2">
      <c r="A53" t="str">
        <f>'For stats end Y class'!A53</f>
        <v>LAAtof</v>
      </c>
      <c r="B53">
        <f>IF(ISNA(VLOOKUP($A53&amp;B$1,'For stats end Y DB'!$A:$G,5,0)),0,VLOOKUP($A53&amp;B$1,'For stats end Y DB'!$A:$G,5,0))</f>
        <v>4</v>
      </c>
      <c r="C53">
        <f>IF(ISNA(VLOOKUP($A53&amp;C$1,'For stats end Y DB'!$A:$G,5,0)),0,VLOOKUP($A53&amp;C$1,'For stats end Y DB'!$A:$G,5,0))</f>
        <v>12</v>
      </c>
      <c r="D53">
        <f>IF(ISNA(VLOOKUP($A53&amp;D$1,'For stats end Y DB'!$A:$G,5,0)),0,VLOOKUP($A53&amp;D$1,'For stats end Y DB'!$A:$G,5,0))</f>
        <v>0</v>
      </c>
      <c r="E53">
        <f>IF(ISNA(VLOOKUP($A53&amp;E$1,'For stats end Y DB'!$A:$G,5,0)),0,VLOOKUP($A53&amp;E$1,'For stats end Y DB'!$A:$G,5,0))</f>
        <v>13</v>
      </c>
      <c r="F53">
        <f>IF(ISNA(VLOOKUP($A53&amp;F$1,'For stats end Y DB'!$A:$G,5,0)),0,VLOOKUP($A53&amp;F$1,'For stats end Y DB'!$A:$G,5,0))</f>
        <v>0</v>
      </c>
      <c r="G53">
        <f>IF(ISNA(VLOOKUP($A53&amp;G$1,'For stats end Y DB'!$A:$G,5,0)),0,VLOOKUP($A53&amp;G$1,'For stats end Y DB'!$A:$G,5,0))</f>
        <v>2</v>
      </c>
      <c r="H53">
        <f>IF(ISNA(VLOOKUP($A53&amp;H$1,'For stats end Y DB'!$A:$G,5,0)),0,VLOOKUP($A53&amp;H$1,'For stats end Y DB'!$A:$G,5,0))</f>
        <v>2</v>
      </c>
      <c r="I53">
        <f>IF(ISNA(VLOOKUP($A53&amp;I$1,'For stats end Y DB'!$A:$G,5,0)),0,VLOOKUP($A53&amp;I$1,'For stats end Y DB'!$A:$G,5,0))</f>
        <v>17</v>
      </c>
      <c r="J53">
        <f>IF(ISNA(VLOOKUP($A53&amp;J$1,'For stats end Y DB'!$A:$G,5,0)),0,VLOOKUP($A53&amp;J$1,'For stats end Y DB'!$A:$G,5,0))</f>
        <v>0</v>
      </c>
      <c r="K53">
        <f>IF(ISNA(VLOOKUP($A53&amp;K$1,'For stats end Y DB'!$A:$G,5,0)),0,VLOOKUP($A53&amp;K$1,'For stats end Y DB'!$A:$G,5,0))</f>
        <v>0</v>
      </c>
      <c r="L53">
        <f>IF(ISNA(VLOOKUP($A53&amp;L$1,'For stats end Y DB'!$A:$G,5,0)),0,VLOOKUP($A53&amp;L$1,'For stats end Y DB'!$A:$G,5,0))</f>
        <v>12</v>
      </c>
      <c r="M53">
        <f>IF(ISNA(VLOOKUP($A53&amp;M$1,'For stats end Y DB'!$A:$G,5,0)),0,VLOOKUP($A53&amp;M$1,'For stats end Y DB'!$A:$G,5,0))</f>
        <v>9</v>
      </c>
      <c r="N53">
        <f>IF(ISNA(VLOOKUP($A53&amp;N$1,'For stats end Y DB'!$A:$G,5,0)),0,VLOOKUP($A53&amp;N$1,'For stats end Y DB'!$A:$G,5,0))</f>
        <v>0</v>
      </c>
      <c r="O53">
        <f>IF(ISNA(VLOOKUP($A53&amp;O$1,'For stats end Y DB'!$A:$G,5,0)),0,VLOOKUP($A53&amp;O$1,'For stats end Y DB'!$A:$G,5,0))</f>
        <v>1</v>
      </c>
      <c r="P53">
        <f>IF(ISNA(VLOOKUP($A53&amp;P$1,'For stats end Y DB'!$A:$G,5,0)),0,VLOOKUP($A53&amp;P$1,'For stats end Y DB'!$A:$G,5,0))</f>
        <v>2</v>
      </c>
      <c r="Q53">
        <f>IF(ISNA(VLOOKUP($A53&amp;Q$1,'For stats end Y DB'!$A:$G,5,0)),0,VLOOKUP($A53&amp;Q$1,'For stats end Y DB'!$A:$G,5,0))</f>
        <v>3</v>
      </c>
      <c r="R53">
        <f>IF(ISNA(VLOOKUP($A53&amp;R$1,'For stats end Y DB'!$A:$G,5,0)),0,VLOOKUP($A53&amp;R$1,'For stats end Y DB'!$A:$G,5,0))</f>
        <v>1</v>
      </c>
      <c r="S53">
        <f>IF(ISNA(VLOOKUP($A53&amp;S$1,'For stats end Y DB'!$A:$G,5,0)),0,VLOOKUP($A53&amp;S$1,'For stats end Y DB'!$A:$G,5,0))</f>
        <v>0</v>
      </c>
      <c r="T53">
        <f>IF(ISNA(VLOOKUP($A53&amp;T$1,'For stats end Y DB'!$A:$G,5,0)),0,VLOOKUP($A53&amp;T$1,'For stats end Y DB'!$A:$G,5,0))</f>
        <v>0</v>
      </c>
      <c r="U53">
        <f>IF(ISNA(VLOOKUP($A53&amp;U$1,'For stats end Y DB'!$A:$G,5,0)),0,VLOOKUP($A53&amp;U$1,'For stats end Y DB'!$A:$G,5,0))</f>
        <v>0</v>
      </c>
      <c r="V53">
        <f>IF(ISNA(VLOOKUP($A53&amp;V$1,'For stats end Y DB'!$A:$G,5,0)),0,VLOOKUP($A53&amp;V$1,'For stats end Y DB'!$A:$G,5,0))</f>
        <v>16</v>
      </c>
      <c r="W53">
        <f>IF(ISNA(VLOOKUP($A53&amp;W$1,'For stats end Y DB'!$A:$G,5,0)),0,VLOOKUP($A53&amp;W$1,'For stats end Y DB'!$A:$G,5,0))</f>
        <v>13</v>
      </c>
      <c r="X53">
        <f>IF(ISNA(VLOOKUP($A53&amp;X$1,'For stats end Y DB'!$A:$G,5,0)),0,VLOOKUP($A53&amp;X$1,'For stats end Y DB'!$A:$G,5,0))</f>
        <v>12</v>
      </c>
      <c r="Y53">
        <f>IF(ISNA(VLOOKUP($A53&amp;Y$1,'For stats end Y DB'!$A:$G,5,0)),0,VLOOKUP($A53&amp;Y$1,'For stats end Y DB'!$A:$G,5,0))</f>
        <v>2</v>
      </c>
      <c r="Z53">
        <f>IF(ISNA(VLOOKUP($A53&amp;Z$1,'For stats end Y DB'!$A:$G,5,0)),0,VLOOKUP($A53&amp;Z$1,'For stats end Y DB'!$A:$G,5,0))</f>
        <v>12</v>
      </c>
      <c r="AA53">
        <f>IF(ISNA(VLOOKUP($A53&amp;AA$1,'For stats end Y DB'!$A:$G,5,0)),0,VLOOKUP($A53&amp;AA$1,'For stats end Y DB'!$A:$G,5,0))</f>
        <v>8</v>
      </c>
      <c r="AB53">
        <f>IF(ISNA(VLOOKUP($A53&amp;AB$1,'For stats end Y DB'!$A:$G,5,0)),0,VLOOKUP($A53&amp;AB$1,'For stats end Y DB'!$A:$G,5,0))</f>
        <v>7</v>
      </c>
      <c r="AC53">
        <f>IF(ISNA(VLOOKUP($A53&amp;AC$1,'For stats end Y DB'!$A:$G,5,0)),0,VLOOKUP($A53&amp;AC$1,'For stats end Y DB'!$A:$G,5,0))</f>
        <v>0</v>
      </c>
      <c r="AD53">
        <f>IF(ISNA(VLOOKUP($A53&amp;AD$1,'For stats end Y DB'!$A:$G,5,0)),0,VLOOKUP($A53&amp;AD$1,'For stats end Y DB'!$A:$G,5,0))</f>
        <v>4</v>
      </c>
      <c r="AE53">
        <f>IF(ISNA(VLOOKUP($A53&amp;AE$1,'For stats end Y DB'!$A:$G,5,0)),0,VLOOKUP($A53&amp;AE$1,'For stats end Y DB'!$A:$G,5,0))</f>
        <v>16</v>
      </c>
      <c r="AF53">
        <f>IF(ISNA(VLOOKUP($A53&amp;AF$1,'For stats end Y DB'!$A:$G,5,0)),0,VLOOKUP($A53&amp;AF$1,'For stats end Y DB'!$A:$G,5,0))</f>
        <v>0</v>
      </c>
      <c r="AG53">
        <f>IF(ISNA(VLOOKUP($A53&amp;AG$1,'For stats end Y DB'!$A:$G,5,0)),0,VLOOKUP($A53&amp;AG$1,'For stats end Y DB'!$A:$G,5,0))</f>
        <v>0</v>
      </c>
      <c r="AH53">
        <f>IF(ISNA(VLOOKUP($A53&amp;AH$1,'For stats end Y DB'!$A:$G,5,0)),0,VLOOKUP($A53&amp;AH$1,'For stats end Y DB'!$A:$G,5,0))</f>
        <v>0</v>
      </c>
      <c r="AI53">
        <f>IF(ISNA(VLOOKUP($A53&amp;AI$1,'For stats end Y DB'!$A:$G,5,0)),0,VLOOKUP($A53&amp;AI$1,'For stats end Y DB'!$A:$G,5,0))</f>
        <v>0</v>
      </c>
      <c r="AJ53">
        <f>IF(ISNA(VLOOKUP($A53&amp;AJ$1,'For stats end Y DB'!$A:$G,5,0)),0,VLOOKUP($A53&amp;AJ$1,'For stats end Y DB'!$A:$G,5,0))</f>
        <v>0</v>
      </c>
      <c r="AK53">
        <f>IF(ISNA(VLOOKUP($A53&amp;AK$1,'For stats end Y DB'!$A:$G,5,0)),0,VLOOKUP($A53&amp;AK$1,'For stats end Y DB'!$A:$G,5,0))</f>
        <v>0</v>
      </c>
      <c r="AL53">
        <f>IF(ISNA(VLOOKUP($A53&amp;AL$1,'For stats end Y DB'!$A:$G,5,0)),0,VLOOKUP($A53&amp;AL$1,'For stats end Y DB'!$A:$G,5,0))</f>
        <v>0</v>
      </c>
      <c r="AM53">
        <f>IF(ISNA(VLOOKUP($A53&amp;AM$1,'For stats end Y DB'!$A:$G,5,0)),0,VLOOKUP($A53&amp;AM$1,'For stats end Y DB'!$A:$G,5,0))</f>
        <v>0</v>
      </c>
      <c r="AN53">
        <f>IF(ISNA(VLOOKUP($A53&amp;AN$1,'For stats end Y DB'!$A:$G,5,0)),0,VLOOKUP($A53&amp;AN$1,'For stats end Y DB'!$A:$G,5,0))</f>
        <v>0</v>
      </c>
    </row>
    <row r="54" spans="1:40" x14ac:dyDescent="0.2">
      <c r="A54" t="str">
        <f>'For stats end Y class'!A54</f>
        <v>Lén@</v>
      </c>
      <c r="B54">
        <f>IF(ISNA(VLOOKUP($A54&amp;B$1,'For stats end Y DB'!$A:$G,5,0)),0,VLOOKUP($A54&amp;B$1,'For stats end Y DB'!$A:$G,5,0))</f>
        <v>0</v>
      </c>
      <c r="C54">
        <f>IF(ISNA(VLOOKUP($A54&amp;C$1,'For stats end Y DB'!$A:$G,5,0)),0,VLOOKUP($A54&amp;C$1,'For stats end Y DB'!$A:$G,5,0))</f>
        <v>0</v>
      </c>
      <c r="D54">
        <f>IF(ISNA(VLOOKUP($A54&amp;D$1,'For stats end Y DB'!$A:$G,5,0)),0,VLOOKUP($A54&amp;D$1,'For stats end Y DB'!$A:$G,5,0))</f>
        <v>2</v>
      </c>
      <c r="E54">
        <f>IF(ISNA(VLOOKUP($A54&amp;E$1,'For stats end Y DB'!$A:$G,5,0)),0,VLOOKUP($A54&amp;E$1,'For stats end Y DB'!$A:$G,5,0))</f>
        <v>2</v>
      </c>
      <c r="F54">
        <f>IF(ISNA(VLOOKUP($A54&amp;F$1,'For stats end Y DB'!$A:$G,5,0)),0,VLOOKUP($A54&amp;F$1,'For stats end Y DB'!$A:$G,5,0))</f>
        <v>0</v>
      </c>
      <c r="G54">
        <f>IF(ISNA(VLOOKUP($A54&amp;G$1,'For stats end Y DB'!$A:$G,5,0)),0,VLOOKUP($A54&amp;G$1,'For stats end Y DB'!$A:$G,5,0))</f>
        <v>17</v>
      </c>
      <c r="H54">
        <f>IF(ISNA(VLOOKUP($A54&amp;H$1,'For stats end Y DB'!$A:$G,5,0)),0,VLOOKUP($A54&amp;H$1,'For stats end Y DB'!$A:$G,5,0))</f>
        <v>0</v>
      </c>
      <c r="I54">
        <f>IF(ISNA(VLOOKUP($A54&amp;I$1,'For stats end Y DB'!$A:$G,5,0)),0,VLOOKUP($A54&amp;I$1,'For stats end Y DB'!$A:$G,5,0))</f>
        <v>0</v>
      </c>
      <c r="J54">
        <f>IF(ISNA(VLOOKUP($A54&amp;J$1,'For stats end Y DB'!$A:$G,5,0)),0,VLOOKUP($A54&amp;J$1,'For stats end Y DB'!$A:$G,5,0))</f>
        <v>0</v>
      </c>
      <c r="K54">
        <f>IF(ISNA(VLOOKUP($A54&amp;K$1,'For stats end Y DB'!$A:$G,5,0)),0,VLOOKUP($A54&amp;K$1,'For stats end Y DB'!$A:$G,5,0))</f>
        <v>0</v>
      </c>
      <c r="L54">
        <f>IF(ISNA(VLOOKUP($A54&amp;L$1,'For stats end Y DB'!$A:$G,5,0)),0,VLOOKUP($A54&amp;L$1,'For stats end Y DB'!$A:$G,5,0))</f>
        <v>0</v>
      </c>
      <c r="M54">
        <f>IF(ISNA(VLOOKUP($A54&amp;M$1,'For stats end Y DB'!$A:$G,5,0)),0,VLOOKUP($A54&amp;M$1,'For stats end Y DB'!$A:$G,5,0))</f>
        <v>0</v>
      </c>
      <c r="N54">
        <f>IF(ISNA(VLOOKUP($A54&amp;N$1,'For stats end Y DB'!$A:$G,5,0)),0,VLOOKUP($A54&amp;N$1,'For stats end Y DB'!$A:$G,5,0))</f>
        <v>4</v>
      </c>
      <c r="O54">
        <f>IF(ISNA(VLOOKUP($A54&amp;O$1,'For stats end Y DB'!$A:$G,5,0)),0,VLOOKUP($A54&amp;O$1,'For stats end Y DB'!$A:$G,5,0))</f>
        <v>1</v>
      </c>
      <c r="P54">
        <f>IF(ISNA(VLOOKUP($A54&amp;P$1,'For stats end Y DB'!$A:$G,5,0)),0,VLOOKUP($A54&amp;P$1,'For stats end Y DB'!$A:$G,5,0))</f>
        <v>0</v>
      </c>
      <c r="Q54">
        <f>IF(ISNA(VLOOKUP($A54&amp;Q$1,'For stats end Y DB'!$A:$G,5,0)),0,VLOOKUP($A54&amp;Q$1,'For stats end Y DB'!$A:$G,5,0))</f>
        <v>0</v>
      </c>
      <c r="R54">
        <f>IF(ISNA(VLOOKUP($A54&amp;R$1,'For stats end Y DB'!$A:$G,5,0)),0,VLOOKUP($A54&amp;R$1,'For stats end Y DB'!$A:$G,5,0))</f>
        <v>0</v>
      </c>
      <c r="S54">
        <f>IF(ISNA(VLOOKUP($A54&amp;S$1,'For stats end Y DB'!$A:$G,5,0)),0,VLOOKUP($A54&amp;S$1,'For stats end Y DB'!$A:$G,5,0))</f>
        <v>0</v>
      </c>
      <c r="T54">
        <f>IF(ISNA(VLOOKUP($A54&amp;T$1,'For stats end Y DB'!$A:$G,5,0)),0,VLOOKUP($A54&amp;T$1,'For stats end Y DB'!$A:$G,5,0))</f>
        <v>0</v>
      </c>
      <c r="U54">
        <f>IF(ISNA(VLOOKUP($A54&amp;U$1,'For stats end Y DB'!$A:$G,5,0)),0,VLOOKUP($A54&amp;U$1,'For stats end Y DB'!$A:$G,5,0))</f>
        <v>0</v>
      </c>
      <c r="V54">
        <f>IF(ISNA(VLOOKUP($A54&amp;V$1,'For stats end Y DB'!$A:$G,5,0)),0,VLOOKUP($A54&amp;V$1,'For stats end Y DB'!$A:$G,5,0))</f>
        <v>1</v>
      </c>
      <c r="W54">
        <f>IF(ISNA(VLOOKUP($A54&amp;W$1,'For stats end Y DB'!$A:$G,5,0)),0,VLOOKUP($A54&amp;W$1,'For stats end Y DB'!$A:$G,5,0))</f>
        <v>2</v>
      </c>
      <c r="X54">
        <f>IF(ISNA(VLOOKUP($A54&amp;X$1,'For stats end Y DB'!$A:$G,5,0)),0,VLOOKUP($A54&amp;X$1,'For stats end Y DB'!$A:$G,5,0))</f>
        <v>0</v>
      </c>
      <c r="Y54">
        <f>IF(ISNA(VLOOKUP($A54&amp;Y$1,'For stats end Y DB'!$A:$G,5,0)),0,VLOOKUP($A54&amp;Y$1,'For stats end Y DB'!$A:$G,5,0))</f>
        <v>3</v>
      </c>
      <c r="Z54">
        <f>IF(ISNA(VLOOKUP($A54&amp;Z$1,'For stats end Y DB'!$A:$G,5,0)),0,VLOOKUP($A54&amp;Z$1,'For stats end Y DB'!$A:$G,5,0))</f>
        <v>0</v>
      </c>
      <c r="AA54">
        <f>IF(ISNA(VLOOKUP($A54&amp;AA$1,'For stats end Y DB'!$A:$G,5,0)),0,VLOOKUP($A54&amp;AA$1,'For stats end Y DB'!$A:$G,5,0))</f>
        <v>0</v>
      </c>
      <c r="AB54">
        <f>IF(ISNA(VLOOKUP($A54&amp;AB$1,'For stats end Y DB'!$A:$G,5,0)),0,VLOOKUP($A54&amp;AB$1,'For stats end Y DB'!$A:$G,5,0))</f>
        <v>2</v>
      </c>
      <c r="AC54">
        <f>IF(ISNA(VLOOKUP($A54&amp;AC$1,'For stats end Y DB'!$A:$G,5,0)),0,VLOOKUP($A54&amp;AC$1,'For stats end Y DB'!$A:$G,5,0))</f>
        <v>2</v>
      </c>
      <c r="AD54">
        <f>IF(ISNA(VLOOKUP($A54&amp;AD$1,'For stats end Y DB'!$A:$G,5,0)),0,VLOOKUP($A54&amp;AD$1,'For stats end Y DB'!$A:$G,5,0))</f>
        <v>0</v>
      </c>
      <c r="AE54">
        <f>IF(ISNA(VLOOKUP($A54&amp;AE$1,'For stats end Y DB'!$A:$G,5,0)),0,VLOOKUP($A54&amp;AE$1,'For stats end Y DB'!$A:$G,5,0))</f>
        <v>3</v>
      </c>
      <c r="AF54">
        <f>IF(ISNA(VLOOKUP($A54&amp;AF$1,'For stats end Y DB'!$A:$G,5,0)),0,VLOOKUP($A54&amp;AF$1,'For stats end Y DB'!$A:$G,5,0))</f>
        <v>0</v>
      </c>
      <c r="AG54">
        <f>IF(ISNA(VLOOKUP($A54&amp;AG$1,'For stats end Y DB'!$A:$G,5,0)),0,VLOOKUP($A54&amp;AG$1,'For stats end Y DB'!$A:$G,5,0))</f>
        <v>1</v>
      </c>
      <c r="AH54">
        <f>IF(ISNA(VLOOKUP($A54&amp;AH$1,'For stats end Y DB'!$A:$G,5,0)),0,VLOOKUP($A54&amp;AH$1,'For stats end Y DB'!$A:$G,5,0))</f>
        <v>0</v>
      </c>
      <c r="AI54">
        <f>IF(ISNA(VLOOKUP($A54&amp;AI$1,'For stats end Y DB'!$A:$G,5,0)),0,VLOOKUP($A54&amp;AI$1,'For stats end Y DB'!$A:$G,5,0))</f>
        <v>0</v>
      </c>
      <c r="AJ54">
        <f>IF(ISNA(VLOOKUP($A54&amp;AJ$1,'For stats end Y DB'!$A:$G,5,0)),0,VLOOKUP($A54&amp;AJ$1,'For stats end Y DB'!$A:$G,5,0))</f>
        <v>0</v>
      </c>
      <c r="AK54">
        <f>IF(ISNA(VLOOKUP($A54&amp;AK$1,'For stats end Y DB'!$A:$G,5,0)),0,VLOOKUP($A54&amp;AK$1,'For stats end Y DB'!$A:$G,5,0))</f>
        <v>0</v>
      </c>
      <c r="AL54">
        <f>IF(ISNA(VLOOKUP($A54&amp;AL$1,'For stats end Y DB'!$A:$G,5,0)),0,VLOOKUP($A54&amp;AL$1,'For stats end Y DB'!$A:$G,5,0))</f>
        <v>0</v>
      </c>
      <c r="AM54">
        <f>IF(ISNA(VLOOKUP($A54&amp;AM$1,'For stats end Y DB'!$A:$G,5,0)),0,VLOOKUP($A54&amp;AM$1,'For stats end Y DB'!$A:$G,5,0))</f>
        <v>0</v>
      </c>
      <c r="AN54">
        <f>IF(ISNA(VLOOKUP($A54&amp;AN$1,'For stats end Y DB'!$A:$G,5,0)),0,VLOOKUP($A54&amp;AN$1,'For stats end Y DB'!$A:$G,5,0))</f>
        <v>0</v>
      </c>
    </row>
    <row r="55" spans="1:40" x14ac:dyDescent="0.2">
      <c r="A55" t="str">
        <f>'For stats end Y class'!A55</f>
        <v>Light</v>
      </c>
      <c r="B55">
        <f>IF(ISNA(VLOOKUP($A55&amp;B$1,'For stats end Y DB'!$A:$G,5,0)),0,VLOOKUP($A55&amp;B$1,'For stats end Y DB'!$A:$G,5,0))</f>
        <v>0</v>
      </c>
      <c r="C55">
        <f>IF(ISNA(VLOOKUP($A55&amp;C$1,'For stats end Y DB'!$A:$G,5,0)),0,VLOOKUP($A55&amp;C$1,'For stats end Y DB'!$A:$G,5,0))</f>
        <v>0</v>
      </c>
      <c r="D55">
        <f>IF(ISNA(VLOOKUP($A55&amp;D$1,'For stats end Y DB'!$A:$G,5,0)),0,VLOOKUP($A55&amp;D$1,'For stats end Y DB'!$A:$G,5,0))</f>
        <v>0</v>
      </c>
      <c r="E55">
        <f>IF(ISNA(VLOOKUP($A55&amp;E$1,'For stats end Y DB'!$A:$G,5,0)),0,VLOOKUP($A55&amp;E$1,'For stats end Y DB'!$A:$G,5,0))</f>
        <v>0</v>
      </c>
      <c r="F55">
        <f>IF(ISNA(VLOOKUP($A55&amp;F$1,'For stats end Y DB'!$A:$G,5,0)),0,VLOOKUP($A55&amp;F$1,'For stats end Y DB'!$A:$G,5,0))</f>
        <v>0</v>
      </c>
      <c r="G55">
        <f>IF(ISNA(VLOOKUP($A55&amp;G$1,'For stats end Y DB'!$A:$G,5,0)),0,VLOOKUP($A55&amp;G$1,'For stats end Y DB'!$A:$G,5,0))</f>
        <v>0</v>
      </c>
      <c r="H55">
        <f>IF(ISNA(VLOOKUP($A55&amp;H$1,'For stats end Y DB'!$A:$G,5,0)),0,VLOOKUP($A55&amp;H$1,'For stats end Y DB'!$A:$G,5,0))</f>
        <v>0</v>
      </c>
      <c r="I55">
        <f>IF(ISNA(VLOOKUP($A55&amp;I$1,'For stats end Y DB'!$A:$G,5,0)),0,VLOOKUP($A55&amp;I$1,'For stats end Y DB'!$A:$G,5,0))</f>
        <v>0</v>
      </c>
      <c r="J55">
        <f>IF(ISNA(VLOOKUP($A55&amp;J$1,'For stats end Y DB'!$A:$G,5,0)),0,VLOOKUP($A55&amp;J$1,'For stats end Y DB'!$A:$G,5,0))</f>
        <v>0</v>
      </c>
      <c r="K55">
        <f>IF(ISNA(VLOOKUP($A55&amp;K$1,'For stats end Y DB'!$A:$G,5,0)),0,VLOOKUP($A55&amp;K$1,'For stats end Y DB'!$A:$G,5,0))</f>
        <v>0</v>
      </c>
      <c r="L55">
        <f>IF(ISNA(VLOOKUP($A55&amp;L$1,'For stats end Y DB'!$A:$G,5,0)),0,VLOOKUP($A55&amp;L$1,'For stats end Y DB'!$A:$G,5,0))</f>
        <v>0</v>
      </c>
      <c r="M55">
        <f>IF(ISNA(VLOOKUP($A55&amp;M$1,'For stats end Y DB'!$A:$G,5,0)),0,VLOOKUP($A55&amp;M$1,'For stats end Y DB'!$A:$G,5,0))</f>
        <v>0</v>
      </c>
      <c r="N55">
        <f>IF(ISNA(VLOOKUP($A55&amp;N$1,'For stats end Y DB'!$A:$G,5,0)),0,VLOOKUP($A55&amp;N$1,'For stats end Y DB'!$A:$G,5,0))</f>
        <v>0</v>
      </c>
      <c r="O55">
        <f>IF(ISNA(VLOOKUP($A55&amp;O$1,'For stats end Y DB'!$A:$G,5,0)),0,VLOOKUP($A55&amp;O$1,'For stats end Y DB'!$A:$G,5,0))</f>
        <v>0</v>
      </c>
      <c r="P55">
        <f>IF(ISNA(VLOOKUP($A55&amp;P$1,'For stats end Y DB'!$A:$G,5,0)),0,VLOOKUP($A55&amp;P$1,'For stats end Y DB'!$A:$G,5,0))</f>
        <v>0</v>
      </c>
      <c r="Q55">
        <f>IF(ISNA(VLOOKUP($A55&amp;Q$1,'For stats end Y DB'!$A:$G,5,0)),0,VLOOKUP($A55&amp;Q$1,'For stats end Y DB'!$A:$G,5,0))</f>
        <v>0</v>
      </c>
      <c r="R55">
        <f>IF(ISNA(VLOOKUP($A55&amp;R$1,'For stats end Y DB'!$A:$G,5,0)),0,VLOOKUP($A55&amp;R$1,'For stats end Y DB'!$A:$G,5,0))</f>
        <v>0</v>
      </c>
      <c r="S55">
        <f>IF(ISNA(VLOOKUP($A55&amp;S$1,'For stats end Y DB'!$A:$G,5,0)),0,VLOOKUP($A55&amp;S$1,'For stats end Y DB'!$A:$G,5,0))</f>
        <v>0</v>
      </c>
      <c r="T55">
        <f>IF(ISNA(VLOOKUP($A55&amp;T$1,'For stats end Y DB'!$A:$G,5,0)),0,VLOOKUP($A55&amp;T$1,'For stats end Y DB'!$A:$G,5,0))</f>
        <v>0</v>
      </c>
      <c r="U55">
        <f>IF(ISNA(VLOOKUP($A55&amp;U$1,'For stats end Y DB'!$A:$G,5,0)),0,VLOOKUP($A55&amp;U$1,'For stats end Y DB'!$A:$G,5,0))</f>
        <v>0</v>
      </c>
      <c r="V55">
        <f>IF(ISNA(VLOOKUP($A55&amp;V$1,'For stats end Y DB'!$A:$G,5,0)),0,VLOOKUP($A55&amp;V$1,'For stats end Y DB'!$A:$G,5,0))</f>
        <v>0</v>
      </c>
      <c r="W55">
        <f>IF(ISNA(VLOOKUP($A55&amp;W$1,'For stats end Y DB'!$A:$G,5,0)),0,VLOOKUP($A55&amp;W$1,'For stats end Y DB'!$A:$G,5,0))</f>
        <v>0</v>
      </c>
      <c r="X55">
        <f>IF(ISNA(VLOOKUP($A55&amp;X$1,'For stats end Y DB'!$A:$G,5,0)),0,VLOOKUP($A55&amp;X$1,'For stats end Y DB'!$A:$G,5,0))</f>
        <v>0</v>
      </c>
      <c r="Y55">
        <f>IF(ISNA(VLOOKUP($A55&amp;Y$1,'For stats end Y DB'!$A:$G,5,0)),0,VLOOKUP($A55&amp;Y$1,'For stats end Y DB'!$A:$G,5,0))</f>
        <v>0</v>
      </c>
      <c r="Z55">
        <f>IF(ISNA(VLOOKUP($A55&amp;Z$1,'For stats end Y DB'!$A:$G,5,0)),0,VLOOKUP($A55&amp;Z$1,'For stats end Y DB'!$A:$G,5,0))</f>
        <v>0</v>
      </c>
      <c r="AA55">
        <f>IF(ISNA(VLOOKUP($A55&amp;AA$1,'For stats end Y DB'!$A:$G,5,0)),0,VLOOKUP($A55&amp;AA$1,'For stats end Y DB'!$A:$G,5,0))</f>
        <v>0</v>
      </c>
      <c r="AB55">
        <f>IF(ISNA(VLOOKUP($A55&amp;AB$1,'For stats end Y DB'!$A:$G,5,0)),0,VLOOKUP($A55&amp;AB$1,'For stats end Y DB'!$A:$G,5,0))</f>
        <v>11</v>
      </c>
      <c r="AC55">
        <f>IF(ISNA(VLOOKUP($A55&amp;AC$1,'For stats end Y DB'!$A:$G,5,0)),0,VLOOKUP($A55&amp;AC$1,'For stats end Y DB'!$A:$G,5,0))</f>
        <v>4</v>
      </c>
      <c r="AD55">
        <f>IF(ISNA(VLOOKUP($A55&amp;AD$1,'For stats end Y DB'!$A:$G,5,0)),0,VLOOKUP($A55&amp;AD$1,'For stats end Y DB'!$A:$G,5,0))</f>
        <v>16</v>
      </c>
      <c r="AE55">
        <f>IF(ISNA(VLOOKUP($A55&amp;AE$1,'For stats end Y DB'!$A:$G,5,0)),0,VLOOKUP($A55&amp;AE$1,'For stats end Y DB'!$A:$G,5,0))</f>
        <v>13</v>
      </c>
      <c r="AF55">
        <f>IF(ISNA(VLOOKUP($A55&amp;AF$1,'For stats end Y DB'!$A:$G,5,0)),0,VLOOKUP($A55&amp;AF$1,'For stats end Y DB'!$A:$G,5,0))</f>
        <v>16</v>
      </c>
      <c r="AG55">
        <f>IF(ISNA(VLOOKUP($A55&amp;AG$1,'For stats end Y DB'!$A:$G,5,0)),0,VLOOKUP($A55&amp;AG$1,'For stats end Y DB'!$A:$G,5,0))</f>
        <v>16</v>
      </c>
      <c r="AH55">
        <f>IF(ISNA(VLOOKUP($A55&amp;AH$1,'For stats end Y DB'!$A:$G,5,0)),0,VLOOKUP($A55&amp;AH$1,'For stats end Y DB'!$A:$G,5,0))</f>
        <v>8</v>
      </c>
      <c r="AI55">
        <f>IF(ISNA(VLOOKUP($A55&amp;AI$1,'For stats end Y DB'!$A:$G,5,0)),0,VLOOKUP($A55&amp;AI$1,'For stats end Y DB'!$A:$G,5,0))</f>
        <v>0</v>
      </c>
      <c r="AJ55">
        <f>IF(ISNA(VLOOKUP($A55&amp;AJ$1,'For stats end Y DB'!$A:$G,5,0)),0,VLOOKUP($A55&amp;AJ$1,'For stats end Y DB'!$A:$G,5,0))</f>
        <v>0</v>
      </c>
      <c r="AK55">
        <f>IF(ISNA(VLOOKUP($A55&amp;AK$1,'For stats end Y DB'!$A:$G,5,0)),0,VLOOKUP($A55&amp;AK$1,'For stats end Y DB'!$A:$G,5,0))</f>
        <v>0</v>
      </c>
      <c r="AL55">
        <f>IF(ISNA(VLOOKUP($A55&amp;AL$1,'For stats end Y DB'!$A:$G,5,0)),0,VLOOKUP($A55&amp;AL$1,'For stats end Y DB'!$A:$G,5,0))</f>
        <v>0</v>
      </c>
      <c r="AM55">
        <f>IF(ISNA(VLOOKUP($A55&amp;AM$1,'For stats end Y DB'!$A:$G,5,0)),0,VLOOKUP($A55&amp;AM$1,'For stats end Y DB'!$A:$G,5,0))</f>
        <v>0</v>
      </c>
      <c r="AN55">
        <f>IF(ISNA(VLOOKUP($A55&amp;AN$1,'For stats end Y DB'!$A:$G,5,0)),0,VLOOKUP($A55&amp;AN$1,'For stats end Y DB'!$A:$G,5,0))</f>
        <v>0</v>
      </c>
    </row>
    <row r="56" spans="1:40" x14ac:dyDescent="0.2">
      <c r="A56" t="str">
        <f>'For stats end Y class'!A56</f>
        <v>Lizzie</v>
      </c>
      <c r="B56">
        <f>IF(ISNA(VLOOKUP($A56&amp;B$1,'For stats end Y DB'!$A:$G,5,0)),0,VLOOKUP($A56&amp;B$1,'For stats end Y DB'!$A:$G,5,0))</f>
        <v>0</v>
      </c>
      <c r="C56">
        <f>IF(ISNA(VLOOKUP($A56&amp;C$1,'For stats end Y DB'!$A:$G,5,0)),0,VLOOKUP($A56&amp;C$1,'For stats end Y DB'!$A:$G,5,0))</f>
        <v>0</v>
      </c>
      <c r="D56">
        <f>IF(ISNA(VLOOKUP($A56&amp;D$1,'For stats end Y DB'!$A:$G,5,0)),0,VLOOKUP($A56&amp;D$1,'For stats end Y DB'!$A:$G,5,0))</f>
        <v>3</v>
      </c>
      <c r="E56">
        <f>IF(ISNA(VLOOKUP($A56&amp;E$1,'For stats end Y DB'!$A:$G,5,0)),0,VLOOKUP($A56&amp;E$1,'For stats end Y DB'!$A:$G,5,0))</f>
        <v>0</v>
      </c>
      <c r="F56">
        <f>IF(ISNA(VLOOKUP($A56&amp;F$1,'For stats end Y DB'!$A:$G,5,0)),0,VLOOKUP($A56&amp;F$1,'For stats end Y DB'!$A:$G,5,0))</f>
        <v>3</v>
      </c>
      <c r="G56">
        <f>IF(ISNA(VLOOKUP($A56&amp;G$1,'For stats end Y DB'!$A:$G,5,0)),0,VLOOKUP($A56&amp;G$1,'For stats end Y DB'!$A:$G,5,0))</f>
        <v>1</v>
      </c>
      <c r="H56">
        <f>IF(ISNA(VLOOKUP($A56&amp;H$1,'For stats end Y DB'!$A:$G,5,0)),0,VLOOKUP($A56&amp;H$1,'For stats end Y DB'!$A:$G,5,0))</f>
        <v>0</v>
      </c>
      <c r="I56">
        <f>IF(ISNA(VLOOKUP($A56&amp;I$1,'For stats end Y DB'!$A:$G,5,0)),0,VLOOKUP($A56&amp;I$1,'For stats end Y DB'!$A:$G,5,0))</f>
        <v>0</v>
      </c>
      <c r="J56">
        <f>IF(ISNA(VLOOKUP($A56&amp;J$1,'For stats end Y DB'!$A:$G,5,0)),0,VLOOKUP($A56&amp;J$1,'For stats end Y DB'!$A:$G,5,0))</f>
        <v>0</v>
      </c>
      <c r="K56">
        <f>IF(ISNA(VLOOKUP($A56&amp;K$1,'For stats end Y DB'!$A:$G,5,0)),0,VLOOKUP($A56&amp;K$1,'For stats end Y DB'!$A:$G,5,0))</f>
        <v>0</v>
      </c>
      <c r="L56">
        <f>IF(ISNA(VLOOKUP($A56&amp;L$1,'For stats end Y DB'!$A:$G,5,0)),0,VLOOKUP($A56&amp;L$1,'For stats end Y DB'!$A:$G,5,0))</f>
        <v>0</v>
      </c>
      <c r="M56">
        <f>IF(ISNA(VLOOKUP($A56&amp;M$1,'For stats end Y DB'!$A:$G,5,0)),0,VLOOKUP($A56&amp;M$1,'For stats end Y DB'!$A:$G,5,0))</f>
        <v>0</v>
      </c>
      <c r="N56">
        <f>IF(ISNA(VLOOKUP($A56&amp;N$1,'For stats end Y DB'!$A:$G,5,0)),0,VLOOKUP($A56&amp;N$1,'For stats end Y DB'!$A:$G,5,0))</f>
        <v>3</v>
      </c>
      <c r="O56">
        <f>IF(ISNA(VLOOKUP($A56&amp;O$1,'For stats end Y DB'!$A:$G,5,0)),0,VLOOKUP($A56&amp;O$1,'For stats end Y DB'!$A:$G,5,0))</f>
        <v>0</v>
      </c>
      <c r="P56">
        <f>IF(ISNA(VLOOKUP($A56&amp;P$1,'For stats end Y DB'!$A:$G,5,0)),0,VLOOKUP($A56&amp;P$1,'For stats end Y DB'!$A:$G,5,0))</f>
        <v>0</v>
      </c>
      <c r="Q56">
        <f>IF(ISNA(VLOOKUP($A56&amp;Q$1,'For stats end Y DB'!$A:$G,5,0)),0,VLOOKUP($A56&amp;Q$1,'For stats end Y DB'!$A:$G,5,0))</f>
        <v>0</v>
      </c>
      <c r="R56">
        <f>IF(ISNA(VLOOKUP($A56&amp;R$1,'For stats end Y DB'!$A:$G,5,0)),0,VLOOKUP($A56&amp;R$1,'For stats end Y DB'!$A:$G,5,0))</f>
        <v>0</v>
      </c>
      <c r="S56">
        <f>IF(ISNA(VLOOKUP($A56&amp;S$1,'For stats end Y DB'!$A:$G,5,0)),0,VLOOKUP($A56&amp;S$1,'For stats end Y DB'!$A:$G,5,0))</f>
        <v>0</v>
      </c>
      <c r="T56">
        <f>IF(ISNA(VLOOKUP($A56&amp;T$1,'For stats end Y DB'!$A:$G,5,0)),0,VLOOKUP($A56&amp;T$1,'For stats end Y DB'!$A:$G,5,0))</f>
        <v>0</v>
      </c>
      <c r="U56">
        <f>IF(ISNA(VLOOKUP($A56&amp;U$1,'For stats end Y DB'!$A:$G,5,0)),0,VLOOKUP($A56&amp;U$1,'For stats end Y DB'!$A:$G,5,0))</f>
        <v>0</v>
      </c>
      <c r="V56">
        <f>IF(ISNA(VLOOKUP($A56&amp;V$1,'For stats end Y DB'!$A:$G,5,0)),0,VLOOKUP($A56&amp;V$1,'For stats end Y DB'!$A:$G,5,0))</f>
        <v>0</v>
      </c>
      <c r="W56">
        <f>IF(ISNA(VLOOKUP($A56&amp;W$1,'For stats end Y DB'!$A:$G,5,0)),0,VLOOKUP($A56&amp;W$1,'For stats end Y DB'!$A:$G,5,0))</f>
        <v>0</v>
      </c>
      <c r="X56">
        <f>IF(ISNA(VLOOKUP($A56&amp;X$1,'For stats end Y DB'!$A:$G,5,0)),0,VLOOKUP($A56&amp;X$1,'For stats end Y DB'!$A:$G,5,0))</f>
        <v>0</v>
      </c>
      <c r="Y56">
        <f>IF(ISNA(VLOOKUP($A56&amp;Y$1,'For stats end Y DB'!$A:$G,5,0)),0,VLOOKUP($A56&amp;Y$1,'For stats end Y DB'!$A:$G,5,0))</f>
        <v>3</v>
      </c>
      <c r="Z56">
        <f>IF(ISNA(VLOOKUP($A56&amp;Z$1,'For stats end Y DB'!$A:$G,5,0)),0,VLOOKUP($A56&amp;Z$1,'For stats end Y DB'!$A:$G,5,0))</f>
        <v>3</v>
      </c>
      <c r="AA56">
        <f>IF(ISNA(VLOOKUP($A56&amp;AA$1,'For stats end Y DB'!$A:$G,5,0)),0,VLOOKUP($A56&amp;AA$1,'For stats end Y DB'!$A:$G,5,0))</f>
        <v>0</v>
      </c>
      <c r="AB56">
        <f>IF(ISNA(VLOOKUP($A56&amp;AB$1,'For stats end Y DB'!$A:$G,5,0)),0,VLOOKUP($A56&amp;AB$1,'For stats end Y DB'!$A:$G,5,0))</f>
        <v>0</v>
      </c>
      <c r="AC56">
        <f>IF(ISNA(VLOOKUP($A56&amp;AC$1,'For stats end Y DB'!$A:$G,5,0)),0,VLOOKUP($A56&amp;AC$1,'For stats end Y DB'!$A:$G,5,0))</f>
        <v>0</v>
      </c>
      <c r="AD56">
        <f>IF(ISNA(VLOOKUP($A56&amp;AD$1,'For stats end Y DB'!$A:$G,5,0)),0,VLOOKUP($A56&amp;AD$1,'For stats end Y DB'!$A:$G,5,0))</f>
        <v>0</v>
      </c>
      <c r="AE56">
        <f>IF(ISNA(VLOOKUP($A56&amp;AE$1,'For stats end Y DB'!$A:$G,5,0)),0,VLOOKUP($A56&amp;AE$1,'For stats end Y DB'!$A:$G,5,0))</f>
        <v>0</v>
      </c>
      <c r="AF56">
        <f>IF(ISNA(VLOOKUP($A56&amp;AF$1,'For stats end Y DB'!$A:$G,5,0)),0,VLOOKUP($A56&amp;AF$1,'For stats end Y DB'!$A:$G,5,0))</f>
        <v>0</v>
      </c>
      <c r="AG56">
        <f>IF(ISNA(VLOOKUP($A56&amp;AG$1,'For stats end Y DB'!$A:$G,5,0)),0,VLOOKUP($A56&amp;AG$1,'For stats end Y DB'!$A:$G,5,0))</f>
        <v>0</v>
      </c>
      <c r="AH56">
        <f>IF(ISNA(VLOOKUP($A56&amp;AH$1,'For stats end Y DB'!$A:$G,5,0)),0,VLOOKUP($A56&amp;AH$1,'For stats end Y DB'!$A:$G,5,0))</f>
        <v>0</v>
      </c>
      <c r="AI56">
        <f>IF(ISNA(VLOOKUP($A56&amp;AI$1,'For stats end Y DB'!$A:$G,5,0)),0,VLOOKUP($A56&amp;AI$1,'For stats end Y DB'!$A:$G,5,0))</f>
        <v>0</v>
      </c>
      <c r="AJ56">
        <f>IF(ISNA(VLOOKUP($A56&amp;AJ$1,'For stats end Y DB'!$A:$G,5,0)),0,VLOOKUP($A56&amp;AJ$1,'For stats end Y DB'!$A:$G,5,0))</f>
        <v>0</v>
      </c>
      <c r="AK56">
        <f>IF(ISNA(VLOOKUP($A56&amp;AK$1,'For stats end Y DB'!$A:$G,5,0)),0,VLOOKUP($A56&amp;AK$1,'For stats end Y DB'!$A:$G,5,0))</f>
        <v>0</v>
      </c>
      <c r="AL56">
        <f>IF(ISNA(VLOOKUP($A56&amp;AL$1,'For stats end Y DB'!$A:$G,5,0)),0,VLOOKUP($A56&amp;AL$1,'For stats end Y DB'!$A:$G,5,0))</f>
        <v>0</v>
      </c>
      <c r="AM56">
        <f>IF(ISNA(VLOOKUP($A56&amp;AM$1,'For stats end Y DB'!$A:$G,5,0)),0,VLOOKUP($A56&amp;AM$1,'For stats end Y DB'!$A:$G,5,0))</f>
        <v>0</v>
      </c>
      <c r="AN56">
        <f>IF(ISNA(VLOOKUP($A56&amp;AN$1,'For stats end Y DB'!$A:$G,5,0)),0,VLOOKUP($A56&amp;AN$1,'For stats end Y DB'!$A:$G,5,0))</f>
        <v>0</v>
      </c>
    </row>
    <row r="57" spans="1:40" x14ac:dyDescent="0.2">
      <c r="A57" t="str">
        <f>'For stats end Y class'!A57</f>
        <v>Losogre</v>
      </c>
      <c r="B57">
        <f>IF(ISNA(VLOOKUP($A57&amp;B$1,'For stats end Y DB'!$A:$G,5,0)),0,VLOOKUP($A57&amp;B$1,'For stats end Y DB'!$A:$G,5,0))</f>
        <v>2</v>
      </c>
      <c r="C57">
        <f>IF(ISNA(VLOOKUP($A57&amp;C$1,'For stats end Y DB'!$A:$G,5,0)),0,VLOOKUP($A57&amp;C$1,'For stats end Y DB'!$A:$G,5,0))</f>
        <v>13</v>
      </c>
      <c r="D57">
        <f>IF(ISNA(VLOOKUP($A57&amp;D$1,'For stats end Y DB'!$A:$G,5,0)),0,VLOOKUP($A57&amp;D$1,'For stats end Y DB'!$A:$G,5,0))</f>
        <v>16</v>
      </c>
      <c r="E57">
        <f>IF(ISNA(VLOOKUP($A57&amp;E$1,'For stats end Y DB'!$A:$G,5,0)),0,VLOOKUP($A57&amp;E$1,'For stats end Y DB'!$A:$G,5,0))</f>
        <v>2</v>
      </c>
      <c r="F57">
        <f>IF(ISNA(VLOOKUP($A57&amp;F$1,'For stats end Y DB'!$A:$G,5,0)),0,VLOOKUP($A57&amp;F$1,'For stats end Y DB'!$A:$G,5,0))</f>
        <v>8</v>
      </c>
      <c r="G57">
        <f>IF(ISNA(VLOOKUP($A57&amp;G$1,'For stats end Y DB'!$A:$G,5,0)),0,VLOOKUP($A57&amp;G$1,'For stats end Y DB'!$A:$G,5,0))</f>
        <v>1</v>
      </c>
      <c r="H57">
        <f>IF(ISNA(VLOOKUP($A57&amp;H$1,'For stats end Y DB'!$A:$G,5,0)),0,VLOOKUP($A57&amp;H$1,'For stats end Y DB'!$A:$G,5,0))</f>
        <v>16</v>
      </c>
      <c r="I57">
        <f>IF(ISNA(VLOOKUP($A57&amp;I$1,'For stats end Y DB'!$A:$G,5,0)),0,VLOOKUP($A57&amp;I$1,'For stats end Y DB'!$A:$G,5,0))</f>
        <v>5</v>
      </c>
      <c r="J57">
        <f>IF(ISNA(VLOOKUP($A57&amp;J$1,'For stats end Y DB'!$A:$G,5,0)),0,VLOOKUP($A57&amp;J$1,'For stats end Y DB'!$A:$G,5,0))</f>
        <v>16</v>
      </c>
      <c r="K57">
        <f>IF(ISNA(VLOOKUP($A57&amp;K$1,'For stats end Y DB'!$A:$G,5,0)),0,VLOOKUP($A57&amp;K$1,'For stats end Y DB'!$A:$G,5,0))</f>
        <v>2</v>
      </c>
      <c r="L57">
        <f>IF(ISNA(VLOOKUP($A57&amp;L$1,'For stats end Y DB'!$A:$G,5,0)),0,VLOOKUP($A57&amp;L$1,'For stats end Y DB'!$A:$G,5,0))</f>
        <v>1</v>
      </c>
      <c r="M57">
        <f>IF(ISNA(VLOOKUP($A57&amp;M$1,'For stats end Y DB'!$A:$G,5,0)),0,VLOOKUP($A57&amp;M$1,'For stats end Y DB'!$A:$G,5,0))</f>
        <v>4</v>
      </c>
      <c r="N57">
        <f>IF(ISNA(VLOOKUP($A57&amp;N$1,'For stats end Y DB'!$A:$G,5,0)),0,VLOOKUP($A57&amp;N$1,'For stats end Y DB'!$A:$G,5,0))</f>
        <v>1</v>
      </c>
      <c r="O57">
        <f>IF(ISNA(VLOOKUP($A57&amp;O$1,'For stats end Y DB'!$A:$G,5,0)),0,VLOOKUP($A57&amp;O$1,'For stats end Y DB'!$A:$G,5,0))</f>
        <v>1</v>
      </c>
      <c r="P57">
        <f>IF(ISNA(VLOOKUP($A57&amp;P$1,'For stats end Y DB'!$A:$G,5,0)),0,VLOOKUP($A57&amp;P$1,'For stats end Y DB'!$A:$G,5,0))</f>
        <v>1</v>
      </c>
      <c r="Q57">
        <f>IF(ISNA(VLOOKUP($A57&amp;Q$1,'For stats end Y DB'!$A:$G,5,0)),0,VLOOKUP($A57&amp;Q$1,'For stats end Y DB'!$A:$G,5,0))</f>
        <v>5</v>
      </c>
      <c r="R57">
        <f>IF(ISNA(VLOOKUP($A57&amp;R$1,'For stats end Y DB'!$A:$G,5,0)),0,VLOOKUP($A57&amp;R$1,'For stats end Y DB'!$A:$G,5,0))</f>
        <v>3</v>
      </c>
      <c r="S57">
        <f>IF(ISNA(VLOOKUP($A57&amp;S$1,'For stats end Y DB'!$A:$G,5,0)),0,VLOOKUP($A57&amp;S$1,'For stats end Y DB'!$A:$G,5,0))</f>
        <v>1</v>
      </c>
      <c r="T57">
        <f>IF(ISNA(VLOOKUP($A57&amp;T$1,'For stats end Y DB'!$A:$G,5,0)),0,VLOOKUP($A57&amp;T$1,'For stats end Y DB'!$A:$G,5,0))</f>
        <v>1</v>
      </c>
      <c r="U57">
        <f>IF(ISNA(VLOOKUP($A57&amp;U$1,'For stats end Y DB'!$A:$G,5,0)),0,VLOOKUP($A57&amp;U$1,'For stats end Y DB'!$A:$G,5,0))</f>
        <v>2</v>
      </c>
      <c r="V57">
        <f>IF(ISNA(VLOOKUP($A57&amp;V$1,'For stats end Y DB'!$A:$G,5,0)),0,VLOOKUP($A57&amp;V$1,'For stats end Y DB'!$A:$G,5,0))</f>
        <v>1</v>
      </c>
      <c r="W57">
        <f>IF(ISNA(VLOOKUP($A57&amp;W$1,'For stats end Y DB'!$A:$G,5,0)),0,VLOOKUP($A57&amp;W$1,'For stats end Y DB'!$A:$G,5,0))</f>
        <v>2</v>
      </c>
      <c r="X57">
        <f>IF(ISNA(VLOOKUP($A57&amp;X$1,'For stats end Y DB'!$A:$G,5,0)),0,VLOOKUP($A57&amp;X$1,'For stats end Y DB'!$A:$G,5,0))</f>
        <v>1</v>
      </c>
      <c r="Y57">
        <f>IF(ISNA(VLOOKUP($A57&amp;Y$1,'For stats end Y DB'!$A:$G,5,0)),0,VLOOKUP($A57&amp;Y$1,'For stats end Y DB'!$A:$G,5,0))</f>
        <v>1</v>
      </c>
      <c r="Z57">
        <f>IF(ISNA(VLOOKUP($A57&amp;Z$1,'For stats end Y DB'!$A:$G,5,0)),0,VLOOKUP($A57&amp;Z$1,'For stats end Y DB'!$A:$G,5,0))</f>
        <v>2</v>
      </c>
      <c r="AA57">
        <f>IF(ISNA(VLOOKUP($A57&amp;AA$1,'For stats end Y DB'!$A:$G,5,0)),0,VLOOKUP($A57&amp;AA$1,'For stats end Y DB'!$A:$G,5,0))</f>
        <v>4</v>
      </c>
      <c r="AB57">
        <f>IF(ISNA(VLOOKUP($A57&amp;AB$1,'For stats end Y DB'!$A:$G,5,0)),0,VLOOKUP($A57&amp;AB$1,'For stats end Y DB'!$A:$G,5,0))</f>
        <v>4</v>
      </c>
      <c r="AC57">
        <f>IF(ISNA(VLOOKUP($A57&amp;AC$1,'For stats end Y DB'!$A:$G,5,0)),0,VLOOKUP($A57&amp;AC$1,'For stats end Y DB'!$A:$G,5,0))</f>
        <v>0</v>
      </c>
      <c r="AD57">
        <f>IF(ISNA(VLOOKUP($A57&amp;AD$1,'For stats end Y DB'!$A:$G,5,0)),0,VLOOKUP($A57&amp;AD$1,'For stats end Y DB'!$A:$G,5,0))</f>
        <v>4</v>
      </c>
      <c r="AE57">
        <f>IF(ISNA(VLOOKUP($A57&amp;AE$1,'For stats end Y DB'!$A:$G,5,0)),0,VLOOKUP($A57&amp;AE$1,'For stats end Y DB'!$A:$G,5,0))</f>
        <v>2</v>
      </c>
      <c r="AF57">
        <f>IF(ISNA(VLOOKUP($A57&amp;AF$1,'For stats end Y DB'!$A:$G,5,0)),0,VLOOKUP($A57&amp;AF$1,'For stats end Y DB'!$A:$G,5,0))</f>
        <v>5</v>
      </c>
      <c r="AG57">
        <f>IF(ISNA(VLOOKUP($A57&amp;AG$1,'For stats end Y DB'!$A:$G,5,0)),0,VLOOKUP($A57&amp;AG$1,'For stats end Y DB'!$A:$G,5,0))</f>
        <v>4</v>
      </c>
      <c r="AH57">
        <f>IF(ISNA(VLOOKUP($A57&amp;AH$1,'For stats end Y DB'!$A:$G,5,0)),0,VLOOKUP($A57&amp;AH$1,'For stats end Y DB'!$A:$G,5,0))</f>
        <v>16</v>
      </c>
      <c r="AI57">
        <f>IF(ISNA(VLOOKUP($A57&amp;AI$1,'For stats end Y DB'!$A:$G,5,0)),0,VLOOKUP($A57&amp;AI$1,'For stats end Y DB'!$A:$G,5,0))</f>
        <v>0</v>
      </c>
      <c r="AJ57">
        <f>IF(ISNA(VLOOKUP($A57&amp;AJ$1,'For stats end Y DB'!$A:$G,5,0)),0,VLOOKUP($A57&amp;AJ$1,'For stats end Y DB'!$A:$G,5,0))</f>
        <v>0</v>
      </c>
      <c r="AK57">
        <f>IF(ISNA(VLOOKUP($A57&amp;AK$1,'For stats end Y DB'!$A:$G,5,0)),0,VLOOKUP($A57&amp;AK$1,'For stats end Y DB'!$A:$G,5,0))</f>
        <v>0</v>
      </c>
      <c r="AL57">
        <f>IF(ISNA(VLOOKUP($A57&amp;AL$1,'For stats end Y DB'!$A:$G,5,0)),0,VLOOKUP($A57&amp;AL$1,'For stats end Y DB'!$A:$G,5,0))</f>
        <v>0</v>
      </c>
      <c r="AM57">
        <f>IF(ISNA(VLOOKUP($A57&amp;AM$1,'For stats end Y DB'!$A:$G,5,0)),0,VLOOKUP($A57&amp;AM$1,'For stats end Y DB'!$A:$G,5,0))</f>
        <v>0</v>
      </c>
      <c r="AN57">
        <f>IF(ISNA(VLOOKUP($A57&amp;AN$1,'For stats end Y DB'!$A:$G,5,0)),0,VLOOKUP($A57&amp;AN$1,'For stats end Y DB'!$A:$G,5,0))</f>
        <v>0</v>
      </c>
    </row>
    <row r="58" spans="1:40" x14ac:dyDescent="0.2">
      <c r="A58" t="str">
        <f>'For stats end Y class'!A58</f>
        <v>Madridal</v>
      </c>
      <c r="B58">
        <f>IF(ISNA(VLOOKUP($A58&amp;B$1,'For stats end Y DB'!$A:$G,5,0)),0,VLOOKUP($A58&amp;B$1,'For stats end Y DB'!$A:$G,5,0))</f>
        <v>0</v>
      </c>
      <c r="C58">
        <f>IF(ISNA(VLOOKUP($A58&amp;C$1,'For stats end Y DB'!$A:$G,5,0)),0,VLOOKUP($A58&amp;C$1,'For stats end Y DB'!$A:$G,5,0))</f>
        <v>0</v>
      </c>
      <c r="D58">
        <f>IF(ISNA(VLOOKUP($A58&amp;D$1,'For stats end Y DB'!$A:$G,5,0)),0,VLOOKUP($A58&amp;D$1,'For stats end Y DB'!$A:$G,5,0))</f>
        <v>0</v>
      </c>
      <c r="E58">
        <f>IF(ISNA(VLOOKUP($A58&amp;E$1,'For stats end Y DB'!$A:$G,5,0)),0,VLOOKUP($A58&amp;E$1,'For stats end Y DB'!$A:$G,5,0))</f>
        <v>0</v>
      </c>
      <c r="F58">
        <f>IF(ISNA(VLOOKUP($A58&amp;F$1,'For stats end Y DB'!$A:$G,5,0)),0,VLOOKUP($A58&amp;F$1,'For stats end Y DB'!$A:$G,5,0))</f>
        <v>0</v>
      </c>
      <c r="G58">
        <f>IF(ISNA(VLOOKUP($A58&amp;G$1,'For stats end Y DB'!$A:$G,5,0)),0,VLOOKUP($A58&amp;G$1,'For stats end Y DB'!$A:$G,5,0))</f>
        <v>0</v>
      </c>
      <c r="H58">
        <f>IF(ISNA(VLOOKUP($A58&amp;H$1,'For stats end Y DB'!$A:$G,5,0)),0,VLOOKUP($A58&amp;H$1,'For stats end Y DB'!$A:$G,5,0))</f>
        <v>0</v>
      </c>
      <c r="I58">
        <f>IF(ISNA(VLOOKUP($A58&amp;I$1,'For stats end Y DB'!$A:$G,5,0)),0,VLOOKUP($A58&amp;I$1,'For stats end Y DB'!$A:$G,5,0))</f>
        <v>0</v>
      </c>
      <c r="J58">
        <f>IF(ISNA(VLOOKUP($A58&amp;J$1,'For stats end Y DB'!$A:$G,5,0)),0,VLOOKUP($A58&amp;J$1,'For stats end Y DB'!$A:$G,5,0))</f>
        <v>0</v>
      </c>
      <c r="K58">
        <f>IF(ISNA(VLOOKUP($A58&amp;K$1,'For stats end Y DB'!$A:$G,5,0)),0,VLOOKUP($A58&amp;K$1,'For stats end Y DB'!$A:$G,5,0))</f>
        <v>0</v>
      </c>
      <c r="L58">
        <f>IF(ISNA(VLOOKUP($A58&amp;L$1,'For stats end Y DB'!$A:$G,5,0)),0,VLOOKUP($A58&amp;L$1,'For stats end Y DB'!$A:$G,5,0))</f>
        <v>0</v>
      </c>
      <c r="M58">
        <f>IF(ISNA(VLOOKUP($A58&amp;M$1,'For stats end Y DB'!$A:$G,5,0)),0,VLOOKUP($A58&amp;M$1,'For stats end Y DB'!$A:$G,5,0))</f>
        <v>0</v>
      </c>
      <c r="N58">
        <f>IF(ISNA(VLOOKUP($A58&amp;N$1,'For stats end Y DB'!$A:$G,5,0)),0,VLOOKUP($A58&amp;N$1,'For stats end Y DB'!$A:$G,5,0))</f>
        <v>0</v>
      </c>
      <c r="O58">
        <f>IF(ISNA(VLOOKUP($A58&amp;O$1,'For stats end Y DB'!$A:$G,5,0)),0,VLOOKUP($A58&amp;O$1,'For stats end Y DB'!$A:$G,5,0))</f>
        <v>0</v>
      </c>
      <c r="P58">
        <f>IF(ISNA(VLOOKUP($A58&amp;P$1,'For stats end Y DB'!$A:$G,5,0)),0,VLOOKUP($A58&amp;P$1,'For stats end Y DB'!$A:$G,5,0))</f>
        <v>0</v>
      </c>
      <c r="Q58">
        <f>IF(ISNA(VLOOKUP($A58&amp;Q$1,'For stats end Y DB'!$A:$G,5,0)),0,VLOOKUP($A58&amp;Q$1,'For stats end Y DB'!$A:$G,5,0))</f>
        <v>0</v>
      </c>
      <c r="R58">
        <f>IF(ISNA(VLOOKUP($A58&amp;R$1,'For stats end Y DB'!$A:$G,5,0)),0,VLOOKUP($A58&amp;R$1,'For stats end Y DB'!$A:$G,5,0))</f>
        <v>0</v>
      </c>
      <c r="S58">
        <f>IF(ISNA(VLOOKUP($A58&amp;S$1,'For stats end Y DB'!$A:$G,5,0)),0,VLOOKUP($A58&amp;S$1,'For stats end Y DB'!$A:$G,5,0))</f>
        <v>0</v>
      </c>
      <c r="T58">
        <f>IF(ISNA(VLOOKUP($A58&amp;T$1,'For stats end Y DB'!$A:$G,5,0)),0,VLOOKUP($A58&amp;T$1,'For stats end Y DB'!$A:$G,5,0))</f>
        <v>0</v>
      </c>
      <c r="U58">
        <f>IF(ISNA(VLOOKUP($A58&amp;U$1,'For stats end Y DB'!$A:$G,5,0)),0,VLOOKUP($A58&amp;U$1,'For stats end Y DB'!$A:$G,5,0))</f>
        <v>0</v>
      </c>
      <c r="V58">
        <f>IF(ISNA(VLOOKUP($A58&amp;V$1,'For stats end Y DB'!$A:$G,5,0)),0,VLOOKUP($A58&amp;V$1,'For stats end Y DB'!$A:$G,5,0))</f>
        <v>0</v>
      </c>
      <c r="W58">
        <f>IF(ISNA(VLOOKUP($A58&amp;W$1,'For stats end Y DB'!$A:$G,5,0)),0,VLOOKUP($A58&amp;W$1,'For stats end Y DB'!$A:$G,5,0))</f>
        <v>0</v>
      </c>
      <c r="X58">
        <f>IF(ISNA(VLOOKUP($A58&amp;X$1,'For stats end Y DB'!$A:$G,5,0)),0,VLOOKUP($A58&amp;X$1,'For stats end Y DB'!$A:$G,5,0))</f>
        <v>0</v>
      </c>
      <c r="Y58">
        <f>IF(ISNA(VLOOKUP($A58&amp;Y$1,'For stats end Y DB'!$A:$G,5,0)),0,VLOOKUP($A58&amp;Y$1,'For stats end Y DB'!$A:$G,5,0))</f>
        <v>0</v>
      </c>
      <c r="Z58">
        <f>IF(ISNA(VLOOKUP($A58&amp;Z$1,'For stats end Y DB'!$A:$G,5,0)),0,VLOOKUP($A58&amp;Z$1,'For stats end Y DB'!$A:$G,5,0))</f>
        <v>0</v>
      </c>
      <c r="AA58">
        <f>IF(ISNA(VLOOKUP($A58&amp;AA$1,'For stats end Y DB'!$A:$G,5,0)),0,VLOOKUP($A58&amp;AA$1,'For stats end Y DB'!$A:$G,5,0))</f>
        <v>0</v>
      </c>
      <c r="AB58">
        <f>IF(ISNA(VLOOKUP($A58&amp;AB$1,'For stats end Y DB'!$A:$G,5,0)),0,VLOOKUP($A58&amp;AB$1,'For stats end Y DB'!$A:$G,5,0))</f>
        <v>15</v>
      </c>
      <c r="AC58">
        <f>IF(ISNA(VLOOKUP($A58&amp;AC$1,'For stats end Y DB'!$A:$G,5,0)),0,VLOOKUP($A58&amp;AC$1,'For stats end Y DB'!$A:$G,5,0))</f>
        <v>16</v>
      </c>
      <c r="AD58">
        <f>IF(ISNA(VLOOKUP($A58&amp;AD$1,'For stats end Y DB'!$A:$G,5,0)),0,VLOOKUP($A58&amp;AD$1,'For stats end Y DB'!$A:$G,5,0))</f>
        <v>0</v>
      </c>
      <c r="AE58">
        <f>IF(ISNA(VLOOKUP($A58&amp;AE$1,'For stats end Y DB'!$A:$G,5,0)),0,VLOOKUP($A58&amp;AE$1,'For stats end Y DB'!$A:$G,5,0))</f>
        <v>1</v>
      </c>
      <c r="AF58">
        <f>IF(ISNA(VLOOKUP($A58&amp;AF$1,'For stats end Y DB'!$A:$G,5,0)),0,VLOOKUP($A58&amp;AF$1,'For stats end Y DB'!$A:$G,5,0))</f>
        <v>12</v>
      </c>
      <c r="AG58">
        <f>IF(ISNA(VLOOKUP($A58&amp;AG$1,'For stats end Y DB'!$A:$G,5,0)),0,VLOOKUP($A58&amp;AG$1,'For stats end Y DB'!$A:$G,5,0))</f>
        <v>0</v>
      </c>
      <c r="AH58">
        <f>IF(ISNA(VLOOKUP($A58&amp;AH$1,'For stats end Y DB'!$A:$G,5,0)),0,VLOOKUP($A58&amp;AH$1,'For stats end Y DB'!$A:$G,5,0))</f>
        <v>8</v>
      </c>
      <c r="AI58">
        <f>IF(ISNA(VLOOKUP($A58&amp;AI$1,'For stats end Y DB'!$A:$G,5,0)),0,VLOOKUP($A58&amp;AI$1,'For stats end Y DB'!$A:$G,5,0))</f>
        <v>0</v>
      </c>
      <c r="AJ58">
        <f>IF(ISNA(VLOOKUP($A58&amp;AJ$1,'For stats end Y DB'!$A:$G,5,0)),0,VLOOKUP($A58&amp;AJ$1,'For stats end Y DB'!$A:$G,5,0))</f>
        <v>0</v>
      </c>
      <c r="AK58">
        <f>IF(ISNA(VLOOKUP($A58&amp;AK$1,'For stats end Y DB'!$A:$G,5,0)),0,VLOOKUP($A58&amp;AK$1,'For stats end Y DB'!$A:$G,5,0))</f>
        <v>0</v>
      </c>
      <c r="AL58">
        <f>IF(ISNA(VLOOKUP($A58&amp;AL$1,'For stats end Y DB'!$A:$G,5,0)),0,VLOOKUP($A58&amp;AL$1,'For stats end Y DB'!$A:$G,5,0))</f>
        <v>0</v>
      </c>
      <c r="AM58">
        <f>IF(ISNA(VLOOKUP($A58&amp;AM$1,'For stats end Y DB'!$A:$G,5,0)),0,VLOOKUP($A58&amp;AM$1,'For stats end Y DB'!$A:$G,5,0))</f>
        <v>0</v>
      </c>
      <c r="AN58">
        <f>IF(ISNA(VLOOKUP($A58&amp;AN$1,'For stats end Y DB'!$A:$G,5,0)),0,VLOOKUP($A58&amp;AN$1,'For stats end Y DB'!$A:$G,5,0))</f>
        <v>0</v>
      </c>
    </row>
    <row r="59" spans="1:40" x14ac:dyDescent="0.2">
      <c r="A59" t="str">
        <f>'For stats end Y class'!A59</f>
        <v>Magic Mykiss</v>
      </c>
      <c r="B59">
        <f>IF(ISNA(VLOOKUP($A59&amp;B$1,'For stats end Y DB'!$A:$G,5,0)),0,VLOOKUP($A59&amp;B$1,'For stats end Y DB'!$A:$G,5,0))</f>
        <v>5</v>
      </c>
      <c r="C59">
        <f>IF(ISNA(VLOOKUP($A59&amp;C$1,'For stats end Y DB'!$A:$G,5,0)),0,VLOOKUP($A59&amp;C$1,'For stats end Y DB'!$A:$G,5,0))</f>
        <v>0</v>
      </c>
      <c r="D59">
        <f>IF(ISNA(VLOOKUP($A59&amp;D$1,'For stats end Y DB'!$A:$G,5,0)),0,VLOOKUP($A59&amp;D$1,'For stats end Y DB'!$A:$G,5,0))</f>
        <v>8</v>
      </c>
      <c r="E59">
        <f>IF(ISNA(VLOOKUP($A59&amp;E$1,'For stats end Y DB'!$A:$G,5,0)),0,VLOOKUP($A59&amp;E$1,'For stats end Y DB'!$A:$G,5,0))</f>
        <v>0</v>
      </c>
      <c r="F59">
        <f>IF(ISNA(VLOOKUP($A59&amp;F$1,'For stats end Y DB'!$A:$G,5,0)),0,VLOOKUP($A59&amp;F$1,'For stats end Y DB'!$A:$G,5,0))</f>
        <v>12</v>
      </c>
      <c r="G59">
        <f>IF(ISNA(VLOOKUP($A59&amp;G$1,'For stats end Y DB'!$A:$G,5,0)),0,VLOOKUP($A59&amp;G$1,'For stats end Y DB'!$A:$G,5,0))</f>
        <v>0</v>
      </c>
      <c r="H59">
        <f>IF(ISNA(VLOOKUP($A59&amp;H$1,'For stats end Y DB'!$A:$G,5,0)),0,VLOOKUP($A59&amp;H$1,'For stats end Y DB'!$A:$G,5,0))</f>
        <v>0</v>
      </c>
      <c r="I59">
        <f>IF(ISNA(VLOOKUP($A59&amp;I$1,'For stats end Y DB'!$A:$G,5,0)),0,VLOOKUP($A59&amp;I$1,'For stats end Y DB'!$A:$G,5,0))</f>
        <v>13</v>
      </c>
      <c r="J59">
        <f>IF(ISNA(VLOOKUP($A59&amp;J$1,'For stats end Y DB'!$A:$G,5,0)),0,VLOOKUP($A59&amp;J$1,'For stats end Y DB'!$A:$G,5,0))</f>
        <v>0</v>
      </c>
      <c r="K59">
        <f>IF(ISNA(VLOOKUP($A59&amp;K$1,'For stats end Y DB'!$A:$G,5,0)),0,VLOOKUP($A59&amp;K$1,'For stats end Y DB'!$A:$G,5,0))</f>
        <v>0</v>
      </c>
      <c r="L59">
        <f>IF(ISNA(VLOOKUP($A59&amp;L$1,'For stats end Y DB'!$A:$G,5,0)),0,VLOOKUP($A59&amp;L$1,'For stats end Y DB'!$A:$G,5,0))</f>
        <v>0</v>
      </c>
      <c r="M59">
        <f>IF(ISNA(VLOOKUP($A59&amp;M$1,'For stats end Y DB'!$A:$G,5,0)),0,VLOOKUP($A59&amp;M$1,'For stats end Y DB'!$A:$G,5,0))</f>
        <v>0</v>
      </c>
      <c r="N59">
        <f>IF(ISNA(VLOOKUP($A59&amp;N$1,'For stats end Y DB'!$A:$G,5,0)),0,VLOOKUP($A59&amp;N$1,'For stats end Y DB'!$A:$G,5,0))</f>
        <v>0</v>
      </c>
      <c r="O59">
        <f>IF(ISNA(VLOOKUP($A59&amp;O$1,'For stats end Y DB'!$A:$G,5,0)),0,VLOOKUP($A59&amp;O$1,'For stats end Y DB'!$A:$G,5,0))</f>
        <v>0</v>
      </c>
      <c r="P59">
        <f>IF(ISNA(VLOOKUP($A59&amp;P$1,'For stats end Y DB'!$A:$G,5,0)),0,VLOOKUP($A59&amp;P$1,'For stats end Y DB'!$A:$G,5,0))</f>
        <v>0</v>
      </c>
      <c r="Q59">
        <f>IF(ISNA(VLOOKUP($A59&amp;Q$1,'For stats end Y DB'!$A:$G,5,0)),0,VLOOKUP($A59&amp;Q$1,'For stats end Y DB'!$A:$G,5,0))</f>
        <v>5</v>
      </c>
      <c r="R59">
        <f>IF(ISNA(VLOOKUP($A59&amp;R$1,'For stats end Y DB'!$A:$G,5,0)),0,VLOOKUP($A59&amp;R$1,'For stats end Y DB'!$A:$G,5,0))</f>
        <v>0</v>
      </c>
      <c r="S59">
        <f>IF(ISNA(VLOOKUP($A59&amp;S$1,'For stats end Y DB'!$A:$G,5,0)),0,VLOOKUP($A59&amp;S$1,'For stats end Y DB'!$A:$G,5,0))</f>
        <v>0</v>
      </c>
      <c r="T59">
        <f>IF(ISNA(VLOOKUP($A59&amp;T$1,'For stats end Y DB'!$A:$G,5,0)),0,VLOOKUP($A59&amp;T$1,'For stats end Y DB'!$A:$G,5,0))</f>
        <v>0</v>
      </c>
      <c r="U59">
        <f>IF(ISNA(VLOOKUP($A59&amp;U$1,'For stats end Y DB'!$A:$G,5,0)),0,VLOOKUP($A59&amp;U$1,'For stats end Y DB'!$A:$G,5,0))</f>
        <v>0</v>
      </c>
      <c r="V59">
        <f>IF(ISNA(VLOOKUP($A59&amp;V$1,'For stats end Y DB'!$A:$G,5,0)),0,VLOOKUP($A59&amp;V$1,'For stats end Y DB'!$A:$G,5,0))</f>
        <v>1</v>
      </c>
      <c r="W59">
        <f>IF(ISNA(VLOOKUP($A59&amp;W$1,'For stats end Y DB'!$A:$G,5,0)),0,VLOOKUP($A59&amp;W$1,'For stats end Y DB'!$A:$G,5,0))</f>
        <v>0</v>
      </c>
      <c r="X59">
        <f>IF(ISNA(VLOOKUP($A59&amp;X$1,'For stats end Y DB'!$A:$G,5,0)),0,VLOOKUP($A59&amp;X$1,'For stats end Y DB'!$A:$G,5,0))</f>
        <v>0</v>
      </c>
      <c r="Y59">
        <f>IF(ISNA(VLOOKUP($A59&amp;Y$1,'For stats end Y DB'!$A:$G,5,0)),0,VLOOKUP($A59&amp;Y$1,'For stats end Y DB'!$A:$G,5,0))</f>
        <v>0</v>
      </c>
      <c r="Z59">
        <f>IF(ISNA(VLOOKUP($A59&amp;Z$1,'For stats end Y DB'!$A:$G,5,0)),0,VLOOKUP($A59&amp;Z$1,'For stats end Y DB'!$A:$G,5,0))</f>
        <v>1</v>
      </c>
      <c r="AA59">
        <f>IF(ISNA(VLOOKUP($A59&amp;AA$1,'For stats end Y DB'!$A:$G,5,0)),0,VLOOKUP($A59&amp;AA$1,'For stats end Y DB'!$A:$G,5,0))</f>
        <v>0</v>
      </c>
      <c r="AB59">
        <f>IF(ISNA(VLOOKUP($A59&amp;AB$1,'For stats end Y DB'!$A:$G,5,0)),0,VLOOKUP($A59&amp;AB$1,'For stats end Y DB'!$A:$G,5,0))</f>
        <v>0</v>
      </c>
      <c r="AC59">
        <f>IF(ISNA(VLOOKUP($A59&amp;AC$1,'For stats end Y DB'!$A:$G,5,0)),0,VLOOKUP($A59&amp;AC$1,'For stats end Y DB'!$A:$G,5,0))</f>
        <v>9</v>
      </c>
      <c r="AD59">
        <f>IF(ISNA(VLOOKUP($A59&amp;AD$1,'For stats end Y DB'!$A:$G,5,0)),0,VLOOKUP($A59&amp;AD$1,'For stats end Y DB'!$A:$G,5,0))</f>
        <v>0</v>
      </c>
      <c r="AE59">
        <f>IF(ISNA(VLOOKUP($A59&amp;AE$1,'For stats end Y DB'!$A:$G,5,0)),0,VLOOKUP($A59&amp;AE$1,'For stats end Y DB'!$A:$G,5,0))</f>
        <v>0</v>
      </c>
      <c r="AF59">
        <f>IF(ISNA(VLOOKUP($A59&amp;AF$1,'For stats end Y DB'!$A:$G,5,0)),0,VLOOKUP($A59&amp;AF$1,'For stats end Y DB'!$A:$G,5,0))</f>
        <v>4</v>
      </c>
      <c r="AG59">
        <f>IF(ISNA(VLOOKUP($A59&amp;AG$1,'For stats end Y DB'!$A:$G,5,0)),0,VLOOKUP($A59&amp;AG$1,'For stats end Y DB'!$A:$G,5,0))</f>
        <v>16</v>
      </c>
      <c r="AH59">
        <f>IF(ISNA(VLOOKUP($A59&amp;AH$1,'For stats end Y DB'!$A:$G,5,0)),0,VLOOKUP($A59&amp;AH$1,'For stats end Y DB'!$A:$G,5,0))</f>
        <v>0</v>
      </c>
      <c r="AI59">
        <f>IF(ISNA(VLOOKUP($A59&amp;AI$1,'For stats end Y DB'!$A:$G,5,0)),0,VLOOKUP($A59&amp;AI$1,'For stats end Y DB'!$A:$G,5,0))</f>
        <v>0</v>
      </c>
      <c r="AJ59">
        <f>IF(ISNA(VLOOKUP($A59&amp;AJ$1,'For stats end Y DB'!$A:$G,5,0)),0,VLOOKUP($A59&amp;AJ$1,'For stats end Y DB'!$A:$G,5,0))</f>
        <v>0</v>
      </c>
      <c r="AK59">
        <f>IF(ISNA(VLOOKUP($A59&amp;AK$1,'For stats end Y DB'!$A:$G,5,0)),0,VLOOKUP($A59&amp;AK$1,'For stats end Y DB'!$A:$G,5,0))</f>
        <v>0</v>
      </c>
      <c r="AL59">
        <f>IF(ISNA(VLOOKUP($A59&amp;AL$1,'For stats end Y DB'!$A:$G,5,0)),0,VLOOKUP($A59&amp;AL$1,'For stats end Y DB'!$A:$G,5,0))</f>
        <v>0</v>
      </c>
      <c r="AM59">
        <f>IF(ISNA(VLOOKUP($A59&amp;AM$1,'For stats end Y DB'!$A:$G,5,0)),0,VLOOKUP($A59&amp;AM$1,'For stats end Y DB'!$A:$G,5,0))</f>
        <v>0</v>
      </c>
      <c r="AN59">
        <f>IF(ISNA(VLOOKUP($A59&amp;AN$1,'For stats end Y DB'!$A:$G,5,0)),0,VLOOKUP($A59&amp;AN$1,'For stats end Y DB'!$A:$G,5,0))</f>
        <v>0</v>
      </c>
    </row>
    <row r="60" spans="1:40" x14ac:dyDescent="0.2">
      <c r="A60" t="str">
        <f>'For stats end Y class'!A60</f>
        <v>Makoche</v>
      </c>
      <c r="B60">
        <f>IF(ISNA(VLOOKUP($A60&amp;B$1,'For stats end Y DB'!$A:$G,5,0)),0,VLOOKUP($A60&amp;B$1,'For stats end Y DB'!$A:$G,5,0))</f>
        <v>0</v>
      </c>
      <c r="C60">
        <f>IF(ISNA(VLOOKUP($A60&amp;C$1,'For stats end Y DB'!$A:$G,5,0)),0,VLOOKUP($A60&amp;C$1,'For stats end Y DB'!$A:$G,5,0))</f>
        <v>0</v>
      </c>
      <c r="D60">
        <f>IF(ISNA(VLOOKUP($A60&amp;D$1,'For stats end Y DB'!$A:$G,5,0)),0,VLOOKUP($A60&amp;D$1,'For stats end Y DB'!$A:$G,5,0))</f>
        <v>0</v>
      </c>
      <c r="E60">
        <f>IF(ISNA(VLOOKUP($A60&amp;E$1,'For stats end Y DB'!$A:$G,5,0)),0,VLOOKUP($A60&amp;E$1,'For stats end Y DB'!$A:$G,5,0))</f>
        <v>0</v>
      </c>
      <c r="F60">
        <f>IF(ISNA(VLOOKUP($A60&amp;F$1,'For stats end Y DB'!$A:$G,5,0)),0,VLOOKUP($A60&amp;F$1,'For stats end Y DB'!$A:$G,5,0))</f>
        <v>0</v>
      </c>
      <c r="G60">
        <f>IF(ISNA(VLOOKUP($A60&amp;G$1,'For stats end Y DB'!$A:$G,5,0)),0,VLOOKUP($A60&amp;G$1,'For stats end Y DB'!$A:$G,5,0))</f>
        <v>17</v>
      </c>
      <c r="H60">
        <f>IF(ISNA(VLOOKUP($A60&amp;H$1,'For stats end Y DB'!$A:$G,5,0)),0,VLOOKUP($A60&amp;H$1,'For stats end Y DB'!$A:$G,5,0))</f>
        <v>0</v>
      </c>
      <c r="I60">
        <f>IF(ISNA(VLOOKUP($A60&amp;I$1,'For stats end Y DB'!$A:$G,5,0)),0,VLOOKUP($A60&amp;I$1,'For stats end Y DB'!$A:$G,5,0))</f>
        <v>0</v>
      </c>
      <c r="J60">
        <f>IF(ISNA(VLOOKUP($A60&amp;J$1,'For stats end Y DB'!$A:$G,5,0)),0,VLOOKUP($A60&amp;J$1,'For stats end Y DB'!$A:$G,5,0))</f>
        <v>4</v>
      </c>
      <c r="K60">
        <f>IF(ISNA(VLOOKUP($A60&amp;K$1,'For stats end Y DB'!$A:$G,5,0)),0,VLOOKUP($A60&amp;K$1,'For stats end Y DB'!$A:$G,5,0))</f>
        <v>0</v>
      </c>
      <c r="L60">
        <f>IF(ISNA(VLOOKUP($A60&amp;L$1,'For stats end Y DB'!$A:$G,5,0)),0,VLOOKUP($A60&amp;L$1,'For stats end Y DB'!$A:$G,5,0))</f>
        <v>0</v>
      </c>
      <c r="M60">
        <f>IF(ISNA(VLOOKUP($A60&amp;M$1,'For stats end Y DB'!$A:$G,5,0)),0,VLOOKUP($A60&amp;M$1,'For stats end Y DB'!$A:$G,5,0))</f>
        <v>0</v>
      </c>
      <c r="N60">
        <f>IF(ISNA(VLOOKUP($A60&amp;N$1,'For stats end Y DB'!$A:$G,5,0)),0,VLOOKUP($A60&amp;N$1,'For stats end Y DB'!$A:$G,5,0))</f>
        <v>0</v>
      </c>
      <c r="O60">
        <f>IF(ISNA(VLOOKUP($A60&amp;O$1,'For stats end Y DB'!$A:$G,5,0)),0,VLOOKUP($A60&amp;O$1,'For stats end Y DB'!$A:$G,5,0))</f>
        <v>0</v>
      </c>
      <c r="P60">
        <f>IF(ISNA(VLOOKUP($A60&amp;P$1,'For stats end Y DB'!$A:$G,5,0)),0,VLOOKUP($A60&amp;P$1,'For stats end Y DB'!$A:$G,5,0))</f>
        <v>0</v>
      </c>
      <c r="Q60">
        <f>IF(ISNA(VLOOKUP($A60&amp;Q$1,'For stats end Y DB'!$A:$G,5,0)),0,VLOOKUP($A60&amp;Q$1,'For stats end Y DB'!$A:$G,5,0))</f>
        <v>0</v>
      </c>
      <c r="R60">
        <f>IF(ISNA(VLOOKUP($A60&amp;R$1,'For stats end Y DB'!$A:$G,5,0)),0,VLOOKUP($A60&amp;R$1,'For stats end Y DB'!$A:$G,5,0))</f>
        <v>0</v>
      </c>
      <c r="S60">
        <f>IF(ISNA(VLOOKUP($A60&amp;S$1,'For stats end Y DB'!$A:$G,5,0)),0,VLOOKUP($A60&amp;S$1,'For stats end Y DB'!$A:$G,5,0))</f>
        <v>0</v>
      </c>
      <c r="T60">
        <f>IF(ISNA(VLOOKUP($A60&amp;T$1,'For stats end Y DB'!$A:$G,5,0)),0,VLOOKUP($A60&amp;T$1,'For stats end Y DB'!$A:$G,5,0))</f>
        <v>0</v>
      </c>
      <c r="U60">
        <f>IF(ISNA(VLOOKUP($A60&amp;U$1,'For stats end Y DB'!$A:$G,5,0)),0,VLOOKUP($A60&amp;U$1,'For stats end Y DB'!$A:$G,5,0))</f>
        <v>0</v>
      </c>
      <c r="V60">
        <f>IF(ISNA(VLOOKUP($A60&amp;V$1,'For stats end Y DB'!$A:$G,5,0)),0,VLOOKUP($A60&amp;V$1,'For stats end Y DB'!$A:$G,5,0))</f>
        <v>0</v>
      </c>
      <c r="W60">
        <f>IF(ISNA(VLOOKUP($A60&amp;W$1,'For stats end Y DB'!$A:$G,5,0)),0,VLOOKUP($A60&amp;W$1,'For stats end Y DB'!$A:$G,5,0))</f>
        <v>0</v>
      </c>
      <c r="X60">
        <f>IF(ISNA(VLOOKUP($A60&amp;X$1,'For stats end Y DB'!$A:$G,5,0)),0,VLOOKUP($A60&amp;X$1,'For stats end Y DB'!$A:$G,5,0))</f>
        <v>0</v>
      </c>
      <c r="Y60">
        <f>IF(ISNA(VLOOKUP($A60&amp;Y$1,'For stats end Y DB'!$A:$G,5,0)),0,VLOOKUP($A60&amp;Y$1,'For stats end Y DB'!$A:$G,5,0))</f>
        <v>0</v>
      </c>
      <c r="Z60">
        <f>IF(ISNA(VLOOKUP($A60&amp;Z$1,'For stats end Y DB'!$A:$G,5,0)),0,VLOOKUP($A60&amp;Z$1,'For stats end Y DB'!$A:$G,5,0))</f>
        <v>0</v>
      </c>
      <c r="AA60">
        <f>IF(ISNA(VLOOKUP($A60&amp;AA$1,'For stats end Y DB'!$A:$G,5,0)),0,VLOOKUP($A60&amp;AA$1,'For stats end Y DB'!$A:$G,5,0))</f>
        <v>0</v>
      </c>
      <c r="AB60">
        <f>IF(ISNA(VLOOKUP($A60&amp;AB$1,'For stats end Y DB'!$A:$G,5,0)),0,VLOOKUP($A60&amp;AB$1,'For stats end Y DB'!$A:$G,5,0))</f>
        <v>0</v>
      </c>
      <c r="AC60">
        <f>IF(ISNA(VLOOKUP($A60&amp;AC$1,'For stats end Y DB'!$A:$G,5,0)),0,VLOOKUP($A60&amp;AC$1,'For stats end Y DB'!$A:$G,5,0))</f>
        <v>0</v>
      </c>
      <c r="AD60">
        <f>IF(ISNA(VLOOKUP($A60&amp;AD$1,'For stats end Y DB'!$A:$G,5,0)),0,VLOOKUP($A60&amp;AD$1,'For stats end Y DB'!$A:$G,5,0))</f>
        <v>0</v>
      </c>
      <c r="AE60">
        <f>IF(ISNA(VLOOKUP($A60&amp;AE$1,'For stats end Y DB'!$A:$G,5,0)),0,VLOOKUP($A60&amp;AE$1,'For stats end Y DB'!$A:$G,5,0))</f>
        <v>0</v>
      </c>
      <c r="AF60">
        <f>IF(ISNA(VLOOKUP($A60&amp;AF$1,'For stats end Y DB'!$A:$G,5,0)),0,VLOOKUP($A60&amp;AF$1,'For stats end Y DB'!$A:$G,5,0))</f>
        <v>0</v>
      </c>
      <c r="AG60">
        <f>IF(ISNA(VLOOKUP($A60&amp;AG$1,'For stats end Y DB'!$A:$G,5,0)),0,VLOOKUP($A60&amp;AG$1,'For stats end Y DB'!$A:$G,5,0))</f>
        <v>0</v>
      </c>
      <c r="AH60">
        <f>IF(ISNA(VLOOKUP($A60&amp;AH$1,'For stats end Y DB'!$A:$G,5,0)),0,VLOOKUP($A60&amp;AH$1,'For stats end Y DB'!$A:$G,5,0))</f>
        <v>0</v>
      </c>
      <c r="AI60">
        <f>IF(ISNA(VLOOKUP($A60&amp;AI$1,'For stats end Y DB'!$A:$G,5,0)),0,VLOOKUP($A60&amp;AI$1,'For stats end Y DB'!$A:$G,5,0))</f>
        <v>0</v>
      </c>
      <c r="AJ60">
        <f>IF(ISNA(VLOOKUP($A60&amp;AJ$1,'For stats end Y DB'!$A:$G,5,0)),0,VLOOKUP($A60&amp;AJ$1,'For stats end Y DB'!$A:$G,5,0))</f>
        <v>0</v>
      </c>
      <c r="AK60">
        <f>IF(ISNA(VLOOKUP($A60&amp;AK$1,'For stats end Y DB'!$A:$G,5,0)),0,VLOOKUP($A60&amp;AK$1,'For stats end Y DB'!$A:$G,5,0))</f>
        <v>0</v>
      </c>
      <c r="AL60">
        <f>IF(ISNA(VLOOKUP($A60&amp;AL$1,'For stats end Y DB'!$A:$G,5,0)),0,VLOOKUP($A60&amp;AL$1,'For stats end Y DB'!$A:$G,5,0))</f>
        <v>0</v>
      </c>
      <c r="AM60">
        <f>IF(ISNA(VLOOKUP($A60&amp;AM$1,'For stats end Y DB'!$A:$G,5,0)),0,VLOOKUP($A60&amp;AM$1,'For stats end Y DB'!$A:$G,5,0))</f>
        <v>0</v>
      </c>
      <c r="AN60">
        <f>IF(ISNA(VLOOKUP($A60&amp;AN$1,'For stats end Y DB'!$A:$G,5,0)),0,VLOOKUP($A60&amp;AN$1,'For stats end Y DB'!$A:$G,5,0))</f>
        <v>0</v>
      </c>
    </row>
    <row r="61" spans="1:40" x14ac:dyDescent="0.2">
      <c r="A61" t="str">
        <f>'For stats end Y class'!A61</f>
        <v>Mams</v>
      </c>
      <c r="B61">
        <f>IF(ISNA(VLOOKUP($A61&amp;B$1,'For stats end Y DB'!$A:$G,5,0)),0,VLOOKUP($A61&amp;B$1,'For stats end Y DB'!$A:$G,5,0))</f>
        <v>1</v>
      </c>
      <c r="C61">
        <f>IF(ISNA(VLOOKUP($A61&amp;C$1,'For stats end Y DB'!$A:$G,5,0)),0,VLOOKUP($A61&amp;C$1,'For stats end Y DB'!$A:$G,5,0))</f>
        <v>1</v>
      </c>
      <c r="D61">
        <f>IF(ISNA(VLOOKUP($A61&amp;D$1,'For stats end Y DB'!$A:$G,5,0)),0,VLOOKUP($A61&amp;D$1,'For stats end Y DB'!$A:$G,5,0))</f>
        <v>16</v>
      </c>
      <c r="E61">
        <f>IF(ISNA(VLOOKUP($A61&amp;E$1,'For stats end Y DB'!$A:$G,5,0)),0,VLOOKUP($A61&amp;E$1,'For stats end Y DB'!$A:$G,5,0))</f>
        <v>17</v>
      </c>
      <c r="F61">
        <f>IF(ISNA(VLOOKUP($A61&amp;F$1,'For stats end Y DB'!$A:$G,5,0)),0,VLOOKUP($A61&amp;F$1,'For stats end Y DB'!$A:$G,5,0))</f>
        <v>17</v>
      </c>
      <c r="G61">
        <f>IF(ISNA(VLOOKUP($A61&amp;G$1,'For stats end Y DB'!$A:$G,5,0)),0,VLOOKUP($A61&amp;G$1,'For stats end Y DB'!$A:$G,5,0))</f>
        <v>3</v>
      </c>
      <c r="H61">
        <f>IF(ISNA(VLOOKUP($A61&amp;H$1,'For stats end Y DB'!$A:$G,5,0)),0,VLOOKUP($A61&amp;H$1,'For stats end Y DB'!$A:$G,5,0))</f>
        <v>9</v>
      </c>
      <c r="I61">
        <f>IF(ISNA(VLOOKUP($A61&amp;I$1,'For stats end Y DB'!$A:$G,5,0)),0,VLOOKUP($A61&amp;I$1,'For stats end Y DB'!$A:$G,5,0))</f>
        <v>9</v>
      </c>
      <c r="J61">
        <f>IF(ISNA(VLOOKUP($A61&amp;J$1,'For stats end Y DB'!$A:$G,5,0)),0,VLOOKUP($A61&amp;J$1,'For stats end Y DB'!$A:$G,5,0))</f>
        <v>2</v>
      </c>
      <c r="K61">
        <f>IF(ISNA(VLOOKUP($A61&amp;K$1,'For stats end Y DB'!$A:$G,5,0)),0,VLOOKUP($A61&amp;K$1,'For stats end Y DB'!$A:$G,5,0))</f>
        <v>4</v>
      </c>
      <c r="L61">
        <f>IF(ISNA(VLOOKUP($A61&amp;L$1,'For stats end Y DB'!$A:$G,5,0)),0,VLOOKUP($A61&amp;L$1,'For stats end Y DB'!$A:$G,5,0))</f>
        <v>4</v>
      </c>
      <c r="M61">
        <f>IF(ISNA(VLOOKUP($A61&amp;M$1,'For stats end Y DB'!$A:$G,5,0)),0,VLOOKUP($A61&amp;M$1,'For stats end Y DB'!$A:$G,5,0))</f>
        <v>17</v>
      </c>
      <c r="N61">
        <f>IF(ISNA(VLOOKUP($A61&amp;N$1,'For stats end Y DB'!$A:$G,5,0)),0,VLOOKUP($A61&amp;N$1,'For stats end Y DB'!$A:$G,5,0))</f>
        <v>17</v>
      </c>
      <c r="O61">
        <f>IF(ISNA(VLOOKUP($A61&amp;O$1,'For stats end Y DB'!$A:$G,5,0)),0,VLOOKUP($A61&amp;O$1,'For stats end Y DB'!$A:$G,5,0))</f>
        <v>3</v>
      </c>
      <c r="P61">
        <f>IF(ISNA(VLOOKUP($A61&amp;P$1,'For stats end Y DB'!$A:$G,5,0)),0,VLOOKUP($A61&amp;P$1,'For stats end Y DB'!$A:$G,5,0))</f>
        <v>9</v>
      </c>
      <c r="Q61">
        <f>IF(ISNA(VLOOKUP($A61&amp;Q$1,'For stats end Y DB'!$A:$G,5,0)),0,VLOOKUP($A61&amp;Q$1,'For stats end Y DB'!$A:$G,5,0))</f>
        <v>6</v>
      </c>
      <c r="R61">
        <f>IF(ISNA(VLOOKUP($A61&amp;R$1,'For stats end Y DB'!$A:$G,5,0)),0,VLOOKUP($A61&amp;R$1,'For stats end Y DB'!$A:$G,5,0))</f>
        <v>1</v>
      </c>
      <c r="S61">
        <f>IF(ISNA(VLOOKUP($A61&amp;S$1,'For stats end Y DB'!$A:$G,5,0)),0,VLOOKUP($A61&amp;S$1,'For stats end Y DB'!$A:$G,5,0))</f>
        <v>2</v>
      </c>
      <c r="T61">
        <f>IF(ISNA(VLOOKUP($A61&amp;T$1,'For stats end Y DB'!$A:$G,5,0)),0,VLOOKUP($A61&amp;T$1,'For stats end Y DB'!$A:$G,5,0))</f>
        <v>16</v>
      </c>
      <c r="U61">
        <f>IF(ISNA(VLOOKUP($A61&amp;U$1,'For stats end Y DB'!$A:$G,5,0)),0,VLOOKUP($A61&amp;U$1,'For stats end Y DB'!$A:$G,5,0))</f>
        <v>8</v>
      </c>
      <c r="V61">
        <f>IF(ISNA(VLOOKUP($A61&amp;V$1,'For stats end Y DB'!$A:$G,5,0)),0,VLOOKUP($A61&amp;V$1,'For stats end Y DB'!$A:$G,5,0))</f>
        <v>13</v>
      </c>
      <c r="W61">
        <f>IF(ISNA(VLOOKUP($A61&amp;W$1,'For stats end Y DB'!$A:$G,5,0)),0,VLOOKUP($A61&amp;W$1,'For stats end Y DB'!$A:$G,5,0))</f>
        <v>1</v>
      </c>
      <c r="X61">
        <f>IF(ISNA(VLOOKUP($A61&amp;X$1,'For stats end Y DB'!$A:$G,5,0)),0,VLOOKUP($A61&amp;X$1,'For stats end Y DB'!$A:$G,5,0))</f>
        <v>2</v>
      </c>
      <c r="Y61">
        <f>IF(ISNA(VLOOKUP($A61&amp;Y$1,'For stats end Y DB'!$A:$G,5,0)),0,VLOOKUP($A61&amp;Y$1,'For stats end Y DB'!$A:$G,5,0))</f>
        <v>3</v>
      </c>
      <c r="Z61">
        <f>IF(ISNA(VLOOKUP($A61&amp;Z$1,'For stats end Y DB'!$A:$G,5,0)),0,VLOOKUP($A61&amp;Z$1,'For stats end Y DB'!$A:$G,5,0))</f>
        <v>1</v>
      </c>
      <c r="AA61">
        <f>IF(ISNA(VLOOKUP($A61&amp;AA$1,'For stats end Y DB'!$A:$G,5,0)),0,VLOOKUP($A61&amp;AA$1,'For stats end Y DB'!$A:$G,5,0))</f>
        <v>8</v>
      </c>
      <c r="AB61">
        <f>IF(ISNA(VLOOKUP($A61&amp;AB$1,'For stats end Y DB'!$A:$G,5,0)),0,VLOOKUP($A61&amp;AB$1,'For stats end Y DB'!$A:$G,5,0))</f>
        <v>16</v>
      </c>
      <c r="AC61">
        <f>IF(ISNA(VLOOKUP($A61&amp;AC$1,'For stats end Y DB'!$A:$G,5,0)),0,VLOOKUP($A61&amp;AC$1,'For stats end Y DB'!$A:$G,5,0))</f>
        <v>17</v>
      </c>
      <c r="AD61">
        <f>IF(ISNA(VLOOKUP($A61&amp;AD$1,'For stats end Y DB'!$A:$G,5,0)),0,VLOOKUP($A61&amp;AD$1,'For stats end Y DB'!$A:$G,5,0))</f>
        <v>17</v>
      </c>
      <c r="AE61">
        <f>IF(ISNA(VLOOKUP($A61&amp;AE$1,'For stats end Y DB'!$A:$G,5,0)),0,VLOOKUP($A61&amp;AE$1,'For stats end Y DB'!$A:$G,5,0))</f>
        <v>3</v>
      </c>
      <c r="AF61">
        <f>IF(ISNA(VLOOKUP($A61&amp;AF$1,'For stats end Y DB'!$A:$G,5,0)),0,VLOOKUP($A61&amp;AF$1,'For stats end Y DB'!$A:$G,5,0))</f>
        <v>9</v>
      </c>
      <c r="AG61">
        <f>IF(ISNA(VLOOKUP($A61&amp;AG$1,'For stats end Y DB'!$A:$G,5,0)),0,VLOOKUP($A61&amp;AG$1,'For stats end Y DB'!$A:$G,5,0))</f>
        <v>12</v>
      </c>
      <c r="AH61">
        <f>IF(ISNA(VLOOKUP($A61&amp;AH$1,'For stats end Y DB'!$A:$G,5,0)),0,VLOOKUP($A61&amp;AH$1,'For stats end Y DB'!$A:$G,5,0))</f>
        <v>4</v>
      </c>
      <c r="AI61">
        <f>IF(ISNA(VLOOKUP($A61&amp;AI$1,'For stats end Y DB'!$A:$G,5,0)),0,VLOOKUP($A61&amp;AI$1,'For stats end Y DB'!$A:$G,5,0))</f>
        <v>0</v>
      </c>
      <c r="AJ61">
        <f>IF(ISNA(VLOOKUP($A61&amp;AJ$1,'For stats end Y DB'!$A:$G,5,0)),0,VLOOKUP($A61&amp;AJ$1,'For stats end Y DB'!$A:$G,5,0))</f>
        <v>0</v>
      </c>
      <c r="AK61">
        <f>IF(ISNA(VLOOKUP($A61&amp;AK$1,'For stats end Y DB'!$A:$G,5,0)),0,VLOOKUP($A61&amp;AK$1,'For stats end Y DB'!$A:$G,5,0))</f>
        <v>0</v>
      </c>
      <c r="AL61">
        <f>IF(ISNA(VLOOKUP($A61&amp;AL$1,'For stats end Y DB'!$A:$G,5,0)),0,VLOOKUP($A61&amp;AL$1,'For stats end Y DB'!$A:$G,5,0))</f>
        <v>0</v>
      </c>
      <c r="AM61">
        <f>IF(ISNA(VLOOKUP($A61&amp;AM$1,'For stats end Y DB'!$A:$G,5,0)),0,VLOOKUP($A61&amp;AM$1,'For stats end Y DB'!$A:$G,5,0))</f>
        <v>0</v>
      </c>
      <c r="AN61">
        <f>IF(ISNA(VLOOKUP($A61&amp;AN$1,'For stats end Y DB'!$A:$G,5,0)),0,VLOOKUP($A61&amp;AN$1,'For stats end Y DB'!$A:$G,5,0))</f>
        <v>0</v>
      </c>
    </row>
    <row r="62" spans="1:40" x14ac:dyDescent="0.2">
      <c r="A62" t="str">
        <f>'For stats end Y class'!A62</f>
        <v>Mandrake</v>
      </c>
      <c r="B62">
        <f>IF(ISNA(VLOOKUP($A62&amp;B$1,'For stats end Y DB'!$A:$G,5,0)),0,VLOOKUP($A62&amp;B$1,'For stats end Y DB'!$A:$G,5,0))</f>
        <v>16</v>
      </c>
      <c r="C62">
        <f>IF(ISNA(VLOOKUP($A62&amp;C$1,'For stats end Y DB'!$A:$G,5,0)),0,VLOOKUP($A62&amp;C$1,'For stats end Y DB'!$A:$G,5,0))</f>
        <v>8</v>
      </c>
      <c r="D62">
        <f>IF(ISNA(VLOOKUP($A62&amp;D$1,'For stats end Y DB'!$A:$G,5,0)),0,VLOOKUP($A62&amp;D$1,'For stats end Y DB'!$A:$G,5,0))</f>
        <v>13</v>
      </c>
      <c r="E62">
        <f>IF(ISNA(VLOOKUP($A62&amp;E$1,'For stats end Y DB'!$A:$G,5,0)),0,VLOOKUP($A62&amp;E$1,'For stats end Y DB'!$A:$G,5,0))</f>
        <v>5</v>
      </c>
      <c r="F62">
        <f>IF(ISNA(VLOOKUP($A62&amp;F$1,'For stats end Y DB'!$A:$G,5,0)),0,VLOOKUP($A62&amp;F$1,'For stats end Y DB'!$A:$G,5,0))</f>
        <v>1</v>
      </c>
      <c r="G62">
        <f>IF(ISNA(VLOOKUP($A62&amp;G$1,'For stats end Y DB'!$A:$G,5,0)),0,VLOOKUP($A62&amp;G$1,'For stats end Y DB'!$A:$G,5,0))</f>
        <v>5</v>
      </c>
      <c r="H62">
        <f>IF(ISNA(VLOOKUP($A62&amp;H$1,'For stats end Y DB'!$A:$G,5,0)),0,VLOOKUP($A62&amp;H$1,'For stats end Y DB'!$A:$G,5,0))</f>
        <v>16</v>
      </c>
      <c r="I62">
        <f>IF(ISNA(VLOOKUP($A62&amp;I$1,'For stats end Y DB'!$A:$G,5,0)),0,VLOOKUP($A62&amp;I$1,'For stats end Y DB'!$A:$G,5,0))</f>
        <v>16</v>
      </c>
      <c r="J62">
        <f>IF(ISNA(VLOOKUP($A62&amp;J$1,'For stats end Y DB'!$A:$G,5,0)),0,VLOOKUP($A62&amp;J$1,'For stats end Y DB'!$A:$G,5,0))</f>
        <v>9</v>
      </c>
      <c r="K62">
        <f>IF(ISNA(VLOOKUP($A62&amp;K$1,'For stats end Y DB'!$A:$G,5,0)),0,VLOOKUP($A62&amp;K$1,'For stats end Y DB'!$A:$G,5,0))</f>
        <v>3</v>
      </c>
      <c r="L62">
        <f>IF(ISNA(VLOOKUP($A62&amp;L$1,'For stats end Y DB'!$A:$G,5,0)),0,VLOOKUP($A62&amp;L$1,'For stats end Y DB'!$A:$G,5,0))</f>
        <v>3</v>
      </c>
      <c r="M62">
        <f>IF(ISNA(VLOOKUP($A62&amp;M$1,'For stats end Y DB'!$A:$G,5,0)),0,VLOOKUP($A62&amp;M$1,'For stats end Y DB'!$A:$G,5,0))</f>
        <v>16</v>
      </c>
      <c r="N62">
        <f>IF(ISNA(VLOOKUP($A62&amp;N$1,'For stats end Y DB'!$A:$G,5,0)),0,VLOOKUP($A62&amp;N$1,'For stats end Y DB'!$A:$G,5,0))</f>
        <v>2</v>
      </c>
      <c r="O62">
        <f>IF(ISNA(VLOOKUP($A62&amp;O$1,'For stats end Y DB'!$A:$G,5,0)),0,VLOOKUP($A62&amp;O$1,'For stats end Y DB'!$A:$G,5,0))</f>
        <v>1</v>
      </c>
      <c r="P62">
        <f>IF(ISNA(VLOOKUP($A62&amp;P$1,'For stats end Y DB'!$A:$G,5,0)),0,VLOOKUP($A62&amp;P$1,'For stats end Y DB'!$A:$G,5,0))</f>
        <v>5</v>
      </c>
      <c r="Q62">
        <f>IF(ISNA(VLOOKUP($A62&amp;Q$1,'For stats end Y DB'!$A:$G,5,0)),0,VLOOKUP($A62&amp;Q$1,'For stats end Y DB'!$A:$G,5,0))</f>
        <v>0</v>
      </c>
      <c r="R62">
        <f>IF(ISNA(VLOOKUP($A62&amp;R$1,'For stats end Y DB'!$A:$G,5,0)),0,VLOOKUP($A62&amp;R$1,'For stats end Y DB'!$A:$G,5,0))</f>
        <v>5</v>
      </c>
      <c r="S62">
        <f>IF(ISNA(VLOOKUP($A62&amp;S$1,'For stats end Y DB'!$A:$G,5,0)),0,VLOOKUP($A62&amp;S$1,'For stats end Y DB'!$A:$G,5,0))</f>
        <v>17</v>
      </c>
      <c r="T62">
        <f>IF(ISNA(VLOOKUP($A62&amp;T$1,'For stats end Y DB'!$A:$G,5,0)),0,VLOOKUP($A62&amp;T$1,'For stats end Y DB'!$A:$G,5,0))</f>
        <v>1</v>
      </c>
      <c r="U62">
        <f>IF(ISNA(VLOOKUP($A62&amp;U$1,'For stats end Y DB'!$A:$G,5,0)),0,VLOOKUP($A62&amp;U$1,'For stats end Y DB'!$A:$G,5,0))</f>
        <v>16</v>
      </c>
      <c r="V62">
        <f>IF(ISNA(VLOOKUP($A62&amp;V$1,'For stats end Y DB'!$A:$G,5,0)),0,VLOOKUP($A62&amp;V$1,'For stats end Y DB'!$A:$G,5,0))</f>
        <v>12</v>
      </c>
      <c r="W62">
        <f>IF(ISNA(VLOOKUP($A62&amp;W$1,'For stats end Y DB'!$A:$G,5,0)),0,VLOOKUP($A62&amp;W$1,'For stats end Y DB'!$A:$G,5,0))</f>
        <v>13</v>
      </c>
      <c r="X62">
        <f>IF(ISNA(VLOOKUP($A62&amp;X$1,'For stats end Y DB'!$A:$G,5,0)),0,VLOOKUP($A62&amp;X$1,'For stats end Y DB'!$A:$G,5,0))</f>
        <v>5</v>
      </c>
      <c r="Y62">
        <f>IF(ISNA(VLOOKUP($A62&amp;Y$1,'For stats end Y DB'!$A:$G,5,0)),0,VLOOKUP($A62&amp;Y$1,'For stats end Y DB'!$A:$G,5,0))</f>
        <v>17</v>
      </c>
      <c r="Z62">
        <f>IF(ISNA(VLOOKUP($A62&amp;Z$1,'For stats end Y DB'!$A:$G,5,0)),0,VLOOKUP($A62&amp;Z$1,'For stats end Y DB'!$A:$G,5,0))</f>
        <v>16</v>
      </c>
      <c r="AA62">
        <f>IF(ISNA(VLOOKUP($A62&amp;AA$1,'For stats end Y DB'!$A:$G,5,0)),0,VLOOKUP($A62&amp;AA$1,'For stats end Y DB'!$A:$G,5,0))</f>
        <v>8</v>
      </c>
      <c r="AB62">
        <f>IF(ISNA(VLOOKUP($A62&amp;AB$1,'For stats end Y DB'!$A:$G,5,0)),0,VLOOKUP($A62&amp;AB$1,'For stats end Y DB'!$A:$G,5,0))</f>
        <v>0</v>
      </c>
      <c r="AC62">
        <f>IF(ISNA(VLOOKUP($A62&amp;AC$1,'For stats end Y DB'!$A:$G,5,0)),0,VLOOKUP($A62&amp;AC$1,'For stats end Y DB'!$A:$G,5,0))</f>
        <v>1</v>
      </c>
      <c r="AD62">
        <f>IF(ISNA(VLOOKUP($A62&amp;AD$1,'For stats end Y DB'!$A:$G,5,0)),0,VLOOKUP($A62&amp;AD$1,'For stats end Y DB'!$A:$G,5,0))</f>
        <v>16</v>
      </c>
      <c r="AE62">
        <f>IF(ISNA(VLOOKUP($A62&amp;AE$1,'For stats end Y DB'!$A:$G,5,0)),0,VLOOKUP($A62&amp;AE$1,'For stats end Y DB'!$A:$G,5,0))</f>
        <v>16</v>
      </c>
      <c r="AF62">
        <f>IF(ISNA(VLOOKUP($A62&amp;AF$1,'For stats end Y DB'!$A:$G,5,0)),0,VLOOKUP($A62&amp;AF$1,'For stats end Y DB'!$A:$G,5,0))</f>
        <v>1</v>
      </c>
      <c r="AG62">
        <f>IF(ISNA(VLOOKUP($A62&amp;AG$1,'For stats end Y DB'!$A:$G,5,0)),0,VLOOKUP($A62&amp;AG$1,'For stats end Y DB'!$A:$G,5,0))</f>
        <v>2</v>
      </c>
      <c r="AH62">
        <f>IF(ISNA(VLOOKUP($A62&amp;AH$1,'For stats end Y DB'!$A:$G,5,0)),0,VLOOKUP($A62&amp;AH$1,'For stats end Y DB'!$A:$G,5,0))</f>
        <v>16</v>
      </c>
      <c r="AI62">
        <f>IF(ISNA(VLOOKUP($A62&amp;AI$1,'For stats end Y DB'!$A:$G,5,0)),0,VLOOKUP($A62&amp;AI$1,'For stats end Y DB'!$A:$G,5,0))</f>
        <v>0</v>
      </c>
      <c r="AJ62">
        <f>IF(ISNA(VLOOKUP($A62&amp;AJ$1,'For stats end Y DB'!$A:$G,5,0)),0,VLOOKUP($A62&amp;AJ$1,'For stats end Y DB'!$A:$G,5,0))</f>
        <v>0</v>
      </c>
      <c r="AK62">
        <f>IF(ISNA(VLOOKUP($A62&amp;AK$1,'For stats end Y DB'!$A:$G,5,0)),0,VLOOKUP($A62&amp;AK$1,'For stats end Y DB'!$A:$G,5,0))</f>
        <v>0</v>
      </c>
      <c r="AL62">
        <f>IF(ISNA(VLOOKUP($A62&amp;AL$1,'For stats end Y DB'!$A:$G,5,0)),0,VLOOKUP($A62&amp;AL$1,'For stats end Y DB'!$A:$G,5,0))</f>
        <v>0</v>
      </c>
      <c r="AM62">
        <f>IF(ISNA(VLOOKUP($A62&amp;AM$1,'For stats end Y DB'!$A:$G,5,0)),0,VLOOKUP($A62&amp;AM$1,'For stats end Y DB'!$A:$G,5,0))</f>
        <v>0</v>
      </c>
      <c r="AN62">
        <f>IF(ISNA(VLOOKUP($A62&amp;AN$1,'For stats end Y DB'!$A:$G,5,0)),0,VLOOKUP($A62&amp;AN$1,'For stats end Y DB'!$A:$G,5,0))</f>
        <v>0</v>
      </c>
    </row>
    <row r="63" spans="1:40" x14ac:dyDescent="0.2">
      <c r="A63" t="str">
        <f>'For stats end Y class'!A63</f>
        <v>Matteo</v>
      </c>
      <c r="B63">
        <f>IF(ISNA(VLOOKUP($A63&amp;B$1,'For stats end Y DB'!$A:$G,5,0)),0,VLOOKUP($A63&amp;B$1,'For stats end Y DB'!$A:$G,5,0))</f>
        <v>0</v>
      </c>
      <c r="C63">
        <f>IF(ISNA(VLOOKUP($A63&amp;C$1,'For stats end Y DB'!$A:$G,5,0)),0,VLOOKUP($A63&amp;C$1,'For stats end Y DB'!$A:$G,5,0))</f>
        <v>0</v>
      </c>
      <c r="D63">
        <f>IF(ISNA(VLOOKUP($A63&amp;D$1,'For stats end Y DB'!$A:$G,5,0)),0,VLOOKUP($A63&amp;D$1,'For stats end Y DB'!$A:$G,5,0))</f>
        <v>0</v>
      </c>
      <c r="E63">
        <f>IF(ISNA(VLOOKUP($A63&amp;E$1,'For stats end Y DB'!$A:$G,5,0)),0,VLOOKUP($A63&amp;E$1,'For stats end Y DB'!$A:$G,5,0))</f>
        <v>0</v>
      </c>
      <c r="F63">
        <f>IF(ISNA(VLOOKUP($A63&amp;F$1,'For stats end Y DB'!$A:$G,5,0)),0,VLOOKUP($A63&amp;F$1,'For stats end Y DB'!$A:$G,5,0))</f>
        <v>0</v>
      </c>
      <c r="G63">
        <f>IF(ISNA(VLOOKUP($A63&amp;G$1,'For stats end Y DB'!$A:$G,5,0)),0,VLOOKUP($A63&amp;G$1,'For stats end Y DB'!$A:$G,5,0))</f>
        <v>0</v>
      </c>
      <c r="H63">
        <f>IF(ISNA(VLOOKUP($A63&amp;H$1,'For stats end Y DB'!$A:$G,5,0)),0,VLOOKUP($A63&amp;H$1,'For stats end Y DB'!$A:$G,5,0))</f>
        <v>0</v>
      </c>
      <c r="I63">
        <f>IF(ISNA(VLOOKUP($A63&amp;I$1,'For stats end Y DB'!$A:$G,5,0)),0,VLOOKUP($A63&amp;I$1,'For stats end Y DB'!$A:$G,5,0))</f>
        <v>0</v>
      </c>
      <c r="J63">
        <f>IF(ISNA(VLOOKUP($A63&amp;J$1,'For stats end Y DB'!$A:$G,5,0)),0,VLOOKUP($A63&amp;J$1,'For stats end Y DB'!$A:$G,5,0))</f>
        <v>0</v>
      </c>
      <c r="K63">
        <f>IF(ISNA(VLOOKUP($A63&amp;K$1,'For stats end Y DB'!$A:$G,5,0)),0,VLOOKUP($A63&amp;K$1,'For stats end Y DB'!$A:$G,5,0))</f>
        <v>0</v>
      </c>
      <c r="L63">
        <f>IF(ISNA(VLOOKUP($A63&amp;L$1,'For stats end Y DB'!$A:$G,5,0)),0,VLOOKUP($A63&amp;L$1,'For stats end Y DB'!$A:$G,5,0))</f>
        <v>0</v>
      </c>
      <c r="M63">
        <f>IF(ISNA(VLOOKUP($A63&amp;M$1,'For stats end Y DB'!$A:$G,5,0)),0,VLOOKUP($A63&amp;M$1,'For stats end Y DB'!$A:$G,5,0))</f>
        <v>0</v>
      </c>
      <c r="N63">
        <f>IF(ISNA(VLOOKUP($A63&amp;N$1,'For stats end Y DB'!$A:$G,5,0)),0,VLOOKUP($A63&amp;N$1,'For stats end Y DB'!$A:$G,5,0))</f>
        <v>0</v>
      </c>
      <c r="O63">
        <f>IF(ISNA(VLOOKUP($A63&amp;O$1,'For stats end Y DB'!$A:$G,5,0)),0,VLOOKUP($A63&amp;O$1,'For stats end Y DB'!$A:$G,5,0))</f>
        <v>0</v>
      </c>
      <c r="P63">
        <f>IF(ISNA(VLOOKUP($A63&amp;P$1,'For stats end Y DB'!$A:$G,5,0)),0,VLOOKUP($A63&amp;P$1,'For stats end Y DB'!$A:$G,5,0))</f>
        <v>0</v>
      </c>
      <c r="Q63">
        <f>IF(ISNA(VLOOKUP($A63&amp;Q$1,'For stats end Y DB'!$A:$G,5,0)),0,VLOOKUP($A63&amp;Q$1,'For stats end Y DB'!$A:$G,5,0))</f>
        <v>0</v>
      </c>
      <c r="R63">
        <f>IF(ISNA(VLOOKUP($A63&amp;R$1,'For stats end Y DB'!$A:$G,5,0)),0,VLOOKUP($A63&amp;R$1,'For stats end Y DB'!$A:$G,5,0))</f>
        <v>0</v>
      </c>
      <c r="S63">
        <f>IF(ISNA(VLOOKUP($A63&amp;S$1,'For stats end Y DB'!$A:$G,5,0)),0,VLOOKUP($A63&amp;S$1,'For stats end Y DB'!$A:$G,5,0))</f>
        <v>0</v>
      </c>
      <c r="T63">
        <f>IF(ISNA(VLOOKUP($A63&amp;T$1,'For stats end Y DB'!$A:$G,5,0)),0,VLOOKUP($A63&amp;T$1,'For stats end Y DB'!$A:$G,5,0))</f>
        <v>0</v>
      </c>
      <c r="U63">
        <f>IF(ISNA(VLOOKUP($A63&amp;U$1,'For stats end Y DB'!$A:$G,5,0)),0,VLOOKUP($A63&amp;U$1,'For stats end Y DB'!$A:$G,5,0))</f>
        <v>0</v>
      </c>
      <c r="V63">
        <f>IF(ISNA(VLOOKUP($A63&amp;V$1,'For stats end Y DB'!$A:$G,5,0)),0,VLOOKUP($A63&amp;V$1,'For stats end Y DB'!$A:$G,5,0))</f>
        <v>0</v>
      </c>
      <c r="W63">
        <f>IF(ISNA(VLOOKUP($A63&amp;W$1,'For stats end Y DB'!$A:$G,5,0)),0,VLOOKUP($A63&amp;W$1,'For stats end Y DB'!$A:$G,5,0))</f>
        <v>0</v>
      </c>
      <c r="X63">
        <f>IF(ISNA(VLOOKUP($A63&amp;X$1,'For stats end Y DB'!$A:$G,5,0)),0,VLOOKUP($A63&amp;X$1,'For stats end Y DB'!$A:$G,5,0))</f>
        <v>5</v>
      </c>
      <c r="Y63">
        <f>IF(ISNA(VLOOKUP($A63&amp;Y$1,'For stats end Y DB'!$A:$G,5,0)),0,VLOOKUP($A63&amp;Y$1,'For stats end Y DB'!$A:$G,5,0))</f>
        <v>0</v>
      </c>
      <c r="Z63">
        <f>IF(ISNA(VLOOKUP($A63&amp;Z$1,'For stats end Y DB'!$A:$G,5,0)),0,VLOOKUP($A63&amp;Z$1,'For stats end Y DB'!$A:$G,5,0))</f>
        <v>0</v>
      </c>
      <c r="AA63">
        <f>IF(ISNA(VLOOKUP($A63&amp;AA$1,'For stats end Y DB'!$A:$G,5,0)),0,VLOOKUP($A63&amp;AA$1,'For stats end Y DB'!$A:$G,5,0))</f>
        <v>0</v>
      </c>
      <c r="AB63">
        <f>IF(ISNA(VLOOKUP($A63&amp;AB$1,'For stats end Y DB'!$A:$G,5,0)),0,VLOOKUP($A63&amp;AB$1,'For stats end Y DB'!$A:$G,5,0))</f>
        <v>0</v>
      </c>
      <c r="AC63">
        <f>IF(ISNA(VLOOKUP($A63&amp;AC$1,'For stats end Y DB'!$A:$G,5,0)),0,VLOOKUP($A63&amp;AC$1,'For stats end Y DB'!$A:$G,5,0))</f>
        <v>0</v>
      </c>
      <c r="AD63">
        <f>IF(ISNA(VLOOKUP($A63&amp;AD$1,'For stats end Y DB'!$A:$G,5,0)),0,VLOOKUP($A63&amp;AD$1,'For stats end Y DB'!$A:$G,5,0))</f>
        <v>0</v>
      </c>
      <c r="AE63">
        <f>IF(ISNA(VLOOKUP($A63&amp;AE$1,'For stats end Y DB'!$A:$G,5,0)),0,VLOOKUP($A63&amp;AE$1,'For stats end Y DB'!$A:$G,5,0))</f>
        <v>0</v>
      </c>
      <c r="AF63">
        <f>IF(ISNA(VLOOKUP($A63&amp;AF$1,'For stats end Y DB'!$A:$G,5,0)),0,VLOOKUP($A63&amp;AF$1,'For stats end Y DB'!$A:$G,5,0))</f>
        <v>0</v>
      </c>
      <c r="AG63">
        <f>IF(ISNA(VLOOKUP($A63&amp;AG$1,'For stats end Y DB'!$A:$G,5,0)),0,VLOOKUP($A63&amp;AG$1,'For stats end Y DB'!$A:$G,5,0))</f>
        <v>0</v>
      </c>
      <c r="AH63">
        <f>IF(ISNA(VLOOKUP($A63&amp;AH$1,'For stats end Y DB'!$A:$G,5,0)),0,VLOOKUP($A63&amp;AH$1,'For stats end Y DB'!$A:$G,5,0))</f>
        <v>0</v>
      </c>
      <c r="AI63">
        <f>IF(ISNA(VLOOKUP($A63&amp;AI$1,'For stats end Y DB'!$A:$G,5,0)),0,VLOOKUP($A63&amp;AI$1,'For stats end Y DB'!$A:$G,5,0))</f>
        <v>0</v>
      </c>
      <c r="AJ63">
        <f>IF(ISNA(VLOOKUP($A63&amp;AJ$1,'For stats end Y DB'!$A:$G,5,0)),0,VLOOKUP($A63&amp;AJ$1,'For stats end Y DB'!$A:$G,5,0))</f>
        <v>0</v>
      </c>
      <c r="AK63">
        <f>IF(ISNA(VLOOKUP($A63&amp;AK$1,'For stats end Y DB'!$A:$G,5,0)),0,VLOOKUP($A63&amp;AK$1,'For stats end Y DB'!$A:$G,5,0))</f>
        <v>0</v>
      </c>
      <c r="AL63">
        <f>IF(ISNA(VLOOKUP($A63&amp;AL$1,'For stats end Y DB'!$A:$G,5,0)),0,VLOOKUP($A63&amp;AL$1,'For stats end Y DB'!$A:$G,5,0))</f>
        <v>0</v>
      </c>
      <c r="AM63">
        <f>IF(ISNA(VLOOKUP($A63&amp;AM$1,'For stats end Y DB'!$A:$G,5,0)),0,VLOOKUP($A63&amp;AM$1,'For stats end Y DB'!$A:$G,5,0))</f>
        <v>0</v>
      </c>
      <c r="AN63">
        <f>IF(ISNA(VLOOKUP($A63&amp;AN$1,'For stats end Y DB'!$A:$G,5,0)),0,VLOOKUP($A63&amp;AN$1,'For stats end Y DB'!$A:$G,5,0))</f>
        <v>0</v>
      </c>
    </row>
    <row r="64" spans="1:40" x14ac:dyDescent="0.2">
      <c r="A64" t="str">
        <f>'For stats end Y class'!A64</f>
        <v>Maxime K</v>
      </c>
      <c r="B64">
        <f>IF(ISNA(VLOOKUP($A64&amp;B$1,'For stats end Y DB'!$A:$G,5,0)),0,VLOOKUP($A64&amp;B$1,'For stats end Y DB'!$A:$G,5,0))</f>
        <v>0</v>
      </c>
      <c r="C64">
        <f>IF(ISNA(VLOOKUP($A64&amp;C$1,'For stats end Y DB'!$A:$G,5,0)),0,VLOOKUP($A64&amp;C$1,'For stats end Y DB'!$A:$G,5,0))</f>
        <v>0</v>
      </c>
      <c r="D64">
        <f>IF(ISNA(VLOOKUP($A64&amp;D$1,'For stats end Y DB'!$A:$G,5,0)),0,VLOOKUP($A64&amp;D$1,'For stats end Y DB'!$A:$G,5,0))</f>
        <v>0</v>
      </c>
      <c r="E64">
        <f>IF(ISNA(VLOOKUP($A64&amp;E$1,'For stats end Y DB'!$A:$G,5,0)),0,VLOOKUP($A64&amp;E$1,'For stats end Y DB'!$A:$G,5,0))</f>
        <v>0</v>
      </c>
      <c r="F64">
        <f>IF(ISNA(VLOOKUP($A64&amp;F$1,'For stats end Y DB'!$A:$G,5,0)),0,VLOOKUP($A64&amp;F$1,'For stats end Y DB'!$A:$G,5,0))</f>
        <v>0</v>
      </c>
      <c r="G64">
        <f>IF(ISNA(VLOOKUP($A64&amp;G$1,'For stats end Y DB'!$A:$G,5,0)),0,VLOOKUP($A64&amp;G$1,'For stats end Y DB'!$A:$G,5,0))</f>
        <v>0</v>
      </c>
      <c r="H64">
        <f>IF(ISNA(VLOOKUP($A64&amp;H$1,'For stats end Y DB'!$A:$G,5,0)),0,VLOOKUP($A64&amp;H$1,'For stats end Y DB'!$A:$G,5,0))</f>
        <v>0</v>
      </c>
      <c r="I64">
        <f>IF(ISNA(VLOOKUP($A64&amp;I$1,'For stats end Y DB'!$A:$G,5,0)),0,VLOOKUP($A64&amp;I$1,'For stats end Y DB'!$A:$G,5,0))</f>
        <v>0</v>
      </c>
      <c r="J64">
        <f>IF(ISNA(VLOOKUP($A64&amp;J$1,'For stats end Y DB'!$A:$G,5,0)),0,VLOOKUP($A64&amp;J$1,'For stats end Y DB'!$A:$G,5,0))</f>
        <v>0</v>
      </c>
      <c r="K64">
        <f>IF(ISNA(VLOOKUP($A64&amp;K$1,'For stats end Y DB'!$A:$G,5,0)),0,VLOOKUP($A64&amp;K$1,'For stats end Y DB'!$A:$G,5,0))</f>
        <v>0</v>
      </c>
      <c r="L64">
        <f>IF(ISNA(VLOOKUP($A64&amp;L$1,'For stats end Y DB'!$A:$G,5,0)),0,VLOOKUP($A64&amp;L$1,'For stats end Y DB'!$A:$G,5,0))</f>
        <v>0</v>
      </c>
      <c r="M64">
        <f>IF(ISNA(VLOOKUP($A64&amp;M$1,'For stats end Y DB'!$A:$G,5,0)),0,VLOOKUP($A64&amp;M$1,'For stats end Y DB'!$A:$G,5,0))</f>
        <v>0</v>
      </c>
      <c r="N64">
        <f>IF(ISNA(VLOOKUP($A64&amp;N$1,'For stats end Y DB'!$A:$G,5,0)),0,VLOOKUP($A64&amp;N$1,'For stats end Y DB'!$A:$G,5,0))</f>
        <v>8</v>
      </c>
      <c r="O64">
        <f>IF(ISNA(VLOOKUP($A64&amp;O$1,'For stats end Y DB'!$A:$G,5,0)),0,VLOOKUP($A64&amp;O$1,'For stats end Y DB'!$A:$G,5,0))</f>
        <v>0</v>
      </c>
      <c r="P64">
        <f>IF(ISNA(VLOOKUP($A64&amp;P$1,'For stats end Y DB'!$A:$G,5,0)),0,VLOOKUP($A64&amp;P$1,'For stats end Y DB'!$A:$G,5,0))</f>
        <v>0</v>
      </c>
      <c r="Q64">
        <f>IF(ISNA(VLOOKUP($A64&amp;Q$1,'For stats end Y DB'!$A:$G,5,0)),0,VLOOKUP($A64&amp;Q$1,'For stats end Y DB'!$A:$G,5,0))</f>
        <v>0</v>
      </c>
      <c r="R64">
        <f>IF(ISNA(VLOOKUP($A64&amp;R$1,'For stats end Y DB'!$A:$G,5,0)),0,VLOOKUP($A64&amp;R$1,'For stats end Y DB'!$A:$G,5,0))</f>
        <v>0</v>
      </c>
      <c r="S64">
        <f>IF(ISNA(VLOOKUP($A64&amp;S$1,'For stats end Y DB'!$A:$G,5,0)),0,VLOOKUP($A64&amp;S$1,'For stats end Y DB'!$A:$G,5,0))</f>
        <v>0</v>
      </c>
      <c r="T64">
        <f>IF(ISNA(VLOOKUP($A64&amp;T$1,'For stats end Y DB'!$A:$G,5,0)),0,VLOOKUP($A64&amp;T$1,'For stats end Y DB'!$A:$G,5,0))</f>
        <v>0</v>
      </c>
      <c r="U64">
        <f>IF(ISNA(VLOOKUP($A64&amp;U$1,'For stats end Y DB'!$A:$G,5,0)),0,VLOOKUP($A64&amp;U$1,'For stats end Y DB'!$A:$G,5,0))</f>
        <v>0</v>
      </c>
      <c r="V64">
        <f>IF(ISNA(VLOOKUP($A64&amp;V$1,'For stats end Y DB'!$A:$G,5,0)),0,VLOOKUP($A64&amp;V$1,'For stats end Y DB'!$A:$G,5,0))</f>
        <v>0</v>
      </c>
      <c r="W64">
        <f>IF(ISNA(VLOOKUP($A64&amp;W$1,'For stats end Y DB'!$A:$G,5,0)),0,VLOOKUP($A64&amp;W$1,'For stats end Y DB'!$A:$G,5,0))</f>
        <v>0</v>
      </c>
      <c r="X64">
        <f>IF(ISNA(VLOOKUP($A64&amp;X$1,'For stats end Y DB'!$A:$G,5,0)),0,VLOOKUP($A64&amp;X$1,'For stats end Y DB'!$A:$G,5,0))</f>
        <v>0</v>
      </c>
      <c r="Y64">
        <f>IF(ISNA(VLOOKUP($A64&amp;Y$1,'For stats end Y DB'!$A:$G,5,0)),0,VLOOKUP($A64&amp;Y$1,'For stats end Y DB'!$A:$G,5,0))</f>
        <v>0</v>
      </c>
      <c r="Z64">
        <f>IF(ISNA(VLOOKUP($A64&amp;Z$1,'For stats end Y DB'!$A:$G,5,0)),0,VLOOKUP($A64&amp;Z$1,'For stats end Y DB'!$A:$G,5,0))</f>
        <v>0</v>
      </c>
      <c r="AA64">
        <f>IF(ISNA(VLOOKUP($A64&amp;AA$1,'For stats end Y DB'!$A:$G,5,0)),0,VLOOKUP($A64&amp;AA$1,'For stats end Y DB'!$A:$G,5,0))</f>
        <v>0</v>
      </c>
      <c r="AB64">
        <f>IF(ISNA(VLOOKUP($A64&amp;AB$1,'For stats end Y DB'!$A:$G,5,0)),0,VLOOKUP($A64&amp;AB$1,'For stats end Y DB'!$A:$G,5,0))</f>
        <v>0</v>
      </c>
      <c r="AC64">
        <f>IF(ISNA(VLOOKUP($A64&amp;AC$1,'For stats end Y DB'!$A:$G,5,0)),0,VLOOKUP($A64&amp;AC$1,'For stats end Y DB'!$A:$G,5,0))</f>
        <v>0</v>
      </c>
      <c r="AD64">
        <f>IF(ISNA(VLOOKUP($A64&amp;AD$1,'For stats end Y DB'!$A:$G,5,0)),0,VLOOKUP($A64&amp;AD$1,'For stats end Y DB'!$A:$G,5,0))</f>
        <v>0</v>
      </c>
      <c r="AE64">
        <f>IF(ISNA(VLOOKUP($A64&amp;AE$1,'For stats end Y DB'!$A:$G,5,0)),0,VLOOKUP($A64&amp;AE$1,'For stats end Y DB'!$A:$G,5,0))</f>
        <v>0</v>
      </c>
      <c r="AF64">
        <f>IF(ISNA(VLOOKUP($A64&amp;AF$1,'For stats end Y DB'!$A:$G,5,0)),0,VLOOKUP($A64&amp;AF$1,'For stats end Y DB'!$A:$G,5,0))</f>
        <v>0</v>
      </c>
      <c r="AG64">
        <f>IF(ISNA(VLOOKUP($A64&amp;AG$1,'For stats end Y DB'!$A:$G,5,0)),0,VLOOKUP($A64&amp;AG$1,'For stats end Y DB'!$A:$G,5,0))</f>
        <v>0</v>
      </c>
      <c r="AH64">
        <f>IF(ISNA(VLOOKUP($A64&amp;AH$1,'For stats end Y DB'!$A:$G,5,0)),0,VLOOKUP($A64&amp;AH$1,'For stats end Y DB'!$A:$G,5,0))</f>
        <v>0</v>
      </c>
      <c r="AI64">
        <f>IF(ISNA(VLOOKUP($A64&amp;AI$1,'For stats end Y DB'!$A:$G,5,0)),0,VLOOKUP($A64&amp;AI$1,'For stats end Y DB'!$A:$G,5,0))</f>
        <v>0</v>
      </c>
      <c r="AJ64">
        <f>IF(ISNA(VLOOKUP($A64&amp;AJ$1,'For stats end Y DB'!$A:$G,5,0)),0,VLOOKUP($A64&amp;AJ$1,'For stats end Y DB'!$A:$G,5,0))</f>
        <v>0</v>
      </c>
      <c r="AK64">
        <f>IF(ISNA(VLOOKUP($A64&amp;AK$1,'For stats end Y DB'!$A:$G,5,0)),0,VLOOKUP($A64&amp;AK$1,'For stats end Y DB'!$A:$G,5,0))</f>
        <v>0</v>
      </c>
      <c r="AL64">
        <f>IF(ISNA(VLOOKUP($A64&amp;AL$1,'For stats end Y DB'!$A:$G,5,0)),0,VLOOKUP($A64&amp;AL$1,'For stats end Y DB'!$A:$G,5,0))</f>
        <v>0</v>
      </c>
      <c r="AM64">
        <f>IF(ISNA(VLOOKUP($A64&amp;AM$1,'For stats end Y DB'!$A:$G,5,0)),0,VLOOKUP($A64&amp;AM$1,'For stats end Y DB'!$A:$G,5,0))</f>
        <v>0</v>
      </c>
      <c r="AN64">
        <f>IF(ISNA(VLOOKUP($A64&amp;AN$1,'For stats end Y DB'!$A:$G,5,0)),0,VLOOKUP($A64&amp;AN$1,'For stats end Y DB'!$A:$G,5,0))</f>
        <v>0</v>
      </c>
    </row>
    <row r="65" spans="1:40" x14ac:dyDescent="0.2">
      <c r="A65" t="str">
        <f>'For stats end Y class'!A65</f>
        <v>MegaSouche</v>
      </c>
      <c r="B65">
        <f>IF(ISNA(VLOOKUP($A65&amp;B$1,'For stats end Y DB'!$A:$G,5,0)),0,VLOOKUP($A65&amp;B$1,'For stats end Y DB'!$A:$G,5,0))</f>
        <v>0</v>
      </c>
      <c r="C65">
        <f>IF(ISNA(VLOOKUP($A65&amp;C$1,'For stats end Y DB'!$A:$G,5,0)),0,VLOOKUP($A65&amp;C$1,'For stats end Y DB'!$A:$G,5,0))</f>
        <v>16</v>
      </c>
      <c r="D65">
        <f>IF(ISNA(VLOOKUP($A65&amp;D$1,'For stats end Y DB'!$A:$G,5,0)),0,VLOOKUP($A65&amp;D$1,'For stats end Y DB'!$A:$G,5,0))</f>
        <v>8</v>
      </c>
      <c r="E65">
        <f>IF(ISNA(VLOOKUP($A65&amp;E$1,'For stats end Y DB'!$A:$G,5,0)),0,VLOOKUP($A65&amp;E$1,'For stats end Y DB'!$A:$G,5,0))</f>
        <v>1</v>
      </c>
      <c r="F65">
        <f>IF(ISNA(VLOOKUP($A65&amp;F$1,'For stats end Y DB'!$A:$G,5,0)),0,VLOOKUP($A65&amp;F$1,'For stats end Y DB'!$A:$G,5,0))</f>
        <v>15</v>
      </c>
      <c r="G65">
        <f>IF(ISNA(VLOOKUP($A65&amp;G$1,'For stats end Y DB'!$A:$G,5,0)),0,VLOOKUP($A65&amp;G$1,'For stats end Y DB'!$A:$G,5,0))</f>
        <v>16</v>
      </c>
      <c r="H65">
        <f>IF(ISNA(VLOOKUP($A65&amp;H$1,'For stats end Y DB'!$A:$G,5,0)),0,VLOOKUP($A65&amp;H$1,'For stats end Y DB'!$A:$G,5,0))</f>
        <v>2</v>
      </c>
      <c r="I65">
        <f>IF(ISNA(VLOOKUP($A65&amp;I$1,'For stats end Y DB'!$A:$G,5,0)),0,VLOOKUP($A65&amp;I$1,'For stats end Y DB'!$A:$G,5,0))</f>
        <v>17</v>
      </c>
      <c r="J65">
        <f>IF(ISNA(VLOOKUP($A65&amp;J$1,'For stats end Y DB'!$A:$G,5,0)),0,VLOOKUP($A65&amp;J$1,'For stats end Y DB'!$A:$G,5,0))</f>
        <v>0</v>
      </c>
      <c r="K65">
        <f>IF(ISNA(VLOOKUP($A65&amp;K$1,'For stats end Y DB'!$A:$G,5,0)),0,VLOOKUP($A65&amp;K$1,'For stats end Y DB'!$A:$G,5,0))</f>
        <v>8</v>
      </c>
      <c r="L65">
        <f>IF(ISNA(VLOOKUP($A65&amp;L$1,'For stats end Y DB'!$A:$G,5,0)),0,VLOOKUP($A65&amp;L$1,'For stats end Y DB'!$A:$G,5,0))</f>
        <v>16</v>
      </c>
      <c r="M65">
        <f>IF(ISNA(VLOOKUP($A65&amp;M$1,'For stats end Y DB'!$A:$G,5,0)),0,VLOOKUP($A65&amp;M$1,'For stats end Y DB'!$A:$G,5,0))</f>
        <v>1</v>
      </c>
      <c r="N65">
        <f>IF(ISNA(VLOOKUP($A65&amp;N$1,'For stats end Y DB'!$A:$G,5,0)),0,VLOOKUP($A65&amp;N$1,'For stats end Y DB'!$A:$G,5,0))</f>
        <v>0</v>
      </c>
      <c r="O65">
        <f>IF(ISNA(VLOOKUP($A65&amp;O$1,'For stats end Y DB'!$A:$G,5,0)),0,VLOOKUP($A65&amp;O$1,'For stats end Y DB'!$A:$G,5,0))</f>
        <v>3</v>
      </c>
      <c r="P65">
        <f>IF(ISNA(VLOOKUP($A65&amp;P$1,'For stats end Y DB'!$A:$G,5,0)),0,VLOOKUP($A65&amp;P$1,'For stats end Y DB'!$A:$G,5,0))</f>
        <v>0</v>
      </c>
      <c r="Q65">
        <f>IF(ISNA(VLOOKUP($A65&amp;Q$1,'For stats end Y DB'!$A:$G,5,0)),0,VLOOKUP($A65&amp;Q$1,'For stats end Y DB'!$A:$G,5,0))</f>
        <v>0</v>
      </c>
      <c r="R65">
        <f>IF(ISNA(VLOOKUP($A65&amp;R$1,'For stats end Y DB'!$A:$G,5,0)),0,VLOOKUP($A65&amp;R$1,'For stats end Y DB'!$A:$G,5,0))</f>
        <v>17</v>
      </c>
      <c r="S65">
        <f>IF(ISNA(VLOOKUP($A65&amp;S$1,'For stats end Y DB'!$A:$G,5,0)),0,VLOOKUP($A65&amp;S$1,'For stats end Y DB'!$A:$G,5,0))</f>
        <v>0</v>
      </c>
      <c r="T65">
        <f>IF(ISNA(VLOOKUP($A65&amp;T$1,'For stats end Y DB'!$A:$G,5,0)),0,VLOOKUP($A65&amp;T$1,'For stats end Y DB'!$A:$G,5,0))</f>
        <v>0</v>
      </c>
      <c r="U65">
        <f>IF(ISNA(VLOOKUP($A65&amp;U$1,'For stats end Y DB'!$A:$G,5,0)),0,VLOOKUP($A65&amp;U$1,'For stats end Y DB'!$A:$G,5,0))</f>
        <v>0</v>
      </c>
      <c r="V65">
        <f>IF(ISNA(VLOOKUP($A65&amp;V$1,'For stats end Y DB'!$A:$G,5,0)),0,VLOOKUP($A65&amp;V$1,'For stats end Y DB'!$A:$G,5,0))</f>
        <v>0</v>
      </c>
      <c r="W65">
        <f>IF(ISNA(VLOOKUP($A65&amp;W$1,'For stats end Y DB'!$A:$G,5,0)),0,VLOOKUP($A65&amp;W$1,'For stats end Y DB'!$A:$G,5,0))</f>
        <v>8</v>
      </c>
      <c r="X65">
        <f>IF(ISNA(VLOOKUP($A65&amp;X$1,'For stats end Y DB'!$A:$G,5,0)),0,VLOOKUP($A65&amp;X$1,'For stats end Y DB'!$A:$G,5,0))</f>
        <v>0</v>
      </c>
      <c r="Y65">
        <f>IF(ISNA(VLOOKUP($A65&amp;Y$1,'For stats end Y DB'!$A:$G,5,0)),0,VLOOKUP($A65&amp;Y$1,'For stats end Y DB'!$A:$G,5,0))</f>
        <v>17</v>
      </c>
      <c r="Z65">
        <f>IF(ISNA(VLOOKUP($A65&amp;Z$1,'For stats end Y DB'!$A:$G,5,0)),0,VLOOKUP($A65&amp;Z$1,'For stats end Y DB'!$A:$G,5,0))</f>
        <v>9</v>
      </c>
      <c r="AA65">
        <f>IF(ISNA(VLOOKUP($A65&amp;AA$1,'For stats end Y DB'!$A:$G,5,0)),0,VLOOKUP($A65&amp;AA$1,'For stats end Y DB'!$A:$G,5,0))</f>
        <v>0</v>
      </c>
      <c r="AB65">
        <f>IF(ISNA(VLOOKUP($A65&amp;AB$1,'For stats end Y DB'!$A:$G,5,0)),0,VLOOKUP($A65&amp;AB$1,'For stats end Y DB'!$A:$G,5,0))</f>
        <v>0</v>
      </c>
      <c r="AC65">
        <f>IF(ISNA(VLOOKUP($A65&amp;AC$1,'For stats end Y DB'!$A:$G,5,0)),0,VLOOKUP($A65&amp;AC$1,'For stats end Y DB'!$A:$G,5,0))</f>
        <v>0</v>
      </c>
      <c r="AD65">
        <f>IF(ISNA(VLOOKUP($A65&amp;AD$1,'For stats end Y DB'!$A:$G,5,0)),0,VLOOKUP($A65&amp;AD$1,'For stats end Y DB'!$A:$G,5,0))</f>
        <v>8</v>
      </c>
      <c r="AE65">
        <f>IF(ISNA(VLOOKUP($A65&amp;AE$1,'For stats end Y DB'!$A:$G,5,0)),0,VLOOKUP($A65&amp;AE$1,'For stats end Y DB'!$A:$G,5,0))</f>
        <v>1</v>
      </c>
      <c r="AF65">
        <f>IF(ISNA(VLOOKUP($A65&amp;AF$1,'For stats end Y DB'!$A:$G,5,0)),0,VLOOKUP($A65&amp;AF$1,'For stats end Y DB'!$A:$G,5,0))</f>
        <v>0</v>
      </c>
      <c r="AG65">
        <f>IF(ISNA(VLOOKUP($A65&amp;AG$1,'For stats end Y DB'!$A:$G,5,0)),0,VLOOKUP($A65&amp;AG$1,'For stats end Y DB'!$A:$G,5,0))</f>
        <v>0</v>
      </c>
      <c r="AH65">
        <f>IF(ISNA(VLOOKUP($A65&amp;AH$1,'For stats end Y DB'!$A:$G,5,0)),0,VLOOKUP($A65&amp;AH$1,'For stats end Y DB'!$A:$G,5,0))</f>
        <v>1</v>
      </c>
      <c r="AI65">
        <f>IF(ISNA(VLOOKUP($A65&amp;AI$1,'For stats end Y DB'!$A:$G,5,0)),0,VLOOKUP($A65&amp;AI$1,'For stats end Y DB'!$A:$G,5,0))</f>
        <v>0</v>
      </c>
      <c r="AJ65">
        <f>IF(ISNA(VLOOKUP($A65&amp;AJ$1,'For stats end Y DB'!$A:$G,5,0)),0,VLOOKUP($A65&amp;AJ$1,'For stats end Y DB'!$A:$G,5,0))</f>
        <v>0</v>
      </c>
      <c r="AK65">
        <f>IF(ISNA(VLOOKUP($A65&amp;AK$1,'For stats end Y DB'!$A:$G,5,0)),0,VLOOKUP($A65&amp;AK$1,'For stats end Y DB'!$A:$G,5,0))</f>
        <v>0</v>
      </c>
      <c r="AL65">
        <f>IF(ISNA(VLOOKUP($A65&amp;AL$1,'For stats end Y DB'!$A:$G,5,0)),0,VLOOKUP($A65&amp;AL$1,'For stats end Y DB'!$A:$G,5,0))</f>
        <v>0</v>
      </c>
      <c r="AM65">
        <f>IF(ISNA(VLOOKUP($A65&amp;AM$1,'For stats end Y DB'!$A:$G,5,0)),0,VLOOKUP($A65&amp;AM$1,'For stats end Y DB'!$A:$G,5,0))</f>
        <v>0</v>
      </c>
      <c r="AN65">
        <f>IF(ISNA(VLOOKUP($A65&amp;AN$1,'For stats end Y DB'!$A:$G,5,0)),0,VLOOKUP($A65&amp;AN$1,'For stats end Y DB'!$A:$G,5,0))</f>
        <v>0</v>
      </c>
    </row>
    <row r="66" spans="1:40" x14ac:dyDescent="0.2">
      <c r="A66" t="str">
        <f>'For stats end Y class'!A66</f>
        <v>Michelbey</v>
      </c>
      <c r="B66">
        <f>IF(ISNA(VLOOKUP($A66&amp;B$1,'For stats end Y DB'!$A:$G,5,0)),0,VLOOKUP($A66&amp;B$1,'For stats end Y DB'!$A:$G,5,0))</f>
        <v>16</v>
      </c>
      <c r="C66">
        <f>IF(ISNA(VLOOKUP($A66&amp;C$1,'For stats end Y DB'!$A:$G,5,0)),0,VLOOKUP($A66&amp;C$1,'For stats end Y DB'!$A:$G,5,0))</f>
        <v>2</v>
      </c>
      <c r="D66">
        <f>IF(ISNA(VLOOKUP($A66&amp;D$1,'For stats end Y DB'!$A:$G,5,0)),0,VLOOKUP($A66&amp;D$1,'For stats end Y DB'!$A:$G,5,0))</f>
        <v>2</v>
      </c>
      <c r="E66">
        <f>IF(ISNA(VLOOKUP($A66&amp;E$1,'For stats end Y DB'!$A:$G,5,0)),0,VLOOKUP($A66&amp;E$1,'For stats end Y DB'!$A:$G,5,0))</f>
        <v>2</v>
      </c>
      <c r="F66">
        <f>IF(ISNA(VLOOKUP($A66&amp;F$1,'For stats end Y DB'!$A:$G,5,0)),0,VLOOKUP($A66&amp;F$1,'For stats end Y DB'!$A:$G,5,0))</f>
        <v>15</v>
      </c>
      <c r="G66">
        <f>IF(ISNA(VLOOKUP($A66&amp;G$1,'For stats end Y DB'!$A:$G,5,0)),0,VLOOKUP($A66&amp;G$1,'For stats end Y DB'!$A:$G,5,0))</f>
        <v>9</v>
      </c>
      <c r="H66">
        <f>IF(ISNA(VLOOKUP($A66&amp;H$1,'For stats end Y DB'!$A:$G,5,0)),0,VLOOKUP($A66&amp;H$1,'For stats end Y DB'!$A:$G,5,0))</f>
        <v>8</v>
      </c>
      <c r="I66">
        <f>IF(ISNA(VLOOKUP($A66&amp;I$1,'For stats end Y DB'!$A:$G,5,0)),0,VLOOKUP($A66&amp;I$1,'For stats end Y DB'!$A:$G,5,0))</f>
        <v>1</v>
      </c>
      <c r="J66">
        <f>IF(ISNA(VLOOKUP($A66&amp;J$1,'For stats end Y DB'!$A:$G,5,0)),0,VLOOKUP($A66&amp;J$1,'For stats end Y DB'!$A:$G,5,0))</f>
        <v>2</v>
      </c>
      <c r="K66">
        <f>IF(ISNA(VLOOKUP($A66&amp;K$1,'For stats end Y DB'!$A:$G,5,0)),0,VLOOKUP($A66&amp;K$1,'For stats end Y DB'!$A:$G,5,0))</f>
        <v>1</v>
      </c>
      <c r="L66">
        <f>IF(ISNA(VLOOKUP($A66&amp;L$1,'For stats end Y DB'!$A:$G,5,0)),0,VLOOKUP($A66&amp;L$1,'For stats end Y DB'!$A:$G,5,0))</f>
        <v>7</v>
      </c>
      <c r="M66">
        <f>IF(ISNA(VLOOKUP($A66&amp;M$1,'For stats end Y DB'!$A:$G,5,0)),0,VLOOKUP($A66&amp;M$1,'For stats end Y DB'!$A:$G,5,0))</f>
        <v>2</v>
      </c>
      <c r="N66">
        <f>IF(ISNA(VLOOKUP($A66&amp;N$1,'For stats end Y DB'!$A:$G,5,0)),0,VLOOKUP($A66&amp;N$1,'For stats end Y DB'!$A:$G,5,0))</f>
        <v>16</v>
      </c>
      <c r="O66">
        <f>IF(ISNA(VLOOKUP($A66&amp;O$1,'For stats end Y DB'!$A:$G,5,0)),0,VLOOKUP($A66&amp;O$1,'For stats end Y DB'!$A:$G,5,0))</f>
        <v>4</v>
      </c>
      <c r="P66">
        <f>IF(ISNA(VLOOKUP($A66&amp;P$1,'For stats end Y DB'!$A:$G,5,0)),0,VLOOKUP($A66&amp;P$1,'For stats end Y DB'!$A:$G,5,0))</f>
        <v>5</v>
      </c>
      <c r="Q66">
        <f>IF(ISNA(VLOOKUP($A66&amp;Q$1,'For stats end Y DB'!$A:$G,5,0)),0,VLOOKUP($A66&amp;Q$1,'For stats end Y DB'!$A:$G,5,0))</f>
        <v>17</v>
      </c>
      <c r="R66">
        <f>IF(ISNA(VLOOKUP($A66&amp;R$1,'For stats end Y DB'!$A:$G,5,0)),0,VLOOKUP($A66&amp;R$1,'For stats end Y DB'!$A:$G,5,0))</f>
        <v>9</v>
      </c>
      <c r="S66">
        <f>IF(ISNA(VLOOKUP($A66&amp;S$1,'For stats end Y DB'!$A:$G,5,0)),0,VLOOKUP($A66&amp;S$1,'For stats end Y DB'!$A:$G,5,0))</f>
        <v>9</v>
      </c>
      <c r="T66">
        <f>IF(ISNA(VLOOKUP($A66&amp;T$1,'For stats end Y DB'!$A:$G,5,0)),0,VLOOKUP($A66&amp;T$1,'For stats end Y DB'!$A:$G,5,0))</f>
        <v>4</v>
      </c>
      <c r="U66">
        <f>IF(ISNA(VLOOKUP($A66&amp;U$1,'For stats end Y DB'!$A:$G,5,0)),0,VLOOKUP($A66&amp;U$1,'For stats end Y DB'!$A:$G,5,0))</f>
        <v>1</v>
      </c>
      <c r="V66">
        <f>IF(ISNA(VLOOKUP($A66&amp;V$1,'For stats end Y DB'!$A:$G,5,0)),0,VLOOKUP($A66&amp;V$1,'For stats end Y DB'!$A:$G,5,0))</f>
        <v>8</v>
      </c>
      <c r="W66">
        <f>IF(ISNA(VLOOKUP($A66&amp;W$1,'For stats end Y DB'!$A:$G,5,0)),0,VLOOKUP($A66&amp;W$1,'For stats end Y DB'!$A:$G,5,0))</f>
        <v>1</v>
      </c>
      <c r="X66">
        <f>IF(ISNA(VLOOKUP($A66&amp;X$1,'For stats end Y DB'!$A:$G,5,0)),0,VLOOKUP($A66&amp;X$1,'For stats end Y DB'!$A:$G,5,0))</f>
        <v>17</v>
      </c>
      <c r="Y66">
        <f>IF(ISNA(VLOOKUP($A66&amp;Y$1,'For stats end Y DB'!$A:$G,5,0)),0,VLOOKUP($A66&amp;Y$1,'For stats end Y DB'!$A:$G,5,0))</f>
        <v>17</v>
      </c>
      <c r="Z66">
        <f>IF(ISNA(VLOOKUP($A66&amp;Z$1,'For stats end Y DB'!$A:$G,5,0)),0,VLOOKUP($A66&amp;Z$1,'For stats end Y DB'!$A:$G,5,0))</f>
        <v>17</v>
      </c>
      <c r="AA66">
        <f>IF(ISNA(VLOOKUP($A66&amp;AA$1,'For stats end Y DB'!$A:$G,5,0)),0,VLOOKUP($A66&amp;AA$1,'For stats end Y DB'!$A:$G,5,0))</f>
        <v>8</v>
      </c>
      <c r="AB66">
        <f>IF(ISNA(VLOOKUP($A66&amp;AB$1,'For stats end Y DB'!$A:$G,5,0)),0,VLOOKUP($A66&amp;AB$1,'For stats end Y DB'!$A:$G,5,0))</f>
        <v>2</v>
      </c>
      <c r="AC66">
        <f>IF(ISNA(VLOOKUP($A66&amp;AC$1,'For stats end Y DB'!$A:$G,5,0)),0,VLOOKUP($A66&amp;AC$1,'For stats end Y DB'!$A:$G,5,0))</f>
        <v>5</v>
      </c>
      <c r="AD66">
        <f>IF(ISNA(VLOOKUP($A66&amp;AD$1,'For stats end Y DB'!$A:$G,5,0)),0,VLOOKUP($A66&amp;AD$1,'For stats end Y DB'!$A:$G,5,0))</f>
        <v>12</v>
      </c>
      <c r="AE66">
        <f>IF(ISNA(VLOOKUP($A66&amp;AE$1,'For stats end Y DB'!$A:$G,5,0)),0,VLOOKUP($A66&amp;AE$1,'For stats end Y DB'!$A:$G,5,0))</f>
        <v>12</v>
      </c>
      <c r="AF66">
        <f>IF(ISNA(VLOOKUP($A66&amp;AF$1,'For stats end Y DB'!$A:$G,5,0)),0,VLOOKUP($A66&amp;AF$1,'For stats end Y DB'!$A:$G,5,0))</f>
        <v>1</v>
      </c>
      <c r="AG66">
        <f>IF(ISNA(VLOOKUP($A66&amp;AG$1,'For stats end Y DB'!$A:$G,5,0)),0,VLOOKUP($A66&amp;AG$1,'For stats end Y DB'!$A:$G,5,0))</f>
        <v>4</v>
      </c>
      <c r="AH66">
        <f>IF(ISNA(VLOOKUP($A66&amp;AH$1,'For stats end Y DB'!$A:$G,5,0)),0,VLOOKUP($A66&amp;AH$1,'For stats end Y DB'!$A:$G,5,0))</f>
        <v>4</v>
      </c>
      <c r="AI66">
        <f>IF(ISNA(VLOOKUP($A66&amp;AI$1,'For stats end Y DB'!$A:$G,5,0)),0,VLOOKUP($A66&amp;AI$1,'For stats end Y DB'!$A:$G,5,0))</f>
        <v>0</v>
      </c>
      <c r="AJ66">
        <f>IF(ISNA(VLOOKUP($A66&amp;AJ$1,'For stats end Y DB'!$A:$G,5,0)),0,VLOOKUP($A66&amp;AJ$1,'For stats end Y DB'!$A:$G,5,0))</f>
        <v>0</v>
      </c>
      <c r="AK66">
        <f>IF(ISNA(VLOOKUP($A66&amp;AK$1,'For stats end Y DB'!$A:$G,5,0)),0,VLOOKUP($A66&amp;AK$1,'For stats end Y DB'!$A:$G,5,0))</f>
        <v>0</v>
      </c>
      <c r="AL66">
        <f>IF(ISNA(VLOOKUP($A66&amp;AL$1,'For stats end Y DB'!$A:$G,5,0)),0,VLOOKUP($A66&amp;AL$1,'For stats end Y DB'!$A:$G,5,0))</f>
        <v>0</v>
      </c>
      <c r="AM66">
        <f>IF(ISNA(VLOOKUP($A66&amp;AM$1,'For stats end Y DB'!$A:$G,5,0)),0,VLOOKUP($A66&amp;AM$1,'For stats end Y DB'!$A:$G,5,0))</f>
        <v>0</v>
      </c>
      <c r="AN66">
        <f>IF(ISNA(VLOOKUP($A66&amp;AN$1,'For stats end Y DB'!$A:$G,5,0)),0,VLOOKUP($A66&amp;AN$1,'For stats end Y DB'!$A:$G,5,0))</f>
        <v>0</v>
      </c>
    </row>
    <row r="67" spans="1:40" x14ac:dyDescent="0.2">
      <c r="A67" t="str">
        <f>'For stats end Y class'!A67</f>
        <v>Mokarran</v>
      </c>
      <c r="B67">
        <f>IF(ISNA(VLOOKUP($A67&amp;B$1,'For stats end Y DB'!$A:$G,5,0)),0,VLOOKUP($A67&amp;B$1,'For stats end Y DB'!$A:$G,5,0))</f>
        <v>0</v>
      </c>
      <c r="C67">
        <f>IF(ISNA(VLOOKUP($A67&amp;C$1,'For stats end Y DB'!$A:$G,5,0)),0,VLOOKUP($A67&amp;C$1,'For stats end Y DB'!$A:$G,5,0))</f>
        <v>9</v>
      </c>
      <c r="D67">
        <f>IF(ISNA(VLOOKUP($A67&amp;D$1,'For stats end Y DB'!$A:$G,5,0)),0,VLOOKUP($A67&amp;D$1,'For stats end Y DB'!$A:$G,5,0))</f>
        <v>0</v>
      </c>
      <c r="E67">
        <f>IF(ISNA(VLOOKUP($A67&amp;E$1,'For stats end Y DB'!$A:$G,5,0)),0,VLOOKUP($A67&amp;E$1,'For stats end Y DB'!$A:$G,5,0))</f>
        <v>9</v>
      </c>
      <c r="F67">
        <f>IF(ISNA(VLOOKUP($A67&amp;F$1,'For stats end Y DB'!$A:$G,5,0)),0,VLOOKUP($A67&amp;F$1,'For stats end Y DB'!$A:$G,5,0))</f>
        <v>12</v>
      </c>
      <c r="G67">
        <f>IF(ISNA(VLOOKUP($A67&amp;G$1,'For stats end Y DB'!$A:$G,5,0)),0,VLOOKUP($A67&amp;G$1,'For stats end Y DB'!$A:$G,5,0))</f>
        <v>2</v>
      </c>
      <c r="H67">
        <f>IF(ISNA(VLOOKUP($A67&amp;H$1,'For stats end Y DB'!$A:$G,5,0)),0,VLOOKUP($A67&amp;H$1,'For stats end Y DB'!$A:$G,5,0))</f>
        <v>1</v>
      </c>
      <c r="I67">
        <f>IF(ISNA(VLOOKUP($A67&amp;I$1,'For stats end Y DB'!$A:$G,5,0)),0,VLOOKUP($A67&amp;I$1,'For stats end Y DB'!$A:$G,5,0))</f>
        <v>0</v>
      </c>
      <c r="J67">
        <f>IF(ISNA(VLOOKUP($A67&amp;J$1,'For stats end Y DB'!$A:$G,5,0)),0,VLOOKUP($A67&amp;J$1,'For stats end Y DB'!$A:$G,5,0))</f>
        <v>0</v>
      </c>
      <c r="K67">
        <f>IF(ISNA(VLOOKUP($A67&amp;K$1,'For stats end Y DB'!$A:$G,5,0)),0,VLOOKUP($A67&amp;K$1,'For stats end Y DB'!$A:$G,5,0))</f>
        <v>0</v>
      </c>
      <c r="L67">
        <f>IF(ISNA(VLOOKUP($A67&amp;L$1,'For stats end Y DB'!$A:$G,5,0)),0,VLOOKUP($A67&amp;L$1,'For stats end Y DB'!$A:$G,5,0))</f>
        <v>0</v>
      </c>
      <c r="M67">
        <f>IF(ISNA(VLOOKUP($A67&amp;M$1,'For stats end Y DB'!$A:$G,5,0)),0,VLOOKUP($A67&amp;M$1,'For stats end Y DB'!$A:$G,5,0))</f>
        <v>0</v>
      </c>
      <c r="N67">
        <f>IF(ISNA(VLOOKUP($A67&amp;N$1,'For stats end Y DB'!$A:$G,5,0)),0,VLOOKUP($A67&amp;N$1,'For stats end Y DB'!$A:$G,5,0))</f>
        <v>0</v>
      </c>
      <c r="O67">
        <f>IF(ISNA(VLOOKUP($A67&amp;O$1,'For stats end Y DB'!$A:$G,5,0)),0,VLOOKUP($A67&amp;O$1,'For stats end Y DB'!$A:$G,5,0))</f>
        <v>0</v>
      </c>
      <c r="P67">
        <f>IF(ISNA(VLOOKUP($A67&amp;P$1,'For stats end Y DB'!$A:$G,5,0)),0,VLOOKUP($A67&amp;P$1,'For stats end Y DB'!$A:$G,5,0))</f>
        <v>0</v>
      </c>
      <c r="Q67">
        <f>IF(ISNA(VLOOKUP($A67&amp;Q$1,'For stats end Y DB'!$A:$G,5,0)),0,VLOOKUP($A67&amp;Q$1,'For stats end Y DB'!$A:$G,5,0))</f>
        <v>0</v>
      </c>
      <c r="R67">
        <f>IF(ISNA(VLOOKUP($A67&amp;R$1,'For stats end Y DB'!$A:$G,5,0)),0,VLOOKUP($A67&amp;R$1,'For stats end Y DB'!$A:$G,5,0))</f>
        <v>0</v>
      </c>
      <c r="S67">
        <f>IF(ISNA(VLOOKUP($A67&amp;S$1,'For stats end Y DB'!$A:$G,5,0)),0,VLOOKUP($A67&amp;S$1,'For stats end Y DB'!$A:$G,5,0))</f>
        <v>0</v>
      </c>
      <c r="T67">
        <f>IF(ISNA(VLOOKUP($A67&amp;T$1,'For stats end Y DB'!$A:$G,5,0)),0,VLOOKUP($A67&amp;T$1,'For stats end Y DB'!$A:$G,5,0))</f>
        <v>0</v>
      </c>
      <c r="U67">
        <f>IF(ISNA(VLOOKUP($A67&amp;U$1,'For stats end Y DB'!$A:$G,5,0)),0,VLOOKUP($A67&amp;U$1,'For stats end Y DB'!$A:$G,5,0))</f>
        <v>0</v>
      </c>
      <c r="V67">
        <f>IF(ISNA(VLOOKUP($A67&amp;V$1,'For stats end Y DB'!$A:$G,5,0)),0,VLOOKUP($A67&amp;V$1,'For stats end Y DB'!$A:$G,5,0))</f>
        <v>0</v>
      </c>
      <c r="W67">
        <f>IF(ISNA(VLOOKUP($A67&amp;W$1,'For stats end Y DB'!$A:$G,5,0)),0,VLOOKUP($A67&amp;W$1,'For stats end Y DB'!$A:$G,5,0))</f>
        <v>0</v>
      </c>
      <c r="X67">
        <f>IF(ISNA(VLOOKUP($A67&amp;X$1,'For stats end Y DB'!$A:$G,5,0)),0,VLOOKUP($A67&amp;X$1,'For stats end Y DB'!$A:$G,5,0))</f>
        <v>0</v>
      </c>
      <c r="Y67">
        <f>IF(ISNA(VLOOKUP($A67&amp;Y$1,'For stats end Y DB'!$A:$G,5,0)),0,VLOOKUP($A67&amp;Y$1,'For stats end Y DB'!$A:$G,5,0))</f>
        <v>0</v>
      </c>
      <c r="Z67">
        <f>IF(ISNA(VLOOKUP($A67&amp;Z$1,'For stats end Y DB'!$A:$G,5,0)),0,VLOOKUP($A67&amp;Z$1,'For stats end Y DB'!$A:$G,5,0))</f>
        <v>0</v>
      </c>
      <c r="AA67">
        <f>IF(ISNA(VLOOKUP($A67&amp;AA$1,'For stats end Y DB'!$A:$G,5,0)),0,VLOOKUP($A67&amp;AA$1,'For stats end Y DB'!$A:$G,5,0))</f>
        <v>0</v>
      </c>
      <c r="AB67">
        <f>IF(ISNA(VLOOKUP($A67&amp;AB$1,'For stats end Y DB'!$A:$G,5,0)),0,VLOOKUP($A67&amp;AB$1,'For stats end Y DB'!$A:$G,5,0))</f>
        <v>0</v>
      </c>
      <c r="AC67">
        <f>IF(ISNA(VLOOKUP($A67&amp;AC$1,'For stats end Y DB'!$A:$G,5,0)),0,VLOOKUP($A67&amp;AC$1,'For stats end Y DB'!$A:$G,5,0))</f>
        <v>0</v>
      </c>
      <c r="AD67">
        <f>IF(ISNA(VLOOKUP($A67&amp;AD$1,'For stats end Y DB'!$A:$G,5,0)),0,VLOOKUP($A67&amp;AD$1,'For stats end Y DB'!$A:$G,5,0))</f>
        <v>0</v>
      </c>
      <c r="AE67">
        <f>IF(ISNA(VLOOKUP($A67&amp;AE$1,'For stats end Y DB'!$A:$G,5,0)),0,VLOOKUP($A67&amp;AE$1,'For stats end Y DB'!$A:$G,5,0))</f>
        <v>0</v>
      </c>
      <c r="AF67">
        <f>IF(ISNA(VLOOKUP($A67&amp;AF$1,'For stats end Y DB'!$A:$G,5,0)),0,VLOOKUP($A67&amp;AF$1,'For stats end Y DB'!$A:$G,5,0))</f>
        <v>0</v>
      </c>
      <c r="AG67">
        <f>IF(ISNA(VLOOKUP($A67&amp;AG$1,'For stats end Y DB'!$A:$G,5,0)),0,VLOOKUP($A67&amp;AG$1,'For stats end Y DB'!$A:$G,5,0))</f>
        <v>0</v>
      </c>
      <c r="AH67">
        <f>IF(ISNA(VLOOKUP($A67&amp;AH$1,'For stats end Y DB'!$A:$G,5,0)),0,VLOOKUP($A67&amp;AH$1,'For stats end Y DB'!$A:$G,5,0))</f>
        <v>0</v>
      </c>
      <c r="AI67">
        <f>IF(ISNA(VLOOKUP($A67&amp;AI$1,'For stats end Y DB'!$A:$G,5,0)),0,VLOOKUP($A67&amp;AI$1,'For stats end Y DB'!$A:$G,5,0))</f>
        <v>0</v>
      </c>
      <c r="AJ67">
        <f>IF(ISNA(VLOOKUP($A67&amp;AJ$1,'For stats end Y DB'!$A:$G,5,0)),0,VLOOKUP($A67&amp;AJ$1,'For stats end Y DB'!$A:$G,5,0))</f>
        <v>0</v>
      </c>
      <c r="AK67">
        <f>IF(ISNA(VLOOKUP($A67&amp;AK$1,'For stats end Y DB'!$A:$G,5,0)),0,VLOOKUP($A67&amp;AK$1,'For stats end Y DB'!$A:$G,5,0))</f>
        <v>0</v>
      </c>
      <c r="AL67">
        <f>IF(ISNA(VLOOKUP($A67&amp;AL$1,'For stats end Y DB'!$A:$G,5,0)),0,VLOOKUP($A67&amp;AL$1,'For stats end Y DB'!$A:$G,5,0))</f>
        <v>0</v>
      </c>
      <c r="AM67">
        <f>IF(ISNA(VLOOKUP($A67&amp;AM$1,'For stats end Y DB'!$A:$G,5,0)),0,VLOOKUP($A67&amp;AM$1,'For stats end Y DB'!$A:$G,5,0))</f>
        <v>0</v>
      </c>
      <c r="AN67">
        <f>IF(ISNA(VLOOKUP($A67&amp;AN$1,'For stats end Y DB'!$A:$G,5,0)),0,VLOOKUP($A67&amp;AN$1,'For stats end Y DB'!$A:$G,5,0))</f>
        <v>0</v>
      </c>
    </row>
    <row r="68" spans="1:40" x14ac:dyDescent="0.2">
      <c r="A68" t="str">
        <f>'For stats end Y class'!A68</f>
        <v>NastyLucker</v>
      </c>
      <c r="B68">
        <f>IF(ISNA(VLOOKUP($A68&amp;B$1,'For stats end Y DB'!$A:$G,5,0)),0,VLOOKUP($A68&amp;B$1,'For stats end Y DB'!$A:$G,5,0))</f>
        <v>2</v>
      </c>
      <c r="C68">
        <f>IF(ISNA(VLOOKUP($A68&amp;C$1,'For stats end Y DB'!$A:$G,5,0)),0,VLOOKUP($A68&amp;C$1,'For stats end Y DB'!$A:$G,5,0))</f>
        <v>0</v>
      </c>
      <c r="D68">
        <f>IF(ISNA(VLOOKUP($A68&amp;D$1,'For stats end Y DB'!$A:$G,5,0)),0,VLOOKUP($A68&amp;D$1,'For stats end Y DB'!$A:$G,5,0))</f>
        <v>0</v>
      </c>
      <c r="E68">
        <f>IF(ISNA(VLOOKUP($A68&amp;E$1,'For stats end Y DB'!$A:$G,5,0)),0,VLOOKUP($A68&amp;E$1,'For stats end Y DB'!$A:$G,5,0))</f>
        <v>9</v>
      </c>
      <c r="F68">
        <f>IF(ISNA(VLOOKUP($A68&amp;F$1,'For stats end Y DB'!$A:$G,5,0)),0,VLOOKUP($A68&amp;F$1,'For stats end Y DB'!$A:$G,5,0))</f>
        <v>0</v>
      </c>
      <c r="G68">
        <f>IF(ISNA(VLOOKUP($A68&amp;G$1,'For stats end Y DB'!$A:$G,5,0)),0,VLOOKUP($A68&amp;G$1,'For stats end Y DB'!$A:$G,5,0))</f>
        <v>1</v>
      </c>
      <c r="H68">
        <f>IF(ISNA(VLOOKUP($A68&amp;H$1,'For stats end Y DB'!$A:$G,5,0)),0,VLOOKUP($A68&amp;H$1,'For stats end Y DB'!$A:$G,5,0))</f>
        <v>0</v>
      </c>
      <c r="I68">
        <f>IF(ISNA(VLOOKUP($A68&amp;I$1,'For stats end Y DB'!$A:$G,5,0)),0,VLOOKUP($A68&amp;I$1,'For stats end Y DB'!$A:$G,5,0))</f>
        <v>0</v>
      </c>
      <c r="J68">
        <f>IF(ISNA(VLOOKUP($A68&amp;J$1,'For stats end Y DB'!$A:$G,5,0)),0,VLOOKUP($A68&amp;J$1,'For stats end Y DB'!$A:$G,5,0))</f>
        <v>0</v>
      </c>
      <c r="K68">
        <f>IF(ISNA(VLOOKUP($A68&amp;K$1,'For stats end Y DB'!$A:$G,5,0)),0,VLOOKUP($A68&amp;K$1,'For stats end Y DB'!$A:$G,5,0))</f>
        <v>0</v>
      </c>
      <c r="L68">
        <f>IF(ISNA(VLOOKUP($A68&amp;L$1,'For stats end Y DB'!$A:$G,5,0)),0,VLOOKUP($A68&amp;L$1,'For stats end Y DB'!$A:$G,5,0))</f>
        <v>0</v>
      </c>
      <c r="M68">
        <f>IF(ISNA(VLOOKUP($A68&amp;M$1,'For stats end Y DB'!$A:$G,5,0)),0,VLOOKUP($A68&amp;M$1,'For stats end Y DB'!$A:$G,5,0))</f>
        <v>0</v>
      </c>
      <c r="N68">
        <f>IF(ISNA(VLOOKUP($A68&amp;N$1,'For stats end Y DB'!$A:$G,5,0)),0,VLOOKUP($A68&amp;N$1,'For stats end Y DB'!$A:$G,5,0))</f>
        <v>0</v>
      </c>
      <c r="O68">
        <f>IF(ISNA(VLOOKUP($A68&amp;O$1,'For stats end Y DB'!$A:$G,5,0)),0,VLOOKUP($A68&amp;O$1,'For stats end Y DB'!$A:$G,5,0))</f>
        <v>0</v>
      </c>
      <c r="P68">
        <f>IF(ISNA(VLOOKUP($A68&amp;P$1,'For stats end Y DB'!$A:$G,5,0)),0,VLOOKUP($A68&amp;P$1,'For stats end Y DB'!$A:$G,5,0))</f>
        <v>0</v>
      </c>
      <c r="Q68">
        <f>IF(ISNA(VLOOKUP($A68&amp;Q$1,'For stats end Y DB'!$A:$G,5,0)),0,VLOOKUP($A68&amp;Q$1,'For stats end Y DB'!$A:$G,5,0))</f>
        <v>0</v>
      </c>
      <c r="R68">
        <f>IF(ISNA(VLOOKUP($A68&amp;R$1,'For stats end Y DB'!$A:$G,5,0)),0,VLOOKUP($A68&amp;R$1,'For stats end Y DB'!$A:$G,5,0))</f>
        <v>0</v>
      </c>
      <c r="S68">
        <f>IF(ISNA(VLOOKUP($A68&amp;S$1,'For stats end Y DB'!$A:$G,5,0)),0,VLOOKUP($A68&amp;S$1,'For stats end Y DB'!$A:$G,5,0))</f>
        <v>0</v>
      </c>
      <c r="T68">
        <f>IF(ISNA(VLOOKUP($A68&amp;T$1,'For stats end Y DB'!$A:$G,5,0)),0,VLOOKUP($A68&amp;T$1,'For stats end Y DB'!$A:$G,5,0))</f>
        <v>0</v>
      </c>
      <c r="U68">
        <f>IF(ISNA(VLOOKUP($A68&amp;U$1,'For stats end Y DB'!$A:$G,5,0)),0,VLOOKUP($A68&amp;U$1,'For stats end Y DB'!$A:$G,5,0))</f>
        <v>0</v>
      </c>
      <c r="V68">
        <f>IF(ISNA(VLOOKUP($A68&amp;V$1,'For stats end Y DB'!$A:$G,5,0)),0,VLOOKUP($A68&amp;V$1,'For stats end Y DB'!$A:$G,5,0))</f>
        <v>0</v>
      </c>
      <c r="W68">
        <f>IF(ISNA(VLOOKUP($A68&amp;W$1,'For stats end Y DB'!$A:$G,5,0)),0,VLOOKUP($A68&amp;W$1,'For stats end Y DB'!$A:$G,5,0))</f>
        <v>0</v>
      </c>
      <c r="X68">
        <f>IF(ISNA(VLOOKUP($A68&amp;X$1,'For stats end Y DB'!$A:$G,5,0)),0,VLOOKUP($A68&amp;X$1,'For stats end Y DB'!$A:$G,5,0))</f>
        <v>0</v>
      </c>
      <c r="Y68">
        <f>IF(ISNA(VLOOKUP($A68&amp;Y$1,'For stats end Y DB'!$A:$G,5,0)),0,VLOOKUP($A68&amp;Y$1,'For stats end Y DB'!$A:$G,5,0))</f>
        <v>0</v>
      </c>
      <c r="Z68">
        <f>IF(ISNA(VLOOKUP($A68&amp;Z$1,'For stats end Y DB'!$A:$G,5,0)),0,VLOOKUP($A68&amp;Z$1,'For stats end Y DB'!$A:$G,5,0))</f>
        <v>0</v>
      </c>
      <c r="AA68">
        <f>IF(ISNA(VLOOKUP($A68&amp;AA$1,'For stats end Y DB'!$A:$G,5,0)),0,VLOOKUP($A68&amp;AA$1,'For stats end Y DB'!$A:$G,5,0))</f>
        <v>0</v>
      </c>
      <c r="AB68">
        <f>IF(ISNA(VLOOKUP($A68&amp;AB$1,'For stats end Y DB'!$A:$G,5,0)),0,VLOOKUP($A68&amp;AB$1,'For stats end Y DB'!$A:$G,5,0))</f>
        <v>0</v>
      </c>
      <c r="AC68">
        <f>IF(ISNA(VLOOKUP($A68&amp;AC$1,'For stats end Y DB'!$A:$G,5,0)),0,VLOOKUP($A68&amp;AC$1,'For stats end Y DB'!$A:$G,5,0))</f>
        <v>0</v>
      </c>
      <c r="AD68">
        <f>IF(ISNA(VLOOKUP($A68&amp;AD$1,'For stats end Y DB'!$A:$G,5,0)),0,VLOOKUP($A68&amp;AD$1,'For stats end Y DB'!$A:$G,5,0))</f>
        <v>0</v>
      </c>
      <c r="AE68">
        <f>IF(ISNA(VLOOKUP($A68&amp;AE$1,'For stats end Y DB'!$A:$G,5,0)),0,VLOOKUP($A68&amp;AE$1,'For stats end Y DB'!$A:$G,5,0))</f>
        <v>0</v>
      </c>
      <c r="AF68">
        <f>IF(ISNA(VLOOKUP($A68&amp;AF$1,'For stats end Y DB'!$A:$G,5,0)),0,VLOOKUP($A68&amp;AF$1,'For stats end Y DB'!$A:$G,5,0))</f>
        <v>0</v>
      </c>
      <c r="AG68">
        <f>IF(ISNA(VLOOKUP($A68&amp;AG$1,'For stats end Y DB'!$A:$G,5,0)),0,VLOOKUP($A68&amp;AG$1,'For stats end Y DB'!$A:$G,5,0))</f>
        <v>0</v>
      </c>
      <c r="AH68">
        <f>IF(ISNA(VLOOKUP($A68&amp;AH$1,'For stats end Y DB'!$A:$G,5,0)),0,VLOOKUP($A68&amp;AH$1,'For stats end Y DB'!$A:$G,5,0))</f>
        <v>0</v>
      </c>
      <c r="AI68">
        <f>IF(ISNA(VLOOKUP($A68&amp;AI$1,'For stats end Y DB'!$A:$G,5,0)),0,VLOOKUP($A68&amp;AI$1,'For stats end Y DB'!$A:$G,5,0))</f>
        <v>0</v>
      </c>
      <c r="AJ68">
        <f>IF(ISNA(VLOOKUP($A68&amp;AJ$1,'For stats end Y DB'!$A:$G,5,0)),0,VLOOKUP($A68&amp;AJ$1,'For stats end Y DB'!$A:$G,5,0))</f>
        <v>0</v>
      </c>
      <c r="AK68">
        <f>IF(ISNA(VLOOKUP($A68&amp;AK$1,'For stats end Y DB'!$A:$G,5,0)),0,VLOOKUP($A68&amp;AK$1,'For stats end Y DB'!$A:$G,5,0))</f>
        <v>0</v>
      </c>
      <c r="AL68">
        <f>IF(ISNA(VLOOKUP($A68&amp;AL$1,'For stats end Y DB'!$A:$G,5,0)),0,VLOOKUP($A68&amp;AL$1,'For stats end Y DB'!$A:$G,5,0))</f>
        <v>0</v>
      </c>
      <c r="AM68">
        <f>IF(ISNA(VLOOKUP($A68&amp;AM$1,'For stats end Y DB'!$A:$G,5,0)),0,VLOOKUP($A68&amp;AM$1,'For stats end Y DB'!$A:$G,5,0))</f>
        <v>0</v>
      </c>
      <c r="AN68">
        <f>IF(ISNA(VLOOKUP($A68&amp;AN$1,'For stats end Y DB'!$A:$G,5,0)),0,VLOOKUP($A68&amp;AN$1,'For stats end Y DB'!$A:$G,5,0))</f>
        <v>0</v>
      </c>
    </row>
    <row r="69" spans="1:40" x14ac:dyDescent="0.2">
      <c r="A69" t="str">
        <f>'For stats end Y class'!A69</f>
        <v>NoDoubt</v>
      </c>
      <c r="B69">
        <f>IF(ISNA(VLOOKUP($A69&amp;B$1,'For stats end Y DB'!$A:$G,5,0)),0,VLOOKUP($A69&amp;B$1,'For stats end Y DB'!$A:$G,5,0))</f>
        <v>1</v>
      </c>
      <c r="C69">
        <f>IF(ISNA(VLOOKUP($A69&amp;C$1,'For stats end Y DB'!$A:$G,5,0)),0,VLOOKUP($A69&amp;C$1,'For stats end Y DB'!$A:$G,5,0))</f>
        <v>13</v>
      </c>
      <c r="D69">
        <f>IF(ISNA(VLOOKUP($A69&amp;D$1,'For stats end Y DB'!$A:$G,5,0)),0,VLOOKUP($A69&amp;D$1,'For stats end Y DB'!$A:$G,5,0))</f>
        <v>16</v>
      </c>
      <c r="E69">
        <f>IF(ISNA(VLOOKUP($A69&amp;E$1,'For stats end Y DB'!$A:$G,5,0)),0,VLOOKUP($A69&amp;E$1,'For stats end Y DB'!$A:$G,5,0))</f>
        <v>13</v>
      </c>
      <c r="F69">
        <f>IF(ISNA(VLOOKUP($A69&amp;F$1,'For stats end Y DB'!$A:$G,5,0)),0,VLOOKUP($A69&amp;F$1,'For stats end Y DB'!$A:$G,5,0))</f>
        <v>1</v>
      </c>
      <c r="G69">
        <f>IF(ISNA(VLOOKUP($A69&amp;G$1,'For stats end Y DB'!$A:$G,5,0)),0,VLOOKUP($A69&amp;G$1,'For stats end Y DB'!$A:$G,5,0))</f>
        <v>0</v>
      </c>
      <c r="H69">
        <f>IF(ISNA(VLOOKUP($A69&amp;H$1,'For stats end Y DB'!$A:$G,5,0)),0,VLOOKUP($A69&amp;H$1,'For stats end Y DB'!$A:$G,5,0))</f>
        <v>0</v>
      </c>
      <c r="I69">
        <f>IF(ISNA(VLOOKUP($A69&amp;I$1,'For stats end Y DB'!$A:$G,5,0)),0,VLOOKUP($A69&amp;I$1,'For stats end Y DB'!$A:$G,5,0))</f>
        <v>0</v>
      </c>
      <c r="J69">
        <f>IF(ISNA(VLOOKUP($A69&amp;J$1,'For stats end Y DB'!$A:$G,5,0)),0,VLOOKUP($A69&amp;J$1,'For stats end Y DB'!$A:$G,5,0))</f>
        <v>16</v>
      </c>
      <c r="K69">
        <f>IF(ISNA(VLOOKUP($A69&amp;K$1,'For stats end Y DB'!$A:$G,5,0)),0,VLOOKUP($A69&amp;K$1,'For stats end Y DB'!$A:$G,5,0))</f>
        <v>0</v>
      </c>
      <c r="L69">
        <f>IF(ISNA(VLOOKUP($A69&amp;L$1,'For stats end Y DB'!$A:$G,5,0)),0,VLOOKUP($A69&amp;L$1,'For stats end Y DB'!$A:$G,5,0))</f>
        <v>0</v>
      </c>
      <c r="M69">
        <f>IF(ISNA(VLOOKUP($A69&amp;M$1,'For stats end Y DB'!$A:$G,5,0)),0,VLOOKUP($A69&amp;M$1,'For stats end Y DB'!$A:$G,5,0))</f>
        <v>0</v>
      </c>
      <c r="N69">
        <f>IF(ISNA(VLOOKUP($A69&amp;N$1,'For stats end Y DB'!$A:$G,5,0)),0,VLOOKUP($A69&amp;N$1,'For stats end Y DB'!$A:$G,5,0))</f>
        <v>0</v>
      </c>
      <c r="O69">
        <f>IF(ISNA(VLOOKUP($A69&amp;O$1,'For stats end Y DB'!$A:$G,5,0)),0,VLOOKUP($A69&amp;O$1,'For stats end Y DB'!$A:$G,5,0))</f>
        <v>0</v>
      </c>
      <c r="P69">
        <f>IF(ISNA(VLOOKUP($A69&amp;P$1,'For stats end Y DB'!$A:$G,5,0)),0,VLOOKUP($A69&amp;P$1,'For stats end Y DB'!$A:$G,5,0))</f>
        <v>12</v>
      </c>
      <c r="Q69">
        <f>IF(ISNA(VLOOKUP($A69&amp;Q$1,'For stats end Y DB'!$A:$G,5,0)),0,VLOOKUP($A69&amp;Q$1,'For stats end Y DB'!$A:$G,5,0))</f>
        <v>0</v>
      </c>
      <c r="R69">
        <f>IF(ISNA(VLOOKUP($A69&amp;R$1,'For stats end Y DB'!$A:$G,5,0)),0,VLOOKUP($A69&amp;R$1,'For stats end Y DB'!$A:$G,5,0))</f>
        <v>17</v>
      </c>
      <c r="S69">
        <f>IF(ISNA(VLOOKUP($A69&amp;S$1,'For stats end Y DB'!$A:$G,5,0)),0,VLOOKUP($A69&amp;S$1,'For stats end Y DB'!$A:$G,5,0))</f>
        <v>0</v>
      </c>
      <c r="T69">
        <f>IF(ISNA(VLOOKUP($A69&amp;T$1,'For stats end Y DB'!$A:$G,5,0)),0,VLOOKUP($A69&amp;T$1,'For stats end Y DB'!$A:$G,5,0))</f>
        <v>12</v>
      </c>
      <c r="U69">
        <f>IF(ISNA(VLOOKUP($A69&amp;U$1,'For stats end Y DB'!$A:$G,5,0)),0,VLOOKUP($A69&amp;U$1,'For stats end Y DB'!$A:$G,5,0))</f>
        <v>0</v>
      </c>
      <c r="V69">
        <f>IF(ISNA(VLOOKUP($A69&amp;V$1,'For stats end Y DB'!$A:$G,5,0)),0,VLOOKUP($A69&amp;V$1,'For stats end Y DB'!$A:$G,5,0))</f>
        <v>0</v>
      </c>
      <c r="W69">
        <f>IF(ISNA(VLOOKUP($A69&amp;W$1,'For stats end Y DB'!$A:$G,5,0)),0,VLOOKUP($A69&amp;W$1,'For stats end Y DB'!$A:$G,5,0))</f>
        <v>0</v>
      </c>
      <c r="X69">
        <f>IF(ISNA(VLOOKUP($A69&amp;X$1,'For stats end Y DB'!$A:$G,5,0)),0,VLOOKUP($A69&amp;X$1,'For stats end Y DB'!$A:$G,5,0))</f>
        <v>0</v>
      </c>
      <c r="Y69">
        <f>IF(ISNA(VLOOKUP($A69&amp;Y$1,'For stats end Y DB'!$A:$G,5,0)),0,VLOOKUP($A69&amp;Y$1,'For stats end Y DB'!$A:$G,5,0))</f>
        <v>0</v>
      </c>
      <c r="Z69">
        <f>IF(ISNA(VLOOKUP($A69&amp;Z$1,'For stats end Y DB'!$A:$G,5,0)),0,VLOOKUP($A69&amp;Z$1,'For stats end Y DB'!$A:$G,5,0))</f>
        <v>0</v>
      </c>
      <c r="AA69">
        <f>IF(ISNA(VLOOKUP($A69&amp;AA$1,'For stats end Y DB'!$A:$G,5,0)),0,VLOOKUP($A69&amp;AA$1,'For stats end Y DB'!$A:$G,5,0))</f>
        <v>0</v>
      </c>
      <c r="AB69">
        <f>IF(ISNA(VLOOKUP($A69&amp;AB$1,'For stats end Y DB'!$A:$G,5,0)),0,VLOOKUP($A69&amp;AB$1,'For stats end Y DB'!$A:$G,5,0))</f>
        <v>0</v>
      </c>
      <c r="AC69">
        <f>IF(ISNA(VLOOKUP($A69&amp;AC$1,'For stats end Y DB'!$A:$G,5,0)),0,VLOOKUP($A69&amp;AC$1,'For stats end Y DB'!$A:$G,5,0))</f>
        <v>0</v>
      </c>
      <c r="AD69">
        <f>IF(ISNA(VLOOKUP($A69&amp;AD$1,'For stats end Y DB'!$A:$G,5,0)),0,VLOOKUP($A69&amp;AD$1,'For stats end Y DB'!$A:$G,5,0))</f>
        <v>0</v>
      </c>
      <c r="AE69">
        <f>IF(ISNA(VLOOKUP($A69&amp;AE$1,'For stats end Y DB'!$A:$G,5,0)),0,VLOOKUP($A69&amp;AE$1,'For stats end Y DB'!$A:$G,5,0))</f>
        <v>0</v>
      </c>
      <c r="AF69">
        <f>IF(ISNA(VLOOKUP($A69&amp;AF$1,'For stats end Y DB'!$A:$G,5,0)),0,VLOOKUP($A69&amp;AF$1,'For stats end Y DB'!$A:$G,5,0))</f>
        <v>0</v>
      </c>
      <c r="AG69">
        <f>IF(ISNA(VLOOKUP($A69&amp;AG$1,'For stats end Y DB'!$A:$G,5,0)),0,VLOOKUP($A69&amp;AG$1,'For stats end Y DB'!$A:$G,5,0))</f>
        <v>0</v>
      </c>
      <c r="AH69">
        <f>IF(ISNA(VLOOKUP($A69&amp;AH$1,'For stats end Y DB'!$A:$G,5,0)),0,VLOOKUP($A69&amp;AH$1,'For stats end Y DB'!$A:$G,5,0))</f>
        <v>0</v>
      </c>
      <c r="AI69">
        <f>IF(ISNA(VLOOKUP($A69&amp;AI$1,'For stats end Y DB'!$A:$G,5,0)),0,VLOOKUP($A69&amp;AI$1,'For stats end Y DB'!$A:$G,5,0))</f>
        <v>0</v>
      </c>
      <c r="AJ69">
        <f>IF(ISNA(VLOOKUP($A69&amp;AJ$1,'For stats end Y DB'!$A:$G,5,0)),0,VLOOKUP($A69&amp;AJ$1,'For stats end Y DB'!$A:$G,5,0))</f>
        <v>0</v>
      </c>
      <c r="AK69">
        <f>IF(ISNA(VLOOKUP($A69&amp;AK$1,'For stats end Y DB'!$A:$G,5,0)),0,VLOOKUP($A69&amp;AK$1,'For stats end Y DB'!$A:$G,5,0))</f>
        <v>0</v>
      </c>
      <c r="AL69">
        <f>IF(ISNA(VLOOKUP($A69&amp;AL$1,'For stats end Y DB'!$A:$G,5,0)),0,VLOOKUP($A69&amp;AL$1,'For stats end Y DB'!$A:$G,5,0))</f>
        <v>0</v>
      </c>
      <c r="AM69">
        <f>IF(ISNA(VLOOKUP($A69&amp;AM$1,'For stats end Y DB'!$A:$G,5,0)),0,VLOOKUP($A69&amp;AM$1,'For stats end Y DB'!$A:$G,5,0))</f>
        <v>0</v>
      </c>
      <c r="AN69">
        <f>IF(ISNA(VLOOKUP($A69&amp;AN$1,'For stats end Y DB'!$A:$G,5,0)),0,VLOOKUP($A69&amp;AN$1,'For stats end Y DB'!$A:$G,5,0))</f>
        <v>0</v>
      </c>
    </row>
    <row r="70" spans="1:40" x14ac:dyDescent="0.2">
      <c r="A70" t="str">
        <f>'For stats end Y class'!A70</f>
        <v>Oldex</v>
      </c>
      <c r="B70">
        <f>IF(ISNA(VLOOKUP($A70&amp;B$1,'For stats end Y DB'!$A:$G,5,0)),0,VLOOKUP($A70&amp;B$1,'For stats end Y DB'!$A:$G,5,0))</f>
        <v>0</v>
      </c>
      <c r="C70">
        <f>IF(ISNA(VLOOKUP($A70&amp;C$1,'For stats end Y DB'!$A:$G,5,0)),0,VLOOKUP($A70&amp;C$1,'For stats end Y DB'!$A:$G,5,0))</f>
        <v>0</v>
      </c>
      <c r="D70">
        <f>IF(ISNA(VLOOKUP($A70&amp;D$1,'For stats end Y DB'!$A:$G,5,0)),0,VLOOKUP($A70&amp;D$1,'For stats end Y DB'!$A:$G,5,0))</f>
        <v>0</v>
      </c>
      <c r="E70">
        <f>IF(ISNA(VLOOKUP($A70&amp;E$1,'For stats end Y DB'!$A:$G,5,0)),0,VLOOKUP($A70&amp;E$1,'For stats end Y DB'!$A:$G,5,0))</f>
        <v>0</v>
      </c>
      <c r="F70">
        <f>IF(ISNA(VLOOKUP($A70&amp;F$1,'For stats end Y DB'!$A:$G,5,0)),0,VLOOKUP($A70&amp;F$1,'For stats end Y DB'!$A:$G,5,0))</f>
        <v>0</v>
      </c>
      <c r="G70">
        <f>IF(ISNA(VLOOKUP($A70&amp;G$1,'For stats end Y DB'!$A:$G,5,0)),0,VLOOKUP($A70&amp;G$1,'For stats end Y DB'!$A:$G,5,0))</f>
        <v>0</v>
      </c>
      <c r="H70">
        <f>IF(ISNA(VLOOKUP($A70&amp;H$1,'For stats end Y DB'!$A:$G,5,0)),0,VLOOKUP($A70&amp;H$1,'For stats end Y DB'!$A:$G,5,0))</f>
        <v>0</v>
      </c>
      <c r="I70">
        <f>IF(ISNA(VLOOKUP($A70&amp;I$1,'For stats end Y DB'!$A:$G,5,0)),0,VLOOKUP($A70&amp;I$1,'For stats end Y DB'!$A:$G,5,0))</f>
        <v>0</v>
      </c>
      <c r="J70">
        <f>IF(ISNA(VLOOKUP($A70&amp;J$1,'For stats end Y DB'!$A:$G,5,0)),0,VLOOKUP($A70&amp;J$1,'For stats end Y DB'!$A:$G,5,0))</f>
        <v>0</v>
      </c>
      <c r="K70">
        <f>IF(ISNA(VLOOKUP($A70&amp;K$1,'For stats end Y DB'!$A:$G,5,0)),0,VLOOKUP($A70&amp;K$1,'For stats end Y DB'!$A:$G,5,0))</f>
        <v>0</v>
      </c>
      <c r="L70">
        <f>IF(ISNA(VLOOKUP($A70&amp;L$1,'For stats end Y DB'!$A:$G,5,0)),0,VLOOKUP($A70&amp;L$1,'For stats end Y DB'!$A:$G,5,0))</f>
        <v>0</v>
      </c>
      <c r="M70">
        <f>IF(ISNA(VLOOKUP($A70&amp;M$1,'For stats end Y DB'!$A:$G,5,0)),0,VLOOKUP($A70&amp;M$1,'For stats end Y DB'!$A:$G,5,0))</f>
        <v>0</v>
      </c>
      <c r="N70">
        <f>IF(ISNA(VLOOKUP($A70&amp;N$1,'For stats end Y DB'!$A:$G,5,0)),0,VLOOKUP($A70&amp;N$1,'For stats end Y DB'!$A:$G,5,0))</f>
        <v>0</v>
      </c>
      <c r="O70">
        <f>IF(ISNA(VLOOKUP($A70&amp;O$1,'For stats end Y DB'!$A:$G,5,0)),0,VLOOKUP($A70&amp;O$1,'For stats end Y DB'!$A:$G,5,0))</f>
        <v>0</v>
      </c>
      <c r="P70">
        <f>IF(ISNA(VLOOKUP($A70&amp;P$1,'For stats end Y DB'!$A:$G,5,0)),0,VLOOKUP($A70&amp;P$1,'For stats end Y DB'!$A:$G,5,0))</f>
        <v>0</v>
      </c>
      <c r="Q70">
        <f>IF(ISNA(VLOOKUP($A70&amp;Q$1,'For stats end Y DB'!$A:$G,5,0)),0,VLOOKUP($A70&amp;Q$1,'For stats end Y DB'!$A:$G,5,0))</f>
        <v>13</v>
      </c>
      <c r="R70">
        <f>IF(ISNA(VLOOKUP($A70&amp;R$1,'For stats end Y DB'!$A:$G,5,0)),0,VLOOKUP($A70&amp;R$1,'For stats end Y DB'!$A:$G,5,0))</f>
        <v>0</v>
      </c>
      <c r="S70">
        <f>IF(ISNA(VLOOKUP($A70&amp;S$1,'For stats end Y DB'!$A:$G,5,0)),0,VLOOKUP($A70&amp;S$1,'For stats end Y DB'!$A:$G,5,0))</f>
        <v>0</v>
      </c>
      <c r="T70">
        <f>IF(ISNA(VLOOKUP($A70&amp;T$1,'For stats end Y DB'!$A:$G,5,0)),0,VLOOKUP($A70&amp;T$1,'For stats end Y DB'!$A:$G,5,0))</f>
        <v>0</v>
      </c>
      <c r="U70">
        <f>IF(ISNA(VLOOKUP($A70&amp;U$1,'For stats end Y DB'!$A:$G,5,0)),0,VLOOKUP($A70&amp;U$1,'For stats end Y DB'!$A:$G,5,0))</f>
        <v>0</v>
      </c>
      <c r="V70">
        <f>IF(ISNA(VLOOKUP($A70&amp;V$1,'For stats end Y DB'!$A:$G,5,0)),0,VLOOKUP($A70&amp;V$1,'For stats end Y DB'!$A:$G,5,0))</f>
        <v>0</v>
      </c>
      <c r="W70">
        <f>IF(ISNA(VLOOKUP($A70&amp;W$1,'For stats end Y DB'!$A:$G,5,0)),0,VLOOKUP($A70&amp;W$1,'For stats end Y DB'!$A:$G,5,0))</f>
        <v>0</v>
      </c>
      <c r="X70">
        <f>IF(ISNA(VLOOKUP($A70&amp;X$1,'For stats end Y DB'!$A:$G,5,0)),0,VLOOKUP($A70&amp;X$1,'For stats end Y DB'!$A:$G,5,0))</f>
        <v>0</v>
      </c>
      <c r="Y70">
        <f>IF(ISNA(VLOOKUP($A70&amp;Y$1,'For stats end Y DB'!$A:$G,5,0)),0,VLOOKUP($A70&amp;Y$1,'For stats end Y DB'!$A:$G,5,0))</f>
        <v>0</v>
      </c>
      <c r="Z70">
        <f>IF(ISNA(VLOOKUP($A70&amp;Z$1,'For stats end Y DB'!$A:$G,5,0)),0,VLOOKUP($A70&amp;Z$1,'For stats end Y DB'!$A:$G,5,0))</f>
        <v>0</v>
      </c>
      <c r="AA70">
        <f>IF(ISNA(VLOOKUP($A70&amp;AA$1,'For stats end Y DB'!$A:$G,5,0)),0,VLOOKUP($A70&amp;AA$1,'For stats end Y DB'!$A:$G,5,0))</f>
        <v>0</v>
      </c>
      <c r="AB70">
        <f>IF(ISNA(VLOOKUP($A70&amp;AB$1,'For stats end Y DB'!$A:$G,5,0)),0,VLOOKUP($A70&amp;AB$1,'For stats end Y DB'!$A:$G,5,0))</f>
        <v>0</v>
      </c>
      <c r="AC70">
        <f>IF(ISNA(VLOOKUP($A70&amp;AC$1,'For stats end Y DB'!$A:$G,5,0)),0,VLOOKUP($A70&amp;AC$1,'For stats end Y DB'!$A:$G,5,0))</f>
        <v>0</v>
      </c>
      <c r="AD70">
        <f>IF(ISNA(VLOOKUP($A70&amp;AD$1,'For stats end Y DB'!$A:$G,5,0)),0,VLOOKUP($A70&amp;AD$1,'For stats end Y DB'!$A:$G,5,0))</f>
        <v>0</v>
      </c>
      <c r="AE70">
        <f>IF(ISNA(VLOOKUP($A70&amp;AE$1,'For stats end Y DB'!$A:$G,5,0)),0,VLOOKUP($A70&amp;AE$1,'For stats end Y DB'!$A:$G,5,0))</f>
        <v>0</v>
      </c>
      <c r="AF70">
        <f>IF(ISNA(VLOOKUP($A70&amp;AF$1,'For stats end Y DB'!$A:$G,5,0)),0,VLOOKUP($A70&amp;AF$1,'For stats end Y DB'!$A:$G,5,0))</f>
        <v>0</v>
      </c>
      <c r="AG70">
        <f>IF(ISNA(VLOOKUP($A70&amp;AG$1,'For stats end Y DB'!$A:$G,5,0)),0,VLOOKUP($A70&amp;AG$1,'For stats end Y DB'!$A:$G,5,0))</f>
        <v>0</v>
      </c>
      <c r="AH70">
        <f>IF(ISNA(VLOOKUP($A70&amp;AH$1,'For stats end Y DB'!$A:$G,5,0)),0,VLOOKUP($A70&amp;AH$1,'For stats end Y DB'!$A:$G,5,0))</f>
        <v>0</v>
      </c>
      <c r="AI70">
        <f>IF(ISNA(VLOOKUP($A70&amp;AI$1,'For stats end Y DB'!$A:$G,5,0)),0,VLOOKUP($A70&amp;AI$1,'For stats end Y DB'!$A:$G,5,0))</f>
        <v>0</v>
      </c>
      <c r="AJ70">
        <f>IF(ISNA(VLOOKUP($A70&amp;AJ$1,'For stats end Y DB'!$A:$G,5,0)),0,VLOOKUP($A70&amp;AJ$1,'For stats end Y DB'!$A:$G,5,0))</f>
        <v>0</v>
      </c>
      <c r="AK70">
        <f>IF(ISNA(VLOOKUP($A70&amp;AK$1,'For stats end Y DB'!$A:$G,5,0)),0,VLOOKUP($A70&amp;AK$1,'For stats end Y DB'!$A:$G,5,0))</f>
        <v>0</v>
      </c>
      <c r="AL70">
        <f>IF(ISNA(VLOOKUP($A70&amp;AL$1,'For stats end Y DB'!$A:$G,5,0)),0,VLOOKUP($A70&amp;AL$1,'For stats end Y DB'!$A:$G,5,0))</f>
        <v>0</v>
      </c>
      <c r="AM70">
        <f>IF(ISNA(VLOOKUP($A70&amp;AM$1,'For stats end Y DB'!$A:$G,5,0)),0,VLOOKUP($A70&amp;AM$1,'For stats end Y DB'!$A:$G,5,0))</f>
        <v>0</v>
      </c>
      <c r="AN70">
        <f>IF(ISNA(VLOOKUP($A70&amp;AN$1,'For stats end Y DB'!$A:$G,5,0)),0,VLOOKUP($A70&amp;AN$1,'For stats end Y DB'!$A:$G,5,0))</f>
        <v>0</v>
      </c>
    </row>
    <row r="71" spans="1:40" x14ac:dyDescent="0.2">
      <c r="A71" t="str">
        <f>'For stats end Y class'!A71</f>
        <v>OlivierN92</v>
      </c>
      <c r="B71">
        <f>IF(ISNA(VLOOKUP($A71&amp;B$1,'For stats end Y DB'!$A:$G,5,0)),0,VLOOKUP($A71&amp;B$1,'For stats end Y DB'!$A:$G,5,0))</f>
        <v>16</v>
      </c>
      <c r="C71">
        <f>IF(ISNA(VLOOKUP($A71&amp;C$1,'For stats end Y DB'!$A:$G,5,0)),0,VLOOKUP($A71&amp;C$1,'For stats end Y DB'!$A:$G,5,0))</f>
        <v>0</v>
      </c>
      <c r="D71">
        <f>IF(ISNA(VLOOKUP($A71&amp;D$1,'For stats end Y DB'!$A:$G,5,0)),0,VLOOKUP($A71&amp;D$1,'For stats end Y DB'!$A:$G,5,0))</f>
        <v>2</v>
      </c>
      <c r="E71">
        <f>IF(ISNA(VLOOKUP($A71&amp;E$1,'For stats end Y DB'!$A:$G,5,0)),0,VLOOKUP($A71&amp;E$1,'For stats end Y DB'!$A:$G,5,0))</f>
        <v>3</v>
      </c>
      <c r="F71">
        <f>IF(ISNA(VLOOKUP($A71&amp;F$1,'For stats end Y DB'!$A:$G,5,0)),0,VLOOKUP($A71&amp;F$1,'For stats end Y DB'!$A:$G,5,0))</f>
        <v>0</v>
      </c>
      <c r="G71">
        <f>IF(ISNA(VLOOKUP($A71&amp;G$1,'For stats end Y DB'!$A:$G,5,0)),0,VLOOKUP($A71&amp;G$1,'For stats end Y DB'!$A:$G,5,0))</f>
        <v>5</v>
      </c>
      <c r="H71">
        <f>IF(ISNA(VLOOKUP($A71&amp;H$1,'For stats end Y DB'!$A:$G,5,0)),0,VLOOKUP($A71&amp;H$1,'For stats end Y DB'!$A:$G,5,0))</f>
        <v>2</v>
      </c>
      <c r="I71">
        <f>IF(ISNA(VLOOKUP($A71&amp;I$1,'For stats end Y DB'!$A:$G,5,0)),0,VLOOKUP($A71&amp;I$1,'For stats end Y DB'!$A:$G,5,0))</f>
        <v>5</v>
      </c>
      <c r="J71">
        <f>IF(ISNA(VLOOKUP($A71&amp;J$1,'For stats end Y DB'!$A:$G,5,0)),0,VLOOKUP($A71&amp;J$1,'For stats end Y DB'!$A:$G,5,0))</f>
        <v>0</v>
      </c>
      <c r="K71">
        <f>IF(ISNA(VLOOKUP($A71&amp;K$1,'For stats end Y DB'!$A:$G,5,0)),0,VLOOKUP($A71&amp;K$1,'For stats end Y DB'!$A:$G,5,0))</f>
        <v>0</v>
      </c>
      <c r="L71">
        <f>IF(ISNA(VLOOKUP($A71&amp;L$1,'For stats end Y DB'!$A:$G,5,0)),0,VLOOKUP($A71&amp;L$1,'For stats end Y DB'!$A:$G,5,0))</f>
        <v>0</v>
      </c>
      <c r="M71">
        <f>IF(ISNA(VLOOKUP($A71&amp;M$1,'For stats end Y DB'!$A:$G,5,0)),0,VLOOKUP($A71&amp;M$1,'For stats end Y DB'!$A:$G,5,0))</f>
        <v>8</v>
      </c>
      <c r="N71">
        <f>IF(ISNA(VLOOKUP($A71&amp;N$1,'For stats end Y DB'!$A:$G,5,0)),0,VLOOKUP($A71&amp;N$1,'For stats end Y DB'!$A:$G,5,0))</f>
        <v>0</v>
      </c>
      <c r="O71">
        <f>IF(ISNA(VLOOKUP($A71&amp;O$1,'For stats end Y DB'!$A:$G,5,0)),0,VLOOKUP($A71&amp;O$1,'For stats end Y DB'!$A:$G,5,0))</f>
        <v>16</v>
      </c>
      <c r="P71">
        <f>IF(ISNA(VLOOKUP($A71&amp;P$1,'For stats end Y DB'!$A:$G,5,0)),0,VLOOKUP($A71&amp;P$1,'For stats end Y DB'!$A:$G,5,0))</f>
        <v>8</v>
      </c>
      <c r="Q71">
        <f>IF(ISNA(VLOOKUP($A71&amp;Q$1,'For stats end Y DB'!$A:$G,5,0)),0,VLOOKUP($A71&amp;Q$1,'For stats end Y DB'!$A:$G,5,0))</f>
        <v>1</v>
      </c>
      <c r="R71">
        <f>IF(ISNA(VLOOKUP($A71&amp;R$1,'For stats end Y DB'!$A:$G,5,0)),0,VLOOKUP($A71&amp;R$1,'For stats end Y DB'!$A:$G,5,0))</f>
        <v>0</v>
      </c>
      <c r="S71">
        <f>IF(ISNA(VLOOKUP($A71&amp;S$1,'For stats end Y DB'!$A:$G,5,0)),0,VLOOKUP($A71&amp;S$1,'For stats end Y DB'!$A:$G,5,0))</f>
        <v>0</v>
      </c>
      <c r="T71">
        <f>IF(ISNA(VLOOKUP($A71&amp;T$1,'For stats end Y DB'!$A:$G,5,0)),0,VLOOKUP($A71&amp;T$1,'For stats end Y DB'!$A:$G,5,0))</f>
        <v>0</v>
      </c>
      <c r="U71">
        <f>IF(ISNA(VLOOKUP($A71&amp;U$1,'For stats end Y DB'!$A:$G,5,0)),0,VLOOKUP($A71&amp;U$1,'For stats end Y DB'!$A:$G,5,0))</f>
        <v>12</v>
      </c>
      <c r="V71">
        <f>IF(ISNA(VLOOKUP($A71&amp;V$1,'For stats end Y DB'!$A:$G,5,0)),0,VLOOKUP($A71&amp;V$1,'For stats end Y DB'!$A:$G,5,0))</f>
        <v>1</v>
      </c>
      <c r="W71">
        <f>IF(ISNA(VLOOKUP($A71&amp;W$1,'For stats end Y DB'!$A:$G,5,0)),0,VLOOKUP($A71&amp;W$1,'For stats end Y DB'!$A:$G,5,0))</f>
        <v>17</v>
      </c>
      <c r="X71">
        <f>IF(ISNA(VLOOKUP($A71&amp;X$1,'For stats end Y DB'!$A:$G,5,0)),0,VLOOKUP($A71&amp;X$1,'For stats end Y DB'!$A:$G,5,0))</f>
        <v>3</v>
      </c>
      <c r="Y71">
        <f>IF(ISNA(VLOOKUP($A71&amp;Y$1,'For stats end Y DB'!$A:$G,5,0)),0,VLOOKUP($A71&amp;Y$1,'For stats end Y DB'!$A:$G,5,0))</f>
        <v>13</v>
      </c>
      <c r="Z71">
        <f>IF(ISNA(VLOOKUP($A71&amp;Z$1,'For stats end Y DB'!$A:$G,5,0)),0,VLOOKUP($A71&amp;Z$1,'For stats end Y DB'!$A:$G,5,0))</f>
        <v>0</v>
      </c>
      <c r="AA71">
        <f>IF(ISNA(VLOOKUP($A71&amp;AA$1,'For stats end Y DB'!$A:$G,5,0)),0,VLOOKUP($A71&amp;AA$1,'For stats end Y DB'!$A:$G,5,0))</f>
        <v>0</v>
      </c>
      <c r="AB71">
        <f>IF(ISNA(VLOOKUP($A71&amp;AB$1,'For stats end Y DB'!$A:$G,5,0)),0,VLOOKUP($A71&amp;AB$1,'For stats end Y DB'!$A:$G,5,0))</f>
        <v>4</v>
      </c>
      <c r="AC71">
        <f>IF(ISNA(VLOOKUP($A71&amp;AC$1,'For stats end Y DB'!$A:$G,5,0)),0,VLOOKUP($A71&amp;AC$1,'For stats end Y DB'!$A:$G,5,0))</f>
        <v>2</v>
      </c>
      <c r="AD71">
        <f>IF(ISNA(VLOOKUP($A71&amp;AD$1,'For stats end Y DB'!$A:$G,5,0)),0,VLOOKUP($A71&amp;AD$1,'For stats end Y DB'!$A:$G,5,0))</f>
        <v>0</v>
      </c>
      <c r="AE71">
        <f>IF(ISNA(VLOOKUP($A71&amp;AE$1,'For stats end Y DB'!$A:$G,5,0)),0,VLOOKUP($A71&amp;AE$1,'For stats end Y DB'!$A:$G,5,0))</f>
        <v>9</v>
      </c>
      <c r="AF71">
        <f>IF(ISNA(VLOOKUP($A71&amp;AF$1,'For stats end Y DB'!$A:$G,5,0)),0,VLOOKUP($A71&amp;AF$1,'For stats end Y DB'!$A:$G,5,0))</f>
        <v>2</v>
      </c>
      <c r="AG71">
        <f>IF(ISNA(VLOOKUP($A71&amp;AG$1,'For stats end Y DB'!$A:$G,5,0)),0,VLOOKUP($A71&amp;AG$1,'For stats end Y DB'!$A:$G,5,0))</f>
        <v>11</v>
      </c>
      <c r="AH71">
        <f>IF(ISNA(VLOOKUP($A71&amp;AH$1,'For stats end Y DB'!$A:$G,5,0)),0,VLOOKUP($A71&amp;AH$1,'For stats end Y DB'!$A:$G,5,0))</f>
        <v>12</v>
      </c>
      <c r="AI71">
        <f>IF(ISNA(VLOOKUP($A71&amp;AI$1,'For stats end Y DB'!$A:$G,5,0)),0,VLOOKUP($A71&amp;AI$1,'For stats end Y DB'!$A:$G,5,0))</f>
        <v>0</v>
      </c>
      <c r="AJ71">
        <f>IF(ISNA(VLOOKUP($A71&amp;AJ$1,'For stats end Y DB'!$A:$G,5,0)),0,VLOOKUP($A71&amp;AJ$1,'For stats end Y DB'!$A:$G,5,0))</f>
        <v>0</v>
      </c>
      <c r="AK71">
        <f>IF(ISNA(VLOOKUP($A71&amp;AK$1,'For stats end Y DB'!$A:$G,5,0)),0,VLOOKUP($A71&amp;AK$1,'For stats end Y DB'!$A:$G,5,0))</f>
        <v>0</v>
      </c>
      <c r="AL71">
        <f>IF(ISNA(VLOOKUP($A71&amp;AL$1,'For stats end Y DB'!$A:$G,5,0)),0,VLOOKUP($A71&amp;AL$1,'For stats end Y DB'!$A:$G,5,0))</f>
        <v>0</v>
      </c>
      <c r="AM71">
        <f>IF(ISNA(VLOOKUP($A71&amp;AM$1,'For stats end Y DB'!$A:$G,5,0)),0,VLOOKUP($A71&amp;AM$1,'For stats end Y DB'!$A:$G,5,0))</f>
        <v>0</v>
      </c>
      <c r="AN71">
        <f>IF(ISNA(VLOOKUP($A71&amp;AN$1,'For stats end Y DB'!$A:$G,5,0)),0,VLOOKUP($A71&amp;AN$1,'For stats end Y DB'!$A:$G,5,0))</f>
        <v>0</v>
      </c>
    </row>
    <row r="72" spans="1:40" x14ac:dyDescent="0.2">
      <c r="A72" t="str">
        <f>'For stats end Y class'!A72</f>
        <v>Ouais ouais</v>
      </c>
      <c r="B72">
        <f>IF(ISNA(VLOOKUP($A72&amp;B$1,'For stats end Y DB'!$A:$G,5,0)),0,VLOOKUP($A72&amp;B$1,'For stats end Y DB'!$A:$G,5,0))</f>
        <v>0</v>
      </c>
      <c r="C72">
        <f>IF(ISNA(VLOOKUP($A72&amp;C$1,'For stats end Y DB'!$A:$G,5,0)),0,VLOOKUP($A72&amp;C$1,'For stats end Y DB'!$A:$G,5,0))</f>
        <v>0</v>
      </c>
      <c r="D72">
        <f>IF(ISNA(VLOOKUP($A72&amp;D$1,'For stats end Y DB'!$A:$G,5,0)),0,VLOOKUP($A72&amp;D$1,'For stats end Y DB'!$A:$G,5,0))</f>
        <v>2</v>
      </c>
      <c r="E72">
        <f>IF(ISNA(VLOOKUP($A72&amp;E$1,'For stats end Y DB'!$A:$G,5,0)),0,VLOOKUP($A72&amp;E$1,'For stats end Y DB'!$A:$G,5,0))</f>
        <v>13</v>
      </c>
      <c r="F72">
        <f>IF(ISNA(VLOOKUP($A72&amp;F$1,'For stats end Y DB'!$A:$G,5,0)),0,VLOOKUP($A72&amp;F$1,'For stats end Y DB'!$A:$G,5,0))</f>
        <v>0</v>
      </c>
      <c r="G72">
        <f>IF(ISNA(VLOOKUP($A72&amp;G$1,'For stats end Y DB'!$A:$G,5,0)),0,VLOOKUP($A72&amp;G$1,'For stats end Y DB'!$A:$G,5,0))</f>
        <v>3</v>
      </c>
      <c r="H72">
        <f>IF(ISNA(VLOOKUP($A72&amp;H$1,'For stats end Y DB'!$A:$G,5,0)),0,VLOOKUP($A72&amp;H$1,'For stats end Y DB'!$A:$G,5,0))</f>
        <v>1</v>
      </c>
      <c r="I72">
        <f>IF(ISNA(VLOOKUP($A72&amp;I$1,'For stats end Y DB'!$A:$G,5,0)),0,VLOOKUP($A72&amp;I$1,'For stats end Y DB'!$A:$G,5,0))</f>
        <v>1</v>
      </c>
      <c r="J72">
        <f>IF(ISNA(VLOOKUP($A72&amp;J$1,'For stats end Y DB'!$A:$G,5,0)),0,VLOOKUP($A72&amp;J$1,'For stats end Y DB'!$A:$G,5,0))</f>
        <v>0</v>
      </c>
      <c r="K72">
        <f>IF(ISNA(VLOOKUP($A72&amp;K$1,'For stats end Y DB'!$A:$G,5,0)),0,VLOOKUP($A72&amp;K$1,'For stats end Y DB'!$A:$G,5,0))</f>
        <v>8</v>
      </c>
      <c r="L72">
        <f>IF(ISNA(VLOOKUP($A72&amp;L$1,'For stats end Y DB'!$A:$G,5,0)),0,VLOOKUP($A72&amp;L$1,'For stats end Y DB'!$A:$G,5,0))</f>
        <v>0</v>
      </c>
      <c r="M72">
        <f>IF(ISNA(VLOOKUP($A72&amp;M$1,'For stats end Y DB'!$A:$G,5,0)),0,VLOOKUP($A72&amp;M$1,'For stats end Y DB'!$A:$G,5,0))</f>
        <v>0</v>
      </c>
      <c r="N72">
        <f>IF(ISNA(VLOOKUP($A72&amp;N$1,'For stats end Y DB'!$A:$G,5,0)),0,VLOOKUP($A72&amp;N$1,'For stats end Y DB'!$A:$G,5,0))</f>
        <v>0</v>
      </c>
      <c r="O72">
        <f>IF(ISNA(VLOOKUP($A72&amp;O$1,'For stats end Y DB'!$A:$G,5,0)),0,VLOOKUP($A72&amp;O$1,'For stats end Y DB'!$A:$G,5,0))</f>
        <v>0</v>
      </c>
      <c r="P72">
        <f>IF(ISNA(VLOOKUP($A72&amp;P$1,'For stats end Y DB'!$A:$G,5,0)),0,VLOOKUP($A72&amp;P$1,'For stats end Y DB'!$A:$G,5,0))</f>
        <v>17</v>
      </c>
      <c r="Q72">
        <f>IF(ISNA(VLOOKUP($A72&amp;Q$1,'For stats end Y DB'!$A:$G,5,0)),0,VLOOKUP($A72&amp;Q$1,'For stats end Y DB'!$A:$G,5,0))</f>
        <v>0</v>
      </c>
      <c r="R72">
        <f>IF(ISNA(VLOOKUP($A72&amp;R$1,'For stats end Y DB'!$A:$G,5,0)),0,VLOOKUP($A72&amp;R$1,'For stats end Y DB'!$A:$G,5,0))</f>
        <v>0</v>
      </c>
      <c r="S72">
        <f>IF(ISNA(VLOOKUP($A72&amp;S$1,'For stats end Y DB'!$A:$G,5,0)),0,VLOOKUP($A72&amp;S$1,'For stats end Y DB'!$A:$G,5,0))</f>
        <v>5</v>
      </c>
      <c r="T72">
        <f>IF(ISNA(VLOOKUP($A72&amp;T$1,'For stats end Y DB'!$A:$G,5,0)),0,VLOOKUP($A72&amp;T$1,'For stats end Y DB'!$A:$G,5,0))</f>
        <v>0</v>
      </c>
      <c r="U72">
        <f>IF(ISNA(VLOOKUP($A72&amp;U$1,'For stats end Y DB'!$A:$G,5,0)),0,VLOOKUP($A72&amp;U$1,'For stats end Y DB'!$A:$G,5,0))</f>
        <v>11</v>
      </c>
      <c r="V72">
        <f>IF(ISNA(VLOOKUP($A72&amp;V$1,'For stats end Y DB'!$A:$G,5,0)),0,VLOOKUP($A72&amp;V$1,'For stats end Y DB'!$A:$G,5,0))</f>
        <v>0</v>
      </c>
      <c r="W72">
        <f>IF(ISNA(VLOOKUP($A72&amp;W$1,'For stats end Y DB'!$A:$G,5,0)),0,VLOOKUP($A72&amp;W$1,'For stats end Y DB'!$A:$G,5,0))</f>
        <v>5</v>
      </c>
      <c r="X72">
        <f>IF(ISNA(VLOOKUP($A72&amp;X$1,'For stats end Y DB'!$A:$G,5,0)),0,VLOOKUP($A72&amp;X$1,'For stats end Y DB'!$A:$G,5,0))</f>
        <v>9</v>
      </c>
      <c r="Y72">
        <f>IF(ISNA(VLOOKUP($A72&amp;Y$1,'For stats end Y DB'!$A:$G,5,0)),0,VLOOKUP($A72&amp;Y$1,'For stats end Y DB'!$A:$G,5,0))</f>
        <v>0</v>
      </c>
      <c r="Z72">
        <f>IF(ISNA(VLOOKUP($A72&amp;Z$1,'For stats end Y DB'!$A:$G,5,0)),0,VLOOKUP($A72&amp;Z$1,'For stats end Y DB'!$A:$G,5,0))</f>
        <v>8</v>
      </c>
      <c r="AA72">
        <f>IF(ISNA(VLOOKUP($A72&amp;AA$1,'For stats end Y DB'!$A:$G,5,0)),0,VLOOKUP($A72&amp;AA$1,'For stats end Y DB'!$A:$G,5,0))</f>
        <v>0</v>
      </c>
      <c r="AB72">
        <f>IF(ISNA(VLOOKUP($A72&amp;AB$1,'For stats end Y DB'!$A:$G,5,0)),0,VLOOKUP($A72&amp;AB$1,'For stats end Y DB'!$A:$G,5,0))</f>
        <v>2</v>
      </c>
      <c r="AC72">
        <f>IF(ISNA(VLOOKUP($A72&amp;AC$1,'For stats end Y DB'!$A:$G,5,0)),0,VLOOKUP($A72&amp;AC$1,'For stats end Y DB'!$A:$G,5,0))</f>
        <v>0</v>
      </c>
      <c r="AD72">
        <f>IF(ISNA(VLOOKUP($A72&amp;AD$1,'For stats end Y DB'!$A:$G,5,0)),0,VLOOKUP($A72&amp;AD$1,'For stats end Y DB'!$A:$G,5,0))</f>
        <v>0</v>
      </c>
      <c r="AE72">
        <f>IF(ISNA(VLOOKUP($A72&amp;AE$1,'For stats end Y DB'!$A:$G,5,0)),0,VLOOKUP($A72&amp;AE$1,'For stats end Y DB'!$A:$G,5,0))</f>
        <v>0</v>
      </c>
      <c r="AF72">
        <f>IF(ISNA(VLOOKUP($A72&amp;AF$1,'For stats end Y DB'!$A:$G,5,0)),0,VLOOKUP($A72&amp;AF$1,'For stats end Y DB'!$A:$G,5,0))</f>
        <v>0</v>
      </c>
      <c r="AG72">
        <f>IF(ISNA(VLOOKUP($A72&amp;AG$1,'For stats end Y DB'!$A:$G,5,0)),0,VLOOKUP($A72&amp;AG$1,'For stats end Y DB'!$A:$G,5,0))</f>
        <v>1</v>
      </c>
      <c r="AH72">
        <f>IF(ISNA(VLOOKUP($A72&amp;AH$1,'For stats end Y DB'!$A:$G,5,0)),0,VLOOKUP($A72&amp;AH$1,'For stats end Y DB'!$A:$G,5,0))</f>
        <v>4</v>
      </c>
      <c r="AI72">
        <f>IF(ISNA(VLOOKUP($A72&amp;AI$1,'For stats end Y DB'!$A:$G,5,0)),0,VLOOKUP($A72&amp;AI$1,'For stats end Y DB'!$A:$G,5,0))</f>
        <v>0</v>
      </c>
      <c r="AJ72">
        <f>IF(ISNA(VLOOKUP($A72&amp;AJ$1,'For stats end Y DB'!$A:$G,5,0)),0,VLOOKUP($A72&amp;AJ$1,'For stats end Y DB'!$A:$G,5,0))</f>
        <v>0</v>
      </c>
      <c r="AK72">
        <f>IF(ISNA(VLOOKUP($A72&amp;AK$1,'For stats end Y DB'!$A:$G,5,0)),0,VLOOKUP($A72&amp;AK$1,'For stats end Y DB'!$A:$G,5,0))</f>
        <v>0</v>
      </c>
      <c r="AL72">
        <f>IF(ISNA(VLOOKUP($A72&amp;AL$1,'For stats end Y DB'!$A:$G,5,0)),0,VLOOKUP($A72&amp;AL$1,'For stats end Y DB'!$A:$G,5,0))</f>
        <v>0</v>
      </c>
      <c r="AM72">
        <f>IF(ISNA(VLOOKUP($A72&amp;AM$1,'For stats end Y DB'!$A:$G,5,0)),0,VLOOKUP($A72&amp;AM$1,'For stats end Y DB'!$A:$G,5,0))</f>
        <v>0</v>
      </c>
      <c r="AN72">
        <f>IF(ISNA(VLOOKUP($A72&amp;AN$1,'For stats end Y DB'!$A:$G,5,0)),0,VLOOKUP($A72&amp;AN$1,'For stats end Y DB'!$A:$G,5,0))</f>
        <v>0</v>
      </c>
    </row>
    <row r="73" spans="1:40" x14ac:dyDescent="0.2">
      <c r="A73" t="str">
        <f>'For stats end Y class'!A73</f>
        <v>Panot</v>
      </c>
      <c r="B73">
        <f>IF(ISNA(VLOOKUP($A73&amp;B$1,'For stats end Y DB'!$A:$G,5,0)),0,VLOOKUP($A73&amp;B$1,'For stats end Y DB'!$A:$G,5,0))</f>
        <v>0</v>
      </c>
      <c r="C73">
        <f>IF(ISNA(VLOOKUP($A73&amp;C$1,'For stats end Y DB'!$A:$G,5,0)),0,VLOOKUP($A73&amp;C$1,'For stats end Y DB'!$A:$G,5,0))</f>
        <v>0</v>
      </c>
      <c r="D73">
        <f>IF(ISNA(VLOOKUP($A73&amp;D$1,'For stats end Y DB'!$A:$G,5,0)),0,VLOOKUP($A73&amp;D$1,'For stats end Y DB'!$A:$G,5,0))</f>
        <v>0</v>
      </c>
      <c r="E73">
        <f>IF(ISNA(VLOOKUP($A73&amp;E$1,'For stats end Y DB'!$A:$G,5,0)),0,VLOOKUP($A73&amp;E$1,'For stats end Y DB'!$A:$G,5,0))</f>
        <v>0</v>
      </c>
      <c r="F73">
        <f>IF(ISNA(VLOOKUP($A73&amp;F$1,'For stats end Y DB'!$A:$G,5,0)),0,VLOOKUP($A73&amp;F$1,'For stats end Y DB'!$A:$G,5,0))</f>
        <v>0</v>
      </c>
      <c r="G73">
        <f>IF(ISNA(VLOOKUP($A73&amp;G$1,'For stats end Y DB'!$A:$G,5,0)),0,VLOOKUP($A73&amp;G$1,'For stats end Y DB'!$A:$G,5,0))</f>
        <v>0</v>
      </c>
      <c r="H73">
        <f>IF(ISNA(VLOOKUP($A73&amp;H$1,'For stats end Y DB'!$A:$G,5,0)),0,VLOOKUP($A73&amp;H$1,'For stats end Y DB'!$A:$G,5,0))</f>
        <v>0</v>
      </c>
      <c r="I73">
        <f>IF(ISNA(VLOOKUP($A73&amp;I$1,'For stats end Y DB'!$A:$G,5,0)),0,VLOOKUP($A73&amp;I$1,'For stats end Y DB'!$A:$G,5,0))</f>
        <v>0</v>
      </c>
      <c r="J73">
        <f>IF(ISNA(VLOOKUP($A73&amp;J$1,'For stats end Y DB'!$A:$G,5,0)),0,VLOOKUP($A73&amp;J$1,'For stats end Y DB'!$A:$G,5,0))</f>
        <v>1</v>
      </c>
      <c r="K73">
        <f>IF(ISNA(VLOOKUP($A73&amp;K$1,'For stats end Y DB'!$A:$G,5,0)),0,VLOOKUP($A73&amp;K$1,'For stats end Y DB'!$A:$G,5,0))</f>
        <v>0</v>
      </c>
      <c r="L73">
        <f>IF(ISNA(VLOOKUP($A73&amp;L$1,'For stats end Y DB'!$A:$G,5,0)),0,VLOOKUP($A73&amp;L$1,'For stats end Y DB'!$A:$G,5,0))</f>
        <v>0</v>
      </c>
      <c r="M73">
        <f>IF(ISNA(VLOOKUP($A73&amp;M$1,'For stats end Y DB'!$A:$G,5,0)),0,VLOOKUP($A73&amp;M$1,'For stats end Y DB'!$A:$G,5,0))</f>
        <v>0</v>
      </c>
      <c r="N73">
        <f>IF(ISNA(VLOOKUP($A73&amp;N$1,'For stats end Y DB'!$A:$G,5,0)),0,VLOOKUP($A73&amp;N$1,'For stats end Y DB'!$A:$G,5,0))</f>
        <v>0</v>
      </c>
      <c r="O73">
        <f>IF(ISNA(VLOOKUP($A73&amp;O$1,'For stats end Y DB'!$A:$G,5,0)),0,VLOOKUP($A73&amp;O$1,'For stats end Y DB'!$A:$G,5,0))</f>
        <v>0</v>
      </c>
      <c r="P73">
        <f>IF(ISNA(VLOOKUP($A73&amp;P$1,'For stats end Y DB'!$A:$G,5,0)),0,VLOOKUP($A73&amp;P$1,'For stats end Y DB'!$A:$G,5,0))</f>
        <v>0</v>
      </c>
      <c r="Q73">
        <f>IF(ISNA(VLOOKUP($A73&amp;Q$1,'For stats end Y DB'!$A:$G,5,0)),0,VLOOKUP($A73&amp;Q$1,'For stats end Y DB'!$A:$G,5,0))</f>
        <v>0</v>
      </c>
      <c r="R73">
        <f>IF(ISNA(VLOOKUP($A73&amp;R$1,'For stats end Y DB'!$A:$G,5,0)),0,VLOOKUP($A73&amp;R$1,'For stats end Y DB'!$A:$G,5,0))</f>
        <v>0</v>
      </c>
      <c r="S73">
        <f>IF(ISNA(VLOOKUP($A73&amp;S$1,'For stats end Y DB'!$A:$G,5,0)),0,VLOOKUP($A73&amp;S$1,'For stats end Y DB'!$A:$G,5,0))</f>
        <v>0</v>
      </c>
      <c r="T73">
        <f>IF(ISNA(VLOOKUP($A73&amp;T$1,'For stats end Y DB'!$A:$G,5,0)),0,VLOOKUP($A73&amp;T$1,'For stats end Y DB'!$A:$G,5,0))</f>
        <v>0</v>
      </c>
      <c r="U73">
        <f>IF(ISNA(VLOOKUP($A73&amp;U$1,'For stats end Y DB'!$A:$G,5,0)),0,VLOOKUP($A73&amp;U$1,'For stats end Y DB'!$A:$G,5,0))</f>
        <v>0</v>
      </c>
      <c r="V73">
        <f>IF(ISNA(VLOOKUP($A73&amp;V$1,'For stats end Y DB'!$A:$G,5,0)),0,VLOOKUP($A73&amp;V$1,'For stats end Y DB'!$A:$G,5,0))</f>
        <v>0</v>
      </c>
      <c r="W73">
        <f>IF(ISNA(VLOOKUP($A73&amp;W$1,'For stats end Y DB'!$A:$G,5,0)),0,VLOOKUP($A73&amp;W$1,'For stats end Y DB'!$A:$G,5,0))</f>
        <v>0</v>
      </c>
      <c r="X73">
        <f>IF(ISNA(VLOOKUP($A73&amp;X$1,'For stats end Y DB'!$A:$G,5,0)),0,VLOOKUP($A73&amp;X$1,'For stats end Y DB'!$A:$G,5,0))</f>
        <v>0</v>
      </c>
      <c r="Y73">
        <f>IF(ISNA(VLOOKUP($A73&amp;Y$1,'For stats end Y DB'!$A:$G,5,0)),0,VLOOKUP($A73&amp;Y$1,'For stats end Y DB'!$A:$G,5,0))</f>
        <v>0</v>
      </c>
      <c r="Z73">
        <f>IF(ISNA(VLOOKUP($A73&amp;Z$1,'For stats end Y DB'!$A:$G,5,0)),0,VLOOKUP($A73&amp;Z$1,'For stats end Y DB'!$A:$G,5,0))</f>
        <v>0</v>
      </c>
      <c r="AA73">
        <f>IF(ISNA(VLOOKUP($A73&amp;AA$1,'For stats end Y DB'!$A:$G,5,0)),0,VLOOKUP($A73&amp;AA$1,'For stats end Y DB'!$A:$G,5,0))</f>
        <v>0</v>
      </c>
      <c r="AB73">
        <f>IF(ISNA(VLOOKUP($A73&amp;AB$1,'For stats end Y DB'!$A:$G,5,0)),0,VLOOKUP($A73&amp;AB$1,'For stats end Y DB'!$A:$G,5,0))</f>
        <v>0</v>
      </c>
      <c r="AC73">
        <f>IF(ISNA(VLOOKUP($A73&amp;AC$1,'For stats end Y DB'!$A:$G,5,0)),0,VLOOKUP($A73&amp;AC$1,'For stats end Y DB'!$A:$G,5,0))</f>
        <v>0</v>
      </c>
      <c r="AD73">
        <f>IF(ISNA(VLOOKUP($A73&amp;AD$1,'For stats end Y DB'!$A:$G,5,0)),0,VLOOKUP($A73&amp;AD$1,'For stats end Y DB'!$A:$G,5,0))</f>
        <v>0</v>
      </c>
      <c r="AE73">
        <f>IF(ISNA(VLOOKUP($A73&amp;AE$1,'For stats end Y DB'!$A:$G,5,0)),0,VLOOKUP($A73&amp;AE$1,'For stats end Y DB'!$A:$G,5,0))</f>
        <v>0</v>
      </c>
      <c r="AF73">
        <f>IF(ISNA(VLOOKUP($A73&amp;AF$1,'For stats end Y DB'!$A:$G,5,0)),0,VLOOKUP($A73&amp;AF$1,'For stats end Y DB'!$A:$G,5,0))</f>
        <v>0</v>
      </c>
      <c r="AG73">
        <f>IF(ISNA(VLOOKUP($A73&amp;AG$1,'For stats end Y DB'!$A:$G,5,0)),0,VLOOKUP($A73&amp;AG$1,'For stats end Y DB'!$A:$G,5,0))</f>
        <v>0</v>
      </c>
      <c r="AH73">
        <f>IF(ISNA(VLOOKUP($A73&amp;AH$1,'For stats end Y DB'!$A:$G,5,0)),0,VLOOKUP($A73&amp;AH$1,'For stats end Y DB'!$A:$G,5,0))</f>
        <v>0</v>
      </c>
      <c r="AI73">
        <f>IF(ISNA(VLOOKUP($A73&amp;AI$1,'For stats end Y DB'!$A:$G,5,0)),0,VLOOKUP($A73&amp;AI$1,'For stats end Y DB'!$A:$G,5,0))</f>
        <v>0</v>
      </c>
      <c r="AJ73">
        <f>IF(ISNA(VLOOKUP($A73&amp;AJ$1,'For stats end Y DB'!$A:$G,5,0)),0,VLOOKUP($A73&amp;AJ$1,'For stats end Y DB'!$A:$G,5,0))</f>
        <v>0</v>
      </c>
      <c r="AK73">
        <f>IF(ISNA(VLOOKUP($A73&amp;AK$1,'For stats end Y DB'!$A:$G,5,0)),0,VLOOKUP($A73&amp;AK$1,'For stats end Y DB'!$A:$G,5,0))</f>
        <v>0</v>
      </c>
      <c r="AL73">
        <f>IF(ISNA(VLOOKUP($A73&amp;AL$1,'For stats end Y DB'!$A:$G,5,0)),0,VLOOKUP($A73&amp;AL$1,'For stats end Y DB'!$A:$G,5,0))</f>
        <v>0</v>
      </c>
      <c r="AM73">
        <f>IF(ISNA(VLOOKUP($A73&amp;AM$1,'For stats end Y DB'!$A:$G,5,0)),0,VLOOKUP($A73&amp;AM$1,'For stats end Y DB'!$A:$G,5,0))</f>
        <v>0</v>
      </c>
      <c r="AN73">
        <f>IF(ISNA(VLOOKUP($A73&amp;AN$1,'For stats end Y DB'!$A:$G,5,0)),0,VLOOKUP($A73&amp;AN$1,'For stats end Y DB'!$A:$G,5,0))</f>
        <v>0</v>
      </c>
    </row>
    <row r="74" spans="1:40" x14ac:dyDescent="0.2">
      <c r="A74" t="str">
        <f>'For stats end Y class'!A74</f>
        <v>Papillon</v>
      </c>
      <c r="B74">
        <f>IF(ISNA(VLOOKUP($A74&amp;B$1,'For stats end Y DB'!$A:$G,5,0)),0,VLOOKUP($A74&amp;B$1,'For stats end Y DB'!$A:$G,5,0))</f>
        <v>0</v>
      </c>
      <c r="C74">
        <f>IF(ISNA(VLOOKUP($A74&amp;C$1,'For stats end Y DB'!$A:$G,5,0)),0,VLOOKUP($A74&amp;C$1,'For stats end Y DB'!$A:$G,5,0))</f>
        <v>2</v>
      </c>
      <c r="D74">
        <f>IF(ISNA(VLOOKUP($A74&amp;D$1,'For stats end Y DB'!$A:$G,5,0)),0,VLOOKUP($A74&amp;D$1,'For stats end Y DB'!$A:$G,5,0))</f>
        <v>0</v>
      </c>
      <c r="E74">
        <f>IF(ISNA(VLOOKUP($A74&amp;E$1,'For stats end Y DB'!$A:$G,5,0)),0,VLOOKUP($A74&amp;E$1,'For stats end Y DB'!$A:$G,5,0))</f>
        <v>2</v>
      </c>
      <c r="F74">
        <f>IF(ISNA(VLOOKUP($A74&amp;F$1,'For stats end Y DB'!$A:$G,5,0)),0,VLOOKUP($A74&amp;F$1,'For stats end Y DB'!$A:$G,5,0))</f>
        <v>2</v>
      </c>
      <c r="G74">
        <f>IF(ISNA(VLOOKUP($A74&amp;G$1,'For stats end Y DB'!$A:$G,5,0)),0,VLOOKUP($A74&amp;G$1,'For stats end Y DB'!$A:$G,5,0))</f>
        <v>1</v>
      </c>
      <c r="H74">
        <f>IF(ISNA(VLOOKUP($A74&amp;H$1,'For stats end Y DB'!$A:$G,5,0)),0,VLOOKUP($A74&amp;H$1,'For stats end Y DB'!$A:$G,5,0))</f>
        <v>8</v>
      </c>
      <c r="I74">
        <f>IF(ISNA(VLOOKUP($A74&amp;I$1,'For stats end Y DB'!$A:$G,5,0)),0,VLOOKUP($A74&amp;I$1,'For stats end Y DB'!$A:$G,5,0))</f>
        <v>0</v>
      </c>
      <c r="J74">
        <f>IF(ISNA(VLOOKUP($A74&amp;J$1,'For stats end Y DB'!$A:$G,5,0)),0,VLOOKUP($A74&amp;J$1,'For stats end Y DB'!$A:$G,5,0))</f>
        <v>0</v>
      </c>
      <c r="K74">
        <f>IF(ISNA(VLOOKUP($A74&amp;K$1,'For stats end Y DB'!$A:$G,5,0)),0,VLOOKUP($A74&amp;K$1,'For stats end Y DB'!$A:$G,5,0))</f>
        <v>0</v>
      </c>
      <c r="L74">
        <f>IF(ISNA(VLOOKUP($A74&amp;L$1,'For stats end Y DB'!$A:$G,5,0)),0,VLOOKUP($A74&amp;L$1,'For stats end Y DB'!$A:$G,5,0))</f>
        <v>0</v>
      </c>
      <c r="M74">
        <f>IF(ISNA(VLOOKUP($A74&amp;M$1,'For stats end Y DB'!$A:$G,5,0)),0,VLOOKUP($A74&amp;M$1,'For stats end Y DB'!$A:$G,5,0))</f>
        <v>0</v>
      </c>
      <c r="N74">
        <f>IF(ISNA(VLOOKUP($A74&amp;N$1,'For stats end Y DB'!$A:$G,5,0)),0,VLOOKUP($A74&amp;N$1,'For stats end Y DB'!$A:$G,5,0))</f>
        <v>0</v>
      </c>
      <c r="O74">
        <f>IF(ISNA(VLOOKUP($A74&amp;O$1,'For stats end Y DB'!$A:$G,5,0)),0,VLOOKUP($A74&amp;O$1,'For stats end Y DB'!$A:$G,5,0))</f>
        <v>0</v>
      </c>
      <c r="P74">
        <f>IF(ISNA(VLOOKUP($A74&amp;P$1,'For stats end Y DB'!$A:$G,5,0)),0,VLOOKUP($A74&amp;P$1,'For stats end Y DB'!$A:$G,5,0))</f>
        <v>0</v>
      </c>
      <c r="Q74">
        <f>IF(ISNA(VLOOKUP($A74&amp;Q$1,'For stats end Y DB'!$A:$G,5,0)),0,VLOOKUP($A74&amp;Q$1,'For stats end Y DB'!$A:$G,5,0))</f>
        <v>0</v>
      </c>
      <c r="R74">
        <f>IF(ISNA(VLOOKUP($A74&amp;R$1,'For stats end Y DB'!$A:$G,5,0)),0,VLOOKUP($A74&amp;R$1,'For stats end Y DB'!$A:$G,5,0))</f>
        <v>0</v>
      </c>
      <c r="S74">
        <f>IF(ISNA(VLOOKUP($A74&amp;S$1,'For stats end Y DB'!$A:$G,5,0)),0,VLOOKUP($A74&amp;S$1,'For stats end Y DB'!$A:$G,5,0))</f>
        <v>0</v>
      </c>
      <c r="T74">
        <f>IF(ISNA(VLOOKUP($A74&amp;T$1,'For stats end Y DB'!$A:$G,5,0)),0,VLOOKUP($A74&amp;T$1,'For stats end Y DB'!$A:$G,5,0))</f>
        <v>0</v>
      </c>
      <c r="U74">
        <f>IF(ISNA(VLOOKUP($A74&amp;U$1,'For stats end Y DB'!$A:$G,5,0)),0,VLOOKUP($A74&amp;U$1,'For stats end Y DB'!$A:$G,5,0))</f>
        <v>0</v>
      </c>
      <c r="V74">
        <f>IF(ISNA(VLOOKUP($A74&amp;V$1,'For stats end Y DB'!$A:$G,5,0)),0,VLOOKUP($A74&amp;V$1,'For stats end Y DB'!$A:$G,5,0))</f>
        <v>0</v>
      </c>
      <c r="W74">
        <f>IF(ISNA(VLOOKUP($A74&amp;W$1,'For stats end Y DB'!$A:$G,5,0)),0,VLOOKUP($A74&amp;W$1,'For stats end Y DB'!$A:$G,5,0))</f>
        <v>0</v>
      </c>
      <c r="X74">
        <f>IF(ISNA(VLOOKUP($A74&amp;X$1,'For stats end Y DB'!$A:$G,5,0)),0,VLOOKUP($A74&amp;X$1,'For stats end Y DB'!$A:$G,5,0))</f>
        <v>0</v>
      </c>
      <c r="Y74">
        <f>IF(ISNA(VLOOKUP($A74&amp;Y$1,'For stats end Y DB'!$A:$G,5,0)),0,VLOOKUP($A74&amp;Y$1,'For stats end Y DB'!$A:$G,5,0))</f>
        <v>0</v>
      </c>
      <c r="Z74">
        <f>IF(ISNA(VLOOKUP($A74&amp;Z$1,'For stats end Y DB'!$A:$G,5,0)),0,VLOOKUP($A74&amp;Z$1,'For stats end Y DB'!$A:$G,5,0))</f>
        <v>0</v>
      </c>
      <c r="AA74">
        <f>IF(ISNA(VLOOKUP($A74&amp;AA$1,'For stats end Y DB'!$A:$G,5,0)),0,VLOOKUP($A74&amp;AA$1,'For stats end Y DB'!$A:$G,5,0))</f>
        <v>0</v>
      </c>
      <c r="AB74">
        <f>IF(ISNA(VLOOKUP($A74&amp;AB$1,'For stats end Y DB'!$A:$G,5,0)),0,VLOOKUP($A74&amp;AB$1,'For stats end Y DB'!$A:$G,5,0))</f>
        <v>0</v>
      </c>
      <c r="AC74">
        <f>IF(ISNA(VLOOKUP($A74&amp;AC$1,'For stats end Y DB'!$A:$G,5,0)),0,VLOOKUP($A74&amp;AC$1,'For stats end Y DB'!$A:$G,5,0))</f>
        <v>0</v>
      </c>
      <c r="AD74">
        <f>IF(ISNA(VLOOKUP($A74&amp;AD$1,'For stats end Y DB'!$A:$G,5,0)),0,VLOOKUP($A74&amp;AD$1,'For stats end Y DB'!$A:$G,5,0))</f>
        <v>0</v>
      </c>
      <c r="AE74">
        <f>IF(ISNA(VLOOKUP($A74&amp;AE$1,'For stats end Y DB'!$A:$G,5,0)),0,VLOOKUP($A74&amp;AE$1,'For stats end Y DB'!$A:$G,5,0))</f>
        <v>0</v>
      </c>
      <c r="AF74">
        <f>IF(ISNA(VLOOKUP($A74&amp;AF$1,'For stats end Y DB'!$A:$G,5,0)),0,VLOOKUP($A74&amp;AF$1,'For stats end Y DB'!$A:$G,5,0))</f>
        <v>0</v>
      </c>
      <c r="AG74">
        <f>IF(ISNA(VLOOKUP($A74&amp;AG$1,'For stats end Y DB'!$A:$G,5,0)),0,VLOOKUP($A74&amp;AG$1,'For stats end Y DB'!$A:$G,5,0))</f>
        <v>0</v>
      </c>
      <c r="AH74">
        <f>IF(ISNA(VLOOKUP($A74&amp;AH$1,'For stats end Y DB'!$A:$G,5,0)),0,VLOOKUP($A74&amp;AH$1,'For stats end Y DB'!$A:$G,5,0))</f>
        <v>0</v>
      </c>
      <c r="AI74">
        <f>IF(ISNA(VLOOKUP($A74&amp;AI$1,'For stats end Y DB'!$A:$G,5,0)),0,VLOOKUP($A74&amp;AI$1,'For stats end Y DB'!$A:$G,5,0))</f>
        <v>0</v>
      </c>
      <c r="AJ74">
        <f>IF(ISNA(VLOOKUP($A74&amp;AJ$1,'For stats end Y DB'!$A:$G,5,0)),0,VLOOKUP($A74&amp;AJ$1,'For stats end Y DB'!$A:$G,5,0))</f>
        <v>0</v>
      </c>
      <c r="AK74">
        <f>IF(ISNA(VLOOKUP($A74&amp;AK$1,'For stats end Y DB'!$A:$G,5,0)),0,VLOOKUP($A74&amp;AK$1,'For stats end Y DB'!$A:$G,5,0))</f>
        <v>0</v>
      </c>
      <c r="AL74">
        <f>IF(ISNA(VLOOKUP($A74&amp;AL$1,'For stats end Y DB'!$A:$G,5,0)),0,VLOOKUP($A74&amp;AL$1,'For stats end Y DB'!$A:$G,5,0))</f>
        <v>0</v>
      </c>
      <c r="AM74">
        <f>IF(ISNA(VLOOKUP($A74&amp;AM$1,'For stats end Y DB'!$A:$G,5,0)),0,VLOOKUP($A74&amp;AM$1,'For stats end Y DB'!$A:$G,5,0))</f>
        <v>0</v>
      </c>
      <c r="AN74">
        <f>IF(ISNA(VLOOKUP($A74&amp;AN$1,'For stats end Y DB'!$A:$G,5,0)),0,VLOOKUP($A74&amp;AN$1,'For stats end Y DB'!$A:$G,5,0))</f>
        <v>0</v>
      </c>
    </row>
    <row r="75" spans="1:40" x14ac:dyDescent="0.2">
      <c r="A75" t="str">
        <f>'For stats end Y class'!A75</f>
        <v>PatB</v>
      </c>
      <c r="B75">
        <f>IF(ISNA(VLOOKUP($A75&amp;B$1,'For stats end Y DB'!$A:$G,5,0)),0,VLOOKUP($A75&amp;B$1,'For stats end Y DB'!$A:$G,5,0))</f>
        <v>12</v>
      </c>
      <c r="C75">
        <f>IF(ISNA(VLOOKUP($A75&amp;C$1,'For stats end Y DB'!$A:$G,5,0)),0,VLOOKUP($A75&amp;C$1,'For stats end Y DB'!$A:$G,5,0))</f>
        <v>1</v>
      </c>
      <c r="D75">
        <f>IF(ISNA(VLOOKUP($A75&amp;D$1,'For stats end Y DB'!$A:$G,5,0)),0,VLOOKUP($A75&amp;D$1,'For stats end Y DB'!$A:$G,5,0))</f>
        <v>4</v>
      </c>
      <c r="E75">
        <f>IF(ISNA(VLOOKUP($A75&amp;E$1,'For stats end Y DB'!$A:$G,5,0)),0,VLOOKUP($A75&amp;E$1,'For stats end Y DB'!$A:$G,5,0))</f>
        <v>3</v>
      </c>
      <c r="F75">
        <f>IF(ISNA(VLOOKUP($A75&amp;F$1,'For stats end Y DB'!$A:$G,5,0)),0,VLOOKUP($A75&amp;F$1,'For stats end Y DB'!$A:$G,5,0))</f>
        <v>0</v>
      </c>
      <c r="G75">
        <f>IF(ISNA(VLOOKUP($A75&amp;G$1,'For stats end Y DB'!$A:$G,5,0)),0,VLOOKUP($A75&amp;G$1,'For stats end Y DB'!$A:$G,5,0))</f>
        <v>2</v>
      </c>
      <c r="H75">
        <f>IF(ISNA(VLOOKUP($A75&amp;H$1,'For stats end Y DB'!$A:$G,5,0)),0,VLOOKUP($A75&amp;H$1,'For stats end Y DB'!$A:$G,5,0))</f>
        <v>12</v>
      </c>
      <c r="I75">
        <f>IF(ISNA(VLOOKUP($A75&amp;I$1,'For stats end Y DB'!$A:$G,5,0)),0,VLOOKUP($A75&amp;I$1,'For stats end Y DB'!$A:$G,5,0))</f>
        <v>13</v>
      </c>
      <c r="J75">
        <f>IF(ISNA(VLOOKUP($A75&amp;J$1,'For stats end Y DB'!$A:$G,5,0)),0,VLOOKUP($A75&amp;J$1,'For stats end Y DB'!$A:$G,5,0))</f>
        <v>16</v>
      </c>
      <c r="K75">
        <f>IF(ISNA(VLOOKUP($A75&amp;K$1,'For stats end Y DB'!$A:$G,5,0)),0,VLOOKUP($A75&amp;K$1,'For stats end Y DB'!$A:$G,5,0))</f>
        <v>11</v>
      </c>
      <c r="L75">
        <f>IF(ISNA(VLOOKUP($A75&amp;L$1,'For stats end Y DB'!$A:$G,5,0)),0,VLOOKUP($A75&amp;L$1,'For stats end Y DB'!$A:$G,5,0))</f>
        <v>7</v>
      </c>
      <c r="M75">
        <f>IF(ISNA(VLOOKUP($A75&amp;M$1,'For stats end Y DB'!$A:$G,5,0)),0,VLOOKUP($A75&amp;M$1,'For stats end Y DB'!$A:$G,5,0))</f>
        <v>12</v>
      </c>
      <c r="N75">
        <f>IF(ISNA(VLOOKUP($A75&amp;N$1,'For stats end Y DB'!$A:$G,5,0)),0,VLOOKUP($A75&amp;N$1,'For stats end Y DB'!$A:$G,5,0))</f>
        <v>4</v>
      </c>
      <c r="O75">
        <f>IF(ISNA(VLOOKUP($A75&amp;O$1,'For stats end Y DB'!$A:$G,5,0)),0,VLOOKUP($A75&amp;O$1,'For stats end Y DB'!$A:$G,5,0))</f>
        <v>8</v>
      </c>
      <c r="P75">
        <f>IF(ISNA(VLOOKUP($A75&amp;P$1,'For stats end Y DB'!$A:$G,5,0)),0,VLOOKUP($A75&amp;P$1,'For stats end Y DB'!$A:$G,5,0))</f>
        <v>4</v>
      </c>
      <c r="Q75">
        <f>IF(ISNA(VLOOKUP($A75&amp;Q$1,'For stats end Y DB'!$A:$G,5,0)),0,VLOOKUP($A75&amp;Q$1,'For stats end Y DB'!$A:$G,5,0))</f>
        <v>2</v>
      </c>
      <c r="R75">
        <f>IF(ISNA(VLOOKUP($A75&amp;R$1,'For stats end Y DB'!$A:$G,5,0)),0,VLOOKUP($A75&amp;R$1,'For stats end Y DB'!$A:$G,5,0))</f>
        <v>5</v>
      </c>
      <c r="S75">
        <f>IF(ISNA(VLOOKUP($A75&amp;S$1,'For stats end Y DB'!$A:$G,5,0)),0,VLOOKUP($A75&amp;S$1,'For stats end Y DB'!$A:$G,5,0))</f>
        <v>9</v>
      </c>
      <c r="T75">
        <f>IF(ISNA(VLOOKUP($A75&amp;T$1,'For stats end Y DB'!$A:$G,5,0)),0,VLOOKUP($A75&amp;T$1,'For stats end Y DB'!$A:$G,5,0))</f>
        <v>8</v>
      </c>
      <c r="U75">
        <f>IF(ISNA(VLOOKUP($A75&amp;U$1,'For stats end Y DB'!$A:$G,5,0)),0,VLOOKUP($A75&amp;U$1,'For stats end Y DB'!$A:$G,5,0))</f>
        <v>16</v>
      </c>
      <c r="V75">
        <f>IF(ISNA(VLOOKUP($A75&amp;V$1,'For stats end Y DB'!$A:$G,5,0)),0,VLOOKUP($A75&amp;V$1,'For stats end Y DB'!$A:$G,5,0))</f>
        <v>12</v>
      </c>
      <c r="W75">
        <f>IF(ISNA(VLOOKUP($A75&amp;W$1,'For stats end Y DB'!$A:$G,5,0)),0,VLOOKUP($A75&amp;W$1,'For stats end Y DB'!$A:$G,5,0))</f>
        <v>17</v>
      </c>
      <c r="X75">
        <f>IF(ISNA(VLOOKUP($A75&amp;X$1,'For stats end Y DB'!$A:$G,5,0)),0,VLOOKUP($A75&amp;X$1,'For stats end Y DB'!$A:$G,5,0))</f>
        <v>16</v>
      </c>
      <c r="Y75">
        <f>IF(ISNA(VLOOKUP($A75&amp;Y$1,'For stats end Y DB'!$A:$G,5,0)),0,VLOOKUP($A75&amp;Y$1,'For stats end Y DB'!$A:$G,5,0))</f>
        <v>2</v>
      </c>
      <c r="Z75">
        <f>IF(ISNA(VLOOKUP($A75&amp;Z$1,'For stats end Y DB'!$A:$G,5,0)),0,VLOOKUP($A75&amp;Z$1,'For stats end Y DB'!$A:$G,5,0))</f>
        <v>1</v>
      </c>
      <c r="AA75">
        <f>IF(ISNA(VLOOKUP($A75&amp;AA$1,'For stats end Y DB'!$A:$G,5,0)),0,VLOOKUP($A75&amp;AA$1,'For stats end Y DB'!$A:$G,5,0))</f>
        <v>1</v>
      </c>
      <c r="AB75">
        <f>IF(ISNA(VLOOKUP($A75&amp;AB$1,'For stats end Y DB'!$A:$G,5,0)),0,VLOOKUP($A75&amp;AB$1,'For stats end Y DB'!$A:$G,5,0))</f>
        <v>16</v>
      </c>
      <c r="AC75">
        <f>IF(ISNA(VLOOKUP($A75&amp;AC$1,'For stats end Y DB'!$A:$G,5,0)),0,VLOOKUP($A75&amp;AC$1,'For stats end Y DB'!$A:$G,5,0))</f>
        <v>5</v>
      </c>
      <c r="AD75">
        <f>IF(ISNA(VLOOKUP($A75&amp;AD$1,'For stats end Y DB'!$A:$G,5,0)),0,VLOOKUP($A75&amp;AD$1,'For stats end Y DB'!$A:$G,5,0))</f>
        <v>8</v>
      </c>
      <c r="AE75">
        <f>IF(ISNA(VLOOKUP($A75&amp;AE$1,'For stats end Y DB'!$A:$G,5,0)),0,VLOOKUP($A75&amp;AE$1,'For stats end Y DB'!$A:$G,5,0))</f>
        <v>8</v>
      </c>
      <c r="AF75">
        <f>IF(ISNA(VLOOKUP($A75&amp;AF$1,'For stats end Y DB'!$A:$G,5,0)),0,VLOOKUP($A75&amp;AF$1,'For stats end Y DB'!$A:$G,5,0))</f>
        <v>13</v>
      </c>
      <c r="AG75">
        <f>IF(ISNA(VLOOKUP($A75&amp;AG$1,'For stats end Y DB'!$A:$G,5,0)),0,VLOOKUP($A75&amp;AG$1,'For stats end Y DB'!$A:$G,5,0))</f>
        <v>12</v>
      </c>
      <c r="AH75">
        <f>IF(ISNA(VLOOKUP($A75&amp;AH$1,'For stats end Y DB'!$A:$G,5,0)),0,VLOOKUP($A75&amp;AH$1,'For stats end Y DB'!$A:$G,5,0))</f>
        <v>4</v>
      </c>
      <c r="AI75">
        <f>IF(ISNA(VLOOKUP($A75&amp;AI$1,'For stats end Y DB'!$A:$G,5,0)),0,VLOOKUP($A75&amp;AI$1,'For stats end Y DB'!$A:$G,5,0))</f>
        <v>0</v>
      </c>
      <c r="AJ75">
        <f>IF(ISNA(VLOOKUP($A75&amp;AJ$1,'For stats end Y DB'!$A:$G,5,0)),0,VLOOKUP($A75&amp;AJ$1,'For stats end Y DB'!$A:$G,5,0))</f>
        <v>0</v>
      </c>
      <c r="AK75">
        <f>IF(ISNA(VLOOKUP($A75&amp;AK$1,'For stats end Y DB'!$A:$G,5,0)),0,VLOOKUP($A75&amp;AK$1,'For stats end Y DB'!$A:$G,5,0))</f>
        <v>0</v>
      </c>
      <c r="AL75">
        <f>IF(ISNA(VLOOKUP($A75&amp;AL$1,'For stats end Y DB'!$A:$G,5,0)),0,VLOOKUP($A75&amp;AL$1,'For stats end Y DB'!$A:$G,5,0))</f>
        <v>0</v>
      </c>
      <c r="AM75">
        <f>IF(ISNA(VLOOKUP($A75&amp;AM$1,'For stats end Y DB'!$A:$G,5,0)),0,VLOOKUP($A75&amp;AM$1,'For stats end Y DB'!$A:$G,5,0))</f>
        <v>0</v>
      </c>
      <c r="AN75">
        <f>IF(ISNA(VLOOKUP($A75&amp;AN$1,'For stats end Y DB'!$A:$G,5,0)),0,VLOOKUP($A75&amp;AN$1,'For stats end Y DB'!$A:$G,5,0))</f>
        <v>0</v>
      </c>
    </row>
    <row r="76" spans="1:40" x14ac:dyDescent="0.2">
      <c r="A76" t="str">
        <f>'For stats end Y class'!A76</f>
        <v>Pintu</v>
      </c>
      <c r="B76">
        <f>IF(ISNA(VLOOKUP($A76&amp;B$1,'For stats end Y DB'!$A:$G,5,0)),0,VLOOKUP($A76&amp;B$1,'For stats end Y DB'!$A:$G,5,0))</f>
        <v>5</v>
      </c>
      <c r="C76">
        <f>IF(ISNA(VLOOKUP($A76&amp;C$1,'For stats end Y DB'!$A:$G,5,0)),0,VLOOKUP($A76&amp;C$1,'For stats end Y DB'!$A:$G,5,0))</f>
        <v>5</v>
      </c>
      <c r="D76">
        <f>IF(ISNA(VLOOKUP($A76&amp;D$1,'For stats end Y DB'!$A:$G,5,0)),0,VLOOKUP($A76&amp;D$1,'For stats end Y DB'!$A:$G,5,0))</f>
        <v>12</v>
      </c>
      <c r="E76">
        <f>IF(ISNA(VLOOKUP($A76&amp;E$1,'For stats end Y DB'!$A:$G,5,0)),0,VLOOKUP($A76&amp;E$1,'For stats end Y DB'!$A:$G,5,0))</f>
        <v>2</v>
      </c>
      <c r="F76">
        <f>IF(ISNA(VLOOKUP($A76&amp;F$1,'For stats end Y DB'!$A:$G,5,0)),0,VLOOKUP($A76&amp;F$1,'For stats end Y DB'!$A:$G,5,0))</f>
        <v>0</v>
      </c>
      <c r="G76">
        <f>IF(ISNA(VLOOKUP($A76&amp;G$1,'For stats end Y DB'!$A:$G,5,0)),0,VLOOKUP($A76&amp;G$1,'For stats end Y DB'!$A:$G,5,0))</f>
        <v>0</v>
      </c>
      <c r="H76">
        <f>IF(ISNA(VLOOKUP($A76&amp;H$1,'For stats end Y DB'!$A:$G,5,0)),0,VLOOKUP($A76&amp;H$1,'For stats end Y DB'!$A:$G,5,0))</f>
        <v>0</v>
      </c>
      <c r="I76">
        <f>IF(ISNA(VLOOKUP($A76&amp;I$1,'For stats end Y DB'!$A:$G,5,0)),0,VLOOKUP($A76&amp;I$1,'For stats end Y DB'!$A:$G,5,0))</f>
        <v>0</v>
      </c>
      <c r="J76">
        <f>IF(ISNA(VLOOKUP($A76&amp;J$1,'For stats end Y DB'!$A:$G,5,0)),0,VLOOKUP($A76&amp;J$1,'For stats end Y DB'!$A:$G,5,0))</f>
        <v>16</v>
      </c>
      <c r="K76">
        <f>IF(ISNA(VLOOKUP($A76&amp;K$1,'For stats end Y DB'!$A:$G,5,0)),0,VLOOKUP($A76&amp;K$1,'For stats end Y DB'!$A:$G,5,0))</f>
        <v>0</v>
      </c>
      <c r="L76">
        <f>IF(ISNA(VLOOKUP($A76&amp;L$1,'For stats end Y DB'!$A:$G,5,0)),0,VLOOKUP($A76&amp;L$1,'For stats end Y DB'!$A:$G,5,0))</f>
        <v>0</v>
      </c>
      <c r="M76">
        <f>IF(ISNA(VLOOKUP($A76&amp;M$1,'For stats end Y DB'!$A:$G,5,0)),0,VLOOKUP($A76&amp;M$1,'For stats end Y DB'!$A:$G,5,0))</f>
        <v>0</v>
      </c>
      <c r="N76">
        <f>IF(ISNA(VLOOKUP($A76&amp;N$1,'For stats end Y DB'!$A:$G,5,0)),0,VLOOKUP($A76&amp;N$1,'For stats end Y DB'!$A:$G,5,0))</f>
        <v>0</v>
      </c>
      <c r="O76">
        <f>IF(ISNA(VLOOKUP($A76&amp;O$1,'For stats end Y DB'!$A:$G,5,0)),0,VLOOKUP($A76&amp;O$1,'For stats end Y DB'!$A:$G,5,0))</f>
        <v>0</v>
      </c>
      <c r="P76">
        <f>IF(ISNA(VLOOKUP($A76&amp;P$1,'For stats end Y DB'!$A:$G,5,0)),0,VLOOKUP($A76&amp;P$1,'For stats end Y DB'!$A:$G,5,0))</f>
        <v>0</v>
      </c>
      <c r="Q76">
        <f>IF(ISNA(VLOOKUP($A76&amp;Q$1,'For stats end Y DB'!$A:$G,5,0)),0,VLOOKUP($A76&amp;Q$1,'For stats end Y DB'!$A:$G,5,0))</f>
        <v>0</v>
      </c>
      <c r="R76">
        <f>IF(ISNA(VLOOKUP($A76&amp;R$1,'For stats end Y DB'!$A:$G,5,0)),0,VLOOKUP($A76&amp;R$1,'For stats end Y DB'!$A:$G,5,0))</f>
        <v>0</v>
      </c>
      <c r="S76">
        <f>IF(ISNA(VLOOKUP($A76&amp;S$1,'For stats end Y DB'!$A:$G,5,0)),0,VLOOKUP($A76&amp;S$1,'For stats end Y DB'!$A:$G,5,0))</f>
        <v>0</v>
      </c>
      <c r="T76">
        <f>IF(ISNA(VLOOKUP($A76&amp;T$1,'For stats end Y DB'!$A:$G,5,0)),0,VLOOKUP($A76&amp;T$1,'For stats end Y DB'!$A:$G,5,0))</f>
        <v>1</v>
      </c>
      <c r="U76">
        <f>IF(ISNA(VLOOKUP($A76&amp;U$1,'For stats end Y DB'!$A:$G,5,0)),0,VLOOKUP($A76&amp;U$1,'For stats end Y DB'!$A:$G,5,0))</f>
        <v>0</v>
      </c>
      <c r="V76">
        <f>IF(ISNA(VLOOKUP($A76&amp;V$1,'For stats end Y DB'!$A:$G,5,0)),0,VLOOKUP($A76&amp;V$1,'For stats end Y DB'!$A:$G,5,0))</f>
        <v>0</v>
      </c>
      <c r="W76">
        <f>IF(ISNA(VLOOKUP($A76&amp;W$1,'For stats end Y DB'!$A:$G,5,0)),0,VLOOKUP($A76&amp;W$1,'For stats end Y DB'!$A:$G,5,0))</f>
        <v>0</v>
      </c>
      <c r="X76">
        <f>IF(ISNA(VLOOKUP($A76&amp;X$1,'For stats end Y DB'!$A:$G,5,0)),0,VLOOKUP($A76&amp;X$1,'For stats end Y DB'!$A:$G,5,0))</f>
        <v>0</v>
      </c>
      <c r="Y76">
        <f>IF(ISNA(VLOOKUP($A76&amp;Y$1,'For stats end Y DB'!$A:$G,5,0)),0,VLOOKUP($A76&amp;Y$1,'For stats end Y DB'!$A:$G,5,0))</f>
        <v>0</v>
      </c>
      <c r="Z76">
        <f>IF(ISNA(VLOOKUP($A76&amp;Z$1,'For stats end Y DB'!$A:$G,5,0)),0,VLOOKUP($A76&amp;Z$1,'For stats end Y DB'!$A:$G,5,0))</f>
        <v>0</v>
      </c>
      <c r="AA76">
        <f>IF(ISNA(VLOOKUP($A76&amp;AA$1,'For stats end Y DB'!$A:$G,5,0)),0,VLOOKUP($A76&amp;AA$1,'For stats end Y DB'!$A:$G,5,0))</f>
        <v>2</v>
      </c>
      <c r="AB76">
        <f>IF(ISNA(VLOOKUP($A76&amp;AB$1,'For stats end Y DB'!$A:$G,5,0)),0,VLOOKUP($A76&amp;AB$1,'For stats end Y DB'!$A:$G,5,0))</f>
        <v>16</v>
      </c>
      <c r="AC76">
        <f>IF(ISNA(VLOOKUP($A76&amp;AC$1,'For stats end Y DB'!$A:$G,5,0)),0,VLOOKUP($A76&amp;AC$1,'For stats end Y DB'!$A:$G,5,0))</f>
        <v>0</v>
      </c>
      <c r="AD76">
        <f>IF(ISNA(VLOOKUP($A76&amp;AD$1,'For stats end Y DB'!$A:$G,5,0)),0,VLOOKUP($A76&amp;AD$1,'For stats end Y DB'!$A:$G,5,0))</f>
        <v>0</v>
      </c>
      <c r="AE76">
        <f>IF(ISNA(VLOOKUP($A76&amp;AE$1,'For stats end Y DB'!$A:$G,5,0)),0,VLOOKUP($A76&amp;AE$1,'For stats end Y DB'!$A:$G,5,0))</f>
        <v>17</v>
      </c>
      <c r="AF76">
        <f>IF(ISNA(VLOOKUP($A76&amp;AF$1,'For stats end Y DB'!$A:$G,5,0)),0,VLOOKUP($A76&amp;AF$1,'For stats end Y DB'!$A:$G,5,0))</f>
        <v>2</v>
      </c>
      <c r="AG76">
        <f>IF(ISNA(VLOOKUP($A76&amp;AG$1,'For stats end Y DB'!$A:$G,5,0)),0,VLOOKUP($A76&amp;AG$1,'For stats end Y DB'!$A:$G,5,0))</f>
        <v>2</v>
      </c>
      <c r="AH76">
        <f>IF(ISNA(VLOOKUP($A76&amp;AH$1,'For stats end Y DB'!$A:$G,5,0)),0,VLOOKUP($A76&amp;AH$1,'For stats end Y DB'!$A:$G,5,0))</f>
        <v>0</v>
      </c>
      <c r="AI76">
        <f>IF(ISNA(VLOOKUP($A76&amp;AI$1,'For stats end Y DB'!$A:$G,5,0)),0,VLOOKUP($A76&amp;AI$1,'For stats end Y DB'!$A:$G,5,0))</f>
        <v>0</v>
      </c>
      <c r="AJ76">
        <f>IF(ISNA(VLOOKUP($A76&amp;AJ$1,'For stats end Y DB'!$A:$G,5,0)),0,VLOOKUP($A76&amp;AJ$1,'For stats end Y DB'!$A:$G,5,0))</f>
        <v>0</v>
      </c>
      <c r="AK76">
        <f>IF(ISNA(VLOOKUP($A76&amp;AK$1,'For stats end Y DB'!$A:$G,5,0)),0,VLOOKUP($A76&amp;AK$1,'For stats end Y DB'!$A:$G,5,0))</f>
        <v>0</v>
      </c>
      <c r="AL76">
        <f>IF(ISNA(VLOOKUP($A76&amp;AL$1,'For stats end Y DB'!$A:$G,5,0)),0,VLOOKUP($A76&amp;AL$1,'For stats end Y DB'!$A:$G,5,0))</f>
        <v>0</v>
      </c>
      <c r="AM76">
        <f>IF(ISNA(VLOOKUP($A76&amp;AM$1,'For stats end Y DB'!$A:$G,5,0)),0,VLOOKUP($A76&amp;AM$1,'For stats end Y DB'!$A:$G,5,0))</f>
        <v>0</v>
      </c>
      <c r="AN76">
        <f>IF(ISNA(VLOOKUP($A76&amp;AN$1,'For stats end Y DB'!$A:$G,5,0)),0,VLOOKUP($A76&amp;AN$1,'For stats end Y DB'!$A:$G,5,0))</f>
        <v>0</v>
      </c>
    </row>
    <row r="77" spans="1:40" x14ac:dyDescent="0.2">
      <c r="A77" t="str">
        <f>'For stats end Y class'!A77</f>
        <v>Poisson Pilote</v>
      </c>
      <c r="B77">
        <f>IF(ISNA(VLOOKUP($A77&amp;B$1,'For stats end Y DB'!$A:$G,5,0)),0,VLOOKUP($A77&amp;B$1,'For stats end Y DB'!$A:$G,5,0))</f>
        <v>16</v>
      </c>
      <c r="C77">
        <f>IF(ISNA(VLOOKUP($A77&amp;C$1,'For stats end Y DB'!$A:$G,5,0)),0,VLOOKUP($A77&amp;C$1,'For stats end Y DB'!$A:$G,5,0))</f>
        <v>9</v>
      </c>
      <c r="D77">
        <f>IF(ISNA(VLOOKUP($A77&amp;D$1,'For stats end Y DB'!$A:$G,5,0)),0,VLOOKUP($A77&amp;D$1,'For stats end Y DB'!$A:$G,5,0))</f>
        <v>8</v>
      </c>
      <c r="E77">
        <f>IF(ISNA(VLOOKUP($A77&amp;E$1,'For stats end Y DB'!$A:$G,5,0)),0,VLOOKUP($A77&amp;E$1,'For stats end Y DB'!$A:$G,5,0))</f>
        <v>0</v>
      </c>
      <c r="F77">
        <f>IF(ISNA(VLOOKUP($A77&amp;F$1,'For stats end Y DB'!$A:$G,5,0)),0,VLOOKUP($A77&amp;F$1,'For stats end Y DB'!$A:$G,5,0))</f>
        <v>0</v>
      </c>
      <c r="G77">
        <f>IF(ISNA(VLOOKUP($A77&amp;G$1,'For stats end Y DB'!$A:$G,5,0)),0,VLOOKUP($A77&amp;G$1,'For stats end Y DB'!$A:$G,5,0))</f>
        <v>1</v>
      </c>
      <c r="H77">
        <f>IF(ISNA(VLOOKUP($A77&amp;H$1,'For stats end Y DB'!$A:$G,5,0)),0,VLOOKUP($A77&amp;H$1,'For stats end Y DB'!$A:$G,5,0))</f>
        <v>4</v>
      </c>
      <c r="I77">
        <f>IF(ISNA(VLOOKUP($A77&amp;I$1,'For stats end Y DB'!$A:$G,5,0)),0,VLOOKUP($A77&amp;I$1,'For stats end Y DB'!$A:$G,5,0))</f>
        <v>2</v>
      </c>
      <c r="J77">
        <f>IF(ISNA(VLOOKUP($A77&amp;J$1,'For stats end Y DB'!$A:$G,5,0)),0,VLOOKUP($A77&amp;J$1,'For stats end Y DB'!$A:$G,5,0))</f>
        <v>12</v>
      </c>
      <c r="K77">
        <f>IF(ISNA(VLOOKUP($A77&amp;K$1,'For stats end Y DB'!$A:$G,5,0)),0,VLOOKUP($A77&amp;K$1,'For stats end Y DB'!$A:$G,5,0))</f>
        <v>4</v>
      </c>
      <c r="L77">
        <f>IF(ISNA(VLOOKUP($A77&amp;L$1,'For stats end Y DB'!$A:$G,5,0)),0,VLOOKUP($A77&amp;L$1,'For stats end Y DB'!$A:$G,5,0))</f>
        <v>11</v>
      </c>
      <c r="M77">
        <f>IF(ISNA(VLOOKUP($A77&amp;M$1,'For stats end Y DB'!$A:$G,5,0)),0,VLOOKUP($A77&amp;M$1,'For stats end Y DB'!$A:$G,5,0))</f>
        <v>16</v>
      </c>
      <c r="N77">
        <f>IF(ISNA(VLOOKUP($A77&amp;N$1,'For stats end Y DB'!$A:$G,5,0)),0,VLOOKUP($A77&amp;N$1,'For stats end Y DB'!$A:$G,5,0))</f>
        <v>0</v>
      </c>
      <c r="O77">
        <f>IF(ISNA(VLOOKUP($A77&amp;O$1,'For stats end Y DB'!$A:$G,5,0)),0,VLOOKUP($A77&amp;O$1,'For stats end Y DB'!$A:$G,5,0))</f>
        <v>3</v>
      </c>
      <c r="P77">
        <f>IF(ISNA(VLOOKUP($A77&amp;P$1,'For stats end Y DB'!$A:$G,5,0)),0,VLOOKUP($A77&amp;P$1,'For stats end Y DB'!$A:$G,5,0))</f>
        <v>0</v>
      </c>
      <c r="Q77">
        <f>IF(ISNA(VLOOKUP($A77&amp;Q$1,'For stats end Y DB'!$A:$G,5,0)),0,VLOOKUP($A77&amp;Q$1,'For stats end Y DB'!$A:$G,5,0))</f>
        <v>3</v>
      </c>
      <c r="R77">
        <f>IF(ISNA(VLOOKUP($A77&amp;R$1,'For stats end Y DB'!$A:$G,5,0)),0,VLOOKUP($A77&amp;R$1,'For stats end Y DB'!$A:$G,5,0))</f>
        <v>2</v>
      </c>
      <c r="S77">
        <f>IF(ISNA(VLOOKUP($A77&amp;S$1,'For stats end Y DB'!$A:$G,5,0)),0,VLOOKUP($A77&amp;S$1,'For stats end Y DB'!$A:$G,5,0))</f>
        <v>13</v>
      </c>
      <c r="T77">
        <f>IF(ISNA(VLOOKUP($A77&amp;T$1,'For stats end Y DB'!$A:$G,5,0)),0,VLOOKUP($A77&amp;T$1,'For stats end Y DB'!$A:$G,5,0))</f>
        <v>4</v>
      </c>
      <c r="U77">
        <f>IF(ISNA(VLOOKUP($A77&amp;U$1,'For stats end Y DB'!$A:$G,5,0)),0,VLOOKUP($A77&amp;U$1,'For stats end Y DB'!$A:$G,5,0))</f>
        <v>0</v>
      </c>
      <c r="V77">
        <f>IF(ISNA(VLOOKUP($A77&amp;V$1,'For stats end Y DB'!$A:$G,5,0)),0,VLOOKUP($A77&amp;V$1,'For stats end Y DB'!$A:$G,5,0))</f>
        <v>12</v>
      </c>
      <c r="W77">
        <f>IF(ISNA(VLOOKUP($A77&amp;W$1,'For stats end Y DB'!$A:$G,5,0)),0,VLOOKUP($A77&amp;W$1,'For stats end Y DB'!$A:$G,5,0))</f>
        <v>4</v>
      </c>
      <c r="X77">
        <f>IF(ISNA(VLOOKUP($A77&amp;X$1,'For stats end Y DB'!$A:$G,5,0)),0,VLOOKUP($A77&amp;X$1,'For stats end Y DB'!$A:$G,5,0))</f>
        <v>1</v>
      </c>
      <c r="Y77">
        <f>IF(ISNA(VLOOKUP($A77&amp;Y$1,'For stats end Y DB'!$A:$G,5,0)),0,VLOOKUP($A77&amp;Y$1,'For stats end Y DB'!$A:$G,5,0))</f>
        <v>0</v>
      </c>
      <c r="Z77">
        <f>IF(ISNA(VLOOKUP($A77&amp;Z$1,'For stats end Y DB'!$A:$G,5,0)),0,VLOOKUP($A77&amp;Z$1,'For stats end Y DB'!$A:$G,5,0))</f>
        <v>2</v>
      </c>
      <c r="AA77">
        <f>IF(ISNA(VLOOKUP($A77&amp;AA$1,'For stats end Y DB'!$A:$G,5,0)),0,VLOOKUP($A77&amp;AA$1,'For stats end Y DB'!$A:$G,5,0))</f>
        <v>1</v>
      </c>
      <c r="AB77">
        <f>IF(ISNA(VLOOKUP($A77&amp;AB$1,'For stats end Y DB'!$A:$G,5,0)),0,VLOOKUP($A77&amp;AB$1,'For stats end Y DB'!$A:$G,5,0))</f>
        <v>4</v>
      </c>
      <c r="AC77">
        <f>IF(ISNA(VLOOKUP($A77&amp;AC$1,'For stats end Y DB'!$A:$G,5,0)),0,VLOOKUP($A77&amp;AC$1,'For stats end Y DB'!$A:$G,5,0))</f>
        <v>0</v>
      </c>
      <c r="AD77">
        <f>IF(ISNA(VLOOKUP($A77&amp;AD$1,'For stats end Y DB'!$A:$G,5,0)),0,VLOOKUP($A77&amp;AD$1,'For stats end Y DB'!$A:$G,5,0))</f>
        <v>8</v>
      </c>
      <c r="AE77">
        <f>IF(ISNA(VLOOKUP($A77&amp;AE$1,'For stats end Y DB'!$A:$G,5,0)),0,VLOOKUP($A77&amp;AE$1,'For stats end Y DB'!$A:$G,5,0))</f>
        <v>17</v>
      </c>
      <c r="AF77">
        <f>IF(ISNA(VLOOKUP($A77&amp;AF$1,'For stats end Y DB'!$A:$G,5,0)),0,VLOOKUP($A77&amp;AF$1,'For stats end Y DB'!$A:$G,5,0))</f>
        <v>16</v>
      </c>
      <c r="AG77">
        <f>IF(ISNA(VLOOKUP($A77&amp;AG$1,'For stats end Y DB'!$A:$G,5,0)),0,VLOOKUP($A77&amp;AG$1,'For stats end Y DB'!$A:$G,5,0))</f>
        <v>0</v>
      </c>
      <c r="AH77">
        <f>IF(ISNA(VLOOKUP($A77&amp;AH$1,'For stats end Y DB'!$A:$G,5,0)),0,VLOOKUP($A77&amp;AH$1,'For stats end Y DB'!$A:$G,5,0))</f>
        <v>4</v>
      </c>
      <c r="AI77">
        <f>IF(ISNA(VLOOKUP($A77&amp;AI$1,'For stats end Y DB'!$A:$G,5,0)),0,VLOOKUP($A77&amp;AI$1,'For stats end Y DB'!$A:$G,5,0))</f>
        <v>0</v>
      </c>
      <c r="AJ77">
        <f>IF(ISNA(VLOOKUP($A77&amp;AJ$1,'For stats end Y DB'!$A:$G,5,0)),0,VLOOKUP($A77&amp;AJ$1,'For stats end Y DB'!$A:$G,5,0))</f>
        <v>0</v>
      </c>
      <c r="AK77">
        <f>IF(ISNA(VLOOKUP($A77&amp;AK$1,'For stats end Y DB'!$A:$G,5,0)),0,VLOOKUP($A77&amp;AK$1,'For stats end Y DB'!$A:$G,5,0))</f>
        <v>0</v>
      </c>
      <c r="AL77">
        <f>IF(ISNA(VLOOKUP($A77&amp;AL$1,'For stats end Y DB'!$A:$G,5,0)),0,VLOOKUP($A77&amp;AL$1,'For stats end Y DB'!$A:$G,5,0))</f>
        <v>0</v>
      </c>
      <c r="AM77">
        <f>IF(ISNA(VLOOKUP($A77&amp;AM$1,'For stats end Y DB'!$A:$G,5,0)),0,VLOOKUP($A77&amp;AM$1,'For stats end Y DB'!$A:$G,5,0))</f>
        <v>0</v>
      </c>
      <c r="AN77">
        <f>IF(ISNA(VLOOKUP($A77&amp;AN$1,'For stats end Y DB'!$A:$G,5,0)),0,VLOOKUP($A77&amp;AN$1,'For stats end Y DB'!$A:$G,5,0))</f>
        <v>0</v>
      </c>
    </row>
    <row r="78" spans="1:40" x14ac:dyDescent="0.2">
      <c r="A78" t="str">
        <f>'For stats end Y class'!A78</f>
        <v>Proph@ne</v>
      </c>
      <c r="B78">
        <f>IF(ISNA(VLOOKUP($A78&amp;B$1,'For stats end Y DB'!$A:$G,5,0)),0,VLOOKUP($A78&amp;B$1,'For stats end Y DB'!$A:$G,5,0))</f>
        <v>1</v>
      </c>
      <c r="C78">
        <f>IF(ISNA(VLOOKUP($A78&amp;C$1,'For stats end Y DB'!$A:$G,5,0)),0,VLOOKUP($A78&amp;C$1,'For stats end Y DB'!$A:$G,5,0))</f>
        <v>2</v>
      </c>
      <c r="D78">
        <f>IF(ISNA(VLOOKUP($A78&amp;D$1,'For stats end Y DB'!$A:$G,5,0)),0,VLOOKUP($A78&amp;D$1,'For stats end Y DB'!$A:$G,5,0))</f>
        <v>17</v>
      </c>
      <c r="E78">
        <f>IF(ISNA(VLOOKUP($A78&amp;E$1,'For stats end Y DB'!$A:$G,5,0)),0,VLOOKUP($A78&amp;E$1,'For stats end Y DB'!$A:$G,5,0))</f>
        <v>2</v>
      </c>
      <c r="F78">
        <f>IF(ISNA(VLOOKUP($A78&amp;F$1,'For stats end Y DB'!$A:$G,5,0)),0,VLOOKUP($A78&amp;F$1,'For stats end Y DB'!$A:$G,5,0))</f>
        <v>8</v>
      </c>
      <c r="G78">
        <f>IF(ISNA(VLOOKUP($A78&amp;G$1,'For stats end Y DB'!$A:$G,5,0)),0,VLOOKUP($A78&amp;G$1,'For stats end Y DB'!$A:$G,5,0))</f>
        <v>2</v>
      </c>
      <c r="H78">
        <f>IF(ISNA(VLOOKUP($A78&amp;H$1,'For stats end Y DB'!$A:$G,5,0)),0,VLOOKUP($A78&amp;H$1,'For stats end Y DB'!$A:$G,5,0))</f>
        <v>0</v>
      </c>
      <c r="I78">
        <f>IF(ISNA(VLOOKUP($A78&amp;I$1,'For stats end Y DB'!$A:$G,5,0)),0,VLOOKUP($A78&amp;I$1,'For stats end Y DB'!$A:$G,5,0))</f>
        <v>16</v>
      </c>
      <c r="J78">
        <f>IF(ISNA(VLOOKUP($A78&amp;J$1,'For stats end Y DB'!$A:$G,5,0)),0,VLOOKUP($A78&amp;J$1,'For stats end Y DB'!$A:$G,5,0))</f>
        <v>4</v>
      </c>
      <c r="K78">
        <f>IF(ISNA(VLOOKUP($A78&amp;K$1,'For stats end Y DB'!$A:$G,5,0)),0,VLOOKUP($A78&amp;K$1,'For stats end Y DB'!$A:$G,5,0))</f>
        <v>0</v>
      </c>
      <c r="L78">
        <f>IF(ISNA(VLOOKUP($A78&amp;L$1,'For stats end Y DB'!$A:$G,5,0)),0,VLOOKUP($A78&amp;L$1,'For stats end Y DB'!$A:$G,5,0))</f>
        <v>1</v>
      </c>
      <c r="M78">
        <f>IF(ISNA(VLOOKUP($A78&amp;M$1,'For stats end Y DB'!$A:$G,5,0)),0,VLOOKUP($A78&amp;M$1,'For stats end Y DB'!$A:$G,5,0))</f>
        <v>4</v>
      </c>
      <c r="N78">
        <f>IF(ISNA(VLOOKUP($A78&amp;N$1,'For stats end Y DB'!$A:$G,5,0)),0,VLOOKUP($A78&amp;N$1,'For stats end Y DB'!$A:$G,5,0))</f>
        <v>0</v>
      </c>
      <c r="O78">
        <f>IF(ISNA(VLOOKUP($A78&amp;O$1,'For stats end Y DB'!$A:$G,5,0)),0,VLOOKUP($A78&amp;O$1,'For stats end Y DB'!$A:$G,5,0))</f>
        <v>2</v>
      </c>
      <c r="P78">
        <f>IF(ISNA(VLOOKUP($A78&amp;P$1,'For stats end Y DB'!$A:$G,5,0)),0,VLOOKUP($A78&amp;P$1,'For stats end Y DB'!$A:$G,5,0))</f>
        <v>16</v>
      </c>
      <c r="Q78">
        <f>IF(ISNA(VLOOKUP($A78&amp;Q$1,'For stats end Y DB'!$A:$G,5,0)),0,VLOOKUP($A78&amp;Q$1,'For stats end Y DB'!$A:$G,5,0))</f>
        <v>3</v>
      </c>
      <c r="R78">
        <f>IF(ISNA(VLOOKUP($A78&amp;R$1,'For stats end Y DB'!$A:$G,5,0)),0,VLOOKUP($A78&amp;R$1,'For stats end Y DB'!$A:$G,5,0))</f>
        <v>1</v>
      </c>
      <c r="S78">
        <f>IF(ISNA(VLOOKUP($A78&amp;S$1,'For stats end Y DB'!$A:$G,5,0)),0,VLOOKUP($A78&amp;S$1,'For stats end Y DB'!$A:$G,5,0))</f>
        <v>0</v>
      </c>
      <c r="T78">
        <f>IF(ISNA(VLOOKUP($A78&amp;T$1,'For stats end Y DB'!$A:$G,5,0)),0,VLOOKUP($A78&amp;T$1,'For stats end Y DB'!$A:$G,5,0))</f>
        <v>0</v>
      </c>
      <c r="U78">
        <f>IF(ISNA(VLOOKUP($A78&amp;U$1,'For stats end Y DB'!$A:$G,5,0)),0,VLOOKUP($A78&amp;U$1,'For stats end Y DB'!$A:$G,5,0))</f>
        <v>8</v>
      </c>
      <c r="V78">
        <f>IF(ISNA(VLOOKUP($A78&amp;V$1,'For stats end Y DB'!$A:$G,5,0)),0,VLOOKUP($A78&amp;V$1,'For stats end Y DB'!$A:$G,5,0))</f>
        <v>12</v>
      </c>
      <c r="W78">
        <f>IF(ISNA(VLOOKUP($A78&amp;W$1,'For stats end Y DB'!$A:$G,5,0)),0,VLOOKUP($A78&amp;W$1,'For stats end Y DB'!$A:$G,5,0))</f>
        <v>9</v>
      </c>
      <c r="X78">
        <f>IF(ISNA(VLOOKUP($A78&amp;X$1,'For stats end Y DB'!$A:$G,5,0)),0,VLOOKUP($A78&amp;X$1,'For stats end Y DB'!$A:$G,5,0))</f>
        <v>0</v>
      </c>
      <c r="Y78">
        <f>IF(ISNA(VLOOKUP($A78&amp;Y$1,'For stats end Y DB'!$A:$G,5,0)),0,VLOOKUP($A78&amp;Y$1,'For stats end Y DB'!$A:$G,5,0))</f>
        <v>17</v>
      </c>
      <c r="Z78">
        <f>IF(ISNA(VLOOKUP($A78&amp;Z$1,'For stats end Y DB'!$A:$G,5,0)),0,VLOOKUP($A78&amp;Z$1,'For stats end Y DB'!$A:$G,5,0))</f>
        <v>3</v>
      </c>
      <c r="AA78">
        <f>IF(ISNA(VLOOKUP($A78&amp;AA$1,'For stats end Y DB'!$A:$G,5,0)),0,VLOOKUP($A78&amp;AA$1,'For stats end Y DB'!$A:$G,5,0))</f>
        <v>12</v>
      </c>
      <c r="AB78">
        <f>IF(ISNA(VLOOKUP($A78&amp;AB$1,'For stats end Y DB'!$A:$G,5,0)),0,VLOOKUP($A78&amp;AB$1,'For stats end Y DB'!$A:$G,5,0))</f>
        <v>15</v>
      </c>
      <c r="AC78">
        <f>IF(ISNA(VLOOKUP($A78&amp;AC$1,'For stats end Y DB'!$A:$G,5,0)),0,VLOOKUP($A78&amp;AC$1,'For stats end Y DB'!$A:$G,5,0))</f>
        <v>1</v>
      </c>
      <c r="AD78">
        <f>IF(ISNA(VLOOKUP($A78&amp;AD$1,'For stats end Y DB'!$A:$G,5,0)),0,VLOOKUP($A78&amp;AD$1,'For stats end Y DB'!$A:$G,5,0))</f>
        <v>0</v>
      </c>
      <c r="AE78">
        <f>IF(ISNA(VLOOKUP($A78&amp;AE$1,'For stats end Y DB'!$A:$G,5,0)),0,VLOOKUP($A78&amp;AE$1,'For stats end Y DB'!$A:$G,5,0))</f>
        <v>1</v>
      </c>
      <c r="AF78">
        <f>IF(ISNA(VLOOKUP($A78&amp;AF$1,'For stats end Y DB'!$A:$G,5,0)),0,VLOOKUP($A78&amp;AF$1,'For stats end Y DB'!$A:$G,5,0))</f>
        <v>0</v>
      </c>
      <c r="AG78">
        <f>IF(ISNA(VLOOKUP($A78&amp;AG$1,'For stats end Y DB'!$A:$G,5,0)),0,VLOOKUP($A78&amp;AG$1,'For stats end Y DB'!$A:$G,5,0))</f>
        <v>12</v>
      </c>
      <c r="AH78">
        <f>IF(ISNA(VLOOKUP($A78&amp;AH$1,'For stats end Y DB'!$A:$G,5,0)),0,VLOOKUP($A78&amp;AH$1,'For stats end Y DB'!$A:$G,5,0))</f>
        <v>0</v>
      </c>
      <c r="AI78">
        <f>IF(ISNA(VLOOKUP($A78&amp;AI$1,'For stats end Y DB'!$A:$G,5,0)),0,VLOOKUP($A78&amp;AI$1,'For stats end Y DB'!$A:$G,5,0))</f>
        <v>0</v>
      </c>
      <c r="AJ78">
        <f>IF(ISNA(VLOOKUP($A78&amp;AJ$1,'For stats end Y DB'!$A:$G,5,0)),0,VLOOKUP($A78&amp;AJ$1,'For stats end Y DB'!$A:$G,5,0))</f>
        <v>0</v>
      </c>
      <c r="AK78">
        <f>IF(ISNA(VLOOKUP($A78&amp;AK$1,'For stats end Y DB'!$A:$G,5,0)),0,VLOOKUP($A78&amp;AK$1,'For stats end Y DB'!$A:$G,5,0))</f>
        <v>0</v>
      </c>
      <c r="AL78">
        <f>IF(ISNA(VLOOKUP($A78&amp;AL$1,'For stats end Y DB'!$A:$G,5,0)),0,VLOOKUP($A78&amp;AL$1,'For stats end Y DB'!$A:$G,5,0))</f>
        <v>0</v>
      </c>
      <c r="AM78">
        <f>IF(ISNA(VLOOKUP($A78&amp;AM$1,'For stats end Y DB'!$A:$G,5,0)),0,VLOOKUP($A78&amp;AM$1,'For stats end Y DB'!$A:$G,5,0))</f>
        <v>0</v>
      </c>
      <c r="AN78">
        <f>IF(ISNA(VLOOKUP($A78&amp;AN$1,'For stats end Y DB'!$A:$G,5,0)),0,VLOOKUP($A78&amp;AN$1,'For stats end Y DB'!$A:$G,5,0))</f>
        <v>0</v>
      </c>
    </row>
    <row r="79" spans="1:40" x14ac:dyDescent="0.2">
      <c r="A79" t="str">
        <f>'For stats end Y class'!A79</f>
        <v>Ptit Savoyard</v>
      </c>
      <c r="B79">
        <f>IF(ISNA(VLOOKUP($A79&amp;B$1,'For stats end Y DB'!$A:$G,5,0)),0,VLOOKUP($A79&amp;B$1,'For stats end Y DB'!$A:$G,5,0))</f>
        <v>2</v>
      </c>
      <c r="C79">
        <f>IF(ISNA(VLOOKUP($A79&amp;C$1,'For stats end Y DB'!$A:$G,5,0)),0,VLOOKUP($A79&amp;C$1,'For stats end Y DB'!$A:$G,5,0))</f>
        <v>0</v>
      </c>
      <c r="D79">
        <f>IF(ISNA(VLOOKUP($A79&amp;D$1,'For stats end Y DB'!$A:$G,5,0)),0,VLOOKUP($A79&amp;D$1,'For stats end Y DB'!$A:$G,5,0))</f>
        <v>12</v>
      </c>
      <c r="E79">
        <f>IF(ISNA(VLOOKUP($A79&amp;E$1,'For stats end Y DB'!$A:$G,5,0)),0,VLOOKUP($A79&amp;E$1,'For stats end Y DB'!$A:$G,5,0))</f>
        <v>5</v>
      </c>
      <c r="F79">
        <f>IF(ISNA(VLOOKUP($A79&amp;F$1,'For stats end Y DB'!$A:$G,5,0)),0,VLOOKUP($A79&amp;F$1,'For stats end Y DB'!$A:$G,5,0))</f>
        <v>0</v>
      </c>
      <c r="G79">
        <f>IF(ISNA(VLOOKUP($A79&amp;G$1,'For stats end Y DB'!$A:$G,5,0)),0,VLOOKUP($A79&amp;G$1,'For stats end Y DB'!$A:$G,5,0))</f>
        <v>13</v>
      </c>
      <c r="H79">
        <f>IF(ISNA(VLOOKUP($A79&amp;H$1,'For stats end Y DB'!$A:$G,5,0)),0,VLOOKUP($A79&amp;H$1,'For stats end Y DB'!$A:$G,5,0))</f>
        <v>4</v>
      </c>
      <c r="I79">
        <f>IF(ISNA(VLOOKUP($A79&amp;I$1,'For stats end Y DB'!$A:$G,5,0)),0,VLOOKUP($A79&amp;I$1,'For stats end Y DB'!$A:$G,5,0))</f>
        <v>1</v>
      </c>
      <c r="J79">
        <f>IF(ISNA(VLOOKUP($A79&amp;J$1,'For stats end Y DB'!$A:$G,5,0)),0,VLOOKUP($A79&amp;J$1,'For stats end Y DB'!$A:$G,5,0))</f>
        <v>0</v>
      </c>
      <c r="K79">
        <f>IF(ISNA(VLOOKUP($A79&amp;K$1,'For stats end Y DB'!$A:$G,5,0)),0,VLOOKUP($A79&amp;K$1,'For stats end Y DB'!$A:$G,5,0))</f>
        <v>0</v>
      </c>
      <c r="L79">
        <f>IF(ISNA(VLOOKUP($A79&amp;L$1,'For stats end Y DB'!$A:$G,5,0)),0,VLOOKUP($A79&amp;L$1,'For stats end Y DB'!$A:$G,5,0))</f>
        <v>0</v>
      </c>
      <c r="M79">
        <f>IF(ISNA(VLOOKUP($A79&amp;M$1,'For stats end Y DB'!$A:$G,5,0)),0,VLOOKUP($A79&amp;M$1,'For stats end Y DB'!$A:$G,5,0))</f>
        <v>0</v>
      </c>
      <c r="N79">
        <f>IF(ISNA(VLOOKUP($A79&amp;N$1,'For stats end Y DB'!$A:$G,5,0)),0,VLOOKUP($A79&amp;N$1,'For stats end Y DB'!$A:$G,5,0))</f>
        <v>0</v>
      </c>
      <c r="O79">
        <f>IF(ISNA(VLOOKUP($A79&amp;O$1,'For stats end Y DB'!$A:$G,5,0)),0,VLOOKUP($A79&amp;O$1,'For stats end Y DB'!$A:$G,5,0))</f>
        <v>0</v>
      </c>
      <c r="P79">
        <f>IF(ISNA(VLOOKUP($A79&amp;P$1,'For stats end Y DB'!$A:$G,5,0)),0,VLOOKUP($A79&amp;P$1,'For stats end Y DB'!$A:$G,5,0))</f>
        <v>1</v>
      </c>
      <c r="Q79">
        <f>IF(ISNA(VLOOKUP($A79&amp;Q$1,'For stats end Y DB'!$A:$G,5,0)),0,VLOOKUP($A79&amp;Q$1,'For stats end Y DB'!$A:$G,5,0))</f>
        <v>1</v>
      </c>
      <c r="R79">
        <f>IF(ISNA(VLOOKUP($A79&amp;R$1,'For stats end Y DB'!$A:$G,5,0)),0,VLOOKUP($A79&amp;R$1,'For stats end Y DB'!$A:$G,5,0))</f>
        <v>0</v>
      </c>
      <c r="S79">
        <f>IF(ISNA(VLOOKUP($A79&amp;S$1,'For stats end Y DB'!$A:$G,5,0)),0,VLOOKUP($A79&amp;S$1,'For stats end Y DB'!$A:$G,5,0))</f>
        <v>1</v>
      </c>
      <c r="T79">
        <f>IF(ISNA(VLOOKUP($A79&amp;T$1,'For stats end Y DB'!$A:$G,5,0)),0,VLOOKUP($A79&amp;T$1,'For stats end Y DB'!$A:$G,5,0))</f>
        <v>8</v>
      </c>
      <c r="U79">
        <f>IF(ISNA(VLOOKUP($A79&amp;U$1,'For stats end Y DB'!$A:$G,5,0)),0,VLOOKUP($A79&amp;U$1,'For stats end Y DB'!$A:$G,5,0))</f>
        <v>4</v>
      </c>
      <c r="V79">
        <f>IF(ISNA(VLOOKUP($A79&amp;V$1,'For stats end Y DB'!$A:$G,5,0)),0,VLOOKUP($A79&amp;V$1,'For stats end Y DB'!$A:$G,5,0))</f>
        <v>16</v>
      </c>
      <c r="W79">
        <f>IF(ISNA(VLOOKUP($A79&amp;W$1,'For stats end Y DB'!$A:$G,5,0)),0,VLOOKUP($A79&amp;W$1,'For stats end Y DB'!$A:$G,5,0))</f>
        <v>8</v>
      </c>
      <c r="X79">
        <f>IF(ISNA(VLOOKUP($A79&amp;X$1,'For stats end Y DB'!$A:$G,5,0)),0,VLOOKUP($A79&amp;X$1,'For stats end Y DB'!$A:$G,5,0))</f>
        <v>2</v>
      </c>
      <c r="Y79">
        <f>IF(ISNA(VLOOKUP($A79&amp;Y$1,'For stats end Y DB'!$A:$G,5,0)),0,VLOOKUP($A79&amp;Y$1,'For stats end Y DB'!$A:$G,5,0))</f>
        <v>9</v>
      </c>
      <c r="Z79">
        <f>IF(ISNA(VLOOKUP($A79&amp;Z$1,'For stats end Y DB'!$A:$G,5,0)),0,VLOOKUP($A79&amp;Z$1,'For stats end Y DB'!$A:$G,5,0))</f>
        <v>0</v>
      </c>
      <c r="AA79">
        <f>IF(ISNA(VLOOKUP($A79&amp;AA$1,'For stats end Y DB'!$A:$G,5,0)),0,VLOOKUP($A79&amp;AA$1,'For stats end Y DB'!$A:$G,5,0))</f>
        <v>0</v>
      </c>
      <c r="AB79">
        <f>IF(ISNA(VLOOKUP($A79&amp;AB$1,'For stats end Y DB'!$A:$G,5,0)),0,VLOOKUP($A79&amp;AB$1,'For stats end Y DB'!$A:$G,5,0))</f>
        <v>0</v>
      </c>
      <c r="AC79">
        <f>IF(ISNA(VLOOKUP($A79&amp;AC$1,'For stats end Y DB'!$A:$G,5,0)),0,VLOOKUP($A79&amp;AC$1,'For stats end Y DB'!$A:$G,5,0))</f>
        <v>0</v>
      </c>
      <c r="AD79">
        <f>IF(ISNA(VLOOKUP($A79&amp;AD$1,'For stats end Y DB'!$A:$G,5,0)),0,VLOOKUP($A79&amp;AD$1,'For stats end Y DB'!$A:$G,5,0))</f>
        <v>0</v>
      </c>
      <c r="AE79">
        <f>IF(ISNA(VLOOKUP($A79&amp;AE$1,'For stats end Y DB'!$A:$G,5,0)),0,VLOOKUP($A79&amp;AE$1,'For stats end Y DB'!$A:$G,5,0))</f>
        <v>0</v>
      </c>
      <c r="AF79">
        <f>IF(ISNA(VLOOKUP($A79&amp;AF$1,'For stats end Y DB'!$A:$G,5,0)),0,VLOOKUP($A79&amp;AF$1,'For stats end Y DB'!$A:$G,5,0))</f>
        <v>0</v>
      </c>
      <c r="AG79">
        <f>IF(ISNA(VLOOKUP($A79&amp;AG$1,'For stats end Y DB'!$A:$G,5,0)),0,VLOOKUP($A79&amp;AG$1,'For stats end Y DB'!$A:$G,5,0))</f>
        <v>0</v>
      </c>
      <c r="AH79">
        <f>IF(ISNA(VLOOKUP($A79&amp;AH$1,'For stats end Y DB'!$A:$G,5,0)),0,VLOOKUP($A79&amp;AH$1,'For stats end Y DB'!$A:$G,5,0))</f>
        <v>0</v>
      </c>
      <c r="AI79">
        <f>IF(ISNA(VLOOKUP($A79&amp;AI$1,'For stats end Y DB'!$A:$G,5,0)),0,VLOOKUP($A79&amp;AI$1,'For stats end Y DB'!$A:$G,5,0))</f>
        <v>0</v>
      </c>
      <c r="AJ79">
        <f>IF(ISNA(VLOOKUP($A79&amp;AJ$1,'For stats end Y DB'!$A:$G,5,0)),0,VLOOKUP($A79&amp;AJ$1,'For stats end Y DB'!$A:$G,5,0))</f>
        <v>0</v>
      </c>
      <c r="AK79">
        <f>IF(ISNA(VLOOKUP($A79&amp;AK$1,'For stats end Y DB'!$A:$G,5,0)),0,VLOOKUP($A79&amp;AK$1,'For stats end Y DB'!$A:$G,5,0))</f>
        <v>0</v>
      </c>
      <c r="AL79">
        <f>IF(ISNA(VLOOKUP($A79&amp;AL$1,'For stats end Y DB'!$A:$G,5,0)),0,VLOOKUP($A79&amp;AL$1,'For stats end Y DB'!$A:$G,5,0))</f>
        <v>0</v>
      </c>
      <c r="AM79">
        <f>IF(ISNA(VLOOKUP($A79&amp;AM$1,'For stats end Y DB'!$A:$G,5,0)),0,VLOOKUP($A79&amp;AM$1,'For stats end Y DB'!$A:$G,5,0))</f>
        <v>0</v>
      </c>
      <c r="AN79">
        <f>IF(ISNA(VLOOKUP($A79&amp;AN$1,'For stats end Y DB'!$A:$G,5,0)),0,VLOOKUP($A79&amp;AN$1,'For stats end Y DB'!$A:$G,5,0))</f>
        <v>0</v>
      </c>
    </row>
    <row r="80" spans="1:40" x14ac:dyDescent="0.2">
      <c r="A80" t="str">
        <f>'For stats end Y class'!A80</f>
        <v>Pyja</v>
      </c>
      <c r="B80">
        <f>IF(ISNA(VLOOKUP($A80&amp;B$1,'For stats end Y DB'!$A:$G,5,0)),0,VLOOKUP($A80&amp;B$1,'For stats end Y DB'!$A:$G,5,0))</f>
        <v>13</v>
      </c>
      <c r="C80">
        <f>IF(ISNA(VLOOKUP($A80&amp;C$1,'For stats end Y DB'!$A:$G,5,0)),0,VLOOKUP($A80&amp;C$1,'For stats end Y DB'!$A:$G,5,0))</f>
        <v>16</v>
      </c>
      <c r="D80">
        <f>IF(ISNA(VLOOKUP($A80&amp;D$1,'For stats end Y DB'!$A:$G,5,0)),0,VLOOKUP($A80&amp;D$1,'For stats end Y DB'!$A:$G,5,0))</f>
        <v>2</v>
      </c>
      <c r="E80">
        <f>IF(ISNA(VLOOKUP($A80&amp;E$1,'For stats end Y DB'!$A:$G,5,0)),0,VLOOKUP($A80&amp;E$1,'For stats end Y DB'!$A:$G,5,0))</f>
        <v>9</v>
      </c>
      <c r="F80">
        <f>IF(ISNA(VLOOKUP($A80&amp;F$1,'For stats end Y DB'!$A:$G,5,0)),0,VLOOKUP($A80&amp;F$1,'For stats end Y DB'!$A:$G,5,0))</f>
        <v>2</v>
      </c>
      <c r="G80">
        <f>IF(ISNA(VLOOKUP($A80&amp;G$1,'For stats end Y DB'!$A:$G,5,0)),0,VLOOKUP($A80&amp;G$1,'For stats end Y DB'!$A:$G,5,0))</f>
        <v>17</v>
      </c>
      <c r="H80">
        <f>IF(ISNA(VLOOKUP($A80&amp;H$1,'For stats end Y DB'!$A:$G,5,0)),0,VLOOKUP($A80&amp;H$1,'For stats end Y DB'!$A:$G,5,0))</f>
        <v>13</v>
      </c>
      <c r="I80">
        <f>IF(ISNA(VLOOKUP($A80&amp;I$1,'For stats end Y DB'!$A:$G,5,0)),0,VLOOKUP($A80&amp;I$1,'For stats end Y DB'!$A:$G,5,0))</f>
        <v>16</v>
      </c>
      <c r="J80">
        <f>IF(ISNA(VLOOKUP($A80&amp;J$1,'For stats end Y DB'!$A:$G,5,0)),0,VLOOKUP($A80&amp;J$1,'For stats end Y DB'!$A:$G,5,0))</f>
        <v>2</v>
      </c>
      <c r="K80">
        <f>IF(ISNA(VLOOKUP($A80&amp;K$1,'For stats end Y DB'!$A:$G,5,0)),0,VLOOKUP($A80&amp;K$1,'For stats end Y DB'!$A:$G,5,0))</f>
        <v>11</v>
      </c>
      <c r="L80">
        <f>IF(ISNA(VLOOKUP($A80&amp;L$1,'For stats end Y DB'!$A:$G,5,0)),0,VLOOKUP($A80&amp;L$1,'For stats end Y DB'!$A:$G,5,0))</f>
        <v>3</v>
      </c>
      <c r="M80">
        <f>IF(ISNA(VLOOKUP($A80&amp;M$1,'For stats end Y DB'!$A:$G,5,0)),0,VLOOKUP($A80&amp;M$1,'For stats end Y DB'!$A:$G,5,0))</f>
        <v>8</v>
      </c>
      <c r="N80">
        <f>IF(ISNA(VLOOKUP($A80&amp;N$1,'For stats end Y DB'!$A:$G,5,0)),0,VLOOKUP($A80&amp;N$1,'For stats end Y DB'!$A:$G,5,0))</f>
        <v>2</v>
      </c>
      <c r="O80">
        <f>IF(ISNA(VLOOKUP($A80&amp;O$1,'For stats end Y DB'!$A:$G,5,0)),0,VLOOKUP($A80&amp;O$1,'For stats end Y DB'!$A:$G,5,0))</f>
        <v>17</v>
      </c>
      <c r="P80">
        <f>IF(ISNA(VLOOKUP($A80&amp;P$1,'For stats end Y DB'!$A:$G,5,0)),0,VLOOKUP($A80&amp;P$1,'For stats end Y DB'!$A:$G,5,0))</f>
        <v>4</v>
      </c>
      <c r="Q80">
        <f>IF(ISNA(VLOOKUP($A80&amp;Q$1,'For stats end Y DB'!$A:$G,5,0)),0,VLOOKUP($A80&amp;Q$1,'For stats end Y DB'!$A:$G,5,0))</f>
        <v>1</v>
      </c>
      <c r="R80">
        <f>IF(ISNA(VLOOKUP($A80&amp;R$1,'For stats end Y DB'!$A:$G,5,0)),0,VLOOKUP($A80&amp;R$1,'For stats end Y DB'!$A:$G,5,0))</f>
        <v>8</v>
      </c>
      <c r="S80">
        <f>IF(ISNA(VLOOKUP($A80&amp;S$1,'For stats end Y DB'!$A:$G,5,0)),0,VLOOKUP($A80&amp;S$1,'For stats end Y DB'!$A:$G,5,0))</f>
        <v>13</v>
      </c>
      <c r="T80">
        <f>IF(ISNA(VLOOKUP($A80&amp;T$1,'For stats end Y DB'!$A:$G,5,0)),0,VLOOKUP($A80&amp;T$1,'For stats end Y DB'!$A:$G,5,0))</f>
        <v>0</v>
      </c>
      <c r="U80">
        <f>IF(ISNA(VLOOKUP($A80&amp;U$1,'For stats end Y DB'!$A:$G,5,0)),0,VLOOKUP($A80&amp;U$1,'For stats end Y DB'!$A:$G,5,0))</f>
        <v>3</v>
      </c>
      <c r="V80">
        <f>IF(ISNA(VLOOKUP($A80&amp;V$1,'For stats end Y DB'!$A:$G,5,0)),0,VLOOKUP($A80&amp;V$1,'For stats end Y DB'!$A:$G,5,0))</f>
        <v>8</v>
      </c>
      <c r="W80">
        <f>IF(ISNA(VLOOKUP($A80&amp;W$1,'For stats end Y DB'!$A:$G,5,0)),0,VLOOKUP($A80&amp;W$1,'For stats end Y DB'!$A:$G,5,0))</f>
        <v>3</v>
      </c>
      <c r="X80">
        <f>IF(ISNA(VLOOKUP($A80&amp;X$1,'For stats end Y DB'!$A:$G,5,0)),0,VLOOKUP($A80&amp;X$1,'For stats end Y DB'!$A:$G,5,0))</f>
        <v>17</v>
      </c>
      <c r="Y80">
        <f>IF(ISNA(VLOOKUP($A80&amp;Y$1,'For stats end Y DB'!$A:$G,5,0)),0,VLOOKUP($A80&amp;Y$1,'For stats end Y DB'!$A:$G,5,0))</f>
        <v>5</v>
      </c>
      <c r="Z80">
        <f>IF(ISNA(VLOOKUP($A80&amp;Z$1,'For stats end Y DB'!$A:$G,5,0)),0,VLOOKUP($A80&amp;Z$1,'For stats end Y DB'!$A:$G,5,0))</f>
        <v>1</v>
      </c>
      <c r="AA80">
        <f>IF(ISNA(VLOOKUP($A80&amp;AA$1,'For stats end Y DB'!$A:$G,5,0)),0,VLOOKUP($A80&amp;AA$1,'For stats end Y DB'!$A:$G,5,0))</f>
        <v>2</v>
      </c>
      <c r="AB80">
        <f>IF(ISNA(VLOOKUP($A80&amp;AB$1,'For stats end Y DB'!$A:$G,5,0)),0,VLOOKUP($A80&amp;AB$1,'For stats end Y DB'!$A:$G,5,0))</f>
        <v>8</v>
      </c>
      <c r="AC80">
        <f>IF(ISNA(VLOOKUP($A80&amp;AC$1,'For stats end Y DB'!$A:$G,5,0)),0,VLOOKUP($A80&amp;AC$1,'For stats end Y DB'!$A:$G,5,0))</f>
        <v>12</v>
      </c>
      <c r="AD80">
        <f>IF(ISNA(VLOOKUP($A80&amp;AD$1,'For stats end Y DB'!$A:$G,5,0)),0,VLOOKUP($A80&amp;AD$1,'For stats end Y DB'!$A:$G,5,0))</f>
        <v>8</v>
      </c>
      <c r="AE80">
        <f>IF(ISNA(VLOOKUP($A80&amp;AE$1,'For stats end Y DB'!$A:$G,5,0)),0,VLOOKUP($A80&amp;AE$1,'For stats end Y DB'!$A:$G,5,0))</f>
        <v>5</v>
      </c>
      <c r="AF80">
        <f>IF(ISNA(VLOOKUP($A80&amp;AF$1,'For stats end Y DB'!$A:$G,5,0)),0,VLOOKUP($A80&amp;AF$1,'For stats end Y DB'!$A:$G,5,0))</f>
        <v>16</v>
      </c>
      <c r="AG80">
        <f>IF(ISNA(VLOOKUP($A80&amp;AG$1,'For stats end Y DB'!$A:$G,5,0)),0,VLOOKUP($A80&amp;AG$1,'For stats end Y DB'!$A:$G,5,0))</f>
        <v>8</v>
      </c>
      <c r="AH80">
        <f>IF(ISNA(VLOOKUP($A80&amp;AH$1,'For stats end Y DB'!$A:$G,5,0)),0,VLOOKUP($A80&amp;AH$1,'For stats end Y DB'!$A:$G,5,0))</f>
        <v>2</v>
      </c>
      <c r="AI80">
        <f>IF(ISNA(VLOOKUP($A80&amp;AI$1,'For stats end Y DB'!$A:$G,5,0)),0,VLOOKUP($A80&amp;AI$1,'For stats end Y DB'!$A:$G,5,0))</f>
        <v>0</v>
      </c>
      <c r="AJ80">
        <f>IF(ISNA(VLOOKUP($A80&amp;AJ$1,'For stats end Y DB'!$A:$G,5,0)),0,VLOOKUP($A80&amp;AJ$1,'For stats end Y DB'!$A:$G,5,0))</f>
        <v>0</v>
      </c>
      <c r="AK80">
        <f>IF(ISNA(VLOOKUP($A80&amp;AK$1,'For stats end Y DB'!$A:$G,5,0)),0,VLOOKUP($A80&amp;AK$1,'For stats end Y DB'!$A:$G,5,0))</f>
        <v>0</v>
      </c>
      <c r="AL80">
        <f>IF(ISNA(VLOOKUP($A80&amp;AL$1,'For stats end Y DB'!$A:$G,5,0)),0,VLOOKUP($A80&amp;AL$1,'For stats end Y DB'!$A:$G,5,0))</f>
        <v>0</v>
      </c>
      <c r="AM80">
        <f>IF(ISNA(VLOOKUP($A80&amp;AM$1,'For stats end Y DB'!$A:$G,5,0)),0,VLOOKUP($A80&amp;AM$1,'For stats end Y DB'!$A:$G,5,0))</f>
        <v>0</v>
      </c>
      <c r="AN80">
        <f>IF(ISNA(VLOOKUP($A80&amp;AN$1,'For stats end Y DB'!$A:$G,5,0)),0,VLOOKUP($A80&amp;AN$1,'For stats end Y DB'!$A:$G,5,0))</f>
        <v>0</v>
      </c>
    </row>
    <row r="81" spans="1:40" x14ac:dyDescent="0.2">
      <c r="A81" t="str">
        <f>'For stats end Y class'!A81</f>
        <v>Ramm</v>
      </c>
      <c r="B81">
        <f>IF(ISNA(VLOOKUP($A81&amp;B$1,'For stats end Y DB'!$A:$G,5,0)),0,VLOOKUP($A81&amp;B$1,'For stats end Y DB'!$A:$G,5,0))</f>
        <v>2</v>
      </c>
      <c r="C81">
        <f>IF(ISNA(VLOOKUP($A81&amp;C$1,'For stats end Y DB'!$A:$G,5,0)),0,VLOOKUP($A81&amp;C$1,'For stats end Y DB'!$A:$G,5,0))</f>
        <v>0</v>
      </c>
      <c r="D81">
        <f>IF(ISNA(VLOOKUP($A81&amp;D$1,'For stats end Y DB'!$A:$G,5,0)),0,VLOOKUP($A81&amp;D$1,'For stats end Y DB'!$A:$G,5,0))</f>
        <v>16</v>
      </c>
      <c r="E81">
        <f>IF(ISNA(VLOOKUP($A81&amp;E$1,'For stats end Y DB'!$A:$G,5,0)),0,VLOOKUP($A81&amp;E$1,'For stats end Y DB'!$A:$G,5,0))</f>
        <v>3</v>
      </c>
      <c r="F81">
        <f>IF(ISNA(VLOOKUP($A81&amp;F$1,'For stats end Y DB'!$A:$G,5,0)),0,VLOOKUP($A81&amp;F$1,'For stats end Y DB'!$A:$G,5,0))</f>
        <v>0</v>
      </c>
      <c r="G81">
        <f>IF(ISNA(VLOOKUP($A81&amp;G$1,'For stats end Y DB'!$A:$G,5,0)),0,VLOOKUP($A81&amp;G$1,'For stats end Y DB'!$A:$G,5,0))</f>
        <v>9</v>
      </c>
      <c r="H81">
        <f>IF(ISNA(VLOOKUP($A81&amp;H$1,'For stats end Y DB'!$A:$G,5,0)),0,VLOOKUP($A81&amp;H$1,'For stats end Y DB'!$A:$G,5,0))</f>
        <v>0</v>
      </c>
      <c r="I81">
        <f>IF(ISNA(VLOOKUP($A81&amp;I$1,'For stats end Y DB'!$A:$G,5,0)),0,VLOOKUP($A81&amp;I$1,'For stats end Y DB'!$A:$G,5,0))</f>
        <v>0</v>
      </c>
      <c r="J81">
        <f>IF(ISNA(VLOOKUP($A81&amp;J$1,'For stats end Y DB'!$A:$G,5,0)),0,VLOOKUP($A81&amp;J$1,'For stats end Y DB'!$A:$G,5,0))</f>
        <v>16</v>
      </c>
      <c r="K81">
        <f>IF(ISNA(VLOOKUP($A81&amp;K$1,'For stats end Y DB'!$A:$G,5,0)),0,VLOOKUP($A81&amp;K$1,'For stats end Y DB'!$A:$G,5,0))</f>
        <v>0</v>
      </c>
      <c r="L81">
        <f>IF(ISNA(VLOOKUP($A81&amp;L$1,'For stats end Y DB'!$A:$G,5,0)),0,VLOOKUP($A81&amp;L$1,'For stats end Y DB'!$A:$G,5,0))</f>
        <v>8</v>
      </c>
      <c r="M81">
        <f>IF(ISNA(VLOOKUP($A81&amp;M$1,'For stats end Y DB'!$A:$G,5,0)),0,VLOOKUP($A81&amp;M$1,'For stats end Y DB'!$A:$G,5,0))</f>
        <v>0</v>
      </c>
      <c r="N81">
        <f>IF(ISNA(VLOOKUP($A81&amp;N$1,'For stats end Y DB'!$A:$G,5,0)),0,VLOOKUP($A81&amp;N$1,'For stats end Y DB'!$A:$G,5,0))</f>
        <v>4</v>
      </c>
      <c r="O81">
        <f>IF(ISNA(VLOOKUP($A81&amp;O$1,'For stats end Y DB'!$A:$G,5,0)),0,VLOOKUP($A81&amp;O$1,'For stats end Y DB'!$A:$G,5,0))</f>
        <v>8</v>
      </c>
      <c r="P81">
        <f>IF(ISNA(VLOOKUP($A81&amp;P$1,'For stats end Y DB'!$A:$G,5,0)),0,VLOOKUP($A81&amp;P$1,'For stats end Y DB'!$A:$G,5,0))</f>
        <v>0</v>
      </c>
      <c r="Q81">
        <f>IF(ISNA(VLOOKUP($A81&amp;Q$1,'For stats end Y DB'!$A:$G,5,0)),0,VLOOKUP($A81&amp;Q$1,'For stats end Y DB'!$A:$G,5,0))</f>
        <v>9</v>
      </c>
      <c r="R81">
        <f>IF(ISNA(VLOOKUP($A81&amp;R$1,'For stats end Y DB'!$A:$G,5,0)),0,VLOOKUP($A81&amp;R$1,'For stats end Y DB'!$A:$G,5,0))</f>
        <v>17</v>
      </c>
      <c r="S81">
        <f>IF(ISNA(VLOOKUP($A81&amp;S$1,'For stats end Y DB'!$A:$G,5,0)),0,VLOOKUP($A81&amp;S$1,'For stats end Y DB'!$A:$G,5,0))</f>
        <v>3</v>
      </c>
      <c r="T81">
        <f>IF(ISNA(VLOOKUP($A81&amp;T$1,'For stats end Y DB'!$A:$G,5,0)),0,VLOOKUP($A81&amp;T$1,'For stats end Y DB'!$A:$G,5,0))</f>
        <v>0</v>
      </c>
      <c r="U81">
        <f>IF(ISNA(VLOOKUP($A81&amp;U$1,'For stats end Y DB'!$A:$G,5,0)),0,VLOOKUP($A81&amp;U$1,'For stats end Y DB'!$A:$G,5,0))</f>
        <v>0</v>
      </c>
      <c r="V81">
        <f>IF(ISNA(VLOOKUP($A81&amp;V$1,'For stats end Y DB'!$A:$G,5,0)),0,VLOOKUP($A81&amp;V$1,'For stats end Y DB'!$A:$G,5,0))</f>
        <v>9</v>
      </c>
      <c r="W81">
        <f>IF(ISNA(VLOOKUP($A81&amp;W$1,'For stats end Y DB'!$A:$G,5,0)),0,VLOOKUP($A81&amp;W$1,'For stats end Y DB'!$A:$G,5,0))</f>
        <v>0</v>
      </c>
      <c r="X81">
        <f>IF(ISNA(VLOOKUP($A81&amp;X$1,'For stats end Y DB'!$A:$G,5,0)),0,VLOOKUP($A81&amp;X$1,'For stats end Y DB'!$A:$G,5,0))</f>
        <v>0</v>
      </c>
      <c r="Y81">
        <f>IF(ISNA(VLOOKUP($A81&amp;Y$1,'For stats end Y DB'!$A:$G,5,0)),0,VLOOKUP($A81&amp;Y$1,'For stats end Y DB'!$A:$G,5,0))</f>
        <v>0</v>
      </c>
      <c r="Z81">
        <f>IF(ISNA(VLOOKUP($A81&amp;Z$1,'For stats end Y DB'!$A:$G,5,0)),0,VLOOKUP($A81&amp;Z$1,'For stats end Y DB'!$A:$G,5,0))</f>
        <v>0</v>
      </c>
      <c r="AA81">
        <f>IF(ISNA(VLOOKUP($A81&amp;AA$1,'For stats end Y DB'!$A:$G,5,0)),0,VLOOKUP($A81&amp;AA$1,'For stats end Y DB'!$A:$G,5,0))</f>
        <v>16</v>
      </c>
      <c r="AB81">
        <f>IF(ISNA(VLOOKUP($A81&amp;AB$1,'For stats end Y DB'!$A:$G,5,0)),0,VLOOKUP($A81&amp;AB$1,'For stats end Y DB'!$A:$G,5,0))</f>
        <v>12</v>
      </c>
      <c r="AC81">
        <f>IF(ISNA(VLOOKUP($A81&amp;AC$1,'For stats end Y DB'!$A:$G,5,0)),0,VLOOKUP($A81&amp;AC$1,'For stats end Y DB'!$A:$G,5,0))</f>
        <v>12</v>
      </c>
      <c r="AD81">
        <f>IF(ISNA(VLOOKUP($A81&amp;AD$1,'For stats end Y DB'!$A:$G,5,0)),0,VLOOKUP($A81&amp;AD$1,'For stats end Y DB'!$A:$G,5,0))</f>
        <v>16</v>
      </c>
      <c r="AE81">
        <f>IF(ISNA(VLOOKUP($A81&amp;AE$1,'For stats end Y DB'!$A:$G,5,0)),0,VLOOKUP($A81&amp;AE$1,'For stats end Y DB'!$A:$G,5,0))</f>
        <v>4</v>
      </c>
      <c r="AF81">
        <f>IF(ISNA(VLOOKUP($A81&amp;AF$1,'For stats end Y DB'!$A:$G,5,0)),0,VLOOKUP($A81&amp;AF$1,'For stats end Y DB'!$A:$G,5,0))</f>
        <v>12</v>
      </c>
      <c r="AG81">
        <f>IF(ISNA(VLOOKUP($A81&amp;AG$1,'For stats end Y DB'!$A:$G,5,0)),0,VLOOKUP($A81&amp;AG$1,'For stats end Y DB'!$A:$G,5,0))</f>
        <v>3</v>
      </c>
      <c r="AH81">
        <f>IF(ISNA(VLOOKUP($A81&amp;AH$1,'For stats end Y DB'!$A:$G,5,0)),0,VLOOKUP($A81&amp;AH$1,'For stats end Y DB'!$A:$G,5,0))</f>
        <v>8</v>
      </c>
      <c r="AI81">
        <f>IF(ISNA(VLOOKUP($A81&amp;AI$1,'For stats end Y DB'!$A:$G,5,0)),0,VLOOKUP($A81&amp;AI$1,'For stats end Y DB'!$A:$G,5,0))</f>
        <v>0</v>
      </c>
      <c r="AJ81">
        <f>IF(ISNA(VLOOKUP($A81&amp;AJ$1,'For stats end Y DB'!$A:$G,5,0)),0,VLOOKUP($A81&amp;AJ$1,'For stats end Y DB'!$A:$G,5,0))</f>
        <v>0</v>
      </c>
      <c r="AK81">
        <f>IF(ISNA(VLOOKUP($A81&amp;AK$1,'For stats end Y DB'!$A:$G,5,0)),0,VLOOKUP($A81&amp;AK$1,'For stats end Y DB'!$A:$G,5,0))</f>
        <v>0</v>
      </c>
      <c r="AL81">
        <f>IF(ISNA(VLOOKUP($A81&amp;AL$1,'For stats end Y DB'!$A:$G,5,0)),0,VLOOKUP($A81&amp;AL$1,'For stats end Y DB'!$A:$G,5,0))</f>
        <v>0</v>
      </c>
      <c r="AM81">
        <f>IF(ISNA(VLOOKUP($A81&amp;AM$1,'For stats end Y DB'!$A:$G,5,0)),0,VLOOKUP($A81&amp;AM$1,'For stats end Y DB'!$A:$G,5,0))</f>
        <v>0</v>
      </c>
      <c r="AN81">
        <f>IF(ISNA(VLOOKUP($A81&amp;AN$1,'For stats end Y DB'!$A:$G,5,0)),0,VLOOKUP($A81&amp;AN$1,'For stats end Y DB'!$A:$G,5,0))</f>
        <v>0</v>
      </c>
    </row>
    <row r="82" spans="1:40" x14ac:dyDescent="0.2">
      <c r="A82" t="str">
        <f>'For stats end Y class'!A82</f>
        <v>Ripolin</v>
      </c>
      <c r="B82">
        <f>IF(ISNA(VLOOKUP($A82&amp;B$1,'For stats end Y DB'!$A:$G,5,0)),0,VLOOKUP($A82&amp;B$1,'For stats end Y DB'!$A:$G,5,0))</f>
        <v>16</v>
      </c>
      <c r="C82">
        <f>IF(ISNA(VLOOKUP($A82&amp;C$1,'For stats end Y DB'!$A:$G,5,0)),0,VLOOKUP($A82&amp;C$1,'For stats end Y DB'!$A:$G,5,0))</f>
        <v>4</v>
      </c>
      <c r="D82">
        <f>IF(ISNA(VLOOKUP($A82&amp;D$1,'For stats end Y DB'!$A:$G,5,0)),0,VLOOKUP($A82&amp;D$1,'For stats end Y DB'!$A:$G,5,0))</f>
        <v>0</v>
      </c>
      <c r="E82">
        <f>IF(ISNA(VLOOKUP($A82&amp;E$1,'For stats end Y DB'!$A:$G,5,0)),0,VLOOKUP($A82&amp;E$1,'For stats end Y DB'!$A:$G,5,0))</f>
        <v>1</v>
      </c>
      <c r="F82">
        <f>IF(ISNA(VLOOKUP($A82&amp;F$1,'For stats end Y DB'!$A:$G,5,0)),0,VLOOKUP($A82&amp;F$1,'For stats end Y DB'!$A:$G,5,0))</f>
        <v>1</v>
      </c>
      <c r="G82">
        <f>IF(ISNA(VLOOKUP($A82&amp;G$1,'For stats end Y DB'!$A:$G,5,0)),0,VLOOKUP($A82&amp;G$1,'For stats end Y DB'!$A:$G,5,0))</f>
        <v>0</v>
      </c>
      <c r="H82">
        <f>IF(ISNA(VLOOKUP($A82&amp;H$1,'For stats end Y DB'!$A:$G,5,0)),0,VLOOKUP($A82&amp;H$1,'For stats end Y DB'!$A:$G,5,0))</f>
        <v>12</v>
      </c>
      <c r="I82">
        <f>IF(ISNA(VLOOKUP($A82&amp;I$1,'For stats end Y DB'!$A:$G,5,0)),0,VLOOKUP($A82&amp;I$1,'For stats end Y DB'!$A:$G,5,0))</f>
        <v>0</v>
      </c>
      <c r="J82">
        <f>IF(ISNA(VLOOKUP($A82&amp;J$1,'For stats end Y DB'!$A:$G,5,0)),0,VLOOKUP($A82&amp;J$1,'For stats end Y DB'!$A:$G,5,0))</f>
        <v>2</v>
      </c>
      <c r="K82">
        <f>IF(ISNA(VLOOKUP($A82&amp;K$1,'For stats end Y DB'!$A:$G,5,0)),0,VLOOKUP($A82&amp;K$1,'For stats end Y DB'!$A:$G,5,0))</f>
        <v>0</v>
      </c>
      <c r="L82">
        <f>IF(ISNA(VLOOKUP($A82&amp;L$1,'For stats end Y DB'!$A:$G,5,0)),0,VLOOKUP($A82&amp;L$1,'For stats end Y DB'!$A:$G,5,0))</f>
        <v>11</v>
      </c>
      <c r="M82">
        <f>IF(ISNA(VLOOKUP($A82&amp;M$1,'For stats end Y DB'!$A:$G,5,0)),0,VLOOKUP($A82&amp;M$1,'For stats end Y DB'!$A:$G,5,0))</f>
        <v>12</v>
      </c>
      <c r="N82">
        <f>IF(ISNA(VLOOKUP($A82&amp;N$1,'For stats end Y DB'!$A:$G,5,0)),0,VLOOKUP($A82&amp;N$1,'For stats end Y DB'!$A:$G,5,0))</f>
        <v>8</v>
      </c>
      <c r="O82">
        <f>IF(ISNA(VLOOKUP($A82&amp;O$1,'For stats end Y DB'!$A:$G,5,0)),0,VLOOKUP($A82&amp;O$1,'For stats end Y DB'!$A:$G,5,0))</f>
        <v>1</v>
      </c>
      <c r="P82">
        <f>IF(ISNA(VLOOKUP($A82&amp;P$1,'For stats end Y DB'!$A:$G,5,0)),0,VLOOKUP($A82&amp;P$1,'For stats end Y DB'!$A:$G,5,0))</f>
        <v>0</v>
      </c>
      <c r="Q82">
        <f>IF(ISNA(VLOOKUP($A82&amp;Q$1,'For stats end Y DB'!$A:$G,5,0)),0,VLOOKUP($A82&amp;Q$1,'For stats end Y DB'!$A:$G,5,0))</f>
        <v>0</v>
      </c>
      <c r="R82">
        <f>IF(ISNA(VLOOKUP($A82&amp;R$1,'For stats end Y DB'!$A:$G,5,0)),0,VLOOKUP($A82&amp;R$1,'For stats end Y DB'!$A:$G,5,0))</f>
        <v>1</v>
      </c>
      <c r="S82">
        <f>IF(ISNA(VLOOKUP($A82&amp;S$1,'For stats end Y DB'!$A:$G,5,0)),0,VLOOKUP($A82&amp;S$1,'For stats end Y DB'!$A:$G,5,0))</f>
        <v>0</v>
      </c>
      <c r="T82">
        <f>IF(ISNA(VLOOKUP($A82&amp;T$1,'For stats end Y DB'!$A:$G,5,0)),0,VLOOKUP($A82&amp;T$1,'For stats end Y DB'!$A:$G,5,0))</f>
        <v>16</v>
      </c>
      <c r="U82">
        <f>IF(ISNA(VLOOKUP($A82&amp;U$1,'For stats end Y DB'!$A:$G,5,0)),0,VLOOKUP($A82&amp;U$1,'For stats end Y DB'!$A:$G,5,0))</f>
        <v>3</v>
      </c>
      <c r="V82">
        <f>IF(ISNA(VLOOKUP($A82&amp;V$1,'For stats end Y DB'!$A:$G,5,0)),0,VLOOKUP($A82&amp;V$1,'For stats end Y DB'!$A:$G,5,0))</f>
        <v>2</v>
      </c>
      <c r="W82">
        <f>IF(ISNA(VLOOKUP($A82&amp;W$1,'For stats end Y DB'!$A:$G,5,0)),0,VLOOKUP($A82&amp;W$1,'For stats end Y DB'!$A:$G,5,0))</f>
        <v>0</v>
      </c>
      <c r="X82">
        <f>IF(ISNA(VLOOKUP($A82&amp;X$1,'For stats end Y DB'!$A:$G,5,0)),0,VLOOKUP($A82&amp;X$1,'For stats end Y DB'!$A:$G,5,0))</f>
        <v>0</v>
      </c>
      <c r="Y82">
        <f>IF(ISNA(VLOOKUP($A82&amp;Y$1,'For stats end Y DB'!$A:$G,5,0)),0,VLOOKUP($A82&amp;Y$1,'For stats end Y DB'!$A:$G,5,0))</f>
        <v>2</v>
      </c>
      <c r="Z82">
        <f>IF(ISNA(VLOOKUP($A82&amp;Z$1,'For stats end Y DB'!$A:$G,5,0)),0,VLOOKUP($A82&amp;Z$1,'For stats end Y DB'!$A:$G,5,0))</f>
        <v>1</v>
      </c>
      <c r="AA82">
        <f>IF(ISNA(VLOOKUP($A82&amp;AA$1,'For stats end Y DB'!$A:$G,5,0)),0,VLOOKUP($A82&amp;AA$1,'For stats end Y DB'!$A:$G,5,0))</f>
        <v>0</v>
      </c>
      <c r="AB82">
        <f>IF(ISNA(VLOOKUP($A82&amp;AB$1,'For stats end Y DB'!$A:$G,5,0)),0,VLOOKUP($A82&amp;AB$1,'For stats end Y DB'!$A:$G,5,0))</f>
        <v>2</v>
      </c>
      <c r="AC82">
        <f>IF(ISNA(VLOOKUP($A82&amp;AC$1,'For stats end Y DB'!$A:$G,5,0)),0,VLOOKUP($A82&amp;AC$1,'For stats end Y DB'!$A:$G,5,0))</f>
        <v>1</v>
      </c>
      <c r="AD82">
        <f>IF(ISNA(VLOOKUP($A82&amp;AD$1,'For stats end Y DB'!$A:$G,5,0)),0,VLOOKUP($A82&amp;AD$1,'For stats end Y DB'!$A:$G,5,0))</f>
        <v>4</v>
      </c>
      <c r="AE82">
        <f>IF(ISNA(VLOOKUP($A82&amp;AE$1,'For stats end Y DB'!$A:$G,5,0)),0,VLOOKUP($A82&amp;AE$1,'For stats end Y DB'!$A:$G,5,0))</f>
        <v>2</v>
      </c>
      <c r="AF82">
        <f>IF(ISNA(VLOOKUP($A82&amp;AF$1,'For stats end Y DB'!$A:$G,5,0)),0,VLOOKUP($A82&amp;AF$1,'For stats end Y DB'!$A:$G,5,0))</f>
        <v>3</v>
      </c>
      <c r="AG82">
        <f>IF(ISNA(VLOOKUP($A82&amp;AG$1,'For stats end Y DB'!$A:$G,5,0)),0,VLOOKUP($A82&amp;AG$1,'For stats end Y DB'!$A:$G,5,0))</f>
        <v>2</v>
      </c>
      <c r="AH82">
        <f>IF(ISNA(VLOOKUP($A82&amp;AH$1,'For stats end Y DB'!$A:$G,5,0)),0,VLOOKUP($A82&amp;AH$1,'For stats end Y DB'!$A:$G,5,0))</f>
        <v>16</v>
      </c>
      <c r="AI82">
        <f>IF(ISNA(VLOOKUP($A82&amp;AI$1,'For stats end Y DB'!$A:$G,5,0)),0,VLOOKUP($A82&amp;AI$1,'For stats end Y DB'!$A:$G,5,0))</f>
        <v>0</v>
      </c>
      <c r="AJ82">
        <f>IF(ISNA(VLOOKUP($A82&amp;AJ$1,'For stats end Y DB'!$A:$G,5,0)),0,VLOOKUP($A82&amp;AJ$1,'For stats end Y DB'!$A:$G,5,0))</f>
        <v>0</v>
      </c>
      <c r="AK82">
        <f>IF(ISNA(VLOOKUP($A82&amp;AK$1,'For stats end Y DB'!$A:$G,5,0)),0,VLOOKUP($A82&amp;AK$1,'For stats end Y DB'!$A:$G,5,0))</f>
        <v>0</v>
      </c>
      <c r="AL82">
        <f>IF(ISNA(VLOOKUP($A82&amp;AL$1,'For stats end Y DB'!$A:$G,5,0)),0,VLOOKUP($A82&amp;AL$1,'For stats end Y DB'!$A:$G,5,0))</f>
        <v>0</v>
      </c>
      <c r="AM82">
        <f>IF(ISNA(VLOOKUP($A82&amp;AM$1,'For stats end Y DB'!$A:$G,5,0)),0,VLOOKUP($A82&amp;AM$1,'For stats end Y DB'!$A:$G,5,0))</f>
        <v>0</v>
      </c>
      <c r="AN82">
        <f>IF(ISNA(VLOOKUP($A82&amp;AN$1,'For stats end Y DB'!$A:$G,5,0)),0,VLOOKUP($A82&amp;AN$1,'For stats end Y DB'!$A:$G,5,0))</f>
        <v>0</v>
      </c>
    </row>
    <row r="83" spans="1:40" x14ac:dyDescent="0.2">
      <c r="A83" t="str">
        <f>'For stats end Y class'!A83</f>
        <v>Riviera</v>
      </c>
      <c r="B83">
        <f>IF(ISNA(VLOOKUP($A83&amp;B$1,'For stats end Y DB'!$A:$G,5,0)),0,VLOOKUP($A83&amp;B$1,'For stats end Y DB'!$A:$G,5,0))</f>
        <v>0</v>
      </c>
      <c r="C83">
        <f>IF(ISNA(VLOOKUP($A83&amp;C$1,'For stats end Y DB'!$A:$G,5,0)),0,VLOOKUP($A83&amp;C$1,'For stats end Y DB'!$A:$G,5,0))</f>
        <v>0</v>
      </c>
      <c r="D83">
        <f>IF(ISNA(VLOOKUP($A83&amp;D$1,'For stats end Y DB'!$A:$G,5,0)),0,VLOOKUP($A83&amp;D$1,'For stats end Y DB'!$A:$G,5,0))</f>
        <v>0</v>
      </c>
      <c r="E83">
        <f>IF(ISNA(VLOOKUP($A83&amp;E$1,'For stats end Y DB'!$A:$G,5,0)),0,VLOOKUP($A83&amp;E$1,'For stats end Y DB'!$A:$G,5,0))</f>
        <v>3</v>
      </c>
      <c r="F83">
        <f>IF(ISNA(VLOOKUP($A83&amp;F$1,'For stats end Y DB'!$A:$G,5,0)),0,VLOOKUP($A83&amp;F$1,'For stats end Y DB'!$A:$G,5,0))</f>
        <v>5</v>
      </c>
      <c r="G83">
        <f>IF(ISNA(VLOOKUP($A83&amp;G$1,'For stats end Y DB'!$A:$G,5,0)),0,VLOOKUP($A83&amp;G$1,'For stats end Y DB'!$A:$G,5,0))</f>
        <v>0</v>
      </c>
      <c r="H83">
        <f>IF(ISNA(VLOOKUP($A83&amp;H$1,'For stats end Y DB'!$A:$G,5,0)),0,VLOOKUP($A83&amp;H$1,'For stats end Y DB'!$A:$G,5,0))</f>
        <v>0</v>
      </c>
      <c r="I83">
        <f>IF(ISNA(VLOOKUP($A83&amp;I$1,'For stats end Y DB'!$A:$G,5,0)),0,VLOOKUP($A83&amp;I$1,'For stats end Y DB'!$A:$G,5,0))</f>
        <v>0</v>
      </c>
      <c r="J83">
        <f>IF(ISNA(VLOOKUP($A83&amp;J$1,'For stats end Y DB'!$A:$G,5,0)),0,VLOOKUP($A83&amp;J$1,'For stats end Y DB'!$A:$G,5,0))</f>
        <v>0</v>
      </c>
      <c r="K83">
        <f>IF(ISNA(VLOOKUP($A83&amp;K$1,'For stats end Y DB'!$A:$G,5,0)),0,VLOOKUP($A83&amp;K$1,'For stats end Y DB'!$A:$G,5,0))</f>
        <v>0</v>
      </c>
      <c r="L83">
        <f>IF(ISNA(VLOOKUP($A83&amp;L$1,'For stats end Y DB'!$A:$G,5,0)),0,VLOOKUP($A83&amp;L$1,'For stats end Y DB'!$A:$G,5,0))</f>
        <v>0</v>
      </c>
      <c r="M83">
        <f>IF(ISNA(VLOOKUP($A83&amp;M$1,'For stats end Y DB'!$A:$G,5,0)),0,VLOOKUP($A83&amp;M$1,'For stats end Y DB'!$A:$G,5,0))</f>
        <v>0</v>
      </c>
      <c r="N83">
        <f>IF(ISNA(VLOOKUP($A83&amp;N$1,'For stats end Y DB'!$A:$G,5,0)),0,VLOOKUP($A83&amp;N$1,'For stats end Y DB'!$A:$G,5,0))</f>
        <v>0</v>
      </c>
      <c r="O83">
        <f>IF(ISNA(VLOOKUP($A83&amp;O$1,'For stats end Y DB'!$A:$G,5,0)),0,VLOOKUP($A83&amp;O$1,'For stats end Y DB'!$A:$G,5,0))</f>
        <v>0</v>
      </c>
      <c r="P83">
        <f>IF(ISNA(VLOOKUP($A83&amp;P$1,'For stats end Y DB'!$A:$G,5,0)),0,VLOOKUP($A83&amp;P$1,'For stats end Y DB'!$A:$G,5,0))</f>
        <v>0</v>
      </c>
      <c r="Q83">
        <f>IF(ISNA(VLOOKUP($A83&amp;Q$1,'For stats end Y DB'!$A:$G,5,0)),0,VLOOKUP($A83&amp;Q$1,'For stats end Y DB'!$A:$G,5,0))</f>
        <v>0</v>
      </c>
      <c r="R83">
        <f>IF(ISNA(VLOOKUP($A83&amp;R$1,'For stats end Y DB'!$A:$G,5,0)),0,VLOOKUP($A83&amp;R$1,'For stats end Y DB'!$A:$G,5,0))</f>
        <v>0</v>
      </c>
      <c r="S83">
        <f>IF(ISNA(VLOOKUP($A83&amp;S$1,'For stats end Y DB'!$A:$G,5,0)),0,VLOOKUP($A83&amp;S$1,'For stats end Y DB'!$A:$G,5,0))</f>
        <v>0</v>
      </c>
      <c r="T83">
        <f>IF(ISNA(VLOOKUP($A83&amp;T$1,'For stats end Y DB'!$A:$G,5,0)),0,VLOOKUP($A83&amp;T$1,'For stats end Y DB'!$A:$G,5,0))</f>
        <v>0</v>
      </c>
      <c r="U83">
        <f>IF(ISNA(VLOOKUP($A83&amp;U$1,'For stats end Y DB'!$A:$G,5,0)),0,VLOOKUP($A83&amp;U$1,'For stats end Y DB'!$A:$G,5,0))</f>
        <v>0</v>
      </c>
      <c r="V83">
        <f>IF(ISNA(VLOOKUP($A83&amp;V$1,'For stats end Y DB'!$A:$G,5,0)),0,VLOOKUP($A83&amp;V$1,'For stats end Y DB'!$A:$G,5,0))</f>
        <v>0</v>
      </c>
      <c r="W83">
        <f>IF(ISNA(VLOOKUP($A83&amp;W$1,'For stats end Y DB'!$A:$G,5,0)),0,VLOOKUP($A83&amp;W$1,'For stats end Y DB'!$A:$G,5,0))</f>
        <v>0</v>
      </c>
      <c r="X83">
        <f>IF(ISNA(VLOOKUP($A83&amp;X$1,'For stats end Y DB'!$A:$G,5,0)),0,VLOOKUP($A83&amp;X$1,'For stats end Y DB'!$A:$G,5,0))</f>
        <v>0</v>
      </c>
      <c r="Y83">
        <f>IF(ISNA(VLOOKUP($A83&amp;Y$1,'For stats end Y DB'!$A:$G,5,0)),0,VLOOKUP($A83&amp;Y$1,'For stats end Y DB'!$A:$G,5,0))</f>
        <v>0</v>
      </c>
      <c r="Z83">
        <f>IF(ISNA(VLOOKUP($A83&amp;Z$1,'For stats end Y DB'!$A:$G,5,0)),0,VLOOKUP($A83&amp;Z$1,'For stats end Y DB'!$A:$G,5,0))</f>
        <v>0</v>
      </c>
      <c r="AA83">
        <f>IF(ISNA(VLOOKUP($A83&amp;AA$1,'For stats end Y DB'!$A:$G,5,0)),0,VLOOKUP($A83&amp;AA$1,'For stats end Y DB'!$A:$G,5,0))</f>
        <v>12</v>
      </c>
      <c r="AB83">
        <f>IF(ISNA(VLOOKUP($A83&amp;AB$1,'For stats end Y DB'!$A:$G,5,0)),0,VLOOKUP($A83&amp;AB$1,'For stats end Y DB'!$A:$G,5,0))</f>
        <v>0</v>
      </c>
      <c r="AC83">
        <f>IF(ISNA(VLOOKUP($A83&amp;AC$1,'For stats end Y DB'!$A:$G,5,0)),0,VLOOKUP($A83&amp;AC$1,'For stats end Y DB'!$A:$G,5,0))</f>
        <v>0</v>
      </c>
      <c r="AD83">
        <f>IF(ISNA(VLOOKUP($A83&amp;AD$1,'For stats end Y DB'!$A:$G,5,0)),0,VLOOKUP($A83&amp;AD$1,'For stats end Y DB'!$A:$G,5,0))</f>
        <v>0</v>
      </c>
      <c r="AE83">
        <f>IF(ISNA(VLOOKUP($A83&amp;AE$1,'For stats end Y DB'!$A:$G,5,0)),0,VLOOKUP($A83&amp;AE$1,'For stats end Y DB'!$A:$G,5,0))</f>
        <v>0</v>
      </c>
      <c r="AF83">
        <f>IF(ISNA(VLOOKUP($A83&amp;AF$1,'For stats end Y DB'!$A:$G,5,0)),0,VLOOKUP($A83&amp;AF$1,'For stats end Y DB'!$A:$G,5,0))</f>
        <v>0</v>
      </c>
      <c r="AG83">
        <f>IF(ISNA(VLOOKUP($A83&amp;AG$1,'For stats end Y DB'!$A:$G,5,0)),0,VLOOKUP($A83&amp;AG$1,'For stats end Y DB'!$A:$G,5,0))</f>
        <v>0</v>
      </c>
      <c r="AH83">
        <f>IF(ISNA(VLOOKUP($A83&amp;AH$1,'For stats end Y DB'!$A:$G,5,0)),0,VLOOKUP($A83&amp;AH$1,'For stats end Y DB'!$A:$G,5,0))</f>
        <v>0</v>
      </c>
      <c r="AI83">
        <f>IF(ISNA(VLOOKUP($A83&amp;AI$1,'For stats end Y DB'!$A:$G,5,0)),0,VLOOKUP($A83&amp;AI$1,'For stats end Y DB'!$A:$G,5,0))</f>
        <v>0</v>
      </c>
      <c r="AJ83">
        <f>IF(ISNA(VLOOKUP($A83&amp;AJ$1,'For stats end Y DB'!$A:$G,5,0)),0,VLOOKUP($A83&amp;AJ$1,'For stats end Y DB'!$A:$G,5,0))</f>
        <v>0</v>
      </c>
      <c r="AK83">
        <f>IF(ISNA(VLOOKUP($A83&amp;AK$1,'For stats end Y DB'!$A:$G,5,0)),0,VLOOKUP($A83&amp;AK$1,'For stats end Y DB'!$A:$G,5,0))</f>
        <v>0</v>
      </c>
      <c r="AL83">
        <f>IF(ISNA(VLOOKUP($A83&amp;AL$1,'For stats end Y DB'!$A:$G,5,0)),0,VLOOKUP($A83&amp;AL$1,'For stats end Y DB'!$A:$G,5,0))</f>
        <v>0</v>
      </c>
      <c r="AM83">
        <f>IF(ISNA(VLOOKUP($A83&amp;AM$1,'For stats end Y DB'!$A:$G,5,0)),0,VLOOKUP($A83&amp;AM$1,'For stats end Y DB'!$A:$G,5,0))</f>
        <v>0</v>
      </c>
      <c r="AN83">
        <f>IF(ISNA(VLOOKUP($A83&amp;AN$1,'For stats end Y DB'!$A:$G,5,0)),0,VLOOKUP($A83&amp;AN$1,'For stats end Y DB'!$A:$G,5,0))</f>
        <v>0</v>
      </c>
    </row>
    <row r="84" spans="1:40" x14ac:dyDescent="0.2">
      <c r="A84" t="str">
        <f>'For stats end Y class'!A84</f>
        <v>Rmarc</v>
      </c>
      <c r="B84">
        <f>IF(ISNA(VLOOKUP($A84&amp;B$1,'For stats end Y DB'!$A:$G,5,0)),0,VLOOKUP($A84&amp;B$1,'For stats end Y DB'!$A:$G,5,0))</f>
        <v>0</v>
      </c>
      <c r="C84">
        <f>IF(ISNA(VLOOKUP($A84&amp;C$1,'For stats end Y DB'!$A:$G,5,0)),0,VLOOKUP($A84&amp;C$1,'For stats end Y DB'!$A:$G,5,0))</f>
        <v>0</v>
      </c>
      <c r="D84">
        <f>IF(ISNA(VLOOKUP($A84&amp;D$1,'For stats end Y DB'!$A:$G,5,0)),0,VLOOKUP($A84&amp;D$1,'For stats end Y DB'!$A:$G,5,0))</f>
        <v>4</v>
      </c>
      <c r="E84">
        <f>IF(ISNA(VLOOKUP($A84&amp;E$1,'For stats end Y DB'!$A:$G,5,0)),0,VLOOKUP($A84&amp;E$1,'For stats end Y DB'!$A:$G,5,0))</f>
        <v>2</v>
      </c>
      <c r="F84">
        <f>IF(ISNA(VLOOKUP($A84&amp;F$1,'For stats end Y DB'!$A:$G,5,0)),0,VLOOKUP($A84&amp;F$1,'For stats end Y DB'!$A:$G,5,0))</f>
        <v>0</v>
      </c>
      <c r="G84">
        <f>IF(ISNA(VLOOKUP($A84&amp;G$1,'For stats end Y DB'!$A:$G,5,0)),0,VLOOKUP($A84&amp;G$1,'For stats end Y DB'!$A:$G,5,0))</f>
        <v>0</v>
      </c>
      <c r="H84">
        <f>IF(ISNA(VLOOKUP($A84&amp;H$1,'For stats end Y DB'!$A:$G,5,0)),0,VLOOKUP($A84&amp;H$1,'For stats end Y DB'!$A:$G,5,0))</f>
        <v>4</v>
      </c>
      <c r="I84">
        <f>IF(ISNA(VLOOKUP($A84&amp;I$1,'For stats end Y DB'!$A:$G,5,0)),0,VLOOKUP($A84&amp;I$1,'For stats end Y DB'!$A:$G,5,0))</f>
        <v>5</v>
      </c>
      <c r="J84">
        <f>IF(ISNA(VLOOKUP($A84&amp;J$1,'For stats end Y DB'!$A:$G,5,0)),0,VLOOKUP($A84&amp;J$1,'For stats end Y DB'!$A:$G,5,0))</f>
        <v>4</v>
      </c>
      <c r="K84">
        <f>IF(ISNA(VLOOKUP($A84&amp;K$1,'For stats end Y DB'!$A:$G,5,0)),0,VLOOKUP($A84&amp;K$1,'For stats end Y DB'!$A:$G,5,0))</f>
        <v>4</v>
      </c>
      <c r="L84">
        <f>IF(ISNA(VLOOKUP($A84&amp;L$1,'For stats end Y DB'!$A:$G,5,0)),0,VLOOKUP($A84&amp;L$1,'For stats end Y DB'!$A:$G,5,0))</f>
        <v>0</v>
      </c>
      <c r="M84">
        <f>IF(ISNA(VLOOKUP($A84&amp;M$1,'For stats end Y DB'!$A:$G,5,0)),0,VLOOKUP($A84&amp;M$1,'For stats end Y DB'!$A:$G,5,0))</f>
        <v>1</v>
      </c>
      <c r="N84">
        <f>IF(ISNA(VLOOKUP($A84&amp;N$1,'For stats end Y DB'!$A:$G,5,0)),0,VLOOKUP($A84&amp;N$1,'For stats end Y DB'!$A:$G,5,0))</f>
        <v>0</v>
      </c>
      <c r="O84">
        <f>IF(ISNA(VLOOKUP($A84&amp;O$1,'For stats end Y DB'!$A:$G,5,0)),0,VLOOKUP($A84&amp;O$1,'For stats end Y DB'!$A:$G,5,0))</f>
        <v>5</v>
      </c>
      <c r="P84">
        <f>IF(ISNA(VLOOKUP($A84&amp;P$1,'For stats end Y DB'!$A:$G,5,0)),0,VLOOKUP($A84&amp;P$1,'For stats end Y DB'!$A:$G,5,0))</f>
        <v>8</v>
      </c>
      <c r="Q84">
        <f>IF(ISNA(VLOOKUP($A84&amp;Q$1,'For stats end Y DB'!$A:$G,5,0)),0,VLOOKUP($A84&amp;Q$1,'For stats end Y DB'!$A:$G,5,0))</f>
        <v>0</v>
      </c>
      <c r="R84">
        <f>IF(ISNA(VLOOKUP($A84&amp;R$1,'For stats end Y DB'!$A:$G,5,0)),0,VLOOKUP($A84&amp;R$1,'For stats end Y DB'!$A:$G,5,0))</f>
        <v>0</v>
      </c>
      <c r="S84">
        <f>IF(ISNA(VLOOKUP($A84&amp;S$1,'For stats end Y DB'!$A:$G,5,0)),0,VLOOKUP($A84&amp;S$1,'For stats end Y DB'!$A:$G,5,0))</f>
        <v>0</v>
      </c>
      <c r="T84">
        <f>IF(ISNA(VLOOKUP($A84&amp;T$1,'For stats end Y DB'!$A:$G,5,0)),0,VLOOKUP($A84&amp;T$1,'For stats end Y DB'!$A:$G,5,0))</f>
        <v>0</v>
      </c>
      <c r="U84">
        <f>IF(ISNA(VLOOKUP($A84&amp;U$1,'For stats end Y DB'!$A:$G,5,0)),0,VLOOKUP($A84&amp;U$1,'For stats end Y DB'!$A:$G,5,0))</f>
        <v>0</v>
      </c>
      <c r="V84">
        <f>IF(ISNA(VLOOKUP($A84&amp;V$1,'For stats end Y DB'!$A:$G,5,0)),0,VLOOKUP($A84&amp;V$1,'For stats end Y DB'!$A:$G,5,0))</f>
        <v>0</v>
      </c>
      <c r="W84">
        <f>IF(ISNA(VLOOKUP($A84&amp;W$1,'For stats end Y DB'!$A:$G,5,0)),0,VLOOKUP($A84&amp;W$1,'For stats end Y DB'!$A:$G,5,0))</f>
        <v>3</v>
      </c>
      <c r="X84">
        <f>IF(ISNA(VLOOKUP($A84&amp;X$1,'For stats end Y DB'!$A:$G,5,0)),0,VLOOKUP($A84&amp;X$1,'For stats end Y DB'!$A:$G,5,0))</f>
        <v>2</v>
      </c>
      <c r="Y84">
        <f>IF(ISNA(VLOOKUP($A84&amp;Y$1,'For stats end Y DB'!$A:$G,5,0)),0,VLOOKUP($A84&amp;Y$1,'For stats end Y DB'!$A:$G,5,0))</f>
        <v>9</v>
      </c>
      <c r="Z84">
        <f>IF(ISNA(VLOOKUP($A84&amp;Z$1,'For stats end Y DB'!$A:$G,5,0)),0,VLOOKUP($A84&amp;Z$1,'For stats end Y DB'!$A:$G,5,0))</f>
        <v>0</v>
      </c>
      <c r="AA84">
        <f>IF(ISNA(VLOOKUP($A84&amp;AA$1,'For stats end Y DB'!$A:$G,5,0)),0,VLOOKUP($A84&amp;AA$1,'For stats end Y DB'!$A:$G,5,0))</f>
        <v>0</v>
      </c>
      <c r="AB84">
        <f>IF(ISNA(VLOOKUP($A84&amp;AB$1,'For stats end Y DB'!$A:$G,5,0)),0,VLOOKUP($A84&amp;AB$1,'For stats end Y DB'!$A:$G,5,0))</f>
        <v>0</v>
      </c>
      <c r="AC84">
        <f>IF(ISNA(VLOOKUP($A84&amp;AC$1,'For stats end Y DB'!$A:$G,5,0)),0,VLOOKUP($A84&amp;AC$1,'For stats end Y DB'!$A:$G,5,0))</f>
        <v>0</v>
      </c>
      <c r="AD84">
        <f>IF(ISNA(VLOOKUP($A84&amp;AD$1,'For stats end Y DB'!$A:$G,5,0)),0,VLOOKUP($A84&amp;AD$1,'For stats end Y DB'!$A:$G,5,0))</f>
        <v>2</v>
      </c>
      <c r="AE84">
        <f>IF(ISNA(VLOOKUP($A84&amp;AE$1,'For stats end Y DB'!$A:$G,5,0)),0,VLOOKUP($A84&amp;AE$1,'For stats end Y DB'!$A:$G,5,0))</f>
        <v>0</v>
      </c>
      <c r="AF84">
        <f>IF(ISNA(VLOOKUP($A84&amp;AF$1,'For stats end Y DB'!$A:$G,5,0)),0,VLOOKUP($A84&amp;AF$1,'For stats end Y DB'!$A:$G,5,0))</f>
        <v>8</v>
      </c>
      <c r="AG84">
        <f>IF(ISNA(VLOOKUP($A84&amp;AG$1,'For stats end Y DB'!$A:$G,5,0)),0,VLOOKUP($A84&amp;AG$1,'For stats end Y DB'!$A:$G,5,0))</f>
        <v>0</v>
      </c>
      <c r="AH84">
        <f>IF(ISNA(VLOOKUP($A84&amp;AH$1,'For stats end Y DB'!$A:$G,5,0)),0,VLOOKUP($A84&amp;AH$1,'For stats end Y DB'!$A:$G,5,0))</f>
        <v>0</v>
      </c>
      <c r="AI84">
        <f>IF(ISNA(VLOOKUP($A84&amp;AI$1,'For stats end Y DB'!$A:$G,5,0)),0,VLOOKUP($A84&amp;AI$1,'For stats end Y DB'!$A:$G,5,0))</f>
        <v>0</v>
      </c>
      <c r="AJ84">
        <f>IF(ISNA(VLOOKUP($A84&amp;AJ$1,'For stats end Y DB'!$A:$G,5,0)),0,VLOOKUP($A84&amp;AJ$1,'For stats end Y DB'!$A:$G,5,0))</f>
        <v>0</v>
      </c>
      <c r="AK84">
        <f>IF(ISNA(VLOOKUP($A84&amp;AK$1,'For stats end Y DB'!$A:$G,5,0)),0,VLOOKUP($A84&amp;AK$1,'For stats end Y DB'!$A:$G,5,0))</f>
        <v>0</v>
      </c>
      <c r="AL84">
        <f>IF(ISNA(VLOOKUP($A84&amp;AL$1,'For stats end Y DB'!$A:$G,5,0)),0,VLOOKUP($A84&amp;AL$1,'For stats end Y DB'!$A:$G,5,0))</f>
        <v>0</v>
      </c>
      <c r="AM84">
        <f>IF(ISNA(VLOOKUP($A84&amp;AM$1,'For stats end Y DB'!$A:$G,5,0)),0,VLOOKUP($A84&amp;AM$1,'For stats end Y DB'!$A:$G,5,0))</f>
        <v>0</v>
      </c>
      <c r="AN84">
        <f>IF(ISNA(VLOOKUP($A84&amp;AN$1,'For stats end Y DB'!$A:$G,5,0)),0,VLOOKUP($A84&amp;AN$1,'For stats end Y DB'!$A:$G,5,0))</f>
        <v>0</v>
      </c>
    </row>
    <row r="85" spans="1:40" x14ac:dyDescent="0.2">
      <c r="A85" t="str">
        <f>'For stats end Y class'!A85</f>
        <v>Rockatou</v>
      </c>
      <c r="B85">
        <f>IF(ISNA(VLOOKUP($A85&amp;B$1,'For stats end Y DB'!$A:$G,5,0)),0,VLOOKUP($A85&amp;B$1,'For stats end Y DB'!$A:$G,5,0))</f>
        <v>1</v>
      </c>
      <c r="C85">
        <f>IF(ISNA(VLOOKUP($A85&amp;C$1,'For stats end Y DB'!$A:$G,5,0)),0,VLOOKUP($A85&amp;C$1,'For stats end Y DB'!$A:$G,5,0))</f>
        <v>1</v>
      </c>
      <c r="D85">
        <f>IF(ISNA(VLOOKUP($A85&amp;D$1,'For stats end Y DB'!$A:$G,5,0)),0,VLOOKUP($A85&amp;D$1,'For stats end Y DB'!$A:$G,5,0))</f>
        <v>12</v>
      </c>
      <c r="E85">
        <f>IF(ISNA(VLOOKUP($A85&amp;E$1,'For stats end Y DB'!$A:$G,5,0)),0,VLOOKUP($A85&amp;E$1,'For stats end Y DB'!$A:$G,5,0))</f>
        <v>17</v>
      </c>
      <c r="F85">
        <f>IF(ISNA(VLOOKUP($A85&amp;F$1,'For stats end Y DB'!$A:$G,5,0)),0,VLOOKUP($A85&amp;F$1,'For stats end Y DB'!$A:$G,5,0))</f>
        <v>4</v>
      </c>
      <c r="G85">
        <f>IF(ISNA(VLOOKUP($A85&amp;G$1,'For stats end Y DB'!$A:$G,5,0)),0,VLOOKUP($A85&amp;G$1,'For stats end Y DB'!$A:$G,5,0))</f>
        <v>2</v>
      </c>
      <c r="H85">
        <f>IF(ISNA(VLOOKUP($A85&amp;H$1,'For stats end Y DB'!$A:$G,5,0)),0,VLOOKUP($A85&amp;H$1,'For stats end Y DB'!$A:$G,5,0))</f>
        <v>16</v>
      </c>
      <c r="I85">
        <f>IF(ISNA(VLOOKUP($A85&amp;I$1,'For stats end Y DB'!$A:$G,5,0)),0,VLOOKUP($A85&amp;I$1,'For stats end Y DB'!$A:$G,5,0))</f>
        <v>17</v>
      </c>
      <c r="J85">
        <f>IF(ISNA(VLOOKUP($A85&amp;J$1,'For stats end Y DB'!$A:$G,5,0)),0,VLOOKUP($A85&amp;J$1,'For stats end Y DB'!$A:$G,5,0))</f>
        <v>1</v>
      </c>
      <c r="K85">
        <f>IF(ISNA(VLOOKUP($A85&amp;K$1,'For stats end Y DB'!$A:$G,5,0)),0,VLOOKUP($A85&amp;K$1,'For stats end Y DB'!$A:$G,5,0))</f>
        <v>2</v>
      </c>
      <c r="L85">
        <f>IF(ISNA(VLOOKUP($A85&amp;L$1,'For stats end Y DB'!$A:$G,5,0)),0,VLOOKUP($A85&amp;L$1,'For stats end Y DB'!$A:$G,5,0))</f>
        <v>15</v>
      </c>
      <c r="M85">
        <f>IF(ISNA(VLOOKUP($A85&amp;M$1,'For stats end Y DB'!$A:$G,5,0)),0,VLOOKUP($A85&amp;M$1,'For stats end Y DB'!$A:$G,5,0))</f>
        <v>4</v>
      </c>
      <c r="N85">
        <f>IF(ISNA(VLOOKUP($A85&amp;N$1,'For stats end Y DB'!$A:$G,5,0)),0,VLOOKUP($A85&amp;N$1,'For stats end Y DB'!$A:$G,5,0))</f>
        <v>9</v>
      </c>
      <c r="O85">
        <f>IF(ISNA(VLOOKUP($A85&amp;O$1,'For stats end Y DB'!$A:$G,5,0)),0,VLOOKUP($A85&amp;O$1,'For stats end Y DB'!$A:$G,5,0))</f>
        <v>9</v>
      </c>
      <c r="P85">
        <f>IF(ISNA(VLOOKUP($A85&amp;P$1,'For stats end Y DB'!$A:$G,5,0)),0,VLOOKUP($A85&amp;P$1,'For stats end Y DB'!$A:$G,5,0))</f>
        <v>12</v>
      </c>
      <c r="Q85">
        <f>IF(ISNA(VLOOKUP($A85&amp;Q$1,'For stats end Y DB'!$A:$G,5,0)),0,VLOOKUP($A85&amp;Q$1,'For stats end Y DB'!$A:$G,5,0))</f>
        <v>9</v>
      </c>
      <c r="R85">
        <f>IF(ISNA(VLOOKUP($A85&amp;R$1,'For stats end Y DB'!$A:$G,5,0)),0,VLOOKUP($A85&amp;R$1,'For stats end Y DB'!$A:$G,5,0))</f>
        <v>2</v>
      </c>
      <c r="S85">
        <f>IF(ISNA(VLOOKUP($A85&amp;S$1,'For stats end Y DB'!$A:$G,5,0)),0,VLOOKUP($A85&amp;S$1,'For stats end Y DB'!$A:$G,5,0))</f>
        <v>9</v>
      </c>
      <c r="T85">
        <f>IF(ISNA(VLOOKUP($A85&amp;T$1,'For stats end Y DB'!$A:$G,5,0)),0,VLOOKUP($A85&amp;T$1,'For stats end Y DB'!$A:$G,5,0))</f>
        <v>2</v>
      </c>
      <c r="U85">
        <f>IF(ISNA(VLOOKUP($A85&amp;U$1,'For stats end Y DB'!$A:$G,5,0)),0,VLOOKUP($A85&amp;U$1,'For stats end Y DB'!$A:$G,5,0))</f>
        <v>1</v>
      </c>
      <c r="V85">
        <f>IF(ISNA(VLOOKUP($A85&amp;V$1,'For stats end Y DB'!$A:$G,5,0)),0,VLOOKUP($A85&amp;V$1,'For stats end Y DB'!$A:$G,5,0))</f>
        <v>2</v>
      </c>
      <c r="W85">
        <f>IF(ISNA(VLOOKUP($A85&amp;W$1,'For stats end Y DB'!$A:$G,5,0)),0,VLOOKUP($A85&amp;W$1,'For stats end Y DB'!$A:$G,5,0))</f>
        <v>1</v>
      </c>
      <c r="X85">
        <f>IF(ISNA(VLOOKUP($A85&amp;X$1,'For stats end Y DB'!$A:$G,5,0)),0,VLOOKUP($A85&amp;X$1,'For stats end Y DB'!$A:$G,5,0))</f>
        <v>4</v>
      </c>
      <c r="Y85">
        <f>IF(ISNA(VLOOKUP($A85&amp;Y$1,'For stats end Y DB'!$A:$G,5,0)),0,VLOOKUP($A85&amp;Y$1,'For stats end Y DB'!$A:$G,5,0))</f>
        <v>13</v>
      </c>
      <c r="Z85">
        <f>IF(ISNA(VLOOKUP($A85&amp;Z$1,'For stats end Y DB'!$A:$G,5,0)),0,VLOOKUP($A85&amp;Z$1,'For stats end Y DB'!$A:$G,5,0))</f>
        <v>2</v>
      </c>
      <c r="AA85">
        <f>IF(ISNA(VLOOKUP($A85&amp;AA$1,'For stats end Y DB'!$A:$G,5,0)),0,VLOOKUP($A85&amp;AA$1,'For stats end Y DB'!$A:$G,5,0))</f>
        <v>12</v>
      </c>
      <c r="AB85">
        <f>IF(ISNA(VLOOKUP($A85&amp;AB$1,'For stats end Y DB'!$A:$G,5,0)),0,VLOOKUP($A85&amp;AB$1,'For stats end Y DB'!$A:$G,5,0))</f>
        <v>8</v>
      </c>
      <c r="AC85">
        <f>IF(ISNA(VLOOKUP($A85&amp;AC$1,'For stats end Y DB'!$A:$G,5,0)),0,VLOOKUP($A85&amp;AC$1,'For stats end Y DB'!$A:$G,5,0))</f>
        <v>0</v>
      </c>
      <c r="AD85">
        <f>IF(ISNA(VLOOKUP($A85&amp;AD$1,'For stats end Y DB'!$A:$G,5,0)),0,VLOOKUP($A85&amp;AD$1,'For stats end Y DB'!$A:$G,5,0))</f>
        <v>1</v>
      </c>
      <c r="AE85">
        <f>IF(ISNA(VLOOKUP($A85&amp;AE$1,'For stats end Y DB'!$A:$G,5,0)),0,VLOOKUP($A85&amp;AE$1,'For stats end Y DB'!$A:$G,5,0))</f>
        <v>13</v>
      </c>
      <c r="AF85">
        <f>IF(ISNA(VLOOKUP($A85&amp;AF$1,'For stats end Y DB'!$A:$G,5,0)),0,VLOOKUP($A85&amp;AF$1,'For stats end Y DB'!$A:$G,5,0))</f>
        <v>4</v>
      </c>
      <c r="AG85">
        <f>IF(ISNA(VLOOKUP($A85&amp;AG$1,'For stats end Y DB'!$A:$G,5,0)),0,VLOOKUP($A85&amp;AG$1,'For stats end Y DB'!$A:$G,5,0))</f>
        <v>2</v>
      </c>
      <c r="AH85">
        <f>IF(ISNA(VLOOKUP($A85&amp;AH$1,'For stats end Y DB'!$A:$G,5,0)),0,VLOOKUP($A85&amp;AH$1,'For stats end Y DB'!$A:$G,5,0))</f>
        <v>1</v>
      </c>
      <c r="AI85">
        <f>IF(ISNA(VLOOKUP($A85&amp;AI$1,'For stats end Y DB'!$A:$G,5,0)),0,VLOOKUP($A85&amp;AI$1,'For stats end Y DB'!$A:$G,5,0))</f>
        <v>0</v>
      </c>
      <c r="AJ85">
        <f>IF(ISNA(VLOOKUP($A85&amp;AJ$1,'For stats end Y DB'!$A:$G,5,0)),0,VLOOKUP($A85&amp;AJ$1,'For stats end Y DB'!$A:$G,5,0))</f>
        <v>0</v>
      </c>
      <c r="AK85">
        <f>IF(ISNA(VLOOKUP($A85&amp;AK$1,'For stats end Y DB'!$A:$G,5,0)),0,VLOOKUP($A85&amp;AK$1,'For stats end Y DB'!$A:$G,5,0))</f>
        <v>0</v>
      </c>
      <c r="AL85">
        <f>IF(ISNA(VLOOKUP($A85&amp;AL$1,'For stats end Y DB'!$A:$G,5,0)),0,VLOOKUP($A85&amp;AL$1,'For stats end Y DB'!$A:$G,5,0))</f>
        <v>0</v>
      </c>
      <c r="AM85">
        <f>IF(ISNA(VLOOKUP($A85&amp;AM$1,'For stats end Y DB'!$A:$G,5,0)),0,VLOOKUP($A85&amp;AM$1,'For stats end Y DB'!$A:$G,5,0))</f>
        <v>0</v>
      </c>
      <c r="AN85">
        <f>IF(ISNA(VLOOKUP($A85&amp;AN$1,'For stats end Y DB'!$A:$G,5,0)),0,VLOOKUP($A85&amp;AN$1,'For stats end Y DB'!$A:$G,5,0))</f>
        <v>0</v>
      </c>
    </row>
    <row r="86" spans="1:40" x14ac:dyDescent="0.2">
      <c r="A86" t="str">
        <f>'For stats end Y class'!A86</f>
        <v>Sabwill</v>
      </c>
      <c r="B86">
        <f>IF(ISNA(VLOOKUP($A86&amp;B$1,'For stats end Y DB'!$A:$G,5,0)),0,VLOOKUP($A86&amp;B$1,'For stats end Y DB'!$A:$G,5,0))</f>
        <v>9</v>
      </c>
      <c r="C86">
        <f>IF(ISNA(VLOOKUP($A86&amp;C$1,'For stats end Y DB'!$A:$G,5,0)),0,VLOOKUP($A86&amp;C$1,'For stats end Y DB'!$A:$G,5,0))</f>
        <v>9</v>
      </c>
      <c r="D86">
        <f>IF(ISNA(VLOOKUP($A86&amp;D$1,'For stats end Y DB'!$A:$G,5,0)),0,VLOOKUP($A86&amp;D$1,'For stats end Y DB'!$A:$G,5,0))</f>
        <v>0</v>
      </c>
      <c r="E86">
        <f>IF(ISNA(VLOOKUP($A86&amp;E$1,'For stats end Y DB'!$A:$G,5,0)),0,VLOOKUP($A86&amp;E$1,'For stats end Y DB'!$A:$G,5,0))</f>
        <v>1</v>
      </c>
      <c r="F86">
        <f>IF(ISNA(VLOOKUP($A86&amp;F$1,'For stats end Y DB'!$A:$G,5,0)),0,VLOOKUP($A86&amp;F$1,'For stats end Y DB'!$A:$G,5,0))</f>
        <v>0</v>
      </c>
      <c r="G86">
        <f>IF(ISNA(VLOOKUP($A86&amp;G$1,'For stats end Y DB'!$A:$G,5,0)),0,VLOOKUP($A86&amp;G$1,'For stats end Y DB'!$A:$G,5,0))</f>
        <v>2</v>
      </c>
      <c r="H86">
        <f>IF(ISNA(VLOOKUP($A86&amp;H$1,'For stats end Y DB'!$A:$G,5,0)),0,VLOOKUP($A86&amp;H$1,'For stats end Y DB'!$A:$G,5,0))</f>
        <v>0</v>
      </c>
      <c r="I86">
        <f>IF(ISNA(VLOOKUP($A86&amp;I$1,'For stats end Y DB'!$A:$G,5,0)),0,VLOOKUP($A86&amp;I$1,'For stats end Y DB'!$A:$G,5,0))</f>
        <v>0</v>
      </c>
      <c r="J86">
        <f>IF(ISNA(VLOOKUP($A86&amp;J$1,'For stats end Y DB'!$A:$G,5,0)),0,VLOOKUP($A86&amp;J$1,'For stats end Y DB'!$A:$G,5,0))</f>
        <v>0</v>
      </c>
      <c r="K86">
        <f>IF(ISNA(VLOOKUP($A86&amp;K$1,'For stats end Y DB'!$A:$G,5,0)),0,VLOOKUP($A86&amp;K$1,'For stats end Y DB'!$A:$G,5,0))</f>
        <v>0</v>
      </c>
      <c r="L86">
        <f>IF(ISNA(VLOOKUP($A86&amp;L$1,'For stats end Y DB'!$A:$G,5,0)),0,VLOOKUP($A86&amp;L$1,'For stats end Y DB'!$A:$G,5,0))</f>
        <v>0</v>
      </c>
      <c r="M86">
        <f>IF(ISNA(VLOOKUP($A86&amp;M$1,'For stats end Y DB'!$A:$G,5,0)),0,VLOOKUP($A86&amp;M$1,'For stats end Y DB'!$A:$G,5,0))</f>
        <v>0</v>
      </c>
      <c r="N86">
        <f>IF(ISNA(VLOOKUP($A86&amp;N$1,'For stats end Y DB'!$A:$G,5,0)),0,VLOOKUP($A86&amp;N$1,'For stats end Y DB'!$A:$G,5,0))</f>
        <v>0</v>
      </c>
      <c r="O86">
        <f>IF(ISNA(VLOOKUP($A86&amp;O$1,'For stats end Y DB'!$A:$G,5,0)),0,VLOOKUP($A86&amp;O$1,'For stats end Y DB'!$A:$G,5,0))</f>
        <v>0</v>
      </c>
      <c r="P86">
        <f>IF(ISNA(VLOOKUP($A86&amp;P$1,'For stats end Y DB'!$A:$G,5,0)),0,VLOOKUP($A86&amp;P$1,'For stats end Y DB'!$A:$G,5,0))</f>
        <v>0</v>
      </c>
      <c r="Q86">
        <f>IF(ISNA(VLOOKUP($A86&amp;Q$1,'For stats end Y DB'!$A:$G,5,0)),0,VLOOKUP($A86&amp;Q$1,'For stats end Y DB'!$A:$G,5,0))</f>
        <v>0</v>
      </c>
      <c r="R86">
        <f>IF(ISNA(VLOOKUP($A86&amp;R$1,'For stats end Y DB'!$A:$G,5,0)),0,VLOOKUP($A86&amp;R$1,'For stats end Y DB'!$A:$G,5,0))</f>
        <v>0</v>
      </c>
      <c r="S86">
        <f>IF(ISNA(VLOOKUP($A86&amp;S$1,'For stats end Y DB'!$A:$G,5,0)),0,VLOOKUP($A86&amp;S$1,'For stats end Y DB'!$A:$G,5,0))</f>
        <v>0</v>
      </c>
      <c r="T86">
        <f>IF(ISNA(VLOOKUP($A86&amp;T$1,'For stats end Y DB'!$A:$G,5,0)),0,VLOOKUP($A86&amp;T$1,'For stats end Y DB'!$A:$G,5,0))</f>
        <v>0</v>
      </c>
      <c r="U86">
        <f>IF(ISNA(VLOOKUP($A86&amp;U$1,'For stats end Y DB'!$A:$G,5,0)),0,VLOOKUP($A86&amp;U$1,'For stats end Y DB'!$A:$G,5,0))</f>
        <v>0</v>
      </c>
      <c r="V86">
        <f>IF(ISNA(VLOOKUP($A86&amp;V$1,'For stats end Y DB'!$A:$G,5,0)),0,VLOOKUP($A86&amp;V$1,'For stats end Y DB'!$A:$G,5,0))</f>
        <v>0</v>
      </c>
      <c r="W86">
        <f>IF(ISNA(VLOOKUP($A86&amp;W$1,'For stats end Y DB'!$A:$G,5,0)),0,VLOOKUP($A86&amp;W$1,'For stats end Y DB'!$A:$G,5,0))</f>
        <v>0</v>
      </c>
      <c r="X86">
        <f>IF(ISNA(VLOOKUP($A86&amp;X$1,'For stats end Y DB'!$A:$G,5,0)),0,VLOOKUP($A86&amp;X$1,'For stats end Y DB'!$A:$G,5,0))</f>
        <v>0</v>
      </c>
      <c r="Y86">
        <f>IF(ISNA(VLOOKUP($A86&amp;Y$1,'For stats end Y DB'!$A:$G,5,0)),0,VLOOKUP($A86&amp;Y$1,'For stats end Y DB'!$A:$G,5,0))</f>
        <v>0</v>
      </c>
      <c r="Z86">
        <f>IF(ISNA(VLOOKUP($A86&amp;Z$1,'For stats end Y DB'!$A:$G,5,0)),0,VLOOKUP($A86&amp;Z$1,'For stats end Y DB'!$A:$G,5,0))</f>
        <v>0</v>
      </c>
      <c r="AA86">
        <f>IF(ISNA(VLOOKUP($A86&amp;AA$1,'For stats end Y DB'!$A:$G,5,0)),0,VLOOKUP($A86&amp;AA$1,'For stats end Y DB'!$A:$G,5,0))</f>
        <v>0</v>
      </c>
      <c r="AB86">
        <f>IF(ISNA(VLOOKUP($A86&amp;AB$1,'For stats end Y DB'!$A:$G,5,0)),0,VLOOKUP($A86&amp;AB$1,'For stats end Y DB'!$A:$G,5,0))</f>
        <v>0</v>
      </c>
      <c r="AC86">
        <f>IF(ISNA(VLOOKUP($A86&amp;AC$1,'For stats end Y DB'!$A:$G,5,0)),0,VLOOKUP($A86&amp;AC$1,'For stats end Y DB'!$A:$G,5,0))</f>
        <v>0</v>
      </c>
      <c r="AD86">
        <f>IF(ISNA(VLOOKUP($A86&amp;AD$1,'For stats end Y DB'!$A:$G,5,0)),0,VLOOKUP($A86&amp;AD$1,'For stats end Y DB'!$A:$G,5,0))</f>
        <v>0</v>
      </c>
      <c r="AE86">
        <f>IF(ISNA(VLOOKUP($A86&amp;AE$1,'For stats end Y DB'!$A:$G,5,0)),0,VLOOKUP($A86&amp;AE$1,'For stats end Y DB'!$A:$G,5,0))</f>
        <v>0</v>
      </c>
      <c r="AF86">
        <f>IF(ISNA(VLOOKUP($A86&amp;AF$1,'For stats end Y DB'!$A:$G,5,0)),0,VLOOKUP($A86&amp;AF$1,'For stats end Y DB'!$A:$G,5,0))</f>
        <v>0</v>
      </c>
      <c r="AG86">
        <f>IF(ISNA(VLOOKUP($A86&amp;AG$1,'For stats end Y DB'!$A:$G,5,0)),0,VLOOKUP($A86&amp;AG$1,'For stats end Y DB'!$A:$G,5,0))</f>
        <v>0</v>
      </c>
      <c r="AH86">
        <f>IF(ISNA(VLOOKUP($A86&amp;AH$1,'For stats end Y DB'!$A:$G,5,0)),0,VLOOKUP($A86&amp;AH$1,'For stats end Y DB'!$A:$G,5,0))</f>
        <v>0</v>
      </c>
      <c r="AI86">
        <f>IF(ISNA(VLOOKUP($A86&amp;AI$1,'For stats end Y DB'!$A:$G,5,0)),0,VLOOKUP($A86&amp;AI$1,'For stats end Y DB'!$A:$G,5,0))</f>
        <v>0</v>
      </c>
      <c r="AJ86">
        <f>IF(ISNA(VLOOKUP($A86&amp;AJ$1,'For stats end Y DB'!$A:$G,5,0)),0,VLOOKUP($A86&amp;AJ$1,'For stats end Y DB'!$A:$G,5,0))</f>
        <v>0</v>
      </c>
      <c r="AK86">
        <f>IF(ISNA(VLOOKUP($A86&amp;AK$1,'For stats end Y DB'!$A:$G,5,0)),0,VLOOKUP($A86&amp;AK$1,'For stats end Y DB'!$A:$G,5,0))</f>
        <v>0</v>
      </c>
      <c r="AL86">
        <f>IF(ISNA(VLOOKUP($A86&amp;AL$1,'For stats end Y DB'!$A:$G,5,0)),0,VLOOKUP($A86&amp;AL$1,'For stats end Y DB'!$A:$G,5,0))</f>
        <v>0</v>
      </c>
      <c r="AM86">
        <f>IF(ISNA(VLOOKUP($A86&amp;AM$1,'For stats end Y DB'!$A:$G,5,0)),0,VLOOKUP($A86&amp;AM$1,'For stats end Y DB'!$A:$G,5,0))</f>
        <v>0</v>
      </c>
      <c r="AN86">
        <f>IF(ISNA(VLOOKUP($A86&amp;AN$1,'For stats end Y DB'!$A:$G,5,0)),0,VLOOKUP($A86&amp;AN$1,'For stats end Y DB'!$A:$G,5,0))</f>
        <v>0</v>
      </c>
    </row>
    <row r="87" spans="1:40" x14ac:dyDescent="0.2">
      <c r="A87" t="str">
        <f>'For stats end Y class'!A87</f>
        <v>Salender</v>
      </c>
      <c r="B87">
        <f>IF(ISNA(VLOOKUP($A87&amp;B$1,'For stats end Y DB'!$A:$G,5,0)),0,VLOOKUP($A87&amp;B$1,'For stats end Y DB'!$A:$G,5,0))</f>
        <v>8</v>
      </c>
      <c r="C87">
        <f>IF(ISNA(VLOOKUP($A87&amp;C$1,'For stats end Y DB'!$A:$G,5,0)),0,VLOOKUP($A87&amp;C$1,'For stats end Y DB'!$A:$G,5,0))</f>
        <v>17</v>
      </c>
      <c r="D87">
        <f>IF(ISNA(VLOOKUP($A87&amp;D$1,'For stats end Y DB'!$A:$G,5,0)),0,VLOOKUP($A87&amp;D$1,'For stats end Y DB'!$A:$G,5,0))</f>
        <v>9</v>
      </c>
      <c r="E87">
        <f>IF(ISNA(VLOOKUP($A87&amp;E$1,'For stats end Y DB'!$A:$G,5,0)),0,VLOOKUP($A87&amp;E$1,'For stats end Y DB'!$A:$G,5,0))</f>
        <v>13</v>
      </c>
      <c r="F87">
        <f>IF(ISNA(VLOOKUP($A87&amp;F$1,'For stats end Y DB'!$A:$G,5,0)),0,VLOOKUP($A87&amp;F$1,'For stats end Y DB'!$A:$G,5,0))</f>
        <v>5</v>
      </c>
      <c r="G87">
        <f>IF(ISNA(VLOOKUP($A87&amp;G$1,'For stats end Y DB'!$A:$G,5,0)),0,VLOOKUP($A87&amp;G$1,'For stats end Y DB'!$A:$G,5,0))</f>
        <v>9</v>
      </c>
      <c r="H87">
        <f>IF(ISNA(VLOOKUP($A87&amp;H$1,'For stats end Y DB'!$A:$G,5,0)),0,VLOOKUP($A87&amp;H$1,'For stats end Y DB'!$A:$G,5,0))</f>
        <v>4</v>
      </c>
      <c r="I87">
        <f>IF(ISNA(VLOOKUP($A87&amp;I$1,'For stats end Y DB'!$A:$G,5,0)),0,VLOOKUP($A87&amp;I$1,'For stats end Y DB'!$A:$G,5,0))</f>
        <v>2</v>
      </c>
      <c r="J87">
        <f>IF(ISNA(VLOOKUP($A87&amp;J$1,'For stats end Y DB'!$A:$G,5,0)),0,VLOOKUP($A87&amp;J$1,'For stats end Y DB'!$A:$G,5,0))</f>
        <v>5</v>
      </c>
      <c r="K87">
        <f>IF(ISNA(VLOOKUP($A87&amp;K$1,'For stats end Y DB'!$A:$G,5,0)),0,VLOOKUP($A87&amp;K$1,'For stats end Y DB'!$A:$G,5,0))</f>
        <v>2</v>
      </c>
      <c r="L87">
        <f>IF(ISNA(VLOOKUP($A87&amp;L$1,'For stats end Y DB'!$A:$G,5,0)),0,VLOOKUP($A87&amp;L$1,'For stats end Y DB'!$A:$G,5,0))</f>
        <v>0</v>
      </c>
      <c r="M87">
        <f>IF(ISNA(VLOOKUP($A87&amp;M$1,'For stats end Y DB'!$A:$G,5,0)),0,VLOOKUP($A87&amp;M$1,'For stats end Y DB'!$A:$G,5,0))</f>
        <v>0</v>
      </c>
      <c r="N87">
        <f>IF(ISNA(VLOOKUP($A87&amp;N$1,'For stats end Y DB'!$A:$G,5,0)),0,VLOOKUP($A87&amp;N$1,'For stats end Y DB'!$A:$G,5,0))</f>
        <v>8</v>
      </c>
      <c r="O87">
        <f>IF(ISNA(VLOOKUP($A87&amp;O$1,'For stats end Y DB'!$A:$G,5,0)),0,VLOOKUP($A87&amp;O$1,'For stats end Y DB'!$A:$G,5,0))</f>
        <v>0</v>
      </c>
      <c r="P87">
        <f>IF(ISNA(VLOOKUP($A87&amp;P$1,'For stats end Y DB'!$A:$G,5,0)),0,VLOOKUP($A87&amp;P$1,'For stats end Y DB'!$A:$G,5,0))</f>
        <v>4</v>
      </c>
      <c r="Q87">
        <f>IF(ISNA(VLOOKUP($A87&amp;Q$1,'For stats end Y DB'!$A:$G,5,0)),0,VLOOKUP($A87&amp;Q$1,'For stats end Y DB'!$A:$G,5,0))</f>
        <v>0</v>
      </c>
      <c r="R87">
        <f>IF(ISNA(VLOOKUP($A87&amp;R$1,'For stats end Y DB'!$A:$G,5,0)),0,VLOOKUP($A87&amp;R$1,'For stats end Y DB'!$A:$G,5,0))</f>
        <v>0</v>
      </c>
      <c r="S87">
        <f>IF(ISNA(VLOOKUP($A87&amp;S$1,'For stats end Y DB'!$A:$G,5,0)),0,VLOOKUP($A87&amp;S$1,'For stats end Y DB'!$A:$G,5,0))</f>
        <v>13</v>
      </c>
      <c r="T87">
        <f>IF(ISNA(VLOOKUP($A87&amp;T$1,'For stats end Y DB'!$A:$G,5,0)),0,VLOOKUP($A87&amp;T$1,'For stats end Y DB'!$A:$G,5,0))</f>
        <v>4</v>
      </c>
      <c r="U87">
        <f>IF(ISNA(VLOOKUP($A87&amp;U$1,'For stats end Y DB'!$A:$G,5,0)),0,VLOOKUP($A87&amp;U$1,'For stats end Y DB'!$A:$G,5,0))</f>
        <v>12</v>
      </c>
      <c r="V87">
        <f>IF(ISNA(VLOOKUP($A87&amp;V$1,'For stats end Y DB'!$A:$G,5,0)),0,VLOOKUP($A87&amp;V$1,'For stats end Y DB'!$A:$G,5,0))</f>
        <v>4</v>
      </c>
      <c r="W87">
        <f>IF(ISNA(VLOOKUP($A87&amp;W$1,'For stats end Y DB'!$A:$G,5,0)),0,VLOOKUP($A87&amp;W$1,'For stats end Y DB'!$A:$G,5,0))</f>
        <v>2</v>
      </c>
      <c r="X87">
        <f>IF(ISNA(VLOOKUP($A87&amp;X$1,'For stats end Y DB'!$A:$G,5,0)),0,VLOOKUP($A87&amp;X$1,'For stats end Y DB'!$A:$G,5,0))</f>
        <v>8</v>
      </c>
      <c r="Y87">
        <f>IF(ISNA(VLOOKUP($A87&amp;Y$1,'For stats end Y DB'!$A:$G,5,0)),0,VLOOKUP($A87&amp;Y$1,'For stats end Y DB'!$A:$G,5,0))</f>
        <v>2</v>
      </c>
      <c r="Z87">
        <f>IF(ISNA(VLOOKUP($A87&amp;Z$1,'For stats end Y DB'!$A:$G,5,0)),0,VLOOKUP($A87&amp;Z$1,'For stats end Y DB'!$A:$G,5,0))</f>
        <v>1</v>
      </c>
      <c r="AA87">
        <f>IF(ISNA(VLOOKUP($A87&amp;AA$1,'For stats end Y DB'!$A:$G,5,0)),0,VLOOKUP($A87&amp;AA$1,'For stats end Y DB'!$A:$G,5,0))</f>
        <v>12</v>
      </c>
      <c r="AB87">
        <f>IF(ISNA(VLOOKUP($A87&amp;AB$1,'For stats end Y DB'!$A:$G,5,0)),0,VLOOKUP($A87&amp;AB$1,'For stats end Y DB'!$A:$G,5,0))</f>
        <v>2</v>
      </c>
      <c r="AC87">
        <f>IF(ISNA(VLOOKUP($A87&amp;AC$1,'For stats end Y DB'!$A:$G,5,0)),0,VLOOKUP($A87&amp;AC$1,'For stats end Y DB'!$A:$G,5,0))</f>
        <v>4</v>
      </c>
      <c r="AD87">
        <f>IF(ISNA(VLOOKUP($A87&amp;AD$1,'For stats end Y DB'!$A:$G,5,0)),0,VLOOKUP($A87&amp;AD$1,'For stats end Y DB'!$A:$G,5,0))</f>
        <v>12</v>
      </c>
      <c r="AE87">
        <f>IF(ISNA(VLOOKUP($A87&amp;AE$1,'For stats end Y DB'!$A:$G,5,0)),0,VLOOKUP($A87&amp;AE$1,'For stats end Y DB'!$A:$G,5,0))</f>
        <v>1</v>
      </c>
      <c r="AF87">
        <f>IF(ISNA(VLOOKUP($A87&amp;AF$1,'For stats end Y DB'!$A:$G,5,0)),0,VLOOKUP($A87&amp;AF$1,'For stats end Y DB'!$A:$G,5,0))</f>
        <v>2</v>
      </c>
      <c r="AG87">
        <f>IF(ISNA(VLOOKUP($A87&amp;AG$1,'For stats end Y DB'!$A:$G,5,0)),0,VLOOKUP($A87&amp;AG$1,'For stats end Y DB'!$A:$G,5,0))</f>
        <v>8</v>
      </c>
      <c r="AH87">
        <f>IF(ISNA(VLOOKUP($A87&amp;AH$1,'For stats end Y DB'!$A:$G,5,0)),0,VLOOKUP($A87&amp;AH$1,'For stats end Y DB'!$A:$G,5,0))</f>
        <v>2</v>
      </c>
      <c r="AI87">
        <f>IF(ISNA(VLOOKUP($A87&amp;AI$1,'For stats end Y DB'!$A:$G,5,0)),0,VLOOKUP($A87&amp;AI$1,'For stats end Y DB'!$A:$G,5,0))</f>
        <v>0</v>
      </c>
      <c r="AJ87">
        <f>IF(ISNA(VLOOKUP($A87&amp;AJ$1,'For stats end Y DB'!$A:$G,5,0)),0,VLOOKUP($A87&amp;AJ$1,'For stats end Y DB'!$A:$G,5,0))</f>
        <v>0</v>
      </c>
      <c r="AK87">
        <f>IF(ISNA(VLOOKUP($A87&amp;AK$1,'For stats end Y DB'!$A:$G,5,0)),0,VLOOKUP($A87&amp;AK$1,'For stats end Y DB'!$A:$G,5,0))</f>
        <v>0</v>
      </c>
      <c r="AL87">
        <f>IF(ISNA(VLOOKUP($A87&amp;AL$1,'For stats end Y DB'!$A:$G,5,0)),0,VLOOKUP($A87&amp;AL$1,'For stats end Y DB'!$A:$G,5,0))</f>
        <v>0</v>
      </c>
      <c r="AM87">
        <f>IF(ISNA(VLOOKUP($A87&amp;AM$1,'For stats end Y DB'!$A:$G,5,0)),0,VLOOKUP($A87&amp;AM$1,'For stats end Y DB'!$A:$G,5,0))</f>
        <v>0</v>
      </c>
      <c r="AN87">
        <f>IF(ISNA(VLOOKUP($A87&amp;AN$1,'For stats end Y DB'!$A:$G,5,0)),0,VLOOKUP($A87&amp;AN$1,'For stats end Y DB'!$A:$G,5,0))</f>
        <v>0</v>
      </c>
    </row>
    <row r="88" spans="1:40" x14ac:dyDescent="0.2">
      <c r="A88" t="str">
        <f>'For stats end Y class'!A88</f>
        <v>saymsonite</v>
      </c>
      <c r="B88">
        <f>IF(ISNA(VLOOKUP($A88&amp;B$1,'For stats end Y DB'!$A:$G,5,0)),0,VLOOKUP($A88&amp;B$1,'For stats end Y DB'!$A:$G,5,0))</f>
        <v>0</v>
      </c>
      <c r="C88">
        <f>IF(ISNA(VLOOKUP($A88&amp;C$1,'For stats end Y DB'!$A:$G,5,0)),0,VLOOKUP($A88&amp;C$1,'For stats end Y DB'!$A:$G,5,0))</f>
        <v>13</v>
      </c>
      <c r="D88">
        <f>IF(ISNA(VLOOKUP($A88&amp;D$1,'For stats end Y DB'!$A:$G,5,0)),0,VLOOKUP($A88&amp;D$1,'For stats end Y DB'!$A:$G,5,0))</f>
        <v>0</v>
      </c>
      <c r="E88">
        <f>IF(ISNA(VLOOKUP($A88&amp;E$1,'For stats end Y DB'!$A:$G,5,0)),0,VLOOKUP($A88&amp;E$1,'For stats end Y DB'!$A:$G,5,0))</f>
        <v>3</v>
      </c>
      <c r="F88">
        <f>IF(ISNA(VLOOKUP($A88&amp;F$1,'For stats end Y DB'!$A:$G,5,0)),0,VLOOKUP($A88&amp;F$1,'For stats end Y DB'!$A:$G,5,0))</f>
        <v>0</v>
      </c>
      <c r="G88">
        <f>IF(ISNA(VLOOKUP($A88&amp;G$1,'For stats end Y DB'!$A:$G,5,0)),0,VLOOKUP($A88&amp;G$1,'For stats end Y DB'!$A:$G,5,0))</f>
        <v>2</v>
      </c>
      <c r="H88">
        <f>IF(ISNA(VLOOKUP($A88&amp;H$1,'For stats end Y DB'!$A:$G,5,0)),0,VLOOKUP($A88&amp;H$1,'For stats end Y DB'!$A:$G,5,0))</f>
        <v>0</v>
      </c>
      <c r="I88">
        <f>IF(ISNA(VLOOKUP($A88&amp;I$1,'For stats end Y DB'!$A:$G,5,0)),0,VLOOKUP($A88&amp;I$1,'For stats end Y DB'!$A:$G,5,0))</f>
        <v>0</v>
      </c>
      <c r="J88">
        <f>IF(ISNA(VLOOKUP($A88&amp;J$1,'For stats end Y DB'!$A:$G,5,0)),0,VLOOKUP($A88&amp;J$1,'For stats end Y DB'!$A:$G,5,0))</f>
        <v>0</v>
      </c>
      <c r="K88">
        <f>IF(ISNA(VLOOKUP($A88&amp;K$1,'For stats end Y DB'!$A:$G,5,0)),0,VLOOKUP($A88&amp;K$1,'For stats end Y DB'!$A:$G,5,0))</f>
        <v>0</v>
      </c>
      <c r="L88">
        <f>IF(ISNA(VLOOKUP($A88&amp;L$1,'For stats end Y DB'!$A:$G,5,0)),0,VLOOKUP($A88&amp;L$1,'For stats end Y DB'!$A:$G,5,0))</f>
        <v>0</v>
      </c>
      <c r="M88">
        <f>IF(ISNA(VLOOKUP($A88&amp;M$1,'For stats end Y DB'!$A:$G,5,0)),0,VLOOKUP($A88&amp;M$1,'For stats end Y DB'!$A:$G,5,0))</f>
        <v>0</v>
      </c>
      <c r="N88">
        <f>IF(ISNA(VLOOKUP($A88&amp;N$1,'For stats end Y DB'!$A:$G,5,0)),0,VLOOKUP($A88&amp;N$1,'For stats end Y DB'!$A:$G,5,0))</f>
        <v>0</v>
      </c>
      <c r="O88">
        <f>IF(ISNA(VLOOKUP($A88&amp;O$1,'For stats end Y DB'!$A:$G,5,0)),0,VLOOKUP($A88&amp;O$1,'For stats end Y DB'!$A:$G,5,0))</f>
        <v>0</v>
      </c>
      <c r="P88">
        <f>IF(ISNA(VLOOKUP($A88&amp;P$1,'For stats end Y DB'!$A:$G,5,0)),0,VLOOKUP($A88&amp;P$1,'For stats end Y DB'!$A:$G,5,0))</f>
        <v>0</v>
      </c>
      <c r="Q88">
        <f>IF(ISNA(VLOOKUP($A88&amp;Q$1,'For stats end Y DB'!$A:$G,5,0)),0,VLOOKUP($A88&amp;Q$1,'For stats end Y DB'!$A:$G,5,0))</f>
        <v>0</v>
      </c>
      <c r="R88">
        <f>IF(ISNA(VLOOKUP($A88&amp;R$1,'For stats end Y DB'!$A:$G,5,0)),0,VLOOKUP($A88&amp;R$1,'For stats end Y DB'!$A:$G,5,0))</f>
        <v>0</v>
      </c>
      <c r="S88">
        <f>IF(ISNA(VLOOKUP($A88&amp;S$1,'For stats end Y DB'!$A:$G,5,0)),0,VLOOKUP($A88&amp;S$1,'For stats end Y DB'!$A:$G,5,0))</f>
        <v>0</v>
      </c>
      <c r="T88">
        <f>IF(ISNA(VLOOKUP($A88&amp;T$1,'For stats end Y DB'!$A:$G,5,0)),0,VLOOKUP($A88&amp;T$1,'For stats end Y DB'!$A:$G,5,0))</f>
        <v>0</v>
      </c>
      <c r="U88">
        <f>IF(ISNA(VLOOKUP($A88&amp;U$1,'For stats end Y DB'!$A:$G,5,0)),0,VLOOKUP($A88&amp;U$1,'For stats end Y DB'!$A:$G,5,0))</f>
        <v>0</v>
      </c>
      <c r="V88">
        <f>IF(ISNA(VLOOKUP($A88&amp;V$1,'For stats end Y DB'!$A:$G,5,0)),0,VLOOKUP($A88&amp;V$1,'For stats end Y DB'!$A:$G,5,0))</f>
        <v>0</v>
      </c>
      <c r="W88">
        <f>IF(ISNA(VLOOKUP($A88&amp;W$1,'For stats end Y DB'!$A:$G,5,0)),0,VLOOKUP($A88&amp;W$1,'For stats end Y DB'!$A:$G,5,0))</f>
        <v>0</v>
      </c>
      <c r="X88">
        <f>IF(ISNA(VLOOKUP($A88&amp;X$1,'For stats end Y DB'!$A:$G,5,0)),0,VLOOKUP($A88&amp;X$1,'For stats end Y DB'!$A:$G,5,0))</f>
        <v>0</v>
      </c>
      <c r="Y88">
        <f>IF(ISNA(VLOOKUP($A88&amp;Y$1,'For stats end Y DB'!$A:$G,5,0)),0,VLOOKUP($A88&amp;Y$1,'For stats end Y DB'!$A:$G,5,0))</f>
        <v>0</v>
      </c>
      <c r="Z88">
        <f>IF(ISNA(VLOOKUP($A88&amp;Z$1,'For stats end Y DB'!$A:$G,5,0)),0,VLOOKUP($A88&amp;Z$1,'For stats end Y DB'!$A:$G,5,0))</f>
        <v>0</v>
      </c>
      <c r="AA88">
        <f>IF(ISNA(VLOOKUP($A88&amp;AA$1,'For stats end Y DB'!$A:$G,5,0)),0,VLOOKUP($A88&amp;AA$1,'For stats end Y DB'!$A:$G,5,0))</f>
        <v>0</v>
      </c>
      <c r="AB88">
        <f>IF(ISNA(VLOOKUP($A88&amp;AB$1,'For stats end Y DB'!$A:$G,5,0)),0,VLOOKUP($A88&amp;AB$1,'For stats end Y DB'!$A:$G,5,0))</f>
        <v>0</v>
      </c>
      <c r="AC88">
        <f>IF(ISNA(VLOOKUP($A88&amp;AC$1,'For stats end Y DB'!$A:$G,5,0)),0,VLOOKUP($A88&amp;AC$1,'For stats end Y DB'!$A:$G,5,0))</f>
        <v>0</v>
      </c>
      <c r="AD88">
        <f>IF(ISNA(VLOOKUP($A88&amp;AD$1,'For stats end Y DB'!$A:$G,5,0)),0,VLOOKUP($A88&amp;AD$1,'For stats end Y DB'!$A:$G,5,0))</f>
        <v>0</v>
      </c>
      <c r="AE88">
        <f>IF(ISNA(VLOOKUP($A88&amp;AE$1,'For stats end Y DB'!$A:$G,5,0)),0,VLOOKUP($A88&amp;AE$1,'For stats end Y DB'!$A:$G,5,0))</f>
        <v>0</v>
      </c>
      <c r="AF88">
        <f>IF(ISNA(VLOOKUP($A88&amp;AF$1,'For stats end Y DB'!$A:$G,5,0)),0,VLOOKUP($A88&amp;AF$1,'For stats end Y DB'!$A:$G,5,0))</f>
        <v>0</v>
      </c>
      <c r="AG88">
        <f>IF(ISNA(VLOOKUP($A88&amp;AG$1,'For stats end Y DB'!$A:$G,5,0)),0,VLOOKUP($A88&amp;AG$1,'For stats end Y DB'!$A:$G,5,0))</f>
        <v>0</v>
      </c>
      <c r="AH88">
        <f>IF(ISNA(VLOOKUP($A88&amp;AH$1,'For stats end Y DB'!$A:$G,5,0)),0,VLOOKUP($A88&amp;AH$1,'For stats end Y DB'!$A:$G,5,0))</f>
        <v>0</v>
      </c>
      <c r="AI88">
        <f>IF(ISNA(VLOOKUP($A88&amp;AI$1,'For stats end Y DB'!$A:$G,5,0)),0,VLOOKUP($A88&amp;AI$1,'For stats end Y DB'!$A:$G,5,0))</f>
        <v>0</v>
      </c>
      <c r="AJ88">
        <f>IF(ISNA(VLOOKUP($A88&amp;AJ$1,'For stats end Y DB'!$A:$G,5,0)),0,VLOOKUP($A88&amp;AJ$1,'For stats end Y DB'!$A:$G,5,0))</f>
        <v>0</v>
      </c>
      <c r="AK88">
        <f>IF(ISNA(VLOOKUP($A88&amp;AK$1,'For stats end Y DB'!$A:$G,5,0)),0,VLOOKUP($A88&amp;AK$1,'For stats end Y DB'!$A:$G,5,0))</f>
        <v>0</v>
      </c>
      <c r="AL88">
        <f>IF(ISNA(VLOOKUP($A88&amp;AL$1,'For stats end Y DB'!$A:$G,5,0)),0,VLOOKUP($A88&amp;AL$1,'For stats end Y DB'!$A:$G,5,0))</f>
        <v>0</v>
      </c>
      <c r="AM88">
        <f>IF(ISNA(VLOOKUP($A88&amp;AM$1,'For stats end Y DB'!$A:$G,5,0)),0,VLOOKUP($A88&amp;AM$1,'For stats end Y DB'!$A:$G,5,0))</f>
        <v>0</v>
      </c>
      <c r="AN88">
        <f>IF(ISNA(VLOOKUP($A88&amp;AN$1,'For stats end Y DB'!$A:$G,5,0)),0,VLOOKUP($A88&amp;AN$1,'For stats end Y DB'!$A:$G,5,0))</f>
        <v>0</v>
      </c>
    </row>
    <row r="89" spans="1:40" x14ac:dyDescent="0.2">
      <c r="A89" t="str">
        <f>'For stats end Y class'!A89</f>
        <v>ScoNix</v>
      </c>
      <c r="B89">
        <f>IF(ISNA(VLOOKUP($A89&amp;B$1,'For stats end Y DB'!$A:$G,5,0)),0,VLOOKUP($A89&amp;B$1,'For stats end Y DB'!$A:$G,5,0))</f>
        <v>0</v>
      </c>
      <c r="C89">
        <f>IF(ISNA(VLOOKUP($A89&amp;C$1,'For stats end Y DB'!$A:$G,5,0)),0,VLOOKUP($A89&amp;C$1,'For stats end Y DB'!$A:$G,5,0))</f>
        <v>0</v>
      </c>
      <c r="D89">
        <f>IF(ISNA(VLOOKUP($A89&amp;D$1,'For stats end Y DB'!$A:$G,5,0)),0,VLOOKUP($A89&amp;D$1,'For stats end Y DB'!$A:$G,5,0))</f>
        <v>0</v>
      </c>
      <c r="E89">
        <f>IF(ISNA(VLOOKUP($A89&amp;E$1,'For stats end Y DB'!$A:$G,5,0)),0,VLOOKUP($A89&amp;E$1,'For stats end Y DB'!$A:$G,5,0))</f>
        <v>0</v>
      </c>
      <c r="F89">
        <f>IF(ISNA(VLOOKUP($A89&amp;F$1,'For stats end Y DB'!$A:$G,5,0)),0,VLOOKUP($A89&amp;F$1,'For stats end Y DB'!$A:$G,5,0))</f>
        <v>0</v>
      </c>
      <c r="G89">
        <f>IF(ISNA(VLOOKUP($A89&amp;G$1,'For stats end Y DB'!$A:$G,5,0)),0,VLOOKUP($A89&amp;G$1,'For stats end Y DB'!$A:$G,5,0))</f>
        <v>0</v>
      </c>
      <c r="H89">
        <f>IF(ISNA(VLOOKUP($A89&amp;H$1,'For stats end Y DB'!$A:$G,5,0)),0,VLOOKUP($A89&amp;H$1,'For stats end Y DB'!$A:$G,5,0))</f>
        <v>0</v>
      </c>
      <c r="I89">
        <f>IF(ISNA(VLOOKUP($A89&amp;I$1,'For stats end Y DB'!$A:$G,5,0)),0,VLOOKUP($A89&amp;I$1,'For stats end Y DB'!$A:$G,5,0))</f>
        <v>0</v>
      </c>
      <c r="J89">
        <f>IF(ISNA(VLOOKUP($A89&amp;J$1,'For stats end Y DB'!$A:$G,5,0)),0,VLOOKUP($A89&amp;J$1,'For stats end Y DB'!$A:$G,5,0))</f>
        <v>0</v>
      </c>
      <c r="K89">
        <f>IF(ISNA(VLOOKUP($A89&amp;K$1,'For stats end Y DB'!$A:$G,5,0)),0,VLOOKUP($A89&amp;K$1,'For stats end Y DB'!$A:$G,5,0))</f>
        <v>0</v>
      </c>
      <c r="L89">
        <f>IF(ISNA(VLOOKUP($A89&amp;L$1,'For stats end Y DB'!$A:$G,5,0)),0,VLOOKUP($A89&amp;L$1,'For stats end Y DB'!$A:$G,5,0))</f>
        <v>0</v>
      </c>
      <c r="M89">
        <f>IF(ISNA(VLOOKUP($A89&amp;M$1,'For stats end Y DB'!$A:$G,5,0)),0,VLOOKUP($A89&amp;M$1,'For stats end Y DB'!$A:$G,5,0))</f>
        <v>0</v>
      </c>
      <c r="N89">
        <f>IF(ISNA(VLOOKUP($A89&amp;N$1,'For stats end Y DB'!$A:$G,5,0)),0,VLOOKUP($A89&amp;N$1,'For stats end Y DB'!$A:$G,5,0))</f>
        <v>0</v>
      </c>
      <c r="O89">
        <f>IF(ISNA(VLOOKUP($A89&amp;O$1,'For stats end Y DB'!$A:$G,5,0)),0,VLOOKUP($A89&amp;O$1,'For stats end Y DB'!$A:$G,5,0))</f>
        <v>0</v>
      </c>
      <c r="P89">
        <f>IF(ISNA(VLOOKUP($A89&amp;P$1,'For stats end Y DB'!$A:$G,5,0)),0,VLOOKUP($A89&amp;P$1,'For stats end Y DB'!$A:$G,5,0))</f>
        <v>0</v>
      </c>
      <c r="Q89">
        <f>IF(ISNA(VLOOKUP($A89&amp;Q$1,'For stats end Y DB'!$A:$G,5,0)),0,VLOOKUP($A89&amp;Q$1,'For stats end Y DB'!$A:$G,5,0))</f>
        <v>0</v>
      </c>
      <c r="R89">
        <f>IF(ISNA(VLOOKUP($A89&amp;R$1,'For stats end Y DB'!$A:$G,5,0)),0,VLOOKUP($A89&amp;R$1,'For stats end Y DB'!$A:$G,5,0))</f>
        <v>0</v>
      </c>
      <c r="S89">
        <f>IF(ISNA(VLOOKUP($A89&amp;S$1,'For stats end Y DB'!$A:$G,5,0)),0,VLOOKUP($A89&amp;S$1,'For stats end Y DB'!$A:$G,5,0))</f>
        <v>0</v>
      </c>
      <c r="T89">
        <f>IF(ISNA(VLOOKUP($A89&amp;T$1,'For stats end Y DB'!$A:$G,5,0)),0,VLOOKUP($A89&amp;T$1,'For stats end Y DB'!$A:$G,5,0))</f>
        <v>0</v>
      </c>
      <c r="U89">
        <f>IF(ISNA(VLOOKUP($A89&amp;U$1,'For stats end Y DB'!$A:$G,5,0)),0,VLOOKUP($A89&amp;U$1,'For stats end Y DB'!$A:$G,5,0))</f>
        <v>0</v>
      </c>
      <c r="V89">
        <f>IF(ISNA(VLOOKUP($A89&amp;V$1,'For stats end Y DB'!$A:$G,5,0)),0,VLOOKUP($A89&amp;V$1,'For stats end Y DB'!$A:$G,5,0))</f>
        <v>0</v>
      </c>
      <c r="W89">
        <f>IF(ISNA(VLOOKUP($A89&amp;W$1,'For stats end Y DB'!$A:$G,5,0)),0,VLOOKUP($A89&amp;W$1,'For stats end Y DB'!$A:$G,5,0))</f>
        <v>0</v>
      </c>
      <c r="X89">
        <f>IF(ISNA(VLOOKUP($A89&amp;X$1,'For stats end Y DB'!$A:$G,5,0)),0,VLOOKUP($A89&amp;X$1,'For stats end Y DB'!$A:$G,5,0))</f>
        <v>0</v>
      </c>
      <c r="Y89">
        <f>IF(ISNA(VLOOKUP($A89&amp;Y$1,'For stats end Y DB'!$A:$G,5,0)),0,VLOOKUP($A89&amp;Y$1,'For stats end Y DB'!$A:$G,5,0))</f>
        <v>9</v>
      </c>
      <c r="Z89">
        <f>IF(ISNA(VLOOKUP($A89&amp;Z$1,'For stats end Y DB'!$A:$G,5,0)),0,VLOOKUP($A89&amp;Z$1,'For stats end Y DB'!$A:$G,5,0))</f>
        <v>13</v>
      </c>
      <c r="AA89">
        <f>IF(ISNA(VLOOKUP($A89&amp;AA$1,'For stats end Y DB'!$A:$G,5,0)),0,VLOOKUP($A89&amp;AA$1,'For stats end Y DB'!$A:$G,5,0))</f>
        <v>4</v>
      </c>
      <c r="AB89">
        <f>IF(ISNA(VLOOKUP($A89&amp;AB$1,'For stats end Y DB'!$A:$G,5,0)),0,VLOOKUP($A89&amp;AB$1,'For stats end Y DB'!$A:$G,5,0))</f>
        <v>0</v>
      </c>
      <c r="AC89">
        <f>IF(ISNA(VLOOKUP($A89&amp;AC$1,'For stats end Y DB'!$A:$G,5,0)),0,VLOOKUP($A89&amp;AC$1,'For stats end Y DB'!$A:$G,5,0))</f>
        <v>1</v>
      </c>
      <c r="AD89">
        <f>IF(ISNA(VLOOKUP($A89&amp;AD$1,'For stats end Y DB'!$A:$G,5,0)),0,VLOOKUP($A89&amp;AD$1,'For stats end Y DB'!$A:$G,5,0))</f>
        <v>1</v>
      </c>
      <c r="AE89">
        <f>IF(ISNA(VLOOKUP($A89&amp;AE$1,'For stats end Y DB'!$A:$G,5,0)),0,VLOOKUP($A89&amp;AE$1,'For stats end Y DB'!$A:$G,5,0))</f>
        <v>16</v>
      </c>
      <c r="AF89">
        <f>IF(ISNA(VLOOKUP($A89&amp;AF$1,'For stats end Y DB'!$A:$G,5,0)),0,VLOOKUP($A89&amp;AF$1,'For stats end Y DB'!$A:$G,5,0))</f>
        <v>16</v>
      </c>
      <c r="AG89">
        <f>IF(ISNA(VLOOKUP($A89&amp;AG$1,'For stats end Y DB'!$A:$G,5,0)),0,VLOOKUP($A89&amp;AG$1,'For stats end Y DB'!$A:$G,5,0))</f>
        <v>7</v>
      </c>
      <c r="AH89">
        <f>IF(ISNA(VLOOKUP($A89&amp;AH$1,'For stats end Y DB'!$A:$G,5,0)),0,VLOOKUP($A89&amp;AH$1,'For stats end Y DB'!$A:$G,5,0))</f>
        <v>8</v>
      </c>
      <c r="AI89">
        <f>IF(ISNA(VLOOKUP($A89&amp;AI$1,'For stats end Y DB'!$A:$G,5,0)),0,VLOOKUP($A89&amp;AI$1,'For stats end Y DB'!$A:$G,5,0))</f>
        <v>0</v>
      </c>
      <c r="AJ89">
        <f>IF(ISNA(VLOOKUP($A89&amp;AJ$1,'For stats end Y DB'!$A:$G,5,0)),0,VLOOKUP($A89&amp;AJ$1,'For stats end Y DB'!$A:$G,5,0))</f>
        <v>0</v>
      </c>
      <c r="AK89">
        <f>IF(ISNA(VLOOKUP($A89&amp;AK$1,'For stats end Y DB'!$A:$G,5,0)),0,VLOOKUP($A89&amp;AK$1,'For stats end Y DB'!$A:$G,5,0))</f>
        <v>0</v>
      </c>
      <c r="AL89">
        <f>IF(ISNA(VLOOKUP($A89&amp;AL$1,'For stats end Y DB'!$A:$G,5,0)),0,VLOOKUP($A89&amp;AL$1,'For stats end Y DB'!$A:$G,5,0))</f>
        <v>0</v>
      </c>
      <c r="AM89">
        <f>IF(ISNA(VLOOKUP($A89&amp;AM$1,'For stats end Y DB'!$A:$G,5,0)),0,VLOOKUP($A89&amp;AM$1,'For stats end Y DB'!$A:$G,5,0))</f>
        <v>0</v>
      </c>
      <c r="AN89">
        <f>IF(ISNA(VLOOKUP($A89&amp;AN$1,'For stats end Y DB'!$A:$G,5,0)),0,VLOOKUP($A89&amp;AN$1,'For stats end Y DB'!$A:$G,5,0))</f>
        <v>0</v>
      </c>
    </row>
    <row r="90" spans="1:40" x14ac:dyDescent="0.2">
      <c r="A90" t="str">
        <f>'For stats end Y class'!A90</f>
        <v>Snake1702</v>
      </c>
      <c r="B90">
        <f>IF(ISNA(VLOOKUP($A90&amp;B$1,'For stats end Y DB'!$A:$G,5,0)),0,VLOOKUP($A90&amp;B$1,'For stats end Y DB'!$A:$G,5,0))</f>
        <v>0</v>
      </c>
      <c r="C90">
        <f>IF(ISNA(VLOOKUP($A90&amp;C$1,'For stats end Y DB'!$A:$G,5,0)),0,VLOOKUP($A90&amp;C$1,'For stats end Y DB'!$A:$G,5,0))</f>
        <v>0</v>
      </c>
      <c r="D90">
        <f>IF(ISNA(VLOOKUP($A90&amp;D$1,'For stats end Y DB'!$A:$G,5,0)),0,VLOOKUP($A90&amp;D$1,'For stats end Y DB'!$A:$G,5,0))</f>
        <v>0</v>
      </c>
      <c r="E90">
        <f>IF(ISNA(VLOOKUP($A90&amp;E$1,'For stats end Y DB'!$A:$G,5,0)),0,VLOOKUP($A90&amp;E$1,'For stats end Y DB'!$A:$G,5,0))</f>
        <v>0</v>
      </c>
      <c r="F90">
        <f>IF(ISNA(VLOOKUP($A90&amp;F$1,'For stats end Y DB'!$A:$G,5,0)),0,VLOOKUP($A90&amp;F$1,'For stats end Y DB'!$A:$G,5,0))</f>
        <v>0</v>
      </c>
      <c r="G90">
        <f>IF(ISNA(VLOOKUP($A90&amp;G$1,'For stats end Y DB'!$A:$G,5,0)),0,VLOOKUP($A90&amp;G$1,'For stats end Y DB'!$A:$G,5,0))</f>
        <v>0</v>
      </c>
      <c r="H90">
        <f>IF(ISNA(VLOOKUP($A90&amp;H$1,'For stats end Y DB'!$A:$G,5,0)),0,VLOOKUP($A90&amp;H$1,'For stats end Y DB'!$A:$G,5,0))</f>
        <v>0</v>
      </c>
      <c r="I90">
        <f>IF(ISNA(VLOOKUP($A90&amp;I$1,'For stats end Y DB'!$A:$G,5,0)),0,VLOOKUP($A90&amp;I$1,'For stats end Y DB'!$A:$G,5,0))</f>
        <v>0</v>
      </c>
      <c r="J90">
        <f>IF(ISNA(VLOOKUP($A90&amp;J$1,'For stats end Y DB'!$A:$G,5,0)),0,VLOOKUP($A90&amp;J$1,'For stats end Y DB'!$A:$G,5,0))</f>
        <v>0</v>
      </c>
      <c r="K90">
        <f>IF(ISNA(VLOOKUP($A90&amp;K$1,'For stats end Y DB'!$A:$G,5,0)),0,VLOOKUP($A90&amp;K$1,'For stats end Y DB'!$A:$G,5,0))</f>
        <v>0</v>
      </c>
      <c r="L90">
        <f>IF(ISNA(VLOOKUP($A90&amp;L$1,'For stats end Y DB'!$A:$G,5,0)),0,VLOOKUP($A90&amp;L$1,'For stats end Y DB'!$A:$G,5,0))</f>
        <v>0</v>
      </c>
      <c r="M90">
        <f>IF(ISNA(VLOOKUP($A90&amp;M$1,'For stats end Y DB'!$A:$G,5,0)),0,VLOOKUP($A90&amp;M$1,'For stats end Y DB'!$A:$G,5,0))</f>
        <v>0</v>
      </c>
      <c r="N90">
        <f>IF(ISNA(VLOOKUP($A90&amp;N$1,'For stats end Y DB'!$A:$G,5,0)),0,VLOOKUP($A90&amp;N$1,'For stats end Y DB'!$A:$G,5,0))</f>
        <v>0</v>
      </c>
      <c r="O90">
        <f>IF(ISNA(VLOOKUP($A90&amp;O$1,'For stats end Y DB'!$A:$G,5,0)),0,VLOOKUP($A90&amp;O$1,'For stats end Y DB'!$A:$G,5,0))</f>
        <v>0</v>
      </c>
      <c r="P90">
        <f>IF(ISNA(VLOOKUP($A90&amp;P$1,'For stats end Y DB'!$A:$G,5,0)),0,VLOOKUP($A90&amp;P$1,'For stats end Y DB'!$A:$G,5,0))</f>
        <v>0</v>
      </c>
      <c r="Q90">
        <f>IF(ISNA(VLOOKUP($A90&amp;Q$1,'For stats end Y DB'!$A:$G,5,0)),0,VLOOKUP($A90&amp;Q$1,'For stats end Y DB'!$A:$G,5,0))</f>
        <v>0</v>
      </c>
      <c r="R90">
        <f>IF(ISNA(VLOOKUP($A90&amp;R$1,'For stats end Y DB'!$A:$G,5,0)),0,VLOOKUP($A90&amp;R$1,'For stats end Y DB'!$A:$G,5,0))</f>
        <v>0</v>
      </c>
      <c r="S90">
        <f>IF(ISNA(VLOOKUP($A90&amp;S$1,'For stats end Y DB'!$A:$G,5,0)),0,VLOOKUP($A90&amp;S$1,'For stats end Y DB'!$A:$G,5,0))</f>
        <v>0</v>
      </c>
      <c r="T90">
        <f>IF(ISNA(VLOOKUP($A90&amp;T$1,'For stats end Y DB'!$A:$G,5,0)),0,VLOOKUP($A90&amp;T$1,'For stats end Y DB'!$A:$G,5,0))</f>
        <v>0</v>
      </c>
      <c r="U90">
        <f>IF(ISNA(VLOOKUP($A90&amp;U$1,'For stats end Y DB'!$A:$G,5,0)),0,VLOOKUP($A90&amp;U$1,'For stats end Y DB'!$A:$G,5,0))</f>
        <v>0</v>
      </c>
      <c r="V90">
        <f>IF(ISNA(VLOOKUP($A90&amp;V$1,'For stats end Y DB'!$A:$G,5,0)),0,VLOOKUP($A90&amp;V$1,'For stats end Y DB'!$A:$G,5,0))</f>
        <v>0</v>
      </c>
      <c r="W90">
        <f>IF(ISNA(VLOOKUP($A90&amp;W$1,'For stats end Y DB'!$A:$G,5,0)),0,VLOOKUP($A90&amp;W$1,'For stats end Y DB'!$A:$G,5,0))</f>
        <v>0</v>
      </c>
      <c r="X90">
        <f>IF(ISNA(VLOOKUP($A90&amp;X$1,'For stats end Y DB'!$A:$G,5,0)),0,VLOOKUP($A90&amp;X$1,'For stats end Y DB'!$A:$G,5,0))</f>
        <v>0</v>
      </c>
      <c r="Y90">
        <f>IF(ISNA(VLOOKUP($A90&amp;Y$1,'For stats end Y DB'!$A:$G,5,0)),0,VLOOKUP($A90&amp;Y$1,'For stats end Y DB'!$A:$G,5,0))</f>
        <v>5</v>
      </c>
      <c r="Z90">
        <f>IF(ISNA(VLOOKUP($A90&amp;Z$1,'For stats end Y DB'!$A:$G,5,0)),0,VLOOKUP($A90&amp;Z$1,'For stats end Y DB'!$A:$G,5,0))</f>
        <v>4</v>
      </c>
      <c r="AA90">
        <f>IF(ISNA(VLOOKUP($A90&amp;AA$1,'For stats end Y DB'!$A:$G,5,0)),0,VLOOKUP($A90&amp;AA$1,'For stats end Y DB'!$A:$G,5,0))</f>
        <v>0</v>
      </c>
      <c r="AB90">
        <f>IF(ISNA(VLOOKUP($A90&amp;AB$1,'For stats end Y DB'!$A:$G,5,0)),0,VLOOKUP($A90&amp;AB$1,'For stats end Y DB'!$A:$G,5,0))</f>
        <v>12</v>
      </c>
      <c r="AC90">
        <f>IF(ISNA(VLOOKUP($A90&amp;AC$1,'For stats end Y DB'!$A:$G,5,0)),0,VLOOKUP($A90&amp;AC$1,'For stats end Y DB'!$A:$G,5,0))</f>
        <v>12</v>
      </c>
      <c r="AD90">
        <f>IF(ISNA(VLOOKUP($A90&amp;AD$1,'For stats end Y DB'!$A:$G,5,0)),0,VLOOKUP($A90&amp;AD$1,'For stats end Y DB'!$A:$G,5,0))</f>
        <v>2</v>
      </c>
      <c r="AE90">
        <f>IF(ISNA(VLOOKUP($A90&amp;AE$1,'For stats end Y DB'!$A:$G,5,0)),0,VLOOKUP($A90&amp;AE$1,'For stats end Y DB'!$A:$G,5,0))</f>
        <v>12</v>
      </c>
      <c r="AF90">
        <f>IF(ISNA(VLOOKUP($A90&amp;AF$1,'For stats end Y DB'!$A:$G,5,0)),0,VLOOKUP($A90&amp;AF$1,'For stats end Y DB'!$A:$G,5,0))</f>
        <v>5</v>
      </c>
      <c r="AG90">
        <f>IF(ISNA(VLOOKUP($A90&amp;AG$1,'For stats end Y DB'!$A:$G,5,0)),0,VLOOKUP($A90&amp;AG$1,'For stats end Y DB'!$A:$G,5,0))</f>
        <v>12</v>
      </c>
      <c r="AH90">
        <f>IF(ISNA(VLOOKUP($A90&amp;AH$1,'For stats end Y DB'!$A:$G,5,0)),0,VLOOKUP($A90&amp;AH$1,'For stats end Y DB'!$A:$G,5,0))</f>
        <v>4</v>
      </c>
      <c r="AI90">
        <f>IF(ISNA(VLOOKUP($A90&amp;AI$1,'For stats end Y DB'!$A:$G,5,0)),0,VLOOKUP($A90&amp;AI$1,'For stats end Y DB'!$A:$G,5,0))</f>
        <v>0</v>
      </c>
      <c r="AJ90">
        <f>IF(ISNA(VLOOKUP($A90&amp;AJ$1,'For stats end Y DB'!$A:$G,5,0)),0,VLOOKUP($A90&amp;AJ$1,'For stats end Y DB'!$A:$G,5,0))</f>
        <v>0</v>
      </c>
      <c r="AK90">
        <f>IF(ISNA(VLOOKUP($A90&amp;AK$1,'For stats end Y DB'!$A:$G,5,0)),0,VLOOKUP($A90&amp;AK$1,'For stats end Y DB'!$A:$G,5,0))</f>
        <v>0</v>
      </c>
      <c r="AL90">
        <f>IF(ISNA(VLOOKUP($A90&amp;AL$1,'For stats end Y DB'!$A:$G,5,0)),0,VLOOKUP($A90&amp;AL$1,'For stats end Y DB'!$A:$G,5,0))</f>
        <v>0</v>
      </c>
      <c r="AM90">
        <f>IF(ISNA(VLOOKUP($A90&amp;AM$1,'For stats end Y DB'!$A:$G,5,0)),0,VLOOKUP($A90&amp;AM$1,'For stats end Y DB'!$A:$G,5,0))</f>
        <v>0</v>
      </c>
      <c r="AN90">
        <f>IF(ISNA(VLOOKUP($A90&amp;AN$1,'For stats end Y DB'!$A:$G,5,0)),0,VLOOKUP($A90&amp;AN$1,'For stats end Y DB'!$A:$G,5,0))</f>
        <v>0</v>
      </c>
    </row>
    <row r="91" spans="1:40" x14ac:dyDescent="0.2">
      <c r="A91" t="str">
        <f>'For stats end Y class'!A91</f>
        <v>Sobab</v>
      </c>
      <c r="B91">
        <f>IF(ISNA(VLOOKUP($A91&amp;B$1,'For stats end Y DB'!$A:$G,5,0)),0,VLOOKUP($A91&amp;B$1,'For stats end Y DB'!$A:$G,5,0))</f>
        <v>12</v>
      </c>
      <c r="C91">
        <f>IF(ISNA(VLOOKUP($A91&amp;C$1,'For stats end Y DB'!$A:$G,5,0)),0,VLOOKUP($A91&amp;C$1,'For stats end Y DB'!$A:$G,5,0))</f>
        <v>0</v>
      </c>
      <c r="D91">
        <f>IF(ISNA(VLOOKUP($A91&amp;D$1,'For stats end Y DB'!$A:$G,5,0)),0,VLOOKUP($A91&amp;D$1,'For stats end Y DB'!$A:$G,5,0))</f>
        <v>16</v>
      </c>
      <c r="E91">
        <f>IF(ISNA(VLOOKUP($A91&amp;E$1,'For stats end Y DB'!$A:$G,5,0)),0,VLOOKUP($A91&amp;E$1,'For stats end Y DB'!$A:$G,5,0))</f>
        <v>1</v>
      </c>
      <c r="F91">
        <f>IF(ISNA(VLOOKUP($A91&amp;F$1,'For stats end Y DB'!$A:$G,5,0)),0,VLOOKUP($A91&amp;F$1,'For stats end Y DB'!$A:$G,5,0))</f>
        <v>0</v>
      </c>
      <c r="G91">
        <f>IF(ISNA(VLOOKUP($A91&amp;G$1,'For stats end Y DB'!$A:$G,5,0)),0,VLOOKUP($A91&amp;G$1,'For stats end Y DB'!$A:$G,5,0))</f>
        <v>0</v>
      </c>
      <c r="H91">
        <f>IF(ISNA(VLOOKUP($A91&amp;H$1,'For stats end Y DB'!$A:$G,5,0)),0,VLOOKUP($A91&amp;H$1,'For stats end Y DB'!$A:$G,5,0))</f>
        <v>12</v>
      </c>
      <c r="I91">
        <f>IF(ISNA(VLOOKUP($A91&amp;I$1,'For stats end Y DB'!$A:$G,5,0)),0,VLOOKUP($A91&amp;I$1,'For stats end Y DB'!$A:$G,5,0))</f>
        <v>3</v>
      </c>
      <c r="J91">
        <f>IF(ISNA(VLOOKUP($A91&amp;J$1,'For stats end Y DB'!$A:$G,5,0)),0,VLOOKUP($A91&amp;J$1,'For stats end Y DB'!$A:$G,5,0))</f>
        <v>5</v>
      </c>
      <c r="K91">
        <f>IF(ISNA(VLOOKUP($A91&amp;K$1,'For stats end Y DB'!$A:$G,5,0)),0,VLOOKUP($A91&amp;K$1,'For stats end Y DB'!$A:$G,5,0))</f>
        <v>15</v>
      </c>
      <c r="L91">
        <f>IF(ISNA(VLOOKUP($A91&amp;L$1,'For stats end Y DB'!$A:$G,5,0)),0,VLOOKUP($A91&amp;L$1,'For stats end Y DB'!$A:$G,5,0))</f>
        <v>1</v>
      </c>
      <c r="M91">
        <f>IF(ISNA(VLOOKUP($A91&amp;M$1,'For stats end Y DB'!$A:$G,5,0)),0,VLOOKUP($A91&amp;M$1,'For stats end Y DB'!$A:$G,5,0))</f>
        <v>0</v>
      </c>
      <c r="N91">
        <f>IF(ISNA(VLOOKUP($A91&amp;N$1,'For stats end Y DB'!$A:$G,5,0)),0,VLOOKUP($A91&amp;N$1,'For stats end Y DB'!$A:$G,5,0))</f>
        <v>0</v>
      </c>
      <c r="O91">
        <f>IF(ISNA(VLOOKUP($A91&amp;O$1,'For stats end Y DB'!$A:$G,5,0)),0,VLOOKUP($A91&amp;O$1,'For stats end Y DB'!$A:$G,5,0))</f>
        <v>0</v>
      </c>
      <c r="P91">
        <f>IF(ISNA(VLOOKUP($A91&amp;P$1,'For stats end Y DB'!$A:$G,5,0)),0,VLOOKUP($A91&amp;P$1,'For stats end Y DB'!$A:$G,5,0))</f>
        <v>0</v>
      </c>
      <c r="Q91">
        <f>IF(ISNA(VLOOKUP($A91&amp;Q$1,'For stats end Y DB'!$A:$G,5,0)),0,VLOOKUP($A91&amp;Q$1,'For stats end Y DB'!$A:$G,5,0))</f>
        <v>17</v>
      </c>
      <c r="R91">
        <f>IF(ISNA(VLOOKUP($A91&amp;R$1,'For stats end Y DB'!$A:$G,5,0)),0,VLOOKUP($A91&amp;R$1,'For stats end Y DB'!$A:$G,5,0))</f>
        <v>0</v>
      </c>
      <c r="S91">
        <f>IF(ISNA(VLOOKUP($A91&amp;S$1,'For stats end Y DB'!$A:$G,5,0)),0,VLOOKUP($A91&amp;S$1,'For stats end Y DB'!$A:$G,5,0))</f>
        <v>5</v>
      </c>
      <c r="T91">
        <f>IF(ISNA(VLOOKUP($A91&amp;T$1,'For stats end Y DB'!$A:$G,5,0)),0,VLOOKUP($A91&amp;T$1,'For stats end Y DB'!$A:$G,5,0))</f>
        <v>0</v>
      </c>
      <c r="U91">
        <f>IF(ISNA(VLOOKUP($A91&amp;U$1,'For stats end Y DB'!$A:$G,5,0)),0,VLOOKUP($A91&amp;U$1,'For stats end Y DB'!$A:$G,5,0))</f>
        <v>16</v>
      </c>
      <c r="V91">
        <f>IF(ISNA(VLOOKUP($A91&amp;V$1,'For stats end Y DB'!$A:$G,5,0)),0,VLOOKUP($A91&amp;V$1,'For stats end Y DB'!$A:$G,5,0))</f>
        <v>17</v>
      </c>
      <c r="W91">
        <f>IF(ISNA(VLOOKUP($A91&amp;W$1,'For stats end Y DB'!$A:$G,5,0)),0,VLOOKUP($A91&amp;W$1,'For stats end Y DB'!$A:$G,5,0))</f>
        <v>13</v>
      </c>
      <c r="X91">
        <f>IF(ISNA(VLOOKUP($A91&amp;X$1,'For stats end Y DB'!$A:$G,5,0)),0,VLOOKUP($A91&amp;X$1,'For stats end Y DB'!$A:$G,5,0))</f>
        <v>0</v>
      </c>
      <c r="Y91">
        <f>IF(ISNA(VLOOKUP($A91&amp;Y$1,'For stats end Y DB'!$A:$G,5,0)),0,VLOOKUP($A91&amp;Y$1,'For stats end Y DB'!$A:$G,5,0))</f>
        <v>9</v>
      </c>
      <c r="Z91">
        <f>IF(ISNA(VLOOKUP($A91&amp;Z$1,'For stats end Y DB'!$A:$G,5,0)),0,VLOOKUP($A91&amp;Z$1,'For stats end Y DB'!$A:$G,5,0))</f>
        <v>0</v>
      </c>
      <c r="AA91">
        <f>IF(ISNA(VLOOKUP($A91&amp;AA$1,'For stats end Y DB'!$A:$G,5,0)),0,VLOOKUP($A91&amp;AA$1,'For stats end Y DB'!$A:$G,5,0))</f>
        <v>0</v>
      </c>
      <c r="AB91">
        <f>IF(ISNA(VLOOKUP($A91&amp;AB$1,'For stats end Y DB'!$A:$G,5,0)),0,VLOOKUP($A91&amp;AB$1,'For stats end Y DB'!$A:$G,5,0))</f>
        <v>0</v>
      </c>
      <c r="AC91">
        <f>IF(ISNA(VLOOKUP($A91&amp;AC$1,'For stats end Y DB'!$A:$G,5,0)),0,VLOOKUP($A91&amp;AC$1,'For stats end Y DB'!$A:$G,5,0))</f>
        <v>8</v>
      </c>
      <c r="AD91">
        <f>IF(ISNA(VLOOKUP($A91&amp;AD$1,'For stats end Y DB'!$A:$G,5,0)),0,VLOOKUP($A91&amp;AD$1,'For stats end Y DB'!$A:$G,5,0))</f>
        <v>2</v>
      </c>
      <c r="AE91">
        <f>IF(ISNA(VLOOKUP($A91&amp;AE$1,'For stats end Y DB'!$A:$G,5,0)),0,VLOOKUP($A91&amp;AE$1,'For stats end Y DB'!$A:$G,5,0))</f>
        <v>2</v>
      </c>
      <c r="AF91">
        <f>IF(ISNA(VLOOKUP($A91&amp;AF$1,'For stats end Y DB'!$A:$G,5,0)),0,VLOOKUP($A91&amp;AF$1,'For stats end Y DB'!$A:$G,5,0))</f>
        <v>0</v>
      </c>
      <c r="AG91">
        <f>IF(ISNA(VLOOKUP($A91&amp;AG$1,'For stats end Y DB'!$A:$G,5,0)),0,VLOOKUP($A91&amp;AG$1,'For stats end Y DB'!$A:$G,5,0))</f>
        <v>16</v>
      </c>
      <c r="AH91">
        <f>IF(ISNA(VLOOKUP($A91&amp;AH$1,'For stats end Y DB'!$A:$G,5,0)),0,VLOOKUP($A91&amp;AH$1,'For stats end Y DB'!$A:$G,5,0))</f>
        <v>0</v>
      </c>
      <c r="AI91">
        <f>IF(ISNA(VLOOKUP($A91&amp;AI$1,'For stats end Y DB'!$A:$G,5,0)),0,VLOOKUP($A91&amp;AI$1,'For stats end Y DB'!$A:$G,5,0))</f>
        <v>0</v>
      </c>
      <c r="AJ91">
        <f>IF(ISNA(VLOOKUP($A91&amp;AJ$1,'For stats end Y DB'!$A:$G,5,0)),0,VLOOKUP($A91&amp;AJ$1,'For stats end Y DB'!$A:$G,5,0))</f>
        <v>0</v>
      </c>
      <c r="AK91">
        <f>IF(ISNA(VLOOKUP($A91&amp;AK$1,'For stats end Y DB'!$A:$G,5,0)),0,VLOOKUP($A91&amp;AK$1,'For stats end Y DB'!$A:$G,5,0))</f>
        <v>0</v>
      </c>
      <c r="AL91">
        <f>IF(ISNA(VLOOKUP($A91&amp;AL$1,'For stats end Y DB'!$A:$G,5,0)),0,VLOOKUP($A91&amp;AL$1,'For stats end Y DB'!$A:$G,5,0))</f>
        <v>0</v>
      </c>
      <c r="AM91">
        <f>IF(ISNA(VLOOKUP($A91&amp;AM$1,'For stats end Y DB'!$A:$G,5,0)),0,VLOOKUP($A91&amp;AM$1,'For stats end Y DB'!$A:$G,5,0))</f>
        <v>0</v>
      </c>
      <c r="AN91">
        <f>IF(ISNA(VLOOKUP($A91&amp;AN$1,'For stats end Y DB'!$A:$G,5,0)),0,VLOOKUP($A91&amp;AN$1,'For stats end Y DB'!$A:$G,5,0))</f>
        <v>0</v>
      </c>
    </row>
    <row r="92" spans="1:40" x14ac:dyDescent="0.2">
      <c r="A92" t="str">
        <f>'For stats end Y class'!A92</f>
        <v>Solex</v>
      </c>
      <c r="B92">
        <f>IF(ISNA(VLOOKUP($A92&amp;B$1,'For stats end Y DB'!$A:$G,5,0)),0,VLOOKUP($A92&amp;B$1,'For stats end Y DB'!$A:$G,5,0))</f>
        <v>17</v>
      </c>
      <c r="C92">
        <f>IF(ISNA(VLOOKUP($A92&amp;C$1,'For stats end Y DB'!$A:$G,5,0)),0,VLOOKUP($A92&amp;C$1,'For stats end Y DB'!$A:$G,5,0))</f>
        <v>5</v>
      </c>
      <c r="D92">
        <f>IF(ISNA(VLOOKUP($A92&amp;D$1,'For stats end Y DB'!$A:$G,5,0)),0,VLOOKUP($A92&amp;D$1,'For stats end Y DB'!$A:$G,5,0))</f>
        <v>1</v>
      </c>
      <c r="E92">
        <f>IF(ISNA(VLOOKUP($A92&amp;E$1,'For stats end Y DB'!$A:$G,5,0)),0,VLOOKUP($A92&amp;E$1,'For stats end Y DB'!$A:$G,5,0))</f>
        <v>0</v>
      </c>
      <c r="F92">
        <f>IF(ISNA(VLOOKUP($A92&amp;F$1,'For stats end Y DB'!$A:$G,5,0)),0,VLOOKUP($A92&amp;F$1,'For stats end Y DB'!$A:$G,5,0))</f>
        <v>4</v>
      </c>
      <c r="G92">
        <f>IF(ISNA(VLOOKUP($A92&amp;G$1,'For stats end Y DB'!$A:$G,5,0)),0,VLOOKUP($A92&amp;G$1,'For stats end Y DB'!$A:$G,5,0))</f>
        <v>0</v>
      </c>
      <c r="H92">
        <f>IF(ISNA(VLOOKUP($A92&amp;H$1,'For stats end Y DB'!$A:$G,5,0)),0,VLOOKUP($A92&amp;H$1,'For stats end Y DB'!$A:$G,5,0))</f>
        <v>0</v>
      </c>
      <c r="I92">
        <f>IF(ISNA(VLOOKUP($A92&amp;I$1,'For stats end Y DB'!$A:$G,5,0)),0,VLOOKUP($A92&amp;I$1,'For stats end Y DB'!$A:$G,5,0))</f>
        <v>8</v>
      </c>
      <c r="J92">
        <f>IF(ISNA(VLOOKUP($A92&amp;J$1,'For stats end Y DB'!$A:$G,5,0)),0,VLOOKUP($A92&amp;J$1,'For stats end Y DB'!$A:$G,5,0))</f>
        <v>0</v>
      </c>
      <c r="K92">
        <f>IF(ISNA(VLOOKUP($A92&amp;K$1,'For stats end Y DB'!$A:$G,5,0)),0,VLOOKUP($A92&amp;K$1,'For stats end Y DB'!$A:$G,5,0))</f>
        <v>0</v>
      </c>
      <c r="L92">
        <f>IF(ISNA(VLOOKUP($A92&amp;L$1,'For stats end Y DB'!$A:$G,5,0)),0,VLOOKUP($A92&amp;L$1,'For stats end Y DB'!$A:$G,5,0))</f>
        <v>0</v>
      </c>
      <c r="M92">
        <f>IF(ISNA(VLOOKUP($A92&amp;M$1,'For stats end Y DB'!$A:$G,5,0)),0,VLOOKUP($A92&amp;M$1,'For stats end Y DB'!$A:$G,5,0))</f>
        <v>0</v>
      </c>
      <c r="N92">
        <f>IF(ISNA(VLOOKUP($A92&amp;N$1,'For stats end Y DB'!$A:$G,5,0)),0,VLOOKUP($A92&amp;N$1,'For stats end Y DB'!$A:$G,5,0))</f>
        <v>0</v>
      </c>
      <c r="O92">
        <f>IF(ISNA(VLOOKUP($A92&amp;O$1,'For stats end Y DB'!$A:$G,5,0)),0,VLOOKUP($A92&amp;O$1,'For stats end Y DB'!$A:$G,5,0))</f>
        <v>0</v>
      </c>
      <c r="P92">
        <f>IF(ISNA(VLOOKUP($A92&amp;P$1,'For stats end Y DB'!$A:$G,5,0)),0,VLOOKUP($A92&amp;P$1,'For stats end Y DB'!$A:$G,5,0))</f>
        <v>0</v>
      </c>
      <c r="Q92">
        <f>IF(ISNA(VLOOKUP($A92&amp;Q$1,'For stats end Y DB'!$A:$G,5,0)),0,VLOOKUP($A92&amp;Q$1,'For stats end Y DB'!$A:$G,5,0))</f>
        <v>0</v>
      </c>
      <c r="R92">
        <f>IF(ISNA(VLOOKUP($A92&amp;R$1,'For stats end Y DB'!$A:$G,5,0)),0,VLOOKUP($A92&amp;R$1,'For stats end Y DB'!$A:$G,5,0))</f>
        <v>0</v>
      </c>
      <c r="S92">
        <f>IF(ISNA(VLOOKUP($A92&amp;S$1,'For stats end Y DB'!$A:$G,5,0)),0,VLOOKUP($A92&amp;S$1,'For stats end Y DB'!$A:$G,5,0))</f>
        <v>0</v>
      </c>
      <c r="T92">
        <f>IF(ISNA(VLOOKUP($A92&amp;T$1,'For stats end Y DB'!$A:$G,5,0)),0,VLOOKUP($A92&amp;T$1,'For stats end Y DB'!$A:$G,5,0))</f>
        <v>0</v>
      </c>
      <c r="U92">
        <f>IF(ISNA(VLOOKUP($A92&amp;U$1,'For stats end Y DB'!$A:$G,5,0)),0,VLOOKUP($A92&amp;U$1,'For stats end Y DB'!$A:$G,5,0))</f>
        <v>0</v>
      </c>
      <c r="V92">
        <f>IF(ISNA(VLOOKUP($A92&amp;V$1,'For stats end Y DB'!$A:$G,5,0)),0,VLOOKUP($A92&amp;V$1,'For stats end Y DB'!$A:$G,5,0))</f>
        <v>0</v>
      </c>
      <c r="W92">
        <f>IF(ISNA(VLOOKUP($A92&amp;W$1,'For stats end Y DB'!$A:$G,5,0)),0,VLOOKUP($A92&amp;W$1,'For stats end Y DB'!$A:$G,5,0))</f>
        <v>0</v>
      </c>
      <c r="X92">
        <f>IF(ISNA(VLOOKUP($A92&amp;X$1,'For stats end Y DB'!$A:$G,5,0)),0,VLOOKUP($A92&amp;X$1,'For stats end Y DB'!$A:$G,5,0))</f>
        <v>0</v>
      </c>
      <c r="Y92">
        <f>IF(ISNA(VLOOKUP($A92&amp;Y$1,'For stats end Y DB'!$A:$G,5,0)),0,VLOOKUP($A92&amp;Y$1,'For stats end Y DB'!$A:$G,5,0))</f>
        <v>0</v>
      </c>
      <c r="Z92">
        <f>IF(ISNA(VLOOKUP($A92&amp;Z$1,'For stats end Y DB'!$A:$G,5,0)),0,VLOOKUP($A92&amp;Z$1,'For stats end Y DB'!$A:$G,5,0))</f>
        <v>0</v>
      </c>
      <c r="AA92">
        <f>IF(ISNA(VLOOKUP($A92&amp;AA$1,'For stats end Y DB'!$A:$G,5,0)),0,VLOOKUP($A92&amp;AA$1,'For stats end Y DB'!$A:$G,5,0))</f>
        <v>0</v>
      </c>
      <c r="AB92">
        <f>IF(ISNA(VLOOKUP($A92&amp;AB$1,'For stats end Y DB'!$A:$G,5,0)),0,VLOOKUP($A92&amp;AB$1,'For stats end Y DB'!$A:$G,5,0))</f>
        <v>0</v>
      </c>
      <c r="AC92">
        <f>IF(ISNA(VLOOKUP($A92&amp;AC$1,'For stats end Y DB'!$A:$G,5,0)),0,VLOOKUP($A92&amp;AC$1,'For stats end Y DB'!$A:$G,5,0))</f>
        <v>0</v>
      </c>
      <c r="AD92">
        <f>IF(ISNA(VLOOKUP($A92&amp;AD$1,'For stats end Y DB'!$A:$G,5,0)),0,VLOOKUP($A92&amp;AD$1,'For stats end Y DB'!$A:$G,5,0))</f>
        <v>0</v>
      </c>
      <c r="AE92">
        <f>IF(ISNA(VLOOKUP($A92&amp;AE$1,'For stats end Y DB'!$A:$G,5,0)),0,VLOOKUP($A92&amp;AE$1,'For stats end Y DB'!$A:$G,5,0))</f>
        <v>0</v>
      </c>
      <c r="AF92">
        <f>IF(ISNA(VLOOKUP($A92&amp;AF$1,'For stats end Y DB'!$A:$G,5,0)),0,VLOOKUP($A92&amp;AF$1,'For stats end Y DB'!$A:$G,5,0))</f>
        <v>0</v>
      </c>
      <c r="AG92">
        <f>IF(ISNA(VLOOKUP($A92&amp;AG$1,'For stats end Y DB'!$A:$G,5,0)),0,VLOOKUP($A92&amp;AG$1,'For stats end Y DB'!$A:$G,5,0))</f>
        <v>0</v>
      </c>
      <c r="AH92">
        <f>IF(ISNA(VLOOKUP($A92&amp;AH$1,'For stats end Y DB'!$A:$G,5,0)),0,VLOOKUP($A92&amp;AH$1,'For stats end Y DB'!$A:$G,5,0))</f>
        <v>0</v>
      </c>
      <c r="AI92">
        <f>IF(ISNA(VLOOKUP($A92&amp;AI$1,'For stats end Y DB'!$A:$G,5,0)),0,VLOOKUP($A92&amp;AI$1,'For stats end Y DB'!$A:$G,5,0))</f>
        <v>0</v>
      </c>
      <c r="AJ92">
        <f>IF(ISNA(VLOOKUP($A92&amp;AJ$1,'For stats end Y DB'!$A:$G,5,0)),0,VLOOKUP($A92&amp;AJ$1,'For stats end Y DB'!$A:$G,5,0))</f>
        <v>0</v>
      </c>
      <c r="AK92">
        <f>IF(ISNA(VLOOKUP($A92&amp;AK$1,'For stats end Y DB'!$A:$G,5,0)),0,VLOOKUP($A92&amp;AK$1,'For stats end Y DB'!$A:$G,5,0))</f>
        <v>0</v>
      </c>
      <c r="AL92">
        <f>IF(ISNA(VLOOKUP($A92&amp;AL$1,'For stats end Y DB'!$A:$G,5,0)),0,VLOOKUP($A92&amp;AL$1,'For stats end Y DB'!$A:$G,5,0))</f>
        <v>0</v>
      </c>
      <c r="AM92">
        <f>IF(ISNA(VLOOKUP($A92&amp;AM$1,'For stats end Y DB'!$A:$G,5,0)),0,VLOOKUP($A92&amp;AM$1,'For stats end Y DB'!$A:$G,5,0))</f>
        <v>0</v>
      </c>
      <c r="AN92">
        <f>IF(ISNA(VLOOKUP($A92&amp;AN$1,'For stats end Y DB'!$A:$G,5,0)),0,VLOOKUP($A92&amp;AN$1,'For stats end Y DB'!$A:$G,5,0))</f>
        <v>0</v>
      </c>
    </row>
    <row r="93" spans="1:40" x14ac:dyDescent="0.2">
      <c r="A93" t="str">
        <f>'For stats end Y class'!A93</f>
        <v>Solucky</v>
      </c>
      <c r="B93">
        <f>IF(ISNA(VLOOKUP($A93&amp;B$1,'For stats end Y DB'!$A:$G,5,0)),0,VLOOKUP($A93&amp;B$1,'For stats end Y DB'!$A:$G,5,0))</f>
        <v>0</v>
      </c>
      <c r="C93">
        <f>IF(ISNA(VLOOKUP($A93&amp;C$1,'For stats end Y DB'!$A:$G,5,0)),0,VLOOKUP($A93&amp;C$1,'For stats end Y DB'!$A:$G,5,0))</f>
        <v>0</v>
      </c>
      <c r="D93">
        <f>IF(ISNA(VLOOKUP($A93&amp;D$1,'For stats end Y DB'!$A:$G,5,0)),0,VLOOKUP($A93&amp;D$1,'For stats end Y DB'!$A:$G,5,0))</f>
        <v>0</v>
      </c>
      <c r="E93">
        <f>IF(ISNA(VLOOKUP($A93&amp;E$1,'For stats end Y DB'!$A:$G,5,0)),0,VLOOKUP($A93&amp;E$1,'For stats end Y DB'!$A:$G,5,0))</f>
        <v>0</v>
      </c>
      <c r="F93">
        <f>IF(ISNA(VLOOKUP($A93&amp;F$1,'For stats end Y DB'!$A:$G,5,0)),0,VLOOKUP($A93&amp;F$1,'For stats end Y DB'!$A:$G,5,0))</f>
        <v>0</v>
      </c>
      <c r="G93">
        <f>IF(ISNA(VLOOKUP($A93&amp;G$1,'For stats end Y DB'!$A:$G,5,0)),0,VLOOKUP($A93&amp;G$1,'For stats end Y DB'!$A:$G,5,0))</f>
        <v>0</v>
      </c>
      <c r="H93">
        <f>IF(ISNA(VLOOKUP($A93&amp;H$1,'For stats end Y DB'!$A:$G,5,0)),0,VLOOKUP($A93&amp;H$1,'For stats end Y DB'!$A:$G,5,0))</f>
        <v>12</v>
      </c>
      <c r="I93">
        <f>IF(ISNA(VLOOKUP($A93&amp;I$1,'For stats end Y DB'!$A:$G,5,0)),0,VLOOKUP($A93&amp;I$1,'For stats end Y DB'!$A:$G,5,0))</f>
        <v>1</v>
      </c>
      <c r="J93">
        <f>IF(ISNA(VLOOKUP($A93&amp;J$1,'For stats end Y DB'!$A:$G,5,0)),0,VLOOKUP($A93&amp;J$1,'For stats end Y DB'!$A:$G,5,0))</f>
        <v>8</v>
      </c>
      <c r="K93">
        <f>IF(ISNA(VLOOKUP($A93&amp;K$1,'For stats end Y DB'!$A:$G,5,0)),0,VLOOKUP($A93&amp;K$1,'For stats end Y DB'!$A:$G,5,0))</f>
        <v>16</v>
      </c>
      <c r="L93">
        <f>IF(ISNA(VLOOKUP($A93&amp;L$1,'For stats end Y DB'!$A:$G,5,0)),0,VLOOKUP($A93&amp;L$1,'For stats end Y DB'!$A:$G,5,0))</f>
        <v>8</v>
      </c>
      <c r="M93">
        <f>IF(ISNA(VLOOKUP($A93&amp;M$1,'For stats end Y DB'!$A:$G,5,0)),0,VLOOKUP($A93&amp;M$1,'For stats end Y DB'!$A:$G,5,0))</f>
        <v>1</v>
      </c>
      <c r="N93">
        <f>IF(ISNA(VLOOKUP($A93&amp;N$1,'For stats end Y DB'!$A:$G,5,0)),0,VLOOKUP($A93&amp;N$1,'For stats end Y DB'!$A:$G,5,0))</f>
        <v>12</v>
      </c>
      <c r="O93">
        <f>IF(ISNA(VLOOKUP($A93&amp;O$1,'For stats end Y DB'!$A:$G,5,0)),0,VLOOKUP($A93&amp;O$1,'For stats end Y DB'!$A:$G,5,0))</f>
        <v>4</v>
      </c>
      <c r="P93">
        <f>IF(ISNA(VLOOKUP($A93&amp;P$1,'For stats end Y DB'!$A:$G,5,0)),0,VLOOKUP($A93&amp;P$1,'For stats end Y DB'!$A:$G,5,0))</f>
        <v>1</v>
      </c>
      <c r="Q93">
        <f>IF(ISNA(VLOOKUP($A93&amp;Q$1,'For stats end Y DB'!$A:$G,5,0)),0,VLOOKUP($A93&amp;Q$1,'For stats end Y DB'!$A:$G,5,0))</f>
        <v>1</v>
      </c>
      <c r="R93">
        <f>IF(ISNA(VLOOKUP($A93&amp;R$1,'For stats end Y DB'!$A:$G,5,0)),0,VLOOKUP($A93&amp;R$1,'For stats end Y DB'!$A:$G,5,0))</f>
        <v>9</v>
      </c>
      <c r="S93">
        <f>IF(ISNA(VLOOKUP($A93&amp;S$1,'For stats end Y DB'!$A:$G,5,0)),0,VLOOKUP($A93&amp;S$1,'For stats end Y DB'!$A:$G,5,0))</f>
        <v>2</v>
      </c>
      <c r="T93">
        <f>IF(ISNA(VLOOKUP($A93&amp;T$1,'For stats end Y DB'!$A:$G,5,0)),0,VLOOKUP($A93&amp;T$1,'For stats end Y DB'!$A:$G,5,0))</f>
        <v>2</v>
      </c>
      <c r="U93">
        <f>IF(ISNA(VLOOKUP($A93&amp;U$1,'For stats end Y DB'!$A:$G,5,0)),0,VLOOKUP($A93&amp;U$1,'For stats end Y DB'!$A:$G,5,0))</f>
        <v>11</v>
      </c>
      <c r="V93">
        <f>IF(ISNA(VLOOKUP($A93&amp;V$1,'For stats end Y DB'!$A:$G,5,0)),0,VLOOKUP($A93&amp;V$1,'For stats end Y DB'!$A:$G,5,0))</f>
        <v>8</v>
      </c>
      <c r="W93">
        <f>IF(ISNA(VLOOKUP($A93&amp;W$1,'For stats end Y DB'!$A:$G,5,0)),0,VLOOKUP($A93&amp;W$1,'For stats end Y DB'!$A:$G,5,0))</f>
        <v>1</v>
      </c>
      <c r="X93">
        <f>IF(ISNA(VLOOKUP($A93&amp;X$1,'For stats end Y DB'!$A:$G,5,0)),0,VLOOKUP($A93&amp;X$1,'For stats end Y DB'!$A:$G,5,0))</f>
        <v>17</v>
      </c>
      <c r="Y93">
        <f>IF(ISNA(VLOOKUP($A93&amp;Y$1,'For stats end Y DB'!$A:$G,5,0)),0,VLOOKUP($A93&amp;Y$1,'For stats end Y DB'!$A:$G,5,0))</f>
        <v>5</v>
      </c>
      <c r="Z93">
        <f>IF(ISNA(VLOOKUP($A93&amp;Z$1,'For stats end Y DB'!$A:$G,5,0)),0,VLOOKUP($A93&amp;Z$1,'For stats end Y DB'!$A:$G,5,0))</f>
        <v>2</v>
      </c>
      <c r="AA93">
        <f>IF(ISNA(VLOOKUP($A93&amp;AA$1,'For stats end Y DB'!$A:$G,5,0)),0,VLOOKUP($A93&amp;AA$1,'For stats end Y DB'!$A:$G,5,0))</f>
        <v>16</v>
      </c>
      <c r="AB93">
        <f>IF(ISNA(VLOOKUP($A93&amp;AB$1,'For stats end Y DB'!$A:$G,5,0)),0,VLOOKUP($A93&amp;AB$1,'For stats end Y DB'!$A:$G,5,0))</f>
        <v>1</v>
      </c>
      <c r="AC93">
        <f>IF(ISNA(VLOOKUP($A93&amp;AC$1,'For stats end Y DB'!$A:$G,5,0)),0,VLOOKUP($A93&amp;AC$1,'For stats end Y DB'!$A:$G,5,0))</f>
        <v>16</v>
      </c>
      <c r="AD93">
        <f>IF(ISNA(VLOOKUP($A93&amp;AD$1,'For stats end Y DB'!$A:$G,5,0)),0,VLOOKUP($A93&amp;AD$1,'For stats end Y DB'!$A:$G,5,0))</f>
        <v>1</v>
      </c>
      <c r="AE93">
        <f>IF(ISNA(VLOOKUP($A93&amp;AE$1,'For stats end Y DB'!$A:$G,5,0)),0,VLOOKUP($A93&amp;AE$1,'For stats end Y DB'!$A:$G,5,0))</f>
        <v>1</v>
      </c>
      <c r="AF93">
        <f>IF(ISNA(VLOOKUP($A93&amp;AF$1,'For stats end Y DB'!$A:$G,5,0)),0,VLOOKUP($A93&amp;AF$1,'For stats end Y DB'!$A:$G,5,0))</f>
        <v>2</v>
      </c>
      <c r="AG93">
        <f>IF(ISNA(VLOOKUP($A93&amp;AG$1,'For stats end Y DB'!$A:$G,5,0)),0,VLOOKUP($A93&amp;AG$1,'For stats end Y DB'!$A:$G,5,0))</f>
        <v>0</v>
      </c>
      <c r="AH93">
        <f>IF(ISNA(VLOOKUP($A93&amp;AH$1,'For stats end Y DB'!$A:$G,5,0)),0,VLOOKUP($A93&amp;AH$1,'For stats end Y DB'!$A:$G,5,0))</f>
        <v>1</v>
      </c>
      <c r="AI93">
        <f>IF(ISNA(VLOOKUP($A93&amp;AI$1,'For stats end Y DB'!$A:$G,5,0)),0,VLOOKUP($A93&amp;AI$1,'For stats end Y DB'!$A:$G,5,0))</f>
        <v>0</v>
      </c>
      <c r="AJ93">
        <f>IF(ISNA(VLOOKUP($A93&amp;AJ$1,'For stats end Y DB'!$A:$G,5,0)),0,VLOOKUP($A93&amp;AJ$1,'For stats end Y DB'!$A:$G,5,0))</f>
        <v>0</v>
      </c>
      <c r="AK93">
        <f>IF(ISNA(VLOOKUP($A93&amp;AK$1,'For stats end Y DB'!$A:$G,5,0)),0,VLOOKUP($A93&amp;AK$1,'For stats end Y DB'!$A:$G,5,0))</f>
        <v>0</v>
      </c>
      <c r="AL93">
        <f>IF(ISNA(VLOOKUP($A93&amp;AL$1,'For stats end Y DB'!$A:$G,5,0)),0,VLOOKUP($A93&amp;AL$1,'For stats end Y DB'!$A:$G,5,0))</f>
        <v>0</v>
      </c>
      <c r="AM93">
        <f>IF(ISNA(VLOOKUP($A93&amp;AM$1,'For stats end Y DB'!$A:$G,5,0)),0,VLOOKUP($A93&amp;AM$1,'For stats end Y DB'!$A:$G,5,0))</f>
        <v>0</v>
      </c>
      <c r="AN93">
        <f>IF(ISNA(VLOOKUP($A93&amp;AN$1,'For stats end Y DB'!$A:$G,5,0)),0,VLOOKUP($A93&amp;AN$1,'For stats end Y DB'!$A:$G,5,0))</f>
        <v>0</v>
      </c>
    </row>
    <row r="94" spans="1:40" x14ac:dyDescent="0.2">
      <c r="A94" t="str">
        <f>'For stats end Y class'!A94</f>
        <v>Soupaman</v>
      </c>
      <c r="B94">
        <f>IF(ISNA(VLOOKUP($A94&amp;B$1,'For stats end Y DB'!$A:$G,5,0)),0,VLOOKUP($A94&amp;B$1,'For stats end Y DB'!$A:$G,5,0))</f>
        <v>8</v>
      </c>
      <c r="C94">
        <f>IF(ISNA(VLOOKUP($A94&amp;C$1,'For stats end Y DB'!$A:$G,5,0)),0,VLOOKUP($A94&amp;C$1,'For stats end Y DB'!$A:$G,5,0))</f>
        <v>0</v>
      </c>
      <c r="D94">
        <f>IF(ISNA(VLOOKUP($A94&amp;D$1,'For stats end Y DB'!$A:$G,5,0)),0,VLOOKUP($A94&amp;D$1,'For stats end Y DB'!$A:$G,5,0))</f>
        <v>0</v>
      </c>
      <c r="E94">
        <f>IF(ISNA(VLOOKUP($A94&amp;E$1,'For stats end Y DB'!$A:$G,5,0)),0,VLOOKUP($A94&amp;E$1,'For stats end Y DB'!$A:$G,5,0))</f>
        <v>9</v>
      </c>
      <c r="F94">
        <f>IF(ISNA(VLOOKUP($A94&amp;F$1,'For stats end Y DB'!$A:$G,5,0)),0,VLOOKUP($A94&amp;F$1,'For stats end Y DB'!$A:$G,5,0))</f>
        <v>1</v>
      </c>
      <c r="G94">
        <f>IF(ISNA(VLOOKUP($A94&amp;G$1,'For stats end Y DB'!$A:$G,5,0)),0,VLOOKUP($A94&amp;G$1,'For stats end Y DB'!$A:$G,5,0))</f>
        <v>0</v>
      </c>
      <c r="H94">
        <f>IF(ISNA(VLOOKUP($A94&amp;H$1,'For stats end Y DB'!$A:$G,5,0)),0,VLOOKUP($A94&amp;H$1,'For stats end Y DB'!$A:$G,5,0))</f>
        <v>8</v>
      </c>
      <c r="I94">
        <f>IF(ISNA(VLOOKUP($A94&amp;I$1,'For stats end Y DB'!$A:$G,5,0)),0,VLOOKUP($A94&amp;I$1,'For stats end Y DB'!$A:$G,5,0))</f>
        <v>13</v>
      </c>
      <c r="J94">
        <f>IF(ISNA(VLOOKUP($A94&amp;J$1,'For stats end Y DB'!$A:$G,5,0)),0,VLOOKUP($A94&amp;J$1,'For stats end Y DB'!$A:$G,5,0))</f>
        <v>12</v>
      </c>
      <c r="K94">
        <f>IF(ISNA(VLOOKUP($A94&amp;K$1,'For stats end Y DB'!$A:$G,5,0)),0,VLOOKUP($A94&amp;K$1,'For stats end Y DB'!$A:$G,5,0))</f>
        <v>8</v>
      </c>
      <c r="L94">
        <f>IF(ISNA(VLOOKUP($A94&amp;L$1,'For stats end Y DB'!$A:$G,5,0)),0,VLOOKUP($A94&amp;L$1,'For stats end Y DB'!$A:$G,5,0))</f>
        <v>12</v>
      </c>
      <c r="M94">
        <f>IF(ISNA(VLOOKUP($A94&amp;M$1,'For stats end Y DB'!$A:$G,5,0)),0,VLOOKUP($A94&amp;M$1,'For stats end Y DB'!$A:$G,5,0))</f>
        <v>0</v>
      </c>
      <c r="N94">
        <f>IF(ISNA(VLOOKUP($A94&amp;N$1,'For stats end Y DB'!$A:$G,5,0)),0,VLOOKUP($A94&amp;N$1,'For stats end Y DB'!$A:$G,5,0))</f>
        <v>0</v>
      </c>
      <c r="O94">
        <f>IF(ISNA(VLOOKUP($A94&amp;O$1,'For stats end Y DB'!$A:$G,5,0)),0,VLOOKUP($A94&amp;O$1,'For stats end Y DB'!$A:$G,5,0))</f>
        <v>1</v>
      </c>
      <c r="P94">
        <f>IF(ISNA(VLOOKUP($A94&amp;P$1,'For stats end Y DB'!$A:$G,5,0)),0,VLOOKUP($A94&amp;P$1,'For stats end Y DB'!$A:$G,5,0))</f>
        <v>5</v>
      </c>
      <c r="Q94">
        <f>IF(ISNA(VLOOKUP($A94&amp;Q$1,'For stats end Y DB'!$A:$G,5,0)),0,VLOOKUP($A94&amp;Q$1,'For stats end Y DB'!$A:$G,5,0))</f>
        <v>3</v>
      </c>
      <c r="R94">
        <f>IF(ISNA(VLOOKUP($A94&amp;R$1,'For stats end Y DB'!$A:$G,5,0)),0,VLOOKUP($A94&amp;R$1,'For stats end Y DB'!$A:$G,5,0))</f>
        <v>5</v>
      </c>
      <c r="S94">
        <f>IF(ISNA(VLOOKUP($A94&amp;S$1,'For stats end Y DB'!$A:$G,5,0)),0,VLOOKUP($A94&amp;S$1,'For stats end Y DB'!$A:$G,5,0))</f>
        <v>0</v>
      </c>
      <c r="T94">
        <f>IF(ISNA(VLOOKUP($A94&amp;T$1,'For stats end Y DB'!$A:$G,5,0)),0,VLOOKUP($A94&amp;T$1,'For stats end Y DB'!$A:$G,5,0))</f>
        <v>0</v>
      </c>
      <c r="U94">
        <f>IF(ISNA(VLOOKUP($A94&amp;U$1,'For stats end Y DB'!$A:$G,5,0)),0,VLOOKUP($A94&amp;U$1,'For stats end Y DB'!$A:$G,5,0))</f>
        <v>8</v>
      </c>
      <c r="V94">
        <f>IF(ISNA(VLOOKUP($A94&amp;V$1,'For stats end Y DB'!$A:$G,5,0)),0,VLOOKUP($A94&amp;V$1,'For stats end Y DB'!$A:$G,5,0))</f>
        <v>0</v>
      </c>
      <c r="W94">
        <f>IF(ISNA(VLOOKUP($A94&amp;W$1,'For stats end Y DB'!$A:$G,5,0)),0,VLOOKUP($A94&amp;W$1,'For stats end Y DB'!$A:$G,5,0))</f>
        <v>1</v>
      </c>
      <c r="X94">
        <f>IF(ISNA(VLOOKUP($A94&amp;X$1,'For stats end Y DB'!$A:$G,5,0)),0,VLOOKUP($A94&amp;X$1,'For stats end Y DB'!$A:$G,5,0))</f>
        <v>0</v>
      </c>
      <c r="Y94">
        <f>IF(ISNA(VLOOKUP($A94&amp;Y$1,'For stats end Y DB'!$A:$G,5,0)),0,VLOOKUP($A94&amp;Y$1,'For stats end Y DB'!$A:$G,5,0))</f>
        <v>5</v>
      </c>
      <c r="Z94">
        <f>IF(ISNA(VLOOKUP($A94&amp;Z$1,'For stats end Y DB'!$A:$G,5,0)),0,VLOOKUP($A94&amp;Z$1,'For stats end Y DB'!$A:$G,5,0))</f>
        <v>17</v>
      </c>
      <c r="AA94">
        <f>IF(ISNA(VLOOKUP($A94&amp;AA$1,'For stats end Y DB'!$A:$G,5,0)),0,VLOOKUP($A94&amp;AA$1,'For stats end Y DB'!$A:$G,5,0))</f>
        <v>4</v>
      </c>
      <c r="AB94">
        <f>IF(ISNA(VLOOKUP($A94&amp;AB$1,'For stats end Y DB'!$A:$G,5,0)),0,VLOOKUP($A94&amp;AB$1,'For stats end Y DB'!$A:$G,5,0))</f>
        <v>1</v>
      </c>
      <c r="AC94">
        <f>IF(ISNA(VLOOKUP($A94&amp;AC$1,'For stats end Y DB'!$A:$G,5,0)),0,VLOOKUP($A94&amp;AC$1,'For stats end Y DB'!$A:$G,5,0))</f>
        <v>2</v>
      </c>
      <c r="AD94">
        <f>IF(ISNA(VLOOKUP($A94&amp;AD$1,'For stats end Y DB'!$A:$G,5,0)),0,VLOOKUP($A94&amp;AD$1,'For stats end Y DB'!$A:$G,5,0))</f>
        <v>16</v>
      </c>
      <c r="AE94">
        <f>IF(ISNA(VLOOKUP($A94&amp;AE$1,'For stats end Y DB'!$A:$G,5,0)),0,VLOOKUP($A94&amp;AE$1,'For stats end Y DB'!$A:$G,5,0))</f>
        <v>0</v>
      </c>
      <c r="AF94">
        <f>IF(ISNA(VLOOKUP($A94&amp;AF$1,'For stats end Y DB'!$A:$G,5,0)),0,VLOOKUP($A94&amp;AF$1,'For stats end Y DB'!$A:$G,5,0))</f>
        <v>0</v>
      </c>
      <c r="AG94">
        <f>IF(ISNA(VLOOKUP($A94&amp;AG$1,'For stats end Y DB'!$A:$G,5,0)),0,VLOOKUP($A94&amp;AG$1,'For stats end Y DB'!$A:$G,5,0))</f>
        <v>0</v>
      </c>
      <c r="AH94">
        <f>IF(ISNA(VLOOKUP($A94&amp;AH$1,'For stats end Y DB'!$A:$G,5,0)),0,VLOOKUP($A94&amp;AH$1,'For stats end Y DB'!$A:$G,5,0))</f>
        <v>0</v>
      </c>
      <c r="AI94">
        <f>IF(ISNA(VLOOKUP($A94&amp;AI$1,'For stats end Y DB'!$A:$G,5,0)),0,VLOOKUP($A94&amp;AI$1,'For stats end Y DB'!$A:$G,5,0))</f>
        <v>0</v>
      </c>
      <c r="AJ94">
        <f>IF(ISNA(VLOOKUP($A94&amp;AJ$1,'For stats end Y DB'!$A:$G,5,0)),0,VLOOKUP($A94&amp;AJ$1,'For stats end Y DB'!$A:$G,5,0))</f>
        <v>0</v>
      </c>
      <c r="AK94">
        <f>IF(ISNA(VLOOKUP($A94&amp;AK$1,'For stats end Y DB'!$A:$G,5,0)),0,VLOOKUP($A94&amp;AK$1,'For stats end Y DB'!$A:$G,5,0))</f>
        <v>0</v>
      </c>
      <c r="AL94">
        <f>IF(ISNA(VLOOKUP($A94&amp;AL$1,'For stats end Y DB'!$A:$G,5,0)),0,VLOOKUP($A94&amp;AL$1,'For stats end Y DB'!$A:$G,5,0))</f>
        <v>0</v>
      </c>
      <c r="AM94">
        <f>IF(ISNA(VLOOKUP($A94&amp;AM$1,'For stats end Y DB'!$A:$G,5,0)),0,VLOOKUP($A94&amp;AM$1,'For stats end Y DB'!$A:$G,5,0))</f>
        <v>0</v>
      </c>
      <c r="AN94">
        <f>IF(ISNA(VLOOKUP($A94&amp;AN$1,'For stats end Y DB'!$A:$G,5,0)),0,VLOOKUP($A94&amp;AN$1,'For stats end Y DB'!$A:$G,5,0))</f>
        <v>0</v>
      </c>
    </row>
    <row r="95" spans="1:40" x14ac:dyDescent="0.2">
      <c r="A95" t="str">
        <f>'For stats end Y class'!A95</f>
        <v>Tenko</v>
      </c>
      <c r="B95">
        <f>IF(ISNA(VLOOKUP($A95&amp;B$1,'For stats end Y DB'!$A:$G,5,0)),0,VLOOKUP($A95&amp;B$1,'For stats end Y DB'!$A:$G,5,0))</f>
        <v>2</v>
      </c>
      <c r="C95">
        <f>IF(ISNA(VLOOKUP($A95&amp;C$1,'For stats end Y DB'!$A:$G,5,0)),0,VLOOKUP($A95&amp;C$1,'For stats end Y DB'!$A:$G,5,0))</f>
        <v>12</v>
      </c>
      <c r="D95">
        <f>IF(ISNA(VLOOKUP($A95&amp;D$1,'For stats end Y DB'!$A:$G,5,0)),0,VLOOKUP($A95&amp;D$1,'For stats end Y DB'!$A:$G,5,0))</f>
        <v>12</v>
      </c>
      <c r="E95">
        <f>IF(ISNA(VLOOKUP($A95&amp;E$1,'For stats end Y DB'!$A:$G,5,0)),0,VLOOKUP($A95&amp;E$1,'For stats end Y DB'!$A:$G,5,0))</f>
        <v>5</v>
      </c>
      <c r="F95">
        <f>IF(ISNA(VLOOKUP($A95&amp;F$1,'For stats end Y DB'!$A:$G,5,0)),0,VLOOKUP($A95&amp;F$1,'For stats end Y DB'!$A:$G,5,0))</f>
        <v>13</v>
      </c>
      <c r="G95">
        <f>IF(ISNA(VLOOKUP($A95&amp;G$1,'For stats end Y DB'!$A:$G,5,0)),0,VLOOKUP($A95&amp;G$1,'For stats end Y DB'!$A:$G,5,0))</f>
        <v>9</v>
      </c>
      <c r="H95">
        <f>IF(ISNA(VLOOKUP($A95&amp;H$1,'For stats end Y DB'!$A:$G,5,0)),0,VLOOKUP($A95&amp;H$1,'For stats end Y DB'!$A:$G,5,0))</f>
        <v>0</v>
      </c>
      <c r="I95">
        <f>IF(ISNA(VLOOKUP($A95&amp;I$1,'For stats end Y DB'!$A:$G,5,0)),0,VLOOKUP($A95&amp;I$1,'For stats end Y DB'!$A:$G,5,0))</f>
        <v>0</v>
      </c>
      <c r="J95">
        <f>IF(ISNA(VLOOKUP($A95&amp;J$1,'For stats end Y DB'!$A:$G,5,0)),0,VLOOKUP($A95&amp;J$1,'For stats end Y DB'!$A:$G,5,0))</f>
        <v>1</v>
      </c>
      <c r="K95">
        <f>IF(ISNA(VLOOKUP($A95&amp;K$1,'For stats end Y DB'!$A:$G,5,0)),0,VLOOKUP($A95&amp;K$1,'For stats end Y DB'!$A:$G,5,0))</f>
        <v>2</v>
      </c>
      <c r="L95">
        <f>IF(ISNA(VLOOKUP($A95&amp;L$1,'For stats end Y DB'!$A:$G,5,0)),0,VLOOKUP($A95&amp;L$1,'For stats end Y DB'!$A:$G,5,0))</f>
        <v>7</v>
      </c>
      <c r="M95">
        <f>IF(ISNA(VLOOKUP($A95&amp;M$1,'For stats end Y DB'!$A:$G,5,0)),0,VLOOKUP($A95&amp;M$1,'For stats end Y DB'!$A:$G,5,0))</f>
        <v>16</v>
      </c>
      <c r="N95">
        <f>IF(ISNA(VLOOKUP($A95&amp;N$1,'For stats end Y DB'!$A:$G,5,0)),0,VLOOKUP($A95&amp;N$1,'For stats end Y DB'!$A:$G,5,0))</f>
        <v>2</v>
      </c>
      <c r="O95">
        <f>IF(ISNA(VLOOKUP($A95&amp;O$1,'For stats end Y DB'!$A:$G,5,0)),0,VLOOKUP($A95&amp;O$1,'For stats end Y DB'!$A:$G,5,0))</f>
        <v>0</v>
      </c>
      <c r="P95">
        <f>IF(ISNA(VLOOKUP($A95&amp;P$1,'For stats end Y DB'!$A:$G,5,0)),0,VLOOKUP($A95&amp;P$1,'For stats end Y DB'!$A:$G,5,0))</f>
        <v>12</v>
      </c>
      <c r="Q95">
        <f>IF(ISNA(VLOOKUP($A95&amp;Q$1,'For stats end Y DB'!$A:$G,5,0)),0,VLOOKUP($A95&amp;Q$1,'For stats end Y DB'!$A:$G,5,0))</f>
        <v>1</v>
      </c>
      <c r="R95">
        <f>IF(ISNA(VLOOKUP($A95&amp;R$1,'For stats end Y DB'!$A:$G,5,0)),0,VLOOKUP($A95&amp;R$1,'For stats end Y DB'!$A:$G,5,0))</f>
        <v>2</v>
      </c>
      <c r="S95">
        <f>IF(ISNA(VLOOKUP($A95&amp;S$1,'For stats end Y DB'!$A:$G,5,0)),0,VLOOKUP($A95&amp;S$1,'For stats end Y DB'!$A:$G,5,0))</f>
        <v>1</v>
      </c>
      <c r="T95">
        <f>IF(ISNA(VLOOKUP($A95&amp;T$1,'For stats end Y DB'!$A:$G,5,0)),0,VLOOKUP($A95&amp;T$1,'For stats end Y DB'!$A:$G,5,0))</f>
        <v>8</v>
      </c>
      <c r="U95">
        <f>IF(ISNA(VLOOKUP($A95&amp;U$1,'For stats end Y DB'!$A:$G,5,0)),0,VLOOKUP($A95&amp;U$1,'For stats end Y DB'!$A:$G,5,0))</f>
        <v>4</v>
      </c>
      <c r="V95">
        <f>IF(ISNA(VLOOKUP($A95&amp;V$1,'For stats end Y DB'!$A:$G,5,0)),0,VLOOKUP($A95&amp;V$1,'For stats end Y DB'!$A:$G,5,0))</f>
        <v>2</v>
      </c>
      <c r="W95">
        <f>IF(ISNA(VLOOKUP($A95&amp;W$1,'For stats end Y DB'!$A:$G,5,0)),0,VLOOKUP($A95&amp;W$1,'For stats end Y DB'!$A:$G,5,0))</f>
        <v>0</v>
      </c>
      <c r="X95">
        <f>IF(ISNA(VLOOKUP($A95&amp;X$1,'For stats end Y DB'!$A:$G,5,0)),0,VLOOKUP($A95&amp;X$1,'For stats end Y DB'!$A:$G,5,0))</f>
        <v>3</v>
      </c>
      <c r="Y95">
        <f>IF(ISNA(VLOOKUP($A95&amp;Y$1,'For stats end Y DB'!$A:$G,5,0)),0,VLOOKUP($A95&amp;Y$1,'For stats end Y DB'!$A:$G,5,0))</f>
        <v>3</v>
      </c>
      <c r="Z95">
        <f>IF(ISNA(VLOOKUP($A95&amp;Z$1,'For stats end Y DB'!$A:$G,5,0)),0,VLOOKUP($A95&amp;Z$1,'For stats end Y DB'!$A:$G,5,0))</f>
        <v>8</v>
      </c>
      <c r="AA95">
        <f>IF(ISNA(VLOOKUP($A95&amp;AA$1,'For stats end Y DB'!$A:$G,5,0)),0,VLOOKUP($A95&amp;AA$1,'For stats end Y DB'!$A:$G,5,0))</f>
        <v>0</v>
      </c>
      <c r="AB95">
        <f>IF(ISNA(VLOOKUP($A95&amp;AB$1,'For stats end Y DB'!$A:$G,5,0)),0,VLOOKUP($A95&amp;AB$1,'For stats end Y DB'!$A:$G,5,0))</f>
        <v>1</v>
      </c>
      <c r="AC95">
        <f>IF(ISNA(VLOOKUP($A95&amp;AC$1,'For stats end Y DB'!$A:$G,5,0)),0,VLOOKUP($A95&amp;AC$1,'For stats end Y DB'!$A:$G,5,0))</f>
        <v>16</v>
      </c>
      <c r="AD95">
        <f>IF(ISNA(VLOOKUP($A95&amp;AD$1,'For stats end Y DB'!$A:$G,5,0)),0,VLOOKUP($A95&amp;AD$1,'For stats end Y DB'!$A:$G,5,0))</f>
        <v>4</v>
      </c>
      <c r="AE95">
        <f>IF(ISNA(VLOOKUP($A95&amp;AE$1,'For stats end Y DB'!$A:$G,5,0)),0,VLOOKUP($A95&amp;AE$1,'For stats end Y DB'!$A:$G,5,0))</f>
        <v>17</v>
      </c>
      <c r="AF95">
        <f>IF(ISNA(VLOOKUP($A95&amp;AF$1,'For stats end Y DB'!$A:$G,5,0)),0,VLOOKUP($A95&amp;AF$1,'For stats end Y DB'!$A:$G,5,0))</f>
        <v>1</v>
      </c>
      <c r="AG95">
        <f>IF(ISNA(VLOOKUP($A95&amp;AG$1,'For stats end Y DB'!$A:$G,5,0)),0,VLOOKUP($A95&amp;AG$1,'For stats end Y DB'!$A:$G,5,0))</f>
        <v>16</v>
      </c>
      <c r="AH95">
        <f>IF(ISNA(VLOOKUP($A95&amp;AH$1,'For stats end Y DB'!$A:$G,5,0)),0,VLOOKUP($A95&amp;AH$1,'For stats end Y DB'!$A:$G,5,0))</f>
        <v>16</v>
      </c>
      <c r="AI95">
        <f>IF(ISNA(VLOOKUP($A95&amp;AI$1,'For stats end Y DB'!$A:$G,5,0)),0,VLOOKUP($A95&amp;AI$1,'For stats end Y DB'!$A:$G,5,0))</f>
        <v>0</v>
      </c>
      <c r="AJ95">
        <f>IF(ISNA(VLOOKUP($A95&amp;AJ$1,'For stats end Y DB'!$A:$G,5,0)),0,VLOOKUP($A95&amp;AJ$1,'For stats end Y DB'!$A:$G,5,0))</f>
        <v>0</v>
      </c>
      <c r="AK95">
        <f>IF(ISNA(VLOOKUP($A95&amp;AK$1,'For stats end Y DB'!$A:$G,5,0)),0,VLOOKUP($A95&amp;AK$1,'For stats end Y DB'!$A:$G,5,0))</f>
        <v>0</v>
      </c>
      <c r="AL95">
        <f>IF(ISNA(VLOOKUP($A95&amp;AL$1,'For stats end Y DB'!$A:$G,5,0)),0,VLOOKUP($A95&amp;AL$1,'For stats end Y DB'!$A:$G,5,0))</f>
        <v>0</v>
      </c>
      <c r="AM95">
        <f>IF(ISNA(VLOOKUP($A95&amp;AM$1,'For stats end Y DB'!$A:$G,5,0)),0,VLOOKUP($A95&amp;AM$1,'For stats end Y DB'!$A:$G,5,0))</f>
        <v>0</v>
      </c>
      <c r="AN95">
        <f>IF(ISNA(VLOOKUP($A95&amp;AN$1,'For stats end Y DB'!$A:$G,5,0)),0,VLOOKUP($A95&amp;AN$1,'For stats end Y DB'!$A:$G,5,0))</f>
        <v>0</v>
      </c>
    </row>
    <row r="96" spans="1:40" x14ac:dyDescent="0.2">
      <c r="A96" t="str">
        <f>'For stats end Y class'!A96</f>
        <v>The Hengover</v>
      </c>
      <c r="B96">
        <f>IF(ISNA(VLOOKUP($A96&amp;B$1,'For stats end Y DB'!$A:$G,5,0)),0,VLOOKUP($A96&amp;B$1,'For stats end Y DB'!$A:$G,5,0))</f>
        <v>0</v>
      </c>
      <c r="C96">
        <f>IF(ISNA(VLOOKUP($A96&amp;C$1,'For stats end Y DB'!$A:$G,5,0)),0,VLOOKUP($A96&amp;C$1,'For stats end Y DB'!$A:$G,5,0))</f>
        <v>0</v>
      </c>
      <c r="D96">
        <f>IF(ISNA(VLOOKUP($A96&amp;D$1,'For stats end Y DB'!$A:$G,5,0)),0,VLOOKUP($A96&amp;D$1,'For stats end Y DB'!$A:$G,5,0))</f>
        <v>4</v>
      </c>
      <c r="E96">
        <f>IF(ISNA(VLOOKUP($A96&amp;E$1,'For stats end Y DB'!$A:$G,5,0)),0,VLOOKUP($A96&amp;E$1,'For stats end Y DB'!$A:$G,5,0))</f>
        <v>9</v>
      </c>
      <c r="F96">
        <f>IF(ISNA(VLOOKUP($A96&amp;F$1,'For stats end Y DB'!$A:$G,5,0)),0,VLOOKUP($A96&amp;F$1,'For stats end Y DB'!$A:$G,5,0))</f>
        <v>13</v>
      </c>
      <c r="G96">
        <f>IF(ISNA(VLOOKUP($A96&amp;G$1,'For stats end Y DB'!$A:$G,5,0)),0,VLOOKUP($A96&amp;G$1,'For stats end Y DB'!$A:$G,5,0))</f>
        <v>13</v>
      </c>
      <c r="H96">
        <f>IF(ISNA(VLOOKUP($A96&amp;H$1,'For stats end Y DB'!$A:$G,5,0)),0,VLOOKUP($A96&amp;H$1,'For stats end Y DB'!$A:$G,5,0))</f>
        <v>17</v>
      </c>
      <c r="I96">
        <f>IF(ISNA(VLOOKUP($A96&amp;I$1,'For stats end Y DB'!$A:$G,5,0)),0,VLOOKUP($A96&amp;I$1,'For stats end Y DB'!$A:$G,5,0))</f>
        <v>9</v>
      </c>
      <c r="J96">
        <f>IF(ISNA(VLOOKUP($A96&amp;J$1,'For stats end Y DB'!$A:$G,5,0)),0,VLOOKUP($A96&amp;J$1,'For stats end Y DB'!$A:$G,5,0))</f>
        <v>13</v>
      </c>
      <c r="K96">
        <f>IF(ISNA(VLOOKUP($A96&amp;K$1,'For stats end Y DB'!$A:$G,5,0)),0,VLOOKUP($A96&amp;K$1,'For stats end Y DB'!$A:$G,5,0))</f>
        <v>16</v>
      </c>
      <c r="L96">
        <f>IF(ISNA(VLOOKUP($A96&amp;L$1,'For stats end Y DB'!$A:$G,5,0)),0,VLOOKUP($A96&amp;L$1,'For stats end Y DB'!$A:$G,5,0))</f>
        <v>2</v>
      </c>
      <c r="M96">
        <f>IF(ISNA(VLOOKUP($A96&amp;M$1,'For stats end Y DB'!$A:$G,5,0)),0,VLOOKUP($A96&amp;M$1,'For stats end Y DB'!$A:$G,5,0))</f>
        <v>1</v>
      </c>
      <c r="N96">
        <f>IF(ISNA(VLOOKUP($A96&amp;N$1,'For stats end Y DB'!$A:$G,5,0)),0,VLOOKUP($A96&amp;N$1,'For stats end Y DB'!$A:$G,5,0))</f>
        <v>0</v>
      </c>
      <c r="O96">
        <f>IF(ISNA(VLOOKUP($A96&amp;O$1,'For stats end Y DB'!$A:$G,5,0)),0,VLOOKUP($A96&amp;O$1,'For stats end Y DB'!$A:$G,5,0))</f>
        <v>17</v>
      </c>
      <c r="P96">
        <f>IF(ISNA(VLOOKUP($A96&amp;P$1,'For stats end Y DB'!$A:$G,5,0)),0,VLOOKUP($A96&amp;P$1,'For stats end Y DB'!$A:$G,5,0))</f>
        <v>3</v>
      </c>
      <c r="Q96">
        <f>IF(ISNA(VLOOKUP($A96&amp;Q$1,'For stats end Y DB'!$A:$G,5,0)),0,VLOOKUP($A96&amp;Q$1,'For stats end Y DB'!$A:$G,5,0))</f>
        <v>0</v>
      </c>
      <c r="R96">
        <f>IF(ISNA(VLOOKUP($A96&amp;R$1,'For stats end Y DB'!$A:$G,5,0)),0,VLOOKUP($A96&amp;R$1,'For stats end Y DB'!$A:$G,5,0))</f>
        <v>0</v>
      </c>
      <c r="S96">
        <f>IF(ISNA(VLOOKUP($A96&amp;S$1,'For stats end Y DB'!$A:$G,5,0)),0,VLOOKUP($A96&amp;S$1,'For stats end Y DB'!$A:$G,5,0))</f>
        <v>0</v>
      </c>
      <c r="T96">
        <f>IF(ISNA(VLOOKUP($A96&amp;T$1,'For stats end Y DB'!$A:$G,5,0)),0,VLOOKUP($A96&amp;T$1,'For stats end Y DB'!$A:$G,5,0))</f>
        <v>16</v>
      </c>
      <c r="U96">
        <f>IF(ISNA(VLOOKUP($A96&amp;U$1,'For stats end Y DB'!$A:$G,5,0)),0,VLOOKUP($A96&amp;U$1,'For stats end Y DB'!$A:$G,5,0))</f>
        <v>0</v>
      </c>
      <c r="V96">
        <f>IF(ISNA(VLOOKUP($A96&amp;V$1,'For stats end Y DB'!$A:$G,5,0)),0,VLOOKUP($A96&amp;V$1,'For stats end Y DB'!$A:$G,5,0))</f>
        <v>0</v>
      </c>
      <c r="W96">
        <f>IF(ISNA(VLOOKUP($A96&amp;W$1,'For stats end Y DB'!$A:$G,5,0)),0,VLOOKUP($A96&amp;W$1,'For stats end Y DB'!$A:$G,5,0))</f>
        <v>0</v>
      </c>
      <c r="X96">
        <f>IF(ISNA(VLOOKUP($A96&amp;X$1,'For stats end Y DB'!$A:$G,5,0)),0,VLOOKUP($A96&amp;X$1,'For stats end Y DB'!$A:$G,5,0))</f>
        <v>0</v>
      </c>
      <c r="Y96">
        <f>IF(ISNA(VLOOKUP($A96&amp;Y$1,'For stats end Y DB'!$A:$G,5,0)),0,VLOOKUP($A96&amp;Y$1,'For stats end Y DB'!$A:$G,5,0))</f>
        <v>0</v>
      </c>
      <c r="Z96">
        <f>IF(ISNA(VLOOKUP($A96&amp;Z$1,'For stats end Y DB'!$A:$G,5,0)),0,VLOOKUP($A96&amp;Z$1,'For stats end Y DB'!$A:$G,5,0))</f>
        <v>0</v>
      </c>
      <c r="AA96">
        <f>IF(ISNA(VLOOKUP($A96&amp;AA$1,'For stats end Y DB'!$A:$G,5,0)),0,VLOOKUP($A96&amp;AA$1,'For stats end Y DB'!$A:$G,5,0))</f>
        <v>0</v>
      </c>
      <c r="AB96">
        <f>IF(ISNA(VLOOKUP($A96&amp;AB$1,'For stats end Y DB'!$A:$G,5,0)),0,VLOOKUP($A96&amp;AB$1,'For stats end Y DB'!$A:$G,5,0))</f>
        <v>0</v>
      </c>
      <c r="AC96">
        <f>IF(ISNA(VLOOKUP($A96&amp;AC$1,'For stats end Y DB'!$A:$G,5,0)),0,VLOOKUP($A96&amp;AC$1,'For stats end Y DB'!$A:$G,5,0))</f>
        <v>4</v>
      </c>
      <c r="AD96">
        <f>IF(ISNA(VLOOKUP($A96&amp;AD$1,'For stats end Y DB'!$A:$G,5,0)),0,VLOOKUP($A96&amp;AD$1,'For stats end Y DB'!$A:$G,5,0))</f>
        <v>12</v>
      </c>
      <c r="AE96">
        <f>IF(ISNA(VLOOKUP($A96&amp;AE$1,'For stats end Y DB'!$A:$G,5,0)),0,VLOOKUP($A96&amp;AE$1,'For stats end Y DB'!$A:$G,5,0))</f>
        <v>8</v>
      </c>
      <c r="AF96">
        <f>IF(ISNA(VLOOKUP($A96&amp;AF$1,'For stats end Y DB'!$A:$G,5,0)),0,VLOOKUP($A96&amp;AF$1,'For stats end Y DB'!$A:$G,5,0))</f>
        <v>0</v>
      </c>
      <c r="AG96">
        <f>IF(ISNA(VLOOKUP($A96&amp;AG$1,'For stats end Y DB'!$A:$G,5,0)),0,VLOOKUP($A96&amp;AG$1,'For stats end Y DB'!$A:$G,5,0))</f>
        <v>16</v>
      </c>
      <c r="AH96">
        <f>IF(ISNA(VLOOKUP($A96&amp;AH$1,'For stats end Y DB'!$A:$G,5,0)),0,VLOOKUP($A96&amp;AH$1,'For stats end Y DB'!$A:$G,5,0))</f>
        <v>0</v>
      </c>
      <c r="AI96">
        <f>IF(ISNA(VLOOKUP($A96&amp;AI$1,'For stats end Y DB'!$A:$G,5,0)),0,VLOOKUP($A96&amp;AI$1,'For stats end Y DB'!$A:$G,5,0))</f>
        <v>0</v>
      </c>
      <c r="AJ96">
        <f>IF(ISNA(VLOOKUP($A96&amp;AJ$1,'For stats end Y DB'!$A:$G,5,0)),0,VLOOKUP($A96&amp;AJ$1,'For stats end Y DB'!$A:$G,5,0))</f>
        <v>0</v>
      </c>
      <c r="AK96">
        <f>IF(ISNA(VLOOKUP($A96&amp;AK$1,'For stats end Y DB'!$A:$G,5,0)),0,VLOOKUP($A96&amp;AK$1,'For stats end Y DB'!$A:$G,5,0))</f>
        <v>0</v>
      </c>
      <c r="AL96">
        <f>IF(ISNA(VLOOKUP($A96&amp;AL$1,'For stats end Y DB'!$A:$G,5,0)),0,VLOOKUP($A96&amp;AL$1,'For stats end Y DB'!$A:$G,5,0))</f>
        <v>0</v>
      </c>
      <c r="AM96">
        <f>IF(ISNA(VLOOKUP($A96&amp;AM$1,'For stats end Y DB'!$A:$G,5,0)),0,VLOOKUP($A96&amp;AM$1,'For stats end Y DB'!$A:$G,5,0))</f>
        <v>0</v>
      </c>
      <c r="AN96">
        <f>IF(ISNA(VLOOKUP($A96&amp;AN$1,'For stats end Y DB'!$A:$G,5,0)),0,VLOOKUP($A96&amp;AN$1,'For stats end Y DB'!$A:$G,5,0))</f>
        <v>0</v>
      </c>
    </row>
    <row r="97" spans="1:40" x14ac:dyDescent="0.2">
      <c r="A97" t="str">
        <f>'For stats end Y class'!A97</f>
        <v>TheRealWill</v>
      </c>
      <c r="B97">
        <f>IF(ISNA(VLOOKUP($A97&amp;B$1,'For stats end Y DB'!$A:$G,5,0)),0,VLOOKUP($A97&amp;B$1,'For stats end Y DB'!$A:$G,5,0))</f>
        <v>0</v>
      </c>
      <c r="C97">
        <f>IF(ISNA(VLOOKUP($A97&amp;C$1,'For stats end Y DB'!$A:$G,5,0)),0,VLOOKUP($A97&amp;C$1,'For stats end Y DB'!$A:$G,5,0))</f>
        <v>0</v>
      </c>
      <c r="D97">
        <f>IF(ISNA(VLOOKUP($A97&amp;D$1,'For stats end Y DB'!$A:$G,5,0)),0,VLOOKUP($A97&amp;D$1,'For stats end Y DB'!$A:$G,5,0))</f>
        <v>4</v>
      </c>
      <c r="E97">
        <f>IF(ISNA(VLOOKUP($A97&amp;E$1,'For stats end Y DB'!$A:$G,5,0)),0,VLOOKUP($A97&amp;E$1,'For stats end Y DB'!$A:$G,5,0))</f>
        <v>1</v>
      </c>
      <c r="F97">
        <f>IF(ISNA(VLOOKUP($A97&amp;F$1,'For stats end Y DB'!$A:$G,5,0)),0,VLOOKUP($A97&amp;F$1,'For stats end Y DB'!$A:$G,5,0))</f>
        <v>0</v>
      </c>
      <c r="G97">
        <f>IF(ISNA(VLOOKUP($A97&amp;G$1,'For stats end Y DB'!$A:$G,5,0)),0,VLOOKUP($A97&amp;G$1,'For stats end Y DB'!$A:$G,5,0))</f>
        <v>17</v>
      </c>
      <c r="H97">
        <f>IF(ISNA(VLOOKUP($A97&amp;H$1,'For stats end Y DB'!$A:$G,5,0)),0,VLOOKUP($A97&amp;H$1,'For stats end Y DB'!$A:$G,5,0))</f>
        <v>16</v>
      </c>
      <c r="I97">
        <f>IF(ISNA(VLOOKUP($A97&amp;I$1,'For stats end Y DB'!$A:$G,5,0)),0,VLOOKUP($A97&amp;I$1,'For stats end Y DB'!$A:$G,5,0))</f>
        <v>2</v>
      </c>
      <c r="J97">
        <f>IF(ISNA(VLOOKUP($A97&amp;J$1,'For stats end Y DB'!$A:$G,5,0)),0,VLOOKUP($A97&amp;J$1,'For stats end Y DB'!$A:$G,5,0))</f>
        <v>2</v>
      </c>
      <c r="K97">
        <f>IF(ISNA(VLOOKUP($A97&amp;K$1,'For stats end Y DB'!$A:$G,5,0)),0,VLOOKUP($A97&amp;K$1,'For stats end Y DB'!$A:$G,5,0))</f>
        <v>15</v>
      </c>
      <c r="L97">
        <f>IF(ISNA(VLOOKUP($A97&amp;L$1,'For stats end Y DB'!$A:$G,5,0)),0,VLOOKUP($A97&amp;L$1,'For stats end Y DB'!$A:$G,5,0))</f>
        <v>12</v>
      </c>
      <c r="M97">
        <f>IF(ISNA(VLOOKUP($A97&amp;M$1,'For stats end Y DB'!$A:$G,5,0)),0,VLOOKUP($A97&amp;M$1,'For stats end Y DB'!$A:$G,5,0))</f>
        <v>13</v>
      </c>
      <c r="N97">
        <f>IF(ISNA(VLOOKUP($A97&amp;N$1,'For stats end Y DB'!$A:$G,5,0)),0,VLOOKUP($A97&amp;N$1,'For stats end Y DB'!$A:$G,5,0))</f>
        <v>16</v>
      </c>
      <c r="O97">
        <f>IF(ISNA(VLOOKUP($A97&amp;O$1,'For stats end Y DB'!$A:$G,5,0)),0,VLOOKUP($A97&amp;O$1,'For stats end Y DB'!$A:$G,5,0))</f>
        <v>1</v>
      </c>
      <c r="P97">
        <f>IF(ISNA(VLOOKUP($A97&amp;P$1,'For stats end Y DB'!$A:$G,5,0)),0,VLOOKUP($A97&amp;P$1,'For stats end Y DB'!$A:$G,5,0))</f>
        <v>0</v>
      </c>
      <c r="Q97">
        <f>IF(ISNA(VLOOKUP($A97&amp;Q$1,'For stats end Y DB'!$A:$G,5,0)),0,VLOOKUP($A97&amp;Q$1,'For stats end Y DB'!$A:$G,5,0))</f>
        <v>0</v>
      </c>
      <c r="R97">
        <f>IF(ISNA(VLOOKUP($A97&amp;R$1,'For stats end Y DB'!$A:$G,5,0)),0,VLOOKUP($A97&amp;R$1,'For stats end Y DB'!$A:$G,5,0))</f>
        <v>2</v>
      </c>
      <c r="S97">
        <f>IF(ISNA(VLOOKUP($A97&amp;S$1,'For stats end Y DB'!$A:$G,5,0)),0,VLOOKUP($A97&amp;S$1,'For stats end Y DB'!$A:$G,5,0))</f>
        <v>3</v>
      </c>
      <c r="T97">
        <f>IF(ISNA(VLOOKUP($A97&amp;T$1,'For stats end Y DB'!$A:$G,5,0)),0,VLOOKUP($A97&amp;T$1,'For stats end Y DB'!$A:$G,5,0))</f>
        <v>0</v>
      </c>
      <c r="U97">
        <f>IF(ISNA(VLOOKUP($A97&amp;U$1,'For stats end Y DB'!$A:$G,5,0)),0,VLOOKUP($A97&amp;U$1,'For stats end Y DB'!$A:$G,5,0))</f>
        <v>1</v>
      </c>
      <c r="V97">
        <f>IF(ISNA(VLOOKUP($A97&amp;V$1,'For stats end Y DB'!$A:$G,5,0)),0,VLOOKUP($A97&amp;V$1,'For stats end Y DB'!$A:$G,5,0))</f>
        <v>2</v>
      </c>
      <c r="W97">
        <f>IF(ISNA(VLOOKUP($A97&amp;W$1,'For stats end Y DB'!$A:$G,5,0)),0,VLOOKUP($A97&amp;W$1,'For stats end Y DB'!$A:$G,5,0))</f>
        <v>16</v>
      </c>
      <c r="X97">
        <f>IF(ISNA(VLOOKUP($A97&amp;X$1,'For stats end Y DB'!$A:$G,5,0)),0,VLOOKUP($A97&amp;X$1,'For stats end Y DB'!$A:$G,5,0))</f>
        <v>13</v>
      </c>
      <c r="Y97">
        <f>IF(ISNA(VLOOKUP($A97&amp;Y$1,'For stats end Y DB'!$A:$G,5,0)),0,VLOOKUP($A97&amp;Y$1,'For stats end Y DB'!$A:$G,5,0))</f>
        <v>5</v>
      </c>
      <c r="Z97">
        <f>IF(ISNA(VLOOKUP($A97&amp;Z$1,'For stats end Y DB'!$A:$G,5,0)),0,VLOOKUP($A97&amp;Z$1,'For stats end Y DB'!$A:$G,5,0))</f>
        <v>17</v>
      </c>
      <c r="AA97">
        <f>IF(ISNA(VLOOKUP($A97&amp;AA$1,'For stats end Y DB'!$A:$G,5,0)),0,VLOOKUP($A97&amp;AA$1,'For stats end Y DB'!$A:$G,5,0))</f>
        <v>4</v>
      </c>
      <c r="AB97">
        <f>IF(ISNA(VLOOKUP($A97&amp;AB$1,'For stats end Y DB'!$A:$G,5,0)),0,VLOOKUP($A97&amp;AB$1,'For stats end Y DB'!$A:$G,5,0))</f>
        <v>3</v>
      </c>
      <c r="AC97">
        <f>IF(ISNA(VLOOKUP($A97&amp;AC$1,'For stats end Y DB'!$A:$G,5,0)),0,VLOOKUP($A97&amp;AC$1,'For stats end Y DB'!$A:$G,5,0))</f>
        <v>3</v>
      </c>
      <c r="AD97">
        <f>IF(ISNA(VLOOKUP($A97&amp;AD$1,'For stats end Y DB'!$A:$G,5,0)),0,VLOOKUP($A97&amp;AD$1,'For stats end Y DB'!$A:$G,5,0))</f>
        <v>8</v>
      </c>
      <c r="AE97">
        <f>IF(ISNA(VLOOKUP($A97&amp;AE$1,'For stats end Y DB'!$A:$G,5,0)),0,VLOOKUP($A97&amp;AE$1,'For stats end Y DB'!$A:$G,5,0))</f>
        <v>2</v>
      </c>
      <c r="AF97">
        <f>IF(ISNA(VLOOKUP($A97&amp;AF$1,'For stats end Y DB'!$A:$G,5,0)),0,VLOOKUP($A97&amp;AF$1,'For stats end Y DB'!$A:$G,5,0))</f>
        <v>1</v>
      </c>
      <c r="AG97">
        <f>IF(ISNA(VLOOKUP($A97&amp;AG$1,'For stats end Y DB'!$A:$G,5,0)),0,VLOOKUP($A97&amp;AG$1,'For stats end Y DB'!$A:$G,5,0))</f>
        <v>4</v>
      </c>
      <c r="AH97">
        <f>IF(ISNA(VLOOKUP($A97&amp;AH$1,'For stats end Y DB'!$A:$G,5,0)),0,VLOOKUP($A97&amp;AH$1,'For stats end Y DB'!$A:$G,5,0))</f>
        <v>16</v>
      </c>
      <c r="AI97">
        <f>IF(ISNA(VLOOKUP($A97&amp;AI$1,'For stats end Y DB'!$A:$G,5,0)),0,VLOOKUP($A97&amp;AI$1,'For stats end Y DB'!$A:$G,5,0))</f>
        <v>0</v>
      </c>
      <c r="AJ97">
        <f>IF(ISNA(VLOOKUP($A97&amp;AJ$1,'For stats end Y DB'!$A:$G,5,0)),0,VLOOKUP($A97&amp;AJ$1,'For stats end Y DB'!$A:$G,5,0))</f>
        <v>0</v>
      </c>
      <c r="AK97">
        <f>IF(ISNA(VLOOKUP($A97&amp;AK$1,'For stats end Y DB'!$A:$G,5,0)),0,VLOOKUP($A97&amp;AK$1,'For stats end Y DB'!$A:$G,5,0))</f>
        <v>0</v>
      </c>
      <c r="AL97">
        <f>IF(ISNA(VLOOKUP($A97&amp;AL$1,'For stats end Y DB'!$A:$G,5,0)),0,VLOOKUP($A97&amp;AL$1,'For stats end Y DB'!$A:$G,5,0))</f>
        <v>0</v>
      </c>
      <c r="AM97">
        <f>IF(ISNA(VLOOKUP($A97&amp;AM$1,'For stats end Y DB'!$A:$G,5,0)),0,VLOOKUP($A97&amp;AM$1,'For stats end Y DB'!$A:$G,5,0))</f>
        <v>0</v>
      </c>
      <c r="AN97">
        <f>IF(ISNA(VLOOKUP($A97&amp;AN$1,'For stats end Y DB'!$A:$G,5,0)),0,VLOOKUP($A97&amp;AN$1,'For stats end Y DB'!$A:$G,5,0))</f>
        <v>0</v>
      </c>
    </row>
    <row r="98" spans="1:40" x14ac:dyDescent="0.2">
      <c r="A98" t="str">
        <f>'For stats end Y class'!A98</f>
        <v>Thibaultp75</v>
      </c>
      <c r="B98">
        <f>IF(ISNA(VLOOKUP($A98&amp;B$1,'For stats end Y DB'!$A:$G,5,0)),0,VLOOKUP($A98&amp;B$1,'For stats end Y DB'!$A:$G,5,0))</f>
        <v>2</v>
      </c>
      <c r="C98">
        <f>IF(ISNA(VLOOKUP($A98&amp;C$1,'For stats end Y DB'!$A:$G,5,0)),0,VLOOKUP($A98&amp;C$1,'For stats end Y DB'!$A:$G,5,0))</f>
        <v>17</v>
      </c>
      <c r="D98">
        <f>IF(ISNA(VLOOKUP($A98&amp;D$1,'For stats end Y DB'!$A:$G,5,0)),0,VLOOKUP($A98&amp;D$1,'For stats end Y DB'!$A:$G,5,0))</f>
        <v>1</v>
      </c>
      <c r="E98">
        <f>IF(ISNA(VLOOKUP($A98&amp;E$1,'For stats end Y DB'!$A:$G,5,0)),0,VLOOKUP($A98&amp;E$1,'For stats end Y DB'!$A:$G,5,0))</f>
        <v>1</v>
      </c>
      <c r="F98">
        <f>IF(ISNA(VLOOKUP($A98&amp;F$1,'For stats end Y DB'!$A:$G,5,0)),0,VLOOKUP($A98&amp;F$1,'For stats end Y DB'!$A:$G,5,0))</f>
        <v>1</v>
      </c>
      <c r="G98">
        <f>IF(ISNA(VLOOKUP($A98&amp;G$1,'For stats end Y DB'!$A:$G,5,0)),0,VLOOKUP($A98&amp;G$1,'For stats end Y DB'!$A:$G,5,0))</f>
        <v>9</v>
      </c>
      <c r="H98">
        <f>IF(ISNA(VLOOKUP($A98&amp;H$1,'For stats end Y DB'!$A:$G,5,0)),0,VLOOKUP($A98&amp;H$1,'For stats end Y DB'!$A:$G,5,0))</f>
        <v>0</v>
      </c>
      <c r="I98">
        <f>IF(ISNA(VLOOKUP($A98&amp;I$1,'For stats end Y DB'!$A:$G,5,0)),0,VLOOKUP($A98&amp;I$1,'For stats end Y DB'!$A:$G,5,0))</f>
        <v>12</v>
      </c>
      <c r="J98">
        <f>IF(ISNA(VLOOKUP($A98&amp;J$1,'For stats end Y DB'!$A:$G,5,0)),0,VLOOKUP($A98&amp;J$1,'For stats end Y DB'!$A:$G,5,0))</f>
        <v>1</v>
      </c>
      <c r="K98">
        <f>IF(ISNA(VLOOKUP($A98&amp;K$1,'For stats end Y DB'!$A:$G,5,0)),0,VLOOKUP($A98&amp;K$1,'For stats end Y DB'!$A:$G,5,0))</f>
        <v>1</v>
      </c>
      <c r="L98">
        <f>IF(ISNA(VLOOKUP($A98&amp;L$1,'For stats end Y DB'!$A:$G,5,0)),0,VLOOKUP($A98&amp;L$1,'For stats end Y DB'!$A:$G,5,0))</f>
        <v>1</v>
      </c>
      <c r="M98">
        <f>IF(ISNA(VLOOKUP($A98&amp;M$1,'For stats end Y DB'!$A:$G,5,0)),0,VLOOKUP($A98&amp;M$1,'For stats end Y DB'!$A:$G,5,0))</f>
        <v>2</v>
      </c>
      <c r="N98">
        <f>IF(ISNA(VLOOKUP($A98&amp;N$1,'For stats end Y DB'!$A:$G,5,0)),0,VLOOKUP($A98&amp;N$1,'For stats end Y DB'!$A:$G,5,0))</f>
        <v>12</v>
      </c>
      <c r="O98">
        <f>IF(ISNA(VLOOKUP($A98&amp;O$1,'For stats end Y DB'!$A:$G,5,0)),0,VLOOKUP($A98&amp;O$1,'For stats end Y DB'!$A:$G,5,0))</f>
        <v>16</v>
      </c>
      <c r="P98">
        <f>IF(ISNA(VLOOKUP($A98&amp;P$1,'For stats end Y DB'!$A:$G,5,0)),0,VLOOKUP($A98&amp;P$1,'For stats end Y DB'!$A:$G,5,0))</f>
        <v>2</v>
      </c>
      <c r="Q98">
        <f>IF(ISNA(VLOOKUP($A98&amp;Q$1,'For stats end Y DB'!$A:$G,5,0)),0,VLOOKUP($A98&amp;Q$1,'For stats end Y DB'!$A:$G,5,0))</f>
        <v>0</v>
      </c>
      <c r="R98">
        <f>IF(ISNA(VLOOKUP($A98&amp;R$1,'For stats end Y DB'!$A:$G,5,0)),0,VLOOKUP($A98&amp;R$1,'For stats end Y DB'!$A:$G,5,0))</f>
        <v>4</v>
      </c>
      <c r="S98">
        <f>IF(ISNA(VLOOKUP($A98&amp;S$1,'For stats end Y DB'!$A:$G,5,0)),0,VLOOKUP($A98&amp;S$1,'For stats end Y DB'!$A:$G,5,0))</f>
        <v>0</v>
      </c>
      <c r="T98">
        <f>IF(ISNA(VLOOKUP($A98&amp;T$1,'For stats end Y DB'!$A:$G,5,0)),0,VLOOKUP($A98&amp;T$1,'For stats end Y DB'!$A:$G,5,0))</f>
        <v>8</v>
      </c>
      <c r="U98">
        <f>IF(ISNA(VLOOKUP($A98&amp;U$1,'For stats end Y DB'!$A:$G,5,0)),0,VLOOKUP($A98&amp;U$1,'For stats end Y DB'!$A:$G,5,0))</f>
        <v>16</v>
      </c>
      <c r="V98">
        <f>IF(ISNA(VLOOKUP($A98&amp;V$1,'For stats end Y DB'!$A:$G,5,0)),0,VLOOKUP($A98&amp;V$1,'For stats end Y DB'!$A:$G,5,0))</f>
        <v>1</v>
      </c>
      <c r="W98">
        <f>IF(ISNA(VLOOKUP($A98&amp;W$1,'For stats end Y DB'!$A:$G,5,0)),0,VLOOKUP($A98&amp;W$1,'For stats end Y DB'!$A:$G,5,0))</f>
        <v>0</v>
      </c>
      <c r="X98">
        <f>IF(ISNA(VLOOKUP($A98&amp;X$1,'For stats end Y DB'!$A:$G,5,0)),0,VLOOKUP($A98&amp;X$1,'For stats end Y DB'!$A:$G,5,0))</f>
        <v>1</v>
      </c>
      <c r="Y98">
        <f>IF(ISNA(VLOOKUP($A98&amp;Y$1,'For stats end Y DB'!$A:$G,5,0)),0,VLOOKUP($A98&amp;Y$1,'For stats end Y DB'!$A:$G,5,0))</f>
        <v>13</v>
      </c>
      <c r="Z98">
        <f>IF(ISNA(VLOOKUP($A98&amp;Z$1,'For stats end Y DB'!$A:$G,5,0)),0,VLOOKUP($A98&amp;Z$1,'For stats end Y DB'!$A:$G,5,0))</f>
        <v>1</v>
      </c>
      <c r="AA98">
        <f>IF(ISNA(VLOOKUP($A98&amp;AA$1,'For stats end Y DB'!$A:$G,5,0)),0,VLOOKUP($A98&amp;AA$1,'For stats end Y DB'!$A:$G,5,0))</f>
        <v>8</v>
      </c>
      <c r="AB98">
        <f>IF(ISNA(VLOOKUP($A98&amp;AB$1,'For stats end Y DB'!$A:$G,5,0)),0,VLOOKUP($A98&amp;AB$1,'For stats end Y DB'!$A:$G,5,0))</f>
        <v>0</v>
      </c>
      <c r="AC98">
        <f>IF(ISNA(VLOOKUP($A98&amp;AC$1,'For stats end Y DB'!$A:$G,5,0)),0,VLOOKUP($A98&amp;AC$1,'For stats end Y DB'!$A:$G,5,0))</f>
        <v>2</v>
      </c>
      <c r="AD98">
        <f>IF(ISNA(VLOOKUP($A98&amp;AD$1,'For stats end Y DB'!$A:$G,5,0)),0,VLOOKUP($A98&amp;AD$1,'For stats end Y DB'!$A:$G,5,0))</f>
        <v>0</v>
      </c>
      <c r="AE98">
        <f>IF(ISNA(VLOOKUP($A98&amp;AE$1,'For stats end Y DB'!$A:$G,5,0)),0,VLOOKUP($A98&amp;AE$1,'For stats end Y DB'!$A:$G,5,0))</f>
        <v>1</v>
      </c>
      <c r="AF98">
        <f>IF(ISNA(VLOOKUP($A98&amp;AF$1,'For stats end Y DB'!$A:$G,5,0)),0,VLOOKUP($A98&amp;AF$1,'For stats end Y DB'!$A:$G,5,0))</f>
        <v>12</v>
      </c>
      <c r="AG98">
        <f>IF(ISNA(VLOOKUP($A98&amp;AG$1,'For stats end Y DB'!$A:$G,5,0)),0,VLOOKUP($A98&amp;AG$1,'For stats end Y DB'!$A:$G,5,0))</f>
        <v>1</v>
      </c>
      <c r="AH98">
        <f>IF(ISNA(VLOOKUP($A98&amp;AH$1,'For stats end Y DB'!$A:$G,5,0)),0,VLOOKUP($A98&amp;AH$1,'For stats end Y DB'!$A:$G,5,0))</f>
        <v>2</v>
      </c>
      <c r="AI98">
        <f>IF(ISNA(VLOOKUP($A98&amp;AI$1,'For stats end Y DB'!$A:$G,5,0)),0,VLOOKUP($A98&amp;AI$1,'For stats end Y DB'!$A:$G,5,0))</f>
        <v>0</v>
      </c>
      <c r="AJ98">
        <f>IF(ISNA(VLOOKUP($A98&amp;AJ$1,'For stats end Y DB'!$A:$G,5,0)),0,VLOOKUP($A98&amp;AJ$1,'For stats end Y DB'!$A:$G,5,0))</f>
        <v>0</v>
      </c>
      <c r="AK98">
        <f>IF(ISNA(VLOOKUP($A98&amp;AK$1,'For stats end Y DB'!$A:$G,5,0)),0,VLOOKUP($A98&amp;AK$1,'For stats end Y DB'!$A:$G,5,0))</f>
        <v>0</v>
      </c>
      <c r="AL98">
        <f>IF(ISNA(VLOOKUP($A98&amp;AL$1,'For stats end Y DB'!$A:$G,5,0)),0,VLOOKUP($A98&amp;AL$1,'For stats end Y DB'!$A:$G,5,0))</f>
        <v>0</v>
      </c>
      <c r="AM98">
        <f>IF(ISNA(VLOOKUP($A98&amp;AM$1,'For stats end Y DB'!$A:$G,5,0)),0,VLOOKUP($A98&amp;AM$1,'For stats end Y DB'!$A:$G,5,0))</f>
        <v>0</v>
      </c>
      <c r="AN98">
        <f>IF(ISNA(VLOOKUP($A98&amp;AN$1,'For stats end Y DB'!$A:$G,5,0)),0,VLOOKUP($A98&amp;AN$1,'For stats end Y DB'!$A:$G,5,0))</f>
        <v>0</v>
      </c>
    </row>
    <row r="99" spans="1:40" x14ac:dyDescent="0.2">
      <c r="A99" t="str">
        <f>'For stats end Y class'!A99</f>
        <v>Toinou</v>
      </c>
      <c r="B99">
        <f>IF(ISNA(VLOOKUP($A99&amp;B$1,'For stats end Y DB'!$A:$G,5,0)),0,VLOOKUP($A99&amp;B$1,'For stats end Y DB'!$A:$G,5,0))</f>
        <v>0</v>
      </c>
      <c r="C99">
        <f>IF(ISNA(VLOOKUP($A99&amp;C$1,'For stats end Y DB'!$A:$G,5,0)),0,VLOOKUP($A99&amp;C$1,'For stats end Y DB'!$A:$G,5,0))</f>
        <v>0</v>
      </c>
      <c r="D99">
        <f>IF(ISNA(VLOOKUP($A99&amp;D$1,'For stats end Y DB'!$A:$G,5,0)),0,VLOOKUP($A99&amp;D$1,'For stats end Y DB'!$A:$G,5,0))</f>
        <v>2</v>
      </c>
      <c r="E99">
        <f>IF(ISNA(VLOOKUP($A99&amp;E$1,'For stats end Y DB'!$A:$G,5,0)),0,VLOOKUP($A99&amp;E$1,'For stats end Y DB'!$A:$G,5,0))</f>
        <v>13</v>
      </c>
      <c r="F99">
        <f>IF(ISNA(VLOOKUP($A99&amp;F$1,'For stats end Y DB'!$A:$G,5,0)),0,VLOOKUP($A99&amp;F$1,'For stats end Y DB'!$A:$G,5,0))</f>
        <v>0</v>
      </c>
      <c r="G99">
        <f>IF(ISNA(VLOOKUP($A99&amp;G$1,'For stats end Y DB'!$A:$G,5,0)),0,VLOOKUP($A99&amp;G$1,'For stats end Y DB'!$A:$G,5,0))</f>
        <v>8</v>
      </c>
      <c r="H99">
        <f>IF(ISNA(VLOOKUP($A99&amp;H$1,'For stats end Y DB'!$A:$G,5,0)),0,VLOOKUP($A99&amp;H$1,'For stats end Y DB'!$A:$G,5,0))</f>
        <v>0</v>
      </c>
      <c r="I99">
        <f>IF(ISNA(VLOOKUP($A99&amp;I$1,'For stats end Y DB'!$A:$G,5,0)),0,VLOOKUP($A99&amp;I$1,'For stats end Y DB'!$A:$G,5,0))</f>
        <v>0</v>
      </c>
      <c r="J99">
        <f>IF(ISNA(VLOOKUP($A99&amp;J$1,'For stats end Y DB'!$A:$G,5,0)),0,VLOOKUP($A99&amp;J$1,'For stats end Y DB'!$A:$G,5,0))</f>
        <v>12</v>
      </c>
      <c r="K99">
        <f>IF(ISNA(VLOOKUP($A99&amp;K$1,'For stats end Y DB'!$A:$G,5,0)),0,VLOOKUP($A99&amp;K$1,'For stats end Y DB'!$A:$G,5,0))</f>
        <v>0</v>
      </c>
      <c r="L99">
        <f>IF(ISNA(VLOOKUP($A99&amp;L$1,'For stats end Y DB'!$A:$G,5,0)),0,VLOOKUP($A99&amp;L$1,'For stats end Y DB'!$A:$G,5,0))</f>
        <v>1</v>
      </c>
      <c r="M99">
        <f>IF(ISNA(VLOOKUP($A99&amp;M$1,'For stats end Y DB'!$A:$G,5,0)),0,VLOOKUP($A99&amp;M$1,'For stats end Y DB'!$A:$G,5,0))</f>
        <v>0</v>
      </c>
      <c r="N99">
        <f>IF(ISNA(VLOOKUP($A99&amp;N$1,'For stats end Y DB'!$A:$G,5,0)),0,VLOOKUP($A99&amp;N$1,'For stats end Y DB'!$A:$G,5,0))</f>
        <v>16</v>
      </c>
      <c r="O99">
        <f>IF(ISNA(VLOOKUP($A99&amp;O$1,'For stats end Y DB'!$A:$G,5,0)),0,VLOOKUP($A99&amp;O$1,'For stats end Y DB'!$A:$G,5,0))</f>
        <v>0</v>
      </c>
      <c r="P99">
        <f>IF(ISNA(VLOOKUP($A99&amp;P$1,'For stats end Y DB'!$A:$G,5,0)),0,VLOOKUP($A99&amp;P$1,'For stats end Y DB'!$A:$G,5,0))</f>
        <v>0</v>
      </c>
      <c r="Q99">
        <f>IF(ISNA(VLOOKUP($A99&amp;Q$1,'For stats end Y DB'!$A:$G,5,0)),0,VLOOKUP($A99&amp;Q$1,'For stats end Y DB'!$A:$G,5,0))</f>
        <v>0</v>
      </c>
      <c r="R99">
        <f>IF(ISNA(VLOOKUP($A99&amp;R$1,'For stats end Y DB'!$A:$G,5,0)),0,VLOOKUP($A99&amp;R$1,'For stats end Y DB'!$A:$G,5,0))</f>
        <v>0</v>
      </c>
      <c r="S99">
        <f>IF(ISNA(VLOOKUP($A99&amp;S$1,'For stats end Y DB'!$A:$G,5,0)),0,VLOOKUP($A99&amp;S$1,'For stats end Y DB'!$A:$G,5,0))</f>
        <v>9</v>
      </c>
      <c r="T99">
        <f>IF(ISNA(VLOOKUP($A99&amp;T$1,'For stats end Y DB'!$A:$G,5,0)),0,VLOOKUP($A99&amp;T$1,'For stats end Y DB'!$A:$G,5,0))</f>
        <v>0</v>
      </c>
      <c r="U99">
        <f>IF(ISNA(VLOOKUP($A99&amp;U$1,'For stats end Y DB'!$A:$G,5,0)),0,VLOOKUP($A99&amp;U$1,'For stats end Y DB'!$A:$G,5,0))</f>
        <v>0</v>
      </c>
      <c r="V99">
        <f>IF(ISNA(VLOOKUP($A99&amp;V$1,'For stats end Y DB'!$A:$G,5,0)),0,VLOOKUP($A99&amp;V$1,'For stats end Y DB'!$A:$G,5,0))</f>
        <v>0</v>
      </c>
      <c r="W99">
        <f>IF(ISNA(VLOOKUP($A99&amp;W$1,'For stats end Y DB'!$A:$G,5,0)),0,VLOOKUP($A99&amp;W$1,'For stats end Y DB'!$A:$G,5,0))</f>
        <v>3</v>
      </c>
      <c r="X99">
        <f>IF(ISNA(VLOOKUP($A99&amp;X$1,'For stats end Y DB'!$A:$G,5,0)),0,VLOOKUP($A99&amp;X$1,'For stats end Y DB'!$A:$G,5,0))</f>
        <v>0</v>
      </c>
      <c r="Y99">
        <f>IF(ISNA(VLOOKUP($A99&amp;Y$1,'For stats end Y DB'!$A:$G,5,0)),0,VLOOKUP($A99&amp;Y$1,'For stats end Y DB'!$A:$G,5,0))</f>
        <v>0</v>
      </c>
      <c r="Z99">
        <f>IF(ISNA(VLOOKUP($A99&amp;Z$1,'For stats end Y DB'!$A:$G,5,0)),0,VLOOKUP($A99&amp;Z$1,'For stats end Y DB'!$A:$G,5,0))</f>
        <v>0</v>
      </c>
      <c r="AA99">
        <f>IF(ISNA(VLOOKUP($A99&amp;AA$1,'For stats end Y DB'!$A:$G,5,0)),0,VLOOKUP($A99&amp;AA$1,'For stats end Y DB'!$A:$G,5,0))</f>
        <v>0</v>
      </c>
      <c r="AB99">
        <f>IF(ISNA(VLOOKUP($A99&amp;AB$1,'For stats end Y DB'!$A:$G,5,0)),0,VLOOKUP($A99&amp;AB$1,'For stats end Y DB'!$A:$G,5,0))</f>
        <v>0</v>
      </c>
      <c r="AC99">
        <f>IF(ISNA(VLOOKUP($A99&amp;AC$1,'For stats end Y DB'!$A:$G,5,0)),0,VLOOKUP($A99&amp;AC$1,'For stats end Y DB'!$A:$G,5,0))</f>
        <v>0</v>
      </c>
      <c r="AD99">
        <f>IF(ISNA(VLOOKUP($A99&amp;AD$1,'For stats end Y DB'!$A:$G,5,0)),0,VLOOKUP($A99&amp;AD$1,'For stats end Y DB'!$A:$G,5,0))</f>
        <v>0</v>
      </c>
      <c r="AE99">
        <f>IF(ISNA(VLOOKUP($A99&amp;AE$1,'For stats end Y DB'!$A:$G,5,0)),0,VLOOKUP($A99&amp;AE$1,'For stats end Y DB'!$A:$G,5,0))</f>
        <v>0</v>
      </c>
      <c r="AF99">
        <f>IF(ISNA(VLOOKUP($A99&amp;AF$1,'For stats end Y DB'!$A:$G,5,0)),0,VLOOKUP($A99&amp;AF$1,'For stats end Y DB'!$A:$G,5,0))</f>
        <v>0</v>
      </c>
      <c r="AG99">
        <f>IF(ISNA(VLOOKUP($A99&amp;AG$1,'For stats end Y DB'!$A:$G,5,0)),0,VLOOKUP($A99&amp;AG$1,'For stats end Y DB'!$A:$G,5,0))</f>
        <v>0</v>
      </c>
      <c r="AH99">
        <f>IF(ISNA(VLOOKUP($A99&amp;AH$1,'For stats end Y DB'!$A:$G,5,0)),0,VLOOKUP($A99&amp;AH$1,'For stats end Y DB'!$A:$G,5,0))</f>
        <v>0</v>
      </c>
      <c r="AI99">
        <f>IF(ISNA(VLOOKUP($A99&amp;AI$1,'For stats end Y DB'!$A:$G,5,0)),0,VLOOKUP($A99&amp;AI$1,'For stats end Y DB'!$A:$G,5,0))</f>
        <v>0</v>
      </c>
      <c r="AJ99">
        <f>IF(ISNA(VLOOKUP($A99&amp;AJ$1,'For stats end Y DB'!$A:$G,5,0)),0,VLOOKUP($A99&amp;AJ$1,'For stats end Y DB'!$A:$G,5,0))</f>
        <v>0</v>
      </c>
      <c r="AK99">
        <f>IF(ISNA(VLOOKUP($A99&amp;AK$1,'For stats end Y DB'!$A:$G,5,0)),0,VLOOKUP($A99&amp;AK$1,'For stats end Y DB'!$A:$G,5,0))</f>
        <v>0</v>
      </c>
      <c r="AL99">
        <f>IF(ISNA(VLOOKUP($A99&amp;AL$1,'For stats end Y DB'!$A:$G,5,0)),0,VLOOKUP($A99&amp;AL$1,'For stats end Y DB'!$A:$G,5,0))</f>
        <v>0</v>
      </c>
      <c r="AM99">
        <f>IF(ISNA(VLOOKUP($A99&amp;AM$1,'For stats end Y DB'!$A:$G,5,0)),0,VLOOKUP($A99&amp;AM$1,'For stats end Y DB'!$A:$G,5,0))</f>
        <v>0</v>
      </c>
      <c r="AN99">
        <f>IF(ISNA(VLOOKUP($A99&amp;AN$1,'For stats end Y DB'!$A:$G,5,0)),0,VLOOKUP($A99&amp;AN$1,'For stats end Y DB'!$A:$G,5,0))</f>
        <v>0</v>
      </c>
    </row>
    <row r="100" spans="1:40" x14ac:dyDescent="0.2">
      <c r="A100" t="str">
        <f>'For stats end Y class'!A100</f>
        <v>Tridama</v>
      </c>
      <c r="B100">
        <f>IF(ISNA(VLOOKUP($A100&amp;B$1,'For stats end Y DB'!$A:$G,5,0)),0,VLOOKUP($A100&amp;B$1,'For stats end Y DB'!$A:$G,5,0))</f>
        <v>8</v>
      </c>
      <c r="C100">
        <f>IF(ISNA(VLOOKUP($A100&amp;C$1,'For stats end Y DB'!$A:$G,5,0)),0,VLOOKUP($A100&amp;C$1,'For stats end Y DB'!$A:$G,5,0))</f>
        <v>0</v>
      </c>
      <c r="D100">
        <f>IF(ISNA(VLOOKUP($A100&amp;D$1,'For stats end Y DB'!$A:$G,5,0)),0,VLOOKUP($A100&amp;D$1,'For stats end Y DB'!$A:$G,5,0))</f>
        <v>0</v>
      </c>
      <c r="E100">
        <f>IF(ISNA(VLOOKUP($A100&amp;E$1,'For stats end Y DB'!$A:$G,5,0)),0,VLOOKUP($A100&amp;E$1,'For stats end Y DB'!$A:$G,5,0))</f>
        <v>0</v>
      </c>
      <c r="F100">
        <f>IF(ISNA(VLOOKUP($A100&amp;F$1,'For stats end Y DB'!$A:$G,5,0)),0,VLOOKUP($A100&amp;F$1,'For stats end Y DB'!$A:$G,5,0))</f>
        <v>0</v>
      </c>
      <c r="G100">
        <f>IF(ISNA(VLOOKUP($A100&amp;G$1,'For stats end Y DB'!$A:$G,5,0)),0,VLOOKUP($A100&amp;G$1,'For stats end Y DB'!$A:$G,5,0))</f>
        <v>0</v>
      </c>
      <c r="H100">
        <f>IF(ISNA(VLOOKUP($A100&amp;H$1,'For stats end Y DB'!$A:$G,5,0)),0,VLOOKUP($A100&amp;H$1,'For stats end Y DB'!$A:$G,5,0))</f>
        <v>0</v>
      </c>
      <c r="I100">
        <f>IF(ISNA(VLOOKUP($A100&amp;I$1,'For stats end Y DB'!$A:$G,5,0)),0,VLOOKUP($A100&amp;I$1,'For stats end Y DB'!$A:$G,5,0))</f>
        <v>0</v>
      </c>
      <c r="J100">
        <f>IF(ISNA(VLOOKUP($A100&amp;J$1,'For stats end Y DB'!$A:$G,5,0)),0,VLOOKUP($A100&amp;J$1,'For stats end Y DB'!$A:$G,5,0))</f>
        <v>0</v>
      </c>
      <c r="K100">
        <f>IF(ISNA(VLOOKUP($A100&amp;K$1,'For stats end Y DB'!$A:$G,5,0)),0,VLOOKUP($A100&amp;K$1,'For stats end Y DB'!$A:$G,5,0))</f>
        <v>0</v>
      </c>
      <c r="L100">
        <f>IF(ISNA(VLOOKUP($A100&amp;L$1,'For stats end Y DB'!$A:$G,5,0)),0,VLOOKUP($A100&amp;L$1,'For stats end Y DB'!$A:$G,5,0))</f>
        <v>0</v>
      </c>
      <c r="M100">
        <f>IF(ISNA(VLOOKUP($A100&amp;M$1,'For stats end Y DB'!$A:$G,5,0)),0,VLOOKUP($A100&amp;M$1,'For stats end Y DB'!$A:$G,5,0))</f>
        <v>0</v>
      </c>
      <c r="N100">
        <f>IF(ISNA(VLOOKUP($A100&amp;N$1,'For stats end Y DB'!$A:$G,5,0)),0,VLOOKUP($A100&amp;N$1,'For stats end Y DB'!$A:$G,5,0))</f>
        <v>0</v>
      </c>
      <c r="O100">
        <f>IF(ISNA(VLOOKUP($A100&amp;O$1,'For stats end Y DB'!$A:$G,5,0)),0,VLOOKUP($A100&amp;O$1,'For stats end Y DB'!$A:$G,5,0))</f>
        <v>0</v>
      </c>
      <c r="P100">
        <f>IF(ISNA(VLOOKUP($A100&amp;P$1,'For stats end Y DB'!$A:$G,5,0)),0,VLOOKUP($A100&amp;P$1,'For stats end Y DB'!$A:$G,5,0))</f>
        <v>0</v>
      </c>
      <c r="Q100">
        <f>IF(ISNA(VLOOKUP($A100&amp;Q$1,'For stats end Y DB'!$A:$G,5,0)),0,VLOOKUP($A100&amp;Q$1,'For stats end Y DB'!$A:$G,5,0))</f>
        <v>0</v>
      </c>
      <c r="R100">
        <f>IF(ISNA(VLOOKUP($A100&amp;R$1,'For stats end Y DB'!$A:$G,5,0)),0,VLOOKUP($A100&amp;R$1,'For stats end Y DB'!$A:$G,5,0))</f>
        <v>0</v>
      </c>
      <c r="S100">
        <f>IF(ISNA(VLOOKUP($A100&amp;S$1,'For stats end Y DB'!$A:$G,5,0)),0,VLOOKUP($A100&amp;S$1,'For stats end Y DB'!$A:$G,5,0))</f>
        <v>0</v>
      </c>
      <c r="T100">
        <f>IF(ISNA(VLOOKUP($A100&amp;T$1,'For stats end Y DB'!$A:$G,5,0)),0,VLOOKUP($A100&amp;T$1,'For stats end Y DB'!$A:$G,5,0))</f>
        <v>0</v>
      </c>
      <c r="U100">
        <f>IF(ISNA(VLOOKUP($A100&amp;U$1,'For stats end Y DB'!$A:$G,5,0)),0,VLOOKUP($A100&amp;U$1,'For stats end Y DB'!$A:$G,5,0))</f>
        <v>0</v>
      </c>
      <c r="V100">
        <f>IF(ISNA(VLOOKUP($A100&amp;V$1,'For stats end Y DB'!$A:$G,5,0)),0,VLOOKUP($A100&amp;V$1,'For stats end Y DB'!$A:$G,5,0))</f>
        <v>0</v>
      </c>
      <c r="W100">
        <f>IF(ISNA(VLOOKUP($A100&amp;W$1,'For stats end Y DB'!$A:$G,5,0)),0,VLOOKUP($A100&amp;W$1,'For stats end Y DB'!$A:$G,5,0))</f>
        <v>0</v>
      </c>
      <c r="X100">
        <f>IF(ISNA(VLOOKUP($A100&amp;X$1,'For stats end Y DB'!$A:$G,5,0)),0,VLOOKUP($A100&amp;X$1,'For stats end Y DB'!$A:$G,5,0))</f>
        <v>0</v>
      </c>
      <c r="Y100">
        <f>IF(ISNA(VLOOKUP($A100&amp;Y$1,'For stats end Y DB'!$A:$G,5,0)),0,VLOOKUP($A100&amp;Y$1,'For stats end Y DB'!$A:$G,5,0))</f>
        <v>0</v>
      </c>
      <c r="Z100">
        <f>IF(ISNA(VLOOKUP($A100&amp;Z$1,'For stats end Y DB'!$A:$G,5,0)),0,VLOOKUP($A100&amp;Z$1,'For stats end Y DB'!$A:$G,5,0))</f>
        <v>0</v>
      </c>
      <c r="AA100">
        <f>IF(ISNA(VLOOKUP($A100&amp;AA$1,'For stats end Y DB'!$A:$G,5,0)),0,VLOOKUP($A100&amp;AA$1,'For stats end Y DB'!$A:$G,5,0))</f>
        <v>0</v>
      </c>
      <c r="AB100">
        <f>IF(ISNA(VLOOKUP($A100&amp;AB$1,'For stats end Y DB'!$A:$G,5,0)),0,VLOOKUP($A100&amp;AB$1,'For stats end Y DB'!$A:$G,5,0))</f>
        <v>0</v>
      </c>
      <c r="AC100">
        <f>IF(ISNA(VLOOKUP($A100&amp;AC$1,'For stats end Y DB'!$A:$G,5,0)),0,VLOOKUP($A100&amp;AC$1,'For stats end Y DB'!$A:$G,5,0))</f>
        <v>0</v>
      </c>
      <c r="AD100">
        <f>IF(ISNA(VLOOKUP($A100&amp;AD$1,'For stats end Y DB'!$A:$G,5,0)),0,VLOOKUP($A100&amp;AD$1,'For stats end Y DB'!$A:$G,5,0))</f>
        <v>0</v>
      </c>
      <c r="AE100">
        <f>IF(ISNA(VLOOKUP($A100&amp;AE$1,'For stats end Y DB'!$A:$G,5,0)),0,VLOOKUP($A100&amp;AE$1,'For stats end Y DB'!$A:$G,5,0))</f>
        <v>0</v>
      </c>
      <c r="AF100">
        <f>IF(ISNA(VLOOKUP($A100&amp;AF$1,'For stats end Y DB'!$A:$G,5,0)),0,VLOOKUP($A100&amp;AF$1,'For stats end Y DB'!$A:$G,5,0))</f>
        <v>0</v>
      </c>
      <c r="AG100">
        <f>IF(ISNA(VLOOKUP($A100&amp;AG$1,'For stats end Y DB'!$A:$G,5,0)),0,VLOOKUP($A100&amp;AG$1,'For stats end Y DB'!$A:$G,5,0))</f>
        <v>0</v>
      </c>
      <c r="AH100">
        <f>IF(ISNA(VLOOKUP($A100&amp;AH$1,'For stats end Y DB'!$A:$G,5,0)),0,VLOOKUP($A100&amp;AH$1,'For stats end Y DB'!$A:$G,5,0))</f>
        <v>0</v>
      </c>
      <c r="AI100">
        <f>IF(ISNA(VLOOKUP($A100&amp;AI$1,'For stats end Y DB'!$A:$G,5,0)),0,VLOOKUP($A100&amp;AI$1,'For stats end Y DB'!$A:$G,5,0))</f>
        <v>0</v>
      </c>
      <c r="AJ100">
        <f>IF(ISNA(VLOOKUP($A100&amp;AJ$1,'For stats end Y DB'!$A:$G,5,0)),0,VLOOKUP($A100&amp;AJ$1,'For stats end Y DB'!$A:$G,5,0))</f>
        <v>0</v>
      </c>
      <c r="AK100">
        <f>IF(ISNA(VLOOKUP($A100&amp;AK$1,'For stats end Y DB'!$A:$G,5,0)),0,VLOOKUP($A100&amp;AK$1,'For stats end Y DB'!$A:$G,5,0))</f>
        <v>0</v>
      </c>
      <c r="AL100">
        <f>IF(ISNA(VLOOKUP($A100&amp;AL$1,'For stats end Y DB'!$A:$G,5,0)),0,VLOOKUP($A100&amp;AL$1,'For stats end Y DB'!$A:$G,5,0))</f>
        <v>0</v>
      </c>
      <c r="AM100">
        <f>IF(ISNA(VLOOKUP($A100&amp;AM$1,'For stats end Y DB'!$A:$G,5,0)),0,VLOOKUP($A100&amp;AM$1,'For stats end Y DB'!$A:$G,5,0))</f>
        <v>0</v>
      </c>
      <c r="AN100">
        <f>IF(ISNA(VLOOKUP($A100&amp;AN$1,'For stats end Y DB'!$A:$G,5,0)),0,VLOOKUP($A100&amp;AN$1,'For stats end Y DB'!$A:$G,5,0))</f>
        <v>0</v>
      </c>
    </row>
    <row r="101" spans="1:40" x14ac:dyDescent="0.2">
      <c r="A101" t="str">
        <f>'For stats end Y class'!A101</f>
        <v>Xhar92</v>
      </c>
      <c r="B101">
        <f>IF(ISNA(VLOOKUP($A101&amp;B$1,'For stats end Y DB'!$A:$G,5,0)),0,VLOOKUP($A101&amp;B$1,'For stats end Y DB'!$A:$G,5,0))</f>
        <v>12</v>
      </c>
      <c r="C101">
        <f>IF(ISNA(VLOOKUP($A101&amp;C$1,'For stats end Y DB'!$A:$G,5,0)),0,VLOOKUP($A101&amp;C$1,'For stats end Y DB'!$A:$G,5,0))</f>
        <v>17</v>
      </c>
      <c r="D101">
        <f>IF(ISNA(VLOOKUP($A101&amp;D$1,'For stats end Y DB'!$A:$G,5,0)),0,VLOOKUP($A101&amp;D$1,'For stats end Y DB'!$A:$G,5,0))</f>
        <v>12</v>
      </c>
      <c r="E101">
        <f>IF(ISNA(VLOOKUP($A101&amp;E$1,'For stats end Y DB'!$A:$G,5,0)),0,VLOOKUP($A101&amp;E$1,'For stats end Y DB'!$A:$G,5,0))</f>
        <v>3</v>
      </c>
      <c r="F101">
        <f>IF(ISNA(VLOOKUP($A101&amp;F$1,'For stats end Y DB'!$A:$G,5,0)),0,VLOOKUP($A101&amp;F$1,'For stats end Y DB'!$A:$G,5,0))</f>
        <v>9</v>
      </c>
      <c r="G101">
        <f>IF(ISNA(VLOOKUP($A101&amp;G$1,'For stats end Y DB'!$A:$G,5,0)),0,VLOOKUP($A101&amp;G$1,'For stats end Y DB'!$A:$G,5,0))</f>
        <v>0</v>
      </c>
      <c r="H101">
        <f>IF(ISNA(VLOOKUP($A101&amp;H$1,'For stats end Y DB'!$A:$G,5,0)),0,VLOOKUP($A101&amp;H$1,'For stats end Y DB'!$A:$G,5,0))</f>
        <v>2</v>
      </c>
      <c r="I101">
        <f>IF(ISNA(VLOOKUP($A101&amp;I$1,'For stats end Y DB'!$A:$G,5,0)),0,VLOOKUP($A101&amp;I$1,'For stats end Y DB'!$A:$G,5,0))</f>
        <v>2</v>
      </c>
      <c r="J101">
        <f>IF(ISNA(VLOOKUP($A101&amp;J$1,'For stats end Y DB'!$A:$G,5,0)),0,VLOOKUP($A101&amp;J$1,'For stats end Y DB'!$A:$G,5,0))</f>
        <v>8</v>
      </c>
      <c r="K101">
        <f>IF(ISNA(VLOOKUP($A101&amp;K$1,'For stats end Y DB'!$A:$G,5,0)),0,VLOOKUP($A101&amp;K$1,'For stats end Y DB'!$A:$G,5,0))</f>
        <v>1</v>
      </c>
      <c r="L101">
        <f>IF(ISNA(VLOOKUP($A101&amp;L$1,'For stats end Y DB'!$A:$G,5,0)),0,VLOOKUP($A101&amp;L$1,'For stats end Y DB'!$A:$G,5,0))</f>
        <v>2</v>
      </c>
      <c r="M101">
        <f>IF(ISNA(VLOOKUP($A101&amp;M$1,'For stats end Y DB'!$A:$G,5,0)),0,VLOOKUP($A101&amp;M$1,'For stats end Y DB'!$A:$G,5,0))</f>
        <v>0</v>
      </c>
      <c r="N101">
        <f>IF(ISNA(VLOOKUP($A101&amp;N$1,'For stats end Y DB'!$A:$G,5,0)),0,VLOOKUP($A101&amp;N$1,'For stats end Y DB'!$A:$G,5,0))</f>
        <v>2</v>
      </c>
      <c r="O101">
        <f>IF(ISNA(VLOOKUP($A101&amp;O$1,'For stats end Y DB'!$A:$G,5,0)),0,VLOOKUP($A101&amp;O$1,'For stats end Y DB'!$A:$G,5,0))</f>
        <v>0</v>
      </c>
      <c r="P101">
        <f>IF(ISNA(VLOOKUP($A101&amp;P$1,'For stats end Y DB'!$A:$G,5,0)),0,VLOOKUP($A101&amp;P$1,'For stats end Y DB'!$A:$G,5,0))</f>
        <v>2</v>
      </c>
      <c r="Q101">
        <f>IF(ISNA(VLOOKUP($A101&amp;Q$1,'For stats end Y DB'!$A:$G,5,0)),0,VLOOKUP($A101&amp;Q$1,'For stats end Y DB'!$A:$G,5,0))</f>
        <v>13</v>
      </c>
      <c r="R101">
        <f>IF(ISNA(VLOOKUP($A101&amp;R$1,'For stats end Y DB'!$A:$G,5,0)),0,VLOOKUP($A101&amp;R$1,'For stats end Y DB'!$A:$G,5,0))</f>
        <v>1</v>
      </c>
      <c r="S101">
        <f>IF(ISNA(VLOOKUP($A101&amp;S$1,'For stats end Y DB'!$A:$G,5,0)),0,VLOOKUP($A101&amp;S$1,'For stats end Y DB'!$A:$G,5,0))</f>
        <v>1</v>
      </c>
      <c r="T101">
        <f>IF(ISNA(VLOOKUP($A101&amp;T$1,'For stats end Y DB'!$A:$G,5,0)),0,VLOOKUP($A101&amp;T$1,'For stats end Y DB'!$A:$G,5,0))</f>
        <v>4</v>
      </c>
      <c r="U101">
        <f>IF(ISNA(VLOOKUP($A101&amp;U$1,'For stats end Y DB'!$A:$G,5,0)),0,VLOOKUP($A101&amp;U$1,'For stats end Y DB'!$A:$G,5,0))</f>
        <v>0</v>
      </c>
      <c r="V101">
        <f>IF(ISNA(VLOOKUP($A101&amp;V$1,'For stats end Y DB'!$A:$G,5,0)),0,VLOOKUP($A101&amp;V$1,'For stats end Y DB'!$A:$G,5,0))</f>
        <v>13</v>
      </c>
      <c r="W101">
        <f>IF(ISNA(VLOOKUP($A101&amp;W$1,'For stats end Y DB'!$A:$G,5,0)),0,VLOOKUP($A101&amp;W$1,'For stats end Y DB'!$A:$G,5,0))</f>
        <v>3</v>
      </c>
      <c r="X101">
        <f>IF(ISNA(VLOOKUP($A101&amp;X$1,'For stats end Y DB'!$A:$G,5,0)),0,VLOOKUP($A101&amp;X$1,'For stats end Y DB'!$A:$G,5,0))</f>
        <v>9</v>
      </c>
      <c r="Y101">
        <f>IF(ISNA(VLOOKUP($A101&amp;Y$1,'For stats end Y DB'!$A:$G,5,0)),0,VLOOKUP($A101&amp;Y$1,'For stats end Y DB'!$A:$G,5,0))</f>
        <v>0</v>
      </c>
      <c r="Z101">
        <f>IF(ISNA(VLOOKUP($A101&amp;Z$1,'For stats end Y DB'!$A:$G,5,0)),0,VLOOKUP($A101&amp;Z$1,'For stats end Y DB'!$A:$G,5,0))</f>
        <v>12</v>
      </c>
      <c r="AA101">
        <f>IF(ISNA(VLOOKUP($A101&amp;AA$1,'For stats end Y DB'!$A:$G,5,0)),0,VLOOKUP($A101&amp;AA$1,'For stats end Y DB'!$A:$G,5,0))</f>
        <v>0</v>
      </c>
      <c r="AB101">
        <f>IF(ISNA(VLOOKUP($A101&amp;AB$1,'For stats end Y DB'!$A:$G,5,0)),0,VLOOKUP($A101&amp;AB$1,'For stats end Y DB'!$A:$G,5,0))</f>
        <v>0</v>
      </c>
      <c r="AC101">
        <f>IF(ISNA(VLOOKUP($A101&amp;AC$1,'For stats end Y DB'!$A:$G,5,0)),0,VLOOKUP($A101&amp;AC$1,'For stats end Y DB'!$A:$G,5,0))</f>
        <v>0</v>
      </c>
      <c r="AD101">
        <f>IF(ISNA(VLOOKUP($A101&amp;AD$1,'For stats end Y DB'!$A:$G,5,0)),0,VLOOKUP($A101&amp;AD$1,'For stats end Y DB'!$A:$G,5,0))</f>
        <v>0</v>
      </c>
      <c r="AE101">
        <f>IF(ISNA(VLOOKUP($A101&amp;AE$1,'For stats end Y DB'!$A:$G,5,0)),0,VLOOKUP($A101&amp;AE$1,'For stats end Y DB'!$A:$G,5,0))</f>
        <v>0</v>
      </c>
      <c r="AF101">
        <f>IF(ISNA(VLOOKUP($A101&amp;AF$1,'For stats end Y DB'!$A:$G,5,0)),0,VLOOKUP($A101&amp;AF$1,'For stats end Y DB'!$A:$G,5,0))</f>
        <v>0</v>
      </c>
      <c r="AG101">
        <f>IF(ISNA(VLOOKUP($A101&amp;AG$1,'For stats end Y DB'!$A:$G,5,0)),0,VLOOKUP($A101&amp;AG$1,'For stats end Y DB'!$A:$G,5,0))</f>
        <v>0</v>
      </c>
      <c r="AH101">
        <f>IF(ISNA(VLOOKUP($A101&amp;AH$1,'For stats end Y DB'!$A:$G,5,0)),0,VLOOKUP($A101&amp;AH$1,'For stats end Y DB'!$A:$G,5,0))</f>
        <v>0</v>
      </c>
      <c r="AI101">
        <f>IF(ISNA(VLOOKUP($A101&amp;AI$1,'For stats end Y DB'!$A:$G,5,0)),0,VLOOKUP($A101&amp;AI$1,'For stats end Y DB'!$A:$G,5,0))</f>
        <v>0</v>
      </c>
      <c r="AJ101">
        <f>IF(ISNA(VLOOKUP($A101&amp;AJ$1,'For stats end Y DB'!$A:$G,5,0)),0,VLOOKUP($A101&amp;AJ$1,'For stats end Y DB'!$A:$G,5,0))</f>
        <v>0</v>
      </c>
      <c r="AK101">
        <f>IF(ISNA(VLOOKUP($A101&amp;AK$1,'For stats end Y DB'!$A:$G,5,0)),0,VLOOKUP($A101&amp;AK$1,'For stats end Y DB'!$A:$G,5,0))</f>
        <v>0</v>
      </c>
      <c r="AL101">
        <f>IF(ISNA(VLOOKUP($A101&amp;AL$1,'For stats end Y DB'!$A:$G,5,0)),0,VLOOKUP($A101&amp;AL$1,'For stats end Y DB'!$A:$G,5,0))</f>
        <v>0</v>
      </c>
      <c r="AM101">
        <f>IF(ISNA(VLOOKUP($A101&amp;AM$1,'For stats end Y DB'!$A:$G,5,0)),0,VLOOKUP($A101&amp;AM$1,'For stats end Y DB'!$A:$G,5,0))</f>
        <v>0</v>
      </c>
      <c r="AN101">
        <f>IF(ISNA(VLOOKUP($A101&amp;AN$1,'For stats end Y DB'!$A:$G,5,0)),0,VLOOKUP($A101&amp;AN$1,'For stats end Y DB'!$A:$G,5,0))</f>
        <v>0</v>
      </c>
    </row>
    <row r="102" spans="1:40" x14ac:dyDescent="0.2">
      <c r="A102" t="str">
        <f>'For stats end Y class'!A102</f>
        <v>Yaltar</v>
      </c>
      <c r="B102">
        <f>IF(ISNA(VLOOKUP($A102&amp;B$1,'For stats end Y DB'!$A:$G,5,0)),0,VLOOKUP($A102&amp;B$1,'For stats end Y DB'!$A:$G,5,0))</f>
        <v>17</v>
      </c>
      <c r="C102">
        <f>IF(ISNA(VLOOKUP($A102&amp;C$1,'For stats end Y DB'!$A:$G,5,0)),0,VLOOKUP($A102&amp;C$1,'For stats end Y DB'!$A:$G,5,0))</f>
        <v>2</v>
      </c>
      <c r="D102">
        <f>IF(ISNA(VLOOKUP($A102&amp;D$1,'For stats end Y DB'!$A:$G,5,0)),0,VLOOKUP($A102&amp;D$1,'For stats end Y DB'!$A:$G,5,0))</f>
        <v>0</v>
      </c>
      <c r="E102">
        <f>IF(ISNA(VLOOKUP($A102&amp;E$1,'For stats end Y DB'!$A:$G,5,0)),0,VLOOKUP($A102&amp;E$1,'For stats end Y DB'!$A:$G,5,0))</f>
        <v>17</v>
      </c>
      <c r="F102">
        <f>IF(ISNA(VLOOKUP($A102&amp;F$1,'For stats end Y DB'!$A:$G,5,0)),0,VLOOKUP($A102&amp;F$1,'For stats end Y DB'!$A:$G,5,0))</f>
        <v>2</v>
      </c>
      <c r="G102">
        <f>IF(ISNA(VLOOKUP($A102&amp;G$1,'For stats end Y DB'!$A:$G,5,0)),0,VLOOKUP($A102&amp;G$1,'For stats end Y DB'!$A:$G,5,0))</f>
        <v>9</v>
      </c>
      <c r="H102">
        <f>IF(ISNA(VLOOKUP($A102&amp;H$1,'For stats end Y DB'!$A:$G,5,0)),0,VLOOKUP($A102&amp;H$1,'For stats end Y DB'!$A:$G,5,0))</f>
        <v>2</v>
      </c>
      <c r="I102">
        <f>IF(ISNA(VLOOKUP($A102&amp;I$1,'For stats end Y DB'!$A:$G,5,0)),0,VLOOKUP($A102&amp;I$1,'For stats end Y DB'!$A:$G,5,0))</f>
        <v>12</v>
      </c>
      <c r="J102">
        <f>IF(ISNA(VLOOKUP($A102&amp;J$1,'For stats end Y DB'!$A:$G,5,0)),0,VLOOKUP($A102&amp;J$1,'For stats end Y DB'!$A:$G,5,0))</f>
        <v>2</v>
      </c>
      <c r="K102">
        <f>IF(ISNA(VLOOKUP($A102&amp;K$1,'For stats end Y DB'!$A:$G,5,0)),0,VLOOKUP($A102&amp;K$1,'For stats end Y DB'!$A:$G,5,0))</f>
        <v>0</v>
      </c>
      <c r="L102">
        <f>IF(ISNA(VLOOKUP($A102&amp;L$1,'For stats end Y DB'!$A:$G,5,0)),0,VLOOKUP($A102&amp;L$1,'For stats end Y DB'!$A:$G,5,0))</f>
        <v>0</v>
      </c>
      <c r="M102">
        <f>IF(ISNA(VLOOKUP($A102&amp;M$1,'For stats end Y DB'!$A:$G,5,0)),0,VLOOKUP($A102&amp;M$1,'For stats end Y DB'!$A:$G,5,0))</f>
        <v>16</v>
      </c>
      <c r="N102">
        <f>IF(ISNA(VLOOKUP($A102&amp;N$1,'For stats end Y DB'!$A:$G,5,0)),0,VLOOKUP($A102&amp;N$1,'For stats end Y DB'!$A:$G,5,0))</f>
        <v>3</v>
      </c>
      <c r="O102">
        <f>IF(ISNA(VLOOKUP($A102&amp;O$1,'For stats end Y DB'!$A:$G,5,0)),0,VLOOKUP($A102&amp;O$1,'For stats end Y DB'!$A:$G,5,0))</f>
        <v>2</v>
      </c>
      <c r="P102">
        <f>IF(ISNA(VLOOKUP($A102&amp;P$1,'For stats end Y DB'!$A:$G,5,0)),0,VLOOKUP($A102&amp;P$1,'For stats end Y DB'!$A:$G,5,0))</f>
        <v>16</v>
      </c>
      <c r="Q102">
        <f>IF(ISNA(VLOOKUP($A102&amp;Q$1,'For stats end Y DB'!$A:$G,5,0)),0,VLOOKUP($A102&amp;Q$1,'For stats end Y DB'!$A:$G,5,0))</f>
        <v>13</v>
      </c>
      <c r="R102">
        <f>IF(ISNA(VLOOKUP($A102&amp;R$1,'For stats end Y DB'!$A:$G,5,0)),0,VLOOKUP($A102&amp;R$1,'For stats end Y DB'!$A:$G,5,0))</f>
        <v>13</v>
      </c>
      <c r="S102">
        <f>IF(ISNA(VLOOKUP($A102&amp;S$1,'For stats end Y DB'!$A:$G,5,0)),0,VLOOKUP($A102&amp;S$1,'For stats end Y DB'!$A:$G,5,0))</f>
        <v>2</v>
      </c>
      <c r="T102">
        <f>IF(ISNA(VLOOKUP($A102&amp;T$1,'For stats end Y DB'!$A:$G,5,0)),0,VLOOKUP($A102&amp;T$1,'For stats end Y DB'!$A:$G,5,0))</f>
        <v>12</v>
      </c>
      <c r="U102">
        <f>IF(ISNA(VLOOKUP($A102&amp;U$1,'For stats end Y DB'!$A:$G,5,0)),0,VLOOKUP($A102&amp;U$1,'For stats end Y DB'!$A:$G,5,0))</f>
        <v>2</v>
      </c>
      <c r="V102">
        <f>IF(ISNA(VLOOKUP($A102&amp;V$1,'For stats end Y DB'!$A:$G,5,0)),0,VLOOKUP($A102&amp;V$1,'For stats end Y DB'!$A:$G,5,0))</f>
        <v>5</v>
      </c>
      <c r="W102">
        <f>IF(ISNA(VLOOKUP($A102&amp;W$1,'For stats end Y DB'!$A:$G,5,0)),0,VLOOKUP($A102&amp;W$1,'For stats end Y DB'!$A:$G,5,0))</f>
        <v>0</v>
      </c>
      <c r="X102">
        <f>IF(ISNA(VLOOKUP($A102&amp;X$1,'For stats end Y DB'!$A:$G,5,0)),0,VLOOKUP($A102&amp;X$1,'For stats end Y DB'!$A:$G,5,0))</f>
        <v>0</v>
      </c>
      <c r="Y102">
        <f>IF(ISNA(VLOOKUP($A102&amp;Y$1,'For stats end Y DB'!$A:$G,5,0)),0,VLOOKUP($A102&amp;Y$1,'For stats end Y DB'!$A:$G,5,0))</f>
        <v>1</v>
      </c>
      <c r="Z102">
        <f>IF(ISNA(VLOOKUP($A102&amp;Z$1,'For stats end Y DB'!$A:$G,5,0)),0,VLOOKUP($A102&amp;Z$1,'For stats end Y DB'!$A:$G,5,0))</f>
        <v>16</v>
      </c>
      <c r="AA102">
        <f>IF(ISNA(VLOOKUP($A102&amp;AA$1,'For stats end Y DB'!$A:$G,5,0)),0,VLOOKUP($A102&amp;AA$1,'For stats end Y DB'!$A:$G,5,0))</f>
        <v>4</v>
      </c>
      <c r="AB102">
        <f>IF(ISNA(VLOOKUP($A102&amp;AB$1,'For stats end Y DB'!$A:$G,5,0)),0,VLOOKUP($A102&amp;AB$1,'For stats end Y DB'!$A:$G,5,0))</f>
        <v>0</v>
      </c>
      <c r="AC102">
        <f>IF(ISNA(VLOOKUP($A102&amp;AC$1,'For stats end Y DB'!$A:$G,5,0)),0,VLOOKUP($A102&amp;AC$1,'For stats end Y DB'!$A:$G,5,0))</f>
        <v>3</v>
      </c>
      <c r="AD102">
        <f>IF(ISNA(VLOOKUP($A102&amp;AD$1,'For stats end Y DB'!$A:$G,5,0)),0,VLOOKUP($A102&amp;AD$1,'For stats end Y DB'!$A:$G,5,0))</f>
        <v>0</v>
      </c>
      <c r="AE102">
        <f>IF(ISNA(VLOOKUP($A102&amp;AE$1,'For stats end Y DB'!$A:$G,5,0)),0,VLOOKUP($A102&amp;AE$1,'For stats end Y DB'!$A:$G,5,0))</f>
        <v>8</v>
      </c>
      <c r="AF102">
        <f>IF(ISNA(VLOOKUP($A102&amp;AF$1,'For stats end Y DB'!$A:$G,5,0)),0,VLOOKUP($A102&amp;AF$1,'For stats end Y DB'!$A:$G,5,0))</f>
        <v>1</v>
      </c>
      <c r="AG102">
        <f>IF(ISNA(VLOOKUP($A102&amp;AG$1,'For stats end Y DB'!$A:$G,5,0)),0,VLOOKUP($A102&amp;AG$1,'For stats end Y DB'!$A:$G,5,0))</f>
        <v>1</v>
      </c>
      <c r="AH102">
        <f>IF(ISNA(VLOOKUP($A102&amp;AH$1,'For stats end Y DB'!$A:$G,5,0)),0,VLOOKUP($A102&amp;AH$1,'For stats end Y DB'!$A:$G,5,0))</f>
        <v>0</v>
      </c>
      <c r="AI102">
        <f>IF(ISNA(VLOOKUP($A102&amp;AI$1,'For stats end Y DB'!$A:$G,5,0)),0,VLOOKUP($A102&amp;AI$1,'For stats end Y DB'!$A:$G,5,0))</f>
        <v>0</v>
      </c>
      <c r="AJ102">
        <f>IF(ISNA(VLOOKUP($A102&amp;AJ$1,'For stats end Y DB'!$A:$G,5,0)),0,VLOOKUP($A102&amp;AJ$1,'For stats end Y DB'!$A:$G,5,0))</f>
        <v>0</v>
      </c>
      <c r="AK102">
        <f>IF(ISNA(VLOOKUP($A102&amp;AK$1,'For stats end Y DB'!$A:$G,5,0)),0,VLOOKUP($A102&amp;AK$1,'For stats end Y DB'!$A:$G,5,0))</f>
        <v>0</v>
      </c>
      <c r="AL102">
        <f>IF(ISNA(VLOOKUP($A102&amp;AL$1,'For stats end Y DB'!$A:$G,5,0)),0,VLOOKUP($A102&amp;AL$1,'For stats end Y DB'!$A:$G,5,0))</f>
        <v>0</v>
      </c>
      <c r="AM102">
        <f>IF(ISNA(VLOOKUP($A102&amp;AM$1,'For stats end Y DB'!$A:$G,5,0)),0,VLOOKUP($A102&amp;AM$1,'For stats end Y DB'!$A:$G,5,0))</f>
        <v>0</v>
      </c>
      <c r="AN102">
        <f>IF(ISNA(VLOOKUP($A102&amp;AN$1,'For stats end Y DB'!$A:$G,5,0)),0,VLOOKUP($A102&amp;AN$1,'For stats end Y DB'!$A:$G,5,0))</f>
        <v>0</v>
      </c>
    </row>
    <row r="103" spans="1:40" x14ac:dyDescent="0.2">
      <c r="A103" t="str">
        <f>'For stats end Y class'!A103</f>
        <v>Yarael</v>
      </c>
      <c r="B103">
        <f>IF(ISNA(VLOOKUP($A103&amp;B$1,'For stats end Y DB'!$A:$G,5,0)),0,VLOOKUP($A103&amp;B$1,'For stats end Y DB'!$A:$G,5,0))</f>
        <v>0</v>
      </c>
      <c r="C103">
        <f>IF(ISNA(VLOOKUP($A103&amp;C$1,'For stats end Y DB'!$A:$G,5,0)),0,VLOOKUP($A103&amp;C$1,'For stats end Y DB'!$A:$G,5,0))</f>
        <v>3</v>
      </c>
      <c r="D103">
        <f>IF(ISNA(VLOOKUP($A103&amp;D$1,'For stats end Y DB'!$A:$G,5,0)),0,VLOOKUP($A103&amp;D$1,'For stats end Y DB'!$A:$G,5,0))</f>
        <v>0</v>
      </c>
      <c r="E103">
        <f>IF(ISNA(VLOOKUP($A103&amp;E$1,'For stats end Y DB'!$A:$G,5,0)),0,VLOOKUP($A103&amp;E$1,'For stats end Y DB'!$A:$G,5,0))</f>
        <v>0</v>
      </c>
      <c r="F103">
        <f>IF(ISNA(VLOOKUP($A103&amp;F$1,'For stats end Y DB'!$A:$G,5,0)),0,VLOOKUP($A103&amp;F$1,'For stats end Y DB'!$A:$G,5,0))</f>
        <v>0</v>
      </c>
      <c r="G103">
        <f>IF(ISNA(VLOOKUP($A103&amp;G$1,'For stats end Y DB'!$A:$G,5,0)),0,VLOOKUP($A103&amp;G$1,'For stats end Y DB'!$A:$G,5,0))</f>
        <v>0</v>
      </c>
      <c r="H103">
        <f>IF(ISNA(VLOOKUP($A103&amp;H$1,'For stats end Y DB'!$A:$G,5,0)),0,VLOOKUP($A103&amp;H$1,'For stats end Y DB'!$A:$G,5,0))</f>
        <v>0</v>
      </c>
      <c r="I103">
        <f>IF(ISNA(VLOOKUP($A103&amp;I$1,'For stats end Y DB'!$A:$G,5,0)),0,VLOOKUP($A103&amp;I$1,'For stats end Y DB'!$A:$G,5,0))</f>
        <v>0</v>
      </c>
      <c r="J103">
        <f>IF(ISNA(VLOOKUP($A103&amp;J$1,'For stats end Y DB'!$A:$G,5,0)),0,VLOOKUP($A103&amp;J$1,'For stats end Y DB'!$A:$G,5,0))</f>
        <v>9</v>
      </c>
      <c r="K103">
        <f>IF(ISNA(VLOOKUP($A103&amp;K$1,'For stats end Y DB'!$A:$G,5,0)),0,VLOOKUP($A103&amp;K$1,'For stats end Y DB'!$A:$G,5,0))</f>
        <v>4</v>
      </c>
      <c r="L103">
        <f>IF(ISNA(VLOOKUP($A103&amp;L$1,'For stats end Y DB'!$A:$G,5,0)),0,VLOOKUP($A103&amp;L$1,'For stats end Y DB'!$A:$G,5,0))</f>
        <v>0</v>
      </c>
      <c r="M103">
        <f>IF(ISNA(VLOOKUP($A103&amp;M$1,'For stats end Y DB'!$A:$G,5,0)),0,VLOOKUP($A103&amp;M$1,'For stats end Y DB'!$A:$G,5,0))</f>
        <v>8</v>
      </c>
      <c r="N103">
        <f>IF(ISNA(VLOOKUP($A103&amp;N$1,'For stats end Y DB'!$A:$G,5,0)),0,VLOOKUP($A103&amp;N$1,'For stats end Y DB'!$A:$G,5,0))</f>
        <v>4</v>
      </c>
      <c r="O103">
        <f>IF(ISNA(VLOOKUP($A103&amp;O$1,'For stats end Y DB'!$A:$G,5,0)),0,VLOOKUP($A103&amp;O$1,'For stats end Y DB'!$A:$G,5,0))</f>
        <v>0</v>
      </c>
      <c r="P103">
        <f>IF(ISNA(VLOOKUP($A103&amp;P$1,'For stats end Y DB'!$A:$G,5,0)),0,VLOOKUP($A103&amp;P$1,'For stats end Y DB'!$A:$G,5,0))</f>
        <v>0</v>
      </c>
      <c r="Q103">
        <f>IF(ISNA(VLOOKUP($A103&amp;Q$1,'For stats end Y DB'!$A:$G,5,0)),0,VLOOKUP($A103&amp;Q$1,'For stats end Y DB'!$A:$G,5,0))</f>
        <v>0</v>
      </c>
      <c r="R103">
        <f>IF(ISNA(VLOOKUP($A103&amp;R$1,'For stats end Y DB'!$A:$G,5,0)),0,VLOOKUP($A103&amp;R$1,'For stats end Y DB'!$A:$G,5,0))</f>
        <v>0</v>
      </c>
      <c r="S103">
        <f>IF(ISNA(VLOOKUP($A103&amp;S$1,'For stats end Y DB'!$A:$G,5,0)),0,VLOOKUP($A103&amp;S$1,'For stats end Y DB'!$A:$G,5,0))</f>
        <v>17</v>
      </c>
      <c r="T103">
        <f>IF(ISNA(VLOOKUP($A103&amp;T$1,'For stats end Y DB'!$A:$G,5,0)),0,VLOOKUP($A103&amp;T$1,'For stats end Y DB'!$A:$G,5,0))</f>
        <v>0</v>
      </c>
      <c r="U103">
        <f>IF(ISNA(VLOOKUP($A103&amp;U$1,'For stats end Y DB'!$A:$G,5,0)),0,VLOOKUP($A103&amp;U$1,'For stats end Y DB'!$A:$G,5,0))</f>
        <v>0</v>
      </c>
      <c r="V103">
        <f>IF(ISNA(VLOOKUP($A103&amp;V$1,'For stats end Y DB'!$A:$G,5,0)),0,VLOOKUP($A103&amp;V$1,'For stats end Y DB'!$A:$G,5,0))</f>
        <v>4</v>
      </c>
      <c r="W103">
        <f>IF(ISNA(VLOOKUP($A103&amp;W$1,'For stats end Y DB'!$A:$G,5,0)),0,VLOOKUP($A103&amp;W$1,'For stats end Y DB'!$A:$G,5,0))</f>
        <v>0</v>
      </c>
      <c r="X103">
        <f>IF(ISNA(VLOOKUP($A103&amp;X$1,'For stats end Y DB'!$A:$G,5,0)),0,VLOOKUP($A103&amp;X$1,'For stats end Y DB'!$A:$G,5,0))</f>
        <v>5</v>
      </c>
      <c r="Y103">
        <f>IF(ISNA(VLOOKUP($A103&amp;Y$1,'For stats end Y DB'!$A:$G,5,0)),0,VLOOKUP($A103&amp;Y$1,'For stats end Y DB'!$A:$G,5,0))</f>
        <v>0</v>
      </c>
      <c r="Z103">
        <f>IF(ISNA(VLOOKUP($A103&amp;Z$1,'For stats end Y DB'!$A:$G,5,0)),0,VLOOKUP($A103&amp;Z$1,'For stats end Y DB'!$A:$G,5,0))</f>
        <v>0</v>
      </c>
      <c r="AA103">
        <f>IF(ISNA(VLOOKUP($A103&amp;AA$1,'For stats end Y DB'!$A:$G,5,0)),0,VLOOKUP($A103&amp;AA$1,'For stats end Y DB'!$A:$G,5,0))</f>
        <v>12</v>
      </c>
      <c r="AB103">
        <f>IF(ISNA(VLOOKUP($A103&amp;AB$1,'For stats end Y DB'!$A:$G,5,0)),0,VLOOKUP($A103&amp;AB$1,'For stats end Y DB'!$A:$G,5,0))</f>
        <v>0</v>
      </c>
      <c r="AC103">
        <f>IF(ISNA(VLOOKUP($A103&amp;AC$1,'For stats end Y DB'!$A:$G,5,0)),0,VLOOKUP($A103&amp;AC$1,'For stats end Y DB'!$A:$G,5,0))</f>
        <v>16</v>
      </c>
      <c r="AD103">
        <f>IF(ISNA(VLOOKUP($A103&amp;AD$1,'For stats end Y DB'!$A:$G,5,0)),0,VLOOKUP($A103&amp;AD$1,'For stats end Y DB'!$A:$G,5,0))</f>
        <v>12</v>
      </c>
      <c r="AE103">
        <f>IF(ISNA(VLOOKUP($A103&amp;AE$1,'For stats end Y DB'!$A:$G,5,0)),0,VLOOKUP($A103&amp;AE$1,'For stats end Y DB'!$A:$G,5,0))</f>
        <v>5</v>
      </c>
      <c r="AF103">
        <f>IF(ISNA(VLOOKUP($A103&amp;AF$1,'For stats end Y DB'!$A:$G,5,0)),0,VLOOKUP($A103&amp;AF$1,'For stats end Y DB'!$A:$G,5,0))</f>
        <v>8</v>
      </c>
      <c r="AG103">
        <f>IF(ISNA(VLOOKUP($A103&amp;AG$1,'For stats end Y DB'!$A:$G,5,0)),0,VLOOKUP($A103&amp;AG$1,'For stats end Y DB'!$A:$G,5,0))</f>
        <v>0</v>
      </c>
      <c r="AH103">
        <f>IF(ISNA(VLOOKUP($A103&amp;AH$1,'For stats end Y DB'!$A:$G,5,0)),0,VLOOKUP($A103&amp;AH$1,'For stats end Y DB'!$A:$G,5,0))</f>
        <v>0</v>
      </c>
      <c r="AI103">
        <f>IF(ISNA(VLOOKUP($A103&amp;AI$1,'For stats end Y DB'!$A:$G,5,0)),0,VLOOKUP($A103&amp;AI$1,'For stats end Y DB'!$A:$G,5,0))</f>
        <v>0</v>
      </c>
      <c r="AJ103">
        <f>IF(ISNA(VLOOKUP($A103&amp;AJ$1,'For stats end Y DB'!$A:$G,5,0)),0,VLOOKUP($A103&amp;AJ$1,'For stats end Y DB'!$A:$G,5,0))</f>
        <v>0</v>
      </c>
      <c r="AK103">
        <f>IF(ISNA(VLOOKUP($A103&amp;AK$1,'For stats end Y DB'!$A:$G,5,0)),0,VLOOKUP($A103&amp;AK$1,'For stats end Y DB'!$A:$G,5,0))</f>
        <v>0</v>
      </c>
      <c r="AL103">
        <f>IF(ISNA(VLOOKUP($A103&amp;AL$1,'For stats end Y DB'!$A:$G,5,0)),0,VLOOKUP($A103&amp;AL$1,'For stats end Y DB'!$A:$G,5,0))</f>
        <v>0</v>
      </c>
      <c r="AM103">
        <f>IF(ISNA(VLOOKUP($A103&amp;AM$1,'For stats end Y DB'!$A:$G,5,0)),0,VLOOKUP($A103&amp;AM$1,'For stats end Y DB'!$A:$G,5,0))</f>
        <v>0</v>
      </c>
      <c r="AN103">
        <f>IF(ISNA(VLOOKUP($A103&amp;AN$1,'For stats end Y DB'!$A:$G,5,0)),0,VLOOKUP($A103&amp;AN$1,'For stats end Y DB'!$A:$G,5,0))</f>
        <v>0</v>
      </c>
    </row>
    <row r="104" spans="1:40" x14ac:dyDescent="0.2">
      <c r="A104" t="str">
        <f>'For stats end Y class'!A104</f>
        <v>YooooDA</v>
      </c>
      <c r="B104">
        <f>IF(ISNA(VLOOKUP($A104&amp;B$1,'For stats end Y DB'!$A:$G,5,0)),0,VLOOKUP($A104&amp;B$1,'For stats end Y DB'!$A:$G,5,0))</f>
        <v>12</v>
      </c>
      <c r="C104">
        <f>IF(ISNA(VLOOKUP($A104&amp;C$1,'For stats end Y DB'!$A:$G,5,0)),0,VLOOKUP($A104&amp;C$1,'For stats end Y DB'!$A:$G,5,0))</f>
        <v>17</v>
      </c>
      <c r="D104">
        <f>IF(ISNA(VLOOKUP($A104&amp;D$1,'For stats end Y DB'!$A:$G,5,0)),0,VLOOKUP($A104&amp;D$1,'For stats end Y DB'!$A:$G,5,0))</f>
        <v>17</v>
      </c>
      <c r="E104">
        <f>IF(ISNA(VLOOKUP($A104&amp;E$1,'For stats end Y DB'!$A:$G,5,0)),0,VLOOKUP($A104&amp;E$1,'For stats end Y DB'!$A:$G,5,0))</f>
        <v>17</v>
      </c>
      <c r="F104">
        <f>IF(ISNA(VLOOKUP($A104&amp;F$1,'For stats end Y DB'!$A:$G,5,0)),0,VLOOKUP($A104&amp;F$1,'For stats end Y DB'!$A:$G,5,0))</f>
        <v>2</v>
      </c>
      <c r="G104">
        <f>IF(ISNA(VLOOKUP($A104&amp;G$1,'For stats end Y DB'!$A:$G,5,0)),0,VLOOKUP($A104&amp;G$1,'For stats end Y DB'!$A:$G,5,0))</f>
        <v>3</v>
      </c>
      <c r="H104">
        <f>IF(ISNA(VLOOKUP($A104&amp;H$1,'For stats end Y DB'!$A:$G,5,0)),0,VLOOKUP($A104&amp;H$1,'For stats end Y DB'!$A:$G,5,0))</f>
        <v>3</v>
      </c>
      <c r="I104">
        <f>IF(ISNA(VLOOKUP($A104&amp;I$1,'For stats end Y DB'!$A:$G,5,0)),0,VLOOKUP($A104&amp;I$1,'For stats end Y DB'!$A:$G,5,0))</f>
        <v>2</v>
      </c>
      <c r="J104">
        <f>IF(ISNA(VLOOKUP($A104&amp;J$1,'For stats end Y DB'!$A:$G,5,0)),0,VLOOKUP($A104&amp;J$1,'For stats end Y DB'!$A:$G,5,0))</f>
        <v>3</v>
      </c>
      <c r="K104">
        <f>IF(ISNA(VLOOKUP($A104&amp;K$1,'For stats end Y DB'!$A:$G,5,0)),0,VLOOKUP($A104&amp;K$1,'For stats end Y DB'!$A:$G,5,0))</f>
        <v>0</v>
      </c>
      <c r="L104">
        <f>IF(ISNA(VLOOKUP($A104&amp;L$1,'For stats end Y DB'!$A:$G,5,0)),0,VLOOKUP($A104&amp;L$1,'For stats end Y DB'!$A:$G,5,0))</f>
        <v>2</v>
      </c>
      <c r="M104">
        <f>IF(ISNA(VLOOKUP($A104&amp;M$1,'For stats end Y DB'!$A:$G,5,0)),0,VLOOKUP($A104&amp;M$1,'For stats end Y DB'!$A:$G,5,0))</f>
        <v>8</v>
      </c>
      <c r="N104">
        <f>IF(ISNA(VLOOKUP($A104&amp;N$1,'For stats end Y DB'!$A:$G,5,0)),0,VLOOKUP($A104&amp;N$1,'For stats end Y DB'!$A:$G,5,0))</f>
        <v>1</v>
      </c>
      <c r="O104">
        <f>IF(ISNA(VLOOKUP($A104&amp;O$1,'For stats end Y DB'!$A:$G,5,0)),0,VLOOKUP($A104&amp;O$1,'For stats end Y DB'!$A:$G,5,0))</f>
        <v>0</v>
      </c>
      <c r="P104">
        <f>IF(ISNA(VLOOKUP($A104&amp;P$1,'For stats end Y DB'!$A:$G,5,0)),0,VLOOKUP($A104&amp;P$1,'For stats end Y DB'!$A:$G,5,0))</f>
        <v>0</v>
      </c>
      <c r="Q104">
        <f>IF(ISNA(VLOOKUP($A104&amp;Q$1,'For stats end Y DB'!$A:$G,5,0)),0,VLOOKUP($A104&amp;Q$1,'For stats end Y DB'!$A:$G,5,0))</f>
        <v>0</v>
      </c>
      <c r="R104">
        <f>IF(ISNA(VLOOKUP($A104&amp;R$1,'For stats end Y DB'!$A:$G,5,0)),0,VLOOKUP($A104&amp;R$1,'For stats end Y DB'!$A:$G,5,0))</f>
        <v>0</v>
      </c>
      <c r="S104">
        <f>IF(ISNA(VLOOKUP($A104&amp;S$1,'For stats end Y DB'!$A:$G,5,0)),0,VLOOKUP($A104&amp;S$1,'For stats end Y DB'!$A:$G,5,0))</f>
        <v>5</v>
      </c>
      <c r="T104">
        <f>IF(ISNA(VLOOKUP($A104&amp;T$1,'For stats end Y DB'!$A:$G,5,0)),0,VLOOKUP($A104&amp;T$1,'For stats end Y DB'!$A:$G,5,0))</f>
        <v>0</v>
      </c>
      <c r="U104">
        <f>IF(ISNA(VLOOKUP($A104&amp;U$1,'For stats end Y DB'!$A:$G,5,0)),0,VLOOKUP($A104&amp;U$1,'For stats end Y DB'!$A:$G,5,0))</f>
        <v>0</v>
      </c>
      <c r="V104">
        <f>IF(ISNA(VLOOKUP($A104&amp;V$1,'For stats end Y DB'!$A:$G,5,0)),0,VLOOKUP($A104&amp;V$1,'For stats end Y DB'!$A:$G,5,0))</f>
        <v>5</v>
      </c>
      <c r="W104">
        <f>IF(ISNA(VLOOKUP($A104&amp;W$1,'For stats end Y DB'!$A:$G,5,0)),0,VLOOKUP($A104&amp;W$1,'For stats end Y DB'!$A:$G,5,0))</f>
        <v>0</v>
      </c>
      <c r="X104">
        <f>IF(ISNA(VLOOKUP($A104&amp;X$1,'For stats end Y DB'!$A:$G,5,0)),0,VLOOKUP($A104&amp;X$1,'For stats end Y DB'!$A:$G,5,0))</f>
        <v>8</v>
      </c>
      <c r="Y104">
        <f>IF(ISNA(VLOOKUP($A104&amp;Y$1,'For stats end Y DB'!$A:$G,5,0)),0,VLOOKUP($A104&amp;Y$1,'For stats end Y DB'!$A:$G,5,0))</f>
        <v>9</v>
      </c>
      <c r="Z104">
        <f>IF(ISNA(VLOOKUP($A104&amp;Z$1,'For stats end Y DB'!$A:$G,5,0)),0,VLOOKUP($A104&amp;Z$1,'For stats end Y DB'!$A:$G,5,0))</f>
        <v>0</v>
      </c>
      <c r="AA104">
        <f>IF(ISNA(VLOOKUP($A104&amp;AA$1,'For stats end Y DB'!$A:$G,5,0)),0,VLOOKUP($A104&amp;AA$1,'For stats end Y DB'!$A:$G,5,0))</f>
        <v>0</v>
      </c>
      <c r="AB104">
        <f>IF(ISNA(VLOOKUP($A104&amp;AB$1,'For stats end Y DB'!$A:$G,5,0)),0,VLOOKUP($A104&amp;AB$1,'For stats end Y DB'!$A:$G,5,0))</f>
        <v>0</v>
      </c>
      <c r="AC104">
        <f>IF(ISNA(VLOOKUP($A104&amp;AC$1,'For stats end Y DB'!$A:$G,5,0)),0,VLOOKUP($A104&amp;AC$1,'For stats end Y DB'!$A:$G,5,0))</f>
        <v>16</v>
      </c>
      <c r="AD104">
        <f>IF(ISNA(VLOOKUP($A104&amp;AD$1,'For stats end Y DB'!$A:$G,5,0)),0,VLOOKUP($A104&amp;AD$1,'For stats end Y DB'!$A:$G,5,0))</f>
        <v>1</v>
      </c>
      <c r="AE104">
        <f>IF(ISNA(VLOOKUP($A104&amp;AE$1,'For stats end Y DB'!$A:$G,5,0)),0,VLOOKUP($A104&amp;AE$1,'For stats end Y DB'!$A:$G,5,0))</f>
        <v>0</v>
      </c>
      <c r="AF104">
        <f>IF(ISNA(VLOOKUP($A104&amp;AF$1,'For stats end Y DB'!$A:$G,5,0)),0,VLOOKUP($A104&amp;AF$1,'For stats end Y DB'!$A:$G,5,0))</f>
        <v>0</v>
      </c>
      <c r="AG104">
        <f>IF(ISNA(VLOOKUP($A104&amp;AG$1,'For stats end Y DB'!$A:$G,5,0)),0,VLOOKUP($A104&amp;AG$1,'For stats end Y DB'!$A:$G,5,0))</f>
        <v>0</v>
      </c>
      <c r="AH104">
        <f>IF(ISNA(VLOOKUP($A104&amp;AH$1,'For stats end Y DB'!$A:$G,5,0)),0,VLOOKUP($A104&amp;AH$1,'For stats end Y DB'!$A:$G,5,0))</f>
        <v>0</v>
      </c>
      <c r="AI104">
        <f>IF(ISNA(VLOOKUP($A104&amp;AI$1,'For stats end Y DB'!$A:$G,5,0)),0,VLOOKUP($A104&amp;AI$1,'For stats end Y DB'!$A:$G,5,0))</f>
        <v>0</v>
      </c>
      <c r="AJ104">
        <f>IF(ISNA(VLOOKUP($A104&amp;AJ$1,'For stats end Y DB'!$A:$G,5,0)),0,VLOOKUP($A104&amp;AJ$1,'For stats end Y DB'!$A:$G,5,0))</f>
        <v>0</v>
      </c>
      <c r="AK104">
        <f>IF(ISNA(VLOOKUP($A104&amp;AK$1,'For stats end Y DB'!$A:$G,5,0)),0,VLOOKUP($A104&amp;AK$1,'For stats end Y DB'!$A:$G,5,0))</f>
        <v>0</v>
      </c>
      <c r="AL104">
        <f>IF(ISNA(VLOOKUP($A104&amp;AL$1,'For stats end Y DB'!$A:$G,5,0)),0,VLOOKUP($A104&amp;AL$1,'For stats end Y DB'!$A:$G,5,0))</f>
        <v>0</v>
      </c>
      <c r="AM104">
        <f>IF(ISNA(VLOOKUP($A104&amp;AM$1,'For stats end Y DB'!$A:$G,5,0)),0,VLOOKUP($A104&amp;AM$1,'For stats end Y DB'!$A:$G,5,0))</f>
        <v>0</v>
      </c>
      <c r="AN104">
        <f>IF(ISNA(VLOOKUP($A104&amp;AN$1,'For stats end Y DB'!$A:$G,5,0)),0,VLOOKUP($A104&amp;AN$1,'For stats end Y DB'!$A:$G,5,0))</f>
        <v>0</v>
      </c>
    </row>
    <row r="105" spans="1:40" x14ac:dyDescent="0.2">
      <c r="A105" t="str">
        <f>'For stats end Y class'!A105</f>
        <v>Yroz</v>
      </c>
      <c r="B105">
        <f>IF(ISNA(VLOOKUP($A105&amp;B$1,'For stats end Y DB'!$A:$G,5,0)),0,VLOOKUP($A105&amp;B$1,'For stats end Y DB'!$A:$G,5,0))</f>
        <v>0</v>
      </c>
      <c r="C105">
        <f>IF(ISNA(VLOOKUP($A105&amp;C$1,'For stats end Y DB'!$A:$G,5,0)),0,VLOOKUP($A105&amp;C$1,'For stats end Y DB'!$A:$G,5,0))</f>
        <v>9</v>
      </c>
      <c r="D105">
        <f>IF(ISNA(VLOOKUP($A105&amp;D$1,'For stats end Y DB'!$A:$G,5,0)),0,VLOOKUP($A105&amp;D$1,'For stats end Y DB'!$A:$G,5,0))</f>
        <v>8</v>
      </c>
      <c r="E105">
        <f>IF(ISNA(VLOOKUP($A105&amp;E$1,'For stats end Y DB'!$A:$G,5,0)),0,VLOOKUP($A105&amp;E$1,'For stats end Y DB'!$A:$G,5,0))</f>
        <v>3</v>
      </c>
      <c r="F105">
        <f>IF(ISNA(VLOOKUP($A105&amp;F$1,'For stats end Y DB'!$A:$G,5,0)),0,VLOOKUP($A105&amp;F$1,'For stats end Y DB'!$A:$G,5,0))</f>
        <v>0</v>
      </c>
      <c r="G105">
        <f>IF(ISNA(VLOOKUP($A105&amp;G$1,'For stats end Y DB'!$A:$G,5,0)),0,VLOOKUP($A105&amp;G$1,'For stats end Y DB'!$A:$G,5,0))</f>
        <v>0</v>
      </c>
      <c r="H105">
        <f>IF(ISNA(VLOOKUP($A105&amp;H$1,'For stats end Y DB'!$A:$G,5,0)),0,VLOOKUP($A105&amp;H$1,'For stats end Y DB'!$A:$G,5,0))</f>
        <v>0</v>
      </c>
      <c r="I105">
        <f>IF(ISNA(VLOOKUP($A105&amp;I$1,'For stats end Y DB'!$A:$G,5,0)),0,VLOOKUP($A105&amp;I$1,'For stats end Y DB'!$A:$G,5,0))</f>
        <v>13</v>
      </c>
      <c r="J105">
        <f>IF(ISNA(VLOOKUP($A105&amp;J$1,'For stats end Y DB'!$A:$G,5,0)),0,VLOOKUP($A105&amp;J$1,'For stats end Y DB'!$A:$G,5,0))</f>
        <v>1</v>
      </c>
      <c r="K105">
        <f>IF(ISNA(VLOOKUP($A105&amp;K$1,'For stats end Y DB'!$A:$G,5,0)),0,VLOOKUP($A105&amp;K$1,'For stats end Y DB'!$A:$G,5,0))</f>
        <v>1</v>
      </c>
      <c r="L105">
        <f>IF(ISNA(VLOOKUP($A105&amp;L$1,'For stats end Y DB'!$A:$G,5,0)),0,VLOOKUP($A105&amp;L$1,'For stats end Y DB'!$A:$G,5,0))</f>
        <v>11</v>
      </c>
      <c r="M105">
        <f>IF(ISNA(VLOOKUP($A105&amp;M$1,'For stats end Y DB'!$A:$G,5,0)),0,VLOOKUP($A105&amp;M$1,'For stats end Y DB'!$A:$G,5,0))</f>
        <v>5</v>
      </c>
      <c r="N105">
        <f>IF(ISNA(VLOOKUP($A105&amp;N$1,'For stats end Y DB'!$A:$G,5,0)),0,VLOOKUP($A105&amp;N$1,'For stats end Y DB'!$A:$G,5,0))</f>
        <v>0</v>
      </c>
      <c r="O105">
        <f>IF(ISNA(VLOOKUP($A105&amp;O$1,'For stats end Y DB'!$A:$G,5,0)),0,VLOOKUP($A105&amp;O$1,'For stats end Y DB'!$A:$G,5,0))</f>
        <v>0</v>
      </c>
      <c r="P105">
        <f>IF(ISNA(VLOOKUP($A105&amp;P$1,'For stats end Y DB'!$A:$G,5,0)),0,VLOOKUP($A105&amp;P$1,'For stats end Y DB'!$A:$G,5,0))</f>
        <v>2</v>
      </c>
      <c r="Q105">
        <f>IF(ISNA(VLOOKUP($A105&amp;Q$1,'For stats end Y DB'!$A:$G,5,0)),0,VLOOKUP($A105&amp;Q$1,'For stats end Y DB'!$A:$G,5,0))</f>
        <v>9</v>
      </c>
      <c r="R105">
        <f>IF(ISNA(VLOOKUP($A105&amp;R$1,'For stats end Y DB'!$A:$G,5,0)),0,VLOOKUP($A105&amp;R$1,'For stats end Y DB'!$A:$G,5,0))</f>
        <v>0</v>
      </c>
      <c r="S105">
        <f>IF(ISNA(VLOOKUP($A105&amp;S$1,'For stats end Y DB'!$A:$G,5,0)),0,VLOOKUP($A105&amp;S$1,'For stats end Y DB'!$A:$G,5,0))</f>
        <v>1</v>
      </c>
      <c r="T105">
        <f>IF(ISNA(VLOOKUP($A105&amp;T$1,'For stats end Y DB'!$A:$G,5,0)),0,VLOOKUP($A105&amp;T$1,'For stats end Y DB'!$A:$G,5,0))</f>
        <v>2</v>
      </c>
      <c r="U105">
        <f>IF(ISNA(VLOOKUP($A105&amp;U$1,'For stats end Y DB'!$A:$G,5,0)),0,VLOOKUP($A105&amp;U$1,'For stats end Y DB'!$A:$G,5,0))</f>
        <v>0</v>
      </c>
      <c r="V105">
        <f>IF(ISNA(VLOOKUP($A105&amp;V$1,'For stats end Y DB'!$A:$G,5,0)),0,VLOOKUP($A105&amp;V$1,'For stats end Y DB'!$A:$G,5,0))</f>
        <v>0</v>
      </c>
      <c r="W105">
        <f>IF(ISNA(VLOOKUP($A105&amp;W$1,'For stats end Y DB'!$A:$G,5,0)),0,VLOOKUP($A105&amp;W$1,'For stats end Y DB'!$A:$G,5,0))</f>
        <v>4</v>
      </c>
      <c r="X105">
        <f>IF(ISNA(VLOOKUP($A105&amp;X$1,'For stats end Y DB'!$A:$G,5,0)),0,VLOOKUP($A105&amp;X$1,'For stats end Y DB'!$A:$G,5,0))</f>
        <v>0</v>
      </c>
      <c r="Y105">
        <f>IF(ISNA(VLOOKUP($A105&amp;Y$1,'For stats end Y DB'!$A:$G,5,0)),0,VLOOKUP($A105&amp;Y$1,'For stats end Y DB'!$A:$G,5,0))</f>
        <v>3</v>
      </c>
      <c r="Z105">
        <f>IF(ISNA(VLOOKUP($A105&amp;Z$1,'For stats end Y DB'!$A:$G,5,0)),0,VLOOKUP($A105&amp;Z$1,'For stats end Y DB'!$A:$G,5,0))</f>
        <v>0</v>
      </c>
      <c r="AA105">
        <f>IF(ISNA(VLOOKUP($A105&amp;AA$1,'For stats end Y DB'!$A:$G,5,0)),0,VLOOKUP($A105&amp;AA$1,'For stats end Y DB'!$A:$G,5,0))</f>
        <v>0</v>
      </c>
      <c r="AB105">
        <f>IF(ISNA(VLOOKUP($A105&amp;AB$1,'For stats end Y DB'!$A:$G,5,0)),0,VLOOKUP($A105&amp;AB$1,'For stats end Y DB'!$A:$G,5,0))</f>
        <v>12</v>
      </c>
      <c r="AC105">
        <f>IF(ISNA(VLOOKUP($A105&amp;AC$1,'For stats end Y DB'!$A:$G,5,0)),0,VLOOKUP($A105&amp;AC$1,'For stats end Y DB'!$A:$G,5,0))</f>
        <v>0</v>
      </c>
      <c r="AD105">
        <f>IF(ISNA(VLOOKUP($A105&amp;AD$1,'For stats end Y DB'!$A:$G,5,0)),0,VLOOKUP($A105&amp;AD$1,'For stats end Y DB'!$A:$G,5,0))</f>
        <v>5</v>
      </c>
      <c r="AE105">
        <f>IF(ISNA(VLOOKUP($A105&amp;AE$1,'For stats end Y DB'!$A:$G,5,0)),0,VLOOKUP($A105&amp;AE$1,'For stats end Y DB'!$A:$G,5,0))</f>
        <v>0</v>
      </c>
      <c r="AF105">
        <f>IF(ISNA(VLOOKUP($A105&amp;AF$1,'For stats end Y DB'!$A:$G,5,0)),0,VLOOKUP($A105&amp;AF$1,'For stats end Y DB'!$A:$G,5,0))</f>
        <v>0</v>
      </c>
      <c r="AG105">
        <f>IF(ISNA(VLOOKUP($A105&amp;AG$1,'For stats end Y DB'!$A:$G,5,0)),0,VLOOKUP($A105&amp;AG$1,'For stats end Y DB'!$A:$G,5,0))</f>
        <v>0</v>
      </c>
      <c r="AH105">
        <f>IF(ISNA(VLOOKUP($A105&amp;AH$1,'For stats end Y DB'!$A:$G,5,0)),0,VLOOKUP($A105&amp;AH$1,'For stats end Y DB'!$A:$G,5,0))</f>
        <v>1</v>
      </c>
      <c r="AI105">
        <f>IF(ISNA(VLOOKUP($A105&amp;AI$1,'For stats end Y DB'!$A:$G,5,0)),0,VLOOKUP($A105&amp;AI$1,'For stats end Y DB'!$A:$G,5,0))</f>
        <v>0</v>
      </c>
      <c r="AJ105">
        <f>IF(ISNA(VLOOKUP($A105&amp;AJ$1,'For stats end Y DB'!$A:$G,5,0)),0,VLOOKUP($A105&amp;AJ$1,'For stats end Y DB'!$A:$G,5,0))</f>
        <v>0</v>
      </c>
      <c r="AK105">
        <f>IF(ISNA(VLOOKUP($A105&amp;AK$1,'For stats end Y DB'!$A:$G,5,0)),0,VLOOKUP($A105&amp;AK$1,'For stats end Y DB'!$A:$G,5,0))</f>
        <v>0</v>
      </c>
      <c r="AL105">
        <f>IF(ISNA(VLOOKUP($A105&amp;AL$1,'For stats end Y DB'!$A:$G,5,0)),0,VLOOKUP($A105&amp;AL$1,'For stats end Y DB'!$A:$G,5,0))</f>
        <v>0</v>
      </c>
      <c r="AM105">
        <f>IF(ISNA(VLOOKUP($A105&amp;AM$1,'For stats end Y DB'!$A:$G,5,0)),0,VLOOKUP($A105&amp;AM$1,'For stats end Y DB'!$A:$G,5,0))</f>
        <v>0</v>
      </c>
      <c r="AN105">
        <f>IF(ISNA(VLOOKUP($A105&amp;AN$1,'For stats end Y DB'!$A:$G,5,0)),0,VLOOKUP($A105&amp;AN$1,'For stats end Y DB'!$A:$G,5,0))</f>
        <v>0</v>
      </c>
    </row>
    <row r="106" spans="1:40" x14ac:dyDescent="0.2">
      <c r="A106" t="str">
        <f>'For stats end Y class'!A106</f>
        <v>Zizou</v>
      </c>
      <c r="B106">
        <f>IF(ISNA(VLOOKUP($A106&amp;B$1,'For stats end Y DB'!$A:$G,5,0)),0,VLOOKUP($A106&amp;B$1,'For stats end Y DB'!$A:$G,5,0))</f>
        <v>8</v>
      </c>
      <c r="C106">
        <f>IF(ISNA(VLOOKUP($A106&amp;C$1,'For stats end Y DB'!$A:$G,5,0)),0,VLOOKUP($A106&amp;C$1,'For stats end Y DB'!$A:$G,5,0))</f>
        <v>5</v>
      </c>
      <c r="D106">
        <f>IF(ISNA(VLOOKUP($A106&amp;D$1,'For stats end Y DB'!$A:$G,5,0)),0,VLOOKUP($A106&amp;D$1,'For stats end Y DB'!$A:$G,5,0))</f>
        <v>1</v>
      </c>
      <c r="E106">
        <f>IF(ISNA(VLOOKUP($A106&amp;E$1,'For stats end Y DB'!$A:$G,5,0)),0,VLOOKUP($A106&amp;E$1,'For stats end Y DB'!$A:$G,5,0))</f>
        <v>3</v>
      </c>
      <c r="F106">
        <f>IF(ISNA(VLOOKUP($A106&amp;F$1,'For stats end Y DB'!$A:$G,5,0)),0,VLOOKUP($A106&amp;F$1,'For stats end Y DB'!$A:$G,5,0))</f>
        <v>0</v>
      </c>
      <c r="G106">
        <f>IF(ISNA(VLOOKUP($A106&amp;G$1,'For stats end Y DB'!$A:$G,5,0)),0,VLOOKUP($A106&amp;G$1,'For stats end Y DB'!$A:$G,5,0))</f>
        <v>13</v>
      </c>
      <c r="H106">
        <f>IF(ISNA(VLOOKUP($A106&amp;H$1,'For stats end Y DB'!$A:$G,5,0)),0,VLOOKUP($A106&amp;H$1,'For stats end Y DB'!$A:$G,5,0))</f>
        <v>0</v>
      </c>
      <c r="I106">
        <f>IF(ISNA(VLOOKUP($A106&amp;I$1,'For stats end Y DB'!$A:$G,5,0)),0,VLOOKUP($A106&amp;I$1,'For stats end Y DB'!$A:$G,5,0))</f>
        <v>1</v>
      </c>
      <c r="J106">
        <f>IF(ISNA(VLOOKUP($A106&amp;J$1,'For stats end Y DB'!$A:$G,5,0)),0,VLOOKUP($A106&amp;J$1,'For stats end Y DB'!$A:$G,5,0))</f>
        <v>4</v>
      </c>
      <c r="K106">
        <f>IF(ISNA(VLOOKUP($A106&amp;K$1,'For stats end Y DB'!$A:$G,5,0)),0,VLOOKUP($A106&amp;K$1,'For stats end Y DB'!$A:$G,5,0))</f>
        <v>16</v>
      </c>
      <c r="L106">
        <f>IF(ISNA(VLOOKUP($A106&amp;L$1,'For stats end Y DB'!$A:$G,5,0)),0,VLOOKUP($A106&amp;L$1,'For stats end Y DB'!$A:$G,5,0))</f>
        <v>0</v>
      </c>
      <c r="M106">
        <f>IF(ISNA(VLOOKUP($A106&amp;M$1,'For stats end Y DB'!$A:$G,5,0)),0,VLOOKUP($A106&amp;M$1,'For stats end Y DB'!$A:$G,5,0))</f>
        <v>1</v>
      </c>
      <c r="N106">
        <f>IF(ISNA(VLOOKUP($A106&amp;N$1,'For stats end Y DB'!$A:$G,5,0)),0,VLOOKUP($A106&amp;N$1,'For stats end Y DB'!$A:$G,5,0))</f>
        <v>16</v>
      </c>
      <c r="O106">
        <f>IF(ISNA(VLOOKUP($A106&amp;O$1,'For stats end Y DB'!$A:$G,5,0)),0,VLOOKUP($A106&amp;O$1,'For stats end Y DB'!$A:$G,5,0))</f>
        <v>3</v>
      </c>
      <c r="P106">
        <f>IF(ISNA(VLOOKUP($A106&amp;P$1,'For stats end Y DB'!$A:$G,5,0)),0,VLOOKUP($A106&amp;P$1,'For stats end Y DB'!$A:$G,5,0))</f>
        <v>2</v>
      </c>
      <c r="Q106">
        <f>IF(ISNA(VLOOKUP($A106&amp;Q$1,'For stats end Y DB'!$A:$G,5,0)),0,VLOOKUP($A106&amp;Q$1,'For stats end Y DB'!$A:$G,5,0))</f>
        <v>3</v>
      </c>
      <c r="R106">
        <f>IF(ISNA(VLOOKUP($A106&amp;R$1,'For stats end Y DB'!$A:$G,5,0)),0,VLOOKUP($A106&amp;R$1,'For stats end Y DB'!$A:$G,5,0))</f>
        <v>2</v>
      </c>
      <c r="S106">
        <f>IF(ISNA(VLOOKUP($A106&amp;S$1,'For stats end Y DB'!$A:$G,5,0)),0,VLOOKUP($A106&amp;S$1,'For stats end Y DB'!$A:$G,5,0))</f>
        <v>9</v>
      </c>
      <c r="T106">
        <f>IF(ISNA(VLOOKUP($A106&amp;T$1,'For stats end Y DB'!$A:$G,5,0)),0,VLOOKUP($A106&amp;T$1,'For stats end Y DB'!$A:$G,5,0))</f>
        <v>16</v>
      </c>
      <c r="U106">
        <f>IF(ISNA(VLOOKUP($A106&amp;U$1,'For stats end Y DB'!$A:$G,5,0)),0,VLOOKUP($A106&amp;U$1,'For stats end Y DB'!$A:$G,5,0))</f>
        <v>4</v>
      </c>
      <c r="V106">
        <f>IF(ISNA(VLOOKUP($A106&amp;V$1,'For stats end Y DB'!$A:$G,5,0)),0,VLOOKUP($A106&amp;V$1,'For stats end Y DB'!$A:$G,5,0))</f>
        <v>1</v>
      </c>
      <c r="W106">
        <f>IF(ISNA(VLOOKUP($A106&amp;W$1,'For stats end Y DB'!$A:$G,5,0)),0,VLOOKUP($A106&amp;W$1,'For stats end Y DB'!$A:$G,5,0))</f>
        <v>9</v>
      </c>
      <c r="X106">
        <f>IF(ISNA(VLOOKUP($A106&amp;X$1,'For stats end Y DB'!$A:$G,5,0)),0,VLOOKUP($A106&amp;X$1,'For stats end Y DB'!$A:$G,5,0))</f>
        <v>13</v>
      </c>
      <c r="Y106">
        <f>IF(ISNA(VLOOKUP($A106&amp;Y$1,'For stats end Y DB'!$A:$G,5,0)),0,VLOOKUP($A106&amp;Y$1,'For stats end Y DB'!$A:$G,5,0))</f>
        <v>2</v>
      </c>
      <c r="Z106">
        <f>IF(ISNA(VLOOKUP($A106&amp;Z$1,'For stats end Y DB'!$A:$G,5,0)),0,VLOOKUP($A106&amp;Z$1,'For stats end Y DB'!$A:$G,5,0))</f>
        <v>9</v>
      </c>
      <c r="AA106">
        <f>IF(ISNA(VLOOKUP($A106&amp;AA$1,'For stats end Y DB'!$A:$G,5,0)),0,VLOOKUP($A106&amp;AA$1,'For stats end Y DB'!$A:$G,5,0))</f>
        <v>0</v>
      </c>
      <c r="AB106">
        <f>IF(ISNA(VLOOKUP($A106&amp;AB$1,'For stats end Y DB'!$A:$G,5,0)),0,VLOOKUP($A106&amp;AB$1,'For stats end Y DB'!$A:$G,5,0))</f>
        <v>8</v>
      </c>
      <c r="AC106">
        <f>IF(ISNA(VLOOKUP($A106&amp;AC$1,'For stats end Y DB'!$A:$G,5,0)),0,VLOOKUP($A106&amp;AC$1,'For stats end Y DB'!$A:$G,5,0))</f>
        <v>13</v>
      </c>
      <c r="AD106">
        <f>IF(ISNA(VLOOKUP($A106&amp;AD$1,'For stats end Y DB'!$A:$G,5,0)),0,VLOOKUP($A106&amp;AD$1,'For stats end Y DB'!$A:$G,5,0))</f>
        <v>13</v>
      </c>
      <c r="AE106">
        <f>IF(ISNA(VLOOKUP($A106&amp;AE$1,'For stats end Y DB'!$A:$G,5,0)),0,VLOOKUP($A106&amp;AE$1,'For stats end Y DB'!$A:$G,5,0))</f>
        <v>13</v>
      </c>
      <c r="AF106">
        <f>IF(ISNA(VLOOKUP($A106&amp;AF$1,'For stats end Y DB'!$A:$G,5,0)),0,VLOOKUP($A106&amp;AF$1,'For stats end Y DB'!$A:$G,5,0))</f>
        <v>4</v>
      </c>
      <c r="AG106">
        <f>IF(ISNA(VLOOKUP($A106&amp;AG$1,'For stats end Y DB'!$A:$G,5,0)),0,VLOOKUP($A106&amp;AG$1,'For stats end Y DB'!$A:$G,5,0))</f>
        <v>1</v>
      </c>
      <c r="AH106">
        <f>IF(ISNA(VLOOKUP($A106&amp;AH$1,'For stats end Y DB'!$A:$G,5,0)),0,VLOOKUP($A106&amp;AH$1,'For stats end Y DB'!$A:$G,5,0))</f>
        <v>1</v>
      </c>
      <c r="AI106">
        <f>IF(ISNA(VLOOKUP($A106&amp;AI$1,'For stats end Y DB'!$A:$G,5,0)),0,VLOOKUP($A106&amp;AI$1,'For stats end Y DB'!$A:$G,5,0))</f>
        <v>0</v>
      </c>
      <c r="AJ106">
        <f>IF(ISNA(VLOOKUP($A106&amp;AJ$1,'For stats end Y DB'!$A:$G,5,0)),0,VLOOKUP($A106&amp;AJ$1,'For stats end Y DB'!$A:$G,5,0))</f>
        <v>0</v>
      </c>
      <c r="AK106">
        <f>IF(ISNA(VLOOKUP($A106&amp;AK$1,'For stats end Y DB'!$A:$G,5,0)),0,VLOOKUP($A106&amp;AK$1,'For stats end Y DB'!$A:$G,5,0))</f>
        <v>0</v>
      </c>
      <c r="AL106">
        <f>IF(ISNA(VLOOKUP($A106&amp;AL$1,'For stats end Y DB'!$A:$G,5,0)),0,VLOOKUP($A106&amp;AL$1,'For stats end Y DB'!$A:$G,5,0))</f>
        <v>0</v>
      </c>
      <c r="AM106">
        <f>IF(ISNA(VLOOKUP($A106&amp;AM$1,'For stats end Y DB'!$A:$G,5,0)),0,VLOOKUP($A106&amp;AM$1,'For stats end Y DB'!$A:$G,5,0))</f>
        <v>0</v>
      </c>
      <c r="AN106">
        <f>IF(ISNA(VLOOKUP($A106&amp;AN$1,'For stats end Y DB'!$A:$G,5,0)),0,VLOOKUP($A106&amp;AN$1,'For stats end Y DB'!$A:$G,5,0))</f>
        <v>0</v>
      </c>
    </row>
    <row r="107" spans="1:40" x14ac:dyDescent="0.2">
      <c r="A107" t="str">
        <f>'For stats end Y class'!A107</f>
        <v>Zubbaz</v>
      </c>
      <c r="B107">
        <f>IF(ISNA(VLOOKUP($A107&amp;B$1,'For stats end Y DB'!$A:$G,5,0)),0,VLOOKUP($A107&amp;B$1,'For stats end Y DB'!$A:$G,5,0))</f>
        <v>13</v>
      </c>
      <c r="C107">
        <f>IF(ISNA(VLOOKUP($A107&amp;C$1,'For stats end Y DB'!$A:$G,5,0)),0,VLOOKUP($A107&amp;C$1,'For stats end Y DB'!$A:$G,5,0))</f>
        <v>17</v>
      </c>
      <c r="D107">
        <f>IF(ISNA(VLOOKUP($A107&amp;D$1,'For stats end Y DB'!$A:$G,5,0)),0,VLOOKUP($A107&amp;D$1,'For stats end Y DB'!$A:$G,5,0))</f>
        <v>1</v>
      </c>
      <c r="E107">
        <f>IF(ISNA(VLOOKUP($A107&amp;E$1,'For stats end Y DB'!$A:$G,5,0)),0,VLOOKUP($A107&amp;E$1,'For stats end Y DB'!$A:$G,5,0))</f>
        <v>1</v>
      </c>
      <c r="F107">
        <f>IF(ISNA(VLOOKUP($A107&amp;F$1,'For stats end Y DB'!$A:$G,5,0)),0,VLOOKUP($A107&amp;F$1,'For stats end Y DB'!$A:$G,5,0))</f>
        <v>0</v>
      </c>
      <c r="G107">
        <f>IF(ISNA(VLOOKUP($A107&amp;G$1,'For stats end Y DB'!$A:$G,5,0)),0,VLOOKUP($A107&amp;G$1,'For stats end Y DB'!$A:$G,5,0))</f>
        <v>0</v>
      </c>
      <c r="H107">
        <f>IF(ISNA(VLOOKUP($A107&amp;H$1,'For stats end Y DB'!$A:$G,5,0)),0,VLOOKUP($A107&amp;H$1,'For stats end Y DB'!$A:$G,5,0))</f>
        <v>16</v>
      </c>
      <c r="I107">
        <f>IF(ISNA(VLOOKUP($A107&amp;I$1,'For stats end Y DB'!$A:$G,5,0)),0,VLOOKUP($A107&amp;I$1,'For stats end Y DB'!$A:$G,5,0))</f>
        <v>17</v>
      </c>
      <c r="J107">
        <f>IF(ISNA(VLOOKUP($A107&amp;J$1,'For stats end Y DB'!$A:$G,5,0)),0,VLOOKUP($A107&amp;J$1,'For stats end Y DB'!$A:$G,5,0))</f>
        <v>2</v>
      </c>
      <c r="K107">
        <f>IF(ISNA(VLOOKUP($A107&amp;K$1,'For stats end Y DB'!$A:$G,5,0)),0,VLOOKUP($A107&amp;K$1,'For stats end Y DB'!$A:$G,5,0))</f>
        <v>0</v>
      </c>
      <c r="L107">
        <f>IF(ISNA(VLOOKUP($A107&amp;L$1,'For stats end Y DB'!$A:$G,5,0)),0,VLOOKUP($A107&amp;L$1,'For stats end Y DB'!$A:$G,5,0))</f>
        <v>15</v>
      </c>
      <c r="M107">
        <f>IF(ISNA(VLOOKUP($A107&amp;M$1,'For stats end Y DB'!$A:$G,5,0)),0,VLOOKUP($A107&amp;M$1,'For stats end Y DB'!$A:$G,5,0))</f>
        <v>4</v>
      </c>
      <c r="N107">
        <f>IF(ISNA(VLOOKUP($A107&amp;N$1,'For stats end Y DB'!$A:$G,5,0)),0,VLOOKUP($A107&amp;N$1,'For stats end Y DB'!$A:$G,5,0))</f>
        <v>1</v>
      </c>
      <c r="O107">
        <f>IF(ISNA(VLOOKUP($A107&amp;O$1,'For stats end Y DB'!$A:$G,5,0)),0,VLOOKUP($A107&amp;O$1,'For stats end Y DB'!$A:$G,5,0))</f>
        <v>0</v>
      </c>
      <c r="P107">
        <f>IF(ISNA(VLOOKUP($A107&amp;P$1,'For stats end Y DB'!$A:$G,5,0)),0,VLOOKUP($A107&amp;P$1,'For stats end Y DB'!$A:$G,5,0))</f>
        <v>1</v>
      </c>
      <c r="Q107">
        <f>IF(ISNA(VLOOKUP($A107&amp;Q$1,'For stats end Y DB'!$A:$G,5,0)),0,VLOOKUP($A107&amp;Q$1,'For stats end Y DB'!$A:$G,5,0))</f>
        <v>0</v>
      </c>
      <c r="R107">
        <f>IF(ISNA(VLOOKUP($A107&amp;R$1,'For stats end Y DB'!$A:$G,5,0)),0,VLOOKUP($A107&amp;R$1,'For stats end Y DB'!$A:$G,5,0))</f>
        <v>17</v>
      </c>
      <c r="S107">
        <f>IF(ISNA(VLOOKUP($A107&amp;S$1,'For stats end Y DB'!$A:$G,5,0)),0,VLOOKUP($A107&amp;S$1,'For stats end Y DB'!$A:$G,5,0))</f>
        <v>17</v>
      </c>
      <c r="T107">
        <f>IF(ISNA(VLOOKUP($A107&amp;T$1,'For stats end Y DB'!$A:$G,5,0)),0,VLOOKUP($A107&amp;T$1,'For stats end Y DB'!$A:$G,5,0))</f>
        <v>16</v>
      </c>
      <c r="U107">
        <f>IF(ISNA(VLOOKUP($A107&amp;U$1,'For stats end Y DB'!$A:$G,5,0)),0,VLOOKUP($A107&amp;U$1,'For stats end Y DB'!$A:$G,5,0))</f>
        <v>0</v>
      </c>
      <c r="V107">
        <f>IF(ISNA(VLOOKUP($A107&amp;V$1,'For stats end Y DB'!$A:$G,5,0)),0,VLOOKUP($A107&amp;V$1,'For stats end Y DB'!$A:$G,5,0))</f>
        <v>12</v>
      </c>
      <c r="W107">
        <f>IF(ISNA(VLOOKUP($A107&amp;W$1,'For stats end Y DB'!$A:$G,5,0)),0,VLOOKUP($A107&amp;W$1,'For stats end Y DB'!$A:$G,5,0))</f>
        <v>0</v>
      </c>
      <c r="X107">
        <f>IF(ISNA(VLOOKUP($A107&amp;X$1,'For stats end Y DB'!$A:$G,5,0)),0,VLOOKUP($A107&amp;X$1,'For stats end Y DB'!$A:$G,5,0))</f>
        <v>16</v>
      </c>
      <c r="Y107">
        <f>IF(ISNA(VLOOKUP($A107&amp;Y$1,'For stats end Y DB'!$A:$G,5,0)),0,VLOOKUP($A107&amp;Y$1,'For stats end Y DB'!$A:$G,5,0))</f>
        <v>1</v>
      </c>
      <c r="Z107">
        <f>IF(ISNA(VLOOKUP($A107&amp;Z$1,'For stats end Y DB'!$A:$G,5,0)),0,VLOOKUP($A107&amp;Z$1,'For stats end Y DB'!$A:$G,5,0))</f>
        <v>8</v>
      </c>
      <c r="AA107">
        <f>IF(ISNA(VLOOKUP($A107&amp;AA$1,'For stats end Y DB'!$A:$G,5,0)),0,VLOOKUP($A107&amp;AA$1,'For stats end Y DB'!$A:$G,5,0))</f>
        <v>16</v>
      </c>
      <c r="AB107">
        <f>IF(ISNA(VLOOKUP($A107&amp;AB$1,'For stats end Y DB'!$A:$G,5,0)),0,VLOOKUP($A107&amp;AB$1,'For stats end Y DB'!$A:$G,5,0))</f>
        <v>16</v>
      </c>
      <c r="AC107">
        <f>IF(ISNA(VLOOKUP($A107&amp;AC$1,'For stats end Y DB'!$A:$G,5,0)),0,VLOOKUP($A107&amp;AC$1,'For stats end Y DB'!$A:$G,5,0))</f>
        <v>1</v>
      </c>
      <c r="AD107">
        <f>IF(ISNA(VLOOKUP($A107&amp;AD$1,'For stats end Y DB'!$A:$G,5,0)),0,VLOOKUP($A107&amp;AD$1,'For stats end Y DB'!$A:$G,5,0))</f>
        <v>12</v>
      </c>
      <c r="AE107">
        <f>IF(ISNA(VLOOKUP($A107&amp;AE$1,'For stats end Y DB'!$A:$G,5,0)),0,VLOOKUP($A107&amp;AE$1,'For stats end Y DB'!$A:$G,5,0))</f>
        <v>5</v>
      </c>
      <c r="AF107">
        <f>IF(ISNA(VLOOKUP($A107&amp;AF$1,'For stats end Y DB'!$A:$G,5,0)),0,VLOOKUP($A107&amp;AF$1,'For stats end Y DB'!$A:$G,5,0))</f>
        <v>17</v>
      </c>
      <c r="AG107">
        <f>IF(ISNA(VLOOKUP($A107&amp;AG$1,'For stats end Y DB'!$A:$G,5,0)),0,VLOOKUP($A107&amp;AG$1,'For stats end Y DB'!$A:$G,5,0))</f>
        <v>1</v>
      </c>
      <c r="AH107">
        <f>IF(ISNA(VLOOKUP($A107&amp;AH$1,'For stats end Y DB'!$A:$G,5,0)),0,VLOOKUP($A107&amp;AH$1,'For stats end Y DB'!$A:$G,5,0))</f>
        <v>8</v>
      </c>
      <c r="AI107">
        <f>IF(ISNA(VLOOKUP($A107&amp;AI$1,'For stats end Y DB'!$A:$G,5,0)),0,VLOOKUP($A107&amp;AI$1,'For stats end Y DB'!$A:$G,5,0))</f>
        <v>0</v>
      </c>
      <c r="AJ107">
        <f>IF(ISNA(VLOOKUP($A107&amp;AJ$1,'For stats end Y DB'!$A:$G,5,0)),0,VLOOKUP($A107&amp;AJ$1,'For stats end Y DB'!$A:$G,5,0))</f>
        <v>0</v>
      </c>
      <c r="AK107">
        <f>IF(ISNA(VLOOKUP($A107&amp;AK$1,'For stats end Y DB'!$A:$G,5,0)),0,VLOOKUP($A107&amp;AK$1,'For stats end Y DB'!$A:$G,5,0))</f>
        <v>0</v>
      </c>
      <c r="AL107">
        <f>IF(ISNA(VLOOKUP($A107&amp;AL$1,'For stats end Y DB'!$A:$G,5,0)),0,VLOOKUP($A107&amp;AL$1,'For stats end Y DB'!$A:$G,5,0))</f>
        <v>0</v>
      </c>
      <c r="AM107">
        <f>IF(ISNA(VLOOKUP($A107&amp;AM$1,'For stats end Y DB'!$A:$G,5,0)),0,VLOOKUP($A107&amp;AM$1,'For stats end Y DB'!$A:$G,5,0))</f>
        <v>0</v>
      </c>
      <c r="AN107">
        <f>IF(ISNA(VLOOKUP($A107&amp;AN$1,'For stats end Y DB'!$A:$G,5,0)),0,VLOOKUP($A107&amp;AN$1,'For stats end Y DB'!$A:$G,5,0))</f>
        <v>0</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EDBB1-A76E-4E42-B40B-00ABA1A423C2}">
  <sheetPr codeName="Sheet16"/>
  <dimension ref="A1:AQ107"/>
  <sheetViews>
    <sheetView topLeftCell="O1" zoomScale="86" zoomScaleNormal="86" workbookViewId="0">
      <selection activeCell="AL11" sqref="AL11"/>
    </sheetView>
  </sheetViews>
  <sheetFormatPr baseColWidth="10" defaultRowHeight="16" x14ac:dyDescent="0.2"/>
  <sheetData>
    <row r="1" spans="1:43" x14ac:dyDescent="0.2">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row>
    <row r="2" spans="1:43" x14ac:dyDescent="0.2">
      <c r="A2" t="str">
        <f>'For stats end Y points'!A2</f>
        <v>Ad Vitam</v>
      </c>
      <c r="B2" cm="1">
        <f t="array" aca="1" ref="B2" ca="1">SUMPRODUCT(LARGE('For stats end Y points'!$B2:B2,ROW(INDIRECT("1:"&amp;MIN(24,COUNT('For stats end Y points'!$B2:B2))))))</f>
        <v>1</v>
      </c>
      <c r="C2" cm="1">
        <f t="array" aca="1" ref="C2" ca="1">SUMPRODUCT(LARGE('For stats end Y points'!$B2:C2,ROW(INDIRECT("1:"&amp;MIN(24,COUNT('For stats end Y points'!$B2:C2))))))</f>
        <v>1</v>
      </c>
      <c r="D2" cm="1">
        <f t="array" aca="1" ref="D2" ca="1">SUMPRODUCT(LARGE('For stats end Y points'!$B2:D2,ROW(INDIRECT("1:"&amp;MIN(24,COUNT('For stats end Y points'!$B2:D2))))))</f>
        <v>17</v>
      </c>
      <c r="E2" cm="1">
        <f t="array" aca="1" ref="E2" ca="1">SUMPRODUCT(LARGE('For stats end Y points'!$B2:E2,ROW(INDIRECT("1:"&amp;MIN(24,COUNT('For stats end Y points'!$B2:E2))))))</f>
        <v>30</v>
      </c>
      <c r="F2" cm="1">
        <f t="array" aca="1" ref="F2" ca="1">SUMPRODUCT(LARGE('For stats end Y points'!$B2:F2,ROW(INDIRECT("1:"&amp;MIN(24,COUNT('For stats end Y points'!$B2:F2))))))</f>
        <v>31</v>
      </c>
      <c r="G2" cm="1">
        <f t="array" aca="1" ref="G2" ca="1">SUMPRODUCT(LARGE('For stats end Y points'!$B2:G2,ROW(INDIRECT("1:"&amp;MIN(24,COUNT('For stats end Y points'!$B2:G2))))))</f>
        <v>48</v>
      </c>
      <c r="H2" cm="1">
        <f t="array" aca="1" ref="H2" ca="1">SUMPRODUCT(LARGE('For stats end Y points'!$B2:H2,ROW(INDIRECT("1:"&amp;MIN(24,COUNT('For stats end Y points'!$B2:H2))))))</f>
        <v>64</v>
      </c>
      <c r="I2" cm="1">
        <f t="array" aca="1" ref="I2" ca="1">SUMPRODUCT(LARGE('For stats end Y points'!$B2:I2,ROW(INDIRECT("1:"&amp;MIN(24,COUNT('For stats end Y points'!$B2:I2))))))</f>
        <v>66</v>
      </c>
      <c r="J2" cm="1">
        <f t="array" aca="1" ref="J2" ca="1">SUMPRODUCT(LARGE('For stats end Y points'!$B2:J2,ROW(INDIRECT("1:"&amp;MIN(24,COUNT('For stats end Y points'!$B2:J2))))))</f>
        <v>67</v>
      </c>
      <c r="K2" cm="1">
        <f t="array" aca="1" ref="K2" ca="1">SUMPRODUCT(LARGE('For stats end Y points'!$B2:K2,ROW(INDIRECT("1:"&amp;MIN(24,COUNT('For stats end Y points'!$B2:K2))))))</f>
        <v>74</v>
      </c>
      <c r="L2" cm="1">
        <f t="array" aca="1" ref="L2" ca="1">SUMPRODUCT(LARGE('For stats end Y points'!$B2:L2,ROW(INDIRECT("1:"&amp;MIN(24,COUNT('For stats end Y points'!$B2:L2))))))</f>
        <v>81</v>
      </c>
      <c r="M2" cm="1">
        <f t="array" aca="1" ref="M2" ca="1">SUMPRODUCT(LARGE('For stats end Y points'!$B2:M2,ROW(INDIRECT("1:"&amp;MIN(24,COUNT('For stats end Y points'!$B2:M2))))))</f>
        <v>93</v>
      </c>
      <c r="N2" cm="1">
        <f t="array" aca="1" ref="N2" ca="1">SUMPRODUCT(LARGE('For stats end Y points'!$B2:N2,ROW(INDIRECT("1:"&amp;MIN(24,COUNT('For stats end Y points'!$B2:N2))))))</f>
        <v>105</v>
      </c>
      <c r="O2" cm="1">
        <f t="array" aca="1" ref="O2" ca="1">SUMPRODUCT(LARGE('For stats end Y points'!$B2:O2,ROW(INDIRECT("1:"&amp;MIN(24,COUNT('For stats end Y points'!$B2:O2))))))</f>
        <v>105</v>
      </c>
      <c r="P2" cm="1">
        <f t="array" aca="1" ref="P2" ca="1">SUMPRODUCT(LARGE('For stats end Y points'!$B2:P2,ROW(INDIRECT("1:"&amp;MIN(24,COUNT('For stats end Y points'!$B2:P2))))))</f>
        <v>121</v>
      </c>
      <c r="Q2" cm="1">
        <f t="array" aca="1" ref="Q2" ca="1">SUMPRODUCT(LARGE('For stats end Y points'!$B2:Q2,ROW(INDIRECT("1:"&amp;MIN(24,COUNT('For stats end Y points'!$B2:Q2))))))</f>
        <v>135</v>
      </c>
      <c r="R2" cm="1">
        <f t="array" aca="1" ref="R2" ca="1">SUMPRODUCT(LARGE('For stats end Y points'!$B2:R2,ROW(INDIRECT("1:"&amp;MIN(24,COUNT('For stats end Y points'!$B2:R2))))))</f>
        <v>148</v>
      </c>
      <c r="S2" cm="1">
        <f t="array" aca="1" ref="S2" ca="1">SUMPRODUCT(LARGE('For stats end Y points'!$B2:S2,ROW(INDIRECT("1:"&amp;MIN(24,COUNT('For stats end Y points'!$B2:S2))))))</f>
        <v>157</v>
      </c>
      <c r="T2" cm="1">
        <f t="array" aca="1" ref="T2" ca="1">SUMPRODUCT(LARGE('For stats end Y points'!$B2:T2,ROW(INDIRECT("1:"&amp;MIN(24,COUNT('For stats end Y points'!$B2:T2))))))</f>
        <v>173</v>
      </c>
      <c r="U2" cm="1">
        <f t="array" aca="1" ref="U2" ca="1">SUMPRODUCT(LARGE('For stats end Y points'!$B2:U2,ROW(INDIRECT("1:"&amp;MIN(24,COUNT('For stats end Y points'!$B2:U2))))))</f>
        <v>188</v>
      </c>
      <c r="V2" cm="1">
        <f t="array" aca="1" ref="V2" ca="1">SUMPRODUCT(LARGE('For stats end Y points'!$B2:V2,ROW(INDIRECT("1:"&amp;MIN(24,COUNT('For stats end Y points'!$B2:V2))))))</f>
        <v>205</v>
      </c>
      <c r="W2" cm="1">
        <f t="array" aca="1" ref="W2" ca="1">SUMPRODUCT(LARGE('For stats end Y points'!$B2:W2,ROW(INDIRECT("1:"&amp;MIN(24,COUNT('For stats end Y points'!$B2:W2))))))</f>
        <v>206</v>
      </c>
      <c r="X2" cm="1">
        <f t="array" aca="1" ref="X2" ca="1">SUMPRODUCT(LARGE('For stats end Y points'!$B2:X2,ROW(INDIRECT("1:"&amp;MIN(24,COUNT('For stats end Y points'!$B2:X2))))))</f>
        <v>222</v>
      </c>
      <c r="Y2" cm="1">
        <f t="array" aca="1" ref="Y2" ca="1">SUMPRODUCT(LARGE('For stats end Y points'!$B2:Y2,ROW(INDIRECT("1:"&amp;MIN(24,COUNT('For stats end Y points'!$B2:Y2))))))</f>
        <v>223</v>
      </c>
      <c r="Z2" cm="1">
        <f t="array" aca="1" ref="Z2" ca="1">SUMPRODUCT(LARGE('For stats end Y points'!$B2:Z2,ROW(INDIRECT("1:"&amp;MIN(24,COUNT('For stats end Y points'!$B2:Z2))))))</f>
        <v>236</v>
      </c>
      <c r="AA2" cm="1">
        <f t="array" aca="1" ref="AA2" ca="1">SUMPRODUCT(LARGE('For stats end Y points'!$B2:AA2,ROW(INDIRECT("1:"&amp;MIN(24,COUNT('For stats end Y points'!$B2:AA2))))))</f>
        <v>238</v>
      </c>
      <c r="AB2" cm="1">
        <f t="array" aca="1" ref="AB2" ca="1">SUMPRODUCT(LARGE('For stats end Y points'!$B2:AB2,ROW(INDIRECT("1:"&amp;MIN(24,COUNT('For stats end Y points'!$B2:AB2))))))</f>
        <v>249</v>
      </c>
      <c r="AC2" cm="1">
        <f t="array" aca="1" ref="AC2" ca="1">SUMPRODUCT(LARGE('For stats end Y points'!$B2:AC2,ROW(INDIRECT("1:"&amp;MIN(24,COUNT('For stats end Y points'!$B2:AC2))))))</f>
        <v>261</v>
      </c>
      <c r="AD2" cm="1">
        <f t="array" aca="1" ref="AD2" ca="1">SUMPRODUCT(LARGE('For stats end Y points'!$B2:AD2,ROW(INDIRECT("1:"&amp;MIN(24,COUNT('For stats end Y points'!$B2:AD2))))))</f>
        <v>272</v>
      </c>
      <c r="AE2" cm="1">
        <f t="array" aca="1" ref="AE2" ca="1">SUMPRODUCT(LARGE('For stats end Y points'!$B2:AE2,ROW(INDIRECT("1:"&amp;MIN(24,COUNT('For stats end Y points'!$B2:AE2))))))</f>
        <v>276</v>
      </c>
      <c r="AF2" cm="1">
        <f t="array" aca="1" ref="AF2" ca="1">SUMPRODUCT(LARGE('For stats end Y points'!$B2:AF2,ROW(INDIRECT("1:"&amp;MIN(24,COUNT('For stats end Y points'!$B2:AF2))))))</f>
        <v>278</v>
      </c>
      <c r="AG2" cm="1">
        <f t="array" aca="1" ref="AG2" ca="1">SUMPRODUCT(LARGE('For stats end Y points'!$B2:AG2,ROW(INDIRECT("1:"&amp;MIN(24,COUNT('For stats end Y points'!$B2:AG2))))))</f>
        <v>278</v>
      </c>
      <c r="AH2" cm="1">
        <f t="array" aca="1" ref="AH2" ca="1">SUMPRODUCT(LARGE('For stats end Y points'!$B2:AH2,ROW(INDIRECT("1:"&amp;MIN(24,COUNT('For stats end Y points'!$B2:AH2))))))</f>
        <v>288</v>
      </c>
      <c r="AP2" s="10">
        <f>AN2/AQ2</f>
        <v>0</v>
      </c>
      <c r="AQ2">
        <f>'For stats end Y class'!AU2</f>
        <v>31</v>
      </c>
    </row>
    <row r="3" spans="1:43" x14ac:dyDescent="0.2">
      <c r="A3" t="str">
        <f>'For stats end Y points'!A3</f>
        <v>Algolf75</v>
      </c>
      <c r="B3" cm="1">
        <f t="array" aca="1" ref="B3" ca="1">SUMPRODUCT(LARGE('For stats end Y points'!$B3:B3,ROW(INDIRECT("1:"&amp;MIN(24,COUNT('For stats end Y points'!$B3:B3))))))</f>
        <v>0</v>
      </c>
      <c r="C3" cm="1">
        <f t="array" aca="1" ref="C3" ca="1">SUMPRODUCT(LARGE('For stats end Y points'!$B3:C3,ROW(INDIRECT("1:"&amp;MIN(24,COUNT('For stats end Y points'!$B3:C3))))))</f>
        <v>0</v>
      </c>
      <c r="D3" cm="1">
        <f t="array" aca="1" ref="D3" ca="1">SUMPRODUCT(LARGE('For stats end Y points'!$B3:D3,ROW(INDIRECT("1:"&amp;MIN(24,COUNT('For stats end Y points'!$B3:D3))))))</f>
        <v>0</v>
      </c>
      <c r="E3" cm="1">
        <f t="array" aca="1" ref="E3" ca="1">SUMPRODUCT(LARGE('For stats end Y points'!$B3:E3,ROW(INDIRECT("1:"&amp;MIN(24,COUNT('For stats end Y points'!$B3:E3))))))</f>
        <v>0</v>
      </c>
      <c r="F3" cm="1">
        <f t="array" aca="1" ref="F3" ca="1">SUMPRODUCT(LARGE('For stats end Y points'!$B3:F3,ROW(INDIRECT("1:"&amp;MIN(24,COUNT('For stats end Y points'!$B3:F3))))))</f>
        <v>0</v>
      </c>
      <c r="G3" cm="1">
        <f t="array" aca="1" ref="G3" ca="1">SUMPRODUCT(LARGE('For stats end Y points'!$B3:G3,ROW(INDIRECT("1:"&amp;MIN(24,COUNT('For stats end Y points'!$B3:G3))))))</f>
        <v>5</v>
      </c>
      <c r="H3" cm="1">
        <f t="array" aca="1" ref="H3" ca="1">SUMPRODUCT(LARGE('For stats end Y points'!$B3:H3,ROW(INDIRECT("1:"&amp;MIN(24,COUNT('For stats end Y points'!$B3:H3))))))</f>
        <v>13</v>
      </c>
      <c r="I3" cm="1">
        <f t="array" aca="1" ref="I3" ca="1">SUMPRODUCT(LARGE('For stats end Y points'!$B3:I3,ROW(INDIRECT("1:"&amp;MIN(24,COUNT('For stats end Y points'!$B3:I3))))))</f>
        <v>15</v>
      </c>
      <c r="J3" cm="1">
        <f t="array" aca="1" ref="J3" ca="1">SUMPRODUCT(LARGE('For stats end Y points'!$B3:J3,ROW(INDIRECT("1:"&amp;MIN(24,COUNT('For stats end Y points'!$B3:J3))))))</f>
        <v>15</v>
      </c>
      <c r="K3" cm="1">
        <f t="array" aca="1" ref="K3" ca="1">SUMPRODUCT(LARGE('For stats end Y points'!$B3:K3,ROW(INDIRECT("1:"&amp;MIN(24,COUNT('For stats end Y points'!$B3:K3))))))</f>
        <v>15</v>
      </c>
      <c r="L3" cm="1">
        <f t="array" aca="1" ref="L3" ca="1">SUMPRODUCT(LARGE('For stats end Y points'!$B3:L3,ROW(INDIRECT("1:"&amp;MIN(24,COUNT('For stats end Y points'!$B3:L3))))))</f>
        <v>15</v>
      </c>
      <c r="M3" cm="1">
        <f t="array" aca="1" ref="M3" ca="1">SUMPRODUCT(LARGE('For stats end Y points'!$B3:M3,ROW(INDIRECT("1:"&amp;MIN(24,COUNT('For stats end Y points'!$B3:M3))))))</f>
        <v>15</v>
      </c>
      <c r="N3" cm="1">
        <f t="array" aca="1" ref="N3" ca="1">SUMPRODUCT(LARGE('For stats end Y points'!$B3:N3,ROW(INDIRECT("1:"&amp;MIN(24,COUNT('For stats end Y points'!$B3:N3))))))</f>
        <v>15</v>
      </c>
      <c r="O3" cm="1">
        <f t="array" aca="1" ref="O3" ca="1">SUMPRODUCT(LARGE('For stats end Y points'!$B3:O3,ROW(INDIRECT("1:"&amp;MIN(24,COUNT('For stats end Y points'!$B3:O3))))))</f>
        <v>17</v>
      </c>
      <c r="P3" cm="1">
        <f t="array" aca="1" ref="P3" ca="1">SUMPRODUCT(LARGE('For stats end Y points'!$B3:P3,ROW(INDIRECT("1:"&amp;MIN(24,COUNT('For stats end Y points'!$B3:P3))))))</f>
        <v>17</v>
      </c>
      <c r="Q3" cm="1">
        <f t="array" aca="1" ref="Q3" ca="1">SUMPRODUCT(LARGE('For stats end Y points'!$B3:Q3,ROW(INDIRECT("1:"&amp;MIN(24,COUNT('For stats end Y points'!$B3:Q3))))))</f>
        <v>17</v>
      </c>
      <c r="R3" cm="1">
        <f t="array" aca="1" ref="R3" ca="1">SUMPRODUCT(LARGE('For stats end Y points'!$B3:R3,ROW(INDIRECT("1:"&amp;MIN(24,COUNT('For stats end Y points'!$B3:R3))))))</f>
        <v>17</v>
      </c>
      <c r="S3" cm="1">
        <f t="array" aca="1" ref="S3" ca="1">SUMPRODUCT(LARGE('For stats end Y points'!$B3:S3,ROW(INDIRECT("1:"&amp;MIN(24,COUNT('For stats end Y points'!$B3:S3))))))</f>
        <v>17</v>
      </c>
      <c r="T3" cm="1">
        <f t="array" aca="1" ref="T3" ca="1">SUMPRODUCT(LARGE('For stats end Y points'!$B3:T3,ROW(INDIRECT("1:"&amp;MIN(24,COUNT('For stats end Y points'!$B3:T3))))))</f>
        <v>17</v>
      </c>
      <c r="U3" cm="1">
        <f t="array" aca="1" ref="U3" ca="1">SUMPRODUCT(LARGE('For stats end Y points'!$B3:U3,ROW(INDIRECT("1:"&amp;MIN(24,COUNT('For stats end Y points'!$B3:U3))))))</f>
        <v>17</v>
      </c>
      <c r="V3" cm="1">
        <f t="array" aca="1" ref="V3" ca="1">SUMPRODUCT(LARGE('For stats end Y points'!$B3:V3,ROW(INDIRECT("1:"&amp;MIN(24,COUNT('For stats end Y points'!$B3:V3))))))</f>
        <v>17</v>
      </c>
      <c r="W3" cm="1">
        <f t="array" aca="1" ref="W3" ca="1">SUMPRODUCT(LARGE('For stats end Y points'!$B3:W3,ROW(INDIRECT("1:"&amp;MIN(24,COUNT('For stats end Y points'!$B3:W3))))))</f>
        <v>17</v>
      </c>
      <c r="X3" cm="1">
        <f t="array" aca="1" ref="X3" ca="1">SUMPRODUCT(LARGE('For stats end Y points'!$B3:X3,ROW(INDIRECT("1:"&amp;MIN(24,COUNT('For stats end Y points'!$B3:X3))))))</f>
        <v>17</v>
      </c>
      <c r="Y3" cm="1">
        <f t="array" aca="1" ref="Y3" ca="1">SUMPRODUCT(LARGE('For stats end Y points'!$B3:Y3,ROW(INDIRECT("1:"&amp;MIN(24,COUNT('For stats end Y points'!$B3:Y3))))))</f>
        <v>17</v>
      </c>
      <c r="Z3" cm="1">
        <f t="array" aca="1" ref="Z3" ca="1">SUMPRODUCT(LARGE('For stats end Y points'!$B3:Z3,ROW(INDIRECT("1:"&amp;MIN(24,COUNT('For stats end Y points'!$B3:Z3))))))</f>
        <v>17</v>
      </c>
      <c r="AA3" cm="1">
        <f t="array" aca="1" ref="AA3" ca="1">SUMPRODUCT(LARGE('For stats end Y points'!$B3:AA3,ROW(INDIRECT("1:"&amp;MIN(24,COUNT('For stats end Y points'!$B3:AA3))))))</f>
        <v>17</v>
      </c>
      <c r="AB3" cm="1">
        <f t="array" aca="1" ref="AB3" ca="1">SUMPRODUCT(LARGE('For stats end Y points'!$B3:AB3,ROW(INDIRECT("1:"&amp;MIN(24,COUNT('For stats end Y points'!$B3:AB3))))))</f>
        <v>17</v>
      </c>
      <c r="AC3" cm="1">
        <f t="array" aca="1" ref="AC3" ca="1">SUMPRODUCT(LARGE('For stats end Y points'!$B3:AC3,ROW(INDIRECT("1:"&amp;MIN(24,COUNT('For stats end Y points'!$B3:AC3))))))</f>
        <v>17</v>
      </c>
      <c r="AD3" cm="1">
        <f t="array" aca="1" ref="AD3" ca="1">SUMPRODUCT(LARGE('For stats end Y points'!$B3:AD3,ROW(INDIRECT("1:"&amp;MIN(24,COUNT('For stats end Y points'!$B3:AD3))))))</f>
        <v>17</v>
      </c>
      <c r="AE3" cm="1">
        <f t="array" aca="1" ref="AE3" ca="1">SUMPRODUCT(LARGE('For stats end Y points'!$B3:AE3,ROW(INDIRECT("1:"&amp;MIN(24,COUNT('For stats end Y points'!$B3:AE3))))))</f>
        <v>17</v>
      </c>
      <c r="AF3" cm="1">
        <f t="array" aca="1" ref="AF3" ca="1">SUMPRODUCT(LARGE('For stats end Y points'!$B3:AF3,ROW(INDIRECT("1:"&amp;MIN(24,COUNT('For stats end Y points'!$B3:AF3))))))</f>
        <v>17</v>
      </c>
      <c r="AG3" cm="1">
        <f t="array" aca="1" ref="AG3" ca="1">SUMPRODUCT(LARGE('For stats end Y points'!$B3:AG3,ROW(INDIRECT("1:"&amp;MIN(24,COUNT('For stats end Y points'!$B3:AG3))))))</f>
        <v>17</v>
      </c>
      <c r="AH3" cm="1">
        <f t="array" aca="1" ref="AH3" ca="1">SUMPRODUCT(LARGE('For stats end Y points'!$B3:AH3,ROW(INDIRECT("1:"&amp;MIN(24,COUNT('For stats end Y points'!$B3:AH3))))))</f>
        <v>17</v>
      </c>
      <c r="AP3" s="10">
        <f t="shared" ref="AP3:AP66" si="0">AN3/AQ3</f>
        <v>0</v>
      </c>
      <c r="AQ3">
        <f>'For stats end Y class'!AU3</f>
        <v>4</v>
      </c>
    </row>
    <row r="4" spans="1:43" x14ac:dyDescent="0.2">
      <c r="A4" t="str">
        <f>'For stats end Y points'!A4</f>
        <v>AllinDeuces</v>
      </c>
      <c r="B4" cm="1">
        <f t="array" aca="1" ref="B4" ca="1">SUMPRODUCT(LARGE('For stats end Y points'!$B4:B4,ROW(INDIRECT("1:"&amp;MIN(24,COUNT('For stats end Y points'!$B4:B4))))))</f>
        <v>0</v>
      </c>
      <c r="C4" cm="1">
        <f t="array" aca="1" ref="C4" ca="1">SUMPRODUCT(LARGE('For stats end Y points'!$B4:C4,ROW(INDIRECT("1:"&amp;MIN(24,COUNT('For stats end Y points'!$B4:C4))))))</f>
        <v>0</v>
      </c>
      <c r="D4" cm="1">
        <f t="array" aca="1" ref="D4" ca="1">SUMPRODUCT(LARGE('For stats end Y points'!$B4:D4,ROW(INDIRECT("1:"&amp;MIN(24,COUNT('For stats end Y points'!$B4:D4))))))</f>
        <v>0</v>
      </c>
      <c r="E4" cm="1">
        <f t="array" aca="1" ref="E4" ca="1">SUMPRODUCT(LARGE('For stats end Y points'!$B4:E4,ROW(INDIRECT("1:"&amp;MIN(24,COUNT('For stats end Y points'!$B4:E4))))))</f>
        <v>0</v>
      </c>
      <c r="F4" cm="1">
        <f t="array" aca="1" ref="F4" ca="1">SUMPRODUCT(LARGE('For stats end Y points'!$B4:F4,ROW(INDIRECT("1:"&amp;MIN(24,COUNT('For stats end Y points'!$B4:F4))))))</f>
        <v>0</v>
      </c>
      <c r="G4" cm="1">
        <f t="array" aca="1" ref="G4" ca="1">SUMPRODUCT(LARGE('For stats end Y points'!$B4:G4,ROW(INDIRECT("1:"&amp;MIN(24,COUNT('For stats end Y points'!$B4:G4))))))</f>
        <v>0</v>
      </c>
      <c r="H4" cm="1">
        <f t="array" aca="1" ref="H4" ca="1">SUMPRODUCT(LARGE('For stats end Y points'!$B4:H4,ROW(INDIRECT("1:"&amp;MIN(24,COUNT('For stats end Y points'!$B4:H4))))))</f>
        <v>0</v>
      </c>
      <c r="I4" cm="1">
        <f t="array" aca="1" ref="I4" ca="1">SUMPRODUCT(LARGE('For stats end Y points'!$B4:I4,ROW(INDIRECT("1:"&amp;MIN(24,COUNT('For stats end Y points'!$B4:I4))))))</f>
        <v>0</v>
      </c>
      <c r="J4" cm="1">
        <f t="array" aca="1" ref="J4" ca="1">SUMPRODUCT(LARGE('For stats end Y points'!$B4:J4,ROW(INDIRECT("1:"&amp;MIN(24,COUNT('For stats end Y points'!$B4:J4))))))</f>
        <v>0</v>
      </c>
      <c r="K4" cm="1">
        <f t="array" aca="1" ref="K4" ca="1">SUMPRODUCT(LARGE('For stats end Y points'!$B4:K4,ROW(INDIRECT("1:"&amp;MIN(24,COUNT('For stats end Y points'!$B4:K4))))))</f>
        <v>0</v>
      </c>
      <c r="L4" cm="1">
        <f t="array" aca="1" ref="L4" ca="1">SUMPRODUCT(LARGE('For stats end Y points'!$B4:L4,ROW(INDIRECT("1:"&amp;MIN(24,COUNT('For stats end Y points'!$B4:L4))))))</f>
        <v>8</v>
      </c>
      <c r="M4" cm="1">
        <f t="array" aca="1" ref="M4" ca="1">SUMPRODUCT(LARGE('For stats end Y points'!$B4:M4,ROW(INDIRECT("1:"&amp;MIN(24,COUNT('For stats end Y points'!$B4:M4))))))</f>
        <v>8</v>
      </c>
      <c r="N4" cm="1">
        <f t="array" aca="1" ref="N4" ca="1">SUMPRODUCT(LARGE('For stats end Y points'!$B4:N4,ROW(INDIRECT("1:"&amp;MIN(24,COUNT('For stats end Y points'!$B4:N4))))))</f>
        <v>8</v>
      </c>
      <c r="O4" cm="1">
        <f t="array" aca="1" ref="O4" ca="1">SUMPRODUCT(LARGE('For stats end Y points'!$B4:O4,ROW(INDIRECT("1:"&amp;MIN(24,COUNT('For stats end Y points'!$B4:O4))))))</f>
        <v>8</v>
      </c>
      <c r="P4" cm="1">
        <f t="array" aca="1" ref="P4" ca="1">SUMPRODUCT(LARGE('For stats end Y points'!$B4:P4,ROW(INDIRECT("1:"&amp;MIN(24,COUNT('For stats end Y points'!$B4:P4))))))</f>
        <v>8</v>
      </c>
      <c r="Q4" cm="1">
        <f t="array" aca="1" ref="Q4" ca="1">SUMPRODUCT(LARGE('For stats end Y points'!$B4:Q4,ROW(INDIRECT("1:"&amp;MIN(24,COUNT('For stats end Y points'!$B4:Q4))))))</f>
        <v>8</v>
      </c>
      <c r="R4" cm="1">
        <f t="array" aca="1" ref="R4" ca="1">SUMPRODUCT(LARGE('For stats end Y points'!$B4:R4,ROW(INDIRECT("1:"&amp;MIN(24,COUNT('For stats end Y points'!$B4:R4))))))</f>
        <v>8</v>
      </c>
      <c r="S4" cm="1">
        <f t="array" aca="1" ref="S4" ca="1">SUMPRODUCT(LARGE('For stats end Y points'!$B4:S4,ROW(INDIRECT("1:"&amp;MIN(24,COUNT('For stats end Y points'!$B4:S4))))))</f>
        <v>8</v>
      </c>
      <c r="T4" cm="1">
        <f t="array" aca="1" ref="T4" ca="1">SUMPRODUCT(LARGE('For stats end Y points'!$B4:T4,ROW(INDIRECT("1:"&amp;MIN(24,COUNT('For stats end Y points'!$B4:T4))))))</f>
        <v>8</v>
      </c>
      <c r="U4" cm="1">
        <f t="array" aca="1" ref="U4" ca="1">SUMPRODUCT(LARGE('For stats end Y points'!$B4:U4,ROW(INDIRECT("1:"&amp;MIN(24,COUNT('For stats end Y points'!$B4:U4))))))</f>
        <v>8</v>
      </c>
      <c r="V4" cm="1">
        <f t="array" aca="1" ref="V4" ca="1">SUMPRODUCT(LARGE('For stats end Y points'!$B4:V4,ROW(INDIRECT("1:"&amp;MIN(24,COUNT('For stats end Y points'!$B4:V4))))))</f>
        <v>8</v>
      </c>
      <c r="W4" cm="1">
        <f t="array" aca="1" ref="W4" ca="1">SUMPRODUCT(LARGE('For stats end Y points'!$B4:W4,ROW(INDIRECT("1:"&amp;MIN(24,COUNT('For stats end Y points'!$B4:W4))))))</f>
        <v>8</v>
      </c>
      <c r="X4" cm="1">
        <f t="array" aca="1" ref="X4" ca="1">SUMPRODUCT(LARGE('For stats end Y points'!$B4:X4,ROW(INDIRECT("1:"&amp;MIN(24,COUNT('For stats end Y points'!$B4:X4))))))</f>
        <v>8</v>
      </c>
      <c r="Y4" cm="1">
        <f t="array" aca="1" ref="Y4" ca="1">SUMPRODUCT(LARGE('For stats end Y points'!$B4:Y4,ROW(INDIRECT("1:"&amp;MIN(24,COUNT('For stats end Y points'!$B4:Y4))))))</f>
        <v>8</v>
      </c>
      <c r="Z4" cm="1">
        <f t="array" aca="1" ref="Z4" ca="1">SUMPRODUCT(LARGE('For stats end Y points'!$B4:Z4,ROW(INDIRECT("1:"&amp;MIN(24,COUNT('For stats end Y points'!$B4:Z4))))))</f>
        <v>8</v>
      </c>
      <c r="AA4" cm="1">
        <f t="array" aca="1" ref="AA4" ca="1">SUMPRODUCT(LARGE('For stats end Y points'!$B4:AA4,ROW(INDIRECT("1:"&amp;MIN(24,COUNT('For stats end Y points'!$B4:AA4))))))</f>
        <v>8</v>
      </c>
      <c r="AB4" cm="1">
        <f t="array" aca="1" ref="AB4" ca="1">SUMPRODUCT(LARGE('For stats end Y points'!$B4:AB4,ROW(INDIRECT("1:"&amp;MIN(24,COUNT('For stats end Y points'!$B4:AB4))))))</f>
        <v>8</v>
      </c>
      <c r="AC4" cm="1">
        <f t="array" aca="1" ref="AC4" ca="1">SUMPRODUCT(LARGE('For stats end Y points'!$B4:AC4,ROW(INDIRECT("1:"&amp;MIN(24,COUNT('For stats end Y points'!$B4:AC4))))))</f>
        <v>8</v>
      </c>
      <c r="AD4" cm="1">
        <f t="array" aca="1" ref="AD4" ca="1">SUMPRODUCT(LARGE('For stats end Y points'!$B4:AD4,ROW(INDIRECT("1:"&amp;MIN(24,COUNT('For stats end Y points'!$B4:AD4))))))</f>
        <v>8</v>
      </c>
      <c r="AE4" cm="1">
        <f t="array" aca="1" ref="AE4" ca="1">SUMPRODUCT(LARGE('For stats end Y points'!$B4:AE4,ROW(INDIRECT("1:"&amp;MIN(24,COUNT('For stats end Y points'!$B4:AE4))))))</f>
        <v>8</v>
      </c>
      <c r="AF4" cm="1">
        <f t="array" aca="1" ref="AF4" ca="1">SUMPRODUCT(LARGE('For stats end Y points'!$B4:AF4,ROW(INDIRECT("1:"&amp;MIN(24,COUNT('For stats end Y points'!$B4:AF4))))))</f>
        <v>8</v>
      </c>
      <c r="AG4" cm="1">
        <f t="array" aca="1" ref="AG4" ca="1">SUMPRODUCT(LARGE('For stats end Y points'!$B4:AG4,ROW(INDIRECT("1:"&amp;MIN(24,COUNT('For stats end Y points'!$B4:AG4))))))</f>
        <v>8</v>
      </c>
      <c r="AH4" cm="1">
        <f t="array" aca="1" ref="AH4" ca="1">SUMPRODUCT(LARGE('For stats end Y points'!$B4:AH4,ROW(INDIRECT("1:"&amp;MIN(24,COUNT('For stats end Y points'!$B4:AH4))))))</f>
        <v>8</v>
      </c>
      <c r="AP4" s="10">
        <f t="shared" si="0"/>
        <v>0</v>
      </c>
      <c r="AQ4">
        <f>'For stats end Y class'!AU4</f>
        <v>1</v>
      </c>
    </row>
    <row r="5" spans="1:43" x14ac:dyDescent="0.2">
      <c r="A5" t="str">
        <f>'For stats end Y points'!A5</f>
        <v>Ankolos</v>
      </c>
      <c r="B5" cm="1">
        <f t="array" aca="1" ref="B5" ca="1">SUMPRODUCT(LARGE('For stats end Y points'!$B5:B5,ROW(INDIRECT("1:"&amp;MIN(24,COUNT('For stats end Y points'!$B5:B5))))))</f>
        <v>0</v>
      </c>
      <c r="C5" cm="1">
        <f t="array" aca="1" ref="C5" ca="1">SUMPRODUCT(LARGE('For stats end Y points'!$B5:C5,ROW(INDIRECT("1:"&amp;MIN(24,COUNT('For stats end Y points'!$B5:C5))))))</f>
        <v>0</v>
      </c>
      <c r="D5" cm="1">
        <f t="array" aca="1" ref="D5" ca="1">SUMPRODUCT(LARGE('For stats end Y points'!$B5:D5,ROW(INDIRECT("1:"&amp;MIN(24,COUNT('For stats end Y points'!$B5:D5))))))</f>
        <v>0</v>
      </c>
      <c r="E5" cm="1">
        <f t="array" aca="1" ref="E5" ca="1">SUMPRODUCT(LARGE('For stats end Y points'!$B5:E5,ROW(INDIRECT("1:"&amp;MIN(24,COUNT('For stats end Y points'!$B5:E5))))))</f>
        <v>0</v>
      </c>
      <c r="F5" cm="1">
        <f t="array" aca="1" ref="F5" ca="1">SUMPRODUCT(LARGE('For stats end Y points'!$B5:F5,ROW(INDIRECT("1:"&amp;MIN(24,COUNT('For stats end Y points'!$B5:F5))))))</f>
        <v>0</v>
      </c>
      <c r="G5" cm="1">
        <f t="array" aca="1" ref="G5" ca="1">SUMPRODUCT(LARGE('For stats end Y points'!$B5:G5,ROW(INDIRECT("1:"&amp;MIN(24,COUNT('For stats end Y points'!$B5:G5))))))</f>
        <v>0</v>
      </c>
      <c r="H5" cm="1">
        <f t="array" aca="1" ref="H5" ca="1">SUMPRODUCT(LARGE('For stats end Y points'!$B5:H5,ROW(INDIRECT("1:"&amp;MIN(24,COUNT('For stats end Y points'!$B5:H5))))))</f>
        <v>0</v>
      </c>
      <c r="I5" cm="1">
        <f t="array" aca="1" ref="I5" ca="1">SUMPRODUCT(LARGE('For stats end Y points'!$B5:I5,ROW(INDIRECT("1:"&amp;MIN(24,COUNT('For stats end Y points'!$B5:I5))))))</f>
        <v>0</v>
      </c>
      <c r="J5" cm="1">
        <f t="array" aca="1" ref="J5" ca="1">SUMPRODUCT(LARGE('For stats end Y points'!$B5:J5,ROW(INDIRECT("1:"&amp;MIN(24,COUNT('For stats end Y points'!$B5:J5))))))</f>
        <v>0</v>
      </c>
      <c r="K5" cm="1">
        <f t="array" aca="1" ref="K5" ca="1">SUMPRODUCT(LARGE('For stats end Y points'!$B5:K5,ROW(INDIRECT("1:"&amp;MIN(24,COUNT('For stats end Y points'!$B5:K5))))))</f>
        <v>0</v>
      </c>
      <c r="L5" cm="1">
        <f t="array" aca="1" ref="L5" ca="1">SUMPRODUCT(LARGE('For stats end Y points'!$B5:L5,ROW(INDIRECT("1:"&amp;MIN(24,COUNT('For stats end Y points'!$B5:L5))))))</f>
        <v>0</v>
      </c>
      <c r="M5" cm="1">
        <f t="array" aca="1" ref="M5" ca="1">SUMPRODUCT(LARGE('For stats end Y points'!$B5:M5,ROW(INDIRECT("1:"&amp;MIN(24,COUNT('For stats end Y points'!$B5:M5))))))</f>
        <v>0</v>
      </c>
      <c r="N5" cm="1">
        <f t="array" aca="1" ref="N5" ca="1">SUMPRODUCT(LARGE('For stats end Y points'!$B5:N5,ROW(INDIRECT("1:"&amp;MIN(24,COUNT('For stats end Y points'!$B5:N5))))))</f>
        <v>0</v>
      </c>
      <c r="O5" cm="1">
        <f t="array" aca="1" ref="O5" ca="1">SUMPRODUCT(LARGE('For stats end Y points'!$B5:O5,ROW(INDIRECT("1:"&amp;MIN(24,COUNT('For stats end Y points'!$B5:O5))))))</f>
        <v>0</v>
      </c>
      <c r="P5" cm="1">
        <f t="array" aca="1" ref="P5" ca="1">SUMPRODUCT(LARGE('For stats end Y points'!$B5:P5,ROW(INDIRECT("1:"&amp;MIN(24,COUNT('For stats end Y points'!$B5:P5))))))</f>
        <v>0</v>
      </c>
      <c r="Q5" cm="1">
        <f t="array" aca="1" ref="Q5" ca="1">SUMPRODUCT(LARGE('For stats end Y points'!$B5:Q5,ROW(INDIRECT("1:"&amp;MIN(24,COUNT('For stats end Y points'!$B5:Q5))))))</f>
        <v>0</v>
      </c>
      <c r="R5" cm="1">
        <f t="array" aca="1" ref="R5" ca="1">SUMPRODUCT(LARGE('For stats end Y points'!$B5:R5,ROW(INDIRECT("1:"&amp;MIN(24,COUNT('For stats end Y points'!$B5:R5))))))</f>
        <v>0</v>
      </c>
      <c r="S5" cm="1">
        <f t="array" aca="1" ref="S5" ca="1">SUMPRODUCT(LARGE('For stats end Y points'!$B5:S5,ROW(INDIRECT("1:"&amp;MIN(24,COUNT('For stats end Y points'!$B5:S5))))))</f>
        <v>0</v>
      </c>
      <c r="T5" cm="1">
        <f t="array" aca="1" ref="T5" ca="1">SUMPRODUCT(LARGE('For stats end Y points'!$B5:T5,ROW(INDIRECT("1:"&amp;MIN(24,COUNT('For stats end Y points'!$B5:T5))))))</f>
        <v>0</v>
      </c>
      <c r="U5" cm="1">
        <f t="array" aca="1" ref="U5" ca="1">SUMPRODUCT(LARGE('For stats end Y points'!$B5:U5,ROW(INDIRECT("1:"&amp;MIN(24,COUNT('For stats end Y points'!$B5:U5))))))</f>
        <v>0</v>
      </c>
      <c r="V5" cm="1">
        <f t="array" aca="1" ref="V5" ca="1">SUMPRODUCT(LARGE('For stats end Y points'!$B5:V5,ROW(INDIRECT("1:"&amp;MIN(24,COUNT('For stats end Y points'!$B5:V5))))))</f>
        <v>0</v>
      </c>
      <c r="W5" cm="1">
        <f t="array" aca="1" ref="W5" ca="1">SUMPRODUCT(LARGE('For stats end Y points'!$B5:W5,ROW(INDIRECT("1:"&amp;MIN(24,COUNT('For stats end Y points'!$B5:W5))))))</f>
        <v>0</v>
      </c>
      <c r="X5" cm="1">
        <f t="array" aca="1" ref="X5" ca="1">SUMPRODUCT(LARGE('For stats end Y points'!$B5:X5,ROW(INDIRECT("1:"&amp;MIN(24,COUNT('For stats end Y points'!$B5:X5))))))</f>
        <v>0</v>
      </c>
      <c r="Y5" cm="1">
        <f t="array" aca="1" ref="Y5" ca="1">SUMPRODUCT(LARGE('For stats end Y points'!$B5:Y5,ROW(INDIRECT("1:"&amp;MIN(24,COUNT('For stats end Y points'!$B5:Y5))))))</f>
        <v>0</v>
      </c>
      <c r="Z5" cm="1">
        <f t="array" aca="1" ref="Z5" ca="1">SUMPRODUCT(LARGE('For stats end Y points'!$B5:Z5,ROW(INDIRECT("1:"&amp;MIN(24,COUNT('For stats end Y points'!$B5:Z5))))))</f>
        <v>0</v>
      </c>
      <c r="AA5" cm="1">
        <f t="array" aca="1" ref="AA5" ca="1">SUMPRODUCT(LARGE('For stats end Y points'!$B5:AA5,ROW(INDIRECT("1:"&amp;MIN(24,COUNT('For stats end Y points'!$B5:AA5))))))</f>
        <v>1</v>
      </c>
      <c r="AB5" cm="1">
        <f t="array" aca="1" ref="AB5" ca="1">SUMPRODUCT(LARGE('For stats end Y points'!$B5:AB5,ROW(INDIRECT("1:"&amp;MIN(24,COUNT('For stats end Y points'!$B5:AB5))))))</f>
        <v>1</v>
      </c>
      <c r="AC5" cm="1">
        <f t="array" aca="1" ref="AC5" ca="1">SUMPRODUCT(LARGE('For stats end Y points'!$B5:AC5,ROW(INDIRECT("1:"&amp;MIN(24,COUNT('For stats end Y points'!$B5:AC5))))))</f>
        <v>1</v>
      </c>
      <c r="AD5" cm="1">
        <f t="array" aca="1" ref="AD5" ca="1">SUMPRODUCT(LARGE('For stats end Y points'!$B5:AD5,ROW(INDIRECT("1:"&amp;MIN(24,COUNT('For stats end Y points'!$B5:AD5))))))</f>
        <v>1</v>
      </c>
      <c r="AE5" cm="1">
        <f t="array" aca="1" ref="AE5" ca="1">SUMPRODUCT(LARGE('For stats end Y points'!$B5:AE5,ROW(INDIRECT("1:"&amp;MIN(24,COUNT('For stats end Y points'!$B5:AE5))))))</f>
        <v>3</v>
      </c>
      <c r="AF5" cm="1">
        <f t="array" aca="1" ref="AF5" ca="1">SUMPRODUCT(LARGE('For stats end Y points'!$B5:AF5,ROW(INDIRECT("1:"&amp;MIN(24,COUNT('For stats end Y points'!$B5:AF5))))))</f>
        <v>3</v>
      </c>
      <c r="AG5" cm="1">
        <f t="array" aca="1" ref="AG5" ca="1">SUMPRODUCT(LARGE('For stats end Y points'!$B5:AG5,ROW(INDIRECT("1:"&amp;MIN(24,COUNT('For stats end Y points'!$B5:AG5))))))</f>
        <v>5</v>
      </c>
      <c r="AH5" cm="1">
        <f t="array" aca="1" ref="AH5" ca="1">SUMPRODUCT(LARGE('For stats end Y points'!$B5:AH5,ROW(INDIRECT("1:"&amp;MIN(24,COUNT('For stats end Y points'!$B5:AH5))))))</f>
        <v>5</v>
      </c>
      <c r="AP5" s="10">
        <f t="shared" si="0"/>
        <v>0</v>
      </c>
      <c r="AQ5">
        <f>'For stats end Y class'!AU5</f>
        <v>3</v>
      </c>
    </row>
    <row r="6" spans="1:43" x14ac:dyDescent="0.2">
      <c r="A6" t="str">
        <f>'For stats end Y points'!A6</f>
        <v>Antoine</v>
      </c>
      <c r="B6" cm="1">
        <f t="array" aca="1" ref="B6" ca="1">SUMPRODUCT(LARGE('For stats end Y points'!$B6:B6,ROW(INDIRECT("1:"&amp;MIN(24,COUNT('For stats end Y points'!$B6:B6))))))</f>
        <v>0</v>
      </c>
      <c r="C6" cm="1">
        <f t="array" aca="1" ref="C6" ca="1">SUMPRODUCT(LARGE('For stats end Y points'!$B6:C6,ROW(INDIRECT("1:"&amp;MIN(24,COUNT('For stats end Y points'!$B6:C6))))))</f>
        <v>1</v>
      </c>
      <c r="D6" cm="1">
        <f t="array" aca="1" ref="D6" ca="1">SUMPRODUCT(LARGE('For stats end Y points'!$B6:D6,ROW(INDIRECT("1:"&amp;MIN(24,COUNT('For stats end Y points'!$B6:D6))))))</f>
        <v>1</v>
      </c>
      <c r="E6" cm="1">
        <f t="array" aca="1" ref="E6" ca="1">SUMPRODUCT(LARGE('For stats end Y points'!$B6:E6,ROW(INDIRECT("1:"&amp;MIN(24,COUNT('For stats end Y points'!$B6:E6))))))</f>
        <v>1</v>
      </c>
      <c r="F6" cm="1">
        <f t="array" aca="1" ref="F6" ca="1">SUMPRODUCT(LARGE('For stats end Y points'!$B6:F6,ROW(INDIRECT("1:"&amp;MIN(24,COUNT('For stats end Y points'!$B6:F6))))))</f>
        <v>1</v>
      </c>
      <c r="G6" cm="1">
        <f t="array" aca="1" ref="G6" ca="1">SUMPRODUCT(LARGE('For stats end Y points'!$B6:G6,ROW(INDIRECT("1:"&amp;MIN(24,COUNT('For stats end Y points'!$B6:G6))))))</f>
        <v>1</v>
      </c>
      <c r="H6" cm="1">
        <f t="array" aca="1" ref="H6" ca="1">SUMPRODUCT(LARGE('For stats end Y points'!$B6:H6,ROW(INDIRECT("1:"&amp;MIN(24,COUNT('For stats end Y points'!$B6:H6))))))</f>
        <v>1</v>
      </c>
      <c r="I6" cm="1">
        <f t="array" aca="1" ref="I6" ca="1">SUMPRODUCT(LARGE('For stats end Y points'!$B6:I6,ROW(INDIRECT("1:"&amp;MIN(24,COUNT('For stats end Y points'!$B6:I6))))))</f>
        <v>1</v>
      </c>
      <c r="J6" cm="1">
        <f t="array" aca="1" ref="J6" ca="1">SUMPRODUCT(LARGE('For stats end Y points'!$B6:J6,ROW(INDIRECT("1:"&amp;MIN(24,COUNT('For stats end Y points'!$B6:J6))))))</f>
        <v>1</v>
      </c>
      <c r="K6" cm="1">
        <f t="array" aca="1" ref="K6" ca="1">SUMPRODUCT(LARGE('For stats end Y points'!$B6:K6,ROW(INDIRECT("1:"&amp;MIN(24,COUNT('For stats end Y points'!$B6:K6))))))</f>
        <v>1</v>
      </c>
      <c r="L6" cm="1">
        <f t="array" aca="1" ref="L6" ca="1">SUMPRODUCT(LARGE('For stats end Y points'!$B6:L6,ROW(INDIRECT("1:"&amp;MIN(24,COUNT('For stats end Y points'!$B6:L6))))))</f>
        <v>1</v>
      </c>
      <c r="M6" cm="1">
        <f t="array" aca="1" ref="M6" ca="1">SUMPRODUCT(LARGE('For stats end Y points'!$B6:M6,ROW(INDIRECT("1:"&amp;MIN(24,COUNT('For stats end Y points'!$B6:M6))))))</f>
        <v>1</v>
      </c>
      <c r="N6" cm="1">
        <f t="array" aca="1" ref="N6" ca="1">SUMPRODUCT(LARGE('For stats end Y points'!$B6:N6,ROW(INDIRECT("1:"&amp;MIN(24,COUNT('For stats end Y points'!$B6:N6))))))</f>
        <v>1</v>
      </c>
      <c r="O6" cm="1">
        <f t="array" aca="1" ref="O6" ca="1">SUMPRODUCT(LARGE('For stats end Y points'!$B6:O6,ROW(INDIRECT("1:"&amp;MIN(24,COUNT('For stats end Y points'!$B6:O6))))))</f>
        <v>1</v>
      </c>
      <c r="P6" cm="1">
        <f t="array" aca="1" ref="P6" ca="1">SUMPRODUCT(LARGE('For stats end Y points'!$B6:P6,ROW(INDIRECT("1:"&amp;MIN(24,COUNT('For stats end Y points'!$B6:P6))))))</f>
        <v>1</v>
      </c>
      <c r="Q6" cm="1">
        <f t="array" aca="1" ref="Q6" ca="1">SUMPRODUCT(LARGE('For stats end Y points'!$B6:Q6,ROW(INDIRECT("1:"&amp;MIN(24,COUNT('For stats end Y points'!$B6:Q6))))))</f>
        <v>1</v>
      </c>
      <c r="R6" cm="1">
        <f t="array" aca="1" ref="R6" ca="1">SUMPRODUCT(LARGE('For stats end Y points'!$B6:R6,ROW(INDIRECT("1:"&amp;MIN(24,COUNT('For stats end Y points'!$B6:R6))))))</f>
        <v>1</v>
      </c>
      <c r="S6" cm="1">
        <f t="array" aca="1" ref="S6" ca="1">SUMPRODUCT(LARGE('For stats end Y points'!$B6:S6,ROW(INDIRECT("1:"&amp;MIN(24,COUNT('For stats end Y points'!$B6:S6))))))</f>
        <v>1</v>
      </c>
      <c r="T6" cm="1">
        <f t="array" aca="1" ref="T6" ca="1">SUMPRODUCT(LARGE('For stats end Y points'!$B6:T6,ROW(INDIRECT("1:"&amp;MIN(24,COUNT('For stats end Y points'!$B6:T6))))))</f>
        <v>1</v>
      </c>
      <c r="U6" cm="1">
        <f t="array" aca="1" ref="U6" ca="1">SUMPRODUCT(LARGE('For stats end Y points'!$B6:U6,ROW(INDIRECT("1:"&amp;MIN(24,COUNT('For stats end Y points'!$B6:U6))))))</f>
        <v>1</v>
      </c>
      <c r="V6" cm="1">
        <f t="array" aca="1" ref="V6" ca="1">SUMPRODUCT(LARGE('For stats end Y points'!$B6:V6,ROW(INDIRECT("1:"&amp;MIN(24,COUNT('For stats end Y points'!$B6:V6))))))</f>
        <v>1</v>
      </c>
      <c r="W6" cm="1">
        <f t="array" aca="1" ref="W6" ca="1">SUMPRODUCT(LARGE('For stats end Y points'!$B6:W6,ROW(INDIRECT("1:"&amp;MIN(24,COUNT('For stats end Y points'!$B6:W6))))))</f>
        <v>1</v>
      </c>
      <c r="X6" cm="1">
        <f t="array" aca="1" ref="X6" ca="1">SUMPRODUCT(LARGE('For stats end Y points'!$B6:X6,ROW(INDIRECT("1:"&amp;MIN(24,COUNT('For stats end Y points'!$B6:X6))))))</f>
        <v>1</v>
      </c>
      <c r="Y6" cm="1">
        <f t="array" aca="1" ref="Y6" ca="1">SUMPRODUCT(LARGE('For stats end Y points'!$B6:Y6,ROW(INDIRECT("1:"&amp;MIN(24,COUNT('For stats end Y points'!$B6:Y6))))))</f>
        <v>1</v>
      </c>
      <c r="Z6" cm="1">
        <f t="array" aca="1" ref="Z6" ca="1">SUMPRODUCT(LARGE('For stats end Y points'!$B6:Z6,ROW(INDIRECT("1:"&amp;MIN(24,COUNT('For stats end Y points'!$B6:Z6))))))</f>
        <v>1</v>
      </c>
      <c r="AA6" cm="1">
        <f t="array" aca="1" ref="AA6" ca="1">SUMPRODUCT(LARGE('For stats end Y points'!$B6:AA6,ROW(INDIRECT("1:"&amp;MIN(24,COUNT('For stats end Y points'!$B6:AA6))))))</f>
        <v>1</v>
      </c>
      <c r="AB6" cm="1">
        <f t="array" aca="1" ref="AB6" ca="1">SUMPRODUCT(LARGE('For stats end Y points'!$B6:AB6,ROW(INDIRECT("1:"&amp;MIN(24,COUNT('For stats end Y points'!$B6:AB6))))))</f>
        <v>1</v>
      </c>
      <c r="AC6" cm="1">
        <f t="array" aca="1" ref="AC6" ca="1">SUMPRODUCT(LARGE('For stats end Y points'!$B6:AC6,ROW(INDIRECT("1:"&amp;MIN(24,COUNT('For stats end Y points'!$B6:AC6))))))</f>
        <v>1</v>
      </c>
      <c r="AD6" cm="1">
        <f t="array" aca="1" ref="AD6" ca="1">SUMPRODUCT(LARGE('For stats end Y points'!$B6:AD6,ROW(INDIRECT("1:"&amp;MIN(24,COUNT('For stats end Y points'!$B6:AD6))))))</f>
        <v>1</v>
      </c>
      <c r="AE6" cm="1">
        <f t="array" aca="1" ref="AE6" ca="1">SUMPRODUCT(LARGE('For stats end Y points'!$B6:AE6,ROW(INDIRECT("1:"&amp;MIN(24,COUNT('For stats end Y points'!$B6:AE6))))))</f>
        <v>1</v>
      </c>
      <c r="AF6" cm="1">
        <f t="array" aca="1" ref="AF6" ca="1">SUMPRODUCT(LARGE('For stats end Y points'!$B6:AF6,ROW(INDIRECT("1:"&amp;MIN(24,COUNT('For stats end Y points'!$B6:AF6))))))</f>
        <v>1</v>
      </c>
      <c r="AG6" cm="1">
        <f t="array" aca="1" ref="AG6" ca="1">SUMPRODUCT(LARGE('For stats end Y points'!$B6:AG6,ROW(INDIRECT("1:"&amp;MIN(24,COUNT('For stats end Y points'!$B6:AG6))))))</f>
        <v>1</v>
      </c>
      <c r="AH6" cm="1">
        <f t="array" aca="1" ref="AH6" ca="1">SUMPRODUCT(LARGE('For stats end Y points'!$B6:AH6,ROW(INDIRECT("1:"&amp;MIN(24,COUNT('For stats end Y points'!$B6:AH6))))))</f>
        <v>1</v>
      </c>
      <c r="AP6" s="10">
        <f t="shared" si="0"/>
        <v>0</v>
      </c>
      <c r="AQ6">
        <f>'For stats end Y class'!AU6</f>
        <v>1</v>
      </c>
    </row>
    <row r="7" spans="1:43" x14ac:dyDescent="0.2">
      <c r="A7" t="str">
        <f>'For stats end Y points'!A7</f>
        <v>Bibus</v>
      </c>
      <c r="B7" cm="1">
        <f t="array" aca="1" ref="B7" ca="1">SUMPRODUCT(LARGE('For stats end Y points'!$B7:B7,ROW(INDIRECT("1:"&amp;MIN(24,COUNT('For stats end Y points'!$B7:B7))))))</f>
        <v>0</v>
      </c>
      <c r="C7" cm="1">
        <f t="array" aca="1" ref="C7" ca="1">SUMPRODUCT(LARGE('For stats end Y points'!$B7:C7,ROW(INDIRECT("1:"&amp;MIN(24,COUNT('For stats end Y points'!$B7:C7))))))</f>
        <v>1</v>
      </c>
      <c r="D7" cm="1">
        <f t="array" aca="1" ref="D7" ca="1">SUMPRODUCT(LARGE('For stats end Y points'!$B7:D7,ROW(INDIRECT("1:"&amp;MIN(24,COUNT('For stats end Y points'!$B7:D7))))))</f>
        <v>1</v>
      </c>
      <c r="E7" cm="1">
        <f t="array" aca="1" ref="E7" ca="1">SUMPRODUCT(LARGE('For stats end Y points'!$B7:E7,ROW(INDIRECT("1:"&amp;MIN(24,COUNT('For stats end Y points'!$B7:E7))))))</f>
        <v>1</v>
      </c>
      <c r="F7" cm="1">
        <f t="array" aca="1" ref="F7" ca="1">SUMPRODUCT(LARGE('For stats end Y points'!$B7:F7,ROW(INDIRECT("1:"&amp;MIN(24,COUNT('For stats end Y points'!$B7:F7))))))</f>
        <v>1</v>
      </c>
      <c r="G7" cm="1">
        <f t="array" aca="1" ref="G7" ca="1">SUMPRODUCT(LARGE('For stats end Y points'!$B7:G7,ROW(INDIRECT("1:"&amp;MIN(24,COUNT('For stats end Y points'!$B7:G7))))))</f>
        <v>1</v>
      </c>
      <c r="H7" cm="1">
        <f t="array" aca="1" ref="H7" ca="1">SUMPRODUCT(LARGE('For stats end Y points'!$B7:H7,ROW(INDIRECT("1:"&amp;MIN(24,COUNT('For stats end Y points'!$B7:H7))))))</f>
        <v>1</v>
      </c>
      <c r="I7" cm="1">
        <f t="array" aca="1" ref="I7" ca="1">SUMPRODUCT(LARGE('For stats end Y points'!$B7:I7,ROW(INDIRECT("1:"&amp;MIN(24,COUNT('For stats end Y points'!$B7:I7))))))</f>
        <v>1</v>
      </c>
      <c r="J7" cm="1">
        <f t="array" aca="1" ref="J7" ca="1">SUMPRODUCT(LARGE('For stats end Y points'!$B7:J7,ROW(INDIRECT("1:"&amp;MIN(24,COUNT('For stats end Y points'!$B7:J7))))))</f>
        <v>1</v>
      </c>
      <c r="K7" cm="1">
        <f t="array" aca="1" ref="K7" ca="1">SUMPRODUCT(LARGE('For stats end Y points'!$B7:K7,ROW(INDIRECT("1:"&amp;MIN(24,COUNT('For stats end Y points'!$B7:K7))))))</f>
        <v>1</v>
      </c>
      <c r="L7" cm="1">
        <f t="array" aca="1" ref="L7" ca="1">SUMPRODUCT(LARGE('For stats end Y points'!$B7:L7,ROW(INDIRECT("1:"&amp;MIN(24,COUNT('For stats end Y points'!$B7:L7))))))</f>
        <v>1</v>
      </c>
      <c r="M7" cm="1">
        <f t="array" aca="1" ref="M7" ca="1">SUMPRODUCT(LARGE('For stats end Y points'!$B7:M7,ROW(INDIRECT("1:"&amp;MIN(24,COUNT('For stats end Y points'!$B7:M7))))))</f>
        <v>1</v>
      </c>
      <c r="N7" cm="1">
        <f t="array" aca="1" ref="N7" ca="1">SUMPRODUCT(LARGE('For stats end Y points'!$B7:N7,ROW(INDIRECT("1:"&amp;MIN(24,COUNT('For stats end Y points'!$B7:N7))))))</f>
        <v>1</v>
      </c>
      <c r="O7" cm="1">
        <f t="array" aca="1" ref="O7" ca="1">SUMPRODUCT(LARGE('For stats end Y points'!$B7:O7,ROW(INDIRECT("1:"&amp;MIN(24,COUNT('For stats end Y points'!$B7:O7))))))</f>
        <v>1</v>
      </c>
      <c r="P7" cm="1">
        <f t="array" aca="1" ref="P7" ca="1">SUMPRODUCT(LARGE('For stats end Y points'!$B7:P7,ROW(INDIRECT("1:"&amp;MIN(24,COUNT('For stats end Y points'!$B7:P7))))))</f>
        <v>1</v>
      </c>
      <c r="Q7" cm="1">
        <f t="array" aca="1" ref="Q7" ca="1">SUMPRODUCT(LARGE('For stats end Y points'!$B7:Q7,ROW(INDIRECT("1:"&amp;MIN(24,COUNT('For stats end Y points'!$B7:Q7))))))</f>
        <v>1</v>
      </c>
      <c r="R7" cm="1">
        <f t="array" aca="1" ref="R7" ca="1">SUMPRODUCT(LARGE('For stats end Y points'!$B7:R7,ROW(INDIRECT("1:"&amp;MIN(24,COUNT('For stats end Y points'!$B7:R7))))))</f>
        <v>1</v>
      </c>
      <c r="S7" cm="1">
        <f t="array" aca="1" ref="S7" ca="1">SUMPRODUCT(LARGE('For stats end Y points'!$B7:S7,ROW(INDIRECT("1:"&amp;MIN(24,COUNT('For stats end Y points'!$B7:S7))))))</f>
        <v>1</v>
      </c>
      <c r="T7" cm="1">
        <f t="array" aca="1" ref="T7" ca="1">SUMPRODUCT(LARGE('For stats end Y points'!$B7:T7,ROW(INDIRECT("1:"&amp;MIN(24,COUNT('For stats end Y points'!$B7:T7))))))</f>
        <v>1</v>
      </c>
      <c r="U7" cm="1">
        <f t="array" aca="1" ref="U7" ca="1">SUMPRODUCT(LARGE('For stats end Y points'!$B7:U7,ROW(INDIRECT("1:"&amp;MIN(24,COUNT('For stats end Y points'!$B7:U7))))))</f>
        <v>1</v>
      </c>
      <c r="V7" cm="1">
        <f t="array" aca="1" ref="V7" ca="1">SUMPRODUCT(LARGE('For stats end Y points'!$B7:V7,ROW(INDIRECT("1:"&amp;MIN(24,COUNT('For stats end Y points'!$B7:V7))))))</f>
        <v>1</v>
      </c>
      <c r="W7" cm="1">
        <f t="array" aca="1" ref="W7" ca="1">SUMPRODUCT(LARGE('For stats end Y points'!$B7:W7,ROW(INDIRECT("1:"&amp;MIN(24,COUNT('For stats end Y points'!$B7:W7))))))</f>
        <v>1</v>
      </c>
      <c r="X7" cm="1">
        <f t="array" aca="1" ref="X7" ca="1">SUMPRODUCT(LARGE('For stats end Y points'!$B7:X7,ROW(INDIRECT("1:"&amp;MIN(24,COUNT('For stats end Y points'!$B7:X7))))))</f>
        <v>1</v>
      </c>
      <c r="Y7" cm="1">
        <f t="array" aca="1" ref="Y7" ca="1">SUMPRODUCT(LARGE('For stats end Y points'!$B7:Y7,ROW(INDIRECT("1:"&amp;MIN(24,COUNT('For stats end Y points'!$B7:Y7))))))</f>
        <v>1</v>
      </c>
      <c r="Z7" cm="1">
        <f t="array" aca="1" ref="Z7" ca="1">SUMPRODUCT(LARGE('For stats end Y points'!$B7:Z7,ROW(INDIRECT("1:"&amp;MIN(24,COUNT('For stats end Y points'!$B7:Z7))))))</f>
        <v>1</v>
      </c>
      <c r="AA7" cm="1">
        <f t="array" aca="1" ref="AA7" ca="1">SUMPRODUCT(LARGE('For stats end Y points'!$B7:AA7,ROW(INDIRECT("1:"&amp;MIN(24,COUNT('For stats end Y points'!$B7:AA7))))))</f>
        <v>1</v>
      </c>
      <c r="AB7" cm="1">
        <f t="array" aca="1" ref="AB7" ca="1">SUMPRODUCT(LARGE('For stats end Y points'!$B7:AB7,ROW(INDIRECT("1:"&amp;MIN(24,COUNT('For stats end Y points'!$B7:AB7))))))</f>
        <v>1</v>
      </c>
      <c r="AC7" cm="1">
        <f t="array" aca="1" ref="AC7" ca="1">SUMPRODUCT(LARGE('For stats end Y points'!$B7:AC7,ROW(INDIRECT("1:"&amp;MIN(24,COUNT('For stats end Y points'!$B7:AC7))))))</f>
        <v>1</v>
      </c>
      <c r="AD7" cm="1">
        <f t="array" aca="1" ref="AD7" ca="1">SUMPRODUCT(LARGE('For stats end Y points'!$B7:AD7,ROW(INDIRECT("1:"&amp;MIN(24,COUNT('For stats end Y points'!$B7:AD7))))))</f>
        <v>1</v>
      </c>
      <c r="AE7" cm="1">
        <f t="array" aca="1" ref="AE7" ca="1">SUMPRODUCT(LARGE('For stats end Y points'!$B7:AE7,ROW(INDIRECT("1:"&amp;MIN(24,COUNT('For stats end Y points'!$B7:AE7))))))</f>
        <v>1</v>
      </c>
      <c r="AF7" cm="1">
        <f t="array" aca="1" ref="AF7" ca="1">SUMPRODUCT(LARGE('For stats end Y points'!$B7:AF7,ROW(INDIRECT("1:"&amp;MIN(24,COUNT('For stats end Y points'!$B7:AF7))))))</f>
        <v>1</v>
      </c>
      <c r="AG7" cm="1">
        <f t="array" aca="1" ref="AG7" ca="1">SUMPRODUCT(LARGE('For stats end Y points'!$B7:AG7,ROW(INDIRECT("1:"&amp;MIN(24,COUNT('For stats end Y points'!$B7:AG7))))))</f>
        <v>1</v>
      </c>
      <c r="AH7" cm="1">
        <f t="array" aca="1" ref="AH7" ca="1">SUMPRODUCT(LARGE('For stats end Y points'!$B7:AH7,ROW(INDIRECT("1:"&amp;MIN(24,COUNT('For stats end Y points'!$B7:AH7))))))</f>
        <v>1</v>
      </c>
      <c r="AP7" s="10">
        <f t="shared" si="0"/>
        <v>0</v>
      </c>
      <c r="AQ7">
        <f>'For stats end Y class'!AU7</f>
        <v>1</v>
      </c>
    </row>
    <row r="8" spans="1:43" x14ac:dyDescent="0.2">
      <c r="A8" t="str">
        <f>'For stats end Y points'!A8</f>
        <v>Boosilletoo</v>
      </c>
      <c r="B8" cm="1">
        <f t="array" aca="1" ref="B8" ca="1">SUMPRODUCT(LARGE('For stats end Y points'!$B8:B8,ROW(INDIRECT("1:"&amp;MIN(24,COUNT('For stats end Y points'!$B8:B8))))))</f>
        <v>0</v>
      </c>
      <c r="C8" cm="1">
        <f t="array" aca="1" ref="C8" ca="1">SUMPRODUCT(LARGE('For stats end Y points'!$B8:C8,ROW(INDIRECT("1:"&amp;MIN(24,COUNT('For stats end Y points'!$B8:C8))))))</f>
        <v>0</v>
      </c>
      <c r="D8" cm="1">
        <f t="array" aca="1" ref="D8" ca="1">SUMPRODUCT(LARGE('For stats end Y points'!$B8:D8,ROW(INDIRECT("1:"&amp;MIN(24,COUNT('For stats end Y points'!$B8:D8))))))</f>
        <v>1</v>
      </c>
      <c r="E8" cm="1">
        <f t="array" aca="1" ref="E8" ca="1">SUMPRODUCT(LARGE('For stats end Y points'!$B8:E8,ROW(INDIRECT("1:"&amp;MIN(24,COUNT('For stats end Y points'!$B8:E8))))))</f>
        <v>6</v>
      </c>
      <c r="F8" cm="1">
        <f t="array" aca="1" ref="F8" ca="1">SUMPRODUCT(LARGE('For stats end Y points'!$B8:F8,ROW(INDIRECT("1:"&amp;MIN(24,COUNT('For stats end Y points'!$B8:F8))))))</f>
        <v>23</v>
      </c>
      <c r="G8" cm="1">
        <f t="array" aca="1" ref="G8" ca="1">SUMPRODUCT(LARGE('For stats end Y points'!$B8:G8,ROW(INDIRECT("1:"&amp;MIN(24,COUNT('For stats end Y points'!$B8:G8))))))</f>
        <v>23</v>
      </c>
      <c r="H8" cm="1">
        <f t="array" aca="1" ref="H8" ca="1">SUMPRODUCT(LARGE('For stats end Y points'!$B8:H8,ROW(INDIRECT("1:"&amp;MIN(24,COUNT('For stats end Y points'!$B8:H8))))))</f>
        <v>23</v>
      </c>
      <c r="I8" cm="1">
        <f t="array" aca="1" ref="I8" ca="1">SUMPRODUCT(LARGE('For stats end Y points'!$B8:I8,ROW(INDIRECT("1:"&amp;MIN(24,COUNT('For stats end Y points'!$B8:I8))))))</f>
        <v>31</v>
      </c>
      <c r="J8" cm="1">
        <f t="array" aca="1" ref="J8" ca="1">SUMPRODUCT(LARGE('For stats end Y points'!$B8:J8,ROW(INDIRECT("1:"&amp;MIN(24,COUNT('For stats end Y points'!$B8:J8))))))</f>
        <v>47</v>
      </c>
      <c r="K8" cm="1">
        <f t="array" aca="1" ref="K8" ca="1">SUMPRODUCT(LARGE('For stats end Y points'!$B8:K8,ROW(INDIRECT("1:"&amp;MIN(24,COUNT('For stats end Y points'!$B8:K8))))))</f>
        <v>48</v>
      </c>
      <c r="L8" cm="1">
        <f t="array" aca="1" ref="L8" ca="1">SUMPRODUCT(LARGE('For stats end Y points'!$B8:L8,ROW(INDIRECT("1:"&amp;MIN(24,COUNT('For stats end Y points'!$B8:L8))))))</f>
        <v>48</v>
      </c>
      <c r="M8" cm="1">
        <f t="array" aca="1" ref="M8" ca="1">SUMPRODUCT(LARGE('For stats end Y points'!$B8:M8,ROW(INDIRECT("1:"&amp;MIN(24,COUNT('For stats end Y points'!$B8:M8))))))</f>
        <v>48</v>
      </c>
      <c r="N8" cm="1">
        <f t="array" aca="1" ref="N8" ca="1">SUMPRODUCT(LARGE('For stats end Y points'!$B8:N8,ROW(INDIRECT("1:"&amp;MIN(24,COUNT('For stats end Y points'!$B8:N8))))))</f>
        <v>48</v>
      </c>
      <c r="O8" cm="1">
        <f t="array" aca="1" ref="O8" ca="1">SUMPRODUCT(LARGE('For stats end Y points'!$B8:O8,ROW(INDIRECT("1:"&amp;MIN(24,COUNT('For stats end Y points'!$B8:O8))))))</f>
        <v>52</v>
      </c>
      <c r="P8" cm="1">
        <f t="array" aca="1" ref="P8" ca="1">SUMPRODUCT(LARGE('For stats end Y points'!$B8:P8,ROW(INDIRECT("1:"&amp;MIN(24,COUNT('For stats end Y points'!$B8:P8))))))</f>
        <v>52</v>
      </c>
      <c r="Q8" cm="1">
        <f t="array" aca="1" ref="Q8" ca="1">SUMPRODUCT(LARGE('For stats end Y points'!$B8:Q8,ROW(INDIRECT("1:"&amp;MIN(24,COUNT('For stats end Y points'!$B8:Q8))))))</f>
        <v>52</v>
      </c>
      <c r="R8" cm="1">
        <f t="array" aca="1" ref="R8" ca="1">SUMPRODUCT(LARGE('For stats end Y points'!$B8:R8,ROW(INDIRECT("1:"&amp;MIN(24,COUNT('For stats end Y points'!$B8:R8))))))</f>
        <v>57</v>
      </c>
      <c r="S8" cm="1">
        <f t="array" aca="1" ref="S8" ca="1">SUMPRODUCT(LARGE('For stats end Y points'!$B8:S8,ROW(INDIRECT("1:"&amp;MIN(24,COUNT('For stats end Y points'!$B8:S8))))))</f>
        <v>70</v>
      </c>
      <c r="T8" cm="1">
        <f t="array" aca="1" ref="T8" ca="1">SUMPRODUCT(LARGE('For stats end Y points'!$B8:T8,ROW(INDIRECT("1:"&amp;MIN(24,COUNT('For stats end Y points'!$B8:T8))))))</f>
        <v>86</v>
      </c>
      <c r="U8" cm="1">
        <f t="array" aca="1" ref="U8" ca="1">SUMPRODUCT(LARGE('For stats end Y points'!$B8:U8,ROW(INDIRECT("1:"&amp;MIN(24,COUNT('For stats end Y points'!$B8:U8))))))</f>
        <v>86</v>
      </c>
      <c r="V8" cm="1">
        <f t="array" aca="1" ref="V8" ca="1">SUMPRODUCT(LARGE('For stats end Y points'!$B8:V8,ROW(INDIRECT("1:"&amp;MIN(24,COUNT('For stats end Y points'!$B8:V8))))))</f>
        <v>86</v>
      </c>
      <c r="W8" cm="1">
        <f t="array" aca="1" ref="W8" ca="1">SUMPRODUCT(LARGE('For stats end Y points'!$B8:W8,ROW(INDIRECT("1:"&amp;MIN(24,COUNT('For stats end Y points'!$B8:W8))))))</f>
        <v>102</v>
      </c>
      <c r="X8" cm="1">
        <f t="array" aca="1" ref="X8" ca="1">SUMPRODUCT(LARGE('For stats end Y points'!$B8:X8,ROW(INDIRECT("1:"&amp;MIN(24,COUNT('For stats end Y points'!$B8:X8))))))</f>
        <v>102</v>
      </c>
      <c r="Y8" cm="1">
        <f t="array" aca="1" ref="Y8" ca="1">SUMPRODUCT(LARGE('For stats end Y points'!$B8:Y8,ROW(INDIRECT("1:"&amp;MIN(24,COUNT('For stats end Y points'!$B8:Y8))))))</f>
        <v>103</v>
      </c>
      <c r="Z8" cm="1">
        <f t="array" aca="1" ref="Z8" ca="1">SUMPRODUCT(LARGE('For stats end Y points'!$B8:Z8,ROW(INDIRECT("1:"&amp;MIN(24,COUNT('For stats end Y points'!$B8:Z8))))))</f>
        <v>111</v>
      </c>
      <c r="AA8" cm="1">
        <f t="array" aca="1" ref="AA8" ca="1">SUMPRODUCT(LARGE('For stats end Y points'!$B8:AA8,ROW(INDIRECT("1:"&amp;MIN(24,COUNT('For stats end Y points'!$B8:AA8))))))</f>
        <v>111</v>
      </c>
      <c r="AB8" cm="1">
        <f t="array" aca="1" ref="AB8" ca="1">SUMPRODUCT(LARGE('For stats end Y points'!$B8:AB8,ROW(INDIRECT("1:"&amp;MIN(24,COUNT('For stats end Y points'!$B8:AB8))))))</f>
        <v>111</v>
      </c>
      <c r="AC8" cm="1">
        <f t="array" aca="1" ref="AC8" ca="1">SUMPRODUCT(LARGE('For stats end Y points'!$B8:AC8,ROW(INDIRECT("1:"&amp;MIN(24,COUNT('For stats end Y points'!$B8:AC8))))))</f>
        <v>119</v>
      </c>
      <c r="AD8" cm="1">
        <f t="array" aca="1" ref="AD8" ca="1">SUMPRODUCT(LARGE('For stats end Y points'!$B8:AD8,ROW(INDIRECT("1:"&amp;MIN(24,COUNT('For stats end Y points'!$B8:AD8))))))</f>
        <v>127</v>
      </c>
      <c r="AE8" cm="1">
        <f t="array" aca="1" ref="AE8" ca="1">SUMPRODUCT(LARGE('For stats end Y points'!$B8:AE8,ROW(INDIRECT("1:"&amp;MIN(24,COUNT('For stats end Y points'!$B8:AE8))))))</f>
        <v>127</v>
      </c>
      <c r="AF8" cm="1">
        <f t="array" aca="1" ref="AF8" ca="1">SUMPRODUCT(LARGE('For stats end Y points'!$B8:AF8,ROW(INDIRECT("1:"&amp;MIN(24,COUNT('For stats end Y points'!$B8:AF8))))))</f>
        <v>127</v>
      </c>
      <c r="AG8" cm="1">
        <f t="array" aca="1" ref="AG8" ca="1">SUMPRODUCT(LARGE('For stats end Y points'!$B8:AG8,ROW(INDIRECT("1:"&amp;MIN(24,COUNT('For stats end Y points'!$B8:AG8))))))</f>
        <v>127</v>
      </c>
      <c r="AH8" cm="1">
        <f t="array" aca="1" ref="AH8" ca="1">SUMPRODUCT(LARGE('For stats end Y points'!$B8:AH8,ROW(INDIRECT("1:"&amp;MIN(24,COUNT('For stats end Y points'!$B8:AH8))))))</f>
        <v>127</v>
      </c>
      <c r="AP8" s="10">
        <f t="shared" si="0"/>
        <v>0</v>
      </c>
      <c r="AQ8">
        <f>'For stats end Y class'!AU8</f>
        <v>15</v>
      </c>
    </row>
    <row r="9" spans="1:43" x14ac:dyDescent="0.2">
      <c r="A9" t="str">
        <f>'For stats end Y points'!A9</f>
        <v>Bounette</v>
      </c>
      <c r="B9" cm="1">
        <f t="array" aca="1" ref="B9" ca="1">SUMPRODUCT(LARGE('For stats end Y points'!$B9:B9,ROW(INDIRECT("1:"&amp;MIN(24,COUNT('For stats end Y points'!$B9:B9))))))</f>
        <v>12</v>
      </c>
      <c r="C9" cm="1">
        <f t="array" aca="1" ref="C9" ca="1">SUMPRODUCT(LARGE('For stats end Y points'!$B9:C9,ROW(INDIRECT("1:"&amp;MIN(24,COUNT('For stats end Y points'!$B9:C9))))))</f>
        <v>28</v>
      </c>
      <c r="D9" cm="1">
        <f t="array" aca="1" ref="D9" ca="1">SUMPRODUCT(LARGE('For stats end Y points'!$B9:D9,ROW(INDIRECT("1:"&amp;MIN(24,COUNT('For stats end Y points'!$B9:D9))))))</f>
        <v>28</v>
      </c>
      <c r="E9" cm="1">
        <f t="array" aca="1" ref="E9" ca="1">SUMPRODUCT(LARGE('For stats end Y points'!$B9:E9,ROW(INDIRECT("1:"&amp;MIN(24,COUNT('For stats end Y points'!$B9:E9))))))</f>
        <v>33</v>
      </c>
      <c r="F9" cm="1">
        <f t="array" aca="1" ref="F9" ca="1">SUMPRODUCT(LARGE('For stats end Y points'!$B9:F9,ROW(INDIRECT("1:"&amp;MIN(24,COUNT('For stats end Y points'!$B9:F9))))))</f>
        <v>36</v>
      </c>
      <c r="G9" cm="1">
        <f t="array" aca="1" ref="G9" ca="1">SUMPRODUCT(LARGE('For stats end Y points'!$B9:G9,ROW(INDIRECT("1:"&amp;MIN(24,COUNT('For stats end Y points'!$B9:G9))))))</f>
        <v>45</v>
      </c>
      <c r="H9" cm="1">
        <f t="array" aca="1" ref="H9" ca="1">SUMPRODUCT(LARGE('For stats end Y points'!$B9:H9,ROW(INDIRECT("1:"&amp;MIN(24,COUNT('For stats end Y points'!$B9:H9))))))</f>
        <v>46</v>
      </c>
      <c r="I9" cm="1">
        <f t="array" aca="1" ref="I9" ca="1">SUMPRODUCT(LARGE('For stats end Y points'!$B9:I9,ROW(INDIRECT("1:"&amp;MIN(24,COUNT('For stats end Y points'!$B9:I9))))))</f>
        <v>47</v>
      </c>
      <c r="J9" cm="1">
        <f t="array" aca="1" ref="J9" ca="1">SUMPRODUCT(LARGE('For stats end Y points'!$B9:J9,ROW(INDIRECT("1:"&amp;MIN(24,COUNT('For stats end Y points'!$B9:J9))))))</f>
        <v>52</v>
      </c>
      <c r="K9" cm="1">
        <f t="array" aca="1" ref="K9" ca="1">SUMPRODUCT(LARGE('For stats end Y points'!$B9:K9,ROW(INDIRECT("1:"&amp;MIN(24,COUNT('For stats end Y points'!$B9:K9))))))</f>
        <v>68</v>
      </c>
      <c r="L9" cm="1">
        <f t="array" aca="1" ref="L9" ca="1">SUMPRODUCT(LARGE('For stats end Y points'!$B9:L9,ROW(INDIRECT("1:"&amp;MIN(24,COUNT('For stats end Y points'!$B9:L9))))))</f>
        <v>70</v>
      </c>
      <c r="M9" cm="1">
        <f t="array" aca="1" ref="M9" ca="1">SUMPRODUCT(LARGE('For stats end Y points'!$B9:M9,ROW(INDIRECT("1:"&amp;MIN(24,COUNT('For stats end Y points'!$B9:M9))))))</f>
        <v>70</v>
      </c>
      <c r="N9" cm="1">
        <f t="array" aca="1" ref="N9" ca="1">SUMPRODUCT(LARGE('For stats end Y points'!$B9:N9,ROW(INDIRECT("1:"&amp;MIN(24,COUNT('For stats end Y points'!$B9:N9))))))</f>
        <v>70</v>
      </c>
      <c r="O9" cm="1">
        <f t="array" aca="1" ref="O9" ca="1">SUMPRODUCT(LARGE('For stats end Y points'!$B9:O9,ROW(INDIRECT("1:"&amp;MIN(24,COUNT('For stats end Y points'!$B9:O9))))))</f>
        <v>72</v>
      </c>
      <c r="P9" cm="1">
        <f t="array" aca="1" ref="P9" ca="1">SUMPRODUCT(LARGE('For stats end Y points'!$B9:P9,ROW(INDIRECT("1:"&amp;MIN(24,COUNT('For stats end Y points'!$B9:P9))))))</f>
        <v>85</v>
      </c>
      <c r="Q9" cm="1">
        <f t="array" aca="1" ref="Q9" ca="1">SUMPRODUCT(LARGE('For stats end Y points'!$B9:Q9,ROW(INDIRECT("1:"&amp;MIN(24,COUNT('For stats end Y points'!$B9:Q9))))))</f>
        <v>98</v>
      </c>
      <c r="R9" cm="1">
        <f t="array" aca="1" ref="R9" ca="1">SUMPRODUCT(LARGE('For stats end Y points'!$B9:R9,ROW(INDIRECT("1:"&amp;MIN(24,COUNT('For stats end Y points'!$B9:R9))))))</f>
        <v>111</v>
      </c>
      <c r="S9" cm="1">
        <f t="array" aca="1" ref="S9" ca="1">SUMPRODUCT(LARGE('For stats end Y points'!$B9:S9,ROW(INDIRECT("1:"&amp;MIN(24,COUNT('For stats end Y points'!$B9:S9))))))</f>
        <v>128</v>
      </c>
      <c r="T9" cm="1">
        <f t="array" aca="1" ref="T9" ca="1">SUMPRODUCT(LARGE('For stats end Y points'!$B9:T9,ROW(INDIRECT("1:"&amp;MIN(24,COUNT('For stats end Y points'!$B9:T9))))))</f>
        <v>129</v>
      </c>
      <c r="U9" cm="1">
        <f t="array" aca="1" ref="U9" ca="1">SUMPRODUCT(LARGE('For stats end Y points'!$B9:U9,ROW(INDIRECT("1:"&amp;MIN(24,COUNT('For stats end Y points'!$B9:U9))))))</f>
        <v>131</v>
      </c>
      <c r="V9" cm="1">
        <f t="array" aca="1" ref="V9" ca="1">SUMPRODUCT(LARGE('For stats end Y points'!$B9:V9,ROW(INDIRECT("1:"&amp;MIN(24,COUNT('For stats end Y points'!$B9:V9))))))</f>
        <v>133</v>
      </c>
      <c r="W9" cm="1">
        <f t="array" aca="1" ref="W9" ca="1">SUMPRODUCT(LARGE('For stats end Y points'!$B9:W9,ROW(INDIRECT("1:"&amp;MIN(24,COUNT('For stats end Y points'!$B9:W9))))))</f>
        <v>138</v>
      </c>
      <c r="X9" cm="1">
        <f t="array" aca="1" ref="X9" ca="1">SUMPRODUCT(LARGE('For stats end Y points'!$B9:X9,ROW(INDIRECT("1:"&amp;MIN(24,COUNT('For stats end Y points'!$B9:X9))))))</f>
        <v>151</v>
      </c>
      <c r="Y9" cm="1">
        <f t="array" aca="1" ref="Y9" ca="1">SUMPRODUCT(LARGE('For stats end Y points'!$B9:Y9,ROW(INDIRECT("1:"&amp;MIN(24,COUNT('For stats end Y points'!$B9:Y9))))))</f>
        <v>156</v>
      </c>
      <c r="Z9" cm="1">
        <f t="array" aca="1" ref="Z9" ca="1">SUMPRODUCT(LARGE('For stats end Y points'!$B9:Z9,ROW(INDIRECT("1:"&amp;MIN(24,COUNT('For stats end Y points'!$B9:Z9))))))</f>
        <v>161</v>
      </c>
      <c r="AA9" cm="1">
        <f t="array" aca="1" ref="AA9" ca="1">SUMPRODUCT(LARGE('For stats end Y points'!$B9:AA9,ROW(INDIRECT("1:"&amp;MIN(24,COUNT('For stats end Y points'!$B9:AA9))))))</f>
        <v>177</v>
      </c>
      <c r="AB9" cm="1">
        <f t="array" aca="1" ref="AB9" ca="1">SUMPRODUCT(LARGE('For stats end Y points'!$B9:AB9,ROW(INDIRECT("1:"&amp;MIN(24,COUNT('For stats end Y points'!$B9:AB9))))))</f>
        <v>193</v>
      </c>
      <c r="AC9" cm="1">
        <f t="array" aca="1" ref="AC9" ca="1">SUMPRODUCT(LARGE('For stats end Y points'!$B9:AC9,ROW(INDIRECT("1:"&amp;MIN(24,COUNT('For stats end Y points'!$B9:AC9))))))</f>
        <v>194</v>
      </c>
      <c r="AD9" cm="1">
        <f t="array" aca="1" ref="AD9" ca="1">SUMPRODUCT(LARGE('For stats end Y points'!$B9:AD9,ROW(INDIRECT("1:"&amp;MIN(24,COUNT('For stats end Y points'!$B9:AD9))))))</f>
        <v>197</v>
      </c>
      <c r="AE9" cm="1">
        <f t="array" aca="1" ref="AE9" ca="1">SUMPRODUCT(LARGE('For stats end Y points'!$B9:AE9,ROW(INDIRECT("1:"&amp;MIN(24,COUNT('For stats end Y points'!$B9:AE9))))))</f>
        <v>198</v>
      </c>
      <c r="AF9" cm="1">
        <f t="array" aca="1" ref="AF9" ca="1">SUMPRODUCT(LARGE('For stats end Y points'!$B9:AF9,ROW(INDIRECT("1:"&amp;MIN(24,COUNT('For stats end Y points'!$B9:AF9))))))</f>
        <v>204</v>
      </c>
      <c r="AG9" cm="1">
        <f t="array" aca="1" ref="AG9" ca="1">SUMPRODUCT(LARGE('For stats end Y points'!$B9:AG9,ROW(INDIRECT("1:"&amp;MIN(24,COUNT('For stats end Y points'!$B9:AG9))))))</f>
        <v>210</v>
      </c>
      <c r="AH9" cm="1">
        <f t="array" aca="1" ref="AH9" ca="1">SUMPRODUCT(LARGE('For stats end Y points'!$B9:AH9,ROW(INDIRECT("1:"&amp;MIN(24,COUNT('For stats end Y points'!$B9:AH9))))))</f>
        <v>220</v>
      </c>
      <c r="AP9" s="10">
        <f t="shared" si="0"/>
        <v>0</v>
      </c>
      <c r="AQ9">
        <f>'For stats end Y class'!AU9</f>
        <v>30</v>
      </c>
    </row>
    <row r="10" spans="1:43" x14ac:dyDescent="0.2">
      <c r="A10" t="str">
        <f>'For stats end Y points'!A10</f>
        <v>Carmin</v>
      </c>
      <c r="B10" cm="1">
        <f t="array" aca="1" ref="B10" ca="1">SUMPRODUCT(LARGE('For stats end Y points'!$B10:B10,ROW(INDIRECT("1:"&amp;MIN(24,COUNT('For stats end Y points'!$B10:B10))))))</f>
        <v>4</v>
      </c>
      <c r="C10" cm="1">
        <f t="array" aca="1" ref="C10" ca="1">SUMPRODUCT(LARGE('For stats end Y points'!$B10:C10,ROW(INDIRECT("1:"&amp;MIN(24,COUNT('For stats end Y points'!$B10:C10))))))</f>
        <v>17</v>
      </c>
      <c r="D10" cm="1">
        <f t="array" aca="1" ref="D10" ca="1">SUMPRODUCT(LARGE('For stats end Y points'!$B10:D10,ROW(INDIRECT("1:"&amp;MIN(24,COUNT('For stats end Y points'!$B10:D10))))))</f>
        <v>22</v>
      </c>
      <c r="E10" cm="1">
        <f t="array" aca="1" ref="E10" ca="1">SUMPRODUCT(LARGE('For stats end Y points'!$B10:E10,ROW(INDIRECT("1:"&amp;MIN(24,COUNT('For stats end Y points'!$B10:E10))))))</f>
        <v>24</v>
      </c>
      <c r="F10" cm="1">
        <f t="array" aca="1" ref="F10" ca="1">SUMPRODUCT(LARGE('For stats end Y points'!$B10:F10,ROW(INDIRECT("1:"&amp;MIN(24,COUNT('For stats end Y points'!$B10:F10))))))</f>
        <v>26</v>
      </c>
      <c r="G10" cm="1">
        <f t="array" aca="1" ref="G10" ca="1">SUMPRODUCT(LARGE('For stats end Y points'!$B10:G10,ROW(INDIRECT("1:"&amp;MIN(24,COUNT('For stats end Y points'!$B10:G10))))))</f>
        <v>29</v>
      </c>
      <c r="H10" cm="1">
        <f t="array" aca="1" ref="H10" ca="1">SUMPRODUCT(LARGE('For stats end Y points'!$B10:H10,ROW(INDIRECT("1:"&amp;MIN(24,COUNT('For stats end Y points'!$B10:H10))))))</f>
        <v>33</v>
      </c>
      <c r="I10" cm="1">
        <f t="array" aca="1" ref="I10" ca="1">SUMPRODUCT(LARGE('For stats end Y points'!$B10:I10,ROW(INDIRECT("1:"&amp;MIN(24,COUNT('For stats end Y points'!$B10:I10))))))</f>
        <v>35</v>
      </c>
      <c r="J10" cm="1">
        <f t="array" aca="1" ref="J10" ca="1">SUMPRODUCT(LARGE('For stats end Y points'!$B10:J10,ROW(INDIRECT("1:"&amp;MIN(24,COUNT('For stats end Y points'!$B10:J10))))))</f>
        <v>36</v>
      </c>
      <c r="K10" cm="1">
        <f t="array" aca="1" ref="K10" ca="1">SUMPRODUCT(LARGE('For stats end Y points'!$B10:K10,ROW(INDIRECT("1:"&amp;MIN(24,COUNT('For stats end Y points'!$B10:K10))))))</f>
        <v>44</v>
      </c>
      <c r="L10" cm="1">
        <f t="array" aca="1" ref="L10" ca="1">SUMPRODUCT(LARGE('For stats end Y points'!$B10:L10,ROW(INDIRECT("1:"&amp;MIN(24,COUNT('For stats end Y points'!$B10:L10))))))</f>
        <v>59</v>
      </c>
      <c r="M10" cm="1">
        <f t="array" aca="1" ref="M10" ca="1">SUMPRODUCT(LARGE('For stats end Y points'!$B10:M10,ROW(INDIRECT("1:"&amp;MIN(24,COUNT('For stats end Y points'!$B10:M10))))))</f>
        <v>71</v>
      </c>
      <c r="N10" cm="1">
        <f t="array" aca="1" ref="N10" ca="1">SUMPRODUCT(LARGE('For stats end Y points'!$B10:N10,ROW(INDIRECT("1:"&amp;MIN(24,COUNT('For stats end Y points'!$B10:N10))))))</f>
        <v>76</v>
      </c>
      <c r="O10" cm="1">
        <f t="array" aca="1" ref="O10" ca="1">SUMPRODUCT(LARGE('For stats end Y points'!$B10:O10,ROW(INDIRECT("1:"&amp;MIN(24,COUNT('For stats end Y points'!$B10:O10))))))</f>
        <v>76</v>
      </c>
      <c r="P10" cm="1">
        <f t="array" aca="1" ref="P10" ca="1">SUMPRODUCT(LARGE('For stats end Y points'!$B10:P10,ROW(INDIRECT("1:"&amp;MIN(24,COUNT('For stats end Y points'!$B10:P10))))))</f>
        <v>84</v>
      </c>
      <c r="Q10" cm="1">
        <f t="array" aca="1" ref="Q10" ca="1">SUMPRODUCT(LARGE('For stats end Y points'!$B10:Q10,ROW(INDIRECT("1:"&amp;MIN(24,COUNT('For stats end Y points'!$B10:Q10))))))</f>
        <v>88</v>
      </c>
      <c r="R10" cm="1">
        <f t="array" aca="1" ref="R10" ca="1">SUMPRODUCT(LARGE('For stats end Y points'!$B10:R10,ROW(INDIRECT("1:"&amp;MIN(24,COUNT('For stats end Y points'!$B10:R10))))))</f>
        <v>90</v>
      </c>
      <c r="S10" cm="1">
        <f t="array" aca="1" ref="S10" ca="1">SUMPRODUCT(LARGE('For stats end Y points'!$B10:S10,ROW(INDIRECT("1:"&amp;MIN(24,COUNT('For stats end Y points'!$B10:S10))))))</f>
        <v>99</v>
      </c>
      <c r="T10" cm="1">
        <f t="array" aca="1" ref="T10" ca="1">SUMPRODUCT(LARGE('For stats end Y points'!$B10:T10,ROW(INDIRECT("1:"&amp;MIN(24,COUNT('For stats end Y points'!$B10:T10))))))</f>
        <v>107</v>
      </c>
      <c r="U10" cm="1">
        <f t="array" aca="1" ref="U10" ca="1">SUMPRODUCT(LARGE('For stats end Y points'!$B10:U10,ROW(INDIRECT("1:"&amp;MIN(24,COUNT('For stats end Y points'!$B10:U10))))))</f>
        <v>114</v>
      </c>
      <c r="V10" cm="1">
        <f t="array" aca="1" ref="V10" ca="1">SUMPRODUCT(LARGE('For stats end Y points'!$B10:V10,ROW(INDIRECT("1:"&amp;MIN(24,COUNT('For stats end Y points'!$B10:V10))))))</f>
        <v>119</v>
      </c>
      <c r="W10" cm="1">
        <f t="array" aca="1" ref="W10" ca="1">SUMPRODUCT(LARGE('For stats end Y points'!$B10:W10,ROW(INDIRECT("1:"&amp;MIN(24,COUNT('For stats end Y points'!$B10:W10))))))</f>
        <v>121</v>
      </c>
      <c r="X10" cm="1">
        <f t="array" aca="1" ref="X10" ca="1">SUMPRODUCT(LARGE('For stats end Y points'!$B10:X10,ROW(INDIRECT("1:"&amp;MIN(24,COUNT('For stats end Y points'!$B10:X10))))))</f>
        <v>133</v>
      </c>
      <c r="Y10" cm="1">
        <f t="array" aca="1" ref="Y10" ca="1">SUMPRODUCT(LARGE('For stats end Y points'!$B10:Y10,ROW(INDIRECT("1:"&amp;MIN(24,COUNT('For stats end Y points'!$B10:Y10))))))</f>
        <v>146</v>
      </c>
      <c r="Z10" cm="1">
        <f t="array" aca="1" ref="Z10" ca="1">SUMPRODUCT(LARGE('For stats end Y points'!$B10:Z10,ROW(INDIRECT("1:"&amp;MIN(24,COUNT('For stats end Y points'!$B10:Z10))))))</f>
        <v>148</v>
      </c>
      <c r="AA10" cm="1">
        <f t="array" aca="1" ref="AA10" ca="1">SUMPRODUCT(LARGE('For stats end Y points'!$B10:AA10,ROW(INDIRECT("1:"&amp;MIN(24,COUNT('For stats end Y points'!$B10:AA10))))))</f>
        <v>148</v>
      </c>
      <c r="AB10" cm="1">
        <f t="array" aca="1" ref="AB10" ca="1">SUMPRODUCT(LARGE('For stats end Y points'!$B10:AB10,ROW(INDIRECT("1:"&amp;MIN(24,COUNT('For stats end Y points'!$B10:AB10))))))</f>
        <v>151</v>
      </c>
      <c r="AC10" cm="1">
        <f t="array" aca="1" ref="AC10" ca="1">SUMPRODUCT(LARGE('For stats end Y points'!$B10:AC10,ROW(INDIRECT("1:"&amp;MIN(24,COUNT('For stats end Y points'!$B10:AC10))))))</f>
        <v>151</v>
      </c>
      <c r="AD10" cm="1">
        <f t="array" aca="1" ref="AD10" ca="1">SUMPRODUCT(LARGE('For stats end Y points'!$B10:AD10,ROW(INDIRECT("1:"&amp;MIN(24,COUNT('For stats end Y points'!$B10:AD10))))))</f>
        <v>151</v>
      </c>
      <c r="AE10" cm="1">
        <f t="array" aca="1" ref="AE10" ca="1">SUMPRODUCT(LARGE('For stats end Y points'!$B10:AE10,ROW(INDIRECT("1:"&amp;MIN(24,COUNT('For stats end Y points'!$B10:AE10))))))</f>
        <v>153</v>
      </c>
      <c r="AF10" cm="1">
        <f t="array" aca="1" ref="AF10" ca="1">SUMPRODUCT(LARGE('For stats end Y points'!$B10:AF10,ROW(INDIRECT("1:"&amp;MIN(24,COUNT('For stats end Y points'!$B10:AF10))))))</f>
        <v>153</v>
      </c>
      <c r="AG10" cm="1">
        <f t="array" aca="1" ref="AG10" ca="1">SUMPRODUCT(LARGE('For stats end Y points'!$B10:AG10,ROW(INDIRECT("1:"&amp;MIN(24,COUNT('For stats end Y points'!$B10:AG10))))))</f>
        <v>155</v>
      </c>
      <c r="AH10" cm="1">
        <f t="array" aca="1" ref="AH10" ca="1">SUMPRODUCT(LARGE('For stats end Y points'!$B10:AH10,ROW(INDIRECT("1:"&amp;MIN(24,COUNT('For stats end Y points'!$B10:AH10))))))</f>
        <v>161</v>
      </c>
      <c r="AP10" s="10">
        <f t="shared" si="0"/>
        <v>0</v>
      </c>
      <c r="AQ10">
        <f>'For stats end Y class'!AU10</f>
        <v>32</v>
      </c>
    </row>
    <row r="11" spans="1:43" x14ac:dyDescent="0.2">
      <c r="A11" t="str">
        <f>'For stats end Y points'!A11</f>
        <v>Catherine</v>
      </c>
      <c r="B11" cm="1">
        <f t="array" aca="1" ref="B11" ca="1">SUMPRODUCT(LARGE('For stats end Y points'!$B11:B11,ROW(INDIRECT("1:"&amp;MIN(24,COUNT('For stats end Y points'!$B11:B11))))))</f>
        <v>1</v>
      </c>
      <c r="C11" cm="1">
        <f t="array" aca="1" ref="C11" ca="1">SUMPRODUCT(LARGE('For stats end Y points'!$B11:C11,ROW(INDIRECT("1:"&amp;MIN(24,COUNT('For stats end Y points'!$B11:C11))))))</f>
        <v>6</v>
      </c>
      <c r="D11" cm="1">
        <f t="array" aca="1" ref="D11" ca="1">SUMPRODUCT(LARGE('For stats end Y points'!$B11:D11,ROW(INDIRECT("1:"&amp;MIN(24,COUNT('For stats end Y points'!$B11:D11))))))</f>
        <v>8</v>
      </c>
      <c r="E11" cm="1">
        <f t="array" aca="1" ref="E11" ca="1">SUMPRODUCT(LARGE('For stats end Y points'!$B11:E11,ROW(INDIRECT("1:"&amp;MIN(24,COUNT('For stats end Y points'!$B11:E11))))))</f>
        <v>11</v>
      </c>
      <c r="F11" cm="1">
        <f t="array" aca="1" ref="F11" ca="1">SUMPRODUCT(LARGE('For stats end Y points'!$B11:F11,ROW(INDIRECT("1:"&amp;MIN(24,COUNT('For stats end Y points'!$B11:F11))))))</f>
        <v>14</v>
      </c>
      <c r="G11" cm="1">
        <f t="array" aca="1" ref="G11" ca="1">SUMPRODUCT(LARGE('For stats end Y points'!$B11:G11,ROW(INDIRECT("1:"&amp;MIN(24,COUNT('For stats end Y points'!$B11:G11))))))</f>
        <v>26</v>
      </c>
      <c r="H11" cm="1">
        <f t="array" aca="1" ref="H11" ca="1">SUMPRODUCT(LARGE('For stats end Y points'!$B11:H11,ROW(INDIRECT("1:"&amp;MIN(24,COUNT('For stats end Y points'!$B11:H11))))))</f>
        <v>38</v>
      </c>
      <c r="I11" cm="1">
        <f t="array" aca="1" ref="I11" ca="1">SUMPRODUCT(LARGE('For stats end Y points'!$B11:I11,ROW(INDIRECT("1:"&amp;MIN(24,COUNT('For stats end Y points'!$B11:I11))))))</f>
        <v>39</v>
      </c>
      <c r="J11" cm="1">
        <f t="array" aca="1" ref="J11" ca="1">SUMPRODUCT(LARGE('For stats end Y points'!$B11:J11,ROW(INDIRECT("1:"&amp;MIN(24,COUNT('For stats end Y points'!$B11:J11))))))</f>
        <v>47</v>
      </c>
      <c r="K11" cm="1">
        <f t="array" aca="1" ref="K11" ca="1">SUMPRODUCT(LARGE('For stats end Y points'!$B11:K11,ROW(INDIRECT("1:"&amp;MIN(24,COUNT('For stats end Y points'!$B11:K11))))))</f>
        <v>55</v>
      </c>
      <c r="L11" cm="1">
        <f t="array" aca="1" ref="L11" ca="1">SUMPRODUCT(LARGE('For stats end Y points'!$B11:L11,ROW(INDIRECT("1:"&amp;MIN(24,COUNT('For stats end Y points'!$B11:L11))))))</f>
        <v>59</v>
      </c>
      <c r="M11" cm="1">
        <f t="array" aca="1" ref="M11" ca="1">SUMPRODUCT(LARGE('For stats end Y points'!$B11:M11,ROW(INDIRECT("1:"&amp;MIN(24,COUNT('For stats end Y points'!$B11:M11))))))</f>
        <v>67</v>
      </c>
      <c r="N11" cm="1">
        <f t="array" aca="1" ref="N11" ca="1">SUMPRODUCT(LARGE('For stats end Y points'!$B11:N11,ROW(INDIRECT("1:"&amp;MIN(24,COUNT('For stats end Y points'!$B11:N11))))))</f>
        <v>75</v>
      </c>
      <c r="O11" cm="1">
        <f t="array" aca="1" ref="O11" ca="1">SUMPRODUCT(LARGE('For stats end Y points'!$B11:O11,ROW(INDIRECT("1:"&amp;MIN(24,COUNT('For stats end Y points'!$B11:O11))))))</f>
        <v>92</v>
      </c>
      <c r="P11" cm="1">
        <f t="array" aca="1" ref="P11" ca="1">SUMPRODUCT(LARGE('For stats end Y points'!$B11:P11,ROW(INDIRECT("1:"&amp;MIN(24,COUNT('For stats end Y points'!$B11:P11))))))</f>
        <v>104</v>
      </c>
      <c r="Q11" cm="1">
        <f t="array" aca="1" ref="Q11" ca="1">SUMPRODUCT(LARGE('For stats end Y points'!$B11:Q11,ROW(INDIRECT("1:"&amp;MIN(24,COUNT('For stats end Y points'!$B11:Q11))))))</f>
        <v>106</v>
      </c>
      <c r="R11" cm="1">
        <f t="array" aca="1" ref="R11" ca="1">SUMPRODUCT(LARGE('For stats end Y points'!$B11:R11,ROW(INDIRECT("1:"&amp;MIN(24,COUNT('For stats end Y points'!$B11:R11))))))</f>
        <v>109</v>
      </c>
      <c r="S11" cm="1">
        <f t="array" aca="1" ref="S11" ca="1">SUMPRODUCT(LARGE('For stats end Y points'!$B11:S11,ROW(INDIRECT("1:"&amp;MIN(24,COUNT('For stats end Y points'!$B11:S11))))))</f>
        <v>114</v>
      </c>
      <c r="T11" cm="1">
        <f t="array" aca="1" ref="T11" ca="1">SUMPRODUCT(LARGE('For stats end Y points'!$B11:T11,ROW(INDIRECT("1:"&amp;MIN(24,COUNT('For stats end Y points'!$B11:T11))))))</f>
        <v>122</v>
      </c>
      <c r="U11" cm="1">
        <f t="array" aca="1" ref="U11" ca="1">SUMPRODUCT(LARGE('For stats end Y points'!$B11:U11,ROW(INDIRECT("1:"&amp;MIN(24,COUNT('For stats end Y points'!$B11:U11))))))</f>
        <v>133</v>
      </c>
      <c r="V11" cm="1">
        <f t="array" aca="1" ref="V11" ca="1">SUMPRODUCT(LARGE('For stats end Y points'!$B11:V11,ROW(INDIRECT("1:"&amp;MIN(24,COUNT('For stats end Y points'!$B11:V11))))))</f>
        <v>134</v>
      </c>
      <c r="W11" cm="1">
        <f t="array" aca="1" ref="W11" ca="1">SUMPRODUCT(LARGE('For stats end Y points'!$B11:W11,ROW(INDIRECT("1:"&amp;MIN(24,COUNT('For stats end Y points'!$B11:W11))))))</f>
        <v>142</v>
      </c>
      <c r="X11" cm="1">
        <f t="array" aca="1" ref="X11" ca="1">SUMPRODUCT(LARGE('For stats end Y points'!$B11:X11,ROW(INDIRECT("1:"&amp;MIN(24,COUNT('For stats end Y points'!$B11:X11))))))</f>
        <v>146</v>
      </c>
      <c r="Y11" cm="1">
        <f t="array" aca="1" ref="Y11" ca="1">SUMPRODUCT(LARGE('For stats end Y points'!$B11:Y11,ROW(INDIRECT("1:"&amp;MIN(24,COUNT('For stats end Y points'!$B11:Y11))))))</f>
        <v>159</v>
      </c>
      <c r="Z11" cm="1">
        <f t="array" aca="1" ref="Z11" ca="1">SUMPRODUCT(LARGE('For stats end Y points'!$B11:Z11,ROW(INDIRECT("1:"&amp;MIN(24,COUNT('For stats end Y points'!$B11:Z11))))))</f>
        <v>159</v>
      </c>
      <c r="AA11" cm="1">
        <f t="array" aca="1" ref="AA11" ca="1">SUMPRODUCT(LARGE('For stats end Y points'!$B11:AA11,ROW(INDIRECT("1:"&amp;MIN(24,COUNT('For stats end Y points'!$B11:AA11))))))</f>
        <v>160</v>
      </c>
      <c r="AB11" cm="1">
        <f t="array" aca="1" ref="AB11" ca="1">SUMPRODUCT(LARGE('For stats end Y points'!$B11:AB11,ROW(INDIRECT("1:"&amp;MIN(24,COUNT('For stats end Y points'!$B11:AB11))))))</f>
        <v>160</v>
      </c>
      <c r="AC11" cm="1">
        <f t="array" aca="1" ref="AC11" ca="1">SUMPRODUCT(LARGE('For stats end Y points'!$B11:AC11,ROW(INDIRECT("1:"&amp;MIN(24,COUNT('For stats end Y points'!$B11:AC11))))))</f>
        <v>161</v>
      </c>
      <c r="AD11" cm="1">
        <f t="array" aca="1" ref="AD11" ca="1">SUMPRODUCT(LARGE('For stats end Y points'!$B11:AD11,ROW(INDIRECT("1:"&amp;MIN(24,COUNT('For stats end Y points'!$B11:AD11))))))</f>
        <v>161</v>
      </c>
      <c r="AE11" cm="1">
        <f t="array" aca="1" ref="AE11" ca="1">SUMPRODUCT(LARGE('For stats end Y points'!$B11:AE11,ROW(INDIRECT("1:"&amp;MIN(24,COUNT('For stats end Y points'!$B11:AE11))))))</f>
        <v>172</v>
      </c>
      <c r="AF11" cm="1">
        <f t="array" aca="1" ref="AF11" ca="1">SUMPRODUCT(LARGE('For stats end Y points'!$B11:AF11,ROW(INDIRECT("1:"&amp;MIN(24,COUNT('For stats end Y points'!$B11:AF11))))))</f>
        <v>174</v>
      </c>
      <c r="AG11" cm="1">
        <f t="array" aca="1" ref="AG11" ca="1">SUMPRODUCT(LARGE('For stats end Y points'!$B11:AG11,ROW(INDIRECT("1:"&amp;MIN(24,COUNT('For stats end Y points'!$B11:AG11))))))</f>
        <v>176</v>
      </c>
      <c r="AH11" cm="1">
        <f t="array" aca="1" ref="AH11" ca="1">SUMPRODUCT(LARGE('For stats end Y points'!$B11:AH11,ROW(INDIRECT("1:"&amp;MIN(24,COUNT('For stats end Y points'!$B11:AH11))))))</f>
        <v>176</v>
      </c>
      <c r="AP11" s="10">
        <f t="shared" si="0"/>
        <v>0</v>
      </c>
      <c r="AQ11">
        <f>'For stats end Y class'!AU11</f>
        <v>32</v>
      </c>
    </row>
    <row r="12" spans="1:43" x14ac:dyDescent="0.2">
      <c r="A12" t="str">
        <f>'For stats end Y points'!A12</f>
        <v>Chico</v>
      </c>
      <c r="B12" cm="1">
        <f t="array" aca="1" ref="B12" ca="1">SUMPRODUCT(LARGE('For stats end Y points'!$B12:B12,ROW(INDIRECT("1:"&amp;MIN(24,COUNT('For stats end Y points'!$B12:B12))))))</f>
        <v>3</v>
      </c>
      <c r="C12" cm="1">
        <f t="array" aca="1" ref="C12" ca="1">SUMPRODUCT(LARGE('For stats end Y points'!$B12:C12,ROW(INDIRECT("1:"&amp;MIN(24,COUNT('For stats end Y points'!$B12:C12))))))</f>
        <v>3</v>
      </c>
      <c r="D12" cm="1">
        <f t="array" aca="1" ref="D12" ca="1">SUMPRODUCT(LARGE('For stats end Y points'!$B12:D12,ROW(INDIRECT("1:"&amp;MIN(24,COUNT('For stats end Y points'!$B12:D12))))))</f>
        <v>3</v>
      </c>
      <c r="E12" cm="1">
        <f t="array" aca="1" ref="E12" ca="1">SUMPRODUCT(LARGE('For stats end Y points'!$B12:E12,ROW(INDIRECT("1:"&amp;MIN(24,COUNT('For stats end Y points'!$B12:E12))))))</f>
        <v>20</v>
      </c>
      <c r="F12" cm="1">
        <f t="array" aca="1" ref="F12" ca="1">SUMPRODUCT(LARGE('For stats end Y points'!$B12:F12,ROW(INDIRECT("1:"&amp;MIN(24,COUNT('For stats end Y points'!$B12:F12))))))</f>
        <v>27</v>
      </c>
      <c r="G12" cm="1">
        <f t="array" aca="1" ref="G12" ca="1">SUMPRODUCT(LARGE('For stats end Y points'!$B12:G12,ROW(INDIRECT("1:"&amp;MIN(24,COUNT('For stats end Y points'!$B12:G12))))))</f>
        <v>27</v>
      </c>
      <c r="H12" cm="1">
        <f t="array" aca="1" ref="H12" ca="1">SUMPRODUCT(LARGE('For stats end Y points'!$B12:H12,ROW(INDIRECT("1:"&amp;MIN(24,COUNT('For stats end Y points'!$B12:H12))))))</f>
        <v>31</v>
      </c>
      <c r="I12" cm="1">
        <f t="array" aca="1" ref="I12" ca="1">SUMPRODUCT(LARGE('For stats end Y points'!$B12:I12,ROW(INDIRECT("1:"&amp;MIN(24,COUNT('For stats end Y points'!$B12:I12))))))</f>
        <v>31</v>
      </c>
      <c r="J12" cm="1">
        <f t="array" aca="1" ref="J12" ca="1">SUMPRODUCT(LARGE('For stats end Y points'!$B12:J12,ROW(INDIRECT("1:"&amp;MIN(24,COUNT('For stats end Y points'!$B12:J12))))))</f>
        <v>31</v>
      </c>
      <c r="K12" cm="1">
        <f t="array" aca="1" ref="K12" ca="1">SUMPRODUCT(LARGE('For stats end Y points'!$B12:K12,ROW(INDIRECT("1:"&amp;MIN(24,COUNT('For stats end Y points'!$B12:K12))))))</f>
        <v>31</v>
      </c>
      <c r="L12" cm="1">
        <f t="array" aca="1" ref="L12" ca="1">SUMPRODUCT(LARGE('For stats end Y points'!$B12:L12,ROW(INDIRECT("1:"&amp;MIN(24,COUNT('For stats end Y points'!$B12:L12))))))</f>
        <v>31</v>
      </c>
      <c r="M12" cm="1">
        <f t="array" aca="1" ref="M12" ca="1">SUMPRODUCT(LARGE('For stats end Y points'!$B12:M12,ROW(INDIRECT("1:"&amp;MIN(24,COUNT('For stats end Y points'!$B12:M12))))))</f>
        <v>31</v>
      </c>
      <c r="N12" cm="1">
        <f t="array" aca="1" ref="N12" ca="1">SUMPRODUCT(LARGE('For stats end Y points'!$B12:N12,ROW(INDIRECT("1:"&amp;MIN(24,COUNT('For stats end Y points'!$B12:N12))))))</f>
        <v>31</v>
      </c>
      <c r="O12" cm="1">
        <f t="array" aca="1" ref="O12" ca="1">SUMPRODUCT(LARGE('For stats end Y points'!$B12:O12,ROW(INDIRECT("1:"&amp;MIN(24,COUNT('For stats end Y points'!$B12:O12))))))</f>
        <v>31</v>
      </c>
      <c r="P12" cm="1">
        <f t="array" aca="1" ref="P12" ca="1">SUMPRODUCT(LARGE('For stats end Y points'!$B12:P12,ROW(INDIRECT("1:"&amp;MIN(24,COUNT('For stats end Y points'!$B12:P12))))))</f>
        <v>35</v>
      </c>
      <c r="Q12" cm="1">
        <f t="array" aca="1" ref="Q12" ca="1">SUMPRODUCT(LARGE('For stats end Y points'!$B12:Q12,ROW(INDIRECT("1:"&amp;MIN(24,COUNT('For stats end Y points'!$B12:Q12))))))</f>
        <v>35</v>
      </c>
      <c r="R12" cm="1">
        <f t="array" aca="1" ref="R12" ca="1">SUMPRODUCT(LARGE('For stats end Y points'!$B12:R12,ROW(INDIRECT("1:"&amp;MIN(24,COUNT('For stats end Y points'!$B12:R12))))))</f>
        <v>44</v>
      </c>
      <c r="S12" cm="1">
        <f t="array" aca="1" ref="S12" ca="1">SUMPRODUCT(LARGE('For stats end Y points'!$B12:S12,ROW(INDIRECT("1:"&amp;MIN(24,COUNT('For stats end Y points'!$B12:S12))))))</f>
        <v>46</v>
      </c>
      <c r="T12" cm="1">
        <f t="array" aca="1" ref="T12" ca="1">SUMPRODUCT(LARGE('For stats end Y points'!$B12:T12,ROW(INDIRECT("1:"&amp;MIN(24,COUNT('For stats end Y points'!$B12:T12))))))</f>
        <v>46</v>
      </c>
      <c r="U12" cm="1">
        <f t="array" aca="1" ref="U12" ca="1">SUMPRODUCT(LARGE('For stats end Y points'!$B12:U12,ROW(INDIRECT("1:"&amp;MIN(24,COUNT('For stats end Y points'!$B12:U12))))))</f>
        <v>46</v>
      </c>
      <c r="V12" cm="1">
        <f t="array" aca="1" ref="V12" ca="1">SUMPRODUCT(LARGE('For stats end Y points'!$B12:V12,ROW(INDIRECT("1:"&amp;MIN(24,COUNT('For stats end Y points'!$B12:V12))))))</f>
        <v>46</v>
      </c>
      <c r="W12" cm="1">
        <f t="array" aca="1" ref="W12" ca="1">SUMPRODUCT(LARGE('For stats end Y points'!$B12:W12,ROW(INDIRECT("1:"&amp;MIN(24,COUNT('For stats end Y points'!$B12:W12))))))</f>
        <v>63</v>
      </c>
      <c r="X12" cm="1">
        <f t="array" aca="1" ref="X12" ca="1">SUMPRODUCT(LARGE('For stats end Y points'!$B12:X12,ROW(INDIRECT("1:"&amp;MIN(24,COUNT('For stats end Y points'!$B12:X12))))))</f>
        <v>72</v>
      </c>
      <c r="Y12" cm="1">
        <f t="array" aca="1" ref="Y12" ca="1">SUMPRODUCT(LARGE('For stats end Y points'!$B12:Y12,ROW(INDIRECT("1:"&amp;MIN(24,COUNT('For stats end Y points'!$B12:Y12))))))</f>
        <v>77</v>
      </c>
      <c r="Z12" cm="1">
        <f t="array" aca="1" ref="Z12" ca="1">SUMPRODUCT(LARGE('For stats end Y points'!$B12:Z12,ROW(INDIRECT("1:"&amp;MIN(24,COUNT('For stats end Y points'!$B12:Z12))))))</f>
        <v>77</v>
      </c>
      <c r="AA12" cm="1">
        <f t="array" aca="1" ref="AA12" ca="1">SUMPRODUCT(LARGE('For stats end Y points'!$B12:AA12,ROW(INDIRECT("1:"&amp;MIN(24,COUNT('For stats end Y points'!$B12:AA12))))))</f>
        <v>77</v>
      </c>
      <c r="AB12" cm="1">
        <f t="array" aca="1" ref="AB12" ca="1">SUMPRODUCT(LARGE('For stats end Y points'!$B12:AB12,ROW(INDIRECT("1:"&amp;MIN(24,COUNT('For stats end Y points'!$B12:AB12))))))</f>
        <v>93</v>
      </c>
      <c r="AC12" cm="1">
        <f t="array" aca="1" ref="AC12" ca="1">SUMPRODUCT(LARGE('For stats end Y points'!$B12:AC12,ROW(INDIRECT("1:"&amp;MIN(24,COUNT('For stats end Y points'!$B12:AC12))))))</f>
        <v>93</v>
      </c>
      <c r="AD12" cm="1">
        <f t="array" aca="1" ref="AD12" ca="1">SUMPRODUCT(LARGE('For stats end Y points'!$B12:AD12,ROW(INDIRECT("1:"&amp;MIN(24,COUNT('For stats end Y points'!$B12:AD12))))))</f>
        <v>93</v>
      </c>
      <c r="AE12" cm="1">
        <f t="array" aca="1" ref="AE12" ca="1">SUMPRODUCT(LARGE('For stats end Y points'!$B12:AE12,ROW(INDIRECT("1:"&amp;MIN(24,COUNT('For stats end Y points'!$B12:AE12))))))</f>
        <v>93</v>
      </c>
      <c r="AF12" cm="1">
        <f t="array" aca="1" ref="AF12" ca="1">SUMPRODUCT(LARGE('For stats end Y points'!$B12:AF12,ROW(INDIRECT("1:"&amp;MIN(24,COUNT('For stats end Y points'!$B12:AF12))))))</f>
        <v>93</v>
      </c>
      <c r="AG12" cm="1">
        <f t="array" aca="1" ref="AG12" ca="1">SUMPRODUCT(LARGE('For stats end Y points'!$B12:AG12,ROW(INDIRECT("1:"&amp;MIN(24,COUNT('For stats end Y points'!$B12:AG12))))))</f>
        <v>101</v>
      </c>
      <c r="AH12" cm="1">
        <f t="array" aca="1" ref="AH12" ca="1">SUMPRODUCT(LARGE('For stats end Y points'!$B12:AH12,ROW(INDIRECT("1:"&amp;MIN(24,COUNT('For stats end Y points'!$B12:AH12))))))</f>
        <v>101</v>
      </c>
      <c r="AP12" s="10">
        <f t="shared" si="0"/>
        <v>0</v>
      </c>
      <c r="AQ12">
        <f>'For stats end Y class'!AU12</f>
        <v>12</v>
      </c>
    </row>
    <row r="13" spans="1:43" x14ac:dyDescent="0.2">
      <c r="A13" t="str">
        <f>'For stats end Y points'!A13</f>
        <v>ChrisFrankfurt</v>
      </c>
      <c r="B13" cm="1">
        <f t="array" aca="1" ref="B13" ca="1">SUMPRODUCT(LARGE('For stats end Y points'!$B13:B13,ROW(INDIRECT("1:"&amp;MIN(24,COUNT('For stats end Y points'!$B13:B13))))))</f>
        <v>9</v>
      </c>
      <c r="C13" cm="1">
        <f t="array" aca="1" ref="C13" ca="1">SUMPRODUCT(LARGE('For stats end Y points'!$B13:C13,ROW(INDIRECT("1:"&amp;MIN(24,COUNT('For stats end Y points'!$B13:C13))))))</f>
        <v>9</v>
      </c>
      <c r="D13" cm="1">
        <f t="array" aca="1" ref="D13" ca="1">SUMPRODUCT(LARGE('For stats end Y points'!$B13:D13,ROW(INDIRECT("1:"&amp;MIN(24,COUNT('For stats end Y points'!$B13:D13))))))</f>
        <v>17</v>
      </c>
      <c r="E13" cm="1">
        <f t="array" aca="1" ref="E13" ca="1">SUMPRODUCT(LARGE('For stats end Y points'!$B13:E13,ROW(INDIRECT("1:"&amp;MIN(24,COUNT('For stats end Y points'!$B13:E13))))))</f>
        <v>17</v>
      </c>
      <c r="F13" cm="1">
        <f t="array" aca="1" ref="F13" ca="1">SUMPRODUCT(LARGE('For stats end Y points'!$B13:F13,ROW(INDIRECT("1:"&amp;MIN(24,COUNT('For stats end Y points'!$B13:F13))))))</f>
        <v>17</v>
      </c>
      <c r="G13" cm="1">
        <f t="array" aca="1" ref="G13" ca="1">SUMPRODUCT(LARGE('For stats end Y points'!$B13:G13,ROW(INDIRECT("1:"&amp;MIN(24,COUNT('For stats end Y points'!$B13:G13))))))</f>
        <v>17</v>
      </c>
      <c r="H13" cm="1">
        <f t="array" aca="1" ref="H13" ca="1">SUMPRODUCT(LARGE('For stats end Y points'!$B13:H13,ROW(INDIRECT("1:"&amp;MIN(24,COUNT('For stats end Y points'!$B13:H13))))))</f>
        <v>19</v>
      </c>
      <c r="I13" cm="1">
        <f t="array" aca="1" ref="I13" ca="1">SUMPRODUCT(LARGE('For stats end Y points'!$B13:I13,ROW(INDIRECT("1:"&amp;MIN(24,COUNT('For stats end Y points'!$B13:I13))))))</f>
        <v>28</v>
      </c>
      <c r="J13" cm="1">
        <f t="array" aca="1" ref="J13" ca="1">SUMPRODUCT(LARGE('For stats end Y points'!$B13:J13,ROW(INDIRECT("1:"&amp;MIN(24,COUNT('For stats end Y points'!$B13:J13))))))</f>
        <v>28</v>
      </c>
      <c r="K13" cm="1">
        <f t="array" aca="1" ref="K13" ca="1">SUMPRODUCT(LARGE('For stats end Y points'!$B13:K13,ROW(INDIRECT("1:"&amp;MIN(24,COUNT('For stats end Y points'!$B13:K13))))))</f>
        <v>40</v>
      </c>
      <c r="L13" cm="1">
        <f t="array" aca="1" ref="L13" ca="1">SUMPRODUCT(LARGE('For stats end Y points'!$B13:L13,ROW(INDIRECT("1:"&amp;MIN(24,COUNT('For stats end Y points'!$B13:L13))))))</f>
        <v>40</v>
      </c>
      <c r="M13" cm="1">
        <f t="array" aca="1" ref="M13" ca="1">SUMPRODUCT(LARGE('For stats end Y points'!$B13:M13,ROW(INDIRECT("1:"&amp;MIN(24,COUNT('For stats end Y points'!$B13:M13))))))</f>
        <v>40</v>
      </c>
      <c r="N13" cm="1">
        <f t="array" aca="1" ref="N13" ca="1">SUMPRODUCT(LARGE('For stats end Y points'!$B13:N13,ROW(INDIRECT("1:"&amp;MIN(24,COUNT('For stats end Y points'!$B13:N13))))))</f>
        <v>40</v>
      </c>
      <c r="O13" cm="1">
        <f t="array" aca="1" ref="O13" ca="1">SUMPRODUCT(LARGE('For stats end Y points'!$B13:O13,ROW(INDIRECT("1:"&amp;MIN(24,COUNT('For stats end Y points'!$B13:O13))))))</f>
        <v>53</v>
      </c>
      <c r="P13" cm="1">
        <f t="array" aca="1" ref="P13" ca="1">SUMPRODUCT(LARGE('For stats end Y points'!$B13:P13,ROW(INDIRECT("1:"&amp;MIN(24,COUNT('For stats end Y points'!$B13:P13))))))</f>
        <v>54</v>
      </c>
      <c r="Q13" cm="1">
        <f t="array" aca="1" ref="Q13" ca="1">SUMPRODUCT(LARGE('For stats end Y points'!$B13:Q13,ROW(INDIRECT("1:"&amp;MIN(24,COUNT('For stats end Y points'!$B13:Q13))))))</f>
        <v>72</v>
      </c>
      <c r="R13" cm="1">
        <f t="array" aca="1" ref="R13" ca="1">SUMPRODUCT(LARGE('For stats end Y points'!$B13:R13,ROW(INDIRECT("1:"&amp;MIN(24,COUNT('For stats end Y points'!$B13:R13))))))</f>
        <v>72</v>
      </c>
      <c r="S13" cm="1">
        <f t="array" aca="1" ref="S13" ca="1">SUMPRODUCT(LARGE('For stats end Y points'!$B13:S13,ROW(INDIRECT("1:"&amp;MIN(24,COUNT('For stats end Y points'!$B13:S13))))))</f>
        <v>73</v>
      </c>
      <c r="T13" cm="1">
        <f t="array" aca="1" ref="T13" ca="1">SUMPRODUCT(LARGE('For stats end Y points'!$B13:T13,ROW(INDIRECT("1:"&amp;MIN(24,COUNT('For stats end Y points'!$B13:T13))))))</f>
        <v>85</v>
      </c>
      <c r="U13" cm="1">
        <f t="array" aca="1" ref="U13" ca="1">SUMPRODUCT(LARGE('For stats end Y points'!$B13:U13,ROW(INDIRECT("1:"&amp;MIN(24,COUNT('For stats end Y points'!$B13:U13))))))</f>
        <v>85</v>
      </c>
      <c r="V13" cm="1">
        <f t="array" aca="1" ref="V13" ca="1">SUMPRODUCT(LARGE('For stats end Y points'!$B13:V13,ROW(INDIRECT("1:"&amp;MIN(24,COUNT('For stats end Y points'!$B13:V13))))))</f>
        <v>85</v>
      </c>
      <c r="W13" cm="1">
        <f t="array" aca="1" ref="W13" ca="1">SUMPRODUCT(LARGE('For stats end Y points'!$B13:W13,ROW(INDIRECT("1:"&amp;MIN(24,COUNT('For stats end Y points'!$B13:W13))))))</f>
        <v>85</v>
      </c>
      <c r="X13" cm="1">
        <f t="array" aca="1" ref="X13" ca="1">SUMPRODUCT(LARGE('For stats end Y points'!$B13:X13,ROW(INDIRECT("1:"&amp;MIN(24,COUNT('For stats end Y points'!$B13:X13))))))</f>
        <v>85</v>
      </c>
      <c r="Y13" cm="1">
        <f t="array" aca="1" ref="Y13" ca="1">SUMPRODUCT(LARGE('For stats end Y points'!$B13:Y13,ROW(INDIRECT("1:"&amp;MIN(24,COUNT('For stats end Y points'!$B13:Y13))))))</f>
        <v>85</v>
      </c>
      <c r="Z13" cm="1">
        <f t="array" aca="1" ref="Z13" ca="1">SUMPRODUCT(LARGE('For stats end Y points'!$B13:Z13,ROW(INDIRECT("1:"&amp;MIN(24,COUNT('For stats end Y points'!$B13:Z13))))))</f>
        <v>89</v>
      </c>
      <c r="AA13" cm="1">
        <f t="array" aca="1" ref="AA13" ca="1">SUMPRODUCT(LARGE('For stats end Y points'!$B13:AA13,ROW(INDIRECT("1:"&amp;MIN(24,COUNT('For stats end Y points'!$B13:AA13))))))</f>
        <v>105</v>
      </c>
      <c r="AB13" cm="1">
        <f t="array" aca="1" ref="AB13" ca="1">SUMPRODUCT(LARGE('For stats end Y points'!$B13:AB13,ROW(INDIRECT("1:"&amp;MIN(24,COUNT('For stats end Y points'!$B13:AB13))))))</f>
        <v>106</v>
      </c>
      <c r="AC13" cm="1">
        <f t="array" aca="1" ref="AC13" ca="1">SUMPRODUCT(LARGE('For stats end Y points'!$B13:AC13,ROW(INDIRECT("1:"&amp;MIN(24,COUNT('For stats end Y points'!$B13:AC13))))))</f>
        <v>106</v>
      </c>
      <c r="AD13" cm="1">
        <f t="array" aca="1" ref="AD13" ca="1">SUMPRODUCT(LARGE('For stats end Y points'!$B13:AD13,ROW(INDIRECT("1:"&amp;MIN(24,COUNT('For stats end Y points'!$B13:AD13))))))</f>
        <v>106</v>
      </c>
      <c r="AE13" cm="1">
        <f t="array" aca="1" ref="AE13" ca="1">SUMPRODUCT(LARGE('For stats end Y points'!$B13:AE13,ROW(INDIRECT("1:"&amp;MIN(24,COUNT('For stats end Y points'!$B13:AE13))))))</f>
        <v>106</v>
      </c>
      <c r="AF13" cm="1">
        <f t="array" aca="1" ref="AF13" ca="1">SUMPRODUCT(LARGE('For stats end Y points'!$B13:AF13,ROW(INDIRECT("1:"&amp;MIN(24,COUNT('For stats end Y points'!$B13:AF13))))))</f>
        <v>106</v>
      </c>
      <c r="AG13" cm="1">
        <f t="array" aca="1" ref="AG13" ca="1">SUMPRODUCT(LARGE('For stats end Y points'!$B13:AG13,ROW(INDIRECT("1:"&amp;MIN(24,COUNT('For stats end Y points'!$B13:AG13))))))</f>
        <v>106</v>
      </c>
      <c r="AH13" cm="1">
        <f t="array" aca="1" ref="AH13" ca="1">SUMPRODUCT(LARGE('For stats end Y points'!$B13:AH13,ROW(INDIRECT("1:"&amp;MIN(24,COUNT('For stats end Y points'!$B13:AH13))))))</f>
        <v>106</v>
      </c>
      <c r="AP13" s="10">
        <f t="shared" si="0"/>
        <v>0</v>
      </c>
      <c r="AQ13">
        <f>'For stats end Y class'!AU13</f>
        <v>13</v>
      </c>
    </row>
    <row r="14" spans="1:43" x14ac:dyDescent="0.2">
      <c r="A14" t="str">
        <f>'For stats end Y points'!A14</f>
        <v>Claire</v>
      </c>
      <c r="B14" cm="1">
        <f t="array" aca="1" ref="B14" ca="1">SUMPRODUCT(LARGE('For stats end Y points'!$B14:B14,ROW(INDIRECT("1:"&amp;MIN(24,COUNT('For stats end Y points'!$B14:B14))))))</f>
        <v>0</v>
      </c>
      <c r="C14" cm="1">
        <f t="array" aca="1" ref="C14" ca="1">SUMPRODUCT(LARGE('For stats end Y points'!$B14:C14,ROW(INDIRECT("1:"&amp;MIN(24,COUNT('For stats end Y points'!$B14:C14))))))</f>
        <v>0</v>
      </c>
      <c r="D14" cm="1">
        <f t="array" aca="1" ref="D14" ca="1">SUMPRODUCT(LARGE('For stats end Y points'!$B14:D14,ROW(INDIRECT("1:"&amp;MIN(24,COUNT('For stats end Y points'!$B14:D14))))))</f>
        <v>0</v>
      </c>
      <c r="E14" cm="1">
        <f t="array" aca="1" ref="E14" ca="1">SUMPRODUCT(LARGE('For stats end Y points'!$B14:E14,ROW(INDIRECT("1:"&amp;MIN(24,COUNT('For stats end Y points'!$B14:E14))))))</f>
        <v>0</v>
      </c>
      <c r="F14" cm="1">
        <f t="array" aca="1" ref="F14" ca="1">SUMPRODUCT(LARGE('For stats end Y points'!$B14:F14,ROW(INDIRECT("1:"&amp;MIN(24,COUNT('For stats end Y points'!$B14:F14))))))</f>
        <v>0</v>
      </c>
      <c r="G14" cm="1">
        <f t="array" aca="1" ref="G14" ca="1">SUMPRODUCT(LARGE('For stats end Y points'!$B14:G14,ROW(INDIRECT("1:"&amp;MIN(24,COUNT('For stats end Y points'!$B14:G14))))))</f>
        <v>0</v>
      </c>
      <c r="H14" cm="1">
        <f t="array" aca="1" ref="H14" ca="1">SUMPRODUCT(LARGE('For stats end Y points'!$B14:H14,ROW(INDIRECT("1:"&amp;MIN(24,COUNT('For stats end Y points'!$B14:H14))))))</f>
        <v>0</v>
      </c>
      <c r="I14" cm="1">
        <f t="array" aca="1" ref="I14" ca="1">SUMPRODUCT(LARGE('For stats end Y points'!$B14:I14,ROW(INDIRECT("1:"&amp;MIN(24,COUNT('For stats end Y points'!$B14:I14))))))</f>
        <v>0</v>
      </c>
      <c r="J14" cm="1">
        <f t="array" aca="1" ref="J14" ca="1">SUMPRODUCT(LARGE('For stats end Y points'!$B14:J14,ROW(INDIRECT("1:"&amp;MIN(24,COUNT('For stats end Y points'!$B14:J14))))))</f>
        <v>8</v>
      </c>
      <c r="K14" cm="1">
        <f t="array" aca="1" ref="K14" ca="1">SUMPRODUCT(LARGE('For stats end Y points'!$B14:K14,ROW(INDIRECT("1:"&amp;MIN(24,COUNT('For stats end Y points'!$B14:K14))))))</f>
        <v>8</v>
      </c>
      <c r="L14" cm="1">
        <f t="array" aca="1" ref="L14" ca="1">SUMPRODUCT(LARGE('For stats end Y points'!$B14:L14,ROW(INDIRECT("1:"&amp;MIN(24,COUNT('For stats end Y points'!$B14:L14))))))</f>
        <v>8</v>
      </c>
      <c r="M14" cm="1">
        <f t="array" aca="1" ref="M14" ca="1">SUMPRODUCT(LARGE('For stats end Y points'!$B14:M14,ROW(INDIRECT("1:"&amp;MIN(24,COUNT('For stats end Y points'!$B14:M14))))))</f>
        <v>8</v>
      </c>
      <c r="N14" cm="1">
        <f t="array" aca="1" ref="N14" ca="1">SUMPRODUCT(LARGE('For stats end Y points'!$B14:N14,ROW(INDIRECT("1:"&amp;MIN(24,COUNT('For stats end Y points'!$B14:N14))))))</f>
        <v>8</v>
      </c>
      <c r="O14" cm="1">
        <f t="array" aca="1" ref="O14" ca="1">SUMPRODUCT(LARGE('For stats end Y points'!$B14:O14,ROW(INDIRECT("1:"&amp;MIN(24,COUNT('For stats end Y points'!$B14:O14))))))</f>
        <v>8</v>
      </c>
      <c r="P14" cm="1">
        <f t="array" aca="1" ref="P14" ca="1">SUMPRODUCT(LARGE('For stats end Y points'!$B14:P14,ROW(INDIRECT("1:"&amp;MIN(24,COUNT('For stats end Y points'!$B14:P14))))))</f>
        <v>8</v>
      </c>
      <c r="Q14" cm="1">
        <f t="array" aca="1" ref="Q14" ca="1">SUMPRODUCT(LARGE('For stats end Y points'!$B14:Q14,ROW(INDIRECT("1:"&amp;MIN(24,COUNT('For stats end Y points'!$B14:Q14))))))</f>
        <v>8</v>
      </c>
      <c r="R14" cm="1">
        <f t="array" aca="1" ref="R14" ca="1">SUMPRODUCT(LARGE('For stats end Y points'!$B14:R14,ROW(INDIRECT("1:"&amp;MIN(24,COUNT('For stats end Y points'!$B14:R14))))))</f>
        <v>8</v>
      </c>
      <c r="S14" cm="1">
        <f t="array" aca="1" ref="S14" ca="1">SUMPRODUCT(LARGE('For stats end Y points'!$B14:S14,ROW(INDIRECT("1:"&amp;MIN(24,COUNT('For stats end Y points'!$B14:S14))))))</f>
        <v>8</v>
      </c>
      <c r="T14" cm="1">
        <f t="array" aca="1" ref="T14" ca="1">SUMPRODUCT(LARGE('For stats end Y points'!$B14:T14,ROW(INDIRECT("1:"&amp;MIN(24,COUNT('For stats end Y points'!$B14:T14))))))</f>
        <v>8</v>
      </c>
      <c r="U14" cm="1">
        <f t="array" aca="1" ref="U14" ca="1">SUMPRODUCT(LARGE('For stats end Y points'!$B14:U14,ROW(INDIRECT("1:"&amp;MIN(24,COUNT('For stats end Y points'!$B14:U14))))))</f>
        <v>8</v>
      </c>
      <c r="V14" cm="1">
        <f t="array" aca="1" ref="V14" ca="1">SUMPRODUCT(LARGE('For stats end Y points'!$B14:V14,ROW(INDIRECT("1:"&amp;MIN(24,COUNT('For stats end Y points'!$B14:V14))))))</f>
        <v>8</v>
      </c>
      <c r="W14" cm="1">
        <f t="array" aca="1" ref="W14" ca="1">SUMPRODUCT(LARGE('For stats end Y points'!$B14:W14,ROW(INDIRECT("1:"&amp;MIN(24,COUNT('For stats end Y points'!$B14:W14))))))</f>
        <v>8</v>
      </c>
      <c r="X14" cm="1">
        <f t="array" aca="1" ref="X14" ca="1">SUMPRODUCT(LARGE('For stats end Y points'!$B14:X14,ROW(INDIRECT("1:"&amp;MIN(24,COUNT('For stats end Y points'!$B14:X14))))))</f>
        <v>8</v>
      </c>
      <c r="Y14" cm="1">
        <f t="array" aca="1" ref="Y14" ca="1">SUMPRODUCT(LARGE('For stats end Y points'!$B14:Y14,ROW(INDIRECT("1:"&amp;MIN(24,COUNT('For stats end Y points'!$B14:Y14))))))</f>
        <v>8</v>
      </c>
      <c r="Z14" cm="1">
        <f t="array" aca="1" ref="Z14" ca="1">SUMPRODUCT(LARGE('For stats end Y points'!$B14:Z14,ROW(INDIRECT("1:"&amp;MIN(24,COUNT('For stats end Y points'!$B14:Z14))))))</f>
        <v>8</v>
      </c>
      <c r="AA14" cm="1">
        <f t="array" aca="1" ref="AA14" ca="1">SUMPRODUCT(LARGE('For stats end Y points'!$B14:AA14,ROW(INDIRECT("1:"&amp;MIN(24,COUNT('For stats end Y points'!$B14:AA14))))))</f>
        <v>8</v>
      </c>
      <c r="AB14" cm="1">
        <f t="array" aca="1" ref="AB14" ca="1">SUMPRODUCT(LARGE('For stats end Y points'!$B14:AB14,ROW(INDIRECT("1:"&amp;MIN(24,COUNT('For stats end Y points'!$B14:AB14))))))</f>
        <v>8</v>
      </c>
      <c r="AC14" cm="1">
        <f t="array" aca="1" ref="AC14" ca="1">SUMPRODUCT(LARGE('For stats end Y points'!$B14:AC14,ROW(INDIRECT("1:"&amp;MIN(24,COUNT('For stats end Y points'!$B14:AC14))))))</f>
        <v>8</v>
      </c>
      <c r="AD14" cm="1">
        <f t="array" aca="1" ref="AD14" ca="1">SUMPRODUCT(LARGE('For stats end Y points'!$B14:AD14,ROW(INDIRECT("1:"&amp;MIN(24,COUNT('For stats end Y points'!$B14:AD14))))))</f>
        <v>8</v>
      </c>
      <c r="AE14" cm="1">
        <f t="array" aca="1" ref="AE14" ca="1">SUMPRODUCT(LARGE('For stats end Y points'!$B14:AE14,ROW(INDIRECT("1:"&amp;MIN(24,COUNT('For stats end Y points'!$B14:AE14))))))</f>
        <v>8</v>
      </c>
      <c r="AF14" cm="1">
        <f t="array" aca="1" ref="AF14" ca="1">SUMPRODUCT(LARGE('For stats end Y points'!$B14:AF14,ROW(INDIRECT("1:"&amp;MIN(24,COUNT('For stats end Y points'!$B14:AF14))))))</f>
        <v>8</v>
      </c>
      <c r="AG14" cm="1">
        <f t="array" aca="1" ref="AG14" ca="1">SUMPRODUCT(LARGE('For stats end Y points'!$B14:AG14,ROW(INDIRECT("1:"&amp;MIN(24,COUNT('For stats end Y points'!$B14:AG14))))))</f>
        <v>8</v>
      </c>
      <c r="AH14" cm="1">
        <f t="array" aca="1" ref="AH14" ca="1">SUMPRODUCT(LARGE('For stats end Y points'!$B14:AH14,ROW(INDIRECT("1:"&amp;MIN(24,COUNT('For stats end Y points'!$B14:AH14))))))</f>
        <v>8</v>
      </c>
      <c r="AP14" s="10">
        <f t="shared" si="0"/>
        <v>0</v>
      </c>
      <c r="AQ14">
        <f>'For stats end Y class'!AU14</f>
        <v>1</v>
      </c>
    </row>
    <row r="15" spans="1:43" x14ac:dyDescent="0.2">
      <c r="A15" t="str">
        <f>'For stats end Y points'!A15</f>
        <v>Claptou</v>
      </c>
      <c r="B15" cm="1">
        <f t="array" aca="1" ref="B15" ca="1">SUMPRODUCT(LARGE('For stats end Y points'!$B15:B15,ROW(INDIRECT("1:"&amp;MIN(24,COUNT('For stats end Y points'!$B15:B15))))))</f>
        <v>0</v>
      </c>
      <c r="C15" cm="1">
        <f t="array" aca="1" ref="C15" ca="1">SUMPRODUCT(LARGE('For stats end Y points'!$B15:C15,ROW(INDIRECT("1:"&amp;MIN(24,COUNT('For stats end Y points'!$B15:C15))))))</f>
        <v>2</v>
      </c>
      <c r="D15" cm="1">
        <f t="array" aca="1" ref="D15" ca="1">SUMPRODUCT(LARGE('For stats end Y points'!$B15:D15,ROW(INDIRECT("1:"&amp;MIN(24,COUNT('For stats end Y points'!$B15:D15))))))</f>
        <v>14</v>
      </c>
      <c r="E15" cm="1">
        <f t="array" aca="1" ref="E15" ca="1">SUMPRODUCT(LARGE('For stats end Y points'!$B15:E15,ROW(INDIRECT("1:"&amp;MIN(24,COUNT('For stats end Y points'!$B15:E15))))))</f>
        <v>19</v>
      </c>
      <c r="F15" cm="1">
        <f t="array" aca="1" ref="F15" ca="1">SUMPRODUCT(LARGE('For stats end Y points'!$B15:F15,ROW(INDIRECT("1:"&amp;MIN(24,COUNT('For stats end Y points'!$B15:F15))))))</f>
        <v>24</v>
      </c>
      <c r="G15" cm="1">
        <f t="array" aca="1" ref="G15" ca="1">SUMPRODUCT(LARGE('For stats end Y points'!$B15:G15,ROW(INDIRECT("1:"&amp;MIN(24,COUNT('For stats end Y points'!$B15:G15))))))</f>
        <v>41</v>
      </c>
      <c r="H15" cm="1">
        <f t="array" aca="1" ref="H15" ca="1">SUMPRODUCT(LARGE('For stats end Y points'!$B15:H15,ROW(INDIRECT("1:"&amp;MIN(24,COUNT('For stats end Y points'!$B15:H15))))))</f>
        <v>49</v>
      </c>
      <c r="I15" cm="1">
        <f t="array" aca="1" ref="I15" ca="1">SUMPRODUCT(LARGE('For stats end Y points'!$B15:I15,ROW(INDIRECT("1:"&amp;MIN(24,COUNT('For stats end Y points'!$B15:I15))))))</f>
        <v>62</v>
      </c>
      <c r="J15" cm="1">
        <f t="array" aca="1" ref="J15" ca="1">SUMPRODUCT(LARGE('For stats end Y points'!$B15:J15,ROW(INDIRECT("1:"&amp;MIN(24,COUNT('For stats end Y points'!$B15:J15))))))</f>
        <v>74</v>
      </c>
      <c r="K15" cm="1">
        <f t="array" aca="1" ref="K15" ca="1">SUMPRODUCT(LARGE('For stats end Y points'!$B15:K15,ROW(INDIRECT("1:"&amp;MIN(24,COUNT('For stats end Y points'!$B15:K15))))))</f>
        <v>78</v>
      </c>
      <c r="L15" cm="1">
        <f t="array" aca="1" ref="L15" ca="1">SUMPRODUCT(LARGE('For stats end Y points'!$B15:L15,ROW(INDIRECT("1:"&amp;MIN(24,COUNT('For stats end Y points'!$B15:L15))))))</f>
        <v>94</v>
      </c>
      <c r="M15" cm="1">
        <f t="array" aca="1" ref="M15" ca="1">SUMPRODUCT(LARGE('For stats end Y points'!$B15:M15,ROW(INDIRECT("1:"&amp;MIN(24,COUNT('For stats end Y points'!$B15:M15))))))</f>
        <v>96</v>
      </c>
      <c r="N15" cm="1">
        <f t="array" aca="1" ref="N15" ca="1">SUMPRODUCT(LARGE('For stats end Y points'!$B15:N15,ROW(INDIRECT("1:"&amp;MIN(24,COUNT('For stats end Y points'!$B15:N15))))))</f>
        <v>113</v>
      </c>
      <c r="O15" cm="1">
        <f t="array" aca="1" ref="O15" ca="1">SUMPRODUCT(LARGE('For stats end Y points'!$B15:O15,ROW(INDIRECT("1:"&amp;MIN(24,COUNT('For stats end Y points'!$B15:O15))))))</f>
        <v>122</v>
      </c>
      <c r="P15" cm="1">
        <f t="array" aca="1" ref="P15" ca="1">SUMPRODUCT(LARGE('For stats end Y points'!$B15:P15,ROW(INDIRECT("1:"&amp;MIN(24,COUNT('For stats end Y points'!$B15:P15))))))</f>
        <v>139</v>
      </c>
      <c r="Q15" cm="1">
        <f t="array" aca="1" ref="Q15" ca="1">SUMPRODUCT(LARGE('For stats end Y points'!$B15:Q15,ROW(INDIRECT("1:"&amp;MIN(24,COUNT('For stats end Y points'!$B15:Q15))))))</f>
        <v>144</v>
      </c>
      <c r="R15" cm="1">
        <f t="array" aca="1" ref="R15" ca="1">SUMPRODUCT(LARGE('For stats end Y points'!$B15:R15,ROW(INDIRECT("1:"&amp;MIN(24,COUNT('For stats end Y points'!$B15:R15))))))</f>
        <v>146</v>
      </c>
      <c r="S15" cm="1">
        <f t="array" aca="1" ref="S15" ca="1">SUMPRODUCT(LARGE('For stats end Y points'!$B15:S15,ROW(INDIRECT("1:"&amp;MIN(24,COUNT('For stats end Y points'!$B15:S15))))))</f>
        <v>146</v>
      </c>
      <c r="T15" cm="1">
        <f t="array" aca="1" ref="T15" ca="1">SUMPRODUCT(LARGE('For stats end Y points'!$B15:T15,ROW(INDIRECT("1:"&amp;MIN(24,COUNT('For stats end Y points'!$B15:T15))))))</f>
        <v>146</v>
      </c>
      <c r="U15" cm="1">
        <f t="array" aca="1" ref="U15" ca="1">SUMPRODUCT(LARGE('For stats end Y points'!$B15:U15,ROW(INDIRECT("1:"&amp;MIN(24,COUNT('For stats end Y points'!$B15:U15))))))</f>
        <v>147</v>
      </c>
      <c r="V15" cm="1">
        <f t="array" aca="1" ref="V15" ca="1">SUMPRODUCT(LARGE('For stats end Y points'!$B15:V15,ROW(INDIRECT("1:"&amp;MIN(24,COUNT('For stats end Y points'!$B15:V15))))))</f>
        <v>149</v>
      </c>
      <c r="W15" cm="1">
        <f t="array" aca="1" ref="W15" ca="1">SUMPRODUCT(LARGE('For stats end Y points'!$B15:W15,ROW(INDIRECT("1:"&amp;MIN(24,COUNT('For stats end Y points'!$B15:W15))))))</f>
        <v>149</v>
      </c>
      <c r="X15" cm="1">
        <f t="array" aca="1" ref="X15" ca="1">SUMPRODUCT(LARGE('For stats end Y points'!$B15:X15,ROW(INDIRECT("1:"&amp;MIN(24,COUNT('For stats end Y points'!$B15:X15))))))</f>
        <v>152</v>
      </c>
      <c r="Y15" cm="1">
        <f t="array" aca="1" ref="Y15" ca="1">SUMPRODUCT(LARGE('For stats end Y points'!$B15:Y15,ROW(INDIRECT("1:"&amp;MIN(24,COUNT('For stats end Y points'!$B15:Y15))))))</f>
        <v>154</v>
      </c>
      <c r="Z15" cm="1">
        <f t="array" aca="1" ref="Z15" ca="1">SUMPRODUCT(LARGE('For stats end Y points'!$B15:Z15,ROW(INDIRECT("1:"&amp;MIN(24,COUNT('For stats end Y points'!$B15:Z15))))))</f>
        <v>158</v>
      </c>
      <c r="AA15" cm="1">
        <f t="array" aca="1" ref="AA15" ca="1">SUMPRODUCT(LARGE('For stats end Y points'!$B15:AA15,ROW(INDIRECT("1:"&amp;MIN(24,COUNT('For stats end Y points'!$B15:AA15))))))</f>
        <v>174</v>
      </c>
      <c r="AB15" cm="1">
        <f t="array" aca="1" ref="AB15" ca="1">SUMPRODUCT(LARGE('For stats end Y points'!$B15:AB15,ROW(INDIRECT("1:"&amp;MIN(24,COUNT('For stats end Y points'!$B15:AB15))))))</f>
        <v>176</v>
      </c>
      <c r="AC15" cm="1">
        <f t="array" aca="1" ref="AC15" ca="1">SUMPRODUCT(LARGE('For stats end Y points'!$B15:AC15,ROW(INDIRECT("1:"&amp;MIN(24,COUNT('For stats end Y points'!$B15:AC15))))))</f>
        <v>176</v>
      </c>
      <c r="AD15" cm="1">
        <f t="array" aca="1" ref="AD15" ca="1">SUMPRODUCT(LARGE('For stats end Y points'!$B15:AD15,ROW(INDIRECT("1:"&amp;MIN(24,COUNT('For stats end Y points'!$B15:AD15))))))</f>
        <v>188</v>
      </c>
      <c r="AE15" cm="1">
        <f t="array" aca="1" ref="AE15" ca="1">SUMPRODUCT(LARGE('For stats end Y points'!$B15:AE15,ROW(INDIRECT("1:"&amp;MIN(24,COUNT('For stats end Y points'!$B15:AE15))))))</f>
        <v>188</v>
      </c>
      <c r="AF15" cm="1">
        <f t="array" aca="1" ref="AF15" ca="1">SUMPRODUCT(LARGE('For stats end Y points'!$B15:AF15,ROW(INDIRECT("1:"&amp;MIN(24,COUNT('For stats end Y points'!$B15:AF15))))))</f>
        <v>189</v>
      </c>
      <c r="AG15" cm="1">
        <f t="array" aca="1" ref="AG15" ca="1">SUMPRODUCT(LARGE('For stats end Y points'!$B15:AG15,ROW(INDIRECT("1:"&amp;MIN(24,COUNT('For stats end Y points'!$B15:AG15))))))</f>
        <v>189</v>
      </c>
      <c r="AH15" cm="1">
        <f t="array" aca="1" ref="AH15" ca="1">SUMPRODUCT(LARGE('For stats end Y points'!$B15:AH15,ROW(INDIRECT("1:"&amp;MIN(24,COUNT('For stats end Y points'!$B15:AH15))))))</f>
        <v>189</v>
      </c>
      <c r="AP15" s="10">
        <f t="shared" si="0"/>
        <v>0</v>
      </c>
      <c r="AQ15">
        <f>'For stats end Y class'!AU15</f>
        <v>27</v>
      </c>
    </row>
    <row r="16" spans="1:43" x14ac:dyDescent="0.2">
      <c r="A16" t="str">
        <f>'For stats end Y points'!A16</f>
        <v>Claudius</v>
      </c>
      <c r="B16" cm="1">
        <f t="array" aca="1" ref="B16" ca="1">SUMPRODUCT(LARGE('For stats end Y points'!$B16:B16,ROW(INDIRECT("1:"&amp;MIN(24,COUNT('For stats end Y points'!$B16:B16))))))</f>
        <v>4</v>
      </c>
      <c r="C16" cm="1">
        <f t="array" aca="1" ref="C16" ca="1">SUMPRODUCT(LARGE('For stats end Y points'!$B16:C16,ROW(INDIRECT("1:"&amp;MIN(24,COUNT('For stats end Y points'!$B16:C16))))))</f>
        <v>7</v>
      </c>
      <c r="D16" cm="1">
        <f t="array" aca="1" ref="D16" ca="1">SUMPRODUCT(LARGE('For stats end Y points'!$B16:D16,ROW(INDIRECT("1:"&amp;MIN(24,COUNT('For stats end Y points'!$B16:D16))))))</f>
        <v>11</v>
      </c>
      <c r="E16" cm="1">
        <f t="array" aca="1" ref="E16" ca="1">SUMPRODUCT(LARGE('For stats end Y points'!$B16:E16,ROW(INDIRECT("1:"&amp;MIN(24,COUNT('For stats end Y points'!$B16:E16))))))</f>
        <v>20</v>
      </c>
      <c r="F16" cm="1">
        <f t="array" aca="1" ref="F16" ca="1">SUMPRODUCT(LARGE('For stats end Y points'!$B16:F16,ROW(INDIRECT("1:"&amp;MIN(24,COUNT('For stats end Y points'!$B16:F16))))))</f>
        <v>27</v>
      </c>
      <c r="G16" cm="1">
        <f t="array" aca="1" ref="G16" ca="1">SUMPRODUCT(LARGE('For stats end Y points'!$B16:G16,ROW(INDIRECT("1:"&amp;MIN(24,COUNT('For stats end Y points'!$B16:G16))))))</f>
        <v>44</v>
      </c>
      <c r="H16" cm="1">
        <f t="array" aca="1" ref="H16" ca="1">SUMPRODUCT(LARGE('For stats end Y points'!$B16:H16,ROW(INDIRECT("1:"&amp;MIN(24,COUNT('For stats end Y points'!$B16:H16))))))</f>
        <v>56</v>
      </c>
      <c r="I16" cm="1">
        <f t="array" aca="1" ref="I16" ca="1">SUMPRODUCT(LARGE('For stats end Y points'!$B16:I16,ROW(INDIRECT("1:"&amp;MIN(24,COUNT('For stats end Y points'!$B16:I16))))))</f>
        <v>73</v>
      </c>
      <c r="J16" cm="1">
        <f t="array" aca="1" ref="J16" ca="1">SUMPRODUCT(LARGE('For stats end Y points'!$B16:J16,ROW(INDIRECT("1:"&amp;MIN(24,COUNT('For stats end Y points'!$B16:J16))))))</f>
        <v>81</v>
      </c>
      <c r="K16" cm="1">
        <f t="array" aca="1" ref="K16" ca="1">SUMPRODUCT(LARGE('For stats end Y points'!$B16:K16,ROW(INDIRECT("1:"&amp;MIN(24,COUNT('For stats end Y points'!$B16:K16))))))</f>
        <v>93</v>
      </c>
      <c r="L16" cm="1">
        <f t="array" aca="1" ref="L16" ca="1">SUMPRODUCT(LARGE('For stats end Y points'!$B16:L16,ROW(INDIRECT("1:"&amp;MIN(24,COUNT('For stats end Y points'!$B16:L16))))))</f>
        <v>109</v>
      </c>
      <c r="M16" cm="1">
        <f t="array" aca="1" ref="M16" ca="1">SUMPRODUCT(LARGE('For stats end Y points'!$B16:M16,ROW(INDIRECT("1:"&amp;MIN(24,COUNT('For stats end Y points'!$B16:M16))))))</f>
        <v>121</v>
      </c>
      <c r="N16" cm="1">
        <f t="array" aca="1" ref="N16" ca="1">SUMPRODUCT(LARGE('For stats end Y points'!$B16:N16,ROW(INDIRECT("1:"&amp;MIN(24,COUNT('For stats end Y points'!$B16:N16))))))</f>
        <v>133</v>
      </c>
      <c r="O16" cm="1">
        <f t="array" aca="1" ref="O16" ca="1">SUMPRODUCT(LARGE('For stats end Y points'!$B16:O16,ROW(INDIRECT("1:"&amp;MIN(24,COUNT('For stats end Y points'!$B16:O16))))))</f>
        <v>145</v>
      </c>
      <c r="P16" cm="1">
        <f t="array" aca="1" ref="P16" ca="1">SUMPRODUCT(LARGE('For stats end Y points'!$B16:P16,ROW(INDIRECT("1:"&amp;MIN(24,COUNT('For stats end Y points'!$B16:P16))))))</f>
        <v>158</v>
      </c>
      <c r="Q16" cm="1">
        <f t="array" aca="1" ref="Q16" ca="1">SUMPRODUCT(LARGE('For stats end Y points'!$B16:Q16,ROW(INDIRECT("1:"&amp;MIN(24,COUNT('For stats end Y points'!$B16:Q16))))))</f>
        <v>160</v>
      </c>
      <c r="R16" cm="1">
        <f t="array" aca="1" ref="R16" ca="1">SUMPRODUCT(LARGE('For stats end Y points'!$B16:R16,ROW(INDIRECT("1:"&amp;MIN(24,COUNT('For stats end Y points'!$B16:R16))))))</f>
        <v>163</v>
      </c>
      <c r="S16" cm="1">
        <f t="array" aca="1" ref="S16" ca="1">SUMPRODUCT(LARGE('For stats end Y points'!$B16:S16,ROW(INDIRECT("1:"&amp;MIN(24,COUNT('For stats end Y points'!$B16:S16))))))</f>
        <v>180</v>
      </c>
      <c r="T16" cm="1">
        <f t="array" aca="1" ref="T16" ca="1">SUMPRODUCT(LARGE('For stats end Y points'!$B16:T16,ROW(INDIRECT("1:"&amp;MIN(24,COUNT('For stats end Y points'!$B16:T16))))))</f>
        <v>192</v>
      </c>
      <c r="U16" cm="1">
        <f t="array" aca="1" ref="U16" ca="1">SUMPRODUCT(LARGE('For stats end Y points'!$B16:U16,ROW(INDIRECT("1:"&amp;MIN(24,COUNT('For stats end Y points'!$B16:U16))))))</f>
        <v>193</v>
      </c>
      <c r="V16" cm="1">
        <f t="array" aca="1" ref="V16" ca="1">SUMPRODUCT(LARGE('For stats end Y points'!$B16:V16,ROW(INDIRECT("1:"&amp;MIN(24,COUNT('For stats end Y points'!$B16:V16))))))</f>
        <v>206</v>
      </c>
      <c r="W16" cm="1">
        <f t="array" aca="1" ref="W16" ca="1">SUMPRODUCT(LARGE('For stats end Y points'!$B16:W16,ROW(INDIRECT("1:"&amp;MIN(24,COUNT('For stats end Y points'!$B16:W16))))))</f>
        <v>215</v>
      </c>
      <c r="X16" cm="1">
        <f t="array" aca="1" ref="X16" ca="1">SUMPRODUCT(LARGE('For stats end Y points'!$B16:X16,ROW(INDIRECT("1:"&amp;MIN(24,COUNT('For stats end Y points'!$B16:X16))))))</f>
        <v>219</v>
      </c>
      <c r="Y16" cm="1">
        <f t="array" aca="1" ref="Y16" ca="1">SUMPRODUCT(LARGE('For stats end Y points'!$B16:Y16,ROW(INDIRECT("1:"&amp;MIN(24,COUNT('For stats end Y points'!$B16:Y16))))))</f>
        <v>220</v>
      </c>
      <c r="Z16" cm="1">
        <f t="array" aca="1" ref="Z16" ca="1">SUMPRODUCT(LARGE('For stats end Y points'!$B16:Z16,ROW(INDIRECT("1:"&amp;MIN(24,COUNT('For stats end Y points'!$B16:Z16))))))</f>
        <v>223</v>
      </c>
      <c r="AA16" cm="1">
        <f t="array" aca="1" ref="AA16" ca="1">SUMPRODUCT(LARGE('For stats end Y points'!$B16:AA16,ROW(INDIRECT("1:"&amp;MIN(24,COUNT('For stats end Y points'!$B16:AA16))))))</f>
        <v>226</v>
      </c>
      <c r="AB16" cm="1">
        <f t="array" aca="1" ref="AB16" ca="1">SUMPRODUCT(LARGE('For stats end Y points'!$B16:AB16,ROW(INDIRECT("1:"&amp;MIN(24,COUNT('For stats end Y points'!$B16:AB16))))))</f>
        <v>228</v>
      </c>
      <c r="AC16" cm="1">
        <f t="array" aca="1" ref="AC16" ca="1">SUMPRODUCT(LARGE('For stats end Y points'!$B16:AC16,ROW(INDIRECT("1:"&amp;MIN(24,COUNT('For stats end Y points'!$B16:AC16))))))</f>
        <v>228</v>
      </c>
      <c r="AD16" cm="1">
        <f t="array" aca="1" ref="AD16" ca="1">SUMPRODUCT(LARGE('For stats end Y points'!$B16:AD16,ROW(INDIRECT("1:"&amp;MIN(24,COUNT('For stats end Y points'!$B16:AD16))))))</f>
        <v>234</v>
      </c>
      <c r="AE16" cm="1">
        <f t="array" aca="1" ref="AE16" ca="1">SUMPRODUCT(LARGE('For stats end Y points'!$B16:AE16,ROW(INDIRECT("1:"&amp;MIN(24,COUNT('For stats end Y points'!$B16:AE16))))))</f>
        <v>234</v>
      </c>
      <c r="AF16" cm="1">
        <f t="array" aca="1" ref="AF16" ca="1">SUMPRODUCT(LARGE('For stats end Y points'!$B16:AF16,ROW(INDIRECT("1:"&amp;MIN(24,COUNT('For stats end Y points'!$B16:AF16))))))</f>
        <v>235</v>
      </c>
      <c r="AG16" cm="1">
        <f t="array" aca="1" ref="AG16" ca="1">SUMPRODUCT(LARGE('For stats end Y points'!$B16:AG16,ROW(INDIRECT("1:"&amp;MIN(24,COUNT('For stats end Y points'!$B16:AG16))))))</f>
        <v>243</v>
      </c>
      <c r="AH16" cm="1">
        <f t="array" aca="1" ref="AH16" ca="1">SUMPRODUCT(LARGE('For stats end Y points'!$B16:AH16,ROW(INDIRECT("1:"&amp;MIN(24,COUNT('For stats end Y points'!$B16:AH16))))))</f>
        <v>243</v>
      </c>
      <c r="AP16" s="10">
        <f t="shared" si="0"/>
        <v>0</v>
      </c>
      <c r="AQ16">
        <f>'For stats end Y class'!AU16</f>
        <v>33</v>
      </c>
    </row>
    <row r="17" spans="1:43" x14ac:dyDescent="0.2">
      <c r="A17" t="str">
        <f>'For stats end Y points'!A17</f>
        <v>CoachNasser</v>
      </c>
      <c r="B17" cm="1">
        <f t="array" aca="1" ref="B17" ca="1">SUMPRODUCT(LARGE('For stats end Y points'!$B17:B17,ROW(INDIRECT("1:"&amp;MIN(24,COUNT('For stats end Y points'!$B17:B17))))))</f>
        <v>0</v>
      </c>
      <c r="C17" cm="1">
        <f t="array" aca="1" ref="C17" ca="1">SUMPRODUCT(LARGE('For stats end Y points'!$B17:C17,ROW(INDIRECT("1:"&amp;MIN(24,COUNT('For stats end Y points'!$B17:C17))))))</f>
        <v>0</v>
      </c>
      <c r="D17" cm="1">
        <f t="array" aca="1" ref="D17" ca="1">SUMPRODUCT(LARGE('For stats end Y points'!$B17:D17,ROW(INDIRECT("1:"&amp;MIN(24,COUNT('For stats end Y points'!$B17:D17))))))</f>
        <v>0</v>
      </c>
      <c r="E17" cm="1">
        <f t="array" aca="1" ref="E17" ca="1">SUMPRODUCT(LARGE('For stats end Y points'!$B17:E17,ROW(INDIRECT("1:"&amp;MIN(24,COUNT('For stats end Y points'!$B17:E17))))))</f>
        <v>0</v>
      </c>
      <c r="F17" cm="1">
        <f t="array" aca="1" ref="F17" ca="1">SUMPRODUCT(LARGE('For stats end Y points'!$B17:F17,ROW(INDIRECT("1:"&amp;MIN(24,COUNT('For stats end Y points'!$B17:F17))))))</f>
        <v>1</v>
      </c>
      <c r="G17" cm="1">
        <f t="array" aca="1" ref="G17" ca="1">SUMPRODUCT(LARGE('For stats end Y points'!$B17:G17,ROW(INDIRECT("1:"&amp;MIN(24,COUNT('For stats end Y points'!$B17:G17))))))</f>
        <v>1</v>
      </c>
      <c r="H17" cm="1">
        <f t="array" aca="1" ref="H17" ca="1">SUMPRODUCT(LARGE('For stats end Y points'!$B17:H17,ROW(INDIRECT("1:"&amp;MIN(24,COUNT('For stats end Y points'!$B17:H17))))))</f>
        <v>1</v>
      </c>
      <c r="I17" cm="1">
        <f t="array" aca="1" ref="I17" ca="1">SUMPRODUCT(LARGE('For stats end Y points'!$B17:I17,ROW(INDIRECT("1:"&amp;MIN(24,COUNT('For stats end Y points'!$B17:I17))))))</f>
        <v>1</v>
      </c>
      <c r="J17" cm="1">
        <f t="array" aca="1" ref="J17" ca="1">SUMPRODUCT(LARGE('For stats end Y points'!$B17:J17,ROW(INDIRECT("1:"&amp;MIN(24,COUNT('For stats end Y points'!$B17:J17))))))</f>
        <v>1</v>
      </c>
      <c r="K17" cm="1">
        <f t="array" aca="1" ref="K17" ca="1">SUMPRODUCT(LARGE('For stats end Y points'!$B17:K17,ROW(INDIRECT("1:"&amp;MIN(24,COUNT('For stats end Y points'!$B17:K17))))))</f>
        <v>1</v>
      </c>
      <c r="L17" cm="1">
        <f t="array" aca="1" ref="L17" ca="1">SUMPRODUCT(LARGE('For stats end Y points'!$B17:L17,ROW(INDIRECT("1:"&amp;MIN(24,COUNT('For stats end Y points'!$B17:L17))))))</f>
        <v>1</v>
      </c>
      <c r="M17" cm="1">
        <f t="array" aca="1" ref="M17" ca="1">SUMPRODUCT(LARGE('For stats end Y points'!$B17:M17,ROW(INDIRECT("1:"&amp;MIN(24,COUNT('For stats end Y points'!$B17:M17))))))</f>
        <v>1</v>
      </c>
      <c r="N17" cm="1">
        <f t="array" aca="1" ref="N17" ca="1">SUMPRODUCT(LARGE('For stats end Y points'!$B17:N17,ROW(INDIRECT("1:"&amp;MIN(24,COUNT('For stats end Y points'!$B17:N17))))))</f>
        <v>1</v>
      </c>
      <c r="O17" cm="1">
        <f t="array" aca="1" ref="O17" ca="1">SUMPRODUCT(LARGE('For stats end Y points'!$B17:O17,ROW(INDIRECT("1:"&amp;MIN(24,COUNT('For stats end Y points'!$B17:O17))))))</f>
        <v>1</v>
      </c>
      <c r="P17" cm="1">
        <f t="array" aca="1" ref="P17" ca="1">SUMPRODUCT(LARGE('For stats end Y points'!$B17:P17,ROW(INDIRECT("1:"&amp;MIN(24,COUNT('For stats end Y points'!$B17:P17))))))</f>
        <v>1</v>
      </c>
      <c r="Q17" cm="1">
        <f t="array" aca="1" ref="Q17" ca="1">SUMPRODUCT(LARGE('For stats end Y points'!$B17:Q17,ROW(INDIRECT("1:"&amp;MIN(24,COUNT('For stats end Y points'!$B17:Q17))))))</f>
        <v>1</v>
      </c>
      <c r="R17" cm="1">
        <f t="array" aca="1" ref="R17" ca="1">SUMPRODUCT(LARGE('For stats end Y points'!$B17:R17,ROW(INDIRECT("1:"&amp;MIN(24,COUNT('For stats end Y points'!$B17:R17))))))</f>
        <v>1</v>
      </c>
      <c r="S17" cm="1">
        <f t="array" aca="1" ref="S17" ca="1">SUMPRODUCT(LARGE('For stats end Y points'!$B17:S17,ROW(INDIRECT("1:"&amp;MIN(24,COUNT('For stats end Y points'!$B17:S17))))))</f>
        <v>1</v>
      </c>
      <c r="T17" cm="1">
        <f t="array" aca="1" ref="T17" ca="1">SUMPRODUCT(LARGE('For stats end Y points'!$B17:T17,ROW(INDIRECT("1:"&amp;MIN(24,COUNT('For stats end Y points'!$B17:T17))))))</f>
        <v>1</v>
      </c>
      <c r="U17" cm="1">
        <f t="array" aca="1" ref="U17" ca="1">SUMPRODUCT(LARGE('For stats end Y points'!$B17:U17,ROW(INDIRECT("1:"&amp;MIN(24,COUNT('For stats end Y points'!$B17:U17))))))</f>
        <v>1</v>
      </c>
      <c r="V17" cm="1">
        <f t="array" aca="1" ref="V17" ca="1">SUMPRODUCT(LARGE('For stats end Y points'!$B17:V17,ROW(INDIRECT("1:"&amp;MIN(24,COUNT('For stats end Y points'!$B17:V17))))))</f>
        <v>1</v>
      </c>
      <c r="W17" cm="1">
        <f t="array" aca="1" ref="W17" ca="1">SUMPRODUCT(LARGE('For stats end Y points'!$B17:W17,ROW(INDIRECT("1:"&amp;MIN(24,COUNT('For stats end Y points'!$B17:W17))))))</f>
        <v>1</v>
      </c>
      <c r="X17" cm="1">
        <f t="array" aca="1" ref="X17" ca="1">SUMPRODUCT(LARGE('For stats end Y points'!$B17:X17,ROW(INDIRECT("1:"&amp;MIN(24,COUNT('For stats end Y points'!$B17:X17))))))</f>
        <v>1</v>
      </c>
      <c r="Y17" cm="1">
        <f t="array" aca="1" ref="Y17" ca="1">SUMPRODUCT(LARGE('For stats end Y points'!$B17:Y17,ROW(INDIRECT("1:"&amp;MIN(24,COUNT('For stats end Y points'!$B17:Y17))))))</f>
        <v>1</v>
      </c>
      <c r="Z17" cm="1">
        <f t="array" aca="1" ref="Z17" ca="1">SUMPRODUCT(LARGE('For stats end Y points'!$B17:Z17,ROW(INDIRECT("1:"&amp;MIN(24,COUNT('For stats end Y points'!$B17:Z17))))))</f>
        <v>1</v>
      </c>
      <c r="AA17" cm="1">
        <f t="array" aca="1" ref="AA17" ca="1">SUMPRODUCT(LARGE('For stats end Y points'!$B17:AA17,ROW(INDIRECT("1:"&amp;MIN(24,COUNT('For stats end Y points'!$B17:AA17))))))</f>
        <v>1</v>
      </c>
      <c r="AB17" cm="1">
        <f t="array" aca="1" ref="AB17" ca="1">SUMPRODUCT(LARGE('For stats end Y points'!$B17:AB17,ROW(INDIRECT("1:"&amp;MIN(24,COUNT('For stats end Y points'!$B17:AB17))))))</f>
        <v>1</v>
      </c>
      <c r="AC17" cm="1">
        <f t="array" aca="1" ref="AC17" ca="1">SUMPRODUCT(LARGE('For stats end Y points'!$B17:AC17,ROW(INDIRECT("1:"&amp;MIN(24,COUNT('For stats end Y points'!$B17:AC17))))))</f>
        <v>1</v>
      </c>
      <c r="AD17" cm="1">
        <f t="array" aca="1" ref="AD17" ca="1">SUMPRODUCT(LARGE('For stats end Y points'!$B17:AD17,ROW(INDIRECT("1:"&amp;MIN(24,COUNT('For stats end Y points'!$B17:AD17))))))</f>
        <v>1</v>
      </c>
      <c r="AE17" cm="1">
        <f t="array" aca="1" ref="AE17" ca="1">SUMPRODUCT(LARGE('For stats end Y points'!$B17:AE17,ROW(INDIRECT("1:"&amp;MIN(24,COUNT('For stats end Y points'!$B17:AE17))))))</f>
        <v>1</v>
      </c>
      <c r="AF17" cm="1">
        <f t="array" aca="1" ref="AF17" ca="1">SUMPRODUCT(LARGE('For stats end Y points'!$B17:AF17,ROW(INDIRECT("1:"&amp;MIN(24,COUNT('For stats end Y points'!$B17:AF17))))))</f>
        <v>1</v>
      </c>
      <c r="AG17" cm="1">
        <f t="array" aca="1" ref="AG17" ca="1">SUMPRODUCT(LARGE('For stats end Y points'!$B17:AG17,ROW(INDIRECT("1:"&amp;MIN(24,COUNT('For stats end Y points'!$B17:AG17))))))</f>
        <v>1</v>
      </c>
      <c r="AH17" cm="1">
        <f t="array" aca="1" ref="AH17" ca="1">SUMPRODUCT(LARGE('For stats end Y points'!$B17:AH17,ROW(INDIRECT("1:"&amp;MIN(24,COUNT('For stats end Y points'!$B17:AH17))))))</f>
        <v>1</v>
      </c>
      <c r="AP17" s="10">
        <f t="shared" si="0"/>
        <v>0</v>
      </c>
      <c r="AQ17">
        <f>'For stats end Y class'!AU17</f>
        <v>1</v>
      </c>
    </row>
    <row r="18" spans="1:43" x14ac:dyDescent="0.2">
      <c r="A18" t="str">
        <f>'For stats end Y points'!A18</f>
        <v>Comment2</v>
      </c>
      <c r="B18" cm="1">
        <f t="array" aca="1" ref="B18" ca="1">SUMPRODUCT(LARGE('For stats end Y points'!$B18:B18,ROW(INDIRECT("1:"&amp;MIN(24,COUNT('For stats end Y points'!$B18:B18))))))</f>
        <v>0</v>
      </c>
      <c r="C18" cm="1">
        <f t="array" aca="1" ref="C18" ca="1">SUMPRODUCT(LARGE('For stats end Y points'!$B18:C18,ROW(INDIRECT("1:"&amp;MIN(24,COUNT('For stats end Y points'!$B18:C18))))))</f>
        <v>9</v>
      </c>
      <c r="D18" cm="1">
        <f t="array" aca="1" ref="D18" ca="1">SUMPRODUCT(LARGE('For stats end Y points'!$B18:D18,ROW(INDIRECT("1:"&amp;MIN(24,COUNT('For stats end Y points'!$B18:D18))))))</f>
        <v>12</v>
      </c>
      <c r="E18" cm="1">
        <f t="array" aca="1" ref="E18" ca="1">SUMPRODUCT(LARGE('For stats end Y points'!$B18:E18,ROW(INDIRECT("1:"&amp;MIN(24,COUNT('For stats end Y points'!$B18:E18))))))</f>
        <v>12</v>
      </c>
      <c r="F18" cm="1">
        <f t="array" aca="1" ref="F18" ca="1">SUMPRODUCT(LARGE('For stats end Y points'!$B18:F18,ROW(INDIRECT("1:"&amp;MIN(24,COUNT('For stats end Y points'!$B18:F18))))))</f>
        <v>15</v>
      </c>
      <c r="G18" cm="1">
        <f t="array" aca="1" ref="G18" ca="1">SUMPRODUCT(LARGE('For stats end Y points'!$B18:G18,ROW(INDIRECT("1:"&amp;MIN(24,COUNT('For stats end Y points'!$B18:G18))))))</f>
        <v>27</v>
      </c>
      <c r="H18" cm="1">
        <f t="array" aca="1" ref="H18" ca="1">SUMPRODUCT(LARGE('For stats end Y points'!$B18:H18,ROW(INDIRECT("1:"&amp;MIN(24,COUNT('For stats end Y points'!$B18:H18))))))</f>
        <v>27</v>
      </c>
      <c r="I18" cm="1">
        <f t="array" aca="1" ref="I18" ca="1">SUMPRODUCT(LARGE('For stats end Y points'!$B18:I18,ROW(INDIRECT("1:"&amp;MIN(24,COUNT('For stats end Y points'!$B18:I18))))))</f>
        <v>31</v>
      </c>
      <c r="J18" cm="1">
        <f t="array" aca="1" ref="J18" ca="1">SUMPRODUCT(LARGE('For stats end Y points'!$B18:J18,ROW(INDIRECT("1:"&amp;MIN(24,COUNT('For stats end Y points'!$B18:J18))))))</f>
        <v>31</v>
      </c>
      <c r="K18" cm="1">
        <f t="array" aca="1" ref="K18" ca="1">SUMPRODUCT(LARGE('For stats end Y points'!$B18:K18,ROW(INDIRECT("1:"&amp;MIN(24,COUNT('For stats end Y points'!$B18:K18))))))</f>
        <v>32</v>
      </c>
      <c r="L18" cm="1">
        <f t="array" aca="1" ref="L18" ca="1">SUMPRODUCT(LARGE('For stats end Y points'!$B18:L18,ROW(INDIRECT("1:"&amp;MIN(24,COUNT('For stats end Y points'!$B18:L18))))))</f>
        <v>32</v>
      </c>
      <c r="M18" cm="1">
        <f t="array" aca="1" ref="M18" ca="1">SUMPRODUCT(LARGE('For stats end Y points'!$B18:M18,ROW(INDIRECT("1:"&amp;MIN(24,COUNT('For stats end Y points'!$B18:M18))))))</f>
        <v>34</v>
      </c>
      <c r="N18" cm="1">
        <f t="array" aca="1" ref="N18" ca="1">SUMPRODUCT(LARGE('For stats end Y points'!$B18:N18,ROW(INDIRECT("1:"&amp;MIN(24,COUNT('For stats end Y points'!$B18:N18))))))</f>
        <v>35</v>
      </c>
      <c r="O18" cm="1">
        <f t="array" aca="1" ref="O18" ca="1">SUMPRODUCT(LARGE('For stats end Y points'!$B18:O18,ROW(INDIRECT("1:"&amp;MIN(24,COUNT('For stats end Y points'!$B18:O18))))))</f>
        <v>37</v>
      </c>
      <c r="P18" cm="1">
        <f t="array" aca="1" ref="P18" ca="1">SUMPRODUCT(LARGE('For stats end Y points'!$B18:P18,ROW(INDIRECT("1:"&amp;MIN(24,COUNT('For stats end Y points'!$B18:P18))))))</f>
        <v>49</v>
      </c>
      <c r="Q18" cm="1">
        <f t="array" aca="1" ref="Q18" ca="1">SUMPRODUCT(LARGE('For stats end Y points'!$B18:Q18,ROW(INDIRECT("1:"&amp;MIN(24,COUNT('For stats end Y points'!$B18:Q18))))))</f>
        <v>49</v>
      </c>
      <c r="R18" cm="1">
        <f t="array" aca="1" ref="R18" ca="1">SUMPRODUCT(LARGE('For stats end Y points'!$B18:R18,ROW(INDIRECT("1:"&amp;MIN(24,COUNT('For stats end Y points'!$B18:R18))))))</f>
        <v>62</v>
      </c>
      <c r="S18" cm="1">
        <f t="array" aca="1" ref="S18" ca="1">SUMPRODUCT(LARGE('For stats end Y points'!$B18:S18,ROW(INDIRECT("1:"&amp;MIN(24,COUNT('For stats end Y points'!$B18:S18))))))</f>
        <v>65</v>
      </c>
      <c r="T18" cm="1">
        <f t="array" aca="1" ref="T18" ca="1">SUMPRODUCT(LARGE('For stats end Y points'!$B18:T18,ROW(INDIRECT("1:"&amp;MIN(24,COUNT('For stats end Y points'!$B18:T18))))))</f>
        <v>65</v>
      </c>
      <c r="U18" cm="1">
        <f t="array" aca="1" ref="U18" ca="1">SUMPRODUCT(LARGE('For stats end Y points'!$B18:U18,ROW(INDIRECT("1:"&amp;MIN(24,COUNT('For stats end Y points'!$B18:U18))))))</f>
        <v>65</v>
      </c>
      <c r="V18" cm="1">
        <f t="array" aca="1" ref="V18" ca="1">SUMPRODUCT(LARGE('For stats end Y points'!$B18:V18,ROW(INDIRECT("1:"&amp;MIN(24,COUNT('For stats end Y points'!$B18:V18))))))</f>
        <v>73</v>
      </c>
      <c r="W18" cm="1">
        <f t="array" aca="1" ref="W18" ca="1">SUMPRODUCT(LARGE('For stats end Y points'!$B18:W18,ROW(INDIRECT("1:"&amp;MIN(24,COUNT('For stats end Y points'!$B18:W18))))))</f>
        <v>73</v>
      </c>
      <c r="X18" cm="1">
        <f t="array" aca="1" ref="X18" ca="1">SUMPRODUCT(LARGE('For stats end Y points'!$B18:X18,ROW(INDIRECT("1:"&amp;MIN(24,COUNT('For stats end Y points'!$B18:X18))))))</f>
        <v>74</v>
      </c>
      <c r="Y18" cm="1">
        <f t="array" aca="1" ref="Y18" ca="1">SUMPRODUCT(LARGE('For stats end Y points'!$B18:Y18,ROW(INDIRECT("1:"&amp;MIN(24,COUNT('For stats end Y points'!$B18:Y18))))))</f>
        <v>75</v>
      </c>
      <c r="Z18" cm="1">
        <f t="array" aca="1" ref="Z18" ca="1">SUMPRODUCT(LARGE('For stats end Y points'!$B18:Z18,ROW(INDIRECT("1:"&amp;MIN(24,COUNT('For stats end Y points'!$B18:Z18))))))</f>
        <v>87</v>
      </c>
      <c r="AA18" cm="1">
        <f t="array" aca="1" ref="AA18" ca="1">SUMPRODUCT(LARGE('For stats end Y points'!$B18:AA18,ROW(INDIRECT("1:"&amp;MIN(24,COUNT('For stats end Y points'!$B18:AA18))))))</f>
        <v>95</v>
      </c>
      <c r="AB18" cm="1">
        <f t="array" aca="1" ref="AB18" ca="1">SUMPRODUCT(LARGE('For stats end Y points'!$B18:AB18,ROW(INDIRECT("1:"&amp;MIN(24,COUNT('For stats end Y points'!$B18:AB18))))))</f>
        <v>96</v>
      </c>
      <c r="AC18" cm="1">
        <f t="array" aca="1" ref="AC18" ca="1">SUMPRODUCT(LARGE('For stats end Y points'!$B18:AC18,ROW(INDIRECT("1:"&amp;MIN(24,COUNT('For stats end Y points'!$B18:AC18))))))</f>
        <v>97</v>
      </c>
      <c r="AD18" cm="1">
        <f t="array" aca="1" ref="AD18" ca="1">SUMPRODUCT(LARGE('For stats end Y points'!$B18:AD18,ROW(INDIRECT("1:"&amp;MIN(24,COUNT('For stats end Y points'!$B18:AD18))))))</f>
        <v>97</v>
      </c>
      <c r="AE18" cm="1">
        <f t="array" aca="1" ref="AE18" ca="1">SUMPRODUCT(LARGE('For stats end Y points'!$B18:AE18,ROW(INDIRECT("1:"&amp;MIN(24,COUNT('For stats end Y points'!$B18:AE18))))))</f>
        <v>97</v>
      </c>
      <c r="AF18" cm="1">
        <f t="array" aca="1" ref="AF18" ca="1">SUMPRODUCT(LARGE('For stats end Y points'!$B18:AF18,ROW(INDIRECT("1:"&amp;MIN(24,COUNT('For stats end Y points'!$B18:AF18))))))</f>
        <v>99</v>
      </c>
      <c r="AG18" cm="1">
        <f t="array" aca="1" ref="AG18" ca="1">SUMPRODUCT(LARGE('For stats end Y points'!$B18:AG18,ROW(INDIRECT("1:"&amp;MIN(24,COUNT('For stats end Y points'!$B18:AG18))))))</f>
        <v>111</v>
      </c>
      <c r="AH18" cm="1">
        <f t="array" aca="1" ref="AH18" ca="1">SUMPRODUCT(LARGE('For stats end Y points'!$B18:AH18,ROW(INDIRECT("1:"&amp;MIN(24,COUNT('For stats end Y points'!$B18:AH18))))))</f>
        <v>123</v>
      </c>
      <c r="AP18" s="10">
        <f t="shared" si="0"/>
        <v>0</v>
      </c>
      <c r="AQ18">
        <f>'For stats end Y class'!AU18</f>
        <v>22</v>
      </c>
    </row>
    <row r="19" spans="1:43" x14ac:dyDescent="0.2">
      <c r="A19" t="str">
        <f>'For stats end Y points'!A19</f>
        <v>Delgres</v>
      </c>
      <c r="B19" cm="1">
        <f t="array" aca="1" ref="B19" ca="1">SUMPRODUCT(LARGE('For stats end Y points'!$B19:B19,ROW(INDIRECT("1:"&amp;MIN(24,COUNT('For stats end Y points'!$B19:B19))))))</f>
        <v>0</v>
      </c>
      <c r="C19" cm="1">
        <f t="array" aca="1" ref="C19" ca="1">SUMPRODUCT(LARGE('For stats end Y points'!$B19:C19,ROW(INDIRECT("1:"&amp;MIN(24,COUNT('For stats end Y points'!$B19:C19))))))</f>
        <v>0</v>
      </c>
      <c r="D19" cm="1">
        <f t="array" aca="1" ref="D19" ca="1">SUMPRODUCT(LARGE('For stats end Y points'!$B19:D19,ROW(INDIRECT("1:"&amp;MIN(24,COUNT('For stats end Y points'!$B19:D19))))))</f>
        <v>0</v>
      </c>
      <c r="E19" cm="1">
        <f t="array" aca="1" ref="E19" ca="1">SUMPRODUCT(LARGE('For stats end Y points'!$B19:E19,ROW(INDIRECT("1:"&amp;MIN(24,COUNT('For stats end Y points'!$B19:E19))))))</f>
        <v>13</v>
      </c>
      <c r="F19" cm="1">
        <f t="array" aca="1" ref="F19" ca="1">SUMPRODUCT(LARGE('For stats end Y points'!$B19:F19,ROW(INDIRECT("1:"&amp;MIN(24,COUNT('For stats end Y points'!$B19:F19))))))</f>
        <v>22</v>
      </c>
      <c r="G19" cm="1">
        <f t="array" aca="1" ref="G19" ca="1">SUMPRODUCT(LARGE('For stats end Y points'!$B19:G19,ROW(INDIRECT("1:"&amp;MIN(24,COUNT('For stats end Y points'!$B19:G19))))))</f>
        <v>23</v>
      </c>
      <c r="H19" cm="1">
        <f t="array" aca="1" ref="H19" ca="1">SUMPRODUCT(LARGE('For stats end Y points'!$B19:H19,ROW(INDIRECT("1:"&amp;MIN(24,COUNT('For stats end Y points'!$B19:H19))))))</f>
        <v>24</v>
      </c>
      <c r="I19" cm="1">
        <f t="array" aca="1" ref="I19" ca="1">SUMPRODUCT(LARGE('For stats end Y points'!$B19:I19,ROW(INDIRECT("1:"&amp;MIN(24,COUNT('For stats end Y points'!$B19:I19))))))</f>
        <v>32</v>
      </c>
      <c r="J19" cm="1">
        <f t="array" aca="1" ref="J19" ca="1">SUMPRODUCT(LARGE('For stats end Y points'!$B19:J19,ROW(INDIRECT("1:"&amp;MIN(24,COUNT('For stats end Y points'!$B19:J19))))))</f>
        <v>36</v>
      </c>
      <c r="K19" cm="1">
        <f t="array" aca="1" ref="K19" ca="1">SUMPRODUCT(LARGE('For stats end Y points'!$B19:K19,ROW(INDIRECT("1:"&amp;MIN(24,COUNT('For stats end Y points'!$B19:K19))))))</f>
        <v>44</v>
      </c>
      <c r="L19" cm="1">
        <f t="array" aca="1" ref="L19" ca="1">SUMPRODUCT(LARGE('For stats end Y points'!$B19:L19,ROW(INDIRECT("1:"&amp;MIN(24,COUNT('For stats end Y points'!$B19:L19))))))</f>
        <v>60</v>
      </c>
      <c r="M19" cm="1">
        <f t="array" aca="1" ref="M19" ca="1">SUMPRODUCT(LARGE('For stats end Y points'!$B19:M19,ROW(INDIRECT("1:"&amp;MIN(24,COUNT('For stats end Y points'!$B19:M19))))))</f>
        <v>62</v>
      </c>
      <c r="N19" cm="1">
        <f t="array" aca="1" ref="N19" ca="1">SUMPRODUCT(LARGE('For stats end Y points'!$B19:N19,ROW(INDIRECT("1:"&amp;MIN(24,COUNT('For stats end Y points'!$B19:N19))))))</f>
        <v>71</v>
      </c>
      <c r="O19" cm="1">
        <f t="array" aca="1" ref="O19" ca="1">SUMPRODUCT(LARGE('For stats end Y points'!$B19:O19,ROW(INDIRECT("1:"&amp;MIN(24,COUNT('For stats end Y points'!$B19:O19))))))</f>
        <v>71</v>
      </c>
      <c r="P19" cm="1">
        <f t="array" aca="1" ref="P19" ca="1">SUMPRODUCT(LARGE('For stats end Y points'!$B19:P19,ROW(INDIRECT("1:"&amp;MIN(24,COUNT('For stats end Y points'!$B19:P19))))))</f>
        <v>80</v>
      </c>
      <c r="Q19" cm="1">
        <f t="array" aca="1" ref="Q19" ca="1">SUMPRODUCT(LARGE('For stats end Y points'!$B19:Q19,ROW(INDIRECT("1:"&amp;MIN(24,COUNT('For stats end Y points'!$B19:Q19))))))</f>
        <v>80</v>
      </c>
      <c r="R19" cm="1">
        <f t="array" aca="1" ref="R19" ca="1">SUMPRODUCT(LARGE('For stats end Y points'!$B19:R19,ROW(INDIRECT("1:"&amp;MIN(24,COUNT('For stats end Y points'!$B19:R19))))))</f>
        <v>89</v>
      </c>
      <c r="S19" cm="1">
        <f t="array" aca="1" ref="S19" ca="1">SUMPRODUCT(LARGE('For stats end Y points'!$B19:S19,ROW(INDIRECT("1:"&amp;MIN(24,COUNT('For stats end Y points'!$B19:S19))))))</f>
        <v>92</v>
      </c>
      <c r="T19" cm="1">
        <f t="array" aca="1" ref="T19" ca="1">SUMPRODUCT(LARGE('For stats end Y points'!$B19:T19,ROW(INDIRECT("1:"&amp;MIN(24,COUNT('For stats end Y points'!$B19:T19))))))</f>
        <v>93</v>
      </c>
      <c r="U19" cm="1">
        <f t="array" aca="1" ref="U19" ca="1">SUMPRODUCT(LARGE('For stats end Y points'!$B19:U19,ROW(INDIRECT("1:"&amp;MIN(24,COUNT('For stats end Y points'!$B19:U19))))))</f>
        <v>105</v>
      </c>
      <c r="V19" cm="1">
        <f t="array" aca="1" ref="V19" ca="1">SUMPRODUCT(LARGE('For stats end Y points'!$B19:V19,ROW(INDIRECT("1:"&amp;MIN(24,COUNT('For stats end Y points'!$B19:V19))))))</f>
        <v>109</v>
      </c>
      <c r="W19" cm="1">
        <f t="array" aca="1" ref="W19" ca="1">SUMPRODUCT(LARGE('For stats end Y points'!$B19:W19,ROW(INDIRECT("1:"&amp;MIN(24,COUNT('For stats end Y points'!$B19:W19))))))</f>
        <v>109</v>
      </c>
      <c r="X19" cm="1">
        <f t="array" aca="1" ref="X19" ca="1">SUMPRODUCT(LARGE('For stats end Y points'!$B19:X19,ROW(INDIRECT("1:"&amp;MIN(24,COUNT('For stats end Y points'!$B19:X19))))))</f>
        <v>111</v>
      </c>
      <c r="Y19" cm="1">
        <f t="array" aca="1" ref="Y19" ca="1">SUMPRODUCT(LARGE('For stats end Y points'!$B19:Y19,ROW(INDIRECT("1:"&amp;MIN(24,COUNT('For stats end Y points'!$B19:Y19))))))</f>
        <v>113</v>
      </c>
      <c r="Z19" cm="1">
        <f t="array" aca="1" ref="Z19" ca="1">SUMPRODUCT(LARGE('For stats end Y points'!$B19:Z19,ROW(INDIRECT("1:"&amp;MIN(24,COUNT('For stats end Y points'!$B19:Z19))))))</f>
        <v>116</v>
      </c>
      <c r="AA19" cm="1">
        <f t="array" aca="1" ref="AA19" ca="1">SUMPRODUCT(LARGE('For stats end Y points'!$B19:AA19,ROW(INDIRECT("1:"&amp;MIN(24,COUNT('For stats end Y points'!$B19:AA19))))))</f>
        <v>117</v>
      </c>
      <c r="AB19" cm="1">
        <f t="array" aca="1" ref="AB19" ca="1">SUMPRODUCT(LARGE('For stats end Y points'!$B19:AB19,ROW(INDIRECT("1:"&amp;MIN(24,COUNT('For stats end Y points'!$B19:AB19))))))</f>
        <v>118</v>
      </c>
      <c r="AC19" cm="1">
        <f t="array" aca="1" ref="AC19" ca="1">SUMPRODUCT(LARGE('For stats end Y points'!$B19:AC19,ROW(INDIRECT("1:"&amp;MIN(24,COUNT('For stats end Y points'!$B19:AC19))))))</f>
        <v>126</v>
      </c>
      <c r="AD19" cm="1">
        <f t="array" aca="1" ref="AD19" ca="1">SUMPRODUCT(LARGE('For stats end Y points'!$B19:AD19,ROW(INDIRECT("1:"&amp;MIN(24,COUNT('For stats end Y points'!$B19:AD19))))))</f>
        <v>126</v>
      </c>
      <c r="AE19" cm="1">
        <f t="array" aca="1" ref="AE19" ca="1">SUMPRODUCT(LARGE('For stats end Y points'!$B19:AE19,ROW(INDIRECT("1:"&amp;MIN(24,COUNT('For stats end Y points'!$B19:AE19))))))</f>
        <v>138</v>
      </c>
      <c r="AF19" cm="1">
        <f t="array" aca="1" ref="AF19" ca="1">SUMPRODUCT(LARGE('For stats end Y points'!$B19:AF19,ROW(INDIRECT("1:"&amp;MIN(24,COUNT('For stats end Y points'!$B19:AF19))))))</f>
        <v>139</v>
      </c>
      <c r="AG19" cm="1">
        <f t="array" aca="1" ref="AG19" ca="1">SUMPRODUCT(LARGE('For stats end Y points'!$B19:AG19,ROW(INDIRECT("1:"&amp;MIN(24,COUNT('For stats end Y points'!$B19:AG19))))))</f>
        <v>146</v>
      </c>
      <c r="AH19" cm="1">
        <f t="array" aca="1" ref="AH19" ca="1">SUMPRODUCT(LARGE('For stats end Y points'!$B19:AH19,ROW(INDIRECT("1:"&amp;MIN(24,COUNT('For stats end Y points'!$B19:AH19))))))</f>
        <v>157</v>
      </c>
      <c r="AP19" s="10">
        <f t="shared" si="0"/>
        <v>0</v>
      </c>
      <c r="AQ19">
        <f>'For stats end Y class'!AU19</f>
        <v>26</v>
      </c>
    </row>
    <row r="20" spans="1:43" x14ac:dyDescent="0.2">
      <c r="A20" t="str">
        <f>'For stats end Y points'!A20</f>
        <v>DernierPli</v>
      </c>
      <c r="B20" cm="1">
        <f t="array" aca="1" ref="B20" ca="1">SUMPRODUCT(LARGE('For stats end Y points'!$B20:B20,ROW(INDIRECT("1:"&amp;MIN(24,COUNT('For stats end Y points'!$B20:B20))))))</f>
        <v>12</v>
      </c>
      <c r="C20" cm="1">
        <f t="array" aca="1" ref="C20" ca="1">SUMPRODUCT(LARGE('For stats end Y points'!$B20:C20,ROW(INDIRECT("1:"&amp;MIN(24,COUNT('For stats end Y points'!$B20:C20))))))</f>
        <v>16</v>
      </c>
      <c r="D20" cm="1">
        <f t="array" aca="1" ref="D20" ca="1">SUMPRODUCT(LARGE('For stats end Y points'!$B20:D20,ROW(INDIRECT("1:"&amp;MIN(24,COUNT('For stats end Y points'!$B20:D20))))))</f>
        <v>29</v>
      </c>
      <c r="E20" cm="1">
        <f t="array" aca="1" ref="E20" ca="1">SUMPRODUCT(LARGE('For stats end Y points'!$B20:E20,ROW(INDIRECT("1:"&amp;MIN(24,COUNT('For stats end Y points'!$B20:E20))))))</f>
        <v>46</v>
      </c>
      <c r="F20" cm="1">
        <f t="array" aca="1" ref="F20" ca="1">SUMPRODUCT(LARGE('For stats end Y points'!$B20:F20,ROW(INDIRECT("1:"&amp;MIN(24,COUNT('For stats end Y points'!$B20:F20))))))</f>
        <v>46</v>
      </c>
      <c r="G20" cm="1">
        <f t="array" aca="1" ref="G20" ca="1">SUMPRODUCT(LARGE('For stats end Y points'!$B20:G20,ROW(INDIRECT("1:"&amp;MIN(24,COUNT('For stats end Y points'!$B20:G20))))))</f>
        <v>49</v>
      </c>
      <c r="H20" cm="1">
        <f t="array" aca="1" ref="H20" ca="1">SUMPRODUCT(LARGE('For stats end Y points'!$B20:H20,ROW(INDIRECT("1:"&amp;MIN(24,COUNT('For stats end Y points'!$B20:H20))))))</f>
        <v>65</v>
      </c>
      <c r="I20" cm="1">
        <f t="array" aca="1" ref="I20" ca="1">SUMPRODUCT(LARGE('For stats end Y points'!$B20:I20,ROW(INDIRECT("1:"&amp;MIN(24,COUNT('For stats end Y points'!$B20:I20))))))</f>
        <v>68</v>
      </c>
      <c r="J20" cm="1">
        <f t="array" aca="1" ref="J20" ca="1">SUMPRODUCT(LARGE('For stats end Y points'!$B20:J20,ROW(INDIRECT("1:"&amp;MIN(24,COUNT('For stats end Y points'!$B20:J20))))))</f>
        <v>80</v>
      </c>
      <c r="K20" cm="1">
        <f t="array" aca="1" ref="K20" ca="1">SUMPRODUCT(LARGE('For stats end Y points'!$B20:K20,ROW(INDIRECT("1:"&amp;MIN(24,COUNT('For stats end Y points'!$B20:K20))))))</f>
        <v>83</v>
      </c>
      <c r="L20" cm="1">
        <f t="array" aca="1" ref="L20" ca="1">SUMPRODUCT(LARGE('For stats end Y points'!$B20:L20,ROW(INDIRECT("1:"&amp;MIN(24,COUNT('For stats end Y points'!$B20:L20))))))</f>
        <v>91</v>
      </c>
      <c r="M20" cm="1">
        <f t="array" aca="1" ref="M20" ca="1">SUMPRODUCT(LARGE('For stats end Y points'!$B20:M20,ROW(INDIRECT("1:"&amp;MIN(24,COUNT('For stats end Y points'!$B20:M20))))))</f>
        <v>107</v>
      </c>
      <c r="N20" cm="1">
        <f t="array" aca="1" ref="N20" ca="1">SUMPRODUCT(LARGE('For stats end Y points'!$B20:N20,ROW(INDIRECT("1:"&amp;MIN(24,COUNT('For stats end Y points'!$B20:N20))))))</f>
        <v>107</v>
      </c>
      <c r="O20" cm="1">
        <f t="array" aca="1" ref="O20" ca="1">SUMPRODUCT(LARGE('For stats end Y points'!$B20:O20,ROW(INDIRECT("1:"&amp;MIN(24,COUNT('For stats end Y points'!$B20:O20))))))</f>
        <v>112</v>
      </c>
      <c r="P20" cm="1">
        <f t="array" aca="1" ref="P20" ca="1">SUMPRODUCT(LARGE('For stats end Y points'!$B20:P20,ROW(INDIRECT("1:"&amp;MIN(24,COUNT('For stats end Y points'!$B20:P20))))))</f>
        <v>120</v>
      </c>
      <c r="Q20" cm="1">
        <f t="array" aca="1" ref="Q20" ca="1">SUMPRODUCT(LARGE('For stats end Y points'!$B20:Q20,ROW(INDIRECT("1:"&amp;MIN(24,COUNT('For stats end Y points'!$B20:Q20))))))</f>
        <v>129</v>
      </c>
      <c r="R20" cm="1">
        <f t="array" aca="1" ref="R20" ca="1">SUMPRODUCT(LARGE('For stats end Y points'!$B20:R20,ROW(INDIRECT("1:"&amp;MIN(24,COUNT('For stats end Y points'!$B20:R20))))))</f>
        <v>142</v>
      </c>
      <c r="S20" cm="1">
        <f t="array" aca="1" ref="S20" ca="1">SUMPRODUCT(LARGE('For stats end Y points'!$B20:S20,ROW(INDIRECT("1:"&amp;MIN(24,COUNT('For stats end Y points'!$B20:S20))))))</f>
        <v>147</v>
      </c>
      <c r="T20" cm="1">
        <f t="array" aca="1" ref="T20" ca="1">SUMPRODUCT(LARGE('For stats end Y points'!$B20:T20,ROW(INDIRECT("1:"&amp;MIN(24,COUNT('For stats end Y points'!$B20:T20))))))</f>
        <v>149</v>
      </c>
      <c r="U20" cm="1">
        <f t="array" aca="1" ref="U20" ca="1">SUMPRODUCT(LARGE('For stats end Y points'!$B20:U20,ROW(INDIRECT("1:"&amp;MIN(24,COUNT('For stats end Y points'!$B20:U20))))))</f>
        <v>149</v>
      </c>
      <c r="V20" cm="1">
        <f t="array" aca="1" ref="V20" ca="1">SUMPRODUCT(LARGE('For stats end Y points'!$B20:V20,ROW(INDIRECT("1:"&amp;MIN(24,COUNT('For stats end Y points'!$B20:V20))))))</f>
        <v>149</v>
      </c>
      <c r="W20" cm="1">
        <f t="array" aca="1" ref="W20" ca="1">SUMPRODUCT(LARGE('For stats end Y points'!$B20:W20,ROW(INDIRECT("1:"&amp;MIN(24,COUNT('For stats end Y points'!$B20:W20))))))</f>
        <v>166</v>
      </c>
      <c r="X20" cm="1">
        <f t="array" aca="1" ref="X20" ca="1">SUMPRODUCT(LARGE('For stats end Y points'!$B20:X20,ROW(INDIRECT("1:"&amp;MIN(24,COUNT('For stats end Y points'!$B20:X20))))))</f>
        <v>183</v>
      </c>
      <c r="Y20" cm="1">
        <f t="array" aca="1" ref="Y20" ca="1">SUMPRODUCT(LARGE('For stats end Y points'!$B20:Y20,ROW(INDIRECT("1:"&amp;MIN(24,COUNT('For stats end Y points'!$B20:Y20))))))</f>
        <v>192</v>
      </c>
      <c r="Z20" cm="1">
        <f t="array" aca="1" ref="Z20" ca="1">SUMPRODUCT(LARGE('For stats end Y points'!$B20:Z20,ROW(INDIRECT("1:"&amp;MIN(24,COUNT('For stats end Y points'!$B20:Z20))))))</f>
        <v>197</v>
      </c>
      <c r="AA20" cm="1">
        <f t="array" aca="1" ref="AA20" ca="1">SUMPRODUCT(LARGE('For stats end Y points'!$B20:AA20,ROW(INDIRECT("1:"&amp;MIN(24,COUNT('For stats end Y points'!$B20:AA20))))))</f>
        <v>209</v>
      </c>
      <c r="AB20" cm="1">
        <f t="array" aca="1" ref="AB20" ca="1">SUMPRODUCT(LARGE('For stats end Y points'!$B20:AB20,ROW(INDIRECT("1:"&amp;MIN(24,COUNT('For stats end Y points'!$B20:AB20))))))</f>
        <v>209</v>
      </c>
      <c r="AC20" cm="1">
        <f t="array" aca="1" ref="AC20" ca="1">SUMPRODUCT(LARGE('For stats end Y points'!$B20:AC20,ROW(INDIRECT("1:"&amp;MIN(24,COUNT('For stats end Y points'!$B20:AC20))))))</f>
        <v>211</v>
      </c>
      <c r="AD20" cm="1">
        <f t="array" aca="1" ref="AD20" ca="1">SUMPRODUCT(LARGE('For stats end Y points'!$B20:AD20,ROW(INDIRECT("1:"&amp;MIN(24,COUNT('For stats end Y points'!$B20:AD20))))))</f>
        <v>227</v>
      </c>
      <c r="AE20" cm="1">
        <f t="array" aca="1" ref="AE20" ca="1">SUMPRODUCT(LARGE('For stats end Y points'!$B20:AE20,ROW(INDIRECT("1:"&amp;MIN(24,COUNT('For stats end Y points'!$B20:AE20))))))</f>
        <v>234</v>
      </c>
      <c r="AF20" cm="1">
        <f t="array" aca="1" ref="AF20" ca="1">SUMPRODUCT(LARGE('For stats end Y points'!$B20:AF20,ROW(INDIRECT("1:"&amp;MIN(24,COUNT('For stats end Y points'!$B20:AF20))))))</f>
        <v>244</v>
      </c>
      <c r="AG20" cm="1">
        <f t="array" aca="1" ref="AG20" ca="1">SUMPRODUCT(LARGE('For stats end Y points'!$B20:AG20,ROW(INDIRECT("1:"&amp;MIN(24,COUNT('For stats end Y points'!$B20:AG20))))))</f>
        <v>245</v>
      </c>
      <c r="AH20" cm="1">
        <f t="array" aca="1" ref="AH20" ca="1">SUMPRODUCT(LARGE('For stats end Y points'!$B20:AH20,ROW(INDIRECT("1:"&amp;MIN(24,COUNT('For stats end Y points'!$B20:AH20))))))</f>
        <v>250</v>
      </c>
      <c r="AP20" s="10">
        <f t="shared" si="0"/>
        <v>0</v>
      </c>
      <c r="AQ20">
        <f>'For stats end Y class'!AU20</f>
        <v>28</v>
      </c>
    </row>
    <row r="21" spans="1:43" x14ac:dyDescent="0.2">
      <c r="A21" t="str">
        <f>'For stats end Y points'!A21</f>
        <v>Djecus</v>
      </c>
      <c r="B21" cm="1">
        <f t="array" aca="1" ref="B21" ca="1">SUMPRODUCT(LARGE('For stats end Y points'!$B21:B21,ROW(INDIRECT("1:"&amp;MIN(24,COUNT('For stats end Y points'!$B21:B21))))))</f>
        <v>4</v>
      </c>
      <c r="C21" cm="1">
        <f t="array" aca="1" ref="C21" ca="1">SUMPRODUCT(LARGE('For stats end Y points'!$B21:C21,ROW(INDIRECT("1:"&amp;MIN(24,COUNT('For stats end Y points'!$B21:C21))))))</f>
        <v>5</v>
      </c>
      <c r="D21" cm="1">
        <f t="array" aca="1" ref="D21" ca="1">SUMPRODUCT(LARGE('For stats end Y points'!$B21:D21,ROW(INDIRECT("1:"&amp;MIN(24,COUNT('For stats end Y points'!$B21:D21))))))</f>
        <v>14</v>
      </c>
      <c r="E21" cm="1">
        <f t="array" aca="1" ref="E21" ca="1">SUMPRODUCT(LARGE('For stats end Y points'!$B21:E21,ROW(INDIRECT("1:"&amp;MIN(24,COUNT('For stats end Y points'!$B21:E21))))))</f>
        <v>31</v>
      </c>
      <c r="F21" cm="1">
        <f t="array" aca="1" ref="F21" ca="1">SUMPRODUCT(LARGE('For stats end Y points'!$B21:F21,ROW(INDIRECT("1:"&amp;MIN(24,COUNT('For stats end Y points'!$B21:F21))))))</f>
        <v>44</v>
      </c>
      <c r="G21" cm="1">
        <f t="array" aca="1" ref="G21" ca="1">SUMPRODUCT(LARGE('For stats end Y points'!$B21:G21,ROW(INDIRECT("1:"&amp;MIN(24,COUNT('For stats end Y points'!$B21:G21))))))</f>
        <v>52</v>
      </c>
      <c r="H21" cm="1">
        <f t="array" aca="1" ref="H21" ca="1">SUMPRODUCT(LARGE('For stats end Y points'!$B21:H21,ROW(INDIRECT("1:"&amp;MIN(24,COUNT('For stats end Y points'!$B21:H21))))))</f>
        <v>52</v>
      </c>
      <c r="I21" cm="1">
        <f t="array" aca="1" ref="I21" ca="1">SUMPRODUCT(LARGE('For stats end Y points'!$B21:I21,ROW(INDIRECT("1:"&amp;MIN(24,COUNT('For stats end Y points'!$B21:I21))))))</f>
        <v>52</v>
      </c>
      <c r="J21" cm="1">
        <f t="array" aca="1" ref="J21" ca="1">SUMPRODUCT(LARGE('For stats end Y points'!$B21:J21,ROW(INDIRECT("1:"&amp;MIN(24,COUNT('For stats end Y points'!$B21:J21))))))</f>
        <v>56</v>
      </c>
      <c r="K21" cm="1">
        <f t="array" aca="1" ref="K21" ca="1">SUMPRODUCT(LARGE('For stats end Y points'!$B21:K21,ROW(INDIRECT("1:"&amp;MIN(24,COUNT('For stats end Y points'!$B21:K21))))))</f>
        <v>63</v>
      </c>
      <c r="L21" cm="1">
        <f t="array" aca="1" ref="L21" ca="1">SUMPRODUCT(LARGE('For stats end Y points'!$B21:L21,ROW(INDIRECT("1:"&amp;MIN(24,COUNT('For stats end Y points'!$B21:L21))))))</f>
        <v>66</v>
      </c>
      <c r="M21" cm="1">
        <f t="array" aca="1" ref="M21" ca="1">SUMPRODUCT(LARGE('For stats end Y points'!$B21:M21,ROW(INDIRECT("1:"&amp;MIN(24,COUNT('For stats end Y points'!$B21:M21))))))</f>
        <v>67</v>
      </c>
      <c r="N21" cm="1">
        <f t="array" aca="1" ref="N21" ca="1">SUMPRODUCT(LARGE('For stats end Y points'!$B21:N21,ROW(INDIRECT("1:"&amp;MIN(24,COUNT('For stats end Y points'!$B21:N21))))))</f>
        <v>72</v>
      </c>
      <c r="O21" cm="1">
        <f t="array" aca="1" ref="O21" ca="1">SUMPRODUCT(LARGE('For stats end Y points'!$B21:O21,ROW(INDIRECT("1:"&amp;MIN(24,COUNT('For stats end Y points'!$B21:O21))))))</f>
        <v>85</v>
      </c>
      <c r="P21" cm="1">
        <f t="array" aca="1" ref="P21" ca="1">SUMPRODUCT(LARGE('For stats end Y points'!$B21:P21,ROW(INDIRECT("1:"&amp;MIN(24,COUNT('For stats end Y points'!$B21:P21))))))</f>
        <v>101</v>
      </c>
      <c r="Q21" cm="1">
        <f t="array" aca="1" ref="Q21" ca="1">SUMPRODUCT(LARGE('For stats end Y points'!$B21:Q21,ROW(INDIRECT("1:"&amp;MIN(24,COUNT('For stats end Y points'!$B21:Q21))))))</f>
        <v>118</v>
      </c>
      <c r="R21" cm="1">
        <f t="array" aca="1" ref="R21" ca="1">SUMPRODUCT(LARGE('For stats end Y points'!$B21:R21,ROW(INDIRECT("1:"&amp;MIN(24,COUNT('For stats end Y points'!$B21:R21))))))</f>
        <v>127</v>
      </c>
      <c r="S21" cm="1">
        <f t="array" aca="1" ref="S21" ca="1">SUMPRODUCT(LARGE('For stats end Y points'!$B21:S21,ROW(INDIRECT("1:"&amp;MIN(24,COUNT('For stats end Y points'!$B21:S21))))))</f>
        <v>132</v>
      </c>
      <c r="T21" cm="1">
        <f t="array" aca="1" ref="T21" ca="1">SUMPRODUCT(LARGE('For stats end Y points'!$B21:T21,ROW(INDIRECT("1:"&amp;MIN(24,COUNT('For stats end Y points'!$B21:T21))))))</f>
        <v>144</v>
      </c>
      <c r="U21" cm="1">
        <f t="array" aca="1" ref="U21" ca="1">SUMPRODUCT(LARGE('For stats end Y points'!$B21:U21,ROW(INDIRECT("1:"&amp;MIN(24,COUNT('For stats end Y points'!$B21:U21))))))</f>
        <v>144</v>
      </c>
      <c r="V21" cm="1">
        <f t="array" aca="1" ref="V21" ca="1">SUMPRODUCT(LARGE('For stats end Y points'!$B21:V21,ROW(INDIRECT("1:"&amp;MIN(24,COUNT('For stats end Y points'!$B21:V21))))))</f>
        <v>161</v>
      </c>
      <c r="W21" cm="1">
        <f t="array" aca="1" ref="W21" ca="1">SUMPRODUCT(LARGE('For stats end Y points'!$B21:W21,ROW(INDIRECT("1:"&amp;MIN(24,COUNT('For stats end Y points'!$B21:W21))))))</f>
        <v>166</v>
      </c>
      <c r="X21" cm="1">
        <f t="array" aca="1" ref="X21" ca="1">SUMPRODUCT(LARGE('For stats end Y points'!$B21:X21,ROW(INDIRECT("1:"&amp;MIN(24,COUNT('For stats end Y points'!$B21:X21))))))</f>
        <v>175</v>
      </c>
      <c r="Y21" cm="1">
        <f t="array" aca="1" ref="Y21" ca="1">SUMPRODUCT(LARGE('For stats end Y points'!$B21:Y21,ROW(INDIRECT("1:"&amp;MIN(24,COUNT('For stats end Y points'!$B21:Y21))))))</f>
        <v>175</v>
      </c>
      <c r="Z21" cm="1">
        <f t="array" aca="1" ref="Z21" ca="1">SUMPRODUCT(LARGE('For stats end Y points'!$B21:Z21,ROW(INDIRECT("1:"&amp;MIN(24,COUNT('For stats end Y points'!$B21:Z21))))))</f>
        <v>187</v>
      </c>
      <c r="AA21" cm="1">
        <f t="array" aca="1" ref="AA21" ca="1">SUMPRODUCT(LARGE('For stats end Y points'!$B21:AA21,ROW(INDIRECT("1:"&amp;MIN(24,COUNT('For stats end Y points'!$B21:AA21))))))</f>
        <v>195</v>
      </c>
      <c r="AB21" cm="1">
        <f t="array" aca="1" ref="AB21" ca="1">SUMPRODUCT(LARGE('For stats end Y points'!$B21:AB21,ROW(INDIRECT("1:"&amp;MIN(24,COUNT('For stats end Y points'!$B21:AB21))))))</f>
        <v>207</v>
      </c>
      <c r="AC21" cm="1">
        <f t="array" aca="1" ref="AC21" ca="1">SUMPRODUCT(LARGE('For stats end Y points'!$B21:AC21,ROW(INDIRECT("1:"&amp;MIN(24,COUNT('For stats end Y points'!$B21:AC21))))))</f>
        <v>223</v>
      </c>
      <c r="AD21" cm="1">
        <f t="array" aca="1" ref="AD21" ca="1">SUMPRODUCT(LARGE('For stats end Y points'!$B21:AD21,ROW(INDIRECT("1:"&amp;MIN(24,COUNT('For stats end Y points'!$B21:AD21))))))</f>
        <v>223</v>
      </c>
      <c r="AE21" cm="1">
        <f t="array" aca="1" ref="AE21" ca="1">SUMPRODUCT(LARGE('For stats end Y points'!$B21:AE21,ROW(INDIRECT("1:"&amp;MIN(24,COUNT('For stats end Y points'!$B21:AE21))))))</f>
        <v>223</v>
      </c>
      <c r="AF21" cm="1">
        <f t="array" aca="1" ref="AF21" ca="1">SUMPRODUCT(LARGE('For stats end Y points'!$B21:AF21,ROW(INDIRECT("1:"&amp;MIN(24,COUNT('For stats end Y points'!$B21:AF21))))))</f>
        <v>231</v>
      </c>
      <c r="AG21" cm="1">
        <f t="array" aca="1" ref="AG21" ca="1">SUMPRODUCT(LARGE('For stats end Y points'!$B21:AG21,ROW(INDIRECT("1:"&amp;MIN(24,COUNT('For stats end Y points'!$B21:AG21))))))</f>
        <v>231</v>
      </c>
      <c r="AH21" cm="1">
        <f t="array" aca="1" ref="AH21" ca="1">SUMPRODUCT(LARGE('For stats end Y points'!$B21:AH21,ROW(INDIRECT("1:"&amp;MIN(24,COUNT('For stats end Y points'!$B21:AH21))))))</f>
        <v>234</v>
      </c>
      <c r="AP21" s="10">
        <f t="shared" si="0"/>
        <v>0</v>
      </c>
      <c r="AQ21">
        <f>'For stats end Y class'!AU21</f>
        <v>26</v>
      </c>
    </row>
    <row r="22" spans="1:43" x14ac:dyDescent="0.2">
      <c r="A22" t="str">
        <f>'For stats end Y points'!A22</f>
        <v>djip92</v>
      </c>
      <c r="B22" cm="1">
        <f t="array" aca="1" ref="B22" ca="1">SUMPRODUCT(LARGE('For stats end Y points'!$B22:B22,ROW(INDIRECT("1:"&amp;MIN(24,COUNT('For stats end Y points'!$B22:B22))))))</f>
        <v>4</v>
      </c>
      <c r="C22" cm="1">
        <f t="array" aca="1" ref="C22" ca="1">SUMPRODUCT(LARGE('For stats end Y points'!$B22:C22,ROW(INDIRECT("1:"&amp;MIN(24,COUNT('For stats end Y points'!$B22:C22))))))</f>
        <v>4</v>
      </c>
      <c r="D22" cm="1">
        <f t="array" aca="1" ref="D22" ca="1">SUMPRODUCT(LARGE('For stats end Y points'!$B22:D22,ROW(INDIRECT("1:"&amp;MIN(24,COUNT('For stats end Y points'!$B22:D22))))))</f>
        <v>4</v>
      </c>
      <c r="E22" cm="1">
        <f t="array" aca="1" ref="E22" ca="1">SUMPRODUCT(LARGE('For stats end Y points'!$B22:E22,ROW(INDIRECT("1:"&amp;MIN(24,COUNT('For stats end Y points'!$B22:E22))))))</f>
        <v>4</v>
      </c>
      <c r="F22" cm="1">
        <f t="array" aca="1" ref="F22" ca="1">SUMPRODUCT(LARGE('For stats end Y points'!$B22:F22,ROW(INDIRECT("1:"&amp;MIN(24,COUNT('For stats end Y points'!$B22:F22))))))</f>
        <v>4</v>
      </c>
      <c r="G22" cm="1">
        <f t="array" aca="1" ref="G22" ca="1">SUMPRODUCT(LARGE('For stats end Y points'!$B22:G22,ROW(INDIRECT("1:"&amp;MIN(24,COUNT('For stats end Y points'!$B22:G22))))))</f>
        <v>4</v>
      </c>
      <c r="H22" cm="1">
        <f t="array" aca="1" ref="H22" ca="1">SUMPRODUCT(LARGE('For stats end Y points'!$B22:H22,ROW(INDIRECT("1:"&amp;MIN(24,COUNT('For stats end Y points'!$B22:H22))))))</f>
        <v>4</v>
      </c>
      <c r="I22" cm="1">
        <f t="array" aca="1" ref="I22" ca="1">SUMPRODUCT(LARGE('For stats end Y points'!$B22:I22,ROW(INDIRECT("1:"&amp;MIN(24,COUNT('For stats end Y points'!$B22:I22))))))</f>
        <v>4</v>
      </c>
      <c r="J22" cm="1">
        <f t="array" aca="1" ref="J22" ca="1">SUMPRODUCT(LARGE('For stats end Y points'!$B22:J22,ROW(INDIRECT("1:"&amp;MIN(24,COUNT('For stats end Y points'!$B22:J22))))))</f>
        <v>4</v>
      </c>
      <c r="K22" cm="1">
        <f t="array" aca="1" ref="K22" ca="1">SUMPRODUCT(LARGE('For stats end Y points'!$B22:K22,ROW(INDIRECT("1:"&amp;MIN(24,COUNT('For stats end Y points'!$B22:K22))))))</f>
        <v>4</v>
      </c>
      <c r="L22" cm="1">
        <f t="array" aca="1" ref="L22" ca="1">SUMPRODUCT(LARGE('For stats end Y points'!$B22:L22,ROW(INDIRECT("1:"&amp;MIN(24,COUNT('For stats end Y points'!$B22:L22))))))</f>
        <v>4</v>
      </c>
      <c r="M22" cm="1">
        <f t="array" aca="1" ref="M22" ca="1">SUMPRODUCT(LARGE('For stats end Y points'!$B22:M22,ROW(INDIRECT("1:"&amp;MIN(24,COUNT('For stats end Y points'!$B22:M22))))))</f>
        <v>4</v>
      </c>
      <c r="N22" cm="1">
        <f t="array" aca="1" ref="N22" ca="1">SUMPRODUCT(LARGE('For stats end Y points'!$B22:N22,ROW(INDIRECT("1:"&amp;MIN(24,COUNT('For stats end Y points'!$B22:N22))))))</f>
        <v>4</v>
      </c>
      <c r="O22" cm="1">
        <f t="array" aca="1" ref="O22" ca="1">SUMPRODUCT(LARGE('For stats end Y points'!$B22:O22,ROW(INDIRECT("1:"&amp;MIN(24,COUNT('For stats end Y points'!$B22:O22))))))</f>
        <v>4</v>
      </c>
      <c r="P22" cm="1">
        <f t="array" aca="1" ref="P22" ca="1">SUMPRODUCT(LARGE('For stats end Y points'!$B22:P22,ROW(INDIRECT("1:"&amp;MIN(24,COUNT('For stats end Y points'!$B22:P22))))))</f>
        <v>4</v>
      </c>
      <c r="Q22" cm="1">
        <f t="array" aca="1" ref="Q22" ca="1">SUMPRODUCT(LARGE('For stats end Y points'!$B22:Q22,ROW(INDIRECT("1:"&amp;MIN(24,COUNT('For stats end Y points'!$B22:Q22))))))</f>
        <v>4</v>
      </c>
      <c r="R22" cm="1">
        <f t="array" aca="1" ref="R22" ca="1">SUMPRODUCT(LARGE('For stats end Y points'!$B22:R22,ROW(INDIRECT("1:"&amp;MIN(24,COUNT('For stats end Y points'!$B22:R22))))))</f>
        <v>4</v>
      </c>
      <c r="S22" cm="1">
        <f t="array" aca="1" ref="S22" ca="1">SUMPRODUCT(LARGE('For stats end Y points'!$B22:S22,ROW(INDIRECT("1:"&amp;MIN(24,COUNT('For stats end Y points'!$B22:S22))))))</f>
        <v>4</v>
      </c>
      <c r="T22" cm="1">
        <f t="array" aca="1" ref="T22" ca="1">SUMPRODUCT(LARGE('For stats end Y points'!$B22:T22,ROW(INDIRECT("1:"&amp;MIN(24,COUNT('For stats end Y points'!$B22:T22))))))</f>
        <v>4</v>
      </c>
      <c r="U22" cm="1">
        <f t="array" aca="1" ref="U22" ca="1">SUMPRODUCT(LARGE('For stats end Y points'!$B22:U22,ROW(INDIRECT("1:"&amp;MIN(24,COUNT('For stats end Y points'!$B22:U22))))))</f>
        <v>4</v>
      </c>
      <c r="V22" cm="1">
        <f t="array" aca="1" ref="V22" ca="1">SUMPRODUCT(LARGE('For stats end Y points'!$B22:V22,ROW(INDIRECT("1:"&amp;MIN(24,COUNT('For stats end Y points'!$B22:V22))))))</f>
        <v>4</v>
      </c>
      <c r="W22" cm="1">
        <f t="array" aca="1" ref="W22" ca="1">SUMPRODUCT(LARGE('For stats end Y points'!$B22:W22,ROW(INDIRECT("1:"&amp;MIN(24,COUNT('For stats end Y points'!$B22:W22))))))</f>
        <v>4</v>
      </c>
      <c r="X22" cm="1">
        <f t="array" aca="1" ref="X22" ca="1">SUMPRODUCT(LARGE('For stats end Y points'!$B22:X22,ROW(INDIRECT("1:"&amp;MIN(24,COUNT('For stats end Y points'!$B22:X22))))))</f>
        <v>4</v>
      </c>
      <c r="Y22" cm="1">
        <f t="array" aca="1" ref="Y22" ca="1">SUMPRODUCT(LARGE('For stats end Y points'!$B22:Y22,ROW(INDIRECT("1:"&amp;MIN(24,COUNT('For stats end Y points'!$B22:Y22))))))</f>
        <v>4</v>
      </c>
      <c r="Z22" cm="1">
        <f t="array" aca="1" ref="Z22" ca="1">SUMPRODUCT(LARGE('For stats end Y points'!$B22:Z22,ROW(INDIRECT("1:"&amp;MIN(24,COUNT('For stats end Y points'!$B22:Z22))))))</f>
        <v>4</v>
      </c>
      <c r="AA22" cm="1">
        <f t="array" aca="1" ref="AA22" ca="1">SUMPRODUCT(LARGE('For stats end Y points'!$B22:AA22,ROW(INDIRECT("1:"&amp;MIN(24,COUNT('For stats end Y points'!$B22:AA22))))))</f>
        <v>4</v>
      </c>
      <c r="AB22" cm="1">
        <f t="array" aca="1" ref="AB22" ca="1">SUMPRODUCT(LARGE('For stats end Y points'!$B22:AB22,ROW(INDIRECT("1:"&amp;MIN(24,COUNT('For stats end Y points'!$B22:AB22))))))</f>
        <v>4</v>
      </c>
      <c r="AC22" cm="1">
        <f t="array" aca="1" ref="AC22" ca="1">SUMPRODUCT(LARGE('For stats end Y points'!$B22:AC22,ROW(INDIRECT("1:"&amp;MIN(24,COUNT('For stats end Y points'!$B22:AC22))))))</f>
        <v>4</v>
      </c>
      <c r="AD22" cm="1">
        <f t="array" aca="1" ref="AD22" ca="1">SUMPRODUCT(LARGE('For stats end Y points'!$B22:AD22,ROW(INDIRECT("1:"&amp;MIN(24,COUNT('For stats end Y points'!$B22:AD22))))))</f>
        <v>4</v>
      </c>
      <c r="AE22" cm="1">
        <f t="array" aca="1" ref="AE22" ca="1">SUMPRODUCT(LARGE('For stats end Y points'!$B22:AE22,ROW(INDIRECT("1:"&amp;MIN(24,COUNT('For stats end Y points'!$B22:AE22))))))</f>
        <v>4</v>
      </c>
      <c r="AF22" cm="1">
        <f t="array" aca="1" ref="AF22" ca="1">SUMPRODUCT(LARGE('For stats end Y points'!$B22:AF22,ROW(INDIRECT("1:"&amp;MIN(24,COUNT('For stats end Y points'!$B22:AF22))))))</f>
        <v>4</v>
      </c>
      <c r="AG22" cm="1">
        <f t="array" aca="1" ref="AG22" ca="1">SUMPRODUCT(LARGE('For stats end Y points'!$B22:AG22,ROW(INDIRECT("1:"&amp;MIN(24,COUNT('For stats end Y points'!$B22:AG22))))))</f>
        <v>4</v>
      </c>
      <c r="AH22" cm="1">
        <f t="array" aca="1" ref="AH22" ca="1">SUMPRODUCT(LARGE('For stats end Y points'!$B22:AH22,ROW(INDIRECT("1:"&amp;MIN(24,COUNT('For stats end Y points'!$B22:AH22))))))</f>
        <v>4</v>
      </c>
      <c r="AP22" s="10">
        <f t="shared" si="0"/>
        <v>0</v>
      </c>
      <c r="AQ22">
        <f>'For stats end Y class'!AU22</f>
        <v>1</v>
      </c>
    </row>
    <row r="23" spans="1:43" x14ac:dyDescent="0.2">
      <c r="A23" t="str">
        <f>'For stats end Y points'!A23</f>
        <v>Empedocle</v>
      </c>
      <c r="B23" cm="1">
        <f t="array" aca="1" ref="B23" ca="1">SUMPRODUCT(LARGE('For stats end Y points'!$B23:B23,ROW(INDIRECT("1:"&amp;MIN(24,COUNT('For stats end Y points'!$B23:B23))))))</f>
        <v>0</v>
      </c>
      <c r="C23" cm="1">
        <f t="array" aca="1" ref="C23" ca="1">SUMPRODUCT(LARGE('For stats end Y points'!$B23:C23,ROW(INDIRECT("1:"&amp;MIN(24,COUNT('For stats end Y points'!$B23:C23))))))</f>
        <v>0</v>
      </c>
      <c r="D23" cm="1">
        <f t="array" aca="1" ref="D23" ca="1">SUMPRODUCT(LARGE('For stats end Y points'!$B23:D23,ROW(INDIRECT("1:"&amp;MIN(24,COUNT('For stats end Y points'!$B23:D23))))))</f>
        <v>0</v>
      </c>
      <c r="E23" cm="1">
        <f t="array" aca="1" ref="E23" ca="1">SUMPRODUCT(LARGE('For stats end Y points'!$B23:E23,ROW(INDIRECT("1:"&amp;MIN(24,COUNT('For stats end Y points'!$B23:E23))))))</f>
        <v>17</v>
      </c>
      <c r="F23" cm="1">
        <f t="array" aca="1" ref="F23" ca="1">SUMPRODUCT(LARGE('For stats end Y points'!$B23:F23,ROW(INDIRECT("1:"&amp;MIN(24,COUNT('For stats end Y points'!$B23:F23))))))</f>
        <v>20</v>
      </c>
      <c r="G23" cm="1">
        <f t="array" aca="1" ref="G23" ca="1">SUMPRODUCT(LARGE('For stats end Y points'!$B23:G23,ROW(INDIRECT("1:"&amp;MIN(24,COUNT('For stats end Y points'!$B23:G23))))))</f>
        <v>33</v>
      </c>
      <c r="H23" cm="1">
        <f t="array" aca="1" ref="H23" ca="1">SUMPRODUCT(LARGE('For stats end Y points'!$B23:H23,ROW(INDIRECT("1:"&amp;MIN(24,COUNT('For stats end Y points'!$B23:H23))))))</f>
        <v>35</v>
      </c>
      <c r="I23" cm="1">
        <f t="array" aca="1" ref="I23" ca="1">SUMPRODUCT(LARGE('For stats end Y points'!$B23:I23,ROW(INDIRECT("1:"&amp;MIN(24,COUNT('For stats end Y points'!$B23:I23))))))</f>
        <v>35</v>
      </c>
      <c r="J23" cm="1">
        <f t="array" aca="1" ref="J23" ca="1">SUMPRODUCT(LARGE('For stats end Y points'!$B23:J23,ROW(INDIRECT("1:"&amp;MIN(24,COUNT('For stats end Y points'!$B23:J23))))))</f>
        <v>52</v>
      </c>
      <c r="K23" cm="1">
        <f t="array" aca="1" ref="K23" ca="1">SUMPRODUCT(LARGE('For stats end Y points'!$B23:K23,ROW(INDIRECT("1:"&amp;MIN(24,COUNT('For stats end Y points'!$B23:K23))))))</f>
        <v>64</v>
      </c>
      <c r="L23" cm="1">
        <f t="array" aca="1" ref="L23" ca="1">SUMPRODUCT(LARGE('For stats end Y points'!$B23:L23,ROW(INDIRECT("1:"&amp;MIN(24,COUNT('For stats end Y points'!$B23:L23))))))</f>
        <v>72</v>
      </c>
      <c r="M23" cm="1">
        <f t="array" aca="1" ref="M23" ca="1">SUMPRODUCT(LARGE('For stats end Y points'!$B23:M23,ROW(INDIRECT("1:"&amp;MIN(24,COUNT('For stats end Y points'!$B23:M23))))))</f>
        <v>72</v>
      </c>
      <c r="N23" cm="1">
        <f t="array" aca="1" ref="N23" ca="1">SUMPRODUCT(LARGE('For stats end Y points'!$B23:N23,ROW(INDIRECT("1:"&amp;MIN(24,COUNT('For stats end Y points'!$B23:N23))))))</f>
        <v>72</v>
      </c>
      <c r="O23" cm="1">
        <f t="array" aca="1" ref="O23" ca="1">SUMPRODUCT(LARGE('For stats end Y points'!$B23:O23,ROW(INDIRECT("1:"&amp;MIN(24,COUNT('For stats end Y points'!$B23:O23))))))</f>
        <v>80</v>
      </c>
      <c r="P23" cm="1">
        <f t="array" aca="1" ref="P23" ca="1">SUMPRODUCT(LARGE('For stats end Y points'!$B23:P23,ROW(INDIRECT("1:"&amp;MIN(24,COUNT('For stats end Y points'!$B23:P23))))))</f>
        <v>80</v>
      </c>
      <c r="Q23" cm="1">
        <f t="array" aca="1" ref="Q23" ca="1">SUMPRODUCT(LARGE('For stats end Y points'!$B23:Q23,ROW(INDIRECT("1:"&amp;MIN(24,COUNT('For stats end Y points'!$B23:Q23))))))</f>
        <v>85</v>
      </c>
      <c r="R23" cm="1">
        <f t="array" aca="1" ref="R23" ca="1">SUMPRODUCT(LARGE('For stats end Y points'!$B23:R23,ROW(INDIRECT("1:"&amp;MIN(24,COUNT('For stats end Y points'!$B23:R23))))))</f>
        <v>102</v>
      </c>
      <c r="S23" cm="1">
        <f t="array" aca="1" ref="S23" ca="1">SUMPRODUCT(LARGE('For stats end Y points'!$B23:S23,ROW(INDIRECT("1:"&amp;MIN(24,COUNT('For stats end Y points'!$B23:S23))))))</f>
        <v>105</v>
      </c>
      <c r="T23" cm="1">
        <f t="array" aca="1" ref="T23" ca="1">SUMPRODUCT(LARGE('For stats end Y points'!$B23:T23,ROW(INDIRECT("1:"&amp;MIN(24,COUNT('For stats end Y points'!$B23:T23))))))</f>
        <v>113</v>
      </c>
      <c r="U23" cm="1">
        <f t="array" aca="1" ref="U23" ca="1">SUMPRODUCT(LARGE('For stats end Y points'!$B23:U23,ROW(INDIRECT("1:"&amp;MIN(24,COUNT('For stats end Y points'!$B23:U23))))))</f>
        <v>120</v>
      </c>
      <c r="V23" cm="1">
        <f t="array" aca="1" ref="V23" ca="1">SUMPRODUCT(LARGE('For stats end Y points'!$B23:V23,ROW(INDIRECT("1:"&amp;MIN(24,COUNT('For stats end Y points'!$B23:V23))))))</f>
        <v>129</v>
      </c>
      <c r="W23" cm="1">
        <f t="array" aca="1" ref="W23" ca="1">SUMPRODUCT(LARGE('For stats end Y points'!$B23:W23,ROW(INDIRECT("1:"&amp;MIN(24,COUNT('For stats end Y points'!$B23:W23))))))</f>
        <v>131</v>
      </c>
      <c r="X23" cm="1">
        <f t="array" aca="1" ref="X23" ca="1">SUMPRODUCT(LARGE('For stats end Y points'!$B23:X23,ROW(INDIRECT("1:"&amp;MIN(24,COUNT('For stats end Y points'!$B23:X23))))))</f>
        <v>132</v>
      </c>
      <c r="Y23" cm="1">
        <f t="array" aca="1" ref="Y23" ca="1">SUMPRODUCT(LARGE('For stats end Y points'!$B23:Y23,ROW(INDIRECT("1:"&amp;MIN(24,COUNT('For stats end Y points'!$B23:Y23))))))</f>
        <v>132</v>
      </c>
      <c r="Z23" cm="1">
        <f t="array" aca="1" ref="Z23" ca="1">SUMPRODUCT(LARGE('For stats end Y points'!$B23:Z23,ROW(INDIRECT("1:"&amp;MIN(24,COUNT('For stats end Y points'!$B23:Z23))))))</f>
        <v>136</v>
      </c>
      <c r="AA23" cm="1">
        <f t="array" aca="1" ref="AA23" ca="1">SUMPRODUCT(LARGE('For stats end Y points'!$B23:AA23,ROW(INDIRECT("1:"&amp;MIN(24,COUNT('For stats end Y points'!$B23:AA23))))))</f>
        <v>140</v>
      </c>
      <c r="AB23" cm="1">
        <f t="array" aca="1" ref="AB23" ca="1">SUMPRODUCT(LARGE('For stats end Y points'!$B23:AB23,ROW(INDIRECT("1:"&amp;MIN(24,COUNT('For stats end Y points'!$B23:AB23))))))</f>
        <v>143</v>
      </c>
      <c r="AC23" cm="1">
        <f t="array" aca="1" ref="AC23" ca="1">SUMPRODUCT(LARGE('For stats end Y points'!$B23:AC23,ROW(INDIRECT("1:"&amp;MIN(24,COUNT('For stats end Y points'!$B23:AC23))))))</f>
        <v>143</v>
      </c>
      <c r="AD23" cm="1">
        <f t="array" aca="1" ref="AD23" ca="1">SUMPRODUCT(LARGE('For stats end Y points'!$B23:AD23,ROW(INDIRECT("1:"&amp;MIN(24,COUNT('For stats end Y points'!$B23:AD23))))))</f>
        <v>144</v>
      </c>
      <c r="AE23" cm="1">
        <f t="array" aca="1" ref="AE23" ca="1">SUMPRODUCT(LARGE('For stats end Y points'!$B23:AE23,ROW(INDIRECT("1:"&amp;MIN(24,COUNT('For stats end Y points'!$B23:AE23))))))</f>
        <v>153</v>
      </c>
      <c r="AF23" cm="1">
        <f t="array" aca="1" ref="AF23" ca="1">SUMPRODUCT(LARGE('For stats end Y points'!$B23:AF23,ROW(INDIRECT("1:"&amp;MIN(24,COUNT('For stats end Y points'!$B23:AF23))))))</f>
        <v>153</v>
      </c>
      <c r="AG23" cm="1">
        <f t="array" aca="1" ref="AG23" ca="1">SUMPRODUCT(LARGE('For stats end Y points'!$B23:AG23,ROW(INDIRECT("1:"&amp;MIN(24,COUNT('For stats end Y points'!$B23:AG23))))))</f>
        <v>153</v>
      </c>
      <c r="AH23" cm="1">
        <f t="array" aca="1" ref="AH23" ca="1">SUMPRODUCT(LARGE('For stats end Y points'!$B23:AH23,ROW(INDIRECT("1:"&amp;MIN(24,COUNT('For stats end Y points'!$B23:AH23))))))</f>
        <v>153</v>
      </c>
      <c r="AP23" s="10">
        <f t="shared" si="0"/>
        <v>0</v>
      </c>
      <c r="AQ23">
        <f>'For stats end Y class'!AU23</f>
        <v>21</v>
      </c>
    </row>
    <row r="24" spans="1:43" x14ac:dyDescent="0.2">
      <c r="A24" t="str">
        <f>'For stats end Y points'!A24</f>
        <v>Fishtro</v>
      </c>
      <c r="B24" cm="1">
        <f t="array" aca="1" ref="B24" ca="1">SUMPRODUCT(LARGE('For stats end Y points'!$B24:B24,ROW(INDIRECT("1:"&amp;MIN(24,COUNT('For stats end Y points'!$B24:B24))))))</f>
        <v>8</v>
      </c>
      <c r="C24" cm="1">
        <f t="array" aca="1" ref="C24" ca="1">SUMPRODUCT(LARGE('For stats end Y points'!$B24:C24,ROW(INDIRECT("1:"&amp;MIN(24,COUNT('For stats end Y points'!$B24:C24))))))</f>
        <v>20</v>
      </c>
      <c r="D24" cm="1">
        <f t="array" aca="1" ref="D24" ca="1">SUMPRODUCT(LARGE('For stats end Y points'!$B24:D24,ROW(INDIRECT("1:"&amp;MIN(24,COUNT('For stats end Y points'!$B24:D24))))))</f>
        <v>36</v>
      </c>
      <c r="E24" cm="1">
        <f t="array" aca="1" ref="E24" ca="1">SUMPRODUCT(LARGE('For stats end Y points'!$B24:E24,ROW(INDIRECT("1:"&amp;MIN(24,COUNT('For stats end Y points'!$B24:E24))))))</f>
        <v>49</v>
      </c>
      <c r="F24" cm="1">
        <f t="array" aca="1" ref="F24" ca="1">SUMPRODUCT(LARGE('For stats end Y points'!$B24:F24,ROW(INDIRECT("1:"&amp;MIN(24,COUNT('For stats end Y points'!$B24:F24))))))</f>
        <v>60</v>
      </c>
      <c r="G24" cm="1">
        <f t="array" aca="1" ref="G24" ca="1">SUMPRODUCT(LARGE('For stats end Y points'!$B24:G24,ROW(INDIRECT("1:"&amp;MIN(24,COUNT('For stats end Y points'!$B24:G24))))))</f>
        <v>62</v>
      </c>
      <c r="H24" cm="1">
        <f t="array" aca="1" ref="H24" ca="1">SUMPRODUCT(LARGE('For stats end Y points'!$B24:H24,ROW(INDIRECT("1:"&amp;MIN(24,COUNT('For stats end Y points'!$B24:H24))))))</f>
        <v>62</v>
      </c>
      <c r="I24" cm="1">
        <f t="array" aca="1" ref="I24" ca="1">SUMPRODUCT(LARGE('For stats end Y points'!$B24:I24,ROW(INDIRECT("1:"&amp;MIN(24,COUNT('For stats end Y points'!$B24:I24))))))</f>
        <v>66</v>
      </c>
      <c r="J24" cm="1">
        <f t="array" aca="1" ref="J24" ca="1">SUMPRODUCT(LARGE('For stats end Y points'!$B24:J24,ROW(INDIRECT("1:"&amp;MIN(24,COUNT('For stats end Y points'!$B24:J24))))))</f>
        <v>67</v>
      </c>
      <c r="K24" cm="1">
        <f t="array" aca="1" ref="K24" ca="1">SUMPRODUCT(LARGE('For stats end Y points'!$B24:K24,ROW(INDIRECT("1:"&amp;MIN(24,COUNT('For stats end Y points'!$B24:K24))))))</f>
        <v>69</v>
      </c>
      <c r="L24" cm="1">
        <f t="array" aca="1" ref="L24" ca="1">SUMPRODUCT(LARGE('For stats end Y points'!$B24:L24,ROW(INDIRECT("1:"&amp;MIN(24,COUNT('For stats end Y points'!$B24:L24))))))</f>
        <v>71</v>
      </c>
      <c r="M24" cm="1">
        <f t="array" aca="1" ref="M24" ca="1">SUMPRODUCT(LARGE('For stats end Y points'!$B24:M24,ROW(INDIRECT("1:"&amp;MIN(24,COUNT('For stats end Y points'!$B24:M24))))))</f>
        <v>79</v>
      </c>
      <c r="N24" cm="1">
        <f t="array" aca="1" ref="N24" ca="1">SUMPRODUCT(LARGE('For stats end Y points'!$B24:N24,ROW(INDIRECT("1:"&amp;MIN(24,COUNT('For stats end Y points'!$B24:N24))))))</f>
        <v>80</v>
      </c>
      <c r="O24" cm="1">
        <f t="array" aca="1" ref="O24" ca="1">SUMPRODUCT(LARGE('For stats end Y points'!$B24:O24,ROW(INDIRECT("1:"&amp;MIN(24,COUNT('For stats end Y points'!$B24:O24))))))</f>
        <v>85</v>
      </c>
      <c r="P24" cm="1">
        <f t="array" aca="1" ref="P24" ca="1">SUMPRODUCT(LARGE('For stats end Y points'!$B24:P24,ROW(INDIRECT("1:"&amp;MIN(24,COUNT('For stats end Y points'!$B24:P24))))))</f>
        <v>87</v>
      </c>
      <c r="Q24" cm="1">
        <f t="array" aca="1" ref="Q24" ca="1">SUMPRODUCT(LARGE('For stats end Y points'!$B24:Q24,ROW(INDIRECT("1:"&amp;MIN(24,COUNT('For stats end Y points'!$B24:Q24))))))</f>
        <v>88</v>
      </c>
      <c r="R24" cm="1">
        <f t="array" aca="1" ref="R24" ca="1">SUMPRODUCT(LARGE('For stats end Y points'!$B24:R24,ROW(INDIRECT("1:"&amp;MIN(24,COUNT('For stats end Y points'!$B24:R24))))))</f>
        <v>104</v>
      </c>
      <c r="S24" cm="1">
        <f t="array" aca="1" ref="S24" ca="1">SUMPRODUCT(LARGE('For stats end Y points'!$B24:S24,ROW(INDIRECT("1:"&amp;MIN(24,COUNT('For stats end Y points'!$B24:S24))))))</f>
        <v>104</v>
      </c>
      <c r="T24" cm="1">
        <f t="array" aca="1" ref="T24" ca="1">SUMPRODUCT(LARGE('For stats end Y points'!$B24:T24,ROW(INDIRECT("1:"&amp;MIN(24,COUNT('For stats end Y points'!$B24:T24))))))</f>
        <v>105</v>
      </c>
      <c r="U24" cm="1">
        <f t="array" aca="1" ref="U24" ca="1">SUMPRODUCT(LARGE('For stats end Y points'!$B24:U24,ROW(INDIRECT("1:"&amp;MIN(24,COUNT('For stats end Y points'!$B24:U24))))))</f>
        <v>109</v>
      </c>
      <c r="V24" cm="1">
        <f t="array" aca="1" ref="V24" ca="1">SUMPRODUCT(LARGE('For stats end Y points'!$B24:V24,ROW(INDIRECT("1:"&amp;MIN(24,COUNT('For stats end Y points'!$B24:V24))))))</f>
        <v>111</v>
      </c>
      <c r="W24" cm="1">
        <f t="array" aca="1" ref="W24" ca="1">SUMPRODUCT(LARGE('For stats end Y points'!$B24:W24,ROW(INDIRECT("1:"&amp;MIN(24,COUNT('For stats end Y points'!$B24:W24))))))</f>
        <v>123</v>
      </c>
      <c r="X24" cm="1">
        <f t="array" aca="1" ref="X24" ca="1">SUMPRODUCT(LARGE('For stats end Y points'!$B24:X24,ROW(INDIRECT("1:"&amp;MIN(24,COUNT('For stats end Y points'!$B24:X24))))))</f>
        <v>125</v>
      </c>
      <c r="Y24" cm="1">
        <f t="array" aca="1" ref="Y24" ca="1">SUMPRODUCT(LARGE('For stats end Y points'!$B24:Y24,ROW(INDIRECT("1:"&amp;MIN(24,COUNT('For stats end Y points'!$B24:Y24))))))</f>
        <v>128</v>
      </c>
      <c r="Z24" cm="1">
        <f t="array" aca="1" ref="Z24" ca="1">SUMPRODUCT(LARGE('For stats end Y points'!$B24:Z24,ROW(INDIRECT("1:"&amp;MIN(24,COUNT('For stats end Y points'!$B24:Z24))))))</f>
        <v>128</v>
      </c>
      <c r="AA24" cm="1">
        <f t="array" aca="1" ref="AA24" ca="1">SUMPRODUCT(LARGE('For stats end Y points'!$B24:AA24,ROW(INDIRECT("1:"&amp;MIN(24,COUNT('For stats end Y points'!$B24:AA24))))))</f>
        <v>130</v>
      </c>
      <c r="AB24" cm="1">
        <f t="array" aca="1" ref="AB24" ca="1">SUMPRODUCT(LARGE('For stats end Y points'!$B24:AB24,ROW(INDIRECT("1:"&amp;MIN(24,COUNT('For stats end Y points'!$B24:AB24))))))</f>
        <v>130</v>
      </c>
      <c r="AC24" cm="1">
        <f t="array" aca="1" ref="AC24" ca="1">SUMPRODUCT(LARGE('For stats end Y points'!$B24:AC24,ROW(INDIRECT("1:"&amp;MIN(24,COUNT('For stats end Y points'!$B24:AC24))))))</f>
        <v>130</v>
      </c>
      <c r="AD24" cm="1">
        <f t="array" aca="1" ref="AD24" ca="1">SUMPRODUCT(LARGE('For stats end Y points'!$B24:AD24,ROW(INDIRECT("1:"&amp;MIN(24,COUNT('For stats end Y points'!$B24:AD24))))))</f>
        <v>146</v>
      </c>
      <c r="AE24" cm="1">
        <f t="array" aca="1" ref="AE24" ca="1">SUMPRODUCT(LARGE('For stats end Y points'!$B24:AE24,ROW(INDIRECT("1:"&amp;MIN(24,COUNT('For stats end Y points'!$B24:AE24))))))</f>
        <v>161</v>
      </c>
      <c r="AF24" cm="1">
        <f t="array" aca="1" ref="AF24" ca="1">SUMPRODUCT(LARGE('For stats end Y points'!$B24:AF24,ROW(INDIRECT("1:"&amp;MIN(24,COUNT('For stats end Y points'!$B24:AF24))))))</f>
        <v>176</v>
      </c>
      <c r="AG24" cm="1">
        <f t="array" aca="1" ref="AG24" ca="1">SUMPRODUCT(LARGE('For stats end Y points'!$B24:AG24,ROW(INDIRECT("1:"&amp;MIN(24,COUNT('For stats end Y points'!$B24:AG24))))))</f>
        <v>176</v>
      </c>
      <c r="AH24" cm="1">
        <f t="array" aca="1" ref="AH24" ca="1">SUMPRODUCT(LARGE('For stats end Y points'!$B24:AH24,ROW(INDIRECT("1:"&amp;MIN(24,COUNT('For stats end Y points'!$B24:AH24))))))</f>
        <v>176</v>
      </c>
      <c r="AP24" s="10">
        <f t="shared" si="0"/>
        <v>0</v>
      </c>
      <c r="AQ24">
        <f>'For stats end Y class'!AU24</f>
        <v>27</v>
      </c>
    </row>
    <row r="25" spans="1:43" x14ac:dyDescent="0.2">
      <c r="A25" t="str">
        <f>'For stats end Y points'!A25</f>
        <v>Flabech</v>
      </c>
      <c r="B25" cm="1">
        <f t="array" aca="1" ref="B25" ca="1">SUMPRODUCT(LARGE('For stats end Y points'!$B25:B25,ROW(INDIRECT("1:"&amp;MIN(24,COUNT('For stats end Y points'!$B25:B25))))))</f>
        <v>0</v>
      </c>
      <c r="C25" cm="1">
        <f t="array" aca="1" ref="C25" ca="1">SUMPRODUCT(LARGE('For stats end Y points'!$B25:C25,ROW(INDIRECT("1:"&amp;MIN(24,COUNT('For stats end Y points'!$B25:C25))))))</f>
        <v>0</v>
      </c>
      <c r="D25" cm="1">
        <f t="array" aca="1" ref="D25" ca="1">SUMPRODUCT(LARGE('For stats end Y points'!$B25:D25,ROW(INDIRECT("1:"&amp;MIN(24,COUNT('For stats end Y points'!$B25:D25))))))</f>
        <v>0</v>
      </c>
      <c r="E25" cm="1">
        <f t="array" aca="1" ref="E25" ca="1">SUMPRODUCT(LARGE('For stats end Y points'!$B25:E25,ROW(INDIRECT("1:"&amp;MIN(24,COUNT('For stats end Y points'!$B25:E25))))))</f>
        <v>13</v>
      </c>
      <c r="F25" cm="1">
        <f t="array" aca="1" ref="F25" ca="1">SUMPRODUCT(LARGE('For stats end Y points'!$B25:F25,ROW(INDIRECT("1:"&amp;MIN(24,COUNT('For stats end Y points'!$B25:F25))))))</f>
        <v>13</v>
      </c>
      <c r="G25" cm="1">
        <f t="array" aca="1" ref="G25" ca="1">SUMPRODUCT(LARGE('For stats end Y points'!$B25:G25,ROW(INDIRECT("1:"&amp;MIN(24,COUNT('For stats end Y points'!$B25:G25))))))</f>
        <v>14</v>
      </c>
      <c r="H25" cm="1">
        <f t="array" aca="1" ref="H25" ca="1">SUMPRODUCT(LARGE('For stats end Y points'!$B25:H25,ROW(INDIRECT("1:"&amp;MIN(24,COUNT('For stats end Y points'!$B25:H25))))))</f>
        <v>14</v>
      </c>
      <c r="I25" cm="1">
        <f t="array" aca="1" ref="I25" ca="1">SUMPRODUCT(LARGE('For stats end Y points'!$B25:I25,ROW(INDIRECT("1:"&amp;MIN(24,COUNT('For stats end Y points'!$B25:I25))))))</f>
        <v>17</v>
      </c>
      <c r="J25" cm="1">
        <f t="array" aca="1" ref="J25" ca="1">SUMPRODUCT(LARGE('For stats end Y points'!$B25:J25,ROW(INDIRECT("1:"&amp;MIN(24,COUNT('For stats end Y points'!$B25:J25))))))</f>
        <v>26</v>
      </c>
      <c r="K25" cm="1">
        <f t="array" aca="1" ref="K25" ca="1">SUMPRODUCT(LARGE('For stats end Y points'!$B25:K25,ROW(INDIRECT("1:"&amp;MIN(24,COUNT('For stats end Y points'!$B25:K25))))))</f>
        <v>37</v>
      </c>
      <c r="L25" cm="1">
        <f t="array" aca="1" ref="L25" ca="1">SUMPRODUCT(LARGE('For stats end Y points'!$B25:L25,ROW(INDIRECT("1:"&amp;MIN(24,COUNT('For stats end Y points'!$B25:L25))))))</f>
        <v>37</v>
      </c>
      <c r="M25" cm="1">
        <f t="array" aca="1" ref="M25" ca="1">SUMPRODUCT(LARGE('For stats end Y points'!$B25:M25,ROW(INDIRECT("1:"&amp;MIN(24,COUNT('For stats end Y points'!$B25:M25))))))</f>
        <v>37</v>
      </c>
      <c r="N25" cm="1">
        <f t="array" aca="1" ref="N25" ca="1">SUMPRODUCT(LARGE('For stats end Y points'!$B25:N25,ROW(INDIRECT("1:"&amp;MIN(24,COUNT('For stats end Y points'!$B25:N25))))))</f>
        <v>37</v>
      </c>
      <c r="O25" cm="1">
        <f t="array" aca="1" ref="O25" ca="1">SUMPRODUCT(LARGE('For stats end Y points'!$B25:O25,ROW(INDIRECT("1:"&amp;MIN(24,COUNT('For stats end Y points'!$B25:O25))))))</f>
        <v>37</v>
      </c>
      <c r="P25" cm="1">
        <f t="array" aca="1" ref="P25" ca="1">SUMPRODUCT(LARGE('For stats end Y points'!$B25:P25,ROW(INDIRECT("1:"&amp;MIN(24,COUNT('For stats end Y points'!$B25:P25))))))</f>
        <v>37</v>
      </c>
      <c r="Q25" cm="1">
        <f t="array" aca="1" ref="Q25" ca="1">SUMPRODUCT(LARGE('For stats end Y points'!$B25:Q25,ROW(INDIRECT("1:"&amp;MIN(24,COUNT('For stats end Y points'!$B25:Q25))))))</f>
        <v>37</v>
      </c>
      <c r="R25" cm="1">
        <f t="array" aca="1" ref="R25" ca="1">SUMPRODUCT(LARGE('For stats end Y points'!$B25:R25,ROW(INDIRECT("1:"&amp;MIN(24,COUNT('For stats end Y points'!$B25:R25))))))</f>
        <v>37</v>
      </c>
      <c r="S25" cm="1">
        <f t="array" aca="1" ref="S25" ca="1">SUMPRODUCT(LARGE('For stats end Y points'!$B25:S25,ROW(INDIRECT("1:"&amp;MIN(24,COUNT('For stats end Y points'!$B25:S25))))))</f>
        <v>37</v>
      </c>
      <c r="T25" cm="1">
        <f t="array" aca="1" ref="T25" ca="1">SUMPRODUCT(LARGE('For stats end Y points'!$B25:T25,ROW(INDIRECT("1:"&amp;MIN(24,COUNT('For stats end Y points'!$B25:T25))))))</f>
        <v>37</v>
      </c>
      <c r="U25" cm="1">
        <f t="array" aca="1" ref="U25" ca="1">SUMPRODUCT(LARGE('For stats end Y points'!$B25:U25,ROW(INDIRECT("1:"&amp;MIN(24,COUNT('For stats end Y points'!$B25:U25))))))</f>
        <v>37</v>
      </c>
      <c r="V25" cm="1">
        <f t="array" aca="1" ref="V25" ca="1">SUMPRODUCT(LARGE('For stats end Y points'!$B25:V25,ROW(INDIRECT("1:"&amp;MIN(24,COUNT('For stats end Y points'!$B25:V25))))))</f>
        <v>37</v>
      </c>
      <c r="W25" cm="1">
        <f t="array" aca="1" ref="W25" ca="1">SUMPRODUCT(LARGE('For stats end Y points'!$B25:W25,ROW(INDIRECT("1:"&amp;MIN(24,COUNT('For stats end Y points'!$B25:W25))))))</f>
        <v>37</v>
      </c>
      <c r="X25" cm="1">
        <f t="array" aca="1" ref="X25" ca="1">SUMPRODUCT(LARGE('For stats end Y points'!$B25:X25,ROW(INDIRECT("1:"&amp;MIN(24,COUNT('For stats end Y points'!$B25:X25))))))</f>
        <v>37</v>
      </c>
      <c r="Y25" cm="1">
        <f t="array" aca="1" ref="Y25" ca="1">SUMPRODUCT(LARGE('For stats end Y points'!$B25:Y25,ROW(INDIRECT("1:"&amp;MIN(24,COUNT('For stats end Y points'!$B25:Y25))))))</f>
        <v>42</v>
      </c>
      <c r="Z25" cm="1">
        <f t="array" aca="1" ref="Z25" ca="1">SUMPRODUCT(LARGE('For stats end Y points'!$B25:Z25,ROW(INDIRECT("1:"&amp;MIN(24,COUNT('For stats end Y points'!$B25:Z25))))))</f>
        <v>47</v>
      </c>
      <c r="AA25" cm="1">
        <f t="array" aca="1" ref="AA25" ca="1">SUMPRODUCT(LARGE('For stats end Y points'!$B25:AA25,ROW(INDIRECT("1:"&amp;MIN(24,COUNT('For stats end Y points'!$B25:AA25))))))</f>
        <v>47</v>
      </c>
      <c r="AB25" cm="1">
        <f t="array" aca="1" ref="AB25" ca="1">SUMPRODUCT(LARGE('For stats end Y points'!$B25:AB25,ROW(INDIRECT("1:"&amp;MIN(24,COUNT('For stats end Y points'!$B25:AB25))))))</f>
        <v>47</v>
      </c>
      <c r="AC25" cm="1">
        <f t="array" aca="1" ref="AC25" ca="1">SUMPRODUCT(LARGE('For stats end Y points'!$B25:AC25,ROW(INDIRECT("1:"&amp;MIN(24,COUNT('For stats end Y points'!$B25:AC25))))))</f>
        <v>47</v>
      </c>
      <c r="AD25" cm="1">
        <f t="array" aca="1" ref="AD25" ca="1">SUMPRODUCT(LARGE('For stats end Y points'!$B25:AD25,ROW(INDIRECT("1:"&amp;MIN(24,COUNT('For stats end Y points'!$B25:AD25))))))</f>
        <v>47</v>
      </c>
      <c r="AE25" cm="1">
        <f t="array" aca="1" ref="AE25" ca="1">SUMPRODUCT(LARGE('For stats end Y points'!$B25:AE25,ROW(INDIRECT("1:"&amp;MIN(24,COUNT('For stats end Y points'!$B25:AE25))))))</f>
        <v>47</v>
      </c>
      <c r="AF25" cm="1">
        <f t="array" aca="1" ref="AF25" ca="1">SUMPRODUCT(LARGE('For stats end Y points'!$B25:AF25,ROW(INDIRECT("1:"&amp;MIN(24,COUNT('For stats end Y points'!$B25:AF25))))))</f>
        <v>47</v>
      </c>
      <c r="AG25" cm="1">
        <f t="array" aca="1" ref="AG25" ca="1">SUMPRODUCT(LARGE('For stats end Y points'!$B25:AG25,ROW(INDIRECT("1:"&amp;MIN(24,COUNT('For stats end Y points'!$B25:AG25))))))</f>
        <v>47</v>
      </c>
      <c r="AH25" cm="1">
        <f t="array" aca="1" ref="AH25" ca="1">SUMPRODUCT(LARGE('For stats end Y points'!$B25:AH25,ROW(INDIRECT("1:"&amp;MIN(24,COUNT('For stats end Y points'!$B25:AH25))))))</f>
        <v>47</v>
      </c>
      <c r="AP25" s="10">
        <f t="shared" si="0"/>
        <v>0</v>
      </c>
      <c r="AQ25">
        <f>'For stats end Y class'!AU25</f>
        <v>7</v>
      </c>
    </row>
    <row r="26" spans="1:43" x14ac:dyDescent="0.2">
      <c r="A26" t="str">
        <f>'For stats end Y points'!A26</f>
        <v>Flem</v>
      </c>
      <c r="B26" cm="1">
        <f t="array" aca="1" ref="B26" ca="1">SUMPRODUCT(LARGE('For stats end Y points'!$B26:B26,ROW(INDIRECT("1:"&amp;MIN(24,COUNT('For stats end Y points'!$B26:B26))))))</f>
        <v>0</v>
      </c>
      <c r="C26" cm="1">
        <f t="array" aca="1" ref="C26" ca="1">SUMPRODUCT(LARGE('For stats end Y points'!$B26:C26,ROW(INDIRECT("1:"&amp;MIN(24,COUNT('For stats end Y points'!$B26:C26))))))</f>
        <v>0</v>
      </c>
      <c r="D26" cm="1">
        <f t="array" aca="1" ref="D26" ca="1">SUMPRODUCT(LARGE('For stats end Y points'!$B26:D26,ROW(INDIRECT("1:"&amp;MIN(24,COUNT('For stats end Y points'!$B26:D26))))))</f>
        <v>0</v>
      </c>
      <c r="E26" cm="1">
        <f t="array" aca="1" ref="E26" ca="1">SUMPRODUCT(LARGE('For stats end Y points'!$B26:E26,ROW(INDIRECT("1:"&amp;MIN(24,COUNT('For stats end Y points'!$B26:E26))))))</f>
        <v>5</v>
      </c>
      <c r="F26" cm="1">
        <f t="array" aca="1" ref="F26" ca="1">SUMPRODUCT(LARGE('For stats end Y points'!$B26:F26,ROW(INDIRECT("1:"&amp;MIN(24,COUNT('For stats end Y points'!$B26:F26))))))</f>
        <v>21</v>
      </c>
      <c r="G26" cm="1">
        <f t="array" aca="1" ref="G26" ca="1">SUMPRODUCT(LARGE('For stats end Y points'!$B26:G26,ROW(INDIRECT("1:"&amp;MIN(24,COUNT('For stats end Y points'!$B26:G26))))))</f>
        <v>21</v>
      </c>
      <c r="H26" cm="1">
        <f t="array" aca="1" ref="H26" ca="1">SUMPRODUCT(LARGE('For stats end Y points'!$B26:H26,ROW(INDIRECT("1:"&amp;MIN(24,COUNT('For stats end Y points'!$B26:H26))))))</f>
        <v>26</v>
      </c>
      <c r="I26" cm="1">
        <f t="array" aca="1" ref="I26" ca="1">SUMPRODUCT(LARGE('For stats end Y points'!$B26:I26,ROW(INDIRECT("1:"&amp;MIN(24,COUNT('For stats end Y points'!$B26:I26))))))</f>
        <v>38</v>
      </c>
      <c r="J26" cm="1">
        <f t="array" aca="1" ref="J26" ca="1">SUMPRODUCT(LARGE('For stats end Y points'!$B26:J26,ROW(INDIRECT("1:"&amp;MIN(24,COUNT('For stats end Y points'!$B26:J26))))))</f>
        <v>41</v>
      </c>
      <c r="K26" cm="1">
        <f t="array" aca="1" ref="K26" ca="1">SUMPRODUCT(LARGE('For stats end Y points'!$B26:K26,ROW(INDIRECT("1:"&amp;MIN(24,COUNT('For stats end Y points'!$B26:K26))))))</f>
        <v>48</v>
      </c>
      <c r="L26" cm="1">
        <f t="array" aca="1" ref="L26" ca="1">SUMPRODUCT(LARGE('For stats end Y points'!$B26:L26,ROW(INDIRECT("1:"&amp;MIN(24,COUNT('For stats end Y points'!$B26:L26))))))</f>
        <v>49</v>
      </c>
      <c r="M26" cm="1">
        <f t="array" aca="1" ref="M26" ca="1">SUMPRODUCT(LARGE('For stats end Y points'!$B26:M26,ROW(INDIRECT("1:"&amp;MIN(24,COUNT('For stats end Y points'!$B26:M26))))))</f>
        <v>51</v>
      </c>
      <c r="N26" cm="1">
        <f t="array" aca="1" ref="N26" ca="1">SUMPRODUCT(LARGE('For stats end Y points'!$B26:N26,ROW(INDIRECT("1:"&amp;MIN(24,COUNT('For stats end Y points'!$B26:N26))))))</f>
        <v>53</v>
      </c>
      <c r="O26" cm="1">
        <f t="array" aca="1" ref="O26" ca="1">SUMPRODUCT(LARGE('For stats end Y points'!$B26:O26,ROW(INDIRECT("1:"&amp;MIN(24,COUNT('For stats end Y points'!$B26:O26))))))</f>
        <v>69</v>
      </c>
      <c r="P26" cm="1">
        <f t="array" aca="1" ref="P26" ca="1">SUMPRODUCT(LARGE('For stats end Y points'!$B26:P26,ROW(INDIRECT("1:"&amp;MIN(24,COUNT('For stats end Y points'!$B26:P26))))))</f>
        <v>72</v>
      </c>
      <c r="Q26" cm="1">
        <f t="array" aca="1" ref="Q26" ca="1">SUMPRODUCT(LARGE('For stats end Y points'!$B26:Q26,ROW(INDIRECT("1:"&amp;MIN(24,COUNT('For stats end Y points'!$B26:Q26))))))</f>
        <v>77</v>
      </c>
      <c r="R26" cm="1">
        <f t="array" aca="1" ref="R26" ca="1">SUMPRODUCT(LARGE('For stats end Y points'!$B26:R26,ROW(INDIRECT("1:"&amp;MIN(24,COUNT('For stats end Y points'!$B26:R26))))))</f>
        <v>80</v>
      </c>
      <c r="S26" cm="1">
        <f t="array" aca="1" ref="S26" ca="1">SUMPRODUCT(LARGE('For stats end Y points'!$B26:S26,ROW(INDIRECT("1:"&amp;MIN(24,COUNT('For stats end Y points'!$B26:S26))))))</f>
        <v>93</v>
      </c>
      <c r="T26" cm="1">
        <f t="array" aca="1" ref="T26" ca="1">SUMPRODUCT(LARGE('For stats end Y points'!$B26:T26,ROW(INDIRECT("1:"&amp;MIN(24,COUNT('For stats end Y points'!$B26:T26))))))</f>
        <v>97</v>
      </c>
      <c r="U26" cm="1">
        <f t="array" aca="1" ref="U26" ca="1">SUMPRODUCT(LARGE('For stats end Y points'!$B26:U26,ROW(INDIRECT("1:"&amp;MIN(24,COUNT('For stats end Y points'!$B26:U26))))))</f>
        <v>112</v>
      </c>
      <c r="V26" cm="1">
        <f t="array" aca="1" ref="V26" ca="1">SUMPRODUCT(LARGE('For stats end Y points'!$B26:V26,ROW(INDIRECT("1:"&amp;MIN(24,COUNT('For stats end Y points'!$B26:V26))))))</f>
        <v>115</v>
      </c>
      <c r="W26" cm="1">
        <f t="array" aca="1" ref="W26" ca="1">SUMPRODUCT(LARGE('For stats end Y points'!$B26:W26,ROW(INDIRECT("1:"&amp;MIN(24,COUNT('For stats end Y points'!$B26:W26))))))</f>
        <v>117</v>
      </c>
      <c r="X26" cm="1">
        <f t="array" aca="1" ref="X26" ca="1">SUMPRODUCT(LARGE('For stats end Y points'!$B26:X26,ROW(INDIRECT("1:"&amp;MIN(24,COUNT('For stats end Y points'!$B26:X26))))))</f>
        <v>119</v>
      </c>
      <c r="Y26" cm="1">
        <f t="array" aca="1" ref="Y26" ca="1">SUMPRODUCT(LARGE('For stats end Y points'!$B26:Y26,ROW(INDIRECT("1:"&amp;MIN(24,COUNT('For stats end Y points'!$B26:Y26))))))</f>
        <v>136</v>
      </c>
      <c r="Z26" cm="1">
        <f t="array" aca="1" ref="Z26" ca="1">SUMPRODUCT(LARGE('For stats end Y points'!$B26:Z26,ROW(INDIRECT("1:"&amp;MIN(24,COUNT('For stats end Y points'!$B26:Z26))))))</f>
        <v>152</v>
      </c>
      <c r="AA26" cm="1">
        <f t="array" aca="1" ref="AA26" ca="1">SUMPRODUCT(LARGE('For stats end Y points'!$B26:AA26,ROW(INDIRECT("1:"&amp;MIN(24,COUNT('For stats end Y points'!$B26:AA26))))))</f>
        <v>152</v>
      </c>
      <c r="AB26" cm="1">
        <f t="array" aca="1" ref="AB26" ca="1">SUMPRODUCT(LARGE('For stats end Y points'!$B26:AB26,ROW(INDIRECT("1:"&amp;MIN(24,COUNT('For stats end Y points'!$B26:AB26))))))</f>
        <v>153</v>
      </c>
      <c r="AC26" cm="1">
        <f t="array" aca="1" ref="AC26" ca="1">SUMPRODUCT(LARGE('For stats end Y points'!$B26:AC26,ROW(INDIRECT("1:"&amp;MIN(24,COUNT('For stats end Y points'!$B26:AC26))))))</f>
        <v>157</v>
      </c>
      <c r="AD26" cm="1">
        <f t="array" aca="1" ref="AD26" ca="1">SUMPRODUCT(LARGE('For stats end Y points'!$B26:AD26,ROW(INDIRECT("1:"&amp;MIN(24,COUNT('For stats end Y points'!$B26:AD26))))))</f>
        <v>160</v>
      </c>
      <c r="AE26" cm="1">
        <f t="array" aca="1" ref="AE26" ca="1">SUMPRODUCT(LARGE('For stats end Y points'!$B26:AE26,ROW(INDIRECT("1:"&amp;MIN(24,COUNT('For stats end Y points'!$B26:AE26))))))</f>
        <v>163</v>
      </c>
      <c r="AF26" cm="1">
        <f t="array" aca="1" ref="AF26" ca="1">SUMPRODUCT(LARGE('For stats end Y points'!$B26:AF26,ROW(INDIRECT("1:"&amp;MIN(24,COUNT('For stats end Y points'!$B26:AF26))))))</f>
        <v>179</v>
      </c>
      <c r="AG26" cm="1">
        <f t="array" aca="1" ref="AG26" ca="1">SUMPRODUCT(LARGE('For stats end Y points'!$B26:AG26,ROW(INDIRECT("1:"&amp;MIN(24,COUNT('For stats end Y points'!$B26:AG26))))))</f>
        <v>193</v>
      </c>
      <c r="AH26" cm="1">
        <f t="array" aca="1" ref="AH26" ca="1">SUMPRODUCT(LARGE('For stats end Y points'!$B26:AH26,ROW(INDIRECT("1:"&amp;MIN(24,COUNT('For stats end Y points'!$B26:AH26))))))</f>
        <v>193</v>
      </c>
      <c r="AP26" s="10">
        <f t="shared" si="0"/>
        <v>0</v>
      </c>
      <c r="AQ26">
        <f>'For stats end Y class'!AU26</f>
        <v>28</v>
      </c>
    </row>
    <row r="27" spans="1:43" x14ac:dyDescent="0.2">
      <c r="A27" t="str">
        <f>'For stats end Y points'!A27</f>
        <v>Flopynou</v>
      </c>
      <c r="B27" cm="1">
        <f t="array" aca="1" ref="B27" ca="1">SUMPRODUCT(LARGE('For stats end Y points'!$B27:B27,ROW(INDIRECT("1:"&amp;MIN(24,COUNT('For stats end Y points'!$B27:B27))))))</f>
        <v>0</v>
      </c>
      <c r="C27" cm="1">
        <f t="array" aca="1" ref="C27" ca="1">SUMPRODUCT(LARGE('For stats end Y points'!$B27:C27,ROW(INDIRECT("1:"&amp;MIN(24,COUNT('For stats end Y points'!$B27:C27))))))</f>
        <v>8</v>
      </c>
      <c r="D27" cm="1">
        <f t="array" aca="1" ref="D27" ca="1">SUMPRODUCT(LARGE('For stats end Y points'!$B27:D27,ROW(INDIRECT("1:"&amp;MIN(24,COUNT('For stats end Y points'!$B27:D27))))))</f>
        <v>9</v>
      </c>
      <c r="E27" cm="1">
        <f t="array" aca="1" ref="E27" ca="1">SUMPRODUCT(LARGE('For stats end Y points'!$B27:E27,ROW(INDIRECT("1:"&amp;MIN(24,COUNT('For stats end Y points'!$B27:E27))))))</f>
        <v>9</v>
      </c>
      <c r="F27" cm="1">
        <f t="array" aca="1" ref="F27" ca="1">SUMPRODUCT(LARGE('For stats end Y points'!$B27:F27,ROW(INDIRECT("1:"&amp;MIN(24,COUNT('For stats end Y points'!$B27:F27))))))</f>
        <v>25</v>
      </c>
      <c r="G27" cm="1">
        <f t="array" aca="1" ref="G27" ca="1">SUMPRODUCT(LARGE('For stats end Y points'!$B27:G27,ROW(INDIRECT("1:"&amp;MIN(24,COUNT('For stats end Y points'!$B27:G27))))))</f>
        <v>28</v>
      </c>
      <c r="H27" cm="1">
        <f t="array" aca="1" ref="H27" ca="1">SUMPRODUCT(LARGE('For stats end Y points'!$B27:H27,ROW(INDIRECT("1:"&amp;MIN(24,COUNT('For stats end Y points'!$B27:H27))))))</f>
        <v>28</v>
      </c>
      <c r="I27" cm="1">
        <f t="array" aca="1" ref="I27" ca="1">SUMPRODUCT(LARGE('For stats end Y points'!$B27:I27,ROW(INDIRECT("1:"&amp;MIN(24,COUNT('For stats end Y points'!$B27:I27))))))</f>
        <v>37</v>
      </c>
      <c r="J27" cm="1">
        <f t="array" aca="1" ref="J27" ca="1">SUMPRODUCT(LARGE('For stats end Y points'!$B27:J27,ROW(INDIRECT("1:"&amp;MIN(24,COUNT('For stats end Y points'!$B27:J27))))))</f>
        <v>39</v>
      </c>
      <c r="K27" cm="1">
        <f t="array" aca="1" ref="K27" ca="1">SUMPRODUCT(LARGE('For stats end Y points'!$B27:K27,ROW(INDIRECT("1:"&amp;MIN(24,COUNT('For stats end Y points'!$B27:K27))))))</f>
        <v>42</v>
      </c>
      <c r="L27" cm="1">
        <f t="array" aca="1" ref="L27" ca="1">SUMPRODUCT(LARGE('For stats end Y points'!$B27:L27,ROW(INDIRECT("1:"&amp;MIN(24,COUNT('For stats end Y points'!$B27:L27))))))</f>
        <v>54</v>
      </c>
      <c r="M27" cm="1">
        <f t="array" aca="1" ref="M27" ca="1">SUMPRODUCT(LARGE('For stats end Y points'!$B27:M27,ROW(INDIRECT("1:"&amp;MIN(24,COUNT('For stats end Y points'!$B27:M27))))))</f>
        <v>70</v>
      </c>
      <c r="N27" cm="1">
        <f t="array" aca="1" ref="N27" ca="1">SUMPRODUCT(LARGE('For stats end Y points'!$B27:N27,ROW(INDIRECT("1:"&amp;MIN(24,COUNT('For stats end Y points'!$B27:N27))))))</f>
        <v>83</v>
      </c>
      <c r="O27" cm="1">
        <f t="array" aca="1" ref="O27" ca="1">SUMPRODUCT(LARGE('For stats end Y points'!$B27:O27,ROW(INDIRECT("1:"&amp;MIN(24,COUNT('For stats end Y points'!$B27:O27))))))</f>
        <v>85</v>
      </c>
      <c r="P27" cm="1">
        <f t="array" aca="1" ref="P27" ca="1">SUMPRODUCT(LARGE('For stats end Y points'!$B27:P27,ROW(INDIRECT("1:"&amp;MIN(24,COUNT('For stats end Y points'!$B27:P27))))))</f>
        <v>87</v>
      </c>
      <c r="Q27" cm="1">
        <f t="array" aca="1" ref="Q27" ca="1">SUMPRODUCT(LARGE('For stats end Y points'!$B27:Q27,ROW(INDIRECT("1:"&amp;MIN(24,COUNT('For stats end Y points'!$B27:Q27))))))</f>
        <v>87</v>
      </c>
      <c r="R27" cm="1">
        <f t="array" aca="1" ref="R27" ca="1">SUMPRODUCT(LARGE('For stats end Y points'!$B27:R27,ROW(INDIRECT("1:"&amp;MIN(24,COUNT('For stats end Y points'!$B27:R27))))))</f>
        <v>87</v>
      </c>
      <c r="S27" cm="1">
        <f t="array" aca="1" ref="S27" ca="1">SUMPRODUCT(LARGE('For stats end Y points'!$B27:S27,ROW(INDIRECT("1:"&amp;MIN(24,COUNT('For stats end Y points'!$B27:S27))))))</f>
        <v>90</v>
      </c>
      <c r="T27" cm="1">
        <f t="array" aca="1" ref="T27" ca="1">SUMPRODUCT(LARGE('For stats end Y points'!$B27:T27,ROW(INDIRECT("1:"&amp;MIN(24,COUNT('For stats end Y points'!$B27:T27))))))</f>
        <v>90</v>
      </c>
      <c r="U27" cm="1">
        <f t="array" aca="1" ref="U27" ca="1">SUMPRODUCT(LARGE('For stats end Y points'!$B27:U27,ROW(INDIRECT("1:"&amp;MIN(24,COUNT('For stats end Y points'!$B27:U27))))))</f>
        <v>90</v>
      </c>
      <c r="V27" cm="1">
        <f t="array" aca="1" ref="V27" ca="1">SUMPRODUCT(LARGE('For stats end Y points'!$B27:V27,ROW(INDIRECT("1:"&amp;MIN(24,COUNT('For stats end Y points'!$B27:V27))))))</f>
        <v>90</v>
      </c>
      <c r="W27" cm="1">
        <f t="array" aca="1" ref="W27" ca="1">SUMPRODUCT(LARGE('For stats end Y points'!$B27:W27,ROW(INDIRECT("1:"&amp;MIN(24,COUNT('For stats end Y points'!$B27:W27))))))</f>
        <v>90</v>
      </c>
      <c r="X27" cm="1">
        <f t="array" aca="1" ref="X27" ca="1">SUMPRODUCT(LARGE('For stats end Y points'!$B27:X27,ROW(INDIRECT("1:"&amp;MIN(24,COUNT('For stats end Y points'!$B27:X27))))))</f>
        <v>90</v>
      </c>
      <c r="Y27" cm="1">
        <f t="array" aca="1" ref="Y27" ca="1">SUMPRODUCT(LARGE('For stats end Y points'!$B27:Y27,ROW(INDIRECT("1:"&amp;MIN(24,COUNT('For stats end Y points'!$B27:Y27))))))</f>
        <v>90</v>
      </c>
      <c r="Z27" cm="1">
        <f t="array" aca="1" ref="Z27" ca="1">SUMPRODUCT(LARGE('For stats end Y points'!$B27:Z27,ROW(INDIRECT("1:"&amp;MIN(24,COUNT('For stats end Y points'!$B27:Z27))))))</f>
        <v>90</v>
      </c>
      <c r="AA27" cm="1">
        <f t="array" aca="1" ref="AA27" ca="1">SUMPRODUCT(LARGE('For stats end Y points'!$B27:AA27,ROW(INDIRECT("1:"&amp;MIN(24,COUNT('For stats end Y points'!$B27:AA27))))))</f>
        <v>90</v>
      </c>
      <c r="AB27" cm="1">
        <f t="array" aca="1" ref="AB27" ca="1">SUMPRODUCT(LARGE('For stats end Y points'!$B27:AB27,ROW(INDIRECT("1:"&amp;MIN(24,COUNT('For stats end Y points'!$B27:AB27))))))</f>
        <v>90</v>
      </c>
      <c r="AC27" cm="1">
        <f t="array" aca="1" ref="AC27" ca="1">SUMPRODUCT(LARGE('For stats end Y points'!$B27:AC27,ROW(INDIRECT("1:"&amp;MIN(24,COUNT('For stats end Y points'!$B27:AC27))))))</f>
        <v>90</v>
      </c>
      <c r="AD27" cm="1">
        <f t="array" aca="1" ref="AD27" ca="1">SUMPRODUCT(LARGE('For stats end Y points'!$B27:AD27,ROW(INDIRECT("1:"&amp;MIN(24,COUNT('For stats end Y points'!$B27:AD27))))))</f>
        <v>90</v>
      </c>
      <c r="AE27" cm="1">
        <f t="array" aca="1" ref="AE27" ca="1">SUMPRODUCT(LARGE('For stats end Y points'!$B27:AE27,ROW(INDIRECT("1:"&amp;MIN(24,COUNT('For stats end Y points'!$B27:AE27))))))</f>
        <v>90</v>
      </c>
      <c r="AF27" cm="1">
        <f t="array" aca="1" ref="AF27" ca="1">SUMPRODUCT(LARGE('For stats end Y points'!$B27:AF27,ROW(INDIRECT("1:"&amp;MIN(24,COUNT('For stats end Y points'!$B27:AF27))))))</f>
        <v>90</v>
      </c>
      <c r="AG27" cm="1">
        <f t="array" aca="1" ref="AG27" ca="1">SUMPRODUCT(LARGE('For stats end Y points'!$B27:AG27,ROW(INDIRECT("1:"&amp;MIN(24,COUNT('For stats end Y points'!$B27:AG27))))))</f>
        <v>90</v>
      </c>
      <c r="AH27" cm="1">
        <f t="array" aca="1" ref="AH27" ca="1">SUMPRODUCT(LARGE('For stats end Y points'!$B27:AH27,ROW(INDIRECT("1:"&amp;MIN(24,COUNT('For stats end Y points'!$B27:AH27))))))</f>
        <v>90</v>
      </c>
      <c r="AP27" s="10">
        <f t="shared" si="0"/>
        <v>0</v>
      </c>
      <c r="AQ27">
        <f>'For stats end Y class'!AU27</f>
        <v>13</v>
      </c>
    </row>
    <row r="28" spans="1:43" x14ac:dyDescent="0.2">
      <c r="A28" t="str">
        <f>'For stats end Y points'!A28</f>
        <v>Flora</v>
      </c>
      <c r="B28" cm="1">
        <f t="array" aca="1" ref="B28" ca="1">SUMPRODUCT(LARGE('For stats end Y points'!$B28:B28,ROW(INDIRECT("1:"&amp;MIN(24,COUNT('For stats end Y points'!$B28:B28))))))</f>
        <v>2</v>
      </c>
      <c r="C28" cm="1">
        <f t="array" aca="1" ref="C28" ca="1">SUMPRODUCT(LARGE('For stats end Y points'!$B28:C28,ROW(INDIRECT("1:"&amp;MIN(24,COUNT('For stats end Y points'!$B28:C28))))))</f>
        <v>2</v>
      </c>
      <c r="D28" cm="1">
        <f t="array" aca="1" ref="D28" ca="1">SUMPRODUCT(LARGE('For stats end Y points'!$B28:D28,ROW(INDIRECT("1:"&amp;MIN(24,COUNT('For stats end Y points'!$B28:D28))))))</f>
        <v>2</v>
      </c>
      <c r="E28" cm="1">
        <f t="array" aca="1" ref="E28" ca="1">SUMPRODUCT(LARGE('For stats end Y points'!$B28:E28,ROW(INDIRECT("1:"&amp;MIN(24,COUNT('For stats end Y points'!$B28:E28))))))</f>
        <v>2</v>
      </c>
      <c r="F28" cm="1">
        <f t="array" aca="1" ref="F28" ca="1">SUMPRODUCT(LARGE('For stats end Y points'!$B28:F28,ROW(INDIRECT("1:"&amp;MIN(24,COUNT('For stats end Y points'!$B28:F28))))))</f>
        <v>2</v>
      </c>
      <c r="G28" cm="1">
        <f t="array" aca="1" ref="G28" ca="1">SUMPRODUCT(LARGE('For stats end Y points'!$B28:G28,ROW(INDIRECT("1:"&amp;MIN(24,COUNT('For stats end Y points'!$B28:G28))))))</f>
        <v>2</v>
      </c>
      <c r="H28" cm="1">
        <f t="array" aca="1" ref="H28" ca="1">SUMPRODUCT(LARGE('For stats end Y points'!$B28:H28,ROW(INDIRECT("1:"&amp;MIN(24,COUNT('For stats end Y points'!$B28:H28))))))</f>
        <v>2</v>
      </c>
      <c r="I28" cm="1">
        <f t="array" aca="1" ref="I28" ca="1">SUMPRODUCT(LARGE('For stats end Y points'!$B28:I28,ROW(INDIRECT("1:"&amp;MIN(24,COUNT('For stats end Y points'!$B28:I28))))))</f>
        <v>2</v>
      </c>
      <c r="J28" cm="1">
        <f t="array" aca="1" ref="J28" ca="1">SUMPRODUCT(LARGE('For stats end Y points'!$B28:J28,ROW(INDIRECT("1:"&amp;MIN(24,COUNT('For stats end Y points'!$B28:J28))))))</f>
        <v>2</v>
      </c>
      <c r="K28" cm="1">
        <f t="array" aca="1" ref="K28" ca="1">SUMPRODUCT(LARGE('For stats end Y points'!$B28:K28,ROW(INDIRECT("1:"&amp;MIN(24,COUNT('For stats end Y points'!$B28:K28))))))</f>
        <v>2</v>
      </c>
      <c r="L28" cm="1">
        <f t="array" aca="1" ref="L28" ca="1">SUMPRODUCT(LARGE('For stats end Y points'!$B28:L28,ROW(INDIRECT("1:"&amp;MIN(24,COUNT('For stats end Y points'!$B28:L28))))))</f>
        <v>2</v>
      </c>
      <c r="M28" cm="1">
        <f t="array" aca="1" ref="M28" ca="1">SUMPRODUCT(LARGE('For stats end Y points'!$B28:M28,ROW(INDIRECT("1:"&amp;MIN(24,COUNT('For stats end Y points'!$B28:M28))))))</f>
        <v>2</v>
      </c>
      <c r="N28" cm="1">
        <f t="array" aca="1" ref="N28" ca="1">SUMPRODUCT(LARGE('For stats end Y points'!$B28:N28,ROW(INDIRECT("1:"&amp;MIN(24,COUNT('For stats end Y points'!$B28:N28))))))</f>
        <v>2</v>
      </c>
      <c r="O28" cm="1">
        <f t="array" aca="1" ref="O28" ca="1">SUMPRODUCT(LARGE('For stats end Y points'!$B28:O28,ROW(INDIRECT("1:"&amp;MIN(24,COUNT('For stats end Y points'!$B28:O28))))))</f>
        <v>2</v>
      </c>
      <c r="P28" cm="1">
        <f t="array" aca="1" ref="P28" ca="1">SUMPRODUCT(LARGE('For stats end Y points'!$B28:P28,ROW(INDIRECT("1:"&amp;MIN(24,COUNT('For stats end Y points'!$B28:P28))))))</f>
        <v>2</v>
      </c>
      <c r="Q28" cm="1">
        <f t="array" aca="1" ref="Q28" ca="1">SUMPRODUCT(LARGE('For stats end Y points'!$B28:Q28,ROW(INDIRECT("1:"&amp;MIN(24,COUNT('For stats end Y points'!$B28:Q28))))))</f>
        <v>2</v>
      </c>
      <c r="R28" cm="1">
        <f t="array" aca="1" ref="R28" ca="1">SUMPRODUCT(LARGE('For stats end Y points'!$B28:R28,ROW(INDIRECT("1:"&amp;MIN(24,COUNT('For stats end Y points'!$B28:R28))))))</f>
        <v>2</v>
      </c>
      <c r="S28" cm="1">
        <f t="array" aca="1" ref="S28" ca="1">SUMPRODUCT(LARGE('For stats end Y points'!$B28:S28,ROW(INDIRECT("1:"&amp;MIN(24,COUNT('For stats end Y points'!$B28:S28))))))</f>
        <v>2</v>
      </c>
      <c r="T28" cm="1">
        <f t="array" aca="1" ref="T28" ca="1">SUMPRODUCT(LARGE('For stats end Y points'!$B28:T28,ROW(INDIRECT("1:"&amp;MIN(24,COUNT('For stats end Y points'!$B28:T28))))))</f>
        <v>2</v>
      </c>
      <c r="U28" cm="1">
        <f t="array" aca="1" ref="U28" ca="1">SUMPRODUCT(LARGE('For stats end Y points'!$B28:U28,ROW(INDIRECT("1:"&amp;MIN(24,COUNT('For stats end Y points'!$B28:U28))))))</f>
        <v>2</v>
      </c>
      <c r="V28" cm="1">
        <f t="array" aca="1" ref="V28" ca="1">SUMPRODUCT(LARGE('For stats end Y points'!$B28:V28,ROW(INDIRECT("1:"&amp;MIN(24,COUNT('For stats end Y points'!$B28:V28))))))</f>
        <v>2</v>
      </c>
      <c r="W28" cm="1">
        <f t="array" aca="1" ref="W28" ca="1">SUMPRODUCT(LARGE('For stats end Y points'!$B28:W28,ROW(INDIRECT("1:"&amp;MIN(24,COUNT('For stats end Y points'!$B28:W28))))))</f>
        <v>2</v>
      </c>
      <c r="X28" cm="1">
        <f t="array" aca="1" ref="X28" ca="1">SUMPRODUCT(LARGE('For stats end Y points'!$B28:X28,ROW(INDIRECT("1:"&amp;MIN(24,COUNT('For stats end Y points'!$B28:X28))))))</f>
        <v>2</v>
      </c>
      <c r="Y28" cm="1">
        <f t="array" aca="1" ref="Y28" ca="1">SUMPRODUCT(LARGE('For stats end Y points'!$B28:Y28,ROW(INDIRECT("1:"&amp;MIN(24,COUNT('For stats end Y points'!$B28:Y28))))))</f>
        <v>2</v>
      </c>
      <c r="Z28" cm="1">
        <f t="array" aca="1" ref="Z28" ca="1">SUMPRODUCT(LARGE('For stats end Y points'!$B28:Z28,ROW(INDIRECT("1:"&amp;MIN(24,COUNT('For stats end Y points'!$B28:Z28))))))</f>
        <v>2</v>
      </c>
      <c r="AA28" cm="1">
        <f t="array" aca="1" ref="AA28" ca="1">SUMPRODUCT(LARGE('For stats end Y points'!$B28:AA28,ROW(INDIRECT("1:"&amp;MIN(24,COUNT('For stats end Y points'!$B28:AA28))))))</f>
        <v>2</v>
      </c>
      <c r="AB28" cm="1">
        <f t="array" aca="1" ref="AB28" ca="1">SUMPRODUCT(LARGE('For stats end Y points'!$B28:AB28,ROW(INDIRECT("1:"&amp;MIN(24,COUNT('For stats end Y points'!$B28:AB28))))))</f>
        <v>2</v>
      </c>
      <c r="AC28" cm="1">
        <f t="array" aca="1" ref="AC28" ca="1">SUMPRODUCT(LARGE('For stats end Y points'!$B28:AC28,ROW(INDIRECT("1:"&amp;MIN(24,COUNT('For stats end Y points'!$B28:AC28))))))</f>
        <v>2</v>
      </c>
      <c r="AD28" cm="1">
        <f t="array" aca="1" ref="AD28" ca="1">SUMPRODUCT(LARGE('For stats end Y points'!$B28:AD28,ROW(INDIRECT("1:"&amp;MIN(24,COUNT('For stats end Y points'!$B28:AD28))))))</f>
        <v>2</v>
      </c>
      <c r="AE28" cm="1">
        <f t="array" aca="1" ref="AE28" ca="1">SUMPRODUCT(LARGE('For stats end Y points'!$B28:AE28,ROW(INDIRECT("1:"&amp;MIN(24,COUNT('For stats end Y points'!$B28:AE28))))))</f>
        <v>2</v>
      </c>
      <c r="AF28" cm="1">
        <f t="array" aca="1" ref="AF28" ca="1">SUMPRODUCT(LARGE('For stats end Y points'!$B28:AF28,ROW(INDIRECT("1:"&amp;MIN(24,COUNT('For stats end Y points'!$B28:AF28))))))</f>
        <v>2</v>
      </c>
      <c r="AG28" cm="1">
        <f t="array" aca="1" ref="AG28" ca="1">SUMPRODUCT(LARGE('For stats end Y points'!$B28:AG28,ROW(INDIRECT("1:"&amp;MIN(24,COUNT('For stats end Y points'!$B28:AG28))))))</f>
        <v>2</v>
      </c>
      <c r="AH28" cm="1">
        <f t="array" aca="1" ref="AH28" ca="1">SUMPRODUCT(LARGE('For stats end Y points'!$B28:AH28,ROW(INDIRECT("1:"&amp;MIN(24,COUNT('For stats end Y points'!$B28:AH28))))))</f>
        <v>2</v>
      </c>
      <c r="AP28" s="10">
        <f t="shared" si="0"/>
        <v>0</v>
      </c>
      <c r="AQ28">
        <f>'For stats end Y class'!AU28</f>
        <v>1</v>
      </c>
    </row>
    <row r="29" spans="1:43" x14ac:dyDescent="0.2">
      <c r="A29" t="str">
        <f>'For stats end Y points'!A29</f>
        <v>Franz</v>
      </c>
      <c r="B29" cm="1">
        <f t="array" aca="1" ref="B29" ca="1">SUMPRODUCT(LARGE('For stats end Y points'!$B29:B29,ROW(INDIRECT("1:"&amp;MIN(24,COUNT('For stats end Y points'!$B29:B29))))))</f>
        <v>16</v>
      </c>
      <c r="C29" cm="1">
        <f t="array" aca="1" ref="C29" ca="1">SUMPRODUCT(LARGE('For stats end Y points'!$B29:C29,ROW(INDIRECT("1:"&amp;MIN(24,COUNT('For stats end Y points'!$B29:C29))))))</f>
        <v>16</v>
      </c>
      <c r="D29" cm="1">
        <f t="array" aca="1" ref="D29" ca="1">SUMPRODUCT(LARGE('For stats end Y points'!$B29:D29,ROW(INDIRECT("1:"&amp;MIN(24,COUNT('For stats end Y points'!$B29:D29))))))</f>
        <v>16</v>
      </c>
      <c r="E29" cm="1">
        <f t="array" aca="1" ref="E29" ca="1">SUMPRODUCT(LARGE('For stats end Y points'!$B29:E29,ROW(INDIRECT("1:"&amp;MIN(24,COUNT('For stats end Y points'!$B29:E29))))))</f>
        <v>16</v>
      </c>
      <c r="F29" cm="1">
        <f t="array" aca="1" ref="F29" ca="1">SUMPRODUCT(LARGE('For stats end Y points'!$B29:F29,ROW(INDIRECT("1:"&amp;MIN(24,COUNT('For stats end Y points'!$B29:F29))))))</f>
        <v>16</v>
      </c>
      <c r="G29" cm="1">
        <f t="array" aca="1" ref="G29" ca="1">SUMPRODUCT(LARGE('For stats end Y points'!$B29:G29,ROW(INDIRECT("1:"&amp;MIN(24,COUNT('For stats end Y points'!$B29:G29))))))</f>
        <v>16</v>
      </c>
      <c r="H29" cm="1">
        <f t="array" aca="1" ref="H29" ca="1">SUMPRODUCT(LARGE('For stats end Y points'!$B29:H29,ROW(INDIRECT("1:"&amp;MIN(24,COUNT('For stats end Y points'!$B29:H29))))))</f>
        <v>16</v>
      </c>
      <c r="I29" cm="1">
        <f t="array" aca="1" ref="I29" ca="1">SUMPRODUCT(LARGE('For stats end Y points'!$B29:I29,ROW(INDIRECT("1:"&amp;MIN(24,COUNT('For stats end Y points'!$B29:I29))))))</f>
        <v>16</v>
      </c>
      <c r="J29" cm="1">
        <f t="array" aca="1" ref="J29" ca="1">SUMPRODUCT(LARGE('For stats end Y points'!$B29:J29,ROW(INDIRECT("1:"&amp;MIN(24,COUNT('For stats end Y points'!$B29:J29))))))</f>
        <v>16</v>
      </c>
      <c r="K29" cm="1">
        <f t="array" aca="1" ref="K29" ca="1">SUMPRODUCT(LARGE('For stats end Y points'!$B29:K29,ROW(INDIRECT("1:"&amp;MIN(24,COUNT('For stats end Y points'!$B29:K29))))))</f>
        <v>16</v>
      </c>
      <c r="L29" cm="1">
        <f t="array" aca="1" ref="L29" ca="1">SUMPRODUCT(LARGE('For stats end Y points'!$B29:L29,ROW(INDIRECT("1:"&amp;MIN(24,COUNT('For stats end Y points'!$B29:L29))))))</f>
        <v>16</v>
      </c>
      <c r="M29" cm="1">
        <f t="array" aca="1" ref="M29" ca="1">SUMPRODUCT(LARGE('For stats end Y points'!$B29:M29,ROW(INDIRECT("1:"&amp;MIN(24,COUNT('For stats end Y points'!$B29:M29))))))</f>
        <v>16</v>
      </c>
      <c r="N29" cm="1">
        <f t="array" aca="1" ref="N29" ca="1">SUMPRODUCT(LARGE('For stats end Y points'!$B29:N29,ROW(INDIRECT("1:"&amp;MIN(24,COUNT('For stats end Y points'!$B29:N29))))))</f>
        <v>16</v>
      </c>
      <c r="O29" cm="1">
        <f t="array" aca="1" ref="O29" ca="1">SUMPRODUCT(LARGE('For stats end Y points'!$B29:O29,ROW(INDIRECT("1:"&amp;MIN(24,COUNT('For stats end Y points'!$B29:O29))))))</f>
        <v>16</v>
      </c>
      <c r="P29" cm="1">
        <f t="array" aca="1" ref="P29" ca="1">SUMPRODUCT(LARGE('For stats end Y points'!$B29:P29,ROW(INDIRECT("1:"&amp;MIN(24,COUNT('For stats end Y points'!$B29:P29))))))</f>
        <v>16</v>
      </c>
      <c r="Q29" cm="1">
        <f t="array" aca="1" ref="Q29" ca="1">SUMPRODUCT(LARGE('For stats end Y points'!$B29:Q29,ROW(INDIRECT("1:"&amp;MIN(24,COUNT('For stats end Y points'!$B29:Q29))))))</f>
        <v>16</v>
      </c>
      <c r="R29" cm="1">
        <f t="array" aca="1" ref="R29" ca="1">SUMPRODUCT(LARGE('For stats end Y points'!$B29:R29,ROW(INDIRECT("1:"&amp;MIN(24,COUNT('For stats end Y points'!$B29:R29))))))</f>
        <v>16</v>
      </c>
      <c r="S29" cm="1">
        <f t="array" aca="1" ref="S29" ca="1">SUMPRODUCT(LARGE('For stats end Y points'!$B29:S29,ROW(INDIRECT("1:"&amp;MIN(24,COUNT('For stats end Y points'!$B29:S29))))))</f>
        <v>16</v>
      </c>
      <c r="T29" cm="1">
        <f t="array" aca="1" ref="T29" ca="1">SUMPRODUCT(LARGE('For stats end Y points'!$B29:T29,ROW(INDIRECT("1:"&amp;MIN(24,COUNT('For stats end Y points'!$B29:T29))))))</f>
        <v>16</v>
      </c>
      <c r="U29" cm="1">
        <f t="array" aca="1" ref="U29" ca="1">SUMPRODUCT(LARGE('For stats end Y points'!$B29:U29,ROW(INDIRECT("1:"&amp;MIN(24,COUNT('For stats end Y points'!$B29:U29))))))</f>
        <v>16</v>
      </c>
      <c r="V29" cm="1">
        <f t="array" aca="1" ref="V29" ca="1">SUMPRODUCT(LARGE('For stats end Y points'!$B29:V29,ROW(INDIRECT("1:"&amp;MIN(24,COUNT('For stats end Y points'!$B29:V29))))))</f>
        <v>16</v>
      </c>
      <c r="W29" cm="1">
        <f t="array" aca="1" ref="W29" ca="1">SUMPRODUCT(LARGE('For stats end Y points'!$B29:W29,ROW(INDIRECT("1:"&amp;MIN(24,COUNT('For stats end Y points'!$B29:W29))))))</f>
        <v>16</v>
      </c>
      <c r="X29" cm="1">
        <f t="array" aca="1" ref="X29" ca="1">SUMPRODUCT(LARGE('For stats end Y points'!$B29:X29,ROW(INDIRECT("1:"&amp;MIN(24,COUNT('For stats end Y points'!$B29:X29))))))</f>
        <v>16</v>
      </c>
      <c r="Y29" cm="1">
        <f t="array" aca="1" ref="Y29" ca="1">SUMPRODUCT(LARGE('For stats end Y points'!$B29:Y29,ROW(INDIRECT("1:"&amp;MIN(24,COUNT('For stats end Y points'!$B29:Y29))))))</f>
        <v>16</v>
      </c>
      <c r="Z29" cm="1">
        <f t="array" aca="1" ref="Z29" ca="1">SUMPRODUCT(LARGE('For stats end Y points'!$B29:Z29,ROW(INDIRECT("1:"&amp;MIN(24,COUNT('For stats end Y points'!$B29:Z29))))))</f>
        <v>16</v>
      </c>
      <c r="AA29" cm="1">
        <f t="array" aca="1" ref="AA29" ca="1">SUMPRODUCT(LARGE('For stats end Y points'!$B29:AA29,ROW(INDIRECT("1:"&amp;MIN(24,COUNT('For stats end Y points'!$B29:AA29))))))</f>
        <v>16</v>
      </c>
      <c r="AB29" cm="1">
        <f t="array" aca="1" ref="AB29" ca="1">SUMPRODUCT(LARGE('For stats end Y points'!$B29:AB29,ROW(INDIRECT("1:"&amp;MIN(24,COUNT('For stats end Y points'!$B29:AB29))))))</f>
        <v>16</v>
      </c>
      <c r="AC29" cm="1">
        <f t="array" aca="1" ref="AC29" ca="1">SUMPRODUCT(LARGE('For stats end Y points'!$B29:AC29,ROW(INDIRECT("1:"&amp;MIN(24,COUNT('For stats end Y points'!$B29:AC29))))))</f>
        <v>16</v>
      </c>
      <c r="AD29" cm="1">
        <f t="array" aca="1" ref="AD29" ca="1">SUMPRODUCT(LARGE('For stats end Y points'!$B29:AD29,ROW(INDIRECT("1:"&amp;MIN(24,COUNT('For stats end Y points'!$B29:AD29))))))</f>
        <v>16</v>
      </c>
      <c r="AE29" cm="1">
        <f t="array" aca="1" ref="AE29" ca="1">SUMPRODUCT(LARGE('For stats end Y points'!$B29:AE29,ROW(INDIRECT("1:"&amp;MIN(24,COUNT('For stats end Y points'!$B29:AE29))))))</f>
        <v>16</v>
      </c>
      <c r="AF29" cm="1">
        <f t="array" aca="1" ref="AF29" ca="1">SUMPRODUCT(LARGE('For stats end Y points'!$B29:AF29,ROW(INDIRECT("1:"&amp;MIN(24,COUNT('For stats end Y points'!$B29:AF29))))))</f>
        <v>16</v>
      </c>
      <c r="AG29" cm="1">
        <f t="array" aca="1" ref="AG29" ca="1">SUMPRODUCT(LARGE('For stats end Y points'!$B29:AG29,ROW(INDIRECT("1:"&amp;MIN(24,COUNT('For stats end Y points'!$B29:AG29))))))</f>
        <v>16</v>
      </c>
      <c r="AH29" cm="1">
        <f t="array" aca="1" ref="AH29" ca="1">SUMPRODUCT(LARGE('For stats end Y points'!$B29:AH29,ROW(INDIRECT("1:"&amp;MIN(24,COUNT('For stats end Y points'!$B29:AH29))))))</f>
        <v>16</v>
      </c>
      <c r="AP29" s="10">
        <f t="shared" si="0"/>
        <v>0</v>
      </c>
      <c r="AQ29">
        <f>'For stats end Y class'!AU29</f>
        <v>1</v>
      </c>
    </row>
    <row r="30" spans="1:43" x14ac:dyDescent="0.2">
      <c r="A30" t="str">
        <f>'For stats end Y points'!A30</f>
        <v>Freddie</v>
      </c>
      <c r="B30" cm="1">
        <f t="array" aca="1" ref="B30" ca="1">SUMPRODUCT(LARGE('For stats end Y points'!$B30:B30,ROW(INDIRECT("1:"&amp;MIN(24,COUNT('For stats end Y points'!$B30:B30))))))</f>
        <v>0</v>
      </c>
      <c r="C30" cm="1">
        <f t="array" aca="1" ref="C30" ca="1">SUMPRODUCT(LARGE('For stats end Y points'!$B30:C30,ROW(INDIRECT("1:"&amp;MIN(24,COUNT('For stats end Y points'!$B30:C30))))))</f>
        <v>2</v>
      </c>
      <c r="D30" cm="1">
        <f t="array" aca="1" ref="D30" ca="1">SUMPRODUCT(LARGE('For stats end Y points'!$B30:D30,ROW(INDIRECT("1:"&amp;MIN(24,COUNT('For stats end Y points'!$B30:D30))))))</f>
        <v>3</v>
      </c>
      <c r="E30" cm="1">
        <f t="array" aca="1" ref="E30" ca="1">SUMPRODUCT(LARGE('For stats end Y points'!$B30:E30,ROW(INDIRECT("1:"&amp;MIN(24,COUNT('For stats end Y points'!$B30:E30))))))</f>
        <v>12</v>
      </c>
      <c r="F30" cm="1">
        <f t="array" aca="1" ref="F30" ca="1">SUMPRODUCT(LARGE('For stats end Y points'!$B30:F30,ROW(INDIRECT("1:"&amp;MIN(24,COUNT('For stats end Y points'!$B30:F30))))))</f>
        <v>12</v>
      </c>
      <c r="G30" cm="1">
        <f t="array" aca="1" ref="G30" ca="1">SUMPRODUCT(LARGE('For stats end Y points'!$B30:G30,ROW(INDIRECT("1:"&amp;MIN(24,COUNT('For stats end Y points'!$B30:G30))))))</f>
        <v>25</v>
      </c>
      <c r="H30" cm="1">
        <f t="array" aca="1" ref="H30" ca="1">SUMPRODUCT(LARGE('For stats end Y points'!$B30:H30,ROW(INDIRECT("1:"&amp;MIN(24,COUNT('For stats end Y points'!$B30:H30))))))</f>
        <v>25</v>
      </c>
      <c r="I30" cm="1">
        <f t="array" aca="1" ref="I30" ca="1">SUMPRODUCT(LARGE('For stats end Y points'!$B30:I30,ROW(INDIRECT("1:"&amp;MIN(24,COUNT('For stats end Y points'!$B30:I30))))))</f>
        <v>28</v>
      </c>
      <c r="J30" cm="1">
        <f t="array" aca="1" ref="J30" ca="1">SUMPRODUCT(LARGE('For stats end Y points'!$B30:J30,ROW(INDIRECT("1:"&amp;MIN(24,COUNT('For stats end Y points'!$B30:J30))))))</f>
        <v>30</v>
      </c>
      <c r="K30" cm="1">
        <f t="array" aca="1" ref="K30" ca="1">SUMPRODUCT(LARGE('For stats end Y points'!$B30:K30,ROW(INDIRECT("1:"&amp;MIN(24,COUNT('For stats end Y points'!$B30:K30))))))</f>
        <v>31</v>
      </c>
      <c r="L30" cm="1">
        <f t="array" aca="1" ref="L30" ca="1">SUMPRODUCT(LARGE('For stats end Y points'!$B30:L30,ROW(INDIRECT("1:"&amp;MIN(24,COUNT('For stats end Y points'!$B30:L30))))))</f>
        <v>34</v>
      </c>
      <c r="M30" cm="1">
        <f t="array" aca="1" ref="M30" ca="1">SUMPRODUCT(LARGE('For stats end Y points'!$B30:M30,ROW(INDIRECT("1:"&amp;MIN(24,COUNT('For stats end Y points'!$B30:M30))))))</f>
        <v>42</v>
      </c>
      <c r="N30" cm="1">
        <f t="array" aca="1" ref="N30" ca="1">SUMPRODUCT(LARGE('For stats end Y points'!$B30:N30,ROW(INDIRECT("1:"&amp;MIN(24,COUNT('For stats end Y points'!$B30:N30))))))</f>
        <v>44</v>
      </c>
      <c r="O30" cm="1">
        <f t="array" aca="1" ref="O30" ca="1">SUMPRODUCT(LARGE('For stats end Y points'!$B30:O30,ROW(INDIRECT("1:"&amp;MIN(24,COUNT('For stats end Y points'!$B30:O30))))))</f>
        <v>44</v>
      </c>
      <c r="P30" cm="1">
        <f t="array" aca="1" ref="P30" ca="1">SUMPRODUCT(LARGE('For stats end Y points'!$B30:P30,ROW(INDIRECT("1:"&amp;MIN(24,COUNT('For stats end Y points'!$B30:P30))))))</f>
        <v>45</v>
      </c>
      <c r="Q30" cm="1">
        <f t="array" aca="1" ref="Q30" ca="1">SUMPRODUCT(LARGE('For stats end Y points'!$B30:Q30,ROW(INDIRECT("1:"&amp;MIN(24,COUNT('For stats end Y points'!$B30:Q30))))))</f>
        <v>47</v>
      </c>
      <c r="R30" cm="1">
        <f t="array" aca="1" ref="R30" ca="1">SUMPRODUCT(LARGE('For stats end Y points'!$B30:R30,ROW(INDIRECT("1:"&amp;MIN(24,COUNT('For stats end Y points'!$B30:R30))))))</f>
        <v>50</v>
      </c>
      <c r="S30" cm="1">
        <f t="array" aca="1" ref="S30" ca="1">SUMPRODUCT(LARGE('For stats end Y points'!$B30:S30,ROW(INDIRECT("1:"&amp;MIN(24,COUNT('For stats end Y points'!$B30:S30))))))</f>
        <v>51</v>
      </c>
      <c r="T30" cm="1">
        <f t="array" aca="1" ref="T30" ca="1">SUMPRODUCT(LARGE('For stats end Y points'!$B30:T30,ROW(INDIRECT("1:"&amp;MIN(24,COUNT('For stats end Y points'!$B30:T30))))))</f>
        <v>52</v>
      </c>
      <c r="U30" cm="1">
        <f t="array" aca="1" ref="U30" ca="1">SUMPRODUCT(LARGE('For stats end Y points'!$B30:U30,ROW(INDIRECT("1:"&amp;MIN(24,COUNT('For stats end Y points'!$B30:U30))))))</f>
        <v>64</v>
      </c>
      <c r="V30" cm="1">
        <f t="array" aca="1" ref="V30" ca="1">SUMPRODUCT(LARGE('For stats end Y points'!$B30:V30,ROW(INDIRECT("1:"&amp;MIN(24,COUNT('For stats end Y points'!$B30:V30))))))</f>
        <v>68</v>
      </c>
      <c r="W30" cm="1">
        <f t="array" aca="1" ref="W30" ca="1">SUMPRODUCT(LARGE('For stats end Y points'!$B30:W30,ROW(INDIRECT("1:"&amp;MIN(24,COUNT('For stats end Y points'!$B30:W30))))))</f>
        <v>72</v>
      </c>
      <c r="X30" cm="1">
        <f t="array" aca="1" ref="X30" ca="1">SUMPRODUCT(LARGE('For stats end Y points'!$B30:X30,ROW(INDIRECT("1:"&amp;MIN(24,COUNT('For stats end Y points'!$B30:X30))))))</f>
        <v>80</v>
      </c>
      <c r="Y30" cm="1">
        <f t="array" aca="1" ref="Y30" ca="1">SUMPRODUCT(LARGE('For stats end Y points'!$B30:Y30,ROW(INDIRECT("1:"&amp;MIN(24,COUNT('For stats end Y points'!$B30:Y30))))))</f>
        <v>83</v>
      </c>
      <c r="Z30" cm="1">
        <f t="array" aca="1" ref="Z30" ca="1">SUMPRODUCT(LARGE('For stats end Y points'!$B30:Z30,ROW(INDIRECT("1:"&amp;MIN(24,COUNT('For stats end Y points'!$B30:Z30))))))</f>
        <v>83</v>
      </c>
      <c r="AA30" cm="1">
        <f t="array" aca="1" ref="AA30" ca="1">SUMPRODUCT(LARGE('For stats end Y points'!$B30:AA30,ROW(INDIRECT("1:"&amp;MIN(24,COUNT('For stats end Y points'!$B30:AA30))))))</f>
        <v>87</v>
      </c>
      <c r="AB30" cm="1">
        <f t="array" aca="1" ref="AB30" ca="1">SUMPRODUCT(LARGE('For stats end Y points'!$B30:AB30,ROW(INDIRECT("1:"&amp;MIN(24,COUNT('For stats end Y points'!$B30:AB30))))))</f>
        <v>87</v>
      </c>
      <c r="AC30" cm="1">
        <f t="array" aca="1" ref="AC30" ca="1">SUMPRODUCT(LARGE('For stats end Y points'!$B30:AC30,ROW(INDIRECT("1:"&amp;MIN(24,COUNT('For stats end Y points'!$B30:AC30))))))</f>
        <v>87</v>
      </c>
      <c r="AD30" cm="1">
        <f t="array" aca="1" ref="AD30" ca="1">SUMPRODUCT(LARGE('For stats end Y points'!$B30:AD30,ROW(INDIRECT("1:"&amp;MIN(24,COUNT('For stats end Y points'!$B30:AD30))))))</f>
        <v>87</v>
      </c>
      <c r="AE30" cm="1">
        <f t="array" aca="1" ref="AE30" ca="1">SUMPRODUCT(LARGE('For stats end Y points'!$B30:AE30,ROW(INDIRECT("1:"&amp;MIN(24,COUNT('For stats end Y points'!$B30:AE30))))))</f>
        <v>87</v>
      </c>
      <c r="AF30" cm="1">
        <f t="array" aca="1" ref="AF30" ca="1">SUMPRODUCT(LARGE('For stats end Y points'!$B30:AF30,ROW(INDIRECT("1:"&amp;MIN(24,COUNT('For stats end Y points'!$B30:AF30))))))</f>
        <v>91</v>
      </c>
      <c r="AG30" cm="1">
        <f t="array" aca="1" ref="AG30" ca="1">SUMPRODUCT(LARGE('For stats end Y points'!$B30:AG30,ROW(INDIRECT("1:"&amp;MIN(24,COUNT('For stats end Y points'!$B30:AG30))))))</f>
        <v>93</v>
      </c>
      <c r="AH30" cm="1">
        <f t="array" aca="1" ref="AH30" ca="1">SUMPRODUCT(LARGE('For stats end Y points'!$B30:AH30,ROW(INDIRECT("1:"&amp;MIN(24,COUNT('For stats end Y points'!$B30:AH30))))))</f>
        <v>93</v>
      </c>
      <c r="AP30" s="10">
        <f t="shared" si="0"/>
        <v>0</v>
      </c>
      <c r="AQ30">
        <f>'For stats end Y class'!AU30</f>
        <v>23</v>
      </c>
    </row>
    <row r="31" spans="1:43" x14ac:dyDescent="0.2">
      <c r="A31" t="str">
        <f>'For stats end Y points'!A31</f>
        <v>Fréderique</v>
      </c>
      <c r="B31" cm="1">
        <f t="array" aca="1" ref="B31" ca="1">SUMPRODUCT(LARGE('For stats end Y points'!$B31:B31,ROW(INDIRECT("1:"&amp;MIN(24,COUNT('For stats end Y points'!$B31:B31))))))</f>
        <v>3</v>
      </c>
      <c r="C31" cm="1">
        <f t="array" aca="1" ref="C31" ca="1">SUMPRODUCT(LARGE('For stats end Y points'!$B31:C31,ROW(INDIRECT("1:"&amp;MIN(24,COUNT('For stats end Y points'!$B31:C31))))))</f>
        <v>3</v>
      </c>
      <c r="D31" cm="1">
        <f t="array" aca="1" ref="D31" ca="1">SUMPRODUCT(LARGE('For stats end Y points'!$B31:D31,ROW(INDIRECT("1:"&amp;MIN(24,COUNT('For stats end Y points'!$B31:D31))))))</f>
        <v>3</v>
      </c>
      <c r="E31" cm="1">
        <f t="array" aca="1" ref="E31" ca="1">SUMPRODUCT(LARGE('For stats end Y points'!$B31:E31,ROW(INDIRECT("1:"&amp;MIN(24,COUNT('For stats end Y points'!$B31:E31))))))</f>
        <v>3</v>
      </c>
      <c r="F31" cm="1">
        <f t="array" aca="1" ref="F31" ca="1">SUMPRODUCT(LARGE('For stats end Y points'!$B31:F31,ROW(INDIRECT("1:"&amp;MIN(24,COUNT('For stats end Y points'!$B31:F31))))))</f>
        <v>3</v>
      </c>
      <c r="G31" cm="1">
        <f t="array" aca="1" ref="G31" ca="1">SUMPRODUCT(LARGE('For stats end Y points'!$B31:G31,ROW(INDIRECT("1:"&amp;MIN(24,COUNT('For stats end Y points'!$B31:G31))))))</f>
        <v>3</v>
      </c>
      <c r="H31" cm="1">
        <f t="array" aca="1" ref="H31" ca="1">SUMPRODUCT(LARGE('For stats end Y points'!$B31:H31,ROW(INDIRECT("1:"&amp;MIN(24,COUNT('For stats end Y points'!$B31:H31))))))</f>
        <v>3</v>
      </c>
      <c r="I31" cm="1">
        <f t="array" aca="1" ref="I31" ca="1">SUMPRODUCT(LARGE('For stats end Y points'!$B31:I31,ROW(INDIRECT("1:"&amp;MIN(24,COUNT('For stats end Y points'!$B31:I31))))))</f>
        <v>3</v>
      </c>
      <c r="J31" cm="1">
        <f t="array" aca="1" ref="J31" ca="1">SUMPRODUCT(LARGE('For stats end Y points'!$B31:J31,ROW(INDIRECT("1:"&amp;MIN(24,COUNT('For stats end Y points'!$B31:J31))))))</f>
        <v>3</v>
      </c>
      <c r="K31" cm="1">
        <f t="array" aca="1" ref="K31" ca="1">SUMPRODUCT(LARGE('For stats end Y points'!$B31:K31,ROW(INDIRECT("1:"&amp;MIN(24,COUNT('For stats end Y points'!$B31:K31))))))</f>
        <v>3</v>
      </c>
      <c r="L31" cm="1">
        <f t="array" aca="1" ref="L31" ca="1">SUMPRODUCT(LARGE('For stats end Y points'!$B31:L31,ROW(INDIRECT("1:"&amp;MIN(24,COUNT('For stats end Y points'!$B31:L31))))))</f>
        <v>3</v>
      </c>
      <c r="M31" cm="1">
        <f t="array" aca="1" ref="M31" ca="1">SUMPRODUCT(LARGE('For stats end Y points'!$B31:M31,ROW(INDIRECT("1:"&amp;MIN(24,COUNT('For stats end Y points'!$B31:M31))))))</f>
        <v>3</v>
      </c>
      <c r="N31" cm="1">
        <f t="array" aca="1" ref="N31" ca="1">SUMPRODUCT(LARGE('For stats end Y points'!$B31:N31,ROW(INDIRECT("1:"&amp;MIN(24,COUNT('For stats end Y points'!$B31:N31))))))</f>
        <v>3</v>
      </c>
      <c r="O31" cm="1">
        <f t="array" aca="1" ref="O31" ca="1">SUMPRODUCT(LARGE('For stats end Y points'!$B31:O31,ROW(INDIRECT("1:"&amp;MIN(24,COUNT('For stats end Y points'!$B31:O31))))))</f>
        <v>3</v>
      </c>
      <c r="P31" cm="1">
        <f t="array" aca="1" ref="P31" ca="1">SUMPRODUCT(LARGE('For stats end Y points'!$B31:P31,ROW(INDIRECT("1:"&amp;MIN(24,COUNT('For stats end Y points'!$B31:P31))))))</f>
        <v>3</v>
      </c>
      <c r="Q31" cm="1">
        <f t="array" aca="1" ref="Q31" ca="1">SUMPRODUCT(LARGE('For stats end Y points'!$B31:Q31,ROW(INDIRECT("1:"&amp;MIN(24,COUNT('For stats end Y points'!$B31:Q31))))))</f>
        <v>3</v>
      </c>
      <c r="R31" cm="1">
        <f t="array" aca="1" ref="R31" ca="1">SUMPRODUCT(LARGE('For stats end Y points'!$B31:R31,ROW(INDIRECT("1:"&amp;MIN(24,COUNT('For stats end Y points'!$B31:R31))))))</f>
        <v>3</v>
      </c>
      <c r="S31" cm="1">
        <f t="array" aca="1" ref="S31" ca="1">SUMPRODUCT(LARGE('For stats end Y points'!$B31:S31,ROW(INDIRECT("1:"&amp;MIN(24,COUNT('For stats end Y points'!$B31:S31))))))</f>
        <v>3</v>
      </c>
      <c r="T31" cm="1">
        <f t="array" aca="1" ref="T31" ca="1">SUMPRODUCT(LARGE('For stats end Y points'!$B31:T31,ROW(INDIRECT("1:"&amp;MIN(24,COUNT('For stats end Y points'!$B31:T31))))))</f>
        <v>3</v>
      </c>
      <c r="U31" cm="1">
        <f t="array" aca="1" ref="U31" ca="1">SUMPRODUCT(LARGE('For stats end Y points'!$B31:U31,ROW(INDIRECT("1:"&amp;MIN(24,COUNT('For stats end Y points'!$B31:U31))))))</f>
        <v>3</v>
      </c>
      <c r="V31" cm="1">
        <f t="array" aca="1" ref="V31" ca="1">SUMPRODUCT(LARGE('For stats end Y points'!$B31:V31,ROW(INDIRECT("1:"&amp;MIN(24,COUNT('For stats end Y points'!$B31:V31))))))</f>
        <v>3</v>
      </c>
      <c r="W31" cm="1">
        <f t="array" aca="1" ref="W31" ca="1">SUMPRODUCT(LARGE('For stats end Y points'!$B31:W31,ROW(INDIRECT("1:"&amp;MIN(24,COUNT('For stats end Y points'!$B31:W31))))))</f>
        <v>3</v>
      </c>
      <c r="X31" cm="1">
        <f t="array" aca="1" ref="X31" ca="1">SUMPRODUCT(LARGE('For stats end Y points'!$B31:X31,ROW(INDIRECT("1:"&amp;MIN(24,COUNT('For stats end Y points'!$B31:X31))))))</f>
        <v>3</v>
      </c>
      <c r="Y31" cm="1">
        <f t="array" aca="1" ref="Y31" ca="1">SUMPRODUCT(LARGE('For stats end Y points'!$B31:Y31,ROW(INDIRECT("1:"&amp;MIN(24,COUNT('For stats end Y points'!$B31:Y31))))))</f>
        <v>3</v>
      </c>
      <c r="Z31" cm="1">
        <f t="array" aca="1" ref="Z31" ca="1">SUMPRODUCT(LARGE('For stats end Y points'!$B31:Z31,ROW(INDIRECT("1:"&amp;MIN(24,COUNT('For stats end Y points'!$B31:Z31))))))</f>
        <v>3</v>
      </c>
      <c r="AA31" cm="1">
        <f t="array" aca="1" ref="AA31" ca="1">SUMPRODUCT(LARGE('For stats end Y points'!$B31:AA31,ROW(INDIRECT("1:"&amp;MIN(24,COUNT('For stats end Y points'!$B31:AA31))))))</f>
        <v>3</v>
      </c>
      <c r="AB31" cm="1">
        <f t="array" aca="1" ref="AB31" ca="1">SUMPRODUCT(LARGE('For stats end Y points'!$B31:AB31,ROW(INDIRECT("1:"&amp;MIN(24,COUNT('For stats end Y points'!$B31:AB31))))))</f>
        <v>3</v>
      </c>
      <c r="AC31" cm="1">
        <f t="array" aca="1" ref="AC31" ca="1">SUMPRODUCT(LARGE('For stats end Y points'!$B31:AC31,ROW(INDIRECT("1:"&amp;MIN(24,COUNT('For stats end Y points'!$B31:AC31))))))</f>
        <v>3</v>
      </c>
      <c r="AD31" cm="1">
        <f t="array" aca="1" ref="AD31" ca="1">SUMPRODUCT(LARGE('For stats end Y points'!$B31:AD31,ROW(INDIRECT("1:"&amp;MIN(24,COUNT('For stats end Y points'!$B31:AD31))))))</f>
        <v>3</v>
      </c>
      <c r="AE31" cm="1">
        <f t="array" aca="1" ref="AE31" ca="1">SUMPRODUCT(LARGE('For stats end Y points'!$B31:AE31,ROW(INDIRECT("1:"&amp;MIN(24,COUNT('For stats end Y points'!$B31:AE31))))))</f>
        <v>3</v>
      </c>
      <c r="AF31" cm="1">
        <f t="array" aca="1" ref="AF31" ca="1">SUMPRODUCT(LARGE('For stats end Y points'!$B31:AF31,ROW(INDIRECT("1:"&amp;MIN(24,COUNT('For stats end Y points'!$B31:AF31))))))</f>
        <v>3</v>
      </c>
      <c r="AG31" cm="1">
        <f t="array" aca="1" ref="AG31" ca="1">SUMPRODUCT(LARGE('For stats end Y points'!$B31:AG31,ROW(INDIRECT("1:"&amp;MIN(24,COUNT('For stats end Y points'!$B31:AG31))))))</f>
        <v>3</v>
      </c>
      <c r="AH31" cm="1">
        <f t="array" aca="1" ref="AH31" ca="1">SUMPRODUCT(LARGE('For stats end Y points'!$B31:AH31,ROW(INDIRECT("1:"&amp;MIN(24,COUNT('For stats end Y points'!$B31:AH31))))))</f>
        <v>3</v>
      </c>
      <c r="AP31" s="10">
        <f t="shared" si="0"/>
        <v>0</v>
      </c>
      <c r="AQ31">
        <f>'For stats end Y class'!AU31</f>
        <v>1</v>
      </c>
    </row>
    <row r="32" spans="1:43" x14ac:dyDescent="0.2">
      <c r="A32" t="str">
        <f>'For stats end Y points'!A32</f>
        <v>Gabs</v>
      </c>
      <c r="B32" cm="1">
        <f t="array" aca="1" ref="B32" ca="1">SUMPRODUCT(LARGE('For stats end Y points'!$B32:B32,ROW(INDIRECT("1:"&amp;MIN(24,COUNT('For stats end Y points'!$B32:B32))))))</f>
        <v>0</v>
      </c>
      <c r="C32" cm="1">
        <f t="array" aca="1" ref="C32" ca="1">SUMPRODUCT(LARGE('For stats end Y points'!$B32:C32,ROW(INDIRECT("1:"&amp;MIN(24,COUNT('For stats end Y points'!$B32:C32))))))</f>
        <v>0</v>
      </c>
      <c r="D32" cm="1">
        <f t="array" aca="1" ref="D32" ca="1">SUMPRODUCT(LARGE('For stats end Y points'!$B32:D32,ROW(INDIRECT("1:"&amp;MIN(24,COUNT('For stats end Y points'!$B32:D32))))))</f>
        <v>0</v>
      </c>
      <c r="E32" cm="1">
        <f t="array" aca="1" ref="E32" ca="1">SUMPRODUCT(LARGE('For stats end Y points'!$B32:E32,ROW(INDIRECT("1:"&amp;MIN(24,COUNT('For stats end Y points'!$B32:E32))))))</f>
        <v>0</v>
      </c>
      <c r="F32" cm="1">
        <f t="array" aca="1" ref="F32" ca="1">SUMPRODUCT(LARGE('For stats end Y points'!$B32:F32,ROW(INDIRECT("1:"&amp;MIN(24,COUNT('For stats end Y points'!$B32:F32))))))</f>
        <v>0</v>
      </c>
      <c r="G32" cm="1">
        <f t="array" aca="1" ref="G32" ca="1">SUMPRODUCT(LARGE('For stats end Y points'!$B32:G32,ROW(INDIRECT("1:"&amp;MIN(24,COUNT('For stats end Y points'!$B32:G32))))))</f>
        <v>0</v>
      </c>
      <c r="H32" cm="1">
        <f t="array" aca="1" ref="H32" ca="1">SUMPRODUCT(LARGE('For stats end Y points'!$B32:H32,ROW(INDIRECT("1:"&amp;MIN(24,COUNT('For stats end Y points'!$B32:H32))))))</f>
        <v>0</v>
      </c>
      <c r="I32" cm="1">
        <f t="array" aca="1" ref="I32" ca="1">SUMPRODUCT(LARGE('For stats end Y points'!$B32:I32,ROW(INDIRECT("1:"&amp;MIN(24,COUNT('For stats end Y points'!$B32:I32))))))</f>
        <v>0</v>
      </c>
      <c r="J32" cm="1">
        <f t="array" aca="1" ref="J32" ca="1">SUMPRODUCT(LARGE('For stats end Y points'!$B32:J32,ROW(INDIRECT("1:"&amp;MIN(24,COUNT('For stats end Y points'!$B32:J32))))))</f>
        <v>0</v>
      </c>
      <c r="K32" cm="1">
        <f t="array" aca="1" ref="K32" ca="1">SUMPRODUCT(LARGE('For stats end Y points'!$B32:K32,ROW(INDIRECT("1:"&amp;MIN(24,COUNT('For stats end Y points'!$B32:K32))))))</f>
        <v>0</v>
      </c>
      <c r="L32" cm="1">
        <f t="array" aca="1" ref="L32" ca="1">SUMPRODUCT(LARGE('For stats end Y points'!$B32:L32,ROW(INDIRECT("1:"&amp;MIN(24,COUNT('For stats end Y points'!$B32:L32))))))</f>
        <v>0</v>
      </c>
      <c r="M32" cm="1">
        <f t="array" aca="1" ref="M32" ca="1">SUMPRODUCT(LARGE('For stats end Y points'!$B32:M32,ROW(INDIRECT("1:"&amp;MIN(24,COUNT('For stats end Y points'!$B32:M32))))))</f>
        <v>0</v>
      </c>
      <c r="N32" cm="1">
        <f t="array" aca="1" ref="N32" ca="1">SUMPRODUCT(LARGE('For stats end Y points'!$B32:N32,ROW(INDIRECT("1:"&amp;MIN(24,COUNT('For stats end Y points'!$B32:N32))))))</f>
        <v>0</v>
      </c>
      <c r="O32" cm="1">
        <f t="array" aca="1" ref="O32" ca="1">SUMPRODUCT(LARGE('For stats end Y points'!$B32:O32,ROW(INDIRECT("1:"&amp;MIN(24,COUNT('For stats end Y points'!$B32:O32))))))</f>
        <v>0</v>
      </c>
      <c r="P32" cm="1">
        <f t="array" aca="1" ref="P32" ca="1">SUMPRODUCT(LARGE('For stats end Y points'!$B32:P32,ROW(INDIRECT("1:"&amp;MIN(24,COUNT('For stats end Y points'!$B32:P32))))))</f>
        <v>0</v>
      </c>
      <c r="Q32" cm="1">
        <f t="array" aca="1" ref="Q32" ca="1">SUMPRODUCT(LARGE('For stats end Y points'!$B32:Q32,ROW(INDIRECT("1:"&amp;MIN(24,COUNT('For stats end Y points'!$B32:Q32))))))</f>
        <v>0</v>
      </c>
      <c r="R32" cm="1">
        <f t="array" aca="1" ref="R32" ca="1">SUMPRODUCT(LARGE('For stats end Y points'!$B32:R32,ROW(INDIRECT("1:"&amp;MIN(24,COUNT('For stats end Y points'!$B32:R32))))))</f>
        <v>0</v>
      </c>
      <c r="S32" cm="1">
        <f t="array" aca="1" ref="S32" ca="1">SUMPRODUCT(LARGE('For stats end Y points'!$B32:S32,ROW(INDIRECT("1:"&amp;MIN(24,COUNT('For stats end Y points'!$B32:S32))))))</f>
        <v>0</v>
      </c>
      <c r="T32" cm="1">
        <f t="array" aca="1" ref="T32" ca="1">SUMPRODUCT(LARGE('For stats end Y points'!$B32:T32,ROW(INDIRECT("1:"&amp;MIN(24,COUNT('For stats end Y points'!$B32:T32))))))</f>
        <v>0</v>
      </c>
      <c r="U32" cm="1">
        <f t="array" aca="1" ref="U32" ca="1">SUMPRODUCT(LARGE('For stats end Y points'!$B32:U32,ROW(INDIRECT("1:"&amp;MIN(24,COUNT('For stats end Y points'!$B32:U32))))))</f>
        <v>0</v>
      </c>
      <c r="V32" cm="1">
        <f t="array" aca="1" ref="V32" ca="1">SUMPRODUCT(LARGE('For stats end Y points'!$B32:V32,ROW(INDIRECT("1:"&amp;MIN(24,COUNT('For stats end Y points'!$B32:V32))))))</f>
        <v>0</v>
      </c>
      <c r="W32" cm="1">
        <f t="array" aca="1" ref="W32" ca="1">SUMPRODUCT(LARGE('For stats end Y points'!$B32:W32,ROW(INDIRECT("1:"&amp;MIN(24,COUNT('For stats end Y points'!$B32:W32))))))</f>
        <v>0</v>
      </c>
      <c r="X32" cm="1">
        <f t="array" aca="1" ref="X32" ca="1">SUMPRODUCT(LARGE('For stats end Y points'!$B32:X32,ROW(INDIRECT("1:"&amp;MIN(24,COUNT('For stats end Y points'!$B32:X32))))))</f>
        <v>0</v>
      </c>
      <c r="Y32" cm="1">
        <f t="array" aca="1" ref="Y32" ca="1">SUMPRODUCT(LARGE('For stats end Y points'!$B32:Y32,ROW(INDIRECT("1:"&amp;MIN(24,COUNT('For stats end Y points'!$B32:Y32))))))</f>
        <v>0</v>
      </c>
      <c r="Z32" cm="1">
        <f t="array" aca="1" ref="Z32" ca="1">SUMPRODUCT(LARGE('For stats end Y points'!$B32:Z32,ROW(INDIRECT("1:"&amp;MIN(24,COUNT('For stats end Y points'!$B32:Z32))))))</f>
        <v>2</v>
      </c>
      <c r="AA32" cm="1">
        <f t="array" aca="1" ref="AA32" ca="1">SUMPRODUCT(LARGE('For stats end Y points'!$B32:AA32,ROW(INDIRECT("1:"&amp;MIN(24,COUNT('For stats end Y points'!$B32:AA32))))))</f>
        <v>6</v>
      </c>
      <c r="AB32" cm="1">
        <f t="array" aca="1" ref="AB32" ca="1">SUMPRODUCT(LARGE('For stats end Y points'!$B32:AB32,ROW(INDIRECT("1:"&amp;MIN(24,COUNT('For stats end Y points'!$B32:AB32))))))</f>
        <v>6</v>
      </c>
      <c r="AC32" cm="1">
        <f t="array" aca="1" ref="AC32" ca="1">SUMPRODUCT(LARGE('For stats end Y points'!$B32:AC32,ROW(INDIRECT("1:"&amp;MIN(24,COUNT('For stats end Y points'!$B32:AC32))))))</f>
        <v>6</v>
      </c>
      <c r="AD32" cm="1">
        <f t="array" aca="1" ref="AD32" ca="1">SUMPRODUCT(LARGE('For stats end Y points'!$B32:AD32,ROW(INDIRECT("1:"&amp;MIN(24,COUNT('For stats end Y points'!$B32:AD32))))))</f>
        <v>8</v>
      </c>
      <c r="AE32" cm="1">
        <f t="array" aca="1" ref="AE32" ca="1">SUMPRODUCT(LARGE('For stats end Y points'!$B32:AE32,ROW(INDIRECT("1:"&amp;MIN(24,COUNT('For stats end Y points'!$B32:AE32))))))</f>
        <v>8</v>
      </c>
      <c r="AF32" cm="1">
        <f t="array" aca="1" ref="AF32" ca="1">SUMPRODUCT(LARGE('For stats end Y points'!$B32:AF32,ROW(INDIRECT("1:"&amp;MIN(24,COUNT('For stats end Y points'!$B32:AF32))))))</f>
        <v>8</v>
      </c>
      <c r="AG32" cm="1">
        <f t="array" aca="1" ref="AG32" ca="1">SUMPRODUCT(LARGE('For stats end Y points'!$B32:AG32,ROW(INDIRECT("1:"&amp;MIN(24,COUNT('For stats end Y points'!$B32:AG32))))))</f>
        <v>8</v>
      </c>
      <c r="AH32" cm="1">
        <f t="array" aca="1" ref="AH32" ca="1">SUMPRODUCT(LARGE('For stats end Y points'!$B32:AH32,ROW(INDIRECT("1:"&amp;MIN(24,COUNT('For stats end Y points'!$B32:AH32))))))</f>
        <v>8</v>
      </c>
      <c r="AP32" s="10">
        <f t="shared" si="0"/>
        <v>0</v>
      </c>
      <c r="AQ32">
        <f>'For stats end Y class'!AU32</f>
        <v>3</v>
      </c>
    </row>
    <row r="33" spans="1:43" x14ac:dyDescent="0.2">
      <c r="A33" t="str">
        <f>'For stats end Y points'!A33</f>
        <v>Gibbonfury</v>
      </c>
      <c r="B33" cm="1">
        <f t="array" aca="1" ref="B33" ca="1">SUMPRODUCT(LARGE('For stats end Y points'!$B33:B33,ROW(INDIRECT("1:"&amp;MIN(24,COUNT('For stats end Y points'!$B33:B33))))))</f>
        <v>0</v>
      </c>
      <c r="C33" cm="1">
        <f t="array" aca="1" ref="C33" ca="1">SUMPRODUCT(LARGE('For stats end Y points'!$B33:C33,ROW(INDIRECT("1:"&amp;MIN(24,COUNT('For stats end Y points'!$B33:C33))))))</f>
        <v>4</v>
      </c>
      <c r="D33" cm="1">
        <f t="array" aca="1" ref="D33" ca="1">SUMPRODUCT(LARGE('For stats end Y points'!$B33:D33,ROW(INDIRECT("1:"&amp;MIN(24,COUNT('For stats end Y points'!$B33:D33))))))</f>
        <v>4</v>
      </c>
      <c r="E33" cm="1">
        <f t="array" aca="1" ref="E33" ca="1">SUMPRODUCT(LARGE('For stats end Y points'!$B33:E33,ROW(INDIRECT("1:"&amp;MIN(24,COUNT('For stats end Y points'!$B33:E33))))))</f>
        <v>4</v>
      </c>
      <c r="F33" cm="1">
        <f t="array" aca="1" ref="F33" ca="1">SUMPRODUCT(LARGE('For stats end Y points'!$B33:F33,ROW(INDIRECT("1:"&amp;MIN(24,COUNT('For stats end Y points'!$B33:F33))))))</f>
        <v>17</v>
      </c>
      <c r="G33" cm="1">
        <f t="array" aca="1" ref="G33" ca="1">SUMPRODUCT(LARGE('For stats end Y points'!$B33:G33,ROW(INDIRECT("1:"&amp;MIN(24,COUNT('For stats end Y points'!$B33:G33))))))</f>
        <v>21</v>
      </c>
      <c r="H33" cm="1">
        <f t="array" aca="1" ref="H33" ca="1">SUMPRODUCT(LARGE('For stats end Y points'!$B33:H33,ROW(INDIRECT("1:"&amp;MIN(24,COUNT('For stats end Y points'!$B33:H33))))))</f>
        <v>25</v>
      </c>
      <c r="I33" cm="1">
        <f t="array" aca="1" ref="I33" ca="1">SUMPRODUCT(LARGE('For stats end Y points'!$B33:I33,ROW(INDIRECT("1:"&amp;MIN(24,COUNT('For stats end Y points'!$B33:I33))))))</f>
        <v>30</v>
      </c>
      <c r="J33" cm="1">
        <f t="array" aca="1" ref="J33" ca="1">SUMPRODUCT(LARGE('For stats end Y points'!$B33:J33,ROW(INDIRECT("1:"&amp;MIN(24,COUNT('For stats end Y points'!$B33:J33))))))</f>
        <v>30</v>
      </c>
      <c r="K33" cm="1">
        <f t="array" aca="1" ref="K33" ca="1">SUMPRODUCT(LARGE('For stats end Y points'!$B33:K33,ROW(INDIRECT("1:"&amp;MIN(24,COUNT('For stats end Y points'!$B33:K33))))))</f>
        <v>32</v>
      </c>
      <c r="L33" cm="1">
        <f t="array" aca="1" ref="L33" ca="1">SUMPRODUCT(LARGE('For stats end Y points'!$B33:L33,ROW(INDIRECT("1:"&amp;MIN(24,COUNT('For stats end Y points'!$B33:L33))))))</f>
        <v>36</v>
      </c>
      <c r="M33" cm="1">
        <f t="array" aca="1" ref="M33" ca="1">SUMPRODUCT(LARGE('For stats end Y points'!$B33:M33,ROW(INDIRECT("1:"&amp;MIN(24,COUNT('For stats end Y points'!$B33:M33))))))</f>
        <v>39</v>
      </c>
      <c r="N33" cm="1">
        <f t="array" aca="1" ref="N33" ca="1">SUMPRODUCT(LARGE('For stats end Y points'!$B33:N33,ROW(INDIRECT("1:"&amp;MIN(24,COUNT('For stats end Y points'!$B33:N33))))))</f>
        <v>39</v>
      </c>
      <c r="O33" cm="1">
        <f t="array" aca="1" ref="O33" ca="1">SUMPRODUCT(LARGE('For stats end Y points'!$B33:O33,ROW(INDIRECT("1:"&amp;MIN(24,COUNT('For stats end Y points'!$B33:O33))))))</f>
        <v>39</v>
      </c>
      <c r="P33" cm="1">
        <f t="array" aca="1" ref="P33" ca="1">SUMPRODUCT(LARGE('For stats end Y points'!$B33:P33,ROW(INDIRECT("1:"&amp;MIN(24,COUNT('For stats end Y points'!$B33:P33))))))</f>
        <v>41</v>
      </c>
      <c r="Q33" cm="1">
        <f t="array" aca="1" ref="Q33" ca="1">SUMPRODUCT(LARGE('For stats end Y points'!$B33:Q33,ROW(INDIRECT("1:"&amp;MIN(24,COUNT('For stats end Y points'!$B33:Q33))))))</f>
        <v>50</v>
      </c>
      <c r="R33" cm="1">
        <f t="array" aca="1" ref="R33" ca="1">SUMPRODUCT(LARGE('For stats end Y points'!$B33:R33,ROW(INDIRECT("1:"&amp;MIN(24,COUNT('For stats end Y points'!$B33:R33))))))</f>
        <v>50</v>
      </c>
      <c r="S33" cm="1">
        <f t="array" aca="1" ref="S33" ca="1">SUMPRODUCT(LARGE('For stats end Y points'!$B33:S33,ROW(INDIRECT("1:"&amp;MIN(24,COUNT('For stats end Y points'!$B33:S33))))))</f>
        <v>67</v>
      </c>
      <c r="T33" cm="1">
        <f t="array" aca="1" ref="T33" ca="1">SUMPRODUCT(LARGE('For stats end Y points'!$B33:T33,ROW(INDIRECT("1:"&amp;MIN(24,COUNT('For stats end Y points'!$B33:T33))))))</f>
        <v>69</v>
      </c>
      <c r="U33" cm="1">
        <f t="array" aca="1" ref="U33" ca="1">SUMPRODUCT(LARGE('For stats end Y points'!$B33:U33,ROW(INDIRECT("1:"&amp;MIN(24,COUNT('For stats end Y points'!$B33:U33))))))</f>
        <v>72</v>
      </c>
      <c r="V33" cm="1">
        <f t="array" aca="1" ref="V33" ca="1">SUMPRODUCT(LARGE('For stats end Y points'!$B33:V33,ROW(INDIRECT("1:"&amp;MIN(24,COUNT('For stats end Y points'!$B33:V33))))))</f>
        <v>81</v>
      </c>
      <c r="W33" cm="1">
        <f t="array" aca="1" ref="W33" ca="1">SUMPRODUCT(LARGE('For stats end Y points'!$B33:W33,ROW(INDIRECT("1:"&amp;MIN(24,COUNT('For stats end Y points'!$B33:W33))))))</f>
        <v>81</v>
      </c>
      <c r="X33" cm="1">
        <f t="array" aca="1" ref="X33" ca="1">SUMPRODUCT(LARGE('For stats end Y points'!$B33:X33,ROW(INDIRECT("1:"&amp;MIN(24,COUNT('For stats end Y points'!$B33:X33))))))</f>
        <v>81</v>
      </c>
      <c r="Y33" cm="1">
        <f t="array" aca="1" ref="Y33" ca="1">SUMPRODUCT(LARGE('For stats end Y points'!$B33:Y33,ROW(INDIRECT("1:"&amp;MIN(24,COUNT('For stats end Y points'!$B33:Y33))))))</f>
        <v>94</v>
      </c>
      <c r="Z33" cm="1">
        <f t="array" aca="1" ref="Z33" ca="1">SUMPRODUCT(LARGE('For stats end Y points'!$B33:Z33,ROW(INDIRECT("1:"&amp;MIN(24,COUNT('For stats end Y points'!$B33:Z33))))))</f>
        <v>96</v>
      </c>
      <c r="AA33" cm="1">
        <f t="array" aca="1" ref="AA33" ca="1">SUMPRODUCT(LARGE('For stats end Y points'!$B33:AA33,ROW(INDIRECT("1:"&amp;MIN(24,COUNT('For stats end Y points'!$B33:AA33))))))</f>
        <v>97</v>
      </c>
      <c r="AB33" cm="1">
        <f t="array" aca="1" ref="AB33" ca="1">SUMPRODUCT(LARGE('For stats end Y points'!$B33:AB33,ROW(INDIRECT("1:"&amp;MIN(24,COUNT('For stats end Y points'!$B33:AB33))))))</f>
        <v>98</v>
      </c>
      <c r="AC33" cm="1">
        <f t="array" aca="1" ref="AC33" ca="1">SUMPRODUCT(LARGE('For stats end Y points'!$B33:AC33,ROW(INDIRECT("1:"&amp;MIN(24,COUNT('For stats end Y points'!$B33:AC33))))))</f>
        <v>107</v>
      </c>
      <c r="AD33" cm="1">
        <f t="array" aca="1" ref="AD33" ca="1">SUMPRODUCT(LARGE('For stats end Y points'!$B33:AD33,ROW(INDIRECT("1:"&amp;MIN(24,COUNT('For stats end Y points'!$B33:AD33))))))</f>
        <v>109</v>
      </c>
      <c r="AE33" cm="1">
        <f t="array" aca="1" ref="AE33" ca="1">SUMPRODUCT(LARGE('For stats end Y points'!$B33:AE33,ROW(INDIRECT("1:"&amp;MIN(24,COUNT('For stats end Y points'!$B33:AE33))))))</f>
        <v>109</v>
      </c>
      <c r="AF33" cm="1">
        <f t="array" aca="1" ref="AF33" ca="1">SUMPRODUCT(LARGE('For stats end Y points'!$B33:AF33,ROW(INDIRECT("1:"&amp;MIN(24,COUNT('For stats end Y points'!$B33:AF33))))))</f>
        <v>122</v>
      </c>
      <c r="AG33" cm="1">
        <f t="array" aca="1" ref="AG33" ca="1">SUMPRODUCT(LARGE('For stats end Y points'!$B33:AG33,ROW(INDIRECT("1:"&amp;MIN(24,COUNT('For stats end Y points'!$B33:AG33))))))</f>
        <v>122</v>
      </c>
      <c r="AH33" cm="1">
        <f t="array" aca="1" ref="AH33" ca="1">SUMPRODUCT(LARGE('For stats end Y points'!$B33:AH33,ROW(INDIRECT("1:"&amp;MIN(24,COUNT('For stats end Y points'!$B33:AH33))))))</f>
        <v>122</v>
      </c>
      <c r="AP33" s="10">
        <f t="shared" si="0"/>
        <v>0</v>
      </c>
      <c r="AQ33">
        <f>'For stats end Y class'!AU33</f>
        <v>21</v>
      </c>
    </row>
    <row r="34" spans="1:43" x14ac:dyDescent="0.2">
      <c r="A34" t="str">
        <f>'For stats end Y points'!A34</f>
        <v>Gibouille</v>
      </c>
      <c r="B34" cm="1">
        <f t="array" aca="1" ref="B34" ca="1">SUMPRODUCT(LARGE('For stats end Y points'!$B34:B34,ROW(INDIRECT("1:"&amp;MIN(24,COUNT('For stats end Y points'!$B34:B34))))))</f>
        <v>2</v>
      </c>
      <c r="C34" cm="1">
        <f t="array" aca="1" ref="C34" ca="1">SUMPRODUCT(LARGE('For stats end Y points'!$B34:C34,ROW(INDIRECT("1:"&amp;MIN(24,COUNT('For stats end Y points'!$B34:C34))))))</f>
        <v>4</v>
      </c>
      <c r="D34" cm="1">
        <f t="array" aca="1" ref="D34" ca="1">SUMPRODUCT(LARGE('For stats end Y points'!$B34:D34,ROW(INDIRECT("1:"&amp;MIN(24,COUNT('For stats end Y points'!$B34:D34))))))</f>
        <v>6</v>
      </c>
      <c r="E34" cm="1">
        <f t="array" aca="1" ref="E34" ca="1">SUMPRODUCT(LARGE('For stats end Y points'!$B34:E34,ROW(INDIRECT("1:"&amp;MIN(24,COUNT('For stats end Y points'!$B34:E34))))))</f>
        <v>6</v>
      </c>
      <c r="F34" cm="1">
        <f t="array" aca="1" ref="F34" ca="1">SUMPRODUCT(LARGE('For stats end Y points'!$B34:F34,ROW(INDIRECT("1:"&amp;MIN(24,COUNT('For stats end Y points'!$B34:F34))))))</f>
        <v>6</v>
      </c>
      <c r="G34" cm="1">
        <f t="array" aca="1" ref="G34" ca="1">SUMPRODUCT(LARGE('For stats end Y points'!$B34:G34,ROW(INDIRECT("1:"&amp;MIN(24,COUNT('For stats end Y points'!$B34:G34))))))</f>
        <v>11</v>
      </c>
      <c r="H34" cm="1">
        <f t="array" aca="1" ref="H34" ca="1">SUMPRODUCT(LARGE('For stats end Y points'!$B34:H34,ROW(INDIRECT("1:"&amp;MIN(24,COUNT('For stats end Y points'!$B34:H34))))))</f>
        <v>11</v>
      </c>
      <c r="I34" cm="1">
        <f t="array" aca="1" ref="I34" ca="1">SUMPRODUCT(LARGE('For stats end Y points'!$B34:I34,ROW(INDIRECT("1:"&amp;MIN(24,COUNT('For stats end Y points'!$B34:I34))))))</f>
        <v>14</v>
      </c>
      <c r="J34" cm="1">
        <f t="array" aca="1" ref="J34" ca="1">SUMPRODUCT(LARGE('For stats end Y points'!$B34:J34,ROW(INDIRECT("1:"&amp;MIN(24,COUNT('For stats end Y points'!$B34:J34))))))</f>
        <v>14</v>
      </c>
      <c r="K34" cm="1">
        <f t="array" aca="1" ref="K34" ca="1">SUMPRODUCT(LARGE('For stats end Y points'!$B34:K34,ROW(INDIRECT("1:"&amp;MIN(24,COUNT('For stats end Y points'!$B34:K34))))))</f>
        <v>29</v>
      </c>
      <c r="L34" cm="1">
        <f t="array" aca="1" ref="L34" ca="1">SUMPRODUCT(LARGE('For stats end Y points'!$B34:L34,ROW(INDIRECT("1:"&amp;MIN(24,COUNT('For stats end Y points'!$B34:L34))))))</f>
        <v>30</v>
      </c>
      <c r="M34" cm="1">
        <f t="array" aca="1" ref="M34" ca="1">SUMPRODUCT(LARGE('For stats end Y points'!$B34:M34,ROW(INDIRECT("1:"&amp;MIN(24,COUNT('For stats end Y points'!$B34:M34))))))</f>
        <v>34</v>
      </c>
      <c r="N34" cm="1">
        <f t="array" aca="1" ref="N34" ca="1">SUMPRODUCT(LARGE('For stats end Y points'!$B34:N34,ROW(INDIRECT("1:"&amp;MIN(24,COUNT('For stats end Y points'!$B34:N34))))))</f>
        <v>35</v>
      </c>
      <c r="O34" cm="1">
        <f t="array" aca="1" ref="O34" ca="1">SUMPRODUCT(LARGE('For stats end Y points'!$B34:O34,ROW(INDIRECT("1:"&amp;MIN(24,COUNT('For stats end Y points'!$B34:O34))))))</f>
        <v>47</v>
      </c>
      <c r="P34" cm="1">
        <f t="array" aca="1" ref="P34" ca="1">SUMPRODUCT(LARGE('For stats end Y points'!$B34:P34,ROW(INDIRECT("1:"&amp;MIN(24,COUNT('For stats end Y points'!$B34:P34))))))</f>
        <v>51</v>
      </c>
      <c r="Q34" cm="1">
        <f t="array" aca="1" ref="Q34" ca="1">SUMPRODUCT(LARGE('For stats end Y points'!$B34:Q34,ROW(INDIRECT("1:"&amp;MIN(24,COUNT('For stats end Y points'!$B34:Q34))))))</f>
        <v>64</v>
      </c>
      <c r="R34" cm="1">
        <f t="array" aca="1" ref="R34" ca="1">SUMPRODUCT(LARGE('For stats end Y points'!$B34:R34,ROW(INDIRECT("1:"&amp;MIN(24,COUNT('For stats end Y points'!$B34:R34))))))</f>
        <v>67</v>
      </c>
      <c r="S34" cm="1">
        <f t="array" aca="1" ref="S34" ca="1">SUMPRODUCT(LARGE('For stats end Y points'!$B34:S34,ROW(INDIRECT("1:"&amp;MIN(24,COUNT('For stats end Y points'!$B34:S34))))))</f>
        <v>72</v>
      </c>
      <c r="T34" cm="1">
        <f t="array" aca="1" ref="T34" ca="1">SUMPRODUCT(LARGE('For stats end Y points'!$B34:T34,ROW(INDIRECT("1:"&amp;MIN(24,COUNT('For stats end Y points'!$B34:T34))))))</f>
        <v>76</v>
      </c>
      <c r="U34" cm="1">
        <f t="array" aca="1" ref="U34" ca="1">SUMPRODUCT(LARGE('For stats end Y points'!$B34:U34,ROW(INDIRECT("1:"&amp;MIN(24,COUNT('For stats end Y points'!$B34:U34))))))</f>
        <v>76</v>
      </c>
      <c r="V34" cm="1">
        <f t="array" aca="1" ref="V34" ca="1">SUMPRODUCT(LARGE('For stats end Y points'!$B34:V34,ROW(INDIRECT("1:"&amp;MIN(24,COUNT('For stats end Y points'!$B34:V34))))))</f>
        <v>84</v>
      </c>
      <c r="W34" cm="1">
        <f t="array" aca="1" ref="W34" ca="1">SUMPRODUCT(LARGE('For stats end Y points'!$B34:W34,ROW(INDIRECT("1:"&amp;MIN(24,COUNT('For stats end Y points'!$B34:W34))))))</f>
        <v>93</v>
      </c>
      <c r="X34" cm="1">
        <f t="array" aca="1" ref="X34" ca="1">SUMPRODUCT(LARGE('For stats end Y points'!$B34:X34,ROW(INDIRECT("1:"&amp;MIN(24,COUNT('For stats end Y points'!$B34:X34))))))</f>
        <v>95</v>
      </c>
      <c r="Y34" cm="1">
        <f t="array" aca="1" ref="Y34" ca="1">SUMPRODUCT(LARGE('For stats end Y points'!$B34:Y34,ROW(INDIRECT("1:"&amp;MIN(24,COUNT('For stats end Y points'!$B34:Y34))))))</f>
        <v>97</v>
      </c>
      <c r="Z34" cm="1">
        <f t="array" aca="1" ref="Z34" ca="1">SUMPRODUCT(LARGE('For stats end Y points'!$B34:Z34,ROW(INDIRECT("1:"&amp;MIN(24,COUNT('For stats end Y points'!$B34:Z34))))))</f>
        <v>113</v>
      </c>
      <c r="AA34" cm="1">
        <f t="array" aca="1" ref="AA34" ca="1">SUMPRODUCT(LARGE('For stats end Y points'!$B34:AA34,ROW(INDIRECT("1:"&amp;MIN(24,COUNT('For stats end Y points'!$B34:AA34))))))</f>
        <v>125</v>
      </c>
      <c r="AB34" cm="1">
        <f t="array" aca="1" ref="AB34" ca="1">SUMPRODUCT(LARGE('For stats end Y points'!$B34:AB34,ROW(INDIRECT("1:"&amp;MIN(24,COUNT('For stats end Y points'!$B34:AB34))))))</f>
        <v>125</v>
      </c>
      <c r="AC34" cm="1">
        <f t="array" aca="1" ref="AC34" ca="1">SUMPRODUCT(LARGE('For stats end Y points'!$B34:AC34,ROW(INDIRECT("1:"&amp;MIN(24,COUNT('For stats end Y points'!$B34:AC34))))))</f>
        <v>137</v>
      </c>
      <c r="AD34" cm="1">
        <f t="array" aca="1" ref="AD34" ca="1">SUMPRODUCT(LARGE('For stats end Y points'!$B34:AD34,ROW(INDIRECT("1:"&amp;MIN(24,COUNT('For stats end Y points'!$B34:AD34))))))</f>
        <v>137</v>
      </c>
      <c r="AE34" cm="1">
        <f t="array" aca="1" ref="AE34" ca="1">SUMPRODUCT(LARGE('For stats end Y points'!$B34:AE34,ROW(INDIRECT("1:"&amp;MIN(24,COUNT('For stats end Y points'!$B34:AE34))))))</f>
        <v>146</v>
      </c>
      <c r="AF34" cm="1">
        <f t="array" aca="1" ref="AF34" ca="1">SUMPRODUCT(LARGE('For stats end Y points'!$B34:AF34,ROW(INDIRECT("1:"&amp;MIN(24,COUNT('For stats end Y points'!$B34:AF34))))))</f>
        <v>146</v>
      </c>
      <c r="AG34" cm="1">
        <f t="array" aca="1" ref="AG34" ca="1">SUMPRODUCT(LARGE('For stats end Y points'!$B34:AG34,ROW(INDIRECT("1:"&amp;MIN(24,COUNT('For stats end Y points'!$B34:AG34))))))</f>
        <v>146</v>
      </c>
      <c r="AH34" cm="1">
        <f t="array" aca="1" ref="AH34" ca="1">SUMPRODUCT(LARGE('For stats end Y points'!$B34:AH34,ROW(INDIRECT("1:"&amp;MIN(24,COUNT('For stats end Y points'!$B34:AH34))))))</f>
        <v>162</v>
      </c>
      <c r="AP34" s="10">
        <f t="shared" si="0"/>
        <v>0</v>
      </c>
      <c r="AQ34">
        <f>'For stats end Y class'!AU34</f>
        <v>24</v>
      </c>
    </row>
    <row r="35" spans="1:43" x14ac:dyDescent="0.2">
      <c r="A35" t="str">
        <f>'For stats end Y points'!A35</f>
        <v>Giobeck</v>
      </c>
      <c r="B35" cm="1">
        <f t="array" aca="1" ref="B35" ca="1">SUMPRODUCT(LARGE('For stats end Y points'!$B35:B35,ROW(INDIRECT("1:"&amp;MIN(24,COUNT('For stats end Y points'!$B35:B35))))))</f>
        <v>1</v>
      </c>
      <c r="C35" cm="1">
        <f t="array" aca="1" ref="C35" ca="1">SUMPRODUCT(LARGE('For stats end Y points'!$B35:C35,ROW(INDIRECT("1:"&amp;MIN(24,COUNT('For stats end Y points'!$B35:C35))))))</f>
        <v>1</v>
      </c>
      <c r="D35" cm="1">
        <f t="array" aca="1" ref="D35" ca="1">SUMPRODUCT(LARGE('For stats end Y points'!$B35:D35,ROW(INDIRECT("1:"&amp;MIN(24,COUNT('For stats end Y points'!$B35:D35))))))</f>
        <v>1</v>
      </c>
      <c r="E35" cm="1">
        <f t="array" aca="1" ref="E35" ca="1">SUMPRODUCT(LARGE('For stats end Y points'!$B35:E35,ROW(INDIRECT("1:"&amp;MIN(24,COUNT('For stats end Y points'!$B35:E35))))))</f>
        <v>1</v>
      </c>
      <c r="F35" cm="1">
        <f t="array" aca="1" ref="F35" ca="1">SUMPRODUCT(LARGE('For stats end Y points'!$B35:F35,ROW(INDIRECT("1:"&amp;MIN(24,COUNT('For stats end Y points'!$B35:F35))))))</f>
        <v>1</v>
      </c>
      <c r="G35" cm="1">
        <f t="array" aca="1" ref="G35" ca="1">SUMPRODUCT(LARGE('For stats end Y points'!$B35:G35,ROW(INDIRECT("1:"&amp;MIN(24,COUNT('For stats end Y points'!$B35:G35))))))</f>
        <v>6</v>
      </c>
      <c r="H35" cm="1">
        <f t="array" aca="1" ref="H35" ca="1">SUMPRODUCT(LARGE('For stats end Y points'!$B35:H35,ROW(INDIRECT("1:"&amp;MIN(24,COUNT('For stats end Y points'!$B35:H35))))))</f>
        <v>7</v>
      </c>
      <c r="I35" cm="1">
        <f t="array" aca="1" ref="I35" ca="1">SUMPRODUCT(LARGE('For stats end Y points'!$B35:I35,ROW(INDIRECT("1:"&amp;MIN(24,COUNT('For stats end Y points'!$B35:I35))))))</f>
        <v>16</v>
      </c>
      <c r="J35" cm="1">
        <f t="array" aca="1" ref="J35" ca="1">SUMPRODUCT(LARGE('For stats end Y points'!$B35:J35,ROW(INDIRECT("1:"&amp;MIN(24,COUNT('For stats end Y points'!$B35:J35))))))</f>
        <v>16</v>
      </c>
      <c r="K35" cm="1">
        <f t="array" aca="1" ref="K35" ca="1">SUMPRODUCT(LARGE('For stats end Y points'!$B35:K35,ROW(INDIRECT("1:"&amp;MIN(24,COUNT('For stats end Y points'!$B35:K35))))))</f>
        <v>16</v>
      </c>
      <c r="L35" cm="1">
        <f t="array" aca="1" ref="L35" ca="1">SUMPRODUCT(LARGE('For stats end Y points'!$B35:L35,ROW(INDIRECT("1:"&amp;MIN(24,COUNT('For stats end Y points'!$B35:L35))))))</f>
        <v>20</v>
      </c>
      <c r="M35" cm="1">
        <f t="array" aca="1" ref="M35" ca="1">SUMPRODUCT(LARGE('For stats end Y points'!$B35:M35,ROW(INDIRECT("1:"&amp;MIN(24,COUNT('For stats end Y points'!$B35:M35))))))</f>
        <v>20</v>
      </c>
      <c r="N35" cm="1">
        <f t="array" aca="1" ref="N35" ca="1">SUMPRODUCT(LARGE('For stats end Y points'!$B35:N35,ROW(INDIRECT("1:"&amp;MIN(24,COUNT('For stats end Y points'!$B35:N35))))))</f>
        <v>33</v>
      </c>
      <c r="O35" cm="1">
        <f t="array" aca="1" ref="O35" ca="1">SUMPRODUCT(LARGE('For stats end Y points'!$B35:O35,ROW(INDIRECT("1:"&amp;MIN(24,COUNT('For stats end Y points'!$B35:O35))))))</f>
        <v>46</v>
      </c>
      <c r="P35" cm="1">
        <f t="array" aca="1" ref="P35" ca="1">SUMPRODUCT(LARGE('For stats end Y points'!$B35:P35,ROW(INDIRECT("1:"&amp;MIN(24,COUNT('For stats end Y points'!$B35:P35))))))</f>
        <v>55</v>
      </c>
      <c r="Q35" cm="1">
        <f t="array" aca="1" ref="Q35" ca="1">SUMPRODUCT(LARGE('For stats end Y points'!$B35:Q35,ROW(INDIRECT("1:"&amp;MIN(24,COUNT('For stats end Y points'!$B35:Q35))))))</f>
        <v>65</v>
      </c>
      <c r="R35" cm="1">
        <f t="array" aca="1" ref="R35" ca="1">SUMPRODUCT(LARGE('For stats end Y points'!$B35:R35,ROW(INDIRECT("1:"&amp;MIN(24,COUNT('For stats end Y points'!$B35:R35))))))</f>
        <v>82</v>
      </c>
      <c r="S35" cm="1">
        <f t="array" aca="1" ref="S35" ca="1">SUMPRODUCT(LARGE('For stats end Y points'!$B35:S35,ROW(INDIRECT("1:"&amp;MIN(24,COUNT('For stats end Y points'!$B35:S35))))))</f>
        <v>95</v>
      </c>
      <c r="T35" cm="1">
        <f t="array" aca="1" ref="T35" ca="1">SUMPRODUCT(LARGE('For stats end Y points'!$B35:T35,ROW(INDIRECT("1:"&amp;MIN(24,COUNT('For stats end Y points'!$B35:T35))))))</f>
        <v>97</v>
      </c>
      <c r="U35" cm="1">
        <f t="array" aca="1" ref="U35" ca="1">SUMPRODUCT(LARGE('For stats end Y points'!$B35:U35,ROW(INDIRECT("1:"&amp;MIN(24,COUNT('For stats end Y points'!$B35:U35))))))</f>
        <v>99</v>
      </c>
      <c r="V35" cm="1">
        <f t="array" aca="1" ref="V35" ca="1">SUMPRODUCT(LARGE('For stats end Y points'!$B35:V35,ROW(INDIRECT("1:"&amp;MIN(24,COUNT('For stats end Y points'!$B35:V35))))))</f>
        <v>99</v>
      </c>
      <c r="W35" cm="1">
        <f t="array" aca="1" ref="W35" ca="1">SUMPRODUCT(LARGE('For stats end Y points'!$B35:W35,ROW(INDIRECT("1:"&amp;MIN(24,COUNT('For stats end Y points'!$B35:W35))))))</f>
        <v>115</v>
      </c>
      <c r="X35" cm="1">
        <f t="array" aca="1" ref="X35" ca="1">SUMPRODUCT(LARGE('For stats end Y points'!$B35:X35,ROW(INDIRECT("1:"&amp;MIN(24,COUNT('For stats end Y points'!$B35:X35))))))</f>
        <v>118</v>
      </c>
      <c r="Y35" cm="1">
        <f t="array" aca="1" ref="Y35" ca="1">SUMPRODUCT(LARGE('For stats end Y points'!$B35:Y35,ROW(INDIRECT("1:"&amp;MIN(24,COUNT('For stats end Y points'!$B35:Y35))))))</f>
        <v>121</v>
      </c>
      <c r="Z35" cm="1">
        <f t="array" aca="1" ref="Z35" ca="1">SUMPRODUCT(LARGE('For stats end Y points'!$B35:Z35,ROW(INDIRECT("1:"&amp;MIN(24,COUNT('For stats end Y points'!$B35:Z35))))))</f>
        <v>121</v>
      </c>
      <c r="AA35" cm="1">
        <f t="array" aca="1" ref="AA35" ca="1">SUMPRODUCT(LARGE('For stats end Y points'!$B35:AA35,ROW(INDIRECT("1:"&amp;MIN(24,COUNT('For stats end Y points'!$B35:AA35))))))</f>
        <v>137</v>
      </c>
      <c r="AB35" cm="1">
        <f t="array" aca="1" ref="AB35" ca="1">SUMPRODUCT(LARGE('For stats end Y points'!$B35:AB35,ROW(INDIRECT("1:"&amp;MIN(24,COUNT('For stats end Y points'!$B35:AB35))))))</f>
        <v>145</v>
      </c>
      <c r="AC35" cm="1">
        <f t="array" aca="1" ref="AC35" ca="1">SUMPRODUCT(LARGE('For stats end Y points'!$B35:AC35,ROW(INDIRECT("1:"&amp;MIN(24,COUNT('For stats end Y points'!$B35:AC35))))))</f>
        <v>162</v>
      </c>
      <c r="AD35" cm="1">
        <f t="array" aca="1" ref="AD35" ca="1">SUMPRODUCT(LARGE('For stats end Y points'!$B35:AD35,ROW(INDIRECT("1:"&amp;MIN(24,COUNT('For stats end Y points'!$B35:AD35))))))</f>
        <v>164</v>
      </c>
      <c r="AE35" cm="1">
        <f t="array" aca="1" ref="AE35" ca="1">SUMPRODUCT(LARGE('For stats end Y points'!$B35:AE35,ROW(INDIRECT("1:"&amp;MIN(24,COUNT('For stats end Y points'!$B35:AE35))))))</f>
        <v>166</v>
      </c>
      <c r="AF35" cm="1">
        <f t="array" aca="1" ref="AF35" ca="1">SUMPRODUCT(LARGE('For stats end Y points'!$B35:AF35,ROW(INDIRECT("1:"&amp;MIN(24,COUNT('For stats end Y points'!$B35:AF35))))))</f>
        <v>174</v>
      </c>
      <c r="AG35" cm="1">
        <f t="array" aca="1" ref="AG35" ca="1">SUMPRODUCT(LARGE('For stats end Y points'!$B35:AG35,ROW(INDIRECT("1:"&amp;MIN(24,COUNT('For stats end Y points'!$B35:AG35))))))</f>
        <v>174</v>
      </c>
      <c r="AH35" cm="1">
        <f t="array" aca="1" ref="AH35" ca="1">SUMPRODUCT(LARGE('For stats end Y points'!$B35:AH35,ROW(INDIRECT("1:"&amp;MIN(24,COUNT('For stats end Y points'!$B35:AH35))))))</f>
        <v>176</v>
      </c>
      <c r="AP35" s="10">
        <f t="shared" si="0"/>
        <v>0</v>
      </c>
      <c r="AQ35">
        <f>'For stats end Y class'!AU35</f>
        <v>23</v>
      </c>
    </row>
    <row r="36" spans="1:43" x14ac:dyDescent="0.2">
      <c r="A36" t="str">
        <f>'For stats end Y points'!A36</f>
        <v>Golgoo13</v>
      </c>
      <c r="B36" cm="1">
        <f t="array" aca="1" ref="B36" ca="1">SUMPRODUCT(LARGE('For stats end Y points'!$B36:B36,ROW(INDIRECT("1:"&amp;MIN(24,COUNT('For stats end Y points'!$B36:B36))))))</f>
        <v>1</v>
      </c>
      <c r="C36" cm="1">
        <f t="array" aca="1" ref="C36" ca="1">SUMPRODUCT(LARGE('For stats end Y points'!$B36:C36,ROW(INDIRECT("1:"&amp;MIN(24,COUNT('For stats end Y points'!$B36:C36))))))</f>
        <v>1</v>
      </c>
      <c r="D36" cm="1">
        <f t="array" aca="1" ref="D36" ca="1">SUMPRODUCT(LARGE('For stats end Y points'!$B36:D36,ROW(INDIRECT("1:"&amp;MIN(24,COUNT('For stats end Y points'!$B36:D36))))))</f>
        <v>1</v>
      </c>
      <c r="E36" cm="1">
        <f t="array" aca="1" ref="E36" ca="1">SUMPRODUCT(LARGE('For stats end Y points'!$B36:E36,ROW(INDIRECT("1:"&amp;MIN(24,COUNT('For stats end Y points'!$B36:E36))))))</f>
        <v>1</v>
      </c>
      <c r="F36" cm="1">
        <f t="array" aca="1" ref="F36" ca="1">SUMPRODUCT(LARGE('For stats end Y points'!$B36:F36,ROW(INDIRECT("1:"&amp;MIN(24,COUNT('For stats end Y points'!$B36:F36))))))</f>
        <v>1</v>
      </c>
      <c r="G36" cm="1">
        <f t="array" aca="1" ref="G36" ca="1">SUMPRODUCT(LARGE('For stats end Y points'!$B36:G36,ROW(INDIRECT("1:"&amp;MIN(24,COUNT('For stats end Y points'!$B36:G36))))))</f>
        <v>1</v>
      </c>
      <c r="H36" cm="1">
        <f t="array" aca="1" ref="H36" ca="1">SUMPRODUCT(LARGE('For stats end Y points'!$B36:H36,ROW(INDIRECT("1:"&amp;MIN(24,COUNT('For stats end Y points'!$B36:H36))))))</f>
        <v>1</v>
      </c>
      <c r="I36" cm="1">
        <f t="array" aca="1" ref="I36" ca="1">SUMPRODUCT(LARGE('For stats end Y points'!$B36:I36,ROW(INDIRECT("1:"&amp;MIN(24,COUNT('For stats end Y points'!$B36:I36))))))</f>
        <v>1</v>
      </c>
      <c r="J36" cm="1">
        <f t="array" aca="1" ref="J36" ca="1">SUMPRODUCT(LARGE('For stats end Y points'!$B36:J36,ROW(INDIRECT("1:"&amp;MIN(24,COUNT('For stats end Y points'!$B36:J36))))))</f>
        <v>1</v>
      </c>
      <c r="K36" cm="1">
        <f t="array" aca="1" ref="K36" ca="1">SUMPRODUCT(LARGE('For stats end Y points'!$B36:K36,ROW(INDIRECT("1:"&amp;MIN(24,COUNT('For stats end Y points'!$B36:K36))))))</f>
        <v>1</v>
      </c>
      <c r="L36" cm="1">
        <f t="array" aca="1" ref="L36" ca="1">SUMPRODUCT(LARGE('For stats end Y points'!$B36:L36,ROW(INDIRECT("1:"&amp;MIN(24,COUNT('For stats end Y points'!$B36:L36))))))</f>
        <v>1</v>
      </c>
      <c r="M36" cm="1">
        <f t="array" aca="1" ref="M36" ca="1">SUMPRODUCT(LARGE('For stats end Y points'!$B36:M36,ROW(INDIRECT("1:"&amp;MIN(24,COUNT('For stats end Y points'!$B36:M36))))))</f>
        <v>1</v>
      </c>
      <c r="N36" cm="1">
        <f t="array" aca="1" ref="N36" ca="1">SUMPRODUCT(LARGE('For stats end Y points'!$B36:N36,ROW(INDIRECT("1:"&amp;MIN(24,COUNT('For stats end Y points'!$B36:N36))))))</f>
        <v>1</v>
      </c>
      <c r="O36" cm="1">
        <f t="array" aca="1" ref="O36" ca="1">SUMPRODUCT(LARGE('For stats end Y points'!$B36:O36,ROW(INDIRECT("1:"&amp;MIN(24,COUNT('For stats end Y points'!$B36:O36))))))</f>
        <v>1</v>
      </c>
      <c r="P36" cm="1">
        <f t="array" aca="1" ref="P36" ca="1">SUMPRODUCT(LARGE('For stats end Y points'!$B36:P36,ROW(INDIRECT("1:"&amp;MIN(24,COUNT('For stats end Y points'!$B36:P36))))))</f>
        <v>1</v>
      </c>
      <c r="Q36" cm="1">
        <f t="array" aca="1" ref="Q36" ca="1">SUMPRODUCT(LARGE('For stats end Y points'!$B36:Q36,ROW(INDIRECT("1:"&amp;MIN(24,COUNT('For stats end Y points'!$B36:Q36))))))</f>
        <v>1</v>
      </c>
      <c r="R36" cm="1">
        <f t="array" aca="1" ref="R36" ca="1">SUMPRODUCT(LARGE('For stats end Y points'!$B36:R36,ROW(INDIRECT("1:"&amp;MIN(24,COUNT('For stats end Y points'!$B36:R36))))))</f>
        <v>1</v>
      </c>
      <c r="S36" cm="1">
        <f t="array" aca="1" ref="S36" ca="1">SUMPRODUCT(LARGE('For stats end Y points'!$B36:S36,ROW(INDIRECT("1:"&amp;MIN(24,COUNT('For stats end Y points'!$B36:S36))))))</f>
        <v>1</v>
      </c>
      <c r="T36" cm="1">
        <f t="array" aca="1" ref="T36" ca="1">SUMPRODUCT(LARGE('For stats end Y points'!$B36:T36,ROW(INDIRECT("1:"&amp;MIN(24,COUNT('For stats end Y points'!$B36:T36))))))</f>
        <v>1</v>
      </c>
      <c r="U36" cm="1">
        <f t="array" aca="1" ref="U36" ca="1">SUMPRODUCT(LARGE('For stats end Y points'!$B36:U36,ROW(INDIRECT("1:"&amp;MIN(24,COUNT('For stats end Y points'!$B36:U36))))))</f>
        <v>1</v>
      </c>
      <c r="V36" cm="1">
        <f t="array" aca="1" ref="V36" ca="1">SUMPRODUCT(LARGE('For stats end Y points'!$B36:V36,ROW(INDIRECT("1:"&amp;MIN(24,COUNT('For stats end Y points'!$B36:V36))))))</f>
        <v>1</v>
      </c>
      <c r="W36" cm="1">
        <f t="array" aca="1" ref="W36" ca="1">SUMPRODUCT(LARGE('For stats end Y points'!$B36:W36,ROW(INDIRECT("1:"&amp;MIN(24,COUNT('For stats end Y points'!$B36:W36))))))</f>
        <v>1</v>
      </c>
      <c r="X36" cm="1">
        <f t="array" aca="1" ref="X36" ca="1">SUMPRODUCT(LARGE('For stats end Y points'!$B36:X36,ROW(INDIRECT("1:"&amp;MIN(24,COUNT('For stats end Y points'!$B36:X36))))))</f>
        <v>1</v>
      </c>
      <c r="Y36" cm="1">
        <f t="array" aca="1" ref="Y36" ca="1">SUMPRODUCT(LARGE('For stats end Y points'!$B36:Y36,ROW(INDIRECT("1:"&amp;MIN(24,COUNT('For stats end Y points'!$B36:Y36))))))</f>
        <v>1</v>
      </c>
      <c r="Z36" cm="1">
        <f t="array" aca="1" ref="Z36" ca="1">SUMPRODUCT(LARGE('For stats end Y points'!$B36:Z36,ROW(INDIRECT("1:"&amp;MIN(24,COUNT('For stats end Y points'!$B36:Z36))))))</f>
        <v>1</v>
      </c>
      <c r="AA36" cm="1">
        <f t="array" aca="1" ref="AA36" ca="1">SUMPRODUCT(LARGE('For stats end Y points'!$B36:AA36,ROW(INDIRECT("1:"&amp;MIN(24,COUNT('For stats end Y points'!$B36:AA36))))))</f>
        <v>1</v>
      </c>
      <c r="AB36" cm="1">
        <f t="array" aca="1" ref="AB36" ca="1">SUMPRODUCT(LARGE('For stats end Y points'!$B36:AB36,ROW(INDIRECT("1:"&amp;MIN(24,COUNT('For stats end Y points'!$B36:AB36))))))</f>
        <v>1</v>
      </c>
      <c r="AC36" cm="1">
        <f t="array" aca="1" ref="AC36" ca="1">SUMPRODUCT(LARGE('For stats end Y points'!$B36:AC36,ROW(INDIRECT("1:"&amp;MIN(24,COUNT('For stats end Y points'!$B36:AC36))))))</f>
        <v>1</v>
      </c>
      <c r="AD36" cm="1">
        <f t="array" aca="1" ref="AD36" ca="1">SUMPRODUCT(LARGE('For stats end Y points'!$B36:AD36,ROW(INDIRECT("1:"&amp;MIN(24,COUNT('For stats end Y points'!$B36:AD36))))))</f>
        <v>1</v>
      </c>
      <c r="AE36" cm="1">
        <f t="array" aca="1" ref="AE36" ca="1">SUMPRODUCT(LARGE('For stats end Y points'!$B36:AE36,ROW(INDIRECT("1:"&amp;MIN(24,COUNT('For stats end Y points'!$B36:AE36))))))</f>
        <v>1</v>
      </c>
      <c r="AF36" cm="1">
        <f t="array" aca="1" ref="AF36" ca="1">SUMPRODUCT(LARGE('For stats end Y points'!$B36:AF36,ROW(INDIRECT("1:"&amp;MIN(24,COUNT('For stats end Y points'!$B36:AF36))))))</f>
        <v>1</v>
      </c>
      <c r="AG36" cm="1">
        <f t="array" aca="1" ref="AG36" ca="1">SUMPRODUCT(LARGE('For stats end Y points'!$B36:AG36,ROW(INDIRECT("1:"&amp;MIN(24,COUNT('For stats end Y points'!$B36:AG36))))))</f>
        <v>1</v>
      </c>
      <c r="AH36" cm="1">
        <f t="array" aca="1" ref="AH36" ca="1">SUMPRODUCT(LARGE('For stats end Y points'!$B36:AH36,ROW(INDIRECT("1:"&amp;MIN(24,COUNT('For stats end Y points'!$B36:AH36))))))</f>
        <v>1</v>
      </c>
      <c r="AP36" s="10">
        <f t="shared" si="0"/>
        <v>0</v>
      </c>
      <c r="AQ36">
        <f>'For stats end Y class'!AU36</f>
        <v>1</v>
      </c>
    </row>
    <row r="37" spans="1:43" x14ac:dyDescent="0.2">
      <c r="A37" t="str">
        <f>'For stats end Y points'!A37</f>
        <v>Guerno</v>
      </c>
      <c r="B37" cm="1">
        <f t="array" aca="1" ref="B37" ca="1">SUMPRODUCT(LARGE('For stats end Y points'!$B37:B37,ROW(INDIRECT("1:"&amp;MIN(24,COUNT('For stats end Y points'!$B37:B37))))))</f>
        <v>0</v>
      </c>
      <c r="C37" cm="1">
        <f t="array" aca="1" ref="C37" ca="1">SUMPRODUCT(LARGE('For stats end Y points'!$B37:C37,ROW(INDIRECT("1:"&amp;MIN(24,COUNT('For stats end Y points'!$B37:C37))))))</f>
        <v>0</v>
      </c>
      <c r="D37" cm="1">
        <f t="array" aca="1" ref="D37" ca="1">SUMPRODUCT(LARGE('For stats end Y points'!$B37:D37,ROW(INDIRECT("1:"&amp;MIN(24,COUNT('For stats end Y points'!$B37:D37))))))</f>
        <v>0</v>
      </c>
      <c r="E37" cm="1">
        <f t="array" aca="1" ref="E37" ca="1">SUMPRODUCT(LARGE('For stats end Y points'!$B37:E37,ROW(INDIRECT("1:"&amp;MIN(24,COUNT('For stats end Y points'!$B37:E37))))))</f>
        <v>5</v>
      </c>
      <c r="F37" cm="1">
        <f t="array" aca="1" ref="F37" ca="1">SUMPRODUCT(LARGE('For stats end Y points'!$B37:F37,ROW(INDIRECT("1:"&amp;MIN(24,COUNT('For stats end Y points'!$B37:F37))))))</f>
        <v>5</v>
      </c>
      <c r="G37" cm="1">
        <f t="array" aca="1" ref="G37" ca="1">SUMPRODUCT(LARGE('For stats end Y points'!$B37:G37,ROW(INDIRECT("1:"&amp;MIN(24,COUNT('For stats end Y points'!$B37:G37))))))</f>
        <v>6</v>
      </c>
      <c r="H37" cm="1">
        <f t="array" aca="1" ref="H37" ca="1">SUMPRODUCT(LARGE('For stats end Y points'!$B37:H37,ROW(INDIRECT("1:"&amp;MIN(24,COUNT('For stats end Y points'!$B37:H37))))))</f>
        <v>6</v>
      </c>
      <c r="I37" cm="1">
        <f t="array" aca="1" ref="I37" ca="1">SUMPRODUCT(LARGE('For stats end Y points'!$B37:I37,ROW(INDIRECT("1:"&amp;MIN(24,COUNT('For stats end Y points'!$B37:I37))))))</f>
        <v>14</v>
      </c>
      <c r="J37" cm="1">
        <f t="array" aca="1" ref="J37" ca="1">SUMPRODUCT(LARGE('For stats end Y points'!$B37:J37,ROW(INDIRECT("1:"&amp;MIN(24,COUNT('For stats end Y points'!$B37:J37))))))</f>
        <v>22</v>
      </c>
      <c r="K37" cm="1">
        <f t="array" aca="1" ref="K37" ca="1">SUMPRODUCT(LARGE('For stats end Y points'!$B37:K37,ROW(INDIRECT("1:"&amp;MIN(24,COUNT('For stats end Y points'!$B37:K37))))))</f>
        <v>22</v>
      </c>
      <c r="L37" cm="1">
        <f t="array" aca="1" ref="L37" ca="1">SUMPRODUCT(LARGE('For stats end Y points'!$B37:L37,ROW(INDIRECT("1:"&amp;MIN(24,COUNT('For stats end Y points'!$B37:L37))))))</f>
        <v>22</v>
      </c>
      <c r="M37" cm="1">
        <f t="array" aca="1" ref="M37" ca="1">SUMPRODUCT(LARGE('For stats end Y points'!$B37:M37,ROW(INDIRECT("1:"&amp;MIN(24,COUNT('For stats end Y points'!$B37:M37))))))</f>
        <v>22</v>
      </c>
      <c r="N37" cm="1">
        <f t="array" aca="1" ref="N37" ca="1">SUMPRODUCT(LARGE('For stats end Y points'!$B37:N37,ROW(INDIRECT("1:"&amp;MIN(24,COUNT('For stats end Y points'!$B37:N37))))))</f>
        <v>22</v>
      </c>
      <c r="O37" cm="1">
        <f t="array" aca="1" ref="O37" ca="1">SUMPRODUCT(LARGE('For stats end Y points'!$B37:O37,ROW(INDIRECT("1:"&amp;MIN(24,COUNT('For stats end Y points'!$B37:O37))))))</f>
        <v>22</v>
      </c>
      <c r="P37" cm="1">
        <f t="array" aca="1" ref="P37" ca="1">SUMPRODUCT(LARGE('For stats end Y points'!$B37:P37,ROW(INDIRECT("1:"&amp;MIN(24,COUNT('For stats end Y points'!$B37:P37))))))</f>
        <v>22</v>
      </c>
      <c r="Q37" cm="1">
        <f t="array" aca="1" ref="Q37" ca="1">SUMPRODUCT(LARGE('For stats end Y points'!$B37:Q37,ROW(INDIRECT("1:"&amp;MIN(24,COUNT('For stats end Y points'!$B37:Q37))))))</f>
        <v>39</v>
      </c>
      <c r="R37" cm="1">
        <f t="array" aca="1" ref="R37" ca="1">SUMPRODUCT(LARGE('For stats end Y points'!$B37:R37,ROW(INDIRECT("1:"&amp;MIN(24,COUNT('For stats end Y points'!$B37:R37))))))</f>
        <v>40</v>
      </c>
      <c r="S37" cm="1">
        <f t="array" aca="1" ref="S37" ca="1">SUMPRODUCT(LARGE('For stats end Y points'!$B37:S37,ROW(INDIRECT("1:"&amp;MIN(24,COUNT('For stats end Y points'!$B37:S37))))))</f>
        <v>40</v>
      </c>
      <c r="T37" cm="1">
        <f t="array" aca="1" ref="T37" ca="1">SUMPRODUCT(LARGE('For stats end Y points'!$B37:T37,ROW(INDIRECT("1:"&amp;MIN(24,COUNT('For stats end Y points'!$B37:T37))))))</f>
        <v>40</v>
      </c>
      <c r="U37" cm="1">
        <f t="array" aca="1" ref="U37" ca="1">SUMPRODUCT(LARGE('For stats end Y points'!$B37:U37,ROW(INDIRECT("1:"&amp;MIN(24,COUNT('For stats end Y points'!$B37:U37))))))</f>
        <v>40</v>
      </c>
      <c r="V37" cm="1">
        <f t="array" aca="1" ref="V37" ca="1">SUMPRODUCT(LARGE('For stats end Y points'!$B37:V37,ROW(INDIRECT("1:"&amp;MIN(24,COUNT('For stats end Y points'!$B37:V37))))))</f>
        <v>42</v>
      </c>
      <c r="W37" cm="1">
        <f t="array" aca="1" ref="W37" ca="1">SUMPRODUCT(LARGE('For stats end Y points'!$B37:W37,ROW(INDIRECT("1:"&amp;MIN(24,COUNT('For stats end Y points'!$B37:W37))))))</f>
        <v>42</v>
      </c>
      <c r="X37" cm="1">
        <f t="array" aca="1" ref="X37" ca="1">SUMPRODUCT(LARGE('For stats end Y points'!$B37:X37,ROW(INDIRECT("1:"&amp;MIN(24,COUNT('For stats end Y points'!$B37:X37))))))</f>
        <v>42</v>
      </c>
      <c r="Y37" cm="1">
        <f t="array" aca="1" ref="Y37" ca="1">SUMPRODUCT(LARGE('For stats end Y points'!$B37:Y37,ROW(INDIRECT("1:"&amp;MIN(24,COUNT('For stats end Y points'!$B37:Y37))))))</f>
        <v>42</v>
      </c>
      <c r="Z37" cm="1">
        <f t="array" aca="1" ref="Z37" ca="1">SUMPRODUCT(LARGE('For stats end Y points'!$B37:Z37,ROW(INDIRECT("1:"&amp;MIN(24,COUNT('For stats end Y points'!$B37:Z37))))))</f>
        <v>42</v>
      </c>
      <c r="AA37" cm="1">
        <f t="array" aca="1" ref="AA37" ca="1">SUMPRODUCT(LARGE('For stats end Y points'!$B37:AA37,ROW(INDIRECT("1:"&amp;MIN(24,COUNT('For stats end Y points'!$B37:AA37))))))</f>
        <v>42</v>
      </c>
      <c r="AB37" cm="1">
        <f t="array" aca="1" ref="AB37" ca="1">SUMPRODUCT(LARGE('For stats end Y points'!$B37:AB37,ROW(INDIRECT("1:"&amp;MIN(24,COUNT('For stats end Y points'!$B37:AB37))))))</f>
        <v>42</v>
      </c>
      <c r="AC37" cm="1">
        <f t="array" aca="1" ref="AC37" ca="1">SUMPRODUCT(LARGE('For stats end Y points'!$B37:AC37,ROW(INDIRECT("1:"&amp;MIN(24,COUNT('For stats end Y points'!$B37:AC37))))))</f>
        <v>42</v>
      </c>
      <c r="AD37" cm="1">
        <f t="array" aca="1" ref="AD37" ca="1">SUMPRODUCT(LARGE('For stats end Y points'!$B37:AD37,ROW(INDIRECT("1:"&amp;MIN(24,COUNT('For stats end Y points'!$B37:AD37))))))</f>
        <v>46</v>
      </c>
      <c r="AE37" cm="1">
        <f t="array" aca="1" ref="AE37" ca="1">SUMPRODUCT(LARGE('For stats end Y points'!$B37:AE37,ROW(INDIRECT("1:"&amp;MIN(24,COUNT('For stats end Y points'!$B37:AE37))))))</f>
        <v>46</v>
      </c>
      <c r="AF37" cm="1">
        <f t="array" aca="1" ref="AF37" ca="1">SUMPRODUCT(LARGE('For stats end Y points'!$B37:AF37,ROW(INDIRECT("1:"&amp;MIN(24,COUNT('For stats end Y points'!$B37:AF37))))))</f>
        <v>46</v>
      </c>
      <c r="AG37" cm="1">
        <f t="array" aca="1" ref="AG37" ca="1">SUMPRODUCT(LARGE('For stats end Y points'!$B37:AG37,ROW(INDIRECT("1:"&amp;MIN(24,COUNT('For stats end Y points'!$B37:AG37))))))</f>
        <v>54</v>
      </c>
      <c r="AH37" cm="1">
        <f t="array" aca="1" ref="AH37" ca="1">SUMPRODUCT(LARGE('For stats end Y points'!$B37:AH37,ROW(INDIRECT("1:"&amp;MIN(24,COUNT('For stats end Y points'!$B37:AH37))))))</f>
        <v>54</v>
      </c>
      <c r="AP37" s="10">
        <f t="shared" si="0"/>
        <v>0</v>
      </c>
      <c r="AQ37">
        <f>'For stats end Y class'!AU37</f>
        <v>9</v>
      </c>
    </row>
    <row r="38" spans="1:43" x14ac:dyDescent="0.2">
      <c r="A38" t="str">
        <f>'For stats end Y points'!A38</f>
        <v>Ilyes.</v>
      </c>
      <c r="B38" cm="1">
        <f t="array" aca="1" ref="B38" ca="1">SUMPRODUCT(LARGE('For stats end Y points'!$B38:B38,ROW(INDIRECT("1:"&amp;MIN(24,COUNT('For stats end Y points'!$B38:B38))))))</f>
        <v>0</v>
      </c>
      <c r="C38" cm="1">
        <f t="array" aca="1" ref="C38" ca="1">SUMPRODUCT(LARGE('For stats end Y points'!$B38:C38,ROW(INDIRECT("1:"&amp;MIN(24,COUNT('For stats end Y points'!$B38:C38))))))</f>
        <v>0</v>
      </c>
      <c r="D38" cm="1">
        <f t="array" aca="1" ref="D38" ca="1">SUMPRODUCT(LARGE('For stats end Y points'!$B38:D38,ROW(INDIRECT("1:"&amp;MIN(24,COUNT('For stats end Y points'!$B38:D38))))))</f>
        <v>0</v>
      </c>
      <c r="E38" cm="1">
        <f t="array" aca="1" ref="E38" ca="1">SUMPRODUCT(LARGE('For stats end Y points'!$B38:E38,ROW(INDIRECT("1:"&amp;MIN(24,COUNT('For stats end Y points'!$B38:E38))))))</f>
        <v>0</v>
      </c>
      <c r="F38" cm="1">
        <f t="array" aca="1" ref="F38" ca="1">SUMPRODUCT(LARGE('For stats end Y points'!$B38:F38,ROW(INDIRECT("1:"&amp;MIN(24,COUNT('For stats end Y points'!$B38:F38))))))</f>
        <v>0</v>
      </c>
      <c r="G38" cm="1">
        <f t="array" aca="1" ref="G38" ca="1">SUMPRODUCT(LARGE('For stats end Y points'!$B38:G38,ROW(INDIRECT("1:"&amp;MIN(24,COUNT('For stats end Y points'!$B38:G38))))))</f>
        <v>0</v>
      </c>
      <c r="H38" cm="1">
        <f t="array" aca="1" ref="H38" ca="1">SUMPRODUCT(LARGE('For stats end Y points'!$B38:H38,ROW(INDIRECT("1:"&amp;MIN(24,COUNT('For stats end Y points'!$B38:H38))))))</f>
        <v>0</v>
      </c>
      <c r="I38" cm="1">
        <f t="array" aca="1" ref="I38" ca="1">SUMPRODUCT(LARGE('For stats end Y points'!$B38:I38,ROW(INDIRECT("1:"&amp;MIN(24,COUNT('For stats end Y points'!$B38:I38))))))</f>
        <v>0</v>
      </c>
      <c r="J38" cm="1">
        <f t="array" aca="1" ref="J38" ca="1">SUMPRODUCT(LARGE('For stats end Y points'!$B38:J38,ROW(INDIRECT("1:"&amp;MIN(24,COUNT('For stats end Y points'!$B38:J38))))))</f>
        <v>0</v>
      </c>
      <c r="K38" cm="1">
        <f t="array" aca="1" ref="K38" ca="1">SUMPRODUCT(LARGE('For stats end Y points'!$B38:K38,ROW(INDIRECT("1:"&amp;MIN(24,COUNT('For stats end Y points'!$B38:K38))))))</f>
        <v>0</v>
      </c>
      <c r="L38" cm="1">
        <f t="array" aca="1" ref="L38" ca="1">SUMPRODUCT(LARGE('For stats end Y points'!$B38:L38,ROW(INDIRECT("1:"&amp;MIN(24,COUNT('For stats end Y points'!$B38:L38))))))</f>
        <v>0</v>
      </c>
      <c r="M38" cm="1">
        <f t="array" aca="1" ref="M38" ca="1">SUMPRODUCT(LARGE('For stats end Y points'!$B38:M38,ROW(INDIRECT("1:"&amp;MIN(24,COUNT('For stats end Y points'!$B38:M38))))))</f>
        <v>0</v>
      </c>
      <c r="N38" cm="1">
        <f t="array" aca="1" ref="N38" ca="1">SUMPRODUCT(LARGE('For stats end Y points'!$B38:N38,ROW(INDIRECT("1:"&amp;MIN(24,COUNT('For stats end Y points'!$B38:N38))))))</f>
        <v>0</v>
      </c>
      <c r="O38" cm="1">
        <f t="array" aca="1" ref="O38" ca="1">SUMPRODUCT(LARGE('For stats end Y points'!$B38:O38,ROW(INDIRECT("1:"&amp;MIN(24,COUNT('For stats end Y points'!$B38:O38))))))</f>
        <v>0</v>
      </c>
      <c r="P38" cm="1">
        <f t="array" aca="1" ref="P38" ca="1">SUMPRODUCT(LARGE('For stats end Y points'!$B38:P38,ROW(INDIRECT("1:"&amp;MIN(24,COUNT('For stats end Y points'!$B38:P38))))))</f>
        <v>0</v>
      </c>
      <c r="Q38" cm="1">
        <f t="array" aca="1" ref="Q38" ca="1">SUMPRODUCT(LARGE('For stats end Y points'!$B38:Q38,ROW(INDIRECT("1:"&amp;MIN(24,COUNT('For stats end Y points'!$B38:Q38))))))</f>
        <v>0</v>
      </c>
      <c r="R38" cm="1">
        <f t="array" aca="1" ref="R38" ca="1">SUMPRODUCT(LARGE('For stats end Y points'!$B38:R38,ROW(INDIRECT("1:"&amp;MIN(24,COUNT('For stats end Y points'!$B38:R38))))))</f>
        <v>0</v>
      </c>
      <c r="S38" cm="1">
        <f t="array" aca="1" ref="S38" ca="1">SUMPRODUCT(LARGE('For stats end Y points'!$B38:S38,ROW(INDIRECT("1:"&amp;MIN(24,COUNT('For stats end Y points'!$B38:S38))))))</f>
        <v>0</v>
      </c>
      <c r="T38" cm="1">
        <f t="array" aca="1" ref="T38" ca="1">SUMPRODUCT(LARGE('For stats end Y points'!$B38:T38,ROW(INDIRECT("1:"&amp;MIN(24,COUNT('For stats end Y points'!$B38:T38))))))</f>
        <v>0</v>
      </c>
      <c r="U38" cm="1">
        <f t="array" aca="1" ref="U38" ca="1">SUMPRODUCT(LARGE('For stats end Y points'!$B38:U38,ROW(INDIRECT("1:"&amp;MIN(24,COUNT('For stats end Y points'!$B38:U38))))))</f>
        <v>0</v>
      </c>
      <c r="V38" cm="1">
        <f t="array" aca="1" ref="V38" ca="1">SUMPRODUCT(LARGE('For stats end Y points'!$B38:V38,ROW(INDIRECT("1:"&amp;MIN(24,COUNT('For stats end Y points'!$B38:V38))))))</f>
        <v>0</v>
      </c>
      <c r="W38" cm="1">
        <f t="array" aca="1" ref="W38" ca="1">SUMPRODUCT(LARGE('For stats end Y points'!$B38:W38,ROW(INDIRECT("1:"&amp;MIN(24,COUNT('For stats end Y points'!$B38:W38))))))</f>
        <v>0</v>
      </c>
      <c r="X38" cm="1">
        <f t="array" aca="1" ref="X38" ca="1">SUMPRODUCT(LARGE('For stats end Y points'!$B38:X38,ROW(INDIRECT("1:"&amp;MIN(24,COUNT('For stats end Y points'!$B38:X38))))))</f>
        <v>0</v>
      </c>
      <c r="Y38" cm="1">
        <f t="array" aca="1" ref="Y38" ca="1">SUMPRODUCT(LARGE('For stats end Y points'!$B38:Y38,ROW(INDIRECT("1:"&amp;MIN(24,COUNT('For stats end Y points'!$B38:Y38))))))</f>
        <v>9</v>
      </c>
      <c r="Z38" cm="1">
        <f t="array" aca="1" ref="Z38" ca="1">SUMPRODUCT(LARGE('For stats end Y points'!$B38:Z38,ROW(INDIRECT("1:"&amp;MIN(24,COUNT('For stats end Y points'!$B38:Z38))))))</f>
        <v>9</v>
      </c>
      <c r="AA38" cm="1">
        <f t="array" aca="1" ref="AA38" ca="1">SUMPRODUCT(LARGE('For stats end Y points'!$B38:AA38,ROW(INDIRECT("1:"&amp;MIN(24,COUNT('For stats end Y points'!$B38:AA38))))))</f>
        <v>9</v>
      </c>
      <c r="AB38" cm="1">
        <f t="array" aca="1" ref="AB38" ca="1">SUMPRODUCT(LARGE('For stats end Y points'!$B38:AB38,ROW(INDIRECT("1:"&amp;MIN(24,COUNT('For stats end Y points'!$B38:AB38))))))</f>
        <v>9</v>
      </c>
      <c r="AC38" cm="1">
        <f t="array" aca="1" ref="AC38" ca="1">SUMPRODUCT(LARGE('For stats end Y points'!$B38:AC38,ROW(INDIRECT("1:"&amp;MIN(24,COUNT('For stats end Y points'!$B38:AC38))))))</f>
        <v>9</v>
      </c>
      <c r="AD38" cm="1">
        <f t="array" aca="1" ref="AD38" ca="1">SUMPRODUCT(LARGE('For stats end Y points'!$B38:AD38,ROW(INDIRECT("1:"&amp;MIN(24,COUNT('For stats end Y points'!$B38:AD38))))))</f>
        <v>9</v>
      </c>
      <c r="AE38" cm="1">
        <f t="array" aca="1" ref="AE38" ca="1">SUMPRODUCT(LARGE('For stats end Y points'!$B38:AE38,ROW(INDIRECT("1:"&amp;MIN(24,COUNT('For stats end Y points'!$B38:AE38))))))</f>
        <v>9</v>
      </c>
      <c r="AF38" cm="1">
        <f t="array" aca="1" ref="AF38" ca="1">SUMPRODUCT(LARGE('For stats end Y points'!$B38:AF38,ROW(INDIRECT("1:"&amp;MIN(24,COUNT('For stats end Y points'!$B38:AF38))))))</f>
        <v>9</v>
      </c>
      <c r="AG38" cm="1">
        <f t="array" aca="1" ref="AG38" ca="1">SUMPRODUCT(LARGE('For stats end Y points'!$B38:AG38,ROW(INDIRECT("1:"&amp;MIN(24,COUNT('For stats end Y points'!$B38:AG38))))))</f>
        <v>9</v>
      </c>
      <c r="AH38" cm="1">
        <f t="array" aca="1" ref="AH38" ca="1">SUMPRODUCT(LARGE('For stats end Y points'!$B38:AH38,ROW(INDIRECT("1:"&amp;MIN(24,COUNT('For stats end Y points'!$B38:AH38))))))</f>
        <v>9</v>
      </c>
      <c r="AP38" s="10">
        <f t="shared" si="0"/>
        <v>0</v>
      </c>
      <c r="AQ38">
        <f>'For stats end Y class'!AU38</f>
        <v>1</v>
      </c>
    </row>
    <row r="39" spans="1:43" x14ac:dyDescent="0.2">
      <c r="A39" t="str">
        <f>'For stats end Y points'!A39</f>
        <v>Ines</v>
      </c>
      <c r="B39" cm="1">
        <f t="array" aca="1" ref="B39" ca="1">SUMPRODUCT(LARGE('For stats end Y points'!$B39:B39,ROW(INDIRECT("1:"&amp;MIN(24,COUNT('For stats end Y points'!$B39:B39))))))</f>
        <v>0</v>
      </c>
      <c r="C39" cm="1">
        <f t="array" aca="1" ref="C39" ca="1">SUMPRODUCT(LARGE('For stats end Y points'!$B39:C39,ROW(INDIRECT("1:"&amp;MIN(24,COUNT('For stats end Y points'!$B39:C39))))))</f>
        <v>0</v>
      </c>
      <c r="D39" cm="1">
        <f t="array" aca="1" ref="D39" ca="1">SUMPRODUCT(LARGE('For stats end Y points'!$B39:D39,ROW(INDIRECT("1:"&amp;MIN(24,COUNT('For stats end Y points'!$B39:D39))))))</f>
        <v>0</v>
      </c>
      <c r="E39" cm="1">
        <f t="array" aca="1" ref="E39" ca="1">SUMPRODUCT(LARGE('For stats end Y points'!$B39:E39,ROW(INDIRECT("1:"&amp;MIN(24,COUNT('For stats end Y points'!$B39:E39))))))</f>
        <v>0</v>
      </c>
      <c r="F39" cm="1">
        <f t="array" aca="1" ref="F39" ca="1">SUMPRODUCT(LARGE('For stats end Y points'!$B39:F39,ROW(INDIRECT("1:"&amp;MIN(24,COUNT('For stats end Y points'!$B39:F39))))))</f>
        <v>0</v>
      </c>
      <c r="G39" cm="1">
        <f t="array" aca="1" ref="G39" ca="1">SUMPRODUCT(LARGE('For stats end Y points'!$B39:G39,ROW(INDIRECT("1:"&amp;MIN(24,COUNT('For stats end Y points'!$B39:G39))))))</f>
        <v>0</v>
      </c>
      <c r="H39" cm="1">
        <f t="array" aca="1" ref="H39" ca="1">SUMPRODUCT(LARGE('For stats end Y points'!$B39:H39,ROW(INDIRECT("1:"&amp;MIN(24,COUNT('For stats end Y points'!$B39:H39))))))</f>
        <v>0</v>
      </c>
      <c r="I39" cm="1">
        <f t="array" aca="1" ref="I39" ca="1">SUMPRODUCT(LARGE('For stats end Y points'!$B39:I39,ROW(INDIRECT("1:"&amp;MIN(24,COUNT('For stats end Y points'!$B39:I39))))))</f>
        <v>0</v>
      </c>
      <c r="J39" cm="1">
        <f t="array" aca="1" ref="J39" ca="1">SUMPRODUCT(LARGE('For stats end Y points'!$B39:J39,ROW(INDIRECT("1:"&amp;MIN(24,COUNT('For stats end Y points'!$B39:J39))))))</f>
        <v>0</v>
      </c>
      <c r="K39" cm="1">
        <f t="array" aca="1" ref="K39" ca="1">SUMPRODUCT(LARGE('For stats end Y points'!$B39:K39,ROW(INDIRECT("1:"&amp;MIN(24,COUNT('For stats end Y points'!$B39:K39))))))</f>
        <v>0</v>
      </c>
      <c r="L39" cm="1">
        <f t="array" aca="1" ref="L39" ca="1">SUMPRODUCT(LARGE('For stats end Y points'!$B39:L39,ROW(INDIRECT("1:"&amp;MIN(24,COUNT('For stats end Y points'!$B39:L39))))))</f>
        <v>0</v>
      </c>
      <c r="M39" cm="1">
        <f t="array" aca="1" ref="M39" ca="1">SUMPRODUCT(LARGE('For stats end Y points'!$B39:M39,ROW(INDIRECT("1:"&amp;MIN(24,COUNT('For stats end Y points'!$B39:M39))))))</f>
        <v>0</v>
      </c>
      <c r="N39" cm="1">
        <f t="array" aca="1" ref="N39" ca="1">SUMPRODUCT(LARGE('For stats end Y points'!$B39:N39,ROW(INDIRECT("1:"&amp;MIN(24,COUNT('For stats end Y points'!$B39:N39))))))</f>
        <v>0</v>
      </c>
      <c r="O39" cm="1">
        <f t="array" aca="1" ref="O39" ca="1">SUMPRODUCT(LARGE('For stats end Y points'!$B39:O39,ROW(INDIRECT("1:"&amp;MIN(24,COUNT('For stats end Y points'!$B39:O39))))))</f>
        <v>0</v>
      </c>
      <c r="P39" cm="1">
        <f t="array" aca="1" ref="P39" ca="1">SUMPRODUCT(LARGE('For stats end Y points'!$B39:P39,ROW(INDIRECT("1:"&amp;MIN(24,COUNT('For stats end Y points'!$B39:P39))))))</f>
        <v>0</v>
      </c>
      <c r="Q39" cm="1">
        <f t="array" aca="1" ref="Q39" ca="1">SUMPRODUCT(LARGE('For stats end Y points'!$B39:Q39,ROW(INDIRECT("1:"&amp;MIN(24,COUNT('For stats end Y points'!$B39:Q39))))))</f>
        <v>0</v>
      </c>
      <c r="R39" cm="1">
        <f t="array" aca="1" ref="R39" ca="1">SUMPRODUCT(LARGE('For stats end Y points'!$B39:R39,ROW(INDIRECT("1:"&amp;MIN(24,COUNT('For stats end Y points'!$B39:R39))))))</f>
        <v>0</v>
      </c>
      <c r="S39" cm="1">
        <f t="array" aca="1" ref="S39" ca="1">SUMPRODUCT(LARGE('For stats end Y points'!$B39:S39,ROW(INDIRECT("1:"&amp;MIN(24,COUNT('For stats end Y points'!$B39:S39))))))</f>
        <v>0</v>
      </c>
      <c r="T39" cm="1">
        <f t="array" aca="1" ref="T39" ca="1">SUMPRODUCT(LARGE('For stats end Y points'!$B39:T39,ROW(INDIRECT("1:"&amp;MIN(24,COUNT('For stats end Y points'!$B39:T39))))))</f>
        <v>0</v>
      </c>
      <c r="U39" cm="1">
        <f t="array" aca="1" ref="U39" ca="1">SUMPRODUCT(LARGE('For stats end Y points'!$B39:U39,ROW(INDIRECT("1:"&amp;MIN(24,COUNT('For stats end Y points'!$B39:U39))))))</f>
        <v>0</v>
      </c>
      <c r="V39" cm="1">
        <f t="array" aca="1" ref="V39" ca="1">SUMPRODUCT(LARGE('For stats end Y points'!$B39:V39,ROW(INDIRECT("1:"&amp;MIN(24,COUNT('For stats end Y points'!$B39:V39))))))</f>
        <v>0</v>
      </c>
      <c r="W39" cm="1">
        <f t="array" aca="1" ref="W39" ca="1">SUMPRODUCT(LARGE('For stats end Y points'!$B39:W39,ROW(INDIRECT("1:"&amp;MIN(24,COUNT('For stats end Y points'!$B39:W39))))))</f>
        <v>0</v>
      </c>
      <c r="X39" cm="1">
        <f t="array" aca="1" ref="X39" ca="1">SUMPRODUCT(LARGE('For stats end Y points'!$B39:X39,ROW(INDIRECT("1:"&amp;MIN(24,COUNT('For stats end Y points'!$B39:X39))))))</f>
        <v>0</v>
      </c>
      <c r="Y39" cm="1">
        <f t="array" aca="1" ref="Y39" ca="1">SUMPRODUCT(LARGE('For stats end Y points'!$B39:Y39,ROW(INDIRECT("1:"&amp;MIN(24,COUNT('For stats end Y points'!$B39:Y39))))))</f>
        <v>0</v>
      </c>
      <c r="Z39" cm="1">
        <f t="array" aca="1" ref="Z39" ca="1">SUMPRODUCT(LARGE('For stats end Y points'!$B39:Z39,ROW(INDIRECT("1:"&amp;MIN(24,COUNT('For stats end Y points'!$B39:Z39))))))</f>
        <v>0</v>
      </c>
      <c r="AA39" cm="1">
        <f t="array" aca="1" ref="AA39" ca="1">SUMPRODUCT(LARGE('For stats end Y points'!$B39:AA39,ROW(INDIRECT("1:"&amp;MIN(24,COUNT('For stats end Y points'!$B39:AA39))))))</f>
        <v>0</v>
      </c>
      <c r="AB39" cm="1">
        <f t="array" aca="1" ref="AB39" ca="1">SUMPRODUCT(LARGE('For stats end Y points'!$B39:AB39,ROW(INDIRECT("1:"&amp;MIN(24,COUNT('For stats end Y points'!$B39:AB39))))))</f>
        <v>0</v>
      </c>
      <c r="AC39" cm="1">
        <f t="array" aca="1" ref="AC39" ca="1">SUMPRODUCT(LARGE('For stats end Y points'!$B39:AC39,ROW(INDIRECT("1:"&amp;MIN(24,COUNT('For stats end Y points'!$B39:AC39))))))</f>
        <v>12</v>
      </c>
      <c r="AD39" cm="1">
        <f t="array" aca="1" ref="AD39" ca="1">SUMPRODUCT(LARGE('For stats end Y points'!$B39:AD39,ROW(INDIRECT("1:"&amp;MIN(24,COUNT('For stats end Y points'!$B39:AD39))))))</f>
        <v>12</v>
      </c>
      <c r="AE39" cm="1">
        <f t="array" aca="1" ref="AE39" ca="1">SUMPRODUCT(LARGE('For stats end Y points'!$B39:AE39,ROW(INDIRECT("1:"&amp;MIN(24,COUNT('For stats end Y points'!$B39:AE39))))))</f>
        <v>12</v>
      </c>
      <c r="AF39" cm="1">
        <f t="array" aca="1" ref="AF39" ca="1">SUMPRODUCT(LARGE('For stats end Y points'!$B39:AF39,ROW(INDIRECT("1:"&amp;MIN(24,COUNT('For stats end Y points'!$B39:AF39))))))</f>
        <v>12</v>
      </c>
      <c r="AG39" cm="1">
        <f t="array" aca="1" ref="AG39" ca="1">SUMPRODUCT(LARGE('For stats end Y points'!$B39:AG39,ROW(INDIRECT("1:"&amp;MIN(24,COUNT('For stats end Y points'!$B39:AG39))))))</f>
        <v>12</v>
      </c>
      <c r="AH39" cm="1">
        <f t="array" aca="1" ref="AH39" ca="1">SUMPRODUCT(LARGE('For stats end Y points'!$B39:AH39,ROW(INDIRECT("1:"&amp;MIN(24,COUNT('For stats end Y points'!$B39:AH39))))))</f>
        <v>12</v>
      </c>
      <c r="AP39" s="10">
        <f t="shared" si="0"/>
        <v>0</v>
      </c>
      <c r="AQ39">
        <f>'For stats end Y class'!AU39</f>
        <v>1</v>
      </c>
    </row>
    <row r="40" spans="1:43" x14ac:dyDescent="0.2">
      <c r="A40" t="str">
        <f>'For stats end Y points'!A40</f>
        <v>Jacaille</v>
      </c>
      <c r="B40" cm="1">
        <f t="array" aca="1" ref="B40" ca="1">SUMPRODUCT(LARGE('For stats end Y points'!$B40:B40,ROW(INDIRECT("1:"&amp;MIN(24,COUNT('For stats end Y points'!$B40:B40))))))</f>
        <v>12</v>
      </c>
      <c r="C40" cm="1">
        <f t="array" aca="1" ref="C40" ca="1">SUMPRODUCT(LARGE('For stats end Y points'!$B40:C40,ROW(INDIRECT("1:"&amp;MIN(24,COUNT('For stats end Y points'!$B40:C40))))))</f>
        <v>25</v>
      </c>
      <c r="D40" cm="1">
        <f t="array" aca="1" ref="D40" ca="1">SUMPRODUCT(LARGE('For stats end Y points'!$B40:D40,ROW(INDIRECT("1:"&amp;MIN(24,COUNT('For stats end Y points'!$B40:D40))))))</f>
        <v>26</v>
      </c>
      <c r="E40" cm="1">
        <f t="array" aca="1" ref="E40" ca="1">SUMPRODUCT(LARGE('For stats end Y points'!$B40:E40,ROW(INDIRECT("1:"&amp;MIN(24,COUNT('For stats end Y points'!$B40:E40))))))</f>
        <v>43</v>
      </c>
      <c r="F40" cm="1">
        <f t="array" aca="1" ref="F40" ca="1">SUMPRODUCT(LARGE('For stats end Y points'!$B40:F40,ROW(INDIRECT("1:"&amp;MIN(24,COUNT('For stats end Y points'!$B40:F40))))))</f>
        <v>60</v>
      </c>
      <c r="G40" cm="1">
        <f t="array" aca="1" ref="G40" ca="1">SUMPRODUCT(LARGE('For stats end Y points'!$B40:G40,ROW(INDIRECT("1:"&amp;MIN(24,COUNT('For stats end Y points'!$B40:G40))))))</f>
        <v>65</v>
      </c>
      <c r="H40" cm="1">
        <f t="array" aca="1" ref="H40" ca="1">SUMPRODUCT(LARGE('For stats end Y points'!$B40:H40,ROW(INDIRECT("1:"&amp;MIN(24,COUNT('For stats end Y points'!$B40:H40))))))</f>
        <v>77</v>
      </c>
      <c r="I40" cm="1">
        <f t="array" aca="1" ref="I40" ca="1">SUMPRODUCT(LARGE('For stats end Y points'!$B40:I40,ROW(INDIRECT("1:"&amp;MIN(24,COUNT('For stats end Y points'!$B40:I40))))))</f>
        <v>81</v>
      </c>
      <c r="J40" cm="1">
        <f t="array" aca="1" ref="J40" ca="1">SUMPRODUCT(LARGE('For stats end Y points'!$B40:J40,ROW(INDIRECT("1:"&amp;MIN(24,COUNT('For stats end Y points'!$B40:J40))))))</f>
        <v>81</v>
      </c>
      <c r="K40" cm="1">
        <f t="array" aca="1" ref="K40" ca="1">SUMPRODUCT(LARGE('For stats end Y points'!$B40:K40,ROW(INDIRECT("1:"&amp;MIN(24,COUNT('For stats end Y points'!$B40:K40))))))</f>
        <v>93</v>
      </c>
      <c r="L40" cm="1">
        <f t="array" aca="1" ref="L40" ca="1">SUMPRODUCT(LARGE('For stats end Y points'!$B40:L40,ROW(INDIRECT("1:"&amp;MIN(24,COUNT('For stats end Y points'!$B40:L40))))))</f>
        <v>94</v>
      </c>
      <c r="M40" cm="1">
        <f t="array" aca="1" ref="M40" ca="1">SUMPRODUCT(LARGE('For stats end Y points'!$B40:M40,ROW(INDIRECT("1:"&amp;MIN(24,COUNT('For stats end Y points'!$B40:M40))))))</f>
        <v>94</v>
      </c>
      <c r="N40" cm="1">
        <f t="array" aca="1" ref="N40" ca="1">SUMPRODUCT(LARGE('For stats end Y points'!$B40:N40,ROW(INDIRECT("1:"&amp;MIN(24,COUNT('For stats end Y points'!$B40:N40))))))</f>
        <v>94</v>
      </c>
      <c r="O40" cm="1">
        <f t="array" aca="1" ref="O40" ca="1">SUMPRODUCT(LARGE('For stats end Y points'!$B40:O40,ROW(INDIRECT("1:"&amp;MIN(24,COUNT('For stats end Y points'!$B40:O40))))))</f>
        <v>94</v>
      </c>
      <c r="P40" cm="1">
        <f t="array" aca="1" ref="P40" ca="1">SUMPRODUCT(LARGE('For stats end Y points'!$B40:P40,ROW(INDIRECT("1:"&amp;MIN(24,COUNT('For stats end Y points'!$B40:P40))))))</f>
        <v>94</v>
      </c>
      <c r="Q40" cm="1">
        <f t="array" aca="1" ref="Q40" ca="1">SUMPRODUCT(LARGE('For stats end Y points'!$B40:Q40,ROW(INDIRECT("1:"&amp;MIN(24,COUNT('For stats end Y points'!$B40:Q40))))))</f>
        <v>94</v>
      </c>
      <c r="R40" cm="1">
        <f t="array" aca="1" ref="R40" ca="1">SUMPRODUCT(LARGE('For stats end Y points'!$B40:R40,ROW(INDIRECT("1:"&amp;MIN(24,COUNT('For stats end Y points'!$B40:R40))))))</f>
        <v>94</v>
      </c>
      <c r="S40" cm="1">
        <f t="array" aca="1" ref="S40" ca="1">SUMPRODUCT(LARGE('For stats end Y points'!$B40:S40,ROW(INDIRECT("1:"&amp;MIN(24,COUNT('For stats end Y points'!$B40:S40))))))</f>
        <v>94</v>
      </c>
      <c r="T40" cm="1">
        <f t="array" aca="1" ref="T40" ca="1">SUMPRODUCT(LARGE('For stats end Y points'!$B40:T40,ROW(INDIRECT("1:"&amp;MIN(24,COUNT('For stats end Y points'!$B40:T40))))))</f>
        <v>94</v>
      </c>
      <c r="U40" cm="1">
        <f t="array" aca="1" ref="U40" ca="1">SUMPRODUCT(LARGE('For stats end Y points'!$B40:U40,ROW(INDIRECT("1:"&amp;MIN(24,COUNT('For stats end Y points'!$B40:U40))))))</f>
        <v>94</v>
      </c>
      <c r="V40" cm="1">
        <f t="array" aca="1" ref="V40" ca="1">SUMPRODUCT(LARGE('For stats end Y points'!$B40:V40,ROW(INDIRECT("1:"&amp;MIN(24,COUNT('For stats end Y points'!$B40:V40))))))</f>
        <v>94</v>
      </c>
      <c r="W40" cm="1">
        <f t="array" aca="1" ref="W40" ca="1">SUMPRODUCT(LARGE('For stats end Y points'!$B40:W40,ROW(INDIRECT("1:"&amp;MIN(24,COUNT('For stats end Y points'!$B40:W40))))))</f>
        <v>94</v>
      </c>
      <c r="X40" cm="1">
        <f t="array" aca="1" ref="X40" ca="1">SUMPRODUCT(LARGE('For stats end Y points'!$B40:X40,ROW(INDIRECT("1:"&amp;MIN(24,COUNT('For stats end Y points'!$B40:X40))))))</f>
        <v>94</v>
      </c>
      <c r="Y40" cm="1">
        <f t="array" aca="1" ref="Y40" ca="1">SUMPRODUCT(LARGE('For stats end Y points'!$B40:Y40,ROW(INDIRECT("1:"&amp;MIN(24,COUNT('For stats end Y points'!$B40:Y40))))))</f>
        <v>94</v>
      </c>
      <c r="Z40" cm="1">
        <f t="array" aca="1" ref="Z40" ca="1">SUMPRODUCT(LARGE('For stats end Y points'!$B40:Z40,ROW(INDIRECT("1:"&amp;MIN(24,COUNT('For stats end Y points'!$B40:Z40))))))</f>
        <v>94</v>
      </c>
      <c r="AA40" cm="1">
        <f t="array" aca="1" ref="AA40" ca="1">SUMPRODUCT(LARGE('For stats end Y points'!$B40:AA40,ROW(INDIRECT("1:"&amp;MIN(24,COUNT('For stats end Y points'!$B40:AA40))))))</f>
        <v>94</v>
      </c>
      <c r="AB40" cm="1">
        <f t="array" aca="1" ref="AB40" ca="1">SUMPRODUCT(LARGE('For stats end Y points'!$B40:AB40,ROW(INDIRECT("1:"&amp;MIN(24,COUNT('For stats end Y points'!$B40:AB40))))))</f>
        <v>94</v>
      </c>
      <c r="AC40" cm="1">
        <f t="array" aca="1" ref="AC40" ca="1">SUMPRODUCT(LARGE('For stats end Y points'!$B40:AC40,ROW(INDIRECT("1:"&amp;MIN(24,COUNT('For stats end Y points'!$B40:AC40))))))</f>
        <v>94</v>
      </c>
      <c r="AD40" cm="1">
        <f t="array" aca="1" ref="AD40" ca="1">SUMPRODUCT(LARGE('For stats end Y points'!$B40:AD40,ROW(INDIRECT("1:"&amp;MIN(24,COUNT('For stats end Y points'!$B40:AD40))))))</f>
        <v>94</v>
      </c>
      <c r="AE40" cm="1">
        <f t="array" aca="1" ref="AE40" ca="1">SUMPRODUCT(LARGE('For stats end Y points'!$B40:AE40,ROW(INDIRECT("1:"&amp;MIN(24,COUNT('For stats end Y points'!$B40:AE40))))))</f>
        <v>94</v>
      </c>
      <c r="AF40" cm="1">
        <f t="array" aca="1" ref="AF40" ca="1">SUMPRODUCT(LARGE('For stats end Y points'!$B40:AF40,ROW(INDIRECT("1:"&amp;MIN(24,COUNT('For stats end Y points'!$B40:AF40))))))</f>
        <v>94</v>
      </c>
      <c r="AG40" cm="1">
        <f t="array" aca="1" ref="AG40" ca="1">SUMPRODUCT(LARGE('For stats end Y points'!$B40:AG40,ROW(INDIRECT("1:"&amp;MIN(24,COUNT('For stats end Y points'!$B40:AG40))))))</f>
        <v>94</v>
      </c>
      <c r="AH40" cm="1">
        <f t="array" aca="1" ref="AH40" ca="1">SUMPRODUCT(LARGE('For stats end Y points'!$B40:AH40,ROW(INDIRECT("1:"&amp;MIN(24,COUNT('For stats end Y points'!$B40:AH40))))))</f>
        <v>94</v>
      </c>
      <c r="AP40" s="10">
        <f t="shared" si="0"/>
        <v>0</v>
      </c>
      <c r="AQ40">
        <f>'For stats end Y class'!AU40</f>
        <v>10</v>
      </c>
    </row>
    <row r="41" spans="1:43" x14ac:dyDescent="0.2">
      <c r="A41" t="str">
        <f>'For stats end Y points'!A41</f>
        <v>Jaden</v>
      </c>
      <c r="B41" cm="1">
        <f t="array" aca="1" ref="B41" ca="1">SUMPRODUCT(LARGE('For stats end Y points'!$B41:B41,ROW(INDIRECT("1:"&amp;MIN(24,COUNT('For stats end Y points'!$B41:B41))))))</f>
        <v>1</v>
      </c>
      <c r="C41" cm="1">
        <f t="array" aca="1" ref="C41" ca="1">SUMPRODUCT(LARGE('For stats end Y points'!$B41:C41,ROW(INDIRECT("1:"&amp;MIN(24,COUNT('For stats end Y points'!$B41:C41))))))</f>
        <v>4</v>
      </c>
      <c r="D41" cm="1">
        <f t="array" aca="1" ref="D41" ca="1">SUMPRODUCT(LARGE('For stats end Y points'!$B41:D41,ROW(INDIRECT("1:"&amp;MIN(24,COUNT('For stats end Y points'!$B41:D41))))))</f>
        <v>8</v>
      </c>
      <c r="E41" cm="1">
        <f t="array" aca="1" ref="E41" ca="1">SUMPRODUCT(LARGE('For stats end Y points'!$B41:E41,ROW(INDIRECT("1:"&amp;MIN(24,COUNT('For stats end Y points'!$B41:E41))))))</f>
        <v>8</v>
      </c>
      <c r="F41" cm="1">
        <f t="array" aca="1" ref="F41" ca="1">SUMPRODUCT(LARGE('For stats end Y points'!$B41:F41,ROW(INDIRECT("1:"&amp;MIN(24,COUNT('For stats end Y points'!$B41:F41))))))</f>
        <v>8</v>
      </c>
      <c r="G41" cm="1">
        <f t="array" aca="1" ref="G41" ca="1">SUMPRODUCT(LARGE('For stats end Y points'!$B41:G41,ROW(INDIRECT("1:"&amp;MIN(24,COUNT('For stats end Y points'!$B41:G41))))))</f>
        <v>13</v>
      </c>
      <c r="H41" cm="1">
        <f t="array" aca="1" ref="H41" ca="1">SUMPRODUCT(LARGE('For stats end Y points'!$B41:H41,ROW(INDIRECT("1:"&amp;MIN(24,COUNT('For stats end Y points'!$B41:H41))))))</f>
        <v>14</v>
      </c>
      <c r="I41" cm="1">
        <f t="array" aca="1" ref="I41" ca="1">SUMPRODUCT(LARGE('For stats end Y points'!$B41:I41,ROW(INDIRECT("1:"&amp;MIN(24,COUNT('For stats end Y points'!$B41:I41))))))</f>
        <v>14</v>
      </c>
      <c r="J41" cm="1">
        <f t="array" aca="1" ref="J41" ca="1">SUMPRODUCT(LARGE('For stats end Y points'!$B41:J41,ROW(INDIRECT("1:"&amp;MIN(24,COUNT('For stats end Y points'!$B41:J41))))))</f>
        <v>27</v>
      </c>
      <c r="K41" cm="1">
        <f t="array" aca="1" ref="K41" ca="1">SUMPRODUCT(LARGE('For stats end Y points'!$B41:K41,ROW(INDIRECT("1:"&amp;MIN(24,COUNT('For stats end Y points'!$B41:K41))))))</f>
        <v>27</v>
      </c>
      <c r="L41" cm="1">
        <f t="array" aca="1" ref="L41" ca="1">SUMPRODUCT(LARGE('For stats end Y points'!$B41:L41,ROW(INDIRECT("1:"&amp;MIN(24,COUNT('For stats end Y points'!$B41:L41))))))</f>
        <v>27</v>
      </c>
      <c r="M41" cm="1">
        <f t="array" aca="1" ref="M41" ca="1">SUMPRODUCT(LARGE('For stats end Y points'!$B41:M41,ROW(INDIRECT("1:"&amp;MIN(24,COUNT('For stats end Y points'!$B41:M41))))))</f>
        <v>39</v>
      </c>
      <c r="N41" cm="1">
        <f t="array" aca="1" ref="N41" ca="1">SUMPRODUCT(LARGE('For stats end Y points'!$B41:N41,ROW(INDIRECT("1:"&amp;MIN(24,COUNT('For stats end Y points'!$B41:N41))))))</f>
        <v>43</v>
      </c>
      <c r="O41" cm="1">
        <f t="array" aca="1" ref="O41" ca="1">SUMPRODUCT(LARGE('For stats end Y points'!$B41:O41,ROW(INDIRECT("1:"&amp;MIN(24,COUNT('For stats end Y points'!$B41:O41))))))</f>
        <v>45</v>
      </c>
      <c r="P41" cm="1">
        <f t="array" aca="1" ref="P41" ca="1">SUMPRODUCT(LARGE('For stats end Y points'!$B41:P41,ROW(INDIRECT("1:"&amp;MIN(24,COUNT('For stats end Y points'!$B41:P41))))))</f>
        <v>45</v>
      </c>
      <c r="Q41" cm="1">
        <f t="array" aca="1" ref="Q41" ca="1">SUMPRODUCT(LARGE('For stats end Y points'!$B41:Q41,ROW(INDIRECT("1:"&amp;MIN(24,COUNT('For stats end Y points'!$B41:Q41))))))</f>
        <v>45</v>
      </c>
      <c r="R41" cm="1">
        <f t="array" aca="1" ref="R41" ca="1">SUMPRODUCT(LARGE('For stats end Y points'!$B41:R41,ROW(INDIRECT("1:"&amp;MIN(24,COUNT('For stats end Y points'!$B41:R41))))))</f>
        <v>45</v>
      </c>
      <c r="S41" cm="1">
        <f t="array" aca="1" ref="S41" ca="1">SUMPRODUCT(LARGE('For stats end Y points'!$B41:S41,ROW(INDIRECT("1:"&amp;MIN(24,COUNT('For stats end Y points'!$B41:S41))))))</f>
        <v>45</v>
      </c>
      <c r="T41" cm="1">
        <f t="array" aca="1" ref="T41" ca="1">SUMPRODUCT(LARGE('For stats end Y points'!$B41:T41,ROW(INDIRECT("1:"&amp;MIN(24,COUNT('For stats end Y points'!$B41:T41))))))</f>
        <v>45</v>
      </c>
      <c r="U41" cm="1">
        <f t="array" aca="1" ref="U41" ca="1">SUMPRODUCT(LARGE('For stats end Y points'!$B41:U41,ROW(INDIRECT("1:"&amp;MIN(24,COUNT('For stats end Y points'!$B41:U41))))))</f>
        <v>45</v>
      </c>
      <c r="V41" cm="1">
        <f t="array" aca="1" ref="V41" ca="1">SUMPRODUCT(LARGE('For stats end Y points'!$B41:V41,ROW(INDIRECT("1:"&amp;MIN(24,COUNT('For stats end Y points'!$B41:V41))))))</f>
        <v>45</v>
      </c>
      <c r="W41" cm="1">
        <f t="array" aca="1" ref="W41" ca="1">SUMPRODUCT(LARGE('For stats end Y points'!$B41:W41,ROW(INDIRECT("1:"&amp;MIN(24,COUNT('For stats end Y points'!$B41:W41))))))</f>
        <v>45</v>
      </c>
      <c r="X41" cm="1">
        <f t="array" aca="1" ref="X41" ca="1">SUMPRODUCT(LARGE('For stats end Y points'!$B41:X41,ROW(INDIRECT("1:"&amp;MIN(24,COUNT('For stats end Y points'!$B41:X41))))))</f>
        <v>45</v>
      </c>
      <c r="Y41" cm="1">
        <f t="array" aca="1" ref="Y41" ca="1">SUMPRODUCT(LARGE('For stats end Y points'!$B41:Y41,ROW(INDIRECT("1:"&amp;MIN(24,COUNT('For stats end Y points'!$B41:Y41))))))</f>
        <v>45</v>
      </c>
      <c r="Z41" cm="1">
        <f t="array" aca="1" ref="Z41" ca="1">SUMPRODUCT(LARGE('For stats end Y points'!$B41:Z41,ROW(INDIRECT("1:"&amp;MIN(24,COUNT('For stats end Y points'!$B41:Z41))))))</f>
        <v>58</v>
      </c>
      <c r="AA41" cm="1">
        <f t="array" aca="1" ref="AA41" ca="1">SUMPRODUCT(LARGE('For stats end Y points'!$B41:AA41,ROW(INDIRECT("1:"&amp;MIN(24,COUNT('For stats end Y points'!$B41:AA41))))))</f>
        <v>74</v>
      </c>
      <c r="AB41" cm="1">
        <f t="array" aca="1" ref="AB41" ca="1">SUMPRODUCT(LARGE('For stats end Y points'!$B41:AB41,ROW(INDIRECT("1:"&amp;MIN(24,COUNT('For stats end Y points'!$B41:AB41))))))</f>
        <v>81</v>
      </c>
      <c r="AC41" cm="1">
        <f t="array" aca="1" ref="AC41" ca="1">SUMPRODUCT(LARGE('For stats end Y points'!$B41:AC41,ROW(INDIRECT("1:"&amp;MIN(24,COUNT('For stats end Y points'!$B41:AC41))))))</f>
        <v>81</v>
      </c>
      <c r="AD41" cm="1">
        <f t="array" aca="1" ref="AD41" ca="1">SUMPRODUCT(LARGE('For stats end Y points'!$B41:AD41,ROW(INDIRECT("1:"&amp;MIN(24,COUNT('For stats end Y points'!$B41:AD41))))))</f>
        <v>97</v>
      </c>
      <c r="AE41" cm="1">
        <f t="array" aca="1" ref="AE41" ca="1">SUMPRODUCT(LARGE('For stats end Y points'!$B41:AE41,ROW(INDIRECT("1:"&amp;MIN(24,COUNT('For stats end Y points'!$B41:AE41))))))</f>
        <v>110</v>
      </c>
      <c r="AF41" cm="1">
        <f t="array" aca="1" ref="AF41" ca="1">SUMPRODUCT(LARGE('For stats end Y points'!$B41:AF41,ROW(INDIRECT("1:"&amp;MIN(24,COUNT('For stats end Y points'!$B41:AF41))))))</f>
        <v>111</v>
      </c>
      <c r="AG41" cm="1">
        <f t="array" aca="1" ref="AG41" ca="1">SUMPRODUCT(LARGE('For stats end Y points'!$B41:AG41,ROW(INDIRECT("1:"&amp;MIN(24,COUNT('For stats end Y points'!$B41:AG41))))))</f>
        <v>111</v>
      </c>
      <c r="AH41" cm="1">
        <f t="array" aca="1" ref="AH41" ca="1">SUMPRODUCT(LARGE('For stats end Y points'!$B41:AH41,ROW(INDIRECT("1:"&amp;MIN(24,COUNT('For stats end Y points'!$B41:AH41))))))</f>
        <v>123</v>
      </c>
      <c r="AP41" s="10">
        <f t="shared" si="0"/>
        <v>0</v>
      </c>
      <c r="AQ41">
        <f>'For stats end Y class'!AU41</f>
        <v>16</v>
      </c>
    </row>
    <row r="42" spans="1:43" x14ac:dyDescent="0.2">
      <c r="A42" t="str">
        <f>'For stats end Y points'!A42</f>
        <v>JC</v>
      </c>
      <c r="B42" cm="1">
        <f t="array" aca="1" ref="B42" ca="1">SUMPRODUCT(LARGE('For stats end Y points'!$B42:B42,ROW(INDIRECT("1:"&amp;MIN(24,COUNT('For stats end Y points'!$B42:B42))))))</f>
        <v>0</v>
      </c>
      <c r="C42" cm="1">
        <f t="array" aca="1" ref="C42" ca="1">SUMPRODUCT(LARGE('For stats end Y points'!$B42:C42,ROW(INDIRECT("1:"&amp;MIN(24,COUNT('For stats end Y points'!$B42:C42))))))</f>
        <v>0</v>
      </c>
      <c r="D42" cm="1">
        <f t="array" aca="1" ref="D42" ca="1">SUMPRODUCT(LARGE('For stats end Y points'!$B42:D42,ROW(INDIRECT("1:"&amp;MIN(24,COUNT('For stats end Y points'!$B42:D42))))))</f>
        <v>12</v>
      </c>
      <c r="E42" cm="1">
        <f t="array" aca="1" ref="E42" ca="1">SUMPRODUCT(LARGE('For stats end Y points'!$B42:E42,ROW(INDIRECT("1:"&amp;MIN(24,COUNT('For stats end Y points'!$B42:E42))))))</f>
        <v>21</v>
      </c>
      <c r="F42" cm="1">
        <f t="array" aca="1" ref="F42" ca="1">SUMPRODUCT(LARGE('For stats end Y points'!$B42:F42,ROW(INDIRECT("1:"&amp;MIN(24,COUNT('For stats end Y points'!$B42:F42))))))</f>
        <v>30</v>
      </c>
      <c r="G42" cm="1">
        <f t="array" aca="1" ref="G42" ca="1">SUMPRODUCT(LARGE('For stats end Y points'!$B42:G42,ROW(INDIRECT("1:"&amp;MIN(24,COUNT('For stats end Y points'!$B42:G42))))))</f>
        <v>46</v>
      </c>
      <c r="H42" cm="1">
        <f t="array" aca="1" ref="H42" ca="1">SUMPRODUCT(LARGE('For stats end Y points'!$B42:H42,ROW(INDIRECT("1:"&amp;MIN(24,COUNT('For stats end Y points'!$B42:H42))))))</f>
        <v>54</v>
      </c>
      <c r="I42" cm="1">
        <f t="array" aca="1" ref="I42" ca="1">SUMPRODUCT(LARGE('For stats end Y points'!$B42:I42,ROW(INDIRECT("1:"&amp;MIN(24,COUNT('For stats end Y points'!$B42:I42))))))</f>
        <v>63</v>
      </c>
      <c r="J42" cm="1">
        <f t="array" aca="1" ref="J42" ca="1">SUMPRODUCT(LARGE('For stats end Y points'!$B42:J42,ROW(INDIRECT("1:"&amp;MIN(24,COUNT('For stats end Y points'!$B42:J42))))))</f>
        <v>76</v>
      </c>
      <c r="K42" cm="1">
        <f t="array" aca="1" ref="K42" ca="1">SUMPRODUCT(LARGE('For stats end Y points'!$B42:K42,ROW(INDIRECT("1:"&amp;MIN(24,COUNT('For stats end Y points'!$B42:K42))))))</f>
        <v>88</v>
      </c>
      <c r="L42" cm="1">
        <f t="array" aca="1" ref="L42" ca="1">SUMPRODUCT(LARGE('For stats end Y points'!$B42:L42,ROW(INDIRECT("1:"&amp;MIN(24,COUNT('For stats end Y points'!$B42:L42))))))</f>
        <v>103</v>
      </c>
      <c r="M42" cm="1">
        <f t="array" aca="1" ref="M42" ca="1">SUMPRODUCT(LARGE('For stats end Y points'!$B42:M42,ROW(INDIRECT("1:"&amp;MIN(24,COUNT('For stats end Y points'!$B42:M42))))))</f>
        <v>104</v>
      </c>
      <c r="N42" cm="1">
        <f t="array" aca="1" ref="N42" ca="1">SUMPRODUCT(LARGE('For stats end Y points'!$B42:N42,ROW(INDIRECT("1:"&amp;MIN(24,COUNT('For stats end Y points'!$B42:N42))))))</f>
        <v>112</v>
      </c>
      <c r="O42" cm="1">
        <f t="array" aca="1" ref="O42" ca="1">SUMPRODUCT(LARGE('For stats end Y points'!$B42:O42,ROW(INDIRECT("1:"&amp;MIN(24,COUNT('For stats end Y points'!$B42:O42))))))</f>
        <v>124</v>
      </c>
      <c r="P42" cm="1">
        <f t="array" aca="1" ref="P42" ca="1">SUMPRODUCT(LARGE('For stats end Y points'!$B42:P42,ROW(INDIRECT("1:"&amp;MIN(24,COUNT('For stats end Y points'!$B42:P42))))))</f>
        <v>132</v>
      </c>
      <c r="Q42" cm="1">
        <f t="array" aca="1" ref="Q42" ca="1">SUMPRODUCT(LARGE('For stats end Y points'!$B42:Q42,ROW(INDIRECT("1:"&amp;MIN(24,COUNT('For stats end Y points'!$B42:Q42))))))</f>
        <v>134</v>
      </c>
      <c r="R42" cm="1">
        <f t="array" aca="1" ref="R42" ca="1">SUMPRODUCT(LARGE('For stats end Y points'!$B42:R42,ROW(INDIRECT("1:"&amp;MIN(24,COUNT('For stats end Y points'!$B42:R42))))))</f>
        <v>139</v>
      </c>
      <c r="S42" cm="1">
        <f t="array" aca="1" ref="S42" ca="1">SUMPRODUCT(LARGE('For stats end Y points'!$B42:S42,ROW(INDIRECT("1:"&amp;MIN(24,COUNT('For stats end Y points'!$B42:S42))))))</f>
        <v>156</v>
      </c>
      <c r="T42" cm="1">
        <f t="array" aca="1" ref="T42" ca="1">SUMPRODUCT(LARGE('For stats end Y points'!$B42:T42,ROW(INDIRECT("1:"&amp;MIN(24,COUNT('For stats end Y points'!$B42:T42))))))</f>
        <v>158</v>
      </c>
      <c r="U42" cm="1">
        <f t="array" aca="1" ref="U42" ca="1">SUMPRODUCT(LARGE('For stats end Y points'!$B42:U42,ROW(INDIRECT("1:"&amp;MIN(24,COUNT('For stats end Y points'!$B42:U42))))))</f>
        <v>166</v>
      </c>
      <c r="V42" cm="1">
        <f t="array" aca="1" ref="V42" ca="1">SUMPRODUCT(LARGE('For stats end Y points'!$B42:V42,ROW(INDIRECT("1:"&amp;MIN(24,COUNT('For stats end Y points'!$B42:V42))))))</f>
        <v>182</v>
      </c>
      <c r="W42" cm="1">
        <f t="array" aca="1" ref="W42" ca="1">SUMPRODUCT(LARGE('For stats end Y points'!$B42:W42,ROW(INDIRECT("1:"&amp;MIN(24,COUNT('For stats end Y points'!$B42:W42))))))</f>
        <v>187</v>
      </c>
      <c r="X42" cm="1">
        <f t="array" aca="1" ref="X42" ca="1">SUMPRODUCT(LARGE('For stats end Y points'!$B42:X42,ROW(INDIRECT("1:"&amp;MIN(24,COUNT('For stats end Y points'!$B42:X42))))))</f>
        <v>192</v>
      </c>
      <c r="Y42" cm="1">
        <f t="array" aca="1" ref="Y42" ca="1">SUMPRODUCT(LARGE('For stats end Y points'!$B42:Y42,ROW(INDIRECT("1:"&amp;MIN(24,COUNT('For stats end Y points'!$B42:Y42))))))</f>
        <v>205</v>
      </c>
      <c r="Z42" cm="1">
        <f t="array" aca="1" ref="Z42" ca="1">SUMPRODUCT(LARGE('For stats end Y points'!$B42:Z42,ROW(INDIRECT("1:"&amp;MIN(24,COUNT('For stats end Y points'!$B42:Z42))))))</f>
        <v>214</v>
      </c>
      <c r="AA42" cm="1">
        <f t="array" aca="1" ref="AA42" ca="1">SUMPRODUCT(LARGE('For stats end Y points'!$B42:AA42,ROW(INDIRECT("1:"&amp;MIN(24,COUNT('For stats end Y points'!$B42:AA42))))))</f>
        <v>215</v>
      </c>
      <c r="AB42" cm="1">
        <f t="array" aca="1" ref="AB42" ca="1">SUMPRODUCT(LARGE('For stats end Y points'!$B42:AB42,ROW(INDIRECT("1:"&amp;MIN(24,COUNT('For stats end Y points'!$B42:AB42))))))</f>
        <v>218</v>
      </c>
      <c r="AC42" cm="1">
        <f t="array" aca="1" ref="AC42" ca="1">SUMPRODUCT(LARGE('For stats end Y points'!$B42:AC42,ROW(INDIRECT("1:"&amp;MIN(24,COUNT('For stats end Y points'!$B42:AC42))))))</f>
        <v>229</v>
      </c>
      <c r="AD42" cm="1">
        <f t="array" aca="1" ref="AD42" ca="1">SUMPRODUCT(LARGE('For stats end Y points'!$B42:AD42,ROW(INDIRECT("1:"&amp;MIN(24,COUNT('For stats end Y points'!$B42:AD42))))))</f>
        <v>231</v>
      </c>
      <c r="AE42" cm="1">
        <f t="array" aca="1" ref="AE42" ca="1">SUMPRODUCT(LARGE('For stats end Y points'!$B42:AE42,ROW(INDIRECT("1:"&amp;MIN(24,COUNT('For stats end Y points'!$B42:AE42))))))</f>
        <v>231</v>
      </c>
      <c r="AF42" cm="1">
        <f t="array" aca="1" ref="AF42" ca="1">SUMPRODUCT(LARGE('For stats end Y points'!$B42:AF42,ROW(INDIRECT("1:"&amp;MIN(24,COUNT('For stats end Y points'!$B42:AF42))))))</f>
        <v>241</v>
      </c>
      <c r="AG42" cm="1">
        <f t="array" aca="1" ref="AG42" ca="1">SUMPRODUCT(LARGE('For stats end Y points'!$B42:AG42,ROW(INDIRECT("1:"&amp;MIN(24,COUNT('For stats end Y points'!$B42:AG42))))))</f>
        <v>249</v>
      </c>
      <c r="AH42" cm="1">
        <f t="array" aca="1" ref="AH42" ca="1">SUMPRODUCT(LARGE('For stats end Y points'!$B42:AH42,ROW(INDIRECT("1:"&amp;MIN(24,COUNT('For stats end Y points'!$B42:AH42))))))</f>
        <v>253</v>
      </c>
      <c r="AP42" s="10">
        <f t="shared" si="0"/>
        <v>0</v>
      </c>
      <c r="AQ42">
        <f>'For stats end Y class'!AU42</f>
        <v>31</v>
      </c>
    </row>
    <row r="43" spans="1:43" x14ac:dyDescent="0.2">
      <c r="A43" t="str">
        <f>'For stats end Y points'!A43</f>
        <v>JeanMichelTiming</v>
      </c>
      <c r="B43" cm="1">
        <f t="array" aca="1" ref="B43" ca="1">SUMPRODUCT(LARGE('For stats end Y points'!$B43:B43,ROW(INDIRECT("1:"&amp;MIN(24,COUNT('For stats end Y points'!$B43:B43))))))</f>
        <v>16</v>
      </c>
      <c r="C43" cm="1">
        <f t="array" aca="1" ref="C43" ca="1">SUMPRODUCT(LARGE('For stats end Y points'!$B43:C43,ROW(INDIRECT("1:"&amp;MIN(24,COUNT('For stats end Y points'!$B43:C43))))))</f>
        <v>17</v>
      </c>
      <c r="D43" cm="1">
        <f t="array" aca="1" ref="D43" ca="1">SUMPRODUCT(LARGE('For stats end Y points'!$B43:D43,ROW(INDIRECT("1:"&amp;MIN(24,COUNT('For stats end Y points'!$B43:D43))))))</f>
        <v>25</v>
      </c>
      <c r="E43" cm="1">
        <f t="array" aca="1" ref="E43" ca="1">SUMPRODUCT(LARGE('For stats end Y points'!$B43:E43,ROW(INDIRECT("1:"&amp;MIN(24,COUNT('For stats end Y points'!$B43:E43))))))</f>
        <v>26</v>
      </c>
      <c r="F43" cm="1">
        <f t="array" aca="1" ref="F43" ca="1">SUMPRODUCT(LARGE('For stats end Y points'!$B43:F43,ROW(INDIRECT("1:"&amp;MIN(24,COUNT('For stats end Y points'!$B43:F43))))))</f>
        <v>35</v>
      </c>
      <c r="G43" cm="1">
        <f t="array" aca="1" ref="G43" ca="1">SUMPRODUCT(LARGE('For stats end Y points'!$B43:G43,ROW(INDIRECT("1:"&amp;MIN(24,COUNT('For stats end Y points'!$B43:G43))))))</f>
        <v>48</v>
      </c>
      <c r="H43" cm="1">
        <f t="array" aca="1" ref="H43" ca="1">SUMPRODUCT(LARGE('For stats end Y points'!$B43:H43,ROW(INDIRECT("1:"&amp;MIN(24,COUNT('For stats end Y points'!$B43:H43))))))</f>
        <v>48</v>
      </c>
      <c r="I43" cm="1">
        <f t="array" aca="1" ref="I43" ca="1">SUMPRODUCT(LARGE('For stats end Y points'!$B43:I43,ROW(INDIRECT("1:"&amp;MIN(24,COUNT('For stats end Y points'!$B43:I43))))))</f>
        <v>64</v>
      </c>
      <c r="J43" cm="1">
        <f t="array" aca="1" ref="J43" ca="1">SUMPRODUCT(LARGE('For stats end Y points'!$B43:J43,ROW(INDIRECT("1:"&amp;MIN(24,COUNT('For stats end Y points'!$B43:J43))))))</f>
        <v>76</v>
      </c>
      <c r="K43" cm="1">
        <f t="array" aca="1" ref="K43" ca="1">SUMPRODUCT(LARGE('For stats end Y points'!$B43:K43,ROW(INDIRECT("1:"&amp;MIN(24,COUNT('For stats end Y points'!$B43:K43))))))</f>
        <v>77</v>
      </c>
      <c r="L43" cm="1">
        <f t="array" aca="1" ref="L43" ca="1">SUMPRODUCT(LARGE('For stats end Y points'!$B43:L43,ROW(INDIRECT("1:"&amp;MIN(24,COUNT('For stats end Y points'!$B43:L43))))))</f>
        <v>93</v>
      </c>
      <c r="M43" cm="1">
        <f t="array" aca="1" ref="M43" ca="1">SUMPRODUCT(LARGE('For stats end Y points'!$B43:M43,ROW(INDIRECT("1:"&amp;MIN(24,COUNT('For stats end Y points'!$B43:M43))))))</f>
        <v>97</v>
      </c>
      <c r="N43" cm="1">
        <f t="array" aca="1" ref="N43" ca="1">SUMPRODUCT(LARGE('For stats end Y points'!$B43:N43,ROW(INDIRECT("1:"&amp;MIN(24,COUNT('For stats end Y points'!$B43:N43))))))</f>
        <v>109</v>
      </c>
      <c r="O43" cm="1">
        <f t="array" aca="1" ref="O43" ca="1">SUMPRODUCT(LARGE('For stats end Y points'!$B43:O43,ROW(INDIRECT("1:"&amp;MIN(24,COUNT('For stats end Y points'!$B43:O43))))))</f>
        <v>118</v>
      </c>
      <c r="P43" cm="1">
        <f t="array" aca="1" ref="P43" ca="1">SUMPRODUCT(LARGE('For stats end Y points'!$B43:P43,ROW(INDIRECT("1:"&amp;MIN(24,COUNT('For stats end Y points'!$B43:P43))))))</f>
        <v>119</v>
      </c>
      <c r="Q43" cm="1">
        <f t="array" aca="1" ref="Q43" ca="1">SUMPRODUCT(LARGE('For stats end Y points'!$B43:Q43,ROW(INDIRECT("1:"&amp;MIN(24,COUNT('For stats end Y points'!$B43:Q43))))))</f>
        <v>119</v>
      </c>
      <c r="R43" cm="1">
        <f t="array" aca="1" ref="R43" ca="1">SUMPRODUCT(LARGE('For stats end Y points'!$B43:R43,ROW(INDIRECT("1:"&amp;MIN(24,COUNT('For stats end Y points'!$B43:R43))))))</f>
        <v>132</v>
      </c>
      <c r="S43" cm="1">
        <f t="array" aca="1" ref="S43" ca="1">SUMPRODUCT(LARGE('For stats end Y points'!$B43:S43,ROW(INDIRECT("1:"&amp;MIN(24,COUNT('For stats end Y points'!$B43:S43))))))</f>
        <v>135</v>
      </c>
      <c r="T43" cm="1">
        <f t="array" aca="1" ref="T43" ca="1">SUMPRODUCT(LARGE('For stats end Y points'!$B43:T43,ROW(INDIRECT("1:"&amp;MIN(24,COUNT('For stats end Y points'!$B43:T43))))))</f>
        <v>147</v>
      </c>
      <c r="U43" cm="1">
        <f t="array" aca="1" ref="U43" ca="1">SUMPRODUCT(LARGE('For stats end Y points'!$B43:U43,ROW(INDIRECT("1:"&amp;MIN(24,COUNT('For stats end Y points'!$B43:U43))))))</f>
        <v>154</v>
      </c>
      <c r="V43" cm="1">
        <f t="array" aca="1" ref="V43" ca="1">SUMPRODUCT(LARGE('For stats end Y points'!$B43:V43,ROW(INDIRECT("1:"&amp;MIN(24,COUNT('For stats end Y points'!$B43:V43))))))</f>
        <v>170</v>
      </c>
      <c r="W43" cm="1">
        <f t="array" aca="1" ref="W43" ca="1">SUMPRODUCT(LARGE('For stats end Y points'!$B43:W43,ROW(INDIRECT("1:"&amp;MIN(24,COUNT('For stats end Y points'!$B43:W43))))))</f>
        <v>182</v>
      </c>
      <c r="X43" cm="1">
        <f t="array" aca="1" ref="X43" ca="1">SUMPRODUCT(LARGE('For stats end Y points'!$B43:X43,ROW(INDIRECT("1:"&amp;MIN(24,COUNT('For stats end Y points'!$B43:X43))))))</f>
        <v>199</v>
      </c>
      <c r="Y43" cm="1">
        <f t="array" aca="1" ref="Y43" ca="1">SUMPRODUCT(LARGE('For stats end Y points'!$B43:Y43,ROW(INDIRECT("1:"&amp;MIN(24,COUNT('For stats end Y points'!$B43:Y43))))))</f>
        <v>200</v>
      </c>
      <c r="Z43" cm="1">
        <f t="array" aca="1" ref="Z43" ca="1">SUMPRODUCT(LARGE('For stats end Y points'!$B43:Z43,ROW(INDIRECT("1:"&amp;MIN(24,COUNT('For stats end Y points'!$B43:Z43))))))</f>
        <v>202</v>
      </c>
      <c r="AA43" cm="1">
        <f t="array" aca="1" ref="AA43" ca="1">SUMPRODUCT(LARGE('For stats end Y points'!$B43:AA43,ROW(INDIRECT("1:"&amp;MIN(24,COUNT('For stats end Y points'!$B43:AA43))))))</f>
        <v>214</v>
      </c>
      <c r="AB43" cm="1">
        <f t="array" aca="1" ref="AB43" ca="1">SUMPRODUCT(LARGE('For stats end Y points'!$B43:AB43,ROW(INDIRECT("1:"&amp;MIN(24,COUNT('For stats end Y points'!$B43:AB43))))))</f>
        <v>225</v>
      </c>
      <c r="AC43" cm="1">
        <f t="array" aca="1" ref="AC43" ca="1">SUMPRODUCT(LARGE('For stats end Y points'!$B43:AC43,ROW(INDIRECT("1:"&amp;MIN(24,COUNT('For stats end Y points'!$B43:AC43))))))</f>
        <v>226</v>
      </c>
      <c r="AD43" cm="1">
        <f t="array" aca="1" ref="AD43" ca="1">SUMPRODUCT(LARGE('For stats end Y points'!$B43:AD43,ROW(INDIRECT("1:"&amp;MIN(24,COUNT('For stats end Y points'!$B43:AD43))))))</f>
        <v>233</v>
      </c>
      <c r="AE43" cm="1">
        <f t="array" aca="1" ref="AE43" ca="1">SUMPRODUCT(LARGE('For stats end Y points'!$B43:AE43,ROW(INDIRECT("1:"&amp;MIN(24,COUNT('For stats end Y points'!$B43:AE43))))))</f>
        <v>235</v>
      </c>
      <c r="AF43" cm="1">
        <f t="array" aca="1" ref="AF43" ca="1">SUMPRODUCT(LARGE('For stats end Y points'!$B43:AF43,ROW(INDIRECT("1:"&amp;MIN(24,COUNT('For stats end Y points'!$B43:AF43))))))</f>
        <v>242</v>
      </c>
      <c r="AG43" cm="1">
        <f t="array" aca="1" ref="AG43" ca="1">SUMPRODUCT(LARGE('For stats end Y points'!$B43:AG43,ROW(INDIRECT("1:"&amp;MIN(24,COUNT('For stats end Y points'!$B43:AG43))))))</f>
        <v>242</v>
      </c>
      <c r="AH43" cm="1">
        <f t="array" aca="1" ref="AH43" ca="1">SUMPRODUCT(LARGE('For stats end Y points'!$B43:AH43,ROW(INDIRECT("1:"&amp;MIN(24,COUNT('For stats end Y points'!$B43:AH43))))))</f>
        <v>244</v>
      </c>
      <c r="AP43" s="10">
        <f t="shared" si="0"/>
        <v>0</v>
      </c>
      <c r="AQ43">
        <f>'For stats end Y class'!AU43</f>
        <v>31</v>
      </c>
    </row>
    <row r="44" spans="1:43" x14ac:dyDescent="0.2">
      <c r="A44" t="str">
        <f>'For stats end Y points'!A44</f>
        <v>Jeremy</v>
      </c>
      <c r="B44" cm="1">
        <f t="array" aca="1" ref="B44" ca="1">SUMPRODUCT(LARGE('For stats end Y points'!$B44:B44,ROW(INDIRECT("1:"&amp;MIN(24,COUNT('For stats end Y points'!$B44:B44))))))</f>
        <v>0</v>
      </c>
      <c r="C44" cm="1">
        <f t="array" aca="1" ref="C44" ca="1">SUMPRODUCT(LARGE('For stats end Y points'!$B44:C44,ROW(INDIRECT("1:"&amp;MIN(24,COUNT('For stats end Y points'!$B44:C44))))))</f>
        <v>0</v>
      </c>
      <c r="D44" cm="1">
        <f t="array" aca="1" ref="D44" ca="1">SUMPRODUCT(LARGE('For stats end Y points'!$B44:D44,ROW(INDIRECT("1:"&amp;MIN(24,COUNT('For stats end Y points'!$B44:D44))))))</f>
        <v>0</v>
      </c>
      <c r="E44" cm="1">
        <f t="array" aca="1" ref="E44" ca="1">SUMPRODUCT(LARGE('For stats end Y points'!$B44:E44,ROW(INDIRECT("1:"&amp;MIN(24,COUNT('For stats end Y points'!$B44:E44))))))</f>
        <v>0</v>
      </c>
      <c r="F44" cm="1">
        <f t="array" aca="1" ref="F44" ca="1">SUMPRODUCT(LARGE('For stats end Y points'!$B44:F44,ROW(INDIRECT("1:"&amp;MIN(24,COUNT('For stats end Y points'!$B44:F44))))))</f>
        <v>0</v>
      </c>
      <c r="G44" cm="1">
        <f t="array" aca="1" ref="G44" ca="1">SUMPRODUCT(LARGE('For stats end Y points'!$B44:G44,ROW(INDIRECT("1:"&amp;MIN(24,COUNT('For stats end Y points'!$B44:G44))))))</f>
        <v>0</v>
      </c>
      <c r="H44" cm="1">
        <f t="array" aca="1" ref="H44" ca="1">SUMPRODUCT(LARGE('For stats end Y points'!$B44:H44,ROW(INDIRECT("1:"&amp;MIN(24,COUNT('For stats end Y points'!$B44:H44))))))</f>
        <v>0</v>
      </c>
      <c r="I44" cm="1">
        <f t="array" aca="1" ref="I44" ca="1">SUMPRODUCT(LARGE('For stats end Y points'!$B44:I44,ROW(INDIRECT("1:"&amp;MIN(24,COUNT('For stats end Y points'!$B44:I44))))))</f>
        <v>0</v>
      </c>
      <c r="J44" cm="1">
        <f t="array" aca="1" ref="J44" ca="1">SUMPRODUCT(LARGE('For stats end Y points'!$B44:J44,ROW(INDIRECT("1:"&amp;MIN(24,COUNT('For stats end Y points'!$B44:J44))))))</f>
        <v>0</v>
      </c>
      <c r="K44" cm="1">
        <f t="array" aca="1" ref="K44" ca="1">SUMPRODUCT(LARGE('For stats end Y points'!$B44:K44,ROW(INDIRECT("1:"&amp;MIN(24,COUNT('For stats end Y points'!$B44:K44))))))</f>
        <v>0</v>
      </c>
      <c r="L44" cm="1">
        <f t="array" aca="1" ref="L44" ca="1">SUMPRODUCT(LARGE('For stats end Y points'!$B44:L44,ROW(INDIRECT("1:"&amp;MIN(24,COUNT('For stats end Y points'!$B44:L44))))))</f>
        <v>0</v>
      </c>
      <c r="M44" cm="1">
        <f t="array" aca="1" ref="M44" ca="1">SUMPRODUCT(LARGE('For stats end Y points'!$B44:M44,ROW(INDIRECT("1:"&amp;MIN(24,COUNT('For stats end Y points'!$B44:M44))))))</f>
        <v>2</v>
      </c>
      <c r="N44" cm="1">
        <f t="array" aca="1" ref="N44" ca="1">SUMPRODUCT(LARGE('For stats end Y points'!$B44:N44,ROW(INDIRECT("1:"&amp;MIN(24,COUNT('For stats end Y points'!$B44:N44))))))</f>
        <v>2</v>
      </c>
      <c r="O44" cm="1">
        <f t="array" aca="1" ref="O44" ca="1">SUMPRODUCT(LARGE('For stats end Y points'!$B44:O44,ROW(INDIRECT("1:"&amp;MIN(24,COUNT('For stats end Y points'!$B44:O44))))))</f>
        <v>2</v>
      </c>
      <c r="P44" cm="1">
        <f t="array" aca="1" ref="P44" ca="1">SUMPRODUCT(LARGE('For stats end Y points'!$B44:P44,ROW(INDIRECT("1:"&amp;MIN(24,COUNT('For stats end Y points'!$B44:P44))))))</f>
        <v>2</v>
      </c>
      <c r="Q44" cm="1">
        <f t="array" aca="1" ref="Q44" ca="1">SUMPRODUCT(LARGE('For stats end Y points'!$B44:Q44,ROW(INDIRECT("1:"&amp;MIN(24,COUNT('For stats end Y points'!$B44:Q44))))))</f>
        <v>2</v>
      </c>
      <c r="R44" cm="1">
        <f t="array" aca="1" ref="R44" ca="1">SUMPRODUCT(LARGE('For stats end Y points'!$B44:R44,ROW(INDIRECT("1:"&amp;MIN(24,COUNT('For stats end Y points'!$B44:R44))))))</f>
        <v>2</v>
      </c>
      <c r="S44" cm="1">
        <f t="array" aca="1" ref="S44" ca="1">SUMPRODUCT(LARGE('For stats end Y points'!$B44:S44,ROW(INDIRECT("1:"&amp;MIN(24,COUNT('For stats end Y points'!$B44:S44))))))</f>
        <v>2</v>
      </c>
      <c r="T44" cm="1">
        <f t="array" aca="1" ref="T44" ca="1">SUMPRODUCT(LARGE('For stats end Y points'!$B44:T44,ROW(INDIRECT("1:"&amp;MIN(24,COUNT('For stats end Y points'!$B44:T44))))))</f>
        <v>2</v>
      </c>
      <c r="U44" cm="1">
        <f t="array" aca="1" ref="U44" ca="1">SUMPRODUCT(LARGE('For stats end Y points'!$B44:U44,ROW(INDIRECT("1:"&amp;MIN(24,COUNT('For stats end Y points'!$B44:U44))))))</f>
        <v>2</v>
      </c>
      <c r="V44" cm="1">
        <f t="array" aca="1" ref="V44" ca="1">SUMPRODUCT(LARGE('For stats end Y points'!$B44:V44,ROW(INDIRECT("1:"&amp;MIN(24,COUNT('For stats end Y points'!$B44:V44))))))</f>
        <v>2</v>
      </c>
      <c r="W44" cm="1">
        <f t="array" aca="1" ref="W44" ca="1">SUMPRODUCT(LARGE('For stats end Y points'!$B44:W44,ROW(INDIRECT("1:"&amp;MIN(24,COUNT('For stats end Y points'!$B44:W44))))))</f>
        <v>2</v>
      </c>
      <c r="X44" cm="1">
        <f t="array" aca="1" ref="X44" ca="1">SUMPRODUCT(LARGE('For stats end Y points'!$B44:X44,ROW(INDIRECT("1:"&amp;MIN(24,COUNT('For stats end Y points'!$B44:X44))))))</f>
        <v>2</v>
      </c>
      <c r="Y44" cm="1">
        <f t="array" aca="1" ref="Y44" ca="1">SUMPRODUCT(LARGE('For stats end Y points'!$B44:Y44,ROW(INDIRECT("1:"&amp;MIN(24,COUNT('For stats end Y points'!$B44:Y44))))))</f>
        <v>2</v>
      </c>
      <c r="Z44" cm="1">
        <f t="array" aca="1" ref="Z44" ca="1">SUMPRODUCT(LARGE('For stats end Y points'!$B44:Z44,ROW(INDIRECT("1:"&amp;MIN(24,COUNT('For stats end Y points'!$B44:Z44))))))</f>
        <v>2</v>
      </c>
      <c r="AA44" cm="1">
        <f t="array" aca="1" ref="AA44" ca="1">SUMPRODUCT(LARGE('For stats end Y points'!$B44:AA44,ROW(INDIRECT("1:"&amp;MIN(24,COUNT('For stats end Y points'!$B44:AA44))))))</f>
        <v>2</v>
      </c>
      <c r="AB44" cm="1">
        <f t="array" aca="1" ref="AB44" ca="1">SUMPRODUCT(LARGE('For stats end Y points'!$B44:AB44,ROW(INDIRECT("1:"&amp;MIN(24,COUNT('For stats end Y points'!$B44:AB44))))))</f>
        <v>2</v>
      </c>
      <c r="AC44" cm="1">
        <f t="array" aca="1" ref="AC44" ca="1">SUMPRODUCT(LARGE('For stats end Y points'!$B44:AC44,ROW(INDIRECT("1:"&amp;MIN(24,COUNT('For stats end Y points'!$B44:AC44))))))</f>
        <v>2</v>
      </c>
      <c r="AD44" cm="1">
        <f t="array" aca="1" ref="AD44" ca="1">SUMPRODUCT(LARGE('For stats end Y points'!$B44:AD44,ROW(INDIRECT("1:"&amp;MIN(24,COUNT('For stats end Y points'!$B44:AD44))))))</f>
        <v>2</v>
      </c>
      <c r="AE44" cm="1">
        <f t="array" aca="1" ref="AE44" ca="1">SUMPRODUCT(LARGE('For stats end Y points'!$B44:AE44,ROW(INDIRECT("1:"&amp;MIN(24,COUNT('For stats end Y points'!$B44:AE44))))))</f>
        <v>2</v>
      </c>
      <c r="AF44" cm="1">
        <f t="array" aca="1" ref="AF44" ca="1">SUMPRODUCT(LARGE('For stats end Y points'!$B44:AF44,ROW(INDIRECT("1:"&amp;MIN(24,COUNT('For stats end Y points'!$B44:AF44))))))</f>
        <v>2</v>
      </c>
      <c r="AG44" cm="1">
        <f t="array" aca="1" ref="AG44" ca="1">SUMPRODUCT(LARGE('For stats end Y points'!$B44:AG44,ROW(INDIRECT("1:"&amp;MIN(24,COUNT('For stats end Y points'!$B44:AG44))))))</f>
        <v>2</v>
      </c>
      <c r="AH44" cm="1">
        <f t="array" aca="1" ref="AH44" ca="1">SUMPRODUCT(LARGE('For stats end Y points'!$B44:AH44,ROW(INDIRECT("1:"&amp;MIN(24,COUNT('For stats end Y points'!$B44:AH44))))))</f>
        <v>2</v>
      </c>
      <c r="AP44" s="10">
        <f t="shared" si="0"/>
        <v>0</v>
      </c>
      <c r="AQ44">
        <f>'For stats end Y class'!AU44</f>
        <v>1</v>
      </c>
    </row>
    <row r="45" spans="1:43" x14ac:dyDescent="0.2">
      <c r="A45" t="str">
        <f>'For stats end Y points'!A45</f>
        <v>Jérôme</v>
      </c>
      <c r="B45" cm="1">
        <f t="array" aca="1" ref="B45" ca="1">SUMPRODUCT(LARGE('For stats end Y points'!$B45:B45,ROW(INDIRECT("1:"&amp;MIN(24,COUNT('For stats end Y points'!$B45:B45))))))</f>
        <v>4</v>
      </c>
      <c r="C45" cm="1">
        <f t="array" aca="1" ref="C45" ca="1">SUMPRODUCT(LARGE('For stats end Y points'!$B45:C45,ROW(INDIRECT("1:"&amp;MIN(24,COUNT('For stats end Y points'!$B45:C45))))))</f>
        <v>7</v>
      </c>
      <c r="D45" cm="1">
        <f t="array" aca="1" ref="D45" ca="1">SUMPRODUCT(LARGE('For stats end Y points'!$B45:D45,ROW(INDIRECT("1:"&amp;MIN(24,COUNT('For stats end Y points'!$B45:D45))))))</f>
        <v>15</v>
      </c>
      <c r="E45" cm="1">
        <f t="array" aca="1" ref="E45" ca="1">SUMPRODUCT(LARGE('For stats end Y points'!$B45:E45,ROW(INDIRECT("1:"&amp;MIN(24,COUNT('For stats end Y points'!$B45:E45))))))</f>
        <v>20</v>
      </c>
      <c r="F45" cm="1">
        <f t="array" aca="1" ref="F45" ca="1">SUMPRODUCT(LARGE('For stats end Y points'!$B45:F45,ROW(INDIRECT("1:"&amp;MIN(24,COUNT('For stats end Y points'!$B45:F45))))))</f>
        <v>37</v>
      </c>
      <c r="G45" cm="1">
        <f t="array" aca="1" ref="G45" ca="1">SUMPRODUCT(LARGE('For stats end Y points'!$B45:G45,ROW(INDIRECT("1:"&amp;MIN(24,COUNT('For stats end Y points'!$B45:G45))))))</f>
        <v>39</v>
      </c>
      <c r="H45" cm="1">
        <f t="array" aca="1" ref="H45" ca="1">SUMPRODUCT(LARGE('For stats end Y points'!$B45:H45,ROW(INDIRECT("1:"&amp;MIN(24,COUNT('For stats end Y points'!$B45:H45))))))</f>
        <v>47</v>
      </c>
      <c r="I45" cm="1">
        <f t="array" aca="1" ref="I45" ca="1">SUMPRODUCT(LARGE('For stats end Y points'!$B45:I45,ROW(INDIRECT("1:"&amp;MIN(24,COUNT('For stats end Y points'!$B45:I45))))))</f>
        <v>51</v>
      </c>
      <c r="J45" cm="1">
        <f t="array" aca="1" ref="J45" ca="1">SUMPRODUCT(LARGE('For stats end Y points'!$B45:J45,ROW(INDIRECT("1:"&amp;MIN(24,COUNT('For stats end Y points'!$B45:J45))))))</f>
        <v>68</v>
      </c>
      <c r="K45" cm="1">
        <f t="array" aca="1" ref="K45" ca="1">SUMPRODUCT(LARGE('For stats end Y points'!$B45:K45,ROW(INDIRECT("1:"&amp;MIN(24,COUNT('For stats end Y points'!$B45:K45))))))</f>
        <v>84</v>
      </c>
      <c r="L45" cm="1">
        <f t="array" aca="1" ref="L45" ca="1">SUMPRODUCT(LARGE('For stats end Y points'!$B45:L45,ROW(INDIRECT("1:"&amp;MIN(24,COUNT('For stats end Y points'!$B45:L45))))))</f>
        <v>95</v>
      </c>
      <c r="M45" cm="1">
        <f t="array" aca="1" ref="M45" ca="1">SUMPRODUCT(LARGE('For stats end Y points'!$B45:M45,ROW(INDIRECT("1:"&amp;MIN(24,COUNT('For stats end Y points'!$B45:M45))))))</f>
        <v>96</v>
      </c>
      <c r="N45" cm="1">
        <f t="array" aca="1" ref="N45" ca="1">SUMPRODUCT(LARGE('For stats end Y points'!$B45:N45,ROW(INDIRECT("1:"&amp;MIN(24,COUNT('For stats end Y points'!$B45:N45))))))</f>
        <v>98</v>
      </c>
      <c r="O45" cm="1">
        <f t="array" aca="1" ref="O45" ca="1">SUMPRODUCT(LARGE('For stats end Y points'!$B45:O45,ROW(INDIRECT("1:"&amp;MIN(24,COUNT('For stats end Y points'!$B45:O45))))))</f>
        <v>111</v>
      </c>
      <c r="P45" cm="1">
        <f t="array" aca="1" ref="P45" ca="1">SUMPRODUCT(LARGE('For stats end Y points'!$B45:P45,ROW(INDIRECT("1:"&amp;MIN(24,COUNT('For stats end Y points'!$B45:P45))))))</f>
        <v>128</v>
      </c>
      <c r="Q45" cm="1">
        <f t="array" aca="1" ref="Q45" ca="1">SUMPRODUCT(LARGE('For stats end Y points'!$B45:Q45,ROW(INDIRECT("1:"&amp;MIN(24,COUNT('For stats end Y points'!$B45:Q45))))))</f>
        <v>145</v>
      </c>
      <c r="R45" cm="1">
        <f t="array" aca="1" ref="R45" ca="1">SUMPRODUCT(LARGE('For stats end Y points'!$B45:R45,ROW(INDIRECT("1:"&amp;MIN(24,COUNT('For stats end Y points'!$B45:R45))))))</f>
        <v>154</v>
      </c>
      <c r="S45" cm="1">
        <f t="array" aca="1" ref="S45" ca="1">SUMPRODUCT(LARGE('For stats end Y points'!$B45:S45,ROW(INDIRECT("1:"&amp;MIN(24,COUNT('For stats end Y points'!$B45:S45))))))</f>
        <v>156</v>
      </c>
      <c r="T45" cm="1">
        <f t="array" aca="1" ref="T45" ca="1">SUMPRODUCT(LARGE('For stats end Y points'!$B45:T45,ROW(INDIRECT("1:"&amp;MIN(24,COUNT('For stats end Y points'!$B45:T45))))))</f>
        <v>160</v>
      </c>
      <c r="U45" cm="1">
        <f t="array" aca="1" ref="U45" ca="1">SUMPRODUCT(LARGE('For stats end Y points'!$B45:U45,ROW(INDIRECT("1:"&amp;MIN(24,COUNT('For stats end Y points'!$B45:U45))))))</f>
        <v>175</v>
      </c>
      <c r="V45" cm="1">
        <f t="array" aca="1" ref="V45" ca="1">SUMPRODUCT(LARGE('For stats end Y points'!$B45:V45,ROW(INDIRECT("1:"&amp;MIN(24,COUNT('For stats end Y points'!$B45:V45))))))</f>
        <v>179</v>
      </c>
      <c r="W45" cm="1">
        <f t="array" aca="1" ref="W45" ca="1">SUMPRODUCT(LARGE('For stats end Y points'!$B45:W45,ROW(INDIRECT("1:"&amp;MIN(24,COUNT('For stats end Y points'!$B45:W45))))))</f>
        <v>180</v>
      </c>
      <c r="X45" cm="1">
        <f t="array" aca="1" ref="X45" ca="1">SUMPRODUCT(LARGE('For stats end Y points'!$B45:X45,ROW(INDIRECT("1:"&amp;MIN(24,COUNT('For stats end Y points'!$B45:X45))))))</f>
        <v>182</v>
      </c>
      <c r="Y45" cm="1">
        <f t="array" aca="1" ref="Y45" ca="1">SUMPRODUCT(LARGE('For stats end Y points'!$B45:Y45,ROW(INDIRECT("1:"&amp;MIN(24,COUNT('For stats end Y points'!$B45:Y45))))))</f>
        <v>199</v>
      </c>
      <c r="Z45" cm="1">
        <f t="array" aca="1" ref="Z45" ca="1">SUMPRODUCT(LARGE('For stats end Y points'!$B45:Z45,ROW(INDIRECT("1:"&amp;MIN(24,COUNT('For stats end Y points'!$B45:Z45))))))</f>
        <v>206</v>
      </c>
      <c r="AA45" cm="1">
        <f t="array" aca="1" ref="AA45" ca="1">SUMPRODUCT(LARGE('For stats end Y points'!$B45:AA45,ROW(INDIRECT("1:"&amp;MIN(24,COUNT('For stats end Y points'!$B45:AA45))))))</f>
        <v>207</v>
      </c>
      <c r="AB45" cm="1">
        <f t="array" aca="1" ref="AB45" ca="1">SUMPRODUCT(LARGE('For stats end Y points'!$B45:AB45,ROW(INDIRECT("1:"&amp;MIN(24,COUNT('For stats end Y points'!$B45:AB45))))))</f>
        <v>213</v>
      </c>
      <c r="AC45" cm="1">
        <f t="array" aca="1" ref="AC45" ca="1">SUMPRODUCT(LARGE('For stats end Y points'!$B45:AC45,ROW(INDIRECT("1:"&amp;MIN(24,COUNT('For stats end Y points'!$B45:AC45))))))</f>
        <v>215</v>
      </c>
      <c r="AD45" cm="1">
        <f t="array" aca="1" ref="AD45" ca="1">SUMPRODUCT(LARGE('For stats end Y points'!$B45:AD45,ROW(INDIRECT("1:"&amp;MIN(24,COUNT('For stats end Y points'!$B45:AD45))))))</f>
        <v>215</v>
      </c>
      <c r="AE45" cm="1">
        <f t="array" aca="1" ref="AE45" ca="1">SUMPRODUCT(LARGE('For stats end Y points'!$B45:AE45,ROW(INDIRECT("1:"&amp;MIN(24,COUNT('For stats end Y points'!$B45:AE45))))))</f>
        <v>217</v>
      </c>
      <c r="AF45" cm="1">
        <f t="array" aca="1" ref="AF45" ca="1">SUMPRODUCT(LARGE('For stats end Y points'!$B45:AF45,ROW(INDIRECT("1:"&amp;MIN(24,COUNT('For stats end Y points'!$B45:AF45))))))</f>
        <v>223</v>
      </c>
      <c r="AG45" cm="1">
        <f t="array" aca="1" ref="AG45" ca="1">SUMPRODUCT(LARGE('For stats end Y points'!$B45:AG45,ROW(INDIRECT("1:"&amp;MIN(24,COUNT('For stats end Y points'!$B45:AG45))))))</f>
        <v>225</v>
      </c>
      <c r="AH45" cm="1">
        <f t="array" aca="1" ref="AH45" ca="1">SUMPRODUCT(LARGE('For stats end Y points'!$B45:AH45,ROW(INDIRECT("1:"&amp;MIN(24,COUNT('For stats end Y points'!$B45:AH45))))))</f>
        <v>234</v>
      </c>
      <c r="AP45" s="10">
        <f t="shared" si="0"/>
        <v>0</v>
      </c>
      <c r="AQ45">
        <f>'For stats end Y class'!AU45</f>
        <v>33</v>
      </c>
    </row>
    <row r="46" spans="1:43" x14ac:dyDescent="0.2">
      <c r="A46" t="str">
        <f>'For stats end Y points'!A46</f>
        <v>Joic</v>
      </c>
      <c r="B46" cm="1">
        <f t="array" aca="1" ref="B46" ca="1">SUMPRODUCT(LARGE('For stats end Y points'!$B46:B46,ROW(INDIRECT("1:"&amp;MIN(24,COUNT('For stats end Y points'!$B46:B46))))))</f>
        <v>2</v>
      </c>
      <c r="C46" cm="1">
        <f t="array" aca="1" ref="C46" ca="1">SUMPRODUCT(LARGE('For stats end Y points'!$B46:C46,ROW(INDIRECT("1:"&amp;MIN(24,COUNT('For stats end Y points'!$B46:C46))))))</f>
        <v>2</v>
      </c>
      <c r="D46" cm="1">
        <f t="array" aca="1" ref="D46" ca="1">SUMPRODUCT(LARGE('For stats end Y points'!$B46:D46,ROW(INDIRECT("1:"&amp;MIN(24,COUNT('For stats end Y points'!$B46:D46))))))</f>
        <v>2</v>
      </c>
      <c r="E46" cm="1">
        <f t="array" aca="1" ref="E46" ca="1">SUMPRODUCT(LARGE('For stats end Y points'!$B46:E46,ROW(INDIRECT("1:"&amp;MIN(24,COUNT('For stats end Y points'!$B46:E46))))))</f>
        <v>2</v>
      </c>
      <c r="F46" cm="1">
        <f t="array" aca="1" ref="F46" ca="1">SUMPRODUCT(LARGE('For stats end Y points'!$B46:F46,ROW(INDIRECT("1:"&amp;MIN(24,COUNT('For stats end Y points'!$B46:F46))))))</f>
        <v>2</v>
      </c>
      <c r="G46" cm="1">
        <f t="array" aca="1" ref="G46" ca="1">SUMPRODUCT(LARGE('For stats end Y points'!$B46:G46,ROW(INDIRECT("1:"&amp;MIN(24,COUNT('For stats end Y points'!$B46:G46))))))</f>
        <v>2</v>
      </c>
      <c r="H46" cm="1">
        <f t="array" aca="1" ref="H46" ca="1">SUMPRODUCT(LARGE('For stats end Y points'!$B46:H46,ROW(INDIRECT("1:"&amp;MIN(24,COUNT('For stats end Y points'!$B46:H46))))))</f>
        <v>2</v>
      </c>
      <c r="I46" cm="1">
        <f t="array" aca="1" ref="I46" ca="1">SUMPRODUCT(LARGE('For stats end Y points'!$B46:I46,ROW(INDIRECT("1:"&amp;MIN(24,COUNT('For stats end Y points'!$B46:I46))))))</f>
        <v>2</v>
      </c>
      <c r="J46" cm="1">
        <f t="array" aca="1" ref="J46" ca="1">SUMPRODUCT(LARGE('For stats end Y points'!$B46:J46,ROW(INDIRECT("1:"&amp;MIN(24,COUNT('For stats end Y points'!$B46:J46))))))</f>
        <v>2</v>
      </c>
      <c r="K46" cm="1">
        <f t="array" aca="1" ref="K46" ca="1">SUMPRODUCT(LARGE('For stats end Y points'!$B46:K46,ROW(INDIRECT("1:"&amp;MIN(24,COUNT('For stats end Y points'!$B46:K46))))))</f>
        <v>2</v>
      </c>
      <c r="L46" cm="1">
        <f t="array" aca="1" ref="L46" ca="1">SUMPRODUCT(LARGE('For stats end Y points'!$B46:L46,ROW(INDIRECT("1:"&amp;MIN(24,COUNT('For stats end Y points'!$B46:L46))))))</f>
        <v>2</v>
      </c>
      <c r="M46" cm="1">
        <f t="array" aca="1" ref="M46" ca="1">SUMPRODUCT(LARGE('For stats end Y points'!$B46:M46,ROW(INDIRECT("1:"&amp;MIN(24,COUNT('For stats end Y points'!$B46:M46))))))</f>
        <v>2</v>
      </c>
      <c r="N46" cm="1">
        <f t="array" aca="1" ref="N46" ca="1">SUMPRODUCT(LARGE('For stats end Y points'!$B46:N46,ROW(INDIRECT("1:"&amp;MIN(24,COUNT('For stats end Y points'!$B46:N46))))))</f>
        <v>2</v>
      </c>
      <c r="O46" cm="1">
        <f t="array" aca="1" ref="O46" ca="1">SUMPRODUCT(LARGE('For stats end Y points'!$B46:O46,ROW(INDIRECT("1:"&amp;MIN(24,COUNT('For stats end Y points'!$B46:O46))))))</f>
        <v>2</v>
      </c>
      <c r="P46" cm="1">
        <f t="array" aca="1" ref="P46" ca="1">SUMPRODUCT(LARGE('For stats end Y points'!$B46:P46,ROW(INDIRECT("1:"&amp;MIN(24,COUNT('For stats end Y points'!$B46:P46))))))</f>
        <v>2</v>
      </c>
      <c r="Q46" cm="1">
        <f t="array" aca="1" ref="Q46" ca="1">SUMPRODUCT(LARGE('For stats end Y points'!$B46:Q46,ROW(INDIRECT("1:"&amp;MIN(24,COUNT('For stats end Y points'!$B46:Q46))))))</f>
        <v>2</v>
      </c>
      <c r="R46" cm="1">
        <f t="array" aca="1" ref="R46" ca="1">SUMPRODUCT(LARGE('For stats end Y points'!$B46:R46,ROW(INDIRECT("1:"&amp;MIN(24,COUNT('For stats end Y points'!$B46:R46))))))</f>
        <v>2</v>
      </c>
      <c r="S46" cm="1">
        <f t="array" aca="1" ref="S46" ca="1">SUMPRODUCT(LARGE('For stats end Y points'!$B46:S46,ROW(INDIRECT("1:"&amp;MIN(24,COUNT('For stats end Y points'!$B46:S46))))))</f>
        <v>2</v>
      </c>
      <c r="T46" cm="1">
        <f t="array" aca="1" ref="T46" ca="1">SUMPRODUCT(LARGE('For stats end Y points'!$B46:T46,ROW(INDIRECT("1:"&amp;MIN(24,COUNT('For stats end Y points'!$B46:T46))))))</f>
        <v>2</v>
      </c>
      <c r="U46" cm="1">
        <f t="array" aca="1" ref="U46" ca="1">SUMPRODUCT(LARGE('For stats end Y points'!$B46:U46,ROW(INDIRECT("1:"&amp;MIN(24,COUNT('For stats end Y points'!$B46:U46))))))</f>
        <v>2</v>
      </c>
      <c r="V46" cm="1">
        <f t="array" aca="1" ref="V46" ca="1">SUMPRODUCT(LARGE('For stats end Y points'!$B46:V46,ROW(INDIRECT("1:"&amp;MIN(24,COUNT('For stats end Y points'!$B46:V46))))))</f>
        <v>2</v>
      </c>
      <c r="W46" cm="1">
        <f t="array" aca="1" ref="W46" ca="1">SUMPRODUCT(LARGE('For stats end Y points'!$B46:W46,ROW(INDIRECT("1:"&amp;MIN(24,COUNT('For stats end Y points'!$B46:W46))))))</f>
        <v>2</v>
      </c>
      <c r="X46" cm="1">
        <f t="array" aca="1" ref="X46" ca="1">SUMPRODUCT(LARGE('For stats end Y points'!$B46:X46,ROW(INDIRECT("1:"&amp;MIN(24,COUNT('For stats end Y points'!$B46:X46))))))</f>
        <v>2</v>
      </c>
      <c r="Y46" cm="1">
        <f t="array" aca="1" ref="Y46" ca="1">SUMPRODUCT(LARGE('For stats end Y points'!$B46:Y46,ROW(INDIRECT("1:"&amp;MIN(24,COUNT('For stats end Y points'!$B46:Y46))))))</f>
        <v>2</v>
      </c>
      <c r="Z46" cm="1">
        <f t="array" aca="1" ref="Z46" ca="1">SUMPRODUCT(LARGE('For stats end Y points'!$B46:Z46,ROW(INDIRECT("1:"&amp;MIN(24,COUNT('For stats end Y points'!$B46:Z46))))))</f>
        <v>2</v>
      </c>
      <c r="AA46" cm="1">
        <f t="array" aca="1" ref="AA46" ca="1">SUMPRODUCT(LARGE('For stats end Y points'!$B46:AA46,ROW(INDIRECT("1:"&amp;MIN(24,COUNT('For stats end Y points'!$B46:AA46))))))</f>
        <v>2</v>
      </c>
      <c r="AB46" cm="1">
        <f t="array" aca="1" ref="AB46" ca="1">SUMPRODUCT(LARGE('For stats end Y points'!$B46:AB46,ROW(INDIRECT("1:"&amp;MIN(24,COUNT('For stats end Y points'!$B46:AB46))))))</f>
        <v>2</v>
      </c>
      <c r="AC46" cm="1">
        <f t="array" aca="1" ref="AC46" ca="1">SUMPRODUCT(LARGE('For stats end Y points'!$B46:AC46,ROW(INDIRECT("1:"&amp;MIN(24,COUNT('For stats end Y points'!$B46:AC46))))))</f>
        <v>2</v>
      </c>
      <c r="AD46" cm="1">
        <f t="array" aca="1" ref="AD46" ca="1">SUMPRODUCT(LARGE('For stats end Y points'!$B46:AD46,ROW(INDIRECT("1:"&amp;MIN(24,COUNT('For stats end Y points'!$B46:AD46))))))</f>
        <v>2</v>
      </c>
      <c r="AE46" cm="1">
        <f t="array" aca="1" ref="AE46" ca="1">SUMPRODUCT(LARGE('For stats end Y points'!$B46:AE46,ROW(INDIRECT("1:"&amp;MIN(24,COUNT('For stats end Y points'!$B46:AE46))))))</f>
        <v>2</v>
      </c>
      <c r="AF46" cm="1">
        <f t="array" aca="1" ref="AF46" ca="1">SUMPRODUCT(LARGE('For stats end Y points'!$B46:AF46,ROW(INDIRECT("1:"&amp;MIN(24,COUNT('For stats end Y points'!$B46:AF46))))))</f>
        <v>2</v>
      </c>
      <c r="AG46" cm="1">
        <f t="array" aca="1" ref="AG46" ca="1">SUMPRODUCT(LARGE('For stats end Y points'!$B46:AG46,ROW(INDIRECT("1:"&amp;MIN(24,COUNT('For stats end Y points'!$B46:AG46))))))</f>
        <v>2</v>
      </c>
      <c r="AH46" cm="1">
        <f t="array" aca="1" ref="AH46" ca="1">SUMPRODUCT(LARGE('For stats end Y points'!$B46:AH46,ROW(INDIRECT("1:"&amp;MIN(24,COUNT('For stats end Y points'!$B46:AH46))))))</f>
        <v>2</v>
      </c>
      <c r="AP46" s="10">
        <f t="shared" si="0"/>
        <v>0</v>
      </c>
      <c r="AQ46">
        <f>'For stats end Y class'!AU46</f>
        <v>1</v>
      </c>
    </row>
    <row r="47" spans="1:43" x14ac:dyDescent="0.2">
      <c r="A47" t="str">
        <f>'For stats end Y points'!A47</f>
        <v>Just4fun</v>
      </c>
      <c r="B47" cm="1">
        <f t="array" aca="1" ref="B47" ca="1">SUMPRODUCT(LARGE('For stats end Y points'!$B47:B47,ROW(INDIRECT("1:"&amp;MIN(24,COUNT('For stats end Y points'!$B47:B47))))))</f>
        <v>0</v>
      </c>
      <c r="C47" cm="1">
        <f t="array" aca="1" ref="C47" ca="1">SUMPRODUCT(LARGE('For stats end Y points'!$B47:C47,ROW(INDIRECT("1:"&amp;MIN(24,COUNT('For stats end Y points'!$B47:C47))))))</f>
        <v>8</v>
      </c>
      <c r="D47" cm="1">
        <f t="array" aca="1" ref="D47" ca="1">SUMPRODUCT(LARGE('For stats end Y points'!$B47:D47,ROW(INDIRECT("1:"&amp;MIN(24,COUNT('For stats end Y points'!$B47:D47))))))</f>
        <v>10</v>
      </c>
      <c r="E47" cm="1">
        <f t="array" aca="1" ref="E47" ca="1">SUMPRODUCT(LARGE('For stats end Y points'!$B47:E47,ROW(INDIRECT("1:"&amp;MIN(24,COUNT('For stats end Y points'!$B47:E47))))))</f>
        <v>11</v>
      </c>
      <c r="F47" cm="1">
        <f t="array" aca="1" ref="F47" ca="1">SUMPRODUCT(LARGE('For stats end Y points'!$B47:F47,ROW(INDIRECT("1:"&amp;MIN(24,COUNT('For stats end Y points'!$B47:F47))))))</f>
        <v>14</v>
      </c>
      <c r="G47" cm="1">
        <f t="array" aca="1" ref="G47" ca="1">SUMPRODUCT(LARGE('For stats end Y points'!$B47:G47,ROW(INDIRECT("1:"&amp;MIN(24,COUNT('For stats end Y points'!$B47:G47))))))</f>
        <v>14</v>
      </c>
      <c r="H47" cm="1">
        <f t="array" aca="1" ref="H47" ca="1">SUMPRODUCT(LARGE('For stats end Y points'!$B47:H47,ROW(INDIRECT("1:"&amp;MIN(24,COUNT('For stats end Y points'!$B47:H47))))))</f>
        <v>15</v>
      </c>
      <c r="I47" cm="1">
        <f t="array" aca="1" ref="I47" ca="1">SUMPRODUCT(LARGE('For stats end Y points'!$B47:I47,ROW(INDIRECT("1:"&amp;MIN(24,COUNT('For stats end Y points'!$B47:I47))))))</f>
        <v>16</v>
      </c>
      <c r="J47" cm="1">
        <f t="array" aca="1" ref="J47" ca="1">SUMPRODUCT(LARGE('For stats end Y points'!$B47:J47,ROW(INDIRECT("1:"&amp;MIN(24,COUNT('For stats end Y points'!$B47:J47))))))</f>
        <v>16</v>
      </c>
      <c r="K47" cm="1">
        <f t="array" aca="1" ref="K47" ca="1">SUMPRODUCT(LARGE('For stats end Y points'!$B47:K47,ROW(INDIRECT("1:"&amp;MIN(24,COUNT('For stats end Y points'!$B47:K47))))))</f>
        <v>16</v>
      </c>
      <c r="L47" cm="1">
        <f t="array" aca="1" ref="L47" ca="1">SUMPRODUCT(LARGE('For stats end Y points'!$B47:L47,ROW(INDIRECT("1:"&amp;MIN(24,COUNT('For stats end Y points'!$B47:L47))))))</f>
        <v>16</v>
      </c>
      <c r="M47" cm="1">
        <f t="array" aca="1" ref="M47" ca="1">SUMPRODUCT(LARGE('For stats end Y points'!$B47:M47,ROW(INDIRECT("1:"&amp;MIN(24,COUNT('For stats end Y points'!$B47:M47))))))</f>
        <v>16</v>
      </c>
      <c r="N47" cm="1">
        <f t="array" aca="1" ref="N47" ca="1">SUMPRODUCT(LARGE('For stats end Y points'!$B47:N47,ROW(INDIRECT("1:"&amp;MIN(24,COUNT('For stats end Y points'!$B47:N47))))))</f>
        <v>32</v>
      </c>
      <c r="O47" cm="1">
        <f t="array" aca="1" ref="O47" ca="1">SUMPRODUCT(LARGE('For stats end Y points'!$B47:O47,ROW(INDIRECT("1:"&amp;MIN(24,COUNT('For stats end Y points'!$B47:O47))))))</f>
        <v>32</v>
      </c>
      <c r="P47" cm="1">
        <f t="array" aca="1" ref="P47" ca="1">SUMPRODUCT(LARGE('For stats end Y points'!$B47:P47,ROW(INDIRECT("1:"&amp;MIN(24,COUNT('For stats end Y points'!$B47:P47))))))</f>
        <v>32</v>
      </c>
      <c r="Q47" cm="1">
        <f t="array" aca="1" ref="Q47" ca="1">SUMPRODUCT(LARGE('For stats end Y points'!$B47:Q47,ROW(INDIRECT("1:"&amp;MIN(24,COUNT('For stats end Y points'!$B47:Q47))))))</f>
        <v>32</v>
      </c>
      <c r="R47" cm="1">
        <f t="array" aca="1" ref="R47" ca="1">SUMPRODUCT(LARGE('For stats end Y points'!$B47:R47,ROW(INDIRECT("1:"&amp;MIN(24,COUNT('For stats end Y points'!$B47:R47))))))</f>
        <v>32</v>
      </c>
      <c r="S47" cm="1">
        <f t="array" aca="1" ref="S47" ca="1">SUMPRODUCT(LARGE('For stats end Y points'!$B47:S47,ROW(INDIRECT("1:"&amp;MIN(24,COUNT('For stats end Y points'!$B47:S47))))))</f>
        <v>32</v>
      </c>
      <c r="T47" cm="1">
        <f t="array" aca="1" ref="T47" ca="1">SUMPRODUCT(LARGE('For stats end Y points'!$B47:T47,ROW(INDIRECT("1:"&amp;MIN(24,COUNT('For stats end Y points'!$B47:T47))))))</f>
        <v>32</v>
      </c>
      <c r="U47" cm="1">
        <f t="array" aca="1" ref="U47" ca="1">SUMPRODUCT(LARGE('For stats end Y points'!$B47:U47,ROW(INDIRECT("1:"&amp;MIN(24,COUNT('For stats end Y points'!$B47:U47))))))</f>
        <v>32</v>
      </c>
      <c r="V47" cm="1">
        <f t="array" aca="1" ref="V47" ca="1">SUMPRODUCT(LARGE('For stats end Y points'!$B47:V47,ROW(INDIRECT("1:"&amp;MIN(24,COUNT('For stats end Y points'!$B47:V47))))))</f>
        <v>32</v>
      </c>
      <c r="W47" cm="1">
        <f t="array" aca="1" ref="W47" ca="1">SUMPRODUCT(LARGE('For stats end Y points'!$B47:W47,ROW(INDIRECT("1:"&amp;MIN(24,COUNT('For stats end Y points'!$B47:W47))))))</f>
        <v>32</v>
      </c>
      <c r="X47" cm="1">
        <f t="array" aca="1" ref="X47" ca="1">SUMPRODUCT(LARGE('For stats end Y points'!$B47:X47,ROW(INDIRECT("1:"&amp;MIN(24,COUNT('For stats end Y points'!$B47:X47))))))</f>
        <v>32</v>
      </c>
      <c r="Y47" cm="1">
        <f t="array" aca="1" ref="Y47" ca="1">SUMPRODUCT(LARGE('For stats end Y points'!$B47:Y47,ROW(INDIRECT("1:"&amp;MIN(24,COUNT('For stats end Y points'!$B47:Y47))))))</f>
        <v>32</v>
      </c>
      <c r="Z47" cm="1">
        <f t="array" aca="1" ref="Z47" ca="1">SUMPRODUCT(LARGE('For stats end Y points'!$B47:Z47,ROW(INDIRECT("1:"&amp;MIN(24,COUNT('For stats end Y points'!$B47:Z47))))))</f>
        <v>32</v>
      </c>
      <c r="AA47" cm="1">
        <f t="array" aca="1" ref="AA47" ca="1">SUMPRODUCT(LARGE('For stats end Y points'!$B47:AA47,ROW(INDIRECT("1:"&amp;MIN(24,COUNT('For stats end Y points'!$B47:AA47))))))</f>
        <v>32</v>
      </c>
      <c r="AB47" cm="1">
        <f t="array" aca="1" ref="AB47" ca="1">SUMPRODUCT(LARGE('For stats end Y points'!$B47:AB47,ROW(INDIRECT("1:"&amp;MIN(24,COUNT('For stats end Y points'!$B47:AB47))))))</f>
        <v>32</v>
      </c>
      <c r="AC47" cm="1">
        <f t="array" aca="1" ref="AC47" ca="1">SUMPRODUCT(LARGE('For stats end Y points'!$B47:AC47,ROW(INDIRECT("1:"&amp;MIN(24,COUNT('For stats end Y points'!$B47:AC47))))))</f>
        <v>32</v>
      </c>
      <c r="AD47" cm="1">
        <f t="array" aca="1" ref="AD47" ca="1">SUMPRODUCT(LARGE('For stats end Y points'!$B47:AD47,ROW(INDIRECT("1:"&amp;MIN(24,COUNT('For stats end Y points'!$B47:AD47))))))</f>
        <v>32</v>
      </c>
      <c r="AE47" cm="1">
        <f t="array" aca="1" ref="AE47" ca="1">SUMPRODUCT(LARGE('For stats end Y points'!$B47:AE47,ROW(INDIRECT("1:"&amp;MIN(24,COUNT('For stats end Y points'!$B47:AE47))))))</f>
        <v>32</v>
      </c>
      <c r="AF47" cm="1">
        <f t="array" aca="1" ref="AF47" ca="1">SUMPRODUCT(LARGE('For stats end Y points'!$B47:AF47,ROW(INDIRECT("1:"&amp;MIN(24,COUNT('For stats end Y points'!$B47:AF47))))))</f>
        <v>32</v>
      </c>
      <c r="AG47" cm="1">
        <f t="array" aca="1" ref="AG47" ca="1">SUMPRODUCT(LARGE('For stats end Y points'!$B47:AG47,ROW(INDIRECT("1:"&amp;MIN(24,COUNT('For stats end Y points'!$B47:AG47))))))</f>
        <v>32</v>
      </c>
      <c r="AH47" cm="1">
        <f t="array" aca="1" ref="AH47" ca="1">SUMPRODUCT(LARGE('For stats end Y points'!$B47:AH47,ROW(INDIRECT("1:"&amp;MIN(24,COUNT('For stats end Y points'!$B47:AH47))))))</f>
        <v>32</v>
      </c>
      <c r="AP47" s="10">
        <f t="shared" si="0"/>
        <v>0</v>
      </c>
      <c r="AQ47">
        <f>'For stats end Y class'!AU47</f>
        <v>7</v>
      </c>
    </row>
    <row r="48" spans="1:43" x14ac:dyDescent="0.2">
      <c r="A48" t="str">
        <f>'For stats end Y points'!A48</f>
        <v>K1</v>
      </c>
      <c r="B48" cm="1">
        <f t="array" aca="1" ref="B48" ca="1">SUMPRODUCT(LARGE('For stats end Y points'!$B48:B48,ROW(INDIRECT("1:"&amp;MIN(24,COUNT('For stats end Y points'!$B48:B48))))))</f>
        <v>8</v>
      </c>
      <c r="C48" cm="1">
        <f t="array" aca="1" ref="C48" ca="1">SUMPRODUCT(LARGE('For stats end Y points'!$B48:C48,ROW(INDIRECT("1:"&amp;MIN(24,COUNT('For stats end Y points'!$B48:C48))))))</f>
        <v>13</v>
      </c>
      <c r="D48" cm="1">
        <f t="array" aca="1" ref="D48" ca="1">SUMPRODUCT(LARGE('For stats end Y points'!$B48:D48,ROW(INDIRECT("1:"&amp;MIN(24,COUNT('For stats end Y points'!$B48:D48))))))</f>
        <v>18</v>
      </c>
      <c r="E48" cm="1">
        <f t="array" aca="1" ref="E48" ca="1">SUMPRODUCT(LARGE('For stats end Y points'!$B48:E48,ROW(INDIRECT("1:"&amp;MIN(24,COUNT('For stats end Y points'!$B48:E48))))))</f>
        <v>20</v>
      </c>
      <c r="F48" cm="1">
        <f t="array" aca="1" ref="F48" ca="1">SUMPRODUCT(LARGE('For stats end Y points'!$B48:F48,ROW(INDIRECT("1:"&amp;MIN(24,COUNT('For stats end Y points'!$B48:F48))))))</f>
        <v>22</v>
      </c>
      <c r="G48" cm="1">
        <f t="array" aca="1" ref="G48" ca="1">SUMPRODUCT(LARGE('For stats end Y points'!$B48:G48,ROW(INDIRECT("1:"&amp;MIN(24,COUNT('For stats end Y points'!$B48:G48))))))</f>
        <v>26</v>
      </c>
      <c r="H48" cm="1">
        <f t="array" aca="1" ref="H48" ca="1">SUMPRODUCT(LARGE('For stats end Y points'!$B48:H48,ROW(INDIRECT("1:"&amp;MIN(24,COUNT('For stats end Y points'!$B48:H48))))))</f>
        <v>28</v>
      </c>
      <c r="I48" cm="1">
        <f t="array" aca="1" ref="I48" ca="1">SUMPRODUCT(LARGE('For stats end Y points'!$B48:I48,ROW(INDIRECT("1:"&amp;MIN(24,COUNT('For stats end Y points'!$B48:I48))))))</f>
        <v>40</v>
      </c>
      <c r="J48" cm="1">
        <f t="array" aca="1" ref="J48" ca="1">SUMPRODUCT(LARGE('For stats end Y points'!$B48:J48,ROW(INDIRECT("1:"&amp;MIN(24,COUNT('For stats end Y points'!$B48:J48))))))</f>
        <v>43</v>
      </c>
      <c r="K48" cm="1">
        <f t="array" aca="1" ref="K48" ca="1">SUMPRODUCT(LARGE('For stats end Y points'!$B48:K48,ROW(INDIRECT("1:"&amp;MIN(24,COUNT('For stats end Y points'!$B48:K48))))))</f>
        <v>55</v>
      </c>
      <c r="L48" cm="1">
        <f t="array" aca="1" ref="L48" ca="1">SUMPRODUCT(LARGE('For stats end Y points'!$B48:L48,ROW(INDIRECT("1:"&amp;MIN(24,COUNT('For stats end Y points'!$B48:L48))))))</f>
        <v>56</v>
      </c>
      <c r="M48" cm="1">
        <f t="array" aca="1" ref="M48" ca="1">SUMPRODUCT(LARGE('For stats end Y points'!$B48:M48,ROW(INDIRECT("1:"&amp;MIN(24,COUNT('For stats end Y points'!$B48:M48))))))</f>
        <v>58</v>
      </c>
      <c r="N48" cm="1">
        <f t="array" aca="1" ref="N48" ca="1">SUMPRODUCT(LARGE('For stats end Y points'!$B48:N48,ROW(INDIRECT("1:"&amp;MIN(24,COUNT('For stats end Y points'!$B48:N48))))))</f>
        <v>59</v>
      </c>
      <c r="O48" cm="1">
        <f t="array" aca="1" ref="O48" ca="1">SUMPRODUCT(LARGE('For stats end Y points'!$B48:O48,ROW(INDIRECT("1:"&amp;MIN(24,COUNT('For stats end Y points'!$B48:O48))))))</f>
        <v>76</v>
      </c>
      <c r="P48" cm="1">
        <f t="array" aca="1" ref="P48" ca="1">SUMPRODUCT(LARGE('For stats end Y points'!$B48:P48,ROW(INDIRECT("1:"&amp;MIN(24,COUNT('For stats end Y points'!$B48:P48))))))</f>
        <v>77</v>
      </c>
      <c r="Q48" cm="1">
        <f t="array" aca="1" ref="Q48" ca="1">SUMPRODUCT(LARGE('For stats end Y points'!$B48:Q48,ROW(INDIRECT("1:"&amp;MIN(24,COUNT('For stats end Y points'!$B48:Q48))))))</f>
        <v>79</v>
      </c>
      <c r="R48" cm="1">
        <f t="array" aca="1" ref="R48" ca="1">SUMPRODUCT(LARGE('For stats end Y points'!$B48:R48,ROW(INDIRECT("1:"&amp;MIN(24,COUNT('For stats end Y points'!$B48:R48))))))</f>
        <v>88</v>
      </c>
      <c r="S48" cm="1">
        <f t="array" aca="1" ref="S48" ca="1">SUMPRODUCT(LARGE('For stats end Y points'!$B48:S48,ROW(INDIRECT("1:"&amp;MIN(24,COUNT('For stats end Y points'!$B48:S48))))))</f>
        <v>90</v>
      </c>
      <c r="T48" cm="1">
        <f t="array" aca="1" ref="T48" ca="1">SUMPRODUCT(LARGE('For stats end Y points'!$B48:T48,ROW(INDIRECT("1:"&amp;MIN(24,COUNT('For stats end Y points'!$B48:T48))))))</f>
        <v>90</v>
      </c>
      <c r="U48" cm="1">
        <f t="array" aca="1" ref="U48" ca="1">SUMPRODUCT(LARGE('For stats end Y points'!$B48:U48,ROW(INDIRECT("1:"&amp;MIN(24,COUNT('For stats end Y points'!$B48:U48))))))</f>
        <v>91</v>
      </c>
      <c r="V48" cm="1">
        <f t="array" aca="1" ref="V48" ca="1">SUMPRODUCT(LARGE('For stats end Y points'!$B48:V48,ROW(INDIRECT("1:"&amp;MIN(24,COUNT('For stats end Y points'!$B48:V48))))))</f>
        <v>94</v>
      </c>
      <c r="W48" cm="1">
        <f t="array" aca="1" ref="W48" ca="1">SUMPRODUCT(LARGE('For stats end Y points'!$B48:W48,ROW(INDIRECT("1:"&amp;MIN(24,COUNT('For stats end Y points'!$B48:W48))))))</f>
        <v>96</v>
      </c>
      <c r="X48" cm="1">
        <f t="array" aca="1" ref="X48" ca="1">SUMPRODUCT(LARGE('For stats end Y points'!$B48:X48,ROW(INDIRECT("1:"&amp;MIN(24,COUNT('For stats end Y points'!$B48:X48))))))</f>
        <v>97</v>
      </c>
      <c r="Y48" cm="1">
        <f t="array" aca="1" ref="Y48" ca="1">SUMPRODUCT(LARGE('For stats end Y points'!$B48:Y48,ROW(INDIRECT("1:"&amp;MIN(24,COUNT('For stats end Y points'!$B48:Y48))))))</f>
        <v>110</v>
      </c>
      <c r="Z48" cm="1">
        <f t="array" aca="1" ref="Z48" ca="1">SUMPRODUCT(LARGE('For stats end Y points'!$B48:Z48,ROW(INDIRECT("1:"&amp;MIN(24,COUNT('For stats end Y points'!$B48:Z48))))))</f>
        <v>110</v>
      </c>
      <c r="AA48" cm="1">
        <f t="array" aca="1" ref="AA48" ca="1">SUMPRODUCT(LARGE('For stats end Y points'!$B48:AA48,ROW(INDIRECT("1:"&amp;MIN(24,COUNT('For stats end Y points'!$B48:AA48))))))</f>
        <v>111</v>
      </c>
      <c r="AB48" cm="1">
        <f t="array" aca="1" ref="AB48" ca="1">SUMPRODUCT(LARGE('For stats end Y points'!$B48:AB48,ROW(INDIRECT("1:"&amp;MIN(24,COUNT('For stats end Y points'!$B48:AB48))))))</f>
        <v>121</v>
      </c>
      <c r="AC48" cm="1">
        <f t="array" aca="1" ref="AC48" ca="1">SUMPRODUCT(LARGE('For stats end Y points'!$B48:AC48,ROW(INDIRECT("1:"&amp;MIN(24,COUNT('For stats end Y points'!$B48:AC48))))))</f>
        <v>128</v>
      </c>
      <c r="AD48" cm="1">
        <f t="array" aca="1" ref="AD48" ca="1">SUMPRODUCT(LARGE('For stats end Y points'!$B48:AD48,ROW(INDIRECT("1:"&amp;MIN(24,COUNT('For stats end Y points'!$B48:AD48))))))</f>
        <v>128</v>
      </c>
      <c r="AE48" cm="1">
        <f t="array" aca="1" ref="AE48" ca="1">SUMPRODUCT(LARGE('For stats end Y points'!$B48:AE48,ROW(INDIRECT("1:"&amp;MIN(24,COUNT('For stats end Y points'!$B48:AE48))))))</f>
        <v>144</v>
      </c>
      <c r="AF48" cm="1">
        <f t="array" aca="1" ref="AF48" ca="1">SUMPRODUCT(LARGE('For stats end Y points'!$B48:AF48,ROW(INDIRECT("1:"&amp;MIN(24,COUNT('For stats end Y points'!$B48:AF48))))))</f>
        <v>155</v>
      </c>
      <c r="AG48" cm="1">
        <f t="array" aca="1" ref="AG48" ca="1">SUMPRODUCT(LARGE('For stats end Y points'!$B48:AG48,ROW(INDIRECT("1:"&amp;MIN(24,COUNT('For stats end Y points'!$B48:AG48))))))</f>
        <v>170</v>
      </c>
      <c r="AH48" cm="1">
        <f t="array" aca="1" ref="AH48" ca="1">SUMPRODUCT(LARGE('For stats end Y points'!$B48:AH48,ROW(INDIRECT("1:"&amp;MIN(24,COUNT('For stats end Y points'!$B48:AH48))))))</f>
        <v>185</v>
      </c>
      <c r="AP48" s="10">
        <f t="shared" si="0"/>
        <v>0</v>
      </c>
      <c r="AQ48">
        <f>'For stats end Y class'!AU48</f>
        <v>31</v>
      </c>
    </row>
    <row r="49" spans="1:43" x14ac:dyDescent="0.2">
      <c r="A49" t="str">
        <f>'For stats end Y points'!A49</f>
        <v>Kewen</v>
      </c>
      <c r="B49" cm="1">
        <f t="array" aca="1" ref="B49" ca="1">SUMPRODUCT(LARGE('For stats end Y points'!$B49:B49,ROW(INDIRECT("1:"&amp;MIN(24,COUNT('For stats end Y points'!$B49:B49))))))</f>
        <v>0</v>
      </c>
      <c r="C49" cm="1">
        <f t="array" aca="1" ref="C49" ca="1">SUMPRODUCT(LARGE('For stats end Y points'!$B49:C49,ROW(INDIRECT("1:"&amp;MIN(24,COUNT('For stats end Y points'!$B49:C49))))))</f>
        <v>0</v>
      </c>
      <c r="D49" cm="1">
        <f t="array" aca="1" ref="D49" ca="1">SUMPRODUCT(LARGE('For stats end Y points'!$B49:D49,ROW(INDIRECT("1:"&amp;MIN(24,COUNT('For stats end Y points'!$B49:D49))))))</f>
        <v>0</v>
      </c>
      <c r="E49" cm="1">
        <f t="array" aca="1" ref="E49" ca="1">SUMPRODUCT(LARGE('For stats end Y points'!$B49:E49,ROW(INDIRECT("1:"&amp;MIN(24,COUNT('For stats end Y points'!$B49:E49))))))</f>
        <v>0</v>
      </c>
      <c r="F49" cm="1">
        <f t="array" aca="1" ref="F49" ca="1">SUMPRODUCT(LARGE('For stats end Y points'!$B49:F49,ROW(INDIRECT("1:"&amp;MIN(24,COUNT('For stats end Y points'!$B49:F49))))))</f>
        <v>0</v>
      </c>
      <c r="G49" cm="1">
        <f t="array" aca="1" ref="G49" ca="1">SUMPRODUCT(LARGE('For stats end Y points'!$B49:G49,ROW(INDIRECT("1:"&amp;MIN(24,COUNT('For stats end Y points'!$B49:G49))))))</f>
        <v>0</v>
      </c>
      <c r="H49" cm="1">
        <f t="array" aca="1" ref="H49" ca="1">SUMPRODUCT(LARGE('For stats end Y points'!$B49:H49,ROW(INDIRECT("1:"&amp;MIN(24,COUNT('For stats end Y points'!$B49:H49))))))</f>
        <v>0</v>
      </c>
      <c r="I49" cm="1">
        <f t="array" aca="1" ref="I49" ca="1">SUMPRODUCT(LARGE('For stats end Y points'!$B49:I49,ROW(INDIRECT("1:"&amp;MIN(24,COUNT('For stats end Y points'!$B49:I49))))))</f>
        <v>0</v>
      </c>
      <c r="J49" cm="1">
        <f t="array" aca="1" ref="J49" ca="1">SUMPRODUCT(LARGE('For stats end Y points'!$B49:J49,ROW(INDIRECT("1:"&amp;MIN(24,COUNT('For stats end Y points'!$B49:J49))))))</f>
        <v>0</v>
      </c>
      <c r="K49" cm="1">
        <f t="array" aca="1" ref="K49" ca="1">SUMPRODUCT(LARGE('For stats end Y points'!$B49:K49,ROW(INDIRECT("1:"&amp;MIN(24,COUNT('For stats end Y points'!$B49:K49))))))</f>
        <v>0</v>
      </c>
      <c r="L49" cm="1">
        <f t="array" aca="1" ref="L49" ca="1">SUMPRODUCT(LARGE('For stats end Y points'!$B49:L49,ROW(INDIRECT("1:"&amp;MIN(24,COUNT('For stats end Y points'!$B49:L49))))))</f>
        <v>0</v>
      </c>
      <c r="M49" cm="1">
        <f t="array" aca="1" ref="M49" ca="1">SUMPRODUCT(LARGE('For stats end Y points'!$B49:M49,ROW(INDIRECT("1:"&amp;MIN(24,COUNT('For stats end Y points'!$B49:M49))))))</f>
        <v>0</v>
      </c>
      <c r="N49" cm="1">
        <f t="array" aca="1" ref="N49" ca="1">SUMPRODUCT(LARGE('For stats end Y points'!$B49:N49,ROW(INDIRECT("1:"&amp;MIN(24,COUNT('For stats end Y points'!$B49:N49))))))</f>
        <v>0</v>
      </c>
      <c r="O49" cm="1">
        <f t="array" aca="1" ref="O49" ca="1">SUMPRODUCT(LARGE('For stats end Y points'!$B49:O49,ROW(INDIRECT("1:"&amp;MIN(24,COUNT('For stats end Y points'!$B49:O49))))))</f>
        <v>0</v>
      </c>
      <c r="P49" cm="1">
        <f t="array" aca="1" ref="P49" ca="1">SUMPRODUCT(LARGE('For stats end Y points'!$B49:P49,ROW(INDIRECT("1:"&amp;MIN(24,COUNT('For stats end Y points'!$B49:P49))))))</f>
        <v>0</v>
      </c>
      <c r="Q49" cm="1">
        <f t="array" aca="1" ref="Q49" ca="1">SUMPRODUCT(LARGE('For stats end Y points'!$B49:Q49,ROW(INDIRECT("1:"&amp;MIN(24,COUNT('For stats end Y points'!$B49:Q49))))))</f>
        <v>0</v>
      </c>
      <c r="R49" cm="1">
        <f t="array" aca="1" ref="R49" ca="1">SUMPRODUCT(LARGE('For stats end Y points'!$B49:R49,ROW(INDIRECT("1:"&amp;MIN(24,COUNT('For stats end Y points'!$B49:R49))))))</f>
        <v>0</v>
      </c>
      <c r="S49" cm="1">
        <f t="array" aca="1" ref="S49" ca="1">SUMPRODUCT(LARGE('For stats end Y points'!$B49:S49,ROW(INDIRECT("1:"&amp;MIN(24,COUNT('For stats end Y points'!$B49:S49))))))</f>
        <v>0</v>
      </c>
      <c r="T49" cm="1">
        <f t="array" aca="1" ref="T49" ca="1">SUMPRODUCT(LARGE('For stats end Y points'!$B49:T49,ROW(INDIRECT("1:"&amp;MIN(24,COUNT('For stats end Y points'!$B49:T49))))))</f>
        <v>0</v>
      </c>
      <c r="U49" cm="1">
        <f t="array" aca="1" ref="U49" ca="1">SUMPRODUCT(LARGE('For stats end Y points'!$B49:U49,ROW(INDIRECT("1:"&amp;MIN(24,COUNT('For stats end Y points'!$B49:U49))))))</f>
        <v>0</v>
      </c>
      <c r="V49" cm="1">
        <f t="array" aca="1" ref="V49" ca="1">SUMPRODUCT(LARGE('For stats end Y points'!$B49:V49,ROW(INDIRECT("1:"&amp;MIN(24,COUNT('For stats end Y points'!$B49:V49))))))</f>
        <v>0</v>
      </c>
      <c r="W49" cm="1">
        <f t="array" aca="1" ref="W49" ca="1">SUMPRODUCT(LARGE('For stats end Y points'!$B49:W49,ROW(INDIRECT("1:"&amp;MIN(24,COUNT('For stats end Y points'!$B49:W49))))))</f>
        <v>0</v>
      </c>
      <c r="X49" cm="1">
        <f t="array" aca="1" ref="X49" ca="1">SUMPRODUCT(LARGE('For stats end Y points'!$B49:X49,ROW(INDIRECT("1:"&amp;MIN(24,COUNT('For stats end Y points'!$B49:X49))))))</f>
        <v>0</v>
      </c>
      <c r="Y49" cm="1">
        <f t="array" aca="1" ref="Y49" ca="1">SUMPRODUCT(LARGE('For stats end Y points'!$B49:Y49,ROW(INDIRECT("1:"&amp;MIN(24,COUNT('For stats end Y points'!$B49:Y49))))))</f>
        <v>0</v>
      </c>
      <c r="Z49" cm="1">
        <f t="array" aca="1" ref="Z49" ca="1">SUMPRODUCT(LARGE('For stats end Y points'!$B49:Z49,ROW(INDIRECT("1:"&amp;MIN(24,COUNT('For stats end Y points'!$B49:Z49))))))</f>
        <v>0</v>
      </c>
      <c r="AA49" cm="1">
        <f t="array" aca="1" ref="AA49" ca="1">SUMPRODUCT(LARGE('For stats end Y points'!$B49:AA49,ROW(INDIRECT("1:"&amp;MIN(24,COUNT('For stats end Y points'!$B49:AA49))))))</f>
        <v>0</v>
      </c>
      <c r="AB49" cm="1">
        <f t="array" aca="1" ref="AB49" ca="1">SUMPRODUCT(LARGE('For stats end Y points'!$B49:AB49,ROW(INDIRECT("1:"&amp;MIN(24,COUNT('For stats end Y points'!$B49:AB49))))))</f>
        <v>0</v>
      </c>
      <c r="AC49" cm="1">
        <f t="array" aca="1" ref="AC49" ca="1">SUMPRODUCT(LARGE('For stats end Y points'!$B49:AC49,ROW(INDIRECT("1:"&amp;MIN(24,COUNT('For stats end Y points'!$B49:AC49))))))</f>
        <v>8</v>
      </c>
      <c r="AD49" cm="1">
        <f t="array" aca="1" ref="AD49" ca="1">SUMPRODUCT(LARGE('For stats end Y points'!$B49:AD49,ROW(INDIRECT("1:"&amp;MIN(24,COUNT('For stats end Y points'!$B49:AD49))))))</f>
        <v>8</v>
      </c>
      <c r="AE49" cm="1">
        <f t="array" aca="1" ref="AE49" ca="1">SUMPRODUCT(LARGE('For stats end Y points'!$B49:AE49,ROW(INDIRECT("1:"&amp;MIN(24,COUNT('For stats end Y points'!$B49:AE49))))))</f>
        <v>8</v>
      </c>
      <c r="AF49" cm="1">
        <f t="array" aca="1" ref="AF49" ca="1">SUMPRODUCT(LARGE('For stats end Y points'!$B49:AF49,ROW(INDIRECT("1:"&amp;MIN(24,COUNT('For stats end Y points'!$B49:AF49))))))</f>
        <v>10</v>
      </c>
      <c r="AG49" cm="1">
        <f t="array" aca="1" ref="AG49" ca="1">SUMPRODUCT(LARGE('For stats end Y points'!$B49:AG49,ROW(INDIRECT("1:"&amp;MIN(24,COUNT('For stats end Y points'!$B49:AG49))))))</f>
        <v>10</v>
      </c>
      <c r="AH49" cm="1">
        <f t="array" aca="1" ref="AH49" ca="1">SUMPRODUCT(LARGE('For stats end Y points'!$B49:AH49,ROW(INDIRECT("1:"&amp;MIN(24,COUNT('For stats end Y points'!$B49:AH49))))))</f>
        <v>11</v>
      </c>
      <c r="AP49" s="10">
        <f t="shared" si="0"/>
        <v>0</v>
      </c>
      <c r="AQ49">
        <f>'For stats end Y class'!AU49</f>
        <v>3</v>
      </c>
    </row>
    <row r="50" spans="1:43" x14ac:dyDescent="0.2">
      <c r="A50" t="str">
        <f>'For stats end Y points'!A50</f>
        <v>Kheops</v>
      </c>
      <c r="B50" cm="1">
        <f t="array" aca="1" ref="B50" ca="1">SUMPRODUCT(LARGE('For stats end Y points'!$B50:B50,ROW(INDIRECT("1:"&amp;MIN(24,COUNT('For stats end Y points'!$B50:B50))))))</f>
        <v>8</v>
      </c>
      <c r="C50" cm="1">
        <f t="array" aca="1" ref="C50" ca="1">SUMPRODUCT(LARGE('For stats end Y points'!$B50:C50,ROW(INDIRECT("1:"&amp;MIN(24,COUNT('For stats end Y points'!$B50:C50))))))</f>
        <v>11</v>
      </c>
      <c r="D50" cm="1">
        <f t="array" aca="1" ref="D50" ca="1">SUMPRODUCT(LARGE('For stats end Y points'!$B50:D50,ROW(INDIRECT("1:"&amp;MIN(24,COUNT('For stats end Y points'!$B50:D50))))))</f>
        <v>11</v>
      </c>
      <c r="E50" cm="1">
        <f t="array" aca="1" ref="E50" ca="1">SUMPRODUCT(LARGE('For stats end Y points'!$B50:E50,ROW(INDIRECT("1:"&amp;MIN(24,COUNT('For stats end Y points'!$B50:E50))))))</f>
        <v>11</v>
      </c>
      <c r="F50" cm="1">
        <f t="array" aca="1" ref="F50" ca="1">SUMPRODUCT(LARGE('For stats end Y points'!$B50:F50,ROW(INDIRECT("1:"&amp;MIN(24,COUNT('For stats end Y points'!$B50:F50))))))</f>
        <v>16</v>
      </c>
      <c r="G50" cm="1">
        <f t="array" aca="1" ref="G50" ca="1">SUMPRODUCT(LARGE('For stats end Y points'!$B50:G50,ROW(INDIRECT("1:"&amp;MIN(24,COUNT('For stats end Y points'!$B50:G50))))))</f>
        <v>19</v>
      </c>
      <c r="H50" cm="1">
        <f t="array" aca="1" ref="H50" ca="1">SUMPRODUCT(LARGE('For stats end Y points'!$B50:H50,ROW(INDIRECT("1:"&amp;MIN(24,COUNT('For stats end Y points'!$B50:H50))))))</f>
        <v>19</v>
      </c>
      <c r="I50" cm="1">
        <f t="array" aca="1" ref="I50" ca="1">SUMPRODUCT(LARGE('For stats end Y points'!$B50:I50,ROW(INDIRECT("1:"&amp;MIN(24,COUNT('For stats end Y points'!$B50:I50))))))</f>
        <v>24</v>
      </c>
      <c r="J50" cm="1">
        <f t="array" aca="1" ref="J50" ca="1">SUMPRODUCT(LARGE('For stats end Y points'!$B50:J50,ROW(INDIRECT("1:"&amp;MIN(24,COUNT('For stats end Y points'!$B50:J50))))))</f>
        <v>41</v>
      </c>
      <c r="K50" cm="1">
        <f t="array" aca="1" ref="K50" ca="1">SUMPRODUCT(LARGE('For stats end Y points'!$B50:K50,ROW(INDIRECT("1:"&amp;MIN(24,COUNT('For stats end Y points'!$B50:K50))))))</f>
        <v>57</v>
      </c>
      <c r="L50" cm="1">
        <f t="array" aca="1" ref="L50" ca="1">SUMPRODUCT(LARGE('For stats end Y points'!$B50:L50,ROW(INDIRECT("1:"&amp;MIN(24,COUNT('For stats end Y points'!$B50:L50))))))</f>
        <v>61</v>
      </c>
      <c r="M50" cm="1">
        <f t="array" aca="1" ref="M50" ca="1">SUMPRODUCT(LARGE('For stats end Y points'!$B50:M50,ROW(INDIRECT("1:"&amp;MIN(24,COUNT('For stats end Y points'!$B50:M50))))))</f>
        <v>65</v>
      </c>
      <c r="N50" cm="1">
        <f t="array" aca="1" ref="N50" ca="1">SUMPRODUCT(LARGE('For stats end Y points'!$B50:N50,ROW(INDIRECT("1:"&amp;MIN(24,COUNT('For stats end Y points'!$B50:N50))))))</f>
        <v>65</v>
      </c>
      <c r="O50" cm="1">
        <f t="array" aca="1" ref="O50" ca="1">SUMPRODUCT(LARGE('For stats end Y points'!$B50:O50,ROW(INDIRECT("1:"&amp;MIN(24,COUNT('For stats end Y points'!$B50:O50))))))</f>
        <v>74</v>
      </c>
      <c r="P50" cm="1">
        <f t="array" aca="1" ref="P50" ca="1">SUMPRODUCT(LARGE('For stats end Y points'!$B50:P50,ROW(INDIRECT("1:"&amp;MIN(24,COUNT('For stats end Y points'!$B50:P50))))))</f>
        <v>87</v>
      </c>
      <c r="Q50" cm="1">
        <f t="array" aca="1" ref="Q50" ca="1">SUMPRODUCT(LARGE('For stats end Y points'!$B50:Q50,ROW(INDIRECT("1:"&amp;MIN(24,COUNT('For stats end Y points'!$B50:Q50))))))</f>
        <v>87</v>
      </c>
      <c r="R50" cm="1">
        <f t="array" aca="1" ref="R50" ca="1">SUMPRODUCT(LARGE('For stats end Y points'!$B50:R50,ROW(INDIRECT("1:"&amp;MIN(24,COUNT('For stats end Y points'!$B50:R50))))))</f>
        <v>88</v>
      </c>
      <c r="S50" cm="1">
        <f t="array" aca="1" ref="S50" ca="1">SUMPRODUCT(LARGE('For stats end Y points'!$B50:S50,ROW(INDIRECT("1:"&amp;MIN(24,COUNT('For stats end Y points'!$B50:S50))))))</f>
        <v>90</v>
      </c>
      <c r="T50" cm="1">
        <f t="array" aca="1" ref="T50" ca="1">SUMPRODUCT(LARGE('For stats end Y points'!$B50:T50,ROW(INDIRECT("1:"&amp;MIN(24,COUNT('For stats end Y points'!$B50:T50))))))</f>
        <v>90</v>
      </c>
      <c r="U50" cm="1">
        <f t="array" aca="1" ref="U50" ca="1">SUMPRODUCT(LARGE('For stats end Y points'!$B50:U50,ROW(INDIRECT("1:"&amp;MIN(24,COUNT('For stats end Y points'!$B50:U50))))))</f>
        <v>90</v>
      </c>
      <c r="V50" cm="1">
        <f t="array" aca="1" ref="V50" ca="1">SUMPRODUCT(LARGE('For stats end Y points'!$B50:V50,ROW(INDIRECT("1:"&amp;MIN(24,COUNT('For stats end Y points'!$B50:V50))))))</f>
        <v>93</v>
      </c>
      <c r="W50" cm="1">
        <f t="array" aca="1" ref="W50" ca="1">SUMPRODUCT(LARGE('For stats end Y points'!$B50:W50,ROW(INDIRECT("1:"&amp;MIN(24,COUNT('For stats end Y points'!$B50:W50))))))</f>
        <v>106</v>
      </c>
      <c r="X50" cm="1">
        <f t="array" aca="1" ref="X50" ca="1">SUMPRODUCT(LARGE('For stats end Y points'!$B50:X50,ROW(INDIRECT("1:"&amp;MIN(24,COUNT('For stats end Y points'!$B50:X50))))))</f>
        <v>106</v>
      </c>
      <c r="Y50" cm="1">
        <f t="array" aca="1" ref="Y50" ca="1">SUMPRODUCT(LARGE('For stats end Y points'!$B50:Y50,ROW(INDIRECT("1:"&amp;MIN(24,COUNT('For stats end Y points'!$B50:Y50))))))</f>
        <v>123</v>
      </c>
      <c r="Z50" cm="1">
        <f t="array" aca="1" ref="Z50" ca="1">SUMPRODUCT(LARGE('For stats end Y points'!$B50:Z50,ROW(INDIRECT("1:"&amp;MIN(24,COUNT('For stats end Y points'!$B50:Z50))))))</f>
        <v>123</v>
      </c>
      <c r="AA50" cm="1">
        <f t="array" aca="1" ref="AA50" ca="1">SUMPRODUCT(LARGE('For stats end Y points'!$B50:AA50,ROW(INDIRECT("1:"&amp;MIN(24,COUNT('For stats end Y points'!$B50:AA50))))))</f>
        <v>131</v>
      </c>
      <c r="AB50" cm="1">
        <f t="array" aca="1" ref="AB50" ca="1">SUMPRODUCT(LARGE('For stats end Y points'!$B50:AB50,ROW(INDIRECT("1:"&amp;MIN(24,COUNT('For stats end Y points'!$B50:AB50))))))</f>
        <v>139</v>
      </c>
      <c r="AC50" cm="1">
        <f t="array" aca="1" ref="AC50" ca="1">SUMPRODUCT(LARGE('For stats end Y points'!$B50:AC50,ROW(INDIRECT("1:"&amp;MIN(24,COUNT('For stats end Y points'!$B50:AC50))))))</f>
        <v>147</v>
      </c>
      <c r="AD50" cm="1">
        <f t="array" aca="1" ref="AD50" ca="1">SUMPRODUCT(LARGE('For stats end Y points'!$B50:AD50,ROW(INDIRECT("1:"&amp;MIN(24,COUNT('For stats end Y points'!$B50:AD50))))))</f>
        <v>149</v>
      </c>
      <c r="AE50" cm="1">
        <f t="array" aca="1" ref="AE50" ca="1">SUMPRODUCT(LARGE('For stats end Y points'!$B50:AE50,ROW(INDIRECT("1:"&amp;MIN(24,COUNT('For stats end Y points'!$B50:AE50))))))</f>
        <v>152</v>
      </c>
      <c r="AF50" cm="1">
        <f t="array" aca="1" ref="AF50" ca="1">SUMPRODUCT(LARGE('For stats end Y points'!$B50:AF50,ROW(INDIRECT("1:"&amp;MIN(24,COUNT('For stats end Y points'!$B50:AF50))))))</f>
        <v>152</v>
      </c>
      <c r="AG50" cm="1">
        <f t="array" aca="1" ref="AG50" ca="1">SUMPRODUCT(LARGE('For stats end Y points'!$B50:AG50,ROW(INDIRECT("1:"&amp;MIN(24,COUNT('For stats end Y points'!$B50:AG50))))))</f>
        <v>167</v>
      </c>
      <c r="AH50" cm="1">
        <f t="array" aca="1" ref="AH50" ca="1">SUMPRODUCT(LARGE('For stats end Y points'!$B50:AH50,ROW(INDIRECT("1:"&amp;MIN(24,COUNT('For stats end Y points'!$B50:AH50))))))</f>
        <v>179</v>
      </c>
      <c r="AP50" s="10">
        <f t="shared" si="0"/>
        <v>0</v>
      </c>
      <c r="AQ50">
        <f>'For stats end Y class'!AU50</f>
        <v>23</v>
      </c>
    </row>
    <row r="51" spans="1:43" x14ac:dyDescent="0.2">
      <c r="A51" t="str">
        <f>'For stats end Y points'!A51</f>
        <v>Kri-lin</v>
      </c>
      <c r="B51" cm="1">
        <f t="array" aca="1" ref="B51" ca="1">SUMPRODUCT(LARGE('For stats end Y points'!$B51:B51,ROW(INDIRECT("1:"&amp;MIN(24,COUNT('For stats end Y points'!$B51:B51))))))</f>
        <v>4</v>
      </c>
      <c r="C51" cm="1">
        <f t="array" aca="1" ref="C51" ca="1">SUMPRODUCT(LARGE('For stats end Y points'!$B51:C51,ROW(INDIRECT("1:"&amp;MIN(24,COUNT('For stats end Y points'!$B51:C51))))))</f>
        <v>6</v>
      </c>
      <c r="D51" cm="1">
        <f t="array" aca="1" ref="D51" ca="1">SUMPRODUCT(LARGE('For stats end Y points'!$B51:D51,ROW(INDIRECT("1:"&amp;MIN(24,COUNT('For stats end Y points'!$B51:D51))))))</f>
        <v>7</v>
      </c>
      <c r="E51" cm="1">
        <f t="array" aca="1" ref="E51" ca="1">SUMPRODUCT(LARGE('For stats end Y points'!$B51:E51,ROW(INDIRECT("1:"&amp;MIN(24,COUNT('For stats end Y points'!$B51:E51))))))</f>
        <v>16</v>
      </c>
      <c r="F51" cm="1">
        <f t="array" aca="1" ref="F51" ca="1">SUMPRODUCT(LARGE('For stats end Y points'!$B51:F51,ROW(INDIRECT("1:"&amp;MIN(24,COUNT('For stats end Y points'!$B51:F51))))))</f>
        <v>17</v>
      </c>
      <c r="G51" cm="1">
        <f t="array" aca="1" ref="G51" ca="1">SUMPRODUCT(LARGE('For stats end Y points'!$B51:G51,ROW(INDIRECT("1:"&amp;MIN(24,COUNT('For stats end Y points'!$B51:G51))))))</f>
        <v>30</v>
      </c>
      <c r="H51" cm="1">
        <f t="array" aca="1" ref="H51" ca="1">SUMPRODUCT(LARGE('For stats end Y points'!$B51:H51,ROW(INDIRECT("1:"&amp;MIN(24,COUNT('For stats end Y points'!$B51:H51))))))</f>
        <v>30</v>
      </c>
      <c r="I51" cm="1">
        <f t="array" aca="1" ref="I51" ca="1">SUMPRODUCT(LARGE('For stats end Y points'!$B51:I51,ROW(INDIRECT("1:"&amp;MIN(24,COUNT('For stats end Y points'!$B51:I51))))))</f>
        <v>31</v>
      </c>
      <c r="J51" cm="1">
        <f t="array" aca="1" ref="J51" ca="1">SUMPRODUCT(LARGE('For stats end Y points'!$B51:J51,ROW(INDIRECT("1:"&amp;MIN(24,COUNT('For stats end Y points'!$B51:J51))))))</f>
        <v>31</v>
      </c>
      <c r="K51" cm="1">
        <f t="array" aca="1" ref="K51" ca="1">SUMPRODUCT(LARGE('For stats end Y points'!$B51:K51,ROW(INDIRECT("1:"&amp;MIN(24,COUNT('For stats end Y points'!$B51:K51))))))</f>
        <v>35</v>
      </c>
      <c r="L51" cm="1">
        <f t="array" aca="1" ref="L51" ca="1">SUMPRODUCT(LARGE('For stats end Y points'!$B51:L51,ROW(INDIRECT("1:"&amp;MIN(24,COUNT('For stats end Y points'!$B51:L51))))))</f>
        <v>47</v>
      </c>
      <c r="M51" cm="1">
        <f t="array" aca="1" ref="M51" ca="1">SUMPRODUCT(LARGE('For stats end Y points'!$B51:M51,ROW(INDIRECT("1:"&amp;MIN(24,COUNT('For stats end Y points'!$B51:M51))))))</f>
        <v>59</v>
      </c>
      <c r="N51" cm="1">
        <f t="array" aca="1" ref="N51" ca="1">SUMPRODUCT(LARGE('For stats end Y points'!$B51:N51,ROW(INDIRECT("1:"&amp;MIN(24,COUNT('For stats end Y points'!$B51:N51))))))</f>
        <v>59</v>
      </c>
      <c r="O51" cm="1">
        <f t="array" aca="1" ref="O51" ca="1">SUMPRODUCT(LARGE('For stats end Y points'!$B51:O51,ROW(INDIRECT("1:"&amp;MIN(24,COUNT('For stats end Y points'!$B51:O51))))))</f>
        <v>59</v>
      </c>
      <c r="P51" cm="1">
        <f t="array" aca="1" ref="P51" ca="1">SUMPRODUCT(LARGE('For stats end Y points'!$B51:P51,ROW(INDIRECT("1:"&amp;MIN(24,COUNT('For stats end Y points'!$B51:P51))))))</f>
        <v>62</v>
      </c>
      <c r="Q51" cm="1">
        <f t="array" aca="1" ref="Q51" ca="1">SUMPRODUCT(LARGE('For stats end Y points'!$B51:Q51,ROW(INDIRECT("1:"&amp;MIN(24,COUNT('For stats end Y points'!$B51:Q51))))))</f>
        <v>62</v>
      </c>
      <c r="R51" cm="1">
        <f t="array" aca="1" ref="R51" ca="1">SUMPRODUCT(LARGE('For stats end Y points'!$B51:R51,ROW(INDIRECT("1:"&amp;MIN(24,COUNT('For stats end Y points'!$B51:R51))))))</f>
        <v>62</v>
      </c>
      <c r="S51" cm="1">
        <f t="array" aca="1" ref="S51" ca="1">SUMPRODUCT(LARGE('For stats end Y points'!$B51:S51,ROW(INDIRECT("1:"&amp;MIN(24,COUNT('For stats end Y points'!$B51:S51))))))</f>
        <v>62</v>
      </c>
      <c r="T51" cm="1">
        <f t="array" aca="1" ref="T51" ca="1">SUMPRODUCT(LARGE('For stats end Y points'!$B51:T51,ROW(INDIRECT("1:"&amp;MIN(24,COUNT('For stats end Y points'!$B51:T51))))))</f>
        <v>62</v>
      </c>
      <c r="U51" cm="1">
        <f t="array" aca="1" ref="U51" ca="1">SUMPRODUCT(LARGE('For stats end Y points'!$B51:U51,ROW(INDIRECT("1:"&amp;MIN(24,COUNT('For stats end Y points'!$B51:U51))))))</f>
        <v>62</v>
      </c>
      <c r="V51" cm="1">
        <f t="array" aca="1" ref="V51" ca="1">SUMPRODUCT(LARGE('For stats end Y points'!$B51:V51,ROW(INDIRECT("1:"&amp;MIN(24,COUNT('For stats end Y points'!$B51:V51))))))</f>
        <v>63</v>
      </c>
      <c r="W51" cm="1">
        <f t="array" aca="1" ref="W51" ca="1">SUMPRODUCT(LARGE('For stats end Y points'!$B51:W51,ROW(INDIRECT("1:"&amp;MIN(24,COUNT('For stats end Y points'!$B51:W51))))))</f>
        <v>63</v>
      </c>
      <c r="X51" cm="1">
        <f t="array" aca="1" ref="X51" ca="1">SUMPRODUCT(LARGE('For stats end Y points'!$B51:X51,ROW(INDIRECT("1:"&amp;MIN(24,COUNT('For stats end Y points'!$B51:X51))))))</f>
        <v>63</v>
      </c>
      <c r="Y51" cm="1">
        <f t="array" aca="1" ref="Y51" ca="1">SUMPRODUCT(LARGE('For stats end Y points'!$B51:Y51,ROW(INDIRECT("1:"&amp;MIN(24,COUNT('For stats end Y points'!$B51:Y51))))))</f>
        <v>80</v>
      </c>
      <c r="Z51" cm="1">
        <f t="array" aca="1" ref="Z51" ca="1">SUMPRODUCT(LARGE('For stats end Y points'!$B51:Z51,ROW(INDIRECT("1:"&amp;MIN(24,COUNT('For stats end Y points'!$B51:Z51))))))</f>
        <v>92</v>
      </c>
      <c r="AA51" cm="1">
        <f t="array" aca="1" ref="AA51" ca="1">SUMPRODUCT(LARGE('For stats end Y points'!$B51:AA51,ROW(INDIRECT("1:"&amp;MIN(24,COUNT('For stats end Y points'!$B51:AA51))))))</f>
        <v>92</v>
      </c>
      <c r="AB51" cm="1">
        <f t="array" aca="1" ref="AB51" ca="1">SUMPRODUCT(LARGE('For stats end Y points'!$B51:AB51,ROW(INDIRECT("1:"&amp;MIN(24,COUNT('For stats end Y points'!$B51:AB51))))))</f>
        <v>92</v>
      </c>
      <c r="AC51" cm="1">
        <f t="array" aca="1" ref="AC51" ca="1">SUMPRODUCT(LARGE('For stats end Y points'!$B51:AC51,ROW(INDIRECT("1:"&amp;MIN(24,COUNT('For stats end Y points'!$B51:AC51))))))</f>
        <v>92</v>
      </c>
      <c r="AD51" cm="1">
        <f t="array" aca="1" ref="AD51" ca="1">SUMPRODUCT(LARGE('For stats end Y points'!$B51:AD51,ROW(INDIRECT("1:"&amp;MIN(24,COUNT('For stats end Y points'!$B51:AD51))))))</f>
        <v>92</v>
      </c>
      <c r="AE51" cm="1">
        <f t="array" aca="1" ref="AE51" ca="1">SUMPRODUCT(LARGE('For stats end Y points'!$B51:AE51,ROW(INDIRECT("1:"&amp;MIN(24,COUNT('For stats end Y points'!$B51:AE51))))))</f>
        <v>92</v>
      </c>
      <c r="AF51" cm="1">
        <f t="array" aca="1" ref="AF51" ca="1">SUMPRODUCT(LARGE('For stats end Y points'!$B51:AF51,ROW(INDIRECT("1:"&amp;MIN(24,COUNT('For stats end Y points'!$B51:AF51))))))</f>
        <v>108</v>
      </c>
      <c r="AG51" cm="1">
        <f t="array" aca="1" ref="AG51" ca="1">SUMPRODUCT(LARGE('For stats end Y points'!$B51:AG51,ROW(INDIRECT("1:"&amp;MIN(24,COUNT('For stats end Y points'!$B51:AG51))))))</f>
        <v>116</v>
      </c>
      <c r="AH51" cm="1">
        <f t="array" aca="1" ref="AH51" ca="1">SUMPRODUCT(LARGE('For stats end Y points'!$B51:AH51,ROW(INDIRECT("1:"&amp;MIN(24,COUNT('For stats end Y points'!$B51:AH51))))))</f>
        <v>132</v>
      </c>
      <c r="AP51" s="10">
        <f t="shared" si="0"/>
        <v>0</v>
      </c>
      <c r="AQ51">
        <f>'For stats end Y class'!AU51</f>
        <v>17</v>
      </c>
    </row>
    <row r="52" spans="1:43" x14ac:dyDescent="0.2">
      <c r="A52" t="str">
        <f>'For stats end Y points'!A52</f>
        <v>La Bavure</v>
      </c>
      <c r="B52" cm="1">
        <f t="array" aca="1" ref="B52" ca="1">SUMPRODUCT(LARGE('For stats end Y points'!$B52:B52,ROW(INDIRECT("1:"&amp;MIN(24,COUNT('For stats end Y points'!$B52:B52))))))</f>
        <v>0</v>
      </c>
      <c r="C52" cm="1">
        <f t="array" aca="1" ref="C52" ca="1">SUMPRODUCT(LARGE('For stats end Y points'!$B52:C52,ROW(INDIRECT("1:"&amp;MIN(24,COUNT('For stats end Y points'!$B52:C52))))))</f>
        <v>1</v>
      </c>
      <c r="D52" cm="1">
        <f t="array" aca="1" ref="D52" ca="1">SUMPRODUCT(LARGE('For stats end Y points'!$B52:D52,ROW(INDIRECT("1:"&amp;MIN(24,COUNT('For stats end Y points'!$B52:D52))))))</f>
        <v>5</v>
      </c>
      <c r="E52" cm="1">
        <f t="array" aca="1" ref="E52" ca="1">SUMPRODUCT(LARGE('For stats end Y points'!$B52:E52,ROW(INDIRECT("1:"&amp;MIN(24,COUNT('For stats end Y points'!$B52:E52))))))</f>
        <v>5</v>
      </c>
      <c r="F52" cm="1">
        <f t="array" aca="1" ref="F52" ca="1">SUMPRODUCT(LARGE('For stats end Y points'!$B52:F52,ROW(INDIRECT("1:"&amp;MIN(24,COUNT('For stats end Y points'!$B52:F52))))))</f>
        <v>16</v>
      </c>
      <c r="G52" cm="1">
        <f t="array" aca="1" ref="G52" ca="1">SUMPRODUCT(LARGE('For stats end Y points'!$B52:G52,ROW(INDIRECT("1:"&amp;MIN(24,COUNT('For stats end Y points'!$B52:G52))))))</f>
        <v>17</v>
      </c>
      <c r="H52" cm="1">
        <f t="array" aca="1" ref="H52" ca="1">SUMPRODUCT(LARGE('For stats end Y points'!$B52:H52,ROW(INDIRECT("1:"&amp;MIN(24,COUNT('For stats end Y points'!$B52:H52))))))</f>
        <v>18</v>
      </c>
      <c r="I52" cm="1">
        <f t="array" aca="1" ref="I52" ca="1">SUMPRODUCT(LARGE('For stats end Y points'!$B52:I52,ROW(INDIRECT("1:"&amp;MIN(24,COUNT('For stats end Y points'!$B52:I52))))))</f>
        <v>18</v>
      </c>
      <c r="J52" cm="1">
        <f t="array" aca="1" ref="J52" ca="1">SUMPRODUCT(LARGE('For stats end Y points'!$B52:J52,ROW(INDIRECT("1:"&amp;MIN(24,COUNT('For stats end Y points'!$B52:J52))))))</f>
        <v>19</v>
      </c>
      <c r="K52" cm="1">
        <f t="array" aca="1" ref="K52" ca="1">SUMPRODUCT(LARGE('For stats end Y points'!$B52:K52,ROW(INDIRECT("1:"&amp;MIN(24,COUNT('For stats end Y points'!$B52:K52))))))</f>
        <v>20</v>
      </c>
      <c r="L52" cm="1">
        <f t="array" aca="1" ref="L52" ca="1">SUMPRODUCT(LARGE('For stats end Y points'!$B52:L52,ROW(INDIRECT("1:"&amp;MIN(24,COUNT('For stats end Y points'!$B52:L52))))))</f>
        <v>20</v>
      </c>
      <c r="M52" cm="1">
        <f t="array" aca="1" ref="M52" ca="1">SUMPRODUCT(LARGE('For stats end Y points'!$B52:M52,ROW(INDIRECT("1:"&amp;MIN(24,COUNT('For stats end Y points'!$B52:M52))))))</f>
        <v>36</v>
      </c>
      <c r="N52" cm="1">
        <f t="array" aca="1" ref="N52" ca="1">SUMPRODUCT(LARGE('For stats end Y points'!$B52:N52,ROW(INDIRECT("1:"&amp;MIN(24,COUNT('For stats end Y points'!$B52:N52))))))</f>
        <v>36</v>
      </c>
      <c r="O52" cm="1">
        <f t="array" aca="1" ref="O52" ca="1">SUMPRODUCT(LARGE('For stats end Y points'!$B52:O52,ROW(INDIRECT("1:"&amp;MIN(24,COUNT('For stats end Y points'!$B52:O52))))))</f>
        <v>41</v>
      </c>
      <c r="P52" cm="1">
        <f t="array" aca="1" ref="P52" ca="1">SUMPRODUCT(LARGE('For stats end Y points'!$B52:P52,ROW(INDIRECT("1:"&amp;MIN(24,COUNT('For stats end Y points'!$B52:P52))))))</f>
        <v>57</v>
      </c>
      <c r="Q52" cm="1">
        <f t="array" aca="1" ref="Q52" ca="1">SUMPRODUCT(LARGE('For stats end Y points'!$B52:Q52,ROW(INDIRECT("1:"&amp;MIN(24,COUNT('For stats end Y points'!$B52:Q52))))))</f>
        <v>60</v>
      </c>
      <c r="R52" cm="1">
        <f t="array" aca="1" ref="R52" ca="1">SUMPRODUCT(LARGE('For stats end Y points'!$B52:R52,ROW(INDIRECT("1:"&amp;MIN(24,COUNT('For stats end Y points'!$B52:R52))))))</f>
        <v>72</v>
      </c>
      <c r="S52" cm="1">
        <f t="array" aca="1" ref="S52" ca="1">SUMPRODUCT(LARGE('For stats end Y points'!$B52:S52,ROW(INDIRECT("1:"&amp;MIN(24,COUNT('For stats end Y points'!$B52:S52))))))</f>
        <v>85</v>
      </c>
      <c r="T52" cm="1">
        <f t="array" aca="1" ref="T52" ca="1">SUMPRODUCT(LARGE('For stats end Y points'!$B52:T52,ROW(INDIRECT("1:"&amp;MIN(24,COUNT('For stats end Y points'!$B52:T52))))))</f>
        <v>97</v>
      </c>
      <c r="U52" cm="1">
        <f t="array" aca="1" ref="U52" ca="1">SUMPRODUCT(LARGE('For stats end Y points'!$B52:U52,ROW(INDIRECT("1:"&amp;MIN(24,COUNT('For stats end Y points'!$B52:U52))))))</f>
        <v>98</v>
      </c>
      <c r="V52" cm="1">
        <f t="array" aca="1" ref="V52" ca="1">SUMPRODUCT(LARGE('For stats end Y points'!$B52:V52,ROW(INDIRECT("1:"&amp;MIN(24,COUNT('For stats end Y points'!$B52:V52))))))</f>
        <v>114</v>
      </c>
      <c r="W52" cm="1">
        <f t="array" aca="1" ref="W52" ca="1">SUMPRODUCT(LARGE('For stats end Y points'!$B52:W52,ROW(INDIRECT("1:"&amp;MIN(24,COUNT('For stats end Y points'!$B52:W52))))))</f>
        <v>130</v>
      </c>
      <c r="X52" cm="1">
        <f t="array" aca="1" ref="X52" ca="1">SUMPRODUCT(LARGE('For stats end Y points'!$B52:X52,ROW(INDIRECT("1:"&amp;MIN(24,COUNT('For stats end Y points'!$B52:X52))))))</f>
        <v>142</v>
      </c>
      <c r="Y52" cm="1">
        <f t="array" aca="1" ref="Y52" ca="1">SUMPRODUCT(LARGE('For stats end Y points'!$B52:Y52,ROW(INDIRECT("1:"&amp;MIN(24,COUNT('For stats end Y points'!$B52:Y52))))))</f>
        <v>151</v>
      </c>
      <c r="Z52" cm="1">
        <f t="array" aca="1" ref="Z52" ca="1">SUMPRODUCT(LARGE('For stats end Y points'!$B52:Z52,ROW(INDIRECT("1:"&amp;MIN(24,COUNT('For stats end Y points'!$B52:Z52))))))</f>
        <v>167</v>
      </c>
      <c r="AA52" cm="1">
        <f t="array" aca="1" ref="AA52" ca="1">SUMPRODUCT(LARGE('For stats end Y points'!$B52:AA52,ROW(INDIRECT("1:"&amp;MIN(24,COUNT('For stats end Y points'!$B52:AA52))))))</f>
        <v>169</v>
      </c>
      <c r="AB52" cm="1">
        <f t="array" aca="1" ref="AB52" ca="1">SUMPRODUCT(LARGE('For stats end Y points'!$B52:AB52,ROW(INDIRECT("1:"&amp;MIN(24,COUNT('For stats end Y points'!$B52:AB52))))))</f>
        <v>169</v>
      </c>
      <c r="AC52" cm="1">
        <f t="array" aca="1" ref="AC52" ca="1">SUMPRODUCT(LARGE('For stats end Y points'!$B52:AC52,ROW(INDIRECT("1:"&amp;MIN(24,COUNT('For stats end Y points'!$B52:AC52))))))</f>
        <v>173</v>
      </c>
      <c r="AD52" cm="1">
        <f t="array" aca="1" ref="AD52" ca="1">SUMPRODUCT(LARGE('For stats end Y points'!$B52:AD52,ROW(INDIRECT("1:"&amp;MIN(24,COUNT('For stats end Y points'!$B52:AD52))))))</f>
        <v>173</v>
      </c>
      <c r="AE52" cm="1">
        <f t="array" aca="1" ref="AE52" ca="1">SUMPRODUCT(LARGE('For stats end Y points'!$B52:AE52,ROW(INDIRECT("1:"&amp;MIN(24,COUNT('For stats end Y points'!$B52:AE52))))))</f>
        <v>181</v>
      </c>
      <c r="AF52" cm="1">
        <f t="array" aca="1" ref="AF52" ca="1">SUMPRODUCT(LARGE('For stats end Y points'!$B52:AF52,ROW(INDIRECT("1:"&amp;MIN(24,COUNT('For stats end Y points'!$B52:AF52))))))</f>
        <v>182</v>
      </c>
      <c r="AG52" cm="1">
        <f t="array" aca="1" ref="AG52" ca="1">SUMPRODUCT(LARGE('For stats end Y points'!$B52:AG52,ROW(INDIRECT("1:"&amp;MIN(24,COUNT('For stats end Y points'!$B52:AG52))))))</f>
        <v>182</v>
      </c>
      <c r="AH52" cm="1">
        <f t="array" aca="1" ref="AH52" ca="1">SUMPRODUCT(LARGE('For stats end Y points'!$B52:AH52,ROW(INDIRECT("1:"&amp;MIN(24,COUNT('For stats end Y points'!$B52:AH52))))))</f>
        <v>183</v>
      </c>
      <c r="AP52" s="10">
        <f t="shared" si="0"/>
        <v>0</v>
      </c>
      <c r="AQ52">
        <f>'For stats end Y class'!AU52</f>
        <v>26</v>
      </c>
    </row>
    <row r="53" spans="1:43" x14ac:dyDescent="0.2">
      <c r="A53" t="str">
        <f>'For stats end Y points'!A53</f>
        <v>LAAtof</v>
      </c>
      <c r="B53" cm="1">
        <f t="array" aca="1" ref="B53" ca="1">SUMPRODUCT(LARGE('For stats end Y points'!$B53:B53,ROW(INDIRECT("1:"&amp;MIN(24,COUNT('For stats end Y points'!$B53:B53))))))</f>
        <v>4</v>
      </c>
      <c r="C53" cm="1">
        <f t="array" aca="1" ref="C53" ca="1">SUMPRODUCT(LARGE('For stats end Y points'!$B53:C53,ROW(INDIRECT("1:"&amp;MIN(24,COUNT('For stats end Y points'!$B53:C53))))))</f>
        <v>16</v>
      </c>
      <c r="D53" cm="1">
        <f t="array" aca="1" ref="D53" ca="1">SUMPRODUCT(LARGE('For stats end Y points'!$B53:D53,ROW(INDIRECT("1:"&amp;MIN(24,COUNT('For stats end Y points'!$B53:D53))))))</f>
        <v>16</v>
      </c>
      <c r="E53" cm="1">
        <f t="array" aca="1" ref="E53" ca="1">SUMPRODUCT(LARGE('For stats end Y points'!$B53:E53,ROW(INDIRECT("1:"&amp;MIN(24,COUNT('For stats end Y points'!$B53:E53))))))</f>
        <v>29</v>
      </c>
      <c r="F53" cm="1">
        <f t="array" aca="1" ref="F53" ca="1">SUMPRODUCT(LARGE('For stats end Y points'!$B53:F53,ROW(INDIRECT("1:"&amp;MIN(24,COUNT('For stats end Y points'!$B53:F53))))))</f>
        <v>29</v>
      </c>
      <c r="G53" cm="1">
        <f t="array" aca="1" ref="G53" ca="1">SUMPRODUCT(LARGE('For stats end Y points'!$B53:G53,ROW(INDIRECT("1:"&amp;MIN(24,COUNT('For stats end Y points'!$B53:G53))))))</f>
        <v>31</v>
      </c>
      <c r="H53" cm="1">
        <f t="array" aca="1" ref="H53" ca="1">SUMPRODUCT(LARGE('For stats end Y points'!$B53:H53,ROW(INDIRECT("1:"&amp;MIN(24,COUNT('For stats end Y points'!$B53:H53))))))</f>
        <v>33</v>
      </c>
      <c r="I53" cm="1">
        <f t="array" aca="1" ref="I53" ca="1">SUMPRODUCT(LARGE('For stats end Y points'!$B53:I53,ROW(INDIRECT("1:"&amp;MIN(24,COUNT('For stats end Y points'!$B53:I53))))))</f>
        <v>50</v>
      </c>
      <c r="J53" cm="1">
        <f t="array" aca="1" ref="J53" ca="1">SUMPRODUCT(LARGE('For stats end Y points'!$B53:J53,ROW(INDIRECT("1:"&amp;MIN(24,COUNT('For stats end Y points'!$B53:J53))))))</f>
        <v>50</v>
      </c>
      <c r="K53" cm="1">
        <f t="array" aca="1" ref="K53" ca="1">SUMPRODUCT(LARGE('For stats end Y points'!$B53:K53,ROW(INDIRECT("1:"&amp;MIN(24,COUNT('For stats end Y points'!$B53:K53))))))</f>
        <v>50</v>
      </c>
      <c r="L53" cm="1">
        <f t="array" aca="1" ref="L53" ca="1">SUMPRODUCT(LARGE('For stats end Y points'!$B53:L53,ROW(INDIRECT("1:"&amp;MIN(24,COUNT('For stats end Y points'!$B53:L53))))))</f>
        <v>62</v>
      </c>
      <c r="M53" cm="1">
        <f t="array" aca="1" ref="M53" ca="1">SUMPRODUCT(LARGE('For stats end Y points'!$B53:M53,ROW(INDIRECT("1:"&amp;MIN(24,COUNT('For stats end Y points'!$B53:M53))))))</f>
        <v>71</v>
      </c>
      <c r="N53" cm="1">
        <f t="array" aca="1" ref="N53" ca="1">SUMPRODUCT(LARGE('For stats end Y points'!$B53:N53,ROW(INDIRECT("1:"&amp;MIN(24,COUNT('For stats end Y points'!$B53:N53))))))</f>
        <v>71</v>
      </c>
      <c r="O53" cm="1">
        <f t="array" aca="1" ref="O53" ca="1">SUMPRODUCT(LARGE('For stats end Y points'!$B53:O53,ROW(INDIRECT("1:"&amp;MIN(24,COUNT('For stats end Y points'!$B53:O53))))))</f>
        <v>72</v>
      </c>
      <c r="P53" cm="1">
        <f t="array" aca="1" ref="P53" ca="1">SUMPRODUCT(LARGE('For stats end Y points'!$B53:P53,ROW(INDIRECT("1:"&amp;MIN(24,COUNT('For stats end Y points'!$B53:P53))))))</f>
        <v>74</v>
      </c>
      <c r="Q53" cm="1">
        <f t="array" aca="1" ref="Q53" ca="1">SUMPRODUCT(LARGE('For stats end Y points'!$B53:Q53,ROW(INDIRECT("1:"&amp;MIN(24,COUNT('For stats end Y points'!$B53:Q53))))))</f>
        <v>77</v>
      </c>
      <c r="R53" cm="1">
        <f t="array" aca="1" ref="R53" ca="1">SUMPRODUCT(LARGE('For stats end Y points'!$B53:R53,ROW(INDIRECT("1:"&amp;MIN(24,COUNT('For stats end Y points'!$B53:R53))))))</f>
        <v>78</v>
      </c>
      <c r="S53" cm="1">
        <f t="array" aca="1" ref="S53" ca="1">SUMPRODUCT(LARGE('For stats end Y points'!$B53:S53,ROW(INDIRECT("1:"&amp;MIN(24,COUNT('For stats end Y points'!$B53:S53))))))</f>
        <v>78</v>
      </c>
      <c r="T53" cm="1">
        <f t="array" aca="1" ref="T53" ca="1">SUMPRODUCT(LARGE('For stats end Y points'!$B53:T53,ROW(INDIRECT("1:"&amp;MIN(24,COUNT('For stats end Y points'!$B53:T53))))))</f>
        <v>78</v>
      </c>
      <c r="U53" cm="1">
        <f t="array" aca="1" ref="U53" ca="1">SUMPRODUCT(LARGE('For stats end Y points'!$B53:U53,ROW(INDIRECT("1:"&amp;MIN(24,COUNT('For stats end Y points'!$B53:U53))))))</f>
        <v>78</v>
      </c>
      <c r="V53" cm="1">
        <f t="array" aca="1" ref="V53" ca="1">SUMPRODUCT(LARGE('For stats end Y points'!$B53:V53,ROW(INDIRECT("1:"&amp;MIN(24,COUNT('For stats end Y points'!$B53:V53))))))</f>
        <v>94</v>
      </c>
      <c r="W53" cm="1">
        <f t="array" aca="1" ref="W53" ca="1">SUMPRODUCT(LARGE('For stats end Y points'!$B53:W53,ROW(INDIRECT("1:"&amp;MIN(24,COUNT('For stats end Y points'!$B53:W53))))))</f>
        <v>107</v>
      </c>
      <c r="X53" cm="1">
        <f t="array" aca="1" ref="X53" ca="1">SUMPRODUCT(LARGE('For stats end Y points'!$B53:X53,ROW(INDIRECT("1:"&amp;MIN(24,COUNT('For stats end Y points'!$B53:X53))))))</f>
        <v>119</v>
      </c>
      <c r="Y53" cm="1">
        <f t="array" aca="1" ref="Y53" ca="1">SUMPRODUCT(LARGE('For stats end Y points'!$B53:Y53,ROW(INDIRECT("1:"&amp;MIN(24,COUNT('For stats end Y points'!$B53:Y53))))))</f>
        <v>121</v>
      </c>
      <c r="Z53" cm="1">
        <f t="array" aca="1" ref="Z53" ca="1">SUMPRODUCT(LARGE('For stats end Y points'!$B53:Z53,ROW(INDIRECT("1:"&amp;MIN(24,COUNT('For stats end Y points'!$B53:Z53))))))</f>
        <v>133</v>
      </c>
      <c r="AA53" cm="1">
        <f t="array" aca="1" ref="AA53" ca="1">SUMPRODUCT(LARGE('For stats end Y points'!$B53:AA53,ROW(INDIRECT("1:"&amp;MIN(24,COUNT('For stats end Y points'!$B53:AA53))))))</f>
        <v>141</v>
      </c>
      <c r="AB53" cm="1">
        <f t="array" aca="1" ref="AB53" ca="1">SUMPRODUCT(LARGE('For stats end Y points'!$B53:AB53,ROW(INDIRECT("1:"&amp;MIN(24,COUNT('For stats end Y points'!$B53:AB53))))))</f>
        <v>148</v>
      </c>
      <c r="AC53" cm="1">
        <f t="array" aca="1" ref="AC53" ca="1">SUMPRODUCT(LARGE('For stats end Y points'!$B53:AC53,ROW(INDIRECT("1:"&amp;MIN(24,COUNT('For stats end Y points'!$B53:AC53))))))</f>
        <v>148</v>
      </c>
      <c r="AD53" cm="1">
        <f t="array" aca="1" ref="AD53" ca="1">SUMPRODUCT(LARGE('For stats end Y points'!$B53:AD53,ROW(INDIRECT("1:"&amp;MIN(24,COUNT('For stats end Y points'!$B53:AD53))))))</f>
        <v>152</v>
      </c>
      <c r="AE53" cm="1">
        <f t="array" aca="1" ref="AE53" ca="1">SUMPRODUCT(LARGE('For stats end Y points'!$B53:AE53,ROW(INDIRECT("1:"&amp;MIN(24,COUNT('For stats end Y points'!$B53:AE53))))))</f>
        <v>168</v>
      </c>
      <c r="AF53" cm="1">
        <f t="array" aca="1" ref="AF53" ca="1">SUMPRODUCT(LARGE('For stats end Y points'!$B53:AF53,ROW(INDIRECT("1:"&amp;MIN(24,COUNT('For stats end Y points'!$B53:AF53))))))</f>
        <v>168</v>
      </c>
      <c r="AG53" cm="1">
        <f t="array" aca="1" ref="AG53" ca="1">SUMPRODUCT(LARGE('For stats end Y points'!$B53:AG53,ROW(INDIRECT("1:"&amp;MIN(24,COUNT('For stats end Y points'!$B53:AG53))))))</f>
        <v>168</v>
      </c>
      <c r="AH53" cm="1">
        <f t="array" aca="1" ref="AH53" ca="1">SUMPRODUCT(LARGE('For stats end Y points'!$B53:AH53,ROW(INDIRECT("1:"&amp;MIN(24,COUNT('For stats end Y points'!$B53:AH53))))))</f>
        <v>168</v>
      </c>
      <c r="AP53" s="10">
        <f t="shared" si="0"/>
        <v>0</v>
      </c>
      <c r="AQ53">
        <f>'For stats end Y class'!AU53</f>
        <v>21</v>
      </c>
    </row>
    <row r="54" spans="1:43" x14ac:dyDescent="0.2">
      <c r="A54" t="str">
        <f>'For stats end Y points'!A54</f>
        <v>Lén@</v>
      </c>
      <c r="B54" cm="1">
        <f t="array" aca="1" ref="B54" ca="1">SUMPRODUCT(LARGE('For stats end Y points'!$B54:B54,ROW(INDIRECT("1:"&amp;MIN(24,COUNT('For stats end Y points'!$B54:B54))))))</f>
        <v>0</v>
      </c>
      <c r="C54" cm="1">
        <f t="array" aca="1" ref="C54" ca="1">SUMPRODUCT(LARGE('For stats end Y points'!$B54:C54,ROW(INDIRECT("1:"&amp;MIN(24,COUNT('For stats end Y points'!$B54:C54))))))</f>
        <v>0</v>
      </c>
      <c r="D54" cm="1">
        <f t="array" aca="1" ref="D54" ca="1">SUMPRODUCT(LARGE('For stats end Y points'!$B54:D54,ROW(INDIRECT("1:"&amp;MIN(24,COUNT('For stats end Y points'!$B54:D54))))))</f>
        <v>2</v>
      </c>
      <c r="E54" cm="1">
        <f t="array" aca="1" ref="E54" ca="1">SUMPRODUCT(LARGE('For stats end Y points'!$B54:E54,ROW(INDIRECT("1:"&amp;MIN(24,COUNT('For stats end Y points'!$B54:E54))))))</f>
        <v>4</v>
      </c>
      <c r="F54" cm="1">
        <f t="array" aca="1" ref="F54" ca="1">SUMPRODUCT(LARGE('For stats end Y points'!$B54:F54,ROW(INDIRECT("1:"&amp;MIN(24,COUNT('For stats end Y points'!$B54:F54))))))</f>
        <v>4</v>
      </c>
      <c r="G54" cm="1">
        <f t="array" aca="1" ref="G54" ca="1">SUMPRODUCT(LARGE('For stats end Y points'!$B54:G54,ROW(INDIRECT("1:"&amp;MIN(24,COUNT('For stats end Y points'!$B54:G54))))))</f>
        <v>21</v>
      </c>
      <c r="H54" cm="1">
        <f t="array" aca="1" ref="H54" ca="1">SUMPRODUCT(LARGE('For stats end Y points'!$B54:H54,ROW(INDIRECT("1:"&amp;MIN(24,COUNT('For stats end Y points'!$B54:H54))))))</f>
        <v>21</v>
      </c>
      <c r="I54" cm="1">
        <f t="array" aca="1" ref="I54" ca="1">SUMPRODUCT(LARGE('For stats end Y points'!$B54:I54,ROW(INDIRECT("1:"&amp;MIN(24,COUNT('For stats end Y points'!$B54:I54))))))</f>
        <v>21</v>
      </c>
      <c r="J54" cm="1">
        <f t="array" aca="1" ref="J54" ca="1">SUMPRODUCT(LARGE('For stats end Y points'!$B54:J54,ROW(INDIRECT("1:"&amp;MIN(24,COUNT('For stats end Y points'!$B54:J54))))))</f>
        <v>21</v>
      </c>
      <c r="K54" cm="1">
        <f t="array" aca="1" ref="K54" ca="1">SUMPRODUCT(LARGE('For stats end Y points'!$B54:K54,ROW(INDIRECT("1:"&amp;MIN(24,COUNT('For stats end Y points'!$B54:K54))))))</f>
        <v>21</v>
      </c>
      <c r="L54" cm="1">
        <f t="array" aca="1" ref="L54" ca="1">SUMPRODUCT(LARGE('For stats end Y points'!$B54:L54,ROW(INDIRECT("1:"&amp;MIN(24,COUNT('For stats end Y points'!$B54:L54))))))</f>
        <v>21</v>
      </c>
      <c r="M54" cm="1">
        <f t="array" aca="1" ref="M54" ca="1">SUMPRODUCT(LARGE('For stats end Y points'!$B54:M54,ROW(INDIRECT("1:"&amp;MIN(24,COUNT('For stats end Y points'!$B54:M54))))))</f>
        <v>21</v>
      </c>
      <c r="N54" cm="1">
        <f t="array" aca="1" ref="N54" ca="1">SUMPRODUCT(LARGE('For stats end Y points'!$B54:N54,ROW(INDIRECT("1:"&amp;MIN(24,COUNT('For stats end Y points'!$B54:N54))))))</f>
        <v>25</v>
      </c>
      <c r="O54" cm="1">
        <f t="array" aca="1" ref="O54" ca="1">SUMPRODUCT(LARGE('For stats end Y points'!$B54:O54,ROW(INDIRECT("1:"&amp;MIN(24,COUNT('For stats end Y points'!$B54:O54))))))</f>
        <v>26</v>
      </c>
      <c r="P54" cm="1">
        <f t="array" aca="1" ref="P54" ca="1">SUMPRODUCT(LARGE('For stats end Y points'!$B54:P54,ROW(INDIRECT("1:"&amp;MIN(24,COUNT('For stats end Y points'!$B54:P54))))))</f>
        <v>26</v>
      </c>
      <c r="Q54" cm="1">
        <f t="array" aca="1" ref="Q54" ca="1">SUMPRODUCT(LARGE('For stats end Y points'!$B54:Q54,ROW(INDIRECT("1:"&amp;MIN(24,COUNT('For stats end Y points'!$B54:Q54))))))</f>
        <v>26</v>
      </c>
      <c r="R54" cm="1">
        <f t="array" aca="1" ref="R54" ca="1">SUMPRODUCT(LARGE('For stats end Y points'!$B54:R54,ROW(INDIRECT("1:"&amp;MIN(24,COUNT('For stats end Y points'!$B54:R54))))))</f>
        <v>26</v>
      </c>
      <c r="S54" cm="1">
        <f t="array" aca="1" ref="S54" ca="1">SUMPRODUCT(LARGE('For stats end Y points'!$B54:S54,ROW(INDIRECT("1:"&amp;MIN(24,COUNT('For stats end Y points'!$B54:S54))))))</f>
        <v>26</v>
      </c>
      <c r="T54" cm="1">
        <f t="array" aca="1" ref="T54" ca="1">SUMPRODUCT(LARGE('For stats end Y points'!$B54:T54,ROW(INDIRECT("1:"&amp;MIN(24,COUNT('For stats end Y points'!$B54:T54))))))</f>
        <v>26</v>
      </c>
      <c r="U54" cm="1">
        <f t="array" aca="1" ref="U54" ca="1">SUMPRODUCT(LARGE('For stats end Y points'!$B54:U54,ROW(INDIRECT("1:"&amp;MIN(24,COUNT('For stats end Y points'!$B54:U54))))))</f>
        <v>26</v>
      </c>
      <c r="V54" cm="1">
        <f t="array" aca="1" ref="V54" ca="1">SUMPRODUCT(LARGE('For stats end Y points'!$B54:V54,ROW(INDIRECT("1:"&amp;MIN(24,COUNT('For stats end Y points'!$B54:V54))))))</f>
        <v>27</v>
      </c>
      <c r="W54" cm="1">
        <f t="array" aca="1" ref="W54" ca="1">SUMPRODUCT(LARGE('For stats end Y points'!$B54:W54,ROW(INDIRECT("1:"&amp;MIN(24,COUNT('For stats end Y points'!$B54:W54))))))</f>
        <v>29</v>
      </c>
      <c r="X54" cm="1">
        <f t="array" aca="1" ref="X54" ca="1">SUMPRODUCT(LARGE('For stats end Y points'!$B54:X54,ROW(INDIRECT("1:"&amp;MIN(24,COUNT('For stats end Y points'!$B54:X54))))))</f>
        <v>29</v>
      </c>
      <c r="Y54" cm="1">
        <f t="array" aca="1" ref="Y54" ca="1">SUMPRODUCT(LARGE('For stats end Y points'!$B54:Y54,ROW(INDIRECT("1:"&amp;MIN(24,COUNT('For stats end Y points'!$B54:Y54))))))</f>
        <v>32</v>
      </c>
      <c r="Z54" cm="1">
        <f t="array" aca="1" ref="Z54" ca="1">SUMPRODUCT(LARGE('For stats end Y points'!$B54:Z54,ROW(INDIRECT("1:"&amp;MIN(24,COUNT('For stats end Y points'!$B54:Z54))))))</f>
        <v>32</v>
      </c>
      <c r="AA54" cm="1">
        <f t="array" aca="1" ref="AA54" ca="1">SUMPRODUCT(LARGE('For stats end Y points'!$B54:AA54,ROW(INDIRECT("1:"&amp;MIN(24,COUNT('For stats end Y points'!$B54:AA54))))))</f>
        <v>32</v>
      </c>
      <c r="AB54" cm="1">
        <f t="array" aca="1" ref="AB54" ca="1">SUMPRODUCT(LARGE('For stats end Y points'!$B54:AB54,ROW(INDIRECT("1:"&amp;MIN(24,COUNT('For stats end Y points'!$B54:AB54))))))</f>
        <v>34</v>
      </c>
      <c r="AC54" cm="1">
        <f t="array" aca="1" ref="AC54" ca="1">SUMPRODUCT(LARGE('For stats end Y points'!$B54:AC54,ROW(INDIRECT("1:"&amp;MIN(24,COUNT('For stats end Y points'!$B54:AC54))))))</f>
        <v>36</v>
      </c>
      <c r="AD54" cm="1">
        <f t="array" aca="1" ref="AD54" ca="1">SUMPRODUCT(LARGE('For stats end Y points'!$B54:AD54,ROW(INDIRECT("1:"&amp;MIN(24,COUNT('For stats end Y points'!$B54:AD54))))))</f>
        <v>36</v>
      </c>
      <c r="AE54" cm="1">
        <f t="array" aca="1" ref="AE54" ca="1">SUMPRODUCT(LARGE('For stats end Y points'!$B54:AE54,ROW(INDIRECT("1:"&amp;MIN(24,COUNT('For stats end Y points'!$B54:AE54))))))</f>
        <v>39</v>
      </c>
      <c r="AF54" cm="1">
        <f t="array" aca="1" ref="AF54" ca="1">SUMPRODUCT(LARGE('For stats end Y points'!$B54:AF54,ROW(INDIRECT("1:"&amp;MIN(24,COUNT('For stats end Y points'!$B54:AF54))))))</f>
        <v>39</v>
      </c>
      <c r="AG54" cm="1">
        <f t="array" aca="1" ref="AG54" ca="1">SUMPRODUCT(LARGE('For stats end Y points'!$B54:AG54,ROW(INDIRECT("1:"&amp;MIN(24,COUNT('For stats end Y points'!$B54:AG54))))))</f>
        <v>40</v>
      </c>
      <c r="AH54" cm="1">
        <f t="array" aca="1" ref="AH54" ca="1">SUMPRODUCT(LARGE('For stats end Y points'!$B54:AH54,ROW(INDIRECT("1:"&amp;MIN(24,COUNT('For stats end Y points'!$B54:AH54))))))</f>
        <v>40</v>
      </c>
      <c r="AP54" s="10">
        <f t="shared" si="0"/>
        <v>0</v>
      </c>
      <c r="AQ54">
        <f>'For stats end Y class'!AU54</f>
        <v>12</v>
      </c>
    </row>
    <row r="55" spans="1:43" x14ac:dyDescent="0.2">
      <c r="A55" t="str">
        <f>'For stats end Y points'!A55</f>
        <v>Light</v>
      </c>
      <c r="B55" cm="1">
        <f t="array" aca="1" ref="B55" ca="1">SUMPRODUCT(LARGE('For stats end Y points'!$B55:B55,ROW(INDIRECT("1:"&amp;MIN(24,COUNT('For stats end Y points'!$B55:B55))))))</f>
        <v>0</v>
      </c>
      <c r="C55" cm="1">
        <f t="array" aca="1" ref="C55" ca="1">SUMPRODUCT(LARGE('For stats end Y points'!$B55:C55,ROW(INDIRECT("1:"&amp;MIN(24,COUNT('For stats end Y points'!$B55:C55))))))</f>
        <v>0</v>
      </c>
      <c r="D55" cm="1">
        <f t="array" aca="1" ref="D55" ca="1">SUMPRODUCT(LARGE('For stats end Y points'!$B55:D55,ROW(INDIRECT("1:"&amp;MIN(24,COUNT('For stats end Y points'!$B55:D55))))))</f>
        <v>0</v>
      </c>
      <c r="E55" cm="1">
        <f t="array" aca="1" ref="E55" ca="1">SUMPRODUCT(LARGE('For stats end Y points'!$B55:E55,ROW(INDIRECT("1:"&amp;MIN(24,COUNT('For stats end Y points'!$B55:E55))))))</f>
        <v>0</v>
      </c>
      <c r="F55" cm="1">
        <f t="array" aca="1" ref="F55" ca="1">SUMPRODUCT(LARGE('For stats end Y points'!$B55:F55,ROW(INDIRECT("1:"&amp;MIN(24,COUNT('For stats end Y points'!$B55:F55))))))</f>
        <v>0</v>
      </c>
      <c r="G55" cm="1">
        <f t="array" aca="1" ref="G55" ca="1">SUMPRODUCT(LARGE('For stats end Y points'!$B55:G55,ROW(INDIRECT("1:"&amp;MIN(24,COUNT('For stats end Y points'!$B55:G55))))))</f>
        <v>0</v>
      </c>
      <c r="H55" cm="1">
        <f t="array" aca="1" ref="H55" ca="1">SUMPRODUCT(LARGE('For stats end Y points'!$B55:H55,ROW(INDIRECT("1:"&amp;MIN(24,COUNT('For stats end Y points'!$B55:H55))))))</f>
        <v>0</v>
      </c>
      <c r="I55" cm="1">
        <f t="array" aca="1" ref="I55" ca="1">SUMPRODUCT(LARGE('For stats end Y points'!$B55:I55,ROW(INDIRECT("1:"&amp;MIN(24,COUNT('For stats end Y points'!$B55:I55))))))</f>
        <v>0</v>
      </c>
      <c r="J55" cm="1">
        <f t="array" aca="1" ref="J55" ca="1">SUMPRODUCT(LARGE('For stats end Y points'!$B55:J55,ROW(INDIRECT("1:"&amp;MIN(24,COUNT('For stats end Y points'!$B55:J55))))))</f>
        <v>0</v>
      </c>
      <c r="K55" cm="1">
        <f t="array" aca="1" ref="K55" ca="1">SUMPRODUCT(LARGE('For stats end Y points'!$B55:K55,ROW(INDIRECT("1:"&amp;MIN(24,COUNT('For stats end Y points'!$B55:K55))))))</f>
        <v>0</v>
      </c>
      <c r="L55" cm="1">
        <f t="array" aca="1" ref="L55" ca="1">SUMPRODUCT(LARGE('For stats end Y points'!$B55:L55,ROW(INDIRECT("1:"&amp;MIN(24,COUNT('For stats end Y points'!$B55:L55))))))</f>
        <v>0</v>
      </c>
      <c r="M55" cm="1">
        <f t="array" aca="1" ref="M55" ca="1">SUMPRODUCT(LARGE('For stats end Y points'!$B55:M55,ROW(INDIRECT("1:"&amp;MIN(24,COUNT('For stats end Y points'!$B55:M55))))))</f>
        <v>0</v>
      </c>
      <c r="N55" cm="1">
        <f t="array" aca="1" ref="N55" ca="1">SUMPRODUCT(LARGE('For stats end Y points'!$B55:N55,ROW(INDIRECT("1:"&amp;MIN(24,COUNT('For stats end Y points'!$B55:N55))))))</f>
        <v>0</v>
      </c>
      <c r="O55" cm="1">
        <f t="array" aca="1" ref="O55" ca="1">SUMPRODUCT(LARGE('For stats end Y points'!$B55:O55,ROW(INDIRECT("1:"&amp;MIN(24,COUNT('For stats end Y points'!$B55:O55))))))</f>
        <v>0</v>
      </c>
      <c r="P55" cm="1">
        <f t="array" aca="1" ref="P55" ca="1">SUMPRODUCT(LARGE('For stats end Y points'!$B55:P55,ROW(INDIRECT("1:"&amp;MIN(24,COUNT('For stats end Y points'!$B55:P55))))))</f>
        <v>0</v>
      </c>
      <c r="Q55" cm="1">
        <f t="array" aca="1" ref="Q55" ca="1">SUMPRODUCT(LARGE('For stats end Y points'!$B55:Q55,ROW(INDIRECT("1:"&amp;MIN(24,COUNT('For stats end Y points'!$B55:Q55))))))</f>
        <v>0</v>
      </c>
      <c r="R55" cm="1">
        <f t="array" aca="1" ref="R55" ca="1">SUMPRODUCT(LARGE('For stats end Y points'!$B55:R55,ROW(INDIRECT("1:"&amp;MIN(24,COUNT('For stats end Y points'!$B55:R55))))))</f>
        <v>0</v>
      </c>
      <c r="S55" cm="1">
        <f t="array" aca="1" ref="S55" ca="1">SUMPRODUCT(LARGE('For stats end Y points'!$B55:S55,ROW(INDIRECT("1:"&amp;MIN(24,COUNT('For stats end Y points'!$B55:S55))))))</f>
        <v>0</v>
      </c>
      <c r="T55" cm="1">
        <f t="array" aca="1" ref="T55" ca="1">SUMPRODUCT(LARGE('For stats end Y points'!$B55:T55,ROW(INDIRECT("1:"&amp;MIN(24,COUNT('For stats end Y points'!$B55:T55))))))</f>
        <v>0</v>
      </c>
      <c r="U55" cm="1">
        <f t="array" aca="1" ref="U55" ca="1">SUMPRODUCT(LARGE('For stats end Y points'!$B55:U55,ROW(INDIRECT("1:"&amp;MIN(24,COUNT('For stats end Y points'!$B55:U55))))))</f>
        <v>0</v>
      </c>
      <c r="V55" cm="1">
        <f t="array" aca="1" ref="V55" ca="1">SUMPRODUCT(LARGE('For stats end Y points'!$B55:V55,ROW(INDIRECT("1:"&amp;MIN(24,COUNT('For stats end Y points'!$B55:V55))))))</f>
        <v>0</v>
      </c>
      <c r="W55" cm="1">
        <f t="array" aca="1" ref="W55" ca="1">SUMPRODUCT(LARGE('For stats end Y points'!$B55:W55,ROW(INDIRECT("1:"&amp;MIN(24,COUNT('For stats end Y points'!$B55:W55))))))</f>
        <v>0</v>
      </c>
      <c r="X55" cm="1">
        <f t="array" aca="1" ref="X55" ca="1">SUMPRODUCT(LARGE('For stats end Y points'!$B55:X55,ROW(INDIRECT("1:"&amp;MIN(24,COUNT('For stats end Y points'!$B55:X55))))))</f>
        <v>0</v>
      </c>
      <c r="Y55" cm="1">
        <f t="array" aca="1" ref="Y55" ca="1">SUMPRODUCT(LARGE('For stats end Y points'!$B55:Y55,ROW(INDIRECT("1:"&amp;MIN(24,COUNT('For stats end Y points'!$B55:Y55))))))</f>
        <v>0</v>
      </c>
      <c r="Z55" cm="1">
        <f t="array" aca="1" ref="Z55" ca="1">SUMPRODUCT(LARGE('For stats end Y points'!$B55:Z55,ROW(INDIRECT("1:"&amp;MIN(24,COUNT('For stats end Y points'!$B55:Z55))))))</f>
        <v>0</v>
      </c>
      <c r="AA55" cm="1">
        <f t="array" aca="1" ref="AA55" ca="1">SUMPRODUCT(LARGE('For stats end Y points'!$B55:AA55,ROW(INDIRECT("1:"&amp;MIN(24,COUNT('For stats end Y points'!$B55:AA55))))))</f>
        <v>0</v>
      </c>
      <c r="AB55" cm="1">
        <f t="array" aca="1" ref="AB55" ca="1">SUMPRODUCT(LARGE('For stats end Y points'!$B55:AB55,ROW(INDIRECT("1:"&amp;MIN(24,COUNT('For stats end Y points'!$B55:AB55))))))</f>
        <v>11</v>
      </c>
      <c r="AC55" cm="1">
        <f t="array" aca="1" ref="AC55" ca="1">SUMPRODUCT(LARGE('For stats end Y points'!$B55:AC55,ROW(INDIRECT("1:"&amp;MIN(24,COUNT('For stats end Y points'!$B55:AC55))))))</f>
        <v>15</v>
      </c>
      <c r="AD55" cm="1">
        <f t="array" aca="1" ref="AD55" ca="1">SUMPRODUCT(LARGE('For stats end Y points'!$B55:AD55,ROW(INDIRECT("1:"&amp;MIN(24,COUNT('For stats end Y points'!$B55:AD55))))))</f>
        <v>31</v>
      </c>
      <c r="AE55" cm="1">
        <f t="array" aca="1" ref="AE55" ca="1">SUMPRODUCT(LARGE('For stats end Y points'!$B55:AE55,ROW(INDIRECT("1:"&amp;MIN(24,COUNT('For stats end Y points'!$B55:AE55))))))</f>
        <v>44</v>
      </c>
      <c r="AF55" cm="1">
        <f t="array" aca="1" ref="AF55" ca="1">SUMPRODUCT(LARGE('For stats end Y points'!$B55:AF55,ROW(INDIRECT("1:"&amp;MIN(24,COUNT('For stats end Y points'!$B55:AF55))))))</f>
        <v>60</v>
      </c>
      <c r="AG55" cm="1">
        <f t="array" aca="1" ref="AG55" ca="1">SUMPRODUCT(LARGE('For stats end Y points'!$B55:AG55,ROW(INDIRECT("1:"&amp;MIN(24,COUNT('For stats end Y points'!$B55:AG55))))))</f>
        <v>76</v>
      </c>
      <c r="AH55" cm="1">
        <f t="array" aca="1" ref="AH55" ca="1">SUMPRODUCT(LARGE('For stats end Y points'!$B55:AH55,ROW(INDIRECT("1:"&amp;MIN(24,COUNT('For stats end Y points'!$B55:AH55))))))</f>
        <v>84</v>
      </c>
      <c r="AP55" s="10">
        <f t="shared" si="0"/>
        <v>0</v>
      </c>
      <c r="AQ55">
        <f>'For stats end Y class'!AU55</f>
        <v>7</v>
      </c>
    </row>
    <row r="56" spans="1:43" x14ac:dyDescent="0.2">
      <c r="A56" t="str">
        <f>'For stats end Y points'!A56</f>
        <v>Lizzie</v>
      </c>
      <c r="B56" cm="1">
        <f t="array" aca="1" ref="B56" ca="1">SUMPRODUCT(LARGE('For stats end Y points'!$B56:B56,ROW(INDIRECT("1:"&amp;MIN(24,COUNT('For stats end Y points'!$B56:B56))))))</f>
        <v>0</v>
      </c>
      <c r="C56" cm="1">
        <f t="array" aca="1" ref="C56" ca="1">SUMPRODUCT(LARGE('For stats end Y points'!$B56:C56,ROW(INDIRECT("1:"&amp;MIN(24,COUNT('For stats end Y points'!$B56:C56))))))</f>
        <v>0</v>
      </c>
      <c r="D56" cm="1">
        <f t="array" aca="1" ref="D56" ca="1">SUMPRODUCT(LARGE('For stats end Y points'!$B56:D56,ROW(INDIRECT("1:"&amp;MIN(24,COUNT('For stats end Y points'!$B56:D56))))))</f>
        <v>3</v>
      </c>
      <c r="E56" cm="1">
        <f t="array" aca="1" ref="E56" ca="1">SUMPRODUCT(LARGE('For stats end Y points'!$B56:E56,ROW(INDIRECT("1:"&amp;MIN(24,COUNT('For stats end Y points'!$B56:E56))))))</f>
        <v>3</v>
      </c>
      <c r="F56" cm="1">
        <f t="array" aca="1" ref="F56" ca="1">SUMPRODUCT(LARGE('For stats end Y points'!$B56:F56,ROW(INDIRECT("1:"&amp;MIN(24,COUNT('For stats end Y points'!$B56:F56))))))</f>
        <v>6</v>
      </c>
      <c r="G56" cm="1">
        <f t="array" aca="1" ref="G56" ca="1">SUMPRODUCT(LARGE('For stats end Y points'!$B56:G56,ROW(INDIRECT("1:"&amp;MIN(24,COUNT('For stats end Y points'!$B56:G56))))))</f>
        <v>7</v>
      </c>
      <c r="H56" cm="1">
        <f t="array" aca="1" ref="H56" ca="1">SUMPRODUCT(LARGE('For stats end Y points'!$B56:H56,ROW(INDIRECT("1:"&amp;MIN(24,COUNT('For stats end Y points'!$B56:H56))))))</f>
        <v>7</v>
      </c>
      <c r="I56" cm="1">
        <f t="array" aca="1" ref="I56" ca="1">SUMPRODUCT(LARGE('For stats end Y points'!$B56:I56,ROW(INDIRECT("1:"&amp;MIN(24,COUNT('For stats end Y points'!$B56:I56))))))</f>
        <v>7</v>
      </c>
      <c r="J56" cm="1">
        <f t="array" aca="1" ref="J56" ca="1">SUMPRODUCT(LARGE('For stats end Y points'!$B56:J56,ROW(INDIRECT("1:"&amp;MIN(24,COUNT('For stats end Y points'!$B56:J56))))))</f>
        <v>7</v>
      </c>
      <c r="K56" cm="1">
        <f t="array" aca="1" ref="K56" ca="1">SUMPRODUCT(LARGE('For stats end Y points'!$B56:K56,ROW(INDIRECT("1:"&amp;MIN(24,COUNT('For stats end Y points'!$B56:K56))))))</f>
        <v>7</v>
      </c>
      <c r="L56" cm="1">
        <f t="array" aca="1" ref="L56" ca="1">SUMPRODUCT(LARGE('For stats end Y points'!$B56:L56,ROW(INDIRECT("1:"&amp;MIN(24,COUNT('For stats end Y points'!$B56:L56))))))</f>
        <v>7</v>
      </c>
      <c r="M56" cm="1">
        <f t="array" aca="1" ref="M56" ca="1">SUMPRODUCT(LARGE('For stats end Y points'!$B56:M56,ROW(INDIRECT("1:"&amp;MIN(24,COUNT('For stats end Y points'!$B56:M56))))))</f>
        <v>7</v>
      </c>
      <c r="N56" cm="1">
        <f t="array" aca="1" ref="N56" ca="1">SUMPRODUCT(LARGE('For stats end Y points'!$B56:N56,ROW(INDIRECT("1:"&amp;MIN(24,COUNT('For stats end Y points'!$B56:N56))))))</f>
        <v>10</v>
      </c>
      <c r="O56" cm="1">
        <f t="array" aca="1" ref="O56" ca="1">SUMPRODUCT(LARGE('For stats end Y points'!$B56:O56,ROW(INDIRECT("1:"&amp;MIN(24,COUNT('For stats end Y points'!$B56:O56))))))</f>
        <v>10</v>
      </c>
      <c r="P56" cm="1">
        <f t="array" aca="1" ref="P56" ca="1">SUMPRODUCT(LARGE('For stats end Y points'!$B56:P56,ROW(INDIRECT("1:"&amp;MIN(24,COUNT('For stats end Y points'!$B56:P56))))))</f>
        <v>10</v>
      </c>
      <c r="Q56" cm="1">
        <f t="array" aca="1" ref="Q56" ca="1">SUMPRODUCT(LARGE('For stats end Y points'!$B56:Q56,ROW(INDIRECT("1:"&amp;MIN(24,COUNT('For stats end Y points'!$B56:Q56))))))</f>
        <v>10</v>
      </c>
      <c r="R56" cm="1">
        <f t="array" aca="1" ref="R56" ca="1">SUMPRODUCT(LARGE('For stats end Y points'!$B56:R56,ROW(INDIRECT("1:"&amp;MIN(24,COUNT('For stats end Y points'!$B56:R56))))))</f>
        <v>10</v>
      </c>
      <c r="S56" cm="1">
        <f t="array" aca="1" ref="S56" ca="1">SUMPRODUCT(LARGE('For stats end Y points'!$B56:S56,ROW(INDIRECT("1:"&amp;MIN(24,COUNT('For stats end Y points'!$B56:S56))))))</f>
        <v>10</v>
      </c>
      <c r="T56" cm="1">
        <f t="array" aca="1" ref="T56" ca="1">SUMPRODUCT(LARGE('For stats end Y points'!$B56:T56,ROW(INDIRECT("1:"&amp;MIN(24,COUNT('For stats end Y points'!$B56:T56))))))</f>
        <v>10</v>
      </c>
      <c r="U56" cm="1">
        <f t="array" aca="1" ref="U56" ca="1">SUMPRODUCT(LARGE('For stats end Y points'!$B56:U56,ROW(INDIRECT("1:"&amp;MIN(24,COUNT('For stats end Y points'!$B56:U56))))))</f>
        <v>10</v>
      </c>
      <c r="V56" cm="1">
        <f t="array" aca="1" ref="V56" ca="1">SUMPRODUCT(LARGE('For stats end Y points'!$B56:V56,ROW(INDIRECT("1:"&amp;MIN(24,COUNT('For stats end Y points'!$B56:V56))))))</f>
        <v>10</v>
      </c>
      <c r="W56" cm="1">
        <f t="array" aca="1" ref="W56" ca="1">SUMPRODUCT(LARGE('For stats end Y points'!$B56:W56,ROW(INDIRECT("1:"&amp;MIN(24,COUNT('For stats end Y points'!$B56:W56))))))</f>
        <v>10</v>
      </c>
      <c r="X56" cm="1">
        <f t="array" aca="1" ref="X56" ca="1">SUMPRODUCT(LARGE('For stats end Y points'!$B56:X56,ROW(INDIRECT("1:"&amp;MIN(24,COUNT('For stats end Y points'!$B56:X56))))))</f>
        <v>10</v>
      </c>
      <c r="Y56" cm="1">
        <f t="array" aca="1" ref="Y56" ca="1">SUMPRODUCT(LARGE('For stats end Y points'!$B56:Y56,ROW(INDIRECT("1:"&amp;MIN(24,COUNT('For stats end Y points'!$B56:Y56))))))</f>
        <v>13</v>
      </c>
      <c r="Z56" cm="1">
        <f t="array" aca="1" ref="Z56" ca="1">SUMPRODUCT(LARGE('For stats end Y points'!$B56:Z56,ROW(INDIRECT("1:"&amp;MIN(24,COUNT('For stats end Y points'!$B56:Z56))))))</f>
        <v>16</v>
      </c>
      <c r="AA56" cm="1">
        <f t="array" aca="1" ref="AA56" ca="1">SUMPRODUCT(LARGE('For stats end Y points'!$B56:AA56,ROW(INDIRECT("1:"&amp;MIN(24,COUNT('For stats end Y points'!$B56:AA56))))))</f>
        <v>16</v>
      </c>
      <c r="AB56" cm="1">
        <f t="array" aca="1" ref="AB56" ca="1">SUMPRODUCT(LARGE('For stats end Y points'!$B56:AB56,ROW(INDIRECT("1:"&amp;MIN(24,COUNT('For stats end Y points'!$B56:AB56))))))</f>
        <v>16</v>
      </c>
      <c r="AC56" cm="1">
        <f t="array" aca="1" ref="AC56" ca="1">SUMPRODUCT(LARGE('For stats end Y points'!$B56:AC56,ROW(INDIRECT("1:"&amp;MIN(24,COUNT('For stats end Y points'!$B56:AC56))))))</f>
        <v>16</v>
      </c>
      <c r="AD56" cm="1">
        <f t="array" aca="1" ref="AD56" ca="1">SUMPRODUCT(LARGE('For stats end Y points'!$B56:AD56,ROW(INDIRECT("1:"&amp;MIN(24,COUNT('For stats end Y points'!$B56:AD56))))))</f>
        <v>16</v>
      </c>
      <c r="AE56" cm="1">
        <f t="array" aca="1" ref="AE56" ca="1">SUMPRODUCT(LARGE('For stats end Y points'!$B56:AE56,ROW(INDIRECT("1:"&amp;MIN(24,COUNT('For stats end Y points'!$B56:AE56))))))</f>
        <v>16</v>
      </c>
      <c r="AF56" cm="1">
        <f t="array" aca="1" ref="AF56" ca="1">SUMPRODUCT(LARGE('For stats end Y points'!$B56:AF56,ROW(INDIRECT("1:"&amp;MIN(24,COUNT('For stats end Y points'!$B56:AF56))))))</f>
        <v>16</v>
      </c>
      <c r="AG56" cm="1">
        <f t="array" aca="1" ref="AG56" ca="1">SUMPRODUCT(LARGE('For stats end Y points'!$B56:AG56,ROW(INDIRECT("1:"&amp;MIN(24,COUNT('For stats end Y points'!$B56:AG56))))))</f>
        <v>16</v>
      </c>
      <c r="AH56" cm="1">
        <f t="array" aca="1" ref="AH56" ca="1">SUMPRODUCT(LARGE('For stats end Y points'!$B56:AH56,ROW(INDIRECT("1:"&amp;MIN(24,COUNT('For stats end Y points'!$B56:AH56))))))</f>
        <v>16</v>
      </c>
      <c r="AP56" s="10">
        <f t="shared" si="0"/>
        <v>0</v>
      </c>
      <c r="AQ56">
        <f>'For stats end Y class'!AU56</f>
        <v>6</v>
      </c>
    </row>
    <row r="57" spans="1:43" x14ac:dyDescent="0.2">
      <c r="A57" t="str">
        <f>'For stats end Y points'!A57</f>
        <v>Losogre</v>
      </c>
      <c r="B57" cm="1">
        <f t="array" aca="1" ref="B57" ca="1">SUMPRODUCT(LARGE('For stats end Y points'!$B57:B57,ROW(INDIRECT("1:"&amp;MIN(24,COUNT('For stats end Y points'!$B57:B57))))))</f>
        <v>2</v>
      </c>
      <c r="C57" cm="1">
        <f t="array" aca="1" ref="C57" ca="1">SUMPRODUCT(LARGE('For stats end Y points'!$B57:C57,ROW(INDIRECT("1:"&amp;MIN(24,COUNT('For stats end Y points'!$B57:C57))))))</f>
        <v>15</v>
      </c>
      <c r="D57" cm="1">
        <f t="array" aca="1" ref="D57" ca="1">SUMPRODUCT(LARGE('For stats end Y points'!$B57:D57,ROW(INDIRECT("1:"&amp;MIN(24,COUNT('For stats end Y points'!$B57:D57))))))</f>
        <v>31</v>
      </c>
      <c r="E57" cm="1">
        <f t="array" aca="1" ref="E57" ca="1">SUMPRODUCT(LARGE('For stats end Y points'!$B57:E57,ROW(INDIRECT("1:"&amp;MIN(24,COUNT('For stats end Y points'!$B57:E57))))))</f>
        <v>33</v>
      </c>
      <c r="F57" cm="1">
        <f t="array" aca="1" ref="F57" ca="1">SUMPRODUCT(LARGE('For stats end Y points'!$B57:F57,ROW(INDIRECT("1:"&amp;MIN(24,COUNT('For stats end Y points'!$B57:F57))))))</f>
        <v>41</v>
      </c>
      <c r="G57" cm="1">
        <f t="array" aca="1" ref="G57" ca="1">SUMPRODUCT(LARGE('For stats end Y points'!$B57:G57,ROW(INDIRECT("1:"&amp;MIN(24,COUNT('For stats end Y points'!$B57:G57))))))</f>
        <v>42</v>
      </c>
      <c r="H57" cm="1">
        <f t="array" aca="1" ref="H57" ca="1">SUMPRODUCT(LARGE('For stats end Y points'!$B57:H57,ROW(INDIRECT("1:"&amp;MIN(24,COUNT('For stats end Y points'!$B57:H57))))))</f>
        <v>58</v>
      </c>
      <c r="I57" cm="1">
        <f t="array" aca="1" ref="I57" ca="1">SUMPRODUCT(LARGE('For stats end Y points'!$B57:I57,ROW(INDIRECT("1:"&amp;MIN(24,COUNT('For stats end Y points'!$B57:I57))))))</f>
        <v>63</v>
      </c>
      <c r="J57" cm="1">
        <f t="array" aca="1" ref="J57" ca="1">SUMPRODUCT(LARGE('For stats end Y points'!$B57:J57,ROW(INDIRECT("1:"&amp;MIN(24,COUNT('For stats end Y points'!$B57:J57))))))</f>
        <v>79</v>
      </c>
      <c r="K57" cm="1">
        <f t="array" aca="1" ref="K57" ca="1">SUMPRODUCT(LARGE('For stats end Y points'!$B57:K57,ROW(INDIRECT("1:"&amp;MIN(24,COUNT('For stats end Y points'!$B57:K57))))))</f>
        <v>81</v>
      </c>
      <c r="L57" cm="1">
        <f t="array" aca="1" ref="L57" ca="1">SUMPRODUCT(LARGE('For stats end Y points'!$B57:L57,ROW(INDIRECT("1:"&amp;MIN(24,COUNT('For stats end Y points'!$B57:L57))))))</f>
        <v>82</v>
      </c>
      <c r="M57" cm="1">
        <f t="array" aca="1" ref="M57" ca="1">SUMPRODUCT(LARGE('For stats end Y points'!$B57:M57,ROW(INDIRECT("1:"&amp;MIN(24,COUNT('For stats end Y points'!$B57:M57))))))</f>
        <v>86</v>
      </c>
      <c r="N57" cm="1">
        <f t="array" aca="1" ref="N57" ca="1">SUMPRODUCT(LARGE('For stats end Y points'!$B57:N57,ROW(INDIRECT("1:"&amp;MIN(24,COUNT('For stats end Y points'!$B57:N57))))))</f>
        <v>87</v>
      </c>
      <c r="O57" cm="1">
        <f t="array" aca="1" ref="O57" ca="1">SUMPRODUCT(LARGE('For stats end Y points'!$B57:O57,ROW(INDIRECT("1:"&amp;MIN(24,COUNT('For stats end Y points'!$B57:O57))))))</f>
        <v>88</v>
      </c>
      <c r="P57" cm="1">
        <f t="array" aca="1" ref="P57" ca="1">SUMPRODUCT(LARGE('For stats end Y points'!$B57:P57,ROW(INDIRECT("1:"&amp;MIN(24,COUNT('For stats end Y points'!$B57:P57))))))</f>
        <v>89</v>
      </c>
      <c r="Q57" cm="1">
        <f t="array" aca="1" ref="Q57" ca="1">SUMPRODUCT(LARGE('For stats end Y points'!$B57:Q57,ROW(INDIRECT("1:"&amp;MIN(24,COUNT('For stats end Y points'!$B57:Q57))))))</f>
        <v>94</v>
      </c>
      <c r="R57" cm="1">
        <f t="array" aca="1" ref="R57" ca="1">SUMPRODUCT(LARGE('For stats end Y points'!$B57:R57,ROW(INDIRECT("1:"&amp;MIN(24,COUNT('For stats end Y points'!$B57:R57))))))</f>
        <v>97</v>
      </c>
      <c r="S57" cm="1">
        <f t="array" aca="1" ref="S57" ca="1">SUMPRODUCT(LARGE('For stats end Y points'!$B57:S57,ROW(INDIRECT("1:"&amp;MIN(24,COUNT('For stats end Y points'!$B57:S57))))))</f>
        <v>98</v>
      </c>
      <c r="T57" cm="1">
        <f t="array" aca="1" ref="T57" ca="1">SUMPRODUCT(LARGE('For stats end Y points'!$B57:T57,ROW(INDIRECT("1:"&amp;MIN(24,COUNT('For stats end Y points'!$B57:T57))))))</f>
        <v>99</v>
      </c>
      <c r="U57" cm="1">
        <f t="array" aca="1" ref="U57" ca="1">SUMPRODUCT(LARGE('For stats end Y points'!$B57:U57,ROW(INDIRECT("1:"&amp;MIN(24,COUNT('For stats end Y points'!$B57:U57))))))</f>
        <v>101</v>
      </c>
      <c r="V57" cm="1">
        <f t="array" aca="1" ref="V57" ca="1">SUMPRODUCT(LARGE('For stats end Y points'!$B57:V57,ROW(INDIRECT("1:"&amp;MIN(24,COUNT('For stats end Y points'!$B57:V57))))))</f>
        <v>102</v>
      </c>
      <c r="W57" cm="1">
        <f t="array" aca="1" ref="W57" ca="1">SUMPRODUCT(LARGE('For stats end Y points'!$B57:W57,ROW(INDIRECT("1:"&amp;MIN(24,COUNT('For stats end Y points'!$B57:W57))))))</f>
        <v>104</v>
      </c>
      <c r="X57" cm="1">
        <f t="array" aca="1" ref="X57" ca="1">SUMPRODUCT(LARGE('For stats end Y points'!$B57:X57,ROW(INDIRECT("1:"&amp;MIN(24,COUNT('For stats end Y points'!$B57:X57))))))</f>
        <v>105</v>
      </c>
      <c r="Y57" cm="1">
        <f t="array" aca="1" ref="Y57" ca="1">SUMPRODUCT(LARGE('For stats end Y points'!$B57:Y57,ROW(INDIRECT("1:"&amp;MIN(24,COUNT('For stats end Y points'!$B57:Y57))))))</f>
        <v>106</v>
      </c>
      <c r="Z57" cm="1">
        <f t="array" aca="1" ref="Z57" ca="1">SUMPRODUCT(LARGE('For stats end Y points'!$B57:Z57,ROW(INDIRECT("1:"&amp;MIN(24,COUNT('For stats end Y points'!$B57:Z57))))))</f>
        <v>107</v>
      </c>
      <c r="AA57" cm="1">
        <f t="array" aca="1" ref="AA57" ca="1">SUMPRODUCT(LARGE('For stats end Y points'!$B57:AA57,ROW(INDIRECT("1:"&amp;MIN(24,COUNT('For stats end Y points'!$B57:AA57))))))</f>
        <v>110</v>
      </c>
      <c r="AB57" cm="1">
        <f t="array" aca="1" ref="AB57" ca="1">SUMPRODUCT(LARGE('For stats end Y points'!$B57:AB57,ROW(INDIRECT("1:"&amp;MIN(24,COUNT('For stats end Y points'!$B57:AB57))))))</f>
        <v>113</v>
      </c>
      <c r="AC57" cm="1">
        <f t="array" aca="1" ref="AC57" ca="1">SUMPRODUCT(LARGE('For stats end Y points'!$B57:AC57,ROW(INDIRECT("1:"&amp;MIN(24,COUNT('For stats end Y points'!$B57:AC57))))))</f>
        <v>113</v>
      </c>
      <c r="AD57" cm="1">
        <f t="array" aca="1" ref="AD57" ca="1">SUMPRODUCT(LARGE('For stats end Y points'!$B57:AD57,ROW(INDIRECT("1:"&amp;MIN(24,COUNT('For stats end Y points'!$B57:AD57))))))</f>
        <v>116</v>
      </c>
      <c r="AE57" cm="1">
        <f t="array" aca="1" ref="AE57" ca="1">SUMPRODUCT(LARGE('For stats end Y points'!$B57:AE57,ROW(INDIRECT("1:"&amp;MIN(24,COUNT('For stats end Y points'!$B57:AE57))))))</f>
        <v>117</v>
      </c>
      <c r="AF57" cm="1">
        <f t="array" aca="1" ref="AF57" ca="1">SUMPRODUCT(LARGE('For stats end Y points'!$B57:AF57,ROW(INDIRECT("1:"&amp;MIN(24,COUNT('For stats end Y points'!$B57:AF57))))))</f>
        <v>121</v>
      </c>
      <c r="AG57" cm="1">
        <f t="array" aca="1" ref="AG57" ca="1">SUMPRODUCT(LARGE('For stats end Y points'!$B57:AG57,ROW(INDIRECT("1:"&amp;MIN(24,COUNT('For stats end Y points'!$B57:AG57))))))</f>
        <v>124</v>
      </c>
      <c r="AH57" cm="1">
        <f t="array" aca="1" ref="AH57" ca="1">SUMPRODUCT(LARGE('For stats end Y points'!$B57:AH57,ROW(INDIRECT("1:"&amp;MIN(24,COUNT('For stats end Y points'!$B57:AH57))))))</f>
        <v>139</v>
      </c>
      <c r="AP57" s="10">
        <f t="shared" si="0"/>
        <v>0</v>
      </c>
      <c r="AQ57">
        <f>'For stats end Y class'!AU57</f>
        <v>32</v>
      </c>
    </row>
    <row r="58" spans="1:43" x14ac:dyDescent="0.2">
      <c r="A58" t="str">
        <f>'For stats end Y points'!A58</f>
        <v>Madridal</v>
      </c>
      <c r="B58" cm="1">
        <f t="array" aca="1" ref="B58" ca="1">SUMPRODUCT(LARGE('For stats end Y points'!$B58:B58,ROW(INDIRECT("1:"&amp;MIN(24,COUNT('For stats end Y points'!$B58:B58))))))</f>
        <v>0</v>
      </c>
      <c r="C58" cm="1">
        <f t="array" aca="1" ref="C58" ca="1">SUMPRODUCT(LARGE('For stats end Y points'!$B58:C58,ROW(INDIRECT("1:"&amp;MIN(24,COUNT('For stats end Y points'!$B58:C58))))))</f>
        <v>0</v>
      </c>
      <c r="D58" cm="1">
        <f t="array" aca="1" ref="D58" ca="1">SUMPRODUCT(LARGE('For stats end Y points'!$B58:D58,ROW(INDIRECT("1:"&amp;MIN(24,COUNT('For stats end Y points'!$B58:D58))))))</f>
        <v>0</v>
      </c>
      <c r="E58" cm="1">
        <f t="array" aca="1" ref="E58" ca="1">SUMPRODUCT(LARGE('For stats end Y points'!$B58:E58,ROW(INDIRECT("1:"&amp;MIN(24,COUNT('For stats end Y points'!$B58:E58))))))</f>
        <v>0</v>
      </c>
      <c r="F58" cm="1">
        <f t="array" aca="1" ref="F58" ca="1">SUMPRODUCT(LARGE('For stats end Y points'!$B58:F58,ROW(INDIRECT("1:"&amp;MIN(24,COUNT('For stats end Y points'!$B58:F58))))))</f>
        <v>0</v>
      </c>
      <c r="G58" cm="1">
        <f t="array" aca="1" ref="G58" ca="1">SUMPRODUCT(LARGE('For stats end Y points'!$B58:G58,ROW(INDIRECT("1:"&amp;MIN(24,COUNT('For stats end Y points'!$B58:G58))))))</f>
        <v>0</v>
      </c>
      <c r="H58" cm="1">
        <f t="array" aca="1" ref="H58" ca="1">SUMPRODUCT(LARGE('For stats end Y points'!$B58:H58,ROW(INDIRECT("1:"&amp;MIN(24,COUNT('For stats end Y points'!$B58:H58))))))</f>
        <v>0</v>
      </c>
      <c r="I58" cm="1">
        <f t="array" aca="1" ref="I58" ca="1">SUMPRODUCT(LARGE('For stats end Y points'!$B58:I58,ROW(INDIRECT("1:"&amp;MIN(24,COUNT('For stats end Y points'!$B58:I58))))))</f>
        <v>0</v>
      </c>
      <c r="J58" cm="1">
        <f t="array" aca="1" ref="J58" ca="1">SUMPRODUCT(LARGE('For stats end Y points'!$B58:J58,ROW(INDIRECT("1:"&amp;MIN(24,COUNT('For stats end Y points'!$B58:J58))))))</f>
        <v>0</v>
      </c>
      <c r="K58" cm="1">
        <f t="array" aca="1" ref="K58" ca="1">SUMPRODUCT(LARGE('For stats end Y points'!$B58:K58,ROW(INDIRECT("1:"&amp;MIN(24,COUNT('For stats end Y points'!$B58:K58))))))</f>
        <v>0</v>
      </c>
      <c r="L58" cm="1">
        <f t="array" aca="1" ref="L58" ca="1">SUMPRODUCT(LARGE('For stats end Y points'!$B58:L58,ROW(INDIRECT("1:"&amp;MIN(24,COUNT('For stats end Y points'!$B58:L58))))))</f>
        <v>0</v>
      </c>
      <c r="M58" cm="1">
        <f t="array" aca="1" ref="M58" ca="1">SUMPRODUCT(LARGE('For stats end Y points'!$B58:M58,ROW(INDIRECT("1:"&amp;MIN(24,COUNT('For stats end Y points'!$B58:M58))))))</f>
        <v>0</v>
      </c>
      <c r="N58" cm="1">
        <f t="array" aca="1" ref="N58" ca="1">SUMPRODUCT(LARGE('For stats end Y points'!$B58:N58,ROW(INDIRECT("1:"&amp;MIN(24,COUNT('For stats end Y points'!$B58:N58))))))</f>
        <v>0</v>
      </c>
      <c r="O58" cm="1">
        <f t="array" aca="1" ref="O58" ca="1">SUMPRODUCT(LARGE('For stats end Y points'!$B58:O58,ROW(INDIRECT("1:"&amp;MIN(24,COUNT('For stats end Y points'!$B58:O58))))))</f>
        <v>0</v>
      </c>
      <c r="P58" cm="1">
        <f t="array" aca="1" ref="P58" ca="1">SUMPRODUCT(LARGE('For stats end Y points'!$B58:P58,ROW(INDIRECT("1:"&amp;MIN(24,COUNT('For stats end Y points'!$B58:P58))))))</f>
        <v>0</v>
      </c>
      <c r="Q58" cm="1">
        <f t="array" aca="1" ref="Q58" ca="1">SUMPRODUCT(LARGE('For stats end Y points'!$B58:Q58,ROW(INDIRECT("1:"&amp;MIN(24,COUNT('For stats end Y points'!$B58:Q58))))))</f>
        <v>0</v>
      </c>
      <c r="R58" cm="1">
        <f t="array" aca="1" ref="R58" ca="1">SUMPRODUCT(LARGE('For stats end Y points'!$B58:R58,ROW(INDIRECT("1:"&amp;MIN(24,COUNT('For stats end Y points'!$B58:R58))))))</f>
        <v>0</v>
      </c>
      <c r="S58" cm="1">
        <f t="array" aca="1" ref="S58" ca="1">SUMPRODUCT(LARGE('For stats end Y points'!$B58:S58,ROW(INDIRECT("1:"&amp;MIN(24,COUNT('For stats end Y points'!$B58:S58))))))</f>
        <v>0</v>
      </c>
      <c r="T58" cm="1">
        <f t="array" aca="1" ref="T58" ca="1">SUMPRODUCT(LARGE('For stats end Y points'!$B58:T58,ROW(INDIRECT("1:"&amp;MIN(24,COUNT('For stats end Y points'!$B58:T58))))))</f>
        <v>0</v>
      </c>
      <c r="U58" cm="1">
        <f t="array" aca="1" ref="U58" ca="1">SUMPRODUCT(LARGE('For stats end Y points'!$B58:U58,ROW(INDIRECT("1:"&amp;MIN(24,COUNT('For stats end Y points'!$B58:U58))))))</f>
        <v>0</v>
      </c>
      <c r="V58" cm="1">
        <f t="array" aca="1" ref="V58" ca="1">SUMPRODUCT(LARGE('For stats end Y points'!$B58:V58,ROW(INDIRECT("1:"&amp;MIN(24,COUNT('For stats end Y points'!$B58:V58))))))</f>
        <v>0</v>
      </c>
      <c r="W58" cm="1">
        <f t="array" aca="1" ref="W58" ca="1">SUMPRODUCT(LARGE('For stats end Y points'!$B58:W58,ROW(INDIRECT("1:"&amp;MIN(24,COUNT('For stats end Y points'!$B58:W58))))))</f>
        <v>0</v>
      </c>
      <c r="X58" cm="1">
        <f t="array" aca="1" ref="X58" ca="1">SUMPRODUCT(LARGE('For stats end Y points'!$B58:X58,ROW(INDIRECT("1:"&amp;MIN(24,COUNT('For stats end Y points'!$B58:X58))))))</f>
        <v>0</v>
      </c>
      <c r="Y58" cm="1">
        <f t="array" aca="1" ref="Y58" ca="1">SUMPRODUCT(LARGE('For stats end Y points'!$B58:Y58,ROW(INDIRECT("1:"&amp;MIN(24,COUNT('For stats end Y points'!$B58:Y58))))))</f>
        <v>0</v>
      </c>
      <c r="Z58" cm="1">
        <f t="array" aca="1" ref="Z58" ca="1">SUMPRODUCT(LARGE('For stats end Y points'!$B58:Z58,ROW(INDIRECT("1:"&amp;MIN(24,COUNT('For stats end Y points'!$B58:Z58))))))</f>
        <v>0</v>
      </c>
      <c r="AA58" cm="1">
        <f t="array" aca="1" ref="AA58" ca="1">SUMPRODUCT(LARGE('For stats end Y points'!$B58:AA58,ROW(INDIRECT("1:"&amp;MIN(24,COUNT('For stats end Y points'!$B58:AA58))))))</f>
        <v>0</v>
      </c>
      <c r="AB58" cm="1">
        <f t="array" aca="1" ref="AB58" ca="1">SUMPRODUCT(LARGE('For stats end Y points'!$B58:AB58,ROW(INDIRECT("1:"&amp;MIN(24,COUNT('For stats end Y points'!$B58:AB58))))))</f>
        <v>15</v>
      </c>
      <c r="AC58" cm="1">
        <f t="array" aca="1" ref="AC58" ca="1">SUMPRODUCT(LARGE('For stats end Y points'!$B58:AC58,ROW(INDIRECT("1:"&amp;MIN(24,COUNT('For stats end Y points'!$B58:AC58))))))</f>
        <v>31</v>
      </c>
      <c r="AD58" cm="1">
        <f t="array" aca="1" ref="AD58" ca="1">SUMPRODUCT(LARGE('For stats end Y points'!$B58:AD58,ROW(INDIRECT("1:"&amp;MIN(24,COUNT('For stats end Y points'!$B58:AD58))))))</f>
        <v>31</v>
      </c>
      <c r="AE58" cm="1">
        <f t="array" aca="1" ref="AE58" ca="1">SUMPRODUCT(LARGE('For stats end Y points'!$B58:AE58,ROW(INDIRECT("1:"&amp;MIN(24,COUNT('For stats end Y points'!$B58:AE58))))))</f>
        <v>32</v>
      </c>
      <c r="AF58" cm="1">
        <f t="array" aca="1" ref="AF58" ca="1">SUMPRODUCT(LARGE('For stats end Y points'!$B58:AF58,ROW(INDIRECT("1:"&amp;MIN(24,COUNT('For stats end Y points'!$B58:AF58))))))</f>
        <v>44</v>
      </c>
      <c r="AG58" cm="1">
        <f t="array" aca="1" ref="AG58" ca="1">SUMPRODUCT(LARGE('For stats end Y points'!$B58:AG58,ROW(INDIRECT("1:"&amp;MIN(24,COUNT('For stats end Y points'!$B58:AG58))))))</f>
        <v>44</v>
      </c>
      <c r="AH58" cm="1">
        <f t="array" aca="1" ref="AH58" ca="1">SUMPRODUCT(LARGE('For stats end Y points'!$B58:AH58,ROW(INDIRECT("1:"&amp;MIN(24,COUNT('For stats end Y points'!$B58:AH58))))))</f>
        <v>52</v>
      </c>
      <c r="AP58" s="10">
        <f t="shared" si="0"/>
        <v>0</v>
      </c>
      <c r="AQ58">
        <f>'For stats end Y class'!AU58</f>
        <v>5</v>
      </c>
    </row>
    <row r="59" spans="1:43" x14ac:dyDescent="0.2">
      <c r="A59" t="str">
        <f>'For stats end Y points'!A59</f>
        <v>Magic Mykiss</v>
      </c>
      <c r="B59" cm="1">
        <f t="array" aca="1" ref="B59" ca="1">SUMPRODUCT(LARGE('For stats end Y points'!$B59:B59,ROW(INDIRECT("1:"&amp;MIN(24,COUNT('For stats end Y points'!$B59:B59))))))</f>
        <v>5</v>
      </c>
      <c r="C59" cm="1">
        <f t="array" aca="1" ref="C59" ca="1">SUMPRODUCT(LARGE('For stats end Y points'!$B59:C59,ROW(INDIRECT("1:"&amp;MIN(24,COUNT('For stats end Y points'!$B59:C59))))))</f>
        <v>5</v>
      </c>
      <c r="D59" cm="1">
        <f t="array" aca="1" ref="D59" ca="1">SUMPRODUCT(LARGE('For stats end Y points'!$B59:D59,ROW(INDIRECT("1:"&amp;MIN(24,COUNT('For stats end Y points'!$B59:D59))))))</f>
        <v>13</v>
      </c>
      <c r="E59" cm="1">
        <f t="array" aca="1" ref="E59" ca="1">SUMPRODUCT(LARGE('For stats end Y points'!$B59:E59,ROW(INDIRECT("1:"&amp;MIN(24,COUNT('For stats end Y points'!$B59:E59))))))</f>
        <v>13</v>
      </c>
      <c r="F59" cm="1">
        <f t="array" aca="1" ref="F59" ca="1">SUMPRODUCT(LARGE('For stats end Y points'!$B59:F59,ROW(INDIRECT("1:"&amp;MIN(24,COUNT('For stats end Y points'!$B59:F59))))))</f>
        <v>25</v>
      </c>
      <c r="G59" cm="1">
        <f t="array" aca="1" ref="G59" ca="1">SUMPRODUCT(LARGE('For stats end Y points'!$B59:G59,ROW(INDIRECT("1:"&amp;MIN(24,COUNT('For stats end Y points'!$B59:G59))))))</f>
        <v>25</v>
      </c>
      <c r="H59" cm="1">
        <f t="array" aca="1" ref="H59" ca="1">SUMPRODUCT(LARGE('For stats end Y points'!$B59:H59,ROW(INDIRECT("1:"&amp;MIN(24,COUNT('For stats end Y points'!$B59:H59))))))</f>
        <v>25</v>
      </c>
      <c r="I59" cm="1">
        <f t="array" aca="1" ref="I59" ca="1">SUMPRODUCT(LARGE('For stats end Y points'!$B59:I59,ROW(INDIRECT("1:"&amp;MIN(24,COUNT('For stats end Y points'!$B59:I59))))))</f>
        <v>38</v>
      </c>
      <c r="J59" cm="1">
        <f t="array" aca="1" ref="J59" ca="1">SUMPRODUCT(LARGE('For stats end Y points'!$B59:J59,ROW(INDIRECT("1:"&amp;MIN(24,COUNT('For stats end Y points'!$B59:J59))))))</f>
        <v>38</v>
      </c>
      <c r="K59" cm="1">
        <f t="array" aca="1" ref="K59" ca="1">SUMPRODUCT(LARGE('For stats end Y points'!$B59:K59,ROW(INDIRECT("1:"&amp;MIN(24,COUNT('For stats end Y points'!$B59:K59))))))</f>
        <v>38</v>
      </c>
      <c r="L59" cm="1">
        <f t="array" aca="1" ref="L59" ca="1">SUMPRODUCT(LARGE('For stats end Y points'!$B59:L59,ROW(INDIRECT("1:"&amp;MIN(24,COUNT('For stats end Y points'!$B59:L59))))))</f>
        <v>38</v>
      </c>
      <c r="M59" cm="1">
        <f t="array" aca="1" ref="M59" ca="1">SUMPRODUCT(LARGE('For stats end Y points'!$B59:M59,ROW(INDIRECT("1:"&amp;MIN(24,COUNT('For stats end Y points'!$B59:M59))))))</f>
        <v>38</v>
      </c>
      <c r="N59" cm="1">
        <f t="array" aca="1" ref="N59" ca="1">SUMPRODUCT(LARGE('For stats end Y points'!$B59:N59,ROW(INDIRECT("1:"&amp;MIN(24,COUNT('For stats end Y points'!$B59:N59))))))</f>
        <v>38</v>
      </c>
      <c r="O59" cm="1">
        <f t="array" aca="1" ref="O59" ca="1">SUMPRODUCT(LARGE('For stats end Y points'!$B59:O59,ROW(INDIRECT("1:"&amp;MIN(24,COUNT('For stats end Y points'!$B59:O59))))))</f>
        <v>38</v>
      </c>
      <c r="P59" cm="1">
        <f t="array" aca="1" ref="P59" ca="1">SUMPRODUCT(LARGE('For stats end Y points'!$B59:P59,ROW(INDIRECT("1:"&amp;MIN(24,COUNT('For stats end Y points'!$B59:P59))))))</f>
        <v>38</v>
      </c>
      <c r="Q59" cm="1">
        <f t="array" aca="1" ref="Q59" ca="1">SUMPRODUCT(LARGE('For stats end Y points'!$B59:Q59,ROW(INDIRECT("1:"&amp;MIN(24,COUNT('For stats end Y points'!$B59:Q59))))))</f>
        <v>43</v>
      </c>
      <c r="R59" cm="1">
        <f t="array" aca="1" ref="R59" ca="1">SUMPRODUCT(LARGE('For stats end Y points'!$B59:R59,ROW(INDIRECT("1:"&amp;MIN(24,COUNT('For stats end Y points'!$B59:R59))))))</f>
        <v>43</v>
      </c>
      <c r="S59" cm="1">
        <f t="array" aca="1" ref="S59" ca="1">SUMPRODUCT(LARGE('For stats end Y points'!$B59:S59,ROW(INDIRECT("1:"&amp;MIN(24,COUNT('For stats end Y points'!$B59:S59))))))</f>
        <v>43</v>
      </c>
      <c r="T59" cm="1">
        <f t="array" aca="1" ref="T59" ca="1">SUMPRODUCT(LARGE('For stats end Y points'!$B59:T59,ROW(INDIRECT("1:"&amp;MIN(24,COUNT('For stats end Y points'!$B59:T59))))))</f>
        <v>43</v>
      </c>
      <c r="U59" cm="1">
        <f t="array" aca="1" ref="U59" ca="1">SUMPRODUCT(LARGE('For stats end Y points'!$B59:U59,ROW(INDIRECT("1:"&amp;MIN(24,COUNT('For stats end Y points'!$B59:U59))))))</f>
        <v>43</v>
      </c>
      <c r="V59" cm="1">
        <f t="array" aca="1" ref="V59" ca="1">SUMPRODUCT(LARGE('For stats end Y points'!$B59:V59,ROW(INDIRECT("1:"&amp;MIN(24,COUNT('For stats end Y points'!$B59:V59))))))</f>
        <v>44</v>
      </c>
      <c r="W59" cm="1">
        <f t="array" aca="1" ref="W59" ca="1">SUMPRODUCT(LARGE('For stats end Y points'!$B59:W59,ROW(INDIRECT("1:"&amp;MIN(24,COUNT('For stats end Y points'!$B59:W59))))))</f>
        <v>44</v>
      </c>
      <c r="X59" cm="1">
        <f t="array" aca="1" ref="X59" ca="1">SUMPRODUCT(LARGE('For stats end Y points'!$B59:X59,ROW(INDIRECT("1:"&amp;MIN(24,COUNT('For stats end Y points'!$B59:X59))))))</f>
        <v>44</v>
      </c>
      <c r="Y59" cm="1">
        <f t="array" aca="1" ref="Y59" ca="1">SUMPRODUCT(LARGE('For stats end Y points'!$B59:Y59,ROW(INDIRECT("1:"&amp;MIN(24,COUNT('For stats end Y points'!$B59:Y59))))))</f>
        <v>44</v>
      </c>
      <c r="Z59" cm="1">
        <f t="array" aca="1" ref="Z59" ca="1">SUMPRODUCT(LARGE('For stats end Y points'!$B59:Z59,ROW(INDIRECT("1:"&amp;MIN(24,COUNT('For stats end Y points'!$B59:Z59))))))</f>
        <v>45</v>
      </c>
      <c r="AA59" cm="1">
        <f t="array" aca="1" ref="AA59" ca="1">SUMPRODUCT(LARGE('For stats end Y points'!$B59:AA59,ROW(INDIRECT("1:"&amp;MIN(24,COUNT('For stats end Y points'!$B59:AA59))))))</f>
        <v>45</v>
      </c>
      <c r="AB59" cm="1">
        <f t="array" aca="1" ref="AB59" ca="1">SUMPRODUCT(LARGE('For stats end Y points'!$B59:AB59,ROW(INDIRECT("1:"&amp;MIN(24,COUNT('For stats end Y points'!$B59:AB59))))))</f>
        <v>45</v>
      </c>
      <c r="AC59" cm="1">
        <f t="array" aca="1" ref="AC59" ca="1">SUMPRODUCT(LARGE('For stats end Y points'!$B59:AC59,ROW(INDIRECT("1:"&amp;MIN(24,COUNT('For stats end Y points'!$B59:AC59))))))</f>
        <v>54</v>
      </c>
      <c r="AD59" cm="1">
        <f t="array" aca="1" ref="AD59" ca="1">SUMPRODUCT(LARGE('For stats end Y points'!$B59:AD59,ROW(INDIRECT("1:"&amp;MIN(24,COUNT('For stats end Y points'!$B59:AD59))))))</f>
        <v>54</v>
      </c>
      <c r="AE59" cm="1">
        <f t="array" aca="1" ref="AE59" ca="1">SUMPRODUCT(LARGE('For stats end Y points'!$B59:AE59,ROW(INDIRECT("1:"&amp;MIN(24,COUNT('For stats end Y points'!$B59:AE59))))))</f>
        <v>54</v>
      </c>
      <c r="AF59" cm="1">
        <f t="array" aca="1" ref="AF59" ca="1">SUMPRODUCT(LARGE('For stats end Y points'!$B59:AF59,ROW(INDIRECT("1:"&amp;MIN(24,COUNT('For stats end Y points'!$B59:AF59))))))</f>
        <v>58</v>
      </c>
      <c r="AG59" cm="1">
        <f t="array" aca="1" ref="AG59" ca="1">SUMPRODUCT(LARGE('For stats end Y points'!$B59:AG59,ROW(INDIRECT("1:"&amp;MIN(24,COUNT('For stats end Y points'!$B59:AG59))))))</f>
        <v>74</v>
      </c>
      <c r="AH59" cm="1">
        <f t="array" aca="1" ref="AH59" ca="1">SUMPRODUCT(LARGE('For stats end Y points'!$B59:AH59,ROW(INDIRECT("1:"&amp;MIN(24,COUNT('For stats end Y points'!$B59:AH59))))))</f>
        <v>74</v>
      </c>
      <c r="AP59" s="10">
        <f t="shared" si="0"/>
        <v>0</v>
      </c>
      <c r="AQ59">
        <f>'For stats end Y class'!AU59</f>
        <v>10</v>
      </c>
    </row>
    <row r="60" spans="1:43" x14ac:dyDescent="0.2">
      <c r="A60" t="str">
        <f>'For stats end Y points'!A60</f>
        <v>Makoche</v>
      </c>
      <c r="B60" cm="1">
        <f t="array" aca="1" ref="B60" ca="1">SUMPRODUCT(LARGE('For stats end Y points'!$B60:B60,ROW(INDIRECT("1:"&amp;MIN(24,COUNT('For stats end Y points'!$B60:B60))))))</f>
        <v>0</v>
      </c>
      <c r="C60" cm="1">
        <f t="array" aca="1" ref="C60" ca="1">SUMPRODUCT(LARGE('For stats end Y points'!$B60:C60,ROW(INDIRECT("1:"&amp;MIN(24,COUNT('For stats end Y points'!$B60:C60))))))</f>
        <v>0</v>
      </c>
      <c r="D60" cm="1">
        <f t="array" aca="1" ref="D60" ca="1">SUMPRODUCT(LARGE('For stats end Y points'!$B60:D60,ROW(INDIRECT("1:"&amp;MIN(24,COUNT('For stats end Y points'!$B60:D60))))))</f>
        <v>0</v>
      </c>
      <c r="E60" cm="1">
        <f t="array" aca="1" ref="E60" ca="1">SUMPRODUCT(LARGE('For stats end Y points'!$B60:E60,ROW(INDIRECT("1:"&amp;MIN(24,COUNT('For stats end Y points'!$B60:E60))))))</f>
        <v>0</v>
      </c>
      <c r="F60" cm="1">
        <f t="array" aca="1" ref="F60" ca="1">SUMPRODUCT(LARGE('For stats end Y points'!$B60:F60,ROW(INDIRECT("1:"&amp;MIN(24,COUNT('For stats end Y points'!$B60:F60))))))</f>
        <v>0</v>
      </c>
      <c r="G60" cm="1">
        <f t="array" aca="1" ref="G60" ca="1">SUMPRODUCT(LARGE('For stats end Y points'!$B60:G60,ROW(INDIRECT("1:"&amp;MIN(24,COUNT('For stats end Y points'!$B60:G60))))))</f>
        <v>17</v>
      </c>
      <c r="H60" cm="1">
        <f t="array" aca="1" ref="H60" ca="1">SUMPRODUCT(LARGE('For stats end Y points'!$B60:H60,ROW(INDIRECT("1:"&amp;MIN(24,COUNT('For stats end Y points'!$B60:H60))))))</f>
        <v>17</v>
      </c>
      <c r="I60" cm="1">
        <f t="array" aca="1" ref="I60" ca="1">SUMPRODUCT(LARGE('For stats end Y points'!$B60:I60,ROW(INDIRECT("1:"&amp;MIN(24,COUNT('For stats end Y points'!$B60:I60))))))</f>
        <v>17</v>
      </c>
      <c r="J60" cm="1">
        <f t="array" aca="1" ref="J60" ca="1">SUMPRODUCT(LARGE('For stats end Y points'!$B60:J60,ROW(INDIRECT("1:"&amp;MIN(24,COUNT('For stats end Y points'!$B60:J60))))))</f>
        <v>21</v>
      </c>
      <c r="K60" cm="1">
        <f t="array" aca="1" ref="K60" ca="1">SUMPRODUCT(LARGE('For stats end Y points'!$B60:K60,ROW(INDIRECT("1:"&amp;MIN(24,COUNT('For stats end Y points'!$B60:K60))))))</f>
        <v>21</v>
      </c>
      <c r="L60" cm="1">
        <f t="array" aca="1" ref="L60" ca="1">SUMPRODUCT(LARGE('For stats end Y points'!$B60:L60,ROW(INDIRECT("1:"&amp;MIN(24,COUNT('For stats end Y points'!$B60:L60))))))</f>
        <v>21</v>
      </c>
      <c r="M60" cm="1">
        <f t="array" aca="1" ref="M60" ca="1">SUMPRODUCT(LARGE('For stats end Y points'!$B60:M60,ROW(INDIRECT("1:"&amp;MIN(24,COUNT('For stats end Y points'!$B60:M60))))))</f>
        <v>21</v>
      </c>
      <c r="N60" cm="1">
        <f t="array" aca="1" ref="N60" ca="1">SUMPRODUCT(LARGE('For stats end Y points'!$B60:N60,ROW(INDIRECT("1:"&amp;MIN(24,COUNT('For stats end Y points'!$B60:N60))))))</f>
        <v>21</v>
      </c>
      <c r="O60" cm="1">
        <f t="array" aca="1" ref="O60" ca="1">SUMPRODUCT(LARGE('For stats end Y points'!$B60:O60,ROW(INDIRECT("1:"&amp;MIN(24,COUNT('For stats end Y points'!$B60:O60))))))</f>
        <v>21</v>
      </c>
      <c r="P60" cm="1">
        <f t="array" aca="1" ref="P60" ca="1">SUMPRODUCT(LARGE('For stats end Y points'!$B60:P60,ROW(INDIRECT("1:"&amp;MIN(24,COUNT('For stats end Y points'!$B60:P60))))))</f>
        <v>21</v>
      </c>
      <c r="Q60" cm="1">
        <f t="array" aca="1" ref="Q60" ca="1">SUMPRODUCT(LARGE('For stats end Y points'!$B60:Q60,ROW(INDIRECT("1:"&amp;MIN(24,COUNT('For stats end Y points'!$B60:Q60))))))</f>
        <v>21</v>
      </c>
      <c r="R60" cm="1">
        <f t="array" aca="1" ref="R60" ca="1">SUMPRODUCT(LARGE('For stats end Y points'!$B60:R60,ROW(INDIRECT("1:"&amp;MIN(24,COUNT('For stats end Y points'!$B60:R60))))))</f>
        <v>21</v>
      </c>
      <c r="S60" cm="1">
        <f t="array" aca="1" ref="S60" ca="1">SUMPRODUCT(LARGE('For stats end Y points'!$B60:S60,ROW(INDIRECT("1:"&amp;MIN(24,COUNT('For stats end Y points'!$B60:S60))))))</f>
        <v>21</v>
      </c>
      <c r="T60" cm="1">
        <f t="array" aca="1" ref="T60" ca="1">SUMPRODUCT(LARGE('For stats end Y points'!$B60:T60,ROW(INDIRECT("1:"&amp;MIN(24,COUNT('For stats end Y points'!$B60:T60))))))</f>
        <v>21</v>
      </c>
      <c r="U60" cm="1">
        <f t="array" aca="1" ref="U60" ca="1">SUMPRODUCT(LARGE('For stats end Y points'!$B60:U60,ROW(INDIRECT("1:"&amp;MIN(24,COUNT('For stats end Y points'!$B60:U60))))))</f>
        <v>21</v>
      </c>
      <c r="V60" cm="1">
        <f t="array" aca="1" ref="V60" ca="1">SUMPRODUCT(LARGE('For stats end Y points'!$B60:V60,ROW(INDIRECT("1:"&amp;MIN(24,COUNT('For stats end Y points'!$B60:V60))))))</f>
        <v>21</v>
      </c>
      <c r="W60" cm="1">
        <f t="array" aca="1" ref="W60" ca="1">SUMPRODUCT(LARGE('For stats end Y points'!$B60:W60,ROW(INDIRECT("1:"&amp;MIN(24,COUNT('For stats end Y points'!$B60:W60))))))</f>
        <v>21</v>
      </c>
      <c r="X60" cm="1">
        <f t="array" aca="1" ref="X60" ca="1">SUMPRODUCT(LARGE('For stats end Y points'!$B60:X60,ROW(INDIRECT("1:"&amp;MIN(24,COUNT('For stats end Y points'!$B60:X60))))))</f>
        <v>21</v>
      </c>
      <c r="Y60" cm="1">
        <f t="array" aca="1" ref="Y60" ca="1">SUMPRODUCT(LARGE('For stats end Y points'!$B60:Y60,ROW(INDIRECT("1:"&amp;MIN(24,COUNT('For stats end Y points'!$B60:Y60))))))</f>
        <v>21</v>
      </c>
      <c r="Z60" cm="1">
        <f t="array" aca="1" ref="Z60" ca="1">SUMPRODUCT(LARGE('For stats end Y points'!$B60:Z60,ROW(INDIRECT("1:"&amp;MIN(24,COUNT('For stats end Y points'!$B60:Z60))))))</f>
        <v>21</v>
      </c>
      <c r="AA60" cm="1">
        <f t="array" aca="1" ref="AA60" ca="1">SUMPRODUCT(LARGE('For stats end Y points'!$B60:AA60,ROW(INDIRECT("1:"&amp;MIN(24,COUNT('For stats end Y points'!$B60:AA60))))))</f>
        <v>21</v>
      </c>
      <c r="AB60" cm="1">
        <f t="array" aca="1" ref="AB60" ca="1">SUMPRODUCT(LARGE('For stats end Y points'!$B60:AB60,ROW(INDIRECT("1:"&amp;MIN(24,COUNT('For stats end Y points'!$B60:AB60))))))</f>
        <v>21</v>
      </c>
      <c r="AC60" cm="1">
        <f t="array" aca="1" ref="AC60" ca="1">SUMPRODUCT(LARGE('For stats end Y points'!$B60:AC60,ROW(INDIRECT("1:"&amp;MIN(24,COUNT('For stats end Y points'!$B60:AC60))))))</f>
        <v>21</v>
      </c>
      <c r="AD60" cm="1">
        <f t="array" aca="1" ref="AD60" ca="1">SUMPRODUCT(LARGE('For stats end Y points'!$B60:AD60,ROW(INDIRECT("1:"&amp;MIN(24,COUNT('For stats end Y points'!$B60:AD60))))))</f>
        <v>21</v>
      </c>
      <c r="AE60" cm="1">
        <f t="array" aca="1" ref="AE60" ca="1">SUMPRODUCT(LARGE('For stats end Y points'!$B60:AE60,ROW(INDIRECT("1:"&amp;MIN(24,COUNT('For stats end Y points'!$B60:AE60))))))</f>
        <v>21</v>
      </c>
      <c r="AF60" cm="1">
        <f t="array" aca="1" ref="AF60" ca="1">SUMPRODUCT(LARGE('For stats end Y points'!$B60:AF60,ROW(INDIRECT("1:"&amp;MIN(24,COUNT('For stats end Y points'!$B60:AF60))))))</f>
        <v>21</v>
      </c>
      <c r="AG60" cm="1">
        <f t="array" aca="1" ref="AG60" ca="1">SUMPRODUCT(LARGE('For stats end Y points'!$B60:AG60,ROW(INDIRECT("1:"&amp;MIN(24,COUNT('For stats end Y points'!$B60:AG60))))))</f>
        <v>21</v>
      </c>
      <c r="AH60" cm="1">
        <f t="array" aca="1" ref="AH60" ca="1">SUMPRODUCT(LARGE('For stats end Y points'!$B60:AH60,ROW(INDIRECT("1:"&amp;MIN(24,COUNT('For stats end Y points'!$B60:AH60))))))</f>
        <v>21</v>
      </c>
      <c r="AP60" s="10">
        <f t="shared" si="0"/>
        <v>0</v>
      </c>
      <c r="AQ60">
        <f>'For stats end Y class'!AU60</f>
        <v>2</v>
      </c>
    </row>
    <row r="61" spans="1:43" x14ac:dyDescent="0.2">
      <c r="A61" t="str">
        <f>'For stats end Y points'!A61</f>
        <v>Mams</v>
      </c>
      <c r="B61" cm="1">
        <f t="array" aca="1" ref="B61" ca="1">SUMPRODUCT(LARGE('For stats end Y points'!$B61:B61,ROW(INDIRECT("1:"&amp;MIN(24,COUNT('For stats end Y points'!$B61:B61))))))</f>
        <v>1</v>
      </c>
      <c r="C61" cm="1">
        <f t="array" aca="1" ref="C61" ca="1">SUMPRODUCT(LARGE('For stats end Y points'!$B61:C61,ROW(INDIRECT("1:"&amp;MIN(24,COUNT('For stats end Y points'!$B61:C61))))))</f>
        <v>2</v>
      </c>
      <c r="D61" cm="1">
        <f t="array" aca="1" ref="D61" ca="1">SUMPRODUCT(LARGE('For stats end Y points'!$B61:D61,ROW(INDIRECT("1:"&amp;MIN(24,COUNT('For stats end Y points'!$B61:D61))))))</f>
        <v>18</v>
      </c>
      <c r="E61" cm="1">
        <f t="array" aca="1" ref="E61" ca="1">SUMPRODUCT(LARGE('For stats end Y points'!$B61:E61,ROW(INDIRECT("1:"&amp;MIN(24,COUNT('For stats end Y points'!$B61:E61))))))</f>
        <v>35</v>
      </c>
      <c r="F61" cm="1">
        <f t="array" aca="1" ref="F61" ca="1">SUMPRODUCT(LARGE('For stats end Y points'!$B61:F61,ROW(INDIRECT("1:"&amp;MIN(24,COUNT('For stats end Y points'!$B61:F61))))))</f>
        <v>52</v>
      </c>
      <c r="G61" cm="1">
        <f t="array" aca="1" ref="G61" ca="1">SUMPRODUCT(LARGE('For stats end Y points'!$B61:G61,ROW(INDIRECT("1:"&amp;MIN(24,COUNT('For stats end Y points'!$B61:G61))))))</f>
        <v>55</v>
      </c>
      <c r="H61" cm="1">
        <f t="array" aca="1" ref="H61" ca="1">SUMPRODUCT(LARGE('For stats end Y points'!$B61:H61,ROW(INDIRECT("1:"&amp;MIN(24,COUNT('For stats end Y points'!$B61:H61))))))</f>
        <v>64</v>
      </c>
      <c r="I61" cm="1">
        <f t="array" aca="1" ref="I61" ca="1">SUMPRODUCT(LARGE('For stats end Y points'!$B61:I61,ROW(INDIRECT("1:"&amp;MIN(24,COUNT('For stats end Y points'!$B61:I61))))))</f>
        <v>73</v>
      </c>
      <c r="J61" cm="1">
        <f t="array" aca="1" ref="J61" ca="1">SUMPRODUCT(LARGE('For stats end Y points'!$B61:J61,ROW(INDIRECT("1:"&amp;MIN(24,COUNT('For stats end Y points'!$B61:J61))))))</f>
        <v>75</v>
      </c>
      <c r="K61" cm="1">
        <f t="array" aca="1" ref="K61" ca="1">SUMPRODUCT(LARGE('For stats end Y points'!$B61:K61,ROW(INDIRECT("1:"&amp;MIN(24,COUNT('For stats end Y points'!$B61:K61))))))</f>
        <v>79</v>
      </c>
      <c r="L61" cm="1">
        <f t="array" aca="1" ref="L61" ca="1">SUMPRODUCT(LARGE('For stats end Y points'!$B61:L61,ROW(INDIRECT("1:"&amp;MIN(24,COUNT('For stats end Y points'!$B61:L61))))))</f>
        <v>83</v>
      </c>
      <c r="M61" cm="1">
        <f t="array" aca="1" ref="M61" ca="1">SUMPRODUCT(LARGE('For stats end Y points'!$B61:M61,ROW(INDIRECT("1:"&amp;MIN(24,COUNT('For stats end Y points'!$B61:M61))))))</f>
        <v>100</v>
      </c>
      <c r="N61" cm="1">
        <f t="array" aca="1" ref="N61" ca="1">SUMPRODUCT(LARGE('For stats end Y points'!$B61:N61,ROW(INDIRECT("1:"&amp;MIN(24,COUNT('For stats end Y points'!$B61:N61))))))</f>
        <v>117</v>
      </c>
      <c r="O61" cm="1">
        <f t="array" aca="1" ref="O61" ca="1">SUMPRODUCT(LARGE('For stats end Y points'!$B61:O61,ROW(INDIRECT("1:"&amp;MIN(24,COUNT('For stats end Y points'!$B61:O61))))))</f>
        <v>120</v>
      </c>
      <c r="P61" cm="1">
        <f t="array" aca="1" ref="P61" ca="1">SUMPRODUCT(LARGE('For stats end Y points'!$B61:P61,ROW(INDIRECT("1:"&amp;MIN(24,COUNT('For stats end Y points'!$B61:P61))))))</f>
        <v>129</v>
      </c>
      <c r="Q61" cm="1">
        <f t="array" aca="1" ref="Q61" ca="1">SUMPRODUCT(LARGE('For stats end Y points'!$B61:Q61,ROW(INDIRECT("1:"&amp;MIN(24,COUNT('For stats end Y points'!$B61:Q61))))))</f>
        <v>135</v>
      </c>
      <c r="R61" cm="1">
        <f t="array" aca="1" ref="R61" ca="1">SUMPRODUCT(LARGE('For stats end Y points'!$B61:R61,ROW(INDIRECT("1:"&amp;MIN(24,COUNT('For stats end Y points'!$B61:R61))))))</f>
        <v>136</v>
      </c>
      <c r="S61" cm="1">
        <f t="array" aca="1" ref="S61" ca="1">SUMPRODUCT(LARGE('For stats end Y points'!$B61:S61,ROW(INDIRECT("1:"&amp;MIN(24,COUNT('For stats end Y points'!$B61:S61))))))</f>
        <v>138</v>
      </c>
      <c r="T61" cm="1">
        <f t="array" aca="1" ref="T61" ca="1">SUMPRODUCT(LARGE('For stats end Y points'!$B61:T61,ROW(INDIRECT("1:"&amp;MIN(24,COUNT('For stats end Y points'!$B61:T61))))))</f>
        <v>154</v>
      </c>
      <c r="U61" cm="1">
        <f t="array" aca="1" ref="U61" ca="1">SUMPRODUCT(LARGE('For stats end Y points'!$B61:U61,ROW(INDIRECT("1:"&amp;MIN(24,COUNT('For stats end Y points'!$B61:U61))))))</f>
        <v>162</v>
      </c>
      <c r="V61" cm="1">
        <f t="array" aca="1" ref="V61" ca="1">SUMPRODUCT(LARGE('For stats end Y points'!$B61:V61,ROW(INDIRECT("1:"&amp;MIN(24,COUNT('For stats end Y points'!$B61:V61))))))</f>
        <v>175</v>
      </c>
      <c r="W61" cm="1">
        <f t="array" aca="1" ref="W61" ca="1">SUMPRODUCT(LARGE('For stats end Y points'!$B61:W61,ROW(INDIRECT("1:"&amp;MIN(24,COUNT('For stats end Y points'!$B61:W61))))))</f>
        <v>176</v>
      </c>
      <c r="X61" cm="1">
        <f t="array" aca="1" ref="X61" ca="1">SUMPRODUCT(LARGE('For stats end Y points'!$B61:X61,ROW(INDIRECT("1:"&amp;MIN(24,COUNT('For stats end Y points'!$B61:X61))))))</f>
        <v>178</v>
      </c>
      <c r="Y61" cm="1">
        <f t="array" aca="1" ref="Y61" ca="1">SUMPRODUCT(LARGE('For stats end Y points'!$B61:Y61,ROW(INDIRECT("1:"&amp;MIN(24,COUNT('For stats end Y points'!$B61:Y61))))))</f>
        <v>181</v>
      </c>
      <c r="Z61" cm="1">
        <f t="array" aca="1" ref="Z61" ca="1">SUMPRODUCT(LARGE('For stats end Y points'!$B61:Z61,ROW(INDIRECT("1:"&amp;MIN(24,COUNT('For stats end Y points'!$B61:Z61))))))</f>
        <v>181</v>
      </c>
      <c r="AA61" cm="1">
        <f t="array" aca="1" ref="AA61" ca="1">SUMPRODUCT(LARGE('For stats end Y points'!$B61:AA61,ROW(INDIRECT("1:"&amp;MIN(24,COUNT('For stats end Y points'!$B61:AA61))))))</f>
        <v>188</v>
      </c>
      <c r="AB61" cm="1">
        <f t="array" aca="1" ref="AB61" ca="1">SUMPRODUCT(LARGE('For stats end Y points'!$B61:AB61,ROW(INDIRECT("1:"&amp;MIN(24,COUNT('For stats end Y points'!$B61:AB61))))))</f>
        <v>203</v>
      </c>
      <c r="AC61" cm="1">
        <f t="array" aca="1" ref="AC61" ca="1">SUMPRODUCT(LARGE('For stats end Y points'!$B61:AC61,ROW(INDIRECT("1:"&amp;MIN(24,COUNT('For stats end Y points'!$B61:AC61))))))</f>
        <v>219</v>
      </c>
      <c r="AD61" cm="1">
        <f t="array" aca="1" ref="AD61" ca="1">SUMPRODUCT(LARGE('For stats end Y points'!$B61:AD61,ROW(INDIRECT("1:"&amp;MIN(24,COUNT('For stats end Y points'!$B61:AD61))))))</f>
        <v>235</v>
      </c>
      <c r="AE61" cm="1">
        <f t="array" aca="1" ref="AE61" ca="1">SUMPRODUCT(LARGE('For stats end Y points'!$B61:AE61,ROW(INDIRECT("1:"&amp;MIN(24,COUNT('For stats end Y points'!$B61:AE61))))))</f>
        <v>236</v>
      </c>
      <c r="AF61" cm="1">
        <f t="array" aca="1" ref="AF61" ca="1">SUMPRODUCT(LARGE('For stats end Y points'!$B61:AF61,ROW(INDIRECT("1:"&amp;MIN(24,COUNT('For stats end Y points'!$B61:AF61))))))</f>
        <v>243</v>
      </c>
      <c r="AG61" cm="1">
        <f t="array" aca="1" ref="AG61" ca="1">SUMPRODUCT(LARGE('For stats end Y points'!$B61:AG61,ROW(INDIRECT("1:"&amp;MIN(24,COUNT('For stats end Y points'!$B61:AG61))))))</f>
        <v>253</v>
      </c>
      <c r="AH61" cm="1">
        <f t="array" aca="1" ref="AH61" ca="1">SUMPRODUCT(LARGE('For stats end Y points'!$B61:AH61,ROW(INDIRECT("1:"&amp;MIN(24,COUNT('For stats end Y points'!$B61:AH61))))))</f>
        <v>254</v>
      </c>
      <c r="AP61" s="10">
        <f t="shared" si="0"/>
        <v>0</v>
      </c>
      <c r="AQ61">
        <f>'For stats end Y class'!AU61</f>
        <v>33</v>
      </c>
    </row>
    <row r="62" spans="1:43" x14ac:dyDescent="0.2">
      <c r="A62" t="str">
        <f>'For stats end Y points'!A62</f>
        <v>Mandrake</v>
      </c>
      <c r="B62" cm="1">
        <f t="array" aca="1" ref="B62" ca="1">SUMPRODUCT(LARGE('For stats end Y points'!$B62:B62,ROW(INDIRECT("1:"&amp;MIN(24,COUNT('For stats end Y points'!$B62:B62))))))</f>
        <v>16</v>
      </c>
      <c r="C62" cm="1">
        <f t="array" aca="1" ref="C62" ca="1">SUMPRODUCT(LARGE('For stats end Y points'!$B62:C62,ROW(INDIRECT("1:"&amp;MIN(24,COUNT('For stats end Y points'!$B62:C62))))))</f>
        <v>24</v>
      </c>
      <c r="D62" cm="1">
        <f t="array" aca="1" ref="D62" ca="1">SUMPRODUCT(LARGE('For stats end Y points'!$B62:D62,ROW(INDIRECT("1:"&amp;MIN(24,COUNT('For stats end Y points'!$B62:D62))))))</f>
        <v>37</v>
      </c>
      <c r="E62" cm="1">
        <f t="array" aca="1" ref="E62" ca="1">SUMPRODUCT(LARGE('For stats end Y points'!$B62:E62,ROW(INDIRECT("1:"&amp;MIN(24,COUNT('For stats end Y points'!$B62:E62))))))</f>
        <v>42</v>
      </c>
      <c r="F62" cm="1">
        <f t="array" aca="1" ref="F62" ca="1">SUMPRODUCT(LARGE('For stats end Y points'!$B62:F62,ROW(INDIRECT("1:"&amp;MIN(24,COUNT('For stats end Y points'!$B62:F62))))))</f>
        <v>43</v>
      </c>
      <c r="G62" cm="1">
        <f t="array" aca="1" ref="G62" ca="1">SUMPRODUCT(LARGE('For stats end Y points'!$B62:G62,ROW(INDIRECT("1:"&amp;MIN(24,COUNT('For stats end Y points'!$B62:G62))))))</f>
        <v>48</v>
      </c>
      <c r="H62" cm="1">
        <f t="array" aca="1" ref="H62" ca="1">SUMPRODUCT(LARGE('For stats end Y points'!$B62:H62,ROW(INDIRECT("1:"&amp;MIN(24,COUNT('For stats end Y points'!$B62:H62))))))</f>
        <v>64</v>
      </c>
      <c r="I62" cm="1">
        <f t="array" aca="1" ref="I62" ca="1">SUMPRODUCT(LARGE('For stats end Y points'!$B62:I62,ROW(INDIRECT("1:"&amp;MIN(24,COUNT('For stats end Y points'!$B62:I62))))))</f>
        <v>80</v>
      </c>
      <c r="J62" cm="1">
        <f t="array" aca="1" ref="J62" ca="1">SUMPRODUCT(LARGE('For stats end Y points'!$B62:J62,ROW(INDIRECT("1:"&amp;MIN(24,COUNT('For stats end Y points'!$B62:J62))))))</f>
        <v>89</v>
      </c>
      <c r="K62" cm="1">
        <f t="array" aca="1" ref="K62" ca="1">SUMPRODUCT(LARGE('For stats end Y points'!$B62:K62,ROW(INDIRECT("1:"&amp;MIN(24,COUNT('For stats end Y points'!$B62:K62))))))</f>
        <v>92</v>
      </c>
      <c r="L62" cm="1">
        <f t="array" aca="1" ref="L62" ca="1">SUMPRODUCT(LARGE('For stats end Y points'!$B62:L62,ROW(INDIRECT("1:"&amp;MIN(24,COUNT('For stats end Y points'!$B62:L62))))))</f>
        <v>95</v>
      </c>
      <c r="M62" cm="1">
        <f t="array" aca="1" ref="M62" ca="1">SUMPRODUCT(LARGE('For stats end Y points'!$B62:M62,ROW(INDIRECT("1:"&amp;MIN(24,COUNT('For stats end Y points'!$B62:M62))))))</f>
        <v>111</v>
      </c>
      <c r="N62" cm="1">
        <f t="array" aca="1" ref="N62" ca="1">SUMPRODUCT(LARGE('For stats end Y points'!$B62:N62,ROW(INDIRECT("1:"&amp;MIN(24,COUNT('For stats end Y points'!$B62:N62))))))</f>
        <v>113</v>
      </c>
      <c r="O62" cm="1">
        <f t="array" aca="1" ref="O62" ca="1">SUMPRODUCT(LARGE('For stats end Y points'!$B62:O62,ROW(INDIRECT("1:"&amp;MIN(24,COUNT('For stats end Y points'!$B62:O62))))))</f>
        <v>114</v>
      </c>
      <c r="P62" cm="1">
        <f t="array" aca="1" ref="P62" ca="1">SUMPRODUCT(LARGE('For stats end Y points'!$B62:P62,ROW(INDIRECT("1:"&amp;MIN(24,COUNT('For stats end Y points'!$B62:P62))))))</f>
        <v>119</v>
      </c>
      <c r="Q62" cm="1">
        <f t="array" aca="1" ref="Q62" ca="1">SUMPRODUCT(LARGE('For stats end Y points'!$B62:Q62,ROW(INDIRECT("1:"&amp;MIN(24,COUNT('For stats end Y points'!$B62:Q62))))))</f>
        <v>119</v>
      </c>
      <c r="R62" cm="1">
        <f t="array" aca="1" ref="R62" ca="1">SUMPRODUCT(LARGE('For stats end Y points'!$B62:R62,ROW(INDIRECT("1:"&amp;MIN(24,COUNT('For stats end Y points'!$B62:R62))))))</f>
        <v>124</v>
      </c>
      <c r="S62" cm="1">
        <f t="array" aca="1" ref="S62" ca="1">SUMPRODUCT(LARGE('For stats end Y points'!$B62:S62,ROW(INDIRECT("1:"&amp;MIN(24,COUNT('For stats end Y points'!$B62:S62))))))</f>
        <v>141</v>
      </c>
      <c r="T62" cm="1">
        <f t="array" aca="1" ref="T62" ca="1">SUMPRODUCT(LARGE('For stats end Y points'!$B62:T62,ROW(INDIRECT("1:"&amp;MIN(24,COUNT('For stats end Y points'!$B62:T62))))))</f>
        <v>142</v>
      </c>
      <c r="U62" cm="1">
        <f t="array" aca="1" ref="U62" ca="1">SUMPRODUCT(LARGE('For stats end Y points'!$B62:U62,ROW(INDIRECT("1:"&amp;MIN(24,COUNT('For stats end Y points'!$B62:U62))))))</f>
        <v>158</v>
      </c>
      <c r="V62" cm="1">
        <f t="array" aca="1" ref="V62" ca="1">SUMPRODUCT(LARGE('For stats end Y points'!$B62:V62,ROW(INDIRECT("1:"&amp;MIN(24,COUNT('For stats end Y points'!$B62:V62))))))</f>
        <v>170</v>
      </c>
      <c r="W62" cm="1">
        <f t="array" aca="1" ref="W62" ca="1">SUMPRODUCT(LARGE('For stats end Y points'!$B62:W62,ROW(INDIRECT("1:"&amp;MIN(24,COUNT('For stats end Y points'!$B62:W62))))))</f>
        <v>183</v>
      </c>
      <c r="X62" cm="1">
        <f t="array" aca="1" ref="X62" ca="1">SUMPRODUCT(LARGE('For stats end Y points'!$B62:X62,ROW(INDIRECT("1:"&amp;MIN(24,COUNT('For stats end Y points'!$B62:X62))))))</f>
        <v>188</v>
      </c>
      <c r="Y62" cm="1">
        <f t="array" aca="1" ref="Y62" ca="1">SUMPRODUCT(LARGE('For stats end Y points'!$B62:Y62,ROW(INDIRECT("1:"&amp;MIN(24,COUNT('For stats end Y points'!$B62:Y62))))))</f>
        <v>205</v>
      </c>
      <c r="Z62" cm="1">
        <f t="array" aca="1" ref="Z62" ca="1">SUMPRODUCT(LARGE('For stats end Y points'!$B62:Z62,ROW(INDIRECT("1:"&amp;MIN(24,COUNT('For stats end Y points'!$B62:Z62))))))</f>
        <v>221</v>
      </c>
      <c r="AA62" cm="1">
        <f t="array" aca="1" ref="AA62" ca="1">SUMPRODUCT(LARGE('For stats end Y points'!$B62:AA62,ROW(INDIRECT("1:"&amp;MIN(24,COUNT('For stats end Y points'!$B62:AA62))))))</f>
        <v>228</v>
      </c>
      <c r="AB62" cm="1">
        <f t="array" aca="1" ref="AB62" ca="1">SUMPRODUCT(LARGE('For stats end Y points'!$B62:AB62,ROW(INDIRECT("1:"&amp;MIN(24,COUNT('For stats end Y points'!$B62:AB62))))))</f>
        <v>228</v>
      </c>
      <c r="AC62" cm="1">
        <f t="array" aca="1" ref="AC62" ca="1">SUMPRODUCT(LARGE('For stats end Y points'!$B62:AC62,ROW(INDIRECT("1:"&amp;MIN(24,COUNT('For stats end Y points'!$B62:AC62))))))</f>
        <v>228</v>
      </c>
      <c r="AD62" cm="1">
        <f t="array" aca="1" ref="AD62" ca="1">SUMPRODUCT(LARGE('For stats end Y points'!$B62:AD62,ROW(INDIRECT("1:"&amp;MIN(24,COUNT('For stats end Y points'!$B62:AD62))))))</f>
        <v>243</v>
      </c>
      <c r="AE62" cm="1">
        <f t="array" aca="1" ref="AE62" ca="1">SUMPRODUCT(LARGE('For stats end Y points'!$B62:AE62,ROW(INDIRECT("1:"&amp;MIN(24,COUNT('For stats end Y points'!$B62:AE62))))))</f>
        <v>258</v>
      </c>
      <c r="AF62" cm="1">
        <f t="array" aca="1" ref="AF62" ca="1">SUMPRODUCT(LARGE('For stats end Y points'!$B62:AF62,ROW(INDIRECT("1:"&amp;MIN(24,COUNT('For stats end Y points'!$B62:AF62))))))</f>
        <v>258</v>
      </c>
      <c r="AG62" cm="1">
        <f t="array" aca="1" ref="AG62" ca="1">SUMPRODUCT(LARGE('For stats end Y points'!$B62:AG62,ROW(INDIRECT("1:"&amp;MIN(24,COUNT('For stats end Y points'!$B62:AG62))))))</f>
        <v>258</v>
      </c>
      <c r="AH62" cm="1">
        <f t="array" aca="1" ref="AH62" ca="1">SUMPRODUCT(LARGE('For stats end Y points'!$B62:AH62,ROW(INDIRECT("1:"&amp;MIN(24,COUNT('For stats end Y points'!$B62:AH62))))))</f>
        <v>272</v>
      </c>
      <c r="AP62" s="10">
        <f t="shared" si="0"/>
        <v>0</v>
      </c>
      <c r="AQ62">
        <f>'For stats end Y class'!AU62</f>
        <v>31</v>
      </c>
    </row>
    <row r="63" spans="1:43" x14ac:dyDescent="0.2">
      <c r="A63" t="str">
        <f>'For stats end Y points'!A63</f>
        <v>Matteo</v>
      </c>
      <c r="B63" cm="1">
        <f t="array" aca="1" ref="B63" ca="1">SUMPRODUCT(LARGE('For stats end Y points'!$B63:B63,ROW(INDIRECT("1:"&amp;MIN(24,COUNT('For stats end Y points'!$B63:B63))))))</f>
        <v>0</v>
      </c>
      <c r="C63" cm="1">
        <f t="array" aca="1" ref="C63" ca="1">SUMPRODUCT(LARGE('For stats end Y points'!$B63:C63,ROW(INDIRECT("1:"&amp;MIN(24,COUNT('For stats end Y points'!$B63:C63))))))</f>
        <v>0</v>
      </c>
      <c r="D63" cm="1">
        <f t="array" aca="1" ref="D63" ca="1">SUMPRODUCT(LARGE('For stats end Y points'!$B63:D63,ROW(INDIRECT("1:"&amp;MIN(24,COUNT('For stats end Y points'!$B63:D63))))))</f>
        <v>0</v>
      </c>
      <c r="E63" cm="1">
        <f t="array" aca="1" ref="E63" ca="1">SUMPRODUCT(LARGE('For stats end Y points'!$B63:E63,ROW(INDIRECT("1:"&amp;MIN(24,COUNT('For stats end Y points'!$B63:E63))))))</f>
        <v>0</v>
      </c>
      <c r="F63" cm="1">
        <f t="array" aca="1" ref="F63" ca="1">SUMPRODUCT(LARGE('For stats end Y points'!$B63:F63,ROW(INDIRECT("1:"&amp;MIN(24,COUNT('For stats end Y points'!$B63:F63))))))</f>
        <v>0</v>
      </c>
      <c r="G63" cm="1">
        <f t="array" aca="1" ref="G63" ca="1">SUMPRODUCT(LARGE('For stats end Y points'!$B63:G63,ROW(INDIRECT("1:"&amp;MIN(24,COUNT('For stats end Y points'!$B63:G63))))))</f>
        <v>0</v>
      </c>
      <c r="H63" cm="1">
        <f t="array" aca="1" ref="H63" ca="1">SUMPRODUCT(LARGE('For stats end Y points'!$B63:H63,ROW(INDIRECT("1:"&amp;MIN(24,COUNT('For stats end Y points'!$B63:H63))))))</f>
        <v>0</v>
      </c>
      <c r="I63" cm="1">
        <f t="array" aca="1" ref="I63" ca="1">SUMPRODUCT(LARGE('For stats end Y points'!$B63:I63,ROW(INDIRECT("1:"&amp;MIN(24,COUNT('For stats end Y points'!$B63:I63))))))</f>
        <v>0</v>
      </c>
      <c r="J63" cm="1">
        <f t="array" aca="1" ref="J63" ca="1">SUMPRODUCT(LARGE('For stats end Y points'!$B63:J63,ROW(INDIRECT("1:"&amp;MIN(24,COUNT('For stats end Y points'!$B63:J63))))))</f>
        <v>0</v>
      </c>
      <c r="K63" cm="1">
        <f t="array" aca="1" ref="K63" ca="1">SUMPRODUCT(LARGE('For stats end Y points'!$B63:K63,ROW(INDIRECT("1:"&amp;MIN(24,COUNT('For stats end Y points'!$B63:K63))))))</f>
        <v>0</v>
      </c>
      <c r="L63" cm="1">
        <f t="array" aca="1" ref="L63" ca="1">SUMPRODUCT(LARGE('For stats end Y points'!$B63:L63,ROW(INDIRECT("1:"&amp;MIN(24,COUNT('For stats end Y points'!$B63:L63))))))</f>
        <v>0</v>
      </c>
      <c r="M63" cm="1">
        <f t="array" aca="1" ref="M63" ca="1">SUMPRODUCT(LARGE('For stats end Y points'!$B63:M63,ROW(INDIRECT("1:"&amp;MIN(24,COUNT('For stats end Y points'!$B63:M63))))))</f>
        <v>0</v>
      </c>
      <c r="N63" cm="1">
        <f t="array" aca="1" ref="N63" ca="1">SUMPRODUCT(LARGE('For stats end Y points'!$B63:N63,ROW(INDIRECT("1:"&amp;MIN(24,COUNT('For stats end Y points'!$B63:N63))))))</f>
        <v>0</v>
      </c>
      <c r="O63" cm="1">
        <f t="array" aca="1" ref="O63" ca="1">SUMPRODUCT(LARGE('For stats end Y points'!$B63:O63,ROW(INDIRECT("1:"&amp;MIN(24,COUNT('For stats end Y points'!$B63:O63))))))</f>
        <v>0</v>
      </c>
      <c r="P63" cm="1">
        <f t="array" aca="1" ref="P63" ca="1">SUMPRODUCT(LARGE('For stats end Y points'!$B63:P63,ROW(INDIRECT("1:"&amp;MIN(24,COUNT('For stats end Y points'!$B63:P63))))))</f>
        <v>0</v>
      </c>
      <c r="Q63" cm="1">
        <f t="array" aca="1" ref="Q63" ca="1">SUMPRODUCT(LARGE('For stats end Y points'!$B63:Q63,ROW(INDIRECT("1:"&amp;MIN(24,COUNT('For stats end Y points'!$B63:Q63))))))</f>
        <v>0</v>
      </c>
      <c r="R63" cm="1">
        <f t="array" aca="1" ref="R63" ca="1">SUMPRODUCT(LARGE('For stats end Y points'!$B63:R63,ROW(INDIRECT("1:"&amp;MIN(24,COUNT('For stats end Y points'!$B63:R63))))))</f>
        <v>0</v>
      </c>
      <c r="S63" cm="1">
        <f t="array" aca="1" ref="S63" ca="1">SUMPRODUCT(LARGE('For stats end Y points'!$B63:S63,ROW(INDIRECT("1:"&amp;MIN(24,COUNT('For stats end Y points'!$B63:S63))))))</f>
        <v>0</v>
      </c>
      <c r="T63" cm="1">
        <f t="array" aca="1" ref="T63" ca="1">SUMPRODUCT(LARGE('For stats end Y points'!$B63:T63,ROW(INDIRECT("1:"&amp;MIN(24,COUNT('For stats end Y points'!$B63:T63))))))</f>
        <v>0</v>
      </c>
      <c r="U63" cm="1">
        <f t="array" aca="1" ref="U63" ca="1">SUMPRODUCT(LARGE('For stats end Y points'!$B63:U63,ROW(INDIRECT("1:"&amp;MIN(24,COUNT('For stats end Y points'!$B63:U63))))))</f>
        <v>0</v>
      </c>
      <c r="V63" cm="1">
        <f t="array" aca="1" ref="V63" ca="1">SUMPRODUCT(LARGE('For stats end Y points'!$B63:V63,ROW(INDIRECT("1:"&amp;MIN(24,COUNT('For stats end Y points'!$B63:V63))))))</f>
        <v>0</v>
      </c>
      <c r="W63" cm="1">
        <f t="array" aca="1" ref="W63" ca="1">SUMPRODUCT(LARGE('For stats end Y points'!$B63:W63,ROW(INDIRECT("1:"&amp;MIN(24,COUNT('For stats end Y points'!$B63:W63))))))</f>
        <v>0</v>
      </c>
      <c r="X63" cm="1">
        <f t="array" aca="1" ref="X63" ca="1">SUMPRODUCT(LARGE('For stats end Y points'!$B63:X63,ROW(INDIRECT("1:"&amp;MIN(24,COUNT('For stats end Y points'!$B63:X63))))))</f>
        <v>5</v>
      </c>
      <c r="Y63" cm="1">
        <f t="array" aca="1" ref="Y63" ca="1">SUMPRODUCT(LARGE('For stats end Y points'!$B63:Y63,ROW(INDIRECT("1:"&amp;MIN(24,COUNT('For stats end Y points'!$B63:Y63))))))</f>
        <v>5</v>
      </c>
      <c r="Z63" cm="1">
        <f t="array" aca="1" ref="Z63" ca="1">SUMPRODUCT(LARGE('For stats end Y points'!$B63:Z63,ROW(INDIRECT("1:"&amp;MIN(24,COUNT('For stats end Y points'!$B63:Z63))))))</f>
        <v>5</v>
      </c>
      <c r="AA63" cm="1">
        <f t="array" aca="1" ref="AA63" ca="1">SUMPRODUCT(LARGE('For stats end Y points'!$B63:AA63,ROW(INDIRECT("1:"&amp;MIN(24,COUNT('For stats end Y points'!$B63:AA63))))))</f>
        <v>5</v>
      </c>
      <c r="AB63" cm="1">
        <f t="array" aca="1" ref="AB63" ca="1">SUMPRODUCT(LARGE('For stats end Y points'!$B63:AB63,ROW(INDIRECT("1:"&amp;MIN(24,COUNT('For stats end Y points'!$B63:AB63))))))</f>
        <v>5</v>
      </c>
      <c r="AC63" cm="1">
        <f t="array" aca="1" ref="AC63" ca="1">SUMPRODUCT(LARGE('For stats end Y points'!$B63:AC63,ROW(INDIRECT("1:"&amp;MIN(24,COUNT('For stats end Y points'!$B63:AC63))))))</f>
        <v>5</v>
      </c>
      <c r="AD63" cm="1">
        <f t="array" aca="1" ref="AD63" ca="1">SUMPRODUCT(LARGE('For stats end Y points'!$B63:AD63,ROW(INDIRECT("1:"&amp;MIN(24,COUNT('For stats end Y points'!$B63:AD63))))))</f>
        <v>5</v>
      </c>
      <c r="AE63" cm="1">
        <f t="array" aca="1" ref="AE63" ca="1">SUMPRODUCT(LARGE('For stats end Y points'!$B63:AE63,ROW(INDIRECT("1:"&amp;MIN(24,COUNT('For stats end Y points'!$B63:AE63))))))</f>
        <v>5</v>
      </c>
      <c r="AF63" cm="1">
        <f t="array" aca="1" ref="AF63" ca="1">SUMPRODUCT(LARGE('For stats end Y points'!$B63:AF63,ROW(INDIRECT("1:"&amp;MIN(24,COUNT('For stats end Y points'!$B63:AF63))))))</f>
        <v>5</v>
      </c>
      <c r="AG63" cm="1">
        <f t="array" aca="1" ref="AG63" ca="1">SUMPRODUCT(LARGE('For stats end Y points'!$B63:AG63,ROW(INDIRECT("1:"&amp;MIN(24,COUNT('For stats end Y points'!$B63:AG63))))))</f>
        <v>5</v>
      </c>
      <c r="AH63" cm="1">
        <f t="array" aca="1" ref="AH63" ca="1">SUMPRODUCT(LARGE('For stats end Y points'!$B63:AH63,ROW(INDIRECT("1:"&amp;MIN(24,COUNT('For stats end Y points'!$B63:AH63))))))</f>
        <v>5</v>
      </c>
      <c r="AP63" s="10">
        <f t="shared" si="0"/>
        <v>0</v>
      </c>
      <c r="AQ63">
        <f>'For stats end Y class'!AU63</f>
        <v>1</v>
      </c>
    </row>
    <row r="64" spans="1:43" x14ac:dyDescent="0.2">
      <c r="A64" t="str">
        <f>'For stats end Y points'!A64</f>
        <v>Maxime K</v>
      </c>
      <c r="B64" cm="1">
        <f t="array" aca="1" ref="B64" ca="1">SUMPRODUCT(LARGE('For stats end Y points'!$B64:B64,ROW(INDIRECT("1:"&amp;MIN(24,COUNT('For stats end Y points'!$B64:B64))))))</f>
        <v>0</v>
      </c>
      <c r="C64" cm="1">
        <f t="array" aca="1" ref="C64" ca="1">SUMPRODUCT(LARGE('For stats end Y points'!$B64:C64,ROW(INDIRECT("1:"&amp;MIN(24,COUNT('For stats end Y points'!$B64:C64))))))</f>
        <v>0</v>
      </c>
      <c r="D64" cm="1">
        <f t="array" aca="1" ref="D64" ca="1">SUMPRODUCT(LARGE('For stats end Y points'!$B64:D64,ROW(INDIRECT("1:"&amp;MIN(24,COUNT('For stats end Y points'!$B64:D64))))))</f>
        <v>0</v>
      </c>
      <c r="E64" cm="1">
        <f t="array" aca="1" ref="E64" ca="1">SUMPRODUCT(LARGE('For stats end Y points'!$B64:E64,ROW(INDIRECT("1:"&amp;MIN(24,COUNT('For stats end Y points'!$B64:E64))))))</f>
        <v>0</v>
      </c>
      <c r="F64" cm="1">
        <f t="array" aca="1" ref="F64" ca="1">SUMPRODUCT(LARGE('For stats end Y points'!$B64:F64,ROW(INDIRECT("1:"&amp;MIN(24,COUNT('For stats end Y points'!$B64:F64))))))</f>
        <v>0</v>
      </c>
      <c r="G64" cm="1">
        <f t="array" aca="1" ref="G64" ca="1">SUMPRODUCT(LARGE('For stats end Y points'!$B64:G64,ROW(INDIRECT("1:"&amp;MIN(24,COUNT('For stats end Y points'!$B64:G64))))))</f>
        <v>0</v>
      </c>
      <c r="H64" cm="1">
        <f t="array" aca="1" ref="H64" ca="1">SUMPRODUCT(LARGE('For stats end Y points'!$B64:H64,ROW(INDIRECT("1:"&amp;MIN(24,COUNT('For stats end Y points'!$B64:H64))))))</f>
        <v>0</v>
      </c>
      <c r="I64" cm="1">
        <f t="array" aca="1" ref="I64" ca="1">SUMPRODUCT(LARGE('For stats end Y points'!$B64:I64,ROW(INDIRECT("1:"&amp;MIN(24,COUNT('For stats end Y points'!$B64:I64))))))</f>
        <v>0</v>
      </c>
      <c r="J64" cm="1">
        <f t="array" aca="1" ref="J64" ca="1">SUMPRODUCT(LARGE('For stats end Y points'!$B64:J64,ROW(INDIRECT("1:"&amp;MIN(24,COUNT('For stats end Y points'!$B64:J64))))))</f>
        <v>0</v>
      </c>
      <c r="K64" cm="1">
        <f t="array" aca="1" ref="K64" ca="1">SUMPRODUCT(LARGE('For stats end Y points'!$B64:K64,ROW(INDIRECT("1:"&amp;MIN(24,COUNT('For stats end Y points'!$B64:K64))))))</f>
        <v>0</v>
      </c>
      <c r="L64" cm="1">
        <f t="array" aca="1" ref="L64" ca="1">SUMPRODUCT(LARGE('For stats end Y points'!$B64:L64,ROW(INDIRECT("1:"&amp;MIN(24,COUNT('For stats end Y points'!$B64:L64))))))</f>
        <v>0</v>
      </c>
      <c r="M64" cm="1">
        <f t="array" aca="1" ref="M64" ca="1">SUMPRODUCT(LARGE('For stats end Y points'!$B64:M64,ROW(INDIRECT("1:"&amp;MIN(24,COUNT('For stats end Y points'!$B64:M64))))))</f>
        <v>0</v>
      </c>
      <c r="N64" cm="1">
        <f t="array" aca="1" ref="N64" ca="1">SUMPRODUCT(LARGE('For stats end Y points'!$B64:N64,ROW(INDIRECT("1:"&amp;MIN(24,COUNT('For stats end Y points'!$B64:N64))))))</f>
        <v>8</v>
      </c>
      <c r="O64" cm="1">
        <f t="array" aca="1" ref="O64" ca="1">SUMPRODUCT(LARGE('For stats end Y points'!$B64:O64,ROW(INDIRECT("1:"&amp;MIN(24,COUNT('For stats end Y points'!$B64:O64))))))</f>
        <v>8</v>
      </c>
      <c r="P64" cm="1">
        <f t="array" aca="1" ref="P64" ca="1">SUMPRODUCT(LARGE('For stats end Y points'!$B64:P64,ROW(INDIRECT("1:"&amp;MIN(24,COUNT('For stats end Y points'!$B64:P64))))))</f>
        <v>8</v>
      </c>
      <c r="Q64" cm="1">
        <f t="array" aca="1" ref="Q64" ca="1">SUMPRODUCT(LARGE('For stats end Y points'!$B64:Q64,ROW(INDIRECT("1:"&amp;MIN(24,COUNT('For stats end Y points'!$B64:Q64))))))</f>
        <v>8</v>
      </c>
      <c r="R64" cm="1">
        <f t="array" aca="1" ref="R64" ca="1">SUMPRODUCT(LARGE('For stats end Y points'!$B64:R64,ROW(INDIRECT("1:"&amp;MIN(24,COUNT('For stats end Y points'!$B64:R64))))))</f>
        <v>8</v>
      </c>
      <c r="S64" cm="1">
        <f t="array" aca="1" ref="S64" ca="1">SUMPRODUCT(LARGE('For stats end Y points'!$B64:S64,ROW(INDIRECT("1:"&amp;MIN(24,COUNT('For stats end Y points'!$B64:S64))))))</f>
        <v>8</v>
      </c>
      <c r="T64" cm="1">
        <f t="array" aca="1" ref="T64" ca="1">SUMPRODUCT(LARGE('For stats end Y points'!$B64:T64,ROW(INDIRECT("1:"&amp;MIN(24,COUNT('For stats end Y points'!$B64:T64))))))</f>
        <v>8</v>
      </c>
      <c r="U64" cm="1">
        <f t="array" aca="1" ref="U64" ca="1">SUMPRODUCT(LARGE('For stats end Y points'!$B64:U64,ROW(INDIRECT("1:"&amp;MIN(24,COUNT('For stats end Y points'!$B64:U64))))))</f>
        <v>8</v>
      </c>
      <c r="V64" cm="1">
        <f t="array" aca="1" ref="V64" ca="1">SUMPRODUCT(LARGE('For stats end Y points'!$B64:V64,ROW(INDIRECT("1:"&amp;MIN(24,COUNT('For stats end Y points'!$B64:V64))))))</f>
        <v>8</v>
      </c>
      <c r="W64" cm="1">
        <f t="array" aca="1" ref="W64" ca="1">SUMPRODUCT(LARGE('For stats end Y points'!$B64:W64,ROW(INDIRECT("1:"&amp;MIN(24,COUNT('For stats end Y points'!$B64:W64))))))</f>
        <v>8</v>
      </c>
      <c r="X64" cm="1">
        <f t="array" aca="1" ref="X64" ca="1">SUMPRODUCT(LARGE('For stats end Y points'!$B64:X64,ROW(INDIRECT("1:"&amp;MIN(24,COUNT('For stats end Y points'!$B64:X64))))))</f>
        <v>8</v>
      </c>
      <c r="Y64" cm="1">
        <f t="array" aca="1" ref="Y64" ca="1">SUMPRODUCT(LARGE('For stats end Y points'!$B64:Y64,ROW(INDIRECT("1:"&amp;MIN(24,COUNT('For stats end Y points'!$B64:Y64))))))</f>
        <v>8</v>
      </c>
      <c r="Z64" cm="1">
        <f t="array" aca="1" ref="Z64" ca="1">SUMPRODUCT(LARGE('For stats end Y points'!$B64:Z64,ROW(INDIRECT("1:"&amp;MIN(24,COUNT('For stats end Y points'!$B64:Z64))))))</f>
        <v>8</v>
      </c>
      <c r="AA64" cm="1">
        <f t="array" aca="1" ref="AA64" ca="1">SUMPRODUCT(LARGE('For stats end Y points'!$B64:AA64,ROW(INDIRECT("1:"&amp;MIN(24,COUNT('For stats end Y points'!$B64:AA64))))))</f>
        <v>8</v>
      </c>
      <c r="AB64" cm="1">
        <f t="array" aca="1" ref="AB64" ca="1">SUMPRODUCT(LARGE('For stats end Y points'!$B64:AB64,ROW(INDIRECT("1:"&amp;MIN(24,COUNT('For stats end Y points'!$B64:AB64))))))</f>
        <v>8</v>
      </c>
      <c r="AC64" cm="1">
        <f t="array" aca="1" ref="AC64" ca="1">SUMPRODUCT(LARGE('For stats end Y points'!$B64:AC64,ROW(INDIRECT("1:"&amp;MIN(24,COUNT('For stats end Y points'!$B64:AC64))))))</f>
        <v>8</v>
      </c>
      <c r="AD64" cm="1">
        <f t="array" aca="1" ref="AD64" ca="1">SUMPRODUCT(LARGE('For stats end Y points'!$B64:AD64,ROW(INDIRECT("1:"&amp;MIN(24,COUNT('For stats end Y points'!$B64:AD64))))))</f>
        <v>8</v>
      </c>
      <c r="AE64" cm="1">
        <f t="array" aca="1" ref="AE64" ca="1">SUMPRODUCT(LARGE('For stats end Y points'!$B64:AE64,ROW(INDIRECT("1:"&amp;MIN(24,COUNT('For stats end Y points'!$B64:AE64))))))</f>
        <v>8</v>
      </c>
      <c r="AF64" cm="1">
        <f t="array" aca="1" ref="AF64" ca="1">SUMPRODUCT(LARGE('For stats end Y points'!$B64:AF64,ROW(INDIRECT("1:"&amp;MIN(24,COUNT('For stats end Y points'!$B64:AF64))))))</f>
        <v>8</v>
      </c>
      <c r="AG64" cm="1">
        <f t="array" aca="1" ref="AG64" ca="1">SUMPRODUCT(LARGE('For stats end Y points'!$B64:AG64,ROW(INDIRECT("1:"&amp;MIN(24,COUNT('For stats end Y points'!$B64:AG64))))))</f>
        <v>8</v>
      </c>
      <c r="AH64" cm="1">
        <f t="array" aca="1" ref="AH64" ca="1">SUMPRODUCT(LARGE('For stats end Y points'!$B64:AH64,ROW(INDIRECT("1:"&amp;MIN(24,COUNT('For stats end Y points'!$B64:AH64))))))</f>
        <v>8</v>
      </c>
      <c r="AP64" s="10">
        <f t="shared" si="0"/>
        <v>0</v>
      </c>
      <c r="AQ64">
        <f>'For stats end Y class'!AU64</f>
        <v>1</v>
      </c>
    </row>
    <row r="65" spans="1:43" x14ac:dyDescent="0.2">
      <c r="A65" t="str">
        <f>'For stats end Y points'!A65</f>
        <v>MegaSouche</v>
      </c>
      <c r="B65" cm="1">
        <f t="array" aca="1" ref="B65" ca="1">SUMPRODUCT(LARGE('For stats end Y points'!$B65:B65,ROW(INDIRECT("1:"&amp;MIN(24,COUNT('For stats end Y points'!$B65:B65))))))</f>
        <v>0</v>
      </c>
      <c r="C65" cm="1">
        <f t="array" aca="1" ref="C65" ca="1">SUMPRODUCT(LARGE('For stats end Y points'!$B65:C65,ROW(INDIRECT("1:"&amp;MIN(24,COUNT('For stats end Y points'!$B65:C65))))))</f>
        <v>16</v>
      </c>
      <c r="D65" cm="1">
        <f t="array" aca="1" ref="D65" ca="1">SUMPRODUCT(LARGE('For stats end Y points'!$B65:D65,ROW(INDIRECT("1:"&amp;MIN(24,COUNT('For stats end Y points'!$B65:D65))))))</f>
        <v>24</v>
      </c>
      <c r="E65" cm="1">
        <f t="array" aca="1" ref="E65" ca="1">SUMPRODUCT(LARGE('For stats end Y points'!$B65:E65,ROW(INDIRECT("1:"&amp;MIN(24,COUNT('For stats end Y points'!$B65:E65))))))</f>
        <v>25</v>
      </c>
      <c r="F65" cm="1">
        <f t="array" aca="1" ref="F65" ca="1">SUMPRODUCT(LARGE('For stats end Y points'!$B65:F65,ROW(INDIRECT("1:"&amp;MIN(24,COUNT('For stats end Y points'!$B65:F65))))))</f>
        <v>40</v>
      </c>
      <c r="G65" cm="1">
        <f t="array" aca="1" ref="G65" ca="1">SUMPRODUCT(LARGE('For stats end Y points'!$B65:G65,ROW(INDIRECT("1:"&amp;MIN(24,COUNT('For stats end Y points'!$B65:G65))))))</f>
        <v>56</v>
      </c>
      <c r="H65" cm="1">
        <f t="array" aca="1" ref="H65" ca="1">SUMPRODUCT(LARGE('For stats end Y points'!$B65:H65,ROW(INDIRECT("1:"&amp;MIN(24,COUNT('For stats end Y points'!$B65:H65))))))</f>
        <v>58</v>
      </c>
      <c r="I65" cm="1">
        <f t="array" aca="1" ref="I65" ca="1">SUMPRODUCT(LARGE('For stats end Y points'!$B65:I65,ROW(INDIRECT("1:"&amp;MIN(24,COUNT('For stats end Y points'!$B65:I65))))))</f>
        <v>75</v>
      </c>
      <c r="J65" cm="1">
        <f t="array" aca="1" ref="J65" ca="1">SUMPRODUCT(LARGE('For stats end Y points'!$B65:J65,ROW(INDIRECT("1:"&amp;MIN(24,COUNT('For stats end Y points'!$B65:J65))))))</f>
        <v>75</v>
      </c>
      <c r="K65" cm="1">
        <f t="array" aca="1" ref="K65" ca="1">SUMPRODUCT(LARGE('For stats end Y points'!$B65:K65,ROW(INDIRECT("1:"&amp;MIN(24,COUNT('For stats end Y points'!$B65:K65))))))</f>
        <v>83</v>
      </c>
      <c r="L65" cm="1">
        <f t="array" aca="1" ref="L65" ca="1">SUMPRODUCT(LARGE('For stats end Y points'!$B65:L65,ROW(INDIRECT("1:"&amp;MIN(24,COUNT('For stats end Y points'!$B65:L65))))))</f>
        <v>99</v>
      </c>
      <c r="M65" cm="1">
        <f t="array" aca="1" ref="M65" ca="1">SUMPRODUCT(LARGE('For stats end Y points'!$B65:M65,ROW(INDIRECT("1:"&amp;MIN(24,COUNT('For stats end Y points'!$B65:M65))))))</f>
        <v>100</v>
      </c>
      <c r="N65" cm="1">
        <f t="array" aca="1" ref="N65" ca="1">SUMPRODUCT(LARGE('For stats end Y points'!$B65:N65,ROW(INDIRECT("1:"&amp;MIN(24,COUNT('For stats end Y points'!$B65:N65))))))</f>
        <v>100</v>
      </c>
      <c r="O65" cm="1">
        <f t="array" aca="1" ref="O65" ca="1">SUMPRODUCT(LARGE('For stats end Y points'!$B65:O65,ROW(INDIRECT("1:"&amp;MIN(24,COUNT('For stats end Y points'!$B65:O65))))))</f>
        <v>103</v>
      </c>
      <c r="P65" cm="1">
        <f t="array" aca="1" ref="P65" ca="1">SUMPRODUCT(LARGE('For stats end Y points'!$B65:P65,ROW(INDIRECT("1:"&amp;MIN(24,COUNT('For stats end Y points'!$B65:P65))))))</f>
        <v>103</v>
      </c>
      <c r="Q65" cm="1">
        <f t="array" aca="1" ref="Q65" ca="1">SUMPRODUCT(LARGE('For stats end Y points'!$B65:Q65,ROW(INDIRECT("1:"&amp;MIN(24,COUNT('For stats end Y points'!$B65:Q65))))))</f>
        <v>103</v>
      </c>
      <c r="R65" cm="1">
        <f t="array" aca="1" ref="R65" ca="1">SUMPRODUCT(LARGE('For stats end Y points'!$B65:R65,ROW(INDIRECT("1:"&amp;MIN(24,COUNT('For stats end Y points'!$B65:R65))))))</f>
        <v>120</v>
      </c>
      <c r="S65" cm="1">
        <f t="array" aca="1" ref="S65" ca="1">SUMPRODUCT(LARGE('For stats end Y points'!$B65:S65,ROW(INDIRECT("1:"&amp;MIN(24,COUNT('For stats end Y points'!$B65:S65))))))</f>
        <v>120</v>
      </c>
      <c r="T65" cm="1">
        <f t="array" aca="1" ref="T65" ca="1">SUMPRODUCT(LARGE('For stats end Y points'!$B65:T65,ROW(INDIRECT("1:"&amp;MIN(24,COUNT('For stats end Y points'!$B65:T65))))))</f>
        <v>120</v>
      </c>
      <c r="U65" cm="1">
        <f t="array" aca="1" ref="U65" ca="1">SUMPRODUCT(LARGE('For stats end Y points'!$B65:U65,ROW(INDIRECT("1:"&amp;MIN(24,COUNT('For stats end Y points'!$B65:U65))))))</f>
        <v>120</v>
      </c>
      <c r="V65" cm="1">
        <f t="array" aca="1" ref="V65" ca="1">SUMPRODUCT(LARGE('For stats end Y points'!$B65:V65,ROW(INDIRECT("1:"&amp;MIN(24,COUNT('For stats end Y points'!$B65:V65))))))</f>
        <v>120</v>
      </c>
      <c r="W65" cm="1">
        <f t="array" aca="1" ref="W65" ca="1">SUMPRODUCT(LARGE('For stats end Y points'!$B65:W65,ROW(INDIRECT("1:"&amp;MIN(24,COUNT('For stats end Y points'!$B65:W65))))))</f>
        <v>128</v>
      </c>
      <c r="X65" cm="1">
        <f t="array" aca="1" ref="X65" ca="1">SUMPRODUCT(LARGE('For stats end Y points'!$B65:X65,ROW(INDIRECT("1:"&amp;MIN(24,COUNT('For stats end Y points'!$B65:X65))))))</f>
        <v>128</v>
      </c>
      <c r="Y65" cm="1">
        <f t="array" aca="1" ref="Y65" ca="1">SUMPRODUCT(LARGE('For stats end Y points'!$B65:Y65,ROW(INDIRECT("1:"&amp;MIN(24,COUNT('For stats end Y points'!$B65:Y65))))))</f>
        <v>145</v>
      </c>
      <c r="Z65" cm="1">
        <f t="array" aca="1" ref="Z65" ca="1">SUMPRODUCT(LARGE('For stats end Y points'!$B65:Z65,ROW(INDIRECT("1:"&amp;MIN(24,COUNT('For stats end Y points'!$B65:Z65))))))</f>
        <v>154</v>
      </c>
      <c r="AA65" cm="1">
        <f t="array" aca="1" ref="AA65" ca="1">SUMPRODUCT(LARGE('For stats end Y points'!$B65:AA65,ROW(INDIRECT("1:"&amp;MIN(24,COUNT('For stats end Y points'!$B65:AA65))))))</f>
        <v>154</v>
      </c>
      <c r="AB65" cm="1">
        <f t="array" aca="1" ref="AB65" ca="1">SUMPRODUCT(LARGE('For stats end Y points'!$B65:AB65,ROW(INDIRECT("1:"&amp;MIN(24,COUNT('For stats end Y points'!$B65:AB65))))))</f>
        <v>154</v>
      </c>
      <c r="AC65" cm="1">
        <f t="array" aca="1" ref="AC65" ca="1">SUMPRODUCT(LARGE('For stats end Y points'!$B65:AC65,ROW(INDIRECT("1:"&amp;MIN(24,COUNT('For stats end Y points'!$B65:AC65))))))</f>
        <v>154</v>
      </c>
      <c r="AD65" cm="1">
        <f t="array" aca="1" ref="AD65" ca="1">SUMPRODUCT(LARGE('For stats end Y points'!$B65:AD65,ROW(INDIRECT("1:"&amp;MIN(24,COUNT('For stats end Y points'!$B65:AD65))))))</f>
        <v>162</v>
      </c>
      <c r="AE65" cm="1">
        <f t="array" aca="1" ref="AE65" ca="1">SUMPRODUCT(LARGE('For stats end Y points'!$B65:AE65,ROW(INDIRECT("1:"&amp;MIN(24,COUNT('For stats end Y points'!$B65:AE65))))))</f>
        <v>163</v>
      </c>
      <c r="AF65" cm="1">
        <f t="array" aca="1" ref="AF65" ca="1">SUMPRODUCT(LARGE('For stats end Y points'!$B65:AF65,ROW(INDIRECT("1:"&amp;MIN(24,COUNT('For stats end Y points'!$B65:AF65))))))</f>
        <v>163</v>
      </c>
      <c r="AG65" cm="1">
        <f t="array" aca="1" ref="AG65" ca="1">SUMPRODUCT(LARGE('For stats end Y points'!$B65:AG65,ROW(INDIRECT("1:"&amp;MIN(24,COUNT('For stats end Y points'!$B65:AG65))))))</f>
        <v>163</v>
      </c>
      <c r="AH65" cm="1">
        <f t="array" aca="1" ref="AH65" ca="1">SUMPRODUCT(LARGE('For stats end Y points'!$B65:AH65,ROW(INDIRECT("1:"&amp;MIN(24,COUNT('For stats end Y points'!$B65:AH65))))))</f>
        <v>164</v>
      </c>
      <c r="AP65" s="10">
        <f t="shared" si="0"/>
        <v>0</v>
      </c>
      <c r="AQ65">
        <f>'For stats end Y class'!AU65</f>
        <v>18</v>
      </c>
    </row>
    <row r="66" spans="1:43" x14ac:dyDescent="0.2">
      <c r="A66" t="str">
        <f>'For stats end Y points'!A66</f>
        <v>Michelbey</v>
      </c>
      <c r="B66" cm="1">
        <f t="array" aca="1" ref="B66" ca="1">SUMPRODUCT(LARGE('For stats end Y points'!$B66:B66,ROW(INDIRECT("1:"&amp;MIN(24,COUNT('For stats end Y points'!$B66:B66))))))</f>
        <v>16</v>
      </c>
      <c r="C66" cm="1">
        <f t="array" aca="1" ref="C66" ca="1">SUMPRODUCT(LARGE('For stats end Y points'!$B66:C66,ROW(INDIRECT("1:"&amp;MIN(24,COUNT('For stats end Y points'!$B66:C66))))))</f>
        <v>18</v>
      </c>
      <c r="D66" cm="1">
        <f t="array" aca="1" ref="D66" ca="1">SUMPRODUCT(LARGE('For stats end Y points'!$B66:D66,ROW(INDIRECT("1:"&amp;MIN(24,COUNT('For stats end Y points'!$B66:D66))))))</f>
        <v>20</v>
      </c>
      <c r="E66" cm="1">
        <f t="array" aca="1" ref="E66" ca="1">SUMPRODUCT(LARGE('For stats end Y points'!$B66:E66,ROW(INDIRECT("1:"&amp;MIN(24,COUNT('For stats end Y points'!$B66:E66))))))</f>
        <v>22</v>
      </c>
      <c r="F66" cm="1">
        <f t="array" aca="1" ref="F66" ca="1">SUMPRODUCT(LARGE('For stats end Y points'!$B66:F66,ROW(INDIRECT("1:"&amp;MIN(24,COUNT('For stats end Y points'!$B66:F66))))))</f>
        <v>37</v>
      </c>
      <c r="G66" cm="1">
        <f t="array" aca="1" ref="G66" ca="1">SUMPRODUCT(LARGE('For stats end Y points'!$B66:G66,ROW(INDIRECT("1:"&amp;MIN(24,COUNT('For stats end Y points'!$B66:G66))))))</f>
        <v>46</v>
      </c>
      <c r="H66" cm="1">
        <f t="array" aca="1" ref="H66" ca="1">SUMPRODUCT(LARGE('For stats end Y points'!$B66:H66,ROW(INDIRECT("1:"&amp;MIN(24,COUNT('For stats end Y points'!$B66:H66))))))</f>
        <v>54</v>
      </c>
      <c r="I66" cm="1">
        <f t="array" aca="1" ref="I66" ca="1">SUMPRODUCT(LARGE('For stats end Y points'!$B66:I66,ROW(INDIRECT("1:"&amp;MIN(24,COUNT('For stats end Y points'!$B66:I66))))))</f>
        <v>55</v>
      </c>
      <c r="J66" cm="1">
        <f t="array" aca="1" ref="J66" ca="1">SUMPRODUCT(LARGE('For stats end Y points'!$B66:J66,ROW(INDIRECT("1:"&amp;MIN(24,COUNT('For stats end Y points'!$B66:J66))))))</f>
        <v>57</v>
      </c>
      <c r="K66" cm="1">
        <f t="array" aca="1" ref="K66" ca="1">SUMPRODUCT(LARGE('For stats end Y points'!$B66:K66,ROW(INDIRECT("1:"&amp;MIN(24,COUNT('For stats end Y points'!$B66:K66))))))</f>
        <v>58</v>
      </c>
      <c r="L66" cm="1">
        <f t="array" aca="1" ref="L66" ca="1">SUMPRODUCT(LARGE('For stats end Y points'!$B66:L66,ROW(INDIRECT("1:"&amp;MIN(24,COUNT('For stats end Y points'!$B66:L66))))))</f>
        <v>65</v>
      </c>
      <c r="M66" cm="1">
        <f t="array" aca="1" ref="M66" ca="1">SUMPRODUCT(LARGE('For stats end Y points'!$B66:M66,ROW(INDIRECT("1:"&amp;MIN(24,COUNT('For stats end Y points'!$B66:M66))))))</f>
        <v>67</v>
      </c>
      <c r="N66" cm="1">
        <f t="array" aca="1" ref="N66" ca="1">SUMPRODUCT(LARGE('For stats end Y points'!$B66:N66,ROW(INDIRECT("1:"&amp;MIN(24,COUNT('For stats end Y points'!$B66:N66))))))</f>
        <v>83</v>
      </c>
      <c r="O66" cm="1">
        <f t="array" aca="1" ref="O66" ca="1">SUMPRODUCT(LARGE('For stats end Y points'!$B66:O66,ROW(INDIRECT("1:"&amp;MIN(24,COUNT('For stats end Y points'!$B66:O66))))))</f>
        <v>87</v>
      </c>
      <c r="P66" cm="1">
        <f t="array" aca="1" ref="P66" ca="1">SUMPRODUCT(LARGE('For stats end Y points'!$B66:P66,ROW(INDIRECT("1:"&amp;MIN(24,COUNT('For stats end Y points'!$B66:P66))))))</f>
        <v>92</v>
      </c>
      <c r="Q66" cm="1">
        <f t="array" aca="1" ref="Q66" ca="1">SUMPRODUCT(LARGE('For stats end Y points'!$B66:Q66,ROW(INDIRECT("1:"&amp;MIN(24,COUNT('For stats end Y points'!$B66:Q66))))))</f>
        <v>109</v>
      </c>
      <c r="R66" cm="1">
        <f t="array" aca="1" ref="R66" ca="1">SUMPRODUCT(LARGE('For stats end Y points'!$B66:R66,ROW(INDIRECT("1:"&amp;MIN(24,COUNT('For stats end Y points'!$B66:R66))))))</f>
        <v>118</v>
      </c>
      <c r="S66" cm="1">
        <f t="array" aca="1" ref="S66" ca="1">SUMPRODUCT(LARGE('For stats end Y points'!$B66:S66,ROW(INDIRECT("1:"&amp;MIN(24,COUNT('For stats end Y points'!$B66:S66))))))</f>
        <v>127</v>
      </c>
      <c r="T66" cm="1">
        <f t="array" aca="1" ref="T66" ca="1">SUMPRODUCT(LARGE('For stats end Y points'!$B66:T66,ROW(INDIRECT("1:"&amp;MIN(24,COUNT('For stats end Y points'!$B66:T66))))))</f>
        <v>131</v>
      </c>
      <c r="U66" cm="1">
        <f t="array" aca="1" ref="U66" ca="1">SUMPRODUCT(LARGE('For stats end Y points'!$B66:U66,ROW(INDIRECT("1:"&amp;MIN(24,COUNT('For stats end Y points'!$B66:U66))))))</f>
        <v>132</v>
      </c>
      <c r="V66" cm="1">
        <f t="array" aca="1" ref="V66" ca="1">SUMPRODUCT(LARGE('For stats end Y points'!$B66:V66,ROW(INDIRECT("1:"&amp;MIN(24,COUNT('For stats end Y points'!$B66:V66))))))</f>
        <v>140</v>
      </c>
      <c r="W66" cm="1">
        <f t="array" aca="1" ref="W66" ca="1">SUMPRODUCT(LARGE('For stats end Y points'!$B66:W66,ROW(INDIRECT("1:"&amp;MIN(24,COUNT('For stats end Y points'!$B66:W66))))))</f>
        <v>141</v>
      </c>
      <c r="X66" cm="1">
        <f t="array" aca="1" ref="X66" ca="1">SUMPRODUCT(LARGE('For stats end Y points'!$B66:X66,ROW(INDIRECT("1:"&amp;MIN(24,COUNT('For stats end Y points'!$B66:X66))))))</f>
        <v>158</v>
      </c>
      <c r="Y66" cm="1">
        <f t="array" aca="1" ref="Y66" ca="1">SUMPRODUCT(LARGE('For stats end Y points'!$B66:Y66,ROW(INDIRECT("1:"&amp;MIN(24,COUNT('For stats end Y points'!$B66:Y66))))))</f>
        <v>175</v>
      </c>
      <c r="Z66" cm="1">
        <f t="array" aca="1" ref="Z66" ca="1">SUMPRODUCT(LARGE('For stats end Y points'!$B66:Z66,ROW(INDIRECT("1:"&amp;MIN(24,COUNT('For stats end Y points'!$B66:Z66))))))</f>
        <v>191</v>
      </c>
      <c r="AA66" cm="1">
        <f t="array" aca="1" ref="AA66" ca="1">SUMPRODUCT(LARGE('For stats end Y points'!$B66:AA66,ROW(INDIRECT("1:"&amp;MIN(24,COUNT('For stats end Y points'!$B66:AA66))))))</f>
        <v>198</v>
      </c>
      <c r="AB66" cm="1">
        <f t="array" aca="1" ref="AB66" ca="1">SUMPRODUCT(LARGE('For stats end Y points'!$B66:AB66,ROW(INDIRECT("1:"&amp;MIN(24,COUNT('For stats end Y points'!$B66:AB66))))))</f>
        <v>199</v>
      </c>
      <c r="AC66" cm="1">
        <f t="array" aca="1" ref="AC66" ca="1">SUMPRODUCT(LARGE('For stats end Y points'!$B66:AC66,ROW(INDIRECT("1:"&amp;MIN(24,COUNT('For stats end Y points'!$B66:AC66))))))</f>
        <v>203</v>
      </c>
      <c r="AD66" cm="1">
        <f t="array" aca="1" ref="AD66" ca="1">SUMPRODUCT(LARGE('For stats end Y points'!$B66:AD66,ROW(INDIRECT("1:"&amp;MIN(24,COUNT('For stats end Y points'!$B66:AD66))))))</f>
        <v>213</v>
      </c>
      <c r="AE66" cm="1">
        <f t="array" aca="1" ref="AE66" ca="1">SUMPRODUCT(LARGE('For stats end Y points'!$B66:AE66,ROW(INDIRECT("1:"&amp;MIN(24,COUNT('For stats end Y points'!$B66:AE66))))))</f>
        <v>223</v>
      </c>
      <c r="AF66" cm="1">
        <f t="array" aca="1" ref="AF66" ca="1">SUMPRODUCT(LARGE('For stats end Y points'!$B66:AF66,ROW(INDIRECT("1:"&amp;MIN(24,COUNT('For stats end Y points'!$B66:AF66))))))</f>
        <v>223</v>
      </c>
      <c r="AG66" cm="1">
        <f t="array" aca="1" ref="AG66" ca="1">SUMPRODUCT(LARGE('For stats end Y points'!$B66:AG66,ROW(INDIRECT("1:"&amp;MIN(24,COUNT('For stats end Y points'!$B66:AG66))))))</f>
        <v>225</v>
      </c>
      <c r="AH66" cm="1">
        <f t="array" aca="1" ref="AH66" ca="1">SUMPRODUCT(LARGE('For stats end Y points'!$B66:AH66,ROW(INDIRECT("1:"&amp;MIN(24,COUNT('For stats end Y points'!$B66:AH66))))))</f>
        <v>227</v>
      </c>
      <c r="AP66" s="10">
        <f t="shared" si="0"/>
        <v>0</v>
      </c>
      <c r="AQ66">
        <f>'For stats end Y class'!AU66</f>
        <v>33</v>
      </c>
    </row>
    <row r="67" spans="1:43" x14ac:dyDescent="0.2">
      <c r="A67" t="str">
        <f>'For stats end Y points'!A67</f>
        <v>Mokarran</v>
      </c>
      <c r="B67" cm="1">
        <f t="array" aca="1" ref="B67" ca="1">SUMPRODUCT(LARGE('For stats end Y points'!$B67:B67,ROW(INDIRECT("1:"&amp;MIN(24,COUNT('For stats end Y points'!$B67:B67))))))</f>
        <v>0</v>
      </c>
      <c r="C67" cm="1">
        <f t="array" aca="1" ref="C67" ca="1">SUMPRODUCT(LARGE('For stats end Y points'!$B67:C67,ROW(INDIRECT("1:"&amp;MIN(24,COUNT('For stats end Y points'!$B67:C67))))))</f>
        <v>9</v>
      </c>
      <c r="D67" cm="1">
        <f t="array" aca="1" ref="D67" ca="1">SUMPRODUCT(LARGE('For stats end Y points'!$B67:D67,ROW(INDIRECT("1:"&amp;MIN(24,COUNT('For stats end Y points'!$B67:D67))))))</f>
        <v>9</v>
      </c>
      <c r="E67" cm="1">
        <f t="array" aca="1" ref="E67" ca="1">SUMPRODUCT(LARGE('For stats end Y points'!$B67:E67,ROW(INDIRECT("1:"&amp;MIN(24,COUNT('For stats end Y points'!$B67:E67))))))</f>
        <v>18</v>
      </c>
      <c r="F67" cm="1">
        <f t="array" aca="1" ref="F67" ca="1">SUMPRODUCT(LARGE('For stats end Y points'!$B67:F67,ROW(INDIRECT("1:"&amp;MIN(24,COUNT('For stats end Y points'!$B67:F67))))))</f>
        <v>30</v>
      </c>
      <c r="G67" cm="1">
        <f t="array" aca="1" ref="G67" ca="1">SUMPRODUCT(LARGE('For stats end Y points'!$B67:G67,ROW(INDIRECT("1:"&amp;MIN(24,COUNT('For stats end Y points'!$B67:G67))))))</f>
        <v>32</v>
      </c>
      <c r="H67" cm="1">
        <f t="array" aca="1" ref="H67" ca="1">SUMPRODUCT(LARGE('For stats end Y points'!$B67:H67,ROW(INDIRECT("1:"&amp;MIN(24,COUNT('For stats end Y points'!$B67:H67))))))</f>
        <v>33</v>
      </c>
      <c r="I67" cm="1">
        <f t="array" aca="1" ref="I67" ca="1">SUMPRODUCT(LARGE('For stats end Y points'!$B67:I67,ROW(INDIRECT("1:"&amp;MIN(24,COUNT('For stats end Y points'!$B67:I67))))))</f>
        <v>33</v>
      </c>
      <c r="J67" cm="1">
        <f t="array" aca="1" ref="J67" ca="1">SUMPRODUCT(LARGE('For stats end Y points'!$B67:J67,ROW(INDIRECT("1:"&amp;MIN(24,COUNT('For stats end Y points'!$B67:J67))))))</f>
        <v>33</v>
      </c>
      <c r="K67" cm="1">
        <f t="array" aca="1" ref="K67" ca="1">SUMPRODUCT(LARGE('For stats end Y points'!$B67:K67,ROW(INDIRECT("1:"&amp;MIN(24,COUNT('For stats end Y points'!$B67:K67))))))</f>
        <v>33</v>
      </c>
      <c r="L67" cm="1">
        <f t="array" aca="1" ref="L67" ca="1">SUMPRODUCT(LARGE('For stats end Y points'!$B67:L67,ROW(INDIRECT("1:"&amp;MIN(24,COUNT('For stats end Y points'!$B67:L67))))))</f>
        <v>33</v>
      </c>
      <c r="M67" cm="1">
        <f t="array" aca="1" ref="M67" ca="1">SUMPRODUCT(LARGE('For stats end Y points'!$B67:M67,ROW(INDIRECT("1:"&amp;MIN(24,COUNT('For stats end Y points'!$B67:M67))))))</f>
        <v>33</v>
      </c>
      <c r="N67" cm="1">
        <f t="array" aca="1" ref="N67" ca="1">SUMPRODUCT(LARGE('For stats end Y points'!$B67:N67,ROW(INDIRECT("1:"&amp;MIN(24,COUNT('For stats end Y points'!$B67:N67))))))</f>
        <v>33</v>
      </c>
      <c r="O67" cm="1">
        <f t="array" aca="1" ref="O67" ca="1">SUMPRODUCT(LARGE('For stats end Y points'!$B67:O67,ROW(INDIRECT("1:"&amp;MIN(24,COUNT('For stats end Y points'!$B67:O67))))))</f>
        <v>33</v>
      </c>
      <c r="P67" cm="1">
        <f t="array" aca="1" ref="P67" ca="1">SUMPRODUCT(LARGE('For stats end Y points'!$B67:P67,ROW(INDIRECT("1:"&amp;MIN(24,COUNT('For stats end Y points'!$B67:P67))))))</f>
        <v>33</v>
      </c>
      <c r="Q67" cm="1">
        <f t="array" aca="1" ref="Q67" ca="1">SUMPRODUCT(LARGE('For stats end Y points'!$B67:Q67,ROW(INDIRECT("1:"&amp;MIN(24,COUNT('For stats end Y points'!$B67:Q67))))))</f>
        <v>33</v>
      </c>
      <c r="R67" cm="1">
        <f t="array" aca="1" ref="R67" ca="1">SUMPRODUCT(LARGE('For stats end Y points'!$B67:R67,ROW(INDIRECT("1:"&amp;MIN(24,COUNT('For stats end Y points'!$B67:R67))))))</f>
        <v>33</v>
      </c>
      <c r="S67" cm="1">
        <f t="array" aca="1" ref="S67" ca="1">SUMPRODUCT(LARGE('For stats end Y points'!$B67:S67,ROW(INDIRECT("1:"&amp;MIN(24,COUNT('For stats end Y points'!$B67:S67))))))</f>
        <v>33</v>
      </c>
      <c r="T67" cm="1">
        <f t="array" aca="1" ref="T67" ca="1">SUMPRODUCT(LARGE('For stats end Y points'!$B67:T67,ROW(INDIRECT("1:"&amp;MIN(24,COUNT('For stats end Y points'!$B67:T67))))))</f>
        <v>33</v>
      </c>
      <c r="U67" cm="1">
        <f t="array" aca="1" ref="U67" ca="1">SUMPRODUCT(LARGE('For stats end Y points'!$B67:U67,ROW(INDIRECT("1:"&amp;MIN(24,COUNT('For stats end Y points'!$B67:U67))))))</f>
        <v>33</v>
      </c>
      <c r="V67" cm="1">
        <f t="array" aca="1" ref="V67" ca="1">SUMPRODUCT(LARGE('For stats end Y points'!$B67:V67,ROW(INDIRECT("1:"&amp;MIN(24,COUNT('For stats end Y points'!$B67:V67))))))</f>
        <v>33</v>
      </c>
      <c r="W67" cm="1">
        <f t="array" aca="1" ref="W67" ca="1">SUMPRODUCT(LARGE('For stats end Y points'!$B67:W67,ROW(INDIRECT("1:"&amp;MIN(24,COUNT('For stats end Y points'!$B67:W67))))))</f>
        <v>33</v>
      </c>
      <c r="X67" cm="1">
        <f t="array" aca="1" ref="X67" ca="1">SUMPRODUCT(LARGE('For stats end Y points'!$B67:X67,ROW(INDIRECT("1:"&amp;MIN(24,COUNT('For stats end Y points'!$B67:X67))))))</f>
        <v>33</v>
      </c>
      <c r="Y67" cm="1">
        <f t="array" aca="1" ref="Y67" ca="1">SUMPRODUCT(LARGE('For stats end Y points'!$B67:Y67,ROW(INDIRECT("1:"&amp;MIN(24,COUNT('For stats end Y points'!$B67:Y67))))))</f>
        <v>33</v>
      </c>
      <c r="Z67" cm="1">
        <f t="array" aca="1" ref="Z67" ca="1">SUMPRODUCT(LARGE('For stats end Y points'!$B67:Z67,ROW(INDIRECT("1:"&amp;MIN(24,COUNT('For stats end Y points'!$B67:Z67))))))</f>
        <v>33</v>
      </c>
      <c r="AA67" cm="1">
        <f t="array" aca="1" ref="AA67" ca="1">SUMPRODUCT(LARGE('For stats end Y points'!$B67:AA67,ROW(INDIRECT("1:"&amp;MIN(24,COUNT('For stats end Y points'!$B67:AA67))))))</f>
        <v>33</v>
      </c>
      <c r="AB67" cm="1">
        <f t="array" aca="1" ref="AB67" ca="1">SUMPRODUCT(LARGE('For stats end Y points'!$B67:AB67,ROW(INDIRECT("1:"&amp;MIN(24,COUNT('For stats end Y points'!$B67:AB67))))))</f>
        <v>33</v>
      </c>
      <c r="AC67" cm="1">
        <f t="array" aca="1" ref="AC67" ca="1">SUMPRODUCT(LARGE('For stats end Y points'!$B67:AC67,ROW(INDIRECT("1:"&amp;MIN(24,COUNT('For stats end Y points'!$B67:AC67))))))</f>
        <v>33</v>
      </c>
      <c r="AD67" cm="1">
        <f t="array" aca="1" ref="AD67" ca="1">SUMPRODUCT(LARGE('For stats end Y points'!$B67:AD67,ROW(INDIRECT("1:"&amp;MIN(24,COUNT('For stats end Y points'!$B67:AD67))))))</f>
        <v>33</v>
      </c>
      <c r="AE67" cm="1">
        <f t="array" aca="1" ref="AE67" ca="1">SUMPRODUCT(LARGE('For stats end Y points'!$B67:AE67,ROW(INDIRECT("1:"&amp;MIN(24,COUNT('For stats end Y points'!$B67:AE67))))))</f>
        <v>33</v>
      </c>
      <c r="AF67" cm="1">
        <f t="array" aca="1" ref="AF67" ca="1">SUMPRODUCT(LARGE('For stats end Y points'!$B67:AF67,ROW(INDIRECT("1:"&amp;MIN(24,COUNT('For stats end Y points'!$B67:AF67))))))</f>
        <v>33</v>
      </c>
      <c r="AG67" cm="1">
        <f t="array" aca="1" ref="AG67" ca="1">SUMPRODUCT(LARGE('For stats end Y points'!$B67:AG67,ROW(INDIRECT("1:"&amp;MIN(24,COUNT('For stats end Y points'!$B67:AG67))))))</f>
        <v>33</v>
      </c>
      <c r="AH67" cm="1">
        <f t="array" aca="1" ref="AH67" ca="1">SUMPRODUCT(LARGE('For stats end Y points'!$B67:AH67,ROW(INDIRECT("1:"&amp;MIN(24,COUNT('For stats end Y points'!$B67:AH67))))))</f>
        <v>33</v>
      </c>
      <c r="AP67" s="10">
        <f t="shared" ref="AP67:AP102" si="1">AN67/AQ67</f>
        <v>0</v>
      </c>
      <c r="AQ67">
        <f>'For stats end Y class'!AU67</f>
        <v>5</v>
      </c>
    </row>
    <row r="68" spans="1:43" x14ac:dyDescent="0.2">
      <c r="A68" t="str">
        <f>'For stats end Y points'!A68</f>
        <v>NastyLucker</v>
      </c>
      <c r="B68" cm="1">
        <f t="array" aca="1" ref="B68" ca="1">SUMPRODUCT(LARGE('For stats end Y points'!$B68:B68,ROW(INDIRECT("1:"&amp;MIN(24,COUNT('For stats end Y points'!$B68:B68))))))</f>
        <v>2</v>
      </c>
      <c r="C68" cm="1">
        <f t="array" aca="1" ref="C68" ca="1">SUMPRODUCT(LARGE('For stats end Y points'!$B68:C68,ROW(INDIRECT("1:"&amp;MIN(24,COUNT('For stats end Y points'!$B68:C68))))))</f>
        <v>2</v>
      </c>
      <c r="D68" cm="1">
        <f t="array" aca="1" ref="D68" ca="1">SUMPRODUCT(LARGE('For stats end Y points'!$B68:D68,ROW(INDIRECT("1:"&amp;MIN(24,COUNT('For stats end Y points'!$B68:D68))))))</f>
        <v>2</v>
      </c>
      <c r="E68" cm="1">
        <f t="array" aca="1" ref="E68" ca="1">SUMPRODUCT(LARGE('For stats end Y points'!$B68:E68,ROW(INDIRECT("1:"&amp;MIN(24,COUNT('For stats end Y points'!$B68:E68))))))</f>
        <v>11</v>
      </c>
      <c r="F68" cm="1">
        <f t="array" aca="1" ref="F68" ca="1">SUMPRODUCT(LARGE('For stats end Y points'!$B68:F68,ROW(INDIRECT("1:"&amp;MIN(24,COUNT('For stats end Y points'!$B68:F68))))))</f>
        <v>11</v>
      </c>
      <c r="G68" cm="1">
        <f t="array" aca="1" ref="G68" ca="1">SUMPRODUCT(LARGE('For stats end Y points'!$B68:G68,ROW(INDIRECT("1:"&amp;MIN(24,COUNT('For stats end Y points'!$B68:G68))))))</f>
        <v>12</v>
      </c>
      <c r="H68" cm="1">
        <f t="array" aca="1" ref="H68" ca="1">SUMPRODUCT(LARGE('For stats end Y points'!$B68:H68,ROW(INDIRECT("1:"&amp;MIN(24,COUNT('For stats end Y points'!$B68:H68))))))</f>
        <v>12</v>
      </c>
      <c r="I68" cm="1">
        <f t="array" aca="1" ref="I68" ca="1">SUMPRODUCT(LARGE('For stats end Y points'!$B68:I68,ROW(INDIRECT("1:"&amp;MIN(24,COUNT('For stats end Y points'!$B68:I68))))))</f>
        <v>12</v>
      </c>
      <c r="J68" cm="1">
        <f t="array" aca="1" ref="J68" ca="1">SUMPRODUCT(LARGE('For stats end Y points'!$B68:J68,ROW(INDIRECT("1:"&amp;MIN(24,COUNT('For stats end Y points'!$B68:J68))))))</f>
        <v>12</v>
      </c>
      <c r="K68" cm="1">
        <f t="array" aca="1" ref="K68" ca="1">SUMPRODUCT(LARGE('For stats end Y points'!$B68:K68,ROW(INDIRECT("1:"&amp;MIN(24,COUNT('For stats end Y points'!$B68:K68))))))</f>
        <v>12</v>
      </c>
      <c r="L68" cm="1">
        <f t="array" aca="1" ref="L68" ca="1">SUMPRODUCT(LARGE('For stats end Y points'!$B68:L68,ROW(INDIRECT("1:"&amp;MIN(24,COUNT('For stats end Y points'!$B68:L68))))))</f>
        <v>12</v>
      </c>
      <c r="M68" cm="1">
        <f t="array" aca="1" ref="M68" ca="1">SUMPRODUCT(LARGE('For stats end Y points'!$B68:M68,ROW(INDIRECT("1:"&amp;MIN(24,COUNT('For stats end Y points'!$B68:M68))))))</f>
        <v>12</v>
      </c>
      <c r="N68" cm="1">
        <f t="array" aca="1" ref="N68" ca="1">SUMPRODUCT(LARGE('For stats end Y points'!$B68:N68,ROW(INDIRECT("1:"&amp;MIN(24,COUNT('For stats end Y points'!$B68:N68))))))</f>
        <v>12</v>
      </c>
      <c r="O68" cm="1">
        <f t="array" aca="1" ref="O68" ca="1">SUMPRODUCT(LARGE('For stats end Y points'!$B68:O68,ROW(INDIRECT("1:"&amp;MIN(24,COUNT('For stats end Y points'!$B68:O68))))))</f>
        <v>12</v>
      </c>
      <c r="P68" cm="1">
        <f t="array" aca="1" ref="P68" ca="1">SUMPRODUCT(LARGE('For stats end Y points'!$B68:P68,ROW(INDIRECT("1:"&amp;MIN(24,COUNT('For stats end Y points'!$B68:P68))))))</f>
        <v>12</v>
      </c>
      <c r="Q68" cm="1">
        <f t="array" aca="1" ref="Q68" ca="1">SUMPRODUCT(LARGE('For stats end Y points'!$B68:Q68,ROW(INDIRECT("1:"&amp;MIN(24,COUNT('For stats end Y points'!$B68:Q68))))))</f>
        <v>12</v>
      </c>
      <c r="R68" cm="1">
        <f t="array" aca="1" ref="R68" ca="1">SUMPRODUCT(LARGE('For stats end Y points'!$B68:R68,ROW(INDIRECT("1:"&amp;MIN(24,COUNT('For stats end Y points'!$B68:R68))))))</f>
        <v>12</v>
      </c>
      <c r="S68" cm="1">
        <f t="array" aca="1" ref="S68" ca="1">SUMPRODUCT(LARGE('For stats end Y points'!$B68:S68,ROW(INDIRECT("1:"&amp;MIN(24,COUNT('For stats end Y points'!$B68:S68))))))</f>
        <v>12</v>
      </c>
      <c r="T68" cm="1">
        <f t="array" aca="1" ref="T68" ca="1">SUMPRODUCT(LARGE('For stats end Y points'!$B68:T68,ROW(INDIRECT("1:"&amp;MIN(24,COUNT('For stats end Y points'!$B68:T68))))))</f>
        <v>12</v>
      </c>
      <c r="U68" cm="1">
        <f t="array" aca="1" ref="U68" ca="1">SUMPRODUCT(LARGE('For stats end Y points'!$B68:U68,ROW(INDIRECT("1:"&amp;MIN(24,COUNT('For stats end Y points'!$B68:U68))))))</f>
        <v>12</v>
      </c>
      <c r="V68" cm="1">
        <f t="array" aca="1" ref="V68" ca="1">SUMPRODUCT(LARGE('For stats end Y points'!$B68:V68,ROW(INDIRECT("1:"&amp;MIN(24,COUNT('For stats end Y points'!$B68:V68))))))</f>
        <v>12</v>
      </c>
      <c r="W68" cm="1">
        <f t="array" aca="1" ref="W68" ca="1">SUMPRODUCT(LARGE('For stats end Y points'!$B68:W68,ROW(INDIRECT("1:"&amp;MIN(24,COUNT('For stats end Y points'!$B68:W68))))))</f>
        <v>12</v>
      </c>
      <c r="X68" cm="1">
        <f t="array" aca="1" ref="X68" ca="1">SUMPRODUCT(LARGE('For stats end Y points'!$B68:X68,ROW(INDIRECT("1:"&amp;MIN(24,COUNT('For stats end Y points'!$B68:X68))))))</f>
        <v>12</v>
      </c>
      <c r="Y68" cm="1">
        <f t="array" aca="1" ref="Y68" ca="1">SUMPRODUCT(LARGE('For stats end Y points'!$B68:Y68,ROW(INDIRECT("1:"&amp;MIN(24,COUNT('For stats end Y points'!$B68:Y68))))))</f>
        <v>12</v>
      </c>
      <c r="Z68" cm="1">
        <f t="array" aca="1" ref="Z68" ca="1">SUMPRODUCT(LARGE('For stats end Y points'!$B68:Z68,ROW(INDIRECT("1:"&amp;MIN(24,COUNT('For stats end Y points'!$B68:Z68))))))</f>
        <v>12</v>
      </c>
      <c r="AA68" cm="1">
        <f t="array" aca="1" ref="AA68" ca="1">SUMPRODUCT(LARGE('For stats end Y points'!$B68:AA68,ROW(INDIRECT("1:"&amp;MIN(24,COUNT('For stats end Y points'!$B68:AA68))))))</f>
        <v>12</v>
      </c>
      <c r="AB68" cm="1">
        <f t="array" aca="1" ref="AB68" ca="1">SUMPRODUCT(LARGE('For stats end Y points'!$B68:AB68,ROW(INDIRECT("1:"&amp;MIN(24,COUNT('For stats end Y points'!$B68:AB68))))))</f>
        <v>12</v>
      </c>
      <c r="AC68" cm="1">
        <f t="array" aca="1" ref="AC68" ca="1">SUMPRODUCT(LARGE('For stats end Y points'!$B68:AC68,ROW(INDIRECT("1:"&amp;MIN(24,COUNT('For stats end Y points'!$B68:AC68))))))</f>
        <v>12</v>
      </c>
      <c r="AD68" cm="1">
        <f t="array" aca="1" ref="AD68" ca="1">SUMPRODUCT(LARGE('For stats end Y points'!$B68:AD68,ROW(INDIRECT("1:"&amp;MIN(24,COUNT('For stats end Y points'!$B68:AD68))))))</f>
        <v>12</v>
      </c>
      <c r="AE68" cm="1">
        <f t="array" aca="1" ref="AE68" ca="1">SUMPRODUCT(LARGE('For stats end Y points'!$B68:AE68,ROW(INDIRECT("1:"&amp;MIN(24,COUNT('For stats end Y points'!$B68:AE68))))))</f>
        <v>12</v>
      </c>
      <c r="AF68" cm="1">
        <f t="array" aca="1" ref="AF68" ca="1">SUMPRODUCT(LARGE('For stats end Y points'!$B68:AF68,ROW(INDIRECT("1:"&amp;MIN(24,COUNT('For stats end Y points'!$B68:AF68))))))</f>
        <v>12</v>
      </c>
      <c r="AG68" cm="1">
        <f t="array" aca="1" ref="AG68" ca="1">SUMPRODUCT(LARGE('For stats end Y points'!$B68:AG68,ROW(INDIRECT("1:"&amp;MIN(24,COUNT('For stats end Y points'!$B68:AG68))))))</f>
        <v>12</v>
      </c>
      <c r="AH68" cm="1">
        <f t="array" aca="1" ref="AH68" ca="1">SUMPRODUCT(LARGE('For stats end Y points'!$B68:AH68,ROW(INDIRECT("1:"&amp;MIN(24,COUNT('For stats end Y points'!$B68:AH68))))))</f>
        <v>12</v>
      </c>
      <c r="AP68" s="10">
        <f t="shared" si="1"/>
        <v>0</v>
      </c>
      <c r="AQ68">
        <f>'For stats end Y class'!AU68</f>
        <v>3</v>
      </c>
    </row>
    <row r="69" spans="1:43" x14ac:dyDescent="0.2">
      <c r="A69" t="str">
        <f>'For stats end Y points'!A69</f>
        <v>NoDoubt</v>
      </c>
      <c r="B69" cm="1">
        <f t="array" aca="1" ref="B69" ca="1">SUMPRODUCT(LARGE('For stats end Y points'!$B69:B69,ROW(INDIRECT("1:"&amp;MIN(24,COUNT('For stats end Y points'!$B69:B69))))))</f>
        <v>1</v>
      </c>
      <c r="C69" cm="1">
        <f t="array" aca="1" ref="C69" ca="1">SUMPRODUCT(LARGE('For stats end Y points'!$B69:C69,ROW(INDIRECT("1:"&amp;MIN(24,COUNT('For stats end Y points'!$B69:C69))))))</f>
        <v>14</v>
      </c>
      <c r="D69" cm="1">
        <f t="array" aca="1" ref="D69" ca="1">SUMPRODUCT(LARGE('For stats end Y points'!$B69:D69,ROW(INDIRECT("1:"&amp;MIN(24,COUNT('For stats end Y points'!$B69:D69))))))</f>
        <v>30</v>
      </c>
      <c r="E69" cm="1">
        <f t="array" aca="1" ref="E69" ca="1">SUMPRODUCT(LARGE('For stats end Y points'!$B69:E69,ROW(INDIRECT("1:"&amp;MIN(24,COUNT('For stats end Y points'!$B69:E69))))))</f>
        <v>43</v>
      </c>
      <c r="F69" cm="1">
        <f t="array" aca="1" ref="F69" ca="1">SUMPRODUCT(LARGE('For stats end Y points'!$B69:F69,ROW(INDIRECT("1:"&amp;MIN(24,COUNT('For stats end Y points'!$B69:F69))))))</f>
        <v>44</v>
      </c>
      <c r="G69" cm="1">
        <f t="array" aca="1" ref="G69" ca="1">SUMPRODUCT(LARGE('For stats end Y points'!$B69:G69,ROW(INDIRECT("1:"&amp;MIN(24,COUNT('For stats end Y points'!$B69:G69))))))</f>
        <v>44</v>
      </c>
      <c r="H69" cm="1">
        <f t="array" aca="1" ref="H69" ca="1">SUMPRODUCT(LARGE('For stats end Y points'!$B69:H69,ROW(INDIRECT("1:"&amp;MIN(24,COUNT('For stats end Y points'!$B69:H69))))))</f>
        <v>44</v>
      </c>
      <c r="I69" cm="1">
        <f t="array" aca="1" ref="I69" ca="1">SUMPRODUCT(LARGE('For stats end Y points'!$B69:I69,ROW(INDIRECT("1:"&amp;MIN(24,COUNT('For stats end Y points'!$B69:I69))))))</f>
        <v>44</v>
      </c>
      <c r="J69" cm="1">
        <f t="array" aca="1" ref="J69" ca="1">SUMPRODUCT(LARGE('For stats end Y points'!$B69:J69,ROW(INDIRECT("1:"&amp;MIN(24,COUNT('For stats end Y points'!$B69:J69))))))</f>
        <v>60</v>
      </c>
      <c r="K69" cm="1">
        <f t="array" aca="1" ref="K69" ca="1">SUMPRODUCT(LARGE('For stats end Y points'!$B69:K69,ROW(INDIRECT("1:"&amp;MIN(24,COUNT('For stats end Y points'!$B69:K69))))))</f>
        <v>60</v>
      </c>
      <c r="L69" cm="1">
        <f t="array" aca="1" ref="L69" ca="1">SUMPRODUCT(LARGE('For stats end Y points'!$B69:L69,ROW(INDIRECT("1:"&amp;MIN(24,COUNT('For stats end Y points'!$B69:L69))))))</f>
        <v>60</v>
      </c>
      <c r="M69" cm="1">
        <f t="array" aca="1" ref="M69" ca="1">SUMPRODUCT(LARGE('For stats end Y points'!$B69:M69,ROW(INDIRECT("1:"&amp;MIN(24,COUNT('For stats end Y points'!$B69:M69))))))</f>
        <v>60</v>
      </c>
      <c r="N69" cm="1">
        <f t="array" aca="1" ref="N69" ca="1">SUMPRODUCT(LARGE('For stats end Y points'!$B69:N69,ROW(INDIRECT("1:"&amp;MIN(24,COUNT('For stats end Y points'!$B69:N69))))))</f>
        <v>60</v>
      </c>
      <c r="O69" cm="1">
        <f t="array" aca="1" ref="O69" ca="1">SUMPRODUCT(LARGE('For stats end Y points'!$B69:O69,ROW(INDIRECT("1:"&amp;MIN(24,COUNT('For stats end Y points'!$B69:O69))))))</f>
        <v>60</v>
      </c>
      <c r="P69" cm="1">
        <f t="array" aca="1" ref="P69" ca="1">SUMPRODUCT(LARGE('For stats end Y points'!$B69:P69,ROW(INDIRECT("1:"&amp;MIN(24,COUNT('For stats end Y points'!$B69:P69))))))</f>
        <v>72</v>
      </c>
      <c r="Q69" cm="1">
        <f t="array" aca="1" ref="Q69" ca="1">SUMPRODUCT(LARGE('For stats end Y points'!$B69:Q69,ROW(INDIRECT("1:"&amp;MIN(24,COUNT('For stats end Y points'!$B69:Q69))))))</f>
        <v>72</v>
      </c>
      <c r="R69" cm="1">
        <f t="array" aca="1" ref="R69" ca="1">SUMPRODUCT(LARGE('For stats end Y points'!$B69:R69,ROW(INDIRECT("1:"&amp;MIN(24,COUNT('For stats end Y points'!$B69:R69))))))</f>
        <v>89</v>
      </c>
      <c r="S69" cm="1">
        <f t="array" aca="1" ref="S69" ca="1">SUMPRODUCT(LARGE('For stats end Y points'!$B69:S69,ROW(INDIRECT("1:"&amp;MIN(24,COUNT('For stats end Y points'!$B69:S69))))))</f>
        <v>89</v>
      </c>
      <c r="T69" cm="1">
        <f t="array" aca="1" ref="T69" ca="1">SUMPRODUCT(LARGE('For stats end Y points'!$B69:T69,ROW(INDIRECT("1:"&amp;MIN(24,COUNT('For stats end Y points'!$B69:T69))))))</f>
        <v>101</v>
      </c>
      <c r="U69" cm="1">
        <f t="array" aca="1" ref="U69" ca="1">SUMPRODUCT(LARGE('For stats end Y points'!$B69:U69,ROW(INDIRECT("1:"&amp;MIN(24,COUNT('For stats end Y points'!$B69:U69))))))</f>
        <v>101</v>
      </c>
      <c r="V69" cm="1">
        <f t="array" aca="1" ref="V69" ca="1">SUMPRODUCT(LARGE('For stats end Y points'!$B69:V69,ROW(INDIRECT("1:"&amp;MIN(24,COUNT('For stats end Y points'!$B69:V69))))))</f>
        <v>101</v>
      </c>
      <c r="W69" cm="1">
        <f t="array" aca="1" ref="W69" ca="1">SUMPRODUCT(LARGE('For stats end Y points'!$B69:W69,ROW(INDIRECT("1:"&amp;MIN(24,COUNT('For stats end Y points'!$B69:W69))))))</f>
        <v>101</v>
      </c>
      <c r="X69" cm="1">
        <f t="array" aca="1" ref="X69" ca="1">SUMPRODUCT(LARGE('For stats end Y points'!$B69:X69,ROW(INDIRECT("1:"&amp;MIN(24,COUNT('For stats end Y points'!$B69:X69))))))</f>
        <v>101</v>
      </c>
      <c r="Y69" cm="1">
        <f t="array" aca="1" ref="Y69" ca="1">SUMPRODUCT(LARGE('For stats end Y points'!$B69:Y69,ROW(INDIRECT("1:"&amp;MIN(24,COUNT('For stats end Y points'!$B69:Y69))))))</f>
        <v>101</v>
      </c>
      <c r="Z69" cm="1">
        <f t="array" aca="1" ref="Z69" ca="1">SUMPRODUCT(LARGE('For stats end Y points'!$B69:Z69,ROW(INDIRECT("1:"&amp;MIN(24,COUNT('For stats end Y points'!$B69:Z69))))))</f>
        <v>101</v>
      </c>
      <c r="AA69" cm="1">
        <f t="array" aca="1" ref="AA69" ca="1">SUMPRODUCT(LARGE('For stats end Y points'!$B69:AA69,ROW(INDIRECT("1:"&amp;MIN(24,COUNT('For stats end Y points'!$B69:AA69))))))</f>
        <v>101</v>
      </c>
      <c r="AB69" cm="1">
        <f t="array" aca="1" ref="AB69" ca="1">SUMPRODUCT(LARGE('For stats end Y points'!$B69:AB69,ROW(INDIRECT("1:"&amp;MIN(24,COUNT('For stats end Y points'!$B69:AB69))))))</f>
        <v>101</v>
      </c>
      <c r="AC69" cm="1">
        <f t="array" aca="1" ref="AC69" ca="1">SUMPRODUCT(LARGE('For stats end Y points'!$B69:AC69,ROW(INDIRECT("1:"&amp;MIN(24,COUNT('For stats end Y points'!$B69:AC69))))))</f>
        <v>101</v>
      </c>
      <c r="AD69" cm="1">
        <f t="array" aca="1" ref="AD69" ca="1">SUMPRODUCT(LARGE('For stats end Y points'!$B69:AD69,ROW(INDIRECT("1:"&amp;MIN(24,COUNT('For stats end Y points'!$B69:AD69))))))</f>
        <v>101</v>
      </c>
      <c r="AE69" cm="1">
        <f t="array" aca="1" ref="AE69" ca="1">SUMPRODUCT(LARGE('For stats end Y points'!$B69:AE69,ROW(INDIRECT("1:"&amp;MIN(24,COUNT('For stats end Y points'!$B69:AE69))))))</f>
        <v>101</v>
      </c>
      <c r="AF69" cm="1">
        <f t="array" aca="1" ref="AF69" ca="1">SUMPRODUCT(LARGE('For stats end Y points'!$B69:AF69,ROW(INDIRECT("1:"&amp;MIN(24,COUNT('For stats end Y points'!$B69:AF69))))))</f>
        <v>101</v>
      </c>
      <c r="AG69" cm="1">
        <f t="array" aca="1" ref="AG69" ca="1">SUMPRODUCT(LARGE('For stats end Y points'!$B69:AG69,ROW(INDIRECT("1:"&amp;MIN(24,COUNT('For stats end Y points'!$B69:AG69))))))</f>
        <v>101</v>
      </c>
      <c r="AH69" cm="1">
        <f t="array" aca="1" ref="AH69" ca="1">SUMPRODUCT(LARGE('For stats end Y points'!$B69:AH69,ROW(INDIRECT("1:"&amp;MIN(24,COUNT('For stats end Y points'!$B69:AH69))))))</f>
        <v>101</v>
      </c>
      <c r="AP69" s="10">
        <f t="shared" si="1"/>
        <v>0</v>
      </c>
      <c r="AQ69">
        <f>'For stats end Y class'!AU69</f>
        <v>9</v>
      </c>
    </row>
    <row r="70" spans="1:43" x14ac:dyDescent="0.2">
      <c r="A70" t="str">
        <f>'For stats end Y points'!A70</f>
        <v>Oldex</v>
      </c>
      <c r="B70" cm="1">
        <f t="array" aca="1" ref="B70" ca="1">SUMPRODUCT(LARGE('For stats end Y points'!$B70:B70,ROW(INDIRECT("1:"&amp;MIN(24,COUNT('For stats end Y points'!$B70:B70))))))</f>
        <v>0</v>
      </c>
      <c r="C70" cm="1">
        <f t="array" aca="1" ref="C70" ca="1">SUMPRODUCT(LARGE('For stats end Y points'!$B70:C70,ROW(INDIRECT("1:"&amp;MIN(24,COUNT('For stats end Y points'!$B70:C70))))))</f>
        <v>0</v>
      </c>
      <c r="D70" cm="1">
        <f t="array" aca="1" ref="D70" ca="1">SUMPRODUCT(LARGE('For stats end Y points'!$B70:D70,ROW(INDIRECT("1:"&amp;MIN(24,COUNT('For stats end Y points'!$B70:D70))))))</f>
        <v>0</v>
      </c>
      <c r="E70" cm="1">
        <f t="array" aca="1" ref="E70" ca="1">SUMPRODUCT(LARGE('For stats end Y points'!$B70:E70,ROW(INDIRECT("1:"&amp;MIN(24,COUNT('For stats end Y points'!$B70:E70))))))</f>
        <v>0</v>
      </c>
      <c r="F70" cm="1">
        <f t="array" aca="1" ref="F70" ca="1">SUMPRODUCT(LARGE('For stats end Y points'!$B70:F70,ROW(INDIRECT("1:"&amp;MIN(24,COUNT('For stats end Y points'!$B70:F70))))))</f>
        <v>0</v>
      </c>
      <c r="G70" cm="1">
        <f t="array" aca="1" ref="G70" ca="1">SUMPRODUCT(LARGE('For stats end Y points'!$B70:G70,ROW(INDIRECT("1:"&amp;MIN(24,COUNT('For stats end Y points'!$B70:G70))))))</f>
        <v>0</v>
      </c>
      <c r="H70" cm="1">
        <f t="array" aca="1" ref="H70" ca="1">SUMPRODUCT(LARGE('For stats end Y points'!$B70:H70,ROW(INDIRECT("1:"&amp;MIN(24,COUNT('For stats end Y points'!$B70:H70))))))</f>
        <v>0</v>
      </c>
      <c r="I70" cm="1">
        <f t="array" aca="1" ref="I70" ca="1">SUMPRODUCT(LARGE('For stats end Y points'!$B70:I70,ROW(INDIRECT("1:"&amp;MIN(24,COUNT('For stats end Y points'!$B70:I70))))))</f>
        <v>0</v>
      </c>
      <c r="J70" cm="1">
        <f t="array" aca="1" ref="J70" ca="1">SUMPRODUCT(LARGE('For stats end Y points'!$B70:J70,ROW(INDIRECT("1:"&amp;MIN(24,COUNT('For stats end Y points'!$B70:J70))))))</f>
        <v>0</v>
      </c>
      <c r="K70" cm="1">
        <f t="array" aca="1" ref="K70" ca="1">SUMPRODUCT(LARGE('For stats end Y points'!$B70:K70,ROW(INDIRECT("1:"&amp;MIN(24,COUNT('For stats end Y points'!$B70:K70))))))</f>
        <v>0</v>
      </c>
      <c r="L70" cm="1">
        <f t="array" aca="1" ref="L70" ca="1">SUMPRODUCT(LARGE('For stats end Y points'!$B70:L70,ROW(INDIRECT("1:"&amp;MIN(24,COUNT('For stats end Y points'!$B70:L70))))))</f>
        <v>0</v>
      </c>
      <c r="M70" cm="1">
        <f t="array" aca="1" ref="M70" ca="1">SUMPRODUCT(LARGE('For stats end Y points'!$B70:M70,ROW(INDIRECT("1:"&amp;MIN(24,COUNT('For stats end Y points'!$B70:M70))))))</f>
        <v>0</v>
      </c>
      <c r="N70" cm="1">
        <f t="array" aca="1" ref="N70" ca="1">SUMPRODUCT(LARGE('For stats end Y points'!$B70:N70,ROW(INDIRECT("1:"&amp;MIN(24,COUNT('For stats end Y points'!$B70:N70))))))</f>
        <v>0</v>
      </c>
      <c r="O70" cm="1">
        <f t="array" aca="1" ref="O70" ca="1">SUMPRODUCT(LARGE('For stats end Y points'!$B70:O70,ROW(INDIRECT("1:"&amp;MIN(24,COUNT('For stats end Y points'!$B70:O70))))))</f>
        <v>0</v>
      </c>
      <c r="P70" cm="1">
        <f t="array" aca="1" ref="P70" ca="1">SUMPRODUCT(LARGE('For stats end Y points'!$B70:P70,ROW(INDIRECT("1:"&amp;MIN(24,COUNT('For stats end Y points'!$B70:P70))))))</f>
        <v>0</v>
      </c>
      <c r="Q70" cm="1">
        <f t="array" aca="1" ref="Q70" ca="1">SUMPRODUCT(LARGE('For stats end Y points'!$B70:Q70,ROW(INDIRECT("1:"&amp;MIN(24,COUNT('For stats end Y points'!$B70:Q70))))))</f>
        <v>13</v>
      </c>
      <c r="R70" cm="1">
        <f t="array" aca="1" ref="R70" ca="1">SUMPRODUCT(LARGE('For stats end Y points'!$B70:R70,ROW(INDIRECT("1:"&amp;MIN(24,COUNT('For stats end Y points'!$B70:R70))))))</f>
        <v>13</v>
      </c>
      <c r="S70" cm="1">
        <f t="array" aca="1" ref="S70" ca="1">SUMPRODUCT(LARGE('For stats end Y points'!$B70:S70,ROW(INDIRECT("1:"&amp;MIN(24,COUNT('For stats end Y points'!$B70:S70))))))</f>
        <v>13</v>
      </c>
      <c r="T70" cm="1">
        <f t="array" aca="1" ref="T70" ca="1">SUMPRODUCT(LARGE('For stats end Y points'!$B70:T70,ROW(INDIRECT("1:"&amp;MIN(24,COUNT('For stats end Y points'!$B70:T70))))))</f>
        <v>13</v>
      </c>
      <c r="U70" cm="1">
        <f t="array" aca="1" ref="U70" ca="1">SUMPRODUCT(LARGE('For stats end Y points'!$B70:U70,ROW(INDIRECT("1:"&amp;MIN(24,COUNT('For stats end Y points'!$B70:U70))))))</f>
        <v>13</v>
      </c>
      <c r="V70" cm="1">
        <f t="array" aca="1" ref="V70" ca="1">SUMPRODUCT(LARGE('For stats end Y points'!$B70:V70,ROW(INDIRECT("1:"&amp;MIN(24,COUNT('For stats end Y points'!$B70:V70))))))</f>
        <v>13</v>
      </c>
      <c r="W70" cm="1">
        <f t="array" aca="1" ref="W70" ca="1">SUMPRODUCT(LARGE('For stats end Y points'!$B70:W70,ROW(INDIRECT("1:"&amp;MIN(24,COUNT('For stats end Y points'!$B70:W70))))))</f>
        <v>13</v>
      </c>
      <c r="X70" cm="1">
        <f t="array" aca="1" ref="X70" ca="1">SUMPRODUCT(LARGE('For stats end Y points'!$B70:X70,ROW(INDIRECT("1:"&amp;MIN(24,COUNT('For stats end Y points'!$B70:X70))))))</f>
        <v>13</v>
      </c>
      <c r="Y70" cm="1">
        <f t="array" aca="1" ref="Y70" ca="1">SUMPRODUCT(LARGE('For stats end Y points'!$B70:Y70,ROW(INDIRECT("1:"&amp;MIN(24,COUNT('For stats end Y points'!$B70:Y70))))))</f>
        <v>13</v>
      </c>
      <c r="Z70" cm="1">
        <f t="array" aca="1" ref="Z70" ca="1">SUMPRODUCT(LARGE('For stats end Y points'!$B70:Z70,ROW(INDIRECT("1:"&amp;MIN(24,COUNT('For stats end Y points'!$B70:Z70))))))</f>
        <v>13</v>
      </c>
      <c r="AA70" cm="1">
        <f t="array" aca="1" ref="AA70" ca="1">SUMPRODUCT(LARGE('For stats end Y points'!$B70:AA70,ROW(INDIRECT("1:"&amp;MIN(24,COUNT('For stats end Y points'!$B70:AA70))))))</f>
        <v>13</v>
      </c>
      <c r="AB70" cm="1">
        <f t="array" aca="1" ref="AB70" ca="1">SUMPRODUCT(LARGE('For stats end Y points'!$B70:AB70,ROW(INDIRECT("1:"&amp;MIN(24,COUNT('For stats end Y points'!$B70:AB70))))))</f>
        <v>13</v>
      </c>
      <c r="AC70" cm="1">
        <f t="array" aca="1" ref="AC70" ca="1">SUMPRODUCT(LARGE('For stats end Y points'!$B70:AC70,ROW(INDIRECT("1:"&amp;MIN(24,COUNT('For stats end Y points'!$B70:AC70))))))</f>
        <v>13</v>
      </c>
      <c r="AD70" cm="1">
        <f t="array" aca="1" ref="AD70" ca="1">SUMPRODUCT(LARGE('For stats end Y points'!$B70:AD70,ROW(INDIRECT("1:"&amp;MIN(24,COUNT('For stats end Y points'!$B70:AD70))))))</f>
        <v>13</v>
      </c>
      <c r="AE70" cm="1">
        <f t="array" aca="1" ref="AE70" ca="1">SUMPRODUCT(LARGE('For stats end Y points'!$B70:AE70,ROW(INDIRECT("1:"&amp;MIN(24,COUNT('For stats end Y points'!$B70:AE70))))))</f>
        <v>13</v>
      </c>
      <c r="AF70" cm="1">
        <f t="array" aca="1" ref="AF70" ca="1">SUMPRODUCT(LARGE('For stats end Y points'!$B70:AF70,ROW(INDIRECT("1:"&amp;MIN(24,COUNT('For stats end Y points'!$B70:AF70))))))</f>
        <v>13</v>
      </c>
      <c r="AG70" cm="1">
        <f t="array" aca="1" ref="AG70" ca="1">SUMPRODUCT(LARGE('For stats end Y points'!$B70:AG70,ROW(INDIRECT("1:"&amp;MIN(24,COUNT('For stats end Y points'!$B70:AG70))))))</f>
        <v>13</v>
      </c>
      <c r="AH70" cm="1">
        <f t="array" aca="1" ref="AH70" ca="1">SUMPRODUCT(LARGE('For stats end Y points'!$B70:AH70,ROW(INDIRECT("1:"&amp;MIN(24,COUNT('For stats end Y points'!$B70:AH70))))))</f>
        <v>13</v>
      </c>
      <c r="AP70" s="10">
        <f t="shared" si="1"/>
        <v>0</v>
      </c>
      <c r="AQ70">
        <f>'For stats end Y class'!AU70</f>
        <v>1</v>
      </c>
    </row>
    <row r="71" spans="1:43" x14ac:dyDescent="0.2">
      <c r="A71" t="str">
        <f>'For stats end Y points'!A71</f>
        <v>OlivierN92</v>
      </c>
      <c r="B71" cm="1">
        <f t="array" aca="1" ref="B71" ca="1">SUMPRODUCT(LARGE('For stats end Y points'!$B71:B71,ROW(INDIRECT("1:"&amp;MIN(24,COUNT('For stats end Y points'!$B71:B71))))))</f>
        <v>16</v>
      </c>
      <c r="C71" cm="1">
        <f t="array" aca="1" ref="C71" ca="1">SUMPRODUCT(LARGE('For stats end Y points'!$B71:C71,ROW(INDIRECT("1:"&amp;MIN(24,COUNT('For stats end Y points'!$B71:C71))))))</f>
        <v>16</v>
      </c>
      <c r="D71" cm="1">
        <f t="array" aca="1" ref="D71" ca="1">SUMPRODUCT(LARGE('For stats end Y points'!$B71:D71,ROW(INDIRECT("1:"&amp;MIN(24,COUNT('For stats end Y points'!$B71:D71))))))</f>
        <v>18</v>
      </c>
      <c r="E71" cm="1">
        <f t="array" aca="1" ref="E71" ca="1">SUMPRODUCT(LARGE('For stats end Y points'!$B71:E71,ROW(INDIRECT("1:"&amp;MIN(24,COUNT('For stats end Y points'!$B71:E71))))))</f>
        <v>21</v>
      </c>
      <c r="F71" cm="1">
        <f t="array" aca="1" ref="F71" ca="1">SUMPRODUCT(LARGE('For stats end Y points'!$B71:F71,ROW(INDIRECT("1:"&amp;MIN(24,COUNT('For stats end Y points'!$B71:F71))))))</f>
        <v>21</v>
      </c>
      <c r="G71" cm="1">
        <f t="array" aca="1" ref="G71" ca="1">SUMPRODUCT(LARGE('For stats end Y points'!$B71:G71,ROW(INDIRECT("1:"&amp;MIN(24,COUNT('For stats end Y points'!$B71:G71))))))</f>
        <v>26</v>
      </c>
      <c r="H71" cm="1">
        <f t="array" aca="1" ref="H71" ca="1">SUMPRODUCT(LARGE('For stats end Y points'!$B71:H71,ROW(INDIRECT("1:"&amp;MIN(24,COUNT('For stats end Y points'!$B71:H71))))))</f>
        <v>28</v>
      </c>
      <c r="I71" cm="1">
        <f t="array" aca="1" ref="I71" ca="1">SUMPRODUCT(LARGE('For stats end Y points'!$B71:I71,ROW(INDIRECT("1:"&amp;MIN(24,COUNT('For stats end Y points'!$B71:I71))))))</f>
        <v>33</v>
      </c>
      <c r="J71" cm="1">
        <f t="array" aca="1" ref="J71" ca="1">SUMPRODUCT(LARGE('For stats end Y points'!$B71:J71,ROW(INDIRECT("1:"&amp;MIN(24,COUNT('For stats end Y points'!$B71:J71))))))</f>
        <v>33</v>
      </c>
      <c r="K71" cm="1">
        <f t="array" aca="1" ref="K71" ca="1">SUMPRODUCT(LARGE('For stats end Y points'!$B71:K71,ROW(INDIRECT("1:"&amp;MIN(24,COUNT('For stats end Y points'!$B71:K71))))))</f>
        <v>33</v>
      </c>
      <c r="L71" cm="1">
        <f t="array" aca="1" ref="L71" ca="1">SUMPRODUCT(LARGE('For stats end Y points'!$B71:L71,ROW(INDIRECT("1:"&amp;MIN(24,COUNT('For stats end Y points'!$B71:L71))))))</f>
        <v>33</v>
      </c>
      <c r="M71" cm="1">
        <f t="array" aca="1" ref="M71" ca="1">SUMPRODUCT(LARGE('For stats end Y points'!$B71:M71,ROW(INDIRECT("1:"&amp;MIN(24,COUNT('For stats end Y points'!$B71:M71))))))</f>
        <v>41</v>
      </c>
      <c r="N71" cm="1">
        <f t="array" aca="1" ref="N71" ca="1">SUMPRODUCT(LARGE('For stats end Y points'!$B71:N71,ROW(INDIRECT("1:"&amp;MIN(24,COUNT('For stats end Y points'!$B71:N71))))))</f>
        <v>41</v>
      </c>
      <c r="O71" cm="1">
        <f t="array" aca="1" ref="O71" ca="1">SUMPRODUCT(LARGE('For stats end Y points'!$B71:O71,ROW(INDIRECT("1:"&amp;MIN(24,COUNT('For stats end Y points'!$B71:O71))))))</f>
        <v>57</v>
      </c>
      <c r="P71" cm="1">
        <f t="array" aca="1" ref="P71" ca="1">SUMPRODUCT(LARGE('For stats end Y points'!$B71:P71,ROW(INDIRECT("1:"&amp;MIN(24,COUNT('For stats end Y points'!$B71:P71))))))</f>
        <v>65</v>
      </c>
      <c r="Q71" cm="1">
        <f t="array" aca="1" ref="Q71" ca="1">SUMPRODUCT(LARGE('For stats end Y points'!$B71:Q71,ROW(INDIRECT("1:"&amp;MIN(24,COUNT('For stats end Y points'!$B71:Q71))))))</f>
        <v>66</v>
      </c>
      <c r="R71" cm="1">
        <f t="array" aca="1" ref="R71" ca="1">SUMPRODUCT(LARGE('For stats end Y points'!$B71:R71,ROW(INDIRECT("1:"&amp;MIN(24,COUNT('For stats end Y points'!$B71:R71))))))</f>
        <v>66</v>
      </c>
      <c r="S71" cm="1">
        <f t="array" aca="1" ref="S71" ca="1">SUMPRODUCT(LARGE('For stats end Y points'!$B71:S71,ROW(INDIRECT("1:"&amp;MIN(24,COUNT('For stats end Y points'!$B71:S71))))))</f>
        <v>66</v>
      </c>
      <c r="T71" cm="1">
        <f t="array" aca="1" ref="T71" ca="1">SUMPRODUCT(LARGE('For stats end Y points'!$B71:T71,ROW(INDIRECT("1:"&amp;MIN(24,COUNT('For stats end Y points'!$B71:T71))))))</f>
        <v>66</v>
      </c>
      <c r="U71" cm="1">
        <f t="array" aca="1" ref="U71" ca="1">SUMPRODUCT(LARGE('For stats end Y points'!$B71:U71,ROW(INDIRECT("1:"&amp;MIN(24,COUNT('For stats end Y points'!$B71:U71))))))</f>
        <v>78</v>
      </c>
      <c r="V71" cm="1">
        <f t="array" aca="1" ref="V71" ca="1">SUMPRODUCT(LARGE('For stats end Y points'!$B71:V71,ROW(INDIRECT("1:"&amp;MIN(24,COUNT('For stats end Y points'!$B71:V71))))))</f>
        <v>79</v>
      </c>
      <c r="W71" cm="1">
        <f t="array" aca="1" ref="W71" ca="1">SUMPRODUCT(LARGE('For stats end Y points'!$B71:W71,ROW(INDIRECT("1:"&amp;MIN(24,COUNT('For stats end Y points'!$B71:W71))))))</f>
        <v>96</v>
      </c>
      <c r="X71" cm="1">
        <f t="array" aca="1" ref="X71" ca="1">SUMPRODUCT(LARGE('For stats end Y points'!$B71:X71,ROW(INDIRECT("1:"&amp;MIN(24,COUNT('For stats end Y points'!$B71:X71))))))</f>
        <v>99</v>
      </c>
      <c r="Y71" cm="1">
        <f t="array" aca="1" ref="Y71" ca="1">SUMPRODUCT(LARGE('For stats end Y points'!$B71:Y71,ROW(INDIRECT("1:"&amp;MIN(24,COUNT('For stats end Y points'!$B71:Y71))))))</f>
        <v>112</v>
      </c>
      <c r="Z71" cm="1">
        <f t="array" aca="1" ref="Z71" ca="1">SUMPRODUCT(LARGE('For stats end Y points'!$B71:Z71,ROW(INDIRECT("1:"&amp;MIN(24,COUNT('For stats end Y points'!$B71:Z71))))))</f>
        <v>112</v>
      </c>
      <c r="AA71" cm="1">
        <f t="array" aca="1" ref="AA71" ca="1">SUMPRODUCT(LARGE('For stats end Y points'!$B71:AA71,ROW(INDIRECT("1:"&amp;MIN(24,COUNT('For stats end Y points'!$B71:AA71))))))</f>
        <v>112</v>
      </c>
      <c r="AB71" cm="1">
        <f t="array" aca="1" ref="AB71" ca="1">SUMPRODUCT(LARGE('For stats end Y points'!$B71:AB71,ROW(INDIRECT("1:"&amp;MIN(24,COUNT('For stats end Y points'!$B71:AB71))))))</f>
        <v>116</v>
      </c>
      <c r="AC71" cm="1">
        <f t="array" aca="1" ref="AC71" ca="1">SUMPRODUCT(LARGE('For stats end Y points'!$B71:AC71,ROW(INDIRECT("1:"&amp;MIN(24,COUNT('For stats end Y points'!$B71:AC71))))))</f>
        <v>118</v>
      </c>
      <c r="AD71" cm="1">
        <f t="array" aca="1" ref="AD71" ca="1">SUMPRODUCT(LARGE('For stats end Y points'!$B71:AD71,ROW(INDIRECT("1:"&amp;MIN(24,COUNT('For stats end Y points'!$B71:AD71))))))</f>
        <v>118</v>
      </c>
      <c r="AE71" cm="1">
        <f t="array" aca="1" ref="AE71" ca="1">SUMPRODUCT(LARGE('For stats end Y points'!$B71:AE71,ROW(INDIRECT("1:"&amp;MIN(24,COUNT('For stats end Y points'!$B71:AE71))))))</f>
        <v>127</v>
      </c>
      <c r="AF71" cm="1">
        <f t="array" aca="1" ref="AF71" ca="1">SUMPRODUCT(LARGE('For stats end Y points'!$B71:AF71,ROW(INDIRECT("1:"&amp;MIN(24,COUNT('For stats end Y points'!$B71:AF71))))))</f>
        <v>129</v>
      </c>
      <c r="AG71" cm="1">
        <f t="array" aca="1" ref="AG71" ca="1">SUMPRODUCT(LARGE('For stats end Y points'!$B71:AG71,ROW(INDIRECT("1:"&amp;MIN(24,COUNT('For stats end Y points'!$B71:AG71))))))</f>
        <v>140</v>
      </c>
      <c r="AH71" cm="1">
        <f t="array" aca="1" ref="AH71" ca="1">SUMPRODUCT(LARGE('For stats end Y points'!$B71:AH71,ROW(INDIRECT("1:"&amp;MIN(24,COUNT('For stats end Y points'!$B71:AH71))))))</f>
        <v>152</v>
      </c>
      <c r="AP71" s="10">
        <f t="shared" si="1"/>
        <v>0</v>
      </c>
      <c r="AQ71">
        <f>'For stats end Y class'!AU71</f>
        <v>21</v>
      </c>
    </row>
    <row r="72" spans="1:43" x14ac:dyDescent="0.2">
      <c r="A72" t="str">
        <f>'For stats end Y points'!A72</f>
        <v>Ouais ouais</v>
      </c>
      <c r="B72" cm="1">
        <f t="array" aca="1" ref="B72" ca="1">SUMPRODUCT(LARGE('For stats end Y points'!$B72:B72,ROW(INDIRECT("1:"&amp;MIN(24,COUNT('For stats end Y points'!$B72:B72))))))</f>
        <v>0</v>
      </c>
      <c r="C72" cm="1">
        <f t="array" aca="1" ref="C72" ca="1">SUMPRODUCT(LARGE('For stats end Y points'!$B72:C72,ROW(INDIRECT("1:"&amp;MIN(24,COUNT('For stats end Y points'!$B72:C72))))))</f>
        <v>0</v>
      </c>
      <c r="D72" cm="1">
        <f t="array" aca="1" ref="D72" ca="1">SUMPRODUCT(LARGE('For stats end Y points'!$B72:D72,ROW(INDIRECT("1:"&amp;MIN(24,COUNT('For stats end Y points'!$B72:D72))))))</f>
        <v>2</v>
      </c>
      <c r="E72" cm="1">
        <f t="array" aca="1" ref="E72" ca="1">SUMPRODUCT(LARGE('For stats end Y points'!$B72:E72,ROW(INDIRECT("1:"&amp;MIN(24,COUNT('For stats end Y points'!$B72:E72))))))</f>
        <v>15</v>
      </c>
      <c r="F72" cm="1">
        <f t="array" aca="1" ref="F72" ca="1">SUMPRODUCT(LARGE('For stats end Y points'!$B72:F72,ROW(INDIRECT("1:"&amp;MIN(24,COUNT('For stats end Y points'!$B72:F72))))))</f>
        <v>15</v>
      </c>
      <c r="G72" cm="1">
        <f t="array" aca="1" ref="G72" ca="1">SUMPRODUCT(LARGE('For stats end Y points'!$B72:G72,ROW(INDIRECT("1:"&amp;MIN(24,COUNT('For stats end Y points'!$B72:G72))))))</f>
        <v>18</v>
      </c>
      <c r="H72" cm="1">
        <f t="array" aca="1" ref="H72" ca="1">SUMPRODUCT(LARGE('For stats end Y points'!$B72:H72,ROW(INDIRECT("1:"&amp;MIN(24,COUNT('For stats end Y points'!$B72:H72))))))</f>
        <v>19</v>
      </c>
      <c r="I72" cm="1">
        <f t="array" aca="1" ref="I72" ca="1">SUMPRODUCT(LARGE('For stats end Y points'!$B72:I72,ROW(INDIRECT("1:"&amp;MIN(24,COUNT('For stats end Y points'!$B72:I72))))))</f>
        <v>20</v>
      </c>
      <c r="J72" cm="1">
        <f t="array" aca="1" ref="J72" ca="1">SUMPRODUCT(LARGE('For stats end Y points'!$B72:J72,ROW(INDIRECT("1:"&amp;MIN(24,COUNT('For stats end Y points'!$B72:J72))))))</f>
        <v>20</v>
      </c>
      <c r="K72" cm="1">
        <f t="array" aca="1" ref="K72" ca="1">SUMPRODUCT(LARGE('For stats end Y points'!$B72:K72,ROW(INDIRECT("1:"&amp;MIN(24,COUNT('For stats end Y points'!$B72:K72))))))</f>
        <v>28</v>
      </c>
      <c r="L72" cm="1">
        <f t="array" aca="1" ref="L72" ca="1">SUMPRODUCT(LARGE('For stats end Y points'!$B72:L72,ROW(INDIRECT("1:"&amp;MIN(24,COUNT('For stats end Y points'!$B72:L72))))))</f>
        <v>28</v>
      </c>
      <c r="M72" cm="1">
        <f t="array" aca="1" ref="M72" ca="1">SUMPRODUCT(LARGE('For stats end Y points'!$B72:M72,ROW(INDIRECT("1:"&amp;MIN(24,COUNT('For stats end Y points'!$B72:M72))))))</f>
        <v>28</v>
      </c>
      <c r="N72" cm="1">
        <f t="array" aca="1" ref="N72" ca="1">SUMPRODUCT(LARGE('For stats end Y points'!$B72:N72,ROW(INDIRECT("1:"&amp;MIN(24,COUNT('For stats end Y points'!$B72:N72))))))</f>
        <v>28</v>
      </c>
      <c r="O72" cm="1">
        <f t="array" aca="1" ref="O72" ca="1">SUMPRODUCT(LARGE('For stats end Y points'!$B72:O72,ROW(INDIRECT("1:"&amp;MIN(24,COUNT('For stats end Y points'!$B72:O72))))))</f>
        <v>28</v>
      </c>
      <c r="P72" cm="1">
        <f t="array" aca="1" ref="P72" ca="1">SUMPRODUCT(LARGE('For stats end Y points'!$B72:P72,ROW(INDIRECT("1:"&amp;MIN(24,COUNT('For stats end Y points'!$B72:P72))))))</f>
        <v>45</v>
      </c>
      <c r="Q72" cm="1">
        <f t="array" aca="1" ref="Q72" ca="1">SUMPRODUCT(LARGE('For stats end Y points'!$B72:Q72,ROW(INDIRECT("1:"&amp;MIN(24,COUNT('For stats end Y points'!$B72:Q72))))))</f>
        <v>45</v>
      </c>
      <c r="R72" cm="1">
        <f t="array" aca="1" ref="R72" ca="1">SUMPRODUCT(LARGE('For stats end Y points'!$B72:R72,ROW(INDIRECT("1:"&amp;MIN(24,COUNT('For stats end Y points'!$B72:R72))))))</f>
        <v>45</v>
      </c>
      <c r="S72" cm="1">
        <f t="array" aca="1" ref="S72" ca="1">SUMPRODUCT(LARGE('For stats end Y points'!$B72:S72,ROW(INDIRECT("1:"&amp;MIN(24,COUNT('For stats end Y points'!$B72:S72))))))</f>
        <v>50</v>
      </c>
      <c r="T72" cm="1">
        <f t="array" aca="1" ref="T72" ca="1">SUMPRODUCT(LARGE('For stats end Y points'!$B72:T72,ROW(INDIRECT("1:"&amp;MIN(24,COUNT('For stats end Y points'!$B72:T72))))))</f>
        <v>50</v>
      </c>
      <c r="U72" cm="1">
        <f t="array" aca="1" ref="U72" ca="1">SUMPRODUCT(LARGE('For stats end Y points'!$B72:U72,ROW(INDIRECT("1:"&amp;MIN(24,COUNT('For stats end Y points'!$B72:U72))))))</f>
        <v>61</v>
      </c>
      <c r="V72" cm="1">
        <f t="array" aca="1" ref="V72" ca="1">SUMPRODUCT(LARGE('For stats end Y points'!$B72:V72,ROW(INDIRECT("1:"&amp;MIN(24,COUNT('For stats end Y points'!$B72:V72))))))</f>
        <v>61</v>
      </c>
      <c r="W72" cm="1">
        <f t="array" aca="1" ref="W72" ca="1">SUMPRODUCT(LARGE('For stats end Y points'!$B72:W72,ROW(INDIRECT("1:"&amp;MIN(24,COUNT('For stats end Y points'!$B72:W72))))))</f>
        <v>66</v>
      </c>
      <c r="X72" cm="1">
        <f t="array" aca="1" ref="X72" ca="1">SUMPRODUCT(LARGE('For stats end Y points'!$B72:X72,ROW(INDIRECT("1:"&amp;MIN(24,COUNT('For stats end Y points'!$B72:X72))))))</f>
        <v>75</v>
      </c>
      <c r="Y72" cm="1">
        <f t="array" aca="1" ref="Y72" ca="1">SUMPRODUCT(LARGE('For stats end Y points'!$B72:Y72,ROW(INDIRECT("1:"&amp;MIN(24,COUNT('For stats end Y points'!$B72:Y72))))))</f>
        <v>75</v>
      </c>
      <c r="Z72" cm="1">
        <f t="array" aca="1" ref="Z72" ca="1">SUMPRODUCT(LARGE('For stats end Y points'!$B72:Z72,ROW(INDIRECT("1:"&amp;MIN(24,COUNT('For stats end Y points'!$B72:Z72))))))</f>
        <v>83</v>
      </c>
      <c r="AA72" cm="1">
        <f t="array" aca="1" ref="AA72" ca="1">SUMPRODUCT(LARGE('For stats end Y points'!$B72:AA72,ROW(INDIRECT("1:"&amp;MIN(24,COUNT('For stats end Y points'!$B72:AA72))))))</f>
        <v>83</v>
      </c>
      <c r="AB72" cm="1">
        <f t="array" aca="1" ref="AB72" ca="1">SUMPRODUCT(LARGE('For stats end Y points'!$B72:AB72,ROW(INDIRECT("1:"&amp;MIN(24,COUNT('For stats end Y points'!$B72:AB72))))))</f>
        <v>85</v>
      </c>
      <c r="AC72" cm="1">
        <f t="array" aca="1" ref="AC72" ca="1">SUMPRODUCT(LARGE('For stats end Y points'!$B72:AC72,ROW(INDIRECT("1:"&amp;MIN(24,COUNT('For stats end Y points'!$B72:AC72))))))</f>
        <v>85</v>
      </c>
      <c r="AD72" cm="1">
        <f t="array" aca="1" ref="AD72" ca="1">SUMPRODUCT(LARGE('For stats end Y points'!$B72:AD72,ROW(INDIRECT("1:"&amp;MIN(24,COUNT('For stats end Y points'!$B72:AD72))))))</f>
        <v>85</v>
      </c>
      <c r="AE72" cm="1">
        <f t="array" aca="1" ref="AE72" ca="1">SUMPRODUCT(LARGE('For stats end Y points'!$B72:AE72,ROW(INDIRECT("1:"&amp;MIN(24,COUNT('For stats end Y points'!$B72:AE72))))))</f>
        <v>85</v>
      </c>
      <c r="AF72" cm="1">
        <f t="array" aca="1" ref="AF72" ca="1">SUMPRODUCT(LARGE('For stats end Y points'!$B72:AF72,ROW(INDIRECT("1:"&amp;MIN(24,COUNT('For stats end Y points'!$B72:AF72))))))</f>
        <v>85</v>
      </c>
      <c r="AG72" cm="1">
        <f t="array" aca="1" ref="AG72" ca="1">SUMPRODUCT(LARGE('For stats end Y points'!$B72:AG72,ROW(INDIRECT("1:"&amp;MIN(24,COUNT('For stats end Y points'!$B72:AG72))))))</f>
        <v>86</v>
      </c>
      <c r="AH72" cm="1">
        <f t="array" aca="1" ref="AH72" ca="1">SUMPRODUCT(LARGE('For stats end Y points'!$B72:AH72,ROW(INDIRECT("1:"&amp;MIN(24,COUNT('For stats end Y points'!$B72:AH72))))))</f>
        <v>90</v>
      </c>
      <c r="AP72" s="10">
        <f t="shared" si="1"/>
        <v>0</v>
      </c>
      <c r="AQ72">
        <f>'For stats end Y class'!AU72</f>
        <v>15</v>
      </c>
    </row>
    <row r="73" spans="1:43" x14ac:dyDescent="0.2">
      <c r="A73" t="str">
        <f>'For stats end Y points'!A73</f>
        <v>Panot</v>
      </c>
      <c r="B73" cm="1">
        <f t="array" aca="1" ref="B73" ca="1">SUMPRODUCT(LARGE('For stats end Y points'!$B73:B73,ROW(INDIRECT("1:"&amp;MIN(24,COUNT('For stats end Y points'!$B73:B73))))))</f>
        <v>0</v>
      </c>
      <c r="C73" cm="1">
        <f t="array" aca="1" ref="C73" ca="1">SUMPRODUCT(LARGE('For stats end Y points'!$B73:C73,ROW(INDIRECT("1:"&amp;MIN(24,COUNT('For stats end Y points'!$B73:C73))))))</f>
        <v>0</v>
      </c>
      <c r="D73" cm="1">
        <f t="array" aca="1" ref="D73" ca="1">SUMPRODUCT(LARGE('For stats end Y points'!$B73:D73,ROW(INDIRECT("1:"&amp;MIN(24,COUNT('For stats end Y points'!$B73:D73))))))</f>
        <v>0</v>
      </c>
      <c r="E73" cm="1">
        <f t="array" aca="1" ref="E73" ca="1">SUMPRODUCT(LARGE('For stats end Y points'!$B73:E73,ROW(INDIRECT("1:"&amp;MIN(24,COUNT('For stats end Y points'!$B73:E73))))))</f>
        <v>0</v>
      </c>
      <c r="F73" cm="1">
        <f t="array" aca="1" ref="F73" ca="1">SUMPRODUCT(LARGE('For stats end Y points'!$B73:F73,ROW(INDIRECT("1:"&amp;MIN(24,COUNT('For stats end Y points'!$B73:F73))))))</f>
        <v>0</v>
      </c>
      <c r="G73" cm="1">
        <f t="array" aca="1" ref="G73" ca="1">SUMPRODUCT(LARGE('For stats end Y points'!$B73:G73,ROW(INDIRECT("1:"&amp;MIN(24,COUNT('For stats end Y points'!$B73:G73))))))</f>
        <v>0</v>
      </c>
      <c r="H73" cm="1">
        <f t="array" aca="1" ref="H73" ca="1">SUMPRODUCT(LARGE('For stats end Y points'!$B73:H73,ROW(INDIRECT("1:"&amp;MIN(24,COUNT('For stats end Y points'!$B73:H73))))))</f>
        <v>0</v>
      </c>
      <c r="I73" cm="1">
        <f t="array" aca="1" ref="I73" ca="1">SUMPRODUCT(LARGE('For stats end Y points'!$B73:I73,ROW(INDIRECT("1:"&amp;MIN(24,COUNT('For stats end Y points'!$B73:I73))))))</f>
        <v>0</v>
      </c>
      <c r="J73" cm="1">
        <f t="array" aca="1" ref="J73" ca="1">SUMPRODUCT(LARGE('For stats end Y points'!$B73:J73,ROW(INDIRECT("1:"&amp;MIN(24,COUNT('For stats end Y points'!$B73:J73))))))</f>
        <v>1</v>
      </c>
      <c r="K73" cm="1">
        <f t="array" aca="1" ref="K73" ca="1">SUMPRODUCT(LARGE('For stats end Y points'!$B73:K73,ROW(INDIRECT("1:"&amp;MIN(24,COUNT('For stats end Y points'!$B73:K73))))))</f>
        <v>1</v>
      </c>
      <c r="L73" cm="1">
        <f t="array" aca="1" ref="L73" ca="1">SUMPRODUCT(LARGE('For stats end Y points'!$B73:L73,ROW(INDIRECT("1:"&amp;MIN(24,COUNT('For stats end Y points'!$B73:L73))))))</f>
        <v>1</v>
      </c>
      <c r="M73" cm="1">
        <f t="array" aca="1" ref="M73" ca="1">SUMPRODUCT(LARGE('For stats end Y points'!$B73:M73,ROW(INDIRECT("1:"&amp;MIN(24,COUNT('For stats end Y points'!$B73:M73))))))</f>
        <v>1</v>
      </c>
      <c r="N73" cm="1">
        <f t="array" aca="1" ref="N73" ca="1">SUMPRODUCT(LARGE('For stats end Y points'!$B73:N73,ROW(INDIRECT("1:"&amp;MIN(24,COUNT('For stats end Y points'!$B73:N73))))))</f>
        <v>1</v>
      </c>
      <c r="O73" cm="1">
        <f t="array" aca="1" ref="O73" ca="1">SUMPRODUCT(LARGE('For stats end Y points'!$B73:O73,ROW(INDIRECT("1:"&amp;MIN(24,COUNT('For stats end Y points'!$B73:O73))))))</f>
        <v>1</v>
      </c>
      <c r="P73" cm="1">
        <f t="array" aca="1" ref="P73" ca="1">SUMPRODUCT(LARGE('For stats end Y points'!$B73:P73,ROW(INDIRECT("1:"&amp;MIN(24,COUNT('For stats end Y points'!$B73:P73))))))</f>
        <v>1</v>
      </c>
      <c r="Q73" cm="1">
        <f t="array" aca="1" ref="Q73" ca="1">SUMPRODUCT(LARGE('For stats end Y points'!$B73:Q73,ROW(INDIRECT("1:"&amp;MIN(24,COUNT('For stats end Y points'!$B73:Q73))))))</f>
        <v>1</v>
      </c>
      <c r="R73" cm="1">
        <f t="array" aca="1" ref="R73" ca="1">SUMPRODUCT(LARGE('For stats end Y points'!$B73:R73,ROW(INDIRECT("1:"&amp;MIN(24,COUNT('For stats end Y points'!$B73:R73))))))</f>
        <v>1</v>
      </c>
      <c r="S73" cm="1">
        <f t="array" aca="1" ref="S73" ca="1">SUMPRODUCT(LARGE('For stats end Y points'!$B73:S73,ROW(INDIRECT("1:"&amp;MIN(24,COUNT('For stats end Y points'!$B73:S73))))))</f>
        <v>1</v>
      </c>
      <c r="T73" cm="1">
        <f t="array" aca="1" ref="T73" ca="1">SUMPRODUCT(LARGE('For stats end Y points'!$B73:T73,ROW(INDIRECT("1:"&amp;MIN(24,COUNT('For stats end Y points'!$B73:T73))))))</f>
        <v>1</v>
      </c>
      <c r="U73" cm="1">
        <f t="array" aca="1" ref="U73" ca="1">SUMPRODUCT(LARGE('For stats end Y points'!$B73:U73,ROW(INDIRECT("1:"&amp;MIN(24,COUNT('For stats end Y points'!$B73:U73))))))</f>
        <v>1</v>
      </c>
      <c r="V73" cm="1">
        <f t="array" aca="1" ref="V73" ca="1">SUMPRODUCT(LARGE('For stats end Y points'!$B73:V73,ROW(INDIRECT("1:"&amp;MIN(24,COUNT('For stats end Y points'!$B73:V73))))))</f>
        <v>1</v>
      </c>
      <c r="W73" cm="1">
        <f t="array" aca="1" ref="W73" ca="1">SUMPRODUCT(LARGE('For stats end Y points'!$B73:W73,ROW(INDIRECT("1:"&amp;MIN(24,COUNT('For stats end Y points'!$B73:W73))))))</f>
        <v>1</v>
      </c>
      <c r="X73" cm="1">
        <f t="array" aca="1" ref="X73" ca="1">SUMPRODUCT(LARGE('For stats end Y points'!$B73:X73,ROW(INDIRECT("1:"&amp;MIN(24,COUNT('For stats end Y points'!$B73:X73))))))</f>
        <v>1</v>
      </c>
      <c r="Y73" cm="1">
        <f t="array" aca="1" ref="Y73" ca="1">SUMPRODUCT(LARGE('For stats end Y points'!$B73:Y73,ROW(INDIRECT("1:"&amp;MIN(24,COUNT('For stats end Y points'!$B73:Y73))))))</f>
        <v>1</v>
      </c>
      <c r="Z73" cm="1">
        <f t="array" aca="1" ref="Z73" ca="1">SUMPRODUCT(LARGE('For stats end Y points'!$B73:Z73,ROW(INDIRECT("1:"&amp;MIN(24,COUNT('For stats end Y points'!$B73:Z73))))))</f>
        <v>1</v>
      </c>
      <c r="AA73" cm="1">
        <f t="array" aca="1" ref="AA73" ca="1">SUMPRODUCT(LARGE('For stats end Y points'!$B73:AA73,ROW(INDIRECT("1:"&amp;MIN(24,COUNT('For stats end Y points'!$B73:AA73))))))</f>
        <v>1</v>
      </c>
      <c r="AB73" cm="1">
        <f t="array" aca="1" ref="AB73" ca="1">SUMPRODUCT(LARGE('For stats end Y points'!$B73:AB73,ROW(INDIRECT("1:"&amp;MIN(24,COUNT('For stats end Y points'!$B73:AB73))))))</f>
        <v>1</v>
      </c>
      <c r="AC73" cm="1">
        <f t="array" aca="1" ref="AC73" ca="1">SUMPRODUCT(LARGE('For stats end Y points'!$B73:AC73,ROW(INDIRECT("1:"&amp;MIN(24,COUNT('For stats end Y points'!$B73:AC73))))))</f>
        <v>1</v>
      </c>
      <c r="AD73" cm="1">
        <f t="array" aca="1" ref="AD73" ca="1">SUMPRODUCT(LARGE('For stats end Y points'!$B73:AD73,ROW(INDIRECT("1:"&amp;MIN(24,COUNT('For stats end Y points'!$B73:AD73))))))</f>
        <v>1</v>
      </c>
      <c r="AE73" cm="1">
        <f t="array" aca="1" ref="AE73" ca="1">SUMPRODUCT(LARGE('For stats end Y points'!$B73:AE73,ROW(INDIRECT("1:"&amp;MIN(24,COUNT('For stats end Y points'!$B73:AE73))))))</f>
        <v>1</v>
      </c>
      <c r="AF73" cm="1">
        <f t="array" aca="1" ref="AF73" ca="1">SUMPRODUCT(LARGE('For stats end Y points'!$B73:AF73,ROW(INDIRECT("1:"&amp;MIN(24,COUNT('For stats end Y points'!$B73:AF73))))))</f>
        <v>1</v>
      </c>
      <c r="AG73" cm="1">
        <f t="array" aca="1" ref="AG73" ca="1">SUMPRODUCT(LARGE('For stats end Y points'!$B73:AG73,ROW(INDIRECT("1:"&amp;MIN(24,COUNT('For stats end Y points'!$B73:AG73))))))</f>
        <v>1</v>
      </c>
      <c r="AH73" cm="1">
        <f t="array" aca="1" ref="AH73" ca="1">SUMPRODUCT(LARGE('For stats end Y points'!$B73:AH73,ROW(INDIRECT("1:"&amp;MIN(24,COUNT('For stats end Y points'!$B73:AH73))))))</f>
        <v>1</v>
      </c>
      <c r="AP73" s="10">
        <f t="shared" si="1"/>
        <v>0</v>
      </c>
      <c r="AQ73">
        <f>'For stats end Y class'!AU73</f>
        <v>1</v>
      </c>
    </row>
    <row r="74" spans="1:43" x14ac:dyDescent="0.2">
      <c r="A74" t="str">
        <f>'For stats end Y points'!A74</f>
        <v>Papillon</v>
      </c>
      <c r="B74" cm="1">
        <f t="array" aca="1" ref="B74" ca="1">SUMPRODUCT(LARGE('For stats end Y points'!$B74:B74,ROW(INDIRECT("1:"&amp;MIN(24,COUNT('For stats end Y points'!$B74:B74))))))</f>
        <v>0</v>
      </c>
      <c r="C74" cm="1">
        <f t="array" aca="1" ref="C74" ca="1">SUMPRODUCT(LARGE('For stats end Y points'!$B74:C74,ROW(INDIRECT("1:"&amp;MIN(24,COUNT('For stats end Y points'!$B74:C74))))))</f>
        <v>2</v>
      </c>
      <c r="D74" cm="1">
        <f t="array" aca="1" ref="D74" ca="1">SUMPRODUCT(LARGE('For stats end Y points'!$B74:D74,ROW(INDIRECT("1:"&amp;MIN(24,COUNT('For stats end Y points'!$B74:D74))))))</f>
        <v>2</v>
      </c>
      <c r="E74" cm="1">
        <f t="array" aca="1" ref="E74" ca="1">SUMPRODUCT(LARGE('For stats end Y points'!$B74:E74,ROW(INDIRECT("1:"&amp;MIN(24,COUNT('For stats end Y points'!$B74:E74))))))</f>
        <v>4</v>
      </c>
      <c r="F74" cm="1">
        <f t="array" aca="1" ref="F74" ca="1">SUMPRODUCT(LARGE('For stats end Y points'!$B74:F74,ROW(INDIRECT("1:"&amp;MIN(24,COUNT('For stats end Y points'!$B74:F74))))))</f>
        <v>6</v>
      </c>
      <c r="G74" cm="1">
        <f t="array" aca="1" ref="G74" ca="1">SUMPRODUCT(LARGE('For stats end Y points'!$B74:G74,ROW(INDIRECT("1:"&amp;MIN(24,COUNT('For stats end Y points'!$B74:G74))))))</f>
        <v>7</v>
      </c>
      <c r="H74" cm="1">
        <f t="array" aca="1" ref="H74" ca="1">SUMPRODUCT(LARGE('For stats end Y points'!$B74:H74,ROW(INDIRECT("1:"&amp;MIN(24,COUNT('For stats end Y points'!$B74:H74))))))</f>
        <v>15</v>
      </c>
      <c r="I74" cm="1">
        <f t="array" aca="1" ref="I74" ca="1">SUMPRODUCT(LARGE('For stats end Y points'!$B74:I74,ROW(INDIRECT("1:"&amp;MIN(24,COUNT('For stats end Y points'!$B74:I74))))))</f>
        <v>15</v>
      </c>
      <c r="J74" cm="1">
        <f t="array" aca="1" ref="J74" ca="1">SUMPRODUCT(LARGE('For stats end Y points'!$B74:J74,ROW(INDIRECT("1:"&amp;MIN(24,COUNT('For stats end Y points'!$B74:J74))))))</f>
        <v>15</v>
      </c>
      <c r="K74" cm="1">
        <f t="array" aca="1" ref="K74" ca="1">SUMPRODUCT(LARGE('For stats end Y points'!$B74:K74,ROW(INDIRECT("1:"&amp;MIN(24,COUNT('For stats end Y points'!$B74:K74))))))</f>
        <v>15</v>
      </c>
      <c r="L74" cm="1">
        <f t="array" aca="1" ref="L74" ca="1">SUMPRODUCT(LARGE('For stats end Y points'!$B74:L74,ROW(INDIRECT("1:"&amp;MIN(24,COUNT('For stats end Y points'!$B74:L74))))))</f>
        <v>15</v>
      </c>
      <c r="M74" cm="1">
        <f t="array" aca="1" ref="M74" ca="1">SUMPRODUCT(LARGE('For stats end Y points'!$B74:M74,ROW(INDIRECT("1:"&amp;MIN(24,COUNT('For stats end Y points'!$B74:M74))))))</f>
        <v>15</v>
      </c>
      <c r="N74" cm="1">
        <f t="array" aca="1" ref="N74" ca="1">SUMPRODUCT(LARGE('For stats end Y points'!$B74:N74,ROW(INDIRECT("1:"&amp;MIN(24,COUNT('For stats end Y points'!$B74:N74))))))</f>
        <v>15</v>
      </c>
      <c r="O74" cm="1">
        <f t="array" aca="1" ref="O74" ca="1">SUMPRODUCT(LARGE('For stats end Y points'!$B74:O74,ROW(INDIRECT("1:"&amp;MIN(24,COUNT('For stats end Y points'!$B74:O74))))))</f>
        <v>15</v>
      </c>
      <c r="P74" cm="1">
        <f t="array" aca="1" ref="P74" ca="1">SUMPRODUCT(LARGE('For stats end Y points'!$B74:P74,ROW(INDIRECT("1:"&amp;MIN(24,COUNT('For stats end Y points'!$B74:P74))))))</f>
        <v>15</v>
      </c>
      <c r="Q74" cm="1">
        <f t="array" aca="1" ref="Q74" ca="1">SUMPRODUCT(LARGE('For stats end Y points'!$B74:Q74,ROW(INDIRECT("1:"&amp;MIN(24,COUNT('For stats end Y points'!$B74:Q74))))))</f>
        <v>15</v>
      </c>
      <c r="R74" cm="1">
        <f t="array" aca="1" ref="R74" ca="1">SUMPRODUCT(LARGE('For stats end Y points'!$B74:R74,ROW(INDIRECT("1:"&amp;MIN(24,COUNT('For stats end Y points'!$B74:R74))))))</f>
        <v>15</v>
      </c>
      <c r="S74" cm="1">
        <f t="array" aca="1" ref="S74" ca="1">SUMPRODUCT(LARGE('For stats end Y points'!$B74:S74,ROW(INDIRECT("1:"&amp;MIN(24,COUNT('For stats end Y points'!$B74:S74))))))</f>
        <v>15</v>
      </c>
      <c r="T74" cm="1">
        <f t="array" aca="1" ref="T74" ca="1">SUMPRODUCT(LARGE('For stats end Y points'!$B74:T74,ROW(INDIRECT("1:"&amp;MIN(24,COUNT('For stats end Y points'!$B74:T74))))))</f>
        <v>15</v>
      </c>
      <c r="U74" cm="1">
        <f t="array" aca="1" ref="U74" ca="1">SUMPRODUCT(LARGE('For stats end Y points'!$B74:U74,ROW(INDIRECT("1:"&amp;MIN(24,COUNT('For stats end Y points'!$B74:U74))))))</f>
        <v>15</v>
      </c>
      <c r="V74" cm="1">
        <f t="array" aca="1" ref="V74" ca="1">SUMPRODUCT(LARGE('For stats end Y points'!$B74:V74,ROW(INDIRECT("1:"&amp;MIN(24,COUNT('For stats end Y points'!$B74:V74))))))</f>
        <v>15</v>
      </c>
      <c r="W74" cm="1">
        <f t="array" aca="1" ref="W74" ca="1">SUMPRODUCT(LARGE('For stats end Y points'!$B74:W74,ROW(INDIRECT("1:"&amp;MIN(24,COUNT('For stats end Y points'!$B74:W74))))))</f>
        <v>15</v>
      </c>
      <c r="X74" cm="1">
        <f t="array" aca="1" ref="X74" ca="1">SUMPRODUCT(LARGE('For stats end Y points'!$B74:X74,ROW(INDIRECT("1:"&amp;MIN(24,COUNT('For stats end Y points'!$B74:X74))))))</f>
        <v>15</v>
      </c>
      <c r="Y74" cm="1">
        <f t="array" aca="1" ref="Y74" ca="1">SUMPRODUCT(LARGE('For stats end Y points'!$B74:Y74,ROW(INDIRECT("1:"&amp;MIN(24,COUNT('For stats end Y points'!$B74:Y74))))))</f>
        <v>15</v>
      </c>
      <c r="Z74" cm="1">
        <f t="array" aca="1" ref="Z74" ca="1">SUMPRODUCT(LARGE('For stats end Y points'!$B74:Z74,ROW(INDIRECT("1:"&amp;MIN(24,COUNT('For stats end Y points'!$B74:Z74))))))</f>
        <v>15</v>
      </c>
      <c r="AA74" cm="1">
        <f t="array" aca="1" ref="AA74" ca="1">SUMPRODUCT(LARGE('For stats end Y points'!$B74:AA74,ROW(INDIRECT("1:"&amp;MIN(24,COUNT('For stats end Y points'!$B74:AA74))))))</f>
        <v>15</v>
      </c>
      <c r="AB74" cm="1">
        <f t="array" aca="1" ref="AB74" ca="1">SUMPRODUCT(LARGE('For stats end Y points'!$B74:AB74,ROW(INDIRECT("1:"&amp;MIN(24,COUNT('For stats end Y points'!$B74:AB74))))))</f>
        <v>15</v>
      </c>
      <c r="AC74" cm="1">
        <f t="array" aca="1" ref="AC74" ca="1">SUMPRODUCT(LARGE('For stats end Y points'!$B74:AC74,ROW(INDIRECT("1:"&amp;MIN(24,COUNT('For stats end Y points'!$B74:AC74))))))</f>
        <v>15</v>
      </c>
      <c r="AD74" cm="1">
        <f t="array" aca="1" ref="AD74" ca="1">SUMPRODUCT(LARGE('For stats end Y points'!$B74:AD74,ROW(INDIRECT("1:"&amp;MIN(24,COUNT('For stats end Y points'!$B74:AD74))))))</f>
        <v>15</v>
      </c>
      <c r="AE74" cm="1">
        <f t="array" aca="1" ref="AE74" ca="1">SUMPRODUCT(LARGE('For stats end Y points'!$B74:AE74,ROW(INDIRECT("1:"&amp;MIN(24,COUNT('For stats end Y points'!$B74:AE74))))))</f>
        <v>15</v>
      </c>
      <c r="AF74" cm="1">
        <f t="array" aca="1" ref="AF74" ca="1">SUMPRODUCT(LARGE('For stats end Y points'!$B74:AF74,ROW(INDIRECT("1:"&amp;MIN(24,COUNT('For stats end Y points'!$B74:AF74))))))</f>
        <v>15</v>
      </c>
      <c r="AG74" cm="1">
        <f t="array" aca="1" ref="AG74" ca="1">SUMPRODUCT(LARGE('For stats end Y points'!$B74:AG74,ROW(INDIRECT("1:"&amp;MIN(24,COUNT('For stats end Y points'!$B74:AG74))))))</f>
        <v>15</v>
      </c>
      <c r="AH74" cm="1">
        <f t="array" aca="1" ref="AH74" ca="1">SUMPRODUCT(LARGE('For stats end Y points'!$B74:AH74,ROW(INDIRECT("1:"&amp;MIN(24,COUNT('For stats end Y points'!$B74:AH74))))))</f>
        <v>15</v>
      </c>
      <c r="AP74" s="10">
        <f t="shared" si="1"/>
        <v>0</v>
      </c>
      <c r="AQ74">
        <f>'For stats end Y class'!AU74</f>
        <v>5</v>
      </c>
    </row>
    <row r="75" spans="1:43" x14ac:dyDescent="0.2">
      <c r="A75" t="str">
        <f>'For stats end Y points'!A75</f>
        <v>PatB</v>
      </c>
      <c r="B75" cm="1">
        <f t="array" aca="1" ref="B75" ca="1">SUMPRODUCT(LARGE('For stats end Y points'!$B75:B75,ROW(INDIRECT("1:"&amp;MIN(24,COUNT('For stats end Y points'!$B75:B75))))))</f>
        <v>12</v>
      </c>
      <c r="C75" cm="1">
        <f t="array" aca="1" ref="C75" ca="1">SUMPRODUCT(LARGE('For stats end Y points'!$B75:C75,ROW(INDIRECT("1:"&amp;MIN(24,COUNT('For stats end Y points'!$B75:C75))))))</f>
        <v>13</v>
      </c>
      <c r="D75" cm="1">
        <f t="array" aca="1" ref="D75" ca="1">SUMPRODUCT(LARGE('For stats end Y points'!$B75:D75,ROW(INDIRECT("1:"&amp;MIN(24,COUNT('For stats end Y points'!$B75:D75))))))</f>
        <v>17</v>
      </c>
      <c r="E75" cm="1">
        <f t="array" aca="1" ref="E75" ca="1">SUMPRODUCT(LARGE('For stats end Y points'!$B75:E75,ROW(INDIRECT("1:"&amp;MIN(24,COUNT('For stats end Y points'!$B75:E75))))))</f>
        <v>20</v>
      </c>
      <c r="F75" cm="1">
        <f t="array" aca="1" ref="F75" ca="1">SUMPRODUCT(LARGE('For stats end Y points'!$B75:F75,ROW(INDIRECT("1:"&amp;MIN(24,COUNT('For stats end Y points'!$B75:F75))))))</f>
        <v>20</v>
      </c>
      <c r="G75" cm="1">
        <f t="array" aca="1" ref="G75" ca="1">SUMPRODUCT(LARGE('For stats end Y points'!$B75:G75,ROW(INDIRECT("1:"&amp;MIN(24,COUNT('For stats end Y points'!$B75:G75))))))</f>
        <v>22</v>
      </c>
      <c r="H75" cm="1">
        <f t="array" aca="1" ref="H75" ca="1">SUMPRODUCT(LARGE('For stats end Y points'!$B75:H75,ROW(INDIRECT("1:"&amp;MIN(24,COUNT('For stats end Y points'!$B75:H75))))))</f>
        <v>34</v>
      </c>
      <c r="I75" cm="1">
        <f t="array" aca="1" ref="I75" ca="1">SUMPRODUCT(LARGE('For stats end Y points'!$B75:I75,ROW(INDIRECT("1:"&amp;MIN(24,COUNT('For stats end Y points'!$B75:I75))))))</f>
        <v>47</v>
      </c>
      <c r="J75" cm="1">
        <f t="array" aca="1" ref="J75" ca="1">SUMPRODUCT(LARGE('For stats end Y points'!$B75:J75,ROW(INDIRECT("1:"&amp;MIN(24,COUNT('For stats end Y points'!$B75:J75))))))</f>
        <v>63</v>
      </c>
      <c r="K75" cm="1">
        <f t="array" aca="1" ref="K75" ca="1">SUMPRODUCT(LARGE('For stats end Y points'!$B75:K75,ROW(INDIRECT("1:"&amp;MIN(24,COUNT('For stats end Y points'!$B75:K75))))))</f>
        <v>74</v>
      </c>
      <c r="L75" cm="1">
        <f t="array" aca="1" ref="L75" ca="1">SUMPRODUCT(LARGE('For stats end Y points'!$B75:L75,ROW(INDIRECT("1:"&amp;MIN(24,COUNT('For stats end Y points'!$B75:L75))))))</f>
        <v>81</v>
      </c>
      <c r="M75" cm="1">
        <f t="array" aca="1" ref="M75" ca="1">SUMPRODUCT(LARGE('For stats end Y points'!$B75:M75,ROW(INDIRECT("1:"&amp;MIN(24,COUNT('For stats end Y points'!$B75:M75))))))</f>
        <v>93</v>
      </c>
      <c r="N75" cm="1">
        <f t="array" aca="1" ref="N75" ca="1">SUMPRODUCT(LARGE('For stats end Y points'!$B75:N75,ROW(INDIRECT("1:"&amp;MIN(24,COUNT('For stats end Y points'!$B75:N75))))))</f>
        <v>97</v>
      </c>
      <c r="O75" cm="1">
        <f t="array" aca="1" ref="O75" ca="1">SUMPRODUCT(LARGE('For stats end Y points'!$B75:O75,ROW(INDIRECT("1:"&amp;MIN(24,COUNT('For stats end Y points'!$B75:O75))))))</f>
        <v>105</v>
      </c>
      <c r="P75" cm="1">
        <f t="array" aca="1" ref="P75" ca="1">SUMPRODUCT(LARGE('For stats end Y points'!$B75:P75,ROW(INDIRECT("1:"&amp;MIN(24,COUNT('For stats end Y points'!$B75:P75))))))</f>
        <v>109</v>
      </c>
      <c r="Q75" cm="1">
        <f t="array" aca="1" ref="Q75" ca="1">SUMPRODUCT(LARGE('For stats end Y points'!$B75:Q75,ROW(INDIRECT("1:"&amp;MIN(24,COUNT('For stats end Y points'!$B75:Q75))))))</f>
        <v>111</v>
      </c>
      <c r="R75" cm="1">
        <f t="array" aca="1" ref="R75" ca="1">SUMPRODUCT(LARGE('For stats end Y points'!$B75:R75,ROW(INDIRECT("1:"&amp;MIN(24,COUNT('For stats end Y points'!$B75:R75))))))</f>
        <v>116</v>
      </c>
      <c r="S75" cm="1">
        <f t="array" aca="1" ref="S75" ca="1">SUMPRODUCT(LARGE('For stats end Y points'!$B75:S75,ROW(INDIRECT("1:"&amp;MIN(24,COUNT('For stats end Y points'!$B75:S75))))))</f>
        <v>125</v>
      </c>
      <c r="T75" cm="1">
        <f t="array" aca="1" ref="T75" ca="1">SUMPRODUCT(LARGE('For stats end Y points'!$B75:T75,ROW(INDIRECT("1:"&amp;MIN(24,COUNT('For stats end Y points'!$B75:T75))))))</f>
        <v>133</v>
      </c>
      <c r="U75" cm="1">
        <f t="array" aca="1" ref="U75" ca="1">SUMPRODUCT(LARGE('For stats end Y points'!$B75:U75,ROW(INDIRECT("1:"&amp;MIN(24,COUNT('For stats end Y points'!$B75:U75))))))</f>
        <v>149</v>
      </c>
      <c r="V75" cm="1">
        <f t="array" aca="1" ref="V75" ca="1">SUMPRODUCT(LARGE('For stats end Y points'!$B75:V75,ROW(INDIRECT("1:"&amp;MIN(24,COUNT('For stats end Y points'!$B75:V75))))))</f>
        <v>161</v>
      </c>
      <c r="W75" cm="1">
        <f t="array" aca="1" ref="W75" ca="1">SUMPRODUCT(LARGE('For stats end Y points'!$B75:W75,ROW(INDIRECT("1:"&amp;MIN(24,COUNT('For stats end Y points'!$B75:W75))))))</f>
        <v>178</v>
      </c>
      <c r="X75" cm="1">
        <f t="array" aca="1" ref="X75" ca="1">SUMPRODUCT(LARGE('For stats end Y points'!$B75:X75,ROW(INDIRECT("1:"&amp;MIN(24,COUNT('For stats end Y points'!$B75:X75))))))</f>
        <v>194</v>
      </c>
      <c r="Y75" cm="1">
        <f t="array" aca="1" ref="Y75" ca="1">SUMPRODUCT(LARGE('For stats end Y points'!$B75:Y75,ROW(INDIRECT("1:"&amp;MIN(24,COUNT('For stats end Y points'!$B75:Y75))))))</f>
        <v>196</v>
      </c>
      <c r="Z75" cm="1">
        <f t="array" aca="1" ref="Z75" ca="1">SUMPRODUCT(LARGE('For stats end Y points'!$B75:Z75,ROW(INDIRECT("1:"&amp;MIN(24,COUNT('For stats end Y points'!$B75:Z75))))))</f>
        <v>197</v>
      </c>
      <c r="AA75" cm="1">
        <f t="array" aca="1" ref="AA75" ca="1">SUMPRODUCT(LARGE('For stats end Y points'!$B75:AA75,ROW(INDIRECT("1:"&amp;MIN(24,COUNT('For stats end Y points'!$B75:AA75))))))</f>
        <v>197</v>
      </c>
      <c r="AB75" cm="1">
        <f t="array" aca="1" ref="AB75" ca="1">SUMPRODUCT(LARGE('For stats end Y points'!$B75:AB75,ROW(INDIRECT("1:"&amp;MIN(24,COUNT('For stats end Y points'!$B75:AB75))))))</f>
        <v>212</v>
      </c>
      <c r="AC75" cm="1">
        <f t="array" aca="1" ref="AC75" ca="1">SUMPRODUCT(LARGE('For stats end Y points'!$B75:AC75,ROW(INDIRECT("1:"&amp;MIN(24,COUNT('For stats end Y points'!$B75:AC75))))))</f>
        <v>216</v>
      </c>
      <c r="AD75" cm="1">
        <f t="array" aca="1" ref="AD75" ca="1">SUMPRODUCT(LARGE('For stats end Y points'!$B75:AD75,ROW(INDIRECT("1:"&amp;MIN(24,COUNT('For stats end Y points'!$B75:AD75))))))</f>
        <v>222</v>
      </c>
      <c r="AE75" cm="1">
        <f t="array" aca="1" ref="AE75" ca="1">SUMPRODUCT(LARGE('For stats end Y points'!$B75:AE75,ROW(INDIRECT("1:"&amp;MIN(24,COUNT('For stats end Y points'!$B75:AE75))))))</f>
        <v>228</v>
      </c>
      <c r="AF75" cm="1">
        <f t="array" aca="1" ref="AF75" ca="1">SUMPRODUCT(LARGE('For stats end Y points'!$B75:AF75,ROW(INDIRECT("1:"&amp;MIN(24,COUNT('For stats end Y points'!$B75:AF75))))))</f>
        <v>239</v>
      </c>
      <c r="AG75" cm="1">
        <f t="array" aca="1" ref="AG75" ca="1">SUMPRODUCT(LARGE('For stats end Y points'!$B75:AG75,ROW(INDIRECT("1:"&amp;MIN(24,COUNT('For stats end Y points'!$B75:AG75))))))</f>
        <v>248</v>
      </c>
      <c r="AH75" cm="1">
        <f t="array" aca="1" ref="AH75" ca="1">SUMPRODUCT(LARGE('For stats end Y points'!$B75:AH75,ROW(INDIRECT("1:"&amp;MIN(24,COUNT('For stats end Y points'!$B75:AH75))))))</f>
        <v>248</v>
      </c>
      <c r="AP75" s="10">
        <f t="shared" si="1"/>
        <v>0</v>
      </c>
      <c r="AQ75">
        <f>'For stats end Y class'!AU75</f>
        <v>32</v>
      </c>
    </row>
    <row r="76" spans="1:43" x14ac:dyDescent="0.2">
      <c r="A76" t="str">
        <f>'For stats end Y points'!A76</f>
        <v>Pintu</v>
      </c>
      <c r="B76" cm="1">
        <f t="array" aca="1" ref="B76" ca="1">SUMPRODUCT(LARGE('For stats end Y points'!$B76:B76,ROW(INDIRECT("1:"&amp;MIN(24,COUNT('For stats end Y points'!$B76:B76))))))</f>
        <v>5</v>
      </c>
      <c r="C76" cm="1">
        <f t="array" aca="1" ref="C76" ca="1">SUMPRODUCT(LARGE('For stats end Y points'!$B76:C76,ROW(INDIRECT("1:"&amp;MIN(24,COUNT('For stats end Y points'!$B76:C76))))))</f>
        <v>10</v>
      </c>
      <c r="D76" cm="1">
        <f t="array" aca="1" ref="D76" ca="1">SUMPRODUCT(LARGE('For stats end Y points'!$B76:D76,ROW(INDIRECT("1:"&amp;MIN(24,COUNT('For stats end Y points'!$B76:D76))))))</f>
        <v>22</v>
      </c>
      <c r="E76" cm="1">
        <f t="array" aca="1" ref="E76" ca="1">SUMPRODUCT(LARGE('For stats end Y points'!$B76:E76,ROW(INDIRECT("1:"&amp;MIN(24,COUNT('For stats end Y points'!$B76:E76))))))</f>
        <v>24</v>
      </c>
      <c r="F76" cm="1">
        <f t="array" aca="1" ref="F76" ca="1">SUMPRODUCT(LARGE('For stats end Y points'!$B76:F76,ROW(INDIRECT("1:"&amp;MIN(24,COUNT('For stats end Y points'!$B76:F76))))))</f>
        <v>24</v>
      </c>
      <c r="G76" cm="1">
        <f t="array" aca="1" ref="G76" ca="1">SUMPRODUCT(LARGE('For stats end Y points'!$B76:G76,ROW(INDIRECT("1:"&amp;MIN(24,COUNT('For stats end Y points'!$B76:G76))))))</f>
        <v>24</v>
      </c>
      <c r="H76" cm="1">
        <f t="array" aca="1" ref="H76" ca="1">SUMPRODUCT(LARGE('For stats end Y points'!$B76:H76,ROW(INDIRECT("1:"&amp;MIN(24,COUNT('For stats end Y points'!$B76:H76))))))</f>
        <v>24</v>
      </c>
      <c r="I76" cm="1">
        <f t="array" aca="1" ref="I76" ca="1">SUMPRODUCT(LARGE('For stats end Y points'!$B76:I76,ROW(INDIRECT("1:"&amp;MIN(24,COUNT('For stats end Y points'!$B76:I76))))))</f>
        <v>24</v>
      </c>
      <c r="J76" cm="1">
        <f t="array" aca="1" ref="J76" ca="1">SUMPRODUCT(LARGE('For stats end Y points'!$B76:J76,ROW(INDIRECT("1:"&amp;MIN(24,COUNT('For stats end Y points'!$B76:J76))))))</f>
        <v>40</v>
      </c>
      <c r="K76" cm="1">
        <f t="array" aca="1" ref="K76" ca="1">SUMPRODUCT(LARGE('For stats end Y points'!$B76:K76,ROW(INDIRECT("1:"&amp;MIN(24,COUNT('For stats end Y points'!$B76:K76))))))</f>
        <v>40</v>
      </c>
      <c r="L76" cm="1">
        <f t="array" aca="1" ref="L76" ca="1">SUMPRODUCT(LARGE('For stats end Y points'!$B76:L76,ROW(INDIRECT("1:"&amp;MIN(24,COUNT('For stats end Y points'!$B76:L76))))))</f>
        <v>40</v>
      </c>
      <c r="M76" cm="1">
        <f t="array" aca="1" ref="M76" ca="1">SUMPRODUCT(LARGE('For stats end Y points'!$B76:M76,ROW(INDIRECT("1:"&amp;MIN(24,COUNT('For stats end Y points'!$B76:M76))))))</f>
        <v>40</v>
      </c>
      <c r="N76" cm="1">
        <f t="array" aca="1" ref="N76" ca="1">SUMPRODUCT(LARGE('For stats end Y points'!$B76:N76,ROW(INDIRECT("1:"&amp;MIN(24,COUNT('For stats end Y points'!$B76:N76))))))</f>
        <v>40</v>
      </c>
      <c r="O76" cm="1">
        <f t="array" aca="1" ref="O76" ca="1">SUMPRODUCT(LARGE('For stats end Y points'!$B76:O76,ROW(INDIRECT("1:"&amp;MIN(24,COUNT('For stats end Y points'!$B76:O76))))))</f>
        <v>40</v>
      </c>
      <c r="P76" cm="1">
        <f t="array" aca="1" ref="P76" ca="1">SUMPRODUCT(LARGE('For stats end Y points'!$B76:P76,ROW(INDIRECT("1:"&amp;MIN(24,COUNT('For stats end Y points'!$B76:P76))))))</f>
        <v>40</v>
      </c>
      <c r="Q76" cm="1">
        <f t="array" aca="1" ref="Q76" ca="1">SUMPRODUCT(LARGE('For stats end Y points'!$B76:Q76,ROW(INDIRECT("1:"&amp;MIN(24,COUNT('For stats end Y points'!$B76:Q76))))))</f>
        <v>40</v>
      </c>
      <c r="R76" cm="1">
        <f t="array" aca="1" ref="R76" ca="1">SUMPRODUCT(LARGE('For stats end Y points'!$B76:R76,ROW(INDIRECT("1:"&amp;MIN(24,COUNT('For stats end Y points'!$B76:R76))))))</f>
        <v>40</v>
      </c>
      <c r="S76" cm="1">
        <f t="array" aca="1" ref="S76" ca="1">SUMPRODUCT(LARGE('For stats end Y points'!$B76:S76,ROW(INDIRECT("1:"&amp;MIN(24,COUNT('For stats end Y points'!$B76:S76))))))</f>
        <v>40</v>
      </c>
      <c r="T76" cm="1">
        <f t="array" aca="1" ref="T76" ca="1">SUMPRODUCT(LARGE('For stats end Y points'!$B76:T76,ROW(INDIRECT("1:"&amp;MIN(24,COUNT('For stats end Y points'!$B76:T76))))))</f>
        <v>41</v>
      </c>
      <c r="U76" cm="1">
        <f t="array" aca="1" ref="U76" ca="1">SUMPRODUCT(LARGE('For stats end Y points'!$B76:U76,ROW(INDIRECT("1:"&amp;MIN(24,COUNT('For stats end Y points'!$B76:U76))))))</f>
        <v>41</v>
      </c>
      <c r="V76" cm="1">
        <f t="array" aca="1" ref="V76" ca="1">SUMPRODUCT(LARGE('For stats end Y points'!$B76:V76,ROW(INDIRECT("1:"&amp;MIN(24,COUNT('For stats end Y points'!$B76:V76))))))</f>
        <v>41</v>
      </c>
      <c r="W76" cm="1">
        <f t="array" aca="1" ref="W76" ca="1">SUMPRODUCT(LARGE('For stats end Y points'!$B76:W76,ROW(INDIRECT("1:"&amp;MIN(24,COUNT('For stats end Y points'!$B76:W76))))))</f>
        <v>41</v>
      </c>
      <c r="X76" cm="1">
        <f t="array" aca="1" ref="X76" ca="1">SUMPRODUCT(LARGE('For stats end Y points'!$B76:X76,ROW(INDIRECT("1:"&amp;MIN(24,COUNT('For stats end Y points'!$B76:X76))))))</f>
        <v>41</v>
      </c>
      <c r="Y76" cm="1">
        <f t="array" aca="1" ref="Y76" ca="1">SUMPRODUCT(LARGE('For stats end Y points'!$B76:Y76,ROW(INDIRECT("1:"&amp;MIN(24,COUNT('For stats end Y points'!$B76:Y76))))))</f>
        <v>41</v>
      </c>
      <c r="Z76" cm="1">
        <f t="array" aca="1" ref="Z76" ca="1">SUMPRODUCT(LARGE('For stats end Y points'!$B76:Z76,ROW(INDIRECT("1:"&amp;MIN(24,COUNT('For stats end Y points'!$B76:Z76))))))</f>
        <v>41</v>
      </c>
      <c r="AA76" cm="1">
        <f t="array" aca="1" ref="AA76" ca="1">SUMPRODUCT(LARGE('For stats end Y points'!$B76:AA76,ROW(INDIRECT("1:"&amp;MIN(24,COUNT('For stats end Y points'!$B76:AA76))))))</f>
        <v>43</v>
      </c>
      <c r="AB76" cm="1">
        <f t="array" aca="1" ref="AB76" ca="1">SUMPRODUCT(LARGE('For stats end Y points'!$B76:AB76,ROW(INDIRECT("1:"&amp;MIN(24,COUNT('For stats end Y points'!$B76:AB76))))))</f>
        <v>59</v>
      </c>
      <c r="AC76" cm="1">
        <f t="array" aca="1" ref="AC76" ca="1">SUMPRODUCT(LARGE('For stats end Y points'!$B76:AC76,ROW(INDIRECT("1:"&amp;MIN(24,COUNT('For stats end Y points'!$B76:AC76))))))</f>
        <v>59</v>
      </c>
      <c r="AD76" cm="1">
        <f t="array" aca="1" ref="AD76" ca="1">SUMPRODUCT(LARGE('For stats end Y points'!$B76:AD76,ROW(INDIRECT("1:"&amp;MIN(24,COUNT('For stats end Y points'!$B76:AD76))))))</f>
        <v>59</v>
      </c>
      <c r="AE76" cm="1">
        <f t="array" aca="1" ref="AE76" ca="1">SUMPRODUCT(LARGE('For stats end Y points'!$B76:AE76,ROW(INDIRECT("1:"&amp;MIN(24,COUNT('For stats end Y points'!$B76:AE76))))))</f>
        <v>76</v>
      </c>
      <c r="AF76" cm="1">
        <f t="array" aca="1" ref="AF76" ca="1">SUMPRODUCT(LARGE('For stats end Y points'!$B76:AF76,ROW(INDIRECT("1:"&amp;MIN(24,COUNT('For stats end Y points'!$B76:AF76))))))</f>
        <v>78</v>
      </c>
      <c r="AG76" cm="1">
        <f t="array" aca="1" ref="AG76" ca="1">SUMPRODUCT(LARGE('For stats end Y points'!$B76:AG76,ROW(INDIRECT("1:"&amp;MIN(24,COUNT('For stats end Y points'!$B76:AG76))))))</f>
        <v>80</v>
      </c>
      <c r="AH76" cm="1">
        <f t="array" aca="1" ref="AH76" ca="1">SUMPRODUCT(LARGE('For stats end Y points'!$B76:AH76,ROW(INDIRECT("1:"&amp;MIN(24,COUNT('For stats end Y points'!$B76:AH76))))))</f>
        <v>80</v>
      </c>
      <c r="AP76" s="10">
        <f t="shared" si="1"/>
        <v>0</v>
      </c>
      <c r="AQ76">
        <f>'For stats end Y class'!AU76</f>
        <v>11</v>
      </c>
    </row>
    <row r="77" spans="1:43" x14ac:dyDescent="0.2">
      <c r="A77" t="str">
        <f>'For stats end Y points'!A77</f>
        <v>Poisson Pilote</v>
      </c>
      <c r="B77" cm="1">
        <f t="array" aca="1" ref="B77" ca="1">SUMPRODUCT(LARGE('For stats end Y points'!$B77:B77,ROW(INDIRECT("1:"&amp;MIN(24,COUNT('For stats end Y points'!$B77:B77))))))</f>
        <v>16</v>
      </c>
      <c r="C77" cm="1">
        <f t="array" aca="1" ref="C77" ca="1">SUMPRODUCT(LARGE('For stats end Y points'!$B77:C77,ROW(INDIRECT("1:"&amp;MIN(24,COUNT('For stats end Y points'!$B77:C77))))))</f>
        <v>25</v>
      </c>
      <c r="D77" cm="1">
        <f t="array" aca="1" ref="D77" ca="1">SUMPRODUCT(LARGE('For stats end Y points'!$B77:D77,ROW(INDIRECT("1:"&amp;MIN(24,COUNT('For stats end Y points'!$B77:D77))))))</f>
        <v>33</v>
      </c>
      <c r="E77" cm="1">
        <f t="array" aca="1" ref="E77" ca="1">SUMPRODUCT(LARGE('For stats end Y points'!$B77:E77,ROW(INDIRECT("1:"&amp;MIN(24,COUNT('For stats end Y points'!$B77:E77))))))</f>
        <v>33</v>
      </c>
      <c r="F77" cm="1">
        <f t="array" aca="1" ref="F77" ca="1">SUMPRODUCT(LARGE('For stats end Y points'!$B77:F77,ROW(INDIRECT("1:"&amp;MIN(24,COUNT('For stats end Y points'!$B77:F77))))))</f>
        <v>33</v>
      </c>
      <c r="G77" cm="1">
        <f t="array" aca="1" ref="G77" ca="1">SUMPRODUCT(LARGE('For stats end Y points'!$B77:G77,ROW(INDIRECT("1:"&amp;MIN(24,COUNT('For stats end Y points'!$B77:G77))))))</f>
        <v>34</v>
      </c>
      <c r="H77" cm="1">
        <f t="array" aca="1" ref="H77" ca="1">SUMPRODUCT(LARGE('For stats end Y points'!$B77:H77,ROW(INDIRECT("1:"&amp;MIN(24,COUNT('For stats end Y points'!$B77:H77))))))</f>
        <v>38</v>
      </c>
      <c r="I77" cm="1">
        <f t="array" aca="1" ref="I77" ca="1">SUMPRODUCT(LARGE('For stats end Y points'!$B77:I77,ROW(INDIRECT("1:"&amp;MIN(24,COUNT('For stats end Y points'!$B77:I77))))))</f>
        <v>40</v>
      </c>
      <c r="J77" cm="1">
        <f t="array" aca="1" ref="J77" ca="1">SUMPRODUCT(LARGE('For stats end Y points'!$B77:J77,ROW(INDIRECT("1:"&amp;MIN(24,COUNT('For stats end Y points'!$B77:J77))))))</f>
        <v>52</v>
      </c>
      <c r="K77" cm="1">
        <f t="array" aca="1" ref="K77" ca="1">SUMPRODUCT(LARGE('For stats end Y points'!$B77:K77,ROW(INDIRECT("1:"&amp;MIN(24,COUNT('For stats end Y points'!$B77:K77))))))</f>
        <v>56</v>
      </c>
      <c r="L77" cm="1">
        <f t="array" aca="1" ref="L77" ca="1">SUMPRODUCT(LARGE('For stats end Y points'!$B77:L77,ROW(INDIRECT("1:"&amp;MIN(24,COUNT('For stats end Y points'!$B77:L77))))))</f>
        <v>67</v>
      </c>
      <c r="M77" cm="1">
        <f t="array" aca="1" ref="M77" ca="1">SUMPRODUCT(LARGE('For stats end Y points'!$B77:M77,ROW(INDIRECT("1:"&amp;MIN(24,COUNT('For stats end Y points'!$B77:M77))))))</f>
        <v>83</v>
      </c>
      <c r="N77" cm="1">
        <f t="array" aca="1" ref="N77" ca="1">SUMPRODUCT(LARGE('For stats end Y points'!$B77:N77,ROW(INDIRECT("1:"&amp;MIN(24,COUNT('For stats end Y points'!$B77:N77))))))</f>
        <v>83</v>
      </c>
      <c r="O77" cm="1">
        <f t="array" aca="1" ref="O77" ca="1">SUMPRODUCT(LARGE('For stats end Y points'!$B77:O77,ROW(INDIRECT("1:"&amp;MIN(24,COUNT('For stats end Y points'!$B77:O77))))))</f>
        <v>86</v>
      </c>
      <c r="P77" cm="1">
        <f t="array" aca="1" ref="P77" ca="1">SUMPRODUCT(LARGE('For stats end Y points'!$B77:P77,ROW(INDIRECT("1:"&amp;MIN(24,COUNT('For stats end Y points'!$B77:P77))))))</f>
        <v>86</v>
      </c>
      <c r="Q77" cm="1">
        <f t="array" aca="1" ref="Q77" ca="1">SUMPRODUCT(LARGE('For stats end Y points'!$B77:Q77,ROW(INDIRECT("1:"&amp;MIN(24,COUNT('For stats end Y points'!$B77:Q77))))))</f>
        <v>89</v>
      </c>
      <c r="R77" cm="1">
        <f t="array" aca="1" ref="R77" ca="1">SUMPRODUCT(LARGE('For stats end Y points'!$B77:R77,ROW(INDIRECT("1:"&amp;MIN(24,COUNT('For stats end Y points'!$B77:R77))))))</f>
        <v>91</v>
      </c>
      <c r="S77" cm="1">
        <f t="array" aca="1" ref="S77" ca="1">SUMPRODUCT(LARGE('For stats end Y points'!$B77:S77,ROW(INDIRECT("1:"&amp;MIN(24,COUNT('For stats end Y points'!$B77:S77))))))</f>
        <v>104</v>
      </c>
      <c r="T77" cm="1">
        <f t="array" aca="1" ref="T77" ca="1">SUMPRODUCT(LARGE('For stats end Y points'!$B77:T77,ROW(INDIRECT("1:"&amp;MIN(24,COUNT('For stats end Y points'!$B77:T77))))))</f>
        <v>108</v>
      </c>
      <c r="U77" cm="1">
        <f t="array" aca="1" ref="U77" ca="1">SUMPRODUCT(LARGE('For stats end Y points'!$B77:U77,ROW(INDIRECT("1:"&amp;MIN(24,COUNT('For stats end Y points'!$B77:U77))))))</f>
        <v>108</v>
      </c>
      <c r="V77" cm="1">
        <f t="array" aca="1" ref="V77" ca="1">SUMPRODUCT(LARGE('For stats end Y points'!$B77:V77,ROW(INDIRECT("1:"&amp;MIN(24,COUNT('For stats end Y points'!$B77:V77))))))</f>
        <v>120</v>
      </c>
      <c r="W77" cm="1">
        <f t="array" aca="1" ref="W77" ca="1">SUMPRODUCT(LARGE('For stats end Y points'!$B77:W77,ROW(INDIRECT("1:"&amp;MIN(24,COUNT('For stats end Y points'!$B77:W77))))))</f>
        <v>124</v>
      </c>
      <c r="X77" cm="1">
        <f t="array" aca="1" ref="X77" ca="1">SUMPRODUCT(LARGE('For stats end Y points'!$B77:X77,ROW(INDIRECT("1:"&amp;MIN(24,COUNT('For stats end Y points'!$B77:X77))))))</f>
        <v>125</v>
      </c>
      <c r="Y77" cm="1">
        <f t="array" aca="1" ref="Y77" ca="1">SUMPRODUCT(LARGE('For stats end Y points'!$B77:Y77,ROW(INDIRECT("1:"&amp;MIN(24,COUNT('For stats end Y points'!$B77:Y77))))))</f>
        <v>125</v>
      </c>
      <c r="Z77" cm="1">
        <f t="array" aca="1" ref="Z77" ca="1">SUMPRODUCT(LARGE('For stats end Y points'!$B77:Z77,ROW(INDIRECT("1:"&amp;MIN(24,COUNT('For stats end Y points'!$B77:Z77))))))</f>
        <v>127</v>
      </c>
      <c r="AA77" cm="1">
        <f t="array" aca="1" ref="AA77" ca="1">SUMPRODUCT(LARGE('For stats end Y points'!$B77:AA77,ROW(INDIRECT("1:"&amp;MIN(24,COUNT('For stats end Y points'!$B77:AA77))))))</f>
        <v>128</v>
      </c>
      <c r="AB77" cm="1">
        <f t="array" aca="1" ref="AB77" ca="1">SUMPRODUCT(LARGE('For stats end Y points'!$B77:AB77,ROW(INDIRECT("1:"&amp;MIN(24,COUNT('For stats end Y points'!$B77:AB77))))))</f>
        <v>132</v>
      </c>
      <c r="AC77" cm="1">
        <f t="array" aca="1" ref="AC77" ca="1">SUMPRODUCT(LARGE('For stats end Y points'!$B77:AC77,ROW(INDIRECT("1:"&amp;MIN(24,COUNT('For stats end Y points'!$B77:AC77))))))</f>
        <v>132</v>
      </c>
      <c r="AD77" cm="1">
        <f t="array" aca="1" ref="AD77" ca="1">SUMPRODUCT(LARGE('For stats end Y points'!$B77:AD77,ROW(INDIRECT("1:"&amp;MIN(24,COUNT('For stats end Y points'!$B77:AD77))))))</f>
        <v>140</v>
      </c>
      <c r="AE77" cm="1">
        <f t="array" aca="1" ref="AE77" ca="1">SUMPRODUCT(LARGE('For stats end Y points'!$B77:AE77,ROW(INDIRECT("1:"&amp;MIN(24,COUNT('For stats end Y points'!$B77:AE77))))))</f>
        <v>157</v>
      </c>
      <c r="AF77" cm="1">
        <f t="array" aca="1" ref="AF77" ca="1">SUMPRODUCT(LARGE('For stats end Y points'!$B77:AF77,ROW(INDIRECT("1:"&amp;MIN(24,COUNT('For stats end Y points'!$B77:AF77))))))</f>
        <v>173</v>
      </c>
      <c r="AG77" cm="1">
        <f t="array" aca="1" ref="AG77" ca="1">SUMPRODUCT(LARGE('For stats end Y points'!$B77:AG77,ROW(INDIRECT("1:"&amp;MIN(24,COUNT('For stats end Y points'!$B77:AG77))))))</f>
        <v>173</v>
      </c>
      <c r="AH77" cm="1">
        <f t="array" aca="1" ref="AH77" ca="1">SUMPRODUCT(LARGE('For stats end Y points'!$B77:AH77,ROW(INDIRECT("1:"&amp;MIN(24,COUNT('For stats end Y points'!$B77:AH77))))))</f>
        <v>176</v>
      </c>
      <c r="AP77" s="10">
        <f t="shared" si="1"/>
        <v>0</v>
      </c>
      <c r="AQ77">
        <f>'For stats end Y class'!AU77</f>
        <v>25</v>
      </c>
    </row>
    <row r="78" spans="1:43" x14ac:dyDescent="0.2">
      <c r="A78" t="str">
        <f>'For stats end Y points'!A78</f>
        <v>Proph@ne</v>
      </c>
      <c r="B78" cm="1">
        <f t="array" aca="1" ref="B78" ca="1">SUMPRODUCT(LARGE('For stats end Y points'!$B78:B78,ROW(INDIRECT("1:"&amp;MIN(24,COUNT('For stats end Y points'!$B78:B78))))))</f>
        <v>1</v>
      </c>
      <c r="C78" cm="1">
        <f t="array" aca="1" ref="C78" ca="1">SUMPRODUCT(LARGE('For stats end Y points'!$B78:C78,ROW(INDIRECT("1:"&amp;MIN(24,COUNT('For stats end Y points'!$B78:C78))))))</f>
        <v>3</v>
      </c>
      <c r="D78" cm="1">
        <f t="array" aca="1" ref="D78" ca="1">SUMPRODUCT(LARGE('For stats end Y points'!$B78:D78,ROW(INDIRECT("1:"&amp;MIN(24,COUNT('For stats end Y points'!$B78:D78))))))</f>
        <v>20</v>
      </c>
      <c r="E78" cm="1">
        <f t="array" aca="1" ref="E78" ca="1">SUMPRODUCT(LARGE('For stats end Y points'!$B78:E78,ROW(INDIRECT("1:"&amp;MIN(24,COUNT('For stats end Y points'!$B78:E78))))))</f>
        <v>22</v>
      </c>
      <c r="F78" cm="1">
        <f t="array" aca="1" ref="F78" ca="1">SUMPRODUCT(LARGE('For stats end Y points'!$B78:F78,ROW(INDIRECT("1:"&amp;MIN(24,COUNT('For stats end Y points'!$B78:F78))))))</f>
        <v>30</v>
      </c>
      <c r="G78" cm="1">
        <f t="array" aca="1" ref="G78" ca="1">SUMPRODUCT(LARGE('For stats end Y points'!$B78:G78,ROW(INDIRECT("1:"&amp;MIN(24,COUNT('For stats end Y points'!$B78:G78))))))</f>
        <v>32</v>
      </c>
      <c r="H78" cm="1">
        <f t="array" aca="1" ref="H78" ca="1">SUMPRODUCT(LARGE('For stats end Y points'!$B78:H78,ROW(INDIRECT("1:"&amp;MIN(24,COUNT('For stats end Y points'!$B78:H78))))))</f>
        <v>32</v>
      </c>
      <c r="I78" cm="1">
        <f t="array" aca="1" ref="I78" ca="1">SUMPRODUCT(LARGE('For stats end Y points'!$B78:I78,ROW(INDIRECT("1:"&amp;MIN(24,COUNT('For stats end Y points'!$B78:I78))))))</f>
        <v>48</v>
      </c>
      <c r="J78" cm="1">
        <f t="array" aca="1" ref="J78" ca="1">SUMPRODUCT(LARGE('For stats end Y points'!$B78:J78,ROW(INDIRECT("1:"&amp;MIN(24,COUNT('For stats end Y points'!$B78:J78))))))</f>
        <v>52</v>
      </c>
      <c r="K78" cm="1">
        <f t="array" aca="1" ref="K78" ca="1">SUMPRODUCT(LARGE('For stats end Y points'!$B78:K78,ROW(INDIRECT("1:"&amp;MIN(24,COUNT('For stats end Y points'!$B78:K78))))))</f>
        <v>52</v>
      </c>
      <c r="L78" cm="1">
        <f t="array" aca="1" ref="L78" ca="1">SUMPRODUCT(LARGE('For stats end Y points'!$B78:L78,ROW(INDIRECT("1:"&amp;MIN(24,COUNT('For stats end Y points'!$B78:L78))))))</f>
        <v>53</v>
      </c>
      <c r="M78" cm="1">
        <f t="array" aca="1" ref="M78" ca="1">SUMPRODUCT(LARGE('For stats end Y points'!$B78:M78,ROW(INDIRECT("1:"&amp;MIN(24,COUNT('For stats end Y points'!$B78:M78))))))</f>
        <v>57</v>
      </c>
      <c r="N78" cm="1">
        <f t="array" aca="1" ref="N78" ca="1">SUMPRODUCT(LARGE('For stats end Y points'!$B78:N78,ROW(INDIRECT("1:"&amp;MIN(24,COUNT('For stats end Y points'!$B78:N78))))))</f>
        <v>57</v>
      </c>
      <c r="O78" cm="1">
        <f t="array" aca="1" ref="O78" ca="1">SUMPRODUCT(LARGE('For stats end Y points'!$B78:O78,ROW(INDIRECT("1:"&amp;MIN(24,COUNT('For stats end Y points'!$B78:O78))))))</f>
        <v>59</v>
      </c>
      <c r="P78" cm="1">
        <f t="array" aca="1" ref="P78" ca="1">SUMPRODUCT(LARGE('For stats end Y points'!$B78:P78,ROW(INDIRECT("1:"&amp;MIN(24,COUNT('For stats end Y points'!$B78:P78))))))</f>
        <v>75</v>
      </c>
      <c r="Q78" cm="1">
        <f t="array" aca="1" ref="Q78" ca="1">SUMPRODUCT(LARGE('For stats end Y points'!$B78:Q78,ROW(INDIRECT("1:"&amp;MIN(24,COUNT('For stats end Y points'!$B78:Q78))))))</f>
        <v>78</v>
      </c>
      <c r="R78" cm="1">
        <f t="array" aca="1" ref="R78" ca="1">SUMPRODUCT(LARGE('For stats end Y points'!$B78:R78,ROW(INDIRECT("1:"&amp;MIN(24,COUNT('For stats end Y points'!$B78:R78))))))</f>
        <v>79</v>
      </c>
      <c r="S78" cm="1">
        <f t="array" aca="1" ref="S78" ca="1">SUMPRODUCT(LARGE('For stats end Y points'!$B78:S78,ROW(INDIRECT("1:"&amp;MIN(24,COUNT('For stats end Y points'!$B78:S78))))))</f>
        <v>79</v>
      </c>
      <c r="T78" cm="1">
        <f t="array" aca="1" ref="T78" ca="1">SUMPRODUCT(LARGE('For stats end Y points'!$B78:T78,ROW(INDIRECT("1:"&amp;MIN(24,COUNT('For stats end Y points'!$B78:T78))))))</f>
        <v>79</v>
      </c>
      <c r="U78" cm="1">
        <f t="array" aca="1" ref="U78" ca="1">SUMPRODUCT(LARGE('For stats end Y points'!$B78:U78,ROW(INDIRECT("1:"&amp;MIN(24,COUNT('For stats end Y points'!$B78:U78))))))</f>
        <v>87</v>
      </c>
      <c r="V78" cm="1">
        <f t="array" aca="1" ref="V78" ca="1">SUMPRODUCT(LARGE('For stats end Y points'!$B78:V78,ROW(INDIRECT("1:"&amp;MIN(24,COUNT('For stats end Y points'!$B78:V78))))))</f>
        <v>99</v>
      </c>
      <c r="W78" cm="1">
        <f t="array" aca="1" ref="W78" ca="1">SUMPRODUCT(LARGE('For stats end Y points'!$B78:W78,ROW(INDIRECT("1:"&amp;MIN(24,COUNT('For stats end Y points'!$B78:W78))))))</f>
        <v>108</v>
      </c>
      <c r="X78" cm="1">
        <f t="array" aca="1" ref="X78" ca="1">SUMPRODUCT(LARGE('For stats end Y points'!$B78:X78,ROW(INDIRECT("1:"&amp;MIN(24,COUNT('For stats end Y points'!$B78:X78))))))</f>
        <v>108</v>
      </c>
      <c r="Y78" cm="1">
        <f t="array" aca="1" ref="Y78" ca="1">SUMPRODUCT(LARGE('For stats end Y points'!$B78:Y78,ROW(INDIRECT("1:"&amp;MIN(24,COUNT('For stats end Y points'!$B78:Y78))))))</f>
        <v>125</v>
      </c>
      <c r="Z78" cm="1">
        <f t="array" aca="1" ref="Z78" ca="1">SUMPRODUCT(LARGE('For stats end Y points'!$B78:Z78,ROW(INDIRECT("1:"&amp;MIN(24,COUNT('For stats end Y points'!$B78:Z78))))))</f>
        <v>128</v>
      </c>
      <c r="AA78" cm="1">
        <f t="array" aca="1" ref="AA78" ca="1">SUMPRODUCT(LARGE('For stats end Y points'!$B78:AA78,ROW(INDIRECT("1:"&amp;MIN(24,COUNT('For stats end Y points'!$B78:AA78))))))</f>
        <v>140</v>
      </c>
      <c r="AB78" cm="1">
        <f t="array" aca="1" ref="AB78" ca="1">SUMPRODUCT(LARGE('For stats end Y points'!$B78:AB78,ROW(INDIRECT("1:"&amp;MIN(24,COUNT('For stats end Y points'!$B78:AB78))))))</f>
        <v>155</v>
      </c>
      <c r="AC78" cm="1">
        <f t="array" aca="1" ref="AC78" ca="1">SUMPRODUCT(LARGE('For stats end Y points'!$B78:AC78,ROW(INDIRECT("1:"&amp;MIN(24,COUNT('For stats end Y points'!$B78:AC78))))))</f>
        <v>156</v>
      </c>
      <c r="AD78" cm="1">
        <f t="array" aca="1" ref="AD78" ca="1">SUMPRODUCT(LARGE('For stats end Y points'!$B78:AD78,ROW(INDIRECT("1:"&amp;MIN(24,COUNT('For stats end Y points'!$B78:AD78))))))</f>
        <v>156</v>
      </c>
      <c r="AE78" cm="1">
        <f t="array" aca="1" ref="AE78" ca="1">SUMPRODUCT(LARGE('For stats end Y points'!$B78:AE78,ROW(INDIRECT("1:"&amp;MIN(24,COUNT('For stats end Y points'!$B78:AE78))))))</f>
        <v>157</v>
      </c>
      <c r="AF78" cm="1">
        <f t="array" aca="1" ref="AF78" ca="1">SUMPRODUCT(LARGE('For stats end Y points'!$B78:AF78,ROW(INDIRECT("1:"&amp;MIN(24,COUNT('For stats end Y points'!$B78:AF78))))))</f>
        <v>157</v>
      </c>
      <c r="AG78" cm="1">
        <f t="array" aca="1" ref="AG78" ca="1">SUMPRODUCT(LARGE('For stats end Y points'!$B78:AG78,ROW(INDIRECT("1:"&amp;MIN(24,COUNT('For stats end Y points'!$B78:AG78))))))</f>
        <v>169</v>
      </c>
      <c r="AH78" cm="1">
        <f t="array" aca="1" ref="AH78" ca="1">SUMPRODUCT(LARGE('For stats end Y points'!$B78:AH78,ROW(INDIRECT("1:"&amp;MIN(24,COUNT('For stats end Y points'!$B78:AH78))))))</f>
        <v>169</v>
      </c>
      <c r="AP78" s="10">
        <f t="shared" si="1"/>
        <v>0</v>
      </c>
      <c r="AQ78">
        <f>'For stats end Y class'!AU78</f>
        <v>24</v>
      </c>
    </row>
    <row r="79" spans="1:43" x14ac:dyDescent="0.2">
      <c r="A79" t="str">
        <f>'For stats end Y points'!A79</f>
        <v>Ptit Savoyard</v>
      </c>
      <c r="B79" cm="1">
        <f t="array" aca="1" ref="B79" ca="1">SUMPRODUCT(LARGE('For stats end Y points'!$B79:B79,ROW(INDIRECT("1:"&amp;MIN(24,COUNT('For stats end Y points'!$B79:B79))))))</f>
        <v>2</v>
      </c>
      <c r="C79" cm="1">
        <f t="array" aca="1" ref="C79" ca="1">SUMPRODUCT(LARGE('For stats end Y points'!$B79:C79,ROW(INDIRECT("1:"&amp;MIN(24,COUNT('For stats end Y points'!$B79:C79))))))</f>
        <v>2</v>
      </c>
      <c r="D79" cm="1">
        <f t="array" aca="1" ref="D79" ca="1">SUMPRODUCT(LARGE('For stats end Y points'!$B79:D79,ROW(INDIRECT("1:"&amp;MIN(24,COUNT('For stats end Y points'!$B79:D79))))))</f>
        <v>14</v>
      </c>
      <c r="E79" cm="1">
        <f t="array" aca="1" ref="E79" ca="1">SUMPRODUCT(LARGE('For stats end Y points'!$B79:E79,ROW(INDIRECT("1:"&amp;MIN(24,COUNT('For stats end Y points'!$B79:E79))))))</f>
        <v>19</v>
      </c>
      <c r="F79" cm="1">
        <f t="array" aca="1" ref="F79" ca="1">SUMPRODUCT(LARGE('For stats end Y points'!$B79:F79,ROW(INDIRECT("1:"&amp;MIN(24,COUNT('For stats end Y points'!$B79:F79))))))</f>
        <v>19</v>
      </c>
      <c r="G79" cm="1">
        <f t="array" aca="1" ref="G79" ca="1">SUMPRODUCT(LARGE('For stats end Y points'!$B79:G79,ROW(INDIRECT("1:"&amp;MIN(24,COUNT('For stats end Y points'!$B79:G79))))))</f>
        <v>32</v>
      </c>
      <c r="H79" cm="1">
        <f t="array" aca="1" ref="H79" ca="1">SUMPRODUCT(LARGE('For stats end Y points'!$B79:H79,ROW(INDIRECT("1:"&amp;MIN(24,COUNT('For stats end Y points'!$B79:H79))))))</f>
        <v>36</v>
      </c>
      <c r="I79" cm="1">
        <f t="array" aca="1" ref="I79" ca="1">SUMPRODUCT(LARGE('For stats end Y points'!$B79:I79,ROW(INDIRECT("1:"&amp;MIN(24,COUNT('For stats end Y points'!$B79:I79))))))</f>
        <v>37</v>
      </c>
      <c r="J79" cm="1">
        <f t="array" aca="1" ref="J79" ca="1">SUMPRODUCT(LARGE('For stats end Y points'!$B79:J79,ROW(INDIRECT("1:"&amp;MIN(24,COUNT('For stats end Y points'!$B79:J79))))))</f>
        <v>37</v>
      </c>
      <c r="K79" cm="1">
        <f t="array" aca="1" ref="K79" ca="1">SUMPRODUCT(LARGE('For stats end Y points'!$B79:K79,ROW(INDIRECT("1:"&amp;MIN(24,COUNT('For stats end Y points'!$B79:K79))))))</f>
        <v>37</v>
      </c>
      <c r="L79" cm="1">
        <f t="array" aca="1" ref="L79" ca="1">SUMPRODUCT(LARGE('For stats end Y points'!$B79:L79,ROW(INDIRECT("1:"&amp;MIN(24,COUNT('For stats end Y points'!$B79:L79))))))</f>
        <v>37</v>
      </c>
      <c r="M79" cm="1">
        <f t="array" aca="1" ref="M79" ca="1">SUMPRODUCT(LARGE('For stats end Y points'!$B79:M79,ROW(INDIRECT("1:"&amp;MIN(24,COUNT('For stats end Y points'!$B79:M79))))))</f>
        <v>37</v>
      </c>
      <c r="N79" cm="1">
        <f t="array" aca="1" ref="N79" ca="1">SUMPRODUCT(LARGE('For stats end Y points'!$B79:N79,ROW(INDIRECT("1:"&amp;MIN(24,COUNT('For stats end Y points'!$B79:N79))))))</f>
        <v>37</v>
      </c>
      <c r="O79" cm="1">
        <f t="array" aca="1" ref="O79" ca="1">SUMPRODUCT(LARGE('For stats end Y points'!$B79:O79,ROW(INDIRECT("1:"&amp;MIN(24,COUNT('For stats end Y points'!$B79:O79))))))</f>
        <v>37</v>
      </c>
      <c r="P79" cm="1">
        <f t="array" aca="1" ref="P79" ca="1">SUMPRODUCT(LARGE('For stats end Y points'!$B79:P79,ROW(INDIRECT("1:"&amp;MIN(24,COUNT('For stats end Y points'!$B79:P79))))))</f>
        <v>38</v>
      </c>
      <c r="Q79" cm="1">
        <f t="array" aca="1" ref="Q79" ca="1">SUMPRODUCT(LARGE('For stats end Y points'!$B79:Q79,ROW(INDIRECT("1:"&amp;MIN(24,COUNT('For stats end Y points'!$B79:Q79))))))</f>
        <v>39</v>
      </c>
      <c r="R79" cm="1">
        <f t="array" aca="1" ref="R79" ca="1">SUMPRODUCT(LARGE('For stats end Y points'!$B79:R79,ROW(INDIRECT("1:"&amp;MIN(24,COUNT('For stats end Y points'!$B79:R79))))))</f>
        <v>39</v>
      </c>
      <c r="S79" cm="1">
        <f t="array" aca="1" ref="S79" ca="1">SUMPRODUCT(LARGE('For stats end Y points'!$B79:S79,ROW(INDIRECT("1:"&amp;MIN(24,COUNT('For stats end Y points'!$B79:S79))))))</f>
        <v>40</v>
      </c>
      <c r="T79" cm="1">
        <f t="array" aca="1" ref="T79" ca="1">SUMPRODUCT(LARGE('For stats end Y points'!$B79:T79,ROW(INDIRECT("1:"&amp;MIN(24,COUNT('For stats end Y points'!$B79:T79))))))</f>
        <v>48</v>
      </c>
      <c r="U79" cm="1">
        <f t="array" aca="1" ref="U79" ca="1">SUMPRODUCT(LARGE('For stats end Y points'!$B79:U79,ROW(INDIRECT("1:"&amp;MIN(24,COUNT('For stats end Y points'!$B79:U79))))))</f>
        <v>52</v>
      </c>
      <c r="V79" cm="1">
        <f t="array" aca="1" ref="V79" ca="1">SUMPRODUCT(LARGE('For stats end Y points'!$B79:V79,ROW(INDIRECT("1:"&amp;MIN(24,COUNT('For stats end Y points'!$B79:V79))))))</f>
        <v>68</v>
      </c>
      <c r="W79" cm="1">
        <f t="array" aca="1" ref="W79" ca="1">SUMPRODUCT(LARGE('For stats end Y points'!$B79:W79,ROW(INDIRECT("1:"&amp;MIN(24,COUNT('For stats end Y points'!$B79:W79))))))</f>
        <v>76</v>
      </c>
      <c r="X79" cm="1">
        <f t="array" aca="1" ref="X79" ca="1">SUMPRODUCT(LARGE('For stats end Y points'!$B79:X79,ROW(INDIRECT("1:"&amp;MIN(24,COUNT('For stats end Y points'!$B79:X79))))))</f>
        <v>78</v>
      </c>
      <c r="Y79" cm="1">
        <f t="array" aca="1" ref="Y79" ca="1">SUMPRODUCT(LARGE('For stats end Y points'!$B79:Y79,ROW(INDIRECT("1:"&amp;MIN(24,COUNT('For stats end Y points'!$B79:Y79))))))</f>
        <v>87</v>
      </c>
      <c r="Z79" cm="1">
        <f t="array" aca="1" ref="Z79" ca="1">SUMPRODUCT(LARGE('For stats end Y points'!$B79:Z79,ROW(INDIRECT("1:"&amp;MIN(24,COUNT('For stats end Y points'!$B79:Z79))))))</f>
        <v>87</v>
      </c>
      <c r="AA79" cm="1">
        <f t="array" aca="1" ref="AA79" ca="1">SUMPRODUCT(LARGE('For stats end Y points'!$B79:AA79,ROW(INDIRECT("1:"&amp;MIN(24,COUNT('For stats end Y points'!$B79:AA79))))))</f>
        <v>87</v>
      </c>
      <c r="AB79" cm="1">
        <f t="array" aca="1" ref="AB79" ca="1">SUMPRODUCT(LARGE('For stats end Y points'!$B79:AB79,ROW(INDIRECT("1:"&amp;MIN(24,COUNT('For stats end Y points'!$B79:AB79))))))</f>
        <v>87</v>
      </c>
      <c r="AC79" cm="1">
        <f t="array" aca="1" ref="AC79" ca="1">SUMPRODUCT(LARGE('For stats end Y points'!$B79:AC79,ROW(INDIRECT("1:"&amp;MIN(24,COUNT('For stats end Y points'!$B79:AC79))))))</f>
        <v>87</v>
      </c>
      <c r="AD79" cm="1">
        <f t="array" aca="1" ref="AD79" ca="1">SUMPRODUCT(LARGE('For stats end Y points'!$B79:AD79,ROW(INDIRECT("1:"&amp;MIN(24,COUNT('For stats end Y points'!$B79:AD79))))))</f>
        <v>87</v>
      </c>
      <c r="AE79" cm="1">
        <f t="array" aca="1" ref="AE79" ca="1">SUMPRODUCT(LARGE('For stats end Y points'!$B79:AE79,ROW(INDIRECT("1:"&amp;MIN(24,COUNT('For stats end Y points'!$B79:AE79))))))</f>
        <v>87</v>
      </c>
      <c r="AF79" cm="1">
        <f t="array" aca="1" ref="AF79" ca="1">SUMPRODUCT(LARGE('For stats end Y points'!$B79:AF79,ROW(INDIRECT("1:"&amp;MIN(24,COUNT('For stats end Y points'!$B79:AF79))))))</f>
        <v>87</v>
      </c>
      <c r="AG79" cm="1">
        <f t="array" aca="1" ref="AG79" ca="1">SUMPRODUCT(LARGE('For stats end Y points'!$B79:AG79,ROW(INDIRECT("1:"&amp;MIN(24,COUNT('For stats end Y points'!$B79:AG79))))))</f>
        <v>87</v>
      </c>
      <c r="AH79" cm="1">
        <f t="array" aca="1" ref="AH79" ca="1">SUMPRODUCT(LARGE('For stats end Y points'!$B79:AH79,ROW(INDIRECT("1:"&amp;MIN(24,COUNT('For stats end Y points'!$B79:AH79))))))</f>
        <v>87</v>
      </c>
      <c r="AP79" s="10">
        <f t="shared" si="1"/>
        <v>0</v>
      </c>
      <c r="AQ79">
        <f>'For stats end Y class'!AU79</f>
        <v>15</v>
      </c>
    </row>
    <row r="80" spans="1:43" x14ac:dyDescent="0.2">
      <c r="A80" t="str">
        <f>'For stats end Y points'!A80</f>
        <v>Pyja</v>
      </c>
      <c r="B80" cm="1">
        <f t="array" aca="1" ref="B80" ca="1">SUMPRODUCT(LARGE('For stats end Y points'!$B80:B80,ROW(INDIRECT("1:"&amp;MIN(24,COUNT('For stats end Y points'!$B80:B80))))))</f>
        <v>13</v>
      </c>
      <c r="C80" cm="1">
        <f t="array" aca="1" ref="C80" ca="1">SUMPRODUCT(LARGE('For stats end Y points'!$B80:C80,ROW(INDIRECT("1:"&amp;MIN(24,COUNT('For stats end Y points'!$B80:C80))))))</f>
        <v>29</v>
      </c>
      <c r="D80" cm="1">
        <f t="array" aca="1" ref="D80" ca="1">SUMPRODUCT(LARGE('For stats end Y points'!$B80:D80,ROW(INDIRECT("1:"&amp;MIN(24,COUNT('For stats end Y points'!$B80:D80))))))</f>
        <v>31</v>
      </c>
      <c r="E80" cm="1">
        <f t="array" aca="1" ref="E80" ca="1">SUMPRODUCT(LARGE('For stats end Y points'!$B80:E80,ROW(INDIRECT("1:"&amp;MIN(24,COUNT('For stats end Y points'!$B80:E80))))))</f>
        <v>40</v>
      </c>
      <c r="F80" cm="1">
        <f t="array" aca="1" ref="F80" ca="1">SUMPRODUCT(LARGE('For stats end Y points'!$B80:F80,ROW(INDIRECT("1:"&amp;MIN(24,COUNT('For stats end Y points'!$B80:F80))))))</f>
        <v>42</v>
      </c>
      <c r="G80" cm="1">
        <f t="array" aca="1" ref="G80" ca="1">SUMPRODUCT(LARGE('For stats end Y points'!$B80:G80,ROW(INDIRECT("1:"&amp;MIN(24,COUNT('For stats end Y points'!$B80:G80))))))</f>
        <v>59</v>
      </c>
      <c r="H80" cm="1">
        <f t="array" aca="1" ref="H80" ca="1">SUMPRODUCT(LARGE('For stats end Y points'!$B80:H80,ROW(INDIRECT("1:"&amp;MIN(24,COUNT('For stats end Y points'!$B80:H80))))))</f>
        <v>72</v>
      </c>
      <c r="I80" cm="1">
        <f t="array" aca="1" ref="I80" ca="1">SUMPRODUCT(LARGE('For stats end Y points'!$B80:I80,ROW(INDIRECT("1:"&amp;MIN(24,COUNT('For stats end Y points'!$B80:I80))))))</f>
        <v>88</v>
      </c>
      <c r="J80" cm="1">
        <f t="array" aca="1" ref="J80" ca="1">SUMPRODUCT(LARGE('For stats end Y points'!$B80:J80,ROW(INDIRECT("1:"&amp;MIN(24,COUNT('For stats end Y points'!$B80:J80))))))</f>
        <v>90</v>
      </c>
      <c r="K80" cm="1">
        <f t="array" aca="1" ref="K80" ca="1">SUMPRODUCT(LARGE('For stats end Y points'!$B80:K80,ROW(INDIRECT("1:"&amp;MIN(24,COUNT('For stats end Y points'!$B80:K80))))))</f>
        <v>101</v>
      </c>
      <c r="L80" cm="1">
        <f t="array" aca="1" ref="L80" ca="1">SUMPRODUCT(LARGE('For stats end Y points'!$B80:L80,ROW(INDIRECT("1:"&amp;MIN(24,COUNT('For stats end Y points'!$B80:L80))))))</f>
        <v>104</v>
      </c>
      <c r="M80" cm="1">
        <f t="array" aca="1" ref="M80" ca="1">SUMPRODUCT(LARGE('For stats end Y points'!$B80:M80,ROW(INDIRECT("1:"&amp;MIN(24,COUNT('For stats end Y points'!$B80:M80))))))</f>
        <v>112</v>
      </c>
      <c r="N80" cm="1">
        <f t="array" aca="1" ref="N80" ca="1">SUMPRODUCT(LARGE('For stats end Y points'!$B80:N80,ROW(INDIRECT("1:"&amp;MIN(24,COUNT('For stats end Y points'!$B80:N80))))))</f>
        <v>114</v>
      </c>
      <c r="O80" cm="1">
        <f t="array" aca="1" ref="O80" ca="1">SUMPRODUCT(LARGE('For stats end Y points'!$B80:O80,ROW(INDIRECT("1:"&amp;MIN(24,COUNT('For stats end Y points'!$B80:O80))))))</f>
        <v>131</v>
      </c>
      <c r="P80" cm="1">
        <f t="array" aca="1" ref="P80" ca="1">SUMPRODUCT(LARGE('For stats end Y points'!$B80:P80,ROW(INDIRECT("1:"&amp;MIN(24,COUNT('For stats end Y points'!$B80:P80))))))</f>
        <v>135</v>
      </c>
      <c r="Q80" cm="1">
        <f t="array" aca="1" ref="Q80" ca="1">SUMPRODUCT(LARGE('For stats end Y points'!$B80:Q80,ROW(INDIRECT("1:"&amp;MIN(24,COUNT('For stats end Y points'!$B80:Q80))))))</f>
        <v>136</v>
      </c>
      <c r="R80" cm="1">
        <f t="array" aca="1" ref="R80" ca="1">SUMPRODUCT(LARGE('For stats end Y points'!$B80:R80,ROW(INDIRECT("1:"&amp;MIN(24,COUNT('For stats end Y points'!$B80:R80))))))</f>
        <v>144</v>
      </c>
      <c r="S80" cm="1">
        <f t="array" aca="1" ref="S80" ca="1">SUMPRODUCT(LARGE('For stats end Y points'!$B80:S80,ROW(INDIRECT("1:"&amp;MIN(24,COUNT('For stats end Y points'!$B80:S80))))))</f>
        <v>157</v>
      </c>
      <c r="T80" cm="1">
        <f t="array" aca="1" ref="T80" ca="1">SUMPRODUCT(LARGE('For stats end Y points'!$B80:T80,ROW(INDIRECT("1:"&amp;MIN(24,COUNT('For stats end Y points'!$B80:T80))))))</f>
        <v>157</v>
      </c>
      <c r="U80" cm="1">
        <f t="array" aca="1" ref="U80" ca="1">SUMPRODUCT(LARGE('For stats end Y points'!$B80:U80,ROW(INDIRECT("1:"&amp;MIN(24,COUNT('For stats end Y points'!$B80:U80))))))</f>
        <v>160</v>
      </c>
      <c r="V80" cm="1">
        <f t="array" aca="1" ref="V80" ca="1">SUMPRODUCT(LARGE('For stats end Y points'!$B80:V80,ROW(INDIRECT("1:"&amp;MIN(24,COUNT('For stats end Y points'!$B80:V80))))))</f>
        <v>168</v>
      </c>
      <c r="W80" cm="1">
        <f t="array" aca="1" ref="W80" ca="1">SUMPRODUCT(LARGE('For stats end Y points'!$B80:W80,ROW(INDIRECT("1:"&amp;MIN(24,COUNT('For stats end Y points'!$B80:W80))))))</f>
        <v>171</v>
      </c>
      <c r="X80" cm="1">
        <f t="array" aca="1" ref="X80" ca="1">SUMPRODUCT(LARGE('For stats end Y points'!$B80:X80,ROW(INDIRECT("1:"&amp;MIN(24,COUNT('For stats end Y points'!$B80:X80))))))</f>
        <v>188</v>
      </c>
      <c r="Y80" cm="1">
        <f t="array" aca="1" ref="Y80" ca="1">SUMPRODUCT(LARGE('For stats end Y points'!$B80:Y80,ROW(INDIRECT("1:"&amp;MIN(24,COUNT('For stats end Y points'!$B80:Y80))))))</f>
        <v>193</v>
      </c>
      <c r="Z80" cm="1">
        <f t="array" aca="1" ref="Z80" ca="1">SUMPRODUCT(LARGE('For stats end Y points'!$B80:Z80,ROW(INDIRECT("1:"&amp;MIN(24,COUNT('For stats end Y points'!$B80:Z80))))))</f>
        <v>194</v>
      </c>
      <c r="AA80" cm="1">
        <f t="array" aca="1" ref="AA80" ca="1">SUMPRODUCT(LARGE('For stats end Y points'!$B80:AA80,ROW(INDIRECT("1:"&amp;MIN(24,COUNT('For stats end Y points'!$B80:AA80))))))</f>
        <v>195</v>
      </c>
      <c r="AB80" cm="1">
        <f t="array" aca="1" ref="AB80" ca="1">SUMPRODUCT(LARGE('For stats end Y points'!$B80:AB80,ROW(INDIRECT("1:"&amp;MIN(24,COUNT('For stats end Y points'!$B80:AB80))))))</f>
        <v>202</v>
      </c>
      <c r="AC80" cm="1">
        <f t="array" aca="1" ref="AC80" ca="1">SUMPRODUCT(LARGE('For stats end Y points'!$B80:AC80,ROW(INDIRECT("1:"&amp;MIN(24,COUNT('For stats end Y points'!$B80:AC80))))))</f>
        <v>212</v>
      </c>
      <c r="AD80" cm="1">
        <f t="array" aca="1" ref="AD80" ca="1">SUMPRODUCT(LARGE('For stats end Y points'!$B80:AD80,ROW(INDIRECT("1:"&amp;MIN(24,COUNT('For stats end Y points'!$B80:AD80))))))</f>
        <v>218</v>
      </c>
      <c r="AE80" cm="1">
        <f t="array" aca="1" ref="AE80" ca="1">SUMPRODUCT(LARGE('For stats end Y points'!$B80:AE80,ROW(INDIRECT("1:"&amp;MIN(24,COUNT('For stats end Y points'!$B80:AE80))))))</f>
        <v>221</v>
      </c>
      <c r="AF80" cm="1">
        <f t="array" aca="1" ref="AF80" ca="1">SUMPRODUCT(LARGE('For stats end Y points'!$B80:AF80,ROW(INDIRECT("1:"&amp;MIN(24,COUNT('For stats end Y points'!$B80:AF80))))))</f>
        <v>235</v>
      </c>
      <c r="AG80" cm="1">
        <f t="array" aca="1" ref="AG80" ca="1">SUMPRODUCT(LARGE('For stats end Y points'!$B80:AG80,ROW(INDIRECT("1:"&amp;MIN(24,COUNT('For stats end Y points'!$B80:AG80))))))</f>
        <v>241</v>
      </c>
      <c r="AH80" cm="1">
        <f t="array" aca="1" ref="AH80" ca="1">SUMPRODUCT(LARGE('For stats end Y points'!$B80:AH80,ROW(INDIRECT("1:"&amp;MIN(24,COUNT('For stats end Y points'!$B80:AH80))))))</f>
        <v>241</v>
      </c>
      <c r="AP80" s="10">
        <f t="shared" si="1"/>
        <v>0</v>
      </c>
      <c r="AQ80">
        <f>'For stats end Y class'!AU80</f>
        <v>32</v>
      </c>
    </row>
    <row r="81" spans="1:43" x14ac:dyDescent="0.2">
      <c r="A81" t="str">
        <f>'For stats end Y points'!A81</f>
        <v>Ramm</v>
      </c>
      <c r="B81" cm="1">
        <f t="array" aca="1" ref="B81" ca="1">SUMPRODUCT(LARGE('For stats end Y points'!$B81:B81,ROW(INDIRECT("1:"&amp;MIN(24,COUNT('For stats end Y points'!$B81:B81))))))</f>
        <v>2</v>
      </c>
      <c r="C81" cm="1">
        <f t="array" aca="1" ref="C81" ca="1">SUMPRODUCT(LARGE('For stats end Y points'!$B81:C81,ROW(INDIRECT("1:"&amp;MIN(24,COUNT('For stats end Y points'!$B81:C81))))))</f>
        <v>2</v>
      </c>
      <c r="D81" cm="1">
        <f t="array" aca="1" ref="D81" ca="1">SUMPRODUCT(LARGE('For stats end Y points'!$B81:D81,ROW(INDIRECT("1:"&amp;MIN(24,COUNT('For stats end Y points'!$B81:D81))))))</f>
        <v>18</v>
      </c>
      <c r="E81" cm="1">
        <f t="array" aca="1" ref="E81" ca="1">SUMPRODUCT(LARGE('For stats end Y points'!$B81:E81,ROW(INDIRECT("1:"&amp;MIN(24,COUNT('For stats end Y points'!$B81:E81))))))</f>
        <v>21</v>
      </c>
      <c r="F81" cm="1">
        <f t="array" aca="1" ref="F81" ca="1">SUMPRODUCT(LARGE('For stats end Y points'!$B81:F81,ROW(INDIRECT("1:"&amp;MIN(24,COUNT('For stats end Y points'!$B81:F81))))))</f>
        <v>21</v>
      </c>
      <c r="G81" cm="1">
        <f t="array" aca="1" ref="G81" ca="1">SUMPRODUCT(LARGE('For stats end Y points'!$B81:G81,ROW(INDIRECT("1:"&amp;MIN(24,COUNT('For stats end Y points'!$B81:G81))))))</f>
        <v>30</v>
      </c>
      <c r="H81" cm="1">
        <f t="array" aca="1" ref="H81" ca="1">SUMPRODUCT(LARGE('For stats end Y points'!$B81:H81,ROW(INDIRECT("1:"&amp;MIN(24,COUNT('For stats end Y points'!$B81:H81))))))</f>
        <v>30</v>
      </c>
      <c r="I81" cm="1">
        <f t="array" aca="1" ref="I81" ca="1">SUMPRODUCT(LARGE('For stats end Y points'!$B81:I81,ROW(INDIRECT("1:"&amp;MIN(24,COUNT('For stats end Y points'!$B81:I81))))))</f>
        <v>30</v>
      </c>
      <c r="J81" cm="1">
        <f t="array" aca="1" ref="J81" ca="1">SUMPRODUCT(LARGE('For stats end Y points'!$B81:J81,ROW(INDIRECT("1:"&amp;MIN(24,COUNT('For stats end Y points'!$B81:J81))))))</f>
        <v>46</v>
      </c>
      <c r="K81" cm="1">
        <f t="array" aca="1" ref="K81" ca="1">SUMPRODUCT(LARGE('For stats end Y points'!$B81:K81,ROW(INDIRECT("1:"&amp;MIN(24,COUNT('For stats end Y points'!$B81:K81))))))</f>
        <v>46</v>
      </c>
      <c r="L81" cm="1">
        <f t="array" aca="1" ref="L81" ca="1">SUMPRODUCT(LARGE('For stats end Y points'!$B81:L81,ROW(INDIRECT("1:"&amp;MIN(24,COUNT('For stats end Y points'!$B81:L81))))))</f>
        <v>54</v>
      </c>
      <c r="M81" cm="1">
        <f t="array" aca="1" ref="M81" ca="1">SUMPRODUCT(LARGE('For stats end Y points'!$B81:M81,ROW(INDIRECT("1:"&amp;MIN(24,COUNT('For stats end Y points'!$B81:M81))))))</f>
        <v>54</v>
      </c>
      <c r="N81" cm="1">
        <f t="array" aca="1" ref="N81" ca="1">SUMPRODUCT(LARGE('For stats end Y points'!$B81:N81,ROW(INDIRECT("1:"&amp;MIN(24,COUNT('For stats end Y points'!$B81:N81))))))</f>
        <v>58</v>
      </c>
      <c r="O81" cm="1">
        <f t="array" aca="1" ref="O81" ca="1">SUMPRODUCT(LARGE('For stats end Y points'!$B81:O81,ROW(INDIRECT("1:"&amp;MIN(24,COUNT('For stats end Y points'!$B81:O81))))))</f>
        <v>66</v>
      </c>
      <c r="P81" cm="1">
        <f t="array" aca="1" ref="P81" ca="1">SUMPRODUCT(LARGE('For stats end Y points'!$B81:P81,ROW(INDIRECT("1:"&amp;MIN(24,COUNT('For stats end Y points'!$B81:P81))))))</f>
        <v>66</v>
      </c>
      <c r="Q81" cm="1">
        <f t="array" aca="1" ref="Q81" ca="1">SUMPRODUCT(LARGE('For stats end Y points'!$B81:Q81,ROW(INDIRECT("1:"&amp;MIN(24,COUNT('For stats end Y points'!$B81:Q81))))))</f>
        <v>75</v>
      </c>
      <c r="R81" cm="1">
        <f t="array" aca="1" ref="R81" ca="1">SUMPRODUCT(LARGE('For stats end Y points'!$B81:R81,ROW(INDIRECT("1:"&amp;MIN(24,COUNT('For stats end Y points'!$B81:R81))))))</f>
        <v>92</v>
      </c>
      <c r="S81" cm="1">
        <f t="array" aca="1" ref="S81" ca="1">SUMPRODUCT(LARGE('For stats end Y points'!$B81:S81,ROW(INDIRECT("1:"&amp;MIN(24,COUNT('For stats end Y points'!$B81:S81))))))</f>
        <v>95</v>
      </c>
      <c r="T81" cm="1">
        <f t="array" aca="1" ref="T81" ca="1">SUMPRODUCT(LARGE('For stats end Y points'!$B81:T81,ROW(INDIRECT("1:"&amp;MIN(24,COUNT('For stats end Y points'!$B81:T81))))))</f>
        <v>95</v>
      </c>
      <c r="U81" cm="1">
        <f t="array" aca="1" ref="U81" ca="1">SUMPRODUCT(LARGE('For stats end Y points'!$B81:U81,ROW(INDIRECT("1:"&amp;MIN(24,COUNT('For stats end Y points'!$B81:U81))))))</f>
        <v>95</v>
      </c>
      <c r="V81" cm="1">
        <f t="array" aca="1" ref="V81" ca="1">SUMPRODUCT(LARGE('For stats end Y points'!$B81:V81,ROW(INDIRECT("1:"&amp;MIN(24,COUNT('For stats end Y points'!$B81:V81))))))</f>
        <v>104</v>
      </c>
      <c r="W81" cm="1">
        <f t="array" aca="1" ref="W81" ca="1">SUMPRODUCT(LARGE('For stats end Y points'!$B81:W81,ROW(INDIRECT("1:"&amp;MIN(24,COUNT('For stats end Y points'!$B81:W81))))))</f>
        <v>104</v>
      </c>
      <c r="X81" cm="1">
        <f t="array" aca="1" ref="X81" ca="1">SUMPRODUCT(LARGE('For stats end Y points'!$B81:X81,ROW(INDIRECT("1:"&amp;MIN(24,COUNT('For stats end Y points'!$B81:X81))))))</f>
        <v>104</v>
      </c>
      <c r="Y81" cm="1">
        <f t="array" aca="1" ref="Y81" ca="1">SUMPRODUCT(LARGE('For stats end Y points'!$B81:Y81,ROW(INDIRECT("1:"&amp;MIN(24,COUNT('For stats end Y points'!$B81:Y81))))))</f>
        <v>104</v>
      </c>
      <c r="Z81" cm="1">
        <f t="array" aca="1" ref="Z81" ca="1">SUMPRODUCT(LARGE('For stats end Y points'!$B81:Z81,ROW(INDIRECT("1:"&amp;MIN(24,COUNT('For stats end Y points'!$B81:Z81))))))</f>
        <v>104</v>
      </c>
      <c r="AA81" cm="1">
        <f t="array" aca="1" ref="AA81" ca="1">SUMPRODUCT(LARGE('For stats end Y points'!$B81:AA81,ROW(INDIRECT("1:"&amp;MIN(24,COUNT('For stats end Y points'!$B81:AA81))))))</f>
        <v>120</v>
      </c>
      <c r="AB81" cm="1">
        <f t="array" aca="1" ref="AB81" ca="1">SUMPRODUCT(LARGE('For stats end Y points'!$B81:AB81,ROW(INDIRECT("1:"&amp;MIN(24,COUNT('For stats end Y points'!$B81:AB81))))))</f>
        <v>132</v>
      </c>
      <c r="AC81" cm="1">
        <f t="array" aca="1" ref="AC81" ca="1">SUMPRODUCT(LARGE('For stats end Y points'!$B81:AC81,ROW(INDIRECT("1:"&amp;MIN(24,COUNT('For stats end Y points'!$B81:AC81))))))</f>
        <v>144</v>
      </c>
      <c r="AD81" cm="1">
        <f t="array" aca="1" ref="AD81" ca="1">SUMPRODUCT(LARGE('For stats end Y points'!$B81:AD81,ROW(INDIRECT("1:"&amp;MIN(24,COUNT('For stats end Y points'!$B81:AD81))))))</f>
        <v>160</v>
      </c>
      <c r="AE81" cm="1">
        <f t="array" aca="1" ref="AE81" ca="1">SUMPRODUCT(LARGE('For stats end Y points'!$B81:AE81,ROW(INDIRECT("1:"&amp;MIN(24,COUNT('For stats end Y points'!$B81:AE81))))))</f>
        <v>164</v>
      </c>
      <c r="AF81" cm="1">
        <f t="array" aca="1" ref="AF81" ca="1">SUMPRODUCT(LARGE('For stats end Y points'!$B81:AF81,ROW(INDIRECT("1:"&amp;MIN(24,COUNT('For stats end Y points'!$B81:AF81))))))</f>
        <v>176</v>
      </c>
      <c r="AG81" cm="1">
        <f t="array" aca="1" ref="AG81" ca="1">SUMPRODUCT(LARGE('For stats end Y points'!$B81:AG81,ROW(INDIRECT("1:"&amp;MIN(24,COUNT('For stats end Y points'!$B81:AG81))))))</f>
        <v>179</v>
      </c>
      <c r="AH81" cm="1">
        <f t="array" aca="1" ref="AH81" ca="1">SUMPRODUCT(LARGE('For stats end Y points'!$B81:AH81,ROW(INDIRECT("1:"&amp;MIN(24,COUNT('For stats end Y points'!$B81:AH81))))))</f>
        <v>187</v>
      </c>
      <c r="AP81" s="10">
        <f t="shared" si="1"/>
        <v>0</v>
      </c>
      <c r="AQ81">
        <f>'For stats end Y class'!AU81</f>
        <v>20</v>
      </c>
    </row>
    <row r="82" spans="1:43" x14ac:dyDescent="0.2">
      <c r="A82" t="str">
        <f>'For stats end Y points'!A82</f>
        <v>Ripolin</v>
      </c>
      <c r="B82" cm="1">
        <f t="array" aca="1" ref="B82" ca="1">SUMPRODUCT(LARGE('For stats end Y points'!$B82:B82,ROW(INDIRECT("1:"&amp;MIN(24,COUNT('For stats end Y points'!$B82:B82))))))</f>
        <v>16</v>
      </c>
      <c r="C82" cm="1">
        <f t="array" aca="1" ref="C82" ca="1">SUMPRODUCT(LARGE('For stats end Y points'!$B82:C82,ROW(INDIRECT("1:"&amp;MIN(24,COUNT('For stats end Y points'!$B82:C82))))))</f>
        <v>20</v>
      </c>
      <c r="D82" cm="1">
        <f t="array" aca="1" ref="D82" ca="1">SUMPRODUCT(LARGE('For stats end Y points'!$B82:D82,ROW(INDIRECT("1:"&amp;MIN(24,COUNT('For stats end Y points'!$B82:D82))))))</f>
        <v>20</v>
      </c>
      <c r="E82" cm="1">
        <f t="array" aca="1" ref="E82" ca="1">SUMPRODUCT(LARGE('For stats end Y points'!$B82:E82,ROW(INDIRECT("1:"&amp;MIN(24,COUNT('For stats end Y points'!$B82:E82))))))</f>
        <v>21</v>
      </c>
      <c r="F82" cm="1">
        <f t="array" aca="1" ref="F82" ca="1">SUMPRODUCT(LARGE('For stats end Y points'!$B82:F82,ROW(INDIRECT("1:"&amp;MIN(24,COUNT('For stats end Y points'!$B82:F82))))))</f>
        <v>22</v>
      </c>
      <c r="G82" cm="1">
        <f t="array" aca="1" ref="G82" ca="1">SUMPRODUCT(LARGE('For stats end Y points'!$B82:G82,ROW(INDIRECT("1:"&amp;MIN(24,COUNT('For stats end Y points'!$B82:G82))))))</f>
        <v>22</v>
      </c>
      <c r="H82" cm="1">
        <f t="array" aca="1" ref="H82" ca="1">SUMPRODUCT(LARGE('For stats end Y points'!$B82:H82,ROW(INDIRECT("1:"&amp;MIN(24,COUNT('For stats end Y points'!$B82:H82))))))</f>
        <v>34</v>
      </c>
      <c r="I82" cm="1">
        <f t="array" aca="1" ref="I82" ca="1">SUMPRODUCT(LARGE('For stats end Y points'!$B82:I82,ROW(INDIRECT("1:"&amp;MIN(24,COUNT('For stats end Y points'!$B82:I82))))))</f>
        <v>34</v>
      </c>
      <c r="J82" cm="1">
        <f t="array" aca="1" ref="J82" ca="1">SUMPRODUCT(LARGE('For stats end Y points'!$B82:J82,ROW(INDIRECT("1:"&amp;MIN(24,COUNT('For stats end Y points'!$B82:J82))))))</f>
        <v>36</v>
      </c>
      <c r="K82" cm="1">
        <f t="array" aca="1" ref="K82" ca="1">SUMPRODUCT(LARGE('For stats end Y points'!$B82:K82,ROW(INDIRECT("1:"&amp;MIN(24,COUNT('For stats end Y points'!$B82:K82))))))</f>
        <v>36</v>
      </c>
      <c r="L82" cm="1">
        <f t="array" aca="1" ref="L82" ca="1">SUMPRODUCT(LARGE('For stats end Y points'!$B82:L82,ROW(INDIRECT("1:"&amp;MIN(24,COUNT('For stats end Y points'!$B82:L82))))))</f>
        <v>47</v>
      </c>
      <c r="M82" cm="1">
        <f t="array" aca="1" ref="M82" ca="1">SUMPRODUCT(LARGE('For stats end Y points'!$B82:M82,ROW(INDIRECT("1:"&amp;MIN(24,COUNT('For stats end Y points'!$B82:M82))))))</f>
        <v>59</v>
      </c>
      <c r="N82" cm="1">
        <f t="array" aca="1" ref="N82" ca="1">SUMPRODUCT(LARGE('For stats end Y points'!$B82:N82,ROW(INDIRECT("1:"&amp;MIN(24,COUNT('For stats end Y points'!$B82:N82))))))</f>
        <v>67</v>
      </c>
      <c r="O82" cm="1">
        <f t="array" aca="1" ref="O82" ca="1">SUMPRODUCT(LARGE('For stats end Y points'!$B82:O82,ROW(INDIRECT("1:"&amp;MIN(24,COUNT('For stats end Y points'!$B82:O82))))))</f>
        <v>68</v>
      </c>
      <c r="P82" cm="1">
        <f t="array" aca="1" ref="P82" ca="1">SUMPRODUCT(LARGE('For stats end Y points'!$B82:P82,ROW(INDIRECT("1:"&amp;MIN(24,COUNT('For stats end Y points'!$B82:P82))))))</f>
        <v>68</v>
      </c>
      <c r="Q82" cm="1">
        <f t="array" aca="1" ref="Q82" ca="1">SUMPRODUCT(LARGE('For stats end Y points'!$B82:Q82,ROW(INDIRECT("1:"&amp;MIN(24,COUNT('For stats end Y points'!$B82:Q82))))))</f>
        <v>68</v>
      </c>
      <c r="R82" cm="1">
        <f t="array" aca="1" ref="R82" ca="1">SUMPRODUCT(LARGE('For stats end Y points'!$B82:R82,ROW(INDIRECT("1:"&amp;MIN(24,COUNT('For stats end Y points'!$B82:R82))))))</f>
        <v>69</v>
      </c>
      <c r="S82" cm="1">
        <f t="array" aca="1" ref="S82" ca="1">SUMPRODUCT(LARGE('For stats end Y points'!$B82:S82,ROW(INDIRECT("1:"&amp;MIN(24,COUNT('For stats end Y points'!$B82:S82))))))</f>
        <v>69</v>
      </c>
      <c r="T82" cm="1">
        <f t="array" aca="1" ref="T82" ca="1">SUMPRODUCT(LARGE('For stats end Y points'!$B82:T82,ROW(INDIRECT("1:"&amp;MIN(24,COUNT('For stats end Y points'!$B82:T82))))))</f>
        <v>85</v>
      </c>
      <c r="U82" cm="1">
        <f t="array" aca="1" ref="U82" ca="1">SUMPRODUCT(LARGE('For stats end Y points'!$B82:U82,ROW(INDIRECT("1:"&amp;MIN(24,COUNT('For stats end Y points'!$B82:U82))))))</f>
        <v>88</v>
      </c>
      <c r="V82" cm="1">
        <f t="array" aca="1" ref="V82" ca="1">SUMPRODUCT(LARGE('For stats end Y points'!$B82:V82,ROW(INDIRECT("1:"&amp;MIN(24,COUNT('For stats end Y points'!$B82:V82))))))</f>
        <v>90</v>
      </c>
      <c r="W82" cm="1">
        <f t="array" aca="1" ref="W82" ca="1">SUMPRODUCT(LARGE('For stats end Y points'!$B82:W82,ROW(INDIRECT("1:"&amp;MIN(24,COUNT('For stats end Y points'!$B82:W82))))))</f>
        <v>90</v>
      </c>
      <c r="X82" cm="1">
        <f t="array" aca="1" ref="X82" ca="1">SUMPRODUCT(LARGE('For stats end Y points'!$B82:X82,ROW(INDIRECT("1:"&amp;MIN(24,COUNT('For stats end Y points'!$B82:X82))))))</f>
        <v>90</v>
      </c>
      <c r="Y82" cm="1">
        <f t="array" aca="1" ref="Y82" ca="1">SUMPRODUCT(LARGE('For stats end Y points'!$B82:Y82,ROW(INDIRECT("1:"&amp;MIN(24,COUNT('For stats end Y points'!$B82:Y82))))))</f>
        <v>92</v>
      </c>
      <c r="Z82" cm="1">
        <f t="array" aca="1" ref="Z82" ca="1">SUMPRODUCT(LARGE('For stats end Y points'!$B82:Z82,ROW(INDIRECT("1:"&amp;MIN(24,COUNT('For stats end Y points'!$B82:Z82))))))</f>
        <v>93</v>
      </c>
      <c r="AA82" cm="1">
        <f t="array" aca="1" ref="AA82" ca="1">SUMPRODUCT(LARGE('For stats end Y points'!$B82:AA82,ROW(INDIRECT("1:"&amp;MIN(24,COUNT('For stats end Y points'!$B82:AA82))))))</f>
        <v>93</v>
      </c>
      <c r="AB82" cm="1">
        <f t="array" aca="1" ref="AB82" ca="1">SUMPRODUCT(LARGE('For stats end Y points'!$B82:AB82,ROW(INDIRECT("1:"&amp;MIN(24,COUNT('For stats end Y points'!$B82:AB82))))))</f>
        <v>95</v>
      </c>
      <c r="AC82" cm="1">
        <f t="array" aca="1" ref="AC82" ca="1">SUMPRODUCT(LARGE('For stats end Y points'!$B82:AC82,ROW(INDIRECT("1:"&amp;MIN(24,COUNT('For stats end Y points'!$B82:AC82))))))</f>
        <v>96</v>
      </c>
      <c r="AD82" cm="1">
        <f t="array" aca="1" ref="AD82" ca="1">SUMPRODUCT(LARGE('For stats end Y points'!$B82:AD82,ROW(INDIRECT("1:"&amp;MIN(24,COUNT('For stats end Y points'!$B82:AD82))))))</f>
        <v>100</v>
      </c>
      <c r="AE82" cm="1">
        <f t="array" aca="1" ref="AE82" ca="1">SUMPRODUCT(LARGE('For stats end Y points'!$B82:AE82,ROW(INDIRECT("1:"&amp;MIN(24,COUNT('For stats end Y points'!$B82:AE82))))))</f>
        <v>102</v>
      </c>
      <c r="AF82" cm="1">
        <f t="array" aca="1" ref="AF82" ca="1">SUMPRODUCT(LARGE('For stats end Y points'!$B82:AF82,ROW(INDIRECT("1:"&amp;MIN(24,COUNT('For stats end Y points'!$B82:AF82))))))</f>
        <v>105</v>
      </c>
      <c r="AG82" cm="1">
        <f t="array" aca="1" ref="AG82" ca="1">SUMPRODUCT(LARGE('For stats end Y points'!$B82:AG82,ROW(INDIRECT("1:"&amp;MIN(24,COUNT('For stats end Y points'!$B82:AG82))))))</f>
        <v>107</v>
      </c>
      <c r="AH82" cm="1">
        <f t="array" aca="1" ref="AH82" ca="1">SUMPRODUCT(LARGE('For stats end Y points'!$B82:AH82,ROW(INDIRECT("1:"&amp;MIN(24,COUNT('For stats end Y points'!$B82:AH82))))))</f>
        <v>123</v>
      </c>
      <c r="AP82" s="10">
        <f t="shared" si="1"/>
        <v>0</v>
      </c>
      <c r="AQ82">
        <f>'For stats end Y class'!AU82</f>
        <v>23</v>
      </c>
    </row>
    <row r="83" spans="1:43" x14ac:dyDescent="0.2">
      <c r="A83" t="str">
        <f>'For stats end Y points'!A83</f>
        <v>Riviera</v>
      </c>
      <c r="B83" cm="1">
        <f t="array" aca="1" ref="B83" ca="1">SUMPRODUCT(LARGE('For stats end Y points'!$B83:B83,ROW(INDIRECT("1:"&amp;MIN(24,COUNT('For stats end Y points'!$B83:B83))))))</f>
        <v>0</v>
      </c>
      <c r="C83" cm="1">
        <f t="array" aca="1" ref="C83" ca="1">SUMPRODUCT(LARGE('For stats end Y points'!$B83:C83,ROW(INDIRECT("1:"&amp;MIN(24,COUNT('For stats end Y points'!$B83:C83))))))</f>
        <v>0</v>
      </c>
      <c r="D83" cm="1">
        <f t="array" aca="1" ref="D83" ca="1">SUMPRODUCT(LARGE('For stats end Y points'!$B83:D83,ROW(INDIRECT("1:"&amp;MIN(24,COUNT('For stats end Y points'!$B83:D83))))))</f>
        <v>0</v>
      </c>
      <c r="E83" cm="1">
        <f t="array" aca="1" ref="E83" ca="1">SUMPRODUCT(LARGE('For stats end Y points'!$B83:E83,ROW(INDIRECT("1:"&amp;MIN(24,COUNT('For stats end Y points'!$B83:E83))))))</f>
        <v>3</v>
      </c>
      <c r="F83" cm="1">
        <f t="array" aca="1" ref="F83" ca="1">SUMPRODUCT(LARGE('For stats end Y points'!$B83:F83,ROW(INDIRECT("1:"&amp;MIN(24,COUNT('For stats end Y points'!$B83:F83))))))</f>
        <v>8</v>
      </c>
      <c r="G83" cm="1">
        <f t="array" aca="1" ref="G83" ca="1">SUMPRODUCT(LARGE('For stats end Y points'!$B83:G83,ROW(INDIRECT("1:"&amp;MIN(24,COUNT('For stats end Y points'!$B83:G83))))))</f>
        <v>8</v>
      </c>
      <c r="H83" cm="1">
        <f t="array" aca="1" ref="H83" ca="1">SUMPRODUCT(LARGE('For stats end Y points'!$B83:H83,ROW(INDIRECT("1:"&amp;MIN(24,COUNT('For stats end Y points'!$B83:H83))))))</f>
        <v>8</v>
      </c>
      <c r="I83" cm="1">
        <f t="array" aca="1" ref="I83" ca="1">SUMPRODUCT(LARGE('For stats end Y points'!$B83:I83,ROW(INDIRECT("1:"&amp;MIN(24,COUNT('For stats end Y points'!$B83:I83))))))</f>
        <v>8</v>
      </c>
      <c r="J83" cm="1">
        <f t="array" aca="1" ref="J83" ca="1">SUMPRODUCT(LARGE('For stats end Y points'!$B83:J83,ROW(INDIRECT("1:"&amp;MIN(24,COUNT('For stats end Y points'!$B83:J83))))))</f>
        <v>8</v>
      </c>
      <c r="K83" cm="1">
        <f t="array" aca="1" ref="K83" ca="1">SUMPRODUCT(LARGE('For stats end Y points'!$B83:K83,ROW(INDIRECT("1:"&amp;MIN(24,COUNT('For stats end Y points'!$B83:K83))))))</f>
        <v>8</v>
      </c>
      <c r="L83" cm="1">
        <f t="array" aca="1" ref="L83" ca="1">SUMPRODUCT(LARGE('For stats end Y points'!$B83:L83,ROW(INDIRECT("1:"&amp;MIN(24,COUNT('For stats end Y points'!$B83:L83))))))</f>
        <v>8</v>
      </c>
      <c r="M83" cm="1">
        <f t="array" aca="1" ref="M83" ca="1">SUMPRODUCT(LARGE('For stats end Y points'!$B83:M83,ROW(INDIRECT("1:"&amp;MIN(24,COUNT('For stats end Y points'!$B83:M83))))))</f>
        <v>8</v>
      </c>
      <c r="N83" cm="1">
        <f t="array" aca="1" ref="N83" ca="1">SUMPRODUCT(LARGE('For stats end Y points'!$B83:N83,ROW(INDIRECT("1:"&amp;MIN(24,COUNT('For stats end Y points'!$B83:N83))))))</f>
        <v>8</v>
      </c>
      <c r="O83" cm="1">
        <f t="array" aca="1" ref="O83" ca="1">SUMPRODUCT(LARGE('For stats end Y points'!$B83:O83,ROW(INDIRECT("1:"&amp;MIN(24,COUNT('For stats end Y points'!$B83:O83))))))</f>
        <v>8</v>
      </c>
      <c r="P83" cm="1">
        <f t="array" aca="1" ref="P83" ca="1">SUMPRODUCT(LARGE('For stats end Y points'!$B83:P83,ROW(INDIRECT("1:"&amp;MIN(24,COUNT('For stats end Y points'!$B83:P83))))))</f>
        <v>8</v>
      </c>
      <c r="Q83" cm="1">
        <f t="array" aca="1" ref="Q83" ca="1">SUMPRODUCT(LARGE('For stats end Y points'!$B83:Q83,ROW(INDIRECT("1:"&amp;MIN(24,COUNT('For stats end Y points'!$B83:Q83))))))</f>
        <v>8</v>
      </c>
      <c r="R83" cm="1">
        <f t="array" aca="1" ref="R83" ca="1">SUMPRODUCT(LARGE('For stats end Y points'!$B83:R83,ROW(INDIRECT("1:"&amp;MIN(24,COUNT('For stats end Y points'!$B83:R83))))))</f>
        <v>8</v>
      </c>
      <c r="S83" cm="1">
        <f t="array" aca="1" ref="S83" ca="1">SUMPRODUCT(LARGE('For stats end Y points'!$B83:S83,ROW(INDIRECT("1:"&amp;MIN(24,COUNT('For stats end Y points'!$B83:S83))))))</f>
        <v>8</v>
      </c>
      <c r="T83" cm="1">
        <f t="array" aca="1" ref="T83" ca="1">SUMPRODUCT(LARGE('For stats end Y points'!$B83:T83,ROW(INDIRECT("1:"&amp;MIN(24,COUNT('For stats end Y points'!$B83:T83))))))</f>
        <v>8</v>
      </c>
      <c r="U83" cm="1">
        <f t="array" aca="1" ref="U83" ca="1">SUMPRODUCT(LARGE('For stats end Y points'!$B83:U83,ROW(INDIRECT("1:"&amp;MIN(24,COUNT('For stats end Y points'!$B83:U83))))))</f>
        <v>8</v>
      </c>
      <c r="V83" cm="1">
        <f t="array" aca="1" ref="V83" ca="1">SUMPRODUCT(LARGE('For stats end Y points'!$B83:V83,ROW(INDIRECT("1:"&amp;MIN(24,COUNT('For stats end Y points'!$B83:V83))))))</f>
        <v>8</v>
      </c>
      <c r="W83" cm="1">
        <f t="array" aca="1" ref="W83" ca="1">SUMPRODUCT(LARGE('For stats end Y points'!$B83:W83,ROW(INDIRECT("1:"&amp;MIN(24,COUNT('For stats end Y points'!$B83:W83))))))</f>
        <v>8</v>
      </c>
      <c r="X83" cm="1">
        <f t="array" aca="1" ref="X83" ca="1">SUMPRODUCT(LARGE('For stats end Y points'!$B83:X83,ROW(INDIRECT("1:"&amp;MIN(24,COUNT('For stats end Y points'!$B83:X83))))))</f>
        <v>8</v>
      </c>
      <c r="Y83" cm="1">
        <f t="array" aca="1" ref="Y83" ca="1">SUMPRODUCT(LARGE('For stats end Y points'!$B83:Y83,ROW(INDIRECT("1:"&amp;MIN(24,COUNT('For stats end Y points'!$B83:Y83))))))</f>
        <v>8</v>
      </c>
      <c r="Z83" cm="1">
        <f t="array" aca="1" ref="Z83" ca="1">SUMPRODUCT(LARGE('For stats end Y points'!$B83:Z83,ROW(INDIRECT("1:"&amp;MIN(24,COUNT('For stats end Y points'!$B83:Z83))))))</f>
        <v>8</v>
      </c>
      <c r="AA83" cm="1">
        <f t="array" aca="1" ref="AA83" ca="1">SUMPRODUCT(LARGE('For stats end Y points'!$B83:AA83,ROW(INDIRECT("1:"&amp;MIN(24,COUNT('For stats end Y points'!$B83:AA83))))))</f>
        <v>20</v>
      </c>
      <c r="AB83" cm="1">
        <f t="array" aca="1" ref="AB83" ca="1">SUMPRODUCT(LARGE('For stats end Y points'!$B83:AB83,ROW(INDIRECT("1:"&amp;MIN(24,COUNT('For stats end Y points'!$B83:AB83))))))</f>
        <v>20</v>
      </c>
      <c r="AC83" cm="1">
        <f t="array" aca="1" ref="AC83" ca="1">SUMPRODUCT(LARGE('For stats end Y points'!$B83:AC83,ROW(INDIRECT("1:"&amp;MIN(24,COUNT('For stats end Y points'!$B83:AC83))))))</f>
        <v>20</v>
      </c>
      <c r="AD83" cm="1">
        <f t="array" aca="1" ref="AD83" ca="1">SUMPRODUCT(LARGE('For stats end Y points'!$B83:AD83,ROW(INDIRECT("1:"&amp;MIN(24,COUNT('For stats end Y points'!$B83:AD83))))))</f>
        <v>20</v>
      </c>
      <c r="AE83" cm="1">
        <f t="array" aca="1" ref="AE83" ca="1">SUMPRODUCT(LARGE('For stats end Y points'!$B83:AE83,ROW(INDIRECT("1:"&amp;MIN(24,COUNT('For stats end Y points'!$B83:AE83))))))</f>
        <v>20</v>
      </c>
      <c r="AF83" cm="1">
        <f t="array" aca="1" ref="AF83" ca="1">SUMPRODUCT(LARGE('For stats end Y points'!$B83:AF83,ROW(INDIRECT("1:"&amp;MIN(24,COUNT('For stats end Y points'!$B83:AF83))))))</f>
        <v>20</v>
      </c>
      <c r="AG83" cm="1">
        <f t="array" aca="1" ref="AG83" ca="1">SUMPRODUCT(LARGE('For stats end Y points'!$B83:AG83,ROW(INDIRECT("1:"&amp;MIN(24,COUNT('For stats end Y points'!$B83:AG83))))))</f>
        <v>20</v>
      </c>
      <c r="AH83" cm="1">
        <f t="array" aca="1" ref="AH83" ca="1">SUMPRODUCT(LARGE('For stats end Y points'!$B83:AH83,ROW(INDIRECT("1:"&amp;MIN(24,COUNT('For stats end Y points'!$B83:AH83))))))</f>
        <v>20</v>
      </c>
      <c r="AP83" s="10">
        <f t="shared" si="1"/>
        <v>0</v>
      </c>
      <c r="AQ83">
        <f>'For stats end Y class'!AU83</f>
        <v>3</v>
      </c>
    </row>
    <row r="84" spans="1:43" x14ac:dyDescent="0.2">
      <c r="A84" t="str">
        <f>'For stats end Y points'!A84</f>
        <v>Rmarc</v>
      </c>
      <c r="B84" cm="1">
        <f t="array" aca="1" ref="B84" ca="1">SUMPRODUCT(LARGE('For stats end Y points'!$B84:B84,ROW(INDIRECT("1:"&amp;MIN(24,COUNT('For stats end Y points'!$B84:B84))))))</f>
        <v>0</v>
      </c>
      <c r="C84" cm="1">
        <f t="array" aca="1" ref="C84" ca="1">SUMPRODUCT(LARGE('For stats end Y points'!$B84:C84,ROW(INDIRECT("1:"&amp;MIN(24,COUNT('For stats end Y points'!$B84:C84))))))</f>
        <v>0</v>
      </c>
      <c r="D84" cm="1">
        <f t="array" aca="1" ref="D84" ca="1">SUMPRODUCT(LARGE('For stats end Y points'!$B84:D84,ROW(INDIRECT("1:"&amp;MIN(24,COUNT('For stats end Y points'!$B84:D84))))))</f>
        <v>4</v>
      </c>
      <c r="E84" cm="1">
        <f t="array" aca="1" ref="E84" ca="1">SUMPRODUCT(LARGE('For stats end Y points'!$B84:E84,ROW(INDIRECT("1:"&amp;MIN(24,COUNT('For stats end Y points'!$B84:E84))))))</f>
        <v>6</v>
      </c>
      <c r="F84" cm="1">
        <f t="array" aca="1" ref="F84" ca="1">SUMPRODUCT(LARGE('For stats end Y points'!$B84:F84,ROW(INDIRECT("1:"&amp;MIN(24,COUNT('For stats end Y points'!$B84:F84))))))</f>
        <v>6</v>
      </c>
      <c r="G84" cm="1">
        <f t="array" aca="1" ref="G84" ca="1">SUMPRODUCT(LARGE('For stats end Y points'!$B84:G84,ROW(INDIRECT("1:"&amp;MIN(24,COUNT('For stats end Y points'!$B84:G84))))))</f>
        <v>6</v>
      </c>
      <c r="H84" cm="1">
        <f t="array" aca="1" ref="H84" ca="1">SUMPRODUCT(LARGE('For stats end Y points'!$B84:H84,ROW(INDIRECT("1:"&amp;MIN(24,COUNT('For stats end Y points'!$B84:H84))))))</f>
        <v>10</v>
      </c>
      <c r="I84" cm="1">
        <f t="array" aca="1" ref="I84" ca="1">SUMPRODUCT(LARGE('For stats end Y points'!$B84:I84,ROW(INDIRECT("1:"&amp;MIN(24,COUNT('For stats end Y points'!$B84:I84))))))</f>
        <v>15</v>
      </c>
      <c r="J84" cm="1">
        <f t="array" aca="1" ref="J84" ca="1">SUMPRODUCT(LARGE('For stats end Y points'!$B84:J84,ROW(INDIRECT("1:"&amp;MIN(24,COUNT('For stats end Y points'!$B84:J84))))))</f>
        <v>19</v>
      </c>
      <c r="K84" cm="1">
        <f t="array" aca="1" ref="K84" ca="1">SUMPRODUCT(LARGE('For stats end Y points'!$B84:K84,ROW(INDIRECT("1:"&amp;MIN(24,COUNT('For stats end Y points'!$B84:K84))))))</f>
        <v>23</v>
      </c>
      <c r="L84" cm="1">
        <f t="array" aca="1" ref="L84" ca="1">SUMPRODUCT(LARGE('For stats end Y points'!$B84:L84,ROW(INDIRECT("1:"&amp;MIN(24,COUNT('For stats end Y points'!$B84:L84))))))</f>
        <v>23</v>
      </c>
      <c r="M84" cm="1">
        <f t="array" aca="1" ref="M84" ca="1">SUMPRODUCT(LARGE('For stats end Y points'!$B84:M84,ROW(INDIRECT("1:"&amp;MIN(24,COUNT('For stats end Y points'!$B84:M84))))))</f>
        <v>24</v>
      </c>
      <c r="N84" cm="1">
        <f t="array" aca="1" ref="N84" ca="1">SUMPRODUCT(LARGE('For stats end Y points'!$B84:N84,ROW(INDIRECT("1:"&amp;MIN(24,COUNT('For stats end Y points'!$B84:N84))))))</f>
        <v>24</v>
      </c>
      <c r="O84" cm="1">
        <f t="array" aca="1" ref="O84" ca="1">SUMPRODUCT(LARGE('For stats end Y points'!$B84:O84,ROW(INDIRECT("1:"&amp;MIN(24,COUNT('For stats end Y points'!$B84:O84))))))</f>
        <v>29</v>
      </c>
      <c r="P84" cm="1">
        <f t="array" aca="1" ref="P84" ca="1">SUMPRODUCT(LARGE('For stats end Y points'!$B84:P84,ROW(INDIRECT("1:"&amp;MIN(24,COUNT('For stats end Y points'!$B84:P84))))))</f>
        <v>37</v>
      </c>
      <c r="Q84" cm="1">
        <f t="array" aca="1" ref="Q84" ca="1">SUMPRODUCT(LARGE('For stats end Y points'!$B84:Q84,ROW(INDIRECT("1:"&amp;MIN(24,COUNT('For stats end Y points'!$B84:Q84))))))</f>
        <v>37</v>
      </c>
      <c r="R84" cm="1">
        <f t="array" aca="1" ref="R84" ca="1">SUMPRODUCT(LARGE('For stats end Y points'!$B84:R84,ROW(INDIRECT("1:"&amp;MIN(24,COUNT('For stats end Y points'!$B84:R84))))))</f>
        <v>37</v>
      </c>
      <c r="S84" cm="1">
        <f t="array" aca="1" ref="S84" ca="1">SUMPRODUCT(LARGE('For stats end Y points'!$B84:S84,ROW(INDIRECT("1:"&amp;MIN(24,COUNT('For stats end Y points'!$B84:S84))))))</f>
        <v>37</v>
      </c>
      <c r="T84" cm="1">
        <f t="array" aca="1" ref="T84" ca="1">SUMPRODUCT(LARGE('For stats end Y points'!$B84:T84,ROW(INDIRECT("1:"&amp;MIN(24,COUNT('For stats end Y points'!$B84:T84))))))</f>
        <v>37</v>
      </c>
      <c r="U84" cm="1">
        <f t="array" aca="1" ref="U84" ca="1">SUMPRODUCT(LARGE('For stats end Y points'!$B84:U84,ROW(INDIRECT("1:"&amp;MIN(24,COUNT('For stats end Y points'!$B84:U84))))))</f>
        <v>37</v>
      </c>
      <c r="V84" cm="1">
        <f t="array" aca="1" ref="V84" ca="1">SUMPRODUCT(LARGE('For stats end Y points'!$B84:V84,ROW(INDIRECT("1:"&amp;MIN(24,COUNT('For stats end Y points'!$B84:V84))))))</f>
        <v>37</v>
      </c>
      <c r="W84" cm="1">
        <f t="array" aca="1" ref="W84" ca="1">SUMPRODUCT(LARGE('For stats end Y points'!$B84:W84,ROW(INDIRECT("1:"&amp;MIN(24,COUNT('For stats end Y points'!$B84:W84))))))</f>
        <v>40</v>
      </c>
      <c r="X84" cm="1">
        <f t="array" aca="1" ref="X84" ca="1">SUMPRODUCT(LARGE('For stats end Y points'!$B84:X84,ROW(INDIRECT("1:"&amp;MIN(24,COUNT('For stats end Y points'!$B84:X84))))))</f>
        <v>42</v>
      </c>
      <c r="Y84" cm="1">
        <f t="array" aca="1" ref="Y84" ca="1">SUMPRODUCT(LARGE('For stats end Y points'!$B84:Y84,ROW(INDIRECT("1:"&amp;MIN(24,COUNT('For stats end Y points'!$B84:Y84))))))</f>
        <v>51</v>
      </c>
      <c r="Z84" cm="1">
        <f t="array" aca="1" ref="Z84" ca="1">SUMPRODUCT(LARGE('For stats end Y points'!$B84:Z84,ROW(INDIRECT("1:"&amp;MIN(24,COUNT('For stats end Y points'!$B84:Z84))))))</f>
        <v>51</v>
      </c>
      <c r="AA84" cm="1">
        <f t="array" aca="1" ref="AA84" ca="1">SUMPRODUCT(LARGE('For stats end Y points'!$B84:AA84,ROW(INDIRECT("1:"&amp;MIN(24,COUNT('For stats end Y points'!$B84:AA84))))))</f>
        <v>51</v>
      </c>
      <c r="AB84" cm="1">
        <f t="array" aca="1" ref="AB84" ca="1">SUMPRODUCT(LARGE('For stats end Y points'!$B84:AB84,ROW(INDIRECT("1:"&amp;MIN(24,COUNT('For stats end Y points'!$B84:AB84))))))</f>
        <v>51</v>
      </c>
      <c r="AC84" cm="1">
        <f t="array" aca="1" ref="AC84" ca="1">SUMPRODUCT(LARGE('For stats end Y points'!$B84:AC84,ROW(INDIRECT("1:"&amp;MIN(24,COUNT('For stats end Y points'!$B84:AC84))))))</f>
        <v>51</v>
      </c>
      <c r="AD84" cm="1">
        <f t="array" aca="1" ref="AD84" ca="1">SUMPRODUCT(LARGE('For stats end Y points'!$B84:AD84,ROW(INDIRECT("1:"&amp;MIN(24,COUNT('For stats end Y points'!$B84:AD84))))))</f>
        <v>53</v>
      </c>
      <c r="AE84" cm="1">
        <f t="array" aca="1" ref="AE84" ca="1">SUMPRODUCT(LARGE('For stats end Y points'!$B84:AE84,ROW(INDIRECT("1:"&amp;MIN(24,COUNT('For stats end Y points'!$B84:AE84))))))</f>
        <v>53</v>
      </c>
      <c r="AF84" cm="1">
        <f t="array" aca="1" ref="AF84" ca="1">SUMPRODUCT(LARGE('For stats end Y points'!$B84:AF84,ROW(INDIRECT("1:"&amp;MIN(24,COUNT('For stats end Y points'!$B84:AF84))))))</f>
        <v>61</v>
      </c>
      <c r="AG84" cm="1">
        <f t="array" aca="1" ref="AG84" ca="1">SUMPRODUCT(LARGE('For stats end Y points'!$B84:AG84,ROW(INDIRECT("1:"&amp;MIN(24,COUNT('For stats end Y points'!$B84:AG84))))))</f>
        <v>61</v>
      </c>
      <c r="AH84" cm="1">
        <f t="array" aca="1" ref="AH84" ca="1">SUMPRODUCT(LARGE('For stats end Y points'!$B84:AH84,ROW(INDIRECT("1:"&amp;MIN(24,COUNT('For stats end Y points'!$B84:AH84))))))</f>
        <v>61</v>
      </c>
      <c r="AP84" s="10">
        <f t="shared" si="1"/>
        <v>0</v>
      </c>
      <c r="AQ84">
        <f>'For stats end Y class'!AU84</f>
        <v>14</v>
      </c>
    </row>
    <row r="85" spans="1:43" x14ac:dyDescent="0.2">
      <c r="A85" t="str">
        <f>'For stats end Y points'!A85</f>
        <v>Rockatou</v>
      </c>
      <c r="B85" cm="1">
        <f t="array" aca="1" ref="B85" ca="1">SUMPRODUCT(LARGE('For stats end Y points'!$B85:B85,ROW(INDIRECT("1:"&amp;MIN(24,COUNT('For stats end Y points'!$B85:B85))))))</f>
        <v>1</v>
      </c>
      <c r="C85" cm="1">
        <f t="array" aca="1" ref="C85" ca="1">SUMPRODUCT(LARGE('For stats end Y points'!$B85:C85,ROW(INDIRECT("1:"&amp;MIN(24,COUNT('For stats end Y points'!$B85:C85))))))</f>
        <v>2</v>
      </c>
      <c r="D85" cm="1">
        <f t="array" aca="1" ref="D85" ca="1">SUMPRODUCT(LARGE('For stats end Y points'!$B85:D85,ROW(INDIRECT("1:"&amp;MIN(24,COUNT('For stats end Y points'!$B85:D85))))))</f>
        <v>14</v>
      </c>
      <c r="E85" cm="1">
        <f t="array" aca="1" ref="E85" ca="1">SUMPRODUCT(LARGE('For stats end Y points'!$B85:E85,ROW(INDIRECT("1:"&amp;MIN(24,COUNT('For stats end Y points'!$B85:E85))))))</f>
        <v>31</v>
      </c>
      <c r="F85" cm="1">
        <f t="array" aca="1" ref="F85" ca="1">SUMPRODUCT(LARGE('For stats end Y points'!$B85:F85,ROW(INDIRECT("1:"&amp;MIN(24,COUNT('For stats end Y points'!$B85:F85))))))</f>
        <v>35</v>
      </c>
      <c r="G85" cm="1">
        <f t="array" aca="1" ref="G85" ca="1">SUMPRODUCT(LARGE('For stats end Y points'!$B85:G85,ROW(INDIRECT("1:"&amp;MIN(24,COUNT('For stats end Y points'!$B85:G85))))))</f>
        <v>37</v>
      </c>
      <c r="H85" cm="1">
        <f t="array" aca="1" ref="H85" ca="1">SUMPRODUCT(LARGE('For stats end Y points'!$B85:H85,ROW(INDIRECT("1:"&amp;MIN(24,COUNT('For stats end Y points'!$B85:H85))))))</f>
        <v>53</v>
      </c>
      <c r="I85" cm="1">
        <f t="array" aca="1" ref="I85" ca="1">SUMPRODUCT(LARGE('For stats end Y points'!$B85:I85,ROW(INDIRECT("1:"&amp;MIN(24,COUNT('For stats end Y points'!$B85:I85))))))</f>
        <v>70</v>
      </c>
      <c r="J85" cm="1">
        <f t="array" aca="1" ref="J85" ca="1">SUMPRODUCT(LARGE('For stats end Y points'!$B85:J85,ROW(INDIRECT("1:"&amp;MIN(24,COUNT('For stats end Y points'!$B85:J85))))))</f>
        <v>71</v>
      </c>
      <c r="K85" cm="1">
        <f t="array" aca="1" ref="K85" ca="1">SUMPRODUCT(LARGE('For stats end Y points'!$B85:K85,ROW(INDIRECT("1:"&amp;MIN(24,COUNT('For stats end Y points'!$B85:K85))))))</f>
        <v>73</v>
      </c>
      <c r="L85" cm="1">
        <f t="array" aca="1" ref="L85" ca="1">SUMPRODUCT(LARGE('For stats end Y points'!$B85:L85,ROW(INDIRECT("1:"&amp;MIN(24,COUNT('For stats end Y points'!$B85:L85))))))</f>
        <v>88</v>
      </c>
      <c r="M85" cm="1">
        <f t="array" aca="1" ref="M85" ca="1">SUMPRODUCT(LARGE('For stats end Y points'!$B85:M85,ROW(INDIRECT("1:"&amp;MIN(24,COUNT('For stats end Y points'!$B85:M85))))))</f>
        <v>92</v>
      </c>
      <c r="N85" cm="1">
        <f t="array" aca="1" ref="N85" ca="1">SUMPRODUCT(LARGE('For stats end Y points'!$B85:N85,ROW(INDIRECT("1:"&amp;MIN(24,COUNT('For stats end Y points'!$B85:N85))))))</f>
        <v>101</v>
      </c>
      <c r="O85" cm="1">
        <f t="array" aca="1" ref="O85" ca="1">SUMPRODUCT(LARGE('For stats end Y points'!$B85:O85,ROW(INDIRECT("1:"&amp;MIN(24,COUNT('For stats end Y points'!$B85:O85))))))</f>
        <v>110</v>
      </c>
      <c r="P85" cm="1">
        <f t="array" aca="1" ref="P85" ca="1">SUMPRODUCT(LARGE('For stats end Y points'!$B85:P85,ROW(INDIRECT("1:"&amp;MIN(24,COUNT('For stats end Y points'!$B85:P85))))))</f>
        <v>122</v>
      </c>
      <c r="Q85" cm="1">
        <f t="array" aca="1" ref="Q85" ca="1">SUMPRODUCT(LARGE('For stats end Y points'!$B85:Q85,ROW(INDIRECT("1:"&amp;MIN(24,COUNT('For stats end Y points'!$B85:Q85))))))</f>
        <v>131</v>
      </c>
      <c r="R85" cm="1">
        <f t="array" aca="1" ref="R85" ca="1">SUMPRODUCT(LARGE('For stats end Y points'!$B85:R85,ROW(INDIRECT("1:"&amp;MIN(24,COUNT('For stats end Y points'!$B85:R85))))))</f>
        <v>133</v>
      </c>
      <c r="S85" cm="1">
        <f t="array" aca="1" ref="S85" ca="1">SUMPRODUCT(LARGE('For stats end Y points'!$B85:S85,ROW(INDIRECT("1:"&amp;MIN(24,COUNT('For stats end Y points'!$B85:S85))))))</f>
        <v>142</v>
      </c>
      <c r="T85" cm="1">
        <f t="array" aca="1" ref="T85" ca="1">SUMPRODUCT(LARGE('For stats end Y points'!$B85:T85,ROW(INDIRECT("1:"&amp;MIN(24,COUNT('For stats end Y points'!$B85:T85))))))</f>
        <v>144</v>
      </c>
      <c r="U85" cm="1">
        <f t="array" aca="1" ref="U85" ca="1">SUMPRODUCT(LARGE('For stats end Y points'!$B85:U85,ROW(INDIRECT("1:"&amp;MIN(24,COUNT('For stats end Y points'!$B85:U85))))))</f>
        <v>145</v>
      </c>
      <c r="V85" cm="1">
        <f t="array" aca="1" ref="V85" ca="1">SUMPRODUCT(LARGE('For stats end Y points'!$B85:V85,ROW(INDIRECT("1:"&amp;MIN(24,COUNT('For stats end Y points'!$B85:V85))))))</f>
        <v>147</v>
      </c>
      <c r="W85" cm="1">
        <f t="array" aca="1" ref="W85" ca="1">SUMPRODUCT(LARGE('For stats end Y points'!$B85:W85,ROW(INDIRECT("1:"&amp;MIN(24,COUNT('For stats end Y points'!$B85:W85))))))</f>
        <v>148</v>
      </c>
      <c r="X85" cm="1">
        <f t="array" aca="1" ref="X85" ca="1">SUMPRODUCT(LARGE('For stats end Y points'!$B85:X85,ROW(INDIRECT("1:"&amp;MIN(24,COUNT('For stats end Y points'!$B85:X85))))))</f>
        <v>152</v>
      </c>
      <c r="Y85" cm="1">
        <f t="array" aca="1" ref="Y85" ca="1">SUMPRODUCT(LARGE('For stats end Y points'!$B85:Y85,ROW(INDIRECT("1:"&amp;MIN(24,COUNT('For stats end Y points'!$B85:Y85))))))</f>
        <v>165</v>
      </c>
      <c r="Z85" cm="1">
        <f t="array" aca="1" ref="Z85" ca="1">SUMPRODUCT(LARGE('For stats end Y points'!$B85:Z85,ROW(INDIRECT("1:"&amp;MIN(24,COUNT('For stats end Y points'!$B85:Z85))))))</f>
        <v>166</v>
      </c>
      <c r="AA85" cm="1">
        <f t="array" aca="1" ref="AA85" ca="1">SUMPRODUCT(LARGE('For stats end Y points'!$B85:AA85,ROW(INDIRECT("1:"&amp;MIN(24,COUNT('For stats end Y points'!$B85:AA85))))))</f>
        <v>177</v>
      </c>
      <c r="AB85" cm="1">
        <f t="array" aca="1" ref="AB85" ca="1">SUMPRODUCT(LARGE('For stats end Y points'!$B85:AB85,ROW(INDIRECT("1:"&amp;MIN(24,COUNT('For stats end Y points'!$B85:AB85))))))</f>
        <v>184</v>
      </c>
      <c r="AC85" cm="1">
        <f t="array" aca="1" ref="AC85" ca="1">SUMPRODUCT(LARGE('For stats end Y points'!$B85:AC85,ROW(INDIRECT("1:"&amp;MIN(24,COUNT('For stats end Y points'!$B85:AC85))))))</f>
        <v>184</v>
      </c>
      <c r="AD85" cm="1">
        <f t="array" aca="1" ref="AD85" ca="1">SUMPRODUCT(LARGE('For stats end Y points'!$B85:AD85,ROW(INDIRECT("1:"&amp;MIN(24,COUNT('For stats end Y points'!$B85:AD85))))))</f>
        <v>184</v>
      </c>
      <c r="AE85" cm="1">
        <f t="array" aca="1" ref="AE85" ca="1">SUMPRODUCT(LARGE('For stats end Y points'!$B85:AE85,ROW(INDIRECT("1:"&amp;MIN(24,COUNT('For stats end Y points'!$B85:AE85))))))</f>
        <v>196</v>
      </c>
      <c r="AF85" cm="1">
        <f t="array" aca="1" ref="AF85" ca="1">SUMPRODUCT(LARGE('For stats end Y points'!$B85:AF85,ROW(INDIRECT("1:"&amp;MIN(24,COUNT('For stats end Y points'!$B85:AF85))))))</f>
        <v>199</v>
      </c>
      <c r="AG85" cm="1">
        <f t="array" aca="1" ref="AG85" ca="1">SUMPRODUCT(LARGE('For stats end Y points'!$B85:AG85,ROW(INDIRECT("1:"&amp;MIN(24,COUNT('For stats end Y points'!$B85:AG85))))))</f>
        <v>199</v>
      </c>
      <c r="AH85" cm="1">
        <f t="array" aca="1" ref="AH85" ca="1">SUMPRODUCT(LARGE('For stats end Y points'!$B85:AH85,ROW(INDIRECT("1:"&amp;MIN(24,COUNT('For stats end Y points'!$B85:AH85))))))</f>
        <v>199</v>
      </c>
      <c r="AP85" s="10">
        <f t="shared" si="1"/>
        <v>0</v>
      </c>
      <c r="AQ85">
        <f>'For stats end Y class'!AU85</f>
        <v>32</v>
      </c>
    </row>
    <row r="86" spans="1:43" x14ac:dyDescent="0.2">
      <c r="A86" t="str">
        <f>'For stats end Y points'!A86</f>
        <v>Sabwill</v>
      </c>
      <c r="B86" cm="1">
        <f t="array" aca="1" ref="B86" ca="1">SUMPRODUCT(LARGE('For stats end Y points'!$B86:B86,ROW(INDIRECT("1:"&amp;MIN(24,COUNT('For stats end Y points'!$B86:B86))))))</f>
        <v>9</v>
      </c>
      <c r="C86" cm="1">
        <f t="array" aca="1" ref="C86" ca="1">SUMPRODUCT(LARGE('For stats end Y points'!$B86:C86,ROW(INDIRECT("1:"&amp;MIN(24,COUNT('For stats end Y points'!$B86:C86))))))</f>
        <v>18</v>
      </c>
      <c r="D86" cm="1">
        <f t="array" aca="1" ref="D86" ca="1">SUMPRODUCT(LARGE('For stats end Y points'!$B86:D86,ROW(INDIRECT("1:"&amp;MIN(24,COUNT('For stats end Y points'!$B86:D86))))))</f>
        <v>18</v>
      </c>
      <c r="E86" cm="1">
        <f t="array" aca="1" ref="E86" ca="1">SUMPRODUCT(LARGE('For stats end Y points'!$B86:E86,ROW(INDIRECT("1:"&amp;MIN(24,COUNT('For stats end Y points'!$B86:E86))))))</f>
        <v>19</v>
      </c>
      <c r="F86" cm="1">
        <f t="array" aca="1" ref="F86" ca="1">SUMPRODUCT(LARGE('For stats end Y points'!$B86:F86,ROW(INDIRECT("1:"&amp;MIN(24,COUNT('For stats end Y points'!$B86:F86))))))</f>
        <v>19</v>
      </c>
      <c r="G86" cm="1">
        <f t="array" aca="1" ref="G86" ca="1">SUMPRODUCT(LARGE('For stats end Y points'!$B86:G86,ROW(INDIRECT("1:"&amp;MIN(24,COUNT('For stats end Y points'!$B86:G86))))))</f>
        <v>21</v>
      </c>
      <c r="H86" cm="1">
        <f t="array" aca="1" ref="H86" ca="1">SUMPRODUCT(LARGE('For stats end Y points'!$B86:H86,ROW(INDIRECT("1:"&amp;MIN(24,COUNT('For stats end Y points'!$B86:H86))))))</f>
        <v>21</v>
      </c>
      <c r="I86" cm="1">
        <f t="array" aca="1" ref="I86" ca="1">SUMPRODUCT(LARGE('For stats end Y points'!$B86:I86,ROW(INDIRECT("1:"&amp;MIN(24,COUNT('For stats end Y points'!$B86:I86))))))</f>
        <v>21</v>
      </c>
      <c r="J86" cm="1">
        <f t="array" aca="1" ref="J86" ca="1">SUMPRODUCT(LARGE('For stats end Y points'!$B86:J86,ROW(INDIRECT("1:"&amp;MIN(24,COUNT('For stats end Y points'!$B86:J86))))))</f>
        <v>21</v>
      </c>
      <c r="K86" cm="1">
        <f t="array" aca="1" ref="K86" ca="1">SUMPRODUCT(LARGE('For stats end Y points'!$B86:K86,ROW(INDIRECT("1:"&amp;MIN(24,COUNT('For stats end Y points'!$B86:K86))))))</f>
        <v>21</v>
      </c>
      <c r="L86" cm="1">
        <f t="array" aca="1" ref="L86" ca="1">SUMPRODUCT(LARGE('For stats end Y points'!$B86:L86,ROW(INDIRECT("1:"&amp;MIN(24,COUNT('For stats end Y points'!$B86:L86))))))</f>
        <v>21</v>
      </c>
      <c r="M86" cm="1">
        <f t="array" aca="1" ref="M86" ca="1">SUMPRODUCT(LARGE('For stats end Y points'!$B86:M86,ROW(INDIRECT("1:"&amp;MIN(24,COUNT('For stats end Y points'!$B86:M86))))))</f>
        <v>21</v>
      </c>
      <c r="N86" cm="1">
        <f t="array" aca="1" ref="N86" ca="1">SUMPRODUCT(LARGE('For stats end Y points'!$B86:N86,ROW(INDIRECT("1:"&amp;MIN(24,COUNT('For stats end Y points'!$B86:N86))))))</f>
        <v>21</v>
      </c>
      <c r="O86" cm="1">
        <f t="array" aca="1" ref="O86" ca="1">SUMPRODUCT(LARGE('For stats end Y points'!$B86:O86,ROW(INDIRECT("1:"&amp;MIN(24,COUNT('For stats end Y points'!$B86:O86))))))</f>
        <v>21</v>
      </c>
      <c r="P86" cm="1">
        <f t="array" aca="1" ref="P86" ca="1">SUMPRODUCT(LARGE('For stats end Y points'!$B86:P86,ROW(INDIRECT("1:"&amp;MIN(24,COUNT('For stats end Y points'!$B86:P86))))))</f>
        <v>21</v>
      </c>
      <c r="Q86" cm="1">
        <f t="array" aca="1" ref="Q86" ca="1">SUMPRODUCT(LARGE('For stats end Y points'!$B86:Q86,ROW(INDIRECT("1:"&amp;MIN(24,COUNT('For stats end Y points'!$B86:Q86))))))</f>
        <v>21</v>
      </c>
      <c r="R86" cm="1">
        <f t="array" aca="1" ref="R86" ca="1">SUMPRODUCT(LARGE('For stats end Y points'!$B86:R86,ROW(INDIRECT("1:"&amp;MIN(24,COUNT('For stats end Y points'!$B86:R86))))))</f>
        <v>21</v>
      </c>
      <c r="S86" cm="1">
        <f t="array" aca="1" ref="S86" ca="1">SUMPRODUCT(LARGE('For stats end Y points'!$B86:S86,ROW(INDIRECT("1:"&amp;MIN(24,COUNT('For stats end Y points'!$B86:S86))))))</f>
        <v>21</v>
      </c>
      <c r="T86" cm="1">
        <f t="array" aca="1" ref="T86" ca="1">SUMPRODUCT(LARGE('For stats end Y points'!$B86:T86,ROW(INDIRECT("1:"&amp;MIN(24,COUNT('For stats end Y points'!$B86:T86))))))</f>
        <v>21</v>
      </c>
      <c r="U86" cm="1">
        <f t="array" aca="1" ref="U86" ca="1">SUMPRODUCT(LARGE('For stats end Y points'!$B86:U86,ROW(INDIRECT("1:"&amp;MIN(24,COUNT('For stats end Y points'!$B86:U86))))))</f>
        <v>21</v>
      </c>
      <c r="V86" cm="1">
        <f t="array" aca="1" ref="V86" ca="1">SUMPRODUCT(LARGE('For stats end Y points'!$B86:V86,ROW(INDIRECT("1:"&amp;MIN(24,COUNT('For stats end Y points'!$B86:V86))))))</f>
        <v>21</v>
      </c>
      <c r="W86" cm="1">
        <f t="array" aca="1" ref="W86" ca="1">SUMPRODUCT(LARGE('For stats end Y points'!$B86:W86,ROW(INDIRECT("1:"&amp;MIN(24,COUNT('For stats end Y points'!$B86:W86))))))</f>
        <v>21</v>
      </c>
      <c r="X86" cm="1">
        <f t="array" aca="1" ref="X86" ca="1">SUMPRODUCT(LARGE('For stats end Y points'!$B86:X86,ROW(INDIRECT("1:"&amp;MIN(24,COUNT('For stats end Y points'!$B86:X86))))))</f>
        <v>21</v>
      </c>
      <c r="Y86" cm="1">
        <f t="array" aca="1" ref="Y86" ca="1">SUMPRODUCT(LARGE('For stats end Y points'!$B86:Y86,ROW(INDIRECT("1:"&amp;MIN(24,COUNT('For stats end Y points'!$B86:Y86))))))</f>
        <v>21</v>
      </c>
      <c r="Z86" cm="1">
        <f t="array" aca="1" ref="Z86" ca="1">SUMPRODUCT(LARGE('For stats end Y points'!$B86:Z86,ROW(INDIRECT("1:"&amp;MIN(24,COUNT('For stats end Y points'!$B86:Z86))))))</f>
        <v>21</v>
      </c>
      <c r="AA86" cm="1">
        <f t="array" aca="1" ref="AA86" ca="1">SUMPRODUCT(LARGE('For stats end Y points'!$B86:AA86,ROW(INDIRECT("1:"&amp;MIN(24,COUNT('For stats end Y points'!$B86:AA86))))))</f>
        <v>21</v>
      </c>
      <c r="AB86" cm="1">
        <f t="array" aca="1" ref="AB86" ca="1">SUMPRODUCT(LARGE('For stats end Y points'!$B86:AB86,ROW(INDIRECT("1:"&amp;MIN(24,COUNT('For stats end Y points'!$B86:AB86))))))</f>
        <v>21</v>
      </c>
      <c r="AC86" cm="1">
        <f t="array" aca="1" ref="AC86" ca="1">SUMPRODUCT(LARGE('For stats end Y points'!$B86:AC86,ROW(INDIRECT("1:"&amp;MIN(24,COUNT('For stats end Y points'!$B86:AC86))))))</f>
        <v>21</v>
      </c>
      <c r="AD86" cm="1">
        <f t="array" aca="1" ref="AD86" ca="1">SUMPRODUCT(LARGE('For stats end Y points'!$B86:AD86,ROW(INDIRECT("1:"&amp;MIN(24,COUNT('For stats end Y points'!$B86:AD86))))))</f>
        <v>21</v>
      </c>
      <c r="AE86" cm="1">
        <f t="array" aca="1" ref="AE86" ca="1">SUMPRODUCT(LARGE('For stats end Y points'!$B86:AE86,ROW(INDIRECT("1:"&amp;MIN(24,COUNT('For stats end Y points'!$B86:AE86))))))</f>
        <v>21</v>
      </c>
      <c r="AF86" cm="1">
        <f t="array" aca="1" ref="AF86" ca="1">SUMPRODUCT(LARGE('For stats end Y points'!$B86:AF86,ROW(INDIRECT("1:"&amp;MIN(24,COUNT('For stats end Y points'!$B86:AF86))))))</f>
        <v>21</v>
      </c>
      <c r="AG86" cm="1">
        <f t="array" aca="1" ref="AG86" ca="1">SUMPRODUCT(LARGE('For stats end Y points'!$B86:AG86,ROW(INDIRECT("1:"&amp;MIN(24,COUNT('For stats end Y points'!$B86:AG86))))))</f>
        <v>21</v>
      </c>
      <c r="AH86" cm="1">
        <f t="array" aca="1" ref="AH86" ca="1">SUMPRODUCT(LARGE('For stats end Y points'!$B86:AH86,ROW(INDIRECT("1:"&amp;MIN(24,COUNT('For stats end Y points'!$B86:AH86))))))</f>
        <v>21</v>
      </c>
      <c r="AP86" s="10">
        <f t="shared" si="1"/>
        <v>0</v>
      </c>
      <c r="AQ86">
        <f>'For stats end Y class'!AU86</f>
        <v>4</v>
      </c>
    </row>
    <row r="87" spans="1:43" x14ac:dyDescent="0.2">
      <c r="A87" t="str">
        <f>'For stats end Y points'!A87</f>
        <v>Salender</v>
      </c>
      <c r="B87" cm="1">
        <f t="array" aca="1" ref="B87" ca="1">SUMPRODUCT(LARGE('For stats end Y points'!$B87:B87,ROW(INDIRECT("1:"&amp;MIN(24,COUNT('For stats end Y points'!$B87:B87))))))</f>
        <v>8</v>
      </c>
      <c r="C87" cm="1">
        <f t="array" aca="1" ref="C87" ca="1">SUMPRODUCT(LARGE('For stats end Y points'!$B87:C87,ROW(INDIRECT("1:"&amp;MIN(24,COUNT('For stats end Y points'!$B87:C87))))))</f>
        <v>25</v>
      </c>
      <c r="D87" cm="1">
        <f t="array" aca="1" ref="D87" ca="1">SUMPRODUCT(LARGE('For stats end Y points'!$B87:D87,ROW(INDIRECT("1:"&amp;MIN(24,COUNT('For stats end Y points'!$B87:D87))))))</f>
        <v>34</v>
      </c>
      <c r="E87" cm="1">
        <f t="array" aca="1" ref="E87" ca="1">SUMPRODUCT(LARGE('For stats end Y points'!$B87:E87,ROW(INDIRECT("1:"&amp;MIN(24,COUNT('For stats end Y points'!$B87:E87))))))</f>
        <v>47</v>
      </c>
      <c r="F87" cm="1">
        <f t="array" aca="1" ref="F87" ca="1">SUMPRODUCT(LARGE('For stats end Y points'!$B87:F87,ROW(INDIRECT("1:"&amp;MIN(24,COUNT('For stats end Y points'!$B87:F87))))))</f>
        <v>52</v>
      </c>
      <c r="G87" cm="1">
        <f t="array" aca="1" ref="G87" ca="1">SUMPRODUCT(LARGE('For stats end Y points'!$B87:G87,ROW(INDIRECT("1:"&amp;MIN(24,COUNT('For stats end Y points'!$B87:G87))))))</f>
        <v>61</v>
      </c>
      <c r="H87" cm="1">
        <f t="array" aca="1" ref="H87" ca="1">SUMPRODUCT(LARGE('For stats end Y points'!$B87:H87,ROW(INDIRECT("1:"&amp;MIN(24,COUNT('For stats end Y points'!$B87:H87))))))</f>
        <v>65</v>
      </c>
      <c r="I87" cm="1">
        <f t="array" aca="1" ref="I87" ca="1">SUMPRODUCT(LARGE('For stats end Y points'!$B87:I87,ROW(INDIRECT("1:"&amp;MIN(24,COUNT('For stats end Y points'!$B87:I87))))))</f>
        <v>67</v>
      </c>
      <c r="J87" cm="1">
        <f t="array" aca="1" ref="J87" ca="1">SUMPRODUCT(LARGE('For stats end Y points'!$B87:J87,ROW(INDIRECT("1:"&amp;MIN(24,COUNT('For stats end Y points'!$B87:J87))))))</f>
        <v>72</v>
      </c>
      <c r="K87" cm="1">
        <f t="array" aca="1" ref="K87" ca="1">SUMPRODUCT(LARGE('For stats end Y points'!$B87:K87,ROW(INDIRECT("1:"&amp;MIN(24,COUNT('For stats end Y points'!$B87:K87))))))</f>
        <v>74</v>
      </c>
      <c r="L87" cm="1">
        <f t="array" aca="1" ref="L87" ca="1">SUMPRODUCT(LARGE('For stats end Y points'!$B87:L87,ROW(INDIRECT("1:"&amp;MIN(24,COUNT('For stats end Y points'!$B87:L87))))))</f>
        <v>74</v>
      </c>
      <c r="M87" cm="1">
        <f t="array" aca="1" ref="M87" ca="1">SUMPRODUCT(LARGE('For stats end Y points'!$B87:M87,ROW(INDIRECT("1:"&amp;MIN(24,COUNT('For stats end Y points'!$B87:M87))))))</f>
        <v>74</v>
      </c>
      <c r="N87" cm="1">
        <f t="array" aca="1" ref="N87" ca="1">SUMPRODUCT(LARGE('For stats end Y points'!$B87:N87,ROW(INDIRECT("1:"&amp;MIN(24,COUNT('For stats end Y points'!$B87:N87))))))</f>
        <v>82</v>
      </c>
      <c r="O87" cm="1">
        <f t="array" aca="1" ref="O87" ca="1">SUMPRODUCT(LARGE('For stats end Y points'!$B87:O87,ROW(INDIRECT("1:"&amp;MIN(24,COUNT('For stats end Y points'!$B87:O87))))))</f>
        <v>82</v>
      </c>
      <c r="P87" cm="1">
        <f t="array" aca="1" ref="P87" ca="1">SUMPRODUCT(LARGE('For stats end Y points'!$B87:P87,ROW(INDIRECT("1:"&amp;MIN(24,COUNT('For stats end Y points'!$B87:P87))))))</f>
        <v>86</v>
      </c>
      <c r="Q87" cm="1">
        <f t="array" aca="1" ref="Q87" ca="1">SUMPRODUCT(LARGE('For stats end Y points'!$B87:Q87,ROW(INDIRECT("1:"&amp;MIN(24,COUNT('For stats end Y points'!$B87:Q87))))))</f>
        <v>86</v>
      </c>
      <c r="R87" cm="1">
        <f t="array" aca="1" ref="R87" ca="1">SUMPRODUCT(LARGE('For stats end Y points'!$B87:R87,ROW(INDIRECT("1:"&amp;MIN(24,COUNT('For stats end Y points'!$B87:R87))))))</f>
        <v>86</v>
      </c>
      <c r="S87" cm="1">
        <f t="array" aca="1" ref="S87" ca="1">SUMPRODUCT(LARGE('For stats end Y points'!$B87:S87,ROW(INDIRECT("1:"&amp;MIN(24,COUNT('For stats end Y points'!$B87:S87))))))</f>
        <v>99</v>
      </c>
      <c r="T87" cm="1">
        <f t="array" aca="1" ref="T87" ca="1">SUMPRODUCT(LARGE('For stats end Y points'!$B87:T87,ROW(INDIRECT("1:"&amp;MIN(24,COUNT('For stats end Y points'!$B87:T87))))))</f>
        <v>103</v>
      </c>
      <c r="U87" cm="1">
        <f t="array" aca="1" ref="U87" ca="1">SUMPRODUCT(LARGE('For stats end Y points'!$B87:U87,ROW(INDIRECT("1:"&amp;MIN(24,COUNT('For stats end Y points'!$B87:U87))))))</f>
        <v>115</v>
      </c>
      <c r="V87" cm="1">
        <f t="array" aca="1" ref="V87" ca="1">SUMPRODUCT(LARGE('For stats end Y points'!$B87:V87,ROW(INDIRECT("1:"&amp;MIN(24,COUNT('For stats end Y points'!$B87:V87))))))</f>
        <v>119</v>
      </c>
      <c r="W87" cm="1">
        <f t="array" aca="1" ref="W87" ca="1">SUMPRODUCT(LARGE('For stats end Y points'!$B87:W87,ROW(INDIRECT("1:"&amp;MIN(24,COUNT('For stats end Y points'!$B87:W87))))))</f>
        <v>121</v>
      </c>
      <c r="X87" cm="1">
        <f t="array" aca="1" ref="X87" ca="1">SUMPRODUCT(LARGE('For stats end Y points'!$B87:X87,ROW(INDIRECT("1:"&amp;MIN(24,COUNT('For stats end Y points'!$B87:X87))))))</f>
        <v>129</v>
      </c>
      <c r="Y87" cm="1">
        <f t="array" aca="1" ref="Y87" ca="1">SUMPRODUCT(LARGE('For stats end Y points'!$B87:Y87,ROW(INDIRECT("1:"&amp;MIN(24,COUNT('For stats end Y points'!$B87:Y87))))))</f>
        <v>131</v>
      </c>
      <c r="Z87" cm="1">
        <f t="array" aca="1" ref="Z87" ca="1">SUMPRODUCT(LARGE('For stats end Y points'!$B87:Z87,ROW(INDIRECT("1:"&amp;MIN(24,COUNT('For stats end Y points'!$B87:Z87))))))</f>
        <v>132</v>
      </c>
      <c r="AA87" cm="1">
        <f t="array" aca="1" ref="AA87" ca="1">SUMPRODUCT(LARGE('For stats end Y points'!$B87:AA87,ROW(INDIRECT("1:"&amp;MIN(24,COUNT('For stats end Y points'!$B87:AA87))))))</f>
        <v>144</v>
      </c>
      <c r="AB87" cm="1">
        <f t="array" aca="1" ref="AB87" ca="1">SUMPRODUCT(LARGE('For stats end Y points'!$B87:AB87,ROW(INDIRECT("1:"&amp;MIN(24,COUNT('For stats end Y points'!$B87:AB87))))))</f>
        <v>146</v>
      </c>
      <c r="AC87" cm="1">
        <f t="array" aca="1" ref="AC87" ca="1">SUMPRODUCT(LARGE('For stats end Y points'!$B87:AC87,ROW(INDIRECT("1:"&amp;MIN(24,COUNT('For stats end Y points'!$B87:AC87))))))</f>
        <v>150</v>
      </c>
      <c r="AD87" cm="1">
        <f t="array" aca="1" ref="AD87" ca="1">SUMPRODUCT(LARGE('For stats end Y points'!$B87:AD87,ROW(INDIRECT("1:"&amp;MIN(24,COUNT('For stats end Y points'!$B87:AD87))))))</f>
        <v>162</v>
      </c>
      <c r="AE87" cm="1">
        <f t="array" aca="1" ref="AE87" ca="1">SUMPRODUCT(LARGE('For stats end Y points'!$B87:AE87,ROW(INDIRECT("1:"&amp;MIN(24,COUNT('For stats end Y points'!$B87:AE87))))))</f>
        <v>162</v>
      </c>
      <c r="AF87" cm="1">
        <f t="array" aca="1" ref="AF87" ca="1">SUMPRODUCT(LARGE('For stats end Y points'!$B87:AF87,ROW(INDIRECT("1:"&amp;MIN(24,COUNT('For stats end Y points'!$B87:AF87))))))</f>
        <v>163</v>
      </c>
      <c r="AG87" cm="1">
        <f t="array" aca="1" ref="AG87" ca="1">SUMPRODUCT(LARGE('For stats end Y points'!$B87:AG87,ROW(INDIRECT("1:"&amp;MIN(24,COUNT('For stats end Y points'!$B87:AG87))))))</f>
        <v>169</v>
      </c>
      <c r="AH87" cm="1">
        <f t="array" aca="1" ref="AH87" ca="1">SUMPRODUCT(LARGE('For stats end Y points'!$B87:AH87,ROW(INDIRECT("1:"&amp;MIN(24,COUNT('For stats end Y points'!$B87:AH87))))))</f>
        <v>169</v>
      </c>
      <c r="AP87" s="10">
        <f t="shared" si="1"/>
        <v>0</v>
      </c>
      <c r="AQ87">
        <f>'For stats end Y class'!AU87</f>
        <v>28</v>
      </c>
    </row>
    <row r="88" spans="1:43" x14ac:dyDescent="0.2">
      <c r="A88" t="str">
        <f>'For stats end Y points'!A88</f>
        <v>saymsonite</v>
      </c>
      <c r="B88" cm="1">
        <f t="array" aca="1" ref="B88" ca="1">SUMPRODUCT(LARGE('For stats end Y points'!$B88:B88,ROW(INDIRECT("1:"&amp;MIN(24,COUNT('For stats end Y points'!$B88:B88))))))</f>
        <v>0</v>
      </c>
      <c r="C88" cm="1">
        <f t="array" aca="1" ref="C88" ca="1">SUMPRODUCT(LARGE('For stats end Y points'!$B88:C88,ROW(INDIRECT("1:"&amp;MIN(24,COUNT('For stats end Y points'!$B88:C88))))))</f>
        <v>13</v>
      </c>
      <c r="D88" cm="1">
        <f t="array" aca="1" ref="D88" ca="1">SUMPRODUCT(LARGE('For stats end Y points'!$B88:D88,ROW(INDIRECT("1:"&amp;MIN(24,COUNT('For stats end Y points'!$B88:D88))))))</f>
        <v>13</v>
      </c>
      <c r="E88" cm="1">
        <f t="array" aca="1" ref="E88" ca="1">SUMPRODUCT(LARGE('For stats end Y points'!$B88:E88,ROW(INDIRECT("1:"&amp;MIN(24,COUNT('For stats end Y points'!$B88:E88))))))</f>
        <v>16</v>
      </c>
      <c r="F88" cm="1">
        <f t="array" aca="1" ref="F88" ca="1">SUMPRODUCT(LARGE('For stats end Y points'!$B88:F88,ROW(INDIRECT("1:"&amp;MIN(24,COUNT('For stats end Y points'!$B88:F88))))))</f>
        <v>16</v>
      </c>
      <c r="G88" cm="1">
        <f t="array" aca="1" ref="G88" ca="1">SUMPRODUCT(LARGE('For stats end Y points'!$B88:G88,ROW(INDIRECT("1:"&amp;MIN(24,COUNT('For stats end Y points'!$B88:G88))))))</f>
        <v>18</v>
      </c>
      <c r="H88" cm="1">
        <f t="array" aca="1" ref="H88" ca="1">SUMPRODUCT(LARGE('For stats end Y points'!$B88:H88,ROW(INDIRECT("1:"&amp;MIN(24,COUNT('For stats end Y points'!$B88:H88))))))</f>
        <v>18</v>
      </c>
      <c r="I88" cm="1">
        <f t="array" aca="1" ref="I88" ca="1">SUMPRODUCT(LARGE('For stats end Y points'!$B88:I88,ROW(INDIRECT("1:"&amp;MIN(24,COUNT('For stats end Y points'!$B88:I88))))))</f>
        <v>18</v>
      </c>
      <c r="J88" cm="1">
        <f t="array" aca="1" ref="J88" ca="1">SUMPRODUCT(LARGE('For stats end Y points'!$B88:J88,ROW(INDIRECT("1:"&amp;MIN(24,COUNT('For stats end Y points'!$B88:J88))))))</f>
        <v>18</v>
      </c>
      <c r="K88" cm="1">
        <f t="array" aca="1" ref="K88" ca="1">SUMPRODUCT(LARGE('For stats end Y points'!$B88:K88,ROW(INDIRECT("1:"&amp;MIN(24,COUNT('For stats end Y points'!$B88:K88))))))</f>
        <v>18</v>
      </c>
      <c r="L88" cm="1">
        <f t="array" aca="1" ref="L88" ca="1">SUMPRODUCT(LARGE('For stats end Y points'!$B88:L88,ROW(INDIRECT("1:"&amp;MIN(24,COUNT('For stats end Y points'!$B88:L88))))))</f>
        <v>18</v>
      </c>
      <c r="M88" cm="1">
        <f t="array" aca="1" ref="M88" ca="1">SUMPRODUCT(LARGE('For stats end Y points'!$B88:M88,ROW(INDIRECT("1:"&amp;MIN(24,COUNT('For stats end Y points'!$B88:M88))))))</f>
        <v>18</v>
      </c>
      <c r="N88" cm="1">
        <f t="array" aca="1" ref="N88" ca="1">SUMPRODUCT(LARGE('For stats end Y points'!$B88:N88,ROW(INDIRECT("1:"&amp;MIN(24,COUNT('For stats end Y points'!$B88:N88))))))</f>
        <v>18</v>
      </c>
      <c r="O88" cm="1">
        <f t="array" aca="1" ref="O88" ca="1">SUMPRODUCT(LARGE('For stats end Y points'!$B88:O88,ROW(INDIRECT("1:"&amp;MIN(24,COUNT('For stats end Y points'!$B88:O88))))))</f>
        <v>18</v>
      </c>
      <c r="P88" cm="1">
        <f t="array" aca="1" ref="P88" ca="1">SUMPRODUCT(LARGE('For stats end Y points'!$B88:P88,ROW(INDIRECT("1:"&amp;MIN(24,COUNT('For stats end Y points'!$B88:P88))))))</f>
        <v>18</v>
      </c>
      <c r="Q88" cm="1">
        <f t="array" aca="1" ref="Q88" ca="1">SUMPRODUCT(LARGE('For stats end Y points'!$B88:Q88,ROW(INDIRECT("1:"&amp;MIN(24,COUNT('For stats end Y points'!$B88:Q88))))))</f>
        <v>18</v>
      </c>
      <c r="R88" cm="1">
        <f t="array" aca="1" ref="R88" ca="1">SUMPRODUCT(LARGE('For stats end Y points'!$B88:R88,ROW(INDIRECT("1:"&amp;MIN(24,COUNT('For stats end Y points'!$B88:R88))))))</f>
        <v>18</v>
      </c>
      <c r="S88" cm="1">
        <f t="array" aca="1" ref="S88" ca="1">SUMPRODUCT(LARGE('For stats end Y points'!$B88:S88,ROW(INDIRECT("1:"&amp;MIN(24,COUNT('For stats end Y points'!$B88:S88))))))</f>
        <v>18</v>
      </c>
      <c r="T88" cm="1">
        <f t="array" aca="1" ref="T88" ca="1">SUMPRODUCT(LARGE('For stats end Y points'!$B88:T88,ROW(INDIRECT("1:"&amp;MIN(24,COUNT('For stats end Y points'!$B88:T88))))))</f>
        <v>18</v>
      </c>
      <c r="U88" cm="1">
        <f t="array" aca="1" ref="U88" ca="1">SUMPRODUCT(LARGE('For stats end Y points'!$B88:U88,ROW(INDIRECT("1:"&amp;MIN(24,COUNT('For stats end Y points'!$B88:U88))))))</f>
        <v>18</v>
      </c>
      <c r="V88" cm="1">
        <f t="array" aca="1" ref="V88" ca="1">SUMPRODUCT(LARGE('For stats end Y points'!$B88:V88,ROW(INDIRECT("1:"&amp;MIN(24,COUNT('For stats end Y points'!$B88:V88))))))</f>
        <v>18</v>
      </c>
      <c r="W88" cm="1">
        <f t="array" aca="1" ref="W88" ca="1">SUMPRODUCT(LARGE('For stats end Y points'!$B88:W88,ROW(INDIRECT("1:"&amp;MIN(24,COUNT('For stats end Y points'!$B88:W88))))))</f>
        <v>18</v>
      </c>
      <c r="X88" cm="1">
        <f t="array" aca="1" ref="X88" ca="1">SUMPRODUCT(LARGE('For stats end Y points'!$B88:X88,ROW(INDIRECT("1:"&amp;MIN(24,COUNT('For stats end Y points'!$B88:X88))))))</f>
        <v>18</v>
      </c>
      <c r="Y88" cm="1">
        <f t="array" aca="1" ref="Y88" ca="1">SUMPRODUCT(LARGE('For stats end Y points'!$B88:Y88,ROW(INDIRECT("1:"&amp;MIN(24,COUNT('For stats end Y points'!$B88:Y88))))))</f>
        <v>18</v>
      </c>
      <c r="Z88" cm="1">
        <f t="array" aca="1" ref="Z88" ca="1">SUMPRODUCT(LARGE('For stats end Y points'!$B88:Z88,ROW(INDIRECT("1:"&amp;MIN(24,COUNT('For stats end Y points'!$B88:Z88))))))</f>
        <v>18</v>
      </c>
      <c r="AA88" cm="1">
        <f t="array" aca="1" ref="AA88" ca="1">SUMPRODUCT(LARGE('For stats end Y points'!$B88:AA88,ROW(INDIRECT("1:"&amp;MIN(24,COUNT('For stats end Y points'!$B88:AA88))))))</f>
        <v>18</v>
      </c>
      <c r="AB88" cm="1">
        <f t="array" aca="1" ref="AB88" ca="1">SUMPRODUCT(LARGE('For stats end Y points'!$B88:AB88,ROW(INDIRECT("1:"&amp;MIN(24,COUNT('For stats end Y points'!$B88:AB88))))))</f>
        <v>18</v>
      </c>
      <c r="AC88" cm="1">
        <f t="array" aca="1" ref="AC88" ca="1">SUMPRODUCT(LARGE('For stats end Y points'!$B88:AC88,ROW(INDIRECT("1:"&amp;MIN(24,COUNT('For stats end Y points'!$B88:AC88))))))</f>
        <v>18</v>
      </c>
      <c r="AD88" cm="1">
        <f t="array" aca="1" ref="AD88" ca="1">SUMPRODUCT(LARGE('For stats end Y points'!$B88:AD88,ROW(INDIRECT("1:"&amp;MIN(24,COUNT('For stats end Y points'!$B88:AD88))))))</f>
        <v>18</v>
      </c>
      <c r="AE88" cm="1">
        <f t="array" aca="1" ref="AE88" ca="1">SUMPRODUCT(LARGE('For stats end Y points'!$B88:AE88,ROW(INDIRECT("1:"&amp;MIN(24,COUNT('For stats end Y points'!$B88:AE88))))))</f>
        <v>18</v>
      </c>
      <c r="AF88" cm="1">
        <f t="array" aca="1" ref="AF88" ca="1">SUMPRODUCT(LARGE('For stats end Y points'!$B88:AF88,ROW(INDIRECT("1:"&amp;MIN(24,COUNT('For stats end Y points'!$B88:AF88))))))</f>
        <v>18</v>
      </c>
      <c r="AG88" cm="1">
        <f t="array" aca="1" ref="AG88" ca="1">SUMPRODUCT(LARGE('For stats end Y points'!$B88:AG88,ROW(INDIRECT("1:"&amp;MIN(24,COUNT('For stats end Y points'!$B88:AG88))))))</f>
        <v>18</v>
      </c>
      <c r="AH88" cm="1">
        <f t="array" aca="1" ref="AH88" ca="1">SUMPRODUCT(LARGE('For stats end Y points'!$B88:AH88,ROW(INDIRECT("1:"&amp;MIN(24,COUNT('For stats end Y points'!$B88:AH88))))))</f>
        <v>18</v>
      </c>
      <c r="AP88" s="10">
        <f t="shared" si="1"/>
        <v>0</v>
      </c>
      <c r="AQ88">
        <f>'For stats end Y class'!AU88</f>
        <v>3</v>
      </c>
    </row>
    <row r="89" spans="1:43" x14ac:dyDescent="0.2">
      <c r="A89" t="str">
        <f>'For stats end Y points'!A89</f>
        <v>ScoNix</v>
      </c>
      <c r="B89" cm="1">
        <f t="array" aca="1" ref="B89" ca="1">SUMPRODUCT(LARGE('For stats end Y points'!$B89:B89,ROW(INDIRECT("1:"&amp;MIN(24,COUNT('For stats end Y points'!$B89:B89))))))</f>
        <v>0</v>
      </c>
      <c r="C89" cm="1">
        <f t="array" aca="1" ref="C89" ca="1">SUMPRODUCT(LARGE('For stats end Y points'!$B89:C89,ROW(INDIRECT("1:"&amp;MIN(24,COUNT('For stats end Y points'!$B89:C89))))))</f>
        <v>0</v>
      </c>
      <c r="D89" cm="1">
        <f t="array" aca="1" ref="D89" ca="1">SUMPRODUCT(LARGE('For stats end Y points'!$B89:D89,ROW(INDIRECT("1:"&amp;MIN(24,COUNT('For stats end Y points'!$B89:D89))))))</f>
        <v>0</v>
      </c>
      <c r="E89" cm="1">
        <f t="array" aca="1" ref="E89" ca="1">SUMPRODUCT(LARGE('For stats end Y points'!$B89:E89,ROW(INDIRECT("1:"&amp;MIN(24,COUNT('For stats end Y points'!$B89:E89))))))</f>
        <v>0</v>
      </c>
      <c r="F89" cm="1">
        <f t="array" aca="1" ref="F89" ca="1">SUMPRODUCT(LARGE('For stats end Y points'!$B89:F89,ROW(INDIRECT("1:"&amp;MIN(24,COUNT('For stats end Y points'!$B89:F89))))))</f>
        <v>0</v>
      </c>
      <c r="G89" cm="1">
        <f t="array" aca="1" ref="G89" ca="1">SUMPRODUCT(LARGE('For stats end Y points'!$B89:G89,ROW(INDIRECT("1:"&amp;MIN(24,COUNT('For stats end Y points'!$B89:G89))))))</f>
        <v>0</v>
      </c>
      <c r="H89" cm="1">
        <f t="array" aca="1" ref="H89" ca="1">SUMPRODUCT(LARGE('For stats end Y points'!$B89:H89,ROW(INDIRECT("1:"&amp;MIN(24,COUNT('For stats end Y points'!$B89:H89))))))</f>
        <v>0</v>
      </c>
      <c r="I89" cm="1">
        <f t="array" aca="1" ref="I89" ca="1">SUMPRODUCT(LARGE('For stats end Y points'!$B89:I89,ROW(INDIRECT("1:"&amp;MIN(24,COUNT('For stats end Y points'!$B89:I89))))))</f>
        <v>0</v>
      </c>
      <c r="J89" cm="1">
        <f t="array" aca="1" ref="J89" ca="1">SUMPRODUCT(LARGE('For stats end Y points'!$B89:J89,ROW(INDIRECT("1:"&amp;MIN(24,COUNT('For stats end Y points'!$B89:J89))))))</f>
        <v>0</v>
      </c>
      <c r="K89" cm="1">
        <f t="array" aca="1" ref="K89" ca="1">SUMPRODUCT(LARGE('For stats end Y points'!$B89:K89,ROW(INDIRECT("1:"&amp;MIN(24,COUNT('For stats end Y points'!$B89:K89))))))</f>
        <v>0</v>
      </c>
      <c r="L89" cm="1">
        <f t="array" aca="1" ref="L89" ca="1">SUMPRODUCT(LARGE('For stats end Y points'!$B89:L89,ROW(INDIRECT("1:"&amp;MIN(24,COUNT('For stats end Y points'!$B89:L89))))))</f>
        <v>0</v>
      </c>
      <c r="M89" cm="1">
        <f t="array" aca="1" ref="M89" ca="1">SUMPRODUCT(LARGE('For stats end Y points'!$B89:M89,ROW(INDIRECT("1:"&amp;MIN(24,COUNT('For stats end Y points'!$B89:M89))))))</f>
        <v>0</v>
      </c>
      <c r="N89" cm="1">
        <f t="array" aca="1" ref="N89" ca="1">SUMPRODUCT(LARGE('For stats end Y points'!$B89:N89,ROW(INDIRECT("1:"&amp;MIN(24,COUNT('For stats end Y points'!$B89:N89))))))</f>
        <v>0</v>
      </c>
      <c r="O89" cm="1">
        <f t="array" aca="1" ref="O89" ca="1">SUMPRODUCT(LARGE('For stats end Y points'!$B89:O89,ROW(INDIRECT("1:"&amp;MIN(24,COUNT('For stats end Y points'!$B89:O89))))))</f>
        <v>0</v>
      </c>
      <c r="P89" cm="1">
        <f t="array" aca="1" ref="P89" ca="1">SUMPRODUCT(LARGE('For stats end Y points'!$B89:P89,ROW(INDIRECT("1:"&amp;MIN(24,COUNT('For stats end Y points'!$B89:P89))))))</f>
        <v>0</v>
      </c>
      <c r="Q89" cm="1">
        <f t="array" aca="1" ref="Q89" ca="1">SUMPRODUCT(LARGE('For stats end Y points'!$B89:Q89,ROW(INDIRECT("1:"&amp;MIN(24,COUNT('For stats end Y points'!$B89:Q89))))))</f>
        <v>0</v>
      </c>
      <c r="R89" cm="1">
        <f t="array" aca="1" ref="R89" ca="1">SUMPRODUCT(LARGE('For stats end Y points'!$B89:R89,ROW(INDIRECT("1:"&amp;MIN(24,COUNT('For stats end Y points'!$B89:R89))))))</f>
        <v>0</v>
      </c>
      <c r="S89" cm="1">
        <f t="array" aca="1" ref="S89" ca="1">SUMPRODUCT(LARGE('For stats end Y points'!$B89:S89,ROW(INDIRECT("1:"&amp;MIN(24,COUNT('For stats end Y points'!$B89:S89))))))</f>
        <v>0</v>
      </c>
      <c r="T89" cm="1">
        <f t="array" aca="1" ref="T89" ca="1">SUMPRODUCT(LARGE('For stats end Y points'!$B89:T89,ROW(INDIRECT("1:"&amp;MIN(24,COUNT('For stats end Y points'!$B89:T89))))))</f>
        <v>0</v>
      </c>
      <c r="U89" cm="1">
        <f t="array" aca="1" ref="U89" ca="1">SUMPRODUCT(LARGE('For stats end Y points'!$B89:U89,ROW(INDIRECT("1:"&amp;MIN(24,COUNT('For stats end Y points'!$B89:U89))))))</f>
        <v>0</v>
      </c>
      <c r="V89" cm="1">
        <f t="array" aca="1" ref="V89" ca="1">SUMPRODUCT(LARGE('For stats end Y points'!$B89:V89,ROW(INDIRECT("1:"&amp;MIN(24,COUNT('For stats end Y points'!$B89:V89))))))</f>
        <v>0</v>
      </c>
      <c r="W89" cm="1">
        <f t="array" aca="1" ref="W89" ca="1">SUMPRODUCT(LARGE('For stats end Y points'!$B89:W89,ROW(INDIRECT("1:"&amp;MIN(24,COUNT('For stats end Y points'!$B89:W89))))))</f>
        <v>0</v>
      </c>
      <c r="X89" cm="1">
        <f t="array" aca="1" ref="X89" ca="1">SUMPRODUCT(LARGE('For stats end Y points'!$B89:X89,ROW(INDIRECT("1:"&amp;MIN(24,COUNT('For stats end Y points'!$B89:X89))))))</f>
        <v>0</v>
      </c>
      <c r="Y89" cm="1">
        <f t="array" aca="1" ref="Y89" ca="1">SUMPRODUCT(LARGE('For stats end Y points'!$B89:Y89,ROW(INDIRECT("1:"&amp;MIN(24,COUNT('For stats end Y points'!$B89:Y89))))))</f>
        <v>9</v>
      </c>
      <c r="Z89" cm="1">
        <f t="array" aca="1" ref="Z89" ca="1">SUMPRODUCT(LARGE('For stats end Y points'!$B89:Z89,ROW(INDIRECT("1:"&amp;MIN(24,COUNT('For stats end Y points'!$B89:Z89))))))</f>
        <v>22</v>
      </c>
      <c r="AA89" cm="1">
        <f t="array" aca="1" ref="AA89" ca="1">SUMPRODUCT(LARGE('For stats end Y points'!$B89:AA89,ROW(INDIRECT("1:"&amp;MIN(24,COUNT('For stats end Y points'!$B89:AA89))))))</f>
        <v>26</v>
      </c>
      <c r="AB89" cm="1">
        <f t="array" aca="1" ref="AB89" ca="1">SUMPRODUCT(LARGE('For stats end Y points'!$B89:AB89,ROW(INDIRECT("1:"&amp;MIN(24,COUNT('For stats end Y points'!$B89:AB89))))))</f>
        <v>26</v>
      </c>
      <c r="AC89" cm="1">
        <f t="array" aca="1" ref="AC89" ca="1">SUMPRODUCT(LARGE('For stats end Y points'!$B89:AC89,ROW(INDIRECT("1:"&amp;MIN(24,COUNT('For stats end Y points'!$B89:AC89))))))</f>
        <v>27</v>
      </c>
      <c r="AD89" cm="1">
        <f t="array" aca="1" ref="AD89" ca="1">SUMPRODUCT(LARGE('For stats end Y points'!$B89:AD89,ROW(INDIRECT("1:"&amp;MIN(24,COUNT('For stats end Y points'!$B89:AD89))))))</f>
        <v>28</v>
      </c>
      <c r="AE89" cm="1">
        <f t="array" aca="1" ref="AE89" ca="1">SUMPRODUCT(LARGE('For stats end Y points'!$B89:AE89,ROW(INDIRECT("1:"&amp;MIN(24,COUNT('For stats end Y points'!$B89:AE89))))))</f>
        <v>44</v>
      </c>
      <c r="AF89" cm="1">
        <f t="array" aca="1" ref="AF89" ca="1">SUMPRODUCT(LARGE('For stats end Y points'!$B89:AF89,ROW(INDIRECT("1:"&amp;MIN(24,COUNT('For stats end Y points'!$B89:AF89))))))</f>
        <v>60</v>
      </c>
      <c r="AG89" cm="1">
        <f t="array" aca="1" ref="AG89" ca="1">SUMPRODUCT(LARGE('For stats end Y points'!$B89:AG89,ROW(INDIRECT("1:"&amp;MIN(24,COUNT('For stats end Y points'!$B89:AG89))))))</f>
        <v>67</v>
      </c>
      <c r="AH89" cm="1">
        <f t="array" aca="1" ref="AH89" ca="1">SUMPRODUCT(LARGE('For stats end Y points'!$B89:AH89,ROW(INDIRECT("1:"&amp;MIN(24,COUNT('For stats end Y points'!$B89:AH89))))))</f>
        <v>75</v>
      </c>
      <c r="AP89" s="10">
        <f t="shared" si="1"/>
        <v>0</v>
      </c>
      <c r="AQ89">
        <f>'For stats end Y class'!AU89</f>
        <v>9</v>
      </c>
    </row>
    <row r="90" spans="1:43" x14ac:dyDescent="0.2">
      <c r="A90" t="str">
        <f>'For stats end Y points'!A90</f>
        <v>Snake1702</v>
      </c>
      <c r="B90" cm="1">
        <f t="array" aca="1" ref="B90" ca="1">SUMPRODUCT(LARGE('For stats end Y points'!$B90:B90,ROW(INDIRECT("1:"&amp;MIN(24,COUNT('For stats end Y points'!$B90:B90))))))</f>
        <v>0</v>
      </c>
      <c r="C90" cm="1">
        <f t="array" aca="1" ref="C90" ca="1">SUMPRODUCT(LARGE('For stats end Y points'!$B90:C90,ROW(INDIRECT("1:"&amp;MIN(24,COUNT('For stats end Y points'!$B90:C90))))))</f>
        <v>0</v>
      </c>
      <c r="D90" cm="1">
        <f t="array" aca="1" ref="D90" ca="1">SUMPRODUCT(LARGE('For stats end Y points'!$B90:D90,ROW(INDIRECT("1:"&amp;MIN(24,COUNT('For stats end Y points'!$B90:D90))))))</f>
        <v>0</v>
      </c>
      <c r="E90" cm="1">
        <f t="array" aca="1" ref="E90" ca="1">SUMPRODUCT(LARGE('For stats end Y points'!$B90:E90,ROW(INDIRECT("1:"&amp;MIN(24,COUNT('For stats end Y points'!$B90:E90))))))</f>
        <v>0</v>
      </c>
      <c r="F90" cm="1">
        <f t="array" aca="1" ref="F90" ca="1">SUMPRODUCT(LARGE('For stats end Y points'!$B90:F90,ROW(INDIRECT("1:"&amp;MIN(24,COUNT('For stats end Y points'!$B90:F90))))))</f>
        <v>0</v>
      </c>
      <c r="G90" cm="1">
        <f t="array" aca="1" ref="G90" ca="1">SUMPRODUCT(LARGE('For stats end Y points'!$B90:G90,ROW(INDIRECT("1:"&amp;MIN(24,COUNT('For stats end Y points'!$B90:G90))))))</f>
        <v>0</v>
      </c>
      <c r="H90" cm="1">
        <f t="array" aca="1" ref="H90" ca="1">SUMPRODUCT(LARGE('For stats end Y points'!$B90:H90,ROW(INDIRECT("1:"&amp;MIN(24,COUNT('For stats end Y points'!$B90:H90))))))</f>
        <v>0</v>
      </c>
      <c r="I90" cm="1">
        <f t="array" aca="1" ref="I90" ca="1">SUMPRODUCT(LARGE('For stats end Y points'!$B90:I90,ROW(INDIRECT("1:"&amp;MIN(24,COUNT('For stats end Y points'!$B90:I90))))))</f>
        <v>0</v>
      </c>
      <c r="J90" cm="1">
        <f t="array" aca="1" ref="J90" ca="1">SUMPRODUCT(LARGE('For stats end Y points'!$B90:J90,ROW(INDIRECT("1:"&amp;MIN(24,COUNT('For stats end Y points'!$B90:J90))))))</f>
        <v>0</v>
      </c>
      <c r="K90" cm="1">
        <f t="array" aca="1" ref="K90" ca="1">SUMPRODUCT(LARGE('For stats end Y points'!$B90:K90,ROW(INDIRECT("1:"&amp;MIN(24,COUNT('For stats end Y points'!$B90:K90))))))</f>
        <v>0</v>
      </c>
      <c r="L90" cm="1">
        <f t="array" aca="1" ref="L90" ca="1">SUMPRODUCT(LARGE('For stats end Y points'!$B90:L90,ROW(INDIRECT("1:"&amp;MIN(24,COUNT('For stats end Y points'!$B90:L90))))))</f>
        <v>0</v>
      </c>
      <c r="M90" cm="1">
        <f t="array" aca="1" ref="M90" ca="1">SUMPRODUCT(LARGE('For stats end Y points'!$B90:M90,ROW(INDIRECT("1:"&amp;MIN(24,COUNT('For stats end Y points'!$B90:M90))))))</f>
        <v>0</v>
      </c>
      <c r="N90" cm="1">
        <f t="array" aca="1" ref="N90" ca="1">SUMPRODUCT(LARGE('For stats end Y points'!$B90:N90,ROW(INDIRECT("1:"&amp;MIN(24,COUNT('For stats end Y points'!$B90:N90))))))</f>
        <v>0</v>
      </c>
      <c r="O90" cm="1">
        <f t="array" aca="1" ref="O90" ca="1">SUMPRODUCT(LARGE('For stats end Y points'!$B90:O90,ROW(INDIRECT("1:"&amp;MIN(24,COUNT('For stats end Y points'!$B90:O90))))))</f>
        <v>0</v>
      </c>
      <c r="P90" cm="1">
        <f t="array" aca="1" ref="P90" ca="1">SUMPRODUCT(LARGE('For stats end Y points'!$B90:P90,ROW(INDIRECT("1:"&amp;MIN(24,COUNT('For stats end Y points'!$B90:P90))))))</f>
        <v>0</v>
      </c>
      <c r="Q90" cm="1">
        <f t="array" aca="1" ref="Q90" ca="1">SUMPRODUCT(LARGE('For stats end Y points'!$B90:Q90,ROW(INDIRECT("1:"&amp;MIN(24,COUNT('For stats end Y points'!$B90:Q90))))))</f>
        <v>0</v>
      </c>
      <c r="R90" cm="1">
        <f t="array" aca="1" ref="R90" ca="1">SUMPRODUCT(LARGE('For stats end Y points'!$B90:R90,ROW(INDIRECT("1:"&amp;MIN(24,COUNT('For stats end Y points'!$B90:R90))))))</f>
        <v>0</v>
      </c>
      <c r="S90" cm="1">
        <f t="array" aca="1" ref="S90" ca="1">SUMPRODUCT(LARGE('For stats end Y points'!$B90:S90,ROW(INDIRECT("1:"&amp;MIN(24,COUNT('For stats end Y points'!$B90:S90))))))</f>
        <v>0</v>
      </c>
      <c r="T90" cm="1">
        <f t="array" aca="1" ref="T90" ca="1">SUMPRODUCT(LARGE('For stats end Y points'!$B90:T90,ROW(INDIRECT("1:"&amp;MIN(24,COUNT('For stats end Y points'!$B90:T90))))))</f>
        <v>0</v>
      </c>
      <c r="U90" cm="1">
        <f t="array" aca="1" ref="U90" ca="1">SUMPRODUCT(LARGE('For stats end Y points'!$B90:U90,ROW(INDIRECT("1:"&amp;MIN(24,COUNT('For stats end Y points'!$B90:U90))))))</f>
        <v>0</v>
      </c>
      <c r="V90" cm="1">
        <f t="array" aca="1" ref="V90" ca="1">SUMPRODUCT(LARGE('For stats end Y points'!$B90:V90,ROW(INDIRECT("1:"&amp;MIN(24,COUNT('For stats end Y points'!$B90:V90))))))</f>
        <v>0</v>
      </c>
      <c r="W90" cm="1">
        <f t="array" aca="1" ref="W90" ca="1">SUMPRODUCT(LARGE('For stats end Y points'!$B90:W90,ROW(INDIRECT("1:"&amp;MIN(24,COUNT('For stats end Y points'!$B90:W90))))))</f>
        <v>0</v>
      </c>
      <c r="X90" cm="1">
        <f t="array" aca="1" ref="X90" ca="1">SUMPRODUCT(LARGE('For stats end Y points'!$B90:X90,ROW(INDIRECT("1:"&amp;MIN(24,COUNT('For stats end Y points'!$B90:X90))))))</f>
        <v>0</v>
      </c>
      <c r="Y90" cm="1">
        <f t="array" aca="1" ref="Y90" ca="1">SUMPRODUCT(LARGE('For stats end Y points'!$B90:Y90,ROW(INDIRECT("1:"&amp;MIN(24,COUNT('For stats end Y points'!$B90:Y90))))))</f>
        <v>5</v>
      </c>
      <c r="Z90" cm="1">
        <f t="array" aca="1" ref="Z90" ca="1">SUMPRODUCT(LARGE('For stats end Y points'!$B90:Z90,ROW(INDIRECT("1:"&amp;MIN(24,COUNT('For stats end Y points'!$B90:Z90))))))</f>
        <v>9</v>
      </c>
      <c r="AA90" cm="1">
        <f t="array" aca="1" ref="AA90" ca="1">SUMPRODUCT(LARGE('For stats end Y points'!$B90:AA90,ROW(INDIRECT("1:"&amp;MIN(24,COUNT('For stats end Y points'!$B90:AA90))))))</f>
        <v>9</v>
      </c>
      <c r="AB90" cm="1">
        <f t="array" aca="1" ref="AB90" ca="1">SUMPRODUCT(LARGE('For stats end Y points'!$B90:AB90,ROW(INDIRECT("1:"&amp;MIN(24,COUNT('For stats end Y points'!$B90:AB90))))))</f>
        <v>21</v>
      </c>
      <c r="AC90" cm="1">
        <f t="array" aca="1" ref="AC90" ca="1">SUMPRODUCT(LARGE('For stats end Y points'!$B90:AC90,ROW(INDIRECT("1:"&amp;MIN(24,COUNT('For stats end Y points'!$B90:AC90))))))</f>
        <v>33</v>
      </c>
      <c r="AD90" cm="1">
        <f t="array" aca="1" ref="AD90" ca="1">SUMPRODUCT(LARGE('For stats end Y points'!$B90:AD90,ROW(INDIRECT("1:"&amp;MIN(24,COUNT('For stats end Y points'!$B90:AD90))))))</f>
        <v>35</v>
      </c>
      <c r="AE90" cm="1">
        <f t="array" aca="1" ref="AE90" ca="1">SUMPRODUCT(LARGE('For stats end Y points'!$B90:AE90,ROW(INDIRECT("1:"&amp;MIN(24,COUNT('For stats end Y points'!$B90:AE90))))))</f>
        <v>47</v>
      </c>
      <c r="AF90" cm="1">
        <f t="array" aca="1" ref="AF90" ca="1">SUMPRODUCT(LARGE('For stats end Y points'!$B90:AF90,ROW(INDIRECT("1:"&amp;MIN(24,COUNT('For stats end Y points'!$B90:AF90))))))</f>
        <v>52</v>
      </c>
      <c r="AG90" cm="1">
        <f t="array" aca="1" ref="AG90" ca="1">SUMPRODUCT(LARGE('For stats end Y points'!$B90:AG90,ROW(INDIRECT("1:"&amp;MIN(24,COUNT('For stats end Y points'!$B90:AG90))))))</f>
        <v>64</v>
      </c>
      <c r="AH90" cm="1">
        <f t="array" aca="1" ref="AH90" ca="1">SUMPRODUCT(LARGE('For stats end Y points'!$B90:AH90,ROW(INDIRECT("1:"&amp;MIN(24,COUNT('For stats end Y points'!$B90:AH90))))))</f>
        <v>68</v>
      </c>
      <c r="AP90" s="10">
        <f t="shared" si="1"/>
        <v>0</v>
      </c>
      <c r="AQ90">
        <f>'For stats end Y class'!AU90</f>
        <v>9</v>
      </c>
    </row>
    <row r="91" spans="1:43" x14ac:dyDescent="0.2">
      <c r="A91" t="str">
        <f>'For stats end Y points'!A91</f>
        <v>Sobab</v>
      </c>
      <c r="B91" cm="1">
        <f t="array" aca="1" ref="B91" ca="1">SUMPRODUCT(LARGE('For stats end Y points'!$B91:B91,ROW(INDIRECT("1:"&amp;MIN(24,COUNT('For stats end Y points'!$B91:B91))))))</f>
        <v>12</v>
      </c>
      <c r="C91" cm="1">
        <f t="array" aca="1" ref="C91" ca="1">SUMPRODUCT(LARGE('For stats end Y points'!$B91:C91,ROW(INDIRECT("1:"&amp;MIN(24,COUNT('For stats end Y points'!$B91:C91))))))</f>
        <v>12</v>
      </c>
      <c r="D91" cm="1">
        <f t="array" aca="1" ref="D91" ca="1">SUMPRODUCT(LARGE('For stats end Y points'!$B91:D91,ROW(INDIRECT("1:"&amp;MIN(24,COUNT('For stats end Y points'!$B91:D91))))))</f>
        <v>28</v>
      </c>
      <c r="E91" cm="1">
        <f t="array" aca="1" ref="E91" ca="1">SUMPRODUCT(LARGE('For stats end Y points'!$B91:E91,ROW(INDIRECT("1:"&amp;MIN(24,COUNT('For stats end Y points'!$B91:E91))))))</f>
        <v>29</v>
      </c>
      <c r="F91" cm="1">
        <f t="array" aca="1" ref="F91" ca="1">SUMPRODUCT(LARGE('For stats end Y points'!$B91:F91,ROW(INDIRECT("1:"&amp;MIN(24,COUNT('For stats end Y points'!$B91:F91))))))</f>
        <v>29</v>
      </c>
      <c r="G91" cm="1">
        <f t="array" aca="1" ref="G91" ca="1">SUMPRODUCT(LARGE('For stats end Y points'!$B91:G91,ROW(INDIRECT("1:"&amp;MIN(24,COUNT('For stats end Y points'!$B91:G91))))))</f>
        <v>29</v>
      </c>
      <c r="H91" cm="1">
        <f t="array" aca="1" ref="H91" ca="1">SUMPRODUCT(LARGE('For stats end Y points'!$B91:H91,ROW(INDIRECT("1:"&amp;MIN(24,COUNT('For stats end Y points'!$B91:H91))))))</f>
        <v>41</v>
      </c>
      <c r="I91" cm="1">
        <f t="array" aca="1" ref="I91" ca="1">SUMPRODUCT(LARGE('For stats end Y points'!$B91:I91,ROW(INDIRECT("1:"&amp;MIN(24,COUNT('For stats end Y points'!$B91:I91))))))</f>
        <v>44</v>
      </c>
      <c r="J91" cm="1">
        <f t="array" aca="1" ref="J91" ca="1">SUMPRODUCT(LARGE('For stats end Y points'!$B91:J91,ROW(INDIRECT("1:"&amp;MIN(24,COUNT('For stats end Y points'!$B91:J91))))))</f>
        <v>49</v>
      </c>
      <c r="K91" cm="1">
        <f t="array" aca="1" ref="K91" ca="1">SUMPRODUCT(LARGE('For stats end Y points'!$B91:K91,ROW(INDIRECT("1:"&amp;MIN(24,COUNT('For stats end Y points'!$B91:K91))))))</f>
        <v>64</v>
      </c>
      <c r="L91" cm="1">
        <f t="array" aca="1" ref="L91" ca="1">SUMPRODUCT(LARGE('For stats end Y points'!$B91:L91,ROW(INDIRECT("1:"&amp;MIN(24,COUNT('For stats end Y points'!$B91:L91))))))</f>
        <v>65</v>
      </c>
      <c r="M91" cm="1">
        <f t="array" aca="1" ref="M91" ca="1">SUMPRODUCT(LARGE('For stats end Y points'!$B91:M91,ROW(INDIRECT("1:"&amp;MIN(24,COUNT('For stats end Y points'!$B91:M91))))))</f>
        <v>65</v>
      </c>
      <c r="N91" cm="1">
        <f t="array" aca="1" ref="N91" ca="1">SUMPRODUCT(LARGE('For stats end Y points'!$B91:N91,ROW(INDIRECT("1:"&amp;MIN(24,COUNT('For stats end Y points'!$B91:N91))))))</f>
        <v>65</v>
      </c>
      <c r="O91" cm="1">
        <f t="array" aca="1" ref="O91" ca="1">SUMPRODUCT(LARGE('For stats end Y points'!$B91:O91,ROW(INDIRECT("1:"&amp;MIN(24,COUNT('For stats end Y points'!$B91:O91))))))</f>
        <v>65</v>
      </c>
      <c r="P91" cm="1">
        <f t="array" aca="1" ref="P91" ca="1">SUMPRODUCT(LARGE('For stats end Y points'!$B91:P91,ROW(INDIRECT("1:"&amp;MIN(24,COUNT('For stats end Y points'!$B91:P91))))))</f>
        <v>65</v>
      </c>
      <c r="Q91" cm="1">
        <f t="array" aca="1" ref="Q91" ca="1">SUMPRODUCT(LARGE('For stats end Y points'!$B91:Q91,ROW(INDIRECT("1:"&amp;MIN(24,COUNT('For stats end Y points'!$B91:Q91))))))</f>
        <v>82</v>
      </c>
      <c r="R91" cm="1">
        <f t="array" aca="1" ref="R91" ca="1">SUMPRODUCT(LARGE('For stats end Y points'!$B91:R91,ROW(INDIRECT("1:"&amp;MIN(24,COUNT('For stats end Y points'!$B91:R91))))))</f>
        <v>82</v>
      </c>
      <c r="S91" cm="1">
        <f t="array" aca="1" ref="S91" ca="1">SUMPRODUCT(LARGE('For stats end Y points'!$B91:S91,ROW(INDIRECT("1:"&amp;MIN(24,COUNT('For stats end Y points'!$B91:S91))))))</f>
        <v>87</v>
      </c>
      <c r="T91" cm="1">
        <f t="array" aca="1" ref="T91" ca="1">SUMPRODUCT(LARGE('For stats end Y points'!$B91:T91,ROW(INDIRECT("1:"&amp;MIN(24,COUNT('For stats end Y points'!$B91:T91))))))</f>
        <v>87</v>
      </c>
      <c r="U91" cm="1">
        <f t="array" aca="1" ref="U91" ca="1">SUMPRODUCT(LARGE('For stats end Y points'!$B91:U91,ROW(INDIRECT("1:"&amp;MIN(24,COUNT('For stats end Y points'!$B91:U91))))))</f>
        <v>103</v>
      </c>
      <c r="V91" cm="1">
        <f t="array" aca="1" ref="V91" ca="1">SUMPRODUCT(LARGE('For stats end Y points'!$B91:V91,ROW(INDIRECT("1:"&amp;MIN(24,COUNT('For stats end Y points'!$B91:V91))))))</f>
        <v>120</v>
      </c>
      <c r="W91" cm="1">
        <f t="array" aca="1" ref="W91" ca="1">SUMPRODUCT(LARGE('For stats end Y points'!$B91:W91,ROW(INDIRECT("1:"&amp;MIN(24,COUNT('For stats end Y points'!$B91:W91))))))</f>
        <v>133</v>
      </c>
      <c r="X91" cm="1">
        <f t="array" aca="1" ref="X91" ca="1">SUMPRODUCT(LARGE('For stats end Y points'!$B91:X91,ROW(INDIRECT("1:"&amp;MIN(24,COUNT('For stats end Y points'!$B91:X91))))))</f>
        <v>133</v>
      </c>
      <c r="Y91" cm="1">
        <f t="array" aca="1" ref="Y91" ca="1">SUMPRODUCT(LARGE('For stats end Y points'!$B91:Y91,ROW(INDIRECT("1:"&amp;MIN(24,COUNT('For stats end Y points'!$B91:Y91))))))</f>
        <v>142</v>
      </c>
      <c r="Z91" cm="1">
        <f t="array" aca="1" ref="Z91" ca="1">SUMPRODUCT(LARGE('For stats end Y points'!$B91:Z91,ROW(INDIRECT("1:"&amp;MIN(24,COUNT('For stats end Y points'!$B91:Z91))))))</f>
        <v>142</v>
      </c>
      <c r="AA91" cm="1">
        <f t="array" aca="1" ref="AA91" ca="1">SUMPRODUCT(LARGE('For stats end Y points'!$B91:AA91,ROW(INDIRECT("1:"&amp;MIN(24,COUNT('For stats end Y points'!$B91:AA91))))))</f>
        <v>142</v>
      </c>
      <c r="AB91" cm="1">
        <f t="array" aca="1" ref="AB91" ca="1">SUMPRODUCT(LARGE('For stats end Y points'!$B91:AB91,ROW(INDIRECT("1:"&amp;MIN(24,COUNT('For stats end Y points'!$B91:AB91))))))</f>
        <v>142</v>
      </c>
      <c r="AC91" cm="1">
        <f t="array" aca="1" ref="AC91" ca="1">SUMPRODUCT(LARGE('For stats end Y points'!$B91:AC91,ROW(INDIRECT("1:"&amp;MIN(24,COUNT('For stats end Y points'!$B91:AC91))))))</f>
        <v>150</v>
      </c>
      <c r="AD91" cm="1">
        <f t="array" aca="1" ref="AD91" ca="1">SUMPRODUCT(LARGE('For stats end Y points'!$B91:AD91,ROW(INDIRECT("1:"&amp;MIN(24,COUNT('For stats end Y points'!$B91:AD91))))))</f>
        <v>152</v>
      </c>
      <c r="AE91" cm="1">
        <f t="array" aca="1" ref="AE91" ca="1">SUMPRODUCT(LARGE('For stats end Y points'!$B91:AE91,ROW(INDIRECT("1:"&amp;MIN(24,COUNT('For stats end Y points'!$B91:AE91))))))</f>
        <v>154</v>
      </c>
      <c r="AF91" cm="1">
        <f t="array" aca="1" ref="AF91" ca="1">SUMPRODUCT(LARGE('For stats end Y points'!$B91:AF91,ROW(INDIRECT("1:"&amp;MIN(24,COUNT('For stats end Y points'!$B91:AF91))))))</f>
        <v>154</v>
      </c>
      <c r="AG91" cm="1">
        <f t="array" aca="1" ref="AG91" ca="1">SUMPRODUCT(LARGE('For stats end Y points'!$B91:AG91,ROW(INDIRECT("1:"&amp;MIN(24,COUNT('For stats end Y points'!$B91:AG91))))))</f>
        <v>170</v>
      </c>
      <c r="AH91" cm="1">
        <f t="array" aca="1" ref="AH91" ca="1">SUMPRODUCT(LARGE('For stats end Y points'!$B91:AH91,ROW(INDIRECT("1:"&amp;MIN(24,COUNT('For stats end Y points'!$B91:AH91))))))</f>
        <v>170</v>
      </c>
      <c r="AP91" s="10">
        <f t="shared" si="1"/>
        <v>0</v>
      </c>
      <c r="AQ91">
        <f>'For stats end Y class'!AU91</f>
        <v>18</v>
      </c>
    </row>
    <row r="92" spans="1:43" x14ac:dyDescent="0.2">
      <c r="A92" t="str">
        <f>'For stats end Y points'!A92</f>
        <v>Solex</v>
      </c>
      <c r="B92" cm="1">
        <f t="array" aca="1" ref="B92" ca="1">SUMPRODUCT(LARGE('For stats end Y points'!$B92:B92,ROW(INDIRECT("1:"&amp;MIN(24,COUNT('For stats end Y points'!$B92:B92))))))</f>
        <v>17</v>
      </c>
      <c r="C92" cm="1">
        <f t="array" aca="1" ref="C92" ca="1">SUMPRODUCT(LARGE('For stats end Y points'!$B92:C92,ROW(INDIRECT("1:"&amp;MIN(24,COUNT('For stats end Y points'!$B92:C92))))))</f>
        <v>22</v>
      </c>
      <c r="D92" cm="1">
        <f t="array" aca="1" ref="D92" ca="1">SUMPRODUCT(LARGE('For stats end Y points'!$B92:D92,ROW(INDIRECT("1:"&amp;MIN(24,COUNT('For stats end Y points'!$B92:D92))))))</f>
        <v>23</v>
      </c>
      <c r="E92" cm="1">
        <f t="array" aca="1" ref="E92" ca="1">SUMPRODUCT(LARGE('For stats end Y points'!$B92:E92,ROW(INDIRECT("1:"&amp;MIN(24,COUNT('For stats end Y points'!$B92:E92))))))</f>
        <v>23</v>
      </c>
      <c r="F92" cm="1">
        <f t="array" aca="1" ref="F92" ca="1">SUMPRODUCT(LARGE('For stats end Y points'!$B92:F92,ROW(INDIRECT("1:"&amp;MIN(24,COUNT('For stats end Y points'!$B92:F92))))))</f>
        <v>27</v>
      </c>
      <c r="G92" cm="1">
        <f t="array" aca="1" ref="G92" ca="1">SUMPRODUCT(LARGE('For stats end Y points'!$B92:G92,ROW(INDIRECT("1:"&amp;MIN(24,COUNT('For stats end Y points'!$B92:G92))))))</f>
        <v>27</v>
      </c>
      <c r="H92" cm="1">
        <f t="array" aca="1" ref="H92" ca="1">SUMPRODUCT(LARGE('For stats end Y points'!$B92:H92,ROW(INDIRECT("1:"&amp;MIN(24,COUNT('For stats end Y points'!$B92:H92))))))</f>
        <v>27</v>
      </c>
      <c r="I92" cm="1">
        <f t="array" aca="1" ref="I92" ca="1">SUMPRODUCT(LARGE('For stats end Y points'!$B92:I92,ROW(INDIRECT("1:"&amp;MIN(24,COUNT('For stats end Y points'!$B92:I92))))))</f>
        <v>35</v>
      </c>
      <c r="J92" cm="1">
        <f t="array" aca="1" ref="J92" ca="1">SUMPRODUCT(LARGE('For stats end Y points'!$B92:J92,ROW(INDIRECT("1:"&amp;MIN(24,COUNT('For stats end Y points'!$B92:J92))))))</f>
        <v>35</v>
      </c>
      <c r="K92" cm="1">
        <f t="array" aca="1" ref="K92" ca="1">SUMPRODUCT(LARGE('For stats end Y points'!$B92:K92,ROW(INDIRECT("1:"&amp;MIN(24,COUNT('For stats end Y points'!$B92:K92))))))</f>
        <v>35</v>
      </c>
      <c r="L92" cm="1">
        <f t="array" aca="1" ref="L92" ca="1">SUMPRODUCT(LARGE('For stats end Y points'!$B92:L92,ROW(INDIRECT("1:"&amp;MIN(24,COUNT('For stats end Y points'!$B92:L92))))))</f>
        <v>35</v>
      </c>
      <c r="M92" cm="1">
        <f t="array" aca="1" ref="M92" ca="1">SUMPRODUCT(LARGE('For stats end Y points'!$B92:M92,ROW(INDIRECT("1:"&amp;MIN(24,COUNT('For stats end Y points'!$B92:M92))))))</f>
        <v>35</v>
      </c>
      <c r="N92" cm="1">
        <f t="array" aca="1" ref="N92" ca="1">SUMPRODUCT(LARGE('For stats end Y points'!$B92:N92,ROW(INDIRECT("1:"&amp;MIN(24,COUNT('For stats end Y points'!$B92:N92))))))</f>
        <v>35</v>
      </c>
      <c r="O92" cm="1">
        <f t="array" aca="1" ref="O92" ca="1">SUMPRODUCT(LARGE('For stats end Y points'!$B92:O92,ROW(INDIRECT("1:"&amp;MIN(24,COUNT('For stats end Y points'!$B92:O92))))))</f>
        <v>35</v>
      </c>
      <c r="P92" cm="1">
        <f t="array" aca="1" ref="P92" ca="1">SUMPRODUCT(LARGE('For stats end Y points'!$B92:P92,ROW(INDIRECT("1:"&amp;MIN(24,COUNT('For stats end Y points'!$B92:P92))))))</f>
        <v>35</v>
      </c>
      <c r="Q92" cm="1">
        <f t="array" aca="1" ref="Q92" ca="1">SUMPRODUCT(LARGE('For stats end Y points'!$B92:Q92,ROW(INDIRECT("1:"&amp;MIN(24,COUNT('For stats end Y points'!$B92:Q92))))))</f>
        <v>35</v>
      </c>
      <c r="R92" cm="1">
        <f t="array" aca="1" ref="R92" ca="1">SUMPRODUCT(LARGE('For stats end Y points'!$B92:R92,ROW(INDIRECT("1:"&amp;MIN(24,COUNT('For stats end Y points'!$B92:R92))))))</f>
        <v>35</v>
      </c>
      <c r="S92" cm="1">
        <f t="array" aca="1" ref="S92" ca="1">SUMPRODUCT(LARGE('For stats end Y points'!$B92:S92,ROW(INDIRECT("1:"&amp;MIN(24,COUNT('For stats end Y points'!$B92:S92))))))</f>
        <v>35</v>
      </c>
      <c r="T92" cm="1">
        <f t="array" aca="1" ref="T92" ca="1">SUMPRODUCT(LARGE('For stats end Y points'!$B92:T92,ROW(INDIRECT("1:"&amp;MIN(24,COUNT('For stats end Y points'!$B92:T92))))))</f>
        <v>35</v>
      </c>
      <c r="U92" cm="1">
        <f t="array" aca="1" ref="U92" ca="1">SUMPRODUCT(LARGE('For stats end Y points'!$B92:U92,ROW(INDIRECT("1:"&amp;MIN(24,COUNT('For stats end Y points'!$B92:U92))))))</f>
        <v>35</v>
      </c>
      <c r="V92" cm="1">
        <f t="array" aca="1" ref="V92" ca="1">SUMPRODUCT(LARGE('For stats end Y points'!$B92:V92,ROW(INDIRECT("1:"&amp;MIN(24,COUNT('For stats end Y points'!$B92:V92))))))</f>
        <v>35</v>
      </c>
      <c r="W92" cm="1">
        <f t="array" aca="1" ref="W92" ca="1">SUMPRODUCT(LARGE('For stats end Y points'!$B92:W92,ROW(INDIRECT("1:"&amp;MIN(24,COUNT('For stats end Y points'!$B92:W92))))))</f>
        <v>35</v>
      </c>
      <c r="X92" cm="1">
        <f t="array" aca="1" ref="X92" ca="1">SUMPRODUCT(LARGE('For stats end Y points'!$B92:X92,ROW(INDIRECT("1:"&amp;MIN(24,COUNT('For stats end Y points'!$B92:X92))))))</f>
        <v>35</v>
      </c>
      <c r="Y92" cm="1">
        <f t="array" aca="1" ref="Y92" ca="1">SUMPRODUCT(LARGE('For stats end Y points'!$B92:Y92,ROW(INDIRECT("1:"&amp;MIN(24,COUNT('For stats end Y points'!$B92:Y92))))))</f>
        <v>35</v>
      </c>
      <c r="Z92" cm="1">
        <f t="array" aca="1" ref="Z92" ca="1">SUMPRODUCT(LARGE('For stats end Y points'!$B92:Z92,ROW(INDIRECT("1:"&amp;MIN(24,COUNT('For stats end Y points'!$B92:Z92))))))</f>
        <v>35</v>
      </c>
      <c r="AA92" cm="1">
        <f t="array" aca="1" ref="AA92" ca="1">SUMPRODUCT(LARGE('For stats end Y points'!$B92:AA92,ROW(INDIRECT("1:"&amp;MIN(24,COUNT('For stats end Y points'!$B92:AA92))))))</f>
        <v>35</v>
      </c>
      <c r="AB92" cm="1">
        <f t="array" aca="1" ref="AB92" ca="1">SUMPRODUCT(LARGE('For stats end Y points'!$B92:AB92,ROW(INDIRECT("1:"&amp;MIN(24,COUNT('For stats end Y points'!$B92:AB92))))))</f>
        <v>35</v>
      </c>
      <c r="AC92" cm="1">
        <f t="array" aca="1" ref="AC92" ca="1">SUMPRODUCT(LARGE('For stats end Y points'!$B92:AC92,ROW(INDIRECT("1:"&amp;MIN(24,COUNT('For stats end Y points'!$B92:AC92))))))</f>
        <v>35</v>
      </c>
      <c r="AD92" cm="1">
        <f t="array" aca="1" ref="AD92" ca="1">SUMPRODUCT(LARGE('For stats end Y points'!$B92:AD92,ROW(INDIRECT("1:"&amp;MIN(24,COUNT('For stats end Y points'!$B92:AD92))))))</f>
        <v>35</v>
      </c>
      <c r="AE92" cm="1">
        <f t="array" aca="1" ref="AE92" ca="1">SUMPRODUCT(LARGE('For stats end Y points'!$B92:AE92,ROW(INDIRECT("1:"&amp;MIN(24,COUNT('For stats end Y points'!$B92:AE92))))))</f>
        <v>35</v>
      </c>
      <c r="AF92" cm="1">
        <f t="array" aca="1" ref="AF92" ca="1">SUMPRODUCT(LARGE('For stats end Y points'!$B92:AF92,ROW(INDIRECT("1:"&amp;MIN(24,COUNT('For stats end Y points'!$B92:AF92))))))</f>
        <v>35</v>
      </c>
      <c r="AG92" cm="1">
        <f t="array" aca="1" ref="AG92" ca="1">SUMPRODUCT(LARGE('For stats end Y points'!$B92:AG92,ROW(INDIRECT("1:"&amp;MIN(24,COUNT('For stats end Y points'!$B92:AG92))))))</f>
        <v>35</v>
      </c>
      <c r="AH92" cm="1">
        <f t="array" aca="1" ref="AH92" ca="1">SUMPRODUCT(LARGE('For stats end Y points'!$B92:AH92,ROW(INDIRECT("1:"&amp;MIN(24,COUNT('For stats end Y points'!$B92:AH92))))))</f>
        <v>35</v>
      </c>
      <c r="AP92" s="10">
        <f t="shared" si="1"/>
        <v>0</v>
      </c>
      <c r="AQ92">
        <f>'For stats end Y class'!AU92</f>
        <v>5</v>
      </c>
    </row>
    <row r="93" spans="1:43" x14ac:dyDescent="0.2">
      <c r="A93" t="str">
        <f>'For stats end Y points'!A93</f>
        <v>Solucky</v>
      </c>
      <c r="B93" cm="1">
        <f t="array" aca="1" ref="B93" ca="1">SUMPRODUCT(LARGE('For stats end Y points'!$B93:B93,ROW(INDIRECT("1:"&amp;MIN(24,COUNT('For stats end Y points'!$B93:B93))))))</f>
        <v>0</v>
      </c>
      <c r="C93" cm="1">
        <f t="array" aca="1" ref="C93" ca="1">SUMPRODUCT(LARGE('For stats end Y points'!$B93:C93,ROW(INDIRECT("1:"&amp;MIN(24,COUNT('For stats end Y points'!$B93:C93))))))</f>
        <v>0</v>
      </c>
      <c r="D93" cm="1">
        <f t="array" aca="1" ref="D93" ca="1">SUMPRODUCT(LARGE('For stats end Y points'!$B93:D93,ROW(INDIRECT("1:"&amp;MIN(24,COUNT('For stats end Y points'!$B93:D93))))))</f>
        <v>0</v>
      </c>
      <c r="E93" cm="1">
        <f t="array" aca="1" ref="E93" ca="1">SUMPRODUCT(LARGE('For stats end Y points'!$B93:E93,ROW(INDIRECT("1:"&amp;MIN(24,COUNT('For stats end Y points'!$B93:E93))))))</f>
        <v>0</v>
      </c>
      <c r="F93" cm="1">
        <f t="array" aca="1" ref="F93" ca="1">SUMPRODUCT(LARGE('For stats end Y points'!$B93:F93,ROW(INDIRECT("1:"&amp;MIN(24,COUNT('For stats end Y points'!$B93:F93))))))</f>
        <v>0</v>
      </c>
      <c r="G93" cm="1">
        <f t="array" aca="1" ref="G93" ca="1">SUMPRODUCT(LARGE('For stats end Y points'!$B93:G93,ROW(INDIRECT("1:"&amp;MIN(24,COUNT('For stats end Y points'!$B93:G93))))))</f>
        <v>0</v>
      </c>
      <c r="H93" cm="1">
        <f t="array" aca="1" ref="H93" ca="1">SUMPRODUCT(LARGE('For stats end Y points'!$B93:H93,ROW(INDIRECT("1:"&amp;MIN(24,COUNT('For stats end Y points'!$B93:H93))))))</f>
        <v>12</v>
      </c>
      <c r="I93" cm="1">
        <f t="array" aca="1" ref="I93" ca="1">SUMPRODUCT(LARGE('For stats end Y points'!$B93:I93,ROW(INDIRECT("1:"&amp;MIN(24,COUNT('For stats end Y points'!$B93:I93))))))</f>
        <v>13</v>
      </c>
      <c r="J93" cm="1">
        <f t="array" aca="1" ref="J93" ca="1">SUMPRODUCT(LARGE('For stats end Y points'!$B93:J93,ROW(INDIRECT("1:"&amp;MIN(24,COUNT('For stats end Y points'!$B93:J93))))))</f>
        <v>21</v>
      </c>
      <c r="K93" cm="1">
        <f t="array" aca="1" ref="K93" ca="1">SUMPRODUCT(LARGE('For stats end Y points'!$B93:K93,ROW(INDIRECT("1:"&amp;MIN(24,COUNT('For stats end Y points'!$B93:K93))))))</f>
        <v>37</v>
      </c>
      <c r="L93" cm="1">
        <f t="array" aca="1" ref="L93" ca="1">SUMPRODUCT(LARGE('For stats end Y points'!$B93:L93,ROW(INDIRECT("1:"&amp;MIN(24,COUNT('For stats end Y points'!$B93:L93))))))</f>
        <v>45</v>
      </c>
      <c r="M93" cm="1">
        <f t="array" aca="1" ref="M93" ca="1">SUMPRODUCT(LARGE('For stats end Y points'!$B93:M93,ROW(INDIRECT("1:"&amp;MIN(24,COUNT('For stats end Y points'!$B93:M93))))))</f>
        <v>46</v>
      </c>
      <c r="N93" cm="1">
        <f t="array" aca="1" ref="N93" ca="1">SUMPRODUCT(LARGE('For stats end Y points'!$B93:N93,ROW(INDIRECT("1:"&amp;MIN(24,COUNT('For stats end Y points'!$B93:N93))))))</f>
        <v>58</v>
      </c>
      <c r="O93" cm="1">
        <f t="array" aca="1" ref="O93" ca="1">SUMPRODUCT(LARGE('For stats end Y points'!$B93:O93,ROW(INDIRECT("1:"&amp;MIN(24,COUNT('For stats end Y points'!$B93:O93))))))</f>
        <v>62</v>
      </c>
      <c r="P93" cm="1">
        <f t="array" aca="1" ref="P93" ca="1">SUMPRODUCT(LARGE('For stats end Y points'!$B93:P93,ROW(INDIRECT("1:"&amp;MIN(24,COUNT('For stats end Y points'!$B93:P93))))))</f>
        <v>63</v>
      </c>
      <c r="Q93" cm="1">
        <f t="array" aca="1" ref="Q93" ca="1">SUMPRODUCT(LARGE('For stats end Y points'!$B93:Q93,ROW(INDIRECT("1:"&amp;MIN(24,COUNT('For stats end Y points'!$B93:Q93))))))</f>
        <v>64</v>
      </c>
      <c r="R93" cm="1">
        <f t="array" aca="1" ref="R93" ca="1">SUMPRODUCT(LARGE('For stats end Y points'!$B93:R93,ROW(INDIRECT("1:"&amp;MIN(24,COUNT('For stats end Y points'!$B93:R93))))))</f>
        <v>73</v>
      </c>
      <c r="S93" cm="1">
        <f t="array" aca="1" ref="S93" ca="1">SUMPRODUCT(LARGE('For stats end Y points'!$B93:S93,ROW(INDIRECT("1:"&amp;MIN(24,COUNT('For stats end Y points'!$B93:S93))))))</f>
        <v>75</v>
      </c>
      <c r="T93" cm="1">
        <f t="array" aca="1" ref="T93" ca="1">SUMPRODUCT(LARGE('For stats end Y points'!$B93:T93,ROW(INDIRECT("1:"&amp;MIN(24,COUNT('For stats end Y points'!$B93:T93))))))</f>
        <v>77</v>
      </c>
      <c r="U93" cm="1">
        <f t="array" aca="1" ref="U93" ca="1">SUMPRODUCT(LARGE('For stats end Y points'!$B93:U93,ROW(INDIRECT("1:"&amp;MIN(24,COUNT('For stats end Y points'!$B93:U93))))))</f>
        <v>88</v>
      </c>
      <c r="V93" cm="1">
        <f t="array" aca="1" ref="V93" ca="1">SUMPRODUCT(LARGE('For stats end Y points'!$B93:V93,ROW(INDIRECT("1:"&amp;MIN(24,COUNT('For stats end Y points'!$B93:V93))))))</f>
        <v>96</v>
      </c>
      <c r="W93" cm="1">
        <f t="array" aca="1" ref="W93" ca="1">SUMPRODUCT(LARGE('For stats end Y points'!$B93:W93,ROW(INDIRECT("1:"&amp;MIN(24,COUNT('For stats end Y points'!$B93:W93))))))</f>
        <v>97</v>
      </c>
      <c r="X93" cm="1">
        <f t="array" aca="1" ref="X93" ca="1">SUMPRODUCT(LARGE('For stats end Y points'!$B93:X93,ROW(INDIRECT("1:"&amp;MIN(24,COUNT('For stats end Y points'!$B93:X93))))))</f>
        <v>114</v>
      </c>
      <c r="Y93" cm="1">
        <f t="array" aca="1" ref="Y93" ca="1">SUMPRODUCT(LARGE('For stats end Y points'!$B93:Y93,ROW(INDIRECT("1:"&amp;MIN(24,COUNT('For stats end Y points'!$B93:Y93))))))</f>
        <v>119</v>
      </c>
      <c r="Z93" cm="1">
        <f t="array" aca="1" ref="Z93" ca="1">SUMPRODUCT(LARGE('For stats end Y points'!$B93:Z93,ROW(INDIRECT("1:"&amp;MIN(24,COUNT('For stats end Y points'!$B93:Z93))))))</f>
        <v>121</v>
      </c>
      <c r="AA93" cm="1">
        <f t="array" aca="1" ref="AA93" ca="1">SUMPRODUCT(LARGE('For stats end Y points'!$B93:AA93,ROW(INDIRECT("1:"&amp;MIN(24,COUNT('For stats end Y points'!$B93:AA93))))))</f>
        <v>137</v>
      </c>
      <c r="AB93" cm="1">
        <f t="array" aca="1" ref="AB93" ca="1">SUMPRODUCT(LARGE('For stats end Y points'!$B93:AB93,ROW(INDIRECT("1:"&amp;MIN(24,COUNT('For stats end Y points'!$B93:AB93))))))</f>
        <v>138</v>
      </c>
      <c r="AC93" cm="1">
        <f t="array" aca="1" ref="AC93" ca="1">SUMPRODUCT(LARGE('For stats end Y points'!$B93:AC93,ROW(INDIRECT("1:"&amp;MIN(24,COUNT('For stats end Y points'!$B93:AC93))))))</f>
        <v>154</v>
      </c>
      <c r="AD93" cm="1">
        <f t="array" aca="1" ref="AD93" ca="1">SUMPRODUCT(LARGE('For stats end Y points'!$B93:AD93,ROW(INDIRECT("1:"&amp;MIN(24,COUNT('For stats end Y points'!$B93:AD93))))))</f>
        <v>155</v>
      </c>
      <c r="AE93" cm="1">
        <f t="array" aca="1" ref="AE93" ca="1">SUMPRODUCT(LARGE('For stats end Y points'!$B93:AE93,ROW(INDIRECT("1:"&amp;MIN(24,COUNT('For stats end Y points'!$B93:AE93))))))</f>
        <v>156</v>
      </c>
      <c r="AF93" cm="1">
        <f t="array" aca="1" ref="AF93" ca="1">SUMPRODUCT(LARGE('For stats end Y points'!$B93:AF93,ROW(INDIRECT("1:"&amp;MIN(24,COUNT('For stats end Y points'!$B93:AF93))))))</f>
        <v>157</v>
      </c>
      <c r="AG93" cm="1">
        <f t="array" aca="1" ref="AG93" ca="1">SUMPRODUCT(LARGE('For stats end Y points'!$B93:AG93,ROW(INDIRECT("1:"&amp;MIN(24,COUNT('For stats end Y points'!$B93:AG93))))))</f>
        <v>157</v>
      </c>
      <c r="AH93" cm="1">
        <f t="array" aca="1" ref="AH93" ca="1">SUMPRODUCT(LARGE('For stats end Y points'!$B93:AH93,ROW(INDIRECT("1:"&amp;MIN(24,COUNT('For stats end Y points'!$B93:AH93))))))</f>
        <v>157</v>
      </c>
      <c r="AP93" s="10">
        <f t="shared" si="1"/>
        <v>0</v>
      </c>
      <c r="AQ93">
        <f>'For stats end Y class'!AU93</f>
        <v>26</v>
      </c>
    </row>
    <row r="94" spans="1:43" x14ac:dyDescent="0.2">
      <c r="A94" t="str">
        <f>'For stats end Y points'!A94</f>
        <v>Soupaman</v>
      </c>
      <c r="B94" cm="1">
        <f t="array" aca="1" ref="B94" ca="1">SUMPRODUCT(LARGE('For stats end Y points'!$B94:B94,ROW(INDIRECT("1:"&amp;MIN(24,COUNT('For stats end Y points'!$B94:B94))))))</f>
        <v>8</v>
      </c>
      <c r="C94" cm="1">
        <f t="array" aca="1" ref="C94" ca="1">SUMPRODUCT(LARGE('For stats end Y points'!$B94:C94,ROW(INDIRECT("1:"&amp;MIN(24,COUNT('For stats end Y points'!$B94:C94))))))</f>
        <v>8</v>
      </c>
      <c r="D94" cm="1">
        <f t="array" aca="1" ref="D94" ca="1">SUMPRODUCT(LARGE('For stats end Y points'!$B94:D94,ROW(INDIRECT("1:"&amp;MIN(24,COUNT('For stats end Y points'!$B94:D94))))))</f>
        <v>8</v>
      </c>
      <c r="E94" cm="1">
        <f t="array" aca="1" ref="E94" ca="1">SUMPRODUCT(LARGE('For stats end Y points'!$B94:E94,ROW(INDIRECT("1:"&amp;MIN(24,COUNT('For stats end Y points'!$B94:E94))))))</f>
        <v>17</v>
      </c>
      <c r="F94" cm="1">
        <f t="array" aca="1" ref="F94" ca="1">SUMPRODUCT(LARGE('For stats end Y points'!$B94:F94,ROW(INDIRECT("1:"&amp;MIN(24,COUNT('For stats end Y points'!$B94:F94))))))</f>
        <v>18</v>
      </c>
      <c r="G94" cm="1">
        <f t="array" aca="1" ref="G94" ca="1">SUMPRODUCT(LARGE('For stats end Y points'!$B94:G94,ROW(INDIRECT("1:"&amp;MIN(24,COUNT('For stats end Y points'!$B94:G94))))))</f>
        <v>18</v>
      </c>
      <c r="H94" cm="1">
        <f t="array" aca="1" ref="H94" ca="1">SUMPRODUCT(LARGE('For stats end Y points'!$B94:H94,ROW(INDIRECT("1:"&amp;MIN(24,COUNT('For stats end Y points'!$B94:H94))))))</f>
        <v>26</v>
      </c>
      <c r="I94" cm="1">
        <f t="array" aca="1" ref="I94" ca="1">SUMPRODUCT(LARGE('For stats end Y points'!$B94:I94,ROW(INDIRECT("1:"&amp;MIN(24,COUNT('For stats end Y points'!$B94:I94))))))</f>
        <v>39</v>
      </c>
      <c r="J94" cm="1">
        <f t="array" aca="1" ref="J94" ca="1">SUMPRODUCT(LARGE('For stats end Y points'!$B94:J94,ROW(INDIRECT("1:"&amp;MIN(24,COUNT('For stats end Y points'!$B94:J94))))))</f>
        <v>51</v>
      </c>
      <c r="K94" cm="1">
        <f t="array" aca="1" ref="K94" ca="1">SUMPRODUCT(LARGE('For stats end Y points'!$B94:K94,ROW(INDIRECT("1:"&amp;MIN(24,COUNT('For stats end Y points'!$B94:K94))))))</f>
        <v>59</v>
      </c>
      <c r="L94" cm="1">
        <f t="array" aca="1" ref="L94" ca="1">SUMPRODUCT(LARGE('For stats end Y points'!$B94:L94,ROW(INDIRECT("1:"&amp;MIN(24,COUNT('For stats end Y points'!$B94:L94))))))</f>
        <v>71</v>
      </c>
      <c r="M94" cm="1">
        <f t="array" aca="1" ref="M94" ca="1">SUMPRODUCT(LARGE('For stats end Y points'!$B94:M94,ROW(INDIRECT("1:"&amp;MIN(24,COUNT('For stats end Y points'!$B94:M94))))))</f>
        <v>71</v>
      </c>
      <c r="N94" cm="1">
        <f t="array" aca="1" ref="N94" ca="1">SUMPRODUCT(LARGE('For stats end Y points'!$B94:N94,ROW(INDIRECT("1:"&amp;MIN(24,COUNT('For stats end Y points'!$B94:N94))))))</f>
        <v>71</v>
      </c>
      <c r="O94" cm="1">
        <f t="array" aca="1" ref="O94" ca="1">SUMPRODUCT(LARGE('For stats end Y points'!$B94:O94,ROW(INDIRECT("1:"&amp;MIN(24,COUNT('For stats end Y points'!$B94:O94))))))</f>
        <v>72</v>
      </c>
      <c r="P94" cm="1">
        <f t="array" aca="1" ref="P94" ca="1">SUMPRODUCT(LARGE('For stats end Y points'!$B94:P94,ROW(INDIRECT("1:"&amp;MIN(24,COUNT('For stats end Y points'!$B94:P94))))))</f>
        <v>77</v>
      </c>
      <c r="Q94" cm="1">
        <f t="array" aca="1" ref="Q94" ca="1">SUMPRODUCT(LARGE('For stats end Y points'!$B94:Q94,ROW(INDIRECT("1:"&amp;MIN(24,COUNT('For stats end Y points'!$B94:Q94))))))</f>
        <v>80</v>
      </c>
      <c r="R94" cm="1">
        <f t="array" aca="1" ref="R94" ca="1">SUMPRODUCT(LARGE('For stats end Y points'!$B94:R94,ROW(INDIRECT("1:"&amp;MIN(24,COUNT('For stats end Y points'!$B94:R94))))))</f>
        <v>85</v>
      </c>
      <c r="S94" cm="1">
        <f t="array" aca="1" ref="S94" ca="1">SUMPRODUCT(LARGE('For stats end Y points'!$B94:S94,ROW(INDIRECT("1:"&amp;MIN(24,COUNT('For stats end Y points'!$B94:S94))))))</f>
        <v>85</v>
      </c>
      <c r="T94" cm="1">
        <f t="array" aca="1" ref="T94" ca="1">SUMPRODUCT(LARGE('For stats end Y points'!$B94:T94,ROW(INDIRECT("1:"&amp;MIN(24,COUNT('For stats end Y points'!$B94:T94))))))</f>
        <v>85</v>
      </c>
      <c r="U94" cm="1">
        <f t="array" aca="1" ref="U94" ca="1">SUMPRODUCT(LARGE('For stats end Y points'!$B94:U94,ROW(INDIRECT("1:"&amp;MIN(24,COUNT('For stats end Y points'!$B94:U94))))))</f>
        <v>93</v>
      </c>
      <c r="V94" cm="1">
        <f t="array" aca="1" ref="V94" ca="1">SUMPRODUCT(LARGE('For stats end Y points'!$B94:V94,ROW(INDIRECT("1:"&amp;MIN(24,COUNT('For stats end Y points'!$B94:V94))))))</f>
        <v>93</v>
      </c>
      <c r="W94" cm="1">
        <f t="array" aca="1" ref="W94" ca="1">SUMPRODUCT(LARGE('For stats end Y points'!$B94:W94,ROW(INDIRECT("1:"&amp;MIN(24,COUNT('For stats end Y points'!$B94:W94))))))</f>
        <v>94</v>
      </c>
      <c r="X94" cm="1">
        <f t="array" aca="1" ref="X94" ca="1">SUMPRODUCT(LARGE('For stats end Y points'!$B94:X94,ROW(INDIRECT("1:"&amp;MIN(24,COUNT('For stats end Y points'!$B94:X94))))))</f>
        <v>94</v>
      </c>
      <c r="Y94" cm="1">
        <f t="array" aca="1" ref="Y94" ca="1">SUMPRODUCT(LARGE('For stats end Y points'!$B94:Y94,ROW(INDIRECT("1:"&amp;MIN(24,COUNT('For stats end Y points'!$B94:Y94))))))</f>
        <v>99</v>
      </c>
      <c r="Z94" cm="1">
        <f t="array" aca="1" ref="Z94" ca="1">SUMPRODUCT(LARGE('For stats end Y points'!$B94:Z94,ROW(INDIRECT("1:"&amp;MIN(24,COUNT('For stats end Y points'!$B94:Z94))))))</f>
        <v>116</v>
      </c>
      <c r="AA94" cm="1">
        <f t="array" aca="1" ref="AA94" ca="1">SUMPRODUCT(LARGE('For stats end Y points'!$B94:AA94,ROW(INDIRECT("1:"&amp;MIN(24,COUNT('For stats end Y points'!$B94:AA94))))))</f>
        <v>120</v>
      </c>
      <c r="AB94" cm="1">
        <f t="array" aca="1" ref="AB94" ca="1">SUMPRODUCT(LARGE('For stats end Y points'!$B94:AB94,ROW(INDIRECT("1:"&amp;MIN(24,COUNT('For stats end Y points'!$B94:AB94))))))</f>
        <v>121</v>
      </c>
      <c r="AC94" cm="1">
        <f t="array" aca="1" ref="AC94" ca="1">SUMPRODUCT(LARGE('For stats end Y points'!$B94:AC94,ROW(INDIRECT("1:"&amp;MIN(24,COUNT('For stats end Y points'!$B94:AC94))))))</f>
        <v>123</v>
      </c>
      <c r="AD94" cm="1">
        <f t="array" aca="1" ref="AD94" ca="1">SUMPRODUCT(LARGE('For stats end Y points'!$B94:AD94,ROW(INDIRECT("1:"&amp;MIN(24,COUNT('For stats end Y points'!$B94:AD94))))))</f>
        <v>139</v>
      </c>
      <c r="AE94" cm="1">
        <f t="array" aca="1" ref="AE94" ca="1">SUMPRODUCT(LARGE('For stats end Y points'!$B94:AE94,ROW(INDIRECT("1:"&amp;MIN(24,COUNT('For stats end Y points'!$B94:AE94))))))</f>
        <v>139</v>
      </c>
      <c r="AF94" cm="1">
        <f t="array" aca="1" ref="AF94" ca="1">SUMPRODUCT(LARGE('For stats end Y points'!$B94:AF94,ROW(INDIRECT("1:"&amp;MIN(24,COUNT('For stats end Y points'!$B94:AF94))))))</f>
        <v>139</v>
      </c>
      <c r="AG94" cm="1">
        <f t="array" aca="1" ref="AG94" ca="1">SUMPRODUCT(LARGE('For stats end Y points'!$B94:AG94,ROW(INDIRECT("1:"&amp;MIN(24,COUNT('For stats end Y points'!$B94:AG94))))))</f>
        <v>139</v>
      </c>
      <c r="AH94" cm="1">
        <f t="array" aca="1" ref="AH94" ca="1">SUMPRODUCT(LARGE('For stats end Y points'!$B94:AH94,ROW(INDIRECT("1:"&amp;MIN(24,COUNT('For stats end Y points'!$B94:AH94))))))</f>
        <v>139</v>
      </c>
      <c r="AP94" s="10">
        <f t="shared" si="1"/>
        <v>0</v>
      </c>
      <c r="AQ94">
        <f>'For stats end Y class'!AU94</f>
        <v>20</v>
      </c>
    </row>
    <row r="95" spans="1:43" x14ac:dyDescent="0.2">
      <c r="A95" t="str">
        <f>'For stats end Y points'!A95</f>
        <v>Tenko</v>
      </c>
      <c r="B95" cm="1">
        <f t="array" aca="1" ref="B95" ca="1">SUMPRODUCT(LARGE('For stats end Y points'!$B95:B95,ROW(INDIRECT("1:"&amp;MIN(24,COUNT('For stats end Y points'!$B95:B95))))))</f>
        <v>2</v>
      </c>
      <c r="C95" cm="1">
        <f t="array" aca="1" ref="C95" ca="1">SUMPRODUCT(LARGE('For stats end Y points'!$B95:C95,ROW(INDIRECT("1:"&amp;MIN(24,COUNT('For stats end Y points'!$B95:C95))))))</f>
        <v>14</v>
      </c>
      <c r="D95" cm="1">
        <f t="array" aca="1" ref="D95" ca="1">SUMPRODUCT(LARGE('For stats end Y points'!$B95:D95,ROW(INDIRECT("1:"&amp;MIN(24,COUNT('For stats end Y points'!$B95:D95))))))</f>
        <v>26</v>
      </c>
      <c r="E95" cm="1">
        <f t="array" aca="1" ref="E95" ca="1">SUMPRODUCT(LARGE('For stats end Y points'!$B95:E95,ROW(INDIRECT("1:"&amp;MIN(24,COUNT('For stats end Y points'!$B95:E95))))))</f>
        <v>31</v>
      </c>
      <c r="F95" cm="1">
        <f t="array" aca="1" ref="F95" ca="1">SUMPRODUCT(LARGE('For stats end Y points'!$B95:F95,ROW(INDIRECT("1:"&amp;MIN(24,COUNT('For stats end Y points'!$B95:F95))))))</f>
        <v>44</v>
      </c>
      <c r="G95" cm="1">
        <f t="array" aca="1" ref="G95" ca="1">SUMPRODUCT(LARGE('For stats end Y points'!$B95:G95,ROW(INDIRECT("1:"&amp;MIN(24,COUNT('For stats end Y points'!$B95:G95))))))</f>
        <v>53</v>
      </c>
      <c r="H95" cm="1">
        <f t="array" aca="1" ref="H95" ca="1">SUMPRODUCT(LARGE('For stats end Y points'!$B95:H95,ROW(INDIRECT("1:"&amp;MIN(24,COUNT('For stats end Y points'!$B95:H95))))))</f>
        <v>53</v>
      </c>
      <c r="I95" cm="1">
        <f t="array" aca="1" ref="I95" ca="1">SUMPRODUCT(LARGE('For stats end Y points'!$B95:I95,ROW(INDIRECT("1:"&amp;MIN(24,COUNT('For stats end Y points'!$B95:I95))))))</f>
        <v>53</v>
      </c>
      <c r="J95" cm="1">
        <f t="array" aca="1" ref="J95" ca="1">SUMPRODUCT(LARGE('For stats end Y points'!$B95:J95,ROW(INDIRECT("1:"&amp;MIN(24,COUNT('For stats end Y points'!$B95:J95))))))</f>
        <v>54</v>
      </c>
      <c r="K95" cm="1">
        <f t="array" aca="1" ref="K95" ca="1">SUMPRODUCT(LARGE('For stats end Y points'!$B95:K95,ROW(INDIRECT("1:"&amp;MIN(24,COUNT('For stats end Y points'!$B95:K95))))))</f>
        <v>56</v>
      </c>
      <c r="L95" cm="1">
        <f t="array" aca="1" ref="L95" ca="1">SUMPRODUCT(LARGE('For stats end Y points'!$B95:L95,ROW(INDIRECT("1:"&amp;MIN(24,COUNT('For stats end Y points'!$B95:L95))))))</f>
        <v>63</v>
      </c>
      <c r="M95" cm="1">
        <f t="array" aca="1" ref="M95" ca="1">SUMPRODUCT(LARGE('For stats end Y points'!$B95:M95,ROW(INDIRECT("1:"&amp;MIN(24,COUNT('For stats end Y points'!$B95:M95))))))</f>
        <v>79</v>
      </c>
      <c r="N95" cm="1">
        <f t="array" aca="1" ref="N95" ca="1">SUMPRODUCT(LARGE('For stats end Y points'!$B95:N95,ROW(INDIRECT("1:"&amp;MIN(24,COUNT('For stats end Y points'!$B95:N95))))))</f>
        <v>81</v>
      </c>
      <c r="O95" cm="1">
        <f t="array" aca="1" ref="O95" ca="1">SUMPRODUCT(LARGE('For stats end Y points'!$B95:O95,ROW(INDIRECT("1:"&amp;MIN(24,COUNT('For stats end Y points'!$B95:O95))))))</f>
        <v>81</v>
      </c>
      <c r="P95" cm="1">
        <f t="array" aca="1" ref="P95" ca="1">SUMPRODUCT(LARGE('For stats end Y points'!$B95:P95,ROW(INDIRECT("1:"&amp;MIN(24,COUNT('For stats end Y points'!$B95:P95))))))</f>
        <v>93</v>
      </c>
      <c r="Q95" cm="1">
        <f t="array" aca="1" ref="Q95" ca="1">SUMPRODUCT(LARGE('For stats end Y points'!$B95:Q95,ROW(INDIRECT("1:"&amp;MIN(24,COUNT('For stats end Y points'!$B95:Q95))))))</f>
        <v>94</v>
      </c>
      <c r="R95" cm="1">
        <f t="array" aca="1" ref="R95" ca="1">SUMPRODUCT(LARGE('For stats end Y points'!$B95:R95,ROW(INDIRECT("1:"&amp;MIN(24,COUNT('For stats end Y points'!$B95:R95))))))</f>
        <v>96</v>
      </c>
      <c r="S95" cm="1">
        <f t="array" aca="1" ref="S95" ca="1">SUMPRODUCT(LARGE('For stats end Y points'!$B95:S95,ROW(INDIRECT("1:"&amp;MIN(24,COUNT('For stats end Y points'!$B95:S95))))))</f>
        <v>97</v>
      </c>
      <c r="T95" cm="1">
        <f t="array" aca="1" ref="T95" ca="1">SUMPRODUCT(LARGE('For stats end Y points'!$B95:T95,ROW(INDIRECT("1:"&amp;MIN(24,COUNT('For stats end Y points'!$B95:T95))))))</f>
        <v>105</v>
      </c>
      <c r="U95" cm="1">
        <f t="array" aca="1" ref="U95" ca="1">SUMPRODUCT(LARGE('For stats end Y points'!$B95:U95,ROW(INDIRECT("1:"&amp;MIN(24,COUNT('For stats end Y points'!$B95:U95))))))</f>
        <v>109</v>
      </c>
      <c r="V95" cm="1">
        <f t="array" aca="1" ref="V95" ca="1">SUMPRODUCT(LARGE('For stats end Y points'!$B95:V95,ROW(INDIRECT("1:"&amp;MIN(24,COUNT('For stats end Y points'!$B95:V95))))))</f>
        <v>111</v>
      </c>
      <c r="W95" cm="1">
        <f t="array" aca="1" ref="W95" ca="1">SUMPRODUCT(LARGE('For stats end Y points'!$B95:W95,ROW(INDIRECT("1:"&amp;MIN(24,COUNT('For stats end Y points'!$B95:W95))))))</f>
        <v>111</v>
      </c>
      <c r="X95" cm="1">
        <f t="array" aca="1" ref="X95" ca="1">SUMPRODUCT(LARGE('For stats end Y points'!$B95:X95,ROW(INDIRECT("1:"&amp;MIN(24,COUNT('For stats end Y points'!$B95:X95))))))</f>
        <v>114</v>
      </c>
      <c r="Y95" cm="1">
        <f t="array" aca="1" ref="Y95" ca="1">SUMPRODUCT(LARGE('For stats end Y points'!$B95:Y95,ROW(INDIRECT("1:"&amp;MIN(24,COUNT('For stats end Y points'!$B95:Y95))))))</f>
        <v>117</v>
      </c>
      <c r="Z95" cm="1">
        <f t="array" aca="1" ref="Z95" ca="1">SUMPRODUCT(LARGE('For stats end Y points'!$B95:Z95,ROW(INDIRECT("1:"&amp;MIN(24,COUNT('For stats end Y points'!$B95:Z95))))))</f>
        <v>125</v>
      </c>
      <c r="AA95" cm="1">
        <f t="array" aca="1" ref="AA95" ca="1">SUMPRODUCT(LARGE('For stats end Y points'!$B95:AA95,ROW(INDIRECT("1:"&amp;MIN(24,COUNT('For stats end Y points'!$B95:AA95))))))</f>
        <v>125</v>
      </c>
      <c r="AB95" cm="1">
        <f t="array" aca="1" ref="AB95" ca="1">SUMPRODUCT(LARGE('For stats end Y points'!$B95:AB95,ROW(INDIRECT("1:"&amp;MIN(24,COUNT('For stats end Y points'!$B95:AB95))))))</f>
        <v>126</v>
      </c>
      <c r="AC95" cm="1">
        <f t="array" aca="1" ref="AC95" ca="1">SUMPRODUCT(LARGE('For stats end Y points'!$B95:AC95,ROW(INDIRECT("1:"&amp;MIN(24,COUNT('For stats end Y points'!$B95:AC95))))))</f>
        <v>142</v>
      </c>
      <c r="AD95" cm="1">
        <f t="array" aca="1" ref="AD95" ca="1">SUMPRODUCT(LARGE('For stats end Y points'!$B95:AD95,ROW(INDIRECT("1:"&amp;MIN(24,COUNT('For stats end Y points'!$B95:AD95))))))</f>
        <v>146</v>
      </c>
      <c r="AE95" cm="1">
        <f t="array" aca="1" ref="AE95" ca="1">SUMPRODUCT(LARGE('For stats end Y points'!$B95:AE95,ROW(INDIRECT("1:"&amp;MIN(24,COUNT('For stats end Y points'!$B95:AE95))))))</f>
        <v>162</v>
      </c>
      <c r="AF95" cm="1">
        <f t="array" aca="1" ref="AF95" ca="1">SUMPRODUCT(LARGE('For stats end Y points'!$B95:AF95,ROW(INDIRECT("1:"&amp;MIN(24,COUNT('For stats end Y points'!$B95:AF95))))))</f>
        <v>162</v>
      </c>
      <c r="AG95" cm="1">
        <f t="array" aca="1" ref="AG95" ca="1">SUMPRODUCT(LARGE('For stats end Y points'!$B95:AG95,ROW(INDIRECT("1:"&amp;MIN(24,COUNT('For stats end Y points'!$B95:AG95))))))</f>
        <v>177</v>
      </c>
      <c r="AH95" cm="1">
        <f t="array" aca="1" ref="AH95" ca="1">SUMPRODUCT(LARGE('For stats end Y points'!$B95:AH95,ROW(INDIRECT("1:"&amp;MIN(24,COUNT('For stats end Y points'!$B95:AH95))))))</f>
        <v>192</v>
      </c>
      <c r="AP95" s="10">
        <f t="shared" si="1"/>
        <v>0</v>
      </c>
      <c r="AQ95">
        <f>'For stats end Y class'!AU95</f>
        <v>28</v>
      </c>
    </row>
    <row r="96" spans="1:43" x14ac:dyDescent="0.2">
      <c r="A96" t="str">
        <f>'For stats end Y points'!A96</f>
        <v>The Hengover</v>
      </c>
      <c r="B96" cm="1">
        <f t="array" aca="1" ref="B96" ca="1">SUMPRODUCT(LARGE('For stats end Y points'!$B96:B96,ROW(INDIRECT("1:"&amp;MIN(24,COUNT('For stats end Y points'!$B96:B96))))))</f>
        <v>0</v>
      </c>
      <c r="C96" cm="1">
        <f t="array" aca="1" ref="C96" ca="1">SUMPRODUCT(LARGE('For stats end Y points'!$B96:C96,ROW(INDIRECT("1:"&amp;MIN(24,COUNT('For stats end Y points'!$B96:C96))))))</f>
        <v>0</v>
      </c>
      <c r="D96" cm="1">
        <f t="array" aca="1" ref="D96" ca="1">SUMPRODUCT(LARGE('For stats end Y points'!$B96:D96,ROW(INDIRECT("1:"&amp;MIN(24,COUNT('For stats end Y points'!$B96:D96))))))</f>
        <v>4</v>
      </c>
      <c r="E96" cm="1">
        <f t="array" aca="1" ref="E96" ca="1">SUMPRODUCT(LARGE('For stats end Y points'!$B96:E96,ROW(INDIRECT("1:"&amp;MIN(24,COUNT('For stats end Y points'!$B96:E96))))))</f>
        <v>13</v>
      </c>
      <c r="F96" cm="1">
        <f t="array" aca="1" ref="F96" ca="1">SUMPRODUCT(LARGE('For stats end Y points'!$B96:F96,ROW(INDIRECT("1:"&amp;MIN(24,COUNT('For stats end Y points'!$B96:F96))))))</f>
        <v>26</v>
      </c>
      <c r="G96" cm="1">
        <f t="array" aca="1" ref="G96" ca="1">SUMPRODUCT(LARGE('For stats end Y points'!$B96:G96,ROW(INDIRECT("1:"&amp;MIN(24,COUNT('For stats end Y points'!$B96:G96))))))</f>
        <v>39</v>
      </c>
      <c r="H96" cm="1">
        <f t="array" aca="1" ref="H96" ca="1">SUMPRODUCT(LARGE('For stats end Y points'!$B96:H96,ROW(INDIRECT("1:"&amp;MIN(24,COUNT('For stats end Y points'!$B96:H96))))))</f>
        <v>56</v>
      </c>
      <c r="I96" cm="1">
        <f t="array" aca="1" ref="I96" ca="1">SUMPRODUCT(LARGE('For stats end Y points'!$B96:I96,ROW(INDIRECT("1:"&amp;MIN(24,COUNT('For stats end Y points'!$B96:I96))))))</f>
        <v>65</v>
      </c>
      <c r="J96" cm="1">
        <f t="array" aca="1" ref="J96" ca="1">SUMPRODUCT(LARGE('For stats end Y points'!$B96:J96,ROW(INDIRECT("1:"&amp;MIN(24,COUNT('For stats end Y points'!$B96:J96))))))</f>
        <v>78</v>
      </c>
      <c r="K96" cm="1">
        <f t="array" aca="1" ref="K96" ca="1">SUMPRODUCT(LARGE('For stats end Y points'!$B96:K96,ROW(INDIRECT("1:"&amp;MIN(24,COUNT('For stats end Y points'!$B96:K96))))))</f>
        <v>94</v>
      </c>
      <c r="L96" cm="1">
        <f t="array" aca="1" ref="L96" ca="1">SUMPRODUCT(LARGE('For stats end Y points'!$B96:L96,ROW(INDIRECT("1:"&amp;MIN(24,COUNT('For stats end Y points'!$B96:L96))))))</f>
        <v>96</v>
      </c>
      <c r="M96" cm="1">
        <f t="array" aca="1" ref="M96" ca="1">SUMPRODUCT(LARGE('For stats end Y points'!$B96:M96,ROW(INDIRECT("1:"&amp;MIN(24,COUNT('For stats end Y points'!$B96:M96))))))</f>
        <v>97</v>
      </c>
      <c r="N96" cm="1">
        <f t="array" aca="1" ref="N96" ca="1">SUMPRODUCT(LARGE('For stats end Y points'!$B96:N96,ROW(INDIRECT("1:"&amp;MIN(24,COUNT('For stats end Y points'!$B96:N96))))))</f>
        <v>97</v>
      </c>
      <c r="O96" cm="1">
        <f t="array" aca="1" ref="O96" ca="1">SUMPRODUCT(LARGE('For stats end Y points'!$B96:O96,ROW(INDIRECT("1:"&amp;MIN(24,COUNT('For stats end Y points'!$B96:O96))))))</f>
        <v>114</v>
      </c>
      <c r="P96" cm="1">
        <f t="array" aca="1" ref="P96" ca="1">SUMPRODUCT(LARGE('For stats end Y points'!$B96:P96,ROW(INDIRECT("1:"&amp;MIN(24,COUNT('For stats end Y points'!$B96:P96))))))</f>
        <v>117</v>
      </c>
      <c r="Q96" cm="1">
        <f t="array" aca="1" ref="Q96" ca="1">SUMPRODUCT(LARGE('For stats end Y points'!$B96:Q96,ROW(INDIRECT("1:"&amp;MIN(24,COUNT('For stats end Y points'!$B96:Q96))))))</f>
        <v>117</v>
      </c>
      <c r="R96" cm="1">
        <f t="array" aca="1" ref="R96" ca="1">SUMPRODUCT(LARGE('For stats end Y points'!$B96:R96,ROW(INDIRECT("1:"&amp;MIN(24,COUNT('For stats end Y points'!$B96:R96))))))</f>
        <v>117</v>
      </c>
      <c r="S96" cm="1">
        <f t="array" aca="1" ref="S96" ca="1">SUMPRODUCT(LARGE('For stats end Y points'!$B96:S96,ROW(INDIRECT("1:"&amp;MIN(24,COUNT('For stats end Y points'!$B96:S96))))))</f>
        <v>117</v>
      </c>
      <c r="T96" cm="1">
        <f t="array" aca="1" ref="T96" ca="1">SUMPRODUCT(LARGE('For stats end Y points'!$B96:T96,ROW(INDIRECT("1:"&amp;MIN(24,COUNT('For stats end Y points'!$B96:T96))))))</f>
        <v>133</v>
      </c>
      <c r="U96" cm="1">
        <f t="array" aca="1" ref="U96" ca="1">SUMPRODUCT(LARGE('For stats end Y points'!$B96:U96,ROW(INDIRECT("1:"&amp;MIN(24,COUNT('For stats end Y points'!$B96:U96))))))</f>
        <v>133</v>
      </c>
      <c r="V96" cm="1">
        <f t="array" aca="1" ref="V96" ca="1">SUMPRODUCT(LARGE('For stats end Y points'!$B96:V96,ROW(INDIRECT("1:"&amp;MIN(24,COUNT('For stats end Y points'!$B96:V96))))))</f>
        <v>133</v>
      </c>
      <c r="W96" cm="1">
        <f t="array" aca="1" ref="W96" ca="1">SUMPRODUCT(LARGE('For stats end Y points'!$B96:W96,ROW(INDIRECT("1:"&amp;MIN(24,COUNT('For stats end Y points'!$B96:W96))))))</f>
        <v>133</v>
      </c>
      <c r="X96" cm="1">
        <f t="array" aca="1" ref="X96" ca="1">SUMPRODUCT(LARGE('For stats end Y points'!$B96:X96,ROW(INDIRECT("1:"&amp;MIN(24,COUNT('For stats end Y points'!$B96:X96))))))</f>
        <v>133</v>
      </c>
      <c r="Y96" cm="1">
        <f t="array" aca="1" ref="Y96" ca="1">SUMPRODUCT(LARGE('For stats end Y points'!$B96:Y96,ROW(INDIRECT("1:"&amp;MIN(24,COUNT('For stats end Y points'!$B96:Y96))))))</f>
        <v>133</v>
      </c>
      <c r="Z96" cm="1">
        <f t="array" aca="1" ref="Z96" ca="1">SUMPRODUCT(LARGE('For stats end Y points'!$B96:Z96,ROW(INDIRECT("1:"&amp;MIN(24,COUNT('For stats end Y points'!$B96:Z96))))))</f>
        <v>133</v>
      </c>
      <c r="AA96" cm="1">
        <f t="array" aca="1" ref="AA96" ca="1">SUMPRODUCT(LARGE('For stats end Y points'!$B96:AA96,ROW(INDIRECT("1:"&amp;MIN(24,COUNT('For stats end Y points'!$B96:AA96))))))</f>
        <v>133</v>
      </c>
      <c r="AB96" cm="1">
        <f t="array" aca="1" ref="AB96" ca="1">SUMPRODUCT(LARGE('For stats end Y points'!$B96:AB96,ROW(INDIRECT("1:"&amp;MIN(24,COUNT('For stats end Y points'!$B96:AB96))))))</f>
        <v>133</v>
      </c>
      <c r="AC96" cm="1">
        <f t="array" aca="1" ref="AC96" ca="1">SUMPRODUCT(LARGE('For stats end Y points'!$B96:AC96,ROW(INDIRECT("1:"&amp;MIN(24,COUNT('For stats end Y points'!$B96:AC96))))))</f>
        <v>137</v>
      </c>
      <c r="AD96" cm="1">
        <f t="array" aca="1" ref="AD96" ca="1">SUMPRODUCT(LARGE('For stats end Y points'!$B96:AD96,ROW(INDIRECT("1:"&amp;MIN(24,COUNT('For stats end Y points'!$B96:AD96))))))</f>
        <v>149</v>
      </c>
      <c r="AE96" cm="1">
        <f t="array" aca="1" ref="AE96" ca="1">SUMPRODUCT(LARGE('For stats end Y points'!$B96:AE96,ROW(INDIRECT("1:"&amp;MIN(24,COUNT('For stats end Y points'!$B96:AE96))))))</f>
        <v>157</v>
      </c>
      <c r="AF96" cm="1">
        <f t="array" aca="1" ref="AF96" ca="1">SUMPRODUCT(LARGE('For stats end Y points'!$B96:AF96,ROW(INDIRECT("1:"&amp;MIN(24,COUNT('For stats end Y points'!$B96:AF96))))))</f>
        <v>157</v>
      </c>
      <c r="AG96" cm="1">
        <f t="array" aca="1" ref="AG96" ca="1">SUMPRODUCT(LARGE('For stats end Y points'!$B96:AG96,ROW(INDIRECT("1:"&amp;MIN(24,COUNT('For stats end Y points'!$B96:AG96))))))</f>
        <v>173</v>
      </c>
      <c r="AH96" cm="1">
        <f t="array" aca="1" ref="AH96" ca="1">SUMPRODUCT(LARGE('For stats end Y points'!$B96:AH96,ROW(INDIRECT("1:"&amp;MIN(24,COUNT('For stats end Y points'!$B96:AH96))))))</f>
        <v>173</v>
      </c>
      <c r="AP96" s="10">
        <f t="shared" si="1"/>
        <v>0</v>
      </c>
      <c r="AQ96">
        <f>'For stats end Y class'!AU96</f>
        <v>17</v>
      </c>
    </row>
    <row r="97" spans="1:43" x14ac:dyDescent="0.2">
      <c r="A97" t="str">
        <f>'For stats end Y points'!A97</f>
        <v>TheRealWill</v>
      </c>
      <c r="B97" cm="1">
        <f t="array" aca="1" ref="B97" ca="1">SUMPRODUCT(LARGE('For stats end Y points'!$B97:B97,ROW(INDIRECT("1:"&amp;MIN(24,COUNT('For stats end Y points'!$B97:B97))))))</f>
        <v>0</v>
      </c>
      <c r="C97" cm="1">
        <f t="array" aca="1" ref="C97" ca="1">SUMPRODUCT(LARGE('For stats end Y points'!$B97:C97,ROW(INDIRECT("1:"&amp;MIN(24,COUNT('For stats end Y points'!$B97:C97))))))</f>
        <v>0</v>
      </c>
      <c r="D97" cm="1">
        <f t="array" aca="1" ref="D97" ca="1">SUMPRODUCT(LARGE('For stats end Y points'!$B97:D97,ROW(INDIRECT("1:"&amp;MIN(24,COUNT('For stats end Y points'!$B97:D97))))))</f>
        <v>4</v>
      </c>
      <c r="E97" cm="1">
        <f t="array" aca="1" ref="E97" ca="1">SUMPRODUCT(LARGE('For stats end Y points'!$B97:E97,ROW(INDIRECT("1:"&amp;MIN(24,COUNT('For stats end Y points'!$B97:E97))))))</f>
        <v>5</v>
      </c>
      <c r="F97" cm="1">
        <f t="array" aca="1" ref="F97" ca="1">SUMPRODUCT(LARGE('For stats end Y points'!$B97:F97,ROW(INDIRECT("1:"&amp;MIN(24,COUNT('For stats end Y points'!$B97:F97))))))</f>
        <v>5</v>
      </c>
      <c r="G97" cm="1">
        <f t="array" aca="1" ref="G97" ca="1">SUMPRODUCT(LARGE('For stats end Y points'!$B97:G97,ROW(INDIRECT("1:"&amp;MIN(24,COUNT('For stats end Y points'!$B97:G97))))))</f>
        <v>22</v>
      </c>
      <c r="H97" cm="1">
        <f t="array" aca="1" ref="H97" ca="1">SUMPRODUCT(LARGE('For stats end Y points'!$B97:H97,ROW(INDIRECT("1:"&amp;MIN(24,COUNT('For stats end Y points'!$B97:H97))))))</f>
        <v>38</v>
      </c>
      <c r="I97" cm="1">
        <f t="array" aca="1" ref="I97" ca="1">SUMPRODUCT(LARGE('For stats end Y points'!$B97:I97,ROW(INDIRECT("1:"&amp;MIN(24,COUNT('For stats end Y points'!$B97:I97))))))</f>
        <v>40</v>
      </c>
      <c r="J97" cm="1">
        <f t="array" aca="1" ref="J97" ca="1">SUMPRODUCT(LARGE('For stats end Y points'!$B97:J97,ROW(INDIRECT("1:"&amp;MIN(24,COUNT('For stats end Y points'!$B97:J97))))))</f>
        <v>42</v>
      </c>
      <c r="K97" cm="1">
        <f t="array" aca="1" ref="K97" ca="1">SUMPRODUCT(LARGE('For stats end Y points'!$B97:K97,ROW(INDIRECT("1:"&amp;MIN(24,COUNT('For stats end Y points'!$B97:K97))))))</f>
        <v>57</v>
      </c>
      <c r="L97" cm="1">
        <f t="array" aca="1" ref="L97" ca="1">SUMPRODUCT(LARGE('For stats end Y points'!$B97:L97,ROW(INDIRECT("1:"&amp;MIN(24,COUNT('For stats end Y points'!$B97:L97))))))</f>
        <v>69</v>
      </c>
      <c r="M97" cm="1">
        <f t="array" aca="1" ref="M97" ca="1">SUMPRODUCT(LARGE('For stats end Y points'!$B97:M97,ROW(INDIRECT("1:"&amp;MIN(24,COUNT('For stats end Y points'!$B97:M97))))))</f>
        <v>82</v>
      </c>
      <c r="N97" cm="1">
        <f t="array" aca="1" ref="N97" ca="1">SUMPRODUCT(LARGE('For stats end Y points'!$B97:N97,ROW(INDIRECT("1:"&amp;MIN(24,COUNT('For stats end Y points'!$B97:N97))))))</f>
        <v>98</v>
      </c>
      <c r="O97" cm="1">
        <f t="array" aca="1" ref="O97" ca="1">SUMPRODUCT(LARGE('For stats end Y points'!$B97:O97,ROW(INDIRECT("1:"&amp;MIN(24,COUNT('For stats end Y points'!$B97:O97))))))</f>
        <v>99</v>
      </c>
      <c r="P97" cm="1">
        <f t="array" aca="1" ref="P97" ca="1">SUMPRODUCT(LARGE('For stats end Y points'!$B97:P97,ROW(INDIRECT("1:"&amp;MIN(24,COUNT('For stats end Y points'!$B97:P97))))))</f>
        <v>99</v>
      </c>
      <c r="Q97" cm="1">
        <f t="array" aca="1" ref="Q97" ca="1">SUMPRODUCT(LARGE('For stats end Y points'!$B97:Q97,ROW(INDIRECT("1:"&amp;MIN(24,COUNT('For stats end Y points'!$B97:Q97))))))</f>
        <v>99</v>
      </c>
      <c r="R97" cm="1">
        <f t="array" aca="1" ref="R97" ca="1">SUMPRODUCT(LARGE('For stats end Y points'!$B97:R97,ROW(INDIRECT("1:"&amp;MIN(24,COUNT('For stats end Y points'!$B97:R97))))))</f>
        <v>101</v>
      </c>
      <c r="S97" cm="1">
        <f t="array" aca="1" ref="S97" ca="1">SUMPRODUCT(LARGE('For stats end Y points'!$B97:S97,ROW(INDIRECT("1:"&amp;MIN(24,COUNT('For stats end Y points'!$B97:S97))))))</f>
        <v>104</v>
      </c>
      <c r="T97" cm="1">
        <f t="array" aca="1" ref="T97" ca="1">SUMPRODUCT(LARGE('For stats end Y points'!$B97:T97,ROW(INDIRECT("1:"&amp;MIN(24,COUNT('For stats end Y points'!$B97:T97))))))</f>
        <v>104</v>
      </c>
      <c r="U97" cm="1">
        <f t="array" aca="1" ref="U97" ca="1">SUMPRODUCT(LARGE('For stats end Y points'!$B97:U97,ROW(INDIRECT("1:"&amp;MIN(24,COUNT('For stats end Y points'!$B97:U97))))))</f>
        <v>105</v>
      </c>
      <c r="V97" cm="1">
        <f t="array" aca="1" ref="V97" ca="1">SUMPRODUCT(LARGE('For stats end Y points'!$B97:V97,ROW(INDIRECT("1:"&amp;MIN(24,COUNT('For stats end Y points'!$B97:V97))))))</f>
        <v>107</v>
      </c>
      <c r="W97" cm="1">
        <f t="array" aca="1" ref="W97" ca="1">SUMPRODUCT(LARGE('For stats end Y points'!$B97:W97,ROW(INDIRECT("1:"&amp;MIN(24,COUNT('For stats end Y points'!$B97:W97))))))</f>
        <v>123</v>
      </c>
      <c r="X97" cm="1">
        <f t="array" aca="1" ref="X97" ca="1">SUMPRODUCT(LARGE('For stats end Y points'!$B97:X97,ROW(INDIRECT("1:"&amp;MIN(24,COUNT('For stats end Y points'!$B97:X97))))))</f>
        <v>136</v>
      </c>
      <c r="Y97" cm="1">
        <f t="array" aca="1" ref="Y97" ca="1">SUMPRODUCT(LARGE('For stats end Y points'!$B97:Y97,ROW(INDIRECT("1:"&amp;MIN(24,COUNT('For stats end Y points'!$B97:Y97))))))</f>
        <v>141</v>
      </c>
      <c r="Z97" cm="1">
        <f t="array" aca="1" ref="Z97" ca="1">SUMPRODUCT(LARGE('For stats end Y points'!$B97:Z97,ROW(INDIRECT("1:"&amp;MIN(24,COUNT('For stats end Y points'!$B97:Z97))))))</f>
        <v>158</v>
      </c>
      <c r="AA97" cm="1">
        <f t="array" aca="1" ref="AA97" ca="1">SUMPRODUCT(LARGE('For stats end Y points'!$B97:AA97,ROW(INDIRECT("1:"&amp;MIN(24,COUNT('For stats end Y points'!$B97:AA97))))))</f>
        <v>162</v>
      </c>
      <c r="AB97" cm="1">
        <f t="array" aca="1" ref="AB97" ca="1">SUMPRODUCT(LARGE('For stats end Y points'!$B97:AB97,ROW(INDIRECT("1:"&amp;MIN(24,COUNT('For stats end Y points'!$B97:AB97))))))</f>
        <v>165</v>
      </c>
      <c r="AC97" cm="1">
        <f t="array" aca="1" ref="AC97" ca="1">SUMPRODUCT(LARGE('For stats end Y points'!$B97:AC97,ROW(INDIRECT("1:"&amp;MIN(24,COUNT('For stats end Y points'!$B97:AC97))))))</f>
        <v>168</v>
      </c>
      <c r="AD97" cm="1">
        <f t="array" aca="1" ref="AD97" ca="1">SUMPRODUCT(LARGE('For stats end Y points'!$B97:AD97,ROW(INDIRECT("1:"&amp;MIN(24,COUNT('For stats end Y points'!$B97:AD97))))))</f>
        <v>176</v>
      </c>
      <c r="AE97" cm="1">
        <f t="array" aca="1" ref="AE97" ca="1">SUMPRODUCT(LARGE('For stats end Y points'!$B97:AE97,ROW(INDIRECT("1:"&amp;MIN(24,COUNT('For stats end Y points'!$B97:AE97))))))</f>
        <v>178</v>
      </c>
      <c r="AF97" cm="1">
        <f t="array" aca="1" ref="AF97" ca="1">SUMPRODUCT(LARGE('For stats end Y points'!$B97:AF97,ROW(INDIRECT("1:"&amp;MIN(24,COUNT('For stats end Y points'!$B97:AF97))))))</f>
        <v>178</v>
      </c>
      <c r="AG97" cm="1">
        <f t="array" aca="1" ref="AG97" ca="1">SUMPRODUCT(LARGE('For stats end Y points'!$B97:AG97,ROW(INDIRECT("1:"&amp;MIN(24,COUNT('For stats end Y points'!$B97:AG97))))))</f>
        <v>181</v>
      </c>
      <c r="AH97" cm="1">
        <f t="array" aca="1" ref="AH97" ca="1">SUMPRODUCT(LARGE('For stats end Y points'!$B97:AH97,ROW(INDIRECT("1:"&amp;MIN(24,COUNT('For stats end Y points'!$B97:AH97))))))</f>
        <v>196</v>
      </c>
      <c r="AP97" s="10">
        <f t="shared" si="1"/>
        <v>0</v>
      </c>
      <c r="AQ97">
        <f>'For stats end Y class'!AU97</f>
        <v>27</v>
      </c>
    </row>
    <row r="98" spans="1:43" x14ac:dyDescent="0.2">
      <c r="A98" t="str">
        <f>'For stats end Y points'!A98</f>
        <v>Thibaultp75</v>
      </c>
      <c r="B98" cm="1">
        <f t="array" aca="1" ref="B98" ca="1">SUMPRODUCT(LARGE('For stats end Y points'!$B98:B98,ROW(INDIRECT("1:"&amp;MIN(24,COUNT('For stats end Y points'!$B98:B98))))))</f>
        <v>2</v>
      </c>
      <c r="C98" cm="1">
        <f t="array" aca="1" ref="C98" ca="1">SUMPRODUCT(LARGE('For stats end Y points'!$B98:C98,ROW(INDIRECT("1:"&amp;MIN(24,COUNT('For stats end Y points'!$B98:C98))))))</f>
        <v>19</v>
      </c>
      <c r="D98" cm="1">
        <f t="array" aca="1" ref="D98" ca="1">SUMPRODUCT(LARGE('For stats end Y points'!$B98:D98,ROW(INDIRECT("1:"&amp;MIN(24,COUNT('For stats end Y points'!$B98:D98))))))</f>
        <v>20</v>
      </c>
      <c r="E98" cm="1">
        <f t="array" aca="1" ref="E98" ca="1">SUMPRODUCT(LARGE('For stats end Y points'!$B98:E98,ROW(INDIRECT("1:"&amp;MIN(24,COUNT('For stats end Y points'!$B98:E98))))))</f>
        <v>21</v>
      </c>
      <c r="F98" cm="1">
        <f t="array" aca="1" ref="F98" ca="1">SUMPRODUCT(LARGE('For stats end Y points'!$B98:F98,ROW(INDIRECT("1:"&amp;MIN(24,COUNT('For stats end Y points'!$B98:F98))))))</f>
        <v>22</v>
      </c>
      <c r="G98" cm="1">
        <f t="array" aca="1" ref="G98" ca="1">SUMPRODUCT(LARGE('For stats end Y points'!$B98:G98,ROW(INDIRECT("1:"&amp;MIN(24,COUNT('For stats end Y points'!$B98:G98))))))</f>
        <v>31</v>
      </c>
      <c r="H98" cm="1">
        <f t="array" aca="1" ref="H98" ca="1">SUMPRODUCT(LARGE('For stats end Y points'!$B98:H98,ROW(INDIRECT("1:"&amp;MIN(24,COUNT('For stats end Y points'!$B98:H98))))))</f>
        <v>31</v>
      </c>
      <c r="I98" cm="1">
        <f t="array" aca="1" ref="I98" ca="1">SUMPRODUCT(LARGE('For stats end Y points'!$B98:I98,ROW(INDIRECT("1:"&amp;MIN(24,COUNT('For stats end Y points'!$B98:I98))))))</f>
        <v>43</v>
      </c>
      <c r="J98" cm="1">
        <f t="array" aca="1" ref="J98" ca="1">SUMPRODUCT(LARGE('For stats end Y points'!$B98:J98,ROW(INDIRECT("1:"&amp;MIN(24,COUNT('For stats end Y points'!$B98:J98))))))</f>
        <v>44</v>
      </c>
      <c r="K98" cm="1">
        <f t="array" aca="1" ref="K98" ca="1">SUMPRODUCT(LARGE('For stats end Y points'!$B98:K98,ROW(INDIRECT("1:"&amp;MIN(24,COUNT('For stats end Y points'!$B98:K98))))))</f>
        <v>45</v>
      </c>
      <c r="L98" cm="1">
        <f t="array" aca="1" ref="L98" ca="1">SUMPRODUCT(LARGE('For stats end Y points'!$B98:L98,ROW(INDIRECT("1:"&amp;MIN(24,COUNT('For stats end Y points'!$B98:L98))))))</f>
        <v>46</v>
      </c>
      <c r="M98" cm="1">
        <f t="array" aca="1" ref="M98" ca="1">SUMPRODUCT(LARGE('For stats end Y points'!$B98:M98,ROW(INDIRECT("1:"&amp;MIN(24,COUNT('For stats end Y points'!$B98:M98))))))</f>
        <v>48</v>
      </c>
      <c r="N98" cm="1">
        <f t="array" aca="1" ref="N98" ca="1">SUMPRODUCT(LARGE('For stats end Y points'!$B98:N98,ROW(INDIRECT("1:"&amp;MIN(24,COUNT('For stats end Y points'!$B98:N98))))))</f>
        <v>60</v>
      </c>
      <c r="O98" cm="1">
        <f t="array" aca="1" ref="O98" ca="1">SUMPRODUCT(LARGE('For stats end Y points'!$B98:O98,ROW(INDIRECT("1:"&amp;MIN(24,COUNT('For stats end Y points'!$B98:O98))))))</f>
        <v>76</v>
      </c>
      <c r="P98" cm="1">
        <f t="array" aca="1" ref="P98" ca="1">SUMPRODUCT(LARGE('For stats end Y points'!$B98:P98,ROW(INDIRECT("1:"&amp;MIN(24,COUNT('For stats end Y points'!$B98:P98))))))</f>
        <v>78</v>
      </c>
      <c r="Q98" cm="1">
        <f t="array" aca="1" ref="Q98" ca="1">SUMPRODUCT(LARGE('For stats end Y points'!$B98:Q98,ROW(INDIRECT("1:"&amp;MIN(24,COUNT('For stats end Y points'!$B98:Q98))))))</f>
        <v>78</v>
      </c>
      <c r="R98" cm="1">
        <f t="array" aca="1" ref="R98" ca="1">SUMPRODUCT(LARGE('For stats end Y points'!$B98:R98,ROW(INDIRECT("1:"&amp;MIN(24,COUNT('For stats end Y points'!$B98:R98))))))</f>
        <v>82</v>
      </c>
      <c r="S98" cm="1">
        <f t="array" aca="1" ref="S98" ca="1">SUMPRODUCT(LARGE('For stats end Y points'!$B98:S98,ROW(INDIRECT("1:"&amp;MIN(24,COUNT('For stats end Y points'!$B98:S98))))))</f>
        <v>82</v>
      </c>
      <c r="T98" cm="1">
        <f t="array" aca="1" ref="T98" ca="1">SUMPRODUCT(LARGE('For stats end Y points'!$B98:T98,ROW(INDIRECT("1:"&amp;MIN(24,COUNT('For stats end Y points'!$B98:T98))))))</f>
        <v>90</v>
      </c>
      <c r="U98" cm="1">
        <f t="array" aca="1" ref="U98" ca="1">SUMPRODUCT(LARGE('For stats end Y points'!$B98:U98,ROW(INDIRECT("1:"&amp;MIN(24,COUNT('For stats end Y points'!$B98:U98))))))</f>
        <v>106</v>
      </c>
      <c r="V98" cm="1">
        <f t="array" aca="1" ref="V98" ca="1">SUMPRODUCT(LARGE('For stats end Y points'!$B98:V98,ROW(INDIRECT("1:"&amp;MIN(24,COUNT('For stats end Y points'!$B98:V98))))))</f>
        <v>107</v>
      </c>
      <c r="W98" cm="1">
        <f t="array" aca="1" ref="W98" ca="1">SUMPRODUCT(LARGE('For stats end Y points'!$B98:W98,ROW(INDIRECT("1:"&amp;MIN(24,COUNT('For stats end Y points'!$B98:W98))))))</f>
        <v>107</v>
      </c>
      <c r="X98" cm="1">
        <f t="array" aca="1" ref="X98" ca="1">SUMPRODUCT(LARGE('For stats end Y points'!$B98:X98,ROW(INDIRECT("1:"&amp;MIN(24,COUNT('For stats end Y points'!$B98:X98))))))</f>
        <v>108</v>
      </c>
      <c r="Y98" cm="1">
        <f t="array" aca="1" ref="Y98" ca="1">SUMPRODUCT(LARGE('For stats end Y points'!$B98:Y98,ROW(INDIRECT("1:"&amp;MIN(24,COUNT('For stats end Y points'!$B98:Y98))))))</f>
        <v>121</v>
      </c>
      <c r="Z98" cm="1">
        <f t="array" aca="1" ref="Z98" ca="1">SUMPRODUCT(LARGE('For stats end Y points'!$B98:Z98,ROW(INDIRECT("1:"&amp;MIN(24,COUNT('For stats end Y points'!$B98:Z98))))))</f>
        <v>122</v>
      </c>
      <c r="AA98" cm="1">
        <f t="array" aca="1" ref="AA98" ca="1">SUMPRODUCT(LARGE('For stats end Y points'!$B98:AA98,ROW(INDIRECT("1:"&amp;MIN(24,COUNT('For stats end Y points'!$B98:AA98))))))</f>
        <v>130</v>
      </c>
      <c r="AB98" cm="1">
        <f t="array" aca="1" ref="AB98" ca="1">SUMPRODUCT(LARGE('For stats end Y points'!$B98:AB98,ROW(INDIRECT("1:"&amp;MIN(24,COUNT('For stats end Y points'!$B98:AB98))))))</f>
        <v>130</v>
      </c>
      <c r="AC98" cm="1">
        <f t="array" aca="1" ref="AC98" ca="1">SUMPRODUCT(LARGE('For stats end Y points'!$B98:AC98,ROW(INDIRECT("1:"&amp;MIN(24,COUNT('For stats end Y points'!$B98:AC98))))))</f>
        <v>132</v>
      </c>
      <c r="AD98" cm="1">
        <f t="array" aca="1" ref="AD98" ca="1">SUMPRODUCT(LARGE('For stats end Y points'!$B98:AD98,ROW(INDIRECT("1:"&amp;MIN(24,COUNT('For stats end Y points'!$B98:AD98))))))</f>
        <v>132</v>
      </c>
      <c r="AE98" cm="1">
        <f t="array" aca="1" ref="AE98" ca="1">SUMPRODUCT(LARGE('For stats end Y points'!$B98:AE98,ROW(INDIRECT("1:"&amp;MIN(24,COUNT('For stats end Y points'!$B98:AE98))))))</f>
        <v>133</v>
      </c>
      <c r="AF98" cm="1">
        <f t="array" aca="1" ref="AF98" ca="1">SUMPRODUCT(LARGE('For stats end Y points'!$B98:AF98,ROW(INDIRECT("1:"&amp;MIN(24,COUNT('For stats end Y points'!$B98:AF98))))))</f>
        <v>144</v>
      </c>
      <c r="AG98" cm="1">
        <f t="array" aca="1" ref="AG98" ca="1">SUMPRODUCT(LARGE('For stats end Y points'!$B98:AG98,ROW(INDIRECT("1:"&amp;MIN(24,COUNT('For stats end Y points'!$B98:AG98))))))</f>
        <v>144</v>
      </c>
      <c r="AH98" cm="1">
        <f t="array" aca="1" ref="AH98" ca="1">SUMPRODUCT(LARGE('For stats end Y points'!$B98:AH98,ROW(INDIRECT("1:"&amp;MIN(24,COUNT('For stats end Y points'!$B98:AH98))))))</f>
        <v>145</v>
      </c>
      <c r="AP98" s="10">
        <f t="shared" si="1"/>
        <v>0</v>
      </c>
      <c r="AQ98">
        <f>'For stats end Y class'!AU98</f>
        <v>27</v>
      </c>
    </row>
    <row r="99" spans="1:43" x14ac:dyDescent="0.2">
      <c r="A99" t="str">
        <f>'For stats end Y points'!A99</f>
        <v>Toinou</v>
      </c>
      <c r="B99" cm="1">
        <f t="array" aca="1" ref="B99" ca="1">SUMPRODUCT(LARGE('For stats end Y points'!$B99:B99,ROW(INDIRECT("1:"&amp;MIN(24,COUNT('For stats end Y points'!$B99:B99))))))</f>
        <v>0</v>
      </c>
      <c r="C99" cm="1">
        <f t="array" aca="1" ref="C99" ca="1">SUMPRODUCT(LARGE('For stats end Y points'!$B99:C99,ROW(INDIRECT("1:"&amp;MIN(24,COUNT('For stats end Y points'!$B99:C99))))))</f>
        <v>0</v>
      </c>
      <c r="D99" cm="1">
        <f t="array" aca="1" ref="D99" ca="1">SUMPRODUCT(LARGE('For stats end Y points'!$B99:D99,ROW(INDIRECT("1:"&amp;MIN(24,COUNT('For stats end Y points'!$B99:D99))))))</f>
        <v>2</v>
      </c>
      <c r="E99" cm="1">
        <f t="array" aca="1" ref="E99" ca="1">SUMPRODUCT(LARGE('For stats end Y points'!$B99:E99,ROW(INDIRECT("1:"&amp;MIN(24,COUNT('For stats end Y points'!$B99:E99))))))</f>
        <v>15</v>
      </c>
      <c r="F99" cm="1">
        <f t="array" aca="1" ref="F99" ca="1">SUMPRODUCT(LARGE('For stats end Y points'!$B99:F99,ROW(INDIRECT("1:"&amp;MIN(24,COUNT('For stats end Y points'!$B99:F99))))))</f>
        <v>15</v>
      </c>
      <c r="G99" cm="1">
        <f t="array" aca="1" ref="G99" ca="1">SUMPRODUCT(LARGE('For stats end Y points'!$B99:G99,ROW(INDIRECT("1:"&amp;MIN(24,COUNT('For stats end Y points'!$B99:G99))))))</f>
        <v>23</v>
      </c>
      <c r="H99" cm="1">
        <f t="array" aca="1" ref="H99" ca="1">SUMPRODUCT(LARGE('For stats end Y points'!$B99:H99,ROW(INDIRECT("1:"&amp;MIN(24,COUNT('For stats end Y points'!$B99:H99))))))</f>
        <v>23</v>
      </c>
      <c r="I99" cm="1">
        <f t="array" aca="1" ref="I99" ca="1">SUMPRODUCT(LARGE('For stats end Y points'!$B99:I99,ROW(INDIRECT("1:"&amp;MIN(24,COUNT('For stats end Y points'!$B99:I99))))))</f>
        <v>23</v>
      </c>
      <c r="J99" cm="1">
        <f t="array" aca="1" ref="J99" ca="1">SUMPRODUCT(LARGE('For stats end Y points'!$B99:J99,ROW(INDIRECT("1:"&amp;MIN(24,COUNT('For stats end Y points'!$B99:J99))))))</f>
        <v>35</v>
      </c>
      <c r="K99" cm="1">
        <f t="array" aca="1" ref="K99" ca="1">SUMPRODUCT(LARGE('For stats end Y points'!$B99:K99,ROW(INDIRECT("1:"&amp;MIN(24,COUNT('For stats end Y points'!$B99:K99))))))</f>
        <v>35</v>
      </c>
      <c r="L99" cm="1">
        <f t="array" aca="1" ref="L99" ca="1">SUMPRODUCT(LARGE('For stats end Y points'!$B99:L99,ROW(INDIRECT("1:"&amp;MIN(24,COUNT('For stats end Y points'!$B99:L99))))))</f>
        <v>36</v>
      </c>
      <c r="M99" cm="1">
        <f t="array" aca="1" ref="M99" ca="1">SUMPRODUCT(LARGE('For stats end Y points'!$B99:M99,ROW(INDIRECT("1:"&amp;MIN(24,COUNT('For stats end Y points'!$B99:M99))))))</f>
        <v>36</v>
      </c>
      <c r="N99" cm="1">
        <f t="array" aca="1" ref="N99" ca="1">SUMPRODUCT(LARGE('For stats end Y points'!$B99:N99,ROW(INDIRECT("1:"&amp;MIN(24,COUNT('For stats end Y points'!$B99:N99))))))</f>
        <v>52</v>
      </c>
      <c r="O99" cm="1">
        <f t="array" aca="1" ref="O99" ca="1">SUMPRODUCT(LARGE('For stats end Y points'!$B99:O99,ROW(INDIRECT("1:"&amp;MIN(24,COUNT('For stats end Y points'!$B99:O99))))))</f>
        <v>52</v>
      </c>
      <c r="P99" cm="1">
        <f t="array" aca="1" ref="P99" ca="1">SUMPRODUCT(LARGE('For stats end Y points'!$B99:P99,ROW(INDIRECT("1:"&amp;MIN(24,COUNT('For stats end Y points'!$B99:P99))))))</f>
        <v>52</v>
      </c>
      <c r="Q99" cm="1">
        <f t="array" aca="1" ref="Q99" ca="1">SUMPRODUCT(LARGE('For stats end Y points'!$B99:Q99,ROW(INDIRECT("1:"&amp;MIN(24,COUNT('For stats end Y points'!$B99:Q99))))))</f>
        <v>52</v>
      </c>
      <c r="R99" cm="1">
        <f t="array" aca="1" ref="R99" ca="1">SUMPRODUCT(LARGE('For stats end Y points'!$B99:R99,ROW(INDIRECT("1:"&amp;MIN(24,COUNT('For stats end Y points'!$B99:R99))))))</f>
        <v>52</v>
      </c>
      <c r="S99" cm="1">
        <f t="array" aca="1" ref="S99" ca="1">SUMPRODUCT(LARGE('For stats end Y points'!$B99:S99,ROW(INDIRECT("1:"&amp;MIN(24,COUNT('For stats end Y points'!$B99:S99))))))</f>
        <v>61</v>
      </c>
      <c r="T99" cm="1">
        <f t="array" aca="1" ref="T99" ca="1">SUMPRODUCT(LARGE('For stats end Y points'!$B99:T99,ROW(INDIRECT("1:"&amp;MIN(24,COUNT('For stats end Y points'!$B99:T99))))))</f>
        <v>61</v>
      </c>
      <c r="U99" cm="1">
        <f t="array" aca="1" ref="U99" ca="1">SUMPRODUCT(LARGE('For stats end Y points'!$B99:U99,ROW(INDIRECT("1:"&amp;MIN(24,COUNT('For stats end Y points'!$B99:U99))))))</f>
        <v>61</v>
      </c>
      <c r="V99" cm="1">
        <f t="array" aca="1" ref="V99" ca="1">SUMPRODUCT(LARGE('For stats end Y points'!$B99:V99,ROW(INDIRECT("1:"&amp;MIN(24,COUNT('For stats end Y points'!$B99:V99))))))</f>
        <v>61</v>
      </c>
      <c r="W99" cm="1">
        <f t="array" aca="1" ref="W99" ca="1">SUMPRODUCT(LARGE('For stats end Y points'!$B99:W99,ROW(INDIRECT("1:"&amp;MIN(24,COUNT('For stats end Y points'!$B99:W99))))))</f>
        <v>64</v>
      </c>
      <c r="X99" cm="1">
        <f t="array" aca="1" ref="X99" ca="1">SUMPRODUCT(LARGE('For stats end Y points'!$B99:X99,ROW(INDIRECT("1:"&amp;MIN(24,COUNT('For stats end Y points'!$B99:X99))))))</f>
        <v>64</v>
      </c>
      <c r="Y99" cm="1">
        <f t="array" aca="1" ref="Y99" ca="1">SUMPRODUCT(LARGE('For stats end Y points'!$B99:Y99,ROW(INDIRECT("1:"&amp;MIN(24,COUNT('For stats end Y points'!$B99:Y99))))))</f>
        <v>64</v>
      </c>
      <c r="Z99" cm="1">
        <f t="array" aca="1" ref="Z99" ca="1">SUMPRODUCT(LARGE('For stats end Y points'!$B99:Z99,ROW(INDIRECT("1:"&amp;MIN(24,COUNT('For stats end Y points'!$B99:Z99))))))</f>
        <v>64</v>
      </c>
      <c r="AA99" cm="1">
        <f t="array" aca="1" ref="AA99" ca="1">SUMPRODUCT(LARGE('For stats end Y points'!$B99:AA99,ROW(INDIRECT("1:"&amp;MIN(24,COUNT('For stats end Y points'!$B99:AA99))))))</f>
        <v>64</v>
      </c>
      <c r="AB99" cm="1">
        <f t="array" aca="1" ref="AB99" ca="1">SUMPRODUCT(LARGE('For stats end Y points'!$B99:AB99,ROW(INDIRECT("1:"&amp;MIN(24,COUNT('For stats end Y points'!$B99:AB99))))))</f>
        <v>64</v>
      </c>
      <c r="AC99" cm="1">
        <f t="array" aca="1" ref="AC99" ca="1">SUMPRODUCT(LARGE('For stats end Y points'!$B99:AC99,ROW(INDIRECT("1:"&amp;MIN(24,COUNT('For stats end Y points'!$B99:AC99))))))</f>
        <v>64</v>
      </c>
      <c r="AD99" cm="1">
        <f t="array" aca="1" ref="AD99" ca="1">SUMPRODUCT(LARGE('For stats end Y points'!$B99:AD99,ROW(INDIRECT("1:"&amp;MIN(24,COUNT('For stats end Y points'!$B99:AD99))))))</f>
        <v>64</v>
      </c>
      <c r="AE99" cm="1">
        <f t="array" aca="1" ref="AE99" ca="1">SUMPRODUCT(LARGE('For stats end Y points'!$B99:AE99,ROW(INDIRECT("1:"&amp;MIN(24,COUNT('For stats end Y points'!$B99:AE99))))))</f>
        <v>64</v>
      </c>
      <c r="AF99" cm="1">
        <f t="array" aca="1" ref="AF99" ca="1">SUMPRODUCT(LARGE('For stats end Y points'!$B99:AF99,ROW(INDIRECT("1:"&amp;MIN(24,COUNT('For stats end Y points'!$B99:AF99))))))</f>
        <v>64</v>
      </c>
      <c r="AG99" cm="1">
        <f t="array" aca="1" ref="AG99" ca="1">SUMPRODUCT(LARGE('For stats end Y points'!$B99:AG99,ROW(INDIRECT("1:"&amp;MIN(24,COUNT('For stats end Y points'!$B99:AG99))))))</f>
        <v>64</v>
      </c>
      <c r="AH99" cm="1">
        <f t="array" aca="1" ref="AH99" ca="1">SUMPRODUCT(LARGE('For stats end Y points'!$B99:AH99,ROW(INDIRECT("1:"&amp;MIN(24,COUNT('For stats end Y points'!$B99:AH99))))))</f>
        <v>64</v>
      </c>
      <c r="AP99" s="10">
        <f t="shared" si="1"/>
        <v>0</v>
      </c>
      <c r="AQ99">
        <f>'For stats end Y class'!AU99</f>
        <v>8</v>
      </c>
    </row>
    <row r="100" spans="1:43" x14ac:dyDescent="0.2">
      <c r="A100" t="str">
        <f>'For stats end Y points'!A100</f>
        <v>Tridama</v>
      </c>
      <c r="B100" cm="1">
        <f t="array" aca="1" ref="B100" ca="1">SUMPRODUCT(LARGE('For stats end Y points'!$B100:B100,ROW(INDIRECT("1:"&amp;MIN(24,COUNT('For stats end Y points'!$B100:B100))))))</f>
        <v>8</v>
      </c>
      <c r="C100" cm="1">
        <f t="array" aca="1" ref="C100" ca="1">SUMPRODUCT(LARGE('For stats end Y points'!$B100:C100,ROW(INDIRECT("1:"&amp;MIN(24,COUNT('For stats end Y points'!$B100:C100))))))</f>
        <v>8</v>
      </c>
      <c r="D100" cm="1">
        <f t="array" aca="1" ref="D100" ca="1">SUMPRODUCT(LARGE('For stats end Y points'!$B100:D100,ROW(INDIRECT("1:"&amp;MIN(24,COUNT('For stats end Y points'!$B100:D100))))))</f>
        <v>8</v>
      </c>
      <c r="E100" cm="1">
        <f t="array" aca="1" ref="E100" ca="1">SUMPRODUCT(LARGE('For stats end Y points'!$B100:E100,ROW(INDIRECT("1:"&amp;MIN(24,COUNT('For stats end Y points'!$B100:E100))))))</f>
        <v>8</v>
      </c>
      <c r="F100" cm="1">
        <f t="array" aca="1" ref="F100" ca="1">SUMPRODUCT(LARGE('For stats end Y points'!$B100:F100,ROW(INDIRECT("1:"&amp;MIN(24,COUNT('For stats end Y points'!$B100:F100))))))</f>
        <v>8</v>
      </c>
      <c r="G100" cm="1">
        <f t="array" aca="1" ref="G100" ca="1">SUMPRODUCT(LARGE('For stats end Y points'!$B100:G100,ROW(INDIRECT("1:"&amp;MIN(24,COUNT('For stats end Y points'!$B100:G100))))))</f>
        <v>8</v>
      </c>
      <c r="H100" cm="1">
        <f t="array" aca="1" ref="H100" ca="1">SUMPRODUCT(LARGE('For stats end Y points'!$B100:H100,ROW(INDIRECT("1:"&amp;MIN(24,COUNT('For stats end Y points'!$B100:H100))))))</f>
        <v>8</v>
      </c>
      <c r="I100" cm="1">
        <f t="array" aca="1" ref="I100" ca="1">SUMPRODUCT(LARGE('For stats end Y points'!$B100:I100,ROW(INDIRECT("1:"&amp;MIN(24,COUNT('For stats end Y points'!$B100:I100))))))</f>
        <v>8</v>
      </c>
      <c r="J100" cm="1">
        <f t="array" aca="1" ref="J100" ca="1">SUMPRODUCT(LARGE('For stats end Y points'!$B100:J100,ROW(INDIRECT("1:"&amp;MIN(24,COUNT('For stats end Y points'!$B100:J100))))))</f>
        <v>8</v>
      </c>
      <c r="K100" cm="1">
        <f t="array" aca="1" ref="K100" ca="1">SUMPRODUCT(LARGE('For stats end Y points'!$B100:K100,ROW(INDIRECT("1:"&amp;MIN(24,COUNT('For stats end Y points'!$B100:K100))))))</f>
        <v>8</v>
      </c>
      <c r="L100" cm="1">
        <f t="array" aca="1" ref="L100" ca="1">SUMPRODUCT(LARGE('For stats end Y points'!$B100:L100,ROW(INDIRECT("1:"&amp;MIN(24,COUNT('For stats end Y points'!$B100:L100))))))</f>
        <v>8</v>
      </c>
      <c r="M100" cm="1">
        <f t="array" aca="1" ref="M100" ca="1">SUMPRODUCT(LARGE('For stats end Y points'!$B100:M100,ROW(INDIRECT("1:"&amp;MIN(24,COUNT('For stats end Y points'!$B100:M100))))))</f>
        <v>8</v>
      </c>
      <c r="N100" cm="1">
        <f t="array" aca="1" ref="N100" ca="1">SUMPRODUCT(LARGE('For stats end Y points'!$B100:N100,ROW(INDIRECT("1:"&amp;MIN(24,COUNT('For stats end Y points'!$B100:N100))))))</f>
        <v>8</v>
      </c>
      <c r="O100" cm="1">
        <f t="array" aca="1" ref="O100" ca="1">SUMPRODUCT(LARGE('For stats end Y points'!$B100:O100,ROW(INDIRECT("1:"&amp;MIN(24,COUNT('For stats end Y points'!$B100:O100))))))</f>
        <v>8</v>
      </c>
      <c r="P100" cm="1">
        <f t="array" aca="1" ref="P100" ca="1">SUMPRODUCT(LARGE('For stats end Y points'!$B100:P100,ROW(INDIRECT("1:"&amp;MIN(24,COUNT('For stats end Y points'!$B100:P100))))))</f>
        <v>8</v>
      </c>
      <c r="Q100" cm="1">
        <f t="array" aca="1" ref="Q100" ca="1">SUMPRODUCT(LARGE('For stats end Y points'!$B100:Q100,ROW(INDIRECT("1:"&amp;MIN(24,COUNT('For stats end Y points'!$B100:Q100))))))</f>
        <v>8</v>
      </c>
      <c r="R100" cm="1">
        <f t="array" aca="1" ref="R100" ca="1">SUMPRODUCT(LARGE('For stats end Y points'!$B100:R100,ROW(INDIRECT("1:"&amp;MIN(24,COUNT('For stats end Y points'!$B100:R100))))))</f>
        <v>8</v>
      </c>
      <c r="S100" cm="1">
        <f t="array" aca="1" ref="S100" ca="1">SUMPRODUCT(LARGE('For stats end Y points'!$B100:S100,ROW(INDIRECT("1:"&amp;MIN(24,COUNT('For stats end Y points'!$B100:S100))))))</f>
        <v>8</v>
      </c>
      <c r="T100" cm="1">
        <f t="array" aca="1" ref="T100" ca="1">SUMPRODUCT(LARGE('For stats end Y points'!$B100:T100,ROW(INDIRECT("1:"&amp;MIN(24,COUNT('For stats end Y points'!$B100:T100))))))</f>
        <v>8</v>
      </c>
      <c r="U100" cm="1">
        <f t="array" aca="1" ref="U100" ca="1">SUMPRODUCT(LARGE('For stats end Y points'!$B100:U100,ROW(INDIRECT("1:"&amp;MIN(24,COUNT('For stats end Y points'!$B100:U100))))))</f>
        <v>8</v>
      </c>
      <c r="V100" cm="1">
        <f t="array" aca="1" ref="V100" ca="1">SUMPRODUCT(LARGE('For stats end Y points'!$B100:V100,ROW(INDIRECT("1:"&amp;MIN(24,COUNT('For stats end Y points'!$B100:V100))))))</f>
        <v>8</v>
      </c>
      <c r="W100" cm="1">
        <f t="array" aca="1" ref="W100" ca="1">SUMPRODUCT(LARGE('For stats end Y points'!$B100:W100,ROW(INDIRECT("1:"&amp;MIN(24,COUNT('For stats end Y points'!$B100:W100))))))</f>
        <v>8</v>
      </c>
      <c r="X100" cm="1">
        <f t="array" aca="1" ref="X100" ca="1">SUMPRODUCT(LARGE('For stats end Y points'!$B100:X100,ROW(INDIRECT("1:"&amp;MIN(24,COUNT('For stats end Y points'!$B100:X100))))))</f>
        <v>8</v>
      </c>
      <c r="Y100" cm="1">
        <f t="array" aca="1" ref="Y100" ca="1">SUMPRODUCT(LARGE('For stats end Y points'!$B100:Y100,ROW(INDIRECT("1:"&amp;MIN(24,COUNT('For stats end Y points'!$B100:Y100))))))</f>
        <v>8</v>
      </c>
      <c r="Z100" cm="1">
        <f t="array" aca="1" ref="Z100" ca="1">SUMPRODUCT(LARGE('For stats end Y points'!$B100:Z100,ROW(INDIRECT("1:"&amp;MIN(24,COUNT('For stats end Y points'!$B100:Z100))))))</f>
        <v>8</v>
      </c>
      <c r="AA100" cm="1">
        <f t="array" aca="1" ref="AA100" ca="1">SUMPRODUCT(LARGE('For stats end Y points'!$B100:AA100,ROW(INDIRECT("1:"&amp;MIN(24,COUNT('For stats end Y points'!$B100:AA100))))))</f>
        <v>8</v>
      </c>
      <c r="AB100" cm="1">
        <f t="array" aca="1" ref="AB100" ca="1">SUMPRODUCT(LARGE('For stats end Y points'!$B100:AB100,ROW(INDIRECT("1:"&amp;MIN(24,COUNT('For stats end Y points'!$B100:AB100))))))</f>
        <v>8</v>
      </c>
      <c r="AC100" cm="1">
        <f t="array" aca="1" ref="AC100" ca="1">SUMPRODUCT(LARGE('For stats end Y points'!$B100:AC100,ROW(INDIRECT("1:"&amp;MIN(24,COUNT('For stats end Y points'!$B100:AC100))))))</f>
        <v>8</v>
      </c>
      <c r="AD100" cm="1">
        <f t="array" aca="1" ref="AD100" ca="1">SUMPRODUCT(LARGE('For stats end Y points'!$B100:AD100,ROW(INDIRECT("1:"&amp;MIN(24,COUNT('For stats end Y points'!$B100:AD100))))))</f>
        <v>8</v>
      </c>
      <c r="AE100" cm="1">
        <f t="array" aca="1" ref="AE100" ca="1">SUMPRODUCT(LARGE('For stats end Y points'!$B100:AE100,ROW(INDIRECT("1:"&amp;MIN(24,COUNT('For stats end Y points'!$B100:AE100))))))</f>
        <v>8</v>
      </c>
      <c r="AF100" cm="1">
        <f t="array" aca="1" ref="AF100" ca="1">SUMPRODUCT(LARGE('For stats end Y points'!$B100:AF100,ROW(INDIRECT("1:"&amp;MIN(24,COUNT('For stats end Y points'!$B100:AF100))))))</f>
        <v>8</v>
      </c>
      <c r="AG100" cm="1">
        <f t="array" aca="1" ref="AG100" ca="1">SUMPRODUCT(LARGE('For stats end Y points'!$B100:AG100,ROW(INDIRECT("1:"&amp;MIN(24,COUNT('For stats end Y points'!$B100:AG100))))))</f>
        <v>8</v>
      </c>
      <c r="AH100" cm="1">
        <f t="array" aca="1" ref="AH100" ca="1">SUMPRODUCT(LARGE('For stats end Y points'!$B100:AH100,ROW(INDIRECT("1:"&amp;MIN(24,COUNT('For stats end Y points'!$B100:AH100))))))</f>
        <v>8</v>
      </c>
      <c r="AP100" s="10">
        <f t="shared" si="1"/>
        <v>0</v>
      </c>
      <c r="AQ100">
        <f>'For stats end Y class'!AU100</f>
        <v>1</v>
      </c>
    </row>
    <row r="101" spans="1:43" x14ac:dyDescent="0.2">
      <c r="A101" t="str">
        <f>'For stats end Y points'!A101</f>
        <v>Xhar92</v>
      </c>
      <c r="B101" cm="1">
        <f t="array" aca="1" ref="B101" ca="1">SUMPRODUCT(LARGE('For stats end Y points'!$B101:B101,ROW(INDIRECT("1:"&amp;MIN(24,COUNT('For stats end Y points'!$B101:B101))))))</f>
        <v>12</v>
      </c>
      <c r="C101" cm="1">
        <f t="array" aca="1" ref="C101" ca="1">SUMPRODUCT(LARGE('For stats end Y points'!$B101:C101,ROW(INDIRECT("1:"&amp;MIN(24,COUNT('For stats end Y points'!$B101:C101))))))</f>
        <v>29</v>
      </c>
      <c r="D101" cm="1">
        <f t="array" aca="1" ref="D101" ca="1">SUMPRODUCT(LARGE('For stats end Y points'!$B101:D101,ROW(INDIRECT("1:"&amp;MIN(24,COUNT('For stats end Y points'!$B101:D101))))))</f>
        <v>41</v>
      </c>
      <c r="E101" cm="1">
        <f t="array" aca="1" ref="E101" ca="1">SUMPRODUCT(LARGE('For stats end Y points'!$B101:E101,ROW(INDIRECT("1:"&amp;MIN(24,COUNT('For stats end Y points'!$B101:E101))))))</f>
        <v>44</v>
      </c>
      <c r="F101" cm="1">
        <f t="array" aca="1" ref="F101" ca="1">SUMPRODUCT(LARGE('For stats end Y points'!$B101:F101,ROW(INDIRECT("1:"&amp;MIN(24,COUNT('For stats end Y points'!$B101:F101))))))</f>
        <v>53</v>
      </c>
      <c r="G101" cm="1">
        <f t="array" aca="1" ref="G101" ca="1">SUMPRODUCT(LARGE('For stats end Y points'!$B101:G101,ROW(INDIRECT("1:"&amp;MIN(24,COUNT('For stats end Y points'!$B101:G101))))))</f>
        <v>53</v>
      </c>
      <c r="H101" cm="1">
        <f t="array" aca="1" ref="H101" ca="1">SUMPRODUCT(LARGE('For stats end Y points'!$B101:H101,ROW(INDIRECT("1:"&amp;MIN(24,COUNT('For stats end Y points'!$B101:H101))))))</f>
        <v>55</v>
      </c>
      <c r="I101" cm="1">
        <f t="array" aca="1" ref="I101" ca="1">SUMPRODUCT(LARGE('For stats end Y points'!$B101:I101,ROW(INDIRECT("1:"&amp;MIN(24,COUNT('For stats end Y points'!$B101:I101))))))</f>
        <v>57</v>
      </c>
      <c r="J101" cm="1">
        <f t="array" aca="1" ref="J101" ca="1">SUMPRODUCT(LARGE('For stats end Y points'!$B101:J101,ROW(INDIRECT("1:"&amp;MIN(24,COUNT('For stats end Y points'!$B101:J101))))))</f>
        <v>65</v>
      </c>
      <c r="K101" cm="1">
        <f t="array" aca="1" ref="K101" ca="1">SUMPRODUCT(LARGE('For stats end Y points'!$B101:K101,ROW(INDIRECT("1:"&amp;MIN(24,COUNT('For stats end Y points'!$B101:K101))))))</f>
        <v>66</v>
      </c>
      <c r="L101" cm="1">
        <f t="array" aca="1" ref="L101" ca="1">SUMPRODUCT(LARGE('For stats end Y points'!$B101:L101,ROW(INDIRECT("1:"&amp;MIN(24,COUNT('For stats end Y points'!$B101:L101))))))</f>
        <v>68</v>
      </c>
      <c r="M101" cm="1">
        <f t="array" aca="1" ref="M101" ca="1">SUMPRODUCT(LARGE('For stats end Y points'!$B101:M101,ROW(INDIRECT("1:"&amp;MIN(24,COUNT('For stats end Y points'!$B101:M101))))))</f>
        <v>68</v>
      </c>
      <c r="N101" cm="1">
        <f t="array" aca="1" ref="N101" ca="1">SUMPRODUCT(LARGE('For stats end Y points'!$B101:N101,ROW(INDIRECT("1:"&amp;MIN(24,COUNT('For stats end Y points'!$B101:N101))))))</f>
        <v>70</v>
      </c>
      <c r="O101" cm="1">
        <f t="array" aca="1" ref="O101" ca="1">SUMPRODUCT(LARGE('For stats end Y points'!$B101:O101,ROW(INDIRECT("1:"&amp;MIN(24,COUNT('For stats end Y points'!$B101:O101))))))</f>
        <v>70</v>
      </c>
      <c r="P101" cm="1">
        <f t="array" aca="1" ref="P101" ca="1">SUMPRODUCT(LARGE('For stats end Y points'!$B101:P101,ROW(INDIRECT("1:"&amp;MIN(24,COUNT('For stats end Y points'!$B101:P101))))))</f>
        <v>72</v>
      </c>
      <c r="Q101" cm="1">
        <f t="array" aca="1" ref="Q101" ca="1">SUMPRODUCT(LARGE('For stats end Y points'!$B101:Q101,ROW(INDIRECT("1:"&amp;MIN(24,COUNT('For stats end Y points'!$B101:Q101))))))</f>
        <v>85</v>
      </c>
      <c r="R101" cm="1">
        <f t="array" aca="1" ref="R101" ca="1">SUMPRODUCT(LARGE('For stats end Y points'!$B101:R101,ROW(INDIRECT("1:"&amp;MIN(24,COUNT('For stats end Y points'!$B101:R101))))))</f>
        <v>86</v>
      </c>
      <c r="S101" cm="1">
        <f t="array" aca="1" ref="S101" ca="1">SUMPRODUCT(LARGE('For stats end Y points'!$B101:S101,ROW(INDIRECT("1:"&amp;MIN(24,COUNT('For stats end Y points'!$B101:S101))))))</f>
        <v>87</v>
      </c>
      <c r="T101" cm="1">
        <f t="array" aca="1" ref="T101" ca="1">SUMPRODUCT(LARGE('For stats end Y points'!$B101:T101,ROW(INDIRECT("1:"&amp;MIN(24,COUNT('For stats end Y points'!$B101:T101))))))</f>
        <v>91</v>
      </c>
      <c r="U101" cm="1">
        <f t="array" aca="1" ref="U101" ca="1">SUMPRODUCT(LARGE('For stats end Y points'!$B101:U101,ROW(INDIRECT("1:"&amp;MIN(24,COUNT('For stats end Y points'!$B101:U101))))))</f>
        <v>91</v>
      </c>
      <c r="V101" cm="1">
        <f t="array" aca="1" ref="V101" ca="1">SUMPRODUCT(LARGE('For stats end Y points'!$B101:V101,ROW(INDIRECT("1:"&amp;MIN(24,COUNT('For stats end Y points'!$B101:V101))))))</f>
        <v>104</v>
      </c>
      <c r="W101" cm="1">
        <f t="array" aca="1" ref="W101" ca="1">SUMPRODUCT(LARGE('For stats end Y points'!$B101:W101,ROW(INDIRECT("1:"&amp;MIN(24,COUNT('For stats end Y points'!$B101:W101))))))</f>
        <v>107</v>
      </c>
      <c r="X101" cm="1">
        <f t="array" aca="1" ref="X101" ca="1">SUMPRODUCT(LARGE('For stats end Y points'!$B101:X101,ROW(INDIRECT("1:"&amp;MIN(24,COUNT('For stats end Y points'!$B101:X101))))))</f>
        <v>116</v>
      </c>
      <c r="Y101" cm="1">
        <f t="array" aca="1" ref="Y101" ca="1">SUMPRODUCT(LARGE('For stats end Y points'!$B101:Y101,ROW(INDIRECT("1:"&amp;MIN(24,COUNT('For stats end Y points'!$B101:Y101))))))</f>
        <v>116</v>
      </c>
      <c r="Z101" cm="1">
        <f t="array" aca="1" ref="Z101" ca="1">SUMPRODUCT(LARGE('For stats end Y points'!$B101:Z101,ROW(INDIRECT("1:"&amp;MIN(24,COUNT('For stats end Y points'!$B101:Z101))))))</f>
        <v>128</v>
      </c>
      <c r="AA101" cm="1">
        <f t="array" aca="1" ref="AA101" ca="1">SUMPRODUCT(LARGE('For stats end Y points'!$B101:AA101,ROW(INDIRECT("1:"&amp;MIN(24,COUNT('For stats end Y points'!$B101:AA101))))))</f>
        <v>128</v>
      </c>
      <c r="AB101" cm="1">
        <f t="array" aca="1" ref="AB101" ca="1">SUMPRODUCT(LARGE('For stats end Y points'!$B101:AB101,ROW(INDIRECT("1:"&amp;MIN(24,COUNT('For stats end Y points'!$B101:AB101))))))</f>
        <v>128</v>
      </c>
      <c r="AC101" cm="1">
        <f t="array" aca="1" ref="AC101" ca="1">SUMPRODUCT(LARGE('For stats end Y points'!$B101:AC101,ROW(INDIRECT("1:"&amp;MIN(24,COUNT('For stats end Y points'!$B101:AC101))))))</f>
        <v>128</v>
      </c>
      <c r="AD101" cm="1">
        <f t="array" aca="1" ref="AD101" ca="1">SUMPRODUCT(LARGE('For stats end Y points'!$B101:AD101,ROW(INDIRECT("1:"&amp;MIN(24,COUNT('For stats end Y points'!$B101:AD101))))))</f>
        <v>128</v>
      </c>
      <c r="AE101" cm="1">
        <f t="array" aca="1" ref="AE101" ca="1">SUMPRODUCT(LARGE('For stats end Y points'!$B101:AE101,ROW(INDIRECT("1:"&amp;MIN(24,COUNT('For stats end Y points'!$B101:AE101))))))</f>
        <v>128</v>
      </c>
      <c r="AF101" cm="1">
        <f t="array" aca="1" ref="AF101" ca="1">SUMPRODUCT(LARGE('For stats end Y points'!$B101:AF101,ROW(INDIRECT("1:"&amp;MIN(24,COUNT('For stats end Y points'!$B101:AF101))))))</f>
        <v>128</v>
      </c>
      <c r="AG101" cm="1">
        <f t="array" aca="1" ref="AG101" ca="1">SUMPRODUCT(LARGE('For stats end Y points'!$B101:AG101,ROW(INDIRECT("1:"&amp;MIN(24,COUNT('For stats end Y points'!$B101:AG101))))))</f>
        <v>128</v>
      </c>
      <c r="AH101" cm="1">
        <f t="array" aca="1" ref="AH101" ca="1">SUMPRODUCT(LARGE('For stats end Y points'!$B101:AH101,ROW(INDIRECT("1:"&amp;MIN(24,COUNT('For stats end Y points'!$B101:AH101))))))</f>
        <v>128</v>
      </c>
      <c r="AP101" s="10">
        <f t="shared" si="1"/>
        <v>0</v>
      </c>
      <c r="AQ101">
        <f>'For stats end Y class'!AU101</f>
        <v>20</v>
      </c>
    </row>
    <row r="102" spans="1:43" x14ac:dyDescent="0.2">
      <c r="A102" t="str">
        <f>'For stats end Y points'!A102</f>
        <v>Yaltar</v>
      </c>
      <c r="B102" cm="1">
        <f t="array" aca="1" ref="B102" ca="1">SUMPRODUCT(LARGE('For stats end Y points'!$B102:B102,ROW(INDIRECT("1:"&amp;MIN(24,COUNT('For stats end Y points'!$B102:B102))))))</f>
        <v>17</v>
      </c>
      <c r="C102" cm="1">
        <f t="array" aca="1" ref="C102" ca="1">SUMPRODUCT(LARGE('For stats end Y points'!$B102:C102,ROW(INDIRECT("1:"&amp;MIN(24,COUNT('For stats end Y points'!$B102:C102))))))</f>
        <v>19</v>
      </c>
      <c r="D102" cm="1">
        <f t="array" aca="1" ref="D102" ca="1">SUMPRODUCT(LARGE('For stats end Y points'!$B102:D102,ROW(INDIRECT("1:"&amp;MIN(24,COUNT('For stats end Y points'!$B102:D102))))))</f>
        <v>19</v>
      </c>
      <c r="E102" cm="1">
        <f t="array" aca="1" ref="E102" ca="1">SUMPRODUCT(LARGE('For stats end Y points'!$B102:E102,ROW(INDIRECT("1:"&amp;MIN(24,COUNT('For stats end Y points'!$B102:E102))))))</f>
        <v>36</v>
      </c>
      <c r="F102" cm="1">
        <f t="array" aca="1" ref="F102" ca="1">SUMPRODUCT(LARGE('For stats end Y points'!$B102:F102,ROW(INDIRECT("1:"&amp;MIN(24,COUNT('For stats end Y points'!$B102:F102))))))</f>
        <v>38</v>
      </c>
      <c r="G102" cm="1">
        <f t="array" aca="1" ref="G102" ca="1">SUMPRODUCT(LARGE('For stats end Y points'!$B102:G102,ROW(INDIRECT("1:"&amp;MIN(24,COUNT('For stats end Y points'!$B102:G102))))))</f>
        <v>47</v>
      </c>
      <c r="H102" cm="1">
        <f t="array" aca="1" ref="H102" ca="1">SUMPRODUCT(LARGE('For stats end Y points'!$B102:H102,ROW(INDIRECT("1:"&amp;MIN(24,COUNT('For stats end Y points'!$B102:H102))))))</f>
        <v>49</v>
      </c>
      <c r="I102" cm="1">
        <f t="array" aca="1" ref="I102" ca="1">SUMPRODUCT(LARGE('For stats end Y points'!$B102:I102,ROW(INDIRECT("1:"&amp;MIN(24,COUNT('For stats end Y points'!$B102:I102))))))</f>
        <v>61</v>
      </c>
      <c r="J102" cm="1">
        <f t="array" aca="1" ref="J102" ca="1">SUMPRODUCT(LARGE('For stats end Y points'!$B102:J102,ROW(INDIRECT("1:"&amp;MIN(24,COUNT('For stats end Y points'!$B102:J102))))))</f>
        <v>63</v>
      </c>
      <c r="K102" cm="1">
        <f t="array" aca="1" ref="K102" ca="1">SUMPRODUCT(LARGE('For stats end Y points'!$B102:K102,ROW(INDIRECT("1:"&amp;MIN(24,COUNT('For stats end Y points'!$B102:K102))))))</f>
        <v>63</v>
      </c>
      <c r="L102" cm="1">
        <f t="array" aca="1" ref="L102" ca="1">SUMPRODUCT(LARGE('For stats end Y points'!$B102:L102,ROW(INDIRECT("1:"&amp;MIN(24,COUNT('For stats end Y points'!$B102:L102))))))</f>
        <v>63</v>
      </c>
      <c r="M102" cm="1">
        <f t="array" aca="1" ref="M102" ca="1">SUMPRODUCT(LARGE('For stats end Y points'!$B102:M102,ROW(INDIRECT("1:"&amp;MIN(24,COUNT('For stats end Y points'!$B102:M102))))))</f>
        <v>79</v>
      </c>
      <c r="N102" cm="1">
        <f t="array" aca="1" ref="N102" ca="1">SUMPRODUCT(LARGE('For stats end Y points'!$B102:N102,ROW(INDIRECT("1:"&amp;MIN(24,COUNT('For stats end Y points'!$B102:N102))))))</f>
        <v>82</v>
      </c>
      <c r="O102" cm="1">
        <f t="array" aca="1" ref="O102" ca="1">SUMPRODUCT(LARGE('For stats end Y points'!$B102:O102,ROW(INDIRECT("1:"&amp;MIN(24,COUNT('For stats end Y points'!$B102:O102))))))</f>
        <v>84</v>
      </c>
      <c r="P102" cm="1">
        <f t="array" aca="1" ref="P102" ca="1">SUMPRODUCT(LARGE('For stats end Y points'!$B102:P102,ROW(INDIRECT("1:"&amp;MIN(24,COUNT('For stats end Y points'!$B102:P102))))))</f>
        <v>100</v>
      </c>
      <c r="Q102" cm="1">
        <f t="array" aca="1" ref="Q102" ca="1">SUMPRODUCT(LARGE('For stats end Y points'!$B102:Q102,ROW(INDIRECT("1:"&amp;MIN(24,COUNT('For stats end Y points'!$B102:Q102))))))</f>
        <v>113</v>
      </c>
      <c r="R102" cm="1">
        <f t="array" aca="1" ref="R102" ca="1">SUMPRODUCT(LARGE('For stats end Y points'!$B102:R102,ROW(INDIRECT("1:"&amp;MIN(24,COUNT('For stats end Y points'!$B102:R102))))))</f>
        <v>126</v>
      </c>
      <c r="S102" cm="1">
        <f t="array" aca="1" ref="S102" ca="1">SUMPRODUCT(LARGE('For stats end Y points'!$B102:S102,ROW(INDIRECT("1:"&amp;MIN(24,COUNT('For stats end Y points'!$B102:S102))))))</f>
        <v>128</v>
      </c>
      <c r="T102" cm="1">
        <f t="array" aca="1" ref="T102" ca="1">SUMPRODUCT(LARGE('For stats end Y points'!$B102:T102,ROW(INDIRECT("1:"&amp;MIN(24,COUNT('For stats end Y points'!$B102:T102))))))</f>
        <v>140</v>
      </c>
      <c r="U102" cm="1">
        <f t="array" aca="1" ref="U102" ca="1">SUMPRODUCT(LARGE('For stats end Y points'!$B102:U102,ROW(INDIRECT("1:"&amp;MIN(24,COUNT('For stats end Y points'!$B102:U102))))))</f>
        <v>142</v>
      </c>
      <c r="V102" cm="1">
        <f t="array" aca="1" ref="V102" ca="1">SUMPRODUCT(LARGE('For stats end Y points'!$B102:V102,ROW(INDIRECT("1:"&amp;MIN(24,COUNT('For stats end Y points'!$B102:V102))))))</f>
        <v>147</v>
      </c>
      <c r="W102" cm="1">
        <f t="array" aca="1" ref="W102" ca="1">SUMPRODUCT(LARGE('For stats end Y points'!$B102:W102,ROW(INDIRECT("1:"&amp;MIN(24,COUNT('For stats end Y points'!$B102:W102))))))</f>
        <v>147</v>
      </c>
      <c r="X102" cm="1">
        <f t="array" aca="1" ref="X102" ca="1">SUMPRODUCT(LARGE('For stats end Y points'!$B102:X102,ROW(INDIRECT("1:"&amp;MIN(24,COUNT('For stats end Y points'!$B102:X102))))))</f>
        <v>147</v>
      </c>
      <c r="Y102" cm="1">
        <f t="array" aca="1" ref="Y102" ca="1">SUMPRODUCT(LARGE('For stats end Y points'!$B102:Y102,ROW(INDIRECT("1:"&amp;MIN(24,COUNT('For stats end Y points'!$B102:Y102))))))</f>
        <v>148</v>
      </c>
      <c r="Z102" cm="1">
        <f t="array" aca="1" ref="Z102" ca="1">SUMPRODUCT(LARGE('For stats end Y points'!$B102:Z102,ROW(INDIRECT("1:"&amp;MIN(24,COUNT('For stats end Y points'!$B102:Z102))))))</f>
        <v>164</v>
      </c>
      <c r="AA102" cm="1">
        <f t="array" aca="1" ref="AA102" ca="1">SUMPRODUCT(LARGE('For stats end Y points'!$B102:AA102,ROW(INDIRECT("1:"&amp;MIN(24,COUNT('For stats end Y points'!$B102:AA102))))))</f>
        <v>168</v>
      </c>
      <c r="AB102" cm="1">
        <f t="array" aca="1" ref="AB102" ca="1">SUMPRODUCT(LARGE('For stats end Y points'!$B102:AB102,ROW(INDIRECT("1:"&amp;MIN(24,COUNT('For stats end Y points'!$B102:AB102))))))</f>
        <v>168</v>
      </c>
      <c r="AC102" cm="1">
        <f t="array" aca="1" ref="AC102" ca="1">SUMPRODUCT(LARGE('For stats end Y points'!$B102:AC102,ROW(INDIRECT("1:"&amp;MIN(24,COUNT('For stats end Y points'!$B102:AC102))))))</f>
        <v>171</v>
      </c>
      <c r="AD102" cm="1">
        <f t="array" aca="1" ref="AD102" ca="1">SUMPRODUCT(LARGE('For stats end Y points'!$B102:AD102,ROW(INDIRECT("1:"&amp;MIN(24,COUNT('For stats end Y points'!$B102:AD102))))))</f>
        <v>171</v>
      </c>
      <c r="AE102" cm="1">
        <f t="array" aca="1" ref="AE102" ca="1">SUMPRODUCT(LARGE('For stats end Y points'!$B102:AE102,ROW(INDIRECT("1:"&amp;MIN(24,COUNT('For stats end Y points'!$B102:AE102))))))</f>
        <v>179</v>
      </c>
      <c r="AF102" cm="1">
        <f t="array" aca="1" ref="AF102" ca="1">SUMPRODUCT(LARGE('For stats end Y points'!$B102:AF102,ROW(INDIRECT("1:"&amp;MIN(24,COUNT('For stats end Y points'!$B102:AF102))))))</f>
        <v>180</v>
      </c>
      <c r="AG102" cm="1">
        <f t="array" aca="1" ref="AG102" ca="1">SUMPRODUCT(LARGE('For stats end Y points'!$B102:AG102,ROW(INDIRECT("1:"&amp;MIN(24,COUNT('For stats end Y points'!$B102:AG102))))))</f>
        <v>180</v>
      </c>
      <c r="AH102" cm="1">
        <f t="array" aca="1" ref="AH102" ca="1">SUMPRODUCT(LARGE('For stats end Y points'!$B102:AH102,ROW(INDIRECT("1:"&amp;MIN(24,COUNT('For stats end Y points'!$B102:AH102))))))</f>
        <v>180</v>
      </c>
      <c r="AP102" s="10">
        <f t="shared" si="1"/>
        <v>0</v>
      </c>
      <c r="AQ102">
        <f>'For stats end Y class'!AU102</f>
        <v>25</v>
      </c>
    </row>
    <row r="103" spans="1:43" x14ac:dyDescent="0.2">
      <c r="A103" t="str">
        <f>'For stats end Y points'!A103</f>
        <v>Yarael</v>
      </c>
      <c r="B103" cm="1">
        <f t="array" aca="1" ref="B103" ca="1">SUMPRODUCT(LARGE('For stats end Y points'!$B103:B103,ROW(INDIRECT("1:"&amp;MIN(24,COUNT('For stats end Y points'!$B103:B103))))))</f>
        <v>0</v>
      </c>
      <c r="C103" cm="1">
        <f t="array" aca="1" ref="C103" ca="1">SUMPRODUCT(LARGE('For stats end Y points'!$B103:C103,ROW(INDIRECT("1:"&amp;MIN(24,COUNT('For stats end Y points'!$B103:C103))))))</f>
        <v>3</v>
      </c>
      <c r="D103" cm="1">
        <f t="array" aca="1" ref="D103" ca="1">SUMPRODUCT(LARGE('For stats end Y points'!$B103:D103,ROW(INDIRECT("1:"&amp;MIN(24,COUNT('For stats end Y points'!$B103:D103))))))</f>
        <v>3</v>
      </c>
      <c r="E103" cm="1">
        <f t="array" aca="1" ref="E103" ca="1">SUMPRODUCT(LARGE('For stats end Y points'!$B103:E103,ROW(INDIRECT("1:"&amp;MIN(24,COUNT('For stats end Y points'!$B103:E103))))))</f>
        <v>3</v>
      </c>
      <c r="F103" cm="1">
        <f t="array" aca="1" ref="F103" ca="1">SUMPRODUCT(LARGE('For stats end Y points'!$B103:F103,ROW(INDIRECT("1:"&amp;MIN(24,COUNT('For stats end Y points'!$B103:F103))))))</f>
        <v>3</v>
      </c>
      <c r="G103" cm="1">
        <f t="array" aca="1" ref="G103" ca="1">SUMPRODUCT(LARGE('For stats end Y points'!$B103:G103,ROW(INDIRECT("1:"&amp;MIN(24,COUNT('For stats end Y points'!$B103:G103))))))</f>
        <v>3</v>
      </c>
      <c r="H103" cm="1">
        <f t="array" aca="1" ref="H103" ca="1">SUMPRODUCT(LARGE('For stats end Y points'!$B103:H103,ROW(INDIRECT("1:"&amp;MIN(24,COUNT('For stats end Y points'!$B103:H103))))))</f>
        <v>3</v>
      </c>
      <c r="I103" cm="1">
        <f t="array" aca="1" ref="I103" ca="1">SUMPRODUCT(LARGE('For stats end Y points'!$B103:I103,ROW(INDIRECT("1:"&amp;MIN(24,COUNT('For stats end Y points'!$B103:I103))))))</f>
        <v>3</v>
      </c>
      <c r="J103" cm="1">
        <f t="array" aca="1" ref="J103" ca="1">SUMPRODUCT(LARGE('For stats end Y points'!$B103:J103,ROW(INDIRECT("1:"&amp;MIN(24,COUNT('For stats end Y points'!$B103:J103))))))</f>
        <v>12</v>
      </c>
      <c r="K103" cm="1">
        <f t="array" aca="1" ref="K103" ca="1">SUMPRODUCT(LARGE('For stats end Y points'!$B103:K103,ROW(INDIRECT("1:"&amp;MIN(24,COUNT('For stats end Y points'!$B103:K103))))))</f>
        <v>16</v>
      </c>
      <c r="L103" cm="1">
        <f t="array" aca="1" ref="L103" ca="1">SUMPRODUCT(LARGE('For stats end Y points'!$B103:L103,ROW(INDIRECT("1:"&amp;MIN(24,COUNT('For stats end Y points'!$B103:L103))))))</f>
        <v>16</v>
      </c>
      <c r="M103" cm="1">
        <f t="array" aca="1" ref="M103" ca="1">SUMPRODUCT(LARGE('For stats end Y points'!$B103:M103,ROW(INDIRECT("1:"&amp;MIN(24,COUNT('For stats end Y points'!$B103:M103))))))</f>
        <v>24</v>
      </c>
      <c r="N103" cm="1">
        <f t="array" aca="1" ref="N103" ca="1">SUMPRODUCT(LARGE('For stats end Y points'!$B103:N103,ROW(INDIRECT("1:"&amp;MIN(24,COUNT('For stats end Y points'!$B103:N103))))))</f>
        <v>28</v>
      </c>
      <c r="O103" cm="1">
        <f t="array" aca="1" ref="O103" ca="1">SUMPRODUCT(LARGE('For stats end Y points'!$B103:O103,ROW(INDIRECT("1:"&amp;MIN(24,COUNT('For stats end Y points'!$B103:O103))))))</f>
        <v>28</v>
      </c>
      <c r="P103" cm="1">
        <f t="array" aca="1" ref="P103" ca="1">SUMPRODUCT(LARGE('For stats end Y points'!$B103:P103,ROW(INDIRECT("1:"&amp;MIN(24,COUNT('For stats end Y points'!$B103:P103))))))</f>
        <v>28</v>
      </c>
      <c r="Q103" cm="1">
        <f t="array" aca="1" ref="Q103" ca="1">SUMPRODUCT(LARGE('For stats end Y points'!$B103:Q103,ROW(INDIRECT("1:"&amp;MIN(24,COUNT('For stats end Y points'!$B103:Q103))))))</f>
        <v>28</v>
      </c>
      <c r="R103" cm="1">
        <f t="array" aca="1" ref="R103" ca="1">SUMPRODUCT(LARGE('For stats end Y points'!$B103:R103,ROW(INDIRECT("1:"&amp;MIN(24,COUNT('For stats end Y points'!$B103:R103))))))</f>
        <v>28</v>
      </c>
      <c r="S103" cm="1">
        <f t="array" aca="1" ref="S103" ca="1">SUMPRODUCT(LARGE('For stats end Y points'!$B103:S103,ROW(INDIRECT("1:"&amp;MIN(24,COUNT('For stats end Y points'!$B103:S103))))))</f>
        <v>45</v>
      </c>
      <c r="T103" cm="1">
        <f t="array" aca="1" ref="T103" ca="1">SUMPRODUCT(LARGE('For stats end Y points'!$B103:T103,ROW(INDIRECT("1:"&amp;MIN(24,COUNT('For stats end Y points'!$B103:T103))))))</f>
        <v>45</v>
      </c>
      <c r="U103" cm="1">
        <f t="array" aca="1" ref="U103" ca="1">SUMPRODUCT(LARGE('For stats end Y points'!$B103:U103,ROW(INDIRECT("1:"&amp;MIN(24,COUNT('For stats end Y points'!$B103:U103))))))</f>
        <v>45</v>
      </c>
      <c r="V103" cm="1">
        <f t="array" aca="1" ref="V103" ca="1">SUMPRODUCT(LARGE('For stats end Y points'!$B103:V103,ROW(INDIRECT("1:"&amp;MIN(24,COUNT('For stats end Y points'!$B103:V103))))))</f>
        <v>49</v>
      </c>
      <c r="W103" cm="1">
        <f t="array" aca="1" ref="W103" ca="1">SUMPRODUCT(LARGE('For stats end Y points'!$B103:W103,ROW(INDIRECT("1:"&amp;MIN(24,COUNT('For stats end Y points'!$B103:W103))))))</f>
        <v>49</v>
      </c>
      <c r="X103" cm="1">
        <f t="array" aca="1" ref="X103" ca="1">SUMPRODUCT(LARGE('For stats end Y points'!$B103:X103,ROW(INDIRECT("1:"&amp;MIN(24,COUNT('For stats end Y points'!$B103:X103))))))</f>
        <v>54</v>
      </c>
      <c r="Y103" cm="1">
        <f t="array" aca="1" ref="Y103" ca="1">SUMPRODUCT(LARGE('For stats end Y points'!$B103:Y103,ROW(INDIRECT("1:"&amp;MIN(24,COUNT('For stats end Y points'!$B103:Y103))))))</f>
        <v>54</v>
      </c>
      <c r="Z103" cm="1">
        <f t="array" aca="1" ref="Z103" ca="1">SUMPRODUCT(LARGE('For stats end Y points'!$B103:Z103,ROW(INDIRECT("1:"&amp;MIN(24,COUNT('For stats end Y points'!$B103:Z103))))))</f>
        <v>54</v>
      </c>
      <c r="AA103" cm="1">
        <f t="array" aca="1" ref="AA103" ca="1">SUMPRODUCT(LARGE('For stats end Y points'!$B103:AA103,ROW(INDIRECT("1:"&amp;MIN(24,COUNT('For stats end Y points'!$B103:AA103))))))</f>
        <v>66</v>
      </c>
      <c r="AB103" cm="1">
        <f t="array" aca="1" ref="AB103" ca="1">SUMPRODUCT(LARGE('For stats end Y points'!$B103:AB103,ROW(INDIRECT("1:"&amp;MIN(24,COUNT('For stats end Y points'!$B103:AB103))))))</f>
        <v>66</v>
      </c>
      <c r="AC103" cm="1">
        <f t="array" aca="1" ref="AC103" ca="1">SUMPRODUCT(LARGE('For stats end Y points'!$B103:AC103,ROW(INDIRECT("1:"&amp;MIN(24,COUNT('For stats end Y points'!$B103:AC103))))))</f>
        <v>82</v>
      </c>
      <c r="AD103" cm="1">
        <f t="array" aca="1" ref="AD103" ca="1">SUMPRODUCT(LARGE('For stats end Y points'!$B103:AD103,ROW(INDIRECT("1:"&amp;MIN(24,COUNT('For stats end Y points'!$B103:AD103))))))</f>
        <v>94</v>
      </c>
      <c r="AE103" cm="1">
        <f t="array" aca="1" ref="AE103" ca="1">SUMPRODUCT(LARGE('For stats end Y points'!$B103:AE103,ROW(INDIRECT("1:"&amp;MIN(24,COUNT('For stats end Y points'!$B103:AE103))))))</f>
        <v>99</v>
      </c>
      <c r="AF103" cm="1">
        <f t="array" aca="1" ref="AF103" ca="1">SUMPRODUCT(LARGE('For stats end Y points'!$B103:AF103,ROW(INDIRECT("1:"&amp;MIN(24,COUNT('For stats end Y points'!$B103:AF103))))))</f>
        <v>107</v>
      </c>
      <c r="AG103" cm="1">
        <f t="array" aca="1" ref="AG103" ca="1">SUMPRODUCT(LARGE('For stats end Y points'!$B103:AG103,ROW(INDIRECT("1:"&amp;MIN(24,COUNT('For stats end Y points'!$B103:AG103))))))</f>
        <v>107</v>
      </c>
      <c r="AH103" cm="1">
        <f t="array" aca="1" ref="AH103" ca="1">SUMPRODUCT(LARGE('For stats end Y points'!$B103:AH103,ROW(INDIRECT("1:"&amp;MIN(24,COUNT('For stats end Y points'!$B103:AH103))))))</f>
        <v>107</v>
      </c>
    </row>
    <row r="104" spans="1:43" x14ac:dyDescent="0.2">
      <c r="A104" t="str">
        <f>'For stats end Y points'!A104</f>
        <v>YooooDA</v>
      </c>
      <c r="B104" cm="1">
        <f t="array" aca="1" ref="B104" ca="1">SUMPRODUCT(LARGE('For stats end Y points'!$B104:B104,ROW(INDIRECT("1:"&amp;MIN(24,COUNT('For stats end Y points'!$B104:B104))))))</f>
        <v>12</v>
      </c>
      <c r="C104" cm="1">
        <f t="array" aca="1" ref="C104" ca="1">SUMPRODUCT(LARGE('For stats end Y points'!$B104:C104,ROW(INDIRECT("1:"&amp;MIN(24,COUNT('For stats end Y points'!$B104:C104))))))</f>
        <v>29</v>
      </c>
      <c r="D104" cm="1">
        <f t="array" aca="1" ref="D104" ca="1">SUMPRODUCT(LARGE('For stats end Y points'!$B104:D104,ROW(INDIRECT("1:"&amp;MIN(24,COUNT('For stats end Y points'!$B104:D104))))))</f>
        <v>46</v>
      </c>
      <c r="E104" cm="1">
        <f t="array" aca="1" ref="E104" ca="1">SUMPRODUCT(LARGE('For stats end Y points'!$B104:E104,ROW(INDIRECT("1:"&amp;MIN(24,COUNT('For stats end Y points'!$B104:E104))))))</f>
        <v>63</v>
      </c>
      <c r="F104" cm="1">
        <f t="array" aca="1" ref="F104" ca="1">SUMPRODUCT(LARGE('For stats end Y points'!$B104:F104,ROW(INDIRECT("1:"&amp;MIN(24,COUNT('For stats end Y points'!$B104:F104))))))</f>
        <v>65</v>
      </c>
      <c r="G104" cm="1">
        <f t="array" aca="1" ref="G104" ca="1">SUMPRODUCT(LARGE('For stats end Y points'!$B104:G104,ROW(INDIRECT("1:"&amp;MIN(24,COUNT('For stats end Y points'!$B104:G104))))))</f>
        <v>68</v>
      </c>
      <c r="H104" cm="1">
        <f t="array" aca="1" ref="H104" ca="1">SUMPRODUCT(LARGE('For stats end Y points'!$B104:H104,ROW(INDIRECT("1:"&amp;MIN(24,COUNT('For stats end Y points'!$B104:H104))))))</f>
        <v>71</v>
      </c>
      <c r="I104" cm="1">
        <f t="array" aca="1" ref="I104" ca="1">SUMPRODUCT(LARGE('For stats end Y points'!$B104:I104,ROW(INDIRECT("1:"&amp;MIN(24,COUNT('For stats end Y points'!$B104:I104))))))</f>
        <v>73</v>
      </c>
      <c r="J104" cm="1">
        <f t="array" aca="1" ref="J104" ca="1">SUMPRODUCT(LARGE('For stats end Y points'!$B104:J104,ROW(INDIRECT("1:"&amp;MIN(24,COUNT('For stats end Y points'!$B104:J104))))))</f>
        <v>76</v>
      </c>
      <c r="K104" cm="1">
        <f t="array" aca="1" ref="K104" ca="1">SUMPRODUCT(LARGE('For stats end Y points'!$B104:K104,ROW(INDIRECT("1:"&amp;MIN(24,COUNT('For stats end Y points'!$B104:K104))))))</f>
        <v>76</v>
      </c>
      <c r="L104" cm="1">
        <f t="array" aca="1" ref="L104" ca="1">SUMPRODUCT(LARGE('For stats end Y points'!$B104:L104,ROW(INDIRECT("1:"&amp;MIN(24,COUNT('For stats end Y points'!$B104:L104))))))</f>
        <v>78</v>
      </c>
      <c r="M104" cm="1">
        <f t="array" aca="1" ref="M104" ca="1">SUMPRODUCT(LARGE('For stats end Y points'!$B104:M104,ROW(INDIRECT("1:"&amp;MIN(24,COUNT('For stats end Y points'!$B104:M104))))))</f>
        <v>86</v>
      </c>
      <c r="N104" cm="1">
        <f t="array" aca="1" ref="N104" ca="1">SUMPRODUCT(LARGE('For stats end Y points'!$B104:N104,ROW(INDIRECT("1:"&amp;MIN(24,COUNT('For stats end Y points'!$B104:N104))))))</f>
        <v>87</v>
      </c>
      <c r="O104" cm="1">
        <f t="array" aca="1" ref="O104" ca="1">SUMPRODUCT(LARGE('For stats end Y points'!$B104:O104,ROW(INDIRECT("1:"&amp;MIN(24,COUNT('For stats end Y points'!$B104:O104))))))</f>
        <v>87</v>
      </c>
      <c r="P104" cm="1">
        <f t="array" aca="1" ref="P104" ca="1">SUMPRODUCT(LARGE('For stats end Y points'!$B104:P104,ROW(INDIRECT("1:"&amp;MIN(24,COUNT('For stats end Y points'!$B104:P104))))))</f>
        <v>87</v>
      </c>
      <c r="Q104" cm="1">
        <f t="array" aca="1" ref="Q104" ca="1">SUMPRODUCT(LARGE('For stats end Y points'!$B104:Q104,ROW(INDIRECT("1:"&amp;MIN(24,COUNT('For stats end Y points'!$B104:Q104))))))</f>
        <v>87</v>
      </c>
      <c r="R104" cm="1">
        <f t="array" aca="1" ref="R104" ca="1">SUMPRODUCT(LARGE('For stats end Y points'!$B104:R104,ROW(INDIRECT("1:"&amp;MIN(24,COUNT('For stats end Y points'!$B104:R104))))))</f>
        <v>87</v>
      </c>
      <c r="S104" cm="1">
        <f t="array" aca="1" ref="S104" ca="1">SUMPRODUCT(LARGE('For stats end Y points'!$B104:S104,ROW(INDIRECT("1:"&amp;MIN(24,COUNT('For stats end Y points'!$B104:S104))))))</f>
        <v>92</v>
      </c>
      <c r="T104" cm="1">
        <f t="array" aca="1" ref="T104" ca="1">SUMPRODUCT(LARGE('For stats end Y points'!$B104:T104,ROW(INDIRECT("1:"&amp;MIN(24,COUNT('For stats end Y points'!$B104:T104))))))</f>
        <v>92</v>
      </c>
      <c r="U104" cm="1">
        <f t="array" aca="1" ref="U104" ca="1">SUMPRODUCT(LARGE('For stats end Y points'!$B104:U104,ROW(INDIRECT("1:"&amp;MIN(24,COUNT('For stats end Y points'!$B104:U104))))))</f>
        <v>92</v>
      </c>
      <c r="V104" cm="1">
        <f t="array" aca="1" ref="V104" ca="1">SUMPRODUCT(LARGE('For stats end Y points'!$B104:V104,ROW(INDIRECT("1:"&amp;MIN(24,COUNT('For stats end Y points'!$B104:V104))))))</f>
        <v>97</v>
      </c>
      <c r="W104" cm="1">
        <f t="array" aca="1" ref="W104" ca="1">SUMPRODUCT(LARGE('For stats end Y points'!$B104:W104,ROW(INDIRECT("1:"&amp;MIN(24,COUNT('For stats end Y points'!$B104:W104))))))</f>
        <v>97</v>
      </c>
      <c r="X104" cm="1">
        <f t="array" aca="1" ref="X104" ca="1">SUMPRODUCT(LARGE('For stats end Y points'!$B104:X104,ROW(INDIRECT("1:"&amp;MIN(24,COUNT('For stats end Y points'!$B104:X104))))))</f>
        <v>105</v>
      </c>
      <c r="Y104" cm="1">
        <f t="array" aca="1" ref="Y104" ca="1">SUMPRODUCT(LARGE('For stats end Y points'!$B104:Y104,ROW(INDIRECT("1:"&amp;MIN(24,COUNT('For stats end Y points'!$B104:Y104))))))</f>
        <v>114</v>
      </c>
      <c r="Z104" cm="1">
        <f t="array" aca="1" ref="Z104" ca="1">SUMPRODUCT(LARGE('For stats end Y points'!$B104:Z104,ROW(INDIRECT("1:"&amp;MIN(24,COUNT('For stats end Y points'!$B104:Z104))))))</f>
        <v>114</v>
      </c>
      <c r="AA104" cm="1">
        <f t="array" aca="1" ref="AA104" ca="1">SUMPRODUCT(LARGE('For stats end Y points'!$B104:AA104,ROW(INDIRECT("1:"&amp;MIN(24,COUNT('For stats end Y points'!$B104:AA104))))))</f>
        <v>114</v>
      </c>
      <c r="AB104" cm="1">
        <f t="array" aca="1" ref="AB104" ca="1">SUMPRODUCT(LARGE('For stats end Y points'!$B104:AB104,ROW(INDIRECT("1:"&amp;MIN(24,COUNT('For stats end Y points'!$B104:AB104))))))</f>
        <v>114</v>
      </c>
      <c r="AC104" cm="1">
        <f t="array" aca="1" ref="AC104" ca="1">SUMPRODUCT(LARGE('For stats end Y points'!$B104:AC104,ROW(INDIRECT("1:"&amp;MIN(24,COUNT('For stats end Y points'!$B104:AC104))))))</f>
        <v>130</v>
      </c>
      <c r="AD104" cm="1">
        <f t="array" aca="1" ref="AD104" ca="1">SUMPRODUCT(LARGE('For stats end Y points'!$B104:AD104,ROW(INDIRECT("1:"&amp;MIN(24,COUNT('For stats end Y points'!$B104:AD104))))))</f>
        <v>131</v>
      </c>
      <c r="AE104" cm="1">
        <f t="array" aca="1" ref="AE104" ca="1">SUMPRODUCT(LARGE('For stats end Y points'!$B104:AE104,ROW(INDIRECT("1:"&amp;MIN(24,COUNT('For stats end Y points'!$B104:AE104))))))</f>
        <v>131</v>
      </c>
      <c r="AF104" cm="1">
        <f t="array" aca="1" ref="AF104" ca="1">SUMPRODUCT(LARGE('For stats end Y points'!$B104:AF104,ROW(INDIRECT("1:"&amp;MIN(24,COUNT('For stats end Y points'!$B104:AF104))))))</f>
        <v>131</v>
      </c>
      <c r="AG104" cm="1">
        <f t="array" aca="1" ref="AG104" ca="1">SUMPRODUCT(LARGE('For stats end Y points'!$B104:AG104,ROW(INDIRECT("1:"&amp;MIN(24,COUNT('For stats end Y points'!$B104:AG104))))))</f>
        <v>131</v>
      </c>
      <c r="AH104" cm="1">
        <f t="array" aca="1" ref="AH104" ca="1">SUMPRODUCT(LARGE('For stats end Y points'!$B104:AH104,ROW(INDIRECT("1:"&amp;MIN(24,COUNT('For stats end Y points'!$B104:AH104))))))</f>
        <v>131</v>
      </c>
    </row>
    <row r="105" spans="1:43" x14ac:dyDescent="0.2">
      <c r="A105" t="str">
        <f>'For stats end Y points'!A105</f>
        <v>Yroz</v>
      </c>
      <c r="B105" cm="1">
        <f t="array" aca="1" ref="B105" ca="1">SUMPRODUCT(LARGE('For stats end Y points'!$B105:B105,ROW(INDIRECT("1:"&amp;MIN(24,COUNT('For stats end Y points'!$B105:B105))))))</f>
        <v>0</v>
      </c>
      <c r="C105" cm="1">
        <f t="array" aca="1" ref="C105" ca="1">SUMPRODUCT(LARGE('For stats end Y points'!$B105:C105,ROW(INDIRECT("1:"&amp;MIN(24,COUNT('For stats end Y points'!$B105:C105))))))</f>
        <v>9</v>
      </c>
      <c r="D105" cm="1">
        <f t="array" aca="1" ref="D105" ca="1">SUMPRODUCT(LARGE('For stats end Y points'!$B105:D105,ROW(INDIRECT("1:"&amp;MIN(24,COUNT('For stats end Y points'!$B105:D105))))))</f>
        <v>17</v>
      </c>
      <c r="E105" cm="1">
        <f t="array" aca="1" ref="E105" ca="1">SUMPRODUCT(LARGE('For stats end Y points'!$B105:E105,ROW(INDIRECT("1:"&amp;MIN(24,COUNT('For stats end Y points'!$B105:E105))))))</f>
        <v>20</v>
      </c>
      <c r="F105" cm="1">
        <f t="array" aca="1" ref="F105" ca="1">SUMPRODUCT(LARGE('For stats end Y points'!$B105:F105,ROW(INDIRECT("1:"&amp;MIN(24,COUNT('For stats end Y points'!$B105:F105))))))</f>
        <v>20</v>
      </c>
      <c r="G105" cm="1">
        <f t="array" aca="1" ref="G105" ca="1">SUMPRODUCT(LARGE('For stats end Y points'!$B105:G105,ROW(INDIRECT("1:"&amp;MIN(24,COUNT('For stats end Y points'!$B105:G105))))))</f>
        <v>20</v>
      </c>
      <c r="H105" cm="1">
        <f t="array" aca="1" ref="H105" ca="1">SUMPRODUCT(LARGE('For stats end Y points'!$B105:H105,ROW(INDIRECT("1:"&amp;MIN(24,COUNT('For stats end Y points'!$B105:H105))))))</f>
        <v>20</v>
      </c>
      <c r="I105" cm="1">
        <f t="array" aca="1" ref="I105" ca="1">SUMPRODUCT(LARGE('For stats end Y points'!$B105:I105,ROW(INDIRECT("1:"&amp;MIN(24,COUNT('For stats end Y points'!$B105:I105))))))</f>
        <v>33</v>
      </c>
      <c r="J105" cm="1">
        <f t="array" aca="1" ref="J105" ca="1">SUMPRODUCT(LARGE('For stats end Y points'!$B105:J105,ROW(INDIRECT("1:"&amp;MIN(24,COUNT('For stats end Y points'!$B105:J105))))))</f>
        <v>34</v>
      </c>
      <c r="K105" cm="1">
        <f t="array" aca="1" ref="K105" ca="1">SUMPRODUCT(LARGE('For stats end Y points'!$B105:K105,ROW(INDIRECT("1:"&amp;MIN(24,COUNT('For stats end Y points'!$B105:K105))))))</f>
        <v>35</v>
      </c>
      <c r="L105" cm="1">
        <f t="array" aca="1" ref="L105" ca="1">SUMPRODUCT(LARGE('For stats end Y points'!$B105:L105,ROW(INDIRECT("1:"&amp;MIN(24,COUNT('For stats end Y points'!$B105:L105))))))</f>
        <v>46</v>
      </c>
      <c r="M105" cm="1">
        <f t="array" aca="1" ref="M105" ca="1">SUMPRODUCT(LARGE('For stats end Y points'!$B105:M105,ROW(INDIRECT("1:"&amp;MIN(24,COUNT('For stats end Y points'!$B105:M105))))))</f>
        <v>51</v>
      </c>
      <c r="N105" cm="1">
        <f t="array" aca="1" ref="N105" ca="1">SUMPRODUCT(LARGE('For stats end Y points'!$B105:N105,ROW(INDIRECT("1:"&amp;MIN(24,COUNT('For stats end Y points'!$B105:N105))))))</f>
        <v>51</v>
      </c>
      <c r="O105" cm="1">
        <f t="array" aca="1" ref="O105" ca="1">SUMPRODUCT(LARGE('For stats end Y points'!$B105:O105,ROW(INDIRECT("1:"&amp;MIN(24,COUNT('For stats end Y points'!$B105:O105))))))</f>
        <v>51</v>
      </c>
      <c r="P105" cm="1">
        <f t="array" aca="1" ref="P105" ca="1">SUMPRODUCT(LARGE('For stats end Y points'!$B105:P105,ROW(INDIRECT("1:"&amp;MIN(24,COUNT('For stats end Y points'!$B105:P105))))))</f>
        <v>53</v>
      </c>
      <c r="Q105" cm="1">
        <f t="array" aca="1" ref="Q105" ca="1">SUMPRODUCT(LARGE('For stats end Y points'!$B105:Q105,ROW(INDIRECT("1:"&amp;MIN(24,COUNT('For stats end Y points'!$B105:Q105))))))</f>
        <v>62</v>
      </c>
      <c r="R105" cm="1">
        <f t="array" aca="1" ref="R105" ca="1">SUMPRODUCT(LARGE('For stats end Y points'!$B105:R105,ROW(INDIRECT("1:"&amp;MIN(24,COUNT('For stats end Y points'!$B105:R105))))))</f>
        <v>62</v>
      </c>
      <c r="S105" cm="1">
        <f t="array" aca="1" ref="S105" ca="1">SUMPRODUCT(LARGE('For stats end Y points'!$B105:S105,ROW(INDIRECT("1:"&amp;MIN(24,COUNT('For stats end Y points'!$B105:S105))))))</f>
        <v>63</v>
      </c>
      <c r="T105" cm="1">
        <f t="array" aca="1" ref="T105" ca="1">SUMPRODUCT(LARGE('For stats end Y points'!$B105:T105,ROW(INDIRECT("1:"&amp;MIN(24,COUNT('For stats end Y points'!$B105:T105))))))</f>
        <v>65</v>
      </c>
      <c r="U105" cm="1">
        <f t="array" aca="1" ref="U105" ca="1">SUMPRODUCT(LARGE('For stats end Y points'!$B105:U105,ROW(INDIRECT("1:"&amp;MIN(24,COUNT('For stats end Y points'!$B105:U105))))))</f>
        <v>65</v>
      </c>
      <c r="V105" cm="1">
        <f t="array" aca="1" ref="V105" ca="1">SUMPRODUCT(LARGE('For stats end Y points'!$B105:V105,ROW(INDIRECT("1:"&amp;MIN(24,COUNT('For stats end Y points'!$B105:V105))))))</f>
        <v>65</v>
      </c>
      <c r="W105" cm="1">
        <f t="array" aca="1" ref="W105" ca="1">SUMPRODUCT(LARGE('For stats end Y points'!$B105:W105,ROW(INDIRECT("1:"&amp;MIN(24,COUNT('For stats end Y points'!$B105:W105))))))</f>
        <v>69</v>
      </c>
      <c r="X105" cm="1">
        <f t="array" aca="1" ref="X105" ca="1">SUMPRODUCT(LARGE('For stats end Y points'!$B105:X105,ROW(INDIRECT("1:"&amp;MIN(24,COUNT('For stats end Y points'!$B105:X105))))))</f>
        <v>69</v>
      </c>
      <c r="Y105" cm="1">
        <f t="array" aca="1" ref="Y105" ca="1">SUMPRODUCT(LARGE('For stats end Y points'!$B105:Y105,ROW(INDIRECT("1:"&amp;MIN(24,COUNT('For stats end Y points'!$B105:Y105))))))</f>
        <v>72</v>
      </c>
      <c r="Z105" cm="1">
        <f t="array" aca="1" ref="Z105" ca="1">SUMPRODUCT(LARGE('For stats end Y points'!$B105:Z105,ROW(INDIRECT("1:"&amp;MIN(24,COUNT('For stats end Y points'!$B105:Z105))))))</f>
        <v>72</v>
      </c>
      <c r="AA105" cm="1">
        <f t="array" aca="1" ref="AA105" ca="1">SUMPRODUCT(LARGE('For stats end Y points'!$B105:AA105,ROW(INDIRECT("1:"&amp;MIN(24,COUNT('For stats end Y points'!$B105:AA105))))))</f>
        <v>72</v>
      </c>
      <c r="AB105" cm="1">
        <f t="array" aca="1" ref="AB105" ca="1">SUMPRODUCT(LARGE('For stats end Y points'!$B105:AB105,ROW(INDIRECT("1:"&amp;MIN(24,COUNT('For stats end Y points'!$B105:AB105))))))</f>
        <v>84</v>
      </c>
      <c r="AC105" cm="1">
        <f t="array" aca="1" ref="AC105" ca="1">SUMPRODUCT(LARGE('For stats end Y points'!$B105:AC105,ROW(INDIRECT("1:"&amp;MIN(24,COUNT('For stats end Y points'!$B105:AC105))))))</f>
        <v>84</v>
      </c>
      <c r="AD105" cm="1">
        <f t="array" aca="1" ref="AD105" ca="1">SUMPRODUCT(LARGE('For stats end Y points'!$B105:AD105,ROW(INDIRECT("1:"&amp;MIN(24,COUNT('For stats end Y points'!$B105:AD105))))))</f>
        <v>89</v>
      </c>
      <c r="AE105" cm="1">
        <f t="array" aca="1" ref="AE105" ca="1">SUMPRODUCT(LARGE('For stats end Y points'!$B105:AE105,ROW(INDIRECT("1:"&amp;MIN(24,COUNT('For stats end Y points'!$B105:AE105))))))</f>
        <v>89</v>
      </c>
      <c r="AF105" cm="1">
        <f t="array" aca="1" ref="AF105" ca="1">SUMPRODUCT(LARGE('For stats end Y points'!$B105:AF105,ROW(INDIRECT("1:"&amp;MIN(24,COUNT('For stats end Y points'!$B105:AF105))))))</f>
        <v>89</v>
      </c>
      <c r="AG105" cm="1">
        <f t="array" aca="1" ref="AG105" ca="1">SUMPRODUCT(LARGE('For stats end Y points'!$B105:AG105,ROW(INDIRECT("1:"&amp;MIN(24,COUNT('For stats end Y points'!$B105:AG105))))))</f>
        <v>89</v>
      </c>
      <c r="AH105" cm="1">
        <f t="array" aca="1" ref="AH105" ca="1">SUMPRODUCT(LARGE('For stats end Y points'!$B105:AH105,ROW(INDIRECT("1:"&amp;MIN(24,COUNT('For stats end Y points'!$B105:AH105))))))</f>
        <v>90</v>
      </c>
    </row>
    <row r="106" spans="1:43" x14ac:dyDescent="0.2">
      <c r="A106" t="str">
        <f>'For stats end Y points'!A106</f>
        <v>Zizou</v>
      </c>
      <c r="B106" cm="1">
        <f t="array" aca="1" ref="B106" ca="1">SUMPRODUCT(LARGE('For stats end Y points'!$B106:B106,ROW(INDIRECT("1:"&amp;MIN(24,COUNT('For stats end Y points'!$B106:B106))))))</f>
        <v>8</v>
      </c>
      <c r="C106" cm="1">
        <f t="array" aca="1" ref="C106" ca="1">SUMPRODUCT(LARGE('For stats end Y points'!$B106:C106,ROW(INDIRECT("1:"&amp;MIN(24,COUNT('For stats end Y points'!$B106:C106))))))</f>
        <v>13</v>
      </c>
      <c r="D106" cm="1">
        <f t="array" aca="1" ref="D106" ca="1">SUMPRODUCT(LARGE('For stats end Y points'!$B106:D106,ROW(INDIRECT("1:"&amp;MIN(24,COUNT('For stats end Y points'!$B106:D106))))))</f>
        <v>14</v>
      </c>
      <c r="E106" cm="1">
        <f t="array" aca="1" ref="E106" ca="1">SUMPRODUCT(LARGE('For stats end Y points'!$B106:E106,ROW(INDIRECT("1:"&amp;MIN(24,COUNT('For stats end Y points'!$B106:E106))))))</f>
        <v>17</v>
      </c>
      <c r="F106" cm="1">
        <f t="array" aca="1" ref="F106" ca="1">SUMPRODUCT(LARGE('For stats end Y points'!$B106:F106,ROW(INDIRECT("1:"&amp;MIN(24,COUNT('For stats end Y points'!$B106:F106))))))</f>
        <v>17</v>
      </c>
      <c r="G106" cm="1">
        <f t="array" aca="1" ref="G106" ca="1">SUMPRODUCT(LARGE('For stats end Y points'!$B106:G106,ROW(INDIRECT("1:"&amp;MIN(24,COUNT('For stats end Y points'!$B106:G106))))))</f>
        <v>30</v>
      </c>
      <c r="H106" cm="1">
        <f t="array" aca="1" ref="H106" ca="1">SUMPRODUCT(LARGE('For stats end Y points'!$B106:H106,ROW(INDIRECT("1:"&amp;MIN(24,COUNT('For stats end Y points'!$B106:H106))))))</f>
        <v>30</v>
      </c>
      <c r="I106" cm="1">
        <f t="array" aca="1" ref="I106" ca="1">SUMPRODUCT(LARGE('For stats end Y points'!$B106:I106,ROW(INDIRECT("1:"&amp;MIN(24,COUNT('For stats end Y points'!$B106:I106))))))</f>
        <v>31</v>
      </c>
      <c r="J106" cm="1">
        <f t="array" aca="1" ref="J106" ca="1">SUMPRODUCT(LARGE('For stats end Y points'!$B106:J106,ROW(INDIRECT("1:"&amp;MIN(24,COUNT('For stats end Y points'!$B106:J106))))))</f>
        <v>35</v>
      </c>
      <c r="K106" cm="1">
        <f t="array" aca="1" ref="K106" ca="1">SUMPRODUCT(LARGE('For stats end Y points'!$B106:K106,ROW(INDIRECT("1:"&amp;MIN(24,COUNT('For stats end Y points'!$B106:K106))))))</f>
        <v>51</v>
      </c>
      <c r="L106" cm="1">
        <f t="array" aca="1" ref="L106" ca="1">SUMPRODUCT(LARGE('For stats end Y points'!$B106:L106,ROW(INDIRECT("1:"&amp;MIN(24,COUNT('For stats end Y points'!$B106:L106))))))</f>
        <v>51</v>
      </c>
      <c r="M106" cm="1">
        <f t="array" aca="1" ref="M106" ca="1">SUMPRODUCT(LARGE('For stats end Y points'!$B106:M106,ROW(INDIRECT("1:"&amp;MIN(24,COUNT('For stats end Y points'!$B106:M106))))))</f>
        <v>52</v>
      </c>
      <c r="N106" cm="1">
        <f t="array" aca="1" ref="N106" ca="1">SUMPRODUCT(LARGE('For stats end Y points'!$B106:N106,ROW(INDIRECT("1:"&amp;MIN(24,COUNT('For stats end Y points'!$B106:N106))))))</f>
        <v>68</v>
      </c>
      <c r="O106" cm="1">
        <f t="array" aca="1" ref="O106" ca="1">SUMPRODUCT(LARGE('For stats end Y points'!$B106:O106,ROW(INDIRECT("1:"&amp;MIN(24,COUNT('For stats end Y points'!$B106:O106))))))</f>
        <v>71</v>
      </c>
      <c r="P106" cm="1">
        <f t="array" aca="1" ref="P106" ca="1">SUMPRODUCT(LARGE('For stats end Y points'!$B106:P106,ROW(INDIRECT("1:"&amp;MIN(24,COUNT('For stats end Y points'!$B106:P106))))))</f>
        <v>73</v>
      </c>
      <c r="Q106" cm="1">
        <f t="array" aca="1" ref="Q106" ca="1">SUMPRODUCT(LARGE('For stats end Y points'!$B106:Q106,ROW(INDIRECT("1:"&amp;MIN(24,COUNT('For stats end Y points'!$B106:Q106))))))</f>
        <v>76</v>
      </c>
      <c r="R106" cm="1">
        <f t="array" aca="1" ref="R106" ca="1">SUMPRODUCT(LARGE('For stats end Y points'!$B106:R106,ROW(INDIRECT("1:"&amp;MIN(24,COUNT('For stats end Y points'!$B106:R106))))))</f>
        <v>78</v>
      </c>
      <c r="S106" cm="1">
        <f t="array" aca="1" ref="S106" ca="1">SUMPRODUCT(LARGE('For stats end Y points'!$B106:S106,ROW(INDIRECT("1:"&amp;MIN(24,COUNT('For stats end Y points'!$B106:S106))))))</f>
        <v>87</v>
      </c>
      <c r="T106" cm="1">
        <f t="array" aca="1" ref="T106" ca="1">SUMPRODUCT(LARGE('For stats end Y points'!$B106:T106,ROW(INDIRECT("1:"&amp;MIN(24,COUNT('For stats end Y points'!$B106:T106))))))</f>
        <v>103</v>
      </c>
      <c r="U106" cm="1">
        <f t="array" aca="1" ref="U106" ca="1">SUMPRODUCT(LARGE('For stats end Y points'!$B106:U106,ROW(INDIRECT("1:"&amp;MIN(24,COUNT('For stats end Y points'!$B106:U106))))))</f>
        <v>107</v>
      </c>
      <c r="V106" cm="1">
        <f t="array" aca="1" ref="V106" ca="1">SUMPRODUCT(LARGE('For stats end Y points'!$B106:V106,ROW(INDIRECT("1:"&amp;MIN(24,COUNT('For stats end Y points'!$B106:V106))))))</f>
        <v>108</v>
      </c>
      <c r="W106" cm="1">
        <f t="array" aca="1" ref="W106" ca="1">SUMPRODUCT(LARGE('For stats end Y points'!$B106:W106,ROW(INDIRECT("1:"&amp;MIN(24,COUNT('For stats end Y points'!$B106:W106))))))</f>
        <v>117</v>
      </c>
      <c r="X106" cm="1">
        <f t="array" aca="1" ref="X106" ca="1">SUMPRODUCT(LARGE('For stats end Y points'!$B106:X106,ROW(INDIRECT("1:"&amp;MIN(24,COUNT('For stats end Y points'!$B106:X106))))))</f>
        <v>130</v>
      </c>
      <c r="Y106" cm="1">
        <f t="array" aca="1" ref="Y106" ca="1">SUMPRODUCT(LARGE('For stats end Y points'!$B106:Y106,ROW(INDIRECT("1:"&amp;MIN(24,COUNT('For stats end Y points'!$B106:Y106))))))</f>
        <v>132</v>
      </c>
      <c r="Z106" cm="1">
        <f t="array" aca="1" ref="Z106" ca="1">SUMPRODUCT(LARGE('For stats end Y points'!$B106:Z106,ROW(INDIRECT("1:"&amp;MIN(24,COUNT('For stats end Y points'!$B106:Z106))))))</f>
        <v>141</v>
      </c>
      <c r="AA106" cm="1">
        <f t="array" aca="1" ref="AA106" ca="1">SUMPRODUCT(LARGE('For stats end Y points'!$B106:AA106,ROW(INDIRECT("1:"&amp;MIN(24,COUNT('For stats end Y points'!$B106:AA106))))))</f>
        <v>141</v>
      </c>
      <c r="AB106" cm="1">
        <f t="array" aca="1" ref="AB106" ca="1">SUMPRODUCT(LARGE('For stats end Y points'!$B106:AB106,ROW(INDIRECT("1:"&amp;MIN(24,COUNT('For stats end Y points'!$B106:AB106))))))</f>
        <v>149</v>
      </c>
      <c r="AC106" cm="1">
        <f t="array" aca="1" ref="AC106" ca="1">SUMPRODUCT(LARGE('For stats end Y points'!$B106:AC106,ROW(INDIRECT("1:"&amp;MIN(24,COUNT('For stats end Y points'!$B106:AC106))))))</f>
        <v>162</v>
      </c>
      <c r="AD106" cm="1">
        <f t="array" aca="1" ref="AD106" ca="1">SUMPRODUCT(LARGE('For stats end Y points'!$B106:AD106,ROW(INDIRECT("1:"&amp;MIN(24,COUNT('For stats end Y points'!$B106:AD106))))))</f>
        <v>174</v>
      </c>
      <c r="AE106" cm="1">
        <f t="array" aca="1" ref="AE106" ca="1">SUMPRODUCT(LARGE('For stats end Y points'!$B106:AE106,ROW(INDIRECT("1:"&amp;MIN(24,COUNT('For stats end Y points'!$B106:AE106))))))</f>
        <v>186</v>
      </c>
      <c r="AF106" cm="1">
        <f t="array" aca="1" ref="AF106" ca="1">SUMPRODUCT(LARGE('For stats end Y points'!$B106:AF106,ROW(INDIRECT("1:"&amp;MIN(24,COUNT('For stats end Y points'!$B106:AF106))))))</f>
        <v>189</v>
      </c>
      <c r="AG106" cm="1">
        <f t="array" aca="1" ref="AG106" ca="1">SUMPRODUCT(LARGE('For stats end Y points'!$B106:AG106,ROW(INDIRECT("1:"&amp;MIN(24,COUNT('For stats end Y points'!$B106:AG106))))))</f>
        <v>189</v>
      </c>
      <c r="AH106" cm="1">
        <f t="array" aca="1" ref="AH106" ca="1">SUMPRODUCT(LARGE('For stats end Y points'!$B106:AH106,ROW(INDIRECT("1:"&amp;MIN(24,COUNT('For stats end Y points'!$B106:AH106))))))</f>
        <v>189</v>
      </c>
    </row>
    <row r="107" spans="1:43" x14ac:dyDescent="0.2">
      <c r="A107" t="str">
        <f>'For stats end Y points'!A107</f>
        <v>Zubbaz</v>
      </c>
      <c r="B107" cm="1">
        <f t="array" aca="1" ref="B107" ca="1">SUMPRODUCT(LARGE('For stats end Y points'!$B107:B107,ROW(INDIRECT("1:"&amp;MIN(24,COUNT('For stats end Y points'!$B107:B107))))))</f>
        <v>13</v>
      </c>
      <c r="C107" cm="1">
        <f t="array" aca="1" ref="C107" ca="1">SUMPRODUCT(LARGE('For stats end Y points'!$B107:C107,ROW(INDIRECT("1:"&amp;MIN(24,COUNT('For stats end Y points'!$B107:C107))))))</f>
        <v>30</v>
      </c>
      <c r="D107" cm="1">
        <f t="array" aca="1" ref="D107" ca="1">SUMPRODUCT(LARGE('For stats end Y points'!$B107:D107,ROW(INDIRECT("1:"&amp;MIN(24,COUNT('For stats end Y points'!$B107:D107))))))</f>
        <v>31</v>
      </c>
      <c r="E107" cm="1">
        <f t="array" aca="1" ref="E107" ca="1">SUMPRODUCT(LARGE('For stats end Y points'!$B107:E107,ROW(INDIRECT("1:"&amp;MIN(24,COUNT('For stats end Y points'!$B107:E107))))))</f>
        <v>32</v>
      </c>
      <c r="F107" cm="1">
        <f t="array" aca="1" ref="F107" ca="1">SUMPRODUCT(LARGE('For stats end Y points'!$B107:F107,ROW(INDIRECT("1:"&amp;MIN(24,COUNT('For stats end Y points'!$B107:F107))))))</f>
        <v>32</v>
      </c>
      <c r="G107" cm="1">
        <f t="array" aca="1" ref="G107" ca="1">SUMPRODUCT(LARGE('For stats end Y points'!$B107:G107,ROW(INDIRECT("1:"&amp;MIN(24,COUNT('For stats end Y points'!$B107:G107))))))</f>
        <v>32</v>
      </c>
      <c r="H107" cm="1">
        <f t="array" aca="1" ref="H107" ca="1">SUMPRODUCT(LARGE('For stats end Y points'!$B107:H107,ROW(INDIRECT("1:"&amp;MIN(24,COUNT('For stats end Y points'!$B107:H107))))))</f>
        <v>48</v>
      </c>
      <c r="I107" cm="1">
        <f t="array" aca="1" ref="I107" ca="1">SUMPRODUCT(LARGE('For stats end Y points'!$B107:I107,ROW(INDIRECT("1:"&amp;MIN(24,COUNT('For stats end Y points'!$B107:I107))))))</f>
        <v>65</v>
      </c>
      <c r="J107" cm="1">
        <f t="array" aca="1" ref="J107" ca="1">SUMPRODUCT(LARGE('For stats end Y points'!$B107:J107,ROW(INDIRECT("1:"&amp;MIN(24,COUNT('For stats end Y points'!$B107:J107))))))</f>
        <v>67</v>
      </c>
      <c r="K107" cm="1">
        <f t="array" aca="1" ref="K107" ca="1">SUMPRODUCT(LARGE('For stats end Y points'!$B107:K107,ROW(INDIRECT("1:"&amp;MIN(24,COUNT('For stats end Y points'!$B107:K107))))))</f>
        <v>67</v>
      </c>
      <c r="L107" cm="1">
        <f t="array" aca="1" ref="L107" ca="1">SUMPRODUCT(LARGE('For stats end Y points'!$B107:L107,ROW(INDIRECT("1:"&amp;MIN(24,COUNT('For stats end Y points'!$B107:L107))))))</f>
        <v>82</v>
      </c>
      <c r="M107" cm="1">
        <f t="array" aca="1" ref="M107" ca="1">SUMPRODUCT(LARGE('For stats end Y points'!$B107:M107,ROW(INDIRECT("1:"&amp;MIN(24,COUNT('For stats end Y points'!$B107:M107))))))</f>
        <v>86</v>
      </c>
      <c r="N107" cm="1">
        <f t="array" aca="1" ref="N107" ca="1">SUMPRODUCT(LARGE('For stats end Y points'!$B107:N107,ROW(INDIRECT("1:"&amp;MIN(24,COUNT('For stats end Y points'!$B107:N107))))))</f>
        <v>87</v>
      </c>
      <c r="O107" cm="1">
        <f t="array" aca="1" ref="O107" ca="1">SUMPRODUCT(LARGE('For stats end Y points'!$B107:O107,ROW(INDIRECT("1:"&amp;MIN(24,COUNT('For stats end Y points'!$B107:O107))))))</f>
        <v>87</v>
      </c>
      <c r="P107" cm="1">
        <f t="array" aca="1" ref="P107" ca="1">SUMPRODUCT(LARGE('For stats end Y points'!$B107:P107,ROW(INDIRECT("1:"&amp;MIN(24,COUNT('For stats end Y points'!$B107:P107))))))</f>
        <v>88</v>
      </c>
      <c r="Q107" cm="1">
        <f t="array" aca="1" ref="Q107" ca="1">SUMPRODUCT(LARGE('For stats end Y points'!$B107:Q107,ROW(INDIRECT("1:"&amp;MIN(24,COUNT('For stats end Y points'!$B107:Q107))))))</f>
        <v>88</v>
      </c>
      <c r="R107" cm="1">
        <f t="array" aca="1" ref="R107" ca="1">SUMPRODUCT(LARGE('For stats end Y points'!$B107:R107,ROW(INDIRECT("1:"&amp;MIN(24,COUNT('For stats end Y points'!$B107:R107))))))</f>
        <v>105</v>
      </c>
      <c r="S107" cm="1">
        <f t="array" aca="1" ref="S107" ca="1">SUMPRODUCT(LARGE('For stats end Y points'!$B107:S107,ROW(INDIRECT("1:"&amp;MIN(24,COUNT('For stats end Y points'!$B107:S107))))))</f>
        <v>122</v>
      </c>
      <c r="T107" cm="1">
        <f t="array" aca="1" ref="T107" ca="1">SUMPRODUCT(LARGE('For stats end Y points'!$B107:T107,ROW(INDIRECT("1:"&amp;MIN(24,COUNT('For stats end Y points'!$B107:T107))))))</f>
        <v>138</v>
      </c>
      <c r="U107" cm="1">
        <f t="array" aca="1" ref="U107" ca="1">SUMPRODUCT(LARGE('For stats end Y points'!$B107:U107,ROW(INDIRECT("1:"&amp;MIN(24,COUNT('For stats end Y points'!$B107:U107))))))</f>
        <v>138</v>
      </c>
      <c r="V107" cm="1">
        <f t="array" aca="1" ref="V107" ca="1">SUMPRODUCT(LARGE('For stats end Y points'!$B107:V107,ROW(INDIRECT("1:"&amp;MIN(24,COUNT('For stats end Y points'!$B107:V107))))))</f>
        <v>150</v>
      </c>
      <c r="W107" cm="1">
        <f t="array" aca="1" ref="W107" ca="1">SUMPRODUCT(LARGE('For stats end Y points'!$B107:W107,ROW(INDIRECT("1:"&amp;MIN(24,COUNT('For stats end Y points'!$B107:W107))))))</f>
        <v>150</v>
      </c>
      <c r="X107" cm="1">
        <f t="array" aca="1" ref="X107" ca="1">SUMPRODUCT(LARGE('For stats end Y points'!$B107:X107,ROW(INDIRECT("1:"&amp;MIN(24,COUNT('For stats end Y points'!$B107:X107))))))</f>
        <v>166</v>
      </c>
      <c r="Y107" cm="1">
        <f t="array" aca="1" ref="Y107" ca="1">SUMPRODUCT(LARGE('For stats end Y points'!$B107:Y107,ROW(INDIRECT("1:"&amp;MIN(24,COUNT('For stats end Y points'!$B107:Y107))))))</f>
        <v>167</v>
      </c>
      <c r="Z107" cm="1">
        <f t="array" aca="1" ref="Z107" ca="1">SUMPRODUCT(LARGE('For stats end Y points'!$B107:Z107,ROW(INDIRECT("1:"&amp;MIN(24,COUNT('For stats end Y points'!$B107:Z107))))))</f>
        <v>175</v>
      </c>
      <c r="AA107" cm="1">
        <f t="array" aca="1" ref="AA107" ca="1">SUMPRODUCT(LARGE('For stats end Y points'!$B107:AA107,ROW(INDIRECT("1:"&amp;MIN(24,COUNT('For stats end Y points'!$B107:AA107))))))</f>
        <v>191</v>
      </c>
      <c r="AB107" cm="1">
        <f t="array" aca="1" ref="AB107" ca="1">SUMPRODUCT(LARGE('For stats end Y points'!$B107:AB107,ROW(INDIRECT("1:"&amp;MIN(24,COUNT('For stats end Y points'!$B107:AB107))))))</f>
        <v>207</v>
      </c>
      <c r="AC107" cm="1">
        <f t="array" aca="1" ref="AC107" ca="1">SUMPRODUCT(LARGE('For stats end Y points'!$B107:AC107,ROW(INDIRECT("1:"&amp;MIN(24,COUNT('For stats end Y points'!$B107:AC107))))))</f>
        <v>208</v>
      </c>
      <c r="AD107" cm="1">
        <f t="array" aca="1" ref="AD107" ca="1">SUMPRODUCT(LARGE('For stats end Y points'!$B107:AD107,ROW(INDIRECT("1:"&amp;MIN(24,COUNT('For stats end Y points'!$B107:AD107))))))</f>
        <v>220</v>
      </c>
      <c r="AE107" cm="1">
        <f t="array" aca="1" ref="AE107" ca="1">SUMPRODUCT(LARGE('For stats end Y points'!$B107:AE107,ROW(INDIRECT("1:"&amp;MIN(24,COUNT('For stats end Y points'!$B107:AE107))))))</f>
        <v>225</v>
      </c>
      <c r="AF107" cm="1">
        <f t="array" aca="1" ref="AF107" ca="1">SUMPRODUCT(LARGE('For stats end Y points'!$B107:AF107,ROW(INDIRECT("1:"&amp;MIN(24,COUNT('For stats end Y points'!$B107:AF107))))))</f>
        <v>242</v>
      </c>
      <c r="AG107" cm="1">
        <f t="array" aca="1" ref="AG107" ca="1">SUMPRODUCT(LARGE('For stats end Y points'!$B107:AG107,ROW(INDIRECT("1:"&amp;MIN(24,COUNT('For stats end Y points'!$B107:AG107))))))</f>
        <v>242</v>
      </c>
      <c r="AH107" cm="1">
        <f t="array" aca="1" ref="AH107" ca="1">SUMPRODUCT(LARGE('For stats end Y points'!$B107:AH107,ROW(INDIRECT("1:"&amp;MIN(24,COUNT('For stats end Y points'!$B107:AH107))))))</f>
        <v>249</v>
      </c>
    </row>
  </sheetData>
  <conditionalFormatting sqref="AP2:AP102">
    <cfRule type="expression" dxfId="0" priority="1">
      <formula>AP2&gt;=10</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03330-B7CC-1643-B60A-F970218B0091}">
  <dimension ref="A1:D107"/>
  <sheetViews>
    <sheetView tabSelected="1" topLeftCell="A76" workbookViewId="0">
      <selection activeCell="A108" sqref="A108:D111"/>
    </sheetView>
  </sheetViews>
  <sheetFormatPr baseColWidth="10" defaultRowHeight="16" x14ac:dyDescent="0.2"/>
  <cols>
    <col min="1" max="1" width="17.6640625" bestFit="1" customWidth="1"/>
    <col min="2" max="2" width="12.1640625" bestFit="1" customWidth="1"/>
  </cols>
  <sheetData>
    <row r="1" spans="1:4" x14ac:dyDescent="0.2">
      <c r="A1" s="1" t="s">
        <v>2</v>
      </c>
      <c r="B1" s="1" t="s">
        <v>113</v>
      </c>
      <c r="C1" s="1" t="s">
        <v>446</v>
      </c>
      <c r="D1" s="1" t="s">
        <v>447</v>
      </c>
    </row>
    <row r="2" spans="1:4" x14ac:dyDescent="0.2">
      <c r="A2" t="str">
        <f>'For stats end Y Score'!A2</f>
        <v>Ad Vitam</v>
      </c>
      <c r="B2">
        <f ca="1">'For stats end Y Score'!AH2/C2</f>
        <v>9.2903225806451619</v>
      </c>
      <c r="C2">
        <f>COUNTIF('For stats end Y points'!B2:AN2,"&lt;&gt;0")</f>
        <v>31</v>
      </c>
      <c r="D2">
        <f ca="1">B2/MAX(B2:B102)*256</f>
        <v>148.64516129032259</v>
      </c>
    </row>
    <row r="3" spans="1:4" x14ac:dyDescent="0.2">
      <c r="A3" t="str">
        <f>'For stats end Y Score'!A3</f>
        <v>Algolf75</v>
      </c>
      <c r="B3">
        <f ca="1">'For stats end Y Score'!AH3/C3</f>
        <v>4.25</v>
      </c>
      <c r="C3">
        <f>COUNTIF('For stats end Y points'!B3:AN3,"&lt;&gt;0")</f>
        <v>4</v>
      </c>
      <c r="D3">
        <f t="shared" ref="D3:D66" ca="1" si="0">B3/MAX(B3:B103)*256</f>
        <v>68</v>
      </c>
    </row>
    <row r="4" spans="1:4" x14ac:dyDescent="0.2">
      <c r="A4" t="str">
        <f>'For stats end Y Score'!A4</f>
        <v>AllinDeuces</v>
      </c>
      <c r="B4">
        <f ca="1">'For stats end Y Score'!AH4/C4</f>
        <v>8</v>
      </c>
      <c r="C4">
        <f>COUNTIF('For stats end Y points'!B4:AN4,"&lt;&gt;0")</f>
        <v>1</v>
      </c>
      <c r="D4">
        <f t="shared" ca="1" si="0"/>
        <v>128</v>
      </c>
    </row>
    <row r="5" spans="1:4" x14ac:dyDescent="0.2">
      <c r="A5" t="str">
        <f>'For stats end Y Score'!A5</f>
        <v>Ankolos</v>
      </c>
      <c r="B5">
        <f ca="1">'For stats end Y Score'!AH5/C5</f>
        <v>1.6666666666666667</v>
      </c>
      <c r="C5">
        <f>COUNTIF('For stats end Y points'!B5:AN5,"&lt;&gt;0")</f>
        <v>3</v>
      </c>
      <c r="D5">
        <f t="shared" ca="1" si="0"/>
        <v>26.666666666666668</v>
      </c>
    </row>
    <row r="6" spans="1:4" x14ac:dyDescent="0.2">
      <c r="A6" t="str">
        <f>'For stats end Y Score'!A6</f>
        <v>Antoine</v>
      </c>
      <c r="B6">
        <f ca="1">'For stats end Y Score'!AH6/C6</f>
        <v>1</v>
      </c>
      <c r="C6">
        <f>COUNTIF('For stats end Y points'!B6:AN6,"&lt;&gt;0")</f>
        <v>1</v>
      </c>
      <c r="D6">
        <f t="shared" ca="1" si="0"/>
        <v>16</v>
      </c>
    </row>
    <row r="7" spans="1:4" x14ac:dyDescent="0.2">
      <c r="A7" t="str">
        <f>'For stats end Y Score'!A7</f>
        <v>Bibus</v>
      </c>
      <c r="B7">
        <f ca="1">'For stats end Y Score'!AH7/C7</f>
        <v>1</v>
      </c>
      <c r="C7">
        <f>COUNTIF('For stats end Y points'!B7:AN7,"&lt;&gt;0")</f>
        <v>1</v>
      </c>
      <c r="D7">
        <f t="shared" ca="1" si="0"/>
        <v>16</v>
      </c>
    </row>
    <row r="8" spans="1:4" x14ac:dyDescent="0.2">
      <c r="A8" t="str">
        <f>'For stats end Y Score'!A8</f>
        <v>Boosilletoo</v>
      </c>
      <c r="B8">
        <f ca="1">'For stats end Y Score'!AH8/C8</f>
        <v>8.4666666666666668</v>
      </c>
      <c r="C8">
        <f>COUNTIF('For stats end Y points'!B8:AN8,"&lt;&gt;0")</f>
        <v>15</v>
      </c>
      <c r="D8">
        <f t="shared" ca="1" si="0"/>
        <v>135.46666666666667</v>
      </c>
    </row>
    <row r="9" spans="1:4" x14ac:dyDescent="0.2">
      <c r="A9" t="str">
        <f>'For stats end Y Score'!A9</f>
        <v>Bounette</v>
      </c>
      <c r="B9">
        <f ca="1">'For stats end Y Score'!AH9/C9</f>
        <v>7.333333333333333</v>
      </c>
      <c r="C9">
        <f>COUNTIF('For stats end Y points'!B9:AN9,"&lt;&gt;0")</f>
        <v>30</v>
      </c>
      <c r="D9">
        <f t="shared" ca="1" si="0"/>
        <v>117.33333333333333</v>
      </c>
    </row>
    <row r="10" spans="1:4" x14ac:dyDescent="0.2">
      <c r="A10" t="str">
        <f>'For stats end Y Score'!A10</f>
        <v>Carmin</v>
      </c>
      <c r="B10">
        <f ca="1">'For stats end Y Score'!AH10/C10</f>
        <v>5.03125</v>
      </c>
      <c r="C10">
        <f>COUNTIF('For stats end Y points'!B10:AN10,"&lt;&gt;0")</f>
        <v>32</v>
      </c>
      <c r="D10">
        <f t="shared" ca="1" si="0"/>
        <v>80.5</v>
      </c>
    </row>
    <row r="11" spans="1:4" x14ac:dyDescent="0.2">
      <c r="A11" t="str">
        <f>'For stats end Y Score'!A11</f>
        <v>Catherine</v>
      </c>
      <c r="B11">
        <f ca="1">'For stats end Y Score'!AH11/C11</f>
        <v>5.5</v>
      </c>
      <c r="C11">
        <f>COUNTIF('For stats end Y points'!B11:AN11,"&lt;&gt;0")</f>
        <v>32</v>
      </c>
      <c r="D11">
        <f t="shared" ca="1" si="0"/>
        <v>88</v>
      </c>
    </row>
    <row r="12" spans="1:4" x14ac:dyDescent="0.2">
      <c r="A12" t="str">
        <f>'For stats end Y Score'!A12</f>
        <v>Chico</v>
      </c>
      <c r="B12">
        <f ca="1">'For stats end Y Score'!AH12/C12</f>
        <v>8.4166666666666661</v>
      </c>
      <c r="C12">
        <f>COUNTIF('For stats end Y points'!B12:AN12,"&lt;&gt;0")</f>
        <v>12</v>
      </c>
      <c r="D12">
        <f t="shared" ca="1" si="0"/>
        <v>134.66666666666666</v>
      </c>
    </row>
    <row r="13" spans="1:4" x14ac:dyDescent="0.2">
      <c r="A13" t="str">
        <f>'For stats end Y Score'!A13</f>
        <v>ChrisFrankfurt</v>
      </c>
      <c r="B13">
        <f ca="1">'For stats end Y Score'!AH13/C13</f>
        <v>8.1538461538461533</v>
      </c>
      <c r="C13">
        <f>COUNTIF('For stats end Y points'!B13:AN13,"&lt;&gt;0")</f>
        <v>13</v>
      </c>
      <c r="D13">
        <f t="shared" ca="1" si="0"/>
        <v>130.46153846153845</v>
      </c>
    </row>
    <row r="14" spans="1:4" x14ac:dyDescent="0.2">
      <c r="A14" t="str">
        <f>'For stats end Y Score'!A14</f>
        <v>Claire</v>
      </c>
      <c r="B14">
        <f ca="1">'For stats end Y Score'!AH14/C14</f>
        <v>8</v>
      </c>
      <c r="C14">
        <f>COUNTIF('For stats end Y points'!B14:AN14,"&lt;&gt;0")</f>
        <v>1</v>
      </c>
      <c r="D14">
        <f t="shared" ca="1" si="0"/>
        <v>128</v>
      </c>
    </row>
    <row r="15" spans="1:4" x14ac:dyDescent="0.2">
      <c r="A15" t="str">
        <f>'For stats end Y Score'!A15</f>
        <v>Claptou</v>
      </c>
      <c r="B15">
        <f ca="1">'For stats end Y Score'!AH15/C15</f>
        <v>7</v>
      </c>
      <c r="C15">
        <f>COUNTIF('For stats end Y points'!B15:AN15,"&lt;&gt;0")</f>
        <v>27</v>
      </c>
      <c r="D15">
        <f t="shared" ca="1" si="0"/>
        <v>112</v>
      </c>
    </row>
    <row r="16" spans="1:4" x14ac:dyDescent="0.2">
      <c r="A16" t="str">
        <f>'For stats end Y Score'!A16</f>
        <v>Claudius</v>
      </c>
      <c r="B16">
        <f ca="1">'For stats end Y Score'!AH16/C16</f>
        <v>7.3636363636363633</v>
      </c>
      <c r="C16">
        <f>COUNTIF('For stats end Y points'!B16:AN16,"&lt;&gt;0")</f>
        <v>33</v>
      </c>
      <c r="D16">
        <f t="shared" ca="1" si="0"/>
        <v>117.81818181818181</v>
      </c>
    </row>
    <row r="17" spans="1:4" x14ac:dyDescent="0.2">
      <c r="A17" t="str">
        <f>'For stats end Y Score'!A17</f>
        <v>CoachNasser</v>
      </c>
      <c r="B17">
        <f ca="1">'For stats end Y Score'!AH17/C17</f>
        <v>1</v>
      </c>
      <c r="C17">
        <f>COUNTIF('For stats end Y points'!B17:AN17,"&lt;&gt;0")</f>
        <v>1</v>
      </c>
      <c r="D17">
        <f t="shared" ca="1" si="0"/>
        <v>16</v>
      </c>
    </row>
    <row r="18" spans="1:4" x14ac:dyDescent="0.2">
      <c r="A18" t="str">
        <f>'For stats end Y Score'!A18</f>
        <v>Comment2</v>
      </c>
      <c r="B18">
        <f ca="1">'For stats end Y Score'!AH18/C18</f>
        <v>5.5909090909090908</v>
      </c>
      <c r="C18">
        <f>COUNTIF('For stats end Y points'!B18:AN18,"&lt;&gt;0")</f>
        <v>22</v>
      </c>
      <c r="D18">
        <f t="shared" ca="1" si="0"/>
        <v>89.454545454545453</v>
      </c>
    </row>
    <row r="19" spans="1:4" x14ac:dyDescent="0.2">
      <c r="A19" t="str">
        <f>'For stats end Y Score'!A19</f>
        <v>Delgres</v>
      </c>
      <c r="B19">
        <f ca="1">'For stats end Y Score'!AH19/C19</f>
        <v>6.0384615384615383</v>
      </c>
      <c r="C19">
        <f>COUNTIF('For stats end Y points'!B19:AN19,"&lt;&gt;0")</f>
        <v>26</v>
      </c>
      <c r="D19">
        <f t="shared" ca="1" si="0"/>
        <v>96.615384615384613</v>
      </c>
    </row>
    <row r="20" spans="1:4" x14ac:dyDescent="0.2">
      <c r="A20" t="str">
        <f>'For stats end Y Score'!A20</f>
        <v>DernierPli</v>
      </c>
      <c r="B20">
        <f ca="1">'For stats end Y Score'!AH20/C20</f>
        <v>8.9285714285714288</v>
      </c>
      <c r="C20">
        <f>COUNTIF('For stats end Y points'!B20:AN20,"&lt;&gt;0")</f>
        <v>28</v>
      </c>
      <c r="D20">
        <f t="shared" ca="1" si="0"/>
        <v>142.85714285714286</v>
      </c>
    </row>
    <row r="21" spans="1:4" x14ac:dyDescent="0.2">
      <c r="A21" t="str">
        <f>'For stats end Y Score'!A21</f>
        <v>Djecus</v>
      </c>
      <c r="B21">
        <f ca="1">'For stats end Y Score'!AH21/C21</f>
        <v>9</v>
      </c>
      <c r="C21">
        <f>COUNTIF('For stats end Y points'!B21:AN21,"&lt;&gt;0")</f>
        <v>26</v>
      </c>
      <c r="D21">
        <f t="shared" ca="1" si="0"/>
        <v>144</v>
      </c>
    </row>
    <row r="22" spans="1:4" x14ac:dyDescent="0.2">
      <c r="A22" t="str">
        <f>'For stats end Y Score'!A22</f>
        <v>djip92</v>
      </c>
      <c r="B22">
        <f ca="1">'For stats end Y Score'!AH22/C22</f>
        <v>4</v>
      </c>
      <c r="C22">
        <f>COUNTIF('For stats end Y points'!B22:AN22,"&lt;&gt;0")</f>
        <v>1</v>
      </c>
      <c r="D22">
        <f t="shared" ca="1" si="0"/>
        <v>64</v>
      </c>
    </row>
    <row r="23" spans="1:4" x14ac:dyDescent="0.2">
      <c r="A23" t="str">
        <f>'For stats end Y Score'!A23</f>
        <v>Empedocle</v>
      </c>
      <c r="B23">
        <f ca="1">'For stats end Y Score'!AH23/C23</f>
        <v>7.2857142857142856</v>
      </c>
      <c r="C23">
        <f>COUNTIF('For stats end Y points'!B23:AN23,"&lt;&gt;0")</f>
        <v>21</v>
      </c>
      <c r="D23">
        <f t="shared" ca="1" si="0"/>
        <v>116.57142857142857</v>
      </c>
    </row>
    <row r="24" spans="1:4" x14ac:dyDescent="0.2">
      <c r="A24" t="str">
        <f>'For stats end Y Score'!A24</f>
        <v>Fishtro</v>
      </c>
      <c r="B24">
        <f ca="1">'For stats end Y Score'!AH24/C24</f>
        <v>6.5185185185185182</v>
      </c>
      <c r="C24">
        <f>COUNTIF('For stats end Y points'!B24:AN24,"&lt;&gt;0")</f>
        <v>27</v>
      </c>
      <c r="D24">
        <f t="shared" ca="1" si="0"/>
        <v>104.29629629629629</v>
      </c>
    </row>
    <row r="25" spans="1:4" x14ac:dyDescent="0.2">
      <c r="A25" t="str">
        <f>'For stats end Y Score'!A25</f>
        <v>Flabech</v>
      </c>
      <c r="B25">
        <f ca="1">'For stats end Y Score'!AH25/C25</f>
        <v>6.7142857142857144</v>
      </c>
      <c r="C25">
        <f>COUNTIF('For stats end Y points'!B25:AN25,"&lt;&gt;0")</f>
        <v>7</v>
      </c>
      <c r="D25">
        <f t="shared" ca="1" si="0"/>
        <v>107.42857142857143</v>
      </c>
    </row>
    <row r="26" spans="1:4" x14ac:dyDescent="0.2">
      <c r="A26" t="str">
        <f>'For stats end Y Score'!A26</f>
        <v>Flem</v>
      </c>
      <c r="B26">
        <f ca="1">'For stats end Y Score'!AH26/C26</f>
        <v>6.8928571428571432</v>
      </c>
      <c r="C26">
        <f>COUNTIF('For stats end Y points'!B26:AN26,"&lt;&gt;0")</f>
        <v>28</v>
      </c>
      <c r="D26">
        <f t="shared" ca="1" si="0"/>
        <v>110.28571428571429</v>
      </c>
    </row>
    <row r="27" spans="1:4" x14ac:dyDescent="0.2">
      <c r="A27" t="str">
        <f>'For stats end Y Score'!A27</f>
        <v>Flopynou</v>
      </c>
      <c r="B27">
        <f ca="1">'For stats end Y Score'!AH27/C27</f>
        <v>6.9230769230769234</v>
      </c>
      <c r="C27">
        <f>COUNTIF('For stats end Y points'!B27:AN27,"&lt;&gt;0")</f>
        <v>13</v>
      </c>
      <c r="D27">
        <f t="shared" ca="1" si="0"/>
        <v>110.76923076923077</v>
      </c>
    </row>
    <row r="28" spans="1:4" x14ac:dyDescent="0.2">
      <c r="A28" t="str">
        <f>'For stats end Y Score'!A28</f>
        <v>Flora</v>
      </c>
      <c r="B28">
        <f ca="1">'For stats end Y Score'!AH28/C28</f>
        <v>2</v>
      </c>
      <c r="C28">
        <f>COUNTIF('For stats end Y points'!B28:AN28,"&lt;&gt;0")</f>
        <v>1</v>
      </c>
      <c r="D28">
        <f t="shared" ca="1" si="0"/>
        <v>32</v>
      </c>
    </row>
    <row r="29" spans="1:4" x14ac:dyDescent="0.2">
      <c r="A29" t="str">
        <f>'For stats end Y Score'!A29</f>
        <v>Franz</v>
      </c>
      <c r="B29">
        <f ca="1">'For stats end Y Score'!AH29/C29</f>
        <v>16</v>
      </c>
      <c r="C29">
        <f>COUNTIF('For stats end Y points'!B29:AN29,"&lt;&gt;0")</f>
        <v>1</v>
      </c>
      <c r="D29">
        <f t="shared" ca="1" si="0"/>
        <v>256</v>
      </c>
    </row>
    <row r="30" spans="1:4" x14ac:dyDescent="0.2">
      <c r="A30" t="str">
        <f>'For stats end Y Score'!A30</f>
        <v>Freddie</v>
      </c>
      <c r="B30">
        <f ca="1">'For stats end Y Score'!AH30/C30</f>
        <v>4.0434782608695654</v>
      </c>
      <c r="C30">
        <f>COUNTIF('For stats end Y points'!B30:AN30,"&lt;&gt;0")</f>
        <v>23</v>
      </c>
      <c r="D30">
        <f t="shared" ca="1" si="0"/>
        <v>79.625418060200673</v>
      </c>
    </row>
    <row r="31" spans="1:4" x14ac:dyDescent="0.2">
      <c r="A31" t="str">
        <f>'For stats end Y Score'!A31</f>
        <v>Fréderique</v>
      </c>
      <c r="B31">
        <f ca="1">'For stats end Y Score'!AH31/C31</f>
        <v>3</v>
      </c>
      <c r="C31">
        <f>COUNTIF('For stats end Y points'!B31:AN31,"&lt;&gt;0")</f>
        <v>1</v>
      </c>
      <c r="D31">
        <f t="shared" ca="1" si="0"/>
        <v>59.07692307692308</v>
      </c>
    </row>
    <row r="32" spans="1:4" x14ac:dyDescent="0.2">
      <c r="A32" t="str">
        <f>'For stats end Y Score'!A32</f>
        <v>Gabs</v>
      </c>
      <c r="B32">
        <f ca="1">'For stats end Y Score'!AH32/C32</f>
        <v>2.6666666666666665</v>
      </c>
      <c r="C32">
        <f>COUNTIF('For stats end Y points'!B32:AN32,"&lt;&gt;0")</f>
        <v>3</v>
      </c>
      <c r="D32">
        <f t="shared" ca="1" si="0"/>
        <v>52.512820512820511</v>
      </c>
    </row>
    <row r="33" spans="1:4" x14ac:dyDescent="0.2">
      <c r="A33" t="str">
        <f>'For stats end Y Score'!A33</f>
        <v>Gibbonfury</v>
      </c>
      <c r="B33">
        <f ca="1">'For stats end Y Score'!AH33/C33</f>
        <v>5.8095238095238093</v>
      </c>
      <c r="C33">
        <f>COUNTIF('For stats end Y points'!B33:AN33,"&lt;&gt;0")</f>
        <v>21</v>
      </c>
      <c r="D33">
        <f t="shared" ca="1" si="0"/>
        <v>114.40293040293039</v>
      </c>
    </row>
    <row r="34" spans="1:4" x14ac:dyDescent="0.2">
      <c r="A34" t="str">
        <f>'For stats end Y Score'!A34</f>
        <v>Gibouille</v>
      </c>
      <c r="B34">
        <f ca="1">'For stats end Y Score'!AH34/C34</f>
        <v>6.75</v>
      </c>
      <c r="C34">
        <f>COUNTIF('For stats end Y points'!B34:AN34,"&lt;&gt;0")</f>
        <v>24</v>
      </c>
      <c r="D34">
        <f t="shared" ca="1" si="0"/>
        <v>132.92307692307693</v>
      </c>
    </row>
    <row r="35" spans="1:4" x14ac:dyDescent="0.2">
      <c r="A35" t="str">
        <f>'For stats end Y Score'!A35</f>
        <v>Giobeck</v>
      </c>
      <c r="B35">
        <f ca="1">'For stats end Y Score'!AH35/C35</f>
        <v>7.6521739130434785</v>
      </c>
      <c r="C35">
        <f>COUNTIF('For stats end Y points'!B35:AN35,"&lt;&gt;0")</f>
        <v>23</v>
      </c>
      <c r="D35">
        <f t="shared" ca="1" si="0"/>
        <v>150.68896321070235</v>
      </c>
    </row>
    <row r="36" spans="1:4" x14ac:dyDescent="0.2">
      <c r="A36" t="str">
        <f>'For stats end Y Score'!A36</f>
        <v>Golgoo13</v>
      </c>
      <c r="B36">
        <f ca="1">'For stats end Y Score'!AH36/C36</f>
        <v>1</v>
      </c>
      <c r="C36">
        <f>COUNTIF('For stats end Y points'!B36:AN36,"&lt;&gt;0")</f>
        <v>1</v>
      </c>
      <c r="D36">
        <f t="shared" ca="1" si="0"/>
        <v>19.692307692307693</v>
      </c>
    </row>
    <row r="37" spans="1:4" x14ac:dyDescent="0.2">
      <c r="A37" t="str">
        <f>'For stats end Y Score'!A37</f>
        <v>Guerno</v>
      </c>
      <c r="B37">
        <f ca="1">'For stats end Y Score'!AH37/C37</f>
        <v>6</v>
      </c>
      <c r="C37">
        <f>COUNTIF('For stats end Y points'!B37:AN37,"&lt;&gt;0")</f>
        <v>9</v>
      </c>
      <c r="D37">
        <f t="shared" ca="1" si="0"/>
        <v>118.15384615384616</v>
      </c>
    </row>
    <row r="38" spans="1:4" x14ac:dyDescent="0.2">
      <c r="A38" t="str">
        <f>'For stats end Y Score'!A38</f>
        <v>Ilyes.</v>
      </c>
      <c r="B38">
        <f ca="1">'For stats end Y Score'!AH38/C38</f>
        <v>9</v>
      </c>
      <c r="C38">
        <f>COUNTIF('For stats end Y points'!B38:AN38,"&lt;&gt;0")</f>
        <v>1</v>
      </c>
      <c r="D38">
        <f t="shared" ca="1" si="0"/>
        <v>177.23076923076923</v>
      </c>
    </row>
    <row r="39" spans="1:4" x14ac:dyDescent="0.2">
      <c r="A39" t="str">
        <f>'For stats end Y Score'!A39</f>
        <v>Ines</v>
      </c>
      <c r="B39">
        <f ca="1">'For stats end Y Score'!AH39/C39</f>
        <v>12</v>
      </c>
      <c r="C39">
        <f>COUNTIF('For stats end Y points'!B39:AN39,"&lt;&gt;0")</f>
        <v>1</v>
      </c>
      <c r="D39">
        <f t="shared" ca="1" si="0"/>
        <v>236.30769230769232</v>
      </c>
    </row>
    <row r="40" spans="1:4" x14ac:dyDescent="0.2">
      <c r="A40" t="str">
        <f>'For stats end Y Score'!A40</f>
        <v>Jacaille</v>
      </c>
      <c r="B40">
        <f ca="1">'For stats end Y Score'!AH40/C40</f>
        <v>9.4</v>
      </c>
      <c r="C40">
        <f>COUNTIF('For stats end Y points'!B40:AN40,"&lt;&gt;0")</f>
        <v>10</v>
      </c>
      <c r="D40">
        <f t="shared" ca="1" si="0"/>
        <v>185.1076923076923</v>
      </c>
    </row>
    <row r="41" spans="1:4" x14ac:dyDescent="0.2">
      <c r="A41" t="str">
        <f>'For stats end Y Score'!A41</f>
        <v>Jaden</v>
      </c>
      <c r="B41">
        <f ca="1">'For stats end Y Score'!AH41/C41</f>
        <v>7.6875</v>
      </c>
      <c r="C41">
        <f>COUNTIF('For stats end Y points'!B41:AN41,"&lt;&gt;0")</f>
        <v>16</v>
      </c>
      <c r="D41">
        <f t="shared" ca="1" si="0"/>
        <v>151.38461538461539</v>
      </c>
    </row>
    <row r="42" spans="1:4" x14ac:dyDescent="0.2">
      <c r="A42" t="str">
        <f>'For stats end Y Score'!A42</f>
        <v>JC</v>
      </c>
      <c r="B42">
        <f ca="1">'For stats end Y Score'!AH42/C42</f>
        <v>8.1612903225806459</v>
      </c>
      <c r="C42">
        <f>COUNTIF('For stats end Y points'!B42:AN42,"&lt;&gt;0")</f>
        <v>31</v>
      </c>
      <c r="D42">
        <f t="shared" ca="1" si="0"/>
        <v>160.71464019851118</v>
      </c>
    </row>
    <row r="43" spans="1:4" x14ac:dyDescent="0.2">
      <c r="A43" t="str">
        <f>'For stats end Y Score'!A43</f>
        <v>JeanMichelTiming</v>
      </c>
      <c r="B43">
        <f ca="1">'For stats end Y Score'!AH43/C43</f>
        <v>7.870967741935484</v>
      </c>
      <c r="C43">
        <f>COUNTIF('For stats end Y points'!B43:AN43,"&lt;&gt;0")</f>
        <v>31</v>
      </c>
      <c r="D43">
        <f t="shared" ca="1" si="0"/>
        <v>154.99751861042185</v>
      </c>
    </row>
    <row r="44" spans="1:4" x14ac:dyDescent="0.2">
      <c r="A44" t="str">
        <f>'For stats end Y Score'!A44</f>
        <v>Jeremy</v>
      </c>
      <c r="B44">
        <f ca="1">'For stats end Y Score'!AH44/C44</f>
        <v>2</v>
      </c>
      <c r="C44">
        <f>COUNTIF('For stats end Y points'!B44:AN44,"&lt;&gt;0")</f>
        <v>1</v>
      </c>
      <c r="D44">
        <f t="shared" ca="1" si="0"/>
        <v>39.384615384615387</v>
      </c>
    </row>
    <row r="45" spans="1:4" x14ac:dyDescent="0.2">
      <c r="A45" t="str">
        <f>'For stats end Y Score'!A45</f>
        <v>Jérôme</v>
      </c>
      <c r="B45">
        <f ca="1">'For stats end Y Score'!AH45/C45</f>
        <v>7.0909090909090908</v>
      </c>
      <c r="C45">
        <f>COUNTIF('For stats end Y points'!B45:AN45,"&lt;&gt;0")</f>
        <v>33</v>
      </c>
      <c r="D45">
        <f t="shared" ca="1" si="0"/>
        <v>139.63636363636363</v>
      </c>
    </row>
    <row r="46" spans="1:4" x14ac:dyDescent="0.2">
      <c r="A46" t="str">
        <f>'For stats end Y Score'!A46</f>
        <v>Joic</v>
      </c>
      <c r="B46">
        <f ca="1">'For stats end Y Score'!AH46/C46</f>
        <v>2</v>
      </c>
      <c r="C46">
        <f>COUNTIF('For stats end Y points'!B46:AN46,"&lt;&gt;0")</f>
        <v>1</v>
      </c>
      <c r="D46">
        <f t="shared" ca="1" si="0"/>
        <v>39.384615384615387</v>
      </c>
    </row>
    <row r="47" spans="1:4" x14ac:dyDescent="0.2">
      <c r="A47" t="str">
        <f>'For stats end Y Score'!A47</f>
        <v>Just4fun</v>
      </c>
      <c r="B47">
        <f ca="1">'For stats end Y Score'!AH47/C47</f>
        <v>4.5714285714285712</v>
      </c>
      <c r="C47">
        <f>COUNTIF('For stats end Y points'!B47:AN47,"&lt;&gt;0")</f>
        <v>7</v>
      </c>
      <c r="D47">
        <f t="shared" ca="1" si="0"/>
        <v>90.021978021978015</v>
      </c>
    </row>
    <row r="48" spans="1:4" x14ac:dyDescent="0.2">
      <c r="A48" t="str">
        <f>'For stats end Y Score'!A48</f>
        <v>K1</v>
      </c>
      <c r="B48">
        <f ca="1">'For stats end Y Score'!AH48/C48</f>
        <v>5.967741935483871</v>
      </c>
      <c r="C48">
        <f>COUNTIF('For stats end Y points'!B48:AN48,"&lt;&gt;0")</f>
        <v>31</v>
      </c>
      <c r="D48">
        <f t="shared" ca="1" si="0"/>
        <v>117.51861042183623</v>
      </c>
    </row>
    <row r="49" spans="1:4" x14ac:dyDescent="0.2">
      <c r="A49" t="str">
        <f>'For stats end Y Score'!A49</f>
        <v>Kewen</v>
      </c>
      <c r="B49">
        <f ca="1">'For stats end Y Score'!AH49/C49</f>
        <v>3.6666666666666665</v>
      </c>
      <c r="C49">
        <f>COUNTIF('For stats end Y points'!B49:AN49,"&lt;&gt;0")</f>
        <v>3</v>
      </c>
      <c r="D49">
        <f t="shared" ca="1" si="0"/>
        <v>72.205128205128204</v>
      </c>
    </row>
    <row r="50" spans="1:4" x14ac:dyDescent="0.2">
      <c r="A50" t="str">
        <f>'For stats end Y Score'!A50</f>
        <v>Kheops</v>
      </c>
      <c r="B50">
        <f ca="1">'For stats end Y Score'!AH50/C50</f>
        <v>7.7826086956521738</v>
      </c>
      <c r="C50">
        <f>COUNTIF('For stats end Y points'!B50:AN50,"&lt;&gt;0")</f>
        <v>23</v>
      </c>
      <c r="D50">
        <f t="shared" ca="1" si="0"/>
        <v>153.25752508361205</v>
      </c>
    </row>
    <row r="51" spans="1:4" x14ac:dyDescent="0.2">
      <c r="A51" t="str">
        <f>'For stats end Y Score'!A51</f>
        <v>Kri-lin</v>
      </c>
      <c r="B51">
        <f ca="1">'For stats end Y Score'!AH51/C51</f>
        <v>7.7647058823529411</v>
      </c>
      <c r="C51">
        <f>COUNTIF('For stats end Y points'!B51:AN51,"&lt;&gt;0")</f>
        <v>17</v>
      </c>
      <c r="D51">
        <f t="shared" ca="1" si="0"/>
        <v>152.90497737556561</v>
      </c>
    </row>
    <row r="52" spans="1:4" x14ac:dyDescent="0.2">
      <c r="A52" t="str">
        <f>'For stats end Y Score'!A52</f>
        <v>La Bavure</v>
      </c>
      <c r="B52">
        <f ca="1">'For stats end Y Score'!AH52/C52</f>
        <v>7.0384615384615383</v>
      </c>
      <c r="C52">
        <f>COUNTIF('For stats end Y points'!B52:AN52,"&lt;&gt;0")</f>
        <v>26</v>
      </c>
      <c r="D52">
        <f t="shared" ca="1" si="0"/>
        <v>138.60355029585799</v>
      </c>
    </row>
    <row r="53" spans="1:4" x14ac:dyDescent="0.2">
      <c r="A53" t="str">
        <f>'For stats end Y Score'!A53</f>
        <v>LAAtof</v>
      </c>
      <c r="B53">
        <f ca="1">'For stats end Y Score'!AH53/C53</f>
        <v>8</v>
      </c>
      <c r="C53">
        <f>COUNTIF('For stats end Y points'!B53:AN53,"&lt;&gt;0")</f>
        <v>21</v>
      </c>
      <c r="D53">
        <f t="shared" ca="1" si="0"/>
        <v>157.53846153846155</v>
      </c>
    </row>
    <row r="54" spans="1:4" x14ac:dyDescent="0.2">
      <c r="A54" t="str">
        <f>'For stats end Y Score'!A54</f>
        <v>Lén@</v>
      </c>
      <c r="B54">
        <f ca="1">'For stats end Y Score'!AH54/C54</f>
        <v>3.3333333333333335</v>
      </c>
      <c r="C54">
        <f>COUNTIF('For stats end Y points'!B54:AN54,"&lt;&gt;0")</f>
        <v>12</v>
      </c>
      <c r="D54">
        <f t="shared" ca="1" si="0"/>
        <v>65.641025641025649</v>
      </c>
    </row>
    <row r="55" spans="1:4" x14ac:dyDescent="0.2">
      <c r="A55" t="str">
        <f>'For stats end Y Score'!A55</f>
        <v>Light</v>
      </c>
      <c r="B55">
        <f ca="1">'For stats end Y Score'!AH55/C55</f>
        <v>12</v>
      </c>
      <c r="C55">
        <f>COUNTIF('For stats end Y points'!B55:AN55,"&lt;&gt;0")</f>
        <v>7</v>
      </c>
      <c r="D55">
        <f t="shared" ca="1" si="0"/>
        <v>236.30769230769232</v>
      </c>
    </row>
    <row r="56" spans="1:4" x14ac:dyDescent="0.2">
      <c r="A56" t="str">
        <f>'For stats end Y Score'!A56</f>
        <v>Lizzie</v>
      </c>
      <c r="B56">
        <f ca="1">'For stats end Y Score'!AH56/C56</f>
        <v>2.6666666666666665</v>
      </c>
      <c r="C56">
        <f>COUNTIF('For stats end Y points'!B56:AN56,"&lt;&gt;0")</f>
        <v>6</v>
      </c>
      <c r="D56">
        <f t="shared" ca="1" si="0"/>
        <v>52.512820512820511</v>
      </c>
    </row>
    <row r="57" spans="1:4" x14ac:dyDescent="0.2">
      <c r="A57" t="str">
        <f>'For stats end Y Score'!A57</f>
        <v>Losogre</v>
      </c>
      <c r="B57">
        <f ca="1">'For stats end Y Score'!AH57/C57</f>
        <v>4.34375</v>
      </c>
      <c r="C57">
        <f>COUNTIF('For stats end Y points'!B57:AN57,"&lt;&gt;0")</f>
        <v>32</v>
      </c>
      <c r="D57">
        <f t="shared" ca="1" si="0"/>
        <v>85.538461538461533</v>
      </c>
    </row>
    <row r="58" spans="1:4" x14ac:dyDescent="0.2">
      <c r="A58" t="str">
        <f>'For stats end Y Score'!A58</f>
        <v>Madridal</v>
      </c>
      <c r="B58">
        <f ca="1">'For stats end Y Score'!AH58/C58</f>
        <v>10.4</v>
      </c>
      <c r="C58">
        <f>COUNTIF('For stats end Y points'!B58:AN58,"&lt;&gt;0")</f>
        <v>5</v>
      </c>
      <c r="D58">
        <f t="shared" ca="1" si="0"/>
        <v>204.8</v>
      </c>
    </row>
    <row r="59" spans="1:4" x14ac:dyDescent="0.2">
      <c r="A59" t="str">
        <f>'For stats end Y Score'!A59</f>
        <v>Magic Mykiss</v>
      </c>
      <c r="B59">
        <f ca="1">'For stats end Y Score'!AH59/C59</f>
        <v>7.4</v>
      </c>
      <c r="C59">
        <f>COUNTIF('For stats end Y points'!B59:AN59,"&lt;&gt;0")</f>
        <v>10</v>
      </c>
      <c r="D59">
        <f t="shared" ca="1" si="0"/>
        <v>145.72307692307692</v>
      </c>
    </row>
    <row r="60" spans="1:4" x14ac:dyDescent="0.2">
      <c r="A60" t="str">
        <f>'For stats end Y Score'!A60</f>
        <v>Makoche</v>
      </c>
      <c r="B60">
        <f ca="1">'For stats end Y Score'!AH60/C60</f>
        <v>10.5</v>
      </c>
      <c r="C60">
        <f>COUNTIF('For stats end Y points'!B60:AN60,"&lt;&gt;0")</f>
        <v>2</v>
      </c>
      <c r="D60">
        <f t="shared" ca="1" si="0"/>
        <v>206.76923076923077</v>
      </c>
    </row>
    <row r="61" spans="1:4" x14ac:dyDescent="0.2">
      <c r="A61" t="str">
        <f>'For stats end Y Score'!A61</f>
        <v>Mams</v>
      </c>
      <c r="B61">
        <f ca="1">'For stats end Y Score'!AH61/C61</f>
        <v>7.6969696969696972</v>
      </c>
      <c r="C61">
        <f>COUNTIF('For stats end Y points'!B61:AN61,"&lt;&gt;0")</f>
        <v>33</v>
      </c>
      <c r="D61">
        <f t="shared" ca="1" si="0"/>
        <v>151.57109557109558</v>
      </c>
    </row>
    <row r="62" spans="1:4" x14ac:dyDescent="0.2">
      <c r="A62" t="str">
        <f>'For stats end Y Score'!A62</f>
        <v>Mandrake</v>
      </c>
      <c r="B62">
        <f ca="1">'For stats end Y Score'!AH62/C62</f>
        <v>8.7741935483870961</v>
      </c>
      <c r="C62">
        <f>COUNTIF('For stats end Y points'!B62:AN62,"&lt;&gt;0")</f>
        <v>31</v>
      </c>
      <c r="D62">
        <f t="shared" ca="1" si="0"/>
        <v>172.78411910669973</v>
      </c>
    </row>
    <row r="63" spans="1:4" x14ac:dyDescent="0.2">
      <c r="A63" t="str">
        <f>'For stats end Y Score'!A63</f>
        <v>Matteo</v>
      </c>
      <c r="B63">
        <f ca="1">'For stats end Y Score'!AH63/C63</f>
        <v>5</v>
      </c>
      <c r="C63">
        <f>COUNTIF('For stats end Y points'!B63:AN63,"&lt;&gt;0")</f>
        <v>1</v>
      </c>
      <c r="D63">
        <f t="shared" ca="1" si="0"/>
        <v>98.461538461538467</v>
      </c>
    </row>
    <row r="64" spans="1:4" x14ac:dyDescent="0.2">
      <c r="A64" t="str">
        <f>'For stats end Y Score'!A64</f>
        <v>Maxime K</v>
      </c>
      <c r="B64">
        <f ca="1">'For stats end Y Score'!AH64/C64</f>
        <v>8</v>
      </c>
      <c r="C64">
        <f>COUNTIF('For stats end Y points'!B64:AN64,"&lt;&gt;0")</f>
        <v>1</v>
      </c>
      <c r="D64">
        <f t="shared" ca="1" si="0"/>
        <v>157.53846153846155</v>
      </c>
    </row>
    <row r="65" spans="1:4" x14ac:dyDescent="0.2">
      <c r="A65" t="str">
        <f>'For stats end Y Score'!A65</f>
        <v>MegaSouche</v>
      </c>
      <c r="B65">
        <f ca="1">'For stats end Y Score'!AH65/C65</f>
        <v>9.1111111111111107</v>
      </c>
      <c r="C65">
        <f>COUNTIF('For stats end Y points'!B65:AN65,"&lt;&gt;0")</f>
        <v>18</v>
      </c>
      <c r="D65">
        <f t="shared" ca="1" si="0"/>
        <v>179.41880341880341</v>
      </c>
    </row>
    <row r="66" spans="1:4" x14ac:dyDescent="0.2">
      <c r="A66" t="str">
        <f>'For stats end Y Score'!A66</f>
        <v>Michelbey</v>
      </c>
      <c r="B66">
        <f ca="1">'For stats end Y Score'!AH66/C66</f>
        <v>6.8787878787878789</v>
      </c>
      <c r="C66">
        <f>COUNTIF('For stats end Y points'!B66:AN66,"&lt;&gt;0")</f>
        <v>33</v>
      </c>
      <c r="D66">
        <f t="shared" ca="1" si="0"/>
        <v>135.45920745920745</v>
      </c>
    </row>
    <row r="67" spans="1:4" x14ac:dyDescent="0.2">
      <c r="A67" t="str">
        <f>'For stats end Y Score'!A67</f>
        <v>Mokarran</v>
      </c>
      <c r="B67">
        <f ca="1">'For stats end Y Score'!AH67/C67</f>
        <v>6.6</v>
      </c>
      <c r="C67">
        <f>COUNTIF('For stats end Y points'!B67:AN67,"&lt;&gt;0")</f>
        <v>5</v>
      </c>
      <c r="D67">
        <f t="shared" ref="D67:D102" ca="1" si="1">B67/MAX(B67:B167)*256</f>
        <v>129.96923076923076</v>
      </c>
    </row>
    <row r="68" spans="1:4" x14ac:dyDescent="0.2">
      <c r="A68" t="str">
        <f>'For stats end Y Score'!A68</f>
        <v>NastyLucker</v>
      </c>
      <c r="B68">
        <f ca="1">'For stats end Y Score'!AH68/C68</f>
        <v>4</v>
      </c>
      <c r="C68">
        <f>COUNTIF('For stats end Y points'!B68:AN68,"&lt;&gt;0")</f>
        <v>3</v>
      </c>
      <c r="D68">
        <f t="shared" ca="1" si="1"/>
        <v>78.769230769230774</v>
      </c>
    </row>
    <row r="69" spans="1:4" x14ac:dyDescent="0.2">
      <c r="A69" t="str">
        <f>'For stats end Y Score'!A69</f>
        <v>NoDoubt</v>
      </c>
      <c r="B69">
        <f ca="1">'For stats end Y Score'!AH69/C69</f>
        <v>11.222222222222221</v>
      </c>
      <c r="C69">
        <f>COUNTIF('For stats end Y points'!B69:AN69,"&lt;&gt;0")</f>
        <v>9</v>
      </c>
      <c r="D69">
        <f t="shared" ca="1" si="1"/>
        <v>220.99145299145297</v>
      </c>
    </row>
    <row r="70" spans="1:4" x14ac:dyDescent="0.2">
      <c r="A70" t="str">
        <f>'For stats end Y Score'!A70</f>
        <v>Oldex</v>
      </c>
      <c r="B70">
        <f ca="1">'For stats end Y Score'!AH70/C70</f>
        <v>13</v>
      </c>
      <c r="C70">
        <f>COUNTIF('For stats end Y points'!B70:AN70,"&lt;&gt;0")</f>
        <v>1</v>
      </c>
      <c r="D70">
        <f t="shared" ca="1" si="1"/>
        <v>256</v>
      </c>
    </row>
    <row r="71" spans="1:4" x14ac:dyDescent="0.2">
      <c r="A71" t="str">
        <f>'For stats end Y Score'!A71</f>
        <v>OlivierN92</v>
      </c>
      <c r="B71">
        <f ca="1">'For stats end Y Score'!AH71/C71</f>
        <v>7.2380952380952381</v>
      </c>
      <c r="C71">
        <f>COUNTIF('For stats end Y points'!B71:AN71,"&lt;&gt;0")</f>
        <v>21</v>
      </c>
      <c r="D71">
        <f t="shared" ca="1" si="1"/>
        <v>182.08202587393339</v>
      </c>
    </row>
    <row r="72" spans="1:4" x14ac:dyDescent="0.2">
      <c r="A72" t="str">
        <f>'For stats end Y Score'!A72</f>
        <v>Ouais ouais</v>
      </c>
      <c r="B72">
        <f ca="1">'For stats end Y Score'!AH72/C72</f>
        <v>6</v>
      </c>
      <c r="C72">
        <f>COUNTIF('For stats end Y points'!B72:AN72,"&lt;&gt;0")</f>
        <v>15</v>
      </c>
      <c r="D72">
        <f t="shared" ca="1" si="1"/>
        <v>150.93641618497111</v>
      </c>
    </row>
    <row r="73" spans="1:4" x14ac:dyDescent="0.2">
      <c r="A73" t="str">
        <f>'For stats end Y Score'!A73</f>
        <v>Panot</v>
      </c>
      <c r="B73">
        <f ca="1">'For stats end Y Score'!AH73/C73</f>
        <v>1</v>
      </c>
      <c r="C73">
        <f>COUNTIF('For stats end Y points'!B73:AN73,"&lt;&gt;0")</f>
        <v>1</v>
      </c>
      <c r="D73">
        <f t="shared" ca="1" si="1"/>
        <v>25.156069364161851</v>
      </c>
    </row>
    <row r="74" spans="1:4" x14ac:dyDescent="0.2">
      <c r="A74" t="str">
        <f>'For stats end Y Score'!A74</f>
        <v>Papillon</v>
      </c>
      <c r="B74">
        <f ca="1">'For stats end Y Score'!AH74/C74</f>
        <v>3</v>
      </c>
      <c r="C74">
        <f>COUNTIF('For stats end Y points'!B74:AN74,"&lt;&gt;0")</f>
        <v>5</v>
      </c>
      <c r="D74">
        <f t="shared" ca="1" si="1"/>
        <v>75.468208092485554</v>
      </c>
    </row>
    <row r="75" spans="1:4" x14ac:dyDescent="0.2">
      <c r="A75" t="str">
        <f>'For stats end Y Score'!A75</f>
        <v>PatB</v>
      </c>
      <c r="B75">
        <f ca="1">'For stats end Y Score'!AH75/C75</f>
        <v>7.75</v>
      </c>
      <c r="C75">
        <f>COUNTIF('For stats end Y points'!B75:AN75,"&lt;&gt;0")</f>
        <v>32</v>
      </c>
      <c r="D75">
        <f t="shared" ca="1" si="1"/>
        <v>194.95953757225433</v>
      </c>
    </row>
    <row r="76" spans="1:4" x14ac:dyDescent="0.2">
      <c r="A76" t="str">
        <f>'For stats end Y Score'!A76</f>
        <v>Pintu</v>
      </c>
      <c r="B76">
        <f ca="1">'For stats end Y Score'!AH76/C76</f>
        <v>7.2727272727272725</v>
      </c>
      <c r="C76">
        <f>COUNTIF('For stats end Y points'!B76:AN76,"&lt;&gt;0")</f>
        <v>11</v>
      </c>
      <c r="D76">
        <f t="shared" ca="1" si="1"/>
        <v>182.9532317393589</v>
      </c>
    </row>
    <row r="77" spans="1:4" x14ac:dyDescent="0.2">
      <c r="A77" t="str">
        <f>'For stats end Y Score'!A77</f>
        <v>Poisson Pilote</v>
      </c>
      <c r="B77">
        <f ca="1">'For stats end Y Score'!AH77/C77</f>
        <v>7.04</v>
      </c>
      <c r="C77">
        <f>COUNTIF('For stats end Y points'!B77:AN77,"&lt;&gt;0")</f>
        <v>25</v>
      </c>
      <c r="D77">
        <f t="shared" ca="1" si="1"/>
        <v>177.09872832369945</v>
      </c>
    </row>
    <row r="78" spans="1:4" x14ac:dyDescent="0.2">
      <c r="A78" t="str">
        <f>'For stats end Y Score'!A78</f>
        <v>Proph@ne</v>
      </c>
      <c r="B78">
        <f ca="1">'For stats end Y Score'!AH78/C78</f>
        <v>7.041666666666667</v>
      </c>
      <c r="C78">
        <f>COUNTIF('For stats end Y points'!B78:AN78,"&lt;&gt;0")</f>
        <v>24</v>
      </c>
      <c r="D78">
        <f t="shared" ca="1" si="1"/>
        <v>177.14065510597305</v>
      </c>
    </row>
    <row r="79" spans="1:4" x14ac:dyDescent="0.2">
      <c r="A79" t="str">
        <f>'For stats end Y Score'!A79</f>
        <v>Ptit Savoyard</v>
      </c>
      <c r="B79">
        <f ca="1">'For stats end Y Score'!AH79/C79</f>
        <v>5.8</v>
      </c>
      <c r="C79">
        <f>COUNTIF('For stats end Y points'!B79:AN79,"&lt;&gt;0")</f>
        <v>15</v>
      </c>
      <c r="D79">
        <f t="shared" ca="1" si="1"/>
        <v>145.90520231213873</v>
      </c>
    </row>
    <row r="80" spans="1:4" x14ac:dyDescent="0.2">
      <c r="A80" t="str">
        <f>'For stats end Y Score'!A80</f>
        <v>Pyja</v>
      </c>
      <c r="B80">
        <f ca="1">'For stats end Y Score'!AH80/C80</f>
        <v>7.53125</v>
      </c>
      <c r="C80">
        <f>COUNTIF('For stats end Y points'!B80:AN80,"&lt;&gt;0")</f>
        <v>32</v>
      </c>
      <c r="D80">
        <f t="shared" ca="1" si="1"/>
        <v>189.45664739884396</v>
      </c>
    </row>
    <row r="81" spans="1:4" x14ac:dyDescent="0.2">
      <c r="A81" t="str">
        <f>'For stats end Y Score'!A81</f>
        <v>Ramm</v>
      </c>
      <c r="B81">
        <f ca="1">'For stats end Y Score'!AH81/C81</f>
        <v>9.35</v>
      </c>
      <c r="C81">
        <f>COUNTIF('For stats end Y points'!B81:AN81,"&lt;&gt;0")</f>
        <v>20</v>
      </c>
      <c r="D81">
        <f t="shared" ca="1" si="1"/>
        <v>235.2092485549133</v>
      </c>
    </row>
    <row r="82" spans="1:4" x14ac:dyDescent="0.2">
      <c r="A82" t="str">
        <f>'For stats end Y Score'!A82</f>
        <v>Ripolin</v>
      </c>
      <c r="B82">
        <f ca="1">'For stats end Y Score'!AH82/C82</f>
        <v>5.3478260869565215</v>
      </c>
      <c r="C82">
        <f>COUNTIF('For stats end Y points'!B82:AN82,"&lt;&gt;0")</f>
        <v>23</v>
      </c>
      <c r="D82">
        <f t="shared" ca="1" si="1"/>
        <v>134.53028399095251</v>
      </c>
    </row>
    <row r="83" spans="1:4" x14ac:dyDescent="0.2">
      <c r="A83" t="str">
        <f>'For stats end Y Score'!A83</f>
        <v>Riviera</v>
      </c>
      <c r="B83">
        <f ca="1">'For stats end Y Score'!AH83/C83</f>
        <v>6.666666666666667</v>
      </c>
      <c r="C83">
        <f>COUNTIF('For stats end Y points'!B83:AN83,"&lt;&gt;0")</f>
        <v>3</v>
      </c>
      <c r="D83">
        <f t="shared" ca="1" si="1"/>
        <v>167.70712909441235</v>
      </c>
    </row>
    <row r="84" spans="1:4" x14ac:dyDescent="0.2">
      <c r="A84" t="str">
        <f>'For stats end Y Score'!A84</f>
        <v>Rmarc</v>
      </c>
      <c r="B84">
        <f ca="1">'For stats end Y Score'!AH84/C84</f>
        <v>4.3571428571428568</v>
      </c>
      <c r="C84">
        <f>COUNTIF('For stats end Y points'!B84:AN84,"&lt;&gt;0")</f>
        <v>14</v>
      </c>
      <c r="D84">
        <f t="shared" ca="1" si="1"/>
        <v>109.60858794384805</v>
      </c>
    </row>
    <row r="85" spans="1:4" x14ac:dyDescent="0.2">
      <c r="A85" t="str">
        <f>'For stats end Y Score'!A85</f>
        <v>Rockatou</v>
      </c>
      <c r="B85">
        <f ca="1">'For stats end Y Score'!AH85/C85</f>
        <v>6.21875</v>
      </c>
      <c r="C85">
        <f>COUNTIF('For stats end Y points'!B85:AN85,"&lt;&gt;0")</f>
        <v>32</v>
      </c>
      <c r="D85">
        <f t="shared" ca="1" si="1"/>
        <v>156.43930635838151</v>
      </c>
    </row>
    <row r="86" spans="1:4" x14ac:dyDescent="0.2">
      <c r="A86" t="str">
        <f>'For stats end Y Score'!A86</f>
        <v>Sabwill</v>
      </c>
      <c r="B86">
        <f ca="1">'For stats end Y Score'!AH86/C86</f>
        <v>5.25</v>
      </c>
      <c r="C86">
        <f>COUNTIF('For stats end Y points'!B86:AN86,"&lt;&gt;0")</f>
        <v>4</v>
      </c>
      <c r="D86">
        <f t="shared" ca="1" si="1"/>
        <v>132.06936416184971</v>
      </c>
    </row>
    <row r="87" spans="1:4" x14ac:dyDescent="0.2">
      <c r="A87" t="str">
        <f>'For stats end Y Score'!A87</f>
        <v>Salender</v>
      </c>
      <c r="B87">
        <f ca="1">'For stats end Y Score'!AH87/C87</f>
        <v>6.0357142857142856</v>
      </c>
      <c r="C87">
        <f>COUNTIF('For stats end Y points'!B87:AN87,"&lt;&gt;0")</f>
        <v>28</v>
      </c>
      <c r="D87">
        <f t="shared" ca="1" si="1"/>
        <v>151.83484723369116</v>
      </c>
    </row>
    <row r="88" spans="1:4" x14ac:dyDescent="0.2">
      <c r="A88" t="str">
        <f>'For stats end Y Score'!A88</f>
        <v>saymsonite</v>
      </c>
      <c r="B88">
        <f ca="1">'For stats end Y Score'!AH88/C88</f>
        <v>6</v>
      </c>
      <c r="C88">
        <f>COUNTIF('For stats end Y points'!B88:AN88,"&lt;&gt;0")</f>
        <v>3</v>
      </c>
      <c r="D88">
        <f t="shared" ca="1" si="1"/>
        <v>150.93641618497111</v>
      </c>
    </row>
    <row r="89" spans="1:4" x14ac:dyDescent="0.2">
      <c r="A89" t="str">
        <f>'For stats end Y Score'!A89</f>
        <v>ScoNix</v>
      </c>
      <c r="B89">
        <f ca="1">'For stats end Y Score'!AH89/C89</f>
        <v>8.3333333333333339</v>
      </c>
      <c r="C89">
        <f>COUNTIF('For stats end Y points'!B89:AN89,"&lt;&gt;0")</f>
        <v>9</v>
      </c>
      <c r="D89">
        <f t="shared" ca="1" si="1"/>
        <v>209.63391136801545</v>
      </c>
    </row>
    <row r="90" spans="1:4" x14ac:dyDescent="0.2">
      <c r="A90" t="str">
        <f>'For stats end Y Score'!A90</f>
        <v>Snake1702</v>
      </c>
      <c r="B90">
        <f ca="1">'For stats end Y Score'!AH90/C90</f>
        <v>7.5555555555555554</v>
      </c>
      <c r="C90">
        <f>COUNTIF('For stats end Y points'!B90:AN90,"&lt;&gt;0")</f>
        <v>9</v>
      </c>
      <c r="D90">
        <f t="shared" ca="1" si="1"/>
        <v>190.06807964033399</v>
      </c>
    </row>
    <row r="91" spans="1:4" x14ac:dyDescent="0.2">
      <c r="A91" t="str">
        <f>'For stats end Y Score'!A91</f>
        <v>Sobab</v>
      </c>
      <c r="B91">
        <f ca="1">'For stats end Y Score'!AH91/C91</f>
        <v>9.4444444444444446</v>
      </c>
      <c r="C91">
        <f>COUNTIF('For stats end Y points'!B91:AN91,"&lt;&gt;0")</f>
        <v>18</v>
      </c>
      <c r="D91">
        <f t="shared" ca="1" si="1"/>
        <v>237.58509955041748</v>
      </c>
    </row>
    <row r="92" spans="1:4" x14ac:dyDescent="0.2">
      <c r="A92" t="str">
        <f>'For stats end Y Score'!A92</f>
        <v>Solex</v>
      </c>
      <c r="B92">
        <f ca="1">'For stats end Y Score'!AH92/C92</f>
        <v>7</v>
      </c>
      <c r="C92">
        <f>COUNTIF('For stats end Y points'!B92:AN92,"&lt;&gt;0")</f>
        <v>5</v>
      </c>
      <c r="D92">
        <f t="shared" ca="1" si="1"/>
        <v>176.09248554913296</v>
      </c>
    </row>
    <row r="93" spans="1:4" x14ac:dyDescent="0.2">
      <c r="A93" t="str">
        <f>'For stats end Y Score'!A93</f>
        <v>Solucky</v>
      </c>
      <c r="B93">
        <f ca="1">'For stats end Y Score'!AH93/C93</f>
        <v>6.0384615384615383</v>
      </c>
      <c r="C93">
        <f>COUNTIF('For stats end Y points'!B93:AN93,"&lt;&gt;0")</f>
        <v>26</v>
      </c>
      <c r="D93">
        <f t="shared" ca="1" si="1"/>
        <v>151.90395731436195</v>
      </c>
    </row>
    <row r="94" spans="1:4" x14ac:dyDescent="0.2">
      <c r="A94" t="str">
        <f>'For stats end Y Score'!A94</f>
        <v>Soupaman</v>
      </c>
      <c r="B94">
        <f ca="1">'For stats end Y Score'!AH94/C94</f>
        <v>6.95</v>
      </c>
      <c r="C94">
        <f>COUNTIF('For stats end Y points'!B94:AN94,"&lt;&gt;0")</f>
        <v>20</v>
      </c>
      <c r="D94">
        <f t="shared" ca="1" si="1"/>
        <v>174.83468208092486</v>
      </c>
    </row>
    <row r="95" spans="1:4" x14ac:dyDescent="0.2">
      <c r="A95" t="str">
        <f>'For stats end Y Score'!A95</f>
        <v>Tenko</v>
      </c>
      <c r="B95">
        <f ca="1">'For stats end Y Score'!AH95/C95</f>
        <v>6.8571428571428568</v>
      </c>
      <c r="C95">
        <f>COUNTIF('For stats end Y points'!B95:AN95,"&lt;&gt;0")</f>
        <v>28</v>
      </c>
      <c r="D95">
        <f t="shared" ca="1" si="1"/>
        <v>172.49876135425268</v>
      </c>
    </row>
    <row r="96" spans="1:4" x14ac:dyDescent="0.2">
      <c r="A96" t="str">
        <f>'For stats end Y Score'!A96</f>
        <v>The Hengover</v>
      </c>
      <c r="B96">
        <f ca="1">'For stats end Y Score'!AH96/C96</f>
        <v>10.176470588235293</v>
      </c>
      <c r="C96">
        <f>COUNTIF('For stats end Y points'!B96:AN96,"&lt;&gt;0")</f>
        <v>17</v>
      </c>
      <c r="D96">
        <f t="shared" ca="1" si="1"/>
        <v>256</v>
      </c>
    </row>
    <row r="97" spans="1:4" x14ac:dyDescent="0.2">
      <c r="A97" t="str">
        <f>'For stats end Y Score'!A97</f>
        <v>TheRealWill</v>
      </c>
      <c r="B97">
        <f ca="1">'For stats end Y Score'!AH97/C97</f>
        <v>7.2592592592592595</v>
      </c>
      <c r="C97">
        <f>COUNTIF('For stats end Y points'!B97:AN97,"&lt;&gt;0")</f>
        <v>27</v>
      </c>
      <c r="D97">
        <f t="shared" ca="1" si="1"/>
        <v>194.04670533987803</v>
      </c>
    </row>
    <row r="98" spans="1:4" x14ac:dyDescent="0.2">
      <c r="A98" t="str">
        <f>'For stats end Y Score'!A98</f>
        <v>Thibaultp75</v>
      </c>
      <c r="B98">
        <f ca="1">'For stats end Y Score'!AH98/C98</f>
        <v>5.3703703703703702</v>
      </c>
      <c r="C98">
        <f>COUNTIF('For stats end Y points'!B98:AN98,"&lt;&gt;0")</f>
        <v>27</v>
      </c>
      <c r="D98">
        <f t="shared" ca="1" si="1"/>
        <v>143.55496058307304</v>
      </c>
    </row>
    <row r="99" spans="1:4" x14ac:dyDescent="0.2">
      <c r="A99" t="str">
        <f>'For stats end Y Score'!A99</f>
        <v>Toinou</v>
      </c>
      <c r="B99">
        <f ca="1">'For stats end Y Score'!AH99/C99</f>
        <v>8</v>
      </c>
      <c r="C99">
        <f>COUNTIF('For stats end Y points'!B99:AN99,"&lt;&gt;0")</f>
        <v>8</v>
      </c>
      <c r="D99">
        <f t="shared" ca="1" si="1"/>
        <v>213.84738955823295</v>
      </c>
    </row>
    <row r="100" spans="1:4" x14ac:dyDescent="0.2">
      <c r="A100" t="str">
        <f>'For stats end Y Score'!A100</f>
        <v>Tridama</v>
      </c>
      <c r="B100">
        <f ca="1">'For stats end Y Score'!AH100/C100</f>
        <v>8</v>
      </c>
      <c r="C100">
        <f>COUNTIF('For stats end Y points'!B100:AN100,"&lt;&gt;0")</f>
        <v>1</v>
      </c>
      <c r="D100">
        <f t="shared" ca="1" si="1"/>
        <v>213.84738955823295</v>
      </c>
    </row>
    <row r="101" spans="1:4" x14ac:dyDescent="0.2">
      <c r="A101" t="str">
        <f>'For stats end Y Score'!A101</f>
        <v>Xhar92</v>
      </c>
      <c r="B101">
        <f ca="1">'For stats end Y Score'!AH101/C101</f>
        <v>6.4</v>
      </c>
      <c r="C101">
        <f>COUNTIF('For stats end Y points'!B101:AN101,"&lt;&gt;0")</f>
        <v>20</v>
      </c>
      <c r="D101">
        <f t="shared" ca="1" si="1"/>
        <v>171.07791164658636</v>
      </c>
    </row>
    <row r="102" spans="1:4" x14ac:dyDescent="0.2">
      <c r="A102" t="str">
        <f>'For stats end Y Score'!A102</f>
        <v>Yaltar</v>
      </c>
      <c r="B102">
        <f ca="1">'For stats end Y Score'!AH102/C102</f>
        <v>7.2</v>
      </c>
      <c r="C102">
        <f>COUNTIF('For stats end Y points'!B102:AN102,"&lt;&gt;0")</f>
        <v>25</v>
      </c>
      <c r="D102">
        <f t="shared" ca="1" si="1"/>
        <v>192.46265060240964</v>
      </c>
    </row>
    <row r="103" spans="1:4" x14ac:dyDescent="0.2">
      <c r="A103" t="str">
        <f>'For stats end Y Score'!A103</f>
        <v>Yarael</v>
      </c>
      <c r="B103">
        <f ca="1">'For stats end Y Score'!AH103/C103</f>
        <v>8.2307692307692299</v>
      </c>
      <c r="C103">
        <f>COUNTIF('For stats end Y points'!B103:AN103,"&lt;&gt;0")</f>
        <v>13</v>
      </c>
      <c r="D103">
        <f t="shared" ref="D103:D111" ca="1" si="2">B103/MAX(B103:B203)*256</f>
        <v>220.01606425702809</v>
      </c>
    </row>
    <row r="104" spans="1:4" x14ac:dyDescent="0.2">
      <c r="A104" t="str">
        <f>'For stats end Y Score'!A104</f>
        <v>YooooDA</v>
      </c>
      <c r="B104">
        <f ca="1">'For stats end Y Score'!AH104/C104</f>
        <v>7.2777777777777777</v>
      </c>
      <c r="C104">
        <f>COUNTIF('For stats end Y points'!B104:AN104,"&lt;&gt;0")</f>
        <v>18</v>
      </c>
      <c r="D104">
        <f t="shared" ca="1" si="2"/>
        <v>194.54172244533692</v>
      </c>
    </row>
    <row r="105" spans="1:4" x14ac:dyDescent="0.2">
      <c r="A105" t="str">
        <f>'For stats end Y Score'!A105</f>
        <v>Yroz</v>
      </c>
      <c r="B105">
        <f ca="1">'For stats end Y Score'!AH105/C105</f>
        <v>5.2941176470588234</v>
      </c>
      <c r="C105">
        <f>COUNTIF('For stats end Y points'!B105:AN105,"&lt;&gt;0")</f>
        <v>17</v>
      </c>
      <c r="D105">
        <f t="shared" ca="1" si="2"/>
        <v>141.51665485471298</v>
      </c>
    </row>
    <row r="106" spans="1:4" x14ac:dyDescent="0.2">
      <c r="A106" t="str">
        <f>'For stats end Y Score'!A106</f>
        <v>Zizou</v>
      </c>
      <c r="B106">
        <f ca="1">'For stats end Y Score'!AH106/C106</f>
        <v>6.5172413793103452</v>
      </c>
      <c r="C106">
        <f>COUNTIF('For stats end Y points'!B106:AN106,"&lt;&gt;0")</f>
        <v>29</v>
      </c>
      <c r="D106">
        <f t="shared" ca="1" si="2"/>
        <v>174.21188201080184</v>
      </c>
    </row>
    <row r="107" spans="1:4" x14ac:dyDescent="0.2">
      <c r="A107" t="str">
        <f>'For stats end Y Score'!A107</f>
        <v>Zubbaz</v>
      </c>
      <c r="B107">
        <f ca="1">'For stats end Y Score'!AH107/C107</f>
        <v>9.5769230769230766</v>
      </c>
      <c r="C107">
        <f>COUNTIF('For stats end Y points'!B107:AN107,"&lt;&gt;0")</f>
        <v>26</v>
      </c>
      <c r="D107">
        <f t="shared" ca="1" si="2"/>
        <v>256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1941F-DF8A-124D-904F-BEF852009DF5}">
  <dimension ref="A1:E1944"/>
  <sheetViews>
    <sheetView workbookViewId="0">
      <selection activeCell="D1" sqref="D1"/>
    </sheetView>
  </sheetViews>
  <sheetFormatPr baseColWidth="10" defaultRowHeight="16" x14ac:dyDescent="0.2"/>
  <cols>
    <col min="5" max="5" width="10.83203125" style="3"/>
  </cols>
  <sheetData>
    <row r="1" spans="1:5" x14ac:dyDescent="0.2">
      <c r="A1">
        <v>1</v>
      </c>
      <c r="B1" t="s">
        <v>5</v>
      </c>
      <c r="C1">
        <v>2</v>
      </c>
      <c r="D1">
        <v>15</v>
      </c>
      <c r="E1" s="3">
        <v>1</v>
      </c>
    </row>
    <row r="2" spans="1:5" x14ac:dyDescent="0.2">
      <c r="A2">
        <v>2</v>
      </c>
      <c r="B2" t="s">
        <v>6</v>
      </c>
      <c r="C2">
        <v>0</v>
      </c>
      <c r="D2">
        <v>11</v>
      </c>
      <c r="E2" s="3">
        <v>1</v>
      </c>
    </row>
    <row r="3" spans="1:5" x14ac:dyDescent="0.2">
      <c r="A3">
        <v>3</v>
      </c>
      <c r="B3" t="s">
        <v>7</v>
      </c>
      <c r="C3">
        <v>2</v>
      </c>
      <c r="D3">
        <v>7</v>
      </c>
      <c r="E3" s="3">
        <v>1</v>
      </c>
    </row>
    <row r="4" spans="1:5" x14ac:dyDescent="0.2">
      <c r="A4">
        <v>4</v>
      </c>
      <c r="B4" t="s">
        <v>8</v>
      </c>
      <c r="C4">
        <v>0</v>
      </c>
      <c r="D4">
        <v>3</v>
      </c>
      <c r="E4" s="3">
        <v>1</v>
      </c>
    </row>
    <row r="5" spans="1:5" x14ac:dyDescent="0.2">
      <c r="A5">
        <v>5</v>
      </c>
      <c r="B5" t="s">
        <v>9</v>
      </c>
      <c r="C5">
        <v>0</v>
      </c>
      <c r="D5">
        <v>1</v>
      </c>
      <c r="E5" s="3">
        <v>1</v>
      </c>
    </row>
    <row r="6" spans="1:5" x14ac:dyDescent="0.2">
      <c r="A6">
        <v>1</v>
      </c>
      <c r="B6" t="s">
        <v>12</v>
      </c>
      <c r="C6">
        <v>2</v>
      </c>
      <c r="D6">
        <v>15</v>
      </c>
      <c r="E6" s="3">
        <v>1</v>
      </c>
    </row>
    <row r="7" spans="1:5" x14ac:dyDescent="0.2">
      <c r="A7">
        <v>2</v>
      </c>
      <c r="B7" t="s">
        <v>13</v>
      </c>
      <c r="C7">
        <v>0</v>
      </c>
      <c r="D7">
        <v>11</v>
      </c>
      <c r="E7" s="3">
        <v>1</v>
      </c>
    </row>
    <row r="8" spans="1:5" x14ac:dyDescent="0.2">
      <c r="A8">
        <v>3</v>
      </c>
      <c r="B8" t="s">
        <v>14</v>
      </c>
      <c r="C8">
        <v>1</v>
      </c>
      <c r="D8">
        <v>7</v>
      </c>
      <c r="E8" s="3">
        <v>1</v>
      </c>
    </row>
    <row r="9" spans="1:5" x14ac:dyDescent="0.2">
      <c r="A9">
        <v>4</v>
      </c>
      <c r="B9" t="s">
        <v>15</v>
      </c>
      <c r="C9">
        <v>1</v>
      </c>
      <c r="D9">
        <v>3</v>
      </c>
      <c r="E9" s="3">
        <v>1</v>
      </c>
    </row>
    <row r="10" spans="1:5" x14ac:dyDescent="0.2">
      <c r="A10">
        <v>5</v>
      </c>
      <c r="B10" t="s">
        <v>16</v>
      </c>
      <c r="C10">
        <v>0</v>
      </c>
      <c r="D10">
        <v>1</v>
      </c>
      <c r="E10" s="3">
        <v>1</v>
      </c>
    </row>
    <row r="11" spans="1:5" x14ac:dyDescent="0.2">
      <c r="A11">
        <v>1</v>
      </c>
      <c r="B11" t="s">
        <v>18</v>
      </c>
      <c r="C11">
        <v>4</v>
      </c>
      <c r="D11">
        <v>16</v>
      </c>
      <c r="E11" s="3">
        <v>1</v>
      </c>
    </row>
    <row r="12" spans="1:5" x14ac:dyDescent="0.2">
      <c r="A12">
        <v>2</v>
      </c>
      <c r="B12" t="s">
        <v>19</v>
      </c>
      <c r="C12">
        <v>1</v>
      </c>
      <c r="D12">
        <v>12</v>
      </c>
      <c r="E12" s="3">
        <v>1</v>
      </c>
    </row>
    <row r="13" spans="1:5" x14ac:dyDescent="0.2">
      <c r="A13">
        <v>3</v>
      </c>
      <c r="B13" t="s">
        <v>20</v>
      </c>
      <c r="C13">
        <v>0</v>
      </c>
      <c r="D13">
        <v>8</v>
      </c>
      <c r="E13" s="3">
        <v>1</v>
      </c>
    </row>
    <row r="14" spans="1:5" x14ac:dyDescent="0.2">
      <c r="A14">
        <v>4</v>
      </c>
      <c r="B14" t="s">
        <v>21</v>
      </c>
      <c r="C14">
        <v>0</v>
      </c>
      <c r="D14">
        <v>4</v>
      </c>
      <c r="E14" s="3">
        <v>1</v>
      </c>
    </row>
    <row r="15" spans="1:5" x14ac:dyDescent="0.2">
      <c r="A15">
        <v>5</v>
      </c>
      <c r="B15" t="s">
        <v>22</v>
      </c>
      <c r="C15">
        <v>0</v>
      </c>
      <c r="D15">
        <v>2</v>
      </c>
      <c r="E15" s="3">
        <v>1</v>
      </c>
    </row>
    <row r="16" spans="1:5" x14ac:dyDescent="0.2">
      <c r="A16">
        <v>6</v>
      </c>
      <c r="B16" t="s">
        <v>23</v>
      </c>
      <c r="C16">
        <v>0</v>
      </c>
      <c r="D16">
        <v>1</v>
      </c>
      <c r="E16" s="3">
        <v>1</v>
      </c>
    </row>
    <row r="17" spans="1:5" x14ac:dyDescent="0.2">
      <c r="A17">
        <v>1</v>
      </c>
      <c r="B17" t="s">
        <v>25</v>
      </c>
      <c r="C17">
        <v>3</v>
      </c>
      <c r="D17">
        <v>15</v>
      </c>
      <c r="E17" s="3">
        <v>1</v>
      </c>
    </row>
    <row r="18" spans="1:5" x14ac:dyDescent="0.2">
      <c r="A18">
        <v>2</v>
      </c>
      <c r="B18" t="s">
        <v>26</v>
      </c>
      <c r="C18">
        <v>1</v>
      </c>
      <c r="D18">
        <v>11</v>
      </c>
      <c r="E18" s="3">
        <v>1</v>
      </c>
    </row>
    <row r="19" spans="1:5" x14ac:dyDescent="0.2">
      <c r="A19">
        <v>3</v>
      </c>
      <c r="B19" t="s">
        <v>27</v>
      </c>
      <c r="C19">
        <v>0</v>
      </c>
      <c r="D19">
        <v>7</v>
      </c>
      <c r="E19" s="3">
        <v>1</v>
      </c>
    </row>
    <row r="20" spans="1:5" x14ac:dyDescent="0.2">
      <c r="A20">
        <v>4</v>
      </c>
      <c r="B20" t="s">
        <v>28</v>
      </c>
      <c r="C20">
        <v>0</v>
      </c>
      <c r="D20">
        <v>3</v>
      </c>
      <c r="E20" s="3">
        <v>1</v>
      </c>
    </row>
    <row r="21" spans="1:5" x14ac:dyDescent="0.2">
      <c r="A21">
        <v>5</v>
      </c>
      <c r="B21" t="s">
        <v>29</v>
      </c>
      <c r="C21">
        <v>0</v>
      </c>
      <c r="D21">
        <v>1</v>
      </c>
      <c r="E21" s="3">
        <v>1</v>
      </c>
    </row>
    <row r="22" spans="1:5" x14ac:dyDescent="0.2">
      <c r="A22">
        <v>1</v>
      </c>
      <c r="B22" t="s">
        <v>31</v>
      </c>
      <c r="C22">
        <v>4</v>
      </c>
      <c r="D22">
        <v>16</v>
      </c>
      <c r="E22" s="3">
        <v>1</v>
      </c>
    </row>
    <row r="23" spans="1:5" x14ac:dyDescent="0.2">
      <c r="A23">
        <v>2</v>
      </c>
      <c r="B23" t="s">
        <v>32</v>
      </c>
      <c r="C23">
        <v>1</v>
      </c>
      <c r="D23">
        <v>12</v>
      </c>
      <c r="E23" s="3">
        <v>1</v>
      </c>
    </row>
    <row r="24" spans="1:5" x14ac:dyDescent="0.2">
      <c r="A24">
        <v>3</v>
      </c>
      <c r="B24" t="s">
        <v>33</v>
      </c>
      <c r="C24">
        <v>0</v>
      </c>
      <c r="D24">
        <v>8</v>
      </c>
      <c r="E24" s="3">
        <v>1</v>
      </c>
    </row>
    <row r="25" spans="1:5" x14ac:dyDescent="0.2">
      <c r="A25">
        <v>4</v>
      </c>
      <c r="B25" t="s">
        <v>34</v>
      </c>
      <c r="C25">
        <v>0</v>
      </c>
      <c r="D25">
        <v>4</v>
      </c>
      <c r="E25" s="3">
        <v>1</v>
      </c>
    </row>
    <row r="26" spans="1:5" x14ac:dyDescent="0.2">
      <c r="A26">
        <v>5</v>
      </c>
      <c r="B26" t="s">
        <v>35</v>
      </c>
      <c r="C26">
        <v>0</v>
      </c>
      <c r="D26">
        <v>2</v>
      </c>
      <c r="E26" s="3">
        <v>1</v>
      </c>
    </row>
    <row r="27" spans="1:5" x14ac:dyDescent="0.2">
      <c r="A27">
        <v>6</v>
      </c>
      <c r="B27" t="s">
        <v>36</v>
      </c>
      <c r="C27">
        <v>0</v>
      </c>
      <c r="D27">
        <v>1</v>
      </c>
      <c r="E27" s="3">
        <v>1</v>
      </c>
    </row>
    <row r="28" spans="1:5" x14ac:dyDescent="0.2">
      <c r="A28">
        <v>1</v>
      </c>
      <c r="B28" t="s">
        <v>38</v>
      </c>
      <c r="C28">
        <v>3</v>
      </c>
      <c r="D28">
        <v>16</v>
      </c>
      <c r="E28" s="3">
        <v>1</v>
      </c>
    </row>
    <row r="29" spans="1:5" x14ac:dyDescent="0.2">
      <c r="A29">
        <v>2</v>
      </c>
      <c r="B29" t="s">
        <v>39</v>
      </c>
      <c r="C29">
        <v>2</v>
      </c>
      <c r="D29">
        <v>12</v>
      </c>
      <c r="E29" s="3">
        <v>1</v>
      </c>
    </row>
    <row r="30" spans="1:5" x14ac:dyDescent="0.2">
      <c r="A30">
        <v>3</v>
      </c>
      <c r="B30" t="s">
        <v>40</v>
      </c>
      <c r="C30">
        <v>0</v>
      </c>
      <c r="D30">
        <v>8</v>
      </c>
      <c r="E30" s="3">
        <v>1</v>
      </c>
    </row>
    <row r="31" spans="1:5" x14ac:dyDescent="0.2">
      <c r="A31">
        <v>4</v>
      </c>
      <c r="B31" t="s">
        <v>41</v>
      </c>
      <c r="C31">
        <v>0</v>
      </c>
      <c r="D31">
        <v>4</v>
      </c>
      <c r="E31" s="3">
        <v>1</v>
      </c>
    </row>
    <row r="32" spans="1:5" x14ac:dyDescent="0.2">
      <c r="A32">
        <v>5</v>
      </c>
      <c r="B32" t="s">
        <v>42</v>
      </c>
      <c r="C32">
        <v>0</v>
      </c>
      <c r="D32">
        <v>2</v>
      </c>
      <c r="E32" s="3">
        <v>1</v>
      </c>
    </row>
    <row r="33" spans="1:5" x14ac:dyDescent="0.2">
      <c r="A33">
        <v>6</v>
      </c>
      <c r="B33" t="s">
        <v>43</v>
      </c>
      <c r="C33">
        <v>0</v>
      </c>
      <c r="D33">
        <v>1</v>
      </c>
      <c r="E33" s="3">
        <v>1</v>
      </c>
    </row>
    <row r="34" spans="1:5" x14ac:dyDescent="0.2">
      <c r="A34">
        <v>1</v>
      </c>
      <c r="B34" t="s">
        <v>45</v>
      </c>
      <c r="C34">
        <v>1</v>
      </c>
      <c r="D34">
        <v>16</v>
      </c>
      <c r="E34" s="3">
        <v>1</v>
      </c>
    </row>
    <row r="35" spans="1:5" x14ac:dyDescent="0.2">
      <c r="A35">
        <v>2</v>
      </c>
      <c r="B35" t="s">
        <v>46</v>
      </c>
      <c r="C35">
        <v>2</v>
      </c>
      <c r="D35">
        <v>12</v>
      </c>
      <c r="E35" s="3">
        <v>1</v>
      </c>
    </row>
    <row r="36" spans="1:5" x14ac:dyDescent="0.2">
      <c r="A36">
        <v>3</v>
      </c>
      <c r="B36" t="s">
        <v>47</v>
      </c>
      <c r="C36">
        <v>1</v>
      </c>
      <c r="D36">
        <v>8</v>
      </c>
      <c r="E36" s="3">
        <v>1</v>
      </c>
    </row>
    <row r="37" spans="1:5" x14ac:dyDescent="0.2">
      <c r="A37">
        <v>4</v>
      </c>
      <c r="B37" t="s">
        <v>48</v>
      </c>
      <c r="C37">
        <v>1</v>
      </c>
      <c r="D37">
        <v>4</v>
      </c>
      <c r="E37" s="3">
        <v>1</v>
      </c>
    </row>
    <row r="38" spans="1:5" x14ac:dyDescent="0.2">
      <c r="A38">
        <v>5</v>
      </c>
      <c r="B38" t="s">
        <v>49</v>
      </c>
      <c r="C38">
        <v>0</v>
      </c>
      <c r="D38">
        <v>2</v>
      </c>
      <c r="E38" s="3">
        <v>1</v>
      </c>
    </row>
    <row r="39" spans="1:5" x14ac:dyDescent="0.2">
      <c r="A39">
        <v>6</v>
      </c>
      <c r="B39" t="s">
        <v>50</v>
      </c>
      <c r="C39">
        <v>0</v>
      </c>
      <c r="D39">
        <v>1</v>
      </c>
      <c r="E39" s="3">
        <v>1</v>
      </c>
    </row>
    <row r="40" spans="1:5" x14ac:dyDescent="0.2">
      <c r="A40">
        <v>1</v>
      </c>
      <c r="B40" t="s">
        <v>52</v>
      </c>
      <c r="C40">
        <v>3</v>
      </c>
      <c r="D40">
        <v>16</v>
      </c>
      <c r="E40" s="3">
        <v>1</v>
      </c>
    </row>
    <row r="41" spans="1:5" x14ac:dyDescent="0.2">
      <c r="A41">
        <v>2</v>
      </c>
      <c r="B41" t="s">
        <v>53</v>
      </c>
      <c r="C41">
        <v>1</v>
      </c>
      <c r="D41">
        <v>12</v>
      </c>
      <c r="E41" s="3">
        <v>1</v>
      </c>
    </row>
    <row r="42" spans="1:5" x14ac:dyDescent="0.2">
      <c r="A42">
        <v>3</v>
      </c>
      <c r="B42" t="s">
        <v>54</v>
      </c>
      <c r="C42">
        <v>1</v>
      </c>
      <c r="D42">
        <v>8</v>
      </c>
      <c r="E42" s="3">
        <v>1</v>
      </c>
    </row>
    <row r="43" spans="1:5" x14ac:dyDescent="0.2">
      <c r="A43">
        <v>4</v>
      </c>
      <c r="B43" t="s">
        <v>55</v>
      </c>
      <c r="C43">
        <v>0</v>
      </c>
      <c r="D43">
        <v>4</v>
      </c>
      <c r="E43" s="3">
        <v>1</v>
      </c>
    </row>
    <row r="44" spans="1:5" x14ac:dyDescent="0.2">
      <c r="A44">
        <v>5</v>
      </c>
      <c r="B44" t="s">
        <v>56</v>
      </c>
      <c r="C44">
        <v>0</v>
      </c>
      <c r="D44">
        <v>2</v>
      </c>
      <c r="E44" s="3">
        <v>1</v>
      </c>
    </row>
    <row r="45" spans="1:5" x14ac:dyDescent="0.2">
      <c r="A45">
        <v>6</v>
      </c>
      <c r="B45" t="s">
        <v>57</v>
      </c>
      <c r="C45">
        <v>0</v>
      </c>
      <c r="D45">
        <v>1</v>
      </c>
      <c r="E45" s="3">
        <v>1</v>
      </c>
    </row>
    <row r="46" spans="1:5" x14ac:dyDescent="0.2">
      <c r="A46">
        <v>1</v>
      </c>
      <c r="B46" t="s">
        <v>59</v>
      </c>
      <c r="C46">
        <v>2</v>
      </c>
      <c r="D46">
        <v>15</v>
      </c>
      <c r="E46" s="3">
        <v>1</v>
      </c>
    </row>
    <row r="47" spans="1:5" x14ac:dyDescent="0.2">
      <c r="A47">
        <v>2</v>
      </c>
      <c r="B47" t="s">
        <v>60</v>
      </c>
      <c r="C47">
        <v>2</v>
      </c>
      <c r="D47">
        <v>11</v>
      </c>
      <c r="E47" s="3">
        <v>1</v>
      </c>
    </row>
    <row r="48" spans="1:5" x14ac:dyDescent="0.2">
      <c r="A48">
        <v>3</v>
      </c>
      <c r="B48" t="s">
        <v>61</v>
      </c>
      <c r="C48">
        <v>0</v>
      </c>
      <c r="D48">
        <v>7</v>
      </c>
      <c r="E48" s="3">
        <v>1</v>
      </c>
    </row>
    <row r="49" spans="1:5" x14ac:dyDescent="0.2">
      <c r="A49">
        <v>4</v>
      </c>
      <c r="B49" t="s">
        <v>62</v>
      </c>
      <c r="C49">
        <v>0</v>
      </c>
      <c r="D49">
        <v>3</v>
      </c>
      <c r="E49" s="3">
        <v>1</v>
      </c>
    </row>
    <row r="50" spans="1:5" x14ac:dyDescent="0.2">
      <c r="A50">
        <v>5</v>
      </c>
      <c r="B50" t="s">
        <v>63</v>
      </c>
      <c r="C50">
        <v>0</v>
      </c>
      <c r="D50">
        <v>1</v>
      </c>
      <c r="E50" s="3">
        <v>1</v>
      </c>
    </row>
    <row r="51" spans="1:5" x14ac:dyDescent="0.2">
      <c r="A51">
        <v>1</v>
      </c>
      <c r="B51" t="s">
        <v>65</v>
      </c>
      <c r="C51">
        <v>1</v>
      </c>
      <c r="D51">
        <v>15</v>
      </c>
      <c r="E51" s="3">
        <v>1</v>
      </c>
    </row>
    <row r="52" spans="1:5" x14ac:dyDescent="0.2">
      <c r="A52">
        <v>2</v>
      </c>
      <c r="B52" t="s">
        <v>66</v>
      </c>
      <c r="C52">
        <v>2</v>
      </c>
      <c r="D52">
        <v>11</v>
      </c>
      <c r="E52" s="3">
        <v>1</v>
      </c>
    </row>
    <row r="53" spans="1:5" x14ac:dyDescent="0.2">
      <c r="A53">
        <v>3</v>
      </c>
      <c r="B53" t="s">
        <v>67</v>
      </c>
      <c r="C53">
        <v>1</v>
      </c>
      <c r="D53">
        <v>7</v>
      </c>
      <c r="E53" s="3">
        <v>1</v>
      </c>
    </row>
    <row r="54" spans="1:5" x14ac:dyDescent="0.2">
      <c r="A54">
        <v>4</v>
      </c>
      <c r="B54" t="s">
        <v>68</v>
      </c>
      <c r="C54">
        <v>0</v>
      </c>
      <c r="D54">
        <v>3</v>
      </c>
      <c r="E54" s="3">
        <v>1</v>
      </c>
    </row>
    <row r="55" spans="1:5" x14ac:dyDescent="0.2">
      <c r="A55">
        <v>5</v>
      </c>
      <c r="B55" t="s">
        <v>69</v>
      </c>
      <c r="C55">
        <v>0</v>
      </c>
      <c r="D55">
        <v>1</v>
      </c>
      <c r="E55" s="3">
        <v>1</v>
      </c>
    </row>
    <row r="56" spans="1:5" x14ac:dyDescent="0.2">
      <c r="A56">
        <v>1</v>
      </c>
      <c r="B56" t="s">
        <v>71</v>
      </c>
      <c r="C56">
        <v>2</v>
      </c>
      <c r="D56">
        <v>16</v>
      </c>
      <c r="E56" s="3">
        <v>1</v>
      </c>
    </row>
    <row r="57" spans="1:5" x14ac:dyDescent="0.2">
      <c r="A57">
        <v>2</v>
      </c>
      <c r="B57" t="s">
        <v>72</v>
      </c>
      <c r="C57">
        <v>2</v>
      </c>
      <c r="D57">
        <v>12</v>
      </c>
      <c r="E57" s="3">
        <v>1</v>
      </c>
    </row>
    <row r="58" spans="1:5" x14ac:dyDescent="0.2">
      <c r="A58">
        <v>3</v>
      </c>
      <c r="B58" t="s">
        <v>73</v>
      </c>
      <c r="C58">
        <v>0</v>
      </c>
      <c r="D58">
        <v>8</v>
      </c>
      <c r="E58" s="3">
        <v>1</v>
      </c>
    </row>
    <row r="59" spans="1:5" x14ac:dyDescent="0.2">
      <c r="A59">
        <v>4</v>
      </c>
      <c r="B59" t="s">
        <v>74</v>
      </c>
      <c r="C59">
        <v>0</v>
      </c>
      <c r="D59">
        <v>4</v>
      </c>
      <c r="E59" s="3">
        <v>1</v>
      </c>
    </row>
    <row r="60" spans="1:5" x14ac:dyDescent="0.2">
      <c r="A60">
        <v>5</v>
      </c>
      <c r="B60" t="s">
        <v>75</v>
      </c>
      <c r="C60">
        <v>1</v>
      </c>
      <c r="D60">
        <v>2</v>
      </c>
      <c r="E60" s="3">
        <v>1</v>
      </c>
    </row>
    <row r="61" spans="1:5" x14ac:dyDescent="0.2">
      <c r="A61">
        <v>6</v>
      </c>
      <c r="B61" t="s">
        <v>76</v>
      </c>
      <c r="C61">
        <v>0</v>
      </c>
      <c r="D61">
        <v>1</v>
      </c>
      <c r="E61" s="3">
        <v>1</v>
      </c>
    </row>
    <row r="62" spans="1:5" x14ac:dyDescent="0.2">
      <c r="A62">
        <v>1</v>
      </c>
      <c r="B62" t="s">
        <v>77</v>
      </c>
      <c r="C62">
        <v>2</v>
      </c>
      <c r="D62">
        <v>15</v>
      </c>
      <c r="E62" s="3">
        <v>2</v>
      </c>
    </row>
    <row r="63" spans="1:5" x14ac:dyDescent="0.2">
      <c r="A63">
        <v>2</v>
      </c>
      <c r="B63" t="s">
        <v>38</v>
      </c>
      <c r="C63">
        <v>2</v>
      </c>
      <c r="D63">
        <v>11</v>
      </c>
      <c r="E63" s="3">
        <v>2</v>
      </c>
    </row>
    <row r="64" spans="1:5" x14ac:dyDescent="0.2">
      <c r="A64">
        <v>3</v>
      </c>
      <c r="B64" t="s">
        <v>29</v>
      </c>
      <c r="C64">
        <v>0</v>
      </c>
      <c r="D64">
        <v>7</v>
      </c>
      <c r="E64" s="3">
        <v>2</v>
      </c>
    </row>
    <row r="65" spans="1:5" x14ac:dyDescent="0.2">
      <c r="A65">
        <v>4</v>
      </c>
      <c r="B65" t="s">
        <v>72</v>
      </c>
      <c r="C65">
        <v>0</v>
      </c>
      <c r="D65">
        <v>3</v>
      </c>
      <c r="E65" s="3">
        <v>2</v>
      </c>
    </row>
    <row r="66" spans="1:5" x14ac:dyDescent="0.2">
      <c r="A66">
        <v>5</v>
      </c>
      <c r="B66" t="s">
        <v>9</v>
      </c>
      <c r="C66">
        <v>0</v>
      </c>
      <c r="D66">
        <v>1</v>
      </c>
      <c r="E66" s="3">
        <v>2</v>
      </c>
    </row>
    <row r="67" spans="1:5" x14ac:dyDescent="0.2">
      <c r="A67">
        <v>1</v>
      </c>
      <c r="B67" t="s">
        <v>25</v>
      </c>
      <c r="C67">
        <v>2</v>
      </c>
      <c r="D67">
        <v>15</v>
      </c>
      <c r="E67" s="3">
        <v>2</v>
      </c>
    </row>
    <row r="68" spans="1:5" x14ac:dyDescent="0.2">
      <c r="A68">
        <v>2</v>
      </c>
      <c r="B68" t="s">
        <v>78</v>
      </c>
      <c r="C68">
        <v>2</v>
      </c>
      <c r="D68">
        <v>11</v>
      </c>
      <c r="E68" s="3">
        <v>2</v>
      </c>
    </row>
    <row r="69" spans="1:5" x14ac:dyDescent="0.2">
      <c r="A69">
        <v>3</v>
      </c>
      <c r="B69" t="s">
        <v>79</v>
      </c>
      <c r="C69">
        <v>0</v>
      </c>
      <c r="D69">
        <v>7</v>
      </c>
      <c r="E69" s="3">
        <v>2</v>
      </c>
    </row>
    <row r="70" spans="1:5" x14ac:dyDescent="0.2">
      <c r="A70">
        <v>4</v>
      </c>
      <c r="B70" t="s">
        <v>59</v>
      </c>
      <c r="C70">
        <v>0</v>
      </c>
      <c r="D70">
        <v>3</v>
      </c>
      <c r="E70" s="3">
        <v>2</v>
      </c>
    </row>
    <row r="71" spans="1:5" x14ac:dyDescent="0.2">
      <c r="A71">
        <v>5</v>
      </c>
      <c r="B71" t="s">
        <v>74</v>
      </c>
      <c r="C71">
        <v>0</v>
      </c>
      <c r="D71">
        <v>1</v>
      </c>
      <c r="E71" s="3">
        <v>2</v>
      </c>
    </row>
    <row r="72" spans="1:5" x14ac:dyDescent="0.2">
      <c r="A72">
        <v>1</v>
      </c>
      <c r="B72" t="s">
        <v>80</v>
      </c>
      <c r="C72">
        <v>3</v>
      </c>
      <c r="D72">
        <v>15</v>
      </c>
      <c r="E72" s="3">
        <v>2</v>
      </c>
    </row>
    <row r="73" spans="1:5" x14ac:dyDescent="0.2">
      <c r="A73">
        <v>2</v>
      </c>
      <c r="B73" t="s">
        <v>31</v>
      </c>
      <c r="C73">
        <v>1</v>
      </c>
      <c r="D73">
        <v>11</v>
      </c>
      <c r="E73" s="3">
        <v>2</v>
      </c>
    </row>
    <row r="74" spans="1:5" x14ac:dyDescent="0.2">
      <c r="A74">
        <v>3</v>
      </c>
      <c r="B74" t="s">
        <v>35</v>
      </c>
      <c r="C74">
        <v>0</v>
      </c>
      <c r="D74">
        <v>7</v>
      </c>
      <c r="E74" s="3">
        <v>2</v>
      </c>
    </row>
    <row r="75" spans="1:5" x14ac:dyDescent="0.2">
      <c r="A75">
        <v>4</v>
      </c>
      <c r="B75" t="s">
        <v>46</v>
      </c>
      <c r="C75">
        <v>0</v>
      </c>
      <c r="D75">
        <v>3</v>
      </c>
      <c r="E75" s="3">
        <v>2</v>
      </c>
    </row>
    <row r="76" spans="1:5" x14ac:dyDescent="0.2">
      <c r="A76">
        <v>5</v>
      </c>
      <c r="B76" t="s">
        <v>61</v>
      </c>
      <c r="C76">
        <v>0</v>
      </c>
      <c r="D76">
        <v>1</v>
      </c>
      <c r="E76" s="3">
        <v>2</v>
      </c>
    </row>
    <row r="77" spans="1:5" x14ac:dyDescent="0.2">
      <c r="A77">
        <v>1</v>
      </c>
      <c r="B77" t="s">
        <v>48</v>
      </c>
      <c r="C77">
        <v>4</v>
      </c>
      <c r="D77">
        <v>16</v>
      </c>
      <c r="E77" s="3">
        <v>2</v>
      </c>
    </row>
    <row r="78" spans="1:5" x14ac:dyDescent="0.2">
      <c r="A78">
        <v>2</v>
      </c>
      <c r="B78" t="s">
        <v>81</v>
      </c>
      <c r="C78">
        <v>1</v>
      </c>
      <c r="D78">
        <v>12</v>
      </c>
      <c r="E78" s="3">
        <v>2</v>
      </c>
    </row>
    <row r="79" spans="1:5" x14ac:dyDescent="0.2">
      <c r="A79">
        <v>3</v>
      </c>
      <c r="B79" t="s">
        <v>33</v>
      </c>
      <c r="C79">
        <v>0</v>
      </c>
      <c r="D79">
        <v>8</v>
      </c>
      <c r="E79" s="3">
        <v>2</v>
      </c>
    </row>
    <row r="80" spans="1:5" x14ac:dyDescent="0.2">
      <c r="A80">
        <v>4</v>
      </c>
      <c r="B80" t="s">
        <v>12</v>
      </c>
      <c r="C80">
        <v>0</v>
      </c>
      <c r="D80">
        <v>4</v>
      </c>
      <c r="E80" s="3">
        <v>2</v>
      </c>
    </row>
    <row r="81" spans="1:5" x14ac:dyDescent="0.2">
      <c r="A81">
        <v>5</v>
      </c>
      <c r="B81" t="s">
        <v>82</v>
      </c>
      <c r="C81">
        <v>0</v>
      </c>
      <c r="D81">
        <v>2</v>
      </c>
      <c r="E81" s="3">
        <v>2</v>
      </c>
    </row>
    <row r="82" spans="1:5" x14ac:dyDescent="0.2">
      <c r="A82">
        <v>6</v>
      </c>
      <c r="B82" t="s">
        <v>28</v>
      </c>
      <c r="C82">
        <v>0</v>
      </c>
      <c r="D82">
        <v>1</v>
      </c>
      <c r="E82" s="3">
        <v>2</v>
      </c>
    </row>
    <row r="83" spans="1:5" x14ac:dyDescent="0.2">
      <c r="A83">
        <v>1</v>
      </c>
      <c r="B83" t="s">
        <v>50</v>
      </c>
      <c r="C83">
        <v>3</v>
      </c>
      <c r="D83">
        <v>15</v>
      </c>
      <c r="E83" s="3">
        <v>2</v>
      </c>
    </row>
    <row r="84" spans="1:5" x14ac:dyDescent="0.2">
      <c r="A84">
        <v>2</v>
      </c>
      <c r="B84" t="s">
        <v>69</v>
      </c>
      <c r="C84">
        <v>1</v>
      </c>
      <c r="D84">
        <v>11</v>
      </c>
      <c r="E84" s="3">
        <v>2</v>
      </c>
    </row>
    <row r="85" spans="1:5" x14ac:dyDescent="0.2">
      <c r="A85">
        <v>3</v>
      </c>
      <c r="B85" t="s">
        <v>43</v>
      </c>
      <c r="C85">
        <v>0</v>
      </c>
      <c r="D85">
        <v>7</v>
      </c>
      <c r="E85" s="3">
        <v>2</v>
      </c>
    </row>
    <row r="86" spans="1:5" x14ac:dyDescent="0.2">
      <c r="A86">
        <v>4</v>
      </c>
      <c r="B86" t="s">
        <v>40</v>
      </c>
      <c r="C86">
        <v>0</v>
      </c>
      <c r="D86">
        <v>3</v>
      </c>
      <c r="E86" s="3">
        <v>2</v>
      </c>
    </row>
    <row r="87" spans="1:5" x14ac:dyDescent="0.2">
      <c r="A87">
        <v>5</v>
      </c>
      <c r="B87" t="s">
        <v>6</v>
      </c>
      <c r="C87">
        <v>0</v>
      </c>
      <c r="D87">
        <v>1</v>
      </c>
      <c r="E87" s="3">
        <v>2</v>
      </c>
    </row>
    <row r="88" spans="1:5" x14ac:dyDescent="0.2">
      <c r="A88">
        <v>1</v>
      </c>
      <c r="B88" t="s">
        <v>55</v>
      </c>
      <c r="C88">
        <v>4</v>
      </c>
      <c r="D88">
        <v>16</v>
      </c>
      <c r="E88" s="3">
        <v>2</v>
      </c>
    </row>
    <row r="89" spans="1:5" x14ac:dyDescent="0.2">
      <c r="A89">
        <v>2</v>
      </c>
      <c r="B89" t="s">
        <v>45</v>
      </c>
      <c r="C89">
        <v>1</v>
      </c>
      <c r="D89">
        <v>12</v>
      </c>
      <c r="E89" s="3">
        <v>2</v>
      </c>
    </row>
    <row r="90" spans="1:5" x14ac:dyDescent="0.2">
      <c r="A90">
        <v>3</v>
      </c>
      <c r="B90" t="s">
        <v>22</v>
      </c>
      <c r="C90">
        <v>0</v>
      </c>
      <c r="D90">
        <v>8</v>
      </c>
      <c r="E90" s="3">
        <v>2</v>
      </c>
    </row>
    <row r="91" spans="1:5" x14ac:dyDescent="0.2">
      <c r="A91">
        <v>4</v>
      </c>
      <c r="B91" t="s">
        <v>68</v>
      </c>
      <c r="C91">
        <v>0</v>
      </c>
      <c r="D91">
        <v>4</v>
      </c>
      <c r="E91" s="3">
        <v>2</v>
      </c>
    </row>
    <row r="92" spans="1:5" x14ac:dyDescent="0.2">
      <c r="A92">
        <v>5</v>
      </c>
      <c r="B92" t="s">
        <v>52</v>
      </c>
      <c r="C92">
        <v>0</v>
      </c>
      <c r="D92">
        <v>2</v>
      </c>
      <c r="E92" s="3">
        <v>2</v>
      </c>
    </row>
    <row r="93" spans="1:5" x14ac:dyDescent="0.2">
      <c r="A93">
        <v>6</v>
      </c>
      <c r="B93" t="s">
        <v>71</v>
      </c>
      <c r="C93">
        <v>0</v>
      </c>
      <c r="D93">
        <v>1</v>
      </c>
      <c r="E93" s="3">
        <v>2</v>
      </c>
    </row>
    <row r="94" spans="1:5" x14ac:dyDescent="0.2">
      <c r="A94">
        <v>1</v>
      </c>
      <c r="B94" t="s">
        <v>66</v>
      </c>
      <c r="C94">
        <v>4</v>
      </c>
      <c r="D94">
        <v>16</v>
      </c>
      <c r="E94" s="3">
        <v>2</v>
      </c>
    </row>
    <row r="95" spans="1:5" x14ac:dyDescent="0.2">
      <c r="A95">
        <v>2</v>
      </c>
      <c r="B95" t="s">
        <v>54</v>
      </c>
      <c r="C95">
        <v>0</v>
      </c>
      <c r="D95">
        <v>12</v>
      </c>
      <c r="E95" s="3">
        <v>2</v>
      </c>
    </row>
    <row r="96" spans="1:5" x14ac:dyDescent="0.2">
      <c r="A96">
        <v>3</v>
      </c>
      <c r="B96" t="s">
        <v>13</v>
      </c>
      <c r="C96">
        <v>0</v>
      </c>
      <c r="D96">
        <v>8</v>
      </c>
      <c r="E96" s="3">
        <v>2</v>
      </c>
    </row>
    <row r="97" spans="1:5" x14ac:dyDescent="0.2">
      <c r="A97">
        <v>4</v>
      </c>
      <c r="B97" t="s">
        <v>7</v>
      </c>
      <c r="C97">
        <v>1</v>
      </c>
      <c r="D97">
        <v>4</v>
      </c>
      <c r="E97" s="3">
        <v>2</v>
      </c>
    </row>
    <row r="98" spans="1:5" x14ac:dyDescent="0.2">
      <c r="A98">
        <v>5</v>
      </c>
      <c r="B98" t="s">
        <v>19</v>
      </c>
      <c r="C98">
        <v>0</v>
      </c>
      <c r="D98">
        <v>2</v>
      </c>
      <c r="E98" s="3">
        <v>2</v>
      </c>
    </row>
    <row r="99" spans="1:5" x14ac:dyDescent="0.2">
      <c r="A99">
        <v>6</v>
      </c>
      <c r="B99" t="s">
        <v>63</v>
      </c>
      <c r="C99">
        <v>0</v>
      </c>
      <c r="D99">
        <v>1</v>
      </c>
      <c r="E99" s="3">
        <v>2</v>
      </c>
    </row>
    <row r="100" spans="1:5" x14ac:dyDescent="0.2">
      <c r="A100">
        <v>1</v>
      </c>
      <c r="B100" t="s">
        <v>14</v>
      </c>
      <c r="C100">
        <v>2</v>
      </c>
      <c r="D100">
        <v>15</v>
      </c>
      <c r="E100" s="3">
        <v>2</v>
      </c>
    </row>
    <row r="101" spans="1:5" x14ac:dyDescent="0.2">
      <c r="A101">
        <v>2</v>
      </c>
      <c r="B101" t="s">
        <v>67</v>
      </c>
      <c r="C101">
        <v>1</v>
      </c>
      <c r="D101">
        <v>11</v>
      </c>
      <c r="E101" s="3">
        <v>2</v>
      </c>
    </row>
    <row r="102" spans="1:5" x14ac:dyDescent="0.2">
      <c r="A102">
        <v>3</v>
      </c>
      <c r="B102" t="s">
        <v>41</v>
      </c>
      <c r="C102">
        <v>0</v>
      </c>
      <c r="D102">
        <v>7</v>
      </c>
      <c r="E102" s="3">
        <v>2</v>
      </c>
    </row>
    <row r="103" spans="1:5" x14ac:dyDescent="0.2">
      <c r="A103">
        <v>4</v>
      </c>
      <c r="B103" t="s">
        <v>83</v>
      </c>
      <c r="C103">
        <v>1</v>
      </c>
      <c r="D103">
        <v>3</v>
      </c>
      <c r="E103" s="3">
        <v>2</v>
      </c>
    </row>
    <row r="104" spans="1:5" x14ac:dyDescent="0.2">
      <c r="A104">
        <v>5</v>
      </c>
      <c r="B104" t="s">
        <v>27</v>
      </c>
      <c r="C104">
        <v>0</v>
      </c>
      <c r="D104">
        <v>1</v>
      </c>
      <c r="E104" s="3">
        <v>2</v>
      </c>
    </row>
    <row r="105" spans="1:5" x14ac:dyDescent="0.2">
      <c r="A105">
        <v>1</v>
      </c>
      <c r="B105" t="s">
        <v>76</v>
      </c>
      <c r="C105">
        <v>3</v>
      </c>
      <c r="D105">
        <v>16</v>
      </c>
      <c r="E105" s="3">
        <v>2</v>
      </c>
    </row>
    <row r="106" spans="1:5" x14ac:dyDescent="0.2">
      <c r="A106">
        <v>2</v>
      </c>
      <c r="B106" t="s">
        <v>26</v>
      </c>
      <c r="C106">
        <v>0</v>
      </c>
      <c r="D106">
        <v>12</v>
      </c>
      <c r="E106" s="3">
        <v>2</v>
      </c>
    </row>
    <row r="107" spans="1:5" x14ac:dyDescent="0.2">
      <c r="A107">
        <v>3</v>
      </c>
      <c r="B107" t="s">
        <v>84</v>
      </c>
      <c r="C107">
        <v>2</v>
      </c>
      <c r="D107">
        <v>8</v>
      </c>
      <c r="E107" s="3">
        <v>2</v>
      </c>
    </row>
    <row r="108" spans="1:5" x14ac:dyDescent="0.2">
      <c r="A108">
        <v>4</v>
      </c>
      <c r="B108" t="s">
        <v>42</v>
      </c>
      <c r="C108">
        <v>0</v>
      </c>
      <c r="D108">
        <v>4</v>
      </c>
      <c r="E108" s="3">
        <v>2</v>
      </c>
    </row>
    <row r="109" spans="1:5" x14ac:dyDescent="0.2">
      <c r="A109">
        <v>5</v>
      </c>
      <c r="B109" t="s">
        <v>73</v>
      </c>
      <c r="C109">
        <v>0</v>
      </c>
      <c r="D109">
        <v>2</v>
      </c>
      <c r="E109" s="3">
        <v>2</v>
      </c>
    </row>
    <row r="110" spans="1:5" x14ac:dyDescent="0.2">
      <c r="A110">
        <v>6</v>
      </c>
      <c r="B110" t="s">
        <v>39</v>
      </c>
      <c r="C110">
        <v>0</v>
      </c>
      <c r="D110">
        <v>1</v>
      </c>
      <c r="E110" s="3">
        <v>2</v>
      </c>
    </row>
    <row r="111" spans="1:5" x14ac:dyDescent="0.2">
      <c r="A111">
        <v>1</v>
      </c>
      <c r="B111" t="s">
        <v>23</v>
      </c>
      <c r="C111">
        <v>2</v>
      </c>
      <c r="D111">
        <v>15</v>
      </c>
      <c r="E111" s="3">
        <v>2</v>
      </c>
    </row>
    <row r="112" spans="1:5" x14ac:dyDescent="0.2">
      <c r="A112">
        <v>2</v>
      </c>
      <c r="B112" t="s">
        <v>85</v>
      </c>
      <c r="C112">
        <v>1</v>
      </c>
      <c r="D112">
        <v>11</v>
      </c>
      <c r="E112" s="3">
        <v>2</v>
      </c>
    </row>
    <row r="113" spans="1:5" x14ac:dyDescent="0.2">
      <c r="A113">
        <v>3</v>
      </c>
      <c r="B113" t="s">
        <v>86</v>
      </c>
      <c r="C113">
        <v>0</v>
      </c>
      <c r="D113">
        <v>7</v>
      </c>
      <c r="E113" s="3">
        <v>2</v>
      </c>
    </row>
    <row r="114" spans="1:5" x14ac:dyDescent="0.2">
      <c r="A114">
        <v>4</v>
      </c>
      <c r="B114" t="s">
        <v>87</v>
      </c>
      <c r="C114">
        <v>1</v>
      </c>
      <c r="D114">
        <v>3</v>
      </c>
      <c r="E114" s="3">
        <v>2</v>
      </c>
    </row>
    <row r="115" spans="1:5" x14ac:dyDescent="0.2">
      <c r="A115">
        <v>5</v>
      </c>
      <c r="B115" t="s">
        <v>75</v>
      </c>
      <c r="C115">
        <v>0</v>
      </c>
      <c r="D115">
        <v>1</v>
      </c>
      <c r="E115" s="3">
        <v>2</v>
      </c>
    </row>
    <row r="116" spans="1:5" x14ac:dyDescent="0.2">
      <c r="A116">
        <v>1</v>
      </c>
      <c r="B116" t="s">
        <v>47</v>
      </c>
      <c r="C116">
        <v>4</v>
      </c>
      <c r="D116">
        <v>15</v>
      </c>
      <c r="E116" s="3">
        <v>2</v>
      </c>
    </row>
    <row r="117" spans="1:5" x14ac:dyDescent="0.2">
      <c r="A117">
        <v>2</v>
      </c>
      <c r="B117" t="s">
        <v>15</v>
      </c>
      <c r="C117">
        <v>0</v>
      </c>
      <c r="D117">
        <v>11</v>
      </c>
      <c r="E117" s="3">
        <v>2</v>
      </c>
    </row>
    <row r="118" spans="1:5" x14ac:dyDescent="0.2">
      <c r="A118">
        <v>3</v>
      </c>
      <c r="B118" t="s">
        <v>88</v>
      </c>
      <c r="C118">
        <v>0</v>
      </c>
      <c r="D118">
        <v>7</v>
      </c>
      <c r="E118" s="3">
        <v>2</v>
      </c>
    </row>
    <row r="119" spans="1:5" x14ac:dyDescent="0.2">
      <c r="A119">
        <v>4</v>
      </c>
      <c r="B119" t="s">
        <v>89</v>
      </c>
      <c r="C119">
        <v>0</v>
      </c>
      <c r="D119">
        <v>3</v>
      </c>
      <c r="E119" s="3">
        <v>2</v>
      </c>
    </row>
    <row r="120" spans="1:5" x14ac:dyDescent="0.2">
      <c r="A120">
        <v>5</v>
      </c>
      <c r="B120" t="s">
        <v>21</v>
      </c>
      <c r="C120">
        <v>0</v>
      </c>
      <c r="D120">
        <v>1</v>
      </c>
      <c r="E120" s="3">
        <v>2</v>
      </c>
    </row>
    <row r="121" spans="1:5" x14ac:dyDescent="0.2">
      <c r="A121">
        <v>1</v>
      </c>
      <c r="B121" t="s">
        <v>35</v>
      </c>
      <c r="C121">
        <v>1</v>
      </c>
      <c r="D121">
        <v>15</v>
      </c>
      <c r="E121" s="3">
        <v>3</v>
      </c>
    </row>
    <row r="122" spans="1:5" x14ac:dyDescent="0.2">
      <c r="A122">
        <v>2</v>
      </c>
      <c r="B122" t="s">
        <v>85</v>
      </c>
      <c r="C122">
        <v>2</v>
      </c>
      <c r="D122">
        <v>11</v>
      </c>
      <c r="E122" s="3">
        <v>3</v>
      </c>
    </row>
    <row r="123" spans="1:5" x14ac:dyDescent="0.2">
      <c r="A123">
        <v>3</v>
      </c>
      <c r="B123" t="s">
        <v>28</v>
      </c>
      <c r="C123">
        <v>1</v>
      </c>
      <c r="D123">
        <v>7</v>
      </c>
      <c r="E123" s="3">
        <v>3</v>
      </c>
    </row>
    <row r="124" spans="1:5" x14ac:dyDescent="0.2">
      <c r="A124">
        <v>4</v>
      </c>
      <c r="B124" t="s">
        <v>31</v>
      </c>
      <c r="C124">
        <v>0</v>
      </c>
      <c r="D124">
        <v>3</v>
      </c>
      <c r="E124" s="3">
        <v>3</v>
      </c>
    </row>
    <row r="125" spans="1:5" x14ac:dyDescent="0.2">
      <c r="A125">
        <v>5</v>
      </c>
      <c r="B125" t="s">
        <v>76</v>
      </c>
      <c r="C125">
        <v>0</v>
      </c>
      <c r="D125">
        <v>1</v>
      </c>
      <c r="E125" s="3">
        <v>3</v>
      </c>
    </row>
    <row r="126" spans="1:5" x14ac:dyDescent="0.2">
      <c r="A126">
        <v>1</v>
      </c>
      <c r="B126" t="s">
        <v>34</v>
      </c>
      <c r="C126">
        <v>2</v>
      </c>
      <c r="D126">
        <v>16</v>
      </c>
      <c r="E126" s="3">
        <v>3</v>
      </c>
    </row>
    <row r="127" spans="1:5" x14ac:dyDescent="0.2">
      <c r="A127">
        <v>2</v>
      </c>
      <c r="B127" t="s">
        <v>59</v>
      </c>
      <c r="C127">
        <v>3</v>
      </c>
      <c r="D127">
        <v>12</v>
      </c>
      <c r="E127" s="3">
        <v>3</v>
      </c>
    </row>
    <row r="128" spans="1:5" x14ac:dyDescent="0.2">
      <c r="A128">
        <v>3</v>
      </c>
      <c r="B128" t="s">
        <v>18</v>
      </c>
      <c r="C128">
        <v>0</v>
      </c>
      <c r="D128">
        <v>8</v>
      </c>
      <c r="E128" s="3">
        <v>3</v>
      </c>
    </row>
    <row r="129" spans="1:5" x14ac:dyDescent="0.2">
      <c r="A129">
        <v>4</v>
      </c>
      <c r="B129" t="s">
        <v>29</v>
      </c>
      <c r="C129">
        <v>0</v>
      </c>
      <c r="D129">
        <v>4</v>
      </c>
      <c r="E129" s="3">
        <v>3</v>
      </c>
    </row>
    <row r="130" spans="1:5" x14ac:dyDescent="0.2">
      <c r="A130">
        <v>5</v>
      </c>
      <c r="B130" t="s">
        <v>50</v>
      </c>
      <c r="C130">
        <v>0</v>
      </c>
      <c r="D130">
        <v>2</v>
      </c>
      <c r="E130" s="3">
        <v>3</v>
      </c>
    </row>
    <row r="131" spans="1:5" x14ac:dyDescent="0.2">
      <c r="A131">
        <v>6</v>
      </c>
      <c r="B131" t="s">
        <v>90</v>
      </c>
      <c r="C131">
        <v>0</v>
      </c>
      <c r="D131">
        <v>1</v>
      </c>
      <c r="E131" s="3">
        <v>3</v>
      </c>
    </row>
    <row r="132" spans="1:5" x14ac:dyDescent="0.2">
      <c r="A132">
        <v>1</v>
      </c>
      <c r="B132" t="s">
        <v>14</v>
      </c>
      <c r="C132">
        <v>1</v>
      </c>
      <c r="D132">
        <v>15</v>
      </c>
      <c r="E132" s="3">
        <v>3</v>
      </c>
    </row>
    <row r="133" spans="1:5" x14ac:dyDescent="0.2">
      <c r="A133">
        <v>2</v>
      </c>
      <c r="B133" t="s">
        <v>43</v>
      </c>
      <c r="C133">
        <v>2</v>
      </c>
      <c r="D133">
        <v>11</v>
      </c>
      <c r="E133" s="3">
        <v>3</v>
      </c>
    </row>
    <row r="134" spans="1:5" x14ac:dyDescent="0.2">
      <c r="A134">
        <v>3</v>
      </c>
      <c r="B134" t="s">
        <v>61</v>
      </c>
      <c r="C134">
        <v>1</v>
      </c>
      <c r="D134">
        <v>7</v>
      </c>
      <c r="E134" s="3">
        <v>3</v>
      </c>
    </row>
    <row r="135" spans="1:5" x14ac:dyDescent="0.2">
      <c r="A135">
        <v>4</v>
      </c>
      <c r="B135" t="s">
        <v>69</v>
      </c>
      <c r="C135">
        <v>0</v>
      </c>
      <c r="D135">
        <v>3</v>
      </c>
      <c r="E135" s="3">
        <v>3</v>
      </c>
    </row>
    <row r="136" spans="1:5" x14ac:dyDescent="0.2">
      <c r="A136">
        <v>5</v>
      </c>
      <c r="B136" t="s">
        <v>40</v>
      </c>
      <c r="C136">
        <v>0</v>
      </c>
      <c r="D136">
        <v>1</v>
      </c>
      <c r="E136" s="3">
        <v>3</v>
      </c>
    </row>
    <row r="137" spans="1:5" x14ac:dyDescent="0.2">
      <c r="A137">
        <v>1</v>
      </c>
      <c r="B137" t="s">
        <v>68</v>
      </c>
      <c r="C137">
        <v>3</v>
      </c>
      <c r="D137">
        <v>16</v>
      </c>
      <c r="E137" s="3">
        <v>3</v>
      </c>
    </row>
    <row r="138" spans="1:5" x14ac:dyDescent="0.2">
      <c r="A138">
        <v>2</v>
      </c>
      <c r="B138" t="s">
        <v>54</v>
      </c>
      <c r="C138">
        <v>0</v>
      </c>
      <c r="D138">
        <v>12</v>
      </c>
      <c r="E138" s="3">
        <v>3</v>
      </c>
    </row>
    <row r="139" spans="1:5" x14ac:dyDescent="0.2">
      <c r="A139">
        <v>3</v>
      </c>
      <c r="B139" t="s">
        <v>15</v>
      </c>
      <c r="C139">
        <v>1</v>
      </c>
      <c r="D139">
        <v>8</v>
      </c>
      <c r="E139" s="3">
        <v>3</v>
      </c>
    </row>
    <row r="140" spans="1:5" x14ac:dyDescent="0.2">
      <c r="A140">
        <v>4</v>
      </c>
      <c r="B140" t="s">
        <v>26</v>
      </c>
      <c r="C140">
        <v>1</v>
      </c>
      <c r="D140">
        <v>4</v>
      </c>
      <c r="E140" s="3">
        <v>3</v>
      </c>
    </row>
    <row r="141" spans="1:5" x14ac:dyDescent="0.2">
      <c r="A141">
        <v>5</v>
      </c>
      <c r="B141" t="s">
        <v>32</v>
      </c>
      <c r="C141">
        <v>0</v>
      </c>
      <c r="D141">
        <v>2</v>
      </c>
      <c r="E141" s="3">
        <v>3</v>
      </c>
    </row>
    <row r="142" spans="1:5" x14ac:dyDescent="0.2">
      <c r="A142">
        <v>6</v>
      </c>
      <c r="B142" t="s">
        <v>74</v>
      </c>
      <c r="C142">
        <v>0</v>
      </c>
      <c r="D142">
        <v>1</v>
      </c>
      <c r="E142" s="3">
        <v>3</v>
      </c>
    </row>
    <row r="143" spans="1:5" x14ac:dyDescent="0.2">
      <c r="A143">
        <v>1</v>
      </c>
      <c r="B143" t="s">
        <v>38</v>
      </c>
      <c r="C143">
        <v>4</v>
      </c>
      <c r="D143">
        <v>16</v>
      </c>
      <c r="E143" s="3">
        <v>3</v>
      </c>
    </row>
    <row r="144" spans="1:5" x14ac:dyDescent="0.2">
      <c r="A144">
        <v>2</v>
      </c>
      <c r="B144" t="s">
        <v>46</v>
      </c>
      <c r="C144">
        <v>1</v>
      </c>
      <c r="D144">
        <v>12</v>
      </c>
      <c r="E144" s="3">
        <v>3</v>
      </c>
    </row>
    <row r="145" spans="1:5" x14ac:dyDescent="0.2">
      <c r="A145">
        <v>3</v>
      </c>
      <c r="B145" t="s">
        <v>8</v>
      </c>
      <c r="C145">
        <v>0</v>
      </c>
      <c r="D145">
        <v>8</v>
      </c>
      <c r="E145" s="3">
        <v>3</v>
      </c>
    </row>
    <row r="146" spans="1:5" x14ac:dyDescent="0.2">
      <c r="A146">
        <v>4</v>
      </c>
      <c r="B146" t="s">
        <v>73</v>
      </c>
      <c r="C146">
        <v>0</v>
      </c>
      <c r="D146">
        <v>4</v>
      </c>
      <c r="E146" s="3">
        <v>3</v>
      </c>
    </row>
    <row r="147" spans="1:5" x14ac:dyDescent="0.2">
      <c r="A147">
        <v>5</v>
      </c>
      <c r="B147" t="s">
        <v>65</v>
      </c>
      <c r="C147">
        <v>0</v>
      </c>
      <c r="D147">
        <v>2</v>
      </c>
      <c r="E147" s="3">
        <v>3</v>
      </c>
    </row>
    <row r="148" spans="1:5" x14ac:dyDescent="0.2">
      <c r="A148">
        <v>6</v>
      </c>
      <c r="B148" t="s">
        <v>9</v>
      </c>
      <c r="C148">
        <v>0</v>
      </c>
      <c r="D148">
        <v>1</v>
      </c>
      <c r="E148" s="3">
        <v>3</v>
      </c>
    </row>
    <row r="149" spans="1:5" x14ac:dyDescent="0.2">
      <c r="A149">
        <v>1</v>
      </c>
      <c r="B149" t="s">
        <v>42</v>
      </c>
      <c r="C149">
        <v>4</v>
      </c>
      <c r="D149">
        <v>15</v>
      </c>
      <c r="E149" s="3">
        <v>3</v>
      </c>
    </row>
    <row r="150" spans="1:5" x14ac:dyDescent="0.2">
      <c r="A150">
        <v>2</v>
      </c>
      <c r="B150" t="s">
        <v>6</v>
      </c>
      <c r="C150">
        <v>0</v>
      </c>
      <c r="D150">
        <v>11</v>
      </c>
      <c r="E150" s="3">
        <v>3</v>
      </c>
    </row>
    <row r="151" spans="1:5" x14ac:dyDescent="0.2">
      <c r="A151">
        <v>3</v>
      </c>
      <c r="B151" t="s">
        <v>21</v>
      </c>
      <c r="C151">
        <v>0</v>
      </c>
      <c r="D151">
        <v>7</v>
      </c>
      <c r="E151" s="3">
        <v>3</v>
      </c>
    </row>
    <row r="152" spans="1:5" x14ac:dyDescent="0.2">
      <c r="A152">
        <v>4</v>
      </c>
      <c r="B152" t="s">
        <v>36</v>
      </c>
      <c r="C152">
        <v>0</v>
      </c>
      <c r="D152">
        <v>3</v>
      </c>
      <c r="E152" s="3">
        <v>3</v>
      </c>
    </row>
    <row r="153" spans="1:5" x14ac:dyDescent="0.2">
      <c r="A153">
        <v>5</v>
      </c>
      <c r="B153" t="s">
        <v>33</v>
      </c>
      <c r="C153">
        <v>0</v>
      </c>
      <c r="D153">
        <v>1</v>
      </c>
      <c r="E153" s="3">
        <v>3</v>
      </c>
    </row>
    <row r="154" spans="1:5" x14ac:dyDescent="0.2">
      <c r="A154">
        <v>1</v>
      </c>
      <c r="B154" t="s">
        <v>23</v>
      </c>
      <c r="C154">
        <v>1</v>
      </c>
      <c r="D154">
        <v>16</v>
      </c>
      <c r="E154" s="3">
        <v>3</v>
      </c>
    </row>
    <row r="155" spans="1:5" x14ac:dyDescent="0.2">
      <c r="A155">
        <v>2</v>
      </c>
      <c r="B155" t="s">
        <v>48</v>
      </c>
      <c r="C155">
        <v>2</v>
      </c>
      <c r="D155">
        <v>12</v>
      </c>
      <c r="E155" s="3">
        <v>3</v>
      </c>
    </row>
    <row r="156" spans="1:5" x14ac:dyDescent="0.2">
      <c r="A156">
        <v>3</v>
      </c>
      <c r="B156" t="s">
        <v>81</v>
      </c>
      <c r="C156">
        <v>2</v>
      </c>
      <c r="D156">
        <v>8</v>
      </c>
      <c r="E156" s="3">
        <v>3</v>
      </c>
    </row>
    <row r="157" spans="1:5" x14ac:dyDescent="0.2">
      <c r="A157">
        <v>4</v>
      </c>
      <c r="B157" t="s">
        <v>25</v>
      </c>
      <c r="C157">
        <v>0</v>
      </c>
      <c r="D157">
        <v>4</v>
      </c>
      <c r="E157" s="3">
        <v>3</v>
      </c>
    </row>
    <row r="158" spans="1:5" x14ac:dyDescent="0.2">
      <c r="A158">
        <v>5</v>
      </c>
      <c r="B158" t="s">
        <v>5</v>
      </c>
      <c r="C158">
        <v>0</v>
      </c>
      <c r="D158">
        <v>2</v>
      </c>
      <c r="E158" s="3">
        <v>3</v>
      </c>
    </row>
    <row r="159" spans="1:5" x14ac:dyDescent="0.2">
      <c r="A159">
        <v>6</v>
      </c>
      <c r="B159" t="s">
        <v>7</v>
      </c>
      <c r="C159">
        <v>0</v>
      </c>
      <c r="D159">
        <v>1</v>
      </c>
      <c r="E159" s="3">
        <v>3</v>
      </c>
    </row>
    <row r="160" spans="1:5" x14ac:dyDescent="0.2">
      <c r="A160">
        <v>1</v>
      </c>
      <c r="B160" t="s">
        <v>60</v>
      </c>
      <c r="C160">
        <v>4</v>
      </c>
      <c r="D160">
        <v>15</v>
      </c>
      <c r="E160" s="3">
        <v>3</v>
      </c>
    </row>
    <row r="161" spans="1:5" x14ac:dyDescent="0.2">
      <c r="A161">
        <v>2</v>
      </c>
      <c r="B161" t="s">
        <v>75</v>
      </c>
      <c r="C161">
        <v>0</v>
      </c>
      <c r="D161">
        <v>11</v>
      </c>
      <c r="E161" s="3">
        <v>3</v>
      </c>
    </row>
    <row r="162" spans="1:5" x14ac:dyDescent="0.2">
      <c r="A162">
        <v>3</v>
      </c>
      <c r="B162" t="s">
        <v>20</v>
      </c>
      <c r="C162">
        <v>0</v>
      </c>
      <c r="D162">
        <v>7</v>
      </c>
      <c r="E162" s="3">
        <v>3</v>
      </c>
    </row>
    <row r="163" spans="1:5" x14ac:dyDescent="0.2">
      <c r="A163">
        <v>4</v>
      </c>
      <c r="B163" t="s">
        <v>91</v>
      </c>
      <c r="C163">
        <v>0</v>
      </c>
      <c r="D163">
        <v>3</v>
      </c>
      <c r="E163" s="3">
        <v>3</v>
      </c>
    </row>
    <row r="164" spans="1:5" x14ac:dyDescent="0.2">
      <c r="A164">
        <v>5</v>
      </c>
      <c r="B164" t="s">
        <v>41</v>
      </c>
      <c r="C164">
        <v>0</v>
      </c>
      <c r="D164">
        <v>1</v>
      </c>
      <c r="E164" s="3">
        <v>3</v>
      </c>
    </row>
    <row r="165" spans="1:5" x14ac:dyDescent="0.2">
      <c r="A165">
        <v>1</v>
      </c>
      <c r="B165" t="s">
        <v>55</v>
      </c>
      <c r="C165">
        <v>2</v>
      </c>
      <c r="D165">
        <v>16</v>
      </c>
      <c r="E165" s="3">
        <v>3</v>
      </c>
    </row>
    <row r="166" spans="1:5" x14ac:dyDescent="0.2">
      <c r="A166">
        <v>2</v>
      </c>
      <c r="B166" t="s">
        <v>72</v>
      </c>
      <c r="C166">
        <v>2</v>
      </c>
      <c r="D166">
        <v>12</v>
      </c>
      <c r="E166" s="3">
        <v>3</v>
      </c>
    </row>
    <row r="167" spans="1:5" x14ac:dyDescent="0.2">
      <c r="A167">
        <v>3</v>
      </c>
      <c r="B167" t="s">
        <v>27</v>
      </c>
      <c r="C167">
        <v>0</v>
      </c>
      <c r="D167">
        <v>8</v>
      </c>
      <c r="E167" s="3">
        <v>3</v>
      </c>
    </row>
    <row r="168" spans="1:5" x14ac:dyDescent="0.2">
      <c r="A168">
        <v>4</v>
      </c>
      <c r="B168" t="s">
        <v>52</v>
      </c>
      <c r="C168">
        <v>1</v>
      </c>
      <c r="D168">
        <v>4</v>
      </c>
      <c r="E168" s="3">
        <v>3</v>
      </c>
    </row>
    <row r="169" spans="1:5" x14ac:dyDescent="0.2">
      <c r="A169">
        <v>5</v>
      </c>
      <c r="B169" t="s">
        <v>45</v>
      </c>
      <c r="C169">
        <v>0</v>
      </c>
      <c r="D169">
        <v>2</v>
      </c>
      <c r="E169" s="3">
        <v>3</v>
      </c>
    </row>
    <row r="170" spans="1:5" x14ac:dyDescent="0.2">
      <c r="A170">
        <v>6</v>
      </c>
      <c r="B170" t="s">
        <v>22</v>
      </c>
      <c r="C170">
        <v>0</v>
      </c>
      <c r="D170">
        <v>1</v>
      </c>
      <c r="E170" s="3">
        <v>3</v>
      </c>
    </row>
    <row r="171" spans="1:5" x14ac:dyDescent="0.2">
      <c r="A171">
        <v>1</v>
      </c>
      <c r="B171" t="s">
        <v>47</v>
      </c>
      <c r="C171">
        <v>3</v>
      </c>
      <c r="D171">
        <v>16</v>
      </c>
      <c r="E171" s="3">
        <v>3</v>
      </c>
    </row>
    <row r="172" spans="1:5" x14ac:dyDescent="0.2">
      <c r="A172">
        <v>2</v>
      </c>
      <c r="B172" t="s">
        <v>92</v>
      </c>
      <c r="C172">
        <v>1</v>
      </c>
      <c r="D172">
        <v>12</v>
      </c>
      <c r="E172" s="3">
        <v>3</v>
      </c>
    </row>
    <row r="173" spans="1:5" x14ac:dyDescent="0.2">
      <c r="A173">
        <v>3</v>
      </c>
      <c r="B173" t="s">
        <v>39</v>
      </c>
      <c r="C173">
        <v>0</v>
      </c>
      <c r="D173">
        <v>8</v>
      </c>
      <c r="E173" s="3">
        <v>3</v>
      </c>
    </row>
    <row r="174" spans="1:5" x14ac:dyDescent="0.2">
      <c r="A174">
        <v>4</v>
      </c>
      <c r="B174" t="s">
        <v>78</v>
      </c>
      <c r="C174">
        <v>1</v>
      </c>
      <c r="D174">
        <v>4</v>
      </c>
      <c r="E174" s="3">
        <v>3</v>
      </c>
    </row>
    <row r="175" spans="1:5" x14ac:dyDescent="0.2">
      <c r="A175">
        <v>5</v>
      </c>
      <c r="B175" t="s">
        <v>66</v>
      </c>
      <c r="C175">
        <v>0</v>
      </c>
      <c r="D175">
        <v>2</v>
      </c>
      <c r="E175" s="3">
        <v>3</v>
      </c>
    </row>
    <row r="176" spans="1:5" x14ac:dyDescent="0.2">
      <c r="A176">
        <v>6</v>
      </c>
      <c r="B176" t="s">
        <v>87</v>
      </c>
      <c r="C176">
        <v>0</v>
      </c>
      <c r="D176">
        <v>1</v>
      </c>
      <c r="E176" s="3">
        <v>3</v>
      </c>
    </row>
    <row r="177" spans="1:5" x14ac:dyDescent="0.2">
      <c r="A177">
        <v>1</v>
      </c>
      <c r="B177" t="s">
        <v>50</v>
      </c>
      <c r="C177">
        <v>4</v>
      </c>
      <c r="D177">
        <v>16</v>
      </c>
      <c r="E177" s="3">
        <v>4</v>
      </c>
    </row>
    <row r="178" spans="1:5" x14ac:dyDescent="0.2">
      <c r="A178">
        <v>2</v>
      </c>
      <c r="B178" t="s">
        <v>88</v>
      </c>
      <c r="C178">
        <v>0</v>
      </c>
      <c r="D178">
        <v>12</v>
      </c>
      <c r="E178" s="3">
        <v>4</v>
      </c>
    </row>
    <row r="179" spans="1:5" x14ac:dyDescent="0.2">
      <c r="A179">
        <v>3</v>
      </c>
      <c r="B179" t="s">
        <v>73</v>
      </c>
      <c r="C179">
        <v>1</v>
      </c>
      <c r="D179">
        <v>8</v>
      </c>
      <c r="E179" s="3">
        <v>4</v>
      </c>
    </row>
    <row r="180" spans="1:5" x14ac:dyDescent="0.2">
      <c r="A180">
        <v>4</v>
      </c>
      <c r="B180" t="s">
        <v>69</v>
      </c>
      <c r="C180">
        <v>0</v>
      </c>
      <c r="D180">
        <v>4</v>
      </c>
      <c r="E180" s="3">
        <v>4</v>
      </c>
    </row>
    <row r="181" spans="1:5" x14ac:dyDescent="0.2">
      <c r="A181">
        <v>5</v>
      </c>
      <c r="B181" t="s">
        <v>26</v>
      </c>
      <c r="C181">
        <v>0</v>
      </c>
      <c r="D181">
        <v>2</v>
      </c>
      <c r="E181" s="3">
        <v>4</v>
      </c>
    </row>
    <row r="182" spans="1:5" x14ac:dyDescent="0.2">
      <c r="A182">
        <v>6</v>
      </c>
      <c r="B182" t="s">
        <v>52</v>
      </c>
      <c r="C182">
        <v>0</v>
      </c>
      <c r="D182">
        <v>1</v>
      </c>
      <c r="E182" s="3">
        <v>4</v>
      </c>
    </row>
    <row r="183" spans="1:5" x14ac:dyDescent="0.2">
      <c r="A183">
        <v>1</v>
      </c>
      <c r="B183" t="s">
        <v>32</v>
      </c>
      <c r="C183">
        <v>2</v>
      </c>
      <c r="D183">
        <v>16</v>
      </c>
      <c r="E183" s="3">
        <v>4</v>
      </c>
    </row>
    <row r="184" spans="1:5" x14ac:dyDescent="0.2">
      <c r="A184">
        <v>2</v>
      </c>
      <c r="B184" t="s">
        <v>35</v>
      </c>
      <c r="C184">
        <v>1</v>
      </c>
      <c r="D184">
        <v>12</v>
      </c>
      <c r="E184" s="3">
        <v>4</v>
      </c>
    </row>
    <row r="185" spans="1:5" x14ac:dyDescent="0.2">
      <c r="A185">
        <v>3</v>
      </c>
      <c r="B185" t="s">
        <v>66</v>
      </c>
      <c r="C185">
        <v>0</v>
      </c>
      <c r="D185">
        <v>8</v>
      </c>
      <c r="E185" s="3">
        <v>4</v>
      </c>
    </row>
    <row r="186" spans="1:5" x14ac:dyDescent="0.2">
      <c r="A186">
        <v>4</v>
      </c>
      <c r="B186" t="s">
        <v>12</v>
      </c>
      <c r="C186">
        <v>2</v>
      </c>
      <c r="D186">
        <v>4</v>
      </c>
      <c r="E186" s="3">
        <v>4</v>
      </c>
    </row>
    <row r="187" spans="1:5" x14ac:dyDescent="0.2">
      <c r="A187">
        <v>5</v>
      </c>
      <c r="B187" t="s">
        <v>39</v>
      </c>
      <c r="C187">
        <v>0</v>
      </c>
      <c r="D187">
        <v>2</v>
      </c>
      <c r="E187" s="3">
        <v>4</v>
      </c>
    </row>
    <row r="188" spans="1:5" x14ac:dyDescent="0.2">
      <c r="A188">
        <v>6</v>
      </c>
      <c r="B188" t="s">
        <v>55</v>
      </c>
      <c r="C188">
        <v>0</v>
      </c>
      <c r="D188">
        <v>1</v>
      </c>
      <c r="E188" s="3">
        <v>4</v>
      </c>
    </row>
    <row r="189" spans="1:5" x14ac:dyDescent="0.2">
      <c r="A189">
        <v>1</v>
      </c>
      <c r="B189" t="s">
        <v>16</v>
      </c>
      <c r="C189">
        <v>3</v>
      </c>
      <c r="D189">
        <v>16</v>
      </c>
      <c r="E189" s="3">
        <v>4</v>
      </c>
    </row>
    <row r="190" spans="1:5" x14ac:dyDescent="0.2">
      <c r="A190">
        <v>2</v>
      </c>
      <c r="B190" t="s">
        <v>23</v>
      </c>
      <c r="C190">
        <v>1</v>
      </c>
      <c r="D190">
        <v>12</v>
      </c>
      <c r="E190" s="3">
        <v>4</v>
      </c>
    </row>
    <row r="191" spans="1:5" x14ac:dyDescent="0.2">
      <c r="A191">
        <v>3</v>
      </c>
      <c r="B191" t="s">
        <v>5</v>
      </c>
      <c r="C191">
        <v>1</v>
      </c>
      <c r="D191">
        <v>8</v>
      </c>
      <c r="E191" s="3">
        <v>4</v>
      </c>
    </row>
    <row r="192" spans="1:5" x14ac:dyDescent="0.2">
      <c r="A192">
        <v>4</v>
      </c>
      <c r="B192" t="s">
        <v>19</v>
      </c>
      <c r="C192">
        <v>0</v>
      </c>
      <c r="D192">
        <v>4</v>
      </c>
      <c r="E192" s="3">
        <v>4</v>
      </c>
    </row>
    <row r="193" spans="1:5" x14ac:dyDescent="0.2">
      <c r="A193">
        <v>5</v>
      </c>
      <c r="B193" t="s">
        <v>40</v>
      </c>
      <c r="C193">
        <v>0</v>
      </c>
      <c r="D193">
        <v>2</v>
      </c>
      <c r="E193" s="3">
        <v>4</v>
      </c>
    </row>
    <row r="194" spans="1:5" x14ac:dyDescent="0.2">
      <c r="A194">
        <v>6</v>
      </c>
      <c r="B194" t="s">
        <v>78</v>
      </c>
      <c r="C194">
        <v>0</v>
      </c>
      <c r="D194">
        <v>1</v>
      </c>
      <c r="E194" s="3">
        <v>4</v>
      </c>
    </row>
    <row r="195" spans="1:5" x14ac:dyDescent="0.2">
      <c r="A195">
        <v>1</v>
      </c>
      <c r="B195" t="s">
        <v>75</v>
      </c>
      <c r="C195">
        <v>2</v>
      </c>
      <c r="D195">
        <v>16</v>
      </c>
      <c r="E195" s="3">
        <v>4</v>
      </c>
    </row>
    <row r="196" spans="1:5" x14ac:dyDescent="0.2">
      <c r="A196">
        <v>2</v>
      </c>
      <c r="B196" t="s">
        <v>15</v>
      </c>
      <c r="C196">
        <v>0</v>
      </c>
      <c r="D196">
        <v>12</v>
      </c>
      <c r="E196" s="3">
        <v>4</v>
      </c>
    </row>
    <row r="197" spans="1:5" x14ac:dyDescent="0.2">
      <c r="A197">
        <v>3</v>
      </c>
      <c r="B197" t="s">
        <v>92</v>
      </c>
      <c r="C197">
        <v>3</v>
      </c>
      <c r="D197">
        <v>8</v>
      </c>
      <c r="E197" s="3">
        <v>4</v>
      </c>
    </row>
    <row r="198" spans="1:5" x14ac:dyDescent="0.2">
      <c r="A198">
        <v>4</v>
      </c>
      <c r="B198" t="s">
        <v>93</v>
      </c>
      <c r="C198">
        <v>0</v>
      </c>
      <c r="D198">
        <v>4</v>
      </c>
      <c r="E198" s="3">
        <v>4</v>
      </c>
    </row>
    <row r="199" spans="1:5" x14ac:dyDescent="0.2">
      <c r="A199">
        <v>5</v>
      </c>
      <c r="B199" t="s">
        <v>85</v>
      </c>
      <c r="C199">
        <v>0</v>
      </c>
      <c r="D199">
        <v>2</v>
      </c>
      <c r="E199" s="3">
        <v>4</v>
      </c>
    </row>
    <row r="200" spans="1:5" x14ac:dyDescent="0.2">
      <c r="A200">
        <v>6</v>
      </c>
      <c r="B200" t="s">
        <v>60</v>
      </c>
      <c r="C200">
        <v>0</v>
      </c>
      <c r="D200">
        <v>1</v>
      </c>
      <c r="E200" s="3">
        <v>4</v>
      </c>
    </row>
    <row r="201" spans="1:5" x14ac:dyDescent="0.2">
      <c r="A201">
        <v>1</v>
      </c>
      <c r="B201" t="s">
        <v>38</v>
      </c>
      <c r="C201">
        <v>1</v>
      </c>
      <c r="D201">
        <v>16</v>
      </c>
      <c r="E201" s="3">
        <v>4</v>
      </c>
    </row>
    <row r="202" spans="1:5" x14ac:dyDescent="0.2">
      <c r="A202">
        <v>2</v>
      </c>
      <c r="B202" t="s">
        <v>94</v>
      </c>
      <c r="C202">
        <v>3</v>
      </c>
      <c r="D202">
        <v>12</v>
      </c>
      <c r="E202" s="3">
        <v>4</v>
      </c>
    </row>
    <row r="203" spans="1:5" x14ac:dyDescent="0.2">
      <c r="A203">
        <v>3</v>
      </c>
      <c r="B203" t="s">
        <v>48</v>
      </c>
      <c r="C203">
        <v>1</v>
      </c>
      <c r="D203">
        <v>8</v>
      </c>
      <c r="E203" s="3">
        <v>4</v>
      </c>
    </row>
    <row r="204" spans="1:5" x14ac:dyDescent="0.2">
      <c r="A204">
        <v>4</v>
      </c>
      <c r="B204" t="s">
        <v>61</v>
      </c>
      <c r="C204">
        <v>0</v>
      </c>
      <c r="D204">
        <v>4</v>
      </c>
      <c r="E204" s="3">
        <v>4</v>
      </c>
    </row>
    <row r="205" spans="1:5" x14ac:dyDescent="0.2">
      <c r="A205">
        <v>5</v>
      </c>
      <c r="B205" t="s">
        <v>87</v>
      </c>
      <c r="C205">
        <v>0</v>
      </c>
      <c r="D205">
        <v>2</v>
      </c>
      <c r="E205" s="3">
        <v>4</v>
      </c>
    </row>
    <row r="206" spans="1:5" x14ac:dyDescent="0.2">
      <c r="A206">
        <v>6</v>
      </c>
      <c r="B206" t="s">
        <v>21</v>
      </c>
      <c r="C206">
        <v>0</v>
      </c>
      <c r="D206">
        <v>1</v>
      </c>
      <c r="E206" s="3">
        <v>4</v>
      </c>
    </row>
    <row r="207" spans="1:5" x14ac:dyDescent="0.2">
      <c r="A207">
        <v>1</v>
      </c>
      <c r="B207" t="s">
        <v>33</v>
      </c>
      <c r="C207">
        <v>2</v>
      </c>
      <c r="D207">
        <v>15</v>
      </c>
      <c r="E207" s="3">
        <v>4</v>
      </c>
    </row>
    <row r="208" spans="1:5" x14ac:dyDescent="0.2">
      <c r="A208">
        <v>2</v>
      </c>
      <c r="B208" t="s">
        <v>53</v>
      </c>
      <c r="C208">
        <v>1</v>
      </c>
      <c r="D208">
        <v>11</v>
      </c>
      <c r="E208" s="3">
        <v>4</v>
      </c>
    </row>
    <row r="209" spans="1:5" x14ac:dyDescent="0.2">
      <c r="A209">
        <v>3</v>
      </c>
      <c r="B209" t="s">
        <v>63</v>
      </c>
      <c r="C209">
        <v>1</v>
      </c>
      <c r="D209">
        <v>7</v>
      </c>
      <c r="E209" s="3">
        <v>4</v>
      </c>
    </row>
    <row r="210" spans="1:5" x14ac:dyDescent="0.2">
      <c r="A210">
        <v>4</v>
      </c>
      <c r="B210" t="s">
        <v>18</v>
      </c>
      <c r="C210">
        <v>0</v>
      </c>
      <c r="D210">
        <v>3</v>
      </c>
      <c r="E210" s="3">
        <v>4</v>
      </c>
    </row>
    <row r="211" spans="1:5" x14ac:dyDescent="0.2">
      <c r="A211">
        <v>5</v>
      </c>
      <c r="B211" t="s">
        <v>65</v>
      </c>
      <c r="C211">
        <v>0</v>
      </c>
      <c r="D211">
        <v>1</v>
      </c>
      <c r="E211" s="3">
        <v>4</v>
      </c>
    </row>
    <row r="212" spans="1:5" x14ac:dyDescent="0.2">
      <c r="A212">
        <v>1</v>
      </c>
      <c r="B212" t="s">
        <v>43</v>
      </c>
      <c r="C212">
        <v>2</v>
      </c>
      <c r="D212">
        <v>15</v>
      </c>
      <c r="E212" s="3">
        <v>4</v>
      </c>
    </row>
    <row r="213" spans="1:5" x14ac:dyDescent="0.2">
      <c r="A213">
        <v>2</v>
      </c>
      <c r="B213" t="s">
        <v>25</v>
      </c>
      <c r="C213">
        <v>1</v>
      </c>
      <c r="D213">
        <v>11</v>
      </c>
      <c r="E213" s="3">
        <v>4</v>
      </c>
    </row>
    <row r="214" spans="1:5" x14ac:dyDescent="0.2">
      <c r="A214">
        <v>3</v>
      </c>
      <c r="B214" t="s">
        <v>57</v>
      </c>
      <c r="C214">
        <v>1</v>
      </c>
      <c r="D214">
        <v>7</v>
      </c>
      <c r="E214" s="3">
        <v>4</v>
      </c>
    </row>
    <row r="215" spans="1:5" x14ac:dyDescent="0.2">
      <c r="A215">
        <v>4</v>
      </c>
      <c r="B215" t="s">
        <v>42</v>
      </c>
      <c r="C215">
        <v>0</v>
      </c>
      <c r="D215">
        <v>3</v>
      </c>
      <c r="E215" s="3">
        <v>4</v>
      </c>
    </row>
    <row r="216" spans="1:5" x14ac:dyDescent="0.2">
      <c r="A216">
        <v>5</v>
      </c>
      <c r="B216" t="s">
        <v>41</v>
      </c>
      <c r="C216">
        <v>0</v>
      </c>
      <c r="D216">
        <v>1</v>
      </c>
      <c r="E216" s="3">
        <v>4</v>
      </c>
    </row>
    <row r="217" spans="1:5" x14ac:dyDescent="0.2">
      <c r="A217">
        <v>1</v>
      </c>
      <c r="B217" t="s">
        <v>28</v>
      </c>
      <c r="C217">
        <v>3</v>
      </c>
      <c r="D217">
        <v>15</v>
      </c>
      <c r="E217" s="3">
        <v>4</v>
      </c>
    </row>
    <row r="218" spans="1:5" x14ac:dyDescent="0.2">
      <c r="A218">
        <v>2</v>
      </c>
      <c r="B218" t="s">
        <v>8</v>
      </c>
      <c r="C218">
        <v>0</v>
      </c>
      <c r="D218">
        <v>11</v>
      </c>
      <c r="E218" s="3">
        <v>4</v>
      </c>
    </row>
    <row r="219" spans="1:5" x14ac:dyDescent="0.2">
      <c r="A219">
        <v>3</v>
      </c>
      <c r="B219" t="s">
        <v>45</v>
      </c>
      <c r="C219">
        <v>1</v>
      </c>
      <c r="D219">
        <v>7</v>
      </c>
      <c r="E219" s="3">
        <v>4</v>
      </c>
    </row>
    <row r="220" spans="1:5" x14ac:dyDescent="0.2">
      <c r="A220">
        <v>4</v>
      </c>
      <c r="B220" t="s">
        <v>22</v>
      </c>
      <c r="C220">
        <v>0</v>
      </c>
      <c r="D220">
        <v>3</v>
      </c>
      <c r="E220" s="3">
        <v>4</v>
      </c>
    </row>
    <row r="221" spans="1:5" x14ac:dyDescent="0.2">
      <c r="A221">
        <v>5</v>
      </c>
      <c r="B221" t="s">
        <v>91</v>
      </c>
      <c r="C221">
        <v>0</v>
      </c>
      <c r="D221">
        <v>1</v>
      </c>
      <c r="E221" s="3">
        <v>4</v>
      </c>
    </row>
    <row r="222" spans="1:5" x14ac:dyDescent="0.2">
      <c r="A222">
        <v>1</v>
      </c>
      <c r="B222" t="s">
        <v>76</v>
      </c>
      <c r="C222">
        <v>3</v>
      </c>
      <c r="D222">
        <v>15</v>
      </c>
      <c r="E222" s="3">
        <v>4</v>
      </c>
    </row>
    <row r="223" spans="1:5" x14ac:dyDescent="0.2">
      <c r="A223">
        <v>2</v>
      </c>
      <c r="B223" t="s">
        <v>29</v>
      </c>
      <c r="C223">
        <v>1</v>
      </c>
      <c r="D223">
        <v>11</v>
      </c>
      <c r="E223" s="3">
        <v>4</v>
      </c>
    </row>
    <row r="224" spans="1:5" x14ac:dyDescent="0.2">
      <c r="A224">
        <v>3</v>
      </c>
      <c r="B224" t="s">
        <v>14</v>
      </c>
      <c r="C224">
        <v>0</v>
      </c>
      <c r="D224">
        <v>7</v>
      </c>
      <c r="E224" s="3">
        <v>4</v>
      </c>
    </row>
    <row r="225" spans="1:5" x14ac:dyDescent="0.2">
      <c r="A225">
        <v>4</v>
      </c>
      <c r="B225" t="s">
        <v>31</v>
      </c>
      <c r="C225">
        <v>0</v>
      </c>
      <c r="D225">
        <v>3</v>
      </c>
      <c r="E225" s="3">
        <v>4</v>
      </c>
    </row>
    <row r="226" spans="1:5" x14ac:dyDescent="0.2">
      <c r="A226">
        <v>5</v>
      </c>
      <c r="B226" t="s">
        <v>6</v>
      </c>
      <c r="C226">
        <v>0</v>
      </c>
      <c r="D226">
        <v>1</v>
      </c>
      <c r="E226" s="3">
        <v>4</v>
      </c>
    </row>
    <row r="227" spans="1:5" x14ac:dyDescent="0.2">
      <c r="A227">
        <v>1</v>
      </c>
      <c r="B227" t="s">
        <v>77</v>
      </c>
      <c r="C227">
        <v>2</v>
      </c>
      <c r="D227">
        <v>16</v>
      </c>
      <c r="E227" s="3">
        <v>4</v>
      </c>
    </row>
    <row r="228" spans="1:5" x14ac:dyDescent="0.2">
      <c r="A228">
        <v>2</v>
      </c>
      <c r="B228" t="s">
        <v>59</v>
      </c>
      <c r="C228">
        <v>0</v>
      </c>
      <c r="D228">
        <v>12</v>
      </c>
      <c r="E228" s="3">
        <v>4</v>
      </c>
    </row>
    <row r="229" spans="1:5" x14ac:dyDescent="0.2">
      <c r="A229">
        <v>3</v>
      </c>
      <c r="B229" t="s">
        <v>54</v>
      </c>
      <c r="C229">
        <v>3</v>
      </c>
      <c r="D229">
        <v>8</v>
      </c>
      <c r="E229" s="3">
        <v>4</v>
      </c>
    </row>
    <row r="230" spans="1:5" x14ac:dyDescent="0.2">
      <c r="A230">
        <v>4</v>
      </c>
      <c r="B230" t="s">
        <v>46</v>
      </c>
      <c r="C230">
        <v>0</v>
      </c>
      <c r="D230">
        <v>4</v>
      </c>
      <c r="E230" s="3">
        <v>4</v>
      </c>
    </row>
    <row r="231" spans="1:5" x14ac:dyDescent="0.2">
      <c r="A231">
        <v>5</v>
      </c>
      <c r="B231" t="s">
        <v>47</v>
      </c>
      <c r="C231">
        <v>0</v>
      </c>
      <c r="D231">
        <v>2</v>
      </c>
      <c r="E231" s="3">
        <v>4</v>
      </c>
    </row>
    <row r="232" spans="1:5" x14ac:dyDescent="0.2">
      <c r="A232">
        <v>6</v>
      </c>
      <c r="B232" t="s">
        <v>74</v>
      </c>
      <c r="C232">
        <v>0</v>
      </c>
      <c r="D232">
        <v>1</v>
      </c>
      <c r="E232" s="3">
        <v>4</v>
      </c>
    </row>
    <row r="233" spans="1:5" x14ac:dyDescent="0.2">
      <c r="A233">
        <v>1</v>
      </c>
      <c r="B233" t="s">
        <v>92</v>
      </c>
      <c r="C233">
        <v>3</v>
      </c>
      <c r="D233">
        <v>16</v>
      </c>
      <c r="E233" s="3">
        <v>5</v>
      </c>
    </row>
    <row r="234" spans="1:5" x14ac:dyDescent="0.2">
      <c r="A234">
        <v>2</v>
      </c>
      <c r="B234" t="s">
        <v>74</v>
      </c>
      <c r="C234">
        <v>2</v>
      </c>
      <c r="D234">
        <v>12</v>
      </c>
      <c r="E234" s="3">
        <v>5</v>
      </c>
    </row>
    <row r="235" spans="1:5" x14ac:dyDescent="0.2">
      <c r="A235">
        <v>3</v>
      </c>
      <c r="B235" t="s">
        <v>52</v>
      </c>
      <c r="C235">
        <v>0</v>
      </c>
      <c r="D235">
        <v>8</v>
      </c>
      <c r="E235" s="3">
        <v>5</v>
      </c>
    </row>
    <row r="236" spans="1:5" x14ac:dyDescent="0.2">
      <c r="A236">
        <v>4</v>
      </c>
      <c r="B236" t="s">
        <v>21</v>
      </c>
      <c r="C236">
        <v>0</v>
      </c>
      <c r="D236">
        <v>4</v>
      </c>
      <c r="E236" s="3">
        <v>5</v>
      </c>
    </row>
    <row r="237" spans="1:5" x14ac:dyDescent="0.2">
      <c r="A237">
        <v>5</v>
      </c>
      <c r="B237" t="s">
        <v>29</v>
      </c>
      <c r="C237">
        <v>0</v>
      </c>
      <c r="D237">
        <v>2</v>
      </c>
      <c r="E237" s="3">
        <v>5</v>
      </c>
    </row>
    <row r="238" spans="1:5" x14ac:dyDescent="0.2">
      <c r="A238">
        <v>6</v>
      </c>
      <c r="B238" t="s">
        <v>80</v>
      </c>
      <c r="C238">
        <v>0</v>
      </c>
      <c r="D238">
        <v>1</v>
      </c>
      <c r="E238" s="3">
        <v>5</v>
      </c>
    </row>
    <row r="239" spans="1:5" x14ac:dyDescent="0.2">
      <c r="A239">
        <v>1</v>
      </c>
      <c r="B239" t="s">
        <v>68</v>
      </c>
      <c r="C239">
        <v>3</v>
      </c>
      <c r="D239">
        <v>16</v>
      </c>
      <c r="E239" s="3">
        <v>5</v>
      </c>
    </row>
    <row r="240" spans="1:5" x14ac:dyDescent="0.2">
      <c r="A240">
        <v>2</v>
      </c>
      <c r="B240" t="s">
        <v>60</v>
      </c>
      <c r="C240">
        <v>1</v>
      </c>
      <c r="D240">
        <v>12</v>
      </c>
      <c r="E240" s="3">
        <v>5</v>
      </c>
    </row>
    <row r="241" spans="1:5" x14ac:dyDescent="0.2">
      <c r="A241">
        <v>3</v>
      </c>
      <c r="B241" t="s">
        <v>73</v>
      </c>
      <c r="C241">
        <v>0</v>
      </c>
      <c r="D241">
        <v>8</v>
      </c>
      <c r="E241" s="3">
        <v>5</v>
      </c>
    </row>
    <row r="242" spans="1:5" x14ac:dyDescent="0.2">
      <c r="A242">
        <v>4</v>
      </c>
      <c r="B242" t="s">
        <v>40</v>
      </c>
      <c r="C242">
        <v>0</v>
      </c>
      <c r="D242">
        <v>4</v>
      </c>
      <c r="E242" s="3">
        <v>5</v>
      </c>
    </row>
    <row r="243" spans="1:5" x14ac:dyDescent="0.2">
      <c r="A243">
        <v>5</v>
      </c>
      <c r="B243" t="s">
        <v>48</v>
      </c>
      <c r="C243">
        <v>1</v>
      </c>
      <c r="D243">
        <v>2</v>
      </c>
      <c r="E243" s="3">
        <v>5</v>
      </c>
    </row>
    <row r="244" spans="1:5" x14ac:dyDescent="0.2">
      <c r="A244">
        <v>6</v>
      </c>
      <c r="B244" t="s">
        <v>69</v>
      </c>
      <c r="C244">
        <v>0</v>
      </c>
      <c r="D244">
        <v>1</v>
      </c>
      <c r="E244" s="3">
        <v>5</v>
      </c>
    </row>
    <row r="245" spans="1:5" x14ac:dyDescent="0.2">
      <c r="A245">
        <v>1</v>
      </c>
      <c r="B245" t="s">
        <v>14</v>
      </c>
      <c r="C245">
        <v>3</v>
      </c>
      <c r="D245">
        <v>16</v>
      </c>
      <c r="E245" s="3">
        <v>5</v>
      </c>
    </row>
    <row r="246" spans="1:5" x14ac:dyDescent="0.2">
      <c r="A246">
        <v>2</v>
      </c>
      <c r="B246" t="s">
        <v>15</v>
      </c>
      <c r="C246">
        <v>1</v>
      </c>
      <c r="D246">
        <v>12</v>
      </c>
      <c r="E246" s="3">
        <v>5</v>
      </c>
    </row>
    <row r="247" spans="1:5" x14ac:dyDescent="0.2">
      <c r="A247">
        <v>3</v>
      </c>
      <c r="B247" t="s">
        <v>55</v>
      </c>
      <c r="C247">
        <v>0</v>
      </c>
      <c r="D247">
        <v>8</v>
      </c>
      <c r="E247" s="3">
        <v>5</v>
      </c>
    </row>
    <row r="248" spans="1:5" x14ac:dyDescent="0.2">
      <c r="A248">
        <v>4</v>
      </c>
      <c r="B248" t="s">
        <v>75</v>
      </c>
      <c r="C248">
        <v>1</v>
      </c>
      <c r="D248">
        <v>4</v>
      </c>
      <c r="E248" s="3">
        <v>5</v>
      </c>
    </row>
    <row r="249" spans="1:5" x14ac:dyDescent="0.2">
      <c r="A249">
        <v>5</v>
      </c>
      <c r="B249" t="s">
        <v>42</v>
      </c>
      <c r="C249">
        <v>0</v>
      </c>
      <c r="D249">
        <v>2</v>
      </c>
      <c r="E249" s="3">
        <v>5</v>
      </c>
    </row>
    <row r="250" spans="1:5" x14ac:dyDescent="0.2">
      <c r="A250">
        <v>6</v>
      </c>
      <c r="B250" t="s">
        <v>5</v>
      </c>
      <c r="C250">
        <v>0</v>
      </c>
      <c r="D250">
        <v>1</v>
      </c>
      <c r="E250" s="3">
        <v>5</v>
      </c>
    </row>
    <row r="251" spans="1:5" x14ac:dyDescent="0.2">
      <c r="A251">
        <v>1</v>
      </c>
      <c r="B251" t="s">
        <v>95</v>
      </c>
      <c r="C251">
        <v>1</v>
      </c>
      <c r="D251">
        <v>16</v>
      </c>
      <c r="E251" s="3">
        <v>5</v>
      </c>
    </row>
    <row r="252" spans="1:5" x14ac:dyDescent="0.2">
      <c r="A252">
        <v>2</v>
      </c>
      <c r="B252" t="s">
        <v>18</v>
      </c>
      <c r="C252">
        <v>3</v>
      </c>
      <c r="D252">
        <v>12</v>
      </c>
      <c r="E252" s="3">
        <v>5</v>
      </c>
    </row>
    <row r="253" spans="1:5" x14ac:dyDescent="0.2">
      <c r="A253">
        <v>3</v>
      </c>
      <c r="B253" t="s">
        <v>96</v>
      </c>
      <c r="C253">
        <v>1</v>
      </c>
      <c r="D253">
        <v>8</v>
      </c>
      <c r="E253" s="3">
        <v>5</v>
      </c>
    </row>
    <row r="254" spans="1:5" x14ac:dyDescent="0.2">
      <c r="A254">
        <v>4</v>
      </c>
      <c r="B254" t="s">
        <v>43</v>
      </c>
      <c r="C254">
        <v>0</v>
      </c>
      <c r="D254">
        <v>4</v>
      </c>
      <c r="E254" s="3">
        <v>5</v>
      </c>
    </row>
    <row r="255" spans="1:5" x14ac:dyDescent="0.2">
      <c r="A255">
        <v>5</v>
      </c>
      <c r="B255" t="s">
        <v>46</v>
      </c>
      <c r="C255">
        <v>0</v>
      </c>
      <c r="D255">
        <v>2</v>
      </c>
      <c r="E255" s="3">
        <v>5</v>
      </c>
    </row>
    <row r="256" spans="1:5" x14ac:dyDescent="0.2">
      <c r="A256">
        <v>6</v>
      </c>
      <c r="B256" t="s">
        <v>28</v>
      </c>
      <c r="C256">
        <v>0</v>
      </c>
      <c r="D256">
        <v>1</v>
      </c>
      <c r="E256" s="3">
        <v>5</v>
      </c>
    </row>
    <row r="257" spans="1:5" x14ac:dyDescent="0.2">
      <c r="A257">
        <v>1</v>
      </c>
      <c r="B257" t="s">
        <v>6</v>
      </c>
      <c r="C257">
        <v>2</v>
      </c>
      <c r="D257">
        <v>16</v>
      </c>
      <c r="E257" s="3">
        <v>5</v>
      </c>
    </row>
    <row r="258" spans="1:5" x14ac:dyDescent="0.2">
      <c r="A258">
        <v>2</v>
      </c>
      <c r="B258" t="s">
        <v>22</v>
      </c>
      <c r="C258">
        <v>3</v>
      </c>
      <c r="D258">
        <v>12</v>
      </c>
      <c r="E258" s="3">
        <v>5</v>
      </c>
    </row>
    <row r="259" spans="1:5" x14ac:dyDescent="0.2">
      <c r="A259">
        <v>3</v>
      </c>
      <c r="B259" t="s">
        <v>54</v>
      </c>
      <c r="C259">
        <v>0</v>
      </c>
      <c r="D259">
        <v>8</v>
      </c>
      <c r="E259" s="3">
        <v>5</v>
      </c>
    </row>
    <row r="260" spans="1:5" x14ac:dyDescent="0.2">
      <c r="A260">
        <v>4</v>
      </c>
      <c r="B260" t="s">
        <v>57</v>
      </c>
      <c r="C260">
        <v>0</v>
      </c>
      <c r="D260">
        <v>4</v>
      </c>
      <c r="E260" s="3">
        <v>5</v>
      </c>
    </row>
    <row r="261" spans="1:5" x14ac:dyDescent="0.2">
      <c r="A261">
        <v>5</v>
      </c>
      <c r="B261" t="s">
        <v>83</v>
      </c>
      <c r="C261">
        <v>0</v>
      </c>
      <c r="D261">
        <v>2</v>
      </c>
      <c r="E261" s="3">
        <v>5</v>
      </c>
    </row>
    <row r="262" spans="1:5" x14ac:dyDescent="0.2">
      <c r="A262">
        <v>6</v>
      </c>
      <c r="B262" t="s">
        <v>23</v>
      </c>
      <c r="C262">
        <v>0</v>
      </c>
      <c r="D262">
        <v>1</v>
      </c>
      <c r="E262" s="3">
        <v>5</v>
      </c>
    </row>
    <row r="263" spans="1:5" x14ac:dyDescent="0.2">
      <c r="A263">
        <v>1</v>
      </c>
      <c r="B263" t="s">
        <v>45</v>
      </c>
      <c r="C263">
        <v>4</v>
      </c>
      <c r="D263">
        <v>16</v>
      </c>
      <c r="E263" s="3">
        <v>5</v>
      </c>
    </row>
    <row r="264" spans="1:5" x14ac:dyDescent="0.2">
      <c r="A264">
        <v>2</v>
      </c>
      <c r="B264" t="s">
        <v>19</v>
      </c>
      <c r="C264">
        <v>1</v>
      </c>
      <c r="D264">
        <v>12</v>
      </c>
      <c r="E264" s="3">
        <v>5</v>
      </c>
    </row>
    <row r="265" spans="1:5" x14ac:dyDescent="0.2">
      <c r="A265">
        <v>3</v>
      </c>
      <c r="B265" t="s">
        <v>26</v>
      </c>
      <c r="C265">
        <v>0</v>
      </c>
      <c r="D265">
        <v>8</v>
      </c>
      <c r="E265" s="3">
        <v>5</v>
      </c>
    </row>
    <row r="266" spans="1:5" x14ac:dyDescent="0.2">
      <c r="A266">
        <v>4</v>
      </c>
      <c r="B266" t="s">
        <v>12</v>
      </c>
      <c r="C266">
        <v>0</v>
      </c>
      <c r="D266">
        <v>4</v>
      </c>
      <c r="E266" s="3">
        <v>5</v>
      </c>
    </row>
    <row r="267" spans="1:5" x14ac:dyDescent="0.2">
      <c r="A267">
        <v>5</v>
      </c>
      <c r="B267" t="s">
        <v>61</v>
      </c>
      <c r="C267">
        <v>0</v>
      </c>
      <c r="D267">
        <v>2</v>
      </c>
      <c r="E267" s="3">
        <v>5</v>
      </c>
    </row>
    <row r="268" spans="1:5" x14ac:dyDescent="0.2">
      <c r="A268">
        <v>6</v>
      </c>
      <c r="B268" t="s">
        <v>16</v>
      </c>
      <c r="C268">
        <v>0</v>
      </c>
      <c r="D268">
        <v>1</v>
      </c>
      <c r="E268" s="3">
        <v>5</v>
      </c>
    </row>
    <row r="269" spans="1:5" x14ac:dyDescent="0.2">
      <c r="A269">
        <v>1</v>
      </c>
      <c r="B269" t="s">
        <v>9</v>
      </c>
      <c r="C269">
        <v>3</v>
      </c>
      <c r="D269">
        <v>16</v>
      </c>
      <c r="E269" s="3">
        <v>5</v>
      </c>
    </row>
    <row r="270" spans="1:5" x14ac:dyDescent="0.2">
      <c r="A270">
        <v>2</v>
      </c>
      <c r="B270" t="s">
        <v>87</v>
      </c>
      <c r="C270">
        <v>2</v>
      </c>
      <c r="D270">
        <v>12</v>
      </c>
      <c r="E270" s="3">
        <v>5</v>
      </c>
    </row>
    <row r="271" spans="1:5" x14ac:dyDescent="0.2">
      <c r="A271">
        <v>3</v>
      </c>
      <c r="B271" t="s">
        <v>50</v>
      </c>
      <c r="C271">
        <v>0</v>
      </c>
      <c r="D271">
        <v>8</v>
      </c>
      <c r="E271" s="3">
        <v>5</v>
      </c>
    </row>
    <row r="272" spans="1:5" x14ac:dyDescent="0.2">
      <c r="A272">
        <v>4</v>
      </c>
      <c r="B272" t="s">
        <v>63</v>
      </c>
      <c r="C272">
        <v>0</v>
      </c>
      <c r="D272">
        <v>4</v>
      </c>
      <c r="E272" s="3">
        <v>5</v>
      </c>
    </row>
    <row r="273" spans="1:5" x14ac:dyDescent="0.2">
      <c r="A273">
        <v>5</v>
      </c>
      <c r="B273" t="s">
        <v>66</v>
      </c>
      <c r="C273">
        <v>0</v>
      </c>
      <c r="D273">
        <v>2</v>
      </c>
      <c r="E273" s="3">
        <v>5</v>
      </c>
    </row>
    <row r="274" spans="1:5" x14ac:dyDescent="0.2">
      <c r="A274">
        <v>6</v>
      </c>
      <c r="B274" t="s">
        <v>38</v>
      </c>
      <c r="C274">
        <v>0</v>
      </c>
      <c r="D274">
        <v>1</v>
      </c>
      <c r="E274" s="3">
        <v>5</v>
      </c>
    </row>
    <row r="275" spans="1:5" x14ac:dyDescent="0.2">
      <c r="A275">
        <v>1</v>
      </c>
      <c r="B275" t="s">
        <v>31</v>
      </c>
      <c r="C275">
        <v>2</v>
      </c>
      <c r="D275">
        <v>17</v>
      </c>
      <c r="E275" s="3">
        <v>5</v>
      </c>
    </row>
    <row r="276" spans="1:5" x14ac:dyDescent="0.2">
      <c r="A276">
        <v>2</v>
      </c>
      <c r="B276" t="s">
        <v>27</v>
      </c>
      <c r="C276">
        <v>3</v>
      </c>
      <c r="D276">
        <v>13</v>
      </c>
      <c r="E276" s="3">
        <v>5</v>
      </c>
    </row>
    <row r="277" spans="1:5" x14ac:dyDescent="0.2">
      <c r="A277">
        <v>3</v>
      </c>
      <c r="B277" t="s">
        <v>76</v>
      </c>
      <c r="C277">
        <v>1</v>
      </c>
      <c r="D277">
        <v>9</v>
      </c>
      <c r="E277" s="3">
        <v>5</v>
      </c>
    </row>
    <row r="278" spans="1:5" x14ac:dyDescent="0.2">
      <c r="A278">
        <v>4</v>
      </c>
      <c r="B278" t="s">
        <v>33</v>
      </c>
      <c r="C278">
        <v>0</v>
      </c>
      <c r="D278">
        <v>5</v>
      </c>
      <c r="E278" s="3">
        <v>5</v>
      </c>
    </row>
    <row r="279" spans="1:5" x14ac:dyDescent="0.2">
      <c r="A279">
        <v>5</v>
      </c>
      <c r="B279" t="s">
        <v>20</v>
      </c>
      <c r="C279">
        <v>0</v>
      </c>
      <c r="D279">
        <v>3</v>
      </c>
      <c r="E279" s="3">
        <v>5</v>
      </c>
    </row>
    <row r="280" spans="1:5" x14ac:dyDescent="0.2">
      <c r="A280">
        <v>6</v>
      </c>
      <c r="B280" t="s">
        <v>35</v>
      </c>
      <c r="C280">
        <v>0</v>
      </c>
      <c r="D280">
        <v>2</v>
      </c>
      <c r="E280" s="3">
        <v>5</v>
      </c>
    </row>
    <row r="281" spans="1:5" x14ac:dyDescent="0.2">
      <c r="A281">
        <v>7</v>
      </c>
      <c r="B281" t="s">
        <v>39</v>
      </c>
      <c r="C281">
        <v>0</v>
      </c>
      <c r="D281">
        <v>1</v>
      </c>
      <c r="E281" s="3">
        <v>5</v>
      </c>
    </row>
    <row r="282" spans="1:5" x14ac:dyDescent="0.2">
      <c r="A282">
        <v>1</v>
      </c>
      <c r="B282" t="s">
        <v>59</v>
      </c>
      <c r="C282">
        <v>2</v>
      </c>
      <c r="D282">
        <v>16</v>
      </c>
      <c r="E282" s="3">
        <v>5</v>
      </c>
    </row>
    <row r="283" spans="1:5" x14ac:dyDescent="0.2">
      <c r="A283">
        <v>2</v>
      </c>
      <c r="B283" t="s">
        <v>67</v>
      </c>
      <c r="C283">
        <v>1</v>
      </c>
      <c r="D283">
        <v>12</v>
      </c>
      <c r="E283" s="3">
        <v>5</v>
      </c>
    </row>
    <row r="284" spans="1:5" x14ac:dyDescent="0.2">
      <c r="A284">
        <v>3</v>
      </c>
      <c r="B284" t="s">
        <v>41</v>
      </c>
      <c r="C284">
        <v>2</v>
      </c>
      <c r="D284">
        <v>8</v>
      </c>
      <c r="E284" s="3">
        <v>5</v>
      </c>
    </row>
    <row r="285" spans="1:5" x14ac:dyDescent="0.2">
      <c r="A285">
        <v>4</v>
      </c>
      <c r="B285" t="s">
        <v>53</v>
      </c>
      <c r="C285">
        <v>0</v>
      </c>
      <c r="D285">
        <v>4</v>
      </c>
      <c r="E285" s="3">
        <v>5</v>
      </c>
    </row>
    <row r="286" spans="1:5" x14ac:dyDescent="0.2">
      <c r="A286">
        <v>5</v>
      </c>
      <c r="B286" t="s">
        <v>25</v>
      </c>
      <c r="C286">
        <v>0</v>
      </c>
      <c r="D286">
        <v>2</v>
      </c>
      <c r="E286" s="3">
        <v>5</v>
      </c>
    </row>
    <row r="287" spans="1:5" x14ac:dyDescent="0.2">
      <c r="A287">
        <v>6</v>
      </c>
      <c r="B287" t="s">
        <v>47</v>
      </c>
      <c r="C287">
        <v>0</v>
      </c>
      <c r="D287">
        <v>1</v>
      </c>
      <c r="E287" s="3">
        <v>5</v>
      </c>
    </row>
    <row r="288" spans="1:5" x14ac:dyDescent="0.2">
      <c r="A288">
        <v>1</v>
      </c>
      <c r="B288" t="s">
        <v>26</v>
      </c>
      <c r="C288">
        <v>2</v>
      </c>
      <c r="D288">
        <v>16</v>
      </c>
      <c r="E288" s="3">
        <v>6</v>
      </c>
    </row>
    <row r="289" spans="1:5" x14ac:dyDescent="0.2">
      <c r="A289">
        <v>2</v>
      </c>
      <c r="B289" t="s">
        <v>28</v>
      </c>
      <c r="C289">
        <v>3</v>
      </c>
      <c r="D289">
        <v>12</v>
      </c>
      <c r="E289" s="3">
        <v>6</v>
      </c>
    </row>
    <row r="290" spans="1:5" x14ac:dyDescent="0.2">
      <c r="A290">
        <v>3</v>
      </c>
      <c r="B290" t="s">
        <v>69</v>
      </c>
      <c r="C290">
        <v>0</v>
      </c>
      <c r="D290">
        <v>8</v>
      </c>
      <c r="E290" s="3">
        <v>6</v>
      </c>
    </row>
    <row r="291" spans="1:5" x14ac:dyDescent="0.2">
      <c r="A291">
        <v>4</v>
      </c>
      <c r="B291" t="s">
        <v>31</v>
      </c>
      <c r="C291">
        <v>0</v>
      </c>
      <c r="D291">
        <v>4</v>
      </c>
      <c r="E291" s="3">
        <v>6</v>
      </c>
    </row>
    <row r="292" spans="1:5" x14ac:dyDescent="0.2">
      <c r="A292">
        <v>5</v>
      </c>
      <c r="B292" t="s">
        <v>92</v>
      </c>
      <c r="C292">
        <v>0</v>
      </c>
      <c r="D292">
        <v>2</v>
      </c>
      <c r="E292" s="3">
        <v>6</v>
      </c>
    </row>
    <row r="293" spans="1:5" x14ac:dyDescent="0.2">
      <c r="A293">
        <v>6</v>
      </c>
      <c r="B293" t="s">
        <v>48</v>
      </c>
      <c r="C293">
        <v>0</v>
      </c>
      <c r="D293">
        <v>1</v>
      </c>
      <c r="E293" s="3">
        <v>6</v>
      </c>
    </row>
    <row r="294" spans="1:5" x14ac:dyDescent="0.2">
      <c r="A294">
        <v>1</v>
      </c>
      <c r="B294" t="s">
        <v>45</v>
      </c>
      <c r="C294">
        <v>1</v>
      </c>
      <c r="D294">
        <v>16</v>
      </c>
      <c r="E294" s="3">
        <v>6</v>
      </c>
    </row>
    <row r="295" spans="1:5" x14ac:dyDescent="0.2">
      <c r="A295">
        <v>2</v>
      </c>
      <c r="B295" t="s">
        <v>66</v>
      </c>
      <c r="C295">
        <v>2</v>
      </c>
      <c r="D295">
        <v>12</v>
      </c>
      <c r="E295" s="3">
        <v>6</v>
      </c>
    </row>
    <row r="296" spans="1:5" x14ac:dyDescent="0.2">
      <c r="A296">
        <v>3</v>
      </c>
      <c r="B296" t="s">
        <v>97</v>
      </c>
      <c r="C296">
        <v>1</v>
      </c>
      <c r="D296">
        <v>8</v>
      </c>
      <c r="E296" s="3">
        <v>6</v>
      </c>
    </row>
    <row r="297" spans="1:5" x14ac:dyDescent="0.2">
      <c r="A297">
        <v>4</v>
      </c>
      <c r="B297" t="s">
        <v>41</v>
      </c>
      <c r="C297">
        <v>1</v>
      </c>
      <c r="D297">
        <v>4</v>
      </c>
      <c r="E297" s="3">
        <v>6</v>
      </c>
    </row>
    <row r="298" spans="1:5" x14ac:dyDescent="0.2">
      <c r="A298">
        <v>5</v>
      </c>
      <c r="B298" t="s">
        <v>68</v>
      </c>
      <c r="C298">
        <v>0</v>
      </c>
      <c r="D298">
        <v>2</v>
      </c>
      <c r="E298" s="3">
        <v>6</v>
      </c>
    </row>
    <row r="299" spans="1:5" x14ac:dyDescent="0.2">
      <c r="A299">
        <v>6</v>
      </c>
      <c r="B299" t="s">
        <v>81</v>
      </c>
      <c r="C299">
        <v>0</v>
      </c>
      <c r="D299">
        <v>1</v>
      </c>
      <c r="E299" s="3">
        <v>6</v>
      </c>
    </row>
    <row r="300" spans="1:5" x14ac:dyDescent="0.2">
      <c r="A300">
        <v>1</v>
      </c>
      <c r="B300" t="s">
        <v>6</v>
      </c>
      <c r="C300">
        <v>2</v>
      </c>
      <c r="D300">
        <v>15</v>
      </c>
      <c r="E300" s="3">
        <v>6</v>
      </c>
    </row>
    <row r="301" spans="1:5" x14ac:dyDescent="0.2">
      <c r="A301">
        <v>2</v>
      </c>
      <c r="B301" t="s">
        <v>22</v>
      </c>
      <c r="C301">
        <v>2</v>
      </c>
      <c r="D301">
        <v>11</v>
      </c>
      <c r="E301" s="3">
        <v>6</v>
      </c>
    </row>
    <row r="302" spans="1:5" x14ac:dyDescent="0.2">
      <c r="A302">
        <v>3</v>
      </c>
      <c r="B302" t="s">
        <v>38</v>
      </c>
      <c r="C302">
        <v>0</v>
      </c>
      <c r="D302">
        <v>7</v>
      </c>
      <c r="E302" s="3">
        <v>6</v>
      </c>
    </row>
    <row r="303" spans="1:5" x14ac:dyDescent="0.2">
      <c r="A303">
        <v>4</v>
      </c>
      <c r="B303" t="s">
        <v>32</v>
      </c>
      <c r="C303">
        <v>0</v>
      </c>
      <c r="D303">
        <v>3</v>
      </c>
      <c r="E303" s="3">
        <v>6</v>
      </c>
    </row>
    <row r="304" spans="1:5" x14ac:dyDescent="0.2">
      <c r="A304">
        <v>5</v>
      </c>
      <c r="B304" t="s">
        <v>14</v>
      </c>
      <c r="C304">
        <v>0</v>
      </c>
      <c r="D304">
        <v>1</v>
      </c>
      <c r="E304" s="3">
        <v>6</v>
      </c>
    </row>
    <row r="305" spans="1:5" x14ac:dyDescent="0.2">
      <c r="A305">
        <v>1</v>
      </c>
      <c r="B305" t="s">
        <v>74</v>
      </c>
      <c r="C305">
        <v>2</v>
      </c>
      <c r="D305">
        <v>15</v>
      </c>
      <c r="E305" s="3">
        <v>6</v>
      </c>
    </row>
    <row r="306" spans="1:5" x14ac:dyDescent="0.2">
      <c r="A306">
        <v>2</v>
      </c>
      <c r="B306" t="s">
        <v>50</v>
      </c>
      <c r="C306">
        <v>1</v>
      </c>
      <c r="D306">
        <v>11</v>
      </c>
      <c r="E306" s="3">
        <v>6</v>
      </c>
    </row>
    <row r="307" spans="1:5" x14ac:dyDescent="0.2">
      <c r="A307">
        <v>3</v>
      </c>
      <c r="B307" t="s">
        <v>54</v>
      </c>
      <c r="C307">
        <v>1</v>
      </c>
      <c r="D307">
        <v>7</v>
      </c>
      <c r="E307" s="3">
        <v>6</v>
      </c>
    </row>
    <row r="308" spans="1:5" x14ac:dyDescent="0.2">
      <c r="A308">
        <v>4</v>
      </c>
      <c r="B308" t="s">
        <v>47</v>
      </c>
      <c r="C308">
        <v>0</v>
      </c>
      <c r="D308">
        <v>3</v>
      </c>
      <c r="E308" s="3">
        <v>6</v>
      </c>
    </row>
    <row r="309" spans="1:5" x14ac:dyDescent="0.2">
      <c r="A309">
        <v>5</v>
      </c>
      <c r="B309" t="s">
        <v>15</v>
      </c>
      <c r="C309">
        <v>0</v>
      </c>
      <c r="D309">
        <v>1</v>
      </c>
      <c r="E309" s="3">
        <v>6</v>
      </c>
    </row>
    <row r="310" spans="1:5" x14ac:dyDescent="0.2">
      <c r="A310">
        <v>1</v>
      </c>
      <c r="B310" t="s">
        <v>7</v>
      </c>
      <c r="C310">
        <v>2</v>
      </c>
      <c r="D310">
        <v>16</v>
      </c>
      <c r="E310" s="3">
        <v>6</v>
      </c>
    </row>
    <row r="311" spans="1:5" x14ac:dyDescent="0.2">
      <c r="A311">
        <v>2</v>
      </c>
      <c r="B311" t="s">
        <v>18</v>
      </c>
      <c r="C311">
        <v>0</v>
      </c>
      <c r="D311">
        <v>12</v>
      </c>
      <c r="E311" s="3">
        <v>6</v>
      </c>
    </row>
    <row r="312" spans="1:5" x14ac:dyDescent="0.2">
      <c r="A312">
        <v>3</v>
      </c>
      <c r="B312" t="s">
        <v>9</v>
      </c>
      <c r="C312">
        <v>3</v>
      </c>
      <c r="D312">
        <v>8</v>
      </c>
      <c r="E312" s="3">
        <v>6</v>
      </c>
    </row>
    <row r="313" spans="1:5" x14ac:dyDescent="0.2">
      <c r="A313">
        <v>4</v>
      </c>
      <c r="B313" t="s">
        <v>63</v>
      </c>
      <c r="C313">
        <v>0</v>
      </c>
      <c r="D313">
        <v>4</v>
      </c>
      <c r="E313" s="3">
        <v>6</v>
      </c>
    </row>
    <row r="314" spans="1:5" x14ac:dyDescent="0.2">
      <c r="A314">
        <v>5</v>
      </c>
      <c r="B314" t="s">
        <v>33</v>
      </c>
      <c r="C314">
        <v>0</v>
      </c>
      <c r="D314">
        <v>2</v>
      </c>
      <c r="E314" s="3">
        <v>6</v>
      </c>
    </row>
    <row r="315" spans="1:5" x14ac:dyDescent="0.2">
      <c r="A315">
        <v>6</v>
      </c>
      <c r="B315" t="s">
        <v>19</v>
      </c>
      <c r="C315">
        <v>0</v>
      </c>
      <c r="D315">
        <v>1</v>
      </c>
      <c r="E315" s="3">
        <v>6</v>
      </c>
    </row>
    <row r="316" spans="1:5" x14ac:dyDescent="0.2">
      <c r="A316">
        <v>1</v>
      </c>
      <c r="B316" t="s">
        <v>61</v>
      </c>
      <c r="C316">
        <v>3</v>
      </c>
      <c r="D316">
        <v>15</v>
      </c>
      <c r="E316" s="3">
        <v>6</v>
      </c>
    </row>
    <row r="317" spans="1:5" x14ac:dyDescent="0.2">
      <c r="A317">
        <v>2</v>
      </c>
      <c r="B317" t="s">
        <v>12</v>
      </c>
      <c r="C317">
        <v>1</v>
      </c>
      <c r="D317">
        <v>11</v>
      </c>
      <c r="E317" s="3">
        <v>6</v>
      </c>
    </row>
    <row r="318" spans="1:5" x14ac:dyDescent="0.2">
      <c r="A318">
        <v>3</v>
      </c>
      <c r="B318" t="s">
        <v>25</v>
      </c>
      <c r="C318">
        <v>0</v>
      </c>
      <c r="D318">
        <v>7</v>
      </c>
      <c r="E318" s="3">
        <v>6</v>
      </c>
    </row>
    <row r="319" spans="1:5" x14ac:dyDescent="0.2">
      <c r="A319">
        <v>4</v>
      </c>
      <c r="B319" t="s">
        <v>76</v>
      </c>
      <c r="C319">
        <v>0</v>
      </c>
      <c r="D319">
        <v>3</v>
      </c>
      <c r="E319" s="3">
        <v>6</v>
      </c>
    </row>
    <row r="320" spans="1:5" x14ac:dyDescent="0.2">
      <c r="A320">
        <v>5</v>
      </c>
      <c r="B320" t="s">
        <v>88</v>
      </c>
      <c r="C320">
        <v>0</v>
      </c>
      <c r="D320">
        <v>1</v>
      </c>
      <c r="E320" s="3">
        <v>6</v>
      </c>
    </row>
    <row r="321" spans="1:5" x14ac:dyDescent="0.2">
      <c r="A321">
        <v>1</v>
      </c>
      <c r="B321" t="s">
        <v>77</v>
      </c>
      <c r="C321">
        <v>3</v>
      </c>
      <c r="D321">
        <v>15</v>
      </c>
      <c r="E321" s="3">
        <v>6</v>
      </c>
    </row>
    <row r="322" spans="1:5" x14ac:dyDescent="0.2">
      <c r="A322">
        <v>2</v>
      </c>
      <c r="B322" t="s">
        <v>55</v>
      </c>
      <c r="C322">
        <v>0</v>
      </c>
      <c r="D322">
        <v>11</v>
      </c>
      <c r="E322" s="3">
        <v>6</v>
      </c>
    </row>
    <row r="323" spans="1:5" x14ac:dyDescent="0.2">
      <c r="A323">
        <v>3</v>
      </c>
      <c r="B323" t="s">
        <v>27</v>
      </c>
      <c r="C323">
        <v>1</v>
      </c>
      <c r="D323">
        <v>7</v>
      </c>
      <c r="E323" s="3">
        <v>6</v>
      </c>
    </row>
    <row r="324" spans="1:5" x14ac:dyDescent="0.2">
      <c r="A324">
        <v>4</v>
      </c>
      <c r="B324" t="s">
        <v>21</v>
      </c>
      <c r="C324">
        <v>0</v>
      </c>
      <c r="D324">
        <v>3</v>
      </c>
      <c r="E324" s="3">
        <v>6</v>
      </c>
    </row>
    <row r="325" spans="1:5" x14ac:dyDescent="0.2">
      <c r="A325">
        <v>5</v>
      </c>
      <c r="B325" t="s">
        <v>72</v>
      </c>
      <c r="C325">
        <v>0</v>
      </c>
      <c r="D325">
        <v>1</v>
      </c>
      <c r="E325" s="3">
        <v>6</v>
      </c>
    </row>
    <row r="326" spans="1:5" x14ac:dyDescent="0.2">
      <c r="A326">
        <v>1</v>
      </c>
      <c r="B326" t="s">
        <v>52</v>
      </c>
      <c r="C326">
        <v>2</v>
      </c>
      <c r="D326">
        <v>15</v>
      </c>
      <c r="E326" s="3">
        <v>6</v>
      </c>
    </row>
    <row r="327" spans="1:5" x14ac:dyDescent="0.2">
      <c r="A327">
        <v>2</v>
      </c>
      <c r="B327" t="s">
        <v>73</v>
      </c>
      <c r="C327">
        <v>0</v>
      </c>
      <c r="D327">
        <v>11</v>
      </c>
      <c r="E327" s="3">
        <v>6</v>
      </c>
    </row>
    <row r="328" spans="1:5" x14ac:dyDescent="0.2">
      <c r="A328">
        <v>3</v>
      </c>
      <c r="B328" t="s">
        <v>42</v>
      </c>
      <c r="C328">
        <v>2</v>
      </c>
      <c r="D328">
        <v>7</v>
      </c>
      <c r="E328" s="3">
        <v>6</v>
      </c>
    </row>
    <row r="329" spans="1:5" x14ac:dyDescent="0.2">
      <c r="A329">
        <v>4</v>
      </c>
      <c r="B329" t="s">
        <v>8</v>
      </c>
      <c r="C329">
        <v>0</v>
      </c>
      <c r="D329">
        <v>3</v>
      </c>
      <c r="E329" s="3">
        <v>6</v>
      </c>
    </row>
    <row r="330" spans="1:5" x14ac:dyDescent="0.2">
      <c r="A330">
        <v>5</v>
      </c>
      <c r="B330" t="s">
        <v>94</v>
      </c>
      <c r="C330">
        <v>0</v>
      </c>
      <c r="D330">
        <v>1</v>
      </c>
      <c r="E330" s="3">
        <v>6</v>
      </c>
    </row>
    <row r="331" spans="1:5" x14ac:dyDescent="0.2">
      <c r="A331">
        <v>1</v>
      </c>
      <c r="B331" t="s">
        <v>75</v>
      </c>
      <c r="C331">
        <v>3</v>
      </c>
      <c r="D331">
        <v>15</v>
      </c>
      <c r="E331" s="3">
        <v>6</v>
      </c>
    </row>
    <row r="332" spans="1:5" x14ac:dyDescent="0.2">
      <c r="A332">
        <v>2</v>
      </c>
      <c r="B332" t="s">
        <v>60</v>
      </c>
      <c r="C332">
        <v>1</v>
      </c>
      <c r="D332">
        <v>11</v>
      </c>
      <c r="E332" s="3">
        <v>6</v>
      </c>
    </row>
    <row r="333" spans="1:5" x14ac:dyDescent="0.2">
      <c r="A333">
        <v>3</v>
      </c>
      <c r="B333" t="s">
        <v>35</v>
      </c>
      <c r="C333">
        <v>0</v>
      </c>
      <c r="D333">
        <v>7</v>
      </c>
      <c r="E333" s="3">
        <v>6</v>
      </c>
    </row>
    <row r="334" spans="1:5" x14ac:dyDescent="0.2">
      <c r="A334">
        <v>4</v>
      </c>
      <c r="B334" t="s">
        <v>46</v>
      </c>
      <c r="C334">
        <v>0</v>
      </c>
      <c r="D334">
        <v>3</v>
      </c>
      <c r="E334" s="3">
        <v>6</v>
      </c>
    </row>
    <row r="335" spans="1:5" x14ac:dyDescent="0.2">
      <c r="A335">
        <v>5</v>
      </c>
      <c r="B335" t="s">
        <v>39</v>
      </c>
      <c r="C335">
        <v>0</v>
      </c>
      <c r="D335">
        <v>1</v>
      </c>
      <c r="E335" s="3">
        <v>6</v>
      </c>
    </row>
    <row r="336" spans="1:5" x14ac:dyDescent="0.2">
      <c r="A336">
        <v>1</v>
      </c>
      <c r="B336" t="s">
        <v>41</v>
      </c>
      <c r="C336">
        <v>1</v>
      </c>
      <c r="D336">
        <v>16</v>
      </c>
      <c r="E336" s="3">
        <v>7</v>
      </c>
    </row>
    <row r="337" spans="1:5" x14ac:dyDescent="0.2">
      <c r="A337">
        <v>2</v>
      </c>
      <c r="B337" t="s">
        <v>63</v>
      </c>
      <c r="C337">
        <v>2</v>
      </c>
      <c r="D337">
        <v>12</v>
      </c>
      <c r="E337" s="3">
        <v>7</v>
      </c>
    </row>
    <row r="338" spans="1:5" x14ac:dyDescent="0.2">
      <c r="A338">
        <v>3</v>
      </c>
      <c r="B338" t="s">
        <v>18</v>
      </c>
      <c r="C338">
        <v>2</v>
      </c>
      <c r="D338">
        <v>8</v>
      </c>
      <c r="E338" s="3">
        <v>7</v>
      </c>
    </row>
    <row r="339" spans="1:5" x14ac:dyDescent="0.2">
      <c r="A339">
        <v>4</v>
      </c>
      <c r="B339" t="s">
        <v>46</v>
      </c>
      <c r="C339">
        <v>0</v>
      </c>
      <c r="D339">
        <v>4</v>
      </c>
      <c r="E339" s="3">
        <v>7</v>
      </c>
    </row>
    <row r="340" spans="1:5" x14ac:dyDescent="0.2">
      <c r="A340">
        <v>5</v>
      </c>
      <c r="B340" t="s">
        <v>66</v>
      </c>
      <c r="C340">
        <v>0</v>
      </c>
      <c r="D340">
        <v>2</v>
      </c>
      <c r="E340" s="3">
        <v>7</v>
      </c>
    </row>
    <row r="341" spans="1:5" x14ac:dyDescent="0.2">
      <c r="A341">
        <v>6</v>
      </c>
      <c r="B341" t="s">
        <v>57</v>
      </c>
      <c r="C341">
        <v>0</v>
      </c>
      <c r="D341">
        <v>1</v>
      </c>
      <c r="E341" s="3">
        <v>7</v>
      </c>
    </row>
    <row r="342" spans="1:5" x14ac:dyDescent="0.2">
      <c r="A342">
        <v>1</v>
      </c>
      <c r="B342" t="s">
        <v>32</v>
      </c>
      <c r="C342">
        <v>4</v>
      </c>
      <c r="D342">
        <v>16</v>
      </c>
      <c r="E342" s="3">
        <v>7</v>
      </c>
    </row>
    <row r="343" spans="1:5" x14ac:dyDescent="0.2">
      <c r="A343">
        <v>2</v>
      </c>
      <c r="B343" t="s">
        <v>91</v>
      </c>
      <c r="C343">
        <v>1</v>
      </c>
      <c r="D343">
        <v>12</v>
      </c>
      <c r="E343" s="3">
        <v>7</v>
      </c>
    </row>
    <row r="344" spans="1:5" x14ac:dyDescent="0.2">
      <c r="A344">
        <v>3</v>
      </c>
      <c r="B344" t="s">
        <v>74</v>
      </c>
      <c r="C344">
        <v>0</v>
      </c>
      <c r="D344">
        <v>8</v>
      </c>
      <c r="E344" s="3">
        <v>7</v>
      </c>
    </row>
    <row r="345" spans="1:5" x14ac:dyDescent="0.2">
      <c r="A345">
        <v>4</v>
      </c>
      <c r="B345" t="s">
        <v>35</v>
      </c>
      <c r="C345">
        <v>0</v>
      </c>
      <c r="D345">
        <v>4</v>
      </c>
      <c r="E345" s="3">
        <v>7</v>
      </c>
    </row>
    <row r="346" spans="1:5" x14ac:dyDescent="0.2">
      <c r="A346">
        <v>5</v>
      </c>
      <c r="B346" t="s">
        <v>69</v>
      </c>
      <c r="C346">
        <v>0</v>
      </c>
      <c r="D346">
        <v>2</v>
      </c>
      <c r="E346" s="3">
        <v>7</v>
      </c>
    </row>
    <row r="347" spans="1:5" x14ac:dyDescent="0.2">
      <c r="A347">
        <v>6</v>
      </c>
      <c r="B347" t="s">
        <v>65</v>
      </c>
      <c r="C347">
        <v>0</v>
      </c>
      <c r="D347">
        <v>1</v>
      </c>
      <c r="E347" s="3">
        <v>7</v>
      </c>
    </row>
    <row r="348" spans="1:5" x14ac:dyDescent="0.2">
      <c r="A348">
        <v>1</v>
      </c>
      <c r="B348" t="s">
        <v>87</v>
      </c>
      <c r="C348">
        <v>1</v>
      </c>
      <c r="D348">
        <v>16</v>
      </c>
      <c r="E348" s="3">
        <v>7</v>
      </c>
    </row>
    <row r="349" spans="1:5" x14ac:dyDescent="0.2">
      <c r="A349">
        <v>2</v>
      </c>
      <c r="B349" t="s">
        <v>98</v>
      </c>
      <c r="C349">
        <v>3</v>
      </c>
      <c r="D349">
        <v>12</v>
      </c>
      <c r="E349" s="3">
        <v>7</v>
      </c>
    </row>
    <row r="350" spans="1:5" x14ac:dyDescent="0.2">
      <c r="A350">
        <v>3</v>
      </c>
      <c r="B350" t="s">
        <v>25</v>
      </c>
      <c r="C350">
        <v>1</v>
      </c>
      <c r="D350">
        <v>8</v>
      </c>
      <c r="E350" s="3">
        <v>7</v>
      </c>
    </row>
    <row r="351" spans="1:5" x14ac:dyDescent="0.2">
      <c r="A351">
        <v>4</v>
      </c>
      <c r="B351" t="s">
        <v>42</v>
      </c>
      <c r="C351">
        <v>0</v>
      </c>
      <c r="D351">
        <v>4</v>
      </c>
      <c r="E351" s="3">
        <v>7</v>
      </c>
    </row>
    <row r="352" spans="1:5" x14ac:dyDescent="0.2">
      <c r="A352">
        <v>5</v>
      </c>
      <c r="B352" t="s">
        <v>99</v>
      </c>
      <c r="C352">
        <v>0</v>
      </c>
      <c r="D352">
        <v>2</v>
      </c>
      <c r="E352" s="3">
        <v>7</v>
      </c>
    </row>
    <row r="353" spans="1:5" x14ac:dyDescent="0.2">
      <c r="A353">
        <v>6</v>
      </c>
      <c r="B353" t="s">
        <v>53</v>
      </c>
      <c r="C353">
        <v>0</v>
      </c>
      <c r="D353">
        <v>1</v>
      </c>
      <c r="E353" s="3">
        <v>7</v>
      </c>
    </row>
    <row r="354" spans="1:5" x14ac:dyDescent="0.2">
      <c r="A354">
        <v>1</v>
      </c>
      <c r="B354" t="s">
        <v>26</v>
      </c>
      <c r="C354">
        <v>1</v>
      </c>
      <c r="D354">
        <v>16</v>
      </c>
      <c r="E354" s="3">
        <v>7</v>
      </c>
    </row>
    <row r="355" spans="1:5" x14ac:dyDescent="0.2">
      <c r="A355">
        <v>2</v>
      </c>
      <c r="B355" t="s">
        <v>47</v>
      </c>
      <c r="C355">
        <v>1</v>
      </c>
      <c r="D355">
        <v>12</v>
      </c>
      <c r="E355" s="3">
        <v>7</v>
      </c>
    </row>
    <row r="356" spans="1:5" x14ac:dyDescent="0.2">
      <c r="A356">
        <v>3</v>
      </c>
      <c r="B356" t="s">
        <v>16</v>
      </c>
      <c r="C356">
        <v>2</v>
      </c>
      <c r="D356">
        <v>8</v>
      </c>
      <c r="E356" s="3">
        <v>7</v>
      </c>
    </row>
    <row r="357" spans="1:5" x14ac:dyDescent="0.2">
      <c r="A357">
        <v>4</v>
      </c>
      <c r="B357" t="s">
        <v>50</v>
      </c>
      <c r="C357">
        <v>1</v>
      </c>
      <c r="D357">
        <v>4</v>
      </c>
      <c r="E357" s="3">
        <v>7</v>
      </c>
    </row>
    <row r="358" spans="1:5" x14ac:dyDescent="0.2">
      <c r="A358">
        <v>5</v>
      </c>
      <c r="B358" t="s">
        <v>14</v>
      </c>
      <c r="C358">
        <v>0</v>
      </c>
      <c r="D358">
        <v>2</v>
      </c>
      <c r="E358" s="3">
        <v>7</v>
      </c>
    </row>
    <row r="359" spans="1:5" x14ac:dyDescent="0.2">
      <c r="A359">
        <v>6</v>
      </c>
      <c r="B359" t="s">
        <v>73</v>
      </c>
      <c r="C359">
        <v>0</v>
      </c>
      <c r="D359">
        <v>1</v>
      </c>
      <c r="E359" s="3">
        <v>7</v>
      </c>
    </row>
    <row r="360" spans="1:5" x14ac:dyDescent="0.2">
      <c r="A360">
        <v>1</v>
      </c>
      <c r="B360" t="s">
        <v>39</v>
      </c>
      <c r="C360">
        <v>3</v>
      </c>
      <c r="D360">
        <v>17</v>
      </c>
      <c r="E360" s="3">
        <v>7</v>
      </c>
    </row>
    <row r="361" spans="1:5" x14ac:dyDescent="0.2">
      <c r="A361">
        <v>2</v>
      </c>
      <c r="B361" t="s">
        <v>96</v>
      </c>
      <c r="C361">
        <v>1</v>
      </c>
      <c r="D361">
        <v>13</v>
      </c>
      <c r="E361" s="3">
        <v>7</v>
      </c>
    </row>
    <row r="362" spans="1:5" x14ac:dyDescent="0.2">
      <c r="A362">
        <v>3</v>
      </c>
      <c r="B362" t="s">
        <v>31</v>
      </c>
      <c r="C362">
        <v>1</v>
      </c>
      <c r="D362">
        <v>9</v>
      </c>
      <c r="E362" s="3">
        <v>7</v>
      </c>
    </row>
    <row r="363" spans="1:5" x14ac:dyDescent="0.2">
      <c r="A363">
        <v>4</v>
      </c>
      <c r="B363" t="s">
        <v>94</v>
      </c>
      <c r="C363">
        <v>1</v>
      </c>
      <c r="D363">
        <v>5</v>
      </c>
      <c r="E363" s="3">
        <v>7</v>
      </c>
    </row>
    <row r="364" spans="1:5" x14ac:dyDescent="0.2">
      <c r="A364">
        <v>5</v>
      </c>
      <c r="B364" t="s">
        <v>9</v>
      </c>
      <c r="C364">
        <v>0</v>
      </c>
      <c r="D364">
        <v>3</v>
      </c>
      <c r="E364" s="3">
        <v>7</v>
      </c>
    </row>
    <row r="365" spans="1:5" x14ac:dyDescent="0.2">
      <c r="A365">
        <v>6</v>
      </c>
      <c r="B365" t="s">
        <v>23</v>
      </c>
      <c r="C365">
        <v>0</v>
      </c>
      <c r="D365">
        <v>2</v>
      </c>
      <c r="E365" s="3">
        <v>7</v>
      </c>
    </row>
    <row r="366" spans="1:5" x14ac:dyDescent="0.2">
      <c r="A366">
        <v>7</v>
      </c>
      <c r="B366" t="s">
        <v>92</v>
      </c>
      <c r="C366">
        <v>0</v>
      </c>
      <c r="D366">
        <v>1</v>
      </c>
      <c r="E366" s="3">
        <v>7</v>
      </c>
    </row>
    <row r="367" spans="1:5" x14ac:dyDescent="0.2">
      <c r="A367">
        <v>1</v>
      </c>
      <c r="B367" t="s">
        <v>7</v>
      </c>
      <c r="C367">
        <v>3</v>
      </c>
      <c r="D367">
        <v>16</v>
      </c>
      <c r="E367" s="3">
        <v>7</v>
      </c>
    </row>
    <row r="368" spans="1:5" x14ac:dyDescent="0.2">
      <c r="A368">
        <v>2</v>
      </c>
      <c r="B368" t="s">
        <v>12</v>
      </c>
      <c r="C368">
        <v>2</v>
      </c>
      <c r="D368">
        <v>12</v>
      </c>
      <c r="E368" s="3">
        <v>7</v>
      </c>
    </row>
    <row r="369" spans="1:5" x14ac:dyDescent="0.2">
      <c r="A369">
        <v>3</v>
      </c>
      <c r="B369" t="s">
        <v>27</v>
      </c>
      <c r="C369">
        <v>0</v>
      </c>
      <c r="D369">
        <v>8</v>
      </c>
      <c r="E369" s="3">
        <v>7</v>
      </c>
    </row>
    <row r="370" spans="1:5" x14ac:dyDescent="0.2">
      <c r="A370">
        <v>4</v>
      </c>
      <c r="B370" t="s">
        <v>28</v>
      </c>
      <c r="C370">
        <v>0</v>
      </c>
      <c r="D370">
        <v>4</v>
      </c>
      <c r="E370" s="3">
        <v>7</v>
      </c>
    </row>
    <row r="371" spans="1:5" x14ac:dyDescent="0.2">
      <c r="A371">
        <v>5</v>
      </c>
      <c r="B371" t="s">
        <v>15</v>
      </c>
      <c r="C371">
        <v>0</v>
      </c>
      <c r="D371">
        <v>2</v>
      </c>
      <c r="E371" s="3">
        <v>7</v>
      </c>
    </row>
    <row r="372" spans="1:5" x14ac:dyDescent="0.2">
      <c r="A372">
        <v>6</v>
      </c>
      <c r="B372" t="s">
        <v>19</v>
      </c>
      <c r="C372">
        <v>0</v>
      </c>
      <c r="D372">
        <v>1</v>
      </c>
      <c r="E372" s="3">
        <v>7</v>
      </c>
    </row>
    <row r="373" spans="1:5" x14ac:dyDescent="0.2">
      <c r="A373">
        <v>1</v>
      </c>
      <c r="B373" t="s">
        <v>54</v>
      </c>
      <c r="C373">
        <v>3</v>
      </c>
      <c r="D373">
        <v>17</v>
      </c>
      <c r="E373" s="3">
        <v>7</v>
      </c>
    </row>
    <row r="374" spans="1:5" x14ac:dyDescent="0.2">
      <c r="A374">
        <v>2</v>
      </c>
      <c r="B374" t="s">
        <v>45</v>
      </c>
      <c r="C374">
        <v>1</v>
      </c>
      <c r="D374">
        <v>13</v>
      </c>
      <c r="E374" s="3">
        <v>7</v>
      </c>
    </row>
    <row r="375" spans="1:5" x14ac:dyDescent="0.2">
      <c r="A375">
        <v>3</v>
      </c>
      <c r="B375" t="s">
        <v>21</v>
      </c>
      <c r="C375">
        <v>1</v>
      </c>
      <c r="D375">
        <v>9</v>
      </c>
      <c r="E375" s="3">
        <v>7</v>
      </c>
    </row>
    <row r="376" spans="1:5" x14ac:dyDescent="0.2">
      <c r="A376">
        <v>4</v>
      </c>
      <c r="B376" t="s">
        <v>61</v>
      </c>
      <c r="C376">
        <v>1</v>
      </c>
      <c r="D376">
        <v>5</v>
      </c>
      <c r="E376" s="3">
        <v>7</v>
      </c>
    </row>
    <row r="377" spans="1:5" x14ac:dyDescent="0.2">
      <c r="A377">
        <v>5</v>
      </c>
      <c r="B377" t="s">
        <v>75</v>
      </c>
      <c r="C377">
        <v>0</v>
      </c>
      <c r="D377">
        <v>3</v>
      </c>
      <c r="E377" s="3">
        <v>7</v>
      </c>
    </row>
    <row r="378" spans="1:5" x14ac:dyDescent="0.2">
      <c r="A378">
        <v>6</v>
      </c>
      <c r="B378" t="s">
        <v>6</v>
      </c>
      <c r="C378">
        <v>0</v>
      </c>
      <c r="D378">
        <v>2</v>
      </c>
      <c r="E378" s="3">
        <v>7</v>
      </c>
    </row>
    <row r="379" spans="1:5" x14ac:dyDescent="0.2">
      <c r="A379">
        <v>7</v>
      </c>
      <c r="B379" t="s">
        <v>8</v>
      </c>
      <c r="C379">
        <v>0</v>
      </c>
      <c r="D379">
        <v>1</v>
      </c>
      <c r="E379" s="3">
        <v>7</v>
      </c>
    </row>
    <row r="380" spans="1:5" x14ac:dyDescent="0.2">
      <c r="A380">
        <v>1</v>
      </c>
      <c r="B380" t="s">
        <v>76</v>
      </c>
      <c r="C380">
        <v>1</v>
      </c>
      <c r="D380">
        <v>17</v>
      </c>
      <c r="E380" s="3">
        <v>7</v>
      </c>
    </row>
    <row r="381" spans="1:5" x14ac:dyDescent="0.2">
      <c r="A381">
        <v>2</v>
      </c>
      <c r="B381" t="s">
        <v>55</v>
      </c>
      <c r="C381">
        <v>1</v>
      </c>
      <c r="D381">
        <v>13</v>
      </c>
      <c r="E381" s="3">
        <v>7</v>
      </c>
    </row>
    <row r="382" spans="1:5" x14ac:dyDescent="0.2">
      <c r="A382">
        <v>3</v>
      </c>
      <c r="B382" t="s">
        <v>59</v>
      </c>
      <c r="C382">
        <v>1</v>
      </c>
      <c r="D382">
        <v>9</v>
      </c>
      <c r="E382" s="3">
        <v>7</v>
      </c>
    </row>
    <row r="383" spans="1:5" x14ac:dyDescent="0.2">
      <c r="A383">
        <v>4</v>
      </c>
      <c r="B383" t="s">
        <v>48</v>
      </c>
      <c r="C383">
        <v>2</v>
      </c>
      <c r="D383">
        <v>5</v>
      </c>
      <c r="E383" s="3">
        <v>7</v>
      </c>
    </row>
    <row r="384" spans="1:5" x14ac:dyDescent="0.2">
      <c r="A384">
        <v>5</v>
      </c>
      <c r="B384" t="s">
        <v>88</v>
      </c>
      <c r="C384">
        <v>0</v>
      </c>
      <c r="D384">
        <v>3</v>
      </c>
      <c r="E384" s="3">
        <v>7</v>
      </c>
    </row>
    <row r="385" spans="1:5" x14ac:dyDescent="0.2">
      <c r="A385">
        <v>6</v>
      </c>
      <c r="B385" t="s">
        <v>52</v>
      </c>
      <c r="C385">
        <v>0</v>
      </c>
      <c r="D385">
        <v>2</v>
      </c>
      <c r="E385" s="3">
        <v>7</v>
      </c>
    </row>
    <row r="386" spans="1:5" x14ac:dyDescent="0.2">
      <c r="A386">
        <v>7</v>
      </c>
      <c r="B386" t="s">
        <v>77</v>
      </c>
      <c r="C386">
        <v>0</v>
      </c>
      <c r="D386">
        <v>1</v>
      </c>
      <c r="E386" s="3">
        <v>7</v>
      </c>
    </row>
    <row r="387" spans="1:5" x14ac:dyDescent="0.2">
      <c r="A387">
        <v>1</v>
      </c>
      <c r="B387" t="s">
        <v>5</v>
      </c>
      <c r="C387">
        <v>5</v>
      </c>
      <c r="D387">
        <v>16</v>
      </c>
      <c r="E387" s="3">
        <v>8</v>
      </c>
    </row>
    <row r="388" spans="1:5" x14ac:dyDescent="0.2">
      <c r="A388">
        <v>2</v>
      </c>
      <c r="B388" t="s">
        <v>81</v>
      </c>
      <c r="C388">
        <v>0</v>
      </c>
      <c r="D388">
        <v>12</v>
      </c>
      <c r="E388" s="3">
        <v>8</v>
      </c>
    </row>
    <row r="389" spans="1:5" x14ac:dyDescent="0.2">
      <c r="A389">
        <v>3</v>
      </c>
      <c r="B389" t="s">
        <v>87</v>
      </c>
      <c r="C389">
        <v>0</v>
      </c>
      <c r="D389">
        <v>8</v>
      </c>
      <c r="E389" s="3">
        <v>8</v>
      </c>
    </row>
    <row r="390" spans="1:5" x14ac:dyDescent="0.2">
      <c r="A390">
        <v>4</v>
      </c>
      <c r="B390" t="s">
        <v>6</v>
      </c>
      <c r="C390">
        <v>0</v>
      </c>
      <c r="D390">
        <v>4</v>
      </c>
      <c r="E390" s="3">
        <v>8</v>
      </c>
    </row>
    <row r="391" spans="1:5" x14ac:dyDescent="0.2">
      <c r="A391">
        <v>5</v>
      </c>
      <c r="B391" t="s">
        <v>65</v>
      </c>
      <c r="C391">
        <v>0</v>
      </c>
      <c r="D391">
        <v>2</v>
      </c>
      <c r="E391" s="3">
        <v>8</v>
      </c>
    </row>
    <row r="392" spans="1:5" x14ac:dyDescent="0.2">
      <c r="A392">
        <v>6</v>
      </c>
      <c r="B392" t="s">
        <v>26</v>
      </c>
      <c r="C392">
        <v>0</v>
      </c>
      <c r="D392">
        <v>1</v>
      </c>
      <c r="E392" s="3">
        <v>8</v>
      </c>
    </row>
    <row r="393" spans="1:5" x14ac:dyDescent="0.2">
      <c r="A393">
        <v>1</v>
      </c>
      <c r="B393" t="s">
        <v>77</v>
      </c>
      <c r="C393">
        <v>5</v>
      </c>
      <c r="D393">
        <v>16</v>
      </c>
      <c r="E393" s="3">
        <v>8</v>
      </c>
    </row>
    <row r="394" spans="1:5" x14ac:dyDescent="0.2">
      <c r="A394">
        <v>2</v>
      </c>
      <c r="B394" t="s">
        <v>57</v>
      </c>
      <c r="C394">
        <v>0</v>
      </c>
      <c r="D394">
        <v>12</v>
      </c>
      <c r="E394" s="3">
        <v>8</v>
      </c>
    </row>
    <row r="395" spans="1:5" x14ac:dyDescent="0.2">
      <c r="A395">
        <v>3</v>
      </c>
      <c r="B395" t="s">
        <v>66</v>
      </c>
      <c r="C395">
        <v>0</v>
      </c>
      <c r="D395">
        <v>8</v>
      </c>
      <c r="E395" s="3">
        <v>8</v>
      </c>
    </row>
    <row r="396" spans="1:5" x14ac:dyDescent="0.2">
      <c r="A396">
        <v>4</v>
      </c>
      <c r="B396" t="s">
        <v>19</v>
      </c>
      <c r="C396">
        <v>0</v>
      </c>
      <c r="D396">
        <v>4</v>
      </c>
      <c r="E396" s="3">
        <v>8</v>
      </c>
    </row>
    <row r="397" spans="1:5" x14ac:dyDescent="0.2">
      <c r="A397">
        <v>5</v>
      </c>
      <c r="B397" t="s">
        <v>25</v>
      </c>
      <c r="C397">
        <v>0</v>
      </c>
      <c r="D397">
        <v>2</v>
      </c>
      <c r="E397" s="3">
        <v>8</v>
      </c>
    </row>
    <row r="398" spans="1:5" x14ac:dyDescent="0.2">
      <c r="A398">
        <v>6</v>
      </c>
      <c r="B398" t="s">
        <v>21</v>
      </c>
      <c r="C398">
        <v>0</v>
      </c>
      <c r="D398">
        <v>1</v>
      </c>
      <c r="E398" s="3">
        <v>8</v>
      </c>
    </row>
    <row r="399" spans="1:5" x14ac:dyDescent="0.2">
      <c r="A399">
        <v>1</v>
      </c>
      <c r="B399" t="s">
        <v>94</v>
      </c>
      <c r="C399">
        <v>2</v>
      </c>
      <c r="D399">
        <v>16</v>
      </c>
      <c r="E399" s="3">
        <v>8</v>
      </c>
    </row>
    <row r="400" spans="1:5" x14ac:dyDescent="0.2">
      <c r="A400">
        <v>2</v>
      </c>
      <c r="B400" t="s">
        <v>75</v>
      </c>
      <c r="C400">
        <v>1</v>
      </c>
      <c r="D400">
        <v>12</v>
      </c>
      <c r="E400" s="3">
        <v>8</v>
      </c>
    </row>
    <row r="401" spans="1:5" x14ac:dyDescent="0.2">
      <c r="A401">
        <v>3</v>
      </c>
      <c r="B401" t="s">
        <v>28</v>
      </c>
      <c r="C401">
        <v>1</v>
      </c>
      <c r="D401">
        <v>8</v>
      </c>
      <c r="E401" s="3">
        <v>8</v>
      </c>
    </row>
    <row r="402" spans="1:5" x14ac:dyDescent="0.2">
      <c r="A402">
        <v>4</v>
      </c>
      <c r="B402" t="s">
        <v>73</v>
      </c>
      <c r="C402">
        <v>1</v>
      </c>
      <c r="D402">
        <v>4</v>
      </c>
      <c r="E402" s="3">
        <v>8</v>
      </c>
    </row>
    <row r="403" spans="1:5" x14ac:dyDescent="0.2">
      <c r="A403">
        <v>5</v>
      </c>
      <c r="B403" t="s">
        <v>29</v>
      </c>
      <c r="C403">
        <v>0</v>
      </c>
      <c r="D403">
        <v>2</v>
      </c>
      <c r="E403" s="3">
        <v>8</v>
      </c>
    </row>
    <row r="404" spans="1:5" x14ac:dyDescent="0.2">
      <c r="A404">
        <v>6</v>
      </c>
      <c r="B404" t="s">
        <v>100</v>
      </c>
      <c r="C404">
        <v>0</v>
      </c>
      <c r="D404">
        <v>1</v>
      </c>
      <c r="E404" s="3">
        <v>8</v>
      </c>
    </row>
    <row r="405" spans="1:5" x14ac:dyDescent="0.2">
      <c r="A405">
        <v>1</v>
      </c>
      <c r="B405" t="s">
        <v>60</v>
      </c>
      <c r="C405">
        <v>2</v>
      </c>
      <c r="D405">
        <v>16</v>
      </c>
      <c r="E405" s="3">
        <v>8</v>
      </c>
    </row>
    <row r="406" spans="1:5" x14ac:dyDescent="0.2">
      <c r="A406">
        <v>2</v>
      </c>
      <c r="B406" t="s">
        <v>55</v>
      </c>
      <c r="C406">
        <v>3</v>
      </c>
      <c r="D406">
        <v>12</v>
      </c>
      <c r="E406" s="3">
        <v>8</v>
      </c>
    </row>
    <row r="407" spans="1:5" x14ac:dyDescent="0.2">
      <c r="A407">
        <v>3</v>
      </c>
      <c r="B407" t="s">
        <v>32</v>
      </c>
      <c r="C407">
        <v>0</v>
      </c>
      <c r="D407">
        <v>8</v>
      </c>
      <c r="E407" s="3">
        <v>8</v>
      </c>
    </row>
    <row r="408" spans="1:5" x14ac:dyDescent="0.2">
      <c r="A408">
        <v>4</v>
      </c>
      <c r="B408" t="s">
        <v>14</v>
      </c>
      <c r="C408">
        <v>0</v>
      </c>
      <c r="D408">
        <v>4</v>
      </c>
      <c r="E408" s="3">
        <v>8</v>
      </c>
    </row>
    <row r="409" spans="1:5" x14ac:dyDescent="0.2">
      <c r="A409">
        <v>5</v>
      </c>
      <c r="B409" t="s">
        <v>69</v>
      </c>
      <c r="C409">
        <v>0</v>
      </c>
      <c r="D409">
        <v>2</v>
      </c>
      <c r="E409" s="3">
        <v>8</v>
      </c>
    </row>
    <row r="410" spans="1:5" x14ac:dyDescent="0.2">
      <c r="A410">
        <v>6</v>
      </c>
      <c r="B410" t="s">
        <v>47</v>
      </c>
      <c r="C410">
        <v>0</v>
      </c>
      <c r="D410">
        <v>1</v>
      </c>
      <c r="E410" s="3">
        <v>8</v>
      </c>
    </row>
    <row r="411" spans="1:5" x14ac:dyDescent="0.2">
      <c r="A411">
        <v>1</v>
      </c>
      <c r="B411" t="s">
        <v>23</v>
      </c>
      <c r="C411">
        <v>2</v>
      </c>
      <c r="D411">
        <v>16</v>
      </c>
      <c r="E411" s="3">
        <v>8</v>
      </c>
    </row>
    <row r="412" spans="1:5" x14ac:dyDescent="0.2">
      <c r="A412">
        <v>2</v>
      </c>
      <c r="B412" t="s">
        <v>9</v>
      </c>
      <c r="C412">
        <v>1</v>
      </c>
      <c r="D412">
        <v>12</v>
      </c>
      <c r="E412" s="3">
        <v>8</v>
      </c>
    </row>
    <row r="413" spans="1:5" x14ac:dyDescent="0.2">
      <c r="A413">
        <v>3</v>
      </c>
      <c r="B413" t="s">
        <v>48</v>
      </c>
      <c r="C413">
        <v>0</v>
      </c>
      <c r="D413">
        <v>8</v>
      </c>
      <c r="E413" s="3">
        <v>8</v>
      </c>
    </row>
    <row r="414" spans="1:5" x14ac:dyDescent="0.2">
      <c r="A414">
        <v>4</v>
      </c>
      <c r="B414" t="s">
        <v>27</v>
      </c>
      <c r="C414">
        <v>2</v>
      </c>
      <c r="D414">
        <v>4</v>
      </c>
      <c r="E414" s="3">
        <v>8</v>
      </c>
    </row>
    <row r="415" spans="1:5" x14ac:dyDescent="0.2">
      <c r="A415">
        <v>5</v>
      </c>
      <c r="B415" t="s">
        <v>53</v>
      </c>
      <c r="C415">
        <v>0</v>
      </c>
      <c r="D415">
        <v>2</v>
      </c>
      <c r="E415" s="3">
        <v>8</v>
      </c>
    </row>
    <row r="416" spans="1:5" x14ac:dyDescent="0.2">
      <c r="A416">
        <v>6</v>
      </c>
      <c r="B416" t="s">
        <v>31</v>
      </c>
      <c r="C416">
        <v>0</v>
      </c>
      <c r="D416">
        <v>1</v>
      </c>
      <c r="E416" s="3">
        <v>8</v>
      </c>
    </row>
    <row r="417" spans="1:5" x14ac:dyDescent="0.2">
      <c r="A417">
        <v>1</v>
      </c>
      <c r="B417" t="s">
        <v>52</v>
      </c>
      <c r="C417">
        <v>4</v>
      </c>
      <c r="D417">
        <v>16</v>
      </c>
      <c r="E417" s="3">
        <v>8</v>
      </c>
    </row>
    <row r="418" spans="1:5" x14ac:dyDescent="0.2">
      <c r="A418">
        <v>2</v>
      </c>
      <c r="B418" t="s">
        <v>63</v>
      </c>
      <c r="C418">
        <v>1</v>
      </c>
      <c r="D418">
        <v>12</v>
      </c>
      <c r="E418" s="3">
        <v>8</v>
      </c>
    </row>
    <row r="419" spans="1:5" x14ac:dyDescent="0.2">
      <c r="A419">
        <v>3</v>
      </c>
      <c r="B419" t="s">
        <v>15</v>
      </c>
      <c r="C419">
        <v>0</v>
      </c>
      <c r="D419">
        <v>8</v>
      </c>
      <c r="E419" s="3">
        <v>8</v>
      </c>
    </row>
    <row r="420" spans="1:5" x14ac:dyDescent="0.2">
      <c r="A420">
        <v>4</v>
      </c>
      <c r="B420" t="s">
        <v>18</v>
      </c>
      <c r="C420">
        <v>0</v>
      </c>
      <c r="D420">
        <v>4</v>
      </c>
      <c r="E420" s="3">
        <v>8</v>
      </c>
    </row>
    <row r="421" spans="1:5" x14ac:dyDescent="0.2">
      <c r="A421">
        <v>5</v>
      </c>
      <c r="B421" t="s">
        <v>76</v>
      </c>
      <c r="C421">
        <v>0</v>
      </c>
      <c r="D421">
        <v>2</v>
      </c>
      <c r="E421" s="3">
        <v>8</v>
      </c>
    </row>
    <row r="422" spans="1:5" x14ac:dyDescent="0.2">
      <c r="A422">
        <v>6</v>
      </c>
      <c r="B422" t="s">
        <v>40</v>
      </c>
      <c r="C422">
        <v>0</v>
      </c>
      <c r="D422">
        <v>1</v>
      </c>
      <c r="E422" s="3">
        <v>8</v>
      </c>
    </row>
    <row r="423" spans="1:5" x14ac:dyDescent="0.2">
      <c r="A423">
        <v>1</v>
      </c>
      <c r="B423" t="s">
        <v>39</v>
      </c>
      <c r="C423">
        <v>2</v>
      </c>
      <c r="D423">
        <v>15</v>
      </c>
      <c r="E423" s="3">
        <v>8</v>
      </c>
    </row>
    <row r="424" spans="1:5" x14ac:dyDescent="0.2">
      <c r="A424">
        <v>2</v>
      </c>
      <c r="B424" t="s">
        <v>54</v>
      </c>
      <c r="C424">
        <v>1</v>
      </c>
      <c r="D424">
        <v>11</v>
      </c>
      <c r="E424" s="3">
        <v>8</v>
      </c>
    </row>
    <row r="425" spans="1:5" x14ac:dyDescent="0.2">
      <c r="A425">
        <v>3</v>
      </c>
      <c r="B425" t="s">
        <v>61</v>
      </c>
      <c r="C425">
        <v>1</v>
      </c>
      <c r="D425">
        <v>7</v>
      </c>
      <c r="E425" s="3">
        <v>8</v>
      </c>
    </row>
    <row r="426" spans="1:5" x14ac:dyDescent="0.2">
      <c r="A426">
        <v>4</v>
      </c>
      <c r="B426" t="s">
        <v>35</v>
      </c>
      <c r="C426">
        <v>0</v>
      </c>
      <c r="D426">
        <v>3</v>
      </c>
      <c r="E426" s="3">
        <v>8</v>
      </c>
    </row>
    <row r="427" spans="1:5" x14ac:dyDescent="0.2">
      <c r="A427">
        <v>5</v>
      </c>
      <c r="B427" t="s">
        <v>74</v>
      </c>
      <c r="C427">
        <v>0</v>
      </c>
      <c r="D427">
        <v>1</v>
      </c>
      <c r="E427" s="3">
        <v>8</v>
      </c>
    </row>
    <row r="428" spans="1:5" x14ac:dyDescent="0.2">
      <c r="A428">
        <v>1</v>
      </c>
      <c r="B428" t="s">
        <v>42</v>
      </c>
      <c r="C428">
        <v>4</v>
      </c>
      <c r="D428">
        <v>16</v>
      </c>
      <c r="E428" s="3">
        <v>8</v>
      </c>
    </row>
    <row r="429" spans="1:5" x14ac:dyDescent="0.2">
      <c r="A429">
        <v>2</v>
      </c>
      <c r="B429" t="s">
        <v>68</v>
      </c>
      <c r="C429">
        <v>1</v>
      </c>
      <c r="D429">
        <v>12</v>
      </c>
      <c r="E429" s="3">
        <v>8</v>
      </c>
    </row>
    <row r="430" spans="1:5" x14ac:dyDescent="0.2">
      <c r="A430">
        <v>3</v>
      </c>
      <c r="B430" t="s">
        <v>50</v>
      </c>
      <c r="C430">
        <v>0</v>
      </c>
      <c r="D430">
        <v>8</v>
      </c>
      <c r="E430" s="3">
        <v>8</v>
      </c>
    </row>
    <row r="431" spans="1:5" x14ac:dyDescent="0.2">
      <c r="A431">
        <v>4</v>
      </c>
      <c r="B431" t="s">
        <v>46</v>
      </c>
      <c r="C431">
        <v>0</v>
      </c>
      <c r="D431">
        <v>4</v>
      </c>
      <c r="E431" s="3">
        <v>8</v>
      </c>
    </row>
    <row r="432" spans="1:5" x14ac:dyDescent="0.2">
      <c r="A432">
        <v>5</v>
      </c>
      <c r="B432" t="s">
        <v>45</v>
      </c>
      <c r="C432">
        <v>0</v>
      </c>
      <c r="D432">
        <v>2</v>
      </c>
      <c r="E432" s="3">
        <v>8</v>
      </c>
    </row>
    <row r="433" spans="1:5" x14ac:dyDescent="0.2">
      <c r="A433">
        <v>6</v>
      </c>
      <c r="B433" t="s">
        <v>67</v>
      </c>
      <c r="C433">
        <v>0</v>
      </c>
      <c r="D433">
        <v>1</v>
      </c>
      <c r="E433" s="3">
        <v>8</v>
      </c>
    </row>
    <row r="434" spans="1:5" x14ac:dyDescent="0.2">
      <c r="A434">
        <v>1</v>
      </c>
      <c r="B434" t="s">
        <v>54</v>
      </c>
      <c r="C434">
        <v>2</v>
      </c>
      <c r="D434">
        <v>16</v>
      </c>
      <c r="E434" s="3">
        <v>9</v>
      </c>
    </row>
    <row r="435" spans="1:5" x14ac:dyDescent="0.2">
      <c r="A435">
        <v>2</v>
      </c>
      <c r="B435" t="s">
        <v>46</v>
      </c>
      <c r="C435">
        <v>2</v>
      </c>
      <c r="D435">
        <v>12</v>
      </c>
      <c r="E435" s="3">
        <v>9</v>
      </c>
    </row>
    <row r="436" spans="1:5" x14ac:dyDescent="0.2">
      <c r="A436">
        <v>3</v>
      </c>
      <c r="B436" t="s">
        <v>42</v>
      </c>
      <c r="C436">
        <v>1</v>
      </c>
      <c r="D436">
        <v>8</v>
      </c>
      <c r="E436" s="3">
        <v>9</v>
      </c>
    </row>
    <row r="437" spans="1:5" x14ac:dyDescent="0.2">
      <c r="A437">
        <v>4</v>
      </c>
      <c r="B437" t="s">
        <v>41</v>
      </c>
      <c r="C437">
        <v>0</v>
      </c>
      <c r="D437">
        <v>4</v>
      </c>
      <c r="E437" s="3">
        <v>9</v>
      </c>
    </row>
    <row r="438" spans="1:5" x14ac:dyDescent="0.2">
      <c r="A438">
        <v>5</v>
      </c>
      <c r="B438" t="s">
        <v>23</v>
      </c>
      <c r="C438">
        <v>0</v>
      </c>
      <c r="D438">
        <v>2</v>
      </c>
      <c r="E438" s="3">
        <v>9</v>
      </c>
    </row>
    <row r="439" spans="1:5" x14ac:dyDescent="0.2">
      <c r="A439">
        <v>6</v>
      </c>
      <c r="B439" t="s">
        <v>97</v>
      </c>
      <c r="C439">
        <v>0</v>
      </c>
      <c r="D439">
        <v>1</v>
      </c>
      <c r="E439" s="3">
        <v>9</v>
      </c>
    </row>
    <row r="440" spans="1:5" x14ac:dyDescent="0.2">
      <c r="A440">
        <v>1</v>
      </c>
      <c r="B440" t="s">
        <v>27</v>
      </c>
      <c r="C440">
        <v>3</v>
      </c>
      <c r="D440">
        <v>15</v>
      </c>
      <c r="E440" s="3">
        <v>9</v>
      </c>
    </row>
    <row r="441" spans="1:5" x14ac:dyDescent="0.2">
      <c r="A441">
        <v>2</v>
      </c>
      <c r="B441" t="s">
        <v>68</v>
      </c>
      <c r="C441">
        <v>1</v>
      </c>
      <c r="D441">
        <v>11</v>
      </c>
      <c r="E441" s="3">
        <v>9</v>
      </c>
    </row>
    <row r="442" spans="1:5" x14ac:dyDescent="0.2">
      <c r="A442">
        <v>3</v>
      </c>
      <c r="B442" t="s">
        <v>50</v>
      </c>
      <c r="C442">
        <v>0</v>
      </c>
      <c r="D442">
        <v>7</v>
      </c>
      <c r="E442" s="3">
        <v>9</v>
      </c>
    </row>
    <row r="443" spans="1:5" x14ac:dyDescent="0.2">
      <c r="A443">
        <v>4</v>
      </c>
      <c r="B443" t="s">
        <v>75</v>
      </c>
      <c r="C443">
        <v>0</v>
      </c>
      <c r="D443">
        <v>3</v>
      </c>
      <c r="E443" s="3">
        <v>9</v>
      </c>
    </row>
    <row r="444" spans="1:5" x14ac:dyDescent="0.2">
      <c r="A444">
        <v>5</v>
      </c>
      <c r="B444" t="s">
        <v>55</v>
      </c>
      <c r="C444">
        <v>0</v>
      </c>
      <c r="D444">
        <v>1</v>
      </c>
      <c r="E444" s="3">
        <v>9</v>
      </c>
    </row>
    <row r="445" spans="1:5" x14ac:dyDescent="0.2">
      <c r="A445">
        <v>1</v>
      </c>
      <c r="B445" t="s">
        <v>8</v>
      </c>
      <c r="C445">
        <v>3</v>
      </c>
      <c r="D445">
        <v>15</v>
      </c>
      <c r="E445" s="3">
        <v>9</v>
      </c>
    </row>
    <row r="446" spans="1:5" x14ac:dyDescent="0.2">
      <c r="A446">
        <v>2</v>
      </c>
      <c r="B446" t="s">
        <v>14</v>
      </c>
      <c r="C446">
        <v>0</v>
      </c>
      <c r="D446">
        <v>11</v>
      </c>
      <c r="E446" s="3">
        <v>9</v>
      </c>
    </row>
    <row r="447" spans="1:5" x14ac:dyDescent="0.2">
      <c r="A447">
        <v>3</v>
      </c>
      <c r="B447" t="s">
        <v>28</v>
      </c>
      <c r="C447">
        <v>0</v>
      </c>
      <c r="D447">
        <v>7</v>
      </c>
      <c r="E447" s="3">
        <v>9</v>
      </c>
    </row>
    <row r="448" spans="1:5" x14ac:dyDescent="0.2">
      <c r="A448">
        <v>4</v>
      </c>
      <c r="B448" t="s">
        <v>69</v>
      </c>
      <c r="C448">
        <v>1</v>
      </c>
      <c r="D448">
        <v>3</v>
      </c>
      <c r="E448" s="3">
        <v>9</v>
      </c>
    </row>
    <row r="449" spans="1:5" x14ac:dyDescent="0.2">
      <c r="A449">
        <v>5</v>
      </c>
      <c r="B449" t="s">
        <v>26</v>
      </c>
      <c r="C449">
        <v>0</v>
      </c>
      <c r="D449">
        <v>1</v>
      </c>
      <c r="E449" s="3">
        <v>9</v>
      </c>
    </row>
    <row r="450" spans="1:5" x14ac:dyDescent="0.2">
      <c r="A450">
        <v>1</v>
      </c>
      <c r="B450" t="s">
        <v>52</v>
      </c>
      <c r="C450">
        <v>2</v>
      </c>
      <c r="D450">
        <v>15</v>
      </c>
      <c r="E450" s="3">
        <v>9</v>
      </c>
    </row>
    <row r="451" spans="1:5" x14ac:dyDescent="0.2">
      <c r="A451">
        <v>2</v>
      </c>
      <c r="B451" t="s">
        <v>22</v>
      </c>
      <c r="C451">
        <v>2</v>
      </c>
      <c r="D451">
        <v>11</v>
      </c>
      <c r="E451" s="3">
        <v>9</v>
      </c>
    </row>
    <row r="452" spans="1:5" x14ac:dyDescent="0.2">
      <c r="A452">
        <v>3</v>
      </c>
      <c r="B452" t="s">
        <v>32</v>
      </c>
      <c r="C452">
        <v>0</v>
      </c>
      <c r="D452">
        <v>7</v>
      </c>
      <c r="E452" s="3">
        <v>9</v>
      </c>
    </row>
    <row r="453" spans="1:5" x14ac:dyDescent="0.2">
      <c r="A453">
        <v>4</v>
      </c>
      <c r="B453" t="s">
        <v>35</v>
      </c>
      <c r="C453">
        <v>0</v>
      </c>
      <c r="D453">
        <v>3</v>
      </c>
      <c r="E453" s="3">
        <v>9</v>
      </c>
    </row>
    <row r="454" spans="1:5" x14ac:dyDescent="0.2">
      <c r="A454">
        <v>5</v>
      </c>
      <c r="B454" t="s">
        <v>65</v>
      </c>
      <c r="C454">
        <v>0</v>
      </c>
      <c r="D454">
        <v>1</v>
      </c>
      <c r="E454" s="3">
        <v>9</v>
      </c>
    </row>
    <row r="455" spans="1:5" x14ac:dyDescent="0.2">
      <c r="A455">
        <v>1</v>
      </c>
      <c r="B455" t="s">
        <v>6</v>
      </c>
      <c r="C455">
        <v>2</v>
      </c>
      <c r="D455">
        <v>16</v>
      </c>
      <c r="E455" s="3">
        <v>9</v>
      </c>
    </row>
    <row r="456" spans="1:5" x14ac:dyDescent="0.2">
      <c r="A456">
        <v>2</v>
      </c>
      <c r="B456" t="s">
        <v>74</v>
      </c>
      <c r="C456">
        <v>2</v>
      </c>
      <c r="D456">
        <v>12</v>
      </c>
      <c r="E456" s="3">
        <v>9</v>
      </c>
    </row>
    <row r="457" spans="1:5" x14ac:dyDescent="0.2">
      <c r="A457">
        <v>3</v>
      </c>
      <c r="B457" t="s">
        <v>88</v>
      </c>
      <c r="C457">
        <v>1</v>
      </c>
      <c r="D457">
        <v>8</v>
      </c>
      <c r="E457" s="3">
        <v>9</v>
      </c>
    </row>
    <row r="458" spans="1:5" x14ac:dyDescent="0.2">
      <c r="A458">
        <v>4</v>
      </c>
      <c r="B458" t="s">
        <v>61</v>
      </c>
      <c r="C458">
        <v>0</v>
      </c>
      <c r="D458">
        <v>4</v>
      </c>
      <c r="E458" s="3">
        <v>9</v>
      </c>
    </row>
    <row r="459" spans="1:5" x14ac:dyDescent="0.2">
      <c r="A459">
        <v>5</v>
      </c>
      <c r="B459" t="s">
        <v>39</v>
      </c>
      <c r="C459">
        <v>0</v>
      </c>
      <c r="D459">
        <v>2</v>
      </c>
      <c r="E459" s="3">
        <v>9</v>
      </c>
    </row>
    <row r="460" spans="1:5" x14ac:dyDescent="0.2">
      <c r="A460">
        <v>6</v>
      </c>
      <c r="B460" t="s">
        <v>33</v>
      </c>
      <c r="C460">
        <v>0</v>
      </c>
      <c r="D460">
        <v>1</v>
      </c>
      <c r="E460" s="3">
        <v>9</v>
      </c>
    </row>
    <row r="461" spans="1:5" x14ac:dyDescent="0.2">
      <c r="A461">
        <v>1</v>
      </c>
      <c r="B461" t="s">
        <v>53</v>
      </c>
      <c r="C461">
        <v>4</v>
      </c>
      <c r="D461">
        <v>16</v>
      </c>
      <c r="E461" s="3">
        <v>9</v>
      </c>
    </row>
    <row r="462" spans="1:5" x14ac:dyDescent="0.2">
      <c r="A462">
        <v>2</v>
      </c>
      <c r="B462" t="s">
        <v>25</v>
      </c>
      <c r="C462">
        <v>1</v>
      </c>
      <c r="D462">
        <v>12</v>
      </c>
      <c r="E462" s="3">
        <v>9</v>
      </c>
    </row>
    <row r="463" spans="1:5" x14ac:dyDescent="0.2">
      <c r="A463">
        <v>3</v>
      </c>
      <c r="B463" t="s">
        <v>63</v>
      </c>
      <c r="C463">
        <v>0</v>
      </c>
      <c r="D463">
        <v>8</v>
      </c>
      <c r="E463" s="3">
        <v>9</v>
      </c>
    </row>
    <row r="464" spans="1:5" x14ac:dyDescent="0.2">
      <c r="A464">
        <v>4</v>
      </c>
      <c r="B464" t="s">
        <v>18</v>
      </c>
      <c r="C464">
        <v>0</v>
      </c>
      <c r="D464">
        <v>4</v>
      </c>
      <c r="E464" s="3">
        <v>9</v>
      </c>
    </row>
    <row r="465" spans="1:5" x14ac:dyDescent="0.2">
      <c r="A465">
        <v>5</v>
      </c>
      <c r="B465" t="s">
        <v>31</v>
      </c>
      <c r="C465">
        <v>0</v>
      </c>
      <c r="D465">
        <v>2</v>
      </c>
      <c r="E465" s="3">
        <v>9</v>
      </c>
    </row>
    <row r="466" spans="1:5" x14ac:dyDescent="0.2">
      <c r="A466">
        <v>6</v>
      </c>
      <c r="B466" t="s">
        <v>45</v>
      </c>
      <c r="C466">
        <v>0</v>
      </c>
      <c r="D466">
        <v>1</v>
      </c>
      <c r="E466" s="3">
        <v>9</v>
      </c>
    </row>
    <row r="467" spans="1:5" x14ac:dyDescent="0.2">
      <c r="A467">
        <v>1</v>
      </c>
      <c r="B467" t="s">
        <v>15</v>
      </c>
      <c r="C467">
        <v>5</v>
      </c>
      <c r="D467">
        <v>16</v>
      </c>
      <c r="E467" s="3">
        <v>9</v>
      </c>
    </row>
    <row r="468" spans="1:5" x14ac:dyDescent="0.2">
      <c r="A468">
        <v>2</v>
      </c>
      <c r="B468" t="s">
        <v>101</v>
      </c>
      <c r="C468">
        <v>0</v>
      </c>
      <c r="D468">
        <v>12</v>
      </c>
      <c r="E468" s="3">
        <v>9</v>
      </c>
    </row>
    <row r="469" spans="1:5" x14ac:dyDescent="0.2">
      <c r="A469">
        <v>3</v>
      </c>
      <c r="B469" t="s">
        <v>40</v>
      </c>
      <c r="C469">
        <v>0</v>
      </c>
      <c r="D469">
        <v>8</v>
      </c>
      <c r="E469" s="3">
        <v>9</v>
      </c>
    </row>
    <row r="470" spans="1:5" x14ac:dyDescent="0.2">
      <c r="A470">
        <v>4</v>
      </c>
      <c r="B470" t="s">
        <v>77</v>
      </c>
      <c r="C470">
        <v>0</v>
      </c>
      <c r="D470">
        <v>4</v>
      </c>
      <c r="E470" s="3">
        <v>9</v>
      </c>
    </row>
    <row r="471" spans="1:5" x14ac:dyDescent="0.2">
      <c r="A471">
        <v>5</v>
      </c>
      <c r="B471" t="s">
        <v>87</v>
      </c>
      <c r="C471">
        <v>0</v>
      </c>
      <c r="D471">
        <v>2</v>
      </c>
      <c r="E471" s="3">
        <v>9</v>
      </c>
    </row>
    <row r="472" spans="1:5" x14ac:dyDescent="0.2">
      <c r="A472">
        <v>6</v>
      </c>
      <c r="B472" t="s">
        <v>9</v>
      </c>
      <c r="C472">
        <v>0</v>
      </c>
      <c r="D472">
        <v>1</v>
      </c>
      <c r="E472" s="3">
        <v>9</v>
      </c>
    </row>
    <row r="473" spans="1:5" x14ac:dyDescent="0.2">
      <c r="A473">
        <v>1</v>
      </c>
      <c r="B473" t="s">
        <v>19</v>
      </c>
      <c r="C473">
        <v>3</v>
      </c>
      <c r="D473">
        <v>16</v>
      </c>
      <c r="E473" s="3">
        <v>9</v>
      </c>
    </row>
    <row r="474" spans="1:5" x14ac:dyDescent="0.2">
      <c r="A474">
        <v>2</v>
      </c>
      <c r="B474" t="s">
        <v>73</v>
      </c>
      <c r="C474">
        <v>2</v>
      </c>
      <c r="D474">
        <v>12</v>
      </c>
      <c r="E474" s="3">
        <v>9</v>
      </c>
    </row>
    <row r="475" spans="1:5" x14ac:dyDescent="0.2">
      <c r="A475">
        <v>3</v>
      </c>
      <c r="B475" t="s">
        <v>59</v>
      </c>
      <c r="C475">
        <v>0</v>
      </c>
      <c r="D475">
        <v>8</v>
      </c>
      <c r="E475" s="3">
        <v>9</v>
      </c>
    </row>
    <row r="476" spans="1:5" x14ac:dyDescent="0.2">
      <c r="A476">
        <v>4</v>
      </c>
      <c r="B476" t="s">
        <v>66</v>
      </c>
      <c r="C476">
        <v>0</v>
      </c>
      <c r="D476">
        <v>4</v>
      </c>
      <c r="E476" s="3">
        <v>9</v>
      </c>
    </row>
    <row r="477" spans="1:5" x14ac:dyDescent="0.2">
      <c r="A477">
        <v>5</v>
      </c>
      <c r="B477" t="s">
        <v>5</v>
      </c>
      <c r="C477">
        <v>0</v>
      </c>
      <c r="D477">
        <v>2</v>
      </c>
      <c r="E477" s="3">
        <v>9</v>
      </c>
    </row>
    <row r="478" spans="1:5" x14ac:dyDescent="0.2">
      <c r="A478">
        <v>6</v>
      </c>
      <c r="B478" t="s">
        <v>21</v>
      </c>
      <c r="C478">
        <v>0</v>
      </c>
      <c r="D478">
        <v>1</v>
      </c>
      <c r="E478" s="3">
        <v>9</v>
      </c>
    </row>
    <row r="479" spans="1:5" x14ac:dyDescent="0.2">
      <c r="A479">
        <v>1</v>
      </c>
      <c r="B479" t="s">
        <v>77</v>
      </c>
      <c r="C479">
        <v>2</v>
      </c>
      <c r="D479">
        <v>16</v>
      </c>
      <c r="E479" s="3">
        <v>10</v>
      </c>
    </row>
    <row r="480" spans="1:5" x14ac:dyDescent="0.2">
      <c r="A480">
        <v>2</v>
      </c>
      <c r="B480" t="s">
        <v>50</v>
      </c>
      <c r="C480">
        <v>2</v>
      </c>
      <c r="D480">
        <v>12</v>
      </c>
      <c r="E480" s="3">
        <v>10</v>
      </c>
    </row>
    <row r="481" spans="1:5" x14ac:dyDescent="0.2">
      <c r="A481">
        <v>3</v>
      </c>
      <c r="B481" t="s">
        <v>55</v>
      </c>
      <c r="C481">
        <v>1</v>
      </c>
      <c r="D481">
        <v>8</v>
      </c>
      <c r="E481" s="3">
        <v>10</v>
      </c>
    </row>
    <row r="482" spans="1:5" x14ac:dyDescent="0.2">
      <c r="A482">
        <v>4</v>
      </c>
      <c r="B482" t="s">
        <v>75</v>
      </c>
      <c r="C482">
        <v>0</v>
      </c>
      <c r="D482">
        <v>4</v>
      </c>
      <c r="E482" s="3">
        <v>10</v>
      </c>
    </row>
    <row r="483" spans="1:5" x14ac:dyDescent="0.2">
      <c r="A483">
        <v>5</v>
      </c>
      <c r="B483" t="s">
        <v>47</v>
      </c>
      <c r="C483">
        <v>0</v>
      </c>
      <c r="D483">
        <v>2</v>
      </c>
      <c r="E483" s="3">
        <v>10</v>
      </c>
    </row>
    <row r="484" spans="1:5" x14ac:dyDescent="0.2">
      <c r="A484">
        <v>6</v>
      </c>
      <c r="B484" t="s">
        <v>92</v>
      </c>
      <c r="C484">
        <v>0</v>
      </c>
      <c r="D484">
        <v>1</v>
      </c>
      <c r="E484" s="3">
        <v>10</v>
      </c>
    </row>
    <row r="485" spans="1:5" x14ac:dyDescent="0.2">
      <c r="A485">
        <v>1</v>
      </c>
      <c r="B485" t="s">
        <v>52</v>
      </c>
      <c r="C485">
        <v>6</v>
      </c>
      <c r="D485">
        <v>17</v>
      </c>
      <c r="E485" s="3">
        <v>10</v>
      </c>
    </row>
    <row r="486" spans="1:5" x14ac:dyDescent="0.2">
      <c r="A486">
        <v>2</v>
      </c>
      <c r="B486" t="s">
        <v>45</v>
      </c>
      <c r="C486">
        <v>0</v>
      </c>
      <c r="D486">
        <v>13</v>
      </c>
      <c r="E486" s="3">
        <v>10</v>
      </c>
    </row>
    <row r="487" spans="1:5" x14ac:dyDescent="0.2">
      <c r="A487">
        <v>3</v>
      </c>
      <c r="B487" t="s">
        <v>33</v>
      </c>
      <c r="C487">
        <v>0</v>
      </c>
      <c r="D487">
        <v>9</v>
      </c>
      <c r="E487" s="3">
        <v>10</v>
      </c>
    </row>
    <row r="488" spans="1:5" x14ac:dyDescent="0.2">
      <c r="A488">
        <v>4</v>
      </c>
      <c r="B488" t="s">
        <v>15</v>
      </c>
      <c r="C488">
        <v>0</v>
      </c>
      <c r="D488">
        <v>5</v>
      </c>
      <c r="E488" s="3">
        <v>10</v>
      </c>
    </row>
    <row r="489" spans="1:5" x14ac:dyDescent="0.2">
      <c r="A489">
        <v>5</v>
      </c>
      <c r="B489" t="s">
        <v>26</v>
      </c>
      <c r="C489">
        <v>0</v>
      </c>
      <c r="D489">
        <v>3</v>
      </c>
      <c r="E489" s="3">
        <v>10</v>
      </c>
    </row>
    <row r="490" spans="1:5" x14ac:dyDescent="0.2">
      <c r="A490">
        <v>6</v>
      </c>
      <c r="B490" t="s">
        <v>21</v>
      </c>
      <c r="C490">
        <v>0</v>
      </c>
      <c r="D490">
        <v>2</v>
      </c>
      <c r="E490" s="3">
        <v>10</v>
      </c>
    </row>
    <row r="491" spans="1:5" x14ac:dyDescent="0.2">
      <c r="A491">
        <v>7</v>
      </c>
      <c r="B491" t="s">
        <v>104</v>
      </c>
      <c r="C491">
        <v>0</v>
      </c>
      <c r="D491">
        <v>1</v>
      </c>
      <c r="E491" s="3">
        <v>10</v>
      </c>
    </row>
    <row r="492" spans="1:5" x14ac:dyDescent="0.2">
      <c r="A492">
        <v>1</v>
      </c>
      <c r="B492" t="s">
        <v>9</v>
      </c>
      <c r="C492">
        <v>3</v>
      </c>
      <c r="D492">
        <v>16</v>
      </c>
      <c r="E492" s="3">
        <v>10</v>
      </c>
    </row>
    <row r="493" spans="1:5" x14ac:dyDescent="0.2">
      <c r="A493">
        <v>2</v>
      </c>
      <c r="B493" t="s">
        <v>94</v>
      </c>
      <c r="C493">
        <v>2</v>
      </c>
      <c r="D493">
        <v>12</v>
      </c>
      <c r="E493" s="3">
        <v>10</v>
      </c>
    </row>
    <row r="494" spans="1:5" x14ac:dyDescent="0.2">
      <c r="A494">
        <v>3</v>
      </c>
      <c r="B494" t="s">
        <v>31</v>
      </c>
      <c r="C494">
        <v>0</v>
      </c>
      <c r="D494">
        <v>8</v>
      </c>
      <c r="E494" s="3">
        <v>10</v>
      </c>
    </row>
    <row r="495" spans="1:5" x14ac:dyDescent="0.2">
      <c r="A495">
        <v>4</v>
      </c>
      <c r="B495" t="s">
        <v>28</v>
      </c>
      <c r="C495">
        <v>0</v>
      </c>
      <c r="D495">
        <v>4</v>
      </c>
      <c r="E495" s="3">
        <v>10</v>
      </c>
    </row>
    <row r="496" spans="1:5" x14ac:dyDescent="0.2">
      <c r="A496">
        <v>5</v>
      </c>
      <c r="B496" t="s">
        <v>25</v>
      </c>
      <c r="C496">
        <v>0</v>
      </c>
      <c r="D496">
        <v>2</v>
      </c>
      <c r="E496" s="3">
        <v>10</v>
      </c>
    </row>
    <row r="497" spans="1:5" x14ac:dyDescent="0.2">
      <c r="A497">
        <v>6</v>
      </c>
      <c r="B497" t="s">
        <v>73</v>
      </c>
      <c r="C497">
        <v>0</v>
      </c>
      <c r="D497">
        <v>1</v>
      </c>
      <c r="E497" s="3">
        <v>10</v>
      </c>
    </row>
    <row r="498" spans="1:5" x14ac:dyDescent="0.2">
      <c r="A498">
        <v>1</v>
      </c>
      <c r="B498" t="s">
        <v>65</v>
      </c>
      <c r="C498">
        <v>4</v>
      </c>
      <c r="D498">
        <v>16</v>
      </c>
      <c r="E498" s="3">
        <v>10</v>
      </c>
    </row>
    <row r="499" spans="1:5" x14ac:dyDescent="0.2">
      <c r="A499">
        <v>2</v>
      </c>
      <c r="B499" t="s">
        <v>46</v>
      </c>
      <c r="C499">
        <v>0</v>
      </c>
      <c r="D499">
        <v>12</v>
      </c>
      <c r="E499" s="3">
        <v>10</v>
      </c>
    </row>
    <row r="500" spans="1:5" x14ac:dyDescent="0.2">
      <c r="A500">
        <v>3</v>
      </c>
      <c r="B500" t="s">
        <v>18</v>
      </c>
      <c r="C500">
        <v>0</v>
      </c>
      <c r="D500">
        <v>8</v>
      </c>
      <c r="E500" s="3">
        <v>10</v>
      </c>
    </row>
    <row r="501" spans="1:5" x14ac:dyDescent="0.2">
      <c r="A501">
        <v>4</v>
      </c>
      <c r="B501" t="s">
        <v>54</v>
      </c>
      <c r="C501">
        <v>0</v>
      </c>
      <c r="D501">
        <v>4</v>
      </c>
      <c r="E501" s="3">
        <v>10</v>
      </c>
    </row>
    <row r="502" spans="1:5" x14ac:dyDescent="0.2">
      <c r="A502">
        <v>5</v>
      </c>
      <c r="B502" t="s">
        <v>14</v>
      </c>
      <c r="C502">
        <v>1</v>
      </c>
      <c r="D502">
        <v>2</v>
      </c>
      <c r="E502" s="3">
        <v>10</v>
      </c>
    </row>
    <row r="503" spans="1:5" x14ac:dyDescent="0.2">
      <c r="A503">
        <v>6</v>
      </c>
      <c r="B503" t="s">
        <v>40</v>
      </c>
      <c r="C503">
        <v>0</v>
      </c>
      <c r="D503">
        <v>1</v>
      </c>
      <c r="E503" s="3">
        <v>10</v>
      </c>
    </row>
    <row r="504" spans="1:5" x14ac:dyDescent="0.2">
      <c r="A504">
        <v>1</v>
      </c>
      <c r="B504" t="s">
        <v>8</v>
      </c>
      <c r="C504">
        <v>2</v>
      </c>
      <c r="D504">
        <v>16</v>
      </c>
      <c r="E504" s="3">
        <v>10</v>
      </c>
    </row>
    <row r="505" spans="1:5" x14ac:dyDescent="0.2">
      <c r="A505">
        <v>2</v>
      </c>
      <c r="B505" t="s">
        <v>6</v>
      </c>
      <c r="C505">
        <v>0</v>
      </c>
      <c r="D505">
        <v>12</v>
      </c>
      <c r="E505" s="3">
        <v>10</v>
      </c>
    </row>
    <row r="506" spans="1:5" x14ac:dyDescent="0.2">
      <c r="A506">
        <v>3</v>
      </c>
      <c r="B506" t="s">
        <v>12</v>
      </c>
      <c r="C506">
        <v>1</v>
      </c>
      <c r="D506">
        <v>8</v>
      </c>
      <c r="E506" s="3">
        <v>10</v>
      </c>
    </row>
    <row r="507" spans="1:5" x14ac:dyDescent="0.2">
      <c r="A507">
        <v>4</v>
      </c>
      <c r="B507" t="s">
        <v>60</v>
      </c>
      <c r="C507">
        <v>2</v>
      </c>
      <c r="D507">
        <v>4</v>
      </c>
      <c r="E507" s="3">
        <v>10</v>
      </c>
    </row>
    <row r="508" spans="1:5" x14ac:dyDescent="0.2">
      <c r="A508">
        <v>5</v>
      </c>
      <c r="B508" t="s">
        <v>68</v>
      </c>
      <c r="C508">
        <v>0</v>
      </c>
      <c r="D508">
        <v>2</v>
      </c>
      <c r="E508" s="3">
        <v>10</v>
      </c>
    </row>
    <row r="509" spans="1:5" x14ac:dyDescent="0.2">
      <c r="A509">
        <v>6</v>
      </c>
      <c r="B509" t="s">
        <v>32</v>
      </c>
      <c r="C509">
        <v>0</v>
      </c>
      <c r="D509">
        <v>1</v>
      </c>
      <c r="E509" s="3">
        <v>10</v>
      </c>
    </row>
    <row r="510" spans="1:5" x14ac:dyDescent="0.2">
      <c r="A510">
        <v>1</v>
      </c>
      <c r="B510" t="s">
        <v>42</v>
      </c>
      <c r="C510">
        <v>3</v>
      </c>
      <c r="D510">
        <v>17</v>
      </c>
      <c r="E510" s="3">
        <v>10</v>
      </c>
    </row>
    <row r="511" spans="1:5" x14ac:dyDescent="0.2">
      <c r="A511">
        <v>2</v>
      </c>
      <c r="B511" t="s">
        <v>101</v>
      </c>
      <c r="C511">
        <v>2</v>
      </c>
      <c r="D511">
        <v>13</v>
      </c>
      <c r="E511" s="3">
        <v>10</v>
      </c>
    </row>
    <row r="512" spans="1:5" x14ac:dyDescent="0.2">
      <c r="A512">
        <v>3</v>
      </c>
      <c r="B512" t="s">
        <v>5</v>
      </c>
      <c r="C512">
        <v>1</v>
      </c>
      <c r="D512">
        <v>9</v>
      </c>
      <c r="E512" s="3">
        <v>10</v>
      </c>
    </row>
    <row r="513" spans="1:5" x14ac:dyDescent="0.2">
      <c r="A513">
        <v>4</v>
      </c>
      <c r="B513" t="s">
        <v>41</v>
      </c>
      <c r="C513">
        <v>0</v>
      </c>
      <c r="D513">
        <v>5</v>
      </c>
      <c r="E513" s="3">
        <v>10</v>
      </c>
    </row>
    <row r="514" spans="1:5" x14ac:dyDescent="0.2">
      <c r="A514">
        <v>5</v>
      </c>
      <c r="B514" t="s">
        <v>35</v>
      </c>
      <c r="C514">
        <v>0</v>
      </c>
      <c r="D514">
        <v>3</v>
      </c>
      <c r="E514" s="3">
        <v>10</v>
      </c>
    </row>
    <row r="515" spans="1:5" x14ac:dyDescent="0.2">
      <c r="A515">
        <v>6</v>
      </c>
      <c r="B515" t="s">
        <v>72</v>
      </c>
      <c r="C515">
        <v>0</v>
      </c>
      <c r="D515">
        <v>2</v>
      </c>
      <c r="E515" s="3">
        <v>10</v>
      </c>
    </row>
    <row r="516" spans="1:5" x14ac:dyDescent="0.2">
      <c r="A516">
        <v>7</v>
      </c>
      <c r="B516" t="s">
        <v>7</v>
      </c>
      <c r="C516">
        <v>0</v>
      </c>
      <c r="D516">
        <v>1</v>
      </c>
      <c r="E516" s="3">
        <v>10</v>
      </c>
    </row>
    <row r="517" spans="1:5" x14ac:dyDescent="0.2">
      <c r="A517">
        <v>1</v>
      </c>
      <c r="B517" t="s">
        <v>81</v>
      </c>
      <c r="C517">
        <v>3</v>
      </c>
      <c r="D517">
        <v>17</v>
      </c>
      <c r="E517" s="3">
        <v>10</v>
      </c>
    </row>
    <row r="518" spans="1:5" x14ac:dyDescent="0.2">
      <c r="A518">
        <v>2</v>
      </c>
      <c r="B518" t="s">
        <v>22</v>
      </c>
      <c r="C518">
        <v>3</v>
      </c>
      <c r="D518">
        <v>13</v>
      </c>
      <c r="E518" s="3">
        <v>10</v>
      </c>
    </row>
    <row r="519" spans="1:5" x14ac:dyDescent="0.2">
      <c r="A519">
        <v>3</v>
      </c>
      <c r="B519" t="s">
        <v>39</v>
      </c>
      <c r="C519">
        <v>0</v>
      </c>
      <c r="D519">
        <v>9</v>
      </c>
      <c r="E519" s="3">
        <v>10</v>
      </c>
    </row>
    <row r="520" spans="1:5" x14ac:dyDescent="0.2">
      <c r="A520">
        <v>4</v>
      </c>
      <c r="B520" t="s">
        <v>87</v>
      </c>
      <c r="C520">
        <v>0</v>
      </c>
      <c r="D520">
        <v>5</v>
      </c>
      <c r="E520" s="3">
        <v>10</v>
      </c>
    </row>
    <row r="521" spans="1:5" x14ac:dyDescent="0.2">
      <c r="A521">
        <v>5</v>
      </c>
      <c r="B521" t="s">
        <v>59</v>
      </c>
      <c r="C521">
        <v>0</v>
      </c>
      <c r="D521">
        <v>3</v>
      </c>
      <c r="E521" s="3">
        <v>10</v>
      </c>
    </row>
    <row r="522" spans="1:5" x14ac:dyDescent="0.2">
      <c r="A522">
        <v>6</v>
      </c>
      <c r="B522" t="s">
        <v>69</v>
      </c>
      <c r="C522">
        <v>0</v>
      </c>
      <c r="D522">
        <v>2</v>
      </c>
      <c r="E522" s="3">
        <v>10</v>
      </c>
    </row>
    <row r="523" spans="1:5" x14ac:dyDescent="0.2">
      <c r="A523">
        <v>7</v>
      </c>
      <c r="B523" t="s">
        <v>74</v>
      </c>
      <c r="C523">
        <v>0</v>
      </c>
      <c r="D523">
        <v>1</v>
      </c>
      <c r="E523" s="3">
        <v>10</v>
      </c>
    </row>
    <row r="524" spans="1:5" x14ac:dyDescent="0.2">
      <c r="A524">
        <v>1</v>
      </c>
      <c r="B524" t="s">
        <v>94</v>
      </c>
      <c r="C524">
        <v>5</v>
      </c>
      <c r="D524">
        <v>17</v>
      </c>
      <c r="E524" s="3">
        <v>11</v>
      </c>
    </row>
    <row r="525" spans="1:5" x14ac:dyDescent="0.2">
      <c r="A525">
        <v>2</v>
      </c>
      <c r="B525" t="s">
        <v>25</v>
      </c>
      <c r="C525">
        <v>1</v>
      </c>
      <c r="D525">
        <v>13</v>
      </c>
      <c r="E525" s="3">
        <v>11</v>
      </c>
    </row>
    <row r="526" spans="1:5" x14ac:dyDescent="0.2">
      <c r="A526">
        <v>3</v>
      </c>
      <c r="B526" t="s">
        <v>72</v>
      </c>
      <c r="C526">
        <v>0</v>
      </c>
      <c r="D526">
        <v>9</v>
      </c>
      <c r="E526" s="3">
        <v>11</v>
      </c>
    </row>
    <row r="527" spans="1:5" x14ac:dyDescent="0.2">
      <c r="A527">
        <v>4</v>
      </c>
      <c r="B527" t="s">
        <v>50</v>
      </c>
      <c r="C527">
        <v>0</v>
      </c>
      <c r="D527">
        <v>5</v>
      </c>
      <c r="E527" s="3">
        <v>11</v>
      </c>
    </row>
    <row r="528" spans="1:5" x14ac:dyDescent="0.2">
      <c r="A528">
        <v>5</v>
      </c>
      <c r="B528" t="s">
        <v>15</v>
      </c>
      <c r="C528">
        <v>0</v>
      </c>
      <c r="D528">
        <v>3</v>
      </c>
      <c r="E528" s="3">
        <v>11</v>
      </c>
    </row>
    <row r="529" spans="1:5" x14ac:dyDescent="0.2">
      <c r="A529">
        <v>6</v>
      </c>
      <c r="B529" t="s">
        <v>74</v>
      </c>
      <c r="C529">
        <v>0</v>
      </c>
      <c r="D529">
        <v>2</v>
      </c>
      <c r="E529" s="3">
        <v>11</v>
      </c>
    </row>
    <row r="530" spans="1:5" x14ac:dyDescent="0.2">
      <c r="A530">
        <v>7</v>
      </c>
      <c r="B530" t="s">
        <v>68</v>
      </c>
      <c r="C530">
        <v>0</v>
      </c>
      <c r="D530">
        <v>1</v>
      </c>
      <c r="E530" s="3">
        <v>11</v>
      </c>
    </row>
    <row r="531" spans="1:5" x14ac:dyDescent="0.2">
      <c r="A531">
        <v>1</v>
      </c>
      <c r="B531" t="s">
        <v>60</v>
      </c>
      <c r="C531">
        <v>3</v>
      </c>
      <c r="D531">
        <v>17</v>
      </c>
      <c r="E531" s="3">
        <v>11</v>
      </c>
    </row>
    <row r="532" spans="1:5" x14ac:dyDescent="0.2">
      <c r="A532">
        <v>2</v>
      </c>
      <c r="B532" t="s">
        <v>83</v>
      </c>
      <c r="C532">
        <v>2</v>
      </c>
      <c r="D532">
        <v>13</v>
      </c>
      <c r="E532" s="3">
        <v>11</v>
      </c>
    </row>
    <row r="533" spans="1:5" x14ac:dyDescent="0.2">
      <c r="A533">
        <v>3</v>
      </c>
      <c r="B533" t="s">
        <v>8</v>
      </c>
      <c r="C533">
        <v>0</v>
      </c>
      <c r="D533">
        <v>9</v>
      </c>
      <c r="E533" s="3">
        <v>11</v>
      </c>
    </row>
    <row r="534" spans="1:5" x14ac:dyDescent="0.2">
      <c r="A534">
        <v>4</v>
      </c>
      <c r="B534" t="s">
        <v>31</v>
      </c>
      <c r="C534">
        <v>1</v>
      </c>
      <c r="D534">
        <v>5</v>
      </c>
      <c r="E534" s="3">
        <v>11</v>
      </c>
    </row>
    <row r="535" spans="1:5" x14ac:dyDescent="0.2">
      <c r="A535">
        <v>5</v>
      </c>
      <c r="B535" t="s">
        <v>101</v>
      </c>
      <c r="C535">
        <v>0</v>
      </c>
      <c r="D535">
        <v>3</v>
      </c>
      <c r="E535" s="3">
        <v>11</v>
      </c>
    </row>
    <row r="536" spans="1:5" x14ac:dyDescent="0.2">
      <c r="A536">
        <v>6</v>
      </c>
      <c r="B536" t="s">
        <v>18</v>
      </c>
      <c r="C536">
        <v>0</v>
      </c>
      <c r="D536">
        <v>2</v>
      </c>
      <c r="E536" s="3">
        <v>11</v>
      </c>
    </row>
    <row r="537" spans="1:5" x14ac:dyDescent="0.2">
      <c r="A537">
        <v>7</v>
      </c>
      <c r="B537" t="s">
        <v>22</v>
      </c>
      <c r="C537">
        <v>0</v>
      </c>
      <c r="D537">
        <v>1</v>
      </c>
      <c r="E537" s="3">
        <v>11</v>
      </c>
    </row>
    <row r="538" spans="1:5" x14ac:dyDescent="0.2">
      <c r="A538">
        <v>1</v>
      </c>
      <c r="B538" t="s">
        <v>12</v>
      </c>
      <c r="C538">
        <v>4</v>
      </c>
      <c r="D538">
        <v>17</v>
      </c>
      <c r="E538" s="3">
        <v>11</v>
      </c>
    </row>
    <row r="539" spans="1:5" x14ac:dyDescent="0.2">
      <c r="A539">
        <v>2</v>
      </c>
      <c r="B539" t="s">
        <v>23</v>
      </c>
      <c r="C539">
        <v>1</v>
      </c>
      <c r="D539">
        <v>13</v>
      </c>
      <c r="E539" s="3">
        <v>11</v>
      </c>
    </row>
    <row r="540" spans="1:5" x14ac:dyDescent="0.2">
      <c r="A540">
        <v>3</v>
      </c>
      <c r="B540" t="s">
        <v>59</v>
      </c>
      <c r="C540">
        <v>1</v>
      </c>
      <c r="D540">
        <v>9</v>
      </c>
      <c r="E540" s="3">
        <v>11</v>
      </c>
    </row>
    <row r="541" spans="1:5" x14ac:dyDescent="0.2">
      <c r="A541">
        <v>4</v>
      </c>
      <c r="B541" t="s">
        <v>69</v>
      </c>
      <c r="C541">
        <v>0</v>
      </c>
      <c r="D541">
        <v>5</v>
      </c>
      <c r="E541" s="3">
        <v>11</v>
      </c>
    </row>
    <row r="542" spans="1:5" x14ac:dyDescent="0.2">
      <c r="A542">
        <v>5</v>
      </c>
      <c r="B542" t="s">
        <v>54</v>
      </c>
      <c r="C542">
        <v>0</v>
      </c>
      <c r="D542">
        <v>3</v>
      </c>
      <c r="E542" s="3">
        <v>11</v>
      </c>
    </row>
    <row r="543" spans="1:5" x14ac:dyDescent="0.2">
      <c r="A543">
        <v>6</v>
      </c>
      <c r="B543" t="s">
        <v>32</v>
      </c>
      <c r="C543">
        <v>0</v>
      </c>
      <c r="D543">
        <v>2</v>
      </c>
      <c r="E543" s="3">
        <v>11</v>
      </c>
    </row>
    <row r="544" spans="1:5" x14ac:dyDescent="0.2">
      <c r="A544">
        <v>7</v>
      </c>
      <c r="B544" t="s">
        <v>88</v>
      </c>
      <c r="C544">
        <v>0</v>
      </c>
      <c r="D544">
        <v>1</v>
      </c>
      <c r="E544" s="3">
        <v>11</v>
      </c>
    </row>
    <row r="545" spans="1:5" x14ac:dyDescent="0.2">
      <c r="A545">
        <v>1</v>
      </c>
      <c r="B545" t="s">
        <v>42</v>
      </c>
      <c r="C545">
        <v>3</v>
      </c>
      <c r="D545">
        <v>17</v>
      </c>
      <c r="E545" s="3">
        <v>11</v>
      </c>
    </row>
    <row r="546" spans="1:5" x14ac:dyDescent="0.2">
      <c r="A546">
        <v>2</v>
      </c>
      <c r="B546" t="s">
        <v>75</v>
      </c>
      <c r="C546">
        <v>2</v>
      </c>
      <c r="D546">
        <v>13</v>
      </c>
      <c r="E546" s="3">
        <v>11</v>
      </c>
    </row>
    <row r="547" spans="1:5" x14ac:dyDescent="0.2">
      <c r="A547">
        <v>3</v>
      </c>
      <c r="B547" t="s">
        <v>63</v>
      </c>
      <c r="C547">
        <v>0</v>
      </c>
      <c r="D547">
        <v>9</v>
      </c>
      <c r="E547" s="3">
        <v>11</v>
      </c>
    </row>
    <row r="548" spans="1:5" x14ac:dyDescent="0.2">
      <c r="A548">
        <v>4</v>
      </c>
      <c r="B548" t="s">
        <v>33</v>
      </c>
      <c r="C548">
        <v>1</v>
      </c>
      <c r="D548">
        <v>5</v>
      </c>
      <c r="E548" s="3">
        <v>11</v>
      </c>
    </row>
    <row r="549" spans="1:5" x14ac:dyDescent="0.2">
      <c r="A549">
        <v>5</v>
      </c>
      <c r="B549" t="s">
        <v>26</v>
      </c>
      <c r="C549">
        <v>0</v>
      </c>
      <c r="D549">
        <v>3</v>
      </c>
      <c r="E549" s="3">
        <v>11</v>
      </c>
    </row>
    <row r="550" spans="1:5" x14ac:dyDescent="0.2">
      <c r="A550">
        <v>6</v>
      </c>
      <c r="B550" t="s">
        <v>5</v>
      </c>
      <c r="C550">
        <v>0</v>
      </c>
      <c r="D550">
        <v>2</v>
      </c>
      <c r="E550" s="3">
        <v>11</v>
      </c>
    </row>
    <row r="551" spans="1:5" x14ac:dyDescent="0.2">
      <c r="A551">
        <v>7</v>
      </c>
      <c r="B551" t="s">
        <v>27</v>
      </c>
      <c r="C551">
        <v>0</v>
      </c>
      <c r="D551">
        <v>1</v>
      </c>
      <c r="E551" s="3">
        <v>11</v>
      </c>
    </row>
    <row r="552" spans="1:5" x14ac:dyDescent="0.2">
      <c r="A552">
        <v>1</v>
      </c>
      <c r="B552" t="s">
        <v>45</v>
      </c>
      <c r="C552">
        <v>3</v>
      </c>
      <c r="D552">
        <v>16</v>
      </c>
      <c r="E552" s="3">
        <v>11</v>
      </c>
    </row>
    <row r="553" spans="1:5" x14ac:dyDescent="0.2">
      <c r="A553">
        <v>2</v>
      </c>
      <c r="B553" t="s">
        <v>40</v>
      </c>
      <c r="C553">
        <v>2</v>
      </c>
      <c r="D553">
        <v>12</v>
      </c>
      <c r="E553" s="3">
        <v>11</v>
      </c>
    </row>
    <row r="554" spans="1:5" x14ac:dyDescent="0.2">
      <c r="A554">
        <v>3</v>
      </c>
      <c r="B554" t="s">
        <v>105</v>
      </c>
      <c r="C554">
        <v>0</v>
      </c>
      <c r="D554">
        <v>8</v>
      </c>
      <c r="E554" s="3">
        <v>11</v>
      </c>
    </row>
    <row r="555" spans="1:5" x14ac:dyDescent="0.2">
      <c r="A555">
        <v>4</v>
      </c>
      <c r="B555" t="s">
        <v>81</v>
      </c>
      <c r="C555">
        <v>0</v>
      </c>
      <c r="D555">
        <v>4</v>
      </c>
      <c r="E555" s="3">
        <v>11</v>
      </c>
    </row>
    <row r="556" spans="1:5" x14ac:dyDescent="0.2">
      <c r="A556">
        <v>5</v>
      </c>
      <c r="B556" t="s">
        <v>6</v>
      </c>
      <c r="C556">
        <v>0</v>
      </c>
      <c r="D556">
        <v>2</v>
      </c>
      <c r="E556" s="3">
        <v>11</v>
      </c>
    </row>
    <row r="557" spans="1:5" x14ac:dyDescent="0.2">
      <c r="A557">
        <v>6</v>
      </c>
      <c r="B557" t="s">
        <v>9</v>
      </c>
      <c r="C557">
        <v>0</v>
      </c>
      <c r="D557">
        <v>1</v>
      </c>
      <c r="E557" s="3">
        <v>11</v>
      </c>
    </row>
    <row r="558" spans="1:5" x14ac:dyDescent="0.2">
      <c r="A558">
        <v>1</v>
      </c>
      <c r="B558" t="s">
        <v>14</v>
      </c>
      <c r="C558">
        <v>2</v>
      </c>
      <c r="D558">
        <v>16</v>
      </c>
      <c r="E558" s="3">
        <v>11</v>
      </c>
    </row>
    <row r="559" spans="1:5" x14ac:dyDescent="0.2">
      <c r="A559">
        <v>2</v>
      </c>
      <c r="B559" t="s">
        <v>80</v>
      </c>
      <c r="C559">
        <v>2</v>
      </c>
      <c r="D559">
        <v>12</v>
      </c>
      <c r="E559" s="3">
        <v>11</v>
      </c>
    </row>
    <row r="560" spans="1:5" x14ac:dyDescent="0.2">
      <c r="A560">
        <v>3</v>
      </c>
      <c r="B560" t="s">
        <v>46</v>
      </c>
      <c r="C560">
        <v>1</v>
      </c>
      <c r="D560">
        <v>8</v>
      </c>
      <c r="E560" s="3">
        <v>11</v>
      </c>
    </row>
    <row r="561" spans="1:5" x14ac:dyDescent="0.2">
      <c r="A561">
        <v>4</v>
      </c>
      <c r="B561" t="s">
        <v>41</v>
      </c>
      <c r="C561">
        <v>0</v>
      </c>
      <c r="D561">
        <v>4</v>
      </c>
      <c r="E561" s="3">
        <v>11</v>
      </c>
    </row>
    <row r="562" spans="1:5" x14ac:dyDescent="0.2">
      <c r="A562">
        <v>5</v>
      </c>
      <c r="B562" t="s">
        <v>21</v>
      </c>
      <c r="C562">
        <v>0</v>
      </c>
      <c r="D562">
        <v>2</v>
      </c>
      <c r="E562" s="3">
        <v>11</v>
      </c>
    </row>
    <row r="563" spans="1:5" x14ac:dyDescent="0.2">
      <c r="A563">
        <v>6</v>
      </c>
      <c r="B563" t="s">
        <v>47</v>
      </c>
      <c r="C563">
        <v>0</v>
      </c>
      <c r="D563">
        <v>1</v>
      </c>
      <c r="E563" s="3">
        <v>11</v>
      </c>
    </row>
    <row r="564" spans="1:5" x14ac:dyDescent="0.2">
      <c r="A564">
        <v>1</v>
      </c>
      <c r="B564" t="s">
        <v>73</v>
      </c>
      <c r="C564">
        <v>4</v>
      </c>
      <c r="D564">
        <v>16</v>
      </c>
      <c r="E564" s="3">
        <v>11</v>
      </c>
    </row>
    <row r="565" spans="1:5" x14ac:dyDescent="0.2">
      <c r="A565">
        <v>2</v>
      </c>
      <c r="B565" t="s">
        <v>65</v>
      </c>
      <c r="C565">
        <v>1</v>
      </c>
      <c r="D565">
        <v>12</v>
      </c>
      <c r="E565" s="3">
        <v>11</v>
      </c>
    </row>
    <row r="566" spans="1:5" x14ac:dyDescent="0.2">
      <c r="A566">
        <v>3</v>
      </c>
      <c r="B566" t="s">
        <v>77</v>
      </c>
      <c r="C566">
        <v>0</v>
      </c>
      <c r="D566">
        <v>8</v>
      </c>
      <c r="E566" s="3">
        <v>11</v>
      </c>
    </row>
    <row r="567" spans="1:5" x14ac:dyDescent="0.2">
      <c r="A567">
        <v>4</v>
      </c>
      <c r="B567" t="s">
        <v>35</v>
      </c>
      <c r="C567">
        <v>0</v>
      </c>
      <c r="D567">
        <v>4</v>
      </c>
      <c r="E567" s="3">
        <v>11</v>
      </c>
    </row>
    <row r="568" spans="1:5" x14ac:dyDescent="0.2">
      <c r="A568">
        <v>5</v>
      </c>
      <c r="B568" t="s">
        <v>39</v>
      </c>
      <c r="C568">
        <v>0</v>
      </c>
      <c r="D568">
        <v>2</v>
      </c>
      <c r="E568" s="3">
        <v>11</v>
      </c>
    </row>
    <row r="569" spans="1:5" x14ac:dyDescent="0.2">
      <c r="A569">
        <v>6</v>
      </c>
      <c r="B569" t="s">
        <v>55</v>
      </c>
      <c r="C569">
        <v>0</v>
      </c>
      <c r="D569">
        <v>1</v>
      </c>
      <c r="E569" s="3">
        <v>11</v>
      </c>
    </row>
    <row r="570" spans="1:5" x14ac:dyDescent="0.2">
      <c r="A570">
        <v>1</v>
      </c>
      <c r="B570" t="s">
        <v>8</v>
      </c>
      <c r="C570">
        <v>4</v>
      </c>
      <c r="D570">
        <v>16</v>
      </c>
      <c r="E570" s="3">
        <v>12</v>
      </c>
    </row>
    <row r="571" spans="1:5" x14ac:dyDescent="0.2">
      <c r="A571">
        <v>2</v>
      </c>
      <c r="B571" t="s">
        <v>33</v>
      </c>
      <c r="C571">
        <v>0</v>
      </c>
      <c r="D571">
        <v>12</v>
      </c>
      <c r="E571" s="3">
        <v>12</v>
      </c>
    </row>
    <row r="572" spans="1:5" x14ac:dyDescent="0.2">
      <c r="A572">
        <v>3</v>
      </c>
      <c r="B572" t="s">
        <v>74</v>
      </c>
      <c r="C572">
        <v>1</v>
      </c>
      <c r="D572">
        <v>8</v>
      </c>
      <c r="E572" s="3">
        <v>12</v>
      </c>
    </row>
    <row r="573" spans="1:5" x14ac:dyDescent="0.2">
      <c r="A573">
        <v>4</v>
      </c>
      <c r="B573" t="s">
        <v>19</v>
      </c>
      <c r="C573">
        <v>0</v>
      </c>
      <c r="D573">
        <v>4</v>
      </c>
      <c r="E573" s="3">
        <v>12</v>
      </c>
    </row>
    <row r="574" spans="1:5" x14ac:dyDescent="0.2">
      <c r="A574">
        <v>5</v>
      </c>
      <c r="B574" t="s">
        <v>31</v>
      </c>
      <c r="C574">
        <v>0</v>
      </c>
      <c r="D574">
        <v>2</v>
      </c>
      <c r="E574" s="3">
        <v>12</v>
      </c>
    </row>
    <row r="575" spans="1:5" x14ac:dyDescent="0.2">
      <c r="A575">
        <v>6</v>
      </c>
      <c r="B575" t="s">
        <v>92</v>
      </c>
      <c r="C575">
        <v>0</v>
      </c>
      <c r="D575">
        <v>1</v>
      </c>
      <c r="E575" s="3">
        <v>12</v>
      </c>
    </row>
    <row r="576" spans="1:5" x14ac:dyDescent="0.2">
      <c r="A576">
        <v>1</v>
      </c>
      <c r="B576" t="s">
        <v>12</v>
      </c>
      <c r="C576">
        <v>4</v>
      </c>
      <c r="D576">
        <v>16</v>
      </c>
      <c r="E576" s="3">
        <v>12</v>
      </c>
    </row>
    <row r="577" spans="1:5" x14ac:dyDescent="0.2">
      <c r="A577">
        <v>2</v>
      </c>
      <c r="B577" t="s">
        <v>101</v>
      </c>
      <c r="C577">
        <v>0</v>
      </c>
      <c r="D577">
        <v>12</v>
      </c>
      <c r="E577" s="3">
        <v>12</v>
      </c>
    </row>
    <row r="578" spans="1:5" x14ac:dyDescent="0.2">
      <c r="A578">
        <v>3</v>
      </c>
      <c r="B578" t="s">
        <v>91</v>
      </c>
      <c r="C578">
        <v>1</v>
      </c>
      <c r="D578">
        <v>8</v>
      </c>
      <c r="E578" s="3">
        <v>12</v>
      </c>
    </row>
    <row r="579" spans="1:5" x14ac:dyDescent="0.2">
      <c r="A579">
        <v>4</v>
      </c>
      <c r="B579" t="s">
        <v>55</v>
      </c>
      <c r="C579">
        <v>0</v>
      </c>
      <c r="D579">
        <v>4</v>
      </c>
      <c r="E579" s="3">
        <v>12</v>
      </c>
    </row>
    <row r="580" spans="1:5" x14ac:dyDescent="0.2">
      <c r="A580">
        <v>5</v>
      </c>
      <c r="B580" t="s">
        <v>21</v>
      </c>
      <c r="C580">
        <v>0</v>
      </c>
      <c r="D580">
        <v>2</v>
      </c>
      <c r="E580" s="3">
        <v>12</v>
      </c>
    </row>
    <row r="581" spans="1:5" x14ac:dyDescent="0.2">
      <c r="A581">
        <v>6</v>
      </c>
      <c r="B581" t="s">
        <v>68</v>
      </c>
      <c r="C581">
        <v>0</v>
      </c>
      <c r="D581">
        <v>1</v>
      </c>
      <c r="E581" s="3">
        <v>12</v>
      </c>
    </row>
    <row r="582" spans="1:5" x14ac:dyDescent="0.2">
      <c r="A582">
        <v>1</v>
      </c>
      <c r="B582" t="s">
        <v>50</v>
      </c>
      <c r="C582">
        <v>1</v>
      </c>
      <c r="D582">
        <v>17</v>
      </c>
      <c r="E582" s="3">
        <v>12</v>
      </c>
    </row>
    <row r="583" spans="1:5" x14ac:dyDescent="0.2">
      <c r="A583">
        <v>2</v>
      </c>
      <c r="B583" t="s">
        <v>46</v>
      </c>
      <c r="C583">
        <v>1</v>
      </c>
      <c r="D583">
        <v>13</v>
      </c>
      <c r="E583" s="3">
        <v>12</v>
      </c>
    </row>
    <row r="584" spans="1:5" x14ac:dyDescent="0.2">
      <c r="A584">
        <v>3</v>
      </c>
      <c r="B584" t="s">
        <v>26</v>
      </c>
      <c r="C584">
        <v>3</v>
      </c>
      <c r="D584">
        <v>9</v>
      </c>
      <c r="E584" s="3">
        <v>12</v>
      </c>
    </row>
    <row r="585" spans="1:5" x14ac:dyDescent="0.2">
      <c r="A585">
        <v>4</v>
      </c>
      <c r="B585" t="s">
        <v>28</v>
      </c>
      <c r="C585">
        <v>1</v>
      </c>
      <c r="D585">
        <v>5</v>
      </c>
      <c r="E585" s="3">
        <v>12</v>
      </c>
    </row>
    <row r="586" spans="1:5" x14ac:dyDescent="0.2">
      <c r="A586">
        <v>5</v>
      </c>
      <c r="B586" t="s">
        <v>15</v>
      </c>
      <c r="C586">
        <v>0</v>
      </c>
      <c r="D586">
        <v>3</v>
      </c>
      <c r="E586" s="3">
        <v>12</v>
      </c>
    </row>
    <row r="587" spans="1:5" x14ac:dyDescent="0.2">
      <c r="A587">
        <v>6</v>
      </c>
      <c r="B587" t="s">
        <v>88</v>
      </c>
      <c r="C587">
        <v>0</v>
      </c>
      <c r="D587">
        <v>2</v>
      </c>
      <c r="E587" s="3">
        <v>12</v>
      </c>
    </row>
    <row r="588" spans="1:5" x14ac:dyDescent="0.2">
      <c r="A588">
        <v>7</v>
      </c>
      <c r="B588" t="s">
        <v>9</v>
      </c>
      <c r="C588">
        <v>0</v>
      </c>
      <c r="D588">
        <v>1</v>
      </c>
      <c r="E588" s="3">
        <v>12</v>
      </c>
    </row>
    <row r="589" spans="1:5" x14ac:dyDescent="0.2">
      <c r="A589">
        <v>1</v>
      </c>
      <c r="B589" t="s">
        <v>35</v>
      </c>
      <c r="C589">
        <v>5</v>
      </c>
      <c r="D589">
        <v>16</v>
      </c>
      <c r="E589" s="3">
        <v>12</v>
      </c>
    </row>
    <row r="590" spans="1:5" x14ac:dyDescent="0.2">
      <c r="A590">
        <v>2</v>
      </c>
      <c r="B590" t="s">
        <v>69</v>
      </c>
      <c r="C590">
        <v>0</v>
      </c>
      <c r="D590">
        <v>12</v>
      </c>
      <c r="E590" s="3">
        <v>12</v>
      </c>
    </row>
    <row r="591" spans="1:5" x14ac:dyDescent="0.2">
      <c r="A591">
        <v>3</v>
      </c>
      <c r="B591" t="s">
        <v>47</v>
      </c>
      <c r="C591">
        <v>0</v>
      </c>
      <c r="D591">
        <v>8</v>
      </c>
      <c r="E591" s="3">
        <v>12</v>
      </c>
    </row>
    <row r="592" spans="1:5" x14ac:dyDescent="0.2">
      <c r="A592">
        <v>4</v>
      </c>
      <c r="B592" t="s">
        <v>66</v>
      </c>
      <c r="C592">
        <v>0</v>
      </c>
      <c r="D592">
        <v>4</v>
      </c>
      <c r="E592" s="3">
        <v>12</v>
      </c>
    </row>
    <row r="593" spans="1:5" x14ac:dyDescent="0.2">
      <c r="A593">
        <v>5</v>
      </c>
      <c r="B593" t="s">
        <v>14</v>
      </c>
      <c r="C593">
        <v>0</v>
      </c>
      <c r="D593">
        <v>2</v>
      </c>
      <c r="E593" s="3">
        <v>12</v>
      </c>
    </row>
    <row r="594" spans="1:5" x14ac:dyDescent="0.2">
      <c r="A594">
        <v>6</v>
      </c>
      <c r="B594" t="s">
        <v>103</v>
      </c>
      <c r="C594">
        <v>0</v>
      </c>
      <c r="D594">
        <v>1</v>
      </c>
      <c r="E594" s="3">
        <v>12</v>
      </c>
    </row>
    <row r="595" spans="1:5" x14ac:dyDescent="0.2">
      <c r="A595">
        <v>1</v>
      </c>
      <c r="B595" t="s">
        <v>6</v>
      </c>
      <c r="C595">
        <v>1</v>
      </c>
      <c r="D595">
        <v>17</v>
      </c>
      <c r="E595" s="3">
        <v>12</v>
      </c>
    </row>
    <row r="596" spans="1:5" x14ac:dyDescent="0.2">
      <c r="A596">
        <v>2</v>
      </c>
      <c r="B596" t="s">
        <v>40</v>
      </c>
      <c r="C596">
        <v>3</v>
      </c>
      <c r="D596">
        <v>13</v>
      </c>
      <c r="E596" s="3">
        <v>12</v>
      </c>
    </row>
    <row r="597" spans="1:5" x14ac:dyDescent="0.2">
      <c r="A597">
        <v>3</v>
      </c>
      <c r="B597" t="s">
        <v>39</v>
      </c>
      <c r="C597">
        <v>2</v>
      </c>
      <c r="D597">
        <v>9</v>
      </c>
      <c r="E597" s="3">
        <v>12</v>
      </c>
    </row>
    <row r="598" spans="1:5" x14ac:dyDescent="0.2">
      <c r="A598">
        <v>4</v>
      </c>
      <c r="B598" t="s">
        <v>42</v>
      </c>
      <c r="C598">
        <v>0</v>
      </c>
      <c r="D598">
        <v>5</v>
      </c>
      <c r="E598" s="3">
        <v>12</v>
      </c>
    </row>
    <row r="599" spans="1:5" x14ac:dyDescent="0.2">
      <c r="A599">
        <v>5</v>
      </c>
      <c r="B599" t="s">
        <v>63</v>
      </c>
      <c r="C599">
        <v>0</v>
      </c>
      <c r="D599">
        <v>3</v>
      </c>
      <c r="E599" s="3">
        <v>12</v>
      </c>
    </row>
    <row r="600" spans="1:5" x14ac:dyDescent="0.2">
      <c r="A600">
        <v>6</v>
      </c>
      <c r="B600" t="s">
        <v>81</v>
      </c>
      <c r="C600">
        <v>0</v>
      </c>
      <c r="D600">
        <v>2</v>
      </c>
      <c r="E600" s="3">
        <v>12</v>
      </c>
    </row>
    <row r="601" spans="1:5" x14ac:dyDescent="0.2">
      <c r="A601">
        <v>7</v>
      </c>
      <c r="B601" t="s">
        <v>23</v>
      </c>
      <c r="C601">
        <v>0</v>
      </c>
      <c r="D601">
        <v>1</v>
      </c>
      <c r="E601" s="3">
        <v>12</v>
      </c>
    </row>
    <row r="602" spans="1:5" x14ac:dyDescent="0.2">
      <c r="A602">
        <v>1</v>
      </c>
      <c r="B602" t="s">
        <v>59</v>
      </c>
      <c r="C602">
        <v>2</v>
      </c>
      <c r="D602">
        <v>16</v>
      </c>
      <c r="E602" s="3">
        <v>12</v>
      </c>
    </row>
    <row r="603" spans="1:5" x14ac:dyDescent="0.2">
      <c r="A603">
        <v>2</v>
      </c>
      <c r="B603" t="s">
        <v>41</v>
      </c>
      <c r="C603">
        <v>1</v>
      </c>
      <c r="D603">
        <v>12</v>
      </c>
      <c r="E603" s="3">
        <v>12</v>
      </c>
    </row>
    <row r="604" spans="1:5" x14ac:dyDescent="0.2">
      <c r="A604">
        <v>3</v>
      </c>
      <c r="B604" t="s">
        <v>87</v>
      </c>
      <c r="C604">
        <v>0</v>
      </c>
      <c r="D604">
        <v>8</v>
      </c>
      <c r="E604" s="3">
        <v>12</v>
      </c>
    </row>
    <row r="605" spans="1:5" x14ac:dyDescent="0.2">
      <c r="A605">
        <v>4</v>
      </c>
      <c r="B605" t="s">
        <v>53</v>
      </c>
      <c r="C605">
        <v>2</v>
      </c>
      <c r="D605">
        <v>4</v>
      </c>
      <c r="E605" s="3">
        <v>12</v>
      </c>
    </row>
    <row r="606" spans="1:5" x14ac:dyDescent="0.2">
      <c r="A606">
        <v>5</v>
      </c>
      <c r="B606" t="s">
        <v>75</v>
      </c>
      <c r="C606">
        <v>0</v>
      </c>
      <c r="D606">
        <v>2</v>
      </c>
      <c r="E606" s="3">
        <v>12</v>
      </c>
    </row>
    <row r="607" spans="1:5" x14ac:dyDescent="0.2">
      <c r="A607">
        <v>6</v>
      </c>
      <c r="B607" t="s">
        <v>22</v>
      </c>
      <c r="C607">
        <v>0</v>
      </c>
      <c r="D607">
        <v>1</v>
      </c>
      <c r="E607" s="3">
        <v>12</v>
      </c>
    </row>
    <row r="608" spans="1:5" x14ac:dyDescent="0.2">
      <c r="A608">
        <v>1</v>
      </c>
      <c r="B608" t="s">
        <v>45</v>
      </c>
      <c r="C608">
        <v>2</v>
      </c>
      <c r="D608">
        <v>17</v>
      </c>
      <c r="E608" s="3">
        <v>12</v>
      </c>
    </row>
    <row r="609" spans="1:5" x14ac:dyDescent="0.2">
      <c r="A609">
        <v>2</v>
      </c>
      <c r="B609" t="s">
        <v>27</v>
      </c>
      <c r="C609">
        <v>2</v>
      </c>
      <c r="D609">
        <v>13</v>
      </c>
      <c r="E609" s="3">
        <v>12</v>
      </c>
    </row>
    <row r="610" spans="1:5" x14ac:dyDescent="0.2">
      <c r="A610">
        <v>3</v>
      </c>
      <c r="B610" t="s">
        <v>54</v>
      </c>
      <c r="C610">
        <v>0</v>
      </c>
      <c r="D610">
        <v>9</v>
      </c>
      <c r="E610" s="3">
        <v>12</v>
      </c>
    </row>
    <row r="611" spans="1:5" x14ac:dyDescent="0.2">
      <c r="A611">
        <v>4</v>
      </c>
      <c r="B611" t="s">
        <v>32</v>
      </c>
      <c r="C611">
        <v>1</v>
      </c>
      <c r="D611">
        <v>5</v>
      </c>
      <c r="E611" s="3">
        <v>12</v>
      </c>
    </row>
    <row r="612" spans="1:5" x14ac:dyDescent="0.2">
      <c r="A612">
        <v>5</v>
      </c>
      <c r="B612" t="s">
        <v>25</v>
      </c>
      <c r="C612">
        <v>0</v>
      </c>
      <c r="D612">
        <v>3</v>
      </c>
      <c r="E612" s="3">
        <v>12</v>
      </c>
    </row>
    <row r="613" spans="1:5" x14ac:dyDescent="0.2">
      <c r="A613">
        <v>6</v>
      </c>
      <c r="B613" t="s">
        <v>77</v>
      </c>
      <c r="C613">
        <v>0</v>
      </c>
      <c r="D613">
        <v>2</v>
      </c>
      <c r="E613" s="3">
        <v>12</v>
      </c>
    </row>
    <row r="614" spans="1:5" x14ac:dyDescent="0.2">
      <c r="A614">
        <v>7</v>
      </c>
      <c r="B614" t="s">
        <v>52</v>
      </c>
      <c r="C614">
        <v>0</v>
      </c>
      <c r="D614">
        <v>1</v>
      </c>
      <c r="E614" s="3">
        <v>12</v>
      </c>
    </row>
    <row r="615" spans="1:5" x14ac:dyDescent="0.2">
      <c r="A615">
        <v>1</v>
      </c>
      <c r="B615" t="s">
        <v>48</v>
      </c>
      <c r="C615">
        <v>3</v>
      </c>
      <c r="D615">
        <v>16</v>
      </c>
      <c r="E615" s="3">
        <v>13</v>
      </c>
    </row>
    <row r="616" spans="1:5" x14ac:dyDescent="0.2">
      <c r="A616">
        <v>2</v>
      </c>
      <c r="B616" t="s">
        <v>21</v>
      </c>
      <c r="C616">
        <v>1</v>
      </c>
      <c r="D616">
        <v>12</v>
      </c>
      <c r="E616" s="3">
        <v>13</v>
      </c>
    </row>
    <row r="617" spans="1:5" x14ac:dyDescent="0.2">
      <c r="A617">
        <v>3</v>
      </c>
      <c r="B617" t="s">
        <v>106</v>
      </c>
      <c r="C617">
        <v>0</v>
      </c>
      <c r="D617">
        <v>8</v>
      </c>
      <c r="E617" s="3">
        <v>13</v>
      </c>
    </row>
    <row r="618" spans="1:5" x14ac:dyDescent="0.2">
      <c r="A618">
        <v>4</v>
      </c>
      <c r="B618" t="s">
        <v>23</v>
      </c>
      <c r="C618">
        <v>0</v>
      </c>
      <c r="D618">
        <v>4</v>
      </c>
      <c r="E618" s="3">
        <v>13</v>
      </c>
    </row>
    <row r="619" spans="1:5" x14ac:dyDescent="0.2">
      <c r="A619">
        <v>5</v>
      </c>
      <c r="B619" t="s">
        <v>9</v>
      </c>
      <c r="C619">
        <v>1</v>
      </c>
      <c r="D619">
        <v>2</v>
      </c>
      <c r="E619" s="3">
        <v>13</v>
      </c>
    </row>
    <row r="620" spans="1:5" x14ac:dyDescent="0.2">
      <c r="A620">
        <v>6</v>
      </c>
      <c r="B620" t="s">
        <v>103</v>
      </c>
      <c r="C620">
        <v>0</v>
      </c>
      <c r="D620">
        <v>1</v>
      </c>
      <c r="E620" s="3">
        <v>13</v>
      </c>
    </row>
    <row r="621" spans="1:5" x14ac:dyDescent="0.2">
      <c r="A621">
        <v>1</v>
      </c>
      <c r="B621" t="s">
        <v>8</v>
      </c>
      <c r="C621">
        <v>2</v>
      </c>
      <c r="D621">
        <v>17</v>
      </c>
      <c r="E621" s="3">
        <v>13</v>
      </c>
    </row>
    <row r="622" spans="1:5" x14ac:dyDescent="0.2">
      <c r="A622">
        <v>2</v>
      </c>
      <c r="B622" t="s">
        <v>107</v>
      </c>
      <c r="C622">
        <v>1</v>
      </c>
      <c r="D622">
        <v>13</v>
      </c>
      <c r="E622" s="3">
        <v>13</v>
      </c>
    </row>
    <row r="623" spans="1:5" x14ac:dyDescent="0.2">
      <c r="A623">
        <v>3</v>
      </c>
      <c r="B623" t="s">
        <v>54</v>
      </c>
      <c r="C623">
        <v>1</v>
      </c>
      <c r="D623">
        <v>9</v>
      </c>
      <c r="E623" s="3">
        <v>13</v>
      </c>
    </row>
    <row r="624" spans="1:5" x14ac:dyDescent="0.2">
      <c r="A624">
        <v>4</v>
      </c>
      <c r="B624" t="s">
        <v>74</v>
      </c>
      <c r="C624">
        <v>1</v>
      </c>
      <c r="D624">
        <v>5</v>
      </c>
      <c r="E624" s="3">
        <v>13</v>
      </c>
    </row>
    <row r="625" spans="1:5" x14ac:dyDescent="0.2">
      <c r="A625">
        <v>5</v>
      </c>
      <c r="B625" t="s">
        <v>19</v>
      </c>
      <c r="C625">
        <v>1</v>
      </c>
      <c r="D625">
        <v>3</v>
      </c>
      <c r="E625" s="3">
        <v>13</v>
      </c>
    </row>
    <row r="626" spans="1:5" x14ac:dyDescent="0.2">
      <c r="A626">
        <v>6</v>
      </c>
      <c r="B626" t="s">
        <v>42</v>
      </c>
      <c r="C626">
        <v>0</v>
      </c>
      <c r="D626">
        <v>2</v>
      </c>
      <c r="E626" s="3">
        <v>13</v>
      </c>
    </row>
    <row r="627" spans="1:5" x14ac:dyDescent="0.2">
      <c r="A627">
        <v>7</v>
      </c>
      <c r="B627" t="s">
        <v>52</v>
      </c>
      <c r="C627">
        <v>0</v>
      </c>
      <c r="D627">
        <v>1</v>
      </c>
      <c r="E627" s="3">
        <v>13</v>
      </c>
    </row>
    <row r="628" spans="1:5" x14ac:dyDescent="0.2">
      <c r="A628">
        <v>1</v>
      </c>
      <c r="B628" t="s">
        <v>101</v>
      </c>
      <c r="C628">
        <v>3</v>
      </c>
      <c r="D628">
        <v>17</v>
      </c>
      <c r="E628" s="3">
        <v>13</v>
      </c>
    </row>
    <row r="629" spans="1:5" x14ac:dyDescent="0.2">
      <c r="A629">
        <v>2</v>
      </c>
      <c r="B629" t="s">
        <v>77</v>
      </c>
      <c r="C629">
        <v>1</v>
      </c>
      <c r="D629">
        <v>13</v>
      </c>
      <c r="E629" s="3">
        <v>13</v>
      </c>
    </row>
    <row r="630" spans="1:5" x14ac:dyDescent="0.2">
      <c r="A630">
        <v>3</v>
      </c>
      <c r="B630" t="s">
        <v>41</v>
      </c>
      <c r="C630">
        <v>0</v>
      </c>
      <c r="D630">
        <v>9</v>
      </c>
      <c r="E630" s="3">
        <v>13</v>
      </c>
    </row>
    <row r="631" spans="1:5" x14ac:dyDescent="0.2">
      <c r="A631">
        <v>4</v>
      </c>
      <c r="B631" t="s">
        <v>14</v>
      </c>
      <c r="C631">
        <v>1</v>
      </c>
      <c r="D631">
        <v>5</v>
      </c>
      <c r="E631" s="3">
        <v>13</v>
      </c>
    </row>
    <row r="632" spans="1:5" x14ac:dyDescent="0.2">
      <c r="A632">
        <v>5</v>
      </c>
      <c r="B632" t="s">
        <v>91</v>
      </c>
      <c r="C632">
        <v>1</v>
      </c>
      <c r="D632">
        <v>3</v>
      </c>
      <c r="E632" s="3">
        <v>13</v>
      </c>
    </row>
    <row r="633" spans="1:5" x14ac:dyDescent="0.2">
      <c r="A633">
        <v>6</v>
      </c>
      <c r="B633" t="s">
        <v>73</v>
      </c>
      <c r="C633">
        <v>0</v>
      </c>
      <c r="D633">
        <v>2</v>
      </c>
      <c r="E633" s="3">
        <v>13</v>
      </c>
    </row>
    <row r="634" spans="1:5" x14ac:dyDescent="0.2">
      <c r="A634">
        <v>7</v>
      </c>
      <c r="B634" t="s">
        <v>63</v>
      </c>
      <c r="C634">
        <v>0</v>
      </c>
      <c r="D634">
        <v>1</v>
      </c>
      <c r="E634" s="3">
        <v>13</v>
      </c>
    </row>
    <row r="635" spans="1:5" x14ac:dyDescent="0.2">
      <c r="A635">
        <v>1</v>
      </c>
      <c r="B635" t="s">
        <v>28</v>
      </c>
      <c r="C635">
        <v>2</v>
      </c>
      <c r="D635">
        <v>17</v>
      </c>
      <c r="E635" s="3">
        <v>13</v>
      </c>
    </row>
    <row r="636" spans="1:5" x14ac:dyDescent="0.2">
      <c r="A636">
        <v>2</v>
      </c>
      <c r="B636" t="s">
        <v>18</v>
      </c>
      <c r="C636">
        <v>2</v>
      </c>
      <c r="D636">
        <v>13</v>
      </c>
      <c r="E636" s="3">
        <v>13</v>
      </c>
    </row>
    <row r="637" spans="1:5" x14ac:dyDescent="0.2">
      <c r="A637">
        <v>3</v>
      </c>
      <c r="B637" t="s">
        <v>40</v>
      </c>
      <c r="C637">
        <v>2</v>
      </c>
      <c r="D637">
        <v>9</v>
      </c>
      <c r="E637" s="3">
        <v>13</v>
      </c>
    </row>
    <row r="638" spans="1:5" x14ac:dyDescent="0.2">
      <c r="A638">
        <v>4</v>
      </c>
      <c r="B638" t="s">
        <v>32</v>
      </c>
      <c r="C638">
        <v>0</v>
      </c>
      <c r="D638">
        <v>5</v>
      </c>
      <c r="E638" s="3">
        <v>13</v>
      </c>
    </row>
    <row r="639" spans="1:5" x14ac:dyDescent="0.2">
      <c r="A639">
        <v>5</v>
      </c>
      <c r="B639" t="s">
        <v>15</v>
      </c>
      <c r="C639">
        <v>0</v>
      </c>
      <c r="D639">
        <v>3</v>
      </c>
      <c r="E639" s="3">
        <v>13</v>
      </c>
    </row>
    <row r="640" spans="1:5" x14ac:dyDescent="0.2">
      <c r="A640">
        <v>6</v>
      </c>
      <c r="B640" t="s">
        <v>76</v>
      </c>
      <c r="C640">
        <v>0</v>
      </c>
      <c r="D640">
        <v>2</v>
      </c>
      <c r="E640" s="3">
        <v>13</v>
      </c>
    </row>
    <row r="641" spans="1:5" x14ac:dyDescent="0.2">
      <c r="A641">
        <v>7</v>
      </c>
      <c r="B641" t="s">
        <v>27</v>
      </c>
      <c r="C641">
        <v>0</v>
      </c>
      <c r="D641">
        <v>1</v>
      </c>
      <c r="E641" s="3">
        <v>13</v>
      </c>
    </row>
    <row r="642" spans="1:5" x14ac:dyDescent="0.2">
      <c r="A642">
        <v>1</v>
      </c>
      <c r="B642" t="s">
        <v>65</v>
      </c>
      <c r="C642">
        <v>3</v>
      </c>
      <c r="D642">
        <v>17</v>
      </c>
      <c r="E642" s="3">
        <v>13</v>
      </c>
    </row>
    <row r="643" spans="1:5" x14ac:dyDescent="0.2">
      <c r="A643">
        <v>2</v>
      </c>
      <c r="B643" t="s">
        <v>50</v>
      </c>
      <c r="C643">
        <v>2</v>
      </c>
      <c r="D643">
        <v>13</v>
      </c>
      <c r="E643" s="3">
        <v>13</v>
      </c>
    </row>
    <row r="644" spans="1:5" x14ac:dyDescent="0.2">
      <c r="A644">
        <v>3</v>
      </c>
      <c r="B644" t="s">
        <v>12</v>
      </c>
      <c r="C644">
        <v>0</v>
      </c>
      <c r="D644">
        <v>9</v>
      </c>
      <c r="E644" s="3">
        <v>13</v>
      </c>
    </row>
    <row r="645" spans="1:5" x14ac:dyDescent="0.2">
      <c r="A645">
        <v>4</v>
      </c>
      <c r="B645" t="s">
        <v>26</v>
      </c>
      <c r="C645">
        <v>1</v>
      </c>
      <c r="D645">
        <v>5</v>
      </c>
      <c r="E645" s="3">
        <v>13</v>
      </c>
    </row>
    <row r="646" spans="1:5" x14ac:dyDescent="0.2">
      <c r="A646">
        <v>5</v>
      </c>
      <c r="B646" t="s">
        <v>47</v>
      </c>
      <c r="C646">
        <v>0</v>
      </c>
      <c r="D646">
        <v>3</v>
      </c>
      <c r="E646" s="3">
        <v>13</v>
      </c>
    </row>
    <row r="647" spans="1:5" x14ac:dyDescent="0.2">
      <c r="A647">
        <v>6</v>
      </c>
      <c r="B647" t="s">
        <v>75</v>
      </c>
      <c r="C647">
        <v>0</v>
      </c>
      <c r="D647">
        <v>2</v>
      </c>
      <c r="E647" s="3">
        <v>13</v>
      </c>
    </row>
    <row r="648" spans="1:5" x14ac:dyDescent="0.2">
      <c r="A648">
        <v>7</v>
      </c>
      <c r="B648" t="s">
        <v>59</v>
      </c>
      <c r="C648">
        <v>0</v>
      </c>
      <c r="D648">
        <v>1</v>
      </c>
      <c r="E648" s="3">
        <v>13</v>
      </c>
    </row>
    <row r="649" spans="1:5" x14ac:dyDescent="0.2">
      <c r="A649">
        <v>1</v>
      </c>
      <c r="B649" t="s">
        <v>6</v>
      </c>
      <c r="C649">
        <v>2</v>
      </c>
      <c r="D649">
        <v>17</v>
      </c>
      <c r="E649" s="3">
        <v>13</v>
      </c>
    </row>
    <row r="650" spans="1:5" x14ac:dyDescent="0.2">
      <c r="A650">
        <v>2</v>
      </c>
      <c r="B650" t="s">
        <v>25</v>
      </c>
      <c r="C650">
        <v>2</v>
      </c>
      <c r="D650">
        <v>13</v>
      </c>
      <c r="E650" s="3">
        <v>13</v>
      </c>
    </row>
    <row r="651" spans="1:5" x14ac:dyDescent="0.2">
      <c r="A651">
        <v>3</v>
      </c>
      <c r="B651" t="s">
        <v>88</v>
      </c>
      <c r="C651">
        <v>2</v>
      </c>
      <c r="D651">
        <v>9</v>
      </c>
      <c r="E651" s="3">
        <v>13</v>
      </c>
    </row>
    <row r="652" spans="1:5" x14ac:dyDescent="0.2">
      <c r="A652">
        <v>4</v>
      </c>
      <c r="B652" t="s">
        <v>46</v>
      </c>
      <c r="C652">
        <v>0</v>
      </c>
      <c r="D652">
        <v>5</v>
      </c>
      <c r="E652" s="3">
        <v>13</v>
      </c>
    </row>
    <row r="653" spans="1:5" x14ac:dyDescent="0.2">
      <c r="A653">
        <v>5</v>
      </c>
      <c r="B653" t="s">
        <v>69</v>
      </c>
      <c r="C653">
        <v>0</v>
      </c>
      <c r="D653">
        <v>3</v>
      </c>
      <c r="E653" s="3">
        <v>13</v>
      </c>
    </row>
    <row r="654" spans="1:5" x14ac:dyDescent="0.2">
      <c r="A654">
        <v>6</v>
      </c>
      <c r="B654" t="s">
        <v>53</v>
      </c>
      <c r="C654">
        <v>0</v>
      </c>
      <c r="D654">
        <v>2</v>
      </c>
      <c r="E654" s="3">
        <v>13</v>
      </c>
    </row>
    <row r="655" spans="1:5" x14ac:dyDescent="0.2">
      <c r="A655">
        <v>7</v>
      </c>
      <c r="B655" t="s">
        <v>22</v>
      </c>
      <c r="C655">
        <v>0</v>
      </c>
      <c r="D655">
        <v>1</v>
      </c>
      <c r="E655" s="3">
        <v>13</v>
      </c>
    </row>
    <row r="656" spans="1:5" x14ac:dyDescent="0.2">
      <c r="A656">
        <v>1</v>
      </c>
      <c r="B656" t="s">
        <v>87</v>
      </c>
      <c r="C656">
        <v>2</v>
      </c>
      <c r="D656">
        <v>17</v>
      </c>
      <c r="E656" s="3">
        <v>13</v>
      </c>
    </row>
    <row r="657" spans="1:5" x14ac:dyDescent="0.2">
      <c r="A657">
        <v>2</v>
      </c>
      <c r="B657" t="s">
        <v>68</v>
      </c>
      <c r="C657">
        <v>3</v>
      </c>
      <c r="D657">
        <v>13</v>
      </c>
      <c r="E657" s="3">
        <v>13</v>
      </c>
    </row>
    <row r="658" spans="1:5" x14ac:dyDescent="0.2">
      <c r="A658">
        <v>3</v>
      </c>
      <c r="B658" t="s">
        <v>55</v>
      </c>
      <c r="C658">
        <v>1</v>
      </c>
      <c r="D658">
        <v>9</v>
      </c>
      <c r="E658" s="3">
        <v>13</v>
      </c>
    </row>
    <row r="659" spans="1:5" x14ac:dyDescent="0.2">
      <c r="A659">
        <v>4</v>
      </c>
      <c r="B659" t="s">
        <v>66</v>
      </c>
      <c r="C659">
        <v>0</v>
      </c>
      <c r="D659">
        <v>5</v>
      </c>
      <c r="E659" s="3">
        <v>13</v>
      </c>
    </row>
    <row r="660" spans="1:5" x14ac:dyDescent="0.2">
      <c r="A660">
        <v>5</v>
      </c>
      <c r="B660" t="s">
        <v>31</v>
      </c>
      <c r="C660">
        <v>0</v>
      </c>
      <c r="D660">
        <v>3</v>
      </c>
      <c r="E660" s="3">
        <v>13</v>
      </c>
    </row>
    <row r="661" spans="1:5" x14ac:dyDescent="0.2">
      <c r="A661">
        <v>6</v>
      </c>
      <c r="B661" t="s">
        <v>39</v>
      </c>
      <c r="C661">
        <v>0</v>
      </c>
      <c r="D661">
        <v>2</v>
      </c>
      <c r="E661" s="3">
        <v>13</v>
      </c>
    </row>
    <row r="662" spans="1:5" x14ac:dyDescent="0.2">
      <c r="A662">
        <v>7</v>
      </c>
      <c r="B662" t="s">
        <v>45</v>
      </c>
      <c r="C662">
        <v>0</v>
      </c>
      <c r="D662">
        <v>1</v>
      </c>
      <c r="E662" s="3">
        <v>13</v>
      </c>
    </row>
    <row r="663" spans="1:5" x14ac:dyDescent="0.2">
      <c r="A663">
        <v>1</v>
      </c>
      <c r="B663" t="s">
        <v>45</v>
      </c>
      <c r="C663">
        <v>5</v>
      </c>
      <c r="D663">
        <v>16</v>
      </c>
      <c r="E663" s="3">
        <v>14</v>
      </c>
    </row>
    <row r="664" spans="1:5" x14ac:dyDescent="0.2">
      <c r="A664">
        <v>2</v>
      </c>
      <c r="B664" t="s">
        <v>25</v>
      </c>
      <c r="C664">
        <v>0</v>
      </c>
      <c r="D664">
        <v>12</v>
      </c>
      <c r="E664" s="3">
        <v>14</v>
      </c>
    </row>
    <row r="665" spans="1:5" x14ac:dyDescent="0.2">
      <c r="A665">
        <v>3</v>
      </c>
      <c r="B665" t="s">
        <v>74</v>
      </c>
      <c r="C665">
        <v>0</v>
      </c>
      <c r="D665">
        <v>8</v>
      </c>
      <c r="E665" s="3">
        <v>14</v>
      </c>
    </row>
    <row r="666" spans="1:5" x14ac:dyDescent="0.2">
      <c r="A666">
        <v>4</v>
      </c>
      <c r="B666" t="s">
        <v>31</v>
      </c>
      <c r="C666">
        <v>0</v>
      </c>
      <c r="D666">
        <v>4</v>
      </c>
      <c r="E666" s="3">
        <v>14</v>
      </c>
    </row>
    <row r="667" spans="1:5" x14ac:dyDescent="0.2">
      <c r="A667">
        <v>5</v>
      </c>
      <c r="B667" t="s">
        <v>96</v>
      </c>
      <c r="C667">
        <v>0</v>
      </c>
      <c r="D667">
        <v>2</v>
      </c>
      <c r="E667" s="3">
        <v>14</v>
      </c>
    </row>
    <row r="668" spans="1:5" x14ac:dyDescent="0.2">
      <c r="A668">
        <v>6</v>
      </c>
      <c r="B668" t="s">
        <v>28</v>
      </c>
      <c r="C668">
        <v>0</v>
      </c>
      <c r="D668">
        <v>1</v>
      </c>
      <c r="E668" s="3">
        <v>14</v>
      </c>
    </row>
    <row r="669" spans="1:5" x14ac:dyDescent="0.2">
      <c r="A669">
        <v>1</v>
      </c>
      <c r="B669" t="s">
        <v>41</v>
      </c>
      <c r="C669">
        <v>2</v>
      </c>
      <c r="D669">
        <v>16</v>
      </c>
      <c r="E669" s="3">
        <v>14</v>
      </c>
    </row>
    <row r="670" spans="1:5" x14ac:dyDescent="0.2">
      <c r="A670">
        <v>2</v>
      </c>
      <c r="B670" t="s">
        <v>101</v>
      </c>
      <c r="C670">
        <v>1</v>
      </c>
      <c r="D670">
        <v>12</v>
      </c>
      <c r="E670" s="3">
        <v>14</v>
      </c>
    </row>
    <row r="671" spans="1:5" x14ac:dyDescent="0.2">
      <c r="A671">
        <v>3</v>
      </c>
      <c r="B671" t="s">
        <v>102</v>
      </c>
      <c r="C671">
        <v>1</v>
      </c>
      <c r="D671">
        <v>8</v>
      </c>
      <c r="E671" s="3">
        <v>14</v>
      </c>
    </row>
    <row r="672" spans="1:5" x14ac:dyDescent="0.2">
      <c r="A672">
        <v>4</v>
      </c>
      <c r="B672" t="s">
        <v>9</v>
      </c>
      <c r="C672">
        <v>1</v>
      </c>
      <c r="D672">
        <v>4</v>
      </c>
      <c r="E672" s="3">
        <v>14</v>
      </c>
    </row>
    <row r="673" spans="1:5" x14ac:dyDescent="0.2">
      <c r="A673">
        <v>5</v>
      </c>
      <c r="B673" t="s">
        <v>40</v>
      </c>
      <c r="C673">
        <v>0</v>
      </c>
      <c r="D673">
        <v>2</v>
      </c>
      <c r="E673" s="3">
        <v>14</v>
      </c>
    </row>
    <row r="674" spans="1:5" x14ac:dyDescent="0.2">
      <c r="A674">
        <v>6</v>
      </c>
      <c r="B674" t="s">
        <v>26</v>
      </c>
      <c r="C674">
        <v>0</v>
      </c>
      <c r="D674">
        <v>1</v>
      </c>
      <c r="E674" s="3">
        <v>14</v>
      </c>
    </row>
    <row r="675" spans="1:5" x14ac:dyDescent="0.2">
      <c r="A675">
        <v>1</v>
      </c>
      <c r="B675" t="s">
        <v>87</v>
      </c>
      <c r="C675">
        <v>2</v>
      </c>
      <c r="D675">
        <v>15</v>
      </c>
      <c r="E675" s="3">
        <v>14</v>
      </c>
    </row>
    <row r="676" spans="1:5" x14ac:dyDescent="0.2">
      <c r="A676">
        <v>2</v>
      </c>
      <c r="B676" t="s">
        <v>8</v>
      </c>
      <c r="C676">
        <v>1</v>
      </c>
      <c r="D676">
        <v>11</v>
      </c>
      <c r="E676" s="3">
        <v>14</v>
      </c>
    </row>
    <row r="677" spans="1:5" x14ac:dyDescent="0.2">
      <c r="A677">
        <v>3</v>
      </c>
      <c r="B677" t="s">
        <v>33</v>
      </c>
      <c r="C677">
        <v>1</v>
      </c>
      <c r="D677">
        <v>7</v>
      </c>
      <c r="E677" s="3">
        <v>14</v>
      </c>
    </row>
    <row r="678" spans="1:5" x14ac:dyDescent="0.2">
      <c r="A678">
        <v>4</v>
      </c>
      <c r="B678" t="s">
        <v>47</v>
      </c>
      <c r="C678">
        <v>0</v>
      </c>
      <c r="D678">
        <v>3</v>
      </c>
      <c r="E678" s="3">
        <v>14</v>
      </c>
    </row>
    <row r="679" spans="1:5" x14ac:dyDescent="0.2">
      <c r="A679">
        <v>5</v>
      </c>
      <c r="B679" t="s">
        <v>23</v>
      </c>
      <c r="C679">
        <v>0</v>
      </c>
      <c r="D679">
        <v>1</v>
      </c>
      <c r="E679" s="3">
        <v>14</v>
      </c>
    </row>
    <row r="680" spans="1:5" x14ac:dyDescent="0.2">
      <c r="A680">
        <v>1</v>
      </c>
      <c r="B680" t="s">
        <v>22</v>
      </c>
      <c r="C680">
        <v>2</v>
      </c>
      <c r="D680">
        <v>16</v>
      </c>
      <c r="E680" s="3">
        <v>14</v>
      </c>
    </row>
    <row r="681" spans="1:5" x14ac:dyDescent="0.2">
      <c r="A681">
        <v>2</v>
      </c>
      <c r="B681" t="s">
        <v>103</v>
      </c>
      <c r="C681">
        <v>1</v>
      </c>
      <c r="D681">
        <v>12</v>
      </c>
      <c r="E681" s="3">
        <v>14</v>
      </c>
    </row>
    <row r="682" spans="1:5" x14ac:dyDescent="0.2">
      <c r="A682">
        <v>3</v>
      </c>
      <c r="B682" t="s">
        <v>18</v>
      </c>
      <c r="C682">
        <v>1</v>
      </c>
      <c r="D682">
        <v>8</v>
      </c>
      <c r="E682" s="3">
        <v>14</v>
      </c>
    </row>
    <row r="683" spans="1:5" x14ac:dyDescent="0.2">
      <c r="A683">
        <v>4</v>
      </c>
      <c r="B683" t="s">
        <v>32</v>
      </c>
      <c r="C683">
        <v>1</v>
      </c>
      <c r="D683">
        <v>4</v>
      </c>
      <c r="E683" s="3">
        <v>14</v>
      </c>
    </row>
    <row r="684" spans="1:5" x14ac:dyDescent="0.2">
      <c r="A684">
        <v>5</v>
      </c>
      <c r="B684" t="s">
        <v>19</v>
      </c>
      <c r="C684">
        <v>0</v>
      </c>
      <c r="D684">
        <v>2</v>
      </c>
      <c r="E684" s="3">
        <v>14</v>
      </c>
    </row>
    <row r="685" spans="1:5" x14ac:dyDescent="0.2">
      <c r="A685">
        <v>6</v>
      </c>
      <c r="B685" t="s">
        <v>75</v>
      </c>
      <c r="C685">
        <v>0</v>
      </c>
      <c r="D685">
        <v>1</v>
      </c>
      <c r="E685" s="3">
        <v>14</v>
      </c>
    </row>
    <row r="686" spans="1:5" x14ac:dyDescent="0.2">
      <c r="A686">
        <v>1</v>
      </c>
      <c r="B686" t="s">
        <v>46</v>
      </c>
      <c r="C686">
        <v>3</v>
      </c>
      <c r="D686">
        <v>15</v>
      </c>
      <c r="E686" s="3">
        <v>14</v>
      </c>
    </row>
    <row r="687" spans="1:5" x14ac:dyDescent="0.2">
      <c r="A687">
        <v>2</v>
      </c>
      <c r="B687" t="s">
        <v>35</v>
      </c>
      <c r="C687">
        <v>1</v>
      </c>
      <c r="D687">
        <v>11</v>
      </c>
      <c r="E687" s="3">
        <v>14</v>
      </c>
    </row>
    <row r="688" spans="1:5" x14ac:dyDescent="0.2">
      <c r="A688">
        <v>3</v>
      </c>
      <c r="B688" t="s">
        <v>6</v>
      </c>
      <c r="C688">
        <v>0</v>
      </c>
      <c r="D688">
        <v>7</v>
      </c>
      <c r="E688" s="3">
        <v>14</v>
      </c>
    </row>
    <row r="689" spans="1:5" x14ac:dyDescent="0.2">
      <c r="A689">
        <v>4</v>
      </c>
      <c r="B689" t="s">
        <v>69</v>
      </c>
      <c r="C689">
        <v>0</v>
      </c>
      <c r="D689">
        <v>3</v>
      </c>
      <c r="E689" s="3">
        <v>14</v>
      </c>
    </row>
    <row r="690" spans="1:5" x14ac:dyDescent="0.2">
      <c r="A690">
        <v>5</v>
      </c>
      <c r="B690" t="s">
        <v>15</v>
      </c>
      <c r="C690">
        <v>0</v>
      </c>
      <c r="D690">
        <v>1</v>
      </c>
      <c r="E690" s="3">
        <v>14</v>
      </c>
    </row>
    <row r="691" spans="1:5" x14ac:dyDescent="0.2">
      <c r="A691">
        <v>1</v>
      </c>
      <c r="B691" t="s">
        <v>55</v>
      </c>
      <c r="C691">
        <v>4</v>
      </c>
      <c r="D691">
        <v>16</v>
      </c>
      <c r="E691" s="3">
        <v>14</v>
      </c>
    </row>
    <row r="692" spans="1:5" x14ac:dyDescent="0.2">
      <c r="A692">
        <v>2</v>
      </c>
      <c r="B692" t="s">
        <v>60</v>
      </c>
      <c r="C692">
        <v>1</v>
      </c>
      <c r="D692">
        <v>12</v>
      </c>
      <c r="E692" s="3">
        <v>14</v>
      </c>
    </row>
    <row r="693" spans="1:5" x14ac:dyDescent="0.2">
      <c r="A693">
        <v>3</v>
      </c>
      <c r="B693" t="s">
        <v>14</v>
      </c>
      <c r="C693">
        <v>0</v>
      </c>
      <c r="D693">
        <v>8</v>
      </c>
      <c r="E693" s="3">
        <v>14</v>
      </c>
    </row>
    <row r="694" spans="1:5" x14ac:dyDescent="0.2">
      <c r="A694">
        <v>4</v>
      </c>
      <c r="B694" t="s">
        <v>97</v>
      </c>
      <c r="C694">
        <v>0</v>
      </c>
      <c r="D694">
        <v>4</v>
      </c>
      <c r="E694" s="3">
        <v>14</v>
      </c>
    </row>
    <row r="695" spans="1:5" x14ac:dyDescent="0.2">
      <c r="A695">
        <v>5</v>
      </c>
      <c r="B695" t="s">
        <v>59</v>
      </c>
      <c r="C695">
        <v>0</v>
      </c>
      <c r="D695">
        <v>2</v>
      </c>
      <c r="E695" s="3">
        <v>14</v>
      </c>
    </row>
    <row r="696" spans="1:5" x14ac:dyDescent="0.2">
      <c r="A696">
        <v>6</v>
      </c>
      <c r="B696" t="s">
        <v>39</v>
      </c>
      <c r="C696">
        <v>0</v>
      </c>
      <c r="D696">
        <v>1</v>
      </c>
      <c r="E696" s="3">
        <v>14</v>
      </c>
    </row>
    <row r="697" spans="1:5" x14ac:dyDescent="0.2">
      <c r="A697">
        <v>1</v>
      </c>
      <c r="B697" t="s">
        <v>12</v>
      </c>
      <c r="C697">
        <v>4</v>
      </c>
      <c r="D697">
        <v>16</v>
      </c>
      <c r="E697" s="3">
        <v>15</v>
      </c>
    </row>
    <row r="698" spans="1:5" x14ac:dyDescent="0.2">
      <c r="A698">
        <v>2</v>
      </c>
      <c r="B698" t="s">
        <v>46</v>
      </c>
      <c r="C698">
        <v>1</v>
      </c>
      <c r="D698">
        <v>12</v>
      </c>
      <c r="E698" s="3">
        <v>15</v>
      </c>
    </row>
    <row r="699" spans="1:5" x14ac:dyDescent="0.2">
      <c r="A699">
        <v>3</v>
      </c>
      <c r="B699" t="s">
        <v>102</v>
      </c>
      <c r="C699">
        <v>0</v>
      </c>
      <c r="D699">
        <v>8</v>
      </c>
      <c r="E699" s="3">
        <v>15</v>
      </c>
    </row>
    <row r="700" spans="1:5" x14ac:dyDescent="0.2">
      <c r="A700">
        <v>4</v>
      </c>
      <c r="B700" t="s">
        <v>45</v>
      </c>
      <c r="C700">
        <v>0</v>
      </c>
      <c r="D700">
        <v>4</v>
      </c>
      <c r="E700" s="3">
        <v>15</v>
      </c>
    </row>
    <row r="701" spans="1:5" x14ac:dyDescent="0.2">
      <c r="A701">
        <v>5</v>
      </c>
      <c r="B701" t="s">
        <v>32</v>
      </c>
      <c r="C701">
        <v>0</v>
      </c>
      <c r="D701">
        <v>2</v>
      </c>
      <c r="E701" s="3">
        <v>15</v>
      </c>
    </row>
    <row r="702" spans="1:5" x14ac:dyDescent="0.2">
      <c r="A702">
        <v>6</v>
      </c>
      <c r="B702" t="s">
        <v>69</v>
      </c>
      <c r="C702">
        <v>0</v>
      </c>
      <c r="D702">
        <v>1</v>
      </c>
      <c r="E702" s="3">
        <v>15</v>
      </c>
    </row>
    <row r="703" spans="1:5" x14ac:dyDescent="0.2">
      <c r="A703">
        <v>1</v>
      </c>
      <c r="B703" t="s">
        <v>8</v>
      </c>
      <c r="C703">
        <v>1</v>
      </c>
      <c r="D703">
        <v>16</v>
      </c>
      <c r="E703" s="3">
        <v>15</v>
      </c>
    </row>
    <row r="704" spans="1:5" x14ac:dyDescent="0.2">
      <c r="A704">
        <v>2</v>
      </c>
      <c r="B704" t="s">
        <v>42</v>
      </c>
      <c r="C704">
        <v>3</v>
      </c>
      <c r="D704">
        <v>12</v>
      </c>
      <c r="E704" s="3">
        <v>15</v>
      </c>
    </row>
    <row r="705" spans="1:5" x14ac:dyDescent="0.2">
      <c r="A705">
        <v>3</v>
      </c>
      <c r="B705" t="s">
        <v>40</v>
      </c>
      <c r="C705">
        <v>1</v>
      </c>
      <c r="D705">
        <v>8</v>
      </c>
      <c r="E705" s="3">
        <v>15</v>
      </c>
    </row>
    <row r="706" spans="1:5" x14ac:dyDescent="0.2">
      <c r="A706">
        <v>4</v>
      </c>
      <c r="B706" t="s">
        <v>65</v>
      </c>
      <c r="C706">
        <v>0</v>
      </c>
      <c r="D706">
        <v>4</v>
      </c>
      <c r="E706" s="3">
        <v>15</v>
      </c>
    </row>
    <row r="707" spans="1:5" x14ac:dyDescent="0.2">
      <c r="A707">
        <v>5</v>
      </c>
      <c r="B707" t="s">
        <v>101</v>
      </c>
      <c r="C707">
        <v>0</v>
      </c>
      <c r="D707">
        <v>2</v>
      </c>
      <c r="E707" s="3">
        <v>15</v>
      </c>
    </row>
    <row r="708" spans="1:5" x14ac:dyDescent="0.2">
      <c r="A708">
        <v>6</v>
      </c>
      <c r="B708" t="s">
        <v>28</v>
      </c>
      <c r="C708">
        <v>0</v>
      </c>
      <c r="D708">
        <v>1</v>
      </c>
      <c r="E708" s="3">
        <v>15</v>
      </c>
    </row>
    <row r="709" spans="1:5" x14ac:dyDescent="0.2">
      <c r="A709">
        <v>1</v>
      </c>
      <c r="B709" t="s">
        <v>14</v>
      </c>
      <c r="C709">
        <v>2</v>
      </c>
      <c r="D709">
        <v>16</v>
      </c>
      <c r="E709" s="3">
        <v>15</v>
      </c>
    </row>
    <row r="710" spans="1:5" x14ac:dyDescent="0.2">
      <c r="A710">
        <v>2</v>
      </c>
      <c r="B710" t="s">
        <v>74</v>
      </c>
      <c r="C710">
        <v>2</v>
      </c>
      <c r="D710">
        <v>12</v>
      </c>
      <c r="E710" s="3">
        <v>15</v>
      </c>
    </row>
    <row r="711" spans="1:5" x14ac:dyDescent="0.2">
      <c r="A711">
        <v>3</v>
      </c>
      <c r="B711" t="s">
        <v>9</v>
      </c>
      <c r="C711">
        <v>0</v>
      </c>
      <c r="D711">
        <v>8</v>
      </c>
      <c r="E711" s="3">
        <v>15</v>
      </c>
    </row>
    <row r="712" spans="1:5" x14ac:dyDescent="0.2">
      <c r="A712">
        <v>4</v>
      </c>
      <c r="B712" t="s">
        <v>41</v>
      </c>
      <c r="C712">
        <v>1</v>
      </c>
      <c r="D712">
        <v>4</v>
      </c>
      <c r="E712" s="3">
        <v>15</v>
      </c>
    </row>
    <row r="713" spans="1:5" x14ac:dyDescent="0.2">
      <c r="A713">
        <v>5</v>
      </c>
      <c r="B713" t="s">
        <v>33</v>
      </c>
      <c r="C713">
        <v>0</v>
      </c>
      <c r="D713">
        <v>2</v>
      </c>
      <c r="E713" s="3">
        <v>15</v>
      </c>
    </row>
    <row r="714" spans="1:5" x14ac:dyDescent="0.2">
      <c r="A714">
        <v>6</v>
      </c>
      <c r="B714" t="s">
        <v>31</v>
      </c>
      <c r="C714">
        <v>0</v>
      </c>
      <c r="D714">
        <v>1</v>
      </c>
      <c r="E714" s="3">
        <v>15</v>
      </c>
    </row>
    <row r="715" spans="1:5" x14ac:dyDescent="0.2">
      <c r="A715">
        <v>1</v>
      </c>
      <c r="B715" t="s">
        <v>22</v>
      </c>
      <c r="C715">
        <v>1</v>
      </c>
      <c r="D715">
        <v>16</v>
      </c>
      <c r="E715" s="3">
        <v>15</v>
      </c>
    </row>
    <row r="716" spans="1:5" x14ac:dyDescent="0.2">
      <c r="A716">
        <v>2</v>
      </c>
      <c r="B716" t="s">
        <v>39</v>
      </c>
      <c r="C716">
        <v>4</v>
      </c>
      <c r="D716">
        <v>12</v>
      </c>
      <c r="E716" s="3">
        <v>15</v>
      </c>
    </row>
    <row r="717" spans="1:5" x14ac:dyDescent="0.2">
      <c r="A717">
        <v>3</v>
      </c>
      <c r="B717" t="s">
        <v>75</v>
      </c>
      <c r="C717">
        <v>0</v>
      </c>
      <c r="D717">
        <v>8</v>
      </c>
      <c r="E717" s="3">
        <v>15</v>
      </c>
    </row>
    <row r="718" spans="1:5" x14ac:dyDescent="0.2">
      <c r="A718">
        <v>4</v>
      </c>
      <c r="B718" t="s">
        <v>6</v>
      </c>
      <c r="C718">
        <v>0</v>
      </c>
      <c r="D718">
        <v>4</v>
      </c>
      <c r="E718" s="3">
        <v>15</v>
      </c>
    </row>
    <row r="719" spans="1:5" x14ac:dyDescent="0.2">
      <c r="A719">
        <v>5</v>
      </c>
      <c r="B719" t="s">
        <v>68</v>
      </c>
      <c r="C719">
        <v>0</v>
      </c>
      <c r="D719">
        <v>2</v>
      </c>
      <c r="E719" s="3">
        <v>15</v>
      </c>
    </row>
    <row r="720" spans="1:5" x14ac:dyDescent="0.2">
      <c r="A720">
        <v>6</v>
      </c>
      <c r="B720" t="s">
        <v>76</v>
      </c>
      <c r="C720">
        <v>0</v>
      </c>
      <c r="D720">
        <v>1</v>
      </c>
      <c r="E720" s="3">
        <v>15</v>
      </c>
    </row>
    <row r="721" spans="1:5" x14ac:dyDescent="0.2">
      <c r="A721">
        <v>1</v>
      </c>
      <c r="B721" t="s">
        <v>87</v>
      </c>
      <c r="C721">
        <v>2</v>
      </c>
      <c r="D721">
        <v>16</v>
      </c>
      <c r="E721" s="3">
        <v>15</v>
      </c>
    </row>
    <row r="722" spans="1:5" x14ac:dyDescent="0.2">
      <c r="A722">
        <v>2</v>
      </c>
      <c r="B722" t="s">
        <v>92</v>
      </c>
      <c r="C722">
        <v>1</v>
      </c>
      <c r="D722">
        <v>12</v>
      </c>
      <c r="E722" s="3">
        <v>15</v>
      </c>
    </row>
    <row r="723" spans="1:5" x14ac:dyDescent="0.2">
      <c r="A723">
        <v>3</v>
      </c>
      <c r="B723" t="s">
        <v>25</v>
      </c>
      <c r="C723">
        <v>2</v>
      </c>
      <c r="D723">
        <v>8</v>
      </c>
      <c r="E723" s="3">
        <v>15</v>
      </c>
    </row>
    <row r="724" spans="1:5" x14ac:dyDescent="0.2">
      <c r="A724">
        <v>4</v>
      </c>
      <c r="B724" t="s">
        <v>55</v>
      </c>
      <c r="C724">
        <v>0</v>
      </c>
      <c r="D724">
        <v>4</v>
      </c>
      <c r="E724" s="3">
        <v>15</v>
      </c>
    </row>
    <row r="725" spans="1:5" x14ac:dyDescent="0.2">
      <c r="A725">
        <v>5</v>
      </c>
      <c r="B725" t="s">
        <v>21</v>
      </c>
      <c r="C725">
        <v>0</v>
      </c>
      <c r="D725">
        <v>2</v>
      </c>
      <c r="E725" s="3">
        <v>15</v>
      </c>
    </row>
    <row r="726" spans="1:5" x14ac:dyDescent="0.2">
      <c r="A726">
        <v>6</v>
      </c>
      <c r="B726" t="s">
        <v>15</v>
      </c>
      <c r="C726">
        <v>0</v>
      </c>
      <c r="D726">
        <v>1</v>
      </c>
      <c r="E726" s="3">
        <v>15</v>
      </c>
    </row>
    <row r="727" spans="1:5" x14ac:dyDescent="0.2">
      <c r="A727">
        <v>1</v>
      </c>
      <c r="B727" t="s">
        <v>54</v>
      </c>
      <c r="C727">
        <v>2</v>
      </c>
      <c r="D727">
        <v>16</v>
      </c>
      <c r="E727" s="3">
        <v>15</v>
      </c>
    </row>
    <row r="728" spans="1:5" x14ac:dyDescent="0.2">
      <c r="A728">
        <v>2</v>
      </c>
      <c r="B728" t="s">
        <v>16</v>
      </c>
      <c r="C728">
        <v>3</v>
      </c>
      <c r="D728">
        <v>12</v>
      </c>
      <c r="E728" s="3">
        <v>15</v>
      </c>
    </row>
    <row r="729" spans="1:5" x14ac:dyDescent="0.2">
      <c r="A729">
        <v>3</v>
      </c>
      <c r="B729" t="s">
        <v>26</v>
      </c>
      <c r="C729">
        <v>0</v>
      </c>
      <c r="D729">
        <v>8</v>
      </c>
      <c r="E729" s="3">
        <v>15</v>
      </c>
    </row>
    <row r="730" spans="1:5" x14ac:dyDescent="0.2">
      <c r="A730">
        <v>4</v>
      </c>
      <c r="B730" t="s">
        <v>19</v>
      </c>
      <c r="C730">
        <v>0</v>
      </c>
      <c r="D730">
        <v>4</v>
      </c>
      <c r="E730" s="3">
        <v>15</v>
      </c>
    </row>
    <row r="731" spans="1:5" x14ac:dyDescent="0.2">
      <c r="A731">
        <v>5</v>
      </c>
      <c r="B731" t="s">
        <v>73</v>
      </c>
      <c r="C731">
        <v>0</v>
      </c>
      <c r="D731">
        <v>2</v>
      </c>
      <c r="E731" s="3">
        <v>15</v>
      </c>
    </row>
    <row r="732" spans="1:5" x14ac:dyDescent="0.2">
      <c r="A732">
        <v>6</v>
      </c>
      <c r="B732" t="s">
        <v>52</v>
      </c>
      <c r="C732">
        <v>0</v>
      </c>
      <c r="D732">
        <v>1</v>
      </c>
      <c r="E732" s="3">
        <v>15</v>
      </c>
    </row>
    <row r="733" spans="1:5" x14ac:dyDescent="0.2">
      <c r="A733">
        <v>1</v>
      </c>
      <c r="B733" t="s">
        <v>35</v>
      </c>
      <c r="C733">
        <v>3</v>
      </c>
      <c r="D733">
        <v>16</v>
      </c>
      <c r="E733" s="3">
        <v>15</v>
      </c>
    </row>
    <row r="734" spans="1:5" x14ac:dyDescent="0.2">
      <c r="A734">
        <v>2</v>
      </c>
      <c r="B734" t="s">
        <v>27</v>
      </c>
      <c r="C734">
        <v>1</v>
      </c>
      <c r="D734">
        <v>12</v>
      </c>
      <c r="E734" s="3">
        <v>15</v>
      </c>
    </row>
    <row r="735" spans="1:5" x14ac:dyDescent="0.2">
      <c r="A735">
        <v>3</v>
      </c>
      <c r="B735" t="s">
        <v>18</v>
      </c>
      <c r="C735">
        <v>0</v>
      </c>
      <c r="D735">
        <v>8</v>
      </c>
      <c r="E735" s="3">
        <v>15</v>
      </c>
    </row>
    <row r="736" spans="1:5" x14ac:dyDescent="0.2">
      <c r="A736">
        <v>4</v>
      </c>
      <c r="B736" t="s">
        <v>59</v>
      </c>
      <c r="C736">
        <v>0</v>
      </c>
      <c r="D736">
        <v>4</v>
      </c>
      <c r="E736" s="3">
        <v>15</v>
      </c>
    </row>
    <row r="737" spans="1:5" x14ac:dyDescent="0.2">
      <c r="A737">
        <v>5</v>
      </c>
      <c r="B737" t="s">
        <v>77</v>
      </c>
      <c r="C737">
        <v>1</v>
      </c>
      <c r="D737">
        <v>2</v>
      </c>
      <c r="E737" s="3">
        <v>15</v>
      </c>
    </row>
    <row r="738" spans="1:5" x14ac:dyDescent="0.2">
      <c r="A738">
        <v>6</v>
      </c>
      <c r="B738" t="s">
        <v>47</v>
      </c>
      <c r="C738">
        <v>0</v>
      </c>
      <c r="D738">
        <v>1</v>
      </c>
      <c r="E738" s="3">
        <v>15</v>
      </c>
    </row>
    <row r="739" spans="1:5" x14ac:dyDescent="0.2">
      <c r="A739">
        <v>1</v>
      </c>
      <c r="B739" t="s">
        <v>34</v>
      </c>
      <c r="C739">
        <v>3</v>
      </c>
      <c r="D739">
        <v>16</v>
      </c>
      <c r="E739" s="3">
        <v>16</v>
      </c>
    </row>
    <row r="740" spans="1:5" x14ac:dyDescent="0.2">
      <c r="A740">
        <v>2</v>
      </c>
      <c r="B740" t="s">
        <v>75</v>
      </c>
      <c r="C740">
        <v>1</v>
      </c>
      <c r="D740">
        <v>12</v>
      </c>
      <c r="E740" s="3">
        <v>16</v>
      </c>
    </row>
    <row r="741" spans="1:5" x14ac:dyDescent="0.2">
      <c r="A741">
        <v>3</v>
      </c>
      <c r="B741" t="s">
        <v>54</v>
      </c>
      <c r="C741">
        <v>0</v>
      </c>
      <c r="D741">
        <v>8</v>
      </c>
      <c r="E741" s="3">
        <v>16</v>
      </c>
    </row>
    <row r="742" spans="1:5" x14ac:dyDescent="0.2">
      <c r="A742">
        <v>4</v>
      </c>
      <c r="B742" t="s">
        <v>23</v>
      </c>
      <c r="C742">
        <v>1</v>
      </c>
      <c r="D742">
        <v>4</v>
      </c>
      <c r="E742" s="3">
        <v>16</v>
      </c>
    </row>
    <row r="743" spans="1:5" x14ac:dyDescent="0.2">
      <c r="A743">
        <v>5</v>
      </c>
      <c r="B743" t="s">
        <v>41</v>
      </c>
      <c r="C743">
        <v>0</v>
      </c>
      <c r="D743">
        <v>2</v>
      </c>
      <c r="E743" s="3">
        <v>16</v>
      </c>
    </row>
    <row r="744" spans="1:5" x14ac:dyDescent="0.2">
      <c r="A744">
        <v>6</v>
      </c>
      <c r="B744" t="s">
        <v>87</v>
      </c>
      <c r="C744">
        <v>0</v>
      </c>
      <c r="D744">
        <v>1</v>
      </c>
      <c r="E744" s="3">
        <v>16</v>
      </c>
    </row>
    <row r="745" spans="1:5" x14ac:dyDescent="0.2">
      <c r="A745">
        <v>1</v>
      </c>
      <c r="B745" t="s">
        <v>92</v>
      </c>
      <c r="C745">
        <v>5</v>
      </c>
      <c r="D745">
        <v>17</v>
      </c>
      <c r="E745" s="3">
        <v>16</v>
      </c>
    </row>
    <row r="746" spans="1:5" x14ac:dyDescent="0.2">
      <c r="A746">
        <v>2</v>
      </c>
      <c r="B746" t="s">
        <v>6</v>
      </c>
      <c r="C746">
        <v>1</v>
      </c>
      <c r="D746">
        <v>13</v>
      </c>
      <c r="E746" s="3">
        <v>16</v>
      </c>
    </row>
    <row r="747" spans="1:5" x14ac:dyDescent="0.2">
      <c r="A747">
        <v>3</v>
      </c>
      <c r="B747" t="s">
        <v>98</v>
      </c>
      <c r="C747">
        <v>0</v>
      </c>
      <c r="D747">
        <v>9</v>
      </c>
      <c r="E747" s="3">
        <v>16</v>
      </c>
    </row>
    <row r="748" spans="1:5" x14ac:dyDescent="0.2">
      <c r="A748">
        <v>4</v>
      </c>
      <c r="B748" t="s">
        <v>42</v>
      </c>
      <c r="C748">
        <v>0</v>
      </c>
      <c r="D748">
        <v>5</v>
      </c>
      <c r="E748" s="3">
        <v>16</v>
      </c>
    </row>
    <row r="749" spans="1:5" x14ac:dyDescent="0.2">
      <c r="A749">
        <v>5</v>
      </c>
      <c r="B749" t="s">
        <v>35</v>
      </c>
      <c r="C749">
        <v>0</v>
      </c>
      <c r="D749">
        <v>3</v>
      </c>
      <c r="E749" s="3">
        <v>16</v>
      </c>
    </row>
    <row r="750" spans="1:5" x14ac:dyDescent="0.2">
      <c r="A750">
        <v>6</v>
      </c>
      <c r="B750" t="s">
        <v>59</v>
      </c>
      <c r="C750">
        <v>0</v>
      </c>
      <c r="D750">
        <v>2</v>
      </c>
      <c r="E750" s="3">
        <v>16</v>
      </c>
    </row>
    <row r="751" spans="1:5" x14ac:dyDescent="0.2">
      <c r="A751">
        <v>7</v>
      </c>
      <c r="B751" t="s">
        <v>65</v>
      </c>
      <c r="C751">
        <v>0</v>
      </c>
      <c r="D751">
        <v>1</v>
      </c>
      <c r="E751" s="3">
        <v>16</v>
      </c>
    </row>
    <row r="752" spans="1:5" x14ac:dyDescent="0.2">
      <c r="A752">
        <v>1</v>
      </c>
      <c r="B752" t="s">
        <v>52</v>
      </c>
      <c r="C752">
        <v>2</v>
      </c>
      <c r="D752">
        <v>17</v>
      </c>
      <c r="E752" s="3">
        <v>16</v>
      </c>
    </row>
    <row r="753" spans="1:5" x14ac:dyDescent="0.2">
      <c r="A753">
        <v>2</v>
      </c>
      <c r="B753" t="s">
        <v>16</v>
      </c>
      <c r="C753">
        <v>1</v>
      </c>
      <c r="D753">
        <v>13</v>
      </c>
      <c r="E753" s="3">
        <v>16</v>
      </c>
    </row>
    <row r="754" spans="1:5" x14ac:dyDescent="0.2">
      <c r="A754">
        <v>3</v>
      </c>
      <c r="B754" t="s">
        <v>50</v>
      </c>
      <c r="C754">
        <v>2</v>
      </c>
      <c r="D754">
        <v>9</v>
      </c>
      <c r="E754" s="3">
        <v>16</v>
      </c>
    </row>
    <row r="755" spans="1:5" x14ac:dyDescent="0.2">
      <c r="A755">
        <v>4</v>
      </c>
      <c r="B755" t="s">
        <v>88</v>
      </c>
      <c r="C755">
        <v>1</v>
      </c>
      <c r="D755">
        <v>5</v>
      </c>
      <c r="E755" s="3">
        <v>16</v>
      </c>
    </row>
    <row r="756" spans="1:5" x14ac:dyDescent="0.2">
      <c r="A756">
        <v>5</v>
      </c>
      <c r="B756" t="s">
        <v>46</v>
      </c>
      <c r="C756">
        <v>0</v>
      </c>
      <c r="D756">
        <v>3</v>
      </c>
      <c r="E756" s="3">
        <v>16</v>
      </c>
    </row>
    <row r="757" spans="1:5" x14ac:dyDescent="0.2">
      <c r="A757">
        <v>6</v>
      </c>
      <c r="B757" t="s">
        <v>14</v>
      </c>
      <c r="C757">
        <v>0</v>
      </c>
      <c r="D757">
        <v>2</v>
      </c>
      <c r="E757" s="3">
        <v>16</v>
      </c>
    </row>
    <row r="758" spans="1:5" x14ac:dyDescent="0.2">
      <c r="A758">
        <v>7</v>
      </c>
      <c r="B758" t="s">
        <v>76</v>
      </c>
      <c r="C758">
        <v>0</v>
      </c>
      <c r="D758">
        <v>1</v>
      </c>
      <c r="E758" s="3">
        <v>16</v>
      </c>
    </row>
    <row r="759" spans="1:5" x14ac:dyDescent="0.2">
      <c r="A759">
        <v>1</v>
      </c>
      <c r="B759" t="s">
        <v>73</v>
      </c>
      <c r="C759">
        <v>4</v>
      </c>
      <c r="D759">
        <v>17</v>
      </c>
      <c r="E759" s="3">
        <v>16</v>
      </c>
    </row>
    <row r="760" spans="1:5" x14ac:dyDescent="0.2">
      <c r="A760">
        <v>2</v>
      </c>
      <c r="B760" t="s">
        <v>68</v>
      </c>
      <c r="C760">
        <v>1</v>
      </c>
      <c r="D760">
        <v>13</v>
      </c>
      <c r="E760" s="3">
        <v>16</v>
      </c>
    </row>
    <row r="761" spans="1:5" x14ac:dyDescent="0.2">
      <c r="A761">
        <v>3</v>
      </c>
      <c r="B761" t="s">
        <v>39</v>
      </c>
      <c r="C761">
        <v>1</v>
      </c>
      <c r="D761">
        <v>9</v>
      </c>
      <c r="E761" s="3">
        <v>16</v>
      </c>
    </row>
    <row r="762" spans="1:5" x14ac:dyDescent="0.2">
      <c r="A762">
        <v>4</v>
      </c>
      <c r="B762" t="s">
        <v>60</v>
      </c>
      <c r="C762">
        <v>0</v>
      </c>
      <c r="D762">
        <v>5</v>
      </c>
      <c r="E762" s="3">
        <v>16</v>
      </c>
    </row>
    <row r="763" spans="1:5" x14ac:dyDescent="0.2">
      <c r="A763">
        <v>5</v>
      </c>
      <c r="B763" t="s">
        <v>47</v>
      </c>
      <c r="C763">
        <v>0</v>
      </c>
      <c r="D763">
        <v>3</v>
      </c>
      <c r="E763" s="3">
        <v>16</v>
      </c>
    </row>
    <row r="764" spans="1:5" x14ac:dyDescent="0.2">
      <c r="A764">
        <v>6</v>
      </c>
      <c r="B764" t="s">
        <v>29</v>
      </c>
      <c r="C764">
        <v>0</v>
      </c>
      <c r="D764">
        <v>2</v>
      </c>
      <c r="E764" s="3">
        <v>16</v>
      </c>
    </row>
    <row r="765" spans="1:5" x14ac:dyDescent="0.2">
      <c r="A765">
        <v>7</v>
      </c>
      <c r="B765" t="s">
        <v>32</v>
      </c>
      <c r="C765">
        <v>0</v>
      </c>
      <c r="D765">
        <v>1</v>
      </c>
      <c r="E765" s="3">
        <v>16</v>
      </c>
    </row>
    <row r="766" spans="1:5" x14ac:dyDescent="0.2">
      <c r="A766">
        <v>1</v>
      </c>
      <c r="B766" t="s">
        <v>40</v>
      </c>
      <c r="C766">
        <v>3</v>
      </c>
      <c r="D766">
        <v>16</v>
      </c>
      <c r="E766" s="3">
        <v>16</v>
      </c>
    </row>
    <row r="767" spans="1:5" x14ac:dyDescent="0.2">
      <c r="A767">
        <v>2</v>
      </c>
      <c r="B767" t="s">
        <v>69</v>
      </c>
      <c r="C767">
        <v>0</v>
      </c>
      <c r="D767">
        <v>12</v>
      </c>
      <c r="E767" s="3">
        <v>16</v>
      </c>
    </row>
    <row r="768" spans="1:5" x14ac:dyDescent="0.2">
      <c r="A768">
        <v>3</v>
      </c>
      <c r="B768" t="s">
        <v>74</v>
      </c>
      <c r="C768">
        <v>2</v>
      </c>
      <c r="D768">
        <v>8</v>
      </c>
      <c r="E768" s="3">
        <v>16</v>
      </c>
    </row>
    <row r="769" spans="1:5" x14ac:dyDescent="0.2">
      <c r="A769">
        <v>4</v>
      </c>
      <c r="B769" t="s">
        <v>101</v>
      </c>
      <c r="C769">
        <v>0</v>
      </c>
      <c r="D769">
        <v>4</v>
      </c>
      <c r="E769" s="3">
        <v>16</v>
      </c>
    </row>
    <row r="770" spans="1:5" x14ac:dyDescent="0.2">
      <c r="A770">
        <v>5</v>
      </c>
      <c r="B770" t="s">
        <v>28</v>
      </c>
      <c r="C770">
        <v>0</v>
      </c>
      <c r="D770">
        <v>2</v>
      </c>
      <c r="E770" s="3">
        <v>16</v>
      </c>
    </row>
    <row r="771" spans="1:5" x14ac:dyDescent="0.2">
      <c r="A771">
        <v>6</v>
      </c>
      <c r="B771" t="s">
        <v>22</v>
      </c>
      <c r="C771">
        <v>0</v>
      </c>
      <c r="D771">
        <v>1</v>
      </c>
      <c r="E771" s="3">
        <v>16</v>
      </c>
    </row>
    <row r="772" spans="1:5" x14ac:dyDescent="0.2">
      <c r="A772">
        <v>1</v>
      </c>
      <c r="B772" t="s">
        <v>103</v>
      </c>
      <c r="C772">
        <v>3</v>
      </c>
      <c r="D772">
        <v>17</v>
      </c>
      <c r="E772" s="3">
        <v>16</v>
      </c>
    </row>
    <row r="773" spans="1:5" x14ac:dyDescent="0.2">
      <c r="A773">
        <v>2</v>
      </c>
      <c r="B773" t="s">
        <v>25</v>
      </c>
      <c r="C773">
        <v>0</v>
      </c>
      <c r="D773">
        <v>13</v>
      </c>
      <c r="E773" s="3">
        <v>16</v>
      </c>
    </row>
    <row r="774" spans="1:5" x14ac:dyDescent="0.2">
      <c r="A774">
        <v>3</v>
      </c>
      <c r="B774" t="s">
        <v>55</v>
      </c>
      <c r="C774">
        <v>1</v>
      </c>
      <c r="D774">
        <v>9</v>
      </c>
      <c r="E774" s="3">
        <v>16</v>
      </c>
    </row>
    <row r="775" spans="1:5" x14ac:dyDescent="0.2">
      <c r="A775">
        <v>4</v>
      </c>
      <c r="B775" t="s">
        <v>45</v>
      </c>
      <c r="C775">
        <v>2</v>
      </c>
      <c r="D775">
        <v>5</v>
      </c>
      <c r="E775" s="3">
        <v>16</v>
      </c>
    </row>
    <row r="776" spans="1:5" x14ac:dyDescent="0.2">
      <c r="A776">
        <v>5</v>
      </c>
      <c r="B776" t="s">
        <v>21</v>
      </c>
      <c r="C776">
        <v>0</v>
      </c>
      <c r="D776">
        <v>3</v>
      </c>
      <c r="E776" s="3">
        <v>16</v>
      </c>
    </row>
    <row r="777" spans="1:5" x14ac:dyDescent="0.2">
      <c r="A777">
        <v>6</v>
      </c>
      <c r="B777" t="s">
        <v>26</v>
      </c>
      <c r="C777">
        <v>0</v>
      </c>
      <c r="D777">
        <v>2</v>
      </c>
      <c r="E777" s="3">
        <v>16</v>
      </c>
    </row>
    <row r="778" spans="1:5" x14ac:dyDescent="0.2">
      <c r="A778">
        <v>7</v>
      </c>
      <c r="B778" t="s">
        <v>33</v>
      </c>
      <c r="C778">
        <v>0</v>
      </c>
      <c r="D778">
        <v>1</v>
      </c>
      <c r="E778" s="3">
        <v>16</v>
      </c>
    </row>
    <row r="779" spans="1:5" x14ac:dyDescent="0.2">
      <c r="A779">
        <v>1</v>
      </c>
      <c r="B779" t="s">
        <v>9</v>
      </c>
      <c r="C779">
        <v>2</v>
      </c>
      <c r="D779">
        <v>16</v>
      </c>
      <c r="E779" s="3">
        <v>16</v>
      </c>
    </row>
    <row r="780" spans="1:5" x14ac:dyDescent="0.2">
      <c r="A780">
        <v>2</v>
      </c>
      <c r="B780" t="s">
        <v>12</v>
      </c>
      <c r="C780">
        <v>1</v>
      </c>
      <c r="D780">
        <v>12</v>
      </c>
      <c r="E780" s="3">
        <v>16</v>
      </c>
    </row>
    <row r="781" spans="1:5" x14ac:dyDescent="0.2">
      <c r="A781">
        <v>3</v>
      </c>
      <c r="B781" t="s">
        <v>15</v>
      </c>
      <c r="C781">
        <v>2</v>
      </c>
      <c r="D781">
        <v>8</v>
      </c>
      <c r="E781" s="3">
        <v>16</v>
      </c>
    </row>
    <row r="782" spans="1:5" x14ac:dyDescent="0.2">
      <c r="A782">
        <v>4</v>
      </c>
      <c r="B782" t="s">
        <v>31</v>
      </c>
      <c r="C782">
        <v>0</v>
      </c>
      <c r="D782">
        <v>4</v>
      </c>
      <c r="E782" s="3">
        <v>16</v>
      </c>
    </row>
    <row r="783" spans="1:5" x14ac:dyDescent="0.2">
      <c r="A783">
        <v>5</v>
      </c>
      <c r="B783" t="s">
        <v>102</v>
      </c>
      <c r="C783">
        <v>0</v>
      </c>
      <c r="D783">
        <v>2</v>
      </c>
      <c r="E783" s="3">
        <v>16</v>
      </c>
    </row>
    <row r="784" spans="1:5" x14ac:dyDescent="0.2">
      <c r="A784">
        <v>6</v>
      </c>
      <c r="B784" t="s">
        <v>27</v>
      </c>
      <c r="C784">
        <v>0</v>
      </c>
      <c r="D784">
        <v>1</v>
      </c>
      <c r="E784" s="3">
        <v>16</v>
      </c>
    </row>
    <row r="785" spans="1:5" x14ac:dyDescent="0.2">
      <c r="A785">
        <v>1</v>
      </c>
      <c r="B785" t="s">
        <v>26</v>
      </c>
      <c r="C785">
        <v>4</v>
      </c>
      <c r="D785">
        <v>16</v>
      </c>
      <c r="E785" s="3">
        <v>17</v>
      </c>
    </row>
    <row r="786" spans="1:5" x14ac:dyDescent="0.2">
      <c r="A786">
        <v>2</v>
      </c>
      <c r="B786" t="s">
        <v>31</v>
      </c>
      <c r="C786">
        <v>1</v>
      </c>
      <c r="D786">
        <v>12</v>
      </c>
      <c r="E786" s="3">
        <v>17</v>
      </c>
    </row>
    <row r="787" spans="1:5" x14ac:dyDescent="0.2">
      <c r="A787">
        <v>3</v>
      </c>
      <c r="B787" t="s">
        <v>25</v>
      </c>
      <c r="C787">
        <v>0</v>
      </c>
      <c r="D787">
        <v>8</v>
      </c>
      <c r="E787" s="3">
        <v>17</v>
      </c>
    </row>
    <row r="788" spans="1:5" x14ac:dyDescent="0.2">
      <c r="A788">
        <v>4</v>
      </c>
      <c r="B788" t="s">
        <v>98</v>
      </c>
      <c r="C788">
        <v>0</v>
      </c>
      <c r="D788">
        <v>4</v>
      </c>
      <c r="E788" s="3">
        <v>17</v>
      </c>
    </row>
    <row r="789" spans="1:5" x14ac:dyDescent="0.2">
      <c r="A789">
        <v>5</v>
      </c>
      <c r="B789" t="s">
        <v>12</v>
      </c>
      <c r="C789">
        <v>0</v>
      </c>
      <c r="D789">
        <v>2</v>
      </c>
      <c r="E789" s="3">
        <v>17</v>
      </c>
    </row>
    <row r="790" spans="1:5" x14ac:dyDescent="0.2">
      <c r="A790">
        <v>6</v>
      </c>
      <c r="B790" t="s">
        <v>8</v>
      </c>
      <c r="C790">
        <v>0</v>
      </c>
      <c r="D790">
        <v>1</v>
      </c>
      <c r="E790" s="3">
        <v>17</v>
      </c>
    </row>
    <row r="791" spans="1:5" x14ac:dyDescent="0.2">
      <c r="A791">
        <v>1</v>
      </c>
      <c r="B791" t="s">
        <v>52</v>
      </c>
      <c r="C791">
        <v>5</v>
      </c>
      <c r="D791">
        <v>16</v>
      </c>
      <c r="E791" s="3">
        <v>17</v>
      </c>
    </row>
    <row r="792" spans="1:5" x14ac:dyDescent="0.2">
      <c r="A792">
        <v>2</v>
      </c>
      <c r="B792" t="s">
        <v>61</v>
      </c>
      <c r="C792">
        <v>0</v>
      </c>
      <c r="D792">
        <v>12</v>
      </c>
      <c r="E792" s="3">
        <v>17</v>
      </c>
    </row>
    <row r="793" spans="1:5" x14ac:dyDescent="0.2">
      <c r="A793">
        <v>3</v>
      </c>
      <c r="B793" t="s">
        <v>55</v>
      </c>
      <c r="C793">
        <v>0</v>
      </c>
      <c r="D793">
        <v>8</v>
      </c>
      <c r="E793" s="3">
        <v>17</v>
      </c>
    </row>
    <row r="794" spans="1:5" x14ac:dyDescent="0.2">
      <c r="A794">
        <v>4</v>
      </c>
      <c r="B794" t="s">
        <v>9</v>
      </c>
      <c r="C794">
        <v>0</v>
      </c>
      <c r="D794">
        <v>4</v>
      </c>
      <c r="E794" s="3">
        <v>17</v>
      </c>
    </row>
    <row r="795" spans="1:5" x14ac:dyDescent="0.2">
      <c r="A795">
        <v>5</v>
      </c>
      <c r="B795" t="s">
        <v>41</v>
      </c>
      <c r="C795">
        <v>0</v>
      </c>
      <c r="D795">
        <v>2</v>
      </c>
      <c r="E795" s="3">
        <v>17</v>
      </c>
    </row>
    <row r="796" spans="1:5" x14ac:dyDescent="0.2">
      <c r="A796">
        <v>6</v>
      </c>
      <c r="B796" t="s">
        <v>29</v>
      </c>
      <c r="C796">
        <v>0</v>
      </c>
      <c r="D796">
        <v>1</v>
      </c>
      <c r="E796" s="3">
        <v>17</v>
      </c>
    </row>
    <row r="797" spans="1:5" x14ac:dyDescent="0.2">
      <c r="A797">
        <v>1</v>
      </c>
      <c r="B797" t="s">
        <v>76</v>
      </c>
      <c r="C797">
        <v>1</v>
      </c>
      <c r="D797">
        <v>17</v>
      </c>
      <c r="E797" s="3">
        <v>17</v>
      </c>
    </row>
    <row r="798" spans="1:5" x14ac:dyDescent="0.2">
      <c r="A798">
        <v>2</v>
      </c>
      <c r="B798" t="s">
        <v>60</v>
      </c>
      <c r="C798">
        <v>3</v>
      </c>
      <c r="D798">
        <v>13</v>
      </c>
      <c r="E798" s="3">
        <v>17</v>
      </c>
    </row>
    <row r="799" spans="1:5" x14ac:dyDescent="0.2">
      <c r="A799">
        <v>3</v>
      </c>
      <c r="B799" t="s">
        <v>87</v>
      </c>
      <c r="C799">
        <v>1</v>
      </c>
      <c r="D799">
        <v>9</v>
      </c>
      <c r="E799" s="3">
        <v>17</v>
      </c>
    </row>
    <row r="800" spans="1:5" x14ac:dyDescent="0.2">
      <c r="A800">
        <v>4</v>
      </c>
      <c r="B800" t="s">
        <v>102</v>
      </c>
      <c r="C800">
        <v>0</v>
      </c>
      <c r="D800">
        <v>5</v>
      </c>
      <c r="E800" s="3">
        <v>17</v>
      </c>
    </row>
    <row r="801" spans="1:5" x14ac:dyDescent="0.2">
      <c r="A801">
        <v>5</v>
      </c>
      <c r="B801" t="s">
        <v>19</v>
      </c>
      <c r="C801">
        <v>1</v>
      </c>
      <c r="D801">
        <v>3</v>
      </c>
      <c r="E801" s="3">
        <v>17</v>
      </c>
    </row>
    <row r="802" spans="1:5" x14ac:dyDescent="0.2">
      <c r="A802">
        <v>6</v>
      </c>
      <c r="B802" t="s">
        <v>53</v>
      </c>
      <c r="C802">
        <v>0</v>
      </c>
      <c r="D802">
        <v>2</v>
      </c>
      <c r="E802" s="3">
        <v>17</v>
      </c>
    </row>
    <row r="803" spans="1:5" x14ac:dyDescent="0.2">
      <c r="A803">
        <v>7</v>
      </c>
      <c r="B803" t="s">
        <v>73</v>
      </c>
      <c r="C803">
        <v>0</v>
      </c>
      <c r="D803">
        <v>1</v>
      </c>
      <c r="E803" s="3">
        <v>17</v>
      </c>
    </row>
    <row r="804" spans="1:5" x14ac:dyDescent="0.2">
      <c r="A804">
        <v>1</v>
      </c>
      <c r="B804" t="s">
        <v>23</v>
      </c>
      <c r="C804">
        <v>3</v>
      </c>
      <c r="D804">
        <v>16</v>
      </c>
      <c r="E804" s="3">
        <v>17</v>
      </c>
    </row>
    <row r="805" spans="1:5" x14ac:dyDescent="0.2">
      <c r="A805">
        <v>2</v>
      </c>
      <c r="B805" t="s">
        <v>69</v>
      </c>
      <c r="C805">
        <v>1</v>
      </c>
      <c r="D805">
        <v>12</v>
      </c>
      <c r="E805" s="3">
        <v>17</v>
      </c>
    </row>
    <row r="806" spans="1:5" x14ac:dyDescent="0.2">
      <c r="A806">
        <v>3</v>
      </c>
      <c r="B806" t="s">
        <v>65</v>
      </c>
      <c r="C806">
        <v>1</v>
      </c>
      <c r="D806">
        <v>8</v>
      </c>
      <c r="E806" s="3">
        <v>17</v>
      </c>
    </row>
    <row r="807" spans="1:5" x14ac:dyDescent="0.2">
      <c r="A807">
        <v>4</v>
      </c>
      <c r="B807" t="s">
        <v>14</v>
      </c>
      <c r="C807">
        <v>0</v>
      </c>
      <c r="D807">
        <v>4</v>
      </c>
      <c r="E807" s="3">
        <v>17</v>
      </c>
    </row>
    <row r="808" spans="1:5" x14ac:dyDescent="0.2">
      <c r="A808">
        <v>5</v>
      </c>
      <c r="B808" t="s">
        <v>15</v>
      </c>
      <c r="C808">
        <v>0</v>
      </c>
      <c r="D808">
        <v>2</v>
      </c>
      <c r="E808" s="3">
        <v>17</v>
      </c>
    </row>
    <row r="809" spans="1:5" x14ac:dyDescent="0.2">
      <c r="A809">
        <v>6</v>
      </c>
      <c r="B809" t="s">
        <v>40</v>
      </c>
      <c r="C809">
        <v>0</v>
      </c>
      <c r="D809">
        <v>1</v>
      </c>
      <c r="E809" s="3">
        <v>17</v>
      </c>
    </row>
    <row r="810" spans="1:5" x14ac:dyDescent="0.2">
      <c r="A810">
        <v>1</v>
      </c>
      <c r="B810" t="s">
        <v>22</v>
      </c>
      <c r="C810">
        <v>5</v>
      </c>
      <c r="D810">
        <v>17</v>
      </c>
      <c r="E810" s="3">
        <v>17</v>
      </c>
    </row>
    <row r="811" spans="1:5" x14ac:dyDescent="0.2">
      <c r="A811">
        <v>2</v>
      </c>
      <c r="B811" t="s">
        <v>75</v>
      </c>
      <c r="C811">
        <v>0</v>
      </c>
      <c r="D811">
        <v>13</v>
      </c>
      <c r="E811" s="3">
        <v>17</v>
      </c>
    </row>
    <row r="812" spans="1:5" x14ac:dyDescent="0.2">
      <c r="A812">
        <v>3</v>
      </c>
      <c r="B812" t="s">
        <v>6</v>
      </c>
      <c r="C812">
        <v>0</v>
      </c>
      <c r="D812">
        <v>9</v>
      </c>
      <c r="E812" s="3">
        <v>17</v>
      </c>
    </row>
    <row r="813" spans="1:5" x14ac:dyDescent="0.2">
      <c r="A813">
        <v>4</v>
      </c>
      <c r="B813" t="s">
        <v>39</v>
      </c>
      <c r="C813">
        <v>1</v>
      </c>
      <c r="D813">
        <v>5</v>
      </c>
      <c r="E813" s="3">
        <v>17</v>
      </c>
    </row>
    <row r="814" spans="1:5" x14ac:dyDescent="0.2">
      <c r="A814">
        <v>5</v>
      </c>
      <c r="B814" t="s">
        <v>68</v>
      </c>
      <c r="C814">
        <v>0</v>
      </c>
      <c r="D814">
        <v>3</v>
      </c>
      <c r="E814" s="3">
        <v>17</v>
      </c>
    </row>
    <row r="815" spans="1:5" x14ac:dyDescent="0.2">
      <c r="A815">
        <v>6</v>
      </c>
      <c r="B815" t="s">
        <v>42</v>
      </c>
      <c r="C815">
        <v>0</v>
      </c>
      <c r="D815">
        <v>2</v>
      </c>
      <c r="E815" s="3">
        <v>17</v>
      </c>
    </row>
    <row r="816" spans="1:5" x14ac:dyDescent="0.2">
      <c r="A816">
        <v>7</v>
      </c>
      <c r="B816" t="s">
        <v>46</v>
      </c>
      <c r="C816">
        <v>0</v>
      </c>
      <c r="D816">
        <v>1</v>
      </c>
      <c r="E816" s="3">
        <v>17</v>
      </c>
    </row>
    <row r="817" spans="1:5" x14ac:dyDescent="0.2">
      <c r="A817">
        <v>1</v>
      </c>
      <c r="B817" t="s">
        <v>47</v>
      </c>
      <c r="C817">
        <v>2</v>
      </c>
      <c r="D817">
        <v>17</v>
      </c>
      <c r="E817" s="3">
        <v>17</v>
      </c>
    </row>
    <row r="818" spans="1:5" x14ac:dyDescent="0.2">
      <c r="A818">
        <v>2</v>
      </c>
      <c r="B818" t="s">
        <v>50</v>
      </c>
      <c r="C818">
        <v>3</v>
      </c>
      <c r="D818">
        <v>13</v>
      </c>
      <c r="E818" s="3">
        <v>17</v>
      </c>
    </row>
    <row r="819" spans="1:5" x14ac:dyDescent="0.2">
      <c r="A819">
        <v>3</v>
      </c>
      <c r="B819" t="s">
        <v>18</v>
      </c>
      <c r="C819">
        <v>1</v>
      </c>
      <c r="D819">
        <v>9</v>
      </c>
      <c r="E819" s="3">
        <v>17</v>
      </c>
    </row>
    <row r="820" spans="1:5" x14ac:dyDescent="0.2">
      <c r="A820">
        <v>4</v>
      </c>
      <c r="B820" t="s">
        <v>74</v>
      </c>
      <c r="C820">
        <v>0</v>
      </c>
      <c r="D820">
        <v>5</v>
      </c>
      <c r="E820" s="3">
        <v>17</v>
      </c>
    </row>
    <row r="821" spans="1:5" x14ac:dyDescent="0.2">
      <c r="A821">
        <v>5</v>
      </c>
      <c r="B821" t="s">
        <v>33</v>
      </c>
      <c r="C821">
        <v>0</v>
      </c>
      <c r="D821">
        <v>3</v>
      </c>
      <c r="E821" s="3">
        <v>17</v>
      </c>
    </row>
    <row r="822" spans="1:5" x14ac:dyDescent="0.2">
      <c r="A822">
        <v>6</v>
      </c>
      <c r="B822" t="s">
        <v>35</v>
      </c>
      <c r="C822">
        <v>0</v>
      </c>
      <c r="D822">
        <v>2</v>
      </c>
      <c r="E822" s="3">
        <v>17</v>
      </c>
    </row>
    <row r="823" spans="1:5" x14ac:dyDescent="0.2">
      <c r="A823">
        <v>7</v>
      </c>
      <c r="B823" t="s">
        <v>32</v>
      </c>
      <c r="C823">
        <v>0</v>
      </c>
      <c r="D823">
        <v>1</v>
      </c>
      <c r="E823" s="3">
        <v>17</v>
      </c>
    </row>
    <row r="824" spans="1:5" x14ac:dyDescent="0.2">
      <c r="A824">
        <v>1</v>
      </c>
      <c r="B824" t="s">
        <v>103</v>
      </c>
      <c r="C824">
        <v>1</v>
      </c>
      <c r="D824">
        <v>16</v>
      </c>
      <c r="E824" s="3">
        <v>17</v>
      </c>
    </row>
    <row r="825" spans="1:5" x14ac:dyDescent="0.2">
      <c r="A825">
        <v>2</v>
      </c>
      <c r="B825" t="s">
        <v>101</v>
      </c>
      <c r="C825">
        <v>2</v>
      </c>
      <c r="D825">
        <v>12</v>
      </c>
      <c r="E825" s="3">
        <v>17</v>
      </c>
    </row>
    <row r="826" spans="1:5" x14ac:dyDescent="0.2">
      <c r="A826">
        <v>3</v>
      </c>
      <c r="B826" t="s">
        <v>27</v>
      </c>
      <c r="C826">
        <v>0</v>
      </c>
      <c r="D826">
        <v>8</v>
      </c>
      <c r="E826" s="3">
        <v>17</v>
      </c>
    </row>
    <row r="827" spans="1:5" x14ac:dyDescent="0.2">
      <c r="A827">
        <v>4</v>
      </c>
      <c r="B827" t="s">
        <v>92</v>
      </c>
      <c r="C827">
        <v>2</v>
      </c>
      <c r="D827">
        <v>4</v>
      </c>
      <c r="E827" s="3">
        <v>17</v>
      </c>
    </row>
    <row r="828" spans="1:5" x14ac:dyDescent="0.2">
      <c r="A828">
        <v>5</v>
      </c>
      <c r="B828" t="s">
        <v>59</v>
      </c>
      <c r="C828">
        <v>0</v>
      </c>
      <c r="D828">
        <v>2</v>
      </c>
      <c r="E828" s="3">
        <v>17</v>
      </c>
    </row>
    <row r="829" spans="1:5" x14ac:dyDescent="0.2">
      <c r="A829">
        <v>6</v>
      </c>
      <c r="B829" t="s">
        <v>21</v>
      </c>
      <c r="C829">
        <v>0</v>
      </c>
      <c r="D829">
        <v>1</v>
      </c>
      <c r="E829" s="3">
        <v>17</v>
      </c>
    </row>
    <row r="830" spans="1:5" x14ac:dyDescent="0.2">
      <c r="A830">
        <v>1</v>
      </c>
      <c r="B830" t="s">
        <v>53</v>
      </c>
      <c r="C830">
        <v>2</v>
      </c>
      <c r="D830">
        <v>17</v>
      </c>
      <c r="E830" s="3">
        <v>18</v>
      </c>
    </row>
    <row r="831" spans="1:5" x14ac:dyDescent="0.2">
      <c r="A831">
        <v>2</v>
      </c>
      <c r="B831" t="s">
        <v>19</v>
      </c>
      <c r="C831">
        <v>4</v>
      </c>
      <c r="D831">
        <v>13</v>
      </c>
      <c r="E831" s="3">
        <v>18</v>
      </c>
    </row>
    <row r="832" spans="1:5" x14ac:dyDescent="0.2">
      <c r="A832">
        <v>3</v>
      </c>
      <c r="B832" t="s">
        <v>61</v>
      </c>
      <c r="C832">
        <v>0</v>
      </c>
      <c r="D832">
        <v>9</v>
      </c>
      <c r="E832" s="3">
        <v>18</v>
      </c>
    </row>
    <row r="833" spans="1:5" x14ac:dyDescent="0.2">
      <c r="A833">
        <v>4</v>
      </c>
      <c r="B833" t="s">
        <v>33</v>
      </c>
      <c r="C833">
        <v>0</v>
      </c>
      <c r="D833">
        <v>5</v>
      </c>
      <c r="E833" s="3">
        <v>18</v>
      </c>
    </row>
    <row r="834" spans="1:5" x14ac:dyDescent="0.2">
      <c r="A834">
        <v>5</v>
      </c>
      <c r="B834" t="s">
        <v>28</v>
      </c>
      <c r="C834">
        <v>0</v>
      </c>
      <c r="D834">
        <v>3</v>
      </c>
      <c r="E834" s="3">
        <v>18</v>
      </c>
    </row>
    <row r="835" spans="1:5" x14ac:dyDescent="0.2">
      <c r="A835">
        <v>6</v>
      </c>
      <c r="B835" t="s">
        <v>55</v>
      </c>
      <c r="C835">
        <v>0</v>
      </c>
      <c r="D835">
        <v>2</v>
      </c>
      <c r="E835" s="3">
        <v>18</v>
      </c>
    </row>
    <row r="836" spans="1:5" x14ac:dyDescent="0.2">
      <c r="A836">
        <v>7</v>
      </c>
      <c r="B836" t="s">
        <v>101</v>
      </c>
      <c r="C836">
        <v>0</v>
      </c>
      <c r="D836">
        <v>1</v>
      </c>
      <c r="E836" s="3">
        <v>18</v>
      </c>
    </row>
    <row r="837" spans="1:5" x14ac:dyDescent="0.2">
      <c r="A837">
        <v>1</v>
      </c>
      <c r="B837" t="s">
        <v>68</v>
      </c>
      <c r="C837">
        <v>3</v>
      </c>
      <c r="D837">
        <v>17</v>
      </c>
      <c r="E837" s="3">
        <v>18</v>
      </c>
    </row>
    <row r="838" spans="1:5" x14ac:dyDescent="0.2">
      <c r="A838">
        <v>2</v>
      </c>
      <c r="B838" t="s">
        <v>8</v>
      </c>
      <c r="C838">
        <v>3</v>
      </c>
      <c r="D838">
        <v>13</v>
      </c>
      <c r="E838" s="3">
        <v>18</v>
      </c>
    </row>
    <row r="839" spans="1:5" x14ac:dyDescent="0.2">
      <c r="A839">
        <v>3</v>
      </c>
      <c r="B839" t="s">
        <v>31</v>
      </c>
      <c r="C839">
        <v>0</v>
      </c>
      <c r="D839">
        <v>9</v>
      </c>
      <c r="E839" s="3">
        <v>18</v>
      </c>
    </row>
    <row r="840" spans="1:5" x14ac:dyDescent="0.2">
      <c r="A840">
        <v>4</v>
      </c>
      <c r="B840" t="s">
        <v>103</v>
      </c>
      <c r="C840">
        <v>0</v>
      </c>
      <c r="D840">
        <v>5</v>
      </c>
      <c r="E840" s="3">
        <v>18</v>
      </c>
    </row>
    <row r="841" spans="1:5" x14ac:dyDescent="0.2">
      <c r="A841">
        <v>5</v>
      </c>
      <c r="B841" t="s">
        <v>54</v>
      </c>
      <c r="C841">
        <v>0</v>
      </c>
      <c r="D841">
        <v>3</v>
      </c>
      <c r="E841" s="3">
        <v>18</v>
      </c>
    </row>
    <row r="842" spans="1:5" x14ac:dyDescent="0.2">
      <c r="A842">
        <v>6</v>
      </c>
      <c r="B842" t="s">
        <v>41</v>
      </c>
      <c r="C842">
        <v>0</v>
      </c>
      <c r="D842">
        <v>2</v>
      </c>
      <c r="E842" s="3">
        <v>18</v>
      </c>
    </row>
    <row r="843" spans="1:5" x14ac:dyDescent="0.2">
      <c r="A843">
        <v>7</v>
      </c>
      <c r="B843" t="s">
        <v>69</v>
      </c>
      <c r="C843">
        <v>0</v>
      </c>
      <c r="D843">
        <v>1</v>
      </c>
      <c r="E843" s="3">
        <v>18</v>
      </c>
    </row>
    <row r="844" spans="1:5" x14ac:dyDescent="0.2">
      <c r="A844">
        <v>1</v>
      </c>
      <c r="B844" t="s">
        <v>59</v>
      </c>
      <c r="C844">
        <v>2</v>
      </c>
      <c r="D844">
        <v>17</v>
      </c>
      <c r="E844" s="3">
        <v>18</v>
      </c>
    </row>
    <row r="845" spans="1:5" x14ac:dyDescent="0.2">
      <c r="A845">
        <v>2</v>
      </c>
      <c r="B845" t="s">
        <v>21</v>
      </c>
      <c r="C845">
        <v>1</v>
      </c>
      <c r="D845">
        <v>13</v>
      </c>
      <c r="E845" s="3">
        <v>18</v>
      </c>
    </row>
    <row r="846" spans="1:5" x14ac:dyDescent="0.2">
      <c r="A846">
        <v>3</v>
      </c>
      <c r="B846" t="s">
        <v>50</v>
      </c>
      <c r="C846">
        <v>0</v>
      </c>
      <c r="D846">
        <v>9</v>
      </c>
      <c r="E846" s="3">
        <v>18</v>
      </c>
    </row>
    <row r="847" spans="1:5" x14ac:dyDescent="0.2">
      <c r="A847">
        <v>4</v>
      </c>
      <c r="B847" t="s">
        <v>88</v>
      </c>
      <c r="C847">
        <v>1</v>
      </c>
      <c r="D847">
        <v>5</v>
      </c>
      <c r="E847" s="3">
        <v>18</v>
      </c>
    </row>
    <row r="848" spans="1:5" x14ac:dyDescent="0.2">
      <c r="A848">
        <v>5</v>
      </c>
      <c r="B848" t="s">
        <v>46</v>
      </c>
      <c r="C848">
        <v>1</v>
      </c>
      <c r="D848">
        <v>3</v>
      </c>
      <c r="E848" s="3">
        <v>18</v>
      </c>
    </row>
    <row r="849" spans="1:5" x14ac:dyDescent="0.2">
      <c r="A849">
        <v>6</v>
      </c>
      <c r="B849" t="s">
        <v>76</v>
      </c>
      <c r="C849">
        <v>1</v>
      </c>
      <c r="D849">
        <v>2</v>
      </c>
      <c r="E849" s="3">
        <v>18</v>
      </c>
    </row>
    <row r="850" spans="1:5" x14ac:dyDescent="0.2">
      <c r="A850">
        <v>7</v>
      </c>
      <c r="B850" t="s">
        <v>29</v>
      </c>
      <c r="C850">
        <v>0</v>
      </c>
      <c r="D850">
        <v>1</v>
      </c>
      <c r="E850" s="3">
        <v>18</v>
      </c>
    </row>
    <row r="851" spans="1:5" x14ac:dyDescent="0.2">
      <c r="A851">
        <v>1</v>
      </c>
      <c r="B851" t="s">
        <v>18</v>
      </c>
      <c r="C851">
        <v>4</v>
      </c>
      <c r="D851">
        <v>17</v>
      </c>
      <c r="E851" s="3">
        <v>18</v>
      </c>
    </row>
    <row r="852" spans="1:5" x14ac:dyDescent="0.2">
      <c r="A852">
        <v>2</v>
      </c>
      <c r="B852" t="s">
        <v>22</v>
      </c>
      <c r="C852">
        <v>0</v>
      </c>
      <c r="D852">
        <v>13</v>
      </c>
      <c r="E852" s="3">
        <v>18</v>
      </c>
    </row>
    <row r="853" spans="1:5" x14ac:dyDescent="0.2">
      <c r="A853">
        <v>3</v>
      </c>
      <c r="B853" t="s">
        <v>38</v>
      </c>
      <c r="C853">
        <v>2</v>
      </c>
      <c r="D853">
        <v>9</v>
      </c>
      <c r="E853" s="3">
        <v>18</v>
      </c>
    </row>
    <row r="854" spans="1:5" x14ac:dyDescent="0.2">
      <c r="A854">
        <v>4</v>
      </c>
      <c r="B854" t="s">
        <v>65</v>
      </c>
      <c r="C854">
        <v>0</v>
      </c>
      <c r="D854">
        <v>5</v>
      </c>
      <c r="E854" s="3">
        <v>18</v>
      </c>
    </row>
    <row r="855" spans="1:5" x14ac:dyDescent="0.2">
      <c r="A855">
        <v>5</v>
      </c>
      <c r="B855" t="s">
        <v>45</v>
      </c>
      <c r="C855">
        <v>0</v>
      </c>
      <c r="D855">
        <v>3</v>
      </c>
      <c r="E855" s="3">
        <v>18</v>
      </c>
    </row>
    <row r="856" spans="1:5" x14ac:dyDescent="0.2">
      <c r="A856">
        <v>6</v>
      </c>
      <c r="B856" t="s">
        <v>98</v>
      </c>
      <c r="C856">
        <v>0</v>
      </c>
      <c r="D856">
        <v>2</v>
      </c>
      <c r="E856" s="3">
        <v>18</v>
      </c>
    </row>
    <row r="857" spans="1:5" x14ac:dyDescent="0.2">
      <c r="A857">
        <v>7</v>
      </c>
      <c r="B857" t="s">
        <v>40</v>
      </c>
      <c r="C857">
        <v>0</v>
      </c>
      <c r="D857">
        <v>1</v>
      </c>
      <c r="E857" s="3">
        <v>18</v>
      </c>
    </row>
    <row r="858" spans="1:5" x14ac:dyDescent="0.2">
      <c r="A858">
        <v>1</v>
      </c>
      <c r="B858" t="s">
        <v>23</v>
      </c>
      <c r="C858">
        <v>2</v>
      </c>
      <c r="D858">
        <v>16</v>
      </c>
      <c r="E858" s="3">
        <v>18</v>
      </c>
    </row>
    <row r="859" spans="1:5" x14ac:dyDescent="0.2">
      <c r="A859">
        <v>2</v>
      </c>
      <c r="B859" t="s">
        <v>12</v>
      </c>
      <c r="C859">
        <v>1</v>
      </c>
      <c r="D859">
        <v>12</v>
      </c>
      <c r="E859" s="3">
        <v>18</v>
      </c>
    </row>
    <row r="860" spans="1:5" x14ac:dyDescent="0.2">
      <c r="A860">
        <v>3</v>
      </c>
      <c r="B860" t="s">
        <v>305</v>
      </c>
      <c r="C860">
        <v>2</v>
      </c>
      <c r="D860">
        <v>8</v>
      </c>
      <c r="E860" s="3">
        <v>18</v>
      </c>
    </row>
    <row r="861" spans="1:5" x14ac:dyDescent="0.2">
      <c r="A861">
        <v>4</v>
      </c>
      <c r="B861" t="s">
        <v>25</v>
      </c>
      <c r="C861">
        <v>0</v>
      </c>
      <c r="D861">
        <v>4</v>
      </c>
      <c r="E861" s="3">
        <v>18</v>
      </c>
    </row>
    <row r="862" spans="1:5" x14ac:dyDescent="0.2">
      <c r="A862">
        <v>5</v>
      </c>
      <c r="B862" t="s">
        <v>26</v>
      </c>
      <c r="C862">
        <v>0</v>
      </c>
      <c r="D862">
        <v>2</v>
      </c>
      <c r="E862" s="3">
        <v>18</v>
      </c>
    </row>
    <row r="863" spans="1:5" x14ac:dyDescent="0.2">
      <c r="A863">
        <v>6</v>
      </c>
      <c r="B863" t="s">
        <v>52</v>
      </c>
      <c r="C863">
        <v>0</v>
      </c>
      <c r="D863">
        <v>1</v>
      </c>
      <c r="E863" s="3">
        <v>18</v>
      </c>
    </row>
    <row r="864" spans="1:5" x14ac:dyDescent="0.2">
      <c r="A864">
        <v>1</v>
      </c>
      <c r="B864" t="s">
        <v>6</v>
      </c>
      <c r="C864">
        <v>2</v>
      </c>
      <c r="D864">
        <v>17</v>
      </c>
      <c r="E864" s="3">
        <v>18</v>
      </c>
    </row>
    <row r="865" spans="1:5" x14ac:dyDescent="0.2">
      <c r="A865">
        <v>2</v>
      </c>
      <c r="B865" t="s">
        <v>60</v>
      </c>
      <c r="C865">
        <v>1</v>
      </c>
      <c r="D865">
        <v>13</v>
      </c>
      <c r="E865" s="3">
        <v>18</v>
      </c>
    </row>
    <row r="866" spans="1:5" x14ac:dyDescent="0.2">
      <c r="A866">
        <v>3</v>
      </c>
      <c r="B866" t="s">
        <v>77</v>
      </c>
      <c r="C866">
        <v>1</v>
      </c>
      <c r="D866">
        <v>9</v>
      </c>
      <c r="E866" s="3">
        <v>18</v>
      </c>
    </row>
    <row r="867" spans="1:5" x14ac:dyDescent="0.2">
      <c r="A867">
        <v>4</v>
      </c>
      <c r="B867" t="s">
        <v>75</v>
      </c>
      <c r="C867">
        <v>0</v>
      </c>
      <c r="D867">
        <v>5</v>
      </c>
      <c r="E867" s="3">
        <v>18</v>
      </c>
    </row>
    <row r="868" spans="1:5" x14ac:dyDescent="0.2">
      <c r="A868">
        <v>5</v>
      </c>
      <c r="B868" t="s">
        <v>39</v>
      </c>
      <c r="C868">
        <v>2</v>
      </c>
      <c r="D868">
        <v>3</v>
      </c>
      <c r="E868" s="3">
        <v>18</v>
      </c>
    </row>
    <row r="869" spans="1:5" x14ac:dyDescent="0.2">
      <c r="A869">
        <v>6</v>
      </c>
      <c r="B869" t="s">
        <v>35</v>
      </c>
      <c r="C869">
        <v>0</v>
      </c>
      <c r="D869">
        <v>2</v>
      </c>
      <c r="E869" s="3">
        <v>18</v>
      </c>
    </row>
    <row r="870" spans="1:5" x14ac:dyDescent="0.2">
      <c r="A870">
        <v>7</v>
      </c>
      <c r="B870" t="s">
        <v>81</v>
      </c>
      <c r="C870">
        <v>0</v>
      </c>
      <c r="D870">
        <v>1</v>
      </c>
      <c r="E870" s="3">
        <v>18</v>
      </c>
    </row>
    <row r="871" spans="1:5" x14ac:dyDescent="0.2">
      <c r="A871">
        <v>1</v>
      </c>
      <c r="B871" t="s">
        <v>9</v>
      </c>
      <c r="C871">
        <v>4</v>
      </c>
      <c r="D871">
        <v>17</v>
      </c>
      <c r="E871" s="3">
        <v>18</v>
      </c>
    </row>
    <row r="872" spans="1:5" x14ac:dyDescent="0.2">
      <c r="A872">
        <v>2</v>
      </c>
      <c r="B872" t="s">
        <v>74</v>
      </c>
      <c r="C872">
        <v>1</v>
      </c>
      <c r="D872">
        <v>13</v>
      </c>
      <c r="E872" s="3">
        <v>18</v>
      </c>
    </row>
    <row r="873" spans="1:5" x14ac:dyDescent="0.2">
      <c r="A873">
        <v>3</v>
      </c>
      <c r="B873" t="s">
        <v>73</v>
      </c>
      <c r="C873">
        <v>0</v>
      </c>
      <c r="D873">
        <v>9</v>
      </c>
      <c r="E873" s="3">
        <v>18</v>
      </c>
    </row>
    <row r="874" spans="1:5" x14ac:dyDescent="0.2">
      <c r="A874">
        <v>4</v>
      </c>
      <c r="B874" t="s">
        <v>47</v>
      </c>
      <c r="C874">
        <v>1</v>
      </c>
      <c r="D874">
        <v>5</v>
      </c>
      <c r="E874" s="3">
        <v>18</v>
      </c>
    </row>
    <row r="875" spans="1:5" x14ac:dyDescent="0.2">
      <c r="A875">
        <v>5</v>
      </c>
      <c r="B875" t="s">
        <v>42</v>
      </c>
      <c r="C875">
        <v>0</v>
      </c>
      <c r="D875">
        <v>3</v>
      </c>
      <c r="E875" s="3">
        <v>18</v>
      </c>
    </row>
    <row r="876" spans="1:5" x14ac:dyDescent="0.2">
      <c r="A876">
        <v>6</v>
      </c>
      <c r="B876" t="s">
        <v>27</v>
      </c>
      <c r="C876">
        <v>0</v>
      </c>
      <c r="D876">
        <v>2</v>
      </c>
      <c r="E876" s="3">
        <v>18</v>
      </c>
    </row>
    <row r="877" spans="1:5" x14ac:dyDescent="0.2">
      <c r="A877">
        <v>7</v>
      </c>
      <c r="B877" t="s">
        <v>92</v>
      </c>
      <c r="C877">
        <v>0</v>
      </c>
      <c r="D877">
        <v>1</v>
      </c>
      <c r="E877" s="3">
        <v>18</v>
      </c>
    </row>
    <row r="878" spans="1:5" x14ac:dyDescent="0.2">
      <c r="A878">
        <v>1</v>
      </c>
      <c r="B878" t="s">
        <v>59</v>
      </c>
      <c r="C878">
        <v>4</v>
      </c>
      <c r="D878">
        <v>16</v>
      </c>
      <c r="E878" s="3">
        <v>19</v>
      </c>
    </row>
    <row r="879" spans="1:5" x14ac:dyDescent="0.2">
      <c r="A879">
        <v>2</v>
      </c>
      <c r="B879" t="s">
        <v>31</v>
      </c>
      <c r="C879">
        <v>0</v>
      </c>
      <c r="D879">
        <v>12</v>
      </c>
      <c r="E879" s="3">
        <v>19</v>
      </c>
    </row>
    <row r="880" spans="1:5" x14ac:dyDescent="0.2">
      <c r="A880">
        <v>3</v>
      </c>
      <c r="B880" t="s">
        <v>54</v>
      </c>
      <c r="C880">
        <v>0</v>
      </c>
      <c r="D880">
        <v>8</v>
      </c>
      <c r="E880" s="3">
        <v>19</v>
      </c>
    </row>
    <row r="881" spans="1:5" x14ac:dyDescent="0.2">
      <c r="A881">
        <v>4</v>
      </c>
      <c r="B881" t="s">
        <v>38</v>
      </c>
      <c r="C881">
        <v>0</v>
      </c>
      <c r="D881">
        <v>4</v>
      </c>
      <c r="E881" s="3">
        <v>19</v>
      </c>
    </row>
    <row r="882" spans="1:5" x14ac:dyDescent="0.2">
      <c r="A882">
        <v>5</v>
      </c>
      <c r="B882" t="s">
        <v>76</v>
      </c>
      <c r="C882">
        <v>1</v>
      </c>
      <c r="D882">
        <v>2</v>
      </c>
      <c r="E882" s="3">
        <v>19</v>
      </c>
    </row>
    <row r="883" spans="1:5" x14ac:dyDescent="0.2">
      <c r="A883">
        <v>6</v>
      </c>
      <c r="B883" t="s">
        <v>103</v>
      </c>
      <c r="C883">
        <v>0</v>
      </c>
      <c r="D883">
        <v>1</v>
      </c>
      <c r="E883" s="3">
        <v>19</v>
      </c>
    </row>
    <row r="884" spans="1:5" x14ac:dyDescent="0.2">
      <c r="A884">
        <v>1</v>
      </c>
      <c r="B884" t="s">
        <v>50</v>
      </c>
      <c r="C884">
        <v>1</v>
      </c>
      <c r="D884">
        <v>16</v>
      </c>
      <c r="E884" s="3">
        <v>19</v>
      </c>
    </row>
    <row r="885" spans="1:5" x14ac:dyDescent="0.2">
      <c r="A885">
        <v>2</v>
      </c>
      <c r="B885" t="s">
        <v>102</v>
      </c>
      <c r="C885">
        <v>2</v>
      </c>
      <c r="D885">
        <v>12</v>
      </c>
      <c r="E885" s="3">
        <v>19</v>
      </c>
    </row>
    <row r="886" spans="1:5" x14ac:dyDescent="0.2">
      <c r="A886">
        <v>3</v>
      </c>
      <c r="B886" t="s">
        <v>40</v>
      </c>
      <c r="C886">
        <v>2</v>
      </c>
      <c r="D886">
        <v>8</v>
      </c>
      <c r="E886" s="3">
        <v>19</v>
      </c>
    </row>
    <row r="887" spans="1:5" x14ac:dyDescent="0.2">
      <c r="A887">
        <v>4</v>
      </c>
      <c r="B887" t="s">
        <v>33</v>
      </c>
      <c r="C887">
        <v>0</v>
      </c>
      <c r="D887">
        <v>4</v>
      </c>
      <c r="E887" s="3">
        <v>19</v>
      </c>
    </row>
    <row r="888" spans="1:5" x14ac:dyDescent="0.2">
      <c r="A888">
        <v>5</v>
      </c>
      <c r="B888" t="s">
        <v>47</v>
      </c>
      <c r="C888">
        <v>0</v>
      </c>
      <c r="D888">
        <v>2</v>
      </c>
      <c r="E888" s="3">
        <v>19</v>
      </c>
    </row>
    <row r="889" spans="1:5" x14ac:dyDescent="0.2">
      <c r="A889">
        <v>6</v>
      </c>
      <c r="B889" t="s">
        <v>66</v>
      </c>
      <c r="C889">
        <v>0</v>
      </c>
      <c r="D889">
        <v>1</v>
      </c>
      <c r="E889" s="3">
        <v>19</v>
      </c>
    </row>
    <row r="890" spans="1:5" x14ac:dyDescent="0.2">
      <c r="A890">
        <v>1</v>
      </c>
      <c r="B890" t="s">
        <v>65</v>
      </c>
      <c r="C890">
        <v>4</v>
      </c>
      <c r="D890">
        <v>16</v>
      </c>
      <c r="E890" s="3">
        <v>19</v>
      </c>
    </row>
    <row r="891" spans="1:5" x14ac:dyDescent="0.2">
      <c r="A891">
        <v>2</v>
      </c>
      <c r="B891" t="s">
        <v>41</v>
      </c>
      <c r="C891">
        <v>1</v>
      </c>
      <c r="D891">
        <v>12</v>
      </c>
      <c r="E891" s="3">
        <v>19</v>
      </c>
    </row>
    <row r="892" spans="1:5" x14ac:dyDescent="0.2">
      <c r="A892">
        <v>3</v>
      </c>
      <c r="B892" t="s">
        <v>55</v>
      </c>
      <c r="C892">
        <v>0</v>
      </c>
      <c r="D892">
        <v>8</v>
      </c>
      <c r="E892" s="3">
        <v>19</v>
      </c>
    </row>
    <row r="893" spans="1:5" x14ac:dyDescent="0.2">
      <c r="A893">
        <v>4</v>
      </c>
      <c r="B893" t="s">
        <v>14</v>
      </c>
      <c r="C893">
        <v>0</v>
      </c>
      <c r="D893">
        <v>4</v>
      </c>
      <c r="E893" s="3">
        <v>19</v>
      </c>
    </row>
    <row r="894" spans="1:5" x14ac:dyDescent="0.2">
      <c r="A894">
        <v>5</v>
      </c>
      <c r="B894" t="s">
        <v>29</v>
      </c>
      <c r="C894">
        <v>0</v>
      </c>
      <c r="D894">
        <v>2</v>
      </c>
      <c r="E894" s="3">
        <v>19</v>
      </c>
    </row>
    <row r="895" spans="1:5" x14ac:dyDescent="0.2">
      <c r="A895">
        <v>6</v>
      </c>
      <c r="B895" t="s">
        <v>53</v>
      </c>
      <c r="C895">
        <v>0</v>
      </c>
      <c r="D895">
        <v>1</v>
      </c>
      <c r="E895" s="3">
        <v>19</v>
      </c>
    </row>
    <row r="896" spans="1:5" x14ac:dyDescent="0.2">
      <c r="A896">
        <v>1</v>
      </c>
      <c r="B896" t="s">
        <v>46</v>
      </c>
      <c r="C896">
        <v>1</v>
      </c>
      <c r="D896">
        <v>16</v>
      </c>
      <c r="E896" s="3">
        <v>19</v>
      </c>
    </row>
    <row r="897" spans="1:5" x14ac:dyDescent="0.2">
      <c r="A897">
        <v>2</v>
      </c>
      <c r="B897" t="s">
        <v>25</v>
      </c>
      <c r="C897">
        <v>1</v>
      </c>
      <c r="D897">
        <v>12</v>
      </c>
      <c r="E897" s="3">
        <v>19</v>
      </c>
    </row>
    <row r="898" spans="1:5" x14ac:dyDescent="0.2">
      <c r="A898">
        <v>3</v>
      </c>
      <c r="B898" t="s">
        <v>8</v>
      </c>
      <c r="C898">
        <v>2</v>
      </c>
      <c r="D898">
        <v>8</v>
      </c>
      <c r="E898" s="3">
        <v>19</v>
      </c>
    </row>
    <row r="899" spans="1:5" x14ac:dyDescent="0.2">
      <c r="A899">
        <v>4</v>
      </c>
      <c r="B899" t="s">
        <v>22</v>
      </c>
      <c r="C899">
        <v>1</v>
      </c>
      <c r="D899">
        <v>4</v>
      </c>
      <c r="E899" s="3">
        <v>19</v>
      </c>
    </row>
    <row r="900" spans="1:5" x14ac:dyDescent="0.2">
      <c r="A900">
        <v>5</v>
      </c>
      <c r="B900" t="s">
        <v>52</v>
      </c>
      <c r="C900">
        <v>0</v>
      </c>
      <c r="D900">
        <v>2</v>
      </c>
      <c r="E900" s="3">
        <v>19</v>
      </c>
    </row>
    <row r="901" spans="1:5" x14ac:dyDescent="0.2">
      <c r="A901">
        <v>6</v>
      </c>
      <c r="B901" t="s">
        <v>21</v>
      </c>
      <c r="C901">
        <v>0</v>
      </c>
      <c r="D901">
        <v>1</v>
      </c>
      <c r="E901" s="3">
        <v>19</v>
      </c>
    </row>
    <row r="902" spans="1:5" x14ac:dyDescent="0.2">
      <c r="A902">
        <v>1</v>
      </c>
      <c r="B902" t="s">
        <v>45</v>
      </c>
      <c r="C902">
        <v>2</v>
      </c>
      <c r="D902">
        <v>16</v>
      </c>
      <c r="E902" s="3">
        <v>19</v>
      </c>
    </row>
    <row r="903" spans="1:5" x14ac:dyDescent="0.2">
      <c r="A903">
        <v>2</v>
      </c>
      <c r="B903" t="s">
        <v>61</v>
      </c>
      <c r="C903">
        <v>1</v>
      </c>
      <c r="D903">
        <v>12</v>
      </c>
      <c r="E903" s="3">
        <v>19</v>
      </c>
    </row>
    <row r="904" spans="1:5" x14ac:dyDescent="0.2">
      <c r="A904">
        <v>3</v>
      </c>
      <c r="B904" t="s">
        <v>101</v>
      </c>
      <c r="C904">
        <v>1</v>
      </c>
      <c r="D904">
        <v>8</v>
      </c>
      <c r="E904" s="3">
        <v>19</v>
      </c>
    </row>
    <row r="905" spans="1:5" x14ac:dyDescent="0.2">
      <c r="A905">
        <v>4</v>
      </c>
      <c r="B905" t="s">
        <v>12</v>
      </c>
      <c r="C905">
        <v>1</v>
      </c>
      <c r="D905">
        <v>4</v>
      </c>
      <c r="E905" s="3">
        <v>19</v>
      </c>
    </row>
    <row r="906" spans="1:5" x14ac:dyDescent="0.2">
      <c r="A906">
        <v>5</v>
      </c>
      <c r="B906" t="s">
        <v>81</v>
      </c>
      <c r="C906">
        <v>0</v>
      </c>
      <c r="D906">
        <v>2</v>
      </c>
      <c r="E906" s="3">
        <v>19</v>
      </c>
    </row>
    <row r="907" spans="1:5" x14ac:dyDescent="0.2">
      <c r="A907">
        <v>6</v>
      </c>
      <c r="B907" t="s">
        <v>18</v>
      </c>
      <c r="C907">
        <v>0</v>
      </c>
      <c r="D907">
        <v>1</v>
      </c>
      <c r="E907" s="3">
        <v>19</v>
      </c>
    </row>
    <row r="908" spans="1:5" x14ac:dyDescent="0.2">
      <c r="A908">
        <v>1</v>
      </c>
      <c r="B908" t="s">
        <v>94</v>
      </c>
      <c r="C908">
        <v>4</v>
      </c>
      <c r="D908">
        <v>16</v>
      </c>
      <c r="E908" s="3">
        <v>19</v>
      </c>
    </row>
    <row r="909" spans="1:5" x14ac:dyDescent="0.2">
      <c r="A909">
        <v>2</v>
      </c>
      <c r="B909" t="s">
        <v>68</v>
      </c>
      <c r="C909">
        <v>1</v>
      </c>
      <c r="D909">
        <v>12</v>
      </c>
      <c r="E909" s="3">
        <v>19</v>
      </c>
    </row>
    <row r="910" spans="1:5" x14ac:dyDescent="0.2">
      <c r="A910">
        <v>3</v>
      </c>
      <c r="B910" t="s">
        <v>26</v>
      </c>
      <c r="C910">
        <v>0</v>
      </c>
      <c r="D910">
        <v>8</v>
      </c>
      <c r="E910" s="3">
        <v>19</v>
      </c>
    </row>
    <row r="911" spans="1:5" x14ac:dyDescent="0.2">
      <c r="A911">
        <v>4</v>
      </c>
      <c r="B911" t="s">
        <v>43</v>
      </c>
      <c r="C911">
        <v>0</v>
      </c>
      <c r="D911">
        <v>4</v>
      </c>
      <c r="E911" s="3">
        <v>19</v>
      </c>
    </row>
    <row r="912" spans="1:5" x14ac:dyDescent="0.2">
      <c r="A912">
        <v>5</v>
      </c>
      <c r="B912" t="s">
        <v>75</v>
      </c>
      <c r="C912">
        <v>0</v>
      </c>
      <c r="D912">
        <v>2</v>
      </c>
      <c r="E912" s="3">
        <v>19</v>
      </c>
    </row>
    <row r="913" spans="1:5" x14ac:dyDescent="0.2">
      <c r="A913">
        <v>6</v>
      </c>
      <c r="B913" t="s">
        <v>92</v>
      </c>
      <c r="C913">
        <v>0</v>
      </c>
      <c r="D913">
        <v>1</v>
      </c>
      <c r="E913" s="3">
        <v>19</v>
      </c>
    </row>
    <row r="914" spans="1:5" x14ac:dyDescent="0.2">
      <c r="A914">
        <v>1</v>
      </c>
      <c r="B914" t="s">
        <v>19</v>
      </c>
      <c r="C914">
        <v>3</v>
      </c>
      <c r="D914">
        <v>17</v>
      </c>
      <c r="E914" s="3">
        <v>19</v>
      </c>
    </row>
    <row r="915" spans="1:5" x14ac:dyDescent="0.2">
      <c r="A915">
        <v>2</v>
      </c>
      <c r="B915" t="s">
        <v>28</v>
      </c>
      <c r="C915">
        <v>3</v>
      </c>
      <c r="D915">
        <v>13</v>
      </c>
      <c r="E915" s="3">
        <v>19</v>
      </c>
    </row>
    <row r="916" spans="1:5" x14ac:dyDescent="0.2">
      <c r="A916">
        <v>3</v>
      </c>
      <c r="B916" t="s">
        <v>35</v>
      </c>
      <c r="C916">
        <v>0</v>
      </c>
      <c r="D916">
        <v>9</v>
      </c>
      <c r="E916" s="3">
        <v>19</v>
      </c>
    </row>
    <row r="917" spans="1:5" x14ac:dyDescent="0.2">
      <c r="A917">
        <v>4</v>
      </c>
      <c r="B917" t="s">
        <v>60</v>
      </c>
      <c r="C917">
        <v>0</v>
      </c>
      <c r="D917">
        <v>5</v>
      </c>
      <c r="E917" s="3">
        <v>19</v>
      </c>
    </row>
    <row r="918" spans="1:5" x14ac:dyDescent="0.2">
      <c r="A918">
        <v>5</v>
      </c>
      <c r="B918" t="s">
        <v>9</v>
      </c>
      <c r="C918">
        <v>0</v>
      </c>
      <c r="D918">
        <v>3</v>
      </c>
      <c r="E918" s="3">
        <v>19</v>
      </c>
    </row>
    <row r="919" spans="1:5" x14ac:dyDescent="0.2">
      <c r="A919">
        <v>6</v>
      </c>
      <c r="B919" t="s">
        <v>87</v>
      </c>
      <c r="C919">
        <v>0</v>
      </c>
      <c r="D919">
        <v>2</v>
      </c>
      <c r="E919" s="3">
        <v>19</v>
      </c>
    </row>
    <row r="920" spans="1:5" x14ac:dyDescent="0.2">
      <c r="A920">
        <v>7</v>
      </c>
      <c r="B920" t="s">
        <v>23</v>
      </c>
      <c r="C920">
        <v>0</v>
      </c>
      <c r="D920">
        <v>1</v>
      </c>
      <c r="E920" s="3">
        <v>19</v>
      </c>
    </row>
    <row r="921" spans="1:5" x14ac:dyDescent="0.2">
      <c r="A921">
        <v>1</v>
      </c>
      <c r="B921" t="s">
        <v>73</v>
      </c>
      <c r="C921">
        <v>2</v>
      </c>
      <c r="D921">
        <v>16</v>
      </c>
      <c r="E921" s="3">
        <v>19</v>
      </c>
    </row>
    <row r="922" spans="1:5" x14ac:dyDescent="0.2">
      <c r="A922">
        <v>2</v>
      </c>
      <c r="B922" t="s">
        <v>69</v>
      </c>
      <c r="C922">
        <v>3</v>
      </c>
      <c r="D922">
        <v>12</v>
      </c>
      <c r="E922" s="3">
        <v>19</v>
      </c>
    </row>
    <row r="923" spans="1:5" x14ac:dyDescent="0.2">
      <c r="A923">
        <v>3</v>
      </c>
      <c r="B923" t="s">
        <v>6</v>
      </c>
      <c r="C923">
        <v>0</v>
      </c>
      <c r="D923">
        <v>8</v>
      </c>
      <c r="E923" s="3">
        <v>19</v>
      </c>
    </row>
    <row r="924" spans="1:5" x14ac:dyDescent="0.2">
      <c r="A924">
        <v>4</v>
      </c>
      <c r="B924" t="s">
        <v>42</v>
      </c>
      <c r="C924">
        <v>0</v>
      </c>
      <c r="D924">
        <v>4</v>
      </c>
      <c r="E924" s="3">
        <v>19</v>
      </c>
    </row>
    <row r="925" spans="1:5" x14ac:dyDescent="0.2">
      <c r="A925">
        <v>5</v>
      </c>
      <c r="B925" t="s">
        <v>39</v>
      </c>
      <c r="C925">
        <v>0</v>
      </c>
      <c r="D925">
        <v>2</v>
      </c>
      <c r="E925" s="3">
        <v>19</v>
      </c>
    </row>
    <row r="926" spans="1:5" x14ac:dyDescent="0.2">
      <c r="A926">
        <v>6</v>
      </c>
      <c r="B926" t="s">
        <v>74</v>
      </c>
      <c r="C926">
        <v>0</v>
      </c>
      <c r="D926">
        <v>1</v>
      </c>
      <c r="E926" s="3">
        <v>19</v>
      </c>
    </row>
    <row r="927" spans="1:5" x14ac:dyDescent="0.2">
      <c r="A927">
        <v>1</v>
      </c>
      <c r="B927" t="s">
        <v>103</v>
      </c>
      <c r="C927">
        <v>2</v>
      </c>
      <c r="D927">
        <v>16</v>
      </c>
      <c r="E927" s="3">
        <v>20</v>
      </c>
    </row>
    <row r="928" spans="1:5" x14ac:dyDescent="0.2">
      <c r="A928">
        <v>2</v>
      </c>
      <c r="B928" t="s">
        <v>41</v>
      </c>
      <c r="C928">
        <v>1</v>
      </c>
      <c r="D928">
        <v>12</v>
      </c>
      <c r="E928" s="3">
        <v>20</v>
      </c>
    </row>
    <row r="929" spans="1:5" x14ac:dyDescent="0.2">
      <c r="A929">
        <v>3</v>
      </c>
      <c r="B929" t="s">
        <v>9</v>
      </c>
      <c r="C929">
        <v>2</v>
      </c>
      <c r="D929">
        <v>8</v>
      </c>
      <c r="E929" s="3">
        <v>20</v>
      </c>
    </row>
    <row r="930" spans="1:5" x14ac:dyDescent="0.2">
      <c r="A930">
        <v>4</v>
      </c>
      <c r="B930" t="s">
        <v>88</v>
      </c>
      <c r="C930">
        <v>0</v>
      </c>
      <c r="D930">
        <v>4</v>
      </c>
      <c r="E930" s="3">
        <v>20</v>
      </c>
    </row>
    <row r="931" spans="1:5" x14ac:dyDescent="0.2">
      <c r="A931">
        <v>5</v>
      </c>
      <c r="B931" t="s">
        <v>31</v>
      </c>
      <c r="C931">
        <v>0</v>
      </c>
      <c r="D931">
        <v>2</v>
      </c>
      <c r="E931" s="3">
        <v>20</v>
      </c>
    </row>
    <row r="932" spans="1:5" x14ac:dyDescent="0.2">
      <c r="A932">
        <v>6</v>
      </c>
      <c r="B932" t="s">
        <v>54</v>
      </c>
      <c r="C932">
        <v>0</v>
      </c>
      <c r="D932">
        <v>1</v>
      </c>
      <c r="E932" s="3">
        <v>20</v>
      </c>
    </row>
    <row r="933" spans="1:5" x14ac:dyDescent="0.2">
      <c r="A933">
        <v>1</v>
      </c>
      <c r="B933" t="s">
        <v>305</v>
      </c>
      <c r="C933">
        <v>2</v>
      </c>
      <c r="D933">
        <v>16</v>
      </c>
      <c r="E933" s="3">
        <v>20</v>
      </c>
    </row>
    <row r="934" spans="1:5" x14ac:dyDescent="0.2">
      <c r="A934">
        <v>2</v>
      </c>
      <c r="B934" t="s">
        <v>102</v>
      </c>
      <c r="C934">
        <v>3</v>
      </c>
      <c r="D934">
        <v>12</v>
      </c>
      <c r="E934" s="3">
        <v>20</v>
      </c>
    </row>
    <row r="935" spans="1:5" x14ac:dyDescent="0.2">
      <c r="A935">
        <v>3</v>
      </c>
      <c r="B935" t="s">
        <v>25</v>
      </c>
      <c r="C935">
        <v>0</v>
      </c>
      <c r="D935">
        <v>8</v>
      </c>
      <c r="E935" s="3">
        <v>20</v>
      </c>
    </row>
    <row r="936" spans="1:5" x14ac:dyDescent="0.2">
      <c r="A936">
        <v>4</v>
      </c>
      <c r="B936" t="s">
        <v>6</v>
      </c>
      <c r="C936">
        <v>0</v>
      </c>
      <c r="D936">
        <v>4</v>
      </c>
      <c r="E936" s="3">
        <v>20</v>
      </c>
    </row>
    <row r="937" spans="1:5" x14ac:dyDescent="0.2">
      <c r="A937">
        <v>5</v>
      </c>
      <c r="B937" t="s">
        <v>26</v>
      </c>
      <c r="C937">
        <v>0</v>
      </c>
      <c r="D937">
        <v>2</v>
      </c>
      <c r="E937" s="3">
        <v>20</v>
      </c>
    </row>
    <row r="938" spans="1:5" x14ac:dyDescent="0.2">
      <c r="A938">
        <v>6</v>
      </c>
      <c r="B938" t="s">
        <v>55</v>
      </c>
      <c r="C938">
        <v>0</v>
      </c>
      <c r="D938">
        <v>1</v>
      </c>
      <c r="E938" s="3">
        <v>20</v>
      </c>
    </row>
    <row r="939" spans="1:5" x14ac:dyDescent="0.2">
      <c r="A939">
        <v>1</v>
      </c>
      <c r="B939" t="s">
        <v>12</v>
      </c>
      <c r="C939">
        <v>2</v>
      </c>
      <c r="D939">
        <v>16</v>
      </c>
      <c r="E939" s="3">
        <v>20</v>
      </c>
    </row>
    <row r="940" spans="1:5" x14ac:dyDescent="0.2">
      <c r="A940">
        <v>2</v>
      </c>
      <c r="B940" t="s">
        <v>33</v>
      </c>
      <c r="C940">
        <v>2</v>
      </c>
      <c r="D940">
        <v>12</v>
      </c>
      <c r="E940" s="3">
        <v>20</v>
      </c>
    </row>
    <row r="941" spans="1:5" x14ac:dyDescent="0.2">
      <c r="A941">
        <v>3</v>
      </c>
      <c r="B941" t="s">
        <v>65</v>
      </c>
      <c r="C941">
        <v>0</v>
      </c>
      <c r="D941">
        <v>8</v>
      </c>
      <c r="E941" s="3">
        <v>20</v>
      </c>
    </row>
    <row r="942" spans="1:5" x14ac:dyDescent="0.2">
      <c r="A942">
        <v>4</v>
      </c>
      <c r="B942" t="s">
        <v>21</v>
      </c>
      <c r="C942">
        <v>1</v>
      </c>
      <c r="D942">
        <v>4</v>
      </c>
      <c r="E942" s="3">
        <v>20</v>
      </c>
    </row>
    <row r="943" spans="1:5" x14ac:dyDescent="0.2">
      <c r="A943">
        <v>5</v>
      </c>
      <c r="B943" t="s">
        <v>14</v>
      </c>
      <c r="C943">
        <v>0</v>
      </c>
      <c r="D943">
        <v>2</v>
      </c>
      <c r="E943" s="3">
        <v>20</v>
      </c>
    </row>
    <row r="944" spans="1:5" x14ac:dyDescent="0.2">
      <c r="A944">
        <v>6</v>
      </c>
      <c r="B944" t="s">
        <v>15</v>
      </c>
      <c r="C944">
        <v>0</v>
      </c>
      <c r="D944">
        <v>1</v>
      </c>
      <c r="E944" s="3">
        <v>20</v>
      </c>
    </row>
    <row r="945" spans="1:5" x14ac:dyDescent="0.2">
      <c r="A945">
        <v>1</v>
      </c>
      <c r="B945" t="s">
        <v>73</v>
      </c>
      <c r="C945">
        <v>4</v>
      </c>
      <c r="D945">
        <v>16</v>
      </c>
      <c r="E945" s="3">
        <v>20</v>
      </c>
    </row>
    <row r="946" spans="1:5" x14ac:dyDescent="0.2">
      <c r="A946">
        <v>2</v>
      </c>
      <c r="B946" t="s">
        <v>76</v>
      </c>
      <c r="C946">
        <v>1</v>
      </c>
      <c r="D946">
        <v>12</v>
      </c>
      <c r="E946" s="3">
        <v>20</v>
      </c>
    </row>
    <row r="947" spans="1:5" x14ac:dyDescent="0.2">
      <c r="A947">
        <v>3</v>
      </c>
      <c r="B947" t="s">
        <v>32</v>
      </c>
      <c r="C947">
        <v>0</v>
      </c>
      <c r="D947">
        <v>8</v>
      </c>
      <c r="E947" s="3">
        <v>20</v>
      </c>
    </row>
    <row r="948" spans="1:5" x14ac:dyDescent="0.2">
      <c r="A948">
        <v>4</v>
      </c>
      <c r="B948" t="s">
        <v>23</v>
      </c>
      <c r="C948">
        <v>0</v>
      </c>
      <c r="D948">
        <v>4</v>
      </c>
      <c r="E948" s="3">
        <v>20</v>
      </c>
    </row>
    <row r="949" spans="1:5" x14ac:dyDescent="0.2">
      <c r="A949">
        <v>5</v>
      </c>
      <c r="B949" t="s">
        <v>87</v>
      </c>
      <c r="C949">
        <v>0</v>
      </c>
      <c r="D949">
        <v>2</v>
      </c>
      <c r="E949" s="3">
        <v>20</v>
      </c>
    </row>
    <row r="950" spans="1:5" x14ac:dyDescent="0.2">
      <c r="A950">
        <v>6</v>
      </c>
      <c r="B950" t="s">
        <v>50</v>
      </c>
      <c r="C950">
        <v>0</v>
      </c>
      <c r="D950">
        <v>1</v>
      </c>
      <c r="E950" s="3">
        <v>20</v>
      </c>
    </row>
    <row r="951" spans="1:5" x14ac:dyDescent="0.2">
      <c r="A951">
        <v>1</v>
      </c>
      <c r="B951" t="s">
        <v>18</v>
      </c>
      <c r="C951">
        <v>1</v>
      </c>
      <c r="D951">
        <v>16</v>
      </c>
      <c r="E951" s="3">
        <v>20</v>
      </c>
    </row>
    <row r="952" spans="1:5" x14ac:dyDescent="0.2">
      <c r="A952">
        <v>2</v>
      </c>
      <c r="B952" t="s">
        <v>53</v>
      </c>
      <c r="C952">
        <v>3</v>
      </c>
      <c r="D952">
        <v>12</v>
      </c>
      <c r="E952" s="3">
        <v>20</v>
      </c>
    </row>
    <row r="953" spans="1:5" x14ac:dyDescent="0.2">
      <c r="A953">
        <v>3</v>
      </c>
      <c r="B953" t="s">
        <v>61</v>
      </c>
      <c r="C953">
        <v>1</v>
      </c>
      <c r="D953">
        <v>8</v>
      </c>
      <c r="E953" s="3">
        <v>20</v>
      </c>
    </row>
    <row r="954" spans="1:5" x14ac:dyDescent="0.2">
      <c r="A954">
        <v>4</v>
      </c>
      <c r="B954" t="s">
        <v>22</v>
      </c>
      <c r="C954">
        <v>0</v>
      </c>
      <c r="D954">
        <v>4</v>
      </c>
      <c r="E954" s="3">
        <v>20</v>
      </c>
    </row>
    <row r="955" spans="1:5" x14ac:dyDescent="0.2">
      <c r="A955">
        <v>5</v>
      </c>
      <c r="B955" t="s">
        <v>38</v>
      </c>
      <c r="C955">
        <v>0</v>
      </c>
      <c r="D955">
        <v>2</v>
      </c>
      <c r="E955" s="3">
        <v>20</v>
      </c>
    </row>
    <row r="956" spans="1:5" x14ac:dyDescent="0.2">
      <c r="A956">
        <v>6</v>
      </c>
      <c r="B956" t="s">
        <v>101</v>
      </c>
      <c r="C956">
        <v>0</v>
      </c>
      <c r="D956">
        <v>1</v>
      </c>
      <c r="E956" s="3">
        <v>20</v>
      </c>
    </row>
    <row r="957" spans="1:5" x14ac:dyDescent="0.2">
      <c r="A957">
        <v>1</v>
      </c>
      <c r="B957" t="s">
        <v>8</v>
      </c>
      <c r="C957">
        <v>3</v>
      </c>
      <c r="D957">
        <v>17</v>
      </c>
      <c r="E957" s="3">
        <v>20</v>
      </c>
    </row>
    <row r="958" spans="1:5" x14ac:dyDescent="0.2">
      <c r="A958">
        <v>2</v>
      </c>
      <c r="B958" t="s">
        <v>43</v>
      </c>
      <c r="C958">
        <v>2</v>
      </c>
      <c r="D958">
        <v>13</v>
      </c>
      <c r="E958" s="3">
        <v>20</v>
      </c>
    </row>
    <row r="959" spans="1:5" x14ac:dyDescent="0.2">
      <c r="A959">
        <v>3</v>
      </c>
      <c r="B959" t="s">
        <v>98</v>
      </c>
      <c r="C959">
        <v>0</v>
      </c>
      <c r="D959">
        <v>9</v>
      </c>
      <c r="E959" s="3">
        <v>20</v>
      </c>
    </row>
    <row r="960" spans="1:5" x14ac:dyDescent="0.2">
      <c r="A960">
        <v>4</v>
      </c>
      <c r="B960" t="s">
        <v>60</v>
      </c>
      <c r="C960">
        <v>0</v>
      </c>
      <c r="D960">
        <v>5</v>
      </c>
      <c r="E960" s="3">
        <v>20</v>
      </c>
    </row>
    <row r="961" spans="1:5" x14ac:dyDescent="0.2">
      <c r="A961">
        <v>5</v>
      </c>
      <c r="B961" t="s">
        <v>46</v>
      </c>
      <c r="C961">
        <v>1</v>
      </c>
      <c r="D961">
        <v>3</v>
      </c>
      <c r="E961" s="3">
        <v>20</v>
      </c>
    </row>
    <row r="962" spans="1:5" x14ac:dyDescent="0.2">
      <c r="A962">
        <v>6</v>
      </c>
      <c r="B962" t="s">
        <v>48</v>
      </c>
      <c r="C962">
        <v>0</v>
      </c>
      <c r="D962">
        <v>2</v>
      </c>
      <c r="E962" s="3">
        <v>20</v>
      </c>
    </row>
    <row r="963" spans="1:5" x14ac:dyDescent="0.2">
      <c r="A963">
        <v>7</v>
      </c>
      <c r="B963" t="s">
        <v>42</v>
      </c>
      <c r="C963">
        <v>0</v>
      </c>
      <c r="D963">
        <v>1</v>
      </c>
      <c r="E963" s="3">
        <v>20</v>
      </c>
    </row>
    <row r="964" spans="1:5" x14ac:dyDescent="0.2">
      <c r="A964">
        <v>1</v>
      </c>
      <c r="B964" t="s">
        <v>19</v>
      </c>
      <c r="C964">
        <v>3</v>
      </c>
      <c r="D964">
        <v>17</v>
      </c>
      <c r="E964" s="3">
        <v>20</v>
      </c>
    </row>
    <row r="965" spans="1:5" x14ac:dyDescent="0.2">
      <c r="A965">
        <v>2</v>
      </c>
      <c r="B965" t="s">
        <v>29</v>
      </c>
      <c r="C965">
        <v>2</v>
      </c>
      <c r="D965">
        <v>13</v>
      </c>
      <c r="E965" s="3">
        <v>20</v>
      </c>
    </row>
    <row r="966" spans="1:5" x14ac:dyDescent="0.2">
      <c r="A966">
        <v>3</v>
      </c>
      <c r="B966" t="s">
        <v>69</v>
      </c>
      <c r="C966">
        <v>0</v>
      </c>
      <c r="D966">
        <v>9</v>
      </c>
      <c r="E966" s="3">
        <v>20</v>
      </c>
    </row>
    <row r="967" spans="1:5" x14ac:dyDescent="0.2">
      <c r="A967">
        <v>4</v>
      </c>
      <c r="B967" t="s">
        <v>47</v>
      </c>
      <c r="C967">
        <v>0</v>
      </c>
      <c r="D967">
        <v>5</v>
      </c>
      <c r="E967" s="3">
        <v>20</v>
      </c>
    </row>
    <row r="968" spans="1:5" x14ac:dyDescent="0.2">
      <c r="A968">
        <v>5</v>
      </c>
      <c r="B968" t="s">
        <v>92</v>
      </c>
      <c r="C968">
        <v>1</v>
      </c>
      <c r="D968">
        <v>3</v>
      </c>
      <c r="E968" s="3">
        <v>20</v>
      </c>
    </row>
    <row r="969" spans="1:5" x14ac:dyDescent="0.2">
      <c r="A969">
        <v>6</v>
      </c>
      <c r="B969" t="s">
        <v>35</v>
      </c>
      <c r="C969">
        <v>0</v>
      </c>
      <c r="D969">
        <v>2</v>
      </c>
      <c r="E969" s="3">
        <v>20</v>
      </c>
    </row>
    <row r="970" spans="1:5" x14ac:dyDescent="0.2">
      <c r="A970">
        <v>7</v>
      </c>
      <c r="B970" t="s">
        <v>68</v>
      </c>
      <c r="C970">
        <v>0</v>
      </c>
      <c r="D970">
        <v>1</v>
      </c>
      <c r="E970" s="3">
        <v>20</v>
      </c>
    </row>
    <row r="971" spans="1:5" x14ac:dyDescent="0.2">
      <c r="A971">
        <v>1</v>
      </c>
      <c r="B971" t="s">
        <v>52</v>
      </c>
      <c r="C971">
        <v>3</v>
      </c>
      <c r="D971">
        <v>17</v>
      </c>
      <c r="E971" s="3">
        <v>20</v>
      </c>
    </row>
    <row r="972" spans="1:5" x14ac:dyDescent="0.2">
      <c r="A972">
        <v>2</v>
      </c>
      <c r="B972" t="s">
        <v>75</v>
      </c>
      <c r="C972">
        <v>2</v>
      </c>
      <c r="D972">
        <v>13</v>
      </c>
      <c r="E972" s="3">
        <v>20</v>
      </c>
    </row>
    <row r="973" spans="1:5" x14ac:dyDescent="0.2">
      <c r="A973">
        <v>3</v>
      </c>
      <c r="B973" t="s">
        <v>94</v>
      </c>
      <c r="C973">
        <v>1</v>
      </c>
      <c r="D973">
        <v>9</v>
      </c>
      <c r="E973" s="3">
        <v>20</v>
      </c>
    </row>
    <row r="974" spans="1:5" x14ac:dyDescent="0.2">
      <c r="A974">
        <v>4</v>
      </c>
      <c r="B974" t="s">
        <v>74</v>
      </c>
      <c r="C974">
        <v>0</v>
      </c>
      <c r="D974">
        <v>5</v>
      </c>
      <c r="E974" s="3">
        <v>20</v>
      </c>
    </row>
    <row r="975" spans="1:5" x14ac:dyDescent="0.2">
      <c r="A975">
        <v>5</v>
      </c>
      <c r="B975" t="s">
        <v>39</v>
      </c>
      <c r="C975">
        <v>0</v>
      </c>
      <c r="D975">
        <v>3</v>
      </c>
      <c r="E975" s="3">
        <v>20</v>
      </c>
    </row>
    <row r="976" spans="1:5" x14ac:dyDescent="0.2">
      <c r="A976">
        <v>6</v>
      </c>
      <c r="B976" t="s">
        <v>66</v>
      </c>
      <c r="C976">
        <v>0</v>
      </c>
      <c r="D976">
        <v>2</v>
      </c>
      <c r="E976" s="3">
        <v>20</v>
      </c>
    </row>
    <row r="977" spans="1:5" x14ac:dyDescent="0.2">
      <c r="A977">
        <v>7</v>
      </c>
      <c r="B977" t="s">
        <v>28</v>
      </c>
      <c r="C977">
        <v>0</v>
      </c>
      <c r="D977">
        <v>1</v>
      </c>
      <c r="E977" s="3">
        <v>20</v>
      </c>
    </row>
    <row r="978" spans="1:5" x14ac:dyDescent="0.2">
      <c r="A978">
        <v>1</v>
      </c>
      <c r="B978" t="s">
        <v>60</v>
      </c>
      <c r="C978">
        <v>4</v>
      </c>
      <c r="D978">
        <v>16</v>
      </c>
      <c r="E978" s="3">
        <v>21</v>
      </c>
    </row>
    <row r="979" spans="1:5" x14ac:dyDescent="0.2">
      <c r="A979">
        <v>2</v>
      </c>
      <c r="B979" t="s">
        <v>14</v>
      </c>
      <c r="C979">
        <v>0</v>
      </c>
      <c r="D979">
        <v>12</v>
      </c>
      <c r="E979" s="3">
        <v>21</v>
      </c>
    </row>
    <row r="980" spans="1:5" x14ac:dyDescent="0.2">
      <c r="A980">
        <v>3</v>
      </c>
      <c r="B980" t="s">
        <v>38</v>
      </c>
      <c r="C980">
        <v>1</v>
      </c>
      <c r="D980">
        <v>8</v>
      </c>
      <c r="E980" s="3">
        <v>21</v>
      </c>
    </row>
    <row r="981" spans="1:5" x14ac:dyDescent="0.2">
      <c r="A981">
        <v>4</v>
      </c>
      <c r="B981" t="s">
        <v>25</v>
      </c>
      <c r="C981">
        <v>0</v>
      </c>
      <c r="D981">
        <v>4</v>
      </c>
      <c r="E981" s="3">
        <v>21</v>
      </c>
    </row>
    <row r="982" spans="1:5" x14ac:dyDescent="0.2">
      <c r="A982">
        <v>5</v>
      </c>
      <c r="B982" t="s">
        <v>68</v>
      </c>
      <c r="C982">
        <v>0</v>
      </c>
      <c r="D982">
        <v>2</v>
      </c>
      <c r="E982" s="3">
        <v>21</v>
      </c>
    </row>
    <row r="983" spans="1:5" x14ac:dyDescent="0.2">
      <c r="A983">
        <v>6</v>
      </c>
      <c r="B983" t="s">
        <v>66</v>
      </c>
      <c r="C983">
        <v>0</v>
      </c>
      <c r="D983">
        <v>1</v>
      </c>
      <c r="E983" s="3">
        <v>21</v>
      </c>
    </row>
    <row r="984" spans="1:5" x14ac:dyDescent="0.2">
      <c r="A984">
        <v>1</v>
      </c>
      <c r="B984" t="s">
        <v>87</v>
      </c>
      <c r="C984">
        <v>3</v>
      </c>
      <c r="D984">
        <v>16</v>
      </c>
      <c r="E984" s="3">
        <v>21</v>
      </c>
    </row>
    <row r="985" spans="1:5" x14ac:dyDescent="0.2">
      <c r="A985">
        <v>2</v>
      </c>
      <c r="B985" t="s">
        <v>46</v>
      </c>
      <c r="C985">
        <v>1</v>
      </c>
      <c r="D985">
        <v>12</v>
      </c>
      <c r="E985" s="3">
        <v>21</v>
      </c>
    </row>
    <row r="986" spans="1:5" x14ac:dyDescent="0.2">
      <c r="A986">
        <v>3</v>
      </c>
      <c r="B986" t="s">
        <v>12</v>
      </c>
      <c r="C986">
        <v>1</v>
      </c>
      <c r="D986">
        <v>8</v>
      </c>
      <c r="E986" s="3">
        <v>21</v>
      </c>
    </row>
    <row r="987" spans="1:5" x14ac:dyDescent="0.2">
      <c r="A987">
        <v>4</v>
      </c>
      <c r="B987" t="s">
        <v>39</v>
      </c>
      <c r="C987">
        <v>0</v>
      </c>
      <c r="D987">
        <v>4</v>
      </c>
      <c r="E987" s="3">
        <v>21</v>
      </c>
    </row>
    <row r="988" spans="1:5" x14ac:dyDescent="0.2">
      <c r="A988">
        <v>5</v>
      </c>
      <c r="B988" t="s">
        <v>52</v>
      </c>
      <c r="C988">
        <v>0</v>
      </c>
      <c r="D988">
        <v>2</v>
      </c>
      <c r="E988" s="3">
        <v>21</v>
      </c>
    </row>
    <row r="989" spans="1:5" x14ac:dyDescent="0.2">
      <c r="A989">
        <v>6</v>
      </c>
      <c r="B989" t="s">
        <v>15</v>
      </c>
      <c r="C989">
        <v>0</v>
      </c>
      <c r="D989">
        <v>1</v>
      </c>
      <c r="E989" s="3">
        <v>21</v>
      </c>
    </row>
    <row r="990" spans="1:5" x14ac:dyDescent="0.2">
      <c r="A990">
        <v>1</v>
      </c>
      <c r="B990" t="s">
        <v>74</v>
      </c>
      <c r="C990">
        <v>2</v>
      </c>
      <c r="D990">
        <v>15</v>
      </c>
      <c r="E990" s="3">
        <v>21</v>
      </c>
    </row>
    <row r="991" spans="1:5" x14ac:dyDescent="0.2">
      <c r="A991">
        <v>2</v>
      </c>
      <c r="B991" t="s">
        <v>59</v>
      </c>
      <c r="C991">
        <v>1</v>
      </c>
      <c r="D991">
        <v>11</v>
      </c>
      <c r="E991" s="3">
        <v>21</v>
      </c>
    </row>
    <row r="992" spans="1:5" x14ac:dyDescent="0.2">
      <c r="A992">
        <v>3</v>
      </c>
      <c r="B992" t="s">
        <v>75</v>
      </c>
      <c r="C992">
        <v>1</v>
      </c>
      <c r="D992">
        <v>7</v>
      </c>
      <c r="E992" s="3">
        <v>21</v>
      </c>
    </row>
    <row r="993" spans="1:5" x14ac:dyDescent="0.2">
      <c r="A993">
        <v>4</v>
      </c>
      <c r="B993" t="s">
        <v>21</v>
      </c>
      <c r="C993">
        <v>0</v>
      </c>
      <c r="D993">
        <v>3</v>
      </c>
      <c r="E993" s="3">
        <v>21</v>
      </c>
    </row>
    <row r="994" spans="1:5" x14ac:dyDescent="0.2">
      <c r="A994">
        <v>5</v>
      </c>
      <c r="B994" t="s">
        <v>23</v>
      </c>
      <c r="C994">
        <v>0</v>
      </c>
      <c r="D994">
        <v>1</v>
      </c>
      <c r="E994" s="3">
        <v>21</v>
      </c>
    </row>
    <row r="995" spans="1:5" x14ac:dyDescent="0.2">
      <c r="A995">
        <v>1</v>
      </c>
      <c r="B995" t="s">
        <v>98</v>
      </c>
      <c r="C995">
        <v>4</v>
      </c>
      <c r="D995">
        <v>15</v>
      </c>
      <c r="E995" s="3">
        <v>21</v>
      </c>
    </row>
    <row r="996" spans="1:5" x14ac:dyDescent="0.2">
      <c r="A996">
        <v>2</v>
      </c>
      <c r="B996" t="s">
        <v>101</v>
      </c>
      <c r="C996">
        <v>0</v>
      </c>
      <c r="D996">
        <v>11</v>
      </c>
      <c r="E996" s="3">
        <v>21</v>
      </c>
    </row>
    <row r="997" spans="1:5" x14ac:dyDescent="0.2">
      <c r="A997">
        <v>3</v>
      </c>
      <c r="B997" t="s">
        <v>33</v>
      </c>
      <c r="C997">
        <v>0</v>
      </c>
      <c r="D997">
        <v>7</v>
      </c>
      <c r="E997" s="3">
        <v>21</v>
      </c>
    </row>
    <row r="998" spans="1:5" x14ac:dyDescent="0.2">
      <c r="A998">
        <v>4</v>
      </c>
      <c r="B998" t="s">
        <v>42</v>
      </c>
      <c r="C998">
        <v>0</v>
      </c>
      <c r="D998">
        <v>3</v>
      </c>
      <c r="E998" s="3">
        <v>21</v>
      </c>
    </row>
    <row r="999" spans="1:5" x14ac:dyDescent="0.2">
      <c r="A999">
        <v>5</v>
      </c>
      <c r="B999" t="s">
        <v>55</v>
      </c>
      <c r="C999">
        <v>0</v>
      </c>
      <c r="D999">
        <v>1</v>
      </c>
      <c r="E999" s="3">
        <v>21</v>
      </c>
    </row>
    <row r="1000" spans="1:5" x14ac:dyDescent="0.2">
      <c r="A1000">
        <v>1</v>
      </c>
      <c r="B1000" t="s">
        <v>50</v>
      </c>
      <c r="C1000">
        <v>3</v>
      </c>
      <c r="D1000">
        <v>15</v>
      </c>
      <c r="E1000" s="3">
        <v>21</v>
      </c>
    </row>
    <row r="1001" spans="1:5" x14ac:dyDescent="0.2">
      <c r="A1001">
        <v>2</v>
      </c>
      <c r="B1001" t="s">
        <v>35</v>
      </c>
      <c r="C1001">
        <v>0</v>
      </c>
      <c r="D1001">
        <v>11</v>
      </c>
      <c r="E1001" s="3">
        <v>21</v>
      </c>
    </row>
    <row r="1002" spans="1:5" x14ac:dyDescent="0.2">
      <c r="A1002">
        <v>3</v>
      </c>
      <c r="B1002" t="s">
        <v>61</v>
      </c>
      <c r="C1002">
        <v>1</v>
      </c>
      <c r="D1002">
        <v>7</v>
      </c>
      <c r="E1002" s="3">
        <v>21</v>
      </c>
    </row>
    <row r="1003" spans="1:5" x14ac:dyDescent="0.2">
      <c r="A1003">
        <v>4</v>
      </c>
      <c r="B1003" t="s">
        <v>76</v>
      </c>
      <c r="C1003">
        <v>0</v>
      </c>
      <c r="D1003">
        <v>3</v>
      </c>
      <c r="E1003" s="3">
        <v>21</v>
      </c>
    </row>
    <row r="1004" spans="1:5" x14ac:dyDescent="0.2">
      <c r="A1004">
        <v>5</v>
      </c>
      <c r="B1004" t="s">
        <v>8</v>
      </c>
      <c r="C1004">
        <v>0</v>
      </c>
      <c r="D1004">
        <v>1</v>
      </c>
      <c r="E1004" s="3">
        <v>21</v>
      </c>
    </row>
    <row r="1005" spans="1:5" x14ac:dyDescent="0.2">
      <c r="A1005">
        <v>1</v>
      </c>
      <c r="B1005" t="s">
        <v>18</v>
      </c>
      <c r="C1005">
        <v>2</v>
      </c>
      <c r="D1005">
        <v>15</v>
      </c>
      <c r="E1005" s="3">
        <v>21</v>
      </c>
    </row>
    <row r="1006" spans="1:5" x14ac:dyDescent="0.2">
      <c r="A1006">
        <v>2</v>
      </c>
      <c r="B1006" t="s">
        <v>26</v>
      </c>
      <c r="C1006">
        <v>1</v>
      </c>
      <c r="D1006">
        <v>11</v>
      </c>
      <c r="E1006" s="3">
        <v>21</v>
      </c>
    </row>
    <row r="1007" spans="1:5" x14ac:dyDescent="0.2">
      <c r="A1007">
        <v>3</v>
      </c>
      <c r="B1007" t="s">
        <v>20</v>
      </c>
      <c r="C1007">
        <v>1</v>
      </c>
      <c r="D1007">
        <v>7</v>
      </c>
      <c r="E1007" s="3">
        <v>21</v>
      </c>
    </row>
    <row r="1008" spans="1:5" x14ac:dyDescent="0.2">
      <c r="A1008">
        <v>4</v>
      </c>
      <c r="B1008" t="s">
        <v>69</v>
      </c>
      <c r="C1008">
        <v>0</v>
      </c>
      <c r="D1008">
        <v>3</v>
      </c>
      <c r="E1008" s="3">
        <v>21</v>
      </c>
    </row>
    <row r="1009" spans="1:5" x14ac:dyDescent="0.2">
      <c r="A1009">
        <v>5</v>
      </c>
      <c r="B1009" t="s">
        <v>103</v>
      </c>
      <c r="C1009">
        <v>0</v>
      </c>
      <c r="D1009">
        <v>1</v>
      </c>
      <c r="E1009" s="3">
        <v>21</v>
      </c>
    </row>
    <row r="1010" spans="1:5" x14ac:dyDescent="0.2">
      <c r="A1010">
        <v>1</v>
      </c>
      <c r="B1010" t="s">
        <v>65</v>
      </c>
      <c r="C1010">
        <v>2</v>
      </c>
      <c r="D1010">
        <v>15</v>
      </c>
      <c r="E1010" s="3">
        <v>21</v>
      </c>
    </row>
    <row r="1011" spans="1:5" x14ac:dyDescent="0.2">
      <c r="A1011">
        <v>2</v>
      </c>
      <c r="B1011" t="s">
        <v>43</v>
      </c>
      <c r="C1011">
        <v>1</v>
      </c>
      <c r="D1011">
        <v>11</v>
      </c>
      <c r="E1011" s="3">
        <v>21</v>
      </c>
    </row>
    <row r="1012" spans="1:5" x14ac:dyDescent="0.2">
      <c r="A1012">
        <v>3</v>
      </c>
      <c r="B1012" t="s">
        <v>41</v>
      </c>
      <c r="C1012">
        <v>1</v>
      </c>
      <c r="D1012">
        <v>7</v>
      </c>
      <c r="E1012" s="3">
        <v>21</v>
      </c>
    </row>
    <row r="1013" spans="1:5" x14ac:dyDescent="0.2">
      <c r="A1013">
        <v>4</v>
      </c>
      <c r="B1013" t="s">
        <v>29</v>
      </c>
      <c r="C1013">
        <v>0</v>
      </c>
      <c r="D1013">
        <v>3</v>
      </c>
      <c r="E1013" s="3">
        <v>21</v>
      </c>
    </row>
    <row r="1014" spans="1:5" x14ac:dyDescent="0.2">
      <c r="A1014">
        <v>5</v>
      </c>
      <c r="B1014" t="s">
        <v>28</v>
      </c>
      <c r="C1014">
        <v>0</v>
      </c>
      <c r="D1014">
        <v>1</v>
      </c>
      <c r="E1014" s="3">
        <v>21</v>
      </c>
    </row>
    <row r="1015" spans="1:5" x14ac:dyDescent="0.2">
      <c r="A1015">
        <v>1</v>
      </c>
      <c r="B1015" t="s">
        <v>92</v>
      </c>
      <c r="C1015">
        <v>5</v>
      </c>
      <c r="D1015">
        <v>16</v>
      </c>
      <c r="E1015" s="3">
        <v>21</v>
      </c>
    </row>
    <row r="1016" spans="1:5" x14ac:dyDescent="0.2">
      <c r="A1016">
        <v>2</v>
      </c>
      <c r="B1016" t="s">
        <v>40</v>
      </c>
      <c r="C1016">
        <v>0</v>
      </c>
      <c r="D1016">
        <v>12</v>
      </c>
      <c r="E1016" s="3">
        <v>21</v>
      </c>
    </row>
    <row r="1017" spans="1:5" x14ac:dyDescent="0.2">
      <c r="A1017">
        <v>3</v>
      </c>
      <c r="B1017" t="s">
        <v>73</v>
      </c>
      <c r="C1017">
        <v>0</v>
      </c>
      <c r="D1017">
        <v>8</v>
      </c>
      <c r="E1017" s="3">
        <v>21</v>
      </c>
    </row>
    <row r="1018" spans="1:5" x14ac:dyDescent="0.2">
      <c r="A1018">
        <v>4</v>
      </c>
      <c r="B1018" t="s">
        <v>27</v>
      </c>
      <c r="C1018">
        <v>0</v>
      </c>
      <c r="D1018">
        <v>4</v>
      </c>
      <c r="E1018" s="3">
        <v>21</v>
      </c>
    </row>
    <row r="1019" spans="1:5" x14ac:dyDescent="0.2">
      <c r="A1019">
        <v>5</v>
      </c>
      <c r="B1019" t="s">
        <v>9</v>
      </c>
      <c r="C1019">
        <v>0</v>
      </c>
      <c r="D1019">
        <v>2</v>
      </c>
      <c r="E1019" s="3">
        <v>21</v>
      </c>
    </row>
    <row r="1020" spans="1:5" x14ac:dyDescent="0.2">
      <c r="A1020">
        <v>6</v>
      </c>
      <c r="B1020" t="s">
        <v>31</v>
      </c>
      <c r="C1020">
        <v>0</v>
      </c>
      <c r="D1020">
        <v>1</v>
      </c>
      <c r="E1020" s="3">
        <v>21</v>
      </c>
    </row>
    <row r="1021" spans="1:5" x14ac:dyDescent="0.2">
      <c r="A1021">
        <v>1</v>
      </c>
      <c r="B1021" t="s">
        <v>76</v>
      </c>
      <c r="C1021">
        <v>4</v>
      </c>
      <c r="D1021">
        <v>16</v>
      </c>
      <c r="E1021" s="3">
        <v>22</v>
      </c>
    </row>
    <row r="1022" spans="1:5" x14ac:dyDescent="0.2">
      <c r="A1022">
        <v>2</v>
      </c>
      <c r="B1022" t="s">
        <v>66</v>
      </c>
      <c r="C1022">
        <v>0</v>
      </c>
      <c r="D1022">
        <v>12</v>
      </c>
      <c r="E1022" s="3">
        <v>22</v>
      </c>
    </row>
    <row r="1023" spans="1:5" x14ac:dyDescent="0.2">
      <c r="A1023">
        <v>3</v>
      </c>
      <c r="B1023" t="s">
        <v>101</v>
      </c>
      <c r="C1023">
        <v>1</v>
      </c>
      <c r="D1023">
        <v>8</v>
      </c>
      <c r="E1023" s="3">
        <v>22</v>
      </c>
    </row>
    <row r="1024" spans="1:5" x14ac:dyDescent="0.2">
      <c r="A1024">
        <v>4</v>
      </c>
      <c r="B1024" t="s">
        <v>18</v>
      </c>
      <c r="C1024">
        <v>0</v>
      </c>
      <c r="D1024">
        <v>4</v>
      </c>
      <c r="E1024" s="3">
        <v>22</v>
      </c>
    </row>
    <row r="1025" spans="1:5" x14ac:dyDescent="0.2">
      <c r="A1025">
        <v>5</v>
      </c>
      <c r="B1025" t="s">
        <v>41</v>
      </c>
      <c r="C1025">
        <v>0</v>
      </c>
      <c r="D1025">
        <v>2</v>
      </c>
      <c r="E1025" s="3">
        <v>22</v>
      </c>
    </row>
    <row r="1026" spans="1:5" x14ac:dyDescent="0.2">
      <c r="A1026">
        <v>6</v>
      </c>
      <c r="B1026" t="s">
        <v>52</v>
      </c>
      <c r="C1026">
        <v>0</v>
      </c>
      <c r="D1026">
        <v>1</v>
      </c>
      <c r="E1026" s="3">
        <v>22</v>
      </c>
    </row>
    <row r="1027" spans="1:5" x14ac:dyDescent="0.2">
      <c r="A1027">
        <v>1</v>
      </c>
      <c r="B1027" t="s">
        <v>45</v>
      </c>
      <c r="C1027">
        <v>5</v>
      </c>
      <c r="D1027">
        <v>16</v>
      </c>
      <c r="E1027" s="3">
        <v>22</v>
      </c>
    </row>
    <row r="1028" spans="1:5" x14ac:dyDescent="0.2">
      <c r="A1028">
        <v>2</v>
      </c>
      <c r="B1028" t="s">
        <v>69</v>
      </c>
      <c r="C1028">
        <v>0</v>
      </c>
      <c r="D1028">
        <v>12</v>
      </c>
      <c r="E1028" s="3">
        <v>22</v>
      </c>
    </row>
    <row r="1029" spans="1:5" x14ac:dyDescent="0.2">
      <c r="A1029">
        <v>3</v>
      </c>
      <c r="B1029" t="s">
        <v>38</v>
      </c>
      <c r="C1029">
        <v>0</v>
      </c>
      <c r="D1029">
        <v>8</v>
      </c>
      <c r="E1029" s="3">
        <v>22</v>
      </c>
    </row>
    <row r="1030" spans="1:5" x14ac:dyDescent="0.2">
      <c r="A1030">
        <v>4</v>
      </c>
      <c r="B1030" t="s">
        <v>75</v>
      </c>
      <c r="C1030">
        <v>0</v>
      </c>
      <c r="D1030">
        <v>4</v>
      </c>
      <c r="E1030" s="3">
        <v>22</v>
      </c>
    </row>
    <row r="1031" spans="1:5" x14ac:dyDescent="0.2">
      <c r="A1031">
        <v>5</v>
      </c>
      <c r="B1031" t="s">
        <v>9</v>
      </c>
      <c r="C1031">
        <v>0</v>
      </c>
      <c r="D1031">
        <v>2</v>
      </c>
      <c r="E1031" s="3">
        <v>22</v>
      </c>
    </row>
    <row r="1032" spans="1:5" x14ac:dyDescent="0.2">
      <c r="A1032">
        <v>6</v>
      </c>
      <c r="B1032" t="s">
        <v>26</v>
      </c>
      <c r="C1032">
        <v>0</v>
      </c>
      <c r="D1032">
        <v>1</v>
      </c>
      <c r="E1032" s="3">
        <v>22</v>
      </c>
    </row>
    <row r="1033" spans="1:5" x14ac:dyDescent="0.2">
      <c r="A1033">
        <v>1</v>
      </c>
      <c r="B1033" t="s">
        <v>305</v>
      </c>
      <c r="C1033">
        <v>2</v>
      </c>
      <c r="D1033">
        <v>16</v>
      </c>
      <c r="E1033" s="3">
        <v>22</v>
      </c>
    </row>
    <row r="1034" spans="1:5" x14ac:dyDescent="0.2">
      <c r="A1034">
        <v>2</v>
      </c>
      <c r="B1034" t="s">
        <v>29</v>
      </c>
      <c r="C1034">
        <v>1</v>
      </c>
      <c r="D1034">
        <v>12</v>
      </c>
      <c r="E1034" s="3">
        <v>22</v>
      </c>
    </row>
    <row r="1035" spans="1:5" x14ac:dyDescent="0.2">
      <c r="A1035">
        <v>3</v>
      </c>
      <c r="B1035" t="s">
        <v>43</v>
      </c>
      <c r="C1035">
        <v>2</v>
      </c>
      <c r="D1035">
        <v>8</v>
      </c>
      <c r="E1035" s="3">
        <v>22</v>
      </c>
    </row>
    <row r="1036" spans="1:5" x14ac:dyDescent="0.2">
      <c r="A1036">
        <v>4</v>
      </c>
      <c r="B1036" t="s">
        <v>31</v>
      </c>
      <c r="C1036">
        <v>0</v>
      </c>
      <c r="D1036">
        <v>4</v>
      </c>
      <c r="E1036" s="3">
        <v>22</v>
      </c>
    </row>
    <row r="1037" spans="1:5" x14ac:dyDescent="0.2">
      <c r="A1037">
        <v>5</v>
      </c>
      <c r="B1037" t="s">
        <v>21</v>
      </c>
      <c r="C1037">
        <v>0</v>
      </c>
      <c r="D1037">
        <v>2</v>
      </c>
      <c r="E1037" s="3">
        <v>22</v>
      </c>
    </row>
    <row r="1038" spans="1:5" x14ac:dyDescent="0.2">
      <c r="A1038">
        <v>6</v>
      </c>
      <c r="B1038" t="s">
        <v>50</v>
      </c>
      <c r="C1038">
        <v>0</v>
      </c>
      <c r="D1038">
        <v>1</v>
      </c>
      <c r="E1038" s="3">
        <v>22</v>
      </c>
    </row>
    <row r="1039" spans="1:5" x14ac:dyDescent="0.2">
      <c r="A1039">
        <v>1</v>
      </c>
      <c r="B1039" t="s">
        <v>46</v>
      </c>
      <c r="C1039">
        <v>1</v>
      </c>
      <c r="D1039">
        <v>16</v>
      </c>
      <c r="E1039" s="3">
        <v>22</v>
      </c>
    </row>
    <row r="1040" spans="1:5" x14ac:dyDescent="0.2">
      <c r="A1040">
        <v>2</v>
      </c>
      <c r="B1040" t="s">
        <v>20</v>
      </c>
      <c r="C1040">
        <v>2</v>
      </c>
      <c r="D1040">
        <v>12</v>
      </c>
      <c r="E1040" s="3">
        <v>22</v>
      </c>
    </row>
    <row r="1041" spans="1:5" x14ac:dyDescent="0.2">
      <c r="A1041">
        <v>3</v>
      </c>
      <c r="B1041" t="s">
        <v>54</v>
      </c>
      <c r="C1041">
        <v>2</v>
      </c>
      <c r="D1041">
        <v>8</v>
      </c>
      <c r="E1041" s="3">
        <v>22</v>
      </c>
    </row>
    <row r="1042" spans="1:5" x14ac:dyDescent="0.2">
      <c r="A1042">
        <v>4</v>
      </c>
      <c r="B1042" t="s">
        <v>23</v>
      </c>
      <c r="C1042">
        <v>0</v>
      </c>
      <c r="D1042">
        <v>4</v>
      </c>
      <c r="E1042" s="3">
        <v>22</v>
      </c>
    </row>
    <row r="1043" spans="1:5" x14ac:dyDescent="0.2">
      <c r="A1043">
        <v>5</v>
      </c>
      <c r="B1043" t="s">
        <v>15</v>
      </c>
      <c r="C1043">
        <v>0</v>
      </c>
      <c r="D1043">
        <v>2</v>
      </c>
      <c r="E1043" s="3">
        <v>22</v>
      </c>
    </row>
    <row r="1044" spans="1:5" x14ac:dyDescent="0.2">
      <c r="A1044">
        <v>6</v>
      </c>
      <c r="B1044" t="s">
        <v>47</v>
      </c>
      <c r="C1044">
        <v>0</v>
      </c>
      <c r="D1044">
        <v>1</v>
      </c>
      <c r="E1044" s="3">
        <v>22</v>
      </c>
    </row>
    <row r="1045" spans="1:5" x14ac:dyDescent="0.2">
      <c r="A1045">
        <v>1</v>
      </c>
      <c r="B1045" t="s">
        <v>40</v>
      </c>
      <c r="C1045">
        <v>3</v>
      </c>
      <c r="D1045">
        <v>16</v>
      </c>
      <c r="E1045" s="3">
        <v>22</v>
      </c>
    </row>
    <row r="1046" spans="1:5" x14ac:dyDescent="0.2">
      <c r="A1046">
        <v>2</v>
      </c>
      <c r="B1046" t="s">
        <v>68</v>
      </c>
      <c r="C1046">
        <v>2</v>
      </c>
      <c r="D1046">
        <v>12</v>
      </c>
      <c r="E1046" s="3">
        <v>22</v>
      </c>
    </row>
    <row r="1047" spans="1:5" x14ac:dyDescent="0.2">
      <c r="A1047">
        <v>3</v>
      </c>
      <c r="B1047" t="s">
        <v>92</v>
      </c>
      <c r="C1047">
        <v>0</v>
      </c>
      <c r="D1047">
        <v>8</v>
      </c>
      <c r="E1047" s="3">
        <v>22</v>
      </c>
    </row>
    <row r="1048" spans="1:5" x14ac:dyDescent="0.2">
      <c r="A1048">
        <v>4</v>
      </c>
      <c r="B1048" t="s">
        <v>74</v>
      </c>
      <c r="C1048">
        <v>0</v>
      </c>
      <c r="D1048">
        <v>4</v>
      </c>
      <c r="E1048" s="3">
        <v>22</v>
      </c>
    </row>
    <row r="1049" spans="1:5" x14ac:dyDescent="0.2">
      <c r="A1049">
        <v>5</v>
      </c>
      <c r="B1049" t="s">
        <v>6</v>
      </c>
      <c r="C1049">
        <v>0</v>
      </c>
      <c r="D1049">
        <v>2</v>
      </c>
      <c r="E1049" s="3">
        <v>22</v>
      </c>
    </row>
    <row r="1050" spans="1:5" x14ac:dyDescent="0.2">
      <c r="A1050">
        <v>6</v>
      </c>
      <c r="B1050" t="s">
        <v>28</v>
      </c>
      <c r="C1050">
        <v>0</v>
      </c>
      <c r="D1050">
        <v>1</v>
      </c>
      <c r="E1050" s="3">
        <v>22</v>
      </c>
    </row>
    <row r="1051" spans="1:5" x14ac:dyDescent="0.2">
      <c r="A1051">
        <v>1</v>
      </c>
      <c r="B1051" t="s">
        <v>8</v>
      </c>
      <c r="C1051">
        <v>2</v>
      </c>
      <c r="D1051">
        <v>16</v>
      </c>
      <c r="E1051" s="3">
        <v>22</v>
      </c>
    </row>
    <row r="1052" spans="1:5" x14ac:dyDescent="0.2">
      <c r="A1052">
        <v>2</v>
      </c>
      <c r="B1052" t="s">
        <v>65</v>
      </c>
      <c r="C1052">
        <v>2</v>
      </c>
      <c r="D1052">
        <v>12</v>
      </c>
      <c r="E1052" s="3">
        <v>22</v>
      </c>
    </row>
    <row r="1053" spans="1:5" x14ac:dyDescent="0.2">
      <c r="A1053">
        <v>3</v>
      </c>
      <c r="B1053" t="s">
        <v>25</v>
      </c>
      <c r="C1053">
        <v>1</v>
      </c>
      <c r="D1053">
        <v>8</v>
      </c>
      <c r="E1053" s="3">
        <v>22</v>
      </c>
    </row>
    <row r="1054" spans="1:5" x14ac:dyDescent="0.2">
      <c r="A1054">
        <v>4</v>
      </c>
      <c r="B1054" t="s">
        <v>35</v>
      </c>
      <c r="C1054">
        <v>0</v>
      </c>
      <c r="D1054">
        <v>4</v>
      </c>
      <c r="E1054" s="3">
        <v>22</v>
      </c>
    </row>
    <row r="1055" spans="1:5" x14ac:dyDescent="0.2">
      <c r="A1055">
        <v>5</v>
      </c>
      <c r="B1055" t="s">
        <v>102</v>
      </c>
      <c r="C1055">
        <v>0</v>
      </c>
      <c r="D1055">
        <v>2</v>
      </c>
      <c r="E1055" s="3">
        <v>22</v>
      </c>
    </row>
    <row r="1056" spans="1:5" x14ac:dyDescent="0.2">
      <c r="A1056">
        <v>6</v>
      </c>
      <c r="B1056" t="s">
        <v>14</v>
      </c>
      <c r="C1056">
        <v>0</v>
      </c>
      <c r="D1056">
        <v>1</v>
      </c>
      <c r="E1056" s="3">
        <v>22</v>
      </c>
    </row>
    <row r="1057" spans="1:5" x14ac:dyDescent="0.2">
      <c r="A1057">
        <v>1</v>
      </c>
      <c r="B1057" t="s">
        <v>59</v>
      </c>
      <c r="C1057">
        <v>3</v>
      </c>
      <c r="D1057">
        <v>15</v>
      </c>
      <c r="E1057" s="3">
        <v>22</v>
      </c>
    </row>
    <row r="1058" spans="1:5" x14ac:dyDescent="0.2">
      <c r="A1058">
        <v>2</v>
      </c>
      <c r="B1058" t="s">
        <v>19</v>
      </c>
      <c r="C1058">
        <v>1</v>
      </c>
      <c r="D1058">
        <v>11</v>
      </c>
      <c r="E1058" s="3">
        <v>22</v>
      </c>
    </row>
    <row r="1059" spans="1:5" x14ac:dyDescent="0.2">
      <c r="A1059">
        <v>3</v>
      </c>
      <c r="B1059" t="s">
        <v>32</v>
      </c>
      <c r="C1059">
        <v>0</v>
      </c>
      <c r="D1059">
        <v>7</v>
      </c>
      <c r="E1059" s="3">
        <v>22</v>
      </c>
    </row>
    <row r="1060" spans="1:5" x14ac:dyDescent="0.2">
      <c r="A1060">
        <v>4</v>
      </c>
      <c r="B1060" t="s">
        <v>88</v>
      </c>
      <c r="C1060">
        <v>0</v>
      </c>
      <c r="D1060">
        <v>3</v>
      </c>
      <c r="E1060" s="3">
        <v>22</v>
      </c>
    </row>
    <row r="1061" spans="1:5" x14ac:dyDescent="0.2">
      <c r="A1061">
        <v>5</v>
      </c>
      <c r="B1061" t="s">
        <v>60</v>
      </c>
      <c r="C1061">
        <v>0</v>
      </c>
      <c r="D1061">
        <v>1</v>
      </c>
      <c r="E1061" s="3">
        <v>22</v>
      </c>
    </row>
    <row r="1062" spans="1:5" x14ac:dyDescent="0.2">
      <c r="A1062">
        <v>1</v>
      </c>
      <c r="B1062" t="s">
        <v>29</v>
      </c>
      <c r="C1062">
        <v>3</v>
      </c>
      <c r="D1062">
        <v>17</v>
      </c>
      <c r="E1062" s="3">
        <v>23</v>
      </c>
    </row>
    <row r="1063" spans="1:5" x14ac:dyDescent="0.2">
      <c r="A1063">
        <v>2</v>
      </c>
      <c r="B1063" t="s">
        <v>101</v>
      </c>
      <c r="C1063">
        <v>1</v>
      </c>
      <c r="D1063">
        <v>13</v>
      </c>
      <c r="E1063" s="3">
        <v>23</v>
      </c>
    </row>
    <row r="1064" spans="1:5" x14ac:dyDescent="0.2">
      <c r="A1064">
        <v>3</v>
      </c>
      <c r="B1064" t="s">
        <v>26</v>
      </c>
      <c r="C1064">
        <v>0</v>
      </c>
      <c r="D1064">
        <v>9</v>
      </c>
      <c r="E1064" s="3">
        <v>23</v>
      </c>
    </row>
    <row r="1065" spans="1:5" x14ac:dyDescent="0.2">
      <c r="A1065">
        <v>4</v>
      </c>
      <c r="B1065" t="s">
        <v>75</v>
      </c>
      <c r="C1065">
        <v>1</v>
      </c>
      <c r="D1065">
        <v>5</v>
      </c>
      <c r="E1065" s="3">
        <v>23</v>
      </c>
    </row>
    <row r="1066" spans="1:5" x14ac:dyDescent="0.2">
      <c r="A1066">
        <v>5</v>
      </c>
      <c r="B1066" t="s">
        <v>47</v>
      </c>
      <c r="C1066">
        <v>1</v>
      </c>
      <c r="D1066">
        <v>3</v>
      </c>
      <c r="E1066" s="3">
        <v>23</v>
      </c>
    </row>
    <row r="1067" spans="1:5" x14ac:dyDescent="0.2">
      <c r="A1067">
        <v>6</v>
      </c>
      <c r="B1067" t="s">
        <v>55</v>
      </c>
      <c r="C1067">
        <v>0</v>
      </c>
      <c r="D1067">
        <v>2</v>
      </c>
      <c r="E1067" s="3">
        <v>23</v>
      </c>
    </row>
    <row r="1068" spans="1:5" x14ac:dyDescent="0.2">
      <c r="A1068">
        <v>7</v>
      </c>
      <c r="B1068" t="s">
        <v>76</v>
      </c>
      <c r="C1068">
        <v>0</v>
      </c>
      <c r="D1068">
        <v>1</v>
      </c>
      <c r="E1068" s="3">
        <v>23</v>
      </c>
    </row>
    <row r="1069" spans="1:5" x14ac:dyDescent="0.2">
      <c r="A1069">
        <v>1</v>
      </c>
      <c r="B1069" t="s">
        <v>12</v>
      </c>
      <c r="C1069">
        <v>4</v>
      </c>
      <c r="D1069">
        <v>16</v>
      </c>
      <c r="E1069" s="3">
        <v>23</v>
      </c>
    </row>
    <row r="1070" spans="1:5" x14ac:dyDescent="0.2">
      <c r="A1070">
        <v>2</v>
      </c>
      <c r="B1070" t="s">
        <v>92</v>
      </c>
      <c r="C1070">
        <v>0</v>
      </c>
      <c r="D1070">
        <v>12</v>
      </c>
      <c r="E1070" s="3">
        <v>23</v>
      </c>
    </row>
    <row r="1071" spans="1:5" x14ac:dyDescent="0.2">
      <c r="A1071">
        <v>3</v>
      </c>
      <c r="B1071" t="s">
        <v>59</v>
      </c>
      <c r="C1071">
        <v>0</v>
      </c>
      <c r="D1071">
        <v>8</v>
      </c>
      <c r="E1071" s="3">
        <v>23</v>
      </c>
    </row>
    <row r="1072" spans="1:5" x14ac:dyDescent="0.2">
      <c r="A1072">
        <v>4</v>
      </c>
      <c r="B1072" t="s">
        <v>46</v>
      </c>
      <c r="C1072">
        <v>0</v>
      </c>
      <c r="D1072">
        <v>4</v>
      </c>
      <c r="E1072" s="3">
        <v>23</v>
      </c>
    </row>
    <row r="1073" spans="1:5" x14ac:dyDescent="0.2">
      <c r="A1073">
        <v>5</v>
      </c>
      <c r="B1073" t="s">
        <v>31</v>
      </c>
      <c r="C1073">
        <v>1</v>
      </c>
      <c r="D1073">
        <v>2</v>
      </c>
      <c r="E1073" s="3">
        <v>23</v>
      </c>
    </row>
    <row r="1074" spans="1:5" x14ac:dyDescent="0.2">
      <c r="A1074">
        <v>6</v>
      </c>
      <c r="B1074" t="s">
        <v>23</v>
      </c>
      <c r="C1074">
        <v>0</v>
      </c>
      <c r="D1074">
        <v>1</v>
      </c>
      <c r="E1074" s="3">
        <v>23</v>
      </c>
    </row>
    <row r="1075" spans="1:5" x14ac:dyDescent="0.2">
      <c r="A1075">
        <v>1</v>
      </c>
      <c r="B1075" t="s">
        <v>68</v>
      </c>
      <c r="C1075">
        <v>5</v>
      </c>
      <c r="D1075">
        <v>17</v>
      </c>
      <c r="E1075" s="3">
        <v>23</v>
      </c>
    </row>
    <row r="1076" spans="1:5" x14ac:dyDescent="0.2">
      <c r="A1076">
        <v>2</v>
      </c>
      <c r="B1076" t="s">
        <v>69</v>
      </c>
      <c r="C1076">
        <v>0</v>
      </c>
      <c r="D1076">
        <v>13</v>
      </c>
      <c r="E1076" s="3">
        <v>23</v>
      </c>
    </row>
    <row r="1077" spans="1:5" x14ac:dyDescent="0.2">
      <c r="A1077">
        <v>3</v>
      </c>
      <c r="B1077" t="s">
        <v>32</v>
      </c>
      <c r="C1077">
        <v>0</v>
      </c>
      <c r="D1077">
        <v>9</v>
      </c>
      <c r="E1077" s="3">
        <v>23</v>
      </c>
    </row>
    <row r="1078" spans="1:5" x14ac:dyDescent="0.2">
      <c r="A1078">
        <v>4</v>
      </c>
      <c r="B1078" t="s">
        <v>18</v>
      </c>
      <c r="C1078">
        <v>0</v>
      </c>
      <c r="D1078">
        <v>5</v>
      </c>
      <c r="E1078" s="3">
        <v>23</v>
      </c>
    </row>
    <row r="1079" spans="1:5" x14ac:dyDescent="0.2">
      <c r="A1079">
        <v>5</v>
      </c>
      <c r="B1079" t="s">
        <v>74</v>
      </c>
      <c r="C1079">
        <v>1</v>
      </c>
      <c r="D1079">
        <v>3</v>
      </c>
      <c r="E1079" s="3">
        <v>23</v>
      </c>
    </row>
    <row r="1080" spans="1:5" x14ac:dyDescent="0.2">
      <c r="A1080">
        <v>6</v>
      </c>
      <c r="B1080" t="s">
        <v>87</v>
      </c>
      <c r="C1080">
        <v>0</v>
      </c>
      <c r="D1080">
        <v>2</v>
      </c>
      <c r="E1080" s="3">
        <v>23</v>
      </c>
    </row>
    <row r="1081" spans="1:5" x14ac:dyDescent="0.2">
      <c r="A1081">
        <v>7</v>
      </c>
      <c r="B1081" t="s">
        <v>305</v>
      </c>
      <c r="C1081">
        <v>0</v>
      </c>
      <c r="D1081">
        <v>1</v>
      </c>
      <c r="E1081" s="3">
        <v>23</v>
      </c>
    </row>
    <row r="1082" spans="1:5" x14ac:dyDescent="0.2">
      <c r="A1082">
        <v>1</v>
      </c>
      <c r="B1082" t="s">
        <v>102</v>
      </c>
      <c r="C1082">
        <v>2</v>
      </c>
      <c r="D1082">
        <v>16</v>
      </c>
      <c r="E1082" s="3">
        <v>23</v>
      </c>
    </row>
    <row r="1083" spans="1:5" x14ac:dyDescent="0.2">
      <c r="A1083">
        <v>2</v>
      </c>
      <c r="B1083" t="s">
        <v>35</v>
      </c>
      <c r="C1083">
        <v>1</v>
      </c>
      <c r="D1083">
        <v>12</v>
      </c>
      <c r="E1083" s="3">
        <v>23</v>
      </c>
    </row>
    <row r="1084" spans="1:5" x14ac:dyDescent="0.2">
      <c r="A1084">
        <v>3</v>
      </c>
      <c r="B1084" t="s">
        <v>9</v>
      </c>
      <c r="C1084">
        <v>2</v>
      </c>
      <c r="D1084">
        <v>8</v>
      </c>
      <c r="E1084" s="3">
        <v>23</v>
      </c>
    </row>
    <row r="1085" spans="1:5" x14ac:dyDescent="0.2">
      <c r="A1085">
        <v>4</v>
      </c>
      <c r="B1085" t="s">
        <v>15</v>
      </c>
      <c r="C1085">
        <v>0</v>
      </c>
      <c r="D1085">
        <v>4</v>
      </c>
      <c r="E1085" s="3">
        <v>23</v>
      </c>
    </row>
    <row r="1086" spans="1:5" x14ac:dyDescent="0.2">
      <c r="A1086">
        <v>5</v>
      </c>
      <c r="B1086" t="s">
        <v>40</v>
      </c>
      <c r="C1086">
        <v>0</v>
      </c>
      <c r="D1086">
        <v>2</v>
      </c>
      <c r="E1086" s="3">
        <v>23</v>
      </c>
    </row>
    <row r="1087" spans="1:5" x14ac:dyDescent="0.2">
      <c r="A1087">
        <v>6</v>
      </c>
      <c r="B1087" t="s">
        <v>60</v>
      </c>
      <c r="C1087">
        <v>0</v>
      </c>
      <c r="D1087">
        <v>1</v>
      </c>
      <c r="E1087" s="3">
        <v>23</v>
      </c>
    </row>
    <row r="1088" spans="1:5" x14ac:dyDescent="0.2">
      <c r="A1088">
        <v>1</v>
      </c>
      <c r="B1088" t="s">
        <v>33</v>
      </c>
      <c r="C1088">
        <v>1</v>
      </c>
      <c r="D1088">
        <v>16</v>
      </c>
      <c r="E1088" s="3">
        <v>23</v>
      </c>
    </row>
    <row r="1089" spans="1:5" x14ac:dyDescent="0.2">
      <c r="A1089">
        <v>2</v>
      </c>
      <c r="B1089" t="s">
        <v>50</v>
      </c>
      <c r="C1089">
        <v>2</v>
      </c>
      <c r="D1089">
        <v>12</v>
      </c>
      <c r="E1089" s="3">
        <v>23</v>
      </c>
    </row>
    <row r="1090" spans="1:5" x14ac:dyDescent="0.2">
      <c r="A1090">
        <v>3</v>
      </c>
      <c r="B1090" t="s">
        <v>22</v>
      </c>
      <c r="C1090">
        <v>0</v>
      </c>
      <c r="D1090">
        <v>8</v>
      </c>
      <c r="E1090" s="3">
        <v>23</v>
      </c>
    </row>
    <row r="1091" spans="1:5" x14ac:dyDescent="0.2">
      <c r="A1091">
        <v>4</v>
      </c>
      <c r="B1091" t="s">
        <v>8</v>
      </c>
      <c r="C1091">
        <v>1</v>
      </c>
      <c r="D1091">
        <v>4</v>
      </c>
      <c r="E1091" s="3">
        <v>23</v>
      </c>
    </row>
    <row r="1092" spans="1:5" x14ac:dyDescent="0.2">
      <c r="A1092">
        <v>5</v>
      </c>
      <c r="B1092" t="s">
        <v>21</v>
      </c>
      <c r="C1092">
        <v>1</v>
      </c>
      <c r="D1092">
        <v>2</v>
      </c>
      <c r="E1092" s="3">
        <v>23</v>
      </c>
    </row>
    <row r="1093" spans="1:5" x14ac:dyDescent="0.2">
      <c r="A1093">
        <v>6</v>
      </c>
      <c r="B1093" t="s">
        <v>14</v>
      </c>
      <c r="C1093">
        <v>0</v>
      </c>
      <c r="D1093">
        <v>1</v>
      </c>
      <c r="E1093" s="3">
        <v>23</v>
      </c>
    </row>
    <row r="1094" spans="1:5" x14ac:dyDescent="0.2">
      <c r="A1094">
        <v>1</v>
      </c>
      <c r="B1094" t="s">
        <v>73</v>
      </c>
      <c r="C1094">
        <v>2</v>
      </c>
      <c r="D1094">
        <v>17</v>
      </c>
      <c r="E1094" s="3">
        <v>23</v>
      </c>
    </row>
    <row r="1095" spans="1:5" x14ac:dyDescent="0.2">
      <c r="A1095">
        <v>2</v>
      </c>
      <c r="B1095" t="s">
        <v>28</v>
      </c>
      <c r="C1095">
        <v>2</v>
      </c>
      <c r="D1095">
        <v>13</v>
      </c>
      <c r="E1095" s="3">
        <v>23</v>
      </c>
    </row>
    <row r="1096" spans="1:5" x14ac:dyDescent="0.2">
      <c r="A1096">
        <v>3</v>
      </c>
      <c r="B1096" t="s">
        <v>66</v>
      </c>
      <c r="C1096">
        <v>2</v>
      </c>
      <c r="D1096">
        <v>9</v>
      </c>
      <c r="E1096" s="3">
        <v>23</v>
      </c>
    </row>
    <row r="1097" spans="1:5" x14ac:dyDescent="0.2">
      <c r="A1097">
        <v>4</v>
      </c>
      <c r="B1097" t="s">
        <v>39</v>
      </c>
      <c r="C1097">
        <v>0</v>
      </c>
      <c r="D1097">
        <v>5</v>
      </c>
      <c r="E1097" s="3">
        <v>23</v>
      </c>
    </row>
    <row r="1098" spans="1:5" x14ac:dyDescent="0.2">
      <c r="A1098">
        <v>5</v>
      </c>
      <c r="B1098" t="s">
        <v>25</v>
      </c>
      <c r="C1098">
        <v>0</v>
      </c>
      <c r="D1098">
        <v>3</v>
      </c>
      <c r="E1098" s="3">
        <v>23</v>
      </c>
    </row>
    <row r="1099" spans="1:5" x14ac:dyDescent="0.2">
      <c r="A1099">
        <v>6</v>
      </c>
      <c r="B1099" t="s">
        <v>61</v>
      </c>
      <c r="C1099">
        <v>0</v>
      </c>
      <c r="D1099">
        <v>2</v>
      </c>
      <c r="E1099" s="3">
        <v>23</v>
      </c>
    </row>
    <row r="1100" spans="1:5" x14ac:dyDescent="0.2">
      <c r="A1100">
        <v>7</v>
      </c>
      <c r="B1100" t="s">
        <v>172</v>
      </c>
      <c r="C1100">
        <v>0</v>
      </c>
      <c r="D1100">
        <v>1</v>
      </c>
      <c r="E1100" s="3">
        <v>23</v>
      </c>
    </row>
    <row r="1101" spans="1:5" x14ac:dyDescent="0.2">
      <c r="A1101">
        <v>1</v>
      </c>
      <c r="B1101" t="s">
        <v>54</v>
      </c>
      <c r="C1101">
        <v>3</v>
      </c>
      <c r="D1101">
        <v>16</v>
      </c>
      <c r="E1101" s="3">
        <v>23</v>
      </c>
    </row>
    <row r="1102" spans="1:5" x14ac:dyDescent="0.2">
      <c r="A1102">
        <v>2</v>
      </c>
      <c r="B1102" t="s">
        <v>41</v>
      </c>
      <c r="C1102">
        <v>0</v>
      </c>
      <c r="D1102">
        <v>12</v>
      </c>
      <c r="E1102" s="3">
        <v>23</v>
      </c>
    </row>
    <row r="1103" spans="1:5" x14ac:dyDescent="0.2">
      <c r="A1103">
        <v>3</v>
      </c>
      <c r="B1103" t="s">
        <v>43</v>
      </c>
      <c r="C1103">
        <v>1</v>
      </c>
      <c r="D1103">
        <v>8</v>
      </c>
      <c r="E1103" s="3">
        <v>23</v>
      </c>
    </row>
    <row r="1104" spans="1:5" x14ac:dyDescent="0.2">
      <c r="A1104">
        <v>4</v>
      </c>
      <c r="B1104" t="s">
        <v>67</v>
      </c>
      <c r="C1104">
        <v>1</v>
      </c>
      <c r="D1104">
        <v>4</v>
      </c>
      <c r="E1104" s="3">
        <v>23</v>
      </c>
    </row>
    <row r="1105" spans="1:5" x14ac:dyDescent="0.2">
      <c r="A1105">
        <v>5</v>
      </c>
      <c r="B1105" t="s">
        <v>45</v>
      </c>
      <c r="C1105">
        <v>0</v>
      </c>
      <c r="D1105">
        <v>2</v>
      </c>
      <c r="E1105" s="3">
        <v>23</v>
      </c>
    </row>
    <row r="1106" spans="1:5" x14ac:dyDescent="0.2">
      <c r="A1106">
        <v>6</v>
      </c>
      <c r="B1106" t="s">
        <v>42</v>
      </c>
      <c r="C1106">
        <v>0</v>
      </c>
      <c r="D1106">
        <v>1</v>
      </c>
      <c r="E1106" s="3">
        <v>23</v>
      </c>
    </row>
    <row r="1107" spans="1:5" x14ac:dyDescent="0.2">
      <c r="A1107">
        <v>1</v>
      </c>
      <c r="B1107" t="s">
        <v>68</v>
      </c>
      <c r="C1107">
        <v>3</v>
      </c>
      <c r="D1107">
        <v>16</v>
      </c>
      <c r="E1107" s="3">
        <v>24</v>
      </c>
    </row>
    <row r="1108" spans="1:5" x14ac:dyDescent="0.2">
      <c r="A1108">
        <v>2</v>
      </c>
      <c r="B1108" t="s">
        <v>75</v>
      </c>
      <c r="C1108">
        <v>1</v>
      </c>
      <c r="D1108">
        <v>12</v>
      </c>
      <c r="E1108" s="3">
        <v>24</v>
      </c>
    </row>
    <row r="1109" spans="1:5" x14ac:dyDescent="0.2">
      <c r="A1109">
        <v>3</v>
      </c>
      <c r="B1109" t="s">
        <v>50</v>
      </c>
      <c r="C1109">
        <v>0</v>
      </c>
      <c r="D1109">
        <v>8</v>
      </c>
      <c r="E1109" s="3">
        <v>24</v>
      </c>
    </row>
    <row r="1110" spans="1:5" x14ac:dyDescent="0.2">
      <c r="A1110">
        <v>4</v>
      </c>
      <c r="B1110" t="s">
        <v>69</v>
      </c>
      <c r="C1110">
        <v>1</v>
      </c>
      <c r="D1110">
        <v>4</v>
      </c>
      <c r="E1110" s="3">
        <v>24</v>
      </c>
    </row>
    <row r="1111" spans="1:5" x14ac:dyDescent="0.2">
      <c r="A1111">
        <v>5</v>
      </c>
      <c r="B1111" t="s">
        <v>25</v>
      </c>
      <c r="C1111">
        <v>0</v>
      </c>
      <c r="D1111">
        <v>2</v>
      </c>
      <c r="E1111" s="3">
        <v>24</v>
      </c>
    </row>
    <row r="1112" spans="1:5" x14ac:dyDescent="0.2">
      <c r="A1112">
        <v>6</v>
      </c>
      <c r="B1112" t="s">
        <v>305</v>
      </c>
      <c r="C1112">
        <v>0</v>
      </c>
      <c r="D1112">
        <v>1</v>
      </c>
      <c r="E1112" s="3">
        <v>24</v>
      </c>
    </row>
    <row r="1113" spans="1:5" x14ac:dyDescent="0.2">
      <c r="A1113">
        <v>1</v>
      </c>
      <c r="B1113" t="s">
        <v>61</v>
      </c>
      <c r="C1113">
        <v>2</v>
      </c>
      <c r="D1113">
        <v>16</v>
      </c>
      <c r="E1113" s="3">
        <v>24</v>
      </c>
    </row>
    <row r="1114" spans="1:5" x14ac:dyDescent="0.2">
      <c r="A1114">
        <v>2</v>
      </c>
      <c r="B1114" t="s">
        <v>8</v>
      </c>
      <c r="C1114">
        <v>2</v>
      </c>
      <c r="D1114">
        <v>12</v>
      </c>
      <c r="E1114" s="3">
        <v>24</v>
      </c>
    </row>
    <row r="1115" spans="1:5" x14ac:dyDescent="0.2">
      <c r="A1115">
        <v>3</v>
      </c>
      <c r="B1115" t="s">
        <v>28</v>
      </c>
      <c r="C1115">
        <v>1</v>
      </c>
      <c r="D1115">
        <v>8</v>
      </c>
      <c r="E1115" s="3">
        <v>24</v>
      </c>
    </row>
    <row r="1116" spans="1:5" x14ac:dyDescent="0.2">
      <c r="A1116">
        <v>4</v>
      </c>
      <c r="B1116" t="s">
        <v>45</v>
      </c>
      <c r="C1116">
        <v>0</v>
      </c>
      <c r="D1116">
        <v>4</v>
      </c>
      <c r="E1116" s="3">
        <v>24</v>
      </c>
    </row>
    <row r="1117" spans="1:5" x14ac:dyDescent="0.2">
      <c r="A1117">
        <v>5</v>
      </c>
      <c r="B1117" t="s">
        <v>46</v>
      </c>
      <c r="C1117">
        <v>0</v>
      </c>
      <c r="D1117">
        <v>2</v>
      </c>
      <c r="E1117" s="3">
        <v>24</v>
      </c>
    </row>
    <row r="1118" spans="1:5" x14ac:dyDescent="0.2">
      <c r="A1118">
        <v>6</v>
      </c>
      <c r="B1118" t="s">
        <v>92</v>
      </c>
      <c r="C1118">
        <v>0</v>
      </c>
      <c r="D1118">
        <v>1</v>
      </c>
      <c r="E1118" s="3">
        <v>24</v>
      </c>
    </row>
    <row r="1119" spans="1:5" x14ac:dyDescent="0.2">
      <c r="A1119">
        <v>1</v>
      </c>
      <c r="B1119" t="s">
        <v>9</v>
      </c>
      <c r="C1119">
        <v>4</v>
      </c>
      <c r="D1119">
        <v>16</v>
      </c>
      <c r="E1119" s="3">
        <v>24</v>
      </c>
    </row>
    <row r="1120" spans="1:5" x14ac:dyDescent="0.2">
      <c r="A1120">
        <v>2</v>
      </c>
      <c r="B1120" t="s">
        <v>21</v>
      </c>
      <c r="C1120">
        <v>1</v>
      </c>
      <c r="D1120">
        <v>12</v>
      </c>
      <c r="E1120" s="3">
        <v>24</v>
      </c>
    </row>
    <row r="1121" spans="1:5" x14ac:dyDescent="0.2">
      <c r="A1121">
        <v>3</v>
      </c>
      <c r="B1121" t="s">
        <v>14</v>
      </c>
      <c r="C1121">
        <v>0</v>
      </c>
      <c r="D1121">
        <v>8</v>
      </c>
      <c r="E1121" s="3">
        <v>24</v>
      </c>
    </row>
    <row r="1122" spans="1:5" x14ac:dyDescent="0.2">
      <c r="A1122">
        <v>4</v>
      </c>
      <c r="B1122" t="s">
        <v>26</v>
      </c>
      <c r="C1122">
        <v>0</v>
      </c>
      <c r="D1122">
        <v>4</v>
      </c>
      <c r="E1122" s="3">
        <v>24</v>
      </c>
    </row>
    <row r="1123" spans="1:5" x14ac:dyDescent="0.2">
      <c r="A1123">
        <v>5</v>
      </c>
      <c r="B1123" t="s">
        <v>33</v>
      </c>
      <c r="C1123">
        <v>0</v>
      </c>
      <c r="D1123">
        <v>2</v>
      </c>
      <c r="E1123" s="3">
        <v>24</v>
      </c>
    </row>
    <row r="1124" spans="1:5" x14ac:dyDescent="0.2">
      <c r="A1124">
        <v>6</v>
      </c>
      <c r="B1124" t="s">
        <v>102</v>
      </c>
      <c r="C1124">
        <v>0</v>
      </c>
      <c r="D1124">
        <v>1</v>
      </c>
      <c r="E1124" s="3">
        <v>24</v>
      </c>
    </row>
    <row r="1125" spans="1:5" x14ac:dyDescent="0.2">
      <c r="A1125">
        <v>1</v>
      </c>
      <c r="B1125" t="s">
        <v>55</v>
      </c>
      <c r="C1125">
        <v>4</v>
      </c>
      <c r="D1125">
        <v>16</v>
      </c>
      <c r="E1125" s="3">
        <v>24</v>
      </c>
    </row>
    <row r="1126" spans="1:5" x14ac:dyDescent="0.2">
      <c r="A1126">
        <v>2</v>
      </c>
      <c r="B1126" t="s">
        <v>19</v>
      </c>
      <c r="C1126">
        <v>0</v>
      </c>
      <c r="D1126">
        <v>12</v>
      </c>
      <c r="E1126" s="3">
        <v>24</v>
      </c>
    </row>
    <row r="1127" spans="1:5" x14ac:dyDescent="0.2">
      <c r="A1127">
        <v>3</v>
      </c>
      <c r="B1127" t="s">
        <v>35</v>
      </c>
      <c r="C1127">
        <v>1</v>
      </c>
      <c r="D1127">
        <v>8</v>
      </c>
      <c r="E1127" s="3">
        <v>24</v>
      </c>
    </row>
    <row r="1128" spans="1:5" x14ac:dyDescent="0.2">
      <c r="A1128">
        <v>4</v>
      </c>
      <c r="B1128" t="s">
        <v>31</v>
      </c>
      <c r="C1128">
        <v>0</v>
      </c>
      <c r="D1128">
        <v>4</v>
      </c>
      <c r="E1128" s="3">
        <v>24</v>
      </c>
    </row>
    <row r="1129" spans="1:5" x14ac:dyDescent="0.2">
      <c r="A1129">
        <v>5</v>
      </c>
      <c r="B1129" t="s">
        <v>88</v>
      </c>
      <c r="C1129">
        <v>0</v>
      </c>
      <c r="D1129">
        <v>2</v>
      </c>
      <c r="E1129" s="3">
        <v>24</v>
      </c>
    </row>
    <row r="1130" spans="1:5" x14ac:dyDescent="0.2">
      <c r="A1130">
        <v>6</v>
      </c>
      <c r="B1130" t="s">
        <v>74</v>
      </c>
      <c r="C1130">
        <v>0</v>
      </c>
      <c r="D1130">
        <v>1</v>
      </c>
      <c r="E1130" s="3">
        <v>24</v>
      </c>
    </row>
    <row r="1131" spans="1:5" x14ac:dyDescent="0.2">
      <c r="A1131">
        <v>1</v>
      </c>
      <c r="B1131" t="s">
        <v>52</v>
      </c>
      <c r="C1131">
        <v>2</v>
      </c>
      <c r="D1131">
        <v>16</v>
      </c>
      <c r="E1131" s="3">
        <v>24</v>
      </c>
    </row>
    <row r="1132" spans="1:5" x14ac:dyDescent="0.2">
      <c r="A1132">
        <v>2</v>
      </c>
      <c r="B1132" t="s">
        <v>41</v>
      </c>
      <c r="C1132">
        <v>1</v>
      </c>
      <c r="D1132">
        <v>12</v>
      </c>
      <c r="E1132" s="3">
        <v>24</v>
      </c>
    </row>
    <row r="1133" spans="1:5" x14ac:dyDescent="0.2">
      <c r="A1133">
        <v>3</v>
      </c>
      <c r="B1133" t="s">
        <v>12</v>
      </c>
      <c r="C1133">
        <v>2</v>
      </c>
      <c r="D1133">
        <v>8</v>
      </c>
      <c r="E1133" s="3">
        <v>24</v>
      </c>
    </row>
    <row r="1134" spans="1:5" x14ac:dyDescent="0.2">
      <c r="A1134">
        <v>4</v>
      </c>
      <c r="B1134" t="s">
        <v>39</v>
      </c>
      <c r="C1134">
        <v>0</v>
      </c>
      <c r="D1134">
        <v>4</v>
      </c>
      <c r="E1134" s="3">
        <v>24</v>
      </c>
    </row>
    <row r="1135" spans="1:5" x14ac:dyDescent="0.2">
      <c r="A1135">
        <v>5</v>
      </c>
      <c r="B1135" t="s">
        <v>18</v>
      </c>
      <c r="C1135">
        <v>0</v>
      </c>
      <c r="D1135">
        <v>2</v>
      </c>
      <c r="E1135" s="3">
        <v>24</v>
      </c>
    </row>
    <row r="1136" spans="1:5" x14ac:dyDescent="0.2">
      <c r="A1136">
        <v>6</v>
      </c>
      <c r="B1136" t="s">
        <v>47</v>
      </c>
      <c r="C1136">
        <v>0</v>
      </c>
      <c r="D1136">
        <v>1</v>
      </c>
      <c r="E1136" s="3">
        <v>24</v>
      </c>
    </row>
    <row r="1137" spans="1:5" x14ac:dyDescent="0.2">
      <c r="A1137">
        <v>1</v>
      </c>
      <c r="B1137" t="s">
        <v>344</v>
      </c>
      <c r="C1137">
        <v>3</v>
      </c>
      <c r="D1137">
        <v>16</v>
      </c>
      <c r="E1137" s="3">
        <v>24</v>
      </c>
    </row>
    <row r="1138" spans="1:5" x14ac:dyDescent="0.2">
      <c r="A1138">
        <v>2</v>
      </c>
      <c r="B1138" t="s">
        <v>76</v>
      </c>
      <c r="C1138">
        <v>0</v>
      </c>
      <c r="D1138">
        <v>12</v>
      </c>
      <c r="E1138" s="3">
        <v>24</v>
      </c>
    </row>
    <row r="1139" spans="1:5" x14ac:dyDescent="0.2">
      <c r="A1139">
        <v>3</v>
      </c>
      <c r="B1139" t="s">
        <v>65</v>
      </c>
      <c r="C1139">
        <v>2</v>
      </c>
      <c r="D1139">
        <v>8</v>
      </c>
      <c r="E1139" s="3">
        <v>24</v>
      </c>
    </row>
    <row r="1140" spans="1:5" x14ac:dyDescent="0.2">
      <c r="A1140">
        <v>4</v>
      </c>
      <c r="B1140" t="s">
        <v>6</v>
      </c>
      <c r="C1140">
        <v>0</v>
      </c>
      <c r="D1140">
        <v>4</v>
      </c>
      <c r="E1140" s="3">
        <v>24</v>
      </c>
    </row>
    <row r="1141" spans="1:5" x14ac:dyDescent="0.2">
      <c r="A1141">
        <v>5</v>
      </c>
      <c r="B1141" t="s">
        <v>32</v>
      </c>
      <c r="C1141">
        <v>0</v>
      </c>
      <c r="D1141">
        <v>2</v>
      </c>
      <c r="E1141" s="3">
        <v>24</v>
      </c>
    </row>
    <row r="1142" spans="1:5" x14ac:dyDescent="0.2">
      <c r="A1142">
        <v>6</v>
      </c>
      <c r="B1142" t="s">
        <v>87</v>
      </c>
      <c r="C1142">
        <v>0</v>
      </c>
      <c r="D1142">
        <v>1</v>
      </c>
      <c r="E1142" s="3">
        <v>24</v>
      </c>
    </row>
    <row r="1143" spans="1:5" x14ac:dyDescent="0.2">
      <c r="A1143">
        <v>1</v>
      </c>
      <c r="B1143" t="s">
        <v>73</v>
      </c>
      <c r="C1143">
        <v>4</v>
      </c>
      <c r="D1143">
        <v>16</v>
      </c>
      <c r="E1143" s="3">
        <v>24</v>
      </c>
    </row>
    <row r="1144" spans="1:5" x14ac:dyDescent="0.2">
      <c r="A1144">
        <v>2</v>
      </c>
      <c r="B1144" t="s">
        <v>54</v>
      </c>
      <c r="C1144">
        <v>0</v>
      </c>
      <c r="D1144">
        <v>12</v>
      </c>
      <c r="E1144" s="3">
        <v>24</v>
      </c>
    </row>
    <row r="1145" spans="1:5" x14ac:dyDescent="0.2">
      <c r="A1145">
        <v>3</v>
      </c>
      <c r="B1145" t="s">
        <v>66</v>
      </c>
      <c r="C1145">
        <v>1</v>
      </c>
      <c r="D1145">
        <v>8</v>
      </c>
      <c r="E1145" s="3">
        <v>24</v>
      </c>
    </row>
    <row r="1146" spans="1:5" x14ac:dyDescent="0.2">
      <c r="A1146">
        <v>4</v>
      </c>
      <c r="B1146" t="s">
        <v>60</v>
      </c>
      <c r="C1146">
        <v>0</v>
      </c>
      <c r="D1146">
        <v>4</v>
      </c>
      <c r="E1146" s="3">
        <v>24</v>
      </c>
    </row>
    <row r="1147" spans="1:5" x14ac:dyDescent="0.2">
      <c r="A1147">
        <v>5</v>
      </c>
      <c r="B1147" t="s">
        <v>81</v>
      </c>
      <c r="C1147">
        <v>0</v>
      </c>
      <c r="D1147">
        <v>2</v>
      </c>
      <c r="E1147" s="3">
        <v>24</v>
      </c>
    </row>
    <row r="1148" spans="1:5" x14ac:dyDescent="0.2">
      <c r="A1148">
        <v>6</v>
      </c>
      <c r="B1148" t="s">
        <v>42</v>
      </c>
      <c r="C1148">
        <v>0</v>
      </c>
      <c r="D1148">
        <v>1</v>
      </c>
      <c r="E1148" s="3">
        <v>24</v>
      </c>
    </row>
    <row r="1149" spans="1:5" x14ac:dyDescent="0.2">
      <c r="A1149">
        <v>1</v>
      </c>
      <c r="B1149" t="s">
        <v>15</v>
      </c>
      <c r="C1149">
        <v>2</v>
      </c>
      <c r="D1149">
        <v>16</v>
      </c>
      <c r="E1149" s="3">
        <v>25</v>
      </c>
    </row>
    <row r="1150" spans="1:5" x14ac:dyDescent="0.2">
      <c r="A1150">
        <v>2</v>
      </c>
      <c r="B1150" t="s">
        <v>35</v>
      </c>
      <c r="C1150">
        <v>1</v>
      </c>
      <c r="D1150">
        <v>12</v>
      </c>
      <c r="E1150" s="3">
        <v>25</v>
      </c>
    </row>
    <row r="1151" spans="1:5" x14ac:dyDescent="0.2">
      <c r="A1151">
        <v>3</v>
      </c>
      <c r="B1151" t="s">
        <v>40</v>
      </c>
      <c r="C1151">
        <v>2</v>
      </c>
      <c r="D1151">
        <v>8</v>
      </c>
      <c r="E1151" s="3">
        <v>25</v>
      </c>
    </row>
    <row r="1152" spans="1:5" x14ac:dyDescent="0.2">
      <c r="A1152">
        <v>4</v>
      </c>
      <c r="B1152" t="s">
        <v>101</v>
      </c>
      <c r="C1152">
        <v>0</v>
      </c>
      <c r="D1152">
        <v>4</v>
      </c>
      <c r="E1152" s="3">
        <v>25</v>
      </c>
    </row>
    <row r="1153" spans="1:5" x14ac:dyDescent="0.2">
      <c r="A1153">
        <v>5</v>
      </c>
      <c r="B1153" t="s">
        <v>345</v>
      </c>
      <c r="C1153">
        <v>0</v>
      </c>
      <c r="D1153">
        <v>2</v>
      </c>
      <c r="E1153" s="3">
        <v>25</v>
      </c>
    </row>
    <row r="1154" spans="1:5" x14ac:dyDescent="0.2">
      <c r="A1154">
        <v>6</v>
      </c>
      <c r="B1154" t="s">
        <v>33</v>
      </c>
      <c r="C1154">
        <v>0</v>
      </c>
      <c r="D1154">
        <v>1</v>
      </c>
      <c r="E1154" s="3">
        <v>25</v>
      </c>
    </row>
    <row r="1155" spans="1:5" x14ac:dyDescent="0.2">
      <c r="A1155">
        <v>1</v>
      </c>
      <c r="B1155" t="s">
        <v>69</v>
      </c>
      <c r="C1155">
        <v>2</v>
      </c>
      <c r="D1155">
        <v>16</v>
      </c>
      <c r="E1155" s="3">
        <v>25</v>
      </c>
    </row>
    <row r="1156" spans="1:5" x14ac:dyDescent="0.2">
      <c r="A1156">
        <v>2</v>
      </c>
      <c r="B1156" t="s">
        <v>9</v>
      </c>
      <c r="C1156">
        <v>2</v>
      </c>
      <c r="D1156">
        <v>12</v>
      </c>
      <c r="E1156" s="3">
        <v>25</v>
      </c>
    </row>
    <row r="1157" spans="1:5" x14ac:dyDescent="0.2">
      <c r="A1157">
        <v>3</v>
      </c>
      <c r="B1157" t="s">
        <v>25</v>
      </c>
      <c r="C1157">
        <v>0</v>
      </c>
      <c r="D1157">
        <v>8</v>
      </c>
      <c r="E1157" s="3">
        <v>25</v>
      </c>
    </row>
    <row r="1158" spans="1:5" x14ac:dyDescent="0.2">
      <c r="A1158">
        <v>4</v>
      </c>
      <c r="B1158" t="s">
        <v>74</v>
      </c>
      <c r="C1158">
        <v>0</v>
      </c>
      <c r="D1158">
        <v>4</v>
      </c>
      <c r="E1158" s="3">
        <v>25</v>
      </c>
    </row>
    <row r="1159" spans="1:5" x14ac:dyDescent="0.2">
      <c r="A1159">
        <v>5</v>
      </c>
      <c r="B1159" t="s">
        <v>92</v>
      </c>
      <c r="C1159">
        <v>1</v>
      </c>
      <c r="D1159">
        <v>2</v>
      </c>
      <c r="E1159" s="3">
        <v>25</v>
      </c>
    </row>
    <row r="1160" spans="1:5" x14ac:dyDescent="0.2">
      <c r="A1160">
        <v>6</v>
      </c>
      <c r="B1160" t="s">
        <v>60</v>
      </c>
      <c r="C1160">
        <v>0</v>
      </c>
      <c r="D1160">
        <v>1</v>
      </c>
      <c r="E1160" s="3">
        <v>25</v>
      </c>
    </row>
    <row r="1161" spans="1:5" x14ac:dyDescent="0.2">
      <c r="A1161">
        <v>1</v>
      </c>
      <c r="B1161" t="s">
        <v>43</v>
      </c>
      <c r="C1161">
        <v>3</v>
      </c>
      <c r="D1161">
        <v>16</v>
      </c>
      <c r="E1161" s="3">
        <v>25</v>
      </c>
    </row>
    <row r="1162" spans="1:5" x14ac:dyDescent="0.2">
      <c r="A1162">
        <v>2</v>
      </c>
      <c r="B1162" t="s">
        <v>47</v>
      </c>
      <c r="C1162">
        <v>2</v>
      </c>
      <c r="D1162">
        <v>12</v>
      </c>
      <c r="E1162" s="3">
        <v>25</v>
      </c>
    </row>
    <row r="1163" spans="1:5" x14ac:dyDescent="0.2">
      <c r="A1163">
        <v>3</v>
      </c>
      <c r="B1163" t="s">
        <v>41</v>
      </c>
      <c r="C1163">
        <v>0</v>
      </c>
      <c r="D1163">
        <v>8</v>
      </c>
      <c r="E1163" s="3">
        <v>25</v>
      </c>
    </row>
    <row r="1164" spans="1:5" x14ac:dyDescent="0.2">
      <c r="A1164">
        <v>4</v>
      </c>
      <c r="B1164" t="s">
        <v>32</v>
      </c>
      <c r="C1164">
        <v>0</v>
      </c>
      <c r="D1164">
        <v>4</v>
      </c>
      <c r="E1164" s="3">
        <v>25</v>
      </c>
    </row>
    <row r="1165" spans="1:5" x14ac:dyDescent="0.2">
      <c r="A1165">
        <v>5</v>
      </c>
      <c r="B1165" t="s">
        <v>6</v>
      </c>
      <c r="C1165">
        <v>0</v>
      </c>
      <c r="D1165">
        <v>2</v>
      </c>
      <c r="E1165" s="3">
        <v>25</v>
      </c>
    </row>
    <row r="1166" spans="1:5" x14ac:dyDescent="0.2">
      <c r="A1166">
        <v>6</v>
      </c>
      <c r="B1166" t="s">
        <v>21</v>
      </c>
      <c r="C1166">
        <v>0</v>
      </c>
      <c r="D1166">
        <v>1</v>
      </c>
      <c r="E1166" s="3">
        <v>25</v>
      </c>
    </row>
    <row r="1167" spans="1:5" x14ac:dyDescent="0.2">
      <c r="A1167">
        <v>1</v>
      </c>
      <c r="B1167" t="s">
        <v>26</v>
      </c>
      <c r="C1167">
        <v>2</v>
      </c>
      <c r="D1167">
        <v>16</v>
      </c>
      <c r="E1167" s="3">
        <v>25</v>
      </c>
    </row>
    <row r="1168" spans="1:5" x14ac:dyDescent="0.2">
      <c r="A1168">
        <v>2</v>
      </c>
      <c r="B1168" t="s">
        <v>55</v>
      </c>
      <c r="C1168">
        <v>1</v>
      </c>
      <c r="D1168">
        <v>12</v>
      </c>
      <c r="E1168" s="3">
        <v>25</v>
      </c>
    </row>
    <row r="1169" spans="1:5" x14ac:dyDescent="0.2">
      <c r="A1169">
        <v>3</v>
      </c>
      <c r="B1169" t="s">
        <v>67</v>
      </c>
      <c r="C1169">
        <v>0</v>
      </c>
      <c r="D1169">
        <v>8</v>
      </c>
      <c r="E1169" s="3">
        <v>25</v>
      </c>
    </row>
    <row r="1170" spans="1:5" x14ac:dyDescent="0.2">
      <c r="A1170">
        <v>4</v>
      </c>
      <c r="B1170" t="s">
        <v>50</v>
      </c>
      <c r="C1170">
        <v>1</v>
      </c>
      <c r="D1170">
        <v>4</v>
      </c>
      <c r="E1170" s="3">
        <v>25</v>
      </c>
    </row>
    <row r="1171" spans="1:5" x14ac:dyDescent="0.2">
      <c r="A1171">
        <v>5</v>
      </c>
      <c r="B1171" t="s">
        <v>76</v>
      </c>
      <c r="C1171">
        <v>1</v>
      </c>
      <c r="D1171">
        <v>2</v>
      </c>
      <c r="E1171" s="3">
        <v>25</v>
      </c>
    </row>
    <row r="1172" spans="1:5" x14ac:dyDescent="0.2">
      <c r="A1172">
        <v>6</v>
      </c>
      <c r="B1172" t="s">
        <v>8</v>
      </c>
      <c r="C1172">
        <v>0</v>
      </c>
      <c r="D1172">
        <v>1</v>
      </c>
      <c r="E1172" s="3">
        <v>25</v>
      </c>
    </row>
    <row r="1173" spans="1:5" x14ac:dyDescent="0.2">
      <c r="A1173">
        <v>1</v>
      </c>
      <c r="B1173" t="s">
        <v>45</v>
      </c>
      <c r="C1173">
        <v>5</v>
      </c>
      <c r="D1173">
        <v>16</v>
      </c>
      <c r="E1173" s="3">
        <v>25</v>
      </c>
    </row>
    <row r="1174" spans="1:5" x14ac:dyDescent="0.2">
      <c r="A1174">
        <v>2</v>
      </c>
      <c r="B1174" t="s">
        <v>31</v>
      </c>
      <c r="C1174">
        <v>0</v>
      </c>
      <c r="D1174">
        <v>12</v>
      </c>
      <c r="E1174" s="3">
        <v>25</v>
      </c>
    </row>
    <row r="1175" spans="1:5" x14ac:dyDescent="0.2">
      <c r="A1175">
        <v>3</v>
      </c>
      <c r="B1175" t="s">
        <v>102</v>
      </c>
      <c r="C1175">
        <v>0</v>
      </c>
      <c r="D1175">
        <v>8</v>
      </c>
      <c r="E1175" s="3">
        <v>25</v>
      </c>
    </row>
    <row r="1176" spans="1:5" x14ac:dyDescent="0.2">
      <c r="A1176">
        <v>4</v>
      </c>
      <c r="B1176" t="s">
        <v>52</v>
      </c>
      <c r="C1176">
        <v>0</v>
      </c>
      <c r="D1176">
        <v>4</v>
      </c>
      <c r="E1176" s="3">
        <v>25</v>
      </c>
    </row>
    <row r="1177" spans="1:5" x14ac:dyDescent="0.2">
      <c r="A1177">
        <v>5</v>
      </c>
      <c r="B1177" t="s">
        <v>12</v>
      </c>
      <c r="C1177">
        <v>0</v>
      </c>
      <c r="D1177">
        <v>2</v>
      </c>
      <c r="E1177" s="3">
        <v>25</v>
      </c>
    </row>
    <row r="1178" spans="1:5" x14ac:dyDescent="0.2">
      <c r="A1178">
        <v>6</v>
      </c>
      <c r="B1178" t="s">
        <v>42</v>
      </c>
      <c r="C1178">
        <v>0</v>
      </c>
      <c r="D1178">
        <v>1</v>
      </c>
      <c r="E1178" s="3">
        <v>25</v>
      </c>
    </row>
    <row r="1179" spans="1:5" x14ac:dyDescent="0.2">
      <c r="A1179">
        <v>1</v>
      </c>
      <c r="B1179" t="s">
        <v>73</v>
      </c>
      <c r="C1179">
        <v>4</v>
      </c>
      <c r="D1179">
        <v>15</v>
      </c>
      <c r="E1179" s="3">
        <v>25</v>
      </c>
    </row>
    <row r="1180" spans="1:5" x14ac:dyDescent="0.2">
      <c r="A1180">
        <v>2</v>
      </c>
      <c r="B1180" t="s">
        <v>46</v>
      </c>
      <c r="C1180">
        <v>0</v>
      </c>
      <c r="D1180">
        <v>11</v>
      </c>
      <c r="E1180" s="3">
        <v>25</v>
      </c>
    </row>
    <row r="1181" spans="1:5" x14ac:dyDescent="0.2">
      <c r="A1181">
        <v>3</v>
      </c>
      <c r="B1181" t="s">
        <v>65</v>
      </c>
      <c r="C1181">
        <v>0</v>
      </c>
      <c r="D1181">
        <v>7</v>
      </c>
      <c r="E1181" s="3">
        <v>25</v>
      </c>
    </row>
    <row r="1182" spans="1:5" x14ac:dyDescent="0.2">
      <c r="A1182">
        <v>4</v>
      </c>
      <c r="B1182" t="s">
        <v>18</v>
      </c>
      <c r="C1182">
        <v>0</v>
      </c>
      <c r="D1182">
        <v>3</v>
      </c>
      <c r="E1182" s="3">
        <v>25</v>
      </c>
    </row>
    <row r="1183" spans="1:5" x14ac:dyDescent="0.2">
      <c r="A1183">
        <v>5</v>
      </c>
      <c r="B1183" t="s">
        <v>103</v>
      </c>
      <c r="C1183">
        <v>0</v>
      </c>
      <c r="D1183">
        <v>1</v>
      </c>
      <c r="E1183" s="3">
        <v>25</v>
      </c>
    </row>
    <row r="1184" spans="1:5" x14ac:dyDescent="0.2">
      <c r="A1184">
        <v>1</v>
      </c>
      <c r="B1184" t="s">
        <v>68</v>
      </c>
      <c r="C1184">
        <v>2</v>
      </c>
      <c r="D1184">
        <v>16</v>
      </c>
      <c r="E1184" s="3">
        <v>25</v>
      </c>
    </row>
    <row r="1185" spans="1:5" x14ac:dyDescent="0.2">
      <c r="A1185">
        <v>2</v>
      </c>
      <c r="B1185" t="s">
        <v>14</v>
      </c>
      <c r="C1185">
        <v>2</v>
      </c>
      <c r="D1185">
        <v>12</v>
      </c>
      <c r="E1185" s="3">
        <v>25</v>
      </c>
    </row>
    <row r="1186" spans="1:5" x14ac:dyDescent="0.2">
      <c r="A1186">
        <v>3</v>
      </c>
      <c r="B1186" t="s">
        <v>61</v>
      </c>
      <c r="C1186">
        <v>1</v>
      </c>
      <c r="D1186">
        <v>8</v>
      </c>
      <c r="E1186" s="3">
        <v>25</v>
      </c>
    </row>
    <row r="1187" spans="1:5" x14ac:dyDescent="0.2">
      <c r="A1187">
        <v>4</v>
      </c>
      <c r="B1187" t="s">
        <v>75</v>
      </c>
      <c r="C1187">
        <v>0</v>
      </c>
      <c r="D1187">
        <v>4</v>
      </c>
      <c r="E1187" s="3">
        <v>25</v>
      </c>
    </row>
    <row r="1188" spans="1:5" x14ac:dyDescent="0.2">
      <c r="A1188">
        <v>5</v>
      </c>
      <c r="B1188" t="s">
        <v>54</v>
      </c>
      <c r="C1188">
        <v>0</v>
      </c>
      <c r="D1188">
        <v>2</v>
      </c>
      <c r="E1188" s="3">
        <v>25</v>
      </c>
    </row>
    <row r="1189" spans="1:5" x14ac:dyDescent="0.2">
      <c r="A1189">
        <v>6</v>
      </c>
      <c r="B1189" t="s">
        <v>66</v>
      </c>
      <c r="C1189">
        <v>0</v>
      </c>
      <c r="D1189">
        <v>1</v>
      </c>
      <c r="E1189" s="3">
        <v>25</v>
      </c>
    </row>
    <row r="1190" spans="1:5" x14ac:dyDescent="0.2">
      <c r="A1190">
        <v>1</v>
      </c>
      <c r="B1190" t="s">
        <v>59</v>
      </c>
      <c r="C1190">
        <v>3</v>
      </c>
      <c r="D1190">
        <v>16</v>
      </c>
      <c r="E1190" s="3">
        <v>26</v>
      </c>
    </row>
    <row r="1191" spans="1:5" x14ac:dyDescent="0.2">
      <c r="A1191">
        <v>2</v>
      </c>
      <c r="B1191" t="s">
        <v>26</v>
      </c>
      <c r="C1191">
        <v>0</v>
      </c>
      <c r="D1191">
        <v>12</v>
      </c>
      <c r="E1191" s="3">
        <v>26</v>
      </c>
    </row>
    <row r="1192" spans="1:5" x14ac:dyDescent="0.2">
      <c r="A1192">
        <v>3</v>
      </c>
      <c r="B1192" t="s">
        <v>66</v>
      </c>
      <c r="C1192">
        <v>2</v>
      </c>
      <c r="D1192">
        <v>8</v>
      </c>
      <c r="E1192" s="3">
        <v>26</v>
      </c>
    </row>
    <row r="1193" spans="1:5" x14ac:dyDescent="0.2">
      <c r="A1193">
        <v>4</v>
      </c>
      <c r="B1193" t="s">
        <v>52</v>
      </c>
      <c r="C1193">
        <v>0</v>
      </c>
      <c r="D1193">
        <v>4</v>
      </c>
      <c r="E1193" s="3">
        <v>26</v>
      </c>
    </row>
    <row r="1194" spans="1:5" x14ac:dyDescent="0.2">
      <c r="A1194">
        <v>5</v>
      </c>
      <c r="B1194" t="s">
        <v>12</v>
      </c>
      <c r="C1194">
        <v>0</v>
      </c>
      <c r="D1194">
        <v>2</v>
      </c>
      <c r="E1194" s="3">
        <v>26</v>
      </c>
    </row>
    <row r="1195" spans="1:5" x14ac:dyDescent="0.2">
      <c r="A1195">
        <v>6</v>
      </c>
      <c r="B1195" t="s">
        <v>65</v>
      </c>
      <c r="C1195">
        <v>0</v>
      </c>
      <c r="D1195">
        <v>1</v>
      </c>
      <c r="E1195" s="3">
        <v>26</v>
      </c>
    </row>
    <row r="1196" spans="1:5" x14ac:dyDescent="0.2">
      <c r="A1196">
        <v>1</v>
      </c>
      <c r="B1196" t="s">
        <v>39</v>
      </c>
      <c r="C1196">
        <v>2</v>
      </c>
      <c r="D1196">
        <v>16</v>
      </c>
      <c r="E1196" s="3">
        <v>26</v>
      </c>
    </row>
    <row r="1197" spans="1:5" x14ac:dyDescent="0.2">
      <c r="A1197">
        <v>2</v>
      </c>
      <c r="B1197" t="s">
        <v>43</v>
      </c>
      <c r="C1197">
        <v>3</v>
      </c>
      <c r="D1197">
        <v>12</v>
      </c>
      <c r="E1197" s="3">
        <v>26</v>
      </c>
    </row>
    <row r="1198" spans="1:5" x14ac:dyDescent="0.2">
      <c r="A1198">
        <v>3</v>
      </c>
      <c r="B1198" t="s">
        <v>25</v>
      </c>
      <c r="C1198">
        <v>0</v>
      </c>
      <c r="D1198">
        <v>8</v>
      </c>
      <c r="E1198" s="3">
        <v>26</v>
      </c>
    </row>
    <row r="1199" spans="1:5" x14ac:dyDescent="0.2">
      <c r="A1199">
        <v>4</v>
      </c>
      <c r="B1199" t="s">
        <v>35</v>
      </c>
      <c r="C1199">
        <v>0</v>
      </c>
      <c r="D1199">
        <v>4</v>
      </c>
      <c r="E1199" s="3">
        <v>26</v>
      </c>
    </row>
    <row r="1200" spans="1:5" x14ac:dyDescent="0.2">
      <c r="A1200">
        <v>5</v>
      </c>
      <c r="B1200" t="s">
        <v>6</v>
      </c>
      <c r="C1200">
        <v>0</v>
      </c>
      <c r="D1200">
        <v>2</v>
      </c>
      <c r="E1200" s="3">
        <v>26</v>
      </c>
    </row>
    <row r="1201" spans="1:5" x14ac:dyDescent="0.2">
      <c r="A1201">
        <v>6</v>
      </c>
      <c r="B1201" t="s">
        <v>29</v>
      </c>
      <c r="C1201">
        <v>0</v>
      </c>
      <c r="D1201">
        <v>1</v>
      </c>
      <c r="E1201" s="3">
        <v>26</v>
      </c>
    </row>
    <row r="1202" spans="1:5" x14ac:dyDescent="0.2">
      <c r="A1202">
        <v>1</v>
      </c>
      <c r="B1202" t="s">
        <v>73</v>
      </c>
      <c r="C1202">
        <v>3</v>
      </c>
      <c r="D1202">
        <v>16</v>
      </c>
      <c r="E1202" s="3">
        <v>26</v>
      </c>
    </row>
    <row r="1203" spans="1:5" x14ac:dyDescent="0.2">
      <c r="A1203">
        <v>2</v>
      </c>
      <c r="B1203" t="s">
        <v>32</v>
      </c>
      <c r="C1203">
        <v>1</v>
      </c>
      <c r="D1203">
        <v>12</v>
      </c>
      <c r="E1203" s="3">
        <v>26</v>
      </c>
    </row>
    <row r="1204" spans="1:5" x14ac:dyDescent="0.2">
      <c r="A1204">
        <v>3</v>
      </c>
      <c r="B1204" t="s">
        <v>75</v>
      </c>
      <c r="C1204">
        <v>0</v>
      </c>
      <c r="D1204">
        <v>8</v>
      </c>
      <c r="E1204" s="3">
        <v>26</v>
      </c>
    </row>
    <row r="1205" spans="1:5" x14ac:dyDescent="0.2">
      <c r="A1205">
        <v>4</v>
      </c>
      <c r="B1205" t="s">
        <v>15</v>
      </c>
      <c r="C1205">
        <v>1</v>
      </c>
      <c r="D1205">
        <v>4</v>
      </c>
      <c r="E1205" s="3">
        <v>26</v>
      </c>
    </row>
    <row r="1206" spans="1:5" x14ac:dyDescent="0.2">
      <c r="A1206">
        <v>5</v>
      </c>
      <c r="B1206" t="s">
        <v>74</v>
      </c>
      <c r="C1206">
        <v>0</v>
      </c>
      <c r="D1206">
        <v>2</v>
      </c>
      <c r="E1206" s="3">
        <v>26</v>
      </c>
    </row>
    <row r="1207" spans="1:5" x14ac:dyDescent="0.2">
      <c r="A1207">
        <v>6</v>
      </c>
      <c r="B1207" t="s">
        <v>61</v>
      </c>
      <c r="C1207">
        <v>0</v>
      </c>
      <c r="D1207">
        <v>1</v>
      </c>
      <c r="E1207" s="3">
        <v>26</v>
      </c>
    </row>
    <row r="1208" spans="1:5" x14ac:dyDescent="0.2">
      <c r="A1208">
        <v>1</v>
      </c>
      <c r="B1208" t="s">
        <v>14</v>
      </c>
      <c r="C1208">
        <v>2</v>
      </c>
      <c r="D1208">
        <v>16</v>
      </c>
      <c r="E1208" s="3">
        <v>26</v>
      </c>
    </row>
    <row r="1209" spans="1:5" x14ac:dyDescent="0.2">
      <c r="A1209">
        <v>2</v>
      </c>
      <c r="B1209" t="s">
        <v>68</v>
      </c>
      <c r="C1209">
        <v>1</v>
      </c>
      <c r="D1209">
        <v>12</v>
      </c>
      <c r="E1209" s="3">
        <v>26</v>
      </c>
    </row>
    <row r="1210" spans="1:5" x14ac:dyDescent="0.2">
      <c r="A1210">
        <v>3</v>
      </c>
      <c r="B1210" t="s">
        <v>40</v>
      </c>
      <c r="C1210">
        <v>2</v>
      </c>
      <c r="D1210">
        <v>8</v>
      </c>
      <c r="E1210" s="3">
        <v>26</v>
      </c>
    </row>
    <row r="1211" spans="1:5" x14ac:dyDescent="0.2">
      <c r="A1211">
        <v>4</v>
      </c>
      <c r="B1211" t="s">
        <v>21</v>
      </c>
      <c r="C1211">
        <v>0</v>
      </c>
      <c r="D1211">
        <v>4</v>
      </c>
      <c r="E1211" s="3">
        <v>26</v>
      </c>
    </row>
    <row r="1212" spans="1:5" x14ac:dyDescent="0.2">
      <c r="A1212">
        <v>5</v>
      </c>
      <c r="B1212" t="s">
        <v>31</v>
      </c>
      <c r="C1212">
        <v>0</v>
      </c>
      <c r="D1212">
        <v>2</v>
      </c>
      <c r="E1212" s="3">
        <v>26</v>
      </c>
    </row>
    <row r="1213" spans="1:5" x14ac:dyDescent="0.2">
      <c r="A1213">
        <v>6</v>
      </c>
      <c r="B1213" t="s">
        <v>87</v>
      </c>
      <c r="C1213">
        <v>0</v>
      </c>
      <c r="D1213">
        <v>1</v>
      </c>
      <c r="E1213" s="3">
        <v>26</v>
      </c>
    </row>
    <row r="1214" spans="1:5" x14ac:dyDescent="0.2">
      <c r="A1214">
        <v>1</v>
      </c>
      <c r="B1214" t="s">
        <v>9</v>
      </c>
      <c r="C1214">
        <v>4</v>
      </c>
      <c r="D1214">
        <v>16</v>
      </c>
      <c r="E1214" s="3">
        <v>26</v>
      </c>
    </row>
    <row r="1215" spans="1:5" x14ac:dyDescent="0.2">
      <c r="A1215">
        <v>2</v>
      </c>
      <c r="B1215" t="s">
        <v>18</v>
      </c>
      <c r="C1215">
        <v>0</v>
      </c>
      <c r="D1215">
        <v>12</v>
      </c>
      <c r="E1215" s="3">
        <v>26</v>
      </c>
    </row>
    <row r="1216" spans="1:5" x14ac:dyDescent="0.2">
      <c r="A1216">
        <v>3</v>
      </c>
      <c r="B1216" t="s">
        <v>345</v>
      </c>
      <c r="C1216">
        <v>0</v>
      </c>
      <c r="D1216">
        <v>8</v>
      </c>
      <c r="E1216" s="3">
        <v>26</v>
      </c>
    </row>
    <row r="1217" spans="1:5" x14ac:dyDescent="0.2">
      <c r="A1217">
        <v>4</v>
      </c>
      <c r="B1217" t="s">
        <v>55</v>
      </c>
      <c r="C1217">
        <v>1</v>
      </c>
      <c r="D1217">
        <v>4</v>
      </c>
      <c r="E1217" s="3">
        <v>26</v>
      </c>
    </row>
    <row r="1218" spans="1:5" x14ac:dyDescent="0.2">
      <c r="A1218">
        <v>5</v>
      </c>
      <c r="B1218" t="s">
        <v>60</v>
      </c>
      <c r="C1218">
        <v>0</v>
      </c>
      <c r="D1218">
        <v>2</v>
      </c>
      <c r="E1218" s="3">
        <v>26</v>
      </c>
    </row>
    <row r="1219" spans="1:5" x14ac:dyDescent="0.2">
      <c r="A1219">
        <v>6</v>
      </c>
      <c r="B1219" t="s">
        <v>42</v>
      </c>
      <c r="C1219">
        <v>0</v>
      </c>
      <c r="D1219">
        <v>1</v>
      </c>
      <c r="E1219" s="3">
        <v>26</v>
      </c>
    </row>
    <row r="1220" spans="1:5" x14ac:dyDescent="0.2">
      <c r="A1220">
        <v>1</v>
      </c>
      <c r="B1220" t="s">
        <v>54</v>
      </c>
      <c r="C1220">
        <v>1</v>
      </c>
      <c r="D1220">
        <v>17</v>
      </c>
      <c r="E1220" s="3">
        <v>26</v>
      </c>
    </row>
    <row r="1221" spans="1:5" x14ac:dyDescent="0.2">
      <c r="A1221">
        <v>2</v>
      </c>
      <c r="B1221" t="s">
        <v>41</v>
      </c>
      <c r="C1221">
        <v>3</v>
      </c>
      <c r="D1221">
        <v>13</v>
      </c>
      <c r="E1221" s="3">
        <v>26</v>
      </c>
    </row>
    <row r="1222" spans="1:5" x14ac:dyDescent="0.2">
      <c r="A1222">
        <v>3</v>
      </c>
      <c r="B1222" t="s">
        <v>47</v>
      </c>
      <c r="C1222">
        <v>2</v>
      </c>
      <c r="D1222">
        <v>9</v>
      </c>
      <c r="E1222" s="3">
        <v>26</v>
      </c>
    </row>
    <row r="1223" spans="1:5" x14ac:dyDescent="0.2">
      <c r="A1223">
        <v>4</v>
      </c>
      <c r="B1223" t="s">
        <v>33</v>
      </c>
      <c r="C1223">
        <v>0</v>
      </c>
      <c r="D1223">
        <v>5</v>
      </c>
      <c r="E1223" s="3">
        <v>26</v>
      </c>
    </row>
    <row r="1224" spans="1:5" x14ac:dyDescent="0.2">
      <c r="A1224">
        <v>5</v>
      </c>
      <c r="B1224" t="s">
        <v>92</v>
      </c>
      <c r="C1224">
        <v>0</v>
      </c>
      <c r="D1224">
        <v>3</v>
      </c>
      <c r="E1224" s="3">
        <v>26</v>
      </c>
    </row>
    <row r="1225" spans="1:5" x14ac:dyDescent="0.2">
      <c r="A1225">
        <v>6</v>
      </c>
      <c r="B1225" t="s">
        <v>45</v>
      </c>
      <c r="C1225">
        <v>0</v>
      </c>
      <c r="D1225">
        <v>2</v>
      </c>
      <c r="E1225" s="3">
        <v>26</v>
      </c>
    </row>
    <row r="1226" spans="1:5" x14ac:dyDescent="0.2">
      <c r="A1226">
        <v>7</v>
      </c>
      <c r="B1226" t="s">
        <v>22</v>
      </c>
      <c r="C1226">
        <v>0</v>
      </c>
      <c r="D1226">
        <v>1</v>
      </c>
      <c r="E1226" s="3">
        <v>26</v>
      </c>
    </row>
    <row r="1227" spans="1:5" x14ac:dyDescent="0.2">
      <c r="A1227">
        <v>1</v>
      </c>
      <c r="B1227" t="s">
        <v>305</v>
      </c>
      <c r="C1227">
        <v>3</v>
      </c>
      <c r="D1227">
        <v>16</v>
      </c>
      <c r="E1227" s="3">
        <v>26</v>
      </c>
    </row>
    <row r="1228" spans="1:5" x14ac:dyDescent="0.2">
      <c r="A1228">
        <v>2</v>
      </c>
      <c r="B1228" t="s">
        <v>76</v>
      </c>
      <c r="C1228">
        <v>1</v>
      </c>
      <c r="D1228">
        <v>12</v>
      </c>
      <c r="E1228" s="3">
        <v>26</v>
      </c>
    </row>
    <row r="1229" spans="1:5" x14ac:dyDescent="0.2">
      <c r="A1229">
        <v>3</v>
      </c>
      <c r="B1229" t="s">
        <v>101</v>
      </c>
      <c r="C1229">
        <v>1</v>
      </c>
      <c r="D1229">
        <v>8</v>
      </c>
      <c r="E1229" s="3">
        <v>26</v>
      </c>
    </row>
    <row r="1230" spans="1:5" x14ac:dyDescent="0.2">
      <c r="A1230">
        <v>4</v>
      </c>
      <c r="B1230" t="s">
        <v>19</v>
      </c>
      <c r="C1230">
        <v>0</v>
      </c>
      <c r="D1230">
        <v>4</v>
      </c>
      <c r="E1230" s="3">
        <v>26</v>
      </c>
    </row>
    <row r="1231" spans="1:5" x14ac:dyDescent="0.2">
      <c r="A1231">
        <v>5</v>
      </c>
      <c r="B1231" t="s">
        <v>50</v>
      </c>
      <c r="C1231">
        <v>0</v>
      </c>
      <c r="D1231">
        <v>2</v>
      </c>
      <c r="E1231" s="3">
        <v>26</v>
      </c>
    </row>
    <row r="1232" spans="1:5" x14ac:dyDescent="0.2">
      <c r="A1232">
        <v>6</v>
      </c>
      <c r="B1232" t="s">
        <v>69</v>
      </c>
      <c r="C1232">
        <v>0</v>
      </c>
      <c r="D1232">
        <v>1</v>
      </c>
      <c r="E1232" s="3">
        <v>26</v>
      </c>
    </row>
    <row r="1233" spans="1:5" x14ac:dyDescent="0.2">
      <c r="A1233">
        <v>1</v>
      </c>
      <c r="B1233" t="s">
        <v>32</v>
      </c>
      <c r="C1233">
        <v>3</v>
      </c>
      <c r="D1233">
        <v>16</v>
      </c>
      <c r="E1233" s="3">
        <v>27</v>
      </c>
    </row>
    <row r="1234" spans="1:5" x14ac:dyDescent="0.2">
      <c r="A1234">
        <v>2</v>
      </c>
      <c r="B1234" t="s">
        <v>18</v>
      </c>
      <c r="C1234">
        <v>1</v>
      </c>
      <c r="D1234">
        <v>12</v>
      </c>
      <c r="E1234" s="3">
        <v>27</v>
      </c>
    </row>
    <row r="1235" spans="1:5" x14ac:dyDescent="0.2">
      <c r="A1235">
        <v>3</v>
      </c>
      <c r="B1235" t="s">
        <v>69</v>
      </c>
      <c r="C1235">
        <v>1</v>
      </c>
      <c r="D1235">
        <v>8</v>
      </c>
      <c r="E1235" s="3">
        <v>27</v>
      </c>
    </row>
    <row r="1236" spans="1:5" x14ac:dyDescent="0.2">
      <c r="A1236">
        <v>4</v>
      </c>
      <c r="B1236" t="s">
        <v>47</v>
      </c>
      <c r="C1236">
        <v>0</v>
      </c>
      <c r="D1236">
        <v>4</v>
      </c>
      <c r="E1236" s="3">
        <v>27</v>
      </c>
    </row>
    <row r="1237" spans="1:5" x14ac:dyDescent="0.2">
      <c r="A1237">
        <v>5</v>
      </c>
      <c r="B1237" t="s">
        <v>12</v>
      </c>
      <c r="C1237">
        <v>0</v>
      </c>
      <c r="D1237">
        <v>2</v>
      </c>
      <c r="E1237" s="3">
        <v>27</v>
      </c>
    </row>
    <row r="1238" spans="1:5" x14ac:dyDescent="0.2">
      <c r="A1238">
        <v>6</v>
      </c>
      <c r="B1238" t="s">
        <v>40</v>
      </c>
      <c r="C1238">
        <v>0</v>
      </c>
      <c r="D1238">
        <v>1</v>
      </c>
      <c r="E1238" s="3">
        <v>27</v>
      </c>
    </row>
    <row r="1239" spans="1:5" x14ac:dyDescent="0.2">
      <c r="A1239">
        <v>1</v>
      </c>
      <c r="B1239" t="s">
        <v>31</v>
      </c>
      <c r="C1239">
        <v>2</v>
      </c>
      <c r="D1239">
        <v>16</v>
      </c>
      <c r="E1239" s="3">
        <v>27</v>
      </c>
    </row>
    <row r="1240" spans="1:5" x14ac:dyDescent="0.2">
      <c r="A1240">
        <v>2</v>
      </c>
      <c r="B1240" t="s">
        <v>59</v>
      </c>
      <c r="C1240">
        <v>2</v>
      </c>
      <c r="D1240">
        <v>12</v>
      </c>
      <c r="E1240" s="3">
        <v>27</v>
      </c>
    </row>
    <row r="1241" spans="1:5" x14ac:dyDescent="0.2">
      <c r="A1241">
        <v>3</v>
      </c>
      <c r="B1241" t="s">
        <v>76</v>
      </c>
      <c r="C1241">
        <v>1</v>
      </c>
      <c r="D1241">
        <v>8</v>
      </c>
      <c r="E1241" s="3">
        <v>27</v>
      </c>
    </row>
    <row r="1242" spans="1:5" x14ac:dyDescent="0.2">
      <c r="A1242">
        <v>4</v>
      </c>
      <c r="B1242" t="s">
        <v>15</v>
      </c>
      <c r="C1242">
        <v>0</v>
      </c>
      <c r="D1242">
        <v>4</v>
      </c>
      <c r="E1242" s="3">
        <v>27</v>
      </c>
    </row>
    <row r="1243" spans="1:5" x14ac:dyDescent="0.2">
      <c r="A1243">
        <v>5</v>
      </c>
      <c r="B1243" t="s">
        <v>60</v>
      </c>
      <c r="C1243">
        <v>0</v>
      </c>
      <c r="D1243">
        <v>2</v>
      </c>
      <c r="E1243" s="3">
        <v>27</v>
      </c>
    </row>
    <row r="1244" spans="1:5" x14ac:dyDescent="0.2">
      <c r="A1244">
        <v>6</v>
      </c>
      <c r="B1244" t="s">
        <v>73</v>
      </c>
      <c r="C1244">
        <v>0</v>
      </c>
      <c r="D1244">
        <v>1</v>
      </c>
      <c r="E1244" s="3">
        <v>27</v>
      </c>
    </row>
    <row r="1245" spans="1:5" x14ac:dyDescent="0.2">
      <c r="A1245">
        <v>1</v>
      </c>
      <c r="B1245" t="s">
        <v>68</v>
      </c>
      <c r="C1245">
        <v>2</v>
      </c>
      <c r="D1245">
        <v>15</v>
      </c>
      <c r="E1245" s="3">
        <v>27</v>
      </c>
    </row>
    <row r="1246" spans="1:5" x14ac:dyDescent="0.2">
      <c r="A1246">
        <v>2</v>
      </c>
      <c r="B1246" t="s">
        <v>65</v>
      </c>
      <c r="C1246">
        <v>1</v>
      </c>
      <c r="D1246">
        <v>11</v>
      </c>
      <c r="E1246" s="3">
        <v>27</v>
      </c>
    </row>
    <row r="1247" spans="1:5" x14ac:dyDescent="0.2">
      <c r="A1247">
        <v>3</v>
      </c>
      <c r="B1247" t="s">
        <v>26</v>
      </c>
      <c r="C1247">
        <v>0</v>
      </c>
      <c r="D1247">
        <v>7</v>
      </c>
      <c r="E1247" s="3">
        <v>27</v>
      </c>
    </row>
    <row r="1248" spans="1:5" x14ac:dyDescent="0.2">
      <c r="A1248">
        <v>4</v>
      </c>
      <c r="B1248" t="s">
        <v>101</v>
      </c>
      <c r="C1248">
        <v>1</v>
      </c>
      <c r="D1248">
        <v>3</v>
      </c>
      <c r="E1248" s="3">
        <v>27</v>
      </c>
    </row>
    <row r="1249" spans="1:5" x14ac:dyDescent="0.2">
      <c r="A1249">
        <v>5</v>
      </c>
      <c r="B1249" t="s">
        <v>14</v>
      </c>
      <c r="C1249">
        <v>0</v>
      </c>
      <c r="D1249">
        <v>1</v>
      </c>
      <c r="E1249" s="3">
        <v>27</v>
      </c>
    </row>
    <row r="1250" spans="1:5" x14ac:dyDescent="0.2">
      <c r="A1250">
        <v>1</v>
      </c>
      <c r="B1250" t="s">
        <v>75</v>
      </c>
      <c r="C1250">
        <v>3</v>
      </c>
      <c r="D1250">
        <v>16</v>
      </c>
      <c r="E1250" s="3">
        <v>27</v>
      </c>
    </row>
    <row r="1251" spans="1:5" x14ac:dyDescent="0.2">
      <c r="A1251">
        <v>2</v>
      </c>
      <c r="B1251" t="s">
        <v>55</v>
      </c>
      <c r="C1251">
        <v>0</v>
      </c>
      <c r="D1251">
        <v>12</v>
      </c>
      <c r="E1251" s="3">
        <v>27</v>
      </c>
    </row>
    <row r="1252" spans="1:5" x14ac:dyDescent="0.2">
      <c r="A1252">
        <v>3</v>
      </c>
      <c r="B1252" t="s">
        <v>45</v>
      </c>
      <c r="C1252">
        <v>1</v>
      </c>
      <c r="D1252">
        <v>8</v>
      </c>
      <c r="E1252" s="3">
        <v>27</v>
      </c>
    </row>
    <row r="1253" spans="1:5" x14ac:dyDescent="0.2">
      <c r="A1253">
        <v>4</v>
      </c>
      <c r="B1253" t="s">
        <v>8</v>
      </c>
      <c r="C1253">
        <v>1</v>
      </c>
      <c r="D1253">
        <v>4</v>
      </c>
      <c r="E1253" s="3">
        <v>27</v>
      </c>
    </row>
    <row r="1254" spans="1:5" x14ac:dyDescent="0.2">
      <c r="A1254">
        <v>5</v>
      </c>
      <c r="B1254" t="s">
        <v>9</v>
      </c>
      <c r="C1254">
        <v>0</v>
      </c>
      <c r="D1254">
        <v>2</v>
      </c>
      <c r="E1254" s="3">
        <v>27</v>
      </c>
    </row>
    <row r="1255" spans="1:5" x14ac:dyDescent="0.2">
      <c r="A1255">
        <v>6</v>
      </c>
      <c r="B1255" t="s">
        <v>92</v>
      </c>
      <c r="C1255">
        <v>0</v>
      </c>
      <c r="D1255">
        <v>1</v>
      </c>
      <c r="E1255" s="3">
        <v>27</v>
      </c>
    </row>
    <row r="1256" spans="1:5" x14ac:dyDescent="0.2">
      <c r="A1256">
        <v>1</v>
      </c>
      <c r="B1256" t="s">
        <v>43</v>
      </c>
      <c r="C1256">
        <v>3</v>
      </c>
      <c r="D1256">
        <v>15</v>
      </c>
      <c r="E1256" s="3">
        <v>27</v>
      </c>
    </row>
    <row r="1257" spans="1:5" x14ac:dyDescent="0.2">
      <c r="A1257">
        <v>2</v>
      </c>
      <c r="B1257" t="s">
        <v>25</v>
      </c>
      <c r="C1257">
        <v>0</v>
      </c>
      <c r="D1257">
        <v>11</v>
      </c>
      <c r="E1257" s="3">
        <v>27</v>
      </c>
    </row>
    <row r="1258" spans="1:5" x14ac:dyDescent="0.2">
      <c r="A1258">
        <v>3</v>
      </c>
      <c r="B1258" t="s">
        <v>345</v>
      </c>
      <c r="C1258">
        <v>1</v>
      </c>
      <c r="D1258">
        <v>7</v>
      </c>
      <c r="E1258" s="3">
        <v>27</v>
      </c>
    </row>
    <row r="1259" spans="1:5" x14ac:dyDescent="0.2">
      <c r="A1259">
        <v>4</v>
      </c>
      <c r="B1259" t="s">
        <v>21</v>
      </c>
      <c r="C1259">
        <v>0</v>
      </c>
      <c r="D1259">
        <v>3</v>
      </c>
      <c r="E1259" s="3">
        <v>27</v>
      </c>
    </row>
    <row r="1260" spans="1:5" x14ac:dyDescent="0.2">
      <c r="A1260">
        <v>5</v>
      </c>
      <c r="B1260" t="s">
        <v>305</v>
      </c>
      <c r="C1260">
        <v>0</v>
      </c>
      <c r="D1260">
        <v>1</v>
      </c>
      <c r="E1260" s="3">
        <v>27</v>
      </c>
    </row>
    <row r="1261" spans="1:5" x14ac:dyDescent="0.2">
      <c r="A1261">
        <v>1</v>
      </c>
      <c r="B1261" t="s">
        <v>54</v>
      </c>
      <c r="C1261">
        <v>2</v>
      </c>
      <c r="D1261">
        <v>15</v>
      </c>
      <c r="E1261" s="3">
        <v>27</v>
      </c>
    </row>
    <row r="1262" spans="1:5" x14ac:dyDescent="0.2">
      <c r="A1262">
        <v>2</v>
      </c>
      <c r="B1262" t="s">
        <v>6</v>
      </c>
      <c r="C1262">
        <v>2</v>
      </c>
      <c r="D1262">
        <v>11</v>
      </c>
      <c r="E1262" s="3">
        <v>27</v>
      </c>
    </row>
    <row r="1263" spans="1:5" x14ac:dyDescent="0.2">
      <c r="A1263">
        <v>3</v>
      </c>
      <c r="B1263" t="s">
        <v>46</v>
      </c>
      <c r="C1263">
        <v>0</v>
      </c>
      <c r="D1263">
        <v>7</v>
      </c>
      <c r="E1263" s="3">
        <v>27</v>
      </c>
    </row>
    <row r="1264" spans="1:5" x14ac:dyDescent="0.2">
      <c r="A1264">
        <v>4</v>
      </c>
      <c r="B1264" t="s">
        <v>87</v>
      </c>
      <c r="C1264">
        <v>0</v>
      </c>
      <c r="D1264">
        <v>3</v>
      </c>
      <c r="E1264" s="3">
        <v>27</v>
      </c>
    </row>
    <row r="1265" spans="1:5" x14ac:dyDescent="0.2">
      <c r="A1265">
        <v>5</v>
      </c>
      <c r="B1265" t="s">
        <v>74</v>
      </c>
      <c r="C1265">
        <v>0</v>
      </c>
      <c r="D1265">
        <v>1</v>
      </c>
      <c r="E1265" s="3">
        <v>27</v>
      </c>
    </row>
    <row r="1266" spans="1:5" x14ac:dyDescent="0.2">
      <c r="A1266">
        <v>1</v>
      </c>
      <c r="B1266" t="s">
        <v>39</v>
      </c>
      <c r="C1266">
        <v>2</v>
      </c>
      <c r="D1266">
        <v>16</v>
      </c>
      <c r="E1266" s="3">
        <v>27</v>
      </c>
    </row>
    <row r="1267" spans="1:5" x14ac:dyDescent="0.2">
      <c r="A1267">
        <v>2</v>
      </c>
      <c r="B1267" t="s">
        <v>42</v>
      </c>
      <c r="C1267">
        <v>2</v>
      </c>
      <c r="D1267">
        <v>12</v>
      </c>
      <c r="E1267" s="3">
        <v>27</v>
      </c>
    </row>
    <row r="1268" spans="1:5" x14ac:dyDescent="0.2">
      <c r="A1268">
        <v>3</v>
      </c>
      <c r="B1268" t="s">
        <v>41</v>
      </c>
      <c r="C1268">
        <v>1</v>
      </c>
      <c r="D1268">
        <v>8</v>
      </c>
      <c r="E1268" s="3">
        <v>27</v>
      </c>
    </row>
    <row r="1269" spans="1:5" x14ac:dyDescent="0.2">
      <c r="A1269">
        <v>4</v>
      </c>
      <c r="B1269" t="s">
        <v>50</v>
      </c>
      <c r="C1269">
        <v>0</v>
      </c>
      <c r="D1269">
        <v>4</v>
      </c>
      <c r="E1269" s="3">
        <v>27</v>
      </c>
    </row>
    <row r="1270" spans="1:5" x14ac:dyDescent="0.2">
      <c r="A1270">
        <v>5</v>
      </c>
      <c r="B1270" t="s">
        <v>35</v>
      </c>
      <c r="C1270">
        <v>0</v>
      </c>
      <c r="D1270">
        <v>2</v>
      </c>
      <c r="E1270" s="3">
        <v>27</v>
      </c>
    </row>
    <row r="1271" spans="1:5" x14ac:dyDescent="0.2">
      <c r="A1271">
        <v>6</v>
      </c>
      <c r="B1271" t="s">
        <v>28</v>
      </c>
      <c r="C1271">
        <v>0</v>
      </c>
      <c r="D1271">
        <v>1</v>
      </c>
      <c r="E1271" s="3">
        <v>27</v>
      </c>
    </row>
    <row r="1272" spans="1:5" x14ac:dyDescent="0.2">
      <c r="A1272">
        <v>1</v>
      </c>
      <c r="B1272" t="s">
        <v>68</v>
      </c>
      <c r="C1272">
        <v>5</v>
      </c>
      <c r="D1272">
        <v>17</v>
      </c>
      <c r="E1272" s="3">
        <v>28</v>
      </c>
    </row>
    <row r="1273" spans="1:5" x14ac:dyDescent="0.2">
      <c r="A1273">
        <v>2</v>
      </c>
      <c r="B1273" t="s">
        <v>50</v>
      </c>
      <c r="C1273">
        <v>0</v>
      </c>
      <c r="D1273">
        <v>13</v>
      </c>
      <c r="E1273" s="3">
        <v>28</v>
      </c>
    </row>
    <row r="1274" spans="1:5" x14ac:dyDescent="0.2">
      <c r="A1274">
        <v>3</v>
      </c>
      <c r="B1274" t="s">
        <v>47</v>
      </c>
      <c r="C1274">
        <v>1</v>
      </c>
      <c r="D1274">
        <v>9</v>
      </c>
      <c r="E1274" s="3">
        <v>28</v>
      </c>
    </row>
    <row r="1275" spans="1:5" x14ac:dyDescent="0.2">
      <c r="A1275">
        <v>4</v>
      </c>
      <c r="B1275" t="s">
        <v>8</v>
      </c>
      <c r="C1275">
        <v>0</v>
      </c>
      <c r="D1275">
        <v>5</v>
      </c>
      <c r="E1275" s="3">
        <v>28</v>
      </c>
    </row>
    <row r="1276" spans="1:5" x14ac:dyDescent="0.2">
      <c r="A1276">
        <v>5</v>
      </c>
      <c r="B1276" t="s">
        <v>45</v>
      </c>
      <c r="C1276">
        <v>0</v>
      </c>
      <c r="D1276">
        <v>3</v>
      </c>
      <c r="E1276" s="3">
        <v>28</v>
      </c>
    </row>
    <row r="1277" spans="1:5" x14ac:dyDescent="0.2">
      <c r="A1277">
        <v>6</v>
      </c>
      <c r="B1277" t="s">
        <v>92</v>
      </c>
      <c r="C1277">
        <v>0</v>
      </c>
      <c r="D1277">
        <v>2</v>
      </c>
      <c r="E1277" s="3">
        <v>28</v>
      </c>
    </row>
    <row r="1278" spans="1:5" x14ac:dyDescent="0.2">
      <c r="A1278">
        <v>7</v>
      </c>
      <c r="B1278" t="s">
        <v>43</v>
      </c>
      <c r="C1278">
        <v>0</v>
      </c>
      <c r="D1278">
        <v>1</v>
      </c>
      <c r="E1278" s="3">
        <v>28</v>
      </c>
    </row>
    <row r="1279" spans="1:5" x14ac:dyDescent="0.2">
      <c r="A1279">
        <v>1</v>
      </c>
      <c r="B1279" t="s">
        <v>14</v>
      </c>
      <c r="C1279">
        <v>2</v>
      </c>
      <c r="D1279">
        <v>16</v>
      </c>
      <c r="E1279" s="3">
        <v>28</v>
      </c>
    </row>
    <row r="1280" spans="1:5" x14ac:dyDescent="0.2">
      <c r="A1280">
        <v>2</v>
      </c>
      <c r="B1280" t="s">
        <v>35</v>
      </c>
      <c r="C1280">
        <v>2</v>
      </c>
      <c r="D1280">
        <v>12</v>
      </c>
      <c r="E1280" s="3">
        <v>28</v>
      </c>
    </row>
    <row r="1281" spans="1:5" x14ac:dyDescent="0.2">
      <c r="A1281">
        <v>3</v>
      </c>
      <c r="B1281" t="s">
        <v>101</v>
      </c>
      <c r="C1281">
        <v>0</v>
      </c>
      <c r="D1281">
        <v>8</v>
      </c>
      <c r="E1281" s="3">
        <v>28</v>
      </c>
    </row>
    <row r="1282" spans="1:5" x14ac:dyDescent="0.2">
      <c r="A1282">
        <v>4</v>
      </c>
      <c r="B1282" t="s">
        <v>40</v>
      </c>
      <c r="C1282">
        <v>1</v>
      </c>
      <c r="D1282">
        <v>4</v>
      </c>
      <c r="E1282" s="3">
        <v>28</v>
      </c>
    </row>
    <row r="1283" spans="1:5" x14ac:dyDescent="0.2">
      <c r="A1283">
        <v>5</v>
      </c>
      <c r="B1283" t="s">
        <v>61</v>
      </c>
      <c r="C1283">
        <v>0</v>
      </c>
      <c r="D1283">
        <v>2</v>
      </c>
      <c r="E1283" s="3">
        <v>28</v>
      </c>
    </row>
    <row r="1284" spans="1:5" x14ac:dyDescent="0.2">
      <c r="A1284">
        <v>6</v>
      </c>
      <c r="B1284" t="s">
        <v>69</v>
      </c>
      <c r="C1284">
        <v>0</v>
      </c>
      <c r="D1284">
        <v>1</v>
      </c>
      <c r="E1284" s="3">
        <v>28</v>
      </c>
    </row>
    <row r="1285" spans="1:5" x14ac:dyDescent="0.2">
      <c r="A1285">
        <v>1</v>
      </c>
      <c r="B1285" t="s">
        <v>46</v>
      </c>
      <c r="C1285">
        <v>2</v>
      </c>
      <c r="D1285">
        <v>16</v>
      </c>
      <c r="E1285" s="3">
        <v>28</v>
      </c>
    </row>
    <row r="1286" spans="1:5" x14ac:dyDescent="0.2">
      <c r="A1286">
        <v>2</v>
      </c>
      <c r="B1286" t="s">
        <v>18</v>
      </c>
      <c r="C1286">
        <v>3</v>
      </c>
      <c r="D1286">
        <v>12</v>
      </c>
      <c r="E1286" s="3">
        <v>28</v>
      </c>
    </row>
    <row r="1287" spans="1:5" x14ac:dyDescent="0.2">
      <c r="A1287">
        <v>3</v>
      </c>
      <c r="B1287" t="s">
        <v>25</v>
      </c>
      <c r="C1287">
        <v>0</v>
      </c>
      <c r="D1287">
        <v>8</v>
      </c>
      <c r="E1287" s="3">
        <v>28</v>
      </c>
    </row>
    <row r="1288" spans="1:5" x14ac:dyDescent="0.2">
      <c r="A1288">
        <v>4</v>
      </c>
      <c r="B1288" t="s">
        <v>102</v>
      </c>
      <c r="C1288">
        <v>0</v>
      </c>
      <c r="D1288">
        <v>4</v>
      </c>
      <c r="E1288" s="3">
        <v>28</v>
      </c>
    </row>
    <row r="1289" spans="1:5" x14ac:dyDescent="0.2">
      <c r="A1289">
        <v>5</v>
      </c>
      <c r="B1289" t="s">
        <v>88</v>
      </c>
      <c r="C1289">
        <v>0</v>
      </c>
      <c r="D1289">
        <v>2</v>
      </c>
      <c r="E1289" s="3">
        <v>28</v>
      </c>
    </row>
    <row r="1290" spans="1:5" x14ac:dyDescent="0.2">
      <c r="A1290">
        <v>6</v>
      </c>
      <c r="B1290" t="s">
        <v>38</v>
      </c>
      <c r="C1290">
        <v>0</v>
      </c>
      <c r="D1290">
        <v>1</v>
      </c>
      <c r="E1290" s="3">
        <v>28</v>
      </c>
    </row>
    <row r="1291" spans="1:5" x14ac:dyDescent="0.2">
      <c r="A1291">
        <v>1</v>
      </c>
      <c r="B1291" t="s">
        <v>6</v>
      </c>
      <c r="C1291">
        <v>2</v>
      </c>
      <c r="D1291">
        <v>16</v>
      </c>
      <c r="E1291" s="3">
        <v>28</v>
      </c>
    </row>
    <row r="1292" spans="1:5" x14ac:dyDescent="0.2">
      <c r="A1292">
        <v>2</v>
      </c>
      <c r="B1292" t="s">
        <v>29</v>
      </c>
      <c r="C1292">
        <v>2</v>
      </c>
      <c r="D1292">
        <v>12</v>
      </c>
      <c r="E1292" s="3">
        <v>28</v>
      </c>
    </row>
    <row r="1293" spans="1:5" x14ac:dyDescent="0.2">
      <c r="A1293">
        <v>3</v>
      </c>
      <c r="B1293" t="s">
        <v>9</v>
      </c>
      <c r="C1293">
        <v>1</v>
      </c>
      <c r="D1293">
        <v>8</v>
      </c>
      <c r="E1293" s="3">
        <v>28</v>
      </c>
    </row>
    <row r="1294" spans="1:5" x14ac:dyDescent="0.2">
      <c r="A1294">
        <v>4</v>
      </c>
      <c r="B1294" t="s">
        <v>76</v>
      </c>
      <c r="C1294">
        <v>0</v>
      </c>
      <c r="D1294">
        <v>4</v>
      </c>
      <c r="E1294" s="3">
        <v>28</v>
      </c>
    </row>
    <row r="1295" spans="1:5" x14ac:dyDescent="0.2">
      <c r="A1295">
        <v>5</v>
      </c>
      <c r="B1295" t="s">
        <v>28</v>
      </c>
      <c r="C1295">
        <v>0</v>
      </c>
      <c r="D1295">
        <v>2</v>
      </c>
      <c r="E1295" s="3">
        <v>28</v>
      </c>
    </row>
    <row r="1296" spans="1:5" x14ac:dyDescent="0.2">
      <c r="A1296">
        <v>6</v>
      </c>
      <c r="B1296" t="s">
        <v>87</v>
      </c>
      <c r="C1296">
        <v>0</v>
      </c>
      <c r="D1296">
        <v>1</v>
      </c>
      <c r="E1296" s="3">
        <v>28</v>
      </c>
    </row>
    <row r="1297" spans="1:5" x14ac:dyDescent="0.2">
      <c r="A1297">
        <v>1</v>
      </c>
      <c r="B1297" t="s">
        <v>66</v>
      </c>
      <c r="C1297">
        <v>3</v>
      </c>
      <c r="D1297">
        <v>16</v>
      </c>
      <c r="E1297" s="3">
        <v>28</v>
      </c>
    </row>
    <row r="1298" spans="1:5" x14ac:dyDescent="0.2">
      <c r="A1298">
        <v>2</v>
      </c>
      <c r="B1298" t="s">
        <v>23</v>
      </c>
      <c r="C1298">
        <v>0</v>
      </c>
      <c r="D1298">
        <v>12</v>
      </c>
      <c r="E1298" s="3">
        <v>28</v>
      </c>
    </row>
    <row r="1299" spans="1:5" x14ac:dyDescent="0.2">
      <c r="A1299">
        <v>3</v>
      </c>
      <c r="B1299" t="s">
        <v>65</v>
      </c>
      <c r="C1299">
        <v>1</v>
      </c>
      <c r="D1299">
        <v>8</v>
      </c>
      <c r="E1299" s="3">
        <v>28</v>
      </c>
    </row>
    <row r="1300" spans="1:5" x14ac:dyDescent="0.2">
      <c r="A1300">
        <v>4</v>
      </c>
      <c r="B1300" t="s">
        <v>74</v>
      </c>
      <c r="C1300">
        <v>1</v>
      </c>
      <c r="D1300">
        <v>4</v>
      </c>
      <c r="E1300" s="3">
        <v>28</v>
      </c>
    </row>
    <row r="1301" spans="1:5" x14ac:dyDescent="0.2">
      <c r="A1301">
        <v>5</v>
      </c>
      <c r="B1301" t="s">
        <v>15</v>
      </c>
      <c r="C1301">
        <v>0</v>
      </c>
      <c r="D1301">
        <v>2</v>
      </c>
      <c r="E1301" s="3">
        <v>28</v>
      </c>
    </row>
    <row r="1302" spans="1:5" x14ac:dyDescent="0.2">
      <c r="A1302">
        <v>6</v>
      </c>
      <c r="B1302" t="s">
        <v>345</v>
      </c>
      <c r="C1302">
        <v>0</v>
      </c>
      <c r="D1302">
        <v>1</v>
      </c>
      <c r="E1302" s="3">
        <v>28</v>
      </c>
    </row>
    <row r="1303" spans="1:5" x14ac:dyDescent="0.2">
      <c r="A1303">
        <v>1</v>
      </c>
      <c r="B1303" t="s">
        <v>12</v>
      </c>
      <c r="C1303">
        <v>4</v>
      </c>
      <c r="D1303">
        <v>17</v>
      </c>
      <c r="E1303" s="3">
        <v>28</v>
      </c>
    </row>
    <row r="1304" spans="1:5" x14ac:dyDescent="0.2">
      <c r="A1304">
        <v>2</v>
      </c>
      <c r="B1304" t="s">
        <v>21</v>
      </c>
      <c r="C1304">
        <v>0</v>
      </c>
      <c r="D1304">
        <v>13</v>
      </c>
      <c r="E1304" s="3">
        <v>28</v>
      </c>
    </row>
    <row r="1305" spans="1:5" x14ac:dyDescent="0.2">
      <c r="A1305">
        <v>3</v>
      </c>
      <c r="B1305" t="s">
        <v>75</v>
      </c>
      <c r="C1305">
        <v>1</v>
      </c>
      <c r="D1305">
        <v>9</v>
      </c>
      <c r="E1305" s="3">
        <v>28</v>
      </c>
    </row>
    <row r="1306" spans="1:5" x14ac:dyDescent="0.2">
      <c r="A1306">
        <v>4</v>
      </c>
      <c r="B1306" t="s">
        <v>42</v>
      </c>
      <c r="C1306">
        <v>0</v>
      </c>
      <c r="D1306">
        <v>5</v>
      </c>
      <c r="E1306" s="3">
        <v>28</v>
      </c>
    </row>
    <row r="1307" spans="1:5" x14ac:dyDescent="0.2">
      <c r="A1307">
        <v>5</v>
      </c>
      <c r="B1307" t="s">
        <v>31</v>
      </c>
      <c r="C1307">
        <v>1</v>
      </c>
      <c r="D1307">
        <v>3</v>
      </c>
      <c r="E1307" s="3">
        <v>28</v>
      </c>
    </row>
    <row r="1308" spans="1:5" x14ac:dyDescent="0.2">
      <c r="A1308">
        <v>6</v>
      </c>
      <c r="B1308" t="s">
        <v>41</v>
      </c>
      <c r="C1308">
        <v>0</v>
      </c>
      <c r="D1308">
        <v>2</v>
      </c>
      <c r="E1308" s="3">
        <v>28</v>
      </c>
    </row>
    <row r="1309" spans="1:5" x14ac:dyDescent="0.2">
      <c r="A1309">
        <v>7</v>
      </c>
      <c r="B1309" t="s">
        <v>33</v>
      </c>
      <c r="C1309">
        <v>0</v>
      </c>
      <c r="D1309">
        <v>1</v>
      </c>
      <c r="E1309" s="3">
        <v>28</v>
      </c>
    </row>
    <row r="1310" spans="1:5" x14ac:dyDescent="0.2">
      <c r="A1310">
        <v>1</v>
      </c>
      <c r="B1310" t="s">
        <v>52</v>
      </c>
      <c r="C1310">
        <v>2</v>
      </c>
      <c r="D1310">
        <v>16</v>
      </c>
      <c r="E1310" s="3">
        <v>28</v>
      </c>
    </row>
    <row r="1311" spans="1:5" x14ac:dyDescent="0.2">
      <c r="A1311">
        <v>2</v>
      </c>
      <c r="B1311" t="s">
        <v>59</v>
      </c>
      <c r="C1311">
        <v>3</v>
      </c>
      <c r="D1311">
        <v>12</v>
      </c>
      <c r="E1311" s="3">
        <v>28</v>
      </c>
    </row>
    <row r="1312" spans="1:5" x14ac:dyDescent="0.2">
      <c r="A1312">
        <v>3</v>
      </c>
      <c r="B1312" t="s">
        <v>19</v>
      </c>
      <c r="C1312">
        <v>0</v>
      </c>
      <c r="D1312">
        <v>8</v>
      </c>
      <c r="E1312" s="3">
        <v>28</v>
      </c>
    </row>
    <row r="1313" spans="1:5" x14ac:dyDescent="0.2">
      <c r="A1313">
        <v>4</v>
      </c>
      <c r="B1313" t="s">
        <v>54</v>
      </c>
      <c r="C1313">
        <v>0</v>
      </c>
      <c r="D1313">
        <v>4</v>
      </c>
      <c r="E1313" s="3">
        <v>28</v>
      </c>
    </row>
    <row r="1314" spans="1:5" x14ac:dyDescent="0.2">
      <c r="A1314">
        <v>5</v>
      </c>
      <c r="B1314" t="s">
        <v>32</v>
      </c>
      <c r="C1314">
        <v>0</v>
      </c>
      <c r="D1314">
        <v>2</v>
      </c>
      <c r="E1314" s="3">
        <v>28</v>
      </c>
    </row>
    <row r="1315" spans="1:5" x14ac:dyDescent="0.2">
      <c r="A1315">
        <v>6</v>
      </c>
      <c r="B1315" t="s">
        <v>26</v>
      </c>
      <c r="C1315">
        <v>0</v>
      </c>
      <c r="D1315">
        <v>1</v>
      </c>
      <c r="E1315" s="3">
        <v>28</v>
      </c>
    </row>
    <row r="1316" spans="1:5" x14ac:dyDescent="0.2">
      <c r="A1316">
        <v>1</v>
      </c>
      <c r="B1316" t="s">
        <v>61</v>
      </c>
      <c r="C1316">
        <v>2</v>
      </c>
      <c r="D1316">
        <v>16</v>
      </c>
      <c r="E1316" s="3">
        <v>29</v>
      </c>
    </row>
    <row r="1317" spans="1:5" x14ac:dyDescent="0.2">
      <c r="A1317">
        <v>2</v>
      </c>
      <c r="B1317" t="s">
        <v>12</v>
      </c>
      <c r="C1317">
        <v>2</v>
      </c>
      <c r="D1317">
        <v>12</v>
      </c>
      <c r="E1317" s="3">
        <v>29</v>
      </c>
    </row>
    <row r="1318" spans="1:5" x14ac:dyDescent="0.2">
      <c r="A1318">
        <v>3</v>
      </c>
      <c r="B1318" t="s">
        <v>14</v>
      </c>
      <c r="C1318">
        <v>1</v>
      </c>
      <c r="D1318">
        <v>8</v>
      </c>
      <c r="E1318" s="3">
        <v>29</v>
      </c>
    </row>
    <row r="1319" spans="1:5" x14ac:dyDescent="0.2">
      <c r="A1319">
        <v>4</v>
      </c>
      <c r="B1319" t="s">
        <v>81</v>
      </c>
      <c r="C1319">
        <v>0</v>
      </c>
      <c r="D1319">
        <v>4</v>
      </c>
      <c r="E1319" s="3">
        <v>29</v>
      </c>
    </row>
    <row r="1320" spans="1:5" x14ac:dyDescent="0.2">
      <c r="A1320">
        <v>5</v>
      </c>
      <c r="B1320" t="s">
        <v>18</v>
      </c>
      <c r="C1320">
        <v>0</v>
      </c>
      <c r="D1320">
        <v>2</v>
      </c>
      <c r="E1320" s="3">
        <v>29</v>
      </c>
    </row>
    <row r="1321" spans="1:5" x14ac:dyDescent="0.2">
      <c r="A1321">
        <v>6</v>
      </c>
      <c r="B1321" t="s">
        <v>92</v>
      </c>
      <c r="C1321">
        <v>0</v>
      </c>
      <c r="D1321">
        <v>1</v>
      </c>
      <c r="E1321" s="3">
        <v>29</v>
      </c>
    </row>
    <row r="1322" spans="1:5" x14ac:dyDescent="0.2">
      <c r="A1322">
        <v>1</v>
      </c>
      <c r="B1322" t="s">
        <v>98</v>
      </c>
      <c r="C1322">
        <v>2</v>
      </c>
      <c r="D1322">
        <v>17</v>
      </c>
      <c r="E1322" s="3">
        <v>29</v>
      </c>
    </row>
    <row r="1323" spans="1:5" x14ac:dyDescent="0.2">
      <c r="A1323">
        <v>2</v>
      </c>
      <c r="B1323" t="s">
        <v>39</v>
      </c>
      <c r="C1323">
        <v>4</v>
      </c>
      <c r="D1323">
        <v>13</v>
      </c>
      <c r="E1323" s="3">
        <v>29</v>
      </c>
    </row>
    <row r="1324" spans="1:5" x14ac:dyDescent="0.2">
      <c r="A1324">
        <v>3</v>
      </c>
      <c r="B1324" t="s">
        <v>8</v>
      </c>
      <c r="C1324">
        <v>0</v>
      </c>
      <c r="D1324">
        <v>9</v>
      </c>
      <c r="E1324" s="3">
        <v>29</v>
      </c>
    </row>
    <row r="1325" spans="1:5" x14ac:dyDescent="0.2">
      <c r="A1325">
        <v>4</v>
      </c>
      <c r="B1325" t="s">
        <v>19</v>
      </c>
      <c r="C1325">
        <v>0</v>
      </c>
      <c r="D1325">
        <v>5</v>
      </c>
      <c r="E1325" s="3">
        <v>29</v>
      </c>
    </row>
    <row r="1326" spans="1:5" x14ac:dyDescent="0.2">
      <c r="A1326">
        <v>5</v>
      </c>
      <c r="B1326" t="s">
        <v>33</v>
      </c>
      <c r="C1326">
        <v>0</v>
      </c>
      <c r="D1326">
        <v>3</v>
      </c>
      <c r="E1326" s="3">
        <v>29</v>
      </c>
    </row>
    <row r="1327" spans="1:5" x14ac:dyDescent="0.2">
      <c r="A1327">
        <v>6</v>
      </c>
      <c r="B1327" t="s">
        <v>368</v>
      </c>
      <c r="C1327">
        <v>0</v>
      </c>
      <c r="D1327">
        <v>2</v>
      </c>
      <c r="E1327" s="3">
        <v>29</v>
      </c>
    </row>
    <row r="1328" spans="1:5" x14ac:dyDescent="0.2">
      <c r="A1328">
        <v>7</v>
      </c>
      <c r="B1328" t="s">
        <v>76</v>
      </c>
      <c r="C1328">
        <v>0</v>
      </c>
      <c r="D1328">
        <v>1</v>
      </c>
      <c r="E1328" s="3">
        <v>29</v>
      </c>
    </row>
    <row r="1329" spans="1:5" x14ac:dyDescent="0.2">
      <c r="A1329">
        <v>1</v>
      </c>
      <c r="B1329" t="s">
        <v>40</v>
      </c>
      <c r="C1329">
        <v>4</v>
      </c>
      <c r="D1329">
        <v>17</v>
      </c>
      <c r="E1329" s="3">
        <v>29</v>
      </c>
    </row>
    <row r="1330" spans="1:5" x14ac:dyDescent="0.2">
      <c r="A1330">
        <v>2</v>
      </c>
      <c r="B1330" t="s">
        <v>305</v>
      </c>
      <c r="C1330">
        <v>2</v>
      </c>
      <c r="D1330">
        <v>13</v>
      </c>
      <c r="E1330" s="3">
        <v>29</v>
      </c>
    </row>
    <row r="1331" spans="1:5" x14ac:dyDescent="0.2">
      <c r="A1331">
        <v>3</v>
      </c>
      <c r="B1331" t="s">
        <v>55</v>
      </c>
      <c r="C1331">
        <v>0</v>
      </c>
      <c r="D1331">
        <v>9</v>
      </c>
      <c r="E1331" s="3">
        <v>29</v>
      </c>
    </row>
    <row r="1332" spans="1:5" x14ac:dyDescent="0.2">
      <c r="A1332">
        <v>4</v>
      </c>
      <c r="B1332" t="s">
        <v>47</v>
      </c>
      <c r="C1332">
        <v>0</v>
      </c>
      <c r="D1332">
        <v>5</v>
      </c>
      <c r="E1332" s="3">
        <v>29</v>
      </c>
    </row>
    <row r="1333" spans="1:5" x14ac:dyDescent="0.2">
      <c r="A1333">
        <v>5</v>
      </c>
      <c r="B1333" t="s">
        <v>69</v>
      </c>
      <c r="C1333">
        <v>0</v>
      </c>
      <c r="D1333">
        <v>3</v>
      </c>
      <c r="E1333" s="3">
        <v>29</v>
      </c>
    </row>
    <row r="1334" spans="1:5" x14ac:dyDescent="0.2">
      <c r="A1334">
        <v>6</v>
      </c>
      <c r="B1334" t="s">
        <v>43</v>
      </c>
      <c r="C1334">
        <v>0</v>
      </c>
      <c r="D1334">
        <v>2</v>
      </c>
      <c r="E1334" s="3">
        <v>29</v>
      </c>
    </row>
    <row r="1335" spans="1:5" x14ac:dyDescent="0.2">
      <c r="A1335">
        <v>7</v>
      </c>
      <c r="B1335" t="s">
        <v>42</v>
      </c>
      <c r="C1335">
        <v>0</v>
      </c>
      <c r="D1335">
        <v>1</v>
      </c>
      <c r="E1335" s="3">
        <v>29</v>
      </c>
    </row>
    <row r="1336" spans="1:5" x14ac:dyDescent="0.2">
      <c r="A1336">
        <v>1</v>
      </c>
      <c r="B1336" t="s">
        <v>23</v>
      </c>
      <c r="C1336">
        <v>1</v>
      </c>
      <c r="D1336">
        <v>17</v>
      </c>
      <c r="E1336" s="3">
        <v>29</v>
      </c>
    </row>
    <row r="1337" spans="1:5" x14ac:dyDescent="0.2">
      <c r="A1337">
        <v>2</v>
      </c>
      <c r="B1337" t="s">
        <v>41</v>
      </c>
      <c r="C1337">
        <v>1</v>
      </c>
      <c r="D1337">
        <v>13</v>
      </c>
      <c r="E1337" s="3">
        <v>29</v>
      </c>
    </row>
    <row r="1338" spans="1:5" x14ac:dyDescent="0.2">
      <c r="A1338">
        <v>3</v>
      </c>
      <c r="B1338" t="s">
        <v>59</v>
      </c>
      <c r="C1338">
        <v>1</v>
      </c>
      <c r="D1338">
        <v>9</v>
      </c>
      <c r="E1338" s="3">
        <v>29</v>
      </c>
    </row>
    <row r="1339" spans="1:5" x14ac:dyDescent="0.2">
      <c r="A1339">
        <v>4</v>
      </c>
      <c r="B1339" t="s">
        <v>32</v>
      </c>
      <c r="C1339">
        <v>0</v>
      </c>
      <c r="D1339">
        <v>5</v>
      </c>
      <c r="E1339" s="3">
        <v>29</v>
      </c>
    </row>
    <row r="1340" spans="1:5" x14ac:dyDescent="0.2">
      <c r="A1340">
        <v>5</v>
      </c>
      <c r="B1340" t="s">
        <v>25</v>
      </c>
      <c r="C1340">
        <v>1</v>
      </c>
      <c r="D1340">
        <v>3</v>
      </c>
      <c r="E1340" s="3">
        <v>29</v>
      </c>
    </row>
    <row r="1341" spans="1:5" x14ac:dyDescent="0.2">
      <c r="A1341">
        <v>6</v>
      </c>
      <c r="B1341" t="s">
        <v>87</v>
      </c>
      <c r="C1341">
        <v>1</v>
      </c>
      <c r="D1341">
        <v>2</v>
      </c>
      <c r="E1341" s="3">
        <v>29</v>
      </c>
    </row>
    <row r="1342" spans="1:5" x14ac:dyDescent="0.2">
      <c r="A1342">
        <v>7</v>
      </c>
      <c r="B1342" t="s">
        <v>103</v>
      </c>
      <c r="C1342">
        <v>0</v>
      </c>
      <c r="D1342">
        <v>1</v>
      </c>
      <c r="E1342" s="3">
        <v>29</v>
      </c>
    </row>
    <row r="1343" spans="1:5" x14ac:dyDescent="0.2">
      <c r="A1343">
        <v>1</v>
      </c>
      <c r="B1343" t="s">
        <v>6</v>
      </c>
      <c r="C1343">
        <v>1</v>
      </c>
      <c r="D1343">
        <v>16</v>
      </c>
      <c r="E1343" s="3">
        <v>29</v>
      </c>
    </row>
    <row r="1344" spans="1:5" x14ac:dyDescent="0.2">
      <c r="A1344">
        <v>2</v>
      </c>
      <c r="B1344" t="s">
        <v>102</v>
      </c>
      <c r="C1344">
        <v>3</v>
      </c>
      <c r="D1344">
        <v>12</v>
      </c>
      <c r="E1344" s="3">
        <v>29</v>
      </c>
    </row>
    <row r="1345" spans="1:5" x14ac:dyDescent="0.2">
      <c r="A1345">
        <v>3</v>
      </c>
      <c r="B1345" t="s">
        <v>75</v>
      </c>
      <c r="C1345">
        <v>1</v>
      </c>
      <c r="D1345">
        <v>8</v>
      </c>
      <c r="E1345" s="3">
        <v>29</v>
      </c>
    </row>
    <row r="1346" spans="1:5" x14ac:dyDescent="0.2">
      <c r="A1346">
        <v>4</v>
      </c>
      <c r="B1346" t="s">
        <v>50</v>
      </c>
      <c r="C1346">
        <v>0</v>
      </c>
      <c r="D1346">
        <v>4</v>
      </c>
      <c r="E1346" s="3">
        <v>29</v>
      </c>
    </row>
    <row r="1347" spans="1:5" x14ac:dyDescent="0.2">
      <c r="A1347">
        <v>5</v>
      </c>
      <c r="B1347" t="s">
        <v>60</v>
      </c>
      <c r="C1347">
        <v>0</v>
      </c>
      <c r="D1347">
        <v>2</v>
      </c>
      <c r="E1347" s="3">
        <v>29</v>
      </c>
    </row>
    <row r="1348" spans="1:5" x14ac:dyDescent="0.2">
      <c r="A1348">
        <v>6</v>
      </c>
      <c r="B1348" t="s">
        <v>9</v>
      </c>
      <c r="C1348">
        <v>0</v>
      </c>
      <c r="D1348">
        <v>1</v>
      </c>
      <c r="E1348" s="3">
        <v>29</v>
      </c>
    </row>
    <row r="1349" spans="1:5" x14ac:dyDescent="0.2">
      <c r="A1349">
        <v>1</v>
      </c>
      <c r="B1349" t="s">
        <v>46</v>
      </c>
      <c r="C1349">
        <v>1</v>
      </c>
      <c r="D1349">
        <v>16</v>
      </c>
      <c r="E1349" s="3">
        <v>29</v>
      </c>
    </row>
    <row r="1350" spans="1:5" x14ac:dyDescent="0.2">
      <c r="A1350">
        <v>2</v>
      </c>
      <c r="B1350" t="s">
        <v>345</v>
      </c>
      <c r="C1350">
        <v>1</v>
      </c>
      <c r="D1350">
        <v>12</v>
      </c>
      <c r="E1350" s="3">
        <v>29</v>
      </c>
    </row>
    <row r="1351" spans="1:5" x14ac:dyDescent="0.2">
      <c r="A1351">
        <v>3</v>
      </c>
      <c r="B1351" t="s">
        <v>21</v>
      </c>
      <c r="C1351">
        <v>3</v>
      </c>
      <c r="D1351">
        <v>8</v>
      </c>
      <c r="E1351" s="3">
        <v>29</v>
      </c>
    </row>
    <row r="1352" spans="1:5" x14ac:dyDescent="0.2">
      <c r="A1352">
        <v>4</v>
      </c>
      <c r="B1352" t="s">
        <v>66</v>
      </c>
      <c r="C1352">
        <v>0</v>
      </c>
      <c r="D1352">
        <v>4</v>
      </c>
      <c r="E1352" s="3">
        <v>29</v>
      </c>
    </row>
    <row r="1353" spans="1:5" x14ac:dyDescent="0.2">
      <c r="A1353">
        <v>5</v>
      </c>
      <c r="B1353" t="s">
        <v>54</v>
      </c>
      <c r="C1353">
        <v>0</v>
      </c>
      <c r="D1353">
        <v>2</v>
      </c>
      <c r="E1353" s="3">
        <v>29</v>
      </c>
    </row>
    <row r="1354" spans="1:5" x14ac:dyDescent="0.2">
      <c r="A1354">
        <v>6</v>
      </c>
      <c r="B1354" t="s">
        <v>73</v>
      </c>
      <c r="C1354">
        <v>0</v>
      </c>
      <c r="D1354">
        <v>1</v>
      </c>
      <c r="E1354" s="3">
        <v>29</v>
      </c>
    </row>
    <row r="1355" spans="1:5" x14ac:dyDescent="0.2">
      <c r="A1355">
        <v>1</v>
      </c>
      <c r="B1355" t="s">
        <v>74</v>
      </c>
      <c r="C1355">
        <v>2</v>
      </c>
      <c r="D1355">
        <v>16</v>
      </c>
      <c r="E1355" s="3">
        <v>29</v>
      </c>
    </row>
    <row r="1356" spans="1:5" x14ac:dyDescent="0.2">
      <c r="A1356">
        <v>2</v>
      </c>
      <c r="B1356" t="s">
        <v>101</v>
      </c>
      <c r="C1356">
        <v>2</v>
      </c>
      <c r="D1356">
        <v>12</v>
      </c>
      <c r="E1356" s="3">
        <v>29</v>
      </c>
    </row>
    <row r="1357" spans="1:5" x14ac:dyDescent="0.2">
      <c r="A1357">
        <v>3</v>
      </c>
      <c r="B1357" t="s">
        <v>28</v>
      </c>
      <c r="C1357">
        <v>1</v>
      </c>
      <c r="D1357">
        <v>8</v>
      </c>
      <c r="E1357" s="3">
        <v>29</v>
      </c>
    </row>
    <row r="1358" spans="1:5" x14ac:dyDescent="0.2">
      <c r="A1358">
        <v>4</v>
      </c>
      <c r="B1358" t="s">
        <v>35</v>
      </c>
      <c r="C1358">
        <v>0</v>
      </c>
      <c r="D1358">
        <v>4</v>
      </c>
      <c r="E1358" s="3">
        <v>29</v>
      </c>
    </row>
    <row r="1359" spans="1:5" x14ac:dyDescent="0.2">
      <c r="A1359">
        <v>5</v>
      </c>
      <c r="B1359" t="s">
        <v>26</v>
      </c>
      <c r="C1359">
        <v>0</v>
      </c>
      <c r="D1359">
        <v>2</v>
      </c>
      <c r="E1359" s="3">
        <v>29</v>
      </c>
    </row>
    <row r="1360" spans="1:5" x14ac:dyDescent="0.2">
      <c r="A1360">
        <v>6</v>
      </c>
      <c r="B1360" t="s">
        <v>45</v>
      </c>
      <c r="C1360">
        <v>0</v>
      </c>
      <c r="D1360">
        <v>1</v>
      </c>
      <c r="E1360" s="3">
        <v>29</v>
      </c>
    </row>
    <row r="1361" spans="1:5" x14ac:dyDescent="0.2">
      <c r="A1361">
        <v>1</v>
      </c>
      <c r="B1361" t="s">
        <v>43</v>
      </c>
      <c r="C1361">
        <v>3</v>
      </c>
      <c r="D1361">
        <v>16</v>
      </c>
      <c r="E1361" s="3">
        <v>30</v>
      </c>
    </row>
    <row r="1362" spans="1:5" x14ac:dyDescent="0.2">
      <c r="A1362">
        <v>2</v>
      </c>
      <c r="B1362" t="s">
        <v>15</v>
      </c>
      <c r="C1362">
        <v>1</v>
      </c>
      <c r="D1362">
        <v>12</v>
      </c>
      <c r="E1362" s="3">
        <v>30</v>
      </c>
    </row>
    <row r="1363" spans="1:5" x14ac:dyDescent="0.2">
      <c r="A1363">
        <v>3</v>
      </c>
      <c r="B1363" t="s">
        <v>103</v>
      </c>
      <c r="C1363">
        <v>1</v>
      </c>
      <c r="D1363">
        <v>8</v>
      </c>
      <c r="E1363" s="3">
        <v>30</v>
      </c>
    </row>
    <row r="1364" spans="1:5" x14ac:dyDescent="0.2">
      <c r="A1364">
        <v>4</v>
      </c>
      <c r="B1364" t="s">
        <v>21</v>
      </c>
      <c r="C1364">
        <v>0</v>
      </c>
      <c r="D1364">
        <v>4</v>
      </c>
      <c r="E1364" s="3">
        <v>30</v>
      </c>
    </row>
    <row r="1365" spans="1:5" x14ac:dyDescent="0.2">
      <c r="A1365">
        <v>5</v>
      </c>
      <c r="B1365" t="s">
        <v>46</v>
      </c>
      <c r="C1365">
        <v>0</v>
      </c>
      <c r="D1365">
        <v>2</v>
      </c>
      <c r="E1365" s="3">
        <v>30</v>
      </c>
    </row>
    <row r="1366" spans="1:5" x14ac:dyDescent="0.2">
      <c r="A1366">
        <v>6</v>
      </c>
      <c r="B1366" t="s">
        <v>33</v>
      </c>
      <c r="C1366">
        <v>0</v>
      </c>
      <c r="D1366">
        <v>1</v>
      </c>
      <c r="E1366" s="3">
        <v>30</v>
      </c>
    </row>
    <row r="1367" spans="1:5" x14ac:dyDescent="0.2">
      <c r="A1367">
        <v>1</v>
      </c>
      <c r="B1367" t="s">
        <v>345</v>
      </c>
      <c r="C1367">
        <v>1</v>
      </c>
      <c r="D1367">
        <v>16</v>
      </c>
      <c r="E1367" s="3">
        <v>30</v>
      </c>
    </row>
    <row r="1368" spans="1:5" x14ac:dyDescent="0.2">
      <c r="A1368">
        <v>2</v>
      </c>
      <c r="B1368" t="s">
        <v>47</v>
      </c>
      <c r="C1368">
        <v>2</v>
      </c>
      <c r="D1368">
        <v>12</v>
      </c>
      <c r="E1368" s="3">
        <v>30</v>
      </c>
    </row>
    <row r="1369" spans="1:5" x14ac:dyDescent="0.2">
      <c r="A1369">
        <v>3</v>
      </c>
      <c r="B1369" t="s">
        <v>14</v>
      </c>
      <c r="C1369">
        <v>1</v>
      </c>
      <c r="D1369">
        <v>8</v>
      </c>
      <c r="E1369" s="3">
        <v>30</v>
      </c>
    </row>
    <row r="1370" spans="1:5" x14ac:dyDescent="0.2">
      <c r="A1370">
        <v>4</v>
      </c>
      <c r="B1370" t="s">
        <v>61</v>
      </c>
      <c r="C1370">
        <v>1</v>
      </c>
      <c r="D1370">
        <v>4</v>
      </c>
      <c r="E1370" s="3">
        <v>30</v>
      </c>
    </row>
    <row r="1371" spans="1:5" x14ac:dyDescent="0.2">
      <c r="A1371">
        <v>5</v>
      </c>
      <c r="B1371" t="s">
        <v>19</v>
      </c>
      <c r="C1371">
        <v>0</v>
      </c>
      <c r="D1371">
        <v>2</v>
      </c>
      <c r="E1371" s="3">
        <v>30</v>
      </c>
    </row>
    <row r="1372" spans="1:5" x14ac:dyDescent="0.2">
      <c r="A1372">
        <v>6</v>
      </c>
      <c r="B1372" t="s">
        <v>6</v>
      </c>
      <c r="C1372">
        <v>0</v>
      </c>
      <c r="D1372">
        <v>1</v>
      </c>
      <c r="E1372" s="3">
        <v>30</v>
      </c>
    </row>
    <row r="1373" spans="1:5" x14ac:dyDescent="0.2">
      <c r="A1373">
        <v>1</v>
      </c>
      <c r="B1373" t="s">
        <v>68</v>
      </c>
      <c r="C1373">
        <v>2</v>
      </c>
      <c r="D1373">
        <v>16</v>
      </c>
      <c r="E1373" s="3">
        <v>30</v>
      </c>
    </row>
    <row r="1374" spans="1:5" x14ac:dyDescent="0.2">
      <c r="A1374">
        <v>2</v>
      </c>
      <c r="B1374" t="s">
        <v>32</v>
      </c>
      <c r="C1374">
        <v>2</v>
      </c>
      <c r="D1374">
        <v>12</v>
      </c>
      <c r="E1374" s="3">
        <v>30</v>
      </c>
    </row>
    <row r="1375" spans="1:5" x14ac:dyDescent="0.2">
      <c r="A1375">
        <v>3</v>
      </c>
      <c r="B1375" t="s">
        <v>12</v>
      </c>
      <c r="C1375">
        <v>0</v>
      </c>
      <c r="D1375">
        <v>8</v>
      </c>
      <c r="E1375" s="3">
        <v>30</v>
      </c>
    </row>
    <row r="1376" spans="1:5" x14ac:dyDescent="0.2">
      <c r="A1376">
        <v>4</v>
      </c>
      <c r="B1376" t="s">
        <v>102</v>
      </c>
      <c r="C1376">
        <v>0</v>
      </c>
      <c r="D1376">
        <v>4</v>
      </c>
      <c r="E1376" s="3">
        <v>30</v>
      </c>
    </row>
    <row r="1377" spans="1:5" x14ac:dyDescent="0.2">
      <c r="A1377">
        <v>5</v>
      </c>
      <c r="B1377" t="s">
        <v>26</v>
      </c>
      <c r="C1377">
        <v>1</v>
      </c>
      <c r="D1377">
        <v>2</v>
      </c>
      <c r="E1377" s="3">
        <v>30</v>
      </c>
    </row>
    <row r="1378" spans="1:5" x14ac:dyDescent="0.2">
      <c r="A1378">
        <v>6</v>
      </c>
      <c r="B1378" t="s">
        <v>54</v>
      </c>
      <c r="C1378">
        <v>0</v>
      </c>
      <c r="D1378">
        <v>1</v>
      </c>
      <c r="E1378" s="3">
        <v>30</v>
      </c>
    </row>
    <row r="1379" spans="1:5" x14ac:dyDescent="0.2">
      <c r="A1379">
        <v>1</v>
      </c>
      <c r="B1379" t="s">
        <v>98</v>
      </c>
      <c r="C1379">
        <v>4</v>
      </c>
      <c r="D1379">
        <v>16</v>
      </c>
      <c r="E1379" s="3">
        <v>30</v>
      </c>
    </row>
    <row r="1380" spans="1:5" x14ac:dyDescent="0.2">
      <c r="A1380">
        <v>2</v>
      </c>
      <c r="B1380" t="s">
        <v>25</v>
      </c>
      <c r="C1380">
        <v>1</v>
      </c>
      <c r="D1380">
        <v>12</v>
      </c>
      <c r="E1380" s="3">
        <v>30</v>
      </c>
    </row>
    <row r="1381" spans="1:5" x14ac:dyDescent="0.2">
      <c r="A1381">
        <v>3</v>
      </c>
      <c r="B1381" t="s">
        <v>18</v>
      </c>
      <c r="C1381">
        <v>0</v>
      </c>
      <c r="D1381">
        <v>8</v>
      </c>
      <c r="E1381" s="3">
        <v>30</v>
      </c>
    </row>
    <row r="1382" spans="1:5" x14ac:dyDescent="0.2">
      <c r="A1382">
        <v>4</v>
      </c>
      <c r="B1382" t="s">
        <v>59</v>
      </c>
      <c r="C1382">
        <v>0</v>
      </c>
      <c r="D1382">
        <v>4</v>
      </c>
      <c r="E1382" s="3">
        <v>30</v>
      </c>
    </row>
    <row r="1383" spans="1:5" x14ac:dyDescent="0.2">
      <c r="A1383">
        <v>5</v>
      </c>
      <c r="B1383" t="s">
        <v>8</v>
      </c>
      <c r="C1383">
        <v>0</v>
      </c>
      <c r="D1383">
        <v>2</v>
      </c>
      <c r="E1383" s="3">
        <v>30</v>
      </c>
    </row>
    <row r="1384" spans="1:5" x14ac:dyDescent="0.2">
      <c r="A1384">
        <v>6</v>
      </c>
      <c r="B1384" t="s">
        <v>92</v>
      </c>
      <c r="C1384">
        <v>0</v>
      </c>
      <c r="D1384">
        <v>1</v>
      </c>
      <c r="E1384" s="3">
        <v>30</v>
      </c>
    </row>
    <row r="1385" spans="1:5" x14ac:dyDescent="0.2">
      <c r="A1385">
        <v>1</v>
      </c>
      <c r="B1385" t="s">
        <v>50</v>
      </c>
      <c r="C1385">
        <v>1</v>
      </c>
      <c r="D1385">
        <v>16</v>
      </c>
      <c r="E1385" s="3">
        <v>30</v>
      </c>
    </row>
    <row r="1386" spans="1:5" x14ac:dyDescent="0.2">
      <c r="A1386">
        <v>2</v>
      </c>
      <c r="B1386" t="s">
        <v>45</v>
      </c>
      <c r="C1386">
        <v>4</v>
      </c>
      <c r="D1386">
        <v>12</v>
      </c>
      <c r="E1386" s="3">
        <v>30</v>
      </c>
    </row>
    <row r="1387" spans="1:5" x14ac:dyDescent="0.2">
      <c r="A1387">
        <v>3</v>
      </c>
      <c r="B1387" t="s">
        <v>9</v>
      </c>
      <c r="C1387">
        <v>0</v>
      </c>
      <c r="D1387">
        <v>8</v>
      </c>
      <c r="E1387" s="3">
        <v>30</v>
      </c>
    </row>
    <row r="1388" spans="1:5" x14ac:dyDescent="0.2">
      <c r="A1388">
        <v>4</v>
      </c>
      <c r="B1388" t="s">
        <v>65</v>
      </c>
      <c r="C1388">
        <v>0</v>
      </c>
      <c r="D1388">
        <v>4</v>
      </c>
      <c r="E1388" s="3">
        <v>30</v>
      </c>
    </row>
    <row r="1389" spans="1:5" x14ac:dyDescent="0.2">
      <c r="A1389">
        <v>5</v>
      </c>
      <c r="B1389" t="s">
        <v>52</v>
      </c>
      <c r="C1389">
        <v>0</v>
      </c>
      <c r="D1389">
        <v>2</v>
      </c>
      <c r="E1389" s="3">
        <v>30</v>
      </c>
    </row>
    <row r="1390" spans="1:5" x14ac:dyDescent="0.2">
      <c r="A1390">
        <v>6</v>
      </c>
      <c r="B1390" t="s">
        <v>28</v>
      </c>
      <c r="C1390">
        <v>0</v>
      </c>
      <c r="D1390">
        <v>1</v>
      </c>
      <c r="E1390" s="3">
        <v>30</v>
      </c>
    </row>
    <row r="1391" spans="1:5" x14ac:dyDescent="0.2">
      <c r="A1391">
        <v>1</v>
      </c>
      <c r="B1391" t="s">
        <v>87</v>
      </c>
      <c r="C1391">
        <v>2</v>
      </c>
      <c r="D1391">
        <v>16</v>
      </c>
      <c r="E1391" s="3">
        <v>30</v>
      </c>
    </row>
    <row r="1392" spans="1:5" x14ac:dyDescent="0.2">
      <c r="A1392">
        <v>2</v>
      </c>
      <c r="B1392" t="s">
        <v>39</v>
      </c>
      <c r="C1392">
        <v>3</v>
      </c>
      <c r="D1392">
        <v>12</v>
      </c>
      <c r="E1392" s="3">
        <v>30</v>
      </c>
    </row>
    <row r="1393" spans="1:5" x14ac:dyDescent="0.2">
      <c r="A1393">
        <v>3</v>
      </c>
      <c r="B1393" t="s">
        <v>75</v>
      </c>
      <c r="C1393">
        <v>0</v>
      </c>
      <c r="D1393">
        <v>8</v>
      </c>
      <c r="E1393" s="3">
        <v>30</v>
      </c>
    </row>
    <row r="1394" spans="1:5" x14ac:dyDescent="0.2">
      <c r="A1394">
        <v>4</v>
      </c>
      <c r="B1394" t="s">
        <v>53</v>
      </c>
      <c r="C1394">
        <v>0</v>
      </c>
      <c r="D1394">
        <v>4</v>
      </c>
      <c r="E1394" s="3">
        <v>30</v>
      </c>
    </row>
    <row r="1395" spans="1:5" x14ac:dyDescent="0.2">
      <c r="A1395">
        <v>5</v>
      </c>
      <c r="B1395" t="s">
        <v>66</v>
      </c>
      <c r="C1395">
        <v>0</v>
      </c>
      <c r="D1395">
        <v>2</v>
      </c>
      <c r="E1395" s="3">
        <v>30</v>
      </c>
    </row>
    <row r="1396" spans="1:5" x14ac:dyDescent="0.2">
      <c r="A1396">
        <v>6</v>
      </c>
      <c r="B1396" t="s">
        <v>73</v>
      </c>
      <c r="C1396">
        <v>0</v>
      </c>
      <c r="D1396">
        <v>1</v>
      </c>
      <c r="E1396" s="3">
        <v>30</v>
      </c>
    </row>
    <row r="1397" spans="1:5" x14ac:dyDescent="0.2">
      <c r="A1397">
        <v>1</v>
      </c>
      <c r="B1397" t="s">
        <v>40</v>
      </c>
      <c r="C1397">
        <v>4</v>
      </c>
      <c r="D1397">
        <v>15</v>
      </c>
      <c r="E1397" s="3">
        <v>30</v>
      </c>
    </row>
    <row r="1398" spans="1:5" x14ac:dyDescent="0.2">
      <c r="A1398">
        <v>2</v>
      </c>
      <c r="B1398" t="s">
        <v>69</v>
      </c>
      <c r="C1398">
        <v>0</v>
      </c>
      <c r="D1398">
        <v>11</v>
      </c>
      <c r="E1398" s="3">
        <v>30</v>
      </c>
    </row>
    <row r="1399" spans="1:5" x14ac:dyDescent="0.2">
      <c r="A1399">
        <v>3</v>
      </c>
      <c r="B1399" t="s">
        <v>76</v>
      </c>
      <c r="C1399">
        <v>0</v>
      </c>
      <c r="D1399">
        <v>7</v>
      </c>
      <c r="E1399" s="3">
        <v>30</v>
      </c>
    </row>
    <row r="1400" spans="1:5" x14ac:dyDescent="0.2">
      <c r="A1400">
        <v>4</v>
      </c>
      <c r="B1400" t="s">
        <v>42</v>
      </c>
      <c r="C1400">
        <v>0</v>
      </c>
      <c r="D1400">
        <v>3</v>
      </c>
      <c r="E1400" s="3">
        <v>30</v>
      </c>
    </row>
    <row r="1401" spans="1:5" x14ac:dyDescent="0.2">
      <c r="A1401">
        <v>5</v>
      </c>
      <c r="B1401" t="s">
        <v>74</v>
      </c>
      <c r="C1401">
        <v>0</v>
      </c>
      <c r="D1401">
        <v>1</v>
      </c>
      <c r="E1401" s="3">
        <v>30</v>
      </c>
    </row>
    <row r="1402" spans="1:5" x14ac:dyDescent="0.2">
      <c r="A1402">
        <v>1</v>
      </c>
      <c r="B1402" t="s">
        <v>9</v>
      </c>
      <c r="C1402">
        <v>3</v>
      </c>
      <c r="D1402">
        <v>16</v>
      </c>
      <c r="E1402" s="3">
        <v>31</v>
      </c>
    </row>
    <row r="1403" spans="1:5" x14ac:dyDescent="0.2">
      <c r="A1403">
        <v>2</v>
      </c>
      <c r="B1403" t="s">
        <v>32</v>
      </c>
      <c r="C1403">
        <v>1</v>
      </c>
      <c r="D1403">
        <v>12</v>
      </c>
      <c r="E1403" s="3">
        <v>31</v>
      </c>
    </row>
    <row r="1404" spans="1:5" x14ac:dyDescent="0.2">
      <c r="A1404">
        <v>3</v>
      </c>
      <c r="B1404" t="s">
        <v>76</v>
      </c>
      <c r="C1404">
        <v>0</v>
      </c>
      <c r="D1404">
        <v>8</v>
      </c>
      <c r="E1404" s="3">
        <v>31</v>
      </c>
    </row>
    <row r="1405" spans="1:5" x14ac:dyDescent="0.2">
      <c r="A1405">
        <v>4</v>
      </c>
      <c r="B1405" t="s">
        <v>12</v>
      </c>
      <c r="C1405">
        <v>1</v>
      </c>
      <c r="D1405">
        <v>4</v>
      </c>
      <c r="E1405" s="3">
        <v>31</v>
      </c>
    </row>
    <row r="1406" spans="1:5" x14ac:dyDescent="0.2">
      <c r="A1406">
        <v>5</v>
      </c>
      <c r="B1406" t="s">
        <v>101</v>
      </c>
      <c r="C1406">
        <v>0</v>
      </c>
      <c r="D1406">
        <v>2</v>
      </c>
      <c r="E1406" s="3">
        <v>31</v>
      </c>
    </row>
    <row r="1407" spans="1:5" x14ac:dyDescent="0.2">
      <c r="A1407">
        <v>6</v>
      </c>
      <c r="B1407" t="s">
        <v>50</v>
      </c>
      <c r="C1407">
        <v>0</v>
      </c>
      <c r="D1407">
        <v>1</v>
      </c>
      <c r="E1407" s="3">
        <v>31</v>
      </c>
    </row>
    <row r="1408" spans="1:5" x14ac:dyDescent="0.2">
      <c r="A1408">
        <v>1</v>
      </c>
      <c r="B1408" t="s">
        <v>39</v>
      </c>
      <c r="C1408">
        <v>2</v>
      </c>
      <c r="D1408">
        <v>16</v>
      </c>
      <c r="E1408" s="3">
        <v>31</v>
      </c>
    </row>
    <row r="1409" spans="1:5" x14ac:dyDescent="0.2">
      <c r="A1409">
        <v>2</v>
      </c>
      <c r="B1409" t="s">
        <v>45</v>
      </c>
      <c r="C1409">
        <v>2</v>
      </c>
      <c r="D1409">
        <v>12</v>
      </c>
      <c r="E1409" s="3">
        <v>31</v>
      </c>
    </row>
    <row r="1410" spans="1:5" x14ac:dyDescent="0.2">
      <c r="A1410">
        <v>3</v>
      </c>
      <c r="B1410" t="s">
        <v>103</v>
      </c>
      <c r="C1410">
        <v>0</v>
      </c>
      <c r="D1410">
        <v>8</v>
      </c>
      <c r="E1410" s="3">
        <v>31</v>
      </c>
    </row>
    <row r="1411" spans="1:5" x14ac:dyDescent="0.2">
      <c r="A1411">
        <v>4</v>
      </c>
      <c r="B1411" t="s">
        <v>345</v>
      </c>
      <c r="C1411">
        <v>1</v>
      </c>
      <c r="D1411">
        <v>4</v>
      </c>
      <c r="E1411" s="3">
        <v>31</v>
      </c>
    </row>
    <row r="1412" spans="1:5" x14ac:dyDescent="0.2">
      <c r="A1412">
        <v>5</v>
      </c>
      <c r="B1412" t="s">
        <v>74</v>
      </c>
      <c r="C1412">
        <v>0</v>
      </c>
      <c r="D1412">
        <v>2</v>
      </c>
      <c r="E1412" s="3">
        <v>31</v>
      </c>
    </row>
    <row r="1413" spans="1:5" x14ac:dyDescent="0.2">
      <c r="A1413">
        <v>6</v>
      </c>
      <c r="B1413" t="s">
        <v>55</v>
      </c>
      <c r="C1413">
        <v>0</v>
      </c>
      <c r="D1413">
        <v>1</v>
      </c>
      <c r="E1413" s="3">
        <v>31</v>
      </c>
    </row>
    <row r="1414" spans="1:5" x14ac:dyDescent="0.2">
      <c r="A1414">
        <v>1</v>
      </c>
      <c r="B1414" t="s">
        <v>23</v>
      </c>
      <c r="C1414">
        <v>2</v>
      </c>
      <c r="D1414">
        <v>16</v>
      </c>
      <c r="E1414" s="3">
        <v>31</v>
      </c>
    </row>
    <row r="1415" spans="1:5" x14ac:dyDescent="0.2">
      <c r="A1415">
        <v>2</v>
      </c>
      <c r="B1415" t="s">
        <v>75</v>
      </c>
      <c r="C1415">
        <v>2</v>
      </c>
      <c r="D1415">
        <v>12</v>
      </c>
      <c r="E1415" s="3">
        <v>31</v>
      </c>
    </row>
    <row r="1416" spans="1:5" x14ac:dyDescent="0.2">
      <c r="A1416">
        <v>3</v>
      </c>
      <c r="B1416" t="s">
        <v>47</v>
      </c>
      <c r="C1416">
        <v>0</v>
      </c>
      <c r="D1416">
        <v>8</v>
      </c>
      <c r="E1416" s="3">
        <v>31</v>
      </c>
    </row>
    <row r="1417" spans="1:5" x14ac:dyDescent="0.2">
      <c r="A1417">
        <v>4</v>
      </c>
      <c r="B1417" t="s">
        <v>53</v>
      </c>
      <c r="C1417">
        <v>1</v>
      </c>
      <c r="D1417">
        <v>4</v>
      </c>
      <c r="E1417" s="3">
        <v>31</v>
      </c>
    </row>
    <row r="1418" spans="1:5" x14ac:dyDescent="0.2">
      <c r="A1418">
        <v>5</v>
      </c>
      <c r="B1418" t="s">
        <v>88</v>
      </c>
      <c r="C1418">
        <v>0</v>
      </c>
      <c r="D1418">
        <v>2</v>
      </c>
      <c r="E1418" s="3">
        <v>31</v>
      </c>
    </row>
    <row r="1419" spans="1:5" x14ac:dyDescent="0.2">
      <c r="A1419">
        <v>6</v>
      </c>
      <c r="B1419" t="s">
        <v>18</v>
      </c>
      <c r="C1419">
        <v>0</v>
      </c>
      <c r="D1419">
        <v>1</v>
      </c>
      <c r="E1419" s="3">
        <v>31</v>
      </c>
    </row>
    <row r="1420" spans="1:5" x14ac:dyDescent="0.2">
      <c r="A1420">
        <v>1</v>
      </c>
      <c r="B1420" t="s">
        <v>68</v>
      </c>
      <c r="C1420">
        <v>3</v>
      </c>
      <c r="D1420">
        <v>15</v>
      </c>
      <c r="E1420" s="3">
        <v>31</v>
      </c>
    </row>
    <row r="1421" spans="1:5" x14ac:dyDescent="0.2">
      <c r="A1421">
        <v>2</v>
      </c>
      <c r="B1421" t="s">
        <v>41</v>
      </c>
      <c r="C1421">
        <v>1</v>
      </c>
      <c r="D1421">
        <v>11</v>
      </c>
      <c r="E1421" s="3">
        <v>31</v>
      </c>
    </row>
    <row r="1422" spans="1:5" x14ac:dyDescent="0.2">
      <c r="A1422">
        <v>3</v>
      </c>
      <c r="B1422" t="s">
        <v>46</v>
      </c>
      <c r="C1422">
        <v>0</v>
      </c>
      <c r="D1422">
        <v>7</v>
      </c>
      <c r="E1422" s="3">
        <v>31</v>
      </c>
    </row>
    <row r="1423" spans="1:5" x14ac:dyDescent="0.2">
      <c r="A1423">
        <v>4</v>
      </c>
      <c r="B1423" t="s">
        <v>61</v>
      </c>
      <c r="C1423">
        <v>0</v>
      </c>
      <c r="D1423">
        <v>3</v>
      </c>
      <c r="E1423" s="3">
        <v>31</v>
      </c>
    </row>
    <row r="1424" spans="1:5" x14ac:dyDescent="0.2">
      <c r="A1424">
        <v>5</v>
      </c>
      <c r="B1424" t="s">
        <v>54</v>
      </c>
      <c r="C1424">
        <v>0</v>
      </c>
      <c r="D1424">
        <v>1</v>
      </c>
      <c r="E1424" s="3">
        <v>31</v>
      </c>
    </row>
    <row r="1425" spans="1:5" x14ac:dyDescent="0.2">
      <c r="A1425">
        <v>1</v>
      </c>
      <c r="B1425" t="s">
        <v>19</v>
      </c>
      <c r="C1425">
        <v>2</v>
      </c>
      <c r="D1425">
        <v>16</v>
      </c>
      <c r="E1425" s="3">
        <v>31</v>
      </c>
    </row>
    <row r="1426" spans="1:5" x14ac:dyDescent="0.2">
      <c r="A1426">
        <v>2</v>
      </c>
      <c r="B1426" t="s">
        <v>25</v>
      </c>
      <c r="C1426">
        <v>0</v>
      </c>
      <c r="D1426">
        <v>12</v>
      </c>
      <c r="E1426" s="3">
        <v>31</v>
      </c>
    </row>
    <row r="1427" spans="1:5" x14ac:dyDescent="0.2">
      <c r="A1427">
        <v>3</v>
      </c>
      <c r="B1427" t="s">
        <v>40</v>
      </c>
      <c r="C1427">
        <v>3</v>
      </c>
      <c r="D1427">
        <v>8</v>
      </c>
      <c r="E1427" s="3">
        <v>31</v>
      </c>
    </row>
    <row r="1428" spans="1:5" x14ac:dyDescent="0.2">
      <c r="A1428">
        <v>4</v>
      </c>
      <c r="B1428" t="s">
        <v>35</v>
      </c>
      <c r="C1428">
        <v>0</v>
      </c>
      <c r="D1428">
        <v>4</v>
      </c>
      <c r="E1428" s="3">
        <v>31</v>
      </c>
    </row>
    <row r="1429" spans="1:5" x14ac:dyDescent="0.2">
      <c r="A1429">
        <v>5</v>
      </c>
      <c r="B1429" t="s">
        <v>6</v>
      </c>
      <c r="C1429">
        <v>0</v>
      </c>
      <c r="D1429">
        <v>2</v>
      </c>
      <c r="E1429" s="3">
        <v>31</v>
      </c>
    </row>
    <row r="1430" spans="1:5" x14ac:dyDescent="0.2">
      <c r="A1430">
        <v>6</v>
      </c>
      <c r="B1430" t="s">
        <v>15</v>
      </c>
      <c r="C1430">
        <v>0</v>
      </c>
      <c r="D1430">
        <v>1</v>
      </c>
      <c r="E1430" s="3">
        <v>31</v>
      </c>
    </row>
    <row r="1431" spans="1:5" x14ac:dyDescent="0.2">
      <c r="A1431">
        <v>1</v>
      </c>
      <c r="B1431" t="s">
        <v>28</v>
      </c>
      <c r="C1431">
        <v>1</v>
      </c>
      <c r="D1431">
        <v>15</v>
      </c>
      <c r="E1431" s="3">
        <v>31</v>
      </c>
    </row>
    <row r="1432" spans="1:5" x14ac:dyDescent="0.2">
      <c r="A1432">
        <v>2</v>
      </c>
      <c r="B1432" t="s">
        <v>21</v>
      </c>
      <c r="C1432">
        <v>1</v>
      </c>
      <c r="D1432">
        <v>11</v>
      </c>
      <c r="E1432" s="3">
        <v>31</v>
      </c>
    </row>
    <row r="1433" spans="1:5" x14ac:dyDescent="0.2">
      <c r="A1433">
        <v>3</v>
      </c>
      <c r="B1433" t="s">
        <v>65</v>
      </c>
      <c r="C1433">
        <v>1</v>
      </c>
      <c r="D1433">
        <v>7</v>
      </c>
      <c r="E1433" s="3">
        <v>31</v>
      </c>
    </row>
    <row r="1434" spans="1:5" x14ac:dyDescent="0.2">
      <c r="A1434">
        <v>4</v>
      </c>
      <c r="B1434" t="s">
        <v>87</v>
      </c>
      <c r="C1434">
        <v>1</v>
      </c>
      <c r="D1434">
        <v>3</v>
      </c>
      <c r="E1434" s="3">
        <v>31</v>
      </c>
    </row>
    <row r="1435" spans="1:5" x14ac:dyDescent="0.2">
      <c r="A1435">
        <v>5</v>
      </c>
      <c r="B1435" t="s">
        <v>66</v>
      </c>
      <c r="C1435">
        <v>0</v>
      </c>
      <c r="D1435">
        <v>1</v>
      </c>
      <c r="E1435" s="3">
        <v>31</v>
      </c>
    </row>
    <row r="1436" spans="1:5" x14ac:dyDescent="0.2">
      <c r="A1436">
        <v>1</v>
      </c>
      <c r="B1436" t="s">
        <v>46</v>
      </c>
      <c r="C1436">
        <v>2</v>
      </c>
      <c r="D1436">
        <v>17</v>
      </c>
      <c r="E1436" s="3">
        <v>32</v>
      </c>
    </row>
    <row r="1437" spans="1:5" x14ac:dyDescent="0.2">
      <c r="A1437">
        <v>2</v>
      </c>
      <c r="B1437" t="s">
        <v>68</v>
      </c>
      <c r="C1437">
        <v>2</v>
      </c>
      <c r="D1437">
        <v>13</v>
      </c>
      <c r="E1437" s="3">
        <v>32</v>
      </c>
    </row>
    <row r="1438" spans="1:5" x14ac:dyDescent="0.2">
      <c r="A1438">
        <v>3</v>
      </c>
      <c r="B1438" t="s">
        <v>55</v>
      </c>
      <c r="C1438">
        <v>2</v>
      </c>
      <c r="D1438">
        <v>9</v>
      </c>
      <c r="E1438" s="3">
        <v>32</v>
      </c>
    </row>
    <row r="1439" spans="1:5" x14ac:dyDescent="0.2">
      <c r="A1439">
        <v>4</v>
      </c>
      <c r="B1439" t="s">
        <v>39</v>
      </c>
      <c r="C1439">
        <v>0</v>
      </c>
      <c r="D1439">
        <v>5</v>
      </c>
      <c r="E1439" s="3">
        <v>32</v>
      </c>
    </row>
    <row r="1440" spans="1:5" x14ac:dyDescent="0.2">
      <c r="A1440">
        <v>5</v>
      </c>
      <c r="B1440" t="s">
        <v>21</v>
      </c>
      <c r="C1440">
        <v>0</v>
      </c>
      <c r="D1440">
        <v>3</v>
      </c>
      <c r="E1440" s="3">
        <v>32</v>
      </c>
    </row>
    <row r="1441" spans="1:5" x14ac:dyDescent="0.2">
      <c r="A1441">
        <v>6</v>
      </c>
      <c r="B1441" t="s">
        <v>33</v>
      </c>
      <c r="C1441">
        <v>0</v>
      </c>
      <c r="D1441">
        <v>2</v>
      </c>
      <c r="E1441" s="3">
        <v>32</v>
      </c>
    </row>
    <row r="1442" spans="1:5" x14ac:dyDescent="0.2">
      <c r="A1442">
        <v>7</v>
      </c>
      <c r="B1442" t="s">
        <v>102</v>
      </c>
      <c r="C1442">
        <v>0</v>
      </c>
      <c r="D1442">
        <v>1</v>
      </c>
      <c r="E1442" s="3">
        <v>32</v>
      </c>
    </row>
    <row r="1443" spans="1:5" x14ac:dyDescent="0.2">
      <c r="A1443">
        <v>1</v>
      </c>
      <c r="B1443" t="s">
        <v>19</v>
      </c>
      <c r="C1443">
        <v>3</v>
      </c>
      <c r="D1443">
        <v>16</v>
      </c>
      <c r="E1443" s="3">
        <v>32</v>
      </c>
    </row>
    <row r="1444" spans="1:5" x14ac:dyDescent="0.2">
      <c r="A1444">
        <v>2</v>
      </c>
      <c r="B1444" t="s">
        <v>345</v>
      </c>
      <c r="C1444">
        <v>0</v>
      </c>
      <c r="D1444">
        <v>12</v>
      </c>
      <c r="E1444" s="3">
        <v>32</v>
      </c>
    </row>
    <row r="1445" spans="1:5" x14ac:dyDescent="0.2">
      <c r="A1445">
        <v>3</v>
      </c>
      <c r="B1445" t="s">
        <v>61</v>
      </c>
      <c r="C1445">
        <v>0</v>
      </c>
      <c r="D1445">
        <v>8</v>
      </c>
      <c r="E1445" s="3">
        <v>32</v>
      </c>
    </row>
    <row r="1446" spans="1:5" x14ac:dyDescent="0.2">
      <c r="A1446">
        <v>4</v>
      </c>
      <c r="B1446" t="s">
        <v>65</v>
      </c>
      <c r="C1446">
        <v>2</v>
      </c>
      <c r="D1446">
        <v>4</v>
      </c>
      <c r="E1446" s="3">
        <v>32</v>
      </c>
    </row>
    <row r="1447" spans="1:5" x14ac:dyDescent="0.2">
      <c r="A1447">
        <v>5</v>
      </c>
      <c r="B1447" t="s">
        <v>69</v>
      </c>
      <c r="C1447">
        <v>0</v>
      </c>
      <c r="D1447">
        <v>2</v>
      </c>
      <c r="E1447" s="3">
        <v>32</v>
      </c>
    </row>
    <row r="1448" spans="1:5" x14ac:dyDescent="0.2">
      <c r="A1448">
        <v>6</v>
      </c>
      <c r="B1448" t="s">
        <v>74</v>
      </c>
      <c r="C1448">
        <v>0</v>
      </c>
      <c r="D1448">
        <v>1</v>
      </c>
      <c r="E1448" s="3">
        <v>32</v>
      </c>
    </row>
    <row r="1449" spans="1:5" x14ac:dyDescent="0.2">
      <c r="A1449">
        <v>1</v>
      </c>
      <c r="B1449" t="s">
        <v>53</v>
      </c>
      <c r="C1449">
        <v>2</v>
      </c>
      <c r="D1449">
        <v>17</v>
      </c>
      <c r="E1449" s="3">
        <v>32</v>
      </c>
    </row>
    <row r="1450" spans="1:5" x14ac:dyDescent="0.2">
      <c r="A1450">
        <v>2</v>
      </c>
      <c r="B1450" t="s">
        <v>101</v>
      </c>
      <c r="C1450">
        <v>3</v>
      </c>
      <c r="D1450">
        <v>13</v>
      </c>
      <c r="E1450" s="3">
        <v>32</v>
      </c>
    </row>
    <row r="1451" spans="1:5" x14ac:dyDescent="0.2">
      <c r="A1451">
        <v>3</v>
      </c>
      <c r="B1451" t="s">
        <v>35</v>
      </c>
      <c r="C1451">
        <v>1</v>
      </c>
      <c r="D1451">
        <v>9</v>
      </c>
      <c r="E1451" s="3">
        <v>32</v>
      </c>
    </row>
    <row r="1452" spans="1:5" x14ac:dyDescent="0.2">
      <c r="A1452">
        <v>4</v>
      </c>
      <c r="B1452" t="s">
        <v>41</v>
      </c>
      <c r="C1452">
        <v>0</v>
      </c>
      <c r="D1452">
        <v>5</v>
      </c>
      <c r="E1452" s="3">
        <v>32</v>
      </c>
    </row>
    <row r="1453" spans="1:5" x14ac:dyDescent="0.2">
      <c r="A1453">
        <v>5</v>
      </c>
      <c r="B1453" t="s">
        <v>305</v>
      </c>
      <c r="C1453">
        <v>0</v>
      </c>
      <c r="D1453">
        <v>3</v>
      </c>
      <c r="E1453" s="3">
        <v>32</v>
      </c>
    </row>
    <row r="1454" spans="1:5" x14ac:dyDescent="0.2">
      <c r="A1454">
        <v>6</v>
      </c>
      <c r="B1454" t="s">
        <v>47</v>
      </c>
      <c r="C1454">
        <v>0</v>
      </c>
      <c r="D1454">
        <v>2</v>
      </c>
      <c r="E1454" s="3">
        <v>32</v>
      </c>
    </row>
    <row r="1455" spans="1:5" x14ac:dyDescent="0.2">
      <c r="A1455">
        <v>7</v>
      </c>
      <c r="B1455" t="s">
        <v>59</v>
      </c>
      <c r="C1455">
        <v>0</v>
      </c>
      <c r="D1455">
        <v>1</v>
      </c>
      <c r="E1455" s="3">
        <v>32</v>
      </c>
    </row>
    <row r="1456" spans="1:5" x14ac:dyDescent="0.2">
      <c r="A1456">
        <v>1</v>
      </c>
      <c r="B1456" t="s">
        <v>369</v>
      </c>
      <c r="C1456">
        <v>5</v>
      </c>
      <c r="D1456">
        <v>16</v>
      </c>
      <c r="E1456" s="3">
        <v>32</v>
      </c>
    </row>
    <row r="1457" spans="1:5" x14ac:dyDescent="0.2">
      <c r="A1457">
        <v>2</v>
      </c>
      <c r="B1457" t="s">
        <v>98</v>
      </c>
      <c r="C1457">
        <v>0</v>
      </c>
      <c r="D1457">
        <v>12</v>
      </c>
      <c r="E1457" s="3">
        <v>32</v>
      </c>
    </row>
    <row r="1458" spans="1:5" x14ac:dyDescent="0.2">
      <c r="A1458">
        <v>3</v>
      </c>
      <c r="B1458" t="s">
        <v>60</v>
      </c>
      <c r="C1458">
        <v>0</v>
      </c>
      <c r="D1458">
        <v>8</v>
      </c>
      <c r="E1458" s="3">
        <v>32</v>
      </c>
    </row>
    <row r="1459" spans="1:5" x14ac:dyDescent="0.2">
      <c r="A1459">
        <v>4</v>
      </c>
      <c r="B1459" t="s">
        <v>54</v>
      </c>
      <c r="C1459">
        <v>0</v>
      </c>
      <c r="D1459">
        <v>4</v>
      </c>
      <c r="E1459" s="3">
        <v>32</v>
      </c>
    </row>
    <row r="1460" spans="1:5" x14ac:dyDescent="0.2">
      <c r="A1460">
        <v>5</v>
      </c>
      <c r="B1460" t="s">
        <v>12</v>
      </c>
      <c r="C1460">
        <v>0</v>
      </c>
      <c r="D1460">
        <v>2</v>
      </c>
      <c r="E1460" s="3">
        <v>32</v>
      </c>
    </row>
    <row r="1461" spans="1:5" x14ac:dyDescent="0.2">
      <c r="A1461">
        <v>6</v>
      </c>
      <c r="B1461" t="s">
        <v>87</v>
      </c>
      <c r="C1461">
        <v>0</v>
      </c>
      <c r="D1461">
        <v>1</v>
      </c>
      <c r="E1461" s="3">
        <v>32</v>
      </c>
    </row>
    <row r="1462" spans="1:5" x14ac:dyDescent="0.2">
      <c r="A1462">
        <v>1</v>
      </c>
      <c r="B1462" t="s">
        <v>6</v>
      </c>
      <c r="C1462">
        <v>1</v>
      </c>
      <c r="D1462">
        <v>17</v>
      </c>
      <c r="E1462" s="3">
        <v>32</v>
      </c>
    </row>
    <row r="1463" spans="1:5" x14ac:dyDescent="0.2">
      <c r="A1463">
        <v>2</v>
      </c>
      <c r="B1463" t="s">
        <v>26</v>
      </c>
      <c r="C1463">
        <v>3</v>
      </c>
      <c r="D1463">
        <v>13</v>
      </c>
      <c r="E1463" s="3">
        <v>32</v>
      </c>
    </row>
    <row r="1464" spans="1:5" x14ac:dyDescent="0.2">
      <c r="A1464">
        <v>3</v>
      </c>
      <c r="B1464" t="s">
        <v>76</v>
      </c>
      <c r="C1464">
        <v>1</v>
      </c>
      <c r="D1464">
        <v>9</v>
      </c>
      <c r="E1464" s="3">
        <v>32</v>
      </c>
    </row>
    <row r="1465" spans="1:5" x14ac:dyDescent="0.2">
      <c r="A1465">
        <v>4</v>
      </c>
      <c r="B1465" t="s">
        <v>28</v>
      </c>
      <c r="C1465">
        <v>1</v>
      </c>
      <c r="D1465">
        <v>5</v>
      </c>
      <c r="E1465" s="3">
        <v>32</v>
      </c>
    </row>
    <row r="1466" spans="1:5" x14ac:dyDescent="0.2">
      <c r="A1466">
        <v>5</v>
      </c>
      <c r="B1466" t="s">
        <v>42</v>
      </c>
      <c r="C1466">
        <v>0</v>
      </c>
      <c r="D1466">
        <v>3</v>
      </c>
      <c r="E1466" s="3">
        <v>32</v>
      </c>
    </row>
    <row r="1467" spans="1:5" x14ac:dyDescent="0.2">
      <c r="A1467">
        <v>6</v>
      </c>
      <c r="B1467" t="s">
        <v>15</v>
      </c>
      <c r="C1467">
        <v>0</v>
      </c>
      <c r="D1467">
        <v>2</v>
      </c>
      <c r="E1467" s="3">
        <v>32</v>
      </c>
    </row>
    <row r="1468" spans="1:5" x14ac:dyDescent="0.2">
      <c r="A1468">
        <v>7</v>
      </c>
      <c r="B1468" t="s">
        <v>32</v>
      </c>
      <c r="C1468">
        <v>0</v>
      </c>
      <c r="D1468">
        <v>1</v>
      </c>
      <c r="E1468" s="3">
        <v>32</v>
      </c>
    </row>
    <row r="1469" spans="1:5" x14ac:dyDescent="0.2">
      <c r="A1469">
        <v>1</v>
      </c>
      <c r="B1469" t="s">
        <v>73</v>
      </c>
      <c r="C1469">
        <v>3</v>
      </c>
      <c r="D1469">
        <v>17</v>
      </c>
      <c r="E1469" s="3">
        <v>32</v>
      </c>
    </row>
    <row r="1470" spans="1:5" x14ac:dyDescent="0.2">
      <c r="A1470">
        <v>2</v>
      </c>
      <c r="B1470" t="s">
        <v>75</v>
      </c>
      <c r="C1470">
        <v>3</v>
      </c>
      <c r="D1470">
        <v>13</v>
      </c>
      <c r="E1470" s="3">
        <v>32</v>
      </c>
    </row>
    <row r="1471" spans="1:5" x14ac:dyDescent="0.2">
      <c r="A1471">
        <v>3</v>
      </c>
      <c r="B1471" t="s">
        <v>368</v>
      </c>
      <c r="C1471">
        <v>0</v>
      </c>
      <c r="D1471">
        <v>9</v>
      </c>
      <c r="E1471" s="3">
        <v>32</v>
      </c>
    </row>
    <row r="1472" spans="1:5" x14ac:dyDescent="0.2">
      <c r="A1472">
        <v>4</v>
      </c>
      <c r="B1472" t="s">
        <v>14</v>
      </c>
      <c r="C1472">
        <v>0</v>
      </c>
      <c r="D1472">
        <v>5</v>
      </c>
      <c r="E1472" s="3">
        <v>32</v>
      </c>
    </row>
    <row r="1473" spans="1:5" x14ac:dyDescent="0.2">
      <c r="A1473">
        <v>5</v>
      </c>
      <c r="B1473" t="s">
        <v>25</v>
      </c>
      <c r="C1473">
        <v>0</v>
      </c>
      <c r="D1473">
        <v>3</v>
      </c>
      <c r="E1473" s="3">
        <v>32</v>
      </c>
    </row>
    <row r="1474" spans="1:5" x14ac:dyDescent="0.2">
      <c r="A1474">
        <v>6</v>
      </c>
      <c r="B1474" t="s">
        <v>8</v>
      </c>
      <c r="C1474">
        <v>0</v>
      </c>
      <c r="D1474">
        <v>2</v>
      </c>
      <c r="E1474" s="3">
        <v>32</v>
      </c>
    </row>
    <row r="1475" spans="1:5" x14ac:dyDescent="0.2">
      <c r="A1475">
        <v>7</v>
      </c>
      <c r="B1475" t="s">
        <v>9</v>
      </c>
      <c r="C1475">
        <v>0</v>
      </c>
      <c r="D1475">
        <v>1</v>
      </c>
      <c r="E1475" s="3">
        <v>32</v>
      </c>
    </row>
    <row r="1476" spans="1:5" x14ac:dyDescent="0.2">
      <c r="A1476">
        <v>1</v>
      </c>
      <c r="B1476" t="s">
        <v>12</v>
      </c>
      <c r="C1476">
        <v>4</v>
      </c>
      <c r="D1476">
        <v>16</v>
      </c>
      <c r="E1476" s="3">
        <v>33</v>
      </c>
    </row>
    <row r="1477" spans="1:5" x14ac:dyDescent="0.2">
      <c r="A1477">
        <v>2</v>
      </c>
      <c r="B1477" t="s">
        <v>75</v>
      </c>
      <c r="C1477">
        <v>0</v>
      </c>
      <c r="D1477">
        <v>12</v>
      </c>
      <c r="E1477" s="3">
        <v>33</v>
      </c>
    </row>
    <row r="1478" spans="1:5" x14ac:dyDescent="0.2">
      <c r="A1478">
        <v>3</v>
      </c>
      <c r="B1478" t="s">
        <v>29</v>
      </c>
      <c r="C1478">
        <v>1</v>
      </c>
      <c r="D1478">
        <v>8</v>
      </c>
      <c r="E1478" s="3">
        <v>33</v>
      </c>
    </row>
    <row r="1479" spans="1:5" x14ac:dyDescent="0.2">
      <c r="A1479">
        <v>4</v>
      </c>
      <c r="B1479" t="s">
        <v>60</v>
      </c>
      <c r="C1479">
        <v>0</v>
      </c>
      <c r="D1479">
        <v>4</v>
      </c>
      <c r="E1479" s="3">
        <v>33</v>
      </c>
    </row>
    <row r="1480" spans="1:5" x14ac:dyDescent="0.2">
      <c r="A1480">
        <v>5</v>
      </c>
      <c r="B1480" t="s">
        <v>65</v>
      </c>
      <c r="C1480">
        <v>0</v>
      </c>
      <c r="D1480">
        <v>2</v>
      </c>
      <c r="E1480" s="3">
        <v>33</v>
      </c>
    </row>
    <row r="1481" spans="1:5" x14ac:dyDescent="0.2">
      <c r="A1481">
        <v>6</v>
      </c>
      <c r="B1481" t="s">
        <v>42</v>
      </c>
      <c r="C1481">
        <v>0</v>
      </c>
      <c r="D1481">
        <v>1</v>
      </c>
      <c r="E1481" s="3">
        <v>33</v>
      </c>
    </row>
    <row r="1482" spans="1:5" x14ac:dyDescent="0.2">
      <c r="A1482">
        <v>1</v>
      </c>
      <c r="B1482" t="s">
        <v>66</v>
      </c>
      <c r="C1482">
        <v>4</v>
      </c>
      <c r="D1482">
        <v>16</v>
      </c>
      <c r="E1482" s="3">
        <v>33</v>
      </c>
    </row>
    <row r="1483" spans="1:5" x14ac:dyDescent="0.2">
      <c r="A1483">
        <v>2</v>
      </c>
      <c r="B1483" t="s">
        <v>9</v>
      </c>
      <c r="C1483">
        <v>0</v>
      </c>
      <c r="D1483">
        <v>12</v>
      </c>
      <c r="E1483" s="3">
        <v>33</v>
      </c>
    </row>
    <row r="1484" spans="1:5" x14ac:dyDescent="0.2">
      <c r="A1484">
        <v>3</v>
      </c>
      <c r="B1484" t="s">
        <v>46</v>
      </c>
      <c r="C1484">
        <v>0</v>
      </c>
      <c r="D1484">
        <v>8</v>
      </c>
      <c r="E1484" s="3">
        <v>33</v>
      </c>
    </row>
    <row r="1485" spans="1:5" x14ac:dyDescent="0.2">
      <c r="A1485">
        <v>4</v>
      </c>
      <c r="B1485" t="s">
        <v>101</v>
      </c>
      <c r="C1485">
        <v>1</v>
      </c>
      <c r="D1485">
        <v>4</v>
      </c>
      <c r="E1485" s="3">
        <v>33</v>
      </c>
    </row>
    <row r="1486" spans="1:5" x14ac:dyDescent="0.2">
      <c r="A1486">
        <v>5</v>
      </c>
      <c r="B1486" t="s">
        <v>39</v>
      </c>
      <c r="C1486">
        <v>0</v>
      </c>
      <c r="D1486">
        <v>2</v>
      </c>
      <c r="E1486" s="3">
        <v>33</v>
      </c>
    </row>
    <row r="1487" spans="1:5" x14ac:dyDescent="0.2">
      <c r="A1487">
        <v>6</v>
      </c>
      <c r="B1487" t="s">
        <v>22</v>
      </c>
      <c r="C1487">
        <v>0</v>
      </c>
      <c r="D1487">
        <v>1</v>
      </c>
      <c r="E1487" s="3">
        <v>33</v>
      </c>
    </row>
    <row r="1488" spans="1:5" x14ac:dyDescent="0.2">
      <c r="A1488">
        <v>1</v>
      </c>
      <c r="B1488" t="s">
        <v>98</v>
      </c>
      <c r="C1488">
        <v>3</v>
      </c>
      <c r="D1488">
        <v>16</v>
      </c>
      <c r="E1488" s="3">
        <v>33</v>
      </c>
    </row>
    <row r="1489" spans="1:5" x14ac:dyDescent="0.2">
      <c r="A1489">
        <v>2</v>
      </c>
      <c r="B1489" t="s">
        <v>45</v>
      </c>
      <c r="C1489">
        <v>2</v>
      </c>
      <c r="D1489">
        <v>12</v>
      </c>
      <c r="E1489" s="3">
        <v>33</v>
      </c>
    </row>
    <row r="1490" spans="1:5" x14ac:dyDescent="0.2">
      <c r="A1490">
        <v>3</v>
      </c>
      <c r="B1490" t="s">
        <v>61</v>
      </c>
      <c r="C1490">
        <v>0</v>
      </c>
      <c r="D1490">
        <v>8</v>
      </c>
      <c r="E1490" s="3">
        <v>33</v>
      </c>
    </row>
    <row r="1491" spans="1:5" x14ac:dyDescent="0.2">
      <c r="A1491">
        <v>4</v>
      </c>
      <c r="B1491" t="s">
        <v>52</v>
      </c>
      <c r="C1491">
        <v>0</v>
      </c>
      <c r="D1491">
        <v>4</v>
      </c>
      <c r="E1491" s="3">
        <v>33</v>
      </c>
    </row>
    <row r="1492" spans="1:5" x14ac:dyDescent="0.2">
      <c r="A1492">
        <v>5</v>
      </c>
      <c r="B1492" t="s">
        <v>35</v>
      </c>
      <c r="C1492">
        <v>0</v>
      </c>
      <c r="D1492">
        <v>2</v>
      </c>
      <c r="E1492" s="3">
        <v>33</v>
      </c>
    </row>
    <row r="1493" spans="1:5" x14ac:dyDescent="0.2">
      <c r="A1493">
        <v>6</v>
      </c>
      <c r="B1493" t="s">
        <v>8</v>
      </c>
      <c r="C1493">
        <v>0</v>
      </c>
      <c r="D1493">
        <v>1</v>
      </c>
      <c r="E1493" s="3">
        <v>33</v>
      </c>
    </row>
    <row r="1494" spans="1:5" x14ac:dyDescent="0.2">
      <c r="A1494">
        <v>1</v>
      </c>
      <c r="B1494" t="s">
        <v>41</v>
      </c>
      <c r="C1494">
        <v>2</v>
      </c>
      <c r="D1494">
        <v>16</v>
      </c>
      <c r="E1494" s="3">
        <v>33</v>
      </c>
    </row>
    <row r="1495" spans="1:5" x14ac:dyDescent="0.2">
      <c r="A1495">
        <v>2</v>
      </c>
      <c r="B1495" t="s">
        <v>76</v>
      </c>
      <c r="C1495">
        <v>2</v>
      </c>
      <c r="D1495">
        <v>12</v>
      </c>
      <c r="E1495" s="3">
        <v>33</v>
      </c>
    </row>
    <row r="1496" spans="1:5" x14ac:dyDescent="0.2">
      <c r="A1496">
        <v>3</v>
      </c>
      <c r="B1496" t="s">
        <v>55</v>
      </c>
      <c r="C1496">
        <v>0</v>
      </c>
      <c r="D1496">
        <v>8</v>
      </c>
      <c r="E1496" s="3">
        <v>33</v>
      </c>
    </row>
    <row r="1497" spans="1:5" x14ac:dyDescent="0.2">
      <c r="A1497">
        <v>4</v>
      </c>
      <c r="B1497" t="s">
        <v>54</v>
      </c>
      <c r="C1497">
        <v>0</v>
      </c>
      <c r="D1497">
        <v>4</v>
      </c>
      <c r="E1497" s="3">
        <v>33</v>
      </c>
    </row>
    <row r="1498" spans="1:5" x14ac:dyDescent="0.2">
      <c r="A1498">
        <v>5</v>
      </c>
      <c r="B1498" t="s">
        <v>28</v>
      </c>
      <c r="C1498">
        <v>1</v>
      </c>
      <c r="D1498">
        <v>2</v>
      </c>
      <c r="E1498" s="3">
        <v>33</v>
      </c>
    </row>
    <row r="1499" spans="1:5" x14ac:dyDescent="0.2">
      <c r="A1499">
        <v>6</v>
      </c>
      <c r="B1499" t="s">
        <v>68</v>
      </c>
      <c r="C1499">
        <v>0</v>
      </c>
      <c r="D1499">
        <v>1</v>
      </c>
      <c r="E1499" s="3">
        <v>33</v>
      </c>
    </row>
    <row r="1500" spans="1:5" x14ac:dyDescent="0.2">
      <c r="A1500">
        <v>1</v>
      </c>
      <c r="B1500" t="s">
        <v>69</v>
      </c>
      <c r="C1500">
        <v>1</v>
      </c>
      <c r="D1500">
        <v>16</v>
      </c>
      <c r="E1500" s="3">
        <v>33</v>
      </c>
    </row>
    <row r="1501" spans="1:5" x14ac:dyDescent="0.2">
      <c r="A1501">
        <v>2</v>
      </c>
      <c r="B1501" t="s">
        <v>26</v>
      </c>
      <c r="C1501">
        <v>3</v>
      </c>
      <c r="D1501">
        <v>12</v>
      </c>
      <c r="E1501" s="3">
        <v>33</v>
      </c>
    </row>
    <row r="1502" spans="1:5" x14ac:dyDescent="0.2">
      <c r="A1502">
        <v>3</v>
      </c>
      <c r="B1502" t="s">
        <v>59</v>
      </c>
      <c r="C1502">
        <v>1</v>
      </c>
      <c r="D1502">
        <v>8</v>
      </c>
      <c r="E1502" s="3">
        <v>33</v>
      </c>
    </row>
    <row r="1503" spans="1:5" x14ac:dyDescent="0.2">
      <c r="A1503">
        <v>4</v>
      </c>
      <c r="B1503" t="s">
        <v>92</v>
      </c>
      <c r="C1503">
        <v>0</v>
      </c>
      <c r="D1503">
        <v>4</v>
      </c>
      <c r="E1503" s="3">
        <v>33</v>
      </c>
    </row>
    <row r="1504" spans="1:5" x14ac:dyDescent="0.2">
      <c r="A1504">
        <v>5</v>
      </c>
      <c r="B1504" t="s">
        <v>74</v>
      </c>
      <c r="C1504">
        <v>0</v>
      </c>
      <c r="D1504">
        <v>2</v>
      </c>
      <c r="E1504" s="3">
        <v>33</v>
      </c>
    </row>
    <row r="1505" spans="1:5" x14ac:dyDescent="0.2">
      <c r="A1505">
        <v>6</v>
      </c>
      <c r="B1505" t="s">
        <v>25</v>
      </c>
      <c r="C1505">
        <v>0</v>
      </c>
      <c r="D1505">
        <v>1</v>
      </c>
      <c r="E1505" s="3">
        <v>33</v>
      </c>
    </row>
    <row r="1506" spans="1:5" x14ac:dyDescent="0.2">
      <c r="A1506">
        <v>1</v>
      </c>
      <c r="B1506" t="s">
        <v>19</v>
      </c>
      <c r="C1506">
        <v>2</v>
      </c>
      <c r="D1506">
        <v>16</v>
      </c>
      <c r="E1506" s="3">
        <v>33</v>
      </c>
    </row>
    <row r="1507" spans="1:5" x14ac:dyDescent="0.2">
      <c r="A1507">
        <v>2</v>
      </c>
      <c r="B1507" t="s">
        <v>6</v>
      </c>
      <c r="C1507">
        <v>2</v>
      </c>
      <c r="D1507">
        <v>12</v>
      </c>
      <c r="E1507" s="3">
        <v>33</v>
      </c>
    </row>
    <row r="1508" spans="1:5" x14ac:dyDescent="0.2">
      <c r="A1508">
        <v>3</v>
      </c>
      <c r="B1508" t="s">
        <v>73</v>
      </c>
      <c r="C1508">
        <v>0</v>
      </c>
      <c r="D1508">
        <v>8</v>
      </c>
      <c r="E1508" s="3">
        <v>33</v>
      </c>
    </row>
    <row r="1509" spans="1:5" x14ac:dyDescent="0.2">
      <c r="A1509">
        <v>4</v>
      </c>
      <c r="B1509" t="s">
        <v>21</v>
      </c>
      <c r="C1509">
        <v>0</v>
      </c>
      <c r="D1509">
        <v>4</v>
      </c>
      <c r="E1509" s="3">
        <v>33</v>
      </c>
    </row>
    <row r="1510" spans="1:5" x14ac:dyDescent="0.2">
      <c r="A1510">
        <v>5</v>
      </c>
      <c r="B1510" t="s">
        <v>368</v>
      </c>
      <c r="C1510">
        <v>1</v>
      </c>
      <c r="D1510">
        <v>2</v>
      </c>
      <c r="E1510" s="3">
        <v>33</v>
      </c>
    </row>
    <row r="1511" spans="1:5" x14ac:dyDescent="0.2">
      <c r="A1511">
        <v>6</v>
      </c>
      <c r="B1511" t="s">
        <v>14</v>
      </c>
      <c r="C1511">
        <v>0</v>
      </c>
      <c r="D1511">
        <v>1</v>
      </c>
      <c r="E1511" s="3">
        <v>33</v>
      </c>
    </row>
    <row r="1512" spans="1:5" x14ac:dyDescent="0.2">
      <c r="A1512">
        <v>1</v>
      </c>
      <c r="B1512" t="s">
        <v>46</v>
      </c>
      <c r="C1512">
        <v>1</v>
      </c>
      <c r="D1512">
        <v>16</v>
      </c>
      <c r="E1512" s="3">
        <v>34</v>
      </c>
    </row>
    <row r="1513" spans="1:5" x14ac:dyDescent="0.2">
      <c r="A1513">
        <v>2</v>
      </c>
      <c r="B1513" t="s">
        <v>52</v>
      </c>
      <c r="C1513">
        <v>4</v>
      </c>
      <c r="D1513">
        <v>12</v>
      </c>
      <c r="E1513" s="3">
        <v>34</v>
      </c>
    </row>
    <row r="1514" spans="1:5" x14ac:dyDescent="0.2">
      <c r="A1514">
        <v>3</v>
      </c>
      <c r="B1514" t="s">
        <v>69</v>
      </c>
      <c r="C1514">
        <v>0</v>
      </c>
      <c r="D1514">
        <v>8</v>
      </c>
      <c r="E1514" s="3">
        <v>34</v>
      </c>
    </row>
    <row r="1515" spans="1:5" x14ac:dyDescent="0.2">
      <c r="A1515">
        <v>4</v>
      </c>
      <c r="B1515" t="s">
        <v>25</v>
      </c>
      <c r="C1515">
        <v>0</v>
      </c>
      <c r="D1515">
        <v>4</v>
      </c>
      <c r="E1515" s="3">
        <v>34</v>
      </c>
    </row>
    <row r="1516" spans="1:5" x14ac:dyDescent="0.2">
      <c r="A1516">
        <v>5</v>
      </c>
      <c r="B1516" t="s">
        <v>6</v>
      </c>
      <c r="C1516">
        <v>0</v>
      </c>
      <c r="D1516">
        <v>2</v>
      </c>
      <c r="E1516" s="3">
        <v>34</v>
      </c>
    </row>
    <row r="1517" spans="1:5" x14ac:dyDescent="0.2">
      <c r="A1517">
        <v>6</v>
      </c>
      <c r="B1517" t="s">
        <v>54</v>
      </c>
      <c r="C1517">
        <v>0</v>
      </c>
      <c r="D1517">
        <v>1</v>
      </c>
      <c r="E1517" s="3">
        <v>34</v>
      </c>
    </row>
    <row r="1518" spans="1:5" x14ac:dyDescent="0.2">
      <c r="A1518">
        <v>1</v>
      </c>
      <c r="B1518" t="s">
        <v>40</v>
      </c>
      <c r="C1518">
        <v>3</v>
      </c>
      <c r="D1518">
        <v>16</v>
      </c>
      <c r="E1518" s="3">
        <v>34</v>
      </c>
    </row>
    <row r="1519" spans="1:5" x14ac:dyDescent="0.2">
      <c r="A1519">
        <v>2</v>
      </c>
      <c r="B1519" t="s">
        <v>88</v>
      </c>
      <c r="C1519">
        <v>1</v>
      </c>
      <c r="D1519">
        <v>12</v>
      </c>
      <c r="E1519" s="3">
        <v>34</v>
      </c>
    </row>
    <row r="1520" spans="1:5" x14ac:dyDescent="0.2">
      <c r="A1520">
        <v>3</v>
      </c>
      <c r="B1520" t="s">
        <v>98</v>
      </c>
      <c r="C1520">
        <v>1</v>
      </c>
      <c r="D1520">
        <v>8</v>
      </c>
      <c r="E1520" s="3">
        <v>34</v>
      </c>
    </row>
    <row r="1521" spans="1:5" x14ac:dyDescent="0.2">
      <c r="A1521">
        <v>4</v>
      </c>
      <c r="B1521" t="s">
        <v>45</v>
      </c>
      <c r="C1521">
        <v>0</v>
      </c>
      <c r="D1521">
        <v>4</v>
      </c>
      <c r="E1521" s="3">
        <v>34</v>
      </c>
    </row>
    <row r="1522" spans="1:5" x14ac:dyDescent="0.2">
      <c r="A1522">
        <v>5</v>
      </c>
      <c r="B1522" t="s">
        <v>21</v>
      </c>
      <c r="C1522">
        <v>0</v>
      </c>
      <c r="D1522">
        <v>2</v>
      </c>
      <c r="E1522" s="3">
        <v>34</v>
      </c>
    </row>
    <row r="1523" spans="1:5" x14ac:dyDescent="0.2">
      <c r="A1523">
        <v>6</v>
      </c>
      <c r="B1523" t="s">
        <v>74</v>
      </c>
      <c r="C1523">
        <v>0</v>
      </c>
      <c r="D1523">
        <v>1</v>
      </c>
      <c r="E1523" s="3">
        <v>34</v>
      </c>
    </row>
    <row r="1524" spans="1:5" x14ac:dyDescent="0.2">
      <c r="A1524">
        <v>1</v>
      </c>
      <c r="B1524" t="s">
        <v>41</v>
      </c>
      <c r="C1524">
        <v>4</v>
      </c>
      <c r="D1524">
        <v>16</v>
      </c>
      <c r="E1524" s="3">
        <v>34</v>
      </c>
    </row>
    <row r="1525" spans="1:5" x14ac:dyDescent="0.2">
      <c r="A1525">
        <v>2</v>
      </c>
      <c r="B1525" t="s">
        <v>26</v>
      </c>
      <c r="C1525">
        <v>1</v>
      </c>
      <c r="D1525">
        <v>12</v>
      </c>
      <c r="E1525" s="3">
        <v>34</v>
      </c>
    </row>
    <row r="1526" spans="1:5" x14ac:dyDescent="0.2">
      <c r="A1526">
        <v>3</v>
      </c>
      <c r="B1526" t="s">
        <v>23</v>
      </c>
      <c r="C1526">
        <v>0</v>
      </c>
      <c r="D1526">
        <v>8</v>
      </c>
      <c r="E1526" s="3">
        <v>34</v>
      </c>
    </row>
    <row r="1527" spans="1:5" x14ac:dyDescent="0.2">
      <c r="A1527">
        <v>4</v>
      </c>
      <c r="B1527" t="s">
        <v>101</v>
      </c>
      <c r="C1527">
        <v>0</v>
      </c>
      <c r="D1527">
        <v>4</v>
      </c>
      <c r="E1527" s="3">
        <v>34</v>
      </c>
    </row>
    <row r="1528" spans="1:5" x14ac:dyDescent="0.2">
      <c r="A1528">
        <v>5</v>
      </c>
      <c r="B1528" t="s">
        <v>29</v>
      </c>
      <c r="C1528">
        <v>0</v>
      </c>
      <c r="D1528">
        <v>2</v>
      </c>
      <c r="E1528" s="3">
        <v>34</v>
      </c>
    </row>
    <row r="1529" spans="1:5" x14ac:dyDescent="0.2">
      <c r="A1529">
        <v>6</v>
      </c>
      <c r="B1529" t="s">
        <v>22</v>
      </c>
      <c r="C1529">
        <v>0</v>
      </c>
      <c r="D1529">
        <v>1</v>
      </c>
      <c r="E1529" s="3">
        <v>34</v>
      </c>
    </row>
    <row r="1530" spans="1:5" x14ac:dyDescent="0.2">
      <c r="A1530">
        <v>1</v>
      </c>
      <c r="B1530" t="s">
        <v>61</v>
      </c>
      <c r="C1530">
        <v>2</v>
      </c>
      <c r="D1530">
        <v>16</v>
      </c>
      <c r="E1530" s="3">
        <v>34</v>
      </c>
    </row>
    <row r="1531" spans="1:5" x14ac:dyDescent="0.2">
      <c r="A1531">
        <v>2</v>
      </c>
      <c r="B1531" t="s">
        <v>68</v>
      </c>
      <c r="C1531">
        <v>1</v>
      </c>
      <c r="D1531">
        <v>12</v>
      </c>
      <c r="E1531" s="3">
        <v>34</v>
      </c>
    </row>
    <row r="1532" spans="1:5" x14ac:dyDescent="0.2">
      <c r="A1532">
        <v>3</v>
      </c>
      <c r="B1532" t="s">
        <v>92</v>
      </c>
      <c r="C1532">
        <v>2</v>
      </c>
      <c r="D1532">
        <v>8</v>
      </c>
      <c r="E1532" s="3">
        <v>34</v>
      </c>
    </row>
    <row r="1533" spans="1:5" x14ac:dyDescent="0.2">
      <c r="A1533">
        <v>4</v>
      </c>
      <c r="B1533" t="s">
        <v>42</v>
      </c>
      <c r="C1533">
        <v>0</v>
      </c>
      <c r="D1533">
        <v>4</v>
      </c>
      <c r="E1533" s="3">
        <v>34</v>
      </c>
    </row>
    <row r="1534" spans="1:5" x14ac:dyDescent="0.2">
      <c r="A1534">
        <v>5</v>
      </c>
      <c r="B1534" t="s">
        <v>12</v>
      </c>
      <c r="C1534">
        <v>0</v>
      </c>
      <c r="D1534">
        <v>2</v>
      </c>
      <c r="E1534" s="3">
        <v>34</v>
      </c>
    </row>
    <row r="1535" spans="1:5" x14ac:dyDescent="0.2">
      <c r="A1535">
        <v>6</v>
      </c>
      <c r="B1535" t="s">
        <v>370</v>
      </c>
      <c r="C1535">
        <v>0</v>
      </c>
      <c r="D1535">
        <v>1</v>
      </c>
      <c r="E1535" s="3">
        <v>34</v>
      </c>
    </row>
    <row r="1536" spans="1:5" x14ac:dyDescent="0.2">
      <c r="A1536">
        <v>1</v>
      </c>
      <c r="B1536" t="s">
        <v>9</v>
      </c>
      <c r="C1536">
        <v>4</v>
      </c>
      <c r="D1536">
        <v>16</v>
      </c>
      <c r="E1536" s="3">
        <v>34</v>
      </c>
    </row>
    <row r="1537" spans="1:5" x14ac:dyDescent="0.2">
      <c r="A1537">
        <v>2</v>
      </c>
      <c r="B1537" t="s">
        <v>75</v>
      </c>
      <c r="C1537">
        <v>1</v>
      </c>
      <c r="D1537">
        <v>12</v>
      </c>
      <c r="E1537" s="3">
        <v>34</v>
      </c>
    </row>
    <row r="1538" spans="1:5" x14ac:dyDescent="0.2">
      <c r="A1538">
        <v>3</v>
      </c>
      <c r="B1538" t="s">
        <v>28</v>
      </c>
      <c r="C1538">
        <v>0</v>
      </c>
      <c r="D1538">
        <v>8</v>
      </c>
      <c r="E1538" s="3">
        <v>34</v>
      </c>
    </row>
    <row r="1539" spans="1:5" x14ac:dyDescent="0.2">
      <c r="A1539">
        <v>4</v>
      </c>
      <c r="B1539" t="s">
        <v>33</v>
      </c>
      <c r="C1539">
        <v>0</v>
      </c>
      <c r="D1539">
        <v>4</v>
      </c>
      <c r="E1539" s="3">
        <v>34</v>
      </c>
    </row>
    <row r="1540" spans="1:5" x14ac:dyDescent="0.2">
      <c r="A1540">
        <v>5</v>
      </c>
      <c r="B1540" t="s">
        <v>15</v>
      </c>
      <c r="C1540">
        <v>0</v>
      </c>
      <c r="D1540">
        <v>2</v>
      </c>
      <c r="E1540" s="3">
        <v>34</v>
      </c>
    </row>
    <row r="1541" spans="1:5" x14ac:dyDescent="0.2">
      <c r="A1541">
        <v>6</v>
      </c>
      <c r="B1541" t="s">
        <v>87</v>
      </c>
      <c r="C1541">
        <v>0</v>
      </c>
      <c r="D1541">
        <v>1</v>
      </c>
      <c r="E1541" s="3">
        <v>34</v>
      </c>
    </row>
    <row r="1542" spans="1:5" x14ac:dyDescent="0.2">
      <c r="A1542">
        <v>1</v>
      </c>
      <c r="B1542" t="s">
        <v>43</v>
      </c>
      <c r="C1542">
        <v>3</v>
      </c>
      <c r="D1542">
        <v>16</v>
      </c>
      <c r="E1542" s="3">
        <v>34</v>
      </c>
    </row>
    <row r="1543" spans="1:5" x14ac:dyDescent="0.2">
      <c r="A1543">
        <v>2</v>
      </c>
      <c r="B1543" t="s">
        <v>66</v>
      </c>
      <c r="C1543">
        <v>0</v>
      </c>
      <c r="D1543">
        <v>12</v>
      </c>
      <c r="E1543" s="3">
        <v>34</v>
      </c>
    </row>
    <row r="1544" spans="1:5" x14ac:dyDescent="0.2">
      <c r="A1544">
        <v>3</v>
      </c>
      <c r="B1544" t="s">
        <v>73</v>
      </c>
      <c r="C1544">
        <v>1</v>
      </c>
      <c r="D1544">
        <v>8</v>
      </c>
      <c r="E1544" s="3">
        <v>34</v>
      </c>
    </row>
    <row r="1545" spans="1:5" x14ac:dyDescent="0.2">
      <c r="A1545">
        <v>4</v>
      </c>
      <c r="B1545" t="s">
        <v>19</v>
      </c>
      <c r="C1545">
        <v>1</v>
      </c>
      <c r="D1545">
        <v>4</v>
      </c>
      <c r="E1545" s="3">
        <v>34</v>
      </c>
    </row>
    <row r="1546" spans="1:5" x14ac:dyDescent="0.2">
      <c r="A1546">
        <v>5</v>
      </c>
      <c r="B1546" t="s">
        <v>35</v>
      </c>
      <c r="C1546">
        <v>0</v>
      </c>
      <c r="D1546">
        <v>2</v>
      </c>
      <c r="E1546" s="3">
        <v>34</v>
      </c>
    </row>
    <row r="1547" spans="1:5" x14ac:dyDescent="0.2">
      <c r="A1547">
        <v>6</v>
      </c>
      <c r="B1547" t="s">
        <v>50</v>
      </c>
      <c r="C1547">
        <v>0</v>
      </c>
      <c r="D1547">
        <v>1</v>
      </c>
      <c r="E1547" s="3">
        <v>34</v>
      </c>
    </row>
    <row r="1548" spans="1:5" x14ac:dyDescent="0.2">
      <c r="A1548">
        <v>1</v>
      </c>
      <c r="B1548" t="s">
        <v>42</v>
      </c>
      <c r="C1548">
        <v>3</v>
      </c>
      <c r="D1548">
        <v>16</v>
      </c>
      <c r="E1548" s="3">
        <v>35</v>
      </c>
    </row>
    <row r="1549" spans="1:5" x14ac:dyDescent="0.2">
      <c r="A1549">
        <v>2</v>
      </c>
      <c r="B1549" t="s">
        <v>27</v>
      </c>
      <c r="C1549">
        <v>1</v>
      </c>
      <c r="D1549">
        <v>12</v>
      </c>
      <c r="E1549" s="3">
        <v>35</v>
      </c>
    </row>
    <row r="1550" spans="1:5" x14ac:dyDescent="0.2">
      <c r="A1550">
        <v>3</v>
      </c>
      <c r="B1550" t="s">
        <v>371</v>
      </c>
      <c r="C1550">
        <v>1</v>
      </c>
      <c r="D1550">
        <v>8</v>
      </c>
      <c r="E1550" s="3">
        <v>35</v>
      </c>
    </row>
    <row r="1551" spans="1:5" x14ac:dyDescent="0.2">
      <c r="A1551">
        <v>4</v>
      </c>
      <c r="B1551" t="s">
        <v>35</v>
      </c>
      <c r="C1551">
        <v>0</v>
      </c>
      <c r="D1551">
        <v>4</v>
      </c>
      <c r="E1551" s="3">
        <v>35</v>
      </c>
    </row>
    <row r="1552" spans="1:5" x14ac:dyDescent="0.2">
      <c r="A1552">
        <v>5</v>
      </c>
      <c r="B1552" t="s">
        <v>41</v>
      </c>
      <c r="C1552">
        <v>0</v>
      </c>
      <c r="D1552">
        <v>2</v>
      </c>
      <c r="E1552" s="3">
        <v>35</v>
      </c>
    </row>
    <row r="1553" spans="1:5" x14ac:dyDescent="0.2">
      <c r="A1553">
        <v>6</v>
      </c>
      <c r="B1553" t="s">
        <v>65</v>
      </c>
      <c r="C1553">
        <v>0</v>
      </c>
      <c r="D1553">
        <v>1</v>
      </c>
      <c r="E1553" s="3">
        <v>35</v>
      </c>
    </row>
    <row r="1554" spans="1:5" x14ac:dyDescent="0.2">
      <c r="A1554">
        <v>1</v>
      </c>
      <c r="B1554" t="s">
        <v>68</v>
      </c>
      <c r="C1554">
        <v>2</v>
      </c>
      <c r="D1554">
        <v>16</v>
      </c>
      <c r="E1554" s="3">
        <v>35</v>
      </c>
    </row>
    <row r="1555" spans="1:5" x14ac:dyDescent="0.2">
      <c r="A1555">
        <v>2</v>
      </c>
      <c r="B1555" t="s">
        <v>45</v>
      </c>
      <c r="C1555">
        <v>2</v>
      </c>
      <c r="D1555">
        <v>12</v>
      </c>
      <c r="E1555" s="3">
        <v>35</v>
      </c>
    </row>
    <row r="1556" spans="1:5" x14ac:dyDescent="0.2">
      <c r="A1556">
        <v>3</v>
      </c>
      <c r="B1556" t="s">
        <v>15</v>
      </c>
      <c r="C1556">
        <v>1</v>
      </c>
      <c r="D1556">
        <v>8</v>
      </c>
      <c r="E1556" s="3">
        <v>35</v>
      </c>
    </row>
    <row r="1557" spans="1:5" x14ac:dyDescent="0.2">
      <c r="A1557">
        <v>4</v>
      </c>
      <c r="B1557" t="s">
        <v>74</v>
      </c>
      <c r="C1557">
        <v>0</v>
      </c>
      <c r="D1557">
        <v>4</v>
      </c>
      <c r="E1557" s="3">
        <v>35</v>
      </c>
    </row>
    <row r="1558" spans="1:5" x14ac:dyDescent="0.2">
      <c r="A1558">
        <v>5</v>
      </c>
      <c r="B1558" t="s">
        <v>31</v>
      </c>
      <c r="C1558">
        <v>0</v>
      </c>
      <c r="D1558">
        <v>2</v>
      </c>
      <c r="E1558" s="3">
        <v>35</v>
      </c>
    </row>
    <row r="1559" spans="1:5" x14ac:dyDescent="0.2">
      <c r="A1559">
        <v>6</v>
      </c>
      <c r="B1559" t="s">
        <v>25</v>
      </c>
      <c r="C1559">
        <v>0</v>
      </c>
      <c r="D1559">
        <v>1</v>
      </c>
      <c r="E1559" s="3">
        <v>35</v>
      </c>
    </row>
    <row r="1560" spans="1:5" x14ac:dyDescent="0.2">
      <c r="A1560">
        <v>1</v>
      </c>
      <c r="B1560" t="s">
        <v>40</v>
      </c>
      <c r="C1560">
        <v>3</v>
      </c>
      <c r="D1560">
        <v>15</v>
      </c>
      <c r="E1560" s="3">
        <v>35</v>
      </c>
    </row>
    <row r="1561" spans="1:5" x14ac:dyDescent="0.2">
      <c r="A1561">
        <v>2</v>
      </c>
      <c r="B1561" t="s">
        <v>69</v>
      </c>
      <c r="C1561">
        <v>1</v>
      </c>
      <c r="D1561">
        <v>11</v>
      </c>
      <c r="E1561" s="3">
        <v>35</v>
      </c>
    </row>
    <row r="1562" spans="1:5" x14ac:dyDescent="0.2">
      <c r="A1562">
        <v>3</v>
      </c>
      <c r="B1562" t="s">
        <v>305</v>
      </c>
      <c r="C1562">
        <v>0</v>
      </c>
      <c r="D1562">
        <v>7</v>
      </c>
      <c r="E1562" s="3">
        <v>35</v>
      </c>
    </row>
    <row r="1563" spans="1:5" x14ac:dyDescent="0.2">
      <c r="A1563">
        <v>4</v>
      </c>
      <c r="B1563" t="s">
        <v>46</v>
      </c>
      <c r="C1563">
        <v>0</v>
      </c>
      <c r="D1563">
        <v>3</v>
      </c>
      <c r="E1563" s="3">
        <v>35</v>
      </c>
    </row>
    <row r="1564" spans="1:5" x14ac:dyDescent="0.2">
      <c r="A1564">
        <v>5</v>
      </c>
      <c r="B1564" t="s">
        <v>12</v>
      </c>
      <c r="C1564">
        <v>0</v>
      </c>
      <c r="D1564">
        <v>1</v>
      </c>
      <c r="E1564" s="3">
        <v>35</v>
      </c>
    </row>
    <row r="1565" spans="1:5" x14ac:dyDescent="0.2">
      <c r="A1565">
        <v>1</v>
      </c>
      <c r="B1565" t="s">
        <v>66</v>
      </c>
      <c r="C1565">
        <v>1</v>
      </c>
      <c r="D1565">
        <v>16</v>
      </c>
      <c r="E1565" s="3">
        <v>35</v>
      </c>
    </row>
    <row r="1566" spans="1:5" x14ac:dyDescent="0.2">
      <c r="A1566">
        <v>2</v>
      </c>
      <c r="B1566" t="s">
        <v>345</v>
      </c>
      <c r="C1566">
        <v>2</v>
      </c>
      <c r="D1566">
        <v>12</v>
      </c>
      <c r="E1566" s="3">
        <v>35</v>
      </c>
    </row>
    <row r="1567" spans="1:5" x14ac:dyDescent="0.2">
      <c r="A1567">
        <v>3</v>
      </c>
      <c r="B1567" t="s">
        <v>61</v>
      </c>
      <c r="C1567">
        <v>1</v>
      </c>
      <c r="D1567">
        <v>8</v>
      </c>
      <c r="E1567" s="3">
        <v>35</v>
      </c>
    </row>
    <row r="1568" spans="1:5" x14ac:dyDescent="0.2">
      <c r="A1568">
        <v>4</v>
      </c>
      <c r="B1568" t="s">
        <v>43</v>
      </c>
      <c r="C1568">
        <v>1</v>
      </c>
      <c r="D1568">
        <v>4</v>
      </c>
      <c r="E1568" s="3">
        <v>35</v>
      </c>
    </row>
    <row r="1569" spans="1:5" x14ac:dyDescent="0.2">
      <c r="A1569">
        <v>5</v>
      </c>
      <c r="B1569" t="s">
        <v>98</v>
      </c>
      <c r="C1569">
        <v>0</v>
      </c>
      <c r="D1569">
        <v>2</v>
      </c>
      <c r="E1569" s="3">
        <v>35</v>
      </c>
    </row>
    <row r="1570" spans="1:5" x14ac:dyDescent="0.2">
      <c r="A1570">
        <v>6</v>
      </c>
      <c r="B1570" t="s">
        <v>102</v>
      </c>
      <c r="C1570">
        <v>0</v>
      </c>
      <c r="D1570">
        <v>1</v>
      </c>
      <c r="E1570" s="3">
        <v>35</v>
      </c>
    </row>
    <row r="1571" spans="1:5" x14ac:dyDescent="0.2">
      <c r="A1571">
        <v>1</v>
      </c>
      <c r="B1571" t="s">
        <v>75</v>
      </c>
      <c r="C1571">
        <v>2</v>
      </c>
      <c r="D1571">
        <v>16</v>
      </c>
      <c r="E1571" s="3">
        <v>35</v>
      </c>
    </row>
    <row r="1572" spans="1:5" x14ac:dyDescent="0.2">
      <c r="A1572">
        <v>2</v>
      </c>
      <c r="B1572" t="s">
        <v>19</v>
      </c>
      <c r="C1572">
        <v>1</v>
      </c>
      <c r="D1572">
        <v>12</v>
      </c>
      <c r="E1572" s="3">
        <v>35</v>
      </c>
    </row>
    <row r="1573" spans="1:5" x14ac:dyDescent="0.2">
      <c r="A1573">
        <v>3</v>
      </c>
      <c r="B1573" t="s">
        <v>73</v>
      </c>
      <c r="C1573">
        <v>1</v>
      </c>
      <c r="D1573">
        <v>8</v>
      </c>
      <c r="E1573" s="3">
        <v>35</v>
      </c>
    </row>
    <row r="1574" spans="1:5" x14ac:dyDescent="0.2">
      <c r="A1574">
        <v>4</v>
      </c>
      <c r="B1574" t="s">
        <v>87</v>
      </c>
      <c r="C1574">
        <v>1</v>
      </c>
      <c r="D1574">
        <v>4</v>
      </c>
      <c r="E1574" s="3">
        <v>35</v>
      </c>
    </row>
    <row r="1575" spans="1:5" x14ac:dyDescent="0.2">
      <c r="A1575">
        <v>5</v>
      </c>
      <c r="B1575" t="s">
        <v>39</v>
      </c>
      <c r="C1575">
        <v>0</v>
      </c>
      <c r="D1575">
        <v>2</v>
      </c>
      <c r="E1575" s="3">
        <v>35</v>
      </c>
    </row>
    <row r="1576" spans="1:5" x14ac:dyDescent="0.2">
      <c r="A1576">
        <v>6</v>
      </c>
      <c r="B1576" t="s">
        <v>21</v>
      </c>
      <c r="C1576">
        <v>0</v>
      </c>
      <c r="D1576">
        <v>1</v>
      </c>
      <c r="E1576" s="3">
        <v>35</v>
      </c>
    </row>
    <row r="1577" spans="1:5" x14ac:dyDescent="0.2">
      <c r="A1577">
        <v>1</v>
      </c>
      <c r="B1577" t="s">
        <v>94</v>
      </c>
      <c r="C1577">
        <v>4</v>
      </c>
      <c r="D1577">
        <v>17</v>
      </c>
      <c r="E1577" s="3">
        <v>36</v>
      </c>
    </row>
    <row r="1578" spans="1:5" x14ac:dyDescent="0.2">
      <c r="A1578">
        <v>2</v>
      </c>
      <c r="B1578" t="s">
        <v>32</v>
      </c>
      <c r="C1578">
        <v>0</v>
      </c>
      <c r="D1578">
        <v>13</v>
      </c>
      <c r="E1578" s="3">
        <v>36</v>
      </c>
    </row>
    <row r="1579" spans="1:5" x14ac:dyDescent="0.2">
      <c r="A1579">
        <v>3</v>
      </c>
      <c r="B1579" t="s">
        <v>102</v>
      </c>
      <c r="C1579">
        <v>2</v>
      </c>
      <c r="D1579">
        <v>9</v>
      </c>
      <c r="E1579" s="3">
        <v>36</v>
      </c>
    </row>
    <row r="1580" spans="1:5" x14ac:dyDescent="0.2">
      <c r="A1580">
        <v>4</v>
      </c>
      <c r="B1580" t="s">
        <v>73</v>
      </c>
      <c r="C1580">
        <v>0</v>
      </c>
      <c r="D1580">
        <v>5</v>
      </c>
      <c r="E1580" s="3">
        <v>36</v>
      </c>
    </row>
    <row r="1581" spans="1:5" x14ac:dyDescent="0.2">
      <c r="A1581">
        <v>5</v>
      </c>
      <c r="B1581" t="s">
        <v>66</v>
      </c>
      <c r="C1581">
        <v>0</v>
      </c>
      <c r="D1581">
        <v>3</v>
      </c>
      <c r="E1581" s="3">
        <v>36</v>
      </c>
    </row>
    <row r="1582" spans="1:5" x14ac:dyDescent="0.2">
      <c r="A1582">
        <v>6</v>
      </c>
      <c r="B1582" t="s">
        <v>345</v>
      </c>
      <c r="C1582">
        <v>0</v>
      </c>
      <c r="D1582">
        <v>2</v>
      </c>
      <c r="E1582" s="3">
        <v>36</v>
      </c>
    </row>
    <row r="1583" spans="1:5" x14ac:dyDescent="0.2">
      <c r="A1583">
        <v>7</v>
      </c>
      <c r="B1583" t="s">
        <v>74</v>
      </c>
      <c r="C1583">
        <v>0</v>
      </c>
      <c r="D1583">
        <v>1</v>
      </c>
      <c r="E1583" s="3">
        <v>36</v>
      </c>
    </row>
    <row r="1584" spans="1:5" x14ac:dyDescent="0.2">
      <c r="A1584">
        <v>1</v>
      </c>
      <c r="B1584" t="s">
        <v>76</v>
      </c>
      <c r="C1584">
        <v>3</v>
      </c>
      <c r="D1584">
        <v>16</v>
      </c>
      <c r="E1584" s="3">
        <v>36</v>
      </c>
    </row>
    <row r="1585" spans="1:5" x14ac:dyDescent="0.2">
      <c r="A1585">
        <v>2</v>
      </c>
      <c r="B1585" t="s">
        <v>15</v>
      </c>
      <c r="C1585">
        <v>2</v>
      </c>
      <c r="D1585">
        <v>12</v>
      </c>
      <c r="E1585" s="3">
        <v>36</v>
      </c>
    </row>
    <row r="1586" spans="1:5" x14ac:dyDescent="0.2">
      <c r="A1586">
        <v>3</v>
      </c>
      <c r="B1586" t="s">
        <v>46</v>
      </c>
      <c r="C1586">
        <v>0</v>
      </c>
      <c r="D1586">
        <v>8</v>
      </c>
      <c r="E1586" s="3">
        <v>36</v>
      </c>
    </row>
    <row r="1587" spans="1:5" x14ac:dyDescent="0.2">
      <c r="A1587">
        <v>4</v>
      </c>
      <c r="B1587" t="s">
        <v>42</v>
      </c>
      <c r="C1587">
        <v>0</v>
      </c>
      <c r="D1587">
        <v>4</v>
      </c>
      <c r="E1587" s="3">
        <v>36</v>
      </c>
    </row>
    <row r="1588" spans="1:5" x14ac:dyDescent="0.2">
      <c r="A1588">
        <v>5</v>
      </c>
      <c r="B1588" t="s">
        <v>21</v>
      </c>
      <c r="C1588">
        <v>0</v>
      </c>
      <c r="D1588">
        <v>2</v>
      </c>
      <c r="E1588" s="3">
        <v>36</v>
      </c>
    </row>
    <row r="1589" spans="1:5" x14ac:dyDescent="0.2">
      <c r="A1589">
        <v>6</v>
      </c>
      <c r="B1589" t="s">
        <v>23</v>
      </c>
      <c r="C1589">
        <v>0</v>
      </c>
      <c r="D1589">
        <v>1</v>
      </c>
      <c r="E1589" s="3">
        <v>36</v>
      </c>
    </row>
    <row r="1590" spans="1:5" x14ac:dyDescent="0.2">
      <c r="A1590">
        <v>1</v>
      </c>
      <c r="B1590" t="s">
        <v>12</v>
      </c>
      <c r="C1590">
        <v>4</v>
      </c>
      <c r="D1590">
        <v>17</v>
      </c>
      <c r="E1590" s="3">
        <v>36</v>
      </c>
    </row>
    <row r="1591" spans="1:5" x14ac:dyDescent="0.2">
      <c r="A1591">
        <v>2</v>
      </c>
      <c r="B1591" t="s">
        <v>19</v>
      </c>
      <c r="C1591">
        <v>1</v>
      </c>
      <c r="D1591">
        <v>13</v>
      </c>
      <c r="E1591" s="3">
        <v>36</v>
      </c>
    </row>
    <row r="1592" spans="1:5" x14ac:dyDescent="0.2">
      <c r="A1592">
        <v>3</v>
      </c>
      <c r="B1592" t="s">
        <v>50</v>
      </c>
      <c r="C1592">
        <v>0</v>
      </c>
      <c r="D1592">
        <v>9</v>
      </c>
      <c r="E1592" s="3">
        <v>36</v>
      </c>
    </row>
    <row r="1593" spans="1:5" x14ac:dyDescent="0.2">
      <c r="A1593">
        <v>4</v>
      </c>
      <c r="B1593" t="s">
        <v>40</v>
      </c>
      <c r="C1593">
        <v>1</v>
      </c>
      <c r="D1593">
        <v>5</v>
      </c>
      <c r="E1593" s="3">
        <v>36</v>
      </c>
    </row>
    <row r="1594" spans="1:5" x14ac:dyDescent="0.2">
      <c r="A1594">
        <v>5</v>
      </c>
      <c r="B1594" t="s">
        <v>75</v>
      </c>
      <c r="C1594">
        <v>0</v>
      </c>
      <c r="D1594">
        <v>3</v>
      </c>
      <c r="E1594" s="3">
        <v>36</v>
      </c>
    </row>
    <row r="1595" spans="1:5" x14ac:dyDescent="0.2">
      <c r="A1595">
        <v>6</v>
      </c>
      <c r="B1595" t="s">
        <v>69</v>
      </c>
      <c r="C1595">
        <v>0</v>
      </c>
      <c r="D1595">
        <v>2</v>
      </c>
      <c r="E1595" s="3">
        <v>36</v>
      </c>
    </row>
    <row r="1596" spans="1:5" x14ac:dyDescent="0.2">
      <c r="A1596">
        <v>7</v>
      </c>
      <c r="B1596" t="s">
        <v>33</v>
      </c>
      <c r="C1596">
        <v>0</v>
      </c>
      <c r="D1596">
        <v>1</v>
      </c>
      <c r="E1596" s="3">
        <v>36</v>
      </c>
    </row>
    <row r="1597" spans="1:5" x14ac:dyDescent="0.2">
      <c r="A1597">
        <v>1</v>
      </c>
      <c r="B1597" t="s">
        <v>54</v>
      </c>
      <c r="C1597">
        <v>4</v>
      </c>
      <c r="D1597">
        <v>16</v>
      </c>
      <c r="E1597" s="3">
        <v>36</v>
      </c>
    </row>
    <row r="1598" spans="1:5" x14ac:dyDescent="0.2">
      <c r="A1598">
        <v>2</v>
      </c>
      <c r="B1598" t="s">
        <v>25</v>
      </c>
      <c r="C1598">
        <v>0</v>
      </c>
      <c r="D1598">
        <v>12</v>
      </c>
      <c r="E1598" s="3">
        <v>36</v>
      </c>
    </row>
    <row r="1599" spans="1:5" x14ac:dyDescent="0.2">
      <c r="A1599">
        <v>3</v>
      </c>
      <c r="B1599" t="s">
        <v>98</v>
      </c>
      <c r="C1599">
        <v>0</v>
      </c>
      <c r="D1599">
        <v>8</v>
      </c>
      <c r="E1599" s="3">
        <v>36</v>
      </c>
    </row>
    <row r="1600" spans="1:5" x14ac:dyDescent="0.2">
      <c r="A1600">
        <v>4</v>
      </c>
      <c r="B1600" t="s">
        <v>377</v>
      </c>
      <c r="C1600">
        <v>1</v>
      </c>
      <c r="D1600">
        <v>4</v>
      </c>
      <c r="E1600" s="3">
        <v>36</v>
      </c>
    </row>
    <row r="1601" spans="1:5" x14ac:dyDescent="0.2">
      <c r="A1601">
        <v>5</v>
      </c>
      <c r="B1601" t="s">
        <v>9</v>
      </c>
      <c r="C1601">
        <v>0</v>
      </c>
      <c r="D1601">
        <v>2</v>
      </c>
      <c r="E1601" s="3">
        <v>36</v>
      </c>
    </row>
    <row r="1602" spans="1:5" x14ac:dyDescent="0.2">
      <c r="A1602">
        <v>6</v>
      </c>
      <c r="B1602" t="s">
        <v>52</v>
      </c>
      <c r="C1602">
        <v>0</v>
      </c>
      <c r="D1602">
        <v>1</v>
      </c>
      <c r="E1602" s="3">
        <v>36</v>
      </c>
    </row>
    <row r="1603" spans="1:5" x14ac:dyDescent="0.2">
      <c r="A1603">
        <v>1</v>
      </c>
      <c r="B1603" t="s">
        <v>65</v>
      </c>
      <c r="C1603">
        <v>4</v>
      </c>
      <c r="D1603">
        <v>17</v>
      </c>
      <c r="E1603" s="3">
        <v>36</v>
      </c>
    </row>
    <row r="1604" spans="1:5" x14ac:dyDescent="0.2">
      <c r="A1604">
        <v>2</v>
      </c>
      <c r="B1604" t="s">
        <v>68</v>
      </c>
      <c r="C1604">
        <v>1</v>
      </c>
      <c r="D1604">
        <v>13</v>
      </c>
      <c r="E1604" s="3">
        <v>36</v>
      </c>
    </row>
    <row r="1605" spans="1:5" x14ac:dyDescent="0.2">
      <c r="A1605">
        <v>3</v>
      </c>
      <c r="B1605" t="s">
        <v>45</v>
      </c>
      <c r="C1605">
        <v>1</v>
      </c>
      <c r="D1605">
        <v>9</v>
      </c>
      <c r="E1605" s="3">
        <v>36</v>
      </c>
    </row>
    <row r="1606" spans="1:5" x14ac:dyDescent="0.2">
      <c r="A1606">
        <v>4</v>
      </c>
      <c r="B1606" t="s">
        <v>6</v>
      </c>
      <c r="C1606">
        <v>0</v>
      </c>
      <c r="D1606">
        <v>5</v>
      </c>
      <c r="E1606" s="3">
        <v>36</v>
      </c>
    </row>
    <row r="1607" spans="1:5" x14ac:dyDescent="0.2">
      <c r="A1607">
        <v>5</v>
      </c>
      <c r="B1607" t="s">
        <v>41</v>
      </c>
      <c r="C1607">
        <v>0</v>
      </c>
      <c r="D1607">
        <v>3</v>
      </c>
      <c r="E1607" s="3">
        <v>36</v>
      </c>
    </row>
    <row r="1608" spans="1:5" x14ac:dyDescent="0.2">
      <c r="A1608">
        <v>6</v>
      </c>
      <c r="B1608" t="s">
        <v>35</v>
      </c>
      <c r="C1608">
        <v>0</v>
      </c>
      <c r="D1608">
        <v>2</v>
      </c>
      <c r="E1608" s="3">
        <v>36</v>
      </c>
    </row>
    <row r="1609" spans="1:5" x14ac:dyDescent="0.2">
      <c r="A1609">
        <v>7</v>
      </c>
      <c r="B1609" t="s">
        <v>14</v>
      </c>
      <c r="C1609">
        <v>0</v>
      </c>
      <c r="D1609">
        <v>1</v>
      </c>
      <c r="E1609" s="3">
        <v>36</v>
      </c>
    </row>
    <row r="1610" spans="1:5" x14ac:dyDescent="0.2">
      <c r="A1610">
        <v>1</v>
      </c>
      <c r="B1610" t="s">
        <v>75</v>
      </c>
      <c r="C1610">
        <v>0</v>
      </c>
      <c r="D1610">
        <v>15</v>
      </c>
      <c r="E1610" s="3">
        <v>37</v>
      </c>
    </row>
    <row r="1611" spans="1:5" x14ac:dyDescent="0.2">
      <c r="A1611">
        <v>2</v>
      </c>
      <c r="B1611" t="s">
        <v>21</v>
      </c>
      <c r="C1611">
        <v>1</v>
      </c>
      <c r="D1611">
        <v>11</v>
      </c>
      <c r="E1611" s="3">
        <v>37</v>
      </c>
    </row>
    <row r="1612" spans="1:5" x14ac:dyDescent="0.2">
      <c r="A1612">
        <v>3</v>
      </c>
      <c r="B1612" t="s">
        <v>68</v>
      </c>
      <c r="C1612">
        <v>2</v>
      </c>
      <c r="D1612">
        <v>7</v>
      </c>
      <c r="E1612" s="3">
        <v>37</v>
      </c>
    </row>
    <row r="1613" spans="1:5" x14ac:dyDescent="0.2">
      <c r="A1613">
        <v>4</v>
      </c>
      <c r="B1613" t="s">
        <v>46</v>
      </c>
      <c r="C1613">
        <v>0</v>
      </c>
      <c r="D1613">
        <v>3</v>
      </c>
      <c r="E1613" s="3">
        <v>37</v>
      </c>
    </row>
    <row r="1614" spans="1:5" x14ac:dyDescent="0.2">
      <c r="A1614">
        <v>5</v>
      </c>
      <c r="B1614" t="s">
        <v>61</v>
      </c>
      <c r="C1614">
        <v>0</v>
      </c>
      <c r="D1614">
        <v>1</v>
      </c>
      <c r="E1614" s="3">
        <v>37</v>
      </c>
    </row>
    <row r="1615" spans="1:5" x14ac:dyDescent="0.2">
      <c r="A1615">
        <v>1</v>
      </c>
      <c r="B1615" t="s">
        <v>9</v>
      </c>
      <c r="C1615">
        <v>3</v>
      </c>
      <c r="D1615">
        <v>16</v>
      </c>
      <c r="E1615" s="3">
        <v>37</v>
      </c>
    </row>
    <row r="1616" spans="1:5" x14ac:dyDescent="0.2">
      <c r="A1616">
        <v>2</v>
      </c>
      <c r="B1616" t="s">
        <v>69</v>
      </c>
      <c r="C1616">
        <v>1</v>
      </c>
      <c r="D1616">
        <v>12</v>
      </c>
      <c r="E1616" s="3">
        <v>37</v>
      </c>
    </row>
    <row r="1617" spans="1:5" x14ac:dyDescent="0.2">
      <c r="A1617">
        <v>3</v>
      </c>
      <c r="B1617" t="s">
        <v>65</v>
      </c>
      <c r="C1617">
        <v>0</v>
      </c>
      <c r="D1617">
        <v>8</v>
      </c>
      <c r="E1617" s="3">
        <v>37</v>
      </c>
    </row>
    <row r="1618" spans="1:5" x14ac:dyDescent="0.2">
      <c r="A1618">
        <v>4</v>
      </c>
      <c r="B1618" t="s">
        <v>39</v>
      </c>
      <c r="C1618">
        <v>0</v>
      </c>
      <c r="D1618">
        <v>4</v>
      </c>
      <c r="E1618" s="3">
        <v>37</v>
      </c>
    </row>
    <row r="1619" spans="1:5" x14ac:dyDescent="0.2">
      <c r="A1619">
        <v>5</v>
      </c>
      <c r="B1619" t="s">
        <v>33</v>
      </c>
      <c r="C1619">
        <v>1</v>
      </c>
      <c r="D1619">
        <v>2</v>
      </c>
      <c r="E1619" s="3">
        <v>37</v>
      </c>
    </row>
    <row r="1620" spans="1:5" x14ac:dyDescent="0.2">
      <c r="A1620">
        <v>6</v>
      </c>
      <c r="B1620" t="s">
        <v>40</v>
      </c>
      <c r="C1620">
        <v>0</v>
      </c>
      <c r="D1620">
        <v>1</v>
      </c>
      <c r="E1620" s="3">
        <v>37</v>
      </c>
    </row>
    <row r="1621" spans="1:5" x14ac:dyDescent="0.2">
      <c r="A1621">
        <v>1</v>
      </c>
      <c r="B1621" t="s">
        <v>377</v>
      </c>
      <c r="C1621">
        <v>2</v>
      </c>
      <c r="D1621">
        <v>16</v>
      </c>
      <c r="E1621" s="3">
        <v>37</v>
      </c>
    </row>
    <row r="1622" spans="1:5" x14ac:dyDescent="0.2">
      <c r="A1622">
        <v>2</v>
      </c>
      <c r="B1622" t="s">
        <v>76</v>
      </c>
      <c r="C1622">
        <v>3</v>
      </c>
      <c r="D1622">
        <v>12</v>
      </c>
      <c r="E1622" s="3">
        <v>37</v>
      </c>
    </row>
    <row r="1623" spans="1:5" x14ac:dyDescent="0.2">
      <c r="A1623">
        <v>3</v>
      </c>
      <c r="B1623" t="s">
        <v>59</v>
      </c>
      <c r="C1623">
        <v>0</v>
      </c>
      <c r="D1623">
        <v>8</v>
      </c>
      <c r="E1623" s="3">
        <v>37</v>
      </c>
    </row>
    <row r="1624" spans="1:5" x14ac:dyDescent="0.2">
      <c r="A1624">
        <v>4</v>
      </c>
      <c r="B1624" t="s">
        <v>35</v>
      </c>
      <c r="C1624">
        <v>0</v>
      </c>
      <c r="D1624">
        <v>4</v>
      </c>
      <c r="E1624" s="3">
        <v>37</v>
      </c>
    </row>
    <row r="1625" spans="1:5" x14ac:dyDescent="0.2">
      <c r="A1625">
        <v>5</v>
      </c>
      <c r="B1625" t="s">
        <v>8</v>
      </c>
      <c r="C1625">
        <v>0</v>
      </c>
      <c r="D1625">
        <v>2</v>
      </c>
      <c r="E1625" s="3">
        <v>37</v>
      </c>
    </row>
    <row r="1626" spans="1:5" x14ac:dyDescent="0.2">
      <c r="A1626">
        <v>6</v>
      </c>
      <c r="B1626" t="s">
        <v>19</v>
      </c>
      <c r="C1626">
        <v>0</v>
      </c>
      <c r="D1626">
        <v>1</v>
      </c>
      <c r="E1626" s="3">
        <v>37</v>
      </c>
    </row>
    <row r="1627" spans="1:5" x14ac:dyDescent="0.2">
      <c r="A1627">
        <v>1</v>
      </c>
      <c r="B1627" t="s">
        <v>12</v>
      </c>
      <c r="C1627">
        <v>3</v>
      </c>
      <c r="D1627">
        <v>15</v>
      </c>
      <c r="E1627" s="3">
        <v>37</v>
      </c>
    </row>
    <row r="1628" spans="1:5" x14ac:dyDescent="0.2">
      <c r="A1628">
        <v>2</v>
      </c>
      <c r="B1628" t="s">
        <v>32</v>
      </c>
      <c r="C1628">
        <v>0</v>
      </c>
      <c r="D1628">
        <v>11</v>
      </c>
      <c r="E1628" s="3">
        <v>37</v>
      </c>
    </row>
    <row r="1629" spans="1:5" x14ac:dyDescent="0.2">
      <c r="A1629">
        <v>3</v>
      </c>
      <c r="B1629" t="s">
        <v>345</v>
      </c>
      <c r="C1629">
        <v>1</v>
      </c>
      <c r="D1629">
        <v>7</v>
      </c>
      <c r="E1629" s="3">
        <v>37</v>
      </c>
    </row>
    <row r="1630" spans="1:5" x14ac:dyDescent="0.2">
      <c r="A1630">
        <v>4</v>
      </c>
      <c r="B1630" t="s">
        <v>54</v>
      </c>
      <c r="C1630">
        <v>0</v>
      </c>
      <c r="D1630">
        <v>3</v>
      </c>
      <c r="E1630" s="3">
        <v>37</v>
      </c>
    </row>
    <row r="1631" spans="1:5" x14ac:dyDescent="0.2">
      <c r="A1631">
        <v>5</v>
      </c>
      <c r="B1631" t="s">
        <v>25</v>
      </c>
      <c r="C1631">
        <v>0</v>
      </c>
      <c r="D1631">
        <v>1</v>
      </c>
      <c r="E1631" s="3">
        <v>37</v>
      </c>
    </row>
    <row r="1632" spans="1:5" x14ac:dyDescent="0.2">
      <c r="A1632">
        <v>1</v>
      </c>
      <c r="B1632" t="s">
        <v>23</v>
      </c>
      <c r="C1632">
        <v>3</v>
      </c>
      <c r="D1632">
        <v>15</v>
      </c>
      <c r="E1632" s="3">
        <v>37</v>
      </c>
    </row>
    <row r="1633" spans="1:5" x14ac:dyDescent="0.2">
      <c r="A1633">
        <v>2</v>
      </c>
      <c r="B1633" t="s">
        <v>53</v>
      </c>
      <c r="C1633">
        <v>0</v>
      </c>
      <c r="D1633">
        <v>11</v>
      </c>
      <c r="E1633" s="3">
        <v>37</v>
      </c>
    </row>
    <row r="1634" spans="1:5" x14ac:dyDescent="0.2">
      <c r="A1634">
        <v>3</v>
      </c>
      <c r="B1634" t="s">
        <v>41</v>
      </c>
      <c r="C1634">
        <v>1</v>
      </c>
      <c r="D1634">
        <v>7</v>
      </c>
      <c r="E1634" s="3">
        <v>37</v>
      </c>
    </row>
    <row r="1635" spans="1:5" x14ac:dyDescent="0.2">
      <c r="A1635">
        <v>4</v>
      </c>
      <c r="B1635" t="s">
        <v>102</v>
      </c>
      <c r="C1635">
        <v>0</v>
      </c>
      <c r="D1635">
        <v>3</v>
      </c>
      <c r="E1635" s="3">
        <v>37</v>
      </c>
    </row>
    <row r="1636" spans="1:5" x14ac:dyDescent="0.2">
      <c r="A1636">
        <v>5</v>
      </c>
      <c r="B1636" t="s">
        <v>6</v>
      </c>
      <c r="C1636">
        <v>0</v>
      </c>
      <c r="D1636">
        <v>1</v>
      </c>
      <c r="E1636" s="3">
        <v>37</v>
      </c>
    </row>
    <row r="1637" spans="1:5" x14ac:dyDescent="0.2">
      <c r="A1637">
        <v>1</v>
      </c>
      <c r="B1637" t="s">
        <v>15</v>
      </c>
      <c r="C1637">
        <v>1</v>
      </c>
      <c r="D1637">
        <v>15</v>
      </c>
      <c r="E1637" s="3">
        <v>37</v>
      </c>
    </row>
    <row r="1638" spans="1:5" x14ac:dyDescent="0.2">
      <c r="A1638">
        <v>2</v>
      </c>
      <c r="B1638" t="s">
        <v>43</v>
      </c>
      <c r="C1638">
        <v>3</v>
      </c>
      <c r="D1638">
        <v>11</v>
      </c>
      <c r="E1638" s="3">
        <v>37</v>
      </c>
    </row>
    <row r="1639" spans="1:5" x14ac:dyDescent="0.2">
      <c r="A1639">
        <v>3</v>
      </c>
      <c r="B1639" t="s">
        <v>96</v>
      </c>
      <c r="C1639">
        <v>0</v>
      </c>
      <c r="D1639">
        <v>7</v>
      </c>
      <c r="E1639" s="3">
        <v>37</v>
      </c>
    </row>
    <row r="1640" spans="1:5" x14ac:dyDescent="0.2">
      <c r="A1640">
        <v>4</v>
      </c>
      <c r="B1640" t="s">
        <v>73</v>
      </c>
      <c r="C1640">
        <v>0</v>
      </c>
      <c r="D1640">
        <v>3</v>
      </c>
      <c r="E1640" s="3">
        <v>37</v>
      </c>
    </row>
    <row r="1641" spans="1:5" x14ac:dyDescent="0.2">
      <c r="A1641">
        <v>5</v>
      </c>
      <c r="B1641" t="s">
        <v>45</v>
      </c>
      <c r="C1641">
        <v>0</v>
      </c>
      <c r="D1641">
        <v>1</v>
      </c>
      <c r="E1641" s="3">
        <v>37</v>
      </c>
    </row>
    <row r="1642" spans="1:5" x14ac:dyDescent="0.2">
      <c r="A1642">
        <v>1</v>
      </c>
      <c r="B1642" t="s">
        <v>15</v>
      </c>
      <c r="C1642">
        <v>3</v>
      </c>
      <c r="D1642">
        <v>16</v>
      </c>
      <c r="E1642" s="3">
        <v>38</v>
      </c>
    </row>
    <row r="1643" spans="1:5" x14ac:dyDescent="0.2">
      <c r="A1643">
        <v>2</v>
      </c>
      <c r="B1643" t="s">
        <v>377</v>
      </c>
      <c r="C1643">
        <v>0</v>
      </c>
      <c r="D1643">
        <v>12</v>
      </c>
      <c r="E1643" s="3">
        <v>38</v>
      </c>
    </row>
    <row r="1644" spans="1:5" x14ac:dyDescent="0.2">
      <c r="A1644">
        <v>3</v>
      </c>
      <c r="B1644" t="s">
        <v>6</v>
      </c>
      <c r="C1644">
        <v>1</v>
      </c>
      <c r="D1644">
        <v>8</v>
      </c>
      <c r="E1644" s="3">
        <v>38</v>
      </c>
    </row>
    <row r="1645" spans="1:5" x14ac:dyDescent="0.2">
      <c r="A1645">
        <v>4</v>
      </c>
      <c r="B1645" t="s">
        <v>14</v>
      </c>
      <c r="C1645">
        <v>1</v>
      </c>
      <c r="D1645">
        <v>4</v>
      </c>
      <c r="E1645" s="3">
        <v>38</v>
      </c>
    </row>
    <row r="1646" spans="1:5" x14ac:dyDescent="0.2">
      <c r="A1646">
        <v>5</v>
      </c>
      <c r="B1646" t="s">
        <v>12</v>
      </c>
      <c r="C1646">
        <v>0</v>
      </c>
      <c r="D1646">
        <v>2</v>
      </c>
      <c r="E1646" s="3">
        <v>38</v>
      </c>
    </row>
    <row r="1647" spans="1:5" x14ac:dyDescent="0.2">
      <c r="A1647">
        <v>6</v>
      </c>
      <c r="B1647" t="s">
        <v>68</v>
      </c>
      <c r="C1647">
        <v>0</v>
      </c>
      <c r="D1647">
        <v>1</v>
      </c>
      <c r="E1647" s="3">
        <v>38</v>
      </c>
    </row>
    <row r="1648" spans="1:5" x14ac:dyDescent="0.2">
      <c r="A1648">
        <v>1</v>
      </c>
      <c r="B1648" t="s">
        <v>23</v>
      </c>
      <c r="C1648">
        <v>2</v>
      </c>
      <c r="D1648">
        <v>16</v>
      </c>
      <c r="E1648" s="3">
        <v>38</v>
      </c>
    </row>
    <row r="1649" spans="1:5" x14ac:dyDescent="0.2">
      <c r="A1649">
        <v>2</v>
      </c>
      <c r="B1649" t="s">
        <v>39</v>
      </c>
      <c r="C1649">
        <v>1</v>
      </c>
      <c r="D1649">
        <v>12</v>
      </c>
      <c r="E1649" s="3">
        <v>38</v>
      </c>
    </row>
    <row r="1650" spans="1:5" x14ac:dyDescent="0.2">
      <c r="A1650">
        <v>3</v>
      </c>
      <c r="B1650" t="s">
        <v>66</v>
      </c>
      <c r="C1650">
        <v>2</v>
      </c>
      <c r="D1650">
        <v>8</v>
      </c>
      <c r="E1650" s="3">
        <v>38</v>
      </c>
    </row>
    <row r="1651" spans="1:5" x14ac:dyDescent="0.2">
      <c r="A1651">
        <v>4</v>
      </c>
      <c r="B1651" t="s">
        <v>75</v>
      </c>
      <c r="C1651">
        <v>0</v>
      </c>
      <c r="D1651">
        <v>4</v>
      </c>
      <c r="E1651" s="3">
        <v>38</v>
      </c>
    </row>
    <row r="1652" spans="1:5" x14ac:dyDescent="0.2">
      <c r="A1652">
        <v>5</v>
      </c>
      <c r="B1652" t="s">
        <v>33</v>
      </c>
      <c r="C1652">
        <v>0</v>
      </c>
      <c r="D1652">
        <v>2</v>
      </c>
      <c r="E1652" s="3">
        <v>38</v>
      </c>
    </row>
    <row r="1653" spans="1:5" x14ac:dyDescent="0.2">
      <c r="A1653">
        <v>6</v>
      </c>
      <c r="B1653" t="s">
        <v>305</v>
      </c>
      <c r="C1653">
        <v>0</v>
      </c>
      <c r="D1653">
        <v>1</v>
      </c>
      <c r="E1653" s="3">
        <v>38</v>
      </c>
    </row>
    <row r="1654" spans="1:5" x14ac:dyDescent="0.2">
      <c r="A1654">
        <v>1</v>
      </c>
      <c r="B1654" t="s">
        <v>54</v>
      </c>
      <c r="C1654">
        <v>1</v>
      </c>
      <c r="D1654">
        <v>17</v>
      </c>
      <c r="E1654" s="3">
        <v>38</v>
      </c>
    </row>
    <row r="1655" spans="1:5" x14ac:dyDescent="0.2">
      <c r="A1655">
        <v>2</v>
      </c>
      <c r="B1655" t="s">
        <v>48</v>
      </c>
      <c r="C1655">
        <v>5</v>
      </c>
      <c r="D1655">
        <v>13</v>
      </c>
      <c r="E1655" s="3">
        <v>38</v>
      </c>
    </row>
    <row r="1656" spans="1:5" x14ac:dyDescent="0.2">
      <c r="A1656">
        <v>3</v>
      </c>
      <c r="B1656" t="s">
        <v>60</v>
      </c>
      <c r="C1656">
        <v>0</v>
      </c>
      <c r="D1656">
        <v>9</v>
      </c>
      <c r="E1656" s="3">
        <v>38</v>
      </c>
    </row>
    <row r="1657" spans="1:5" x14ac:dyDescent="0.2">
      <c r="A1657">
        <v>4</v>
      </c>
      <c r="B1657" t="s">
        <v>35</v>
      </c>
      <c r="C1657">
        <v>0</v>
      </c>
      <c r="D1657">
        <v>5</v>
      </c>
      <c r="E1657" s="3">
        <v>38</v>
      </c>
    </row>
    <row r="1658" spans="1:5" x14ac:dyDescent="0.2">
      <c r="A1658">
        <v>5</v>
      </c>
      <c r="B1658" t="s">
        <v>61</v>
      </c>
      <c r="C1658">
        <v>0</v>
      </c>
      <c r="D1658">
        <v>3</v>
      </c>
      <c r="E1658" s="3">
        <v>38</v>
      </c>
    </row>
    <row r="1659" spans="1:5" x14ac:dyDescent="0.2">
      <c r="A1659">
        <v>6</v>
      </c>
      <c r="B1659" t="s">
        <v>76</v>
      </c>
      <c r="C1659">
        <v>0</v>
      </c>
      <c r="D1659">
        <v>2</v>
      </c>
      <c r="E1659" s="3">
        <v>38</v>
      </c>
    </row>
    <row r="1660" spans="1:5" x14ac:dyDescent="0.2">
      <c r="A1660">
        <v>7</v>
      </c>
      <c r="B1660" t="s">
        <v>25</v>
      </c>
      <c r="C1660">
        <v>0</v>
      </c>
      <c r="D1660">
        <v>1</v>
      </c>
      <c r="E1660" s="3">
        <v>38</v>
      </c>
    </row>
    <row r="1661" spans="1:5" x14ac:dyDescent="0.2">
      <c r="A1661">
        <v>1</v>
      </c>
      <c r="B1661" t="s">
        <v>102</v>
      </c>
      <c r="C1661">
        <v>3</v>
      </c>
      <c r="D1661">
        <v>17</v>
      </c>
      <c r="E1661" s="3">
        <v>38</v>
      </c>
    </row>
    <row r="1662" spans="1:5" x14ac:dyDescent="0.2">
      <c r="A1662">
        <v>2</v>
      </c>
      <c r="B1662" t="s">
        <v>69</v>
      </c>
      <c r="C1662">
        <v>1</v>
      </c>
      <c r="D1662">
        <v>13</v>
      </c>
      <c r="E1662" s="3">
        <v>38</v>
      </c>
    </row>
    <row r="1663" spans="1:5" x14ac:dyDescent="0.2">
      <c r="A1663">
        <v>3</v>
      </c>
      <c r="B1663" t="s">
        <v>46</v>
      </c>
      <c r="C1663">
        <v>1</v>
      </c>
      <c r="D1663">
        <v>9</v>
      </c>
      <c r="E1663" s="3">
        <v>38</v>
      </c>
    </row>
    <row r="1664" spans="1:5" x14ac:dyDescent="0.2">
      <c r="A1664">
        <v>4</v>
      </c>
      <c r="B1664" t="s">
        <v>45</v>
      </c>
      <c r="C1664">
        <v>0</v>
      </c>
      <c r="D1664">
        <v>5</v>
      </c>
      <c r="E1664" s="3">
        <v>38</v>
      </c>
    </row>
    <row r="1665" spans="1:5" x14ac:dyDescent="0.2">
      <c r="A1665">
        <v>5</v>
      </c>
      <c r="B1665" t="s">
        <v>73</v>
      </c>
      <c r="C1665">
        <v>1</v>
      </c>
      <c r="D1665">
        <v>3</v>
      </c>
      <c r="E1665" s="3">
        <v>38</v>
      </c>
    </row>
    <row r="1666" spans="1:5" x14ac:dyDescent="0.2">
      <c r="A1666">
        <v>6</v>
      </c>
      <c r="B1666" t="s">
        <v>59</v>
      </c>
      <c r="C1666">
        <v>0</v>
      </c>
      <c r="D1666">
        <v>2</v>
      </c>
      <c r="E1666" s="3">
        <v>38</v>
      </c>
    </row>
    <row r="1667" spans="1:5" x14ac:dyDescent="0.2">
      <c r="A1667">
        <v>7</v>
      </c>
      <c r="B1667" t="s">
        <v>40</v>
      </c>
      <c r="C1667">
        <v>0</v>
      </c>
      <c r="D1667">
        <v>1</v>
      </c>
      <c r="E1667" s="3">
        <v>38</v>
      </c>
    </row>
    <row r="1668" spans="1:5" x14ac:dyDescent="0.2">
      <c r="A1668">
        <v>1</v>
      </c>
      <c r="B1668" t="s">
        <v>19</v>
      </c>
      <c r="C1668">
        <v>2</v>
      </c>
      <c r="D1668">
        <v>17</v>
      </c>
      <c r="E1668" s="3">
        <v>38</v>
      </c>
    </row>
    <row r="1669" spans="1:5" x14ac:dyDescent="0.2">
      <c r="A1669">
        <v>2</v>
      </c>
      <c r="B1669" t="s">
        <v>42</v>
      </c>
      <c r="C1669">
        <v>2</v>
      </c>
      <c r="D1669">
        <v>13</v>
      </c>
      <c r="E1669" s="3">
        <v>38</v>
      </c>
    </row>
    <row r="1670" spans="1:5" x14ac:dyDescent="0.2">
      <c r="A1670">
        <v>3</v>
      </c>
      <c r="B1670" t="s">
        <v>21</v>
      </c>
      <c r="C1670">
        <v>1</v>
      </c>
      <c r="D1670">
        <v>9</v>
      </c>
      <c r="E1670" s="3">
        <v>38</v>
      </c>
    </row>
    <row r="1671" spans="1:5" x14ac:dyDescent="0.2">
      <c r="A1671">
        <v>4</v>
      </c>
      <c r="B1671" t="s">
        <v>32</v>
      </c>
      <c r="C1671">
        <v>1</v>
      </c>
      <c r="D1671">
        <v>5</v>
      </c>
      <c r="E1671" s="3">
        <v>38</v>
      </c>
    </row>
    <row r="1672" spans="1:5" x14ac:dyDescent="0.2">
      <c r="A1672">
        <v>5</v>
      </c>
      <c r="B1672" t="s">
        <v>92</v>
      </c>
      <c r="C1672">
        <v>0</v>
      </c>
      <c r="D1672">
        <v>3</v>
      </c>
      <c r="E1672" s="3">
        <v>38</v>
      </c>
    </row>
    <row r="1673" spans="1:5" x14ac:dyDescent="0.2">
      <c r="A1673">
        <v>6</v>
      </c>
      <c r="B1673" t="s">
        <v>55</v>
      </c>
      <c r="C1673">
        <v>0</v>
      </c>
      <c r="D1673">
        <v>2</v>
      </c>
      <c r="E1673" s="3">
        <v>38</v>
      </c>
    </row>
    <row r="1674" spans="1:5" x14ac:dyDescent="0.2">
      <c r="A1674">
        <v>7</v>
      </c>
      <c r="B1674" t="s">
        <v>26</v>
      </c>
      <c r="C1674">
        <v>0</v>
      </c>
      <c r="D1674">
        <v>1</v>
      </c>
      <c r="E1674" s="3">
        <v>38</v>
      </c>
    </row>
    <row r="1675" spans="1:5" x14ac:dyDescent="0.2">
      <c r="A1675">
        <v>1</v>
      </c>
      <c r="B1675" t="s">
        <v>345</v>
      </c>
      <c r="C1675">
        <v>1</v>
      </c>
      <c r="D1675">
        <v>15</v>
      </c>
      <c r="E1675" s="3">
        <v>39</v>
      </c>
    </row>
    <row r="1676" spans="1:5" x14ac:dyDescent="0.2">
      <c r="A1676">
        <v>2</v>
      </c>
      <c r="B1676" t="s">
        <v>35</v>
      </c>
      <c r="C1676">
        <v>1</v>
      </c>
      <c r="D1676">
        <v>11</v>
      </c>
      <c r="E1676" s="3">
        <v>39</v>
      </c>
    </row>
    <row r="1677" spans="1:5" x14ac:dyDescent="0.2">
      <c r="A1677">
        <v>3</v>
      </c>
      <c r="B1677" t="s">
        <v>25</v>
      </c>
      <c r="C1677">
        <v>1</v>
      </c>
      <c r="D1677">
        <v>7</v>
      </c>
      <c r="E1677" s="3">
        <v>39</v>
      </c>
    </row>
    <row r="1678" spans="1:5" x14ac:dyDescent="0.2">
      <c r="A1678">
        <v>4</v>
      </c>
      <c r="B1678" t="s">
        <v>66</v>
      </c>
      <c r="C1678">
        <v>1</v>
      </c>
      <c r="D1678">
        <v>3</v>
      </c>
      <c r="E1678" s="3">
        <v>39</v>
      </c>
    </row>
    <row r="1679" spans="1:5" x14ac:dyDescent="0.2">
      <c r="A1679">
        <v>5</v>
      </c>
      <c r="B1679" t="s">
        <v>102</v>
      </c>
      <c r="C1679">
        <v>0</v>
      </c>
      <c r="D1679">
        <v>1</v>
      </c>
      <c r="E1679" s="3">
        <v>39</v>
      </c>
    </row>
    <row r="1680" spans="1:5" x14ac:dyDescent="0.2">
      <c r="A1680">
        <v>1</v>
      </c>
      <c r="B1680" t="s">
        <v>73</v>
      </c>
      <c r="C1680">
        <v>3</v>
      </c>
      <c r="D1680">
        <v>16</v>
      </c>
      <c r="E1680" s="3">
        <v>39</v>
      </c>
    </row>
    <row r="1681" spans="1:5" x14ac:dyDescent="0.2">
      <c r="A1681">
        <v>2</v>
      </c>
      <c r="B1681" t="s">
        <v>377</v>
      </c>
      <c r="C1681">
        <v>0</v>
      </c>
      <c r="D1681">
        <v>12</v>
      </c>
      <c r="E1681" s="3">
        <v>39</v>
      </c>
    </row>
    <row r="1682" spans="1:5" x14ac:dyDescent="0.2">
      <c r="A1682">
        <v>3</v>
      </c>
      <c r="B1682" t="s">
        <v>32</v>
      </c>
      <c r="C1682">
        <v>0</v>
      </c>
      <c r="D1682">
        <v>8</v>
      </c>
      <c r="E1682" s="3">
        <v>39</v>
      </c>
    </row>
    <row r="1683" spans="1:5" x14ac:dyDescent="0.2">
      <c r="A1683">
        <v>4</v>
      </c>
      <c r="B1683" t="s">
        <v>40</v>
      </c>
      <c r="C1683">
        <v>2</v>
      </c>
      <c r="D1683">
        <v>4</v>
      </c>
      <c r="E1683" s="3">
        <v>39</v>
      </c>
    </row>
    <row r="1684" spans="1:5" x14ac:dyDescent="0.2">
      <c r="A1684">
        <v>5</v>
      </c>
      <c r="B1684" t="s">
        <v>23</v>
      </c>
      <c r="C1684">
        <v>0</v>
      </c>
      <c r="D1684">
        <v>2</v>
      </c>
      <c r="E1684" s="3">
        <v>39</v>
      </c>
    </row>
    <row r="1685" spans="1:5" x14ac:dyDescent="0.2">
      <c r="A1685">
        <v>6</v>
      </c>
      <c r="B1685" t="s">
        <v>81</v>
      </c>
      <c r="C1685">
        <v>0</v>
      </c>
      <c r="D1685">
        <v>1</v>
      </c>
      <c r="E1685" s="3">
        <v>39</v>
      </c>
    </row>
    <row r="1686" spans="1:5" x14ac:dyDescent="0.2">
      <c r="A1686">
        <v>1</v>
      </c>
      <c r="B1686" t="s">
        <v>61</v>
      </c>
      <c r="C1686">
        <v>3</v>
      </c>
      <c r="D1686">
        <v>15</v>
      </c>
      <c r="E1686" s="3">
        <v>39</v>
      </c>
    </row>
    <row r="1687" spans="1:5" x14ac:dyDescent="0.2">
      <c r="A1687">
        <v>2</v>
      </c>
      <c r="B1687" t="s">
        <v>33</v>
      </c>
      <c r="C1687">
        <v>0</v>
      </c>
      <c r="D1687">
        <v>11</v>
      </c>
      <c r="E1687" s="3">
        <v>39</v>
      </c>
    </row>
    <row r="1688" spans="1:5" x14ac:dyDescent="0.2">
      <c r="A1688">
        <v>3</v>
      </c>
      <c r="B1688" t="s">
        <v>6</v>
      </c>
      <c r="C1688">
        <v>1</v>
      </c>
      <c r="D1688">
        <v>7</v>
      </c>
      <c r="E1688" s="3">
        <v>39</v>
      </c>
    </row>
    <row r="1689" spans="1:5" x14ac:dyDescent="0.2">
      <c r="A1689">
        <v>4</v>
      </c>
      <c r="B1689" t="s">
        <v>69</v>
      </c>
      <c r="C1689">
        <v>0</v>
      </c>
      <c r="D1689">
        <v>3</v>
      </c>
      <c r="E1689" s="3">
        <v>39</v>
      </c>
    </row>
    <row r="1690" spans="1:5" x14ac:dyDescent="0.2">
      <c r="A1690">
        <v>5</v>
      </c>
      <c r="B1690" t="s">
        <v>12</v>
      </c>
      <c r="C1690">
        <v>0</v>
      </c>
      <c r="D1690">
        <v>1</v>
      </c>
      <c r="E1690" s="3">
        <v>39</v>
      </c>
    </row>
    <row r="1691" spans="1:5" x14ac:dyDescent="0.2">
      <c r="A1691">
        <v>1</v>
      </c>
      <c r="B1691" t="s">
        <v>98</v>
      </c>
      <c r="C1691">
        <v>3</v>
      </c>
      <c r="D1691">
        <v>16</v>
      </c>
      <c r="E1691" s="3">
        <v>39</v>
      </c>
    </row>
    <row r="1692" spans="1:5" x14ac:dyDescent="0.2">
      <c r="A1692">
        <v>2</v>
      </c>
      <c r="B1692" t="s">
        <v>55</v>
      </c>
      <c r="C1692">
        <v>1</v>
      </c>
      <c r="D1692">
        <v>12</v>
      </c>
      <c r="E1692" s="3">
        <v>39</v>
      </c>
    </row>
    <row r="1693" spans="1:5" x14ac:dyDescent="0.2">
      <c r="A1693">
        <v>3</v>
      </c>
      <c r="B1693" t="s">
        <v>46</v>
      </c>
      <c r="C1693">
        <v>1</v>
      </c>
      <c r="D1693">
        <v>8</v>
      </c>
      <c r="E1693" s="3">
        <v>39</v>
      </c>
    </row>
    <row r="1694" spans="1:5" x14ac:dyDescent="0.2">
      <c r="A1694">
        <v>4</v>
      </c>
      <c r="B1694" t="s">
        <v>52</v>
      </c>
      <c r="C1694">
        <v>0</v>
      </c>
      <c r="D1694">
        <v>4</v>
      </c>
      <c r="E1694" s="3">
        <v>39</v>
      </c>
    </row>
    <row r="1695" spans="1:5" x14ac:dyDescent="0.2">
      <c r="A1695">
        <v>5</v>
      </c>
      <c r="B1695" t="s">
        <v>60</v>
      </c>
      <c r="C1695">
        <v>0</v>
      </c>
      <c r="D1695">
        <v>2</v>
      </c>
      <c r="E1695" s="3">
        <v>39</v>
      </c>
    </row>
    <row r="1696" spans="1:5" x14ac:dyDescent="0.2">
      <c r="A1696">
        <v>6</v>
      </c>
      <c r="B1696" t="s">
        <v>28</v>
      </c>
      <c r="C1696">
        <v>0</v>
      </c>
      <c r="D1696">
        <v>1</v>
      </c>
      <c r="E1696" s="3">
        <v>39</v>
      </c>
    </row>
    <row r="1697" spans="1:5" x14ac:dyDescent="0.2">
      <c r="A1697">
        <v>1</v>
      </c>
      <c r="B1697" t="s">
        <v>92</v>
      </c>
      <c r="C1697">
        <v>4</v>
      </c>
      <c r="D1697">
        <v>16</v>
      </c>
      <c r="E1697" s="3">
        <v>39</v>
      </c>
    </row>
    <row r="1698" spans="1:5" x14ac:dyDescent="0.2">
      <c r="A1698">
        <v>2</v>
      </c>
      <c r="B1698" t="s">
        <v>101</v>
      </c>
      <c r="C1698">
        <v>0</v>
      </c>
      <c r="D1698">
        <v>12</v>
      </c>
      <c r="E1698" s="3">
        <v>39</v>
      </c>
    </row>
    <row r="1699" spans="1:5" x14ac:dyDescent="0.2">
      <c r="A1699">
        <v>3</v>
      </c>
      <c r="B1699" t="s">
        <v>26</v>
      </c>
      <c r="C1699">
        <v>0</v>
      </c>
      <c r="D1699">
        <v>8</v>
      </c>
      <c r="E1699" s="3">
        <v>39</v>
      </c>
    </row>
    <row r="1700" spans="1:5" x14ac:dyDescent="0.2">
      <c r="A1700">
        <v>4</v>
      </c>
      <c r="B1700" t="s">
        <v>21</v>
      </c>
      <c r="C1700">
        <v>0</v>
      </c>
      <c r="D1700">
        <v>4</v>
      </c>
      <c r="E1700" s="3">
        <v>39</v>
      </c>
    </row>
    <row r="1701" spans="1:5" x14ac:dyDescent="0.2">
      <c r="A1701">
        <v>5</v>
      </c>
      <c r="B1701" t="s">
        <v>76</v>
      </c>
      <c r="C1701">
        <v>0</v>
      </c>
      <c r="D1701">
        <v>2</v>
      </c>
      <c r="E1701" s="3">
        <v>39</v>
      </c>
    </row>
    <row r="1702" spans="1:5" x14ac:dyDescent="0.2">
      <c r="A1702">
        <v>6</v>
      </c>
      <c r="B1702" t="s">
        <v>42</v>
      </c>
      <c r="C1702">
        <v>0</v>
      </c>
      <c r="D1702">
        <v>1</v>
      </c>
      <c r="E1702" s="3">
        <v>39</v>
      </c>
    </row>
    <row r="1703" spans="1:5" x14ac:dyDescent="0.2">
      <c r="A1703">
        <v>1</v>
      </c>
      <c r="B1703" t="s">
        <v>45</v>
      </c>
      <c r="C1703">
        <v>1</v>
      </c>
      <c r="D1703">
        <v>16</v>
      </c>
      <c r="E1703" s="3">
        <v>39</v>
      </c>
    </row>
    <row r="1704" spans="1:5" x14ac:dyDescent="0.2">
      <c r="A1704">
        <v>2</v>
      </c>
      <c r="B1704" t="s">
        <v>48</v>
      </c>
      <c r="C1704">
        <v>4</v>
      </c>
      <c r="D1704">
        <v>12</v>
      </c>
      <c r="E1704" s="3">
        <v>39</v>
      </c>
    </row>
    <row r="1705" spans="1:5" x14ac:dyDescent="0.2">
      <c r="A1705">
        <v>3</v>
      </c>
      <c r="B1705" t="s">
        <v>75</v>
      </c>
      <c r="C1705">
        <v>0</v>
      </c>
      <c r="D1705">
        <v>8</v>
      </c>
      <c r="E1705" s="3">
        <v>39</v>
      </c>
    </row>
    <row r="1706" spans="1:5" x14ac:dyDescent="0.2">
      <c r="A1706">
        <v>4</v>
      </c>
      <c r="B1706" t="s">
        <v>59</v>
      </c>
      <c r="C1706">
        <v>0</v>
      </c>
      <c r="D1706">
        <v>4</v>
      </c>
      <c r="E1706" s="3">
        <v>39</v>
      </c>
    </row>
    <row r="1707" spans="1:5" x14ac:dyDescent="0.2">
      <c r="A1707">
        <v>5</v>
      </c>
      <c r="B1707" t="s">
        <v>19</v>
      </c>
      <c r="C1707">
        <v>0</v>
      </c>
      <c r="D1707">
        <v>2</v>
      </c>
      <c r="E1707" s="3">
        <v>39</v>
      </c>
    </row>
    <row r="1708" spans="1:5" x14ac:dyDescent="0.2">
      <c r="A1708">
        <v>6</v>
      </c>
      <c r="B1708" t="s">
        <v>14</v>
      </c>
      <c r="C1708">
        <v>0</v>
      </c>
      <c r="D1708">
        <v>1</v>
      </c>
      <c r="E1708" s="3">
        <v>39</v>
      </c>
    </row>
    <row r="1709" spans="1:5" x14ac:dyDescent="0.2">
      <c r="E1709" s="3">
        <v>39</v>
      </c>
    </row>
    <row r="1710" spans="1:5" x14ac:dyDescent="0.2">
      <c r="E1710" s="3">
        <v>39</v>
      </c>
    </row>
    <row r="1711" spans="1:5" x14ac:dyDescent="0.2">
      <c r="E1711" s="3">
        <v>39</v>
      </c>
    </row>
    <row r="1712" spans="1:5" x14ac:dyDescent="0.2">
      <c r="E1712" s="3">
        <v>39</v>
      </c>
    </row>
    <row r="1713" spans="5:5" x14ac:dyDescent="0.2">
      <c r="E1713" s="3">
        <v>39</v>
      </c>
    </row>
    <row r="1714" spans="5:5" x14ac:dyDescent="0.2">
      <c r="E1714" s="3">
        <v>39</v>
      </c>
    </row>
    <row r="1715" spans="5:5" x14ac:dyDescent="0.2">
      <c r="E1715" s="3">
        <v>39</v>
      </c>
    </row>
    <row r="1716" spans="5:5" x14ac:dyDescent="0.2">
      <c r="E1716" s="3">
        <v>39</v>
      </c>
    </row>
    <row r="1717" spans="5:5" x14ac:dyDescent="0.2">
      <c r="E1717" s="3">
        <v>39</v>
      </c>
    </row>
    <row r="1718" spans="5:5" x14ac:dyDescent="0.2">
      <c r="E1718" s="3">
        <v>39</v>
      </c>
    </row>
    <row r="1719" spans="5:5" x14ac:dyDescent="0.2">
      <c r="E1719" s="3">
        <v>39</v>
      </c>
    </row>
    <row r="1720" spans="5:5" x14ac:dyDescent="0.2">
      <c r="E1720" s="3">
        <v>39</v>
      </c>
    </row>
    <row r="1721" spans="5:5" x14ac:dyDescent="0.2">
      <c r="E1721" s="3">
        <v>39</v>
      </c>
    </row>
    <row r="1722" spans="5:5" x14ac:dyDescent="0.2">
      <c r="E1722" s="3">
        <v>39</v>
      </c>
    </row>
    <row r="1723" spans="5:5" x14ac:dyDescent="0.2">
      <c r="E1723" s="3">
        <v>39</v>
      </c>
    </row>
    <row r="1724" spans="5:5" x14ac:dyDescent="0.2">
      <c r="E1724" s="3">
        <v>39</v>
      </c>
    </row>
    <row r="1725" spans="5:5" x14ac:dyDescent="0.2">
      <c r="E1725" s="3">
        <v>39</v>
      </c>
    </row>
    <row r="1726" spans="5:5" x14ac:dyDescent="0.2">
      <c r="E1726" s="3">
        <v>39</v>
      </c>
    </row>
    <row r="1727" spans="5:5" x14ac:dyDescent="0.2">
      <c r="E1727" s="3">
        <v>39</v>
      </c>
    </row>
    <row r="1728" spans="5:5" x14ac:dyDescent="0.2">
      <c r="E1728" s="3">
        <v>39</v>
      </c>
    </row>
    <row r="1729" spans="5:5" x14ac:dyDescent="0.2">
      <c r="E1729" s="3">
        <v>39</v>
      </c>
    </row>
    <row r="1730" spans="5:5" x14ac:dyDescent="0.2">
      <c r="E1730" s="3">
        <v>39</v>
      </c>
    </row>
    <row r="1731" spans="5:5" x14ac:dyDescent="0.2">
      <c r="E1731" s="3">
        <v>39</v>
      </c>
    </row>
    <row r="1732" spans="5:5" x14ac:dyDescent="0.2">
      <c r="E1732" s="3">
        <v>39</v>
      </c>
    </row>
    <row r="1733" spans="5:5" x14ac:dyDescent="0.2">
      <c r="E1733" s="3">
        <v>39</v>
      </c>
    </row>
    <row r="1734" spans="5:5" x14ac:dyDescent="0.2">
      <c r="E1734" s="3">
        <v>39</v>
      </c>
    </row>
    <row r="1735" spans="5:5" x14ac:dyDescent="0.2">
      <c r="E1735" s="3">
        <v>39</v>
      </c>
    </row>
    <row r="1736" spans="5:5" x14ac:dyDescent="0.2">
      <c r="E1736" s="3">
        <v>39</v>
      </c>
    </row>
    <row r="1737" spans="5:5" x14ac:dyDescent="0.2">
      <c r="E1737" s="3">
        <v>39</v>
      </c>
    </row>
    <row r="1738" spans="5:5" x14ac:dyDescent="0.2">
      <c r="E1738" s="3">
        <v>39</v>
      </c>
    </row>
    <row r="1739" spans="5:5" x14ac:dyDescent="0.2">
      <c r="E1739" s="3">
        <v>39</v>
      </c>
    </row>
    <row r="1740" spans="5:5" x14ac:dyDescent="0.2">
      <c r="E1740" s="3">
        <v>39</v>
      </c>
    </row>
    <row r="1741" spans="5:5" x14ac:dyDescent="0.2">
      <c r="E1741" s="3">
        <v>39</v>
      </c>
    </row>
    <row r="1742" spans="5:5" x14ac:dyDescent="0.2">
      <c r="E1742" s="3">
        <v>39</v>
      </c>
    </row>
    <row r="1743" spans="5:5" x14ac:dyDescent="0.2">
      <c r="E1743" s="3">
        <v>39</v>
      </c>
    </row>
    <row r="1744" spans="5:5" x14ac:dyDescent="0.2">
      <c r="E1744" s="3">
        <v>39</v>
      </c>
    </row>
    <row r="1745" spans="5:5" x14ac:dyDescent="0.2">
      <c r="E1745" s="3">
        <v>39</v>
      </c>
    </row>
    <row r="1746" spans="5:5" x14ac:dyDescent="0.2">
      <c r="E1746" s="3">
        <v>39</v>
      </c>
    </row>
    <row r="1747" spans="5:5" x14ac:dyDescent="0.2">
      <c r="E1747" s="3">
        <v>39</v>
      </c>
    </row>
    <row r="1748" spans="5:5" x14ac:dyDescent="0.2">
      <c r="E1748" s="3">
        <v>39</v>
      </c>
    </row>
    <row r="1749" spans="5:5" x14ac:dyDescent="0.2">
      <c r="E1749" s="3">
        <v>39</v>
      </c>
    </row>
    <row r="1750" spans="5:5" x14ac:dyDescent="0.2">
      <c r="E1750" s="3">
        <v>39</v>
      </c>
    </row>
    <row r="1751" spans="5:5" x14ac:dyDescent="0.2">
      <c r="E1751" s="3">
        <v>39</v>
      </c>
    </row>
    <row r="1752" spans="5:5" x14ac:dyDescent="0.2">
      <c r="E1752" s="3">
        <v>39</v>
      </c>
    </row>
    <row r="1753" spans="5:5" x14ac:dyDescent="0.2">
      <c r="E1753" s="3">
        <v>39</v>
      </c>
    </row>
    <row r="1754" spans="5:5" x14ac:dyDescent="0.2">
      <c r="E1754" s="3">
        <v>39</v>
      </c>
    </row>
    <row r="1755" spans="5:5" x14ac:dyDescent="0.2">
      <c r="E1755" s="3">
        <v>39</v>
      </c>
    </row>
    <row r="1756" spans="5:5" x14ac:dyDescent="0.2">
      <c r="E1756" s="3">
        <v>39</v>
      </c>
    </row>
    <row r="1757" spans="5:5" x14ac:dyDescent="0.2">
      <c r="E1757" s="3">
        <v>39</v>
      </c>
    </row>
    <row r="1758" spans="5:5" x14ac:dyDescent="0.2">
      <c r="E1758" s="3">
        <v>39</v>
      </c>
    </row>
    <row r="1759" spans="5:5" x14ac:dyDescent="0.2">
      <c r="E1759" s="3">
        <v>39</v>
      </c>
    </row>
    <row r="1760" spans="5:5" x14ac:dyDescent="0.2">
      <c r="E1760" s="3">
        <v>39</v>
      </c>
    </row>
    <row r="1761" spans="5:5" x14ac:dyDescent="0.2">
      <c r="E1761" s="3">
        <v>39</v>
      </c>
    </row>
    <row r="1762" spans="5:5" x14ac:dyDescent="0.2">
      <c r="E1762" s="3">
        <v>39</v>
      </c>
    </row>
    <row r="1763" spans="5:5" x14ac:dyDescent="0.2">
      <c r="E1763" s="3">
        <v>39</v>
      </c>
    </row>
    <row r="1764" spans="5:5" x14ac:dyDescent="0.2">
      <c r="E1764" s="3">
        <v>39</v>
      </c>
    </row>
    <row r="1765" spans="5:5" x14ac:dyDescent="0.2">
      <c r="E1765" s="3">
        <v>39</v>
      </c>
    </row>
    <row r="1766" spans="5:5" x14ac:dyDescent="0.2">
      <c r="E1766" s="3">
        <v>39</v>
      </c>
    </row>
    <row r="1767" spans="5:5" x14ac:dyDescent="0.2">
      <c r="E1767" s="3">
        <v>39</v>
      </c>
    </row>
    <row r="1768" spans="5:5" x14ac:dyDescent="0.2">
      <c r="E1768" s="3">
        <v>39</v>
      </c>
    </row>
    <row r="1769" spans="5:5" x14ac:dyDescent="0.2">
      <c r="E1769" s="3">
        <v>39</v>
      </c>
    </row>
    <row r="1770" spans="5:5" x14ac:dyDescent="0.2">
      <c r="E1770" s="3">
        <v>39</v>
      </c>
    </row>
    <row r="1771" spans="5:5" x14ac:dyDescent="0.2">
      <c r="E1771" s="3">
        <v>39</v>
      </c>
    </row>
    <row r="1772" spans="5:5" x14ac:dyDescent="0.2">
      <c r="E1772" s="3">
        <v>39</v>
      </c>
    </row>
    <row r="1773" spans="5:5" x14ac:dyDescent="0.2">
      <c r="E1773" s="3">
        <v>39</v>
      </c>
    </row>
    <row r="1774" spans="5:5" x14ac:dyDescent="0.2">
      <c r="E1774" s="3">
        <v>39</v>
      </c>
    </row>
    <row r="1775" spans="5:5" x14ac:dyDescent="0.2">
      <c r="E1775" s="3">
        <v>39</v>
      </c>
    </row>
    <row r="1776" spans="5:5" x14ac:dyDescent="0.2">
      <c r="E1776" s="3">
        <v>39</v>
      </c>
    </row>
    <row r="1777" spans="5:5" x14ac:dyDescent="0.2">
      <c r="E1777" s="3">
        <v>39</v>
      </c>
    </row>
    <row r="1778" spans="5:5" x14ac:dyDescent="0.2">
      <c r="E1778" s="3">
        <v>39</v>
      </c>
    </row>
    <row r="1779" spans="5:5" x14ac:dyDescent="0.2">
      <c r="E1779" s="3">
        <v>39</v>
      </c>
    </row>
    <row r="1780" spans="5:5" x14ac:dyDescent="0.2">
      <c r="E1780" s="3">
        <v>39</v>
      </c>
    </row>
    <row r="1781" spans="5:5" x14ac:dyDescent="0.2">
      <c r="E1781" s="3">
        <v>39</v>
      </c>
    </row>
    <row r="1782" spans="5:5" x14ac:dyDescent="0.2">
      <c r="E1782" s="3">
        <v>39</v>
      </c>
    </row>
    <row r="1783" spans="5:5" x14ac:dyDescent="0.2">
      <c r="E1783" s="3">
        <v>39</v>
      </c>
    </row>
    <row r="1784" spans="5:5" x14ac:dyDescent="0.2">
      <c r="E1784" s="3">
        <v>39</v>
      </c>
    </row>
    <row r="1785" spans="5:5" x14ac:dyDescent="0.2">
      <c r="E1785" s="3">
        <v>39</v>
      </c>
    </row>
    <row r="1786" spans="5:5" x14ac:dyDescent="0.2">
      <c r="E1786" s="3">
        <v>39</v>
      </c>
    </row>
    <row r="1787" spans="5:5" x14ac:dyDescent="0.2">
      <c r="E1787" s="3">
        <v>39</v>
      </c>
    </row>
    <row r="1788" spans="5:5" x14ac:dyDescent="0.2">
      <c r="E1788" s="3">
        <v>39</v>
      </c>
    </row>
    <row r="1789" spans="5:5" x14ac:dyDescent="0.2">
      <c r="E1789" s="3">
        <v>39</v>
      </c>
    </row>
    <row r="1790" spans="5:5" x14ac:dyDescent="0.2">
      <c r="E1790" s="3">
        <v>39</v>
      </c>
    </row>
    <row r="1791" spans="5:5" x14ac:dyDescent="0.2">
      <c r="E1791" s="3">
        <v>39</v>
      </c>
    </row>
    <row r="1792" spans="5:5" x14ac:dyDescent="0.2">
      <c r="E1792" s="3">
        <v>39</v>
      </c>
    </row>
    <row r="1793" spans="5:5" x14ac:dyDescent="0.2">
      <c r="E1793" s="3">
        <v>39</v>
      </c>
    </row>
    <row r="1794" spans="5:5" x14ac:dyDescent="0.2">
      <c r="E1794" s="3">
        <v>39</v>
      </c>
    </row>
    <row r="1795" spans="5:5" x14ac:dyDescent="0.2">
      <c r="E1795" s="3">
        <v>39</v>
      </c>
    </row>
    <row r="1796" spans="5:5" x14ac:dyDescent="0.2">
      <c r="E1796" s="3">
        <v>39</v>
      </c>
    </row>
    <row r="1797" spans="5:5" x14ac:dyDescent="0.2">
      <c r="E1797" s="3">
        <v>39</v>
      </c>
    </row>
    <row r="1798" spans="5:5" x14ac:dyDescent="0.2">
      <c r="E1798" s="3">
        <v>39</v>
      </c>
    </row>
    <row r="1799" spans="5:5" x14ac:dyDescent="0.2">
      <c r="E1799" s="3">
        <v>39</v>
      </c>
    </row>
    <row r="1800" spans="5:5" x14ac:dyDescent="0.2">
      <c r="E1800" s="3">
        <v>39</v>
      </c>
    </row>
    <row r="1801" spans="5:5" x14ac:dyDescent="0.2">
      <c r="E1801" s="3">
        <v>39</v>
      </c>
    </row>
    <row r="1802" spans="5:5" x14ac:dyDescent="0.2">
      <c r="E1802" s="3">
        <v>39</v>
      </c>
    </row>
    <row r="1803" spans="5:5" x14ac:dyDescent="0.2">
      <c r="E1803" s="3">
        <v>39</v>
      </c>
    </row>
    <row r="1804" spans="5:5" x14ac:dyDescent="0.2">
      <c r="E1804" s="3">
        <v>39</v>
      </c>
    </row>
    <row r="1805" spans="5:5" x14ac:dyDescent="0.2">
      <c r="E1805" s="3">
        <v>39</v>
      </c>
    </row>
    <row r="1806" spans="5:5" x14ac:dyDescent="0.2">
      <c r="E1806" s="3">
        <v>39</v>
      </c>
    </row>
    <row r="1807" spans="5:5" x14ac:dyDescent="0.2">
      <c r="E1807" s="3">
        <v>39</v>
      </c>
    </row>
    <row r="1808" spans="5:5" x14ac:dyDescent="0.2">
      <c r="E1808" s="3">
        <v>39</v>
      </c>
    </row>
    <row r="1809" spans="5:5" x14ac:dyDescent="0.2">
      <c r="E1809" s="3">
        <v>39</v>
      </c>
    </row>
    <row r="1810" spans="5:5" x14ac:dyDescent="0.2">
      <c r="E1810" s="3">
        <v>39</v>
      </c>
    </row>
    <row r="1811" spans="5:5" x14ac:dyDescent="0.2">
      <c r="E1811" s="3">
        <v>39</v>
      </c>
    </row>
    <row r="1812" spans="5:5" x14ac:dyDescent="0.2">
      <c r="E1812" s="3">
        <v>39</v>
      </c>
    </row>
    <row r="1813" spans="5:5" x14ac:dyDescent="0.2">
      <c r="E1813" s="3">
        <v>39</v>
      </c>
    </row>
    <row r="1814" spans="5:5" x14ac:dyDescent="0.2">
      <c r="E1814" s="3">
        <v>39</v>
      </c>
    </row>
    <row r="1815" spans="5:5" x14ac:dyDescent="0.2">
      <c r="E1815" s="3">
        <v>39</v>
      </c>
    </row>
    <row r="1816" spans="5:5" x14ac:dyDescent="0.2">
      <c r="E1816" s="3">
        <v>39</v>
      </c>
    </row>
    <row r="1817" spans="5:5" x14ac:dyDescent="0.2">
      <c r="E1817" s="3">
        <v>39</v>
      </c>
    </row>
    <row r="1818" spans="5:5" x14ac:dyDescent="0.2">
      <c r="E1818" s="3">
        <v>39</v>
      </c>
    </row>
    <row r="1819" spans="5:5" x14ac:dyDescent="0.2">
      <c r="E1819" s="3">
        <v>39</v>
      </c>
    </row>
    <row r="1820" spans="5:5" x14ac:dyDescent="0.2">
      <c r="E1820" s="3">
        <v>39</v>
      </c>
    </row>
    <row r="1821" spans="5:5" x14ac:dyDescent="0.2">
      <c r="E1821" s="3">
        <v>39</v>
      </c>
    </row>
    <row r="1822" spans="5:5" x14ac:dyDescent="0.2">
      <c r="E1822" s="3">
        <v>39</v>
      </c>
    </row>
    <row r="1823" spans="5:5" x14ac:dyDescent="0.2">
      <c r="E1823" s="3">
        <v>39</v>
      </c>
    </row>
    <row r="1824" spans="5:5" x14ac:dyDescent="0.2">
      <c r="E1824" s="3">
        <v>39</v>
      </c>
    </row>
    <row r="1825" spans="5:5" x14ac:dyDescent="0.2">
      <c r="E1825" s="3">
        <v>39</v>
      </c>
    </row>
    <row r="1826" spans="5:5" x14ac:dyDescent="0.2">
      <c r="E1826" s="3">
        <v>39</v>
      </c>
    </row>
    <row r="1827" spans="5:5" x14ac:dyDescent="0.2">
      <c r="E1827" s="3">
        <v>39</v>
      </c>
    </row>
    <row r="1828" spans="5:5" x14ac:dyDescent="0.2">
      <c r="E1828" s="3">
        <v>39</v>
      </c>
    </row>
    <row r="1829" spans="5:5" x14ac:dyDescent="0.2">
      <c r="E1829" s="3">
        <v>39</v>
      </c>
    </row>
    <row r="1830" spans="5:5" x14ac:dyDescent="0.2">
      <c r="E1830" s="3">
        <v>39</v>
      </c>
    </row>
    <row r="1831" spans="5:5" x14ac:dyDescent="0.2">
      <c r="E1831" s="3">
        <v>39</v>
      </c>
    </row>
    <row r="1832" spans="5:5" x14ac:dyDescent="0.2">
      <c r="E1832" s="3">
        <v>39</v>
      </c>
    </row>
    <row r="1833" spans="5:5" x14ac:dyDescent="0.2">
      <c r="E1833" s="3">
        <v>39</v>
      </c>
    </row>
    <row r="1834" spans="5:5" x14ac:dyDescent="0.2">
      <c r="E1834" s="3">
        <v>39</v>
      </c>
    </row>
    <row r="1835" spans="5:5" x14ac:dyDescent="0.2">
      <c r="E1835" s="3">
        <v>39</v>
      </c>
    </row>
    <row r="1836" spans="5:5" x14ac:dyDescent="0.2">
      <c r="E1836" s="3">
        <v>39</v>
      </c>
    </row>
    <row r="1837" spans="5:5" x14ac:dyDescent="0.2">
      <c r="E1837" s="3">
        <v>39</v>
      </c>
    </row>
    <row r="1838" spans="5:5" x14ac:dyDescent="0.2">
      <c r="E1838" s="3">
        <v>39</v>
      </c>
    </row>
    <row r="1839" spans="5:5" x14ac:dyDescent="0.2">
      <c r="E1839" s="3">
        <v>39</v>
      </c>
    </row>
    <row r="1840" spans="5:5" x14ac:dyDescent="0.2">
      <c r="E1840" s="3">
        <v>39</v>
      </c>
    </row>
    <row r="1841" spans="5:5" x14ac:dyDescent="0.2">
      <c r="E1841" s="3">
        <v>39</v>
      </c>
    </row>
    <row r="1842" spans="5:5" x14ac:dyDescent="0.2">
      <c r="E1842" s="3">
        <v>39</v>
      </c>
    </row>
    <row r="1843" spans="5:5" x14ac:dyDescent="0.2">
      <c r="E1843" s="3">
        <v>39</v>
      </c>
    </row>
    <row r="1844" spans="5:5" x14ac:dyDescent="0.2">
      <c r="E1844" s="3">
        <v>39</v>
      </c>
    </row>
    <row r="1845" spans="5:5" x14ac:dyDescent="0.2">
      <c r="E1845" s="3">
        <v>39</v>
      </c>
    </row>
    <row r="1846" spans="5:5" x14ac:dyDescent="0.2">
      <c r="E1846" s="3">
        <v>39</v>
      </c>
    </row>
    <row r="1847" spans="5:5" x14ac:dyDescent="0.2">
      <c r="E1847" s="3">
        <v>39</v>
      </c>
    </row>
    <row r="1848" spans="5:5" x14ac:dyDescent="0.2">
      <c r="E1848" s="3">
        <v>39</v>
      </c>
    </row>
    <row r="1849" spans="5:5" x14ac:dyDescent="0.2">
      <c r="E1849" s="3">
        <v>39</v>
      </c>
    </row>
    <row r="1850" spans="5:5" x14ac:dyDescent="0.2">
      <c r="E1850" s="3">
        <v>39</v>
      </c>
    </row>
    <row r="1851" spans="5:5" x14ac:dyDescent="0.2">
      <c r="E1851" s="3">
        <v>39</v>
      </c>
    </row>
    <row r="1852" spans="5:5" x14ac:dyDescent="0.2">
      <c r="E1852" s="3">
        <v>39</v>
      </c>
    </row>
    <row r="1853" spans="5:5" x14ac:dyDescent="0.2">
      <c r="E1853" s="3">
        <v>39</v>
      </c>
    </row>
    <row r="1854" spans="5:5" x14ac:dyDescent="0.2">
      <c r="E1854" s="3">
        <v>39</v>
      </c>
    </row>
    <row r="1855" spans="5:5" x14ac:dyDescent="0.2">
      <c r="E1855" s="3">
        <v>39</v>
      </c>
    </row>
    <row r="1856" spans="5:5" x14ac:dyDescent="0.2">
      <c r="E1856" s="3">
        <v>39</v>
      </c>
    </row>
    <row r="1857" spans="5:5" x14ac:dyDescent="0.2">
      <c r="E1857" s="3">
        <v>39</v>
      </c>
    </row>
    <row r="1858" spans="5:5" x14ac:dyDescent="0.2">
      <c r="E1858" s="3">
        <v>39</v>
      </c>
    </row>
    <row r="1859" spans="5:5" x14ac:dyDescent="0.2">
      <c r="E1859" s="3">
        <v>39</v>
      </c>
    </row>
    <row r="1860" spans="5:5" x14ac:dyDescent="0.2">
      <c r="E1860" s="3">
        <v>39</v>
      </c>
    </row>
    <row r="1861" spans="5:5" x14ac:dyDescent="0.2">
      <c r="E1861" s="3">
        <v>39</v>
      </c>
    </row>
    <row r="1862" spans="5:5" x14ac:dyDescent="0.2">
      <c r="E1862" s="3">
        <v>39</v>
      </c>
    </row>
    <row r="1863" spans="5:5" x14ac:dyDescent="0.2">
      <c r="E1863" s="3">
        <v>39</v>
      </c>
    </row>
    <row r="1864" spans="5:5" x14ac:dyDescent="0.2">
      <c r="E1864" s="3">
        <v>39</v>
      </c>
    </row>
    <row r="1865" spans="5:5" x14ac:dyDescent="0.2">
      <c r="E1865" s="3">
        <v>39</v>
      </c>
    </row>
    <row r="1866" spans="5:5" x14ac:dyDescent="0.2">
      <c r="E1866" s="3">
        <v>39</v>
      </c>
    </row>
    <row r="1867" spans="5:5" x14ac:dyDescent="0.2">
      <c r="E1867" s="3">
        <v>39</v>
      </c>
    </row>
    <row r="1868" spans="5:5" x14ac:dyDescent="0.2">
      <c r="E1868" s="3">
        <v>39</v>
      </c>
    </row>
    <row r="1869" spans="5:5" x14ac:dyDescent="0.2">
      <c r="E1869" s="3">
        <v>39</v>
      </c>
    </row>
    <row r="1870" spans="5:5" x14ac:dyDescent="0.2">
      <c r="E1870" s="3">
        <v>39</v>
      </c>
    </row>
    <row r="1871" spans="5:5" x14ac:dyDescent="0.2">
      <c r="E1871" s="3">
        <v>39</v>
      </c>
    </row>
    <row r="1872" spans="5:5" x14ac:dyDescent="0.2">
      <c r="E1872" s="3">
        <v>39</v>
      </c>
    </row>
    <row r="1873" spans="5:5" x14ac:dyDescent="0.2">
      <c r="E1873" s="3">
        <v>39</v>
      </c>
    </row>
    <row r="1874" spans="5:5" x14ac:dyDescent="0.2">
      <c r="E1874" s="3">
        <v>39</v>
      </c>
    </row>
    <row r="1875" spans="5:5" x14ac:dyDescent="0.2">
      <c r="E1875" s="3">
        <v>39</v>
      </c>
    </row>
    <row r="1876" spans="5:5" x14ac:dyDescent="0.2">
      <c r="E1876" s="3">
        <v>39</v>
      </c>
    </row>
    <row r="1877" spans="5:5" x14ac:dyDescent="0.2">
      <c r="E1877" s="3">
        <v>39</v>
      </c>
    </row>
    <row r="1878" spans="5:5" x14ac:dyDescent="0.2">
      <c r="E1878" s="3">
        <v>39</v>
      </c>
    </row>
    <row r="1879" spans="5:5" x14ac:dyDescent="0.2">
      <c r="E1879" s="3">
        <v>39</v>
      </c>
    </row>
    <row r="1880" spans="5:5" x14ac:dyDescent="0.2">
      <c r="E1880" s="3">
        <v>39</v>
      </c>
    </row>
    <row r="1881" spans="5:5" x14ac:dyDescent="0.2">
      <c r="E1881" s="3">
        <v>39</v>
      </c>
    </row>
    <row r="1882" spans="5:5" x14ac:dyDescent="0.2">
      <c r="E1882" s="3">
        <v>39</v>
      </c>
    </row>
    <row r="1883" spans="5:5" x14ac:dyDescent="0.2">
      <c r="E1883" s="3">
        <v>39</v>
      </c>
    </row>
    <row r="1884" spans="5:5" x14ac:dyDescent="0.2">
      <c r="E1884" s="3">
        <v>39</v>
      </c>
    </row>
    <row r="1885" spans="5:5" x14ac:dyDescent="0.2">
      <c r="E1885" s="3">
        <v>39</v>
      </c>
    </row>
    <row r="1886" spans="5:5" x14ac:dyDescent="0.2">
      <c r="E1886" s="3">
        <v>39</v>
      </c>
    </row>
    <row r="1887" spans="5:5" x14ac:dyDescent="0.2">
      <c r="E1887" s="3">
        <v>39</v>
      </c>
    </row>
    <row r="1888" spans="5:5" x14ac:dyDescent="0.2">
      <c r="E1888" s="3">
        <v>39</v>
      </c>
    </row>
    <row r="1889" spans="5:5" x14ac:dyDescent="0.2">
      <c r="E1889" s="3">
        <v>39</v>
      </c>
    </row>
    <row r="1890" spans="5:5" x14ac:dyDescent="0.2">
      <c r="E1890" s="3">
        <v>39</v>
      </c>
    </row>
    <row r="1891" spans="5:5" x14ac:dyDescent="0.2">
      <c r="E1891" s="3">
        <v>39</v>
      </c>
    </row>
    <row r="1892" spans="5:5" x14ac:dyDescent="0.2">
      <c r="E1892" s="3">
        <v>39</v>
      </c>
    </row>
    <row r="1893" spans="5:5" x14ac:dyDescent="0.2">
      <c r="E1893" s="3">
        <v>39</v>
      </c>
    </row>
    <row r="1894" spans="5:5" x14ac:dyDescent="0.2">
      <c r="E1894" s="3">
        <v>39</v>
      </c>
    </row>
    <row r="1895" spans="5:5" x14ac:dyDescent="0.2">
      <c r="E1895" s="3">
        <v>39</v>
      </c>
    </row>
    <row r="1896" spans="5:5" x14ac:dyDescent="0.2">
      <c r="E1896" s="3">
        <v>39</v>
      </c>
    </row>
    <row r="1897" spans="5:5" x14ac:dyDescent="0.2">
      <c r="E1897" s="3">
        <v>39</v>
      </c>
    </row>
    <row r="1898" spans="5:5" x14ac:dyDescent="0.2">
      <c r="E1898" s="3">
        <v>39</v>
      </c>
    </row>
    <row r="1899" spans="5:5" x14ac:dyDescent="0.2">
      <c r="E1899" s="3">
        <v>39</v>
      </c>
    </row>
    <row r="1900" spans="5:5" x14ac:dyDescent="0.2">
      <c r="E1900" s="3">
        <v>39</v>
      </c>
    </row>
    <row r="1901" spans="5:5" x14ac:dyDescent="0.2">
      <c r="E1901" s="3">
        <v>39</v>
      </c>
    </row>
    <row r="1902" spans="5:5" x14ac:dyDescent="0.2">
      <c r="E1902" s="3">
        <v>39</v>
      </c>
    </row>
    <row r="1903" spans="5:5" x14ac:dyDescent="0.2">
      <c r="E1903" s="3">
        <v>39</v>
      </c>
    </row>
    <row r="1904" spans="5:5" x14ac:dyDescent="0.2">
      <c r="E1904" s="3">
        <v>39</v>
      </c>
    </row>
    <row r="1905" spans="5:5" x14ac:dyDescent="0.2">
      <c r="E1905" s="3">
        <v>39</v>
      </c>
    </row>
    <row r="1906" spans="5:5" x14ac:dyDescent="0.2">
      <c r="E1906" s="3">
        <v>39</v>
      </c>
    </row>
    <row r="1907" spans="5:5" x14ac:dyDescent="0.2">
      <c r="E1907" s="3">
        <v>39</v>
      </c>
    </row>
    <row r="1908" spans="5:5" x14ac:dyDescent="0.2">
      <c r="E1908" s="3">
        <v>39</v>
      </c>
    </row>
    <row r="1909" spans="5:5" x14ac:dyDescent="0.2">
      <c r="E1909" s="3">
        <v>39</v>
      </c>
    </row>
    <row r="1910" spans="5:5" x14ac:dyDescent="0.2">
      <c r="E1910" s="3">
        <v>39</v>
      </c>
    </row>
    <row r="1911" spans="5:5" x14ac:dyDescent="0.2">
      <c r="E1911" s="3">
        <v>39</v>
      </c>
    </row>
    <row r="1912" spans="5:5" x14ac:dyDescent="0.2">
      <c r="E1912" s="3">
        <v>39</v>
      </c>
    </row>
    <row r="1913" spans="5:5" x14ac:dyDescent="0.2">
      <c r="E1913" s="3">
        <v>39</v>
      </c>
    </row>
    <row r="1914" spans="5:5" x14ac:dyDescent="0.2">
      <c r="E1914" s="3">
        <v>39</v>
      </c>
    </row>
    <row r="1915" spans="5:5" x14ac:dyDescent="0.2">
      <c r="E1915" s="3">
        <v>39</v>
      </c>
    </row>
    <row r="1916" spans="5:5" x14ac:dyDescent="0.2">
      <c r="E1916" s="3">
        <v>39</v>
      </c>
    </row>
    <row r="1917" spans="5:5" x14ac:dyDescent="0.2">
      <c r="E1917" s="3">
        <v>39</v>
      </c>
    </row>
    <row r="1918" spans="5:5" x14ac:dyDescent="0.2">
      <c r="E1918" s="3">
        <v>39</v>
      </c>
    </row>
    <row r="1919" spans="5:5" x14ac:dyDescent="0.2">
      <c r="E1919" s="3">
        <v>39</v>
      </c>
    </row>
    <row r="1920" spans="5:5" x14ac:dyDescent="0.2">
      <c r="E1920" s="3">
        <v>39</v>
      </c>
    </row>
    <row r="1921" spans="5:5" x14ac:dyDescent="0.2">
      <c r="E1921" s="3">
        <v>39</v>
      </c>
    </row>
    <row r="1922" spans="5:5" x14ac:dyDescent="0.2">
      <c r="E1922" s="3">
        <v>39</v>
      </c>
    </row>
    <row r="1923" spans="5:5" x14ac:dyDescent="0.2">
      <c r="E1923" s="3">
        <v>39</v>
      </c>
    </row>
    <row r="1924" spans="5:5" x14ac:dyDescent="0.2">
      <c r="E1924" s="3">
        <v>39</v>
      </c>
    </row>
    <row r="1925" spans="5:5" x14ac:dyDescent="0.2">
      <c r="E1925" s="3">
        <v>39</v>
      </c>
    </row>
    <row r="1926" spans="5:5" x14ac:dyDescent="0.2">
      <c r="E1926" s="3">
        <v>39</v>
      </c>
    </row>
    <row r="1927" spans="5:5" x14ac:dyDescent="0.2">
      <c r="E1927" s="3">
        <v>39</v>
      </c>
    </row>
    <row r="1928" spans="5:5" x14ac:dyDescent="0.2">
      <c r="E1928" s="3">
        <v>39</v>
      </c>
    </row>
    <row r="1929" spans="5:5" x14ac:dyDescent="0.2">
      <c r="E1929" s="3">
        <v>39</v>
      </c>
    </row>
    <row r="1930" spans="5:5" x14ac:dyDescent="0.2">
      <c r="E1930" s="3">
        <v>39</v>
      </c>
    </row>
    <row r="1931" spans="5:5" x14ac:dyDescent="0.2">
      <c r="E1931" s="3">
        <v>39</v>
      </c>
    </row>
    <row r="1932" spans="5:5" x14ac:dyDescent="0.2">
      <c r="E1932" s="3">
        <v>39</v>
      </c>
    </row>
    <row r="1933" spans="5:5" x14ac:dyDescent="0.2">
      <c r="E1933" s="3">
        <v>39</v>
      </c>
    </row>
    <row r="1934" spans="5:5" x14ac:dyDescent="0.2">
      <c r="E1934" s="3">
        <v>39</v>
      </c>
    </row>
    <row r="1935" spans="5:5" x14ac:dyDescent="0.2">
      <c r="E1935" s="3">
        <v>39</v>
      </c>
    </row>
    <row r="1936" spans="5:5" x14ac:dyDescent="0.2">
      <c r="E1936" s="3">
        <v>39</v>
      </c>
    </row>
    <row r="1937" spans="5:5" x14ac:dyDescent="0.2">
      <c r="E1937" s="3">
        <v>39</v>
      </c>
    </row>
    <row r="1938" spans="5:5" x14ac:dyDescent="0.2">
      <c r="E1938" s="3">
        <v>39</v>
      </c>
    </row>
    <row r="1939" spans="5:5" x14ac:dyDescent="0.2">
      <c r="E1939" s="3">
        <v>39</v>
      </c>
    </row>
    <row r="1940" spans="5:5" x14ac:dyDescent="0.2">
      <c r="E1940" s="3">
        <v>39</v>
      </c>
    </row>
    <row r="1941" spans="5:5" x14ac:dyDescent="0.2">
      <c r="E1941" s="3">
        <v>39</v>
      </c>
    </row>
    <row r="1942" spans="5:5" x14ac:dyDescent="0.2">
      <c r="E1942" s="3">
        <v>39</v>
      </c>
    </row>
    <row r="1943" spans="5:5" x14ac:dyDescent="0.2">
      <c r="E1943" s="3">
        <v>39</v>
      </c>
    </row>
    <row r="1944" spans="5:5" x14ac:dyDescent="0.2">
      <c r="E1944" s="3">
        <v>39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15AC2-8908-AF49-A504-10C2A574863A}">
  <dimension ref="F1:Z102"/>
  <sheetViews>
    <sheetView topLeftCell="I1" zoomScale="85" zoomScaleNormal="85" workbookViewId="0">
      <selection activeCell="J1" sqref="J1"/>
    </sheetView>
  </sheetViews>
  <sheetFormatPr baseColWidth="10" defaultRowHeight="16" x14ac:dyDescent="0.2"/>
  <sheetData>
    <row r="1" spans="6:26" x14ac:dyDescent="0.2">
      <c r="F1" t="s">
        <v>448</v>
      </c>
      <c r="S1" t="s">
        <v>418</v>
      </c>
    </row>
    <row r="2" spans="6:26" x14ac:dyDescent="0.2">
      <c r="F2">
        <f>COUNTIF('For stats end Y points'!B2:AN2,"&lt;&gt;0")</f>
        <v>31</v>
      </c>
      <c r="I2">
        <v>1</v>
      </c>
      <c r="J2">
        <f t="shared" ref="J2:J40" si="0">COUNTIF($F$2:$F$102,I2)</f>
        <v>19</v>
      </c>
      <c r="K2">
        <f t="shared" ref="K2:K40" si="1">K1+J2</f>
        <v>19</v>
      </c>
      <c r="N2">
        <v>1</v>
      </c>
      <c r="O2">
        <f>SUM(P2:$P$40)</f>
        <v>1.0000000000000004</v>
      </c>
      <c r="P2">
        <f t="shared" ref="P2:P40" si="2">J2/101</f>
        <v>0.18811881188118812</v>
      </c>
      <c r="S2">
        <v>11</v>
      </c>
      <c r="V2">
        <v>11</v>
      </c>
      <c r="W2">
        <f>SUM($Y2:Y$39)</f>
        <v>0.99999999999999978</v>
      </c>
      <c r="X2">
        <f>SUM($Z2:Z$39)</f>
        <v>58</v>
      </c>
      <c r="Y2">
        <f>Z2/58</f>
        <v>8.6206896551724144E-2</v>
      </c>
      <c r="Z2">
        <f>COUNTIF($S$2:$S$102,V2)</f>
        <v>5</v>
      </c>
    </row>
    <row r="3" spans="6:26" x14ac:dyDescent="0.2">
      <c r="F3">
        <f>COUNTIF('For stats end Y points'!B3:AN3,"&lt;&gt;0")</f>
        <v>4</v>
      </c>
      <c r="I3">
        <v>2</v>
      </c>
      <c r="J3">
        <f t="shared" si="0"/>
        <v>1</v>
      </c>
      <c r="K3">
        <f t="shared" si="1"/>
        <v>20</v>
      </c>
      <c r="N3">
        <v>2</v>
      </c>
      <c r="O3">
        <f>SUM(P3:$P$40)</f>
        <v>0.81188118811881216</v>
      </c>
      <c r="P3">
        <f t="shared" si="2"/>
        <v>9.9009900990099011E-3</v>
      </c>
      <c r="S3">
        <v>11</v>
      </c>
      <c r="V3">
        <v>12</v>
      </c>
      <c r="W3">
        <f>SUM($Y3:Y$39)</f>
        <v>0.9137931034482758</v>
      </c>
      <c r="X3">
        <f>SUM($Z3:Z$39)</f>
        <v>53</v>
      </c>
      <c r="Y3">
        <f t="shared" ref="Y3:Y29" si="3">Z3/58</f>
        <v>3.4482758620689655E-2</v>
      </c>
      <c r="Z3">
        <f t="shared" ref="Z3:Z29" si="4">COUNTIF($S$2:$S$102,V3)</f>
        <v>2</v>
      </c>
    </row>
    <row r="4" spans="6:26" x14ac:dyDescent="0.2">
      <c r="F4">
        <f>COUNTIF('For stats end Y points'!B4:AN4,"&lt;&gt;0")</f>
        <v>1</v>
      </c>
      <c r="I4">
        <v>3</v>
      </c>
      <c r="J4">
        <f t="shared" si="0"/>
        <v>6</v>
      </c>
      <c r="K4">
        <f t="shared" si="1"/>
        <v>26</v>
      </c>
      <c r="N4">
        <v>3</v>
      </c>
      <c r="O4">
        <f>SUM(P4:$P$40)</f>
        <v>0.80198019801980225</v>
      </c>
      <c r="P4">
        <f t="shared" si="2"/>
        <v>5.9405940594059403E-2</v>
      </c>
      <c r="S4">
        <v>11</v>
      </c>
      <c r="V4">
        <v>13</v>
      </c>
      <c r="W4">
        <f>SUM($Y4:Y$39)</f>
        <v>0.8793103448275863</v>
      </c>
      <c r="X4">
        <f>SUM($Z4:Z$39)</f>
        <v>51</v>
      </c>
      <c r="Y4">
        <f t="shared" si="3"/>
        <v>3.4482758620689655E-2</v>
      </c>
      <c r="Z4">
        <f t="shared" si="4"/>
        <v>2</v>
      </c>
    </row>
    <row r="5" spans="6:26" x14ac:dyDescent="0.2">
      <c r="F5">
        <f>COUNTIF('For stats end Y points'!B5:AN5,"&lt;&gt;0")</f>
        <v>3</v>
      </c>
      <c r="I5">
        <v>4</v>
      </c>
      <c r="J5">
        <f t="shared" si="0"/>
        <v>2</v>
      </c>
      <c r="K5">
        <f t="shared" si="1"/>
        <v>28</v>
      </c>
      <c r="N5">
        <v>4</v>
      </c>
      <c r="O5">
        <f>SUM(P5:$P$40)</f>
        <v>0.74257425742574279</v>
      </c>
      <c r="P5">
        <f t="shared" si="2"/>
        <v>1.9801980198019802E-2</v>
      </c>
      <c r="S5">
        <v>11</v>
      </c>
      <c r="V5">
        <v>14</v>
      </c>
      <c r="W5">
        <f>SUM($Y5:Y$39)</f>
        <v>0.84482758620689657</v>
      </c>
      <c r="X5">
        <f>SUM($Z5:Z$39)</f>
        <v>49</v>
      </c>
      <c r="Y5">
        <f t="shared" si="3"/>
        <v>0</v>
      </c>
      <c r="Z5">
        <f t="shared" si="4"/>
        <v>0</v>
      </c>
    </row>
    <row r="6" spans="6:26" x14ac:dyDescent="0.2">
      <c r="F6">
        <f>COUNTIF('For stats end Y points'!B6:AN6,"&lt;&gt;0")</f>
        <v>1</v>
      </c>
      <c r="I6">
        <v>5</v>
      </c>
      <c r="J6">
        <f t="shared" si="0"/>
        <v>4</v>
      </c>
      <c r="K6">
        <f t="shared" si="1"/>
        <v>32</v>
      </c>
      <c r="N6">
        <v>5</v>
      </c>
      <c r="O6">
        <f>SUM(P6:$P$40)</f>
        <v>0.72277227722772297</v>
      </c>
      <c r="P6">
        <f t="shared" si="2"/>
        <v>3.9603960396039604E-2</v>
      </c>
      <c r="S6">
        <v>11</v>
      </c>
      <c r="V6">
        <v>15</v>
      </c>
      <c r="W6">
        <f>SUM($Y6:Y$39)</f>
        <v>0.84482758620689657</v>
      </c>
      <c r="X6">
        <f>SUM($Z6:Z$39)</f>
        <v>49</v>
      </c>
      <c r="Y6">
        <f t="shared" si="3"/>
        <v>0</v>
      </c>
      <c r="Z6">
        <f t="shared" si="4"/>
        <v>0</v>
      </c>
    </row>
    <row r="7" spans="6:26" x14ac:dyDescent="0.2">
      <c r="F7">
        <f>COUNTIF('For stats end Y points'!B7:AN7,"&lt;&gt;0")</f>
        <v>1</v>
      </c>
      <c r="I7">
        <v>6</v>
      </c>
      <c r="J7">
        <f t="shared" si="0"/>
        <v>1</v>
      </c>
      <c r="K7">
        <f t="shared" si="1"/>
        <v>33</v>
      </c>
      <c r="N7">
        <v>6</v>
      </c>
      <c r="O7">
        <f>SUM(P7:$P$40)</f>
        <v>0.68316831683168311</v>
      </c>
      <c r="P7">
        <f t="shared" si="2"/>
        <v>9.9009900990099011E-3</v>
      </c>
      <c r="S7">
        <v>12</v>
      </c>
      <c r="V7">
        <v>16</v>
      </c>
      <c r="W7">
        <f>SUM($Y7:Y$39)</f>
        <v>0.84482758620689657</v>
      </c>
      <c r="X7">
        <f>SUM($Z7:Z$39)</f>
        <v>49</v>
      </c>
      <c r="Y7">
        <f t="shared" si="3"/>
        <v>3.4482758620689655E-2</v>
      </c>
      <c r="Z7">
        <f t="shared" si="4"/>
        <v>2</v>
      </c>
    </row>
    <row r="8" spans="6:26" x14ac:dyDescent="0.2">
      <c r="F8">
        <f>COUNTIF('For stats end Y points'!B8:AN8,"&lt;&gt;0")</f>
        <v>15</v>
      </c>
      <c r="I8">
        <v>7</v>
      </c>
      <c r="J8">
        <f t="shared" si="0"/>
        <v>3</v>
      </c>
      <c r="K8">
        <f t="shared" si="1"/>
        <v>36</v>
      </c>
      <c r="N8">
        <v>7</v>
      </c>
      <c r="O8">
        <f>SUM(P8:$P$40)</f>
        <v>0.67326732673267342</v>
      </c>
      <c r="P8">
        <f t="shared" si="2"/>
        <v>2.9702970297029702E-2</v>
      </c>
      <c r="S8">
        <v>12</v>
      </c>
      <c r="V8">
        <v>17</v>
      </c>
      <c r="W8">
        <f>SUM($Y8:Y$39)</f>
        <v>0.81034482758620685</v>
      </c>
      <c r="X8">
        <f>SUM($Z8:Z$39)</f>
        <v>47</v>
      </c>
      <c r="Y8">
        <f t="shared" si="3"/>
        <v>1.7241379310344827E-2</v>
      </c>
      <c r="Z8">
        <f t="shared" si="4"/>
        <v>1</v>
      </c>
    </row>
    <row r="9" spans="6:26" x14ac:dyDescent="0.2">
      <c r="F9">
        <f>COUNTIF('For stats end Y points'!B9:AN9,"&lt;&gt;0")</f>
        <v>30</v>
      </c>
      <c r="I9">
        <v>8</v>
      </c>
      <c r="J9">
        <f t="shared" si="0"/>
        <v>1</v>
      </c>
      <c r="K9">
        <f t="shared" si="1"/>
        <v>37</v>
      </c>
      <c r="N9">
        <v>8</v>
      </c>
      <c r="O9">
        <f>SUM(P9:$P$40)</f>
        <v>0.64356435643564347</v>
      </c>
      <c r="P9">
        <f t="shared" si="2"/>
        <v>9.9009900990099011E-3</v>
      </c>
      <c r="S9">
        <v>13</v>
      </c>
      <c r="V9">
        <v>18</v>
      </c>
      <c r="W9">
        <f>SUM($Y9:Y$39)</f>
        <v>0.7931034482758621</v>
      </c>
      <c r="X9">
        <f>SUM($Z9:Z$39)</f>
        <v>46</v>
      </c>
      <c r="Y9">
        <f t="shared" si="3"/>
        <v>3.4482758620689655E-2</v>
      </c>
      <c r="Z9">
        <f t="shared" si="4"/>
        <v>2</v>
      </c>
    </row>
    <row r="10" spans="6:26" x14ac:dyDescent="0.2">
      <c r="F10">
        <f>COUNTIF('For stats end Y points'!B10:AN10,"&lt;&gt;0")</f>
        <v>32</v>
      </c>
      <c r="I10">
        <v>9</v>
      </c>
      <c r="J10">
        <f t="shared" si="0"/>
        <v>4</v>
      </c>
      <c r="K10">
        <f t="shared" si="1"/>
        <v>41</v>
      </c>
      <c r="N10">
        <v>9</v>
      </c>
      <c r="O10">
        <f>SUM(P10:$P$40)</f>
        <v>0.63366336633663356</v>
      </c>
      <c r="P10">
        <f t="shared" si="2"/>
        <v>3.9603960396039604E-2</v>
      </c>
      <c r="S10">
        <v>13</v>
      </c>
      <c r="V10">
        <v>19</v>
      </c>
      <c r="W10">
        <f>SUM($Y10:Y$39)</f>
        <v>0.75862068965517238</v>
      </c>
      <c r="X10">
        <f>SUM($Z10:Z$39)</f>
        <v>44</v>
      </c>
      <c r="Y10">
        <f t="shared" si="3"/>
        <v>1.7241379310344827E-2</v>
      </c>
      <c r="Z10">
        <f t="shared" si="4"/>
        <v>1</v>
      </c>
    </row>
    <row r="11" spans="6:26" x14ac:dyDescent="0.2">
      <c r="F11">
        <f>COUNTIF('For stats end Y points'!B11:AN11,"&lt;&gt;0")</f>
        <v>32</v>
      </c>
      <c r="I11">
        <v>10</v>
      </c>
      <c r="J11">
        <f t="shared" si="0"/>
        <v>2</v>
      </c>
      <c r="K11">
        <f t="shared" si="1"/>
        <v>43</v>
      </c>
      <c r="N11">
        <v>10</v>
      </c>
      <c r="O11">
        <f>SUM(P11:$P$40)</f>
        <v>0.59405940594059403</v>
      </c>
      <c r="P11">
        <f t="shared" si="2"/>
        <v>1.9801980198019802E-2</v>
      </c>
      <c r="S11">
        <v>16</v>
      </c>
      <c r="V11">
        <v>20</v>
      </c>
      <c r="W11">
        <f>SUM($Y11:Y$39)</f>
        <v>0.7413793103448274</v>
      </c>
      <c r="X11">
        <f>SUM($Z11:Z$39)</f>
        <v>43</v>
      </c>
      <c r="Y11">
        <f t="shared" si="3"/>
        <v>0</v>
      </c>
      <c r="Z11">
        <f t="shared" si="4"/>
        <v>0</v>
      </c>
    </row>
    <row r="12" spans="6:26" x14ac:dyDescent="0.2">
      <c r="F12">
        <f>COUNTIF('For stats end Y points'!B12:AN12,"&lt;&gt;0")</f>
        <v>12</v>
      </c>
      <c r="I12">
        <v>11</v>
      </c>
      <c r="J12">
        <f t="shared" si="0"/>
        <v>1</v>
      </c>
      <c r="K12">
        <f t="shared" si="1"/>
        <v>44</v>
      </c>
      <c r="N12">
        <v>11</v>
      </c>
      <c r="O12">
        <f>SUM(P12:$P$40)</f>
        <v>0.57425742574257432</v>
      </c>
      <c r="P12">
        <f t="shared" si="2"/>
        <v>9.9009900990099011E-3</v>
      </c>
      <c r="S12">
        <v>16</v>
      </c>
      <c r="V12">
        <v>21</v>
      </c>
      <c r="W12">
        <f>SUM($Y12:Y$39)</f>
        <v>0.7413793103448274</v>
      </c>
      <c r="X12">
        <f>SUM($Z12:Z$39)</f>
        <v>43</v>
      </c>
      <c r="Y12">
        <f t="shared" si="3"/>
        <v>0</v>
      </c>
      <c r="Z12">
        <f t="shared" si="4"/>
        <v>0</v>
      </c>
    </row>
    <row r="13" spans="6:26" x14ac:dyDescent="0.2">
      <c r="F13">
        <f>COUNTIF('For stats end Y points'!B13:AN13,"&lt;&gt;0")</f>
        <v>13</v>
      </c>
      <c r="I13">
        <v>12</v>
      </c>
      <c r="J13">
        <f t="shared" si="0"/>
        <v>2</v>
      </c>
      <c r="K13">
        <f t="shared" si="1"/>
        <v>46</v>
      </c>
      <c r="N13">
        <v>12</v>
      </c>
      <c r="O13">
        <f>SUM(P13:$P$40)</f>
        <v>0.56435643564356441</v>
      </c>
      <c r="P13">
        <f t="shared" si="2"/>
        <v>1.9801980198019802E-2</v>
      </c>
      <c r="S13">
        <v>17</v>
      </c>
      <c r="V13">
        <v>22</v>
      </c>
      <c r="W13">
        <f>SUM($Y13:Y$39)</f>
        <v>0.7413793103448274</v>
      </c>
      <c r="X13">
        <f>SUM($Z13:Z$39)</f>
        <v>43</v>
      </c>
      <c r="Y13">
        <f t="shared" si="3"/>
        <v>1.7241379310344827E-2</v>
      </c>
      <c r="Z13">
        <f t="shared" si="4"/>
        <v>1</v>
      </c>
    </row>
    <row r="14" spans="6:26" x14ac:dyDescent="0.2">
      <c r="F14">
        <f>COUNTIF('For stats end Y points'!B14:AN14,"&lt;&gt;0")</f>
        <v>1</v>
      </c>
      <c r="I14">
        <v>13</v>
      </c>
      <c r="J14">
        <f t="shared" si="0"/>
        <v>2</v>
      </c>
      <c r="K14">
        <f t="shared" si="1"/>
        <v>48</v>
      </c>
      <c r="N14">
        <v>13</v>
      </c>
      <c r="O14">
        <f>SUM(P14:$P$40)</f>
        <v>0.54455445544554459</v>
      </c>
      <c r="P14">
        <f t="shared" si="2"/>
        <v>1.9801980198019802E-2</v>
      </c>
      <c r="S14">
        <v>18</v>
      </c>
      <c r="V14">
        <v>23</v>
      </c>
      <c r="W14">
        <f>SUM($Y14:Y$39)</f>
        <v>0.72413793103448265</v>
      </c>
      <c r="X14">
        <f>SUM($Z14:Z$39)</f>
        <v>42</v>
      </c>
      <c r="Y14">
        <f t="shared" si="3"/>
        <v>0</v>
      </c>
      <c r="Z14">
        <f t="shared" si="4"/>
        <v>0</v>
      </c>
    </row>
    <row r="15" spans="6:26" x14ac:dyDescent="0.2">
      <c r="F15">
        <f>COUNTIF('For stats end Y points'!B15:AN15,"&lt;&gt;0")</f>
        <v>27</v>
      </c>
      <c r="I15">
        <v>14</v>
      </c>
      <c r="J15">
        <f t="shared" si="0"/>
        <v>1</v>
      </c>
      <c r="K15">
        <f t="shared" si="1"/>
        <v>49</v>
      </c>
      <c r="N15">
        <v>14</v>
      </c>
      <c r="O15">
        <f>SUM(P15:$P$40)</f>
        <v>0.52475247524752466</v>
      </c>
      <c r="P15">
        <f t="shared" si="2"/>
        <v>9.9009900990099011E-3</v>
      </c>
      <c r="S15">
        <v>18</v>
      </c>
      <c r="V15">
        <v>24</v>
      </c>
      <c r="W15">
        <f>SUM($Y15:Y$39)</f>
        <v>0.72413793103448265</v>
      </c>
      <c r="X15">
        <f>SUM($Z15:Z$39)</f>
        <v>42</v>
      </c>
      <c r="Y15">
        <f t="shared" si="3"/>
        <v>1.7241379310344827E-2</v>
      </c>
      <c r="Z15">
        <f t="shared" si="4"/>
        <v>1</v>
      </c>
    </row>
    <row r="16" spans="6:26" x14ac:dyDescent="0.2">
      <c r="F16">
        <f>COUNTIF('For stats end Y points'!B16:AN16,"&lt;&gt;0")</f>
        <v>33</v>
      </c>
      <c r="I16">
        <v>15</v>
      </c>
      <c r="J16">
        <f t="shared" si="0"/>
        <v>3</v>
      </c>
      <c r="K16">
        <f t="shared" si="1"/>
        <v>52</v>
      </c>
      <c r="N16">
        <v>15</v>
      </c>
      <c r="O16">
        <f>SUM(P16:$P$40)</f>
        <v>0.51485148514851475</v>
      </c>
      <c r="P16">
        <f t="shared" si="2"/>
        <v>2.9702970297029702E-2</v>
      </c>
      <c r="S16">
        <v>19</v>
      </c>
      <c r="V16">
        <v>25</v>
      </c>
      <c r="W16">
        <f>SUM($Y16:Y$39)</f>
        <v>0.7068965517241379</v>
      </c>
      <c r="X16">
        <f>SUM($Z16:Z$39)</f>
        <v>41</v>
      </c>
      <c r="Y16">
        <f t="shared" si="3"/>
        <v>1.7241379310344827E-2</v>
      </c>
      <c r="Z16">
        <f t="shared" si="4"/>
        <v>1</v>
      </c>
    </row>
    <row r="17" spans="6:26" x14ac:dyDescent="0.2">
      <c r="F17">
        <f>COUNTIF('For stats end Y points'!B17:AN17,"&lt;&gt;0")</f>
        <v>1</v>
      </c>
      <c r="I17">
        <v>16</v>
      </c>
      <c r="J17">
        <f t="shared" si="0"/>
        <v>1</v>
      </c>
      <c r="K17">
        <f t="shared" si="1"/>
        <v>53</v>
      </c>
      <c r="N17">
        <v>16</v>
      </c>
      <c r="O17">
        <f>SUM(P17:$P$40)</f>
        <v>0.48514851485148508</v>
      </c>
      <c r="P17">
        <f t="shared" si="2"/>
        <v>9.9009900990099011E-3</v>
      </c>
      <c r="S17">
        <v>22</v>
      </c>
      <c r="V17">
        <v>26</v>
      </c>
      <c r="W17">
        <f>SUM($Y17:Y$39)</f>
        <v>0.68965517241379293</v>
      </c>
      <c r="X17">
        <f>SUM($Z17:Z$39)</f>
        <v>40</v>
      </c>
      <c r="Y17">
        <f t="shared" si="3"/>
        <v>1.7241379310344827E-2</v>
      </c>
      <c r="Z17">
        <f t="shared" si="4"/>
        <v>1</v>
      </c>
    </row>
    <row r="18" spans="6:26" x14ac:dyDescent="0.2">
      <c r="F18">
        <f>COUNTIF('For stats end Y points'!B18:AN18,"&lt;&gt;0")</f>
        <v>22</v>
      </c>
      <c r="I18">
        <v>17</v>
      </c>
      <c r="J18">
        <f t="shared" si="0"/>
        <v>2</v>
      </c>
      <c r="K18">
        <f t="shared" si="1"/>
        <v>55</v>
      </c>
      <c r="N18">
        <v>17</v>
      </c>
      <c r="O18">
        <f>SUM(P18:$P$40)</f>
        <v>0.47524752475247517</v>
      </c>
      <c r="P18">
        <f t="shared" si="2"/>
        <v>1.9801980198019802E-2</v>
      </c>
      <c r="S18">
        <v>24</v>
      </c>
      <c r="V18">
        <v>27</v>
      </c>
      <c r="W18">
        <f>SUM($Y18:Y$39)</f>
        <v>0.67241379310344818</v>
      </c>
      <c r="X18">
        <f>SUM($Z18:Z$39)</f>
        <v>39</v>
      </c>
      <c r="Y18">
        <f t="shared" si="3"/>
        <v>1.7241379310344827E-2</v>
      </c>
      <c r="Z18">
        <f t="shared" si="4"/>
        <v>1</v>
      </c>
    </row>
    <row r="19" spans="6:26" x14ac:dyDescent="0.2">
      <c r="F19">
        <f>COUNTIF('For stats end Y points'!B19:AN19,"&lt;&gt;0")</f>
        <v>26</v>
      </c>
      <c r="I19">
        <v>18</v>
      </c>
      <c r="J19">
        <f t="shared" si="0"/>
        <v>2</v>
      </c>
      <c r="K19">
        <f t="shared" si="1"/>
        <v>57</v>
      </c>
      <c r="N19">
        <v>18</v>
      </c>
      <c r="O19">
        <f>SUM(P19:$P$40)</f>
        <v>0.45544554455445535</v>
      </c>
      <c r="P19">
        <f t="shared" si="2"/>
        <v>1.9801980198019802E-2</v>
      </c>
      <c r="S19">
        <v>25</v>
      </c>
      <c r="V19">
        <v>28</v>
      </c>
      <c r="W19">
        <f>SUM($Y19:Y$39)</f>
        <v>0.65517241379310343</v>
      </c>
      <c r="X19">
        <f>SUM($Z19:Z$39)</f>
        <v>38</v>
      </c>
      <c r="Y19">
        <f t="shared" si="3"/>
        <v>0.10344827586206896</v>
      </c>
      <c r="Z19">
        <f t="shared" si="4"/>
        <v>6</v>
      </c>
    </row>
    <row r="20" spans="6:26" x14ac:dyDescent="0.2">
      <c r="F20">
        <f>COUNTIF('For stats end Y points'!B20:AN20,"&lt;&gt;0")</f>
        <v>28</v>
      </c>
      <c r="I20">
        <v>19</v>
      </c>
      <c r="J20">
        <f t="shared" si="0"/>
        <v>0</v>
      </c>
      <c r="K20">
        <f t="shared" si="1"/>
        <v>57</v>
      </c>
      <c r="N20">
        <v>19</v>
      </c>
      <c r="O20">
        <f>SUM(P20:$P$40)</f>
        <v>0.43564356435643559</v>
      </c>
      <c r="P20">
        <f t="shared" si="2"/>
        <v>0</v>
      </c>
      <c r="S20">
        <v>26</v>
      </c>
      <c r="V20">
        <v>29</v>
      </c>
      <c r="W20">
        <f>SUM($Y20:Y$39)</f>
        <v>0.55172413793103448</v>
      </c>
      <c r="X20">
        <f>SUM($Z20:Z$39)</f>
        <v>32</v>
      </c>
      <c r="Y20">
        <f t="shared" si="3"/>
        <v>5.1724137931034482E-2</v>
      </c>
      <c r="Z20">
        <f t="shared" si="4"/>
        <v>3</v>
      </c>
    </row>
    <row r="21" spans="6:26" x14ac:dyDescent="0.2">
      <c r="F21">
        <f>COUNTIF('For stats end Y points'!B21:AN21,"&lt;&gt;0")</f>
        <v>26</v>
      </c>
      <c r="I21">
        <v>20</v>
      </c>
      <c r="J21">
        <f t="shared" si="0"/>
        <v>3</v>
      </c>
      <c r="K21">
        <f t="shared" si="1"/>
        <v>60</v>
      </c>
      <c r="N21">
        <v>20</v>
      </c>
      <c r="O21">
        <f>SUM(P21:$P$40)</f>
        <v>0.43564356435643559</v>
      </c>
      <c r="P21">
        <f t="shared" si="2"/>
        <v>2.9702970297029702E-2</v>
      </c>
      <c r="S21">
        <v>27</v>
      </c>
      <c r="V21">
        <v>30</v>
      </c>
      <c r="W21">
        <f>SUM($Y21:Y$39)</f>
        <v>0.5</v>
      </c>
      <c r="X21">
        <f>SUM($Z21:Z$39)</f>
        <v>29</v>
      </c>
      <c r="Y21">
        <f t="shared" si="3"/>
        <v>8.6206896551724144E-2</v>
      </c>
      <c r="Z21">
        <f t="shared" si="4"/>
        <v>5</v>
      </c>
    </row>
    <row r="22" spans="6:26" x14ac:dyDescent="0.2">
      <c r="F22">
        <f>COUNTIF('For stats end Y points'!B22:AN22,"&lt;&gt;0")</f>
        <v>1</v>
      </c>
      <c r="I22">
        <v>21</v>
      </c>
      <c r="J22">
        <f t="shared" si="0"/>
        <v>4</v>
      </c>
      <c r="K22">
        <f t="shared" si="1"/>
        <v>64</v>
      </c>
      <c r="N22">
        <v>21</v>
      </c>
      <c r="O22">
        <f>SUM(P22:$P$40)</f>
        <v>0.40594059405940591</v>
      </c>
      <c r="P22">
        <f t="shared" si="2"/>
        <v>3.9603960396039604E-2</v>
      </c>
      <c r="S22">
        <v>28</v>
      </c>
      <c r="V22">
        <v>31</v>
      </c>
      <c r="W22">
        <f>SUM($Y22:Y$39)</f>
        <v>0.41379310344827591</v>
      </c>
      <c r="X22">
        <f>SUM($Z22:Z$39)</f>
        <v>24</v>
      </c>
      <c r="Y22">
        <f t="shared" si="3"/>
        <v>5.1724137931034482E-2</v>
      </c>
      <c r="Z22">
        <f t="shared" si="4"/>
        <v>3</v>
      </c>
    </row>
    <row r="23" spans="6:26" x14ac:dyDescent="0.2">
      <c r="F23">
        <f>COUNTIF('For stats end Y points'!B23:AN23,"&lt;&gt;0")</f>
        <v>21</v>
      </c>
      <c r="I23">
        <v>22</v>
      </c>
      <c r="J23">
        <f t="shared" si="0"/>
        <v>1</v>
      </c>
      <c r="K23">
        <f t="shared" si="1"/>
        <v>65</v>
      </c>
      <c r="N23">
        <v>22</v>
      </c>
      <c r="O23">
        <f>SUM(P23:$P$40)</f>
        <v>0.36633663366336633</v>
      </c>
      <c r="P23">
        <f t="shared" si="2"/>
        <v>9.9009900990099011E-3</v>
      </c>
      <c r="S23">
        <v>28</v>
      </c>
      <c r="V23">
        <v>32</v>
      </c>
      <c r="W23">
        <f>SUM($Y23:Y$39)</f>
        <v>0.36206896551724138</v>
      </c>
      <c r="X23">
        <f>SUM($Z23:Z$39)</f>
        <v>21</v>
      </c>
      <c r="Y23">
        <f t="shared" si="3"/>
        <v>1.7241379310344827E-2</v>
      </c>
      <c r="Z23">
        <f t="shared" si="4"/>
        <v>1</v>
      </c>
    </row>
    <row r="24" spans="6:26" x14ac:dyDescent="0.2">
      <c r="F24">
        <f>COUNTIF('For stats end Y points'!B24:AN24,"&lt;&gt;0")</f>
        <v>27</v>
      </c>
      <c r="I24">
        <v>23</v>
      </c>
      <c r="J24">
        <f t="shared" si="0"/>
        <v>4</v>
      </c>
      <c r="K24">
        <f t="shared" si="1"/>
        <v>69</v>
      </c>
      <c r="N24">
        <v>23</v>
      </c>
      <c r="O24">
        <f>SUM(P24:$P$40)</f>
        <v>0.35643564356435642</v>
      </c>
      <c r="P24">
        <f t="shared" si="2"/>
        <v>3.9603960396039604E-2</v>
      </c>
      <c r="S24">
        <v>28</v>
      </c>
      <c r="V24">
        <v>33</v>
      </c>
      <c r="W24">
        <f>SUM($Y24:Y$39)</f>
        <v>0.34482758620689657</v>
      </c>
      <c r="X24">
        <f>SUM($Z24:Z$39)</f>
        <v>20</v>
      </c>
      <c r="Y24">
        <f t="shared" si="3"/>
        <v>8.6206896551724144E-2</v>
      </c>
      <c r="Z24">
        <f t="shared" si="4"/>
        <v>5</v>
      </c>
    </row>
    <row r="25" spans="6:26" x14ac:dyDescent="0.2">
      <c r="F25">
        <f>COUNTIF('For stats end Y points'!B25:AN25,"&lt;&gt;0")</f>
        <v>7</v>
      </c>
      <c r="I25">
        <v>24</v>
      </c>
      <c r="J25">
        <f t="shared" si="0"/>
        <v>2</v>
      </c>
      <c r="K25">
        <f t="shared" si="1"/>
        <v>71</v>
      </c>
      <c r="N25">
        <v>24</v>
      </c>
      <c r="O25">
        <f>SUM(P25:$P$40)</f>
        <v>0.31683168316831684</v>
      </c>
      <c r="P25">
        <f t="shared" si="2"/>
        <v>1.9801980198019802E-2</v>
      </c>
      <c r="S25">
        <v>28</v>
      </c>
      <c r="V25">
        <v>34</v>
      </c>
      <c r="W25">
        <f>SUM($Y25:Y$39)</f>
        <v>0.25862068965517243</v>
      </c>
      <c r="X25">
        <f>SUM($Z25:Z$39)</f>
        <v>15</v>
      </c>
      <c r="Y25">
        <f t="shared" si="3"/>
        <v>8.6206896551724144E-2</v>
      </c>
      <c r="Z25">
        <f t="shared" si="4"/>
        <v>5</v>
      </c>
    </row>
    <row r="26" spans="6:26" x14ac:dyDescent="0.2">
      <c r="F26">
        <f>COUNTIF('For stats end Y points'!B26:AN26,"&lt;&gt;0")</f>
        <v>28</v>
      </c>
      <c r="I26">
        <v>25</v>
      </c>
      <c r="J26">
        <f t="shared" si="0"/>
        <v>2</v>
      </c>
      <c r="K26">
        <f t="shared" si="1"/>
        <v>73</v>
      </c>
      <c r="N26">
        <v>25</v>
      </c>
      <c r="O26">
        <f>SUM(P26:$P$40)</f>
        <v>0.29702970297029702</v>
      </c>
      <c r="P26">
        <f t="shared" si="2"/>
        <v>1.9801980198019802E-2</v>
      </c>
      <c r="S26">
        <v>28</v>
      </c>
      <c r="V26">
        <v>35</v>
      </c>
      <c r="W26">
        <f>SUM($Y26:Y$39)</f>
        <v>0.17241379310344829</v>
      </c>
      <c r="X26">
        <f>SUM($Z26:Z$39)</f>
        <v>10</v>
      </c>
      <c r="Y26">
        <f t="shared" si="3"/>
        <v>5.1724137931034482E-2</v>
      </c>
      <c r="Z26">
        <f t="shared" si="4"/>
        <v>3</v>
      </c>
    </row>
    <row r="27" spans="6:26" x14ac:dyDescent="0.2">
      <c r="F27">
        <f>COUNTIF('For stats end Y points'!B27:AN27,"&lt;&gt;0")</f>
        <v>13</v>
      </c>
      <c r="I27">
        <v>26</v>
      </c>
      <c r="J27">
        <f t="shared" si="0"/>
        <v>4</v>
      </c>
      <c r="K27">
        <f t="shared" si="1"/>
        <v>77</v>
      </c>
      <c r="N27">
        <v>26</v>
      </c>
      <c r="O27">
        <f>SUM(P27:$P$40)</f>
        <v>0.2772277227722772</v>
      </c>
      <c r="P27">
        <f t="shared" si="2"/>
        <v>3.9603960396039604E-2</v>
      </c>
      <c r="S27">
        <v>28</v>
      </c>
      <c r="V27">
        <v>36</v>
      </c>
      <c r="W27">
        <f>SUM($Y27:Y$39)</f>
        <v>0.1206896551724138</v>
      </c>
      <c r="X27">
        <f>SUM($Z27:Z$39)</f>
        <v>7</v>
      </c>
      <c r="Y27">
        <f t="shared" si="3"/>
        <v>3.4482758620689655E-2</v>
      </c>
      <c r="Z27">
        <f t="shared" si="4"/>
        <v>2</v>
      </c>
    </row>
    <row r="28" spans="6:26" x14ac:dyDescent="0.2">
      <c r="F28">
        <f>COUNTIF('For stats end Y points'!B28:AN28,"&lt;&gt;0")</f>
        <v>1</v>
      </c>
      <c r="I28">
        <v>27</v>
      </c>
      <c r="J28">
        <f t="shared" si="0"/>
        <v>4</v>
      </c>
      <c r="K28">
        <f t="shared" si="1"/>
        <v>81</v>
      </c>
      <c r="N28">
        <v>27</v>
      </c>
      <c r="O28">
        <f>SUM(P28:$P$40)</f>
        <v>0.23762376237623764</v>
      </c>
      <c r="P28">
        <f t="shared" si="2"/>
        <v>3.9603960396039604E-2</v>
      </c>
      <c r="S28">
        <v>29</v>
      </c>
      <c r="V28">
        <v>37</v>
      </c>
      <c r="W28">
        <f>SUM($Y28:Y$39)</f>
        <v>8.6206896551724144E-2</v>
      </c>
      <c r="X28">
        <f>SUM($Z28:Z$39)</f>
        <v>5</v>
      </c>
      <c r="Y28">
        <f t="shared" si="3"/>
        <v>5.1724137931034482E-2</v>
      </c>
      <c r="Z28">
        <f t="shared" si="4"/>
        <v>3</v>
      </c>
    </row>
    <row r="29" spans="6:26" x14ac:dyDescent="0.2">
      <c r="F29">
        <f>COUNTIF('For stats end Y points'!B29:AN29,"&lt;&gt;0")</f>
        <v>1</v>
      </c>
      <c r="I29">
        <v>28</v>
      </c>
      <c r="J29">
        <f t="shared" si="0"/>
        <v>4</v>
      </c>
      <c r="K29">
        <f t="shared" si="1"/>
        <v>85</v>
      </c>
      <c r="N29">
        <v>28</v>
      </c>
      <c r="O29">
        <f>SUM(P29:$P$40)</f>
        <v>0.19801980198019803</v>
      </c>
      <c r="P29">
        <f t="shared" si="2"/>
        <v>3.9603960396039604E-2</v>
      </c>
      <c r="S29">
        <v>29</v>
      </c>
      <c r="V29">
        <v>38</v>
      </c>
      <c r="W29">
        <f>SUM($Y29:Y$39)</f>
        <v>3.4482758620689655E-2</v>
      </c>
      <c r="X29">
        <f>SUM($Z29:Z$39)</f>
        <v>2</v>
      </c>
      <c r="Y29">
        <f t="shared" si="3"/>
        <v>3.4482758620689655E-2</v>
      </c>
      <c r="Z29">
        <f t="shared" si="4"/>
        <v>2</v>
      </c>
    </row>
    <row r="30" spans="6:26" x14ac:dyDescent="0.2">
      <c r="F30">
        <f>COUNTIF('For stats end Y points'!B30:AN30,"&lt;&gt;0")</f>
        <v>23</v>
      </c>
      <c r="I30">
        <v>29</v>
      </c>
      <c r="J30">
        <f t="shared" si="0"/>
        <v>0</v>
      </c>
      <c r="K30">
        <f t="shared" si="1"/>
        <v>85</v>
      </c>
      <c r="N30">
        <v>29</v>
      </c>
      <c r="O30">
        <f>SUM(P30:$P$40)</f>
        <v>0.15841584158415842</v>
      </c>
      <c r="P30">
        <f t="shared" si="2"/>
        <v>0</v>
      </c>
      <c r="S30">
        <v>29</v>
      </c>
      <c r="V30">
        <v>39</v>
      </c>
      <c r="W30">
        <f>SUM($Y30:Y$39)</f>
        <v>0</v>
      </c>
      <c r="X30">
        <f>SUM($Z30:Z$39)</f>
        <v>0</v>
      </c>
      <c r="Y30">
        <f t="shared" ref="Y30" si="5">Z30/58</f>
        <v>0</v>
      </c>
      <c r="Z30">
        <f t="shared" ref="Z30" si="6">COUNTIF($S$2:$S$102,V30)</f>
        <v>0</v>
      </c>
    </row>
    <row r="31" spans="6:26" x14ac:dyDescent="0.2">
      <c r="F31">
        <f>COUNTIF('For stats end Y points'!B31:AN31,"&lt;&gt;0")</f>
        <v>1</v>
      </c>
      <c r="I31">
        <v>30</v>
      </c>
      <c r="J31">
        <f t="shared" si="0"/>
        <v>1</v>
      </c>
      <c r="K31">
        <f t="shared" si="1"/>
        <v>86</v>
      </c>
      <c r="N31">
        <v>30</v>
      </c>
      <c r="O31">
        <f>SUM(P31:$P$40)</f>
        <v>0.15841584158415842</v>
      </c>
      <c r="P31">
        <f t="shared" si="2"/>
        <v>9.9009900990099011E-3</v>
      </c>
      <c r="S31">
        <v>30</v>
      </c>
    </row>
    <row r="32" spans="6:26" x14ac:dyDescent="0.2">
      <c r="F32">
        <f>COUNTIF('For stats end Y points'!B32:AN32,"&lt;&gt;0")</f>
        <v>3</v>
      </c>
      <c r="I32">
        <v>31</v>
      </c>
      <c r="J32">
        <f t="shared" si="0"/>
        <v>5</v>
      </c>
      <c r="K32">
        <f t="shared" si="1"/>
        <v>91</v>
      </c>
      <c r="N32">
        <v>31</v>
      </c>
      <c r="O32">
        <f>SUM(P32:$P$40)</f>
        <v>0.14851485148514851</v>
      </c>
      <c r="P32">
        <f t="shared" si="2"/>
        <v>4.9504950495049507E-2</v>
      </c>
      <c r="S32">
        <v>30</v>
      </c>
    </row>
    <row r="33" spans="6:19" x14ac:dyDescent="0.2">
      <c r="F33">
        <f>COUNTIF('For stats end Y points'!B33:AN33,"&lt;&gt;0")</f>
        <v>21</v>
      </c>
      <c r="I33">
        <v>32</v>
      </c>
      <c r="J33">
        <f t="shared" si="0"/>
        <v>6</v>
      </c>
      <c r="K33">
        <f t="shared" si="1"/>
        <v>97</v>
      </c>
      <c r="N33">
        <v>32</v>
      </c>
      <c r="O33">
        <f>SUM(P33:$P$40)</f>
        <v>9.9009900990099015E-2</v>
      </c>
      <c r="P33">
        <f t="shared" si="2"/>
        <v>5.9405940594059403E-2</v>
      </c>
      <c r="S33">
        <v>30</v>
      </c>
    </row>
    <row r="34" spans="6:19" x14ac:dyDescent="0.2">
      <c r="F34">
        <f>COUNTIF('For stats end Y points'!B34:AN34,"&lt;&gt;0")</f>
        <v>24</v>
      </c>
      <c r="I34">
        <v>33</v>
      </c>
      <c r="J34">
        <f t="shared" si="0"/>
        <v>4</v>
      </c>
      <c r="K34">
        <f t="shared" si="1"/>
        <v>101</v>
      </c>
      <c r="N34">
        <v>33</v>
      </c>
      <c r="O34">
        <f>SUM(P34:$P$40)</f>
        <v>3.9603960396039604E-2</v>
      </c>
      <c r="P34">
        <f t="shared" si="2"/>
        <v>3.9603960396039604E-2</v>
      </c>
      <c r="S34">
        <v>30</v>
      </c>
    </row>
    <row r="35" spans="6:19" x14ac:dyDescent="0.2">
      <c r="F35">
        <f>COUNTIF('For stats end Y points'!B35:AN35,"&lt;&gt;0")</f>
        <v>23</v>
      </c>
      <c r="I35">
        <v>34</v>
      </c>
      <c r="J35">
        <f t="shared" si="0"/>
        <v>0</v>
      </c>
      <c r="K35">
        <f t="shared" si="1"/>
        <v>101</v>
      </c>
      <c r="N35">
        <v>34</v>
      </c>
      <c r="O35">
        <f>SUM(P35:$P$40)</f>
        <v>0</v>
      </c>
      <c r="P35">
        <f t="shared" si="2"/>
        <v>0</v>
      </c>
      <c r="S35">
        <v>30</v>
      </c>
    </row>
    <row r="36" spans="6:19" x14ac:dyDescent="0.2">
      <c r="F36">
        <f>COUNTIF('For stats end Y points'!B36:AN36,"&lt;&gt;0")</f>
        <v>1</v>
      </c>
      <c r="I36">
        <v>35</v>
      </c>
      <c r="J36">
        <f t="shared" si="0"/>
        <v>0</v>
      </c>
      <c r="K36">
        <f t="shared" si="1"/>
        <v>101</v>
      </c>
      <c r="N36">
        <v>35</v>
      </c>
      <c r="O36">
        <f>SUM(P36:$P$40)</f>
        <v>0</v>
      </c>
      <c r="P36">
        <f t="shared" si="2"/>
        <v>0</v>
      </c>
      <c r="S36">
        <v>31</v>
      </c>
    </row>
    <row r="37" spans="6:19" x14ac:dyDescent="0.2">
      <c r="F37">
        <f>COUNTIF('For stats end Y points'!B37:AN37,"&lt;&gt;0")</f>
        <v>9</v>
      </c>
      <c r="I37">
        <v>36</v>
      </c>
      <c r="J37">
        <f t="shared" si="0"/>
        <v>0</v>
      </c>
      <c r="K37">
        <f t="shared" si="1"/>
        <v>101</v>
      </c>
      <c r="N37">
        <v>36</v>
      </c>
      <c r="O37">
        <f>SUM(P37:$P$40)</f>
        <v>0</v>
      </c>
      <c r="P37">
        <f t="shared" si="2"/>
        <v>0</v>
      </c>
      <c r="S37">
        <v>31</v>
      </c>
    </row>
    <row r="38" spans="6:19" x14ac:dyDescent="0.2">
      <c r="F38">
        <f>COUNTIF('For stats end Y points'!B38:AN38,"&lt;&gt;0")</f>
        <v>1</v>
      </c>
      <c r="I38">
        <v>37</v>
      </c>
      <c r="J38">
        <f t="shared" si="0"/>
        <v>0</v>
      </c>
      <c r="K38">
        <f t="shared" si="1"/>
        <v>101</v>
      </c>
      <c r="N38">
        <v>37</v>
      </c>
      <c r="O38">
        <f>SUM(P38:$P$40)</f>
        <v>0</v>
      </c>
      <c r="P38">
        <f t="shared" si="2"/>
        <v>0</v>
      </c>
      <c r="S38">
        <v>31</v>
      </c>
    </row>
    <row r="39" spans="6:19" x14ac:dyDescent="0.2">
      <c r="F39">
        <f>COUNTIF('For stats end Y points'!B39:AN39,"&lt;&gt;0")</f>
        <v>1</v>
      </c>
      <c r="I39">
        <v>38</v>
      </c>
      <c r="J39">
        <f t="shared" si="0"/>
        <v>0</v>
      </c>
      <c r="K39">
        <f t="shared" si="1"/>
        <v>101</v>
      </c>
      <c r="N39">
        <v>38</v>
      </c>
      <c r="O39">
        <f>SUM(P39:$P$40)</f>
        <v>0</v>
      </c>
      <c r="P39">
        <f t="shared" si="2"/>
        <v>0</v>
      </c>
      <c r="S39">
        <v>32</v>
      </c>
    </row>
    <row r="40" spans="6:19" x14ac:dyDescent="0.2">
      <c r="F40">
        <f>COUNTIF('For stats end Y points'!B40:AN40,"&lt;&gt;0")</f>
        <v>10</v>
      </c>
      <c r="I40">
        <v>39</v>
      </c>
      <c r="J40">
        <f t="shared" si="0"/>
        <v>0</v>
      </c>
      <c r="K40">
        <f t="shared" si="1"/>
        <v>101</v>
      </c>
      <c r="N40">
        <v>39</v>
      </c>
      <c r="O40">
        <f>SUM(P40:$P$40)</f>
        <v>0</v>
      </c>
      <c r="P40">
        <f t="shared" si="2"/>
        <v>0</v>
      </c>
      <c r="S40">
        <v>33</v>
      </c>
    </row>
    <row r="41" spans="6:19" x14ac:dyDescent="0.2">
      <c r="F41">
        <f>COUNTIF('For stats end Y points'!B41:AN41,"&lt;&gt;0")</f>
        <v>16</v>
      </c>
      <c r="S41">
        <v>33</v>
      </c>
    </row>
    <row r="42" spans="6:19" x14ac:dyDescent="0.2">
      <c r="F42">
        <f>COUNTIF('For stats end Y points'!B42:AN42,"&lt;&gt;0")</f>
        <v>31</v>
      </c>
      <c r="S42">
        <v>33</v>
      </c>
    </row>
    <row r="43" spans="6:19" x14ac:dyDescent="0.2">
      <c r="F43">
        <f>COUNTIF('For stats end Y points'!B43:AN43,"&lt;&gt;0")</f>
        <v>31</v>
      </c>
      <c r="S43">
        <v>33</v>
      </c>
    </row>
    <row r="44" spans="6:19" x14ac:dyDescent="0.2">
      <c r="F44">
        <f>COUNTIF('For stats end Y points'!B44:AN44,"&lt;&gt;0")</f>
        <v>1</v>
      </c>
      <c r="S44">
        <v>33</v>
      </c>
    </row>
    <row r="45" spans="6:19" x14ac:dyDescent="0.2">
      <c r="F45">
        <f>COUNTIF('For stats end Y points'!B45:AN45,"&lt;&gt;0")</f>
        <v>33</v>
      </c>
      <c r="S45">
        <v>34</v>
      </c>
    </row>
    <row r="46" spans="6:19" x14ac:dyDescent="0.2">
      <c r="F46">
        <f>COUNTIF('For stats end Y points'!B46:AN46,"&lt;&gt;0")</f>
        <v>1</v>
      </c>
      <c r="S46">
        <v>34</v>
      </c>
    </row>
    <row r="47" spans="6:19" x14ac:dyDescent="0.2">
      <c r="F47">
        <f>COUNTIF('For stats end Y points'!B47:AN47,"&lt;&gt;0")</f>
        <v>7</v>
      </c>
      <c r="S47">
        <v>34</v>
      </c>
    </row>
    <row r="48" spans="6:19" x14ac:dyDescent="0.2">
      <c r="F48">
        <f>COUNTIF('For stats end Y points'!B48:AN48,"&lt;&gt;0")</f>
        <v>31</v>
      </c>
      <c r="S48">
        <v>34</v>
      </c>
    </row>
    <row r="49" spans="6:19" x14ac:dyDescent="0.2">
      <c r="F49">
        <f>COUNTIF('For stats end Y points'!B49:AN49,"&lt;&gt;0")</f>
        <v>3</v>
      </c>
      <c r="S49">
        <v>34</v>
      </c>
    </row>
    <row r="50" spans="6:19" x14ac:dyDescent="0.2">
      <c r="F50">
        <f>COUNTIF('For stats end Y points'!B50:AN50,"&lt;&gt;0")</f>
        <v>23</v>
      </c>
      <c r="S50">
        <v>35</v>
      </c>
    </row>
    <row r="51" spans="6:19" x14ac:dyDescent="0.2">
      <c r="F51">
        <f>COUNTIF('For stats end Y points'!B51:AN51,"&lt;&gt;0")</f>
        <v>17</v>
      </c>
      <c r="S51">
        <v>35</v>
      </c>
    </row>
    <row r="52" spans="6:19" x14ac:dyDescent="0.2">
      <c r="F52">
        <f>COUNTIF('For stats end Y points'!B52:AN52,"&lt;&gt;0")</f>
        <v>26</v>
      </c>
      <c r="S52">
        <v>35</v>
      </c>
    </row>
    <row r="53" spans="6:19" x14ac:dyDescent="0.2">
      <c r="F53">
        <f>COUNTIF('For stats end Y points'!B53:AN53,"&lt;&gt;0")</f>
        <v>21</v>
      </c>
      <c r="S53">
        <v>36</v>
      </c>
    </row>
    <row r="54" spans="6:19" x14ac:dyDescent="0.2">
      <c r="F54">
        <f>COUNTIF('For stats end Y points'!B54:AN54,"&lt;&gt;0")</f>
        <v>12</v>
      </c>
      <c r="S54">
        <v>36</v>
      </c>
    </row>
    <row r="55" spans="6:19" x14ac:dyDescent="0.2">
      <c r="F55">
        <f>COUNTIF('For stats end Y points'!B55:AN55,"&lt;&gt;0")</f>
        <v>7</v>
      </c>
      <c r="S55">
        <v>37</v>
      </c>
    </row>
    <row r="56" spans="6:19" x14ac:dyDescent="0.2">
      <c r="F56">
        <f>COUNTIF('For stats end Y points'!B56:AN56,"&lt;&gt;0")</f>
        <v>6</v>
      </c>
      <c r="S56">
        <v>37</v>
      </c>
    </row>
    <row r="57" spans="6:19" x14ac:dyDescent="0.2">
      <c r="F57">
        <f>COUNTIF('For stats end Y points'!B57:AN57,"&lt;&gt;0")</f>
        <v>32</v>
      </c>
      <c r="S57">
        <v>37</v>
      </c>
    </row>
    <row r="58" spans="6:19" x14ac:dyDescent="0.2">
      <c r="F58">
        <f>COUNTIF('For stats end Y points'!B58:AN58,"&lt;&gt;0")</f>
        <v>5</v>
      </c>
      <c r="S58">
        <v>38</v>
      </c>
    </row>
    <row r="59" spans="6:19" x14ac:dyDescent="0.2">
      <c r="F59">
        <f>COUNTIF('For stats end Y points'!B59:AN59,"&lt;&gt;0")</f>
        <v>10</v>
      </c>
      <c r="S59">
        <v>38</v>
      </c>
    </row>
    <row r="60" spans="6:19" x14ac:dyDescent="0.2">
      <c r="F60">
        <f>COUNTIF('For stats end Y points'!B60:AN60,"&lt;&gt;0")</f>
        <v>2</v>
      </c>
    </row>
    <row r="61" spans="6:19" x14ac:dyDescent="0.2">
      <c r="F61">
        <f>COUNTIF('For stats end Y points'!B61:AN61,"&lt;&gt;0")</f>
        <v>33</v>
      </c>
    </row>
    <row r="62" spans="6:19" x14ac:dyDescent="0.2">
      <c r="F62">
        <f>COUNTIF('For stats end Y points'!B62:AN62,"&lt;&gt;0")</f>
        <v>31</v>
      </c>
    </row>
    <row r="63" spans="6:19" x14ac:dyDescent="0.2">
      <c r="F63">
        <f>COUNTIF('For stats end Y points'!B63:AN63,"&lt;&gt;0")</f>
        <v>1</v>
      </c>
    </row>
    <row r="64" spans="6:19" x14ac:dyDescent="0.2">
      <c r="F64">
        <f>COUNTIF('For stats end Y points'!B64:AN64,"&lt;&gt;0")</f>
        <v>1</v>
      </c>
    </row>
    <row r="65" spans="6:6" x14ac:dyDescent="0.2">
      <c r="F65">
        <f>COUNTIF('For stats end Y points'!B65:AN65,"&lt;&gt;0")</f>
        <v>18</v>
      </c>
    </row>
    <row r="66" spans="6:6" x14ac:dyDescent="0.2">
      <c r="F66">
        <f>COUNTIF('For stats end Y points'!B66:AN66,"&lt;&gt;0")</f>
        <v>33</v>
      </c>
    </row>
    <row r="67" spans="6:6" x14ac:dyDescent="0.2">
      <c r="F67">
        <f>COUNTIF('For stats end Y points'!B67:AN67,"&lt;&gt;0")</f>
        <v>5</v>
      </c>
    </row>
    <row r="68" spans="6:6" x14ac:dyDescent="0.2">
      <c r="F68">
        <f>COUNTIF('For stats end Y points'!B68:AN68,"&lt;&gt;0")</f>
        <v>3</v>
      </c>
    </row>
    <row r="69" spans="6:6" x14ac:dyDescent="0.2">
      <c r="F69">
        <f>COUNTIF('For stats end Y points'!B69:AN69,"&lt;&gt;0")</f>
        <v>9</v>
      </c>
    </row>
    <row r="70" spans="6:6" x14ac:dyDescent="0.2">
      <c r="F70">
        <f>COUNTIF('For stats end Y points'!B70:AN70,"&lt;&gt;0")</f>
        <v>1</v>
      </c>
    </row>
    <row r="71" spans="6:6" x14ac:dyDescent="0.2">
      <c r="F71">
        <f>COUNTIF('For stats end Y points'!B71:AN71,"&lt;&gt;0")</f>
        <v>21</v>
      </c>
    </row>
    <row r="72" spans="6:6" x14ac:dyDescent="0.2">
      <c r="F72">
        <f>COUNTIF('For stats end Y points'!B72:AN72,"&lt;&gt;0")</f>
        <v>15</v>
      </c>
    </row>
    <row r="73" spans="6:6" x14ac:dyDescent="0.2">
      <c r="F73">
        <f>COUNTIF('For stats end Y points'!B73:AN73,"&lt;&gt;0")</f>
        <v>1</v>
      </c>
    </row>
    <row r="74" spans="6:6" x14ac:dyDescent="0.2">
      <c r="F74">
        <f>COUNTIF('For stats end Y points'!B74:AN74,"&lt;&gt;0")</f>
        <v>5</v>
      </c>
    </row>
    <row r="75" spans="6:6" x14ac:dyDescent="0.2">
      <c r="F75">
        <f>COUNTIF('For stats end Y points'!B75:AN75,"&lt;&gt;0")</f>
        <v>32</v>
      </c>
    </row>
    <row r="76" spans="6:6" x14ac:dyDescent="0.2">
      <c r="F76">
        <f>COUNTIF('For stats end Y points'!B76:AN76,"&lt;&gt;0")</f>
        <v>11</v>
      </c>
    </row>
    <row r="77" spans="6:6" x14ac:dyDescent="0.2">
      <c r="F77">
        <f>COUNTIF('For stats end Y points'!B77:AN77,"&lt;&gt;0")</f>
        <v>25</v>
      </c>
    </row>
    <row r="78" spans="6:6" x14ac:dyDescent="0.2">
      <c r="F78">
        <f>COUNTIF('For stats end Y points'!B78:AN78,"&lt;&gt;0")</f>
        <v>24</v>
      </c>
    </row>
    <row r="79" spans="6:6" x14ac:dyDescent="0.2">
      <c r="F79">
        <f>COUNTIF('For stats end Y points'!B79:AN79,"&lt;&gt;0")</f>
        <v>15</v>
      </c>
    </row>
    <row r="80" spans="6:6" x14ac:dyDescent="0.2">
      <c r="F80">
        <f>COUNTIF('For stats end Y points'!B80:AN80,"&lt;&gt;0")</f>
        <v>32</v>
      </c>
    </row>
    <row r="81" spans="6:6" x14ac:dyDescent="0.2">
      <c r="F81">
        <f>COUNTIF('For stats end Y points'!B81:AN81,"&lt;&gt;0")</f>
        <v>20</v>
      </c>
    </row>
    <row r="82" spans="6:6" x14ac:dyDescent="0.2">
      <c r="F82">
        <f>COUNTIF('For stats end Y points'!B82:AN82,"&lt;&gt;0")</f>
        <v>23</v>
      </c>
    </row>
    <row r="83" spans="6:6" x14ac:dyDescent="0.2">
      <c r="F83">
        <f>COUNTIF('For stats end Y points'!B83:AN83,"&lt;&gt;0")</f>
        <v>3</v>
      </c>
    </row>
    <row r="84" spans="6:6" x14ac:dyDescent="0.2">
      <c r="F84">
        <f>COUNTIF('For stats end Y points'!B84:AN84,"&lt;&gt;0")</f>
        <v>14</v>
      </c>
    </row>
    <row r="85" spans="6:6" x14ac:dyDescent="0.2">
      <c r="F85">
        <f>COUNTIF('For stats end Y points'!B85:AN85,"&lt;&gt;0")</f>
        <v>32</v>
      </c>
    </row>
    <row r="86" spans="6:6" x14ac:dyDescent="0.2">
      <c r="F86">
        <f>COUNTIF('For stats end Y points'!B86:AN86,"&lt;&gt;0")</f>
        <v>4</v>
      </c>
    </row>
    <row r="87" spans="6:6" x14ac:dyDescent="0.2">
      <c r="F87">
        <f>COUNTIF('For stats end Y points'!B87:AN87,"&lt;&gt;0")</f>
        <v>28</v>
      </c>
    </row>
    <row r="88" spans="6:6" x14ac:dyDescent="0.2">
      <c r="F88">
        <f>COUNTIF('For stats end Y points'!B88:AN88,"&lt;&gt;0")</f>
        <v>3</v>
      </c>
    </row>
    <row r="89" spans="6:6" x14ac:dyDescent="0.2">
      <c r="F89">
        <f>COUNTIF('For stats end Y points'!B89:AN89,"&lt;&gt;0")</f>
        <v>9</v>
      </c>
    </row>
    <row r="90" spans="6:6" x14ac:dyDescent="0.2">
      <c r="F90">
        <f>COUNTIF('For stats end Y points'!B90:AN90,"&lt;&gt;0")</f>
        <v>9</v>
      </c>
    </row>
    <row r="91" spans="6:6" x14ac:dyDescent="0.2">
      <c r="F91">
        <f>COUNTIF('For stats end Y points'!B91:AN91,"&lt;&gt;0")</f>
        <v>18</v>
      </c>
    </row>
    <row r="92" spans="6:6" x14ac:dyDescent="0.2">
      <c r="F92">
        <f>COUNTIF('For stats end Y points'!B92:AN92,"&lt;&gt;0")</f>
        <v>5</v>
      </c>
    </row>
    <row r="93" spans="6:6" x14ac:dyDescent="0.2">
      <c r="F93">
        <f>COUNTIF('For stats end Y points'!B93:AN93,"&lt;&gt;0")</f>
        <v>26</v>
      </c>
    </row>
    <row r="94" spans="6:6" x14ac:dyDescent="0.2">
      <c r="F94">
        <f>COUNTIF('For stats end Y points'!B94:AN94,"&lt;&gt;0")</f>
        <v>20</v>
      </c>
    </row>
    <row r="95" spans="6:6" x14ac:dyDescent="0.2">
      <c r="F95">
        <f>COUNTIF('For stats end Y points'!B95:AN95,"&lt;&gt;0")</f>
        <v>28</v>
      </c>
    </row>
    <row r="96" spans="6:6" x14ac:dyDescent="0.2">
      <c r="F96">
        <f>COUNTIF('For stats end Y points'!B96:AN96,"&lt;&gt;0")</f>
        <v>17</v>
      </c>
    </row>
    <row r="97" spans="6:6" x14ac:dyDescent="0.2">
      <c r="F97">
        <f>COUNTIF('For stats end Y points'!B97:AN97,"&lt;&gt;0")</f>
        <v>27</v>
      </c>
    </row>
    <row r="98" spans="6:6" x14ac:dyDescent="0.2">
      <c r="F98">
        <f>COUNTIF('For stats end Y points'!B98:AN98,"&lt;&gt;0")</f>
        <v>27</v>
      </c>
    </row>
    <row r="99" spans="6:6" x14ac:dyDescent="0.2">
      <c r="F99">
        <f>COUNTIF('For stats end Y points'!B99:AN99,"&lt;&gt;0")</f>
        <v>8</v>
      </c>
    </row>
    <row r="100" spans="6:6" x14ac:dyDescent="0.2">
      <c r="F100">
        <f>COUNTIF('For stats end Y points'!B100:AN100,"&lt;&gt;0")</f>
        <v>1</v>
      </c>
    </row>
    <row r="101" spans="6:6" x14ac:dyDescent="0.2">
      <c r="F101">
        <f>COUNTIF('For stats end Y points'!B101:AN101,"&lt;&gt;0")</f>
        <v>20</v>
      </c>
    </row>
    <row r="102" spans="6:6" x14ac:dyDescent="0.2">
      <c r="F102">
        <f>COUNTIF('For stats end Y points'!B102:AN102,"&lt;&gt;0")</f>
        <v>25</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6FAD4-9CD3-124C-91B4-D679102C2BAB}">
  <dimension ref="A1:C10"/>
  <sheetViews>
    <sheetView topLeftCell="O1" workbookViewId="0">
      <selection activeCell="B2" sqref="B2:B10"/>
    </sheetView>
  </sheetViews>
  <sheetFormatPr baseColWidth="10" defaultRowHeight="16" x14ac:dyDescent="0.2"/>
  <sheetData>
    <row r="1" spans="1:3" x14ac:dyDescent="0.2">
      <c r="A1" t="s">
        <v>496</v>
      </c>
      <c r="B1" t="s">
        <v>449</v>
      </c>
    </row>
    <row r="2" spans="1:3" x14ac:dyDescent="0.2">
      <c r="A2">
        <v>6.5</v>
      </c>
      <c r="B2">
        <v>52</v>
      </c>
      <c r="C2" t="s">
        <v>497</v>
      </c>
    </row>
    <row r="3" spans="1:3" x14ac:dyDescent="0.2">
      <c r="A3">
        <v>9.5</v>
      </c>
      <c r="B3">
        <v>47</v>
      </c>
    </row>
    <row r="4" spans="1:3" x14ac:dyDescent="0.2">
      <c r="A4">
        <v>12.5</v>
      </c>
      <c r="B4">
        <v>27</v>
      </c>
      <c r="C4" t="s">
        <v>497</v>
      </c>
    </row>
    <row r="5" spans="1:3" x14ac:dyDescent="0.2">
      <c r="A5">
        <v>15.5</v>
      </c>
      <c r="B5">
        <v>38</v>
      </c>
    </row>
    <row r="6" spans="1:3" x14ac:dyDescent="0.2">
      <c r="A6">
        <v>18.5</v>
      </c>
      <c r="B6">
        <v>45</v>
      </c>
      <c r="C6" t="s">
        <v>497</v>
      </c>
    </row>
    <row r="7" spans="1:3" x14ac:dyDescent="0.2">
      <c r="A7">
        <v>22.5</v>
      </c>
      <c r="B7">
        <v>32</v>
      </c>
    </row>
    <row r="8" spans="1:3" x14ac:dyDescent="0.2">
      <c r="A8">
        <v>25.5</v>
      </c>
      <c r="B8">
        <v>30</v>
      </c>
      <c r="C8" t="s">
        <v>497</v>
      </c>
    </row>
    <row r="9" spans="1:3" x14ac:dyDescent="0.2">
      <c r="A9">
        <v>27.5</v>
      </c>
      <c r="B9">
        <v>32</v>
      </c>
    </row>
    <row r="10" spans="1:3" x14ac:dyDescent="0.2">
      <c r="A10">
        <v>30.5</v>
      </c>
      <c r="B10">
        <v>22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739DC-515E-B640-88F4-2C5EF5C08D5B}">
  <sheetPr filterMode="1"/>
  <dimension ref="A1:E660"/>
  <sheetViews>
    <sheetView topLeftCell="A126" zoomScale="115" workbookViewId="0">
      <selection activeCell="B74" sqref="B74"/>
    </sheetView>
  </sheetViews>
  <sheetFormatPr baseColWidth="10" defaultRowHeight="16" x14ac:dyDescent="0.2"/>
  <sheetData>
    <row r="1" spans="1:5" x14ac:dyDescent="0.2">
      <c r="A1" s="1" t="s">
        <v>0</v>
      </c>
      <c r="E1" s="5" t="s">
        <v>306</v>
      </c>
    </row>
    <row r="2" spans="1:5" hidden="1" x14ac:dyDescent="0.2">
      <c r="A2" s="1" t="s">
        <v>1</v>
      </c>
      <c r="B2" s="1" t="s">
        <v>2</v>
      </c>
      <c r="C2" s="1" t="s">
        <v>3</v>
      </c>
      <c r="D2" s="1" t="s">
        <v>4</v>
      </c>
      <c r="E2" s="4">
        <v>1</v>
      </c>
    </row>
    <row r="3" spans="1:5" hidden="1" x14ac:dyDescent="0.2">
      <c r="B3" t="s">
        <v>52</v>
      </c>
      <c r="E3" s="3">
        <f>IF(A3=$A$1,E2+1,E2)</f>
        <v>1</v>
      </c>
    </row>
    <row r="4" spans="1:5" hidden="1" x14ac:dyDescent="0.2">
      <c r="B4" t="s">
        <v>42</v>
      </c>
      <c r="E4" s="3">
        <f t="shared" ref="E4:E67" si="0">IF(A4=$A$1,E3+1,E3)</f>
        <v>1</v>
      </c>
    </row>
    <row r="5" spans="1:5" hidden="1" x14ac:dyDescent="0.2">
      <c r="B5" t="s">
        <v>450</v>
      </c>
      <c r="E5" s="3">
        <f t="shared" si="0"/>
        <v>1</v>
      </c>
    </row>
    <row r="6" spans="1:5" hidden="1" x14ac:dyDescent="0.2">
      <c r="B6" t="s">
        <v>74</v>
      </c>
      <c r="E6" s="3">
        <f t="shared" si="0"/>
        <v>1</v>
      </c>
    </row>
    <row r="7" spans="1:5" hidden="1" x14ac:dyDescent="0.2">
      <c r="B7" t="s">
        <v>48</v>
      </c>
      <c r="E7" s="3">
        <f t="shared" si="0"/>
        <v>1</v>
      </c>
    </row>
    <row r="8" spans="1:5" hidden="1" x14ac:dyDescent="0.2">
      <c r="B8" t="s">
        <v>454</v>
      </c>
      <c r="E8" s="3">
        <f t="shared" si="0"/>
        <v>1</v>
      </c>
    </row>
    <row r="9" spans="1:5" hidden="1" x14ac:dyDescent="0.2">
      <c r="B9" t="s">
        <v>46</v>
      </c>
      <c r="E9" s="3">
        <f t="shared" si="0"/>
        <v>1</v>
      </c>
    </row>
    <row r="10" spans="1:5" hidden="1" x14ac:dyDescent="0.2">
      <c r="A10" s="1" t="s">
        <v>11</v>
      </c>
      <c r="E10" s="3">
        <f t="shared" si="0"/>
        <v>1</v>
      </c>
    </row>
    <row r="11" spans="1:5" hidden="1" x14ac:dyDescent="0.2">
      <c r="A11" s="1" t="s">
        <v>1</v>
      </c>
      <c r="B11" s="1" t="s">
        <v>2</v>
      </c>
      <c r="C11" s="1" t="s">
        <v>3</v>
      </c>
      <c r="D11" s="1" t="s">
        <v>4</v>
      </c>
      <c r="E11" s="3">
        <f t="shared" si="0"/>
        <v>1</v>
      </c>
    </row>
    <row r="12" spans="1:5" hidden="1" x14ac:dyDescent="0.2">
      <c r="B12" t="s">
        <v>345</v>
      </c>
      <c r="E12" s="3">
        <f t="shared" si="0"/>
        <v>1</v>
      </c>
    </row>
    <row r="13" spans="1:5" hidden="1" x14ac:dyDescent="0.2">
      <c r="B13" t="s">
        <v>75</v>
      </c>
      <c r="E13" s="3">
        <f t="shared" si="0"/>
        <v>1</v>
      </c>
    </row>
    <row r="14" spans="1:5" hidden="1" x14ac:dyDescent="0.2">
      <c r="B14" t="s">
        <v>87</v>
      </c>
      <c r="E14" s="3">
        <f t="shared" si="0"/>
        <v>1</v>
      </c>
    </row>
    <row r="15" spans="1:5" hidden="1" x14ac:dyDescent="0.2">
      <c r="B15" t="s">
        <v>28</v>
      </c>
      <c r="E15" s="3">
        <f t="shared" si="0"/>
        <v>1</v>
      </c>
    </row>
    <row r="16" spans="1:5" hidden="1" x14ac:dyDescent="0.2">
      <c r="B16" s="11" t="s">
        <v>26</v>
      </c>
      <c r="E16" s="3">
        <f t="shared" si="0"/>
        <v>1</v>
      </c>
    </row>
    <row r="17" spans="1:5" hidden="1" x14ac:dyDescent="0.2">
      <c r="B17" t="s">
        <v>498</v>
      </c>
      <c r="E17" s="3">
        <f t="shared" si="0"/>
        <v>1</v>
      </c>
    </row>
    <row r="18" spans="1:5" hidden="1" x14ac:dyDescent="0.2">
      <c r="A18" s="1" t="s">
        <v>17</v>
      </c>
      <c r="E18" s="3">
        <f t="shared" si="0"/>
        <v>1</v>
      </c>
    </row>
    <row r="19" spans="1:5" hidden="1" x14ac:dyDescent="0.2">
      <c r="A19" s="1" t="s">
        <v>1</v>
      </c>
      <c r="B19" s="1" t="s">
        <v>2</v>
      </c>
      <c r="C19" s="1" t="s">
        <v>3</v>
      </c>
      <c r="D19" s="1" t="s">
        <v>4</v>
      </c>
      <c r="E19" s="3">
        <f t="shared" si="0"/>
        <v>1</v>
      </c>
    </row>
    <row r="20" spans="1:5" hidden="1" x14ac:dyDescent="0.2">
      <c r="B20" t="s">
        <v>368</v>
      </c>
      <c r="E20" s="3">
        <f t="shared" si="0"/>
        <v>1</v>
      </c>
    </row>
    <row r="21" spans="1:5" hidden="1" x14ac:dyDescent="0.2">
      <c r="B21" t="s">
        <v>18</v>
      </c>
      <c r="E21" s="3">
        <f t="shared" si="0"/>
        <v>1</v>
      </c>
    </row>
    <row r="22" spans="1:5" hidden="1" x14ac:dyDescent="0.2">
      <c r="B22" t="s">
        <v>66</v>
      </c>
      <c r="E22" s="3">
        <f t="shared" si="0"/>
        <v>1</v>
      </c>
    </row>
    <row r="23" spans="1:5" hidden="1" x14ac:dyDescent="0.2">
      <c r="B23" t="s">
        <v>32</v>
      </c>
      <c r="E23" s="3">
        <f t="shared" si="0"/>
        <v>1</v>
      </c>
    </row>
    <row r="24" spans="1:5" hidden="1" x14ac:dyDescent="0.2">
      <c r="B24" t="s">
        <v>76</v>
      </c>
      <c r="E24" s="3">
        <f t="shared" si="0"/>
        <v>1</v>
      </c>
    </row>
    <row r="25" spans="1:5" hidden="1" x14ac:dyDescent="0.2">
      <c r="B25" t="s">
        <v>499</v>
      </c>
      <c r="E25" s="3">
        <f t="shared" si="0"/>
        <v>1</v>
      </c>
    </row>
    <row r="26" spans="1:5" hidden="1" x14ac:dyDescent="0.2">
      <c r="B26" t="s">
        <v>15</v>
      </c>
      <c r="E26" s="3">
        <f t="shared" si="0"/>
        <v>1</v>
      </c>
    </row>
    <row r="27" spans="1:5" hidden="1" x14ac:dyDescent="0.2">
      <c r="A27" s="1" t="s">
        <v>24</v>
      </c>
      <c r="E27" s="3">
        <f t="shared" si="0"/>
        <v>1</v>
      </c>
    </row>
    <row r="28" spans="1:5" hidden="1" x14ac:dyDescent="0.2">
      <c r="A28" s="1" t="s">
        <v>1</v>
      </c>
      <c r="B28" s="1" t="s">
        <v>2</v>
      </c>
      <c r="C28" s="1" t="s">
        <v>3</v>
      </c>
      <c r="D28" s="1" t="s">
        <v>4</v>
      </c>
      <c r="E28" s="3">
        <f t="shared" si="0"/>
        <v>1</v>
      </c>
    </row>
    <row r="29" spans="1:5" hidden="1" x14ac:dyDescent="0.2">
      <c r="B29" t="s">
        <v>12</v>
      </c>
      <c r="E29" s="3">
        <f t="shared" si="0"/>
        <v>1</v>
      </c>
    </row>
    <row r="30" spans="1:5" hidden="1" x14ac:dyDescent="0.2">
      <c r="B30" t="s">
        <v>59</v>
      </c>
      <c r="E30" s="3">
        <f t="shared" si="0"/>
        <v>1</v>
      </c>
    </row>
    <row r="31" spans="1:5" hidden="1" x14ac:dyDescent="0.2">
      <c r="B31" t="s">
        <v>453</v>
      </c>
      <c r="E31" s="3">
        <f t="shared" si="0"/>
        <v>1</v>
      </c>
    </row>
    <row r="32" spans="1:5" hidden="1" x14ac:dyDescent="0.2">
      <c r="B32" t="s">
        <v>33</v>
      </c>
      <c r="E32" s="3">
        <f t="shared" si="0"/>
        <v>1</v>
      </c>
    </row>
    <row r="33" spans="1:5" hidden="1" x14ac:dyDescent="0.2">
      <c r="B33" t="s">
        <v>55</v>
      </c>
      <c r="E33" s="3">
        <f t="shared" si="0"/>
        <v>1</v>
      </c>
    </row>
    <row r="34" spans="1:5" hidden="1" x14ac:dyDescent="0.2">
      <c r="B34" t="s">
        <v>53</v>
      </c>
      <c r="E34" s="3">
        <f t="shared" si="0"/>
        <v>1</v>
      </c>
    </row>
    <row r="35" spans="1:5" hidden="1" x14ac:dyDescent="0.2">
      <c r="B35" t="s">
        <v>68</v>
      </c>
      <c r="E35" s="3">
        <f t="shared" si="0"/>
        <v>1</v>
      </c>
    </row>
    <row r="36" spans="1:5" hidden="1" x14ac:dyDescent="0.2">
      <c r="A36" s="1" t="s">
        <v>30</v>
      </c>
      <c r="E36" s="3">
        <f t="shared" si="0"/>
        <v>1</v>
      </c>
    </row>
    <row r="37" spans="1:5" hidden="1" x14ac:dyDescent="0.2">
      <c r="A37" s="1" t="s">
        <v>1</v>
      </c>
      <c r="B37" s="1" t="s">
        <v>2</v>
      </c>
      <c r="C37" s="1" t="s">
        <v>3</v>
      </c>
      <c r="D37" s="1" t="s">
        <v>4</v>
      </c>
      <c r="E37" s="3">
        <f t="shared" si="0"/>
        <v>1</v>
      </c>
    </row>
    <row r="38" spans="1:5" hidden="1" x14ac:dyDescent="0.2">
      <c r="B38" t="s">
        <v>60</v>
      </c>
      <c r="E38" s="3">
        <f t="shared" si="0"/>
        <v>1</v>
      </c>
    </row>
    <row r="39" spans="1:5" hidden="1" x14ac:dyDescent="0.2">
      <c r="B39" t="s">
        <v>35</v>
      </c>
      <c r="E39" s="3">
        <f t="shared" si="0"/>
        <v>1</v>
      </c>
    </row>
    <row r="40" spans="1:5" hidden="1" x14ac:dyDescent="0.2">
      <c r="B40" t="s">
        <v>65</v>
      </c>
      <c r="E40" s="3">
        <f t="shared" si="0"/>
        <v>1</v>
      </c>
    </row>
    <row r="41" spans="1:5" hidden="1" x14ac:dyDescent="0.2">
      <c r="B41" t="s">
        <v>264</v>
      </c>
      <c r="E41" s="3">
        <f t="shared" si="0"/>
        <v>1</v>
      </c>
    </row>
    <row r="42" spans="1:5" hidden="1" x14ac:dyDescent="0.2">
      <c r="B42" t="s">
        <v>21</v>
      </c>
      <c r="E42" s="3">
        <f t="shared" si="0"/>
        <v>1</v>
      </c>
    </row>
    <row r="43" spans="1:5" hidden="1" x14ac:dyDescent="0.2">
      <c r="B43" t="s">
        <v>478</v>
      </c>
      <c r="E43" s="3">
        <f t="shared" si="0"/>
        <v>1</v>
      </c>
    </row>
    <row r="44" spans="1:5" hidden="1" x14ac:dyDescent="0.2">
      <c r="A44" s="1" t="s">
        <v>37</v>
      </c>
      <c r="E44" s="3">
        <f t="shared" si="0"/>
        <v>1</v>
      </c>
    </row>
    <row r="45" spans="1:5" hidden="1" x14ac:dyDescent="0.2">
      <c r="A45" s="1" t="s">
        <v>1</v>
      </c>
      <c r="B45" s="1" t="s">
        <v>2</v>
      </c>
      <c r="C45" s="1" t="s">
        <v>3</v>
      </c>
      <c r="D45" s="1" t="s">
        <v>4</v>
      </c>
      <c r="E45" s="3">
        <f t="shared" si="0"/>
        <v>1</v>
      </c>
    </row>
    <row r="46" spans="1:5" hidden="1" x14ac:dyDescent="0.2">
      <c r="B46" t="s">
        <v>84</v>
      </c>
      <c r="E46" s="3">
        <f t="shared" si="0"/>
        <v>1</v>
      </c>
    </row>
    <row r="47" spans="1:5" hidden="1" x14ac:dyDescent="0.2">
      <c r="B47" t="s">
        <v>20</v>
      </c>
      <c r="E47" s="3">
        <f t="shared" si="0"/>
        <v>1</v>
      </c>
    </row>
    <row r="48" spans="1:5" hidden="1" x14ac:dyDescent="0.2">
      <c r="B48" t="s">
        <v>5</v>
      </c>
      <c r="E48" s="3">
        <f t="shared" si="0"/>
        <v>1</v>
      </c>
    </row>
    <row r="49" spans="1:5" hidden="1" x14ac:dyDescent="0.2">
      <c r="B49" t="s">
        <v>39</v>
      </c>
      <c r="E49" s="3">
        <f t="shared" si="0"/>
        <v>1</v>
      </c>
    </row>
    <row r="50" spans="1:5" hidden="1" x14ac:dyDescent="0.2">
      <c r="B50" t="s">
        <v>82</v>
      </c>
      <c r="E50" s="3">
        <f t="shared" si="0"/>
        <v>1</v>
      </c>
    </row>
    <row r="51" spans="1:5" hidden="1" x14ac:dyDescent="0.2">
      <c r="B51" t="s">
        <v>9</v>
      </c>
      <c r="E51" s="3">
        <f t="shared" si="0"/>
        <v>1</v>
      </c>
    </row>
    <row r="52" spans="1:5" hidden="1" x14ac:dyDescent="0.2">
      <c r="B52" t="s">
        <v>302</v>
      </c>
      <c r="E52" s="3">
        <f t="shared" si="0"/>
        <v>1</v>
      </c>
    </row>
    <row r="53" spans="1:5" hidden="1" x14ac:dyDescent="0.2">
      <c r="A53" s="1" t="s">
        <v>44</v>
      </c>
      <c r="E53" s="3">
        <f t="shared" si="0"/>
        <v>1</v>
      </c>
    </row>
    <row r="54" spans="1:5" hidden="1" x14ac:dyDescent="0.2">
      <c r="A54" s="1" t="s">
        <v>1</v>
      </c>
      <c r="B54" s="1" t="s">
        <v>2</v>
      </c>
      <c r="C54" s="1" t="s">
        <v>3</v>
      </c>
      <c r="D54" s="1" t="s">
        <v>4</v>
      </c>
      <c r="E54" s="3">
        <f t="shared" si="0"/>
        <v>1</v>
      </c>
    </row>
    <row r="55" spans="1:5" hidden="1" x14ac:dyDescent="0.2">
      <c r="B55" t="s">
        <v>463</v>
      </c>
      <c r="E55" s="3">
        <f t="shared" si="0"/>
        <v>1</v>
      </c>
    </row>
    <row r="56" spans="1:5" hidden="1" x14ac:dyDescent="0.2">
      <c r="B56" t="s">
        <v>99</v>
      </c>
      <c r="E56" s="3">
        <f t="shared" si="0"/>
        <v>1</v>
      </c>
    </row>
    <row r="57" spans="1:5" hidden="1" x14ac:dyDescent="0.2">
      <c r="B57" t="s">
        <v>19</v>
      </c>
      <c r="E57" s="3">
        <f t="shared" si="0"/>
        <v>1</v>
      </c>
    </row>
    <row r="58" spans="1:5" hidden="1" x14ac:dyDescent="0.2">
      <c r="B58" t="s">
        <v>73</v>
      </c>
      <c r="E58" s="3">
        <f t="shared" si="0"/>
        <v>1</v>
      </c>
    </row>
    <row r="59" spans="1:5" hidden="1" x14ac:dyDescent="0.2">
      <c r="B59" t="s">
        <v>45</v>
      </c>
      <c r="E59" s="3">
        <f t="shared" si="0"/>
        <v>1</v>
      </c>
    </row>
    <row r="60" spans="1:5" hidden="1" x14ac:dyDescent="0.2">
      <c r="B60" t="s">
        <v>50</v>
      </c>
      <c r="E60" s="3">
        <f t="shared" si="0"/>
        <v>1</v>
      </c>
    </row>
    <row r="61" spans="1:5" hidden="1" x14ac:dyDescent="0.2">
      <c r="A61" s="1" t="s">
        <v>51</v>
      </c>
      <c r="E61" s="3">
        <f t="shared" si="0"/>
        <v>1</v>
      </c>
    </row>
    <row r="62" spans="1:5" hidden="1" x14ac:dyDescent="0.2">
      <c r="A62" s="1" t="s">
        <v>1</v>
      </c>
      <c r="B62" s="1" t="s">
        <v>2</v>
      </c>
      <c r="C62" s="1" t="s">
        <v>3</v>
      </c>
      <c r="D62" s="1" t="s">
        <v>4</v>
      </c>
      <c r="E62" s="3">
        <f t="shared" si="0"/>
        <v>1</v>
      </c>
    </row>
    <row r="63" spans="1:5" hidden="1" x14ac:dyDescent="0.2">
      <c r="B63" t="s">
        <v>14</v>
      </c>
      <c r="E63" s="3">
        <f t="shared" si="0"/>
        <v>1</v>
      </c>
    </row>
    <row r="64" spans="1:5" hidden="1" x14ac:dyDescent="0.2">
      <c r="B64" t="s">
        <v>462</v>
      </c>
      <c r="E64" s="3">
        <f t="shared" si="0"/>
        <v>1</v>
      </c>
    </row>
    <row r="65" spans="1:5" hidden="1" x14ac:dyDescent="0.2">
      <c r="B65" t="s">
        <v>41</v>
      </c>
      <c r="E65" s="3">
        <f t="shared" si="0"/>
        <v>1</v>
      </c>
    </row>
    <row r="66" spans="1:5" hidden="1" x14ac:dyDescent="0.2">
      <c r="B66" t="s">
        <v>280</v>
      </c>
      <c r="E66" s="3">
        <f t="shared" si="0"/>
        <v>1</v>
      </c>
    </row>
    <row r="67" spans="1:5" hidden="1" x14ac:dyDescent="0.2">
      <c r="B67" t="s">
        <v>461</v>
      </c>
      <c r="E67" s="3">
        <f t="shared" si="0"/>
        <v>1</v>
      </c>
    </row>
    <row r="68" spans="1:5" hidden="1" x14ac:dyDescent="0.2">
      <c r="B68" t="s">
        <v>88</v>
      </c>
      <c r="E68" s="3">
        <f t="shared" ref="E68:E131" si="1">IF(A68=$A$1,E67+1,E67)</f>
        <v>1</v>
      </c>
    </row>
    <row r="69" spans="1:5" x14ac:dyDescent="0.2">
      <c r="A69" s="1" t="s">
        <v>0</v>
      </c>
      <c r="E69" s="3">
        <f t="shared" si="1"/>
        <v>2</v>
      </c>
    </row>
    <row r="70" spans="1:5" x14ac:dyDescent="0.2">
      <c r="A70" s="1" t="s">
        <v>1</v>
      </c>
      <c r="B70" s="1" t="s">
        <v>2</v>
      </c>
      <c r="C70" s="1" t="s">
        <v>3</v>
      </c>
      <c r="D70" s="1" t="s">
        <v>4</v>
      </c>
      <c r="E70" s="3">
        <f t="shared" si="1"/>
        <v>2</v>
      </c>
    </row>
    <row r="71" spans="1:5" x14ac:dyDescent="0.2">
      <c r="A71">
        <v>0</v>
      </c>
      <c r="C71">
        <v>0</v>
      </c>
      <c r="D71">
        <v>0</v>
      </c>
      <c r="E71" s="3">
        <f t="shared" si="1"/>
        <v>2</v>
      </c>
    </row>
    <row r="72" spans="1:5" x14ac:dyDescent="0.2">
      <c r="A72">
        <v>0</v>
      </c>
      <c r="C72">
        <v>0</v>
      </c>
      <c r="D72">
        <v>0</v>
      </c>
      <c r="E72" s="3">
        <f t="shared" si="1"/>
        <v>2</v>
      </c>
    </row>
    <row r="73" spans="1:5" x14ac:dyDescent="0.2">
      <c r="A73">
        <v>1</v>
      </c>
      <c r="B73" t="s">
        <v>46</v>
      </c>
      <c r="C73">
        <v>2</v>
      </c>
      <c r="D73">
        <v>16</v>
      </c>
      <c r="E73" s="3">
        <f t="shared" si="1"/>
        <v>2</v>
      </c>
    </row>
    <row r="74" spans="1:5" x14ac:dyDescent="0.2">
      <c r="A74">
        <v>2</v>
      </c>
      <c r="B74" t="s">
        <v>14</v>
      </c>
      <c r="C74">
        <v>2</v>
      </c>
      <c r="D74">
        <v>12</v>
      </c>
      <c r="E74" s="3">
        <f t="shared" si="1"/>
        <v>2</v>
      </c>
    </row>
    <row r="75" spans="1:5" x14ac:dyDescent="0.2">
      <c r="A75">
        <v>3</v>
      </c>
      <c r="B75" t="s">
        <v>59</v>
      </c>
      <c r="C75">
        <v>0</v>
      </c>
      <c r="D75">
        <v>8</v>
      </c>
      <c r="E75" s="3">
        <f t="shared" si="1"/>
        <v>2</v>
      </c>
    </row>
    <row r="76" spans="1:5" x14ac:dyDescent="0.2">
      <c r="A76">
        <v>4</v>
      </c>
      <c r="B76" t="s">
        <v>28</v>
      </c>
      <c r="C76">
        <v>1</v>
      </c>
      <c r="D76">
        <v>4</v>
      </c>
      <c r="E76" s="3">
        <f t="shared" si="1"/>
        <v>2</v>
      </c>
    </row>
    <row r="77" spans="1:5" x14ac:dyDescent="0.2">
      <c r="A77">
        <v>5</v>
      </c>
      <c r="B77" t="s">
        <v>76</v>
      </c>
      <c r="C77">
        <v>0</v>
      </c>
      <c r="D77">
        <v>2</v>
      </c>
      <c r="E77" s="3">
        <f t="shared" si="1"/>
        <v>2</v>
      </c>
    </row>
    <row r="78" spans="1:5" x14ac:dyDescent="0.2">
      <c r="A78">
        <v>6</v>
      </c>
      <c r="B78" t="s">
        <v>68</v>
      </c>
      <c r="C78">
        <v>0</v>
      </c>
      <c r="D78">
        <v>1</v>
      </c>
      <c r="E78" s="3">
        <f t="shared" si="1"/>
        <v>2</v>
      </c>
    </row>
    <row r="79" spans="1:5" x14ac:dyDescent="0.2">
      <c r="A79">
        <v>9</v>
      </c>
      <c r="B79" s="2" t="s">
        <v>10</v>
      </c>
      <c r="C79" s="2" t="s">
        <v>10</v>
      </c>
      <c r="D79" s="2" t="s">
        <v>10</v>
      </c>
      <c r="E79" s="3">
        <f t="shared" si="1"/>
        <v>2</v>
      </c>
    </row>
    <row r="80" spans="1:5" x14ac:dyDescent="0.2">
      <c r="A80">
        <v>10</v>
      </c>
      <c r="B80" s="2" t="s">
        <v>10</v>
      </c>
      <c r="C80" s="2" t="s">
        <v>10</v>
      </c>
      <c r="D80" s="2" t="s">
        <v>10</v>
      </c>
      <c r="E80" s="3">
        <f t="shared" si="1"/>
        <v>2</v>
      </c>
    </row>
    <row r="81" spans="1:5" x14ac:dyDescent="0.2">
      <c r="A81" s="1" t="s">
        <v>11</v>
      </c>
      <c r="E81" s="3">
        <f t="shared" si="1"/>
        <v>2</v>
      </c>
    </row>
    <row r="82" spans="1:5" x14ac:dyDescent="0.2">
      <c r="A82" s="1" t="s">
        <v>1</v>
      </c>
      <c r="B82" s="1" t="s">
        <v>2</v>
      </c>
      <c r="C82" s="1" t="s">
        <v>3</v>
      </c>
      <c r="D82" s="1" t="s">
        <v>4</v>
      </c>
      <c r="E82" s="3">
        <f t="shared" si="1"/>
        <v>2</v>
      </c>
    </row>
    <row r="83" spans="1:5" x14ac:dyDescent="0.2">
      <c r="A83">
        <v>1</v>
      </c>
      <c r="B83" t="s">
        <v>60</v>
      </c>
      <c r="C83">
        <v>3</v>
      </c>
      <c r="D83">
        <v>16</v>
      </c>
      <c r="E83" s="3">
        <f t="shared" si="1"/>
        <v>2</v>
      </c>
    </row>
    <row r="84" spans="1:5" x14ac:dyDescent="0.2">
      <c r="A84">
        <v>2</v>
      </c>
      <c r="B84" t="s">
        <v>25</v>
      </c>
      <c r="C84">
        <v>1</v>
      </c>
      <c r="D84">
        <v>12</v>
      </c>
      <c r="E84" s="3">
        <f t="shared" si="1"/>
        <v>2</v>
      </c>
    </row>
    <row r="85" spans="1:5" x14ac:dyDescent="0.2">
      <c r="A85">
        <v>3</v>
      </c>
      <c r="B85" t="s">
        <v>75</v>
      </c>
      <c r="C85">
        <v>0</v>
      </c>
      <c r="D85">
        <v>8</v>
      </c>
      <c r="E85" s="3">
        <f t="shared" si="1"/>
        <v>2</v>
      </c>
    </row>
    <row r="86" spans="1:5" x14ac:dyDescent="0.2">
      <c r="A86">
        <v>4</v>
      </c>
      <c r="B86" t="s">
        <v>368</v>
      </c>
      <c r="C86">
        <v>1</v>
      </c>
      <c r="D86">
        <v>4</v>
      </c>
      <c r="E86" s="3">
        <f t="shared" si="1"/>
        <v>2</v>
      </c>
    </row>
    <row r="87" spans="1:5" x14ac:dyDescent="0.2">
      <c r="A87">
        <v>5</v>
      </c>
      <c r="B87" t="s">
        <v>455</v>
      </c>
      <c r="C87">
        <v>0</v>
      </c>
      <c r="D87">
        <v>2</v>
      </c>
      <c r="E87" s="3">
        <f t="shared" si="1"/>
        <v>2</v>
      </c>
    </row>
    <row r="88" spans="1:5" x14ac:dyDescent="0.2">
      <c r="A88">
        <v>6</v>
      </c>
      <c r="B88" t="s">
        <v>450</v>
      </c>
      <c r="C88">
        <v>0</v>
      </c>
      <c r="D88">
        <v>1</v>
      </c>
      <c r="E88" s="3">
        <f t="shared" si="1"/>
        <v>2</v>
      </c>
    </row>
    <row r="89" spans="1:5" x14ac:dyDescent="0.2">
      <c r="A89">
        <v>7</v>
      </c>
      <c r="B89" s="2" t="s">
        <v>10</v>
      </c>
      <c r="C89" s="2" t="s">
        <v>10</v>
      </c>
      <c r="D89" s="2" t="s">
        <v>10</v>
      </c>
      <c r="E89" s="3">
        <f t="shared" si="1"/>
        <v>2</v>
      </c>
    </row>
    <row r="90" spans="1:5" x14ac:dyDescent="0.2">
      <c r="A90">
        <v>8</v>
      </c>
      <c r="B90" s="2" t="s">
        <v>10</v>
      </c>
      <c r="C90" s="2" t="s">
        <v>10</v>
      </c>
      <c r="D90" s="2" t="s">
        <v>10</v>
      </c>
      <c r="E90" s="3">
        <f t="shared" si="1"/>
        <v>2</v>
      </c>
    </row>
    <row r="91" spans="1:5" x14ac:dyDescent="0.2">
      <c r="A91" s="1" t="s">
        <v>17</v>
      </c>
      <c r="E91" s="3">
        <f t="shared" si="1"/>
        <v>2</v>
      </c>
    </row>
    <row r="92" spans="1:5" x14ac:dyDescent="0.2">
      <c r="A92" s="1" t="s">
        <v>1</v>
      </c>
      <c r="B92" s="1" t="s">
        <v>2</v>
      </c>
      <c r="C92" s="1" t="s">
        <v>3</v>
      </c>
      <c r="D92" s="1" t="s">
        <v>4</v>
      </c>
      <c r="E92" s="3">
        <f t="shared" si="1"/>
        <v>2</v>
      </c>
    </row>
    <row r="93" spans="1:5" x14ac:dyDescent="0.2">
      <c r="A93">
        <v>1</v>
      </c>
      <c r="B93" t="s">
        <v>81</v>
      </c>
      <c r="C93">
        <v>4</v>
      </c>
      <c r="D93">
        <v>16</v>
      </c>
      <c r="E93" s="3">
        <f t="shared" si="1"/>
        <v>2</v>
      </c>
    </row>
    <row r="94" spans="1:5" x14ac:dyDescent="0.2">
      <c r="A94">
        <v>2</v>
      </c>
      <c r="B94" t="s">
        <v>41</v>
      </c>
      <c r="C94">
        <v>0</v>
      </c>
      <c r="D94">
        <v>12</v>
      </c>
      <c r="E94" s="3">
        <f t="shared" si="1"/>
        <v>2</v>
      </c>
    </row>
    <row r="95" spans="1:5" x14ac:dyDescent="0.2">
      <c r="A95">
        <v>3</v>
      </c>
      <c r="B95" t="s">
        <v>29</v>
      </c>
      <c r="C95">
        <v>0</v>
      </c>
      <c r="D95">
        <v>8</v>
      </c>
      <c r="E95" s="3">
        <f t="shared" si="1"/>
        <v>2</v>
      </c>
    </row>
    <row r="96" spans="1:5" x14ac:dyDescent="0.2">
      <c r="A96">
        <v>4</v>
      </c>
      <c r="B96" t="s">
        <v>55</v>
      </c>
      <c r="C96">
        <v>1</v>
      </c>
      <c r="D96">
        <v>4</v>
      </c>
      <c r="E96" s="3">
        <f t="shared" si="1"/>
        <v>2</v>
      </c>
    </row>
    <row r="97" spans="1:5" x14ac:dyDescent="0.2">
      <c r="A97">
        <v>5</v>
      </c>
      <c r="B97" t="s">
        <v>33</v>
      </c>
      <c r="C97">
        <v>0</v>
      </c>
      <c r="D97">
        <v>2</v>
      </c>
      <c r="E97" s="3">
        <f t="shared" si="1"/>
        <v>2</v>
      </c>
    </row>
    <row r="98" spans="1:5" x14ac:dyDescent="0.2">
      <c r="A98">
        <v>6</v>
      </c>
      <c r="B98" t="s">
        <v>91</v>
      </c>
      <c r="C98">
        <v>0</v>
      </c>
      <c r="D98">
        <v>1</v>
      </c>
      <c r="E98" s="3">
        <f t="shared" si="1"/>
        <v>2</v>
      </c>
    </row>
    <row r="99" spans="1:5" x14ac:dyDescent="0.2">
      <c r="A99">
        <v>7</v>
      </c>
      <c r="B99" s="2" t="s">
        <v>10</v>
      </c>
      <c r="C99" s="2" t="s">
        <v>10</v>
      </c>
      <c r="D99" s="2" t="s">
        <v>10</v>
      </c>
      <c r="E99" s="3">
        <f t="shared" si="1"/>
        <v>2</v>
      </c>
    </row>
    <row r="100" spans="1:5" x14ac:dyDescent="0.2">
      <c r="A100">
        <v>8</v>
      </c>
      <c r="B100" s="2" t="s">
        <v>10</v>
      </c>
      <c r="C100" s="2" t="s">
        <v>10</v>
      </c>
      <c r="D100" s="2" t="s">
        <v>10</v>
      </c>
      <c r="E100" s="3">
        <f t="shared" si="1"/>
        <v>2</v>
      </c>
    </row>
    <row r="101" spans="1:5" x14ac:dyDescent="0.2">
      <c r="A101" s="1" t="s">
        <v>24</v>
      </c>
      <c r="E101" s="3">
        <f t="shared" si="1"/>
        <v>2</v>
      </c>
    </row>
    <row r="102" spans="1:5" x14ac:dyDescent="0.2">
      <c r="A102" s="1" t="s">
        <v>1</v>
      </c>
      <c r="B102" s="1" t="s">
        <v>2</v>
      </c>
      <c r="C102" s="1" t="s">
        <v>3</v>
      </c>
      <c r="D102" s="1" t="s">
        <v>4</v>
      </c>
      <c r="E102" s="3">
        <f t="shared" si="1"/>
        <v>2</v>
      </c>
    </row>
    <row r="103" spans="1:5" x14ac:dyDescent="0.2">
      <c r="A103">
        <v>1</v>
      </c>
      <c r="B103" t="s">
        <v>18</v>
      </c>
      <c r="C103">
        <v>5</v>
      </c>
      <c r="D103">
        <v>16</v>
      </c>
      <c r="E103" s="3">
        <f t="shared" si="1"/>
        <v>2</v>
      </c>
    </row>
    <row r="104" spans="1:5" x14ac:dyDescent="0.2">
      <c r="A104">
        <v>2</v>
      </c>
      <c r="B104" t="s">
        <v>88</v>
      </c>
      <c r="C104">
        <v>0</v>
      </c>
      <c r="D104">
        <v>12</v>
      </c>
      <c r="E104" s="3">
        <f t="shared" si="1"/>
        <v>2</v>
      </c>
    </row>
    <row r="105" spans="1:5" x14ac:dyDescent="0.2">
      <c r="A105">
        <v>3</v>
      </c>
      <c r="B105" t="s">
        <v>264</v>
      </c>
      <c r="C105">
        <v>0</v>
      </c>
      <c r="D105">
        <v>8</v>
      </c>
      <c r="E105" s="3">
        <f t="shared" si="1"/>
        <v>2</v>
      </c>
    </row>
    <row r="106" spans="1:5" x14ac:dyDescent="0.2">
      <c r="A106">
        <v>4</v>
      </c>
      <c r="B106" t="s">
        <v>32</v>
      </c>
      <c r="C106">
        <v>0</v>
      </c>
      <c r="D106">
        <v>4</v>
      </c>
      <c r="E106" s="3">
        <f t="shared" si="1"/>
        <v>2</v>
      </c>
    </row>
    <row r="107" spans="1:5" x14ac:dyDescent="0.2">
      <c r="A107">
        <v>5</v>
      </c>
      <c r="B107" t="s">
        <v>15</v>
      </c>
      <c r="C107">
        <v>0</v>
      </c>
      <c r="D107">
        <v>2</v>
      </c>
      <c r="E107" s="3">
        <f t="shared" si="1"/>
        <v>2</v>
      </c>
    </row>
    <row r="108" spans="1:5" x14ac:dyDescent="0.2">
      <c r="A108">
        <v>6</v>
      </c>
      <c r="B108" t="s">
        <v>12</v>
      </c>
      <c r="C108">
        <v>0</v>
      </c>
      <c r="D108">
        <v>1</v>
      </c>
      <c r="E108" s="3">
        <f t="shared" si="1"/>
        <v>2</v>
      </c>
    </row>
    <row r="109" spans="1:5" x14ac:dyDescent="0.2">
      <c r="A109">
        <v>7</v>
      </c>
      <c r="B109" s="2" t="s">
        <v>10</v>
      </c>
      <c r="C109" s="2" t="s">
        <v>10</v>
      </c>
      <c r="D109" s="2" t="s">
        <v>10</v>
      </c>
      <c r="E109" s="3">
        <f t="shared" si="1"/>
        <v>2</v>
      </c>
    </row>
    <row r="110" spans="1:5" x14ac:dyDescent="0.2">
      <c r="A110">
        <v>8</v>
      </c>
      <c r="B110" s="2" t="s">
        <v>10</v>
      </c>
      <c r="C110" s="2" t="s">
        <v>10</v>
      </c>
      <c r="D110" s="2" t="s">
        <v>10</v>
      </c>
      <c r="E110" s="3">
        <f t="shared" si="1"/>
        <v>2</v>
      </c>
    </row>
    <row r="111" spans="1:5" x14ac:dyDescent="0.2">
      <c r="A111" s="1" t="s">
        <v>30</v>
      </c>
      <c r="E111" s="3">
        <f t="shared" si="1"/>
        <v>2</v>
      </c>
    </row>
    <row r="112" spans="1:5" x14ac:dyDescent="0.2">
      <c r="A112" s="1" t="s">
        <v>1</v>
      </c>
      <c r="B112" s="1" t="s">
        <v>2</v>
      </c>
      <c r="C112" s="1" t="s">
        <v>3</v>
      </c>
      <c r="D112" s="1" t="s">
        <v>4</v>
      </c>
      <c r="E112" s="3">
        <f t="shared" si="1"/>
        <v>2</v>
      </c>
    </row>
    <row r="113" spans="1:5" x14ac:dyDescent="0.2">
      <c r="A113">
        <v>1</v>
      </c>
      <c r="B113" t="s">
        <v>45</v>
      </c>
      <c r="C113">
        <v>5</v>
      </c>
      <c r="D113">
        <v>16</v>
      </c>
      <c r="E113" s="3">
        <f t="shared" si="1"/>
        <v>2</v>
      </c>
    </row>
    <row r="114" spans="1:5" x14ac:dyDescent="0.2">
      <c r="A114">
        <v>2</v>
      </c>
      <c r="B114" t="s">
        <v>20</v>
      </c>
      <c r="C114">
        <v>0</v>
      </c>
      <c r="D114">
        <v>12</v>
      </c>
      <c r="E114" s="3">
        <f t="shared" si="1"/>
        <v>2</v>
      </c>
    </row>
    <row r="115" spans="1:5" x14ac:dyDescent="0.2">
      <c r="A115">
        <v>3</v>
      </c>
      <c r="B115" t="s">
        <v>9</v>
      </c>
      <c r="C115">
        <v>0</v>
      </c>
      <c r="D115">
        <v>8</v>
      </c>
      <c r="E115" s="3">
        <f t="shared" si="1"/>
        <v>2</v>
      </c>
    </row>
    <row r="116" spans="1:5" x14ac:dyDescent="0.2">
      <c r="A116">
        <v>4</v>
      </c>
      <c r="B116" t="s">
        <v>345</v>
      </c>
      <c r="C116">
        <v>0</v>
      </c>
      <c r="D116">
        <v>4</v>
      </c>
      <c r="E116" s="3">
        <f t="shared" si="1"/>
        <v>2</v>
      </c>
    </row>
    <row r="117" spans="1:5" x14ac:dyDescent="0.2">
      <c r="A117">
        <v>5</v>
      </c>
      <c r="B117" t="s">
        <v>66</v>
      </c>
      <c r="C117">
        <v>0</v>
      </c>
      <c r="D117">
        <v>2</v>
      </c>
      <c r="E117" s="3">
        <f t="shared" si="1"/>
        <v>2</v>
      </c>
    </row>
    <row r="118" spans="1:5" x14ac:dyDescent="0.2">
      <c r="A118">
        <v>6</v>
      </c>
      <c r="B118" t="s">
        <v>35</v>
      </c>
      <c r="C118">
        <v>0</v>
      </c>
      <c r="D118">
        <v>1</v>
      </c>
      <c r="E118" s="3">
        <f t="shared" si="1"/>
        <v>2</v>
      </c>
    </row>
    <row r="119" spans="1:5" x14ac:dyDescent="0.2">
      <c r="A119">
        <v>7</v>
      </c>
      <c r="B119" s="2" t="s">
        <v>10</v>
      </c>
      <c r="C119" s="2" t="s">
        <v>10</v>
      </c>
      <c r="D119" s="2" t="s">
        <v>10</v>
      </c>
      <c r="E119" s="3">
        <f t="shared" si="1"/>
        <v>2</v>
      </c>
    </row>
    <row r="120" spans="1:5" x14ac:dyDescent="0.2">
      <c r="A120">
        <v>8</v>
      </c>
      <c r="B120" s="2" t="s">
        <v>10</v>
      </c>
      <c r="C120" s="2" t="s">
        <v>10</v>
      </c>
      <c r="D120" s="2" t="s">
        <v>10</v>
      </c>
      <c r="E120" s="3">
        <f t="shared" si="1"/>
        <v>2</v>
      </c>
    </row>
    <row r="121" spans="1:5" x14ac:dyDescent="0.2">
      <c r="A121" s="1" t="s">
        <v>37</v>
      </c>
      <c r="E121" s="3">
        <f t="shared" si="1"/>
        <v>2</v>
      </c>
    </row>
    <row r="122" spans="1:5" x14ac:dyDescent="0.2">
      <c r="A122" s="1" t="s">
        <v>1</v>
      </c>
      <c r="B122" s="1" t="s">
        <v>2</v>
      </c>
      <c r="C122" s="1" t="s">
        <v>3</v>
      </c>
      <c r="D122" s="1" t="s">
        <v>4</v>
      </c>
      <c r="E122" s="3">
        <f t="shared" si="1"/>
        <v>2</v>
      </c>
    </row>
    <row r="123" spans="1:5" x14ac:dyDescent="0.2">
      <c r="A123">
        <v>1</v>
      </c>
      <c r="B123" t="s">
        <v>50</v>
      </c>
      <c r="C123">
        <v>2</v>
      </c>
      <c r="D123">
        <v>15</v>
      </c>
      <c r="E123" s="3">
        <f t="shared" si="1"/>
        <v>2</v>
      </c>
    </row>
    <row r="124" spans="1:5" x14ac:dyDescent="0.2">
      <c r="A124">
        <v>2</v>
      </c>
      <c r="B124" t="s">
        <v>481</v>
      </c>
      <c r="C124">
        <v>0</v>
      </c>
      <c r="D124">
        <v>11</v>
      </c>
      <c r="E124" s="3">
        <f t="shared" si="1"/>
        <v>2</v>
      </c>
    </row>
    <row r="125" spans="1:5" x14ac:dyDescent="0.2">
      <c r="A125">
        <v>3</v>
      </c>
      <c r="B125" t="s">
        <v>26</v>
      </c>
      <c r="C125">
        <v>2</v>
      </c>
      <c r="D125">
        <v>7</v>
      </c>
      <c r="E125" s="3">
        <f t="shared" si="1"/>
        <v>2</v>
      </c>
    </row>
    <row r="126" spans="1:5" x14ac:dyDescent="0.2">
      <c r="A126">
        <v>4</v>
      </c>
      <c r="B126" t="s">
        <v>87</v>
      </c>
      <c r="C126">
        <v>0</v>
      </c>
      <c r="D126">
        <v>3</v>
      </c>
      <c r="E126" s="3">
        <f t="shared" si="1"/>
        <v>2</v>
      </c>
    </row>
    <row r="127" spans="1:5" x14ac:dyDescent="0.2">
      <c r="A127">
        <v>5</v>
      </c>
      <c r="B127" t="s">
        <v>475</v>
      </c>
      <c r="C127">
        <v>0</v>
      </c>
      <c r="D127">
        <v>1</v>
      </c>
      <c r="E127" s="3">
        <f t="shared" si="1"/>
        <v>2</v>
      </c>
    </row>
    <row r="128" spans="1:5" x14ac:dyDescent="0.2">
      <c r="A128">
        <v>6</v>
      </c>
      <c r="B128" s="2" t="s">
        <v>10</v>
      </c>
      <c r="C128" s="2" t="s">
        <v>10</v>
      </c>
      <c r="D128" s="2" t="s">
        <v>10</v>
      </c>
      <c r="E128" s="3">
        <f t="shared" si="1"/>
        <v>2</v>
      </c>
    </row>
    <row r="129" spans="1:5" x14ac:dyDescent="0.2">
      <c r="A129">
        <v>7</v>
      </c>
      <c r="B129" s="2" t="s">
        <v>10</v>
      </c>
      <c r="C129" s="2" t="s">
        <v>10</v>
      </c>
      <c r="D129" s="2" t="s">
        <v>10</v>
      </c>
      <c r="E129" s="3">
        <f t="shared" si="1"/>
        <v>2</v>
      </c>
    </row>
    <row r="130" spans="1:5" x14ac:dyDescent="0.2">
      <c r="A130">
        <v>8</v>
      </c>
      <c r="B130" s="2" t="s">
        <v>10</v>
      </c>
      <c r="C130" s="2" t="s">
        <v>10</v>
      </c>
      <c r="D130" s="2" t="s">
        <v>10</v>
      </c>
      <c r="E130" s="3">
        <f t="shared" si="1"/>
        <v>2</v>
      </c>
    </row>
    <row r="131" spans="1:5" x14ac:dyDescent="0.2">
      <c r="A131" s="1" t="s">
        <v>44</v>
      </c>
      <c r="E131" s="3">
        <f t="shared" si="1"/>
        <v>2</v>
      </c>
    </row>
    <row r="132" spans="1:5" x14ac:dyDescent="0.2">
      <c r="A132" s="1" t="s">
        <v>1</v>
      </c>
      <c r="B132" s="1" t="s">
        <v>2</v>
      </c>
      <c r="C132" s="1" t="s">
        <v>3</v>
      </c>
      <c r="D132" s="1" t="s">
        <v>4</v>
      </c>
      <c r="E132" s="3">
        <f t="shared" ref="E132:E195" si="2">IF(A132=$A$1,E131+1,E131)</f>
        <v>2</v>
      </c>
    </row>
    <row r="133" spans="1:5" x14ac:dyDescent="0.2">
      <c r="A133">
        <v>1</v>
      </c>
      <c r="B133" t="s">
        <v>27</v>
      </c>
      <c r="C133">
        <v>3</v>
      </c>
      <c r="D133">
        <v>16</v>
      </c>
      <c r="E133" s="3">
        <f t="shared" si="2"/>
        <v>2</v>
      </c>
    </row>
    <row r="134" spans="1:5" x14ac:dyDescent="0.2">
      <c r="A134">
        <v>2</v>
      </c>
      <c r="B134" t="s">
        <v>6</v>
      </c>
      <c r="C134">
        <v>1</v>
      </c>
      <c r="D134">
        <v>12</v>
      </c>
      <c r="E134" s="3">
        <f t="shared" si="2"/>
        <v>2</v>
      </c>
    </row>
    <row r="135" spans="1:5" x14ac:dyDescent="0.2">
      <c r="A135">
        <v>3</v>
      </c>
      <c r="B135" t="s">
        <v>52</v>
      </c>
      <c r="C135">
        <v>0</v>
      </c>
      <c r="D135">
        <v>8</v>
      </c>
      <c r="E135" s="3">
        <f t="shared" si="2"/>
        <v>2</v>
      </c>
    </row>
    <row r="136" spans="1:5" x14ac:dyDescent="0.2">
      <c r="A136">
        <v>4</v>
      </c>
      <c r="B136" t="s">
        <v>73</v>
      </c>
      <c r="C136">
        <v>1</v>
      </c>
      <c r="D136">
        <v>4</v>
      </c>
      <c r="E136" s="3">
        <f t="shared" si="2"/>
        <v>2</v>
      </c>
    </row>
    <row r="137" spans="1:5" x14ac:dyDescent="0.2">
      <c r="A137">
        <v>5</v>
      </c>
      <c r="B137" t="s">
        <v>48</v>
      </c>
      <c r="C137">
        <v>0</v>
      </c>
      <c r="D137">
        <v>2</v>
      </c>
      <c r="E137" s="3">
        <f t="shared" si="2"/>
        <v>2</v>
      </c>
    </row>
    <row r="138" spans="1:5" x14ac:dyDescent="0.2">
      <c r="A138">
        <v>6</v>
      </c>
      <c r="B138" t="s">
        <v>21</v>
      </c>
      <c r="C138">
        <v>0</v>
      </c>
      <c r="D138">
        <v>1</v>
      </c>
      <c r="E138" s="3">
        <f t="shared" si="2"/>
        <v>2</v>
      </c>
    </row>
    <row r="139" spans="1:5" x14ac:dyDescent="0.2">
      <c r="A139">
        <v>7</v>
      </c>
      <c r="B139" s="2" t="s">
        <v>10</v>
      </c>
      <c r="C139" s="2" t="s">
        <v>10</v>
      </c>
      <c r="D139" s="2" t="s">
        <v>10</v>
      </c>
      <c r="E139" s="3">
        <f t="shared" si="2"/>
        <v>2</v>
      </c>
    </row>
    <row r="140" spans="1:5" x14ac:dyDescent="0.2">
      <c r="A140">
        <v>8</v>
      </c>
      <c r="B140" s="2" t="s">
        <v>10</v>
      </c>
      <c r="C140" s="2" t="s">
        <v>10</v>
      </c>
      <c r="D140" s="2" t="s">
        <v>10</v>
      </c>
      <c r="E140" s="3">
        <f t="shared" si="2"/>
        <v>2</v>
      </c>
    </row>
    <row r="141" spans="1:5" x14ac:dyDescent="0.2">
      <c r="A141" s="1" t="s">
        <v>51</v>
      </c>
      <c r="E141" s="3">
        <f t="shared" si="2"/>
        <v>2</v>
      </c>
    </row>
    <row r="142" spans="1:5" x14ac:dyDescent="0.2">
      <c r="A142" s="1" t="s">
        <v>1</v>
      </c>
      <c r="B142" s="1" t="s">
        <v>2</v>
      </c>
      <c r="C142" s="1" t="s">
        <v>3</v>
      </c>
      <c r="D142" s="1" t="s">
        <v>4</v>
      </c>
      <c r="E142" s="3">
        <f t="shared" si="2"/>
        <v>2</v>
      </c>
    </row>
    <row r="143" spans="1:5" x14ac:dyDescent="0.2">
      <c r="A143">
        <v>0</v>
      </c>
      <c r="C143">
        <v>0</v>
      </c>
      <c r="D143">
        <v>0</v>
      </c>
      <c r="E143" s="3">
        <f t="shared" si="2"/>
        <v>2</v>
      </c>
    </row>
    <row r="144" spans="1:5" x14ac:dyDescent="0.2">
      <c r="A144">
        <v>0</v>
      </c>
      <c r="C144">
        <v>0</v>
      </c>
      <c r="D144">
        <v>0</v>
      </c>
      <c r="E144" s="3">
        <f t="shared" si="2"/>
        <v>2</v>
      </c>
    </row>
    <row r="145" spans="1:5" x14ac:dyDescent="0.2">
      <c r="A145">
        <v>1</v>
      </c>
      <c r="B145" t="s">
        <v>483</v>
      </c>
      <c r="C145">
        <v>1</v>
      </c>
      <c r="D145">
        <v>16</v>
      </c>
      <c r="E145" s="3">
        <f t="shared" si="2"/>
        <v>2</v>
      </c>
    </row>
    <row r="146" spans="1:5" x14ac:dyDescent="0.2">
      <c r="A146">
        <v>2</v>
      </c>
      <c r="B146" t="s">
        <v>452</v>
      </c>
      <c r="C146">
        <v>4</v>
      </c>
      <c r="D146">
        <v>12</v>
      </c>
      <c r="E146" s="3">
        <f t="shared" si="2"/>
        <v>2</v>
      </c>
    </row>
    <row r="147" spans="1:5" x14ac:dyDescent="0.2">
      <c r="A147">
        <v>3</v>
      </c>
      <c r="B147" t="s">
        <v>74</v>
      </c>
      <c r="C147">
        <v>0</v>
      </c>
      <c r="D147">
        <v>8</v>
      </c>
      <c r="E147" s="3">
        <f t="shared" si="2"/>
        <v>2</v>
      </c>
    </row>
    <row r="148" spans="1:5" x14ac:dyDescent="0.2">
      <c r="A148">
        <v>4</v>
      </c>
      <c r="B148" t="s">
        <v>65</v>
      </c>
      <c r="C148">
        <v>0</v>
      </c>
      <c r="D148">
        <v>4</v>
      </c>
      <c r="E148" s="3">
        <f t="shared" si="2"/>
        <v>2</v>
      </c>
    </row>
    <row r="149" spans="1:5" x14ac:dyDescent="0.2">
      <c r="A149">
        <v>5</v>
      </c>
      <c r="B149" t="s">
        <v>461</v>
      </c>
      <c r="C149">
        <v>0</v>
      </c>
      <c r="D149">
        <v>2</v>
      </c>
      <c r="E149" s="3">
        <f t="shared" si="2"/>
        <v>2</v>
      </c>
    </row>
    <row r="150" spans="1:5" x14ac:dyDescent="0.2">
      <c r="A150">
        <v>6</v>
      </c>
      <c r="B150" t="s">
        <v>5</v>
      </c>
      <c r="C150">
        <v>0</v>
      </c>
      <c r="D150">
        <v>1</v>
      </c>
      <c r="E150" s="3">
        <f t="shared" si="2"/>
        <v>2</v>
      </c>
    </row>
    <row r="151" spans="1:5" x14ac:dyDescent="0.2">
      <c r="A151">
        <v>9</v>
      </c>
      <c r="B151" s="2" t="s">
        <v>10</v>
      </c>
      <c r="C151" s="2" t="s">
        <v>10</v>
      </c>
      <c r="D151" s="2" t="s">
        <v>10</v>
      </c>
      <c r="E151" s="3">
        <f t="shared" si="2"/>
        <v>2</v>
      </c>
    </row>
    <row r="152" spans="1:5" x14ac:dyDescent="0.2">
      <c r="A152">
        <v>10</v>
      </c>
      <c r="B152" s="2" t="s">
        <v>10</v>
      </c>
      <c r="C152" s="2" t="s">
        <v>10</v>
      </c>
      <c r="D152" s="2" t="s">
        <v>10</v>
      </c>
      <c r="E152" s="3">
        <f t="shared" si="2"/>
        <v>2</v>
      </c>
    </row>
    <row r="153" spans="1:5" hidden="1" x14ac:dyDescent="0.2">
      <c r="A153" s="1" t="s">
        <v>0</v>
      </c>
      <c r="E153" s="3">
        <f t="shared" si="2"/>
        <v>3</v>
      </c>
    </row>
    <row r="154" spans="1:5" hidden="1" x14ac:dyDescent="0.2">
      <c r="A154" s="1" t="s">
        <v>1</v>
      </c>
      <c r="B154" s="1" t="s">
        <v>2</v>
      </c>
      <c r="C154" s="1" t="s">
        <v>3</v>
      </c>
      <c r="D154" s="1" t="s">
        <v>4</v>
      </c>
      <c r="E154" s="3">
        <f t="shared" si="2"/>
        <v>3</v>
      </c>
    </row>
    <row r="155" spans="1:5" hidden="1" x14ac:dyDescent="0.2">
      <c r="A155">
        <v>1</v>
      </c>
      <c r="B155" t="s">
        <v>41</v>
      </c>
      <c r="C155">
        <v>2</v>
      </c>
      <c r="D155">
        <v>15</v>
      </c>
      <c r="E155" s="3">
        <f t="shared" si="2"/>
        <v>3</v>
      </c>
    </row>
    <row r="156" spans="1:5" hidden="1" x14ac:dyDescent="0.2">
      <c r="A156">
        <v>2</v>
      </c>
      <c r="B156" t="s">
        <v>91</v>
      </c>
      <c r="C156">
        <v>1</v>
      </c>
      <c r="D156">
        <v>11</v>
      </c>
      <c r="E156" s="3">
        <f t="shared" si="2"/>
        <v>3</v>
      </c>
    </row>
    <row r="157" spans="1:5" hidden="1" x14ac:dyDescent="0.2">
      <c r="A157">
        <v>3</v>
      </c>
      <c r="B157" t="s">
        <v>74</v>
      </c>
      <c r="C157">
        <v>0</v>
      </c>
      <c r="D157">
        <v>7</v>
      </c>
      <c r="E157" s="3">
        <f t="shared" si="2"/>
        <v>3</v>
      </c>
    </row>
    <row r="158" spans="1:5" hidden="1" x14ac:dyDescent="0.2">
      <c r="A158">
        <v>4</v>
      </c>
      <c r="B158" t="s">
        <v>12</v>
      </c>
      <c r="C158">
        <v>1</v>
      </c>
      <c r="D158">
        <v>3</v>
      </c>
      <c r="E158" s="3">
        <f t="shared" si="2"/>
        <v>3</v>
      </c>
    </row>
    <row r="159" spans="1:5" hidden="1" x14ac:dyDescent="0.2">
      <c r="A159">
        <v>5</v>
      </c>
      <c r="B159" t="s">
        <v>65</v>
      </c>
      <c r="C159">
        <v>0</v>
      </c>
      <c r="D159">
        <v>1</v>
      </c>
      <c r="E159" s="3">
        <f t="shared" si="2"/>
        <v>3</v>
      </c>
    </row>
    <row r="160" spans="1:5" hidden="1" x14ac:dyDescent="0.2">
      <c r="A160">
        <v>6</v>
      </c>
      <c r="B160" s="2" t="s">
        <v>10</v>
      </c>
      <c r="C160" s="2" t="s">
        <v>10</v>
      </c>
      <c r="D160" s="2" t="s">
        <v>10</v>
      </c>
      <c r="E160" s="3">
        <f t="shared" si="2"/>
        <v>3</v>
      </c>
    </row>
    <row r="161" spans="1:5" hidden="1" x14ac:dyDescent="0.2">
      <c r="A161">
        <v>7</v>
      </c>
      <c r="B161" s="2" t="s">
        <v>10</v>
      </c>
      <c r="C161" s="2" t="s">
        <v>10</v>
      </c>
      <c r="D161" s="2" t="s">
        <v>10</v>
      </c>
      <c r="E161" s="3">
        <f t="shared" si="2"/>
        <v>3</v>
      </c>
    </row>
    <row r="162" spans="1:5" hidden="1" x14ac:dyDescent="0.2">
      <c r="A162">
        <v>8</v>
      </c>
      <c r="B162" s="2" t="s">
        <v>10</v>
      </c>
      <c r="C162" s="2" t="s">
        <v>10</v>
      </c>
      <c r="D162" s="2" t="s">
        <v>10</v>
      </c>
      <c r="E162" s="3">
        <f t="shared" si="2"/>
        <v>3</v>
      </c>
    </row>
    <row r="163" spans="1:5" hidden="1" x14ac:dyDescent="0.2">
      <c r="A163" s="1" t="s">
        <v>11</v>
      </c>
      <c r="E163" s="3">
        <f t="shared" si="2"/>
        <v>3</v>
      </c>
    </row>
    <row r="164" spans="1:5" hidden="1" x14ac:dyDescent="0.2">
      <c r="A164" s="1" t="s">
        <v>1</v>
      </c>
      <c r="B164" s="1" t="s">
        <v>2</v>
      </c>
      <c r="C164" s="1" t="s">
        <v>3</v>
      </c>
      <c r="D164" s="1" t="s">
        <v>4</v>
      </c>
      <c r="E164" s="3">
        <f t="shared" si="2"/>
        <v>3</v>
      </c>
    </row>
    <row r="165" spans="1:5" hidden="1" x14ac:dyDescent="0.2">
      <c r="A165">
        <v>1</v>
      </c>
      <c r="B165" t="s">
        <v>198</v>
      </c>
      <c r="C165">
        <v>3</v>
      </c>
      <c r="D165">
        <v>14</v>
      </c>
      <c r="E165" s="3">
        <f t="shared" si="2"/>
        <v>3</v>
      </c>
    </row>
    <row r="166" spans="1:5" hidden="1" x14ac:dyDescent="0.2">
      <c r="A166">
        <v>2</v>
      </c>
      <c r="B166" t="s">
        <v>25</v>
      </c>
      <c r="C166">
        <v>0</v>
      </c>
      <c r="D166">
        <v>10</v>
      </c>
      <c r="E166" s="3">
        <f t="shared" si="2"/>
        <v>3</v>
      </c>
    </row>
    <row r="167" spans="1:5" hidden="1" x14ac:dyDescent="0.2">
      <c r="A167">
        <v>3</v>
      </c>
      <c r="B167" t="s">
        <v>26</v>
      </c>
      <c r="C167">
        <v>0</v>
      </c>
      <c r="D167">
        <v>6</v>
      </c>
      <c r="E167" s="3">
        <f t="shared" si="2"/>
        <v>3</v>
      </c>
    </row>
    <row r="168" spans="1:5" hidden="1" x14ac:dyDescent="0.2">
      <c r="A168">
        <v>4</v>
      </c>
      <c r="B168" t="s">
        <v>29</v>
      </c>
      <c r="C168">
        <v>0</v>
      </c>
      <c r="D168">
        <v>2</v>
      </c>
      <c r="E168" s="3">
        <f t="shared" si="2"/>
        <v>3</v>
      </c>
    </row>
    <row r="169" spans="1:5" hidden="1" x14ac:dyDescent="0.2">
      <c r="A169">
        <v>5</v>
      </c>
      <c r="B169" s="2" t="s">
        <v>10</v>
      </c>
      <c r="C169" s="2" t="s">
        <v>10</v>
      </c>
      <c r="D169" s="2" t="s">
        <v>10</v>
      </c>
      <c r="E169" s="3">
        <f t="shared" si="2"/>
        <v>3</v>
      </c>
    </row>
    <row r="170" spans="1:5" hidden="1" x14ac:dyDescent="0.2">
      <c r="A170">
        <v>6</v>
      </c>
      <c r="B170" s="2" t="s">
        <v>10</v>
      </c>
      <c r="C170" s="2" t="s">
        <v>10</v>
      </c>
      <c r="D170" s="2" t="s">
        <v>10</v>
      </c>
      <c r="E170" s="3">
        <f t="shared" si="2"/>
        <v>3</v>
      </c>
    </row>
    <row r="171" spans="1:5" hidden="1" x14ac:dyDescent="0.2">
      <c r="A171">
        <v>7</v>
      </c>
      <c r="B171" s="2" t="s">
        <v>10</v>
      </c>
      <c r="C171" s="2" t="s">
        <v>10</v>
      </c>
      <c r="D171" s="2" t="s">
        <v>10</v>
      </c>
      <c r="E171" s="3">
        <f t="shared" si="2"/>
        <v>3</v>
      </c>
    </row>
    <row r="172" spans="1:5" hidden="1" x14ac:dyDescent="0.2">
      <c r="A172">
        <v>8</v>
      </c>
      <c r="B172" s="2" t="s">
        <v>10</v>
      </c>
      <c r="C172" s="2" t="s">
        <v>10</v>
      </c>
      <c r="D172" s="2" t="s">
        <v>10</v>
      </c>
      <c r="E172" s="3">
        <f t="shared" si="2"/>
        <v>3</v>
      </c>
    </row>
    <row r="173" spans="1:5" hidden="1" x14ac:dyDescent="0.2">
      <c r="A173" s="1" t="s">
        <v>17</v>
      </c>
      <c r="E173" s="3">
        <f t="shared" si="2"/>
        <v>3</v>
      </c>
    </row>
    <row r="174" spans="1:5" hidden="1" x14ac:dyDescent="0.2">
      <c r="A174" s="1" t="s">
        <v>1</v>
      </c>
      <c r="B174" s="1" t="s">
        <v>2</v>
      </c>
      <c r="C174" s="1" t="s">
        <v>3</v>
      </c>
      <c r="D174" s="1" t="s">
        <v>4</v>
      </c>
      <c r="E174" s="3">
        <f t="shared" si="2"/>
        <v>3</v>
      </c>
    </row>
    <row r="175" spans="1:5" hidden="1" x14ac:dyDescent="0.2">
      <c r="A175">
        <v>1</v>
      </c>
      <c r="B175" t="s">
        <v>48</v>
      </c>
      <c r="C175">
        <v>3</v>
      </c>
      <c r="D175">
        <v>15</v>
      </c>
      <c r="E175" s="3">
        <f t="shared" si="2"/>
        <v>3</v>
      </c>
    </row>
    <row r="176" spans="1:5" hidden="1" x14ac:dyDescent="0.2">
      <c r="A176">
        <v>2</v>
      </c>
      <c r="B176" t="s">
        <v>46</v>
      </c>
      <c r="C176">
        <v>0</v>
      </c>
      <c r="D176">
        <v>11</v>
      </c>
      <c r="E176" s="3">
        <f t="shared" si="2"/>
        <v>3</v>
      </c>
    </row>
    <row r="177" spans="1:5" hidden="1" x14ac:dyDescent="0.2">
      <c r="A177">
        <v>3</v>
      </c>
      <c r="B177" t="s">
        <v>88</v>
      </c>
      <c r="C177">
        <v>0</v>
      </c>
      <c r="D177">
        <v>7</v>
      </c>
      <c r="E177" s="3">
        <f t="shared" si="2"/>
        <v>3</v>
      </c>
    </row>
    <row r="178" spans="1:5" hidden="1" x14ac:dyDescent="0.2">
      <c r="A178">
        <v>4</v>
      </c>
      <c r="B178" t="s">
        <v>450</v>
      </c>
      <c r="C178">
        <v>1</v>
      </c>
      <c r="D178">
        <v>3</v>
      </c>
      <c r="E178" s="3">
        <f t="shared" si="2"/>
        <v>3</v>
      </c>
    </row>
    <row r="179" spans="1:5" hidden="1" x14ac:dyDescent="0.2">
      <c r="A179">
        <v>5</v>
      </c>
      <c r="B179" t="s">
        <v>28</v>
      </c>
      <c r="C179">
        <v>0</v>
      </c>
      <c r="D179">
        <v>1</v>
      </c>
      <c r="E179" s="3">
        <f t="shared" si="2"/>
        <v>3</v>
      </c>
    </row>
    <row r="180" spans="1:5" hidden="1" x14ac:dyDescent="0.2">
      <c r="A180">
        <v>6</v>
      </c>
      <c r="B180" s="2" t="s">
        <v>10</v>
      </c>
      <c r="C180" s="2" t="s">
        <v>10</v>
      </c>
      <c r="D180" s="2" t="s">
        <v>10</v>
      </c>
      <c r="E180" s="3">
        <f t="shared" si="2"/>
        <v>3</v>
      </c>
    </row>
    <row r="181" spans="1:5" hidden="1" x14ac:dyDescent="0.2">
      <c r="A181">
        <v>7</v>
      </c>
      <c r="B181" s="2" t="s">
        <v>10</v>
      </c>
      <c r="C181" s="2" t="s">
        <v>10</v>
      </c>
      <c r="D181" s="2" t="s">
        <v>10</v>
      </c>
      <c r="E181" s="3">
        <f t="shared" si="2"/>
        <v>3</v>
      </c>
    </row>
    <row r="182" spans="1:5" hidden="1" x14ac:dyDescent="0.2">
      <c r="A182">
        <v>8</v>
      </c>
      <c r="B182" s="2" t="s">
        <v>10</v>
      </c>
      <c r="C182" s="2" t="s">
        <v>10</v>
      </c>
      <c r="D182" s="2" t="s">
        <v>10</v>
      </c>
      <c r="E182" s="3">
        <f t="shared" si="2"/>
        <v>3</v>
      </c>
    </row>
    <row r="183" spans="1:5" hidden="1" x14ac:dyDescent="0.2">
      <c r="A183" s="1" t="s">
        <v>24</v>
      </c>
      <c r="E183" s="3">
        <f t="shared" si="2"/>
        <v>3</v>
      </c>
    </row>
    <row r="184" spans="1:5" hidden="1" x14ac:dyDescent="0.2">
      <c r="A184" s="1" t="s">
        <v>1</v>
      </c>
      <c r="B184" s="1" t="s">
        <v>2</v>
      </c>
      <c r="C184" s="1" t="s">
        <v>3</v>
      </c>
      <c r="D184" s="1" t="s">
        <v>4</v>
      </c>
      <c r="E184" s="3">
        <f t="shared" si="2"/>
        <v>3</v>
      </c>
    </row>
    <row r="185" spans="1:5" hidden="1" x14ac:dyDescent="0.2">
      <c r="A185">
        <v>1</v>
      </c>
      <c r="B185" t="s">
        <v>18</v>
      </c>
      <c r="C185">
        <v>1</v>
      </c>
      <c r="D185">
        <v>14</v>
      </c>
      <c r="E185" s="3">
        <f t="shared" si="2"/>
        <v>3</v>
      </c>
    </row>
    <row r="186" spans="1:5" hidden="1" x14ac:dyDescent="0.2">
      <c r="A186">
        <v>2</v>
      </c>
      <c r="B186" t="s">
        <v>15</v>
      </c>
      <c r="C186">
        <v>1</v>
      </c>
      <c r="D186">
        <v>10</v>
      </c>
      <c r="E186" s="3">
        <f t="shared" si="2"/>
        <v>3</v>
      </c>
    </row>
    <row r="187" spans="1:5" hidden="1" x14ac:dyDescent="0.2">
      <c r="A187">
        <v>3</v>
      </c>
      <c r="B187" t="s">
        <v>345</v>
      </c>
      <c r="C187">
        <v>1</v>
      </c>
      <c r="D187">
        <v>6</v>
      </c>
      <c r="E187" s="3">
        <f t="shared" si="2"/>
        <v>3</v>
      </c>
    </row>
    <row r="188" spans="1:5" hidden="1" x14ac:dyDescent="0.2">
      <c r="A188">
        <v>4</v>
      </c>
      <c r="B188" t="s">
        <v>55</v>
      </c>
      <c r="C188">
        <v>0</v>
      </c>
      <c r="D188">
        <v>2</v>
      </c>
      <c r="E188" s="3">
        <f t="shared" si="2"/>
        <v>3</v>
      </c>
    </row>
    <row r="189" spans="1:5" hidden="1" x14ac:dyDescent="0.2">
      <c r="A189">
        <v>5</v>
      </c>
      <c r="B189" s="2" t="s">
        <v>10</v>
      </c>
      <c r="C189" s="2" t="s">
        <v>10</v>
      </c>
      <c r="D189" s="2" t="s">
        <v>10</v>
      </c>
      <c r="E189" s="3">
        <f t="shared" si="2"/>
        <v>3</v>
      </c>
    </row>
    <row r="190" spans="1:5" hidden="1" x14ac:dyDescent="0.2">
      <c r="A190">
        <v>6</v>
      </c>
      <c r="B190" s="2" t="s">
        <v>10</v>
      </c>
      <c r="C190" s="2" t="s">
        <v>10</v>
      </c>
      <c r="D190" s="2" t="s">
        <v>10</v>
      </c>
      <c r="E190" s="3">
        <f t="shared" si="2"/>
        <v>3</v>
      </c>
    </row>
    <row r="191" spans="1:5" hidden="1" x14ac:dyDescent="0.2">
      <c r="A191">
        <v>7</v>
      </c>
      <c r="B191" s="2" t="s">
        <v>10</v>
      </c>
      <c r="C191" s="2" t="s">
        <v>10</v>
      </c>
      <c r="D191" s="2" t="s">
        <v>10</v>
      </c>
      <c r="E191" s="3">
        <f t="shared" si="2"/>
        <v>3</v>
      </c>
    </row>
    <row r="192" spans="1:5" hidden="1" x14ac:dyDescent="0.2">
      <c r="A192">
        <v>8</v>
      </c>
      <c r="B192" s="2" t="s">
        <v>10</v>
      </c>
      <c r="C192" s="2" t="s">
        <v>10</v>
      </c>
      <c r="D192" s="2" t="s">
        <v>10</v>
      </c>
      <c r="E192" s="3">
        <f t="shared" si="2"/>
        <v>3</v>
      </c>
    </row>
    <row r="193" spans="1:5" hidden="1" x14ac:dyDescent="0.2">
      <c r="A193" s="1" t="s">
        <v>30</v>
      </c>
      <c r="E193" s="3">
        <f t="shared" si="2"/>
        <v>3</v>
      </c>
    </row>
    <row r="194" spans="1:5" hidden="1" x14ac:dyDescent="0.2">
      <c r="A194" s="1" t="s">
        <v>1</v>
      </c>
      <c r="B194" s="1" t="s">
        <v>2</v>
      </c>
      <c r="C194" s="1" t="s">
        <v>3</v>
      </c>
      <c r="D194" s="1" t="s">
        <v>4</v>
      </c>
      <c r="E194" s="3">
        <f t="shared" si="2"/>
        <v>3</v>
      </c>
    </row>
    <row r="195" spans="1:5" hidden="1" x14ac:dyDescent="0.2">
      <c r="A195">
        <v>1</v>
      </c>
      <c r="B195" t="s">
        <v>45</v>
      </c>
      <c r="C195">
        <v>3</v>
      </c>
      <c r="D195">
        <v>15</v>
      </c>
      <c r="E195" s="3">
        <f t="shared" si="2"/>
        <v>3</v>
      </c>
    </row>
    <row r="196" spans="1:5" hidden="1" x14ac:dyDescent="0.2">
      <c r="A196">
        <v>2</v>
      </c>
      <c r="B196" t="s">
        <v>75</v>
      </c>
      <c r="C196">
        <v>0</v>
      </c>
      <c r="D196">
        <v>11</v>
      </c>
      <c r="E196" s="3">
        <f t="shared" ref="E196:E259" si="3">IF(A196=$A$1,E195+1,E195)</f>
        <v>3</v>
      </c>
    </row>
    <row r="197" spans="1:5" hidden="1" x14ac:dyDescent="0.2">
      <c r="A197">
        <v>3</v>
      </c>
      <c r="B197" t="s">
        <v>368</v>
      </c>
      <c r="C197">
        <v>1</v>
      </c>
      <c r="D197">
        <v>7</v>
      </c>
      <c r="E197" s="3">
        <f t="shared" si="3"/>
        <v>3</v>
      </c>
    </row>
    <row r="198" spans="1:5" hidden="1" x14ac:dyDescent="0.2">
      <c r="A198">
        <v>4</v>
      </c>
      <c r="B198" t="s">
        <v>9</v>
      </c>
      <c r="C198">
        <v>0</v>
      </c>
      <c r="D198">
        <v>3</v>
      </c>
      <c r="E198" s="3">
        <f t="shared" si="3"/>
        <v>3</v>
      </c>
    </row>
    <row r="199" spans="1:5" hidden="1" x14ac:dyDescent="0.2">
      <c r="A199">
        <v>5</v>
      </c>
      <c r="B199" t="s">
        <v>459</v>
      </c>
      <c r="C199">
        <v>0</v>
      </c>
      <c r="D199">
        <v>1</v>
      </c>
      <c r="E199" s="3">
        <f t="shared" si="3"/>
        <v>3</v>
      </c>
    </row>
    <row r="200" spans="1:5" hidden="1" x14ac:dyDescent="0.2">
      <c r="A200">
        <v>6</v>
      </c>
      <c r="B200" s="2" t="s">
        <v>10</v>
      </c>
      <c r="C200" s="2" t="s">
        <v>10</v>
      </c>
      <c r="D200" s="2" t="s">
        <v>10</v>
      </c>
      <c r="E200" s="3">
        <f t="shared" si="3"/>
        <v>3</v>
      </c>
    </row>
    <row r="201" spans="1:5" hidden="1" x14ac:dyDescent="0.2">
      <c r="A201">
        <v>7</v>
      </c>
      <c r="B201" s="2" t="s">
        <v>10</v>
      </c>
      <c r="C201" s="2" t="s">
        <v>10</v>
      </c>
      <c r="D201" s="2" t="s">
        <v>10</v>
      </c>
      <c r="E201" s="3">
        <f t="shared" si="3"/>
        <v>3</v>
      </c>
    </row>
    <row r="202" spans="1:5" hidden="1" x14ac:dyDescent="0.2">
      <c r="A202">
        <v>8</v>
      </c>
      <c r="B202" s="2" t="s">
        <v>10</v>
      </c>
      <c r="C202" s="2" t="s">
        <v>10</v>
      </c>
      <c r="D202" s="2" t="s">
        <v>10</v>
      </c>
      <c r="E202" s="3">
        <f t="shared" si="3"/>
        <v>3</v>
      </c>
    </row>
    <row r="203" spans="1:5" hidden="1" x14ac:dyDescent="0.2">
      <c r="A203" s="1" t="s">
        <v>37</v>
      </c>
      <c r="E203" s="3">
        <f t="shared" si="3"/>
        <v>3</v>
      </c>
    </row>
    <row r="204" spans="1:5" hidden="1" x14ac:dyDescent="0.2">
      <c r="A204" s="1" t="s">
        <v>1</v>
      </c>
      <c r="B204" s="1" t="s">
        <v>2</v>
      </c>
      <c r="C204" s="1" t="s">
        <v>3</v>
      </c>
      <c r="D204" s="1" t="s">
        <v>4</v>
      </c>
      <c r="E204" s="3">
        <f t="shared" si="3"/>
        <v>3</v>
      </c>
    </row>
    <row r="205" spans="1:5" hidden="1" x14ac:dyDescent="0.2">
      <c r="A205">
        <v>1</v>
      </c>
      <c r="B205" t="s">
        <v>50</v>
      </c>
      <c r="C205">
        <v>1</v>
      </c>
      <c r="D205">
        <v>14</v>
      </c>
      <c r="E205" s="3">
        <f t="shared" si="3"/>
        <v>3</v>
      </c>
    </row>
    <row r="206" spans="1:5" hidden="1" x14ac:dyDescent="0.2">
      <c r="A206">
        <v>2</v>
      </c>
      <c r="B206" t="s">
        <v>21</v>
      </c>
      <c r="C206">
        <v>2</v>
      </c>
      <c r="D206">
        <v>10</v>
      </c>
      <c r="E206" s="3">
        <f t="shared" si="3"/>
        <v>3</v>
      </c>
    </row>
    <row r="207" spans="1:5" hidden="1" x14ac:dyDescent="0.2">
      <c r="A207">
        <v>3</v>
      </c>
      <c r="B207" t="s">
        <v>483</v>
      </c>
      <c r="C207">
        <v>0</v>
      </c>
      <c r="D207">
        <v>6</v>
      </c>
      <c r="E207" s="3">
        <f t="shared" si="3"/>
        <v>3</v>
      </c>
    </row>
    <row r="208" spans="1:5" hidden="1" x14ac:dyDescent="0.2">
      <c r="A208">
        <v>4</v>
      </c>
      <c r="B208" t="s">
        <v>87</v>
      </c>
      <c r="C208">
        <v>0</v>
      </c>
      <c r="D208">
        <v>2</v>
      </c>
      <c r="E208" s="3">
        <f t="shared" si="3"/>
        <v>3</v>
      </c>
    </row>
    <row r="209" spans="1:5" hidden="1" x14ac:dyDescent="0.2">
      <c r="A209">
        <v>5</v>
      </c>
      <c r="B209" s="2" t="s">
        <v>10</v>
      </c>
      <c r="C209" s="2" t="s">
        <v>10</v>
      </c>
      <c r="D209" s="2" t="s">
        <v>10</v>
      </c>
      <c r="E209" s="3">
        <f t="shared" si="3"/>
        <v>3</v>
      </c>
    </row>
    <row r="210" spans="1:5" hidden="1" x14ac:dyDescent="0.2">
      <c r="A210">
        <v>6</v>
      </c>
      <c r="B210" s="2" t="s">
        <v>10</v>
      </c>
      <c r="C210" s="2" t="s">
        <v>10</v>
      </c>
      <c r="D210" s="2" t="s">
        <v>10</v>
      </c>
      <c r="E210" s="3">
        <f t="shared" si="3"/>
        <v>3</v>
      </c>
    </row>
    <row r="211" spans="1:5" hidden="1" x14ac:dyDescent="0.2">
      <c r="A211">
        <v>7</v>
      </c>
      <c r="B211" s="2" t="s">
        <v>10</v>
      </c>
      <c r="C211" s="2" t="s">
        <v>10</v>
      </c>
      <c r="D211" s="2" t="s">
        <v>10</v>
      </c>
      <c r="E211" s="3">
        <f t="shared" si="3"/>
        <v>3</v>
      </c>
    </row>
    <row r="212" spans="1:5" hidden="1" x14ac:dyDescent="0.2">
      <c r="A212">
        <v>8</v>
      </c>
      <c r="B212" s="2" t="s">
        <v>10</v>
      </c>
      <c r="C212" s="2" t="s">
        <v>10</v>
      </c>
      <c r="D212" s="2" t="s">
        <v>10</v>
      </c>
      <c r="E212" s="3">
        <f t="shared" si="3"/>
        <v>3</v>
      </c>
    </row>
    <row r="213" spans="1:5" hidden="1" x14ac:dyDescent="0.2">
      <c r="A213" s="1" t="s">
        <v>0</v>
      </c>
      <c r="E213" s="3">
        <f t="shared" si="3"/>
        <v>4</v>
      </c>
    </row>
    <row r="214" spans="1:5" hidden="1" x14ac:dyDescent="0.2">
      <c r="A214" s="1" t="s">
        <v>1</v>
      </c>
      <c r="B214" s="1" t="s">
        <v>2</v>
      </c>
      <c r="C214" s="1" t="s">
        <v>3</v>
      </c>
      <c r="D214" s="1" t="s">
        <v>4</v>
      </c>
      <c r="E214" s="3">
        <f t="shared" si="3"/>
        <v>4</v>
      </c>
    </row>
    <row r="215" spans="1:5" hidden="1" x14ac:dyDescent="0.2">
      <c r="A215">
        <v>1</v>
      </c>
      <c r="B215" t="s">
        <v>46</v>
      </c>
      <c r="C215">
        <v>1</v>
      </c>
      <c r="D215">
        <v>15</v>
      </c>
      <c r="E215" s="3">
        <f t="shared" si="3"/>
        <v>4</v>
      </c>
    </row>
    <row r="216" spans="1:5" hidden="1" x14ac:dyDescent="0.2">
      <c r="A216">
        <v>2</v>
      </c>
      <c r="B216" t="s">
        <v>450</v>
      </c>
      <c r="C216">
        <v>2</v>
      </c>
      <c r="D216">
        <v>11</v>
      </c>
      <c r="E216" s="3">
        <f t="shared" si="3"/>
        <v>4</v>
      </c>
    </row>
    <row r="217" spans="1:5" hidden="1" x14ac:dyDescent="0.2">
      <c r="A217">
        <v>3</v>
      </c>
      <c r="B217" t="s">
        <v>454</v>
      </c>
      <c r="C217">
        <v>1</v>
      </c>
      <c r="D217">
        <v>7</v>
      </c>
      <c r="E217" s="3">
        <f t="shared" si="3"/>
        <v>4</v>
      </c>
    </row>
    <row r="218" spans="1:5" hidden="1" x14ac:dyDescent="0.2">
      <c r="A218">
        <v>4</v>
      </c>
      <c r="B218" t="s">
        <v>28</v>
      </c>
      <c r="C218">
        <v>0</v>
      </c>
      <c r="D218">
        <v>3</v>
      </c>
      <c r="E218" s="3">
        <f t="shared" si="3"/>
        <v>4</v>
      </c>
    </row>
    <row r="219" spans="1:5" hidden="1" x14ac:dyDescent="0.2">
      <c r="A219">
        <v>5</v>
      </c>
      <c r="B219" t="s">
        <v>48</v>
      </c>
      <c r="C219">
        <v>0</v>
      </c>
      <c r="D219">
        <v>1</v>
      </c>
      <c r="E219" s="3">
        <f t="shared" si="3"/>
        <v>4</v>
      </c>
    </row>
    <row r="220" spans="1:5" hidden="1" x14ac:dyDescent="0.2">
      <c r="A220">
        <v>6</v>
      </c>
      <c r="B220" s="2" t="s">
        <v>10</v>
      </c>
      <c r="C220" s="2" t="s">
        <v>10</v>
      </c>
      <c r="D220" s="2" t="s">
        <v>10</v>
      </c>
      <c r="E220" s="3">
        <f t="shared" si="3"/>
        <v>4</v>
      </c>
    </row>
    <row r="221" spans="1:5" hidden="1" x14ac:dyDescent="0.2">
      <c r="A221">
        <v>7</v>
      </c>
      <c r="B221" s="2" t="s">
        <v>10</v>
      </c>
      <c r="C221" s="2" t="s">
        <v>10</v>
      </c>
      <c r="D221" s="2" t="s">
        <v>10</v>
      </c>
      <c r="E221" s="3">
        <f t="shared" si="3"/>
        <v>4</v>
      </c>
    </row>
    <row r="222" spans="1:5" hidden="1" x14ac:dyDescent="0.2">
      <c r="A222">
        <v>8</v>
      </c>
      <c r="B222" s="2" t="s">
        <v>10</v>
      </c>
      <c r="C222" s="2" t="s">
        <v>10</v>
      </c>
      <c r="D222" s="2" t="s">
        <v>10</v>
      </c>
      <c r="E222" s="3">
        <f t="shared" si="3"/>
        <v>4</v>
      </c>
    </row>
    <row r="223" spans="1:5" hidden="1" x14ac:dyDescent="0.2">
      <c r="A223" s="1" t="s">
        <v>17</v>
      </c>
      <c r="E223" s="3">
        <f t="shared" si="3"/>
        <v>4</v>
      </c>
    </row>
    <row r="224" spans="1:5" hidden="1" x14ac:dyDescent="0.2">
      <c r="A224" s="1" t="s">
        <v>1</v>
      </c>
      <c r="B224" s="1" t="s">
        <v>2</v>
      </c>
      <c r="C224" s="1" t="s">
        <v>3</v>
      </c>
      <c r="D224" s="1" t="s">
        <v>4</v>
      </c>
      <c r="E224" s="3">
        <f t="shared" si="3"/>
        <v>4</v>
      </c>
    </row>
    <row r="225" spans="1:5" hidden="1" x14ac:dyDescent="0.2">
      <c r="A225">
        <v>1</v>
      </c>
      <c r="B225" t="s">
        <v>45</v>
      </c>
      <c r="C225">
        <v>2</v>
      </c>
      <c r="D225">
        <v>16</v>
      </c>
      <c r="E225" s="3">
        <f t="shared" si="3"/>
        <v>4</v>
      </c>
    </row>
    <row r="226" spans="1:5" hidden="1" x14ac:dyDescent="0.2">
      <c r="A226">
        <v>2</v>
      </c>
      <c r="B226" t="s">
        <v>484</v>
      </c>
      <c r="C226">
        <v>1</v>
      </c>
      <c r="D226">
        <v>12</v>
      </c>
      <c r="E226" s="3">
        <f t="shared" si="3"/>
        <v>4</v>
      </c>
    </row>
    <row r="227" spans="1:5" hidden="1" x14ac:dyDescent="0.2">
      <c r="A227">
        <v>3</v>
      </c>
      <c r="B227" t="s">
        <v>55</v>
      </c>
      <c r="C227">
        <v>2</v>
      </c>
      <c r="D227">
        <v>8</v>
      </c>
      <c r="E227" s="3">
        <f t="shared" si="3"/>
        <v>4</v>
      </c>
    </row>
    <row r="228" spans="1:5" hidden="1" x14ac:dyDescent="0.2">
      <c r="A228">
        <v>4</v>
      </c>
      <c r="B228" t="s">
        <v>101</v>
      </c>
      <c r="C228">
        <v>0</v>
      </c>
      <c r="D228">
        <v>4</v>
      </c>
      <c r="E228" s="3">
        <f t="shared" si="3"/>
        <v>4</v>
      </c>
    </row>
    <row r="229" spans="1:5" hidden="1" x14ac:dyDescent="0.2">
      <c r="A229">
        <v>5</v>
      </c>
      <c r="B229" t="s">
        <v>476</v>
      </c>
      <c r="C229">
        <v>0</v>
      </c>
      <c r="D229">
        <v>2</v>
      </c>
      <c r="E229" s="3">
        <f t="shared" si="3"/>
        <v>4</v>
      </c>
    </row>
    <row r="230" spans="1:5" hidden="1" x14ac:dyDescent="0.2">
      <c r="A230">
        <v>6</v>
      </c>
      <c r="B230" t="s">
        <v>60</v>
      </c>
      <c r="C230">
        <v>0</v>
      </c>
      <c r="D230">
        <v>1</v>
      </c>
      <c r="E230" s="3">
        <f t="shared" si="3"/>
        <v>4</v>
      </c>
    </row>
    <row r="231" spans="1:5" hidden="1" x14ac:dyDescent="0.2">
      <c r="A231">
        <v>7</v>
      </c>
      <c r="B231" s="2" t="s">
        <v>10</v>
      </c>
      <c r="C231" s="2" t="s">
        <v>10</v>
      </c>
      <c r="D231" s="2" t="s">
        <v>10</v>
      </c>
      <c r="E231" s="3">
        <f t="shared" si="3"/>
        <v>4</v>
      </c>
    </row>
    <row r="232" spans="1:5" hidden="1" x14ac:dyDescent="0.2">
      <c r="A232">
        <v>8</v>
      </c>
      <c r="B232" s="2" t="s">
        <v>10</v>
      </c>
      <c r="C232" s="2" t="s">
        <v>10</v>
      </c>
      <c r="D232" s="2" t="s">
        <v>10</v>
      </c>
      <c r="E232" s="3">
        <f t="shared" si="3"/>
        <v>4</v>
      </c>
    </row>
    <row r="233" spans="1:5" hidden="1" x14ac:dyDescent="0.2">
      <c r="A233" s="1" t="s">
        <v>30</v>
      </c>
      <c r="E233" s="3">
        <f t="shared" si="3"/>
        <v>4</v>
      </c>
    </row>
    <row r="234" spans="1:5" hidden="1" x14ac:dyDescent="0.2">
      <c r="A234" s="1" t="s">
        <v>1</v>
      </c>
      <c r="B234" s="1" t="s">
        <v>2</v>
      </c>
      <c r="C234" s="1" t="s">
        <v>3</v>
      </c>
      <c r="D234" s="1" t="s">
        <v>4</v>
      </c>
      <c r="E234" s="3">
        <f t="shared" si="3"/>
        <v>4</v>
      </c>
    </row>
    <row r="235" spans="1:5" hidden="1" x14ac:dyDescent="0.2">
      <c r="A235">
        <v>1</v>
      </c>
      <c r="B235" t="s">
        <v>32</v>
      </c>
      <c r="C235">
        <v>4</v>
      </c>
      <c r="D235">
        <v>16</v>
      </c>
      <c r="E235" s="3">
        <f t="shared" si="3"/>
        <v>4</v>
      </c>
    </row>
    <row r="236" spans="1:5" hidden="1" x14ac:dyDescent="0.2">
      <c r="A236">
        <v>2</v>
      </c>
      <c r="B236" t="s">
        <v>368</v>
      </c>
      <c r="C236">
        <v>1</v>
      </c>
      <c r="D236">
        <v>12</v>
      </c>
      <c r="E236" s="3">
        <f t="shared" si="3"/>
        <v>4</v>
      </c>
    </row>
    <row r="237" spans="1:5" hidden="1" x14ac:dyDescent="0.2">
      <c r="A237">
        <v>3</v>
      </c>
      <c r="B237" t="s">
        <v>25</v>
      </c>
      <c r="C237">
        <v>0</v>
      </c>
      <c r="D237">
        <v>8</v>
      </c>
      <c r="E237" s="3">
        <f t="shared" si="3"/>
        <v>4</v>
      </c>
    </row>
    <row r="238" spans="1:5" hidden="1" x14ac:dyDescent="0.2">
      <c r="A238">
        <v>4</v>
      </c>
      <c r="B238" t="s">
        <v>33</v>
      </c>
      <c r="C238">
        <v>0</v>
      </c>
      <c r="D238">
        <v>4</v>
      </c>
      <c r="E238" s="3">
        <f t="shared" si="3"/>
        <v>4</v>
      </c>
    </row>
    <row r="239" spans="1:5" hidden="1" x14ac:dyDescent="0.2">
      <c r="A239">
        <v>5</v>
      </c>
      <c r="B239" t="s">
        <v>74</v>
      </c>
      <c r="C239">
        <v>0</v>
      </c>
      <c r="D239">
        <v>2</v>
      </c>
      <c r="E239" s="3">
        <f t="shared" si="3"/>
        <v>4</v>
      </c>
    </row>
    <row r="240" spans="1:5" hidden="1" x14ac:dyDescent="0.2">
      <c r="A240">
        <v>6</v>
      </c>
      <c r="B240" t="s">
        <v>451</v>
      </c>
      <c r="C240">
        <v>0</v>
      </c>
      <c r="D240">
        <v>1</v>
      </c>
      <c r="E240" s="3">
        <f t="shared" si="3"/>
        <v>4</v>
      </c>
    </row>
    <row r="241" spans="1:5" hidden="1" x14ac:dyDescent="0.2">
      <c r="A241">
        <v>7</v>
      </c>
      <c r="B241" s="2" t="s">
        <v>10</v>
      </c>
      <c r="C241" s="2" t="s">
        <v>10</v>
      </c>
      <c r="D241" s="2" t="s">
        <v>10</v>
      </c>
      <c r="E241" s="3">
        <f t="shared" si="3"/>
        <v>4</v>
      </c>
    </row>
    <row r="242" spans="1:5" hidden="1" x14ac:dyDescent="0.2">
      <c r="A242">
        <v>8</v>
      </c>
      <c r="B242" s="2" t="s">
        <v>10</v>
      </c>
      <c r="C242" s="2" t="s">
        <v>10</v>
      </c>
      <c r="D242" s="2" t="s">
        <v>10</v>
      </c>
      <c r="E242" s="3">
        <f t="shared" si="3"/>
        <v>4</v>
      </c>
    </row>
    <row r="243" spans="1:5" hidden="1" x14ac:dyDescent="0.2">
      <c r="A243" s="1" t="s">
        <v>37</v>
      </c>
      <c r="E243" s="3">
        <f t="shared" si="3"/>
        <v>4</v>
      </c>
    </row>
    <row r="244" spans="1:5" hidden="1" x14ac:dyDescent="0.2">
      <c r="A244" s="1" t="s">
        <v>1</v>
      </c>
      <c r="B244" s="1" t="s">
        <v>2</v>
      </c>
      <c r="C244" s="1" t="s">
        <v>3</v>
      </c>
      <c r="D244" s="1" t="s">
        <v>4</v>
      </c>
      <c r="E244" s="3">
        <f t="shared" si="3"/>
        <v>4</v>
      </c>
    </row>
    <row r="245" spans="1:5" hidden="1" x14ac:dyDescent="0.2">
      <c r="A245">
        <v>1</v>
      </c>
      <c r="B245" t="s">
        <v>18</v>
      </c>
      <c r="C245">
        <v>3</v>
      </c>
      <c r="D245">
        <v>15</v>
      </c>
      <c r="E245" s="3">
        <f t="shared" si="3"/>
        <v>4</v>
      </c>
    </row>
    <row r="246" spans="1:5" hidden="1" x14ac:dyDescent="0.2">
      <c r="A246">
        <v>2</v>
      </c>
      <c r="B246" t="s">
        <v>68</v>
      </c>
      <c r="C246">
        <v>1</v>
      </c>
      <c r="D246">
        <v>11</v>
      </c>
      <c r="E246" s="3">
        <f t="shared" si="3"/>
        <v>4</v>
      </c>
    </row>
    <row r="247" spans="1:5" hidden="1" x14ac:dyDescent="0.2">
      <c r="A247">
        <v>3</v>
      </c>
      <c r="B247" t="s">
        <v>473</v>
      </c>
      <c r="C247">
        <v>0</v>
      </c>
      <c r="D247">
        <v>7</v>
      </c>
      <c r="E247" s="3">
        <f t="shared" si="3"/>
        <v>4</v>
      </c>
    </row>
    <row r="248" spans="1:5" hidden="1" x14ac:dyDescent="0.2">
      <c r="A248">
        <v>4</v>
      </c>
      <c r="B248" t="s">
        <v>12</v>
      </c>
      <c r="C248">
        <v>0</v>
      </c>
      <c r="D248">
        <v>3</v>
      </c>
      <c r="E248" s="3">
        <f t="shared" si="3"/>
        <v>4</v>
      </c>
    </row>
    <row r="249" spans="1:5" hidden="1" x14ac:dyDescent="0.2">
      <c r="A249">
        <v>5</v>
      </c>
      <c r="B249" t="s">
        <v>76</v>
      </c>
      <c r="C249">
        <v>0</v>
      </c>
      <c r="D249">
        <v>1</v>
      </c>
      <c r="E249" s="3">
        <f t="shared" si="3"/>
        <v>4</v>
      </c>
    </row>
    <row r="250" spans="1:5" hidden="1" x14ac:dyDescent="0.2">
      <c r="A250">
        <v>6</v>
      </c>
      <c r="B250" s="2" t="s">
        <v>10</v>
      </c>
      <c r="C250" s="2" t="s">
        <v>10</v>
      </c>
      <c r="D250" s="2" t="s">
        <v>10</v>
      </c>
      <c r="E250" s="3">
        <f t="shared" si="3"/>
        <v>4</v>
      </c>
    </row>
    <row r="251" spans="1:5" hidden="1" x14ac:dyDescent="0.2">
      <c r="A251">
        <v>7</v>
      </c>
      <c r="B251" s="2" t="s">
        <v>10</v>
      </c>
      <c r="C251" s="2" t="s">
        <v>10</v>
      </c>
      <c r="D251" s="2" t="s">
        <v>10</v>
      </c>
      <c r="E251" s="3">
        <f t="shared" si="3"/>
        <v>4</v>
      </c>
    </row>
    <row r="252" spans="1:5" hidden="1" x14ac:dyDescent="0.2">
      <c r="A252">
        <v>8</v>
      </c>
      <c r="B252" s="2" t="s">
        <v>10</v>
      </c>
      <c r="C252" s="2" t="s">
        <v>10</v>
      </c>
      <c r="D252" s="2" t="s">
        <v>10</v>
      </c>
      <c r="E252" s="3">
        <f t="shared" si="3"/>
        <v>4</v>
      </c>
    </row>
    <row r="253" spans="1:5" hidden="1" x14ac:dyDescent="0.2">
      <c r="A253" s="1" t="s">
        <v>44</v>
      </c>
      <c r="E253" s="3">
        <f t="shared" si="3"/>
        <v>4</v>
      </c>
    </row>
    <row r="254" spans="1:5" hidden="1" x14ac:dyDescent="0.2">
      <c r="A254" s="1" t="s">
        <v>1</v>
      </c>
      <c r="B254" s="1" t="s">
        <v>2</v>
      </c>
      <c r="C254" s="1" t="s">
        <v>3</v>
      </c>
      <c r="D254" s="1" t="s">
        <v>4</v>
      </c>
      <c r="E254" s="3">
        <f t="shared" si="3"/>
        <v>4</v>
      </c>
    </row>
    <row r="255" spans="1:5" hidden="1" x14ac:dyDescent="0.2">
      <c r="A255">
        <v>1</v>
      </c>
      <c r="B255" t="s">
        <v>75</v>
      </c>
      <c r="C255">
        <v>3</v>
      </c>
      <c r="D255">
        <v>15</v>
      </c>
      <c r="E255" s="3">
        <f t="shared" si="3"/>
        <v>4</v>
      </c>
    </row>
    <row r="256" spans="1:5" hidden="1" x14ac:dyDescent="0.2">
      <c r="A256">
        <v>2</v>
      </c>
      <c r="B256" t="s">
        <v>87</v>
      </c>
      <c r="C256">
        <v>0</v>
      </c>
      <c r="D256">
        <v>11</v>
      </c>
      <c r="E256" s="3">
        <f t="shared" si="3"/>
        <v>4</v>
      </c>
    </row>
    <row r="257" spans="1:5" hidden="1" x14ac:dyDescent="0.2">
      <c r="A257">
        <v>3</v>
      </c>
      <c r="B257" t="s">
        <v>41</v>
      </c>
      <c r="C257">
        <v>1</v>
      </c>
      <c r="D257">
        <v>7</v>
      </c>
      <c r="E257" s="3">
        <f t="shared" si="3"/>
        <v>4</v>
      </c>
    </row>
    <row r="258" spans="1:5" hidden="1" x14ac:dyDescent="0.2">
      <c r="A258">
        <v>4</v>
      </c>
      <c r="B258" t="s">
        <v>65</v>
      </c>
      <c r="C258">
        <v>0</v>
      </c>
      <c r="D258">
        <v>3</v>
      </c>
      <c r="E258" s="3">
        <f t="shared" si="3"/>
        <v>4</v>
      </c>
    </row>
    <row r="259" spans="1:5" hidden="1" x14ac:dyDescent="0.2">
      <c r="A259">
        <v>5</v>
      </c>
      <c r="B259" t="s">
        <v>21</v>
      </c>
      <c r="C259">
        <v>0</v>
      </c>
      <c r="D259">
        <v>1</v>
      </c>
      <c r="E259" s="3">
        <f t="shared" si="3"/>
        <v>4</v>
      </c>
    </row>
    <row r="260" spans="1:5" hidden="1" x14ac:dyDescent="0.2">
      <c r="A260">
        <v>6</v>
      </c>
      <c r="B260" s="2" t="s">
        <v>10</v>
      </c>
      <c r="C260" s="2" t="s">
        <v>10</v>
      </c>
      <c r="D260" s="2" t="s">
        <v>10</v>
      </c>
      <c r="E260" s="3">
        <f t="shared" ref="E260:E323" si="4">IF(A260=$A$1,E259+1,E259)</f>
        <v>4</v>
      </c>
    </row>
    <row r="261" spans="1:5" hidden="1" x14ac:dyDescent="0.2">
      <c r="A261">
        <v>7</v>
      </c>
      <c r="B261" s="2" t="s">
        <v>10</v>
      </c>
      <c r="C261" s="2" t="s">
        <v>10</v>
      </c>
      <c r="D261" s="2" t="s">
        <v>10</v>
      </c>
      <c r="E261" s="3">
        <f t="shared" si="4"/>
        <v>4</v>
      </c>
    </row>
    <row r="262" spans="1:5" hidden="1" x14ac:dyDescent="0.2">
      <c r="A262">
        <v>8</v>
      </c>
      <c r="B262" s="2" t="s">
        <v>10</v>
      </c>
      <c r="C262" s="2" t="s">
        <v>10</v>
      </c>
      <c r="D262" s="2" t="s">
        <v>10</v>
      </c>
      <c r="E262" s="3">
        <f t="shared" si="4"/>
        <v>4</v>
      </c>
    </row>
    <row r="263" spans="1:5" hidden="1" x14ac:dyDescent="0.2">
      <c r="A263" s="1" t="s">
        <v>51</v>
      </c>
      <c r="E263" s="3">
        <f t="shared" si="4"/>
        <v>4</v>
      </c>
    </row>
    <row r="264" spans="1:5" hidden="1" x14ac:dyDescent="0.2">
      <c r="A264" s="1" t="s">
        <v>1</v>
      </c>
      <c r="B264" s="1" t="s">
        <v>2</v>
      </c>
      <c r="C264" s="1" t="s">
        <v>3</v>
      </c>
      <c r="D264" s="1" t="s">
        <v>4</v>
      </c>
      <c r="E264" s="3">
        <f t="shared" si="4"/>
        <v>4</v>
      </c>
    </row>
    <row r="265" spans="1:5" hidden="1" x14ac:dyDescent="0.2">
      <c r="A265">
        <v>1</v>
      </c>
      <c r="B265" t="s">
        <v>52</v>
      </c>
      <c r="C265">
        <v>3</v>
      </c>
      <c r="D265">
        <v>15</v>
      </c>
      <c r="E265" s="3">
        <f t="shared" si="4"/>
        <v>4</v>
      </c>
    </row>
    <row r="266" spans="1:5" hidden="1" x14ac:dyDescent="0.2">
      <c r="A266">
        <v>2</v>
      </c>
      <c r="B266" t="s">
        <v>98</v>
      </c>
      <c r="C266">
        <v>0</v>
      </c>
      <c r="D266">
        <v>11</v>
      </c>
      <c r="E266" s="3">
        <f t="shared" si="4"/>
        <v>4</v>
      </c>
    </row>
    <row r="267" spans="1:5" hidden="1" x14ac:dyDescent="0.2">
      <c r="A267">
        <v>3</v>
      </c>
      <c r="B267" t="s">
        <v>59</v>
      </c>
      <c r="C267">
        <v>1</v>
      </c>
      <c r="D267">
        <v>7</v>
      </c>
      <c r="E267" s="3">
        <f t="shared" si="4"/>
        <v>4</v>
      </c>
    </row>
    <row r="268" spans="1:5" hidden="1" x14ac:dyDescent="0.2">
      <c r="A268">
        <v>4</v>
      </c>
      <c r="B268" t="s">
        <v>66</v>
      </c>
      <c r="C268">
        <v>0</v>
      </c>
      <c r="D268">
        <v>3</v>
      </c>
      <c r="E268" s="3">
        <f t="shared" si="4"/>
        <v>4</v>
      </c>
    </row>
    <row r="269" spans="1:5" hidden="1" x14ac:dyDescent="0.2">
      <c r="A269">
        <v>5</v>
      </c>
      <c r="B269" t="s">
        <v>50</v>
      </c>
      <c r="C269">
        <v>0</v>
      </c>
      <c r="D269">
        <v>1</v>
      </c>
      <c r="E269" s="3">
        <f t="shared" si="4"/>
        <v>4</v>
      </c>
    </row>
    <row r="270" spans="1:5" hidden="1" x14ac:dyDescent="0.2">
      <c r="A270">
        <v>6</v>
      </c>
      <c r="B270" s="2" t="s">
        <v>10</v>
      </c>
      <c r="C270" s="2" t="s">
        <v>10</v>
      </c>
      <c r="D270" s="2" t="s">
        <v>10</v>
      </c>
      <c r="E270" s="3">
        <f t="shared" si="4"/>
        <v>4</v>
      </c>
    </row>
    <row r="271" spans="1:5" hidden="1" x14ac:dyDescent="0.2">
      <c r="A271">
        <v>7</v>
      </c>
      <c r="B271" s="2" t="s">
        <v>10</v>
      </c>
      <c r="C271" s="2" t="s">
        <v>10</v>
      </c>
      <c r="D271" s="2" t="s">
        <v>10</v>
      </c>
      <c r="E271" s="3">
        <f t="shared" si="4"/>
        <v>4</v>
      </c>
    </row>
    <row r="272" spans="1:5" hidden="1" x14ac:dyDescent="0.2">
      <c r="A272">
        <v>8</v>
      </c>
      <c r="B272" s="2" t="s">
        <v>10</v>
      </c>
      <c r="C272" s="2" t="s">
        <v>10</v>
      </c>
      <c r="D272" s="2" t="s">
        <v>10</v>
      </c>
      <c r="E272" s="3">
        <f t="shared" si="4"/>
        <v>4</v>
      </c>
    </row>
    <row r="273" spans="1:5" hidden="1" x14ac:dyDescent="0.2">
      <c r="A273" s="1" t="s">
        <v>64</v>
      </c>
      <c r="E273" s="3">
        <f t="shared" si="4"/>
        <v>4</v>
      </c>
    </row>
    <row r="274" spans="1:5" hidden="1" x14ac:dyDescent="0.2">
      <c r="A274" s="1" t="s">
        <v>1</v>
      </c>
      <c r="B274" s="1" t="s">
        <v>2</v>
      </c>
      <c r="C274" s="1" t="s">
        <v>3</v>
      </c>
      <c r="D274" s="1" t="s">
        <v>4</v>
      </c>
      <c r="E274" s="3">
        <f t="shared" si="4"/>
        <v>4</v>
      </c>
    </row>
    <row r="275" spans="1:5" hidden="1" x14ac:dyDescent="0.2">
      <c r="A275">
        <v>1</v>
      </c>
      <c r="B275" t="s">
        <v>14</v>
      </c>
      <c r="C275">
        <v>3</v>
      </c>
      <c r="D275">
        <v>16</v>
      </c>
      <c r="E275" s="3">
        <f t="shared" si="4"/>
        <v>4</v>
      </c>
    </row>
    <row r="276" spans="1:5" hidden="1" x14ac:dyDescent="0.2">
      <c r="A276">
        <v>2</v>
      </c>
      <c r="B276" t="s">
        <v>6</v>
      </c>
      <c r="C276">
        <v>0</v>
      </c>
      <c r="D276">
        <v>12</v>
      </c>
      <c r="E276" s="3">
        <f t="shared" si="4"/>
        <v>4</v>
      </c>
    </row>
    <row r="277" spans="1:5" hidden="1" x14ac:dyDescent="0.2">
      <c r="A277">
        <v>3</v>
      </c>
      <c r="B277" t="s">
        <v>88</v>
      </c>
      <c r="C277">
        <v>0</v>
      </c>
      <c r="D277">
        <v>8</v>
      </c>
      <c r="E277" s="3">
        <f t="shared" si="4"/>
        <v>4</v>
      </c>
    </row>
    <row r="278" spans="1:5" hidden="1" x14ac:dyDescent="0.2">
      <c r="A278">
        <v>4</v>
      </c>
      <c r="B278" t="s">
        <v>40</v>
      </c>
      <c r="C278">
        <v>2</v>
      </c>
      <c r="D278">
        <v>4</v>
      </c>
      <c r="E278" s="3">
        <f t="shared" si="4"/>
        <v>4</v>
      </c>
    </row>
    <row r="279" spans="1:5" hidden="1" x14ac:dyDescent="0.2">
      <c r="A279">
        <v>5</v>
      </c>
      <c r="B279" t="s">
        <v>73</v>
      </c>
      <c r="C279">
        <v>0</v>
      </c>
      <c r="D279">
        <v>2</v>
      </c>
      <c r="E279" s="3">
        <f t="shared" si="4"/>
        <v>4</v>
      </c>
    </row>
    <row r="280" spans="1:5" hidden="1" x14ac:dyDescent="0.2">
      <c r="A280">
        <v>6</v>
      </c>
      <c r="B280" t="s">
        <v>26</v>
      </c>
      <c r="C280">
        <v>0</v>
      </c>
      <c r="D280">
        <v>1</v>
      </c>
      <c r="E280" s="3">
        <f t="shared" si="4"/>
        <v>4</v>
      </c>
    </row>
    <row r="281" spans="1:5" hidden="1" x14ac:dyDescent="0.2">
      <c r="A281">
        <v>7</v>
      </c>
      <c r="B281" s="2" t="s">
        <v>10</v>
      </c>
      <c r="C281" s="2" t="s">
        <v>10</v>
      </c>
      <c r="D281" s="2" t="s">
        <v>10</v>
      </c>
      <c r="E281" s="3">
        <f t="shared" si="4"/>
        <v>4</v>
      </c>
    </row>
    <row r="282" spans="1:5" hidden="1" x14ac:dyDescent="0.2">
      <c r="A282">
        <v>8</v>
      </c>
      <c r="B282" s="2" t="s">
        <v>10</v>
      </c>
      <c r="C282" s="2" t="s">
        <v>10</v>
      </c>
      <c r="D282" s="2" t="s">
        <v>10</v>
      </c>
      <c r="E282" s="3">
        <f t="shared" si="4"/>
        <v>4</v>
      </c>
    </row>
    <row r="283" spans="1:5" hidden="1" x14ac:dyDescent="0.2">
      <c r="A283" s="1" t="s">
        <v>0</v>
      </c>
      <c r="E283" s="3">
        <f t="shared" si="4"/>
        <v>5</v>
      </c>
    </row>
    <row r="284" spans="1:5" hidden="1" x14ac:dyDescent="0.2">
      <c r="A284" s="1" t="s">
        <v>1</v>
      </c>
      <c r="B284" s="1" t="s">
        <v>2</v>
      </c>
      <c r="C284" s="1" t="s">
        <v>3</v>
      </c>
      <c r="D284" s="1" t="s">
        <v>4</v>
      </c>
      <c r="E284" s="3">
        <f t="shared" si="4"/>
        <v>5</v>
      </c>
    </row>
    <row r="285" spans="1:5" hidden="1" x14ac:dyDescent="0.2">
      <c r="A285">
        <v>1</v>
      </c>
      <c r="B285" t="s">
        <v>48</v>
      </c>
      <c r="C285">
        <v>2</v>
      </c>
      <c r="D285">
        <v>16</v>
      </c>
      <c r="E285" s="3">
        <f t="shared" si="4"/>
        <v>5</v>
      </c>
    </row>
    <row r="286" spans="1:5" hidden="1" x14ac:dyDescent="0.2">
      <c r="A286">
        <v>2</v>
      </c>
      <c r="B286" t="s">
        <v>476</v>
      </c>
      <c r="C286">
        <v>1</v>
      </c>
      <c r="D286">
        <v>12</v>
      </c>
      <c r="E286" s="3">
        <f t="shared" si="4"/>
        <v>5</v>
      </c>
    </row>
    <row r="287" spans="1:5" hidden="1" x14ac:dyDescent="0.2">
      <c r="A287">
        <v>3</v>
      </c>
      <c r="B287" t="s">
        <v>371</v>
      </c>
      <c r="C287">
        <v>1</v>
      </c>
      <c r="D287">
        <v>8</v>
      </c>
      <c r="E287" s="3">
        <f t="shared" si="4"/>
        <v>5</v>
      </c>
    </row>
    <row r="288" spans="1:5" hidden="1" x14ac:dyDescent="0.2">
      <c r="A288">
        <v>4</v>
      </c>
      <c r="B288" t="s">
        <v>45</v>
      </c>
      <c r="C288">
        <v>1</v>
      </c>
      <c r="D288">
        <v>4</v>
      </c>
      <c r="E288" s="3">
        <f t="shared" si="4"/>
        <v>5</v>
      </c>
    </row>
    <row r="289" spans="1:5" hidden="1" x14ac:dyDescent="0.2">
      <c r="A289">
        <v>5</v>
      </c>
      <c r="B289" t="s">
        <v>457</v>
      </c>
      <c r="C289">
        <v>0</v>
      </c>
      <c r="D289">
        <v>2</v>
      </c>
      <c r="E289" s="3">
        <f t="shared" si="4"/>
        <v>5</v>
      </c>
    </row>
    <row r="290" spans="1:5" hidden="1" x14ac:dyDescent="0.2">
      <c r="A290">
        <v>6</v>
      </c>
      <c r="B290" t="s">
        <v>345</v>
      </c>
      <c r="C290">
        <v>0</v>
      </c>
      <c r="D290">
        <v>1</v>
      </c>
      <c r="E290" s="3">
        <f t="shared" si="4"/>
        <v>5</v>
      </c>
    </row>
    <row r="291" spans="1:5" hidden="1" x14ac:dyDescent="0.2">
      <c r="A291">
        <v>7</v>
      </c>
      <c r="B291" s="2" t="s">
        <v>10</v>
      </c>
      <c r="C291" s="2" t="s">
        <v>10</v>
      </c>
      <c r="D291" s="2" t="s">
        <v>10</v>
      </c>
      <c r="E291" s="3">
        <f t="shared" si="4"/>
        <v>5</v>
      </c>
    </row>
    <row r="292" spans="1:5" hidden="1" x14ac:dyDescent="0.2">
      <c r="A292">
        <v>8</v>
      </c>
      <c r="B292" s="2" t="s">
        <v>10</v>
      </c>
      <c r="C292" s="2" t="s">
        <v>10</v>
      </c>
      <c r="D292" s="2" t="s">
        <v>10</v>
      </c>
      <c r="E292" s="3">
        <f t="shared" si="4"/>
        <v>5</v>
      </c>
    </row>
    <row r="293" spans="1:5" hidden="1" x14ac:dyDescent="0.2">
      <c r="A293" s="1" t="s">
        <v>17</v>
      </c>
      <c r="E293" s="3">
        <f t="shared" si="4"/>
        <v>5</v>
      </c>
    </row>
    <row r="294" spans="1:5" hidden="1" x14ac:dyDescent="0.2">
      <c r="A294" s="1" t="s">
        <v>1</v>
      </c>
      <c r="B294" s="1" t="s">
        <v>2</v>
      </c>
      <c r="C294" s="1" t="s">
        <v>3</v>
      </c>
      <c r="D294" s="1" t="s">
        <v>4</v>
      </c>
      <c r="E294" s="3">
        <f t="shared" si="4"/>
        <v>5</v>
      </c>
    </row>
    <row r="295" spans="1:5" hidden="1" x14ac:dyDescent="0.2">
      <c r="A295">
        <v>1</v>
      </c>
      <c r="B295" t="s">
        <v>454</v>
      </c>
      <c r="C295">
        <v>5</v>
      </c>
      <c r="D295">
        <v>17</v>
      </c>
      <c r="E295" s="3">
        <f t="shared" si="4"/>
        <v>5</v>
      </c>
    </row>
    <row r="296" spans="1:5" hidden="1" x14ac:dyDescent="0.2">
      <c r="A296">
        <v>2</v>
      </c>
      <c r="B296" t="s">
        <v>6</v>
      </c>
      <c r="C296">
        <v>1</v>
      </c>
      <c r="D296">
        <v>13</v>
      </c>
      <c r="E296" s="3">
        <f t="shared" si="4"/>
        <v>5</v>
      </c>
    </row>
    <row r="297" spans="1:5" hidden="1" x14ac:dyDescent="0.2">
      <c r="A297">
        <v>3</v>
      </c>
      <c r="B297" t="s">
        <v>450</v>
      </c>
      <c r="C297">
        <v>0</v>
      </c>
      <c r="D297">
        <v>9</v>
      </c>
      <c r="E297" s="3">
        <f t="shared" si="4"/>
        <v>5</v>
      </c>
    </row>
    <row r="298" spans="1:5" hidden="1" x14ac:dyDescent="0.2">
      <c r="A298">
        <v>4</v>
      </c>
      <c r="B298" t="s">
        <v>12</v>
      </c>
      <c r="C298">
        <v>0</v>
      </c>
      <c r="D298">
        <v>5</v>
      </c>
      <c r="E298" s="3">
        <f t="shared" si="4"/>
        <v>5</v>
      </c>
    </row>
    <row r="299" spans="1:5" hidden="1" x14ac:dyDescent="0.2">
      <c r="A299">
        <v>5</v>
      </c>
      <c r="B299" t="s">
        <v>32</v>
      </c>
      <c r="C299">
        <v>0</v>
      </c>
      <c r="D299">
        <v>3</v>
      </c>
      <c r="E299" s="3">
        <f t="shared" si="4"/>
        <v>5</v>
      </c>
    </row>
    <row r="300" spans="1:5" hidden="1" x14ac:dyDescent="0.2">
      <c r="A300">
        <v>6</v>
      </c>
      <c r="B300" t="s">
        <v>473</v>
      </c>
      <c r="C300">
        <v>0</v>
      </c>
      <c r="D300">
        <v>2</v>
      </c>
      <c r="E300" s="3">
        <f t="shared" si="4"/>
        <v>5</v>
      </c>
    </row>
    <row r="301" spans="1:5" hidden="1" x14ac:dyDescent="0.2">
      <c r="A301">
        <v>7</v>
      </c>
      <c r="B301" t="s">
        <v>18</v>
      </c>
      <c r="C301">
        <v>0</v>
      </c>
      <c r="D301">
        <v>1</v>
      </c>
      <c r="E301" s="3">
        <f t="shared" si="4"/>
        <v>5</v>
      </c>
    </row>
    <row r="302" spans="1:5" hidden="1" x14ac:dyDescent="0.2">
      <c r="A302">
        <v>8</v>
      </c>
      <c r="B302" s="2" t="s">
        <v>10</v>
      </c>
      <c r="C302" s="2" t="s">
        <v>10</v>
      </c>
      <c r="D302" s="2" t="s">
        <v>10</v>
      </c>
      <c r="E302" s="3">
        <f t="shared" si="4"/>
        <v>5</v>
      </c>
    </row>
    <row r="303" spans="1:5" hidden="1" x14ac:dyDescent="0.2">
      <c r="A303" s="1" t="s">
        <v>24</v>
      </c>
      <c r="E303" s="3">
        <f t="shared" si="4"/>
        <v>5</v>
      </c>
    </row>
    <row r="304" spans="1:5" hidden="1" x14ac:dyDescent="0.2">
      <c r="A304" s="1" t="s">
        <v>1</v>
      </c>
      <c r="B304" s="1" t="s">
        <v>2</v>
      </c>
      <c r="C304" s="1" t="s">
        <v>3</v>
      </c>
      <c r="D304" s="1" t="s">
        <v>4</v>
      </c>
      <c r="E304" s="3">
        <f t="shared" si="4"/>
        <v>5</v>
      </c>
    </row>
    <row r="305" spans="1:5" hidden="1" x14ac:dyDescent="0.2">
      <c r="A305">
        <v>1</v>
      </c>
      <c r="B305" t="s">
        <v>55</v>
      </c>
      <c r="C305">
        <v>4</v>
      </c>
      <c r="D305">
        <v>16</v>
      </c>
      <c r="E305" s="3">
        <f t="shared" si="4"/>
        <v>5</v>
      </c>
    </row>
    <row r="306" spans="1:5" hidden="1" x14ac:dyDescent="0.2">
      <c r="A306">
        <v>2</v>
      </c>
      <c r="B306" t="s">
        <v>87</v>
      </c>
      <c r="C306">
        <v>1</v>
      </c>
      <c r="D306">
        <v>12</v>
      </c>
      <c r="E306" s="3">
        <f t="shared" si="4"/>
        <v>5</v>
      </c>
    </row>
    <row r="307" spans="1:5" hidden="1" x14ac:dyDescent="0.2">
      <c r="A307">
        <v>3</v>
      </c>
      <c r="B307" t="s">
        <v>28</v>
      </c>
      <c r="C307">
        <v>0</v>
      </c>
      <c r="D307">
        <v>8</v>
      </c>
      <c r="E307" s="3">
        <f t="shared" si="4"/>
        <v>5</v>
      </c>
    </row>
    <row r="308" spans="1:5" hidden="1" x14ac:dyDescent="0.2">
      <c r="A308">
        <v>4</v>
      </c>
      <c r="B308" t="s">
        <v>484</v>
      </c>
      <c r="C308">
        <v>0</v>
      </c>
      <c r="D308">
        <v>4</v>
      </c>
      <c r="E308" s="3">
        <f t="shared" si="4"/>
        <v>5</v>
      </c>
    </row>
    <row r="309" spans="1:5" hidden="1" x14ac:dyDescent="0.2">
      <c r="A309">
        <v>5</v>
      </c>
      <c r="B309" t="s">
        <v>68</v>
      </c>
      <c r="C309">
        <v>0</v>
      </c>
      <c r="D309">
        <v>2</v>
      </c>
      <c r="E309" s="3">
        <f t="shared" si="4"/>
        <v>5</v>
      </c>
    </row>
    <row r="310" spans="1:5" hidden="1" x14ac:dyDescent="0.2">
      <c r="A310">
        <v>6</v>
      </c>
      <c r="B310" t="s">
        <v>19</v>
      </c>
      <c r="C310">
        <v>0</v>
      </c>
      <c r="D310">
        <v>1</v>
      </c>
      <c r="E310" s="3">
        <f t="shared" si="4"/>
        <v>5</v>
      </c>
    </row>
    <row r="311" spans="1:5" hidden="1" x14ac:dyDescent="0.2">
      <c r="A311">
        <v>7</v>
      </c>
      <c r="B311" s="2" t="s">
        <v>10</v>
      </c>
      <c r="C311" s="2" t="s">
        <v>10</v>
      </c>
      <c r="D311" s="2" t="s">
        <v>10</v>
      </c>
      <c r="E311" s="3">
        <f t="shared" si="4"/>
        <v>5</v>
      </c>
    </row>
    <row r="312" spans="1:5" hidden="1" x14ac:dyDescent="0.2">
      <c r="A312">
        <v>8</v>
      </c>
      <c r="B312" s="2" t="s">
        <v>10</v>
      </c>
      <c r="C312" s="2" t="s">
        <v>10</v>
      </c>
      <c r="D312" s="2" t="s">
        <v>10</v>
      </c>
      <c r="E312" s="3">
        <f t="shared" si="4"/>
        <v>5</v>
      </c>
    </row>
    <row r="313" spans="1:5" hidden="1" x14ac:dyDescent="0.2">
      <c r="A313" s="1" t="s">
        <v>30</v>
      </c>
      <c r="E313" s="3">
        <f t="shared" si="4"/>
        <v>5</v>
      </c>
    </row>
    <row r="314" spans="1:5" hidden="1" x14ac:dyDescent="0.2">
      <c r="A314" s="1" t="s">
        <v>1</v>
      </c>
      <c r="B314" s="1" t="s">
        <v>2</v>
      </c>
      <c r="C314" s="1" t="s">
        <v>3</v>
      </c>
      <c r="D314" s="1" t="s">
        <v>4</v>
      </c>
      <c r="E314" s="3">
        <f t="shared" si="4"/>
        <v>5</v>
      </c>
    </row>
    <row r="315" spans="1:5" hidden="1" x14ac:dyDescent="0.2">
      <c r="A315">
        <v>1</v>
      </c>
      <c r="B315" t="s">
        <v>66</v>
      </c>
      <c r="C315">
        <v>3</v>
      </c>
      <c r="D315">
        <v>16</v>
      </c>
      <c r="E315" s="3">
        <f t="shared" si="4"/>
        <v>5</v>
      </c>
    </row>
    <row r="316" spans="1:5" hidden="1" x14ac:dyDescent="0.2">
      <c r="A316">
        <v>2</v>
      </c>
      <c r="B316" t="s">
        <v>461</v>
      </c>
      <c r="C316">
        <v>0</v>
      </c>
      <c r="D316">
        <v>12</v>
      </c>
      <c r="E316" s="3">
        <f t="shared" si="4"/>
        <v>5</v>
      </c>
    </row>
    <row r="317" spans="1:5" hidden="1" x14ac:dyDescent="0.2">
      <c r="A317">
        <v>3</v>
      </c>
      <c r="B317" t="s">
        <v>41</v>
      </c>
      <c r="C317">
        <v>1</v>
      </c>
      <c r="D317">
        <v>8</v>
      </c>
      <c r="E317" s="3">
        <f t="shared" si="4"/>
        <v>5</v>
      </c>
    </row>
    <row r="318" spans="1:5" hidden="1" x14ac:dyDescent="0.2">
      <c r="A318">
        <v>4</v>
      </c>
      <c r="B318" t="s">
        <v>459</v>
      </c>
      <c r="C318">
        <v>1</v>
      </c>
      <c r="D318">
        <v>4</v>
      </c>
      <c r="E318" s="3">
        <f t="shared" si="4"/>
        <v>5</v>
      </c>
    </row>
    <row r="319" spans="1:5" hidden="1" x14ac:dyDescent="0.2">
      <c r="A319">
        <v>5</v>
      </c>
      <c r="B319" t="s">
        <v>14</v>
      </c>
      <c r="C319">
        <v>0</v>
      </c>
      <c r="D319">
        <v>2</v>
      </c>
      <c r="E319" s="3">
        <f t="shared" si="4"/>
        <v>5</v>
      </c>
    </row>
    <row r="320" spans="1:5" hidden="1" x14ac:dyDescent="0.2">
      <c r="A320">
        <v>6</v>
      </c>
      <c r="B320" t="s">
        <v>75</v>
      </c>
      <c r="C320">
        <v>0</v>
      </c>
      <c r="D320">
        <v>1</v>
      </c>
      <c r="E320" s="3">
        <f t="shared" si="4"/>
        <v>5</v>
      </c>
    </row>
    <row r="321" spans="1:5" hidden="1" x14ac:dyDescent="0.2">
      <c r="A321">
        <v>7</v>
      </c>
      <c r="B321" s="2" t="s">
        <v>10</v>
      </c>
      <c r="C321" s="2" t="s">
        <v>10</v>
      </c>
      <c r="D321" s="2" t="s">
        <v>10</v>
      </c>
      <c r="E321" s="3">
        <f t="shared" si="4"/>
        <v>5</v>
      </c>
    </row>
    <row r="322" spans="1:5" hidden="1" x14ac:dyDescent="0.2">
      <c r="A322">
        <v>8</v>
      </c>
      <c r="B322" s="2" t="s">
        <v>10</v>
      </c>
      <c r="C322" s="2" t="s">
        <v>10</v>
      </c>
      <c r="D322" s="2" t="s">
        <v>10</v>
      </c>
      <c r="E322" s="3">
        <f t="shared" si="4"/>
        <v>5</v>
      </c>
    </row>
    <row r="323" spans="1:5" hidden="1" x14ac:dyDescent="0.2">
      <c r="A323" s="1" t="s">
        <v>37</v>
      </c>
      <c r="E323" s="3">
        <f t="shared" si="4"/>
        <v>5</v>
      </c>
    </row>
    <row r="324" spans="1:5" hidden="1" x14ac:dyDescent="0.2">
      <c r="A324" s="1" t="s">
        <v>1</v>
      </c>
      <c r="B324" s="1" t="s">
        <v>2</v>
      </c>
      <c r="C324" s="1" t="s">
        <v>3</v>
      </c>
      <c r="D324" s="1" t="s">
        <v>4</v>
      </c>
      <c r="E324" s="3">
        <f t="shared" ref="E324:E387" si="5">IF(A324=$A$1,E323+1,E323)</f>
        <v>5</v>
      </c>
    </row>
    <row r="325" spans="1:5" hidden="1" x14ac:dyDescent="0.2">
      <c r="A325">
        <v>1</v>
      </c>
      <c r="B325" t="s">
        <v>50</v>
      </c>
      <c r="C325">
        <v>2</v>
      </c>
      <c r="D325">
        <v>16</v>
      </c>
      <c r="E325" s="3">
        <f t="shared" si="5"/>
        <v>5</v>
      </c>
    </row>
    <row r="326" spans="1:5" hidden="1" x14ac:dyDescent="0.2">
      <c r="A326">
        <v>2</v>
      </c>
      <c r="B326" t="s">
        <v>9</v>
      </c>
      <c r="C326">
        <v>2</v>
      </c>
      <c r="D326">
        <v>12</v>
      </c>
      <c r="E326" s="3">
        <f t="shared" si="5"/>
        <v>5</v>
      </c>
    </row>
    <row r="327" spans="1:5" hidden="1" x14ac:dyDescent="0.2">
      <c r="A327">
        <v>3</v>
      </c>
      <c r="B327" t="s">
        <v>65</v>
      </c>
      <c r="C327">
        <v>0</v>
      </c>
      <c r="D327">
        <v>8</v>
      </c>
      <c r="E327" s="3">
        <f t="shared" si="5"/>
        <v>5</v>
      </c>
    </row>
    <row r="328" spans="1:5" hidden="1" x14ac:dyDescent="0.2">
      <c r="A328">
        <v>4</v>
      </c>
      <c r="B328" t="s">
        <v>264</v>
      </c>
      <c r="C328">
        <v>1</v>
      </c>
      <c r="D328">
        <v>4</v>
      </c>
      <c r="E328" s="3">
        <f t="shared" si="5"/>
        <v>5</v>
      </c>
    </row>
    <row r="329" spans="1:5" hidden="1" x14ac:dyDescent="0.2">
      <c r="A329">
        <v>5</v>
      </c>
      <c r="B329" t="s">
        <v>368</v>
      </c>
      <c r="C329">
        <v>0</v>
      </c>
      <c r="D329">
        <v>2</v>
      </c>
      <c r="E329" s="3">
        <f t="shared" si="5"/>
        <v>5</v>
      </c>
    </row>
    <row r="330" spans="1:5" hidden="1" x14ac:dyDescent="0.2">
      <c r="A330">
        <v>6</v>
      </c>
      <c r="B330" t="s">
        <v>40</v>
      </c>
      <c r="C330">
        <v>0</v>
      </c>
      <c r="D330">
        <v>1</v>
      </c>
      <c r="E330" s="3">
        <f t="shared" si="5"/>
        <v>5</v>
      </c>
    </row>
    <row r="331" spans="1:5" hidden="1" x14ac:dyDescent="0.2">
      <c r="A331">
        <v>7</v>
      </c>
      <c r="B331" s="2" t="s">
        <v>10</v>
      </c>
      <c r="C331" s="2" t="s">
        <v>10</v>
      </c>
      <c r="D331" s="2" t="s">
        <v>10</v>
      </c>
      <c r="E331" s="3">
        <f t="shared" si="5"/>
        <v>5</v>
      </c>
    </row>
    <row r="332" spans="1:5" hidden="1" x14ac:dyDescent="0.2">
      <c r="A332">
        <v>8</v>
      </c>
      <c r="B332" s="2" t="s">
        <v>10</v>
      </c>
      <c r="C332" s="2" t="s">
        <v>10</v>
      </c>
      <c r="D332" s="2" t="s">
        <v>10</v>
      </c>
      <c r="E332" s="3">
        <f t="shared" si="5"/>
        <v>5</v>
      </c>
    </row>
    <row r="333" spans="1:5" hidden="1" x14ac:dyDescent="0.2">
      <c r="A333" s="1" t="s">
        <v>44</v>
      </c>
      <c r="E333" s="3">
        <f t="shared" si="5"/>
        <v>5</v>
      </c>
    </row>
    <row r="334" spans="1:5" hidden="1" x14ac:dyDescent="0.2">
      <c r="A334" s="1" t="s">
        <v>1</v>
      </c>
      <c r="B334" s="1" t="s">
        <v>2</v>
      </c>
      <c r="C334" s="1" t="s">
        <v>3</v>
      </c>
      <c r="D334" s="1" t="s">
        <v>4</v>
      </c>
      <c r="E334" s="3">
        <f t="shared" si="5"/>
        <v>5</v>
      </c>
    </row>
    <row r="335" spans="1:5" hidden="1" x14ac:dyDescent="0.2">
      <c r="A335">
        <v>1</v>
      </c>
      <c r="B335" t="s">
        <v>59</v>
      </c>
      <c r="C335">
        <v>3</v>
      </c>
      <c r="D335">
        <v>17</v>
      </c>
      <c r="E335" s="3">
        <f t="shared" si="5"/>
        <v>5</v>
      </c>
    </row>
    <row r="336" spans="1:5" hidden="1" x14ac:dyDescent="0.2">
      <c r="A336">
        <v>2</v>
      </c>
      <c r="B336" t="s">
        <v>74</v>
      </c>
      <c r="C336">
        <v>1</v>
      </c>
      <c r="D336">
        <v>13</v>
      </c>
      <c r="E336" s="3">
        <f t="shared" si="5"/>
        <v>5</v>
      </c>
    </row>
    <row r="337" spans="1:5" hidden="1" x14ac:dyDescent="0.2">
      <c r="A337">
        <v>3</v>
      </c>
      <c r="B337" t="s">
        <v>33</v>
      </c>
      <c r="C337">
        <v>2</v>
      </c>
      <c r="D337">
        <v>9</v>
      </c>
      <c r="E337" s="3">
        <f t="shared" si="5"/>
        <v>5</v>
      </c>
    </row>
    <row r="338" spans="1:5" hidden="1" x14ac:dyDescent="0.2">
      <c r="A338">
        <v>4</v>
      </c>
      <c r="B338" t="s">
        <v>34</v>
      </c>
      <c r="C338">
        <v>0</v>
      </c>
      <c r="D338">
        <v>5</v>
      </c>
      <c r="E338" s="3">
        <f t="shared" si="5"/>
        <v>5</v>
      </c>
    </row>
    <row r="339" spans="1:5" hidden="1" x14ac:dyDescent="0.2">
      <c r="A339">
        <v>5</v>
      </c>
      <c r="B339" t="s">
        <v>21</v>
      </c>
      <c r="C339">
        <v>0</v>
      </c>
      <c r="D339">
        <v>3</v>
      </c>
      <c r="E339" s="3">
        <f t="shared" si="5"/>
        <v>5</v>
      </c>
    </row>
    <row r="340" spans="1:5" hidden="1" x14ac:dyDescent="0.2">
      <c r="A340">
        <v>6</v>
      </c>
      <c r="B340" t="s">
        <v>46</v>
      </c>
      <c r="C340">
        <v>0</v>
      </c>
      <c r="D340">
        <v>2</v>
      </c>
      <c r="E340" s="3">
        <f t="shared" si="5"/>
        <v>5</v>
      </c>
    </row>
    <row r="341" spans="1:5" hidden="1" x14ac:dyDescent="0.2">
      <c r="A341">
        <v>7</v>
      </c>
      <c r="B341" t="s">
        <v>76</v>
      </c>
      <c r="C341">
        <v>0</v>
      </c>
      <c r="D341">
        <v>1</v>
      </c>
      <c r="E341" s="3">
        <f t="shared" si="5"/>
        <v>5</v>
      </c>
    </row>
    <row r="342" spans="1:5" hidden="1" x14ac:dyDescent="0.2">
      <c r="A342">
        <v>8</v>
      </c>
      <c r="B342" s="2" t="s">
        <v>10</v>
      </c>
      <c r="C342" s="2" t="s">
        <v>10</v>
      </c>
      <c r="D342" s="2" t="s">
        <v>10</v>
      </c>
      <c r="E342" s="3">
        <f t="shared" si="5"/>
        <v>5</v>
      </c>
    </row>
    <row r="343" spans="1:5" hidden="1" x14ac:dyDescent="0.2">
      <c r="A343" s="1" t="s">
        <v>51</v>
      </c>
      <c r="E343" s="3">
        <f t="shared" si="5"/>
        <v>5</v>
      </c>
    </row>
    <row r="344" spans="1:5" hidden="1" x14ac:dyDescent="0.2">
      <c r="A344" s="1" t="s">
        <v>1</v>
      </c>
      <c r="B344" s="1" t="s">
        <v>2</v>
      </c>
      <c r="C344" s="1" t="s">
        <v>3</v>
      </c>
      <c r="D344" s="1" t="s">
        <v>4</v>
      </c>
      <c r="E344" s="3">
        <f t="shared" si="5"/>
        <v>5</v>
      </c>
    </row>
    <row r="345" spans="1:5" hidden="1" x14ac:dyDescent="0.2">
      <c r="A345">
        <v>1</v>
      </c>
      <c r="B345" t="s">
        <v>452</v>
      </c>
      <c r="C345">
        <v>1</v>
      </c>
      <c r="D345">
        <v>17</v>
      </c>
      <c r="E345" s="3">
        <f t="shared" si="5"/>
        <v>5</v>
      </c>
    </row>
    <row r="346" spans="1:5" hidden="1" x14ac:dyDescent="0.2">
      <c r="A346">
        <v>2</v>
      </c>
      <c r="B346" t="s">
        <v>91</v>
      </c>
      <c r="C346">
        <v>2</v>
      </c>
      <c r="D346">
        <v>13</v>
      </c>
      <c r="E346" s="3">
        <f t="shared" si="5"/>
        <v>5</v>
      </c>
    </row>
    <row r="347" spans="1:5" hidden="1" x14ac:dyDescent="0.2">
      <c r="A347">
        <v>3</v>
      </c>
      <c r="B347" t="s">
        <v>26</v>
      </c>
      <c r="C347">
        <v>2</v>
      </c>
      <c r="D347">
        <v>9</v>
      </c>
      <c r="E347" s="3">
        <f t="shared" si="5"/>
        <v>5</v>
      </c>
    </row>
    <row r="348" spans="1:5" hidden="1" x14ac:dyDescent="0.2">
      <c r="A348">
        <v>4</v>
      </c>
      <c r="B348" t="s">
        <v>42</v>
      </c>
      <c r="C348">
        <v>1</v>
      </c>
      <c r="D348">
        <v>5</v>
      </c>
      <c r="E348" s="3">
        <f t="shared" si="5"/>
        <v>5</v>
      </c>
    </row>
    <row r="349" spans="1:5" hidden="1" x14ac:dyDescent="0.2">
      <c r="A349">
        <v>5</v>
      </c>
      <c r="B349" t="s">
        <v>73</v>
      </c>
      <c r="C349">
        <v>0</v>
      </c>
      <c r="D349">
        <v>3</v>
      </c>
      <c r="E349" s="3">
        <f t="shared" si="5"/>
        <v>5</v>
      </c>
    </row>
    <row r="350" spans="1:5" hidden="1" x14ac:dyDescent="0.2">
      <c r="A350">
        <v>6</v>
      </c>
      <c r="B350" t="s">
        <v>60</v>
      </c>
      <c r="C350">
        <v>0</v>
      </c>
      <c r="D350">
        <v>2</v>
      </c>
      <c r="E350" s="3">
        <f t="shared" si="5"/>
        <v>5</v>
      </c>
    </row>
    <row r="351" spans="1:5" hidden="1" x14ac:dyDescent="0.2">
      <c r="A351">
        <v>7</v>
      </c>
      <c r="B351" t="s">
        <v>52</v>
      </c>
      <c r="C351">
        <v>0</v>
      </c>
      <c r="D351">
        <v>1</v>
      </c>
      <c r="E351" s="3">
        <f t="shared" si="5"/>
        <v>5</v>
      </c>
    </row>
    <row r="352" spans="1:5" hidden="1" x14ac:dyDescent="0.2">
      <c r="A352">
        <v>8</v>
      </c>
      <c r="B352" s="2" t="s">
        <v>10</v>
      </c>
      <c r="C352" s="2" t="s">
        <v>10</v>
      </c>
      <c r="D352" s="2" t="s">
        <v>10</v>
      </c>
      <c r="E352" s="3">
        <f t="shared" si="5"/>
        <v>5</v>
      </c>
    </row>
    <row r="353" spans="1:5" hidden="1" x14ac:dyDescent="0.2">
      <c r="A353" s="1" t="s">
        <v>0</v>
      </c>
      <c r="E353" s="3">
        <f t="shared" si="5"/>
        <v>6</v>
      </c>
    </row>
    <row r="354" spans="1:5" hidden="1" x14ac:dyDescent="0.2">
      <c r="A354" s="1" t="s">
        <v>1</v>
      </c>
      <c r="B354" s="1" t="s">
        <v>2</v>
      </c>
      <c r="C354" s="1" t="s">
        <v>3</v>
      </c>
      <c r="D354" s="1" t="s">
        <v>4</v>
      </c>
      <c r="E354" s="3">
        <f t="shared" si="5"/>
        <v>6</v>
      </c>
    </row>
    <row r="355" spans="1:5" hidden="1" x14ac:dyDescent="0.2">
      <c r="A355">
        <v>1</v>
      </c>
      <c r="B355" t="s">
        <v>45</v>
      </c>
      <c r="C355">
        <v>2</v>
      </c>
      <c r="D355">
        <v>15</v>
      </c>
      <c r="E355" s="3">
        <f t="shared" si="5"/>
        <v>6</v>
      </c>
    </row>
    <row r="356" spans="1:5" hidden="1" x14ac:dyDescent="0.2">
      <c r="A356">
        <v>2</v>
      </c>
      <c r="B356" t="s">
        <v>74</v>
      </c>
      <c r="C356">
        <v>1</v>
      </c>
      <c r="D356">
        <v>11</v>
      </c>
      <c r="E356" s="3">
        <f t="shared" si="5"/>
        <v>6</v>
      </c>
    </row>
    <row r="357" spans="1:5" hidden="1" x14ac:dyDescent="0.2">
      <c r="A357">
        <v>3</v>
      </c>
      <c r="B357" t="s">
        <v>75</v>
      </c>
      <c r="C357">
        <v>1</v>
      </c>
      <c r="D357">
        <v>7</v>
      </c>
      <c r="E357" s="3">
        <f t="shared" si="5"/>
        <v>6</v>
      </c>
    </row>
    <row r="358" spans="1:5" hidden="1" x14ac:dyDescent="0.2">
      <c r="A358">
        <v>4</v>
      </c>
      <c r="B358" t="s">
        <v>14</v>
      </c>
      <c r="C358">
        <v>0</v>
      </c>
      <c r="D358">
        <v>3</v>
      </c>
      <c r="E358" s="3">
        <f t="shared" si="5"/>
        <v>6</v>
      </c>
    </row>
    <row r="359" spans="1:5" hidden="1" x14ac:dyDescent="0.2">
      <c r="A359">
        <v>5</v>
      </c>
      <c r="B359" t="s">
        <v>68</v>
      </c>
      <c r="C359">
        <v>0</v>
      </c>
      <c r="D359">
        <v>1</v>
      </c>
      <c r="E359" s="3">
        <f t="shared" si="5"/>
        <v>6</v>
      </c>
    </row>
    <row r="360" spans="1:5" hidden="1" x14ac:dyDescent="0.2">
      <c r="A360">
        <v>6</v>
      </c>
      <c r="B360" s="2" t="s">
        <v>10</v>
      </c>
      <c r="C360" s="2" t="s">
        <v>10</v>
      </c>
      <c r="D360" s="2" t="s">
        <v>10</v>
      </c>
      <c r="E360" s="3">
        <f t="shared" si="5"/>
        <v>6</v>
      </c>
    </row>
    <row r="361" spans="1:5" hidden="1" x14ac:dyDescent="0.2">
      <c r="A361">
        <v>7</v>
      </c>
      <c r="B361" s="2" t="s">
        <v>10</v>
      </c>
      <c r="C361" s="2" t="s">
        <v>10</v>
      </c>
      <c r="D361" s="2" t="s">
        <v>10</v>
      </c>
      <c r="E361" s="3">
        <f t="shared" si="5"/>
        <v>6</v>
      </c>
    </row>
    <row r="362" spans="1:5" hidden="1" x14ac:dyDescent="0.2">
      <c r="A362">
        <v>8</v>
      </c>
      <c r="B362" s="2" t="s">
        <v>10</v>
      </c>
      <c r="C362" s="2" t="s">
        <v>10</v>
      </c>
      <c r="D362" s="2" t="s">
        <v>10</v>
      </c>
      <c r="E362" s="3">
        <f t="shared" si="5"/>
        <v>6</v>
      </c>
    </row>
    <row r="363" spans="1:5" hidden="1" x14ac:dyDescent="0.2">
      <c r="A363" s="1" t="s">
        <v>11</v>
      </c>
      <c r="E363" s="3">
        <f t="shared" si="5"/>
        <v>6</v>
      </c>
    </row>
    <row r="364" spans="1:5" hidden="1" x14ac:dyDescent="0.2">
      <c r="A364" s="1" t="s">
        <v>1</v>
      </c>
      <c r="B364" s="1" t="s">
        <v>2</v>
      </c>
      <c r="C364" s="1" t="s">
        <v>3</v>
      </c>
      <c r="D364" s="1" t="s">
        <v>4</v>
      </c>
      <c r="E364" s="3">
        <f t="shared" si="5"/>
        <v>6</v>
      </c>
    </row>
    <row r="365" spans="1:5" hidden="1" x14ac:dyDescent="0.2">
      <c r="A365">
        <v>1</v>
      </c>
      <c r="B365" t="s">
        <v>87</v>
      </c>
      <c r="C365">
        <v>4</v>
      </c>
      <c r="D365">
        <v>16</v>
      </c>
      <c r="E365" s="3">
        <f t="shared" si="5"/>
        <v>6</v>
      </c>
    </row>
    <row r="366" spans="1:5" hidden="1" x14ac:dyDescent="0.2">
      <c r="A366">
        <v>2</v>
      </c>
      <c r="B366" t="s">
        <v>483</v>
      </c>
      <c r="C366">
        <v>1</v>
      </c>
      <c r="D366">
        <v>12</v>
      </c>
      <c r="E366" s="3">
        <f t="shared" si="5"/>
        <v>6</v>
      </c>
    </row>
    <row r="367" spans="1:5" hidden="1" x14ac:dyDescent="0.2">
      <c r="A367">
        <v>3</v>
      </c>
      <c r="B367" t="s">
        <v>59</v>
      </c>
      <c r="C367">
        <v>0</v>
      </c>
      <c r="D367">
        <v>8</v>
      </c>
      <c r="E367" s="3">
        <f t="shared" si="5"/>
        <v>6</v>
      </c>
    </row>
    <row r="368" spans="1:5" hidden="1" x14ac:dyDescent="0.2">
      <c r="A368">
        <v>4</v>
      </c>
      <c r="B368" t="s">
        <v>18</v>
      </c>
      <c r="C368">
        <v>0</v>
      </c>
      <c r="D368">
        <v>4</v>
      </c>
      <c r="E368" s="3">
        <f t="shared" si="5"/>
        <v>6</v>
      </c>
    </row>
    <row r="369" spans="1:5" hidden="1" x14ac:dyDescent="0.2">
      <c r="A369">
        <v>5</v>
      </c>
      <c r="B369" t="s">
        <v>264</v>
      </c>
      <c r="C369">
        <v>0</v>
      </c>
      <c r="D369">
        <v>2</v>
      </c>
      <c r="E369" s="3">
        <f t="shared" si="5"/>
        <v>6</v>
      </c>
    </row>
    <row r="370" spans="1:5" hidden="1" x14ac:dyDescent="0.2">
      <c r="A370">
        <v>6</v>
      </c>
      <c r="B370" t="s">
        <v>41</v>
      </c>
      <c r="C370">
        <v>0</v>
      </c>
      <c r="D370">
        <v>1</v>
      </c>
      <c r="E370" s="3">
        <f t="shared" si="5"/>
        <v>6</v>
      </c>
    </row>
    <row r="371" spans="1:5" hidden="1" x14ac:dyDescent="0.2">
      <c r="A371">
        <v>7</v>
      </c>
      <c r="B371" s="2" t="s">
        <v>10</v>
      </c>
      <c r="C371" s="2" t="s">
        <v>10</v>
      </c>
      <c r="D371" s="2" t="s">
        <v>10</v>
      </c>
      <c r="E371" s="3">
        <f t="shared" si="5"/>
        <v>6</v>
      </c>
    </row>
    <row r="372" spans="1:5" hidden="1" x14ac:dyDescent="0.2">
      <c r="A372">
        <v>8</v>
      </c>
      <c r="B372" s="2" t="s">
        <v>10</v>
      </c>
      <c r="C372" s="2" t="s">
        <v>10</v>
      </c>
      <c r="D372" s="2" t="s">
        <v>10</v>
      </c>
      <c r="E372" s="3">
        <f t="shared" si="5"/>
        <v>6</v>
      </c>
    </row>
    <row r="373" spans="1:5" hidden="1" x14ac:dyDescent="0.2">
      <c r="A373" s="1" t="s">
        <v>17</v>
      </c>
      <c r="E373" s="3">
        <f t="shared" si="5"/>
        <v>6</v>
      </c>
    </row>
    <row r="374" spans="1:5" hidden="1" x14ac:dyDescent="0.2">
      <c r="A374" s="1" t="s">
        <v>1</v>
      </c>
      <c r="B374" s="1" t="s">
        <v>2</v>
      </c>
      <c r="C374" s="1" t="s">
        <v>3</v>
      </c>
      <c r="D374" s="1" t="s">
        <v>4</v>
      </c>
      <c r="E374" s="3">
        <f t="shared" si="5"/>
        <v>6</v>
      </c>
    </row>
    <row r="375" spans="1:5" hidden="1" x14ac:dyDescent="0.2">
      <c r="A375">
        <v>1</v>
      </c>
      <c r="B375" t="s">
        <v>27</v>
      </c>
      <c r="C375">
        <v>3</v>
      </c>
      <c r="D375">
        <v>15</v>
      </c>
      <c r="E375" s="3">
        <f t="shared" si="5"/>
        <v>6</v>
      </c>
    </row>
    <row r="376" spans="1:5" hidden="1" x14ac:dyDescent="0.2">
      <c r="A376">
        <v>2</v>
      </c>
      <c r="B376" t="s">
        <v>461</v>
      </c>
      <c r="C376">
        <v>0</v>
      </c>
      <c r="D376">
        <v>11</v>
      </c>
      <c r="E376" s="3">
        <f t="shared" si="5"/>
        <v>6</v>
      </c>
    </row>
    <row r="377" spans="1:5" hidden="1" x14ac:dyDescent="0.2">
      <c r="A377">
        <v>3</v>
      </c>
      <c r="B377" t="s">
        <v>46</v>
      </c>
      <c r="C377">
        <v>1</v>
      </c>
      <c r="D377">
        <v>7</v>
      </c>
      <c r="E377" s="3">
        <f t="shared" si="5"/>
        <v>6</v>
      </c>
    </row>
    <row r="378" spans="1:5" hidden="1" x14ac:dyDescent="0.2">
      <c r="A378">
        <v>4</v>
      </c>
      <c r="B378" t="s">
        <v>48</v>
      </c>
      <c r="C378">
        <v>0</v>
      </c>
      <c r="D378">
        <v>3</v>
      </c>
      <c r="E378" s="3">
        <f t="shared" si="5"/>
        <v>6</v>
      </c>
    </row>
    <row r="379" spans="1:5" hidden="1" x14ac:dyDescent="0.2">
      <c r="A379">
        <v>5</v>
      </c>
      <c r="B379" t="s">
        <v>12</v>
      </c>
      <c r="C379">
        <v>0</v>
      </c>
      <c r="D379">
        <v>1</v>
      </c>
      <c r="E379" s="3">
        <f t="shared" si="5"/>
        <v>6</v>
      </c>
    </row>
    <row r="380" spans="1:5" hidden="1" x14ac:dyDescent="0.2">
      <c r="A380">
        <v>6</v>
      </c>
      <c r="B380" s="2" t="s">
        <v>10</v>
      </c>
      <c r="C380" s="2" t="s">
        <v>10</v>
      </c>
      <c r="D380" s="2" t="s">
        <v>10</v>
      </c>
      <c r="E380" s="3">
        <f t="shared" si="5"/>
        <v>6</v>
      </c>
    </row>
    <row r="381" spans="1:5" hidden="1" x14ac:dyDescent="0.2">
      <c r="A381">
        <v>7</v>
      </c>
      <c r="B381" s="2" t="s">
        <v>10</v>
      </c>
      <c r="C381" s="2" t="s">
        <v>10</v>
      </c>
      <c r="D381" s="2" t="s">
        <v>10</v>
      </c>
      <c r="E381" s="3">
        <f t="shared" si="5"/>
        <v>6</v>
      </c>
    </row>
    <row r="382" spans="1:5" hidden="1" x14ac:dyDescent="0.2">
      <c r="A382">
        <v>8</v>
      </c>
      <c r="B382" s="2" t="s">
        <v>10</v>
      </c>
      <c r="C382" s="2" t="s">
        <v>10</v>
      </c>
      <c r="D382" s="2" t="s">
        <v>10</v>
      </c>
      <c r="E382" s="3">
        <f t="shared" si="5"/>
        <v>6</v>
      </c>
    </row>
    <row r="383" spans="1:5" hidden="1" x14ac:dyDescent="0.2">
      <c r="A383" s="1" t="s">
        <v>24</v>
      </c>
      <c r="E383" s="3">
        <f t="shared" si="5"/>
        <v>6</v>
      </c>
    </row>
    <row r="384" spans="1:5" hidden="1" x14ac:dyDescent="0.2">
      <c r="A384" s="1" t="s">
        <v>1</v>
      </c>
      <c r="B384" s="1" t="s">
        <v>2</v>
      </c>
      <c r="C384" s="1" t="s">
        <v>3</v>
      </c>
      <c r="D384" s="1" t="s">
        <v>4</v>
      </c>
      <c r="E384" s="3">
        <f t="shared" si="5"/>
        <v>6</v>
      </c>
    </row>
    <row r="385" spans="1:5" hidden="1" x14ac:dyDescent="0.2">
      <c r="A385">
        <v>1</v>
      </c>
      <c r="B385" t="s">
        <v>485</v>
      </c>
      <c r="C385">
        <v>3</v>
      </c>
      <c r="D385">
        <v>16</v>
      </c>
      <c r="E385" s="3">
        <f t="shared" si="5"/>
        <v>6</v>
      </c>
    </row>
    <row r="386" spans="1:5" hidden="1" x14ac:dyDescent="0.2">
      <c r="A386">
        <v>2</v>
      </c>
      <c r="B386" t="s">
        <v>33</v>
      </c>
      <c r="C386">
        <v>0</v>
      </c>
      <c r="D386">
        <v>12</v>
      </c>
      <c r="E386" s="3">
        <f t="shared" si="5"/>
        <v>6</v>
      </c>
    </row>
    <row r="387" spans="1:5" hidden="1" x14ac:dyDescent="0.2">
      <c r="A387">
        <v>3</v>
      </c>
      <c r="B387" t="s">
        <v>60</v>
      </c>
      <c r="C387">
        <v>1</v>
      </c>
      <c r="D387">
        <v>8</v>
      </c>
      <c r="E387" s="3">
        <f t="shared" si="5"/>
        <v>6</v>
      </c>
    </row>
    <row r="388" spans="1:5" hidden="1" x14ac:dyDescent="0.2">
      <c r="A388">
        <v>4</v>
      </c>
      <c r="B388" t="s">
        <v>454</v>
      </c>
      <c r="C388">
        <v>0</v>
      </c>
      <c r="D388">
        <v>4</v>
      </c>
      <c r="E388" s="3">
        <f t="shared" ref="E388:E451" si="6">IF(A388=$A$1,E387+1,E387)</f>
        <v>6</v>
      </c>
    </row>
    <row r="389" spans="1:5" hidden="1" x14ac:dyDescent="0.2">
      <c r="A389">
        <v>5</v>
      </c>
      <c r="B389" t="s">
        <v>28</v>
      </c>
      <c r="C389">
        <v>1</v>
      </c>
      <c r="D389">
        <v>2</v>
      </c>
      <c r="E389" s="3">
        <f t="shared" si="6"/>
        <v>6</v>
      </c>
    </row>
    <row r="390" spans="1:5" hidden="1" x14ac:dyDescent="0.2">
      <c r="A390">
        <v>6</v>
      </c>
      <c r="B390" t="s">
        <v>50</v>
      </c>
      <c r="C390">
        <v>0</v>
      </c>
      <c r="D390">
        <v>1</v>
      </c>
      <c r="E390" s="3">
        <f t="shared" si="6"/>
        <v>6</v>
      </c>
    </row>
    <row r="391" spans="1:5" hidden="1" x14ac:dyDescent="0.2">
      <c r="A391">
        <v>7</v>
      </c>
      <c r="B391" s="2" t="s">
        <v>10</v>
      </c>
      <c r="C391" s="2" t="s">
        <v>10</v>
      </c>
      <c r="D391" s="2" t="s">
        <v>10</v>
      </c>
      <c r="E391" s="3">
        <f t="shared" si="6"/>
        <v>6</v>
      </c>
    </row>
    <row r="392" spans="1:5" hidden="1" x14ac:dyDescent="0.2">
      <c r="A392">
        <v>8</v>
      </c>
      <c r="B392" s="2" t="s">
        <v>10</v>
      </c>
      <c r="C392" s="2" t="s">
        <v>10</v>
      </c>
      <c r="D392" s="2" t="s">
        <v>10</v>
      </c>
      <c r="E392" s="3">
        <f t="shared" si="6"/>
        <v>6</v>
      </c>
    </row>
    <row r="393" spans="1:5" hidden="1" x14ac:dyDescent="0.2">
      <c r="A393" s="1" t="s">
        <v>30</v>
      </c>
      <c r="E393" s="3">
        <f t="shared" si="6"/>
        <v>6</v>
      </c>
    </row>
    <row r="394" spans="1:5" hidden="1" x14ac:dyDescent="0.2">
      <c r="A394" s="1" t="s">
        <v>1</v>
      </c>
      <c r="B394" s="1" t="s">
        <v>2</v>
      </c>
      <c r="C394" s="1" t="s">
        <v>3</v>
      </c>
      <c r="D394" s="1" t="s">
        <v>4</v>
      </c>
      <c r="E394" s="3">
        <f t="shared" si="6"/>
        <v>6</v>
      </c>
    </row>
    <row r="395" spans="1:5" hidden="1" x14ac:dyDescent="0.2">
      <c r="A395">
        <v>1</v>
      </c>
      <c r="B395" t="s">
        <v>484</v>
      </c>
      <c r="C395">
        <v>2</v>
      </c>
      <c r="D395">
        <v>15</v>
      </c>
      <c r="E395" s="3">
        <f t="shared" si="6"/>
        <v>6</v>
      </c>
    </row>
    <row r="396" spans="1:5" hidden="1" x14ac:dyDescent="0.2">
      <c r="A396">
        <v>2</v>
      </c>
      <c r="B396" t="s">
        <v>66</v>
      </c>
      <c r="C396">
        <v>0</v>
      </c>
      <c r="D396">
        <v>11</v>
      </c>
      <c r="E396" s="3">
        <f t="shared" si="6"/>
        <v>6</v>
      </c>
    </row>
    <row r="397" spans="1:5" hidden="1" x14ac:dyDescent="0.2">
      <c r="A397">
        <v>3</v>
      </c>
      <c r="B397" t="s">
        <v>5</v>
      </c>
      <c r="C397">
        <v>2</v>
      </c>
      <c r="D397">
        <v>7</v>
      </c>
      <c r="E397" s="3">
        <f t="shared" si="6"/>
        <v>6</v>
      </c>
    </row>
    <row r="398" spans="1:5" hidden="1" x14ac:dyDescent="0.2">
      <c r="A398">
        <v>4</v>
      </c>
      <c r="B398" t="s">
        <v>55</v>
      </c>
      <c r="C398">
        <v>0</v>
      </c>
      <c r="D398">
        <v>3</v>
      </c>
      <c r="E398" s="3">
        <f t="shared" si="6"/>
        <v>6</v>
      </c>
    </row>
    <row r="399" spans="1:5" hidden="1" x14ac:dyDescent="0.2">
      <c r="A399">
        <v>5</v>
      </c>
      <c r="B399" t="s">
        <v>35</v>
      </c>
      <c r="C399">
        <v>0</v>
      </c>
      <c r="D399">
        <v>1</v>
      </c>
      <c r="E399" s="3">
        <f t="shared" si="6"/>
        <v>6</v>
      </c>
    </row>
    <row r="400" spans="1:5" hidden="1" x14ac:dyDescent="0.2">
      <c r="A400">
        <v>6</v>
      </c>
      <c r="B400" s="2" t="s">
        <v>10</v>
      </c>
      <c r="C400" s="2" t="s">
        <v>10</v>
      </c>
      <c r="D400" s="2" t="s">
        <v>10</v>
      </c>
      <c r="E400" s="3">
        <f t="shared" si="6"/>
        <v>6</v>
      </c>
    </row>
    <row r="401" spans="1:5" hidden="1" x14ac:dyDescent="0.2">
      <c r="A401">
        <v>7</v>
      </c>
      <c r="B401" s="2" t="s">
        <v>10</v>
      </c>
      <c r="C401" s="2" t="s">
        <v>10</v>
      </c>
      <c r="D401" s="2" t="s">
        <v>10</v>
      </c>
      <c r="E401" s="3">
        <f t="shared" si="6"/>
        <v>6</v>
      </c>
    </row>
    <row r="402" spans="1:5" hidden="1" x14ac:dyDescent="0.2">
      <c r="A402">
        <v>8</v>
      </c>
      <c r="B402" s="2" t="s">
        <v>10</v>
      </c>
      <c r="C402" s="2" t="s">
        <v>10</v>
      </c>
      <c r="D402" s="2" t="s">
        <v>10</v>
      </c>
      <c r="E402" s="3">
        <f t="shared" si="6"/>
        <v>6</v>
      </c>
    </row>
    <row r="403" spans="1:5" hidden="1" x14ac:dyDescent="0.2">
      <c r="A403" s="1" t="s">
        <v>37</v>
      </c>
      <c r="E403" s="3">
        <f t="shared" si="6"/>
        <v>6</v>
      </c>
    </row>
    <row r="404" spans="1:5" hidden="1" x14ac:dyDescent="0.2">
      <c r="A404" s="1" t="s">
        <v>1</v>
      </c>
      <c r="B404" s="1" t="s">
        <v>2</v>
      </c>
      <c r="C404" s="1" t="s">
        <v>3</v>
      </c>
      <c r="D404" s="1" t="s">
        <v>4</v>
      </c>
      <c r="E404" s="3">
        <f t="shared" si="6"/>
        <v>6</v>
      </c>
    </row>
    <row r="405" spans="1:5" hidden="1" x14ac:dyDescent="0.2">
      <c r="A405">
        <v>0</v>
      </c>
      <c r="C405">
        <v>0</v>
      </c>
      <c r="D405">
        <v>0</v>
      </c>
      <c r="E405" s="3">
        <f t="shared" si="6"/>
        <v>6</v>
      </c>
    </row>
    <row r="406" spans="1:5" hidden="1" x14ac:dyDescent="0.2">
      <c r="A406">
        <v>0</v>
      </c>
      <c r="C406">
        <v>0</v>
      </c>
      <c r="D406">
        <v>0</v>
      </c>
      <c r="E406" s="3">
        <f t="shared" si="6"/>
        <v>6</v>
      </c>
    </row>
    <row r="407" spans="1:5" hidden="1" x14ac:dyDescent="0.2">
      <c r="A407">
        <v>0</v>
      </c>
      <c r="C407">
        <v>0</v>
      </c>
      <c r="D407">
        <v>0</v>
      </c>
      <c r="E407" s="3">
        <f t="shared" si="6"/>
        <v>6</v>
      </c>
    </row>
    <row r="408" spans="1:5" hidden="1" x14ac:dyDescent="0.2">
      <c r="A408">
        <v>1</v>
      </c>
      <c r="B408" t="s">
        <v>52</v>
      </c>
      <c r="C408">
        <v>3</v>
      </c>
      <c r="D408">
        <v>15</v>
      </c>
      <c r="E408" s="3">
        <f t="shared" si="6"/>
        <v>6</v>
      </c>
    </row>
    <row r="409" spans="1:5" hidden="1" x14ac:dyDescent="0.2">
      <c r="A409">
        <v>2</v>
      </c>
      <c r="B409" t="s">
        <v>21</v>
      </c>
      <c r="C409">
        <v>0</v>
      </c>
      <c r="D409">
        <v>11</v>
      </c>
      <c r="E409" s="3">
        <f t="shared" si="6"/>
        <v>6</v>
      </c>
    </row>
    <row r="410" spans="1:5" hidden="1" x14ac:dyDescent="0.2">
      <c r="A410">
        <v>3</v>
      </c>
      <c r="B410" t="s">
        <v>73</v>
      </c>
      <c r="C410">
        <v>0</v>
      </c>
      <c r="D410">
        <v>7</v>
      </c>
      <c r="E410" s="3">
        <f t="shared" si="6"/>
        <v>6</v>
      </c>
    </row>
    <row r="411" spans="1:5" hidden="1" x14ac:dyDescent="0.2">
      <c r="A411">
        <v>4</v>
      </c>
      <c r="B411" t="s">
        <v>40</v>
      </c>
      <c r="C411">
        <v>1</v>
      </c>
      <c r="D411">
        <v>3</v>
      </c>
      <c r="E411" s="3">
        <f t="shared" si="6"/>
        <v>6</v>
      </c>
    </row>
    <row r="412" spans="1:5" hidden="1" x14ac:dyDescent="0.2">
      <c r="A412">
        <v>5</v>
      </c>
      <c r="B412" t="s">
        <v>473</v>
      </c>
      <c r="C412">
        <v>0</v>
      </c>
      <c r="D412">
        <v>1</v>
      </c>
      <c r="E412" s="3">
        <f t="shared" si="6"/>
        <v>6</v>
      </c>
    </row>
    <row r="413" spans="1:5" hidden="1" x14ac:dyDescent="0.2">
      <c r="A413" s="1" t="s">
        <v>0</v>
      </c>
      <c r="E413" s="3">
        <f t="shared" si="6"/>
        <v>7</v>
      </c>
    </row>
    <row r="414" spans="1:5" hidden="1" x14ac:dyDescent="0.2">
      <c r="A414" s="1" t="s">
        <v>1</v>
      </c>
      <c r="B414" s="1" t="s">
        <v>2</v>
      </c>
      <c r="C414" s="1" t="s">
        <v>3</v>
      </c>
      <c r="D414" s="1" t="s">
        <v>4</v>
      </c>
      <c r="E414" s="3">
        <f t="shared" si="6"/>
        <v>7</v>
      </c>
    </row>
    <row r="415" spans="1:5" hidden="1" x14ac:dyDescent="0.2">
      <c r="A415">
        <v>1</v>
      </c>
      <c r="B415" t="s">
        <v>481</v>
      </c>
      <c r="C415">
        <v>1</v>
      </c>
      <c r="D415">
        <v>16</v>
      </c>
      <c r="E415" s="3">
        <f t="shared" si="6"/>
        <v>7</v>
      </c>
    </row>
    <row r="416" spans="1:5" hidden="1" x14ac:dyDescent="0.2">
      <c r="A416">
        <v>2</v>
      </c>
      <c r="B416" t="s">
        <v>91</v>
      </c>
      <c r="C416">
        <v>3</v>
      </c>
      <c r="D416">
        <v>12</v>
      </c>
      <c r="E416" s="3">
        <f t="shared" si="6"/>
        <v>7</v>
      </c>
    </row>
    <row r="417" spans="1:5" hidden="1" x14ac:dyDescent="0.2">
      <c r="A417">
        <v>3</v>
      </c>
      <c r="B417" t="s">
        <v>18</v>
      </c>
      <c r="C417">
        <v>0</v>
      </c>
      <c r="D417">
        <v>8</v>
      </c>
      <c r="E417" s="3">
        <f t="shared" si="6"/>
        <v>7</v>
      </c>
    </row>
    <row r="418" spans="1:5" hidden="1" x14ac:dyDescent="0.2">
      <c r="A418">
        <v>4</v>
      </c>
      <c r="B418" t="s">
        <v>6</v>
      </c>
      <c r="C418">
        <v>0</v>
      </c>
      <c r="D418">
        <v>4</v>
      </c>
      <c r="E418" s="3">
        <f t="shared" si="6"/>
        <v>7</v>
      </c>
    </row>
    <row r="419" spans="1:5" hidden="1" x14ac:dyDescent="0.2">
      <c r="A419">
        <v>5</v>
      </c>
      <c r="B419" t="s">
        <v>28</v>
      </c>
      <c r="C419">
        <v>1</v>
      </c>
      <c r="D419">
        <v>2</v>
      </c>
      <c r="E419" s="3">
        <f t="shared" si="6"/>
        <v>7</v>
      </c>
    </row>
    <row r="420" spans="1:5" hidden="1" x14ac:dyDescent="0.2">
      <c r="A420">
        <v>6</v>
      </c>
      <c r="B420" t="s">
        <v>48</v>
      </c>
      <c r="C420">
        <v>0</v>
      </c>
      <c r="D420">
        <v>1</v>
      </c>
      <c r="E420" s="3">
        <f t="shared" si="6"/>
        <v>7</v>
      </c>
    </row>
    <row r="421" spans="1:5" hidden="1" x14ac:dyDescent="0.2">
      <c r="A421">
        <v>7</v>
      </c>
      <c r="B421" s="2" t="s">
        <v>10</v>
      </c>
      <c r="C421" s="2" t="s">
        <v>10</v>
      </c>
      <c r="D421" s="2" t="s">
        <v>10</v>
      </c>
      <c r="E421" s="3">
        <f t="shared" si="6"/>
        <v>7</v>
      </c>
    </row>
    <row r="422" spans="1:5" hidden="1" x14ac:dyDescent="0.2">
      <c r="A422">
        <v>8</v>
      </c>
      <c r="B422" s="2" t="s">
        <v>10</v>
      </c>
      <c r="C422" s="2" t="s">
        <v>10</v>
      </c>
      <c r="D422" s="2" t="s">
        <v>10</v>
      </c>
      <c r="E422" s="3">
        <f t="shared" si="6"/>
        <v>7</v>
      </c>
    </row>
    <row r="423" spans="1:5" hidden="1" x14ac:dyDescent="0.2">
      <c r="A423" s="1" t="s">
        <v>17</v>
      </c>
      <c r="E423" s="3">
        <f t="shared" si="6"/>
        <v>7</v>
      </c>
    </row>
    <row r="424" spans="1:5" hidden="1" x14ac:dyDescent="0.2">
      <c r="A424" s="1" t="s">
        <v>1</v>
      </c>
      <c r="B424" s="1" t="s">
        <v>2</v>
      </c>
      <c r="C424" s="1" t="s">
        <v>3</v>
      </c>
      <c r="D424" s="1" t="s">
        <v>4</v>
      </c>
      <c r="E424" s="3">
        <f t="shared" si="6"/>
        <v>7</v>
      </c>
    </row>
    <row r="425" spans="1:5" hidden="1" x14ac:dyDescent="0.2">
      <c r="A425">
        <v>1</v>
      </c>
      <c r="B425" t="s">
        <v>46</v>
      </c>
      <c r="C425">
        <v>3</v>
      </c>
      <c r="D425">
        <v>16</v>
      </c>
      <c r="E425" s="3">
        <f t="shared" si="6"/>
        <v>7</v>
      </c>
    </row>
    <row r="426" spans="1:5" hidden="1" x14ac:dyDescent="0.2">
      <c r="A426">
        <v>2</v>
      </c>
      <c r="B426" t="s">
        <v>35</v>
      </c>
      <c r="C426">
        <v>0</v>
      </c>
      <c r="D426">
        <v>12</v>
      </c>
      <c r="E426" s="3">
        <f t="shared" si="6"/>
        <v>7</v>
      </c>
    </row>
    <row r="427" spans="1:5" hidden="1" x14ac:dyDescent="0.2">
      <c r="A427">
        <v>3</v>
      </c>
      <c r="B427" t="s">
        <v>33</v>
      </c>
      <c r="C427">
        <v>2</v>
      </c>
      <c r="D427">
        <v>8</v>
      </c>
      <c r="E427" s="3">
        <f t="shared" si="6"/>
        <v>7</v>
      </c>
    </row>
    <row r="428" spans="1:5" hidden="1" x14ac:dyDescent="0.2">
      <c r="A428">
        <v>4</v>
      </c>
      <c r="B428" t="s">
        <v>491</v>
      </c>
      <c r="C428">
        <v>0</v>
      </c>
      <c r="D428">
        <v>4</v>
      </c>
      <c r="E428" s="3">
        <f t="shared" si="6"/>
        <v>7</v>
      </c>
    </row>
    <row r="429" spans="1:5" hidden="1" x14ac:dyDescent="0.2">
      <c r="A429">
        <v>5</v>
      </c>
      <c r="B429" t="s">
        <v>45</v>
      </c>
      <c r="C429">
        <v>0</v>
      </c>
      <c r="D429">
        <v>2</v>
      </c>
      <c r="E429" s="3">
        <f t="shared" si="6"/>
        <v>7</v>
      </c>
    </row>
    <row r="430" spans="1:5" hidden="1" x14ac:dyDescent="0.2">
      <c r="A430">
        <v>6</v>
      </c>
      <c r="B430" t="s">
        <v>264</v>
      </c>
      <c r="C430">
        <v>0</v>
      </c>
      <c r="D430">
        <v>1</v>
      </c>
      <c r="E430" s="3">
        <f t="shared" si="6"/>
        <v>7</v>
      </c>
    </row>
    <row r="431" spans="1:5" hidden="1" x14ac:dyDescent="0.2">
      <c r="A431">
        <v>7</v>
      </c>
      <c r="B431" s="2" t="s">
        <v>10</v>
      </c>
      <c r="C431" s="2" t="s">
        <v>10</v>
      </c>
      <c r="D431" s="2" t="s">
        <v>10</v>
      </c>
      <c r="E431" s="3">
        <f t="shared" si="6"/>
        <v>7</v>
      </c>
    </row>
    <row r="432" spans="1:5" hidden="1" x14ac:dyDescent="0.2">
      <c r="A432">
        <v>8</v>
      </c>
      <c r="B432" s="2" t="s">
        <v>10</v>
      </c>
      <c r="C432" s="2" t="s">
        <v>10</v>
      </c>
      <c r="D432" s="2" t="s">
        <v>10</v>
      </c>
      <c r="E432" s="3">
        <f t="shared" si="6"/>
        <v>7</v>
      </c>
    </row>
    <row r="433" spans="1:5" hidden="1" x14ac:dyDescent="0.2">
      <c r="A433" s="1" t="s">
        <v>24</v>
      </c>
      <c r="E433" s="3">
        <f t="shared" si="6"/>
        <v>7</v>
      </c>
    </row>
    <row r="434" spans="1:5" hidden="1" x14ac:dyDescent="0.2">
      <c r="A434" s="1" t="s">
        <v>1</v>
      </c>
      <c r="B434" s="1" t="s">
        <v>2</v>
      </c>
      <c r="C434" s="1" t="s">
        <v>3</v>
      </c>
      <c r="D434" s="1" t="s">
        <v>4</v>
      </c>
      <c r="E434" s="3">
        <f t="shared" si="6"/>
        <v>7</v>
      </c>
    </row>
    <row r="435" spans="1:5" hidden="1" x14ac:dyDescent="0.2">
      <c r="A435">
        <v>1</v>
      </c>
      <c r="B435" t="s">
        <v>485</v>
      </c>
      <c r="C435">
        <v>4</v>
      </c>
      <c r="D435">
        <v>16</v>
      </c>
      <c r="E435" s="3">
        <f t="shared" si="6"/>
        <v>7</v>
      </c>
    </row>
    <row r="436" spans="1:5" hidden="1" x14ac:dyDescent="0.2">
      <c r="A436">
        <v>2</v>
      </c>
      <c r="B436" t="s">
        <v>59</v>
      </c>
      <c r="C436">
        <v>1</v>
      </c>
      <c r="D436">
        <v>12</v>
      </c>
      <c r="E436" s="3">
        <f t="shared" si="6"/>
        <v>7</v>
      </c>
    </row>
    <row r="437" spans="1:5" hidden="1" x14ac:dyDescent="0.2">
      <c r="A437">
        <v>3</v>
      </c>
      <c r="B437" t="s">
        <v>14</v>
      </c>
      <c r="C437">
        <v>0</v>
      </c>
      <c r="D437">
        <v>8</v>
      </c>
      <c r="E437" s="3">
        <f t="shared" si="6"/>
        <v>7</v>
      </c>
    </row>
    <row r="438" spans="1:5" hidden="1" x14ac:dyDescent="0.2">
      <c r="A438">
        <v>4</v>
      </c>
      <c r="B438" t="s">
        <v>55</v>
      </c>
      <c r="C438">
        <v>0</v>
      </c>
      <c r="D438">
        <v>4</v>
      </c>
      <c r="E438" s="3">
        <f t="shared" si="6"/>
        <v>7</v>
      </c>
    </row>
    <row r="439" spans="1:5" hidden="1" x14ac:dyDescent="0.2">
      <c r="A439">
        <v>5</v>
      </c>
      <c r="B439" t="s">
        <v>26</v>
      </c>
      <c r="C439">
        <v>0</v>
      </c>
      <c r="D439">
        <v>2</v>
      </c>
      <c r="E439" s="3">
        <f t="shared" si="6"/>
        <v>7</v>
      </c>
    </row>
    <row r="440" spans="1:5" hidden="1" x14ac:dyDescent="0.2">
      <c r="A440">
        <v>6</v>
      </c>
      <c r="B440" t="s">
        <v>12</v>
      </c>
      <c r="C440">
        <v>0</v>
      </c>
      <c r="D440">
        <v>1</v>
      </c>
      <c r="E440" s="3">
        <f t="shared" si="6"/>
        <v>7</v>
      </c>
    </row>
    <row r="441" spans="1:5" hidden="1" x14ac:dyDescent="0.2">
      <c r="A441">
        <v>7</v>
      </c>
      <c r="B441" s="2" t="s">
        <v>10</v>
      </c>
      <c r="C441" s="2" t="s">
        <v>10</v>
      </c>
      <c r="D441" s="2" t="s">
        <v>10</v>
      </c>
      <c r="E441" s="3">
        <f t="shared" si="6"/>
        <v>7</v>
      </c>
    </row>
    <row r="442" spans="1:5" hidden="1" x14ac:dyDescent="0.2">
      <c r="A442">
        <v>8</v>
      </c>
      <c r="B442" s="2" t="s">
        <v>10</v>
      </c>
      <c r="C442" s="2" t="s">
        <v>10</v>
      </c>
      <c r="D442" s="2" t="s">
        <v>10</v>
      </c>
      <c r="E442" s="3">
        <f t="shared" si="6"/>
        <v>7</v>
      </c>
    </row>
    <row r="443" spans="1:5" hidden="1" x14ac:dyDescent="0.2">
      <c r="A443" s="1" t="s">
        <v>30</v>
      </c>
      <c r="E443" s="3">
        <f t="shared" si="6"/>
        <v>7</v>
      </c>
    </row>
    <row r="444" spans="1:5" hidden="1" x14ac:dyDescent="0.2">
      <c r="A444" s="1" t="s">
        <v>1</v>
      </c>
      <c r="B444" s="1" t="s">
        <v>2</v>
      </c>
      <c r="C444" s="1" t="s">
        <v>3</v>
      </c>
      <c r="D444" s="1" t="s">
        <v>4</v>
      </c>
      <c r="E444" s="3">
        <f t="shared" si="6"/>
        <v>7</v>
      </c>
    </row>
    <row r="445" spans="1:5" hidden="1" x14ac:dyDescent="0.2">
      <c r="A445">
        <v>1</v>
      </c>
      <c r="B445" t="s">
        <v>81</v>
      </c>
      <c r="C445">
        <v>3</v>
      </c>
      <c r="D445">
        <v>16</v>
      </c>
      <c r="E445" s="3">
        <f t="shared" si="6"/>
        <v>7</v>
      </c>
    </row>
    <row r="446" spans="1:5" hidden="1" x14ac:dyDescent="0.2">
      <c r="A446">
        <v>2</v>
      </c>
      <c r="B446" t="s">
        <v>68</v>
      </c>
      <c r="C446">
        <v>2</v>
      </c>
      <c r="D446">
        <v>12</v>
      </c>
      <c r="E446" s="3">
        <f t="shared" si="6"/>
        <v>7</v>
      </c>
    </row>
    <row r="447" spans="1:5" hidden="1" x14ac:dyDescent="0.2">
      <c r="A447">
        <v>3</v>
      </c>
      <c r="B447" t="s">
        <v>74</v>
      </c>
      <c r="C447">
        <v>0</v>
      </c>
      <c r="D447">
        <v>8</v>
      </c>
      <c r="E447" s="3">
        <f t="shared" si="6"/>
        <v>7</v>
      </c>
    </row>
    <row r="448" spans="1:5" hidden="1" x14ac:dyDescent="0.2">
      <c r="A448">
        <v>4</v>
      </c>
      <c r="B448" t="s">
        <v>76</v>
      </c>
      <c r="C448">
        <v>0</v>
      </c>
      <c r="D448">
        <v>4</v>
      </c>
      <c r="E448" s="3">
        <f t="shared" si="6"/>
        <v>7</v>
      </c>
    </row>
    <row r="449" spans="1:5" hidden="1" x14ac:dyDescent="0.2">
      <c r="A449">
        <v>5</v>
      </c>
      <c r="B449" t="s">
        <v>41</v>
      </c>
      <c r="C449">
        <v>0</v>
      </c>
      <c r="D449">
        <v>2</v>
      </c>
      <c r="E449" s="3">
        <f t="shared" si="6"/>
        <v>7</v>
      </c>
    </row>
    <row r="450" spans="1:5" hidden="1" x14ac:dyDescent="0.2">
      <c r="A450">
        <v>6</v>
      </c>
      <c r="B450" t="s">
        <v>21</v>
      </c>
      <c r="C450">
        <v>0</v>
      </c>
      <c r="D450">
        <v>1</v>
      </c>
      <c r="E450" s="3">
        <f t="shared" si="6"/>
        <v>7</v>
      </c>
    </row>
    <row r="451" spans="1:5" hidden="1" x14ac:dyDescent="0.2">
      <c r="A451">
        <v>7</v>
      </c>
      <c r="B451" s="2" t="s">
        <v>10</v>
      </c>
      <c r="C451" s="2" t="s">
        <v>10</v>
      </c>
      <c r="D451" s="2" t="s">
        <v>10</v>
      </c>
      <c r="E451" s="3">
        <f t="shared" si="6"/>
        <v>7</v>
      </c>
    </row>
    <row r="452" spans="1:5" hidden="1" x14ac:dyDescent="0.2">
      <c r="A452">
        <v>8</v>
      </c>
      <c r="B452" s="2" t="s">
        <v>10</v>
      </c>
      <c r="C452" s="2" t="s">
        <v>10</v>
      </c>
      <c r="D452" s="2" t="s">
        <v>10</v>
      </c>
      <c r="E452" s="3">
        <f t="shared" ref="E452:E515" si="7">IF(A452=$A$1,E451+1,E451)</f>
        <v>7</v>
      </c>
    </row>
    <row r="453" spans="1:5" hidden="1" x14ac:dyDescent="0.2">
      <c r="A453" s="1" t="s">
        <v>37</v>
      </c>
      <c r="E453" s="3">
        <f t="shared" si="7"/>
        <v>7</v>
      </c>
    </row>
    <row r="454" spans="1:5" hidden="1" x14ac:dyDescent="0.2">
      <c r="A454" s="1" t="s">
        <v>1</v>
      </c>
      <c r="B454" s="1" t="s">
        <v>2</v>
      </c>
      <c r="C454" s="1" t="s">
        <v>3</v>
      </c>
      <c r="D454" s="1" t="s">
        <v>4</v>
      </c>
      <c r="E454" s="3">
        <f t="shared" si="7"/>
        <v>7</v>
      </c>
    </row>
    <row r="455" spans="1:5" hidden="1" x14ac:dyDescent="0.2">
      <c r="A455">
        <v>1</v>
      </c>
      <c r="B455" t="s">
        <v>19</v>
      </c>
      <c r="C455">
        <v>3</v>
      </c>
      <c r="D455">
        <v>16</v>
      </c>
      <c r="E455" s="3">
        <f t="shared" si="7"/>
        <v>7</v>
      </c>
    </row>
    <row r="456" spans="1:5" hidden="1" x14ac:dyDescent="0.2">
      <c r="A456">
        <v>2</v>
      </c>
      <c r="B456" t="s">
        <v>40</v>
      </c>
      <c r="C456">
        <v>1</v>
      </c>
      <c r="D456">
        <v>12</v>
      </c>
      <c r="E456" s="3">
        <f t="shared" si="7"/>
        <v>7</v>
      </c>
    </row>
    <row r="457" spans="1:5" hidden="1" x14ac:dyDescent="0.2">
      <c r="A457">
        <v>3</v>
      </c>
      <c r="B457" t="s">
        <v>75</v>
      </c>
      <c r="C457">
        <v>1</v>
      </c>
      <c r="D457">
        <v>8</v>
      </c>
      <c r="E457" s="3">
        <f t="shared" si="7"/>
        <v>7</v>
      </c>
    </row>
    <row r="458" spans="1:5" hidden="1" x14ac:dyDescent="0.2">
      <c r="A458">
        <v>4</v>
      </c>
      <c r="B458" t="s">
        <v>27</v>
      </c>
      <c r="C458">
        <v>0</v>
      </c>
      <c r="D458">
        <v>4</v>
      </c>
      <c r="E458" s="3">
        <f t="shared" si="7"/>
        <v>7</v>
      </c>
    </row>
    <row r="459" spans="1:5" hidden="1" x14ac:dyDescent="0.2">
      <c r="A459">
        <v>5</v>
      </c>
      <c r="B459" t="s">
        <v>368</v>
      </c>
      <c r="C459">
        <v>0</v>
      </c>
      <c r="D459">
        <v>2</v>
      </c>
      <c r="E459" s="3">
        <f t="shared" si="7"/>
        <v>7</v>
      </c>
    </row>
    <row r="460" spans="1:5" hidden="1" x14ac:dyDescent="0.2">
      <c r="A460">
        <v>6</v>
      </c>
      <c r="B460" t="s">
        <v>60</v>
      </c>
      <c r="C460">
        <v>0</v>
      </c>
      <c r="D460">
        <v>1</v>
      </c>
      <c r="E460" s="3">
        <f t="shared" si="7"/>
        <v>7</v>
      </c>
    </row>
    <row r="461" spans="1:5" hidden="1" x14ac:dyDescent="0.2">
      <c r="A461">
        <v>7</v>
      </c>
      <c r="B461" s="2" t="s">
        <v>10</v>
      </c>
      <c r="C461" s="2" t="s">
        <v>10</v>
      </c>
      <c r="D461" s="2" t="s">
        <v>10</v>
      </c>
      <c r="E461" s="3">
        <f t="shared" si="7"/>
        <v>7</v>
      </c>
    </row>
    <row r="462" spans="1:5" hidden="1" x14ac:dyDescent="0.2">
      <c r="A462">
        <v>8</v>
      </c>
      <c r="B462" s="2" t="s">
        <v>10</v>
      </c>
      <c r="C462" s="2" t="s">
        <v>10</v>
      </c>
      <c r="D462" s="2" t="s">
        <v>10</v>
      </c>
      <c r="E462" s="3">
        <f t="shared" si="7"/>
        <v>7</v>
      </c>
    </row>
    <row r="463" spans="1:5" hidden="1" x14ac:dyDescent="0.2">
      <c r="A463" s="1" t="s">
        <v>0</v>
      </c>
      <c r="E463" s="3">
        <f t="shared" si="7"/>
        <v>8</v>
      </c>
    </row>
    <row r="464" spans="1:5" hidden="1" x14ac:dyDescent="0.2">
      <c r="A464" s="1" t="s">
        <v>1</v>
      </c>
      <c r="B464" s="1" t="s">
        <v>2</v>
      </c>
      <c r="C464" s="1" t="s">
        <v>3</v>
      </c>
      <c r="D464" s="1" t="s">
        <v>4</v>
      </c>
      <c r="E464" s="3">
        <f t="shared" si="7"/>
        <v>8</v>
      </c>
    </row>
    <row r="465" spans="1:5" hidden="1" x14ac:dyDescent="0.2">
      <c r="A465">
        <v>1</v>
      </c>
      <c r="B465" t="s">
        <v>68</v>
      </c>
      <c r="C465">
        <v>4</v>
      </c>
      <c r="D465">
        <v>15</v>
      </c>
      <c r="E465" s="3">
        <f t="shared" si="7"/>
        <v>8</v>
      </c>
    </row>
    <row r="466" spans="1:5" hidden="1" x14ac:dyDescent="0.2">
      <c r="A466">
        <v>2</v>
      </c>
      <c r="B466" t="s">
        <v>40</v>
      </c>
      <c r="C466">
        <v>0</v>
      </c>
      <c r="D466">
        <v>11</v>
      </c>
      <c r="E466" s="3">
        <f t="shared" si="7"/>
        <v>8</v>
      </c>
    </row>
    <row r="467" spans="1:5" hidden="1" x14ac:dyDescent="0.2">
      <c r="A467">
        <v>3</v>
      </c>
      <c r="B467" t="s">
        <v>60</v>
      </c>
      <c r="C467">
        <v>0</v>
      </c>
      <c r="D467">
        <v>7</v>
      </c>
      <c r="E467" s="3">
        <f t="shared" si="7"/>
        <v>8</v>
      </c>
    </row>
    <row r="468" spans="1:5" hidden="1" x14ac:dyDescent="0.2">
      <c r="A468">
        <v>4</v>
      </c>
      <c r="B468" t="s">
        <v>18</v>
      </c>
      <c r="C468">
        <v>0</v>
      </c>
      <c r="D468">
        <v>3</v>
      </c>
      <c r="E468" s="3">
        <f t="shared" si="7"/>
        <v>8</v>
      </c>
    </row>
    <row r="469" spans="1:5" hidden="1" x14ac:dyDescent="0.2">
      <c r="A469">
        <v>5</v>
      </c>
      <c r="B469" t="s">
        <v>485</v>
      </c>
      <c r="C469">
        <v>0</v>
      </c>
      <c r="D469">
        <v>1</v>
      </c>
      <c r="E469" s="3">
        <f t="shared" si="7"/>
        <v>8</v>
      </c>
    </row>
    <row r="470" spans="1:5" hidden="1" x14ac:dyDescent="0.2">
      <c r="A470">
        <v>6</v>
      </c>
      <c r="B470" s="2" t="s">
        <v>10</v>
      </c>
      <c r="C470" s="2" t="s">
        <v>10</v>
      </c>
      <c r="D470" s="2" t="s">
        <v>10</v>
      </c>
      <c r="E470" s="3">
        <f t="shared" si="7"/>
        <v>8</v>
      </c>
    </row>
    <row r="471" spans="1:5" hidden="1" x14ac:dyDescent="0.2">
      <c r="A471">
        <v>7</v>
      </c>
      <c r="B471" s="2" t="s">
        <v>10</v>
      </c>
      <c r="C471" s="2" t="s">
        <v>10</v>
      </c>
      <c r="D471" s="2" t="s">
        <v>10</v>
      </c>
      <c r="E471" s="3">
        <f t="shared" si="7"/>
        <v>8</v>
      </c>
    </row>
    <row r="472" spans="1:5" hidden="1" x14ac:dyDescent="0.2">
      <c r="A472">
        <v>8</v>
      </c>
      <c r="B472" s="2" t="s">
        <v>10</v>
      </c>
      <c r="C472" s="2" t="s">
        <v>10</v>
      </c>
      <c r="D472" s="2" t="s">
        <v>10</v>
      </c>
      <c r="E472" s="3">
        <f t="shared" si="7"/>
        <v>8</v>
      </c>
    </row>
    <row r="473" spans="1:5" hidden="1" x14ac:dyDescent="0.2">
      <c r="A473" s="1" t="s">
        <v>11</v>
      </c>
      <c r="E473" s="3">
        <f t="shared" si="7"/>
        <v>8</v>
      </c>
    </row>
    <row r="474" spans="1:5" hidden="1" x14ac:dyDescent="0.2">
      <c r="A474" s="1" t="s">
        <v>1</v>
      </c>
      <c r="B474" s="1" t="s">
        <v>2</v>
      </c>
      <c r="C474" s="1" t="s">
        <v>3</v>
      </c>
      <c r="D474" s="1" t="s">
        <v>4</v>
      </c>
      <c r="E474" s="3">
        <f t="shared" si="7"/>
        <v>8</v>
      </c>
    </row>
    <row r="475" spans="1:5" hidden="1" x14ac:dyDescent="0.2">
      <c r="A475">
        <v>1</v>
      </c>
      <c r="B475" t="s">
        <v>28</v>
      </c>
      <c r="C475">
        <v>5</v>
      </c>
      <c r="D475">
        <v>16</v>
      </c>
      <c r="E475" s="3">
        <f t="shared" si="7"/>
        <v>8</v>
      </c>
    </row>
    <row r="476" spans="1:5" hidden="1" x14ac:dyDescent="0.2">
      <c r="A476">
        <v>2</v>
      </c>
      <c r="B476" t="s">
        <v>46</v>
      </c>
      <c r="C476">
        <v>0</v>
      </c>
      <c r="D476">
        <v>12</v>
      </c>
      <c r="E476" s="3">
        <f t="shared" si="7"/>
        <v>8</v>
      </c>
    </row>
    <row r="477" spans="1:5" hidden="1" x14ac:dyDescent="0.2">
      <c r="A477">
        <v>3</v>
      </c>
      <c r="B477" t="s">
        <v>368</v>
      </c>
      <c r="C477">
        <v>0</v>
      </c>
      <c r="D477">
        <v>8</v>
      </c>
      <c r="E477" s="3">
        <f t="shared" si="7"/>
        <v>8</v>
      </c>
    </row>
    <row r="478" spans="1:5" hidden="1" x14ac:dyDescent="0.2">
      <c r="A478">
        <v>4</v>
      </c>
      <c r="B478" t="s">
        <v>19</v>
      </c>
      <c r="C478">
        <v>0</v>
      </c>
      <c r="D478">
        <v>4</v>
      </c>
      <c r="E478" s="3">
        <f t="shared" si="7"/>
        <v>8</v>
      </c>
    </row>
    <row r="479" spans="1:5" hidden="1" x14ac:dyDescent="0.2">
      <c r="A479">
        <v>5</v>
      </c>
      <c r="B479" t="s">
        <v>15</v>
      </c>
      <c r="C479">
        <v>0</v>
      </c>
      <c r="D479">
        <v>2</v>
      </c>
      <c r="E479" s="3">
        <f t="shared" si="7"/>
        <v>8</v>
      </c>
    </row>
    <row r="480" spans="1:5" hidden="1" x14ac:dyDescent="0.2">
      <c r="A480">
        <v>6</v>
      </c>
      <c r="B480" t="s">
        <v>76</v>
      </c>
      <c r="C480">
        <v>0</v>
      </c>
      <c r="D480">
        <v>1</v>
      </c>
      <c r="E480" s="3">
        <f t="shared" si="7"/>
        <v>8</v>
      </c>
    </row>
    <row r="481" spans="1:5" hidden="1" x14ac:dyDescent="0.2">
      <c r="A481">
        <v>7</v>
      </c>
      <c r="B481" s="2" t="s">
        <v>10</v>
      </c>
      <c r="C481" s="2" t="s">
        <v>10</v>
      </c>
      <c r="D481" s="2" t="s">
        <v>10</v>
      </c>
      <c r="E481" s="3">
        <f t="shared" si="7"/>
        <v>8</v>
      </c>
    </row>
    <row r="482" spans="1:5" hidden="1" x14ac:dyDescent="0.2">
      <c r="A482">
        <v>8</v>
      </c>
      <c r="B482" s="2" t="s">
        <v>10</v>
      </c>
      <c r="C482" s="2" t="s">
        <v>10</v>
      </c>
      <c r="D482" s="2" t="s">
        <v>10</v>
      </c>
      <c r="E482" s="3">
        <f t="shared" si="7"/>
        <v>8</v>
      </c>
    </row>
    <row r="483" spans="1:5" hidden="1" x14ac:dyDescent="0.2">
      <c r="A483" s="1" t="s">
        <v>17</v>
      </c>
      <c r="E483" s="3">
        <f t="shared" si="7"/>
        <v>8</v>
      </c>
    </row>
    <row r="484" spans="1:5" hidden="1" x14ac:dyDescent="0.2">
      <c r="A484" s="1" t="s">
        <v>1</v>
      </c>
      <c r="B484" s="1" t="s">
        <v>2</v>
      </c>
      <c r="C484" s="1" t="s">
        <v>3</v>
      </c>
      <c r="D484" s="1" t="s">
        <v>4</v>
      </c>
      <c r="E484" s="3">
        <f t="shared" si="7"/>
        <v>8</v>
      </c>
    </row>
    <row r="485" spans="1:5" hidden="1" x14ac:dyDescent="0.2">
      <c r="A485">
        <v>1</v>
      </c>
      <c r="B485" t="s">
        <v>65</v>
      </c>
      <c r="C485">
        <v>4</v>
      </c>
      <c r="D485">
        <v>16</v>
      </c>
      <c r="E485" s="3">
        <f t="shared" si="7"/>
        <v>8</v>
      </c>
    </row>
    <row r="486" spans="1:5" hidden="1" x14ac:dyDescent="0.2">
      <c r="A486">
        <v>2</v>
      </c>
      <c r="B486" t="s">
        <v>35</v>
      </c>
      <c r="C486">
        <v>0</v>
      </c>
      <c r="D486">
        <v>12</v>
      </c>
      <c r="E486" s="3">
        <f t="shared" si="7"/>
        <v>8</v>
      </c>
    </row>
    <row r="487" spans="1:5" hidden="1" x14ac:dyDescent="0.2">
      <c r="A487">
        <v>3</v>
      </c>
      <c r="B487" t="s">
        <v>59</v>
      </c>
      <c r="C487">
        <v>0</v>
      </c>
      <c r="D487">
        <v>8</v>
      </c>
      <c r="E487" s="3">
        <f t="shared" si="7"/>
        <v>8</v>
      </c>
    </row>
    <row r="488" spans="1:5" hidden="1" x14ac:dyDescent="0.2">
      <c r="A488">
        <v>4</v>
      </c>
      <c r="B488" t="s">
        <v>52</v>
      </c>
      <c r="C488">
        <v>1</v>
      </c>
      <c r="D488">
        <v>4</v>
      </c>
      <c r="E488" s="3">
        <f t="shared" si="7"/>
        <v>8</v>
      </c>
    </row>
    <row r="489" spans="1:5" hidden="1" x14ac:dyDescent="0.2">
      <c r="A489">
        <v>5</v>
      </c>
      <c r="B489" t="s">
        <v>74</v>
      </c>
      <c r="C489">
        <v>0</v>
      </c>
      <c r="D489">
        <v>2</v>
      </c>
      <c r="E489" s="3">
        <f t="shared" si="7"/>
        <v>8</v>
      </c>
    </row>
    <row r="490" spans="1:5" hidden="1" x14ac:dyDescent="0.2">
      <c r="A490">
        <v>6</v>
      </c>
      <c r="B490" t="s">
        <v>12</v>
      </c>
      <c r="C490">
        <v>0</v>
      </c>
      <c r="D490">
        <v>1</v>
      </c>
      <c r="E490" s="3">
        <f t="shared" si="7"/>
        <v>8</v>
      </c>
    </row>
    <row r="491" spans="1:5" hidden="1" x14ac:dyDescent="0.2">
      <c r="A491">
        <v>7</v>
      </c>
      <c r="B491" s="2" t="s">
        <v>10</v>
      </c>
      <c r="C491" s="2" t="s">
        <v>10</v>
      </c>
      <c r="D491" s="2" t="s">
        <v>10</v>
      </c>
      <c r="E491" s="3">
        <f t="shared" si="7"/>
        <v>8</v>
      </c>
    </row>
    <row r="492" spans="1:5" hidden="1" x14ac:dyDescent="0.2">
      <c r="A492">
        <v>8</v>
      </c>
      <c r="B492" s="2" t="s">
        <v>10</v>
      </c>
      <c r="C492" s="2" t="s">
        <v>10</v>
      </c>
      <c r="D492" s="2" t="s">
        <v>10</v>
      </c>
      <c r="E492" s="3">
        <f t="shared" si="7"/>
        <v>8</v>
      </c>
    </row>
    <row r="493" spans="1:5" hidden="1" x14ac:dyDescent="0.2">
      <c r="A493" s="1" t="s">
        <v>24</v>
      </c>
      <c r="E493" s="3">
        <f t="shared" si="7"/>
        <v>8</v>
      </c>
    </row>
    <row r="494" spans="1:5" hidden="1" x14ac:dyDescent="0.2">
      <c r="A494" s="1" t="s">
        <v>1</v>
      </c>
      <c r="B494" s="1" t="s">
        <v>2</v>
      </c>
      <c r="C494" s="1" t="s">
        <v>3</v>
      </c>
      <c r="D494" s="1" t="s">
        <v>4</v>
      </c>
      <c r="E494" s="3">
        <f t="shared" si="7"/>
        <v>8</v>
      </c>
    </row>
    <row r="495" spans="1:5" hidden="1" x14ac:dyDescent="0.2">
      <c r="A495">
        <v>1</v>
      </c>
      <c r="B495" t="s">
        <v>75</v>
      </c>
      <c r="C495">
        <v>3</v>
      </c>
      <c r="D495">
        <v>15</v>
      </c>
      <c r="E495" s="3">
        <f t="shared" si="7"/>
        <v>8</v>
      </c>
    </row>
    <row r="496" spans="1:5" hidden="1" x14ac:dyDescent="0.2">
      <c r="A496">
        <v>2</v>
      </c>
      <c r="B496" t="s">
        <v>21</v>
      </c>
      <c r="C496">
        <v>1</v>
      </c>
      <c r="D496">
        <v>11</v>
      </c>
      <c r="E496" s="3">
        <f t="shared" si="7"/>
        <v>8</v>
      </c>
    </row>
    <row r="497" spans="1:5" hidden="1" x14ac:dyDescent="0.2">
      <c r="A497">
        <v>3</v>
      </c>
      <c r="B497" t="s">
        <v>454</v>
      </c>
      <c r="C497">
        <v>0</v>
      </c>
      <c r="D497">
        <v>7</v>
      </c>
      <c r="E497" s="3">
        <f t="shared" si="7"/>
        <v>8</v>
      </c>
    </row>
    <row r="498" spans="1:5" hidden="1" x14ac:dyDescent="0.2">
      <c r="A498">
        <v>4</v>
      </c>
      <c r="B498" t="s">
        <v>461</v>
      </c>
      <c r="C498">
        <v>0</v>
      </c>
      <c r="D498">
        <v>3</v>
      </c>
      <c r="E498" s="3">
        <f t="shared" si="7"/>
        <v>8</v>
      </c>
    </row>
    <row r="499" spans="1:5" hidden="1" x14ac:dyDescent="0.2">
      <c r="A499">
        <v>5</v>
      </c>
      <c r="B499" t="s">
        <v>280</v>
      </c>
      <c r="C499">
        <v>0</v>
      </c>
      <c r="D499">
        <v>1</v>
      </c>
      <c r="E499" s="3">
        <f t="shared" si="7"/>
        <v>8</v>
      </c>
    </row>
    <row r="500" spans="1:5" hidden="1" x14ac:dyDescent="0.2">
      <c r="A500">
        <v>6</v>
      </c>
      <c r="B500" s="2" t="s">
        <v>10</v>
      </c>
      <c r="C500" s="2" t="s">
        <v>10</v>
      </c>
      <c r="D500" s="2" t="s">
        <v>10</v>
      </c>
      <c r="E500" s="3">
        <f t="shared" si="7"/>
        <v>8</v>
      </c>
    </row>
    <row r="501" spans="1:5" hidden="1" x14ac:dyDescent="0.2">
      <c r="A501">
        <v>7</v>
      </c>
      <c r="B501" s="2" t="s">
        <v>10</v>
      </c>
      <c r="C501" s="2" t="s">
        <v>10</v>
      </c>
      <c r="D501" s="2" t="s">
        <v>10</v>
      </c>
      <c r="E501" s="3">
        <f t="shared" si="7"/>
        <v>8</v>
      </c>
    </row>
    <row r="502" spans="1:5" hidden="1" x14ac:dyDescent="0.2">
      <c r="A502">
        <v>8</v>
      </c>
      <c r="B502" s="2" t="s">
        <v>10</v>
      </c>
      <c r="C502" s="2" t="s">
        <v>10</v>
      </c>
      <c r="D502" s="2" t="s">
        <v>10</v>
      </c>
      <c r="E502" s="3">
        <f t="shared" si="7"/>
        <v>8</v>
      </c>
    </row>
    <row r="503" spans="1:5" hidden="1" x14ac:dyDescent="0.2">
      <c r="A503" s="1" t="s">
        <v>30</v>
      </c>
      <c r="E503" s="3">
        <f t="shared" si="7"/>
        <v>8</v>
      </c>
    </row>
    <row r="504" spans="1:5" hidden="1" x14ac:dyDescent="0.2">
      <c r="A504" s="1" t="s">
        <v>1</v>
      </c>
      <c r="B504" s="1" t="s">
        <v>2</v>
      </c>
      <c r="C504" s="1" t="s">
        <v>3</v>
      </c>
      <c r="D504" s="1" t="s">
        <v>4</v>
      </c>
      <c r="E504" s="3">
        <f t="shared" si="7"/>
        <v>8</v>
      </c>
    </row>
    <row r="505" spans="1:5" hidden="1" x14ac:dyDescent="0.2">
      <c r="A505">
        <v>1</v>
      </c>
      <c r="B505" t="s">
        <v>42</v>
      </c>
      <c r="C505">
        <v>2</v>
      </c>
      <c r="D505">
        <v>15</v>
      </c>
      <c r="E505" s="3">
        <f t="shared" si="7"/>
        <v>8</v>
      </c>
    </row>
    <row r="506" spans="1:5" hidden="1" x14ac:dyDescent="0.2">
      <c r="A506">
        <v>2</v>
      </c>
      <c r="B506" t="s">
        <v>264</v>
      </c>
      <c r="C506">
        <v>1</v>
      </c>
      <c r="D506">
        <v>11</v>
      </c>
      <c r="E506" s="3">
        <f t="shared" si="7"/>
        <v>8</v>
      </c>
    </row>
    <row r="507" spans="1:5" hidden="1" x14ac:dyDescent="0.2">
      <c r="A507">
        <v>3</v>
      </c>
      <c r="B507" t="s">
        <v>6</v>
      </c>
      <c r="C507">
        <v>0</v>
      </c>
      <c r="D507">
        <v>7</v>
      </c>
      <c r="E507" s="3">
        <f t="shared" si="7"/>
        <v>8</v>
      </c>
    </row>
    <row r="508" spans="1:5" hidden="1" x14ac:dyDescent="0.2">
      <c r="A508">
        <v>4</v>
      </c>
      <c r="B508" t="s">
        <v>87</v>
      </c>
      <c r="C508">
        <v>1</v>
      </c>
      <c r="D508">
        <v>3</v>
      </c>
      <c r="E508" s="3">
        <f t="shared" si="7"/>
        <v>8</v>
      </c>
    </row>
    <row r="509" spans="1:5" hidden="1" x14ac:dyDescent="0.2">
      <c r="A509">
        <v>5</v>
      </c>
      <c r="B509" t="s">
        <v>91</v>
      </c>
      <c r="C509">
        <v>0</v>
      </c>
      <c r="D509">
        <v>1</v>
      </c>
      <c r="E509" s="3">
        <f t="shared" si="7"/>
        <v>8</v>
      </c>
    </row>
    <row r="510" spans="1:5" hidden="1" x14ac:dyDescent="0.2">
      <c r="A510">
        <v>6</v>
      </c>
      <c r="B510" s="2" t="s">
        <v>10</v>
      </c>
      <c r="C510" s="2" t="s">
        <v>10</v>
      </c>
      <c r="D510" s="2" t="s">
        <v>10</v>
      </c>
      <c r="E510" s="3">
        <f t="shared" si="7"/>
        <v>8</v>
      </c>
    </row>
    <row r="511" spans="1:5" hidden="1" x14ac:dyDescent="0.2">
      <c r="A511">
        <v>7</v>
      </c>
      <c r="B511" s="2" t="s">
        <v>10</v>
      </c>
      <c r="C511" s="2" t="s">
        <v>10</v>
      </c>
      <c r="D511" s="2" t="s">
        <v>10</v>
      </c>
      <c r="E511" s="3">
        <f t="shared" si="7"/>
        <v>8</v>
      </c>
    </row>
    <row r="512" spans="1:5" hidden="1" x14ac:dyDescent="0.2">
      <c r="A512">
        <v>8</v>
      </c>
      <c r="B512" s="2" t="s">
        <v>10</v>
      </c>
      <c r="C512" s="2" t="s">
        <v>10</v>
      </c>
      <c r="D512" s="2" t="s">
        <v>10</v>
      </c>
      <c r="E512" s="3">
        <f t="shared" si="7"/>
        <v>8</v>
      </c>
    </row>
    <row r="513" spans="1:5" hidden="1" x14ac:dyDescent="0.2">
      <c r="A513" s="1" t="s">
        <v>37</v>
      </c>
      <c r="E513" s="3">
        <f t="shared" si="7"/>
        <v>8</v>
      </c>
    </row>
    <row r="514" spans="1:5" hidden="1" x14ac:dyDescent="0.2">
      <c r="A514" s="1" t="s">
        <v>1</v>
      </c>
      <c r="B514" s="1" t="s">
        <v>2</v>
      </c>
      <c r="C514" s="1" t="s">
        <v>3</v>
      </c>
      <c r="D514" s="1" t="s">
        <v>4</v>
      </c>
      <c r="E514" s="3">
        <f t="shared" si="7"/>
        <v>8</v>
      </c>
    </row>
    <row r="515" spans="1:5" hidden="1" x14ac:dyDescent="0.2">
      <c r="A515">
        <v>1</v>
      </c>
      <c r="B515" t="s">
        <v>473</v>
      </c>
      <c r="C515">
        <v>2</v>
      </c>
      <c r="D515">
        <v>15</v>
      </c>
      <c r="E515" s="3">
        <f t="shared" si="7"/>
        <v>8</v>
      </c>
    </row>
    <row r="516" spans="1:5" hidden="1" x14ac:dyDescent="0.2">
      <c r="A516">
        <v>2</v>
      </c>
      <c r="B516" t="s">
        <v>490</v>
      </c>
      <c r="C516">
        <v>1</v>
      </c>
      <c r="D516">
        <v>11</v>
      </c>
      <c r="E516" s="3">
        <f t="shared" ref="E516:E561" si="8">IF(A516=$A$1,E515+1,E515)</f>
        <v>8</v>
      </c>
    </row>
    <row r="517" spans="1:5" hidden="1" x14ac:dyDescent="0.2">
      <c r="A517">
        <v>3</v>
      </c>
      <c r="B517" t="s">
        <v>452</v>
      </c>
      <c r="C517">
        <v>0</v>
      </c>
      <c r="D517">
        <v>7</v>
      </c>
      <c r="E517" s="3">
        <f t="shared" si="8"/>
        <v>8</v>
      </c>
    </row>
    <row r="518" spans="1:5" hidden="1" x14ac:dyDescent="0.2">
      <c r="A518">
        <v>4</v>
      </c>
      <c r="B518" t="s">
        <v>14</v>
      </c>
      <c r="C518">
        <v>1</v>
      </c>
      <c r="D518">
        <v>3</v>
      </c>
      <c r="E518" s="3">
        <f t="shared" si="8"/>
        <v>8</v>
      </c>
    </row>
    <row r="519" spans="1:5" hidden="1" x14ac:dyDescent="0.2">
      <c r="A519">
        <v>5</v>
      </c>
      <c r="B519" t="s">
        <v>41</v>
      </c>
      <c r="C519">
        <v>0</v>
      </c>
      <c r="D519">
        <v>1</v>
      </c>
      <c r="E519" s="3">
        <f t="shared" si="8"/>
        <v>8</v>
      </c>
    </row>
    <row r="520" spans="1:5" hidden="1" x14ac:dyDescent="0.2">
      <c r="A520">
        <v>6</v>
      </c>
      <c r="B520" s="2" t="s">
        <v>10</v>
      </c>
      <c r="C520" s="2" t="s">
        <v>10</v>
      </c>
      <c r="D520" s="2" t="s">
        <v>10</v>
      </c>
      <c r="E520" s="3">
        <f t="shared" si="8"/>
        <v>8</v>
      </c>
    </row>
    <row r="521" spans="1:5" hidden="1" x14ac:dyDescent="0.2">
      <c r="A521">
        <v>7</v>
      </c>
      <c r="B521" s="2" t="s">
        <v>10</v>
      </c>
      <c r="C521" s="2" t="s">
        <v>10</v>
      </c>
      <c r="D521" s="2" t="s">
        <v>10</v>
      </c>
      <c r="E521" s="3">
        <f t="shared" si="8"/>
        <v>8</v>
      </c>
    </row>
    <row r="522" spans="1:5" hidden="1" x14ac:dyDescent="0.2">
      <c r="A522">
        <v>8</v>
      </c>
      <c r="B522" s="2" t="s">
        <v>10</v>
      </c>
      <c r="C522" s="2" t="s">
        <v>10</v>
      </c>
      <c r="D522" s="2" t="s">
        <v>10</v>
      </c>
      <c r="E522" s="3">
        <f t="shared" si="8"/>
        <v>8</v>
      </c>
    </row>
    <row r="523" spans="1:5" hidden="1" x14ac:dyDescent="0.2">
      <c r="A523" s="1" t="s">
        <v>0</v>
      </c>
      <c r="E523" s="3">
        <f t="shared" si="8"/>
        <v>9</v>
      </c>
    </row>
    <row r="524" spans="1:5" hidden="1" x14ac:dyDescent="0.2">
      <c r="A524" s="1" t="s">
        <v>1</v>
      </c>
      <c r="B524" s="1" t="s">
        <v>2</v>
      </c>
      <c r="C524" s="1" t="s">
        <v>3</v>
      </c>
      <c r="D524" s="1" t="s">
        <v>4</v>
      </c>
      <c r="E524" s="3">
        <f t="shared" si="8"/>
        <v>9</v>
      </c>
    </row>
    <row r="525" spans="1:5" hidden="1" x14ac:dyDescent="0.2">
      <c r="A525">
        <v>1</v>
      </c>
      <c r="B525" t="s">
        <v>66</v>
      </c>
      <c r="C525">
        <v>3</v>
      </c>
      <c r="D525">
        <v>16</v>
      </c>
      <c r="E525" s="3">
        <f t="shared" si="8"/>
        <v>9</v>
      </c>
    </row>
    <row r="526" spans="1:5" hidden="1" x14ac:dyDescent="0.2">
      <c r="A526">
        <v>2</v>
      </c>
      <c r="B526" t="s">
        <v>68</v>
      </c>
      <c r="C526">
        <v>2</v>
      </c>
      <c r="D526">
        <v>12</v>
      </c>
      <c r="E526" s="3">
        <f t="shared" si="8"/>
        <v>9</v>
      </c>
    </row>
    <row r="527" spans="1:5" hidden="1" x14ac:dyDescent="0.2">
      <c r="A527">
        <v>3</v>
      </c>
      <c r="B527" t="s">
        <v>65</v>
      </c>
      <c r="C527">
        <v>0</v>
      </c>
      <c r="D527">
        <v>8</v>
      </c>
      <c r="E527" s="3">
        <f t="shared" si="8"/>
        <v>9</v>
      </c>
    </row>
    <row r="528" spans="1:5" hidden="1" x14ac:dyDescent="0.2">
      <c r="A528">
        <v>4</v>
      </c>
      <c r="B528" t="s">
        <v>59</v>
      </c>
      <c r="C528">
        <v>0</v>
      </c>
      <c r="D528">
        <v>4</v>
      </c>
      <c r="E528" s="3">
        <f t="shared" si="8"/>
        <v>9</v>
      </c>
    </row>
    <row r="529" spans="1:5" hidden="1" x14ac:dyDescent="0.2">
      <c r="A529">
        <v>5</v>
      </c>
      <c r="B529" t="s">
        <v>485</v>
      </c>
      <c r="C529">
        <v>0</v>
      </c>
      <c r="D529">
        <v>2</v>
      </c>
      <c r="E529" s="3">
        <f t="shared" si="8"/>
        <v>9</v>
      </c>
    </row>
    <row r="530" spans="1:5" hidden="1" x14ac:dyDescent="0.2">
      <c r="A530">
        <v>6</v>
      </c>
      <c r="B530" t="s">
        <v>280</v>
      </c>
      <c r="C530">
        <v>0</v>
      </c>
      <c r="D530">
        <v>1</v>
      </c>
      <c r="E530" s="3">
        <f t="shared" si="8"/>
        <v>9</v>
      </c>
    </row>
    <row r="531" spans="1:5" hidden="1" x14ac:dyDescent="0.2">
      <c r="A531">
        <v>7</v>
      </c>
      <c r="B531" s="2" t="s">
        <v>10</v>
      </c>
      <c r="C531" s="2" t="s">
        <v>10</v>
      </c>
      <c r="D531" s="2" t="s">
        <v>10</v>
      </c>
      <c r="E531" s="3">
        <f t="shared" si="8"/>
        <v>9</v>
      </c>
    </row>
    <row r="532" spans="1:5" hidden="1" x14ac:dyDescent="0.2">
      <c r="A532">
        <v>8</v>
      </c>
      <c r="B532" s="2" t="s">
        <v>10</v>
      </c>
      <c r="C532" s="2" t="s">
        <v>10</v>
      </c>
      <c r="D532" s="2" t="s">
        <v>10</v>
      </c>
      <c r="E532" s="3">
        <f t="shared" si="8"/>
        <v>9</v>
      </c>
    </row>
    <row r="533" spans="1:5" hidden="1" x14ac:dyDescent="0.2">
      <c r="A533" s="1" t="s">
        <v>11</v>
      </c>
      <c r="E533" s="3">
        <f t="shared" si="8"/>
        <v>9</v>
      </c>
    </row>
    <row r="534" spans="1:5" hidden="1" x14ac:dyDescent="0.2">
      <c r="A534" s="1" t="s">
        <v>1</v>
      </c>
      <c r="B534" s="1" t="s">
        <v>2</v>
      </c>
      <c r="C534" s="1" t="s">
        <v>3</v>
      </c>
      <c r="D534" s="1" t="s">
        <v>4</v>
      </c>
      <c r="E534" s="3">
        <f t="shared" si="8"/>
        <v>9</v>
      </c>
    </row>
    <row r="535" spans="1:5" hidden="1" x14ac:dyDescent="0.2">
      <c r="A535">
        <v>1</v>
      </c>
      <c r="B535" t="s">
        <v>46</v>
      </c>
      <c r="C535">
        <v>3</v>
      </c>
      <c r="D535">
        <v>15</v>
      </c>
      <c r="E535" s="3">
        <f t="shared" si="8"/>
        <v>9</v>
      </c>
    </row>
    <row r="536" spans="1:5" hidden="1" x14ac:dyDescent="0.2">
      <c r="A536">
        <v>2</v>
      </c>
      <c r="B536" t="s">
        <v>21</v>
      </c>
      <c r="C536">
        <v>0</v>
      </c>
      <c r="D536">
        <v>11</v>
      </c>
      <c r="E536" s="3">
        <f t="shared" si="8"/>
        <v>9</v>
      </c>
    </row>
    <row r="537" spans="1:5" hidden="1" x14ac:dyDescent="0.2">
      <c r="A537">
        <v>3</v>
      </c>
      <c r="B537" t="s">
        <v>33</v>
      </c>
      <c r="C537">
        <v>0</v>
      </c>
      <c r="D537">
        <v>7</v>
      </c>
      <c r="E537" s="3">
        <f t="shared" si="8"/>
        <v>9</v>
      </c>
    </row>
    <row r="538" spans="1:5" hidden="1" x14ac:dyDescent="0.2">
      <c r="A538">
        <v>4</v>
      </c>
      <c r="B538" t="s">
        <v>75</v>
      </c>
      <c r="C538">
        <v>1</v>
      </c>
      <c r="D538">
        <v>3</v>
      </c>
      <c r="E538" s="3">
        <f t="shared" si="8"/>
        <v>9</v>
      </c>
    </row>
    <row r="539" spans="1:5" hidden="1" x14ac:dyDescent="0.2">
      <c r="A539">
        <v>5</v>
      </c>
      <c r="B539" t="s">
        <v>52</v>
      </c>
      <c r="C539">
        <v>0</v>
      </c>
      <c r="D539">
        <v>1</v>
      </c>
      <c r="E539" s="3">
        <f t="shared" si="8"/>
        <v>9</v>
      </c>
    </row>
    <row r="540" spans="1:5" hidden="1" x14ac:dyDescent="0.2">
      <c r="A540">
        <v>6</v>
      </c>
      <c r="B540" s="2" t="s">
        <v>10</v>
      </c>
      <c r="C540" s="2" t="s">
        <v>10</v>
      </c>
      <c r="D540" s="2" t="s">
        <v>10</v>
      </c>
      <c r="E540" s="3">
        <f t="shared" si="8"/>
        <v>9</v>
      </c>
    </row>
    <row r="541" spans="1:5" hidden="1" x14ac:dyDescent="0.2">
      <c r="A541">
        <v>7</v>
      </c>
      <c r="B541" s="2" t="s">
        <v>10</v>
      </c>
      <c r="C541" s="2" t="s">
        <v>10</v>
      </c>
      <c r="D541" s="2" t="s">
        <v>10</v>
      </c>
      <c r="E541" s="3">
        <f t="shared" si="8"/>
        <v>9</v>
      </c>
    </row>
    <row r="542" spans="1:5" hidden="1" x14ac:dyDescent="0.2">
      <c r="A542">
        <v>8</v>
      </c>
      <c r="B542" s="2" t="s">
        <v>10</v>
      </c>
      <c r="C542" s="2" t="s">
        <v>10</v>
      </c>
      <c r="D542" s="2" t="s">
        <v>10</v>
      </c>
      <c r="E542" s="3">
        <f t="shared" si="8"/>
        <v>9</v>
      </c>
    </row>
    <row r="543" spans="1:5" hidden="1" x14ac:dyDescent="0.2">
      <c r="A543" s="1" t="s">
        <v>17</v>
      </c>
      <c r="E543" s="3">
        <f t="shared" si="8"/>
        <v>9</v>
      </c>
    </row>
    <row r="544" spans="1:5" hidden="1" x14ac:dyDescent="0.2">
      <c r="A544" s="1" t="s">
        <v>1</v>
      </c>
      <c r="B544" s="1" t="s">
        <v>2</v>
      </c>
      <c r="C544" s="1" t="s">
        <v>3</v>
      </c>
      <c r="D544" s="1" t="s">
        <v>4</v>
      </c>
      <c r="E544" s="3">
        <f t="shared" si="8"/>
        <v>9</v>
      </c>
    </row>
    <row r="545" spans="1:5" hidden="1" x14ac:dyDescent="0.2">
      <c r="A545">
        <v>1</v>
      </c>
      <c r="B545" t="s">
        <v>473</v>
      </c>
      <c r="C545">
        <v>3</v>
      </c>
      <c r="D545">
        <v>15</v>
      </c>
      <c r="E545" s="3">
        <f t="shared" si="8"/>
        <v>9</v>
      </c>
    </row>
    <row r="546" spans="1:5" hidden="1" x14ac:dyDescent="0.2">
      <c r="A546">
        <v>2</v>
      </c>
      <c r="B546" t="s">
        <v>35</v>
      </c>
      <c r="C546">
        <v>1</v>
      </c>
      <c r="D546">
        <v>11</v>
      </c>
      <c r="E546" s="3">
        <f t="shared" si="8"/>
        <v>9</v>
      </c>
    </row>
    <row r="547" spans="1:5" hidden="1" x14ac:dyDescent="0.2">
      <c r="A547">
        <v>3</v>
      </c>
      <c r="B547" t="s">
        <v>18</v>
      </c>
      <c r="C547">
        <v>0</v>
      </c>
      <c r="D547">
        <v>7</v>
      </c>
      <c r="E547" s="3">
        <f t="shared" si="8"/>
        <v>9</v>
      </c>
    </row>
    <row r="548" spans="1:5" hidden="1" x14ac:dyDescent="0.2">
      <c r="A548">
        <v>4</v>
      </c>
      <c r="B548" t="s">
        <v>74</v>
      </c>
      <c r="C548">
        <v>0</v>
      </c>
      <c r="D548">
        <v>3</v>
      </c>
      <c r="E548" s="3">
        <f t="shared" si="8"/>
        <v>9</v>
      </c>
    </row>
    <row r="549" spans="1:5" hidden="1" x14ac:dyDescent="0.2">
      <c r="A549">
        <v>5</v>
      </c>
      <c r="B549" t="s">
        <v>28</v>
      </c>
      <c r="C549">
        <v>0</v>
      </c>
      <c r="D549">
        <v>1</v>
      </c>
      <c r="E549" s="3">
        <f t="shared" si="8"/>
        <v>9</v>
      </c>
    </row>
    <row r="550" spans="1:5" hidden="1" x14ac:dyDescent="0.2">
      <c r="A550">
        <v>6</v>
      </c>
      <c r="B550" s="2" t="s">
        <v>10</v>
      </c>
      <c r="C550" s="2" t="s">
        <v>10</v>
      </c>
      <c r="D550" s="2" t="s">
        <v>10</v>
      </c>
      <c r="E550" s="3">
        <f t="shared" si="8"/>
        <v>9</v>
      </c>
    </row>
    <row r="551" spans="1:5" hidden="1" x14ac:dyDescent="0.2">
      <c r="A551">
        <v>7</v>
      </c>
      <c r="B551" s="2" t="s">
        <v>10</v>
      </c>
      <c r="C551" s="2" t="s">
        <v>10</v>
      </c>
      <c r="D551" s="2" t="s">
        <v>10</v>
      </c>
      <c r="E551" s="3">
        <f t="shared" si="8"/>
        <v>9</v>
      </c>
    </row>
    <row r="552" spans="1:5" hidden="1" x14ac:dyDescent="0.2">
      <c r="A552">
        <v>8</v>
      </c>
      <c r="B552" s="2" t="s">
        <v>10</v>
      </c>
      <c r="C552" s="2" t="s">
        <v>10</v>
      </c>
      <c r="D552" s="2" t="s">
        <v>10</v>
      </c>
      <c r="E552" s="3">
        <f t="shared" si="8"/>
        <v>9</v>
      </c>
    </row>
    <row r="553" spans="1:5" hidden="1" x14ac:dyDescent="0.2">
      <c r="A553" s="1" t="s">
        <v>24</v>
      </c>
      <c r="E553" s="3">
        <f t="shared" si="8"/>
        <v>9</v>
      </c>
    </row>
    <row r="554" spans="1:5" hidden="1" x14ac:dyDescent="0.2">
      <c r="A554" s="1" t="s">
        <v>1</v>
      </c>
      <c r="B554" s="1" t="s">
        <v>2</v>
      </c>
      <c r="C554" s="1" t="s">
        <v>3</v>
      </c>
      <c r="D554" s="1" t="s">
        <v>4</v>
      </c>
      <c r="E554" s="3">
        <f t="shared" si="8"/>
        <v>9</v>
      </c>
    </row>
    <row r="555" spans="1:5" hidden="1" x14ac:dyDescent="0.2">
      <c r="A555">
        <v>1</v>
      </c>
      <c r="B555" t="s">
        <v>452</v>
      </c>
      <c r="C555">
        <v>3</v>
      </c>
      <c r="D555">
        <v>16</v>
      </c>
      <c r="E555" s="3">
        <f t="shared" si="8"/>
        <v>9</v>
      </c>
    </row>
    <row r="556" spans="1:5" hidden="1" x14ac:dyDescent="0.2">
      <c r="A556">
        <v>2</v>
      </c>
      <c r="B556" t="s">
        <v>19</v>
      </c>
      <c r="C556">
        <v>2</v>
      </c>
      <c r="D556">
        <v>12</v>
      </c>
      <c r="E556" s="3">
        <f t="shared" si="8"/>
        <v>9</v>
      </c>
    </row>
    <row r="557" spans="1:5" hidden="1" x14ac:dyDescent="0.2">
      <c r="A557">
        <v>3</v>
      </c>
      <c r="B557" t="s">
        <v>264</v>
      </c>
      <c r="C557">
        <v>0</v>
      </c>
      <c r="D557">
        <v>8</v>
      </c>
      <c r="E557" s="3">
        <f t="shared" si="8"/>
        <v>9</v>
      </c>
    </row>
    <row r="558" spans="1:5" hidden="1" x14ac:dyDescent="0.2">
      <c r="A558">
        <v>4</v>
      </c>
      <c r="B558" t="s">
        <v>14</v>
      </c>
      <c r="C558">
        <v>0</v>
      </c>
      <c r="D558">
        <v>4</v>
      </c>
      <c r="E558" s="3">
        <f t="shared" si="8"/>
        <v>9</v>
      </c>
    </row>
    <row r="559" spans="1:5" hidden="1" x14ac:dyDescent="0.2">
      <c r="A559">
        <v>5</v>
      </c>
      <c r="B559" t="s">
        <v>91</v>
      </c>
      <c r="C559">
        <v>0</v>
      </c>
      <c r="D559">
        <v>2</v>
      </c>
      <c r="E559" s="3">
        <f t="shared" si="8"/>
        <v>9</v>
      </c>
    </row>
    <row r="560" spans="1:5" hidden="1" x14ac:dyDescent="0.2">
      <c r="A560">
        <v>6</v>
      </c>
      <c r="B560" t="s">
        <v>45</v>
      </c>
      <c r="C560">
        <v>0</v>
      </c>
      <c r="D560">
        <v>1</v>
      </c>
      <c r="E560" s="3">
        <f t="shared" si="8"/>
        <v>9</v>
      </c>
    </row>
    <row r="561" spans="1:5" hidden="1" x14ac:dyDescent="0.2">
      <c r="A561">
        <v>7</v>
      </c>
      <c r="B561" s="2" t="s">
        <v>10</v>
      </c>
      <c r="C561" s="2" t="s">
        <v>10</v>
      </c>
      <c r="D561" s="2" t="s">
        <v>10</v>
      </c>
      <c r="E561" s="3">
        <f t="shared" si="8"/>
        <v>9</v>
      </c>
    </row>
    <row r="562" spans="1:5" x14ac:dyDescent="0.2">
      <c r="E562" s="3"/>
    </row>
    <row r="563" spans="1:5" x14ac:dyDescent="0.2">
      <c r="E563" s="3"/>
    </row>
    <row r="564" spans="1:5" x14ac:dyDescent="0.2">
      <c r="E564" s="3"/>
    </row>
    <row r="565" spans="1:5" x14ac:dyDescent="0.2">
      <c r="E565" s="3"/>
    </row>
    <row r="566" spans="1:5" x14ac:dyDescent="0.2">
      <c r="E566" s="3"/>
    </row>
    <row r="567" spans="1:5" x14ac:dyDescent="0.2">
      <c r="E567" s="3"/>
    </row>
    <row r="568" spans="1:5" x14ac:dyDescent="0.2">
      <c r="E568" s="3"/>
    </row>
    <row r="569" spans="1:5" x14ac:dyDescent="0.2">
      <c r="E569" s="3"/>
    </row>
    <row r="570" spans="1:5" x14ac:dyDescent="0.2">
      <c r="E570" s="3"/>
    </row>
    <row r="571" spans="1:5" x14ac:dyDescent="0.2">
      <c r="E571" s="3"/>
    </row>
    <row r="572" spans="1:5" x14ac:dyDescent="0.2">
      <c r="E572" s="3"/>
    </row>
    <row r="573" spans="1:5" x14ac:dyDescent="0.2">
      <c r="E573" s="3"/>
    </row>
    <row r="574" spans="1:5" x14ac:dyDescent="0.2">
      <c r="E574" s="3"/>
    </row>
    <row r="575" spans="1:5" x14ac:dyDescent="0.2">
      <c r="E575" s="3"/>
    </row>
    <row r="576" spans="1:5" x14ac:dyDescent="0.2">
      <c r="E576" s="3"/>
    </row>
    <row r="577" spans="5:5" x14ac:dyDescent="0.2">
      <c r="E577" s="3"/>
    </row>
    <row r="578" spans="5:5" x14ac:dyDescent="0.2">
      <c r="E578" s="3"/>
    </row>
    <row r="579" spans="5:5" x14ac:dyDescent="0.2">
      <c r="E579" s="3"/>
    </row>
    <row r="580" spans="5:5" x14ac:dyDescent="0.2">
      <c r="E580" s="3"/>
    </row>
    <row r="581" spans="5:5" x14ac:dyDescent="0.2">
      <c r="E581" s="3"/>
    </row>
    <row r="582" spans="5:5" x14ac:dyDescent="0.2">
      <c r="E582" s="3"/>
    </row>
    <row r="583" spans="5:5" x14ac:dyDescent="0.2">
      <c r="E583" s="3"/>
    </row>
    <row r="584" spans="5:5" x14ac:dyDescent="0.2">
      <c r="E584" s="3"/>
    </row>
    <row r="585" spans="5:5" x14ac:dyDescent="0.2">
      <c r="E585" s="3"/>
    </row>
    <row r="586" spans="5:5" x14ac:dyDescent="0.2">
      <c r="E586" s="3"/>
    </row>
    <row r="587" spans="5:5" x14ac:dyDescent="0.2">
      <c r="E587" s="3"/>
    </row>
    <row r="588" spans="5:5" x14ac:dyDescent="0.2">
      <c r="E588" s="3"/>
    </row>
    <row r="589" spans="5:5" x14ac:dyDescent="0.2">
      <c r="E589" s="3"/>
    </row>
    <row r="590" spans="5:5" x14ac:dyDescent="0.2">
      <c r="E590" s="3"/>
    </row>
    <row r="591" spans="5:5" x14ac:dyDescent="0.2">
      <c r="E591" s="3"/>
    </row>
    <row r="592" spans="5:5" x14ac:dyDescent="0.2">
      <c r="E592" s="3"/>
    </row>
    <row r="593" spans="5:5" x14ac:dyDescent="0.2">
      <c r="E593" s="3"/>
    </row>
    <row r="594" spans="5:5" x14ac:dyDescent="0.2">
      <c r="E594" s="3"/>
    </row>
    <row r="595" spans="5:5" x14ac:dyDescent="0.2">
      <c r="E595" s="3"/>
    </row>
    <row r="596" spans="5:5" x14ac:dyDescent="0.2">
      <c r="E596" s="3"/>
    </row>
    <row r="597" spans="5:5" x14ac:dyDescent="0.2">
      <c r="E597" s="3"/>
    </row>
    <row r="598" spans="5:5" x14ac:dyDescent="0.2">
      <c r="E598" s="3"/>
    </row>
    <row r="599" spans="5:5" x14ac:dyDescent="0.2">
      <c r="E599" s="3"/>
    </row>
    <row r="600" spans="5:5" x14ac:dyDescent="0.2">
      <c r="E600" s="3"/>
    </row>
    <row r="601" spans="5:5" x14ac:dyDescent="0.2">
      <c r="E601" s="3"/>
    </row>
    <row r="602" spans="5:5" x14ac:dyDescent="0.2">
      <c r="E602" s="3"/>
    </row>
    <row r="603" spans="5:5" x14ac:dyDescent="0.2">
      <c r="E603" s="3"/>
    </row>
    <row r="604" spans="5:5" x14ac:dyDescent="0.2">
      <c r="E604" s="3"/>
    </row>
    <row r="605" spans="5:5" x14ac:dyDescent="0.2">
      <c r="E605" s="3"/>
    </row>
    <row r="606" spans="5:5" x14ac:dyDescent="0.2">
      <c r="E606" s="3"/>
    </row>
    <row r="607" spans="5:5" x14ac:dyDescent="0.2">
      <c r="E607" s="3"/>
    </row>
    <row r="608" spans="5:5" x14ac:dyDescent="0.2">
      <c r="E608" s="3"/>
    </row>
    <row r="609" spans="5:5" x14ac:dyDescent="0.2">
      <c r="E609" s="3"/>
    </row>
    <row r="610" spans="5:5" x14ac:dyDescent="0.2">
      <c r="E610" s="3"/>
    </row>
    <row r="611" spans="5:5" x14ac:dyDescent="0.2">
      <c r="E611" s="3"/>
    </row>
    <row r="612" spans="5:5" x14ac:dyDescent="0.2">
      <c r="E612" s="3"/>
    </row>
    <row r="613" spans="5:5" x14ac:dyDescent="0.2">
      <c r="E613" s="3"/>
    </row>
    <row r="614" spans="5:5" x14ac:dyDescent="0.2">
      <c r="E614" s="3"/>
    </row>
    <row r="615" spans="5:5" x14ac:dyDescent="0.2">
      <c r="E615" s="3"/>
    </row>
    <row r="616" spans="5:5" x14ac:dyDescent="0.2">
      <c r="E616" s="3"/>
    </row>
    <row r="617" spans="5:5" x14ac:dyDescent="0.2">
      <c r="E617" s="3"/>
    </row>
    <row r="618" spans="5:5" x14ac:dyDescent="0.2">
      <c r="E618" s="3"/>
    </row>
    <row r="619" spans="5:5" x14ac:dyDescent="0.2">
      <c r="E619" s="3"/>
    </row>
    <row r="620" spans="5:5" x14ac:dyDescent="0.2">
      <c r="E620" s="3"/>
    </row>
    <row r="621" spans="5:5" x14ac:dyDescent="0.2">
      <c r="E621" s="3"/>
    </row>
    <row r="622" spans="5:5" x14ac:dyDescent="0.2">
      <c r="E622" s="3"/>
    </row>
    <row r="623" spans="5:5" x14ac:dyDescent="0.2">
      <c r="E623" s="3"/>
    </row>
    <row r="624" spans="5:5" x14ac:dyDescent="0.2">
      <c r="E624" s="3"/>
    </row>
    <row r="625" spans="5:5" x14ac:dyDescent="0.2">
      <c r="E625" s="3"/>
    </row>
    <row r="626" spans="5:5" x14ac:dyDescent="0.2">
      <c r="E626" s="3"/>
    </row>
    <row r="627" spans="5:5" x14ac:dyDescent="0.2">
      <c r="E627" s="3"/>
    </row>
    <row r="628" spans="5:5" x14ac:dyDescent="0.2">
      <c r="E628" s="3"/>
    </row>
    <row r="629" spans="5:5" x14ac:dyDescent="0.2">
      <c r="E629" s="3"/>
    </row>
    <row r="630" spans="5:5" x14ac:dyDescent="0.2">
      <c r="E630" s="3"/>
    </row>
    <row r="631" spans="5:5" x14ac:dyDescent="0.2">
      <c r="E631" s="3"/>
    </row>
    <row r="632" spans="5:5" x14ac:dyDescent="0.2">
      <c r="E632" s="3"/>
    </row>
    <row r="633" spans="5:5" x14ac:dyDescent="0.2">
      <c r="E633" s="3"/>
    </row>
    <row r="634" spans="5:5" x14ac:dyDescent="0.2">
      <c r="E634" s="3"/>
    </row>
    <row r="635" spans="5:5" x14ac:dyDescent="0.2">
      <c r="E635" s="3"/>
    </row>
    <row r="636" spans="5:5" x14ac:dyDescent="0.2">
      <c r="E636" s="3"/>
    </row>
    <row r="637" spans="5:5" x14ac:dyDescent="0.2">
      <c r="E637" s="3"/>
    </row>
    <row r="638" spans="5:5" x14ac:dyDescent="0.2">
      <c r="E638" s="3"/>
    </row>
    <row r="639" spans="5:5" x14ac:dyDescent="0.2">
      <c r="E639" s="3"/>
    </row>
    <row r="640" spans="5:5" x14ac:dyDescent="0.2">
      <c r="E640" s="3"/>
    </row>
    <row r="641" spans="5:5" x14ac:dyDescent="0.2">
      <c r="E641" s="3"/>
    </row>
    <row r="642" spans="5:5" x14ac:dyDescent="0.2">
      <c r="E642" s="3"/>
    </row>
    <row r="643" spans="5:5" x14ac:dyDescent="0.2">
      <c r="E643" s="3"/>
    </row>
    <row r="644" spans="5:5" x14ac:dyDescent="0.2">
      <c r="E644" s="3"/>
    </row>
    <row r="645" spans="5:5" x14ac:dyDescent="0.2">
      <c r="E645" s="3"/>
    </row>
    <row r="646" spans="5:5" x14ac:dyDescent="0.2">
      <c r="E646" s="3"/>
    </row>
    <row r="647" spans="5:5" x14ac:dyDescent="0.2">
      <c r="E647" s="3"/>
    </row>
    <row r="648" spans="5:5" x14ac:dyDescent="0.2">
      <c r="E648" s="3"/>
    </row>
    <row r="649" spans="5:5" x14ac:dyDescent="0.2">
      <c r="E649" s="3"/>
    </row>
    <row r="650" spans="5:5" x14ac:dyDescent="0.2">
      <c r="E650" s="3"/>
    </row>
    <row r="651" spans="5:5" x14ac:dyDescent="0.2">
      <c r="E651" s="3"/>
    </row>
    <row r="652" spans="5:5" x14ac:dyDescent="0.2">
      <c r="E652" s="3"/>
    </row>
    <row r="653" spans="5:5" x14ac:dyDescent="0.2">
      <c r="E653" s="3"/>
    </row>
    <row r="654" spans="5:5" x14ac:dyDescent="0.2">
      <c r="E654" s="3"/>
    </row>
    <row r="655" spans="5:5" x14ac:dyDescent="0.2">
      <c r="E655" s="3"/>
    </row>
    <row r="656" spans="5:5" x14ac:dyDescent="0.2">
      <c r="E656" s="3"/>
    </row>
    <row r="657" spans="5:5" x14ac:dyDescent="0.2">
      <c r="E657" s="3"/>
    </row>
    <row r="658" spans="5:5" x14ac:dyDescent="0.2">
      <c r="E658" s="3"/>
    </row>
    <row r="659" spans="5:5" x14ac:dyDescent="0.2">
      <c r="E659" s="3"/>
    </row>
    <row r="660" spans="5:5" x14ac:dyDescent="0.2">
      <c r="E660" s="3"/>
    </row>
  </sheetData>
  <autoFilter ref="A1:E561" xr:uid="{7D3739DC-515E-B640-88F4-2C5EF5C08D5B}">
    <filterColumn colId="4">
      <filters>
        <filter val="2"/>
      </filters>
    </filterColumn>
  </autoFilter>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A18BA-A04E-1743-AFC7-483D6F6779D7}">
  <sheetPr filterMode="1"/>
  <dimension ref="A2:A561"/>
  <sheetViews>
    <sheetView topLeftCell="A3" workbookViewId="0">
      <selection activeCell="A26" activeCellId="3" sqref="A1 A3:A9 A12:A17 A20:A26 A29:A35 A38:A43 A46:A52 A55:A60 A63:A68 A73:A78 A1:A1048576 A93:A98 A103:A108 A113:A118 A123:A127 A133:A138 A145:A150 A155:A159 A165:A168 A175:A179 A185:A188 A195:A199 A205:A208 A215:A219 A225:A230 A235:A240 A245:A249 A255:A259 A265:A269 A275:A280 A285:A290 A295:A301 A305:A310 A315:A320 A325:A330 A335:A341 A345:A351 A355:A359 A365:A370 A375:A379 A385:A390 A395:A399 A408:A412 A415:A420 A425:A430 A435:A440 A445:A450 A455:A460 A465:A469 A475:A480 A485:A490 A495:A499 A505:A509 A515:A519 A525:A530 A535:A539 A545:A549 A555:A560 A562:A1048576"/>
    </sheetView>
  </sheetViews>
  <sheetFormatPr baseColWidth="10" defaultRowHeight="16" x14ac:dyDescent="0.2"/>
  <sheetData>
    <row r="2" spans="1:1" hidden="1" x14ac:dyDescent="0.2">
      <c r="A2" s="1" t="s">
        <v>2</v>
      </c>
    </row>
    <row r="3" spans="1:1" x14ac:dyDescent="0.2">
      <c r="A3" t="s">
        <v>52</v>
      </c>
    </row>
    <row r="4" spans="1:1" x14ac:dyDescent="0.2">
      <c r="A4" t="s">
        <v>42</v>
      </c>
    </row>
    <row r="5" spans="1:1" x14ac:dyDescent="0.2">
      <c r="A5" t="s">
        <v>450</v>
      </c>
    </row>
    <row r="6" spans="1:1" x14ac:dyDescent="0.2">
      <c r="A6" t="s">
        <v>74</v>
      </c>
    </row>
    <row r="7" spans="1:1" x14ac:dyDescent="0.2">
      <c r="A7" t="s">
        <v>48</v>
      </c>
    </row>
    <row r="8" spans="1:1" x14ac:dyDescent="0.2">
      <c r="A8" t="s">
        <v>454</v>
      </c>
    </row>
    <row r="9" spans="1:1" x14ac:dyDescent="0.2">
      <c r="A9" t="s">
        <v>46</v>
      </c>
    </row>
    <row r="10" spans="1:1" hidden="1" x14ac:dyDescent="0.2"/>
    <row r="11" spans="1:1" hidden="1" x14ac:dyDescent="0.2">
      <c r="A11" s="1" t="s">
        <v>2</v>
      </c>
    </row>
    <row r="12" spans="1:1" x14ac:dyDescent="0.2">
      <c r="A12" t="s">
        <v>345</v>
      </c>
    </row>
    <row r="13" spans="1:1" x14ac:dyDescent="0.2">
      <c r="A13" t="s">
        <v>75</v>
      </c>
    </row>
    <row r="14" spans="1:1" x14ac:dyDescent="0.2">
      <c r="A14" t="s">
        <v>87</v>
      </c>
    </row>
    <row r="15" spans="1:1" x14ac:dyDescent="0.2">
      <c r="A15" t="s">
        <v>28</v>
      </c>
    </row>
    <row r="16" spans="1:1" x14ac:dyDescent="0.2">
      <c r="A16" s="11" t="s">
        <v>26</v>
      </c>
    </row>
    <row r="17" spans="1:1" x14ac:dyDescent="0.2">
      <c r="A17" t="s">
        <v>498</v>
      </c>
    </row>
    <row r="18" spans="1:1" hidden="1" x14ac:dyDescent="0.2"/>
    <row r="19" spans="1:1" hidden="1" x14ac:dyDescent="0.2">
      <c r="A19" s="1" t="s">
        <v>2</v>
      </c>
    </row>
    <row r="20" spans="1:1" x14ac:dyDescent="0.2">
      <c r="A20" t="s">
        <v>368</v>
      </c>
    </row>
    <row r="21" spans="1:1" x14ac:dyDescent="0.2">
      <c r="A21" t="s">
        <v>18</v>
      </c>
    </row>
    <row r="22" spans="1:1" x14ac:dyDescent="0.2">
      <c r="A22" t="s">
        <v>66</v>
      </c>
    </row>
    <row r="23" spans="1:1" x14ac:dyDescent="0.2">
      <c r="A23" t="s">
        <v>32</v>
      </c>
    </row>
    <row r="24" spans="1:1" x14ac:dyDescent="0.2">
      <c r="A24" t="s">
        <v>76</v>
      </c>
    </row>
    <row r="25" spans="1:1" x14ac:dyDescent="0.2">
      <c r="A25" t="s">
        <v>499</v>
      </c>
    </row>
    <row r="26" spans="1:1" x14ac:dyDescent="0.2">
      <c r="A26" t="s">
        <v>15</v>
      </c>
    </row>
    <row r="27" spans="1:1" hidden="1" x14ac:dyDescent="0.2"/>
    <row r="28" spans="1:1" hidden="1" x14ac:dyDescent="0.2">
      <c r="A28" s="1" t="s">
        <v>2</v>
      </c>
    </row>
    <row r="29" spans="1:1" x14ac:dyDescent="0.2">
      <c r="A29" t="s">
        <v>12</v>
      </c>
    </row>
    <row r="30" spans="1:1" x14ac:dyDescent="0.2">
      <c r="A30" t="s">
        <v>59</v>
      </c>
    </row>
    <row r="31" spans="1:1" x14ac:dyDescent="0.2">
      <c r="A31" t="s">
        <v>453</v>
      </c>
    </row>
    <row r="32" spans="1:1" x14ac:dyDescent="0.2">
      <c r="A32" t="s">
        <v>33</v>
      </c>
    </row>
    <row r="33" spans="1:1" x14ac:dyDescent="0.2">
      <c r="A33" t="s">
        <v>55</v>
      </c>
    </row>
    <row r="34" spans="1:1" x14ac:dyDescent="0.2">
      <c r="A34" t="s">
        <v>53</v>
      </c>
    </row>
    <row r="35" spans="1:1" x14ac:dyDescent="0.2">
      <c r="A35" t="s">
        <v>68</v>
      </c>
    </row>
    <row r="36" spans="1:1" hidden="1" x14ac:dyDescent="0.2"/>
    <row r="37" spans="1:1" hidden="1" x14ac:dyDescent="0.2">
      <c r="A37" s="1" t="s">
        <v>2</v>
      </c>
    </row>
    <row r="38" spans="1:1" x14ac:dyDescent="0.2">
      <c r="A38" t="s">
        <v>60</v>
      </c>
    </row>
    <row r="39" spans="1:1" x14ac:dyDescent="0.2">
      <c r="A39" t="s">
        <v>35</v>
      </c>
    </row>
    <row r="40" spans="1:1" x14ac:dyDescent="0.2">
      <c r="A40" t="s">
        <v>65</v>
      </c>
    </row>
    <row r="41" spans="1:1" x14ac:dyDescent="0.2">
      <c r="A41" t="s">
        <v>264</v>
      </c>
    </row>
    <row r="42" spans="1:1" x14ac:dyDescent="0.2">
      <c r="A42" t="s">
        <v>21</v>
      </c>
    </row>
    <row r="43" spans="1:1" x14ac:dyDescent="0.2">
      <c r="A43" t="s">
        <v>478</v>
      </c>
    </row>
    <row r="44" spans="1:1" hidden="1" x14ac:dyDescent="0.2"/>
    <row r="45" spans="1:1" hidden="1" x14ac:dyDescent="0.2">
      <c r="A45" s="1" t="s">
        <v>2</v>
      </c>
    </row>
    <row r="46" spans="1:1" x14ac:dyDescent="0.2">
      <c r="A46" t="s">
        <v>84</v>
      </c>
    </row>
    <row r="47" spans="1:1" x14ac:dyDescent="0.2">
      <c r="A47" t="s">
        <v>20</v>
      </c>
    </row>
    <row r="48" spans="1:1" x14ac:dyDescent="0.2">
      <c r="A48" t="s">
        <v>5</v>
      </c>
    </row>
    <row r="49" spans="1:1" x14ac:dyDescent="0.2">
      <c r="A49" t="s">
        <v>39</v>
      </c>
    </row>
    <row r="50" spans="1:1" x14ac:dyDescent="0.2">
      <c r="A50" t="s">
        <v>82</v>
      </c>
    </row>
    <row r="51" spans="1:1" x14ac:dyDescent="0.2">
      <c r="A51" t="s">
        <v>9</v>
      </c>
    </row>
    <row r="52" spans="1:1" x14ac:dyDescent="0.2">
      <c r="A52" t="s">
        <v>302</v>
      </c>
    </row>
    <row r="53" spans="1:1" hidden="1" x14ac:dyDescent="0.2"/>
    <row r="54" spans="1:1" hidden="1" x14ac:dyDescent="0.2">
      <c r="A54" s="1" t="s">
        <v>2</v>
      </c>
    </row>
    <row r="55" spans="1:1" x14ac:dyDescent="0.2">
      <c r="A55" t="s">
        <v>463</v>
      </c>
    </row>
    <row r="56" spans="1:1" x14ac:dyDescent="0.2">
      <c r="A56" t="s">
        <v>99</v>
      </c>
    </row>
    <row r="57" spans="1:1" x14ac:dyDescent="0.2">
      <c r="A57" t="s">
        <v>19</v>
      </c>
    </row>
    <row r="58" spans="1:1" x14ac:dyDescent="0.2">
      <c r="A58" t="s">
        <v>73</v>
      </c>
    </row>
    <row r="59" spans="1:1" x14ac:dyDescent="0.2">
      <c r="A59" t="s">
        <v>45</v>
      </c>
    </row>
    <row r="60" spans="1:1" x14ac:dyDescent="0.2">
      <c r="A60" t="s">
        <v>50</v>
      </c>
    </row>
    <row r="61" spans="1:1" hidden="1" x14ac:dyDescent="0.2"/>
    <row r="62" spans="1:1" hidden="1" x14ac:dyDescent="0.2">
      <c r="A62" s="1" t="s">
        <v>2</v>
      </c>
    </row>
    <row r="63" spans="1:1" x14ac:dyDescent="0.2">
      <c r="A63" t="s">
        <v>14</v>
      </c>
    </row>
    <row r="64" spans="1:1" x14ac:dyDescent="0.2">
      <c r="A64" t="s">
        <v>462</v>
      </c>
    </row>
    <row r="65" spans="1:1" x14ac:dyDescent="0.2">
      <c r="A65" t="s">
        <v>41</v>
      </c>
    </row>
    <row r="66" spans="1:1" x14ac:dyDescent="0.2">
      <c r="A66" t="s">
        <v>280</v>
      </c>
    </row>
    <row r="67" spans="1:1" x14ac:dyDescent="0.2">
      <c r="A67" t="s">
        <v>461</v>
      </c>
    </row>
    <row r="68" spans="1:1" x14ac:dyDescent="0.2">
      <c r="A68" t="s">
        <v>88</v>
      </c>
    </row>
    <row r="69" spans="1:1" hidden="1" x14ac:dyDescent="0.2"/>
    <row r="70" spans="1:1" hidden="1" x14ac:dyDescent="0.2">
      <c r="A70" s="1" t="s">
        <v>2</v>
      </c>
    </row>
    <row r="71" spans="1:1" hidden="1" x14ac:dyDescent="0.2"/>
    <row r="72" spans="1:1" hidden="1" x14ac:dyDescent="0.2"/>
    <row r="73" spans="1:1" x14ac:dyDescent="0.2">
      <c r="A73" t="s">
        <v>46</v>
      </c>
    </row>
    <row r="74" spans="1:1" x14ac:dyDescent="0.2">
      <c r="A74" t="s">
        <v>14</v>
      </c>
    </row>
    <row r="75" spans="1:1" x14ac:dyDescent="0.2">
      <c r="A75" t="s">
        <v>59</v>
      </c>
    </row>
    <row r="76" spans="1:1" x14ac:dyDescent="0.2">
      <c r="A76" t="s">
        <v>28</v>
      </c>
    </row>
    <row r="77" spans="1:1" x14ac:dyDescent="0.2">
      <c r="A77" t="s">
        <v>76</v>
      </c>
    </row>
    <row r="78" spans="1:1" x14ac:dyDescent="0.2">
      <c r="A78" t="s">
        <v>68</v>
      </c>
    </row>
    <row r="79" spans="1:1" hidden="1" x14ac:dyDescent="0.2">
      <c r="A79" s="2" t="s">
        <v>10</v>
      </c>
    </row>
    <row r="80" spans="1:1" hidden="1" x14ac:dyDescent="0.2">
      <c r="A80" s="2" t="s">
        <v>10</v>
      </c>
    </row>
    <row r="81" spans="1:1" hidden="1" x14ac:dyDescent="0.2"/>
    <row r="82" spans="1:1" hidden="1" x14ac:dyDescent="0.2">
      <c r="A82" s="1" t="s">
        <v>2</v>
      </c>
    </row>
    <row r="83" spans="1:1" x14ac:dyDescent="0.2">
      <c r="A83" t="s">
        <v>60</v>
      </c>
    </row>
    <row r="84" spans="1:1" x14ac:dyDescent="0.2">
      <c r="A84" t="s">
        <v>25</v>
      </c>
    </row>
    <row r="85" spans="1:1" x14ac:dyDescent="0.2">
      <c r="A85" t="s">
        <v>75</v>
      </c>
    </row>
    <row r="86" spans="1:1" x14ac:dyDescent="0.2">
      <c r="A86" t="s">
        <v>368</v>
      </c>
    </row>
    <row r="87" spans="1:1" x14ac:dyDescent="0.2">
      <c r="A87" t="s">
        <v>455</v>
      </c>
    </row>
    <row r="88" spans="1:1" x14ac:dyDescent="0.2">
      <c r="A88" t="s">
        <v>450</v>
      </c>
    </row>
    <row r="89" spans="1:1" hidden="1" x14ac:dyDescent="0.2">
      <c r="A89" s="2" t="s">
        <v>10</v>
      </c>
    </row>
    <row r="90" spans="1:1" hidden="1" x14ac:dyDescent="0.2">
      <c r="A90" s="2" t="s">
        <v>10</v>
      </c>
    </row>
    <row r="91" spans="1:1" hidden="1" x14ac:dyDescent="0.2"/>
    <row r="92" spans="1:1" hidden="1" x14ac:dyDescent="0.2">
      <c r="A92" s="1" t="s">
        <v>2</v>
      </c>
    </row>
    <row r="93" spans="1:1" x14ac:dyDescent="0.2">
      <c r="A93" t="s">
        <v>81</v>
      </c>
    </row>
    <row r="94" spans="1:1" x14ac:dyDescent="0.2">
      <c r="A94" t="s">
        <v>41</v>
      </c>
    </row>
    <row r="95" spans="1:1" x14ac:dyDescent="0.2">
      <c r="A95" t="s">
        <v>29</v>
      </c>
    </row>
    <row r="96" spans="1:1" x14ac:dyDescent="0.2">
      <c r="A96" t="s">
        <v>55</v>
      </c>
    </row>
    <row r="97" spans="1:1" x14ac:dyDescent="0.2">
      <c r="A97" t="s">
        <v>33</v>
      </c>
    </row>
    <row r="98" spans="1:1" x14ac:dyDescent="0.2">
      <c r="A98" t="s">
        <v>91</v>
      </c>
    </row>
    <row r="99" spans="1:1" hidden="1" x14ac:dyDescent="0.2">
      <c r="A99" s="2" t="s">
        <v>10</v>
      </c>
    </row>
    <row r="100" spans="1:1" hidden="1" x14ac:dyDescent="0.2">
      <c r="A100" s="2" t="s">
        <v>10</v>
      </c>
    </row>
    <row r="101" spans="1:1" hidden="1" x14ac:dyDescent="0.2"/>
    <row r="102" spans="1:1" hidden="1" x14ac:dyDescent="0.2">
      <c r="A102" s="1" t="s">
        <v>2</v>
      </c>
    </row>
    <row r="103" spans="1:1" x14ac:dyDescent="0.2">
      <c r="A103" t="s">
        <v>18</v>
      </c>
    </row>
    <row r="104" spans="1:1" x14ac:dyDescent="0.2">
      <c r="A104" t="s">
        <v>88</v>
      </c>
    </row>
    <row r="105" spans="1:1" x14ac:dyDescent="0.2">
      <c r="A105" t="s">
        <v>264</v>
      </c>
    </row>
    <row r="106" spans="1:1" x14ac:dyDescent="0.2">
      <c r="A106" t="s">
        <v>32</v>
      </c>
    </row>
    <row r="107" spans="1:1" x14ac:dyDescent="0.2">
      <c r="A107" t="s">
        <v>15</v>
      </c>
    </row>
    <row r="108" spans="1:1" x14ac:dyDescent="0.2">
      <c r="A108" t="s">
        <v>12</v>
      </c>
    </row>
    <row r="109" spans="1:1" hidden="1" x14ac:dyDescent="0.2">
      <c r="A109" s="2" t="s">
        <v>10</v>
      </c>
    </row>
    <row r="110" spans="1:1" hidden="1" x14ac:dyDescent="0.2">
      <c r="A110" s="2" t="s">
        <v>10</v>
      </c>
    </row>
    <row r="111" spans="1:1" hidden="1" x14ac:dyDescent="0.2"/>
    <row r="112" spans="1:1" hidden="1" x14ac:dyDescent="0.2">
      <c r="A112" s="1" t="s">
        <v>2</v>
      </c>
    </row>
    <row r="113" spans="1:1" x14ac:dyDescent="0.2">
      <c r="A113" t="s">
        <v>45</v>
      </c>
    </row>
    <row r="114" spans="1:1" x14ac:dyDescent="0.2">
      <c r="A114" t="s">
        <v>20</v>
      </c>
    </row>
    <row r="115" spans="1:1" x14ac:dyDescent="0.2">
      <c r="A115" t="s">
        <v>9</v>
      </c>
    </row>
    <row r="116" spans="1:1" x14ac:dyDescent="0.2">
      <c r="A116" t="s">
        <v>345</v>
      </c>
    </row>
    <row r="117" spans="1:1" x14ac:dyDescent="0.2">
      <c r="A117" t="s">
        <v>66</v>
      </c>
    </row>
    <row r="118" spans="1:1" x14ac:dyDescent="0.2">
      <c r="A118" t="s">
        <v>35</v>
      </c>
    </row>
    <row r="119" spans="1:1" hidden="1" x14ac:dyDescent="0.2">
      <c r="A119" s="2" t="s">
        <v>10</v>
      </c>
    </row>
    <row r="120" spans="1:1" hidden="1" x14ac:dyDescent="0.2">
      <c r="A120" s="2" t="s">
        <v>10</v>
      </c>
    </row>
    <row r="121" spans="1:1" hidden="1" x14ac:dyDescent="0.2"/>
    <row r="122" spans="1:1" hidden="1" x14ac:dyDescent="0.2">
      <c r="A122" s="1" t="s">
        <v>2</v>
      </c>
    </row>
    <row r="123" spans="1:1" x14ac:dyDescent="0.2">
      <c r="A123" t="s">
        <v>50</v>
      </c>
    </row>
    <row r="124" spans="1:1" x14ac:dyDescent="0.2">
      <c r="A124" t="s">
        <v>481</v>
      </c>
    </row>
    <row r="125" spans="1:1" x14ac:dyDescent="0.2">
      <c r="A125" t="s">
        <v>26</v>
      </c>
    </row>
    <row r="126" spans="1:1" x14ac:dyDescent="0.2">
      <c r="A126" t="s">
        <v>87</v>
      </c>
    </row>
    <row r="127" spans="1:1" x14ac:dyDescent="0.2">
      <c r="A127" t="s">
        <v>475</v>
      </c>
    </row>
    <row r="128" spans="1:1" hidden="1" x14ac:dyDescent="0.2">
      <c r="A128" s="2" t="s">
        <v>10</v>
      </c>
    </row>
    <row r="129" spans="1:1" hidden="1" x14ac:dyDescent="0.2">
      <c r="A129" s="2" t="s">
        <v>10</v>
      </c>
    </row>
    <row r="130" spans="1:1" hidden="1" x14ac:dyDescent="0.2">
      <c r="A130" s="2" t="s">
        <v>10</v>
      </c>
    </row>
    <row r="131" spans="1:1" hidden="1" x14ac:dyDescent="0.2"/>
    <row r="132" spans="1:1" hidden="1" x14ac:dyDescent="0.2">
      <c r="A132" s="1" t="s">
        <v>2</v>
      </c>
    </row>
    <row r="133" spans="1:1" x14ac:dyDescent="0.2">
      <c r="A133" t="s">
        <v>27</v>
      </c>
    </row>
    <row r="134" spans="1:1" x14ac:dyDescent="0.2">
      <c r="A134" t="s">
        <v>6</v>
      </c>
    </row>
    <row r="135" spans="1:1" x14ac:dyDescent="0.2">
      <c r="A135" t="s">
        <v>52</v>
      </c>
    </row>
    <row r="136" spans="1:1" x14ac:dyDescent="0.2">
      <c r="A136" t="s">
        <v>73</v>
      </c>
    </row>
    <row r="137" spans="1:1" x14ac:dyDescent="0.2">
      <c r="A137" t="s">
        <v>48</v>
      </c>
    </row>
    <row r="138" spans="1:1" x14ac:dyDescent="0.2">
      <c r="A138" t="s">
        <v>21</v>
      </c>
    </row>
    <row r="139" spans="1:1" hidden="1" x14ac:dyDescent="0.2">
      <c r="A139" s="2" t="s">
        <v>10</v>
      </c>
    </row>
    <row r="140" spans="1:1" hidden="1" x14ac:dyDescent="0.2">
      <c r="A140" s="2" t="s">
        <v>10</v>
      </c>
    </row>
    <row r="141" spans="1:1" hidden="1" x14ac:dyDescent="0.2"/>
    <row r="142" spans="1:1" hidden="1" x14ac:dyDescent="0.2">
      <c r="A142" s="1" t="s">
        <v>2</v>
      </c>
    </row>
    <row r="143" spans="1:1" hidden="1" x14ac:dyDescent="0.2"/>
    <row r="144" spans="1:1" hidden="1" x14ac:dyDescent="0.2"/>
    <row r="145" spans="1:1" x14ac:dyDescent="0.2">
      <c r="A145" t="s">
        <v>483</v>
      </c>
    </row>
    <row r="146" spans="1:1" x14ac:dyDescent="0.2">
      <c r="A146" t="s">
        <v>452</v>
      </c>
    </row>
    <row r="147" spans="1:1" x14ac:dyDescent="0.2">
      <c r="A147" t="s">
        <v>74</v>
      </c>
    </row>
    <row r="148" spans="1:1" x14ac:dyDescent="0.2">
      <c r="A148" t="s">
        <v>65</v>
      </c>
    </row>
    <row r="149" spans="1:1" x14ac:dyDescent="0.2">
      <c r="A149" t="s">
        <v>461</v>
      </c>
    </row>
    <row r="150" spans="1:1" x14ac:dyDescent="0.2">
      <c r="A150" t="s">
        <v>5</v>
      </c>
    </row>
    <row r="151" spans="1:1" hidden="1" x14ac:dyDescent="0.2">
      <c r="A151" s="2" t="s">
        <v>10</v>
      </c>
    </row>
    <row r="152" spans="1:1" hidden="1" x14ac:dyDescent="0.2">
      <c r="A152" s="2" t="s">
        <v>10</v>
      </c>
    </row>
    <row r="153" spans="1:1" hidden="1" x14ac:dyDescent="0.2"/>
    <row r="154" spans="1:1" hidden="1" x14ac:dyDescent="0.2">
      <c r="A154" s="1" t="s">
        <v>2</v>
      </c>
    </row>
    <row r="155" spans="1:1" x14ac:dyDescent="0.2">
      <c r="A155" t="s">
        <v>41</v>
      </c>
    </row>
    <row r="156" spans="1:1" x14ac:dyDescent="0.2">
      <c r="A156" t="s">
        <v>91</v>
      </c>
    </row>
    <row r="157" spans="1:1" x14ac:dyDescent="0.2">
      <c r="A157" t="s">
        <v>74</v>
      </c>
    </row>
    <row r="158" spans="1:1" x14ac:dyDescent="0.2">
      <c r="A158" t="s">
        <v>12</v>
      </c>
    </row>
    <row r="159" spans="1:1" x14ac:dyDescent="0.2">
      <c r="A159" t="s">
        <v>65</v>
      </c>
    </row>
    <row r="160" spans="1:1" hidden="1" x14ac:dyDescent="0.2">
      <c r="A160" s="2" t="s">
        <v>10</v>
      </c>
    </row>
    <row r="161" spans="1:1" hidden="1" x14ac:dyDescent="0.2">
      <c r="A161" s="2" t="s">
        <v>10</v>
      </c>
    </row>
    <row r="162" spans="1:1" hidden="1" x14ac:dyDescent="0.2">
      <c r="A162" s="2" t="s">
        <v>10</v>
      </c>
    </row>
    <row r="163" spans="1:1" hidden="1" x14ac:dyDescent="0.2"/>
    <row r="164" spans="1:1" hidden="1" x14ac:dyDescent="0.2">
      <c r="A164" s="1" t="s">
        <v>2</v>
      </c>
    </row>
    <row r="165" spans="1:1" x14ac:dyDescent="0.2">
      <c r="A165" t="s">
        <v>198</v>
      </c>
    </row>
    <row r="166" spans="1:1" x14ac:dyDescent="0.2">
      <c r="A166" t="s">
        <v>25</v>
      </c>
    </row>
    <row r="167" spans="1:1" x14ac:dyDescent="0.2">
      <c r="A167" t="s">
        <v>26</v>
      </c>
    </row>
    <row r="168" spans="1:1" x14ac:dyDescent="0.2">
      <c r="A168" t="s">
        <v>29</v>
      </c>
    </row>
    <row r="169" spans="1:1" hidden="1" x14ac:dyDescent="0.2">
      <c r="A169" s="2" t="s">
        <v>10</v>
      </c>
    </row>
    <row r="170" spans="1:1" hidden="1" x14ac:dyDescent="0.2">
      <c r="A170" s="2" t="s">
        <v>10</v>
      </c>
    </row>
    <row r="171" spans="1:1" hidden="1" x14ac:dyDescent="0.2">
      <c r="A171" s="2" t="s">
        <v>10</v>
      </c>
    </row>
    <row r="172" spans="1:1" hidden="1" x14ac:dyDescent="0.2">
      <c r="A172" s="2" t="s">
        <v>10</v>
      </c>
    </row>
    <row r="173" spans="1:1" hidden="1" x14ac:dyDescent="0.2"/>
    <row r="174" spans="1:1" hidden="1" x14ac:dyDescent="0.2">
      <c r="A174" s="1" t="s">
        <v>2</v>
      </c>
    </row>
    <row r="175" spans="1:1" x14ac:dyDescent="0.2">
      <c r="A175" t="s">
        <v>48</v>
      </c>
    </row>
    <row r="176" spans="1:1" x14ac:dyDescent="0.2">
      <c r="A176" t="s">
        <v>46</v>
      </c>
    </row>
    <row r="177" spans="1:1" x14ac:dyDescent="0.2">
      <c r="A177" t="s">
        <v>88</v>
      </c>
    </row>
    <row r="178" spans="1:1" x14ac:dyDescent="0.2">
      <c r="A178" t="s">
        <v>450</v>
      </c>
    </row>
    <row r="179" spans="1:1" x14ac:dyDescent="0.2">
      <c r="A179" t="s">
        <v>28</v>
      </c>
    </row>
    <row r="180" spans="1:1" hidden="1" x14ac:dyDescent="0.2">
      <c r="A180" s="2" t="s">
        <v>10</v>
      </c>
    </row>
    <row r="181" spans="1:1" hidden="1" x14ac:dyDescent="0.2">
      <c r="A181" s="2" t="s">
        <v>10</v>
      </c>
    </row>
    <row r="182" spans="1:1" hidden="1" x14ac:dyDescent="0.2">
      <c r="A182" s="2" t="s">
        <v>10</v>
      </c>
    </row>
    <row r="183" spans="1:1" hidden="1" x14ac:dyDescent="0.2"/>
    <row r="184" spans="1:1" hidden="1" x14ac:dyDescent="0.2">
      <c r="A184" s="1" t="s">
        <v>2</v>
      </c>
    </row>
    <row r="185" spans="1:1" x14ac:dyDescent="0.2">
      <c r="A185" t="s">
        <v>18</v>
      </c>
    </row>
    <row r="186" spans="1:1" x14ac:dyDescent="0.2">
      <c r="A186" t="s">
        <v>15</v>
      </c>
    </row>
    <row r="187" spans="1:1" x14ac:dyDescent="0.2">
      <c r="A187" t="s">
        <v>345</v>
      </c>
    </row>
    <row r="188" spans="1:1" x14ac:dyDescent="0.2">
      <c r="A188" t="s">
        <v>55</v>
      </c>
    </row>
    <row r="189" spans="1:1" hidden="1" x14ac:dyDescent="0.2">
      <c r="A189" s="2" t="s">
        <v>10</v>
      </c>
    </row>
    <row r="190" spans="1:1" hidden="1" x14ac:dyDescent="0.2">
      <c r="A190" s="2" t="s">
        <v>10</v>
      </c>
    </row>
    <row r="191" spans="1:1" hidden="1" x14ac:dyDescent="0.2">
      <c r="A191" s="2" t="s">
        <v>10</v>
      </c>
    </row>
    <row r="192" spans="1:1" hidden="1" x14ac:dyDescent="0.2">
      <c r="A192" s="2" t="s">
        <v>10</v>
      </c>
    </row>
    <row r="193" spans="1:1" hidden="1" x14ac:dyDescent="0.2"/>
    <row r="194" spans="1:1" hidden="1" x14ac:dyDescent="0.2">
      <c r="A194" s="1" t="s">
        <v>2</v>
      </c>
    </row>
    <row r="195" spans="1:1" x14ac:dyDescent="0.2">
      <c r="A195" t="s">
        <v>45</v>
      </c>
    </row>
    <row r="196" spans="1:1" x14ac:dyDescent="0.2">
      <c r="A196" t="s">
        <v>75</v>
      </c>
    </row>
    <row r="197" spans="1:1" x14ac:dyDescent="0.2">
      <c r="A197" t="s">
        <v>368</v>
      </c>
    </row>
    <row r="198" spans="1:1" x14ac:dyDescent="0.2">
      <c r="A198" t="s">
        <v>9</v>
      </c>
    </row>
    <row r="199" spans="1:1" x14ac:dyDescent="0.2">
      <c r="A199" t="s">
        <v>459</v>
      </c>
    </row>
    <row r="200" spans="1:1" hidden="1" x14ac:dyDescent="0.2">
      <c r="A200" s="2" t="s">
        <v>10</v>
      </c>
    </row>
    <row r="201" spans="1:1" hidden="1" x14ac:dyDescent="0.2">
      <c r="A201" s="2" t="s">
        <v>10</v>
      </c>
    </row>
    <row r="202" spans="1:1" hidden="1" x14ac:dyDescent="0.2">
      <c r="A202" s="2" t="s">
        <v>10</v>
      </c>
    </row>
    <row r="203" spans="1:1" hidden="1" x14ac:dyDescent="0.2"/>
    <row r="204" spans="1:1" hidden="1" x14ac:dyDescent="0.2">
      <c r="A204" s="1" t="s">
        <v>2</v>
      </c>
    </row>
    <row r="205" spans="1:1" x14ac:dyDescent="0.2">
      <c r="A205" t="s">
        <v>50</v>
      </c>
    </row>
    <row r="206" spans="1:1" x14ac:dyDescent="0.2">
      <c r="A206" t="s">
        <v>21</v>
      </c>
    </row>
    <row r="207" spans="1:1" x14ac:dyDescent="0.2">
      <c r="A207" t="s">
        <v>483</v>
      </c>
    </row>
    <row r="208" spans="1:1" x14ac:dyDescent="0.2">
      <c r="A208" t="s">
        <v>87</v>
      </c>
    </row>
    <row r="209" spans="1:1" hidden="1" x14ac:dyDescent="0.2">
      <c r="A209" s="2" t="s">
        <v>10</v>
      </c>
    </row>
    <row r="210" spans="1:1" hidden="1" x14ac:dyDescent="0.2">
      <c r="A210" s="2" t="s">
        <v>10</v>
      </c>
    </row>
    <row r="211" spans="1:1" hidden="1" x14ac:dyDescent="0.2">
      <c r="A211" s="2" t="s">
        <v>10</v>
      </c>
    </row>
    <row r="212" spans="1:1" hidden="1" x14ac:dyDescent="0.2">
      <c r="A212" s="2" t="s">
        <v>10</v>
      </c>
    </row>
    <row r="213" spans="1:1" hidden="1" x14ac:dyDescent="0.2"/>
    <row r="214" spans="1:1" hidden="1" x14ac:dyDescent="0.2">
      <c r="A214" s="1" t="s">
        <v>2</v>
      </c>
    </row>
    <row r="215" spans="1:1" x14ac:dyDescent="0.2">
      <c r="A215" t="s">
        <v>46</v>
      </c>
    </row>
    <row r="216" spans="1:1" x14ac:dyDescent="0.2">
      <c r="A216" t="s">
        <v>450</v>
      </c>
    </row>
    <row r="217" spans="1:1" x14ac:dyDescent="0.2">
      <c r="A217" t="s">
        <v>454</v>
      </c>
    </row>
    <row r="218" spans="1:1" x14ac:dyDescent="0.2">
      <c r="A218" t="s">
        <v>28</v>
      </c>
    </row>
    <row r="219" spans="1:1" x14ac:dyDescent="0.2">
      <c r="A219" t="s">
        <v>48</v>
      </c>
    </row>
    <row r="220" spans="1:1" hidden="1" x14ac:dyDescent="0.2">
      <c r="A220" s="2" t="s">
        <v>10</v>
      </c>
    </row>
    <row r="221" spans="1:1" hidden="1" x14ac:dyDescent="0.2">
      <c r="A221" s="2" t="s">
        <v>10</v>
      </c>
    </row>
    <row r="222" spans="1:1" hidden="1" x14ac:dyDescent="0.2">
      <c r="A222" s="2" t="s">
        <v>10</v>
      </c>
    </row>
    <row r="223" spans="1:1" hidden="1" x14ac:dyDescent="0.2"/>
    <row r="224" spans="1:1" hidden="1" x14ac:dyDescent="0.2">
      <c r="A224" s="1" t="s">
        <v>2</v>
      </c>
    </row>
    <row r="225" spans="1:1" x14ac:dyDescent="0.2">
      <c r="A225" t="s">
        <v>45</v>
      </c>
    </row>
    <row r="226" spans="1:1" x14ac:dyDescent="0.2">
      <c r="A226" t="s">
        <v>484</v>
      </c>
    </row>
    <row r="227" spans="1:1" x14ac:dyDescent="0.2">
      <c r="A227" t="s">
        <v>55</v>
      </c>
    </row>
    <row r="228" spans="1:1" x14ac:dyDescent="0.2">
      <c r="A228" t="s">
        <v>101</v>
      </c>
    </row>
    <row r="229" spans="1:1" x14ac:dyDescent="0.2">
      <c r="A229" t="s">
        <v>476</v>
      </c>
    </row>
    <row r="230" spans="1:1" x14ac:dyDescent="0.2">
      <c r="A230" t="s">
        <v>60</v>
      </c>
    </row>
    <row r="231" spans="1:1" hidden="1" x14ac:dyDescent="0.2">
      <c r="A231" s="2" t="s">
        <v>10</v>
      </c>
    </row>
    <row r="232" spans="1:1" hidden="1" x14ac:dyDescent="0.2">
      <c r="A232" s="2" t="s">
        <v>10</v>
      </c>
    </row>
    <row r="233" spans="1:1" hidden="1" x14ac:dyDescent="0.2"/>
    <row r="234" spans="1:1" hidden="1" x14ac:dyDescent="0.2">
      <c r="A234" s="1" t="s">
        <v>2</v>
      </c>
    </row>
    <row r="235" spans="1:1" x14ac:dyDescent="0.2">
      <c r="A235" t="s">
        <v>32</v>
      </c>
    </row>
    <row r="236" spans="1:1" x14ac:dyDescent="0.2">
      <c r="A236" t="s">
        <v>368</v>
      </c>
    </row>
    <row r="237" spans="1:1" x14ac:dyDescent="0.2">
      <c r="A237" t="s">
        <v>25</v>
      </c>
    </row>
    <row r="238" spans="1:1" x14ac:dyDescent="0.2">
      <c r="A238" t="s">
        <v>33</v>
      </c>
    </row>
    <row r="239" spans="1:1" x14ac:dyDescent="0.2">
      <c r="A239" t="s">
        <v>74</v>
      </c>
    </row>
    <row r="240" spans="1:1" x14ac:dyDescent="0.2">
      <c r="A240" t="s">
        <v>451</v>
      </c>
    </row>
    <row r="241" spans="1:1" hidden="1" x14ac:dyDescent="0.2">
      <c r="A241" s="2" t="s">
        <v>10</v>
      </c>
    </row>
    <row r="242" spans="1:1" hidden="1" x14ac:dyDescent="0.2">
      <c r="A242" s="2" t="s">
        <v>10</v>
      </c>
    </row>
    <row r="243" spans="1:1" hidden="1" x14ac:dyDescent="0.2"/>
    <row r="244" spans="1:1" hidden="1" x14ac:dyDescent="0.2">
      <c r="A244" s="1" t="s">
        <v>2</v>
      </c>
    </row>
    <row r="245" spans="1:1" x14ac:dyDescent="0.2">
      <c r="A245" t="s">
        <v>18</v>
      </c>
    </row>
    <row r="246" spans="1:1" x14ac:dyDescent="0.2">
      <c r="A246" t="s">
        <v>68</v>
      </c>
    </row>
    <row r="247" spans="1:1" x14ac:dyDescent="0.2">
      <c r="A247" t="s">
        <v>473</v>
      </c>
    </row>
    <row r="248" spans="1:1" x14ac:dyDescent="0.2">
      <c r="A248" t="s">
        <v>12</v>
      </c>
    </row>
    <row r="249" spans="1:1" x14ac:dyDescent="0.2">
      <c r="A249" t="s">
        <v>76</v>
      </c>
    </row>
    <row r="250" spans="1:1" hidden="1" x14ac:dyDescent="0.2">
      <c r="A250" s="2" t="s">
        <v>10</v>
      </c>
    </row>
    <row r="251" spans="1:1" hidden="1" x14ac:dyDescent="0.2">
      <c r="A251" s="2" t="s">
        <v>10</v>
      </c>
    </row>
    <row r="252" spans="1:1" hidden="1" x14ac:dyDescent="0.2">
      <c r="A252" s="2" t="s">
        <v>10</v>
      </c>
    </row>
    <row r="253" spans="1:1" hidden="1" x14ac:dyDescent="0.2"/>
    <row r="254" spans="1:1" hidden="1" x14ac:dyDescent="0.2">
      <c r="A254" s="1" t="s">
        <v>2</v>
      </c>
    </row>
    <row r="255" spans="1:1" x14ac:dyDescent="0.2">
      <c r="A255" t="s">
        <v>75</v>
      </c>
    </row>
    <row r="256" spans="1:1" x14ac:dyDescent="0.2">
      <c r="A256" t="s">
        <v>87</v>
      </c>
    </row>
    <row r="257" spans="1:1" x14ac:dyDescent="0.2">
      <c r="A257" t="s">
        <v>41</v>
      </c>
    </row>
    <row r="258" spans="1:1" x14ac:dyDescent="0.2">
      <c r="A258" t="s">
        <v>65</v>
      </c>
    </row>
    <row r="259" spans="1:1" x14ac:dyDescent="0.2">
      <c r="A259" t="s">
        <v>21</v>
      </c>
    </row>
    <row r="260" spans="1:1" hidden="1" x14ac:dyDescent="0.2">
      <c r="A260" s="2" t="s">
        <v>10</v>
      </c>
    </row>
    <row r="261" spans="1:1" hidden="1" x14ac:dyDescent="0.2">
      <c r="A261" s="2" t="s">
        <v>10</v>
      </c>
    </row>
    <row r="262" spans="1:1" hidden="1" x14ac:dyDescent="0.2">
      <c r="A262" s="2" t="s">
        <v>10</v>
      </c>
    </row>
    <row r="263" spans="1:1" hidden="1" x14ac:dyDescent="0.2"/>
    <row r="264" spans="1:1" hidden="1" x14ac:dyDescent="0.2">
      <c r="A264" s="1" t="s">
        <v>2</v>
      </c>
    </row>
    <row r="265" spans="1:1" x14ac:dyDescent="0.2">
      <c r="A265" t="s">
        <v>52</v>
      </c>
    </row>
    <row r="266" spans="1:1" x14ac:dyDescent="0.2">
      <c r="A266" t="s">
        <v>98</v>
      </c>
    </row>
    <row r="267" spans="1:1" x14ac:dyDescent="0.2">
      <c r="A267" t="s">
        <v>59</v>
      </c>
    </row>
    <row r="268" spans="1:1" x14ac:dyDescent="0.2">
      <c r="A268" t="s">
        <v>66</v>
      </c>
    </row>
    <row r="269" spans="1:1" x14ac:dyDescent="0.2">
      <c r="A269" t="s">
        <v>50</v>
      </c>
    </row>
    <row r="270" spans="1:1" hidden="1" x14ac:dyDescent="0.2">
      <c r="A270" s="2" t="s">
        <v>10</v>
      </c>
    </row>
    <row r="271" spans="1:1" hidden="1" x14ac:dyDescent="0.2">
      <c r="A271" s="2" t="s">
        <v>10</v>
      </c>
    </row>
    <row r="272" spans="1:1" hidden="1" x14ac:dyDescent="0.2">
      <c r="A272" s="2" t="s">
        <v>10</v>
      </c>
    </row>
    <row r="273" spans="1:1" hidden="1" x14ac:dyDescent="0.2"/>
    <row r="274" spans="1:1" hidden="1" x14ac:dyDescent="0.2">
      <c r="A274" s="1" t="s">
        <v>2</v>
      </c>
    </row>
    <row r="275" spans="1:1" x14ac:dyDescent="0.2">
      <c r="A275" t="s">
        <v>14</v>
      </c>
    </row>
    <row r="276" spans="1:1" x14ac:dyDescent="0.2">
      <c r="A276" t="s">
        <v>6</v>
      </c>
    </row>
    <row r="277" spans="1:1" x14ac:dyDescent="0.2">
      <c r="A277" t="s">
        <v>88</v>
      </c>
    </row>
    <row r="278" spans="1:1" x14ac:dyDescent="0.2">
      <c r="A278" t="s">
        <v>40</v>
      </c>
    </row>
    <row r="279" spans="1:1" x14ac:dyDescent="0.2">
      <c r="A279" t="s">
        <v>73</v>
      </c>
    </row>
    <row r="280" spans="1:1" x14ac:dyDescent="0.2">
      <c r="A280" t="s">
        <v>26</v>
      </c>
    </row>
    <row r="281" spans="1:1" hidden="1" x14ac:dyDescent="0.2">
      <c r="A281" s="2" t="s">
        <v>10</v>
      </c>
    </row>
    <row r="282" spans="1:1" hidden="1" x14ac:dyDescent="0.2">
      <c r="A282" s="2" t="s">
        <v>10</v>
      </c>
    </row>
    <row r="283" spans="1:1" hidden="1" x14ac:dyDescent="0.2"/>
    <row r="284" spans="1:1" hidden="1" x14ac:dyDescent="0.2">
      <c r="A284" s="1" t="s">
        <v>2</v>
      </c>
    </row>
    <row r="285" spans="1:1" x14ac:dyDescent="0.2">
      <c r="A285" t="s">
        <v>48</v>
      </c>
    </row>
    <row r="286" spans="1:1" x14ac:dyDescent="0.2">
      <c r="A286" t="s">
        <v>476</v>
      </c>
    </row>
    <row r="287" spans="1:1" x14ac:dyDescent="0.2">
      <c r="A287" t="s">
        <v>371</v>
      </c>
    </row>
    <row r="288" spans="1:1" x14ac:dyDescent="0.2">
      <c r="A288" t="s">
        <v>45</v>
      </c>
    </row>
    <row r="289" spans="1:1" x14ac:dyDescent="0.2">
      <c r="A289" t="s">
        <v>457</v>
      </c>
    </row>
    <row r="290" spans="1:1" x14ac:dyDescent="0.2">
      <c r="A290" t="s">
        <v>345</v>
      </c>
    </row>
    <row r="291" spans="1:1" hidden="1" x14ac:dyDescent="0.2">
      <c r="A291" s="2" t="s">
        <v>10</v>
      </c>
    </row>
    <row r="292" spans="1:1" hidden="1" x14ac:dyDescent="0.2">
      <c r="A292" s="2" t="s">
        <v>10</v>
      </c>
    </row>
    <row r="293" spans="1:1" hidden="1" x14ac:dyDescent="0.2"/>
    <row r="294" spans="1:1" hidden="1" x14ac:dyDescent="0.2">
      <c r="A294" s="1" t="s">
        <v>2</v>
      </c>
    </row>
    <row r="295" spans="1:1" x14ac:dyDescent="0.2">
      <c r="A295" t="s">
        <v>454</v>
      </c>
    </row>
    <row r="296" spans="1:1" x14ac:dyDescent="0.2">
      <c r="A296" t="s">
        <v>6</v>
      </c>
    </row>
    <row r="297" spans="1:1" x14ac:dyDescent="0.2">
      <c r="A297" t="s">
        <v>450</v>
      </c>
    </row>
    <row r="298" spans="1:1" x14ac:dyDescent="0.2">
      <c r="A298" t="s">
        <v>12</v>
      </c>
    </row>
    <row r="299" spans="1:1" x14ac:dyDescent="0.2">
      <c r="A299" t="s">
        <v>32</v>
      </c>
    </row>
    <row r="300" spans="1:1" x14ac:dyDescent="0.2">
      <c r="A300" t="s">
        <v>473</v>
      </c>
    </row>
    <row r="301" spans="1:1" x14ac:dyDescent="0.2">
      <c r="A301" t="s">
        <v>18</v>
      </c>
    </row>
    <row r="302" spans="1:1" hidden="1" x14ac:dyDescent="0.2">
      <c r="A302" s="2" t="s">
        <v>10</v>
      </c>
    </row>
    <row r="303" spans="1:1" hidden="1" x14ac:dyDescent="0.2"/>
    <row r="304" spans="1:1" hidden="1" x14ac:dyDescent="0.2">
      <c r="A304" s="1" t="s">
        <v>2</v>
      </c>
    </row>
    <row r="305" spans="1:1" x14ac:dyDescent="0.2">
      <c r="A305" t="s">
        <v>55</v>
      </c>
    </row>
    <row r="306" spans="1:1" x14ac:dyDescent="0.2">
      <c r="A306" t="s">
        <v>87</v>
      </c>
    </row>
    <row r="307" spans="1:1" x14ac:dyDescent="0.2">
      <c r="A307" t="s">
        <v>28</v>
      </c>
    </row>
    <row r="308" spans="1:1" x14ac:dyDescent="0.2">
      <c r="A308" t="s">
        <v>484</v>
      </c>
    </row>
    <row r="309" spans="1:1" x14ac:dyDescent="0.2">
      <c r="A309" t="s">
        <v>68</v>
      </c>
    </row>
    <row r="310" spans="1:1" x14ac:dyDescent="0.2">
      <c r="A310" t="s">
        <v>19</v>
      </c>
    </row>
    <row r="311" spans="1:1" hidden="1" x14ac:dyDescent="0.2">
      <c r="A311" s="2" t="s">
        <v>10</v>
      </c>
    </row>
    <row r="312" spans="1:1" hidden="1" x14ac:dyDescent="0.2">
      <c r="A312" s="2" t="s">
        <v>10</v>
      </c>
    </row>
    <row r="313" spans="1:1" hidden="1" x14ac:dyDescent="0.2"/>
    <row r="314" spans="1:1" hidden="1" x14ac:dyDescent="0.2">
      <c r="A314" s="1" t="s">
        <v>2</v>
      </c>
    </row>
    <row r="315" spans="1:1" x14ac:dyDescent="0.2">
      <c r="A315" t="s">
        <v>66</v>
      </c>
    </row>
    <row r="316" spans="1:1" x14ac:dyDescent="0.2">
      <c r="A316" t="s">
        <v>461</v>
      </c>
    </row>
    <row r="317" spans="1:1" x14ac:dyDescent="0.2">
      <c r="A317" t="s">
        <v>41</v>
      </c>
    </row>
    <row r="318" spans="1:1" x14ac:dyDescent="0.2">
      <c r="A318" t="s">
        <v>459</v>
      </c>
    </row>
    <row r="319" spans="1:1" x14ac:dyDescent="0.2">
      <c r="A319" t="s">
        <v>14</v>
      </c>
    </row>
    <row r="320" spans="1:1" x14ac:dyDescent="0.2">
      <c r="A320" t="s">
        <v>75</v>
      </c>
    </row>
    <row r="321" spans="1:1" hidden="1" x14ac:dyDescent="0.2">
      <c r="A321" s="2" t="s">
        <v>10</v>
      </c>
    </row>
    <row r="322" spans="1:1" hidden="1" x14ac:dyDescent="0.2">
      <c r="A322" s="2" t="s">
        <v>10</v>
      </c>
    </row>
    <row r="323" spans="1:1" hidden="1" x14ac:dyDescent="0.2"/>
    <row r="324" spans="1:1" hidden="1" x14ac:dyDescent="0.2">
      <c r="A324" s="1" t="s">
        <v>2</v>
      </c>
    </row>
    <row r="325" spans="1:1" x14ac:dyDescent="0.2">
      <c r="A325" t="s">
        <v>50</v>
      </c>
    </row>
    <row r="326" spans="1:1" x14ac:dyDescent="0.2">
      <c r="A326" t="s">
        <v>9</v>
      </c>
    </row>
    <row r="327" spans="1:1" x14ac:dyDescent="0.2">
      <c r="A327" t="s">
        <v>65</v>
      </c>
    </row>
    <row r="328" spans="1:1" x14ac:dyDescent="0.2">
      <c r="A328" t="s">
        <v>264</v>
      </c>
    </row>
    <row r="329" spans="1:1" x14ac:dyDescent="0.2">
      <c r="A329" t="s">
        <v>368</v>
      </c>
    </row>
    <row r="330" spans="1:1" x14ac:dyDescent="0.2">
      <c r="A330" t="s">
        <v>40</v>
      </c>
    </row>
    <row r="331" spans="1:1" hidden="1" x14ac:dyDescent="0.2">
      <c r="A331" s="2" t="s">
        <v>10</v>
      </c>
    </row>
    <row r="332" spans="1:1" hidden="1" x14ac:dyDescent="0.2">
      <c r="A332" s="2" t="s">
        <v>10</v>
      </c>
    </row>
    <row r="333" spans="1:1" hidden="1" x14ac:dyDescent="0.2"/>
    <row r="334" spans="1:1" hidden="1" x14ac:dyDescent="0.2">
      <c r="A334" s="1" t="s">
        <v>2</v>
      </c>
    </row>
    <row r="335" spans="1:1" x14ac:dyDescent="0.2">
      <c r="A335" t="s">
        <v>59</v>
      </c>
    </row>
    <row r="336" spans="1:1" x14ac:dyDescent="0.2">
      <c r="A336" t="s">
        <v>74</v>
      </c>
    </row>
    <row r="337" spans="1:1" x14ac:dyDescent="0.2">
      <c r="A337" t="s">
        <v>33</v>
      </c>
    </row>
    <row r="338" spans="1:1" x14ac:dyDescent="0.2">
      <c r="A338" t="s">
        <v>34</v>
      </c>
    </row>
    <row r="339" spans="1:1" x14ac:dyDescent="0.2">
      <c r="A339" t="s">
        <v>21</v>
      </c>
    </row>
    <row r="340" spans="1:1" x14ac:dyDescent="0.2">
      <c r="A340" t="s">
        <v>46</v>
      </c>
    </row>
    <row r="341" spans="1:1" x14ac:dyDescent="0.2">
      <c r="A341" t="s">
        <v>76</v>
      </c>
    </row>
    <row r="342" spans="1:1" hidden="1" x14ac:dyDescent="0.2">
      <c r="A342" s="2" t="s">
        <v>10</v>
      </c>
    </row>
    <row r="343" spans="1:1" hidden="1" x14ac:dyDescent="0.2"/>
    <row r="344" spans="1:1" hidden="1" x14ac:dyDescent="0.2">
      <c r="A344" s="1" t="s">
        <v>2</v>
      </c>
    </row>
    <row r="345" spans="1:1" x14ac:dyDescent="0.2">
      <c r="A345" t="s">
        <v>452</v>
      </c>
    </row>
    <row r="346" spans="1:1" x14ac:dyDescent="0.2">
      <c r="A346" t="s">
        <v>91</v>
      </c>
    </row>
    <row r="347" spans="1:1" x14ac:dyDescent="0.2">
      <c r="A347" t="s">
        <v>26</v>
      </c>
    </row>
    <row r="348" spans="1:1" x14ac:dyDescent="0.2">
      <c r="A348" t="s">
        <v>42</v>
      </c>
    </row>
    <row r="349" spans="1:1" x14ac:dyDescent="0.2">
      <c r="A349" t="s">
        <v>73</v>
      </c>
    </row>
    <row r="350" spans="1:1" x14ac:dyDescent="0.2">
      <c r="A350" t="s">
        <v>60</v>
      </c>
    </row>
    <row r="351" spans="1:1" x14ac:dyDescent="0.2">
      <c r="A351" t="s">
        <v>52</v>
      </c>
    </row>
    <row r="352" spans="1:1" hidden="1" x14ac:dyDescent="0.2">
      <c r="A352" s="2" t="s">
        <v>10</v>
      </c>
    </row>
    <row r="353" spans="1:1" hidden="1" x14ac:dyDescent="0.2"/>
    <row r="354" spans="1:1" hidden="1" x14ac:dyDescent="0.2">
      <c r="A354" s="1" t="s">
        <v>2</v>
      </c>
    </row>
    <row r="355" spans="1:1" x14ac:dyDescent="0.2">
      <c r="A355" t="s">
        <v>45</v>
      </c>
    </row>
    <row r="356" spans="1:1" x14ac:dyDescent="0.2">
      <c r="A356" t="s">
        <v>74</v>
      </c>
    </row>
    <row r="357" spans="1:1" x14ac:dyDescent="0.2">
      <c r="A357" t="s">
        <v>75</v>
      </c>
    </row>
    <row r="358" spans="1:1" x14ac:dyDescent="0.2">
      <c r="A358" t="s">
        <v>14</v>
      </c>
    </row>
    <row r="359" spans="1:1" x14ac:dyDescent="0.2">
      <c r="A359" t="s">
        <v>68</v>
      </c>
    </row>
    <row r="360" spans="1:1" hidden="1" x14ac:dyDescent="0.2">
      <c r="A360" s="2" t="s">
        <v>10</v>
      </c>
    </row>
    <row r="361" spans="1:1" hidden="1" x14ac:dyDescent="0.2">
      <c r="A361" s="2" t="s">
        <v>10</v>
      </c>
    </row>
    <row r="362" spans="1:1" hidden="1" x14ac:dyDescent="0.2">
      <c r="A362" s="2" t="s">
        <v>10</v>
      </c>
    </row>
    <row r="363" spans="1:1" hidden="1" x14ac:dyDescent="0.2"/>
    <row r="364" spans="1:1" hidden="1" x14ac:dyDescent="0.2">
      <c r="A364" s="1" t="s">
        <v>2</v>
      </c>
    </row>
    <row r="365" spans="1:1" x14ac:dyDescent="0.2">
      <c r="A365" t="s">
        <v>87</v>
      </c>
    </row>
    <row r="366" spans="1:1" x14ac:dyDescent="0.2">
      <c r="A366" t="s">
        <v>483</v>
      </c>
    </row>
    <row r="367" spans="1:1" x14ac:dyDescent="0.2">
      <c r="A367" t="s">
        <v>59</v>
      </c>
    </row>
    <row r="368" spans="1:1" x14ac:dyDescent="0.2">
      <c r="A368" t="s">
        <v>18</v>
      </c>
    </row>
    <row r="369" spans="1:1" x14ac:dyDescent="0.2">
      <c r="A369" t="s">
        <v>264</v>
      </c>
    </row>
    <row r="370" spans="1:1" x14ac:dyDescent="0.2">
      <c r="A370" t="s">
        <v>41</v>
      </c>
    </row>
    <row r="371" spans="1:1" hidden="1" x14ac:dyDescent="0.2">
      <c r="A371" s="2" t="s">
        <v>10</v>
      </c>
    </row>
    <row r="372" spans="1:1" hidden="1" x14ac:dyDescent="0.2">
      <c r="A372" s="2" t="s">
        <v>10</v>
      </c>
    </row>
    <row r="373" spans="1:1" hidden="1" x14ac:dyDescent="0.2"/>
    <row r="374" spans="1:1" hidden="1" x14ac:dyDescent="0.2">
      <c r="A374" s="1" t="s">
        <v>2</v>
      </c>
    </row>
    <row r="375" spans="1:1" x14ac:dyDescent="0.2">
      <c r="A375" t="s">
        <v>27</v>
      </c>
    </row>
    <row r="376" spans="1:1" x14ac:dyDescent="0.2">
      <c r="A376" t="s">
        <v>461</v>
      </c>
    </row>
    <row r="377" spans="1:1" x14ac:dyDescent="0.2">
      <c r="A377" t="s">
        <v>46</v>
      </c>
    </row>
    <row r="378" spans="1:1" x14ac:dyDescent="0.2">
      <c r="A378" t="s">
        <v>48</v>
      </c>
    </row>
    <row r="379" spans="1:1" x14ac:dyDescent="0.2">
      <c r="A379" t="s">
        <v>12</v>
      </c>
    </row>
    <row r="380" spans="1:1" hidden="1" x14ac:dyDescent="0.2">
      <c r="A380" s="2" t="s">
        <v>10</v>
      </c>
    </row>
    <row r="381" spans="1:1" hidden="1" x14ac:dyDescent="0.2">
      <c r="A381" s="2" t="s">
        <v>10</v>
      </c>
    </row>
    <row r="382" spans="1:1" hidden="1" x14ac:dyDescent="0.2">
      <c r="A382" s="2" t="s">
        <v>10</v>
      </c>
    </row>
    <row r="383" spans="1:1" hidden="1" x14ac:dyDescent="0.2"/>
    <row r="384" spans="1:1" hidden="1" x14ac:dyDescent="0.2">
      <c r="A384" s="1" t="s">
        <v>2</v>
      </c>
    </row>
    <row r="385" spans="1:1" x14ac:dyDescent="0.2">
      <c r="A385" t="s">
        <v>485</v>
      </c>
    </row>
    <row r="386" spans="1:1" x14ac:dyDescent="0.2">
      <c r="A386" t="s">
        <v>33</v>
      </c>
    </row>
    <row r="387" spans="1:1" x14ac:dyDescent="0.2">
      <c r="A387" t="s">
        <v>60</v>
      </c>
    </row>
    <row r="388" spans="1:1" x14ac:dyDescent="0.2">
      <c r="A388" t="s">
        <v>454</v>
      </c>
    </row>
    <row r="389" spans="1:1" x14ac:dyDescent="0.2">
      <c r="A389" t="s">
        <v>28</v>
      </c>
    </row>
    <row r="390" spans="1:1" x14ac:dyDescent="0.2">
      <c r="A390" t="s">
        <v>50</v>
      </c>
    </row>
    <row r="391" spans="1:1" hidden="1" x14ac:dyDescent="0.2">
      <c r="A391" s="2" t="s">
        <v>10</v>
      </c>
    </row>
    <row r="392" spans="1:1" hidden="1" x14ac:dyDescent="0.2">
      <c r="A392" s="2" t="s">
        <v>10</v>
      </c>
    </row>
    <row r="393" spans="1:1" hidden="1" x14ac:dyDescent="0.2"/>
    <row r="394" spans="1:1" hidden="1" x14ac:dyDescent="0.2">
      <c r="A394" s="1" t="s">
        <v>2</v>
      </c>
    </row>
    <row r="395" spans="1:1" x14ac:dyDescent="0.2">
      <c r="A395" t="s">
        <v>484</v>
      </c>
    </row>
    <row r="396" spans="1:1" x14ac:dyDescent="0.2">
      <c r="A396" t="s">
        <v>66</v>
      </c>
    </row>
    <row r="397" spans="1:1" x14ac:dyDescent="0.2">
      <c r="A397" t="s">
        <v>5</v>
      </c>
    </row>
    <row r="398" spans="1:1" x14ac:dyDescent="0.2">
      <c r="A398" t="s">
        <v>55</v>
      </c>
    </row>
    <row r="399" spans="1:1" x14ac:dyDescent="0.2">
      <c r="A399" t="s">
        <v>35</v>
      </c>
    </row>
    <row r="400" spans="1:1" hidden="1" x14ac:dyDescent="0.2">
      <c r="A400" s="2" t="s">
        <v>10</v>
      </c>
    </row>
    <row r="401" spans="1:1" hidden="1" x14ac:dyDescent="0.2">
      <c r="A401" s="2" t="s">
        <v>10</v>
      </c>
    </row>
    <row r="402" spans="1:1" hidden="1" x14ac:dyDescent="0.2">
      <c r="A402" s="2" t="s">
        <v>10</v>
      </c>
    </row>
    <row r="403" spans="1:1" hidden="1" x14ac:dyDescent="0.2"/>
    <row r="404" spans="1:1" hidden="1" x14ac:dyDescent="0.2">
      <c r="A404" s="1" t="s">
        <v>2</v>
      </c>
    </row>
    <row r="405" spans="1:1" hidden="1" x14ac:dyDescent="0.2"/>
    <row r="406" spans="1:1" hidden="1" x14ac:dyDescent="0.2"/>
    <row r="407" spans="1:1" hidden="1" x14ac:dyDescent="0.2"/>
    <row r="408" spans="1:1" x14ac:dyDescent="0.2">
      <c r="A408" t="s">
        <v>52</v>
      </c>
    </row>
    <row r="409" spans="1:1" x14ac:dyDescent="0.2">
      <c r="A409" t="s">
        <v>21</v>
      </c>
    </row>
    <row r="410" spans="1:1" x14ac:dyDescent="0.2">
      <c r="A410" t="s">
        <v>73</v>
      </c>
    </row>
    <row r="411" spans="1:1" x14ac:dyDescent="0.2">
      <c r="A411" t="s">
        <v>40</v>
      </c>
    </row>
    <row r="412" spans="1:1" x14ac:dyDescent="0.2">
      <c r="A412" t="s">
        <v>473</v>
      </c>
    </row>
    <row r="413" spans="1:1" hidden="1" x14ac:dyDescent="0.2"/>
    <row r="414" spans="1:1" hidden="1" x14ac:dyDescent="0.2">
      <c r="A414" s="1" t="s">
        <v>2</v>
      </c>
    </row>
    <row r="415" spans="1:1" x14ac:dyDescent="0.2">
      <c r="A415" t="s">
        <v>481</v>
      </c>
    </row>
    <row r="416" spans="1:1" x14ac:dyDescent="0.2">
      <c r="A416" t="s">
        <v>91</v>
      </c>
    </row>
    <row r="417" spans="1:1" x14ac:dyDescent="0.2">
      <c r="A417" t="s">
        <v>18</v>
      </c>
    </row>
    <row r="418" spans="1:1" x14ac:dyDescent="0.2">
      <c r="A418" t="s">
        <v>6</v>
      </c>
    </row>
    <row r="419" spans="1:1" x14ac:dyDescent="0.2">
      <c r="A419" t="s">
        <v>28</v>
      </c>
    </row>
    <row r="420" spans="1:1" x14ac:dyDescent="0.2">
      <c r="A420" t="s">
        <v>48</v>
      </c>
    </row>
    <row r="421" spans="1:1" hidden="1" x14ac:dyDescent="0.2">
      <c r="A421" s="2" t="s">
        <v>10</v>
      </c>
    </row>
    <row r="422" spans="1:1" hidden="1" x14ac:dyDescent="0.2">
      <c r="A422" s="2" t="s">
        <v>10</v>
      </c>
    </row>
    <row r="423" spans="1:1" hidden="1" x14ac:dyDescent="0.2"/>
    <row r="424" spans="1:1" hidden="1" x14ac:dyDescent="0.2">
      <c r="A424" s="1" t="s">
        <v>2</v>
      </c>
    </row>
    <row r="425" spans="1:1" x14ac:dyDescent="0.2">
      <c r="A425" t="s">
        <v>46</v>
      </c>
    </row>
    <row r="426" spans="1:1" x14ac:dyDescent="0.2">
      <c r="A426" t="s">
        <v>35</v>
      </c>
    </row>
    <row r="427" spans="1:1" x14ac:dyDescent="0.2">
      <c r="A427" t="s">
        <v>33</v>
      </c>
    </row>
    <row r="428" spans="1:1" x14ac:dyDescent="0.2">
      <c r="A428" t="s">
        <v>491</v>
      </c>
    </row>
    <row r="429" spans="1:1" x14ac:dyDescent="0.2">
      <c r="A429" t="s">
        <v>45</v>
      </c>
    </row>
    <row r="430" spans="1:1" x14ac:dyDescent="0.2">
      <c r="A430" t="s">
        <v>264</v>
      </c>
    </row>
    <row r="431" spans="1:1" hidden="1" x14ac:dyDescent="0.2">
      <c r="A431" s="2" t="s">
        <v>10</v>
      </c>
    </row>
    <row r="432" spans="1:1" hidden="1" x14ac:dyDescent="0.2">
      <c r="A432" s="2" t="s">
        <v>10</v>
      </c>
    </row>
    <row r="433" spans="1:1" hidden="1" x14ac:dyDescent="0.2"/>
    <row r="434" spans="1:1" hidden="1" x14ac:dyDescent="0.2">
      <c r="A434" s="1" t="s">
        <v>2</v>
      </c>
    </row>
    <row r="435" spans="1:1" x14ac:dyDescent="0.2">
      <c r="A435" t="s">
        <v>485</v>
      </c>
    </row>
    <row r="436" spans="1:1" x14ac:dyDescent="0.2">
      <c r="A436" t="s">
        <v>59</v>
      </c>
    </row>
    <row r="437" spans="1:1" x14ac:dyDescent="0.2">
      <c r="A437" t="s">
        <v>14</v>
      </c>
    </row>
    <row r="438" spans="1:1" x14ac:dyDescent="0.2">
      <c r="A438" t="s">
        <v>55</v>
      </c>
    </row>
    <row r="439" spans="1:1" x14ac:dyDescent="0.2">
      <c r="A439" t="s">
        <v>26</v>
      </c>
    </row>
    <row r="440" spans="1:1" x14ac:dyDescent="0.2">
      <c r="A440" t="s">
        <v>12</v>
      </c>
    </row>
    <row r="441" spans="1:1" hidden="1" x14ac:dyDescent="0.2">
      <c r="A441" s="2" t="s">
        <v>10</v>
      </c>
    </row>
    <row r="442" spans="1:1" hidden="1" x14ac:dyDescent="0.2">
      <c r="A442" s="2" t="s">
        <v>10</v>
      </c>
    </row>
    <row r="443" spans="1:1" hidden="1" x14ac:dyDescent="0.2"/>
    <row r="444" spans="1:1" hidden="1" x14ac:dyDescent="0.2">
      <c r="A444" s="1" t="s">
        <v>2</v>
      </c>
    </row>
    <row r="445" spans="1:1" x14ac:dyDescent="0.2">
      <c r="A445" t="s">
        <v>81</v>
      </c>
    </row>
    <row r="446" spans="1:1" x14ac:dyDescent="0.2">
      <c r="A446" t="s">
        <v>68</v>
      </c>
    </row>
    <row r="447" spans="1:1" x14ac:dyDescent="0.2">
      <c r="A447" t="s">
        <v>74</v>
      </c>
    </row>
    <row r="448" spans="1:1" x14ac:dyDescent="0.2">
      <c r="A448" t="s">
        <v>76</v>
      </c>
    </row>
    <row r="449" spans="1:1" x14ac:dyDescent="0.2">
      <c r="A449" t="s">
        <v>41</v>
      </c>
    </row>
    <row r="450" spans="1:1" x14ac:dyDescent="0.2">
      <c r="A450" t="s">
        <v>21</v>
      </c>
    </row>
    <row r="451" spans="1:1" hidden="1" x14ac:dyDescent="0.2">
      <c r="A451" s="2" t="s">
        <v>10</v>
      </c>
    </row>
    <row r="452" spans="1:1" hidden="1" x14ac:dyDescent="0.2">
      <c r="A452" s="2" t="s">
        <v>10</v>
      </c>
    </row>
    <row r="453" spans="1:1" hidden="1" x14ac:dyDescent="0.2"/>
    <row r="454" spans="1:1" hidden="1" x14ac:dyDescent="0.2">
      <c r="A454" s="1" t="s">
        <v>2</v>
      </c>
    </row>
    <row r="455" spans="1:1" x14ac:dyDescent="0.2">
      <c r="A455" t="s">
        <v>19</v>
      </c>
    </row>
    <row r="456" spans="1:1" x14ac:dyDescent="0.2">
      <c r="A456" t="s">
        <v>40</v>
      </c>
    </row>
    <row r="457" spans="1:1" x14ac:dyDescent="0.2">
      <c r="A457" t="s">
        <v>75</v>
      </c>
    </row>
    <row r="458" spans="1:1" x14ac:dyDescent="0.2">
      <c r="A458" t="s">
        <v>27</v>
      </c>
    </row>
    <row r="459" spans="1:1" x14ac:dyDescent="0.2">
      <c r="A459" t="s">
        <v>368</v>
      </c>
    </row>
    <row r="460" spans="1:1" x14ac:dyDescent="0.2">
      <c r="A460" t="s">
        <v>60</v>
      </c>
    </row>
    <row r="461" spans="1:1" hidden="1" x14ac:dyDescent="0.2">
      <c r="A461" s="2" t="s">
        <v>10</v>
      </c>
    </row>
    <row r="462" spans="1:1" hidden="1" x14ac:dyDescent="0.2">
      <c r="A462" s="2" t="s">
        <v>10</v>
      </c>
    </row>
    <row r="463" spans="1:1" hidden="1" x14ac:dyDescent="0.2"/>
    <row r="464" spans="1:1" hidden="1" x14ac:dyDescent="0.2">
      <c r="A464" s="1" t="s">
        <v>2</v>
      </c>
    </row>
    <row r="465" spans="1:1" x14ac:dyDescent="0.2">
      <c r="A465" t="s">
        <v>68</v>
      </c>
    </row>
    <row r="466" spans="1:1" x14ac:dyDescent="0.2">
      <c r="A466" t="s">
        <v>40</v>
      </c>
    </row>
    <row r="467" spans="1:1" x14ac:dyDescent="0.2">
      <c r="A467" t="s">
        <v>60</v>
      </c>
    </row>
    <row r="468" spans="1:1" x14ac:dyDescent="0.2">
      <c r="A468" t="s">
        <v>18</v>
      </c>
    </row>
    <row r="469" spans="1:1" x14ac:dyDescent="0.2">
      <c r="A469" t="s">
        <v>485</v>
      </c>
    </row>
    <row r="470" spans="1:1" hidden="1" x14ac:dyDescent="0.2">
      <c r="A470" s="2" t="s">
        <v>10</v>
      </c>
    </row>
    <row r="471" spans="1:1" hidden="1" x14ac:dyDescent="0.2">
      <c r="A471" s="2" t="s">
        <v>10</v>
      </c>
    </row>
    <row r="472" spans="1:1" hidden="1" x14ac:dyDescent="0.2">
      <c r="A472" s="2" t="s">
        <v>10</v>
      </c>
    </row>
    <row r="473" spans="1:1" hidden="1" x14ac:dyDescent="0.2"/>
    <row r="474" spans="1:1" hidden="1" x14ac:dyDescent="0.2">
      <c r="A474" s="1" t="s">
        <v>2</v>
      </c>
    </row>
    <row r="475" spans="1:1" x14ac:dyDescent="0.2">
      <c r="A475" t="s">
        <v>28</v>
      </c>
    </row>
    <row r="476" spans="1:1" x14ac:dyDescent="0.2">
      <c r="A476" t="s">
        <v>46</v>
      </c>
    </row>
    <row r="477" spans="1:1" x14ac:dyDescent="0.2">
      <c r="A477" t="s">
        <v>368</v>
      </c>
    </row>
    <row r="478" spans="1:1" x14ac:dyDescent="0.2">
      <c r="A478" t="s">
        <v>19</v>
      </c>
    </row>
    <row r="479" spans="1:1" x14ac:dyDescent="0.2">
      <c r="A479" t="s">
        <v>15</v>
      </c>
    </row>
    <row r="480" spans="1:1" x14ac:dyDescent="0.2">
      <c r="A480" t="s">
        <v>76</v>
      </c>
    </row>
    <row r="481" spans="1:1" hidden="1" x14ac:dyDescent="0.2">
      <c r="A481" s="2" t="s">
        <v>10</v>
      </c>
    </row>
    <row r="482" spans="1:1" hidden="1" x14ac:dyDescent="0.2">
      <c r="A482" s="2" t="s">
        <v>10</v>
      </c>
    </row>
    <row r="483" spans="1:1" hidden="1" x14ac:dyDescent="0.2"/>
    <row r="484" spans="1:1" hidden="1" x14ac:dyDescent="0.2">
      <c r="A484" s="1" t="s">
        <v>2</v>
      </c>
    </row>
    <row r="485" spans="1:1" x14ac:dyDescent="0.2">
      <c r="A485" t="s">
        <v>65</v>
      </c>
    </row>
    <row r="486" spans="1:1" x14ac:dyDescent="0.2">
      <c r="A486" t="s">
        <v>35</v>
      </c>
    </row>
    <row r="487" spans="1:1" x14ac:dyDescent="0.2">
      <c r="A487" t="s">
        <v>59</v>
      </c>
    </row>
    <row r="488" spans="1:1" x14ac:dyDescent="0.2">
      <c r="A488" t="s">
        <v>52</v>
      </c>
    </row>
    <row r="489" spans="1:1" x14ac:dyDescent="0.2">
      <c r="A489" t="s">
        <v>74</v>
      </c>
    </row>
    <row r="490" spans="1:1" x14ac:dyDescent="0.2">
      <c r="A490" t="s">
        <v>12</v>
      </c>
    </row>
    <row r="491" spans="1:1" hidden="1" x14ac:dyDescent="0.2">
      <c r="A491" s="2" t="s">
        <v>10</v>
      </c>
    </row>
    <row r="492" spans="1:1" hidden="1" x14ac:dyDescent="0.2">
      <c r="A492" s="2" t="s">
        <v>10</v>
      </c>
    </row>
    <row r="493" spans="1:1" hidden="1" x14ac:dyDescent="0.2"/>
    <row r="494" spans="1:1" hidden="1" x14ac:dyDescent="0.2">
      <c r="A494" s="1" t="s">
        <v>2</v>
      </c>
    </row>
    <row r="495" spans="1:1" x14ac:dyDescent="0.2">
      <c r="A495" t="s">
        <v>75</v>
      </c>
    </row>
    <row r="496" spans="1:1" x14ac:dyDescent="0.2">
      <c r="A496" t="s">
        <v>21</v>
      </c>
    </row>
    <row r="497" spans="1:1" x14ac:dyDescent="0.2">
      <c r="A497" t="s">
        <v>454</v>
      </c>
    </row>
    <row r="498" spans="1:1" x14ac:dyDescent="0.2">
      <c r="A498" t="s">
        <v>461</v>
      </c>
    </row>
    <row r="499" spans="1:1" x14ac:dyDescent="0.2">
      <c r="A499" t="s">
        <v>280</v>
      </c>
    </row>
    <row r="500" spans="1:1" hidden="1" x14ac:dyDescent="0.2">
      <c r="A500" s="2" t="s">
        <v>10</v>
      </c>
    </row>
    <row r="501" spans="1:1" hidden="1" x14ac:dyDescent="0.2">
      <c r="A501" s="2" t="s">
        <v>10</v>
      </c>
    </row>
    <row r="502" spans="1:1" hidden="1" x14ac:dyDescent="0.2">
      <c r="A502" s="2" t="s">
        <v>10</v>
      </c>
    </row>
    <row r="503" spans="1:1" hidden="1" x14ac:dyDescent="0.2"/>
    <row r="504" spans="1:1" hidden="1" x14ac:dyDescent="0.2">
      <c r="A504" s="1" t="s">
        <v>2</v>
      </c>
    </row>
    <row r="505" spans="1:1" x14ac:dyDescent="0.2">
      <c r="A505" t="s">
        <v>42</v>
      </c>
    </row>
    <row r="506" spans="1:1" x14ac:dyDescent="0.2">
      <c r="A506" t="s">
        <v>264</v>
      </c>
    </row>
    <row r="507" spans="1:1" x14ac:dyDescent="0.2">
      <c r="A507" t="s">
        <v>6</v>
      </c>
    </row>
    <row r="508" spans="1:1" x14ac:dyDescent="0.2">
      <c r="A508" t="s">
        <v>87</v>
      </c>
    </row>
    <row r="509" spans="1:1" x14ac:dyDescent="0.2">
      <c r="A509" t="s">
        <v>91</v>
      </c>
    </row>
    <row r="510" spans="1:1" hidden="1" x14ac:dyDescent="0.2">
      <c r="A510" s="2" t="s">
        <v>10</v>
      </c>
    </row>
    <row r="511" spans="1:1" hidden="1" x14ac:dyDescent="0.2">
      <c r="A511" s="2" t="s">
        <v>10</v>
      </c>
    </row>
    <row r="512" spans="1:1" hidden="1" x14ac:dyDescent="0.2">
      <c r="A512" s="2" t="s">
        <v>10</v>
      </c>
    </row>
    <row r="513" spans="1:1" hidden="1" x14ac:dyDescent="0.2"/>
    <row r="514" spans="1:1" hidden="1" x14ac:dyDescent="0.2">
      <c r="A514" s="1" t="s">
        <v>2</v>
      </c>
    </row>
    <row r="515" spans="1:1" x14ac:dyDescent="0.2">
      <c r="A515" t="s">
        <v>473</v>
      </c>
    </row>
    <row r="516" spans="1:1" x14ac:dyDescent="0.2">
      <c r="A516" t="s">
        <v>490</v>
      </c>
    </row>
    <row r="517" spans="1:1" x14ac:dyDescent="0.2">
      <c r="A517" t="s">
        <v>452</v>
      </c>
    </row>
    <row r="518" spans="1:1" x14ac:dyDescent="0.2">
      <c r="A518" t="s">
        <v>14</v>
      </c>
    </row>
    <row r="519" spans="1:1" x14ac:dyDescent="0.2">
      <c r="A519" t="s">
        <v>41</v>
      </c>
    </row>
    <row r="520" spans="1:1" hidden="1" x14ac:dyDescent="0.2">
      <c r="A520" s="2" t="s">
        <v>10</v>
      </c>
    </row>
    <row r="521" spans="1:1" hidden="1" x14ac:dyDescent="0.2">
      <c r="A521" s="2" t="s">
        <v>10</v>
      </c>
    </row>
    <row r="522" spans="1:1" hidden="1" x14ac:dyDescent="0.2">
      <c r="A522" s="2" t="s">
        <v>10</v>
      </c>
    </row>
    <row r="523" spans="1:1" hidden="1" x14ac:dyDescent="0.2"/>
    <row r="524" spans="1:1" hidden="1" x14ac:dyDescent="0.2">
      <c r="A524" s="1" t="s">
        <v>2</v>
      </c>
    </row>
    <row r="525" spans="1:1" x14ac:dyDescent="0.2">
      <c r="A525" t="s">
        <v>66</v>
      </c>
    </row>
    <row r="526" spans="1:1" x14ac:dyDescent="0.2">
      <c r="A526" t="s">
        <v>68</v>
      </c>
    </row>
    <row r="527" spans="1:1" x14ac:dyDescent="0.2">
      <c r="A527" t="s">
        <v>65</v>
      </c>
    </row>
    <row r="528" spans="1:1" x14ac:dyDescent="0.2">
      <c r="A528" t="s">
        <v>59</v>
      </c>
    </row>
    <row r="529" spans="1:1" x14ac:dyDescent="0.2">
      <c r="A529" t="s">
        <v>485</v>
      </c>
    </row>
    <row r="530" spans="1:1" x14ac:dyDescent="0.2">
      <c r="A530" t="s">
        <v>280</v>
      </c>
    </row>
    <row r="531" spans="1:1" hidden="1" x14ac:dyDescent="0.2">
      <c r="A531" s="2" t="s">
        <v>10</v>
      </c>
    </row>
    <row r="532" spans="1:1" hidden="1" x14ac:dyDescent="0.2">
      <c r="A532" s="2" t="s">
        <v>10</v>
      </c>
    </row>
    <row r="533" spans="1:1" hidden="1" x14ac:dyDescent="0.2"/>
    <row r="534" spans="1:1" hidden="1" x14ac:dyDescent="0.2">
      <c r="A534" s="1" t="s">
        <v>2</v>
      </c>
    </row>
    <row r="535" spans="1:1" x14ac:dyDescent="0.2">
      <c r="A535" t="s">
        <v>46</v>
      </c>
    </row>
    <row r="536" spans="1:1" x14ac:dyDescent="0.2">
      <c r="A536" t="s">
        <v>21</v>
      </c>
    </row>
    <row r="537" spans="1:1" x14ac:dyDescent="0.2">
      <c r="A537" t="s">
        <v>33</v>
      </c>
    </row>
    <row r="538" spans="1:1" x14ac:dyDescent="0.2">
      <c r="A538" t="s">
        <v>75</v>
      </c>
    </row>
    <row r="539" spans="1:1" x14ac:dyDescent="0.2">
      <c r="A539" t="s">
        <v>52</v>
      </c>
    </row>
    <row r="540" spans="1:1" hidden="1" x14ac:dyDescent="0.2">
      <c r="A540" s="2" t="s">
        <v>10</v>
      </c>
    </row>
    <row r="541" spans="1:1" hidden="1" x14ac:dyDescent="0.2">
      <c r="A541" s="2" t="s">
        <v>10</v>
      </c>
    </row>
    <row r="542" spans="1:1" hidden="1" x14ac:dyDescent="0.2">
      <c r="A542" s="2" t="s">
        <v>10</v>
      </c>
    </row>
    <row r="543" spans="1:1" hidden="1" x14ac:dyDescent="0.2"/>
    <row r="544" spans="1:1" hidden="1" x14ac:dyDescent="0.2">
      <c r="A544" s="1" t="s">
        <v>2</v>
      </c>
    </row>
    <row r="545" spans="1:1" x14ac:dyDescent="0.2">
      <c r="A545" t="s">
        <v>473</v>
      </c>
    </row>
    <row r="546" spans="1:1" x14ac:dyDescent="0.2">
      <c r="A546" t="s">
        <v>35</v>
      </c>
    </row>
    <row r="547" spans="1:1" x14ac:dyDescent="0.2">
      <c r="A547" t="s">
        <v>18</v>
      </c>
    </row>
    <row r="548" spans="1:1" x14ac:dyDescent="0.2">
      <c r="A548" t="s">
        <v>74</v>
      </c>
    </row>
    <row r="549" spans="1:1" x14ac:dyDescent="0.2">
      <c r="A549" t="s">
        <v>28</v>
      </c>
    </row>
    <row r="550" spans="1:1" hidden="1" x14ac:dyDescent="0.2">
      <c r="A550" s="2" t="s">
        <v>10</v>
      </c>
    </row>
    <row r="551" spans="1:1" hidden="1" x14ac:dyDescent="0.2">
      <c r="A551" s="2" t="s">
        <v>10</v>
      </c>
    </row>
    <row r="552" spans="1:1" hidden="1" x14ac:dyDescent="0.2">
      <c r="A552" s="2" t="s">
        <v>10</v>
      </c>
    </row>
    <row r="553" spans="1:1" hidden="1" x14ac:dyDescent="0.2"/>
    <row r="554" spans="1:1" hidden="1" x14ac:dyDescent="0.2">
      <c r="A554" s="1" t="s">
        <v>2</v>
      </c>
    </row>
    <row r="555" spans="1:1" x14ac:dyDescent="0.2">
      <c r="A555" t="s">
        <v>452</v>
      </c>
    </row>
    <row r="556" spans="1:1" x14ac:dyDescent="0.2">
      <c r="A556" t="s">
        <v>19</v>
      </c>
    </row>
    <row r="557" spans="1:1" x14ac:dyDescent="0.2">
      <c r="A557" t="s">
        <v>264</v>
      </c>
    </row>
    <row r="558" spans="1:1" x14ac:dyDescent="0.2">
      <c r="A558" t="s">
        <v>14</v>
      </c>
    </row>
    <row r="559" spans="1:1" x14ac:dyDescent="0.2">
      <c r="A559" t="s">
        <v>91</v>
      </c>
    </row>
    <row r="560" spans="1:1" x14ac:dyDescent="0.2">
      <c r="A560" t="s">
        <v>45</v>
      </c>
    </row>
    <row r="561" spans="1:1" hidden="1" x14ac:dyDescent="0.2">
      <c r="A561" s="2" t="s">
        <v>10</v>
      </c>
    </row>
  </sheetData>
  <autoFilter ref="A1:A561" xr:uid="{587A18BA-A04E-1743-AFC7-483D6F6779D7}">
    <filterColumn colId="0">
      <filters>
        <filter val="Ad Vitam"/>
        <filter val="Alix"/>
        <filter val="Blocknote"/>
        <filter val="Bounette"/>
        <filter val="Carmin"/>
        <filter val="ChrisFrankfurt"/>
        <filter val="Claptou"/>
        <filter val="Claptouna"/>
        <filter val="Claudius"/>
        <filter val="Coach Pepito"/>
        <filter val="CoachNasser"/>
        <filter val="Comment2"/>
        <filter val="Crevette"/>
        <filter val="Delgres"/>
        <filter val="DernierPli"/>
        <filter val="Djecus"/>
        <filter val="Dr-octopuss"/>
        <filter val="Dragonara"/>
        <filter val="Empedocle"/>
        <filter val="Flabech"/>
        <filter val="Flem"/>
        <filter val="GH-Marshal"/>
        <filter val="Gibbonfury"/>
        <filter val="gibouille"/>
        <filter val="Giobeck"/>
        <filter val="Gnak"/>
        <filter val="Guerno"/>
        <filter val="Happy Grind"/>
        <filter val="J1nx3d"/>
        <filter val="Jacaille"/>
        <filter val="JeanMichelTiming"/>
        <filter val="Jérôme"/>
        <filter val="K1"/>
        <filter val="kheops"/>
        <filter val="La Bavure"/>
        <filter val="LAAtof"/>
        <filter val="labarak"/>
        <filter val="Labataxe"/>
        <filter val="Le D"/>
        <filter val="Lén@"/>
        <filter val="Leocrabe225"/>
        <filter val="Lizzie"/>
        <filter val="LOSOGRE"/>
        <filter val="Makoche"/>
        <filter val="MAMS"/>
        <filter val="Mandrake"/>
        <filter val="Matthieu R"/>
        <filter val="MegaSouche"/>
        <filter val="Michelbey"/>
        <filter val="MLADENGO"/>
        <filter val="NoDoubt"/>
        <filter val="Oldex"/>
        <filter val="OlivierN92"/>
        <filter val="PatB"/>
        <filter val="Pintu"/>
        <filter val="Proph@ne"/>
        <filter val="Ptit Savoyard"/>
        <filter val="Pyja"/>
        <filter val="Ramm"/>
        <filter val="Ripolin"/>
        <filter val="rmarc"/>
        <filter val="Sabwill"/>
        <filter val="saymsonite"/>
        <filter val="Shove4value"/>
        <filter val="sobab"/>
        <filter val="Solex"/>
        <filter val="Solucky"/>
        <filter val="The Hengover"/>
        <filter val="the real will"/>
        <filter val="Thibaultp75"/>
        <filter val="Verte"/>
        <filter val="Wasp"/>
        <filter val="yaltar"/>
        <filter val="Yarael"/>
        <filter val="YooooDA"/>
        <filter val="Youkar28"/>
        <filter val="zizou"/>
        <filter val="zubbaz"/>
      </filters>
    </filterColumn>
  </autoFilter>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E1B33-4D78-F941-967F-209F9572C3C0}">
  <dimension ref="A1:A325"/>
  <sheetViews>
    <sheetView topLeftCell="A3" workbookViewId="0">
      <selection activeCell="A19" sqref="A19"/>
    </sheetView>
  </sheetViews>
  <sheetFormatPr baseColWidth="10" defaultRowHeight="16" x14ac:dyDescent="0.2"/>
  <sheetData>
    <row r="1" spans="1:1" x14ac:dyDescent="0.2">
      <c r="A1" t="s">
        <v>52</v>
      </c>
    </row>
    <row r="2" spans="1:1" x14ac:dyDescent="0.2">
      <c r="A2" t="s">
        <v>42</v>
      </c>
    </row>
    <row r="3" spans="1:1" x14ac:dyDescent="0.2">
      <c r="A3" t="s">
        <v>450</v>
      </c>
    </row>
    <row r="4" spans="1:1" x14ac:dyDescent="0.2">
      <c r="A4" t="s">
        <v>74</v>
      </c>
    </row>
    <row r="5" spans="1:1" x14ac:dyDescent="0.2">
      <c r="A5" t="s">
        <v>48</v>
      </c>
    </row>
    <row r="6" spans="1:1" x14ac:dyDescent="0.2">
      <c r="A6" t="s">
        <v>454</v>
      </c>
    </row>
    <row r="7" spans="1:1" x14ac:dyDescent="0.2">
      <c r="A7" t="s">
        <v>46</v>
      </c>
    </row>
    <row r="8" spans="1:1" x14ac:dyDescent="0.2">
      <c r="A8" t="s">
        <v>345</v>
      </c>
    </row>
    <row r="9" spans="1:1" x14ac:dyDescent="0.2">
      <c r="A9" t="s">
        <v>75</v>
      </c>
    </row>
    <row r="10" spans="1:1" x14ac:dyDescent="0.2">
      <c r="A10" t="s">
        <v>87</v>
      </c>
    </row>
    <row r="11" spans="1:1" x14ac:dyDescent="0.2">
      <c r="A11" t="s">
        <v>28</v>
      </c>
    </row>
    <row r="12" spans="1:1" x14ac:dyDescent="0.2">
      <c r="A12" s="11" t="s">
        <v>26</v>
      </c>
    </row>
    <row r="13" spans="1:1" x14ac:dyDescent="0.2">
      <c r="A13" t="s">
        <v>498</v>
      </c>
    </row>
    <row r="14" spans="1:1" x14ac:dyDescent="0.2">
      <c r="A14" t="s">
        <v>368</v>
      </c>
    </row>
    <row r="15" spans="1:1" x14ac:dyDescent="0.2">
      <c r="A15" t="s">
        <v>18</v>
      </c>
    </row>
    <row r="16" spans="1:1" x14ac:dyDescent="0.2">
      <c r="A16" t="s">
        <v>66</v>
      </c>
    </row>
    <row r="17" spans="1:1" x14ac:dyDescent="0.2">
      <c r="A17" t="s">
        <v>32</v>
      </c>
    </row>
    <row r="18" spans="1:1" x14ac:dyDescent="0.2">
      <c r="A18" t="s">
        <v>76</v>
      </c>
    </row>
    <row r="19" spans="1:1" x14ac:dyDescent="0.2">
      <c r="A19" t="s">
        <v>499</v>
      </c>
    </row>
    <row r="20" spans="1:1" x14ac:dyDescent="0.2">
      <c r="A20" t="s">
        <v>15</v>
      </c>
    </row>
    <row r="21" spans="1:1" x14ac:dyDescent="0.2">
      <c r="A21" t="s">
        <v>12</v>
      </c>
    </row>
    <row r="22" spans="1:1" x14ac:dyDescent="0.2">
      <c r="A22" t="s">
        <v>59</v>
      </c>
    </row>
    <row r="23" spans="1:1" x14ac:dyDescent="0.2">
      <c r="A23" t="s">
        <v>453</v>
      </c>
    </row>
    <row r="24" spans="1:1" x14ac:dyDescent="0.2">
      <c r="A24" t="s">
        <v>33</v>
      </c>
    </row>
    <row r="25" spans="1:1" x14ac:dyDescent="0.2">
      <c r="A25" t="s">
        <v>55</v>
      </c>
    </row>
    <row r="26" spans="1:1" x14ac:dyDescent="0.2">
      <c r="A26" t="s">
        <v>53</v>
      </c>
    </row>
    <row r="27" spans="1:1" x14ac:dyDescent="0.2">
      <c r="A27" t="s">
        <v>68</v>
      </c>
    </row>
    <row r="28" spans="1:1" x14ac:dyDescent="0.2">
      <c r="A28" t="s">
        <v>60</v>
      </c>
    </row>
    <row r="29" spans="1:1" x14ac:dyDescent="0.2">
      <c r="A29" t="s">
        <v>35</v>
      </c>
    </row>
    <row r="30" spans="1:1" x14ac:dyDescent="0.2">
      <c r="A30" t="s">
        <v>65</v>
      </c>
    </row>
    <row r="31" spans="1:1" x14ac:dyDescent="0.2">
      <c r="A31" t="s">
        <v>264</v>
      </c>
    </row>
    <row r="32" spans="1:1" x14ac:dyDescent="0.2">
      <c r="A32" t="s">
        <v>21</v>
      </c>
    </row>
    <row r="33" spans="1:1" x14ac:dyDescent="0.2">
      <c r="A33" t="s">
        <v>478</v>
      </c>
    </row>
    <row r="34" spans="1:1" x14ac:dyDescent="0.2">
      <c r="A34" t="s">
        <v>84</v>
      </c>
    </row>
    <row r="35" spans="1:1" x14ac:dyDescent="0.2">
      <c r="A35" t="s">
        <v>20</v>
      </c>
    </row>
    <row r="36" spans="1:1" x14ac:dyDescent="0.2">
      <c r="A36" t="s">
        <v>5</v>
      </c>
    </row>
    <row r="37" spans="1:1" x14ac:dyDescent="0.2">
      <c r="A37" t="s">
        <v>39</v>
      </c>
    </row>
    <row r="38" spans="1:1" x14ac:dyDescent="0.2">
      <c r="A38" t="s">
        <v>82</v>
      </c>
    </row>
    <row r="39" spans="1:1" x14ac:dyDescent="0.2">
      <c r="A39" t="s">
        <v>9</v>
      </c>
    </row>
    <row r="40" spans="1:1" x14ac:dyDescent="0.2">
      <c r="A40" t="s">
        <v>302</v>
      </c>
    </row>
    <row r="41" spans="1:1" x14ac:dyDescent="0.2">
      <c r="A41" t="s">
        <v>463</v>
      </c>
    </row>
    <row r="42" spans="1:1" x14ac:dyDescent="0.2">
      <c r="A42" t="s">
        <v>99</v>
      </c>
    </row>
    <row r="43" spans="1:1" x14ac:dyDescent="0.2">
      <c r="A43" t="s">
        <v>19</v>
      </c>
    </row>
    <row r="44" spans="1:1" x14ac:dyDescent="0.2">
      <c r="A44" t="s">
        <v>73</v>
      </c>
    </row>
    <row r="45" spans="1:1" x14ac:dyDescent="0.2">
      <c r="A45" t="s">
        <v>45</v>
      </c>
    </row>
    <row r="46" spans="1:1" x14ac:dyDescent="0.2">
      <c r="A46" t="s">
        <v>50</v>
      </c>
    </row>
    <row r="47" spans="1:1" x14ac:dyDescent="0.2">
      <c r="A47" t="s">
        <v>14</v>
      </c>
    </row>
    <row r="48" spans="1:1" x14ac:dyDescent="0.2">
      <c r="A48" t="s">
        <v>462</v>
      </c>
    </row>
    <row r="49" spans="1:1" x14ac:dyDescent="0.2">
      <c r="A49" t="s">
        <v>41</v>
      </c>
    </row>
    <row r="50" spans="1:1" x14ac:dyDescent="0.2">
      <c r="A50" t="s">
        <v>280</v>
      </c>
    </row>
    <row r="51" spans="1:1" x14ac:dyDescent="0.2">
      <c r="A51" t="s">
        <v>461</v>
      </c>
    </row>
    <row r="52" spans="1:1" x14ac:dyDescent="0.2">
      <c r="A52" t="s">
        <v>88</v>
      </c>
    </row>
    <row r="53" spans="1:1" x14ac:dyDescent="0.2">
      <c r="A53" t="s">
        <v>46</v>
      </c>
    </row>
    <row r="54" spans="1:1" x14ac:dyDescent="0.2">
      <c r="A54" t="s">
        <v>14</v>
      </c>
    </row>
    <row r="55" spans="1:1" x14ac:dyDescent="0.2">
      <c r="A55" t="s">
        <v>59</v>
      </c>
    </row>
    <row r="56" spans="1:1" x14ac:dyDescent="0.2">
      <c r="A56" t="s">
        <v>28</v>
      </c>
    </row>
    <row r="57" spans="1:1" x14ac:dyDescent="0.2">
      <c r="A57" t="s">
        <v>76</v>
      </c>
    </row>
    <row r="58" spans="1:1" x14ac:dyDescent="0.2">
      <c r="A58" t="s">
        <v>68</v>
      </c>
    </row>
    <row r="59" spans="1:1" x14ac:dyDescent="0.2">
      <c r="A59" t="s">
        <v>60</v>
      </c>
    </row>
    <row r="60" spans="1:1" x14ac:dyDescent="0.2">
      <c r="A60" t="s">
        <v>25</v>
      </c>
    </row>
    <row r="61" spans="1:1" x14ac:dyDescent="0.2">
      <c r="A61" t="s">
        <v>75</v>
      </c>
    </row>
    <row r="62" spans="1:1" x14ac:dyDescent="0.2">
      <c r="A62" t="s">
        <v>368</v>
      </c>
    </row>
    <row r="63" spans="1:1" x14ac:dyDescent="0.2">
      <c r="A63" t="s">
        <v>455</v>
      </c>
    </row>
    <row r="64" spans="1:1" x14ac:dyDescent="0.2">
      <c r="A64" t="s">
        <v>450</v>
      </c>
    </row>
    <row r="65" spans="1:1" x14ac:dyDescent="0.2">
      <c r="A65" t="s">
        <v>81</v>
      </c>
    </row>
    <row r="66" spans="1:1" x14ac:dyDescent="0.2">
      <c r="A66" t="s">
        <v>41</v>
      </c>
    </row>
    <row r="67" spans="1:1" x14ac:dyDescent="0.2">
      <c r="A67" t="s">
        <v>29</v>
      </c>
    </row>
    <row r="68" spans="1:1" x14ac:dyDescent="0.2">
      <c r="A68" t="s">
        <v>55</v>
      </c>
    </row>
    <row r="69" spans="1:1" x14ac:dyDescent="0.2">
      <c r="A69" t="s">
        <v>33</v>
      </c>
    </row>
    <row r="70" spans="1:1" x14ac:dyDescent="0.2">
      <c r="A70" t="s">
        <v>91</v>
      </c>
    </row>
    <row r="71" spans="1:1" x14ac:dyDescent="0.2">
      <c r="A71" t="s">
        <v>18</v>
      </c>
    </row>
    <row r="72" spans="1:1" x14ac:dyDescent="0.2">
      <c r="A72" t="s">
        <v>88</v>
      </c>
    </row>
    <row r="73" spans="1:1" x14ac:dyDescent="0.2">
      <c r="A73" t="s">
        <v>264</v>
      </c>
    </row>
    <row r="74" spans="1:1" x14ac:dyDescent="0.2">
      <c r="A74" t="s">
        <v>32</v>
      </c>
    </row>
    <row r="75" spans="1:1" x14ac:dyDescent="0.2">
      <c r="A75" t="s">
        <v>15</v>
      </c>
    </row>
    <row r="76" spans="1:1" x14ac:dyDescent="0.2">
      <c r="A76" t="s">
        <v>12</v>
      </c>
    </row>
    <row r="77" spans="1:1" x14ac:dyDescent="0.2">
      <c r="A77" t="s">
        <v>45</v>
      </c>
    </row>
    <row r="78" spans="1:1" x14ac:dyDescent="0.2">
      <c r="A78" t="s">
        <v>20</v>
      </c>
    </row>
    <row r="79" spans="1:1" x14ac:dyDescent="0.2">
      <c r="A79" t="s">
        <v>9</v>
      </c>
    </row>
    <row r="80" spans="1:1" x14ac:dyDescent="0.2">
      <c r="A80" t="s">
        <v>345</v>
      </c>
    </row>
    <row r="81" spans="1:1" x14ac:dyDescent="0.2">
      <c r="A81" t="s">
        <v>66</v>
      </c>
    </row>
    <row r="82" spans="1:1" x14ac:dyDescent="0.2">
      <c r="A82" t="s">
        <v>35</v>
      </c>
    </row>
    <row r="83" spans="1:1" x14ac:dyDescent="0.2">
      <c r="A83" t="s">
        <v>50</v>
      </c>
    </row>
    <row r="84" spans="1:1" x14ac:dyDescent="0.2">
      <c r="A84" t="s">
        <v>481</v>
      </c>
    </row>
    <row r="85" spans="1:1" x14ac:dyDescent="0.2">
      <c r="A85" t="s">
        <v>26</v>
      </c>
    </row>
    <row r="86" spans="1:1" x14ac:dyDescent="0.2">
      <c r="A86" t="s">
        <v>87</v>
      </c>
    </row>
    <row r="87" spans="1:1" x14ac:dyDescent="0.2">
      <c r="A87" t="s">
        <v>475</v>
      </c>
    </row>
    <row r="88" spans="1:1" x14ac:dyDescent="0.2">
      <c r="A88" t="s">
        <v>27</v>
      </c>
    </row>
    <row r="89" spans="1:1" x14ac:dyDescent="0.2">
      <c r="A89" t="s">
        <v>6</v>
      </c>
    </row>
    <row r="90" spans="1:1" x14ac:dyDescent="0.2">
      <c r="A90" t="s">
        <v>52</v>
      </c>
    </row>
    <row r="91" spans="1:1" x14ac:dyDescent="0.2">
      <c r="A91" t="s">
        <v>73</v>
      </c>
    </row>
    <row r="92" spans="1:1" x14ac:dyDescent="0.2">
      <c r="A92" t="s">
        <v>48</v>
      </c>
    </row>
    <row r="93" spans="1:1" x14ac:dyDescent="0.2">
      <c r="A93" t="s">
        <v>21</v>
      </c>
    </row>
    <row r="94" spans="1:1" x14ac:dyDescent="0.2">
      <c r="A94" t="s">
        <v>483</v>
      </c>
    </row>
    <row r="95" spans="1:1" x14ac:dyDescent="0.2">
      <c r="A95" t="s">
        <v>452</v>
      </c>
    </row>
    <row r="96" spans="1:1" x14ac:dyDescent="0.2">
      <c r="A96" t="s">
        <v>74</v>
      </c>
    </row>
    <row r="97" spans="1:1" x14ac:dyDescent="0.2">
      <c r="A97" t="s">
        <v>65</v>
      </c>
    </row>
    <row r="98" spans="1:1" x14ac:dyDescent="0.2">
      <c r="A98" t="s">
        <v>461</v>
      </c>
    </row>
    <row r="99" spans="1:1" x14ac:dyDescent="0.2">
      <c r="A99" t="s">
        <v>5</v>
      </c>
    </row>
    <row r="100" spans="1:1" x14ac:dyDescent="0.2">
      <c r="A100" t="s">
        <v>41</v>
      </c>
    </row>
    <row r="101" spans="1:1" x14ac:dyDescent="0.2">
      <c r="A101" t="s">
        <v>91</v>
      </c>
    </row>
    <row r="102" spans="1:1" x14ac:dyDescent="0.2">
      <c r="A102" t="s">
        <v>74</v>
      </c>
    </row>
    <row r="103" spans="1:1" x14ac:dyDescent="0.2">
      <c r="A103" t="s">
        <v>12</v>
      </c>
    </row>
    <row r="104" spans="1:1" x14ac:dyDescent="0.2">
      <c r="A104" t="s">
        <v>65</v>
      </c>
    </row>
    <row r="105" spans="1:1" x14ac:dyDescent="0.2">
      <c r="A105" t="s">
        <v>198</v>
      </c>
    </row>
    <row r="106" spans="1:1" x14ac:dyDescent="0.2">
      <c r="A106" t="s">
        <v>25</v>
      </c>
    </row>
    <row r="107" spans="1:1" x14ac:dyDescent="0.2">
      <c r="A107" t="s">
        <v>26</v>
      </c>
    </row>
    <row r="108" spans="1:1" x14ac:dyDescent="0.2">
      <c r="A108" t="s">
        <v>29</v>
      </c>
    </row>
    <row r="109" spans="1:1" x14ac:dyDescent="0.2">
      <c r="A109" t="s">
        <v>48</v>
      </c>
    </row>
    <row r="110" spans="1:1" x14ac:dyDescent="0.2">
      <c r="A110" t="s">
        <v>46</v>
      </c>
    </row>
    <row r="111" spans="1:1" x14ac:dyDescent="0.2">
      <c r="A111" t="s">
        <v>88</v>
      </c>
    </row>
    <row r="112" spans="1:1" x14ac:dyDescent="0.2">
      <c r="A112" t="s">
        <v>450</v>
      </c>
    </row>
    <row r="113" spans="1:1" x14ac:dyDescent="0.2">
      <c r="A113" t="s">
        <v>28</v>
      </c>
    </row>
    <row r="114" spans="1:1" x14ac:dyDescent="0.2">
      <c r="A114" t="s">
        <v>18</v>
      </c>
    </row>
    <row r="115" spans="1:1" x14ac:dyDescent="0.2">
      <c r="A115" t="s">
        <v>15</v>
      </c>
    </row>
    <row r="116" spans="1:1" x14ac:dyDescent="0.2">
      <c r="A116" t="s">
        <v>345</v>
      </c>
    </row>
    <row r="117" spans="1:1" x14ac:dyDescent="0.2">
      <c r="A117" t="s">
        <v>55</v>
      </c>
    </row>
    <row r="118" spans="1:1" x14ac:dyDescent="0.2">
      <c r="A118" t="s">
        <v>45</v>
      </c>
    </row>
    <row r="119" spans="1:1" x14ac:dyDescent="0.2">
      <c r="A119" t="s">
        <v>75</v>
      </c>
    </row>
    <row r="120" spans="1:1" x14ac:dyDescent="0.2">
      <c r="A120" t="s">
        <v>368</v>
      </c>
    </row>
    <row r="121" spans="1:1" x14ac:dyDescent="0.2">
      <c r="A121" t="s">
        <v>9</v>
      </c>
    </row>
    <row r="122" spans="1:1" x14ac:dyDescent="0.2">
      <c r="A122" t="s">
        <v>459</v>
      </c>
    </row>
    <row r="123" spans="1:1" x14ac:dyDescent="0.2">
      <c r="A123" t="s">
        <v>50</v>
      </c>
    </row>
    <row r="124" spans="1:1" x14ac:dyDescent="0.2">
      <c r="A124" t="s">
        <v>21</v>
      </c>
    </row>
    <row r="125" spans="1:1" x14ac:dyDescent="0.2">
      <c r="A125" t="s">
        <v>483</v>
      </c>
    </row>
    <row r="126" spans="1:1" x14ac:dyDescent="0.2">
      <c r="A126" t="s">
        <v>87</v>
      </c>
    </row>
    <row r="127" spans="1:1" x14ac:dyDescent="0.2">
      <c r="A127" t="s">
        <v>46</v>
      </c>
    </row>
    <row r="128" spans="1:1" x14ac:dyDescent="0.2">
      <c r="A128" t="s">
        <v>450</v>
      </c>
    </row>
    <row r="129" spans="1:1" x14ac:dyDescent="0.2">
      <c r="A129" t="s">
        <v>454</v>
      </c>
    </row>
    <row r="130" spans="1:1" x14ac:dyDescent="0.2">
      <c r="A130" t="s">
        <v>28</v>
      </c>
    </row>
    <row r="131" spans="1:1" x14ac:dyDescent="0.2">
      <c r="A131" t="s">
        <v>48</v>
      </c>
    </row>
    <row r="132" spans="1:1" x14ac:dyDescent="0.2">
      <c r="A132" t="s">
        <v>45</v>
      </c>
    </row>
    <row r="133" spans="1:1" x14ac:dyDescent="0.2">
      <c r="A133" t="s">
        <v>484</v>
      </c>
    </row>
    <row r="134" spans="1:1" x14ac:dyDescent="0.2">
      <c r="A134" t="s">
        <v>55</v>
      </c>
    </row>
    <row r="135" spans="1:1" x14ac:dyDescent="0.2">
      <c r="A135" t="s">
        <v>101</v>
      </c>
    </row>
    <row r="136" spans="1:1" x14ac:dyDescent="0.2">
      <c r="A136" t="s">
        <v>476</v>
      </c>
    </row>
    <row r="137" spans="1:1" x14ac:dyDescent="0.2">
      <c r="A137" t="s">
        <v>60</v>
      </c>
    </row>
    <row r="138" spans="1:1" x14ac:dyDescent="0.2">
      <c r="A138" t="s">
        <v>32</v>
      </c>
    </row>
    <row r="139" spans="1:1" x14ac:dyDescent="0.2">
      <c r="A139" t="s">
        <v>368</v>
      </c>
    </row>
    <row r="140" spans="1:1" x14ac:dyDescent="0.2">
      <c r="A140" t="s">
        <v>25</v>
      </c>
    </row>
    <row r="141" spans="1:1" x14ac:dyDescent="0.2">
      <c r="A141" t="s">
        <v>33</v>
      </c>
    </row>
    <row r="142" spans="1:1" x14ac:dyDescent="0.2">
      <c r="A142" t="s">
        <v>74</v>
      </c>
    </row>
    <row r="143" spans="1:1" x14ac:dyDescent="0.2">
      <c r="A143" t="s">
        <v>451</v>
      </c>
    </row>
    <row r="144" spans="1:1" x14ac:dyDescent="0.2">
      <c r="A144" t="s">
        <v>18</v>
      </c>
    </row>
    <row r="145" spans="1:1" x14ac:dyDescent="0.2">
      <c r="A145" t="s">
        <v>68</v>
      </c>
    </row>
    <row r="146" spans="1:1" x14ac:dyDescent="0.2">
      <c r="A146" t="s">
        <v>473</v>
      </c>
    </row>
    <row r="147" spans="1:1" x14ac:dyDescent="0.2">
      <c r="A147" t="s">
        <v>12</v>
      </c>
    </row>
    <row r="148" spans="1:1" x14ac:dyDescent="0.2">
      <c r="A148" t="s">
        <v>76</v>
      </c>
    </row>
    <row r="149" spans="1:1" x14ac:dyDescent="0.2">
      <c r="A149" t="s">
        <v>75</v>
      </c>
    </row>
    <row r="150" spans="1:1" x14ac:dyDescent="0.2">
      <c r="A150" t="s">
        <v>87</v>
      </c>
    </row>
    <row r="151" spans="1:1" x14ac:dyDescent="0.2">
      <c r="A151" t="s">
        <v>41</v>
      </c>
    </row>
    <row r="152" spans="1:1" x14ac:dyDescent="0.2">
      <c r="A152" t="s">
        <v>65</v>
      </c>
    </row>
    <row r="153" spans="1:1" x14ac:dyDescent="0.2">
      <c r="A153" t="s">
        <v>21</v>
      </c>
    </row>
    <row r="154" spans="1:1" x14ac:dyDescent="0.2">
      <c r="A154" t="s">
        <v>52</v>
      </c>
    </row>
    <row r="155" spans="1:1" x14ac:dyDescent="0.2">
      <c r="A155" t="s">
        <v>98</v>
      </c>
    </row>
    <row r="156" spans="1:1" x14ac:dyDescent="0.2">
      <c r="A156" t="s">
        <v>59</v>
      </c>
    </row>
    <row r="157" spans="1:1" x14ac:dyDescent="0.2">
      <c r="A157" t="s">
        <v>66</v>
      </c>
    </row>
    <row r="158" spans="1:1" x14ac:dyDescent="0.2">
      <c r="A158" t="s">
        <v>50</v>
      </c>
    </row>
    <row r="159" spans="1:1" x14ac:dyDescent="0.2">
      <c r="A159" t="s">
        <v>14</v>
      </c>
    </row>
    <row r="160" spans="1:1" x14ac:dyDescent="0.2">
      <c r="A160" t="s">
        <v>6</v>
      </c>
    </row>
    <row r="161" spans="1:1" x14ac:dyDescent="0.2">
      <c r="A161" t="s">
        <v>88</v>
      </c>
    </row>
    <row r="162" spans="1:1" x14ac:dyDescent="0.2">
      <c r="A162" t="s">
        <v>40</v>
      </c>
    </row>
    <row r="163" spans="1:1" x14ac:dyDescent="0.2">
      <c r="A163" t="s">
        <v>73</v>
      </c>
    </row>
    <row r="164" spans="1:1" x14ac:dyDescent="0.2">
      <c r="A164" t="s">
        <v>26</v>
      </c>
    </row>
    <row r="165" spans="1:1" x14ac:dyDescent="0.2">
      <c r="A165" t="s">
        <v>48</v>
      </c>
    </row>
    <row r="166" spans="1:1" x14ac:dyDescent="0.2">
      <c r="A166" t="s">
        <v>476</v>
      </c>
    </row>
    <row r="167" spans="1:1" x14ac:dyDescent="0.2">
      <c r="A167" t="s">
        <v>371</v>
      </c>
    </row>
    <row r="168" spans="1:1" x14ac:dyDescent="0.2">
      <c r="A168" t="s">
        <v>45</v>
      </c>
    </row>
    <row r="169" spans="1:1" x14ac:dyDescent="0.2">
      <c r="A169" t="s">
        <v>457</v>
      </c>
    </row>
    <row r="170" spans="1:1" x14ac:dyDescent="0.2">
      <c r="A170" t="s">
        <v>345</v>
      </c>
    </row>
    <row r="171" spans="1:1" x14ac:dyDescent="0.2">
      <c r="A171" t="s">
        <v>454</v>
      </c>
    </row>
    <row r="172" spans="1:1" x14ac:dyDescent="0.2">
      <c r="A172" t="s">
        <v>6</v>
      </c>
    </row>
    <row r="173" spans="1:1" x14ac:dyDescent="0.2">
      <c r="A173" t="s">
        <v>450</v>
      </c>
    </row>
    <row r="174" spans="1:1" x14ac:dyDescent="0.2">
      <c r="A174" t="s">
        <v>12</v>
      </c>
    </row>
    <row r="175" spans="1:1" x14ac:dyDescent="0.2">
      <c r="A175" t="s">
        <v>32</v>
      </c>
    </row>
    <row r="176" spans="1:1" x14ac:dyDescent="0.2">
      <c r="A176" t="s">
        <v>473</v>
      </c>
    </row>
    <row r="177" spans="1:1" x14ac:dyDescent="0.2">
      <c r="A177" t="s">
        <v>18</v>
      </c>
    </row>
    <row r="178" spans="1:1" x14ac:dyDescent="0.2">
      <c r="A178" t="s">
        <v>55</v>
      </c>
    </row>
    <row r="179" spans="1:1" x14ac:dyDescent="0.2">
      <c r="A179" t="s">
        <v>87</v>
      </c>
    </row>
    <row r="180" spans="1:1" x14ac:dyDescent="0.2">
      <c r="A180" t="s">
        <v>28</v>
      </c>
    </row>
    <row r="181" spans="1:1" x14ac:dyDescent="0.2">
      <c r="A181" t="s">
        <v>484</v>
      </c>
    </row>
    <row r="182" spans="1:1" x14ac:dyDescent="0.2">
      <c r="A182" t="s">
        <v>68</v>
      </c>
    </row>
    <row r="183" spans="1:1" x14ac:dyDescent="0.2">
      <c r="A183" t="s">
        <v>19</v>
      </c>
    </row>
    <row r="184" spans="1:1" x14ac:dyDescent="0.2">
      <c r="A184" t="s">
        <v>66</v>
      </c>
    </row>
    <row r="185" spans="1:1" x14ac:dyDescent="0.2">
      <c r="A185" t="s">
        <v>461</v>
      </c>
    </row>
    <row r="186" spans="1:1" x14ac:dyDescent="0.2">
      <c r="A186" t="s">
        <v>41</v>
      </c>
    </row>
    <row r="187" spans="1:1" x14ac:dyDescent="0.2">
      <c r="A187" t="s">
        <v>459</v>
      </c>
    </row>
    <row r="188" spans="1:1" x14ac:dyDescent="0.2">
      <c r="A188" t="s">
        <v>14</v>
      </c>
    </row>
    <row r="189" spans="1:1" x14ac:dyDescent="0.2">
      <c r="A189" t="s">
        <v>75</v>
      </c>
    </row>
    <row r="190" spans="1:1" x14ac:dyDescent="0.2">
      <c r="A190" t="s">
        <v>50</v>
      </c>
    </row>
    <row r="191" spans="1:1" x14ac:dyDescent="0.2">
      <c r="A191" t="s">
        <v>9</v>
      </c>
    </row>
    <row r="192" spans="1:1" x14ac:dyDescent="0.2">
      <c r="A192" t="s">
        <v>65</v>
      </c>
    </row>
    <row r="193" spans="1:1" x14ac:dyDescent="0.2">
      <c r="A193" t="s">
        <v>264</v>
      </c>
    </row>
    <row r="194" spans="1:1" x14ac:dyDescent="0.2">
      <c r="A194" t="s">
        <v>368</v>
      </c>
    </row>
    <row r="195" spans="1:1" x14ac:dyDescent="0.2">
      <c r="A195" t="s">
        <v>40</v>
      </c>
    </row>
    <row r="196" spans="1:1" x14ac:dyDescent="0.2">
      <c r="A196" t="s">
        <v>59</v>
      </c>
    </row>
    <row r="197" spans="1:1" x14ac:dyDescent="0.2">
      <c r="A197" t="s">
        <v>74</v>
      </c>
    </row>
    <row r="198" spans="1:1" x14ac:dyDescent="0.2">
      <c r="A198" t="s">
        <v>33</v>
      </c>
    </row>
    <row r="199" spans="1:1" x14ac:dyDescent="0.2">
      <c r="A199" t="s">
        <v>34</v>
      </c>
    </row>
    <row r="200" spans="1:1" x14ac:dyDescent="0.2">
      <c r="A200" t="s">
        <v>21</v>
      </c>
    </row>
    <row r="201" spans="1:1" x14ac:dyDescent="0.2">
      <c r="A201" t="s">
        <v>46</v>
      </c>
    </row>
    <row r="202" spans="1:1" x14ac:dyDescent="0.2">
      <c r="A202" t="s">
        <v>76</v>
      </c>
    </row>
    <row r="203" spans="1:1" x14ac:dyDescent="0.2">
      <c r="A203" t="s">
        <v>452</v>
      </c>
    </row>
    <row r="204" spans="1:1" x14ac:dyDescent="0.2">
      <c r="A204" t="s">
        <v>91</v>
      </c>
    </row>
    <row r="205" spans="1:1" x14ac:dyDescent="0.2">
      <c r="A205" t="s">
        <v>26</v>
      </c>
    </row>
    <row r="206" spans="1:1" x14ac:dyDescent="0.2">
      <c r="A206" t="s">
        <v>42</v>
      </c>
    </row>
    <row r="207" spans="1:1" x14ac:dyDescent="0.2">
      <c r="A207" t="s">
        <v>73</v>
      </c>
    </row>
    <row r="208" spans="1:1" x14ac:dyDescent="0.2">
      <c r="A208" t="s">
        <v>60</v>
      </c>
    </row>
    <row r="209" spans="1:1" x14ac:dyDescent="0.2">
      <c r="A209" t="s">
        <v>52</v>
      </c>
    </row>
    <row r="210" spans="1:1" x14ac:dyDescent="0.2">
      <c r="A210" t="s">
        <v>45</v>
      </c>
    </row>
    <row r="211" spans="1:1" x14ac:dyDescent="0.2">
      <c r="A211" t="s">
        <v>74</v>
      </c>
    </row>
    <row r="212" spans="1:1" x14ac:dyDescent="0.2">
      <c r="A212" t="s">
        <v>75</v>
      </c>
    </row>
    <row r="213" spans="1:1" x14ac:dyDescent="0.2">
      <c r="A213" t="s">
        <v>14</v>
      </c>
    </row>
    <row r="214" spans="1:1" x14ac:dyDescent="0.2">
      <c r="A214" t="s">
        <v>68</v>
      </c>
    </row>
    <row r="215" spans="1:1" x14ac:dyDescent="0.2">
      <c r="A215" t="s">
        <v>87</v>
      </c>
    </row>
    <row r="216" spans="1:1" x14ac:dyDescent="0.2">
      <c r="A216" t="s">
        <v>483</v>
      </c>
    </row>
    <row r="217" spans="1:1" x14ac:dyDescent="0.2">
      <c r="A217" t="s">
        <v>59</v>
      </c>
    </row>
    <row r="218" spans="1:1" x14ac:dyDescent="0.2">
      <c r="A218" t="s">
        <v>18</v>
      </c>
    </row>
    <row r="219" spans="1:1" x14ac:dyDescent="0.2">
      <c r="A219" t="s">
        <v>264</v>
      </c>
    </row>
    <row r="220" spans="1:1" x14ac:dyDescent="0.2">
      <c r="A220" t="s">
        <v>41</v>
      </c>
    </row>
    <row r="221" spans="1:1" x14ac:dyDescent="0.2">
      <c r="A221" t="s">
        <v>27</v>
      </c>
    </row>
    <row r="222" spans="1:1" x14ac:dyDescent="0.2">
      <c r="A222" t="s">
        <v>461</v>
      </c>
    </row>
    <row r="223" spans="1:1" x14ac:dyDescent="0.2">
      <c r="A223" t="s">
        <v>46</v>
      </c>
    </row>
    <row r="224" spans="1:1" x14ac:dyDescent="0.2">
      <c r="A224" t="s">
        <v>48</v>
      </c>
    </row>
    <row r="225" spans="1:1" x14ac:dyDescent="0.2">
      <c r="A225" t="s">
        <v>12</v>
      </c>
    </row>
    <row r="226" spans="1:1" x14ac:dyDescent="0.2">
      <c r="A226" t="s">
        <v>485</v>
      </c>
    </row>
    <row r="227" spans="1:1" x14ac:dyDescent="0.2">
      <c r="A227" t="s">
        <v>33</v>
      </c>
    </row>
    <row r="228" spans="1:1" x14ac:dyDescent="0.2">
      <c r="A228" t="s">
        <v>60</v>
      </c>
    </row>
    <row r="229" spans="1:1" x14ac:dyDescent="0.2">
      <c r="A229" t="s">
        <v>454</v>
      </c>
    </row>
    <row r="230" spans="1:1" x14ac:dyDescent="0.2">
      <c r="A230" t="s">
        <v>28</v>
      </c>
    </row>
    <row r="231" spans="1:1" x14ac:dyDescent="0.2">
      <c r="A231" t="s">
        <v>50</v>
      </c>
    </row>
    <row r="232" spans="1:1" x14ac:dyDescent="0.2">
      <c r="A232" t="s">
        <v>484</v>
      </c>
    </row>
    <row r="233" spans="1:1" x14ac:dyDescent="0.2">
      <c r="A233" t="s">
        <v>66</v>
      </c>
    </row>
    <row r="234" spans="1:1" x14ac:dyDescent="0.2">
      <c r="A234" t="s">
        <v>5</v>
      </c>
    </row>
    <row r="235" spans="1:1" x14ac:dyDescent="0.2">
      <c r="A235" t="s">
        <v>55</v>
      </c>
    </row>
    <row r="236" spans="1:1" x14ac:dyDescent="0.2">
      <c r="A236" t="s">
        <v>35</v>
      </c>
    </row>
    <row r="237" spans="1:1" x14ac:dyDescent="0.2">
      <c r="A237" t="s">
        <v>52</v>
      </c>
    </row>
    <row r="238" spans="1:1" x14ac:dyDescent="0.2">
      <c r="A238" t="s">
        <v>21</v>
      </c>
    </row>
    <row r="239" spans="1:1" x14ac:dyDescent="0.2">
      <c r="A239" t="s">
        <v>73</v>
      </c>
    </row>
    <row r="240" spans="1:1" x14ac:dyDescent="0.2">
      <c r="A240" t="s">
        <v>40</v>
      </c>
    </row>
    <row r="241" spans="1:1" x14ac:dyDescent="0.2">
      <c r="A241" t="s">
        <v>473</v>
      </c>
    </row>
    <row r="242" spans="1:1" x14ac:dyDescent="0.2">
      <c r="A242" t="s">
        <v>481</v>
      </c>
    </row>
    <row r="243" spans="1:1" x14ac:dyDescent="0.2">
      <c r="A243" t="s">
        <v>91</v>
      </c>
    </row>
    <row r="244" spans="1:1" x14ac:dyDescent="0.2">
      <c r="A244" t="s">
        <v>18</v>
      </c>
    </row>
    <row r="245" spans="1:1" x14ac:dyDescent="0.2">
      <c r="A245" t="s">
        <v>6</v>
      </c>
    </row>
    <row r="246" spans="1:1" x14ac:dyDescent="0.2">
      <c r="A246" t="s">
        <v>28</v>
      </c>
    </row>
    <row r="247" spans="1:1" x14ac:dyDescent="0.2">
      <c r="A247" t="s">
        <v>48</v>
      </c>
    </row>
    <row r="248" spans="1:1" x14ac:dyDescent="0.2">
      <c r="A248" t="s">
        <v>46</v>
      </c>
    </row>
    <row r="249" spans="1:1" x14ac:dyDescent="0.2">
      <c r="A249" t="s">
        <v>35</v>
      </c>
    </row>
    <row r="250" spans="1:1" x14ac:dyDescent="0.2">
      <c r="A250" t="s">
        <v>33</v>
      </c>
    </row>
    <row r="251" spans="1:1" x14ac:dyDescent="0.2">
      <c r="A251" t="s">
        <v>491</v>
      </c>
    </row>
    <row r="252" spans="1:1" x14ac:dyDescent="0.2">
      <c r="A252" t="s">
        <v>45</v>
      </c>
    </row>
    <row r="253" spans="1:1" x14ac:dyDescent="0.2">
      <c r="A253" t="s">
        <v>264</v>
      </c>
    </row>
    <row r="254" spans="1:1" x14ac:dyDescent="0.2">
      <c r="A254" t="s">
        <v>485</v>
      </c>
    </row>
    <row r="255" spans="1:1" x14ac:dyDescent="0.2">
      <c r="A255" t="s">
        <v>59</v>
      </c>
    </row>
    <row r="256" spans="1:1" x14ac:dyDescent="0.2">
      <c r="A256" t="s">
        <v>14</v>
      </c>
    </row>
    <row r="257" spans="1:1" x14ac:dyDescent="0.2">
      <c r="A257" t="s">
        <v>55</v>
      </c>
    </row>
    <row r="258" spans="1:1" x14ac:dyDescent="0.2">
      <c r="A258" t="s">
        <v>26</v>
      </c>
    </row>
    <row r="259" spans="1:1" x14ac:dyDescent="0.2">
      <c r="A259" t="s">
        <v>12</v>
      </c>
    </row>
    <row r="260" spans="1:1" x14ac:dyDescent="0.2">
      <c r="A260" t="s">
        <v>81</v>
      </c>
    </row>
    <row r="261" spans="1:1" x14ac:dyDescent="0.2">
      <c r="A261" t="s">
        <v>68</v>
      </c>
    </row>
    <row r="262" spans="1:1" x14ac:dyDescent="0.2">
      <c r="A262" t="s">
        <v>74</v>
      </c>
    </row>
    <row r="263" spans="1:1" x14ac:dyDescent="0.2">
      <c r="A263" t="s">
        <v>76</v>
      </c>
    </row>
    <row r="264" spans="1:1" x14ac:dyDescent="0.2">
      <c r="A264" t="s">
        <v>41</v>
      </c>
    </row>
    <row r="265" spans="1:1" x14ac:dyDescent="0.2">
      <c r="A265" t="s">
        <v>21</v>
      </c>
    </row>
    <row r="266" spans="1:1" x14ac:dyDescent="0.2">
      <c r="A266" t="s">
        <v>19</v>
      </c>
    </row>
    <row r="267" spans="1:1" x14ac:dyDescent="0.2">
      <c r="A267" t="s">
        <v>40</v>
      </c>
    </row>
    <row r="268" spans="1:1" x14ac:dyDescent="0.2">
      <c r="A268" t="s">
        <v>75</v>
      </c>
    </row>
    <row r="269" spans="1:1" x14ac:dyDescent="0.2">
      <c r="A269" t="s">
        <v>27</v>
      </c>
    </row>
    <row r="270" spans="1:1" x14ac:dyDescent="0.2">
      <c r="A270" t="s">
        <v>368</v>
      </c>
    </row>
    <row r="271" spans="1:1" x14ac:dyDescent="0.2">
      <c r="A271" t="s">
        <v>60</v>
      </c>
    </row>
    <row r="272" spans="1:1" x14ac:dyDescent="0.2">
      <c r="A272" t="s">
        <v>68</v>
      </c>
    </row>
    <row r="273" spans="1:1" x14ac:dyDescent="0.2">
      <c r="A273" t="s">
        <v>40</v>
      </c>
    </row>
    <row r="274" spans="1:1" x14ac:dyDescent="0.2">
      <c r="A274" t="s">
        <v>60</v>
      </c>
    </row>
    <row r="275" spans="1:1" x14ac:dyDescent="0.2">
      <c r="A275" t="s">
        <v>18</v>
      </c>
    </row>
    <row r="276" spans="1:1" x14ac:dyDescent="0.2">
      <c r="A276" t="s">
        <v>485</v>
      </c>
    </row>
    <row r="277" spans="1:1" x14ac:dyDescent="0.2">
      <c r="A277" t="s">
        <v>28</v>
      </c>
    </row>
    <row r="278" spans="1:1" x14ac:dyDescent="0.2">
      <c r="A278" t="s">
        <v>46</v>
      </c>
    </row>
    <row r="279" spans="1:1" x14ac:dyDescent="0.2">
      <c r="A279" t="s">
        <v>368</v>
      </c>
    </row>
    <row r="280" spans="1:1" x14ac:dyDescent="0.2">
      <c r="A280" t="s">
        <v>19</v>
      </c>
    </row>
    <row r="281" spans="1:1" x14ac:dyDescent="0.2">
      <c r="A281" t="s">
        <v>15</v>
      </c>
    </row>
    <row r="282" spans="1:1" x14ac:dyDescent="0.2">
      <c r="A282" t="s">
        <v>76</v>
      </c>
    </row>
    <row r="283" spans="1:1" x14ac:dyDescent="0.2">
      <c r="A283" t="s">
        <v>65</v>
      </c>
    </row>
    <row r="284" spans="1:1" x14ac:dyDescent="0.2">
      <c r="A284" t="s">
        <v>35</v>
      </c>
    </row>
    <row r="285" spans="1:1" x14ac:dyDescent="0.2">
      <c r="A285" t="s">
        <v>59</v>
      </c>
    </row>
    <row r="286" spans="1:1" x14ac:dyDescent="0.2">
      <c r="A286" t="s">
        <v>52</v>
      </c>
    </row>
    <row r="287" spans="1:1" x14ac:dyDescent="0.2">
      <c r="A287" t="s">
        <v>74</v>
      </c>
    </row>
    <row r="288" spans="1:1" x14ac:dyDescent="0.2">
      <c r="A288" t="s">
        <v>12</v>
      </c>
    </row>
    <row r="289" spans="1:1" x14ac:dyDescent="0.2">
      <c r="A289" t="s">
        <v>75</v>
      </c>
    </row>
    <row r="290" spans="1:1" x14ac:dyDescent="0.2">
      <c r="A290" t="s">
        <v>21</v>
      </c>
    </row>
    <row r="291" spans="1:1" x14ac:dyDescent="0.2">
      <c r="A291" t="s">
        <v>454</v>
      </c>
    </row>
    <row r="292" spans="1:1" x14ac:dyDescent="0.2">
      <c r="A292" t="s">
        <v>461</v>
      </c>
    </row>
    <row r="293" spans="1:1" x14ac:dyDescent="0.2">
      <c r="A293" t="s">
        <v>280</v>
      </c>
    </row>
    <row r="294" spans="1:1" x14ac:dyDescent="0.2">
      <c r="A294" t="s">
        <v>42</v>
      </c>
    </row>
    <row r="295" spans="1:1" x14ac:dyDescent="0.2">
      <c r="A295" t="s">
        <v>264</v>
      </c>
    </row>
    <row r="296" spans="1:1" x14ac:dyDescent="0.2">
      <c r="A296" t="s">
        <v>6</v>
      </c>
    </row>
    <row r="297" spans="1:1" x14ac:dyDescent="0.2">
      <c r="A297" t="s">
        <v>87</v>
      </c>
    </row>
    <row r="298" spans="1:1" x14ac:dyDescent="0.2">
      <c r="A298" t="s">
        <v>91</v>
      </c>
    </row>
    <row r="299" spans="1:1" x14ac:dyDescent="0.2">
      <c r="A299" t="s">
        <v>473</v>
      </c>
    </row>
    <row r="300" spans="1:1" x14ac:dyDescent="0.2">
      <c r="A300" t="s">
        <v>490</v>
      </c>
    </row>
    <row r="301" spans="1:1" x14ac:dyDescent="0.2">
      <c r="A301" t="s">
        <v>452</v>
      </c>
    </row>
    <row r="302" spans="1:1" x14ac:dyDescent="0.2">
      <c r="A302" t="s">
        <v>14</v>
      </c>
    </row>
    <row r="303" spans="1:1" x14ac:dyDescent="0.2">
      <c r="A303" t="s">
        <v>41</v>
      </c>
    </row>
    <row r="304" spans="1:1" x14ac:dyDescent="0.2">
      <c r="A304" t="s">
        <v>66</v>
      </c>
    </row>
    <row r="305" spans="1:1" x14ac:dyDescent="0.2">
      <c r="A305" t="s">
        <v>68</v>
      </c>
    </row>
    <row r="306" spans="1:1" x14ac:dyDescent="0.2">
      <c r="A306" t="s">
        <v>65</v>
      </c>
    </row>
    <row r="307" spans="1:1" x14ac:dyDescent="0.2">
      <c r="A307" t="s">
        <v>59</v>
      </c>
    </row>
    <row r="308" spans="1:1" x14ac:dyDescent="0.2">
      <c r="A308" t="s">
        <v>485</v>
      </c>
    </row>
    <row r="309" spans="1:1" x14ac:dyDescent="0.2">
      <c r="A309" t="s">
        <v>280</v>
      </c>
    </row>
    <row r="310" spans="1:1" x14ac:dyDescent="0.2">
      <c r="A310" t="s">
        <v>46</v>
      </c>
    </row>
    <row r="311" spans="1:1" x14ac:dyDescent="0.2">
      <c r="A311" t="s">
        <v>21</v>
      </c>
    </row>
    <row r="312" spans="1:1" x14ac:dyDescent="0.2">
      <c r="A312" t="s">
        <v>33</v>
      </c>
    </row>
    <row r="313" spans="1:1" x14ac:dyDescent="0.2">
      <c r="A313" t="s">
        <v>75</v>
      </c>
    </row>
    <row r="314" spans="1:1" x14ac:dyDescent="0.2">
      <c r="A314" t="s">
        <v>52</v>
      </c>
    </row>
    <row r="315" spans="1:1" x14ac:dyDescent="0.2">
      <c r="A315" t="s">
        <v>473</v>
      </c>
    </row>
    <row r="316" spans="1:1" x14ac:dyDescent="0.2">
      <c r="A316" t="s">
        <v>35</v>
      </c>
    </row>
    <row r="317" spans="1:1" x14ac:dyDescent="0.2">
      <c r="A317" t="s">
        <v>18</v>
      </c>
    </row>
    <row r="318" spans="1:1" x14ac:dyDescent="0.2">
      <c r="A318" t="s">
        <v>74</v>
      </c>
    </row>
    <row r="319" spans="1:1" x14ac:dyDescent="0.2">
      <c r="A319" t="s">
        <v>28</v>
      </c>
    </row>
    <row r="320" spans="1:1" x14ac:dyDescent="0.2">
      <c r="A320" t="s">
        <v>452</v>
      </c>
    </row>
    <row r="321" spans="1:1" x14ac:dyDescent="0.2">
      <c r="A321" t="s">
        <v>19</v>
      </c>
    </row>
    <row r="322" spans="1:1" x14ac:dyDescent="0.2">
      <c r="A322" t="s">
        <v>264</v>
      </c>
    </row>
    <row r="323" spans="1:1" x14ac:dyDescent="0.2">
      <c r="A323" t="s">
        <v>14</v>
      </c>
    </row>
    <row r="324" spans="1:1" x14ac:dyDescent="0.2">
      <c r="A324" t="s">
        <v>91</v>
      </c>
    </row>
    <row r="325" spans="1:1" x14ac:dyDescent="0.2">
      <c r="A325" t="s">
        <v>45</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78A2-7536-0A4F-907A-2074E686C8D8}">
  <dimension ref="A1:B78"/>
  <sheetViews>
    <sheetView workbookViewId="0">
      <selection activeCell="B73" sqref="B73"/>
    </sheetView>
  </sheetViews>
  <sheetFormatPr baseColWidth="10" defaultRowHeight="16" x14ac:dyDescent="0.2"/>
  <sheetData>
    <row r="1" spans="1:2" x14ac:dyDescent="0.2">
      <c r="A1" t="s">
        <v>46</v>
      </c>
      <c r="B1">
        <f>COUNTIF(Sheet7!$A:$A,Sheet8!A1)</f>
        <v>9</v>
      </c>
    </row>
    <row r="2" spans="1:2" x14ac:dyDescent="0.2">
      <c r="A2" t="s">
        <v>75</v>
      </c>
      <c r="B2">
        <f>COUNTIF(Sheet7!$A:$A,Sheet8!A2)</f>
        <v>9</v>
      </c>
    </row>
    <row r="3" spans="1:2" x14ac:dyDescent="0.2">
      <c r="A3" t="s">
        <v>18</v>
      </c>
      <c r="B3">
        <f>COUNTIF(Sheet7!$A:$A,Sheet8!A3)</f>
        <v>9</v>
      </c>
    </row>
    <row r="4" spans="1:2" x14ac:dyDescent="0.2">
      <c r="A4" t="s">
        <v>59</v>
      </c>
      <c r="B4">
        <f>COUNTIF(Sheet7!$A:$A,Sheet8!A4)</f>
        <v>8</v>
      </c>
    </row>
    <row r="5" spans="1:2" x14ac:dyDescent="0.2">
      <c r="A5" t="s">
        <v>45</v>
      </c>
      <c r="B5">
        <f>COUNTIF(Sheet7!$A:$A,Sheet8!A5)</f>
        <v>8</v>
      </c>
    </row>
    <row r="6" spans="1:2" x14ac:dyDescent="0.2">
      <c r="A6" t="s">
        <v>52</v>
      </c>
      <c r="B6">
        <f>COUNTIF(Sheet7!$A:$A,Sheet8!A6)</f>
        <v>7</v>
      </c>
    </row>
    <row r="7" spans="1:2" x14ac:dyDescent="0.2">
      <c r="A7" t="s">
        <v>14</v>
      </c>
      <c r="B7">
        <f>COUNTIF(Sheet7!$A:$A,Sheet8!A7)</f>
        <v>8</v>
      </c>
    </row>
    <row r="8" spans="1:2" x14ac:dyDescent="0.2">
      <c r="A8" t="s">
        <v>87</v>
      </c>
      <c r="B8">
        <f>COUNTIF(Sheet7!$A:$A,Sheet8!A8)</f>
        <v>7</v>
      </c>
    </row>
    <row r="9" spans="1:2" x14ac:dyDescent="0.2">
      <c r="A9" t="s">
        <v>74</v>
      </c>
      <c r="B9">
        <f>COUNTIF(Sheet7!$A:$A,Sheet8!A9)</f>
        <v>9</v>
      </c>
    </row>
    <row r="10" spans="1:2" x14ac:dyDescent="0.2">
      <c r="A10" t="s">
        <v>41</v>
      </c>
      <c r="B10">
        <f>COUNTIF(Sheet7!$A:$A,Sheet8!A10)</f>
        <v>8</v>
      </c>
    </row>
    <row r="11" spans="1:2" x14ac:dyDescent="0.2">
      <c r="A11" t="s">
        <v>368</v>
      </c>
      <c r="B11">
        <f>COUNTIF(Sheet7!$A:$A,Sheet8!A11)</f>
        <v>7</v>
      </c>
    </row>
    <row r="12" spans="1:2" x14ac:dyDescent="0.2">
      <c r="A12" t="s">
        <v>60</v>
      </c>
      <c r="B12">
        <f>COUNTIF(Sheet7!$A:$A,Sheet8!A12)</f>
        <v>7</v>
      </c>
    </row>
    <row r="13" spans="1:2" x14ac:dyDescent="0.2">
      <c r="A13" t="s">
        <v>50</v>
      </c>
      <c r="B13">
        <f>COUNTIF(Sheet7!$A:$A,Sheet8!A13)</f>
        <v>6</v>
      </c>
    </row>
    <row r="14" spans="1:2" x14ac:dyDescent="0.2">
      <c r="A14" t="s">
        <v>6</v>
      </c>
      <c r="B14">
        <f>COUNTIF(Sheet7!$A:$A,Sheet8!A14)</f>
        <v>5</v>
      </c>
    </row>
    <row r="15" spans="1:2" x14ac:dyDescent="0.2">
      <c r="A15" t="s">
        <v>68</v>
      </c>
      <c r="B15">
        <f>COUNTIF(Sheet7!$A:$A,Sheet8!A15)</f>
        <v>8</v>
      </c>
    </row>
    <row r="16" spans="1:2" x14ac:dyDescent="0.2">
      <c r="A16" t="s">
        <v>48</v>
      </c>
      <c r="B16">
        <f>COUNTIF(Sheet7!$A:$A,Sheet8!A16)</f>
        <v>7</v>
      </c>
    </row>
    <row r="17" spans="1:2" x14ac:dyDescent="0.2">
      <c r="A17" t="s">
        <v>66</v>
      </c>
      <c r="B17">
        <f>COUNTIF(Sheet7!$A:$A,Sheet8!A17)</f>
        <v>6</v>
      </c>
    </row>
    <row r="18" spans="1:2" x14ac:dyDescent="0.2">
      <c r="A18" t="s">
        <v>55</v>
      </c>
      <c r="B18">
        <f>COUNTIF(Sheet7!$A:$A,Sheet8!A18)</f>
        <v>7</v>
      </c>
    </row>
    <row r="19" spans="1:2" x14ac:dyDescent="0.2">
      <c r="A19" t="s">
        <v>65</v>
      </c>
      <c r="B19">
        <f>COUNTIF(Sheet7!$A:$A,Sheet8!A19)</f>
        <v>7</v>
      </c>
    </row>
    <row r="20" spans="1:2" x14ac:dyDescent="0.2">
      <c r="A20" t="s">
        <v>33</v>
      </c>
      <c r="B20">
        <f>COUNTIF(Sheet7!$A:$A,Sheet8!A20)</f>
        <v>7</v>
      </c>
    </row>
    <row r="21" spans="1:2" x14ac:dyDescent="0.2">
      <c r="A21" t="s">
        <v>21</v>
      </c>
      <c r="B21">
        <f>COUNTIF(Sheet7!$A:$A,Sheet8!A21)</f>
        <v>9</v>
      </c>
    </row>
    <row r="22" spans="1:2" x14ac:dyDescent="0.2">
      <c r="A22" t="s">
        <v>91</v>
      </c>
      <c r="B22">
        <f>COUNTIF(Sheet7!$A:$A,Sheet8!A22)</f>
        <v>6</v>
      </c>
    </row>
    <row r="23" spans="1:2" x14ac:dyDescent="0.2">
      <c r="A23" t="s">
        <v>35</v>
      </c>
      <c r="B23">
        <f>COUNTIF(Sheet7!$A:$A,Sheet8!A23)</f>
        <v>6</v>
      </c>
    </row>
    <row r="24" spans="1:2" x14ac:dyDescent="0.2">
      <c r="A24" t="s">
        <v>28</v>
      </c>
      <c r="B24">
        <f>COUNTIF(Sheet7!$A:$A,Sheet8!A24)</f>
        <v>9</v>
      </c>
    </row>
    <row r="25" spans="1:2" x14ac:dyDescent="0.2">
      <c r="A25" t="s">
        <v>454</v>
      </c>
      <c r="B25">
        <f>COUNTIF(Sheet7!$A:$A,Sheet8!A25)</f>
        <v>5</v>
      </c>
    </row>
    <row r="26" spans="1:2" x14ac:dyDescent="0.2">
      <c r="A26" t="s">
        <v>452</v>
      </c>
      <c r="B26">
        <f>COUNTIF(Sheet7!$A:$A,Sheet8!A26)</f>
        <v>4</v>
      </c>
    </row>
    <row r="27" spans="1:2" x14ac:dyDescent="0.2">
      <c r="A27" t="s">
        <v>27</v>
      </c>
      <c r="B27">
        <f>COUNTIF(Sheet7!$A:$A,Sheet8!A27)</f>
        <v>3</v>
      </c>
    </row>
    <row r="28" spans="1:2" x14ac:dyDescent="0.2">
      <c r="A28" t="s">
        <v>483</v>
      </c>
      <c r="B28">
        <f>COUNTIF(Sheet7!$A:$A,Sheet8!A28)</f>
        <v>3</v>
      </c>
    </row>
    <row r="29" spans="1:2" x14ac:dyDescent="0.2">
      <c r="A29" t="s">
        <v>485</v>
      </c>
      <c r="B29">
        <f>COUNTIF(Sheet7!$A:$A,Sheet8!A29)</f>
        <v>4</v>
      </c>
    </row>
    <row r="30" spans="1:2" x14ac:dyDescent="0.2">
      <c r="A30" t="s">
        <v>42</v>
      </c>
      <c r="B30">
        <f>COUNTIF(Sheet7!$A:$A,Sheet8!A30)</f>
        <v>3</v>
      </c>
    </row>
    <row r="31" spans="1:2" x14ac:dyDescent="0.2">
      <c r="A31" t="s">
        <v>450</v>
      </c>
      <c r="B31">
        <f>COUNTIF(Sheet7!$A:$A,Sheet8!A31)</f>
        <v>5</v>
      </c>
    </row>
    <row r="32" spans="1:2" x14ac:dyDescent="0.2">
      <c r="A32" t="s">
        <v>81</v>
      </c>
      <c r="B32">
        <f>COUNTIF(Sheet7!$A:$A,Sheet8!A32)</f>
        <v>2</v>
      </c>
    </row>
    <row r="33" spans="1:2" x14ac:dyDescent="0.2">
      <c r="A33" t="s">
        <v>12</v>
      </c>
      <c r="B33">
        <f>COUNTIF(Sheet7!$A:$A,Sheet8!A33)</f>
        <v>8</v>
      </c>
    </row>
    <row r="34" spans="1:2" x14ac:dyDescent="0.2">
      <c r="A34" t="s">
        <v>484</v>
      </c>
      <c r="B34">
        <f>COUNTIF(Sheet7!$A:$A,Sheet8!A34)</f>
        <v>3</v>
      </c>
    </row>
    <row r="35" spans="1:2" x14ac:dyDescent="0.2">
      <c r="A35" t="s">
        <v>40</v>
      </c>
      <c r="B35">
        <f>COUNTIF(Sheet7!$A:$A,Sheet8!A35)</f>
        <v>5</v>
      </c>
    </row>
    <row r="36" spans="1:2" x14ac:dyDescent="0.2">
      <c r="A36" t="s">
        <v>264</v>
      </c>
      <c r="B36">
        <f>COUNTIF(Sheet7!$A:$A,Sheet8!A36)</f>
        <v>7</v>
      </c>
    </row>
    <row r="37" spans="1:2" x14ac:dyDescent="0.2">
      <c r="A37" t="s">
        <v>25</v>
      </c>
      <c r="B37">
        <f>COUNTIF(Sheet7!$A:$A,Sheet8!A37)</f>
        <v>3</v>
      </c>
    </row>
    <row r="38" spans="1:2" x14ac:dyDescent="0.2">
      <c r="A38" t="s">
        <v>461</v>
      </c>
      <c r="B38">
        <f>COUNTIF(Sheet7!$A:$A,Sheet8!A38)</f>
        <v>5</v>
      </c>
    </row>
    <row r="39" spans="1:2" x14ac:dyDescent="0.2">
      <c r="A39" t="s">
        <v>19</v>
      </c>
      <c r="B39">
        <f>COUNTIF(Sheet7!$A:$A,Sheet8!A39)</f>
        <v>5</v>
      </c>
    </row>
    <row r="40" spans="1:2" x14ac:dyDescent="0.2">
      <c r="A40" t="s">
        <v>26</v>
      </c>
      <c r="B40">
        <f>COUNTIF(Sheet7!$A:$A,Sheet8!A40)</f>
        <v>6</v>
      </c>
    </row>
    <row r="41" spans="1:2" x14ac:dyDescent="0.2">
      <c r="A41" t="s">
        <v>32</v>
      </c>
      <c r="B41">
        <f>COUNTIF(Sheet7!$A:$A,Sheet8!A41)</f>
        <v>4</v>
      </c>
    </row>
    <row r="42" spans="1:2" x14ac:dyDescent="0.2">
      <c r="A42" t="s">
        <v>88</v>
      </c>
      <c r="B42">
        <f>COUNTIF(Sheet7!$A:$A,Sheet8!A42)</f>
        <v>4</v>
      </c>
    </row>
    <row r="43" spans="1:2" x14ac:dyDescent="0.2">
      <c r="A43" t="s">
        <v>345</v>
      </c>
      <c r="B43">
        <f>COUNTIF(Sheet7!$A:$A,Sheet8!A43)</f>
        <v>4</v>
      </c>
    </row>
    <row r="44" spans="1:2" x14ac:dyDescent="0.2">
      <c r="A44" t="s">
        <v>481</v>
      </c>
      <c r="B44">
        <f>COUNTIF(Sheet7!$A:$A,Sheet8!A44)</f>
        <v>2</v>
      </c>
    </row>
    <row r="45" spans="1:2" x14ac:dyDescent="0.2">
      <c r="A45" t="s">
        <v>473</v>
      </c>
      <c r="B45">
        <f>COUNTIF(Sheet7!$A:$A,Sheet8!A45)</f>
        <v>5</v>
      </c>
    </row>
    <row r="46" spans="1:2" x14ac:dyDescent="0.2">
      <c r="A46" t="s">
        <v>9</v>
      </c>
      <c r="B46">
        <f>COUNTIF(Sheet7!$A:$A,Sheet8!A46)</f>
        <v>4</v>
      </c>
    </row>
    <row r="47" spans="1:2" x14ac:dyDescent="0.2">
      <c r="A47" t="s">
        <v>20</v>
      </c>
      <c r="B47">
        <f>COUNTIF(Sheet7!$A:$A,Sheet8!A47)</f>
        <v>2</v>
      </c>
    </row>
    <row r="48" spans="1:2" x14ac:dyDescent="0.2">
      <c r="A48" t="s">
        <v>73</v>
      </c>
      <c r="B48">
        <f>COUNTIF(Sheet7!$A:$A,Sheet8!A48)</f>
        <v>5</v>
      </c>
    </row>
    <row r="49" spans="1:2" x14ac:dyDescent="0.2">
      <c r="A49" t="s">
        <v>84</v>
      </c>
      <c r="B49">
        <f>COUNTIF(Sheet7!$A:$A,Sheet8!A49)</f>
        <v>1</v>
      </c>
    </row>
    <row r="50" spans="1:2" x14ac:dyDescent="0.2">
      <c r="A50" t="s">
        <v>5</v>
      </c>
      <c r="B50">
        <f>COUNTIF(Sheet7!$A:$A,Sheet8!A50)</f>
        <v>3</v>
      </c>
    </row>
    <row r="51" spans="1:2" x14ac:dyDescent="0.2">
      <c r="A51" t="s">
        <v>463</v>
      </c>
      <c r="B51">
        <f>COUNTIF(Sheet7!$A:$A,Sheet8!A51)</f>
        <v>1</v>
      </c>
    </row>
    <row r="52" spans="1:2" x14ac:dyDescent="0.2">
      <c r="A52" t="s">
        <v>15</v>
      </c>
      <c r="B52">
        <f>COUNTIF(Sheet7!$A:$A,Sheet8!A52)</f>
        <v>4</v>
      </c>
    </row>
    <row r="53" spans="1:2" x14ac:dyDescent="0.2">
      <c r="A53" t="s">
        <v>198</v>
      </c>
      <c r="B53">
        <f>COUNTIF(Sheet7!$A:$A,Sheet8!A53)</f>
        <v>1</v>
      </c>
    </row>
    <row r="54" spans="1:2" x14ac:dyDescent="0.2">
      <c r="A54" t="s">
        <v>476</v>
      </c>
      <c r="B54">
        <f>COUNTIF(Sheet7!$A:$A,Sheet8!A54)</f>
        <v>2</v>
      </c>
    </row>
    <row r="55" spans="1:2" x14ac:dyDescent="0.2">
      <c r="A55" t="s">
        <v>462</v>
      </c>
      <c r="B55">
        <f>COUNTIF(Sheet7!$A:$A,Sheet8!A55)</f>
        <v>1</v>
      </c>
    </row>
    <row r="56" spans="1:2" x14ac:dyDescent="0.2">
      <c r="A56" t="s">
        <v>99</v>
      </c>
      <c r="B56">
        <f>COUNTIF(Sheet7!$A:$A,Sheet8!A56)</f>
        <v>1</v>
      </c>
    </row>
    <row r="57" spans="1:2" x14ac:dyDescent="0.2">
      <c r="A57" t="s">
        <v>76</v>
      </c>
      <c r="B57">
        <f>COUNTIF(Sheet7!$A:$A,Sheet8!A57)</f>
        <v>6</v>
      </c>
    </row>
    <row r="58" spans="1:2" x14ac:dyDescent="0.2">
      <c r="A58" t="s">
        <v>490</v>
      </c>
      <c r="B58">
        <f>COUNTIF(Sheet7!$A:$A,Sheet8!A58)</f>
        <v>1</v>
      </c>
    </row>
    <row r="59" spans="1:2" x14ac:dyDescent="0.2">
      <c r="A59" t="s">
        <v>98</v>
      </c>
      <c r="B59">
        <f>COUNTIF(Sheet7!$A:$A,Sheet8!A59)</f>
        <v>1</v>
      </c>
    </row>
    <row r="60" spans="1:2" x14ac:dyDescent="0.2">
      <c r="A60" t="s">
        <v>29</v>
      </c>
      <c r="B60">
        <f>COUNTIF(Sheet7!$A:$A,Sheet8!A60)</f>
        <v>2</v>
      </c>
    </row>
    <row r="61" spans="1:2" x14ac:dyDescent="0.2">
      <c r="A61" t="s">
        <v>453</v>
      </c>
      <c r="B61">
        <f>COUNTIF(Sheet7!$A:$A,Sheet8!A61)</f>
        <v>1</v>
      </c>
    </row>
    <row r="62" spans="1:2" x14ac:dyDescent="0.2">
      <c r="A62" t="s">
        <v>371</v>
      </c>
      <c r="B62">
        <f>COUNTIF(Sheet7!$A:$A,Sheet8!A62)</f>
        <v>1</v>
      </c>
    </row>
    <row r="63" spans="1:2" x14ac:dyDescent="0.2">
      <c r="A63" t="s">
        <v>459</v>
      </c>
      <c r="B63">
        <f>COUNTIF(Sheet7!$A:$A,Sheet8!A63)</f>
        <v>2</v>
      </c>
    </row>
    <row r="64" spans="1:2" x14ac:dyDescent="0.2">
      <c r="A64" t="s">
        <v>39</v>
      </c>
      <c r="B64">
        <f>COUNTIF(Sheet7!$A:$A,Sheet8!A64)</f>
        <v>1</v>
      </c>
    </row>
    <row r="65" spans="1:2" x14ac:dyDescent="0.2">
      <c r="A65" t="s">
        <v>280</v>
      </c>
      <c r="B65">
        <f>COUNTIF(Sheet7!$A:$A,Sheet8!A65)</f>
        <v>3</v>
      </c>
    </row>
    <row r="66" spans="1:2" x14ac:dyDescent="0.2">
      <c r="A66" t="s">
        <v>34</v>
      </c>
      <c r="B66">
        <f>COUNTIF(Sheet7!$A:$A,Sheet8!A66)</f>
        <v>1</v>
      </c>
    </row>
    <row r="67" spans="1:2" x14ac:dyDescent="0.2">
      <c r="A67" t="s">
        <v>101</v>
      </c>
      <c r="B67">
        <f>COUNTIF(Sheet7!$A:$A,Sheet8!A67)</f>
        <v>1</v>
      </c>
    </row>
    <row r="68" spans="1:2" x14ac:dyDescent="0.2">
      <c r="A68" t="s">
        <v>491</v>
      </c>
      <c r="B68">
        <f>COUNTIF(Sheet7!$A:$A,Sheet8!A68)</f>
        <v>1</v>
      </c>
    </row>
    <row r="69" spans="1:2" x14ac:dyDescent="0.2">
      <c r="A69" t="s">
        <v>82</v>
      </c>
      <c r="B69">
        <f>COUNTIF(Sheet7!$A:$A,Sheet8!A69)</f>
        <v>1</v>
      </c>
    </row>
    <row r="70" spans="1:2" x14ac:dyDescent="0.2">
      <c r="A70" t="s">
        <v>53</v>
      </c>
      <c r="B70">
        <f>COUNTIF(Sheet7!$A:$A,Sheet8!A70)</f>
        <v>1</v>
      </c>
    </row>
    <row r="71" spans="1:2" x14ac:dyDescent="0.2">
      <c r="A71" t="s">
        <v>455</v>
      </c>
      <c r="B71">
        <f>COUNTIF(Sheet7!$A:$A,Sheet8!A71)</f>
        <v>1</v>
      </c>
    </row>
    <row r="72" spans="1:2" x14ac:dyDescent="0.2">
      <c r="A72" t="s">
        <v>457</v>
      </c>
      <c r="B72">
        <f>COUNTIF(Sheet7!$A:$A,Sheet8!A72)</f>
        <v>1</v>
      </c>
    </row>
    <row r="73" spans="1:2" x14ac:dyDescent="0.2">
      <c r="A73" t="s">
        <v>468</v>
      </c>
      <c r="B73">
        <f>COUNTIF(Sheet7!$A:$A,Sheet8!A73)</f>
        <v>1</v>
      </c>
    </row>
    <row r="74" spans="1:2" x14ac:dyDescent="0.2">
      <c r="A74" t="s">
        <v>498</v>
      </c>
      <c r="B74">
        <f>COUNTIF(Sheet7!$A:$A,Sheet8!A74)</f>
        <v>1</v>
      </c>
    </row>
    <row r="75" spans="1:2" x14ac:dyDescent="0.2">
      <c r="A75" t="s">
        <v>302</v>
      </c>
      <c r="B75">
        <f>COUNTIF(Sheet7!$A:$A,Sheet8!A75)</f>
        <v>1</v>
      </c>
    </row>
    <row r="76" spans="1:2" x14ac:dyDescent="0.2">
      <c r="A76" t="s">
        <v>451</v>
      </c>
      <c r="B76">
        <f>COUNTIF(Sheet7!$A:$A,Sheet8!A76)</f>
        <v>1</v>
      </c>
    </row>
    <row r="77" spans="1:2" x14ac:dyDescent="0.2">
      <c r="A77" t="s">
        <v>478</v>
      </c>
      <c r="B77">
        <f>COUNTIF(Sheet7!$A:$A,Sheet8!A77)</f>
        <v>1</v>
      </c>
    </row>
    <row r="78" spans="1:2" x14ac:dyDescent="0.2">
      <c r="A78" t="s">
        <v>475</v>
      </c>
      <c r="B78">
        <f>COUNTIF(Sheet7!$A:$A,Sheet8!A78)</f>
        <v>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651F2-1750-4D49-9497-614D01B50001}">
  <dimension ref="A1:B11"/>
  <sheetViews>
    <sheetView workbookViewId="0">
      <selection activeCell="B2" sqref="B2:B11"/>
    </sheetView>
  </sheetViews>
  <sheetFormatPr baseColWidth="10" defaultRowHeight="16" x14ac:dyDescent="0.2"/>
  <sheetData>
    <row r="1" spans="1:2" x14ac:dyDescent="0.2">
      <c r="A1" t="s">
        <v>418</v>
      </c>
      <c r="B1" t="s">
        <v>449</v>
      </c>
    </row>
    <row r="2" spans="1:2" x14ac:dyDescent="0.2">
      <c r="A2">
        <v>0</v>
      </c>
      <c r="B2">
        <f>COUNTIF(Sheet8!$B:$B,VDistribP!A2)</f>
        <v>0</v>
      </c>
    </row>
    <row r="3" spans="1:2" x14ac:dyDescent="0.2">
      <c r="A3">
        <v>1</v>
      </c>
      <c r="B3">
        <f>COUNTIF(Sheet8!$B:$B,VDistribP!A3)</f>
        <v>23</v>
      </c>
    </row>
    <row r="4" spans="1:2" x14ac:dyDescent="0.2">
      <c r="A4">
        <v>2</v>
      </c>
      <c r="B4">
        <f>COUNTIF(Sheet8!$B:$B,VDistribP!A4)</f>
        <v>6</v>
      </c>
    </row>
    <row r="5" spans="1:2" x14ac:dyDescent="0.2">
      <c r="A5">
        <v>3</v>
      </c>
      <c r="B5">
        <f>COUNTIF(Sheet8!$B:$B,VDistribP!A5)</f>
        <v>7</v>
      </c>
    </row>
    <row r="6" spans="1:2" x14ac:dyDescent="0.2">
      <c r="A6">
        <v>4</v>
      </c>
      <c r="B6">
        <f>COUNTIF(Sheet8!$B:$B,VDistribP!A6)</f>
        <v>7</v>
      </c>
    </row>
    <row r="7" spans="1:2" x14ac:dyDescent="0.2">
      <c r="A7">
        <v>5</v>
      </c>
      <c r="B7">
        <f>COUNTIF(Sheet8!$B:$B,VDistribP!A7)</f>
        <v>8</v>
      </c>
    </row>
    <row r="8" spans="1:2" x14ac:dyDescent="0.2">
      <c r="A8">
        <v>6</v>
      </c>
      <c r="B8">
        <f>COUNTIF(Sheet8!$B:$B,VDistribP!A8)</f>
        <v>6</v>
      </c>
    </row>
    <row r="9" spans="1:2" x14ac:dyDescent="0.2">
      <c r="A9">
        <v>7</v>
      </c>
      <c r="B9">
        <f>COUNTIF(Sheet8!$B:$B,VDistribP!A9)</f>
        <v>9</v>
      </c>
    </row>
    <row r="10" spans="1:2" x14ac:dyDescent="0.2">
      <c r="A10">
        <v>8</v>
      </c>
      <c r="B10">
        <f>COUNTIF(Sheet8!$B:$B,VDistribP!A10)</f>
        <v>6</v>
      </c>
    </row>
    <row r="11" spans="1:2" x14ac:dyDescent="0.2">
      <c r="A11">
        <v>9</v>
      </c>
      <c r="B11">
        <f>COUNTIF(Sheet8!$B:$B,VDistribP!A11)</f>
        <v>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30</vt:i4>
      </vt:variant>
    </vt:vector>
  </HeadingPairs>
  <TitlesOfParts>
    <vt:vector size="30" baseType="lpstr">
      <vt:lpstr>T1</vt:lpstr>
      <vt:lpstr>T1 export</vt:lpstr>
      <vt:lpstr>CHECK T1</vt:lpstr>
      <vt:lpstr>T2</vt:lpstr>
      <vt:lpstr>T2 export</vt:lpstr>
      <vt:lpstr>CHECK T2</vt:lpstr>
      <vt:lpstr>T3</vt:lpstr>
      <vt:lpstr>T3 export</vt:lpstr>
      <vt:lpstr>CHECK T3</vt:lpstr>
      <vt:lpstr>Y (2)</vt:lpstr>
      <vt:lpstr>Y</vt:lpstr>
      <vt:lpstr>Y export (2)</vt:lpstr>
      <vt:lpstr>Y export</vt:lpstr>
      <vt:lpstr>CHECK Y</vt:lpstr>
      <vt:lpstr>How it works</vt:lpstr>
      <vt:lpstr>Sheet1</vt:lpstr>
      <vt:lpstr>Pres-NumPlayers</vt:lpstr>
      <vt:lpstr>For stats end Y DB</vt:lpstr>
      <vt:lpstr>For stats end Y class</vt:lpstr>
      <vt:lpstr>For stats end Y points</vt:lpstr>
      <vt:lpstr>For stats end Y Score</vt:lpstr>
      <vt:lpstr>Moy</vt:lpstr>
      <vt:lpstr>Sheet5</vt:lpstr>
      <vt:lpstr>Sheet1 (2)</vt:lpstr>
      <vt:lpstr>Variantes</vt:lpstr>
      <vt:lpstr>Variantes Scores</vt:lpstr>
      <vt:lpstr>Sheet6</vt:lpstr>
      <vt:lpstr>Sheet7</vt:lpstr>
      <vt:lpstr>Sheet8</vt:lpstr>
      <vt:lpstr>VDistribP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Becchere</dc:creator>
  <cp:lastModifiedBy>Giovanni Becchere</cp:lastModifiedBy>
  <dcterms:created xsi:type="dcterms:W3CDTF">2022-02-24T08:23:47Z</dcterms:created>
  <dcterms:modified xsi:type="dcterms:W3CDTF">2024-06-26T14:40:48Z</dcterms:modified>
</cp:coreProperties>
</file>